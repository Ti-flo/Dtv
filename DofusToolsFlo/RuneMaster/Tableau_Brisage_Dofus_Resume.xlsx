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ING3\Desktop\Dofus\RuneMaster\"/>
    </mc:Choice>
  </mc:AlternateContent>
  <xr:revisionPtr revIDLastSave="0" documentId="13_ncr:1_{0B0D0158-55C5-49DC-8704-9BA2CBE0C18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onnées" sheetId="1" r:id="rId1"/>
    <sheet name="Résumé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99" i="1" l="1"/>
  <c r="M99" i="1"/>
  <c r="L99" i="1"/>
  <c r="J99" i="1"/>
  <c r="I99" i="1"/>
  <c r="G99" i="1"/>
  <c r="H99" i="1" s="1"/>
  <c r="N99" i="1" s="1"/>
  <c r="D99" i="1"/>
  <c r="M98" i="1"/>
  <c r="J98" i="1"/>
  <c r="I98" i="1"/>
  <c r="H98" i="1"/>
  <c r="N98" i="1" s="1"/>
  <c r="G98" i="1"/>
  <c r="O98" i="1" s="1"/>
  <c r="D98" i="1"/>
  <c r="L98" i="1" s="1"/>
  <c r="O97" i="1"/>
  <c r="N97" i="1"/>
  <c r="M97" i="1"/>
  <c r="L97" i="1"/>
  <c r="I97" i="1"/>
  <c r="H97" i="1"/>
  <c r="G97" i="1"/>
  <c r="J97" i="1" s="1"/>
  <c r="D97" i="1"/>
  <c r="M96" i="1"/>
  <c r="J96" i="1"/>
  <c r="I96" i="1"/>
  <c r="G96" i="1"/>
  <c r="H96" i="1" s="1"/>
  <c r="N96" i="1" s="1"/>
  <c r="D96" i="1"/>
  <c r="L96" i="1" s="1"/>
  <c r="O95" i="1"/>
  <c r="N95" i="1"/>
  <c r="M95" i="1"/>
  <c r="J95" i="1"/>
  <c r="I95" i="1"/>
  <c r="H95" i="1"/>
  <c r="G95" i="1"/>
  <c r="D95" i="1"/>
  <c r="L95" i="1" s="1"/>
  <c r="M94" i="1"/>
  <c r="I94" i="1"/>
  <c r="G94" i="1"/>
  <c r="D94" i="1"/>
  <c r="L94" i="1" s="1"/>
  <c r="M93" i="1"/>
  <c r="I93" i="1"/>
  <c r="G93" i="1"/>
  <c r="O93" i="1" s="1"/>
  <c r="D93" i="1"/>
  <c r="L93" i="1" s="1"/>
  <c r="O92" i="1"/>
  <c r="M92" i="1"/>
  <c r="L92" i="1"/>
  <c r="J92" i="1"/>
  <c r="I92" i="1"/>
  <c r="H92" i="1"/>
  <c r="N92" i="1" s="1"/>
  <c r="G92" i="1"/>
  <c r="D92" i="1"/>
  <c r="M91" i="1"/>
  <c r="I91" i="1"/>
  <c r="G91" i="1"/>
  <c r="D91" i="1"/>
  <c r="L91" i="1" s="1"/>
  <c r="O90" i="1"/>
  <c r="M90" i="1"/>
  <c r="L90" i="1"/>
  <c r="J90" i="1"/>
  <c r="I90" i="1"/>
  <c r="G90" i="1"/>
  <c r="H90" i="1" s="1"/>
  <c r="N90" i="1" s="1"/>
  <c r="D90" i="1"/>
  <c r="M89" i="1"/>
  <c r="J89" i="1"/>
  <c r="I89" i="1"/>
  <c r="G89" i="1"/>
  <c r="H89" i="1" s="1"/>
  <c r="N89" i="1" s="1"/>
  <c r="D89" i="1"/>
  <c r="L89" i="1" s="1"/>
  <c r="O88" i="1"/>
  <c r="M88" i="1"/>
  <c r="L88" i="1"/>
  <c r="I88" i="1"/>
  <c r="G88" i="1"/>
  <c r="J88" i="1" s="1"/>
  <c r="D88" i="1"/>
  <c r="M87" i="1"/>
  <c r="L87" i="1"/>
  <c r="I87" i="1"/>
  <c r="G87" i="1"/>
  <c r="D87" i="1"/>
  <c r="O86" i="1"/>
  <c r="M86" i="1"/>
  <c r="I86" i="1"/>
  <c r="G86" i="1"/>
  <c r="J86" i="1" s="1"/>
  <c r="D86" i="1"/>
  <c r="L86" i="1" s="1"/>
  <c r="O85" i="1"/>
  <c r="N85" i="1"/>
  <c r="M85" i="1"/>
  <c r="L85" i="1"/>
  <c r="J85" i="1"/>
  <c r="I85" i="1"/>
  <c r="H85" i="1"/>
  <c r="G85" i="1"/>
  <c r="D85" i="1"/>
  <c r="M84" i="1"/>
  <c r="I84" i="1"/>
  <c r="G84" i="1"/>
  <c r="O84" i="1" s="1"/>
  <c r="D84" i="1"/>
  <c r="L84" i="1" s="1"/>
  <c r="O83" i="1"/>
  <c r="N83" i="1"/>
  <c r="M83" i="1"/>
  <c r="L83" i="1"/>
  <c r="J83" i="1"/>
  <c r="I83" i="1"/>
  <c r="H83" i="1"/>
  <c r="G83" i="1"/>
  <c r="D83" i="1"/>
  <c r="M82" i="1"/>
  <c r="J82" i="1"/>
  <c r="I82" i="1"/>
  <c r="H82" i="1"/>
  <c r="N82" i="1" s="1"/>
  <c r="G82" i="1"/>
  <c r="O82" i="1" s="1"/>
  <c r="D82" i="1"/>
  <c r="L82" i="1" s="1"/>
  <c r="O81" i="1"/>
  <c r="N81" i="1"/>
  <c r="M81" i="1"/>
  <c r="L81" i="1"/>
  <c r="I81" i="1"/>
  <c r="H81" i="1"/>
  <c r="G81" i="1"/>
  <c r="J81" i="1" s="1"/>
  <c r="D81" i="1"/>
  <c r="M80" i="1"/>
  <c r="J80" i="1"/>
  <c r="I80" i="1"/>
  <c r="G80" i="1"/>
  <c r="H80" i="1" s="1"/>
  <c r="N80" i="1" s="1"/>
  <c r="D80" i="1"/>
  <c r="L80" i="1" s="1"/>
  <c r="O79" i="1"/>
  <c r="N79" i="1"/>
  <c r="M79" i="1"/>
  <c r="J79" i="1"/>
  <c r="I79" i="1"/>
  <c r="H79" i="1"/>
  <c r="G79" i="1"/>
  <c r="D79" i="1"/>
  <c r="L79" i="1" s="1"/>
  <c r="M78" i="1"/>
  <c r="I78" i="1"/>
  <c r="G78" i="1"/>
  <c r="D78" i="1"/>
  <c r="L78" i="1" s="1"/>
  <c r="M77" i="1"/>
  <c r="I77" i="1"/>
  <c r="G77" i="1"/>
  <c r="O77" i="1" s="1"/>
  <c r="D77" i="1"/>
  <c r="L77" i="1" s="1"/>
  <c r="O76" i="1"/>
  <c r="M76" i="1"/>
  <c r="L76" i="1"/>
  <c r="J76" i="1"/>
  <c r="I76" i="1"/>
  <c r="H76" i="1"/>
  <c r="N76" i="1" s="1"/>
  <c r="G76" i="1"/>
  <c r="D76" i="1"/>
  <c r="M75" i="1"/>
  <c r="I75" i="1"/>
  <c r="G75" i="1"/>
  <c r="D75" i="1"/>
  <c r="L75" i="1" s="1"/>
  <c r="M74" i="1"/>
  <c r="L74" i="1"/>
  <c r="J74" i="1"/>
  <c r="I74" i="1"/>
  <c r="G74" i="1"/>
  <c r="O74" i="1" s="1"/>
  <c r="D74" i="1"/>
  <c r="M73" i="1"/>
  <c r="J73" i="1"/>
  <c r="I73" i="1"/>
  <c r="G73" i="1"/>
  <c r="H73" i="1" s="1"/>
  <c r="N73" i="1" s="1"/>
  <c r="D73" i="1"/>
  <c r="L73" i="1" s="1"/>
  <c r="O72" i="1"/>
  <c r="M72" i="1"/>
  <c r="L72" i="1"/>
  <c r="I72" i="1"/>
  <c r="G72" i="1"/>
  <c r="J72" i="1" s="1"/>
  <c r="D72" i="1"/>
  <c r="M71" i="1"/>
  <c r="L71" i="1"/>
  <c r="I71" i="1"/>
  <c r="H71" i="1"/>
  <c r="N71" i="1" s="1"/>
  <c r="G71" i="1"/>
  <c r="D71" i="1"/>
  <c r="O70" i="1"/>
  <c r="M70" i="1"/>
  <c r="L70" i="1"/>
  <c r="I70" i="1"/>
  <c r="G70" i="1"/>
  <c r="J70" i="1" s="1"/>
  <c r="D70" i="1"/>
  <c r="M69" i="1"/>
  <c r="L69" i="1"/>
  <c r="J69" i="1"/>
  <c r="I69" i="1"/>
  <c r="H69" i="1"/>
  <c r="N69" i="1" s="1"/>
  <c r="G69" i="1"/>
  <c r="O69" i="1" s="1"/>
  <c r="D69" i="1"/>
  <c r="M68" i="1"/>
  <c r="I68" i="1"/>
  <c r="G68" i="1"/>
  <c r="O68" i="1" s="1"/>
  <c r="D68" i="1"/>
  <c r="L68" i="1" s="1"/>
  <c r="O67" i="1"/>
  <c r="N67" i="1"/>
  <c r="M67" i="1"/>
  <c r="L67" i="1"/>
  <c r="J67" i="1"/>
  <c r="I67" i="1"/>
  <c r="H67" i="1"/>
  <c r="G67" i="1"/>
  <c r="D67" i="1"/>
  <c r="M66" i="1"/>
  <c r="I66" i="1"/>
  <c r="H66" i="1"/>
  <c r="N66" i="1" s="1"/>
  <c r="G66" i="1"/>
  <c r="O66" i="1" s="1"/>
  <c r="D66" i="1"/>
  <c r="L66" i="1" s="1"/>
  <c r="O65" i="1"/>
  <c r="N65" i="1"/>
  <c r="M65" i="1"/>
  <c r="L65" i="1"/>
  <c r="J65" i="1"/>
  <c r="I65" i="1"/>
  <c r="H65" i="1"/>
  <c r="G65" i="1"/>
  <c r="D65" i="1"/>
  <c r="M64" i="1"/>
  <c r="J64" i="1"/>
  <c r="I64" i="1"/>
  <c r="G64" i="1"/>
  <c r="D64" i="1"/>
  <c r="L64" i="1" s="1"/>
  <c r="O63" i="1"/>
  <c r="N63" i="1"/>
  <c r="M63" i="1"/>
  <c r="J63" i="1"/>
  <c r="I63" i="1"/>
  <c r="H63" i="1"/>
  <c r="G63" i="1"/>
  <c r="D63" i="1"/>
  <c r="L63" i="1" s="1"/>
  <c r="M62" i="1"/>
  <c r="I62" i="1"/>
  <c r="H62" i="1"/>
  <c r="N62" i="1" s="1"/>
  <c r="G62" i="1"/>
  <c r="D62" i="1"/>
  <c r="L62" i="1" s="1"/>
  <c r="M61" i="1"/>
  <c r="I61" i="1"/>
  <c r="G61" i="1"/>
  <c r="O61" i="1" s="1"/>
  <c r="D61" i="1"/>
  <c r="L61" i="1" s="1"/>
  <c r="O60" i="1"/>
  <c r="M60" i="1"/>
  <c r="L60" i="1"/>
  <c r="J60" i="1"/>
  <c r="I60" i="1"/>
  <c r="H60" i="1"/>
  <c r="N60" i="1" s="1"/>
  <c r="G60" i="1"/>
  <c r="D60" i="1"/>
  <c r="M59" i="1"/>
  <c r="I59" i="1"/>
  <c r="G59" i="1"/>
  <c r="D59" i="1"/>
  <c r="L59" i="1" s="1"/>
  <c r="M58" i="1"/>
  <c r="L58" i="1"/>
  <c r="J58" i="1"/>
  <c r="I58" i="1"/>
  <c r="G58" i="1"/>
  <c r="O58" i="1" s="1"/>
  <c r="D58" i="1"/>
  <c r="M57" i="1"/>
  <c r="J57" i="1"/>
  <c r="I57" i="1"/>
  <c r="H57" i="1"/>
  <c r="N57" i="1" s="1"/>
  <c r="G57" i="1"/>
  <c r="O57" i="1" s="1"/>
  <c r="D57" i="1"/>
  <c r="L57" i="1" s="1"/>
  <c r="O56" i="1"/>
  <c r="M56" i="1"/>
  <c r="L56" i="1"/>
  <c r="I56" i="1"/>
  <c r="G56" i="1"/>
  <c r="J56" i="1" s="1"/>
  <c r="D56" i="1"/>
  <c r="M55" i="1"/>
  <c r="I55" i="1"/>
  <c r="G55" i="1"/>
  <c r="D55" i="1"/>
  <c r="L55" i="1" s="1"/>
  <c r="O54" i="1"/>
  <c r="M54" i="1"/>
  <c r="L54" i="1"/>
  <c r="I54" i="1"/>
  <c r="G54" i="1"/>
  <c r="J54" i="1" s="1"/>
  <c r="D54" i="1"/>
  <c r="M53" i="1"/>
  <c r="L53" i="1"/>
  <c r="I53" i="1"/>
  <c r="G53" i="1"/>
  <c r="O53" i="1" s="1"/>
  <c r="D53" i="1"/>
  <c r="M52" i="1"/>
  <c r="I52" i="1"/>
  <c r="G52" i="1"/>
  <c r="O52" i="1" s="1"/>
  <c r="D52" i="1"/>
  <c r="L52" i="1" s="1"/>
  <c r="O51" i="1"/>
  <c r="N51" i="1"/>
  <c r="M51" i="1"/>
  <c r="L51" i="1"/>
  <c r="J51" i="1"/>
  <c r="I51" i="1"/>
  <c r="H51" i="1"/>
  <c r="G51" i="1"/>
  <c r="D51" i="1"/>
  <c r="M50" i="1"/>
  <c r="I50" i="1"/>
  <c r="H50" i="1"/>
  <c r="N50" i="1" s="1"/>
  <c r="G50" i="1"/>
  <c r="O50" i="1" s="1"/>
  <c r="D50" i="1"/>
  <c r="L50" i="1" s="1"/>
  <c r="O49" i="1"/>
  <c r="N49" i="1"/>
  <c r="M49" i="1"/>
  <c r="L49" i="1"/>
  <c r="J49" i="1"/>
  <c r="I49" i="1"/>
  <c r="H49" i="1"/>
  <c r="G49" i="1"/>
  <c r="D49" i="1"/>
  <c r="M48" i="1"/>
  <c r="I48" i="1"/>
  <c r="G48" i="1"/>
  <c r="D48" i="1"/>
  <c r="L48" i="1" s="1"/>
  <c r="O47" i="1"/>
  <c r="N47" i="1"/>
  <c r="M47" i="1"/>
  <c r="J47" i="1"/>
  <c r="I47" i="1"/>
  <c r="H47" i="1"/>
  <c r="G47" i="1"/>
  <c r="D47" i="1"/>
  <c r="L47" i="1" s="1"/>
  <c r="M46" i="1"/>
  <c r="I46" i="1"/>
  <c r="H46" i="1"/>
  <c r="N46" i="1" s="1"/>
  <c r="G46" i="1"/>
  <c r="D46" i="1"/>
  <c r="L46" i="1" s="1"/>
  <c r="M45" i="1"/>
  <c r="I45" i="1"/>
  <c r="G45" i="1"/>
  <c r="O45" i="1" s="1"/>
  <c r="D45" i="1"/>
  <c r="L45" i="1" s="1"/>
  <c r="O44" i="1"/>
  <c r="M44" i="1"/>
  <c r="L44" i="1"/>
  <c r="J44" i="1"/>
  <c r="I44" i="1"/>
  <c r="H44" i="1"/>
  <c r="N44" i="1" s="1"/>
  <c r="G44" i="1"/>
  <c r="D44" i="1"/>
  <c r="M43" i="1"/>
  <c r="I43" i="1"/>
  <c r="G43" i="1"/>
  <c r="D43" i="1"/>
  <c r="L43" i="1" s="1"/>
  <c r="M42" i="1"/>
  <c r="L42" i="1"/>
  <c r="J42" i="1"/>
  <c r="I42" i="1"/>
  <c r="G42" i="1"/>
  <c r="O42" i="1" s="1"/>
  <c r="D42" i="1"/>
  <c r="M41" i="1"/>
  <c r="J41" i="1"/>
  <c r="I41" i="1"/>
  <c r="H41" i="1"/>
  <c r="N41" i="1" s="1"/>
  <c r="G41" i="1"/>
  <c r="O41" i="1" s="1"/>
  <c r="D41" i="1"/>
  <c r="L41" i="1" s="1"/>
  <c r="O40" i="1"/>
  <c r="M40" i="1"/>
  <c r="L40" i="1"/>
  <c r="I40" i="1"/>
  <c r="G40" i="1"/>
  <c r="J40" i="1" s="1"/>
  <c r="D40" i="1"/>
  <c r="M39" i="1"/>
  <c r="I39" i="1"/>
  <c r="G39" i="1"/>
  <c r="D39" i="1"/>
  <c r="L39" i="1" s="1"/>
  <c r="O38" i="1"/>
  <c r="M38" i="1"/>
  <c r="L38" i="1"/>
  <c r="I38" i="1"/>
  <c r="G38" i="1"/>
  <c r="J38" i="1" s="1"/>
  <c r="D38" i="1"/>
  <c r="M37" i="1"/>
  <c r="L37" i="1"/>
  <c r="J37" i="1"/>
  <c r="I37" i="1"/>
  <c r="H37" i="1"/>
  <c r="N37" i="1" s="1"/>
  <c r="G37" i="1"/>
  <c r="O37" i="1" s="1"/>
  <c r="D37" i="1"/>
  <c r="M36" i="1"/>
  <c r="I36" i="1"/>
  <c r="G36" i="1"/>
  <c r="O36" i="1" s="1"/>
  <c r="D36" i="1"/>
  <c r="L36" i="1" s="1"/>
  <c r="O35" i="1"/>
  <c r="N35" i="1"/>
  <c r="M35" i="1"/>
  <c r="L35" i="1"/>
  <c r="J35" i="1"/>
  <c r="I35" i="1"/>
  <c r="H35" i="1"/>
  <c r="G35" i="1"/>
  <c r="D35" i="1"/>
  <c r="M34" i="1"/>
  <c r="I34" i="1"/>
  <c r="H34" i="1"/>
  <c r="N34" i="1" s="1"/>
  <c r="G34" i="1"/>
  <c r="O34" i="1" s="1"/>
  <c r="D34" i="1"/>
  <c r="L34" i="1" s="1"/>
  <c r="O33" i="1"/>
  <c r="N33" i="1"/>
  <c r="M33" i="1"/>
  <c r="L33" i="1"/>
  <c r="J33" i="1"/>
  <c r="I33" i="1"/>
  <c r="H33" i="1"/>
  <c r="G33" i="1"/>
  <c r="D33" i="1"/>
  <c r="M32" i="1"/>
  <c r="I32" i="1"/>
  <c r="G32" i="1"/>
  <c r="D32" i="1"/>
  <c r="L32" i="1" s="1"/>
  <c r="O31" i="1"/>
  <c r="N31" i="1"/>
  <c r="M31" i="1"/>
  <c r="J31" i="1"/>
  <c r="I31" i="1"/>
  <c r="H31" i="1"/>
  <c r="G31" i="1"/>
  <c r="D31" i="1"/>
  <c r="L31" i="1" s="1"/>
  <c r="M30" i="1"/>
  <c r="I30" i="1"/>
  <c r="G30" i="1"/>
  <c r="H30" i="1" s="1"/>
  <c r="N30" i="1" s="1"/>
  <c r="D30" i="1"/>
  <c r="L30" i="1" s="1"/>
  <c r="M29" i="1"/>
  <c r="I29" i="1"/>
  <c r="G29" i="1"/>
  <c r="O29" i="1" s="1"/>
  <c r="D29" i="1"/>
  <c r="L29" i="1" s="1"/>
  <c r="O28" i="1"/>
  <c r="N28" i="1"/>
  <c r="M28" i="1"/>
  <c r="L28" i="1"/>
  <c r="J28" i="1"/>
  <c r="I28" i="1"/>
  <c r="H28" i="1"/>
  <c r="G28" i="1"/>
  <c r="D28" i="1"/>
  <c r="M27" i="1"/>
  <c r="I27" i="1"/>
  <c r="G27" i="1"/>
  <c r="D27" i="1"/>
  <c r="L27" i="1" s="1"/>
  <c r="M26" i="1"/>
  <c r="L26" i="1"/>
  <c r="J26" i="1"/>
  <c r="I26" i="1"/>
  <c r="G26" i="1"/>
  <c r="O26" i="1" s="1"/>
  <c r="D26" i="1"/>
  <c r="M25" i="1"/>
  <c r="J25" i="1"/>
  <c r="I25" i="1"/>
  <c r="H25" i="1"/>
  <c r="N25" i="1" s="1"/>
  <c r="G25" i="1"/>
  <c r="O25" i="1" s="1"/>
  <c r="D25" i="1"/>
  <c r="L25" i="1" s="1"/>
  <c r="O24" i="1"/>
  <c r="M24" i="1"/>
  <c r="L24" i="1"/>
  <c r="I24" i="1"/>
  <c r="G24" i="1"/>
  <c r="J24" i="1" s="1"/>
  <c r="D24" i="1"/>
  <c r="M23" i="1"/>
  <c r="L23" i="1"/>
  <c r="J23" i="1"/>
  <c r="I23" i="1"/>
  <c r="H23" i="1"/>
  <c r="N23" i="1" s="1"/>
  <c r="G23" i="1"/>
  <c r="O23" i="1" s="1"/>
  <c r="D23" i="1"/>
  <c r="O22" i="1"/>
  <c r="M22" i="1"/>
  <c r="L22" i="1"/>
  <c r="I22" i="1"/>
  <c r="G22" i="1"/>
  <c r="J22" i="1" s="1"/>
  <c r="D22" i="1"/>
  <c r="M21" i="1"/>
  <c r="L21" i="1"/>
  <c r="I21" i="1"/>
  <c r="G21" i="1"/>
  <c r="O21" i="1" s="1"/>
  <c r="D21" i="1"/>
  <c r="M20" i="1"/>
  <c r="I20" i="1"/>
  <c r="G20" i="1"/>
  <c r="O20" i="1" s="1"/>
  <c r="D20" i="1"/>
  <c r="L20" i="1" s="1"/>
  <c r="O19" i="1"/>
  <c r="N19" i="1"/>
  <c r="M19" i="1"/>
  <c r="L19" i="1"/>
  <c r="J19" i="1"/>
  <c r="I19" i="1"/>
  <c r="H19" i="1"/>
  <c r="G19" i="1"/>
  <c r="D19" i="1"/>
  <c r="M18" i="1"/>
  <c r="H18" i="1"/>
  <c r="N18" i="1" s="1"/>
  <c r="G18" i="1"/>
  <c r="D18" i="1"/>
  <c r="L18" i="1" s="1"/>
  <c r="O17" i="1"/>
  <c r="N17" i="1"/>
  <c r="M17" i="1"/>
  <c r="L17" i="1"/>
  <c r="J17" i="1"/>
  <c r="H17" i="1"/>
  <c r="G17" i="1"/>
  <c r="I17" i="1" s="1"/>
  <c r="D17" i="1"/>
  <c r="M16" i="1"/>
  <c r="J16" i="1"/>
  <c r="G16" i="1"/>
  <c r="D16" i="1"/>
  <c r="L16" i="1" s="1"/>
  <c r="O15" i="1"/>
  <c r="N15" i="1"/>
  <c r="M15" i="1"/>
  <c r="J15" i="1"/>
  <c r="I15" i="1"/>
  <c r="H15" i="1"/>
  <c r="G15" i="1"/>
  <c r="D15" i="1"/>
  <c r="L15" i="1" s="1"/>
  <c r="M14" i="1"/>
  <c r="L14" i="1"/>
  <c r="G14" i="1"/>
  <c r="I14" i="1" s="1"/>
  <c r="D14" i="1"/>
  <c r="M13" i="1"/>
  <c r="G13" i="1"/>
  <c r="O13" i="1" s="1"/>
  <c r="D13" i="1"/>
  <c r="L13" i="1" s="1"/>
  <c r="O12" i="1"/>
  <c r="M12" i="1"/>
  <c r="L12" i="1"/>
  <c r="J12" i="1"/>
  <c r="I12" i="1"/>
  <c r="H12" i="1"/>
  <c r="N12" i="1" s="1"/>
  <c r="G12" i="1"/>
  <c r="D12" i="1"/>
  <c r="M11" i="1"/>
  <c r="G11" i="1"/>
  <c r="D11" i="1"/>
  <c r="L11" i="1" s="1"/>
  <c r="M10" i="1"/>
  <c r="L10" i="1"/>
  <c r="J10" i="1"/>
  <c r="G10" i="1"/>
  <c r="O10" i="1" s="1"/>
  <c r="D10" i="1"/>
  <c r="M9" i="1"/>
  <c r="J9" i="1"/>
  <c r="I9" i="1"/>
  <c r="H9" i="1"/>
  <c r="N9" i="1" s="1"/>
  <c r="G9" i="1"/>
  <c r="O9" i="1" s="1"/>
  <c r="D9" i="1"/>
  <c r="L9" i="1" s="1"/>
  <c r="O8" i="1"/>
  <c r="M8" i="1"/>
  <c r="L8" i="1"/>
  <c r="I8" i="1"/>
  <c r="G8" i="1"/>
  <c r="J8" i="1" s="1"/>
  <c r="D8" i="1"/>
  <c r="M7" i="1"/>
  <c r="G7" i="1"/>
  <c r="H7" i="1" s="1"/>
  <c r="N7" i="1" s="1"/>
  <c r="D7" i="1"/>
  <c r="L7" i="1" s="1"/>
  <c r="O6" i="1"/>
  <c r="M6" i="1"/>
  <c r="L6" i="1"/>
  <c r="G6" i="1"/>
  <c r="J6" i="1" s="1"/>
  <c r="D6" i="1"/>
  <c r="O5" i="1"/>
  <c r="M5" i="1"/>
  <c r="L5" i="1"/>
  <c r="J5" i="1"/>
  <c r="I5" i="1"/>
  <c r="G5" i="1"/>
  <c r="H5" i="1" s="1"/>
  <c r="N5" i="1" s="1"/>
  <c r="D5" i="1"/>
  <c r="M4" i="1"/>
  <c r="G4" i="1"/>
  <c r="D4" i="1"/>
  <c r="L4" i="1" s="1"/>
  <c r="O3" i="1"/>
  <c r="N3" i="1"/>
  <c r="M3" i="1"/>
  <c r="B10" i="2" s="1"/>
  <c r="L3" i="1"/>
  <c r="J3" i="1"/>
  <c r="I3" i="1"/>
  <c r="H3" i="1"/>
  <c r="G3" i="1"/>
  <c r="D3" i="1"/>
  <c r="H16" i="1" l="1"/>
  <c r="N16" i="1" s="1"/>
  <c r="O16" i="1"/>
  <c r="H21" i="1"/>
  <c r="N21" i="1" s="1"/>
  <c r="H64" i="1"/>
  <c r="N64" i="1" s="1"/>
  <c r="O64" i="1"/>
  <c r="B8" i="2"/>
  <c r="I16" i="1"/>
  <c r="J87" i="1"/>
  <c r="H87" i="1"/>
  <c r="N87" i="1" s="1"/>
  <c r="O87" i="1"/>
  <c r="O11" i="1"/>
  <c r="B9" i="2" s="1"/>
  <c r="H11" i="1"/>
  <c r="N11" i="1" s="1"/>
  <c r="J11" i="1"/>
  <c r="I11" i="1"/>
  <c r="H14" i="1"/>
  <c r="N14" i="1" s="1"/>
  <c r="O59" i="1"/>
  <c r="H59" i="1"/>
  <c r="N59" i="1" s="1"/>
  <c r="J59" i="1"/>
  <c r="J62" i="1"/>
  <c r="O62" i="1"/>
  <c r="J39" i="1"/>
  <c r="O39" i="1"/>
  <c r="H32" i="1"/>
  <c r="N32" i="1" s="1"/>
  <c r="O32" i="1"/>
  <c r="O75" i="1"/>
  <c r="H75" i="1"/>
  <c r="N75" i="1" s="1"/>
  <c r="J75" i="1"/>
  <c r="J78" i="1"/>
  <c r="O78" i="1"/>
  <c r="J14" i="1"/>
  <c r="O14" i="1"/>
  <c r="B11" i="2"/>
  <c r="H39" i="1"/>
  <c r="N39" i="1" s="1"/>
  <c r="O4" i="1"/>
  <c r="J4" i="1"/>
  <c r="I4" i="1"/>
  <c r="H4" i="1"/>
  <c r="N4" i="1" s="1"/>
  <c r="O27" i="1"/>
  <c r="H27" i="1"/>
  <c r="N27" i="1" s="1"/>
  <c r="J27" i="1"/>
  <c r="J32" i="1"/>
  <c r="H78" i="1"/>
  <c r="N78" i="1" s="1"/>
  <c r="J94" i="1"/>
  <c r="H94" i="1"/>
  <c r="N94" i="1" s="1"/>
  <c r="O94" i="1"/>
  <c r="J21" i="1"/>
  <c r="J55" i="1"/>
  <c r="O55" i="1"/>
  <c r="I7" i="1"/>
  <c r="O7" i="1"/>
  <c r="J30" i="1"/>
  <c r="O30" i="1"/>
  <c r="O91" i="1"/>
  <c r="H91" i="1"/>
  <c r="N91" i="1" s="1"/>
  <c r="J91" i="1"/>
  <c r="H48" i="1"/>
  <c r="N48" i="1" s="1"/>
  <c r="O48" i="1"/>
  <c r="J7" i="1"/>
  <c r="H53" i="1"/>
  <c r="N53" i="1" s="1"/>
  <c r="J48" i="1"/>
  <c r="H55" i="1"/>
  <c r="N55" i="1" s="1"/>
  <c r="O18" i="1"/>
  <c r="J18" i="1"/>
  <c r="I18" i="1"/>
  <c r="O43" i="1"/>
  <c r="J43" i="1"/>
  <c r="H43" i="1"/>
  <c r="N43" i="1" s="1"/>
  <c r="J46" i="1"/>
  <c r="O46" i="1"/>
  <c r="J53" i="1"/>
  <c r="J71" i="1"/>
  <c r="O71" i="1"/>
  <c r="H20" i="1"/>
  <c r="N20" i="1" s="1"/>
  <c r="J34" i="1"/>
  <c r="H36" i="1"/>
  <c r="N36" i="1" s="1"/>
  <c r="H52" i="1"/>
  <c r="N52" i="1" s="1"/>
  <c r="H13" i="1"/>
  <c r="N13" i="1" s="1"/>
  <c r="H29" i="1"/>
  <c r="N29" i="1" s="1"/>
  <c r="H45" i="1"/>
  <c r="N45" i="1" s="1"/>
  <c r="H61" i="1"/>
  <c r="N61" i="1" s="1"/>
  <c r="H77" i="1"/>
  <c r="N77" i="1" s="1"/>
  <c r="H93" i="1"/>
  <c r="N93" i="1" s="1"/>
  <c r="H6" i="1"/>
  <c r="N6" i="1" s="1"/>
  <c r="I13" i="1"/>
  <c r="J20" i="1"/>
  <c r="H22" i="1"/>
  <c r="N22" i="1" s="1"/>
  <c r="J36" i="1"/>
  <c r="H38" i="1"/>
  <c r="N38" i="1" s="1"/>
  <c r="J52" i="1"/>
  <c r="H54" i="1"/>
  <c r="N54" i="1" s="1"/>
  <c r="J68" i="1"/>
  <c r="H70" i="1"/>
  <c r="N70" i="1" s="1"/>
  <c r="O80" i="1"/>
  <c r="J84" i="1"/>
  <c r="H86" i="1"/>
  <c r="N86" i="1" s="1"/>
  <c r="O96" i="1"/>
  <c r="J50" i="1"/>
  <c r="J66" i="1"/>
  <c r="H68" i="1"/>
  <c r="N68" i="1" s="1"/>
  <c r="H84" i="1"/>
  <c r="N84" i="1" s="1"/>
  <c r="I6" i="1"/>
  <c r="J13" i="1"/>
  <c r="J29" i="1"/>
  <c r="J45" i="1"/>
  <c r="J61" i="1"/>
  <c r="O73" i="1"/>
  <c r="J77" i="1"/>
  <c r="O89" i="1"/>
  <c r="J93" i="1"/>
  <c r="H8" i="1"/>
  <c r="N8" i="1" s="1"/>
  <c r="H24" i="1"/>
  <c r="N24" i="1" s="1"/>
  <c r="H40" i="1"/>
  <c r="N40" i="1" s="1"/>
  <c r="H56" i="1"/>
  <c r="N56" i="1" s="1"/>
  <c r="H72" i="1"/>
  <c r="N72" i="1" s="1"/>
  <c r="H88" i="1"/>
  <c r="N88" i="1" s="1"/>
  <c r="H10" i="1"/>
  <c r="N10" i="1" s="1"/>
  <c r="H26" i="1"/>
  <c r="N26" i="1" s="1"/>
  <c r="H42" i="1"/>
  <c r="N42" i="1" s="1"/>
  <c r="H58" i="1"/>
  <c r="N58" i="1" s="1"/>
  <c r="H74" i="1"/>
  <c r="N74" i="1" s="1"/>
  <c r="I10" i="1"/>
</calcChain>
</file>

<file path=xl/sharedStrings.xml><?xml version="1.0" encoding="utf-8"?>
<sst xmlns="http://schemas.openxmlformats.org/spreadsheetml/2006/main" count="98" uniqueCount="92">
  <si>
    <t>Type</t>
  </si>
  <si>
    <t>Nom</t>
  </si>
  <si>
    <t>Cases</t>
  </si>
  <si>
    <t>XP</t>
  </si>
  <si>
    <t>Coeff</t>
  </si>
  <si>
    <t>Coût</t>
  </si>
  <si>
    <t>Revenu</t>
  </si>
  <si>
    <t>Bénéfice</t>
  </si>
  <si>
    <t>Rentabilité</t>
  </si>
  <si>
    <t>Coeff Min</t>
  </si>
  <si>
    <t>Quantité</t>
  </si>
  <si>
    <t>XP Total</t>
  </si>
  <si>
    <t>Coût Total</t>
  </si>
  <si>
    <t>Bénéfice Total</t>
  </si>
  <si>
    <t>Revenu Total</t>
  </si>
  <si>
    <t>Vi</t>
  </si>
  <si>
    <t>Sa</t>
  </si>
  <si>
    <t>Fo</t>
  </si>
  <si>
    <t>Ine</t>
  </si>
  <si>
    <t>Cha</t>
  </si>
  <si>
    <t>Age</t>
  </si>
  <si>
    <t>Pui</t>
  </si>
  <si>
    <t>Prospe</t>
  </si>
  <si>
    <t>Ini</t>
  </si>
  <si>
    <t>Tac</t>
  </si>
  <si>
    <t>Fui</t>
  </si>
  <si>
    <t>Ret PA</t>
  </si>
  <si>
    <t>Ret PM</t>
  </si>
  <si>
    <t>Ré PA</t>
  </si>
  <si>
    <t>Ré PM</t>
  </si>
  <si>
    <t>Do Neutre</t>
  </si>
  <si>
    <t>Do Terre</t>
  </si>
  <si>
    <t>Do Feu</t>
  </si>
  <si>
    <t>Do Eau</t>
  </si>
  <si>
    <t>Do Air</t>
  </si>
  <si>
    <t>Do Cri</t>
  </si>
  <si>
    <t>Do Pou</t>
  </si>
  <si>
    <t>Ré Neutre</t>
  </si>
  <si>
    <t>Ré Terre</t>
  </si>
  <si>
    <t>Ré Feu</t>
  </si>
  <si>
    <t>Ré Eau</t>
  </si>
  <si>
    <t>Ré Air</t>
  </si>
  <si>
    <t>Ré Pou</t>
  </si>
  <si>
    <t>Ré Cri</t>
  </si>
  <si>
    <t>Re Per Neutre</t>
  </si>
  <si>
    <t>Re Per Terre</t>
  </si>
  <si>
    <t>Re Per Feu</t>
  </si>
  <si>
    <t>Re Per Eau</t>
  </si>
  <si>
    <t>Re Per Air</t>
  </si>
  <si>
    <t>Do</t>
  </si>
  <si>
    <t>Cri</t>
  </si>
  <si>
    <t>So</t>
  </si>
  <si>
    <t>Invo</t>
  </si>
  <si>
    <t>PO</t>
  </si>
  <si>
    <t>Ga PM</t>
  </si>
  <si>
    <t>Ga PA</t>
  </si>
  <si>
    <t>Anneau</t>
  </si>
  <si>
    <t>Anneau Bouftou</t>
  </si>
  <si>
    <t>Cape</t>
  </si>
  <si>
    <t>Cape Bouftou</t>
  </si>
  <si>
    <t>Anneau Test</t>
  </si>
  <si>
    <t>Cape Test</t>
  </si>
  <si>
    <t>Ceinture</t>
  </si>
  <si>
    <t>Ceinture Test</t>
  </si>
  <si>
    <t>Amulette</t>
  </si>
  <si>
    <t>Amulette Test</t>
  </si>
  <si>
    <t>Bottes</t>
  </si>
  <si>
    <t>Bottes Test</t>
  </si>
  <si>
    <t>Chapeau</t>
  </si>
  <si>
    <t>Chapeau Test</t>
  </si>
  <si>
    <t>Bouclier</t>
  </si>
  <si>
    <t>Bouclier Test</t>
  </si>
  <si>
    <t>Arc</t>
  </si>
  <si>
    <t>Arc Test</t>
  </si>
  <si>
    <t>Baguette</t>
  </si>
  <si>
    <t>Baguette Test</t>
  </si>
  <si>
    <t>Épée</t>
  </si>
  <si>
    <t>Épée Test</t>
  </si>
  <si>
    <t>Marteau</t>
  </si>
  <si>
    <t>Marteau Test</t>
  </si>
  <si>
    <t>Hache</t>
  </si>
  <si>
    <t>Hache Test</t>
  </si>
  <si>
    <t>Dague</t>
  </si>
  <si>
    <t>Dague Test</t>
  </si>
  <si>
    <t>Bâton</t>
  </si>
  <si>
    <t>Bâton Test</t>
  </si>
  <si>
    <t>Top 5 des items les plus rentables</t>
  </si>
  <si>
    <t>Statistiques générales</t>
  </si>
  <si>
    <t>Rentabilité moyenne</t>
  </si>
  <si>
    <t>Bénéfice moyen</t>
  </si>
  <si>
    <t>Coût total cumulé</t>
  </si>
  <si>
    <t>XP total cumulé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</si>
</sst>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D9D9D9"/>
        <bgColor rgb="FFCCE5FF"/>
      </patternFill>
    </fill>
    <fill>
      <patternFill patternType="solid">
        <fgColor rgb="FFB266FF"/>
        <bgColor rgb="FF6699FF"/>
      </patternFill>
    </fill>
    <fill>
      <patternFill patternType="solid">
        <fgColor rgb="FF996633"/>
        <bgColor rgb="FF8C7356"/>
      </patternFill>
    </fill>
    <fill>
      <patternFill patternType="solid">
        <fgColor rgb="FFFF6666"/>
        <bgColor rgb="FFFF4C4C"/>
      </patternFill>
    </fill>
    <fill>
      <patternFill patternType="solid">
        <fgColor rgb="FF6699FF"/>
        <bgColor rgb="FF3399FF"/>
      </patternFill>
    </fill>
    <fill>
      <patternFill patternType="solid">
        <fgColor rgb="FF66CC66"/>
        <bgColor rgb="FF66CC00"/>
      </patternFill>
    </fill>
    <fill>
      <patternFill patternType="solid">
        <fgColor rgb="FFFFCC00"/>
        <bgColor rgb="FFFFD700"/>
      </patternFill>
    </fill>
    <fill>
      <patternFill patternType="solid">
        <fgColor rgb="FF00FFFF"/>
        <bgColor rgb="FF3399FF"/>
      </patternFill>
    </fill>
    <fill>
      <patternFill patternType="solid">
        <fgColor rgb="FFFFFFFF"/>
        <bgColor rgb="FFFFFFCC"/>
      </patternFill>
    </fill>
    <fill>
      <patternFill patternType="solid">
        <fgColor rgb="FFFFD9B3"/>
        <bgColor rgb="FFFFCCCC"/>
      </patternFill>
    </fill>
    <fill>
      <patternFill patternType="solid">
        <fgColor rgb="FFCCE5FF"/>
        <bgColor rgb="FFB3D9FF"/>
      </patternFill>
    </fill>
    <fill>
      <patternFill patternType="solid">
        <fgColor rgb="FF3399FF"/>
        <bgColor rgb="FF6699FF"/>
      </patternFill>
    </fill>
    <fill>
      <patternFill patternType="solid">
        <fgColor rgb="FF66CC00"/>
        <bgColor rgb="FF66CC66"/>
      </patternFill>
    </fill>
    <fill>
      <patternFill patternType="solid">
        <fgColor rgb="FF0066CC"/>
        <bgColor rgb="FF3399FF"/>
      </patternFill>
    </fill>
    <fill>
      <patternFill patternType="solid">
        <fgColor rgb="FF339900"/>
        <bgColor rgb="FF00CC00"/>
      </patternFill>
    </fill>
    <fill>
      <patternFill patternType="solid">
        <fgColor rgb="FFC2B280"/>
        <bgColor rgb="FFA6A6A6"/>
      </patternFill>
    </fill>
    <fill>
      <patternFill patternType="solid">
        <fgColor rgb="FFFF9999"/>
        <bgColor rgb="FFFFB2B2"/>
      </patternFill>
    </fill>
    <fill>
      <patternFill patternType="solid">
        <fgColor rgb="FF99FF99"/>
        <bgColor rgb="FF99FFCC"/>
      </patternFill>
    </fill>
    <fill>
      <patternFill patternType="solid">
        <fgColor rgb="FFFFFF99"/>
        <bgColor rgb="FFFFFFCC"/>
      </patternFill>
    </fill>
    <fill>
      <patternFill patternType="solid">
        <fgColor rgb="FFE0B3FF"/>
        <bgColor rgb="FFF3D1FF"/>
      </patternFill>
    </fill>
    <fill>
      <patternFill patternType="solid">
        <fgColor rgb="FFBFBFBF"/>
        <bgColor rgb="FFC2B280"/>
      </patternFill>
    </fill>
    <fill>
      <patternFill patternType="solid">
        <fgColor rgb="FFA68A64"/>
        <bgColor rgb="FF8C7356"/>
      </patternFill>
    </fill>
    <fill>
      <patternFill patternType="solid">
        <fgColor rgb="FFFFCCCC"/>
        <bgColor rgb="FFFFD9B3"/>
      </patternFill>
    </fill>
    <fill>
      <patternFill patternType="solid">
        <fgColor rgb="FF99CCFF"/>
        <bgColor rgb="FFB3D9FF"/>
      </patternFill>
    </fill>
    <fill>
      <patternFill patternType="solid">
        <fgColor rgb="FFCCFFCC"/>
        <bgColor rgb="FFBFFFBF"/>
      </patternFill>
    </fill>
    <fill>
      <patternFill patternType="solid">
        <fgColor rgb="FFF3D1FF"/>
        <bgColor rgb="FFFFCCCC"/>
      </patternFill>
    </fill>
    <fill>
      <patternFill patternType="solid">
        <fgColor rgb="FFFFFFCC"/>
        <bgColor rgb="FFFFFFFF"/>
      </patternFill>
    </fill>
    <fill>
      <patternFill patternType="solid">
        <fgColor rgb="FFA6A6A6"/>
        <bgColor rgb="FFC2B280"/>
      </patternFill>
    </fill>
    <fill>
      <patternFill patternType="solid">
        <fgColor rgb="FF8C7356"/>
        <bgColor rgb="FF996633"/>
      </patternFill>
    </fill>
    <fill>
      <patternFill patternType="solid">
        <fgColor rgb="FFFFB2B2"/>
        <bgColor rgb="FFFF9999"/>
      </patternFill>
    </fill>
    <fill>
      <patternFill patternType="solid">
        <fgColor rgb="FFB3D9FF"/>
        <bgColor rgb="FFCCE5FF"/>
      </patternFill>
    </fill>
    <fill>
      <patternFill patternType="solid">
        <fgColor rgb="FFBFFFBF"/>
        <bgColor rgb="FFCCFFCC"/>
      </patternFill>
    </fill>
    <fill>
      <patternFill patternType="solid">
        <fgColor rgb="FF333333"/>
        <bgColor rgb="FF333300"/>
      </patternFill>
    </fill>
    <fill>
      <patternFill patternType="solid">
        <fgColor rgb="FFFFD700"/>
        <bgColor rgb="FFFFCC00"/>
      </patternFill>
    </fill>
    <fill>
      <patternFill patternType="solid">
        <fgColor rgb="FFFF4C4C"/>
        <bgColor rgb="FFFF6666"/>
      </patternFill>
    </fill>
    <fill>
      <patternFill patternType="solid">
        <fgColor rgb="FF99FFCC"/>
        <bgColor rgb="FF99FF99"/>
      </patternFill>
    </fill>
    <fill>
      <patternFill patternType="solid">
        <fgColor rgb="FF006600"/>
        <bgColor rgb="FF003300"/>
      </patternFill>
    </fill>
    <fill>
      <patternFill patternType="solid">
        <fgColor rgb="FF00CC00"/>
        <bgColor rgb="FF339900"/>
      </patternFill>
    </fill>
    <fill>
      <patternFill patternType="solid">
        <fgColor rgb="FFFFFF00"/>
        <bgColor rgb="FFFFD7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6600"/>
      <rgbColor rgb="FF000080"/>
      <rgbColor rgb="FF996633"/>
      <rgbColor rgb="FF800080"/>
      <rgbColor rgb="FFD9D9D9"/>
      <rgbColor rgb="FFBFBFBF"/>
      <rgbColor rgb="FF8C7356"/>
      <rgbColor rgb="FF6699FF"/>
      <rgbColor rgb="FFB266FF"/>
      <rgbColor rgb="FFFFFFCC"/>
      <rgbColor rgb="FFCCE5FF"/>
      <rgbColor rgb="FF660066"/>
      <rgbColor rgb="FFFF6666"/>
      <rgbColor rgb="FF0066CC"/>
      <rgbColor rgb="FFB3D9FF"/>
      <rgbColor rgb="FF000080"/>
      <rgbColor rgb="FFFF00FF"/>
      <rgbColor rgb="FFFFD700"/>
      <rgbColor rgb="FF99FFCC"/>
      <rgbColor rgb="FF800080"/>
      <rgbColor rgb="FF800000"/>
      <rgbColor rgb="FFF3D1FF"/>
      <rgbColor rgb="FF0000FF"/>
      <rgbColor rgb="FF99FF99"/>
      <rgbColor rgb="FFBFFFBF"/>
      <rgbColor rgb="FFCCFFCC"/>
      <rgbColor rgb="FFFFFF99"/>
      <rgbColor rgb="FF99CCFF"/>
      <rgbColor rgb="FFFF9999"/>
      <rgbColor rgb="FFE0B3FF"/>
      <rgbColor rgb="FFFFD9B3"/>
      <rgbColor rgb="FF3399FF"/>
      <rgbColor rgb="FF66CC66"/>
      <rgbColor rgb="FF66CC00"/>
      <rgbColor rgb="FFFFCC00"/>
      <rgbColor rgb="FFC2B280"/>
      <rgbColor rgb="FFFF4C4C"/>
      <rgbColor rgb="FFA68A64"/>
      <rgbColor rgb="FFA6A6A6"/>
      <rgbColor rgb="FF003366"/>
      <rgbColor rgb="FF339900"/>
      <rgbColor rgb="FF003300"/>
      <rgbColor rgb="FF333300"/>
      <rgbColor rgb="FFFFCCCC"/>
      <rgbColor rgb="FFFFB2B2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0"/>
  <sheetViews>
    <sheetView tabSelected="1" zoomScaleNormal="100" workbookViewId="0">
      <pane ySplit="2" topLeftCell="A3" activePane="bottomLeft" state="frozen"/>
      <selection pane="bottomLeft" activeCell="G2" sqref="G2"/>
    </sheetView>
  </sheetViews>
  <sheetFormatPr baseColWidth="10" defaultColWidth="8.5546875" defaultRowHeight="14.4" x14ac:dyDescent="0.3"/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K2" s="3"/>
      <c r="P2" s="4">
        <v>28</v>
      </c>
      <c r="Q2" s="5">
        <v>22</v>
      </c>
      <c r="R2" s="6">
        <v>100</v>
      </c>
      <c r="S2" s="7">
        <v>18</v>
      </c>
      <c r="T2" s="8">
        <v>35</v>
      </c>
      <c r="U2" s="9">
        <v>22</v>
      </c>
      <c r="V2" s="10">
        <v>100</v>
      </c>
      <c r="W2" s="11">
        <v>18</v>
      </c>
      <c r="X2" s="12">
        <v>80</v>
      </c>
      <c r="Y2" s="13">
        <v>1100</v>
      </c>
      <c r="Z2" s="14">
        <v>200</v>
      </c>
      <c r="AA2" s="15">
        <v>100</v>
      </c>
      <c r="AB2" s="16">
        <v>32</v>
      </c>
      <c r="AC2" s="17">
        <v>1700</v>
      </c>
      <c r="AD2" s="18">
        <v>850</v>
      </c>
      <c r="AE2" s="4">
        <v>200</v>
      </c>
      <c r="AF2" s="19">
        <v>400</v>
      </c>
      <c r="AG2" s="20">
        <v>70</v>
      </c>
      <c r="AH2" s="15">
        <v>300</v>
      </c>
      <c r="AI2" s="21">
        <v>450</v>
      </c>
      <c r="AJ2" s="22">
        <v>1100</v>
      </c>
      <c r="AK2" s="23">
        <v>500</v>
      </c>
      <c r="AL2" s="24">
        <v>60</v>
      </c>
      <c r="AM2" s="25">
        <v>600</v>
      </c>
      <c r="AN2" s="26">
        <v>20</v>
      </c>
      <c r="AO2" s="27">
        <v>60</v>
      </c>
      <c r="AP2" s="28">
        <v>20</v>
      </c>
      <c r="AQ2" s="29">
        <v>100</v>
      </c>
      <c r="AR2" s="30">
        <v>900</v>
      </c>
      <c r="AS2" s="31">
        <v>1300</v>
      </c>
      <c r="AT2" s="32">
        <v>2500</v>
      </c>
      <c r="AU2" s="33">
        <v>900</v>
      </c>
      <c r="AV2" s="34">
        <v>1200</v>
      </c>
      <c r="AW2" s="35">
        <v>1500</v>
      </c>
      <c r="AX2" s="36">
        <v>110</v>
      </c>
      <c r="AY2" s="37">
        <v>130</v>
      </c>
      <c r="AZ2" s="38">
        <v>50</v>
      </c>
      <c r="BA2" s="39">
        <v>600</v>
      </c>
      <c r="BB2" s="40">
        <v>5500</v>
      </c>
      <c r="BC2" s="41">
        <v>70000</v>
      </c>
      <c r="BD2" s="42">
        <v>90000</v>
      </c>
    </row>
    <row r="3" spans="1:56" x14ac:dyDescent="0.3">
      <c r="A3" t="s">
        <v>56</v>
      </c>
      <c r="B3" t="s">
        <v>57</v>
      </c>
      <c r="C3">
        <v>4</v>
      </c>
      <c r="D3">
        <f t="shared" ref="D3:D34" si="0">IF(C3=2,15,IF(C3=3,37,IF(C3=4,75,IF(C3=5,150,IF(C3=6,375,IF(C3=7,750,0))))))</f>
        <v>75</v>
      </c>
      <c r="E3">
        <v>120</v>
      </c>
      <c r="F3">
        <v>28000</v>
      </c>
      <c r="G3">
        <f t="shared" ref="G3:G34" si="1">P3*28+Q3*22+R3*100+S3*18+T3*35+U3*22+V3*100+W3*18+X3*80+Y3*1100+Z3*200+AA3*100+AB3*32+AC3*1700+AD3*850+AE3*200+AF3*400+AG3*70+AH3*300+AI3*450+AJ3*1100+AK3*500+AL3*60+AM3*600+AN3*20+AO3*60+AP3*20+AQ3*100+AR3*900+AS3*1300+AT3*2500+AU3*900+AV3*1200+AW3*1500+AX3*110+AY3*130+AZ3*50+BA3*600+BB3*5500+BC3*70000+BD3*90000</f>
        <v>15606</v>
      </c>
      <c r="H3">
        <f t="shared" ref="H3:H34" si="2">G3-F3</f>
        <v>-12394</v>
      </c>
      <c r="I3">
        <f t="shared" ref="I3:I34" si="3">IF(F3=0,"",G3/F3)</f>
        <v>0.55735714285714288</v>
      </c>
      <c r="J3">
        <f t="shared" ref="J3:J34" si="4">IF(G3=0,"",E3*F3/G3)</f>
        <v>215.30180699730872</v>
      </c>
      <c r="K3" s="3">
        <v>10</v>
      </c>
      <c r="L3">
        <f t="shared" ref="L3:L34" si="5">D3*K3</f>
        <v>750</v>
      </c>
      <c r="M3">
        <f t="shared" ref="M3:M34" si="6">F3*K3</f>
        <v>280000</v>
      </c>
      <c r="N3">
        <f t="shared" ref="N3:N34" si="7">H3*K3</f>
        <v>-123940</v>
      </c>
      <c r="O3">
        <f t="shared" ref="O3:O34" si="8">G3*K3</f>
        <v>156060</v>
      </c>
      <c r="P3" s="4">
        <v>3</v>
      </c>
      <c r="Q3" s="5">
        <v>1</v>
      </c>
      <c r="R3" s="6">
        <v>5</v>
      </c>
      <c r="S3" s="7">
        <v>2</v>
      </c>
      <c r="T3" s="8">
        <v>4</v>
      </c>
      <c r="U3" s="9">
        <v>1</v>
      </c>
      <c r="V3" s="10">
        <v>2</v>
      </c>
      <c r="W3" s="11">
        <v>0</v>
      </c>
      <c r="X3" s="12">
        <v>3</v>
      </c>
      <c r="Y3" s="13">
        <v>1</v>
      </c>
      <c r="Z3" s="14">
        <v>0</v>
      </c>
      <c r="AA3" s="15">
        <v>2</v>
      </c>
      <c r="AB3" s="16">
        <v>1</v>
      </c>
      <c r="AC3" s="17">
        <v>0</v>
      </c>
      <c r="AD3" s="18">
        <v>0</v>
      </c>
      <c r="AE3" s="4">
        <v>2</v>
      </c>
      <c r="AF3" s="19">
        <v>1</v>
      </c>
      <c r="AG3" s="20">
        <v>0</v>
      </c>
      <c r="AH3" s="15">
        <v>0</v>
      </c>
      <c r="AI3" s="21">
        <v>0</v>
      </c>
      <c r="AJ3" s="22">
        <v>2</v>
      </c>
      <c r="AK3" s="23">
        <v>1</v>
      </c>
      <c r="AL3" s="24">
        <v>1</v>
      </c>
      <c r="AM3" s="25">
        <v>2</v>
      </c>
      <c r="AN3" s="26">
        <v>0</v>
      </c>
      <c r="AO3" s="27">
        <v>1</v>
      </c>
      <c r="AP3" s="28">
        <v>1</v>
      </c>
      <c r="AQ3" s="29">
        <v>1</v>
      </c>
      <c r="AR3" s="30">
        <v>0</v>
      </c>
      <c r="AS3" s="31">
        <v>2</v>
      </c>
      <c r="AT3" s="32">
        <v>1</v>
      </c>
      <c r="AU3" s="33">
        <v>0</v>
      </c>
      <c r="AV3" s="34">
        <v>1</v>
      </c>
      <c r="AW3" s="35">
        <v>1</v>
      </c>
      <c r="AX3" s="36">
        <v>1</v>
      </c>
      <c r="AY3" s="37">
        <v>1</v>
      </c>
      <c r="AZ3" s="38">
        <v>1</v>
      </c>
      <c r="BA3" s="39">
        <v>0</v>
      </c>
      <c r="BB3" s="40">
        <v>0</v>
      </c>
      <c r="BC3" s="41">
        <v>0</v>
      </c>
      <c r="BD3" s="42">
        <v>0</v>
      </c>
    </row>
    <row r="4" spans="1:56" x14ac:dyDescent="0.3">
      <c r="A4" t="s">
        <v>58</v>
      </c>
      <c r="B4" t="s">
        <v>59</v>
      </c>
      <c r="C4">
        <v>5</v>
      </c>
      <c r="D4">
        <f t="shared" si="0"/>
        <v>150</v>
      </c>
      <c r="E4">
        <v>300</v>
      </c>
      <c r="F4">
        <v>35000</v>
      </c>
      <c r="G4">
        <f t="shared" si="1"/>
        <v>5911</v>
      </c>
      <c r="H4">
        <f t="shared" si="2"/>
        <v>-29089</v>
      </c>
      <c r="I4">
        <f t="shared" si="3"/>
        <v>0.16888571428571428</v>
      </c>
      <c r="J4">
        <f t="shared" si="4"/>
        <v>1776.3491794958552</v>
      </c>
      <c r="K4" s="3">
        <v>5</v>
      </c>
      <c r="L4">
        <f t="shared" si="5"/>
        <v>750</v>
      </c>
      <c r="M4">
        <f t="shared" si="6"/>
        <v>175000</v>
      </c>
      <c r="N4">
        <f t="shared" si="7"/>
        <v>-145445</v>
      </c>
      <c r="O4">
        <f t="shared" si="8"/>
        <v>29555</v>
      </c>
      <c r="P4" s="4">
        <v>1</v>
      </c>
      <c r="Q4" s="5">
        <v>0</v>
      </c>
      <c r="R4" s="6">
        <v>2</v>
      </c>
      <c r="S4" s="7">
        <v>1</v>
      </c>
      <c r="T4" s="8">
        <v>1</v>
      </c>
      <c r="U4" s="9">
        <v>0</v>
      </c>
      <c r="V4" s="10">
        <v>1</v>
      </c>
      <c r="W4" s="11">
        <v>0</v>
      </c>
      <c r="X4" s="12">
        <v>2</v>
      </c>
      <c r="Y4" s="13">
        <v>0</v>
      </c>
      <c r="Z4" s="14">
        <v>0</v>
      </c>
      <c r="AA4" s="15">
        <v>1</v>
      </c>
      <c r="AB4" s="16">
        <v>0</v>
      </c>
      <c r="AC4" s="17">
        <v>0</v>
      </c>
      <c r="AD4" s="18">
        <v>0</v>
      </c>
      <c r="AE4" s="4">
        <v>1</v>
      </c>
      <c r="AF4" s="19">
        <v>1</v>
      </c>
      <c r="AG4" s="20">
        <v>0</v>
      </c>
      <c r="AH4" s="15">
        <v>1</v>
      </c>
      <c r="AI4" s="21">
        <v>1</v>
      </c>
      <c r="AJ4" s="22">
        <v>1</v>
      </c>
      <c r="AK4" s="23">
        <v>0</v>
      </c>
      <c r="AL4" s="24">
        <v>0</v>
      </c>
      <c r="AM4" s="25">
        <v>1</v>
      </c>
      <c r="AN4" s="26">
        <v>1</v>
      </c>
      <c r="AO4" s="27">
        <v>0</v>
      </c>
      <c r="AP4" s="28">
        <v>0</v>
      </c>
      <c r="AQ4" s="29">
        <v>0</v>
      </c>
      <c r="AR4" s="30">
        <v>0</v>
      </c>
      <c r="AS4" s="31">
        <v>1</v>
      </c>
      <c r="AT4" s="32">
        <v>0</v>
      </c>
      <c r="AU4" s="33">
        <v>1</v>
      </c>
      <c r="AV4" s="34">
        <v>0</v>
      </c>
      <c r="AW4" s="35">
        <v>0</v>
      </c>
      <c r="AX4" s="36">
        <v>0</v>
      </c>
      <c r="AY4" s="37">
        <v>0</v>
      </c>
      <c r="AZ4" s="38">
        <v>0</v>
      </c>
      <c r="BA4" s="39">
        <v>0</v>
      </c>
      <c r="BB4" s="40">
        <v>0</v>
      </c>
      <c r="BC4" s="41">
        <v>0</v>
      </c>
      <c r="BD4" s="42">
        <v>0</v>
      </c>
    </row>
    <row r="5" spans="1:56" x14ac:dyDescent="0.3">
      <c r="A5" t="s">
        <v>56</v>
      </c>
      <c r="B5" t="s">
        <v>60</v>
      </c>
      <c r="C5">
        <v>4</v>
      </c>
      <c r="D5">
        <f t="shared" si="0"/>
        <v>75</v>
      </c>
      <c r="E5">
        <v>200</v>
      </c>
      <c r="F5">
        <v>30000</v>
      </c>
      <c r="G5">
        <f t="shared" si="1"/>
        <v>780</v>
      </c>
      <c r="H5">
        <f t="shared" si="2"/>
        <v>-29220</v>
      </c>
      <c r="I5">
        <f t="shared" si="3"/>
        <v>2.5999999999999999E-2</v>
      </c>
      <c r="J5">
        <f t="shared" si="4"/>
        <v>7692.3076923076924</v>
      </c>
      <c r="K5" s="3">
        <v>5</v>
      </c>
      <c r="L5">
        <f t="shared" si="5"/>
        <v>375</v>
      </c>
      <c r="M5">
        <f t="shared" si="6"/>
        <v>150000</v>
      </c>
      <c r="N5">
        <f t="shared" si="7"/>
        <v>-146100</v>
      </c>
      <c r="O5">
        <f t="shared" si="8"/>
        <v>3900</v>
      </c>
      <c r="P5" s="4">
        <v>10</v>
      </c>
      <c r="Q5" s="5"/>
      <c r="R5" s="6">
        <v>3</v>
      </c>
      <c r="S5" s="7"/>
      <c r="T5" s="8"/>
      <c r="U5" s="9"/>
      <c r="V5" s="10">
        <v>2</v>
      </c>
      <c r="W5" s="11"/>
      <c r="X5" s="12"/>
      <c r="Y5" s="13"/>
      <c r="Z5" s="14"/>
      <c r="AA5" s="15"/>
      <c r="AB5" s="16"/>
      <c r="AC5" s="17"/>
      <c r="AD5" s="18"/>
      <c r="AE5" s="4"/>
      <c r="AF5" s="19"/>
      <c r="AG5" s="20"/>
      <c r="AH5" s="15"/>
      <c r="AI5" s="21"/>
      <c r="AJ5" s="22"/>
      <c r="AK5" s="23"/>
      <c r="AL5" s="24"/>
      <c r="AM5" s="25"/>
      <c r="AN5" s="26"/>
      <c r="AO5" s="27"/>
      <c r="AP5" s="28"/>
      <c r="AQ5" s="29"/>
      <c r="AR5" s="30"/>
      <c r="AS5" s="31"/>
      <c r="AT5" s="32"/>
      <c r="AU5" s="33"/>
      <c r="AV5" s="34"/>
      <c r="AW5" s="35"/>
      <c r="AX5" s="36"/>
      <c r="AY5" s="37"/>
      <c r="AZ5" s="38"/>
      <c r="BA5" s="39"/>
      <c r="BB5" s="40"/>
      <c r="BC5" s="41"/>
      <c r="BD5" s="42"/>
    </row>
    <row r="6" spans="1:56" x14ac:dyDescent="0.3">
      <c r="A6" t="s">
        <v>58</v>
      </c>
      <c r="B6" t="s">
        <v>61</v>
      </c>
      <c r="C6">
        <v>4</v>
      </c>
      <c r="D6">
        <f t="shared" si="0"/>
        <v>75</v>
      </c>
      <c r="E6">
        <v>200</v>
      </c>
      <c r="F6">
        <v>30000</v>
      </c>
      <c r="G6">
        <f t="shared" si="1"/>
        <v>780</v>
      </c>
      <c r="H6">
        <f t="shared" si="2"/>
        <v>-29220</v>
      </c>
      <c r="I6">
        <f t="shared" si="3"/>
        <v>2.5999999999999999E-2</v>
      </c>
      <c r="J6">
        <f t="shared" si="4"/>
        <v>7692.3076923076924</v>
      </c>
      <c r="K6" s="3">
        <v>5</v>
      </c>
      <c r="L6">
        <f t="shared" si="5"/>
        <v>375</v>
      </c>
      <c r="M6">
        <f t="shared" si="6"/>
        <v>150000</v>
      </c>
      <c r="N6">
        <f t="shared" si="7"/>
        <v>-146100</v>
      </c>
      <c r="O6">
        <f t="shared" si="8"/>
        <v>3900</v>
      </c>
      <c r="P6" s="4">
        <v>10</v>
      </c>
      <c r="Q6" s="5"/>
      <c r="R6" s="6">
        <v>3</v>
      </c>
      <c r="S6" s="7"/>
      <c r="T6" s="8"/>
      <c r="U6" s="9"/>
      <c r="V6" s="10">
        <v>2</v>
      </c>
      <c r="W6" s="11"/>
      <c r="X6" s="12"/>
      <c r="Y6" s="13"/>
      <c r="Z6" s="14"/>
      <c r="AA6" s="15"/>
      <c r="AB6" s="16"/>
      <c r="AC6" s="17"/>
      <c r="AD6" s="18"/>
      <c r="AE6" s="4"/>
      <c r="AF6" s="19"/>
      <c r="AG6" s="20"/>
      <c r="AH6" s="15"/>
      <c r="AI6" s="21"/>
      <c r="AJ6" s="22"/>
      <c r="AK6" s="23"/>
      <c r="AL6" s="24"/>
      <c r="AM6" s="25"/>
      <c r="AN6" s="26"/>
      <c r="AO6" s="27"/>
      <c r="AP6" s="28"/>
      <c r="AQ6" s="29"/>
      <c r="AR6" s="30"/>
      <c r="AS6" s="31"/>
      <c r="AT6" s="32"/>
      <c r="AU6" s="33"/>
      <c r="AV6" s="34"/>
      <c r="AW6" s="35"/>
      <c r="AX6" s="36"/>
      <c r="AY6" s="37"/>
      <c r="AZ6" s="38"/>
      <c r="BA6" s="39"/>
      <c r="BB6" s="40"/>
      <c r="BC6" s="41"/>
      <c r="BD6" s="42"/>
    </row>
    <row r="7" spans="1:56" x14ac:dyDescent="0.3">
      <c r="A7" t="s">
        <v>62</v>
      </c>
      <c r="B7" t="s">
        <v>63</v>
      </c>
      <c r="C7">
        <v>4</v>
      </c>
      <c r="D7">
        <f t="shared" si="0"/>
        <v>75</v>
      </c>
      <c r="E7">
        <v>200</v>
      </c>
      <c r="F7">
        <v>30000</v>
      </c>
      <c r="G7">
        <f t="shared" si="1"/>
        <v>780</v>
      </c>
      <c r="H7">
        <f t="shared" si="2"/>
        <v>-29220</v>
      </c>
      <c r="I7">
        <f t="shared" si="3"/>
        <v>2.5999999999999999E-2</v>
      </c>
      <c r="J7">
        <f t="shared" si="4"/>
        <v>7692.3076923076924</v>
      </c>
      <c r="K7" s="3">
        <v>5</v>
      </c>
      <c r="L7">
        <f t="shared" si="5"/>
        <v>375</v>
      </c>
      <c r="M7">
        <f t="shared" si="6"/>
        <v>150000</v>
      </c>
      <c r="N7">
        <f t="shared" si="7"/>
        <v>-146100</v>
      </c>
      <c r="O7">
        <f t="shared" si="8"/>
        <v>3900</v>
      </c>
      <c r="P7" s="4">
        <v>10</v>
      </c>
      <c r="Q7" s="5"/>
      <c r="R7" s="6">
        <v>3</v>
      </c>
      <c r="S7" s="7"/>
      <c r="T7" s="8"/>
      <c r="U7" s="9"/>
      <c r="V7" s="10">
        <v>2</v>
      </c>
      <c r="W7" s="11"/>
      <c r="X7" s="12"/>
      <c r="Y7" s="13"/>
      <c r="Z7" s="14"/>
      <c r="AA7" s="15"/>
      <c r="AB7" s="16"/>
      <c r="AC7" s="17"/>
      <c r="AD7" s="18"/>
      <c r="AE7" s="4"/>
      <c r="AF7" s="19"/>
      <c r="AG7" s="20"/>
      <c r="AH7" s="15"/>
      <c r="AI7" s="21"/>
      <c r="AJ7" s="22"/>
      <c r="AK7" s="23"/>
      <c r="AL7" s="24"/>
      <c r="AM7" s="25"/>
      <c r="AN7" s="26"/>
      <c r="AO7" s="27"/>
      <c r="AP7" s="28"/>
      <c r="AQ7" s="29"/>
      <c r="AR7" s="30"/>
      <c r="AS7" s="31"/>
      <c r="AT7" s="32"/>
      <c r="AU7" s="33"/>
      <c r="AV7" s="34"/>
      <c r="AW7" s="35"/>
      <c r="AX7" s="36"/>
      <c r="AY7" s="37"/>
      <c r="AZ7" s="38"/>
      <c r="BA7" s="39"/>
      <c r="BB7" s="40"/>
      <c r="BC7" s="41"/>
      <c r="BD7" s="42"/>
    </row>
    <row r="8" spans="1:56" x14ac:dyDescent="0.3">
      <c r="A8" t="s">
        <v>64</v>
      </c>
      <c r="B8" t="s">
        <v>65</v>
      </c>
      <c r="C8">
        <v>4</v>
      </c>
      <c r="D8">
        <f t="shared" si="0"/>
        <v>75</v>
      </c>
      <c r="E8">
        <v>200</v>
      </c>
      <c r="F8">
        <v>30000</v>
      </c>
      <c r="G8">
        <f t="shared" si="1"/>
        <v>780</v>
      </c>
      <c r="H8">
        <f t="shared" si="2"/>
        <v>-29220</v>
      </c>
      <c r="I8">
        <f t="shared" si="3"/>
        <v>2.5999999999999999E-2</v>
      </c>
      <c r="J8">
        <f t="shared" si="4"/>
        <v>7692.3076923076924</v>
      </c>
      <c r="K8" s="3">
        <v>5</v>
      </c>
      <c r="L8">
        <f t="shared" si="5"/>
        <v>375</v>
      </c>
      <c r="M8">
        <f t="shared" si="6"/>
        <v>150000</v>
      </c>
      <c r="N8">
        <f t="shared" si="7"/>
        <v>-146100</v>
      </c>
      <c r="O8">
        <f t="shared" si="8"/>
        <v>3900</v>
      </c>
      <c r="P8" s="4">
        <v>10</v>
      </c>
      <c r="Q8" s="5"/>
      <c r="R8" s="6">
        <v>3</v>
      </c>
      <c r="S8" s="7"/>
      <c r="T8" s="8"/>
      <c r="U8" s="9"/>
      <c r="V8" s="10">
        <v>2</v>
      </c>
      <c r="W8" s="11"/>
      <c r="X8" s="12"/>
      <c r="Y8" s="13"/>
      <c r="Z8" s="14"/>
      <c r="AA8" s="15"/>
      <c r="AB8" s="16"/>
      <c r="AC8" s="17"/>
      <c r="AD8" s="18"/>
      <c r="AE8" s="4"/>
      <c r="AF8" s="19"/>
      <c r="AG8" s="20"/>
      <c r="AH8" s="15"/>
      <c r="AI8" s="21"/>
      <c r="AJ8" s="22"/>
      <c r="AK8" s="23"/>
      <c r="AL8" s="24"/>
      <c r="AM8" s="25"/>
      <c r="AN8" s="26"/>
      <c r="AO8" s="27"/>
      <c r="AP8" s="28"/>
      <c r="AQ8" s="29"/>
      <c r="AR8" s="30"/>
      <c r="AS8" s="31"/>
      <c r="AT8" s="32"/>
      <c r="AU8" s="33"/>
      <c r="AV8" s="34"/>
      <c r="AW8" s="35"/>
      <c r="AX8" s="36"/>
      <c r="AY8" s="37"/>
      <c r="AZ8" s="38"/>
      <c r="BA8" s="39"/>
      <c r="BB8" s="40"/>
      <c r="BC8" s="41"/>
      <c r="BD8" s="42"/>
    </row>
    <row r="9" spans="1:56" x14ac:dyDescent="0.3">
      <c r="A9" t="s">
        <v>66</v>
      </c>
      <c r="B9" t="s">
        <v>67</v>
      </c>
      <c r="C9">
        <v>4</v>
      </c>
      <c r="D9">
        <f t="shared" si="0"/>
        <v>75</v>
      </c>
      <c r="E9">
        <v>200</v>
      </c>
      <c r="F9">
        <v>30000</v>
      </c>
      <c r="G9">
        <f t="shared" si="1"/>
        <v>780</v>
      </c>
      <c r="H9">
        <f t="shared" si="2"/>
        <v>-29220</v>
      </c>
      <c r="I9">
        <f t="shared" si="3"/>
        <v>2.5999999999999999E-2</v>
      </c>
      <c r="J9">
        <f t="shared" si="4"/>
        <v>7692.3076923076924</v>
      </c>
      <c r="K9" s="3">
        <v>5</v>
      </c>
      <c r="L9">
        <f t="shared" si="5"/>
        <v>375</v>
      </c>
      <c r="M9">
        <f t="shared" si="6"/>
        <v>150000</v>
      </c>
      <c r="N9">
        <f t="shared" si="7"/>
        <v>-146100</v>
      </c>
      <c r="O9">
        <f t="shared" si="8"/>
        <v>3900</v>
      </c>
      <c r="P9" s="4">
        <v>10</v>
      </c>
      <c r="Q9" s="5"/>
      <c r="R9" s="6">
        <v>3</v>
      </c>
      <c r="S9" s="7"/>
      <c r="T9" s="8"/>
      <c r="U9" s="9"/>
      <c r="V9" s="10">
        <v>2</v>
      </c>
      <c r="W9" s="11"/>
      <c r="X9" s="12"/>
      <c r="Y9" s="13"/>
      <c r="Z9" s="14"/>
      <c r="AA9" s="15"/>
      <c r="AB9" s="16"/>
      <c r="AC9" s="17"/>
      <c r="AD9" s="18"/>
      <c r="AE9" s="4"/>
      <c r="AF9" s="19"/>
      <c r="AG9" s="20"/>
      <c r="AH9" s="15"/>
      <c r="AI9" s="21"/>
      <c r="AJ9" s="22"/>
      <c r="AK9" s="23"/>
      <c r="AL9" s="24"/>
      <c r="AM9" s="25"/>
      <c r="AN9" s="26"/>
      <c r="AO9" s="27"/>
      <c r="AP9" s="28"/>
      <c r="AQ9" s="29"/>
      <c r="AR9" s="30"/>
      <c r="AS9" s="31"/>
      <c r="AT9" s="32"/>
      <c r="AU9" s="33"/>
      <c r="AV9" s="34"/>
      <c r="AW9" s="35"/>
      <c r="AX9" s="36"/>
      <c r="AY9" s="37"/>
      <c r="AZ9" s="38"/>
      <c r="BA9" s="39"/>
      <c r="BB9" s="40"/>
      <c r="BC9" s="41"/>
      <c r="BD9" s="42"/>
    </row>
    <row r="10" spans="1:56" x14ac:dyDescent="0.3">
      <c r="A10" t="s">
        <v>68</v>
      </c>
      <c r="B10" t="s">
        <v>69</v>
      </c>
      <c r="C10">
        <v>4</v>
      </c>
      <c r="D10">
        <f t="shared" si="0"/>
        <v>75</v>
      </c>
      <c r="E10">
        <v>200</v>
      </c>
      <c r="F10">
        <v>30000</v>
      </c>
      <c r="G10">
        <f t="shared" si="1"/>
        <v>780</v>
      </c>
      <c r="H10">
        <f t="shared" si="2"/>
        <v>-29220</v>
      </c>
      <c r="I10">
        <f t="shared" si="3"/>
        <v>2.5999999999999999E-2</v>
      </c>
      <c r="J10">
        <f t="shared" si="4"/>
        <v>7692.3076923076924</v>
      </c>
      <c r="K10" s="3">
        <v>5</v>
      </c>
      <c r="L10">
        <f t="shared" si="5"/>
        <v>375</v>
      </c>
      <c r="M10">
        <f t="shared" si="6"/>
        <v>150000</v>
      </c>
      <c r="N10">
        <f t="shared" si="7"/>
        <v>-146100</v>
      </c>
      <c r="O10">
        <f t="shared" si="8"/>
        <v>3900</v>
      </c>
      <c r="P10" s="4">
        <v>10</v>
      </c>
      <c r="Q10" s="5"/>
      <c r="R10" s="6">
        <v>3</v>
      </c>
      <c r="S10" s="7"/>
      <c r="T10" s="8"/>
      <c r="U10" s="9"/>
      <c r="V10" s="10">
        <v>2</v>
      </c>
      <c r="W10" s="11"/>
      <c r="X10" s="12"/>
      <c r="Y10" s="13"/>
      <c r="Z10" s="14"/>
      <c r="AA10" s="15"/>
      <c r="AB10" s="16"/>
      <c r="AC10" s="17"/>
      <c r="AD10" s="18"/>
      <c r="AE10" s="4"/>
      <c r="AF10" s="19"/>
      <c r="AG10" s="20"/>
      <c r="AH10" s="15"/>
      <c r="AI10" s="21"/>
      <c r="AJ10" s="22"/>
      <c r="AK10" s="23"/>
      <c r="AL10" s="24"/>
      <c r="AM10" s="25"/>
      <c r="AN10" s="26"/>
      <c r="AO10" s="27"/>
      <c r="AP10" s="28"/>
      <c r="AQ10" s="29"/>
      <c r="AR10" s="30"/>
      <c r="AS10" s="31"/>
      <c r="AT10" s="32"/>
      <c r="AU10" s="33"/>
      <c r="AV10" s="34"/>
      <c r="AW10" s="35"/>
      <c r="AX10" s="36"/>
      <c r="AY10" s="37"/>
      <c r="AZ10" s="38"/>
      <c r="BA10" s="39"/>
      <c r="BB10" s="40"/>
      <c r="BC10" s="41"/>
      <c r="BD10" s="42"/>
    </row>
    <row r="11" spans="1:56" x14ac:dyDescent="0.3">
      <c r="A11" t="s">
        <v>70</v>
      </c>
      <c r="B11" t="s">
        <v>71</v>
      </c>
      <c r="C11">
        <v>4</v>
      </c>
      <c r="D11">
        <f t="shared" si="0"/>
        <v>75</v>
      </c>
      <c r="E11">
        <v>200</v>
      </c>
      <c r="F11">
        <v>30000</v>
      </c>
      <c r="G11">
        <f t="shared" si="1"/>
        <v>780</v>
      </c>
      <c r="H11">
        <f t="shared" si="2"/>
        <v>-29220</v>
      </c>
      <c r="I11">
        <f t="shared" si="3"/>
        <v>2.5999999999999999E-2</v>
      </c>
      <c r="J11">
        <f t="shared" si="4"/>
        <v>7692.3076923076924</v>
      </c>
      <c r="K11" s="3">
        <v>5</v>
      </c>
      <c r="L11">
        <f t="shared" si="5"/>
        <v>375</v>
      </c>
      <c r="M11">
        <f t="shared" si="6"/>
        <v>150000</v>
      </c>
      <c r="N11">
        <f t="shared" si="7"/>
        <v>-146100</v>
      </c>
      <c r="O11">
        <f t="shared" si="8"/>
        <v>3900</v>
      </c>
      <c r="P11" s="4">
        <v>10</v>
      </c>
      <c r="Q11" s="5"/>
      <c r="R11" s="6">
        <v>3</v>
      </c>
      <c r="S11" s="7"/>
      <c r="T11" s="8"/>
      <c r="U11" s="9"/>
      <c r="V11" s="10">
        <v>2</v>
      </c>
      <c r="W11" s="11"/>
      <c r="X11" s="12"/>
      <c r="Y11" s="13"/>
      <c r="Z11" s="14"/>
      <c r="AA11" s="15"/>
      <c r="AB11" s="16"/>
      <c r="AC11" s="17"/>
      <c r="AD11" s="18"/>
      <c r="AE11" s="4"/>
      <c r="AF11" s="19"/>
      <c r="AG11" s="20"/>
      <c r="AH11" s="15"/>
      <c r="AI11" s="21"/>
      <c r="AJ11" s="22"/>
      <c r="AK11" s="23"/>
      <c r="AL11" s="24"/>
      <c r="AM11" s="25"/>
      <c r="AN11" s="26"/>
      <c r="AO11" s="27"/>
      <c r="AP11" s="28"/>
      <c r="AQ11" s="29"/>
      <c r="AR11" s="30"/>
      <c r="AS11" s="31"/>
      <c r="AT11" s="32"/>
      <c r="AU11" s="33"/>
      <c r="AV11" s="34"/>
      <c r="AW11" s="35"/>
      <c r="AX11" s="36"/>
      <c r="AY11" s="37"/>
      <c r="AZ11" s="38"/>
      <c r="BA11" s="39"/>
      <c r="BB11" s="40"/>
      <c r="BC11" s="41"/>
      <c r="BD11" s="42"/>
    </row>
    <row r="12" spans="1:56" x14ac:dyDescent="0.3">
      <c r="A12" t="s">
        <v>72</v>
      </c>
      <c r="B12" t="s">
        <v>73</v>
      </c>
      <c r="C12">
        <v>4</v>
      </c>
      <c r="D12">
        <f t="shared" si="0"/>
        <v>75</v>
      </c>
      <c r="E12">
        <v>200</v>
      </c>
      <c r="F12">
        <v>30000</v>
      </c>
      <c r="G12">
        <f t="shared" si="1"/>
        <v>780</v>
      </c>
      <c r="H12">
        <f t="shared" si="2"/>
        <v>-29220</v>
      </c>
      <c r="I12">
        <f t="shared" si="3"/>
        <v>2.5999999999999999E-2</v>
      </c>
      <c r="J12">
        <f t="shared" si="4"/>
        <v>7692.3076923076924</v>
      </c>
      <c r="K12" s="3">
        <v>5</v>
      </c>
      <c r="L12">
        <f t="shared" si="5"/>
        <v>375</v>
      </c>
      <c r="M12">
        <f t="shared" si="6"/>
        <v>150000</v>
      </c>
      <c r="N12">
        <f t="shared" si="7"/>
        <v>-146100</v>
      </c>
      <c r="O12">
        <f t="shared" si="8"/>
        <v>3900</v>
      </c>
      <c r="P12" s="4">
        <v>10</v>
      </c>
      <c r="Q12" s="5"/>
      <c r="R12" s="6">
        <v>3</v>
      </c>
      <c r="S12" s="7"/>
      <c r="T12" s="8"/>
      <c r="U12" s="9"/>
      <c r="V12" s="10">
        <v>2</v>
      </c>
      <c r="W12" s="11"/>
      <c r="X12" s="12"/>
      <c r="Y12" s="13"/>
      <c r="Z12" s="14"/>
      <c r="AA12" s="15"/>
      <c r="AB12" s="16"/>
      <c r="AC12" s="17"/>
      <c r="AD12" s="18"/>
      <c r="AE12" s="4"/>
      <c r="AF12" s="19"/>
      <c r="AG12" s="20"/>
      <c r="AH12" s="15"/>
      <c r="AI12" s="21"/>
      <c r="AJ12" s="22"/>
      <c r="AK12" s="23"/>
      <c r="AL12" s="24"/>
      <c r="AM12" s="25"/>
      <c r="AN12" s="26"/>
      <c r="AO12" s="27"/>
      <c r="AP12" s="28"/>
      <c r="AQ12" s="29"/>
      <c r="AR12" s="30"/>
      <c r="AS12" s="31"/>
      <c r="AT12" s="32"/>
      <c r="AU12" s="33"/>
      <c r="AV12" s="34"/>
      <c r="AW12" s="35"/>
      <c r="AX12" s="36"/>
      <c r="AY12" s="37"/>
      <c r="AZ12" s="38"/>
      <c r="BA12" s="39"/>
      <c r="BB12" s="40"/>
      <c r="BC12" s="41"/>
      <c r="BD12" s="42"/>
    </row>
    <row r="13" spans="1:56" x14ac:dyDescent="0.3">
      <c r="A13" t="s">
        <v>74</v>
      </c>
      <c r="B13" t="s">
        <v>75</v>
      </c>
      <c r="C13">
        <v>4</v>
      </c>
      <c r="D13">
        <f t="shared" si="0"/>
        <v>75</v>
      </c>
      <c r="E13">
        <v>200</v>
      </c>
      <c r="F13">
        <v>30000</v>
      </c>
      <c r="G13">
        <f t="shared" si="1"/>
        <v>780</v>
      </c>
      <c r="H13">
        <f t="shared" si="2"/>
        <v>-29220</v>
      </c>
      <c r="I13">
        <f t="shared" si="3"/>
        <v>2.5999999999999999E-2</v>
      </c>
      <c r="J13">
        <f t="shared" si="4"/>
        <v>7692.3076923076924</v>
      </c>
      <c r="K13" s="3">
        <v>5</v>
      </c>
      <c r="L13">
        <f t="shared" si="5"/>
        <v>375</v>
      </c>
      <c r="M13">
        <f t="shared" si="6"/>
        <v>150000</v>
      </c>
      <c r="N13">
        <f t="shared" si="7"/>
        <v>-146100</v>
      </c>
      <c r="O13">
        <f t="shared" si="8"/>
        <v>3900</v>
      </c>
      <c r="P13" s="4">
        <v>10</v>
      </c>
      <c r="Q13" s="5"/>
      <c r="R13" s="6">
        <v>3</v>
      </c>
      <c r="S13" s="7"/>
      <c r="T13" s="8"/>
      <c r="U13" s="9"/>
      <c r="V13" s="10">
        <v>2</v>
      </c>
      <c r="W13" s="11"/>
      <c r="X13" s="12"/>
      <c r="Y13" s="13"/>
      <c r="Z13" s="14"/>
      <c r="AA13" s="15"/>
      <c r="AB13" s="16"/>
      <c r="AC13" s="17"/>
      <c r="AD13" s="18"/>
      <c r="AE13" s="4"/>
      <c r="AF13" s="19"/>
      <c r="AG13" s="20"/>
      <c r="AH13" s="15"/>
      <c r="AI13" s="21"/>
      <c r="AJ13" s="22"/>
      <c r="AK13" s="23"/>
      <c r="AL13" s="24"/>
      <c r="AM13" s="25"/>
      <c r="AN13" s="26"/>
      <c r="AO13" s="27"/>
      <c r="AP13" s="28"/>
      <c r="AQ13" s="29"/>
      <c r="AR13" s="30"/>
      <c r="AS13" s="31"/>
      <c r="AT13" s="32"/>
      <c r="AU13" s="33"/>
      <c r="AV13" s="34"/>
      <c r="AW13" s="35"/>
      <c r="AX13" s="36"/>
      <c r="AY13" s="37"/>
      <c r="AZ13" s="38"/>
      <c r="BA13" s="39"/>
      <c r="BB13" s="40"/>
      <c r="BC13" s="41"/>
      <c r="BD13" s="42"/>
    </row>
    <row r="14" spans="1:56" x14ac:dyDescent="0.3">
      <c r="A14" t="s">
        <v>76</v>
      </c>
      <c r="B14" t="s">
        <v>77</v>
      </c>
      <c r="C14">
        <v>4</v>
      </c>
      <c r="D14">
        <f t="shared" si="0"/>
        <v>75</v>
      </c>
      <c r="E14">
        <v>200</v>
      </c>
      <c r="F14">
        <v>30000</v>
      </c>
      <c r="G14">
        <f t="shared" si="1"/>
        <v>780</v>
      </c>
      <c r="H14">
        <f t="shared" si="2"/>
        <v>-29220</v>
      </c>
      <c r="I14">
        <f t="shared" si="3"/>
        <v>2.5999999999999999E-2</v>
      </c>
      <c r="J14">
        <f t="shared" si="4"/>
        <v>7692.3076923076924</v>
      </c>
      <c r="K14" s="3">
        <v>5</v>
      </c>
      <c r="L14">
        <f t="shared" si="5"/>
        <v>375</v>
      </c>
      <c r="M14">
        <f t="shared" si="6"/>
        <v>150000</v>
      </c>
      <c r="N14">
        <f t="shared" si="7"/>
        <v>-146100</v>
      </c>
      <c r="O14">
        <f t="shared" si="8"/>
        <v>3900</v>
      </c>
      <c r="P14" s="4">
        <v>10</v>
      </c>
      <c r="Q14" s="5"/>
      <c r="R14" s="6">
        <v>3</v>
      </c>
      <c r="S14" s="7"/>
      <c r="T14" s="8"/>
      <c r="U14" s="9"/>
      <c r="V14" s="10">
        <v>2</v>
      </c>
      <c r="W14" s="11"/>
      <c r="X14" s="12"/>
      <c r="Y14" s="13"/>
      <c r="Z14" s="14"/>
      <c r="AA14" s="15"/>
      <c r="AB14" s="16"/>
      <c r="AC14" s="17"/>
      <c r="AD14" s="18"/>
      <c r="AE14" s="4"/>
      <c r="AF14" s="19"/>
      <c r="AG14" s="20"/>
      <c r="AH14" s="15"/>
      <c r="AI14" s="21"/>
      <c r="AJ14" s="22"/>
      <c r="AK14" s="23"/>
      <c r="AL14" s="24"/>
      <c r="AM14" s="25"/>
      <c r="AN14" s="26"/>
      <c r="AO14" s="27"/>
      <c r="AP14" s="28"/>
      <c r="AQ14" s="29"/>
      <c r="AR14" s="30"/>
      <c r="AS14" s="31"/>
      <c r="AT14" s="32"/>
      <c r="AU14" s="33"/>
      <c r="AV14" s="34"/>
      <c r="AW14" s="35"/>
      <c r="AX14" s="36"/>
      <c r="AY14" s="37"/>
      <c r="AZ14" s="38"/>
      <c r="BA14" s="39"/>
      <c r="BB14" s="40"/>
      <c r="BC14" s="41"/>
      <c r="BD14" s="42"/>
    </row>
    <row r="15" spans="1:56" x14ac:dyDescent="0.3">
      <c r="A15" t="s">
        <v>78</v>
      </c>
      <c r="B15" t="s">
        <v>79</v>
      </c>
      <c r="C15">
        <v>4</v>
      </c>
      <c r="D15">
        <f t="shared" si="0"/>
        <v>75</v>
      </c>
      <c r="E15">
        <v>200</v>
      </c>
      <c r="F15">
        <v>30000</v>
      </c>
      <c r="G15">
        <f t="shared" si="1"/>
        <v>780</v>
      </c>
      <c r="H15">
        <f t="shared" si="2"/>
        <v>-29220</v>
      </c>
      <c r="I15">
        <f t="shared" si="3"/>
        <v>2.5999999999999999E-2</v>
      </c>
      <c r="J15">
        <f t="shared" si="4"/>
        <v>7692.3076923076924</v>
      </c>
      <c r="K15" s="3">
        <v>5</v>
      </c>
      <c r="L15">
        <f t="shared" si="5"/>
        <v>375</v>
      </c>
      <c r="M15">
        <f t="shared" si="6"/>
        <v>150000</v>
      </c>
      <c r="N15">
        <f t="shared" si="7"/>
        <v>-146100</v>
      </c>
      <c r="O15">
        <f t="shared" si="8"/>
        <v>3900</v>
      </c>
      <c r="P15" s="4">
        <v>10</v>
      </c>
      <c r="Q15" s="5"/>
      <c r="R15" s="6">
        <v>3</v>
      </c>
      <c r="S15" s="7"/>
      <c r="T15" s="8"/>
      <c r="U15" s="9"/>
      <c r="V15" s="10">
        <v>2</v>
      </c>
      <c r="W15" s="11"/>
      <c r="X15" s="12"/>
      <c r="Y15" s="13"/>
      <c r="Z15" s="14"/>
      <c r="AA15" s="15"/>
      <c r="AB15" s="16"/>
      <c r="AC15" s="17"/>
      <c r="AD15" s="18"/>
      <c r="AE15" s="4"/>
      <c r="AF15" s="19"/>
      <c r="AG15" s="20"/>
      <c r="AH15" s="15"/>
      <c r="AI15" s="21"/>
      <c r="AJ15" s="22"/>
      <c r="AK15" s="23"/>
      <c r="AL15" s="24"/>
      <c r="AM15" s="25"/>
      <c r="AN15" s="26"/>
      <c r="AO15" s="27"/>
      <c r="AP15" s="28"/>
      <c r="AQ15" s="29"/>
      <c r="AR15" s="30"/>
      <c r="AS15" s="31"/>
      <c r="AT15" s="32"/>
      <c r="AU15" s="33"/>
      <c r="AV15" s="34"/>
      <c r="AW15" s="35"/>
      <c r="AX15" s="36"/>
      <c r="AY15" s="37"/>
      <c r="AZ15" s="38"/>
      <c r="BA15" s="39"/>
      <c r="BB15" s="40"/>
      <c r="BC15" s="41"/>
      <c r="BD15" s="42"/>
    </row>
    <row r="16" spans="1:56" x14ac:dyDescent="0.3">
      <c r="A16" t="s">
        <v>80</v>
      </c>
      <c r="B16" t="s">
        <v>81</v>
      </c>
      <c r="C16">
        <v>4</v>
      </c>
      <c r="D16">
        <f t="shared" si="0"/>
        <v>75</v>
      </c>
      <c r="E16">
        <v>200</v>
      </c>
      <c r="F16">
        <v>30000</v>
      </c>
      <c r="G16">
        <f t="shared" si="1"/>
        <v>780</v>
      </c>
      <c r="H16">
        <f t="shared" si="2"/>
        <v>-29220</v>
      </c>
      <c r="I16">
        <f t="shared" si="3"/>
        <v>2.5999999999999999E-2</v>
      </c>
      <c r="J16">
        <f t="shared" si="4"/>
        <v>7692.3076923076924</v>
      </c>
      <c r="K16" s="3">
        <v>5</v>
      </c>
      <c r="L16">
        <f t="shared" si="5"/>
        <v>375</v>
      </c>
      <c r="M16">
        <f t="shared" si="6"/>
        <v>150000</v>
      </c>
      <c r="N16">
        <f t="shared" si="7"/>
        <v>-146100</v>
      </c>
      <c r="O16">
        <f t="shared" si="8"/>
        <v>3900</v>
      </c>
      <c r="P16" s="4">
        <v>10</v>
      </c>
      <c r="Q16" s="5"/>
      <c r="R16" s="6">
        <v>3</v>
      </c>
      <c r="S16" s="7"/>
      <c r="T16" s="8"/>
      <c r="U16" s="9"/>
      <c r="V16" s="10">
        <v>2</v>
      </c>
      <c r="W16" s="11"/>
      <c r="X16" s="12"/>
      <c r="Y16" s="13"/>
      <c r="Z16" s="14"/>
      <c r="AA16" s="15"/>
      <c r="AB16" s="16"/>
      <c r="AC16" s="17"/>
      <c r="AD16" s="18"/>
      <c r="AE16" s="4"/>
      <c r="AF16" s="19"/>
      <c r="AG16" s="20"/>
      <c r="AH16" s="15"/>
      <c r="AI16" s="21"/>
      <c r="AJ16" s="22"/>
      <c r="AK16" s="23"/>
      <c r="AL16" s="24"/>
      <c r="AM16" s="25"/>
      <c r="AN16" s="26"/>
      <c r="AO16" s="27"/>
      <c r="AP16" s="28"/>
      <c r="AQ16" s="29"/>
      <c r="AR16" s="30"/>
      <c r="AS16" s="31"/>
      <c r="AT16" s="32"/>
      <c r="AU16" s="33"/>
      <c r="AV16" s="34"/>
      <c r="AW16" s="35"/>
      <c r="AX16" s="36"/>
      <c r="AY16" s="37"/>
      <c r="AZ16" s="38"/>
      <c r="BA16" s="39"/>
      <c r="BB16" s="40"/>
      <c r="BC16" s="41"/>
      <c r="BD16" s="42"/>
    </row>
    <row r="17" spans="1:56" x14ac:dyDescent="0.3">
      <c r="A17" t="s">
        <v>82</v>
      </c>
      <c r="B17" t="s">
        <v>83</v>
      </c>
      <c r="C17">
        <v>4</v>
      </c>
      <c r="D17">
        <f t="shared" si="0"/>
        <v>75</v>
      </c>
      <c r="E17">
        <v>200</v>
      </c>
      <c r="F17">
        <v>30000</v>
      </c>
      <c r="G17">
        <f t="shared" si="1"/>
        <v>780</v>
      </c>
      <c r="H17">
        <f t="shared" si="2"/>
        <v>-29220</v>
      </c>
      <c r="I17">
        <f t="shared" si="3"/>
        <v>2.5999999999999999E-2</v>
      </c>
      <c r="J17">
        <f t="shared" si="4"/>
        <v>7692.3076923076924</v>
      </c>
      <c r="K17" s="3">
        <v>5</v>
      </c>
      <c r="L17">
        <f t="shared" si="5"/>
        <v>375</v>
      </c>
      <c r="M17">
        <f t="shared" si="6"/>
        <v>150000</v>
      </c>
      <c r="N17">
        <f t="shared" si="7"/>
        <v>-146100</v>
      </c>
      <c r="O17">
        <f t="shared" si="8"/>
        <v>3900</v>
      </c>
      <c r="P17" s="4">
        <v>10</v>
      </c>
      <c r="Q17" s="5"/>
      <c r="R17" s="6">
        <v>3</v>
      </c>
      <c r="S17" s="7"/>
      <c r="T17" s="8"/>
      <c r="U17" s="9"/>
      <c r="V17" s="10">
        <v>2</v>
      </c>
      <c r="W17" s="11"/>
      <c r="X17" s="12"/>
      <c r="Y17" s="13"/>
      <c r="Z17" s="14"/>
      <c r="AA17" s="15"/>
      <c r="AB17" s="16"/>
      <c r="AC17" s="17"/>
      <c r="AD17" s="18"/>
      <c r="AE17" s="4"/>
      <c r="AF17" s="19"/>
      <c r="AG17" s="20"/>
      <c r="AH17" s="15"/>
      <c r="AI17" s="21"/>
      <c r="AJ17" s="22"/>
      <c r="AK17" s="23"/>
      <c r="AL17" s="24"/>
      <c r="AM17" s="25"/>
      <c r="AN17" s="26"/>
      <c r="AO17" s="27"/>
      <c r="AP17" s="28"/>
      <c r="AQ17" s="29"/>
      <c r="AR17" s="30"/>
      <c r="AS17" s="31"/>
      <c r="AT17" s="32"/>
      <c r="AU17" s="33"/>
      <c r="AV17" s="34"/>
      <c r="AW17" s="35"/>
      <c r="AX17" s="36"/>
      <c r="AY17" s="37"/>
      <c r="AZ17" s="38"/>
      <c r="BA17" s="39"/>
      <c r="BB17" s="40"/>
      <c r="BC17" s="41"/>
      <c r="BD17" s="42"/>
    </row>
    <row r="18" spans="1:56" x14ac:dyDescent="0.3">
      <c r="A18" t="s">
        <v>84</v>
      </c>
      <c r="B18" t="s">
        <v>85</v>
      </c>
      <c r="C18">
        <v>4</v>
      </c>
      <c r="D18">
        <f t="shared" si="0"/>
        <v>75</v>
      </c>
      <c r="E18">
        <v>200</v>
      </c>
      <c r="F18">
        <v>30000</v>
      </c>
      <c r="G18">
        <f t="shared" si="1"/>
        <v>780</v>
      </c>
      <c r="H18">
        <f t="shared" si="2"/>
        <v>-29220</v>
      </c>
      <c r="I18">
        <f t="shared" si="3"/>
        <v>2.5999999999999999E-2</v>
      </c>
      <c r="J18">
        <f t="shared" si="4"/>
        <v>7692.3076923076924</v>
      </c>
      <c r="K18" s="3">
        <v>5</v>
      </c>
      <c r="L18">
        <f t="shared" si="5"/>
        <v>375</v>
      </c>
      <c r="M18">
        <f t="shared" si="6"/>
        <v>150000</v>
      </c>
      <c r="N18">
        <f t="shared" si="7"/>
        <v>-146100</v>
      </c>
      <c r="O18">
        <f t="shared" si="8"/>
        <v>3900</v>
      </c>
      <c r="P18" s="4">
        <v>10</v>
      </c>
      <c r="Q18" s="5"/>
      <c r="R18" s="6">
        <v>3</v>
      </c>
      <c r="S18" s="7"/>
      <c r="T18" s="8"/>
      <c r="U18" s="9"/>
      <c r="V18" s="10">
        <v>2</v>
      </c>
      <c r="W18" s="11"/>
      <c r="X18" s="12"/>
      <c r="Y18" s="13"/>
      <c r="Z18" s="14"/>
      <c r="AA18" s="15"/>
      <c r="AB18" s="16"/>
      <c r="AC18" s="17"/>
      <c r="AD18" s="18"/>
      <c r="AE18" s="4"/>
      <c r="AF18" s="19"/>
      <c r="AG18" s="20"/>
      <c r="AH18" s="15"/>
      <c r="AI18" s="21"/>
      <c r="AJ18" s="22"/>
      <c r="AK18" s="23"/>
      <c r="AL18" s="24"/>
      <c r="AM18" s="25"/>
      <c r="AN18" s="26"/>
      <c r="AO18" s="27"/>
      <c r="AP18" s="28"/>
      <c r="AQ18" s="29"/>
      <c r="AR18" s="30"/>
      <c r="AS18" s="31"/>
      <c r="AT18" s="32"/>
      <c r="AU18" s="33"/>
      <c r="AV18" s="34"/>
      <c r="AW18" s="35"/>
      <c r="AX18" s="36"/>
      <c r="AY18" s="37"/>
      <c r="AZ18" s="38"/>
      <c r="BA18" s="39"/>
      <c r="BB18" s="40"/>
      <c r="BC18" s="41"/>
      <c r="BD18" s="42"/>
    </row>
    <row r="19" spans="1:56" x14ac:dyDescent="0.3">
      <c r="D19">
        <f t="shared" si="0"/>
        <v>0</v>
      </c>
      <c r="G19">
        <f t="shared" si="1"/>
        <v>0</v>
      </c>
      <c r="H19">
        <f t="shared" si="2"/>
        <v>0</v>
      </c>
      <c r="I19" t="str">
        <f t="shared" si="3"/>
        <v/>
      </c>
      <c r="J19" t="str">
        <f t="shared" si="4"/>
        <v/>
      </c>
      <c r="K19" s="3"/>
      <c r="L19">
        <f t="shared" si="5"/>
        <v>0</v>
      </c>
      <c r="M19">
        <f t="shared" si="6"/>
        <v>0</v>
      </c>
      <c r="N19">
        <f t="shared" si="7"/>
        <v>0</v>
      </c>
      <c r="O19">
        <f t="shared" si="8"/>
        <v>0</v>
      </c>
      <c r="P19" s="4"/>
      <c r="Q19" s="5"/>
      <c r="R19" s="6"/>
      <c r="S19" s="7"/>
      <c r="T19" s="8"/>
      <c r="U19" s="9"/>
      <c r="V19" s="10"/>
      <c r="W19" s="11"/>
      <c r="X19" s="12"/>
      <c r="Y19" s="13"/>
      <c r="Z19" s="14"/>
      <c r="AA19" s="15"/>
      <c r="AB19" s="16"/>
      <c r="AC19" s="17"/>
      <c r="AD19" s="18"/>
      <c r="AE19" s="4"/>
      <c r="AF19" s="19"/>
      <c r="AG19" s="20"/>
      <c r="AH19" s="15"/>
      <c r="AI19" s="21"/>
      <c r="AJ19" s="22"/>
      <c r="AK19" s="23"/>
      <c r="AL19" s="24"/>
      <c r="AM19" s="25"/>
      <c r="AN19" s="26"/>
      <c r="AO19" s="27"/>
      <c r="AP19" s="28"/>
      <c r="AQ19" s="29"/>
      <c r="AR19" s="30"/>
      <c r="AS19" s="31"/>
      <c r="AT19" s="32"/>
      <c r="AU19" s="33"/>
      <c r="AV19" s="34"/>
      <c r="AW19" s="35"/>
      <c r="AX19" s="36"/>
      <c r="AY19" s="37"/>
      <c r="AZ19" s="38"/>
      <c r="BA19" s="39"/>
      <c r="BB19" s="40"/>
      <c r="BC19" s="41"/>
      <c r="BD19" s="42"/>
    </row>
    <row r="20" spans="1:56" x14ac:dyDescent="0.3">
      <c r="D20">
        <f t="shared" si="0"/>
        <v>0</v>
      </c>
      <c r="G20">
        <f t="shared" si="1"/>
        <v>0</v>
      </c>
      <c r="H20">
        <f t="shared" si="2"/>
        <v>0</v>
      </c>
      <c r="I20" t="str">
        <f t="shared" si="3"/>
        <v/>
      </c>
      <c r="J20" t="str">
        <f t="shared" si="4"/>
        <v/>
      </c>
      <c r="K20" s="3"/>
      <c r="L20">
        <f t="shared" si="5"/>
        <v>0</v>
      </c>
      <c r="M20">
        <f t="shared" si="6"/>
        <v>0</v>
      </c>
      <c r="N20">
        <f t="shared" si="7"/>
        <v>0</v>
      </c>
      <c r="O20">
        <f t="shared" si="8"/>
        <v>0</v>
      </c>
      <c r="P20" s="4"/>
      <c r="Q20" s="5"/>
      <c r="R20" s="6"/>
      <c r="S20" s="7"/>
      <c r="T20" s="8"/>
      <c r="U20" s="9"/>
      <c r="V20" s="10"/>
      <c r="W20" s="11"/>
      <c r="X20" s="12"/>
      <c r="Y20" s="13"/>
      <c r="Z20" s="14"/>
      <c r="AA20" s="15"/>
      <c r="AB20" s="16"/>
      <c r="AC20" s="17"/>
      <c r="AD20" s="18"/>
      <c r="AE20" s="4"/>
      <c r="AF20" s="19"/>
      <c r="AG20" s="20"/>
      <c r="AH20" s="15"/>
      <c r="AI20" s="21"/>
      <c r="AJ20" s="22"/>
      <c r="AK20" s="23"/>
      <c r="AL20" s="24"/>
      <c r="AM20" s="25"/>
      <c r="AN20" s="26"/>
      <c r="AO20" s="27"/>
      <c r="AP20" s="28"/>
      <c r="AQ20" s="29"/>
      <c r="AR20" s="30"/>
      <c r="AS20" s="31"/>
      <c r="AT20" s="32"/>
      <c r="AU20" s="33"/>
      <c r="AV20" s="34"/>
      <c r="AW20" s="35"/>
      <c r="AX20" s="36"/>
      <c r="AY20" s="37"/>
      <c r="AZ20" s="38"/>
      <c r="BA20" s="39"/>
      <c r="BB20" s="40"/>
      <c r="BC20" s="41"/>
      <c r="BD20" s="42"/>
    </row>
    <row r="21" spans="1:56" x14ac:dyDescent="0.3">
      <c r="D21">
        <f t="shared" si="0"/>
        <v>0</v>
      </c>
      <c r="G21">
        <f t="shared" si="1"/>
        <v>0</v>
      </c>
      <c r="H21">
        <f t="shared" si="2"/>
        <v>0</v>
      </c>
      <c r="I21" t="str">
        <f t="shared" si="3"/>
        <v/>
      </c>
      <c r="J21" t="str">
        <f t="shared" si="4"/>
        <v/>
      </c>
      <c r="K21" s="3"/>
      <c r="L21">
        <f t="shared" si="5"/>
        <v>0</v>
      </c>
      <c r="M21">
        <f t="shared" si="6"/>
        <v>0</v>
      </c>
      <c r="N21">
        <f t="shared" si="7"/>
        <v>0</v>
      </c>
      <c r="O21">
        <f t="shared" si="8"/>
        <v>0</v>
      </c>
      <c r="P21" s="4"/>
      <c r="Q21" s="5"/>
      <c r="R21" s="6"/>
      <c r="S21" s="7"/>
      <c r="T21" s="8"/>
      <c r="U21" s="9"/>
      <c r="V21" s="10"/>
      <c r="W21" s="11"/>
      <c r="X21" s="12"/>
      <c r="Y21" s="13"/>
      <c r="Z21" s="14"/>
      <c r="AA21" s="15"/>
      <c r="AB21" s="16"/>
      <c r="AC21" s="17"/>
      <c r="AD21" s="18"/>
      <c r="AE21" s="4"/>
      <c r="AF21" s="19"/>
      <c r="AG21" s="20"/>
      <c r="AH21" s="15"/>
      <c r="AI21" s="21"/>
      <c r="AJ21" s="22"/>
      <c r="AK21" s="23"/>
      <c r="AL21" s="24"/>
      <c r="AM21" s="25"/>
      <c r="AN21" s="26"/>
      <c r="AO21" s="27"/>
      <c r="AP21" s="28"/>
      <c r="AQ21" s="29"/>
      <c r="AR21" s="30"/>
      <c r="AS21" s="31"/>
      <c r="AT21" s="32"/>
      <c r="AU21" s="33"/>
      <c r="AV21" s="34"/>
      <c r="AW21" s="35"/>
      <c r="AX21" s="36"/>
      <c r="AY21" s="37"/>
      <c r="AZ21" s="38"/>
      <c r="BA21" s="39"/>
      <c r="BB21" s="40"/>
      <c r="BC21" s="41"/>
      <c r="BD21" s="42"/>
    </row>
    <row r="22" spans="1:56" x14ac:dyDescent="0.3">
      <c r="D22">
        <f t="shared" si="0"/>
        <v>0</v>
      </c>
      <c r="G22">
        <f t="shared" si="1"/>
        <v>0</v>
      </c>
      <c r="H22">
        <f t="shared" si="2"/>
        <v>0</v>
      </c>
      <c r="I22" t="str">
        <f t="shared" si="3"/>
        <v/>
      </c>
      <c r="J22" t="str">
        <f t="shared" si="4"/>
        <v/>
      </c>
      <c r="K22" s="3"/>
      <c r="L22">
        <f t="shared" si="5"/>
        <v>0</v>
      </c>
      <c r="M22">
        <f t="shared" si="6"/>
        <v>0</v>
      </c>
      <c r="N22">
        <f t="shared" si="7"/>
        <v>0</v>
      </c>
      <c r="O22">
        <f t="shared" si="8"/>
        <v>0</v>
      </c>
      <c r="P22" s="4"/>
      <c r="Q22" s="5"/>
      <c r="R22" s="6"/>
      <c r="S22" s="7"/>
      <c r="T22" s="8"/>
      <c r="U22" s="9"/>
      <c r="V22" s="10"/>
      <c r="W22" s="11"/>
      <c r="X22" s="12"/>
      <c r="Y22" s="13"/>
      <c r="Z22" s="14"/>
      <c r="AA22" s="15"/>
      <c r="AB22" s="16"/>
      <c r="AC22" s="17"/>
      <c r="AD22" s="18"/>
      <c r="AE22" s="4"/>
      <c r="AF22" s="19"/>
      <c r="AG22" s="20"/>
      <c r="AH22" s="15"/>
      <c r="AI22" s="21"/>
      <c r="AJ22" s="22"/>
      <c r="AK22" s="23"/>
      <c r="AL22" s="24"/>
      <c r="AM22" s="25"/>
      <c r="AN22" s="26"/>
      <c r="AO22" s="27"/>
      <c r="AP22" s="28"/>
      <c r="AQ22" s="29"/>
      <c r="AR22" s="30"/>
      <c r="AS22" s="31"/>
      <c r="AT22" s="32"/>
      <c r="AU22" s="33"/>
      <c r="AV22" s="34"/>
      <c r="AW22" s="35"/>
      <c r="AX22" s="36"/>
      <c r="AY22" s="37"/>
      <c r="AZ22" s="38"/>
      <c r="BA22" s="39"/>
      <c r="BB22" s="40"/>
      <c r="BC22" s="41"/>
      <c r="BD22" s="42"/>
    </row>
    <row r="23" spans="1:56" x14ac:dyDescent="0.3">
      <c r="D23">
        <f t="shared" si="0"/>
        <v>0</v>
      </c>
      <c r="G23">
        <f t="shared" si="1"/>
        <v>0</v>
      </c>
      <c r="H23">
        <f t="shared" si="2"/>
        <v>0</v>
      </c>
      <c r="I23" t="str">
        <f t="shared" si="3"/>
        <v/>
      </c>
      <c r="J23" t="str">
        <f t="shared" si="4"/>
        <v/>
      </c>
      <c r="K23" s="3"/>
      <c r="L23">
        <f t="shared" si="5"/>
        <v>0</v>
      </c>
      <c r="M23">
        <f t="shared" si="6"/>
        <v>0</v>
      </c>
      <c r="N23">
        <f t="shared" si="7"/>
        <v>0</v>
      </c>
      <c r="O23">
        <f t="shared" si="8"/>
        <v>0</v>
      </c>
      <c r="P23" s="4"/>
      <c r="Q23" s="5"/>
      <c r="R23" s="6"/>
      <c r="S23" s="7"/>
      <c r="T23" s="8"/>
      <c r="U23" s="9"/>
      <c r="V23" s="10"/>
      <c r="W23" s="11"/>
      <c r="X23" s="12"/>
      <c r="Y23" s="13"/>
      <c r="Z23" s="14"/>
      <c r="AA23" s="15"/>
      <c r="AB23" s="16"/>
      <c r="AC23" s="17"/>
      <c r="AD23" s="18"/>
      <c r="AE23" s="4"/>
      <c r="AF23" s="19"/>
      <c r="AG23" s="20"/>
      <c r="AH23" s="15"/>
      <c r="AI23" s="21"/>
      <c r="AJ23" s="22"/>
      <c r="AK23" s="23"/>
      <c r="AL23" s="24"/>
      <c r="AM23" s="25"/>
      <c r="AN23" s="26"/>
      <c r="AO23" s="27"/>
      <c r="AP23" s="28"/>
      <c r="AQ23" s="29"/>
      <c r="AR23" s="30"/>
      <c r="AS23" s="31"/>
      <c r="AT23" s="32"/>
      <c r="AU23" s="33"/>
      <c r="AV23" s="34"/>
      <c r="AW23" s="35"/>
      <c r="AX23" s="36"/>
      <c r="AY23" s="37"/>
      <c r="AZ23" s="38"/>
      <c r="BA23" s="39"/>
      <c r="BB23" s="40"/>
      <c r="BC23" s="41"/>
      <c r="BD23" s="42"/>
    </row>
    <row r="24" spans="1:56" x14ac:dyDescent="0.3">
      <c r="D24">
        <f t="shared" si="0"/>
        <v>0</v>
      </c>
      <c r="G24">
        <f t="shared" si="1"/>
        <v>0</v>
      </c>
      <c r="H24">
        <f t="shared" si="2"/>
        <v>0</v>
      </c>
      <c r="I24" t="str">
        <f t="shared" si="3"/>
        <v/>
      </c>
      <c r="J24" t="str">
        <f t="shared" si="4"/>
        <v/>
      </c>
      <c r="K24" s="3"/>
      <c r="L24">
        <f t="shared" si="5"/>
        <v>0</v>
      </c>
      <c r="M24">
        <f t="shared" si="6"/>
        <v>0</v>
      </c>
      <c r="N24">
        <f t="shared" si="7"/>
        <v>0</v>
      </c>
      <c r="O24">
        <f t="shared" si="8"/>
        <v>0</v>
      </c>
      <c r="P24" s="4"/>
      <c r="Q24" s="5"/>
      <c r="R24" s="6"/>
      <c r="S24" s="7"/>
      <c r="T24" s="8"/>
      <c r="U24" s="9"/>
      <c r="V24" s="10"/>
      <c r="W24" s="11"/>
      <c r="X24" s="12"/>
      <c r="Y24" s="13"/>
      <c r="Z24" s="14"/>
      <c r="AA24" s="15"/>
      <c r="AB24" s="16"/>
      <c r="AC24" s="17"/>
      <c r="AD24" s="18"/>
      <c r="AE24" s="4"/>
      <c r="AF24" s="19"/>
      <c r="AG24" s="20"/>
      <c r="AH24" s="15"/>
      <c r="AI24" s="21"/>
      <c r="AJ24" s="22"/>
      <c r="AK24" s="23"/>
      <c r="AL24" s="24"/>
      <c r="AM24" s="25"/>
      <c r="AN24" s="26"/>
      <c r="AO24" s="27"/>
      <c r="AP24" s="28"/>
      <c r="AQ24" s="29"/>
      <c r="AR24" s="30"/>
      <c r="AS24" s="31"/>
      <c r="AT24" s="32"/>
      <c r="AU24" s="33"/>
      <c r="AV24" s="34"/>
      <c r="AW24" s="35"/>
      <c r="AX24" s="36"/>
      <c r="AY24" s="37"/>
      <c r="AZ24" s="38"/>
      <c r="BA24" s="39"/>
      <c r="BB24" s="40"/>
      <c r="BC24" s="41"/>
      <c r="BD24" s="42"/>
    </row>
    <row r="25" spans="1:56" x14ac:dyDescent="0.3">
      <c r="D25">
        <f t="shared" si="0"/>
        <v>0</v>
      </c>
      <c r="G25">
        <f t="shared" si="1"/>
        <v>0</v>
      </c>
      <c r="H25">
        <f t="shared" si="2"/>
        <v>0</v>
      </c>
      <c r="I25" t="str">
        <f t="shared" si="3"/>
        <v/>
      </c>
      <c r="J25" t="str">
        <f t="shared" si="4"/>
        <v/>
      </c>
      <c r="K25" s="3"/>
      <c r="L25">
        <f t="shared" si="5"/>
        <v>0</v>
      </c>
      <c r="M25">
        <f t="shared" si="6"/>
        <v>0</v>
      </c>
      <c r="N25">
        <f t="shared" si="7"/>
        <v>0</v>
      </c>
      <c r="O25">
        <f t="shared" si="8"/>
        <v>0</v>
      </c>
      <c r="P25" s="4"/>
      <c r="Q25" s="5"/>
      <c r="R25" s="6"/>
      <c r="S25" s="7"/>
      <c r="T25" s="8"/>
      <c r="U25" s="9"/>
      <c r="V25" s="10"/>
      <c r="W25" s="11"/>
      <c r="X25" s="12"/>
      <c r="Y25" s="13"/>
      <c r="Z25" s="14"/>
      <c r="AA25" s="15"/>
      <c r="AB25" s="16"/>
      <c r="AC25" s="17"/>
      <c r="AD25" s="18"/>
      <c r="AE25" s="4"/>
      <c r="AF25" s="19"/>
      <c r="AG25" s="20"/>
      <c r="AH25" s="15"/>
      <c r="AI25" s="21"/>
      <c r="AJ25" s="22"/>
      <c r="AK25" s="23"/>
      <c r="AL25" s="24"/>
      <c r="AM25" s="25"/>
      <c r="AN25" s="26"/>
      <c r="AO25" s="27"/>
      <c r="AP25" s="28"/>
      <c r="AQ25" s="29"/>
      <c r="AR25" s="30"/>
      <c r="AS25" s="31"/>
      <c r="AT25" s="32"/>
      <c r="AU25" s="33"/>
      <c r="AV25" s="34"/>
      <c r="AW25" s="35"/>
      <c r="AX25" s="36"/>
      <c r="AY25" s="37"/>
      <c r="AZ25" s="38"/>
      <c r="BA25" s="39"/>
      <c r="BB25" s="40"/>
      <c r="BC25" s="41"/>
      <c r="BD25" s="42"/>
    </row>
    <row r="26" spans="1:56" x14ac:dyDescent="0.3">
      <c r="D26">
        <f t="shared" si="0"/>
        <v>0</v>
      </c>
      <c r="G26">
        <f t="shared" si="1"/>
        <v>0</v>
      </c>
      <c r="H26">
        <f t="shared" si="2"/>
        <v>0</v>
      </c>
      <c r="I26" t="str">
        <f t="shared" si="3"/>
        <v/>
      </c>
      <c r="J26" t="str">
        <f t="shared" si="4"/>
        <v/>
      </c>
      <c r="K26" s="3"/>
      <c r="L26">
        <f t="shared" si="5"/>
        <v>0</v>
      </c>
      <c r="M26">
        <f t="shared" si="6"/>
        <v>0</v>
      </c>
      <c r="N26">
        <f t="shared" si="7"/>
        <v>0</v>
      </c>
      <c r="O26">
        <f t="shared" si="8"/>
        <v>0</v>
      </c>
      <c r="P26" s="4"/>
      <c r="Q26" s="5"/>
      <c r="R26" s="6"/>
      <c r="S26" s="7"/>
      <c r="T26" s="8"/>
      <c r="U26" s="9"/>
      <c r="V26" s="10"/>
      <c r="W26" s="11"/>
      <c r="X26" s="12"/>
      <c r="Y26" s="13"/>
      <c r="Z26" s="14"/>
      <c r="AA26" s="15"/>
      <c r="AB26" s="16"/>
      <c r="AC26" s="17"/>
      <c r="AD26" s="18"/>
      <c r="AE26" s="4"/>
      <c r="AF26" s="19"/>
      <c r="AG26" s="20"/>
      <c r="AH26" s="15"/>
      <c r="AI26" s="21"/>
      <c r="AJ26" s="22"/>
      <c r="AK26" s="23"/>
      <c r="AL26" s="24"/>
      <c r="AM26" s="25"/>
      <c r="AN26" s="26"/>
      <c r="AO26" s="27"/>
      <c r="AP26" s="28"/>
      <c r="AQ26" s="29"/>
      <c r="AR26" s="30"/>
      <c r="AS26" s="31"/>
      <c r="AT26" s="32"/>
      <c r="AU26" s="33"/>
      <c r="AV26" s="34"/>
      <c r="AW26" s="35"/>
      <c r="AX26" s="36"/>
      <c r="AY26" s="37"/>
      <c r="AZ26" s="38"/>
      <c r="BA26" s="39"/>
      <c r="BB26" s="40"/>
      <c r="BC26" s="41"/>
      <c r="BD26" s="42"/>
    </row>
    <row r="27" spans="1:56" x14ac:dyDescent="0.3">
      <c r="D27">
        <f t="shared" si="0"/>
        <v>0</v>
      </c>
      <c r="G27">
        <f t="shared" si="1"/>
        <v>0</v>
      </c>
      <c r="H27">
        <f t="shared" si="2"/>
        <v>0</v>
      </c>
      <c r="I27" t="str">
        <f t="shared" si="3"/>
        <v/>
      </c>
      <c r="J27" t="str">
        <f t="shared" si="4"/>
        <v/>
      </c>
      <c r="K27" s="3"/>
      <c r="L27">
        <f t="shared" si="5"/>
        <v>0</v>
      </c>
      <c r="M27">
        <f t="shared" si="6"/>
        <v>0</v>
      </c>
      <c r="N27">
        <f t="shared" si="7"/>
        <v>0</v>
      </c>
      <c r="O27">
        <f t="shared" si="8"/>
        <v>0</v>
      </c>
      <c r="P27" s="4"/>
      <c r="Q27" s="5"/>
      <c r="R27" s="6"/>
      <c r="S27" s="7"/>
      <c r="T27" s="8"/>
      <c r="U27" s="9"/>
      <c r="V27" s="10"/>
      <c r="W27" s="11"/>
      <c r="X27" s="12"/>
      <c r="Y27" s="13"/>
      <c r="Z27" s="14"/>
      <c r="AA27" s="15"/>
      <c r="AB27" s="16"/>
      <c r="AC27" s="17"/>
      <c r="AD27" s="18"/>
      <c r="AE27" s="4"/>
      <c r="AF27" s="19"/>
      <c r="AG27" s="20"/>
      <c r="AH27" s="15"/>
      <c r="AI27" s="21"/>
      <c r="AJ27" s="22"/>
      <c r="AK27" s="23"/>
      <c r="AL27" s="24"/>
      <c r="AM27" s="25"/>
      <c r="AN27" s="26"/>
      <c r="AO27" s="27"/>
      <c r="AP27" s="28"/>
      <c r="AQ27" s="29"/>
      <c r="AR27" s="30"/>
      <c r="AS27" s="31"/>
      <c r="AT27" s="32"/>
      <c r="AU27" s="33"/>
      <c r="AV27" s="34"/>
      <c r="AW27" s="35"/>
      <c r="AX27" s="36"/>
      <c r="AY27" s="37"/>
      <c r="AZ27" s="38"/>
      <c r="BA27" s="39"/>
      <c r="BB27" s="40"/>
      <c r="BC27" s="41"/>
      <c r="BD27" s="42"/>
    </row>
    <row r="28" spans="1:56" x14ac:dyDescent="0.3">
      <c r="D28">
        <f t="shared" si="0"/>
        <v>0</v>
      </c>
      <c r="G28">
        <f t="shared" si="1"/>
        <v>0</v>
      </c>
      <c r="H28">
        <f t="shared" si="2"/>
        <v>0</v>
      </c>
      <c r="I28" t="str">
        <f t="shared" si="3"/>
        <v/>
      </c>
      <c r="J28" t="str">
        <f t="shared" si="4"/>
        <v/>
      </c>
      <c r="K28" s="3"/>
      <c r="L28">
        <f t="shared" si="5"/>
        <v>0</v>
      </c>
      <c r="M28">
        <f t="shared" si="6"/>
        <v>0</v>
      </c>
      <c r="N28">
        <f t="shared" si="7"/>
        <v>0</v>
      </c>
      <c r="O28">
        <f t="shared" si="8"/>
        <v>0</v>
      </c>
      <c r="P28" s="4"/>
      <c r="Q28" s="5"/>
      <c r="R28" s="6"/>
      <c r="S28" s="7"/>
      <c r="T28" s="8"/>
      <c r="U28" s="9"/>
      <c r="V28" s="10"/>
      <c r="W28" s="11"/>
      <c r="X28" s="12"/>
      <c r="Y28" s="13"/>
      <c r="Z28" s="14"/>
      <c r="AA28" s="15"/>
      <c r="AB28" s="16"/>
      <c r="AC28" s="17"/>
      <c r="AD28" s="18"/>
      <c r="AE28" s="4"/>
      <c r="AF28" s="19"/>
      <c r="AG28" s="20"/>
      <c r="AH28" s="15"/>
      <c r="AI28" s="21"/>
      <c r="AJ28" s="22"/>
      <c r="AK28" s="23"/>
      <c r="AL28" s="24"/>
      <c r="AM28" s="25"/>
      <c r="AN28" s="26"/>
      <c r="AO28" s="27"/>
      <c r="AP28" s="28"/>
      <c r="AQ28" s="29"/>
      <c r="AR28" s="30"/>
      <c r="AS28" s="31"/>
      <c r="AT28" s="32"/>
      <c r="AU28" s="33"/>
      <c r="AV28" s="34"/>
      <c r="AW28" s="35"/>
      <c r="AX28" s="36"/>
      <c r="AY28" s="37"/>
      <c r="AZ28" s="38"/>
      <c r="BA28" s="39"/>
      <c r="BB28" s="40"/>
      <c r="BC28" s="41"/>
      <c r="BD28" s="42"/>
    </row>
    <row r="29" spans="1:56" x14ac:dyDescent="0.3">
      <c r="D29">
        <f t="shared" si="0"/>
        <v>0</v>
      </c>
      <c r="G29">
        <f t="shared" si="1"/>
        <v>0</v>
      </c>
      <c r="H29">
        <f t="shared" si="2"/>
        <v>0</v>
      </c>
      <c r="I29" t="str">
        <f t="shared" si="3"/>
        <v/>
      </c>
      <c r="J29" t="str">
        <f t="shared" si="4"/>
        <v/>
      </c>
      <c r="K29" s="3"/>
      <c r="L29">
        <f t="shared" si="5"/>
        <v>0</v>
      </c>
      <c r="M29">
        <f t="shared" si="6"/>
        <v>0</v>
      </c>
      <c r="N29">
        <f t="shared" si="7"/>
        <v>0</v>
      </c>
      <c r="O29">
        <f t="shared" si="8"/>
        <v>0</v>
      </c>
      <c r="P29" s="4"/>
      <c r="Q29" s="5"/>
      <c r="R29" s="6"/>
      <c r="S29" s="7"/>
      <c r="T29" s="8"/>
      <c r="U29" s="9"/>
      <c r="V29" s="10"/>
      <c r="W29" s="11"/>
      <c r="X29" s="12"/>
      <c r="Y29" s="13"/>
      <c r="Z29" s="14"/>
      <c r="AA29" s="15"/>
      <c r="AB29" s="16"/>
      <c r="AC29" s="17"/>
      <c r="AD29" s="18"/>
      <c r="AE29" s="4"/>
      <c r="AF29" s="19"/>
      <c r="AG29" s="20"/>
      <c r="AH29" s="15"/>
      <c r="AI29" s="21"/>
      <c r="AJ29" s="22"/>
      <c r="AK29" s="23"/>
      <c r="AL29" s="24"/>
      <c r="AM29" s="25"/>
      <c r="AN29" s="26"/>
      <c r="AO29" s="27"/>
      <c r="AP29" s="28"/>
      <c r="AQ29" s="29"/>
      <c r="AR29" s="30"/>
      <c r="AS29" s="31"/>
      <c r="AT29" s="32"/>
      <c r="AU29" s="33"/>
      <c r="AV29" s="34"/>
      <c r="AW29" s="35"/>
      <c r="AX29" s="36"/>
      <c r="AY29" s="37"/>
      <c r="AZ29" s="38"/>
      <c r="BA29" s="39"/>
      <c r="BB29" s="40"/>
      <c r="BC29" s="41"/>
      <c r="BD29" s="42"/>
    </row>
    <row r="30" spans="1:56" x14ac:dyDescent="0.3">
      <c r="D30">
        <f t="shared" si="0"/>
        <v>0</v>
      </c>
      <c r="G30">
        <f t="shared" si="1"/>
        <v>0</v>
      </c>
      <c r="H30">
        <f t="shared" si="2"/>
        <v>0</v>
      </c>
      <c r="I30" t="str">
        <f t="shared" si="3"/>
        <v/>
      </c>
      <c r="J30" t="str">
        <f t="shared" si="4"/>
        <v/>
      </c>
      <c r="K30" s="3"/>
      <c r="L30">
        <f t="shared" si="5"/>
        <v>0</v>
      </c>
      <c r="M30">
        <f t="shared" si="6"/>
        <v>0</v>
      </c>
      <c r="N30">
        <f t="shared" si="7"/>
        <v>0</v>
      </c>
      <c r="O30">
        <f t="shared" si="8"/>
        <v>0</v>
      </c>
      <c r="P30" s="4"/>
      <c r="Q30" s="5"/>
      <c r="R30" s="6"/>
      <c r="S30" s="7"/>
      <c r="T30" s="8"/>
      <c r="U30" s="9"/>
      <c r="V30" s="10"/>
      <c r="W30" s="11"/>
      <c r="X30" s="12"/>
      <c r="Y30" s="13"/>
      <c r="Z30" s="14"/>
      <c r="AA30" s="15"/>
      <c r="AB30" s="16"/>
      <c r="AC30" s="17"/>
      <c r="AD30" s="18"/>
      <c r="AE30" s="4"/>
      <c r="AF30" s="19"/>
      <c r="AG30" s="20"/>
      <c r="AH30" s="15"/>
      <c r="AI30" s="21"/>
      <c r="AJ30" s="22"/>
      <c r="AK30" s="23"/>
      <c r="AL30" s="24"/>
      <c r="AM30" s="25"/>
      <c r="AN30" s="26"/>
      <c r="AO30" s="27"/>
      <c r="AP30" s="28"/>
      <c r="AQ30" s="29"/>
      <c r="AR30" s="30"/>
      <c r="AS30" s="31"/>
      <c r="AT30" s="32"/>
      <c r="AU30" s="33"/>
      <c r="AV30" s="34"/>
      <c r="AW30" s="35"/>
      <c r="AX30" s="36"/>
      <c r="AY30" s="37"/>
      <c r="AZ30" s="38"/>
      <c r="BA30" s="39"/>
      <c r="BB30" s="40"/>
      <c r="BC30" s="41"/>
      <c r="BD30" s="42"/>
    </row>
    <row r="31" spans="1:56" x14ac:dyDescent="0.3">
      <c r="D31">
        <f t="shared" si="0"/>
        <v>0</v>
      </c>
      <c r="G31">
        <f t="shared" si="1"/>
        <v>0</v>
      </c>
      <c r="H31">
        <f t="shared" si="2"/>
        <v>0</v>
      </c>
      <c r="I31" t="str">
        <f t="shared" si="3"/>
        <v/>
      </c>
      <c r="J31" t="str">
        <f t="shared" si="4"/>
        <v/>
      </c>
      <c r="K31" s="3"/>
      <c r="L31">
        <f t="shared" si="5"/>
        <v>0</v>
      </c>
      <c r="M31">
        <f t="shared" si="6"/>
        <v>0</v>
      </c>
      <c r="N31">
        <f t="shared" si="7"/>
        <v>0</v>
      </c>
      <c r="O31">
        <f t="shared" si="8"/>
        <v>0</v>
      </c>
      <c r="P31" s="4"/>
      <c r="Q31" s="5"/>
      <c r="R31" s="6"/>
      <c r="S31" s="7"/>
      <c r="T31" s="8"/>
      <c r="U31" s="9"/>
      <c r="V31" s="10"/>
      <c r="W31" s="11"/>
      <c r="X31" s="12"/>
      <c r="Y31" s="13"/>
      <c r="Z31" s="14"/>
      <c r="AA31" s="15"/>
      <c r="AB31" s="16"/>
      <c r="AC31" s="17"/>
      <c r="AD31" s="18"/>
      <c r="AE31" s="4"/>
      <c r="AF31" s="19"/>
      <c r="AG31" s="20"/>
      <c r="AH31" s="15"/>
      <c r="AI31" s="21"/>
      <c r="AJ31" s="22"/>
      <c r="AK31" s="23"/>
      <c r="AL31" s="24"/>
      <c r="AM31" s="25"/>
      <c r="AN31" s="26"/>
      <c r="AO31" s="27"/>
      <c r="AP31" s="28"/>
      <c r="AQ31" s="29"/>
      <c r="AR31" s="30"/>
      <c r="AS31" s="31"/>
      <c r="AT31" s="32"/>
      <c r="AU31" s="33"/>
      <c r="AV31" s="34"/>
      <c r="AW31" s="35"/>
      <c r="AX31" s="36"/>
      <c r="AY31" s="37"/>
      <c r="AZ31" s="38"/>
      <c r="BA31" s="39"/>
      <c r="BB31" s="40"/>
      <c r="BC31" s="41"/>
      <c r="BD31" s="42"/>
    </row>
    <row r="32" spans="1:56" x14ac:dyDescent="0.3">
      <c r="D32">
        <f t="shared" si="0"/>
        <v>0</v>
      </c>
      <c r="G32">
        <f t="shared" si="1"/>
        <v>0</v>
      </c>
      <c r="H32">
        <f t="shared" si="2"/>
        <v>0</v>
      </c>
      <c r="I32" t="str">
        <f t="shared" si="3"/>
        <v/>
      </c>
      <c r="J32" t="str">
        <f t="shared" si="4"/>
        <v/>
      </c>
      <c r="K32" s="3"/>
      <c r="L32">
        <f t="shared" si="5"/>
        <v>0</v>
      </c>
      <c r="M32">
        <f t="shared" si="6"/>
        <v>0</v>
      </c>
      <c r="N32">
        <f t="shared" si="7"/>
        <v>0</v>
      </c>
      <c r="O32">
        <f t="shared" si="8"/>
        <v>0</v>
      </c>
      <c r="P32" s="4"/>
      <c r="Q32" s="5"/>
      <c r="R32" s="6"/>
      <c r="S32" s="7"/>
      <c r="T32" s="8"/>
      <c r="U32" s="9"/>
      <c r="V32" s="10"/>
      <c r="W32" s="11"/>
      <c r="X32" s="12"/>
      <c r="Y32" s="13"/>
      <c r="Z32" s="14"/>
      <c r="AA32" s="15"/>
      <c r="AB32" s="16"/>
      <c r="AC32" s="17"/>
      <c r="AD32" s="18"/>
      <c r="AE32" s="4"/>
      <c r="AF32" s="19"/>
      <c r="AG32" s="20"/>
      <c r="AH32" s="15"/>
      <c r="AI32" s="21"/>
      <c r="AJ32" s="22"/>
      <c r="AK32" s="23"/>
      <c r="AL32" s="24"/>
      <c r="AM32" s="25"/>
      <c r="AN32" s="26"/>
      <c r="AO32" s="27"/>
      <c r="AP32" s="28"/>
      <c r="AQ32" s="29"/>
      <c r="AR32" s="30"/>
      <c r="AS32" s="31"/>
      <c r="AT32" s="32"/>
      <c r="AU32" s="33"/>
      <c r="AV32" s="34"/>
      <c r="AW32" s="35"/>
      <c r="AX32" s="36"/>
      <c r="AY32" s="37"/>
      <c r="AZ32" s="38"/>
      <c r="BA32" s="39"/>
      <c r="BB32" s="40"/>
      <c r="BC32" s="41"/>
      <c r="BD32" s="42"/>
    </row>
    <row r="33" spans="4:56" x14ac:dyDescent="0.3">
      <c r="D33">
        <f t="shared" si="0"/>
        <v>0</v>
      </c>
      <c r="G33">
        <f t="shared" si="1"/>
        <v>0</v>
      </c>
      <c r="H33">
        <f t="shared" si="2"/>
        <v>0</v>
      </c>
      <c r="I33" t="str">
        <f t="shared" si="3"/>
        <v/>
      </c>
      <c r="J33" t="str">
        <f t="shared" si="4"/>
        <v/>
      </c>
      <c r="K33" s="3"/>
      <c r="L33">
        <f t="shared" si="5"/>
        <v>0</v>
      </c>
      <c r="M33">
        <f t="shared" si="6"/>
        <v>0</v>
      </c>
      <c r="N33">
        <f t="shared" si="7"/>
        <v>0</v>
      </c>
      <c r="O33">
        <f t="shared" si="8"/>
        <v>0</v>
      </c>
      <c r="P33" s="4"/>
      <c r="Q33" s="5"/>
      <c r="R33" s="6"/>
      <c r="S33" s="7"/>
      <c r="T33" s="8"/>
      <c r="U33" s="9"/>
      <c r="V33" s="10"/>
      <c r="W33" s="11"/>
      <c r="X33" s="12"/>
      <c r="Y33" s="13"/>
      <c r="Z33" s="14"/>
      <c r="AA33" s="15"/>
      <c r="AB33" s="16"/>
      <c r="AC33" s="17"/>
      <c r="AD33" s="18"/>
      <c r="AE33" s="4"/>
      <c r="AF33" s="19"/>
      <c r="AG33" s="20"/>
      <c r="AH33" s="15"/>
      <c r="AI33" s="21"/>
      <c r="AJ33" s="22"/>
      <c r="AK33" s="23"/>
      <c r="AL33" s="24"/>
      <c r="AM33" s="25"/>
      <c r="AN33" s="26"/>
      <c r="AO33" s="27"/>
      <c r="AP33" s="28"/>
      <c r="AQ33" s="29"/>
      <c r="AR33" s="30"/>
      <c r="AS33" s="31"/>
      <c r="AT33" s="32"/>
      <c r="AU33" s="33"/>
      <c r="AV33" s="34"/>
      <c r="AW33" s="35"/>
      <c r="AX33" s="36"/>
      <c r="AY33" s="37"/>
      <c r="AZ33" s="38"/>
      <c r="BA33" s="39"/>
      <c r="BB33" s="40"/>
      <c r="BC33" s="41"/>
      <c r="BD33" s="42"/>
    </row>
    <row r="34" spans="4:56" x14ac:dyDescent="0.3">
      <c r="D34">
        <f t="shared" si="0"/>
        <v>0</v>
      </c>
      <c r="G34">
        <f t="shared" si="1"/>
        <v>0</v>
      </c>
      <c r="H34">
        <f t="shared" si="2"/>
        <v>0</v>
      </c>
      <c r="I34" t="str">
        <f t="shared" si="3"/>
        <v/>
      </c>
      <c r="J34" t="str">
        <f t="shared" si="4"/>
        <v/>
      </c>
      <c r="K34" s="3"/>
      <c r="L34">
        <f t="shared" si="5"/>
        <v>0</v>
      </c>
      <c r="M34">
        <f t="shared" si="6"/>
        <v>0</v>
      </c>
      <c r="N34">
        <f t="shared" si="7"/>
        <v>0</v>
      </c>
      <c r="O34">
        <f t="shared" si="8"/>
        <v>0</v>
      </c>
      <c r="P34" s="4"/>
      <c r="Q34" s="5"/>
      <c r="R34" s="6"/>
      <c r="S34" s="7"/>
      <c r="T34" s="8"/>
      <c r="U34" s="9"/>
      <c r="V34" s="10"/>
      <c r="W34" s="11"/>
      <c r="X34" s="12"/>
      <c r="Y34" s="13"/>
      <c r="Z34" s="14"/>
      <c r="AA34" s="15"/>
      <c r="AB34" s="16"/>
      <c r="AC34" s="17"/>
      <c r="AD34" s="18"/>
      <c r="AE34" s="4"/>
      <c r="AF34" s="19"/>
      <c r="AG34" s="20"/>
      <c r="AH34" s="15"/>
      <c r="AI34" s="21"/>
      <c r="AJ34" s="22"/>
      <c r="AK34" s="23"/>
      <c r="AL34" s="24"/>
      <c r="AM34" s="25"/>
      <c r="AN34" s="26"/>
      <c r="AO34" s="27"/>
      <c r="AP34" s="28"/>
      <c r="AQ34" s="29"/>
      <c r="AR34" s="30"/>
      <c r="AS34" s="31"/>
      <c r="AT34" s="32"/>
      <c r="AU34" s="33"/>
      <c r="AV34" s="34"/>
      <c r="AW34" s="35"/>
      <c r="AX34" s="36"/>
      <c r="AY34" s="37"/>
      <c r="AZ34" s="38"/>
      <c r="BA34" s="39"/>
      <c r="BB34" s="40"/>
      <c r="BC34" s="41"/>
      <c r="BD34" s="42"/>
    </row>
    <row r="35" spans="4:56" x14ac:dyDescent="0.3">
      <c r="D35">
        <f t="shared" ref="D35:D66" si="9">IF(C35=2,15,IF(C35=3,37,IF(C35=4,75,IF(C35=5,150,IF(C35=6,375,IF(C35=7,750,0))))))</f>
        <v>0</v>
      </c>
      <c r="G35">
        <f t="shared" ref="G35:G66" si="10">P35*28+Q35*22+R35*100+S35*18+T35*35+U35*22+V35*100+W35*18+X35*80+Y35*1100+Z35*200+AA35*100+AB35*32+AC35*1700+AD35*850+AE35*200+AF35*400+AG35*70+AH35*300+AI35*450+AJ35*1100+AK35*500+AL35*60+AM35*600+AN35*20+AO35*60+AP35*20+AQ35*100+AR35*900+AS35*1300+AT35*2500+AU35*900+AV35*1200+AW35*1500+AX35*110+AY35*130+AZ35*50+BA35*600+BB35*5500+BC35*70000+BD35*90000</f>
        <v>0</v>
      </c>
      <c r="H35">
        <f t="shared" ref="H35:H66" si="11">G35-F35</f>
        <v>0</v>
      </c>
      <c r="I35" t="str">
        <f t="shared" ref="I35:I66" si="12">IF(F35=0,"",G35/F35)</f>
        <v/>
      </c>
      <c r="J35" t="str">
        <f t="shared" ref="J35:J66" si="13">IF(G35=0,"",E35*F35/G35)</f>
        <v/>
      </c>
      <c r="K35" s="3"/>
      <c r="L35">
        <f t="shared" ref="L35:L66" si="14">D35*K35</f>
        <v>0</v>
      </c>
      <c r="M35">
        <f t="shared" ref="M35:M66" si="15">F35*K35</f>
        <v>0</v>
      </c>
      <c r="N35">
        <f t="shared" ref="N35:N66" si="16">H35*K35</f>
        <v>0</v>
      </c>
      <c r="O35">
        <f t="shared" ref="O35:O66" si="17">G35*K35</f>
        <v>0</v>
      </c>
      <c r="P35" s="4"/>
      <c r="Q35" s="5"/>
      <c r="R35" s="6"/>
      <c r="S35" s="7"/>
      <c r="T35" s="8"/>
      <c r="U35" s="9"/>
      <c r="V35" s="10"/>
      <c r="W35" s="11"/>
      <c r="X35" s="12"/>
      <c r="Y35" s="13"/>
      <c r="Z35" s="14"/>
      <c r="AA35" s="15"/>
      <c r="AB35" s="16"/>
      <c r="AC35" s="17"/>
      <c r="AD35" s="18"/>
      <c r="AE35" s="4"/>
      <c r="AF35" s="19"/>
      <c r="AG35" s="20"/>
      <c r="AH35" s="15"/>
      <c r="AI35" s="21"/>
      <c r="AJ35" s="22"/>
      <c r="AK35" s="23"/>
      <c r="AL35" s="24"/>
      <c r="AM35" s="25"/>
      <c r="AN35" s="26"/>
      <c r="AO35" s="27"/>
      <c r="AP35" s="28"/>
      <c r="AQ35" s="29"/>
      <c r="AR35" s="30"/>
      <c r="AS35" s="31"/>
      <c r="AT35" s="32"/>
      <c r="AU35" s="33"/>
      <c r="AV35" s="34"/>
      <c r="AW35" s="35"/>
      <c r="AX35" s="36"/>
      <c r="AY35" s="37"/>
      <c r="AZ35" s="38"/>
      <c r="BA35" s="39"/>
      <c r="BB35" s="40"/>
      <c r="BC35" s="41"/>
      <c r="BD35" s="42"/>
    </row>
    <row r="36" spans="4:56" x14ac:dyDescent="0.3">
      <c r="D36">
        <f t="shared" si="9"/>
        <v>0</v>
      </c>
      <c r="G36">
        <f t="shared" si="10"/>
        <v>0</v>
      </c>
      <c r="H36">
        <f t="shared" si="11"/>
        <v>0</v>
      </c>
      <c r="I36" t="str">
        <f t="shared" si="12"/>
        <v/>
      </c>
      <c r="J36" t="str">
        <f t="shared" si="13"/>
        <v/>
      </c>
      <c r="K36" s="3"/>
      <c r="L36">
        <f t="shared" si="14"/>
        <v>0</v>
      </c>
      <c r="M36">
        <f t="shared" si="15"/>
        <v>0</v>
      </c>
      <c r="N36">
        <f t="shared" si="16"/>
        <v>0</v>
      </c>
      <c r="O36">
        <f t="shared" si="17"/>
        <v>0</v>
      </c>
      <c r="P36" s="4"/>
      <c r="Q36" s="5"/>
      <c r="R36" s="6"/>
      <c r="S36" s="7"/>
      <c r="T36" s="8"/>
      <c r="U36" s="9"/>
      <c r="V36" s="10"/>
      <c r="W36" s="11"/>
      <c r="X36" s="12"/>
      <c r="Y36" s="13"/>
      <c r="Z36" s="14"/>
      <c r="AA36" s="15"/>
      <c r="AB36" s="16"/>
      <c r="AC36" s="17"/>
      <c r="AD36" s="18"/>
      <c r="AE36" s="4"/>
      <c r="AF36" s="19"/>
      <c r="AG36" s="20"/>
      <c r="AH36" s="15"/>
      <c r="AI36" s="21"/>
      <c r="AJ36" s="22"/>
      <c r="AK36" s="23"/>
      <c r="AL36" s="24"/>
      <c r="AM36" s="25"/>
      <c r="AN36" s="26"/>
      <c r="AO36" s="27"/>
      <c r="AP36" s="28"/>
      <c r="AQ36" s="29"/>
      <c r="AR36" s="30"/>
      <c r="AS36" s="31"/>
      <c r="AT36" s="32"/>
      <c r="AU36" s="33"/>
      <c r="AV36" s="34"/>
      <c r="AW36" s="35"/>
      <c r="AX36" s="36"/>
      <c r="AY36" s="37"/>
      <c r="AZ36" s="38"/>
      <c r="BA36" s="39"/>
      <c r="BB36" s="40"/>
      <c r="BC36" s="41"/>
      <c r="BD36" s="42"/>
    </row>
    <row r="37" spans="4:56" x14ac:dyDescent="0.3">
      <c r="D37">
        <f t="shared" si="9"/>
        <v>0</v>
      </c>
      <c r="G37">
        <f t="shared" si="10"/>
        <v>0</v>
      </c>
      <c r="H37">
        <f t="shared" si="11"/>
        <v>0</v>
      </c>
      <c r="I37" t="str">
        <f t="shared" si="12"/>
        <v/>
      </c>
      <c r="J37" t="str">
        <f t="shared" si="13"/>
        <v/>
      </c>
      <c r="K37" s="3"/>
      <c r="L37">
        <f t="shared" si="14"/>
        <v>0</v>
      </c>
      <c r="M37">
        <f t="shared" si="15"/>
        <v>0</v>
      </c>
      <c r="N37">
        <f t="shared" si="16"/>
        <v>0</v>
      </c>
      <c r="O37">
        <f t="shared" si="17"/>
        <v>0</v>
      </c>
      <c r="P37" s="4"/>
      <c r="Q37" s="5"/>
      <c r="R37" s="6"/>
      <c r="S37" s="7"/>
      <c r="T37" s="8"/>
      <c r="U37" s="9"/>
      <c r="V37" s="10"/>
      <c r="W37" s="11"/>
      <c r="X37" s="12"/>
      <c r="Y37" s="13"/>
      <c r="Z37" s="14"/>
      <c r="AA37" s="15"/>
      <c r="AB37" s="16"/>
      <c r="AC37" s="17"/>
      <c r="AD37" s="18"/>
      <c r="AE37" s="4"/>
      <c r="AF37" s="19"/>
      <c r="AG37" s="20"/>
      <c r="AH37" s="15"/>
      <c r="AI37" s="21"/>
      <c r="AJ37" s="22"/>
      <c r="AK37" s="23"/>
      <c r="AL37" s="24"/>
      <c r="AM37" s="25"/>
      <c r="AN37" s="26"/>
      <c r="AO37" s="27"/>
      <c r="AP37" s="28"/>
      <c r="AQ37" s="29"/>
      <c r="AR37" s="30"/>
      <c r="AS37" s="31"/>
      <c r="AT37" s="32"/>
      <c r="AU37" s="33"/>
      <c r="AV37" s="34"/>
      <c r="AW37" s="35"/>
      <c r="AX37" s="36"/>
      <c r="AY37" s="37"/>
      <c r="AZ37" s="38"/>
      <c r="BA37" s="39"/>
      <c r="BB37" s="40"/>
      <c r="BC37" s="41"/>
      <c r="BD37" s="42"/>
    </row>
    <row r="38" spans="4:56" x14ac:dyDescent="0.3">
      <c r="D38">
        <f t="shared" si="9"/>
        <v>0</v>
      </c>
      <c r="G38">
        <f t="shared" si="10"/>
        <v>0</v>
      </c>
      <c r="H38">
        <f t="shared" si="11"/>
        <v>0</v>
      </c>
      <c r="I38" t="str">
        <f t="shared" si="12"/>
        <v/>
      </c>
      <c r="J38" t="str">
        <f t="shared" si="13"/>
        <v/>
      </c>
      <c r="K38" s="3"/>
      <c r="L38">
        <f t="shared" si="14"/>
        <v>0</v>
      </c>
      <c r="M38">
        <f t="shared" si="15"/>
        <v>0</v>
      </c>
      <c r="N38">
        <f t="shared" si="16"/>
        <v>0</v>
      </c>
      <c r="O38">
        <f t="shared" si="17"/>
        <v>0</v>
      </c>
      <c r="P38" s="4"/>
      <c r="Q38" s="5"/>
      <c r="R38" s="6"/>
      <c r="S38" s="7"/>
      <c r="T38" s="8"/>
      <c r="U38" s="9"/>
      <c r="V38" s="10"/>
      <c r="W38" s="11"/>
      <c r="X38" s="12"/>
      <c r="Y38" s="13"/>
      <c r="Z38" s="14"/>
      <c r="AA38" s="15"/>
      <c r="AB38" s="16"/>
      <c r="AC38" s="17"/>
      <c r="AD38" s="18"/>
      <c r="AE38" s="4"/>
      <c r="AF38" s="19"/>
      <c r="AG38" s="20"/>
      <c r="AH38" s="15"/>
      <c r="AI38" s="21"/>
      <c r="AJ38" s="22"/>
      <c r="AK38" s="23"/>
      <c r="AL38" s="24"/>
      <c r="AM38" s="25"/>
      <c r="AN38" s="26"/>
      <c r="AO38" s="27"/>
      <c r="AP38" s="28"/>
      <c r="AQ38" s="29"/>
      <c r="AR38" s="30"/>
      <c r="AS38" s="31"/>
      <c r="AT38" s="32"/>
      <c r="AU38" s="33"/>
      <c r="AV38" s="34"/>
      <c r="AW38" s="35"/>
      <c r="AX38" s="36"/>
      <c r="AY38" s="37"/>
      <c r="AZ38" s="38"/>
      <c r="BA38" s="39"/>
      <c r="BB38" s="40"/>
      <c r="BC38" s="41"/>
      <c r="BD38" s="42"/>
    </row>
    <row r="39" spans="4:56" x14ac:dyDescent="0.3">
      <c r="D39">
        <f t="shared" si="9"/>
        <v>0</v>
      </c>
      <c r="G39">
        <f t="shared" si="10"/>
        <v>0</v>
      </c>
      <c r="H39">
        <f t="shared" si="11"/>
        <v>0</v>
      </c>
      <c r="I39" t="str">
        <f t="shared" si="12"/>
        <v/>
      </c>
      <c r="J39" t="str">
        <f t="shared" si="13"/>
        <v/>
      </c>
      <c r="K39" s="3"/>
      <c r="L39">
        <f t="shared" si="14"/>
        <v>0</v>
      </c>
      <c r="M39">
        <f t="shared" si="15"/>
        <v>0</v>
      </c>
      <c r="N39">
        <f t="shared" si="16"/>
        <v>0</v>
      </c>
      <c r="O39">
        <f t="shared" si="17"/>
        <v>0</v>
      </c>
      <c r="P39" s="4"/>
      <c r="Q39" s="5"/>
      <c r="R39" s="6"/>
      <c r="S39" s="7"/>
      <c r="T39" s="8"/>
      <c r="U39" s="9"/>
      <c r="V39" s="10"/>
      <c r="W39" s="11"/>
      <c r="X39" s="12"/>
      <c r="Y39" s="13"/>
      <c r="Z39" s="14"/>
      <c r="AA39" s="15"/>
      <c r="AB39" s="16"/>
      <c r="AC39" s="17"/>
      <c r="AD39" s="18"/>
      <c r="AE39" s="4"/>
      <c r="AF39" s="19"/>
      <c r="AG39" s="20"/>
      <c r="AH39" s="15"/>
      <c r="AI39" s="21"/>
      <c r="AJ39" s="22"/>
      <c r="AK39" s="23"/>
      <c r="AL39" s="24"/>
      <c r="AM39" s="25"/>
      <c r="AN39" s="26"/>
      <c r="AO39" s="27"/>
      <c r="AP39" s="28"/>
      <c r="AQ39" s="29"/>
      <c r="AR39" s="30"/>
      <c r="AS39" s="31"/>
      <c r="AT39" s="32"/>
      <c r="AU39" s="33"/>
      <c r="AV39" s="34"/>
      <c r="AW39" s="35"/>
      <c r="AX39" s="36"/>
      <c r="AY39" s="37"/>
      <c r="AZ39" s="38"/>
      <c r="BA39" s="39"/>
      <c r="BB39" s="40"/>
      <c r="BC39" s="41"/>
      <c r="BD39" s="42"/>
    </row>
    <row r="40" spans="4:56" x14ac:dyDescent="0.3">
      <c r="D40">
        <f t="shared" si="9"/>
        <v>0</v>
      </c>
      <c r="G40">
        <f t="shared" si="10"/>
        <v>0</v>
      </c>
      <c r="H40">
        <f t="shared" si="11"/>
        <v>0</v>
      </c>
      <c r="I40" t="str">
        <f t="shared" si="12"/>
        <v/>
      </c>
      <c r="J40" t="str">
        <f t="shared" si="13"/>
        <v/>
      </c>
      <c r="K40" s="3"/>
      <c r="L40">
        <f t="shared" si="14"/>
        <v>0</v>
      </c>
      <c r="M40">
        <f t="shared" si="15"/>
        <v>0</v>
      </c>
      <c r="N40">
        <f t="shared" si="16"/>
        <v>0</v>
      </c>
      <c r="O40">
        <f t="shared" si="17"/>
        <v>0</v>
      </c>
      <c r="P40" s="4"/>
      <c r="Q40" s="5"/>
      <c r="R40" s="6"/>
      <c r="S40" s="7"/>
      <c r="T40" s="8"/>
      <c r="U40" s="9"/>
      <c r="V40" s="10"/>
      <c r="W40" s="11"/>
      <c r="X40" s="12"/>
      <c r="Y40" s="13"/>
      <c r="Z40" s="14"/>
      <c r="AA40" s="15"/>
      <c r="AB40" s="16"/>
      <c r="AC40" s="17"/>
      <c r="AD40" s="18"/>
      <c r="AE40" s="4"/>
      <c r="AF40" s="19"/>
      <c r="AG40" s="20"/>
      <c r="AH40" s="15"/>
      <c r="AI40" s="21"/>
      <c r="AJ40" s="22"/>
      <c r="AK40" s="23"/>
      <c r="AL40" s="24"/>
      <c r="AM40" s="25"/>
      <c r="AN40" s="26"/>
      <c r="AO40" s="27"/>
      <c r="AP40" s="28"/>
      <c r="AQ40" s="29"/>
      <c r="AR40" s="30"/>
      <c r="AS40" s="31"/>
      <c r="AT40" s="32"/>
      <c r="AU40" s="33"/>
      <c r="AV40" s="34"/>
      <c r="AW40" s="35"/>
      <c r="AX40" s="36"/>
      <c r="AY40" s="37"/>
      <c r="AZ40" s="38"/>
      <c r="BA40" s="39"/>
      <c r="BB40" s="40"/>
      <c r="BC40" s="41"/>
      <c r="BD40" s="42"/>
    </row>
    <row r="41" spans="4:56" x14ac:dyDescent="0.3">
      <c r="D41">
        <f t="shared" si="9"/>
        <v>0</v>
      </c>
      <c r="G41">
        <f t="shared" si="10"/>
        <v>0</v>
      </c>
      <c r="H41">
        <f t="shared" si="11"/>
        <v>0</v>
      </c>
      <c r="I41" t="str">
        <f t="shared" si="12"/>
        <v/>
      </c>
      <c r="J41" t="str">
        <f t="shared" si="13"/>
        <v/>
      </c>
      <c r="K41" s="3"/>
      <c r="L41">
        <f t="shared" si="14"/>
        <v>0</v>
      </c>
      <c r="M41">
        <f t="shared" si="15"/>
        <v>0</v>
      </c>
      <c r="N41">
        <f t="shared" si="16"/>
        <v>0</v>
      </c>
      <c r="O41">
        <f t="shared" si="17"/>
        <v>0</v>
      </c>
      <c r="P41" s="4"/>
      <c r="Q41" s="5"/>
      <c r="R41" s="6"/>
      <c r="S41" s="7"/>
      <c r="T41" s="8"/>
      <c r="U41" s="9"/>
      <c r="V41" s="10"/>
      <c r="W41" s="11"/>
      <c r="X41" s="12"/>
      <c r="Y41" s="13"/>
      <c r="Z41" s="14"/>
      <c r="AA41" s="15"/>
      <c r="AB41" s="16"/>
      <c r="AC41" s="17"/>
      <c r="AD41" s="18"/>
      <c r="AE41" s="4"/>
      <c r="AF41" s="19"/>
      <c r="AG41" s="20"/>
      <c r="AH41" s="15"/>
      <c r="AI41" s="21"/>
      <c r="AJ41" s="22"/>
      <c r="AK41" s="23"/>
      <c r="AL41" s="24"/>
      <c r="AM41" s="25"/>
      <c r="AN41" s="26"/>
      <c r="AO41" s="27"/>
      <c r="AP41" s="28"/>
      <c r="AQ41" s="29"/>
      <c r="AR41" s="30"/>
      <c r="AS41" s="31"/>
      <c r="AT41" s="32"/>
      <c r="AU41" s="33"/>
      <c r="AV41" s="34"/>
      <c r="AW41" s="35"/>
      <c r="AX41" s="36"/>
      <c r="AY41" s="37"/>
      <c r="AZ41" s="38"/>
      <c r="BA41" s="39"/>
      <c r="BB41" s="40"/>
      <c r="BC41" s="41"/>
      <c r="BD41" s="42"/>
    </row>
    <row r="42" spans="4:56" x14ac:dyDescent="0.3">
      <c r="D42">
        <f t="shared" si="9"/>
        <v>0</v>
      </c>
      <c r="G42">
        <f t="shared" si="10"/>
        <v>0</v>
      </c>
      <c r="H42">
        <f t="shared" si="11"/>
        <v>0</v>
      </c>
      <c r="I42" t="str">
        <f t="shared" si="12"/>
        <v/>
      </c>
      <c r="J42" t="str">
        <f t="shared" si="13"/>
        <v/>
      </c>
      <c r="K42" s="3"/>
      <c r="L42">
        <f t="shared" si="14"/>
        <v>0</v>
      </c>
      <c r="M42">
        <f t="shared" si="15"/>
        <v>0</v>
      </c>
      <c r="N42">
        <f t="shared" si="16"/>
        <v>0</v>
      </c>
      <c r="O42">
        <f t="shared" si="17"/>
        <v>0</v>
      </c>
      <c r="P42" s="4"/>
      <c r="Q42" s="5"/>
      <c r="R42" s="6"/>
      <c r="S42" s="7"/>
      <c r="T42" s="8"/>
      <c r="U42" s="9"/>
      <c r="V42" s="10"/>
      <c r="W42" s="11"/>
      <c r="X42" s="12"/>
      <c r="Y42" s="13"/>
      <c r="Z42" s="14"/>
      <c r="AA42" s="15"/>
      <c r="AB42" s="16"/>
      <c r="AC42" s="17"/>
      <c r="AD42" s="18"/>
      <c r="AE42" s="4"/>
      <c r="AF42" s="19"/>
      <c r="AG42" s="20"/>
      <c r="AH42" s="15"/>
      <c r="AI42" s="21"/>
      <c r="AJ42" s="22"/>
      <c r="AK42" s="23"/>
      <c r="AL42" s="24"/>
      <c r="AM42" s="25"/>
      <c r="AN42" s="26"/>
      <c r="AO42" s="27"/>
      <c r="AP42" s="28"/>
      <c r="AQ42" s="29"/>
      <c r="AR42" s="30"/>
      <c r="AS42" s="31"/>
      <c r="AT42" s="32"/>
      <c r="AU42" s="33"/>
      <c r="AV42" s="34"/>
      <c r="AW42" s="35"/>
      <c r="AX42" s="36"/>
      <c r="AY42" s="37"/>
      <c r="AZ42" s="38"/>
      <c r="BA42" s="39"/>
      <c r="BB42" s="40"/>
      <c r="BC42" s="41"/>
      <c r="BD42" s="42"/>
    </row>
    <row r="43" spans="4:56" x14ac:dyDescent="0.3">
      <c r="D43">
        <f t="shared" si="9"/>
        <v>0</v>
      </c>
      <c r="G43">
        <f t="shared" si="10"/>
        <v>0</v>
      </c>
      <c r="H43">
        <f t="shared" si="11"/>
        <v>0</v>
      </c>
      <c r="I43" t="str">
        <f t="shared" si="12"/>
        <v/>
      </c>
      <c r="J43" t="str">
        <f t="shared" si="13"/>
        <v/>
      </c>
      <c r="K43" s="3"/>
      <c r="L43">
        <f t="shared" si="14"/>
        <v>0</v>
      </c>
      <c r="M43">
        <f t="shared" si="15"/>
        <v>0</v>
      </c>
      <c r="N43">
        <f t="shared" si="16"/>
        <v>0</v>
      </c>
      <c r="O43">
        <f t="shared" si="17"/>
        <v>0</v>
      </c>
      <c r="P43" s="4"/>
      <c r="Q43" s="5"/>
      <c r="R43" s="6"/>
      <c r="S43" s="7"/>
      <c r="T43" s="8"/>
      <c r="U43" s="9"/>
      <c r="V43" s="10"/>
      <c r="W43" s="11"/>
      <c r="X43" s="12"/>
      <c r="Y43" s="13"/>
      <c r="Z43" s="14"/>
      <c r="AA43" s="15"/>
      <c r="AB43" s="16"/>
      <c r="AC43" s="17"/>
      <c r="AD43" s="18"/>
      <c r="AE43" s="4"/>
      <c r="AF43" s="19"/>
      <c r="AG43" s="20"/>
      <c r="AH43" s="15"/>
      <c r="AI43" s="21"/>
      <c r="AJ43" s="22"/>
      <c r="AK43" s="23"/>
      <c r="AL43" s="24"/>
      <c r="AM43" s="25"/>
      <c r="AN43" s="26"/>
      <c r="AO43" s="27"/>
      <c r="AP43" s="28"/>
      <c r="AQ43" s="29"/>
      <c r="AR43" s="30"/>
      <c r="AS43" s="31"/>
      <c r="AT43" s="32"/>
      <c r="AU43" s="33"/>
      <c r="AV43" s="34"/>
      <c r="AW43" s="35"/>
      <c r="AX43" s="36"/>
      <c r="AY43" s="37"/>
      <c r="AZ43" s="38"/>
      <c r="BA43" s="39"/>
      <c r="BB43" s="40"/>
      <c r="BC43" s="41"/>
      <c r="BD43" s="42"/>
    </row>
    <row r="44" spans="4:56" x14ac:dyDescent="0.3">
      <c r="D44">
        <f t="shared" si="9"/>
        <v>0</v>
      </c>
      <c r="G44">
        <f t="shared" si="10"/>
        <v>0</v>
      </c>
      <c r="H44">
        <f t="shared" si="11"/>
        <v>0</v>
      </c>
      <c r="I44" t="str">
        <f t="shared" si="12"/>
        <v/>
      </c>
      <c r="J44" t="str">
        <f t="shared" si="13"/>
        <v/>
      </c>
      <c r="K44" s="3"/>
      <c r="L44">
        <f t="shared" si="14"/>
        <v>0</v>
      </c>
      <c r="M44">
        <f t="shared" si="15"/>
        <v>0</v>
      </c>
      <c r="N44">
        <f t="shared" si="16"/>
        <v>0</v>
      </c>
      <c r="O44">
        <f t="shared" si="17"/>
        <v>0</v>
      </c>
      <c r="P44" s="4"/>
      <c r="Q44" s="5"/>
      <c r="R44" s="6"/>
      <c r="S44" s="7"/>
      <c r="T44" s="8"/>
      <c r="U44" s="9"/>
      <c r="V44" s="10"/>
      <c r="W44" s="11"/>
      <c r="X44" s="12"/>
      <c r="Y44" s="13"/>
      <c r="Z44" s="14"/>
      <c r="AA44" s="15"/>
      <c r="AB44" s="16"/>
      <c r="AC44" s="17"/>
      <c r="AD44" s="18"/>
      <c r="AE44" s="4"/>
      <c r="AF44" s="19"/>
      <c r="AG44" s="20"/>
      <c r="AH44" s="15"/>
      <c r="AI44" s="21"/>
      <c r="AJ44" s="22"/>
      <c r="AK44" s="23"/>
      <c r="AL44" s="24"/>
      <c r="AM44" s="25"/>
      <c r="AN44" s="26"/>
      <c r="AO44" s="27"/>
      <c r="AP44" s="28"/>
      <c r="AQ44" s="29"/>
      <c r="AR44" s="30"/>
      <c r="AS44" s="31"/>
      <c r="AT44" s="32"/>
      <c r="AU44" s="33"/>
      <c r="AV44" s="34"/>
      <c r="AW44" s="35"/>
      <c r="AX44" s="36"/>
      <c r="AY44" s="37"/>
      <c r="AZ44" s="38"/>
      <c r="BA44" s="39"/>
      <c r="BB44" s="40"/>
      <c r="BC44" s="41"/>
      <c r="BD44" s="42"/>
    </row>
    <row r="45" spans="4:56" x14ac:dyDescent="0.3">
      <c r="D45">
        <f t="shared" si="9"/>
        <v>0</v>
      </c>
      <c r="G45">
        <f t="shared" si="10"/>
        <v>0</v>
      </c>
      <c r="H45">
        <f t="shared" si="11"/>
        <v>0</v>
      </c>
      <c r="I45" t="str">
        <f t="shared" si="12"/>
        <v/>
      </c>
      <c r="J45" t="str">
        <f t="shared" si="13"/>
        <v/>
      </c>
      <c r="K45" s="3"/>
      <c r="L45">
        <f t="shared" si="14"/>
        <v>0</v>
      </c>
      <c r="M45">
        <f t="shared" si="15"/>
        <v>0</v>
      </c>
      <c r="N45">
        <f t="shared" si="16"/>
        <v>0</v>
      </c>
      <c r="O45">
        <f t="shared" si="17"/>
        <v>0</v>
      </c>
      <c r="P45" s="4"/>
      <c r="Q45" s="5"/>
      <c r="R45" s="6"/>
      <c r="S45" s="7"/>
      <c r="T45" s="8"/>
      <c r="U45" s="9"/>
      <c r="V45" s="10"/>
      <c r="W45" s="11"/>
      <c r="X45" s="12"/>
      <c r="Y45" s="13"/>
      <c r="Z45" s="14"/>
      <c r="AA45" s="15"/>
      <c r="AB45" s="16"/>
      <c r="AC45" s="17"/>
      <c r="AD45" s="18"/>
      <c r="AE45" s="4"/>
      <c r="AF45" s="19"/>
      <c r="AG45" s="20"/>
      <c r="AH45" s="15"/>
      <c r="AI45" s="21"/>
      <c r="AJ45" s="22"/>
      <c r="AK45" s="23"/>
      <c r="AL45" s="24"/>
      <c r="AM45" s="25"/>
      <c r="AN45" s="26"/>
      <c r="AO45" s="27"/>
      <c r="AP45" s="28"/>
      <c r="AQ45" s="29"/>
      <c r="AR45" s="30"/>
      <c r="AS45" s="31"/>
      <c r="AT45" s="32"/>
      <c r="AU45" s="33"/>
      <c r="AV45" s="34"/>
      <c r="AW45" s="35"/>
      <c r="AX45" s="36"/>
      <c r="AY45" s="37"/>
      <c r="AZ45" s="38"/>
      <c r="BA45" s="39"/>
      <c r="BB45" s="40"/>
      <c r="BC45" s="41"/>
      <c r="BD45" s="42"/>
    </row>
    <row r="46" spans="4:56" x14ac:dyDescent="0.3">
      <c r="D46">
        <f t="shared" si="9"/>
        <v>0</v>
      </c>
      <c r="G46">
        <f t="shared" si="10"/>
        <v>0</v>
      </c>
      <c r="H46">
        <f t="shared" si="11"/>
        <v>0</v>
      </c>
      <c r="I46" t="str">
        <f t="shared" si="12"/>
        <v/>
      </c>
      <c r="J46" t="str">
        <f t="shared" si="13"/>
        <v/>
      </c>
      <c r="K46" s="3"/>
      <c r="L46">
        <f t="shared" si="14"/>
        <v>0</v>
      </c>
      <c r="M46">
        <f t="shared" si="15"/>
        <v>0</v>
      </c>
      <c r="N46">
        <f t="shared" si="16"/>
        <v>0</v>
      </c>
      <c r="O46">
        <f t="shared" si="17"/>
        <v>0</v>
      </c>
      <c r="P46" s="4"/>
      <c r="Q46" s="5"/>
      <c r="R46" s="6"/>
      <c r="S46" s="7"/>
      <c r="T46" s="8"/>
      <c r="U46" s="9"/>
      <c r="V46" s="10"/>
      <c r="W46" s="11"/>
      <c r="X46" s="12"/>
      <c r="Y46" s="13"/>
      <c r="Z46" s="14"/>
      <c r="AA46" s="15"/>
      <c r="AB46" s="16"/>
      <c r="AC46" s="17"/>
      <c r="AD46" s="18"/>
      <c r="AE46" s="4"/>
      <c r="AF46" s="19"/>
      <c r="AG46" s="20"/>
      <c r="AH46" s="15"/>
      <c r="AI46" s="21"/>
      <c r="AJ46" s="22"/>
      <c r="AK46" s="23"/>
      <c r="AL46" s="24"/>
      <c r="AM46" s="25"/>
      <c r="AN46" s="26"/>
      <c r="AO46" s="27"/>
      <c r="AP46" s="28"/>
      <c r="AQ46" s="29"/>
      <c r="AR46" s="30"/>
      <c r="AS46" s="31"/>
      <c r="AT46" s="32"/>
      <c r="AU46" s="33"/>
      <c r="AV46" s="34"/>
      <c r="AW46" s="35"/>
      <c r="AX46" s="36"/>
      <c r="AY46" s="37"/>
      <c r="AZ46" s="38"/>
      <c r="BA46" s="39"/>
      <c r="BB46" s="40"/>
      <c r="BC46" s="41"/>
      <c r="BD46" s="42"/>
    </row>
    <row r="47" spans="4:56" x14ac:dyDescent="0.3">
      <c r="D47">
        <f t="shared" si="9"/>
        <v>0</v>
      </c>
      <c r="G47">
        <f t="shared" si="10"/>
        <v>0</v>
      </c>
      <c r="H47">
        <f t="shared" si="11"/>
        <v>0</v>
      </c>
      <c r="I47" t="str">
        <f t="shared" si="12"/>
        <v/>
      </c>
      <c r="J47" t="str">
        <f t="shared" si="13"/>
        <v/>
      </c>
      <c r="K47" s="3"/>
      <c r="L47">
        <f t="shared" si="14"/>
        <v>0</v>
      </c>
      <c r="M47">
        <f t="shared" si="15"/>
        <v>0</v>
      </c>
      <c r="N47">
        <f t="shared" si="16"/>
        <v>0</v>
      </c>
      <c r="O47">
        <f t="shared" si="17"/>
        <v>0</v>
      </c>
      <c r="P47" s="4"/>
      <c r="Q47" s="5"/>
      <c r="R47" s="6"/>
      <c r="S47" s="7"/>
      <c r="T47" s="8"/>
      <c r="U47" s="9"/>
      <c r="V47" s="10"/>
      <c r="W47" s="11"/>
      <c r="X47" s="12"/>
      <c r="Y47" s="13"/>
      <c r="Z47" s="14"/>
      <c r="AA47" s="15"/>
      <c r="AB47" s="16"/>
      <c r="AC47" s="17"/>
      <c r="AD47" s="18"/>
      <c r="AE47" s="4"/>
      <c r="AF47" s="19"/>
      <c r="AG47" s="20"/>
      <c r="AH47" s="15"/>
      <c r="AI47" s="21"/>
      <c r="AJ47" s="22"/>
      <c r="AK47" s="23"/>
      <c r="AL47" s="24"/>
      <c r="AM47" s="25"/>
      <c r="AN47" s="26"/>
      <c r="AO47" s="27"/>
      <c r="AP47" s="28"/>
      <c r="AQ47" s="29"/>
      <c r="AR47" s="30"/>
      <c r="AS47" s="31"/>
      <c r="AT47" s="32"/>
      <c r="AU47" s="33"/>
      <c r="AV47" s="34"/>
      <c r="AW47" s="35"/>
      <c r="AX47" s="36"/>
      <c r="AY47" s="37"/>
      <c r="AZ47" s="38"/>
      <c r="BA47" s="39"/>
      <c r="BB47" s="40"/>
      <c r="BC47" s="41"/>
      <c r="BD47" s="42"/>
    </row>
    <row r="48" spans="4:56" x14ac:dyDescent="0.3">
      <c r="D48">
        <f t="shared" si="9"/>
        <v>0</v>
      </c>
      <c r="G48">
        <f t="shared" si="10"/>
        <v>0</v>
      </c>
      <c r="H48">
        <f t="shared" si="11"/>
        <v>0</v>
      </c>
      <c r="I48" t="str">
        <f t="shared" si="12"/>
        <v/>
      </c>
      <c r="J48" t="str">
        <f t="shared" si="13"/>
        <v/>
      </c>
      <c r="K48" s="3"/>
      <c r="L48">
        <f t="shared" si="14"/>
        <v>0</v>
      </c>
      <c r="M48">
        <f t="shared" si="15"/>
        <v>0</v>
      </c>
      <c r="N48">
        <f t="shared" si="16"/>
        <v>0</v>
      </c>
      <c r="O48">
        <f t="shared" si="17"/>
        <v>0</v>
      </c>
      <c r="P48" s="4"/>
      <c r="Q48" s="5"/>
      <c r="R48" s="6"/>
      <c r="S48" s="7"/>
      <c r="T48" s="8"/>
      <c r="U48" s="9"/>
      <c r="V48" s="10"/>
      <c r="W48" s="11"/>
      <c r="X48" s="12"/>
      <c r="Y48" s="13"/>
      <c r="Z48" s="14"/>
      <c r="AA48" s="15"/>
      <c r="AB48" s="16"/>
      <c r="AC48" s="17"/>
      <c r="AD48" s="18"/>
      <c r="AE48" s="4"/>
      <c r="AF48" s="19"/>
      <c r="AG48" s="20"/>
      <c r="AH48" s="15"/>
      <c r="AI48" s="21"/>
      <c r="AJ48" s="22"/>
      <c r="AK48" s="23"/>
      <c r="AL48" s="24"/>
      <c r="AM48" s="25"/>
      <c r="AN48" s="26"/>
      <c r="AO48" s="27"/>
      <c r="AP48" s="28"/>
      <c r="AQ48" s="29"/>
      <c r="AR48" s="30"/>
      <c r="AS48" s="31"/>
      <c r="AT48" s="32"/>
      <c r="AU48" s="33"/>
      <c r="AV48" s="34"/>
      <c r="AW48" s="35"/>
      <c r="AX48" s="36"/>
      <c r="AY48" s="37"/>
      <c r="AZ48" s="38"/>
      <c r="BA48" s="39"/>
      <c r="BB48" s="40"/>
      <c r="BC48" s="41"/>
      <c r="BD48" s="42"/>
    </row>
    <row r="49" spans="4:56" x14ac:dyDescent="0.3">
      <c r="D49">
        <f t="shared" si="9"/>
        <v>0</v>
      </c>
      <c r="G49">
        <f t="shared" si="10"/>
        <v>0</v>
      </c>
      <c r="H49">
        <f t="shared" si="11"/>
        <v>0</v>
      </c>
      <c r="I49" t="str">
        <f t="shared" si="12"/>
        <v/>
      </c>
      <c r="J49" t="str">
        <f t="shared" si="13"/>
        <v/>
      </c>
      <c r="K49" s="3"/>
      <c r="L49">
        <f t="shared" si="14"/>
        <v>0</v>
      </c>
      <c r="M49">
        <f t="shared" si="15"/>
        <v>0</v>
      </c>
      <c r="N49">
        <f t="shared" si="16"/>
        <v>0</v>
      </c>
      <c r="O49">
        <f t="shared" si="17"/>
        <v>0</v>
      </c>
      <c r="P49" s="4"/>
      <c r="Q49" s="5"/>
      <c r="R49" s="6"/>
      <c r="S49" s="7"/>
      <c r="T49" s="8"/>
      <c r="U49" s="9"/>
      <c r="V49" s="10"/>
      <c r="W49" s="11"/>
      <c r="X49" s="12"/>
      <c r="Y49" s="13"/>
      <c r="Z49" s="14"/>
      <c r="AA49" s="15"/>
      <c r="AB49" s="16"/>
      <c r="AC49" s="17"/>
      <c r="AD49" s="18"/>
      <c r="AE49" s="4"/>
      <c r="AF49" s="19"/>
      <c r="AG49" s="20"/>
      <c r="AH49" s="15"/>
      <c r="AI49" s="21"/>
      <c r="AJ49" s="22"/>
      <c r="AK49" s="23"/>
      <c r="AL49" s="24"/>
      <c r="AM49" s="25"/>
      <c r="AN49" s="26"/>
      <c r="AO49" s="27"/>
      <c r="AP49" s="28"/>
      <c r="AQ49" s="29"/>
      <c r="AR49" s="30"/>
      <c r="AS49" s="31"/>
      <c r="AT49" s="32"/>
      <c r="AU49" s="33"/>
      <c r="AV49" s="34"/>
      <c r="AW49" s="35"/>
      <c r="AX49" s="36"/>
      <c r="AY49" s="37"/>
      <c r="AZ49" s="38"/>
      <c r="BA49" s="39"/>
      <c r="BB49" s="40"/>
      <c r="BC49" s="41"/>
      <c r="BD49" s="42"/>
    </row>
    <row r="50" spans="4:56" x14ac:dyDescent="0.3">
      <c r="D50">
        <f t="shared" si="9"/>
        <v>0</v>
      </c>
      <c r="G50">
        <f t="shared" si="10"/>
        <v>0</v>
      </c>
      <c r="H50">
        <f t="shared" si="11"/>
        <v>0</v>
      </c>
      <c r="I50" t="str">
        <f t="shared" si="12"/>
        <v/>
      </c>
      <c r="J50" t="str">
        <f t="shared" si="13"/>
        <v/>
      </c>
      <c r="K50" s="3"/>
      <c r="L50">
        <f t="shared" si="14"/>
        <v>0</v>
      </c>
      <c r="M50">
        <f t="shared" si="15"/>
        <v>0</v>
      </c>
      <c r="N50">
        <f t="shared" si="16"/>
        <v>0</v>
      </c>
      <c r="O50">
        <f t="shared" si="17"/>
        <v>0</v>
      </c>
      <c r="P50" s="4"/>
      <c r="Q50" s="5"/>
      <c r="R50" s="6"/>
      <c r="S50" s="7"/>
      <c r="T50" s="8"/>
      <c r="U50" s="9"/>
      <c r="V50" s="10"/>
      <c r="W50" s="11"/>
      <c r="X50" s="12"/>
      <c r="Y50" s="13"/>
      <c r="Z50" s="14"/>
      <c r="AA50" s="15"/>
      <c r="AB50" s="16"/>
      <c r="AC50" s="17"/>
      <c r="AD50" s="18"/>
      <c r="AE50" s="4"/>
      <c r="AF50" s="19"/>
      <c r="AG50" s="20"/>
      <c r="AH50" s="15"/>
      <c r="AI50" s="21"/>
      <c r="AJ50" s="22"/>
      <c r="AK50" s="23"/>
      <c r="AL50" s="24"/>
      <c r="AM50" s="25"/>
      <c r="AN50" s="26"/>
      <c r="AO50" s="27"/>
      <c r="AP50" s="28"/>
      <c r="AQ50" s="29"/>
      <c r="AR50" s="30"/>
      <c r="AS50" s="31"/>
      <c r="AT50" s="32"/>
      <c r="AU50" s="33"/>
      <c r="AV50" s="34"/>
      <c r="AW50" s="35"/>
      <c r="AX50" s="36"/>
      <c r="AY50" s="37"/>
      <c r="AZ50" s="38"/>
      <c r="BA50" s="39"/>
      <c r="BB50" s="40"/>
      <c r="BC50" s="41"/>
      <c r="BD50" s="42"/>
    </row>
    <row r="51" spans="4:56" x14ac:dyDescent="0.3">
      <c r="D51">
        <f t="shared" si="9"/>
        <v>0</v>
      </c>
      <c r="G51">
        <f t="shared" si="10"/>
        <v>0</v>
      </c>
      <c r="H51">
        <f t="shared" si="11"/>
        <v>0</v>
      </c>
      <c r="I51" t="str">
        <f t="shared" si="12"/>
        <v/>
      </c>
      <c r="J51" t="str">
        <f t="shared" si="13"/>
        <v/>
      </c>
      <c r="K51" s="3"/>
      <c r="L51">
        <f t="shared" si="14"/>
        <v>0</v>
      </c>
      <c r="M51">
        <f t="shared" si="15"/>
        <v>0</v>
      </c>
      <c r="N51">
        <f t="shared" si="16"/>
        <v>0</v>
      </c>
      <c r="O51">
        <f t="shared" si="17"/>
        <v>0</v>
      </c>
      <c r="P51" s="4"/>
      <c r="Q51" s="5"/>
      <c r="R51" s="6"/>
      <c r="S51" s="7"/>
      <c r="T51" s="8"/>
      <c r="U51" s="9"/>
      <c r="V51" s="10"/>
      <c r="W51" s="11"/>
      <c r="X51" s="12"/>
      <c r="Y51" s="13"/>
      <c r="Z51" s="14"/>
      <c r="AA51" s="15"/>
      <c r="AB51" s="16"/>
      <c r="AC51" s="17"/>
      <c r="AD51" s="18"/>
      <c r="AE51" s="4"/>
      <c r="AF51" s="19"/>
      <c r="AG51" s="20"/>
      <c r="AH51" s="15"/>
      <c r="AI51" s="21"/>
      <c r="AJ51" s="22"/>
      <c r="AK51" s="23"/>
      <c r="AL51" s="24"/>
      <c r="AM51" s="25"/>
      <c r="AN51" s="26"/>
      <c r="AO51" s="27"/>
      <c r="AP51" s="28"/>
      <c r="AQ51" s="29"/>
      <c r="AR51" s="30"/>
      <c r="AS51" s="31"/>
      <c r="AT51" s="32"/>
      <c r="AU51" s="33"/>
      <c r="AV51" s="34"/>
      <c r="AW51" s="35"/>
      <c r="AX51" s="36"/>
      <c r="AY51" s="37"/>
      <c r="AZ51" s="38"/>
      <c r="BA51" s="39"/>
      <c r="BB51" s="40"/>
      <c r="BC51" s="41"/>
      <c r="BD51" s="42"/>
    </row>
    <row r="52" spans="4:56" x14ac:dyDescent="0.3">
      <c r="D52">
        <f t="shared" si="9"/>
        <v>0</v>
      </c>
      <c r="G52">
        <f t="shared" si="10"/>
        <v>0</v>
      </c>
      <c r="H52">
        <f t="shared" si="11"/>
        <v>0</v>
      </c>
      <c r="I52" t="str">
        <f t="shared" si="12"/>
        <v/>
      </c>
      <c r="J52" t="str">
        <f t="shared" si="13"/>
        <v/>
      </c>
      <c r="K52" s="3"/>
      <c r="L52">
        <f t="shared" si="14"/>
        <v>0</v>
      </c>
      <c r="M52">
        <f t="shared" si="15"/>
        <v>0</v>
      </c>
      <c r="N52">
        <f t="shared" si="16"/>
        <v>0</v>
      </c>
      <c r="O52">
        <f t="shared" si="17"/>
        <v>0</v>
      </c>
      <c r="P52" s="4"/>
      <c r="Q52" s="5"/>
      <c r="R52" s="6"/>
      <c r="S52" s="7"/>
      <c r="T52" s="8"/>
      <c r="U52" s="9"/>
      <c r="V52" s="10"/>
      <c r="W52" s="11"/>
      <c r="X52" s="12"/>
      <c r="Y52" s="13"/>
      <c r="Z52" s="14"/>
      <c r="AA52" s="15"/>
      <c r="AB52" s="16"/>
      <c r="AC52" s="17"/>
      <c r="AD52" s="18"/>
      <c r="AE52" s="4"/>
      <c r="AF52" s="19"/>
      <c r="AG52" s="20"/>
      <c r="AH52" s="15"/>
      <c r="AI52" s="21"/>
      <c r="AJ52" s="22"/>
      <c r="AK52" s="23"/>
      <c r="AL52" s="24"/>
      <c r="AM52" s="25"/>
      <c r="AN52" s="26"/>
      <c r="AO52" s="27"/>
      <c r="AP52" s="28"/>
      <c r="AQ52" s="29"/>
      <c r="AR52" s="30"/>
      <c r="AS52" s="31"/>
      <c r="AT52" s="32"/>
      <c r="AU52" s="33"/>
      <c r="AV52" s="34"/>
      <c r="AW52" s="35"/>
      <c r="AX52" s="36"/>
      <c r="AY52" s="37"/>
      <c r="AZ52" s="38"/>
      <c r="BA52" s="39"/>
      <c r="BB52" s="40"/>
      <c r="BC52" s="41"/>
      <c r="BD52" s="42"/>
    </row>
    <row r="53" spans="4:56" x14ac:dyDescent="0.3">
      <c r="D53">
        <f t="shared" si="9"/>
        <v>0</v>
      </c>
      <c r="G53">
        <f t="shared" si="10"/>
        <v>0</v>
      </c>
      <c r="H53">
        <f t="shared" si="11"/>
        <v>0</v>
      </c>
      <c r="I53" t="str">
        <f t="shared" si="12"/>
        <v/>
      </c>
      <c r="J53" t="str">
        <f t="shared" si="13"/>
        <v/>
      </c>
      <c r="K53" s="3"/>
      <c r="L53">
        <f t="shared" si="14"/>
        <v>0</v>
      </c>
      <c r="M53">
        <f t="shared" si="15"/>
        <v>0</v>
      </c>
      <c r="N53">
        <f t="shared" si="16"/>
        <v>0</v>
      </c>
      <c r="O53">
        <f t="shared" si="17"/>
        <v>0</v>
      </c>
      <c r="P53" s="4"/>
      <c r="Q53" s="5"/>
      <c r="R53" s="6"/>
      <c r="S53" s="7"/>
      <c r="T53" s="8"/>
      <c r="U53" s="9"/>
      <c r="V53" s="10"/>
      <c r="W53" s="11"/>
      <c r="X53" s="12"/>
      <c r="Y53" s="13"/>
      <c r="Z53" s="14"/>
      <c r="AA53" s="15"/>
      <c r="AB53" s="16"/>
      <c r="AC53" s="17"/>
      <c r="AD53" s="18"/>
      <c r="AE53" s="4"/>
      <c r="AF53" s="19"/>
      <c r="AG53" s="20"/>
      <c r="AH53" s="15"/>
      <c r="AI53" s="21"/>
      <c r="AJ53" s="22"/>
      <c r="AK53" s="23"/>
      <c r="AL53" s="24"/>
      <c r="AM53" s="25"/>
      <c r="AN53" s="26"/>
      <c r="AO53" s="27"/>
      <c r="AP53" s="28"/>
      <c r="AQ53" s="29"/>
      <c r="AR53" s="30"/>
      <c r="AS53" s="31"/>
      <c r="AT53" s="32"/>
      <c r="AU53" s="33"/>
      <c r="AV53" s="34"/>
      <c r="AW53" s="35"/>
      <c r="AX53" s="36"/>
      <c r="AY53" s="37"/>
      <c r="AZ53" s="38"/>
      <c r="BA53" s="39"/>
      <c r="BB53" s="40"/>
      <c r="BC53" s="41"/>
      <c r="BD53" s="42"/>
    </row>
    <row r="54" spans="4:56" x14ac:dyDescent="0.3">
      <c r="D54">
        <f t="shared" si="9"/>
        <v>0</v>
      </c>
      <c r="G54">
        <f t="shared" si="10"/>
        <v>0</v>
      </c>
      <c r="H54">
        <f t="shared" si="11"/>
        <v>0</v>
      </c>
      <c r="I54" t="str">
        <f t="shared" si="12"/>
        <v/>
      </c>
      <c r="J54" t="str">
        <f t="shared" si="13"/>
        <v/>
      </c>
      <c r="K54" s="3"/>
      <c r="L54">
        <f t="shared" si="14"/>
        <v>0</v>
      </c>
      <c r="M54">
        <f t="shared" si="15"/>
        <v>0</v>
      </c>
      <c r="N54">
        <f t="shared" si="16"/>
        <v>0</v>
      </c>
      <c r="O54">
        <f t="shared" si="17"/>
        <v>0</v>
      </c>
      <c r="P54" s="4"/>
      <c r="Q54" s="5"/>
      <c r="R54" s="6"/>
      <c r="S54" s="7"/>
      <c r="T54" s="8"/>
      <c r="U54" s="9"/>
      <c r="V54" s="10"/>
      <c r="W54" s="11"/>
      <c r="X54" s="12"/>
      <c r="Y54" s="13"/>
      <c r="Z54" s="14"/>
      <c r="AA54" s="15"/>
      <c r="AB54" s="16"/>
      <c r="AC54" s="17"/>
      <c r="AD54" s="18"/>
      <c r="AE54" s="4"/>
      <c r="AF54" s="19"/>
      <c r="AG54" s="20"/>
      <c r="AH54" s="15"/>
      <c r="AI54" s="21"/>
      <c r="AJ54" s="22"/>
      <c r="AK54" s="23"/>
      <c r="AL54" s="24"/>
      <c r="AM54" s="25"/>
      <c r="AN54" s="26"/>
      <c r="AO54" s="27"/>
      <c r="AP54" s="28"/>
      <c r="AQ54" s="29"/>
      <c r="AR54" s="30"/>
      <c r="AS54" s="31"/>
      <c r="AT54" s="32"/>
      <c r="AU54" s="33"/>
      <c r="AV54" s="34"/>
      <c r="AW54" s="35"/>
      <c r="AX54" s="36"/>
      <c r="AY54" s="37"/>
      <c r="AZ54" s="38"/>
      <c r="BA54" s="39"/>
      <c r="BB54" s="40"/>
      <c r="BC54" s="41"/>
      <c r="BD54" s="42"/>
    </row>
    <row r="55" spans="4:56" x14ac:dyDescent="0.3">
      <c r="D55">
        <f t="shared" si="9"/>
        <v>0</v>
      </c>
      <c r="G55">
        <f t="shared" si="10"/>
        <v>0</v>
      </c>
      <c r="H55">
        <f t="shared" si="11"/>
        <v>0</v>
      </c>
      <c r="I55" t="str">
        <f t="shared" si="12"/>
        <v/>
      </c>
      <c r="J55" t="str">
        <f t="shared" si="13"/>
        <v/>
      </c>
      <c r="K55" s="3"/>
      <c r="L55">
        <f t="shared" si="14"/>
        <v>0</v>
      </c>
      <c r="M55">
        <f t="shared" si="15"/>
        <v>0</v>
      </c>
      <c r="N55">
        <f t="shared" si="16"/>
        <v>0</v>
      </c>
      <c r="O55">
        <f t="shared" si="17"/>
        <v>0</v>
      </c>
      <c r="P55" s="4"/>
      <c r="Q55" s="5"/>
      <c r="R55" s="6"/>
      <c r="S55" s="7"/>
      <c r="T55" s="8"/>
      <c r="U55" s="9"/>
      <c r="V55" s="10"/>
      <c r="W55" s="11"/>
      <c r="X55" s="12"/>
      <c r="Y55" s="13"/>
      <c r="Z55" s="14"/>
      <c r="AA55" s="15"/>
      <c r="AB55" s="16"/>
      <c r="AC55" s="17"/>
      <c r="AD55" s="18"/>
      <c r="AE55" s="4"/>
      <c r="AF55" s="19"/>
      <c r="AG55" s="20"/>
      <c r="AH55" s="15"/>
      <c r="AI55" s="21"/>
      <c r="AJ55" s="22"/>
      <c r="AK55" s="23"/>
      <c r="AL55" s="24"/>
      <c r="AM55" s="25"/>
      <c r="AN55" s="26"/>
      <c r="AO55" s="27"/>
      <c r="AP55" s="28"/>
      <c r="AQ55" s="29"/>
      <c r="AR55" s="30"/>
      <c r="AS55" s="31"/>
      <c r="AT55" s="32"/>
      <c r="AU55" s="33"/>
      <c r="AV55" s="34"/>
      <c r="AW55" s="35"/>
      <c r="AX55" s="36"/>
      <c r="AY55" s="37"/>
      <c r="AZ55" s="38"/>
      <c r="BA55" s="39"/>
      <c r="BB55" s="40"/>
      <c r="BC55" s="41"/>
      <c r="BD55" s="42"/>
    </row>
    <row r="56" spans="4:56" x14ac:dyDescent="0.3">
      <c r="D56">
        <f t="shared" si="9"/>
        <v>0</v>
      </c>
      <c r="G56">
        <f t="shared" si="10"/>
        <v>0</v>
      </c>
      <c r="H56">
        <f t="shared" si="11"/>
        <v>0</v>
      </c>
      <c r="I56" t="str">
        <f t="shared" si="12"/>
        <v/>
      </c>
      <c r="J56" t="str">
        <f t="shared" si="13"/>
        <v/>
      </c>
      <c r="K56" s="3"/>
      <c r="L56">
        <f t="shared" si="14"/>
        <v>0</v>
      </c>
      <c r="M56">
        <f t="shared" si="15"/>
        <v>0</v>
      </c>
      <c r="N56">
        <f t="shared" si="16"/>
        <v>0</v>
      </c>
      <c r="O56">
        <f t="shared" si="17"/>
        <v>0</v>
      </c>
      <c r="P56" s="4"/>
      <c r="Q56" s="5"/>
      <c r="R56" s="6"/>
      <c r="S56" s="7"/>
      <c r="T56" s="8"/>
      <c r="U56" s="9"/>
      <c r="V56" s="10"/>
      <c r="W56" s="11"/>
      <c r="X56" s="12"/>
      <c r="Y56" s="13"/>
      <c r="Z56" s="14"/>
      <c r="AA56" s="15"/>
      <c r="AB56" s="16"/>
      <c r="AC56" s="17"/>
      <c r="AD56" s="18"/>
      <c r="AE56" s="4"/>
      <c r="AF56" s="19"/>
      <c r="AG56" s="20"/>
      <c r="AH56" s="15"/>
      <c r="AI56" s="21"/>
      <c r="AJ56" s="22"/>
      <c r="AK56" s="23"/>
      <c r="AL56" s="24"/>
      <c r="AM56" s="25"/>
      <c r="AN56" s="26"/>
      <c r="AO56" s="27"/>
      <c r="AP56" s="28"/>
      <c r="AQ56" s="29"/>
      <c r="AR56" s="30"/>
      <c r="AS56" s="31"/>
      <c r="AT56" s="32"/>
      <c r="AU56" s="33"/>
      <c r="AV56" s="34"/>
      <c r="AW56" s="35"/>
      <c r="AX56" s="36"/>
      <c r="AY56" s="37"/>
      <c r="AZ56" s="38"/>
      <c r="BA56" s="39"/>
      <c r="BB56" s="40"/>
      <c r="BC56" s="41"/>
      <c r="BD56" s="42"/>
    </row>
    <row r="57" spans="4:56" x14ac:dyDescent="0.3">
      <c r="D57">
        <f t="shared" si="9"/>
        <v>0</v>
      </c>
      <c r="G57">
        <f t="shared" si="10"/>
        <v>0</v>
      </c>
      <c r="H57">
        <f t="shared" si="11"/>
        <v>0</v>
      </c>
      <c r="I57" t="str">
        <f t="shared" si="12"/>
        <v/>
      </c>
      <c r="J57" t="str">
        <f t="shared" si="13"/>
        <v/>
      </c>
      <c r="K57" s="3"/>
      <c r="L57">
        <f t="shared" si="14"/>
        <v>0</v>
      </c>
      <c r="M57">
        <f t="shared" si="15"/>
        <v>0</v>
      </c>
      <c r="N57">
        <f t="shared" si="16"/>
        <v>0</v>
      </c>
      <c r="O57">
        <f t="shared" si="17"/>
        <v>0</v>
      </c>
      <c r="P57" s="4"/>
      <c r="Q57" s="5"/>
      <c r="R57" s="6"/>
      <c r="S57" s="7"/>
      <c r="T57" s="8"/>
      <c r="U57" s="9"/>
      <c r="V57" s="10"/>
      <c r="W57" s="11"/>
      <c r="X57" s="12"/>
      <c r="Y57" s="13"/>
      <c r="Z57" s="14"/>
      <c r="AA57" s="15"/>
      <c r="AB57" s="16"/>
      <c r="AC57" s="17"/>
      <c r="AD57" s="18"/>
      <c r="AE57" s="4"/>
      <c r="AF57" s="19"/>
      <c r="AG57" s="20"/>
      <c r="AH57" s="15"/>
      <c r="AI57" s="21"/>
      <c r="AJ57" s="22"/>
      <c r="AK57" s="23"/>
      <c r="AL57" s="24"/>
      <c r="AM57" s="25"/>
      <c r="AN57" s="26"/>
      <c r="AO57" s="27"/>
      <c r="AP57" s="28"/>
      <c r="AQ57" s="29"/>
      <c r="AR57" s="30"/>
      <c r="AS57" s="31"/>
      <c r="AT57" s="32"/>
      <c r="AU57" s="33"/>
      <c r="AV57" s="34"/>
      <c r="AW57" s="35"/>
      <c r="AX57" s="36"/>
      <c r="AY57" s="37"/>
      <c r="AZ57" s="38"/>
      <c r="BA57" s="39"/>
      <c r="BB57" s="40"/>
      <c r="BC57" s="41"/>
      <c r="BD57" s="42"/>
    </row>
    <row r="58" spans="4:56" x14ac:dyDescent="0.3">
      <c r="D58">
        <f t="shared" si="9"/>
        <v>0</v>
      </c>
      <c r="G58">
        <f t="shared" si="10"/>
        <v>0</v>
      </c>
      <c r="H58">
        <f t="shared" si="11"/>
        <v>0</v>
      </c>
      <c r="I58" t="str">
        <f t="shared" si="12"/>
        <v/>
      </c>
      <c r="J58" t="str">
        <f t="shared" si="13"/>
        <v/>
      </c>
      <c r="K58" s="3"/>
      <c r="L58">
        <f t="shared" si="14"/>
        <v>0</v>
      </c>
      <c r="M58">
        <f t="shared" si="15"/>
        <v>0</v>
      </c>
      <c r="N58">
        <f t="shared" si="16"/>
        <v>0</v>
      </c>
      <c r="O58">
        <f t="shared" si="17"/>
        <v>0</v>
      </c>
      <c r="P58" s="4"/>
      <c r="Q58" s="5"/>
      <c r="R58" s="6"/>
      <c r="S58" s="7"/>
      <c r="T58" s="8"/>
      <c r="U58" s="9"/>
      <c r="V58" s="10"/>
      <c r="W58" s="11"/>
      <c r="X58" s="12"/>
      <c r="Y58" s="13"/>
      <c r="Z58" s="14"/>
      <c r="AA58" s="15"/>
      <c r="AB58" s="16"/>
      <c r="AC58" s="17"/>
      <c r="AD58" s="18"/>
      <c r="AE58" s="4"/>
      <c r="AF58" s="19"/>
      <c r="AG58" s="20"/>
      <c r="AH58" s="15"/>
      <c r="AI58" s="21"/>
      <c r="AJ58" s="22"/>
      <c r="AK58" s="23"/>
      <c r="AL58" s="24"/>
      <c r="AM58" s="25"/>
      <c r="AN58" s="26"/>
      <c r="AO58" s="27"/>
      <c r="AP58" s="28"/>
      <c r="AQ58" s="29"/>
      <c r="AR58" s="30"/>
      <c r="AS58" s="31"/>
      <c r="AT58" s="32"/>
      <c r="AU58" s="33"/>
      <c r="AV58" s="34"/>
      <c r="AW58" s="35"/>
      <c r="AX58" s="36"/>
      <c r="AY58" s="37"/>
      <c r="AZ58" s="38"/>
      <c r="BA58" s="39"/>
      <c r="BB58" s="40"/>
      <c r="BC58" s="41"/>
      <c r="BD58" s="42"/>
    </row>
    <row r="59" spans="4:56" x14ac:dyDescent="0.3">
      <c r="D59">
        <f t="shared" si="9"/>
        <v>0</v>
      </c>
      <c r="G59">
        <f t="shared" si="10"/>
        <v>0</v>
      </c>
      <c r="H59">
        <f t="shared" si="11"/>
        <v>0</v>
      </c>
      <c r="I59" t="str">
        <f t="shared" si="12"/>
        <v/>
      </c>
      <c r="J59" t="str">
        <f t="shared" si="13"/>
        <v/>
      </c>
      <c r="K59" s="3"/>
      <c r="L59">
        <f t="shared" si="14"/>
        <v>0</v>
      </c>
      <c r="M59">
        <f t="shared" si="15"/>
        <v>0</v>
      </c>
      <c r="N59">
        <f t="shared" si="16"/>
        <v>0</v>
      </c>
      <c r="O59">
        <f t="shared" si="17"/>
        <v>0</v>
      </c>
      <c r="P59" s="4"/>
      <c r="Q59" s="5"/>
      <c r="R59" s="6"/>
      <c r="S59" s="7"/>
      <c r="T59" s="8"/>
      <c r="U59" s="9"/>
      <c r="V59" s="10"/>
      <c r="W59" s="11"/>
      <c r="X59" s="12"/>
      <c r="Y59" s="13"/>
      <c r="Z59" s="14"/>
      <c r="AA59" s="15"/>
      <c r="AB59" s="16"/>
      <c r="AC59" s="17"/>
      <c r="AD59" s="18"/>
      <c r="AE59" s="4"/>
      <c r="AF59" s="19"/>
      <c r="AG59" s="20"/>
      <c r="AH59" s="15"/>
      <c r="AI59" s="21"/>
      <c r="AJ59" s="22"/>
      <c r="AK59" s="23"/>
      <c r="AL59" s="24"/>
      <c r="AM59" s="25"/>
      <c r="AN59" s="26"/>
      <c r="AO59" s="27"/>
      <c r="AP59" s="28"/>
      <c r="AQ59" s="29"/>
      <c r="AR59" s="30"/>
      <c r="AS59" s="31"/>
      <c r="AT59" s="32"/>
      <c r="AU59" s="33"/>
      <c r="AV59" s="34"/>
      <c r="AW59" s="35"/>
      <c r="AX59" s="36"/>
      <c r="AY59" s="37"/>
      <c r="AZ59" s="38"/>
      <c r="BA59" s="39"/>
      <c r="BB59" s="40"/>
      <c r="BC59" s="41"/>
      <c r="BD59" s="42"/>
    </row>
    <row r="60" spans="4:56" x14ac:dyDescent="0.3">
      <c r="D60">
        <f t="shared" si="9"/>
        <v>0</v>
      </c>
      <c r="G60">
        <f t="shared" si="10"/>
        <v>0</v>
      </c>
      <c r="H60">
        <f t="shared" si="11"/>
        <v>0</v>
      </c>
      <c r="I60" t="str">
        <f t="shared" si="12"/>
        <v/>
      </c>
      <c r="J60" t="str">
        <f t="shared" si="13"/>
        <v/>
      </c>
      <c r="K60" s="3"/>
      <c r="L60">
        <f t="shared" si="14"/>
        <v>0</v>
      </c>
      <c r="M60">
        <f t="shared" si="15"/>
        <v>0</v>
      </c>
      <c r="N60">
        <f t="shared" si="16"/>
        <v>0</v>
      </c>
      <c r="O60">
        <f t="shared" si="17"/>
        <v>0</v>
      </c>
      <c r="P60" s="4"/>
      <c r="Q60" s="5"/>
      <c r="R60" s="6"/>
      <c r="S60" s="7"/>
      <c r="T60" s="8"/>
      <c r="U60" s="9"/>
      <c r="V60" s="10"/>
      <c r="W60" s="11"/>
      <c r="X60" s="12"/>
      <c r="Y60" s="13"/>
      <c r="Z60" s="14"/>
      <c r="AA60" s="15"/>
      <c r="AB60" s="16"/>
      <c r="AC60" s="17"/>
      <c r="AD60" s="18"/>
      <c r="AE60" s="4"/>
      <c r="AF60" s="19"/>
      <c r="AG60" s="20"/>
      <c r="AH60" s="15"/>
      <c r="AI60" s="21"/>
      <c r="AJ60" s="22"/>
      <c r="AK60" s="23"/>
      <c r="AL60" s="24"/>
      <c r="AM60" s="25"/>
      <c r="AN60" s="26"/>
      <c r="AO60" s="27"/>
      <c r="AP60" s="28"/>
      <c r="AQ60" s="29"/>
      <c r="AR60" s="30"/>
      <c r="AS60" s="31"/>
      <c r="AT60" s="32"/>
      <c r="AU60" s="33"/>
      <c r="AV60" s="34"/>
      <c r="AW60" s="35"/>
      <c r="AX60" s="36"/>
      <c r="AY60" s="37"/>
      <c r="AZ60" s="38"/>
      <c r="BA60" s="39"/>
      <c r="BB60" s="40"/>
      <c r="BC60" s="41"/>
      <c r="BD60" s="42"/>
    </row>
    <row r="61" spans="4:56" x14ac:dyDescent="0.3">
      <c r="D61">
        <f t="shared" si="9"/>
        <v>0</v>
      </c>
      <c r="G61">
        <f t="shared" si="10"/>
        <v>0</v>
      </c>
      <c r="H61">
        <f t="shared" si="11"/>
        <v>0</v>
      </c>
      <c r="I61" t="str">
        <f t="shared" si="12"/>
        <v/>
      </c>
      <c r="J61" t="str">
        <f t="shared" si="13"/>
        <v/>
      </c>
      <c r="K61" s="3"/>
      <c r="L61">
        <f t="shared" si="14"/>
        <v>0</v>
      </c>
      <c r="M61">
        <f t="shared" si="15"/>
        <v>0</v>
      </c>
      <c r="N61">
        <f t="shared" si="16"/>
        <v>0</v>
      </c>
      <c r="O61">
        <f t="shared" si="17"/>
        <v>0</v>
      </c>
      <c r="P61" s="4"/>
      <c r="Q61" s="5"/>
      <c r="R61" s="6"/>
      <c r="S61" s="7"/>
      <c r="T61" s="8"/>
      <c r="U61" s="9"/>
      <c r="V61" s="10"/>
      <c r="W61" s="11"/>
      <c r="X61" s="12"/>
      <c r="Y61" s="13"/>
      <c r="Z61" s="14"/>
      <c r="AA61" s="15"/>
      <c r="AB61" s="16"/>
      <c r="AC61" s="17"/>
      <c r="AD61" s="18"/>
      <c r="AE61" s="4"/>
      <c r="AF61" s="19"/>
      <c r="AG61" s="20"/>
      <c r="AH61" s="15"/>
      <c r="AI61" s="21"/>
      <c r="AJ61" s="22"/>
      <c r="AK61" s="23"/>
      <c r="AL61" s="24"/>
      <c r="AM61" s="25"/>
      <c r="AN61" s="26"/>
      <c r="AO61" s="27"/>
      <c r="AP61" s="28"/>
      <c r="AQ61" s="29"/>
      <c r="AR61" s="30"/>
      <c r="AS61" s="31"/>
      <c r="AT61" s="32"/>
      <c r="AU61" s="33"/>
      <c r="AV61" s="34"/>
      <c r="AW61" s="35"/>
      <c r="AX61" s="36"/>
      <c r="AY61" s="37"/>
      <c r="AZ61" s="38"/>
      <c r="BA61" s="39"/>
      <c r="BB61" s="40"/>
      <c r="BC61" s="41"/>
      <c r="BD61" s="42"/>
    </row>
    <row r="62" spans="4:56" x14ac:dyDescent="0.3">
      <c r="D62">
        <f t="shared" si="9"/>
        <v>0</v>
      </c>
      <c r="G62">
        <f t="shared" si="10"/>
        <v>0</v>
      </c>
      <c r="H62">
        <f t="shared" si="11"/>
        <v>0</v>
      </c>
      <c r="I62" t="str">
        <f t="shared" si="12"/>
        <v/>
      </c>
      <c r="J62" t="str">
        <f t="shared" si="13"/>
        <v/>
      </c>
      <c r="K62" s="3"/>
      <c r="L62">
        <f t="shared" si="14"/>
        <v>0</v>
      </c>
      <c r="M62">
        <f t="shared" si="15"/>
        <v>0</v>
      </c>
      <c r="N62">
        <f t="shared" si="16"/>
        <v>0</v>
      </c>
      <c r="O62">
        <f t="shared" si="17"/>
        <v>0</v>
      </c>
      <c r="P62" s="4"/>
      <c r="Q62" s="5"/>
      <c r="R62" s="6"/>
      <c r="S62" s="7"/>
      <c r="T62" s="8"/>
      <c r="U62" s="9"/>
      <c r="V62" s="10"/>
      <c r="W62" s="11"/>
      <c r="X62" s="12"/>
      <c r="Y62" s="13"/>
      <c r="Z62" s="14"/>
      <c r="AA62" s="15"/>
      <c r="AB62" s="16"/>
      <c r="AC62" s="17"/>
      <c r="AD62" s="18"/>
      <c r="AE62" s="4"/>
      <c r="AF62" s="19"/>
      <c r="AG62" s="20"/>
      <c r="AH62" s="15"/>
      <c r="AI62" s="21"/>
      <c r="AJ62" s="22"/>
      <c r="AK62" s="23"/>
      <c r="AL62" s="24"/>
      <c r="AM62" s="25"/>
      <c r="AN62" s="26"/>
      <c r="AO62" s="27"/>
      <c r="AP62" s="28"/>
      <c r="AQ62" s="29"/>
      <c r="AR62" s="30"/>
      <c r="AS62" s="31"/>
      <c r="AT62" s="32"/>
      <c r="AU62" s="33"/>
      <c r="AV62" s="34"/>
      <c r="AW62" s="35"/>
      <c r="AX62" s="36"/>
      <c r="AY62" s="37"/>
      <c r="AZ62" s="38"/>
      <c r="BA62" s="39"/>
      <c r="BB62" s="40"/>
      <c r="BC62" s="41"/>
      <c r="BD62" s="42"/>
    </row>
    <row r="63" spans="4:56" x14ac:dyDescent="0.3">
      <c r="D63">
        <f t="shared" si="9"/>
        <v>0</v>
      </c>
      <c r="G63">
        <f t="shared" si="10"/>
        <v>0</v>
      </c>
      <c r="H63">
        <f t="shared" si="11"/>
        <v>0</v>
      </c>
      <c r="I63" t="str">
        <f t="shared" si="12"/>
        <v/>
      </c>
      <c r="J63" t="str">
        <f t="shared" si="13"/>
        <v/>
      </c>
      <c r="K63" s="3"/>
      <c r="L63">
        <f t="shared" si="14"/>
        <v>0</v>
      </c>
      <c r="M63">
        <f t="shared" si="15"/>
        <v>0</v>
      </c>
      <c r="N63">
        <f t="shared" si="16"/>
        <v>0</v>
      </c>
      <c r="O63">
        <f t="shared" si="17"/>
        <v>0</v>
      </c>
      <c r="P63" s="4"/>
      <c r="Q63" s="5"/>
      <c r="R63" s="6"/>
      <c r="S63" s="7"/>
      <c r="T63" s="8"/>
      <c r="U63" s="9"/>
      <c r="V63" s="10"/>
      <c r="W63" s="11"/>
      <c r="X63" s="12"/>
      <c r="Y63" s="13"/>
      <c r="Z63" s="14"/>
      <c r="AA63" s="15"/>
      <c r="AB63" s="16"/>
      <c r="AC63" s="17"/>
      <c r="AD63" s="18"/>
      <c r="AE63" s="4"/>
      <c r="AF63" s="19"/>
      <c r="AG63" s="20"/>
      <c r="AH63" s="15"/>
      <c r="AI63" s="21"/>
      <c r="AJ63" s="22"/>
      <c r="AK63" s="23"/>
      <c r="AL63" s="24"/>
      <c r="AM63" s="25"/>
      <c r="AN63" s="26"/>
      <c r="AO63" s="27"/>
      <c r="AP63" s="28"/>
      <c r="AQ63" s="29"/>
      <c r="AR63" s="30"/>
      <c r="AS63" s="31"/>
      <c r="AT63" s="32"/>
      <c r="AU63" s="33"/>
      <c r="AV63" s="34"/>
      <c r="AW63" s="35"/>
      <c r="AX63" s="36"/>
      <c r="AY63" s="37"/>
      <c r="AZ63" s="38"/>
      <c r="BA63" s="39"/>
      <c r="BB63" s="40"/>
      <c r="BC63" s="41"/>
      <c r="BD63" s="42"/>
    </row>
    <row r="64" spans="4:56" x14ac:dyDescent="0.3">
      <c r="D64">
        <f t="shared" si="9"/>
        <v>0</v>
      </c>
      <c r="G64">
        <f t="shared" si="10"/>
        <v>0</v>
      </c>
      <c r="H64">
        <f t="shared" si="11"/>
        <v>0</v>
      </c>
      <c r="I64" t="str">
        <f t="shared" si="12"/>
        <v/>
      </c>
      <c r="J64" t="str">
        <f t="shared" si="13"/>
        <v/>
      </c>
      <c r="K64" s="3"/>
      <c r="L64">
        <f t="shared" si="14"/>
        <v>0</v>
      </c>
      <c r="M64">
        <f t="shared" si="15"/>
        <v>0</v>
      </c>
      <c r="N64">
        <f t="shared" si="16"/>
        <v>0</v>
      </c>
      <c r="O64">
        <f t="shared" si="17"/>
        <v>0</v>
      </c>
      <c r="P64" s="4"/>
      <c r="Q64" s="5"/>
      <c r="R64" s="6"/>
      <c r="S64" s="7"/>
      <c r="T64" s="8"/>
      <c r="U64" s="9"/>
      <c r="V64" s="10"/>
      <c r="W64" s="11"/>
      <c r="X64" s="12"/>
      <c r="Y64" s="13"/>
      <c r="Z64" s="14"/>
      <c r="AA64" s="15"/>
      <c r="AB64" s="16"/>
      <c r="AC64" s="17"/>
      <c r="AD64" s="18"/>
      <c r="AE64" s="4"/>
      <c r="AF64" s="19"/>
      <c r="AG64" s="20"/>
      <c r="AH64" s="15"/>
      <c r="AI64" s="21"/>
      <c r="AJ64" s="22"/>
      <c r="AK64" s="23"/>
      <c r="AL64" s="24"/>
      <c r="AM64" s="25"/>
      <c r="AN64" s="26"/>
      <c r="AO64" s="27"/>
      <c r="AP64" s="28"/>
      <c r="AQ64" s="29"/>
      <c r="AR64" s="30"/>
      <c r="AS64" s="31"/>
      <c r="AT64" s="32"/>
      <c r="AU64" s="33"/>
      <c r="AV64" s="34"/>
      <c r="AW64" s="35"/>
      <c r="AX64" s="36"/>
      <c r="AY64" s="37"/>
      <c r="AZ64" s="38"/>
      <c r="BA64" s="39"/>
      <c r="BB64" s="40"/>
      <c r="BC64" s="41"/>
      <c r="BD64" s="42"/>
    </row>
    <row r="65" spans="4:56" x14ac:dyDescent="0.3">
      <c r="D65">
        <f t="shared" si="9"/>
        <v>0</v>
      </c>
      <c r="G65">
        <f t="shared" si="10"/>
        <v>0</v>
      </c>
      <c r="H65">
        <f t="shared" si="11"/>
        <v>0</v>
      </c>
      <c r="I65" t="str">
        <f t="shared" si="12"/>
        <v/>
      </c>
      <c r="J65" t="str">
        <f t="shared" si="13"/>
        <v/>
      </c>
      <c r="K65" s="3"/>
      <c r="L65">
        <f t="shared" si="14"/>
        <v>0</v>
      </c>
      <c r="M65">
        <f t="shared" si="15"/>
        <v>0</v>
      </c>
      <c r="N65">
        <f t="shared" si="16"/>
        <v>0</v>
      </c>
      <c r="O65">
        <f t="shared" si="17"/>
        <v>0</v>
      </c>
      <c r="P65" s="4"/>
      <c r="Q65" s="5"/>
      <c r="R65" s="6"/>
      <c r="S65" s="7"/>
      <c r="T65" s="8"/>
      <c r="U65" s="9"/>
      <c r="V65" s="10"/>
      <c r="W65" s="11"/>
      <c r="X65" s="12"/>
      <c r="Y65" s="13"/>
      <c r="Z65" s="14"/>
      <c r="AA65" s="15"/>
      <c r="AB65" s="16"/>
      <c r="AC65" s="17"/>
      <c r="AD65" s="18"/>
      <c r="AE65" s="4"/>
      <c r="AF65" s="19"/>
      <c r="AG65" s="20"/>
      <c r="AH65" s="15"/>
      <c r="AI65" s="21"/>
      <c r="AJ65" s="22"/>
      <c r="AK65" s="23"/>
      <c r="AL65" s="24"/>
      <c r="AM65" s="25"/>
      <c r="AN65" s="26"/>
      <c r="AO65" s="27"/>
      <c r="AP65" s="28"/>
      <c r="AQ65" s="29"/>
      <c r="AR65" s="30"/>
      <c r="AS65" s="31"/>
      <c r="AT65" s="32"/>
      <c r="AU65" s="33"/>
      <c r="AV65" s="34"/>
      <c r="AW65" s="35"/>
      <c r="AX65" s="36"/>
      <c r="AY65" s="37"/>
      <c r="AZ65" s="38"/>
      <c r="BA65" s="39"/>
      <c r="BB65" s="40"/>
      <c r="BC65" s="41"/>
      <c r="BD65" s="42"/>
    </row>
    <row r="66" spans="4:56" x14ac:dyDescent="0.3">
      <c r="D66">
        <f t="shared" si="9"/>
        <v>0</v>
      </c>
      <c r="G66">
        <f t="shared" si="10"/>
        <v>0</v>
      </c>
      <c r="H66">
        <f t="shared" si="11"/>
        <v>0</v>
      </c>
      <c r="I66" t="str">
        <f t="shared" si="12"/>
        <v/>
      </c>
      <c r="J66" t="str">
        <f t="shared" si="13"/>
        <v/>
      </c>
      <c r="K66" s="3"/>
      <c r="L66">
        <f t="shared" si="14"/>
        <v>0</v>
      </c>
      <c r="M66">
        <f t="shared" si="15"/>
        <v>0</v>
      </c>
      <c r="N66">
        <f t="shared" si="16"/>
        <v>0</v>
      </c>
      <c r="O66">
        <f t="shared" si="17"/>
        <v>0</v>
      </c>
      <c r="P66" s="4"/>
      <c r="Q66" s="5"/>
      <c r="R66" s="6"/>
      <c r="S66" s="7"/>
      <c r="T66" s="8"/>
      <c r="U66" s="9"/>
      <c r="V66" s="10"/>
      <c r="W66" s="11"/>
      <c r="X66" s="12"/>
      <c r="Y66" s="13"/>
      <c r="Z66" s="14"/>
      <c r="AA66" s="15"/>
      <c r="AB66" s="16"/>
      <c r="AC66" s="17"/>
      <c r="AD66" s="18"/>
      <c r="AE66" s="4"/>
      <c r="AF66" s="19"/>
      <c r="AG66" s="20"/>
      <c r="AH66" s="15"/>
      <c r="AI66" s="21"/>
      <c r="AJ66" s="22"/>
      <c r="AK66" s="23"/>
      <c r="AL66" s="24"/>
      <c r="AM66" s="25"/>
      <c r="AN66" s="26"/>
      <c r="AO66" s="27"/>
      <c r="AP66" s="28"/>
      <c r="AQ66" s="29"/>
      <c r="AR66" s="30"/>
      <c r="AS66" s="31"/>
      <c r="AT66" s="32"/>
      <c r="AU66" s="33"/>
      <c r="AV66" s="34"/>
      <c r="AW66" s="35"/>
      <c r="AX66" s="36"/>
      <c r="AY66" s="37"/>
      <c r="AZ66" s="38"/>
      <c r="BA66" s="39"/>
      <c r="BB66" s="40"/>
      <c r="BC66" s="41"/>
      <c r="BD66" s="42"/>
    </row>
    <row r="67" spans="4:56" x14ac:dyDescent="0.3">
      <c r="D67">
        <f t="shared" ref="D67:D98" si="18">IF(C67=2,15,IF(C67=3,37,IF(C67=4,75,IF(C67=5,150,IF(C67=6,375,IF(C67=7,750,0))))))</f>
        <v>0</v>
      </c>
      <c r="G67">
        <f t="shared" ref="G67:G99" si="19">P67*28+Q67*22+R67*100+S67*18+T67*35+U67*22+V67*100+W67*18+X67*80+Y67*1100+Z67*200+AA67*100+AB67*32+AC67*1700+AD67*850+AE67*200+AF67*400+AG67*70+AH67*300+AI67*450+AJ67*1100+AK67*500+AL67*60+AM67*600+AN67*20+AO67*60+AP67*20+AQ67*100+AR67*900+AS67*1300+AT67*2500+AU67*900+AV67*1200+AW67*1500+AX67*110+AY67*130+AZ67*50+BA67*600+BB67*5500+BC67*70000+BD67*90000</f>
        <v>0</v>
      </c>
      <c r="H67">
        <f t="shared" ref="H67:H98" si="20">G67-F67</f>
        <v>0</v>
      </c>
      <c r="I67" t="str">
        <f t="shared" ref="I67:I99" si="21">IF(F67=0,"",G67/F67)</f>
        <v/>
      </c>
      <c r="J67" t="str">
        <f t="shared" ref="J67:J99" si="22">IF(G67=0,"",E67*F67/G67)</f>
        <v/>
      </c>
      <c r="K67" s="3"/>
      <c r="L67">
        <f t="shared" ref="L67:L98" si="23">D67*K67</f>
        <v>0</v>
      </c>
      <c r="M67">
        <f t="shared" ref="M67:M99" si="24">F67*K67</f>
        <v>0</v>
      </c>
      <c r="N67">
        <f t="shared" ref="N67:N99" si="25">H67*K67</f>
        <v>0</v>
      </c>
      <c r="O67">
        <f t="shared" ref="O67:O99" si="26">G67*K67</f>
        <v>0</v>
      </c>
      <c r="P67" s="4"/>
      <c r="Q67" s="5"/>
      <c r="R67" s="6"/>
      <c r="S67" s="7"/>
      <c r="T67" s="8"/>
      <c r="U67" s="9"/>
      <c r="V67" s="10"/>
      <c r="W67" s="11"/>
      <c r="X67" s="12"/>
      <c r="Y67" s="13"/>
      <c r="Z67" s="14"/>
      <c r="AA67" s="15"/>
      <c r="AB67" s="16"/>
      <c r="AC67" s="17"/>
      <c r="AD67" s="18"/>
      <c r="AE67" s="4"/>
      <c r="AF67" s="19"/>
      <c r="AG67" s="20"/>
      <c r="AH67" s="15"/>
      <c r="AI67" s="21"/>
      <c r="AJ67" s="22"/>
      <c r="AK67" s="23"/>
      <c r="AL67" s="24"/>
      <c r="AM67" s="25"/>
      <c r="AN67" s="26"/>
      <c r="AO67" s="27"/>
      <c r="AP67" s="28"/>
      <c r="AQ67" s="29"/>
      <c r="AR67" s="30"/>
      <c r="AS67" s="31"/>
      <c r="AT67" s="32"/>
      <c r="AU67" s="33"/>
      <c r="AV67" s="34"/>
      <c r="AW67" s="35"/>
      <c r="AX67" s="36"/>
      <c r="AY67" s="37"/>
      <c r="AZ67" s="38"/>
      <c r="BA67" s="39"/>
      <c r="BB67" s="40"/>
      <c r="BC67" s="41"/>
      <c r="BD67" s="42"/>
    </row>
    <row r="68" spans="4:56" x14ac:dyDescent="0.3">
      <c r="D68">
        <f t="shared" si="18"/>
        <v>0</v>
      </c>
      <c r="G68">
        <f t="shared" si="19"/>
        <v>0</v>
      </c>
      <c r="H68">
        <f t="shared" si="20"/>
        <v>0</v>
      </c>
      <c r="I68" t="str">
        <f t="shared" si="21"/>
        <v/>
      </c>
      <c r="J68" t="str">
        <f t="shared" si="22"/>
        <v/>
      </c>
      <c r="K68" s="3"/>
      <c r="L68">
        <f t="shared" si="23"/>
        <v>0</v>
      </c>
      <c r="M68">
        <f t="shared" si="24"/>
        <v>0</v>
      </c>
      <c r="N68">
        <f t="shared" si="25"/>
        <v>0</v>
      </c>
      <c r="O68">
        <f t="shared" si="26"/>
        <v>0</v>
      </c>
      <c r="P68" s="4"/>
      <c r="Q68" s="5"/>
      <c r="R68" s="6"/>
      <c r="S68" s="7"/>
      <c r="T68" s="8"/>
      <c r="U68" s="9"/>
      <c r="V68" s="10"/>
      <c r="W68" s="11"/>
      <c r="X68" s="12"/>
      <c r="Y68" s="13"/>
      <c r="Z68" s="14"/>
      <c r="AA68" s="15"/>
      <c r="AB68" s="16"/>
      <c r="AC68" s="17"/>
      <c r="AD68" s="18"/>
      <c r="AE68" s="4"/>
      <c r="AF68" s="19"/>
      <c r="AG68" s="20"/>
      <c r="AH68" s="15"/>
      <c r="AI68" s="21"/>
      <c r="AJ68" s="22"/>
      <c r="AK68" s="23"/>
      <c r="AL68" s="24"/>
      <c r="AM68" s="25"/>
      <c r="AN68" s="26"/>
      <c r="AO68" s="27"/>
      <c r="AP68" s="28"/>
      <c r="AQ68" s="29"/>
      <c r="AR68" s="30"/>
      <c r="AS68" s="31"/>
      <c r="AT68" s="32"/>
      <c r="AU68" s="33"/>
      <c r="AV68" s="34"/>
      <c r="AW68" s="35"/>
      <c r="AX68" s="36"/>
      <c r="AY68" s="37"/>
      <c r="AZ68" s="38"/>
      <c r="BA68" s="39"/>
      <c r="BB68" s="40"/>
      <c r="BC68" s="41"/>
      <c r="BD68" s="42"/>
    </row>
    <row r="69" spans="4:56" x14ac:dyDescent="0.3">
      <c r="D69">
        <f t="shared" si="18"/>
        <v>0</v>
      </c>
      <c r="G69">
        <f t="shared" si="19"/>
        <v>0</v>
      </c>
      <c r="H69">
        <f t="shared" si="20"/>
        <v>0</v>
      </c>
      <c r="I69" t="str">
        <f t="shared" si="21"/>
        <v/>
      </c>
      <c r="J69" t="str">
        <f t="shared" si="22"/>
        <v/>
      </c>
      <c r="K69" s="3"/>
      <c r="L69">
        <f t="shared" si="23"/>
        <v>0</v>
      </c>
      <c r="M69">
        <f t="shared" si="24"/>
        <v>0</v>
      </c>
      <c r="N69">
        <f t="shared" si="25"/>
        <v>0</v>
      </c>
      <c r="O69">
        <f t="shared" si="26"/>
        <v>0</v>
      </c>
      <c r="P69" s="4"/>
      <c r="Q69" s="5"/>
      <c r="R69" s="6"/>
      <c r="S69" s="7"/>
      <c r="T69" s="8"/>
      <c r="U69" s="9"/>
      <c r="V69" s="10"/>
      <c r="W69" s="11"/>
      <c r="X69" s="12"/>
      <c r="Y69" s="13"/>
      <c r="Z69" s="14"/>
      <c r="AA69" s="15"/>
      <c r="AB69" s="16"/>
      <c r="AC69" s="17"/>
      <c r="AD69" s="18"/>
      <c r="AE69" s="4"/>
      <c r="AF69" s="19"/>
      <c r="AG69" s="20"/>
      <c r="AH69" s="15"/>
      <c r="AI69" s="21"/>
      <c r="AJ69" s="22"/>
      <c r="AK69" s="23"/>
      <c r="AL69" s="24"/>
      <c r="AM69" s="25"/>
      <c r="AN69" s="26"/>
      <c r="AO69" s="27"/>
      <c r="AP69" s="28"/>
      <c r="AQ69" s="29"/>
      <c r="AR69" s="30"/>
      <c r="AS69" s="31"/>
      <c r="AT69" s="32"/>
      <c r="AU69" s="33"/>
      <c r="AV69" s="34"/>
      <c r="AW69" s="35"/>
      <c r="AX69" s="36"/>
      <c r="AY69" s="37"/>
      <c r="AZ69" s="38"/>
      <c r="BA69" s="39"/>
      <c r="BB69" s="40"/>
      <c r="BC69" s="41"/>
      <c r="BD69" s="42"/>
    </row>
    <row r="70" spans="4:56" x14ac:dyDescent="0.3">
      <c r="D70">
        <f t="shared" si="18"/>
        <v>0</v>
      </c>
      <c r="G70">
        <f t="shared" si="19"/>
        <v>0</v>
      </c>
      <c r="H70">
        <f t="shared" si="20"/>
        <v>0</v>
      </c>
      <c r="I70" t="str">
        <f t="shared" si="21"/>
        <v/>
      </c>
      <c r="J70" t="str">
        <f t="shared" si="22"/>
        <v/>
      </c>
      <c r="K70" s="3"/>
      <c r="L70">
        <f t="shared" si="23"/>
        <v>0</v>
      </c>
      <c r="M70">
        <f t="shared" si="24"/>
        <v>0</v>
      </c>
      <c r="N70">
        <f t="shared" si="25"/>
        <v>0</v>
      </c>
      <c r="O70">
        <f t="shared" si="26"/>
        <v>0</v>
      </c>
      <c r="P70" s="4"/>
      <c r="Q70" s="5"/>
      <c r="R70" s="6"/>
      <c r="S70" s="7"/>
      <c r="T70" s="8"/>
      <c r="U70" s="9"/>
      <c r="V70" s="10"/>
      <c r="W70" s="11"/>
      <c r="X70" s="12"/>
      <c r="Y70" s="13"/>
      <c r="Z70" s="14"/>
      <c r="AA70" s="15"/>
      <c r="AB70" s="16"/>
      <c r="AC70" s="17"/>
      <c r="AD70" s="18"/>
      <c r="AE70" s="4"/>
      <c r="AF70" s="19"/>
      <c r="AG70" s="20"/>
      <c r="AH70" s="15"/>
      <c r="AI70" s="21"/>
      <c r="AJ70" s="22"/>
      <c r="AK70" s="23"/>
      <c r="AL70" s="24"/>
      <c r="AM70" s="25"/>
      <c r="AN70" s="26"/>
      <c r="AO70" s="27"/>
      <c r="AP70" s="28"/>
      <c r="AQ70" s="29"/>
      <c r="AR70" s="30"/>
      <c r="AS70" s="31"/>
      <c r="AT70" s="32"/>
      <c r="AU70" s="33"/>
      <c r="AV70" s="34"/>
      <c r="AW70" s="35"/>
      <c r="AX70" s="36"/>
      <c r="AY70" s="37"/>
      <c r="AZ70" s="38"/>
      <c r="BA70" s="39"/>
      <c r="BB70" s="40"/>
      <c r="BC70" s="41"/>
      <c r="BD70" s="42"/>
    </row>
    <row r="71" spans="4:56" x14ac:dyDescent="0.3">
      <c r="D71">
        <f t="shared" si="18"/>
        <v>0</v>
      </c>
      <c r="G71">
        <f t="shared" si="19"/>
        <v>0</v>
      </c>
      <c r="H71">
        <f t="shared" si="20"/>
        <v>0</v>
      </c>
      <c r="I71" t="str">
        <f t="shared" si="21"/>
        <v/>
      </c>
      <c r="J71" t="str">
        <f t="shared" si="22"/>
        <v/>
      </c>
      <c r="K71" s="3"/>
      <c r="L71">
        <f t="shared" si="23"/>
        <v>0</v>
      </c>
      <c r="M71">
        <f t="shared" si="24"/>
        <v>0</v>
      </c>
      <c r="N71">
        <f t="shared" si="25"/>
        <v>0</v>
      </c>
      <c r="O71">
        <f t="shared" si="26"/>
        <v>0</v>
      </c>
      <c r="P71" s="4"/>
      <c r="Q71" s="5"/>
      <c r="R71" s="6"/>
      <c r="S71" s="7"/>
      <c r="T71" s="8"/>
      <c r="U71" s="9"/>
      <c r="V71" s="10"/>
      <c r="W71" s="11"/>
      <c r="X71" s="12"/>
      <c r="Y71" s="13"/>
      <c r="Z71" s="14"/>
      <c r="AA71" s="15"/>
      <c r="AB71" s="16"/>
      <c r="AC71" s="17"/>
      <c r="AD71" s="18"/>
      <c r="AE71" s="4"/>
      <c r="AF71" s="19"/>
      <c r="AG71" s="20"/>
      <c r="AH71" s="15"/>
      <c r="AI71" s="21"/>
      <c r="AJ71" s="22"/>
      <c r="AK71" s="23"/>
      <c r="AL71" s="24"/>
      <c r="AM71" s="25"/>
      <c r="AN71" s="26"/>
      <c r="AO71" s="27"/>
      <c r="AP71" s="28"/>
      <c r="AQ71" s="29"/>
      <c r="AR71" s="30"/>
      <c r="AS71" s="31"/>
      <c r="AT71" s="32"/>
      <c r="AU71" s="33"/>
      <c r="AV71" s="34"/>
      <c r="AW71" s="35"/>
      <c r="AX71" s="36"/>
      <c r="AY71" s="37"/>
      <c r="AZ71" s="38"/>
      <c r="BA71" s="39"/>
      <c r="BB71" s="40"/>
      <c r="BC71" s="41"/>
      <c r="BD71" s="42"/>
    </row>
    <row r="72" spans="4:56" x14ac:dyDescent="0.3">
      <c r="D72">
        <f t="shared" si="18"/>
        <v>0</v>
      </c>
      <c r="G72">
        <f t="shared" si="19"/>
        <v>0</v>
      </c>
      <c r="H72">
        <f t="shared" si="20"/>
        <v>0</v>
      </c>
      <c r="I72" t="str">
        <f t="shared" si="21"/>
        <v/>
      </c>
      <c r="J72" t="str">
        <f t="shared" si="22"/>
        <v/>
      </c>
      <c r="K72" s="3"/>
      <c r="L72">
        <f t="shared" si="23"/>
        <v>0</v>
      </c>
      <c r="M72">
        <f t="shared" si="24"/>
        <v>0</v>
      </c>
      <c r="N72">
        <f t="shared" si="25"/>
        <v>0</v>
      </c>
      <c r="O72">
        <f t="shared" si="26"/>
        <v>0</v>
      </c>
      <c r="P72" s="4"/>
      <c r="Q72" s="5"/>
      <c r="R72" s="6"/>
      <c r="S72" s="7"/>
      <c r="T72" s="8"/>
      <c r="U72" s="9"/>
      <c r="V72" s="10"/>
      <c r="W72" s="11"/>
      <c r="X72" s="12"/>
      <c r="Y72" s="13"/>
      <c r="Z72" s="14"/>
      <c r="AA72" s="15"/>
      <c r="AB72" s="16"/>
      <c r="AC72" s="17"/>
      <c r="AD72" s="18"/>
      <c r="AE72" s="4"/>
      <c r="AF72" s="19"/>
      <c r="AG72" s="20"/>
      <c r="AH72" s="15"/>
      <c r="AI72" s="21"/>
      <c r="AJ72" s="22"/>
      <c r="AK72" s="23"/>
      <c r="AL72" s="24"/>
      <c r="AM72" s="25"/>
      <c r="AN72" s="26"/>
      <c r="AO72" s="27"/>
      <c r="AP72" s="28"/>
      <c r="AQ72" s="29"/>
      <c r="AR72" s="30"/>
      <c r="AS72" s="31"/>
      <c r="AT72" s="32"/>
      <c r="AU72" s="33"/>
      <c r="AV72" s="34"/>
      <c r="AW72" s="35"/>
      <c r="AX72" s="36"/>
      <c r="AY72" s="37"/>
      <c r="AZ72" s="38"/>
      <c r="BA72" s="39"/>
      <c r="BB72" s="40"/>
      <c r="BC72" s="41"/>
      <c r="BD72" s="42"/>
    </row>
    <row r="73" spans="4:56" x14ac:dyDescent="0.3">
      <c r="D73">
        <f t="shared" si="18"/>
        <v>0</v>
      </c>
      <c r="G73">
        <f t="shared" si="19"/>
        <v>0</v>
      </c>
      <c r="H73">
        <f t="shared" si="20"/>
        <v>0</v>
      </c>
      <c r="I73" t="str">
        <f t="shared" si="21"/>
        <v/>
      </c>
      <c r="J73" t="str">
        <f t="shared" si="22"/>
        <v/>
      </c>
      <c r="K73" s="3"/>
      <c r="L73">
        <f t="shared" si="23"/>
        <v>0</v>
      </c>
      <c r="M73">
        <f t="shared" si="24"/>
        <v>0</v>
      </c>
      <c r="N73">
        <f t="shared" si="25"/>
        <v>0</v>
      </c>
      <c r="O73">
        <f t="shared" si="26"/>
        <v>0</v>
      </c>
      <c r="P73" s="4"/>
      <c r="Q73" s="5"/>
      <c r="R73" s="6"/>
      <c r="S73" s="7"/>
      <c r="T73" s="8"/>
      <c r="U73" s="9"/>
      <c r="V73" s="10"/>
      <c r="W73" s="11"/>
      <c r="X73" s="12"/>
      <c r="Y73" s="13"/>
      <c r="Z73" s="14"/>
      <c r="AA73" s="15"/>
      <c r="AB73" s="16"/>
      <c r="AC73" s="17"/>
      <c r="AD73" s="18"/>
      <c r="AE73" s="4"/>
      <c r="AF73" s="19"/>
      <c r="AG73" s="20"/>
      <c r="AH73" s="15"/>
      <c r="AI73" s="21"/>
      <c r="AJ73" s="22"/>
      <c r="AK73" s="23"/>
      <c r="AL73" s="24"/>
      <c r="AM73" s="25"/>
      <c r="AN73" s="26"/>
      <c r="AO73" s="27"/>
      <c r="AP73" s="28"/>
      <c r="AQ73" s="29"/>
      <c r="AR73" s="30"/>
      <c r="AS73" s="31"/>
      <c r="AT73" s="32"/>
      <c r="AU73" s="33"/>
      <c r="AV73" s="34"/>
      <c r="AW73" s="35"/>
      <c r="AX73" s="36"/>
      <c r="AY73" s="37"/>
      <c r="AZ73" s="38"/>
      <c r="BA73" s="39"/>
      <c r="BB73" s="40"/>
      <c r="BC73" s="41"/>
      <c r="BD73" s="42"/>
    </row>
    <row r="74" spans="4:56" x14ac:dyDescent="0.3">
      <c r="D74">
        <f t="shared" si="18"/>
        <v>0</v>
      </c>
      <c r="G74">
        <f t="shared" si="19"/>
        <v>0</v>
      </c>
      <c r="H74">
        <f t="shared" si="20"/>
        <v>0</v>
      </c>
      <c r="I74" t="str">
        <f t="shared" si="21"/>
        <v/>
      </c>
      <c r="J74" t="str">
        <f t="shared" si="22"/>
        <v/>
      </c>
      <c r="K74" s="3"/>
      <c r="L74">
        <f t="shared" si="23"/>
        <v>0</v>
      </c>
      <c r="M74">
        <f t="shared" si="24"/>
        <v>0</v>
      </c>
      <c r="N74">
        <f t="shared" si="25"/>
        <v>0</v>
      </c>
      <c r="O74">
        <f t="shared" si="26"/>
        <v>0</v>
      </c>
      <c r="P74" s="4"/>
      <c r="Q74" s="5"/>
      <c r="R74" s="6"/>
      <c r="S74" s="7"/>
      <c r="T74" s="8"/>
      <c r="U74" s="9"/>
      <c r="V74" s="10"/>
      <c r="W74" s="11"/>
      <c r="X74" s="12"/>
      <c r="Y74" s="13"/>
      <c r="Z74" s="14"/>
      <c r="AA74" s="15"/>
      <c r="AB74" s="16"/>
      <c r="AC74" s="17"/>
      <c r="AD74" s="18"/>
      <c r="AE74" s="4"/>
      <c r="AF74" s="19"/>
      <c r="AG74" s="20"/>
      <c r="AH74" s="15"/>
      <c r="AI74" s="21"/>
      <c r="AJ74" s="22"/>
      <c r="AK74" s="23"/>
      <c r="AL74" s="24"/>
      <c r="AM74" s="25"/>
      <c r="AN74" s="26"/>
      <c r="AO74" s="27"/>
      <c r="AP74" s="28"/>
      <c r="AQ74" s="29"/>
      <c r="AR74" s="30"/>
      <c r="AS74" s="31"/>
      <c r="AT74" s="32"/>
      <c r="AU74" s="33"/>
      <c r="AV74" s="34"/>
      <c r="AW74" s="35"/>
      <c r="AX74" s="36"/>
      <c r="AY74" s="37"/>
      <c r="AZ74" s="38"/>
      <c r="BA74" s="39"/>
      <c r="BB74" s="40"/>
      <c r="BC74" s="41"/>
      <c r="BD74" s="42"/>
    </row>
    <row r="75" spans="4:56" x14ac:dyDescent="0.3">
      <c r="D75">
        <f t="shared" si="18"/>
        <v>0</v>
      </c>
      <c r="G75">
        <f t="shared" si="19"/>
        <v>0</v>
      </c>
      <c r="H75">
        <f t="shared" si="20"/>
        <v>0</v>
      </c>
      <c r="I75" t="str">
        <f t="shared" si="21"/>
        <v/>
      </c>
      <c r="J75" t="str">
        <f t="shared" si="22"/>
        <v/>
      </c>
      <c r="K75" s="3"/>
      <c r="L75">
        <f t="shared" si="23"/>
        <v>0</v>
      </c>
      <c r="M75">
        <f t="shared" si="24"/>
        <v>0</v>
      </c>
      <c r="N75">
        <f t="shared" si="25"/>
        <v>0</v>
      </c>
      <c r="O75">
        <f t="shared" si="26"/>
        <v>0</v>
      </c>
      <c r="P75" s="4"/>
      <c r="Q75" s="5"/>
      <c r="R75" s="6"/>
      <c r="S75" s="7"/>
      <c r="T75" s="8"/>
      <c r="U75" s="9"/>
      <c r="V75" s="10"/>
      <c r="W75" s="11"/>
      <c r="X75" s="12"/>
      <c r="Y75" s="13"/>
      <c r="Z75" s="14"/>
      <c r="AA75" s="15"/>
      <c r="AB75" s="16"/>
      <c r="AC75" s="17"/>
      <c r="AD75" s="18"/>
      <c r="AE75" s="4"/>
      <c r="AF75" s="19"/>
      <c r="AG75" s="20"/>
      <c r="AH75" s="15"/>
      <c r="AI75" s="21"/>
      <c r="AJ75" s="22"/>
      <c r="AK75" s="23"/>
      <c r="AL75" s="24"/>
      <c r="AM75" s="25"/>
      <c r="AN75" s="26"/>
      <c r="AO75" s="27"/>
      <c r="AP75" s="28"/>
      <c r="AQ75" s="29"/>
      <c r="AR75" s="30"/>
      <c r="AS75" s="31"/>
      <c r="AT75" s="32"/>
      <c r="AU75" s="33"/>
      <c r="AV75" s="34"/>
      <c r="AW75" s="35"/>
      <c r="AX75" s="36"/>
      <c r="AY75" s="37"/>
      <c r="AZ75" s="38"/>
      <c r="BA75" s="39"/>
      <c r="BB75" s="40"/>
      <c r="BC75" s="41"/>
      <c r="BD75" s="42"/>
    </row>
    <row r="76" spans="4:56" x14ac:dyDescent="0.3">
      <c r="D76">
        <f t="shared" si="18"/>
        <v>0</v>
      </c>
      <c r="G76">
        <f t="shared" si="19"/>
        <v>0</v>
      </c>
      <c r="H76">
        <f t="shared" si="20"/>
        <v>0</v>
      </c>
      <c r="I76" t="str">
        <f t="shared" si="21"/>
        <v/>
      </c>
      <c r="J76" t="str">
        <f t="shared" si="22"/>
        <v/>
      </c>
      <c r="K76" s="3"/>
      <c r="L76">
        <f t="shared" si="23"/>
        <v>0</v>
      </c>
      <c r="M76">
        <f t="shared" si="24"/>
        <v>0</v>
      </c>
      <c r="N76">
        <f t="shared" si="25"/>
        <v>0</v>
      </c>
      <c r="O76">
        <f t="shared" si="26"/>
        <v>0</v>
      </c>
      <c r="P76" s="4"/>
      <c r="Q76" s="5"/>
      <c r="R76" s="6"/>
      <c r="S76" s="7"/>
      <c r="T76" s="8"/>
      <c r="U76" s="9"/>
      <c r="V76" s="10"/>
      <c r="W76" s="11"/>
      <c r="X76" s="12"/>
      <c r="Y76" s="13"/>
      <c r="Z76" s="14"/>
      <c r="AA76" s="15"/>
      <c r="AB76" s="16"/>
      <c r="AC76" s="17"/>
      <c r="AD76" s="18"/>
      <c r="AE76" s="4"/>
      <c r="AF76" s="19"/>
      <c r="AG76" s="20"/>
      <c r="AH76" s="15"/>
      <c r="AI76" s="21"/>
      <c r="AJ76" s="22"/>
      <c r="AK76" s="23"/>
      <c r="AL76" s="24"/>
      <c r="AM76" s="25"/>
      <c r="AN76" s="26"/>
      <c r="AO76" s="27"/>
      <c r="AP76" s="28"/>
      <c r="AQ76" s="29"/>
      <c r="AR76" s="30"/>
      <c r="AS76" s="31"/>
      <c r="AT76" s="32"/>
      <c r="AU76" s="33"/>
      <c r="AV76" s="34"/>
      <c r="AW76" s="35"/>
      <c r="AX76" s="36"/>
      <c r="AY76" s="37"/>
      <c r="AZ76" s="38"/>
      <c r="BA76" s="39"/>
      <c r="BB76" s="40"/>
      <c r="BC76" s="41"/>
      <c r="BD76" s="42"/>
    </row>
    <row r="77" spans="4:56" x14ac:dyDescent="0.3">
      <c r="D77">
        <f t="shared" si="18"/>
        <v>0</v>
      </c>
      <c r="G77">
        <f t="shared" si="19"/>
        <v>0</v>
      </c>
      <c r="H77">
        <f t="shared" si="20"/>
        <v>0</v>
      </c>
      <c r="I77" t="str">
        <f t="shared" si="21"/>
        <v/>
      </c>
      <c r="J77" t="str">
        <f t="shared" si="22"/>
        <v/>
      </c>
      <c r="K77" s="3"/>
      <c r="L77">
        <f t="shared" si="23"/>
        <v>0</v>
      </c>
      <c r="M77">
        <f t="shared" si="24"/>
        <v>0</v>
      </c>
      <c r="N77">
        <f t="shared" si="25"/>
        <v>0</v>
      </c>
      <c r="O77">
        <f t="shared" si="26"/>
        <v>0</v>
      </c>
      <c r="P77" s="4"/>
      <c r="Q77" s="5"/>
      <c r="R77" s="6"/>
      <c r="S77" s="7"/>
      <c r="T77" s="8"/>
      <c r="U77" s="9"/>
      <c r="V77" s="10"/>
      <c r="W77" s="11"/>
      <c r="X77" s="12"/>
      <c r="Y77" s="13"/>
      <c r="Z77" s="14"/>
      <c r="AA77" s="15"/>
      <c r="AB77" s="16"/>
      <c r="AC77" s="17"/>
      <c r="AD77" s="18"/>
      <c r="AE77" s="4"/>
      <c r="AF77" s="19"/>
      <c r="AG77" s="20"/>
      <c r="AH77" s="15"/>
      <c r="AI77" s="21"/>
      <c r="AJ77" s="22"/>
      <c r="AK77" s="23"/>
      <c r="AL77" s="24"/>
      <c r="AM77" s="25"/>
      <c r="AN77" s="26"/>
      <c r="AO77" s="27"/>
      <c r="AP77" s="28"/>
      <c r="AQ77" s="29"/>
      <c r="AR77" s="30"/>
      <c r="AS77" s="31"/>
      <c r="AT77" s="32"/>
      <c r="AU77" s="33"/>
      <c r="AV77" s="34"/>
      <c r="AW77" s="35"/>
      <c r="AX77" s="36"/>
      <c r="AY77" s="37"/>
      <c r="AZ77" s="38"/>
      <c r="BA77" s="39"/>
      <c r="BB77" s="40"/>
      <c r="BC77" s="41"/>
      <c r="BD77" s="42"/>
    </row>
    <row r="78" spans="4:56" x14ac:dyDescent="0.3">
      <c r="D78">
        <f t="shared" si="18"/>
        <v>0</v>
      </c>
      <c r="G78">
        <f t="shared" si="19"/>
        <v>0</v>
      </c>
      <c r="H78">
        <f t="shared" si="20"/>
        <v>0</v>
      </c>
      <c r="I78" t="str">
        <f t="shared" si="21"/>
        <v/>
      </c>
      <c r="J78" t="str">
        <f t="shared" si="22"/>
        <v/>
      </c>
      <c r="K78" s="3"/>
      <c r="L78">
        <f t="shared" si="23"/>
        <v>0</v>
      </c>
      <c r="M78">
        <f t="shared" si="24"/>
        <v>0</v>
      </c>
      <c r="N78">
        <f t="shared" si="25"/>
        <v>0</v>
      </c>
      <c r="O78">
        <f t="shared" si="26"/>
        <v>0</v>
      </c>
      <c r="P78" s="4"/>
      <c r="Q78" s="5"/>
      <c r="R78" s="6"/>
      <c r="S78" s="7"/>
      <c r="T78" s="8"/>
      <c r="U78" s="9"/>
      <c r="V78" s="10"/>
      <c r="W78" s="11"/>
      <c r="X78" s="12"/>
      <c r="Y78" s="13"/>
      <c r="Z78" s="14"/>
      <c r="AA78" s="15"/>
      <c r="AB78" s="16"/>
      <c r="AC78" s="17"/>
      <c r="AD78" s="18"/>
      <c r="AE78" s="4"/>
      <c r="AF78" s="19"/>
      <c r="AG78" s="20"/>
      <c r="AH78" s="15"/>
      <c r="AI78" s="21"/>
      <c r="AJ78" s="22"/>
      <c r="AK78" s="23"/>
      <c r="AL78" s="24"/>
      <c r="AM78" s="25"/>
      <c r="AN78" s="26"/>
      <c r="AO78" s="27"/>
      <c r="AP78" s="28"/>
      <c r="AQ78" s="29"/>
      <c r="AR78" s="30"/>
      <c r="AS78" s="31"/>
      <c r="AT78" s="32"/>
      <c r="AU78" s="33"/>
      <c r="AV78" s="34"/>
      <c r="AW78" s="35"/>
      <c r="AX78" s="36"/>
      <c r="AY78" s="37"/>
      <c r="AZ78" s="38"/>
      <c r="BA78" s="39"/>
      <c r="BB78" s="40"/>
      <c r="BC78" s="41"/>
      <c r="BD78" s="42"/>
    </row>
    <row r="79" spans="4:56" x14ac:dyDescent="0.3">
      <c r="D79">
        <f t="shared" si="18"/>
        <v>0</v>
      </c>
      <c r="G79">
        <f t="shared" si="19"/>
        <v>0</v>
      </c>
      <c r="H79">
        <f t="shared" si="20"/>
        <v>0</v>
      </c>
      <c r="I79" t="str">
        <f t="shared" si="21"/>
        <v/>
      </c>
      <c r="J79" t="str">
        <f t="shared" si="22"/>
        <v/>
      </c>
      <c r="K79" s="3"/>
      <c r="L79">
        <f t="shared" si="23"/>
        <v>0</v>
      </c>
      <c r="M79">
        <f t="shared" si="24"/>
        <v>0</v>
      </c>
      <c r="N79">
        <f t="shared" si="25"/>
        <v>0</v>
      </c>
      <c r="O79">
        <f t="shared" si="26"/>
        <v>0</v>
      </c>
      <c r="P79" s="4"/>
      <c r="Q79" s="5"/>
      <c r="R79" s="6"/>
      <c r="S79" s="7"/>
      <c r="T79" s="8"/>
      <c r="U79" s="9"/>
      <c r="V79" s="10"/>
      <c r="W79" s="11"/>
      <c r="X79" s="12"/>
      <c r="Y79" s="13"/>
      <c r="Z79" s="14"/>
      <c r="AA79" s="15"/>
      <c r="AB79" s="16"/>
      <c r="AC79" s="17"/>
      <c r="AD79" s="18"/>
      <c r="AE79" s="4"/>
      <c r="AF79" s="19"/>
      <c r="AG79" s="20"/>
      <c r="AH79" s="15"/>
      <c r="AI79" s="21"/>
      <c r="AJ79" s="22"/>
      <c r="AK79" s="23"/>
      <c r="AL79" s="24"/>
      <c r="AM79" s="25"/>
      <c r="AN79" s="26"/>
      <c r="AO79" s="27"/>
      <c r="AP79" s="28"/>
      <c r="AQ79" s="29"/>
      <c r="AR79" s="30"/>
      <c r="AS79" s="31"/>
      <c r="AT79" s="32"/>
      <c r="AU79" s="33"/>
      <c r="AV79" s="34"/>
      <c r="AW79" s="35"/>
      <c r="AX79" s="36"/>
      <c r="AY79" s="37"/>
      <c r="AZ79" s="38"/>
      <c r="BA79" s="39"/>
      <c r="BB79" s="40"/>
      <c r="BC79" s="41"/>
      <c r="BD79" s="42"/>
    </row>
    <row r="80" spans="4:56" x14ac:dyDescent="0.3">
      <c r="D80">
        <f t="shared" si="18"/>
        <v>0</v>
      </c>
      <c r="G80">
        <f t="shared" si="19"/>
        <v>0</v>
      </c>
      <c r="H80">
        <f t="shared" si="20"/>
        <v>0</v>
      </c>
      <c r="I80" t="str">
        <f t="shared" si="21"/>
        <v/>
      </c>
      <c r="J80" t="str">
        <f t="shared" si="22"/>
        <v/>
      </c>
      <c r="K80" s="3"/>
      <c r="L80">
        <f t="shared" si="23"/>
        <v>0</v>
      </c>
      <c r="M80">
        <f t="shared" si="24"/>
        <v>0</v>
      </c>
      <c r="N80">
        <f t="shared" si="25"/>
        <v>0</v>
      </c>
      <c r="O80">
        <f t="shared" si="26"/>
        <v>0</v>
      </c>
      <c r="P80" s="4"/>
      <c r="Q80" s="5"/>
      <c r="R80" s="6"/>
      <c r="S80" s="7"/>
      <c r="T80" s="8"/>
      <c r="U80" s="9"/>
      <c r="V80" s="10"/>
      <c r="W80" s="11"/>
      <c r="X80" s="12"/>
      <c r="Y80" s="13"/>
      <c r="Z80" s="14"/>
      <c r="AA80" s="15"/>
      <c r="AB80" s="16"/>
      <c r="AC80" s="17"/>
      <c r="AD80" s="18"/>
      <c r="AE80" s="4"/>
      <c r="AF80" s="19"/>
      <c r="AG80" s="20"/>
      <c r="AH80" s="15"/>
      <c r="AI80" s="21"/>
      <c r="AJ80" s="22"/>
      <c r="AK80" s="23"/>
      <c r="AL80" s="24"/>
      <c r="AM80" s="25"/>
      <c r="AN80" s="26"/>
      <c r="AO80" s="27"/>
      <c r="AP80" s="28"/>
      <c r="AQ80" s="29"/>
      <c r="AR80" s="30"/>
      <c r="AS80" s="31"/>
      <c r="AT80" s="32"/>
      <c r="AU80" s="33"/>
      <c r="AV80" s="34"/>
      <c r="AW80" s="35"/>
      <c r="AX80" s="36"/>
      <c r="AY80" s="37"/>
      <c r="AZ80" s="38"/>
      <c r="BA80" s="39"/>
      <c r="BB80" s="40"/>
      <c r="BC80" s="41"/>
      <c r="BD80" s="42"/>
    </row>
    <row r="81" spans="4:56" x14ac:dyDescent="0.3">
      <c r="D81">
        <f t="shared" si="18"/>
        <v>0</v>
      </c>
      <c r="G81">
        <f t="shared" si="19"/>
        <v>0</v>
      </c>
      <c r="H81">
        <f t="shared" si="20"/>
        <v>0</v>
      </c>
      <c r="I81" t="str">
        <f t="shared" si="21"/>
        <v/>
      </c>
      <c r="J81" t="str">
        <f t="shared" si="22"/>
        <v/>
      </c>
      <c r="K81" s="3"/>
      <c r="L81">
        <f t="shared" si="23"/>
        <v>0</v>
      </c>
      <c r="M81">
        <f t="shared" si="24"/>
        <v>0</v>
      </c>
      <c r="N81">
        <f t="shared" si="25"/>
        <v>0</v>
      </c>
      <c r="O81">
        <f t="shared" si="26"/>
        <v>0</v>
      </c>
      <c r="P81" s="4"/>
      <c r="Q81" s="5"/>
      <c r="R81" s="6"/>
      <c r="S81" s="7"/>
      <c r="T81" s="8"/>
      <c r="U81" s="9"/>
      <c r="V81" s="10"/>
      <c r="W81" s="11"/>
      <c r="X81" s="12"/>
      <c r="Y81" s="13"/>
      <c r="Z81" s="14"/>
      <c r="AA81" s="15"/>
      <c r="AB81" s="16"/>
      <c r="AC81" s="17"/>
      <c r="AD81" s="18"/>
      <c r="AE81" s="4"/>
      <c r="AF81" s="19"/>
      <c r="AG81" s="20"/>
      <c r="AH81" s="15"/>
      <c r="AI81" s="21"/>
      <c r="AJ81" s="22"/>
      <c r="AK81" s="23"/>
      <c r="AL81" s="24"/>
      <c r="AM81" s="25"/>
      <c r="AN81" s="26"/>
      <c r="AO81" s="27"/>
      <c r="AP81" s="28"/>
      <c r="AQ81" s="29"/>
      <c r="AR81" s="30"/>
      <c r="AS81" s="31"/>
      <c r="AT81" s="32"/>
      <c r="AU81" s="33"/>
      <c r="AV81" s="34"/>
      <c r="AW81" s="35"/>
      <c r="AX81" s="36"/>
      <c r="AY81" s="37"/>
      <c r="AZ81" s="38"/>
      <c r="BA81" s="39"/>
      <c r="BB81" s="40"/>
      <c r="BC81" s="41"/>
      <c r="BD81" s="42"/>
    </row>
    <row r="82" spans="4:56" x14ac:dyDescent="0.3">
      <c r="D82">
        <f t="shared" si="18"/>
        <v>0</v>
      </c>
      <c r="G82">
        <f t="shared" si="19"/>
        <v>0</v>
      </c>
      <c r="H82">
        <f t="shared" si="20"/>
        <v>0</v>
      </c>
      <c r="I82" t="str">
        <f t="shared" si="21"/>
        <v/>
      </c>
      <c r="J82" t="str">
        <f t="shared" si="22"/>
        <v/>
      </c>
      <c r="K82" s="3"/>
      <c r="L82">
        <f t="shared" si="23"/>
        <v>0</v>
      </c>
      <c r="M82">
        <f t="shared" si="24"/>
        <v>0</v>
      </c>
      <c r="N82">
        <f t="shared" si="25"/>
        <v>0</v>
      </c>
      <c r="O82">
        <f t="shared" si="26"/>
        <v>0</v>
      </c>
      <c r="P82" s="4"/>
      <c r="Q82" s="5"/>
      <c r="R82" s="6"/>
      <c r="S82" s="7"/>
      <c r="T82" s="8"/>
      <c r="U82" s="9"/>
      <c r="V82" s="10"/>
      <c r="W82" s="11"/>
      <c r="X82" s="12"/>
      <c r="Y82" s="13"/>
      <c r="Z82" s="14"/>
      <c r="AA82" s="15"/>
      <c r="AB82" s="16"/>
      <c r="AC82" s="17"/>
      <c r="AD82" s="18"/>
      <c r="AE82" s="4"/>
      <c r="AF82" s="19"/>
      <c r="AG82" s="20"/>
      <c r="AH82" s="15"/>
      <c r="AI82" s="21"/>
      <c r="AJ82" s="22"/>
      <c r="AK82" s="23"/>
      <c r="AL82" s="24"/>
      <c r="AM82" s="25"/>
      <c r="AN82" s="26"/>
      <c r="AO82" s="27"/>
      <c r="AP82" s="28"/>
      <c r="AQ82" s="29"/>
      <c r="AR82" s="30"/>
      <c r="AS82" s="31"/>
      <c r="AT82" s="32"/>
      <c r="AU82" s="33"/>
      <c r="AV82" s="34"/>
      <c r="AW82" s="35"/>
      <c r="AX82" s="36"/>
      <c r="AY82" s="37"/>
      <c r="AZ82" s="38"/>
      <c r="BA82" s="39"/>
      <c r="BB82" s="40"/>
      <c r="BC82" s="41"/>
      <c r="BD82" s="42"/>
    </row>
    <row r="83" spans="4:56" x14ac:dyDescent="0.3">
      <c r="D83">
        <f t="shared" si="18"/>
        <v>0</v>
      </c>
      <c r="G83">
        <f t="shared" si="19"/>
        <v>0</v>
      </c>
      <c r="H83">
        <f t="shared" si="20"/>
        <v>0</v>
      </c>
      <c r="I83" t="str">
        <f t="shared" si="21"/>
        <v/>
      </c>
      <c r="J83" t="str">
        <f t="shared" si="22"/>
        <v/>
      </c>
      <c r="K83" s="3"/>
      <c r="L83">
        <f t="shared" si="23"/>
        <v>0</v>
      </c>
      <c r="M83">
        <f t="shared" si="24"/>
        <v>0</v>
      </c>
      <c r="N83">
        <f t="shared" si="25"/>
        <v>0</v>
      </c>
      <c r="O83">
        <f t="shared" si="26"/>
        <v>0</v>
      </c>
      <c r="P83" s="4"/>
      <c r="Q83" s="5"/>
      <c r="R83" s="6"/>
      <c r="S83" s="7"/>
      <c r="T83" s="8"/>
      <c r="U83" s="9"/>
      <c r="V83" s="10"/>
      <c r="W83" s="11"/>
      <c r="X83" s="12"/>
      <c r="Y83" s="13"/>
      <c r="Z83" s="14"/>
      <c r="AA83" s="15"/>
      <c r="AB83" s="16"/>
      <c r="AC83" s="17"/>
      <c r="AD83" s="18"/>
      <c r="AE83" s="4"/>
      <c r="AF83" s="19"/>
      <c r="AG83" s="20"/>
      <c r="AH83" s="15"/>
      <c r="AI83" s="21"/>
      <c r="AJ83" s="22"/>
      <c r="AK83" s="23"/>
      <c r="AL83" s="24"/>
      <c r="AM83" s="25"/>
      <c r="AN83" s="26"/>
      <c r="AO83" s="27"/>
      <c r="AP83" s="28"/>
      <c r="AQ83" s="29"/>
      <c r="AR83" s="30"/>
      <c r="AS83" s="31"/>
      <c r="AT83" s="32"/>
      <c r="AU83" s="33"/>
      <c r="AV83" s="34"/>
      <c r="AW83" s="35"/>
      <c r="AX83" s="36"/>
      <c r="AY83" s="37"/>
      <c r="AZ83" s="38"/>
      <c r="BA83" s="39"/>
      <c r="BB83" s="40"/>
      <c r="BC83" s="41"/>
      <c r="BD83" s="42"/>
    </row>
    <row r="84" spans="4:56" x14ac:dyDescent="0.3">
      <c r="D84">
        <f t="shared" si="18"/>
        <v>0</v>
      </c>
      <c r="G84">
        <f t="shared" si="19"/>
        <v>0</v>
      </c>
      <c r="H84">
        <f t="shared" si="20"/>
        <v>0</v>
      </c>
      <c r="I84" t="str">
        <f t="shared" si="21"/>
        <v/>
      </c>
      <c r="J84" t="str">
        <f t="shared" si="22"/>
        <v/>
      </c>
      <c r="K84" s="3"/>
      <c r="L84">
        <f t="shared" si="23"/>
        <v>0</v>
      </c>
      <c r="M84">
        <f t="shared" si="24"/>
        <v>0</v>
      </c>
      <c r="N84">
        <f t="shared" si="25"/>
        <v>0</v>
      </c>
      <c r="O84">
        <f t="shared" si="26"/>
        <v>0</v>
      </c>
      <c r="P84" s="4"/>
      <c r="Q84" s="5"/>
      <c r="R84" s="6"/>
      <c r="S84" s="7"/>
      <c r="T84" s="8"/>
      <c r="U84" s="9"/>
      <c r="V84" s="10"/>
      <c r="W84" s="11"/>
      <c r="X84" s="12"/>
      <c r="Y84" s="13"/>
      <c r="Z84" s="14"/>
      <c r="AA84" s="15"/>
      <c r="AB84" s="16"/>
      <c r="AC84" s="17"/>
      <c r="AD84" s="18"/>
      <c r="AE84" s="4"/>
      <c r="AF84" s="19"/>
      <c r="AG84" s="20"/>
      <c r="AH84" s="15"/>
      <c r="AI84" s="21"/>
      <c r="AJ84" s="22"/>
      <c r="AK84" s="23"/>
      <c r="AL84" s="24"/>
      <c r="AM84" s="25"/>
      <c r="AN84" s="26"/>
      <c r="AO84" s="27"/>
      <c r="AP84" s="28"/>
      <c r="AQ84" s="29"/>
      <c r="AR84" s="30"/>
      <c r="AS84" s="31"/>
      <c r="AT84" s="32"/>
      <c r="AU84" s="33"/>
      <c r="AV84" s="34"/>
      <c r="AW84" s="35"/>
      <c r="AX84" s="36"/>
      <c r="AY84" s="37"/>
      <c r="AZ84" s="38"/>
      <c r="BA84" s="39"/>
      <c r="BB84" s="40"/>
      <c r="BC84" s="41"/>
      <c r="BD84" s="42"/>
    </row>
    <row r="85" spans="4:56" x14ac:dyDescent="0.3">
      <c r="D85">
        <f t="shared" si="18"/>
        <v>0</v>
      </c>
      <c r="G85">
        <f t="shared" si="19"/>
        <v>0</v>
      </c>
      <c r="H85">
        <f t="shared" si="20"/>
        <v>0</v>
      </c>
      <c r="I85" t="str">
        <f t="shared" si="21"/>
        <v/>
      </c>
      <c r="J85" t="str">
        <f t="shared" si="22"/>
        <v/>
      </c>
      <c r="K85" s="3"/>
      <c r="L85">
        <f t="shared" si="23"/>
        <v>0</v>
      </c>
      <c r="M85">
        <f t="shared" si="24"/>
        <v>0</v>
      </c>
      <c r="N85">
        <f t="shared" si="25"/>
        <v>0</v>
      </c>
      <c r="O85">
        <f t="shared" si="26"/>
        <v>0</v>
      </c>
      <c r="P85" s="4"/>
      <c r="Q85" s="5"/>
      <c r="R85" s="6"/>
      <c r="S85" s="7"/>
      <c r="T85" s="8"/>
      <c r="U85" s="9"/>
      <c r="V85" s="10"/>
      <c r="W85" s="11"/>
      <c r="X85" s="12"/>
      <c r="Y85" s="13"/>
      <c r="Z85" s="14"/>
      <c r="AA85" s="15"/>
      <c r="AB85" s="16"/>
      <c r="AC85" s="17"/>
      <c r="AD85" s="18"/>
      <c r="AE85" s="4"/>
      <c r="AF85" s="19"/>
      <c r="AG85" s="20"/>
      <c r="AH85" s="15"/>
      <c r="AI85" s="21"/>
      <c r="AJ85" s="22"/>
      <c r="AK85" s="23"/>
      <c r="AL85" s="24"/>
      <c r="AM85" s="25"/>
      <c r="AN85" s="26"/>
      <c r="AO85" s="27"/>
      <c r="AP85" s="28"/>
      <c r="AQ85" s="29"/>
      <c r="AR85" s="30"/>
      <c r="AS85" s="31"/>
      <c r="AT85" s="32"/>
      <c r="AU85" s="33"/>
      <c r="AV85" s="34"/>
      <c r="AW85" s="35"/>
      <c r="AX85" s="36"/>
      <c r="AY85" s="37"/>
      <c r="AZ85" s="38"/>
      <c r="BA85" s="39"/>
      <c r="BB85" s="40"/>
      <c r="BC85" s="41"/>
      <c r="BD85" s="42"/>
    </row>
    <row r="86" spans="4:56" x14ac:dyDescent="0.3">
      <c r="D86">
        <f t="shared" si="18"/>
        <v>0</v>
      </c>
      <c r="G86">
        <f t="shared" si="19"/>
        <v>0</v>
      </c>
      <c r="H86">
        <f t="shared" si="20"/>
        <v>0</v>
      </c>
      <c r="I86" t="str">
        <f t="shared" si="21"/>
        <v/>
      </c>
      <c r="J86" t="str">
        <f t="shared" si="22"/>
        <v/>
      </c>
      <c r="K86" s="3"/>
      <c r="L86">
        <f t="shared" si="23"/>
        <v>0</v>
      </c>
      <c r="M86">
        <f t="shared" si="24"/>
        <v>0</v>
      </c>
      <c r="N86">
        <f t="shared" si="25"/>
        <v>0</v>
      </c>
      <c r="O86">
        <f t="shared" si="26"/>
        <v>0</v>
      </c>
      <c r="P86" s="4"/>
      <c r="Q86" s="5"/>
      <c r="R86" s="6"/>
      <c r="S86" s="7"/>
      <c r="T86" s="8"/>
      <c r="U86" s="9"/>
      <c r="V86" s="10"/>
      <c r="W86" s="11"/>
      <c r="X86" s="12"/>
      <c r="Y86" s="13"/>
      <c r="Z86" s="14"/>
      <c r="AA86" s="15"/>
      <c r="AB86" s="16"/>
      <c r="AC86" s="17"/>
      <c r="AD86" s="18"/>
      <c r="AE86" s="4"/>
      <c r="AF86" s="19"/>
      <c r="AG86" s="20"/>
      <c r="AH86" s="15"/>
      <c r="AI86" s="21"/>
      <c r="AJ86" s="22"/>
      <c r="AK86" s="23"/>
      <c r="AL86" s="24"/>
      <c r="AM86" s="25"/>
      <c r="AN86" s="26"/>
      <c r="AO86" s="27"/>
      <c r="AP86" s="28"/>
      <c r="AQ86" s="29"/>
      <c r="AR86" s="30"/>
      <c r="AS86" s="31"/>
      <c r="AT86" s="32"/>
      <c r="AU86" s="33"/>
      <c r="AV86" s="34"/>
      <c r="AW86" s="35"/>
      <c r="AX86" s="36"/>
      <c r="AY86" s="37"/>
      <c r="AZ86" s="38"/>
      <c r="BA86" s="39"/>
      <c r="BB86" s="40"/>
      <c r="BC86" s="41"/>
      <c r="BD86" s="42"/>
    </row>
    <row r="87" spans="4:56" x14ac:dyDescent="0.3">
      <c r="D87">
        <f t="shared" si="18"/>
        <v>0</v>
      </c>
      <c r="G87">
        <f t="shared" si="19"/>
        <v>0</v>
      </c>
      <c r="H87">
        <f t="shared" si="20"/>
        <v>0</v>
      </c>
      <c r="I87" t="str">
        <f t="shared" si="21"/>
        <v/>
      </c>
      <c r="J87" t="str">
        <f t="shared" si="22"/>
        <v/>
      </c>
      <c r="K87" s="3"/>
      <c r="L87">
        <f t="shared" si="23"/>
        <v>0</v>
      </c>
      <c r="M87">
        <f t="shared" si="24"/>
        <v>0</v>
      </c>
      <c r="N87">
        <f t="shared" si="25"/>
        <v>0</v>
      </c>
      <c r="O87">
        <f t="shared" si="26"/>
        <v>0</v>
      </c>
      <c r="P87" s="4"/>
      <c r="Q87" s="5"/>
      <c r="R87" s="6"/>
      <c r="S87" s="7"/>
      <c r="T87" s="8"/>
      <c r="U87" s="9"/>
      <c r="V87" s="10"/>
      <c r="W87" s="11"/>
      <c r="X87" s="12"/>
      <c r="Y87" s="13"/>
      <c r="Z87" s="14"/>
      <c r="AA87" s="15"/>
      <c r="AB87" s="16"/>
      <c r="AC87" s="17"/>
      <c r="AD87" s="18"/>
      <c r="AE87" s="4"/>
      <c r="AF87" s="19"/>
      <c r="AG87" s="20"/>
      <c r="AH87" s="15"/>
      <c r="AI87" s="21"/>
      <c r="AJ87" s="22"/>
      <c r="AK87" s="23"/>
      <c r="AL87" s="24"/>
      <c r="AM87" s="25"/>
      <c r="AN87" s="26"/>
      <c r="AO87" s="27"/>
      <c r="AP87" s="28"/>
      <c r="AQ87" s="29"/>
      <c r="AR87" s="30"/>
      <c r="AS87" s="31"/>
      <c r="AT87" s="32"/>
      <c r="AU87" s="33"/>
      <c r="AV87" s="34"/>
      <c r="AW87" s="35"/>
      <c r="AX87" s="36"/>
      <c r="AY87" s="37"/>
      <c r="AZ87" s="38"/>
      <c r="BA87" s="39"/>
      <c r="BB87" s="40"/>
      <c r="BC87" s="41"/>
      <c r="BD87" s="42"/>
    </row>
    <row r="88" spans="4:56" x14ac:dyDescent="0.3">
      <c r="D88">
        <f t="shared" si="18"/>
        <v>0</v>
      </c>
      <c r="G88">
        <f t="shared" si="19"/>
        <v>0</v>
      </c>
      <c r="H88">
        <f t="shared" si="20"/>
        <v>0</v>
      </c>
      <c r="I88" t="str">
        <f t="shared" si="21"/>
        <v/>
      </c>
      <c r="J88" t="str">
        <f t="shared" si="22"/>
        <v/>
      </c>
      <c r="K88" s="3"/>
      <c r="L88">
        <f t="shared" si="23"/>
        <v>0</v>
      </c>
      <c r="M88">
        <f t="shared" si="24"/>
        <v>0</v>
      </c>
      <c r="N88">
        <f t="shared" si="25"/>
        <v>0</v>
      </c>
      <c r="O88">
        <f t="shared" si="26"/>
        <v>0</v>
      </c>
      <c r="P88" s="4"/>
      <c r="Q88" s="5"/>
      <c r="R88" s="6"/>
      <c r="S88" s="7"/>
      <c r="T88" s="8"/>
      <c r="U88" s="9"/>
      <c r="V88" s="10"/>
      <c r="W88" s="11"/>
      <c r="X88" s="12"/>
      <c r="Y88" s="13"/>
      <c r="Z88" s="14"/>
      <c r="AA88" s="15"/>
      <c r="AB88" s="16"/>
      <c r="AC88" s="17"/>
      <c r="AD88" s="18"/>
      <c r="AE88" s="4"/>
      <c r="AF88" s="19"/>
      <c r="AG88" s="20"/>
      <c r="AH88" s="15"/>
      <c r="AI88" s="21"/>
      <c r="AJ88" s="22"/>
      <c r="AK88" s="23"/>
      <c r="AL88" s="24"/>
      <c r="AM88" s="25"/>
      <c r="AN88" s="26"/>
      <c r="AO88" s="27"/>
      <c r="AP88" s="28"/>
      <c r="AQ88" s="29"/>
      <c r="AR88" s="30"/>
      <c r="AS88" s="31"/>
      <c r="AT88" s="32"/>
      <c r="AU88" s="33"/>
      <c r="AV88" s="34"/>
      <c r="AW88" s="35"/>
      <c r="AX88" s="36"/>
      <c r="AY88" s="37"/>
      <c r="AZ88" s="38"/>
      <c r="BA88" s="39"/>
      <c r="BB88" s="40"/>
      <c r="BC88" s="41"/>
      <c r="BD88" s="42"/>
    </row>
    <row r="89" spans="4:56" x14ac:dyDescent="0.3">
      <c r="D89">
        <f t="shared" si="18"/>
        <v>0</v>
      </c>
      <c r="G89">
        <f t="shared" si="19"/>
        <v>0</v>
      </c>
      <c r="H89">
        <f t="shared" si="20"/>
        <v>0</v>
      </c>
      <c r="I89" t="str">
        <f t="shared" si="21"/>
        <v/>
      </c>
      <c r="J89" t="str">
        <f t="shared" si="22"/>
        <v/>
      </c>
      <c r="K89" s="3"/>
      <c r="L89">
        <f t="shared" si="23"/>
        <v>0</v>
      </c>
      <c r="M89">
        <f t="shared" si="24"/>
        <v>0</v>
      </c>
      <c r="N89">
        <f t="shared" si="25"/>
        <v>0</v>
      </c>
      <c r="O89">
        <f t="shared" si="26"/>
        <v>0</v>
      </c>
      <c r="P89" s="4"/>
      <c r="Q89" s="5"/>
      <c r="R89" s="6"/>
      <c r="S89" s="7"/>
      <c r="T89" s="8"/>
      <c r="U89" s="9"/>
      <c r="V89" s="10"/>
      <c r="W89" s="11"/>
      <c r="X89" s="12"/>
      <c r="Y89" s="13"/>
      <c r="Z89" s="14"/>
      <c r="AA89" s="15"/>
      <c r="AB89" s="16"/>
      <c r="AC89" s="17"/>
      <c r="AD89" s="18"/>
      <c r="AE89" s="4"/>
      <c r="AF89" s="19"/>
      <c r="AG89" s="20"/>
      <c r="AH89" s="15"/>
      <c r="AI89" s="21"/>
      <c r="AJ89" s="22"/>
      <c r="AK89" s="23"/>
      <c r="AL89" s="24"/>
      <c r="AM89" s="25"/>
      <c r="AN89" s="26"/>
      <c r="AO89" s="27"/>
      <c r="AP89" s="28"/>
      <c r="AQ89" s="29"/>
      <c r="AR89" s="30"/>
      <c r="AS89" s="31"/>
      <c r="AT89" s="32"/>
      <c r="AU89" s="33"/>
      <c r="AV89" s="34"/>
      <c r="AW89" s="35"/>
      <c r="AX89" s="36"/>
      <c r="AY89" s="37"/>
      <c r="AZ89" s="38"/>
      <c r="BA89" s="39"/>
      <c r="BB89" s="40"/>
      <c r="BC89" s="41"/>
      <c r="BD89" s="42"/>
    </row>
    <row r="90" spans="4:56" x14ac:dyDescent="0.3">
      <c r="D90">
        <f t="shared" si="18"/>
        <v>0</v>
      </c>
      <c r="G90">
        <f t="shared" si="19"/>
        <v>0</v>
      </c>
      <c r="H90">
        <f t="shared" si="20"/>
        <v>0</v>
      </c>
      <c r="I90" t="str">
        <f t="shared" si="21"/>
        <v/>
      </c>
      <c r="J90" t="str">
        <f t="shared" si="22"/>
        <v/>
      </c>
      <c r="K90" s="3"/>
      <c r="L90">
        <f t="shared" si="23"/>
        <v>0</v>
      </c>
      <c r="M90">
        <f t="shared" si="24"/>
        <v>0</v>
      </c>
      <c r="N90">
        <f t="shared" si="25"/>
        <v>0</v>
      </c>
      <c r="O90">
        <f t="shared" si="26"/>
        <v>0</v>
      </c>
      <c r="P90" s="4"/>
      <c r="Q90" s="5"/>
      <c r="R90" s="6"/>
      <c r="S90" s="7"/>
      <c r="T90" s="8"/>
      <c r="U90" s="9"/>
      <c r="V90" s="10"/>
      <c r="W90" s="11"/>
      <c r="X90" s="12"/>
      <c r="Y90" s="13"/>
      <c r="Z90" s="14"/>
      <c r="AA90" s="15"/>
      <c r="AB90" s="16"/>
      <c r="AC90" s="17"/>
      <c r="AD90" s="18"/>
      <c r="AE90" s="4"/>
      <c r="AF90" s="19"/>
      <c r="AG90" s="20"/>
      <c r="AH90" s="15"/>
      <c r="AI90" s="21"/>
      <c r="AJ90" s="22"/>
      <c r="AK90" s="23"/>
      <c r="AL90" s="24"/>
      <c r="AM90" s="25"/>
      <c r="AN90" s="26"/>
      <c r="AO90" s="27"/>
      <c r="AP90" s="28"/>
      <c r="AQ90" s="29"/>
      <c r="AR90" s="30"/>
      <c r="AS90" s="31"/>
      <c r="AT90" s="32"/>
      <c r="AU90" s="33"/>
      <c r="AV90" s="34"/>
      <c r="AW90" s="35"/>
      <c r="AX90" s="36"/>
      <c r="AY90" s="37"/>
      <c r="AZ90" s="38"/>
      <c r="BA90" s="39"/>
      <c r="BB90" s="40"/>
      <c r="BC90" s="41"/>
      <c r="BD90" s="42"/>
    </row>
    <row r="91" spans="4:56" x14ac:dyDescent="0.3">
      <c r="D91">
        <f t="shared" si="18"/>
        <v>0</v>
      </c>
      <c r="G91">
        <f t="shared" si="19"/>
        <v>0</v>
      </c>
      <c r="H91">
        <f t="shared" si="20"/>
        <v>0</v>
      </c>
      <c r="I91" t="str">
        <f t="shared" si="21"/>
        <v/>
      </c>
      <c r="J91" t="str">
        <f t="shared" si="22"/>
        <v/>
      </c>
      <c r="K91" s="3"/>
      <c r="L91">
        <f t="shared" si="23"/>
        <v>0</v>
      </c>
      <c r="M91">
        <f t="shared" si="24"/>
        <v>0</v>
      </c>
      <c r="N91">
        <f t="shared" si="25"/>
        <v>0</v>
      </c>
      <c r="O91">
        <f t="shared" si="26"/>
        <v>0</v>
      </c>
      <c r="P91" s="4"/>
      <c r="Q91" s="5"/>
      <c r="R91" s="6"/>
      <c r="S91" s="7"/>
      <c r="T91" s="8"/>
      <c r="U91" s="9"/>
      <c r="V91" s="10"/>
      <c r="W91" s="11"/>
      <c r="X91" s="12"/>
      <c r="Y91" s="13"/>
      <c r="Z91" s="14"/>
      <c r="AA91" s="15"/>
      <c r="AB91" s="16"/>
      <c r="AC91" s="17"/>
      <c r="AD91" s="18"/>
      <c r="AE91" s="4"/>
      <c r="AF91" s="19"/>
      <c r="AG91" s="20"/>
      <c r="AH91" s="15"/>
      <c r="AI91" s="21"/>
      <c r="AJ91" s="22"/>
      <c r="AK91" s="23"/>
      <c r="AL91" s="24"/>
      <c r="AM91" s="25"/>
      <c r="AN91" s="26"/>
      <c r="AO91" s="27"/>
      <c r="AP91" s="28"/>
      <c r="AQ91" s="29"/>
      <c r="AR91" s="30"/>
      <c r="AS91" s="31"/>
      <c r="AT91" s="32"/>
      <c r="AU91" s="33"/>
      <c r="AV91" s="34"/>
      <c r="AW91" s="35"/>
      <c r="AX91" s="36"/>
      <c r="AY91" s="37"/>
      <c r="AZ91" s="38"/>
      <c r="BA91" s="39"/>
      <c r="BB91" s="40"/>
      <c r="BC91" s="41"/>
      <c r="BD91" s="42"/>
    </row>
    <row r="92" spans="4:56" x14ac:dyDescent="0.3">
      <c r="D92">
        <f t="shared" si="18"/>
        <v>0</v>
      </c>
      <c r="G92">
        <f t="shared" si="19"/>
        <v>0</v>
      </c>
      <c r="H92">
        <f t="shared" si="20"/>
        <v>0</v>
      </c>
      <c r="I92" t="str">
        <f t="shared" si="21"/>
        <v/>
      </c>
      <c r="J92" t="str">
        <f t="shared" si="22"/>
        <v/>
      </c>
      <c r="K92" s="3"/>
      <c r="L92">
        <f t="shared" si="23"/>
        <v>0</v>
      </c>
      <c r="M92">
        <f t="shared" si="24"/>
        <v>0</v>
      </c>
      <c r="N92">
        <f t="shared" si="25"/>
        <v>0</v>
      </c>
      <c r="O92">
        <f t="shared" si="26"/>
        <v>0</v>
      </c>
      <c r="P92" s="4"/>
      <c r="Q92" s="5"/>
      <c r="R92" s="6"/>
      <c r="S92" s="7"/>
      <c r="T92" s="8"/>
      <c r="U92" s="9"/>
      <c r="V92" s="10"/>
      <c r="W92" s="11"/>
      <c r="X92" s="12"/>
      <c r="Y92" s="13"/>
      <c r="Z92" s="14"/>
      <c r="AA92" s="15"/>
      <c r="AB92" s="16"/>
      <c r="AC92" s="17"/>
      <c r="AD92" s="18"/>
      <c r="AE92" s="4"/>
      <c r="AF92" s="19"/>
      <c r="AG92" s="20"/>
      <c r="AH92" s="15"/>
      <c r="AI92" s="21"/>
      <c r="AJ92" s="22"/>
      <c r="AK92" s="23"/>
      <c r="AL92" s="24"/>
      <c r="AM92" s="25"/>
      <c r="AN92" s="26"/>
      <c r="AO92" s="27"/>
      <c r="AP92" s="28"/>
      <c r="AQ92" s="29"/>
      <c r="AR92" s="30"/>
      <c r="AS92" s="31"/>
      <c r="AT92" s="32"/>
      <c r="AU92" s="33"/>
      <c r="AV92" s="34"/>
      <c r="AW92" s="35"/>
      <c r="AX92" s="36"/>
      <c r="AY92" s="37"/>
      <c r="AZ92" s="38"/>
      <c r="BA92" s="39"/>
      <c r="BB92" s="40"/>
      <c r="BC92" s="41"/>
      <c r="BD92" s="42"/>
    </row>
    <row r="93" spans="4:56" x14ac:dyDescent="0.3">
      <c r="D93">
        <f t="shared" si="18"/>
        <v>0</v>
      </c>
      <c r="G93">
        <f t="shared" si="19"/>
        <v>0</v>
      </c>
      <c r="H93">
        <f t="shared" si="20"/>
        <v>0</v>
      </c>
      <c r="I93" t="str">
        <f t="shared" si="21"/>
        <v/>
      </c>
      <c r="J93" t="str">
        <f t="shared" si="22"/>
        <v/>
      </c>
      <c r="K93" s="3"/>
      <c r="L93">
        <f t="shared" si="23"/>
        <v>0</v>
      </c>
      <c r="M93">
        <f t="shared" si="24"/>
        <v>0</v>
      </c>
      <c r="N93">
        <f t="shared" si="25"/>
        <v>0</v>
      </c>
      <c r="O93">
        <f t="shared" si="26"/>
        <v>0</v>
      </c>
      <c r="P93" s="4"/>
      <c r="Q93" s="5"/>
      <c r="R93" s="6"/>
      <c r="S93" s="7"/>
      <c r="T93" s="8"/>
      <c r="U93" s="9"/>
      <c r="V93" s="10"/>
      <c r="W93" s="11"/>
      <c r="X93" s="12"/>
      <c r="Y93" s="13"/>
      <c r="Z93" s="14"/>
      <c r="AA93" s="15"/>
      <c r="AB93" s="16"/>
      <c r="AC93" s="17"/>
      <c r="AD93" s="18"/>
      <c r="AE93" s="4"/>
      <c r="AF93" s="19"/>
      <c r="AG93" s="20"/>
      <c r="AH93" s="15"/>
      <c r="AI93" s="21"/>
      <c r="AJ93" s="22"/>
      <c r="AK93" s="23"/>
      <c r="AL93" s="24"/>
      <c r="AM93" s="25"/>
      <c r="AN93" s="26"/>
      <c r="AO93" s="27"/>
      <c r="AP93" s="28"/>
      <c r="AQ93" s="29"/>
      <c r="AR93" s="30"/>
      <c r="AS93" s="31"/>
      <c r="AT93" s="32"/>
      <c r="AU93" s="33"/>
      <c r="AV93" s="34"/>
      <c r="AW93" s="35"/>
      <c r="AX93" s="36"/>
      <c r="AY93" s="37"/>
      <c r="AZ93" s="38"/>
      <c r="BA93" s="39"/>
      <c r="BB93" s="40"/>
      <c r="BC93" s="41"/>
      <c r="BD93" s="42"/>
    </row>
    <row r="94" spans="4:56" x14ac:dyDescent="0.3">
      <c r="D94">
        <f t="shared" si="18"/>
        <v>0</v>
      </c>
      <c r="G94">
        <f t="shared" si="19"/>
        <v>0</v>
      </c>
      <c r="H94">
        <f t="shared" si="20"/>
        <v>0</v>
      </c>
      <c r="I94" t="str">
        <f t="shared" si="21"/>
        <v/>
      </c>
      <c r="J94" t="str">
        <f t="shared" si="22"/>
        <v/>
      </c>
      <c r="K94" s="3"/>
      <c r="L94">
        <f t="shared" si="23"/>
        <v>0</v>
      </c>
      <c r="M94">
        <f t="shared" si="24"/>
        <v>0</v>
      </c>
      <c r="N94">
        <f t="shared" si="25"/>
        <v>0</v>
      </c>
      <c r="O94">
        <f t="shared" si="26"/>
        <v>0</v>
      </c>
      <c r="P94" s="4"/>
      <c r="Q94" s="5"/>
      <c r="R94" s="6"/>
      <c r="S94" s="7"/>
      <c r="T94" s="8"/>
      <c r="U94" s="9"/>
      <c r="V94" s="10"/>
      <c r="W94" s="11"/>
      <c r="X94" s="12"/>
      <c r="Y94" s="13"/>
      <c r="Z94" s="14"/>
      <c r="AA94" s="15"/>
      <c r="AB94" s="16"/>
      <c r="AC94" s="17"/>
      <c r="AD94" s="18"/>
      <c r="AE94" s="4"/>
      <c r="AF94" s="19"/>
      <c r="AG94" s="20"/>
      <c r="AH94" s="15"/>
      <c r="AI94" s="21"/>
      <c r="AJ94" s="22"/>
      <c r="AK94" s="23"/>
      <c r="AL94" s="24"/>
      <c r="AM94" s="25"/>
      <c r="AN94" s="26"/>
      <c r="AO94" s="27"/>
      <c r="AP94" s="28"/>
      <c r="AQ94" s="29"/>
      <c r="AR94" s="30"/>
      <c r="AS94" s="31"/>
      <c r="AT94" s="32"/>
      <c r="AU94" s="33"/>
      <c r="AV94" s="34"/>
      <c r="AW94" s="35"/>
      <c r="AX94" s="36"/>
      <c r="AY94" s="37"/>
      <c r="AZ94" s="38"/>
      <c r="BA94" s="39"/>
      <c r="BB94" s="40"/>
      <c r="BC94" s="41"/>
      <c r="BD94" s="42"/>
    </row>
    <row r="95" spans="4:56" x14ac:dyDescent="0.3">
      <c r="D95">
        <f t="shared" si="18"/>
        <v>0</v>
      </c>
      <c r="G95">
        <f t="shared" si="19"/>
        <v>0</v>
      </c>
      <c r="H95">
        <f t="shared" si="20"/>
        <v>0</v>
      </c>
      <c r="I95" t="str">
        <f t="shared" si="21"/>
        <v/>
      </c>
      <c r="J95" t="str">
        <f t="shared" si="22"/>
        <v/>
      </c>
      <c r="K95" s="3"/>
      <c r="L95">
        <f t="shared" si="23"/>
        <v>0</v>
      </c>
      <c r="M95">
        <f t="shared" si="24"/>
        <v>0</v>
      </c>
      <c r="N95">
        <f t="shared" si="25"/>
        <v>0</v>
      </c>
      <c r="O95">
        <f t="shared" si="26"/>
        <v>0</v>
      </c>
      <c r="P95" s="4"/>
      <c r="Q95" s="5"/>
      <c r="R95" s="6"/>
      <c r="S95" s="7"/>
      <c r="T95" s="8"/>
      <c r="U95" s="9"/>
      <c r="V95" s="10"/>
      <c r="W95" s="11"/>
      <c r="X95" s="12"/>
      <c r="Y95" s="13"/>
      <c r="Z95" s="14"/>
      <c r="AA95" s="15"/>
      <c r="AB95" s="16"/>
      <c r="AC95" s="17"/>
      <c r="AD95" s="18"/>
      <c r="AE95" s="4"/>
      <c r="AF95" s="19"/>
      <c r="AG95" s="20"/>
      <c r="AH95" s="15"/>
      <c r="AI95" s="21"/>
      <c r="AJ95" s="22"/>
      <c r="AK95" s="23"/>
      <c r="AL95" s="24"/>
      <c r="AM95" s="25"/>
      <c r="AN95" s="26"/>
      <c r="AO95" s="27"/>
      <c r="AP95" s="28"/>
      <c r="AQ95" s="29"/>
      <c r="AR95" s="30"/>
      <c r="AS95" s="31"/>
      <c r="AT95" s="32"/>
      <c r="AU95" s="33"/>
      <c r="AV95" s="34"/>
      <c r="AW95" s="35"/>
      <c r="AX95" s="36"/>
      <c r="AY95" s="37"/>
      <c r="AZ95" s="38"/>
      <c r="BA95" s="39"/>
      <c r="BB95" s="40"/>
      <c r="BC95" s="41"/>
      <c r="BD95" s="42"/>
    </row>
    <row r="96" spans="4:56" x14ac:dyDescent="0.3">
      <c r="D96">
        <f t="shared" si="18"/>
        <v>0</v>
      </c>
      <c r="G96">
        <f t="shared" si="19"/>
        <v>0</v>
      </c>
      <c r="H96">
        <f t="shared" si="20"/>
        <v>0</v>
      </c>
      <c r="I96" t="str">
        <f t="shared" si="21"/>
        <v/>
      </c>
      <c r="J96" t="str">
        <f t="shared" si="22"/>
        <v/>
      </c>
      <c r="K96" s="3"/>
      <c r="L96">
        <f t="shared" si="23"/>
        <v>0</v>
      </c>
      <c r="M96">
        <f t="shared" si="24"/>
        <v>0</v>
      </c>
      <c r="N96">
        <f t="shared" si="25"/>
        <v>0</v>
      </c>
      <c r="O96">
        <f t="shared" si="26"/>
        <v>0</v>
      </c>
      <c r="P96" s="4"/>
      <c r="Q96" s="5"/>
      <c r="R96" s="6"/>
      <c r="S96" s="7"/>
      <c r="T96" s="8"/>
      <c r="U96" s="9"/>
      <c r="V96" s="10"/>
      <c r="W96" s="11"/>
      <c r="X96" s="12"/>
      <c r="Y96" s="13"/>
      <c r="Z96" s="14"/>
      <c r="AA96" s="15"/>
      <c r="AB96" s="16"/>
      <c r="AC96" s="17"/>
      <c r="AD96" s="18"/>
      <c r="AE96" s="4"/>
      <c r="AF96" s="19"/>
      <c r="AG96" s="20"/>
      <c r="AH96" s="15"/>
      <c r="AI96" s="21"/>
      <c r="AJ96" s="22"/>
      <c r="AK96" s="23"/>
      <c r="AL96" s="24"/>
      <c r="AM96" s="25"/>
      <c r="AN96" s="26"/>
      <c r="AO96" s="27"/>
      <c r="AP96" s="28"/>
      <c r="AQ96" s="29"/>
      <c r="AR96" s="30"/>
      <c r="AS96" s="31"/>
      <c r="AT96" s="32"/>
      <c r="AU96" s="33"/>
      <c r="AV96" s="34"/>
      <c r="AW96" s="35"/>
      <c r="AX96" s="36"/>
      <c r="AY96" s="37"/>
      <c r="AZ96" s="38"/>
      <c r="BA96" s="39"/>
      <c r="BB96" s="40"/>
      <c r="BC96" s="41"/>
      <c r="BD96" s="42"/>
    </row>
    <row r="97" spans="4:56" x14ac:dyDescent="0.3">
      <c r="D97">
        <f t="shared" si="18"/>
        <v>0</v>
      </c>
      <c r="G97">
        <f t="shared" si="19"/>
        <v>0</v>
      </c>
      <c r="H97">
        <f t="shared" si="20"/>
        <v>0</v>
      </c>
      <c r="I97" t="str">
        <f t="shared" si="21"/>
        <v/>
      </c>
      <c r="J97" t="str">
        <f t="shared" si="22"/>
        <v/>
      </c>
      <c r="K97" s="3"/>
      <c r="L97">
        <f t="shared" si="23"/>
        <v>0</v>
      </c>
      <c r="M97">
        <f t="shared" si="24"/>
        <v>0</v>
      </c>
      <c r="N97">
        <f t="shared" si="25"/>
        <v>0</v>
      </c>
      <c r="O97">
        <f t="shared" si="26"/>
        <v>0</v>
      </c>
      <c r="P97" s="4"/>
      <c r="Q97" s="5"/>
      <c r="R97" s="6"/>
      <c r="S97" s="7"/>
      <c r="T97" s="8"/>
      <c r="U97" s="9"/>
      <c r="V97" s="10"/>
      <c r="W97" s="11"/>
      <c r="X97" s="12"/>
      <c r="Y97" s="13"/>
      <c r="Z97" s="14"/>
      <c r="AA97" s="15"/>
      <c r="AB97" s="16"/>
      <c r="AC97" s="17"/>
      <c r="AD97" s="18"/>
      <c r="AE97" s="4"/>
      <c r="AF97" s="19"/>
      <c r="AG97" s="20"/>
      <c r="AH97" s="15"/>
      <c r="AI97" s="21"/>
      <c r="AJ97" s="22"/>
      <c r="AK97" s="23"/>
      <c r="AL97" s="24"/>
      <c r="AM97" s="25"/>
      <c r="AN97" s="26"/>
      <c r="AO97" s="27"/>
      <c r="AP97" s="28"/>
      <c r="AQ97" s="29"/>
      <c r="AR97" s="30"/>
      <c r="AS97" s="31"/>
      <c r="AT97" s="32"/>
      <c r="AU97" s="33"/>
      <c r="AV97" s="34"/>
      <c r="AW97" s="35"/>
      <c r="AX97" s="36"/>
      <c r="AY97" s="37"/>
      <c r="AZ97" s="38"/>
      <c r="BA97" s="39"/>
      <c r="BB97" s="40"/>
      <c r="BC97" s="41"/>
      <c r="BD97" s="42"/>
    </row>
    <row r="98" spans="4:56" x14ac:dyDescent="0.3">
      <c r="D98">
        <f t="shared" si="18"/>
        <v>0</v>
      </c>
      <c r="G98">
        <f t="shared" si="19"/>
        <v>0</v>
      </c>
      <c r="H98">
        <f t="shared" si="20"/>
        <v>0</v>
      </c>
      <c r="I98" t="str">
        <f t="shared" si="21"/>
        <v/>
      </c>
      <c r="J98" t="str">
        <f t="shared" si="22"/>
        <v/>
      </c>
      <c r="K98" s="3"/>
      <c r="L98">
        <f t="shared" si="23"/>
        <v>0</v>
      </c>
      <c r="M98">
        <f t="shared" si="24"/>
        <v>0</v>
      </c>
      <c r="N98">
        <f t="shared" si="25"/>
        <v>0</v>
      </c>
      <c r="O98">
        <f t="shared" si="26"/>
        <v>0</v>
      </c>
      <c r="P98" s="4"/>
      <c r="Q98" s="5"/>
      <c r="R98" s="6"/>
      <c r="S98" s="7"/>
      <c r="T98" s="8"/>
      <c r="U98" s="9"/>
      <c r="V98" s="10"/>
      <c r="W98" s="11"/>
      <c r="X98" s="12"/>
      <c r="Y98" s="13"/>
      <c r="Z98" s="14"/>
      <c r="AA98" s="15"/>
      <c r="AB98" s="16"/>
      <c r="AC98" s="17"/>
      <c r="AD98" s="18"/>
      <c r="AE98" s="4"/>
      <c r="AF98" s="19"/>
      <c r="AG98" s="20"/>
      <c r="AH98" s="15"/>
      <c r="AI98" s="21"/>
      <c r="AJ98" s="22"/>
      <c r="AK98" s="23"/>
      <c r="AL98" s="24"/>
      <c r="AM98" s="25"/>
      <c r="AN98" s="26"/>
      <c r="AO98" s="27"/>
      <c r="AP98" s="28"/>
      <c r="AQ98" s="29"/>
      <c r="AR98" s="30"/>
      <c r="AS98" s="31"/>
      <c r="AT98" s="32"/>
      <c r="AU98" s="33"/>
      <c r="AV98" s="34"/>
      <c r="AW98" s="35"/>
      <c r="AX98" s="36"/>
      <c r="AY98" s="37"/>
      <c r="AZ98" s="38"/>
      <c r="BA98" s="39"/>
      <c r="BB98" s="40"/>
      <c r="BC98" s="41"/>
      <c r="BD98" s="42"/>
    </row>
    <row r="99" spans="4:56" x14ac:dyDescent="0.3">
      <c r="D99">
        <f t="shared" ref="D99:D130" si="27">IF(C99=2,15,IF(C99=3,37,IF(C99=4,75,IF(C99=5,150,IF(C99=6,375,IF(C99=7,750,0))))))</f>
        <v>0</v>
      </c>
      <c r="G99">
        <f t="shared" si="19"/>
        <v>0</v>
      </c>
      <c r="H99">
        <f t="shared" ref="H99:H130" si="28">G99-F99</f>
        <v>0</v>
      </c>
      <c r="I99" t="str">
        <f t="shared" si="21"/>
        <v/>
      </c>
      <c r="J99" t="str">
        <f t="shared" si="22"/>
        <v/>
      </c>
      <c r="K99" s="3"/>
      <c r="L99">
        <f t="shared" ref="L99:L130" si="29">D99*K99</f>
        <v>0</v>
      </c>
      <c r="M99">
        <f t="shared" si="24"/>
        <v>0</v>
      </c>
      <c r="N99">
        <f t="shared" si="25"/>
        <v>0</v>
      </c>
      <c r="O99">
        <f t="shared" si="26"/>
        <v>0</v>
      </c>
      <c r="P99" s="4"/>
      <c r="Q99" s="5"/>
      <c r="R99" s="6"/>
      <c r="S99" s="7"/>
      <c r="T99" s="8"/>
      <c r="U99" s="9"/>
      <c r="V99" s="10"/>
      <c r="W99" s="11"/>
      <c r="X99" s="12"/>
      <c r="Y99" s="13"/>
      <c r="Z99" s="14"/>
      <c r="AA99" s="15"/>
      <c r="AB99" s="16"/>
      <c r="AC99" s="17"/>
      <c r="AD99" s="18"/>
      <c r="AE99" s="4"/>
      <c r="AF99" s="19"/>
      <c r="AG99" s="20"/>
      <c r="AH99" s="15"/>
      <c r="AI99" s="21"/>
      <c r="AJ99" s="22"/>
      <c r="AK99" s="23"/>
      <c r="AL99" s="24"/>
      <c r="AM99" s="25"/>
      <c r="AN99" s="26"/>
      <c r="AO99" s="27"/>
      <c r="AP99" s="28"/>
      <c r="AQ99" s="29"/>
      <c r="AR99" s="30"/>
      <c r="AS99" s="31"/>
      <c r="AT99" s="32"/>
      <c r="AU99" s="33"/>
      <c r="AV99" s="34"/>
      <c r="AW99" s="35"/>
      <c r="AX99" s="36"/>
      <c r="AY99" s="37"/>
      <c r="AZ99" s="38"/>
      <c r="BA99" s="39"/>
      <c r="BB99" s="40"/>
      <c r="BC99" s="41"/>
      <c r="BD99" s="42"/>
    </row>
    <row r="100" spans="4:56" x14ac:dyDescent="0.3">
      <c r="K100" s="3"/>
      <c r="P100" s="4"/>
      <c r="Q100" s="5"/>
      <c r="R100" s="6"/>
      <c r="S100" s="7"/>
      <c r="T100" s="8"/>
      <c r="U100" s="9"/>
      <c r="V100" s="10"/>
      <c r="W100" s="11"/>
      <c r="X100" s="12"/>
      <c r="Y100" s="13"/>
      <c r="Z100" s="14"/>
      <c r="AA100" s="15"/>
      <c r="AB100" s="16"/>
      <c r="AC100" s="17"/>
      <c r="AD100" s="18"/>
      <c r="AE100" s="4"/>
      <c r="AF100" s="19"/>
      <c r="AG100" s="20"/>
      <c r="AH100" s="15"/>
      <c r="AI100" s="21"/>
      <c r="AJ100" s="22"/>
      <c r="AK100" s="23"/>
      <c r="AL100" s="24"/>
      <c r="AM100" s="25"/>
      <c r="AN100" s="26"/>
      <c r="AO100" s="27"/>
      <c r="AP100" s="28"/>
      <c r="AQ100" s="29"/>
      <c r="AR100" s="30"/>
      <c r="AS100" s="31"/>
      <c r="AT100" s="32"/>
      <c r="AU100" s="33"/>
      <c r="AV100" s="34"/>
      <c r="AW100" s="35"/>
      <c r="AX100" s="36"/>
      <c r="AY100" s="37"/>
      <c r="AZ100" s="38"/>
      <c r="BA100" s="39"/>
      <c r="BB100" s="40"/>
      <c r="BC100" s="41"/>
      <c r="BD100" s="42"/>
    </row>
  </sheetData>
  <conditionalFormatting sqref="H3:H100">
    <cfRule type="colorScale" priority="2">
      <colorScale>
        <cfvo type="num" val="-50000"/>
        <cfvo type="num" val="0"/>
        <cfvo type="num" val="50000"/>
        <color rgb="FFF8696B"/>
        <color rgb="FFFFEB84"/>
        <color rgb="FF63BE7B"/>
      </colorScale>
    </cfRule>
  </conditionalFormatting>
  <conditionalFormatting sqref="I3:I100">
    <cfRule type="colorScale" priority="3">
      <colorScale>
        <cfvo type="num" val="0.5"/>
        <cfvo type="num" val="1"/>
        <cfvo type="num" val="1.5"/>
        <color rgb="FFF8696B"/>
        <color rgb="FFFFEB84"/>
        <color rgb="FF63BE7B"/>
      </colorScale>
    </cfRule>
  </conditionalFormatting>
  <conditionalFormatting sqref="N3:N100">
    <cfRule type="colorScale" priority="4">
      <colorScale>
        <cfvo type="num" val="-500000"/>
        <cfvo type="num" val="0"/>
        <cfvo type="num" val="500000"/>
        <color rgb="FFF8696B"/>
        <color rgb="FFFFEB84"/>
        <color rgb="FF63BE7B"/>
      </colorScale>
    </cfRule>
  </conditionalFormatting>
  <dataValidations count="1">
    <dataValidation type="list" operator="equal" allowBlank="1" showInputMessage="1" showErrorMessage="1" error="Sélectionne un type valide." prompt="Choisis un type d'équipement." sqref="A3:A19" xr:uid="{00000000-0002-0000-0000-000000000000}">
      <formula1>"Anneau,Cape,Ceinture,Amulette,Bottes,Chapeau,Bouclier,Arc,Baguette,Épée,Marteau,Hache,Dague,Bâton"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zoomScaleNormal="100" workbookViewId="0"/>
  </sheetViews>
  <sheetFormatPr baseColWidth="10" defaultColWidth="8.5546875" defaultRowHeight="14.4" x14ac:dyDescent="0.3"/>
  <sheetData>
    <row r="1" spans="1:4" x14ac:dyDescent="0.3">
      <c r="A1" t="s">
        <v>86</v>
      </c>
    </row>
    <row r="2" spans="1:4" x14ac:dyDescent="0.3">
      <c r="A2" t="s">
        <v>1</v>
      </c>
      <c r="B2" t="s">
        <v>0</v>
      </c>
      <c r="C2" t="s">
        <v>8</v>
      </c>
      <c r="D2" t="s">
        <v>13</v>
      </c>
    </row>
    <row r="7" spans="1:4" x14ac:dyDescent="0.3">
      <c r="A7" t="s">
        <v>87</v>
      </c>
    </row>
    <row r="8" spans="1:4" x14ac:dyDescent="0.3">
      <c r="A8" t="s">
        <v>88</v>
      </c>
      <c r="B8">
        <f>AVERAGE(Données!I3:I100)</f>
        <v>6.8140178571428595E-2</v>
      </c>
    </row>
    <row r="9" spans="1:4" x14ac:dyDescent="0.3">
      <c r="A9" t="s">
        <v>89</v>
      </c>
      <c r="B9">
        <f>AVERAGE(Données!O3:O100)</f>
        <v>2476.4432989690722</v>
      </c>
    </row>
    <row r="10" spans="1:4" x14ac:dyDescent="0.3">
      <c r="A10" t="s">
        <v>90</v>
      </c>
      <c r="B10">
        <f>SUM(Données!M3:M100)</f>
        <v>2555000</v>
      </c>
    </row>
    <row r="11" spans="1:4" x14ac:dyDescent="0.3">
      <c r="A11" t="s">
        <v>91</v>
      </c>
      <c r="B11">
        <f>SUM(Données!L3:L100)</f>
        <v>6750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Résumé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</cp:lastModifiedBy>
  <cp:revision>0</cp:revision>
  <dcterms:created xsi:type="dcterms:W3CDTF">2025-03-31T12:25:36Z</dcterms:created>
  <dcterms:modified xsi:type="dcterms:W3CDTF">2025-04-09T10:24:52Z</dcterms:modified>
  <dc:language>fr-FR</dc:language>
</cp:coreProperties>
</file>