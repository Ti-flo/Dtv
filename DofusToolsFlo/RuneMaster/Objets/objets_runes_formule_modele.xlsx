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F8CFF6F5-6E20-41BE-8E2A-C2EED66878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unes estimées Coeff 100%" sheetId="1" r:id="rId1"/>
    <sheet name="Poids des ru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2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<sst xmlns="http://schemas.openxmlformats.org/spreadsheetml/2006/main" count="27640" uniqueCount="2172">
  <si>
    <t>Nom</t>
  </si>
  <si>
    <t>Rune</t>
  </si>
  <si>
    <t>Valeur Moyenne</t>
  </si>
  <si>
    <t>Niveau</t>
  </si>
  <si>
    <t>Pendentif du Hibou Chétif</t>
  </si>
  <si>
    <t>Anneau Rexik</t>
  </si>
  <si>
    <t>Anneau Vitalesque</t>
  </si>
  <si>
    <t>Bottes du Boufton</t>
  </si>
  <si>
    <t>Le Floude</t>
  </si>
  <si>
    <t>Amulette du Loup</t>
  </si>
  <si>
    <t>Anneau Forcesque</t>
  </si>
  <si>
    <t>Anneau Agilesque</t>
  </si>
  <si>
    <t>Le S'Mesme</t>
  </si>
  <si>
    <t>Camaïneux</t>
  </si>
  <si>
    <t>La Cape S'loque</t>
  </si>
  <si>
    <t>Bandeau Komintot</t>
  </si>
  <si>
    <t>Les Incrustes</t>
  </si>
  <si>
    <t>Le Plussain</t>
  </si>
  <si>
    <t>La Spamette</t>
  </si>
  <si>
    <t>Ceinture Vitalesque</t>
  </si>
  <si>
    <t>Gantie Royal</t>
  </si>
  <si>
    <t>Bandeau de Vitalité</t>
  </si>
  <si>
    <t>Dofusteuse</t>
  </si>
  <si>
    <t>Petite Amulette de l'Ours</t>
  </si>
  <si>
    <t>Ceinture de Chance</t>
  </si>
  <si>
    <t>Bottes de l'Aventurier</t>
  </si>
  <si>
    <t>Anneau de l'Aventurier</t>
  </si>
  <si>
    <t>Ceinture Forcesque</t>
  </si>
  <si>
    <t>Ceinture Agilesque</t>
  </si>
  <si>
    <t>Collier de l'Arc en Ciel</t>
  </si>
  <si>
    <t>Koliet Aclou</t>
  </si>
  <si>
    <t>Sandales d'Intelligence</t>
  </si>
  <si>
    <t>Bottes de Chance</t>
  </si>
  <si>
    <t>Bottes Agilesques</t>
  </si>
  <si>
    <t>Chapeau de l'Aventurier</t>
  </si>
  <si>
    <t>Amulette de l'Aventurier</t>
  </si>
  <si>
    <t>Ceinture de l'aventurier</t>
  </si>
  <si>
    <t>Anneau de Sagesse</t>
  </si>
  <si>
    <t>La Larme du Bouftou</t>
  </si>
  <si>
    <t>Amulette de Krokette</t>
  </si>
  <si>
    <t>Cape Bleutée</t>
  </si>
  <si>
    <t>Cape de l'Aventurier</t>
  </si>
  <si>
    <t>Anneau de Chance</t>
  </si>
  <si>
    <t>Anneau d'Agilité</t>
  </si>
  <si>
    <t>Anneau Fortifiant</t>
  </si>
  <si>
    <t>Grenouillette</t>
  </si>
  <si>
    <t>Ceinture du Kwabe</t>
  </si>
  <si>
    <t>Louffeur</t>
  </si>
  <si>
    <t>La Destinée Dorée</t>
  </si>
  <si>
    <t>Sandales Tofuesques</t>
  </si>
  <si>
    <t>L'Anneau de Valeur</t>
  </si>
  <si>
    <t>Amulette du Petit Hibou</t>
  </si>
  <si>
    <t>Amulette du Petit Ours</t>
  </si>
  <si>
    <t>Amulette Itby</t>
  </si>
  <si>
    <t>Cape de Rougeur</t>
  </si>
  <si>
    <t>La Chaîne Nhanor Kibrill</t>
  </si>
  <si>
    <t>Ceinture de Poche</t>
  </si>
  <si>
    <t>Cape Ellinie</t>
  </si>
  <si>
    <t>Cape Ulais</t>
  </si>
  <si>
    <t>Cape Sulcorpe</t>
  </si>
  <si>
    <t>Lisseur</t>
  </si>
  <si>
    <t>Anneau du Mental</t>
  </si>
  <si>
    <t>Anneau des Rocheuses</t>
  </si>
  <si>
    <t>Blessure du Sacrieur</t>
  </si>
  <si>
    <t>Le Bagueur</t>
  </si>
  <si>
    <t>Sac du Petit Aventurier</t>
  </si>
  <si>
    <t>La Lou Ptiote</t>
  </si>
  <si>
    <t>La Veaux Doux</t>
  </si>
  <si>
    <t>Porte-bonheur Astrubien</t>
  </si>
  <si>
    <t>La Gougnole</t>
  </si>
  <si>
    <t>Anneau Rak</t>
  </si>
  <si>
    <t>Korko Klako</t>
  </si>
  <si>
    <t>Ceinture de Sécurité</t>
  </si>
  <si>
    <t>Einekeineux</t>
  </si>
  <si>
    <t>Cape Abilité</t>
  </si>
  <si>
    <t>Anneau de Satisfaction</t>
  </si>
  <si>
    <t>Bottes de Klime</t>
  </si>
  <si>
    <t>Bottes de Nexus</t>
  </si>
  <si>
    <t>Omelette Amulette</t>
  </si>
  <si>
    <t>Bottes de Satisfaction</t>
  </si>
  <si>
    <t>Fecaflip</t>
  </si>
  <si>
    <t>Bottes de Kluh</t>
  </si>
  <si>
    <t>Anneau Vice</t>
  </si>
  <si>
    <t>Chapeau du Piou Rouge</t>
  </si>
  <si>
    <t>Chapeau du Piou Bleu</t>
  </si>
  <si>
    <t>Chapeau du Piou Violet</t>
  </si>
  <si>
    <t>Chapeau du Piou Vert</t>
  </si>
  <si>
    <t>Chapeau du Piou Jaune</t>
  </si>
  <si>
    <t>Chapeau du Piou Rose</t>
  </si>
  <si>
    <t>Cape du Piou Rouge</t>
  </si>
  <si>
    <t>Cape du Piou Bleu</t>
  </si>
  <si>
    <t>Cape du Piou Vert</t>
  </si>
  <si>
    <t>Cape du Piou Violet</t>
  </si>
  <si>
    <t>Cape du Piou Rose</t>
  </si>
  <si>
    <t>Cape du Piou Jaune</t>
  </si>
  <si>
    <t>Cape du Papa Nowel</t>
  </si>
  <si>
    <t>La Coiffe du Ploukosse</t>
  </si>
  <si>
    <t>Cape de Bowisse</t>
  </si>
  <si>
    <t>Citwouille</t>
  </si>
  <si>
    <t>Casque</t>
  </si>
  <si>
    <t>Ailes en bois</t>
  </si>
  <si>
    <t>Petit Sac en Laine de Boufton</t>
  </si>
  <si>
    <t>Cape Pandawushu</t>
  </si>
  <si>
    <t>Amulette de l'Homme Ours</t>
  </si>
  <si>
    <t>Amulette du Boufcoul</t>
  </si>
  <si>
    <t>Amulette du Piou Rouge</t>
  </si>
  <si>
    <t>Amulette du Piou Bleu</t>
  </si>
  <si>
    <t>Amulette du Piou Violet</t>
  </si>
  <si>
    <t>Amulette du Piou Vert</t>
  </si>
  <si>
    <t>Amulette du Piou Jaune</t>
  </si>
  <si>
    <t>Amulette du Piou Rose</t>
  </si>
  <si>
    <t>Ceinture du Piou Rouge</t>
  </si>
  <si>
    <t>Ceinture du Piou Bleu</t>
  </si>
  <si>
    <t>Ceinture du Piou Violet</t>
  </si>
  <si>
    <t>Ceinture du Piou Vert</t>
  </si>
  <si>
    <t>Ceinture du Piou Jaune</t>
  </si>
  <si>
    <t>Ceinture du Piou Rose</t>
  </si>
  <si>
    <t>Chapeau Pointu</t>
  </si>
  <si>
    <t>Cape Itou Lascione</t>
  </si>
  <si>
    <t>Bandeau Pandawushu</t>
  </si>
  <si>
    <t>Ceinture de l'Homme Ours</t>
  </si>
  <si>
    <t>Amulette du Marin</t>
  </si>
  <si>
    <t>Le Troma</t>
  </si>
  <si>
    <t>Le Oiram</t>
  </si>
  <si>
    <t>Cape Edépée</t>
  </si>
  <si>
    <t>Amulette du Bûcheron</t>
  </si>
  <si>
    <t>Bottes du Chat Buté</t>
  </si>
  <si>
    <t>La Samoulaille</t>
  </si>
  <si>
    <t>La Reinette</t>
  </si>
  <si>
    <t>Bottes de Maîtrise</t>
  </si>
  <si>
    <t>Bottes de Puissance</t>
  </si>
  <si>
    <t>Bottes d'Anticipation</t>
  </si>
  <si>
    <t>Coiffe de l'Homme Ours</t>
  </si>
  <si>
    <t>Chapeau du Papa Nowel</t>
  </si>
  <si>
    <t>Sandales du Piou Rouge</t>
  </si>
  <si>
    <t>Sandales du Piou Bleu</t>
  </si>
  <si>
    <t>Sandales du Piou Violet</t>
  </si>
  <si>
    <t>Sandales du Piou Vert</t>
  </si>
  <si>
    <t>Sandales du Piou Jaune</t>
  </si>
  <si>
    <t>Sandales du Piou Rose</t>
  </si>
  <si>
    <t>Alliance de l'Homme Ours</t>
  </si>
  <si>
    <t>Cape Sombre</t>
  </si>
  <si>
    <t>La Boufteuse</t>
  </si>
  <si>
    <t>Chance d'Ecaflip</t>
  </si>
  <si>
    <t>Anneau du Piou Rouge</t>
  </si>
  <si>
    <t>Anneau du Piou Bleu</t>
  </si>
  <si>
    <t>Anneau du Piou Vert</t>
  </si>
  <si>
    <t>Anneau du Piou Jaune</t>
  </si>
  <si>
    <t>Anneau du Piou Rose</t>
  </si>
  <si>
    <t>Bottes de Concentration</t>
  </si>
  <si>
    <t>Bottes de Faillete</t>
  </si>
  <si>
    <t>Amulette en Crabe</t>
  </si>
  <si>
    <t>Coiffe Wouaf</t>
  </si>
  <si>
    <t>Bottes de l'Homme Ours</t>
  </si>
  <si>
    <t>Anneau du Bandit</t>
  </si>
  <si>
    <t>Bonnet du Glutin</t>
  </si>
  <si>
    <t>Cape de l'Homme Ours</t>
  </si>
  <si>
    <t>Manteau du Glutin</t>
  </si>
  <si>
    <t>Amulette du Bandit</t>
  </si>
  <si>
    <t>Bracelet du Glutin</t>
  </si>
  <si>
    <t>Caleçon Fourré du Glutin</t>
  </si>
  <si>
    <t>Jouik Krampe</t>
  </si>
  <si>
    <t>Alliance de Silimelle</t>
  </si>
  <si>
    <t>Entente</t>
  </si>
  <si>
    <t>Fécaliseur du Magicien</t>
  </si>
  <si>
    <t>Fécaliseur du Guerrier</t>
  </si>
  <si>
    <t>Ceinture Piquante</t>
  </si>
  <si>
    <t>Anneau du Piou Violet</t>
  </si>
  <si>
    <t>L'Ecrabouilleur de Iop</t>
  </si>
  <si>
    <t>La Célébrité</t>
  </si>
  <si>
    <t>Ceinture d'Endurance</t>
  </si>
  <si>
    <t>Ceinture de Célérité</t>
  </si>
  <si>
    <t>Pieds du Sanglier</t>
  </si>
  <si>
    <t>Sanglature</t>
  </si>
  <si>
    <t>Ceinture du Bandit</t>
  </si>
  <si>
    <t>Ceinturemuda du Paysan</t>
  </si>
  <si>
    <t>La Broche Hète</t>
  </si>
  <si>
    <t>La Croqueuse</t>
  </si>
  <si>
    <t>Banana Cape</t>
  </si>
  <si>
    <t>Bottes de Boufbowl</t>
  </si>
  <si>
    <t>Amulette des Champs</t>
  </si>
  <si>
    <t>Anneau Champêtre</t>
  </si>
  <si>
    <t>L'Ecaliseur</t>
  </si>
  <si>
    <t>Kabale</t>
  </si>
  <si>
    <t>Amulette de Shika</t>
  </si>
  <si>
    <t>Casque de boufbowl</t>
  </si>
  <si>
    <t>Coiffe Champêtre</t>
  </si>
  <si>
    <t>Bottes Champêtres</t>
  </si>
  <si>
    <t>Anneau du Sanglier</t>
  </si>
  <si>
    <t>Ceinture Fleurie</t>
  </si>
  <si>
    <t>Houde</t>
  </si>
  <si>
    <t>Cape du Justicier</t>
  </si>
  <si>
    <t>Cape de Bonne Espérance</t>
  </si>
  <si>
    <t>Passé de Xélor</t>
  </si>
  <si>
    <t>Souvenir d'Enutrof</t>
  </si>
  <si>
    <t>Sac du Récolteur</t>
  </si>
  <si>
    <t>La Bibelaw</t>
  </si>
  <si>
    <t>Sandales Macien</t>
  </si>
  <si>
    <t>Toady</t>
  </si>
  <si>
    <t>Bob du Paysan</t>
  </si>
  <si>
    <t>Capouze des Champs</t>
  </si>
  <si>
    <t>Ceinture de Puissance</t>
  </si>
  <si>
    <t>Médaille Holy</t>
  </si>
  <si>
    <t>La Mouthmou</t>
  </si>
  <si>
    <t>Médaille Lahilama</t>
  </si>
  <si>
    <t>Anneau Solo</t>
  </si>
  <si>
    <t>Alliance Du Champ Champ</t>
  </si>
  <si>
    <t>Cape Rice</t>
  </si>
  <si>
    <t>Amulette du Badoul</t>
  </si>
  <si>
    <t>La Bourgeonette</t>
  </si>
  <si>
    <t>Ceinture Banisation Sauvage</t>
  </si>
  <si>
    <t>Bottes Paysannes</t>
  </si>
  <si>
    <t>Mitaines Mitées du Paysan</t>
  </si>
  <si>
    <t>Sac du Paysan</t>
  </si>
  <si>
    <t>Ceinture du Tot</t>
  </si>
  <si>
    <t>Amulette du Sram</t>
  </si>
  <si>
    <t>Amulette Deulegarnoulle</t>
  </si>
  <si>
    <t>Choipo Podlard</t>
  </si>
  <si>
    <t>Gulliver</t>
  </si>
  <si>
    <t>Cape du Poolay Chogrelotant</t>
  </si>
  <si>
    <t>Cape du Mulou Fou</t>
  </si>
  <si>
    <t>Amulette Paysanne</t>
  </si>
  <si>
    <t>Anneau du Champ Champ</t>
  </si>
  <si>
    <t>Ceinture du Prespic</t>
  </si>
  <si>
    <t>Cape Maj'Hic</t>
  </si>
  <si>
    <t>Bottes de Poursuite</t>
  </si>
  <si>
    <t>Cape Hilère</t>
  </si>
  <si>
    <t>Ambramulette Arakne</t>
  </si>
  <si>
    <t>Shako</t>
  </si>
  <si>
    <t>Cape du Champ Champ</t>
  </si>
  <si>
    <t>Araknoton</t>
  </si>
  <si>
    <t>Amulette du Pêcheur de Somoon</t>
  </si>
  <si>
    <t>Le Ours</t>
  </si>
  <si>
    <t>Champcoiffe</t>
  </si>
  <si>
    <t>Geta Akwadala</t>
  </si>
  <si>
    <t>Amulette du Chafer</t>
  </si>
  <si>
    <t>Dantgoule</t>
  </si>
  <si>
    <t>Dora</t>
  </si>
  <si>
    <t>Cape du Tofu Fou</t>
  </si>
  <si>
    <t>L'Anneau Dhyn</t>
  </si>
  <si>
    <t>Cape Maimpa</t>
  </si>
  <si>
    <t>L'Araknacoiffe</t>
  </si>
  <si>
    <t>Coiffe du Prespic</t>
  </si>
  <si>
    <t>Araknoture</t>
  </si>
  <si>
    <t>Lorko Kasko</t>
  </si>
  <si>
    <t>Dragolyre</t>
  </si>
  <si>
    <t>Amulette de Silicate</t>
  </si>
  <si>
    <t>Dora Sombre de Brave</t>
  </si>
  <si>
    <t>Ramoume l'Eternelle</t>
  </si>
  <si>
    <t>L'Ami Léhunui</t>
  </si>
  <si>
    <t>Cape du Prespic</t>
  </si>
  <si>
    <t>Alliance Akwadala</t>
  </si>
  <si>
    <t>Ceinture du Boufcoul</t>
  </si>
  <si>
    <t>Accord</t>
  </si>
  <si>
    <t>Bottes Tarsy</t>
  </si>
  <si>
    <t>Bottes du Boufcoul</t>
  </si>
  <si>
    <t>Anneau du Prespic</t>
  </si>
  <si>
    <t>Anneau du Boufcoul</t>
  </si>
  <si>
    <t>Ceinture du Tofu</t>
  </si>
  <si>
    <t>Dragocoiffe Blanche</t>
  </si>
  <si>
    <t>Bottes de Lymphe a Tik</t>
  </si>
  <si>
    <t>Amulette du Mineur Sombre</t>
  </si>
  <si>
    <t>Krustoture</t>
  </si>
  <si>
    <t>La Broche Céleste</t>
  </si>
  <si>
    <t>Abracape</t>
  </si>
  <si>
    <t>Ambramulette Moskito</t>
  </si>
  <si>
    <t>Force de Crocoburio</t>
  </si>
  <si>
    <t>Anneau de l'Invocateur Satisfait</t>
  </si>
  <si>
    <t>Bambamulette</t>
  </si>
  <si>
    <t>Végacoiffe</t>
  </si>
  <si>
    <t>Vegamu</t>
  </si>
  <si>
    <t>Kwakobottes de Flammes</t>
  </si>
  <si>
    <t>Kwakobottes de Glace</t>
  </si>
  <si>
    <t>Kwakobottes de Terre</t>
  </si>
  <si>
    <t>Kwakobottes du Vent</t>
  </si>
  <si>
    <t>Anneau du Bouftou</t>
  </si>
  <si>
    <t>Abranneau</t>
  </si>
  <si>
    <t>Amulette du Pirate</t>
  </si>
  <si>
    <t>Emblème Livide</t>
  </si>
  <si>
    <t>Bottes Volatiles</t>
  </si>
  <si>
    <t>La Végète Hâtif</t>
  </si>
  <si>
    <t>Cape de Bou</t>
  </si>
  <si>
    <t>Kwakoiffe de Flammes</t>
  </si>
  <si>
    <t>Coiffe du Bouftou</t>
  </si>
  <si>
    <t>Kwakoiffe de Glace</t>
  </si>
  <si>
    <t>Kwakoiffe de Terre</t>
  </si>
  <si>
    <t>Kwakoiffe du Vent</t>
  </si>
  <si>
    <t>Kwape de Flammes</t>
  </si>
  <si>
    <t>Kwape de Glace</t>
  </si>
  <si>
    <t>Kwape de Terre</t>
  </si>
  <si>
    <t>Kwape du Vent</t>
  </si>
  <si>
    <t>Cape Akwadala</t>
  </si>
  <si>
    <t>Cape du Boostache</t>
  </si>
  <si>
    <t>Amulette du Bouftou</t>
  </si>
  <si>
    <t>Amulette Akwadala</t>
  </si>
  <si>
    <t>Boufbottes</t>
  </si>
  <si>
    <t>Bottes du Chafer Primitif</t>
  </si>
  <si>
    <t>Kwakture de Flammes</t>
  </si>
  <si>
    <t>Kwakture de Glace</t>
  </si>
  <si>
    <t>Kwakture de Terre</t>
  </si>
  <si>
    <t>Kwakture de Vent</t>
  </si>
  <si>
    <t>Ceinture Akwadala</t>
  </si>
  <si>
    <t>Esprit de Crocoburio</t>
  </si>
  <si>
    <t>Dragolyre Remaniée</t>
  </si>
  <si>
    <t>Le foulard du Lard Fou</t>
  </si>
  <si>
    <t>Ceinture Kokokette</t>
  </si>
  <si>
    <t>Cape Bouffante</t>
  </si>
  <si>
    <t>Cape du Tofu</t>
  </si>
  <si>
    <t>Amukwak de Flammes</t>
  </si>
  <si>
    <t>Amukwak de Glace</t>
  </si>
  <si>
    <t>Amukwak de Terre</t>
  </si>
  <si>
    <t>Amukwak du Vent</t>
  </si>
  <si>
    <t>Amulette du Tofu</t>
  </si>
  <si>
    <t>Bottes en Mousse</t>
  </si>
  <si>
    <t>Bottes du Kanniboul Ebil</t>
  </si>
  <si>
    <t>Kwakanneau de Flammes</t>
  </si>
  <si>
    <t>Anobra</t>
  </si>
  <si>
    <t>Kwakanneau de Glace</t>
  </si>
  <si>
    <t>Kwakanneau de Terre</t>
  </si>
  <si>
    <t>Kwakanneau de Vent</t>
  </si>
  <si>
    <t>Amulette du Kam Assutra</t>
  </si>
  <si>
    <t>Kritter</t>
  </si>
  <si>
    <t>La Mokette</t>
  </si>
  <si>
    <t>Ceinture Banisation</t>
  </si>
  <si>
    <t>Souliers Vernis de Porkass</t>
  </si>
  <si>
    <t>Chapeau Akwadala</t>
  </si>
  <si>
    <t>Kaskofu</t>
  </si>
  <si>
    <t>L'Araknamu</t>
  </si>
  <si>
    <t>Amulette du Moskito</t>
  </si>
  <si>
    <t>Pantoufles du Tofu</t>
  </si>
  <si>
    <t>Mos Kitano</t>
  </si>
  <si>
    <t>Scaranneau Vert</t>
  </si>
  <si>
    <t>Scaranneau Rouge</t>
  </si>
  <si>
    <t>Scaranneau Blanc</t>
  </si>
  <si>
    <t>Scaranneau Bleu</t>
  </si>
  <si>
    <t>Anneau du Scarabosse Doré</t>
  </si>
  <si>
    <t>Anneau en Mousse</t>
  </si>
  <si>
    <t>Alliance du Kanniboul Ebil</t>
  </si>
  <si>
    <t>Ceinture du Bouftou</t>
  </si>
  <si>
    <t>Scarature Noire</t>
  </si>
  <si>
    <t>Cape du Vampire</t>
  </si>
  <si>
    <t>Cape du Coq Hû</t>
  </si>
  <si>
    <t>Chance à Mulette</t>
  </si>
  <si>
    <t>L'Amulette du Puzzle de la Griffe</t>
  </si>
  <si>
    <t>L'Eni Kère</t>
  </si>
  <si>
    <t>Anneau Forain</t>
  </si>
  <si>
    <t>Anneau Hé</t>
  </si>
  <si>
    <t>Cape Huccino</t>
  </si>
  <si>
    <t>Slip de Rechange du Captain Chafer</t>
  </si>
  <si>
    <t>Puissance de Crocoburio</t>
  </si>
  <si>
    <t>Moskitogalurette</t>
  </si>
  <si>
    <t>Scaracoiffe Verte</t>
  </si>
  <si>
    <t>Scaracoiffe Rouge</t>
  </si>
  <si>
    <t>Scaracoiffe Blanche</t>
  </si>
  <si>
    <t>Scaracoiffe Bleue</t>
  </si>
  <si>
    <t>Kabuto du Chafer Rōnin</t>
  </si>
  <si>
    <t>Cape en Mousse</t>
  </si>
  <si>
    <t>Anneau du Tofu</t>
  </si>
  <si>
    <t>Anneau du Boostache</t>
  </si>
  <si>
    <t>Ceinture en Mousse</t>
  </si>
  <si>
    <t>Chaîne de la Liche</t>
  </si>
  <si>
    <t>Cape du Corbac</t>
  </si>
  <si>
    <t>La Feuille d'Eté</t>
  </si>
  <si>
    <t>Corbacoiffe</t>
  </si>
  <si>
    <t>Abracapa</t>
  </si>
  <si>
    <t>Corbacape</t>
  </si>
  <si>
    <t>Scaracape Verte</t>
  </si>
  <si>
    <t>Scaracape Bleue</t>
  </si>
  <si>
    <t>Scaracape Rouge</t>
  </si>
  <si>
    <t>Scaracape Blanche</t>
  </si>
  <si>
    <t>Amulette Scarabosse Doré</t>
  </si>
  <si>
    <t>Abrabottes</t>
  </si>
  <si>
    <t>Corbottes</t>
  </si>
  <si>
    <t>Abrature</t>
  </si>
  <si>
    <t>Ceinture du Boostache</t>
  </si>
  <si>
    <t>Pagne du Chafer Rōnin</t>
  </si>
  <si>
    <t>Sac du Petit Moskito</t>
  </si>
  <si>
    <t>Abranneau Mou</t>
  </si>
  <si>
    <t>L'Abramu</t>
  </si>
  <si>
    <t>Goyave</t>
  </si>
  <si>
    <t>Cape Ricéfini</t>
  </si>
  <si>
    <t>Pendule du Gudule</t>
  </si>
  <si>
    <t>Palmano</t>
  </si>
  <si>
    <t>Abracaska</t>
  </si>
  <si>
    <t>Coiffe en Mousse</t>
  </si>
  <si>
    <t>Masque du Kanniboul Ebil</t>
  </si>
  <si>
    <t>Scarature Verte</t>
  </si>
  <si>
    <t>Scarature Blanche</t>
  </si>
  <si>
    <t>Scarature Rouge</t>
  </si>
  <si>
    <t>Scarature Bleue</t>
  </si>
  <si>
    <t>Amulette des Abîmes</t>
  </si>
  <si>
    <t>Masque Tromatisant</t>
  </si>
  <si>
    <t>Amulette du Craqueleur</t>
  </si>
  <si>
    <t>Harmonie</t>
  </si>
  <si>
    <t>Ceinture Noire de Frank Lee Bruce</t>
  </si>
  <si>
    <t>Coiffe du Boufcoul</t>
  </si>
  <si>
    <t>Amulette en Mousse</t>
  </si>
  <si>
    <t>L'Adelus</t>
  </si>
  <si>
    <t>Abranneau Sombre</t>
  </si>
  <si>
    <t>Kraignosse</t>
  </si>
  <si>
    <t>Anneau Stradamus</t>
  </si>
  <si>
    <t>Amulette du Boostache</t>
  </si>
  <si>
    <t>Scaranneau Noir</t>
  </si>
  <si>
    <t>Bottes de Ragalde</t>
  </si>
  <si>
    <t>Amulette de la Boule</t>
  </si>
  <si>
    <t>Chtévu</t>
  </si>
  <si>
    <t>Ceinture Chafeuse</t>
  </si>
  <si>
    <t>Anneau Rigami</t>
  </si>
  <si>
    <t>String du Mulou</t>
  </si>
  <si>
    <t>Tutu Rose</t>
  </si>
  <si>
    <t>Bottes de Bowisse</t>
  </si>
  <si>
    <t>Bottes d'Apprentissage</t>
  </si>
  <si>
    <t>Ceinture Luthuthu</t>
  </si>
  <si>
    <t>Casque du Chafer</t>
  </si>
  <si>
    <t>Cape Ouginak</t>
  </si>
  <si>
    <t>Makroute Sombre</t>
  </si>
  <si>
    <t>Cape Sanguine</t>
  </si>
  <si>
    <t>Ceinture Kolante</t>
  </si>
  <si>
    <t>Anneau Zocomial</t>
  </si>
  <si>
    <t>Tacleur mineur</t>
  </si>
  <si>
    <t>Fuyard mineur</t>
  </si>
  <si>
    <t>Ralentisseur mineur</t>
  </si>
  <si>
    <t>Engourdisseur mineur</t>
  </si>
  <si>
    <t>Fugitif mineur</t>
  </si>
  <si>
    <t>Insaisissable mineur</t>
  </si>
  <si>
    <t>Pousseur mineur</t>
  </si>
  <si>
    <t>Adamantin mineur</t>
  </si>
  <si>
    <t>Rempart mineur</t>
  </si>
  <si>
    <t>Cuirassé Air mineur</t>
  </si>
  <si>
    <t>Cuirassé Eau mineur</t>
  </si>
  <si>
    <t>Cuirassé Feu mineur</t>
  </si>
  <si>
    <t>Cuirassé Terre mineur</t>
  </si>
  <si>
    <t>Cuirassé Neutre mineur</t>
  </si>
  <si>
    <t>Ravageur Air mineur</t>
  </si>
  <si>
    <t>Ravageur Eau mineur</t>
  </si>
  <si>
    <t>Ravageur Feu mineur</t>
  </si>
  <si>
    <t>Initiateur mineur</t>
  </si>
  <si>
    <t>Soigneur mineur</t>
  </si>
  <si>
    <t>Acrobate mineur</t>
  </si>
  <si>
    <t>Savant mineur</t>
  </si>
  <si>
    <t>Joueur mineur</t>
  </si>
  <si>
    <t>Furibond mineur</t>
  </si>
  <si>
    <t>Survivant mineur</t>
  </si>
  <si>
    <t>Ravageur Terre mineur</t>
  </si>
  <si>
    <t>Bloqueur mineur</t>
  </si>
  <si>
    <t>Vagabond mineur</t>
  </si>
  <si>
    <t>Docteur mineur</t>
  </si>
  <si>
    <t>Forcené mineur</t>
  </si>
  <si>
    <t>Astucieux mineur</t>
  </si>
  <si>
    <t>Equilibriste mineur</t>
  </si>
  <si>
    <t>Taquin mineur</t>
  </si>
  <si>
    <t>Bastion mineur</t>
  </si>
  <si>
    <t>Saccageur Terre mineur</t>
  </si>
  <si>
    <t>Saccageur Feu mineur</t>
  </si>
  <si>
    <t>Saccageur Eau mineur</t>
  </si>
  <si>
    <t>Saccageur Air mineur</t>
  </si>
  <si>
    <t>Entraveur mineur</t>
  </si>
  <si>
    <t>Paralyseur mineur</t>
  </si>
  <si>
    <t>Imprenable mineur</t>
  </si>
  <si>
    <t>Evanescent mineur</t>
  </si>
  <si>
    <t>Bousculeur mineur</t>
  </si>
  <si>
    <t>Inflexible mineur</t>
  </si>
  <si>
    <t>Précurseur mineur</t>
  </si>
  <si>
    <t>Muraille Terre mineure</t>
  </si>
  <si>
    <t>Muraille Neutre mineure</t>
  </si>
  <si>
    <t>Muraille Feu mineure</t>
  </si>
  <si>
    <t>Muraille Eau mineure</t>
  </si>
  <si>
    <t>Muraille Air mineure</t>
  </si>
  <si>
    <t>Robuste mineur</t>
  </si>
  <si>
    <t>Examinateur</t>
  </si>
  <si>
    <t>Féroce mineur</t>
  </si>
  <si>
    <t>Dés de la Chance</t>
  </si>
  <si>
    <t>Chapodindo</t>
  </si>
  <si>
    <t>Capodindo</t>
  </si>
  <si>
    <t>Amublop Griotte</t>
  </si>
  <si>
    <t>Amublop Reinette</t>
  </si>
  <si>
    <t>Amublop Coco</t>
  </si>
  <si>
    <t>Amublop Indigo</t>
  </si>
  <si>
    <t>Botodindo</t>
  </si>
  <si>
    <t>Bloptes Griottes</t>
  </si>
  <si>
    <t>Bloptes Reinette</t>
  </si>
  <si>
    <t>Bloptes Coco</t>
  </si>
  <si>
    <t>Bloptes Indigo</t>
  </si>
  <si>
    <t>Anodindo</t>
  </si>
  <si>
    <t>Blopanneau Griotte</t>
  </si>
  <si>
    <t>Blopanneau Reinette</t>
  </si>
  <si>
    <t>Blopanneau Coco</t>
  </si>
  <si>
    <t>Blopanneau Indigo</t>
  </si>
  <si>
    <t>Blopture Griotte</t>
  </si>
  <si>
    <t>Blopture Reinette</t>
  </si>
  <si>
    <t>Blopture Coco</t>
  </si>
  <si>
    <t>Blopture Indigo</t>
  </si>
  <si>
    <t>Sac de Voyage du Parfait Petit Vulkain</t>
  </si>
  <si>
    <t>Puissant mineur</t>
  </si>
  <si>
    <t>Médaille Oly</t>
  </si>
  <si>
    <t>Bottes de l'Apprenti Invocateur</t>
  </si>
  <si>
    <t>Anneau Tribal</t>
  </si>
  <si>
    <t>Scaracape Noire</t>
  </si>
  <si>
    <t>Ballerines Roses</t>
  </si>
  <si>
    <t>Anneau du Mulou</t>
  </si>
  <si>
    <t>Scarature Dorée</t>
  </si>
  <si>
    <t>Ceinture de Coffreté</t>
  </si>
  <si>
    <t>Amulette de Xélor</t>
  </si>
  <si>
    <t>L'Oeil de Kanigrou</t>
  </si>
  <si>
    <t>Amulette du Craqueleur des Plaines</t>
  </si>
  <si>
    <t>Chapeau du Vulkain</t>
  </si>
  <si>
    <t>Kwakwanneau</t>
  </si>
  <si>
    <t>Kwakwalliance</t>
  </si>
  <si>
    <t>Bottes de Céleri-Thé</t>
  </si>
  <si>
    <t>La Guenille</t>
  </si>
  <si>
    <t>Ceinture Brâkmarienne</t>
  </si>
  <si>
    <t>Ceinture Bontarienne</t>
  </si>
  <si>
    <t>Alliance Ethnique</t>
  </si>
  <si>
    <t>Scaracoiffe Noire</t>
  </si>
  <si>
    <t>Boffes Cottre</t>
  </si>
  <si>
    <t>Anneau du Koalak</t>
  </si>
  <si>
    <t>Cape de Jules Yanos</t>
  </si>
  <si>
    <t>Anneau Karina</t>
  </si>
  <si>
    <t>Kwakwaffe</t>
  </si>
  <si>
    <t>Scarabottes Dorées</t>
  </si>
  <si>
    <t>Anneau du Vulkain</t>
  </si>
  <si>
    <t>Cape Fulgurante</t>
  </si>
  <si>
    <t>Ceinture du Dodu Trembleur</t>
  </si>
  <si>
    <t>Ceinture du Rat</t>
  </si>
  <si>
    <t>Kannipiou</t>
  </si>
  <si>
    <t>Talisman du Faucheur d'Avoine</t>
  </si>
  <si>
    <t>Caskoffre</t>
  </si>
  <si>
    <t>Chapeau Rifique</t>
  </si>
  <si>
    <t>Cape du Boufcoul</t>
  </si>
  <si>
    <t>Anneau du Kitsou</t>
  </si>
  <si>
    <t>Anneau Piaume</t>
  </si>
  <si>
    <t>Sandales Ailuya</t>
  </si>
  <si>
    <t>Vegacape</t>
  </si>
  <si>
    <t>Pendentiffre</t>
  </si>
  <si>
    <t>Bottes du Vulkain</t>
  </si>
  <si>
    <t>Dragocoiffe Dorée</t>
  </si>
  <si>
    <t>Amuloumulette</t>
  </si>
  <si>
    <t>Geta Aerdala</t>
  </si>
  <si>
    <t>Alliance Aerdala</t>
  </si>
  <si>
    <t>Cape Hôte</t>
  </si>
  <si>
    <t>Anneau Ha</t>
  </si>
  <si>
    <t>Sandales Koliques</t>
  </si>
  <si>
    <t>Scaracoiffe Dorée</t>
  </si>
  <si>
    <t>Scaracape Dorée</t>
  </si>
  <si>
    <t>Cape Rifique</t>
  </si>
  <si>
    <t>Bracelet du Vulkain</t>
  </si>
  <si>
    <t>L'Enutrofion</t>
  </si>
  <si>
    <t>Anneau du Jeune Vald</t>
  </si>
  <si>
    <t>Anneau Merta</t>
  </si>
  <si>
    <t>Larvabottes</t>
  </si>
  <si>
    <t>Slip Kangouwou du Wabbit GM</t>
  </si>
  <si>
    <t>Ceinture Tortue Bleue</t>
  </si>
  <si>
    <t>Ceinture Tortue Jaune</t>
  </si>
  <si>
    <t>Ceinture Tortue Rouge</t>
  </si>
  <si>
    <t>Ceinture Tortue Verte</t>
  </si>
  <si>
    <t>Alliance de Corail</t>
  </si>
  <si>
    <t>Couronne du Wa Wabbit</t>
  </si>
  <si>
    <t>Gelocoiffe</t>
  </si>
  <si>
    <t>Caracoiffe</t>
  </si>
  <si>
    <t>Oreilles de Wabbits</t>
  </si>
  <si>
    <t>Coiffe du Koalak</t>
  </si>
  <si>
    <t>Cape du Wa Wabbit</t>
  </si>
  <si>
    <t>Gelocape</t>
  </si>
  <si>
    <t>Caracape</t>
  </si>
  <si>
    <t>Craquelocape</t>
  </si>
  <si>
    <t>Gelamu</t>
  </si>
  <si>
    <t>Amulette "Dents de Wabbits"</t>
  </si>
  <si>
    <t>Amulette du Koalak</t>
  </si>
  <si>
    <t>Gelobottes</t>
  </si>
  <si>
    <t>Carabottes</t>
  </si>
  <si>
    <t>Tongues Wabbits</t>
  </si>
  <si>
    <t>Bottes du Koalak</t>
  </si>
  <si>
    <t>Gelano</t>
  </si>
  <si>
    <t>Geloture</t>
  </si>
  <si>
    <t>Ceinture du Koalak</t>
  </si>
  <si>
    <t>Sac-Cawotte</t>
  </si>
  <si>
    <t>Amulette du Kitsou</t>
  </si>
  <si>
    <t>Le Flan des Étoiles</t>
  </si>
  <si>
    <t>Cape Flotteuse</t>
  </si>
  <si>
    <t>Cape de la Meupette</t>
  </si>
  <si>
    <t>Phéro-Cape</t>
  </si>
  <si>
    <t>Coiffe du Mulou</t>
  </si>
  <si>
    <t>Coiffe du Kitsou</t>
  </si>
  <si>
    <t>Cape du Koalak</t>
  </si>
  <si>
    <t>Craquamulette</t>
  </si>
  <si>
    <t>Bottes du Craqueleur</t>
  </si>
  <si>
    <t>Bottines du Mulou</t>
  </si>
  <si>
    <t>Champo</t>
  </si>
  <si>
    <t>Moon Boots</t>
  </si>
  <si>
    <t>Casque du Craqueleur</t>
  </si>
  <si>
    <t>Larvacoiffe</t>
  </si>
  <si>
    <t>Cape du Kitsou</t>
  </si>
  <si>
    <t>Amulette Aerdala</t>
  </si>
  <si>
    <t>Ceinture du Craqueleur</t>
  </si>
  <si>
    <t>La Poilue</t>
  </si>
  <si>
    <t>Amulette Turquoise</t>
  </si>
  <si>
    <t>Tongues Baques</t>
  </si>
  <si>
    <t>Cape Terrdala</t>
  </si>
  <si>
    <t>Larvamulette</t>
  </si>
  <si>
    <t>Larvasac</t>
  </si>
  <si>
    <t>Boufbamu</t>
  </si>
  <si>
    <t>Chapeau Aerdala</t>
  </si>
  <si>
    <t>Cape du Mulou</t>
  </si>
  <si>
    <t>Ceinture Ouginakale</t>
  </si>
  <si>
    <t>Anneau Fioutioure</t>
  </si>
  <si>
    <t>Cape Aerdala</t>
  </si>
  <si>
    <t>Anneau Poli</t>
  </si>
  <si>
    <t>Perruque de Iop</t>
  </si>
  <si>
    <t>Anneau Royal du Bouftou</t>
  </si>
  <si>
    <t>La Xerbo</t>
  </si>
  <si>
    <t>Anneau Nime</t>
  </si>
  <si>
    <t>Boufcoiffe Royale</t>
  </si>
  <si>
    <t>Cape Bouffante Royale</t>
  </si>
  <si>
    <t>Cape du Désir O'Boul</t>
  </si>
  <si>
    <t>Bottes de l'Eleveur de Bouftous</t>
  </si>
  <si>
    <t>Anneau Bsène</t>
  </si>
  <si>
    <t>Crystal O'Boul</t>
  </si>
  <si>
    <t>Geta Feudala</t>
  </si>
  <si>
    <t>Ceinture Royale du Bouftou</t>
  </si>
  <si>
    <t>La Maîtrise des Poupées</t>
  </si>
  <si>
    <t>Amulette Royale du Bouftou</t>
  </si>
  <si>
    <t>Boufbottes Royales</t>
  </si>
  <si>
    <t>Dragocoiffe Saphir</t>
  </si>
  <si>
    <t>Coiffe du Chef Crocodaille</t>
  </si>
  <si>
    <t>Amulette du Chef Crocodaille</t>
  </si>
  <si>
    <t>Pantoufles Crochues du Chef Crocodaille</t>
  </si>
  <si>
    <t>Bracelet du Chef Crocodaille</t>
  </si>
  <si>
    <t>Ceinture du Chef Crocodaille</t>
  </si>
  <si>
    <t>Ceinture Aerdala</t>
  </si>
  <si>
    <t>Petit sac d'écolier du Chef Crocodaille</t>
  </si>
  <si>
    <t>Ceinture d'une Femme en Or</t>
  </si>
  <si>
    <t>Cape de Nelween</t>
  </si>
  <si>
    <t>La Doubitch O'Boul</t>
  </si>
  <si>
    <t>Bottes Orino</t>
  </si>
  <si>
    <t>Coiffe du Dragoeuf volant</t>
  </si>
  <si>
    <t>Craquanneau Légendaire</t>
  </si>
  <si>
    <t>Ceinture Terrdala</t>
  </si>
  <si>
    <t>Korko Kousto</t>
  </si>
  <si>
    <t>Bracelet Magique de Shika</t>
  </si>
  <si>
    <t>Chapeau de Barbroussa</t>
  </si>
  <si>
    <t>Amulette de Nelween</t>
  </si>
  <si>
    <t>Bottes de Nelween</t>
  </si>
  <si>
    <t>Chapeau Terrdala</t>
  </si>
  <si>
    <t>Cascadeur mineur</t>
  </si>
  <si>
    <t>Enragé mineur</t>
  </si>
  <si>
    <t>Chanceux mineur</t>
  </si>
  <si>
    <t>Érudit mineur</t>
  </si>
  <si>
    <t>Dévastateur Terre mineur</t>
  </si>
  <si>
    <t>Dévastateur Air mineur</t>
  </si>
  <si>
    <t>Dévastateur Eau mineur</t>
  </si>
  <si>
    <t>Dévastateur Feu mineur</t>
  </si>
  <si>
    <t>Culbuteur mineur</t>
  </si>
  <si>
    <t>Solide mineur</t>
  </si>
  <si>
    <t>Obstructeur mineur</t>
  </si>
  <si>
    <t>Déserteur mineur</t>
  </si>
  <si>
    <t>Cavaleur mineur</t>
  </si>
  <si>
    <t>Temporiseur mineur</t>
  </si>
  <si>
    <t>Évasif mineur</t>
  </si>
  <si>
    <t>Étourdisseur mineur</t>
  </si>
  <si>
    <t>Guérisseur mineur</t>
  </si>
  <si>
    <t>Fonceur mineur</t>
  </si>
  <si>
    <t>Fortification mineure</t>
  </si>
  <si>
    <t>Sanguinaire mineur</t>
  </si>
  <si>
    <t>Vigoureux mineur</t>
  </si>
  <si>
    <t>Miraculé mineur</t>
  </si>
  <si>
    <t>Sandales Adin</t>
  </si>
  <si>
    <t>Geta Terrdala</t>
  </si>
  <si>
    <t>Octovius</t>
  </si>
  <si>
    <t>Dent de Gligli</t>
  </si>
  <si>
    <t>Alliance Terrdala</t>
  </si>
  <si>
    <t>Ceinture Dracochoune</t>
  </si>
  <si>
    <t>Ceinture de Nelween</t>
  </si>
  <si>
    <t>Couronne du Roi Gelax</t>
  </si>
  <si>
    <t>Mocassins Poilus</t>
  </si>
  <si>
    <t>Bracelet Magique de Farle</t>
  </si>
  <si>
    <t>Puissante Ceinture Fulgurante</t>
  </si>
  <si>
    <t>Anneau de Loopine</t>
  </si>
  <si>
    <t>Couronne du Wa Wobot</t>
  </si>
  <si>
    <t>Farlacoiffe</t>
  </si>
  <si>
    <t>Casque du Craqueleur Légendaire</t>
  </si>
  <si>
    <t>Shikacoiffe</t>
  </si>
  <si>
    <t>Fausse cape d'Elya Wood</t>
  </si>
  <si>
    <t>Cape de Farle</t>
  </si>
  <si>
    <t>Cape de Shika</t>
  </si>
  <si>
    <t>Epis de Farle</t>
  </si>
  <si>
    <t>Amulette Terrdala</t>
  </si>
  <si>
    <t>Epis de Shika</t>
  </si>
  <si>
    <t>Amublop Griotte Royale</t>
  </si>
  <si>
    <t>Amublop Reinette Royale</t>
  </si>
  <si>
    <t>Amublop Coco Royale</t>
  </si>
  <si>
    <t>Amublop Indigo Royale</t>
  </si>
  <si>
    <t>Sabots de Farle</t>
  </si>
  <si>
    <t>Sabots de Shika</t>
  </si>
  <si>
    <t>Bloptes Griotte Royales</t>
  </si>
  <si>
    <t>Bloptes Reinette Royales</t>
  </si>
  <si>
    <t>Bloptes Coco Royales</t>
  </si>
  <si>
    <t>Bloptes Indigo Royales</t>
  </si>
  <si>
    <t>Blopanneau Griotte Royal</t>
  </si>
  <si>
    <t>Blopanneau Reinette Royal</t>
  </si>
  <si>
    <t>Blopanneau Coco Royal</t>
  </si>
  <si>
    <t>Blopanneau Indigo Royal</t>
  </si>
  <si>
    <t>Farlature</t>
  </si>
  <si>
    <t>Ceinture du Craqueleur Légendaire</t>
  </si>
  <si>
    <t>Shikature</t>
  </si>
  <si>
    <t>Blopture Griotte Royale</t>
  </si>
  <si>
    <t>Blopture Reinette Royale</t>
  </si>
  <si>
    <t>Blopture Coco Royale</t>
  </si>
  <si>
    <t>Blopture Indigo Royale</t>
  </si>
  <si>
    <t>Sangligli</t>
  </si>
  <si>
    <t>Ceinture Mulante</t>
  </si>
  <si>
    <t>La Bertheuze</t>
  </si>
  <si>
    <t>Cape du Wa Wobot</t>
  </si>
  <si>
    <t>Alliance Feudala</t>
  </si>
  <si>
    <t>Ceinture Feudala</t>
  </si>
  <si>
    <t>Ceinture de Cuirhacher</t>
  </si>
  <si>
    <t>Amulette Argie</t>
  </si>
  <si>
    <t>Casque du Blanc Pa Wabbit</t>
  </si>
  <si>
    <t>Amulette de la Bouboule</t>
  </si>
  <si>
    <t>Ceinture du Wa Wobot</t>
  </si>
  <si>
    <t>Pagne de Daïgoro</t>
  </si>
  <si>
    <t>Ceinture du Blanc Pa Wabbit</t>
  </si>
  <si>
    <t>Arkanneau</t>
  </si>
  <si>
    <t>Bottes d'Hogmeiser</t>
  </si>
  <si>
    <t>Ceinture des Vents</t>
  </si>
  <si>
    <t>Anneau du Mineur Gogorifiant</t>
  </si>
  <si>
    <t>Amufafah</t>
  </si>
  <si>
    <t>Coiffe de Daïgoro</t>
  </si>
  <si>
    <t>Craquelocape Légendaire</t>
  </si>
  <si>
    <t>Amulette du Craqueleur Légendaire</t>
  </si>
  <si>
    <t>Bracelet du Blanc Pa Wabbit</t>
  </si>
  <si>
    <t>Coiffe de Redolphe</t>
  </si>
  <si>
    <t>Licol de Redolphe</t>
  </si>
  <si>
    <t>Sabots de Redolphe</t>
  </si>
  <si>
    <t>Sacoche de Redolphe</t>
  </si>
  <si>
    <t>Ceinture de Sangroku</t>
  </si>
  <si>
    <t>Casque de Cuirhacher</t>
  </si>
  <si>
    <t>Bottes Du Craqueleur Légendaire</t>
  </si>
  <si>
    <t>Collier Rouge de Daïgoro</t>
  </si>
  <si>
    <t>Alliance de Farle</t>
  </si>
  <si>
    <t>Anneau K'Tuelle</t>
  </si>
  <si>
    <t>Rasoir de poche</t>
  </si>
  <si>
    <t>La Brouteuse</t>
  </si>
  <si>
    <t>Barbacapa</t>
  </si>
  <si>
    <t>La Feuille d'Automne</t>
  </si>
  <si>
    <t>Fausse barbe du Nincognito</t>
  </si>
  <si>
    <t>Amublop Multicolore Royale</t>
  </si>
  <si>
    <t>Bloptes Multicolores Royales</t>
  </si>
  <si>
    <t>Blopanneau Multicolore Royal</t>
  </si>
  <si>
    <t>Blopture Multicolore Royale</t>
  </si>
  <si>
    <t>Amulette Feudala</t>
  </si>
  <si>
    <t>Fourbacapa</t>
  </si>
  <si>
    <t>Cape Feudala</t>
  </si>
  <si>
    <t>Fourballiance</t>
  </si>
  <si>
    <t>Ceinture sombre en Abrakleur</t>
  </si>
  <si>
    <t>Dragocoiffe noire</t>
  </si>
  <si>
    <t>Mules du Dragon Cochon</t>
  </si>
  <si>
    <t>Bottes Animales</t>
  </si>
  <si>
    <t>La Résinette</t>
  </si>
  <si>
    <t>Fourbabottes</t>
  </si>
  <si>
    <t>Bottes Dorées d'Hogmeiser</t>
  </si>
  <si>
    <t>La Feuille d'Hiver</t>
  </si>
  <si>
    <t>Coiffe de la Dragueuse</t>
  </si>
  <si>
    <t>Fourbacoiffe</t>
  </si>
  <si>
    <t>Masque de l'Abrakleur sombre</t>
  </si>
  <si>
    <t>Ceinture Chouqueuse</t>
  </si>
  <si>
    <t>Coiffe du Dragon Cochon</t>
  </si>
  <si>
    <t>Ceinture Fourbissante</t>
  </si>
  <si>
    <t>Casque de Maître Nabur</t>
  </si>
  <si>
    <t>Gantelet du Gorgouille</t>
  </si>
  <si>
    <t>Chapeau Feudala</t>
  </si>
  <si>
    <t>Anneau du Rat Noir</t>
  </si>
  <si>
    <t>Cape du Bwork Baroudeur</t>
  </si>
  <si>
    <t>Cape du Gorgouille</t>
  </si>
  <si>
    <t>Bottes du Rat Blanc</t>
  </si>
  <si>
    <t>Casque du Chef Bwork</t>
  </si>
  <si>
    <t>Bottes du Chef Bwork</t>
  </si>
  <si>
    <t>Bracelet du Bwork Baroudeur</t>
  </si>
  <si>
    <t>Billréole</t>
  </si>
  <si>
    <t>Tacleur</t>
  </si>
  <si>
    <t>Fuyard</t>
  </si>
  <si>
    <t>Ralentisseur</t>
  </si>
  <si>
    <t>Engourdisseur</t>
  </si>
  <si>
    <t>Fugitif</t>
  </si>
  <si>
    <t>Insaisissable</t>
  </si>
  <si>
    <t>Pousseur</t>
  </si>
  <si>
    <t>Adamantin</t>
  </si>
  <si>
    <t>Rempart</t>
  </si>
  <si>
    <t>Cuirassé Air</t>
  </si>
  <si>
    <t>Cuirassé Eau</t>
  </si>
  <si>
    <t>Cuirassé Feu</t>
  </si>
  <si>
    <t>Cuirassé Terre</t>
  </si>
  <si>
    <t>Cuirassé Neutre</t>
  </si>
  <si>
    <t>Ravageur Air</t>
  </si>
  <si>
    <t>Ravageur Eau</t>
  </si>
  <si>
    <t>Ravageur Feu</t>
  </si>
  <si>
    <t>Initiateur</t>
  </si>
  <si>
    <t>Ravageur Terre</t>
  </si>
  <si>
    <t>Soigneur</t>
  </si>
  <si>
    <t>Acrobate</t>
  </si>
  <si>
    <t>Joueur</t>
  </si>
  <si>
    <t>Savant</t>
  </si>
  <si>
    <t>Furibond</t>
  </si>
  <si>
    <t>Survivant</t>
  </si>
  <si>
    <t>Bloqueur</t>
  </si>
  <si>
    <t>Vagabond</t>
  </si>
  <si>
    <t>Docteur</t>
  </si>
  <si>
    <t>Forcené</t>
  </si>
  <si>
    <t>Astucieux</t>
  </si>
  <si>
    <t>Equilibriste</t>
  </si>
  <si>
    <t>Taquin</t>
  </si>
  <si>
    <t>Bastion</t>
  </si>
  <si>
    <t>Saccageur Terre</t>
  </si>
  <si>
    <t>Saccageur Feu</t>
  </si>
  <si>
    <t>Saccageur Eau</t>
  </si>
  <si>
    <t>Saccageur Air</t>
  </si>
  <si>
    <t>Entraveur</t>
  </si>
  <si>
    <t>Paralyseur</t>
  </si>
  <si>
    <t>Imprenable</t>
  </si>
  <si>
    <t>Evanescent</t>
  </si>
  <si>
    <t>Bousculeur</t>
  </si>
  <si>
    <t>Inflexible</t>
  </si>
  <si>
    <t>Précurseur</t>
  </si>
  <si>
    <t>Muraille Terre</t>
  </si>
  <si>
    <t>Muraille Neutre</t>
  </si>
  <si>
    <t>Muraille Feu</t>
  </si>
  <si>
    <t>Muraille Eau</t>
  </si>
  <si>
    <t>Muraille Air</t>
  </si>
  <si>
    <t>Robuste</t>
  </si>
  <si>
    <t>Turbulent</t>
  </si>
  <si>
    <t>Voyageur</t>
  </si>
  <si>
    <t>Féroce</t>
  </si>
  <si>
    <t>Collier du Dragon Cochon</t>
  </si>
  <si>
    <t>Bottes Horchons</t>
  </si>
  <si>
    <t>Ceinture Ding Dong</t>
  </si>
  <si>
    <t>Slip du Bwork Baroudeur</t>
  </si>
  <si>
    <t>Puissant</t>
  </si>
  <si>
    <t>Kabuto</t>
  </si>
  <si>
    <t>Cape du Krokilleur</t>
  </si>
  <si>
    <t>Capitrouille</t>
  </si>
  <si>
    <t>Amulette du Gorgouille</t>
  </si>
  <si>
    <t>Bottes du Rat Noir</t>
  </si>
  <si>
    <t>Gantelet du Rat Blanc</t>
  </si>
  <si>
    <t>Ceinture du Rat Noir</t>
  </si>
  <si>
    <t>Amulette du Chef Bwork</t>
  </si>
  <si>
    <t>Masque du Rat Noir</t>
  </si>
  <si>
    <t>Cape du Rat Blanc</t>
  </si>
  <si>
    <t>Collier du Rat Blanc</t>
  </si>
  <si>
    <t>Ceinture du Rat Blanc</t>
  </si>
  <si>
    <t>Chapeau du Mineur Sombre</t>
  </si>
  <si>
    <t>Cape du Dragon Cochon</t>
  </si>
  <si>
    <t>Fourbamulette</t>
  </si>
  <si>
    <t>Collier du Rat Noir</t>
  </si>
  <si>
    <t>Capuche de la Ouassingue</t>
  </si>
  <si>
    <t>Chapitrouille</t>
  </si>
  <si>
    <t>Cape de la Ouassingue</t>
  </si>
  <si>
    <t>Bottes du Gorgouille</t>
  </si>
  <si>
    <t>Ceinture du Krokilleur</t>
  </si>
  <si>
    <t>Cape Houte</t>
  </si>
  <si>
    <t>Coiffe du Rat Blanc</t>
  </si>
  <si>
    <t>Cape du Rat Noir</t>
  </si>
  <si>
    <t>Anneau du Minotoror</t>
  </si>
  <si>
    <t>Ouassulette</t>
  </si>
  <si>
    <t>Coiffe du Gaddie</t>
  </si>
  <si>
    <t>Araknacoiffe Velue</t>
  </si>
  <si>
    <t>Minotokorno</t>
  </si>
  <si>
    <t>Ceintrouille</t>
  </si>
  <si>
    <t>Raquettes Dugraal</t>
  </si>
  <si>
    <t>Amulette du Krokilleur</t>
  </si>
  <si>
    <t>Amulette de la Crowneille</t>
  </si>
  <si>
    <t>Ceinture de Dodus</t>
  </si>
  <si>
    <t>Coiffe du Koulosse</t>
  </si>
  <si>
    <t>Blémiche</t>
  </si>
  <si>
    <t>Anneau du Dragon Cochon</t>
  </si>
  <si>
    <t>Cape Phossile</t>
  </si>
  <si>
    <t>Sac du Koulosse</t>
  </si>
  <si>
    <t>Bottes du Koulosse</t>
  </si>
  <si>
    <t>Cape du Minotoror</t>
  </si>
  <si>
    <t>Cape de la Crowneille</t>
  </si>
  <si>
    <t>Coiffe du Bimd'Oule</t>
  </si>
  <si>
    <t>Puissante Cape Fulgurante</t>
  </si>
  <si>
    <t>Masque de la Crowneille</t>
  </si>
  <si>
    <t>Torque Ancestral</t>
  </si>
  <si>
    <t>Protège-Tibias Ancestraux</t>
  </si>
  <si>
    <t>Ceinture Phossile</t>
  </si>
  <si>
    <t>La Bekille</t>
  </si>
  <si>
    <t>Collier du Minotoror</t>
  </si>
  <si>
    <t>Ceinture du Minotoror</t>
  </si>
  <si>
    <t>Abrature Ancestrale</t>
  </si>
  <si>
    <t>Bottes Phossiles</t>
  </si>
  <si>
    <t>Phalène</t>
  </si>
  <si>
    <t>Bottes du Minotoror</t>
  </si>
  <si>
    <t>Bottines de Dodus</t>
  </si>
  <si>
    <t>Anneau Ancestral</t>
  </si>
  <si>
    <t>Ceinture Abdominable en bois</t>
  </si>
  <si>
    <t>Abracaska Ancestral</t>
  </si>
  <si>
    <t>Dodoulos</t>
  </si>
  <si>
    <t>Abracapa Ancestrale</t>
  </si>
  <si>
    <t>Boucle d'oreille de Troollérance</t>
  </si>
  <si>
    <t>Doduveteuse</t>
  </si>
  <si>
    <t>Ceinture Corbaquiale</t>
  </si>
  <si>
    <t>Dora Bora</t>
  </si>
  <si>
    <t>Krokop</t>
  </si>
  <si>
    <t>Solomonk</t>
  </si>
  <si>
    <t>Kanistère</t>
  </si>
  <si>
    <t>Koloss</t>
  </si>
  <si>
    <t>Cape de Troollérance</t>
  </si>
  <si>
    <t>Bottes du Royalmouth</t>
  </si>
  <si>
    <t>Bottes d'Inferno</t>
  </si>
  <si>
    <t>Bottes de Styx</t>
  </si>
  <si>
    <t>Bottes de Mandrin</t>
  </si>
  <si>
    <t>Bottes de Will Killson</t>
  </si>
  <si>
    <t>Alliance d'Elya Wood</t>
  </si>
  <si>
    <t>Anneau Skargo</t>
  </si>
  <si>
    <t>Caracape Minotoris</t>
  </si>
  <si>
    <t>Ceinture de l'Amant d'Ha</t>
  </si>
  <si>
    <t>Sandales Humeuses</t>
  </si>
  <si>
    <t>Bottes Animales Sombres</t>
  </si>
  <si>
    <t>Holoune</t>
  </si>
  <si>
    <t>Sandales Titude</t>
  </si>
  <si>
    <t>La Feuille de Printemps</t>
  </si>
  <si>
    <t>Bottes Harry</t>
  </si>
  <si>
    <t>Kaskargo</t>
  </si>
  <si>
    <t>Masque du Pilleur</t>
  </si>
  <si>
    <t>Cape Mouthante</t>
  </si>
  <si>
    <t>Amulette du Dragoeuf</t>
  </si>
  <si>
    <t>Ceinture du Dragoeuf</t>
  </si>
  <si>
    <t>Médaille Kido</t>
  </si>
  <si>
    <t>Ortiz</t>
  </si>
  <si>
    <t>Ceinture Sula</t>
  </si>
  <si>
    <t>Xénature</t>
  </si>
  <si>
    <t>Coiffe du Royalmouth</t>
  </si>
  <si>
    <t>Bottes Ruand</t>
  </si>
  <si>
    <t>Ceinture du Meulou</t>
  </si>
  <si>
    <t>Cascadeur</t>
  </si>
  <si>
    <t>Enragé</t>
  </si>
  <si>
    <t>Chanceux</t>
  </si>
  <si>
    <t>Érudit</t>
  </si>
  <si>
    <t>Dévastateur Terre</t>
  </si>
  <si>
    <t>Dévastateur Air</t>
  </si>
  <si>
    <t>Dévastateur Eau</t>
  </si>
  <si>
    <t>Dévastateur Feu</t>
  </si>
  <si>
    <t>Culbuteur</t>
  </si>
  <si>
    <t>Solide</t>
  </si>
  <si>
    <t>Obstructeur</t>
  </si>
  <si>
    <t>Déserteur</t>
  </si>
  <si>
    <t>Cavaleur</t>
  </si>
  <si>
    <t>Temporiseur</t>
  </si>
  <si>
    <t>Évasif</t>
  </si>
  <si>
    <t>Étourdisseur</t>
  </si>
  <si>
    <t>Guérisseur</t>
  </si>
  <si>
    <t>Fonceur</t>
  </si>
  <si>
    <t>Fortification</t>
  </si>
  <si>
    <t>Sanguinaire</t>
  </si>
  <si>
    <t>Vigoureux</t>
  </si>
  <si>
    <t>Nomade</t>
  </si>
  <si>
    <t>Remueur</t>
  </si>
  <si>
    <t>Miraculé</t>
  </si>
  <si>
    <t>Amulette du Renouveau</t>
  </si>
  <si>
    <t>Casque de Craquemouflage</t>
  </si>
  <si>
    <t>Anneau du Meulou</t>
  </si>
  <si>
    <t>Bague Moutheuze</t>
  </si>
  <si>
    <t>Cape d'Elya Wood</t>
  </si>
  <si>
    <t>Corbacape Mastralis</t>
  </si>
  <si>
    <t>Amulette Ementaire</t>
  </si>
  <si>
    <t>Casque de l'Ecumouth</t>
  </si>
  <si>
    <t>Coffresac du Koalak</t>
  </si>
  <si>
    <t>Cape Dragoeuf</t>
  </si>
  <si>
    <t>Anneau Moutheur</t>
  </si>
  <si>
    <t>Anneau du Pilleur</t>
  </si>
  <si>
    <t>Ceinture de taille</t>
  </si>
  <si>
    <t>Bottes de Craquemouflage</t>
  </si>
  <si>
    <t>Couronne du Tofu Royal</t>
  </si>
  <si>
    <t>Coiffe du Disciple Zoth</t>
  </si>
  <si>
    <t>Casque Dragoeuf</t>
  </si>
  <si>
    <t>Chapeau de la Gamine Zoth</t>
  </si>
  <si>
    <t>Amulette du Royalmouth</t>
  </si>
  <si>
    <t>Anneau du Dragoeuf</t>
  </si>
  <si>
    <t>Ceinture Claire en Abrakleur</t>
  </si>
  <si>
    <t>Ceinture de Troollérance</t>
  </si>
  <si>
    <t>Ceinture Meulante</t>
  </si>
  <si>
    <t>Doro le Blak</t>
  </si>
  <si>
    <t>Talisman d'Elya Wood</t>
  </si>
  <si>
    <t>Bottes du Dragoeuf</t>
  </si>
  <si>
    <t>Plimclik</t>
  </si>
  <si>
    <t>Coiffe du Fricochère</t>
  </si>
  <si>
    <t>Cape Cérémoniale du Seigneur des Rats</t>
  </si>
  <si>
    <t>Ceinture du Royalmouth</t>
  </si>
  <si>
    <t>Bottes du Meulou</t>
  </si>
  <si>
    <t>Anneau Cérémonial du Seigneur des Rats</t>
  </si>
  <si>
    <t>Alliance du Gardien Crakillian</t>
  </si>
  <si>
    <t>Cape Ricieuse</t>
  </si>
  <si>
    <t>Cape du Gardien Crakillian</t>
  </si>
  <si>
    <t>Bandeau Kaliptus</t>
  </si>
  <si>
    <t>Masque du Sergent Zoth</t>
  </si>
  <si>
    <t>Coiffe Cérémoniale du Seigneur des Rats</t>
  </si>
  <si>
    <t>Ceinture Cérémoniale du Seigneur des Rats</t>
  </si>
  <si>
    <t>Masque de l'Abrakleur clair</t>
  </si>
  <si>
    <t>Casque du Guerrier Zoth</t>
  </si>
  <si>
    <t>Collier Cérémonial du Seigneur des Rats</t>
  </si>
  <si>
    <t>Bottes Cérémoniales du Seigneur des Rats</t>
  </si>
  <si>
    <t>Bague du Gardien Crakillian</t>
  </si>
  <si>
    <t>Tongues du dimanche du Chêne Mou</t>
  </si>
  <si>
    <t>Bottines en bois d'abrakleur</t>
  </si>
  <si>
    <t>Talisman Doline</t>
  </si>
  <si>
    <t>Bottes Hoktone</t>
  </si>
  <si>
    <t>Pagniglou</t>
  </si>
  <si>
    <t>Talisman du Chêne Mou</t>
  </si>
  <si>
    <t>Cape du Meulou</t>
  </si>
  <si>
    <t>Anneau du Chêne Mou</t>
  </si>
  <si>
    <t>Ceinture de Frigostine</t>
  </si>
  <si>
    <t>Anneau Made</t>
  </si>
  <si>
    <t>Coiffe du Meulou</t>
  </si>
  <si>
    <t>String Automnal du Chêne Mou</t>
  </si>
  <si>
    <t>Couronne du Mansot Royal</t>
  </si>
  <si>
    <t>Cape Usée du Chêne Mou</t>
  </si>
  <si>
    <t>Amulette de l'Orfélin</t>
  </si>
  <si>
    <t>Bottes de Frigostine</t>
  </si>
  <si>
    <t>Cape du Kaniblou</t>
  </si>
  <si>
    <t>La Meulette</t>
  </si>
  <si>
    <t>Ceinture de l'Orfélin</t>
  </si>
  <si>
    <t>Casque du Bwork de Bronze</t>
  </si>
  <si>
    <t>Cape du Mansot Royal</t>
  </si>
  <si>
    <t>Anneau de Frigostine</t>
  </si>
  <si>
    <t>Piruk</t>
  </si>
  <si>
    <t>Coiffe du Chêne Mou</t>
  </si>
  <si>
    <t>Coiffe de l'Orfélin</t>
  </si>
  <si>
    <t>Casque Cornu de Bworkékorall</t>
  </si>
  <si>
    <t>Waraji du Bretteur Céleste</t>
  </si>
  <si>
    <t>Anneau du Kaniblou</t>
  </si>
  <si>
    <t>Anneau Nobstant</t>
  </si>
  <si>
    <t>Cape du Shushkebab</t>
  </si>
  <si>
    <t>Cape Phorreur</t>
  </si>
  <si>
    <t>Bottes Cloutées de Bworkékorall</t>
  </si>
  <si>
    <t>Anneau du Mansot Royal</t>
  </si>
  <si>
    <t>Ceinture du Kaniblou</t>
  </si>
  <si>
    <t>Sandales Gorithme</t>
  </si>
  <si>
    <t>Amulette de Frigostine</t>
  </si>
  <si>
    <t>Ceinture du Bretteur Céleste</t>
  </si>
  <si>
    <t>Amulette des Huit Yeux</t>
  </si>
  <si>
    <t>Cape Itaineflam</t>
  </si>
  <si>
    <t>Ceinture Bitoufale de Prosper Youpla</t>
  </si>
  <si>
    <t>Anneau Frage</t>
  </si>
  <si>
    <t>Cape du Bretteur Céleste</t>
  </si>
  <si>
    <t>Ceinture de Bworkékorall</t>
  </si>
  <si>
    <t>Gaine Nyée</t>
  </si>
  <si>
    <t>Bottes Soyeuses</t>
  </si>
  <si>
    <t>Krépite</t>
  </si>
  <si>
    <t>Couvre-chef du Shushkebab</t>
  </si>
  <si>
    <t>Ceinture du Minotot</t>
  </si>
  <si>
    <t>Anneau Tissé</t>
  </si>
  <si>
    <t>Tacleur majeur</t>
  </si>
  <si>
    <t>Fuyard majeur</t>
  </si>
  <si>
    <t>Ralentisseur majeur</t>
  </si>
  <si>
    <t>Engourdisseur majeur</t>
  </si>
  <si>
    <t>Fugitif majeur</t>
  </si>
  <si>
    <t>Insaisissable majeur</t>
  </si>
  <si>
    <t>Pousseur majeur</t>
  </si>
  <si>
    <t>Adamantin majeur</t>
  </si>
  <si>
    <t>Rempart majeur</t>
  </si>
  <si>
    <t>Cuirassé Air majeur</t>
  </si>
  <si>
    <t>Cuirassé Eau majeur</t>
  </si>
  <si>
    <t>Cuirassé Feu majeur</t>
  </si>
  <si>
    <t>Cuirassé Terre majeur</t>
  </si>
  <si>
    <t>Cuirassé Neutre majeur</t>
  </si>
  <si>
    <t>Ravageur Air majeur</t>
  </si>
  <si>
    <t>Ravageur Eau majeur</t>
  </si>
  <si>
    <t>Ravageur Feu majeur</t>
  </si>
  <si>
    <t>Initiateur majeur</t>
  </si>
  <si>
    <t>Soigneur majeur</t>
  </si>
  <si>
    <t>Acrobate majeur</t>
  </si>
  <si>
    <t>Joueur majeur</t>
  </si>
  <si>
    <t>Savant majeur</t>
  </si>
  <si>
    <t>Furibond majeur</t>
  </si>
  <si>
    <t>Survivant majeur</t>
  </si>
  <si>
    <t>Ravageur Terre majeur</t>
  </si>
  <si>
    <t>Bloqueur majeur</t>
  </si>
  <si>
    <t>Vagabond majeur</t>
  </si>
  <si>
    <t>Docteur majeur</t>
  </si>
  <si>
    <t>Forcené majeur</t>
  </si>
  <si>
    <t>Astucieux majeur</t>
  </si>
  <si>
    <t>Equilibriste majeur</t>
  </si>
  <si>
    <t>Taquin majeur</t>
  </si>
  <si>
    <t>Bastion majeur</t>
  </si>
  <si>
    <t>Saccageur Terre majeur</t>
  </si>
  <si>
    <t>Saccageur Feu majeur</t>
  </si>
  <si>
    <t>Saccageur Eau majeur</t>
  </si>
  <si>
    <t>Saccageur Air majeur</t>
  </si>
  <si>
    <t>Entraveur majeur</t>
  </si>
  <si>
    <t>Paralyseur majeur</t>
  </si>
  <si>
    <t>Imprenable majeur</t>
  </si>
  <si>
    <t>Evanescent majeur</t>
  </si>
  <si>
    <t>Bousculeur majeur</t>
  </si>
  <si>
    <t>Inflexible majeur</t>
  </si>
  <si>
    <t>Précurseur majeur</t>
  </si>
  <si>
    <t>Muraille Terre majeure</t>
  </si>
  <si>
    <t>Muraille Neutre majeure</t>
  </si>
  <si>
    <t>Muraille Feu majeure</t>
  </si>
  <si>
    <t>Muraille Eau majeure</t>
  </si>
  <si>
    <t>Muraille Air majeure</t>
  </si>
  <si>
    <t>Robuste majeur</t>
  </si>
  <si>
    <t>Féroce majeur</t>
  </si>
  <si>
    <t>Masque du Nowel Cauchemardesque</t>
  </si>
  <si>
    <t>Porte-Malheur du Nowel Cauchemardesque</t>
  </si>
  <si>
    <t>Bottes du Nowel Cauchemardesque</t>
  </si>
  <si>
    <t>Infernano</t>
  </si>
  <si>
    <t>Styxano</t>
  </si>
  <si>
    <t>Mandrano</t>
  </si>
  <si>
    <t>Willkillsano</t>
  </si>
  <si>
    <t>Cape du Nowel Cauchemardesque</t>
  </si>
  <si>
    <t>Puissant majeur</t>
  </si>
  <si>
    <t>Caparak</t>
  </si>
  <si>
    <t>Coiffe de l'Arak-Haï</t>
  </si>
  <si>
    <t>Ruskauffe</t>
  </si>
  <si>
    <t>Bonnet Ko</t>
  </si>
  <si>
    <t>Pèlerine d'Augilol</t>
  </si>
  <si>
    <t>Amulette de Grozilla</t>
  </si>
  <si>
    <t>Bracelet du Minotot</t>
  </si>
  <si>
    <t>Collier du Tanukouï San</t>
  </si>
  <si>
    <t>Chapblopignon</t>
  </si>
  <si>
    <t>Cape Souveraine du Roissingue</t>
  </si>
  <si>
    <t>Groin-groin porte bonheur</t>
  </si>
  <si>
    <t>Anneau poli de Malter</t>
  </si>
  <si>
    <t>Slip Hie</t>
  </si>
  <si>
    <t>Chapeau de Tournoyé</t>
  </si>
  <si>
    <t>Cape de Cantile</t>
  </si>
  <si>
    <t>Ceinture du Frelon Noir</t>
  </si>
  <si>
    <t>Grigri Malter</t>
  </si>
  <si>
    <t>Bottes Crépitantes de Malter</t>
  </si>
  <si>
    <t>Casque du Bitouf Aérien</t>
  </si>
  <si>
    <t>Talisman Choh</t>
  </si>
  <si>
    <t>Chapeau de Ben le Ripate</t>
  </si>
  <si>
    <t>Coiffe de Grozilla</t>
  </si>
  <si>
    <t>Bottes Honyme</t>
  </si>
  <si>
    <t>Ceinture Phorreur</t>
  </si>
  <si>
    <t>Alliance d'Hell Mina</t>
  </si>
  <si>
    <t>Masque du Harpirate</t>
  </si>
  <si>
    <t>Cape de Crânonier</t>
  </si>
  <si>
    <t>Bottes de Grozilla</t>
  </si>
  <si>
    <t>Crochet de Ben le Ripate</t>
  </si>
  <si>
    <t>Anneau de Cantile</t>
  </si>
  <si>
    <t>Fantômasque</t>
  </si>
  <si>
    <t>Coiffe du Maître Zoth</t>
  </si>
  <si>
    <t>Masque du Frelon Noir</t>
  </si>
  <si>
    <t>Cape du Minotot</t>
  </si>
  <si>
    <t>Bottes de Cantile</t>
  </si>
  <si>
    <t>Cape d'Hell Mina</t>
  </si>
  <si>
    <t>Coiffe du Minotot</t>
  </si>
  <si>
    <t>Amulette de Cantile</t>
  </si>
  <si>
    <t>Ceinture de Ben le Ripate</t>
  </si>
  <si>
    <t>Ceinture d'Hell Mina</t>
  </si>
  <si>
    <t>Masque Vaudou Thierry</t>
  </si>
  <si>
    <t>Masque Vaudou Jav</t>
  </si>
  <si>
    <t>Masque Vaudou Sarbak</t>
  </si>
  <si>
    <t>Masque Vaudou Archer</t>
  </si>
  <si>
    <t>Collier du Minotot</t>
  </si>
  <si>
    <t>Sceau Souverain du Roissingue</t>
  </si>
  <si>
    <t>Ceinture de Grozilla</t>
  </si>
  <si>
    <t>Sandales Hambic</t>
  </si>
  <si>
    <t>Le Nahitse</t>
  </si>
  <si>
    <t>Casque de Metag Robill</t>
  </si>
  <si>
    <t>Coiffe Crokante</t>
  </si>
  <si>
    <t>Blopronne Royale</t>
  </si>
  <si>
    <t>Les Maidartes</t>
  </si>
  <si>
    <t>Cape Tivante</t>
  </si>
  <si>
    <t>Cape Solution</t>
  </si>
  <si>
    <t>Bague de l'Obsidiantre</t>
  </si>
  <si>
    <t>Zothulette</t>
  </si>
  <si>
    <t>Slip Noze</t>
  </si>
  <si>
    <t>Anneau Nimat</t>
  </si>
  <si>
    <t>Collier Yé</t>
  </si>
  <si>
    <t>Katar Strophe</t>
  </si>
  <si>
    <t>Cape de l'Obsidiantre</t>
  </si>
  <si>
    <t>Cape du Crokant</t>
  </si>
  <si>
    <t>Sandales du Minotot</t>
  </si>
  <si>
    <t>Ceinture des Prophètes</t>
  </si>
  <si>
    <t>Goldoture</t>
  </si>
  <si>
    <t>Coiffe du Tynril</t>
  </si>
  <si>
    <t>Amulette de l'Obsidiantre</t>
  </si>
  <si>
    <t>Crokanture</t>
  </si>
  <si>
    <t>Sangle Oriole</t>
  </si>
  <si>
    <t>Larme de Nagate</t>
  </si>
  <si>
    <t>Casque de l'Obsidiantre</t>
  </si>
  <si>
    <t>Casque du Braconnier</t>
  </si>
  <si>
    <t>Sandales Binosse</t>
  </si>
  <si>
    <t>Bottes de l'Obsidiantre</t>
  </si>
  <si>
    <t>Capuche Souveraine du Roissingue</t>
  </si>
  <si>
    <t>Anneau des Prophètes</t>
  </si>
  <si>
    <t>Chapeau Stapokaliptik</t>
  </si>
  <si>
    <t>Crolier</t>
  </si>
  <si>
    <t>Veranneau</t>
  </si>
  <si>
    <t>Bottes du Braconnier</t>
  </si>
  <si>
    <t>Ceintrémorse</t>
  </si>
  <si>
    <t>Ceinture des Matougarous</t>
  </si>
  <si>
    <t>Cape du Petit Chapon Rouge</t>
  </si>
  <si>
    <t>Casquoporth</t>
  </si>
  <si>
    <t>Capikténia</t>
  </si>
  <si>
    <t>Anneau des Matougarous</t>
  </si>
  <si>
    <t>Sulik</t>
  </si>
  <si>
    <t>Chapeau Lichinelle</t>
  </si>
  <si>
    <t>Anneau du Braconnier</t>
  </si>
  <si>
    <t>Cape des Matougarous</t>
  </si>
  <si>
    <t>Anneau Tabéné</t>
  </si>
  <si>
    <t>Amulette Cætera</t>
  </si>
  <si>
    <t>Alliance Hestrale</t>
  </si>
  <si>
    <t>Porte-Bonheur du Roi Skaille</t>
  </si>
  <si>
    <t>Bottes du Tengu Givrefoux</t>
  </si>
  <si>
    <t>Chaussquales</t>
  </si>
  <si>
    <t>Alliance de Guten Tak</t>
  </si>
  <si>
    <t>Chapeau Pourih</t>
  </si>
  <si>
    <t>Chapeau Tiche</t>
  </si>
  <si>
    <t>Bottines Hertie</t>
  </si>
  <si>
    <t>Scalp du Roi Skaille</t>
  </si>
  <si>
    <t>Pagne du Soryo Givrefoux</t>
  </si>
  <si>
    <t>Coiffe du Tengu Givrefoux</t>
  </si>
  <si>
    <t>Bottines des sous-bois</t>
  </si>
  <si>
    <t>Anneau de Guten Tak</t>
  </si>
  <si>
    <t>Kwarapace</t>
  </si>
  <si>
    <t>Cascadeur majeur</t>
  </si>
  <si>
    <t>Enragé majeur</t>
  </si>
  <si>
    <t>Chanceux majeur</t>
  </si>
  <si>
    <t>Érudit majeur</t>
  </si>
  <si>
    <t>Dévastateur Terre majeur</t>
  </si>
  <si>
    <t>Dévastateur Air majeur</t>
  </si>
  <si>
    <t>Dévastateur Eau majeur</t>
  </si>
  <si>
    <t>Dévastateur Feu majeur</t>
  </si>
  <si>
    <t>Culbuteur majeur</t>
  </si>
  <si>
    <t>Solide majeur</t>
  </si>
  <si>
    <t>Obstructeur majeur</t>
  </si>
  <si>
    <t>Déserteur majeur</t>
  </si>
  <si>
    <t>Cavaleur majeur</t>
  </si>
  <si>
    <t>Temporiseur majeur</t>
  </si>
  <si>
    <t>Évasif majeur</t>
  </si>
  <si>
    <t>Étourdisseur majeur</t>
  </si>
  <si>
    <t>Guérisseur majeur</t>
  </si>
  <si>
    <t>Fonceur majeur</t>
  </si>
  <si>
    <t>Fortification majeure</t>
  </si>
  <si>
    <t>Sanguinaire majeur</t>
  </si>
  <si>
    <t>Vigoureux majeur</t>
  </si>
  <si>
    <t>Miraculé majeur</t>
  </si>
  <si>
    <t>Cape Surde</t>
  </si>
  <si>
    <t>Cape du Roi Skaille</t>
  </si>
  <si>
    <t>Kwaflaque</t>
  </si>
  <si>
    <t>Collier Kléctik</t>
  </si>
  <si>
    <t>Amulette de Guten Tak</t>
  </si>
  <si>
    <t>Ceinture Mycosine</t>
  </si>
  <si>
    <t>Ceinture du Tengu Givrefoux</t>
  </si>
  <si>
    <t>Ougalurette</t>
  </si>
  <si>
    <t>Cape du Tengu Givrefoux</t>
  </si>
  <si>
    <t>Bracelet Ventré</t>
  </si>
  <si>
    <t>Anneau Bliteré</t>
  </si>
  <si>
    <t>Tranche des Sous-bois</t>
  </si>
  <si>
    <t>Chapeau de Crocodaille Dandi</t>
  </si>
  <si>
    <t>Bottes de Dremoan</t>
  </si>
  <si>
    <t>Anneau Chevelu</t>
  </si>
  <si>
    <t>Anneau du Korriandre</t>
  </si>
  <si>
    <t>Masque des fonds marins</t>
  </si>
  <si>
    <t>Caprin</t>
  </si>
  <si>
    <t>Ougamulette</t>
  </si>
  <si>
    <t>Amulette du Kanimate</t>
  </si>
  <si>
    <t>Chaussons Pignons</t>
  </si>
  <si>
    <t>Ceinture Toré</t>
  </si>
  <si>
    <t>Ceinture Rasboulaire du Rasboul</t>
  </si>
  <si>
    <t>Cape Peupret</t>
  </si>
  <si>
    <t>Chapeau de Dremoan</t>
  </si>
  <si>
    <t>Cape du Korriandre</t>
  </si>
  <si>
    <t>Crache-feu Firefoux</t>
  </si>
  <si>
    <t>Ceinture Bine</t>
  </si>
  <si>
    <t>Coiffe du Kanimate</t>
  </si>
  <si>
    <t>Cape de Dremoan</t>
  </si>
  <si>
    <t>Sandales des fonds marins</t>
  </si>
  <si>
    <t>Bague de Boréale</t>
  </si>
  <si>
    <t>Chapeau Lisson</t>
  </si>
  <si>
    <t>Cape du Kanimate</t>
  </si>
  <si>
    <t>Amulette Ripage</t>
  </si>
  <si>
    <t>Amulette du Korriandre</t>
  </si>
  <si>
    <t>Bottes Répané</t>
  </si>
  <si>
    <t>Chapignon</t>
  </si>
  <si>
    <t>Cape Erforée</t>
  </si>
  <si>
    <t>Amulette nécrotique</t>
  </si>
  <si>
    <t>Bottes Nécrotiques</t>
  </si>
  <si>
    <t>Bracelet des fonds marins</t>
  </si>
  <si>
    <t>Ougature</t>
  </si>
  <si>
    <t>Ceinture de Boréale</t>
  </si>
  <si>
    <t>Amulette Héroclite</t>
  </si>
  <si>
    <t>Bottines Hodore</t>
  </si>
  <si>
    <t>Racine Hueuse</t>
  </si>
  <si>
    <t>Cape nécrotique</t>
  </si>
  <si>
    <t>Alliance Boletée</t>
  </si>
  <si>
    <t>Alliance Sorcelée</t>
  </si>
  <si>
    <t>Coiffe de Boréale</t>
  </si>
  <si>
    <t>Anneau Colerette</t>
  </si>
  <si>
    <t>Chevelure de Tal Kasha</t>
  </si>
  <si>
    <t>Casque Harnage</t>
  </si>
  <si>
    <t>Amunite</t>
  </si>
  <si>
    <t>Bottes de Boréale</t>
  </si>
  <si>
    <t>Annolamour</t>
  </si>
  <si>
    <t>Némès de Tal Kasha</t>
  </si>
  <si>
    <t>Capignon</t>
  </si>
  <si>
    <t>Grésilobottes</t>
  </si>
  <si>
    <t>Anneau d'Henual</t>
  </si>
  <si>
    <t>Ceinture de Kolosso</t>
  </si>
  <si>
    <t>Voile d'encre</t>
  </si>
  <si>
    <t>Bottes d'Allister</t>
  </si>
  <si>
    <t>Chapeau Kassé</t>
  </si>
  <si>
    <t>Ceinture du K.O.</t>
  </si>
  <si>
    <t>Sandales de Tal Kasha</t>
  </si>
  <si>
    <t>Binocle Airvoyant</t>
  </si>
  <si>
    <t>Frimamulette</t>
  </si>
  <si>
    <t>Bottes d'Otomaï</t>
  </si>
  <si>
    <t>Anneau de Kolosso</t>
  </si>
  <si>
    <t>Anneau du Professeur Xa</t>
  </si>
  <si>
    <t>Anneau de la Fuji Givrefoux</t>
  </si>
  <si>
    <t>String Tue-Mouche</t>
  </si>
  <si>
    <t>Ceinture de Danathor</t>
  </si>
  <si>
    <t>Bottes du K.O.</t>
  </si>
  <si>
    <t>Frimacoiffe</t>
  </si>
  <si>
    <t>Coiffe de Kolosso</t>
  </si>
  <si>
    <t>Coiffe d'Ogivol</t>
  </si>
  <si>
    <t>Cape de la Fuji Givrefoux</t>
  </si>
  <si>
    <t>Cape d'Ogivol</t>
  </si>
  <si>
    <t>Amulette de Théodoran Ax</t>
  </si>
  <si>
    <t>Bottes du Professeur Xa</t>
  </si>
  <si>
    <t>Ceinture d'Henual</t>
  </si>
  <si>
    <t>Les Casse-noisettes</t>
  </si>
  <si>
    <t>Ceinture Pitude</t>
  </si>
  <si>
    <t>Amulette du K.O.</t>
  </si>
  <si>
    <t>Ceinture Hanium</t>
  </si>
  <si>
    <t>Anneau Aimgéroks</t>
  </si>
  <si>
    <t>Sandales Pinistes</t>
  </si>
  <si>
    <t>Grésilocape</t>
  </si>
  <si>
    <t>Cape du Professeur Xa</t>
  </si>
  <si>
    <t>Cape de Léthaline</t>
  </si>
  <si>
    <t>Cape d'Hel Munster</t>
  </si>
  <si>
    <t>Kralamansion</t>
  </si>
  <si>
    <t>Amulette de Danathor</t>
  </si>
  <si>
    <t>Amulette de Nevark</t>
  </si>
  <si>
    <t>Pendentif Oton</t>
  </si>
  <si>
    <t>Bottes de la Fuji Givrefoux</t>
  </si>
  <si>
    <t>Ceinture de Brouce</t>
  </si>
  <si>
    <t>Ceinture de Léthaline</t>
  </si>
  <si>
    <t>Bonnet Vicieux</t>
  </si>
  <si>
    <t>Sandales Circulaires du Kimbo</t>
  </si>
  <si>
    <t>Chapeau Lochon</t>
  </si>
  <si>
    <t>Coiffe du Glourséleste</t>
  </si>
  <si>
    <t>Sandales Ouzi</t>
  </si>
  <si>
    <t>Slip du Roi de Bonta</t>
  </si>
  <si>
    <t>Coiffe de la Fuji Givrefoux</t>
  </si>
  <si>
    <t>Amulette du Professeur Xa</t>
  </si>
  <si>
    <t>Amulette d'Hel Munster</t>
  </si>
  <si>
    <t>Bottes de Théodoran Ax</t>
  </si>
  <si>
    <t>Frimanneau</t>
  </si>
  <si>
    <t>Ceinture du Glourséleste</t>
  </si>
  <si>
    <t>Ceinture d'Ogivol</t>
  </si>
  <si>
    <t>Ceinture de Nevark</t>
  </si>
  <si>
    <t>Sangle de Sylargh</t>
  </si>
  <si>
    <t>Ceinture Hyolite</t>
  </si>
  <si>
    <t>Grelots de Barbéryl</t>
  </si>
  <si>
    <t>Le Kim</t>
  </si>
  <si>
    <t>Cape Hiculteur</t>
  </si>
  <si>
    <t>Pantoufles Émar</t>
  </si>
  <si>
    <t>Cape Matelassée</t>
  </si>
  <si>
    <t>Sabots Minables</t>
  </si>
  <si>
    <t>Bague Nostik</t>
  </si>
  <si>
    <t>Amulette Rangleur</t>
  </si>
  <si>
    <t>Coiffe de Danathor</t>
  </si>
  <si>
    <t>Couronne d'Allister</t>
  </si>
  <si>
    <t>Coiffe d'Hel Munster</t>
  </si>
  <si>
    <t>Masque de Klime</t>
  </si>
  <si>
    <t>Casque de Missiz Frizz</t>
  </si>
  <si>
    <t>Capuche de Sylargh</t>
  </si>
  <si>
    <t>Calotte Spot</t>
  </si>
  <si>
    <t>Cape de Nevark</t>
  </si>
  <si>
    <t>Cape d'Aermyne</t>
  </si>
  <si>
    <t>Amulette d'Oshimo</t>
  </si>
  <si>
    <t>Amulette de Nileza</t>
  </si>
  <si>
    <t>Bottes du Glourséleste</t>
  </si>
  <si>
    <t>Getas de Padgref</t>
  </si>
  <si>
    <t>Bottes de Missiz Frizz</t>
  </si>
  <si>
    <t>Grésilanneau</t>
  </si>
  <si>
    <t>Ceinture Glaciale</t>
  </si>
  <si>
    <t>Ceinture Instable</t>
  </si>
  <si>
    <t>Alliance des Firefoux</t>
  </si>
  <si>
    <t>Bottes Vicieuses</t>
  </si>
  <si>
    <t>Subligar de Barbéryl</t>
  </si>
  <si>
    <t>Amulette Hendart</t>
  </si>
  <si>
    <t>Bracelet Ming</t>
  </si>
  <si>
    <t>Bracelet du Minotoboule</t>
  </si>
  <si>
    <t>Cape de Klime</t>
  </si>
  <si>
    <t>Cape Glaciale</t>
  </si>
  <si>
    <t>Amulette d'Otomaï</t>
  </si>
  <si>
    <t>Phylactère Mic</t>
  </si>
  <si>
    <t>Bottes de Brouce</t>
  </si>
  <si>
    <t>Bague Gloursonne</t>
  </si>
  <si>
    <t>Anneau d'Allister</t>
  </si>
  <si>
    <t>Anneau de Padgref</t>
  </si>
  <si>
    <t>Anneau Glacial</t>
  </si>
  <si>
    <t>Frimature</t>
  </si>
  <si>
    <t>Bottes du Père Fwetar</t>
  </si>
  <si>
    <t>Cape du Glourséleste</t>
  </si>
  <si>
    <t>Ceinture d'artifices</t>
  </si>
  <si>
    <t>Anneau des Poussédé</t>
  </si>
  <si>
    <t>Anneau Vicieux</t>
  </si>
  <si>
    <t>Cape Reski</t>
  </si>
  <si>
    <t>Anneau Tamie</t>
  </si>
  <si>
    <t>Cape au Logis</t>
  </si>
  <si>
    <t>Cape Ratique</t>
  </si>
  <si>
    <t>Coiffe d'Oshimo</t>
  </si>
  <si>
    <t>Coiffe de Padgref</t>
  </si>
  <si>
    <t>Cape de Théodoran Ax</t>
  </si>
  <si>
    <t>Cape de Nileza</t>
  </si>
  <si>
    <t>Cape de Sylargh</t>
  </si>
  <si>
    <t>Amulette du Glourséleste</t>
  </si>
  <si>
    <t>Alliance Gloursonne</t>
  </si>
  <si>
    <t>Anneau de Brouce</t>
  </si>
  <si>
    <t>Alliance de Missiz Frizz</t>
  </si>
  <si>
    <t>Ceinture de Klime</t>
  </si>
  <si>
    <t>Ceinture du Père Fwetar</t>
  </si>
  <si>
    <t>Coiffe d'Aermyne</t>
  </si>
  <si>
    <t>Sac des Firefoux</t>
  </si>
  <si>
    <t>Ceinture Dentesque des Poussédé</t>
  </si>
  <si>
    <t>Bottes de Léthaline</t>
  </si>
  <si>
    <t>Bottes d'Oshimo</t>
  </si>
  <si>
    <t>Bottes de Nileza</t>
  </si>
  <si>
    <t>Kralano</t>
  </si>
  <si>
    <t>Bague Instable</t>
  </si>
  <si>
    <t>Anneau Instable</t>
  </si>
  <si>
    <t>Anneau du Père Fwetar</t>
  </si>
  <si>
    <t>Masque du Glourséleste</t>
  </si>
  <si>
    <t>Mainmulette des Poussédé</t>
  </si>
  <si>
    <t>Coiffe Ranshi</t>
  </si>
  <si>
    <t>Sangle Aise</t>
  </si>
  <si>
    <t>Cape Lati</t>
  </si>
  <si>
    <t>Cape Ovri</t>
  </si>
  <si>
    <t>Sangle Ouare</t>
  </si>
  <si>
    <t>Bandeau Ktriné</t>
  </si>
  <si>
    <t>Talisman Songe</t>
  </si>
  <si>
    <t>Bottes Dogues</t>
  </si>
  <si>
    <t>Le Dorado</t>
  </si>
  <si>
    <t>Kidibonnet</t>
  </si>
  <si>
    <t>Cape des Justiciers</t>
  </si>
  <si>
    <t>Collier des Abîmes</t>
  </si>
  <si>
    <t>Menoture</t>
  </si>
  <si>
    <t>Coiffe du Comte Harebourg</t>
  </si>
  <si>
    <t>Coiffe Séculaire</t>
  </si>
  <si>
    <t>Masque du Granduk</t>
  </si>
  <si>
    <t>Coiffe Cryochrone</t>
  </si>
  <si>
    <t>Couronne Shushuveraine</t>
  </si>
  <si>
    <t>Masque de Mazin Lyn</t>
  </si>
  <si>
    <t>Casque de Meno</t>
  </si>
  <si>
    <t>Masque du Bandit Spectral</t>
  </si>
  <si>
    <t>Casque Psychokinèse</t>
  </si>
  <si>
    <t>Coiffe Abyssale</t>
  </si>
  <si>
    <t>Coiffe du Roas'Inge</t>
  </si>
  <si>
    <t>Cape du Sinistrofu</t>
  </si>
  <si>
    <t>Cape Ouroboulos</t>
  </si>
  <si>
    <t>Cape d'Ava Taroun</t>
  </si>
  <si>
    <t>Cape Oflère</t>
  </si>
  <si>
    <t>Cape de cérémoniale de Mazin Lyn</t>
  </si>
  <si>
    <t>Cape de Meno</t>
  </si>
  <si>
    <t>Cape indescriptible</t>
  </si>
  <si>
    <t>Cape du Roas'Inge</t>
  </si>
  <si>
    <t>Amulette Séculaire</t>
  </si>
  <si>
    <t>Amulette du Granduk</t>
  </si>
  <si>
    <t>Amulette du Sinistrofu</t>
  </si>
  <si>
    <t>Amulette Cryochrone</t>
  </si>
  <si>
    <t>Amulette du Cycloïde</t>
  </si>
  <si>
    <t>Amulette du Strigide</t>
  </si>
  <si>
    <t>Amulette du Nocturlabe</t>
  </si>
  <si>
    <t>Collier d'Ava Taroun</t>
  </si>
  <si>
    <t>Collier boussole du chasseur de trésors</t>
  </si>
  <si>
    <t>Amulette de l'indicible</t>
  </si>
  <si>
    <t>Amulette de Gadoo</t>
  </si>
  <si>
    <t>Bottes du Comte Harebourg</t>
  </si>
  <si>
    <t>Bottes du Sinistrofu</t>
  </si>
  <si>
    <t>Bottes du Cycloïde</t>
  </si>
  <si>
    <t>Bottes du Strigide</t>
  </si>
  <si>
    <t>Bottes du Nocturlabe</t>
  </si>
  <si>
    <t>Goulbottes</t>
  </si>
  <si>
    <t>Bottes Ouroboulos</t>
  </si>
  <si>
    <t>Bottes Hyum</t>
  </si>
  <si>
    <t>Tongues du Shushuverain</t>
  </si>
  <si>
    <t>Sandales de Mazin Lyn</t>
  </si>
  <si>
    <t>Bottes de Meno</t>
  </si>
  <si>
    <t>Bottes du Bandit Spectral</t>
  </si>
  <si>
    <t>Bottes Péremptoires</t>
  </si>
  <si>
    <t>Bottes du Roas'Inge</t>
  </si>
  <si>
    <t>Anneau du Comte Harebourg</t>
  </si>
  <si>
    <t>Anneau Cryochrone</t>
  </si>
  <si>
    <t>Anneau du Cycloïde</t>
  </si>
  <si>
    <t>Goulano</t>
  </si>
  <si>
    <t>Anneau Ouroboulos</t>
  </si>
  <si>
    <t>Fausse griffe d'Ava Taroun</t>
  </si>
  <si>
    <t>Anneau Shushuverain</t>
  </si>
  <si>
    <t>Alliance du Bandit Spectral</t>
  </si>
  <si>
    <t>Ceinture Séculaire</t>
  </si>
  <si>
    <t>Ceinture du Strigide</t>
  </si>
  <si>
    <t>Ceinture du Nocturlabe</t>
  </si>
  <si>
    <t>Anneau des égarés</t>
  </si>
  <si>
    <t>Bottes des égarés</t>
  </si>
  <si>
    <t>Chapeau des égarés</t>
  </si>
  <si>
    <t>Caparavent</t>
  </si>
  <si>
    <t>Collier de perlouzes</t>
  </si>
  <si>
    <t>Capushincha</t>
  </si>
  <si>
    <t>Cape de Dina Tapio</t>
  </si>
  <si>
    <t>Bottes de Dina Tapio</t>
  </si>
  <si>
    <t>Amulette de Dina Tapio</t>
  </si>
  <si>
    <t>Capistil</t>
  </si>
  <si>
    <t>Boutures</t>
  </si>
  <si>
    <t>Plantamulette</t>
  </si>
  <si>
    <t>Capchalot</t>
  </si>
  <si>
    <t>Baleinabottes</t>
  </si>
  <si>
    <t>Ceintacé</t>
  </si>
  <si>
    <t>Maskrobe</t>
  </si>
  <si>
    <t>Pataugastrique</t>
  </si>
  <si>
    <t>Voilamibe</t>
  </si>
  <si>
    <t>Cacture</t>
  </si>
  <si>
    <t>Capterre</t>
  </si>
  <si>
    <t>Cascterre</t>
  </si>
  <si>
    <t>Bottes Owesli</t>
  </si>
  <si>
    <t>Ceintrigue</t>
  </si>
  <si>
    <t>Talisman Igans</t>
  </si>
  <si>
    <t>Anneau Lunaire</t>
  </si>
  <si>
    <t>Bottes Lunaires</t>
  </si>
  <si>
    <t>Collier Lunaire</t>
  </si>
  <si>
    <t>Amulette luminescente</t>
  </si>
  <si>
    <t>Cape luminescente</t>
  </si>
  <si>
    <t>Ceinture luminescente</t>
  </si>
  <si>
    <t>Culotte de Bethel</t>
  </si>
  <si>
    <t>Pendentif affamé</t>
  </si>
  <si>
    <t>Collier Stival</t>
  </si>
  <si>
    <t>Anneau crustique</t>
  </si>
  <si>
    <t>Cape de Mantaze</t>
  </si>
  <si>
    <t>Anneau de guerrier albueran</t>
  </si>
  <si>
    <t>Protopagne</t>
  </si>
  <si>
    <t>Masque de Funespadon</t>
  </si>
  <si>
    <t>Chaussons de Macrab</t>
  </si>
  <si>
    <t>Scaramouchapeau</t>
  </si>
  <si>
    <t>Amulette de Shokkoth</t>
  </si>
  <si>
    <t>Anneau de Katamashii</t>
  </si>
  <si>
    <t>Geta du Sanctuaire</t>
  </si>
  <si>
    <t>Ceinture du Sanctuaire</t>
  </si>
  <si>
    <t>Ceinture de Kaeneko</t>
  </si>
  <si>
    <t>Bottes de Brume</t>
  </si>
  <si>
    <t>Sac mortuaire</t>
  </si>
  <si>
    <t>Amulette de Wulan</t>
  </si>
  <si>
    <t>Diadème de Wulan</t>
  </si>
  <si>
    <t>Cape du cleptomane Vive-Griffe</t>
  </si>
  <si>
    <t>Ceinture du cleptomane Vive-Griffe</t>
  </si>
  <si>
    <t>Gant du cleptomane Vive-Griffe</t>
  </si>
  <si>
    <t>Bottes du ménestrel Vive-Griffe</t>
  </si>
  <si>
    <t>Couvre-chef du ménestrel Vive-Griffe</t>
  </si>
  <si>
    <t>Collier du ménestrel Vive-Griffe</t>
  </si>
  <si>
    <t>Torquistik</t>
  </si>
  <si>
    <t>Anneauraeus</t>
  </si>
  <si>
    <t>Bottistik</t>
  </si>
  <si>
    <t>Sangle Icisme</t>
  </si>
  <si>
    <t>Solerets Kritur</t>
  </si>
  <si>
    <t>Amulette Rinne</t>
  </si>
  <si>
    <t>Casque Cyclopéen</t>
  </si>
  <si>
    <t>Anneau Rifique</t>
  </si>
  <si>
    <t>Pendentif mignon de Koutoulou</t>
  </si>
  <si>
    <t>Chapeau de Gein</t>
  </si>
  <si>
    <t>Ceinture de Gein</t>
  </si>
  <si>
    <t>Amulette de Gein</t>
  </si>
  <si>
    <t>Masque de Kaonashi</t>
  </si>
  <si>
    <t>Baguette de Boisaille</t>
  </si>
  <si>
    <t>Bâton de Boisaille</t>
  </si>
  <si>
    <t>Marteau de Boisaille</t>
  </si>
  <si>
    <t>Pelle de Boisaille</t>
  </si>
  <si>
    <t>Bâton Kouyu</t>
  </si>
  <si>
    <t>Dagues de Fouraille</t>
  </si>
  <si>
    <t>Pelle de Crapouille</t>
  </si>
  <si>
    <t>La Queue</t>
  </si>
  <si>
    <t>Hache de Bûcheron</t>
  </si>
  <si>
    <t>Arc Hade</t>
  </si>
  <si>
    <t>Demi-Baguette</t>
  </si>
  <si>
    <t>Marteau Martel</t>
  </si>
  <si>
    <t>Arc de Boisaille</t>
  </si>
  <si>
    <t>Hachette de Bûcheron</t>
  </si>
  <si>
    <t>Epée de Boisaille</t>
  </si>
  <si>
    <t>Dagues de Boisaille</t>
  </si>
  <si>
    <t>Marteau du Bricoleur</t>
  </si>
  <si>
    <t>Hachette Hévlalav</t>
  </si>
  <si>
    <t>Hache Hémal</t>
  </si>
  <si>
    <t>Arc Sifflant</t>
  </si>
  <si>
    <t>Maillet Aclou</t>
  </si>
  <si>
    <t>Leurnettes</t>
  </si>
  <si>
    <t>Hache Vôr'Om</t>
  </si>
  <si>
    <t>Faux de Farle Ingalsse</t>
  </si>
  <si>
    <t>Bâton Feuillu</t>
  </si>
  <si>
    <t>Baguette de Glace</t>
  </si>
  <si>
    <t>Marteau de Raclage</t>
  </si>
  <si>
    <t>Epée Sacrée</t>
  </si>
  <si>
    <t>Pelle des Champs</t>
  </si>
  <si>
    <t>Arc Holic</t>
  </si>
  <si>
    <t>Bâton de Bouftier</t>
  </si>
  <si>
    <t>Hache Térophyle</t>
  </si>
  <si>
    <t>Epée de Fouraille</t>
  </si>
  <si>
    <t>Bâton Spirituel</t>
  </si>
  <si>
    <t>Cerberus</t>
  </si>
  <si>
    <t>Dagues de Croclage</t>
  </si>
  <si>
    <t>Trancheuse d'If</t>
  </si>
  <si>
    <t>Epée d'Ha</t>
  </si>
  <si>
    <t>Pelle de Rapage</t>
  </si>
  <si>
    <t>Koupe-koupe</t>
  </si>
  <si>
    <t>Marteau Pickeur</t>
  </si>
  <si>
    <t>Arc Buse</t>
  </si>
  <si>
    <t>Baguette Heure</t>
  </si>
  <si>
    <t>Marteau d'Ivoire</t>
  </si>
  <si>
    <t>Barbe Grise</t>
  </si>
  <si>
    <t>Arc Déroutant</t>
  </si>
  <si>
    <t>Baguette de Liriel</t>
  </si>
  <si>
    <t>La Canne Hête</t>
  </si>
  <si>
    <t>L'Ergot Mina</t>
  </si>
  <si>
    <t>Baguette de Feu Follesque</t>
  </si>
  <si>
    <t>Epée du Chevalier de Glace</t>
  </si>
  <si>
    <t>La Queue Infernale</t>
  </si>
  <si>
    <t>Trancheuse de Noyer</t>
  </si>
  <si>
    <t>Arc Hancihaile</t>
  </si>
  <si>
    <t>Arc du Bwork Archer</t>
  </si>
  <si>
    <t>Hache Huré</t>
  </si>
  <si>
    <t>Le Tranchant Infernal</t>
  </si>
  <si>
    <t>Barabas</t>
  </si>
  <si>
    <t>Pelle du Craqueleur</t>
  </si>
  <si>
    <t>Baguette de Sagesse</t>
  </si>
  <si>
    <t>Arc Ecologique</t>
  </si>
  <si>
    <t>La Triste Lame</t>
  </si>
  <si>
    <t>Masse d'Ha</t>
  </si>
  <si>
    <t>Pelle à Thart'</t>
  </si>
  <si>
    <t>Pelle Houze</t>
  </si>
  <si>
    <t>Bâton de l'Homme Ours</t>
  </si>
  <si>
    <t>Le Marteau du Chafer</t>
  </si>
  <si>
    <t>La Klebik</t>
  </si>
  <si>
    <t>Mangeuse d'Erable</t>
  </si>
  <si>
    <t>Queues de Chatons</t>
  </si>
  <si>
    <t>Marteau Tau</t>
  </si>
  <si>
    <t>Marteau de l'Aurore</t>
  </si>
  <si>
    <t>Epée du Chevalier</t>
  </si>
  <si>
    <t>La Trancheuse de Bambou</t>
  </si>
  <si>
    <t>Dagues du Bandit</t>
  </si>
  <si>
    <t>La Plantouze des Champs</t>
  </si>
  <si>
    <t>Epée d'Alle</t>
  </si>
  <si>
    <t>Sargasse</t>
  </si>
  <si>
    <t>Arc de Triomphe</t>
  </si>
  <si>
    <t>Lame du Chafer</t>
  </si>
  <si>
    <t>Pelle Teuze</t>
  </si>
  <si>
    <t>Agride</t>
  </si>
  <si>
    <t>Lame du Bwork</t>
  </si>
  <si>
    <t>Baguette d'Intelligence</t>
  </si>
  <si>
    <t>Dagues Sylvestres</t>
  </si>
  <si>
    <t>Bâton de fausse magie</t>
  </si>
  <si>
    <t>Baguette Rangleuse</t>
  </si>
  <si>
    <t>Nomoon</t>
  </si>
  <si>
    <t>Arc en Racine d'Abraknyde</t>
  </si>
  <si>
    <t>Marteau R'unique</t>
  </si>
  <si>
    <t>Dagues Tylo</t>
  </si>
  <si>
    <t>Francisque à Brêles</t>
  </si>
  <si>
    <t>Bashers</t>
  </si>
  <si>
    <t>Bâton Cornu</t>
  </si>
  <si>
    <t>Pelle de Koutoulou</t>
  </si>
  <si>
    <t>La Lance à un "110"</t>
  </si>
  <si>
    <t>Le Rasoir Infernal</t>
  </si>
  <si>
    <t>Arc de Jeanne</t>
  </si>
  <si>
    <t>Arc du Xueluom</t>
  </si>
  <si>
    <t>Bâton d'Oubli</t>
  </si>
  <si>
    <t>Dagues O'Bert</t>
  </si>
  <si>
    <t>Bâton Carnivore</t>
  </si>
  <si>
    <t>Bâton du Grand Pa Wabbit</t>
  </si>
  <si>
    <t>Fendeuse de Merisier</t>
  </si>
  <si>
    <t>La Corde de Yamato</t>
  </si>
  <si>
    <t>Tueuse de Chênes</t>
  </si>
  <si>
    <t>Baguette en Racine d'Abraknyde</t>
  </si>
  <si>
    <t>Dagues Eguisées</t>
  </si>
  <si>
    <t>Les Lames en Table</t>
  </si>
  <si>
    <t>La crinière de Badoul</t>
  </si>
  <si>
    <t>Lame du Chevaucheur de Karne</t>
  </si>
  <si>
    <t>Bâton du Maître des Tabis</t>
  </si>
  <si>
    <t>Abraknydi Vivitus</t>
  </si>
  <si>
    <t>Dagues Ancestrales</t>
  </si>
  <si>
    <t>Faux usée du Paysan</t>
  </si>
  <si>
    <t>Couteau à Stek</t>
  </si>
  <si>
    <t>Epée Cassée du Chevalier Malchanceux</t>
  </si>
  <si>
    <t>Daguette</t>
  </si>
  <si>
    <t>Hache Heuvante</t>
  </si>
  <si>
    <t>Marteau Toh'Lo</t>
  </si>
  <si>
    <t>La Griffe</t>
  </si>
  <si>
    <t>Corde d'Ivan Nowé</t>
  </si>
  <si>
    <t>Bâton Dakn</t>
  </si>
  <si>
    <t>Hache du Shodanwa</t>
  </si>
  <si>
    <t>La Trancheuse d'Arakne</t>
  </si>
  <si>
    <t>Abrarc</t>
  </si>
  <si>
    <t>Coupeuse de Bombu</t>
  </si>
  <si>
    <t>Marteau du Bouftou</t>
  </si>
  <si>
    <t>Baguette du Tofu</t>
  </si>
  <si>
    <t>Bâton du Tabi</t>
  </si>
  <si>
    <t>Rhizome Doré</t>
  </si>
  <si>
    <t>Dagues Cruelles d'Elorie Entuwan</t>
  </si>
  <si>
    <t>Arc Hidsad</t>
  </si>
  <si>
    <t>Bâton Tont'Ata</t>
  </si>
  <si>
    <t>Bâton de Dina, dit 'le Mythe'</t>
  </si>
  <si>
    <t>Dagues Eulasse</t>
  </si>
  <si>
    <t>Sabre Shodanwa</t>
  </si>
  <si>
    <t>Goultard</t>
  </si>
  <si>
    <t>Arc à Poulie Sciée</t>
  </si>
  <si>
    <t>Marteau du Boufcoul</t>
  </si>
  <si>
    <t>Kwaklame de Flammes</t>
  </si>
  <si>
    <t>Kwaklame de Glace</t>
  </si>
  <si>
    <t>Kwaklame de Terre</t>
  </si>
  <si>
    <t>Kwaklame du Vent</t>
  </si>
  <si>
    <t>Arc en Corne de Bouftou</t>
  </si>
  <si>
    <t>Elagueuse d'Oliviolet</t>
  </si>
  <si>
    <t>Pelle de Bois Dormant</t>
  </si>
  <si>
    <t>Masse Tmosfer</t>
  </si>
  <si>
    <t>Baguette Sylvien</t>
  </si>
  <si>
    <t>Baguette Cetera</t>
  </si>
  <si>
    <t>Pelle en Mousse</t>
  </si>
  <si>
    <t>Marteau du Chafer Draugr</t>
  </si>
  <si>
    <t>Bâton Akwadala</t>
  </si>
  <si>
    <t>Bâton en Racine d'Abraknyde</t>
  </si>
  <si>
    <t>Dagues Aj'Deh'Là</t>
  </si>
  <si>
    <t>Lame d'Ogralimde</t>
  </si>
  <si>
    <t>Baguette à Pans</t>
  </si>
  <si>
    <t>Jakchir Arc</t>
  </si>
  <si>
    <t>Abraton</t>
  </si>
  <si>
    <t>Corbalame</t>
  </si>
  <si>
    <t>Dagues Eurfolles</t>
  </si>
  <si>
    <t>Arc des Rivages</t>
  </si>
  <si>
    <t>Le Twote en Carton</t>
  </si>
  <si>
    <t>Dagues Honies</t>
  </si>
  <si>
    <t>Bâton du Shodanwa</t>
  </si>
  <si>
    <t>Elagueuse de Charme</t>
  </si>
  <si>
    <t>Arc dit Kéha, nouvelle version</t>
  </si>
  <si>
    <t>Sceptre du Kanniboul Ebil</t>
  </si>
  <si>
    <t>Marteau Outar</t>
  </si>
  <si>
    <t>Imposant Marteau Outar</t>
  </si>
  <si>
    <t>L'Hyldegarde</t>
  </si>
  <si>
    <t>L'Arc à Hick</t>
  </si>
  <si>
    <t>Marteau Tape Doigts</t>
  </si>
  <si>
    <t>Epée Tillante</t>
  </si>
  <si>
    <t>Baguette Deuh-Pain</t>
  </si>
  <si>
    <t>Pelle Melle</t>
  </si>
  <si>
    <t>Cruelle Pelle-Truelle</t>
  </si>
  <si>
    <t>Baguette Ni'Ninnin</t>
  </si>
  <si>
    <t>Bâton-Boule de Voyante</t>
  </si>
  <si>
    <t>Arc de Boo</t>
  </si>
  <si>
    <t>Pelle Ikan</t>
  </si>
  <si>
    <t>Marteau Pinambour</t>
  </si>
  <si>
    <t>Baguette des Cieux</t>
  </si>
  <si>
    <t>Masse Aj Taye</t>
  </si>
  <si>
    <t>Puissante Masse Aj Taye</t>
  </si>
  <si>
    <t>Hache de Pierre</t>
  </si>
  <si>
    <t>Razielle</t>
  </si>
  <si>
    <t>Baguette d'Eglise</t>
  </si>
  <si>
    <t>Etoile du Soir</t>
  </si>
  <si>
    <t>Pelle Doudesque</t>
  </si>
  <si>
    <t>Pelle Musicale</t>
  </si>
  <si>
    <t>Bâton du Kanigrou</t>
  </si>
  <si>
    <t>Le Matronome</t>
  </si>
  <si>
    <t>Hache de Brèche</t>
  </si>
  <si>
    <t>Racine Sauvageonne</t>
  </si>
  <si>
    <t>Baton Rifique</t>
  </si>
  <si>
    <t>Hook</t>
  </si>
  <si>
    <t>Baguette d'Houvette</t>
  </si>
  <si>
    <t>Marteau Re'Thu</t>
  </si>
  <si>
    <t>Pelle Zébuth</t>
  </si>
  <si>
    <t>Marteau Réfacteur</t>
  </si>
  <si>
    <t>Arc de Kuri</t>
  </si>
  <si>
    <t>Hache du Mulou</t>
  </si>
  <si>
    <t>Bâton du Maître des Tofus</t>
  </si>
  <si>
    <t>Lame de Fon</t>
  </si>
  <si>
    <t>Arc de Cristal</t>
  </si>
  <si>
    <t>Kwakwalame</t>
  </si>
  <si>
    <t>Hache Darsson</t>
  </si>
  <si>
    <t>Le Tronknydum</t>
  </si>
  <si>
    <t>Marteau Polpoulette</t>
  </si>
  <si>
    <t>Xaveur</t>
  </si>
  <si>
    <t>Bâton du Bwork Mage</t>
  </si>
  <si>
    <t>Le Tison Fûté</t>
  </si>
  <si>
    <t>Hache du Nidanwa</t>
  </si>
  <si>
    <t>Baguette du Scarabosse Doré</t>
  </si>
  <si>
    <t>Bâton des Rois</t>
  </si>
  <si>
    <t>Pelle Mechba</t>
  </si>
  <si>
    <t>Pelle Sécutrice</t>
  </si>
  <si>
    <t>La Zulie Lame</t>
  </si>
  <si>
    <t>Découpeuse de Yench</t>
  </si>
  <si>
    <t>Bâton du Wa Wabbit</t>
  </si>
  <si>
    <t>Bâton du Wobot</t>
  </si>
  <si>
    <t>Baguette Larvesque</t>
  </si>
  <si>
    <t>Découpeuse de Kralamoure</t>
  </si>
  <si>
    <t>Arc du Koalak</t>
  </si>
  <si>
    <t>Lame du Craqueleur</t>
  </si>
  <si>
    <t>Boulgourde des Clairières</t>
  </si>
  <si>
    <t>Bâton du Nidanwa</t>
  </si>
  <si>
    <t>Hache Ebbah</t>
  </si>
  <si>
    <t>Dagues Aerdala</t>
  </si>
  <si>
    <t>Balgourde des Clairettes</t>
  </si>
  <si>
    <t>Baguette Hylique</t>
  </si>
  <si>
    <t>Blessdags</t>
  </si>
  <si>
    <t>Pelle Woukuis</t>
  </si>
  <si>
    <t>Le Cutter Sanglant</t>
  </si>
  <si>
    <t>Pieu Vampirique</t>
  </si>
  <si>
    <t>Epée Royale du Bouftou</t>
  </si>
  <si>
    <t>Ragnarok</t>
  </si>
  <si>
    <t>Coupeuse de Sifflet</t>
  </si>
  <si>
    <t>Trancheuse de Partie</t>
  </si>
  <si>
    <t>Sabre Nidanwa</t>
  </si>
  <si>
    <t>Pelle Ripe</t>
  </si>
  <si>
    <t>God Rod</t>
  </si>
  <si>
    <t>Dague Fourbesque</t>
  </si>
  <si>
    <t>Baguette en Racine d'Abraknyde Sombre</t>
  </si>
  <si>
    <t>Dagues Ruyère</t>
  </si>
  <si>
    <t>La Griffe Aiguisée</t>
  </si>
  <si>
    <t>Kryst O'Boul</t>
  </si>
  <si>
    <t>Griffettes</t>
  </si>
  <si>
    <t>Bagdette Café</t>
  </si>
  <si>
    <t>Marteau Pospodrol</t>
  </si>
  <si>
    <t>Arc du Pêcheur</t>
  </si>
  <si>
    <t>Pelle Minstère</t>
  </si>
  <si>
    <t>Lame du Chef Crocodaille</t>
  </si>
  <si>
    <t>Baguette Meneuse</t>
  </si>
  <si>
    <t>Pelle Gicque</t>
  </si>
  <si>
    <t>Ares</t>
  </si>
  <si>
    <t>Arc du Roi des Borins</t>
  </si>
  <si>
    <t>Chakra Style</t>
  </si>
  <si>
    <t>Epée Zervatif</t>
  </si>
  <si>
    <t>Fendeuse d'Abraknyde</t>
  </si>
  <si>
    <t>La Bidjiz</t>
  </si>
  <si>
    <t>Eventail Tranchant</t>
  </si>
  <si>
    <t>Baguette Helles</t>
  </si>
  <si>
    <t>Bâton de Farle</t>
  </si>
  <si>
    <t>Sabre Feudala</t>
  </si>
  <si>
    <t>Bâton du Sandanwa</t>
  </si>
  <si>
    <t>Kidorteau</t>
  </si>
  <si>
    <t>Bardiche du Milicien</t>
  </si>
  <si>
    <t>Baguette de Kouartz</t>
  </si>
  <si>
    <t>Marteau des Falistos</t>
  </si>
  <si>
    <t>Le Kikoularc</t>
  </si>
  <si>
    <t>Lames Sanglantes D'Ortimus Contrari</t>
  </si>
  <si>
    <t>La Pelle du Large</t>
  </si>
  <si>
    <t>Baguette Affeulante</t>
  </si>
  <si>
    <t>Arc Boutant</t>
  </si>
  <si>
    <t>Dagues Hischantes</t>
  </si>
  <si>
    <t>Hache Eulouh</t>
  </si>
  <si>
    <t>Bâton de Shika</t>
  </si>
  <si>
    <t>Marteau à Torts</t>
  </si>
  <si>
    <t>Hachette Savante</t>
  </si>
  <si>
    <t>Bâton d'Aga Dou</t>
  </si>
  <si>
    <t>Marteau Fantal</t>
  </si>
  <si>
    <t>Baguette Hincelle</t>
  </si>
  <si>
    <t>Geish'Arc</t>
  </si>
  <si>
    <t>Marteau du Craqueleur Légendaire</t>
  </si>
  <si>
    <t>Arc Ange</t>
  </si>
  <si>
    <t>Marteau Nitruhant</t>
  </si>
  <si>
    <t>Kaiser</t>
  </si>
  <si>
    <t>La Thor-Boyaux</t>
  </si>
  <si>
    <t>Daguette du Captain Chafer</t>
  </si>
  <si>
    <t>Baguette Molle</t>
  </si>
  <si>
    <t>Sabre Sandanwa</t>
  </si>
  <si>
    <t>Hache du Sandanwa</t>
  </si>
  <si>
    <t>Marteau Mato</t>
  </si>
  <si>
    <t>Hache Terrdala</t>
  </si>
  <si>
    <t>Francique Basquaise</t>
  </si>
  <si>
    <t>Pelle Vaidaire</t>
  </si>
  <si>
    <t>Bâton du Maître des Bouftous</t>
  </si>
  <si>
    <t>Pic à Glace</t>
  </si>
  <si>
    <t>La Migraine</t>
  </si>
  <si>
    <t>La Bastonneuze</t>
  </si>
  <si>
    <t>Masse du Corailleur</t>
  </si>
  <si>
    <t>La Pelle Hélabète</t>
  </si>
  <si>
    <t>Racine Horodon</t>
  </si>
  <si>
    <t>Racine Histre</t>
  </si>
  <si>
    <t>Vouge à Poisson</t>
  </si>
  <si>
    <t>Arc Chiduc</t>
  </si>
  <si>
    <t>Abraton Sombre</t>
  </si>
  <si>
    <t>Pelle Rinage</t>
  </si>
  <si>
    <t>Pelle Mairhe</t>
  </si>
  <si>
    <t>Racine Huzohide</t>
  </si>
  <si>
    <t>Bâton de Daïgoro</t>
  </si>
  <si>
    <t>Hache de Dame Oise</t>
  </si>
  <si>
    <t>Arc du Sram Archer</t>
  </si>
  <si>
    <t>Dague Lutination</t>
  </si>
  <si>
    <t>Baguette Irréelle</t>
  </si>
  <si>
    <t>Marteau de la Terps</t>
  </si>
  <si>
    <t>Dague Rafeuse</t>
  </si>
  <si>
    <t>Sabre Yondanwa</t>
  </si>
  <si>
    <t>Fendeuse d'Abraknyde Ancestral</t>
  </si>
  <si>
    <t>Bâton du Yondanwa</t>
  </si>
  <si>
    <t>Bâton du Féca</t>
  </si>
  <si>
    <t>Pelle Hébuse</t>
  </si>
  <si>
    <t>Fausse Griffe de Ceangal</t>
  </si>
  <si>
    <t>Baguette Velue</t>
  </si>
  <si>
    <t>Hache de Lookabeer</t>
  </si>
  <si>
    <t>Arc Anum</t>
  </si>
  <si>
    <t>Fourbasse-Ton</t>
  </si>
  <si>
    <t>Epée Doncule</t>
  </si>
  <si>
    <t>Branche de l'Abrakleur sombre</t>
  </si>
  <si>
    <t>Canne de Mamie Bonbon</t>
  </si>
  <si>
    <t>Hache du Yondanwa</t>
  </si>
  <si>
    <t>Halle de Barde</t>
  </si>
  <si>
    <t>Griffe Rose</t>
  </si>
  <si>
    <t>Marteau Réhadaure</t>
  </si>
  <si>
    <t>Lame du Chef Bwork</t>
  </si>
  <si>
    <t>Dagues Maydhyn China</t>
  </si>
  <si>
    <t>Racine Hécouanone</t>
  </si>
  <si>
    <t>Racine Hécure</t>
  </si>
  <si>
    <t>La Baguette des Limbes</t>
  </si>
  <si>
    <t>Baguette Nah</t>
  </si>
  <si>
    <t>Baguette Rhon</t>
  </si>
  <si>
    <t>Racine Sémilla</t>
  </si>
  <si>
    <t>Razoir du Soir</t>
  </si>
  <si>
    <t>Clef à Molette</t>
  </si>
  <si>
    <t>Marteau M'Pouce</t>
  </si>
  <si>
    <t>Marteau Ronto</t>
  </si>
  <si>
    <t>Arc Assin</t>
  </si>
  <si>
    <t>Le Bâton Cloutay</t>
  </si>
  <si>
    <t>Râtrouille</t>
  </si>
  <si>
    <t>Dagues du Rat Noir</t>
  </si>
  <si>
    <t>Hache du Minotoror</t>
  </si>
  <si>
    <t>Epée du Rat Blanc</t>
  </si>
  <si>
    <t>Bâton du Koulosse</t>
  </si>
  <si>
    <t>Griffe de Grizmine</t>
  </si>
  <si>
    <t>Tige du Brouture</t>
  </si>
  <si>
    <t>Bâton de Marie Aigue</t>
  </si>
  <si>
    <t>Marteau Ridhe</t>
  </si>
  <si>
    <t>Baguette Houffe-Craitien</t>
  </si>
  <si>
    <t>La Hache Ticot</t>
  </si>
  <si>
    <t>Arc Chitecte</t>
  </si>
  <si>
    <t>Dagues de l'Apprenti Tueur de Bouftons</t>
  </si>
  <si>
    <t>Marteau Nairedeubrest</t>
  </si>
  <si>
    <t>Dagues Rhumes</t>
  </si>
  <si>
    <t>Bâton des Caraïbes</t>
  </si>
  <si>
    <t>Pelle Moh</t>
  </si>
  <si>
    <t>La Hache Menbien</t>
  </si>
  <si>
    <t>Dague Régah</t>
  </si>
  <si>
    <t>Arc du Chafer Archer</t>
  </si>
  <si>
    <t>Marteau R'Ticolis</t>
  </si>
  <si>
    <t>Marteau Kahr</t>
  </si>
  <si>
    <t>Amrothiline</t>
  </si>
  <si>
    <t>La Racine Cinati</t>
  </si>
  <si>
    <t>La Racine Hagogue</t>
  </si>
  <si>
    <t>Pelle du Mineur Sombre</t>
  </si>
  <si>
    <t>Bâton de Sangroku</t>
  </si>
  <si>
    <t>Arc Hanne</t>
  </si>
  <si>
    <t>Baguette d'Elya Wood</t>
  </si>
  <si>
    <t>Dagues R'Hoh</t>
  </si>
  <si>
    <t>Pelle Hikule</t>
  </si>
  <si>
    <t>Arc Rainier</t>
  </si>
  <si>
    <t>Arc du Dragoeuf</t>
  </si>
  <si>
    <t>Kask'Arc Go</t>
  </si>
  <si>
    <t>Marteau du Dragoeuf</t>
  </si>
  <si>
    <t>Mourtheau</t>
  </si>
  <si>
    <t>Marteau Ksain</t>
  </si>
  <si>
    <t>Arc Huledela</t>
  </si>
  <si>
    <t>Baguette du Dragoeuf</t>
  </si>
  <si>
    <t>Bâton du Dragoeuf</t>
  </si>
  <si>
    <t>Couteau de Mer</t>
  </si>
  <si>
    <t>Masse du Corailleur Magistral</t>
  </si>
  <si>
    <t>Marteau Hubohu</t>
  </si>
  <si>
    <t>Epée du Dark Vlad</t>
  </si>
  <si>
    <t>Baguette Houalle</t>
  </si>
  <si>
    <t>Hache du Dragoeuf</t>
  </si>
  <si>
    <t>Bâton Fracass</t>
  </si>
  <si>
    <t>Baguette Ourderie</t>
  </si>
  <si>
    <t>Sertisseur de Ramougre</t>
  </si>
  <si>
    <t>Epée du Dragoeuf</t>
  </si>
  <si>
    <t>Pelle Dragoeuf</t>
  </si>
  <si>
    <t>Baguette Gyver</t>
  </si>
  <si>
    <t>Le Fendoir Tichaud</t>
  </si>
  <si>
    <t>Dagues du Dragoeuf</t>
  </si>
  <si>
    <t>Kelinobranche</t>
  </si>
  <si>
    <t>Marteau Xiko</t>
  </si>
  <si>
    <t>Arc Chtelion</t>
  </si>
  <si>
    <t>Arc Lavoine</t>
  </si>
  <si>
    <t>Bâton du Shamansot</t>
  </si>
  <si>
    <t>Pelle à Gâteau</t>
  </si>
  <si>
    <t>Marteau de la Gamine Zoth</t>
  </si>
  <si>
    <t>Branche de l'Abrakleur clair</t>
  </si>
  <si>
    <t>La Canne Bière</t>
  </si>
  <si>
    <t>Baguette du Grand Glucid</t>
  </si>
  <si>
    <t>Marteau Pinière</t>
  </si>
  <si>
    <t>Glaive Icération</t>
  </si>
  <si>
    <t>Les Dagues du Bouwin</t>
  </si>
  <si>
    <t>Poolache</t>
  </si>
  <si>
    <t>Pelle Shattkitou</t>
  </si>
  <si>
    <t>Baguette Iots</t>
  </si>
  <si>
    <t>Racine de Fécorce</t>
  </si>
  <si>
    <t>Hache du Guerrier Zoth</t>
  </si>
  <si>
    <t>Marteau Mawoque</t>
  </si>
  <si>
    <t>Bâton du Chêne Mou</t>
  </si>
  <si>
    <t>Pelle Rhon</t>
  </si>
  <si>
    <t>Dagues Réceuses</t>
  </si>
  <si>
    <t>Marteau Lahre</t>
  </si>
  <si>
    <t>Arc Hisedaisange</t>
  </si>
  <si>
    <t>Racine Cithi</t>
  </si>
  <si>
    <t>Le Sabre Ayassalama</t>
  </si>
  <si>
    <t>Glaive tiède</t>
  </si>
  <si>
    <t>Racine de Floribonde</t>
  </si>
  <si>
    <t>La Xyothine</t>
  </si>
  <si>
    <t>Griffe Pourpre</t>
  </si>
  <si>
    <t>Sabre Heutelle</t>
  </si>
  <si>
    <t>Pelle Tonedjone</t>
  </si>
  <si>
    <t>Kriss Toubal</t>
  </si>
  <si>
    <t>Baguette de Frigostine</t>
  </si>
  <si>
    <t>Dagues Lassay</t>
  </si>
  <si>
    <t>Marteau Bleuronne</t>
  </si>
  <si>
    <t>Arc à Chon</t>
  </si>
  <si>
    <t>Sceptre du Minotot</t>
  </si>
  <si>
    <t>Sabre de Ben le Ripate</t>
  </si>
  <si>
    <t>Marteau du Juge Lou</t>
  </si>
  <si>
    <t>Hache du Fancrôme</t>
  </si>
  <si>
    <t>Hache Haimenu</t>
  </si>
  <si>
    <t>Bâton du Harpirate</t>
  </si>
  <si>
    <t>Pelle Aigante</t>
  </si>
  <si>
    <t>Marteau de la Vigie Pirate</t>
  </si>
  <si>
    <t>Karnak</t>
  </si>
  <si>
    <t>Dagues Ruik</t>
  </si>
  <si>
    <t>Hache Harnée</t>
  </si>
  <si>
    <t>Bâton du Maître Zoth</t>
  </si>
  <si>
    <t>Bâton K'Tueuh</t>
  </si>
  <si>
    <t>Hache Sueur Rance</t>
  </si>
  <si>
    <t>Fuschia</t>
  </si>
  <si>
    <t>Baguette Hernuement</t>
  </si>
  <si>
    <t>Youyettes</t>
  </si>
  <si>
    <t>Canne Hassukre</t>
  </si>
  <si>
    <t>Épée du saigneur de vampires</t>
  </si>
  <si>
    <t>Marteau R'Gnole</t>
  </si>
  <si>
    <t>Arc Tangente</t>
  </si>
  <si>
    <t>Baguette Héroclite</t>
  </si>
  <si>
    <t>L'Epée Rilleuse</t>
  </si>
  <si>
    <t>Bâton des Prophètes</t>
  </si>
  <si>
    <t>Hache Achinecride</t>
  </si>
  <si>
    <t>Lance Horselé</t>
  </si>
  <si>
    <t>Dagues Eudin</t>
  </si>
  <si>
    <t>Baguette du Chêne Mou</t>
  </si>
  <si>
    <t>La Bêche à Mel</t>
  </si>
  <si>
    <t>Le Thanos</t>
  </si>
  <si>
    <t>Marteau Racle</t>
  </si>
  <si>
    <t>Arc de Guten Tak</t>
  </si>
  <si>
    <t>Dague Adou</t>
  </si>
  <si>
    <t>Arc Ontanporin</t>
  </si>
  <si>
    <t>Baguette Bainkuite</t>
  </si>
  <si>
    <t>Rod Gerse</t>
  </si>
  <si>
    <t>Dagues Imauve</t>
  </si>
  <si>
    <t>Hache à Lamelles</t>
  </si>
  <si>
    <t>L'Épée Nice</t>
  </si>
  <si>
    <t>Epée Kadille</t>
  </si>
  <si>
    <t>Baguette Nolog</t>
  </si>
  <si>
    <t>Marteau Minokers</t>
  </si>
  <si>
    <t>Pelle Dorado</t>
  </si>
  <si>
    <t>Kukri Kura</t>
  </si>
  <si>
    <t>Ougarteau</t>
  </si>
  <si>
    <t>Kwache</t>
  </si>
  <si>
    <t>Pelle Vétik</t>
  </si>
  <si>
    <t>Az'tech</t>
  </si>
  <si>
    <t>Lame Assacre</t>
  </si>
  <si>
    <t>Arc à Lamelles</t>
  </si>
  <si>
    <t>Dagues Açantes</t>
  </si>
  <si>
    <t>Baguetterelle</t>
  </si>
  <si>
    <t>Epée Loponèze</t>
  </si>
  <si>
    <t>Epée Kari</t>
  </si>
  <si>
    <t>Arc Hétype</t>
  </si>
  <si>
    <t>Arc Oleptik</t>
  </si>
  <si>
    <t>Hache Hélème</t>
  </si>
  <si>
    <t>Rhizome du Tynril</t>
  </si>
  <si>
    <t>Marteau Reine</t>
  </si>
  <si>
    <t>Baguette Hernelle</t>
  </si>
  <si>
    <t>Couteaux à Champignons</t>
  </si>
  <si>
    <t>Bâton Brelle</t>
  </si>
  <si>
    <t>Hache du Korriandre</t>
  </si>
  <si>
    <t>Hache Téroïde</t>
  </si>
  <si>
    <t>Bâton Champmanique</t>
  </si>
  <si>
    <t>Pelle Emélaka</t>
  </si>
  <si>
    <t>Pelle du Professeur Xa</t>
  </si>
  <si>
    <t>Grésilosceptre</t>
  </si>
  <si>
    <t>Hache Rot</t>
  </si>
  <si>
    <t>Baguette Hique</t>
  </si>
  <si>
    <t>Pelle Fik</t>
  </si>
  <si>
    <t>Bâton Beau</t>
  </si>
  <si>
    <t>Marteau d'Henual</t>
  </si>
  <si>
    <t>Rouleau à Pâtisserie d'Aermyne</t>
  </si>
  <si>
    <t>Marteau du Glouragan</t>
  </si>
  <si>
    <t>Bâton Brageut</t>
  </si>
  <si>
    <t>Epée Toche</t>
  </si>
  <si>
    <t>Arc Ahique</t>
  </si>
  <si>
    <t>Épée d'Otomaï</t>
  </si>
  <si>
    <t>Dagoulinantes</t>
  </si>
  <si>
    <t>Dague Hirr</t>
  </si>
  <si>
    <t>Canne Harr</t>
  </si>
  <si>
    <t>Bêche Asse</t>
  </si>
  <si>
    <t>Rapière aux Glyphes</t>
  </si>
  <si>
    <t>Marteau de Barbéryl</t>
  </si>
  <si>
    <t>Dagues Ricol</t>
  </si>
  <si>
    <t>Bâtonnet Ronien</t>
  </si>
  <si>
    <t>Pelle Vice</t>
  </si>
  <si>
    <t>Masse Ossiale</t>
  </si>
  <si>
    <t>Epée Gloursonne</t>
  </si>
  <si>
    <t>Epée Maudite du Saigneur Guerrier</t>
  </si>
  <si>
    <t>Hache Ériphe</t>
  </si>
  <si>
    <t>Dagues Érhy</t>
  </si>
  <si>
    <t>Hache Euvale</t>
  </si>
  <si>
    <t>Arc Honte</t>
  </si>
  <si>
    <t>Arc corrompu</t>
  </si>
  <si>
    <t>Tranche Goule</t>
  </si>
  <si>
    <t>Pelle de la Corporation</t>
  </si>
  <si>
    <t>Sceptre du Shushuverain</t>
  </si>
  <si>
    <t>Dagues Sacrificielles</t>
  </si>
  <si>
    <t>Crocouteaux</t>
  </si>
  <si>
    <t>Harpelle</t>
  </si>
  <si>
    <t>Sceptre du Roi Allister</t>
  </si>
  <si>
    <t>Lance corrompue</t>
  </si>
  <si>
    <t>Épée du Bandit Spectral</t>
  </si>
  <si>
    <t>Marteau Goule</t>
  </si>
  <si>
    <t>Marteau Submergé</t>
  </si>
  <si>
    <t>Épée du Granduk</t>
  </si>
  <si>
    <t>Épée du Roas'Inge</t>
  </si>
  <si>
    <t>Nun-Charang</t>
  </si>
  <si>
    <t>Bâton de Hanshi</t>
  </si>
  <si>
    <t>Éventails de Shihan</t>
  </si>
  <si>
    <t>Baguette Range</t>
  </si>
  <si>
    <t>Arc de Koutoulou</t>
  </si>
  <si>
    <t>Épouvante</t>
  </si>
  <si>
    <t>Doleau de Ragnaroche</t>
  </si>
  <si>
    <t>Tonfas de Barbéryl</t>
  </si>
  <si>
    <t>Lame Usicke</t>
  </si>
  <si>
    <t>Serpe Aigrie</t>
  </si>
  <si>
    <t>Arc de Wulan</t>
  </si>
  <si>
    <t>in</t>
  </si>
  <si>
    <t>ag</t>
  </si>
  <si>
    <t>vi</t>
  </si>
  <si>
    <t>sa</t>
  </si>
  <si>
    <t>fo</t>
  </si>
  <si>
    <t>ch</t>
  </si>
  <si>
    <t>ii</t>
  </si>
  <si>
    <t>def</t>
  </si>
  <si>
    <t>dmg</t>
  </si>
  <si>
    <t>rep</t>
  </si>
  <si>
    <t>rn</t>
  </si>
  <si>
    <t>rt</t>
  </si>
  <si>
    <t>ta</t>
  </si>
  <si>
    <t>pu</t>
  </si>
  <si>
    <t>dff</t>
  </si>
  <si>
    <t>fu</t>
  </si>
  <si>
    <t>dp</t>
  </si>
  <si>
    <t>dtf</t>
  </si>
  <si>
    <t>rf</t>
  </si>
  <si>
    <t>re</t>
  </si>
  <si>
    <t>ra</t>
  </si>
  <si>
    <t>rfp</t>
  </si>
  <si>
    <t>rtp</t>
  </si>
  <si>
    <t>so</t>
  </si>
  <si>
    <t>ic</t>
  </si>
  <si>
    <t>cc</t>
  </si>
  <si>
    <t>pa</t>
  </si>
  <si>
    <t>daf</t>
  </si>
  <si>
    <t>pm</t>
  </si>
  <si>
    <t>po</t>
  </si>
  <si>
    <t>rnp</t>
  </si>
  <si>
    <t>rap</t>
  </si>
  <si>
    <t>dc</t>
  </si>
  <si>
    <t>rpa</t>
  </si>
  <si>
    <t>rpm</t>
  </si>
  <si>
    <t>pp</t>
  </si>
  <si>
    <t>epm</t>
  </si>
  <si>
    <t>rc</t>
  </si>
  <si>
    <t>rp</t>
  </si>
  <si>
    <t>epa</t>
  </si>
  <si>
    <t>chs</t>
  </si>
  <si>
    <t>pod</t>
  </si>
  <si>
    <t>Poids</t>
  </si>
  <si>
    <t>Runes estimée (calcul)</t>
  </si>
  <si>
    <t>Runes estimées</t>
  </si>
  <si>
    <t>Carac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</si>
</sst>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96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29.88671875" customWidth="1"/>
    <col min="3" max="3" width="16.44140625" customWidth="1"/>
    <col min="5" max="5" width="27.6640625" customWidth="1"/>
    <col min="6" max="6" width="17.6640625" customWidth="1"/>
  </cols>
  <sheetData>
    <row r="1" spans="1:6" x14ac:dyDescent="0.3">
      <c r="A1" s="1" t="s">
        <v>0</v>
      </c>
      <c r="B1" s="1" t="s">
        <v>2171</v>
      </c>
      <c r="C1" s="1" t="s">
        <v>2</v>
      </c>
      <c r="D1" s="1" t="s">
        <v>3</v>
      </c>
      <c r="E1" s="1" t="s">
        <v>2169</v>
      </c>
      <c r="F1" s="2" t="s">
        <v>2170</v>
      </c>
    </row>
    <row r="2" spans="1:6" x14ac:dyDescent="0.3">
      <c r="A2" t="s">
        <v>4</v>
      </c>
      <c r="B2" t="s">
        <v>2126</v>
      </c>
      <c r="C2">
        <v>8</v>
      </c>
      <c r="D2">
        <v>2</v>
      </c>
      <c r="E2">
        <f>IF(OR(B2="vi",B2="ii",B2="pod"),(((D2/100)*(C2*VLOOKUP(B2,'Poids des runes'!A:B,2,FALSE)))+1),(((D2/100)*(C2*VLOOKUP(B2,'Poids des runes'!A:B,2,FALSE)))+1)/VLOOKUP(B2,'Poids des runes'!A:B,2,FALSE))</f>
        <v>1.1599999999999999</v>
      </c>
      <c r="F2">
        <f>E2</f>
        <v>1.1599999999999999</v>
      </c>
    </row>
    <row r="3" spans="1:6" x14ac:dyDescent="0.3">
      <c r="A3" t="s">
        <v>5</v>
      </c>
      <c r="B3" t="s">
        <v>2127</v>
      </c>
      <c r="C3">
        <v>6.5</v>
      </c>
      <c r="D3">
        <v>2</v>
      </c>
      <c r="E3">
        <f>IF(OR(B3="vi",B3="ii",B3="pod"),(((D3/100)*(C3*VLOOKUP(B3,'Poids des runes'!A:B,2,FALSE)))+1),(((D3/100)*(C3*VLOOKUP(B3,'Poids des runes'!A:B,2,FALSE)))+1)/VLOOKUP(B3,'Poids des runes'!A:B,2,FALSE))</f>
        <v>1.1299999999999999</v>
      </c>
      <c r="F3">
        <f t="shared" ref="F3:F66" si="0">E3</f>
        <v>1.1299999999999999</v>
      </c>
    </row>
    <row r="4" spans="1:6" x14ac:dyDescent="0.3">
      <c r="A4" t="s">
        <v>6</v>
      </c>
      <c r="B4" t="s">
        <v>2128</v>
      </c>
      <c r="C4">
        <v>5</v>
      </c>
      <c r="D4">
        <v>2</v>
      </c>
      <c r="E4">
        <f>IF(OR(B4="vi",B4="ii",B4="pod"),(((D4/100)*(C4*VLOOKUP(B4,'Poids des runes'!A:B,2,FALSE)))+1),(((D4/100)*(C4*VLOOKUP(B4,'Poids des runes'!A:B,2,FALSE)))+1)/VLOOKUP(B4,'Poids des runes'!A:B,2,FALSE))</f>
        <v>1.02</v>
      </c>
      <c r="F4">
        <f t="shared" si="0"/>
        <v>1.02</v>
      </c>
    </row>
    <row r="5" spans="1:6" x14ac:dyDescent="0.3">
      <c r="A5" t="s">
        <v>7</v>
      </c>
      <c r="B5" t="s">
        <v>2127</v>
      </c>
      <c r="C5">
        <v>4</v>
      </c>
      <c r="D5">
        <v>2</v>
      </c>
      <c r="E5">
        <f>IF(OR(B5="vi",B5="ii",B5="pod"),(((D5/100)*(C5*VLOOKUP(B5,'Poids des runes'!A:B,2,FALSE)))+1),(((D5/100)*(C5*VLOOKUP(B5,'Poids des runes'!A:B,2,FALSE)))+1)/VLOOKUP(B5,'Poids des runes'!A:B,2,FALSE))</f>
        <v>1.08</v>
      </c>
      <c r="F5">
        <f t="shared" si="0"/>
        <v>1.08</v>
      </c>
    </row>
    <row r="6" spans="1:6" x14ac:dyDescent="0.3">
      <c r="A6" t="s">
        <v>8</v>
      </c>
      <c r="B6" t="s">
        <v>2127</v>
      </c>
      <c r="C6">
        <v>5</v>
      </c>
      <c r="D6">
        <v>2</v>
      </c>
      <c r="E6">
        <f>IF(OR(B6="vi",B6="ii",B6="pod"),(((D6/100)*(C6*VLOOKUP(B6,'Poids des runes'!A:B,2,FALSE)))+1),(((D6/100)*(C6*VLOOKUP(B6,'Poids des runes'!A:B,2,FALSE)))+1)/VLOOKUP(B6,'Poids des runes'!A:B,2,FALSE))</f>
        <v>1.1000000000000001</v>
      </c>
      <c r="F6">
        <f t="shared" si="0"/>
        <v>1.1000000000000001</v>
      </c>
    </row>
    <row r="7" spans="1:6" x14ac:dyDescent="0.3">
      <c r="A7" t="s">
        <v>8</v>
      </c>
      <c r="B7" t="s">
        <v>2129</v>
      </c>
      <c r="C7">
        <v>3.5</v>
      </c>
      <c r="D7">
        <v>2</v>
      </c>
      <c r="E7">
        <f>IF(OR(B7="vi",B7="ii",B7="pod"),(((D7/100)*(C7*VLOOKUP(B7,'Poids des runes'!A:B,2,FALSE)))+1),(((D7/100)*(C7*VLOOKUP(B7,'Poids des runes'!A:B,2,FALSE)))+1)/VLOOKUP(B7,'Poids des runes'!A:B,2,FALSE))</f>
        <v>1.07</v>
      </c>
      <c r="F7">
        <f t="shared" si="0"/>
        <v>1.07</v>
      </c>
    </row>
    <row r="8" spans="1:6" x14ac:dyDescent="0.3">
      <c r="A8" t="s">
        <v>9</v>
      </c>
      <c r="B8" t="s">
        <v>2128</v>
      </c>
      <c r="C8">
        <v>4</v>
      </c>
      <c r="D8">
        <v>2</v>
      </c>
      <c r="E8">
        <f>IF(OR(B8="vi",B8="ii",B8="pod"),(((D8/100)*(C8*VLOOKUP(B8,'Poids des runes'!A:B,2,FALSE)))+1),(((D8/100)*(C8*VLOOKUP(B8,'Poids des runes'!A:B,2,FALSE)))+1)/VLOOKUP(B8,'Poids des runes'!A:B,2,FALSE))</f>
        <v>1.016</v>
      </c>
      <c r="F8">
        <f t="shared" si="0"/>
        <v>1.016</v>
      </c>
    </row>
    <row r="9" spans="1:6" x14ac:dyDescent="0.3">
      <c r="A9" t="s">
        <v>10</v>
      </c>
      <c r="B9" t="s">
        <v>2130</v>
      </c>
      <c r="C9">
        <v>4</v>
      </c>
      <c r="D9">
        <v>3</v>
      </c>
      <c r="E9">
        <f>IF(OR(B9="vi",B9="ii",B9="pod"),(((D9/100)*(C9*VLOOKUP(B9,'Poids des runes'!A:B,2,FALSE)))+1),(((D9/100)*(C9*VLOOKUP(B9,'Poids des runes'!A:B,2,FALSE)))+1)/VLOOKUP(B9,'Poids des runes'!A:B,2,FALSE))</f>
        <v>1.1200000000000001</v>
      </c>
      <c r="F9">
        <f t="shared" si="0"/>
        <v>1.1200000000000001</v>
      </c>
    </row>
    <row r="10" spans="1:6" x14ac:dyDescent="0.3">
      <c r="A10" t="s">
        <v>11</v>
      </c>
      <c r="B10" t="s">
        <v>2127</v>
      </c>
      <c r="C10">
        <v>4</v>
      </c>
      <c r="D10">
        <v>3</v>
      </c>
      <c r="E10">
        <f>IF(OR(B10="vi",B10="ii",B10="pod"),(((D10/100)*(C10*VLOOKUP(B10,'Poids des runes'!A:B,2,FALSE)))+1),(((D10/100)*(C10*VLOOKUP(B10,'Poids des runes'!A:B,2,FALSE)))+1)/VLOOKUP(B10,'Poids des runes'!A:B,2,FALSE))</f>
        <v>1.1200000000000001</v>
      </c>
      <c r="F10">
        <f t="shared" si="0"/>
        <v>1.1200000000000001</v>
      </c>
    </row>
    <row r="11" spans="1:6" x14ac:dyDescent="0.3">
      <c r="A11" t="s">
        <v>12</v>
      </c>
      <c r="B11" t="s">
        <v>2128</v>
      </c>
      <c r="C11">
        <v>8.5</v>
      </c>
      <c r="D11">
        <v>3</v>
      </c>
      <c r="E11">
        <f>IF(OR(B11="vi",B11="ii",B11="pod"),(((D11/100)*(C11*VLOOKUP(B11,'Poids des runes'!A:B,2,FALSE)))+1),(((D11/100)*(C11*VLOOKUP(B11,'Poids des runes'!A:B,2,FALSE)))+1)/VLOOKUP(B11,'Poids des runes'!A:B,2,FALSE))</f>
        <v>1.0509999999999999</v>
      </c>
      <c r="F11">
        <f t="shared" si="0"/>
        <v>1.0509999999999999</v>
      </c>
    </row>
    <row r="12" spans="1:6" x14ac:dyDescent="0.3">
      <c r="A12" t="s">
        <v>12</v>
      </c>
      <c r="B12" t="s">
        <v>2131</v>
      </c>
      <c r="C12">
        <v>5</v>
      </c>
      <c r="D12">
        <v>3</v>
      </c>
      <c r="E12">
        <f>IF(OR(B12="vi",B12="ii",B12="pod"),(((D12/100)*(C12*VLOOKUP(B12,'Poids des runes'!A:B,2,FALSE)))+1),(((D12/100)*(C12*VLOOKUP(B12,'Poids des runes'!A:B,2,FALSE)))+1)/VLOOKUP(B12,'Poids des runes'!A:B,2,FALSE))</f>
        <v>1.1499999999999999</v>
      </c>
      <c r="F12">
        <f t="shared" si="0"/>
        <v>1.1499999999999999</v>
      </c>
    </row>
    <row r="13" spans="1:6" x14ac:dyDescent="0.3">
      <c r="A13" t="s">
        <v>13</v>
      </c>
      <c r="B13" t="s">
        <v>2128</v>
      </c>
      <c r="C13">
        <v>8.5</v>
      </c>
      <c r="D13">
        <v>4</v>
      </c>
      <c r="E13">
        <f>IF(OR(B13="vi",B13="ii",B13="pod"),(((D13/100)*(C13*VLOOKUP(B13,'Poids des runes'!A:B,2,FALSE)))+1),(((D13/100)*(C13*VLOOKUP(B13,'Poids des runes'!A:B,2,FALSE)))+1)/VLOOKUP(B13,'Poids des runes'!A:B,2,FALSE))</f>
        <v>1.0680000000000001</v>
      </c>
      <c r="F13">
        <f t="shared" si="0"/>
        <v>1.0680000000000001</v>
      </c>
    </row>
    <row r="14" spans="1:6" x14ac:dyDescent="0.3">
      <c r="A14" t="s">
        <v>14</v>
      </c>
      <c r="B14" t="s">
        <v>2130</v>
      </c>
      <c r="C14">
        <v>5</v>
      </c>
      <c r="D14">
        <v>4</v>
      </c>
      <c r="E14">
        <f>IF(OR(B14="vi",B14="ii",B14="pod"),(((D14/100)*(C14*VLOOKUP(B14,'Poids des runes'!A:B,2,FALSE)))+1),(((D14/100)*(C14*VLOOKUP(B14,'Poids des runes'!A:B,2,FALSE)))+1)/VLOOKUP(B14,'Poids des runes'!A:B,2,FALSE))</f>
        <v>1.2</v>
      </c>
      <c r="F14">
        <f t="shared" si="0"/>
        <v>1.2</v>
      </c>
    </row>
    <row r="15" spans="1:6" x14ac:dyDescent="0.3">
      <c r="A15" t="s">
        <v>14</v>
      </c>
      <c r="B15" t="s">
        <v>2129</v>
      </c>
      <c r="C15">
        <v>3.5</v>
      </c>
      <c r="D15">
        <v>4</v>
      </c>
      <c r="E15">
        <f>IF(OR(B15="vi",B15="ii",B15="pod"),(((D15/100)*(C15*VLOOKUP(B15,'Poids des runes'!A:B,2,FALSE)))+1),(((D15/100)*(C15*VLOOKUP(B15,'Poids des runes'!A:B,2,FALSE)))+1)/VLOOKUP(B15,'Poids des runes'!A:B,2,FALSE))</f>
        <v>1.1400000000000001</v>
      </c>
      <c r="F15">
        <f t="shared" si="0"/>
        <v>1.1400000000000001</v>
      </c>
    </row>
    <row r="16" spans="1:6" x14ac:dyDescent="0.3">
      <c r="A16" t="s">
        <v>15</v>
      </c>
      <c r="B16" t="s">
        <v>2129</v>
      </c>
      <c r="C16">
        <v>6</v>
      </c>
      <c r="D16">
        <v>5</v>
      </c>
      <c r="E16">
        <f>IF(OR(B16="vi",B16="ii",B16="pod"),(((D16/100)*(C16*VLOOKUP(B16,'Poids des runes'!A:B,2,FALSE)))+1),(((D16/100)*(C16*VLOOKUP(B16,'Poids des runes'!A:B,2,FALSE)))+1)/VLOOKUP(B16,'Poids des runes'!A:B,2,FALSE))</f>
        <v>1.3</v>
      </c>
      <c r="F16">
        <f t="shared" si="0"/>
        <v>1.3</v>
      </c>
    </row>
    <row r="17" spans="1:6" x14ac:dyDescent="0.3">
      <c r="A17" t="s">
        <v>16</v>
      </c>
      <c r="B17" t="s">
        <v>2126</v>
      </c>
      <c r="C17">
        <v>5</v>
      </c>
      <c r="D17">
        <v>5</v>
      </c>
      <c r="E17">
        <f>IF(OR(B17="vi",B17="ii",B17="pod"),(((D17/100)*(C17*VLOOKUP(B17,'Poids des runes'!A:B,2,FALSE)))+1),(((D17/100)*(C17*VLOOKUP(B17,'Poids des runes'!A:B,2,FALSE)))+1)/VLOOKUP(B17,'Poids des runes'!A:B,2,FALSE))</f>
        <v>1.25</v>
      </c>
      <c r="F17">
        <f t="shared" si="0"/>
        <v>1.25</v>
      </c>
    </row>
    <row r="18" spans="1:6" x14ac:dyDescent="0.3">
      <c r="A18" t="s">
        <v>16</v>
      </c>
      <c r="B18" t="s">
        <v>2131</v>
      </c>
      <c r="C18">
        <v>5</v>
      </c>
      <c r="D18">
        <v>5</v>
      </c>
      <c r="E18">
        <f>IF(OR(B18="vi",B18="ii",B18="pod"),(((D18/100)*(C18*VLOOKUP(B18,'Poids des runes'!A:B,2,FALSE)))+1),(((D18/100)*(C18*VLOOKUP(B18,'Poids des runes'!A:B,2,FALSE)))+1)/VLOOKUP(B18,'Poids des runes'!A:B,2,FALSE))</f>
        <v>1.25</v>
      </c>
      <c r="F18">
        <f t="shared" si="0"/>
        <v>1.25</v>
      </c>
    </row>
    <row r="19" spans="1:6" x14ac:dyDescent="0.3">
      <c r="A19" t="s">
        <v>17</v>
      </c>
      <c r="B19" t="s">
        <v>2130</v>
      </c>
      <c r="C19">
        <v>5</v>
      </c>
      <c r="D19">
        <v>5</v>
      </c>
      <c r="E19">
        <f>IF(OR(B19="vi",B19="ii",B19="pod"),(((D19/100)*(C19*VLOOKUP(B19,'Poids des runes'!A:B,2,FALSE)))+1),(((D19/100)*(C19*VLOOKUP(B19,'Poids des runes'!A:B,2,FALSE)))+1)/VLOOKUP(B19,'Poids des runes'!A:B,2,FALSE))</f>
        <v>1.25</v>
      </c>
      <c r="F19">
        <f t="shared" si="0"/>
        <v>1.25</v>
      </c>
    </row>
    <row r="20" spans="1:6" x14ac:dyDescent="0.3">
      <c r="A20" t="s">
        <v>17</v>
      </c>
      <c r="B20" t="s">
        <v>2127</v>
      </c>
      <c r="C20">
        <v>5</v>
      </c>
      <c r="D20">
        <v>5</v>
      </c>
      <c r="E20">
        <f>IF(OR(B20="vi",B20="ii",B20="pod"),(((D20/100)*(C20*VLOOKUP(B20,'Poids des runes'!A:B,2,FALSE)))+1),(((D20/100)*(C20*VLOOKUP(B20,'Poids des runes'!A:B,2,FALSE)))+1)/VLOOKUP(B20,'Poids des runes'!A:B,2,FALSE))</f>
        <v>1.25</v>
      </c>
      <c r="F20">
        <f t="shared" si="0"/>
        <v>1.25</v>
      </c>
    </row>
    <row r="21" spans="1:6" x14ac:dyDescent="0.3">
      <c r="A21" t="s">
        <v>18</v>
      </c>
      <c r="B21" t="s">
        <v>2128</v>
      </c>
      <c r="C21">
        <v>8.5</v>
      </c>
      <c r="D21">
        <v>5</v>
      </c>
      <c r="E21">
        <f>IF(OR(B21="vi",B21="ii",B21="pod"),(((D21/100)*(C21*VLOOKUP(B21,'Poids des runes'!A:B,2,FALSE)))+1),(((D21/100)*(C21*VLOOKUP(B21,'Poids des runes'!A:B,2,FALSE)))+1)/VLOOKUP(B21,'Poids des runes'!A:B,2,FALSE))</f>
        <v>1.085</v>
      </c>
      <c r="F21">
        <f t="shared" si="0"/>
        <v>1.085</v>
      </c>
    </row>
    <row r="22" spans="1:6" x14ac:dyDescent="0.3">
      <c r="A22" t="s">
        <v>18</v>
      </c>
      <c r="B22" t="s">
        <v>2126</v>
      </c>
      <c r="C22">
        <v>5</v>
      </c>
      <c r="D22">
        <v>5</v>
      </c>
      <c r="E22">
        <f>IF(OR(B22="vi",B22="ii",B22="pod"),(((D22/100)*(C22*VLOOKUP(B22,'Poids des runes'!A:B,2,FALSE)))+1),(((D22/100)*(C22*VLOOKUP(B22,'Poids des runes'!A:B,2,FALSE)))+1)/VLOOKUP(B22,'Poids des runes'!A:B,2,FALSE))</f>
        <v>1.25</v>
      </c>
      <c r="F22">
        <f t="shared" si="0"/>
        <v>1.25</v>
      </c>
    </row>
    <row r="23" spans="1:6" x14ac:dyDescent="0.3">
      <c r="A23" t="s">
        <v>19</v>
      </c>
      <c r="B23" t="s">
        <v>2128</v>
      </c>
      <c r="C23">
        <v>13</v>
      </c>
      <c r="D23">
        <v>6</v>
      </c>
      <c r="E23">
        <f>IF(OR(B23="vi",B23="ii",B23="pod"),(((D23/100)*(C23*VLOOKUP(B23,'Poids des runes'!A:B,2,FALSE)))+1),(((D23/100)*(C23*VLOOKUP(B23,'Poids des runes'!A:B,2,FALSE)))+1)/VLOOKUP(B23,'Poids des runes'!A:B,2,FALSE))</f>
        <v>1.1559999999999999</v>
      </c>
      <c r="F23">
        <f t="shared" si="0"/>
        <v>1.1559999999999999</v>
      </c>
    </row>
    <row r="24" spans="1:6" x14ac:dyDescent="0.3">
      <c r="A24" t="s">
        <v>20</v>
      </c>
      <c r="B24" t="s">
        <v>2130</v>
      </c>
      <c r="C24">
        <v>6</v>
      </c>
      <c r="D24">
        <v>6</v>
      </c>
      <c r="E24">
        <f>IF(OR(B24="vi",B24="ii",B24="pod"),(((D24/100)*(C24*VLOOKUP(B24,'Poids des runes'!A:B,2,FALSE)))+1),(((D24/100)*(C24*VLOOKUP(B24,'Poids des runes'!A:B,2,FALSE)))+1)/VLOOKUP(B24,'Poids des runes'!A:B,2,FALSE))</f>
        <v>1.3599999999999999</v>
      </c>
      <c r="F24">
        <f t="shared" si="0"/>
        <v>1.3599999999999999</v>
      </c>
    </row>
    <row r="25" spans="1:6" x14ac:dyDescent="0.3">
      <c r="A25" t="s">
        <v>21</v>
      </c>
      <c r="B25" t="s">
        <v>2128</v>
      </c>
      <c r="C25">
        <v>8</v>
      </c>
      <c r="D25">
        <v>6</v>
      </c>
      <c r="E25">
        <f>IF(OR(B25="vi",B25="ii",B25="pod"),(((D25/100)*(C25*VLOOKUP(B25,'Poids des runes'!A:B,2,FALSE)))+1),(((D25/100)*(C25*VLOOKUP(B25,'Poids des runes'!A:B,2,FALSE)))+1)/VLOOKUP(B25,'Poids des runes'!A:B,2,FALSE))</f>
        <v>1.0960000000000001</v>
      </c>
      <c r="F25">
        <f t="shared" si="0"/>
        <v>1.0960000000000001</v>
      </c>
    </row>
    <row r="26" spans="1:6" x14ac:dyDescent="0.3">
      <c r="A26" t="s">
        <v>21</v>
      </c>
      <c r="B26" t="s">
        <v>2132</v>
      </c>
      <c r="C26">
        <v>40.5</v>
      </c>
      <c r="D26">
        <v>6</v>
      </c>
      <c r="E26">
        <f>IF(OR(B26="vi",B26="ii",B26="pod"),(((D26/100)*(C26*VLOOKUP(B26,'Poids des runes'!A:B,2,FALSE)))+1),(((D26/100)*(C26*VLOOKUP(B26,'Poids des runes'!A:B,2,FALSE)))+1)/VLOOKUP(B26,'Poids des runes'!A:B,2,FALSE))</f>
        <v>1.2429999999999999</v>
      </c>
      <c r="F26">
        <f t="shared" si="0"/>
        <v>1.2429999999999999</v>
      </c>
    </row>
    <row r="27" spans="1:6" x14ac:dyDescent="0.3">
      <c r="A27" t="s">
        <v>22</v>
      </c>
      <c r="B27" t="s">
        <v>2128</v>
      </c>
      <c r="C27">
        <v>25.5</v>
      </c>
      <c r="D27">
        <v>6</v>
      </c>
      <c r="E27">
        <f>IF(OR(B27="vi",B27="ii",B27="pod"),(((D27/100)*(C27*VLOOKUP(B27,'Poids des runes'!A:B,2,FALSE)))+1),(((D27/100)*(C27*VLOOKUP(B27,'Poids des runes'!A:B,2,FALSE)))+1)/VLOOKUP(B27,'Poids des runes'!A:B,2,FALSE))</f>
        <v>1.306</v>
      </c>
      <c r="F27">
        <f t="shared" si="0"/>
        <v>1.306</v>
      </c>
    </row>
    <row r="28" spans="1:6" x14ac:dyDescent="0.3">
      <c r="A28" t="s">
        <v>22</v>
      </c>
      <c r="B28" t="s">
        <v>2130</v>
      </c>
      <c r="C28">
        <v>25.5</v>
      </c>
      <c r="D28">
        <v>6</v>
      </c>
      <c r="E28">
        <f>IF(OR(B28="vi",B28="ii",B28="pod"),(((D28/100)*(C28*VLOOKUP(B28,'Poids des runes'!A:B,2,FALSE)))+1),(((D28/100)*(C28*VLOOKUP(B28,'Poids des runes'!A:B,2,FALSE)))+1)/VLOOKUP(B28,'Poids des runes'!A:B,2,FALSE))</f>
        <v>2.5300000000000002</v>
      </c>
      <c r="F28">
        <f t="shared" si="0"/>
        <v>2.5300000000000002</v>
      </c>
    </row>
    <row r="29" spans="1:6" x14ac:dyDescent="0.3">
      <c r="A29" t="s">
        <v>22</v>
      </c>
      <c r="B29" t="s">
        <v>2126</v>
      </c>
      <c r="C29">
        <v>25.5</v>
      </c>
      <c r="D29">
        <v>6</v>
      </c>
      <c r="E29">
        <f>IF(OR(B29="vi",B29="ii",B29="pod"),(((D29/100)*(C29*VLOOKUP(B29,'Poids des runes'!A:B,2,FALSE)))+1),(((D29/100)*(C29*VLOOKUP(B29,'Poids des runes'!A:B,2,FALSE)))+1)/VLOOKUP(B29,'Poids des runes'!A:B,2,FALSE))</f>
        <v>2.5300000000000002</v>
      </c>
      <c r="F29">
        <f t="shared" si="0"/>
        <v>2.5300000000000002</v>
      </c>
    </row>
    <row r="30" spans="1:6" x14ac:dyDescent="0.3">
      <c r="A30" t="s">
        <v>22</v>
      </c>
      <c r="B30" t="s">
        <v>2131</v>
      </c>
      <c r="C30">
        <v>25.5</v>
      </c>
      <c r="D30">
        <v>6</v>
      </c>
      <c r="E30">
        <f>IF(OR(B30="vi",B30="ii",B30="pod"),(((D30/100)*(C30*VLOOKUP(B30,'Poids des runes'!A:B,2,FALSE)))+1),(((D30/100)*(C30*VLOOKUP(B30,'Poids des runes'!A:B,2,FALSE)))+1)/VLOOKUP(B30,'Poids des runes'!A:B,2,FALSE))</f>
        <v>2.5300000000000002</v>
      </c>
      <c r="F30">
        <f t="shared" si="0"/>
        <v>2.5300000000000002</v>
      </c>
    </row>
    <row r="31" spans="1:6" x14ac:dyDescent="0.3">
      <c r="A31" t="s">
        <v>22</v>
      </c>
      <c r="B31" t="s">
        <v>2127</v>
      </c>
      <c r="C31">
        <v>25.5</v>
      </c>
      <c r="D31">
        <v>6</v>
      </c>
      <c r="E31">
        <f>IF(OR(B31="vi",B31="ii",B31="pod"),(((D31/100)*(C31*VLOOKUP(B31,'Poids des runes'!A:B,2,FALSE)))+1),(((D31/100)*(C31*VLOOKUP(B31,'Poids des runes'!A:B,2,FALSE)))+1)/VLOOKUP(B31,'Poids des runes'!A:B,2,FALSE))</f>
        <v>2.5300000000000002</v>
      </c>
      <c r="F31">
        <f t="shared" si="0"/>
        <v>2.5300000000000002</v>
      </c>
    </row>
    <row r="32" spans="1:6" x14ac:dyDescent="0.3">
      <c r="A32" t="s">
        <v>22</v>
      </c>
      <c r="B32" t="s">
        <v>2129</v>
      </c>
      <c r="C32">
        <v>10.5</v>
      </c>
      <c r="D32">
        <v>6</v>
      </c>
      <c r="E32">
        <f>IF(OR(B32="vi",B32="ii",B32="pod"),(((D32/100)*(C32*VLOOKUP(B32,'Poids des runes'!A:B,2,FALSE)))+1),(((D32/100)*(C32*VLOOKUP(B32,'Poids des runes'!A:B,2,FALSE)))+1)/VLOOKUP(B32,'Poids des runes'!A:B,2,FALSE))</f>
        <v>1.63</v>
      </c>
      <c r="F32">
        <f t="shared" si="0"/>
        <v>1.63</v>
      </c>
    </row>
    <row r="33" spans="1:6" x14ac:dyDescent="0.3">
      <c r="A33" t="s">
        <v>23</v>
      </c>
      <c r="B33" t="s">
        <v>2130</v>
      </c>
      <c r="C33">
        <v>5</v>
      </c>
      <c r="D33">
        <v>6</v>
      </c>
      <c r="E33">
        <f>IF(OR(B33="vi",B33="ii",B33="pod"),(((D33/100)*(C33*VLOOKUP(B33,'Poids des runes'!A:B,2,FALSE)))+1),(((D33/100)*(C33*VLOOKUP(B33,'Poids des runes'!A:B,2,FALSE)))+1)/VLOOKUP(B33,'Poids des runes'!A:B,2,FALSE))</f>
        <v>1.3</v>
      </c>
      <c r="F33">
        <f t="shared" si="0"/>
        <v>1.3</v>
      </c>
    </row>
    <row r="34" spans="1:6" x14ac:dyDescent="0.3">
      <c r="A34" t="s">
        <v>24</v>
      </c>
      <c r="B34" t="s">
        <v>2128</v>
      </c>
      <c r="C34">
        <v>6.5</v>
      </c>
      <c r="D34">
        <v>7</v>
      </c>
      <c r="E34">
        <f>IF(OR(B34="vi",B34="ii",B34="pod"),(((D34/100)*(C34*VLOOKUP(B34,'Poids des runes'!A:B,2,FALSE)))+1),(((D34/100)*(C34*VLOOKUP(B34,'Poids des runes'!A:B,2,FALSE)))+1)/VLOOKUP(B34,'Poids des runes'!A:B,2,FALSE))</f>
        <v>1.091</v>
      </c>
      <c r="F34">
        <f t="shared" si="0"/>
        <v>1.091</v>
      </c>
    </row>
    <row r="35" spans="1:6" x14ac:dyDescent="0.3">
      <c r="A35" t="s">
        <v>24</v>
      </c>
      <c r="B35" t="s">
        <v>2131</v>
      </c>
      <c r="C35">
        <v>6.5</v>
      </c>
      <c r="D35">
        <v>7</v>
      </c>
      <c r="E35">
        <f>IF(OR(B35="vi",B35="ii",B35="pod"),(((D35/100)*(C35*VLOOKUP(B35,'Poids des runes'!A:B,2,FALSE)))+1),(((D35/100)*(C35*VLOOKUP(B35,'Poids des runes'!A:B,2,FALSE)))+1)/VLOOKUP(B35,'Poids des runes'!A:B,2,FALSE))</f>
        <v>1.4550000000000001</v>
      </c>
      <c r="F35">
        <f t="shared" si="0"/>
        <v>1.4550000000000001</v>
      </c>
    </row>
    <row r="36" spans="1:6" x14ac:dyDescent="0.3">
      <c r="A36" t="s">
        <v>25</v>
      </c>
      <c r="B36" t="s">
        <v>2130</v>
      </c>
      <c r="C36">
        <v>5</v>
      </c>
      <c r="D36">
        <v>7</v>
      </c>
      <c r="E36">
        <f>IF(OR(B36="vi",B36="ii",B36="pod"),(((D36/100)*(C36*VLOOKUP(B36,'Poids des runes'!A:B,2,FALSE)))+1),(((D36/100)*(C36*VLOOKUP(B36,'Poids des runes'!A:B,2,FALSE)))+1)/VLOOKUP(B36,'Poids des runes'!A:B,2,FALSE))</f>
        <v>1.35</v>
      </c>
      <c r="F36">
        <f t="shared" si="0"/>
        <v>1.35</v>
      </c>
    </row>
    <row r="37" spans="1:6" x14ac:dyDescent="0.3">
      <c r="A37" t="s">
        <v>25</v>
      </c>
      <c r="B37" t="s">
        <v>2126</v>
      </c>
      <c r="C37">
        <v>5</v>
      </c>
      <c r="D37">
        <v>7</v>
      </c>
      <c r="E37">
        <f>IF(OR(B37="vi",B37="ii",B37="pod"),(((D37/100)*(C37*VLOOKUP(B37,'Poids des runes'!A:B,2,FALSE)))+1),(((D37/100)*(C37*VLOOKUP(B37,'Poids des runes'!A:B,2,FALSE)))+1)/VLOOKUP(B37,'Poids des runes'!A:B,2,FALSE))</f>
        <v>1.35</v>
      </c>
      <c r="F37">
        <f t="shared" si="0"/>
        <v>1.35</v>
      </c>
    </row>
    <row r="38" spans="1:6" x14ac:dyDescent="0.3">
      <c r="A38" t="s">
        <v>25</v>
      </c>
      <c r="B38" t="s">
        <v>2131</v>
      </c>
      <c r="C38">
        <v>5</v>
      </c>
      <c r="D38">
        <v>7</v>
      </c>
      <c r="E38">
        <f>IF(OR(B38="vi",B38="ii",B38="pod"),(((D38/100)*(C38*VLOOKUP(B38,'Poids des runes'!A:B,2,FALSE)))+1),(((D38/100)*(C38*VLOOKUP(B38,'Poids des runes'!A:B,2,FALSE)))+1)/VLOOKUP(B38,'Poids des runes'!A:B,2,FALSE))</f>
        <v>1.35</v>
      </c>
      <c r="F38">
        <f t="shared" si="0"/>
        <v>1.35</v>
      </c>
    </row>
    <row r="39" spans="1:6" x14ac:dyDescent="0.3">
      <c r="A39" t="s">
        <v>25</v>
      </c>
      <c r="B39" t="s">
        <v>2127</v>
      </c>
      <c r="C39">
        <v>5</v>
      </c>
      <c r="D39">
        <v>7</v>
      </c>
      <c r="E39">
        <f>IF(OR(B39="vi",B39="ii",B39="pod"),(((D39/100)*(C39*VLOOKUP(B39,'Poids des runes'!A:B,2,FALSE)))+1),(((D39/100)*(C39*VLOOKUP(B39,'Poids des runes'!A:B,2,FALSE)))+1)/VLOOKUP(B39,'Poids des runes'!A:B,2,FALSE))</f>
        <v>1.35</v>
      </c>
      <c r="F39">
        <f t="shared" si="0"/>
        <v>1.35</v>
      </c>
    </row>
    <row r="40" spans="1:6" x14ac:dyDescent="0.3">
      <c r="A40" t="s">
        <v>26</v>
      </c>
      <c r="B40" t="s">
        <v>2130</v>
      </c>
      <c r="C40">
        <v>5</v>
      </c>
      <c r="D40">
        <v>7</v>
      </c>
      <c r="E40">
        <f>IF(OR(B40="vi",B40="ii",B40="pod"),(((D40/100)*(C40*VLOOKUP(B40,'Poids des runes'!A:B,2,FALSE)))+1),(((D40/100)*(C40*VLOOKUP(B40,'Poids des runes'!A:B,2,FALSE)))+1)/VLOOKUP(B40,'Poids des runes'!A:B,2,FALSE))</f>
        <v>1.35</v>
      </c>
      <c r="F40">
        <f t="shared" si="0"/>
        <v>1.35</v>
      </c>
    </row>
    <row r="41" spans="1:6" x14ac:dyDescent="0.3">
      <c r="A41" t="s">
        <v>26</v>
      </c>
      <c r="B41" t="s">
        <v>2126</v>
      </c>
      <c r="C41">
        <v>5</v>
      </c>
      <c r="D41">
        <v>7</v>
      </c>
      <c r="E41">
        <f>IF(OR(B41="vi",B41="ii",B41="pod"),(((D41/100)*(C41*VLOOKUP(B41,'Poids des runes'!A:B,2,FALSE)))+1),(((D41/100)*(C41*VLOOKUP(B41,'Poids des runes'!A:B,2,FALSE)))+1)/VLOOKUP(B41,'Poids des runes'!A:B,2,FALSE))</f>
        <v>1.35</v>
      </c>
      <c r="F41">
        <f t="shared" si="0"/>
        <v>1.35</v>
      </c>
    </row>
    <row r="42" spans="1:6" x14ac:dyDescent="0.3">
      <c r="A42" t="s">
        <v>26</v>
      </c>
      <c r="B42" t="s">
        <v>2131</v>
      </c>
      <c r="C42">
        <v>5</v>
      </c>
      <c r="D42">
        <v>7</v>
      </c>
      <c r="E42">
        <f>IF(OR(B42="vi",B42="ii",B42="pod"),(((D42/100)*(C42*VLOOKUP(B42,'Poids des runes'!A:B,2,FALSE)))+1),(((D42/100)*(C42*VLOOKUP(B42,'Poids des runes'!A:B,2,FALSE)))+1)/VLOOKUP(B42,'Poids des runes'!A:B,2,FALSE))</f>
        <v>1.35</v>
      </c>
      <c r="F42">
        <f t="shared" si="0"/>
        <v>1.35</v>
      </c>
    </row>
    <row r="43" spans="1:6" x14ac:dyDescent="0.3">
      <c r="A43" t="s">
        <v>26</v>
      </c>
      <c r="B43" t="s">
        <v>2127</v>
      </c>
      <c r="C43">
        <v>5</v>
      </c>
      <c r="D43">
        <v>7</v>
      </c>
      <c r="E43">
        <f>IF(OR(B43="vi",B43="ii",B43="pod"),(((D43/100)*(C43*VLOOKUP(B43,'Poids des runes'!A:B,2,FALSE)))+1),(((D43/100)*(C43*VLOOKUP(B43,'Poids des runes'!A:B,2,FALSE)))+1)/VLOOKUP(B43,'Poids des runes'!A:B,2,FALSE))</f>
        <v>1.35</v>
      </c>
      <c r="F43">
        <f t="shared" si="0"/>
        <v>1.35</v>
      </c>
    </row>
    <row r="44" spans="1:6" x14ac:dyDescent="0.3">
      <c r="A44" t="s">
        <v>27</v>
      </c>
      <c r="B44" t="s">
        <v>2128</v>
      </c>
      <c r="C44">
        <v>6.5</v>
      </c>
      <c r="D44">
        <v>8</v>
      </c>
      <c r="E44">
        <f>IF(OR(B44="vi",B44="ii",B44="pod"),(((D44/100)*(C44*VLOOKUP(B44,'Poids des runes'!A:B,2,FALSE)))+1),(((D44/100)*(C44*VLOOKUP(B44,'Poids des runes'!A:B,2,FALSE)))+1)/VLOOKUP(B44,'Poids des runes'!A:B,2,FALSE))</f>
        <v>1.1040000000000001</v>
      </c>
      <c r="F44">
        <f t="shared" si="0"/>
        <v>1.1040000000000001</v>
      </c>
    </row>
    <row r="45" spans="1:6" x14ac:dyDescent="0.3">
      <c r="A45" t="s">
        <v>27</v>
      </c>
      <c r="B45" t="s">
        <v>2130</v>
      </c>
      <c r="C45">
        <v>6.5</v>
      </c>
      <c r="D45">
        <v>8</v>
      </c>
      <c r="E45">
        <f>IF(OR(B45="vi",B45="ii",B45="pod"),(((D45/100)*(C45*VLOOKUP(B45,'Poids des runes'!A:B,2,FALSE)))+1),(((D45/100)*(C45*VLOOKUP(B45,'Poids des runes'!A:B,2,FALSE)))+1)/VLOOKUP(B45,'Poids des runes'!A:B,2,FALSE))</f>
        <v>1.52</v>
      </c>
      <c r="F45">
        <f t="shared" si="0"/>
        <v>1.52</v>
      </c>
    </row>
    <row r="46" spans="1:6" x14ac:dyDescent="0.3">
      <c r="A46" t="s">
        <v>28</v>
      </c>
      <c r="B46" t="s">
        <v>2128</v>
      </c>
      <c r="C46">
        <v>6.5</v>
      </c>
      <c r="D46">
        <v>8</v>
      </c>
      <c r="E46">
        <f>IF(OR(B46="vi",B46="ii",B46="pod"),(((D46/100)*(C46*VLOOKUP(B46,'Poids des runes'!A:B,2,FALSE)))+1),(((D46/100)*(C46*VLOOKUP(B46,'Poids des runes'!A:B,2,FALSE)))+1)/VLOOKUP(B46,'Poids des runes'!A:B,2,FALSE))</f>
        <v>1.1040000000000001</v>
      </c>
      <c r="F46">
        <f t="shared" si="0"/>
        <v>1.1040000000000001</v>
      </c>
    </row>
    <row r="47" spans="1:6" x14ac:dyDescent="0.3">
      <c r="A47" t="s">
        <v>28</v>
      </c>
      <c r="B47" t="s">
        <v>2127</v>
      </c>
      <c r="C47">
        <v>6.5</v>
      </c>
      <c r="D47">
        <v>8</v>
      </c>
      <c r="E47">
        <f>IF(OR(B47="vi",B47="ii",B47="pod"),(((D47/100)*(C47*VLOOKUP(B47,'Poids des runes'!A:B,2,FALSE)))+1),(((D47/100)*(C47*VLOOKUP(B47,'Poids des runes'!A:B,2,FALSE)))+1)/VLOOKUP(B47,'Poids des runes'!A:B,2,FALSE))</f>
        <v>1.52</v>
      </c>
      <c r="F47">
        <f t="shared" si="0"/>
        <v>1.52</v>
      </c>
    </row>
    <row r="48" spans="1:6" x14ac:dyDescent="0.3">
      <c r="A48" t="s">
        <v>29</v>
      </c>
      <c r="B48" t="s">
        <v>2131</v>
      </c>
      <c r="C48">
        <v>6</v>
      </c>
      <c r="D48">
        <v>8</v>
      </c>
      <c r="E48">
        <f>IF(OR(B48="vi",B48="ii",B48="pod"),(((D48/100)*(C48*VLOOKUP(B48,'Poids des runes'!A:B,2,FALSE)))+1),(((D48/100)*(C48*VLOOKUP(B48,'Poids des runes'!A:B,2,FALSE)))+1)/VLOOKUP(B48,'Poids des runes'!A:B,2,FALSE))</f>
        <v>1.48</v>
      </c>
      <c r="F48">
        <f t="shared" si="0"/>
        <v>1.48</v>
      </c>
    </row>
    <row r="49" spans="1:6" x14ac:dyDescent="0.3">
      <c r="A49" t="s">
        <v>29</v>
      </c>
      <c r="B49" t="s">
        <v>2133</v>
      </c>
      <c r="C49">
        <v>1</v>
      </c>
      <c r="D49">
        <v>8</v>
      </c>
      <c r="E49">
        <f>IF(OR(B49="vi",B49="ii",B49="pod"),(((D49/100)*(C49*VLOOKUP(B49,'Poids des runes'!A:B,2,FALSE)))+1),(((D49/100)*(C49*VLOOKUP(B49,'Poids des runes'!A:B,2,FALSE)))+1)/VLOOKUP(B49,'Poids des runes'!A:B,2,FALSE))</f>
        <v>0.27999999999999997</v>
      </c>
      <c r="F49">
        <f t="shared" si="0"/>
        <v>0.27999999999999997</v>
      </c>
    </row>
    <row r="50" spans="1:6" x14ac:dyDescent="0.3">
      <c r="A50" t="s">
        <v>30</v>
      </c>
      <c r="B50" t="s">
        <v>2128</v>
      </c>
      <c r="C50">
        <v>5</v>
      </c>
      <c r="D50">
        <v>8</v>
      </c>
      <c r="E50">
        <f>IF(OR(B50="vi",B50="ii",B50="pod"),(((D50/100)*(C50*VLOOKUP(B50,'Poids des runes'!A:B,2,FALSE)))+1),(((D50/100)*(C50*VLOOKUP(B50,'Poids des runes'!A:B,2,FALSE)))+1)/VLOOKUP(B50,'Poids des runes'!A:B,2,FALSE))</f>
        <v>1.08</v>
      </c>
      <c r="F50">
        <f t="shared" si="0"/>
        <v>1.08</v>
      </c>
    </row>
    <row r="51" spans="1:6" x14ac:dyDescent="0.3">
      <c r="A51" t="s">
        <v>30</v>
      </c>
      <c r="B51" t="s">
        <v>2134</v>
      </c>
      <c r="C51">
        <v>1.5</v>
      </c>
      <c r="D51">
        <v>8</v>
      </c>
      <c r="E51">
        <f>IF(OR(B51="vi",B51="ii",B51="pod"),(((D51/100)*(C51*VLOOKUP(B51,'Poids des runes'!A:B,2,FALSE)))+1),(((D51/100)*(C51*VLOOKUP(B51,'Poids des runes'!A:B,2,FALSE)))+1)/VLOOKUP(B51,'Poids des runes'!A:B,2,FALSE))</f>
        <v>0.16999999999999998</v>
      </c>
      <c r="F51">
        <f t="shared" si="0"/>
        <v>0.16999999999999998</v>
      </c>
    </row>
    <row r="52" spans="1:6" x14ac:dyDescent="0.3">
      <c r="A52" t="s">
        <v>31</v>
      </c>
      <c r="B52" t="s">
        <v>2126</v>
      </c>
      <c r="C52">
        <v>8</v>
      </c>
      <c r="D52">
        <v>8</v>
      </c>
      <c r="E52">
        <f>IF(OR(B52="vi",B52="ii",B52="pod"),(((D52/100)*(C52*VLOOKUP(B52,'Poids des runes'!A:B,2,FALSE)))+1),(((D52/100)*(C52*VLOOKUP(B52,'Poids des runes'!A:B,2,FALSE)))+1)/VLOOKUP(B52,'Poids des runes'!A:B,2,FALSE))</f>
        <v>1.6400000000000001</v>
      </c>
      <c r="F52">
        <f t="shared" si="0"/>
        <v>1.6400000000000001</v>
      </c>
    </row>
    <row r="53" spans="1:6" x14ac:dyDescent="0.3">
      <c r="A53" t="s">
        <v>32</v>
      </c>
      <c r="B53" t="s">
        <v>2131</v>
      </c>
      <c r="C53">
        <v>8</v>
      </c>
      <c r="D53">
        <v>8</v>
      </c>
      <c r="E53">
        <f>IF(OR(B53="vi",B53="ii",B53="pod"),(((D53/100)*(C53*VLOOKUP(B53,'Poids des runes'!A:B,2,FALSE)))+1),(((D53/100)*(C53*VLOOKUP(B53,'Poids des runes'!A:B,2,FALSE)))+1)/VLOOKUP(B53,'Poids des runes'!A:B,2,FALSE))</f>
        <v>1.6400000000000001</v>
      </c>
      <c r="F53">
        <f t="shared" si="0"/>
        <v>1.6400000000000001</v>
      </c>
    </row>
    <row r="54" spans="1:6" x14ac:dyDescent="0.3">
      <c r="A54" t="s">
        <v>33</v>
      </c>
      <c r="B54" t="s">
        <v>2127</v>
      </c>
      <c r="C54">
        <v>8</v>
      </c>
      <c r="D54">
        <v>8</v>
      </c>
      <c r="E54">
        <f>IF(OR(B54="vi",B54="ii",B54="pod"),(((D54/100)*(C54*VLOOKUP(B54,'Poids des runes'!A:B,2,FALSE)))+1),(((D54/100)*(C54*VLOOKUP(B54,'Poids des runes'!A:B,2,FALSE)))+1)/VLOOKUP(B54,'Poids des runes'!A:B,2,FALSE))</f>
        <v>1.6400000000000001</v>
      </c>
      <c r="F54">
        <f t="shared" si="0"/>
        <v>1.6400000000000001</v>
      </c>
    </row>
    <row r="55" spans="1:6" x14ac:dyDescent="0.3">
      <c r="A55" t="s">
        <v>34</v>
      </c>
      <c r="B55" t="s">
        <v>2130</v>
      </c>
      <c r="C55">
        <v>5</v>
      </c>
      <c r="D55">
        <v>8</v>
      </c>
      <c r="E55">
        <f>IF(OR(B55="vi",B55="ii",B55="pod"),(((D55/100)*(C55*VLOOKUP(B55,'Poids des runes'!A:B,2,FALSE)))+1),(((D55/100)*(C55*VLOOKUP(B55,'Poids des runes'!A:B,2,FALSE)))+1)/VLOOKUP(B55,'Poids des runes'!A:B,2,FALSE))</f>
        <v>1.4</v>
      </c>
      <c r="F55">
        <f t="shared" si="0"/>
        <v>1.4</v>
      </c>
    </row>
    <row r="56" spans="1:6" x14ac:dyDescent="0.3">
      <c r="A56" t="s">
        <v>34</v>
      </c>
      <c r="B56" t="s">
        <v>2126</v>
      </c>
      <c r="C56">
        <v>5</v>
      </c>
      <c r="D56">
        <v>8</v>
      </c>
      <c r="E56">
        <f>IF(OR(B56="vi",B56="ii",B56="pod"),(((D56/100)*(C56*VLOOKUP(B56,'Poids des runes'!A:B,2,FALSE)))+1),(((D56/100)*(C56*VLOOKUP(B56,'Poids des runes'!A:B,2,FALSE)))+1)/VLOOKUP(B56,'Poids des runes'!A:B,2,FALSE))</f>
        <v>1.4</v>
      </c>
      <c r="F56">
        <f t="shared" si="0"/>
        <v>1.4</v>
      </c>
    </row>
    <row r="57" spans="1:6" x14ac:dyDescent="0.3">
      <c r="A57" t="s">
        <v>34</v>
      </c>
      <c r="B57" t="s">
        <v>2131</v>
      </c>
      <c r="C57">
        <v>5</v>
      </c>
      <c r="D57">
        <v>8</v>
      </c>
      <c r="E57">
        <f>IF(OR(B57="vi",B57="ii",B57="pod"),(((D57/100)*(C57*VLOOKUP(B57,'Poids des runes'!A:B,2,FALSE)))+1),(((D57/100)*(C57*VLOOKUP(B57,'Poids des runes'!A:B,2,FALSE)))+1)/VLOOKUP(B57,'Poids des runes'!A:B,2,FALSE))</f>
        <v>1.4</v>
      </c>
      <c r="F57">
        <f t="shared" si="0"/>
        <v>1.4</v>
      </c>
    </row>
    <row r="58" spans="1:6" x14ac:dyDescent="0.3">
      <c r="A58" t="s">
        <v>34</v>
      </c>
      <c r="B58" t="s">
        <v>2127</v>
      </c>
      <c r="C58">
        <v>5</v>
      </c>
      <c r="D58">
        <v>8</v>
      </c>
      <c r="E58">
        <f>IF(OR(B58="vi",B58="ii",B58="pod"),(((D58/100)*(C58*VLOOKUP(B58,'Poids des runes'!A:B,2,FALSE)))+1),(((D58/100)*(C58*VLOOKUP(B58,'Poids des runes'!A:B,2,FALSE)))+1)/VLOOKUP(B58,'Poids des runes'!A:B,2,FALSE))</f>
        <v>1.4</v>
      </c>
      <c r="F58">
        <f t="shared" si="0"/>
        <v>1.4</v>
      </c>
    </row>
    <row r="59" spans="1:6" x14ac:dyDescent="0.3">
      <c r="A59" t="s">
        <v>35</v>
      </c>
      <c r="B59" t="s">
        <v>2130</v>
      </c>
      <c r="C59">
        <v>5</v>
      </c>
      <c r="D59">
        <v>8</v>
      </c>
      <c r="E59">
        <f>IF(OR(B59="vi",B59="ii",B59="pod"),(((D59/100)*(C59*VLOOKUP(B59,'Poids des runes'!A:B,2,FALSE)))+1),(((D59/100)*(C59*VLOOKUP(B59,'Poids des runes'!A:B,2,FALSE)))+1)/VLOOKUP(B59,'Poids des runes'!A:B,2,FALSE))</f>
        <v>1.4</v>
      </c>
      <c r="F59">
        <f t="shared" si="0"/>
        <v>1.4</v>
      </c>
    </row>
    <row r="60" spans="1:6" x14ac:dyDescent="0.3">
      <c r="A60" t="s">
        <v>35</v>
      </c>
      <c r="B60" t="s">
        <v>2126</v>
      </c>
      <c r="C60">
        <v>5</v>
      </c>
      <c r="D60">
        <v>8</v>
      </c>
      <c r="E60">
        <f>IF(OR(B60="vi",B60="ii",B60="pod"),(((D60/100)*(C60*VLOOKUP(B60,'Poids des runes'!A:B,2,FALSE)))+1),(((D60/100)*(C60*VLOOKUP(B60,'Poids des runes'!A:B,2,FALSE)))+1)/VLOOKUP(B60,'Poids des runes'!A:B,2,FALSE))</f>
        <v>1.4</v>
      </c>
      <c r="F60">
        <f t="shared" si="0"/>
        <v>1.4</v>
      </c>
    </row>
    <row r="61" spans="1:6" x14ac:dyDescent="0.3">
      <c r="A61" t="s">
        <v>35</v>
      </c>
      <c r="B61" t="s">
        <v>2131</v>
      </c>
      <c r="C61">
        <v>5</v>
      </c>
      <c r="D61">
        <v>8</v>
      </c>
      <c r="E61">
        <f>IF(OR(B61="vi",B61="ii",B61="pod"),(((D61/100)*(C61*VLOOKUP(B61,'Poids des runes'!A:B,2,FALSE)))+1),(((D61/100)*(C61*VLOOKUP(B61,'Poids des runes'!A:B,2,FALSE)))+1)/VLOOKUP(B61,'Poids des runes'!A:B,2,FALSE))</f>
        <v>1.4</v>
      </c>
      <c r="F61">
        <f t="shared" si="0"/>
        <v>1.4</v>
      </c>
    </row>
    <row r="62" spans="1:6" x14ac:dyDescent="0.3">
      <c r="A62" t="s">
        <v>35</v>
      </c>
      <c r="B62" t="s">
        <v>2127</v>
      </c>
      <c r="C62">
        <v>5</v>
      </c>
      <c r="D62">
        <v>8</v>
      </c>
      <c r="E62">
        <f>IF(OR(B62="vi",B62="ii",B62="pod"),(((D62/100)*(C62*VLOOKUP(B62,'Poids des runes'!A:B,2,FALSE)))+1),(((D62/100)*(C62*VLOOKUP(B62,'Poids des runes'!A:B,2,FALSE)))+1)/VLOOKUP(B62,'Poids des runes'!A:B,2,FALSE))</f>
        <v>1.4</v>
      </c>
      <c r="F62">
        <f t="shared" si="0"/>
        <v>1.4</v>
      </c>
    </row>
    <row r="63" spans="1:6" x14ac:dyDescent="0.3">
      <c r="A63" t="s">
        <v>36</v>
      </c>
      <c r="B63" t="s">
        <v>2130</v>
      </c>
      <c r="C63">
        <v>5</v>
      </c>
      <c r="D63">
        <v>8</v>
      </c>
      <c r="E63">
        <f>IF(OR(B63="vi",B63="ii",B63="pod"),(((D63/100)*(C63*VLOOKUP(B63,'Poids des runes'!A:B,2,FALSE)))+1),(((D63/100)*(C63*VLOOKUP(B63,'Poids des runes'!A:B,2,FALSE)))+1)/VLOOKUP(B63,'Poids des runes'!A:B,2,FALSE))</f>
        <v>1.4</v>
      </c>
      <c r="F63">
        <f t="shared" si="0"/>
        <v>1.4</v>
      </c>
    </row>
    <row r="64" spans="1:6" x14ac:dyDescent="0.3">
      <c r="A64" t="s">
        <v>36</v>
      </c>
      <c r="B64" t="s">
        <v>2126</v>
      </c>
      <c r="C64">
        <v>5</v>
      </c>
      <c r="D64">
        <v>8</v>
      </c>
      <c r="E64">
        <f>IF(OR(B64="vi",B64="ii",B64="pod"),(((D64/100)*(C64*VLOOKUP(B64,'Poids des runes'!A:B,2,FALSE)))+1),(((D64/100)*(C64*VLOOKUP(B64,'Poids des runes'!A:B,2,FALSE)))+1)/VLOOKUP(B64,'Poids des runes'!A:B,2,FALSE))</f>
        <v>1.4</v>
      </c>
      <c r="F64">
        <f t="shared" si="0"/>
        <v>1.4</v>
      </c>
    </row>
    <row r="65" spans="1:6" x14ac:dyDescent="0.3">
      <c r="A65" t="s">
        <v>36</v>
      </c>
      <c r="B65" t="s">
        <v>2131</v>
      </c>
      <c r="C65">
        <v>5</v>
      </c>
      <c r="D65">
        <v>8</v>
      </c>
      <c r="E65">
        <f>IF(OR(B65="vi",B65="ii",B65="pod"),(((D65/100)*(C65*VLOOKUP(B65,'Poids des runes'!A:B,2,FALSE)))+1),(((D65/100)*(C65*VLOOKUP(B65,'Poids des runes'!A:B,2,FALSE)))+1)/VLOOKUP(B65,'Poids des runes'!A:B,2,FALSE))</f>
        <v>1.4</v>
      </c>
      <c r="F65">
        <f t="shared" si="0"/>
        <v>1.4</v>
      </c>
    </row>
    <row r="66" spans="1:6" x14ac:dyDescent="0.3">
      <c r="A66" t="s">
        <v>36</v>
      </c>
      <c r="B66" t="s">
        <v>2127</v>
      </c>
      <c r="C66">
        <v>5</v>
      </c>
      <c r="D66">
        <v>8</v>
      </c>
      <c r="E66">
        <f>IF(OR(B66="vi",B66="ii",B66="pod"),(((D66/100)*(C66*VLOOKUP(B66,'Poids des runes'!A:B,2,FALSE)))+1),(((D66/100)*(C66*VLOOKUP(B66,'Poids des runes'!A:B,2,FALSE)))+1)/VLOOKUP(B66,'Poids des runes'!A:B,2,FALSE))</f>
        <v>1.4</v>
      </c>
      <c r="F66">
        <f t="shared" si="0"/>
        <v>1.4</v>
      </c>
    </row>
    <row r="67" spans="1:6" x14ac:dyDescent="0.3">
      <c r="A67" t="s">
        <v>37</v>
      </c>
      <c r="B67" t="s">
        <v>2128</v>
      </c>
      <c r="C67">
        <v>8</v>
      </c>
      <c r="D67">
        <v>8</v>
      </c>
      <c r="E67">
        <f>IF(OR(B67="vi",B67="ii",B67="pod"),(((D67/100)*(C67*VLOOKUP(B67,'Poids des runes'!A:B,2,FALSE)))+1),(((D67/100)*(C67*VLOOKUP(B67,'Poids des runes'!A:B,2,FALSE)))+1)/VLOOKUP(B67,'Poids des runes'!A:B,2,FALSE))</f>
        <v>1.1280000000000001</v>
      </c>
      <c r="F67">
        <f t="shared" ref="F67:F130" si="1">E67</f>
        <v>1.1280000000000001</v>
      </c>
    </row>
    <row r="68" spans="1:6" x14ac:dyDescent="0.3">
      <c r="A68" t="s">
        <v>37</v>
      </c>
      <c r="B68" t="s">
        <v>2129</v>
      </c>
      <c r="C68">
        <v>4</v>
      </c>
      <c r="D68">
        <v>8</v>
      </c>
      <c r="E68">
        <f>IF(OR(B68="vi",B68="ii",B68="pod"),(((D68/100)*(C68*VLOOKUP(B68,'Poids des runes'!A:B,2,FALSE)))+1),(((D68/100)*(C68*VLOOKUP(B68,'Poids des runes'!A:B,2,FALSE)))+1)/VLOOKUP(B68,'Poids des runes'!A:B,2,FALSE))</f>
        <v>1.32</v>
      </c>
      <c r="F68">
        <f t="shared" si="1"/>
        <v>1.32</v>
      </c>
    </row>
    <row r="69" spans="1:6" x14ac:dyDescent="0.3">
      <c r="A69" t="s">
        <v>38</v>
      </c>
      <c r="B69" t="s">
        <v>2128</v>
      </c>
      <c r="C69">
        <v>8</v>
      </c>
      <c r="D69">
        <v>9</v>
      </c>
      <c r="E69">
        <f>IF(OR(B69="vi",B69="ii",B69="pod"),(((D69/100)*(C69*VLOOKUP(B69,'Poids des runes'!A:B,2,FALSE)))+1),(((D69/100)*(C69*VLOOKUP(B69,'Poids des runes'!A:B,2,FALSE)))+1)/VLOOKUP(B69,'Poids des runes'!A:B,2,FALSE))</f>
        <v>1.1439999999999999</v>
      </c>
      <c r="F69">
        <f t="shared" si="1"/>
        <v>1.1439999999999999</v>
      </c>
    </row>
    <row r="70" spans="1:6" x14ac:dyDescent="0.3">
      <c r="A70" t="s">
        <v>38</v>
      </c>
      <c r="B70" t="s">
        <v>2130</v>
      </c>
      <c r="C70">
        <v>8</v>
      </c>
      <c r="D70">
        <v>9</v>
      </c>
      <c r="E70">
        <f>IF(OR(B70="vi",B70="ii",B70="pod"),(((D70/100)*(C70*VLOOKUP(B70,'Poids des runes'!A:B,2,FALSE)))+1),(((D70/100)*(C70*VLOOKUP(B70,'Poids des runes'!A:B,2,FALSE)))+1)/VLOOKUP(B70,'Poids des runes'!A:B,2,FALSE))</f>
        <v>1.72</v>
      </c>
      <c r="F70">
        <f t="shared" si="1"/>
        <v>1.72</v>
      </c>
    </row>
    <row r="71" spans="1:6" x14ac:dyDescent="0.3">
      <c r="A71" t="s">
        <v>39</v>
      </c>
      <c r="B71" t="s">
        <v>2131</v>
      </c>
      <c r="C71">
        <v>8</v>
      </c>
      <c r="D71">
        <v>9</v>
      </c>
      <c r="E71">
        <f>IF(OR(B71="vi",B71="ii",B71="pod"),(((D71/100)*(C71*VLOOKUP(B71,'Poids des runes'!A:B,2,FALSE)))+1),(((D71/100)*(C71*VLOOKUP(B71,'Poids des runes'!A:B,2,FALSE)))+1)/VLOOKUP(B71,'Poids des runes'!A:B,2,FALSE))</f>
        <v>1.72</v>
      </c>
      <c r="F71">
        <f t="shared" si="1"/>
        <v>1.72</v>
      </c>
    </row>
    <row r="72" spans="1:6" x14ac:dyDescent="0.3">
      <c r="A72" t="s">
        <v>39</v>
      </c>
      <c r="B72" t="s">
        <v>2129</v>
      </c>
      <c r="C72">
        <v>3.5</v>
      </c>
      <c r="D72">
        <v>9</v>
      </c>
      <c r="E72">
        <f>IF(OR(B72="vi",B72="ii",B72="pod"),(((D72/100)*(C72*VLOOKUP(B72,'Poids des runes'!A:B,2,FALSE)))+1),(((D72/100)*(C72*VLOOKUP(B72,'Poids des runes'!A:B,2,FALSE)))+1)/VLOOKUP(B72,'Poids des runes'!A:B,2,FALSE))</f>
        <v>1.3149999999999999</v>
      </c>
      <c r="F72">
        <f t="shared" si="1"/>
        <v>1.3149999999999999</v>
      </c>
    </row>
    <row r="73" spans="1:6" x14ac:dyDescent="0.3">
      <c r="A73" t="s">
        <v>40</v>
      </c>
      <c r="B73" t="s">
        <v>2128</v>
      </c>
      <c r="C73">
        <v>8</v>
      </c>
      <c r="D73">
        <v>9</v>
      </c>
      <c r="E73">
        <f>IF(OR(B73="vi",B73="ii",B73="pod"),(((D73/100)*(C73*VLOOKUP(B73,'Poids des runes'!A:B,2,FALSE)))+1),(((D73/100)*(C73*VLOOKUP(B73,'Poids des runes'!A:B,2,FALSE)))+1)/VLOOKUP(B73,'Poids des runes'!A:B,2,FALSE))</f>
        <v>1.1439999999999999</v>
      </c>
      <c r="F73">
        <f t="shared" si="1"/>
        <v>1.1439999999999999</v>
      </c>
    </row>
    <row r="74" spans="1:6" x14ac:dyDescent="0.3">
      <c r="A74" t="s">
        <v>40</v>
      </c>
      <c r="B74" t="s">
        <v>2131</v>
      </c>
      <c r="C74">
        <v>8</v>
      </c>
      <c r="D74">
        <v>9</v>
      </c>
      <c r="E74">
        <f>IF(OR(B74="vi",B74="ii",B74="pod"),(((D74/100)*(C74*VLOOKUP(B74,'Poids des runes'!A:B,2,FALSE)))+1),(((D74/100)*(C74*VLOOKUP(B74,'Poids des runes'!A:B,2,FALSE)))+1)/VLOOKUP(B74,'Poids des runes'!A:B,2,FALSE))</f>
        <v>1.72</v>
      </c>
      <c r="F74">
        <f t="shared" si="1"/>
        <v>1.72</v>
      </c>
    </row>
    <row r="75" spans="1:6" x14ac:dyDescent="0.3">
      <c r="A75" t="s">
        <v>41</v>
      </c>
      <c r="B75" t="s">
        <v>2130</v>
      </c>
      <c r="C75">
        <v>5</v>
      </c>
      <c r="D75">
        <v>9</v>
      </c>
      <c r="E75">
        <f>IF(OR(B75="vi",B75="ii",B75="pod"),(((D75/100)*(C75*VLOOKUP(B75,'Poids des runes'!A:B,2,FALSE)))+1),(((D75/100)*(C75*VLOOKUP(B75,'Poids des runes'!A:B,2,FALSE)))+1)/VLOOKUP(B75,'Poids des runes'!A:B,2,FALSE))</f>
        <v>1.45</v>
      </c>
      <c r="F75">
        <f t="shared" si="1"/>
        <v>1.45</v>
      </c>
    </row>
    <row r="76" spans="1:6" x14ac:dyDescent="0.3">
      <c r="A76" t="s">
        <v>41</v>
      </c>
      <c r="B76" t="s">
        <v>2126</v>
      </c>
      <c r="C76">
        <v>5</v>
      </c>
      <c r="D76">
        <v>9</v>
      </c>
      <c r="E76">
        <f>IF(OR(B76="vi",B76="ii",B76="pod"),(((D76/100)*(C76*VLOOKUP(B76,'Poids des runes'!A:B,2,FALSE)))+1),(((D76/100)*(C76*VLOOKUP(B76,'Poids des runes'!A:B,2,FALSE)))+1)/VLOOKUP(B76,'Poids des runes'!A:B,2,FALSE))</f>
        <v>1.45</v>
      </c>
      <c r="F76">
        <f t="shared" si="1"/>
        <v>1.45</v>
      </c>
    </row>
    <row r="77" spans="1:6" x14ac:dyDescent="0.3">
      <c r="A77" t="s">
        <v>41</v>
      </c>
      <c r="B77" t="s">
        <v>2131</v>
      </c>
      <c r="C77">
        <v>5</v>
      </c>
      <c r="D77">
        <v>9</v>
      </c>
      <c r="E77">
        <f>IF(OR(B77="vi",B77="ii",B77="pod"),(((D77/100)*(C77*VLOOKUP(B77,'Poids des runes'!A:B,2,FALSE)))+1),(((D77/100)*(C77*VLOOKUP(B77,'Poids des runes'!A:B,2,FALSE)))+1)/VLOOKUP(B77,'Poids des runes'!A:B,2,FALSE))</f>
        <v>1.45</v>
      </c>
      <c r="F77">
        <f t="shared" si="1"/>
        <v>1.45</v>
      </c>
    </row>
    <row r="78" spans="1:6" x14ac:dyDescent="0.3">
      <c r="A78" t="s">
        <v>41</v>
      </c>
      <c r="B78" t="s">
        <v>2127</v>
      </c>
      <c r="C78">
        <v>5</v>
      </c>
      <c r="D78">
        <v>9</v>
      </c>
      <c r="E78">
        <f>IF(OR(B78="vi",B78="ii",B78="pod"),(((D78/100)*(C78*VLOOKUP(B78,'Poids des runes'!A:B,2,FALSE)))+1),(((D78/100)*(C78*VLOOKUP(B78,'Poids des runes'!A:B,2,FALSE)))+1)/VLOOKUP(B78,'Poids des runes'!A:B,2,FALSE))</f>
        <v>1.45</v>
      </c>
      <c r="F78">
        <f t="shared" si="1"/>
        <v>1.45</v>
      </c>
    </row>
    <row r="79" spans="1:6" x14ac:dyDescent="0.3">
      <c r="A79" t="s">
        <v>42</v>
      </c>
      <c r="B79" t="s">
        <v>2131</v>
      </c>
      <c r="C79">
        <v>8.5</v>
      </c>
      <c r="D79">
        <v>10</v>
      </c>
      <c r="E79">
        <f>IF(OR(B79="vi",B79="ii",B79="pod"),(((D79/100)*(C79*VLOOKUP(B79,'Poids des runes'!A:B,2,FALSE)))+1),(((D79/100)*(C79*VLOOKUP(B79,'Poids des runes'!A:B,2,FALSE)))+1)/VLOOKUP(B79,'Poids des runes'!A:B,2,FALSE))</f>
        <v>1.85</v>
      </c>
      <c r="F79">
        <f t="shared" si="1"/>
        <v>1.85</v>
      </c>
    </row>
    <row r="80" spans="1:6" x14ac:dyDescent="0.3">
      <c r="A80" t="s">
        <v>42</v>
      </c>
      <c r="B80" t="s">
        <v>2132</v>
      </c>
      <c r="C80">
        <v>30.5</v>
      </c>
      <c r="D80">
        <v>10</v>
      </c>
      <c r="E80">
        <f>IF(OR(B80="vi",B80="ii",B80="pod"),(((D80/100)*(C80*VLOOKUP(B80,'Poids des runes'!A:B,2,FALSE)))+1),(((D80/100)*(C80*VLOOKUP(B80,'Poids des runes'!A:B,2,FALSE)))+1)/VLOOKUP(B80,'Poids des runes'!A:B,2,FALSE))</f>
        <v>1.3050000000000002</v>
      </c>
      <c r="F80">
        <f t="shared" si="1"/>
        <v>1.3050000000000002</v>
      </c>
    </row>
    <row r="81" spans="1:6" x14ac:dyDescent="0.3">
      <c r="A81" t="s">
        <v>43</v>
      </c>
      <c r="B81" t="s">
        <v>2127</v>
      </c>
      <c r="C81">
        <v>8.5</v>
      </c>
      <c r="D81">
        <v>10</v>
      </c>
      <c r="E81">
        <f>IF(OR(B81="vi",B81="ii",B81="pod"),(((D81/100)*(C81*VLOOKUP(B81,'Poids des runes'!A:B,2,FALSE)))+1),(((D81/100)*(C81*VLOOKUP(B81,'Poids des runes'!A:B,2,FALSE)))+1)/VLOOKUP(B81,'Poids des runes'!A:B,2,FALSE))</f>
        <v>1.85</v>
      </c>
      <c r="F81">
        <f t="shared" si="1"/>
        <v>1.85</v>
      </c>
    </row>
    <row r="82" spans="1:6" x14ac:dyDescent="0.3">
      <c r="A82" t="s">
        <v>43</v>
      </c>
      <c r="B82" t="s">
        <v>2132</v>
      </c>
      <c r="C82">
        <v>30.5</v>
      </c>
      <c r="D82">
        <v>10</v>
      </c>
      <c r="E82">
        <f>IF(OR(B82="vi",B82="ii",B82="pod"),(((D82/100)*(C82*VLOOKUP(B82,'Poids des runes'!A:B,2,FALSE)))+1),(((D82/100)*(C82*VLOOKUP(B82,'Poids des runes'!A:B,2,FALSE)))+1)/VLOOKUP(B82,'Poids des runes'!A:B,2,FALSE))</f>
        <v>1.3050000000000002</v>
      </c>
      <c r="F82">
        <f t="shared" si="1"/>
        <v>1.3050000000000002</v>
      </c>
    </row>
    <row r="83" spans="1:6" x14ac:dyDescent="0.3">
      <c r="A83" t="s">
        <v>44</v>
      </c>
      <c r="B83" t="s">
        <v>2130</v>
      </c>
      <c r="C83">
        <v>8.5</v>
      </c>
      <c r="D83">
        <v>10</v>
      </c>
      <c r="E83">
        <f>IF(OR(B83="vi",B83="ii",B83="pod"),(((D83/100)*(C83*VLOOKUP(B83,'Poids des runes'!A:B,2,FALSE)))+1),(((D83/100)*(C83*VLOOKUP(B83,'Poids des runes'!A:B,2,FALSE)))+1)/VLOOKUP(B83,'Poids des runes'!A:B,2,FALSE))</f>
        <v>1.85</v>
      </c>
      <c r="F83">
        <f t="shared" si="1"/>
        <v>1.85</v>
      </c>
    </row>
    <row r="84" spans="1:6" x14ac:dyDescent="0.3">
      <c r="A84" t="s">
        <v>45</v>
      </c>
      <c r="B84" t="s">
        <v>2131</v>
      </c>
      <c r="C84">
        <v>6.5</v>
      </c>
      <c r="D84">
        <v>10</v>
      </c>
      <c r="E84">
        <f>IF(OR(B84="vi",B84="ii",B84="pod"),(((D84/100)*(C84*VLOOKUP(B84,'Poids des runes'!A:B,2,FALSE)))+1),(((D84/100)*(C84*VLOOKUP(B84,'Poids des runes'!A:B,2,FALSE)))+1)/VLOOKUP(B84,'Poids des runes'!A:B,2,FALSE))</f>
        <v>1.65</v>
      </c>
      <c r="F84">
        <f t="shared" si="1"/>
        <v>1.65</v>
      </c>
    </row>
    <row r="85" spans="1:6" x14ac:dyDescent="0.3">
      <c r="A85" t="s">
        <v>45</v>
      </c>
      <c r="B85" t="s">
        <v>2127</v>
      </c>
      <c r="C85">
        <v>6.5</v>
      </c>
      <c r="D85">
        <v>10</v>
      </c>
      <c r="E85">
        <f>IF(OR(B85="vi",B85="ii",B85="pod"),(((D85/100)*(C85*VLOOKUP(B85,'Poids des runes'!A:B,2,FALSE)))+1),(((D85/100)*(C85*VLOOKUP(B85,'Poids des runes'!A:B,2,FALSE)))+1)/VLOOKUP(B85,'Poids des runes'!A:B,2,FALSE))</f>
        <v>1.65</v>
      </c>
      <c r="F85">
        <f t="shared" si="1"/>
        <v>1.65</v>
      </c>
    </row>
    <row r="86" spans="1:6" x14ac:dyDescent="0.3">
      <c r="A86" t="s">
        <v>46</v>
      </c>
      <c r="B86" t="s">
        <v>2128</v>
      </c>
      <c r="C86">
        <v>5</v>
      </c>
      <c r="D86">
        <v>10</v>
      </c>
      <c r="E86">
        <f>IF(OR(B86="vi",B86="ii",B86="pod"),(((D86/100)*(C86*VLOOKUP(B86,'Poids des runes'!A:B,2,FALSE)))+1),(((D86/100)*(C86*VLOOKUP(B86,'Poids des runes'!A:B,2,FALSE)))+1)/VLOOKUP(B86,'Poids des runes'!A:B,2,FALSE))</f>
        <v>1.1000000000000001</v>
      </c>
      <c r="F86">
        <f t="shared" si="1"/>
        <v>1.1000000000000001</v>
      </c>
    </row>
    <row r="87" spans="1:6" x14ac:dyDescent="0.3">
      <c r="A87" t="s">
        <v>46</v>
      </c>
      <c r="B87" t="s">
        <v>2135</v>
      </c>
      <c r="C87">
        <v>4</v>
      </c>
      <c r="D87">
        <v>10</v>
      </c>
      <c r="E87">
        <f>IF(OR(B87="vi",B87="ii",B87="pod"),(((D87/100)*(C87*VLOOKUP(B87,'Poids des runes'!A:B,2,FALSE)))+1),(((D87/100)*(C87*VLOOKUP(B87,'Poids des runes'!A:B,2,FALSE)))+1)/VLOOKUP(B87,'Poids des runes'!A:B,2,FALSE))</f>
        <v>0.56666666666666676</v>
      </c>
      <c r="F87">
        <f t="shared" si="1"/>
        <v>0.56666666666666676</v>
      </c>
    </row>
    <row r="88" spans="1:6" x14ac:dyDescent="0.3">
      <c r="A88" t="s">
        <v>47</v>
      </c>
      <c r="B88" t="s">
        <v>2136</v>
      </c>
      <c r="C88">
        <v>3.5</v>
      </c>
      <c r="D88">
        <v>11</v>
      </c>
      <c r="E88">
        <f>IF(OR(B88="vi",B88="ii",B88="pod"),(((D88/100)*(C88*VLOOKUP(B88,'Poids des runes'!A:B,2,FALSE)))+1),(((D88/100)*(C88*VLOOKUP(B88,'Poids des runes'!A:B,2,FALSE)))+1)/VLOOKUP(B88,'Poids des runes'!A:B,2,FALSE))</f>
        <v>0.88500000000000001</v>
      </c>
      <c r="F88">
        <f t="shared" si="1"/>
        <v>0.88500000000000001</v>
      </c>
    </row>
    <row r="89" spans="1:6" x14ac:dyDescent="0.3">
      <c r="A89" t="s">
        <v>47</v>
      </c>
      <c r="B89" t="s">
        <v>2137</v>
      </c>
      <c r="C89">
        <v>3.5</v>
      </c>
      <c r="D89">
        <v>11</v>
      </c>
      <c r="E89">
        <f>IF(OR(B89="vi",B89="ii",B89="pod"),(((D89/100)*(C89*VLOOKUP(B89,'Poids des runes'!A:B,2,FALSE)))+1),(((D89/100)*(C89*VLOOKUP(B89,'Poids des runes'!A:B,2,FALSE)))+1)/VLOOKUP(B89,'Poids des runes'!A:B,2,FALSE))</f>
        <v>0.88500000000000001</v>
      </c>
      <c r="F89">
        <f t="shared" si="1"/>
        <v>0.88500000000000001</v>
      </c>
    </row>
    <row r="90" spans="1:6" x14ac:dyDescent="0.3">
      <c r="A90" t="s">
        <v>48</v>
      </c>
      <c r="B90" t="s">
        <v>2128</v>
      </c>
      <c r="C90">
        <v>13</v>
      </c>
      <c r="D90">
        <v>12</v>
      </c>
      <c r="E90">
        <f>IF(OR(B90="vi",B90="ii",B90="pod"),(((D90/100)*(C90*VLOOKUP(B90,'Poids des runes'!A:B,2,FALSE)))+1),(((D90/100)*(C90*VLOOKUP(B90,'Poids des runes'!A:B,2,FALSE)))+1)/VLOOKUP(B90,'Poids des runes'!A:B,2,FALSE))</f>
        <v>1.3120000000000001</v>
      </c>
      <c r="F90">
        <f t="shared" si="1"/>
        <v>1.3120000000000001</v>
      </c>
    </row>
    <row r="91" spans="1:6" x14ac:dyDescent="0.3">
      <c r="A91" t="s">
        <v>48</v>
      </c>
      <c r="B91" t="s">
        <v>2127</v>
      </c>
      <c r="C91">
        <v>8.5</v>
      </c>
      <c r="D91">
        <v>12</v>
      </c>
      <c r="E91">
        <f>IF(OR(B91="vi",B91="ii",B91="pod"),(((D91/100)*(C91*VLOOKUP(B91,'Poids des runes'!A:B,2,FALSE)))+1),(((D91/100)*(C91*VLOOKUP(B91,'Poids des runes'!A:B,2,FALSE)))+1)/VLOOKUP(B91,'Poids des runes'!A:B,2,FALSE))</f>
        <v>2.02</v>
      </c>
      <c r="F91">
        <f t="shared" si="1"/>
        <v>2.02</v>
      </c>
    </row>
    <row r="92" spans="1:6" x14ac:dyDescent="0.3">
      <c r="A92" t="s">
        <v>48</v>
      </c>
      <c r="B92" t="s">
        <v>2138</v>
      </c>
      <c r="C92">
        <v>2</v>
      </c>
      <c r="D92">
        <v>12</v>
      </c>
      <c r="E92">
        <f>IF(OR(B92="vi",B92="ii",B92="pod"),(((D92/100)*(C92*VLOOKUP(B92,'Poids des runes'!A:B,2,FALSE)))+1),(((D92/100)*(C92*VLOOKUP(B92,'Poids des runes'!A:B,2,FALSE)))+1)/VLOOKUP(B92,'Poids des runes'!A:B,2,FALSE))</f>
        <v>0.49</v>
      </c>
      <c r="F92">
        <f t="shared" si="1"/>
        <v>0.49</v>
      </c>
    </row>
    <row r="93" spans="1:6" x14ac:dyDescent="0.3">
      <c r="A93" t="s">
        <v>49</v>
      </c>
      <c r="B93" t="s">
        <v>2131</v>
      </c>
      <c r="C93">
        <v>8</v>
      </c>
      <c r="D93">
        <v>12</v>
      </c>
      <c r="E93">
        <f>IF(OR(B93="vi",B93="ii",B93="pod"),(((D93/100)*(C93*VLOOKUP(B93,'Poids des runes'!A:B,2,FALSE)))+1),(((D93/100)*(C93*VLOOKUP(B93,'Poids des runes'!A:B,2,FALSE)))+1)/VLOOKUP(B93,'Poids des runes'!A:B,2,FALSE))</f>
        <v>1.96</v>
      </c>
      <c r="F93">
        <f t="shared" si="1"/>
        <v>1.96</v>
      </c>
    </row>
    <row r="94" spans="1:6" x14ac:dyDescent="0.3">
      <c r="A94" t="s">
        <v>49</v>
      </c>
      <c r="B94" t="s">
        <v>2127</v>
      </c>
      <c r="C94">
        <v>8</v>
      </c>
      <c r="D94">
        <v>12</v>
      </c>
      <c r="E94">
        <f>IF(OR(B94="vi",B94="ii",B94="pod"),(((D94/100)*(C94*VLOOKUP(B94,'Poids des runes'!A:B,2,FALSE)))+1),(((D94/100)*(C94*VLOOKUP(B94,'Poids des runes'!A:B,2,FALSE)))+1)/VLOOKUP(B94,'Poids des runes'!A:B,2,FALSE))</f>
        <v>1.96</v>
      </c>
      <c r="F94">
        <f t="shared" si="1"/>
        <v>1.96</v>
      </c>
    </row>
    <row r="95" spans="1:6" x14ac:dyDescent="0.3">
      <c r="A95" t="s">
        <v>50</v>
      </c>
      <c r="B95" t="s">
        <v>2130</v>
      </c>
      <c r="C95">
        <v>13</v>
      </c>
      <c r="D95">
        <v>12</v>
      </c>
      <c r="E95">
        <f>IF(OR(B95="vi",B95="ii",B95="pod"),(((D95/100)*(C95*VLOOKUP(B95,'Poids des runes'!A:B,2,FALSE)))+1),(((D95/100)*(C95*VLOOKUP(B95,'Poids des runes'!A:B,2,FALSE)))+1)/VLOOKUP(B95,'Poids des runes'!A:B,2,FALSE))</f>
        <v>2.56</v>
      </c>
      <c r="F95">
        <f t="shared" si="1"/>
        <v>2.56</v>
      </c>
    </row>
    <row r="96" spans="1:6" x14ac:dyDescent="0.3">
      <c r="A96" t="s">
        <v>50</v>
      </c>
      <c r="B96" t="s">
        <v>2131</v>
      </c>
      <c r="C96">
        <v>13</v>
      </c>
      <c r="D96">
        <v>12</v>
      </c>
      <c r="E96">
        <f>IF(OR(B96="vi",B96="ii",B96="pod"),(((D96/100)*(C96*VLOOKUP(B96,'Poids des runes'!A:B,2,FALSE)))+1),(((D96/100)*(C96*VLOOKUP(B96,'Poids des runes'!A:B,2,FALSE)))+1)/VLOOKUP(B96,'Poids des runes'!A:B,2,FALSE))</f>
        <v>2.56</v>
      </c>
      <c r="F96">
        <f t="shared" si="1"/>
        <v>2.56</v>
      </c>
    </row>
    <row r="97" spans="1:6" x14ac:dyDescent="0.3">
      <c r="A97" t="s">
        <v>50</v>
      </c>
      <c r="B97" t="s">
        <v>2138</v>
      </c>
      <c r="C97">
        <v>2.5</v>
      </c>
      <c r="D97">
        <v>12</v>
      </c>
      <c r="E97">
        <f>IF(OR(B97="vi",B97="ii",B97="pod"),(((D97/100)*(C97*VLOOKUP(B97,'Poids des runes'!A:B,2,FALSE)))+1),(((D97/100)*(C97*VLOOKUP(B97,'Poids des runes'!A:B,2,FALSE)))+1)/VLOOKUP(B97,'Poids des runes'!A:B,2,FALSE))</f>
        <v>0.55000000000000004</v>
      </c>
      <c r="F97">
        <f t="shared" si="1"/>
        <v>0.55000000000000004</v>
      </c>
    </row>
    <row r="98" spans="1:6" x14ac:dyDescent="0.3">
      <c r="A98" t="s">
        <v>51</v>
      </c>
      <c r="B98" t="s">
        <v>2128</v>
      </c>
      <c r="C98">
        <v>8</v>
      </c>
      <c r="D98">
        <v>12</v>
      </c>
      <c r="E98">
        <f>IF(OR(B98="vi",B98="ii",B98="pod"),(((D98/100)*(C98*VLOOKUP(B98,'Poids des runes'!A:B,2,FALSE)))+1),(((D98/100)*(C98*VLOOKUP(B98,'Poids des runes'!A:B,2,FALSE)))+1)/VLOOKUP(B98,'Poids des runes'!A:B,2,FALSE))</f>
        <v>1.1919999999999999</v>
      </c>
      <c r="F98">
        <f t="shared" si="1"/>
        <v>1.1919999999999999</v>
      </c>
    </row>
    <row r="99" spans="1:6" x14ac:dyDescent="0.3">
      <c r="A99" t="s">
        <v>51</v>
      </c>
      <c r="B99" t="s">
        <v>2126</v>
      </c>
      <c r="C99">
        <v>8</v>
      </c>
      <c r="D99">
        <v>12</v>
      </c>
      <c r="E99">
        <f>IF(OR(B99="vi",B99="ii",B99="pod"),(((D99/100)*(C99*VLOOKUP(B99,'Poids des runes'!A:B,2,FALSE)))+1),(((D99/100)*(C99*VLOOKUP(B99,'Poids des runes'!A:B,2,FALSE)))+1)/VLOOKUP(B99,'Poids des runes'!A:B,2,FALSE))</f>
        <v>1.96</v>
      </c>
      <c r="F99">
        <f t="shared" si="1"/>
        <v>1.96</v>
      </c>
    </row>
    <row r="100" spans="1:6" x14ac:dyDescent="0.3">
      <c r="A100" t="s">
        <v>51</v>
      </c>
      <c r="B100" t="s">
        <v>2129</v>
      </c>
      <c r="C100">
        <v>3.5</v>
      </c>
      <c r="D100">
        <v>12</v>
      </c>
      <c r="E100">
        <f>IF(OR(B100="vi",B100="ii",B100="pod"),(((D100/100)*(C100*VLOOKUP(B100,'Poids des runes'!A:B,2,FALSE)))+1),(((D100/100)*(C100*VLOOKUP(B100,'Poids des runes'!A:B,2,FALSE)))+1)/VLOOKUP(B100,'Poids des runes'!A:B,2,FALSE))</f>
        <v>1.42</v>
      </c>
      <c r="F100">
        <f t="shared" si="1"/>
        <v>1.42</v>
      </c>
    </row>
    <row r="101" spans="1:6" x14ac:dyDescent="0.3">
      <c r="A101" t="s">
        <v>52</v>
      </c>
      <c r="B101" t="s">
        <v>2128</v>
      </c>
      <c r="C101">
        <v>8</v>
      </c>
      <c r="D101">
        <v>12</v>
      </c>
      <c r="E101">
        <f>IF(OR(B101="vi",B101="ii",B101="pod"),(((D101/100)*(C101*VLOOKUP(B101,'Poids des runes'!A:B,2,FALSE)))+1),(((D101/100)*(C101*VLOOKUP(B101,'Poids des runes'!A:B,2,FALSE)))+1)/VLOOKUP(B101,'Poids des runes'!A:B,2,FALSE))</f>
        <v>1.1919999999999999</v>
      </c>
      <c r="F101">
        <f t="shared" si="1"/>
        <v>1.1919999999999999</v>
      </c>
    </row>
    <row r="102" spans="1:6" x14ac:dyDescent="0.3">
      <c r="A102" t="s">
        <v>52</v>
      </c>
      <c r="B102" t="s">
        <v>2130</v>
      </c>
      <c r="C102">
        <v>8</v>
      </c>
      <c r="D102">
        <v>12</v>
      </c>
      <c r="E102">
        <f>IF(OR(B102="vi",B102="ii",B102="pod"),(((D102/100)*(C102*VLOOKUP(B102,'Poids des runes'!A:B,2,FALSE)))+1),(((D102/100)*(C102*VLOOKUP(B102,'Poids des runes'!A:B,2,FALSE)))+1)/VLOOKUP(B102,'Poids des runes'!A:B,2,FALSE))</f>
        <v>1.96</v>
      </c>
      <c r="F102">
        <f t="shared" si="1"/>
        <v>1.96</v>
      </c>
    </row>
    <row r="103" spans="1:6" x14ac:dyDescent="0.3">
      <c r="A103" t="s">
        <v>52</v>
      </c>
      <c r="B103" t="s">
        <v>2129</v>
      </c>
      <c r="C103">
        <v>3.5</v>
      </c>
      <c r="D103">
        <v>12</v>
      </c>
      <c r="E103">
        <f>IF(OR(B103="vi",B103="ii",B103="pod"),(((D103/100)*(C103*VLOOKUP(B103,'Poids des runes'!A:B,2,FALSE)))+1),(((D103/100)*(C103*VLOOKUP(B103,'Poids des runes'!A:B,2,FALSE)))+1)/VLOOKUP(B103,'Poids des runes'!A:B,2,FALSE))</f>
        <v>1.42</v>
      </c>
      <c r="F103">
        <f t="shared" si="1"/>
        <v>1.42</v>
      </c>
    </row>
    <row r="104" spans="1:6" x14ac:dyDescent="0.3">
      <c r="A104" t="s">
        <v>53</v>
      </c>
      <c r="B104" t="s">
        <v>2127</v>
      </c>
      <c r="C104">
        <v>13</v>
      </c>
      <c r="D104">
        <v>12</v>
      </c>
      <c r="E104">
        <f>IF(OR(B104="vi",B104="ii",B104="pod"),(((D104/100)*(C104*VLOOKUP(B104,'Poids des runes'!A:B,2,FALSE)))+1),(((D104/100)*(C104*VLOOKUP(B104,'Poids des runes'!A:B,2,FALSE)))+1)/VLOOKUP(B104,'Poids des runes'!A:B,2,FALSE))</f>
        <v>2.56</v>
      </c>
      <c r="F104">
        <f t="shared" si="1"/>
        <v>2.56</v>
      </c>
    </row>
    <row r="105" spans="1:6" x14ac:dyDescent="0.3">
      <c r="A105" t="s">
        <v>53</v>
      </c>
      <c r="B105" t="s">
        <v>2139</v>
      </c>
      <c r="C105">
        <v>3</v>
      </c>
      <c r="D105">
        <v>12</v>
      </c>
      <c r="E105">
        <f>IF(OR(B105="vi",B105="ii",B105="pod"),(((D105/100)*(C105*VLOOKUP(B105,'Poids des runes'!A:B,2,FALSE)))+1),(((D105/100)*(C105*VLOOKUP(B105,'Poids des runes'!A:B,2,FALSE)))+1)/VLOOKUP(B105,'Poids des runes'!A:B,2,FALSE))</f>
        <v>0.86</v>
      </c>
      <c r="F105">
        <f t="shared" si="1"/>
        <v>0.86</v>
      </c>
    </row>
    <row r="106" spans="1:6" x14ac:dyDescent="0.3">
      <c r="A106" t="s">
        <v>54</v>
      </c>
      <c r="B106" t="s">
        <v>2128</v>
      </c>
      <c r="C106">
        <v>13</v>
      </c>
      <c r="D106">
        <v>13</v>
      </c>
      <c r="E106">
        <f>IF(OR(B106="vi",B106="ii",B106="pod"),(((D106/100)*(C106*VLOOKUP(B106,'Poids des runes'!A:B,2,FALSE)))+1),(((D106/100)*(C106*VLOOKUP(B106,'Poids des runes'!A:B,2,FALSE)))+1)/VLOOKUP(B106,'Poids des runes'!A:B,2,FALSE))</f>
        <v>1.3380000000000001</v>
      </c>
      <c r="F106">
        <f t="shared" si="1"/>
        <v>1.3380000000000001</v>
      </c>
    </row>
    <row r="107" spans="1:6" x14ac:dyDescent="0.3">
      <c r="A107" t="s">
        <v>54</v>
      </c>
      <c r="B107" t="s">
        <v>2129</v>
      </c>
      <c r="C107">
        <v>6.5</v>
      </c>
      <c r="D107">
        <v>13</v>
      </c>
      <c r="E107">
        <f>IF(OR(B107="vi",B107="ii",B107="pod"),(((D107/100)*(C107*VLOOKUP(B107,'Poids des runes'!A:B,2,FALSE)))+1),(((D107/100)*(C107*VLOOKUP(B107,'Poids des runes'!A:B,2,FALSE)))+1)/VLOOKUP(B107,'Poids des runes'!A:B,2,FALSE))</f>
        <v>1.845</v>
      </c>
      <c r="F107">
        <f t="shared" si="1"/>
        <v>1.845</v>
      </c>
    </row>
    <row r="108" spans="1:6" x14ac:dyDescent="0.3">
      <c r="A108" t="s">
        <v>54</v>
      </c>
      <c r="B108" t="s">
        <v>2140</v>
      </c>
      <c r="C108">
        <v>1.5</v>
      </c>
      <c r="D108">
        <v>13</v>
      </c>
      <c r="E108">
        <f>IF(OR(B108="vi",B108="ii",B108="pod"),(((D108/100)*(C108*VLOOKUP(B108,'Poids des runes'!A:B,2,FALSE)))+1),(((D108/100)*(C108*VLOOKUP(B108,'Poids des runes'!A:B,2,FALSE)))+1)/VLOOKUP(B108,'Poids des runes'!A:B,2,FALSE))</f>
        <v>0.39500000000000002</v>
      </c>
      <c r="F108">
        <f t="shared" si="1"/>
        <v>0.39500000000000002</v>
      </c>
    </row>
    <row r="109" spans="1:6" x14ac:dyDescent="0.3">
      <c r="A109" t="s">
        <v>55</v>
      </c>
      <c r="B109" t="s">
        <v>2126</v>
      </c>
      <c r="C109">
        <v>8.5</v>
      </c>
      <c r="D109">
        <v>13</v>
      </c>
      <c r="E109">
        <f>IF(OR(B109="vi",B109="ii",B109="pod"),(((D109/100)*(C109*VLOOKUP(B109,'Poids des runes'!A:B,2,FALSE)))+1),(((D109/100)*(C109*VLOOKUP(B109,'Poids des runes'!A:B,2,FALSE)))+1)/VLOOKUP(B109,'Poids des runes'!A:B,2,FALSE))</f>
        <v>2.105</v>
      </c>
      <c r="F109">
        <f t="shared" si="1"/>
        <v>2.105</v>
      </c>
    </row>
    <row r="110" spans="1:6" x14ac:dyDescent="0.3">
      <c r="A110" t="s">
        <v>55</v>
      </c>
      <c r="B110" t="s">
        <v>2141</v>
      </c>
      <c r="C110">
        <v>3.5</v>
      </c>
      <c r="D110">
        <v>13</v>
      </c>
      <c r="E110">
        <f>IF(OR(B110="vi",B110="ii",B110="pod"),(((D110/100)*(C110*VLOOKUP(B110,'Poids des runes'!A:B,2,FALSE)))+1),(((D110/100)*(C110*VLOOKUP(B110,'Poids des runes'!A:B,2,FALSE)))+1)/VLOOKUP(B110,'Poids des runes'!A:B,2,FALSE))</f>
        <v>0.70500000000000007</v>
      </c>
      <c r="F110">
        <f t="shared" si="1"/>
        <v>0.70500000000000007</v>
      </c>
    </row>
    <row r="111" spans="1:6" x14ac:dyDescent="0.3">
      <c r="A111" t="s">
        <v>56</v>
      </c>
      <c r="B111" t="s">
        <v>2130</v>
      </c>
      <c r="C111">
        <v>8.5</v>
      </c>
      <c r="D111">
        <v>13</v>
      </c>
      <c r="E111">
        <f>IF(OR(B111="vi",B111="ii",B111="pod"),(((D111/100)*(C111*VLOOKUP(B111,'Poids des runes'!A:B,2,FALSE)))+1),(((D111/100)*(C111*VLOOKUP(B111,'Poids des runes'!A:B,2,FALSE)))+1)/VLOOKUP(B111,'Poids des runes'!A:B,2,FALSE))</f>
        <v>2.105</v>
      </c>
      <c r="F111">
        <f t="shared" si="1"/>
        <v>2.105</v>
      </c>
    </row>
    <row r="112" spans="1:6" x14ac:dyDescent="0.3">
      <c r="A112" t="s">
        <v>57</v>
      </c>
      <c r="B112" t="s">
        <v>2128</v>
      </c>
      <c r="C112">
        <v>18</v>
      </c>
      <c r="D112">
        <v>14</v>
      </c>
      <c r="E112">
        <f>IF(OR(B112="vi",B112="ii",B112="pod"),(((D112/100)*(C112*VLOOKUP(B112,'Poids des runes'!A:B,2,FALSE)))+1),(((D112/100)*(C112*VLOOKUP(B112,'Poids des runes'!A:B,2,FALSE)))+1)/VLOOKUP(B112,'Poids des runes'!A:B,2,FALSE))</f>
        <v>1.504</v>
      </c>
      <c r="F112">
        <f t="shared" si="1"/>
        <v>1.504</v>
      </c>
    </row>
    <row r="113" spans="1:6" x14ac:dyDescent="0.3">
      <c r="A113" t="s">
        <v>57</v>
      </c>
      <c r="B113" t="s">
        <v>2127</v>
      </c>
      <c r="C113">
        <v>13</v>
      </c>
      <c r="D113">
        <v>14</v>
      </c>
      <c r="E113">
        <f>IF(OR(B113="vi",B113="ii",B113="pod"),(((D113/100)*(C113*VLOOKUP(B113,'Poids des runes'!A:B,2,FALSE)))+1),(((D113/100)*(C113*VLOOKUP(B113,'Poids des runes'!A:B,2,FALSE)))+1)/VLOOKUP(B113,'Poids des runes'!A:B,2,FALSE))</f>
        <v>2.8200000000000003</v>
      </c>
      <c r="F113">
        <f t="shared" si="1"/>
        <v>2.8200000000000003</v>
      </c>
    </row>
    <row r="114" spans="1:6" x14ac:dyDescent="0.3">
      <c r="A114" t="s">
        <v>58</v>
      </c>
      <c r="B114" t="s">
        <v>2128</v>
      </c>
      <c r="C114">
        <v>23</v>
      </c>
      <c r="D114">
        <v>14</v>
      </c>
      <c r="E114">
        <f>IF(OR(B114="vi",B114="ii",B114="pod"),(((D114/100)*(C114*VLOOKUP(B114,'Poids des runes'!A:B,2,FALSE)))+1),(((D114/100)*(C114*VLOOKUP(B114,'Poids des runes'!A:B,2,FALSE)))+1)/VLOOKUP(B114,'Poids des runes'!A:B,2,FALSE))</f>
        <v>1.6440000000000001</v>
      </c>
      <c r="F114">
        <f t="shared" si="1"/>
        <v>1.6440000000000001</v>
      </c>
    </row>
    <row r="115" spans="1:6" x14ac:dyDescent="0.3">
      <c r="A115" t="s">
        <v>58</v>
      </c>
      <c r="B115" t="s">
        <v>2138</v>
      </c>
      <c r="C115">
        <v>2.5</v>
      </c>
      <c r="D115">
        <v>14</v>
      </c>
      <c r="E115">
        <f>IF(OR(B115="vi",B115="ii",B115="pod"),(((D115/100)*(C115*VLOOKUP(B115,'Poids des runes'!A:B,2,FALSE)))+1),(((D115/100)*(C115*VLOOKUP(B115,'Poids des runes'!A:B,2,FALSE)))+1)/VLOOKUP(B115,'Poids des runes'!A:B,2,FALSE))</f>
        <v>0.60000000000000009</v>
      </c>
      <c r="F115">
        <f t="shared" si="1"/>
        <v>0.60000000000000009</v>
      </c>
    </row>
    <row r="116" spans="1:6" x14ac:dyDescent="0.3">
      <c r="A116" t="s">
        <v>58</v>
      </c>
      <c r="B116" t="s">
        <v>2142</v>
      </c>
      <c r="C116">
        <v>4</v>
      </c>
      <c r="D116">
        <v>14</v>
      </c>
      <c r="E116">
        <f>IF(OR(B116="vi",B116="ii",B116="pod"),(((D116/100)*(C116*VLOOKUP(B116,'Poids des runes'!A:B,2,FALSE)))+1),(((D116/100)*(C116*VLOOKUP(B116,'Poids des runes'!A:B,2,FALSE)))+1)/VLOOKUP(B116,'Poids des runes'!A:B,2,FALSE))</f>
        <v>0.76</v>
      </c>
      <c r="F116">
        <f t="shared" si="1"/>
        <v>0.76</v>
      </c>
    </row>
    <row r="117" spans="1:6" x14ac:dyDescent="0.3">
      <c r="A117" t="s">
        <v>59</v>
      </c>
      <c r="B117" t="s">
        <v>2130</v>
      </c>
      <c r="C117">
        <v>20.5</v>
      </c>
      <c r="D117">
        <v>14</v>
      </c>
      <c r="E117">
        <f>IF(OR(B117="vi",B117="ii",B117="pod"),(((D117/100)*(C117*VLOOKUP(B117,'Poids des runes'!A:B,2,FALSE)))+1),(((D117/100)*(C117*VLOOKUP(B117,'Poids des runes'!A:B,2,FALSE)))+1)/VLOOKUP(B117,'Poids des runes'!A:B,2,FALSE))</f>
        <v>3.87</v>
      </c>
      <c r="F117">
        <f t="shared" si="1"/>
        <v>3.87</v>
      </c>
    </row>
    <row r="118" spans="1:6" x14ac:dyDescent="0.3">
      <c r="A118" t="s">
        <v>59</v>
      </c>
      <c r="B118" t="s">
        <v>2143</v>
      </c>
      <c r="C118">
        <v>1</v>
      </c>
      <c r="D118">
        <v>14</v>
      </c>
      <c r="E118">
        <f>IF(OR(B118="vi",B118="ii",B118="pod"),(((D118/100)*(C118*VLOOKUP(B118,'Poids des runes'!A:B,2,FALSE)))+1),(((D118/100)*(C118*VLOOKUP(B118,'Poids des runes'!A:B,2,FALSE)))+1)/VLOOKUP(B118,'Poids des runes'!A:B,2,FALSE))</f>
        <v>0.34</v>
      </c>
      <c r="F118">
        <f t="shared" si="1"/>
        <v>0.34</v>
      </c>
    </row>
    <row r="119" spans="1:6" x14ac:dyDescent="0.3">
      <c r="A119" t="s">
        <v>60</v>
      </c>
      <c r="B119" t="s">
        <v>2144</v>
      </c>
      <c r="C119">
        <v>3.5</v>
      </c>
      <c r="D119">
        <v>14</v>
      </c>
      <c r="E119">
        <f>IF(OR(B119="vi",B119="ii",B119="pod"),(((D119/100)*(C119*VLOOKUP(B119,'Poids des runes'!A:B,2,FALSE)))+1),(((D119/100)*(C119*VLOOKUP(B119,'Poids des runes'!A:B,2,FALSE)))+1)/VLOOKUP(B119,'Poids des runes'!A:B,2,FALSE))</f>
        <v>0.99</v>
      </c>
      <c r="F119">
        <f t="shared" si="1"/>
        <v>0.99</v>
      </c>
    </row>
    <row r="120" spans="1:6" x14ac:dyDescent="0.3">
      <c r="A120" t="s">
        <v>60</v>
      </c>
      <c r="B120" t="s">
        <v>2145</v>
      </c>
      <c r="C120">
        <v>3.5</v>
      </c>
      <c r="D120">
        <v>14</v>
      </c>
      <c r="E120">
        <f>IF(OR(B120="vi",B120="ii",B120="pod"),(((D120/100)*(C120*VLOOKUP(B120,'Poids des runes'!A:B,2,FALSE)))+1),(((D120/100)*(C120*VLOOKUP(B120,'Poids des runes'!A:B,2,FALSE)))+1)/VLOOKUP(B120,'Poids des runes'!A:B,2,FALSE))</f>
        <v>0.99</v>
      </c>
      <c r="F120">
        <f t="shared" si="1"/>
        <v>0.99</v>
      </c>
    </row>
    <row r="121" spans="1:6" x14ac:dyDescent="0.3">
      <c r="A121" t="s">
        <v>60</v>
      </c>
      <c r="B121" t="s">
        <v>2146</v>
      </c>
      <c r="C121">
        <v>3.5</v>
      </c>
      <c r="D121">
        <v>14</v>
      </c>
      <c r="E121">
        <f>IF(OR(B121="vi",B121="ii",B121="pod"),(((D121/100)*(C121*VLOOKUP(B121,'Poids des runes'!A:B,2,FALSE)))+1),(((D121/100)*(C121*VLOOKUP(B121,'Poids des runes'!A:B,2,FALSE)))+1)/VLOOKUP(B121,'Poids des runes'!A:B,2,FALSE))</f>
        <v>0.99</v>
      </c>
      <c r="F121">
        <f t="shared" si="1"/>
        <v>0.99</v>
      </c>
    </row>
    <row r="122" spans="1:6" x14ac:dyDescent="0.3">
      <c r="A122" t="s">
        <v>61</v>
      </c>
      <c r="B122" t="s">
        <v>2126</v>
      </c>
      <c r="C122">
        <v>13</v>
      </c>
      <c r="D122">
        <v>14</v>
      </c>
      <c r="E122">
        <f>IF(OR(B122="vi",B122="ii",B122="pod"),(((D122/100)*(C122*VLOOKUP(B122,'Poids des runes'!A:B,2,FALSE)))+1),(((D122/100)*(C122*VLOOKUP(B122,'Poids des runes'!A:B,2,FALSE)))+1)/VLOOKUP(B122,'Poids des runes'!A:B,2,FALSE))</f>
        <v>2.8200000000000003</v>
      </c>
      <c r="F122">
        <f t="shared" si="1"/>
        <v>2.8200000000000003</v>
      </c>
    </row>
    <row r="123" spans="1:6" x14ac:dyDescent="0.3">
      <c r="A123" t="s">
        <v>62</v>
      </c>
      <c r="B123" t="s">
        <v>2128</v>
      </c>
      <c r="C123">
        <v>18</v>
      </c>
      <c r="D123">
        <v>15</v>
      </c>
      <c r="E123">
        <f>IF(OR(B123="vi",B123="ii",B123="pod"),(((D123/100)*(C123*VLOOKUP(B123,'Poids des runes'!A:B,2,FALSE)))+1),(((D123/100)*(C123*VLOOKUP(B123,'Poids des runes'!A:B,2,FALSE)))+1)/VLOOKUP(B123,'Poids des runes'!A:B,2,FALSE))</f>
        <v>1.54</v>
      </c>
      <c r="F123">
        <f t="shared" si="1"/>
        <v>1.54</v>
      </c>
    </row>
    <row r="124" spans="1:6" x14ac:dyDescent="0.3">
      <c r="A124" t="s">
        <v>62</v>
      </c>
      <c r="B124" t="s">
        <v>2127</v>
      </c>
      <c r="C124">
        <v>8.5</v>
      </c>
      <c r="D124">
        <v>15</v>
      </c>
      <c r="E124">
        <f>IF(OR(B124="vi",B124="ii",B124="pod"),(((D124/100)*(C124*VLOOKUP(B124,'Poids des runes'!A:B,2,FALSE)))+1),(((D124/100)*(C124*VLOOKUP(B124,'Poids des runes'!A:B,2,FALSE)))+1)/VLOOKUP(B124,'Poids des runes'!A:B,2,FALSE))</f>
        <v>2.2749999999999999</v>
      </c>
      <c r="F124">
        <f t="shared" si="1"/>
        <v>2.2749999999999999</v>
      </c>
    </row>
    <row r="125" spans="1:6" x14ac:dyDescent="0.3">
      <c r="A125" t="s">
        <v>63</v>
      </c>
      <c r="B125" t="s">
        <v>2128</v>
      </c>
      <c r="C125">
        <v>18</v>
      </c>
      <c r="D125">
        <v>15</v>
      </c>
      <c r="E125">
        <f>IF(OR(B125="vi",B125="ii",B125="pod"),(((D125/100)*(C125*VLOOKUP(B125,'Poids des runes'!A:B,2,FALSE)))+1),(((D125/100)*(C125*VLOOKUP(B125,'Poids des runes'!A:B,2,FALSE)))+1)/VLOOKUP(B125,'Poids des runes'!A:B,2,FALSE))</f>
        <v>1.54</v>
      </c>
      <c r="F125">
        <f t="shared" si="1"/>
        <v>1.54</v>
      </c>
    </row>
    <row r="126" spans="1:6" x14ac:dyDescent="0.3">
      <c r="A126" t="s">
        <v>63</v>
      </c>
      <c r="B126" t="s">
        <v>2130</v>
      </c>
      <c r="C126">
        <v>8.5</v>
      </c>
      <c r="D126">
        <v>15</v>
      </c>
      <c r="E126">
        <f>IF(OR(B126="vi",B126="ii",B126="pod"),(((D126/100)*(C126*VLOOKUP(B126,'Poids des runes'!A:B,2,FALSE)))+1),(((D126/100)*(C126*VLOOKUP(B126,'Poids des runes'!A:B,2,FALSE)))+1)/VLOOKUP(B126,'Poids des runes'!A:B,2,FALSE))</f>
        <v>2.2749999999999999</v>
      </c>
      <c r="F126">
        <f t="shared" si="1"/>
        <v>2.2749999999999999</v>
      </c>
    </row>
    <row r="127" spans="1:6" x14ac:dyDescent="0.3">
      <c r="A127" t="s">
        <v>64</v>
      </c>
      <c r="B127" t="s">
        <v>2128</v>
      </c>
      <c r="C127">
        <v>18</v>
      </c>
      <c r="D127">
        <v>15</v>
      </c>
      <c r="E127">
        <f>IF(OR(B127="vi",B127="ii",B127="pod"),(((D127/100)*(C127*VLOOKUP(B127,'Poids des runes'!A:B,2,FALSE)))+1),(((D127/100)*(C127*VLOOKUP(B127,'Poids des runes'!A:B,2,FALSE)))+1)/VLOOKUP(B127,'Poids des runes'!A:B,2,FALSE))</f>
        <v>1.54</v>
      </c>
      <c r="F127">
        <f t="shared" si="1"/>
        <v>1.54</v>
      </c>
    </row>
    <row r="128" spans="1:6" x14ac:dyDescent="0.3">
      <c r="A128" t="s">
        <v>64</v>
      </c>
      <c r="B128" t="s">
        <v>2131</v>
      </c>
      <c r="C128">
        <v>8.5</v>
      </c>
      <c r="D128">
        <v>15</v>
      </c>
      <c r="E128">
        <f>IF(OR(B128="vi",B128="ii",B128="pod"),(((D128/100)*(C128*VLOOKUP(B128,'Poids des runes'!A:B,2,FALSE)))+1),(((D128/100)*(C128*VLOOKUP(B128,'Poids des runes'!A:B,2,FALSE)))+1)/VLOOKUP(B128,'Poids des runes'!A:B,2,FALSE))</f>
        <v>2.2749999999999999</v>
      </c>
      <c r="F128">
        <f t="shared" si="1"/>
        <v>2.2749999999999999</v>
      </c>
    </row>
    <row r="129" spans="1:6" x14ac:dyDescent="0.3">
      <c r="A129" t="s">
        <v>65</v>
      </c>
      <c r="B129" t="s">
        <v>2128</v>
      </c>
      <c r="C129">
        <v>8</v>
      </c>
      <c r="D129">
        <v>15</v>
      </c>
      <c r="E129">
        <f>IF(OR(B129="vi",B129="ii",B129="pod"),(((D129/100)*(C129*VLOOKUP(B129,'Poids des runes'!A:B,2,FALSE)))+1),(((D129/100)*(C129*VLOOKUP(B129,'Poids des runes'!A:B,2,FALSE)))+1)/VLOOKUP(B129,'Poids des runes'!A:B,2,FALSE))</f>
        <v>1.24</v>
      </c>
      <c r="F129">
        <f t="shared" si="1"/>
        <v>1.24</v>
      </c>
    </row>
    <row r="130" spans="1:6" x14ac:dyDescent="0.3">
      <c r="A130" t="s">
        <v>66</v>
      </c>
      <c r="B130" t="s">
        <v>2126</v>
      </c>
      <c r="C130">
        <v>13</v>
      </c>
      <c r="D130">
        <v>15</v>
      </c>
      <c r="E130">
        <f>IF(OR(B130="vi",B130="ii",B130="pod"),(((D130/100)*(C130*VLOOKUP(B130,'Poids des runes'!A:B,2,FALSE)))+1),(((D130/100)*(C130*VLOOKUP(B130,'Poids des runes'!A:B,2,FALSE)))+1)/VLOOKUP(B130,'Poids des runes'!A:B,2,FALSE))</f>
        <v>2.95</v>
      </c>
      <c r="F130">
        <f t="shared" si="1"/>
        <v>2.95</v>
      </c>
    </row>
    <row r="131" spans="1:6" x14ac:dyDescent="0.3">
      <c r="A131" t="s">
        <v>66</v>
      </c>
      <c r="B131" t="s">
        <v>2147</v>
      </c>
      <c r="C131">
        <v>2</v>
      </c>
      <c r="D131">
        <v>15</v>
      </c>
      <c r="E131">
        <f>IF(OR(B131="vi",B131="ii",B131="pod"),(((D131/100)*(C131*VLOOKUP(B131,'Poids des runes'!A:B,2,FALSE)))+1),(((D131/100)*(C131*VLOOKUP(B131,'Poids des runes'!A:B,2,FALSE)))+1)/VLOOKUP(B131,'Poids des runes'!A:B,2,FALSE))</f>
        <v>0.46666666666666662</v>
      </c>
      <c r="F131">
        <f t="shared" ref="F131:F194" si="2">E131</f>
        <v>0.46666666666666662</v>
      </c>
    </row>
    <row r="132" spans="1:6" x14ac:dyDescent="0.3">
      <c r="A132" t="s">
        <v>67</v>
      </c>
      <c r="B132" t="s">
        <v>2130</v>
      </c>
      <c r="C132">
        <v>14</v>
      </c>
      <c r="D132">
        <v>15</v>
      </c>
      <c r="E132">
        <f>IF(OR(B132="vi",B132="ii",B132="pod"),(((D132/100)*(C132*VLOOKUP(B132,'Poids des runes'!A:B,2,FALSE)))+1),(((D132/100)*(C132*VLOOKUP(B132,'Poids des runes'!A:B,2,FALSE)))+1)/VLOOKUP(B132,'Poids des runes'!A:B,2,FALSE))</f>
        <v>3.1</v>
      </c>
      <c r="F132">
        <f t="shared" si="2"/>
        <v>3.1</v>
      </c>
    </row>
    <row r="133" spans="1:6" x14ac:dyDescent="0.3">
      <c r="A133" t="s">
        <v>67</v>
      </c>
      <c r="B133" t="s">
        <v>2148</v>
      </c>
      <c r="C133">
        <v>1.5</v>
      </c>
      <c r="D133">
        <v>15</v>
      </c>
      <c r="E133">
        <f>IF(OR(B133="vi",B133="ii",B133="pod"),(((D133/100)*(C133*VLOOKUP(B133,'Poids des runes'!A:B,2,FALSE)))+1),(((D133/100)*(C133*VLOOKUP(B133,'Poids des runes'!A:B,2,FALSE)))+1)/VLOOKUP(B133,'Poids des runes'!A:B,2,FALSE))</f>
        <v>0.39166666666666661</v>
      </c>
      <c r="F133">
        <f t="shared" si="2"/>
        <v>0.39166666666666661</v>
      </c>
    </row>
    <row r="134" spans="1:6" x14ac:dyDescent="0.3">
      <c r="A134" t="s">
        <v>68</v>
      </c>
      <c r="B134" t="s">
        <v>2136</v>
      </c>
      <c r="C134">
        <v>1</v>
      </c>
      <c r="D134">
        <v>15</v>
      </c>
      <c r="E134">
        <f>IF(OR(B134="vi",B134="ii",B134="pod"),(((D134/100)*(C134*VLOOKUP(B134,'Poids des runes'!A:B,2,FALSE)))+1),(((D134/100)*(C134*VLOOKUP(B134,'Poids des runes'!A:B,2,FALSE)))+1)/VLOOKUP(B134,'Poids des runes'!A:B,2,FALSE))</f>
        <v>0.65</v>
      </c>
      <c r="F134">
        <f t="shared" si="2"/>
        <v>0.65</v>
      </c>
    </row>
    <row r="135" spans="1:6" x14ac:dyDescent="0.3">
      <c r="A135" t="s">
        <v>68</v>
      </c>
      <c r="B135" t="s">
        <v>2137</v>
      </c>
      <c r="C135">
        <v>1</v>
      </c>
      <c r="D135">
        <v>15</v>
      </c>
      <c r="E135">
        <f>IF(OR(B135="vi",B135="ii",B135="pod"),(((D135/100)*(C135*VLOOKUP(B135,'Poids des runes'!A:B,2,FALSE)))+1),(((D135/100)*(C135*VLOOKUP(B135,'Poids des runes'!A:B,2,FALSE)))+1)/VLOOKUP(B135,'Poids des runes'!A:B,2,FALSE))</f>
        <v>0.65</v>
      </c>
      <c r="F135">
        <f t="shared" si="2"/>
        <v>0.65</v>
      </c>
    </row>
    <row r="136" spans="1:6" x14ac:dyDescent="0.3">
      <c r="A136" t="s">
        <v>68</v>
      </c>
      <c r="B136" t="s">
        <v>2144</v>
      </c>
      <c r="C136">
        <v>1</v>
      </c>
      <c r="D136">
        <v>15</v>
      </c>
      <c r="E136">
        <f>IF(OR(B136="vi",B136="ii",B136="pod"),(((D136/100)*(C136*VLOOKUP(B136,'Poids des runes'!A:B,2,FALSE)))+1),(((D136/100)*(C136*VLOOKUP(B136,'Poids des runes'!A:B,2,FALSE)))+1)/VLOOKUP(B136,'Poids des runes'!A:B,2,FALSE))</f>
        <v>0.65</v>
      </c>
      <c r="F136">
        <f t="shared" si="2"/>
        <v>0.65</v>
      </c>
    </row>
    <row r="137" spans="1:6" x14ac:dyDescent="0.3">
      <c r="A137" t="s">
        <v>68</v>
      </c>
      <c r="B137" t="s">
        <v>2145</v>
      </c>
      <c r="C137">
        <v>1</v>
      </c>
      <c r="D137">
        <v>15</v>
      </c>
      <c r="E137">
        <f>IF(OR(B137="vi",B137="ii",B137="pod"),(((D137/100)*(C137*VLOOKUP(B137,'Poids des runes'!A:B,2,FALSE)))+1),(((D137/100)*(C137*VLOOKUP(B137,'Poids des runes'!A:B,2,FALSE)))+1)/VLOOKUP(B137,'Poids des runes'!A:B,2,FALSE))</f>
        <v>0.65</v>
      </c>
      <c r="F137">
        <f t="shared" si="2"/>
        <v>0.65</v>
      </c>
    </row>
    <row r="138" spans="1:6" x14ac:dyDescent="0.3">
      <c r="A138" t="s">
        <v>68</v>
      </c>
      <c r="B138" t="s">
        <v>2146</v>
      </c>
      <c r="C138">
        <v>1</v>
      </c>
      <c r="D138">
        <v>15</v>
      </c>
      <c r="E138">
        <f>IF(OR(B138="vi",B138="ii",B138="pod"),(((D138/100)*(C138*VLOOKUP(B138,'Poids des runes'!A:B,2,FALSE)))+1),(((D138/100)*(C138*VLOOKUP(B138,'Poids des runes'!A:B,2,FALSE)))+1)/VLOOKUP(B138,'Poids des runes'!A:B,2,FALSE))</f>
        <v>0.65</v>
      </c>
      <c r="F138">
        <f t="shared" si="2"/>
        <v>0.65</v>
      </c>
    </row>
    <row r="139" spans="1:6" x14ac:dyDescent="0.3">
      <c r="A139" t="s">
        <v>69</v>
      </c>
      <c r="B139" t="s">
        <v>2128</v>
      </c>
      <c r="C139">
        <v>23</v>
      </c>
      <c r="D139">
        <v>17</v>
      </c>
      <c r="E139">
        <f>IF(OR(B139="vi",B139="ii",B139="pod"),(((D139/100)*(C139*VLOOKUP(B139,'Poids des runes'!A:B,2,FALSE)))+1),(((D139/100)*(C139*VLOOKUP(B139,'Poids des runes'!A:B,2,FALSE)))+1)/VLOOKUP(B139,'Poids des runes'!A:B,2,FALSE))</f>
        <v>1.782</v>
      </c>
      <c r="F139">
        <f t="shared" si="2"/>
        <v>1.782</v>
      </c>
    </row>
    <row r="140" spans="1:6" x14ac:dyDescent="0.3">
      <c r="A140" t="s">
        <v>69</v>
      </c>
      <c r="B140" t="s">
        <v>2126</v>
      </c>
      <c r="C140">
        <v>13</v>
      </c>
      <c r="D140">
        <v>17</v>
      </c>
      <c r="E140">
        <f>IF(OR(B140="vi",B140="ii",B140="pod"),(((D140/100)*(C140*VLOOKUP(B140,'Poids des runes'!A:B,2,FALSE)))+1),(((D140/100)*(C140*VLOOKUP(B140,'Poids des runes'!A:B,2,FALSE)))+1)/VLOOKUP(B140,'Poids des runes'!A:B,2,FALSE))</f>
        <v>3.21</v>
      </c>
      <c r="F140">
        <f t="shared" si="2"/>
        <v>3.21</v>
      </c>
    </row>
    <row r="141" spans="1:6" x14ac:dyDescent="0.3">
      <c r="A141" t="s">
        <v>69</v>
      </c>
      <c r="B141" t="s">
        <v>2149</v>
      </c>
      <c r="C141">
        <v>2.5</v>
      </c>
      <c r="D141">
        <v>17</v>
      </c>
      <c r="E141">
        <f>IF(OR(B141="vi",B141="ii",B141="pod"),(((D141/100)*(C141*VLOOKUP(B141,'Poids des runes'!A:B,2,FALSE)))+1),(((D141/100)*(C141*VLOOKUP(B141,'Poids des runes'!A:B,2,FALSE)))+1)/VLOOKUP(B141,'Poids des runes'!A:B,2,FALSE))</f>
        <v>0.52500000000000002</v>
      </c>
      <c r="F141">
        <f t="shared" si="2"/>
        <v>0.52500000000000002</v>
      </c>
    </row>
    <row r="142" spans="1:6" x14ac:dyDescent="0.3">
      <c r="A142" t="s">
        <v>70</v>
      </c>
      <c r="B142" t="s">
        <v>2128</v>
      </c>
      <c r="C142">
        <v>8.5</v>
      </c>
      <c r="D142">
        <v>17</v>
      </c>
      <c r="E142">
        <f>IF(OR(B142="vi",B142="ii",B142="pod"),(((D142/100)*(C142*VLOOKUP(B142,'Poids des runes'!A:B,2,FALSE)))+1),(((D142/100)*(C142*VLOOKUP(B142,'Poids des runes'!A:B,2,FALSE)))+1)/VLOOKUP(B142,'Poids des runes'!A:B,2,FALSE))</f>
        <v>1.2890000000000001</v>
      </c>
      <c r="F142">
        <f t="shared" si="2"/>
        <v>1.2890000000000001</v>
      </c>
    </row>
    <row r="143" spans="1:6" x14ac:dyDescent="0.3">
      <c r="A143" t="s">
        <v>70</v>
      </c>
      <c r="B143" t="s">
        <v>2131</v>
      </c>
      <c r="C143">
        <v>8.5</v>
      </c>
      <c r="D143">
        <v>17</v>
      </c>
      <c r="E143">
        <f>IF(OR(B143="vi",B143="ii",B143="pod"),(((D143/100)*(C143*VLOOKUP(B143,'Poids des runes'!A:B,2,FALSE)))+1),(((D143/100)*(C143*VLOOKUP(B143,'Poids des runes'!A:B,2,FALSE)))+1)/VLOOKUP(B143,'Poids des runes'!A:B,2,FALSE))</f>
        <v>2.4450000000000003</v>
      </c>
      <c r="F143">
        <f t="shared" si="2"/>
        <v>2.4450000000000003</v>
      </c>
    </row>
    <row r="144" spans="1:6" x14ac:dyDescent="0.3">
      <c r="A144" t="s">
        <v>70</v>
      </c>
      <c r="B144" t="s">
        <v>2133</v>
      </c>
      <c r="C144">
        <v>1</v>
      </c>
      <c r="D144">
        <v>17</v>
      </c>
      <c r="E144">
        <f>IF(OR(B144="vi",B144="ii",B144="pod"),(((D144/100)*(C144*VLOOKUP(B144,'Poids des runes'!A:B,2,FALSE)))+1),(((D144/100)*(C144*VLOOKUP(B144,'Poids des runes'!A:B,2,FALSE)))+1)/VLOOKUP(B144,'Poids des runes'!A:B,2,FALSE))</f>
        <v>0.37</v>
      </c>
      <c r="F144">
        <f t="shared" si="2"/>
        <v>0.37</v>
      </c>
    </row>
    <row r="145" spans="1:6" x14ac:dyDescent="0.3">
      <c r="A145" t="s">
        <v>71</v>
      </c>
      <c r="B145" t="s">
        <v>2128</v>
      </c>
      <c r="C145">
        <v>13</v>
      </c>
      <c r="D145">
        <v>17</v>
      </c>
      <c r="E145">
        <f>IF(OR(B145="vi",B145="ii",B145="pod"),(((D145/100)*(C145*VLOOKUP(B145,'Poids des runes'!A:B,2,FALSE)))+1),(((D145/100)*(C145*VLOOKUP(B145,'Poids des runes'!A:B,2,FALSE)))+1)/VLOOKUP(B145,'Poids des runes'!A:B,2,FALSE))</f>
        <v>1.4420000000000002</v>
      </c>
      <c r="F145">
        <f t="shared" si="2"/>
        <v>1.4420000000000002</v>
      </c>
    </row>
    <row r="146" spans="1:6" x14ac:dyDescent="0.3">
      <c r="A146" t="s">
        <v>71</v>
      </c>
      <c r="B146" t="s">
        <v>2150</v>
      </c>
      <c r="C146">
        <v>1</v>
      </c>
      <c r="D146">
        <v>17</v>
      </c>
      <c r="E146">
        <f>IF(OR(B146="vi",B146="ii",B146="pod"),(((D146/100)*(C146*VLOOKUP(B146,'Poids des runes'!A:B,2,FALSE)))+1),(((D146/100)*(C146*VLOOKUP(B146,'Poids des runes'!A:B,2,FALSE)))+1)/VLOOKUP(B146,'Poids des runes'!A:B,2,FALSE))</f>
        <v>0.20333333333333334</v>
      </c>
      <c r="F146">
        <f t="shared" si="2"/>
        <v>0.20333333333333334</v>
      </c>
    </row>
    <row r="147" spans="1:6" x14ac:dyDescent="0.3">
      <c r="A147" t="s">
        <v>72</v>
      </c>
      <c r="B147" t="s">
        <v>2130</v>
      </c>
      <c r="C147">
        <v>18</v>
      </c>
      <c r="D147">
        <v>17</v>
      </c>
      <c r="E147">
        <f>IF(OR(B147="vi",B147="ii",B147="pod"),(((D147/100)*(C147*VLOOKUP(B147,'Poids des runes'!A:B,2,FALSE)))+1),(((D147/100)*(C147*VLOOKUP(B147,'Poids des runes'!A:B,2,FALSE)))+1)/VLOOKUP(B147,'Poids des runes'!A:B,2,FALSE))</f>
        <v>4.0600000000000005</v>
      </c>
      <c r="F147">
        <f t="shared" si="2"/>
        <v>4.0600000000000005</v>
      </c>
    </row>
    <row r="148" spans="1:6" x14ac:dyDescent="0.3">
      <c r="A148" t="s">
        <v>72</v>
      </c>
      <c r="B148" t="s">
        <v>2141</v>
      </c>
      <c r="C148">
        <v>4</v>
      </c>
      <c r="D148">
        <v>17</v>
      </c>
      <c r="E148">
        <f>IF(OR(B148="vi",B148="ii",B148="pod"),(((D148/100)*(C148*VLOOKUP(B148,'Poids des runes'!A:B,2,FALSE)))+1),(((D148/100)*(C148*VLOOKUP(B148,'Poids des runes'!A:B,2,FALSE)))+1)/VLOOKUP(B148,'Poids des runes'!A:B,2,FALSE))</f>
        <v>0.93</v>
      </c>
      <c r="F148">
        <f t="shared" si="2"/>
        <v>0.93</v>
      </c>
    </row>
    <row r="149" spans="1:6" x14ac:dyDescent="0.3">
      <c r="A149" t="s">
        <v>73</v>
      </c>
      <c r="B149" t="s">
        <v>2128</v>
      </c>
      <c r="C149">
        <v>13</v>
      </c>
      <c r="D149">
        <v>17</v>
      </c>
      <c r="E149">
        <f>IF(OR(B149="vi",B149="ii",B149="pod"),(((D149/100)*(C149*VLOOKUP(B149,'Poids des runes'!A:B,2,FALSE)))+1),(((D149/100)*(C149*VLOOKUP(B149,'Poids des runes'!A:B,2,FALSE)))+1)/VLOOKUP(B149,'Poids des runes'!A:B,2,FALSE))</f>
        <v>1.4420000000000002</v>
      </c>
      <c r="F149">
        <f t="shared" si="2"/>
        <v>1.4420000000000002</v>
      </c>
    </row>
    <row r="150" spans="1:6" x14ac:dyDescent="0.3">
      <c r="A150" t="s">
        <v>73</v>
      </c>
      <c r="B150" t="s">
        <v>2126</v>
      </c>
      <c r="C150">
        <v>25.5</v>
      </c>
      <c r="D150">
        <v>17</v>
      </c>
      <c r="E150">
        <f>IF(OR(B150="vi",B150="ii",B150="pod"),(((D150/100)*(C150*VLOOKUP(B150,'Poids des runes'!A:B,2,FALSE)))+1),(((D150/100)*(C150*VLOOKUP(B150,'Poids des runes'!A:B,2,FALSE)))+1)/VLOOKUP(B150,'Poids des runes'!A:B,2,FALSE))</f>
        <v>5.335</v>
      </c>
      <c r="F150">
        <f t="shared" si="2"/>
        <v>5.335</v>
      </c>
    </row>
    <row r="151" spans="1:6" x14ac:dyDescent="0.3">
      <c r="A151" t="s">
        <v>74</v>
      </c>
      <c r="B151" t="s">
        <v>2128</v>
      </c>
      <c r="C151">
        <v>28</v>
      </c>
      <c r="D151">
        <v>17</v>
      </c>
      <c r="E151">
        <f>IF(OR(B151="vi",B151="ii",B151="pod"),(((D151/100)*(C151*VLOOKUP(B151,'Poids des runes'!A:B,2,FALSE)))+1),(((D151/100)*(C151*VLOOKUP(B151,'Poids des runes'!A:B,2,FALSE)))+1)/VLOOKUP(B151,'Poids des runes'!A:B,2,FALSE))</f>
        <v>1.9520000000000002</v>
      </c>
      <c r="F151">
        <f t="shared" si="2"/>
        <v>1.9520000000000002</v>
      </c>
    </row>
    <row r="152" spans="1:6" x14ac:dyDescent="0.3">
      <c r="A152" t="s">
        <v>74</v>
      </c>
      <c r="B152" t="s">
        <v>2151</v>
      </c>
      <c r="C152">
        <v>3</v>
      </c>
      <c r="D152">
        <v>17</v>
      </c>
      <c r="E152">
        <f>IF(OR(B152="vi",B152="ii",B152="pod"),(((D152/100)*(C152*VLOOKUP(B152,'Poids des runes'!A:B,2,FALSE)))+1),(((D152/100)*(C152*VLOOKUP(B152,'Poids des runes'!A:B,2,FALSE)))+1)/VLOOKUP(B152,'Poids des runes'!A:B,2,FALSE))</f>
        <v>0.6100000000000001</v>
      </c>
      <c r="F152">
        <f t="shared" si="2"/>
        <v>0.6100000000000001</v>
      </c>
    </row>
    <row r="153" spans="1:6" x14ac:dyDescent="0.3">
      <c r="A153" t="s">
        <v>75</v>
      </c>
      <c r="B153" t="s">
        <v>2152</v>
      </c>
      <c r="C153">
        <v>1</v>
      </c>
      <c r="D153">
        <v>17</v>
      </c>
      <c r="E153">
        <f>IF(OR(B153="vi",B153="ii",B153="pod"),(((D153/100)*(C153*VLOOKUP(B153,'Poids des runes'!A:B,2,FALSE)))+1),(((D153/100)*(C153*VLOOKUP(B153,'Poids des runes'!A:B,2,FALSE)))+1)/VLOOKUP(B153,'Poids des runes'!A:B,2,FALSE))</f>
        <v>0.18</v>
      </c>
      <c r="F153">
        <f t="shared" si="2"/>
        <v>0.18</v>
      </c>
    </row>
    <row r="154" spans="1:6" x14ac:dyDescent="0.3">
      <c r="A154" t="s">
        <v>76</v>
      </c>
      <c r="B154" t="s">
        <v>2128</v>
      </c>
      <c r="C154">
        <v>13</v>
      </c>
      <c r="D154">
        <v>17</v>
      </c>
      <c r="E154">
        <f>IF(OR(B154="vi",B154="ii",B154="pod"),(((D154/100)*(C154*VLOOKUP(B154,'Poids des runes'!A:B,2,FALSE)))+1),(((D154/100)*(C154*VLOOKUP(B154,'Poids des runes'!A:B,2,FALSE)))+1)/VLOOKUP(B154,'Poids des runes'!A:B,2,FALSE))</f>
        <v>1.4420000000000002</v>
      </c>
      <c r="F154">
        <f t="shared" si="2"/>
        <v>1.4420000000000002</v>
      </c>
    </row>
    <row r="155" spans="1:6" x14ac:dyDescent="0.3">
      <c r="A155" t="s">
        <v>76</v>
      </c>
      <c r="B155" t="s">
        <v>2127</v>
      </c>
      <c r="C155">
        <v>13</v>
      </c>
      <c r="D155">
        <v>17</v>
      </c>
      <c r="E155">
        <f>IF(OR(B155="vi",B155="ii",B155="pod"),(((D155/100)*(C155*VLOOKUP(B155,'Poids des runes'!A:B,2,FALSE)))+1),(((D155/100)*(C155*VLOOKUP(B155,'Poids des runes'!A:B,2,FALSE)))+1)/VLOOKUP(B155,'Poids des runes'!A:B,2,FALSE))</f>
        <v>3.21</v>
      </c>
      <c r="F155">
        <f t="shared" si="2"/>
        <v>3.21</v>
      </c>
    </row>
    <row r="156" spans="1:6" x14ac:dyDescent="0.3">
      <c r="A156" t="s">
        <v>76</v>
      </c>
      <c r="B156" t="s">
        <v>2153</v>
      </c>
      <c r="C156">
        <v>2.5</v>
      </c>
      <c r="D156">
        <v>17</v>
      </c>
      <c r="E156">
        <f>IF(OR(B156="vi",B156="ii",B156="pod"),(((D156/100)*(C156*VLOOKUP(B156,'Poids des runes'!A:B,2,FALSE)))+1),(((D156/100)*(C156*VLOOKUP(B156,'Poids des runes'!A:B,2,FALSE)))+1)/VLOOKUP(B156,'Poids des runes'!A:B,2,FALSE))</f>
        <v>0.625</v>
      </c>
      <c r="F156">
        <f t="shared" si="2"/>
        <v>0.625</v>
      </c>
    </row>
    <row r="157" spans="1:6" x14ac:dyDescent="0.3">
      <c r="A157" t="s">
        <v>77</v>
      </c>
      <c r="B157" t="s">
        <v>2128</v>
      </c>
      <c r="C157">
        <v>30.5</v>
      </c>
      <c r="D157">
        <v>17</v>
      </c>
      <c r="E157">
        <f>IF(OR(B157="vi",B157="ii",B157="pod"),(((D157/100)*(C157*VLOOKUP(B157,'Poids des runes'!A:B,2,FALSE)))+1),(((D157/100)*(C157*VLOOKUP(B157,'Poids des runes'!A:B,2,FALSE)))+1)/VLOOKUP(B157,'Poids des runes'!A:B,2,FALSE))</f>
        <v>2.0369999999999999</v>
      </c>
      <c r="F157">
        <f t="shared" si="2"/>
        <v>2.0369999999999999</v>
      </c>
    </row>
    <row r="158" spans="1:6" x14ac:dyDescent="0.3">
      <c r="A158" t="s">
        <v>77</v>
      </c>
      <c r="B158" t="s">
        <v>2138</v>
      </c>
      <c r="C158">
        <v>4</v>
      </c>
      <c r="D158">
        <v>17</v>
      </c>
      <c r="E158">
        <f>IF(OR(B158="vi",B158="ii",B158="pod"),(((D158/100)*(C158*VLOOKUP(B158,'Poids des runes'!A:B,2,FALSE)))+1),(((D158/100)*(C158*VLOOKUP(B158,'Poids des runes'!A:B,2,FALSE)))+1)/VLOOKUP(B158,'Poids des runes'!A:B,2,FALSE))</f>
        <v>0.93</v>
      </c>
      <c r="F158">
        <f t="shared" si="2"/>
        <v>0.93</v>
      </c>
    </row>
    <row r="159" spans="1:6" x14ac:dyDescent="0.3">
      <c r="A159" t="s">
        <v>78</v>
      </c>
      <c r="B159" t="s">
        <v>2128</v>
      </c>
      <c r="C159">
        <v>8</v>
      </c>
      <c r="D159">
        <v>17</v>
      </c>
      <c r="E159">
        <f>IF(OR(B159="vi",B159="ii",B159="pod"),(((D159/100)*(C159*VLOOKUP(B159,'Poids des runes'!A:B,2,FALSE)))+1),(((D159/100)*(C159*VLOOKUP(B159,'Poids des runes'!A:B,2,FALSE)))+1)/VLOOKUP(B159,'Poids des runes'!A:B,2,FALSE))</f>
        <v>1.272</v>
      </c>
      <c r="F159">
        <f t="shared" si="2"/>
        <v>1.272</v>
      </c>
    </row>
    <row r="160" spans="1:6" x14ac:dyDescent="0.3">
      <c r="A160" t="s">
        <v>78</v>
      </c>
      <c r="B160" t="s">
        <v>2150</v>
      </c>
      <c r="C160">
        <v>1</v>
      </c>
      <c r="D160">
        <v>17</v>
      </c>
      <c r="E160">
        <f>IF(OR(B160="vi",B160="ii",B160="pod"),(((D160/100)*(C160*VLOOKUP(B160,'Poids des runes'!A:B,2,FALSE)))+1),(((D160/100)*(C160*VLOOKUP(B160,'Poids des runes'!A:B,2,FALSE)))+1)/VLOOKUP(B160,'Poids des runes'!A:B,2,FALSE))</f>
        <v>0.20333333333333334</v>
      </c>
      <c r="F160">
        <f t="shared" si="2"/>
        <v>0.20333333333333334</v>
      </c>
    </row>
    <row r="161" spans="1:6" x14ac:dyDescent="0.3">
      <c r="A161" t="s">
        <v>79</v>
      </c>
      <c r="B161" t="s">
        <v>2154</v>
      </c>
      <c r="C161">
        <v>1</v>
      </c>
      <c r="D161">
        <v>17</v>
      </c>
      <c r="E161">
        <f>IF(OR(B161="vi",B161="ii",B161="pod"),(((D161/100)*(C161*VLOOKUP(B161,'Poids des runes'!A:B,2,FALSE)))+1),(((D161/100)*(C161*VLOOKUP(B161,'Poids des runes'!A:B,2,FALSE)))+1)/VLOOKUP(B161,'Poids des runes'!A:B,2,FALSE))</f>
        <v>0.18111111111111111</v>
      </c>
      <c r="F161">
        <f t="shared" si="2"/>
        <v>0.18111111111111111</v>
      </c>
    </row>
    <row r="162" spans="1:6" x14ac:dyDescent="0.3">
      <c r="A162" t="s">
        <v>80</v>
      </c>
      <c r="B162" t="s">
        <v>2128</v>
      </c>
      <c r="C162">
        <v>13</v>
      </c>
      <c r="D162">
        <v>18</v>
      </c>
      <c r="E162">
        <f>IF(OR(B162="vi",B162="ii",B162="pod"),(((D162/100)*(C162*VLOOKUP(B162,'Poids des runes'!A:B,2,FALSE)))+1),(((D162/100)*(C162*VLOOKUP(B162,'Poids des runes'!A:B,2,FALSE)))+1)/VLOOKUP(B162,'Poids des runes'!A:B,2,FALSE))</f>
        <v>1.468</v>
      </c>
      <c r="F162">
        <f t="shared" si="2"/>
        <v>1.468</v>
      </c>
    </row>
    <row r="163" spans="1:6" x14ac:dyDescent="0.3">
      <c r="A163" t="s">
        <v>80</v>
      </c>
      <c r="B163" t="s">
        <v>2127</v>
      </c>
      <c r="C163">
        <v>25.5</v>
      </c>
      <c r="D163">
        <v>18</v>
      </c>
      <c r="E163">
        <f>IF(OR(B163="vi",B163="ii",B163="pod"),(((D163/100)*(C163*VLOOKUP(B163,'Poids des runes'!A:B,2,FALSE)))+1),(((D163/100)*(C163*VLOOKUP(B163,'Poids des runes'!A:B,2,FALSE)))+1)/VLOOKUP(B163,'Poids des runes'!A:B,2,FALSE))</f>
        <v>5.59</v>
      </c>
      <c r="F163">
        <f t="shared" si="2"/>
        <v>5.59</v>
      </c>
    </row>
    <row r="164" spans="1:6" x14ac:dyDescent="0.3">
      <c r="A164" t="s">
        <v>81</v>
      </c>
      <c r="B164" t="s">
        <v>2128</v>
      </c>
      <c r="C164">
        <v>13</v>
      </c>
      <c r="D164">
        <v>18</v>
      </c>
      <c r="E164">
        <f>IF(OR(B164="vi",B164="ii",B164="pod"),(((D164/100)*(C164*VLOOKUP(B164,'Poids des runes'!A:B,2,FALSE)))+1),(((D164/100)*(C164*VLOOKUP(B164,'Poids des runes'!A:B,2,FALSE)))+1)/VLOOKUP(B164,'Poids des runes'!A:B,2,FALSE))</f>
        <v>1.468</v>
      </c>
      <c r="F164">
        <f t="shared" si="2"/>
        <v>1.468</v>
      </c>
    </row>
    <row r="165" spans="1:6" x14ac:dyDescent="0.3">
      <c r="A165" t="s">
        <v>81</v>
      </c>
      <c r="B165" t="s">
        <v>2130</v>
      </c>
      <c r="C165">
        <v>25.5</v>
      </c>
      <c r="D165">
        <v>18</v>
      </c>
      <c r="E165">
        <f>IF(OR(B165="vi",B165="ii",B165="pod"),(((D165/100)*(C165*VLOOKUP(B165,'Poids des runes'!A:B,2,FALSE)))+1),(((D165/100)*(C165*VLOOKUP(B165,'Poids des runes'!A:B,2,FALSE)))+1)/VLOOKUP(B165,'Poids des runes'!A:B,2,FALSE))</f>
        <v>5.59</v>
      </c>
      <c r="F165">
        <f t="shared" si="2"/>
        <v>5.59</v>
      </c>
    </row>
    <row r="166" spans="1:6" x14ac:dyDescent="0.3">
      <c r="A166" t="s">
        <v>82</v>
      </c>
      <c r="B166" t="s">
        <v>2128</v>
      </c>
      <c r="C166">
        <v>8</v>
      </c>
      <c r="D166">
        <v>18</v>
      </c>
      <c r="E166">
        <f>IF(OR(B166="vi",B166="ii",B166="pod"),(((D166/100)*(C166*VLOOKUP(B166,'Poids des runes'!A:B,2,FALSE)))+1),(((D166/100)*(C166*VLOOKUP(B166,'Poids des runes'!A:B,2,FALSE)))+1)/VLOOKUP(B166,'Poids des runes'!A:B,2,FALSE))</f>
        <v>1.288</v>
      </c>
      <c r="F166">
        <f t="shared" si="2"/>
        <v>1.288</v>
      </c>
    </row>
    <row r="167" spans="1:6" x14ac:dyDescent="0.3">
      <c r="A167" t="s">
        <v>82</v>
      </c>
      <c r="B167" t="s">
        <v>2129</v>
      </c>
      <c r="C167">
        <v>6.5</v>
      </c>
      <c r="D167">
        <v>18</v>
      </c>
      <c r="E167">
        <f>IF(OR(B167="vi",B167="ii",B167="pod"),(((D167/100)*(C167*VLOOKUP(B167,'Poids des runes'!A:B,2,FALSE)))+1),(((D167/100)*(C167*VLOOKUP(B167,'Poids des runes'!A:B,2,FALSE)))+1)/VLOOKUP(B167,'Poids des runes'!A:B,2,FALSE))</f>
        <v>2.17</v>
      </c>
      <c r="F167">
        <f t="shared" si="2"/>
        <v>2.17</v>
      </c>
    </row>
    <row r="168" spans="1:6" x14ac:dyDescent="0.3">
      <c r="A168" t="s">
        <v>83</v>
      </c>
      <c r="B168" t="s">
        <v>2128</v>
      </c>
      <c r="C168">
        <v>25.5</v>
      </c>
      <c r="D168">
        <v>18</v>
      </c>
      <c r="E168">
        <f>IF(OR(B168="vi",B168="ii",B168="pod"),(((D168/100)*(C168*VLOOKUP(B168,'Poids des runes'!A:B,2,FALSE)))+1),(((D168/100)*(C168*VLOOKUP(B168,'Poids des runes'!A:B,2,FALSE)))+1)/VLOOKUP(B168,'Poids des runes'!A:B,2,FALSE))</f>
        <v>1.9180000000000001</v>
      </c>
      <c r="F168">
        <f t="shared" si="2"/>
        <v>1.9180000000000001</v>
      </c>
    </row>
    <row r="169" spans="1:6" x14ac:dyDescent="0.3">
      <c r="A169" t="s">
        <v>83</v>
      </c>
      <c r="B169" t="s">
        <v>2129</v>
      </c>
      <c r="C169">
        <v>8.5</v>
      </c>
      <c r="D169">
        <v>18</v>
      </c>
      <c r="E169">
        <f>IF(OR(B169="vi",B169="ii",B169="pod"),(((D169/100)*(C169*VLOOKUP(B169,'Poids des runes'!A:B,2,FALSE)))+1),(((D169/100)*(C169*VLOOKUP(B169,'Poids des runes'!A:B,2,FALSE)))+1)/VLOOKUP(B169,'Poids des runes'!A:B,2,FALSE))</f>
        <v>2.5300000000000002</v>
      </c>
      <c r="F169">
        <f t="shared" si="2"/>
        <v>2.5300000000000002</v>
      </c>
    </row>
    <row r="170" spans="1:6" x14ac:dyDescent="0.3">
      <c r="A170" t="s">
        <v>83</v>
      </c>
      <c r="B170" t="s">
        <v>2140</v>
      </c>
      <c r="C170">
        <v>2.5</v>
      </c>
      <c r="D170">
        <v>18</v>
      </c>
      <c r="E170">
        <f>IF(OR(B170="vi",B170="ii",B170="pod"),(((D170/100)*(C170*VLOOKUP(B170,'Poids des runes'!A:B,2,FALSE)))+1),(((D170/100)*(C170*VLOOKUP(B170,'Poids des runes'!A:B,2,FALSE)))+1)/VLOOKUP(B170,'Poids des runes'!A:B,2,FALSE))</f>
        <v>0.65</v>
      </c>
      <c r="F170">
        <f t="shared" si="2"/>
        <v>0.65</v>
      </c>
    </row>
    <row r="171" spans="1:6" x14ac:dyDescent="0.3">
      <c r="A171" t="s">
        <v>84</v>
      </c>
      <c r="B171" t="s">
        <v>2128</v>
      </c>
      <c r="C171">
        <v>25.5</v>
      </c>
      <c r="D171">
        <v>18</v>
      </c>
      <c r="E171">
        <f>IF(OR(B171="vi",B171="ii",B171="pod"),(((D171/100)*(C171*VLOOKUP(B171,'Poids des runes'!A:B,2,FALSE)))+1),(((D171/100)*(C171*VLOOKUP(B171,'Poids des runes'!A:B,2,FALSE)))+1)/VLOOKUP(B171,'Poids des runes'!A:B,2,FALSE))</f>
        <v>1.9180000000000001</v>
      </c>
      <c r="F171">
        <f t="shared" si="2"/>
        <v>1.9180000000000001</v>
      </c>
    </row>
    <row r="172" spans="1:6" x14ac:dyDescent="0.3">
      <c r="A172" t="s">
        <v>84</v>
      </c>
      <c r="B172" t="s">
        <v>2129</v>
      </c>
      <c r="C172">
        <v>8.5</v>
      </c>
      <c r="D172">
        <v>18</v>
      </c>
      <c r="E172">
        <f>IF(OR(B172="vi",B172="ii",B172="pod"),(((D172/100)*(C172*VLOOKUP(B172,'Poids des runes'!A:B,2,FALSE)))+1),(((D172/100)*(C172*VLOOKUP(B172,'Poids des runes'!A:B,2,FALSE)))+1)/VLOOKUP(B172,'Poids des runes'!A:B,2,FALSE))</f>
        <v>2.5300000000000002</v>
      </c>
      <c r="F172">
        <f t="shared" si="2"/>
        <v>2.5300000000000002</v>
      </c>
    </row>
    <row r="173" spans="1:6" x14ac:dyDescent="0.3">
      <c r="A173" t="s">
        <v>84</v>
      </c>
      <c r="B173" t="s">
        <v>2133</v>
      </c>
      <c r="C173">
        <v>2.5</v>
      </c>
      <c r="D173">
        <v>18</v>
      </c>
      <c r="E173">
        <f>IF(OR(B173="vi",B173="ii",B173="pod"),(((D173/100)*(C173*VLOOKUP(B173,'Poids des runes'!A:B,2,FALSE)))+1),(((D173/100)*(C173*VLOOKUP(B173,'Poids des runes'!A:B,2,FALSE)))+1)/VLOOKUP(B173,'Poids des runes'!A:B,2,FALSE))</f>
        <v>0.65</v>
      </c>
      <c r="F173">
        <f t="shared" si="2"/>
        <v>0.65</v>
      </c>
    </row>
    <row r="174" spans="1:6" x14ac:dyDescent="0.3">
      <c r="A174" t="s">
        <v>85</v>
      </c>
      <c r="B174" t="s">
        <v>2128</v>
      </c>
      <c r="C174">
        <v>25.5</v>
      </c>
      <c r="D174">
        <v>18</v>
      </c>
      <c r="E174">
        <f>IF(OR(B174="vi",B174="ii",B174="pod"),(((D174/100)*(C174*VLOOKUP(B174,'Poids des runes'!A:B,2,FALSE)))+1),(((D174/100)*(C174*VLOOKUP(B174,'Poids des runes'!A:B,2,FALSE)))+1)/VLOOKUP(B174,'Poids des runes'!A:B,2,FALSE))</f>
        <v>1.9180000000000001</v>
      </c>
      <c r="F174">
        <f t="shared" si="2"/>
        <v>1.9180000000000001</v>
      </c>
    </row>
    <row r="175" spans="1:6" x14ac:dyDescent="0.3">
      <c r="A175" t="s">
        <v>85</v>
      </c>
      <c r="B175" t="s">
        <v>2129</v>
      </c>
      <c r="C175">
        <v>4</v>
      </c>
      <c r="D175">
        <v>18</v>
      </c>
      <c r="E175">
        <f>IF(OR(B175="vi",B175="ii",B175="pod"),(((D175/100)*(C175*VLOOKUP(B175,'Poids des runes'!A:B,2,FALSE)))+1),(((D175/100)*(C175*VLOOKUP(B175,'Poids des runes'!A:B,2,FALSE)))+1)/VLOOKUP(B175,'Poids des runes'!A:B,2,FALSE))</f>
        <v>1.72</v>
      </c>
      <c r="F175">
        <f t="shared" si="2"/>
        <v>1.72</v>
      </c>
    </row>
    <row r="176" spans="1:6" x14ac:dyDescent="0.3">
      <c r="A176" t="s">
        <v>85</v>
      </c>
      <c r="B176" t="s">
        <v>2134</v>
      </c>
      <c r="C176">
        <v>1.5</v>
      </c>
      <c r="D176">
        <v>18</v>
      </c>
      <c r="E176">
        <f>IF(OR(B176="vi",B176="ii",B176="pod"),(((D176/100)*(C176*VLOOKUP(B176,'Poids des runes'!A:B,2,FALSE)))+1),(((D176/100)*(C176*VLOOKUP(B176,'Poids des runes'!A:B,2,FALSE)))+1)/VLOOKUP(B176,'Poids des runes'!A:B,2,FALSE))</f>
        <v>0.31999999999999995</v>
      </c>
      <c r="F176">
        <f t="shared" si="2"/>
        <v>0.31999999999999995</v>
      </c>
    </row>
    <row r="177" spans="1:6" x14ac:dyDescent="0.3">
      <c r="A177" t="s">
        <v>86</v>
      </c>
      <c r="B177" t="s">
        <v>2128</v>
      </c>
      <c r="C177">
        <v>25.5</v>
      </c>
      <c r="D177">
        <v>18</v>
      </c>
      <c r="E177">
        <f>IF(OR(B177="vi",B177="ii",B177="pod"),(((D177/100)*(C177*VLOOKUP(B177,'Poids des runes'!A:B,2,FALSE)))+1),(((D177/100)*(C177*VLOOKUP(B177,'Poids des runes'!A:B,2,FALSE)))+1)/VLOOKUP(B177,'Poids des runes'!A:B,2,FALSE))</f>
        <v>1.9180000000000001</v>
      </c>
      <c r="F177">
        <f t="shared" si="2"/>
        <v>1.9180000000000001</v>
      </c>
    </row>
    <row r="178" spans="1:6" x14ac:dyDescent="0.3">
      <c r="A178" t="s">
        <v>86</v>
      </c>
      <c r="B178" t="s">
        <v>2129</v>
      </c>
      <c r="C178">
        <v>8.5</v>
      </c>
      <c r="D178">
        <v>18</v>
      </c>
      <c r="E178">
        <f>IF(OR(B178="vi",B178="ii",B178="pod"),(((D178/100)*(C178*VLOOKUP(B178,'Poids des runes'!A:B,2,FALSE)))+1),(((D178/100)*(C178*VLOOKUP(B178,'Poids des runes'!A:B,2,FALSE)))+1)/VLOOKUP(B178,'Poids des runes'!A:B,2,FALSE))</f>
        <v>2.5300000000000002</v>
      </c>
      <c r="F178">
        <f t="shared" si="2"/>
        <v>2.5300000000000002</v>
      </c>
    </row>
    <row r="179" spans="1:6" x14ac:dyDescent="0.3">
      <c r="A179" t="s">
        <v>86</v>
      </c>
      <c r="B179" t="s">
        <v>2153</v>
      </c>
      <c r="C179">
        <v>2.5</v>
      </c>
      <c r="D179">
        <v>18</v>
      </c>
      <c r="E179">
        <f>IF(OR(B179="vi",B179="ii",B179="pod"),(((D179/100)*(C179*VLOOKUP(B179,'Poids des runes'!A:B,2,FALSE)))+1),(((D179/100)*(C179*VLOOKUP(B179,'Poids des runes'!A:B,2,FALSE)))+1)/VLOOKUP(B179,'Poids des runes'!A:B,2,FALSE))</f>
        <v>0.65</v>
      </c>
      <c r="F179">
        <f t="shared" si="2"/>
        <v>0.65</v>
      </c>
    </row>
    <row r="180" spans="1:6" x14ac:dyDescent="0.3">
      <c r="A180" t="s">
        <v>87</v>
      </c>
      <c r="B180" t="s">
        <v>2128</v>
      </c>
      <c r="C180">
        <v>25.5</v>
      </c>
      <c r="D180">
        <v>18</v>
      </c>
      <c r="E180">
        <f>IF(OR(B180="vi",B180="ii",B180="pod"),(((D180/100)*(C180*VLOOKUP(B180,'Poids des runes'!A:B,2,FALSE)))+1),(((D180/100)*(C180*VLOOKUP(B180,'Poids des runes'!A:B,2,FALSE)))+1)/VLOOKUP(B180,'Poids des runes'!A:B,2,FALSE))</f>
        <v>1.9180000000000001</v>
      </c>
      <c r="F180">
        <f t="shared" si="2"/>
        <v>1.9180000000000001</v>
      </c>
    </row>
    <row r="181" spans="1:6" x14ac:dyDescent="0.3">
      <c r="A181" t="s">
        <v>87</v>
      </c>
      <c r="B181" t="s">
        <v>2129</v>
      </c>
      <c r="C181">
        <v>8.5</v>
      </c>
      <c r="D181">
        <v>18</v>
      </c>
      <c r="E181">
        <f>IF(OR(B181="vi",B181="ii",B181="pod"),(((D181/100)*(C181*VLOOKUP(B181,'Poids des runes'!A:B,2,FALSE)))+1),(((D181/100)*(C181*VLOOKUP(B181,'Poids des runes'!A:B,2,FALSE)))+1)/VLOOKUP(B181,'Poids des runes'!A:B,2,FALSE))</f>
        <v>2.5300000000000002</v>
      </c>
      <c r="F181">
        <f t="shared" si="2"/>
        <v>2.5300000000000002</v>
      </c>
    </row>
    <row r="182" spans="1:6" x14ac:dyDescent="0.3">
      <c r="A182" t="s">
        <v>87</v>
      </c>
      <c r="B182" t="s">
        <v>2143</v>
      </c>
      <c r="C182">
        <v>2.5</v>
      </c>
      <c r="D182">
        <v>18</v>
      </c>
      <c r="E182">
        <f>IF(OR(B182="vi",B182="ii",B182="pod"),(((D182/100)*(C182*VLOOKUP(B182,'Poids des runes'!A:B,2,FALSE)))+1),(((D182/100)*(C182*VLOOKUP(B182,'Poids des runes'!A:B,2,FALSE)))+1)/VLOOKUP(B182,'Poids des runes'!A:B,2,FALSE))</f>
        <v>0.65</v>
      </c>
      <c r="F182">
        <f t="shared" si="2"/>
        <v>0.65</v>
      </c>
    </row>
    <row r="183" spans="1:6" x14ac:dyDescent="0.3">
      <c r="A183" t="s">
        <v>88</v>
      </c>
      <c r="B183" t="s">
        <v>2128</v>
      </c>
      <c r="C183">
        <v>28</v>
      </c>
      <c r="D183">
        <v>18</v>
      </c>
      <c r="E183">
        <f>IF(OR(B183="vi",B183="ii",B183="pod"),(((D183/100)*(C183*VLOOKUP(B183,'Poids des runes'!A:B,2,FALSE)))+1),(((D183/100)*(C183*VLOOKUP(B183,'Poids des runes'!A:B,2,FALSE)))+1)/VLOOKUP(B183,'Poids des runes'!A:B,2,FALSE))</f>
        <v>2.008</v>
      </c>
      <c r="F183">
        <f t="shared" si="2"/>
        <v>2.008</v>
      </c>
    </row>
    <row r="184" spans="1:6" x14ac:dyDescent="0.3">
      <c r="A184" t="s">
        <v>88</v>
      </c>
      <c r="B184" t="s">
        <v>2129</v>
      </c>
      <c r="C184">
        <v>13</v>
      </c>
      <c r="D184">
        <v>18</v>
      </c>
      <c r="E184">
        <f>IF(OR(B184="vi",B184="ii",B184="pod"),(((D184/100)*(C184*VLOOKUP(B184,'Poids des runes'!A:B,2,FALSE)))+1),(((D184/100)*(C184*VLOOKUP(B184,'Poids des runes'!A:B,2,FALSE)))+1)/VLOOKUP(B184,'Poids des runes'!A:B,2,FALSE))</f>
        <v>3.34</v>
      </c>
      <c r="F184">
        <f t="shared" si="2"/>
        <v>3.34</v>
      </c>
    </row>
    <row r="185" spans="1:6" x14ac:dyDescent="0.3">
      <c r="A185" t="s">
        <v>89</v>
      </c>
      <c r="B185" t="s">
        <v>2128</v>
      </c>
      <c r="C185">
        <v>15.5</v>
      </c>
      <c r="D185">
        <v>19</v>
      </c>
      <c r="E185">
        <f>IF(OR(B185="vi",B185="ii",B185="pod"),(((D185/100)*(C185*VLOOKUP(B185,'Poids des runes'!A:B,2,FALSE)))+1),(((D185/100)*(C185*VLOOKUP(B185,'Poids des runes'!A:B,2,FALSE)))+1)/VLOOKUP(B185,'Poids des runes'!A:B,2,FALSE))</f>
        <v>1.589</v>
      </c>
      <c r="F185">
        <f t="shared" si="2"/>
        <v>1.589</v>
      </c>
    </row>
    <row r="186" spans="1:6" x14ac:dyDescent="0.3">
      <c r="A186" t="s">
        <v>89</v>
      </c>
      <c r="B186" t="s">
        <v>2126</v>
      </c>
      <c r="C186">
        <v>13</v>
      </c>
      <c r="D186">
        <v>19</v>
      </c>
      <c r="E186">
        <f>IF(OR(B186="vi",B186="ii",B186="pod"),(((D186/100)*(C186*VLOOKUP(B186,'Poids des runes'!A:B,2,FALSE)))+1),(((D186/100)*(C186*VLOOKUP(B186,'Poids des runes'!A:B,2,FALSE)))+1)/VLOOKUP(B186,'Poids des runes'!A:B,2,FALSE))</f>
        <v>3.47</v>
      </c>
      <c r="F186">
        <f t="shared" si="2"/>
        <v>3.47</v>
      </c>
    </row>
    <row r="187" spans="1:6" x14ac:dyDescent="0.3">
      <c r="A187" t="s">
        <v>89</v>
      </c>
      <c r="B187" t="s">
        <v>2140</v>
      </c>
      <c r="C187">
        <v>2</v>
      </c>
      <c r="D187">
        <v>19</v>
      </c>
      <c r="E187">
        <f>IF(OR(B187="vi",B187="ii",B187="pod"),(((D187/100)*(C187*VLOOKUP(B187,'Poids des runes'!A:B,2,FALSE)))+1),(((D187/100)*(C187*VLOOKUP(B187,'Poids des runes'!A:B,2,FALSE)))+1)/VLOOKUP(B187,'Poids des runes'!A:B,2,FALSE))</f>
        <v>0.57999999999999996</v>
      </c>
      <c r="F187">
        <f t="shared" si="2"/>
        <v>0.57999999999999996</v>
      </c>
    </row>
    <row r="188" spans="1:6" x14ac:dyDescent="0.3">
      <c r="A188" t="s">
        <v>90</v>
      </c>
      <c r="B188" t="s">
        <v>2128</v>
      </c>
      <c r="C188">
        <v>15.5</v>
      </c>
      <c r="D188">
        <v>19</v>
      </c>
      <c r="E188">
        <f>IF(OR(B188="vi",B188="ii",B188="pod"),(((D188/100)*(C188*VLOOKUP(B188,'Poids des runes'!A:B,2,FALSE)))+1),(((D188/100)*(C188*VLOOKUP(B188,'Poids des runes'!A:B,2,FALSE)))+1)/VLOOKUP(B188,'Poids des runes'!A:B,2,FALSE))</f>
        <v>1.589</v>
      </c>
      <c r="F188">
        <f t="shared" si="2"/>
        <v>1.589</v>
      </c>
    </row>
    <row r="189" spans="1:6" x14ac:dyDescent="0.3">
      <c r="A189" t="s">
        <v>90</v>
      </c>
      <c r="B189" t="s">
        <v>2131</v>
      </c>
      <c r="C189">
        <v>13</v>
      </c>
      <c r="D189">
        <v>19</v>
      </c>
      <c r="E189">
        <f>IF(OR(B189="vi",B189="ii",B189="pod"),(((D189/100)*(C189*VLOOKUP(B189,'Poids des runes'!A:B,2,FALSE)))+1),(((D189/100)*(C189*VLOOKUP(B189,'Poids des runes'!A:B,2,FALSE)))+1)/VLOOKUP(B189,'Poids des runes'!A:B,2,FALSE))</f>
        <v>3.47</v>
      </c>
      <c r="F189">
        <f t="shared" si="2"/>
        <v>3.47</v>
      </c>
    </row>
    <row r="190" spans="1:6" x14ac:dyDescent="0.3">
      <c r="A190" t="s">
        <v>90</v>
      </c>
      <c r="B190" t="s">
        <v>2133</v>
      </c>
      <c r="C190">
        <v>2.5</v>
      </c>
      <c r="D190">
        <v>19</v>
      </c>
      <c r="E190">
        <f>IF(OR(B190="vi",B190="ii",B190="pod"),(((D190/100)*(C190*VLOOKUP(B190,'Poids des runes'!A:B,2,FALSE)))+1),(((D190/100)*(C190*VLOOKUP(B190,'Poids des runes'!A:B,2,FALSE)))+1)/VLOOKUP(B190,'Poids des runes'!A:B,2,FALSE))</f>
        <v>0.67500000000000004</v>
      </c>
      <c r="F190">
        <f t="shared" si="2"/>
        <v>0.67500000000000004</v>
      </c>
    </row>
    <row r="191" spans="1:6" x14ac:dyDescent="0.3">
      <c r="A191" t="s">
        <v>91</v>
      </c>
      <c r="B191" t="s">
        <v>2128</v>
      </c>
      <c r="C191">
        <v>15.5</v>
      </c>
      <c r="D191">
        <v>19</v>
      </c>
      <c r="E191">
        <f>IF(OR(B191="vi",B191="ii",B191="pod"),(((D191/100)*(C191*VLOOKUP(B191,'Poids des runes'!A:B,2,FALSE)))+1),(((D191/100)*(C191*VLOOKUP(B191,'Poids des runes'!A:B,2,FALSE)))+1)/VLOOKUP(B191,'Poids des runes'!A:B,2,FALSE))</f>
        <v>1.589</v>
      </c>
      <c r="F191">
        <f t="shared" si="2"/>
        <v>1.589</v>
      </c>
    </row>
    <row r="192" spans="1:6" x14ac:dyDescent="0.3">
      <c r="A192" t="s">
        <v>91</v>
      </c>
      <c r="B192" t="s">
        <v>2127</v>
      </c>
      <c r="C192">
        <v>13</v>
      </c>
      <c r="D192">
        <v>19</v>
      </c>
      <c r="E192">
        <f>IF(OR(B192="vi",B192="ii",B192="pod"),(((D192/100)*(C192*VLOOKUP(B192,'Poids des runes'!A:B,2,FALSE)))+1),(((D192/100)*(C192*VLOOKUP(B192,'Poids des runes'!A:B,2,FALSE)))+1)/VLOOKUP(B192,'Poids des runes'!A:B,2,FALSE))</f>
        <v>3.47</v>
      </c>
      <c r="F192">
        <f t="shared" si="2"/>
        <v>3.47</v>
      </c>
    </row>
    <row r="193" spans="1:6" x14ac:dyDescent="0.3">
      <c r="A193" t="s">
        <v>91</v>
      </c>
      <c r="B193" t="s">
        <v>2153</v>
      </c>
      <c r="C193">
        <v>2.5</v>
      </c>
      <c r="D193">
        <v>19</v>
      </c>
      <c r="E193">
        <f>IF(OR(B193="vi",B193="ii",B193="pod"),(((D193/100)*(C193*VLOOKUP(B193,'Poids des runes'!A:B,2,FALSE)))+1),(((D193/100)*(C193*VLOOKUP(B193,'Poids des runes'!A:B,2,FALSE)))+1)/VLOOKUP(B193,'Poids des runes'!A:B,2,FALSE))</f>
        <v>0.67500000000000004</v>
      </c>
      <c r="F193">
        <f t="shared" si="2"/>
        <v>0.67500000000000004</v>
      </c>
    </row>
    <row r="194" spans="1:6" x14ac:dyDescent="0.3">
      <c r="A194" t="s">
        <v>92</v>
      </c>
      <c r="B194" t="s">
        <v>2128</v>
      </c>
      <c r="C194">
        <v>25.5</v>
      </c>
      <c r="D194">
        <v>19</v>
      </c>
      <c r="E194">
        <f>IF(OR(B194="vi",B194="ii",B194="pod"),(((D194/100)*(C194*VLOOKUP(B194,'Poids des runes'!A:B,2,FALSE)))+1),(((D194/100)*(C194*VLOOKUP(B194,'Poids des runes'!A:B,2,FALSE)))+1)/VLOOKUP(B194,'Poids des runes'!A:B,2,FALSE))</f>
        <v>1.9690000000000001</v>
      </c>
      <c r="F194">
        <f t="shared" si="2"/>
        <v>1.9690000000000001</v>
      </c>
    </row>
    <row r="195" spans="1:6" x14ac:dyDescent="0.3">
      <c r="A195" t="s">
        <v>92</v>
      </c>
      <c r="B195" t="s">
        <v>2139</v>
      </c>
      <c r="C195">
        <v>13</v>
      </c>
      <c r="D195">
        <v>19</v>
      </c>
      <c r="E195">
        <f>IF(OR(B195="vi",B195="ii",B195="pod"),(((D195/100)*(C195*VLOOKUP(B195,'Poids des runes'!A:B,2,FALSE)))+1),(((D195/100)*(C195*VLOOKUP(B195,'Poids des runes'!A:B,2,FALSE)))+1)/VLOOKUP(B195,'Poids des runes'!A:B,2,FALSE))</f>
        <v>2.97</v>
      </c>
      <c r="F195">
        <f t="shared" ref="F195:F258" si="3">E195</f>
        <v>2.97</v>
      </c>
    </row>
    <row r="196" spans="1:6" x14ac:dyDescent="0.3">
      <c r="A196" t="s">
        <v>93</v>
      </c>
      <c r="B196" t="s">
        <v>2128</v>
      </c>
      <c r="C196">
        <v>25.5</v>
      </c>
      <c r="D196">
        <v>19</v>
      </c>
      <c r="E196">
        <f>IF(OR(B196="vi",B196="ii",B196="pod"),(((D196/100)*(C196*VLOOKUP(B196,'Poids des runes'!A:B,2,FALSE)))+1),(((D196/100)*(C196*VLOOKUP(B196,'Poids des runes'!A:B,2,FALSE)))+1)/VLOOKUP(B196,'Poids des runes'!A:B,2,FALSE))</f>
        <v>1.9690000000000001</v>
      </c>
      <c r="F196">
        <f t="shared" si="3"/>
        <v>1.9690000000000001</v>
      </c>
    </row>
    <row r="197" spans="1:6" x14ac:dyDescent="0.3">
      <c r="A197" t="s">
        <v>93</v>
      </c>
      <c r="B197" t="s">
        <v>2138</v>
      </c>
      <c r="C197">
        <v>3.5</v>
      </c>
      <c r="D197">
        <v>19</v>
      </c>
      <c r="E197">
        <f>IF(OR(B197="vi",B197="ii",B197="pod"),(((D197/100)*(C197*VLOOKUP(B197,'Poids des runes'!A:B,2,FALSE)))+1),(((D197/100)*(C197*VLOOKUP(B197,'Poids des runes'!A:B,2,FALSE)))+1)/VLOOKUP(B197,'Poids des runes'!A:B,2,FALSE))</f>
        <v>0.91500000000000004</v>
      </c>
      <c r="F197">
        <f t="shared" si="3"/>
        <v>0.91500000000000004</v>
      </c>
    </row>
    <row r="198" spans="1:6" x14ac:dyDescent="0.3">
      <c r="A198" t="s">
        <v>93</v>
      </c>
      <c r="B198" t="s">
        <v>2141</v>
      </c>
      <c r="C198">
        <v>3.5</v>
      </c>
      <c r="D198">
        <v>19</v>
      </c>
      <c r="E198">
        <f>IF(OR(B198="vi",B198="ii",B198="pod"),(((D198/100)*(C198*VLOOKUP(B198,'Poids des runes'!A:B,2,FALSE)))+1),(((D198/100)*(C198*VLOOKUP(B198,'Poids des runes'!A:B,2,FALSE)))+1)/VLOOKUP(B198,'Poids des runes'!A:B,2,FALSE))</f>
        <v>0.91500000000000004</v>
      </c>
      <c r="F198">
        <f t="shared" si="3"/>
        <v>0.91500000000000004</v>
      </c>
    </row>
    <row r="199" spans="1:6" x14ac:dyDescent="0.3">
      <c r="A199" t="s">
        <v>94</v>
      </c>
      <c r="B199" t="s">
        <v>2128</v>
      </c>
      <c r="C199">
        <v>15.5</v>
      </c>
      <c r="D199">
        <v>19</v>
      </c>
      <c r="E199">
        <f>IF(OR(B199="vi",B199="ii",B199="pod"),(((D199/100)*(C199*VLOOKUP(B199,'Poids des runes'!A:B,2,FALSE)))+1),(((D199/100)*(C199*VLOOKUP(B199,'Poids des runes'!A:B,2,FALSE)))+1)/VLOOKUP(B199,'Poids des runes'!A:B,2,FALSE))</f>
        <v>1.589</v>
      </c>
      <c r="F199">
        <f t="shared" si="3"/>
        <v>1.589</v>
      </c>
    </row>
    <row r="200" spans="1:6" x14ac:dyDescent="0.3">
      <c r="A200" t="s">
        <v>94</v>
      </c>
      <c r="B200" t="s">
        <v>2130</v>
      </c>
      <c r="C200">
        <v>13</v>
      </c>
      <c r="D200">
        <v>19</v>
      </c>
      <c r="E200">
        <f>IF(OR(B200="vi",B200="ii",B200="pod"),(((D200/100)*(C200*VLOOKUP(B200,'Poids des runes'!A:B,2,FALSE)))+1),(((D200/100)*(C200*VLOOKUP(B200,'Poids des runes'!A:B,2,FALSE)))+1)/VLOOKUP(B200,'Poids des runes'!A:B,2,FALSE))</f>
        <v>3.47</v>
      </c>
      <c r="F200">
        <f t="shared" si="3"/>
        <v>3.47</v>
      </c>
    </row>
    <row r="201" spans="1:6" x14ac:dyDescent="0.3">
      <c r="A201" t="s">
        <v>94</v>
      </c>
      <c r="B201" t="s">
        <v>2143</v>
      </c>
      <c r="C201">
        <v>2.5</v>
      </c>
      <c r="D201">
        <v>19</v>
      </c>
      <c r="E201">
        <f>IF(OR(B201="vi",B201="ii",B201="pod"),(((D201/100)*(C201*VLOOKUP(B201,'Poids des runes'!A:B,2,FALSE)))+1),(((D201/100)*(C201*VLOOKUP(B201,'Poids des runes'!A:B,2,FALSE)))+1)/VLOOKUP(B201,'Poids des runes'!A:B,2,FALSE))</f>
        <v>0.67500000000000004</v>
      </c>
      <c r="F201">
        <f t="shared" si="3"/>
        <v>0.67500000000000004</v>
      </c>
    </row>
    <row r="202" spans="1:6" x14ac:dyDescent="0.3">
      <c r="A202" t="s">
        <v>95</v>
      </c>
      <c r="B202" t="s">
        <v>2128</v>
      </c>
      <c r="C202">
        <v>20.5</v>
      </c>
      <c r="D202">
        <v>19</v>
      </c>
      <c r="E202">
        <f>IF(OR(B202="vi",B202="ii",B202="pod"),(((D202/100)*(C202*VLOOKUP(B202,'Poids des runes'!A:B,2,FALSE)))+1),(((D202/100)*(C202*VLOOKUP(B202,'Poids des runes'!A:B,2,FALSE)))+1)/VLOOKUP(B202,'Poids des runes'!A:B,2,FALSE))</f>
        <v>1.7790000000000001</v>
      </c>
      <c r="F202">
        <f t="shared" si="3"/>
        <v>1.7790000000000001</v>
      </c>
    </row>
    <row r="203" spans="1:6" x14ac:dyDescent="0.3">
      <c r="A203" t="s">
        <v>95</v>
      </c>
      <c r="B203" t="s">
        <v>2129</v>
      </c>
      <c r="C203">
        <v>5</v>
      </c>
      <c r="D203">
        <v>19</v>
      </c>
      <c r="E203">
        <f>IF(OR(B203="vi",B203="ii",B203="pod"),(((D203/100)*(C203*VLOOKUP(B203,'Poids des runes'!A:B,2,FALSE)))+1),(((D203/100)*(C203*VLOOKUP(B203,'Poids des runes'!A:B,2,FALSE)))+1)/VLOOKUP(B203,'Poids des runes'!A:B,2,FALSE))</f>
        <v>1.95</v>
      </c>
      <c r="F203">
        <f t="shared" si="3"/>
        <v>1.95</v>
      </c>
    </row>
    <row r="204" spans="1:6" x14ac:dyDescent="0.3">
      <c r="A204" t="s">
        <v>95</v>
      </c>
      <c r="B204" t="s">
        <v>2138</v>
      </c>
      <c r="C204">
        <v>3.5</v>
      </c>
      <c r="D204">
        <v>19</v>
      </c>
      <c r="E204">
        <f>IF(OR(B204="vi",B204="ii",B204="pod"),(((D204/100)*(C204*VLOOKUP(B204,'Poids des runes'!A:B,2,FALSE)))+1),(((D204/100)*(C204*VLOOKUP(B204,'Poids des runes'!A:B,2,FALSE)))+1)/VLOOKUP(B204,'Poids des runes'!A:B,2,FALSE))</f>
        <v>0.91500000000000004</v>
      </c>
      <c r="F204">
        <f t="shared" si="3"/>
        <v>0.91500000000000004</v>
      </c>
    </row>
    <row r="205" spans="1:6" x14ac:dyDescent="0.3">
      <c r="A205" t="s">
        <v>95</v>
      </c>
      <c r="B205" t="s">
        <v>2141</v>
      </c>
      <c r="C205">
        <v>3.5</v>
      </c>
      <c r="D205">
        <v>19</v>
      </c>
      <c r="E205">
        <f>IF(OR(B205="vi",B205="ii",B205="pod"),(((D205/100)*(C205*VLOOKUP(B205,'Poids des runes'!A:B,2,FALSE)))+1),(((D205/100)*(C205*VLOOKUP(B205,'Poids des runes'!A:B,2,FALSE)))+1)/VLOOKUP(B205,'Poids des runes'!A:B,2,FALSE))</f>
        <v>0.91500000000000004</v>
      </c>
      <c r="F205">
        <f t="shared" si="3"/>
        <v>0.91500000000000004</v>
      </c>
    </row>
    <row r="206" spans="1:6" x14ac:dyDescent="0.3">
      <c r="A206" t="s">
        <v>96</v>
      </c>
      <c r="B206" t="s">
        <v>2128</v>
      </c>
      <c r="C206">
        <v>15.5</v>
      </c>
      <c r="D206">
        <v>20</v>
      </c>
      <c r="E206">
        <f>IF(OR(B206="vi",B206="ii",B206="pod"),(((D206/100)*(C206*VLOOKUP(B206,'Poids des runes'!A:B,2,FALSE)))+1),(((D206/100)*(C206*VLOOKUP(B206,'Poids des runes'!A:B,2,FALSE)))+1)/VLOOKUP(B206,'Poids des runes'!A:B,2,FALSE))</f>
        <v>1.62</v>
      </c>
      <c r="F206">
        <f t="shared" si="3"/>
        <v>1.62</v>
      </c>
    </row>
    <row r="207" spans="1:6" x14ac:dyDescent="0.3">
      <c r="A207" t="s">
        <v>96</v>
      </c>
      <c r="B207" t="s">
        <v>2139</v>
      </c>
      <c r="C207">
        <v>13</v>
      </c>
      <c r="D207">
        <v>20</v>
      </c>
      <c r="E207">
        <f>IF(OR(B207="vi",B207="ii",B207="pod"),(((D207/100)*(C207*VLOOKUP(B207,'Poids des runes'!A:B,2,FALSE)))+1),(((D207/100)*(C207*VLOOKUP(B207,'Poids des runes'!A:B,2,FALSE)))+1)/VLOOKUP(B207,'Poids des runes'!A:B,2,FALSE))</f>
        <v>3.1</v>
      </c>
      <c r="F207">
        <f t="shared" si="3"/>
        <v>3.1</v>
      </c>
    </row>
    <row r="208" spans="1:6" x14ac:dyDescent="0.3">
      <c r="A208" t="s">
        <v>97</v>
      </c>
      <c r="B208" t="s">
        <v>2131</v>
      </c>
      <c r="C208">
        <v>23</v>
      </c>
      <c r="D208">
        <v>20</v>
      </c>
      <c r="E208">
        <f>IF(OR(B208="vi",B208="ii",B208="pod"),(((D208/100)*(C208*VLOOKUP(B208,'Poids des runes'!A:B,2,FALSE)))+1),(((D208/100)*(C208*VLOOKUP(B208,'Poids des runes'!A:B,2,FALSE)))+1)/VLOOKUP(B208,'Poids des runes'!A:B,2,FALSE))</f>
        <v>5.6000000000000005</v>
      </c>
      <c r="F208">
        <f t="shared" si="3"/>
        <v>5.6000000000000005</v>
      </c>
    </row>
    <row r="209" spans="1:6" x14ac:dyDescent="0.3">
      <c r="A209" t="s">
        <v>97</v>
      </c>
      <c r="B209" t="s">
        <v>2141</v>
      </c>
      <c r="C209">
        <v>3.5</v>
      </c>
      <c r="D209">
        <v>20</v>
      </c>
      <c r="E209">
        <f>IF(OR(B209="vi",B209="ii",B209="pod"),(((D209/100)*(C209*VLOOKUP(B209,'Poids des runes'!A:B,2,FALSE)))+1),(((D209/100)*(C209*VLOOKUP(B209,'Poids des runes'!A:B,2,FALSE)))+1)/VLOOKUP(B209,'Poids des runes'!A:B,2,FALSE))</f>
        <v>0.95000000000000007</v>
      </c>
      <c r="F209">
        <f t="shared" si="3"/>
        <v>0.95000000000000007</v>
      </c>
    </row>
    <row r="210" spans="1:6" x14ac:dyDescent="0.3">
      <c r="A210" t="s">
        <v>98</v>
      </c>
      <c r="B210" t="s">
        <v>2136</v>
      </c>
      <c r="C210">
        <v>5.5</v>
      </c>
      <c r="D210">
        <v>20</v>
      </c>
      <c r="E210">
        <f>IF(OR(B210="vi",B210="ii",B210="pod"),(((D210/100)*(C210*VLOOKUP(B210,'Poids des runes'!A:B,2,FALSE)))+1),(((D210/100)*(C210*VLOOKUP(B210,'Poids des runes'!A:B,2,FALSE)))+1)/VLOOKUP(B210,'Poids des runes'!A:B,2,FALSE))</f>
        <v>1.6</v>
      </c>
      <c r="F210">
        <f t="shared" si="3"/>
        <v>1.6</v>
      </c>
    </row>
    <row r="211" spans="1:6" x14ac:dyDescent="0.3">
      <c r="A211" t="s">
        <v>98</v>
      </c>
      <c r="B211" t="s">
        <v>2137</v>
      </c>
      <c r="C211">
        <v>5.5</v>
      </c>
      <c r="D211">
        <v>20</v>
      </c>
      <c r="E211">
        <f>IF(OR(B211="vi",B211="ii",B211="pod"),(((D211/100)*(C211*VLOOKUP(B211,'Poids des runes'!A:B,2,FALSE)))+1),(((D211/100)*(C211*VLOOKUP(B211,'Poids des runes'!A:B,2,FALSE)))+1)/VLOOKUP(B211,'Poids des runes'!A:B,2,FALSE))</f>
        <v>1.6</v>
      </c>
      <c r="F211">
        <f t="shared" si="3"/>
        <v>1.6</v>
      </c>
    </row>
    <row r="212" spans="1:6" x14ac:dyDescent="0.3">
      <c r="A212" t="s">
        <v>98</v>
      </c>
      <c r="B212" t="s">
        <v>2144</v>
      </c>
      <c r="C212">
        <v>5.5</v>
      </c>
      <c r="D212">
        <v>20</v>
      </c>
      <c r="E212">
        <f>IF(OR(B212="vi",B212="ii",B212="pod"),(((D212/100)*(C212*VLOOKUP(B212,'Poids des runes'!A:B,2,FALSE)))+1),(((D212/100)*(C212*VLOOKUP(B212,'Poids des runes'!A:B,2,FALSE)))+1)/VLOOKUP(B212,'Poids des runes'!A:B,2,FALSE))</f>
        <v>1.6</v>
      </c>
      <c r="F212">
        <f t="shared" si="3"/>
        <v>1.6</v>
      </c>
    </row>
    <row r="213" spans="1:6" x14ac:dyDescent="0.3">
      <c r="A213" t="s">
        <v>98</v>
      </c>
      <c r="B213" t="s">
        <v>2145</v>
      </c>
      <c r="C213">
        <v>5.5</v>
      </c>
      <c r="D213">
        <v>20</v>
      </c>
      <c r="E213">
        <f>IF(OR(B213="vi",B213="ii",B213="pod"),(((D213/100)*(C213*VLOOKUP(B213,'Poids des runes'!A:B,2,FALSE)))+1),(((D213/100)*(C213*VLOOKUP(B213,'Poids des runes'!A:B,2,FALSE)))+1)/VLOOKUP(B213,'Poids des runes'!A:B,2,FALSE))</f>
        <v>1.6</v>
      </c>
      <c r="F213">
        <f t="shared" si="3"/>
        <v>1.6</v>
      </c>
    </row>
    <row r="214" spans="1:6" x14ac:dyDescent="0.3">
      <c r="A214" t="s">
        <v>98</v>
      </c>
      <c r="B214" t="s">
        <v>2146</v>
      </c>
      <c r="C214">
        <v>5.5</v>
      </c>
      <c r="D214">
        <v>20</v>
      </c>
      <c r="E214">
        <f>IF(OR(B214="vi",B214="ii",B214="pod"),(((D214/100)*(C214*VLOOKUP(B214,'Poids des runes'!A:B,2,FALSE)))+1),(((D214/100)*(C214*VLOOKUP(B214,'Poids des runes'!A:B,2,FALSE)))+1)/VLOOKUP(B214,'Poids des runes'!A:B,2,FALSE))</f>
        <v>1.6</v>
      </c>
      <c r="F214">
        <f t="shared" si="3"/>
        <v>1.6</v>
      </c>
    </row>
    <row r="215" spans="1:6" x14ac:dyDescent="0.3">
      <c r="A215" t="s">
        <v>99</v>
      </c>
      <c r="B215" t="s">
        <v>2128</v>
      </c>
      <c r="C215">
        <v>13</v>
      </c>
      <c r="D215">
        <v>20</v>
      </c>
      <c r="E215">
        <f>IF(OR(B215="vi",B215="ii",B215="pod"),(((D215/100)*(C215*VLOOKUP(B215,'Poids des runes'!A:B,2,FALSE)))+1),(((D215/100)*(C215*VLOOKUP(B215,'Poids des runes'!A:B,2,FALSE)))+1)/VLOOKUP(B215,'Poids des runes'!A:B,2,FALSE))</f>
        <v>1.52</v>
      </c>
      <c r="F215">
        <f t="shared" si="3"/>
        <v>1.52</v>
      </c>
    </row>
    <row r="216" spans="1:6" x14ac:dyDescent="0.3">
      <c r="A216" t="s">
        <v>99</v>
      </c>
      <c r="B216" t="s">
        <v>2129</v>
      </c>
      <c r="C216">
        <v>3</v>
      </c>
      <c r="D216">
        <v>20</v>
      </c>
      <c r="E216">
        <f>IF(OR(B216="vi",B216="ii",B216="pod"),(((D216/100)*(C216*VLOOKUP(B216,'Poids des runes'!A:B,2,FALSE)))+1),(((D216/100)*(C216*VLOOKUP(B216,'Poids des runes'!A:B,2,FALSE)))+1)/VLOOKUP(B216,'Poids des runes'!A:B,2,FALSE))</f>
        <v>1.6</v>
      </c>
      <c r="F216">
        <f t="shared" si="3"/>
        <v>1.6</v>
      </c>
    </row>
    <row r="217" spans="1:6" x14ac:dyDescent="0.3">
      <c r="A217" t="s">
        <v>100</v>
      </c>
      <c r="B217" t="s">
        <v>2132</v>
      </c>
      <c r="C217">
        <v>75.5</v>
      </c>
      <c r="D217">
        <v>20</v>
      </c>
      <c r="E217">
        <f>IF(OR(B217="vi",B217="ii",B217="pod"),(((D217/100)*(C217*VLOOKUP(B217,'Poids des runes'!A:B,2,FALSE)))+1),(((D217/100)*(C217*VLOOKUP(B217,'Poids des runes'!A:B,2,FALSE)))+1)/VLOOKUP(B217,'Poids des runes'!A:B,2,FALSE))</f>
        <v>2.5100000000000002</v>
      </c>
      <c r="F217">
        <f t="shared" si="3"/>
        <v>2.5100000000000002</v>
      </c>
    </row>
    <row r="218" spans="1:6" x14ac:dyDescent="0.3">
      <c r="A218" t="s">
        <v>101</v>
      </c>
      <c r="B218" t="s">
        <v>2128</v>
      </c>
      <c r="C218">
        <v>13</v>
      </c>
      <c r="D218">
        <v>20</v>
      </c>
      <c r="E218">
        <f>IF(OR(B218="vi",B218="ii",B218="pod"),(((D218/100)*(C218*VLOOKUP(B218,'Poids des runes'!A:B,2,FALSE)))+1),(((D218/100)*(C218*VLOOKUP(B218,'Poids des runes'!A:B,2,FALSE)))+1)/VLOOKUP(B218,'Poids des runes'!A:B,2,FALSE))</f>
        <v>1.52</v>
      </c>
      <c r="F218">
        <f t="shared" si="3"/>
        <v>1.52</v>
      </c>
    </row>
    <row r="219" spans="1:6" x14ac:dyDescent="0.3">
      <c r="A219" t="s">
        <v>101</v>
      </c>
      <c r="B219" t="s">
        <v>2130</v>
      </c>
      <c r="C219">
        <v>13</v>
      </c>
      <c r="D219">
        <v>20</v>
      </c>
      <c r="E219">
        <f>IF(OR(B219="vi",B219="ii",B219="pod"),(((D219/100)*(C219*VLOOKUP(B219,'Poids des runes'!A:B,2,FALSE)))+1),(((D219/100)*(C219*VLOOKUP(B219,'Poids des runes'!A:B,2,FALSE)))+1)/VLOOKUP(B219,'Poids des runes'!A:B,2,FALSE))</f>
        <v>3.6</v>
      </c>
      <c r="F219">
        <f t="shared" si="3"/>
        <v>3.6</v>
      </c>
    </row>
    <row r="220" spans="1:6" x14ac:dyDescent="0.3">
      <c r="A220" t="s">
        <v>102</v>
      </c>
      <c r="B220" t="s">
        <v>2128</v>
      </c>
      <c r="C220">
        <v>10.5</v>
      </c>
      <c r="D220">
        <v>20</v>
      </c>
      <c r="E220">
        <f>IF(OR(B220="vi",B220="ii",B220="pod"),(((D220/100)*(C220*VLOOKUP(B220,'Poids des runes'!A:B,2,FALSE)))+1),(((D220/100)*(C220*VLOOKUP(B220,'Poids des runes'!A:B,2,FALSE)))+1)/VLOOKUP(B220,'Poids des runes'!A:B,2,FALSE))</f>
        <v>1.42</v>
      </c>
      <c r="F220">
        <f t="shared" si="3"/>
        <v>1.42</v>
      </c>
    </row>
    <row r="221" spans="1:6" x14ac:dyDescent="0.3">
      <c r="A221" t="s">
        <v>103</v>
      </c>
      <c r="B221" t="s">
        <v>2129</v>
      </c>
      <c r="C221">
        <v>6</v>
      </c>
      <c r="D221">
        <v>20</v>
      </c>
      <c r="E221">
        <f>IF(OR(B221="vi",B221="ii",B221="pod"),(((D221/100)*(C221*VLOOKUP(B221,'Poids des runes'!A:B,2,FALSE)))+1),(((D221/100)*(C221*VLOOKUP(B221,'Poids des runes'!A:B,2,FALSE)))+1)/VLOOKUP(B221,'Poids des runes'!A:B,2,FALSE))</f>
        <v>2.2000000000000002</v>
      </c>
      <c r="F221">
        <f t="shared" si="3"/>
        <v>2.2000000000000002</v>
      </c>
    </row>
    <row r="222" spans="1:6" x14ac:dyDescent="0.3">
      <c r="A222" t="s">
        <v>103</v>
      </c>
      <c r="B222" t="s">
        <v>2155</v>
      </c>
      <c r="C222">
        <v>1</v>
      </c>
      <c r="D222">
        <v>20</v>
      </c>
      <c r="E222">
        <f>IF(OR(B222="vi",B222="ii",B222="pod"),(((D222/100)*(C222*VLOOKUP(B222,'Poids des runes'!A:B,2,FALSE)))+1),(((D222/100)*(C222*VLOOKUP(B222,'Poids des runes'!A:B,2,FALSE)))+1)/VLOOKUP(B222,'Poids des runes'!A:B,2,FALSE))</f>
        <v>0.21960784313725493</v>
      </c>
      <c r="F222">
        <f t="shared" si="3"/>
        <v>0.21960784313725493</v>
      </c>
    </row>
    <row r="223" spans="1:6" x14ac:dyDescent="0.3">
      <c r="A223" t="s">
        <v>104</v>
      </c>
      <c r="B223" t="s">
        <v>2131</v>
      </c>
      <c r="C223">
        <v>15.5</v>
      </c>
      <c r="D223">
        <v>20</v>
      </c>
      <c r="E223">
        <f>IF(OR(B223="vi",B223="ii",B223="pod"),(((D223/100)*(C223*VLOOKUP(B223,'Poids des runes'!A:B,2,FALSE)))+1),(((D223/100)*(C223*VLOOKUP(B223,'Poids des runes'!A:B,2,FALSE)))+1)/VLOOKUP(B223,'Poids des runes'!A:B,2,FALSE))</f>
        <v>4.0999999999999996</v>
      </c>
      <c r="F223">
        <f t="shared" si="3"/>
        <v>4.0999999999999996</v>
      </c>
    </row>
    <row r="224" spans="1:6" x14ac:dyDescent="0.3">
      <c r="A224" t="s">
        <v>104</v>
      </c>
      <c r="B224" t="s">
        <v>2127</v>
      </c>
      <c r="C224">
        <v>15.5</v>
      </c>
      <c r="D224">
        <v>20</v>
      </c>
      <c r="E224">
        <f>IF(OR(B224="vi",B224="ii",B224="pod"),(((D224/100)*(C224*VLOOKUP(B224,'Poids des runes'!A:B,2,FALSE)))+1),(((D224/100)*(C224*VLOOKUP(B224,'Poids des runes'!A:B,2,FALSE)))+1)/VLOOKUP(B224,'Poids des runes'!A:B,2,FALSE))</f>
        <v>4.0999999999999996</v>
      </c>
      <c r="F224">
        <f t="shared" si="3"/>
        <v>4.0999999999999996</v>
      </c>
    </row>
    <row r="225" spans="1:6" x14ac:dyDescent="0.3">
      <c r="A225" t="s">
        <v>105</v>
      </c>
      <c r="B225" t="s">
        <v>2128</v>
      </c>
      <c r="C225">
        <v>18</v>
      </c>
      <c r="D225">
        <v>20</v>
      </c>
      <c r="E225">
        <f>IF(OR(B225="vi",B225="ii",B225="pod"),(((D225/100)*(C225*VLOOKUP(B225,'Poids des runes'!A:B,2,FALSE)))+1),(((D225/100)*(C225*VLOOKUP(B225,'Poids des runes'!A:B,2,FALSE)))+1)/VLOOKUP(B225,'Poids des runes'!A:B,2,FALSE))</f>
        <v>1.7200000000000002</v>
      </c>
      <c r="F225">
        <f t="shared" si="3"/>
        <v>1.7200000000000002</v>
      </c>
    </row>
    <row r="226" spans="1:6" x14ac:dyDescent="0.3">
      <c r="A226" t="s">
        <v>105</v>
      </c>
      <c r="B226" t="s">
        <v>2126</v>
      </c>
      <c r="C226">
        <v>18</v>
      </c>
      <c r="D226">
        <v>20</v>
      </c>
      <c r="E226">
        <f>IF(OR(B226="vi",B226="ii",B226="pod"),(((D226/100)*(C226*VLOOKUP(B226,'Poids des runes'!A:B,2,FALSE)))+1),(((D226/100)*(C226*VLOOKUP(B226,'Poids des runes'!A:B,2,FALSE)))+1)/VLOOKUP(B226,'Poids des runes'!A:B,2,FALSE))</f>
        <v>4.5999999999999996</v>
      </c>
      <c r="F226">
        <f t="shared" si="3"/>
        <v>4.5999999999999996</v>
      </c>
    </row>
    <row r="227" spans="1:6" x14ac:dyDescent="0.3">
      <c r="A227" t="s">
        <v>105</v>
      </c>
      <c r="B227" t="s">
        <v>2138</v>
      </c>
      <c r="C227">
        <v>2.5</v>
      </c>
      <c r="D227">
        <v>20</v>
      </c>
      <c r="E227">
        <f>IF(OR(B227="vi",B227="ii",B227="pod"),(((D227/100)*(C227*VLOOKUP(B227,'Poids des runes'!A:B,2,FALSE)))+1),(((D227/100)*(C227*VLOOKUP(B227,'Poids des runes'!A:B,2,FALSE)))+1)/VLOOKUP(B227,'Poids des runes'!A:B,2,FALSE))</f>
        <v>0.75</v>
      </c>
      <c r="F227">
        <f t="shared" si="3"/>
        <v>0.75</v>
      </c>
    </row>
    <row r="228" spans="1:6" x14ac:dyDescent="0.3">
      <c r="A228" t="s">
        <v>106</v>
      </c>
      <c r="B228" t="s">
        <v>2128</v>
      </c>
      <c r="C228">
        <v>18</v>
      </c>
      <c r="D228">
        <v>20</v>
      </c>
      <c r="E228">
        <f>IF(OR(B228="vi",B228="ii",B228="pod"),(((D228/100)*(C228*VLOOKUP(B228,'Poids des runes'!A:B,2,FALSE)))+1),(((D228/100)*(C228*VLOOKUP(B228,'Poids des runes'!A:B,2,FALSE)))+1)/VLOOKUP(B228,'Poids des runes'!A:B,2,FALSE))</f>
        <v>1.7200000000000002</v>
      </c>
      <c r="F228">
        <f t="shared" si="3"/>
        <v>1.7200000000000002</v>
      </c>
    </row>
    <row r="229" spans="1:6" x14ac:dyDescent="0.3">
      <c r="A229" t="s">
        <v>106</v>
      </c>
      <c r="B229" t="s">
        <v>2131</v>
      </c>
      <c r="C229">
        <v>18</v>
      </c>
      <c r="D229">
        <v>20</v>
      </c>
      <c r="E229">
        <f>IF(OR(B229="vi",B229="ii",B229="pod"),(((D229/100)*(C229*VLOOKUP(B229,'Poids des runes'!A:B,2,FALSE)))+1),(((D229/100)*(C229*VLOOKUP(B229,'Poids des runes'!A:B,2,FALSE)))+1)/VLOOKUP(B229,'Poids des runes'!A:B,2,FALSE))</f>
        <v>4.5999999999999996</v>
      </c>
      <c r="F229">
        <f t="shared" si="3"/>
        <v>4.5999999999999996</v>
      </c>
    </row>
    <row r="230" spans="1:6" x14ac:dyDescent="0.3">
      <c r="A230" t="s">
        <v>106</v>
      </c>
      <c r="B230" t="s">
        <v>2141</v>
      </c>
      <c r="C230">
        <v>2.5</v>
      </c>
      <c r="D230">
        <v>20</v>
      </c>
      <c r="E230">
        <f>IF(OR(B230="vi",B230="ii",B230="pod"),(((D230/100)*(C230*VLOOKUP(B230,'Poids des runes'!A:B,2,FALSE)))+1),(((D230/100)*(C230*VLOOKUP(B230,'Poids des runes'!A:B,2,FALSE)))+1)/VLOOKUP(B230,'Poids des runes'!A:B,2,FALSE))</f>
        <v>0.75</v>
      </c>
      <c r="F230">
        <f t="shared" si="3"/>
        <v>0.75</v>
      </c>
    </row>
    <row r="231" spans="1:6" x14ac:dyDescent="0.3">
      <c r="A231" t="s">
        <v>107</v>
      </c>
      <c r="B231" t="s">
        <v>2128</v>
      </c>
      <c r="C231">
        <v>25.5</v>
      </c>
      <c r="D231">
        <v>20</v>
      </c>
      <c r="E231">
        <f>IF(OR(B231="vi",B231="ii",B231="pod"),(((D231/100)*(C231*VLOOKUP(B231,'Poids des runes'!A:B,2,FALSE)))+1),(((D231/100)*(C231*VLOOKUP(B231,'Poids des runes'!A:B,2,FALSE)))+1)/VLOOKUP(B231,'Poids des runes'!A:B,2,FALSE))</f>
        <v>2.0200000000000005</v>
      </c>
      <c r="F231">
        <f t="shared" si="3"/>
        <v>2.0200000000000005</v>
      </c>
    </row>
    <row r="232" spans="1:6" x14ac:dyDescent="0.3">
      <c r="A232" t="s">
        <v>107</v>
      </c>
      <c r="B232" t="s">
        <v>2139</v>
      </c>
      <c r="C232">
        <v>18</v>
      </c>
      <c r="D232">
        <v>20</v>
      </c>
      <c r="E232">
        <f>IF(OR(B232="vi",B232="ii",B232="pod"),(((D232/100)*(C232*VLOOKUP(B232,'Poids des runes'!A:B,2,FALSE)))+1),(((D232/100)*(C232*VLOOKUP(B232,'Poids des runes'!A:B,2,FALSE)))+1)/VLOOKUP(B232,'Poids des runes'!A:B,2,FALSE))</f>
        <v>4.0999999999999996</v>
      </c>
      <c r="F232">
        <f t="shared" si="3"/>
        <v>4.0999999999999996</v>
      </c>
    </row>
    <row r="233" spans="1:6" x14ac:dyDescent="0.3">
      <c r="A233" t="s">
        <v>108</v>
      </c>
      <c r="B233" t="s">
        <v>2128</v>
      </c>
      <c r="C233">
        <v>18</v>
      </c>
      <c r="D233">
        <v>20</v>
      </c>
      <c r="E233">
        <f>IF(OR(B233="vi",B233="ii",B233="pod"),(((D233/100)*(C233*VLOOKUP(B233,'Poids des runes'!A:B,2,FALSE)))+1),(((D233/100)*(C233*VLOOKUP(B233,'Poids des runes'!A:B,2,FALSE)))+1)/VLOOKUP(B233,'Poids des runes'!A:B,2,FALSE))</f>
        <v>1.7200000000000002</v>
      </c>
      <c r="F233">
        <f t="shared" si="3"/>
        <v>1.7200000000000002</v>
      </c>
    </row>
    <row r="234" spans="1:6" x14ac:dyDescent="0.3">
      <c r="A234" t="s">
        <v>108</v>
      </c>
      <c r="B234" t="s">
        <v>2127</v>
      </c>
      <c r="C234">
        <v>18</v>
      </c>
      <c r="D234">
        <v>20</v>
      </c>
      <c r="E234">
        <f>IF(OR(B234="vi",B234="ii",B234="pod"),(((D234/100)*(C234*VLOOKUP(B234,'Poids des runes'!A:B,2,FALSE)))+1),(((D234/100)*(C234*VLOOKUP(B234,'Poids des runes'!A:B,2,FALSE)))+1)/VLOOKUP(B234,'Poids des runes'!A:B,2,FALSE))</f>
        <v>4.5999999999999996</v>
      </c>
      <c r="F234">
        <f t="shared" si="3"/>
        <v>4.5999999999999996</v>
      </c>
    </row>
    <row r="235" spans="1:6" x14ac:dyDescent="0.3">
      <c r="A235" t="s">
        <v>108</v>
      </c>
      <c r="B235" t="s">
        <v>2141</v>
      </c>
      <c r="C235">
        <v>2.5</v>
      </c>
      <c r="D235">
        <v>20</v>
      </c>
      <c r="E235">
        <f>IF(OR(B235="vi",B235="ii",B235="pod"),(((D235/100)*(C235*VLOOKUP(B235,'Poids des runes'!A:B,2,FALSE)))+1),(((D235/100)*(C235*VLOOKUP(B235,'Poids des runes'!A:B,2,FALSE)))+1)/VLOOKUP(B235,'Poids des runes'!A:B,2,FALSE))</f>
        <v>0.75</v>
      </c>
      <c r="F235">
        <f t="shared" si="3"/>
        <v>0.75</v>
      </c>
    </row>
    <row r="236" spans="1:6" x14ac:dyDescent="0.3">
      <c r="A236" t="s">
        <v>109</v>
      </c>
      <c r="B236" t="s">
        <v>2128</v>
      </c>
      <c r="C236">
        <v>18</v>
      </c>
      <c r="D236">
        <v>20</v>
      </c>
      <c r="E236">
        <f>IF(OR(B236="vi",B236="ii",B236="pod"),(((D236/100)*(C236*VLOOKUP(B236,'Poids des runes'!A:B,2,FALSE)))+1),(((D236/100)*(C236*VLOOKUP(B236,'Poids des runes'!A:B,2,FALSE)))+1)/VLOOKUP(B236,'Poids des runes'!A:B,2,FALSE))</f>
        <v>1.7200000000000002</v>
      </c>
      <c r="F236">
        <f t="shared" si="3"/>
        <v>1.7200000000000002</v>
      </c>
    </row>
    <row r="237" spans="1:6" x14ac:dyDescent="0.3">
      <c r="A237" t="s">
        <v>109</v>
      </c>
      <c r="B237" t="s">
        <v>2130</v>
      </c>
      <c r="C237">
        <v>18</v>
      </c>
      <c r="D237">
        <v>20</v>
      </c>
      <c r="E237">
        <f>IF(OR(B237="vi",B237="ii",B237="pod"),(((D237/100)*(C237*VLOOKUP(B237,'Poids des runes'!A:B,2,FALSE)))+1),(((D237/100)*(C237*VLOOKUP(B237,'Poids des runes'!A:B,2,FALSE)))+1)/VLOOKUP(B237,'Poids des runes'!A:B,2,FALSE))</f>
        <v>4.5999999999999996</v>
      </c>
      <c r="F237">
        <f t="shared" si="3"/>
        <v>4.5999999999999996</v>
      </c>
    </row>
    <row r="238" spans="1:6" x14ac:dyDescent="0.3">
      <c r="A238" t="s">
        <v>109</v>
      </c>
      <c r="B238" t="s">
        <v>2138</v>
      </c>
      <c r="C238">
        <v>2.5</v>
      </c>
      <c r="D238">
        <v>20</v>
      </c>
      <c r="E238">
        <f>IF(OR(B238="vi",B238="ii",B238="pod"),(((D238/100)*(C238*VLOOKUP(B238,'Poids des runes'!A:B,2,FALSE)))+1),(((D238/100)*(C238*VLOOKUP(B238,'Poids des runes'!A:B,2,FALSE)))+1)/VLOOKUP(B238,'Poids des runes'!A:B,2,FALSE))</f>
        <v>0.75</v>
      </c>
      <c r="F238">
        <f t="shared" si="3"/>
        <v>0.75</v>
      </c>
    </row>
    <row r="239" spans="1:6" x14ac:dyDescent="0.3">
      <c r="A239" t="s">
        <v>110</v>
      </c>
      <c r="B239" t="s">
        <v>2128</v>
      </c>
      <c r="C239">
        <v>18</v>
      </c>
      <c r="D239">
        <v>20</v>
      </c>
      <c r="E239">
        <f>IF(OR(B239="vi",B239="ii",B239="pod"),(((D239/100)*(C239*VLOOKUP(B239,'Poids des runes'!A:B,2,FALSE)))+1),(((D239/100)*(C239*VLOOKUP(B239,'Poids des runes'!A:B,2,FALSE)))+1)/VLOOKUP(B239,'Poids des runes'!A:B,2,FALSE))</f>
        <v>1.7200000000000002</v>
      </c>
      <c r="F239">
        <f t="shared" si="3"/>
        <v>1.7200000000000002</v>
      </c>
    </row>
    <row r="240" spans="1:6" x14ac:dyDescent="0.3">
      <c r="A240" t="s">
        <v>110</v>
      </c>
      <c r="B240" t="s">
        <v>2138</v>
      </c>
      <c r="C240">
        <v>5</v>
      </c>
      <c r="D240">
        <v>20</v>
      </c>
      <c r="E240">
        <f>IF(OR(B240="vi",B240="ii",B240="pod"),(((D240/100)*(C240*VLOOKUP(B240,'Poids des runes'!A:B,2,FALSE)))+1),(((D240/100)*(C240*VLOOKUP(B240,'Poids des runes'!A:B,2,FALSE)))+1)/VLOOKUP(B240,'Poids des runes'!A:B,2,FALSE))</f>
        <v>1.25</v>
      </c>
      <c r="F240">
        <f t="shared" si="3"/>
        <v>1.25</v>
      </c>
    </row>
    <row r="241" spans="1:6" x14ac:dyDescent="0.3">
      <c r="A241" t="s">
        <v>110</v>
      </c>
      <c r="B241" t="s">
        <v>2141</v>
      </c>
      <c r="C241">
        <v>5</v>
      </c>
      <c r="D241">
        <v>20</v>
      </c>
      <c r="E241">
        <f>IF(OR(B241="vi",B241="ii",B241="pod"),(((D241/100)*(C241*VLOOKUP(B241,'Poids des runes'!A:B,2,FALSE)))+1),(((D241/100)*(C241*VLOOKUP(B241,'Poids des runes'!A:B,2,FALSE)))+1)/VLOOKUP(B241,'Poids des runes'!A:B,2,FALSE))</f>
        <v>1.25</v>
      </c>
      <c r="F241">
        <f t="shared" si="3"/>
        <v>1.25</v>
      </c>
    </row>
    <row r="242" spans="1:6" x14ac:dyDescent="0.3">
      <c r="A242" t="s">
        <v>111</v>
      </c>
      <c r="B242" t="s">
        <v>2140</v>
      </c>
      <c r="C242">
        <v>3.5</v>
      </c>
      <c r="D242">
        <v>20</v>
      </c>
      <c r="E242">
        <f>IF(OR(B242="vi",B242="ii",B242="pod"),(((D242/100)*(C242*VLOOKUP(B242,'Poids des runes'!A:B,2,FALSE)))+1),(((D242/100)*(C242*VLOOKUP(B242,'Poids des runes'!A:B,2,FALSE)))+1)/VLOOKUP(B242,'Poids des runes'!A:B,2,FALSE))</f>
        <v>0.9</v>
      </c>
      <c r="F242">
        <f t="shared" si="3"/>
        <v>0.9</v>
      </c>
    </row>
    <row r="243" spans="1:6" x14ac:dyDescent="0.3">
      <c r="A243" t="s">
        <v>111</v>
      </c>
      <c r="B243" t="s">
        <v>2135</v>
      </c>
      <c r="C243">
        <v>3.5</v>
      </c>
      <c r="D243">
        <v>20</v>
      </c>
      <c r="E243">
        <f>IF(OR(B243="vi",B243="ii",B243="pod"),(((D243/100)*(C243*VLOOKUP(B243,'Poids des runes'!A:B,2,FALSE)))+1),(((D243/100)*(C243*VLOOKUP(B243,'Poids des runes'!A:B,2,FALSE)))+1)/VLOOKUP(B243,'Poids des runes'!A:B,2,FALSE))</f>
        <v>0.8666666666666667</v>
      </c>
      <c r="F243">
        <f t="shared" si="3"/>
        <v>0.8666666666666667</v>
      </c>
    </row>
    <row r="244" spans="1:6" x14ac:dyDescent="0.3">
      <c r="A244" t="s">
        <v>112</v>
      </c>
      <c r="B244" t="s">
        <v>2133</v>
      </c>
      <c r="C244">
        <v>3.5</v>
      </c>
      <c r="D244">
        <v>20</v>
      </c>
      <c r="E244">
        <f>IF(OR(B244="vi",B244="ii",B244="pod"),(((D244/100)*(C244*VLOOKUP(B244,'Poids des runes'!A:B,2,FALSE)))+1),(((D244/100)*(C244*VLOOKUP(B244,'Poids des runes'!A:B,2,FALSE)))+1)/VLOOKUP(B244,'Poids des runes'!A:B,2,FALSE))</f>
        <v>0.9</v>
      </c>
      <c r="F244">
        <f t="shared" si="3"/>
        <v>0.9</v>
      </c>
    </row>
    <row r="245" spans="1:6" x14ac:dyDescent="0.3">
      <c r="A245" t="s">
        <v>112</v>
      </c>
      <c r="B245" t="s">
        <v>2147</v>
      </c>
      <c r="C245">
        <v>3.5</v>
      </c>
      <c r="D245">
        <v>20</v>
      </c>
      <c r="E245">
        <f>IF(OR(B245="vi",B245="ii",B245="pod"),(((D245/100)*(C245*VLOOKUP(B245,'Poids des runes'!A:B,2,FALSE)))+1),(((D245/100)*(C245*VLOOKUP(B245,'Poids des runes'!A:B,2,FALSE)))+1)/VLOOKUP(B245,'Poids des runes'!A:B,2,FALSE))</f>
        <v>0.8666666666666667</v>
      </c>
      <c r="F245">
        <f t="shared" si="3"/>
        <v>0.8666666666666667</v>
      </c>
    </row>
    <row r="246" spans="1:6" x14ac:dyDescent="0.3">
      <c r="A246" t="s">
        <v>113</v>
      </c>
      <c r="B246" t="s">
        <v>2134</v>
      </c>
      <c r="C246">
        <v>2</v>
      </c>
      <c r="D246">
        <v>20</v>
      </c>
      <c r="E246">
        <f>IF(OR(B246="vi",B246="ii",B246="pod"),(((D246/100)*(C246*VLOOKUP(B246,'Poids des runes'!A:B,2,FALSE)))+1),(((D246/100)*(C246*VLOOKUP(B246,'Poids des runes'!A:B,2,FALSE)))+1)/VLOOKUP(B246,'Poids des runes'!A:B,2,FALSE))</f>
        <v>0.45</v>
      </c>
      <c r="F246">
        <f t="shared" si="3"/>
        <v>0.45</v>
      </c>
    </row>
    <row r="247" spans="1:6" x14ac:dyDescent="0.3">
      <c r="A247" t="s">
        <v>113</v>
      </c>
      <c r="B247" t="s">
        <v>2156</v>
      </c>
      <c r="C247">
        <v>3.5</v>
      </c>
      <c r="D247">
        <v>20</v>
      </c>
      <c r="E247">
        <f>IF(OR(B247="vi",B247="ii",B247="pod"),(((D247/100)*(C247*VLOOKUP(B247,'Poids des runes'!A:B,2,FALSE)))+1),(((D247/100)*(C247*VLOOKUP(B247,'Poids des runes'!A:B,2,FALSE)))+1)/VLOOKUP(B247,'Poids des runes'!A:B,2,FALSE))</f>
        <v>0.8666666666666667</v>
      </c>
      <c r="F247">
        <f t="shared" si="3"/>
        <v>0.8666666666666667</v>
      </c>
    </row>
    <row r="248" spans="1:6" x14ac:dyDescent="0.3">
      <c r="A248" t="s">
        <v>114</v>
      </c>
      <c r="B248" t="s">
        <v>2153</v>
      </c>
      <c r="C248">
        <v>3.5</v>
      </c>
      <c r="D248">
        <v>20</v>
      </c>
      <c r="E248">
        <f>IF(OR(B248="vi",B248="ii",B248="pod"),(((D248/100)*(C248*VLOOKUP(B248,'Poids des runes'!A:B,2,FALSE)))+1),(((D248/100)*(C248*VLOOKUP(B248,'Poids des runes'!A:B,2,FALSE)))+1)/VLOOKUP(B248,'Poids des runes'!A:B,2,FALSE))</f>
        <v>0.9</v>
      </c>
      <c r="F248">
        <f t="shared" si="3"/>
        <v>0.9</v>
      </c>
    </row>
    <row r="249" spans="1:6" x14ac:dyDescent="0.3">
      <c r="A249" t="s">
        <v>114</v>
      </c>
      <c r="B249" t="s">
        <v>2148</v>
      </c>
      <c r="C249">
        <v>3.5</v>
      </c>
      <c r="D249">
        <v>20</v>
      </c>
      <c r="E249">
        <f>IF(OR(B249="vi",B249="ii",B249="pod"),(((D249/100)*(C249*VLOOKUP(B249,'Poids des runes'!A:B,2,FALSE)))+1),(((D249/100)*(C249*VLOOKUP(B249,'Poids des runes'!A:B,2,FALSE)))+1)/VLOOKUP(B249,'Poids des runes'!A:B,2,FALSE))</f>
        <v>0.8666666666666667</v>
      </c>
      <c r="F249">
        <f t="shared" si="3"/>
        <v>0.8666666666666667</v>
      </c>
    </row>
    <row r="250" spans="1:6" x14ac:dyDescent="0.3">
      <c r="A250" t="s">
        <v>115</v>
      </c>
      <c r="B250" t="s">
        <v>2143</v>
      </c>
      <c r="C250">
        <v>3.5</v>
      </c>
      <c r="D250">
        <v>20</v>
      </c>
      <c r="E250">
        <f>IF(OR(B250="vi",B250="ii",B250="pod"),(((D250/100)*(C250*VLOOKUP(B250,'Poids des runes'!A:B,2,FALSE)))+1),(((D250/100)*(C250*VLOOKUP(B250,'Poids des runes'!A:B,2,FALSE)))+1)/VLOOKUP(B250,'Poids des runes'!A:B,2,FALSE))</f>
        <v>0.9</v>
      </c>
      <c r="F250">
        <f t="shared" si="3"/>
        <v>0.9</v>
      </c>
    </row>
    <row r="251" spans="1:6" x14ac:dyDescent="0.3">
      <c r="A251" t="s">
        <v>115</v>
      </c>
      <c r="B251" t="s">
        <v>2157</v>
      </c>
      <c r="C251">
        <v>3.5</v>
      </c>
      <c r="D251">
        <v>20</v>
      </c>
      <c r="E251">
        <f>IF(OR(B251="vi",B251="ii",B251="pod"),(((D251/100)*(C251*VLOOKUP(B251,'Poids des runes'!A:B,2,FALSE)))+1),(((D251/100)*(C251*VLOOKUP(B251,'Poids des runes'!A:B,2,FALSE)))+1)/VLOOKUP(B251,'Poids des runes'!A:B,2,FALSE))</f>
        <v>0.8666666666666667</v>
      </c>
      <c r="F251">
        <f t="shared" si="3"/>
        <v>0.8666666666666667</v>
      </c>
    </row>
    <row r="252" spans="1:6" x14ac:dyDescent="0.3">
      <c r="A252" t="s">
        <v>116</v>
      </c>
      <c r="B252" t="s">
        <v>2128</v>
      </c>
      <c r="C252">
        <v>13</v>
      </c>
      <c r="D252">
        <v>20</v>
      </c>
      <c r="E252">
        <f>IF(OR(B252="vi",B252="ii",B252="pod"),(((D252/100)*(C252*VLOOKUP(B252,'Poids des runes'!A:B,2,FALSE)))+1),(((D252/100)*(C252*VLOOKUP(B252,'Poids des runes'!A:B,2,FALSE)))+1)/VLOOKUP(B252,'Poids des runes'!A:B,2,FALSE))</f>
        <v>1.52</v>
      </c>
      <c r="F252">
        <f t="shared" si="3"/>
        <v>1.52</v>
      </c>
    </row>
    <row r="253" spans="1:6" x14ac:dyDescent="0.3">
      <c r="A253" t="s">
        <v>116</v>
      </c>
      <c r="B253" t="s">
        <v>2156</v>
      </c>
      <c r="C253">
        <v>1</v>
      </c>
      <c r="D253">
        <v>20</v>
      </c>
      <c r="E253">
        <f>IF(OR(B253="vi",B253="ii",B253="pod"),(((D253/100)*(C253*VLOOKUP(B253,'Poids des runes'!A:B,2,FALSE)))+1),(((D253/100)*(C253*VLOOKUP(B253,'Poids des runes'!A:B,2,FALSE)))+1)/VLOOKUP(B253,'Poids des runes'!A:B,2,FALSE))</f>
        <v>0.3666666666666667</v>
      </c>
      <c r="F253">
        <f t="shared" si="3"/>
        <v>0.3666666666666667</v>
      </c>
    </row>
    <row r="254" spans="1:6" x14ac:dyDescent="0.3">
      <c r="A254" t="s">
        <v>116</v>
      </c>
      <c r="B254" t="s">
        <v>2148</v>
      </c>
      <c r="C254">
        <v>1</v>
      </c>
      <c r="D254">
        <v>20</v>
      </c>
      <c r="E254">
        <f>IF(OR(B254="vi",B254="ii",B254="pod"),(((D254/100)*(C254*VLOOKUP(B254,'Poids des runes'!A:B,2,FALSE)))+1),(((D254/100)*(C254*VLOOKUP(B254,'Poids des runes'!A:B,2,FALSE)))+1)/VLOOKUP(B254,'Poids des runes'!A:B,2,FALSE))</f>
        <v>0.3666666666666667</v>
      </c>
      <c r="F254">
        <f t="shared" si="3"/>
        <v>0.3666666666666667</v>
      </c>
    </row>
    <row r="255" spans="1:6" x14ac:dyDescent="0.3">
      <c r="A255" t="s">
        <v>116</v>
      </c>
      <c r="B255" t="s">
        <v>2147</v>
      </c>
      <c r="C255">
        <v>1</v>
      </c>
      <c r="D255">
        <v>20</v>
      </c>
      <c r="E255">
        <f>IF(OR(B255="vi",B255="ii",B255="pod"),(((D255/100)*(C255*VLOOKUP(B255,'Poids des runes'!A:B,2,FALSE)))+1),(((D255/100)*(C255*VLOOKUP(B255,'Poids des runes'!A:B,2,FALSE)))+1)/VLOOKUP(B255,'Poids des runes'!A:B,2,FALSE))</f>
        <v>0.3666666666666667</v>
      </c>
      <c r="F255">
        <f t="shared" si="3"/>
        <v>0.3666666666666667</v>
      </c>
    </row>
    <row r="256" spans="1:6" x14ac:dyDescent="0.3">
      <c r="A256" t="s">
        <v>116</v>
      </c>
      <c r="B256" t="s">
        <v>2135</v>
      </c>
      <c r="C256">
        <v>1</v>
      </c>
      <c r="D256">
        <v>20</v>
      </c>
      <c r="E256">
        <f>IF(OR(B256="vi",B256="ii",B256="pod"),(((D256/100)*(C256*VLOOKUP(B256,'Poids des runes'!A:B,2,FALSE)))+1),(((D256/100)*(C256*VLOOKUP(B256,'Poids des runes'!A:B,2,FALSE)))+1)/VLOOKUP(B256,'Poids des runes'!A:B,2,FALSE))</f>
        <v>0.3666666666666667</v>
      </c>
      <c r="F256">
        <f t="shared" si="3"/>
        <v>0.3666666666666667</v>
      </c>
    </row>
    <row r="257" spans="1:6" x14ac:dyDescent="0.3">
      <c r="A257" t="s">
        <v>116</v>
      </c>
      <c r="B257" t="s">
        <v>2157</v>
      </c>
      <c r="C257">
        <v>1</v>
      </c>
      <c r="D257">
        <v>20</v>
      </c>
      <c r="E257">
        <f>IF(OR(B257="vi",B257="ii",B257="pod"),(((D257/100)*(C257*VLOOKUP(B257,'Poids des runes'!A:B,2,FALSE)))+1),(((D257/100)*(C257*VLOOKUP(B257,'Poids des runes'!A:B,2,FALSE)))+1)/VLOOKUP(B257,'Poids des runes'!A:B,2,FALSE))</f>
        <v>0.3666666666666667</v>
      </c>
      <c r="F257">
        <f t="shared" si="3"/>
        <v>0.3666666666666667</v>
      </c>
    </row>
    <row r="258" spans="1:6" x14ac:dyDescent="0.3">
      <c r="A258" t="s">
        <v>117</v>
      </c>
      <c r="B258" t="s">
        <v>2128</v>
      </c>
      <c r="C258">
        <v>40.5</v>
      </c>
      <c r="D258">
        <v>21</v>
      </c>
      <c r="E258">
        <f>IF(OR(B258="vi",B258="ii",B258="pod"),(((D258/100)*(C258*VLOOKUP(B258,'Poids des runes'!A:B,2,FALSE)))+1),(((D258/100)*(C258*VLOOKUP(B258,'Poids des runes'!A:B,2,FALSE)))+1)/VLOOKUP(B258,'Poids des runes'!A:B,2,FALSE))</f>
        <v>2.7009999999999996</v>
      </c>
      <c r="F258">
        <f t="shared" si="3"/>
        <v>2.7009999999999996</v>
      </c>
    </row>
    <row r="259" spans="1:6" x14ac:dyDescent="0.3">
      <c r="A259" t="s">
        <v>117</v>
      </c>
      <c r="B259" t="s">
        <v>2132</v>
      </c>
      <c r="C259">
        <v>175.5</v>
      </c>
      <c r="D259">
        <v>21</v>
      </c>
      <c r="E259">
        <f>IF(OR(B259="vi",B259="ii",B259="pod"),(((D259/100)*(C259*VLOOKUP(B259,'Poids des runes'!A:B,2,FALSE)))+1),(((D259/100)*(C259*VLOOKUP(B259,'Poids des runes'!A:B,2,FALSE)))+1)/VLOOKUP(B259,'Poids des runes'!A:B,2,FALSE))</f>
        <v>4.6855000000000002</v>
      </c>
      <c r="F259">
        <f t="shared" ref="F259:F322" si="4">E259</f>
        <v>4.6855000000000002</v>
      </c>
    </row>
    <row r="260" spans="1:6" x14ac:dyDescent="0.3">
      <c r="A260" t="s">
        <v>118</v>
      </c>
      <c r="B260" t="s">
        <v>2126</v>
      </c>
      <c r="C260">
        <v>28</v>
      </c>
      <c r="D260">
        <v>21</v>
      </c>
      <c r="E260">
        <f>IF(OR(B260="vi",B260="ii",B260="pod"),(((D260/100)*(C260*VLOOKUP(B260,'Poids des runes'!A:B,2,FALSE)))+1),(((D260/100)*(C260*VLOOKUP(B260,'Poids des runes'!A:B,2,FALSE)))+1)/VLOOKUP(B260,'Poids des runes'!A:B,2,FALSE))</f>
        <v>6.88</v>
      </c>
      <c r="F260">
        <f t="shared" si="4"/>
        <v>6.88</v>
      </c>
    </row>
    <row r="261" spans="1:6" x14ac:dyDescent="0.3">
      <c r="A261" t="s">
        <v>119</v>
      </c>
      <c r="B261" t="s">
        <v>2128</v>
      </c>
      <c r="C261">
        <v>8</v>
      </c>
      <c r="D261">
        <v>21</v>
      </c>
      <c r="E261">
        <f>IF(OR(B261="vi",B261="ii",B261="pod"),(((D261/100)*(C261*VLOOKUP(B261,'Poids des runes'!A:B,2,FALSE)))+1),(((D261/100)*(C261*VLOOKUP(B261,'Poids des runes'!A:B,2,FALSE)))+1)/VLOOKUP(B261,'Poids des runes'!A:B,2,FALSE))</f>
        <v>1.3360000000000001</v>
      </c>
      <c r="F261">
        <f t="shared" si="4"/>
        <v>1.3360000000000001</v>
      </c>
    </row>
    <row r="262" spans="1:6" x14ac:dyDescent="0.3">
      <c r="A262" t="s">
        <v>119</v>
      </c>
      <c r="B262" t="s">
        <v>2132</v>
      </c>
      <c r="C262">
        <v>250.5</v>
      </c>
      <c r="D262">
        <v>21</v>
      </c>
      <c r="E262">
        <f>IF(OR(B262="vi",B262="ii",B262="pod"),(((D262/100)*(C262*VLOOKUP(B262,'Poids des runes'!A:B,2,FALSE)))+1),(((D262/100)*(C262*VLOOKUP(B262,'Poids des runes'!A:B,2,FALSE)))+1)/VLOOKUP(B262,'Poids des runes'!A:B,2,FALSE))</f>
        <v>6.2605000000000004</v>
      </c>
      <c r="F262">
        <f t="shared" si="4"/>
        <v>6.2605000000000004</v>
      </c>
    </row>
    <row r="263" spans="1:6" x14ac:dyDescent="0.3">
      <c r="A263" t="s">
        <v>120</v>
      </c>
      <c r="B263" t="s">
        <v>2128</v>
      </c>
      <c r="C263">
        <v>25.5</v>
      </c>
      <c r="D263">
        <v>21</v>
      </c>
      <c r="E263">
        <f>IF(OR(B263="vi",B263="ii",B263="pod"),(((D263/100)*(C263*VLOOKUP(B263,'Poids des runes'!A:B,2,FALSE)))+1),(((D263/100)*(C263*VLOOKUP(B263,'Poids des runes'!A:B,2,FALSE)))+1)/VLOOKUP(B263,'Poids des runes'!A:B,2,FALSE))</f>
        <v>2.0710000000000002</v>
      </c>
      <c r="F263">
        <f t="shared" si="4"/>
        <v>2.0710000000000002</v>
      </c>
    </row>
    <row r="264" spans="1:6" x14ac:dyDescent="0.3">
      <c r="A264" t="s">
        <v>120</v>
      </c>
      <c r="B264" t="s">
        <v>2148</v>
      </c>
      <c r="C264">
        <v>1.5</v>
      </c>
      <c r="D264">
        <v>21</v>
      </c>
      <c r="E264">
        <f>IF(OR(B264="vi",B264="ii",B264="pod"),(((D264/100)*(C264*VLOOKUP(B264,'Poids des runes'!A:B,2,FALSE)))+1),(((D264/100)*(C264*VLOOKUP(B264,'Poids des runes'!A:B,2,FALSE)))+1)/VLOOKUP(B264,'Poids des runes'!A:B,2,FALSE))</f>
        <v>0.48166666666666663</v>
      </c>
      <c r="F264">
        <f t="shared" si="4"/>
        <v>0.48166666666666663</v>
      </c>
    </row>
    <row r="265" spans="1:6" x14ac:dyDescent="0.3">
      <c r="A265" t="s">
        <v>120</v>
      </c>
      <c r="B265" t="s">
        <v>2135</v>
      </c>
      <c r="C265">
        <v>1.5</v>
      </c>
      <c r="D265">
        <v>21</v>
      </c>
      <c r="E265">
        <f>IF(OR(B265="vi",B265="ii",B265="pod"),(((D265/100)*(C265*VLOOKUP(B265,'Poids des runes'!A:B,2,FALSE)))+1),(((D265/100)*(C265*VLOOKUP(B265,'Poids des runes'!A:B,2,FALSE)))+1)/VLOOKUP(B265,'Poids des runes'!A:B,2,FALSE))</f>
        <v>0.48166666666666663</v>
      </c>
      <c r="F265">
        <f t="shared" si="4"/>
        <v>0.48166666666666663</v>
      </c>
    </row>
    <row r="266" spans="1:6" x14ac:dyDescent="0.3">
      <c r="A266" t="s">
        <v>121</v>
      </c>
      <c r="B266" t="s">
        <v>2128</v>
      </c>
      <c r="C266">
        <v>25.5</v>
      </c>
      <c r="D266">
        <v>22</v>
      </c>
      <c r="E266">
        <f>IF(OR(B266="vi",B266="ii",B266="pod"),(((D266/100)*(C266*VLOOKUP(B266,'Poids des runes'!A:B,2,FALSE)))+1),(((D266/100)*(C266*VLOOKUP(B266,'Poids des runes'!A:B,2,FALSE)))+1)/VLOOKUP(B266,'Poids des runes'!A:B,2,FALSE))</f>
        <v>2.1219999999999999</v>
      </c>
      <c r="F266">
        <f t="shared" si="4"/>
        <v>2.1219999999999999</v>
      </c>
    </row>
    <row r="267" spans="1:6" x14ac:dyDescent="0.3">
      <c r="A267" t="s">
        <v>121</v>
      </c>
      <c r="B267" t="s">
        <v>2131</v>
      </c>
      <c r="C267">
        <v>25.5</v>
      </c>
      <c r="D267">
        <v>22</v>
      </c>
      <c r="E267">
        <f>IF(OR(B267="vi",B267="ii",B267="pod"),(((D267/100)*(C267*VLOOKUP(B267,'Poids des runes'!A:B,2,FALSE)))+1),(((D267/100)*(C267*VLOOKUP(B267,'Poids des runes'!A:B,2,FALSE)))+1)/VLOOKUP(B267,'Poids des runes'!A:B,2,FALSE))</f>
        <v>6.61</v>
      </c>
      <c r="F267">
        <f t="shared" si="4"/>
        <v>6.61</v>
      </c>
    </row>
    <row r="268" spans="1:6" x14ac:dyDescent="0.3">
      <c r="A268" t="s">
        <v>122</v>
      </c>
      <c r="B268" t="s">
        <v>2128</v>
      </c>
      <c r="C268">
        <v>50.5</v>
      </c>
      <c r="D268">
        <v>22</v>
      </c>
      <c r="E268">
        <f>IF(OR(B268="vi",B268="ii",B268="pod"),(((D268/100)*(C268*VLOOKUP(B268,'Poids des runes'!A:B,2,FALSE)))+1),(((D268/100)*(C268*VLOOKUP(B268,'Poids des runes'!A:B,2,FALSE)))+1)/VLOOKUP(B268,'Poids des runes'!A:B,2,FALSE))</f>
        <v>3.2220000000000004</v>
      </c>
      <c r="F268">
        <f t="shared" si="4"/>
        <v>3.2220000000000004</v>
      </c>
    </row>
    <row r="269" spans="1:6" x14ac:dyDescent="0.3">
      <c r="A269" t="s">
        <v>122</v>
      </c>
      <c r="B269" t="s">
        <v>2129</v>
      </c>
      <c r="C269">
        <v>9</v>
      </c>
      <c r="D269">
        <v>22</v>
      </c>
      <c r="E269">
        <f>IF(OR(B269="vi",B269="ii",B269="pod"),(((D269/100)*(C269*VLOOKUP(B269,'Poids des runes'!A:B,2,FALSE)))+1),(((D269/100)*(C269*VLOOKUP(B269,'Poids des runes'!A:B,2,FALSE)))+1)/VLOOKUP(B269,'Poids des runes'!A:B,2,FALSE))</f>
        <v>2.98</v>
      </c>
      <c r="F269">
        <f t="shared" si="4"/>
        <v>2.98</v>
      </c>
    </row>
    <row r="270" spans="1:6" x14ac:dyDescent="0.3">
      <c r="A270" t="s">
        <v>123</v>
      </c>
      <c r="B270" t="s">
        <v>2128</v>
      </c>
      <c r="C270">
        <v>23</v>
      </c>
      <c r="D270">
        <v>22</v>
      </c>
      <c r="E270">
        <f>IF(OR(B270="vi",B270="ii",B270="pod"),(((D270/100)*(C270*VLOOKUP(B270,'Poids des runes'!A:B,2,FALSE)))+1),(((D270/100)*(C270*VLOOKUP(B270,'Poids des runes'!A:B,2,FALSE)))+1)/VLOOKUP(B270,'Poids des runes'!A:B,2,FALSE))</f>
        <v>2.0120000000000005</v>
      </c>
      <c r="F270">
        <f t="shared" si="4"/>
        <v>2.0120000000000005</v>
      </c>
    </row>
    <row r="271" spans="1:6" x14ac:dyDescent="0.3">
      <c r="A271" t="s">
        <v>123</v>
      </c>
      <c r="B271" t="s">
        <v>2131</v>
      </c>
      <c r="C271">
        <v>25.5</v>
      </c>
      <c r="D271">
        <v>22</v>
      </c>
      <c r="E271">
        <f>IF(OR(B271="vi",B271="ii",B271="pod"),(((D271/100)*(C271*VLOOKUP(B271,'Poids des runes'!A:B,2,FALSE)))+1),(((D271/100)*(C271*VLOOKUP(B271,'Poids des runes'!A:B,2,FALSE)))+1)/VLOOKUP(B271,'Poids des runes'!A:B,2,FALSE))</f>
        <v>6.61</v>
      </c>
      <c r="F271">
        <f t="shared" si="4"/>
        <v>6.61</v>
      </c>
    </row>
    <row r="272" spans="1:6" x14ac:dyDescent="0.3">
      <c r="A272" t="s">
        <v>124</v>
      </c>
      <c r="B272" t="s">
        <v>2128</v>
      </c>
      <c r="C272">
        <v>35.5</v>
      </c>
      <c r="D272">
        <v>22</v>
      </c>
      <c r="E272">
        <f>IF(OR(B272="vi",B272="ii",B272="pod"),(((D272/100)*(C272*VLOOKUP(B272,'Poids des runes'!A:B,2,FALSE)))+1),(((D272/100)*(C272*VLOOKUP(B272,'Poids des runes'!A:B,2,FALSE)))+1)/VLOOKUP(B272,'Poids des runes'!A:B,2,FALSE))</f>
        <v>2.5620000000000003</v>
      </c>
      <c r="F272">
        <f t="shared" si="4"/>
        <v>2.5620000000000003</v>
      </c>
    </row>
    <row r="273" spans="1:6" x14ac:dyDescent="0.3">
      <c r="A273" t="s">
        <v>124</v>
      </c>
      <c r="B273" t="s">
        <v>2130</v>
      </c>
      <c r="C273">
        <v>13</v>
      </c>
      <c r="D273">
        <v>22</v>
      </c>
      <c r="E273">
        <f>IF(OR(B273="vi",B273="ii",B273="pod"),(((D273/100)*(C273*VLOOKUP(B273,'Poids des runes'!A:B,2,FALSE)))+1),(((D273/100)*(C273*VLOOKUP(B273,'Poids des runes'!A:B,2,FALSE)))+1)/VLOOKUP(B273,'Poids des runes'!A:B,2,FALSE))</f>
        <v>3.86</v>
      </c>
      <c r="F273">
        <f t="shared" si="4"/>
        <v>3.86</v>
      </c>
    </row>
    <row r="274" spans="1:6" x14ac:dyDescent="0.3">
      <c r="A274" t="s">
        <v>124</v>
      </c>
      <c r="B274" t="s">
        <v>2138</v>
      </c>
      <c r="C274">
        <v>2.5</v>
      </c>
      <c r="D274">
        <v>22</v>
      </c>
      <c r="E274">
        <f>IF(OR(B274="vi",B274="ii",B274="pod"),(((D274/100)*(C274*VLOOKUP(B274,'Poids des runes'!A:B,2,FALSE)))+1),(((D274/100)*(C274*VLOOKUP(B274,'Poids des runes'!A:B,2,FALSE)))+1)/VLOOKUP(B274,'Poids des runes'!A:B,2,FALSE))</f>
        <v>0.8</v>
      </c>
      <c r="F274">
        <f t="shared" si="4"/>
        <v>0.8</v>
      </c>
    </row>
    <row r="275" spans="1:6" x14ac:dyDescent="0.3">
      <c r="A275" t="s">
        <v>125</v>
      </c>
      <c r="B275" t="s">
        <v>2130</v>
      </c>
      <c r="C275">
        <v>13</v>
      </c>
      <c r="D275">
        <v>22</v>
      </c>
      <c r="E275">
        <f>IF(OR(B275="vi",B275="ii",B275="pod"),(((D275/100)*(C275*VLOOKUP(B275,'Poids des runes'!A:B,2,FALSE)))+1),(((D275/100)*(C275*VLOOKUP(B275,'Poids des runes'!A:B,2,FALSE)))+1)/VLOOKUP(B275,'Poids des runes'!A:B,2,FALSE))</f>
        <v>3.86</v>
      </c>
      <c r="F275">
        <f t="shared" si="4"/>
        <v>3.86</v>
      </c>
    </row>
    <row r="276" spans="1:6" x14ac:dyDescent="0.3">
      <c r="A276" t="s">
        <v>125</v>
      </c>
      <c r="B276" t="s">
        <v>2127</v>
      </c>
      <c r="C276">
        <v>13</v>
      </c>
      <c r="D276">
        <v>22</v>
      </c>
      <c r="E276">
        <f>IF(OR(B276="vi",B276="ii",B276="pod"),(((D276/100)*(C276*VLOOKUP(B276,'Poids des runes'!A:B,2,FALSE)))+1),(((D276/100)*(C276*VLOOKUP(B276,'Poids des runes'!A:B,2,FALSE)))+1)/VLOOKUP(B276,'Poids des runes'!A:B,2,FALSE))</f>
        <v>3.86</v>
      </c>
      <c r="F276">
        <f t="shared" si="4"/>
        <v>3.86</v>
      </c>
    </row>
    <row r="277" spans="1:6" x14ac:dyDescent="0.3">
      <c r="A277" t="s">
        <v>125</v>
      </c>
      <c r="B277" t="s">
        <v>2138</v>
      </c>
      <c r="C277">
        <v>2.5</v>
      </c>
      <c r="D277">
        <v>22</v>
      </c>
      <c r="E277">
        <f>IF(OR(B277="vi",B277="ii",B277="pod"),(((D277/100)*(C277*VLOOKUP(B277,'Poids des runes'!A:B,2,FALSE)))+1),(((D277/100)*(C277*VLOOKUP(B277,'Poids des runes'!A:B,2,FALSE)))+1)/VLOOKUP(B277,'Poids des runes'!A:B,2,FALSE))</f>
        <v>0.8</v>
      </c>
      <c r="F277">
        <f t="shared" si="4"/>
        <v>0.8</v>
      </c>
    </row>
    <row r="278" spans="1:6" x14ac:dyDescent="0.3">
      <c r="A278" t="s">
        <v>126</v>
      </c>
      <c r="B278" t="s">
        <v>2128</v>
      </c>
      <c r="C278">
        <v>8</v>
      </c>
      <c r="D278">
        <v>22</v>
      </c>
      <c r="E278">
        <f>IF(OR(B278="vi",B278="ii",B278="pod"),(((D278/100)*(C278*VLOOKUP(B278,'Poids des runes'!A:B,2,FALSE)))+1),(((D278/100)*(C278*VLOOKUP(B278,'Poids des runes'!A:B,2,FALSE)))+1)/VLOOKUP(B278,'Poids des runes'!A:B,2,FALSE))</f>
        <v>1.3520000000000001</v>
      </c>
      <c r="F278">
        <f t="shared" si="4"/>
        <v>1.3520000000000001</v>
      </c>
    </row>
    <row r="279" spans="1:6" x14ac:dyDescent="0.3">
      <c r="A279" t="s">
        <v>126</v>
      </c>
      <c r="B279" t="s">
        <v>2131</v>
      </c>
      <c r="C279">
        <v>30.5</v>
      </c>
      <c r="D279">
        <v>22</v>
      </c>
      <c r="E279">
        <f>IF(OR(B279="vi",B279="ii",B279="pod"),(((D279/100)*(C279*VLOOKUP(B279,'Poids des runes'!A:B,2,FALSE)))+1),(((D279/100)*(C279*VLOOKUP(B279,'Poids des runes'!A:B,2,FALSE)))+1)/VLOOKUP(B279,'Poids des runes'!A:B,2,FALSE))</f>
        <v>7.71</v>
      </c>
      <c r="F279">
        <f t="shared" si="4"/>
        <v>7.71</v>
      </c>
    </row>
    <row r="280" spans="1:6" x14ac:dyDescent="0.3">
      <c r="A280" t="s">
        <v>127</v>
      </c>
      <c r="B280" t="s">
        <v>2128</v>
      </c>
      <c r="C280">
        <v>35.5</v>
      </c>
      <c r="D280">
        <v>22</v>
      </c>
      <c r="E280">
        <f>IF(OR(B280="vi",B280="ii",B280="pod"),(((D280/100)*(C280*VLOOKUP(B280,'Poids des runes'!A:B,2,FALSE)))+1),(((D280/100)*(C280*VLOOKUP(B280,'Poids des runes'!A:B,2,FALSE)))+1)/VLOOKUP(B280,'Poids des runes'!A:B,2,FALSE))</f>
        <v>2.5620000000000003</v>
      </c>
      <c r="F280">
        <f t="shared" si="4"/>
        <v>2.5620000000000003</v>
      </c>
    </row>
    <row r="281" spans="1:6" x14ac:dyDescent="0.3">
      <c r="A281" t="s">
        <v>127</v>
      </c>
      <c r="B281" t="s">
        <v>2134</v>
      </c>
      <c r="C281">
        <v>3.5</v>
      </c>
      <c r="D281">
        <v>22</v>
      </c>
      <c r="E281">
        <f>IF(OR(B281="vi",B281="ii",B281="pod"),(((D281/100)*(C281*VLOOKUP(B281,'Poids des runes'!A:B,2,FALSE)))+1),(((D281/100)*(C281*VLOOKUP(B281,'Poids des runes'!A:B,2,FALSE)))+1)/VLOOKUP(B281,'Poids des runes'!A:B,2,FALSE))</f>
        <v>0.82</v>
      </c>
      <c r="F281">
        <f t="shared" si="4"/>
        <v>0.82</v>
      </c>
    </row>
    <row r="282" spans="1:6" x14ac:dyDescent="0.3">
      <c r="A282" t="s">
        <v>128</v>
      </c>
      <c r="B282" t="s">
        <v>2128</v>
      </c>
      <c r="C282">
        <v>13</v>
      </c>
      <c r="D282">
        <v>22</v>
      </c>
      <c r="E282">
        <f>IF(OR(B282="vi",B282="ii",B282="pod"),(((D282/100)*(C282*VLOOKUP(B282,'Poids des runes'!A:B,2,FALSE)))+1),(((D282/100)*(C282*VLOOKUP(B282,'Poids des runes'!A:B,2,FALSE)))+1)/VLOOKUP(B282,'Poids des runes'!A:B,2,FALSE))</f>
        <v>1.5720000000000001</v>
      </c>
      <c r="F282">
        <f t="shared" si="4"/>
        <v>1.5720000000000001</v>
      </c>
    </row>
    <row r="283" spans="1:6" x14ac:dyDescent="0.3">
      <c r="A283" t="s">
        <v>128</v>
      </c>
      <c r="B283" t="s">
        <v>2131</v>
      </c>
      <c r="C283">
        <v>18</v>
      </c>
      <c r="D283">
        <v>22</v>
      </c>
      <c r="E283">
        <f>IF(OR(B283="vi",B283="ii",B283="pod"),(((D283/100)*(C283*VLOOKUP(B283,'Poids des runes'!A:B,2,FALSE)))+1),(((D283/100)*(C283*VLOOKUP(B283,'Poids des runes'!A:B,2,FALSE)))+1)/VLOOKUP(B283,'Poids des runes'!A:B,2,FALSE))</f>
        <v>4.96</v>
      </c>
      <c r="F283">
        <f t="shared" si="4"/>
        <v>4.96</v>
      </c>
    </row>
    <row r="284" spans="1:6" x14ac:dyDescent="0.3">
      <c r="A284" t="s">
        <v>128</v>
      </c>
      <c r="B284" t="s">
        <v>2127</v>
      </c>
      <c r="C284">
        <v>8</v>
      </c>
      <c r="D284">
        <v>22</v>
      </c>
      <c r="E284">
        <f>IF(OR(B284="vi",B284="ii",B284="pod"),(((D284/100)*(C284*VLOOKUP(B284,'Poids des runes'!A:B,2,FALSE)))+1),(((D284/100)*(C284*VLOOKUP(B284,'Poids des runes'!A:B,2,FALSE)))+1)/VLOOKUP(B284,'Poids des runes'!A:B,2,FALSE))</f>
        <v>2.76</v>
      </c>
      <c r="F284">
        <f t="shared" si="4"/>
        <v>2.76</v>
      </c>
    </row>
    <row r="285" spans="1:6" x14ac:dyDescent="0.3">
      <c r="A285" t="s">
        <v>129</v>
      </c>
      <c r="B285" t="s">
        <v>2126</v>
      </c>
      <c r="C285">
        <v>25.5</v>
      </c>
      <c r="D285">
        <v>22</v>
      </c>
      <c r="E285">
        <f>IF(OR(B285="vi",B285="ii",B285="pod"),(((D285/100)*(C285*VLOOKUP(B285,'Poids des runes'!A:B,2,FALSE)))+1),(((D285/100)*(C285*VLOOKUP(B285,'Poids des runes'!A:B,2,FALSE)))+1)/VLOOKUP(B285,'Poids des runes'!A:B,2,FALSE))</f>
        <v>6.61</v>
      </c>
      <c r="F285">
        <f t="shared" si="4"/>
        <v>6.61</v>
      </c>
    </row>
    <row r="286" spans="1:6" x14ac:dyDescent="0.3">
      <c r="A286" t="s">
        <v>129</v>
      </c>
      <c r="B286" t="s">
        <v>2127</v>
      </c>
      <c r="C286">
        <v>25.5</v>
      </c>
      <c r="D286">
        <v>22</v>
      </c>
      <c r="E286">
        <f>IF(OR(B286="vi",B286="ii",B286="pod"),(((D286/100)*(C286*VLOOKUP(B286,'Poids des runes'!A:B,2,FALSE)))+1),(((D286/100)*(C286*VLOOKUP(B286,'Poids des runes'!A:B,2,FALSE)))+1)/VLOOKUP(B286,'Poids des runes'!A:B,2,FALSE))</f>
        <v>6.61</v>
      </c>
      <c r="F286">
        <f t="shared" si="4"/>
        <v>6.61</v>
      </c>
    </row>
    <row r="287" spans="1:6" x14ac:dyDescent="0.3">
      <c r="A287" t="s">
        <v>130</v>
      </c>
      <c r="B287" t="s">
        <v>2130</v>
      </c>
      <c r="C287">
        <v>23</v>
      </c>
      <c r="D287">
        <v>22</v>
      </c>
      <c r="E287">
        <f>IF(OR(B287="vi",B287="ii",B287="pod"),(((D287/100)*(C287*VLOOKUP(B287,'Poids des runes'!A:B,2,FALSE)))+1),(((D287/100)*(C287*VLOOKUP(B287,'Poids des runes'!A:B,2,FALSE)))+1)/VLOOKUP(B287,'Poids des runes'!A:B,2,FALSE))</f>
        <v>6.06</v>
      </c>
      <c r="F287">
        <f t="shared" si="4"/>
        <v>6.06</v>
      </c>
    </row>
    <row r="288" spans="1:6" x14ac:dyDescent="0.3">
      <c r="A288" t="s">
        <v>130</v>
      </c>
      <c r="B288" t="s">
        <v>2131</v>
      </c>
      <c r="C288">
        <v>23</v>
      </c>
      <c r="D288">
        <v>22</v>
      </c>
      <c r="E288">
        <f>IF(OR(B288="vi",B288="ii",B288="pod"),(((D288/100)*(C288*VLOOKUP(B288,'Poids des runes'!A:B,2,FALSE)))+1),(((D288/100)*(C288*VLOOKUP(B288,'Poids des runes'!A:B,2,FALSE)))+1)/VLOOKUP(B288,'Poids des runes'!A:B,2,FALSE))</f>
        <v>6.06</v>
      </c>
      <c r="F288">
        <f t="shared" si="4"/>
        <v>6.06</v>
      </c>
    </row>
    <row r="289" spans="1:6" x14ac:dyDescent="0.3">
      <c r="A289" t="s">
        <v>131</v>
      </c>
      <c r="B289" t="s">
        <v>2130</v>
      </c>
      <c r="C289">
        <v>23</v>
      </c>
      <c r="D289">
        <v>22</v>
      </c>
      <c r="E289">
        <f>IF(OR(B289="vi",B289="ii",B289="pod"),(((D289/100)*(C289*VLOOKUP(B289,'Poids des runes'!A:B,2,FALSE)))+1),(((D289/100)*(C289*VLOOKUP(B289,'Poids des runes'!A:B,2,FALSE)))+1)/VLOOKUP(B289,'Poids des runes'!A:B,2,FALSE))</f>
        <v>6.06</v>
      </c>
      <c r="F289">
        <f t="shared" si="4"/>
        <v>6.06</v>
      </c>
    </row>
    <row r="290" spans="1:6" x14ac:dyDescent="0.3">
      <c r="A290" t="s">
        <v>131</v>
      </c>
      <c r="B290" t="s">
        <v>2127</v>
      </c>
      <c r="C290">
        <v>23</v>
      </c>
      <c r="D290">
        <v>22</v>
      </c>
      <c r="E290">
        <f>IF(OR(B290="vi",B290="ii",B290="pod"),(((D290/100)*(C290*VLOOKUP(B290,'Poids des runes'!A:B,2,FALSE)))+1),(((D290/100)*(C290*VLOOKUP(B290,'Poids des runes'!A:B,2,FALSE)))+1)/VLOOKUP(B290,'Poids des runes'!A:B,2,FALSE))</f>
        <v>6.06</v>
      </c>
      <c r="F290">
        <f t="shared" si="4"/>
        <v>6.06</v>
      </c>
    </row>
    <row r="291" spans="1:6" x14ac:dyDescent="0.3">
      <c r="A291" t="s">
        <v>132</v>
      </c>
      <c r="B291" t="s">
        <v>2128</v>
      </c>
      <c r="C291">
        <v>15.5</v>
      </c>
      <c r="D291">
        <v>22</v>
      </c>
      <c r="E291">
        <f>IF(OR(B291="vi",B291="ii",B291="pod"),(((D291/100)*(C291*VLOOKUP(B291,'Poids des runes'!A:B,2,FALSE)))+1),(((D291/100)*(C291*VLOOKUP(B291,'Poids des runes'!A:B,2,FALSE)))+1)/VLOOKUP(B291,'Poids des runes'!A:B,2,FALSE))</f>
        <v>1.6819999999999999</v>
      </c>
      <c r="F291">
        <f t="shared" si="4"/>
        <v>1.6819999999999999</v>
      </c>
    </row>
    <row r="292" spans="1:6" x14ac:dyDescent="0.3">
      <c r="A292" t="s">
        <v>132</v>
      </c>
      <c r="B292" t="s">
        <v>2126</v>
      </c>
      <c r="C292">
        <v>13</v>
      </c>
      <c r="D292">
        <v>22</v>
      </c>
      <c r="E292">
        <f>IF(OR(B292="vi",B292="ii",B292="pod"),(((D292/100)*(C292*VLOOKUP(B292,'Poids des runes'!A:B,2,FALSE)))+1),(((D292/100)*(C292*VLOOKUP(B292,'Poids des runes'!A:B,2,FALSE)))+1)/VLOOKUP(B292,'Poids des runes'!A:B,2,FALSE))</f>
        <v>3.86</v>
      </c>
      <c r="F292">
        <f t="shared" si="4"/>
        <v>3.86</v>
      </c>
    </row>
    <row r="293" spans="1:6" x14ac:dyDescent="0.3">
      <c r="A293" t="s">
        <v>132</v>
      </c>
      <c r="B293" t="s">
        <v>2127</v>
      </c>
      <c r="C293">
        <v>13</v>
      </c>
      <c r="D293">
        <v>22</v>
      </c>
      <c r="E293">
        <f>IF(OR(B293="vi",B293="ii",B293="pod"),(((D293/100)*(C293*VLOOKUP(B293,'Poids des runes'!A:B,2,FALSE)))+1),(((D293/100)*(C293*VLOOKUP(B293,'Poids des runes'!A:B,2,FALSE)))+1)/VLOOKUP(B293,'Poids des runes'!A:B,2,FALSE))</f>
        <v>3.86</v>
      </c>
      <c r="F293">
        <f t="shared" si="4"/>
        <v>3.86</v>
      </c>
    </row>
    <row r="294" spans="1:6" x14ac:dyDescent="0.3">
      <c r="A294" t="s">
        <v>133</v>
      </c>
      <c r="B294" t="s">
        <v>2128</v>
      </c>
      <c r="C294">
        <v>30.5</v>
      </c>
      <c r="D294">
        <v>22</v>
      </c>
      <c r="E294">
        <f>IF(OR(B294="vi",B294="ii",B294="pod"),(((D294/100)*(C294*VLOOKUP(B294,'Poids des runes'!A:B,2,FALSE)))+1),(((D294/100)*(C294*VLOOKUP(B294,'Poids des runes'!A:B,2,FALSE)))+1)/VLOOKUP(B294,'Poids des runes'!A:B,2,FALSE))</f>
        <v>2.3420000000000001</v>
      </c>
      <c r="F294">
        <f t="shared" si="4"/>
        <v>2.3420000000000001</v>
      </c>
    </row>
    <row r="295" spans="1:6" x14ac:dyDescent="0.3">
      <c r="A295" t="s">
        <v>133</v>
      </c>
      <c r="B295" t="s">
        <v>2129</v>
      </c>
      <c r="C295">
        <v>8</v>
      </c>
      <c r="D295">
        <v>22</v>
      </c>
      <c r="E295">
        <f>IF(OR(B295="vi",B295="ii",B295="pod"),(((D295/100)*(C295*VLOOKUP(B295,'Poids des runes'!A:B,2,FALSE)))+1),(((D295/100)*(C295*VLOOKUP(B295,'Poids des runes'!A:B,2,FALSE)))+1)/VLOOKUP(B295,'Poids des runes'!A:B,2,FALSE))</f>
        <v>2.76</v>
      </c>
      <c r="F295">
        <f t="shared" si="4"/>
        <v>2.76</v>
      </c>
    </row>
    <row r="296" spans="1:6" x14ac:dyDescent="0.3">
      <c r="A296" t="s">
        <v>134</v>
      </c>
      <c r="B296" t="s">
        <v>2126</v>
      </c>
      <c r="C296">
        <v>13</v>
      </c>
      <c r="D296">
        <v>22</v>
      </c>
      <c r="E296">
        <f>IF(OR(B296="vi",B296="ii",B296="pod"),(((D296/100)*(C296*VLOOKUP(B296,'Poids des runes'!A:B,2,FALSE)))+1),(((D296/100)*(C296*VLOOKUP(B296,'Poids des runes'!A:B,2,FALSE)))+1)/VLOOKUP(B296,'Poids des runes'!A:B,2,FALSE))</f>
        <v>3.86</v>
      </c>
      <c r="F296">
        <f t="shared" si="4"/>
        <v>3.86</v>
      </c>
    </row>
    <row r="297" spans="1:6" x14ac:dyDescent="0.3">
      <c r="A297" t="s">
        <v>134</v>
      </c>
      <c r="B297" t="s">
        <v>2132</v>
      </c>
      <c r="C297">
        <v>30.5</v>
      </c>
      <c r="D297">
        <v>22</v>
      </c>
      <c r="E297">
        <f>IF(OR(B297="vi",B297="ii",B297="pod"),(((D297/100)*(C297*VLOOKUP(B297,'Poids des runes'!A:B,2,FALSE)))+1),(((D297/100)*(C297*VLOOKUP(B297,'Poids des runes'!A:B,2,FALSE)))+1)/VLOOKUP(B297,'Poids des runes'!A:B,2,FALSE))</f>
        <v>1.671</v>
      </c>
      <c r="F297">
        <f t="shared" si="4"/>
        <v>1.671</v>
      </c>
    </row>
    <row r="298" spans="1:6" x14ac:dyDescent="0.3">
      <c r="A298" t="s">
        <v>134</v>
      </c>
      <c r="B298" t="s">
        <v>2135</v>
      </c>
      <c r="C298">
        <v>2.5</v>
      </c>
      <c r="D298">
        <v>22</v>
      </c>
      <c r="E298">
        <f>IF(OR(B298="vi",B298="ii",B298="pod"),(((D298/100)*(C298*VLOOKUP(B298,'Poids des runes'!A:B,2,FALSE)))+1),(((D298/100)*(C298*VLOOKUP(B298,'Poids des runes'!A:B,2,FALSE)))+1)/VLOOKUP(B298,'Poids des runes'!A:B,2,FALSE))</f>
        <v>0.71666666666666667</v>
      </c>
      <c r="F298">
        <f t="shared" si="4"/>
        <v>0.71666666666666667</v>
      </c>
    </row>
    <row r="299" spans="1:6" x14ac:dyDescent="0.3">
      <c r="A299" t="s">
        <v>135</v>
      </c>
      <c r="B299" t="s">
        <v>2131</v>
      </c>
      <c r="C299">
        <v>13</v>
      </c>
      <c r="D299">
        <v>22</v>
      </c>
      <c r="E299">
        <f>IF(OR(B299="vi",B299="ii",B299="pod"),(((D299/100)*(C299*VLOOKUP(B299,'Poids des runes'!A:B,2,FALSE)))+1),(((D299/100)*(C299*VLOOKUP(B299,'Poids des runes'!A:B,2,FALSE)))+1)/VLOOKUP(B299,'Poids des runes'!A:B,2,FALSE))</f>
        <v>3.86</v>
      </c>
      <c r="F299">
        <f t="shared" si="4"/>
        <v>3.86</v>
      </c>
    </row>
    <row r="300" spans="1:6" x14ac:dyDescent="0.3">
      <c r="A300" t="s">
        <v>135</v>
      </c>
      <c r="B300" t="s">
        <v>2132</v>
      </c>
      <c r="C300">
        <v>30.5</v>
      </c>
      <c r="D300">
        <v>22</v>
      </c>
      <c r="E300">
        <f>IF(OR(B300="vi",B300="ii",B300="pod"),(((D300/100)*(C300*VLOOKUP(B300,'Poids des runes'!A:B,2,FALSE)))+1),(((D300/100)*(C300*VLOOKUP(B300,'Poids des runes'!A:B,2,FALSE)))+1)/VLOOKUP(B300,'Poids des runes'!A:B,2,FALSE))</f>
        <v>1.671</v>
      </c>
      <c r="F300">
        <f t="shared" si="4"/>
        <v>1.671</v>
      </c>
    </row>
    <row r="301" spans="1:6" x14ac:dyDescent="0.3">
      <c r="A301" t="s">
        <v>135</v>
      </c>
      <c r="B301" t="s">
        <v>2147</v>
      </c>
      <c r="C301">
        <v>2.5</v>
      </c>
      <c r="D301">
        <v>22</v>
      </c>
      <c r="E301">
        <f>IF(OR(B301="vi",B301="ii",B301="pod"),(((D301/100)*(C301*VLOOKUP(B301,'Poids des runes'!A:B,2,FALSE)))+1),(((D301/100)*(C301*VLOOKUP(B301,'Poids des runes'!A:B,2,FALSE)))+1)/VLOOKUP(B301,'Poids des runes'!A:B,2,FALSE))</f>
        <v>0.71666666666666667</v>
      </c>
      <c r="F301">
        <f t="shared" si="4"/>
        <v>0.71666666666666667</v>
      </c>
    </row>
    <row r="302" spans="1:6" x14ac:dyDescent="0.3">
      <c r="A302" t="s">
        <v>136</v>
      </c>
      <c r="B302" t="s">
        <v>2139</v>
      </c>
      <c r="C302">
        <v>13</v>
      </c>
      <c r="D302">
        <v>22</v>
      </c>
      <c r="E302">
        <f>IF(OR(B302="vi",B302="ii",B302="pod"),(((D302/100)*(C302*VLOOKUP(B302,'Poids des runes'!A:B,2,FALSE)))+1),(((D302/100)*(C302*VLOOKUP(B302,'Poids des runes'!A:B,2,FALSE)))+1)/VLOOKUP(B302,'Poids des runes'!A:B,2,FALSE))</f>
        <v>3.36</v>
      </c>
      <c r="F302">
        <f t="shared" si="4"/>
        <v>3.36</v>
      </c>
    </row>
    <row r="303" spans="1:6" x14ac:dyDescent="0.3">
      <c r="A303" t="s">
        <v>136</v>
      </c>
      <c r="B303" t="s">
        <v>2132</v>
      </c>
      <c r="C303">
        <v>30.5</v>
      </c>
      <c r="D303">
        <v>22</v>
      </c>
      <c r="E303">
        <f>IF(OR(B303="vi",B303="ii",B303="pod"),(((D303/100)*(C303*VLOOKUP(B303,'Poids des runes'!A:B,2,FALSE)))+1),(((D303/100)*(C303*VLOOKUP(B303,'Poids des runes'!A:B,2,FALSE)))+1)/VLOOKUP(B303,'Poids des runes'!A:B,2,FALSE))</f>
        <v>1.671</v>
      </c>
      <c r="F303">
        <f t="shared" si="4"/>
        <v>1.671</v>
      </c>
    </row>
    <row r="304" spans="1:6" x14ac:dyDescent="0.3">
      <c r="A304" t="s">
        <v>136</v>
      </c>
      <c r="B304" t="s">
        <v>2156</v>
      </c>
      <c r="C304">
        <v>2.5</v>
      </c>
      <c r="D304">
        <v>22</v>
      </c>
      <c r="E304">
        <f>IF(OR(B304="vi",B304="ii",B304="pod"),(((D304/100)*(C304*VLOOKUP(B304,'Poids des runes'!A:B,2,FALSE)))+1),(((D304/100)*(C304*VLOOKUP(B304,'Poids des runes'!A:B,2,FALSE)))+1)/VLOOKUP(B304,'Poids des runes'!A:B,2,FALSE))</f>
        <v>0.71666666666666667</v>
      </c>
      <c r="F304">
        <f t="shared" si="4"/>
        <v>0.71666666666666667</v>
      </c>
    </row>
    <row r="305" spans="1:6" x14ac:dyDescent="0.3">
      <c r="A305" t="s">
        <v>137</v>
      </c>
      <c r="B305" t="s">
        <v>2127</v>
      </c>
      <c r="C305">
        <v>13</v>
      </c>
      <c r="D305">
        <v>22</v>
      </c>
      <c r="E305">
        <f>IF(OR(B305="vi",B305="ii",B305="pod"),(((D305/100)*(C305*VLOOKUP(B305,'Poids des runes'!A:B,2,FALSE)))+1),(((D305/100)*(C305*VLOOKUP(B305,'Poids des runes'!A:B,2,FALSE)))+1)/VLOOKUP(B305,'Poids des runes'!A:B,2,FALSE))</f>
        <v>3.86</v>
      </c>
      <c r="F305">
        <f t="shared" si="4"/>
        <v>3.86</v>
      </c>
    </row>
    <row r="306" spans="1:6" x14ac:dyDescent="0.3">
      <c r="A306" t="s">
        <v>137</v>
      </c>
      <c r="B306" t="s">
        <v>2132</v>
      </c>
      <c r="C306">
        <v>30.5</v>
      </c>
      <c r="D306">
        <v>22</v>
      </c>
      <c r="E306">
        <f>IF(OR(B306="vi",B306="ii",B306="pod"),(((D306/100)*(C306*VLOOKUP(B306,'Poids des runes'!A:B,2,FALSE)))+1),(((D306/100)*(C306*VLOOKUP(B306,'Poids des runes'!A:B,2,FALSE)))+1)/VLOOKUP(B306,'Poids des runes'!A:B,2,FALSE))</f>
        <v>1.671</v>
      </c>
      <c r="F306">
        <f t="shared" si="4"/>
        <v>1.671</v>
      </c>
    </row>
    <row r="307" spans="1:6" x14ac:dyDescent="0.3">
      <c r="A307" t="s">
        <v>137</v>
      </c>
      <c r="B307" t="s">
        <v>2148</v>
      </c>
      <c r="C307">
        <v>2.5</v>
      </c>
      <c r="D307">
        <v>22</v>
      </c>
      <c r="E307">
        <f>IF(OR(B307="vi",B307="ii",B307="pod"),(((D307/100)*(C307*VLOOKUP(B307,'Poids des runes'!A:B,2,FALSE)))+1),(((D307/100)*(C307*VLOOKUP(B307,'Poids des runes'!A:B,2,FALSE)))+1)/VLOOKUP(B307,'Poids des runes'!A:B,2,FALSE))</f>
        <v>0.71666666666666667</v>
      </c>
      <c r="F307">
        <f t="shared" si="4"/>
        <v>0.71666666666666667</v>
      </c>
    </row>
    <row r="308" spans="1:6" x14ac:dyDescent="0.3">
      <c r="A308" t="s">
        <v>138</v>
      </c>
      <c r="B308" t="s">
        <v>2130</v>
      </c>
      <c r="C308">
        <v>13</v>
      </c>
      <c r="D308">
        <v>22</v>
      </c>
      <c r="E308">
        <f>IF(OR(B308="vi",B308="ii",B308="pod"),(((D308/100)*(C308*VLOOKUP(B308,'Poids des runes'!A:B,2,FALSE)))+1),(((D308/100)*(C308*VLOOKUP(B308,'Poids des runes'!A:B,2,FALSE)))+1)/VLOOKUP(B308,'Poids des runes'!A:B,2,FALSE))</f>
        <v>3.86</v>
      </c>
      <c r="F308">
        <f t="shared" si="4"/>
        <v>3.86</v>
      </c>
    </row>
    <row r="309" spans="1:6" x14ac:dyDescent="0.3">
      <c r="A309" t="s">
        <v>138</v>
      </c>
      <c r="B309" t="s">
        <v>2132</v>
      </c>
      <c r="C309">
        <v>30.5</v>
      </c>
      <c r="D309">
        <v>22</v>
      </c>
      <c r="E309">
        <f>IF(OR(B309="vi",B309="ii",B309="pod"),(((D309/100)*(C309*VLOOKUP(B309,'Poids des runes'!A:B,2,FALSE)))+1),(((D309/100)*(C309*VLOOKUP(B309,'Poids des runes'!A:B,2,FALSE)))+1)/VLOOKUP(B309,'Poids des runes'!A:B,2,FALSE))</f>
        <v>1.671</v>
      </c>
      <c r="F309">
        <f t="shared" si="4"/>
        <v>1.671</v>
      </c>
    </row>
    <row r="310" spans="1:6" x14ac:dyDescent="0.3">
      <c r="A310" t="s">
        <v>138</v>
      </c>
      <c r="B310" t="s">
        <v>2157</v>
      </c>
      <c r="C310">
        <v>2.5</v>
      </c>
      <c r="D310">
        <v>22</v>
      </c>
      <c r="E310">
        <f>IF(OR(B310="vi",B310="ii",B310="pod"),(((D310/100)*(C310*VLOOKUP(B310,'Poids des runes'!A:B,2,FALSE)))+1),(((D310/100)*(C310*VLOOKUP(B310,'Poids des runes'!A:B,2,FALSE)))+1)/VLOOKUP(B310,'Poids des runes'!A:B,2,FALSE))</f>
        <v>0.71666666666666667</v>
      </c>
      <c r="F310">
        <f t="shared" si="4"/>
        <v>0.71666666666666667</v>
      </c>
    </row>
    <row r="311" spans="1:6" x14ac:dyDescent="0.3">
      <c r="A311" t="s">
        <v>139</v>
      </c>
      <c r="B311" t="s">
        <v>2128</v>
      </c>
      <c r="C311">
        <v>13</v>
      </c>
      <c r="D311">
        <v>22</v>
      </c>
      <c r="E311">
        <f>IF(OR(B311="vi",B311="ii",B311="pod"),(((D311/100)*(C311*VLOOKUP(B311,'Poids des runes'!A:B,2,FALSE)))+1),(((D311/100)*(C311*VLOOKUP(B311,'Poids des runes'!A:B,2,FALSE)))+1)/VLOOKUP(B311,'Poids des runes'!A:B,2,FALSE))</f>
        <v>1.5720000000000001</v>
      </c>
      <c r="F311">
        <f t="shared" si="4"/>
        <v>1.5720000000000001</v>
      </c>
    </row>
    <row r="312" spans="1:6" x14ac:dyDescent="0.3">
      <c r="A312" t="s">
        <v>139</v>
      </c>
      <c r="B312" t="s">
        <v>2132</v>
      </c>
      <c r="C312">
        <v>30.5</v>
      </c>
      <c r="D312">
        <v>22</v>
      </c>
      <c r="E312">
        <f>IF(OR(B312="vi",B312="ii",B312="pod"),(((D312/100)*(C312*VLOOKUP(B312,'Poids des runes'!A:B,2,FALSE)))+1),(((D312/100)*(C312*VLOOKUP(B312,'Poids des runes'!A:B,2,FALSE)))+1)/VLOOKUP(B312,'Poids des runes'!A:B,2,FALSE))</f>
        <v>1.671</v>
      </c>
      <c r="F312">
        <f t="shared" si="4"/>
        <v>1.671</v>
      </c>
    </row>
    <row r="313" spans="1:6" x14ac:dyDescent="0.3">
      <c r="A313" t="s">
        <v>139</v>
      </c>
      <c r="B313" t="s">
        <v>2156</v>
      </c>
      <c r="C313">
        <v>1</v>
      </c>
      <c r="D313">
        <v>22</v>
      </c>
      <c r="E313">
        <f>IF(OR(B313="vi",B313="ii",B313="pod"),(((D313/100)*(C313*VLOOKUP(B313,'Poids des runes'!A:B,2,FALSE)))+1),(((D313/100)*(C313*VLOOKUP(B313,'Poids des runes'!A:B,2,FALSE)))+1)/VLOOKUP(B313,'Poids des runes'!A:B,2,FALSE))</f>
        <v>0.38666666666666671</v>
      </c>
      <c r="F313">
        <f t="shared" si="4"/>
        <v>0.38666666666666671</v>
      </c>
    </row>
    <row r="314" spans="1:6" x14ac:dyDescent="0.3">
      <c r="A314" t="s">
        <v>139</v>
      </c>
      <c r="B314" t="s">
        <v>2148</v>
      </c>
      <c r="C314">
        <v>1</v>
      </c>
      <c r="D314">
        <v>22</v>
      </c>
      <c r="E314">
        <f>IF(OR(B314="vi",B314="ii",B314="pod"),(((D314/100)*(C314*VLOOKUP(B314,'Poids des runes'!A:B,2,FALSE)))+1),(((D314/100)*(C314*VLOOKUP(B314,'Poids des runes'!A:B,2,FALSE)))+1)/VLOOKUP(B314,'Poids des runes'!A:B,2,FALSE))</f>
        <v>0.38666666666666671</v>
      </c>
      <c r="F314">
        <f t="shared" si="4"/>
        <v>0.38666666666666671</v>
      </c>
    </row>
    <row r="315" spans="1:6" x14ac:dyDescent="0.3">
      <c r="A315" t="s">
        <v>139</v>
      </c>
      <c r="B315" t="s">
        <v>2147</v>
      </c>
      <c r="C315">
        <v>1</v>
      </c>
      <c r="D315">
        <v>22</v>
      </c>
      <c r="E315">
        <f>IF(OR(B315="vi",B315="ii",B315="pod"),(((D315/100)*(C315*VLOOKUP(B315,'Poids des runes'!A:B,2,FALSE)))+1),(((D315/100)*(C315*VLOOKUP(B315,'Poids des runes'!A:B,2,FALSE)))+1)/VLOOKUP(B315,'Poids des runes'!A:B,2,FALSE))</f>
        <v>0.38666666666666671</v>
      </c>
      <c r="F315">
        <f t="shared" si="4"/>
        <v>0.38666666666666671</v>
      </c>
    </row>
    <row r="316" spans="1:6" x14ac:dyDescent="0.3">
      <c r="A316" t="s">
        <v>139</v>
      </c>
      <c r="B316" t="s">
        <v>2135</v>
      </c>
      <c r="C316">
        <v>1</v>
      </c>
      <c r="D316">
        <v>22</v>
      </c>
      <c r="E316">
        <f>IF(OR(B316="vi",B316="ii",B316="pod"),(((D316/100)*(C316*VLOOKUP(B316,'Poids des runes'!A:B,2,FALSE)))+1),(((D316/100)*(C316*VLOOKUP(B316,'Poids des runes'!A:B,2,FALSE)))+1)/VLOOKUP(B316,'Poids des runes'!A:B,2,FALSE))</f>
        <v>0.38666666666666671</v>
      </c>
      <c r="F316">
        <f t="shared" si="4"/>
        <v>0.38666666666666671</v>
      </c>
    </row>
    <row r="317" spans="1:6" x14ac:dyDescent="0.3">
      <c r="A317" t="s">
        <v>139</v>
      </c>
      <c r="B317" t="s">
        <v>2157</v>
      </c>
      <c r="C317">
        <v>1</v>
      </c>
      <c r="D317">
        <v>22</v>
      </c>
      <c r="E317">
        <f>IF(OR(B317="vi",B317="ii",B317="pod"),(((D317/100)*(C317*VLOOKUP(B317,'Poids des runes'!A:B,2,FALSE)))+1),(((D317/100)*(C317*VLOOKUP(B317,'Poids des runes'!A:B,2,FALSE)))+1)/VLOOKUP(B317,'Poids des runes'!A:B,2,FALSE))</f>
        <v>0.38666666666666671</v>
      </c>
      <c r="F317">
        <f t="shared" si="4"/>
        <v>0.38666666666666671</v>
      </c>
    </row>
    <row r="318" spans="1:6" x14ac:dyDescent="0.3">
      <c r="A318" t="s">
        <v>140</v>
      </c>
      <c r="B318" t="s">
        <v>2126</v>
      </c>
      <c r="C318">
        <v>8</v>
      </c>
      <c r="D318">
        <v>22</v>
      </c>
      <c r="E318">
        <f>IF(OR(B318="vi",B318="ii",B318="pod"),(((D318/100)*(C318*VLOOKUP(B318,'Poids des runes'!A:B,2,FALSE)))+1),(((D318/100)*(C318*VLOOKUP(B318,'Poids des runes'!A:B,2,FALSE)))+1)/VLOOKUP(B318,'Poids des runes'!A:B,2,FALSE))</f>
        <v>2.76</v>
      </c>
      <c r="F318">
        <f t="shared" si="4"/>
        <v>2.76</v>
      </c>
    </row>
    <row r="319" spans="1:6" x14ac:dyDescent="0.3">
      <c r="A319" t="s">
        <v>140</v>
      </c>
      <c r="B319" t="s">
        <v>2127</v>
      </c>
      <c r="C319">
        <v>8</v>
      </c>
      <c r="D319">
        <v>22</v>
      </c>
      <c r="E319">
        <f>IF(OR(B319="vi",B319="ii",B319="pod"),(((D319/100)*(C319*VLOOKUP(B319,'Poids des runes'!A:B,2,FALSE)))+1),(((D319/100)*(C319*VLOOKUP(B319,'Poids des runes'!A:B,2,FALSE)))+1)/VLOOKUP(B319,'Poids des runes'!A:B,2,FALSE))</f>
        <v>2.76</v>
      </c>
      <c r="F319">
        <f t="shared" si="4"/>
        <v>2.76</v>
      </c>
    </row>
    <row r="320" spans="1:6" x14ac:dyDescent="0.3">
      <c r="A320" t="s">
        <v>140</v>
      </c>
      <c r="B320" t="s">
        <v>2132</v>
      </c>
      <c r="C320">
        <v>30.5</v>
      </c>
      <c r="D320">
        <v>22</v>
      </c>
      <c r="E320">
        <f>IF(OR(B320="vi",B320="ii",B320="pod"),(((D320/100)*(C320*VLOOKUP(B320,'Poids des runes'!A:B,2,FALSE)))+1),(((D320/100)*(C320*VLOOKUP(B320,'Poids des runes'!A:B,2,FALSE)))+1)/VLOOKUP(B320,'Poids des runes'!A:B,2,FALSE))</f>
        <v>1.671</v>
      </c>
      <c r="F320">
        <f t="shared" si="4"/>
        <v>1.671</v>
      </c>
    </row>
    <row r="321" spans="1:6" x14ac:dyDescent="0.3">
      <c r="A321" t="s">
        <v>141</v>
      </c>
      <c r="B321" t="s">
        <v>2128</v>
      </c>
      <c r="C321">
        <v>25.5</v>
      </c>
      <c r="D321">
        <v>23</v>
      </c>
      <c r="E321">
        <f>IF(OR(B321="vi",B321="ii",B321="pod"),(((D321/100)*(C321*VLOOKUP(B321,'Poids des runes'!A:B,2,FALSE)))+1),(((D321/100)*(C321*VLOOKUP(B321,'Poids des runes'!A:B,2,FALSE)))+1)/VLOOKUP(B321,'Poids des runes'!A:B,2,FALSE))</f>
        <v>2.173</v>
      </c>
      <c r="F321">
        <f t="shared" si="4"/>
        <v>2.173</v>
      </c>
    </row>
    <row r="322" spans="1:6" x14ac:dyDescent="0.3">
      <c r="A322" t="s">
        <v>141</v>
      </c>
      <c r="B322" t="s">
        <v>2131</v>
      </c>
      <c r="C322">
        <v>13</v>
      </c>
      <c r="D322">
        <v>23</v>
      </c>
      <c r="E322">
        <f>IF(OR(B322="vi",B322="ii",B322="pod"),(((D322/100)*(C322*VLOOKUP(B322,'Poids des runes'!A:B,2,FALSE)))+1),(((D322/100)*(C322*VLOOKUP(B322,'Poids des runes'!A:B,2,FALSE)))+1)/VLOOKUP(B322,'Poids des runes'!A:B,2,FALSE))</f>
        <v>3.99</v>
      </c>
      <c r="F322">
        <f t="shared" si="4"/>
        <v>3.99</v>
      </c>
    </row>
    <row r="323" spans="1:6" x14ac:dyDescent="0.3">
      <c r="A323" t="s">
        <v>141</v>
      </c>
      <c r="B323" t="s">
        <v>2129</v>
      </c>
      <c r="C323">
        <v>8</v>
      </c>
      <c r="D323">
        <v>23</v>
      </c>
      <c r="E323">
        <f>IF(OR(B323="vi",B323="ii",B323="pod"),(((D323/100)*(C323*VLOOKUP(B323,'Poids des runes'!A:B,2,FALSE)))+1),(((D323/100)*(C323*VLOOKUP(B323,'Poids des runes'!A:B,2,FALSE)))+1)/VLOOKUP(B323,'Poids des runes'!A:B,2,FALSE))</f>
        <v>2.84</v>
      </c>
      <c r="F323">
        <f t="shared" ref="F323:F386" si="5">E323</f>
        <v>2.84</v>
      </c>
    </row>
    <row r="324" spans="1:6" x14ac:dyDescent="0.3">
      <c r="A324" t="s">
        <v>142</v>
      </c>
      <c r="B324" t="s">
        <v>2128</v>
      </c>
      <c r="C324">
        <v>35.5</v>
      </c>
      <c r="D324">
        <v>23</v>
      </c>
      <c r="E324">
        <f>IF(OR(B324="vi",B324="ii",B324="pod"),(((D324/100)*(C324*VLOOKUP(B324,'Poids des runes'!A:B,2,FALSE)))+1),(((D324/100)*(C324*VLOOKUP(B324,'Poids des runes'!A:B,2,FALSE)))+1)/VLOOKUP(B324,'Poids des runes'!A:B,2,FALSE))</f>
        <v>2.633</v>
      </c>
      <c r="F324">
        <f t="shared" si="5"/>
        <v>2.633</v>
      </c>
    </row>
    <row r="325" spans="1:6" x14ac:dyDescent="0.3">
      <c r="A325" t="s">
        <v>142</v>
      </c>
      <c r="B325" t="s">
        <v>2139</v>
      </c>
      <c r="C325">
        <v>13</v>
      </c>
      <c r="D325">
        <v>23</v>
      </c>
      <c r="E325">
        <f>IF(OR(B325="vi",B325="ii",B325="pod"),(((D325/100)*(C325*VLOOKUP(B325,'Poids des runes'!A:B,2,FALSE)))+1),(((D325/100)*(C325*VLOOKUP(B325,'Poids des runes'!A:B,2,FALSE)))+1)/VLOOKUP(B325,'Poids des runes'!A:B,2,FALSE))</f>
        <v>3.49</v>
      </c>
      <c r="F325">
        <f t="shared" si="5"/>
        <v>3.49</v>
      </c>
    </row>
    <row r="326" spans="1:6" x14ac:dyDescent="0.3">
      <c r="A326" t="s">
        <v>142</v>
      </c>
      <c r="B326" t="s">
        <v>2138</v>
      </c>
      <c r="C326">
        <v>4</v>
      </c>
      <c r="D326">
        <v>23</v>
      </c>
      <c r="E326">
        <f>IF(OR(B326="vi",B326="ii",B326="pod"),(((D326/100)*(C326*VLOOKUP(B326,'Poids des runes'!A:B,2,FALSE)))+1),(((D326/100)*(C326*VLOOKUP(B326,'Poids des runes'!A:B,2,FALSE)))+1)/VLOOKUP(B326,'Poids des runes'!A:B,2,FALSE))</f>
        <v>1.17</v>
      </c>
      <c r="F326">
        <f t="shared" si="5"/>
        <v>1.17</v>
      </c>
    </row>
    <row r="327" spans="1:6" x14ac:dyDescent="0.3">
      <c r="A327" t="s">
        <v>143</v>
      </c>
      <c r="B327" t="s">
        <v>2126</v>
      </c>
      <c r="C327">
        <v>13</v>
      </c>
      <c r="D327">
        <v>23</v>
      </c>
      <c r="E327">
        <f>IF(OR(B327="vi",B327="ii",B327="pod"),(((D327/100)*(C327*VLOOKUP(B327,'Poids des runes'!A:B,2,FALSE)))+1),(((D327/100)*(C327*VLOOKUP(B327,'Poids des runes'!A:B,2,FALSE)))+1)/VLOOKUP(B327,'Poids des runes'!A:B,2,FALSE))</f>
        <v>3.99</v>
      </c>
      <c r="F327">
        <f t="shared" si="5"/>
        <v>3.99</v>
      </c>
    </row>
    <row r="328" spans="1:6" x14ac:dyDescent="0.3">
      <c r="A328" t="s">
        <v>143</v>
      </c>
      <c r="B328" t="s">
        <v>2131</v>
      </c>
      <c r="C328">
        <v>13</v>
      </c>
      <c r="D328">
        <v>23</v>
      </c>
      <c r="E328">
        <f>IF(OR(B328="vi",B328="ii",B328="pod"),(((D328/100)*(C328*VLOOKUP(B328,'Poids des runes'!A:B,2,FALSE)))+1),(((D328/100)*(C328*VLOOKUP(B328,'Poids des runes'!A:B,2,FALSE)))+1)/VLOOKUP(B328,'Poids des runes'!A:B,2,FALSE))</f>
        <v>3.99</v>
      </c>
      <c r="F328">
        <f t="shared" si="5"/>
        <v>3.99</v>
      </c>
    </row>
    <row r="329" spans="1:6" x14ac:dyDescent="0.3">
      <c r="A329" t="s">
        <v>144</v>
      </c>
      <c r="B329" t="s">
        <v>2128</v>
      </c>
      <c r="C329">
        <v>8.5</v>
      </c>
      <c r="D329">
        <v>23</v>
      </c>
      <c r="E329">
        <f>IF(OR(B329="vi",B329="ii",B329="pod"),(((D329/100)*(C329*VLOOKUP(B329,'Poids des runes'!A:B,2,FALSE)))+1),(((D329/100)*(C329*VLOOKUP(B329,'Poids des runes'!A:B,2,FALSE)))+1)/VLOOKUP(B329,'Poids des runes'!A:B,2,FALSE))</f>
        <v>1.391</v>
      </c>
      <c r="F329">
        <f t="shared" si="5"/>
        <v>1.391</v>
      </c>
    </row>
    <row r="330" spans="1:6" x14ac:dyDescent="0.3">
      <c r="A330" t="s">
        <v>144</v>
      </c>
      <c r="B330" t="s">
        <v>2126</v>
      </c>
      <c r="C330">
        <v>13</v>
      </c>
      <c r="D330">
        <v>23</v>
      </c>
      <c r="E330">
        <f>IF(OR(B330="vi",B330="ii",B330="pod"),(((D330/100)*(C330*VLOOKUP(B330,'Poids des runes'!A:B,2,FALSE)))+1),(((D330/100)*(C330*VLOOKUP(B330,'Poids des runes'!A:B,2,FALSE)))+1)/VLOOKUP(B330,'Poids des runes'!A:B,2,FALSE))</f>
        <v>3.99</v>
      </c>
      <c r="F330">
        <f t="shared" si="5"/>
        <v>3.99</v>
      </c>
    </row>
    <row r="331" spans="1:6" x14ac:dyDescent="0.3">
      <c r="A331" t="s">
        <v>144</v>
      </c>
      <c r="B331" t="s">
        <v>2132</v>
      </c>
      <c r="C331">
        <v>40.5</v>
      </c>
      <c r="D331">
        <v>23</v>
      </c>
      <c r="E331">
        <f>IF(OR(B331="vi",B331="ii",B331="pod"),(((D331/100)*(C331*VLOOKUP(B331,'Poids des runes'!A:B,2,FALSE)))+1),(((D331/100)*(C331*VLOOKUP(B331,'Poids des runes'!A:B,2,FALSE)))+1)/VLOOKUP(B331,'Poids des runes'!A:B,2,FALSE))</f>
        <v>1.9315</v>
      </c>
      <c r="F331">
        <f t="shared" si="5"/>
        <v>1.9315</v>
      </c>
    </row>
    <row r="332" spans="1:6" x14ac:dyDescent="0.3">
      <c r="A332" t="s">
        <v>145</v>
      </c>
      <c r="B332" t="s">
        <v>2128</v>
      </c>
      <c r="C332">
        <v>8.5</v>
      </c>
      <c r="D332">
        <v>23</v>
      </c>
      <c r="E332">
        <f>IF(OR(B332="vi",B332="ii",B332="pod"),(((D332/100)*(C332*VLOOKUP(B332,'Poids des runes'!A:B,2,FALSE)))+1),(((D332/100)*(C332*VLOOKUP(B332,'Poids des runes'!A:B,2,FALSE)))+1)/VLOOKUP(B332,'Poids des runes'!A:B,2,FALSE))</f>
        <v>1.391</v>
      </c>
      <c r="F332">
        <f t="shared" si="5"/>
        <v>1.391</v>
      </c>
    </row>
    <row r="333" spans="1:6" x14ac:dyDescent="0.3">
      <c r="A333" t="s">
        <v>145</v>
      </c>
      <c r="B333" t="s">
        <v>2131</v>
      </c>
      <c r="C333">
        <v>13</v>
      </c>
      <c r="D333">
        <v>23</v>
      </c>
      <c r="E333">
        <f>IF(OR(B333="vi",B333="ii",B333="pod"),(((D333/100)*(C333*VLOOKUP(B333,'Poids des runes'!A:B,2,FALSE)))+1),(((D333/100)*(C333*VLOOKUP(B333,'Poids des runes'!A:B,2,FALSE)))+1)/VLOOKUP(B333,'Poids des runes'!A:B,2,FALSE))</f>
        <v>3.99</v>
      </c>
      <c r="F333">
        <f t="shared" si="5"/>
        <v>3.99</v>
      </c>
    </row>
    <row r="334" spans="1:6" x14ac:dyDescent="0.3">
      <c r="A334" t="s">
        <v>145</v>
      </c>
      <c r="B334" t="s">
        <v>2132</v>
      </c>
      <c r="C334">
        <v>40.5</v>
      </c>
      <c r="D334">
        <v>23</v>
      </c>
      <c r="E334">
        <f>IF(OR(B334="vi",B334="ii",B334="pod"),(((D334/100)*(C334*VLOOKUP(B334,'Poids des runes'!A:B,2,FALSE)))+1),(((D334/100)*(C334*VLOOKUP(B334,'Poids des runes'!A:B,2,FALSE)))+1)/VLOOKUP(B334,'Poids des runes'!A:B,2,FALSE))</f>
        <v>1.9315</v>
      </c>
      <c r="F334">
        <f t="shared" si="5"/>
        <v>1.9315</v>
      </c>
    </row>
    <row r="335" spans="1:6" x14ac:dyDescent="0.3">
      <c r="A335" t="s">
        <v>146</v>
      </c>
      <c r="B335" t="s">
        <v>2128</v>
      </c>
      <c r="C335">
        <v>8.5</v>
      </c>
      <c r="D335">
        <v>23</v>
      </c>
      <c r="E335">
        <f>IF(OR(B335="vi",B335="ii",B335="pod"),(((D335/100)*(C335*VLOOKUP(B335,'Poids des runes'!A:B,2,FALSE)))+1),(((D335/100)*(C335*VLOOKUP(B335,'Poids des runes'!A:B,2,FALSE)))+1)/VLOOKUP(B335,'Poids des runes'!A:B,2,FALSE))</f>
        <v>1.391</v>
      </c>
      <c r="F335">
        <f t="shared" si="5"/>
        <v>1.391</v>
      </c>
    </row>
    <row r="336" spans="1:6" x14ac:dyDescent="0.3">
      <c r="A336" t="s">
        <v>146</v>
      </c>
      <c r="B336" t="s">
        <v>2127</v>
      </c>
      <c r="C336">
        <v>13</v>
      </c>
      <c r="D336">
        <v>23</v>
      </c>
      <c r="E336">
        <f>IF(OR(B336="vi",B336="ii",B336="pod"),(((D336/100)*(C336*VLOOKUP(B336,'Poids des runes'!A:B,2,FALSE)))+1),(((D336/100)*(C336*VLOOKUP(B336,'Poids des runes'!A:B,2,FALSE)))+1)/VLOOKUP(B336,'Poids des runes'!A:B,2,FALSE))</f>
        <v>3.99</v>
      </c>
      <c r="F336">
        <f t="shared" si="5"/>
        <v>3.99</v>
      </c>
    </row>
    <row r="337" spans="1:6" x14ac:dyDescent="0.3">
      <c r="A337" t="s">
        <v>146</v>
      </c>
      <c r="B337" t="s">
        <v>2132</v>
      </c>
      <c r="C337">
        <v>40.5</v>
      </c>
      <c r="D337">
        <v>23</v>
      </c>
      <c r="E337">
        <f>IF(OR(B337="vi",B337="ii",B337="pod"),(((D337/100)*(C337*VLOOKUP(B337,'Poids des runes'!A:B,2,FALSE)))+1),(((D337/100)*(C337*VLOOKUP(B337,'Poids des runes'!A:B,2,FALSE)))+1)/VLOOKUP(B337,'Poids des runes'!A:B,2,FALSE))</f>
        <v>1.9315</v>
      </c>
      <c r="F337">
        <f t="shared" si="5"/>
        <v>1.9315</v>
      </c>
    </row>
    <row r="338" spans="1:6" x14ac:dyDescent="0.3">
      <c r="A338" t="s">
        <v>147</v>
      </c>
      <c r="B338" t="s">
        <v>2128</v>
      </c>
      <c r="C338">
        <v>8.5</v>
      </c>
      <c r="D338">
        <v>23</v>
      </c>
      <c r="E338">
        <f>IF(OR(B338="vi",B338="ii",B338="pod"),(((D338/100)*(C338*VLOOKUP(B338,'Poids des runes'!A:B,2,FALSE)))+1),(((D338/100)*(C338*VLOOKUP(B338,'Poids des runes'!A:B,2,FALSE)))+1)/VLOOKUP(B338,'Poids des runes'!A:B,2,FALSE))</f>
        <v>1.391</v>
      </c>
      <c r="F338">
        <f t="shared" si="5"/>
        <v>1.391</v>
      </c>
    </row>
    <row r="339" spans="1:6" x14ac:dyDescent="0.3">
      <c r="A339" t="s">
        <v>147</v>
      </c>
      <c r="B339" t="s">
        <v>2130</v>
      </c>
      <c r="C339">
        <v>13</v>
      </c>
      <c r="D339">
        <v>23</v>
      </c>
      <c r="E339">
        <f>IF(OR(B339="vi",B339="ii",B339="pod"),(((D339/100)*(C339*VLOOKUP(B339,'Poids des runes'!A:B,2,FALSE)))+1),(((D339/100)*(C339*VLOOKUP(B339,'Poids des runes'!A:B,2,FALSE)))+1)/VLOOKUP(B339,'Poids des runes'!A:B,2,FALSE))</f>
        <v>3.99</v>
      </c>
      <c r="F339">
        <f t="shared" si="5"/>
        <v>3.99</v>
      </c>
    </row>
    <row r="340" spans="1:6" x14ac:dyDescent="0.3">
      <c r="A340" t="s">
        <v>147</v>
      </c>
      <c r="B340" t="s">
        <v>2132</v>
      </c>
      <c r="C340">
        <v>40.5</v>
      </c>
      <c r="D340">
        <v>23</v>
      </c>
      <c r="E340">
        <f>IF(OR(B340="vi",B340="ii",B340="pod"),(((D340/100)*(C340*VLOOKUP(B340,'Poids des runes'!A:B,2,FALSE)))+1),(((D340/100)*(C340*VLOOKUP(B340,'Poids des runes'!A:B,2,FALSE)))+1)/VLOOKUP(B340,'Poids des runes'!A:B,2,FALSE))</f>
        <v>1.9315</v>
      </c>
      <c r="F340">
        <f t="shared" si="5"/>
        <v>1.9315</v>
      </c>
    </row>
    <row r="341" spans="1:6" x14ac:dyDescent="0.3">
      <c r="A341" t="s">
        <v>148</v>
      </c>
      <c r="B341" t="s">
        <v>2128</v>
      </c>
      <c r="C341">
        <v>18</v>
      </c>
      <c r="D341">
        <v>23</v>
      </c>
      <c r="E341">
        <f>IF(OR(B341="vi",B341="ii",B341="pod"),(((D341/100)*(C341*VLOOKUP(B341,'Poids des runes'!A:B,2,FALSE)))+1),(((D341/100)*(C341*VLOOKUP(B341,'Poids des runes'!A:B,2,FALSE)))+1)/VLOOKUP(B341,'Poids des runes'!A:B,2,FALSE))</f>
        <v>1.8280000000000001</v>
      </c>
      <c r="F341">
        <f t="shared" si="5"/>
        <v>1.8280000000000001</v>
      </c>
    </row>
    <row r="342" spans="1:6" x14ac:dyDescent="0.3">
      <c r="A342" t="s">
        <v>148</v>
      </c>
      <c r="B342" t="s">
        <v>2138</v>
      </c>
      <c r="C342">
        <v>3.5</v>
      </c>
      <c r="D342">
        <v>23</v>
      </c>
      <c r="E342">
        <f>IF(OR(B342="vi",B342="ii",B342="pod"),(((D342/100)*(C342*VLOOKUP(B342,'Poids des runes'!A:B,2,FALSE)))+1),(((D342/100)*(C342*VLOOKUP(B342,'Poids des runes'!A:B,2,FALSE)))+1)/VLOOKUP(B342,'Poids des runes'!A:B,2,FALSE))</f>
        <v>1.0550000000000002</v>
      </c>
      <c r="F342">
        <f t="shared" si="5"/>
        <v>1.0550000000000002</v>
      </c>
    </row>
    <row r="343" spans="1:6" x14ac:dyDescent="0.3">
      <c r="A343" t="s">
        <v>148</v>
      </c>
      <c r="B343" t="s">
        <v>2141</v>
      </c>
      <c r="C343">
        <v>3.5</v>
      </c>
      <c r="D343">
        <v>23</v>
      </c>
      <c r="E343">
        <f>IF(OR(B343="vi",B343="ii",B343="pod"),(((D343/100)*(C343*VLOOKUP(B343,'Poids des runes'!A:B,2,FALSE)))+1),(((D343/100)*(C343*VLOOKUP(B343,'Poids des runes'!A:B,2,FALSE)))+1)/VLOOKUP(B343,'Poids des runes'!A:B,2,FALSE))</f>
        <v>1.0550000000000002</v>
      </c>
      <c r="F343">
        <f t="shared" si="5"/>
        <v>1.0550000000000002</v>
      </c>
    </row>
    <row r="344" spans="1:6" x14ac:dyDescent="0.3">
      <c r="A344" t="s">
        <v>149</v>
      </c>
      <c r="B344" t="s">
        <v>2126</v>
      </c>
      <c r="C344">
        <v>15.5</v>
      </c>
      <c r="D344">
        <v>24</v>
      </c>
      <c r="E344">
        <f>IF(OR(B344="vi",B344="ii",B344="pod"),(((D344/100)*(C344*VLOOKUP(B344,'Poids des runes'!A:B,2,FALSE)))+1),(((D344/100)*(C344*VLOOKUP(B344,'Poids des runes'!A:B,2,FALSE)))+1)/VLOOKUP(B344,'Poids des runes'!A:B,2,FALSE))</f>
        <v>4.72</v>
      </c>
      <c r="F344">
        <f t="shared" si="5"/>
        <v>4.72</v>
      </c>
    </row>
    <row r="345" spans="1:6" x14ac:dyDescent="0.3">
      <c r="A345" t="s">
        <v>149</v>
      </c>
      <c r="B345" t="s">
        <v>2151</v>
      </c>
      <c r="C345">
        <v>2.5</v>
      </c>
      <c r="D345">
        <v>24</v>
      </c>
      <c r="E345">
        <f>IF(OR(B345="vi",B345="ii",B345="pod"),(((D345/100)*(C345*VLOOKUP(B345,'Poids des runes'!A:B,2,FALSE)))+1),(((D345/100)*(C345*VLOOKUP(B345,'Poids des runes'!A:B,2,FALSE)))+1)/VLOOKUP(B345,'Poids des runes'!A:B,2,FALSE))</f>
        <v>0.7</v>
      </c>
      <c r="F345">
        <f t="shared" si="5"/>
        <v>0.7</v>
      </c>
    </row>
    <row r="346" spans="1:6" x14ac:dyDescent="0.3">
      <c r="A346" t="s">
        <v>150</v>
      </c>
      <c r="B346" t="s">
        <v>2151</v>
      </c>
      <c r="C346">
        <v>4.5</v>
      </c>
      <c r="D346">
        <v>24</v>
      </c>
      <c r="E346">
        <f>IF(OR(B346="vi",B346="ii",B346="pod"),(((D346/100)*(C346*VLOOKUP(B346,'Poids des runes'!A:B,2,FALSE)))+1),(((D346/100)*(C346*VLOOKUP(B346,'Poids des runes'!A:B,2,FALSE)))+1)/VLOOKUP(B346,'Poids des runes'!A:B,2,FALSE))</f>
        <v>1.18</v>
      </c>
      <c r="F346">
        <f t="shared" si="5"/>
        <v>1.18</v>
      </c>
    </row>
    <row r="347" spans="1:6" x14ac:dyDescent="0.3">
      <c r="A347" t="s">
        <v>150</v>
      </c>
      <c r="B347" t="s">
        <v>2158</v>
      </c>
      <c r="C347">
        <v>2</v>
      </c>
      <c r="D347">
        <v>24</v>
      </c>
      <c r="E347">
        <f>IF(OR(B347="vi",B347="ii",B347="pod"),(((D347/100)*(C347*VLOOKUP(B347,'Poids des runes'!A:B,2,FALSE)))+1),(((D347/100)*(C347*VLOOKUP(B347,'Poids des runes'!A:B,2,FALSE)))+1)/VLOOKUP(B347,'Poids des runes'!A:B,2,FALSE))</f>
        <v>0.67999999999999994</v>
      </c>
      <c r="F347">
        <f t="shared" si="5"/>
        <v>0.67999999999999994</v>
      </c>
    </row>
    <row r="348" spans="1:6" x14ac:dyDescent="0.3">
      <c r="A348" t="s">
        <v>151</v>
      </c>
      <c r="B348" t="s">
        <v>2155</v>
      </c>
      <c r="C348">
        <v>1</v>
      </c>
      <c r="D348">
        <v>24</v>
      </c>
      <c r="E348">
        <f>IF(OR(B348="vi",B348="ii",B348="pod"),(((D348/100)*(C348*VLOOKUP(B348,'Poids des runes'!A:B,2,FALSE)))+1),(((D348/100)*(C348*VLOOKUP(B348,'Poids des runes'!A:B,2,FALSE)))+1)/VLOOKUP(B348,'Poids des runes'!A:B,2,FALSE))</f>
        <v>0.25960784313725488</v>
      </c>
      <c r="F348">
        <f t="shared" si="5"/>
        <v>0.25960784313725488</v>
      </c>
    </row>
    <row r="349" spans="1:6" x14ac:dyDescent="0.3">
      <c r="A349" t="s">
        <v>152</v>
      </c>
      <c r="B349" t="s">
        <v>2128</v>
      </c>
      <c r="C349">
        <v>8</v>
      </c>
      <c r="D349">
        <v>24</v>
      </c>
      <c r="E349">
        <f>IF(OR(B349="vi",B349="ii",B349="pod"),(((D349/100)*(C349*VLOOKUP(B349,'Poids des runes'!A:B,2,FALSE)))+1),(((D349/100)*(C349*VLOOKUP(B349,'Poids des runes'!A:B,2,FALSE)))+1)/VLOOKUP(B349,'Poids des runes'!A:B,2,FALSE))</f>
        <v>1.3839999999999999</v>
      </c>
      <c r="F349">
        <f t="shared" si="5"/>
        <v>1.3839999999999999</v>
      </c>
    </row>
    <row r="350" spans="1:6" x14ac:dyDescent="0.3">
      <c r="A350" t="s">
        <v>152</v>
      </c>
      <c r="B350" t="s">
        <v>2150</v>
      </c>
      <c r="C350">
        <v>1</v>
      </c>
      <c r="D350">
        <v>24</v>
      </c>
      <c r="E350">
        <f>IF(OR(B350="vi",B350="ii",B350="pod"),(((D350/100)*(C350*VLOOKUP(B350,'Poids des runes'!A:B,2,FALSE)))+1),(((D350/100)*(C350*VLOOKUP(B350,'Poids des runes'!A:B,2,FALSE)))+1)/VLOOKUP(B350,'Poids des runes'!A:B,2,FALSE))</f>
        <v>0.27333333333333332</v>
      </c>
      <c r="F350">
        <f t="shared" si="5"/>
        <v>0.27333333333333332</v>
      </c>
    </row>
    <row r="351" spans="1:6" x14ac:dyDescent="0.3">
      <c r="A351" t="s">
        <v>153</v>
      </c>
      <c r="B351" t="s">
        <v>2128</v>
      </c>
      <c r="C351">
        <v>25.5</v>
      </c>
      <c r="D351">
        <v>24</v>
      </c>
      <c r="E351">
        <f>IF(OR(B351="vi",B351="ii",B351="pod"),(((D351/100)*(C351*VLOOKUP(B351,'Poids des runes'!A:B,2,FALSE)))+1),(((D351/100)*(C351*VLOOKUP(B351,'Poids des runes'!A:B,2,FALSE)))+1)/VLOOKUP(B351,'Poids des runes'!A:B,2,FALSE))</f>
        <v>2.2240000000000002</v>
      </c>
      <c r="F351">
        <f t="shared" si="5"/>
        <v>2.2240000000000002</v>
      </c>
    </row>
    <row r="352" spans="1:6" x14ac:dyDescent="0.3">
      <c r="A352" t="s">
        <v>153</v>
      </c>
      <c r="B352" t="s">
        <v>2129</v>
      </c>
      <c r="C352">
        <v>8</v>
      </c>
      <c r="D352">
        <v>24</v>
      </c>
      <c r="E352">
        <f>IF(OR(B352="vi",B352="ii",B352="pod"),(((D352/100)*(C352*VLOOKUP(B352,'Poids des runes'!A:B,2,FALSE)))+1),(((D352/100)*(C352*VLOOKUP(B352,'Poids des runes'!A:B,2,FALSE)))+1)/VLOOKUP(B352,'Poids des runes'!A:B,2,FALSE))</f>
        <v>2.92</v>
      </c>
      <c r="F352">
        <f t="shared" si="5"/>
        <v>2.92</v>
      </c>
    </row>
    <row r="353" spans="1:6" x14ac:dyDescent="0.3">
      <c r="A353" t="s">
        <v>153</v>
      </c>
      <c r="B353" t="s">
        <v>2140</v>
      </c>
      <c r="C353">
        <v>2.5</v>
      </c>
      <c r="D353">
        <v>24</v>
      </c>
      <c r="E353">
        <f>IF(OR(B353="vi",B353="ii",B353="pod"),(((D353/100)*(C353*VLOOKUP(B353,'Poids des runes'!A:B,2,FALSE)))+1),(((D353/100)*(C353*VLOOKUP(B353,'Poids des runes'!A:B,2,FALSE)))+1)/VLOOKUP(B353,'Poids des runes'!A:B,2,FALSE))</f>
        <v>0.8</v>
      </c>
      <c r="F353">
        <f t="shared" si="5"/>
        <v>0.8</v>
      </c>
    </row>
    <row r="354" spans="1:6" x14ac:dyDescent="0.3">
      <c r="A354" t="s">
        <v>153</v>
      </c>
      <c r="B354" t="s">
        <v>2153</v>
      </c>
      <c r="C354">
        <v>2.5</v>
      </c>
      <c r="D354">
        <v>24</v>
      </c>
      <c r="E354">
        <f>IF(OR(B354="vi",B354="ii",B354="pod"),(((D354/100)*(C354*VLOOKUP(B354,'Poids des runes'!A:B,2,FALSE)))+1),(((D354/100)*(C354*VLOOKUP(B354,'Poids des runes'!A:B,2,FALSE)))+1)/VLOOKUP(B354,'Poids des runes'!A:B,2,FALSE))</f>
        <v>0.8</v>
      </c>
      <c r="F354">
        <f t="shared" si="5"/>
        <v>0.8</v>
      </c>
    </row>
    <row r="355" spans="1:6" x14ac:dyDescent="0.3">
      <c r="A355" t="s">
        <v>154</v>
      </c>
      <c r="B355" t="s">
        <v>2151</v>
      </c>
      <c r="C355">
        <v>1.5</v>
      </c>
      <c r="D355">
        <v>24</v>
      </c>
      <c r="E355">
        <f>IF(OR(B355="vi",B355="ii",B355="pod"),(((D355/100)*(C355*VLOOKUP(B355,'Poids des runes'!A:B,2,FALSE)))+1),(((D355/100)*(C355*VLOOKUP(B355,'Poids des runes'!A:B,2,FALSE)))+1)/VLOOKUP(B355,'Poids des runes'!A:B,2,FALSE))</f>
        <v>0.45999999999999996</v>
      </c>
      <c r="F355">
        <f t="shared" si="5"/>
        <v>0.45999999999999996</v>
      </c>
    </row>
    <row r="356" spans="1:6" x14ac:dyDescent="0.3">
      <c r="A356" t="s">
        <v>154</v>
      </c>
      <c r="B356" t="s">
        <v>2153</v>
      </c>
      <c r="C356">
        <v>3.5</v>
      </c>
      <c r="D356">
        <v>24</v>
      </c>
      <c r="E356">
        <f>IF(OR(B356="vi",B356="ii",B356="pod"),(((D356/100)*(C356*VLOOKUP(B356,'Poids des runes'!A:B,2,FALSE)))+1),(((D356/100)*(C356*VLOOKUP(B356,'Poids des runes'!A:B,2,FALSE)))+1)/VLOOKUP(B356,'Poids des runes'!A:B,2,FALSE))</f>
        <v>1.04</v>
      </c>
      <c r="F356">
        <f t="shared" si="5"/>
        <v>1.04</v>
      </c>
    </row>
    <row r="357" spans="1:6" x14ac:dyDescent="0.3">
      <c r="A357" t="s">
        <v>154</v>
      </c>
      <c r="B357" t="s">
        <v>2132</v>
      </c>
      <c r="C357">
        <v>40.5</v>
      </c>
      <c r="D357">
        <v>24</v>
      </c>
      <c r="E357">
        <f>IF(OR(B357="vi",B357="ii",B357="pod"),(((D357/100)*(C357*VLOOKUP(B357,'Poids des runes'!A:B,2,FALSE)))+1),(((D357/100)*(C357*VLOOKUP(B357,'Poids des runes'!A:B,2,FALSE)))+1)/VLOOKUP(B357,'Poids des runes'!A:B,2,FALSE))</f>
        <v>1.972</v>
      </c>
      <c r="F357">
        <f t="shared" si="5"/>
        <v>1.972</v>
      </c>
    </row>
    <row r="358" spans="1:6" x14ac:dyDescent="0.3">
      <c r="A358" t="s">
        <v>155</v>
      </c>
      <c r="B358" t="s">
        <v>2128</v>
      </c>
      <c r="C358">
        <v>35.5</v>
      </c>
      <c r="D358">
        <v>25</v>
      </c>
      <c r="E358">
        <f>IF(OR(B358="vi",B358="ii",B358="pod"),(((D358/100)*(C358*VLOOKUP(B358,'Poids des runes'!A:B,2,FALSE)))+1),(((D358/100)*(C358*VLOOKUP(B358,'Poids des runes'!A:B,2,FALSE)))+1)/VLOOKUP(B358,'Poids des runes'!A:B,2,FALSE))</f>
        <v>2.7750000000000004</v>
      </c>
      <c r="F358">
        <f t="shared" si="5"/>
        <v>2.7750000000000004</v>
      </c>
    </row>
    <row r="359" spans="1:6" x14ac:dyDescent="0.3">
      <c r="A359" t="s">
        <v>155</v>
      </c>
      <c r="B359" t="s">
        <v>2131</v>
      </c>
      <c r="C359">
        <v>8.5</v>
      </c>
      <c r="D359">
        <v>25</v>
      </c>
      <c r="E359">
        <f>IF(OR(B359="vi",B359="ii",B359="pod"),(((D359/100)*(C359*VLOOKUP(B359,'Poids des runes'!A:B,2,FALSE)))+1),(((D359/100)*(C359*VLOOKUP(B359,'Poids des runes'!A:B,2,FALSE)))+1)/VLOOKUP(B359,'Poids des runes'!A:B,2,FALSE))</f>
        <v>3.125</v>
      </c>
      <c r="F359">
        <f t="shared" si="5"/>
        <v>3.125</v>
      </c>
    </row>
    <row r="360" spans="1:6" x14ac:dyDescent="0.3">
      <c r="A360" t="s">
        <v>155</v>
      </c>
      <c r="B360" t="s">
        <v>2127</v>
      </c>
      <c r="C360">
        <v>8.5</v>
      </c>
      <c r="D360">
        <v>25</v>
      </c>
      <c r="E360">
        <f>IF(OR(B360="vi",B360="ii",B360="pod"),(((D360/100)*(C360*VLOOKUP(B360,'Poids des runes'!A:B,2,FALSE)))+1),(((D360/100)*(C360*VLOOKUP(B360,'Poids des runes'!A:B,2,FALSE)))+1)/VLOOKUP(B360,'Poids des runes'!A:B,2,FALSE))</f>
        <v>3.125</v>
      </c>
      <c r="F360">
        <f t="shared" si="5"/>
        <v>3.125</v>
      </c>
    </row>
    <row r="361" spans="1:6" x14ac:dyDescent="0.3">
      <c r="A361" t="s">
        <v>155</v>
      </c>
      <c r="B361" t="s">
        <v>2141</v>
      </c>
      <c r="C361">
        <v>3.5</v>
      </c>
      <c r="D361">
        <v>25</v>
      </c>
      <c r="E361">
        <f>IF(OR(B361="vi",B361="ii",B361="pod"),(((D361/100)*(C361*VLOOKUP(B361,'Poids des runes'!A:B,2,FALSE)))+1),(((D361/100)*(C361*VLOOKUP(B361,'Poids des runes'!A:B,2,FALSE)))+1)/VLOOKUP(B361,'Poids des runes'!A:B,2,FALSE))</f>
        <v>1.125</v>
      </c>
      <c r="F361">
        <f t="shared" si="5"/>
        <v>1.125</v>
      </c>
    </row>
    <row r="362" spans="1:6" x14ac:dyDescent="0.3">
      <c r="A362" t="s">
        <v>156</v>
      </c>
      <c r="B362" t="s">
        <v>2128</v>
      </c>
      <c r="C362">
        <v>18</v>
      </c>
      <c r="D362">
        <v>25</v>
      </c>
      <c r="E362">
        <f>IF(OR(B362="vi",B362="ii",B362="pod"),(((D362/100)*(C362*VLOOKUP(B362,'Poids des runes'!A:B,2,FALSE)))+1),(((D362/100)*(C362*VLOOKUP(B362,'Poids des runes'!A:B,2,FALSE)))+1)/VLOOKUP(B362,'Poids des runes'!A:B,2,FALSE))</f>
        <v>1.9</v>
      </c>
      <c r="F362">
        <f t="shared" si="5"/>
        <v>1.9</v>
      </c>
    </row>
    <row r="363" spans="1:6" x14ac:dyDescent="0.3">
      <c r="A363" t="s">
        <v>156</v>
      </c>
      <c r="B363" t="s">
        <v>2126</v>
      </c>
      <c r="C363">
        <v>8</v>
      </c>
      <c r="D363">
        <v>25</v>
      </c>
      <c r="E363">
        <f>IF(OR(B363="vi",B363="ii",B363="pod"),(((D363/100)*(C363*VLOOKUP(B363,'Poids des runes'!A:B,2,FALSE)))+1),(((D363/100)*(C363*VLOOKUP(B363,'Poids des runes'!A:B,2,FALSE)))+1)/VLOOKUP(B363,'Poids des runes'!A:B,2,FALSE))</f>
        <v>3</v>
      </c>
      <c r="F363">
        <f t="shared" si="5"/>
        <v>3</v>
      </c>
    </row>
    <row r="364" spans="1:6" x14ac:dyDescent="0.3">
      <c r="A364" t="s">
        <v>156</v>
      </c>
      <c r="B364" t="s">
        <v>2127</v>
      </c>
      <c r="C364">
        <v>8</v>
      </c>
      <c r="D364">
        <v>25</v>
      </c>
      <c r="E364">
        <f>IF(OR(B364="vi",B364="ii",B364="pod"),(((D364/100)*(C364*VLOOKUP(B364,'Poids des runes'!A:B,2,FALSE)))+1),(((D364/100)*(C364*VLOOKUP(B364,'Poids des runes'!A:B,2,FALSE)))+1)/VLOOKUP(B364,'Poids des runes'!A:B,2,FALSE))</f>
        <v>3</v>
      </c>
      <c r="F364">
        <f t="shared" si="5"/>
        <v>3</v>
      </c>
    </row>
    <row r="365" spans="1:6" x14ac:dyDescent="0.3">
      <c r="A365" t="s">
        <v>156</v>
      </c>
      <c r="B365" t="s">
        <v>2140</v>
      </c>
      <c r="C365">
        <v>2.5</v>
      </c>
      <c r="D365">
        <v>25</v>
      </c>
      <c r="E365">
        <f>IF(OR(B365="vi",B365="ii",B365="pod"),(((D365/100)*(C365*VLOOKUP(B365,'Poids des runes'!A:B,2,FALSE)))+1),(((D365/100)*(C365*VLOOKUP(B365,'Poids des runes'!A:B,2,FALSE)))+1)/VLOOKUP(B365,'Poids des runes'!A:B,2,FALSE))</f>
        <v>0.82499999999999996</v>
      </c>
      <c r="F365">
        <f t="shared" si="5"/>
        <v>0.82499999999999996</v>
      </c>
    </row>
    <row r="366" spans="1:6" x14ac:dyDescent="0.3">
      <c r="A366" t="s">
        <v>156</v>
      </c>
      <c r="B366" t="s">
        <v>2153</v>
      </c>
      <c r="C366">
        <v>2.5</v>
      </c>
      <c r="D366">
        <v>25</v>
      </c>
      <c r="E366">
        <f>IF(OR(B366="vi",B366="ii",B366="pod"),(((D366/100)*(C366*VLOOKUP(B366,'Poids des runes'!A:B,2,FALSE)))+1),(((D366/100)*(C366*VLOOKUP(B366,'Poids des runes'!A:B,2,FALSE)))+1)/VLOOKUP(B366,'Poids des runes'!A:B,2,FALSE))</f>
        <v>0.82499999999999996</v>
      </c>
      <c r="F366">
        <f t="shared" si="5"/>
        <v>0.82499999999999996</v>
      </c>
    </row>
    <row r="367" spans="1:6" x14ac:dyDescent="0.3">
      <c r="A367" t="s">
        <v>157</v>
      </c>
      <c r="B367" t="s">
        <v>2128</v>
      </c>
      <c r="C367">
        <v>25.5</v>
      </c>
      <c r="D367">
        <v>25</v>
      </c>
      <c r="E367">
        <f>IF(OR(B367="vi",B367="ii",B367="pod"),(((D367/100)*(C367*VLOOKUP(B367,'Poids des runes'!A:B,2,FALSE)))+1),(((D367/100)*(C367*VLOOKUP(B367,'Poids des runes'!A:B,2,FALSE)))+1)/VLOOKUP(B367,'Poids des runes'!A:B,2,FALSE))</f>
        <v>2.2750000000000004</v>
      </c>
      <c r="F367">
        <f t="shared" si="5"/>
        <v>2.2750000000000004</v>
      </c>
    </row>
    <row r="368" spans="1:6" x14ac:dyDescent="0.3">
      <c r="A368" t="s">
        <v>157</v>
      </c>
      <c r="B368" t="s">
        <v>2139</v>
      </c>
      <c r="C368">
        <v>13</v>
      </c>
      <c r="D368">
        <v>25</v>
      </c>
      <c r="E368">
        <f>IF(OR(B368="vi",B368="ii",B368="pod"),(((D368/100)*(C368*VLOOKUP(B368,'Poids des runes'!A:B,2,FALSE)))+1),(((D368/100)*(C368*VLOOKUP(B368,'Poids des runes'!A:B,2,FALSE)))+1)/VLOOKUP(B368,'Poids des runes'!A:B,2,FALSE))</f>
        <v>3.75</v>
      </c>
      <c r="F368">
        <f t="shared" si="5"/>
        <v>3.75</v>
      </c>
    </row>
    <row r="369" spans="1:6" x14ac:dyDescent="0.3">
      <c r="A369" t="s">
        <v>157</v>
      </c>
      <c r="B369" t="s">
        <v>2134</v>
      </c>
      <c r="C369">
        <v>2</v>
      </c>
      <c r="D369">
        <v>25</v>
      </c>
      <c r="E369">
        <f>IF(OR(B369="vi",B369="ii",B369="pod"),(((D369/100)*(C369*VLOOKUP(B369,'Poids des runes'!A:B,2,FALSE)))+1),(((D369/100)*(C369*VLOOKUP(B369,'Poids des runes'!A:B,2,FALSE)))+1)/VLOOKUP(B369,'Poids des runes'!A:B,2,FALSE))</f>
        <v>0.55000000000000004</v>
      </c>
      <c r="F369">
        <f t="shared" si="5"/>
        <v>0.55000000000000004</v>
      </c>
    </row>
    <row r="370" spans="1:6" x14ac:dyDescent="0.3">
      <c r="A370" t="s">
        <v>157</v>
      </c>
      <c r="B370" t="s">
        <v>2141</v>
      </c>
      <c r="C370">
        <v>2.5</v>
      </c>
      <c r="D370">
        <v>25</v>
      </c>
      <c r="E370">
        <f>IF(OR(B370="vi",B370="ii",B370="pod"),(((D370/100)*(C370*VLOOKUP(B370,'Poids des runes'!A:B,2,FALSE)))+1),(((D370/100)*(C370*VLOOKUP(B370,'Poids des runes'!A:B,2,FALSE)))+1)/VLOOKUP(B370,'Poids des runes'!A:B,2,FALSE))</f>
        <v>0.875</v>
      </c>
      <c r="F370">
        <f t="shared" si="5"/>
        <v>0.875</v>
      </c>
    </row>
    <row r="371" spans="1:6" x14ac:dyDescent="0.3">
      <c r="A371" t="s">
        <v>158</v>
      </c>
      <c r="B371" t="s">
        <v>2128</v>
      </c>
      <c r="C371">
        <v>13</v>
      </c>
      <c r="D371">
        <v>25</v>
      </c>
      <c r="E371">
        <f>IF(OR(B371="vi",B371="ii",B371="pod"),(((D371/100)*(C371*VLOOKUP(B371,'Poids des runes'!A:B,2,FALSE)))+1),(((D371/100)*(C371*VLOOKUP(B371,'Poids des runes'!A:B,2,FALSE)))+1)/VLOOKUP(B371,'Poids des runes'!A:B,2,FALSE))</f>
        <v>1.65</v>
      </c>
      <c r="F371">
        <f t="shared" si="5"/>
        <v>1.65</v>
      </c>
    </row>
    <row r="372" spans="1:6" x14ac:dyDescent="0.3">
      <c r="A372" t="s">
        <v>158</v>
      </c>
      <c r="B372" t="s">
        <v>2127</v>
      </c>
      <c r="C372">
        <v>18</v>
      </c>
      <c r="D372">
        <v>25</v>
      </c>
      <c r="E372">
        <f>IF(OR(B372="vi",B372="ii",B372="pod"),(((D372/100)*(C372*VLOOKUP(B372,'Poids des runes'!A:B,2,FALSE)))+1),(((D372/100)*(C372*VLOOKUP(B372,'Poids des runes'!A:B,2,FALSE)))+1)/VLOOKUP(B372,'Poids des runes'!A:B,2,FALSE))</f>
        <v>5.5</v>
      </c>
      <c r="F372">
        <f t="shared" si="5"/>
        <v>5.5</v>
      </c>
    </row>
    <row r="373" spans="1:6" x14ac:dyDescent="0.3">
      <c r="A373" t="s">
        <v>158</v>
      </c>
      <c r="B373" t="s">
        <v>2151</v>
      </c>
      <c r="C373">
        <v>2.5</v>
      </c>
      <c r="D373">
        <v>25</v>
      </c>
      <c r="E373">
        <f>IF(OR(B373="vi",B373="ii",B373="pod"),(((D373/100)*(C373*VLOOKUP(B373,'Poids des runes'!A:B,2,FALSE)))+1),(((D373/100)*(C373*VLOOKUP(B373,'Poids des runes'!A:B,2,FALSE)))+1)/VLOOKUP(B373,'Poids des runes'!A:B,2,FALSE))</f>
        <v>0.72499999999999998</v>
      </c>
      <c r="F373">
        <f t="shared" si="5"/>
        <v>0.72499999999999998</v>
      </c>
    </row>
    <row r="374" spans="1:6" x14ac:dyDescent="0.3">
      <c r="A374" t="s">
        <v>158</v>
      </c>
      <c r="B374" t="s">
        <v>2153</v>
      </c>
      <c r="C374">
        <v>1.5</v>
      </c>
      <c r="D374">
        <v>25</v>
      </c>
      <c r="E374">
        <f>IF(OR(B374="vi",B374="ii",B374="pod"),(((D374/100)*(C374*VLOOKUP(B374,'Poids des runes'!A:B,2,FALSE)))+1),(((D374/100)*(C374*VLOOKUP(B374,'Poids des runes'!A:B,2,FALSE)))+1)/VLOOKUP(B374,'Poids des runes'!A:B,2,FALSE))</f>
        <v>0.57499999999999996</v>
      </c>
      <c r="F374">
        <f t="shared" si="5"/>
        <v>0.57499999999999996</v>
      </c>
    </row>
    <row r="375" spans="1:6" x14ac:dyDescent="0.3">
      <c r="A375" t="s">
        <v>158</v>
      </c>
      <c r="B375" t="s">
        <v>2132</v>
      </c>
      <c r="C375">
        <v>80.5</v>
      </c>
      <c r="D375">
        <v>25</v>
      </c>
      <c r="E375">
        <f>IF(OR(B375="vi",B375="ii",B375="pod"),(((D375/100)*(C375*VLOOKUP(B375,'Poids des runes'!A:B,2,FALSE)))+1),(((D375/100)*(C375*VLOOKUP(B375,'Poids des runes'!A:B,2,FALSE)))+1)/VLOOKUP(B375,'Poids des runes'!A:B,2,FALSE))</f>
        <v>3.0125000000000002</v>
      </c>
      <c r="F375">
        <f t="shared" si="5"/>
        <v>3.0125000000000002</v>
      </c>
    </row>
    <row r="376" spans="1:6" x14ac:dyDescent="0.3">
      <c r="A376" t="s">
        <v>159</v>
      </c>
      <c r="B376" t="s">
        <v>2128</v>
      </c>
      <c r="C376">
        <v>13</v>
      </c>
      <c r="D376">
        <v>25</v>
      </c>
      <c r="E376">
        <f>IF(OR(B376="vi",B376="ii",B376="pod"),(((D376/100)*(C376*VLOOKUP(B376,'Poids des runes'!A:B,2,FALSE)))+1),(((D376/100)*(C376*VLOOKUP(B376,'Poids des runes'!A:B,2,FALSE)))+1)/VLOOKUP(B376,'Poids des runes'!A:B,2,FALSE))</f>
        <v>1.65</v>
      </c>
      <c r="F376">
        <f t="shared" si="5"/>
        <v>1.65</v>
      </c>
    </row>
    <row r="377" spans="1:6" x14ac:dyDescent="0.3">
      <c r="A377" t="s">
        <v>159</v>
      </c>
      <c r="B377" t="s">
        <v>2134</v>
      </c>
      <c r="C377">
        <v>2.5</v>
      </c>
      <c r="D377">
        <v>25</v>
      </c>
      <c r="E377">
        <f>IF(OR(B377="vi",B377="ii",B377="pod"),(((D377/100)*(C377*VLOOKUP(B377,'Poids des runes'!A:B,2,FALSE)))+1),(((D377/100)*(C377*VLOOKUP(B377,'Poids des runes'!A:B,2,FALSE)))+1)/VLOOKUP(B377,'Poids des runes'!A:B,2,FALSE))</f>
        <v>0.67500000000000004</v>
      </c>
      <c r="F377">
        <f t="shared" si="5"/>
        <v>0.67500000000000004</v>
      </c>
    </row>
    <row r="378" spans="1:6" x14ac:dyDescent="0.3">
      <c r="A378" t="s">
        <v>160</v>
      </c>
      <c r="B378" t="s">
        <v>2155</v>
      </c>
      <c r="C378">
        <v>1</v>
      </c>
      <c r="D378">
        <v>25</v>
      </c>
      <c r="E378">
        <f>IF(OR(B378="vi",B378="ii",B378="pod"),(((D378/100)*(C378*VLOOKUP(B378,'Poids des runes'!A:B,2,FALSE)))+1),(((D378/100)*(C378*VLOOKUP(B378,'Poids des runes'!A:B,2,FALSE)))+1)/VLOOKUP(B378,'Poids des runes'!A:B,2,FALSE))</f>
        <v>0.26960784313725489</v>
      </c>
      <c r="F378">
        <f t="shared" si="5"/>
        <v>0.26960784313725489</v>
      </c>
    </row>
    <row r="379" spans="1:6" x14ac:dyDescent="0.3">
      <c r="A379" t="s">
        <v>161</v>
      </c>
      <c r="B379" t="s">
        <v>2126</v>
      </c>
      <c r="C379">
        <v>35.5</v>
      </c>
      <c r="D379">
        <v>26</v>
      </c>
      <c r="E379">
        <f>IF(OR(B379="vi",B379="ii",B379="pod"),(((D379/100)*(C379*VLOOKUP(B379,'Poids des runes'!A:B,2,FALSE)))+1),(((D379/100)*(C379*VLOOKUP(B379,'Poids des runes'!A:B,2,FALSE)))+1)/VLOOKUP(B379,'Poids des runes'!A:B,2,FALSE))</f>
        <v>10.23</v>
      </c>
      <c r="F379">
        <f t="shared" si="5"/>
        <v>10.23</v>
      </c>
    </row>
    <row r="380" spans="1:6" x14ac:dyDescent="0.3">
      <c r="A380" t="s">
        <v>161</v>
      </c>
      <c r="B380" t="s">
        <v>2127</v>
      </c>
      <c r="C380">
        <v>30</v>
      </c>
      <c r="D380">
        <v>26</v>
      </c>
      <c r="E380">
        <f>IF(OR(B380="vi",B380="ii",B380="pod"),(((D380/100)*(C380*VLOOKUP(B380,'Poids des runes'!A:B,2,FALSE)))+1),(((D380/100)*(C380*VLOOKUP(B380,'Poids des runes'!A:B,2,FALSE)))+1)/VLOOKUP(B380,'Poids des runes'!A:B,2,FALSE))</f>
        <v>8.8000000000000007</v>
      </c>
      <c r="F380">
        <f t="shared" si="5"/>
        <v>8.8000000000000007</v>
      </c>
    </row>
    <row r="381" spans="1:6" x14ac:dyDescent="0.3">
      <c r="A381" t="s">
        <v>161</v>
      </c>
      <c r="B381" t="s">
        <v>2150</v>
      </c>
      <c r="C381">
        <v>1</v>
      </c>
      <c r="D381">
        <v>26</v>
      </c>
      <c r="E381">
        <f>IF(OR(B381="vi",B381="ii",B381="pod"),(((D381/100)*(C381*VLOOKUP(B381,'Poids des runes'!A:B,2,FALSE)))+1),(((D381/100)*(C381*VLOOKUP(B381,'Poids des runes'!A:B,2,FALSE)))+1)/VLOOKUP(B381,'Poids des runes'!A:B,2,FALSE))</f>
        <v>0.29333333333333333</v>
      </c>
      <c r="F381">
        <f t="shared" si="5"/>
        <v>0.29333333333333333</v>
      </c>
    </row>
    <row r="382" spans="1:6" x14ac:dyDescent="0.3">
      <c r="A382" t="s">
        <v>162</v>
      </c>
      <c r="B382" t="s">
        <v>2129</v>
      </c>
      <c r="C382">
        <v>23</v>
      </c>
      <c r="D382">
        <v>26</v>
      </c>
      <c r="E382">
        <f>IF(OR(B382="vi",B382="ii",B382="pod"),(((D382/100)*(C382*VLOOKUP(B382,'Poids des runes'!A:B,2,FALSE)))+1),(((D382/100)*(C382*VLOOKUP(B382,'Poids des runes'!A:B,2,FALSE)))+1)/VLOOKUP(B382,'Poids des runes'!A:B,2,FALSE))</f>
        <v>6.98</v>
      </c>
      <c r="F382">
        <f t="shared" si="5"/>
        <v>6.98</v>
      </c>
    </row>
    <row r="383" spans="1:6" x14ac:dyDescent="0.3">
      <c r="A383" t="s">
        <v>162</v>
      </c>
      <c r="B383" t="s">
        <v>2159</v>
      </c>
      <c r="C383">
        <v>2</v>
      </c>
      <c r="D383">
        <v>26</v>
      </c>
      <c r="E383">
        <f>IF(OR(B383="vi",B383="ii",B383="pod"),(((D383/100)*(C383*VLOOKUP(B383,'Poids des runes'!A:B,2,FALSE)))+1),(((D383/100)*(C383*VLOOKUP(B383,'Poids des runes'!A:B,2,FALSE)))+1)/VLOOKUP(B383,'Poids des runes'!A:B,2,FALSE))</f>
        <v>0.66285714285714292</v>
      </c>
      <c r="F383">
        <f t="shared" si="5"/>
        <v>0.66285714285714292</v>
      </c>
    </row>
    <row r="384" spans="1:6" x14ac:dyDescent="0.3">
      <c r="A384" t="s">
        <v>162</v>
      </c>
      <c r="B384" t="s">
        <v>2160</v>
      </c>
      <c r="C384">
        <v>2</v>
      </c>
      <c r="D384">
        <v>26</v>
      </c>
      <c r="E384">
        <f>IF(OR(B384="vi",B384="ii",B384="pod"),(((D384/100)*(C384*VLOOKUP(B384,'Poids des runes'!A:B,2,FALSE)))+1),(((D384/100)*(C384*VLOOKUP(B384,'Poids des runes'!A:B,2,FALSE)))+1)/VLOOKUP(B384,'Poids des runes'!A:B,2,FALSE))</f>
        <v>0.66285714285714292</v>
      </c>
      <c r="F384">
        <f t="shared" si="5"/>
        <v>0.66285714285714292</v>
      </c>
    </row>
    <row r="385" spans="1:6" x14ac:dyDescent="0.3">
      <c r="A385" t="s">
        <v>163</v>
      </c>
      <c r="B385" t="s">
        <v>2130</v>
      </c>
      <c r="C385">
        <v>8.5</v>
      </c>
      <c r="D385">
        <v>26</v>
      </c>
      <c r="E385">
        <f>IF(OR(B385="vi",B385="ii",B385="pod"),(((D385/100)*(C385*VLOOKUP(B385,'Poids des runes'!A:B,2,FALSE)))+1),(((D385/100)*(C385*VLOOKUP(B385,'Poids des runes'!A:B,2,FALSE)))+1)/VLOOKUP(B385,'Poids des runes'!A:B,2,FALSE))</f>
        <v>3.21</v>
      </c>
      <c r="F385">
        <f t="shared" si="5"/>
        <v>3.21</v>
      </c>
    </row>
    <row r="386" spans="1:6" x14ac:dyDescent="0.3">
      <c r="A386" t="s">
        <v>163</v>
      </c>
      <c r="B386" t="s">
        <v>2126</v>
      </c>
      <c r="C386">
        <v>8.5</v>
      </c>
      <c r="D386">
        <v>26</v>
      </c>
      <c r="E386">
        <f>IF(OR(B386="vi",B386="ii",B386="pod"),(((D386/100)*(C386*VLOOKUP(B386,'Poids des runes'!A:B,2,FALSE)))+1),(((D386/100)*(C386*VLOOKUP(B386,'Poids des runes'!A:B,2,FALSE)))+1)/VLOOKUP(B386,'Poids des runes'!A:B,2,FALSE))</f>
        <v>3.21</v>
      </c>
      <c r="F386">
        <f t="shared" si="5"/>
        <v>3.21</v>
      </c>
    </row>
    <row r="387" spans="1:6" x14ac:dyDescent="0.3">
      <c r="A387" t="s">
        <v>163</v>
      </c>
      <c r="B387" t="s">
        <v>2131</v>
      </c>
      <c r="C387">
        <v>8.5</v>
      </c>
      <c r="D387">
        <v>26</v>
      </c>
      <c r="E387">
        <f>IF(OR(B387="vi",B387="ii",B387="pod"),(((D387/100)*(C387*VLOOKUP(B387,'Poids des runes'!A:B,2,FALSE)))+1),(((D387/100)*(C387*VLOOKUP(B387,'Poids des runes'!A:B,2,FALSE)))+1)/VLOOKUP(B387,'Poids des runes'!A:B,2,FALSE))</f>
        <v>3.21</v>
      </c>
      <c r="F387">
        <f t="shared" ref="F387:F450" si="6">E387</f>
        <v>3.21</v>
      </c>
    </row>
    <row r="388" spans="1:6" x14ac:dyDescent="0.3">
      <c r="A388" t="s">
        <v>163</v>
      </c>
      <c r="B388" t="s">
        <v>2127</v>
      </c>
      <c r="C388">
        <v>8.5</v>
      </c>
      <c r="D388">
        <v>26</v>
      </c>
      <c r="E388">
        <f>IF(OR(B388="vi",B388="ii",B388="pod"),(((D388/100)*(C388*VLOOKUP(B388,'Poids des runes'!A:B,2,FALSE)))+1),(((D388/100)*(C388*VLOOKUP(B388,'Poids des runes'!A:B,2,FALSE)))+1)/VLOOKUP(B388,'Poids des runes'!A:B,2,FALSE))</f>
        <v>3.21</v>
      </c>
      <c r="F388">
        <f t="shared" si="6"/>
        <v>3.21</v>
      </c>
    </row>
    <row r="389" spans="1:6" x14ac:dyDescent="0.3">
      <c r="A389" t="s">
        <v>163</v>
      </c>
      <c r="B389" t="s">
        <v>2129</v>
      </c>
      <c r="C389">
        <v>2.5</v>
      </c>
      <c r="D389">
        <v>26</v>
      </c>
      <c r="E389">
        <f>IF(OR(B389="vi",B389="ii",B389="pod"),(((D389/100)*(C389*VLOOKUP(B389,'Poids des runes'!A:B,2,FALSE)))+1),(((D389/100)*(C389*VLOOKUP(B389,'Poids des runes'!A:B,2,FALSE)))+1)/VLOOKUP(B389,'Poids des runes'!A:B,2,FALSE))</f>
        <v>1.65</v>
      </c>
      <c r="F389">
        <f t="shared" si="6"/>
        <v>1.65</v>
      </c>
    </row>
    <row r="390" spans="1:6" x14ac:dyDescent="0.3">
      <c r="A390" t="s">
        <v>164</v>
      </c>
      <c r="B390" t="s">
        <v>2147</v>
      </c>
      <c r="C390">
        <v>2</v>
      </c>
      <c r="D390">
        <v>26</v>
      </c>
      <c r="E390">
        <f>IF(OR(B390="vi",B390="ii",B390="pod"),(((D390/100)*(C390*VLOOKUP(B390,'Poids des runes'!A:B,2,FALSE)))+1),(((D390/100)*(C390*VLOOKUP(B390,'Poids des runes'!A:B,2,FALSE)))+1)/VLOOKUP(B390,'Poids des runes'!A:B,2,FALSE))</f>
        <v>0.68666666666666665</v>
      </c>
      <c r="F390">
        <f t="shared" si="6"/>
        <v>0.68666666666666665</v>
      </c>
    </row>
    <row r="391" spans="1:6" x14ac:dyDescent="0.3">
      <c r="A391" t="s">
        <v>164</v>
      </c>
      <c r="B391" t="s">
        <v>2135</v>
      </c>
      <c r="C391">
        <v>2</v>
      </c>
      <c r="D391">
        <v>26</v>
      </c>
      <c r="E391">
        <f>IF(OR(B391="vi",B391="ii",B391="pod"),(((D391/100)*(C391*VLOOKUP(B391,'Poids des runes'!A:B,2,FALSE)))+1),(((D391/100)*(C391*VLOOKUP(B391,'Poids des runes'!A:B,2,FALSE)))+1)/VLOOKUP(B391,'Poids des runes'!A:B,2,FALSE))</f>
        <v>0.68666666666666665</v>
      </c>
      <c r="F391">
        <f t="shared" si="6"/>
        <v>0.68666666666666665</v>
      </c>
    </row>
    <row r="392" spans="1:6" x14ac:dyDescent="0.3">
      <c r="A392" t="s">
        <v>164</v>
      </c>
      <c r="B392" t="s">
        <v>2157</v>
      </c>
      <c r="C392">
        <v>2</v>
      </c>
      <c r="D392">
        <v>26</v>
      </c>
      <c r="E392">
        <f>IF(OR(B392="vi",B392="ii",B392="pod"),(((D392/100)*(C392*VLOOKUP(B392,'Poids des runes'!A:B,2,FALSE)))+1),(((D392/100)*(C392*VLOOKUP(B392,'Poids des runes'!A:B,2,FALSE)))+1)/VLOOKUP(B392,'Poids des runes'!A:B,2,FALSE))</f>
        <v>0.68666666666666665</v>
      </c>
      <c r="F392">
        <f t="shared" si="6"/>
        <v>0.68666666666666665</v>
      </c>
    </row>
    <row r="393" spans="1:6" x14ac:dyDescent="0.3">
      <c r="A393" t="s">
        <v>165</v>
      </c>
      <c r="B393" t="s">
        <v>2128</v>
      </c>
      <c r="C393">
        <v>18</v>
      </c>
      <c r="D393">
        <v>26</v>
      </c>
      <c r="E393">
        <f>IF(OR(B393="vi",B393="ii",B393="pod"),(((D393/100)*(C393*VLOOKUP(B393,'Poids des runes'!A:B,2,FALSE)))+1),(((D393/100)*(C393*VLOOKUP(B393,'Poids des runes'!A:B,2,FALSE)))+1)/VLOOKUP(B393,'Poids des runes'!A:B,2,FALSE))</f>
        <v>1.9359999999999999</v>
      </c>
      <c r="F393">
        <f t="shared" si="6"/>
        <v>1.9359999999999999</v>
      </c>
    </row>
    <row r="394" spans="1:6" x14ac:dyDescent="0.3">
      <c r="A394" t="s">
        <v>165</v>
      </c>
      <c r="B394" t="s">
        <v>2156</v>
      </c>
      <c r="C394">
        <v>2</v>
      </c>
      <c r="D394">
        <v>26</v>
      </c>
      <c r="E394">
        <f>IF(OR(B394="vi",B394="ii",B394="pod"),(((D394/100)*(C394*VLOOKUP(B394,'Poids des runes'!A:B,2,FALSE)))+1),(((D394/100)*(C394*VLOOKUP(B394,'Poids des runes'!A:B,2,FALSE)))+1)/VLOOKUP(B394,'Poids des runes'!A:B,2,FALSE))</f>
        <v>0.68666666666666665</v>
      </c>
      <c r="F394">
        <f t="shared" si="6"/>
        <v>0.68666666666666665</v>
      </c>
    </row>
    <row r="395" spans="1:6" x14ac:dyDescent="0.3">
      <c r="A395" t="s">
        <v>165</v>
      </c>
      <c r="B395" t="s">
        <v>2148</v>
      </c>
      <c r="C395">
        <v>2</v>
      </c>
      <c r="D395">
        <v>26</v>
      </c>
      <c r="E395">
        <f>IF(OR(B395="vi",B395="ii",B395="pod"),(((D395/100)*(C395*VLOOKUP(B395,'Poids des runes'!A:B,2,FALSE)))+1),(((D395/100)*(C395*VLOOKUP(B395,'Poids des runes'!A:B,2,FALSE)))+1)/VLOOKUP(B395,'Poids des runes'!A:B,2,FALSE))</f>
        <v>0.68666666666666665</v>
      </c>
      <c r="F395">
        <f t="shared" si="6"/>
        <v>0.68666666666666665</v>
      </c>
    </row>
    <row r="396" spans="1:6" x14ac:dyDescent="0.3">
      <c r="A396" t="s">
        <v>166</v>
      </c>
      <c r="B396" t="s">
        <v>2129</v>
      </c>
      <c r="C396">
        <v>13</v>
      </c>
      <c r="D396">
        <v>26</v>
      </c>
      <c r="E396">
        <f>IF(OR(B396="vi",B396="ii",B396="pod"),(((D396/100)*(C396*VLOOKUP(B396,'Poids des runes'!A:B,2,FALSE)))+1),(((D396/100)*(C396*VLOOKUP(B396,'Poids des runes'!A:B,2,FALSE)))+1)/VLOOKUP(B396,'Poids des runes'!A:B,2,FALSE))</f>
        <v>4.38</v>
      </c>
      <c r="F396">
        <f t="shared" si="6"/>
        <v>4.38</v>
      </c>
    </row>
    <row r="397" spans="1:6" x14ac:dyDescent="0.3">
      <c r="A397" t="s">
        <v>166</v>
      </c>
      <c r="B397" t="s">
        <v>2151</v>
      </c>
      <c r="C397">
        <v>2.5</v>
      </c>
      <c r="D397">
        <v>26</v>
      </c>
      <c r="E397">
        <f>IF(OR(B397="vi",B397="ii",B397="pod"),(((D397/100)*(C397*VLOOKUP(B397,'Poids des runes'!A:B,2,FALSE)))+1),(((D397/100)*(C397*VLOOKUP(B397,'Poids des runes'!A:B,2,FALSE)))+1)/VLOOKUP(B397,'Poids des runes'!A:B,2,FALSE))</f>
        <v>0.75</v>
      </c>
      <c r="F397">
        <f t="shared" si="6"/>
        <v>0.75</v>
      </c>
    </row>
    <row r="398" spans="1:6" x14ac:dyDescent="0.3">
      <c r="A398" t="s">
        <v>166</v>
      </c>
      <c r="B398" t="s">
        <v>2141</v>
      </c>
      <c r="C398">
        <v>4.5</v>
      </c>
      <c r="D398">
        <v>26</v>
      </c>
      <c r="E398">
        <f>IF(OR(B398="vi",B398="ii",B398="pod"),(((D398/100)*(C398*VLOOKUP(B398,'Poids des runes'!A:B,2,FALSE)))+1),(((D398/100)*(C398*VLOOKUP(B398,'Poids des runes'!A:B,2,FALSE)))+1)/VLOOKUP(B398,'Poids des runes'!A:B,2,FALSE))</f>
        <v>1.42</v>
      </c>
      <c r="F398">
        <f t="shared" si="6"/>
        <v>1.42</v>
      </c>
    </row>
    <row r="399" spans="1:6" x14ac:dyDescent="0.3">
      <c r="A399" t="s">
        <v>167</v>
      </c>
      <c r="B399" t="s">
        <v>2128</v>
      </c>
      <c r="C399">
        <v>8.5</v>
      </c>
      <c r="D399">
        <v>26</v>
      </c>
      <c r="E399">
        <f>IF(OR(B399="vi",B399="ii",B399="pod"),(((D399/100)*(C399*VLOOKUP(B399,'Poids des runes'!A:B,2,FALSE)))+1),(((D399/100)*(C399*VLOOKUP(B399,'Poids des runes'!A:B,2,FALSE)))+1)/VLOOKUP(B399,'Poids des runes'!A:B,2,FALSE))</f>
        <v>1.4420000000000002</v>
      </c>
      <c r="F399">
        <f t="shared" si="6"/>
        <v>1.4420000000000002</v>
      </c>
    </row>
    <row r="400" spans="1:6" x14ac:dyDescent="0.3">
      <c r="A400" t="s">
        <v>167</v>
      </c>
      <c r="B400" t="s">
        <v>2139</v>
      </c>
      <c r="C400">
        <v>8</v>
      </c>
      <c r="D400">
        <v>26</v>
      </c>
      <c r="E400">
        <f>IF(OR(B400="vi",B400="ii",B400="pod"),(((D400/100)*(C400*VLOOKUP(B400,'Poids des runes'!A:B,2,FALSE)))+1),(((D400/100)*(C400*VLOOKUP(B400,'Poids des runes'!A:B,2,FALSE)))+1)/VLOOKUP(B400,'Poids des runes'!A:B,2,FALSE))</f>
        <v>2.58</v>
      </c>
      <c r="F400">
        <f t="shared" si="6"/>
        <v>2.58</v>
      </c>
    </row>
    <row r="401" spans="1:6" x14ac:dyDescent="0.3">
      <c r="A401" t="s">
        <v>167</v>
      </c>
      <c r="B401" t="s">
        <v>2134</v>
      </c>
      <c r="C401">
        <v>1.5</v>
      </c>
      <c r="D401">
        <v>26</v>
      </c>
      <c r="E401">
        <f>IF(OR(B401="vi",B401="ii",B401="pod"),(((D401/100)*(C401*VLOOKUP(B401,'Poids des runes'!A:B,2,FALSE)))+1),(((D401/100)*(C401*VLOOKUP(B401,'Poids des runes'!A:B,2,FALSE)))+1)/VLOOKUP(B401,'Poids des runes'!A:B,2,FALSE))</f>
        <v>0.44000000000000006</v>
      </c>
      <c r="F401">
        <f t="shared" si="6"/>
        <v>0.44000000000000006</v>
      </c>
    </row>
    <row r="402" spans="1:6" x14ac:dyDescent="0.3">
      <c r="A402" t="s">
        <v>168</v>
      </c>
      <c r="B402" t="s">
        <v>2130</v>
      </c>
      <c r="C402">
        <v>23</v>
      </c>
      <c r="D402">
        <v>27</v>
      </c>
      <c r="E402">
        <f>IF(OR(B402="vi",B402="ii",B402="pod"),(((D402/100)*(C402*VLOOKUP(B402,'Poids des runes'!A:B,2,FALSE)))+1),(((D402/100)*(C402*VLOOKUP(B402,'Poids des runes'!A:B,2,FALSE)))+1)/VLOOKUP(B402,'Poids des runes'!A:B,2,FALSE))</f>
        <v>7.2100000000000009</v>
      </c>
      <c r="F402">
        <f t="shared" si="6"/>
        <v>7.2100000000000009</v>
      </c>
    </row>
    <row r="403" spans="1:6" x14ac:dyDescent="0.3">
      <c r="A403" t="s">
        <v>168</v>
      </c>
      <c r="B403" t="s">
        <v>2127</v>
      </c>
      <c r="C403">
        <v>23</v>
      </c>
      <c r="D403">
        <v>27</v>
      </c>
      <c r="E403">
        <f>IF(OR(B403="vi",B403="ii",B403="pod"),(((D403/100)*(C403*VLOOKUP(B403,'Poids des runes'!A:B,2,FALSE)))+1),(((D403/100)*(C403*VLOOKUP(B403,'Poids des runes'!A:B,2,FALSE)))+1)/VLOOKUP(B403,'Poids des runes'!A:B,2,FALSE))</f>
        <v>7.2100000000000009</v>
      </c>
      <c r="F403">
        <f t="shared" si="6"/>
        <v>7.2100000000000009</v>
      </c>
    </row>
    <row r="404" spans="1:6" x14ac:dyDescent="0.3">
      <c r="A404" t="s">
        <v>168</v>
      </c>
      <c r="B404" t="s">
        <v>2140</v>
      </c>
      <c r="C404">
        <v>2</v>
      </c>
      <c r="D404">
        <v>27</v>
      </c>
      <c r="E404">
        <f>IF(OR(B404="vi",B404="ii",B404="pod"),(((D404/100)*(C404*VLOOKUP(B404,'Poids des runes'!A:B,2,FALSE)))+1),(((D404/100)*(C404*VLOOKUP(B404,'Poids des runes'!A:B,2,FALSE)))+1)/VLOOKUP(B404,'Poids des runes'!A:B,2,FALSE))</f>
        <v>0.74</v>
      </c>
      <c r="F404">
        <f t="shared" si="6"/>
        <v>0.74</v>
      </c>
    </row>
    <row r="405" spans="1:6" x14ac:dyDescent="0.3">
      <c r="A405" t="s">
        <v>168</v>
      </c>
      <c r="B405" t="s">
        <v>2153</v>
      </c>
      <c r="C405">
        <v>2</v>
      </c>
      <c r="D405">
        <v>27</v>
      </c>
      <c r="E405">
        <f>IF(OR(B405="vi",B405="ii",B405="pod"),(((D405/100)*(C405*VLOOKUP(B405,'Poids des runes'!A:B,2,FALSE)))+1),(((D405/100)*(C405*VLOOKUP(B405,'Poids des runes'!A:B,2,FALSE)))+1)/VLOOKUP(B405,'Poids des runes'!A:B,2,FALSE))</f>
        <v>0.74</v>
      </c>
      <c r="F405">
        <f t="shared" si="6"/>
        <v>0.74</v>
      </c>
    </row>
    <row r="406" spans="1:6" x14ac:dyDescent="0.3">
      <c r="A406" t="s">
        <v>169</v>
      </c>
      <c r="B406" t="s">
        <v>2128</v>
      </c>
      <c r="C406">
        <v>4</v>
      </c>
      <c r="D406">
        <v>27</v>
      </c>
      <c r="E406">
        <f>IF(OR(B406="vi",B406="ii",B406="pod"),(((D406/100)*(C406*VLOOKUP(B406,'Poids des runes'!A:B,2,FALSE)))+1),(((D406/100)*(C406*VLOOKUP(B406,'Poids des runes'!A:B,2,FALSE)))+1)/VLOOKUP(B406,'Poids des runes'!A:B,2,FALSE))</f>
        <v>1.216</v>
      </c>
      <c r="F406">
        <f t="shared" si="6"/>
        <v>1.216</v>
      </c>
    </row>
    <row r="407" spans="1:6" x14ac:dyDescent="0.3">
      <c r="A407" t="s">
        <v>169</v>
      </c>
      <c r="B407" t="s">
        <v>2155</v>
      </c>
      <c r="C407">
        <v>1</v>
      </c>
      <c r="D407">
        <v>27</v>
      </c>
      <c r="E407">
        <f>IF(OR(B407="vi",B407="ii",B407="pod"),(((D407/100)*(C407*VLOOKUP(B407,'Poids des runes'!A:B,2,FALSE)))+1),(((D407/100)*(C407*VLOOKUP(B407,'Poids des runes'!A:B,2,FALSE)))+1)/VLOOKUP(B407,'Poids des runes'!A:B,2,FALSE))</f>
        <v>0.28960784313725491</v>
      </c>
      <c r="F407">
        <f t="shared" si="6"/>
        <v>0.28960784313725491</v>
      </c>
    </row>
    <row r="408" spans="1:6" x14ac:dyDescent="0.3">
      <c r="A408" t="s">
        <v>170</v>
      </c>
      <c r="B408" t="s">
        <v>2128</v>
      </c>
      <c r="C408">
        <v>50.5</v>
      </c>
      <c r="D408">
        <v>27</v>
      </c>
      <c r="E408">
        <f>IF(OR(B408="vi",B408="ii",B408="pod"),(((D408/100)*(C408*VLOOKUP(B408,'Poids des runes'!A:B,2,FALSE)))+1),(((D408/100)*(C408*VLOOKUP(B408,'Poids des runes'!A:B,2,FALSE)))+1)/VLOOKUP(B408,'Poids des runes'!A:B,2,FALSE))</f>
        <v>3.7270000000000008</v>
      </c>
      <c r="F408">
        <f t="shared" si="6"/>
        <v>3.7270000000000008</v>
      </c>
    </row>
    <row r="409" spans="1:6" x14ac:dyDescent="0.3">
      <c r="A409" t="s">
        <v>170</v>
      </c>
      <c r="B409" t="s">
        <v>2130</v>
      </c>
      <c r="C409">
        <v>35.5</v>
      </c>
      <c r="D409">
        <v>27</v>
      </c>
      <c r="E409">
        <f>IF(OR(B409="vi",B409="ii",B409="pod"),(((D409/100)*(C409*VLOOKUP(B409,'Poids des runes'!A:B,2,FALSE)))+1),(((D409/100)*(C409*VLOOKUP(B409,'Poids des runes'!A:B,2,FALSE)))+1)/VLOOKUP(B409,'Poids des runes'!A:B,2,FALSE))</f>
        <v>10.585000000000001</v>
      </c>
      <c r="F409">
        <f t="shared" si="6"/>
        <v>10.585000000000001</v>
      </c>
    </row>
    <row r="410" spans="1:6" x14ac:dyDescent="0.3">
      <c r="A410" t="s">
        <v>171</v>
      </c>
      <c r="B410" t="s">
        <v>2127</v>
      </c>
      <c r="C410">
        <v>25.5</v>
      </c>
      <c r="D410">
        <v>27</v>
      </c>
      <c r="E410">
        <f>IF(OR(B410="vi",B410="ii",B410="pod"),(((D410/100)*(C410*VLOOKUP(B410,'Poids des runes'!A:B,2,FALSE)))+1),(((D410/100)*(C410*VLOOKUP(B410,'Poids des runes'!A:B,2,FALSE)))+1)/VLOOKUP(B410,'Poids des runes'!A:B,2,FALSE))</f>
        <v>7.8850000000000007</v>
      </c>
      <c r="F410">
        <f t="shared" si="6"/>
        <v>7.8850000000000007</v>
      </c>
    </row>
    <row r="411" spans="1:6" x14ac:dyDescent="0.3">
      <c r="A411" t="s">
        <v>171</v>
      </c>
      <c r="B411" t="s">
        <v>2141</v>
      </c>
      <c r="C411">
        <v>4.5</v>
      </c>
      <c r="D411">
        <v>27</v>
      </c>
      <c r="E411">
        <f>IF(OR(B411="vi",B411="ii",B411="pod"),(((D411/100)*(C411*VLOOKUP(B411,'Poids des runes'!A:B,2,FALSE)))+1),(((D411/100)*(C411*VLOOKUP(B411,'Poids des runes'!A:B,2,FALSE)))+1)/VLOOKUP(B411,'Poids des runes'!A:B,2,FALSE))</f>
        <v>1.4650000000000001</v>
      </c>
      <c r="F411">
        <f t="shared" si="6"/>
        <v>1.4650000000000001</v>
      </c>
    </row>
    <row r="412" spans="1:6" x14ac:dyDescent="0.3">
      <c r="A412" t="s">
        <v>171</v>
      </c>
      <c r="B412" t="s">
        <v>2157</v>
      </c>
      <c r="C412">
        <v>2.5</v>
      </c>
      <c r="D412">
        <v>27</v>
      </c>
      <c r="E412">
        <f>IF(OR(B412="vi",B412="ii",B412="pod"),(((D412/100)*(C412*VLOOKUP(B412,'Poids des runes'!A:B,2,FALSE)))+1),(((D412/100)*(C412*VLOOKUP(B412,'Poids des runes'!A:B,2,FALSE)))+1)/VLOOKUP(B412,'Poids des runes'!A:B,2,FALSE))</f>
        <v>0.84166666666666679</v>
      </c>
      <c r="F412">
        <f t="shared" si="6"/>
        <v>0.84166666666666679</v>
      </c>
    </row>
    <row r="413" spans="1:6" x14ac:dyDescent="0.3">
      <c r="A413" t="s">
        <v>172</v>
      </c>
      <c r="B413" t="s">
        <v>2128</v>
      </c>
      <c r="C413">
        <v>20.5</v>
      </c>
      <c r="D413">
        <v>27</v>
      </c>
      <c r="E413">
        <f>IF(OR(B413="vi",B413="ii",B413="pod"),(((D413/100)*(C413*VLOOKUP(B413,'Poids des runes'!A:B,2,FALSE)))+1),(((D413/100)*(C413*VLOOKUP(B413,'Poids des runes'!A:B,2,FALSE)))+1)/VLOOKUP(B413,'Poids des runes'!A:B,2,FALSE))</f>
        <v>2.1070000000000002</v>
      </c>
      <c r="F413">
        <f t="shared" si="6"/>
        <v>2.1070000000000002</v>
      </c>
    </row>
    <row r="414" spans="1:6" x14ac:dyDescent="0.3">
      <c r="A414" t="s">
        <v>172</v>
      </c>
      <c r="B414" t="s">
        <v>2130</v>
      </c>
      <c r="C414">
        <v>13</v>
      </c>
      <c r="D414">
        <v>27</v>
      </c>
      <c r="E414">
        <f>IF(OR(B414="vi",B414="ii",B414="pod"),(((D414/100)*(C414*VLOOKUP(B414,'Poids des runes'!A:B,2,FALSE)))+1),(((D414/100)*(C414*VLOOKUP(B414,'Poids des runes'!A:B,2,FALSE)))+1)/VLOOKUP(B414,'Poids des runes'!A:B,2,FALSE))</f>
        <v>4.51</v>
      </c>
      <c r="F414">
        <f t="shared" si="6"/>
        <v>4.51</v>
      </c>
    </row>
    <row r="415" spans="1:6" x14ac:dyDescent="0.3">
      <c r="A415" t="s">
        <v>172</v>
      </c>
      <c r="B415" t="s">
        <v>2129</v>
      </c>
      <c r="C415">
        <v>8.5</v>
      </c>
      <c r="D415">
        <v>27</v>
      </c>
      <c r="E415">
        <f>IF(OR(B415="vi",B415="ii",B415="pod"),(((D415/100)*(C415*VLOOKUP(B415,'Poids des runes'!A:B,2,FALSE)))+1),(((D415/100)*(C415*VLOOKUP(B415,'Poids des runes'!A:B,2,FALSE)))+1)/VLOOKUP(B415,'Poids des runes'!A:B,2,FALSE))</f>
        <v>3.2949999999999999</v>
      </c>
      <c r="F415">
        <f t="shared" si="6"/>
        <v>3.2949999999999999</v>
      </c>
    </row>
    <row r="416" spans="1:6" x14ac:dyDescent="0.3">
      <c r="A416" t="s">
        <v>172</v>
      </c>
      <c r="B416" t="s">
        <v>2143</v>
      </c>
      <c r="C416">
        <v>1.5</v>
      </c>
      <c r="D416">
        <v>27</v>
      </c>
      <c r="E416">
        <f>IF(OR(B416="vi",B416="ii",B416="pod"),(((D416/100)*(C416*VLOOKUP(B416,'Poids des runes'!A:B,2,FALSE)))+1),(((D416/100)*(C416*VLOOKUP(B416,'Poids des runes'!A:B,2,FALSE)))+1)/VLOOKUP(B416,'Poids des runes'!A:B,2,FALSE))</f>
        <v>0.60500000000000009</v>
      </c>
      <c r="F416">
        <f t="shared" si="6"/>
        <v>0.60500000000000009</v>
      </c>
    </row>
    <row r="417" spans="1:6" x14ac:dyDescent="0.3">
      <c r="A417" t="s">
        <v>172</v>
      </c>
      <c r="B417" t="s">
        <v>2142</v>
      </c>
      <c r="C417">
        <v>4</v>
      </c>
      <c r="D417">
        <v>27</v>
      </c>
      <c r="E417">
        <f>IF(OR(B417="vi",B417="ii",B417="pod"),(((D417/100)*(C417*VLOOKUP(B417,'Poids des runes'!A:B,2,FALSE)))+1),(((D417/100)*(C417*VLOOKUP(B417,'Poids des runes'!A:B,2,FALSE)))+1)/VLOOKUP(B417,'Poids des runes'!A:B,2,FALSE))</f>
        <v>1.28</v>
      </c>
      <c r="F417">
        <f t="shared" si="6"/>
        <v>1.28</v>
      </c>
    </row>
    <row r="418" spans="1:6" x14ac:dyDescent="0.3">
      <c r="A418" t="s">
        <v>173</v>
      </c>
      <c r="B418" t="s">
        <v>2128</v>
      </c>
      <c r="C418">
        <v>18</v>
      </c>
      <c r="D418">
        <v>27</v>
      </c>
      <c r="E418">
        <f>IF(OR(B418="vi",B418="ii",B418="pod"),(((D418/100)*(C418*VLOOKUP(B418,'Poids des runes'!A:B,2,FALSE)))+1),(((D418/100)*(C418*VLOOKUP(B418,'Poids des runes'!A:B,2,FALSE)))+1)/VLOOKUP(B418,'Poids des runes'!A:B,2,FALSE))</f>
        <v>1.972</v>
      </c>
      <c r="F418">
        <f t="shared" si="6"/>
        <v>1.972</v>
      </c>
    </row>
    <row r="419" spans="1:6" x14ac:dyDescent="0.3">
      <c r="A419" t="s">
        <v>173</v>
      </c>
      <c r="B419" t="s">
        <v>2142</v>
      </c>
      <c r="C419">
        <v>5</v>
      </c>
      <c r="D419">
        <v>27</v>
      </c>
      <c r="E419">
        <f>IF(OR(B419="vi",B419="ii",B419="pod"),(((D419/100)*(C419*VLOOKUP(B419,'Poids des runes'!A:B,2,FALSE)))+1),(((D419/100)*(C419*VLOOKUP(B419,'Poids des runes'!A:B,2,FALSE)))+1)/VLOOKUP(B419,'Poids des runes'!A:B,2,FALSE))</f>
        <v>1.55</v>
      </c>
      <c r="F419">
        <f t="shared" si="6"/>
        <v>1.55</v>
      </c>
    </row>
    <row r="420" spans="1:6" x14ac:dyDescent="0.3">
      <c r="A420" t="s">
        <v>173</v>
      </c>
      <c r="B420" t="s">
        <v>2147</v>
      </c>
      <c r="C420">
        <v>1.5</v>
      </c>
      <c r="D420">
        <v>27</v>
      </c>
      <c r="E420">
        <f>IF(OR(B420="vi",B420="ii",B420="pod"),(((D420/100)*(C420*VLOOKUP(B420,'Poids des runes'!A:B,2,FALSE)))+1),(((D420/100)*(C420*VLOOKUP(B420,'Poids des runes'!A:B,2,FALSE)))+1)/VLOOKUP(B420,'Poids des runes'!A:B,2,FALSE))</f>
        <v>0.57166666666666666</v>
      </c>
      <c r="F420">
        <f t="shared" si="6"/>
        <v>0.57166666666666666</v>
      </c>
    </row>
    <row r="421" spans="1:6" x14ac:dyDescent="0.3">
      <c r="A421" t="s">
        <v>173</v>
      </c>
      <c r="B421" t="s">
        <v>2157</v>
      </c>
      <c r="C421">
        <v>2.5</v>
      </c>
      <c r="D421">
        <v>27</v>
      </c>
      <c r="E421">
        <f>IF(OR(B421="vi",B421="ii",B421="pod"),(((D421/100)*(C421*VLOOKUP(B421,'Poids des runes'!A:B,2,FALSE)))+1),(((D421/100)*(C421*VLOOKUP(B421,'Poids des runes'!A:B,2,FALSE)))+1)/VLOOKUP(B421,'Poids des runes'!A:B,2,FALSE))</f>
        <v>0.84166666666666679</v>
      </c>
      <c r="F421">
        <f t="shared" si="6"/>
        <v>0.84166666666666679</v>
      </c>
    </row>
    <row r="422" spans="1:6" x14ac:dyDescent="0.3">
      <c r="A422" t="s">
        <v>174</v>
      </c>
      <c r="B422" t="s">
        <v>2127</v>
      </c>
      <c r="C422">
        <v>8.5</v>
      </c>
      <c r="D422">
        <v>27</v>
      </c>
      <c r="E422">
        <f>IF(OR(B422="vi",B422="ii",B422="pod"),(((D422/100)*(C422*VLOOKUP(B422,'Poids des runes'!A:B,2,FALSE)))+1),(((D422/100)*(C422*VLOOKUP(B422,'Poids des runes'!A:B,2,FALSE)))+1)/VLOOKUP(B422,'Poids des runes'!A:B,2,FALSE))</f>
        <v>3.2949999999999999</v>
      </c>
      <c r="F422">
        <f t="shared" si="6"/>
        <v>3.2949999999999999</v>
      </c>
    </row>
    <row r="423" spans="1:6" x14ac:dyDescent="0.3">
      <c r="A423" t="s">
        <v>174</v>
      </c>
      <c r="B423" t="s">
        <v>2151</v>
      </c>
      <c r="C423">
        <v>2.5</v>
      </c>
      <c r="D423">
        <v>27</v>
      </c>
      <c r="E423">
        <f>IF(OR(B423="vi",B423="ii",B423="pod"),(((D423/100)*(C423*VLOOKUP(B423,'Poids des runes'!A:B,2,FALSE)))+1),(((D423/100)*(C423*VLOOKUP(B423,'Poids des runes'!A:B,2,FALSE)))+1)/VLOOKUP(B423,'Poids des runes'!A:B,2,FALSE))</f>
        <v>0.77500000000000002</v>
      </c>
      <c r="F423">
        <f t="shared" si="6"/>
        <v>0.77500000000000002</v>
      </c>
    </row>
    <row r="424" spans="1:6" x14ac:dyDescent="0.3">
      <c r="A424" t="s">
        <v>174</v>
      </c>
      <c r="B424" t="s">
        <v>2155</v>
      </c>
      <c r="C424">
        <v>1</v>
      </c>
      <c r="D424">
        <v>27</v>
      </c>
      <c r="E424">
        <f>IF(OR(B424="vi",B424="ii",B424="pod"),(((D424/100)*(C424*VLOOKUP(B424,'Poids des runes'!A:B,2,FALSE)))+1),(((D424/100)*(C424*VLOOKUP(B424,'Poids des runes'!A:B,2,FALSE)))+1)/VLOOKUP(B424,'Poids des runes'!A:B,2,FALSE))</f>
        <v>0.28960784313725491</v>
      </c>
      <c r="F424">
        <f t="shared" si="6"/>
        <v>0.28960784313725491</v>
      </c>
    </row>
    <row r="425" spans="1:6" x14ac:dyDescent="0.3">
      <c r="A425" t="s">
        <v>174</v>
      </c>
      <c r="B425" t="s">
        <v>2153</v>
      </c>
      <c r="C425">
        <v>2.5</v>
      </c>
      <c r="D425">
        <v>27</v>
      </c>
      <c r="E425">
        <f>IF(OR(B425="vi",B425="ii",B425="pod"),(((D425/100)*(C425*VLOOKUP(B425,'Poids des runes'!A:B,2,FALSE)))+1),(((D425/100)*(C425*VLOOKUP(B425,'Poids des runes'!A:B,2,FALSE)))+1)/VLOOKUP(B425,'Poids des runes'!A:B,2,FALSE))</f>
        <v>0.875</v>
      </c>
      <c r="F425">
        <f t="shared" si="6"/>
        <v>0.875</v>
      </c>
    </row>
    <row r="426" spans="1:6" x14ac:dyDescent="0.3">
      <c r="A426" t="s">
        <v>174</v>
      </c>
      <c r="B426" t="s">
        <v>2141</v>
      </c>
      <c r="C426">
        <v>1.5</v>
      </c>
      <c r="D426">
        <v>27</v>
      </c>
      <c r="E426">
        <f>IF(OR(B426="vi",B426="ii",B426="pod"),(((D426/100)*(C426*VLOOKUP(B426,'Poids des runes'!A:B,2,FALSE)))+1),(((D426/100)*(C426*VLOOKUP(B426,'Poids des runes'!A:B,2,FALSE)))+1)/VLOOKUP(B426,'Poids des runes'!A:B,2,FALSE))</f>
        <v>0.65500000000000003</v>
      </c>
      <c r="F426">
        <f t="shared" si="6"/>
        <v>0.65500000000000003</v>
      </c>
    </row>
    <row r="427" spans="1:6" x14ac:dyDescent="0.3">
      <c r="A427" t="s">
        <v>175</v>
      </c>
      <c r="B427" t="s">
        <v>2128</v>
      </c>
      <c r="C427">
        <v>20.5</v>
      </c>
      <c r="D427">
        <v>27</v>
      </c>
      <c r="E427">
        <f>IF(OR(B427="vi",B427="ii",B427="pod"),(((D427/100)*(C427*VLOOKUP(B427,'Poids des runes'!A:B,2,FALSE)))+1),(((D427/100)*(C427*VLOOKUP(B427,'Poids des runes'!A:B,2,FALSE)))+1)/VLOOKUP(B427,'Poids des runes'!A:B,2,FALSE))</f>
        <v>2.1070000000000002</v>
      </c>
      <c r="F427">
        <f t="shared" si="6"/>
        <v>2.1070000000000002</v>
      </c>
    </row>
    <row r="428" spans="1:6" x14ac:dyDescent="0.3">
      <c r="A428" t="s">
        <v>175</v>
      </c>
      <c r="B428" t="s">
        <v>2130</v>
      </c>
      <c r="C428">
        <v>8.5</v>
      </c>
      <c r="D428">
        <v>27</v>
      </c>
      <c r="E428">
        <f>IF(OR(B428="vi",B428="ii",B428="pod"),(((D428/100)*(C428*VLOOKUP(B428,'Poids des runes'!A:B,2,FALSE)))+1),(((D428/100)*(C428*VLOOKUP(B428,'Poids des runes'!A:B,2,FALSE)))+1)/VLOOKUP(B428,'Poids des runes'!A:B,2,FALSE))</f>
        <v>3.2949999999999999</v>
      </c>
      <c r="F428">
        <f t="shared" si="6"/>
        <v>3.2949999999999999</v>
      </c>
    </row>
    <row r="429" spans="1:6" x14ac:dyDescent="0.3">
      <c r="A429" t="s">
        <v>175</v>
      </c>
      <c r="B429" t="s">
        <v>2131</v>
      </c>
      <c r="C429">
        <v>8.5</v>
      </c>
      <c r="D429">
        <v>27</v>
      </c>
      <c r="E429">
        <f>IF(OR(B429="vi",B429="ii",B429="pod"),(((D429/100)*(C429*VLOOKUP(B429,'Poids des runes'!A:B,2,FALSE)))+1),(((D429/100)*(C429*VLOOKUP(B429,'Poids des runes'!A:B,2,FALSE)))+1)/VLOOKUP(B429,'Poids des runes'!A:B,2,FALSE))</f>
        <v>3.2949999999999999</v>
      </c>
      <c r="F429">
        <f t="shared" si="6"/>
        <v>3.2949999999999999</v>
      </c>
    </row>
    <row r="430" spans="1:6" x14ac:dyDescent="0.3">
      <c r="A430" t="s">
        <v>175</v>
      </c>
      <c r="B430" t="s">
        <v>2129</v>
      </c>
      <c r="C430">
        <v>4</v>
      </c>
      <c r="D430">
        <v>27</v>
      </c>
      <c r="E430">
        <f>IF(OR(B430="vi",B430="ii",B430="pod"),(((D430/100)*(C430*VLOOKUP(B430,'Poids des runes'!A:B,2,FALSE)))+1),(((D430/100)*(C430*VLOOKUP(B430,'Poids des runes'!A:B,2,FALSE)))+1)/VLOOKUP(B430,'Poids des runes'!A:B,2,FALSE))</f>
        <v>2.08</v>
      </c>
      <c r="F430">
        <f t="shared" si="6"/>
        <v>2.08</v>
      </c>
    </row>
    <row r="431" spans="1:6" x14ac:dyDescent="0.3">
      <c r="A431" t="s">
        <v>175</v>
      </c>
      <c r="B431" t="s">
        <v>2143</v>
      </c>
      <c r="C431">
        <v>1.5</v>
      </c>
      <c r="D431">
        <v>27</v>
      </c>
      <c r="E431">
        <f>IF(OR(B431="vi",B431="ii",B431="pod"),(((D431/100)*(C431*VLOOKUP(B431,'Poids des runes'!A:B,2,FALSE)))+1),(((D431/100)*(C431*VLOOKUP(B431,'Poids des runes'!A:B,2,FALSE)))+1)/VLOOKUP(B431,'Poids des runes'!A:B,2,FALSE))</f>
        <v>0.60500000000000009</v>
      </c>
      <c r="F431">
        <f t="shared" si="6"/>
        <v>0.60500000000000009</v>
      </c>
    </row>
    <row r="432" spans="1:6" x14ac:dyDescent="0.3">
      <c r="A432" t="s">
        <v>175</v>
      </c>
      <c r="B432" t="s">
        <v>2133</v>
      </c>
      <c r="C432">
        <v>1.5</v>
      </c>
      <c r="D432">
        <v>27</v>
      </c>
      <c r="E432">
        <f>IF(OR(B432="vi",B432="ii",B432="pod"),(((D432/100)*(C432*VLOOKUP(B432,'Poids des runes'!A:B,2,FALSE)))+1),(((D432/100)*(C432*VLOOKUP(B432,'Poids des runes'!A:B,2,FALSE)))+1)/VLOOKUP(B432,'Poids des runes'!A:B,2,FALSE))</f>
        <v>0.60500000000000009</v>
      </c>
      <c r="F432">
        <f t="shared" si="6"/>
        <v>0.60500000000000009</v>
      </c>
    </row>
    <row r="433" spans="1:6" x14ac:dyDescent="0.3">
      <c r="A433" t="s">
        <v>176</v>
      </c>
      <c r="B433" t="s">
        <v>2128</v>
      </c>
      <c r="C433">
        <v>35.5</v>
      </c>
      <c r="D433">
        <v>28</v>
      </c>
      <c r="E433">
        <f>IF(OR(B433="vi",B433="ii",B433="pod"),(((D433/100)*(C433*VLOOKUP(B433,'Poids des runes'!A:B,2,FALSE)))+1),(((D433/100)*(C433*VLOOKUP(B433,'Poids des runes'!A:B,2,FALSE)))+1)/VLOOKUP(B433,'Poids des runes'!A:B,2,FALSE))</f>
        <v>2.9880000000000004</v>
      </c>
      <c r="F433">
        <f t="shared" si="6"/>
        <v>2.9880000000000004</v>
      </c>
    </row>
    <row r="434" spans="1:6" x14ac:dyDescent="0.3">
      <c r="A434" t="s">
        <v>176</v>
      </c>
      <c r="B434" t="s">
        <v>2143</v>
      </c>
      <c r="C434">
        <v>2.5</v>
      </c>
      <c r="D434">
        <v>28</v>
      </c>
      <c r="E434">
        <f>IF(OR(B434="vi",B434="ii",B434="pod"),(((D434/100)*(C434*VLOOKUP(B434,'Poids des runes'!A:B,2,FALSE)))+1),(((D434/100)*(C434*VLOOKUP(B434,'Poids des runes'!A:B,2,FALSE)))+1)/VLOOKUP(B434,'Poids des runes'!A:B,2,FALSE))</f>
        <v>0.9</v>
      </c>
      <c r="F434">
        <f t="shared" si="6"/>
        <v>0.9</v>
      </c>
    </row>
    <row r="435" spans="1:6" x14ac:dyDescent="0.3">
      <c r="A435" t="s">
        <v>176</v>
      </c>
      <c r="B435" t="s">
        <v>2140</v>
      </c>
      <c r="C435">
        <v>2.5</v>
      </c>
      <c r="D435">
        <v>28</v>
      </c>
      <c r="E435">
        <f>IF(OR(B435="vi",B435="ii",B435="pod"),(((D435/100)*(C435*VLOOKUP(B435,'Poids des runes'!A:B,2,FALSE)))+1),(((D435/100)*(C435*VLOOKUP(B435,'Poids des runes'!A:B,2,FALSE)))+1)/VLOOKUP(B435,'Poids des runes'!A:B,2,FALSE))</f>
        <v>0.9</v>
      </c>
      <c r="F435">
        <f t="shared" si="6"/>
        <v>0.9</v>
      </c>
    </row>
    <row r="436" spans="1:6" x14ac:dyDescent="0.3">
      <c r="A436" t="s">
        <v>176</v>
      </c>
      <c r="B436" t="s">
        <v>2133</v>
      </c>
      <c r="C436">
        <v>2.5</v>
      </c>
      <c r="D436">
        <v>28</v>
      </c>
      <c r="E436">
        <f>IF(OR(B436="vi",B436="ii",B436="pod"),(((D436/100)*(C436*VLOOKUP(B436,'Poids des runes'!A:B,2,FALSE)))+1),(((D436/100)*(C436*VLOOKUP(B436,'Poids des runes'!A:B,2,FALSE)))+1)/VLOOKUP(B436,'Poids des runes'!A:B,2,FALSE))</f>
        <v>0.9</v>
      </c>
      <c r="F436">
        <f t="shared" si="6"/>
        <v>0.9</v>
      </c>
    </row>
    <row r="437" spans="1:6" x14ac:dyDescent="0.3">
      <c r="A437" t="s">
        <v>176</v>
      </c>
      <c r="B437" t="s">
        <v>2153</v>
      </c>
      <c r="C437">
        <v>2.5</v>
      </c>
      <c r="D437">
        <v>28</v>
      </c>
      <c r="E437">
        <f>IF(OR(B437="vi",B437="ii",B437="pod"),(((D437/100)*(C437*VLOOKUP(B437,'Poids des runes'!A:B,2,FALSE)))+1),(((D437/100)*(C437*VLOOKUP(B437,'Poids des runes'!A:B,2,FALSE)))+1)/VLOOKUP(B437,'Poids des runes'!A:B,2,FALSE))</f>
        <v>0.9</v>
      </c>
      <c r="F437">
        <f t="shared" si="6"/>
        <v>0.9</v>
      </c>
    </row>
    <row r="438" spans="1:6" x14ac:dyDescent="0.3">
      <c r="A438" t="s">
        <v>176</v>
      </c>
      <c r="B438" t="s">
        <v>2132</v>
      </c>
      <c r="C438">
        <v>100</v>
      </c>
      <c r="D438">
        <v>28</v>
      </c>
      <c r="E438">
        <f>IF(OR(B438="vi",B438="ii",B438="pod"),(((D438/100)*(C438*VLOOKUP(B438,'Poids des runes'!A:B,2,FALSE)))+1),(((D438/100)*(C438*VLOOKUP(B438,'Poids des runes'!A:B,2,FALSE)))+1)/VLOOKUP(B438,'Poids des runes'!A:B,2,FALSE))</f>
        <v>3.8000000000000003</v>
      </c>
      <c r="F438">
        <f t="shared" si="6"/>
        <v>3.8000000000000003</v>
      </c>
    </row>
    <row r="439" spans="1:6" x14ac:dyDescent="0.3">
      <c r="A439" t="s">
        <v>177</v>
      </c>
      <c r="B439" t="s">
        <v>2128</v>
      </c>
      <c r="C439">
        <v>25.5</v>
      </c>
      <c r="D439">
        <v>28</v>
      </c>
      <c r="E439">
        <f>IF(OR(B439="vi",B439="ii",B439="pod"),(((D439/100)*(C439*VLOOKUP(B439,'Poids des runes'!A:B,2,FALSE)))+1),(((D439/100)*(C439*VLOOKUP(B439,'Poids des runes'!A:B,2,FALSE)))+1)/VLOOKUP(B439,'Poids des runes'!A:B,2,FALSE))</f>
        <v>2.4280000000000004</v>
      </c>
      <c r="F439">
        <f t="shared" si="6"/>
        <v>2.4280000000000004</v>
      </c>
    </row>
    <row r="440" spans="1:6" x14ac:dyDescent="0.3">
      <c r="A440" t="s">
        <v>177</v>
      </c>
      <c r="B440" t="s">
        <v>2126</v>
      </c>
      <c r="C440">
        <v>35.5</v>
      </c>
      <c r="D440">
        <v>28</v>
      </c>
      <c r="E440">
        <f>IF(OR(B440="vi",B440="ii",B440="pod"),(((D440/100)*(C440*VLOOKUP(B440,'Poids des runes'!A:B,2,FALSE)))+1),(((D440/100)*(C440*VLOOKUP(B440,'Poids des runes'!A:B,2,FALSE)))+1)/VLOOKUP(B440,'Poids des runes'!A:B,2,FALSE))</f>
        <v>10.940000000000001</v>
      </c>
      <c r="F440">
        <f t="shared" si="6"/>
        <v>10.940000000000001</v>
      </c>
    </row>
    <row r="441" spans="1:6" x14ac:dyDescent="0.3">
      <c r="A441" t="s">
        <v>177</v>
      </c>
      <c r="B441" t="s">
        <v>2149</v>
      </c>
      <c r="C441">
        <v>8.5</v>
      </c>
      <c r="D441">
        <v>28</v>
      </c>
      <c r="E441">
        <f>IF(OR(B441="vi",B441="ii",B441="pod"),(((D441/100)*(C441*VLOOKUP(B441,'Poids des runes'!A:B,2,FALSE)))+1),(((D441/100)*(C441*VLOOKUP(B441,'Poids des runes'!A:B,2,FALSE)))+1)/VLOOKUP(B441,'Poids des runes'!A:B,2,FALSE))</f>
        <v>2.48</v>
      </c>
      <c r="F441">
        <f t="shared" si="6"/>
        <v>2.48</v>
      </c>
    </row>
    <row r="442" spans="1:6" x14ac:dyDescent="0.3">
      <c r="A442" t="s">
        <v>177</v>
      </c>
      <c r="B442" t="s">
        <v>2147</v>
      </c>
      <c r="C442">
        <v>2</v>
      </c>
      <c r="D442">
        <v>28</v>
      </c>
      <c r="E442">
        <f>IF(OR(B442="vi",B442="ii",B442="pod"),(((D442/100)*(C442*VLOOKUP(B442,'Poids des runes'!A:B,2,FALSE)))+1),(((D442/100)*(C442*VLOOKUP(B442,'Poids des runes'!A:B,2,FALSE)))+1)/VLOOKUP(B442,'Poids des runes'!A:B,2,FALSE))</f>
        <v>0.72666666666666668</v>
      </c>
      <c r="F442">
        <f t="shared" si="6"/>
        <v>0.72666666666666668</v>
      </c>
    </row>
    <row r="443" spans="1:6" x14ac:dyDescent="0.3">
      <c r="A443" t="s">
        <v>178</v>
      </c>
      <c r="B443" t="s">
        <v>2128</v>
      </c>
      <c r="C443">
        <v>50.5</v>
      </c>
      <c r="D443">
        <v>28</v>
      </c>
      <c r="E443">
        <f>IF(OR(B443="vi",B443="ii",B443="pod"),(((D443/100)*(C443*VLOOKUP(B443,'Poids des runes'!A:B,2,FALSE)))+1),(((D443/100)*(C443*VLOOKUP(B443,'Poids des runes'!A:B,2,FALSE)))+1)/VLOOKUP(B443,'Poids des runes'!A:B,2,FALSE))</f>
        <v>3.8280000000000007</v>
      </c>
      <c r="F443">
        <f t="shared" si="6"/>
        <v>3.8280000000000007</v>
      </c>
    </row>
    <row r="444" spans="1:6" x14ac:dyDescent="0.3">
      <c r="A444" t="s">
        <v>178</v>
      </c>
      <c r="B444" t="s">
        <v>2139</v>
      </c>
      <c r="C444">
        <v>13</v>
      </c>
      <c r="D444">
        <v>28</v>
      </c>
      <c r="E444">
        <f>IF(OR(B444="vi",B444="ii",B444="pod"),(((D444/100)*(C444*VLOOKUP(B444,'Poids des runes'!A:B,2,FALSE)))+1),(((D444/100)*(C444*VLOOKUP(B444,'Poids des runes'!A:B,2,FALSE)))+1)/VLOOKUP(B444,'Poids des runes'!A:B,2,FALSE))</f>
        <v>4.1400000000000006</v>
      </c>
      <c r="F444">
        <f t="shared" si="6"/>
        <v>4.1400000000000006</v>
      </c>
    </row>
    <row r="445" spans="1:6" x14ac:dyDescent="0.3">
      <c r="A445" t="s">
        <v>178</v>
      </c>
      <c r="B445" t="s">
        <v>2132</v>
      </c>
      <c r="C445">
        <v>125.5</v>
      </c>
      <c r="D445">
        <v>28</v>
      </c>
      <c r="E445">
        <f>IF(OR(B445="vi",B445="ii",B445="pod"),(((D445/100)*(C445*VLOOKUP(B445,'Poids des runes'!A:B,2,FALSE)))+1),(((D445/100)*(C445*VLOOKUP(B445,'Poids des runes'!A:B,2,FALSE)))+1)/VLOOKUP(B445,'Poids des runes'!A:B,2,FALSE))</f>
        <v>4.5140000000000011</v>
      </c>
      <c r="F445">
        <f t="shared" si="6"/>
        <v>4.5140000000000011</v>
      </c>
    </row>
    <row r="446" spans="1:6" x14ac:dyDescent="0.3">
      <c r="A446" t="s">
        <v>179</v>
      </c>
      <c r="B446" t="s">
        <v>2128</v>
      </c>
      <c r="C446">
        <v>25.5</v>
      </c>
      <c r="D446">
        <v>28</v>
      </c>
      <c r="E446">
        <f>IF(OR(B446="vi",B446="ii",B446="pod"),(((D446/100)*(C446*VLOOKUP(B446,'Poids des runes'!A:B,2,FALSE)))+1),(((D446/100)*(C446*VLOOKUP(B446,'Poids des runes'!A:B,2,FALSE)))+1)/VLOOKUP(B446,'Poids des runes'!A:B,2,FALSE))</f>
        <v>2.4280000000000004</v>
      </c>
      <c r="F446">
        <f t="shared" si="6"/>
        <v>2.4280000000000004</v>
      </c>
    </row>
    <row r="447" spans="1:6" x14ac:dyDescent="0.3">
      <c r="A447" t="s">
        <v>179</v>
      </c>
      <c r="B447" t="s">
        <v>2139</v>
      </c>
      <c r="C447">
        <v>8.5</v>
      </c>
      <c r="D447">
        <v>28</v>
      </c>
      <c r="E447">
        <f>IF(OR(B447="vi",B447="ii",B447="pod"),(((D447/100)*(C447*VLOOKUP(B447,'Poids des runes'!A:B,2,FALSE)))+1),(((D447/100)*(C447*VLOOKUP(B447,'Poids des runes'!A:B,2,FALSE)))+1)/VLOOKUP(B447,'Poids des runes'!A:B,2,FALSE))</f>
        <v>2.8800000000000003</v>
      </c>
      <c r="F447">
        <f t="shared" si="6"/>
        <v>2.8800000000000003</v>
      </c>
    </row>
    <row r="448" spans="1:6" x14ac:dyDescent="0.3">
      <c r="A448" t="s">
        <v>179</v>
      </c>
      <c r="B448" t="s">
        <v>2134</v>
      </c>
      <c r="C448">
        <v>2</v>
      </c>
      <c r="D448">
        <v>28</v>
      </c>
      <c r="E448">
        <f>IF(OR(B448="vi",B448="ii",B448="pod"),(((D448/100)*(C448*VLOOKUP(B448,'Poids des runes'!A:B,2,FALSE)))+1),(((D448/100)*(C448*VLOOKUP(B448,'Poids des runes'!A:B,2,FALSE)))+1)/VLOOKUP(B448,'Poids des runes'!A:B,2,FALSE))</f>
        <v>0.6100000000000001</v>
      </c>
      <c r="F448">
        <f t="shared" si="6"/>
        <v>0.6100000000000001</v>
      </c>
    </row>
    <row r="449" spans="1:6" x14ac:dyDescent="0.3">
      <c r="A449" t="s">
        <v>179</v>
      </c>
      <c r="B449" t="s">
        <v>2138</v>
      </c>
      <c r="C449">
        <v>2.5</v>
      </c>
      <c r="D449">
        <v>28</v>
      </c>
      <c r="E449">
        <f>IF(OR(B449="vi",B449="ii",B449="pod"),(((D449/100)*(C449*VLOOKUP(B449,'Poids des runes'!A:B,2,FALSE)))+1),(((D449/100)*(C449*VLOOKUP(B449,'Poids des runes'!A:B,2,FALSE)))+1)/VLOOKUP(B449,'Poids des runes'!A:B,2,FALSE))</f>
        <v>0.95000000000000007</v>
      </c>
      <c r="F449">
        <f t="shared" si="6"/>
        <v>0.95000000000000007</v>
      </c>
    </row>
    <row r="450" spans="1:6" x14ac:dyDescent="0.3">
      <c r="A450" t="s">
        <v>179</v>
      </c>
      <c r="B450" t="s">
        <v>2141</v>
      </c>
      <c r="C450">
        <v>2.5</v>
      </c>
      <c r="D450">
        <v>28</v>
      </c>
      <c r="E450">
        <f>IF(OR(B450="vi",B450="ii",B450="pod"),(((D450/100)*(C450*VLOOKUP(B450,'Poids des runes'!A:B,2,FALSE)))+1),(((D450/100)*(C450*VLOOKUP(B450,'Poids des runes'!A:B,2,FALSE)))+1)/VLOOKUP(B450,'Poids des runes'!A:B,2,FALSE))</f>
        <v>0.95000000000000007</v>
      </c>
      <c r="F450">
        <f t="shared" si="6"/>
        <v>0.95000000000000007</v>
      </c>
    </row>
    <row r="451" spans="1:6" x14ac:dyDescent="0.3">
      <c r="A451" t="s">
        <v>180</v>
      </c>
      <c r="B451" t="s">
        <v>2128</v>
      </c>
      <c r="C451">
        <v>25.5</v>
      </c>
      <c r="D451">
        <v>28</v>
      </c>
      <c r="E451">
        <f>IF(OR(B451="vi",B451="ii",B451="pod"),(((D451/100)*(C451*VLOOKUP(B451,'Poids des runes'!A:B,2,FALSE)))+1),(((D451/100)*(C451*VLOOKUP(B451,'Poids des runes'!A:B,2,FALSE)))+1)/VLOOKUP(B451,'Poids des runes'!A:B,2,FALSE))</f>
        <v>2.4280000000000004</v>
      </c>
      <c r="F451">
        <f t="shared" ref="F451:F514" si="7">E451</f>
        <v>2.4280000000000004</v>
      </c>
    </row>
    <row r="452" spans="1:6" x14ac:dyDescent="0.3">
      <c r="A452" t="s">
        <v>180</v>
      </c>
      <c r="B452" t="s">
        <v>2127</v>
      </c>
      <c r="C452">
        <v>13</v>
      </c>
      <c r="D452">
        <v>28</v>
      </c>
      <c r="E452">
        <f>IF(OR(B452="vi",B452="ii",B452="pod"),(((D452/100)*(C452*VLOOKUP(B452,'Poids des runes'!A:B,2,FALSE)))+1),(((D452/100)*(C452*VLOOKUP(B452,'Poids des runes'!A:B,2,FALSE)))+1)/VLOOKUP(B452,'Poids des runes'!A:B,2,FALSE))</f>
        <v>4.6400000000000006</v>
      </c>
      <c r="F452">
        <f t="shared" si="7"/>
        <v>4.6400000000000006</v>
      </c>
    </row>
    <row r="453" spans="1:6" x14ac:dyDescent="0.3">
      <c r="A453" t="s">
        <v>180</v>
      </c>
      <c r="B453" t="s">
        <v>2153</v>
      </c>
      <c r="C453">
        <v>2.5</v>
      </c>
      <c r="D453">
        <v>28</v>
      </c>
      <c r="E453">
        <f>IF(OR(B453="vi",B453="ii",B453="pod"),(((D453/100)*(C453*VLOOKUP(B453,'Poids des runes'!A:B,2,FALSE)))+1),(((D453/100)*(C453*VLOOKUP(B453,'Poids des runes'!A:B,2,FALSE)))+1)/VLOOKUP(B453,'Poids des runes'!A:B,2,FALSE))</f>
        <v>0.9</v>
      </c>
      <c r="F453">
        <f t="shared" si="7"/>
        <v>0.9</v>
      </c>
    </row>
    <row r="454" spans="1:6" x14ac:dyDescent="0.3">
      <c r="A454" t="s">
        <v>180</v>
      </c>
      <c r="B454" t="s">
        <v>2141</v>
      </c>
      <c r="C454">
        <v>2.5</v>
      </c>
      <c r="D454">
        <v>28</v>
      </c>
      <c r="E454">
        <f>IF(OR(B454="vi",B454="ii",B454="pod"),(((D454/100)*(C454*VLOOKUP(B454,'Poids des runes'!A:B,2,FALSE)))+1),(((D454/100)*(C454*VLOOKUP(B454,'Poids des runes'!A:B,2,FALSE)))+1)/VLOOKUP(B454,'Poids des runes'!A:B,2,FALSE))</f>
        <v>0.95000000000000007</v>
      </c>
      <c r="F454">
        <f t="shared" si="7"/>
        <v>0.95000000000000007</v>
      </c>
    </row>
    <row r="455" spans="1:6" x14ac:dyDescent="0.3">
      <c r="A455" t="s">
        <v>180</v>
      </c>
      <c r="B455" t="s">
        <v>2137</v>
      </c>
      <c r="C455">
        <v>4</v>
      </c>
      <c r="D455">
        <v>28</v>
      </c>
      <c r="E455">
        <f>IF(OR(B455="vi",B455="ii",B455="pod"),(((D455/100)*(C455*VLOOKUP(B455,'Poids des runes'!A:B,2,FALSE)))+1),(((D455/100)*(C455*VLOOKUP(B455,'Poids des runes'!A:B,2,FALSE)))+1)/VLOOKUP(B455,'Poids des runes'!A:B,2,FALSE))</f>
        <v>1.62</v>
      </c>
      <c r="F455">
        <f t="shared" si="7"/>
        <v>1.62</v>
      </c>
    </row>
    <row r="456" spans="1:6" x14ac:dyDescent="0.3">
      <c r="A456" t="s">
        <v>181</v>
      </c>
      <c r="B456" t="s">
        <v>2128</v>
      </c>
      <c r="C456">
        <v>20.5</v>
      </c>
      <c r="D456">
        <v>28</v>
      </c>
      <c r="E456">
        <f>IF(OR(B456="vi",B456="ii",B456="pod"),(((D456/100)*(C456*VLOOKUP(B456,'Poids des runes'!A:B,2,FALSE)))+1),(((D456/100)*(C456*VLOOKUP(B456,'Poids des runes'!A:B,2,FALSE)))+1)/VLOOKUP(B456,'Poids des runes'!A:B,2,FALSE))</f>
        <v>2.1480000000000006</v>
      </c>
      <c r="F456">
        <f t="shared" si="7"/>
        <v>2.1480000000000006</v>
      </c>
    </row>
    <row r="457" spans="1:6" x14ac:dyDescent="0.3">
      <c r="A457" t="s">
        <v>181</v>
      </c>
      <c r="B457" t="s">
        <v>2129</v>
      </c>
      <c r="C457">
        <v>4</v>
      </c>
      <c r="D457">
        <v>28</v>
      </c>
      <c r="E457">
        <f>IF(OR(B457="vi",B457="ii",B457="pod"),(((D457/100)*(C457*VLOOKUP(B457,'Poids des runes'!A:B,2,FALSE)))+1),(((D457/100)*(C457*VLOOKUP(B457,'Poids des runes'!A:B,2,FALSE)))+1)/VLOOKUP(B457,'Poids des runes'!A:B,2,FALSE))</f>
        <v>2.12</v>
      </c>
      <c r="F457">
        <f t="shared" si="7"/>
        <v>2.12</v>
      </c>
    </row>
    <row r="458" spans="1:6" x14ac:dyDescent="0.3">
      <c r="A458" t="s">
        <v>181</v>
      </c>
      <c r="B458" t="s">
        <v>2140</v>
      </c>
      <c r="C458">
        <v>2.5</v>
      </c>
      <c r="D458">
        <v>28</v>
      </c>
      <c r="E458">
        <f>IF(OR(B458="vi",B458="ii",B458="pod"),(((D458/100)*(C458*VLOOKUP(B458,'Poids des runes'!A:B,2,FALSE)))+1),(((D458/100)*(C458*VLOOKUP(B458,'Poids des runes'!A:B,2,FALSE)))+1)/VLOOKUP(B458,'Poids des runes'!A:B,2,FALSE))</f>
        <v>0.9</v>
      </c>
      <c r="F458">
        <f t="shared" si="7"/>
        <v>0.9</v>
      </c>
    </row>
    <row r="459" spans="1:6" x14ac:dyDescent="0.3">
      <c r="A459" t="s">
        <v>181</v>
      </c>
      <c r="B459" t="s">
        <v>2153</v>
      </c>
      <c r="C459">
        <v>2.5</v>
      </c>
      <c r="D459">
        <v>28</v>
      </c>
      <c r="E459">
        <f>IF(OR(B459="vi",B459="ii",B459="pod"),(((D459/100)*(C459*VLOOKUP(B459,'Poids des runes'!A:B,2,FALSE)))+1),(((D459/100)*(C459*VLOOKUP(B459,'Poids des runes'!A:B,2,FALSE)))+1)/VLOOKUP(B459,'Poids des runes'!A:B,2,FALSE))</f>
        <v>0.9</v>
      </c>
      <c r="F459">
        <f t="shared" si="7"/>
        <v>0.9</v>
      </c>
    </row>
    <row r="460" spans="1:6" x14ac:dyDescent="0.3">
      <c r="A460" t="s">
        <v>182</v>
      </c>
      <c r="B460" t="s">
        <v>2128</v>
      </c>
      <c r="C460">
        <v>18</v>
      </c>
      <c r="D460">
        <v>29</v>
      </c>
      <c r="E460">
        <f>IF(OR(B460="vi",B460="ii",B460="pod"),(((D460/100)*(C460*VLOOKUP(B460,'Poids des runes'!A:B,2,FALSE)))+1),(((D460/100)*(C460*VLOOKUP(B460,'Poids des runes'!A:B,2,FALSE)))+1)/VLOOKUP(B460,'Poids des runes'!A:B,2,FALSE))</f>
        <v>2.044</v>
      </c>
      <c r="F460">
        <f t="shared" si="7"/>
        <v>2.044</v>
      </c>
    </row>
    <row r="461" spans="1:6" x14ac:dyDescent="0.3">
      <c r="A461" t="s">
        <v>182</v>
      </c>
      <c r="B461" t="s">
        <v>2131</v>
      </c>
      <c r="C461">
        <v>13</v>
      </c>
      <c r="D461">
        <v>29</v>
      </c>
      <c r="E461">
        <f>IF(OR(B461="vi",B461="ii",B461="pod"),(((D461/100)*(C461*VLOOKUP(B461,'Poids des runes'!A:B,2,FALSE)))+1),(((D461/100)*(C461*VLOOKUP(B461,'Poids des runes'!A:B,2,FALSE)))+1)/VLOOKUP(B461,'Poids des runes'!A:B,2,FALSE))</f>
        <v>4.7699999999999996</v>
      </c>
      <c r="F461">
        <f t="shared" si="7"/>
        <v>4.7699999999999996</v>
      </c>
    </row>
    <row r="462" spans="1:6" x14ac:dyDescent="0.3">
      <c r="A462" t="s">
        <v>182</v>
      </c>
      <c r="B462" t="s">
        <v>2134</v>
      </c>
      <c r="C462">
        <v>2</v>
      </c>
      <c r="D462">
        <v>29</v>
      </c>
      <c r="E462">
        <f>IF(OR(B462="vi",B462="ii",B462="pod"),(((D462/100)*(C462*VLOOKUP(B462,'Poids des runes'!A:B,2,FALSE)))+1),(((D462/100)*(C462*VLOOKUP(B462,'Poids des runes'!A:B,2,FALSE)))+1)/VLOOKUP(B462,'Poids des runes'!A:B,2,FALSE))</f>
        <v>0.63</v>
      </c>
      <c r="F462">
        <f t="shared" si="7"/>
        <v>0.63</v>
      </c>
    </row>
    <row r="463" spans="1:6" x14ac:dyDescent="0.3">
      <c r="A463" t="s">
        <v>183</v>
      </c>
      <c r="B463" t="s">
        <v>2126</v>
      </c>
      <c r="C463">
        <v>25.5</v>
      </c>
      <c r="D463">
        <v>29</v>
      </c>
      <c r="E463">
        <f>IF(OR(B463="vi",B463="ii",B463="pod"),(((D463/100)*(C463*VLOOKUP(B463,'Poids des runes'!A:B,2,FALSE)))+1),(((D463/100)*(C463*VLOOKUP(B463,'Poids des runes'!A:B,2,FALSE)))+1)/VLOOKUP(B463,'Poids des runes'!A:B,2,FALSE))</f>
        <v>8.3949999999999996</v>
      </c>
      <c r="F463">
        <f t="shared" si="7"/>
        <v>8.3949999999999996</v>
      </c>
    </row>
    <row r="464" spans="1:6" x14ac:dyDescent="0.3">
      <c r="A464" t="s">
        <v>183</v>
      </c>
      <c r="B464" t="s">
        <v>2129</v>
      </c>
      <c r="C464">
        <v>13</v>
      </c>
      <c r="D464">
        <v>29</v>
      </c>
      <c r="E464">
        <f>IF(OR(B464="vi",B464="ii",B464="pod"),(((D464/100)*(C464*VLOOKUP(B464,'Poids des runes'!A:B,2,FALSE)))+1),(((D464/100)*(C464*VLOOKUP(B464,'Poids des runes'!A:B,2,FALSE)))+1)/VLOOKUP(B464,'Poids des runes'!A:B,2,FALSE))</f>
        <v>4.7699999999999996</v>
      </c>
      <c r="F464">
        <f t="shared" si="7"/>
        <v>4.7699999999999996</v>
      </c>
    </row>
    <row r="465" spans="1:6" x14ac:dyDescent="0.3">
      <c r="A465" t="s">
        <v>184</v>
      </c>
      <c r="B465" t="s">
        <v>2128</v>
      </c>
      <c r="C465">
        <v>45.5</v>
      </c>
      <c r="D465">
        <v>29</v>
      </c>
      <c r="E465">
        <f>IF(OR(B465="vi",B465="ii",B465="pod"),(((D465/100)*(C465*VLOOKUP(B465,'Poids des runes'!A:B,2,FALSE)))+1),(((D465/100)*(C465*VLOOKUP(B465,'Poids des runes'!A:B,2,FALSE)))+1)/VLOOKUP(B465,'Poids des runes'!A:B,2,FALSE))</f>
        <v>3.6389999999999998</v>
      </c>
      <c r="F465">
        <f t="shared" si="7"/>
        <v>3.6389999999999998</v>
      </c>
    </row>
    <row r="466" spans="1:6" x14ac:dyDescent="0.3">
      <c r="A466" t="s">
        <v>184</v>
      </c>
      <c r="B466" t="s">
        <v>2129</v>
      </c>
      <c r="C466">
        <v>8.5</v>
      </c>
      <c r="D466">
        <v>29</v>
      </c>
      <c r="E466">
        <f>IF(OR(B466="vi",B466="ii",B466="pod"),(((D466/100)*(C466*VLOOKUP(B466,'Poids des runes'!A:B,2,FALSE)))+1),(((D466/100)*(C466*VLOOKUP(B466,'Poids des runes'!A:B,2,FALSE)))+1)/VLOOKUP(B466,'Poids des runes'!A:B,2,FALSE))</f>
        <v>3.4649999999999999</v>
      </c>
      <c r="F466">
        <f t="shared" si="7"/>
        <v>3.4649999999999999</v>
      </c>
    </row>
    <row r="467" spans="1:6" x14ac:dyDescent="0.3">
      <c r="A467" t="s">
        <v>184</v>
      </c>
      <c r="B467" t="s">
        <v>2132</v>
      </c>
      <c r="C467">
        <v>155.5</v>
      </c>
      <c r="D467">
        <v>29</v>
      </c>
      <c r="E467">
        <f>IF(OR(B467="vi",B467="ii",B467="pod"),(((D467/100)*(C467*VLOOKUP(B467,'Poids des runes'!A:B,2,FALSE)))+1),(((D467/100)*(C467*VLOOKUP(B467,'Poids des runes'!A:B,2,FALSE)))+1)/VLOOKUP(B467,'Poids des runes'!A:B,2,FALSE))</f>
        <v>5.5095000000000001</v>
      </c>
      <c r="F467">
        <f t="shared" si="7"/>
        <v>5.5095000000000001</v>
      </c>
    </row>
    <row r="468" spans="1:6" x14ac:dyDescent="0.3">
      <c r="A468" t="s">
        <v>184</v>
      </c>
      <c r="B468" t="s">
        <v>2138</v>
      </c>
      <c r="C468">
        <v>2.5</v>
      </c>
      <c r="D468">
        <v>29</v>
      </c>
      <c r="E468">
        <f>IF(OR(B468="vi",B468="ii",B468="pod"),(((D468/100)*(C468*VLOOKUP(B468,'Poids des runes'!A:B,2,FALSE)))+1),(((D468/100)*(C468*VLOOKUP(B468,'Poids des runes'!A:B,2,FALSE)))+1)/VLOOKUP(B468,'Poids des runes'!A:B,2,FALSE))</f>
        <v>0.97499999999999998</v>
      </c>
      <c r="F468">
        <f t="shared" si="7"/>
        <v>0.97499999999999998</v>
      </c>
    </row>
    <row r="469" spans="1:6" x14ac:dyDescent="0.3">
      <c r="A469" t="s">
        <v>185</v>
      </c>
      <c r="B469" t="s">
        <v>2128</v>
      </c>
      <c r="C469">
        <v>35.5</v>
      </c>
      <c r="D469">
        <v>29</v>
      </c>
      <c r="E469">
        <f>IF(OR(B469="vi",B469="ii",B469="pod"),(((D469/100)*(C469*VLOOKUP(B469,'Poids des runes'!A:B,2,FALSE)))+1),(((D469/100)*(C469*VLOOKUP(B469,'Poids des runes'!A:B,2,FALSE)))+1)/VLOOKUP(B469,'Poids des runes'!A:B,2,FALSE))</f>
        <v>3.0590000000000002</v>
      </c>
      <c r="F469">
        <f t="shared" si="7"/>
        <v>3.0590000000000002</v>
      </c>
    </row>
    <row r="470" spans="1:6" x14ac:dyDescent="0.3">
      <c r="A470" t="s">
        <v>185</v>
      </c>
      <c r="B470" t="s">
        <v>2156</v>
      </c>
      <c r="C470">
        <v>2.5</v>
      </c>
      <c r="D470">
        <v>29</v>
      </c>
      <c r="E470">
        <f>IF(OR(B470="vi",B470="ii",B470="pod"),(((D470/100)*(C470*VLOOKUP(B470,'Poids des runes'!A:B,2,FALSE)))+1),(((D470/100)*(C470*VLOOKUP(B470,'Poids des runes'!A:B,2,FALSE)))+1)/VLOOKUP(B470,'Poids des runes'!A:B,2,FALSE))</f>
        <v>0.89166666666666661</v>
      </c>
      <c r="F470">
        <f t="shared" si="7"/>
        <v>0.89166666666666661</v>
      </c>
    </row>
    <row r="471" spans="1:6" x14ac:dyDescent="0.3">
      <c r="A471" t="s">
        <v>185</v>
      </c>
      <c r="B471" t="s">
        <v>2148</v>
      </c>
      <c r="C471">
        <v>2.5</v>
      </c>
      <c r="D471">
        <v>29</v>
      </c>
      <c r="E471">
        <f>IF(OR(B471="vi",B471="ii",B471="pod"),(((D471/100)*(C471*VLOOKUP(B471,'Poids des runes'!A:B,2,FALSE)))+1),(((D471/100)*(C471*VLOOKUP(B471,'Poids des runes'!A:B,2,FALSE)))+1)/VLOOKUP(B471,'Poids des runes'!A:B,2,FALSE))</f>
        <v>0.89166666666666661</v>
      </c>
      <c r="F471">
        <f t="shared" si="7"/>
        <v>0.89166666666666661</v>
      </c>
    </row>
    <row r="472" spans="1:6" x14ac:dyDescent="0.3">
      <c r="A472" t="s">
        <v>186</v>
      </c>
      <c r="B472" t="s">
        <v>2129</v>
      </c>
      <c r="C472">
        <v>13</v>
      </c>
      <c r="D472">
        <v>29</v>
      </c>
      <c r="E472">
        <f>IF(OR(B472="vi",B472="ii",B472="pod"),(((D472/100)*(C472*VLOOKUP(B472,'Poids des runes'!A:B,2,FALSE)))+1),(((D472/100)*(C472*VLOOKUP(B472,'Poids des runes'!A:B,2,FALSE)))+1)/VLOOKUP(B472,'Poids des runes'!A:B,2,FALSE))</f>
        <v>4.7699999999999996</v>
      </c>
      <c r="F472">
        <f t="shared" si="7"/>
        <v>4.7699999999999996</v>
      </c>
    </row>
    <row r="473" spans="1:6" x14ac:dyDescent="0.3">
      <c r="A473" t="s">
        <v>186</v>
      </c>
      <c r="B473" t="s">
        <v>2150</v>
      </c>
      <c r="C473">
        <v>1</v>
      </c>
      <c r="D473">
        <v>29</v>
      </c>
      <c r="E473">
        <f>IF(OR(B473="vi",B473="ii",B473="pod"),(((D473/100)*(C473*VLOOKUP(B473,'Poids des runes'!A:B,2,FALSE)))+1),(((D473/100)*(C473*VLOOKUP(B473,'Poids des runes'!A:B,2,FALSE)))+1)/VLOOKUP(B473,'Poids des runes'!A:B,2,FALSE))</f>
        <v>0.32333333333333331</v>
      </c>
      <c r="F473">
        <f t="shared" si="7"/>
        <v>0.32333333333333331</v>
      </c>
    </row>
    <row r="474" spans="1:6" x14ac:dyDescent="0.3">
      <c r="A474" t="s">
        <v>186</v>
      </c>
      <c r="B474" t="s">
        <v>2141</v>
      </c>
      <c r="C474">
        <v>2.5</v>
      </c>
      <c r="D474">
        <v>29</v>
      </c>
      <c r="E474">
        <f>IF(OR(B474="vi",B474="ii",B474="pod"),(((D474/100)*(C474*VLOOKUP(B474,'Poids des runes'!A:B,2,FALSE)))+1),(((D474/100)*(C474*VLOOKUP(B474,'Poids des runes'!A:B,2,FALSE)))+1)/VLOOKUP(B474,'Poids des runes'!A:B,2,FALSE))</f>
        <v>0.97499999999999998</v>
      </c>
      <c r="F474">
        <f t="shared" si="7"/>
        <v>0.97499999999999998</v>
      </c>
    </row>
    <row r="475" spans="1:6" x14ac:dyDescent="0.3">
      <c r="A475" t="s">
        <v>187</v>
      </c>
      <c r="B475" t="s">
        <v>2128</v>
      </c>
      <c r="C475">
        <v>25.5</v>
      </c>
      <c r="D475">
        <v>29</v>
      </c>
      <c r="E475">
        <f>IF(OR(B475="vi",B475="ii",B475="pod"),(((D475/100)*(C475*VLOOKUP(B475,'Poids des runes'!A:B,2,FALSE)))+1),(((D475/100)*(C475*VLOOKUP(B475,'Poids des runes'!A:B,2,FALSE)))+1)/VLOOKUP(B475,'Poids des runes'!A:B,2,FALSE))</f>
        <v>2.4790000000000001</v>
      </c>
      <c r="F475">
        <f t="shared" si="7"/>
        <v>2.4790000000000001</v>
      </c>
    </row>
    <row r="476" spans="1:6" x14ac:dyDescent="0.3">
      <c r="A476" t="s">
        <v>187</v>
      </c>
      <c r="B476" t="s">
        <v>2126</v>
      </c>
      <c r="C476">
        <v>13</v>
      </c>
      <c r="D476">
        <v>29</v>
      </c>
      <c r="E476">
        <f>IF(OR(B476="vi",B476="ii",B476="pod"),(((D476/100)*(C476*VLOOKUP(B476,'Poids des runes'!A:B,2,FALSE)))+1),(((D476/100)*(C476*VLOOKUP(B476,'Poids des runes'!A:B,2,FALSE)))+1)/VLOOKUP(B476,'Poids des runes'!A:B,2,FALSE))</f>
        <v>4.7699999999999996</v>
      </c>
      <c r="F476">
        <f t="shared" si="7"/>
        <v>4.7699999999999996</v>
      </c>
    </row>
    <row r="477" spans="1:6" x14ac:dyDescent="0.3">
      <c r="A477" t="s">
        <v>187</v>
      </c>
      <c r="B477" t="s">
        <v>2127</v>
      </c>
      <c r="C477">
        <v>13</v>
      </c>
      <c r="D477">
        <v>29</v>
      </c>
      <c r="E477">
        <f>IF(OR(B477="vi",B477="ii",B477="pod"),(((D477/100)*(C477*VLOOKUP(B477,'Poids des runes'!A:B,2,FALSE)))+1),(((D477/100)*(C477*VLOOKUP(B477,'Poids des runes'!A:B,2,FALSE)))+1)/VLOOKUP(B477,'Poids des runes'!A:B,2,FALSE))</f>
        <v>4.7699999999999996</v>
      </c>
      <c r="F477">
        <f t="shared" si="7"/>
        <v>4.7699999999999996</v>
      </c>
    </row>
    <row r="478" spans="1:6" x14ac:dyDescent="0.3">
      <c r="A478" t="s">
        <v>187</v>
      </c>
      <c r="B478" t="s">
        <v>2129</v>
      </c>
      <c r="C478">
        <v>8</v>
      </c>
      <c r="D478">
        <v>29</v>
      </c>
      <c r="E478">
        <f>IF(OR(B478="vi",B478="ii",B478="pod"),(((D478/100)*(C478*VLOOKUP(B478,'Poids des runes'!A:B,2,FALSE)))+1),(((D478/100)*(C478*VLOOKUP(B478,'Poids des runes'!A:B,2,FALSE)))+1)/VLOOKUP(B478,'Poids des runes'!A:B,2,FALSE))</f>
        <v>3.32</v>
      </c>
      <c r="F478">
        <f t="shared" si="7"/>
        <v>3.32</v>
      </c>
    </row>
    <row r="479" spans="1:6" x14ac:dyDescent="0.3">
      <c r="A479" t="s">
        <v>188</v>
      </c>
      <c r="B479" t="s">
        <v>2128</v>
      </c>
      <c r="C479">
        <v>13</v>
      </c>
      <c r="D479">
        <v>29</v>
      </c>
      <c r="E479">
        <f>IF(OR(B479="vi",B479="ii",B479="pod"),(((D479/100)*(C479*VLOOKUP(B479,'Poids des runes'!A:B,2,FALSE)))+1),(((D479/100)*(C479*VLOOKUP(B479,'Poids des runes'!A:B,2,FALSE)))+1)/VLOOKUP(B479,'Poids des runes'!A:B,2,FALSE))</f>
        <v>1.754</v>
      </c>
      <c r="F479">
        <f t="shared" si="7"/>
        <v>1.754</v>
      </c>
    </row>
    <row r="480" spans="1:6" x14ac:dyDescent="0.3">
      <c r="A480" t="s">
        <v>188</v>
      </c>
      <c r="B480" t="s">
        <v>2130</v>
      </c>
      <c r="C480">
        <v>13</v>
      </c>
      <c r="D480">
        <v>29</v>
      </c>
      <c r="E480">
        <f>IF(OR(B480="vi",B480="ii",B480="pod"),(((D480/100)*(C480*VLOOKUP(B480,'Poids des runes'!A:B,2,FALSE)))+1),(((D480/100)*(C480*VLOOKUP(B480,'Poids des runes'!A:B,2,FALSE)))+1)/VLOOKUP(B480,'Poids des runes'!A:B,2,FALSE))</f>
        <v>4.7699999999999996</v>
      </c>
      <c r="F480">
        <f t="shared" si="7"/>
        <v>4.7699999999999996</v>
      </c>
    </row>
    <row r="481" spans="1:6" x14ac:dyDescent="0.3">
      <c r="A481" t="s">
        <v>188</v>
      </c>
      <c r="B481" t="s">
        <v>2129</v>
      </c>
      <c r="C481">
        <v>8.5</v>
      </c>
      <c r="D481">
        <v>29</v>
      </c>
      <c r="E481">
        <f>IF(OR(B481="vi",B481="ii",B481="pod"),(((D481/100)*(C481*VLOOKUP(B481,'Poids des runes'!A:B,2,FALSE)))+1),(((D481/100)*(C481*VLOOKUP(B481,'Poids des runes'!A:B,2,FALSE)))+1)/VLOOKUP(B481,'Poids des runes'!A:B,2,FALSE))</f>
        <v>3.4649999999999999</v>
      </c>
      <c r="F481">
        <f t="shared" si="7"/>
        <v>3.4649999999999999</v>
      </c>
    </row>
    <row r="482" spans="1:6" x14ac:dyDescent="0.3">
      <c r="A482" t="s">
        <v>188</v>
      </c>
      <c r="B482" t="s">
        <v>2143</v>
      </c>
      <c r="C482">
        <v>1.5</v>
      </c>
      <c r="D482">
        <v>29</v>
      </c>
      <c r="E482">
        <f>IF(OR(B482="vi",B482="ii",B482="pod"),(((D482/100)*(C482*VLOOKUP(B482,'Poids des runes'!A:B,2,FALSE)))+1),(((D482/100)*(C482*VLOOKUP(B482,'Poids des runes'!A:B,2,FALSE)))+1)/VLOOKUP(B482,'Poids des runes'!A:B,2,FALSE))</f>
        <v>0.63500000000000001</v>
      </c>
      <c r="F482">
        <f t="shared" si="7"/>
        <v>0.63500000000000001</v>
      </c>
    </row>
    <row r="483" spans="1:6" x14ac:dyDescent="0.3">
      <c r="A483" t="s">
        <v>188</v>
      </c>
      <c r="B483" t="s">
        <v>2142</v>
      </c>
      <c r="C483">
        <v>2</v>
      </c>
      <c r="D483">
        <v>29</v>
      </c>
      <c r="E483">
        <f>IF(OR(B483="vi",B483="ii",B483="pod"),(((D483/100)*(C483*VLOOKUP(B483,'Poids des runes'!A:B,2,FALSE)))+1),(((D483/100)*(C483*VLOOKUP(B483,'Poids des runes'!A:B,2,FALSE)))+1)/VLOOKUP(B483,'Poids des runes'!A:B,2,FALSE))</f>
        <v>0.78</v>
      </c>
      <c r="F483">
        <f t="shared" si="7"/>
        <v>0.78</v>
      </c>
    </row>
    <row r="484" spans="1:6" x14ac:dyDescent="0.3">
      <c r="A484" t="s">
        <v>189</v>
      </c>
      <c r="B484" t="s">
        <v>2126</v>
      </c>
      <c r="C484">
        <v>8</v>
      </c>
      <c r="D484">
        <v>29</v>
      </c>
      <c r="E484">
        <f>IF(OR(B484="vi",B484="ii",B484="pod"),(((D484/100)*(C484*VLOOKUP(B484,'Poids des runes'!A:B,2,FALSE)))+1),(((D484/100)*(C484*VLOOKUP(B484,'Poids des runes'!A:B,2,FALSE)))+1)/VLOOKUP(B484,'Poids des runes'!A:B,2,FALSE))</f>
        <v>3.32</v>
      </c>
      <c r="F484">
        <f t="shared" si="7"/>
        <v>3.32</v>
      </c>
    </row>
    <row r="485" spans="1:6" x14ac:dyDescent="0.3">
      <c r="A485" t="s">
        <v>189</v>
      </c>
      <c r="B485" t="s">
        <v>2127</v>
      </c>
      <c r="C485">
        <v>8</v>
      </c>
      <c r="D485">
        <v>29</v>
      </c>
      <c r="E485">
        <f>IF(OR(B485="vi",B485="ii",B485="pod"),(((D485/100)*(C485*VLOOKUP(B485,'Poids des runes'!A:B,2,FALSE)))+1),(((D485/100)*(C485*VLOOKUP(B485,'Poids des runes'!A:B,2,FALSE)))+1)/VLOOKUP(B485,'Poids des runes'!A:B,2,FALSE))</f>
        <v>3.32</v>
      </c>
      <c r="F485">
        <f t="shared" si="7"/>
        <v>3.32</v>
      </c>
    </row>
    <row r="486" spans="1:6" x14ac:dyDescent="0.3">
      <c r="A486" t="s">
        <v>189</v>
      </c>
      <c r="B486" t="s">
        <v>2129</v>
      </c>
      <c r="C486">
        <v>6.5</v>
      </c>
      <c r="D486">
        <v>29</v>
      </c>
      <c r="E486">
        <f>IF(OR(B486="vi",B486="ii",B486="pod"),(((D486/100)*(C486*VLOOKUP(B486,'Poids des runes'!A:B,2,FALSE)))+1),(((D486/100)*(C486*VLOOKUP(B486,'Poids des runes'!A:B,2,FALSE)))+1)/VLOOKUP(B486,'Poids des runes'!A:B,2,FALSE))</f>
        <v>2.8849999999999998</v>
      </c>
      <c r="F486">
        <f t="shared" si="7"/>
        <v>2.8849999999999998</v>
      </c>
    </row>
    <row r="487" spans="1:6" x14ac:dyDescent="0.3">
      <c r="A487" t="s">
        <v>189</v>
      </c>
      <c r="B487" t="s">
        <v>2140</v>
      </c>
      <c r="C487">
        <v>1.5</v>
      </c>
      <c r="D487">
        <v>29</v>
      </c>
      <c r="E487">
        <f>IF(OR(B487="vi",B487="ii",B487="pod"),(((D487/100)*(C487*VLOOKUP(B487,'Poids des runes'!A:B,2,FALSE)))+1),(((D487/100)*(C487*VLOOKUP(B487,'Poids des runes'!A:B,2,FALSE)))+1)/VLOOKUP(B487,'Poids des runes'!A:B,2,FALSE))</f>
        <v>0.63500000000000001</v>
      </c>
      <c r="F487">
        <f t="shared" si="7"/>
        <v>0.63500000000000001</v>
      </c>
    </row>
    <row r="488" spans="1:6" x14ac:dyDescent="0.3">
      <c r="A488" t="s">
        <v>189</v>
      </c>
      <c r="B488" t="s">
        <v>2153</v>
      </c>
      <c r="C488">
        <v>1.5</v>
      </c>
      <c r="D488">
        <v>29</v>
      </c>
      <c r="E488">
        <f>IF(OR(B488="vi",B488="ii",B488="pod"),(((D488/100)*(C488*VLOOKUP(B488,'Poids des runes'!A:B,2,FALSE)))+1),(((D488/100)*(C488*VLOOKUP(B488,'Poids des runes'!A:B,2,FALSE)))+1)/VLOOKUP(B488,'Poids des runes'!A:B,2,FALSE))</f>
        <v>0.63500000000000001</v>
      </c>
      <c r="F488">
        <f t="shared" si="7"/>
        <v>0.63500000000000001</v>
      </c>
    </row>
    <row r="489" spans="1:6" x14ac:dyDescent="0.3">
      <c r="A489" t="s">
        <v>189</v>
      </c>
      <c r="B489" t="s">
        <v>2132</v>
      </c>
      <c r="C489">
        <v>40.5</v>
      </c>
      <c r="D489">
        <v>29</v>
      </c>
      <c r="E489">
        <f>IF(OR(B489="vi",B489="ii",B489="pod"),(((D489/100)*(C489*VLOOKUP(B489,'Poids des runes'!A:B,2,FALSE)))+1),(((D489/100)*(C489*VLOOKUP(B489,'Poids des runes'!A:B,2,FALSE)))+1)/VLOOKUP(B489,'Poids des runes'!A:B,2,FALSE))</f>
        <v>2.1745000000000001</v>
      </c>
      <c r="F489">
        <f t="shared" si="7"/>
        <v>2.1745000000000001</v>
      </c>
    </row>
    <row r="490" spans="1:6" x14ac:dyDescent="0.3">
      <c r="A490" t="s">
        <v>189</v>
      </c>
      <c r="B490" t="s">
        <v>2145</v>
      </c>
      <c r="C490">
        <v>4</v>
      </c>
      <c r="D490">
        <v>29</v>
      </c>
      <c r="E490">
        <f>IF(OR(B490="vi",B490="ii",B490="pod"),(((D490/100)*(C490*VLOOKUP(B490,'Poids des runes'!A:B,2,FALSE)))+1),(((D490/100)*(C490*VLOOKUP(B490,'Poids des runes'!A:B,2,FALSE)))+1)/VLOOKUP(B490,'Poids des runes'!A:B,2,FALSE))</f>
        <v>1.66</v>
      </c>
      <c r="F490">
        <f t="shared" si="7"/>
        <v>1.66</v>
      </c>
    </row>
    <row r="491" spans="1:6" x14ac:dyDescent="0.3">
      <c r="A491" t="s">
        <v>190</v>
      </c>
      <c r="B491" t="s">
        <v>2131</v>
      </c>
      <c r="C491">
        <v>35.5</v>
      </c>
      <c r="D491">
        <v>30</v>
      </c>
      <c r="E491">
        <f>IF(OR(B491="vi",B491="ii",B491="pod"),(((D491/100)*(C491*VLOOKUP(B491,'Poids des runes'!A:B,2,FALSE)))+1),(((D491/100)*(C491*VLOOKUP(B491,'Poids des runes'!A:B,2,FALSE)))+1)/VLOOKUP(B491,'Poids des runes'!A:B,2,FALSE))</f>
        <v>11.65</v>
      </c>
      <c r="F491">
        <f t="shared" si="7"/>
        <v>11.65</v>
      </c>
    </row>
    <row r="492" spans="1:6" x14ac:dyDescent="0.3">
      <c r="A492" t="s">
        <v>190</v>
      </c>
      <c r="B492" t="s">
        <v>2151</v>
      </c>
      <c r="C492">
        <v>1.5</v>
      </c>
      <c r="D492">
        <v>30</v>
      </c>
      <c r="E492">
        <f>IF(OR(B492="vi",B492="ii",B492="pod"),(((D492/100)*(C492*VLOOKUP(B492,'Poids des runes'!A:B,2,FALSE)))+1),(((D492/100)*(C492*VLOOKUP(B492,'Poids des runes'!A:B,2,FALSE)))+1)/VLOOKUP(B492,'Poids des runes'!A:B,2,FALSE))</f>
        <v>0.55000000000000004</v>
      </c>
      <c r="F492">
        <f t="shared" si="7"/>
        <v>0.55000000000000004</v>
      </c>
    </row>
    <row r="493" spans="1:6" x14ac:dyDescent="0.3">
      <c r="A493" t="s">
        <v>191</v>
      </c>
      <c r="B493" t="s">
        <v>2128</v>
      </c>
      <c r="C493">
        <v>35.5</v>
      </c>
      <c r="D493">
        <v>30</v>
      </c>
      <c r="E493">
        <f>IF(OR(B493="vi",B493="ii",B493="pod"),(((D493/100)*(C493*VLOOKUP(B493,'Poids des runes'!A:B,2,FALSE)))+1),(((D493/100)*(C493*VLOOKUP(B493,'Poids des runes'!A:B,2,FALSE)))+1)/VLOOKUP(B493,'Poids des runes'!A:B,2,FALSE))</f>
        <v>3.13</v>
      </c>
      <c r="F493">
        <f t="shared" si="7"/>
        <v>3.13</v>
      </c>
    </row>
    <row r="494" spans="1:6" x14ac:dyDescent="0.3">
      <c r="A494" t="s">
        <v>191</v>
      </c>
      <c r="B494" t="s">
        <v>2139</v>
      </c>
      <c r="C494">
        <v>25.5</v>
      </c>
      <c r="D494">
        <v>30</v>
      </c>
      <c r="E494">
        <f>IF(OR(B494="vi",B494="ii",B494="pod"),(((D494/100)*(C494*VLOOKUP(B494,'Poids des runes'!A:B,2,FALSE)))+1),(((D494/100)*(C494*VLOOKUP(B494,'Poids des runes'!A:B,2,FALSE)))+1)/VLOOKUP(B494,'Poids des runes'!A:B,2,FALSE))</f>
        <v>8.1499999999999986</v>
      </c>
      <c r="F494">
        <f t="shared" si="7"/>
        <v>8.1499999999999986</v>
      </c>
    </row>
    <row r="495" spans="1:6" x14ac:dyDescent="0.3">
      <c r="A495" t="s">
        <v>191</v>
      </c>
      <c r="B495" t="s">
        <v>2149</v>
      </c>
      <c r="C495">
        <v>4</v>
      </c>
      <c r="D495">
        <v>30</v>
      </c>
      <c r="E495">
        <f>IF(OR(B495="vi",B495="ii",B495="pod"),(((D495/100)*(C495*VLOOKUP(B495,'Poids des runes'!A:B,2,FALSE)))+1),(((D495/100)*(C495*VLOOKUP(B495,'Poids des runes'!A:B,2,FALSE)))+1)/VLOOKUP(B495,'Poids des runes'!A:B,2,FALSE))</f>
        <v>1.3</v>
      </c>
      <c r="F495">
        <f t="shared" si="7"/>
        <v>1.3</v>
      </c>
    </row>
    <row r="496" spans="1:6" x14ac:dyDescent="0.3">
      <c r="A496" t="s">
        <v>192</v>
      </c>
      <c r="B496" t="s">
        <v>2128</v>
      </c>
      <c r="C496">
        <v>8.5</v>
      </c>
      <c r="D496">
        <v>30</v>
      </c>
      <c r="E496">
        <f>IF(OR(B496="vi",B496="ii",B496="pod"),(((D496/100)*(C496*VLOOKUP(B496,'Poids des runes'!A:B,2,FALSE)))+1),(((D496/100)*(C496*VLOOKUP(B496,'Poids des runes'!A:B,2,FALSE)))+1)/VLOOKUP(B496,'Poids des runes'!A:B,2,FALSE))</f>
        <v>1.51</v>
      </c>
      <c r="F496">
        <f t="shared" si="7"/>
        <v>1.51</v>
      </c>
    </row>
    <row r="497" spans="1:6" x14ac:dyDescent="0.3">
      <c r="A497" t="s">
        <v>192</v>
      </c>
      <c r="B497" t="s">
        <v>2131</v>
      </c>
      <c r="C497">
        <v>25.5</v>
      </c>
      <c r="D497">
        <v>30</v>
      </c>
      <c r="E497">
        <f>IF(OR(B497="vi",B497="ii",B497="pod"),(((D497/100)*(C497*VLOOKUP(B497,'Poids des runes'!A:B,2,FALSE)))+1),(((D497/100)*(C497*VLOOKUP(B497,'Poids des runes'!A:B,2,FALSE)))+1)/VLOOKUP(B497,'Poids des runes'!A:B,2,FALSE))</f>
        <v>8.6499999999999986</v>
      </c>
      <c r="F497">
        <f t="shared" si="7"/>
        <v>8.6499999999999986</v>
      </c>
    </row>
    <row r="498" spans="1:6" x14ac:dyDescent="0.3">
      <c r="A498" t="s">
        <v>192</v>
      </c>
      <c r="B498" t="s">
        <v>2155</v>
      </c>
      <c r="C498">
        <v>1</v>
      </c>
      <c r="D498">
        <v>30</v>
      </c>
      <c r="E498">
        <f>IF(OR(B498="vi",B498="ii",B498="pod"),(((D498/100)*(C498*VLOOKUP(B498,'Poids des runes'!A:B,2,FALSE)))+1),(((D498/100)*(C498*VLOOKUP(B498,'Poids des runes'!A:B,2,FALSE)))+1)/VLOOKUP(B498,'Poids des runes'!A:B,2,FALSE))</f>
        <v>0.31960784313725482</v>
      </c>
      <c r="F498">
        <f t="shared" si="7"/>
        <v>0.31960784313725482</v>
      </c>
    </row>
    <row r="499" spans="1:6" x14ac:dyDescent="0.3">
      <c r="A499" t="s">
        <v>192</v>
      </c>
      <c r="B499" t="s">
        <v>2133</v>
      </c>
      <c r="C499">
        <v>2</v>
      </c>
      <c r="D499">
        <v>30</v>
      </c>
      <c r="E499">
        <f>IF(OR(B499="vi",B499="ii",B499="pod"),(((D499/100)*(C499*VLOOKUP(B499,'Poids des runes'!A:B,2,FALSE)))+1),(((D499/100)*(C499*VLOOKUP(B499,'Poids des runes'!A:B,2,FALSE)))+1)/VLOOKUP(B499,'Poids des runes'!A:B,2,FALSE))</f>
        <v>0.8</v>
      </c>
      <c r="F499">
        <f t="shared" si="7"/>
        <v>0.8</v>
      </c>
    </row>
    <row r="500" spans="1:6" x14ac:dyDescent="0.3">
      <c r="A500" t="s">
        <v>193</v>
      </c>
      <c r="B500" t="s">
        <v>2128</v>
      </c>
      <c r="C500">
        <v>13</v>
      </c>
      <c r="D500">
        <v>30</v>
      </c>
      <c r="E500">
        <f>IF(OR(B500="vi",B500="ii",B500="pod"),(((D500/100)*(C500*VLOOKUP(B500,'Poids des runes'!A:B,2,FALSE)))+1),(((D500/100)*(C500*VLOOKUP(B500,'Poids des runes'!A:B,2,FALSE)))+1)/VLOOKUP(B500,'Poids des runes'!A:B,2,FALSE))</f>
        <v>1.78</v>
      </c>
      <c r="F500">
        <f t="shared" si="7"/>
        <v>1.78</v>
      </c>
    </row>
    <row r="501" spans="1:6" x14ac:dyDescent="0.3">
      <c r="A501" t="s">
        <v>193</v>
      </c>
      <c r="B501" t="s">
        <v>2126</v>
      </c>
      <c r="C501">
        <v>13</v>
      </c>
      <c r="D501">
        <v>30</v>
      </c>
      <c r="E501">
        <f>IF(OR(B501="vi",B501="ii",B501="pod"),(((D501/100)*(C501*VLOOKUP(B501,'Poids des runes'!A:B,2,FALSE)))+1),(((D501/100)*(C501*VLOOKUP(B501,'Poids des runes'!A:B,2,FALSE)))+1)/VLOOKUP(B501,'Poids des runes'!A:B,2,FALSE))</f>
        <v>4.9000000000000004</v>
      </c>
      <c r="F501">
        <f t="shared" si="7"/>
        <v>4.9000000000000004</v>
      </c>
    </row>
    <row r="502" spans="1:6" x14ac:dyDescent="0.3">
      <c r="A502" t="s">
        <v>193</v>
      </c>
      <c r="B502" t="s">
        <v>2129</v>
      </c>
      <c r="C502">
        <v>13</v>
      </c>
      <c r="D502">
        <v>30</v>
      </c>
      <c r="E502">
        <f>IF(OR(B502="vi",B502="ii",B502="pod"),(((D502/100)*(C502*VLOOKUP(B502,'Poids des runes'!A:B,2,FALSE)))+1),(((D502/100)*(C502*VLOOKUP(B502,'Poids des runes'!A:B,2,FALSE)))+1)/VLOOKUP(B502,'Poids des runes'!A:B,2,FALSE))</f>
        <v>4.9000000000000004</v>
      </c>
      <c r="F502">
        <f t="shared" si="7"/>
        <v>4.9000000000000004</v>
      </c>
    </row>
    <row r="503" spans="1:6" x14ac:dyDescent="0.3">
      <c r="A503" t="s">
        <v>194</v>
      </c>
      <c r="B503" t="s">
        <v>2128</v>
      </c>
      <c r="C503">
        <v>13</v>
      </c>
      <c r="D503">
        <v>30</v>
      </c>
      <c r="E503">
        <f>IF(OR(B503="vi",B503="ii",B503="pod"),(((D503/100)*(C503*VLOOKUP(B503,'Poids des runes'!A:B,2,FALSE)))+1),(((D503/100)*(C503*VLOOKUP(B503,'Poids des runes'!A:B,2,FALSE)))+1)/VLOOKUP(B503,'Poids des runes'!A:B,2,FALSE))</f>
        <v>1.78</v>
      </c>
      <c r="F503">
        <f t="shared" si="7"/>
        <v>1.78</v>
      </c>
    </row>
    <row r="504" spans="1:6" x14ac:dyDescent="0.3">
      <c r="A504" t="s">
        <v>194</v>
      </c>
      <c r="B504" t="s">
        <v>2131</v>
      </c>
      <c r="C504">
        <v>13</v>
      </c>
      <c r="D504">
        <v>30</v>
      </c>
      <c r="E504">
        <f>IF(OR(B504="vi",B504="ii",B504="pod"),(((D504/100)*(C504*VLOOKUP(B504,'Poids des runes'!A:B,2,FALSE)))+1),(((D504/100)*(C504*VLOOKUP(B504,'Poids des runes'!A:B,2,FALSE)))+1)/VLOOKUP(B504,'Poids des runes'!A:B,2,FALSE))</f>
        <v>4.9000000000000004</v>
      </c>
      <c r="F504">
        <f t="shared" si="7"/>
        <v>4.9000000000000004</v>
      </c>
    </row>
    <row r="505" spans="1:6" x14ac:dyDescent="0.3">
      <c r="A505" t="s">
        <v>194</v>
      </c>
      <c r="B505" t="s">
        <v>2129</v>
      </c>
      <c r="C505">
        <v>13</v>
      </c>
      <c r="D505">
        <v>30</v>
      </c>
      <c r="E505">
        <f>IF(OR(B505="vi",B505="ii",B505="pod"),(((D505/100)*(C505*VLOOKUP(B505,'Poids des runes'!A:B,2,FALSE)))+1),(((D505/100)*(C505*VLOOKUP(B505,'Poids des runes'!A:B,2,FALSE)))+1)/VLOOKUP(B505,'Poids des runes'!A:B,2,FALSE))</f>
        <v>4.9000000000000004</v>
      </c>
      <c r="F505">
        <f t="shared" si="7"/>
        <v>4.9000000000000004</v>
      </c>
    </row>
    <row r="506" spans="1:6" x14ac:dyDescent="0.3">
      <c r="A506" t="s">
        <v>195</v>
      </c>
      <c r="B506" t="s">
        <v>2128</v>
      </c>
      <c r="C506">
        <v>8</v>
      </c>
      <c r="D506">
        <v>30</v>
      </c>
      <c r="E506">
        <f>IF(OR(B506="vi",B506="ii",B506="pod"),(((D506/100)*(C506*VLOOKUP(B506,'Poids des runes'!A:B,2,FALSE)))+1),(((D506/100)*(C506*VLOOKUP(B506,'Poids des runes'!A:B,2,FALSE)))+1)/VLOOKUP(B506,'Poids des runes'!A:B,2,FALSE))</f>
        <v>1.48</v>
      </c>
      <c r="F506">
        <f t="shared" si="7"/>
        <v>1.48</v>
      </c>
    </row>
    <row r="507" spans="1:6" x14ac:dyDescent="0.3">
      <c r="A507" t="s">
        <v>195</v>
      </c>
      <c r="B507" t="s">
        <v>2130</v>
      </c>
      <c r="C507">
        <v>10.5</v>
      </c>
      <c r="D507">
        <v>30</v>
      </c>
      <c r="E507">
        <f>IF(OR(B507="vi",B507="ii",B507="pod"),(((D507/100)*(C507*VLOOKUP(B507,'Poids des runes'!A:B,2,FALSE)))+1),(((D507/100)*(C507*VLOOKUP(B507,'Poids des runes'!A:B,2,FALSE)))+1)/VLOOKUP(B507,'Poids des runes'!A:B,2,FALSE))</f>
        <v>4.1500000000000004</v>
      </c>
      <c r="F507">
        <f t="shared" si="7"/>
        <v>4.1500000000000004</v>
      </c>
    </row>
    <row r="508" spans="1:6" x14ac:dyDescent="0.3">
      <c r="A508" t="s">
        <v>196</v>
      </c>
      <c r="B508" t="s">
        <v>2128</v>
      </c>
      <c r="C508">
        <v>18</v>
      </c>
      <c r="D508">
        <v>30</v>
      </c>
      <c r="E508">
        <f>IF(OR(B508="vi",B508="ii",B508="pod"),(((D508/100)*(C508*VLOOKUP(B508,'Poids des runes'!A:B,2,FALSE)))+1),(((D508/100)*(C508*VLOOKUP(B508,'Poids des runes'!A:B,2,FALSE)))+1)/VLOOKUP(B508,'Poids des runes'!A:B,2,FALSE))</f>
        <v>2.08</v>
      </c>
      <c r="F508">
        <f t="shared" si="7"/>
        <v>2.08</v>
      </c>
    </row>
    <row r="509" spans="1:6" x14ac:dyDescent="0.3">
      <c r="A509" t="s">
        <v>196</v>
      </c>
      <c r="B509" t="s">
        <v>2148</v>
      </c>
      <c r="C509">
        <v>2.5</v>
      </c>
      <c r="D509">
        <v>30</v>
      </c>
      <c r="E509">
        <f>IF(OR(B509="vi",B509="ii",B509="pod"),(((D509/100)*(C509*VLOOKUP(B509,'Poids des runes'!A:B,2,FALSE)))+1),(((D509/100)*(C509*VLOOKUP(B509,'Poids des runes'!A:B,2,FALSE)))+1)/VLOOKUP(B509,'Poids des runes'!A:B,2,FALSE))</f>
        <v>0.91666666666666663</v>
      </c>
      <c r="F509">
        <f t="shared" si="7"/>
        <v>0.91666666666666663</v>
      </c>
    </row>
    <row r="510" spans="1:6" x14ac:dyDescent="0.3">
      <c r="A510" t="s">
        <v>196</v>
      </c>
      <c r="B510" t="s">
        <v>2147</v>
      </c>
      <c r="C510">
        <v>2.5</v>
      </c>
      <c r="D510">
        <v>30</v>
      </c>
      <c r="E510">
        <f>IF(OR(B510="vi",B510="ii",B510="pod"),(((D510/100)*(C510*VLOOKUP(B510,'Poids des runes'!A:B,2,FALSE)))+1),(((D510/100)*(C510*VLOOKUP(B510,'Poids des runes'!A:B,2,FALSE)))+1)/VLOOKUP(B510,'Poids des runes'!A:B,2,FALSE))</f>
        <v>0.91666666666666663</v>
      </c>
      <c r="F510">
        <f t="shared" si="7"/>
        <v>0.91666666666666663</v>
      </c>
    </row>
    <row r="511" spans="1:6" x14ac:dyDescent="0.3">
      <c r="A511" t="s">
        <v>196</v>
      </c>
      <c r="B511" t="s">
        <v>2135</v>
      </c>
      <c r="C511">
        <v>2.5</v>
      </c>
      <c r="D511">
        <v>30</v>
      </c>
      <c r="E511">
        <f>IF(OR(B511="vi",B511="ii",B511="pod"),(((D511/100)*(C511*VLOOKUP(B511,'Poids des runes'!A:B,2,FALSE)))+1),(((D511/100)*(C511*VLOOKUP(B511,'Poids des runes'!A:B,2,FALSE)))+1)/VLOOKUP(B511,'Poids des runes'!A:B,2,FALSE))</f>
        <v>0.91666666666666663</v>
      </c>
      <c r="F511">
        <f t="shared" si="7"/>
        <v>0.91666666666666663</v>
      </c>
    </row>
    <row r="512" spans="1:6" x14ac:dyDescent="0.3">
      <c r="A512" t="s">
        <v>196</v>
      </c>
      <c r="B512" t="s">
        <v>2157</v>
      </c>
      <c r="C512">
        <v>2.5</v>
      </c>
      <c r="D512">
        <v>30</v>
      </c>
      <c r="E512">
        <f>IF(OR(B512="vi",B512="ii",B512="pod"),(((D512/100)*(C512*VLOOKUP(B512,'Poids des runes'!A:B,2,FALSE)))+1),(((D512/100)*(C512*VLOOKUP(B512,'Poids des runes'!A:B,2,FALSE)))+1)/VLOOKUP(B512,'Poids des runes'!A:B,2,FALSE))</f>
        <v>0.91666666666666663</v>
      </c>
      <c r="F512">
        <f t="shared" si="7"/>
        <v>0.91666666666666663</v>
      </c>
    </row>
    <row r="513" spans="1:6" x14ac:dyDescent="0.3">
      <c r="A513" t="s">
        <v>197</v>
      </c>
      <c r="B513" t="s">
        <v>2128</v>
      </c>
      <c r="C513">
        <v>23</v>
      </c>
      <c r="D513">
        <v>30</v>
      </c>
      <c r="E513">
        <f>IF(OR(B513="vi",B513="ii",B513="pod"),(((D513/100)*(C513*VLOOKUP(B513,'Poids des runes'!A:B,2,FALSE)))+1),(((D513/100)*(C513*VLOOKUP(B513,'Poids des runes'!A:B,2,FALSE)))+1)/VLOOKUP(B513,'Poids des runes'!A:B,2,FALSE))</f>
        <v>2.38</v>
      </c>
      <c r="F513">
        <f t="shared" si="7"/>
        <v>2.38</v>
      </c>
    </row>
    <row r="514" spans="1:6" x14ac:dyDescent="0.3">
      <c r="A514" t="s">
        <v>197</v>
      </c>
      <c r="B514" t="s">
        <v>2127</v>
      </c>
      <c r="C514">
        <v>25.5</v>
      </c>
      <c r="D514">
        <v>30</v>
      </c>
      <c r="E514">
        <f>IF(OR(B514="vi",B514="ii",B514="pod"),(((D514/100)*(C514*VLOOKUP(B514,'Poids des runes'!A:B,2,FALSE)))+1),(((D514/100)*(C514*VLOOKUP(B514,'Poids des runes'!A:B,2,FALSE)))+1)/VLOOKUP(B514,'Poids des runes'!A:B,2,FALSE))</f>
        <v>8.6499999999999986</v>
      </c>
      <c r="F514">
        <f t="shared" si="7"/>
        <v>8.6499999999999986</v>
      </c>
    </row>
    <row r="515" spans="1:6" x14ac:dyDescent="0.3">
      <c r="A515" t="s">
        <v>197</v>
      </c>
      <c r="B515" t="s">
        <v>2151</v>
      </c>
      <c r="C515">
        <v>2</v>
      </c>
      <c r="D515">
        <v>30</v>
      </c>
      <c r="E515">
        <f>IF(OR(B515="vi",B515="ii",B515="pod"),(((D515/100)*(C515*VLOOKUP(B515,'Poids des runes'!A:B,2,FALSE)))+1),(((D515/100)*(C515*VLOOKUP(B515,'Poids des runes'!A:B,2,FALSE)))+1)/VLOOKUP(B515,'Poids des runes'!A:B,2,FALSE))</f>
        <v>0.7</v>
      </c>
      <c r="F515">
        <f t="shared" ref="F515:F578" si="8">E515</f>
        <v>0.7</v>
      </c>
    </row>
    <row r="516" spans="1:6" x14ac:dyDescent="0.3">
      <c r="A516" t="s">
        <v>197</v>
      </c>
      <c r="B516" t="s">
        <v>2138</v>
      </c>
      <c r="C516">
        <v>2.5</v>
      </c>
      <c r="D516">
        <v>30</v>
      </c>
      <c r="E516">
        <f>IF(OR(B516="vi",B516="ii",B516="pod"),(((D516/100)*(C516*VLOOKUP(B516,'Poids des runes'!A:B,2,FALSE)))+1),(((D516/100)*(C516*VLOOKUP(B516,'Poids des runes'!A:B,2,FALSE)))+1)/VLOOKUP(B516,'Poids des runes'!A:B,2,FALSE))</f>
        <v>1</v>
      </c>
      <c r="F516">
        <f t="shared" si="8"/>
        <v>1</v>
      </c>
    </row>
    <row r="517" spans="1:6" x14ac:dyDescent="0.3">
      <c r="A517" t="s">
        <v>198</v>
      </c>
      <c r="B517" t="s">
        <v>2127</v>
      </c>
      <c r="C517">
        <v>45.5</v>
      </c>
      <c r="D517">
        <v>30</v>
      </c>
      <c r="E517">
        <f>IF(OR(B517="vi",B517="ii",B517="pod"),(((D517/100)*(C517*VLOOKUP(B517,'Poids des runes'!A:B,2,FALSE)))+1),(((D517/100)*(C517*VLOOKUP(B517,'Poids des runes'!A:B,2,FALSE)))+1)/VLOOKUP(B517,'Poids des runes'!A:B,2,FALSE))</f>
        <v>14.65</v>
      </c>
      <c r="F517">
        <f t="shared" si="8"/>
        <v>14.65</v>
      </c>
    </row>
    <row r="518" spans="1:6" x14ac:dyDescent="0.3">
      <c r="A518" t="s">
        <v>199</v>
      </c>
      <c r="B518" t="s">
        <v>2128</v>
      </c>
      <c r="C518">
        <v>20.5</v>
      </c>
      <c r="D518">
        <v>30</v>
      </c>
      <c r="E518">
        <f>IF(OR(B518="vi",B518="ii",B518="pod"),(((D518/100)*(C518*VLOOKUP(B518,'Poids des runes'!A:B,2,FALSE)))+1),(((D518/100)*(C518*VLOOKUP(B518,'Poids des runes'!A:B,2,FALSE)))+1)/VLOOKUP(B518,'Poids des runes'!A:B,2,FALSE))</f>
        <v>2.2300000000000004</v>
      </c>
      <c r="F518">
        <f t="shared" si="8"/>
        <v>2.2300000000000004</v>
      </c>
    </row>
    <row r="519" spans="1:6" x14ac:dyDescent="0.3">
      <c r="A519" t="s">
        <v>199</v>
      </c>
      <c r="B519" t="s">
        <v>2130</v>
      </c>
      <c r="C519">
        <v>8.5</v>
      </c>
      <c r="D519">
        <v>30</v>
      </c>
      <c r="E519">
        <f>IF(OR(B519="vi",B519="ii",B519="pod"),(((D519/100)*(C519*VLOOKUP(B519,'Poids des runes'!A:B,2,FALSE)))+1),(((D519/100)*(C519*VLOOKUP(B519,'Poids des runes'!A:B,2,FALSE)))+1)/VLOOKUP(B519,'Poids des runes'!A:B,2,FALSE))</f>
        <v>3.55</v>
      </c>
      <c r="F519">
        <f t="shared" si="8"/>
        <v>3.55</v>
      </c>
    </row>
    <row r="520" spans="1:6" x14ac:dyDescent="0.3">
      <c r="A520" t="s">
        <v>199</v>
      </c>
      <c r="B520" t="s">
        <v>2131</v>
      </c>
      <c r="C520">
        <v>8.5</v>
      </c>
      <c r="D520">
        <v>30</v>
      </c>
      <c r="E520">
        <f>IF(OR(B520="vi",B520="ii",B520="pod"),(((D520/100)*(C520*VLOOKUP(B520,'Poids des runes'!A:B,2,FALSE)))+1),(((D520/100)*(C520*VLOOKUP(B520,'Poids des runes'!A:B,2,FALSE)))+1)/VLOOKUP(B520,'Poids des runes'!A:B,2,FALSE))</f>
        <v>3.55</v>
      </c>
      <c r="F520">
        <f t="shared" si="8"/>
        <v>3.55</v>
      </c>
    </row>
    <row r="521" spans="1:6" x14ac:dyDescent="0.3">
      <c r="A521" t="s">
        <v>199</v>
      </c>
      <c r="B521" t="s">
        <v>2129</v>
      </c>
      <c r="C521">
        <v>8</v>
      </c>
      <c r="D521">
        <v>30</v>
      </c>
      <c r="E521">
        <f>IF(OR(B521="vi",B521="ii",B521="pod"),(((D521/100)*(C521*VLOOKUP(B521,'Poids des runes'!A:B,2,FALSE)))+1),(((D521/100)*(C521*VLOOKUP(B521,'Poids des runes'!A:B,2,FALSE)))+1)/VLOOKUP(B521,'Poids des runes'!A:B,2,FALSE))</f>
        <v>3.4</v>
      </c>
      <c r="F521">
        <f t="shared" si="8"/>
        <v>3.4</v>
      </c>
    </row>
    <row r="522" spans="1:6" x14ac:dyDescent="0.3">
      <c r="A522" t="s">
        <v>199</v>
      </c>
      <c r="B522" t="s">
        <v>2160</v>
      </c>
      <c r="C522">
        <v>3.5</v>
      </c>
      <c r="D522">
        <v>30</v>
      </c>
      <c r="E522">
        <f>IF(OR(B522="vi",B522="ii",B522="pod"),(((D522/100)*(C522*VLOOKUP(B522,'Poids des runes'!A:B,2,FALSE)))+1),(((D522/100)*(C522*VLOOKUP(B522,'Poids des runes'!A:B,2,FALSE)))+1)/VLOOKUP(B522,'Poids des runes'!A:B,2,FALSE))</f>
        <v>1.1928571428571428</v>
      </c>
      <c r="F522">
        <f t="shared" si="8"/>
        <v>1.1928571428571428</v>
      </c>
    </row>
    <row r="523" spans="1:6" x14ac:dyDescent="0.3">
      <c r="A523" t="s">
        <v>200</v>
      </c>
      <c r="B523" t="s">
        <v>2128</v>
      </c>
      <c r="C523">
        <v>23</v>
      </c>
      <c r="D523">
        <v>30</v>
      </c>
      <c r="E523">
        <f>IF(OR(B523="vi",B523="ii",B523="pod"),(((D523/100)*(C523*VLOOKUP(B523,'Poids des runes'!A:B,2,FALSE)))+1),(((D523/100)*(C523*VLOOKUP(B523,'Poids des runes'!A:B,2,FALSE)))+1)/VLOOKUP(B523,'Poids des runes'!A:B,2,FALSE))</f>
        <v>2.38</v>
      </c>
      <c r="F523">
        <f t="shared" si="8"/>
        <v>2.38</v>
      </c>
    </row>
    <row r="524" spans="1:6" x14ac:dyDescent="0.3">
      <c r="A524" t="s">
        <v>200</v>
      </c>
      <c r="B524" t="s">
        <v>2126</v>
      </c>
      <c r="C524">
        <v>13</v>
      </c>
      <c r="D524">
        <v>30</v>
      </c>
      <c r="E524">
        <f>IF(OR(B524="vi",B524="ii",B524="pod"),(((D524/100)*(C524*VLOOKUP(B524,'Poids des runes'!A:B,2,FALSE)))+1),(((D524/100)*(C524*VLOOKUP(B524,'Poids des runes'!A:B,2,FALSE)))+1)/VLOOKUP(B524,'Poids des runes'!A:B,2,FALSE))</f>
        <v>4.9000000000000004</v>
      </c>
      <c r="F524">
        <f t="shared" si="8"/>
        <v>4.9000000000000004</v>
      </c>
    </row>
    <row r="525" spans="1:6" x14ac:dyDescent="0.3">
      <c r="A525" t="s">
        <v>200</v>
      </c>
      <c r="B525" t="s">
        <v>2127</v>
      </c>
      <c r="C525">
        <v>13</v>
      </c>
      <c r="D525">
        <v>30</v>
      </c>
      <c r="E525">
        <f>IF(OR(B525="vi",B525="ii",B525="pod"),(((D525/100)*(C525*VLOOKUP(B525,'Poids des runes'!A:B,2,FALSE)))+1),(((D525/100)*(C525*VLOOKUP(B525,'Poids des runes'!A:B,2,FALSE)))+1)/VLOOKUP(B525,'Poids des runes'!A:B,2,FALSE))</f>
        <v>4.9000000000000004</v>
      </c>
      <c r="F525">
        <f t="shared" si="8"/>
        <v>4.9000000000000004</v>
      </c>
    </row>
    <row r="526" spans="1:6" x14ac:dyDescent="0.3">
      <c r="A526" t="s">
        <v>200</v>
      </c>
      <c r="B526" t="s">
        <v>2129</v>
      </c>
      <c r="C526">
        <v>5</v>
      </c>
      <c r="D526">
        <v>30</v>
      </c>
      <c r="E526">
        <f>IF(OR(B526="vi",B526="ii",B526="pod"),(((D526/100)*(C526*VLOOKUP(B526,'Poids des runes'!A:B,2,FALSE)))+1),(((D526/100)*(C526*VLOOKUP(B526,'Poids des runes'!A:B,2,FALSE)))+1)/VLOOKUP(B526,'Poids des runes'!A:B,2,FALSE))</f>
        <v>2.5</v>
      </c>
      <c r="F526">
        <f t="shared" si="8"/>
        <v>2.5</v>
      </c>
    </row>
    <row r="527" spans="1:6" x14ac:dyDescent="0.3">
      <c r="A527" t="s">
        <v>200</v>
      </c>
      <c r="B527" t="s">
        <v>2132</v>
      </c>
      <c r="C527">
        <v>80.5</v>
      </c>
      <c r="D527">
        <v>30</v>
      </c>
      <c r="E527">
        <f>IF(OR(B527="vi",B527="ii",B527="pod"),(((D527/100)*(C527*VLOOKUP(B527,'Poids des runes'!A:B,2,FALSE)))+1),(((D527/100)*(C527*VLOOKUP(B527,'Poids des runes'!A:B,2,FALSE)))+1)/VLOOKUP(B527,'Poids des runes'!A:B,2,FALSE))</f>
        <v>3.415</v>
      </c>
      <c r="F527">
        <f t="shared" si="8"/>
        <v>3.415</v>
      </c>
    </row>
    <row r="528" spans="1:6" x14ac:dyDescent="0.3">
      <c r="A528" t="s">
        <v>201</v>
      </c>
      <c r="B528" t="s">
        <v>2128</v>
      </c>
      <c r="C528">
        <v>35.5</v>
      </c>
      <c r="D528">
        <v>31</v>
      </c>
      <c r="E528">
        <f>IF(OR(B528="vi",B528="ii",B528="pod"),(((D528/100)*(C528*VLOOKUP(B528,'Poids des runes'!A:B,2,FALSE)))+1),(((D528/100)*(C528*VLOOKUP(B528,'Poids des runes'!A:B,2,FALSE)))+1)/VLOOKUP(B528,'Poids des runes'!A:B,2,FALSE))</f>
        <v>3.2010000000000001</v>
      </c>
      <c r="F528">
        <f t="shared" si="8"/>
        <v>3.2010000000000001</v>
      </c>
    </row>
    <row r="529" spans="1:6" x14ac:dyDescent="0.3">
      <c r="A529" t="s">
        <v>201</v>
      </c>
      <c r="B529" t="s">
        <v>2131</v>
      </c>
      <c r="C529">
        <v>35.5</v>
      </c>
      <c r="D529">
        <v>31</v>
      </c>
      <c r="E529">
        <f>IF(OR(B529="vi",B529="ii",B529="pod"),(((D529/100)*(C529*VLOOKUP(B529,'Poids des runes'!A:B,2,FALSE)))+1),(((D529/100)*(C529*VLOOKUP(B529,'Poids des runes'!A:B,2,FALSE)))+1)/VLOOKUP(B529,'Poids des runes'!A:B,2,FALSE))</f>
        <v>12.005000000000001</v>
      </c>
      <c r="F529">
        <f t="shared" si="8"/>
        <v>12.005000000000001</v>
      </c>
    </row>
    <row r="530" spans="1:6" x14ac:dyDescent="0.3">
      <c r="A530" t="s">
        <v>201</v>
      </c>
      <c r="B530" t="s">
        <v>2151</v>
      </c>
      <c r="C530">
        <v>2</v>
      </c>
      <c r="D530">
        <v>31</v>
      </c>
      <c r="E530">
        <f>IF(OR(B530="vi",B530="ii",B530="pod"),(((D530/100)*(C530*VLOOKUP(B530,'Poids des runes'!A:B,2,FALSE)))+1),(((D530/100)*(C530*VLOOKUP(B530,'Poids des runes'!A:B,2,FALSE)))+1)/VLOOKUP(B530,'Poids des runes'!A:B,2,FALSE))</f>
        <v>0.72</v>
      </c>
      <c r="F530">
        <f t="shared" si="8"/>
        <v>0.72</v>
      </c>
    </row>
    <row r="531" spans="1:6" x14ac:dyDescent="0.3">
      <c r="A531" t="s">
        <v>201</v>
      </c>
      <c r="B531" t="s">
        <v>2133</v>
      </c>
      <c r="C531">
        <v>2</v>
      </c>
      <c r="D531">
        <v>31</v>
      </c>
      <c r="E531">
        <f>IF(OR(B531="vi",B531="ii",B531="pod"),(((D531/100)*(C531*VLOOKUP(B531,'Poids des runes'!A:B,2,FALSE)))+1),(((D531/100)*(C531*VLOOKUP(B531,'Poids des runes'!A:B,2,FALSE)))+1)/VLOOKUP(B531,'Poids des runes'!A:B,2,FALSE))</f>
        <v>0.82</v>
      </c>
      <c r="F531">
        <f t="shared" si="8"/>
        <v>0.82</v>
      </c>
    </row>
    <row r="532" spans="1:6" x14ac:dyDescent="0.3">
      <c r="A532" t="s">
        <v>202</v>
      </c>
      <c r="B532" t="s">
        <v>2128</v>
      </c>
      <c r="C532">
        <v>25.5</v>
      </c>
      <c r="D532">
        <v>31</v>
      </c>
      <c r="E532">
        <f>IF(OR(B532="vi",B532="ii",B532="pod"),(((D532/100)*(C532*VLOOKUP(B532,'Poids des runes'!A:B,2,FALSE)))+1),(((D532/100)*(C532*VLOOKUP(B532,'Poids des runes'!A:B,2,FALSE)))+1)/VLOOKUP(B532,'Poids des runes'!A:B,2,FALSE))</f>
        <v>2.5810000000000004</v>
      </c>
      <c r="F532">
        <f t="shared" si="8"/>
        <v>2.5810000000000004</v>
      </c>
    </row>
    <row r="533" spans="1:6" x14ac:dyDescent="0.3">
      <c r="A533" t="s">
        <v>202</v>
      </c>
      <c r="B533" t="s">
        <v>2130</v>
      </c>
      <c r="C533">
        <v>25.5</v>
      </c>
      <c r="D533">
        <v>31</v>
      </c>
      <c r="E533">
        <f>IF(OR(B533="vi",B533="ii",B533="pod"),(((D533/100)*(C533*VLOOKUP(B533,'Poids des runes'!A:B,2,FALSE)))+1),(((D533/100)*(C533*VLOOKUP(B533,'Poids des runes'!A:B,2,FALSE)))+1)/VLOOKUP(B533,'Poids des runes'!A:B,2,FALSE))</f>
        <v>8.9050000000000011</v>
      </c>
      <c r="F533">
        <f t="shared" si="8"/>
        <v>8.9050000000000011</v>
      </c>
    </row>
    <row r="534" spans="1:6" x14ac:dyDescent="0.3">
      <c r="A534" t="s">
        <v>202</v>
      </c>
      <c r="B534" t="s">
        <v>2143</v>
      </c>
      <c r="C534">
        <v>2</v>
      </c>
      <c r="D534">
        <v>31</v>
      </c>
      <c r="E534">
        <f>IF(OR(B534="vi",B534="ii",B534="pod"),(((D534/100)*(C534*VLOOKUP(B534,'Poids des runes'!A:B,2,FALSE)))+1),(((D534/100)*(C534*VLOOKUP(B534,'Poids des runes'!A:B,2,FALSE)))+1)/VLOOKUP(B534,'Poids des runes'!A:B,2,FALSE))</f>
        <v>0.82</v>
      </c>
      <c r="F534">
        <f t="shared" si="8"/>
        <v>0.82</v>
      </c>
    </row>
    <row r="535" spans="1:6" x14ac:dyDescent="0.3">
      <c r="A535" t="s">
        <v>202</v>
      </c>
      <c r="B535" t="s">
        <v>2138</v>
      </c>
      <c r="C535">
        <v>2.5</v>
      </c>
      <c r="D535">
        <v>31</v>
      </c>
      <c r="E535">
        <f>IF(OR(B535="vi",B535="ii",B535="pod"),(((D535/100)*(C535*VLOOKUP(B535,'Poids des runes'!A:B,2,FALSE)))+1),(((D535/100)*(C535*VLOOKUP(B535,'Poids des runes'!A:B,2,FALSE)))+1)/VLOOKUP(B535,'Poids des runes'!A:B,2,FALSE))</f>
        <v>1.0249999999999999</v>
      </c>
      <c r="F535">
        <f t="shared" si="8"/>
        <v>1.0249999999999999</v>
      </c>
    </row>
    <row r="536" spans="1:6" x14ac:dyDescent="0.3">
      <c r="A536" t="s">
        <v>203</v>
      </c>
      <c r="B536" t="s">
        <v>2128</v>
      </c>
      <c r="C536">
        <v>50.5</v>
      </c>
      <c r="D536">
        <v>31</v>
      </c>
      <c r="E536">
        <f>IF(OR(B536="vi",B536="ii",B536="pod"),(((D536/100)*(C536*VLOOKUP(B536,'Poids des runes'!A:B,2,FALSE)))+1),(((D536/100)*(C536*VLOOKUP(B536,'Poids des runes'!A:B,2,FALSE)))+1)/VLOOKUP(B536,'Poids des runes'!A:B,2,FALSE))</f>
        <v>4.1310000000000002</v>
      </c>
      <c r="F536">
        <f t="shared" si="8"/>
        <v>4.1310000000000002</v>
      </c>
    </row>
    <row r="537" spans="1:6" x14ac:dyDescent="0.3">
      <c r="A537" t="s">
        <v>203</v>
      </c>
      <c r="B537" t="s">
        <v>2150</v>
      </c>
      <c r="C537">
        <v>1</v>
      </c>
      <c r="D537">
        <v>31</v>
      </c>
      <c r="E537">
        <f>IF(OR(B537="vi",B537="ii",B537="pod"),(((D537/100)*(C537*VLOOKUP(B537,'Poids des runes'!A:B,2,FALSE)))+1),(((D537/100)*(C537*VLOOKUP(B537,'Poids des runes'!A:B,2,FALSE)))+1)/VLOOKUP(B537,'Poids des runes'!A:B,2,FALSE))</f>
        <v>0.34333333333333338</v>
      </c>
      <c r="F537">
        <f t="shared" si="8"/>
        <v>0.34333333333333338</v>
      </c>
    </row>
    <row r="538" spans="1:6" x14ac:dyDescent="0.3">
      <c r="A538" t="s">
        <v>203</v>
      </c>
      <c r="B538" t="s">
        <v>2141</v>
      </c>
      <c r="C538">
        <v>2.5</v>
      </c>
      <c r="D538">
        <v>31</v>
      </c>
      <c r="E538">
        <f>IF(OR(B538="vi",B538="ii",B538="pod"),(((D538/100)*(C538*VLOOKUP(B538,'Poids des runes'!A:B,2,FALSE)))+1),(((D538/100)*(C538*VLOOKUP(B538,'Poids des runes'!A:B,2,FALSE)))+1)/VLOOKUP(B538,'Poids des runes'!A:B,2,FALSE))</f>
        <v>1.0249999999999999</v>
      </c>
      <c r="F538">
        <f t="shared" si="8"/>
        <v>1.0249999999999999</v>
      </c>
    </row>
    <row r="539" spans="1:6" x14ac:dyDescent="0.3">
      <c r="A539" t="s">
        <v>204</v>
      </c>
      <c r="B539" t="s">
        <v>2128</v>
      </c>
      <c r="C539">
        <v>35.5</v>
      </c>
      <c r="D539">
        <v>31</v>
      </c>
      <c r="E539">
        <f>IF(OR(B539="vi",B539="ii",B539="pod"),(((D539/100)*(C539*VLOOKUP(B539,'Poids des runes'!A:B,2,FALSE)))+1),(((D539/100)*(C539*VLOOKUP(B539,'Poids des runes'!A:B,2,FALSE)))+1)/VLOOKUP(B539,'Poids des runes'!A:B,2,FALSE))</f>
        <v>3.2010000000000001</v>
      </c>
      <c r="F539">
        <f t="shared" si="8"/>
        <v>3.2010000000000001</v>
      </c>
    </row>
    <row r="540" spans="1:6" x14ac:dyDescent="0.3">
      <c r="A540" t="s">
        <v>204</v>
      </c>
      <c r="B540" t="s">
        <v>2126</v>
      </c>
      <c r="C540">
        <v>18</v>
      </c>
      <c r="D540">
        <v>31</v>
      </c>
      <c r="E540">
        <f>IF(OR(B540="vi",B540="ii",B540="pod"),(((D540/100)*(C540*VLOOKUP(B540,'Poids des runes'!A:B,2,FALSE)))+1),(((D540/100)*(C540*VLOOKUP(B540,'Poids des runes'!A:B,2,FALSE)))+1)/VLOOKUP(B540,'Poids des runes'!A:B,2,FALSE))</f>
        <v>6.58</v>
      </c>
      <c r="F540">
        <f t="shared" si="8"/>
        <v>6.58</v>
      </c>
    </row>
    <row r="541" spans="1:6" x14ac:dyDescent="0.3">
      <c r="A541" t="s">
        <v>204</v>
      </c>
      <c r="B541" t="s">
        <v>2129</v>
      </c>
      <c r="C541">
        <v>13</v>
      </c>
      <c r="D541">
        <v>31</v>
      </c>
      <c r="E541">
        <f>IF(OR(B541="vi",B541="ii",B541="pod"),(((D541/100)*(C541*VLOOKUP(B541,'Poids des runes'!A:B,2,FALSE)))+1),(((D541/100)*(C541*VLOOKUP(B541,'Poids des runes'!A:B,2,FALSE)))+1)/VLOOKUP(B541,'Poids des runes'!A:B,2,FALSE))</f>
        <v>5.03</v>
      </c>
      <c r="F541">
        <f t="shared" si="8"/>
        <v>5.03</v>
      </c>
    </row>
    <row r="542" spans="1:6" x14ac:dyDescent="0.3">
      <c r="A542" t="s">
        <v>204</v>
      </c>
      <c r="B542" t="s">
        <v>2149</v>
      </c>
      <c r="C542">
        <v>4.5</v>
      </c>
      <c r="D542">
        <v>31</v>
      </c>
      <c r="E542">
        <f>IF(OR(B542="vi",B542="ii",B542="pod"),(((D542/100)*(C542*VLOOKUP(B542,'Poids des runes'!A:B,2,FALSE)))+1),(((D542/100)*(C542*VLOOKUP(B542,'Poids des runes'!A:B,2,FALSE)))+1)/VLOOKUP(B542,'Poids des runes'!A:B,2,FALSE))</f>
        <v>1.4949999999999999</v>
      </c>
      <c r="F542">
        <f t="shared" si="8"/>
        <v>1.4949999999999999</v>
      </c>
    </row>
    <row r="543" spans="1:6" x14ac:dyDescent="0.3">
      <c r="A543" t="s">
        <v>205</v>
      </c>
      <c r="B543" t="s">
        <v>2130</v>
      </c>
      <c r="C543">
        <v>8.5</v>
      </c>
      <c r="D543">
        <v>31</v>
      </c>
      <c r="E543">
        <f>IF(OR(B543="vi",B543="ii",B543="pod"),(((D543/100)*(C543*VLOOKUP(B543,'Poids des runes'!A:B,2,FALSE)))+1),(((D543/100)*(C543*VLOOKUP(B543,'Poids des runes'!A:B,2,FALSE)))+1)/VLOOKUP(B543,'Poids des runes'!A:B,2,FALSE))</f>
        <v>3.6349999999999998</v>
      </c>
      <c r="F543">
        <f t="shared" si="8"/>
        <v>3.6349999999999998</v>
      </c>
    </row>
    <row r="544" spans="1:6" x14ac:dyDescent="0.3">
      <c r="A544" t="s">
        <v>205</v>
      </c>
      <c r="B544" t="s">
        <v>2127</v>
      </c>
      <c r="C544">
        <v>8.5</v>
      </c>
      <c r="D544">
        <v>31</v>
      </c>
      <c r="E544">
        <f>IF(OR(B544="vi",B544="ii",B544="pod"),(((D544/100)*(C544*VLOOKUP(B544,'Poids des runes'!A:B,2,FALSE)))+1),(((D544/100)*(C544*VLOOKUP(B544,'Poids des runes'!A:B,2,FALSE)))+1)/VLOOKUP(B544,'Poids des runes'!A:B,2,FALSE))</f>
        <v>3.6349999999999998</v>
      </c>
      <c r="F544">
        <f t="shared" si="8"/>
        <v>3.6349999999999998</v>
      </c>
    </row>
    <row r="545" spans="1:6" x14ac:dyDescent="0.3">
      <c r="A545" t="s">
        <v>205</v>
      </c>
      <c r="B545" t="s">
        <v>2151</v>
      </c>
      <c r="C545">
        <v>3</v>
      </c>
      <c r="D545">
        <v>31</v>
      </c>
      <c r="E545">
        <f>IF(OR(B545="vi",B545="ii",B545="pod"),(((D545/100)*(C545*VLOOKUP(B545,'Poids des runes'!A:B,2,FALSE)))+1),(((D545/100)*(C545*VLOOKUP(B545,'Poids des runes'!A:B,2,FALSE)))+1)/VLOOKUP(B545,'Poids des runes'!A:B,2,FALSE))</f>
        <v>1.03</v>
      </c>
      <c r="F545">
        <f t="shared" si="8"/>
        <v>1.03</v>
      </c>
    </row>
    <row r="546" spans="1:6" x14ac:dyDescent="0.3">
      <c r="A546" t="s">
        <v>206</v>
      </c>
      <c r="B546" t="s">
        <v>2128</v>
      </c>
      <c r="C546">
        <v>25.5</v>
      </c>
      <c r="D546">
        <v>31</v>
      </c>
      <c r="E546">
        <f>IF(OR(B546="vi",B546="ii",B546="pod"),(((D546/100)*(C546*VLOOKUP(B546,'Poids des runes'!A:B,2,FALSE)))+1),(((D546/100)*(C546*VLOOKUP(B546,'Poids des runes'!A:B,2,FALSE)))+1)/VLOOKUP(B546,'Poids des runes'!A:B,2,FALSE))</f>
        <v>2.5810000000000004</v>
      </c>
      <c r="F546">
        <f t="shared" si="8"/>
        <v>2.5810000000000004</v>
      </c>
    </row>
    <row r="547" spans="1:6" x14ac:dyDescent="0.3">
      <c r="A547" t="s">
        <v>206</v>
      </c>
      <c r="B547" t="s">
        <v>2129</v>
      </c>
      <c r="C547">
        <v>8</v>
      </c>
      <c r="D547">
        <v>31</v>
      </c>
      <c r="E547">
        <f>IF(OR(B547="vi",B547="ii",B547="pod"),(((D547/100)*(C547*VLOOKUP(B547,'Poids des runes'!A:B,2,FALSE)))+1),(((D547/100)*(C547*VLOOKUP(B547,'Poids des runes'!A:B,2,FALSE)))+1)/VLOOKUP(B547,'Poids des runes'!A:B,2,FALSE))</f>
        <v>3.48</v>
      </c>
      <c r="F547">
        <f t="shared" si="8"/>
        <v>3.48</v>
      </c>
    </row>
    <row r="548" spans="1:6" x14ac:dyDescent="0.3">
      <c r="A548" t="s">
        <v>206</v>
      </c>
      <c r="B548" t="s">
        <v>2141</v>
      </c>
      <c r="C548">
        <v>2.5</v>
      </c>
      <c r="D548">
        <v>31</v>
      </c>
      <c r="E548">
        <f>IF(OR(B548="vi",B548="ii",B548="pod"),(((D548/100)*(C548*VLOOKUP(B548,'Poids des runes'!A:B,2,FALSE)))+1),(((D548/100)*(C548*VLOOKUP(B548,'Poids des runes'!A:B,2,FALSE)))+1)/VLOOKUP(B548,'Poids des runes'!A:B,2,FALSE))</f>
        <v>1.0249999999999999</v>
      </c>
      <c r="F548">
        <f t="shared" si="8"/>
        <v>1.0249999999999999</v>
      </c>
    </row>
    <row r="549" spans="1:6" x14ac:dyDescent="0.3">
      <c r="A549" t="s">
        <v>206</v>
      </c>
      <c r="B549" t="s">
        <v>2136</v>
      </c>
      <c r="C549">
        <v>2.5</v>
      </c>
      <c r="D549">
        <v>31</v>
      </c>
      <c r="E549">
        <f>IF(OR(B549="vi",B549="ii",B549="pod"),(((D549/100)*(C549*VLOOKUP(B549,'Poids des runes'!A:B,2,FALSE)))+1),(((D549/100)*(C549*VLOOKUP(B549,'Poids des runes'!A:B,2,FALSE)))+1)/VLOOKUP(B549,'Poids des runes'!A:B,2,FALSE))</f>
        <v>1.2749999999999999</v>
      </c>
      <c r="F549">
        <f t="shared" si="8"/>
        <v>1.2749999999999999</v>
      </c>
    </row>
    <row r="550" spans="1:6" x14ac:dyDescent="0.3">
      <c r="A550" t="s">
        <v>206</v>
      </c>
      <c r="B550" t="s">
        <v>2137</v>
      </c>
      <c r="C550">
        <v>2.5</v>
      </c>
      <c r="D550">
        <v>31</v>
      </c>
      <c r="E550">
        <f>IF(OR(B550="vi",B550="ii",B550="pod"),(((D550/100)*(C550*VLOOKUP(B550,'Poids des runes'!A:B,2,FALSE)))+1),(((D550/100)*(C550*VLOOKUP(B550,'Poids des runes'!A:B,2,FALSE)))+1)/VLOOKUP(B550,'Poids des runes'!A:B,2,FALSE))</f>
        <v>1.2749999999999999</v>
      </c>
      <c r="F550">
        <f t="shared" si="8"/>
        <v>1.2749999999999999</v>
      </c>
    </row>
    <row r="551" spans="1:6" x14ac:dyDescent="0.3">
      <c r="A551" t="s">
        <v>207</v>
      </c>
      <c r="B551" t="s">
        <v>2155</v>
      </c>
      <c r="C551">
        <v>2</v>
      </c>
      <c r="D551">
        <v>32</v>
      </c>
      <c r="E551">
        <f>IF(OR(B551="vi",B551="ii",B551="pod"),(((D551/100)*(C551*VLOOKUP(B551,'Poids des runes'!A:B,2,FALSE)))+1),(((D551/100)*(C551*VLOOKUP(B551,'Poids des runes'!A:B,2,FALSE)))+1)/VLOOKUP(B551,'Poids des runes'!A:B,2,FALSE))</f>
        <v>0.65960784313725496</v>
      </c>
      <c r="F551">
        <f t="shared" si="8"/>
        <v>0.65960784313725496</v>
      </c>
    </row>
    <row r="552" spans="1:6" x14ac:dyDescent="0.3">
      <c r="A552" t="s">
        <v>208</v>
      </c>
      <c r="B552" t="s">
        <v>2128</v>
      </c>
      <c r="C552">
        <v>45.5</v>
      </c>
      <c r="D552">
        <v>32</v>
      </c>
      <c r="E552">
        <f>IF(OR(B552="vi",B552="ii",B552="pod"),(((D552/100)*(C552*VLOOKUP(B552,'Poids des runes'!A:B,2,FALSE)))+1),(((D552/100)*(C552*VLOOKUP(B552,'Poids des runes'!A:B,2,FALSE)))+1)/VLOOKUP(B552,'Poids des runes'!A:B,2,FALSE))</f>
        <v>3.9119999999999999</v>
      </c>
      <c r="F552">
        <f t="shared" si="8"/>
        <v>3.9119999999999999</v>
      </c>
    </row>
    <row r="553" spans="1:6" x14ac:dyDescent="0.3">
      <c r="A553" t="s">
        <v>208</v>
      </c>
      <c r="B553" t="s">
        <v>2139</v>
      </c>
      <c r="C553">
        <v>13</v>
      </c>
      <c r="D553">
        <v>32</v>
      </c>
      <c r="E553">
        <f>IF(OR(B553="vi",B553="ii",B553="pod"),(((D553/100)*(C553*VLOOKUP(B553,'Poids des runes'!A:B,2,FALSE)))+1),(((D553/100)*(C553*VLOOKUP(B553,'Poids des runes'!A:B,2,FALSE)))+1)/VLOOKUP(B553,'Poids des runes'!A:B,2,FALSE))</f>
        <v>4.66</v>
      </c>
      <c r="F553">
        <f t="shared" si="8"/>
        <v>4.66</v>
      </c>
    </row>
    <row r="554" spans="1:6" x14ac:dyDescent="0.3">
      <c r="A554" t="s">
        <v>208</v>
      </c>
      <c r="B554" t="s">
        <v>2134</v>
      </c>
      <c r="C554">
        <v>3.5</v>
      </c>
      <c r="D554">
        <v>32</v>
      </c>
      <c r="E554">
        <f>IF(OR(B554="vi",B554="ii",B554="pod"),(((D554/100)*(C554*VLOOKUP(B554,'Poids des runes'!A:B,2,FALSE)))+1),(((D554/100)*(C554*VLOOKUP(B554,'Poids des runes'!A:B,2,FALSE)))+1)/VLOOKUP(B554,'Poids des runes'!A:B,2,FALSE))</f>
        <v>1.1700000000000002</v>
      </c>
      <c r="F554">
        <f t="shared" si="8"/>
        <v>1.1700000000000002</v>
      </c>
    </row>
    <row r="555" spans="1:6" x14ac:dyDescent="0.3">
      <c r="A555" t="s">
        <v>209</v>
      </c>
      <c r="B555" t="s">
        <v>2128</v>
      </c>
      <c r="C555">
        <v>35.5</v>
      </c>
      <c r="D555">
        <v>32</v>
      </c>
      <c r="E555">
        <f>IF(OR(B555="vi",B555="ii",B555="pod"),(((D555/100)*(C555*VLOOKUP(B555,'Poids des runes'!A:B,2,FALSE)))+1),(((D555/100)*(C555*VLOOKUP(B555,'Poids des runes'!A:B,2,FALSE)))+1)/VLOOKUP(B555,'Poids des runes'!A:B,2,FALSE))</f>
        <v>3.2720000000000002</v>
      </c>
      <c r="F555">
        <f t="shared" si="8"/>
        <v>3.2720000000000002</v>
      </c>
    </row>
    <row r="556" spans="1:6" x14ac:dyDescent="0.3">
      <c r="A556" t="s">
        <v>209</v>
      </c>
      <c r="B556" t="s">
        <v>2130</v>
      </c>
      <c r="C556">
        <v>25.5</v>
      </c>
      <c r="D556">
        <v>32</v>
      </c>
      <c r="E556">
        <f>IF(OR(B556="vi",B556="ii",B556="pod"),(((D556/100)*(C556*VLOOKUP(B556,'Poids des runes'!A:B,2,FALSE)))+1),(((D556/100)*(C556*VLOOKUP(B556,'Poids des runes'!A:B,2,FALSE)))+1)/VLOOKUP(B556,'Poids des runes'!A:B,2,FALSE))</f>
        <v>9.16</v>
      </c>
      <c r="F556">
        <f t="shared" si="8"/>
        <v>9.16</v>
      </c>
    </row>
    <row r="557" spans="1:6" x14ac:dyDescent="0.3">
      <c r="A557" t="s">
        <v>209</v>
      </c>
      <c r="B557" t="s">
        <v>2138</v>
      </c>
      <c r="C557">
        <v>4.5</v>
      </c>
      <c r="D557">
        <v>32</v>
      </c>
      <c r="E557">
        <f>IF(OR(B557="vi",B557="ii",B557="pod"),(((D557/100)*(C557*VLOOKUP(B557,'Poids des runes'!A:B,2,FALSE)))+1),(((D557/100)*(C557*VLOOKUP(B557,'Poids des runes'!A:B,2,FALSE)))+1)/VLOOKUP(B557,'Poids des runes'!A:B,2,FALSE))</f>
        <v>1.69</v>
      </c>
      <c r="F557">
        <f t="shared" si="8"/>
        <v>1.69</v>
      </c>
    </row>
    <row r="558" spans="1:6" x14ac:dyDescent="0.3">
      <c r="A558" t="s">
        <v>209</v>
      </c>
      <c r="B558" t="s">
        <v>2148</v>
      </c>
      <c r="C558">
        <v>4.5</v>
      </c>
      <c r="D558">
        <v>32</v>
      </c>
      <c r="E558">
        <f>IF(OR(B558="vi",B558="ii",B558="pod"),(((D558/100)*(C558*VLOOKUP(B558,'Poids des runes'!A:B,2,FALSE)))+1),(((D558/100)*(C558*VLOOKUP(B558,'Poids des runes'!A:B,2,FALSE)))+1)/VLOOKUP(B558,'Poids des runes'!A:B,2,FALSE))</f>
        <v>1.6066666666666667</v>
      </c>
      <c r="F558">
        <f t="shared" si="8"/>
        <v>1.6066666666666667</v>
      </c>
    </row>
    <row r="559" spans="1:6" x14ac:dyDescent="0.3">
      <c r="A559" t="s">
        <v>210</v>
      </c>
      <c r="B559" t="s">
        <v>2127</v>
      </c>
      <c r="C559">
        <v>15.5</v>
      </c>
      <c r="D559">
        <v>32</v>
      </c>
      <c r="E559">
        <f>IF(OR(B559="vi",B559="ii",B559="pod"),(((D559/100)*(C559*VLOOKUP(B559,'Poids des runes'!A:B,2,FALSE)))+1),(((D559/100)*(C559*VLOOKUP(B559,'Poids des runes'!A:B,2,FALSE)))+1)/VLOOKUP(B559,'Poids des runes'!A:B,2,FALSE))</f>
        <v>5.96</v>
      </c>
      <c r="F559">
        <f t="shared" si="8"/>
        <v>5.96</v>
      </c>
    </row>
    <row r="560" spans="1:6" x14ac:dyDescent="0.3">
      <c r="A560" t="s">
        <v>210</v>
      </c>
      <c r="B560" t="s">
        <v>2151</v>
      </c>
      <c r="C560">
        <v>4</v>
      </c>
      <c r="D560">
        <v>32</v>
      </c>
      <c r="E560">
        <f>IF(OR(B560="vi",B560="ii",B560="pod"),(((D560/100)*(C560*VLOOKUP(B560,'Poids des runes'!A:B,2,FALSE)))+1),(((D560/100)*(C560*VLOOKUP(B560,'Poids des runes'!A:B,2,FALSE)))+1)/VLOOKUP(B560,'Poids des runes'!A:B,2,FALSE))</f>
        <v>1.3800000000000001</v>
      </c>
      <c r="F560">
        <f t="shared" si="8"/>
        <v>1.3800000000000001</v>
      </c>
    </row>
    <row r="561" spans="1:6" x14ac:dyDescent="0.3">
      <c r="A561" t="s">
        <v>210</v>
      </c>
      <c r="B561" t="s">
        <v>2132</v>
      </c>
      <c r="C561">
        <v>53</v>
      </c>
      <c r="D561">
        <v>32</v>
      </c>
      <c r="E561">
        <f>IF(OR(B561="vi",B561="ii",B561="pod"),(((D561/100)*(C561*VLOOKUP(B561,'Poids des runes'!A:B,2,FALSE)))+1),(((D561/100)*(C561*VLOOKUP(B561,'Poids des runes'!A:B,2,FALSE)))+1)/VLOOKUP(B561,'Poids des runes'!A:B,2,FALSE))</f>
        <v>2.6960000000000002</v>
      </c>
      <c r="F561">
        <f t="shared" si="8"/>
        <v>2.6960000000000002</v>
      </c>
    </row>
    <row r="562" spans="1:6" x14ac:dyDescent="0.3">
      <c r="A562" t="s">
        <v>211</v>
      </c>
      <c r="B562" t="s">
        <v>2128</v>
      </c>
      <c r="C562">
        <v>30.5</v>
      </c>
      <c r="D562">
        <v>32</v>
      </c>
      <c r="E562">
        <f>IF(OR(B562="vi",B562="ii",B562="pod"),(((D562/100)*(C562*VLOOKUP(B562,'Poids des runes'!A:B,2,FALSE)))+1),(((D562/100)*(C562*VLOOKUP(B562,'Poids des runes'!A:B,2,FALSE)))+1)/VLOOKUP(B562,'Poids des runes'!A:B,2,FALSE))</f>
        <v>2.952</v>
      </c>
      <c r="F562">
        <f t="shared" si="8"/>
        <v>2.952</v>
      </c>
    </row>
    <row r="563" spans="1:6" x14ac:dyDescent="0.3">
      <c r="A563" t="s">
        <v>211</v>
      </c>
      <c r="B563" t="s">
        <v>2130</v>
      </c>
      <c r="C563">
        <v>8</v>
      </c>
      <c r="D563">
        <v>32</v>
      </c>
      <c r="E563">
        <f>IF(OR(B563="vi",B563="ii",B563="pod"),(((D563/100)*(C563*VLOOKUP(B563,'Poids des runes'!A:B,2,FALSE)))+1),(((D563/100)*(C563*VLOOKUP(B563,'Poids des runes'!A:B,2,FALSE)))+1)/VLOOKUP(B563,'Poids des runes'!A:B,2,FALSE))</f>
        <v>3.56</v>
      </c>
      <c r="F563">
        <f t="shared" si="8"/>
        <v>3.56</v>
      </c>
    </row>
    <row r="564" spans="1:6" x14ac:dyDescent="0.3">
      <c r="A564" t="s">
        <v>211</v>
      </c>
      <c r="B564" t="s">
        <v>2131</v>
      </c>
      <c r="C564">
        <v>8</v>
      </c>
      <c r="D564">
        <v>32</v>
      </c>
      <c r="E564">
        <f>IF(OR(B564="vi",B564="ii",B564="pod"),(((D564/100)*(C564*VLOOKUP(B564,'Poids des runes'!A:B,2,FALSE)))+1),(((D564/100)*(C564*VLOOKUP(B564,'Poids des runes'!A:B,2,FALSE)))+1)/VLOOKUP(B564,'Poids des runes'!A:B,2,FALSE))</f>
        <v>3.56</v>
      </c>
      <c r="F564">
        <f t="shared" si="8"/>
        <v>3.56</v>
      </c>
    </row>
    <row r="565" spans="1:6" x14ac:dyDescent="0.3">
      <c r="A565" t="s">
        <v>211</v>
      </c>
      <c r="B565" t="s">
        <v>2129</v>
      </c>
      <c r="C565">
        <v>13</v>
      </c>
      <c r="D565">
        <v>32</v>
      </c>
      <c r="E565">
        <f>IF(OR(B565="vi",B565="ii",B565="pod"),(((D565/100)*(C565*VLOOKUP(B565,'Poids des runes'!A:B,2,FALSE)))+1),(((D565/100)*(C565*VLOOKUP(B565,'Poids des runes'!A:B,2,FALSE)))+1)/VLOOKUP(B565,'Poids des runes'!A:B,2,FALSE))</f>
        <v>5.16</v>
      </c>
      <c r="F565">
        <f t="shared" si="8"/>
        <v>5.16</v>
      </c>
    </row>
    <row r="566" spans="1:6" x14ac:dyDescent="0.3">
      <c r="A566" t="s">
        <v>211</v>
      </c>
      <c r="B566" t="s">
        <v>2134</v>
      </c>
      <c r="C566">
        <v>1</v>
      </c>
      <c r="D566">
        <v>32</v>
      </c>
      <c r="E566">
        <f>IF(OR(B566="vi",B566="ii",B566="pod"),(((D566/100)*(C566*VLOOKUP(B566,'Poids des runes'!A:B,2,FALSE)))+1),(((D566/100)*(C566*VLOOKUP(B566,'Poids des runes'!A:B,2,FALSE)))+1)/VLOOKUP(B566,'Poids des runes'!A:B,2,FALSE))</f>
        <v>0.37</v>
      </c>
      <c r="F566">
        <f t="shared" si="8"/>
        <v>0.37</v>
      </c>
    </row>
    <row r="567" spans="1:6" x14ac:dyDescent="0.3">
      <c r="A567" t="s">
        <v>212</v>
      </c>
      <c r="B567" t="s">
        <v>2128</v>
      </c>
      <c r="C567">
        <v>13</v>
      </c>
      <c r="D567">
        <v>32</v>
      </c>
      <c r="E567">
        <f>IF(OR(B567="vi",B567="ii",B567="pod"),(((D567/100)*(C567*VLOOKUP(B567,'Poids des runes'!A:B,2,FALSE)))+1),(((D567/100)*(C567*VLOOKUP(B567,'Poids des runes'!A:B,2,FALSE)))+1)/VLOOKUP(B567,'Poids des runes'!A:B,2,FALSE))</f>
        <v>1.8320000000000001</v>
      </c>
      <c r="F567">
        <f t="shared" si="8"/>
        <v>1.8320000000000001</v>
      </c>
    </row>
    <row r="568" spans="1:6" x14ac:dyDescent="0.3">
      <c r="A568" t="s">
        <v>212</v>
      </c>
      <c r="B568" t="s">
        <v>2130</v>
      </c>
      <c r="C568">
        <v>13</v>
      </c>
      <c r="D568">
        <v>32</v>
      </c>
      <c r="E568">
        <f>IF(OR(B568="vi",B568="ii",B568="pod"),(((D568/100)*(C568*VLOOKUP(B568,'Poids des runes'!A:B,2,FALSE)))+1),(((D568/100)*(C568*VLOOKUP(B568,'Poids des runes'!A:B,2,FALSE)))+1)/VLOOKUP(B568,'Poids des runes'!A:B,2,FALSE))</f>
        <v>5.16</v>
      </c>
      <c r="F568">
        <f t="shared" si="8"/>
        <v>5.16</v>
      </c>
    </row>
    <row r="569" spans="1:6" x14ac:dyDescent="0.3">
      <c r="A569" t="s">
        <v>212</v>
      </c>
      <c r="B569" t="s">
        <v>2150</v>
      </c>
      <c r="C569">
        <v>1</v>
      </c>
      <c r="D569">
        <v>32</v>
      </c>
      <c r="E569">
        <f>IF(OR(B569="vi",B569="ii",B569="pod"),(((D569/100)*(C569*VLOOKUP(B569,'Poids des runes'!A:B,2,FALSE)))+1),(((D569/100)*(C569*VLOOKUP(B569,'Poids des runes'!A:B,2,FALSE)))+1)/VLOOKUP(B569,'Poids des runes'!A:B,2,FALSE))</f>
        <v>0.35333333333333333</v>
      </c>
      <c r="F569">
        <f t="shared" si="8"/>
        <v>0.35333333333333333</v>
      </c>
    </row>
    <row r="570" spans="1:6" x14ac:dyDescent="0.3">
      <c r="A570" t="s">
        <v>213</v>
      </c>
      <c r="B570" t="s">
        <v>2128</v>
      </c>
      <c r="C570">
        <v>25.5</v>
      </c>
      <c r="D570">
        <v>32</v>
      </c>
      <c r="E570">
        <f>IF(OR(B570="vi",B570="ii",B570="pod"),(((D570/100)*(C570*VLOOKUP(B570,'Poids des runes'!A:B,2,FALSE)))+1),(((D570/100)*(C570*VLOOKUP(B570,'Poids des runes'!A:B,2,FALSE)))+1)/VLOOKUP(B570,'Poids des runes'!A:B,2,FALSE))</f>
        <v>2.6320000000000001</v>
      </c>
      <c r="F570">
        <f t="shared" si="8"/>
        <v>2.6320000000000001</v>
      </c>
    </row>
    <row r="571" spans="1:6" x14ac:dyDescent="0.3">
      <c r="A571" t="s">
        <v>213</v>
      </c>
      <c r="B571" t="s">
        <v>2130</v>
      </c>
      <c r="C571">
        <v>8</v>
      </c>
      <c r="D571">
        <v>32</v>
      </c>
      <c r="E571">
        <f>IF(OR(B571="vi",B571="ii",B571="pod"),(((D571/100)*(C571*VLOOKUP(B571,'Poids des runes'!A:B,2,FALSE)))+1),(((D571/100)*(C571*VLOOKUP(B571,'Poids des runes'!A:B,2,FALSE)))+1)/VLOOKUP(B571,'Poids des runes'!A:B,2,FALSE))</f>
        <v>3.56</v>
      </c>
      <c r="F571">
        <f t="shared" si="8"/>
        <v>3.56</v>
      </c>
    </row>
    <row r="572" spans="1:6" x14ac:dyDescent="0.3">
      <c r="A572" t="s">
        <v>213</v>
      </c>
      <c r="B572" t="s">
        <v>2131</v>
      </c>
      <c r="C572">
        <v>8</v>
      </c>
      <c r="D572">
        <v>32</v>
      </c>
      <c r="E572">
        <f>IF(OR(B572="vi",B572="ii",B572="pod"),(((D572/100)*(C572*VLOOKUP(B572,'Poids des runes'!A:B,2,FALSE)))+1),(((D572/100)*(C572*VLOOKUP(B572,'Poids des runes'!A:B,2,FALSE)))+1)/VLOOKUP(B572,'Poids des runes'!A:B,2,FALSE))</f>
        <v>3.56</v>
      </c>
      <c r="F572">
        <f t="shared" si="8"/>
        <v>3.56</v>
      </c>
    </row>
    <row r="573" spans="1:6" x14ac:dyDescent="0.3">
      <c r="A573" t="s">
        <v>213</v>
      </c>
      <c r="B573" t="s">
        <v>2141</v>
      </c>
      <c r="C573">
        <v>2.5</v>
      </c>
      <c r="D573">
        <v>32</v>
      </c>
      <c r="E573">
        <f>IF(OR(B573="vi",B573="ii",B573="pod"),(((D573/100)*(C573*VLOOKUP(B573,'Poids des runes'!A:B,2,FALSE)))+1),(((D573/100)*(C573*VLOOKUP(B573,'Poids des runes'!A:B,2,FALSE)))+1)/VLOOKUP(B573,'Poids des runes'!A:B,2,FALSE))</f>
        <v>1.05</v>
      </c>
      <c r="F573">
        <f t="shared" si="8"/>
        <v>1.05</v>
      </c>
    </row>
    <row r="574" spans="1:6" x14ac:dyDescent="0.3">
      <c r="A574" t="s">
        <v>214</v>
      </c>
      <c r="B574" t="s">
        <v>2128</v>
      </c>
      <c r="C574">
        <v>50.5</v>
      </c>
      <c r="D574">
        <v>33</v>
      </c>
      <c r="E574">
        <f>IF(OR(B574="vi",B574="ii",B574="pod"),(((D574/100)*(C574*VLOOKUP(B574,'Poids des runes'!A:B,2,FALSE)))+1),(((D574/100)*(C574*VLOOKUP(B574,'Poids des runes'!A:B,2,FALSE)))+1)/VLOOKUP(B574,'Poids des runes'!A:B,2,FALSE))</f>
        <v>4.3330000000000002</v>
      </c>
      <c r="F574">
        <f t="shared" si="8"/>
        <v>4.3330000000000002</v>
      </c>
    </row>
    <row r="575" spans="1:6" x14ac:dyDescent="0.3">
      <c r="A575" t="s">
        <v>214</v>
      </c>
      <c r="B575" t="s">
        <v>2151</v>
      </c>
      <c r="C575">
        <v>2</v>
      </c>
      <c r="D575">
        <v>33</v>
      </c>
      <c r="E575">
        <f>IF(OR(B575="vi",B575="ii",B575="pod"),(((D575/100)*(C575*VLOOKUP(B575,'Poids des runes'!A:B,2,FALSE)))+1),(((D575/100)*(C575*VLOOKUP(B575,'Poids des runes'!A:B,2,FALSE)))+1)/VLOOKUP(B575,'Poids des runes'!A:B,2,FALSE))</f>
        <v>0.76</v>
      </c>
      <c r="F575">
        <f t="shared" si="8"/>
        <v>0.76</v>
      </c>
    </row>
    <row r="576" spans="1:6" x14ac:dyDescent="0.3">
      <c r="A576" t="s">
        <v>214</v>
      </c>
      <c r="B576" t="s">
        <v>2134</v>
      </c>
      <c r="C576">
        <v>2.5</v>
      </c>
      <c r="D576">
        <v>33</v>
      </c>
      <c r="E576">
        <f>IF(OR(B576="vi",B576="ii",B576="pod"),(((D576/100)*(C576*VLOOKUP(B576,'Poids des runes'!A:B,2,FALSE)))+1),(((D576/100)*(C576*VLOOKUP(B576,'Poids des runes'!A:B,2,FALSE)))+1)/VLOOKUP(B576,'Poids des runes'!A:B,2,FALSE))</f>
        <v>0.875</v>
      </c>
      <c r="F576">
        <f t="shared" si="8"/>
        <v>0.875</v>
      </c>
    </row>
    <row r="577" spans="1:6" x14ac:dyDescent="0.3">
      <c r="A577" t="s">
        <v>215</v>
      </c>
      <c r="B577" t="s">
        <v>2128</v>
      </c>
      <c r="C577">
        <v>23</v>
      </c>
      <c r="D577">
        <v>33</v>
      </c>
      <c r="E577">
        <f>IF(OR(B577="vi",B577="ii",B577="pod"),(((D577/100)*(C577*VLOOKUP(B577,'Poids des runes'!A:B,2,FALSE)))+1),(((D577/100)*(C577*VLOOKUP(B577,'Poids des runes'!A:B,2,FALSE)))+1)/VLOOKUP(B577,'Poids des runes'!A:B,2,FALSE))</f>
        <v>2.5180000000000002</v>
      </c>
      <c r="F577">
        <f t="shared" si="8"/>
        <v>2.5180000000000002</v>
      </c>
    </row>
    <row r="578" spans="1:6" x14ac:dyDescent="0.3">
      <c r="A578" t="s">
        <v>215</v>
      </c>
      <c r="B578" t="s">
        <v>2127</v>
      </c>
      <c r="C578">
        <v>18</v>
      </c>
      <c r="D578">
        <v>33</v>
      </c>
      <c r="E578">
        <f>IF(OR(B578="vi",B578="ii",B578="pod"),(((D578/100)*(C578*VLOOKUP(B578,'Poids des runes'!A:B,2,FALSE)))+1),(((D578/100)*(C578*VLOOKUP(B578,'Poids des runes'!A:B,2,FALSE)))+1)/VLOOKUP(B578,'Poids des runes'!A:B,2,FALSE))</f>
        <v>6.94</v>
      </c>
      <c r="F578">
        <f t="shared" si="8"/>
        <v>6.94</v>
      </c>
    </row>
    <row r="579" spans="1:6" x14ac:dyDescent="0.3">
      <c r="A579" t="s">
        <v>215</v>
      </c>
      <c r="B579" t="s">
        <v>2129</v>
      </c>
      <c r="C579">
        <v>8</v>
      </c>
      <c r="D579">
        <v>33</v>
      </c>
      <c r="E579">
        <f>IF(OR(B579="vi",B579="ii",B579="pod"),(((D579/100)*(C579*VLOOKUP(B579,'Poids des runes'!A:B,2,FALSE)))+1),(((D579/100)*(C579*VLOOKUP(B579,'Poids des runes'!A:B,2,FALSE)))+1)/VLOOKUP(B579,'Poids des runes'!A:B,2,FALSE))</f>
        <v>3.64</v>
      </c>
      <c r="F579">
        <f t="shared" ref="F579:F642" si="9">E579</f>
        <v>3.64</v>
      </c>
    </row>
    <row r="580" spans="1:6" x14ac:dyDescent="0.3">
      <c r="A580" t="s">
        <v>215</v>
      </c>
      <c r="B580" t="s">
        <v>2151</v>
      </c>
      <c r="C580">
        <v>2.5</v>
      </c>
      <c r="D580">
        <v>33</v>
      </c>
      <c r="E580">
        <f>IF(OR(B580="vi",B580="ii",B580="pod"),(((D580/100)*(C580*VLOOKUP(B580,'Poids des runes'!A:B,2,FALSE)))+1),(((D580/100)*(C580*VLOOKUP(B580,'Poids des runes'!A:B,2,FALSE)))+1)/VLOOKUP(B580,'Poids des runes'!A:B,2,FALSE))</f>
        <v>0.92500000000000004</v>
      </c>
      <c r="F580">
        <f t="shared" si="9"/>
        <v>0.92500000000000004</v>
      </c>
    </row>
    <row r="581" spans="1:6" x14ac:dyDescent="0.3">
      <c r="A581" t="s">
        <v>216</v>
      </c>
      <c r="B581" t="s">
        <v>2128</v>
      </c>
      <c r="C581">
        <v>13</v>
      </c>
      <c r="D581">
        <v>33</v>
      </c>
      <c r="E581">
        <f>IF(OR(B581="vi",B581="ii",B581="pod"),(((D581/100)*(C581*VLOOKUP(B581,'Poids des runes'!A:B,2,FALSE)))+1),(((D581/100)*(C581*VLOOKUP(B581,'Poids des runes'!A:B,2,FALSE)))+1)/VLOOKUP(B581,'Poids des runes'!A:B,2,FALSE))</f>
        <v>1.8580000000000001</v>
      </c>
      <c r="F581">
        <f t="shared" si="9"/>
        <v>1.8580000000000001</v>
      </c>
    </row>
    <row r="582" spans="1:6" x14ac:dyDescent="0.3">
      <c r="A582" t="s">
        <v>216</v>
      </c>
      <c r="B582" t="s">
        <v>2150</v>
      </c>
      <c r="C582">
        <v>2</v>
      </c>
      <c r="D582">
        <v>33</v>
      </c>
      <c r="E582">
        <f>IF(OR(B582="vi",B582="ii",B582="pod"),(((D582/100)*(C582*VLOOKUP(B582,'Poids des runes'!A:B,2,FALSE)))+1),(((D582/100)*(C582*VLOOKUP(B582,'Poids des runes'!A:B,2,FALSE)))+1)/VLOOKUP(B582,'Poids des runes'!A:B,2,FALSE))</f>
        <v>0.69333333333333336</v>
      </c>
      <c r="F582">
        <f t="shared" si="9"/>
        <v>0.69333333333333336</v>
      </c>
    </row>
    <row r="583" spans="1:6" x14ac:dyDescent="0.3">
      <c r="A583" t="s">
        <v>217</v>
      </c>
      <c r="B583" t="s">
        <v>2155</v>
      </c>
      <c r="C583">
        <v>1.5</v>
      </c>
      <c r="D583">
        <v>33</v>
      </c>
      <c r="E583">
        <f>IF(OR(B583="vi",B583="ii",B583="pod"),(((D583/100)*(C583*VLOOKUP(B583,'Poids des runes'!A:B,2,FALSE)))+1),(((D583/100)*(C583*VLOOKUP(B583,'Poids des runes'!A:B,2,FALSE)))+1)/VLOOKUP(B583,'Poids des runes'!A:B,2,FALSE))</f>
        <v>0.51460784313725494</v>
      </c>
      <c r="F583">
        <f t="shared" si="9"/>
        <v>0.51460784313725494</v>
      </c>
    </row>
    <row r="584" spans="1:6" x14ac:dyDescent="0.3">
      <c r="A584" t="s">
        <v>218</v>
      </c>
      <c r="B584" t="s">
        <v>2128</v>
      </c>
      <c r="C584">
        <v>85.5</v>
      </c>
      <c r="D584">
        <v>33</v>
      </c>
      <c r="E584">
        <f>IF(OR(B584="vi",B584="ii",B584="pod"),(((D584/100)*(C584*VLOOKUP(B584,'Poids des runes'!A:B,2,FALSE)))+1),(((D584/100)*(C584*VLOOKUP(B584,'Poids des runes'!A:B,2,FALSE)))+1)/VLOOKUP(B584,'Poids des runes'!A:B,2,FALSE))</f>
        <v>6.6430000000000007</v>
      </c>
      <c r="F584">
        <f t="shared" si="9"/>
        <v>6.6430000000000007</v>
      </c>
    </row>
    <row r="585" spans="1:6" x14ac:dyDescent="0.3">
      <c r="A585" t="s">
        <v>218</v>
      </c>
      <c r="B585" t="s">
        <v>2132</v>
      </c>
      <c r="C585">
        <v>125.5</v>
      </c>
      <c r="D585">
        <v>33</v>
      </c>
      <c r="E585">
        <f>IF(OR(B585="vi",B585="ii",B585="pod"),(((D585/100)*(C585*VLOOKUP(B585,'Poids des runes'!A:B,2,FALSE)))+1),(((D585/100)*(C585*VLOOKUP(B585,'Poids des runes'!A:B,2,FALSE)))+1)/VLOOKUP(B585,'Poids des runes'!A:B,2,FALSE))</f>
        <v>5.1415000000000006</v>
      </c>
      <c r="F585">
        <f t="shared" si="9"/>
        <v>5.1415000000000006</v>
      </c>
    </row>
    <row r="586" spans="1:6" x14ac:dyDescent="0.3">
      <c r="A586" t="s">
        <v>218</v>
      </c>
      <c r="B586" t="s">
        <v>2142</v>
      </c>
      <c r="C586">
        <v>6</v>
      </c>
      <c r="D586">
        <v>33</v>
      </c>
      <c r="E586">
        <f>IF(OR(B586="vi",B586="ii",B586="pod"),(((D586/100)*(C586*VLOOKUP(B586,'Poids des runes'!A:B,2,FALSE)))+1),(((D586/100)*(C586*VLOOKUP(B586,'Poids des runes'!A:B,2,FALSE)))+1)/VLOOKUP(B586,'Poids des runes'!A:B,2,FALSE))</f>
        <v>2.1800000000000002</v>
      </c>
      <c r="F586">
        <f t="shared" si="9"/>
        <v>2.1800000000000002</v>
      </c>
    </row>
    <row r="587" spans="1:6" x14ac:dyDescent="0.3">
      <c r="A587" t="s">
        <v>219</v>
      </c>
      <c r="B587" t="s">
        <v>2128</v>
      </c>
      <c r="C587">
        <v>35.5</v>
      </c>
      <c r="D587">
        <v>33</v>
      </c>
      <c r="E587">
        <f>IF(OR(B587="vi",B587="ii",B587="pod"),(((D587/100)*(C587*VLOOKUP(B587,'Poids des runes'!A:B,2,FALSE)))+1),(((D587/100)*(C587*VLOOKUP(B587,'Poids des runes'!A:B,2,FALSE)))+1)/VLOOKUP(B587,'Poids des runes'!A:B,2,FALSE))</f>
        <v>3.3430000000000004</v>
      </c>
      <c r="F587">
        <f t="shared" si="9"/>
        <v>3.3430000000000004</v>
      </c>
    </row>
    <row r="588" spans="1:6" x14ac:dyDescent="0.3">
      <c r="A588" t="s">
        <v>219</v>
      </c>
      <c r="B588" t="s">
        <v>2156</v>
      </c>
      <c r="C588">
        <v>2</v>
      </c>
      <c r="D588">
        <v>33</v>
      </c>
      <c r="E588">
        <f>IF(OR(B588="vi",B588="ii",B588="pod"),(((D588/100)*(C588*VLOOKUP(B588,'Poids des runes'!A:B,2,FALSE)))+1),(((D588/100)*(C588*VLOOKUP(B588,'Poids des runes'!A:B,2,FALSE)))+1)/VLOOKUP(B588,'Poids des runes'!A:B,2,FALSE))</f>
        <v>0.82666666666666666</v>
      </c>
      <c r="F588">
        <f t="shared" si="9"/>
        <v>0.82666666666666666</v>
      </c>
    </row>
    <row r="589" spans="1:6" x14ac:dyDescent="0.3">
      <c r="A589" t="s">
        <v>219</v>
      </c>
      <c r="B589" t="s">
        <v>2148</v>
      </c>
      <c r="C589">
        <v>2</v>
      </c>
      <c r="D589">
        <v>33</v>
      </c>
      <c r="E589">
        <f>IF(OR(B589="vi",B589="ii",B589="pod"),(((D589/100)*(C589*VLOOKUP(B589,'Poids des runes'!A:B,2,FALSE)))+1),(((D589/100)*(C589*VLOOKUP(B589,'Poids des runes'!A:B,2,FALSE)))+1)/VLOOKUP(B589,'Poids des runes'!A:B,2,FALSE))</f>
        <v>0.82666666666666666</v>
      </c>
      <c r="F589">
        <f t="shared" si="9"/>
        <v>0.82666666666666666</v>
      </c>
    </row>
    <row r="590" spans="1:6" x14ac:dyDescent="0.3">
      <c r="A590" t="s">
        <v>219</v>
      </c>
      <c r="B590" t="s">
        <v>2147</v>
      </c>
      <c r="C590">
        <v>2</v>
      </c>
      <c r="D590">
        <v>33</v>
      </c>
      <c r="E590">
        <f>IF(OR(B590="vi",B590="ii",B590="pod"),(((D590/100)*(C590*VLOOKUP(B590,'Poids des runes'!A:B,2,FALSE)))+1),(((D590/100)*(C590*VLOOKUP(B590,'Poids des runes'!A:B,2,FALSE)))+1)/VLOOKUP(B590,'Poids des runes'!A:B,2,FALSE))</f>
        <v>0.82666666666666666</v>
      </c>
      <c r="F590">
        <f t="shared" si="9"/>
        <v>0.82666666666666666</v>
      </c>
    </row>
    <row r="591" spans="1:6" x14ac:dyDescent="0.3">
      <c r="A591" t="s">
        <v>219</v>
      </c>
      <c r="B591" t="s">
        <v>2135</v>
      </c>
      <c r="C591">
        <v>2</v>
      </c>
      <c r="D591">
        <v>33</v>
      </c>
      <c r="E591">
        <f>IF(OR(B591="vi",B591="ii",B591="pod"),(((D591/100)*(C591*VLOOKUP(B591,'Poids des runes'!A:B,2,FALSE)))+1),(((D591/100)*(C591*VLOOKUP(B591,'Poids des runes'!A:B,2,FALSE)))+1)/VLOOKUP(B591,'Poids des runes'!A:B,2,FALSE))</f>
        <v>0.82666666666666666</v>
      </c>
      <c r="F591">
        <f t="shared" si="9"/>
        <v>0.82666666666666666</v>
      </c>
    </row>
    <row r="592" spans="1:6" x14ac:dyDescent="0.3">
      <c r="A592" t="s">
        <v>219</v>
      </c>
      <c r="B592" t="s">
        <v>2157</v>
      </c>
      <c r="C592">
        <v>2</v>
      </c>
      <c r="D592">
        <v>33</v>
      </c>
      <c r="E592">
        <f>IF(OR(B592="vi",B592="ii",B592="pod"),(((D592/100)*(C592*VLOOKUP(B592,'Poids des runes'!A:B,2,FALSE)))+1),(((D592/100)*(C592*VLOOKUP(B592,'Poids des runes'!A:B,2,FALSE)))+1)/VLOOKUP(B592,'Poids des runes'!A:B,2,FALSE))</f>
        <v>0.82666666666666666</v>
      </c>
      <c r="F592">
        <f t="shared" si="9"/>
        <v>0.82666666666666666</v>
      </c>
    </row>
    <row r="593" spans="1:6" x14ac:dyDescent="0.3">
      <c r="A593" t="s">
        <v>220</v>
      </c>
      <c r="B593" t="s">
        <v>2128</v>
      </c>
      <c r="C593">
        <v>50.5</v>
      </c>
      <c r="D593">
        <v>33</v>
      </c>
      <c r="E593">
        <f>IF(OR(B593="vi",B593="ii",B593="pod"),(((D593/100)*(C593*VLOOKUP(B593,'Poids des runes'!A:B,2,FALSE)))+1),(((D593/100)*(C593*VLOOKUP(B593,'Poids des runes'!A:B,2,FALSE)))+1)/VLOOKUP(B593,'Poids des runes'!A:B,2,FALSE))</f>
        <v>4.3330000000000002</v>
      </c>
      <c r="F593">
        <f t="shared" si="9"/>
        <v>4.3330000000000002</v>
      </c>
    </row>
    <row r="594" spans="1:6" x14ac:dyDescent="0.3">
      <c r="A594" t="s">
        <v>220</v>
      </c>
      <c r="B594" t="s">
        <v>2139</v>
      </c>
      <c r="C594">
        <v>18</v>
      </c>
      <c r="D594">
        <v>33</v>
      </c>
      <c r="E594">
        <f>IF(OR(B594="vi",B594="ii",B594="pod"),(((D594/100)*(C594*VLOOKUP(B594,'Poids des runes'!A:B,2,FALSE)))+1),(((D594/100)*(C594*VLOOKUP(B594,'Poids des runes'!A:B,2,FALSE)))+1)/VLOOKUP(B594,'Poids des runes'!A:B,2,FALSE))</f>
        <v>6.44</v>
      </c>
      <c r="F594">
        <f t="shared" si="9"/>
        <v>6.44</v>
      </c>
    </row>
    <row r="595" spans="1:6" x14ac:dyDescent="0.3">
      <c r="A595" t="s">
        <v>220</v>
      </c>
      <c r="B595" t="s">
        <v>2134</v>
      </c>
      <c r="C595">
        <v>2.5</v>
      </c>
      <c r="D595">
        <v>33</v>
      </c>
      <c r="E595">
        <f>IF(OR(B595="vi",B595="ii",B595="pod"),(((D595/100)*(C595*VLOOKUP(B595,'Poids des runes'!A:B,2,FALSE)))+1),(((D595/100)*(C595*VLOOKUP(B595,'Poids des runes'!A:B,2,FALSE)))+1)/VLOOKUP(B595,'Poids des runes'!A:B,2,FALSE))</f>
        <v>0.875</v>
      </c>
      <c r="F595">
        <f t="shared" si="9"/>
        <v>0.875</v>
      </c>
    </row>
    <row r="596" spans="1:6" x14ac:dyDescent="0.3">
      <c r="A596" t="s">
        <v>221</v>
      </c>
      <c r="B596" t="s">
        <v>2131</v>
      </c>
      <c r="C596">
        <v>18</v>
      </c>
      <c r="D596">
        <v>33</v>
      </c>
      <c r="E596">
        <f>IF(OR(B596="vi",B596="ii",B596="pod"),(((D596/100)*(C596*VLOOKUP(B596,'Poids des runes'!A:B,2,FALSE)))+1),(((D596/100)*(C596*VLOOKUP(B596,'Poids des runes'!A:B,2,FALSE)))+1)/VLOOKUP(B596,'Poids des runes'!A:B,2,FALSE))</f>
        <v>6.94</v>
      </c>
      <c r="F596">
        <f t="shared" si="9"/>
        <v>6.94</v>
      </c>
    </row>
    <row r="597" spans="1:6" x14ac:dyDescent="0.3">
      <c r="A597" t="s">
        <v>221</v>
      </c>
      <c r="B597" t="s">
        <v>2133</v>
      </c>
      <c r="C597">
        <v>3.5</v>
      </c>
      <c r="D597">
        <v>33</v>
      </c>
      <c r="E597">
        <f>IF(OR(B597="vi",B597="ii",B597="pod"),(((D597/100)*(C597*VLOOKUP(B597,'Poids des runes'!A:B,2,FALSE)))+1),(((D597/100)*(C597*VLOOKUP(B597,'Poids des runes'!A:B,2,FALSE)))+1)/VLOOKUP(B597,'Poids des runes'!A:B,2,FALSE))</f>
        <v>1.355</v>
      </c>
      <c r="F597">
        <f t="shared" si="9"/>
        <v>1.355</v>
      </c>
    </row>
    <row r="598" spans="1:6" x14ac:dyDescent="0.3">
      <c r="A598" t="s">
        <v>221</v>
      </c>
      <c r="B598" t="s">
        <v>2132</v>
      </c>
      <c r="C598">
        <v>75.5</v>
      </c>
      <c r="D598">
        <v>33</v>
      </c>
      <c r="E598">
        <f>IF(OR(B598="vi",B598="ii",B598="pod"),(((D598/100)*(C598*VLOOKUP(B598,'Poids des runes'!A:B,2,FALSE)))+1),(((D598/100)*(C598*VLOOKUP(B598,'Poids des runes'!A:B,2,FALSE)))+1)/VLOOKUP(B598,'Poids des runes'!A:B,2,FALSE))</f>
        <v>3.4915000000000003</v>
      </c>
      <c r="F598">
        <f t="shared" si="9"/>
        <v>3.4915000000000003</v>
      </c>
    </row>
    <row r="599" spans="1:6" x14ac:dyDescent="0.3">
      <c r="A599" t="s">
        <v>221</v>
      </c>
      <c r="B599" t="s">
        <v>2141</v>
      </c>
      <c r="C599">
        <v>2.5</v>
      </c>
      <c r="D599">
        <v>33</v>
      </c>
      <c r="E599">
        <f>IF(OR(B599="vi",B599="ii",B599="pod"),(((D599/100)*(C599*VLOOKUP(B599,'Poids des runes'!A:B,2,FALSE)))+1),(((D599/100)*(C599*VLOOKUP(B599,'Poids des runes'!A:B,2,FALSE)))+1)/VLOOKUP(B599,'Poids des runes'!A:B,2,FALSE))</f>
        <v>1.0750000000000002</v>
      </c>
      <c r="F599">
        <f t="shared" si="9"/>
        <v>1.0750000000000002</v>
      </c>
    </row>
    <row r="600" spans="1:6" x14ac:dyDescent="0.3">
      <c r="A600" t="s">
        <v>222</v>
      </c>
      <c r="B600" t="s">
        <v>2128</v>
      </c>
      <c r="C600">
        <v>18</v>
      </c>
      <c r="D600">
        <v>33</v>
      </c>
      <c r="E600">
        <f>IF(OR(B600="vi",B600="ii",B600="pod"),(((D600/100)*(C600*VLOOKUP(B600,'Poids des runes'!A:B,2,FALSE)))+1),(((D600/100)*(C600*VLOOKUP(B600,'Poids des runes'!A:B,2,FALSE)))+1)/VLOOKUP(B600,'Poids des runes'!A:B,2,FALSE))</f>
        <v>2.1880000000000002</v>
      </c>
      <c r="F600">
        <f t="shared" si="9"/>
        <v>2.1880000000000002</v>
      </c>
    </row>
    <row r="601" spans="1:6" x14ac:dyDescent="0.3">
      <c r="A601" t="s">
        <v>222</v>
      </c>
      <c r="B601" t="s">
        <v>2126</v>
      </c>
      <c r="C601">
        <v>13</v>
      </c>
      <c r="D601">
        <v>33</v>
      </c>
      <c r="E601">
        <f>IF(OR(B601="vi",B601="ii",B601="pod"),(((D601/100)*(C601*VLOOKUP(B601,'Poids des runes'!A:B,2,FALSE)))+1),(((D601/100)*(C601*VLOOKUP(B601,'Poids des runes'!A:B,2,FALSE)))+1)/VLOOKUP(B601,'Poids des runes'!A:B,2,FALSE))</f>
        <v>5.29</v>
      </c>
      <c r="F601">
        <f t="shared" si="9"/>
        <v>5.29</v>
      </c>
    </row>
    <row r="602" spans="1:6" x14ac:dyDescent="0.3">
      <c r="A602" t="s">
        <v>222</v>
      </c>
      <c r="B602" t="s">
        <v>2149</v>
      </c>
      <c r="C602">
        <v>3.5</v>
      </c>
      <c r="D602">
        <v>33</v>
      </c>
      <c r="E602">
        <f>IF(OR(B602="vi",B602="ii",B602="pod"),(((D602/100)*(C602*VLOOKUP(B602,'Poids des runes'!A:B,2,FALSE)))+1),(((D602/100)*(C602*VLOOKUP(B602,'Poids des runes'!A:B,2,FALSE)))+1)/VLOOKUP(B602,'Poids des runes'!A:B,2,FALSE))</f>
        <v>1.2550000000000001</v>
      </c>
      <c r="F602">
        <f t="shared" si="9"/>
        <v>1.2550000000000001</v>
      </c>
    </row>
    <row r="603" spans="1:6" x14ac:dyDescent="0.3">
      <c r="A603" t="s">
        <v>222</v>
      </c>
      <c r="B603" t="s">
        <v>2157</v>
      </c>
      <c r="C603">
        <v>1.5</v>
      </c>
      <c r="D603">
        <v>33</v>
      </c>
      <c r="E603">
        <f>IF(OR(B603="vi",B603="ii",B603="pod"),(((D603/100)*(C603*VLOOKUP(B603,'Poids des runes'!A:B,2,FALSE)))+1),(((D603/100)*(C603*VLOOKUP(B603,'Poids des runes'!A:B,2,FALSE)))+1)/VLOOKUP(B603,'Poids des runes'!A:B,2,FALSE))</f>
        <v>0.66166666666666674</v>
      </c>
      <c r="F603">
        <f t="shared" si="9"/>
        <v>0.66166666666666674</v>
      </c>
    </row>
    <row r="604" spans="1:6" x14ac:dyDescent="0.3">
      <c r="A604" t="s">
        <v>223</v>
      </c>
      <c r="B604" t="s">
        <v>2155</v>
      </c>
      <c r="C604">
        <v>1</v>
      </c>
      <c r="D604">
        <v>33</v>
      </c>
      <c r="E604">
        <f>IF(OR(B604="vi",B604="ii",B604="pod"),(((D604/100)*(C604*VLOOKUP(B604,'Poids des runes'!A:B,2,FALSE)))+1),(((D604/100)*(C604*VLOOKUP(B604,'Poids des runes'!A:B,2,FALSE)))+1)/VLOOKUP(B604,'Poids des runes'!A:B,2,FALSE))</f>
        <v>0.34960784313725496</v>
      </c>
      <c r="F604">
        <f t="shared" si="9"/>
        <v>0.34960784313725496</v>
      </c>
    </row>
    <row r="605" spans="1:6" x14ac:dyDescent="0.3">
      <c r="A605" t="s">
        <v>223</v>
      </c>
      <c r="B605" t="s">
        <v>2140</v>
      </c>
      <c r="C605">
        <v>2.5</v>
      </c>
      <c r="D605">
        <v>33</v>
      </c>
      <c r="E605">
        <f>IF(OR(B605="vi",B605="ii",B605="pod"),(((D605/100)*(C605*VLOOKUP(B605,'Poids des runes'!A:B,2,FALSE)))+1),(((D605/100)*(C605*VLOOKUP(B605,'Poids des runes'!A:B,2,FALSE)))+1)/VLOOKUP(B605,'Poids des runes'!A:B,2,FALSE))</f>
        <v>1.0249999999999999</v>
      </c>
      <c r="F605">
        <f t="shared" si="9"/>
        <v>1.0249999999999999</v>
      </c>
    </row>
    <row r="606" spans="1:6" x14ac:dyDescent="0.3">
      <c r="A606" t="s">
        <v>223</v>
      </c>
      <c r="B606" t="s">
        <v>2141</v>
      </c>
      <c r="C606">
        <v>2.5</v>
      </c>
      <c r="D606">
        <v>33</v>
      </c>
      <c r="E606">
        <f>IF(OR(B606="vi",B606="ii",B606="pod"),(((D606/100)*(C606*VLOOKUP(B606,'Poids des runes'!A:B,2,FALSE)))+1),(((D606/100)*(C606*VLOOKUP(B606,'Poids des runes'!A:B,2,FALSE)))+1)/VLOOKUP(B606,'Poids des runes'!A:B,2,FALSE))</f>
        <v>1.0750000000000002</v>
      </c>
      <c r="F606">
        <f t="shared" si="9"/>
        <v>1.0750000000000002</v>
      </c>
    </row>
    <row r="607" spans="1:6" x14ac:dyDescent="0.3">
      <c r="A607" t="s">
        <v>224</v>
      </c>
      <c r="B607" t="s">
        <v>2128</v>
      </c>
      <c r="C607">
        <v>35.5</v>
      </c>
      <c r="D607">
        <v>34</v>
      </c>
      <c r="E607">
        <f>IF(OR(B607="vi",B607="ii",B607="pod"),(((D607/100)*(C607*VLOOKUP(B607,'Poids des runes'!A:B,2,FALSE)))+1),(((D607/100)*(C607*VLOOKUP(B607,'Poids des runes'!A:B,2,FALSE)))+1)/VLOOKUP(B607,'Poids des runes'!A:B,2,FALSE))</f>
        <v>3.4140000000000001</v>
      </c>
      <c r="F607">
        <f t="shared" si="9"/>
        <v>3.4140000000000001</v>
      </c>
    </row>
    <row r="608" spans="1:6" x14ac:dyDescent="0.3">
      <c r="A608" t="s">
        <v>224</v>
      </c>
      <c r="B608" t="s">
        <v>2139</v>
      </c>
      <c r="C608">
        <v>8.5</v>
      </c>
      <c r="D608">
        <v>34</v>
      </c>
      <c r="E608">
        <f>IF(OR(B608="vi",B608="ii",B608="pod"),(((D608/100)*(C608*VLOOKUP(B608,'Poids des runes'!A:B,2,FALSE)))+1),(((D608/100)*(C608*VLOOKUP(B608,'Poids des runes'!A:B,2,FALSE)))+1)/VLOOKUP(B608,'Poids des runes'!A:B,2,FALSE))</f>
        <v>3.39</v>
      </c>
      <c r="F608">
        <f t="shared" si="9"/>
        <v>3.39</v>
      </c>
    </row>
    <row r="609" spans="1:6" x14ac:dyDescent="0.3">
      <c r="A609" t="s">
        <v>224</v>
      </c>
      <c r="B609" t="s">
        <v>2147</v>
      </c>
      <c r="C609">
        <v>2</v>
      </c>
      <c r="D609">
        <v>34</v>
      </c>
      <c r="E609">
        <f>IF(OR(B609="vi",B609="ii",B609="pod"),(((D609/100)*(C609*VLOOKUP(B609,'Poids des runes'!A:B,2,FALSE)))+1),(((D609/100)*(C609*VLOOKUP(B609,'Poids des runes'!A:B,2,FALSE)))+1)/VLOOKUP(B609,'Poids des runes'!A:B,2,FALSE))</f>
        <v>0.84666666666666668</v>
      </c>
      <c r="F609">
        <f t="shared" si="9"/>
        <v>0.84666666666666668</v>
      </c>
    </row>
    <row r="610" spans="1:6" x14ac:dyDescent="0.3">
      <c r="A610" t="s">
        <v>224</v>
      </c>
      <c r="B610" t="s">
        <v>2135</v>
      </c>
      <c r="C610">
        <v>2</v>
      </c>
      <c r="D610">
        <v>34</v>
      </c>
      <c r="E610">
        <f>IF(OR(B610="vi",B610="ii",B610="pod"),(((D610/100)*(C610*VLOOKUP(B610,'Poids des runes'!A:B,2,FALSE)))+1),(((D610/100)*(C610*VLOOKUP(B610,'Poids des runes'!A:B,2,FALSE)))+1)/VLOOKUP(B610,'Poids des runes'!A:B,2,FALSE))</f>
        <v>0.84666666666666668</v>
      </c>
      <c r="F610">
        <f t="shared" si="9"/>
        <v>0.84666666666666668</v>
      </c>
    </row>
    <row r="611" spans="1:6" x14ac:dyDescent="0.3">
      <c r="A611" t="s">
        <v>224</v>
      </c>
      <c r="B611" t="s">
        <v>2157</v>
      </c>
      <c r="C611">
        <v>2</v>
      </c>
      <c r="D611">
        <v>34</v>
      </c>
      <c r="E611">
        <f>IF(OR(B611="vi",B611="ii",B611="pod"),(((D611/100)*(C611*VLOOKUP(B611,'Poids des runes'!A:B,2,FALSE)))+1),(((D611/100)*(C611*VLOOKUP(B611,'Poids des runes'!A:B,2,FALSE)))+1)/VLOOKUP(B611,'Poids des runes'!A:B,2,FALSE))</f>
        <v>0.84666666666666668</v>
      </c>
      <c r="F611">
        <f t="shared" si="9"/>
        <v>0.84666666666666668</v>
      </c>
    </row>
    <row r="612" spans="1:6" x14ac:dyDescent="0.3">
      <c r="A612" t="s">
        <v>225</v>
      </c>
      <c r="B612" t="s">
        <v>2131</v>
      </c>
      <c r="C612">
        <v>18</v>
      </c>
      <c r="D612">
        <v>34</v>
      </c>
      <c r="E612">
        <f>IF(OR(B612="vi",B612="ii",B612="pod"),(((D612/100)*(C612*VLOOKUP(B612,'Poids des runes'!A:B,2,FALSE)))+1),(((D612/100)*(C612*VLOOKUP(B612,'Poids des runes'!A:B,2,FALSE)))+1)/VLOOKUP(B612,'Poids des runes'!A:B,2,FALSE))</f>
        <v>7.12</v>
      </c>
      <c r="F612">
        <f t="shared" si="9"/>
        <v>7.12</v>
      </c>
    </row>
    <row r="613" spans="1:6" x14ac:dyDescent="0.3">
      <c r="A613" t="s">
        <v>225</v>
      </c>
      <c r="B613" t="s">
        <v>2154</v>
      </c>
      <c r="C613">
        <v>1</v>
      </c>
      <c r="D613">
        <v>34</v>
      </c>
      <c r="E613">
        <f>IF(OR(B613="vi",B613="ii",B613="pod"),(((D613/100)*(C613*VLOOKUP(B613,'Poids des runes'!A:B,2,FALSE)))+1),(((D613/100)*(C613*VLOOKUP(B613,'Poids des runes'!A:B,2,FALSE)))+1)/VLOOKUP(B613,'Poids des runes'!A:B,2,FALSE))</f>
        <v>0.35111111111111115</v>
      </c>
      <c r="F613">
        <f t="shared" si="9"/>
        <v>0.35111111111111115</v>
      </c>
    </row>
    <row r="614" spans="1:6" x14ac:dyDescent="0.3">
      <c r="A614" t="s">
        <v>226</v>
      </c>
      <c r="B614" t="s">
        <v>2128</v>
      </c>
      <c r="C614">
        <v>120.5</v>
      </c>
      <c r="D614">
        <v>34</v>
      </c>
      <c r="E614">
        <f>IF(OR(B614="vi",B614="ii",B614="pod"),(((D614/100)*(C614*VLOOKUP(B614,'Poids des runes'!A:B,2,FALSE)))+1),(((D614/100)*(C614*VLOOKUP(B614,'Poids des runes'!A:B,2,FALSE)))+1)/VLOOKUP(B614,'Poids des runes'!A:B,2,FALSE))</f>
        <v>9.1940000000000008</v>
      </c>
      <c r="F614">
        <f t="shared" si="9"/>
        <v>9.1940000000000008</v>
      </c>
    </row>
    <row r="615" spans="1:6" x14ac:dyDescent="0.3">
      <c r="A615" t="s">
        <v>226</v>
      </c>
      <c r="B615" t="s">
        <v>2149</v>
      </c>
      <c r="C615">
        <v>8.5</v>
      </c>
      <c r="D615">
        <v>34</v>
      </c>
      <c r="E615">
        <f>IF(OR(B615="vi",B615="ii",B615="pod"),(((D615/100)*(C615*VLOOKUP(B615,'Poids des runes'!A:B,2,FALSE)))+1),(((D615/100)*(C615*VLOOKUP(B615,'Poids des runes'!A:B,2,FALSE)))+1)/VLOOKUP(B615,'Poids des runes'!A:B,2,FALSE))</f>
        <v>2.99</v>
      </c>
      <c r="F615">
        <f t="shared" si="9"/>
        <v>2.99</v>
      </c>
    </row>
    <row r="616" spans="1:6" x14ac:dyDescent="0.3">
      <c r="A616" t="s">
        <v>227</v>
      </c>
      <c r="B616" t="s">
        <v>2128</v>
      </c>
      <c r="C616">
        <v>45.5</v>
      </c>
      <c r="D616">
        <v>34</v>
      </c>
      <c r="E616">
        <f>IF(OR(B616="vi",B616="ii",B616="pod"),(((D616/100)*(C616*VLOOKUP(B616,'Poids des runes'!A:B,2,FALSE)))+1),(((D616/100)*(C616*VLOOKUP(B616,'Poids des runes'!A:B,2,FALSE)))+1)/VLOOKUP(B616,'Poids des runes'!A:B,2,FALSE))</f>
        <v>4.0940000000000003</v>
      </c>
      <c r="F616">
        <f t="shared" si="9"/>
        <v>4.0940000000000003</v>
      </c>
    </row>
    <row r="617" spans="1:6" x14ac:dyDescent="0.3">
      <c r="A617" t="s">
        <v>227</v>
      </c>
      <c r="B617" t="s">
        <v>2126</v>
      </c>
      <c r="C617">
        <v>18</v>
      </c>
      <c r="D617">
        <v>34</v>
      </c>
      <c r="E617">
        <f>IF(OR(B617="vi",B617="ii",B617="pod"),(((D617/100)*(C617*VLOOKUP(B617,'Poids des runes'!A:B,2,FALSE)))+1),(((D617/100)*(C617*VLOOKUP(B617,'Poids des runes'!A:B,2,FALSE)))+1)/VLOOKUP(B617,'Poids des runes'!A:B,2,FALSE))</f>
        <v>7.12</v>
      </c>
      <c r="F617">
        <f t="shared" si="9"/>
        <v>7.12</v>
      </c>
    </row>
    <row r="618" spans="1:6" x14ac:dyDescent="0.3">
      <c r="A618" t="s">
        <v>227</v>
      </c>
      <c r="B618" t="s">
        <v>2131</v>
      </c>
      <c r="C618">
        <v>18</v>
      </c>
      <c r="D618">
        <v>34</v>
      </c>
      <c r="E618">
        <f>IF(OR(B618="vi",B618="ii",B618="pod"),(((D618/100)*(C618*VLOOKUP(B618,'Poids des runes'!A:B,2,FALSE)))+1),(((D618/100)*(C618*VLOOKUP(B618,'Poids des runes'!A:B,2,FALSE)))+1)/VLOOKUP(B618,'Poids des runes'!A:B,2,FALSE))</f>
        <v>7.12</v>
      </c>
      <c r="F618">
        <f t="shared" si="9"/>
        <v>7.12</v>
      </c>
    </row>
    <row r="619" spans="1:6" x14ac:dyDescent="0.3">
      <c r="A619" t="s">
        <v>227</v>
      </c>
      <c r="B619" t="s">
        <v>2149</v>
      </c>
      <c r="C619">
        <v>8.5</v>
      </c>
      <c r="D619">
        <v>34</v>
      </c>
      <c r="E619">
        <f>IF(OR(B619="vi",B619="ii",B619="pod"),(((D619/100)*(C619*VLOOKUP(B619,'Poids des runes'!A:B,2,FALSE)))+1),(((D619/100)*(C619*VLOOKUP(B619,'Poids des runes'!A:B,2,FALSE)))+1)/VLOOKUP(B619,'Poids des runes'!A:B,2,FALSE))</f>
        <v>2.99</v>
      </c>
      <c r="F619">
        <f t="shared" si="9"/>
        <v>2.99</v>
      </c>
    </row>
    <row r="620" spans="1:6" x14ac:dyDescent="0.3">
      <c r="A620" t="s">
        <v>227</v>
      </c>
      <c r="B620" t="s">
        <v>2141</v>
      </c>
      <c r="C620">
        <v>3.5</v>
      </c>
      <c r="D620">
        <v>34</v>
      </c>
      <c r="E620">
        <f>IF(OR(B620="vi",B620="ii",B620="pod"),(((D620/100)*(C620*VLOOKUP(B620,'Poids des runes'!A:B,2,FALSE)))+1),(((D620/100)*(C620*VLOOKUP(B620,'Poids des runes'!A:B,2,FALSE)))+1)/VLOOKUP(B620,'Poids des runes'!A:B,2,FALSE))</f>
        <v>1.4400000000000002</v>
      </c>
      <c r="F620">
        <f t="shared" si="9"/>
        <v>1.4400000000000002</v>
      </c>
    </row>
    <row r="621" spans="1:6" x14ac:dyDescent="0.3">
      <c r="A621" t="s">
        <v>228</v>
      </c>
      <c r="B621" t="s">
        <v>2128</v>
      </c>
      <c r="C621">
        <v>45.5</v>
      </c>
      <c r="D621">
        <v>34</v>
      </c>
      <c r="E621">
        <f>IF(OR(B621="vi",B621="ii",B621="pod"),(((D621/100)*(C621*VLOOKUP(B621,'Poids des runes'!A:B,2,FALSE)))+1),(((D621/100)*(C621*VLOOKUP(B621,'Poids des runes'!A:B,2,FALSE)))+1)/VLOOKUP(B621,'Poids des runes'!A:B,2,FALSE))</f>
        <v>4.0940000000000003</v>
      </c>
      <c r="F621">
        <f t="shared" si="9"/>
        <v>4.0940000000000003</v>
      </c>
    </row>
    <row r="622" spans="1:6" x14ac:dyDescent="0.3">
      <c r="A622" t="s">
        <v>228</v>
      </c>
      <c r="B622" t="s">
        <v>2126</v>
      </c>
      <c r="C622">
        <v>45.5</v>
      </c>
      <c r="D622">
        <v>34</v>
      </c>
      <c r="E622">
        <f>IF(OR(B622="vi",B622="ii",B622="pod"),(((D622/100)*(C622*VLOOKUP(B622,'Poids des runes'!A:B,2,FALSE)))+1),(((D622/100)*(C622*VLOOKUP(B622,'Poids des runes'!A:B,2,FALSE)))+1)/VLOOKUP(B622,'Poids des runes'!A:B,2,FALSE))</f>
        <v>16.47</v>
      </c>
      <c r="F622">
        <f t="shared" si="9"/>
        <v>16.47</v>
      </c>
    </row>
    <row r="623" spans="1:6" x14ac:dyDescent="0.3">
      <c r="A623" t="s">
        <v>228</v>
      </c>
      <c r="B623" t="s">
        <v>2140</v>
      </c>
      <c r="C623">
        <v>2.5</v>
      </c>
      <c r="D623">
        <v>34</v>
      </c>
      <c r="E623">
        <f>IF(OR(B623="vi",B623="ii",B623="pod"),(((D623/100)*(C623*VLOOKUP(B623,'Poids des runes'!A:B,2,FALSE)))+1),(((D623/100)*(C623*VLOOKUP(B623,'Poids des runes'!A:B,2,FALSE)))+1)/VLOOKUP(B623,'Poids des runes'!A:B,2,FALSE))</f>
        <v>1.05</v>
      </c>
      <c r="F623">
        <f t="shared" si="9"/>
        <v>1.05</v>
      </c>
    </row>
    <row r="624" spans="1:6" x14ac:dyDescent="0.3">
      <c r="A624" t="s">
        <v>229</v>
      </c>
      <c r="B624" t="s">
        <v>2126</v>
      </c>
      <c r="C624">
        <v>13</v>
      </c>
      <c r="D624">
        <v>34</v>
      </c>
      <c r="E624">
        <f>IF(OR(B624="vi",B624="ii",B624="pod"),(((D624/100)*(C624*VLOOKUP(B624,'Poids des runes'!A:B,2,FALSE)))+1),(((D624/100)*(C624*VLOOKUP(B624,'Poids des runes'!A:B,2,FALSE)))+1)/VLOOKUP(B624,'Poids des runes'!A:B,2,FALSE))</f>
        <v>5.42</v>
      </c>
      <c r="F624">
        <f t="shared" si="9"/>
        <v>5.42</v>
      </c>
    </row>
    <row r="625" spans="1:6" x14ac:dyDescent="0.3">
      <c r="A625" t="s">
        <v>229</v>
      </c>
      <c r="B625" t="s">
        <v>2129</v>
      </c>
      <c r="C625">
        <v>6.5</v>
      </c>
      <c r="D625">
        <v>34</v>
      </c>
      <c r="E625">
        <f>IF(OR(B625="vi",B625="ii",B625="pod"),(((D625/100)*(C625*VLOOKUP(B625,'Poids des runes'!A:B,2,FALSE)))+1),(((D625/100)*(C625*VLOOKUP(B625,'Poids des runes'!A:B,2,FALSE)))+1)/VLOOKUP(B625,'Poids des runes'!A:B,2,FALSE))</f>
        <v>3.21</v>
      </c>
      <c r="F625">
        <f t="shared" si="9"/>
        <v>3.21</v>
      </c>
    </row>
    <row r="626" spans="1:6" x14ac:dyDescent="0.3">
      <c r="A626" t="s">
        <v>229</v>
      </c>
      <c r="B626" t="s">
        <v>2149</v>
      </c>
      <c r="C626">
        <v>5</v>
      </c>
      <c r="D626">
        <v>34</v>
      </c>
      <c r="E626">
        <f>IF(OR(B626="vi",B626="ii",B626="pod"),(((D626/100)*(C626*VLOOKUP(B626,'Poids des runes'!A:B,2,FALSE)))+1),(((D626/100)*(C626*VLOOKUP(B626,'Poids des runes'!A:B,2,FALSE)))+1)/VLOOKUP(B626,'Poids des runes'!A:B,2,FALSE))</f>
        <v>1.8</v>
      </c>
      <c r="F626">
        <f t="shared" si="9"/>
        <v>1.8</v>
      </c>
    </row>
    <row r="627" spans="1:6" x14ac:dyDescent="0.3">
      <c r="A627" t="s">
        <v>229</v>
      </c>
      <c r="B627" t="s">
        <v>2135</v>
      </c>
      <c r="C627">
        <v>13</v>
      </c>
      <c r="D627">
        <v>34</v>
      </c>
      <c r="E627">
        <f>IF(OR(B627="vi",B627="ii",B627="pod"),(((D627/100)*(C627*VLOOKUP(B627,'Poids des runes'!A:B,2,FALSE)))+1),(((D627/100)*(C627*VLOOKUP(B627,'Poids des runes'!A:B,2,FALSE)))+1)/VLOOKUP(B627,'Poids des runes'!A:B,2,FALSE))</f>
        <v>4.5866666666666669</v>
      </c>
      <c r="F627">
        <f t="shared" si="9"/>
        <v>4.5866666666666669</v>
      </c>
    </row>
    <row r="628" spans="1:6" x14ac:dyDescent="0.3">
      <c r="A628" t="s">
        <v>230</v>
      </c>
      <c r="B628" t="s">
        <v>2128</v>
      </c>
      <c r="C628">
        <v>28</v>
      </c>
      <c r="D628">
        <v>34</v>
      </c>
      <c r="E628">
        <f>IF(OR(B628="vi",B628="ii",B628="pod"),(((D628/100)*(C628*VLOOKUP(B628,'Poids des runes'!A:B,2,FALSE)))+1),(((D628/100)*(C628*VLOOKUP(B628,'Poids des runes'!A:B,2,FALSE)))+1)/VLOOKUP(B628,'Poids des runes'!A:B,2,FALSE))</f>
        <v>2.9040000000000004</v>
      </c>
      <c r="F628">
        <f t="shared" si="9"/>
        <v>2.9040000000000004</v>
      </c>
    </row>
    <row r="629" spans="1:6" x14ac:dyDescent="0.3">
      <c r="A629" t="s">
        <v>230</v>
      </c>
      <c r="B629" t="s">
        <v>2127</v>
      </c>
      <c r="C629">
        <v>18</v>
      </c>
      <c r="D629">
        <v>34</v>
      </c>
      <c r="E629">
        <f>IF(OR(B629="vi",B629="ii",B629="pod"),(((D629/100)*(C629*VLOOKUP(B629,'Poids des runes'!A:B,2,FALSE)))+1),(((D629/100)*(C629*VLOOKUP(B629,'Poids des runes'!A:B,2,FALSE)))+1)/VLOOKUP(B629,'Poids des runes'!A:B,2,FALSE))</f>
        <v>7.12</v>
      </c>
      <c r="F629">
        <f t="shared" si="9"/>
        <v>7.12</v>
      </c>
    </row>
    <row r="630" spans="1:6" x14ac:dyDescent="0.3">
      <c r="A630" t="s">
        <v>230</v>
      </c>
      <c r="B630" t="s">
        <v>2129</v>
      </c>
      <c r="C630">
        <v>8.5</v>
      </c>
      <c r="D630">
        <v>34</v>
      </c>
      <c r="E630">
        <f>IF(OR(B630="vi",B630="ii",B630="pod"),(((D630/100)*(C630*VLOOKUP(B630,'Poids des runes'!A:B,2,FALSE)))+1),(((D630/100)*(C630*VLOOKUP(B630,'Poids des runes'!A:B,2,FALSE)))+1)/VLOOKUP(B630,'Poids des runes'!A:B,2,FALSE))</f>
        <v>3.89</v>
      </c>
      <c r="F630">
        <f t="shared" si="9"/>
        <v>3.89</v>
      </c>
    </row>
    <row r="631" spans="1:6" x14ac:dyDescent="0.3">
      <c r="A631" t="s">
        <v>230</v>
      </c>
      <c r="B631" t="s">
        <v>2153</v>
      </c>
      <c r="C631">
        <v>1.5</v>
      </c>
      <c r="D631">
        <v>34</v>
      </c>
      <c r="E631">
        <f>IF(OR(B631="vi",B631="ii",B631="pod"),(((D631/100)*(C631*VLOOKUP(B631,'Poids des runes'!A:B,2,FALSE)))+1),(((D631/100)*(C631*VLOOKUP(B631,'Poids des runes'!A:B,2,FALSE)))+1)/VLOOKUP(B631,'Poids des runes'!A:B,2,FALSE))</f>
        <v>0.71000000000000008</v>
      </c>
      <c r="F631">
        <f t="shared" si="9"/>
        <v>0.71000000000000008</v>
      </c>
    </row>
    <row r="632" spans="1:6" x14ac:dyDescent="0.3">
      <c r="A632" t="s">
        <v>231</v>
      </c>
      <c r="B632" t="s">
        <v>2128</v>
      </c>
      <c r="C632">
        <v>40.5</v>
      </c>
      <c r="D632">
        <v>35</v>
      </c>
      <c r="E632">
        <f>IF(OR(B632="vi",B632="ii",B632="pod"),(((D632/100)*(C632*VLOOKUP(B632,'Poids des runes'!A:B,2,FALSE)))+1),(((D632/100)*(C632*VLOOKUP(B632,'Poids des runes'!A:B,2,FALSE)))+1)/VLOOKUP(B632,'Poids des runes'!A:B,2,FALSE))</f>
        <v>3.8349999999999995</v>
      </c>
      <c r="F632">
        <f t="shared" si="9"/>
        <v>3.8349999999999995</v>
      </c>
    </row>
    <row r="633" spans="1:6" x14ac:dyDescent="0.3">
      <c r="A633" t="s">
        <v>231</v>
      </c>
      <c r="B633" t="s">
        <v>2131</v>
      </c>
      <c r="C633">
        <v>30.5</v>
      </c>
      <c r="D633">
        <v>35</v>
      </c>
      <c r="E633">
        <f>IF(OR(B633="vi",B633="ii",B633="pod"),(((D633/100)*(C633*VLOOKUP(B633,'Poids des runes'!A:B,2,FALSE)))+1),(((D633/100)*(C633*VLOOKUP(B633,'Poids des runes'!A:B,2,FALSE)))+1)/VLOOKUP(B633,'Poids des runes'!A:B,2,FALSE))</f>
        <v>11.674999999999999</v>
      </c>
      <c r="F633">
        <f t="shared" si="9"/>
        <v>11.674999999999999</v>
      </c>
    </row>
    <row r="634" spans="1:6" x14ac:dyDescent="0.3">
      <c r="A634" t="s">
        <v>231</v>
      </c>
      <c r="B634" t="s">
        <v>2129</v>
      </c>
      <c r="C634">
        <v>8.5</v>
      </c>
      <c r="D634">
        <v>35</v>
      </c>
      <c r="E634">
        <f>IF(OR(B634="vi",B634="ii",B634="pod"),(((D634/100)*(C634*VLOOKUP(B634,'Poids des runes'!A:B,2,FALSE)))+1),(((D634/100)*(C634*VLOOKUP(B634,'Poids des runes'!A:B,2,FALSE)))+1)/VLOOKUP(B634,'Poids des runes'!A:B,2,FALSE))</f>
        <v>3.9749999999999996</v>
      </c>
      <c r="F634">
        <f t="shared" si="9"/>
        <v>3.9749999999999996</v>
      </c>
    </row>
    <row r="635" spans="1:6" x14ac:dyDescent="0.3">
      <c r="A635" t="s">
        <v>232</v>
      </c>
      <c r="B635" t="s">
        <v>2128</v>
      </c>
      <c r="C635">
        <v>25.5</v>
      </c>
      <c r="D635">
        <v>35</v>
      </c>
      <c r="E635">
        <f>IF(OR(B635="vi",B635="ii",B635="pod"),(((D635/100)*(C635*VLOOKUP(B635,'Poids des runes'!A:B,2,FALSE)))+1),(((D635/100)*(C635*VLOOKUP(B635,'Poids des runes'!A:B,2,FALSE)))+1)/VLOOKUP(B635,'Poids des runes'!A:B,2,FALSE))</f>
        <v>2.7850000000000001</v>
      </c>
      <c r="F635">
        <f t="shared" si="9"/>
        <v>2.7850000000000001</v>
      </c>
    </row>
    <row r="636" spans="1:6" x14ac:dyDescent="0.3">
      <c r="A636" t="s">
        <v>232</v>
      </c>
      <c r="B636" t="s">
        <v>2130</v>
      </c>
      <c r="C636">
        <v>45.5</v>
      </c>
      <c r="D636">
        <v>35</v>
      </c>
      <c r="E636">
        <f>IF(OR(B636="vi",B636="ii",B636="pod"),(((D636/100)*(C636*VLOOKUP(B636,'Poids des runes'!A:B,2,FALSE)))+1),(((D636/100)*(C636*VLOOKUP(B636,'Poids des runes'!A:B,2,FALSE)))+1)/VLOOKUP(B636,'Poids des runes'!A:B,2,FALSE))</f>
        <v>16.924999999999997</v>
      </c>
      <c r="F636">
        <f t="shared" si="9"/>
        <v>16.924999999999997</v>
      </c>
    </row>
    <row r="637" spans="1:6" x14ac:dyDescent="0.3">
      <c r="A637" t="s">
        <v>232</v>
      </c>
      <c r="B637" t="s">
        <v>2129</v>
      </c>
      <c r="C637">
        <v>13</v>
      </c>
      <c r="D637">
        <v>35</v>
      </c>
      <c r="E637">
        <f>IF(OR(B637="vi",B637="ii",B637="pod"),(((D637/100)*(C637*VLOOKUP(B637,'Poids des runes'!A:B,2,FALSE)))+1),(((D637/100)*(C637*VLOOKUP(B637,'Poids des runes'!A:B,2,FALSE)))+1)/VLOOKUP(B637,'Poids des runes'!A:B,2,FALSE))</f>
        <v>5.55</v>
      </c>
      <c r="F637">
        <f t="shared" si="9"/>
        <v>5.55</v>
      </c>
    </row>
    <row r="638" spans="1:6" x14ac:dyDescent="0.3">
      <c r="A638" t="s">
        <v>233</v>
      </c>
      <c r="B638" t="s">
        <v>2128</v>
      </c>
      <c r="C638">
        <v>25.5</v>
      </c>
      <c r="D638">
        <v>35</v>
      </c>
      <c r="E638">
        <f>IF(OR(B638="vi",B638="ii",B638="pod"),(((D638/100)*(C638*VLOOKUP(B638,'Poids des runes'!A:B,2,FALSE)))+1),(((D638/100)*(C638*VLOOKUP(B638,'Poids des runes'!A:B,2,FALSE)))+1)/VLOOKUP(B638,'Poids des runes'!A:B,2,FALSE))</f>
        <v>2.7850000000000001</v>
      </c>
      <c r="F638">
        <f t="shared" si="9"/>
        <v>2.7850000000000001</v>
      </c>
    </row>
    <row r="639" spans="1:6" x14ac:dyDescent="0.3">
      <c r="A639" t="s">
        <v>233</v>
      </c>
      <c r="B639" t="s">
        <v>2126</v>
      </c>
      <c r="C639">
        <v>18</v>
      </c>
      <c r="D639">
        <v>35</v>
      </c>
      <c r="E639">
        <f>IF(OR(B639="vi",B639="ii",B639="pod"),(((D639/100)*(C639*VLOOKUP(B639,'Poids des runes'!A:B,2,FALSE)))+1),(((D639/100)*(C639*VLOOKUP(B639,'Poids des runes'!A:B,2,FALSE)))+1)/VLOOKUP(B639,'Poids des runes'!A:B,2,FALSE))</f>
        <v>7.3</v>
      </c>
      <c r="F639">
        <f t="shared" si="9"/>
        <v>7.3</v>
      </c>
    </row>
    <row r="640" spans="1:6" x14ac:dyDescent="0.3">
      <c r="A640" t="s">
        <v>233</v>
      </c>
      <c r="B640" t="s">
        <v>2129</v>
      </c>
      <c r="C640">
        <v>13</v>
      </c>
      <c r="D640">
        <v>35</v>
      </c>
      <c r="E640">
        <f>IF(OR(B640="vi",B640="ii",B640="pod"),(((D640/100)*(C640*VLOOKUP(B640,'Poids des runes'!A:B,2,FALSE)))+1),(((D640/100)*(C640*VLOOKUP(B640,'Poids des runes'!A:B,2,FALSE)))+1)/VLOOKUP(B640,'Poids des runes'!A:B,2,FALSE))</f>
        <v>5.55</v>
      </c>
      <c r="F640">
        <f t="shared" si="9"/>
        <v>5.55</v>
      </c>
    </row>
    <row r="641" spans="1:6" x14ac:dyDescent="0.3">
      <c r="A641" t="s">
        <v>233</v>
      </c>
      <c r="B641" t="s">
        <v>2149</v>
      </c>
      <c r="C641">
        <v>8.5</v>
      </c>
      <c r="D641">
        <v>35</v>
      </c>
      <c r="E641">
        <f>IF(OR(B641="vi",B641="ii",B641="pod"),(((D641/100)*(C641*VLOOKUP(B641,'Poids des runes'!A:B,2,FALSE)))+1),(((D641/100)*(C641*VLOOKUP(B641,'Poids des runes'!A:B,2,FALSE)))+1)/VLOOKUP(B641,'Poids des runes'!A:B,2,FALSE))</f>
        <v>3.0749999999999997</v>
      </c>
      <c r="F641">
        <f t="shared" si="9"/>
        <v>3.0749999999999997</v>
      </c>
    </row>
    <row r="642" spans="1:6" x14ac:dyDescent="0.3">
      <c r="A642" t="s">
        <v>234</v>
      </c>
      <c r="B642" t="s">
        <v>2131</v>
      </c>
      <c r="C642">
        <v>25.5</v>
      </c>
      <c r="D642">
        <v>35</v>
      </c>
      <c r="E642">
        <f>IF(OR(B642="vi",B642="ii",B642="pod"),(((D642/100)*(C642*VLOOKUP(B642,'Poids des runes'!A:B,2,FALSE)))+1),(((D642/100)*(C642*VLOOKUP(B642,'Poids des runes'!A:B,2,FALSE)))+1)/VLOOKUP(B642,'Poids des runes'!A:B,2,FALSE))</f>
        <v>9.9249999999999989</v>
      </c>
      <c r="F642">
        <f t="shared" si="9"/>
        <v>9.9249999999999989</v>
      </c>
    </row>
    <row r="643" spans="1:6" x14ac:dyDescent="0.3">
      <c r="A643" t="s">
        <v>234</v>
      </c>
      <c r="B643" t="s">
        <v>2127</v>
      </c>
      <c r="C643">
        <v>25.5</v>
      </c>
      <c r="D643">
        <v>35</v>
      </c>
      <c r="E643">
        <f>IF(OR(B643="vi",B643="ii",B643="pod"),(((D643/100)*(C643*VLOOKUP(B643,'Poids des runes'!A:B,2,FALSE)))+1),(((D643/100)*(C643*VLOOKUP(B643,'Poids des runes'!A:B,2,FALSE)))+1)/VLOOKUP(B643,'Poids des runes'!A:B,2,FALSE))</f>
        <v>9.9249999999999989</v>
      </c>
      <c r="F643">
        <f t="shared" ref="F643:F706" si="10">E643</f>
        <v>9.9249999999999989</v>
      </c>
    </row>
    <row r="644" spans="1:6" x14ac:dyDescent="0.3">
      <c r="A644" t="s">
        <v>234</v>
      </c>
      <c r="B644" t="s">
        <v>2139</v>
      </c>
      <c r="C644">
        <v>8.5</v>
      </c>
      <c r="D644">
        <v>35</v>
      </c>
      <c r="E644">
        <f>IF(OR(B644="vi",B644="ii",B644="pod"),(((D644/100)*(C644*VLOOKUP(B644,'Poids des runes'!A:B,2,FALSE)))+1),(((D644/100)*(C644*VLOOKUP(B644,'Poids des runes'!A:B,2,FALSE)))+1)/VLOOKUP(B644,'Poids des runes'!A:B,2,FALSE))</f>
        <v>3.4749999999999996</v>
      </c>
      <c r="F644">
        <f t="shared" si="10"/>
        <v>3.4749999999999996</v>
      </c>
    </row>
    <row r="645" spans="1:6" x14ac:dyDescent="0.3">
      <c r="A645" t="s">
        <v>235</v>
      </c>
      <c r="B645" t="s">
        <v>2128</v>
      </c>
      <c r="C645">
        <v>18</v>
      </c>
      <c r="D645">
        <v>36</v>
      </c>
      <c r="E645">
        <f>IF(OR(B645="vi",B645="ii",B645="pod"),(((D645/100)*(C645*VLOOKUP(B645,'Poids des runes'!A:B,2,FALSE)))+1),(((D645/100)*(C645*VLOOKUP(B645,'Poids des runes'!A:B,2,FALSE)))+1)/VLOOKUP(B645,'Poids des runes'!A:B,2,FALSE))</f>
        <v>2.2960000000000003</v>
      </c>
      <c r="F645">
        <f t="shared" si="10"/>
        <v>2.2960000000000003</v>
      </c>
    </row>
    <row r="646" spans="1:6" x14ac:dyDescent="0.3">
      <c r="A646" t="s">
        <v>235</v>
      </c>
      <c r="B646" t="s">
        <v>2131</v>
      </c>
      <c r="C646">
        <v>13</v>
      </c>
      <c r="D646">
        <v>36</v>
      </c>
      <c r="E646">
        <f>IF(OR(B646="vi",B646="ii",B646="pod"),(((D646/100)*(C646*VLOOKUP(B646,'Poids des runes'!A:B,2,FALSE)))+1),(((D646/100)*(C646*VLOOKUP(B646,'Poids des runes'!A:B,2,FALSE)))+1)/VLOOKUP(B646,'Poids des runes'!A:B,2,FALSE))</f>
        <v>5.68</v>
      </c>
      <c r="F646">
        <f t="shared" si="10"/>
        <v>5.68</v>
      </c>
    </row>
    <row r="647" spans="1:6" x14ac:dyDescent="0.3">
      <c r="A647" t="s">
        <v>235</v>
      </c>
      <c r="B647" t="s">
        <v>2155</v>
      </c>
      <c r="C647">
        <v>1</v>
      </c>
      <c r="D647">
        <v>36</v>
      </c>
      <c r="E647">
        <f>IF(OR(B647="vi",B647="ii",B647="pod"),(((D647/100)*(C647*VLOOKUP(B647,'Poids des runes'!A:B,2,FALSE)))+1),(((D647/100)*(C647*VLOOKUP(B647,'Poids des runes'!A:B,2,FALSE)))+1)/VLOOKUP(B647,'Poids des runes'!A:B,2,FALSE))</f>
        <v>0.37960784313725487</v>
      </c>
      <c r="F647">
        <f t="shared" si="10"/>
        <v>0.37960784313725487</v>
      </c>
    </row>
    <row r="648" spans="1:6" x14ac:dyDescent="0.3">
      <c r="A648" t="s">
        <v>236</v>
      </c>
      <c r="B648" t="s">
        <v>2128</v>
      </c>
      <c r="C648">
        <v>45.5</v>
      </c>
      <c r="D648">
        <v>36</v>
      </c>
      <c r="E648">
        <f>IF(OR(B648="vi",B648="ii",B648="pod"),(((D648/100)*(C648*VLOOKUP(B648,'Poids des runes'!A:B,2,FALSE)))+1),(((D648/100)*(C648*VLOOKUP(B648,'Poids des runes'!A:B,2,FALSE)))+1)/VLOOKUP(B648,'Poids des runes'!A:B,2,FALSE))</f>
        <v>4.2759999999999998</v>
      </c>
      <c r="F648">
        <f t="shared" si="10"/>
        <v>4.2759999999999998</v>
      </c>
    </row>
    <row r="649" spans="1:6" x14ac:dyDescent="0.3">
      <c r="A649" t="s">
        <v>236</v>
      </c>
      <c r="B649" t="s">
        <v>2127</v>
      </c>
      <c r="C649">
        <v>45.5</v>
      </c>
      <c r="D649">
        <v>36</v>
      </c>
      <c r="E649">
        <f>IF(OR(B649="vi",B649="ii",B649="pod"),(((D649/100)*(C649*VLOOKUP(B649,'Poids des runes'!A:B,2,FALSE)))+1),(((D649/100)*(C649*VLOOKUP(B649,'Poids des runes'!A:B,2,FALSE)))+1)/VLOOKUP(B649,'Poids des runes'!A:B,2,FALSE))</f>
        <v>17.38</v>
      </c>
      <c r="F649">
        <f t="shared" si="10"/>
        <v>17.38</v>
      </c>
    </row>
    <row r="650" spans="1:6" x14ac:dyDescent="0.3">
      <c r="A650" t="s">
        <v>237</v>
      </c>
      <c r="B650" t="s">
        <v>2130</v>
      </c>
      <c r="C650">
        <v>45.5</v>
      </c>
      <c r="D650">
        <v>36</v>
      </c>
      <c r="E650">
        <f>IF(OR(B650="vi",B650="ii",B650="pod"),(((D650/100)*(C650*VLOOKUP(B650,'Poids des runes'!A:B,2,FALSE)))+1),(((D650/100)*(C650*VLOOKUP(B650,'Poids des runes'!A:B,2,FALSE)))+1)/VLOOKUP(B650,'Poids des runes'!A:B,2,FALSE))</f>
        <v>17.38</v>
      </c>
      <c r="F650">
        <f t="shared" si="10"/>
        <v>17.38</v>
      </c>
    </row>
    <row r="651" spans="1:6" x14ac:dyDescent="0.3">
      <c r="A651" t="s">
        <v>237</v>
      </c>
      <c r="B651" t="s">
        <v>2126</v>
      </c>
      <c r="C651">
        <v>45.5</v>
      </c>
      <c r="D651">
        <v>36</v>
      </c>
      <c r="E651">
        <f>IF(OR(B651="vi",B651="ii",B651="pod"),(((D651/100)*(C651*VLOOKUP(B651,'Poids des runes'!A:B,2,FALSE)))+1),(((D651/100)*(C651*VLOOKUP(B651,'Poids des runes'!A:B,2,FALSE)))+1)/VLOOKUP(B651,'Poids des runes'!A:B,2,FALSE))</f>
        <v>17.38</v>
      </c>
      <c r="F651">
        <f t="shared" si="10"/>
        <v>17.38</v>
      </c>
    </row>
    <row r="652" spans="1:6" x14ac:dyDescent="0.3">
      <c r="A652" t="s">
        <v>238</v>
      </c>
      <c r="B652" t="s">
        <v>2127</v>
      </c>
      <c r="C652">
        <v>50.5</v>
      </c>
      <c r="D652">
        <v>36</v>
      </c>
      <c r="E652">
        <f>IF(OR(B652="vi",B652="ii",B652="pod"),(((D652/100)*(C652*VLOOKUP(B652,'Poids des runes'!A:B,2,FALSE)))+1),(((D652/100)*(C652*VLOOKUP(B652,'Poids des runes'!A:B,2,FALSE)))+1)/VLOOKUP(B652,'Poids des runes'!A:B,2,FALSE))</f>
        <v>19.18</v>
      </c>
      <c r="F652">
        <f t="shared" si="10"/>
        <v>19.18</v>
      </c>
    </row>
    <row r="653" spans="1:6" x14ac:dyDescent="0.3">
      <c r="A653" t="s">
        <v>238</v>
      </c>
      <c r="B653" t="s">
        <v>2154</v>
      </c>
      <c r="C653">
        <v>1</v>
      </c>
      <c r="D653">
        <v>36</v>
      </c>
      <c r="E653">
        <f>IF(OR(B653="vi",B653="ii",B653="pod"),(((D653/100)*(C653*VLOOKUP(B653,'Poids des runes'!A:B,2,FALSE)))+1),(((D653/100)*(C653*VLOOKUP(B653,'Poids des runes'!A:B,2,FALSE)))+1)/VLOOKUP(B653,'Poids des runes'!A:B,2,FALSE))</f>
        <v>0.37111111111111111</v>
      </c>
      <c r="F653">
        <f t="shared" si="10"/>
        <v>0.37111111111111111</v>
      </c>
    </row>
    <row r="654" spans="1:6" x14ac:dyDescent="0.3">
      <c r="A654" t="s">
        <v>239</v>
      </c>
      <c r="B654" t="s">
        <v>2128</v>
      </c>
      <c r="C654">
        <v>13</v>
      </c>
      <c r="D654">
        <v>36</v>
      </c>
      <c r="E654">
        <f>IF(OR(B654="vi",B654="ii",B654="pod"),(((D654/100)*(C654*VLOOKUP(B654,'Poids des runes'!A:B,2,FALSE)))+1),(((D654/100)*(C654*VLOOKUP(B654,'Poids des runes'!A:B,2,FALSE)))+1)/VLOOKUP(B654,'Poids des runes'!A:B,2,FALSE))</f>
        <v>1.9359999999999999</v>
      </c>
      <c r="F654">
        <f t="shared" si="10"/>
        <v>1.9359999999999999</v>
      </c>
    </row>
    <row r="655" spans="1:6" x14ac:dyDescent="0.3">
      <c r="A655" t="s">
        <v>239</v>
      </c>
      <c r="B655" t="s">
        <v>2127</v>
      </c>
      <c r="C655">
        <v>18</v>
      </c>
      <c r="D655">
        <v>36</v>
      </c>
      <c r="E655">
        <f>IF(OR(B655="vi",B655="ii",B655="pod"),(((D655/100)*(C655*VLOOKUP(B655,'Poids des runes'!A:B,2,FALSE)))+1),(((D655/100)*(C655*VLOOKUP(B655,'Poids des runes'!A:B,2,FALSE)))+1)/VLOOKUP(B655,'Poids des runes'!A:B,2,FALSE))</f>
        <v>7.4799999999999995</v>
      </c>
      <c r="F655">
        <f t="shared" si="10"/>
        <v>7.4799999999999995</v>
      </c>
    </row>
    <row r="656" spans="1:6" x14ac:dyDescent="0.3">
      <c r="A656" t="s">
        <v>239</v>
      </c>
      <c r="B656" t="s">
        <v>2151</v>
      </c>
      <c r="C656">
        <v>3.5</v>
      </c>
      <c r="D656">
        <v>36</v>
      </c>
      <c r="E656">
        <f>IF(OR(B656="vi",B656="ii",B656="pod"),(((D656/100)*(C656*VLOOKUP(B656,'Poids des runes'!A:B,2,FALSE)))+1),(((D656/100)*(C656*VLOOKUP(B656,'Poids des runes'!A:B,2,FALSE)))+1)/VLOOKUP(B656,'Poids des runes'!A:B,2,FALSE))</f>
        <v>1.3599999999999999</v>
      </c>
      <c r="F656">
        <f t="shared" si="10"/>
        <v>1.3599999999999999</v>
      </c>
    </row>
    <row r="657" spans="1:6" x14ac:dyDescent="0.3">
      <c r="A657" t="s">
        <v>239</v>
      </c>
      <c r="B657" t="s">
        <v>2134</v>
      </c>
      <c r="C657">
        <v>3.5</v>
      </c>
      <c r="D657">
        <v>36</v>
      </c>
      <c r="E657">
        <f>IF(OR(B657="vi",B657="ii",B657="pod"),(((D657/100)*(C657*VLOOKUP(B657,'Poids des runes'!A:B,2,FALSE)))+1),(((D657/100)*(C657*VLOOKUP(B657,'Poids des runes'!A:B,2,FALSE)))+1)/VLOOKUP(B657,'Poids des runes'!A:B,2,FALSE))</f>
        <v>1.31</v>
      </c>
      <c r="F657">
        <f t="shared" si="10"/>
        <v>1.31</v>
      </c>
    </row>
    <row r="658" spans="1:6" x14ac:dyDescent="0.3">
      <c r="A658" t="s">
        <v>240</v>
      </c>
      <c r="B658" t="s">
        <v>2128</v>
      </c>
      <c r="C658">
        <v>18</v>
      </c>
      <c r="D658">
        <v>36</v>
      </c>
      <c r="E658">
        <f>IF(OR(B658="vi",B658="ii",B658="pod"),(((D658/100)*(C658*VLOOKUP(B658,'Poids des runes'!A:B,2,FALSE)))+1),(((D658/100)*(C658*VLOOKUP(B658,'Poids des runes'!A:B,2,FALSE)))+1)/VLOOKUP(B658,'Poids des runes'!A:B,2,FALSE))</f>
        <v>2.2960000000000003</v>
      </c>
      <c r="F658">
        <f t="shared" si="10"/>
        <v>2.2960000000000003</v>
      </c>
    </row>
    <row r="659" spans="1:6" x14ac:dyDescent="0.3">
      <c r="A659" t="s">
        <v>240</v>
      </c>
      <c r="B659" t="s">
        <v>2127</v>
      </c>
      <c r="C659">
        <v>25.5</v>
      </c>
      <c r="D659">
        <v>36</v>
      </c>
      <c r="E659">
        <f>IF(OR(B659="vi",B659="ii",B659="pod"),(((D659/100)*(C659*VLOOKUP(B659,'Poids des runes'!A:B,2,FALSE)))+1),(((D659/100)*(C659*VLOOKUP(B659,'Poids des runes'!A:B,2,FALSE)))+1)/VLOOKUP(B659,'Poids des runes'!A:B,2,FALSE))</f>
        <v>10.18</v>
      </c>
      <c r="F659">
        <f t="shared" si="10"/>
        <v>10.18</v>
      </c>
    </row>
    <row r="660" spans="1:6" x14ac:dyDescent="0.3">
      <c r="A660" t="s">
        <v>240</v>
      </c>
      <c r="B660" t="s">
        <v>2151</v>
      </c>
      <c r="C660">
        <v>2</v>
      </c>
      <c r="D660">
        <v>36</v>
      </c>
      <c r="E660">
        <f>IF(OR(B660="vi",B660="ii",B660="pod"),(((D660/100)*(C660*VLOOKUP(B660,'Poids des runes'!A:B,2,FALSE)))+1),(((D660/100)*(C660*VLOOKUP(B660,'Poids des runes'!A:B,2,FALSE)))+1)/VLOOKUP(B660,'Poids des runes'!A:B,2,FALSE))</f>
        <v>0.82</v>
      </c>
      <c r="F660">
        <f t="shared" si="10"/>
        <v>0.82</v>
      </c>
    </row>
    <row r="661" spans="1:6" x14ac:dyDescent="0.3">
      <c r="A661" t="s">
        <v>240</v>
      </c>
      <c r="B661" t="s">
        <v>2132</v>
      </c>
      <c r="C661">
        <v>175.5</v>
      </c>
      <c r="D661">
        <v>36</v>
      </c>
      <c r="E661">
        <f>IF(OR(B661="vi",B661="ii",B661="pod"),(((D661/100)*(C661*VLOOKUP(B661,'Poids des runes'!A:B,2,FALSE)))+1),(((D661/100)*(C661*VLOOKUP(B661,'Poids des runes'!A:B,2,FALSE)))+1)/VLOOKUP(B661,'Poids des runes'!A:B,2,FALSE))</f>
        <v>7.3179999999999996</v>
      </c>
      <c r="F661">
        <f t="shared" si="10"/>
        <v>7.3179999999999996</v>
      </c>
    </row>
    <row r="662" spans="1:6" x14ac:dyDescent="0.3">
      <c r="A662" t="s">
        <v>241</v>
      </c>
      <c r="B662" t="s">
        <v>2128</v>
      </c>
      <c r="C662">
        <v>28</v>
      </c>
      <c r="D662">
        <v>36</v>
      </c>
      <c r="E662">
        <f>IF(OR(B662="vi",B662="ii",B662="pod"),(((D662/100)*(C662*VLOOKUP(B662,'Poids des runes'!A:B,2,FALSE)))+1),(((D662/100)*(C662*VLOOKUP(B662,'Poids des runes'!A:B,2,FALSE)))+1)/VLOOKUP(B662,'Poids des runes'!A:B,2,FALSE))</f>
        <v>3.016</v>
      </c>
      <c r="F662">
        <f t="shared" si="10"/>
        <v>3.016</v>
      </c>
    </row>
    <row r="663" spans="1:6" x14ac:dyDescent="0.3">
      <c r="A663" t="s">
        <v>241</v>
      </c>
      <c r="B663" t="s">
        <v>2130</v>
      </c>
      <c r="C663">
        <v>13</v>
      </c>
      <c r="D663">
        <v>36</v>
      </c>
      <c r="E663">
        <f>IF(OR(B663="vi",B663="ii",B663="pod"),(((D663/100)*(C663*VLOOKUP(B663,'Poids des runes'!A:B,2,FALSE)))+1),(((D663/100)*(C663*VLOOKUP(B663,'Poids des runes'!A:B,2,FALSE)))+1)/VLOOKUP(B663,'Poids des runes'!A:B,2,FALSE))</f>
        <v>5.68</v>
      </c>
      <c r="F663">
        <f t="shared" si="10"/>
        <v>5.68</v>
      </c>
    </row>
    <row r="664" spans="1:6" x14ac:dyDescent="0.3">
      <c r="A664" t="s">
        <v>241</v>
      </c>
      <c r="B664" t="s">
        <v>2127</v>
      </c>
      <c r="C664">
        <v>13</v>
      </c>
      <c r="D664">
        <v>36</v>
      </c>
      <c r="E664">
        <f>IF(OR(B664="vi",B664="ii",B664="pod"),(((D664/100)*(C664*VLOOKUP(B664,'Poids des runes'!A:B,2,FALSE)))+1),(((D664/100)*(C664*VLOOKUP(B664,'Poids des runes'!A:B,2,FALSE)))+1)/VLOOKUP(B664,'Poids des runes'!A:B,2,FALSE))</f>
        <v>5.68</v>
      </c>
      <c r="F664">
        <f t="shared" si="10"/>
        <v>5.68</v>
      </c>
    </row>
    <row r="665" spans="1:6" x14ac:dyDescent="0.3">
      <c r="A665" t="s">
        <v>241</v>
      </c>
      <c r="B665" t="s">
        <v>2129</v>
      </c>
      <c r="C665">
        <v>13</v>
      </c>
      <c r="D665">
        <v>36</v>
      </c>
      <c r="E665">
        <f>IF(OR(B665="vi",B665="ii",B665="pod"),(((D665/100)*(C665*VLOOKUP(B665,'Poids des runes'!A:B,2,FALSE)))+1),(((D665/100)*(C665*VLOOKUP(B665,'Poids des runes'!A:B,2,FALSE)))+1)/VLOOKUP(B665,'Poids des runes'!A:B,2,FALSE))</f>
        <v>5.68</v>
      </c>
      <c r="F665">
        <f t="shared" si="10"/>
        <v>5.68</v>
      </c>
    </row>
    <row r="666" spans="1:6" x14ac:dyDescent="0.3">
      <c r="A666" t="s">
        <v>241</v>
      </c>
      <c r="B666" t="s">
        <v>2132</v>
      </c>
      <c r="C666">
        <v>35.5</v>
      </c>
      <c r="D666">
        <v>36</v>
      </c>
      <c r="E666">
        <f>IF(OR(B666="vi",B666="ii",B666="pod"),(((D666/100)*(C666*VLOOKUP(B666,'Poids des runes'!A:B,2,FALSE)))+1),(((D666/100)*(C666*VLOOKUP(B666,'Poids des runes'!A:B,2,FALSE)))+1)/VLOOKUP(B666,'Poids des runes'!A:B,2,FALSE))</f>
        <v>2.278</v>
      </c>
      <c r="F666">
        <f t="shared" si="10"/>
        <v>2.278</v>
      </c>
    </row>
    <row r="667" spans="1:6" x14ac:dyDescent="0.3">
      <c r="A667" t="s">
        <v>242</v>
      </c>
      <c r="B667" t="s">
        <v>2128</v>
      </c>
      <c r="C667">
        <v>25.5</v>
      </c>
      <c r="D667">
        <v>36</v>
      </c>
      <c r="E667">
        <f>IF(OR(B667="vi",B667="ii",B667="pod"),(((D667/100)*(C667*VLOOKUP(B667,'Poids des runes'!A:B,2,FALSE)))+1),(((D667/100)*(C667*VLOOKUP(B667,'Poids des runes'!A:B,2,FALSE)))+1)/VLOOKUP(B667,'Poids des runes'!A:B,2,FALSE))</f>
        <v>2.8360000000000003</v>
      </c>
      <c r="F667">
        <f t="shared" si="10"/>
        <v>2.8360000000000003</v>
      </c>
    </row>
    <row r="668" spans="1:6" x14ac:dyDescent="0.3">
      <c r="A668" t="s">
        <v>242</v>
      </c>
      <c r="B668" t="s">
        <v>2129</v>
      </c>
      <c r="C668">
        <v>13</v>
      </c>
      <c r="D668">
        <v>36</v>
      </c>
      <c r="E668">
        <f>IF(OR(B668="vi",B668="ii",B668="pod"),(((D668/100)*(C668*VLOOKUP(B668,'Poids des runes'!A:B,2,FALSE)))+1),(((D668/100)*(C668*VLOOKUP(B668,'Poids des runes'!A:B,2,FALSE)))+1)/VLOOKUP(B668,'Poids des runes'!A:B,2,FALSE))</f>
        <v>5.68</v>
      </c>
      <c r="F668">
        <f t="shared" si="10"/>
        <v>5.68</v>
      </c>
    </row>
    <row r="669" spans="1:6" x14ac:dyDescent="0.3">
      <c r="A669" t="s">
        <v>242</v>
      </c>
      <c r="B669" t="s">
        <v>2150</v>
      </c>
      <c r="C669">
        <v>1</v>
      </c>
      <c r="D669">
        <v>36</v>
      </c>
      <c r="E669">
        <f>IF(OR(B669="vi",B669="ii",B669="pod"),(((D669/100)*(C669*VLOOKUP(B669,'Poids des runes'!A:B,2,FALSE)))+1),(((D669/100)*(C669*VLOOKUP(B669,'Poids des runes'!A:B,2,FALSE)))+1)/VLOOKUP(B669,'Poids des runes'!A:B,2,FALSE))</f>
        <v>0.39333333333333331</v>
      </c>
      <c r="F669">
        <f t="shared" si="10"/>
        <v>0.39333333333333331</v>
      </c>
    </row>
    <row r="670" spans="1:6" x14ac:dyDescent="0.3">
      <c r="A670" t="s">
        <v>242</v>
      </c>
      <c r="B670" t="s">
        <v>2140</v>
      </c>
      <c r="C670">
        <v>2.5</v>
      </c>
      <c r="D670">
        <v>36</v>
      </c>
      <c r="E670">
        <f>IF(OR(B670="vi",B670="ii",B670="pod"),(((D670/100)*(C670*VLOOKUP(B670,'Poids des runes'!A:B,2,FALSE)))+1),(((D670/100)*(C670*VLOOKUP(B670,'Poids des runes'!A:B,2,FALSE)))+1)/VLOOKUP(B670,'Poids des runes'!A:B,2,FALSE))</f>
        <v>1.1000000000000001</v>
      </c>
      <c r="F670">
        <f t="shared" si="10"/>
        <v>1.1000000000000001</v>
      </c>
    </row>
    <row r="671" spans="1:6" x14ac:dyDescent="0.3">
      <c r="A671" t="s">
        <v>242</v>
      </c>
      <c r="B671" t="s">
        <v>2141</v>
      </c>
      <c r="C671">
        <v>2.5</v>
      </c>
      <c r="D671">
        <v>36</v>
      </c>
      <c r="E671">
        <f>IF(OR(B671="vi",B671="ii",B671="pod"),(((D671/100)*(C671*VLOOKUP(B671,'Poids des runes'!A:B,2,FALSE)))+1),(((D671/100)*(C671*VLOOKUP(B671,'Poids des runes'!A:B,2,FALSE)))+1)/VLOOKUP(B671,'Poids des runes'!A:B,2,FALSE))</f>
        <v>1.1499999999999999</v>
      </c>
      <c r="F671">
        <f t="shared" si="10"/>
        <v>1.1499999999999999</v>
      </c>
    </row>
    <row r="672" spans="1:6" x14ac:dyDescent="0.3">
      <c r="A672" t="s">
        <v>243</v>
      </c>
      <c r="B672" t="s">
        <v>2128</v>
      </c>
      <c r="C672">
        <v>25.5</v>
      </c>
      <c r="D672">
        <v>36</v>
      </c>
      <c r="E672">
        <f>IF(OR(B672="vi",B672="ii",B672="pod"),(((D672/100)*(C672*VLOOKUP(B672,'Poids des runes'!A:B,2,FALSE)))+1),(((D672/100)*(C672*VLOOKUP(B672,'Poids des runes'!A:B,2,FALSE)))+1)/VLOOKUP(B672,'Poids des runes'!A:B,2,FALSE))</f>
        <v>2.8360000000000003</v>
      </c>
      <c r="F672">
        <f t="shared" si="10"/>
        <v>2.8360000000000003</v>
      </c>
    </row>
    <row r="673" spans="1:6" x14ac:dyDescent="0.3">
      <c r="A673" t="s">
        <v>243</v>
      </c>
      <c r="B673" t="s">
        <v>2130</v>
      </c>
      <c r="C673">
        <v>13</v>
      </c>
      <c r="D673">
        <v>36</v>
      </c>
      <c r="E673">
        <f>IF(OR(B673="vi",B673="ii",B673="pod"),(((D673/100)*(C673*VLOOKUP(B673,'Poids des runes'!A:B,2,FALSE)))+1),(((D673/100)*(C673*VLOOKUP(B673,'Poids des runes'!A:B,2,FALSE)))+1)/VLOOKUP(B673,'Poids des runes'!A:B,2,FALSE))</f>
        <v>5.68</v>
      </c>
      <c r="F673">
        <f t="shared" si="10"/>
        <v>5.68</v>
      </c>
    </row>
    <row r="674" spans="1:6" x14ac:dyDescent="0.3">
      <c r="A674" t="s">
        <v>243</v>
      </c>
      <c r="B674" t="s">
        <v>2127</v>
      </c>
      <c r="C674">
        <v>13</v>
      </c>
      <c r="D674">
        <v>36</v>
      </c>
      <c r="E674">
        <f>IF(OR(B674="vi",B674="ii",B674="pod"),(((D674/100)*(C674*VLOOKUP(B674,'Poids des runes'!A:B,2,FALSE)))+1),(((D674/100)*(C674*VLOOKUP(B674,'Poids des runes'!A:B,2,FALSE)))+1)/VLOOKUP(B674,'Poids des runes'!A:B,2,FALSE))</f>
        <v>5.68</v>
      </c>
      <c r="F674">
        <f t="shared" si="10"/>
        <v>5.68</v>
      </c>
    </row>
    <row r="675" spans="1:6" x14ac:dyDescent="0.3">
      <c r="A675" t="s">
        <v>243</v>
      </c>
      <c r="B675" t="s">
        <v>2143</v>
      </c>
      <c r="C675">
        <v>3.5</v>
      </c>
      <c r="D675">
        <v>36</v>
      </c>
      <c r="E675">
        <f>IF(OR(B675="vi",B675="ii",B675="pod"),(((D675/100)*(C675*VLOOKUP(B675,'Poids des runes'!A:B,2,FALSE)))+1),(((D675/100)*(C675*VLOOKUP(B675,'Poids des runes'!A:B,2,FALSE)))+1)/VLOOKUP(B675,'Poids des runes'!A:B,2,FALSE))</f>
        <v>1.46</v>
      </c>
      <c r="F675">
        <f t="shared" si="10"/>
        <v>1.46</v>
      </c>
    </row>
    <row r="676" spans="1:6" x14ac:dyDescent="0.3">
      <c r="A676" t="s">
        <v>243</v>
      </c>
      <c r="B676" t="s">
        <v>2153</v>
      </c>
      <c r="C676">
        <v>3.5</v>
      </c>
      <c r="D676">
        <v>36</v>
      </c>
      <c r="E676">
        <f>IF(OR(B676="vi",B676="ii",B676="pod"),(((D676/100)*(C676*VLOOKUP(B676,'Poids des runes'!A:B,2,FALSE)))+1),(((D676/100)*(C676*VLOOKUP(B676,'Poids des runes'!A:B,2,FALSE)))+1)/VLOOKUP(B676,'Poids des runes'!A:B,2,FALSE))</f>
        <v>1.46</v>
      </c>
      <c r="F676">
        <f t="shared" si="10"/>
        <v>1.46</v>
      </c>
    </row>
    <row r="677" spans="1:6" x14ac:dyDescent="0.3">
      <c r="A677" t="s">
        <v>244</v>
      </c>
      <c r="B677" t="s">
        <v>2128</v>
      </c>
      <c r="C677">
        <v>35.5</v>
      </c>
      <c r="D677">
        <v>37</v>
      </c>
      <c r="E677">
        <f>IF(OR(B677="vi",B677="ii",B677="pod"),(((D677/100)*(C677*VLOOKUP(B677,'Poids des runes'!A:B,2,FALSE)))+1),(((D677/100)*(C677*VLOOKUP(B677,'Poids des runes'!A:B,2,FALSE)))+1)/VLOOKUP(B677,'Poids des runes'!A:B,2,FALSE))</f>
        <v>3.6270000000000002</v>
      </c>
      <c r="F677">
        <f t="shared" si="10"/>
        <v>3.6270000000000002</v>
      </c>
    </row>
    <row r="678" spans="1:6" x14ac:dyDescent="0.3">
      <c r="A678" t="s">
        <v>244</v>
      </c>
      <c r="B678" t="s">
        <v>2130</v>
      </c>
      <c r="C678">
        <v>35.5</v>
      </c>
      <c r="D678">
        <v>37</v>
      </c>
      <c r="E678">
        <f>IF(OR(B678="vi",B678="ii",B678="pod"),(((D678/100)*(C678*VLOOKUP(B678,'Poids des runes'!A:B,2,FALSE)))+1),(((D678/100)*(C678*VLOOKUP(B678,'Poids des runes'!A:B,2,FALSE)))+1)/VLOOKUP(B678,'Poids des runes'!A:B,2,FALSE))</f>
        <v>14.135</v>
      </c>
      <c r="F678">
        <f t="shared" si="10"/>
        <v>14.135</v>
      </c>
    </row>
    <row r="679" spans="1:6" x14ac:dyDescent="0.3">
      <c r="A679" t="s">
        <v>244</v>
      </c>
      <c r="B679" t="s">
        <v>2126</v>
      </c>
      <c r="C679">
        <v>35.5</v>
      </c>
      <c r="D679">
        <v>37</v>
      </c>
      <c r="E679">
        <f>IF(OR(B679="vi",B679="ii",B679="pod"),(((D679/100)*(C679*VLOOKUP(B679,'Poids des runes'!A:B,2,FALSE)))+1),(((D679/100)*(C679*VLOOKUP(B679,'Poids des runes'!A:B,2,FALSE)))+1)/VLOOKUP(B679,'Poids des runes'!A:B,2,FALSE))</f>
        <v>14.135</v>
      </c>
      <c r="F679">
        <f t="shared" si="10"/>
        <v>14.135</v>
      </c>
    </row>
    <row r="680" spans="1:6" x14ac:dyDescent="0.3">
      <c r="A680" t="s">
        <v>245</v>
      </c>
      <c r="B680" t="s">
        <v>2152</v>
      </c>
      <c r="C680">
        <v>1</v>
      </c>
      <c r="D680">
        <v>37</v>
      </c>
      <c r="E680">
        <f>IF(OR(B680="vi",B680="ii",B680="pod"),(((D680/100)*(C680*VLOOKUP(B680,'Poids des runes'!A:B,2,FALSE)))+1),(((D680/100)*(C680*VLOOKUP(B680,'Poids des runes'!A:B,2,FALSE)))+1)/VLOOKUP(B680,'Poids des runes'!A:B,2,FALSE))</f>
        <v>0.38</v>
      </c>
      <c r="F680">
        <f t="shared" si="10"/>
        <v>0.38</v>
      </c>
    </row>
    <row r="681" spans="1:6" x14ac:dyDescent="0.3">
      <c r="A681" t="s">
        <v>245</v>
      </c>
      <c r="B681" t="s">
        <v>2150</v>
      </c>
      <c r="C681">
        <v>1</v>
      </c>
      <c r="D681">
        <v>37</v>
      </c>
      <c r="E681">
        <f>IF(OR(B681="vi",B681="ii",B681="pod"),(((D681/100)*(C681*VLOOKUP(B681,'Poids des runes'!A:B,2,FALSE)))+1),(((D681/100)*(C681*VLOOKUP(B681,'Poids des runes'!A:B,2,FALSE)))+1)/VLOOKUP(B681,'Poids des runes'!A:B,2,FALSE))</f>
        <v>0.40333333333333332</v>
      </c>
      <c r="F681">
        <f t="shared" si="10"/>
        <v>0.40333333333333332</v>
      </c>
    </row>
    <row r="682" spans="1:6" x14ac:dyDescent="0.3">
      <c r="A682" t="s">
        <v>246</v>
      </c>
      <c r="B682" t="s">
        <v>2151</v>
      </c>
      <c r="C682">
        <v>4</v>
      </c>
      <c r="D682">
        <v>37</v>
      </c>
      <c r="E682">
        <f>IF(OR(B682="vi",B682="ii",B682="pod"),(((D682/100)*(C682*VLOOKUP(B682,'Poids des runes'!A:B,2,FALSE)))+1),(((D682/100)*(C682*VLOOKUP(B682,'Poids des runes'!A:B,2,FALSE)))+1)/VLOOKUP(B682,'Poids des runes'!A:B,2,FALSE))</f>
        <v>1.58</v>
      </c>
      <c r="F682">
        <f t="shared" si="10"/>
        <v>1.58</v>
      </c>
    </row>
    <row r="683" spans="1:6" x14ac:dyDescent="0.3">
      <c r="A683" t="s">
        <v>246</v>
      </c>
      <c r="B683" t="s">
        <v>2148</v>
      </c>
      <c r="C683">
        <v>1</v>
      </c>
      <c r="D683">
        <v>37</v>
      </c>
      <c r="E683">
        <f>IF(OR(B683="vi",B683="ii",B683="pod"),(((D683/100)*(C683*VLOOKUP(B683,'Poids des runes'!A:B,2,FALSE)))+1),(((D683/100)*(C683*VLOOKUP(B683,'Poids des runes'!A:B,2,FALSE)))+1)/VLOOKUP(B683,'Poids des runes'!A:B,2,FALSE))</f>
        <v>0.53666666666666663</v>
      </c>
      <c r="F683">
        <f t="shared" si="10"/>
        <v>0.53666666666666663</v>
      </c>
    </row>
    <row r="684" spans="1:6" x14ac:dyDescent="0.3">
      <c r="A684" t="s">
        <v>246</v>
      </c>
      <c r="B684" t="s">
        <v>2147</v>
      </c>
      <c r="C684">
        <v>1</v>
      </c>
      <c r="D684">
        <v>37</v>
      </c>
      <c r="E684">
        <f>IF(OR(B684="vi",B684="ii",B684="pod"),(((D684/100)*(C684*VLOOKUP(B684,'Poids des runes'!A:B,2,FALSE)))+1),(((D684/100)*(C684*VLOOKUP(B684,'Poids des runes'!A:B,2,FALSE)))+1)/VLOOKUP(B684,'Poids des runes'!A:B,2,FALSE))</f>
        <v>0.53666666666666663</v>
      </c>
      <c r="F684">
        <f t="shared" si="10"/>
        <v>0.53666666666666663</v>
      </c>
    </row>
    <row r="685" spans="1:6" x14ac:dyDescent="0.3">
      <c r="A685" t="s">
        <v>246</v>
      </c>
      <c r="B685" t="s">
        <v>2135</v>
      </c>
      <c r="C685">
        <v>1</v>
      </c>
      <c r="D685">
        <v>37</v>
      </c>
      <c r="E685">
        <f>IF(OR(B685="vi",B685="ii",B685="pod"),(((D685/100)*(C685*VLOOKUP(B685,'Poids des runes'!A:B,2,FALSE)))+1),(((D685/100)*(C685*VLOOKUP(B685,'Poids des runes'!A:B,2,FALSE)))+1)/VLOOKUP(B685,'Poids des runes'!A:B,2,FALSE))</f>
        <v>0.53666666666666663</v>
      </c>
      <c r="F685">
        <f t="shared" si="10"/>
        <v>0.53666666666666663</v>
      </c>
    </row>
    <row r="686" spans="1:6" x14ac:dyDescent="0.3">
      <c r="A686" t="s">
        <v>246</v>
      </c>
      <c r="B686" t="s">
        <v>2157</v>
      </c>
      <c r="C686">
        <v>1</v>
      </c>
      <c r="D686">
        <v>37</v>
      </c>
      <c r="E686">
        <f>IF(OR(B686="vi",B686="ii",B686="pod"),(((D686/100)*(C686*VLOOKUP(B686,'Poids des runes'!A:B,2,FALSE)))+1),(((D686/100)*(C686*VLOOKUP(B686,'Poids des runes'!A:B,2,FALSE)))+1)/VLOOKUP(B686,'Poids des runes'!A:B,2,FALSE))</f>
        <v>0.53666666666666663</v>
      </c>
      <c r="F686">
        <f t="shared" si="10"/>
        <v>0.53666666666666663</v>
      </c>
    </row>
    <row r="687" spans="1:6" x14ac:dyDescent="0.3">
      <c r="A687" t="s">
        <v>247</v>
      </c>
      <c r="B687" t="s">
        <v>2126</v>
      </c>
      <c r="C687">
        <v>30.5</v>
      </c>
      <c r="D687">
        <v>37</v>
      </c>
      <c r="E687">
        <f>IF(OR(B687="vi",B687="ii",B687="pod"),(((D687/100)*(C687*VLOOKUP(B687,'Poids des runes'!A:B,2,FALSE)))+1),(((D687/100)*(C687*VLOOKUP(B687,'Poids des runes'!A:B,2,FALSE)))+1)/VLOOKUP(B687,'Poids des runes'!A:B,2,FALSE))</f>
        <v>12.285</v>
      </c>
      <c r="F687">
        <f t="shared" si="10"/>
        <v>12.285</v>
      </c>
    </row>
    <row r="688" spans="1:6" x14ac:dyDescent="0.3">
      <c r="A688" t="s">
        <v>247</v>
      </c>
      <c r="B688" t="s">
        <v>2129</v>
      </c>
      <c r="C688">
        <v>15.5</v>
      </c>
      <c r="D688">
        <v>37</v>
      </c>
      <c r="E688">
        <f>IF(OR(B688="vi",B688="ii",B688="pod"),(((D688/100)*(C688*VLOOKUP(B688,'Poids des runes'!A:B,2,FALSE)))+1),(((D688/100)*(C688*VLOOKUP(B688,'Poids des runes'!A:B,2,FALSE)))+1)/VLOOKUP(B688,'Poids des runes'!A:B,2,FALSE))</f>
        <v>6.7350000000000003</v>
      </c>
      <c r="F688">
        <f t="shared" si="10"/>
        <v>6.7350000000000003</v>
      </c>
    </row>
    <row r="689" spans="1:6" x14ac:dyDescent="0.3">
      <c r="A689" t="s">
        <v>248</v>
      </c>
      <c r="B689" t="s">
        <v>2128</v>
      </c>
      <c r="C689">
        <v>50.5</v>
      </c>
      <c r="D689">
        <v>37</v>
      </c>
      <c r="E689">
        <f>IF(OR(B689="vi",B689="ii",B689="pod"),(((D689/100)*(C689*VLOOKUP(B689,'Poids des runes'!A:B,2,FALSE)))+1),(((D689/100)*(C689*VLOOKUP(B689,'Poids des runes'!A:B,2,FALSE)))+1)/VLOOKUP(B689,'Poids des runes'!A:B,2,FALSE))</f>
        <v>4.7370000000000001</v>
      </c>
      <c r="F689">
        <f t="shared" si="10"/>
        <v>4.7370000000000001</v>
      </c>
    </row>
    <row r="690" spans="1:6" x14ac:dyDescent="0.3">
      <c r="A690" t="s">
        <v>248</v>
      </c>
      <c r="B690" t="s">
        <v>2129</v>
      </c>
      <c r="C690">
        <v>23</v>
      </c>
      <c r="D690">
        <v>37</v>
      </c>
      <c r="E690">
        <f>IF(OR(B690="vi",B690="ii",B690="pod"),(((D690/100)*(C690*VLOOKUP(B690,'Poids des runes'!A:B,2,FALSE)))+1),(((D690/100)*(C690*VLOOKUP(B690,'Poids des runes'!A:B,2,FALSE)))+1)/VLOOKUP(B690,'Poids des runes'!A:B,2,FALSE))</f>
        <v>9.51</v>
      </c>
      <c r="F690">
        <f t="shared" si="10"/>
        <v>9.51</v>
      </c>
    </row>
    <row r="691" spans="1:6" x14ac:dyDescent="0.3">
      <c r="A691" t="s">
        <v>248</v>
      </c>
      <c r="B691" t="s">
        <v>2139</v>
      </c>
      <c r="C691">
        <v>13</v>
      </c>
      <c r="D691">
        <v>37</v>
      </c>
      <c r="E691">
        <f>IF(OR(B691="vi",B691="ii",B691="pod"),(((D691/100)*(C691*VLOOKUP(B691,'Poids des runes'!A:B,2,FALSE)))+1),(((D691/100)*(C691*VLOOKUP(B691,'Poids des runes'!A:B,2,FALSE)))+1)/VLOOKUP(B691,'Poids des runes'!A:B,2,FALSE))</f>
        <v>5.31</v>
      </c>
      <c r="F691">
        <f t="shared" si="10"/>
        <v>5.31</v>
      </c>
    </row>
    <row r="692" spans="1:6" x14ac:dyDescent="0.3">
      <c r="A692" t="s">
        <v>248</v>
      </c>
      <c r="B692" t="s">
        <v>2157</v>
      </c>
      <c r="C692">
        <v>4.5</v>
      </c>
      <c r="D692">
        <v>37</v>
      </c>
      <c r="E692">
        <f>IF(OR(B692="vi",B692="ii",B692="pod"),(((D692/100)*(C692*VLOOKUP(B692,'Poids des runes'!A:B,2,FALSE)))+1),(((D692/100)*(C692*VLOOKUP(B692,'Poids des runes'!A:B,2,FALSE)))+1)/VLOOKUP(B692,'Poids des runes'!A:B,2,FALSE))</f>
        <v>1.8316666666666668</v>
      </c>
      <c r="F692">
        <f t="shared" si="10"/>
        <v>1.8316666666666668</v>
      </c>
    </row>
    <row r="693" spans="1:6" x14ac:dyDescent="0.3">
      <c r="A693" t="s">
        <v>249</v>
      </c>
      <c r="B693" t="s">
        <v>2128</v>
      </c>
      <c r="C693">
        <v>45.5</v>
      </c>
      <c r="D693">
        <v>37</v>
      </c>
      <c r="E693">
        <f>IF(OR(B693="vi",B693="ii",B693="pod"),(((D693/100)*(C693*VLOOKUP(B693,'Poids des runes'!A:B,2,FALSE)))+1),(((D693/100)*(C693*VLOOKUP(B693,'Poids des runes'!A:B,2,FALSE)))+1)/VLOOKUP(B693,'Poids des runes'!A:B,2,FALSE))</f>
        <v>4.367</v>
      </c>
      <c r="F693">
        <f t="shared" si="10"/>
        <v>4.367</v>
      </c>
    </row>
    <row r="694" spans="1:6" x14ac:dyDescent="0.3">
      <c r="A694" t="s">
        <v>249</v>
      </c>
      <c r="B694" t="s">
        <v>2129</v>
      </c>
      <c r="C694">
        <v>23</v>
      </c>
      <c r="D694">
        <v>37</v>
      </c>
      <c r="E694">
        <f>IF(OR(B694="vi",B694="ii",B694="pod"),(((D694/100)*(C694*VLOOKUP(B694,'Poids des runes'!A:B,2,FALSE)))+1),(((D694/100)*(C694*VLOOKUP(B694,'Poids des runes'!A:B,2,FALSE)))+1)/VLOOKUP(B694,'Poids des runes'!A:B,2,FALSE))</f>
        <v>9.51</v>
      </c>
      <c r="F694">
        <f t="shared" si="10"/>
        <v>9.51</v>
      </c>
    </row>
    <row r="695" spans="1:6" x14ac:dyDescent="0.3">
      <c r="A695" t="s">
        <v>249</v>
      </c>
      <c r="B695" t="s">
        <v>2139</v>
      </c>
      <c r="C695">
        <v>18</v>
      </c>
      <c r="D695">
        <v>37</v>
      </c>
      <c r="E695">
        <f>IF(OR(B695="vi",B695="ii",B695="pod"),(((D695/100)*(C695*VLOOKUP(B695,'Poids des runes'!A:B,2,FALSE)))+1),(((D695/100)*(C695*VLOOKUP(B695,'Poids des runes'!A:B,2,FALSE)))+1)/VLOOKUP(B695,'Poids des runes'!A:B,2,FALSE))</f>
        <v>7.16</v>
      </c>
      <c r="F695">
        <f t="shared" si="10"/>
        <v>7.16</v>
      </c>
    </row>
    <row r="696" spans="1:6" x14ac:dyDescent="0.3">
      <c r="A696" t="s">
        <v>249</v>
      </c>
      <c r="B696" t="s">
        <v>2135</v>
      </c>
      <c r="C696">
        <v>4.5</v>
      </c>
      <c r="D696">
        <v>37</v>
      </c>
      <c r="E696">
        <f>IF(OR(B696="vi",B696="ii",B696="pod"),(((D696/100)*(C696*VLOOKUP(B696,'Poids des runes'!A:B,2,FALSE)))+1),(((D696/100)*(C696*VLOOKUP(B696,'Poids des runes'!A:B,2,FALSE)))+1)/VLOOKUP(B696,'Poids des runes'!A:B,2,FALSE))</f>
        <v>1.8316666666666668</v>
      </c>
      <c r="F696">
        <f t="shared" si="10"/>
        <v>1.8316666666666668</v>
      </c>
    </row>
    <row r="697" spans="1:6" x14ac:dyDescent="0.3">
      <c r="A697" t="s">
        <v>250</v>
      </c>
      <c r="B697" t="s">
        <v>2128</v>
      </c>
      <c r="C697">
        <v>30.5</v>
      </c>
      <c r="D697">
        <v>37</v>
      </c>
      <c r="E697">
        <f>IF(OR(B697="vi",B697="ii",B697="pod"),(((D697/100)*(C697*VLOOKUP(B697,'Poids des runes'!A:B,2,FALSE)))+1),(((D697/100)*(C697*VLOOKUP(B697,'Poids des runes'!A:B,2,FALSE)))+1)/VLOOKUP(B697,'Poids des runes'!A:B,2,FALSE))</f>
        <v>3.2570000000000001</v>
      </c>
      <c r="F697">
        <f t="shared" si="10"/>
        <v>3.2570000000000001</v>
      </c>
    </row>
    <row r="698" spans="1:6" x14ac:dyDescent="0.3">
      <c r="A698" t="s">
        <v>250</v>
      </c>
      <c r="B698" t="s">
        <v>2126</v>
      </c>
      <c r="C698">
        <v>18</v>
      </c>
      <c r="D698">
        <v>37</v>
      </c>
      <c r="E698">
        <f>IF(OR(B698="vi",B698="ii",B698="pod"),(((D698/100)*(C698*VLOOKUP(B698,'Poids des runes'!A:B,2,FALSE)))+1),(((D698/100)*(C698*VLOOKUP(B698,'Poids des runes'!A:B,2,FALSE)))+1)/VLOOKUP(B698,'Poids des runes'!A:B,2,FALSE))</f>
        <v>7.66</v>
      </c>
      <c r="F698">
        <f t="shared" si="10"/>
        <v>7.66</v>
      </c>
    </row>
    <row r="699" spans="1:6" x14ac:dyDescent="0.3">
      <c r="A699" t="s">
        <v>250</v>
      </c>
      <c r="B699" t="s">
        <v>2129</v>
      </c>
      <c r="C699">
        <v>13</v>
      </c>
      <c r="D699">
        <v>37</v>
      </c>
      <c r="E699">
        <f>IF(OR(B699="vi",B699="ii",B699="pod"),(((D699/100)*(C699*VLOOKUP(B699,'Poids des runes'!A:B,2,FALSE)))+1),(((D699/100)*(C699*VLOOKUP(B699,'Poids des runes'!A:B,2,FALSE)))+1)/VLOOKUP(B699,'Poids des runes'!A:B,2,FALSE))</f>
        <v>5.81</v>
      </c>
      <c r="F699">
        <f t="shared" si="10"/>
        <v>5.81</v>
      </c>
    </row>
    <row r="700" spans="1:6" x14ac:dyDescent="0.3">
      <c r="A700" t="s">
        <v>250</v>
      </c>
      <c r="B700" t="s">
        <v>2140</v>
      </c>
      <c r="C700">
        <v>2.5</v>
      </c>
      <c r="D700">
        <v>37</v>
      </c>
      <c r="E700">
        <f>IF(OR(B700="vi",B700="ii",B700="pod"),(((D700/100)*(C700*VLOOKUP(B700,'Poids des runes'!A:B,2,FALSE)))+1),(((D700/100)*(C700*VLOOKUP(B700,'Poids des runes'!A:B,2,FALSE)))+1)/VLOOKUP(B700,'Poids des runes'!A:B,2,FALSE))</f>
        <v>1.125</v>
      </c>
      <c r="F700">
        <f t="shared" si="10"/>
        <v>1.125</v>
      </c>
    </row>
    <row r="701" spans="1:6" x14ac:dyDescent="0.3">
      <c r="A701" t="s">
        <v>250</v>
      </c>
      <c r="B701" t="s">
        <v>2141</v>
      </c>
      <c r="C701">
        <v>4.5</v>
      </c>
      <c r="D701">
        <v>37</v>
      </c>
      <c r="E701">
        <f>IF(OR(B701="vi",B701="ii",B701="pod"),(((D701/100)*(C701*VLOOKUP(B701,'Poids des runes'!A:B,2,FALSE)))+1),(((D701/100)*(C701*VLOOKUP(B701,'Poids des runes'!A:B,2,FALSE)))+1)/VLOOKUP(B701,'Poids des runes'!A:B,2,FALSE))</f>
        <v>1.915</v>
      </c>
      <c r="F701">
        <f t="shared" si="10"/>
        <v>1.915</v>
      </c>
    </row>
    <row r="702" spans="1:6" x14ac:dyDescent="0.3">
      <c r="A702" t="s">
        <v>251</v>
      </c>
      <c r="B702" t="s">
        <v>2128</v>
      </c>
      <c r="C702">
        <v>25.5</v>
      </c>
      <c r="D702">
        <v>37</v>
      </c>
      <c r="E702">
        <f>IF(OR(B702="vi",B702="ii",B702="pod"),(((D702/100)*(C702*VLOOKUP(B702,'Poids des runes'!A:B,2,FALSE)))+1),(((D702/100)*(C702*VLOOKUP(B702,'Poids des runes'!A:B,2,FALSE)))+1)/VLOOKUP(B702,'Poids des runes'!A:B,2,FALSE))</f>
        <v>2.8870000000000005</v>
      </c>
      <c r="F702">
        <f t="shared" si="10"/>
        <v>2.8870000000000005</v>
      </c>
    </row>
    <row r="703" spans="1:6" x14ac:dyDescent="0.3">
      <c r="A703" t="s">
        <v>251</v>
      </c>
      <c r="B703" t="s">
        <v>2131</v>
      </c>
      <c r="C703">
        <v>8.5</v>
      </c>
      <c r="D703">
        <v>37</v>
      </c>
      <c r="E703">
        <f>IF(OR(B703="vi",B703="ii",B703="pod"),(((D703/100)*(C703*VLOOKUP(B703,'Poids des runes'!A:B,2,FALSE)))+1),(((D703/100)*(C703*VLOOKUP(B703,'Poids des runes'!A:B,2,FALSE)))+1)/VLOOKUP(B703,'Poids des runes'!A:B,2,FALSE))</f>
        <v>4.1449999999999996</v>
      </c>
      <c r="F703">
        <f t="shared" si="10"/>
        <v>4.1449999999999996</v>
      </c>
    </row>
    <row r="704" spans="1:6" x14ac:dyDescent="0.3">
      <c r="A704" t="s">
        <v>251</v>
      </c>
      <c r="B704" t="s">
        <v>2132</v>
      </c>
      <c r="C704">
        <v>125.5</v>
      </c>
      <c r="D704">
        <v>37</v>
      </c>
      <c r="E704">
        <f>IF(OR(B704="vi",B704="ii",B704="pod"),(((D704/100)*(C704*VLOOKUP(B704,'Poids des runes'!A:B,2,FALSE)))+1),(((D704/100)*(C704*VLOOKUP(B704,'Poids des runes'!A:B,2,FALSE)))+1)/VLOOKUP(B704,'Poids des runes'!A:B,2,FALSE))</f>
        <v>5.6435000000000004</v>
      </c>
      <c r="F704">
        <f t="shared" si="10"/>
        <v>5.6435000000000004</v>
      </c>
    </row>
    <row r="705" spans="1:6" x14ac:dyDescent="0.3">
      <c r="A705" t="s">
        <v>251</v>
      </c>
      <c r="B705" t="s">
        <v>2135</v>
      </c>
      <c r="C705">
        <v>2</v>
      </c>
      <c r="D705">
        <v>37</v>
      </c>
      <c r="E705">
        <f>IF(OR(B705="vi",B705="ii",B705="pod"),(((D705/100)*(C705*VLOOKUP(B705,'Poids des runes'!A:B,2,FALSE)))+1),(((D705/100)*(C705*VLOOKUP(B705,'Poids des runes'!A:B,2,FALSE)))+1)/VLOOKUP(B705,'Poids des runes'!A:B,2,FALSE))</f>
        <v>0.90666666666666662</v>
      </c>
      <c r="F705">
        <f t="shared" si="10"/>
        <v>0.90666666666666662</v>
      </c>
    </row>
    <row r="706" spans="1:6" x14ac:dyDescent="0.3">
      <c r="A706" t="s">
        <v>252</v>
      </c>
      <c r="B706" t="s">
        <v>2131</v>
      </c>
      <c r="C706">
        <v>13</v>
      </c>
      <c r="D706">
        <v>37</v>
      </c>
      <c r="E706">
        <f>IF(OR(B706="vi",B706="ii",B706="pod"),(((D706/100)*(C706*VLOOKUP(B706,'Poids des runes'!A:B,2,FALSE)))+1),(((D706/100)*(C706*VLOOKUP(B706,'Poids des runes'!A:B,2,FALSE)))+1)/VLOOKUP(B706,'Poids des runes'!A:B,2,FALSE))</f>
        <v>5.81</v>
      </c>
      <c r="F706">
        <f t="shared" si="10"/>
        <v>5.81</v>
      </c>
    </row>
    <row r="707" spans="1:6" x14ac:dyDescent="0.3">
      <c r="A707" t="s">
        <v>252</v>
      </c>
      <c r="B707" t="s">
        <v>2127</v>
      </c>
      <c r="C707">
        <v>13</v>
      </c>
      <c r="D707">
        <v>37</v>
      </c>
      <c r="E707">
        <f>IF(OR(B707="vi",B707="ii",B707="pod"),(((D707/100)*(C707*VLOOKUP(B707,'Poids des runes'!A:B,2,FALSE)))+1),(((D707/100)*(C707*VLOOKUP(B707,'Poids des runes'!A:B,2,FALSE)))+1)/VLOOKUP(B707,'Poids des runes'!A:B,2,FALSE))</f>
        <v>5.81</v>
      </c>
      <c r="F707">
        <f t="shared" ref="F707:F770" si="11">E707</f>
        <v>5.81</v>
      </c>
    </row>
    <row r="708" spans="1:6" x14ac:dyDescent="0.3">
      <c r="A708" t="s">
        <v>252</v>
      </c>
      <c r="B708" t="s">
        <v>2151</v>
      </c>
      <c r="C708">
        <v>2.5</v>
      </c>
      <c r="D708">
        <v>37</v>
      </c>
      <c r="E708">
        <f>IF(OR(B708="vi",B708="ii",B708="pod"),(((D708/100)*(C708*VLOOKUP(B708,'Poids des runes'!A:B,2,FALSE)))+1),(((D708/100)*(C708*VLOOKUP(B708,'Poids des runes'!A:B,2,FALSE)))+1)/VLOOKUP(B708,'Poids des runes'!A:B,2,FALSE))</f>
        <v>1.0249999999999999</v>
      </c>
      <c r="F708">
        <f t="shared" si="11"/>
        <v>1.0249999999999999</v>
      </c>
    </row>
    <row r="709" spans="1:6" x14ac:dyDescent="0.3">
      <c r="A709" t="s">
        <v>253</v>
      </c>
      <c r="B709" t="s">
        <v>2128</v>
      </c>
      <c r="C709">
        <v>35.5</v>
      </c>
      <c r="D709">
        <v>38</v>
      </c>
      <c r="E709">
        <f>IF(OR(B709="vi",B709="ii",B709="pod"),(((D709/100)*(C709*VLOOKUP(B709,'Poids des runes'!A:B,2,FALSE)))+1),(((D709/100)*(C709*VLOOKUP(B709,'Poids des runes'!A:B,2,FALSE)))+1)/VLOOKUP(B709,'Poids des runes'!A:B,2,FALSE))</f>
        <v>3.6980000000000004</v>
      </c>
      <c r="F709">
        <f t="shared" si="11"/>
        <v>3.6980000000000004</v>
      </c>
    </row>
    <row r="710" spans="1:6" x14ac:dyDescent="0.3">
      <c r="A710" t="s">
        <v>253</v>
      </c>
      <c r="B710" t="s">
        <v>2130</v>
      </c>
      <c r="C710">
        <v>8.5</v>
      </c>
      <c r="D710">
        <v>38</v>
      </c>
      <c r="E710">
        <f>IF(OR(B710="vi",B710="ii",B710="pod"),(((D710/100)*(C710*VLOOKUP(B710,'Poids des runes'!A:B,2,FALSE)))+1),(((D710/100)*(C710*VLOOKUP(B710,'Poids des runes'!A:B,2,FALSE)))+1)/VLOOKUP(B710,'Poids des runes'!A:B,2,FALSE))</f>
        <v>4.2300000000000004</v>
      </c>
      <c r="F710">
        <f t="shared" si="11"/>
        <v>4.2300000000000004</v>
      </c>
    </row>
    <row r="711" spans="1:6" x14ac:dyDescent="0.3">
      <c r="A711" t="s">
        <v>253</v>
      </c>
      <c r="B711" t="s">
        <v>2126</v>
      </c>
      <c r="C711">
        <v>8.5</v>
      </c>
      <c r="D711">
        <v>38</v>
      </c>
      <c r="E711">
        <f>IF(OR(B711="vi",B711="ii",B711="pod"),(((D711/100)*(C711*VLOOKUP(B711,'Poids des runes'!A:B,2,FALSE)))+1),(((D711/100)*(C711*VLOOKUP(B711,'Poids des runes'!A:B,2,FALSE)))+1)/VLOOKUP(B711,'Poids des runes'!A:B,2,FALSE))</f>
        <v>4.2300000000000004</v>
      </c>
      <c r="F711">
        <f t="shared" si="11"/>
        <v>4.2300000000000004</v>
      </c>
    </row>
    <row r="712" spans="1:6" x14ac:dyDescent="0.3">
      <c r="A712" t="s">
        <v>253</v>
      </c>
      <c r="B712" t="s">
        <v>2131</v>
      </c>
      <c r="C712">
        <v>8.5</v>
      </c>
      <c r="D712">
        <v>38</v>
      </c>
      <c r="E712">
        <f>IF(OR(B712="vi",B712="ii",B712="pod"),(((D712/100)*(C712*VLOOKUP(B712,'Poids des runes'!A:B,2,FALSE)))+1),(((D712/100)*(C712*VLOOKUP(B712,'Poids des runes'!A:B,2,FALSE)))+1)/VLOOKUP(B712,'Poids des runes'!A:B,2,FALSE))</f>
        <v>4.2300000000000004</v>
      </c>
      <c r="F712">
        <f t="shared" si="11"/>
        <v>4.2300000000000004</v>
      </c>
    </row>
    <row r="713" spans="1:6" x14ac:dyDescent="0.3">
      <c r="A713" t="s">
        <v>253</v>
      </c>
      <c r="B713" t="s">
        <v>2127</v>
      </c>
      <c r="C713">
        <v>8.5</v>
      </c>
      <c r="D713">
        <v>38</v>
      </c>
      <c r="E713">
        <f>IF(OR(B713="vi",B713="ii",B713="pod"),(((D713/100)*(C713*VLOOKUP(B713,'Poids des runes'!A:B,2,FALSE)))+1),(((D713/100)*(C713*VLOOKUP(B713,'Poids des runes'!A:B,2,FALSE)))+1)/VLOOKUP(B713,'Poids des runes'!A:B,2,FALSE))</f>
        <v>4.2300000000000004</v>
      </c>
      <c r="F713">
        <f t="shared" si="11"/>
        <v>4.2300000000000004</v>
      </c>
    </row>
    <row r="714" spans="1:6" x14ac:dyDescent="0.3">
      <c r="A714" t="s">
        <v>253</v>
      </c>
      <c r="B714" t="s">
        <v>2129</v>
      </c>
      <c r="C714">
        <v>8.5</v>
      </c>
      <c r="D714">
        <v>38</v>
      </c>
      <c r="E714">
        <f>IF(OR(B714="vi",B714="ii",B714="pod"),(((D714/100)*(C714*VLOOKUP(B714,'Poids des runes'!A:B,2,FALSE)))+1),(((D714/100)*(C714*VLOOKUP(B714,'Poids des runes'!A:B,2,FALSE)))+1)/VLOOKUP(B714,'Poids des runes'!A:B,2,FALSE))</f>
        <v>4.2300000000000004</v>
      </c>
      <c r="F714">
        <f t="shared" si="11"/>
        <v>4.2300000000000004</v>
      </c>
    </row>
    <row r="715" spans="1:6" x14ac:dyDescent="0.3">
      <c r="A715" t="s">
        <v>253</v>
      </c>
      <c r="B715" t="s">
        <v>2132</v>
      </c>
      <c r="C715">
        <v>75.5</v>
      </c>
      <c r="D715">
        <v>38</v>
      </c>
      <c r="E715">
        <f>IF(OR(B715="vi",B715="ii",B715="pod"),(((D715/100)*(C715*VLOOKUP(B715,'Poids des runes'!A:B,2,FALSE)))+1),(((D715/100)*(C715*VLOOKUP(B715,'Poids des runes'!A:B,2,FALSE)))+1)/VLOOKUP(B715,'Poids des runes'!A:B,2,FALSE))</f>
        <v>3.8690000000000002</v>
      </c>
      <c r="F715">
        <f t="shared" si="11"/>
        <v>3.8690000000000002</v>
      </c>
    </row>
    <row r="716" spans="1:6" x14ac:dyDescent="0.3">
      <c r="A716" t="s">
        <v>254</v>
      </c>
      <c r="B716" t="s">
        <v>2128</v>
      </c>
      <c r="C716">
        <v>30.5</v>
      </c>
      <c r="D716">
        <v>38</v>
      </c>
      <c r="E716">
        <f>IF(OR(B716="vi",B716="ii",B716="pod"),(((D716/100)*(C716*VLOOKUP(B716,'Poids des runes'!A:B,2,FALSE)))+1),(((D716/100)*(C716*VLOOKUP(B716,'Poids des runes'!A:B,2,FALSE)))+1)/VLOOKUP(B716,'Poids des runes'!A:B,2,FALSE))</f>
        <v>3.3180000000000001</v>
      </c>
      <c r="F716">
        <f t="shared" si="11"/>
        <v>3.3180000000000001</v>
      </c>
    </row>
    <row r="717" spans="1:6" x14ac:dyDescent="0.3">
      <c r="A717" t="s">
        <v>254</v>
      </c>
      <c r="B717" t="s">
        <v>2131</v>
      </c>
      <c r="C717">
        <v>35.5</v>
      </c>
      <c r="D717">
        <v>38</v>
      </c>
      <c r="E717">
        <f>IF(OR(B717="vi",B717="ii",B717="pod"),(((D717/100)*(C717*VLOOKUP(B717,'Poids des runes'!A:B,2,FALSE)))+1),(((D717/100)*(C717*VLOOKUP(B717,'Poids des runes'!A:B,2,FALSE)))+1)/VLOOKUP(B717,'Poids des runes'!A:B,2,FALSE))</f>
        <v>14.49</v>
      </c>
      <c r="F717">
        <f t="shared" si="11"/>
        <v>14.49</v>
      </c>
    </row>
    <row r="718" spans="1:6" x14ac:dyDescent="0.3">
      <c r="A718" t="s">
        <v>254</v>
      </c>
      <c r="B718" t="s">
        <v>2129</v>
      </c>
      <c r="C718">
        <v>13</v>
      </c>
      <c r="D718">
        <v>38</v>
      </c>
      <c r="E718">
        <f>IF(OR(B718="vi",B718="ii",B718="pod"),(((D718/100)*(C718*VLOOKUP(B718,'Poids des runes'!A:B,2,FALSE)))+1),(((D718/100)*(C718*VLOOKUP(B718,'Poids des runes'!A:B,2,FALSE)))+1)/VLOOKUP(B718,'Poids des runes'!A:B,2,FALSE))</f>
        <v>5.94</v>
      </c>
      <c r="F718">
        <f t="shared" si="11"/>
        <v>5.94</v>
      </c>
    </row>
    <row r="719" spans="1:6" x14ac:dyDescent="0.3">
      <c r="A719" t="s">
        <v>254</v>
      </c>
      <c r="B719" t="s">
        <v>2133</v>
      </c>
      <c r="C719">
        <v>2.5</v>
      </c>
      <c r="D719">
        <v>38</v>
      </c>
      <c r="E719">
        <f>IF(OR(B719="vi",B719="ii",B719="pod"),(((D719/100)*(C719*VLOOKUP(B719,'Poids des runes'!A:B,2,FALSE)))+1),(((D719/100)*(C719*VLOOKUP(B719,'Poids des runes'!A:B,2,FALSE)))+1)/VLOOKUP(B719,'Poids des runes'!A:B,2,FALSE))</f>
        <v>1.1499999999999999</v>
      </c>
      <c r="F719">
        <f t="shared" si="11"/>
        <v>1.1499999999999999</v>
      </c>
    </row>
    <row r="720" spans="1:6" x14ac:dyDescent="0.3">
      <c r="A720" t="s">
        <v>254</v>
      </c>
      <c r="B720" t="s">
        <v>2135</v>
      </c>
      <c r="C720">
        <v>4</v>
      </c>
      <c r="D720">
        <v>38</v>
      </c>
      <c r="E720">
        <f>IF(OR(B720="vi",B720="ii",B720="pod"),(((D720/100)*(C720*VLOOKUP(B720,'Poids des runes'!A:B,2,FALSE)))+1),(((D720/100)*(C720*VLOOKUP(B720,'Poids des runes'!A:B,2,FALSE)))+1)/VLOOKUP(B720,'Poids des runes'!A:B,2,FALSE))</f>
        <v>1.6866666666666668</v>
      </c>
      <c r="F720">
        <f t="shared" si="11"/>
        <v>1.6866666666666668</v>
      </c>
    </row>
    <row r="721" spans="1:6" x14ac:dyDescent="0.3">
      <c r="A721" t="s">
        <v>255</v>
      </c>
      <c r="B721" t="s">
        <v>2128</v>
      </c>
      <c r="C721">
        <v>50.5</v>
      </c>
      <c r="D721">
        <v>38</v>
      </c>
      <c r="E721">
        <f>IF(OR(B721="vi",B721="ii",B721="pod"),(((D721/100)*(C721*VLOOKUP(B721,'Poids des runes'!A:B,2,FALSE)))+1),(((D721/100)*(C721*VLOOKUP(B721,'Poids des runes'!A:B,2,FALSE)))+1)/VLOOKUP(B721,'Poids des runes'!A:B,2,FALSE))</f>
        <v>4.838000000000001</v>
      </c>
      <c r="F721">
        <f t="shared" si="11"/>
        <v>4.838000000000001</v>
      </c>
    </row>
    <row r="722" spans="1:6" x14ac:dyDescent="0.3">
      <c r="A722" t="s">
        <v>255</v>
      </c>
      <c r="B722" t="s">
        <v>2139</v>
      </c>
      <c r="C722">
        <v>25.5</v>
      </c>
      <c r="D722">
        <v>38</v>
      </c>
      <c r="E722">
        <f>IF(OR(B722="vi",B722="ii",B722="pod"),(((D722/100)*(C722*VLOOKUP(B722,'Poids des runes'!A:B,2,FALSE)))+1),(((D722/100)*(C722*VLOOKUP(B722,'Poids des runes'!A:B,2,FALSE)))+1)/VLOOKUP(B722,'Poids des runes'!A:B,2,FALSE))</f>
        <v>10.19</v>
      </c>
      <c r="F722">
        <f t="shared" si="11"/>
        <v>10.19</v>
      </c>
    </row>
    <row r="723" spans="1:6" x14ac:dyDescent="0.3">
      <c r="A723" t="s">
        <v>255</v>
      </c>
      <c r="B723" t="s">
        <v>2156</v>
      </c>
      <c r="C723">
        <v>2.5</v>
      </c>
      <c r="D723">
        <v>38</v>
      </c>
      <c r="E723">
        <f>IF(OR(B723="vi",B723="ii",B723="pod"),(((D723/100)*(C723*VLOOKUP(B723,'Poids des runes'!A:B,2,FALSE)))+1),(((D723/100)*(C723*VLOOKUP(B723,'Poids des runes'!A:B,2,FALSE)))+1)/VLOOKUP(B723,'Poids des runes'!A:B,2,FALSE))</f>
        <v>1.1166666666666667</v>
      </c>
      <c r="F723">
        <f t="shared" si="11"/>
        <v>1.1166666666666667</v>
      </c>
    </row>
    <row r="724" spans="1:6" x14ac:dyDescent="0.3">
      <c r="A724" t="s">
        <v>256</v>
      </c>
      <c r="B724" t="s">
        <v>2128</v>
      </c>
      <c r="C724">
        <v>25.5</v>
      </c>
      <c r="D724">
        <v>38</v>
      </c>
      <c r="E724">
        <f>IF(OR(B724="vi",B724="ii",B724="pod"),(((D724/100)*(C724*VLOOKUP(B724,'Poids des runes'!A:B,2,FALSE)))+1),(((D724/100)*(C724*VLOOKUP(B724,'Poids des runes'!A:B,2,FALSE)))+1)/VLOOKUP(B724,'Poids des runes'!A:B,2,FALSE))</f>
        <v>2.9380000000000002</v>
      </c>
      <c r="F724">
        <f t="shared" si="11"/>
        <v>2.9380000000000002</v>
      </c>
    </row>
    <row r="725" spans="1:6" x14ac:dyDescent="0.3">
      <c r="A725" t="s">
        <v>256</v>
      </c>
      <c r="B725" t="s">
        <v>2126</v>
      </c>
      <c r="C725">
        <v>13</v>
      </c>
      <c r="D725">
        <v>38</v>
      </c>
      <c r="E725">
        <f>IF(OR(B725="vi",B725="ii",B725="pod"),(((D725/100)*(C725*VLOOKUP(B725,'Poids des runes'!A:B,2,FALSE)))+1),(((D725/100)*(C725*VLOOKUP(B725,'Poids des runes'!A:B,2,FALSE)))+1)/VLOOKUP(B725,'Poids des runes'!A:B,2,FALSE))</f>
        <v>5.94</v>
      </c>
      <c r="F725">
        <f t="shared" si="11"/>
        <v>5.94</v>
      </c>
    </row>
    <row r="726" spans="1:6" x14ac:dyDescent="0.3">
      <c r="A726" t="s">
        <v>256</v>
      </c>
      <c r="B726" t="s">
        <v>2129</v>
      </c>
      <c r="C726">
        <v>8.5</v>
      </c>
      <c r="D726">
        <v>38</v>
      </c>
      <c r="E726">
        <f>IF(OR(B726="vi",B726="ii",B726="pod"),(((D726/100)*(C726*VLOOKUP(B726,'Poids des runes'!A:B,2,FALSE)))+1),(((D726/100)*(C726*VLOOKUP(B726,'Poids des runes'!A:B,2,FALSE)))+1)/VLOOKUP(B726,'Poids des runes'!A:B,2,FALSE))</f>
        <v>4.2300000000000004</v>
      </c>
      <c r="F726">
        <f t="shared" si="11"/>
        <v>4.2300000000000004</v>
      </c>
    </row>
    <row r="727" spans="1:6" x14ac:dyDescent="0.3">
      <c r="A727" t="s">
        <v>256</v>
      </c>
      <c r="B727" t="s">
        <v>2151</v>
      </c>
      <c r="C727">
        <v>2</v>
      </c>
      <c r="D727">
        <v>38</v>
      </c>
      <c r="E727">
        <f>IF(OR(B727="vi",B727="ii",B727="pod"),(((D727/100)*(C727*VLOOKUP(B727,'Poids des runes'!A:B,2,FALSE)))+1),(((D727/100)*(C727*VLOOKUP(B727,'Poids des runes'!A:B,2,FALSE)))+1)/VLOOKUP(B727,'Poids des runes'!A:B,2,FALSE))</f>
        <v>0.86</v>
      </c>
      <c r="F727">
        <f t="shared" si="11"/>
        <v>0.86</v>
      </c>
    </row>
    <row r="728" spans="1:6" x14ac:dyDescent="0.3">
      <c r="A728" t="s">
        <v>257</v>
      </c>
      <c r="B728" t="s">
        <v>2128</v>
      </c>
      <c r="C728">
        <v>50.5</v>
      </c>
      <c r="D728">
        <v>38</v>
      </c>
      <c r="E728">
        <f>IF(OR(B728="vi",B728="ii",B728="pod"),(((D728/100)*(C728*VLOOKUP(B728,'Poids des runes'!A:B,2,FALSE)))+1),(((D728/100)*(C728*VLOOKUP(B728,'Poids des runes'!A:B,2,FALSE)))+1)/VLOOKUP(B728,'Poids des runes'!A:B,2,FALSE))</f>
        <v>4.838000000000001</v>
      </c>
      <c r="F728">
        <f t="shared" si="11"/>
        <v>4.838000000000001</v>
      </c>
    </row>
    <row r="729" spans="1:6" x14ac:dyDescent="0.3">
      <c r="A729" t="s">
        <v>257</v>
      </c>
      <c r="B729" t="s">
        <v>2139</v>
      </c>
      <c r="C729">
        <v>8</v>
      </c>
      <c r="D729">
        <v>38</v>
      </c>
      <c r="E729">
        <f>IF(OR(B729="vi",B729="ii",B729="pod"),(((D729/100)*(C729*VLOOKUP(B729,'Poids des runes'!A:B,2,FALSE)))+1),(((D729/100)*(C729*VLOOKUP(B729,'Poids des runes'!A:B,2,FALSE)))+1)/VLOOKUP(B729,'Poids des runes'!A:B,2,FALSE))</f>
        <v>3.54</v>
      </c>
      <c r="F729">
        <f t="shared" si="11"/>
        <v>3.54</v>
      </c>
    </row>
    <row r="730" spans="1:6" x14ac:dyDescent="0.3">
      <c r="A730" t="s">
        <v>257</v>
      </c>
      <c r="B730" t="s">
        <v>2137</v>
      </c>
      <c r="C730">
        <v>4.5</v>
      </c>
      <c r="D730">
        <v>38</v>
      </c>
      <c r="E730">
        <f>IF(OR(B730="vi",B730="ii",B730="pod"),(((D730/100)*(C730*VLOOKUP(B730,'Poids des runes'!A:B,2,FALSE)))+1),(((D730/100)*(C730*VLOOKUP(B730,'Poids des runes'!A:B,2,FALSE)))+1)/VLOOKUP(B730,'Poids des runes'!A:B,2,FALSE))</f>
        <v>2.21</v>
      </c>
      <c r="F730">
        <f t="shared" si="11"/>
        <v>2.21</v>
      </c>
    </row>
    <row r="731" spans="1:6" x14ac:dyDescent="0.3">
      <c r="A731" t="s">
        <v>257</v>
      </c>
      <c r="B731" t="s">
        <v>2144</v>
      </c>
      <c r="C731">
        <v>4.5</v>
      </c>
      <c r="D731">
        <v>38</v>
      </c>
      <c r="E731">
        <f>IF(OR(B731="vi",B731="ii",B731="pod"),(((D731/100)*(C731*VLOOKUP(B731,'Poids des runes'!A:B,2,FALSE)))+1),(((D731/100)*(C731*VLOOKUP(B731,'Poids des runes'!A:B,2,FALSE)))+1)/VLOOKUP(B731,'Poids des runes'!A:B,2,FALSE))</f>
        <v>2.21</v>
      </c>
      <c r="F731">
        <f t="shared" si="11"/>
        <v>2.21</v>
      </c>
    </row>
    <row r="732" spans="1:6" x14ac:dyDescent="0.3">
      <c r="A732" t="s">
        <v>258</v>
      </c>
      <c r="B732" t="s">
        <v>2128</v>
      </c>
      <c r="C732">
        <v>20.5</v>
      </c>
      <c r="D732">
        <v>38</v>
      </c>
      <c r="E732">
        <f>IF(OR(B732="vi",B732="ii",B732="pod"),(((D732/100)*(C732*VLOOKUP(B732,'Poids des runes'!A:B,2,FALSE)))+1),(((D732/100)*(C732*VLOOKUP(B732,'Poids des runes'!A:B,2,FALSE)))+1)/VLOOKUP(B732,'Poids des runes'!A:B,2,FALSE))</f>
        <v>2.5580000000000003</v>
      </c>
      <c r="F732">
        <f t="shared" si="11"/>
        <v>2.5580000000000003</v>
      </c>
    </row>
    <row r="733" spans="1:6" x14ac:dyDescent="0.3">
      <c r="A733" t="s">
        <v>258</v>
      </c>
      <c r="B733" t="s">
        <v>2127</v>
      </c>
      <c r="C733">
        <v>13</v>
      </c>
      <c r="D733">
        <v>38</v>
      </c>
      <c r="E733">
        <f>IF(OR(B733="vi",B733="ii",B733="pod"),(((D733/100)*(C733*VLOOKUP(B733,'Poids des runes'!A:B,2,FALSE)))+1),(((D733/100)*(C733*VLOOKUP(B733,'Poids des runes'!A:B,2,FALSE)))+1)/VLOOKUP(B733,'Poids des runes'!A:B,2,FALSE))</f>
        <v>5.94</v>
      </c>
      <c r="F733">
        <f t="shared" si="11"/>
        <v>5.94</v>
      </c>
    </row>
    <row r="734" spans="1:6" x14ac:dyDescent="0.3">
      <c r="A734" t="s">
        <v>258</v>
      </c>
      <c r="B734" t="s">
        <v>2129</v>
      </c>
      <c r="C734">
        <v>13</v>
      </c>
      <c r="D734">
        <v>38</v>
      </c>
      <c r="E734">
        <f>IF(OR(B734="vi",B734="ii",B734="pod"),(((D734/100)*(C734*VLOOKUP(B734,'Poids des runes'!A:B,2,FALSE)))+1),(((D734/100)*(C734*VLOOKUP(B734,'Poids des runes'!A:B,2,FALSE)))+1)/VLOOKUP(B734,'Poids des runes'!A:B,2,FALSE))</f>
        <v>5.94</v>
      </c>
      <c r="F734">
        <f t="shared" si="11"/>
        <v>5.94</v>
      </c>
    </row>
    <row r="735" spans="1:6" x14ac:dyDescent="0.3">
      <c r="A735" t="s">
        <v>259</v>
      </c>
      <c r="B735" t="s">
        <v>2128</v>
      </c>
      <c r="C735">
        <v>25.5</v>
      </c>
      <c r="D735">
        <v>39</v>
      </c>
      <c r="E735">
        <f>IF(OR(B735="vi",B735="ii",B735="pod"),(((D735/100)*(C735*VLOOKUP(B735,'Poids des runes'!A:B,2,FALSE)))+1),(((D735/100)*(C735*VLOOKUP(B735,'Poids des runes'!A:B,2,FALSE)))+1)/VLOOKUP(B735,'Poids des runes'!A:B,2,FALSE))</f>
        <v>2.9890000000000003</v>
      </c>
      <c r="F735">
        <f t="shared" si="11"/>
        <v>2.9890000000000003</v>
      </c>
    </row>
    <row r="736" spans="1:6" x14ac:dyDescent="0.3">
      <c r="A736" t="s">
        <v>259</v>
      </c>
      <c r="B736" t="s">
        <v>2130</v>
      </c>
      <c r="C736">
        <v>25.5</v>
      </c>
      <c r="D736">
        <v>39</v>
      </c>
      <c r="E736">
        <f>IF(OR(B736="vi",B736="ii",B736="pod"),(((D736/100)*(C736*VLOOKUP(B736,'Poids des runes'!A:B,2,FALSE)))+1),(((D736/100)*(C736*VLOOKUP(B736,'Poids des runes'!A:B,2,FALSE)))+1)/VLOOKUP(B736,'Poids des runes'!A:B,2,FALSE))</f>
        <v>10.945</v>
      </c>
      <c r="F736">
        <f t="shared" si="11"/>
        <v>10.945</v>
      </c>
    </row>
    <row r="737" spans="1:6" x14ac:dyDescent="0.3">
      <c r="A737" t="s">
        <v>259</v>
      </c>
      <c r="B737" t="s">
        <v>2139</v>
      </c>
      <c r="C737">
        <v>13</v>
      </c>
      <c r="D737">
        <v>39</v>
      </c>
      <c r="E737">
        <f>IF(OR(B737="vi",B737="ii",B737="pod"),(((D737/100)*(C737*VLOOKUP(B737,'Poids des runes'!A:B,2,FALSE)))+1),(((D737/100)*(C737*VLOOKUP(B737,'Poids des runes'!A:B,2,FALSE)))+1)/VLOOKUP(B737,'Poids des runes'!A:B,2,FALSE))</f>
        <v>5.57</v>
      </c>
      <c r="F737">
        <f t="shared" si="11"/>
        <v>5.57</v>
      </c>
    </row>
    <row r="738" spans="1:6" x14ac:dyDescent="0.3">
      <c r="A738" t="s">
        <v>259</v>
      </c>
      <c r="B738" t="s">
        <v>2143</v>
      </c>
      <c r="C738">
        <v>2.5</v>
      </c>
      <c r="D738">
        <v>39</v>
      </c>
      <c r="E738">
        <f>IF(OR(B738="vi",B738="ii",B738="pod"),(((D738/100)*(C738*VLOOKUP(B738,'Poids des runes'!A:B,2,FALSE)))+1),(((D738/100)*(C738*VLOOKUP(B738,'Poids des runes'!A:B,2,FALSE)))+1)/VLOOKUP(B738,'Poids des runes'!A:B,2,FALSE))</f>
        <v>1.175</v>
      </c>
      <c r="F738">
        <f t="shared" si="11"/>
        <v>1.175</v>
      </c>
    </row>
    <row r="739" spans="1:6" x14ac:dyDescent="0.3">
      <c r="A739" t="s">
        <v>259</v>
      </c>
      <c r="B739" t="s">
        <v>2156</v>
      </c>
      <c r="C739">
        <v>2.5</v>
      </c>
      <c r="D739">
        <v>39</v>
      </c>
      <c r="E739">
        <f>IF(OR(B739="vi",B739="ii",B739="pod"),(((D739/100)*(C739*VLOOKUP(B739,'Poids des runes'!A:B,2,FALSE)))+1),(((D739/100)*(C739*VLOOKUP(B739,'Poids des runes'!A:B,2,FALSE)))+1)/VLOOKUP(B739,'Poids des runes'!A:B,2,FALSE))</f>
        <v>1.1416666666666668</v>
      </c>
      <c r="F739">
        <f t="shared" si="11"/>
        <v>1.1416666666666668</v>
      </c>
    </row>
    <row r="740" spans="1:6" x14ac:dyDescent="0.3">
      <c r="A740" t="s">
        <v>260</v>
      </c>
      <c r="B740" t="s">
        <v>2128</v>
      </c>
      <c r="C740">
        <v>18</v>
      </c>
      <c r="D740">
        <v>39</v>
      </c>
      <c r="E740">
        <f>IF(OR(B740="vi",B740="ii",B740="pod"),(((D740/100)*(C740*VLOOKUP(B740,'Poids des runes'!A:B,2,FALSE)))+1),(((D740/100)*(C740*VLOOKUP(B740,'Poids des runes'!A:B,2,FALSE)))+1)/VLOOKUP(B740,'Poids des runes'!A:B,2,FALSE))</f>
        <v>2.4039999999999999</v>
      </c>
      <c r="F740">
        <f t="shared" si="11"/>
        <v>2.4039999999999999</v>
      </c>
    </row>
    <row r="741" spans="1:6" x14ac:dyDescent="0.3">
      <c r="A741" t="s">
        <v>260</v>
      </c>
      <c r="B741" t="s">
        <v>2131</v>
      </c>
      <c r="C741">
        <v>35.5</v>
      </c>
      <c r="D741">
        <v>39</v>
      </c>
      <c r="E741">
        <f>IF(OR(B741="vi",B741="ii",B741="pod"),(((D741/100)*(C741*VLOOKUP(B741,'Poids des runes'!A:B,2,FALSE)))+1),(((D741/100)*(C741*VLOOKUP(B741,'Poids des runes'!A:B,2,FALSE)))+1)/VLOOKUP(B741,'Poids des runes'!A:B,2,FALSE))</f>
        <v>14.845000000000001</v>
      </c>
      <c r="F741">
        <f t="shared" si="11"/>
        <v>14.845000000000001</v>
      </c>
    </row>
    <row r="742" spans="1:6" x14ac:dyDescent="0.3">
      <c r="A742" t="s">
        <v>260</v>
      </c>
      <c r="B742" t="s">
        <v>2150</v>
      </c>
      <c r="C742">
        <v>1</v>
      </c>
      <c r="D742">
        <v>39</v>
      </c>
      <c r="E742">
        <f>IF(OR(B742="vi",B742="ii",B742="pod"),(((D742/100)*(C742*VLOOKUP(B742,'Poids des runes'!A:B,2,FALSE)))+1),(((D742/100)*(C742*VLOOKUP(B742,'Poids des runes'!A:B,2,FALSE)))+1)/VLOOKUP(B742,'Poids des runes'!A:B,2,FALSE))</f>
        <v>0.42333333333333339</v>
      </c>
      <c r="F742">
        <f t="shared" si="11"/>
        <v>0.42333333333333339</v>
      </c>
    </row>
    <row r="743" spans="1:6" x14ac:dyDescent="0.3">
      <c r="A743" t="s">
        <v>260</v>
      </c>
      <c r="B743" t="s">
        <v>2132</v>
      </c>
      <c r="C743">
        <v>45.5</v>
      </c>
      <c r="D743">
        <v>39</v>
      </c>
      <c r="E743">
        <f>IF(OR(B743="vi",B743="ii",B743="pod"),(((D743/100)*(C743*VLOOKUP(B743,'Poids des runes'!A:B,2,FALSE)))+1),(((D743/100)*(C743*VLOOKUP(B743,'Poids des runes'!A:B,2,FALSE)))+1)/VLOOKUP(B743,'Poids des runes'!A:B,2,FALSE))</f>
        <v>2.7744999999999997</v>
      </c>
      <c r="F743">
        <f t="shared" si="11"/>
        <v>2.7744999999999997</v>
      </c>
    </row>
    <row r="744" spans="1:6" x14ac:dyDescent="0.3">
      <c r="A744" t="s">
        <v>260</v>
      </c>
      <c r="B744" t="s">
        <v>2135</v>
      </c>
      <c r="C744">
        <v>5</v>
      </c>
      <c r="D744">
        <v>39</v>
      </c>
      <c r="E744">
        <f>IF(OR(B744="vi",B744="ii",B744="pod"),(((D744/100)*(C744*VLOOKUP(B744,'Poids des runes'!A:B,2,FALSE)))+1),(((D744/100)*(C744*VLOOKUP(B744,'Poids des runes'!A:B,2,FALSE)))+1)/VLOOKUP(B744,'Poids des runes'!A:B,2,FALSE))</f>
        <v>2.1166666666666667</v>
      </c>
      <c r="F744">
        <f t="shared" si="11"/>
        <v>2.1166666666666667</v>
      </c>
    </row>
    <row r="745" spans="1:6" x14ac:dyDescent="0.3">
      <c r="A745" t="s">
        <v>261</v>
      </c>
      <c r="B745" t="s">
        <v>2128</v>
      </c>
      <c r="C745">
        <v>45.5</v>
      </c>
      <c r="D745">
        <v>39</v>
      </c>
      <c r="E745">
        <f>IF(OR(B745="vi",B745="ii",B745="pod"),(((D745/100)*(C745*VLOOKUP(B745,'Poids des runes'!A:B,2,FALSE)))+1),(((D745/100)*(C745*VLOOKUP(B745,'Poids des runes'!A:B,2,FALSE)))+1)/VLOOKUP(B745,'Poids des runes'!A:B,2,FALSE))</f>
        <v>4.5489999999999995</v>
      </c>
      <c r="F745">
        <f t="shared" si="11"/>
        <v>4.5489999999999995</v>
      </c>
    </row>
    <row r="746" spans="1:6" x14ac:dyDescent="0.3">
      <c r="A746" t="s">
        <v>261</v>
      </c>
      <c r="B746" t="s">
        <v>2131</v>
      </c>
      <c r="C746">
        <v>30.5</v>
      </c>
      <c r="D746">
        <v>39</v>
      </c>
      <c r="E746">
        <f>IF(OR(B746="vi",B746="ii",B746="pod"),(((D746/100)*(C746*VLOOKUP(B746,'Poids des runes'!A:B,2,FALSE)))+1),(((D746/100)*(C746*VLOOKUP(B746,'Poids des runes'!A:B,2,FALSE)))+1)/VLOOKUP(B746,'Poids des runes'!A:B,2,FALSE))</f>
        <v>12.895</v>
      </c>
      <c r="F746">
        <f t="shared" si="11"/>
        <v>12.895</v>
      </c>
    </row>
    <row r="747" spans="1:6" x14ac:dyDescent="0.3">
      <c r="A747" t="s">
        <v>261</v>
      </c>
      <c r="B747" t="s">
        <v>2129</v>
      </c>
      <c r="C747">
        <v>8.5</v>
      </c>
      <c r="D747">
        <v>39</v>
      </c>
      <c r="E747">
        <f>IF(OR(B747="vi",B747="ii",B747="pod"),(((D747/100)*(C747*VLOOKUP(B747,'Poids des runes'!A:B,2,FALSE)))+1),(((D747/100)*(C747*VLOOKUP(B747,'Poids des runes'!A:B,2,FALSE)))+1)/VLOOKUP(B747,'Poids des runes'!A:B,2,FALSE))</f>
        <v>4.3149999999999995</v>
      </c>
      <c r="F747">
        <f t="shared" si="11"/>
        <v>4.3149999999999995</v>
      </c>
    </row>
    <row r="748" spans="1:6" x14ac:dyDescent="0.3">
      <c r="A748" t="s">
        <v>261</v>
      </c>
      <c r="B748" t="s">
        <v>2139</v>
      </c>
      <c r="C748">
        <v>18</v>
      </c>
      <c r="D748">
        <v>39</v>
      </c>
      <c r="E748">
        <f>IF(OR(B748="vi",B748="ii",B748="pod"),(((D748/100)*(C748*VLOOKUP(B748,'Poids des runes'!A:B,2,FALSE)))+1),(((D748/100)*(C748*VLOOKUP(B748,'Poids des runes'!A:B,2,FALSE)))+1)/VLOOKUP(B748,'Poids des runes'!A:B,2,FALSE))</f>
        <v>7.5200000000000005</v>
      </c>
      <c r="F748">
        <f t="shared" si="11"/>
        <v>7.5200000000000005</v>
      </c>
    </row>
    <row r="749" spans="1:6" x14ac:dyDescent="0.3">
      <c r="A749" t="s">
        <v>261</v>
      </c>
      <c r="B749" t="s">
        <v>2161</v>
      </c>
      <c r="C749">
        <v>8.5</v>
      </c>
      <c r="D749">
        <v>39</v>
      </c>
      <c r="E749">
        <f>IF(OR(B749="vi",B749="ii",B749="pod"),(((D749/100)*(C749*VLOOKUP(B749,'Poids des runes'!A:B,2,FALSE)))+1),(((D749/100)*(C749*VLOOKUP(B749,'Poids des runes'!A:B,2,FALSE)))+1)/VLOOKUP(B749,'Poids des runes'!A:B,2,FALSE))</f>
        <v>3.6483333333333334</v>
      </c>
      <c r="F749">
        <f t="shared" si="11"/>
        <v>3.6483333333333334</v>
      </c>
    </row>
    <row r="750" spans="1:6" x14ac:dyDescent="0.3">
      <c r="A750" t="s">
        <v>262</v>
      </c>
      <c r="B750" t="s">
        <v>2128</v>
      </c>
      <c r="C750">
        <v>35.5</v>
      </c>
      <c r="D750">
        <v>39</v>
      </c>
      <c r="E750">
        <f>IF(OR(B750="vi",B750="ii",B750="pod"),(((D750/100)*(C750*VLOOKUP(B750,'Poids des runes'!A:B,2,FALSE)))+1),(((D750/100)*(C750*VLOOKUP(B750,'Poids des runes'!A:B,2,FALSE)))+1)/VLOOKUP(B750,'Poids des runes'!A:B,2,FALSE))</f>
        <v>3.7690000000000001</v>
      </c>
      <c r="F750">
        <f t="shared" si="11"/>
        <v>3.7690000000000001</v>
      </c>
    </row>
    <row r="751" spans="1:6" x14ac:dyDescent="0.3">
      <c r="A751" t="s">
        <v>262</v>
      </c>
      <c r="B751" t="s">
        <v>2130</v>
      </c>
      <c r="C751">
        <v>23</v>
      </c>
      <c r="D751">
        <v>39</v>
      </c>
      <c r="E751">
        <f>IF(OR(B751="vi",B751="ii",B751="pod"),(((D751/100)*(C751*VLOOKUP(B751,'Poids des runes'!A:B,2,FALSE)))+1),(((D751/100)*(C751*VLOOKUP(B751,'Poids des runes'!A:B,2,FALSE)))+1)/VLOOKUP(B751,'Poids des runes'!A:B,2,FALSE))</f>
        <v>9.9700000000000006</v>
      </c>
      <c r="F751">
        <f t="shared" si="11"/>
        <v>9.9700000000000006</v>
      </c>
    </row>
    <row r="752" spans="1:6" x14ac:dyDescent="0.3">
      <c r="A752" t="s">
        <v>262</v>
      </c>
      <c r="B752" t="s">
        <v>2127</v>
      </c>
      <c r="C752">
        <v>23</v>
      </c>
      <c r="D752">
        <v>39</v>
      </c>
      <c r="E752">
        <f>IF(OR(B752="vi",B752="ii",B752="pod"),(((D752/100)*(C752*VLOOKUP(B752,'Poids des runes'!A:B,2,FALSE)))+1),(((D752/100)*(C752*VLOOKUP(B752,'Poids des runes'!A:B,2,FALSE)))+1)/VLOOKUP(B752,'Poids des runes'!A:B,2,FALSE))</f>
        <v>9.9700000000000006</v>
      </c>
      <c r="F752">
        <f t="shared" si="11"/>
        <v>9.9700000000000006</v>
      </c>
    </row>
    <row r="753" spans="1:6" x14ac:dyDescent="0.3">
      <c r="A753" t="s">
        <v>262</v>
      </c>
      <c r="B753" t="s">
        <v>2151</v>
      </c>
      <c r="C753">
        <v>2</v>
      </c>
      <c r="D753">
        <v>39</v>
      </c>
      <c r="E753">
        <f>IF(OR(B753="vi",B753="ii",B753="pod"),(((D753/100)*(C753*VLOOKUP(B753,'Poids des runes'!A:B,2,FALSE)))+1),(((D753/100)*(C753*VLOOKUP(B753,'Poids des runes'!A:B,2,FALSE)))+1)/VLOOKUP(B753,'Poids des runes'!A:B,2,FALSE))</f>
        <v>0.88000000000000012</v>
      </c>
      <c r="F753">
        <f t="shared" si="11"/>
        <v>0.88000000000000012</v>
      </c>
    </row>
    <row r="754" spans="1:6" x14ac:dyDescent="0.3">
      <c r="A754" t="s">
        <v>263</v>
      </c>
      <c r="B754" t="s">
        <v>2152</v>
      </c>
      <c r="C754">
        <v>1</v>
      </c>
      <c r="D754">
        <v>40</v>
      </c>
      <c r="E754">
        <f>IF(OR(B754="vi",B754="ii",B754="pod"),(((D754/100)*(C754*VLOOKUP(B754,'Poids des runes'!A:B,2,FALSE)))+1),(((D754/100)*(C754*VLOOKUP(B754,'Poids des runes'!A:B,2,FALSE)))+1)/VLOOKUP(B754,'Poids des runes'!A:B,2,FALSE))</f>
        <v>0.41</v>
      </c>
      <c r="F754">
        <f t="shared" si="11"/>
        <v>0.41</v>
      </c>
    </row>
    <row r="755" spans="1:6" x14ac:dyDescent="0.3">
      <c r="A755" t="s">
        <v>264</v>
      </c>
      <c r="B755" t="s">
        <v>2128</v>
      </c>
      <c r="C755">
        <v>15.5</v>
      </c>
      <c r="D755">
        <v>40</v>
      </c>
      <c r="E755">
        <f>IF(OR(B755="vi",B755="ii",B755="pod"),(((D755/100)*(C755*VLOOKUP(B755,'Poids des runes'!A:B,2,FALSE)))+1),(((D755/100)*(C755*VLOOKUP(B755,'Poids des runes'!A:B,2,FALSE)))+1)/VLOOKUP(B755,'Poids des runes'!A:B,2,FALSE))</f>
        <v>2.2400000000000002</v>
      </c>
      <c r="F755">
        <f t="shared" si="11"/>
        <v>2.2400000000000002</v>
      </c>
    </row>
    <row r="756" spans="1:6" x14ac:dyDescent="0.3">
      <c r="A756" t="s">
        <v>264</v>
      </c>
      <c r="B756" t="s">
        <v>2152</v>
      </c>
      <c r="C756">
        <v>1</v>
      </c>
      <c r="D756">
        <v>40</v>
      </c>
      <c r="E756">
        <f>IF(OR(B756="vi",B756="ii",B756="pod"),(((D756/100)*(C756*VLOOKUP(B756,'Poids des runes'!A:B,2,FALSE)))+1),(((D756/100)*(C756*VLOOKUP(B756,'Poids des runes'!A:B,2,FALSE)))+1)/VLOOKUP(B756,'Poids des runes'!A:B,2,FALSE))</f>
        <v>0.41</v>
      </c>
      <c r="F756">
        <f t="shared" si="11"/>
        <v>0.41</v>
      </c>
    </row>
    <row r="757" spans="1:6" x14ac:dyDescent="0.3">
      <c r="A757" t="s">
        <v>265</v>
      </c>
      <c r="B757" t="s">
        <v>2128</v>
      </c>
      <c r="C757">
        <v>45.5</v>
      </c>
      <c r="D757">
        <v>40</v>
      </c>
      <c r="E757">
        <f>IF(OR(B757="vi",B757="ii",B757="pod"),(((D757/100)*(C757*VLOOKUP(B757,'Poids des runes'!A:B,2,FALSE)))+1),(((D757/100)*(C757*VLOOKUP(B757,'Poids des runes'!A:B,2,FALSE)))+1)/VLOOKUP(B757,'Poids des runes'!A:B,2,FALSE))</f>
        <v>4.6400000000000006</v>
      </c>
      <c r="F757">
        <f t="shared" si="11"/>
        <v>4.6400000000000006</v>
      </c>
    </row>
    <row r="758" spans="1:6" x14ac:dyDescent="0.3">
      <c r="A758" t="s">
        <v>265</v>
      </c>
      <c r="B758" t="s">
        <v>2131</v>
      </c>
      <c r="C758">
        <v>25.5</v>
      </c>
      <c r="D758">
        <v>40</v>
      </c>
      <c r="E758">
        <f>IF(OR(B758="vi",B758="ii",B758="pod"),(((D758/100)*(C758*VLOOKUP(B758,'Poids des runes'!A:B,2,FALSE)))+1),(((D758/100)*(C758*VLOOKUP(B758,'Poids des runes'!A:B,2,FALSE)))+1)/VLOOKUP(B758,'Poids des runes'!A:B,2,FALSE))</f>
        <v>11.200000000000001</v>
      </c>
      <c r="F758">
        <f t="shared" si="11"/>
        <v>11.200000000000001</v>
      </c>
    </row>
    <row r="759" spans="1:6" x14ac:dyDescent="0.3">
      <c r="A759" t="s">
        <v>265</v>
      </c>
      <c r="B759" t="s">
        <v>2134</v>
      </c>
      <c r="C759">
        <v>4.5</v>
      </c>
      <c r="D759">
        <v>40</v>
      </c>
      <c r="E759">
        <f>IF(OR(B759="vi",B759="ii",B759="pod"),(((D759/100)*(C759*VLOOKUP(B759,'Poids des runes'!A:B,2,FALSE)))+1),(((D759/100)*(C759*VLOOKUP(B759,'Poids des runes'!A:B,2,FALSE)))+1)/VLOOKUP(B759,'Poids des runes'!A:B,2,FALSE))</f>
        <v>1.85</v>
      </c>
      <c r="F759">
        <f t="shared" si="11"/>
        <v>1.85</v>
      </c>
    </row>
    <row r="760" spans="1:6" x14ac:dyDescent="0.3">
      <c r="A760" t="s">
        <v>265</v>
      </c>
      <c r="B760" t="s">
        <v>2141</v>
      </c>
      <c r="C760">
        <v>3.5</v>
      </c>
      <c r="D760">
        <v>40</v>
      </c>
      <c r="E760">
        <f>IF(OR(B760="vi",B760="ii",B760="pod"),(((D760/100)*(C760*VLOOKUP(B760,'Poids des runes'!A:B,2,FALSE)))+1),(((D760/100)*(C760*VLOOKUP(B760,'Poids des runes'!A:B,2,FALSE)))+1)/VLOOKUP(B760,'Poids des runes'!A:B,2,FALSE))</f>
        <v>1.6500000000000001</v>
      </c>
      <c r="F760">
        <f t="shared" si="11"/>
        <v>1.6500000000000001</v>
      </c>
    </row>
    <row r="761" spans="1:6" x14ac:dyDescent="0.3">
      <c r="A761" t="s">
        <v>266</v>
      </c>
      <c r="B761" t="s">
        <v>2128</v>
      </c>
      <c r="C761">
        <v>30.5</v>
      </c>
      <c r="D761">
        <v>40</v>
      </c>
      <c r="E761">
        <f>IF(OR(B761="vi",B761="ii",B761="pod"),(((D761/100)*(C761*VLOOKUP(B761,'Poids des runes'!A:B,2,FALSE)))+1),(((D761/100)*(C761*VLOOKUP(B761,'Poids des runes'!A:B,2,FALSE)))+1)/VLOOKUP(B761,'Poids des runes'!A:B,2,FALSE))</f>
        <v>3.4400000000000004</v>
      </c>
      <c r="F761">
        <f t="shared" si="11"/>
        <v>3.4400000000000004</v>
      </c>
    </row>
    <row r="762" spans="1:6" x14ac:dyDescent="0.3">
      <c r="A762" t="s">
        <v>266</v>
      </c>
      <c r="B762" t="s">
        <v>2130</v>
      </c>
      <c r="C762">
        <v>25.5</v>
      </c>
      <c r="D762">
        <v>40</v>
      </c>
      <c r="E762">
        <f>IF(OR(B762="vi",B762="ii",B762="pod"),(((D762/100)*(C762*VLOOKUP(B762,'Poids des runes'!A:B,2,FALSE)))+1),(((D762/100)*(C762*VLOOKUP(B762,'Poids des runes'!A:B,2,FALSE)))+1)/VLOOKUP(B762,'Poids des runes'!A:B,2,FALSE))</f>
        <v>11.200000000000001</v>
      </c>
      <c r="F762">
        <f t="shared" si="11"/>
        <v>11.200000000000001</v>
      </c>
    </row>
    <row r="763" spans="1:6" x14ac:dyDescent="0.3">
      <c r="A763" t="s">
        <v>266</v>
      </c>
      <c r="B763" t="s">
        <v>2143</v>
      </c>
      <c r="C763">
        <v>2</v>
      </c>
      <c r="D763">
        <v>40</v>
      </c>
      <c r="E763">
        <f>IF(OR(B763="vi",B763="ii",B763="pod"),(((D763/100)*(C763*VLOOKUP(B763,'Poids des runes'!A:B,2,FALSE)))+1),(((D763/100)*(C763*VLOOKUP(B763,'Poids des runes'!A:B,2,FALSE)))+1)/VLOOKUP(B763,'Poids des runes'!A:B,2,FALSE))</f>
        <v>1</v>
      </c>
      <c r="F763">
        <f t="shared" si="11"/>
        <v>1</v>
      </c>
    </row>
    <row r="764" spans="1:6" x14ac:dyDescent="0.3">
      <c r="A764" t="s">
        <v>267</v>
      </c>
      <c r="B764" t="s">
        <v>2152</v>
      </c>
      <c r="C764">
        <v>1</v>
      </c>
      <c r="D764">
        <v>40</v>
      </c>
      <c r="E764">
        <f>IF(OR(B764="vi",B764="ii",B764="pod"),(((D764/100)*(C764*VLOOKUP(B764,'Poids des runes'!A:B,2,FALSE)))+1),(((D764/100)*(C764*VLOOKUP(B764,'Poids des runes'!A:B,2,FALSE)))+1)/VLOOKUP(B764,'Poids des runes'!A:B,2,FALSE))</f>
        <v>0.41</v>
      </c>
      <c r="F764">
        <f t="shared" si="11"/>
        <v>0.41</v>
      </c>
    </row>
    <row r="765" spans="1:6" x14ac:dyDescent="0.3">
      <c r="A765" t="s">
        <v>267</v>
      </c>
      <c r="B765" t="s">
        <v>2150</v>
      </c>
      <c r="C765">
        <v>1</v>
      </c>
      <c r="D765">
        <v>40</v>
      </c>
      <c r="E765">
        <f>IF(OR(B765="vi",B765="ii",B765="pod"),(((D765/100)*(C765*VLOOKUP(B765,'Poids des runes'!A:B,2,FALSE)))+1),(((D765/100)*(C765*VLOOKUP(B765,'Poids des runes'!A:B,2,FALSE)))+1)/VLOOKUP(B765,'Poids des runes'!A:B,2,FALSE))</f>
        <v>0.43333333333333335</v>
      </c>
      <c r="F765">
        <f t="shared" si="11"/>
        <v>0.43333333333333335</v>
      </c>
    </row>
    <row r="766" spans="1:6" x14ac:dyDescent="0.3">
      <c r="A766" t="s">
        <v>268</v>
      </c>
      <c r="B766" t="s">
        <v>2128</v>
      </c>
      <c r="C766">
        <v>70.5</v>
      </c>
      <c r="D766">
        <v>40</v>
      </c>
      <c r="E766">
        <f>IF(OR(B766="vi",B766="ii",B766="pod"),(((D766/100)*(C766*VLOOKUP(B766,'Poids des runes'!A:B,2,FALSE)))+1),(((D766/100)*(C766*VLOOKUP(B766,'Poids des runes'!A:B,2,FALSE)))+1)/VLOOKUP(B766,'Poids des runes'!A:B,2,FALSE))</f>
        <v>6.6400000000000006</v>
      </c>
      <c r="F766">
        <f t="shared" si="11"/>
        <v>6.6400000000000006</v>
      </c>
    </row>
    <row r="767" spans="1:6" x14ac:dyDescent="0.3">
      <c r="A767" t="s">
        <v>268</v>
      </c>
      <c r="B767" t="s">
        <v>2150</v>
      </c>
      <c r="C767">
        <v>1</v>
      </c>
      <c r="D767">
        <v>40</v>
      </c>
      <c r="E767">
        <f>IF(OR(B767="vi",B767="ii",B767="pod"),(((D767/100)*(C767*VLOOKUP(B767,'Poids des runes'!A:B,2,FALSE)))+1),(((D767/100)*(C767*VLOOKUP(B767,'Poids des runes'!A:B,2,FALSE)))+1)/VLOOKUP(B767,'Poids des runes'!A:B,2,FALSE))</f>
        <v>0.43333333333333335</v>
      </c>
      <c r="F767">
        <f t="shared" si="11"/>
        <v>0.43333333333333335</v>
      </c>
    </row>
    <row r="768" spans="1:6" x14ac:dyDescent="0.3">
      <c r="A768" t="s">
        <v>268</v>
      </c>
      <c r="B768" t="s">
        <v>2149</v>
      </c>
      <c r="C768">
        <v>8.5</v>
      </c>
      <c r="D768">
        <v>40</v>
      </c>
      <c r="E768">
        <f>IF(OR(B768="vi",B768="ii",B768="pod"),(((D768/100)*(C768*VLOOKUP(B768,'Poids des runes'!A:B,2,FALSE)))+1),(((D768/100)*(C768*VLOOKUP(B768,'Poids des runes'!A:B,2,FALSE)))+1)/VLOOKUP(B768,'Poids des runes'!A:B,2,FALSE))</f>
        <v>3.5</v>
      </c>
      <c r="F768">
        <f t="shared" si="11"/>
        <v>3.5</v>
      </c>
    </row>
    <row r="769" spans="1:6" x14ac:dyDescent="0.3">
      <c r="A769" t="s">
        <v>268</v>
      </c>
      <c r="B769" t="s">
        <v>2132</v>
      </c>
      <c r="C769">
        <v>125.5</v>
      </c>
      <c r="D769">
        <v>40</v>
      </c>
      <c r="E769">
        <f>IF(OR(B769="vi",B769="ii",B769="pod"),(((D769/100)*(C769*VLOOKUP(B769,'Poids des runes'!A:B,2,FALSE)))+1),(((D769/100)*(C769*VLOOKUP(B769,'Poids des runes'!A:B,2,FALSE)))+1)/VLOOKUP(B769,'Poids des runes'!A:B,2,FALSE))</f>
        <v>6.0200000000000005</v>
      </c>
      <c r="F769">
        <f t="shared" si="11"/>
        <v>6.0200000000000005</v>
      </c>
    </row>
    <row r="770" spans="1:6" x14ac:dyDescent="0.3">
      <c r="A770" t="s">
        <v>268</v>
      </c>
      <c r="B770" t="s">
        <v>2141</v>
      </c>
      <c r="C770">
        <v>2.5</v>
      </c>
      <c r="D770">
        <v>40</v>
      </c>
      <c r="E770">
        <f>IF(OR(B770="vi",B770="ii",B770="pod"),(((D770/100)*(C770*VLOOKUP(B770,'Poids des runes'!A:B,2,FALSE)))+1),(((D770/100)*(C770*VLOOKUP(B770,'Poids des runes'!A:B,2,FALSE)))+1)/VLOOKUP(B770,'Poids des runes'!A:B,2,FALSE))</f>
        <v>1.25</v>
      </c>
      <c r="F770">
        <f t="shared" si="11"/>
        <v>1.25</v>
      </c>
    </row>
    <row r="771" spans="1:6" x14ac:dyDescent="0.3">
      <c r="A771" t="s">
        <v>269</v>
      </c>
      <c r="B771" t="s">
        <v>2128</v>
      </c>
      <c r="C771">
        <v>45.5</v>
      </c>
      <c r="D771">
        <v>40</v>
      </c>
      <c r="E771">
        <f>IF(OR(B771="vi",B771="ii",B771="pod"),(((D771/100)*(C771*VLOOKUP(B771,'Poids des runes'!A:B,2,FALSE)))+1),(((D771/100)*(C771*VLOOKUP(B771,'Poids des runes'!A:B,2,FALSE)))+1)/VLOOKUP(B771,'Poids des runes'!A:B,2,FALSE))</f>
        <v>4.6400000000000006</v>
      </c>
      <c r="F771">
        <f t="shared" ref="F771:F834" si="12">E771</f>
        <v>4.6400000000000006</v>
      </c>
    </row>
    <row r="772" spans="1:6" x14ac:dyDescent="0.3">
      <c r="A772" t="s">
        <v>269</v>
      </c>
      <c r="B772" t="s">
        <v>2127</v>
      </c>
      <c r="C772">
        <v>35.5</v>
      </c>
      <c r="D772">
        <v>40</v>
      </c>
      <c r="E772">
        <f>IF(OR(B772="vi",B772="ii",B772="pod"),(((D772/100)*(C772*VLOOKUP(B772,'Poids des runes'!A:B,2,FALSE)))+1),(((D772/100)*(C772*VLOOKUP(B772,'Poids des runes'!A:B,2,FALSE)))+1)/VLOOKUP(B772,'Poids des runes'!A:B,2,FALSE))</f>
        <v>15.200000000000001</v>
      </c>
      <c r="F772">
        <f t="shared" si="12"/>
        <v>15.200000000000001</v>
      </c>
    </row>
    <row r="773" spans="1:6" x14ac:dyDescent="0.3">
      <c r="A773" t="s">
        <v>269</v>
      </c>
      <c r="B773" t="s">
        <v>2153</v>
      </c>
      <c r="C773">
        <v>2</v>
      </c>
      <c r="D773">
        <v>40</v>
      </c>
      <c r="E773">
        <f>IF(OR(B773="vi",B773="ii",B773="pod"),(((D773/100)*(C773*VLOOKUP(B773,'Poids des runes'!A:B,2,FALSE)))+1),(((D773/100)*(C773*VLOOKUP(B773,'Poids des runes'!A:B,2,FALSE)))+1)/VLOOKUP(B773,'Poids des runes'!A:B,2,FALSE))</f>
        <v>1</v>
      </c>
      <c r="F773">
        <f t="shared" si="12"/>
        <v>1</v>
      </c>
    </row>
    <row r="774" spans="1:6" x14ac:dyDescent="0.3">
      <c r="A774" t="s">
        <v>269</v>
      </c>
      <c r="B774" t="s">
        <v>2161</v>
      </c>
      <c r="C774">
        <v>8.5</v>
      </c>
      <c r="D774">
        <v>40</v>
      </c>
      <c r="E774">
        <f>IF(OR(B774="vi",B774="ii",B774="pod"),(((D774/100)*(C774*VLOOKUP(B774,'Poids des runes'!A:B,2,FALSE)))+1),(((D774/100)*(C774*VLOOKUP(B774,'Poids des runes'!A:B,2,FALSE)))+1)/VLOOKUP(B774,'Poids des runes'!A:B,2,FALSE))</f>
        <v>3.7333333333333338</v>
      </c>
      <c r="F774">
        <f t="shared" si="12"/>
        <v>3.7333333333333338</v>
      </c>
    </row>
    <row r="775" spans="1:6" x14ac:dyDescent="0.3">
      <c r="A775" t="s">
        <v>270</v>
      </c>
      <c r="B775" t="s">
        <v>2128</v>
      </c>
      <c r="C775">
        <v>50.5</v>
      </c>
      <c r="D775">
        <v>40</v>
      </c>
      <c r="E775">
        <f>IF(OR(B775="vi",B775="ii",B775="pod"),(((D775/100)*(C775*VLOOKUP(B775,'Poids des runes'!A:B,2,FALSE)))+1),(((D775/100)*(C775*VLOOKUP(B775,'Poids des runes'!A:B,2,FALSE)))+1)/VLOOKUP(B775,'Poids des runes'!A:B,2,FALSE))</f>
        <v>5.0400000000000009</v>
      </c>
      <c r="F775">
        <f t="shared" si="12"/>
        <v>5.0400000000000009</v>
      </c>
    </row>
    <row r="776" spans="1:6" x14ac:dyDescent="0.3">
      <c r="A776" t="s">
        <v>270</v>
      </c>
      <c r="B776" t="s">
        <v>2155</v>
      </c>
      <c r="C776">
        <v>2</v>
      </c>
      <c r="D776">
        <v>40</v>
      </c>
      <c r="E776">
        <f>IF(OR(B776="vi",B776="ii",B776="pod"),(((D776/100)*(C776*VLOOKUP(B776,'Poids des runes'!A:B,2,FALSE)))+1),(((D776/100)*(C776*VLOOKUP(B776,'Poids des runes'!A:B,2,FALSE)))+1)/VLOOKUP(B776,'Poids des runes'!A:B,2,FALSE))</f>
        <v>0.81960784313725499</v>
      </c>
      <c r="F776">
        <f t="shared" si="12"/>
        <v>0.81960784313725499</v>
      </c>
    </row>
    <row r="777" spans="1:6" x14ac:dyDescent="0.3">
      <c r="A777" t="s">
        <v>271</v>
      </c>
      <c r="B777" t="s">
        <v>2128</v>
      </c>
      <c r="C777">
        <v>45.5</v>
      </c>
      <c r="D777">
        <v>40</v>
      </c>
      <c r="E777">
        <f>IF(OR(B777="vi",B777="ii",B777="pod"),(((D777/100)*(C777*VLOOKUP(B777,'Poids des runes'!A:B,2,FALSE)))+1),(((D777/100)*(C777*VLOOKUP(B777,'Poids des runes'!A:B,2,FALSE)))+1)/VLOOKUP(B777,'Poids des runes'!A:B,2,FALSE))</f>
        <v>4.6400000000000006</v>
      </c>
      <c r="F777">
        <f t="shared" si="12"/>
        <v>4.6400000000000006</v>
      </c>
    </row>
    <row r="778" spans="1:6" x14ac:dyDescent="0.3">
      <c r="A778" t="s">
        <v>271</v>
      </c>
      <c r="B778" t="s">
        <v>2126</v>
      </c>
      <c r="C778">
        <v>25.5</v>
      </c>
      <c r="D778">
        <v>40</v>
      </c>
      <c r="E778">
        <f>IF(OR(B778="vi",B778="ii",B778="pod"),(((D778/100)*(C778*VLOOKUP(B778,'Poids des runes'!A:B,2,FALSE)))+1),(((D778/100)*(C778*VLOOKUP(B778,'Poids des runes'!A:B,2,FALSE)))+1)/VLOOKUP(B778,'Poids des runes'!A:B,2,FALSE))</f>
        <v>11.200000000000001</v>
      </c>
      <c r="F778">
        <f t="shared" si="12"/>
        <v>11.200000000000001</v>
      </c>
    </row>
    <row r="779" spans="1:6" x14ac:dyDescent="0.3">
      <c r="A779" t="s">
        <v>271</v>
      </c>
      <c r="B779" t="s">
        <v>2140</v>
      </c>
      <c r="C779">
        <v>1</v>
      </c>
      <c r="D779">
        <v>40</v>
      </c>
      <c r="E779">
        <f>IF(OR(B779="vi",B779="ii",B779="pod"),(((D779/100)*(C779*VLOOKUP(B779,'Poids des runes'!A:B,2,FALSE)))+1),(((D779/100)*(C779*VLOOKUP(B779,'Poids des runes'!A:B,2,FALSE)))+1)/VLOOKUP(B779,'Poids des runes'!A:B,2,FALSE))</f>
        <v>0.6</v>
      </c>
      <c r="F779">
        <f t="shared" si="12"/>
        <v>0.6</v>
      </c>
    </row>
    <row r="780" spans="1:6" x14ac:dyDescent="0.3">
      <c r="A780" t="s">
        <v>271</v>
      </c>
      <c r="B780" t="s">
        <v>2147</v>
      </c>
      <c r="C780">
        <v>3.5</v>
      </c>
      <c r="D780">
        <v>40</v>
      </c>
      <c r="E780">
        <f>IF(OR(B780="vi",B780="ii",B780="pod"),(((D780/100)*(C780*VLOOKUP(B780,'Poids des runes'!A:B,2,FALSE)))+1),(((D780/100)*(C780*VLOOKUP(B780,'Poids des runes'!A:B,2,FALSE)))+1)/VLOOKUP(B780,'Poids des runes'!A:B,2,FALSE))</f>
        <v>1.5666666666666667</v>
      </c>
      <c r="F780">
        <f t="shared" si="12"/>
        <v>1.5666666666666667</v>
      </c>
    </row>
    <row r="781" spans="1:6" x14ac:dyDescent="0.3">
      <c r="A781" t="s">
        <v>272</v>
      </c>
      <c r="B781" t="s">
        <v>2128</v>
      </c>
      <c r="C781">
        <v>45.5</v>
      </c>
      <c r="D781">
        <v>40</v>
      </c>
      <c r="E781">
        <f>IF(OR(B781="vi",B781="ii",B781="pod"),(((D781/100)*(C781*VLOOKUP(B781,'Poids des runes'!A:B,2,FALSE)))+1),(((D781/100)*(C781*VLOOKUP(B781,'Poids des runes'!A:B,2,FALSE)))+1)/VLOOKUP(B781,'Poids des runes'!A:B,2,FALSE))</f>
        <v>4.6400000000000006</v>
      </c>
      <c r="F781">
        <f t="shared" si="12"/>
        <v>4.6400000000000006</v>
      </c>
    </row>
    <row r="782" spans="1:6" x14ac:dyDescent="0.3">
      <c r="A782" t="s">
        <v>272</v>
      </c>
      <c r="B782" t="s">
        <v>2131</v>
      </c>
      <c r="C782">
        <v>25.5</v>
      </c>
      <c r="D782">
        <v>40</v>
      </c>
      <c r="E782">
        <f>IF(OR(B782="vi",B782="ii",B782="pod"),(((D782/100)*(C782*VLOOKUP(B782,'Poids des runes'!A:B,2,FALSE)))+1),(((D782/100)*(C782*VLOOKUP(B782,'Poids des runes'!A:B,2,FALSE)))+1)/VLOOKUP(B782,'Poids des runes'!A:B,2,FALSE))</f>
        <v>11.200000000000001</v>
      </c>
      <c r="F782">
        <f t="shared" si="12"/>
        <v>11.200000000000001</v>
      </c>
    </row>
    <row r="783" spans="1:6" x14ac:dyDescent="0.3">
      <c r="A783" t="s">
        <v>272</v>
      </c>
      <c r="B783" t="s">
        <v>2133</v>
      </c>
      <c r="C783">
        <v>1</v>
      </c>
      <c r="D783">
        <v>40</v>
      </c>
      <c r="E783">
        <f>IF(OR(B783="vi",B783="ii",B783="pod"),(((D783/100)*(C783*VLOOKUP(B783,'Poids des runes'!A:B,2,FALSE)))+1),(((D783/100)*(C783*VLOOKUP(B783,'Poids des runes'!A:B,2,FALSE)))+1)/VLOOKUP(B783,'Poids des runes'!A:B,2,FALSE))</f>
        <v>0.6</v>
      </c>
      <c r="F783">
        <f t="shared" si="12"/>
        <v>0.6</v>
      </c>
    </row>
    <row r="784" spans="1:6" x14ac:dyDescent="0.3">
      <c r="A784" t="s">
        <v>272</v>
      </c>
      <c r="B784" t="s">
        <v>2135</v>
      </c>
      <c r="C784">
        <v>3.5</v>
      </c>
      <c r="D784">
        <v>40</v>
      </c>
      <c r="E784">
        <f>IF(OR(B784="vi",B784="ii",B784="pod"),(((D784/100)*(C784*VLOOKUP(B784,'Poids des runes'!A:B,2,FALSE)))+1),(((D784/100)*(C784*VLOOKUP(B784,'Poids des runes'!A:B,2,FALSE)))+1)/VLOOKUP(B784,'Poids des runes'!A:B,2,FALSE))</f>
        <v>1.5666666666666667</v>
      </c>
      <c r="F784">
        <f t="shared" si="12"/>
        <v>1.5666666666666667</v>
      </c>
    </row>
    <row r="785" spans="1:6" x14ac:dyDescent="0.3">
      <c r="A785" t="s">
        <v>273</v>
      </c>
      <c r="B785" t="s">
        <v>2128</v>
      </c>
      <c r="C785">
        <v>45.5</v>
      </c>
      <c r="D785">
        <v>40</v>
      </c>
      <c r="E785">
        <f>IF(OR(B785="vi",B785="ii",B785="pod"),(((D785/100)*(C785*VLOOKUP(B785,'Poids des runes'!A:B,2,FALSE)))+1),(((D785/100)*(C785*VLOOKUP(B785,'Poids des runes'!A:B,2,FALSE)))+1)/VLOOKUP(B785,'Poids des runes'!A:B,2,FALSE))</f>
        <v>4.6400000000000006</v>
      </c>
      <c r="F785">
        <f t="shared" si="12"/>
        <v>4.6400000000000006</v>
      </c>
    </row>
    <row r="786" spans="1:6" x14ac:dyDescent="0.3">
      <c r="A786" t="s">
        <v>273</v>
      </c>
      <c r="B786" t="s">
        <v>2130</v>
      </c>
      <c r="C786">
        <v>25.5</v>
      </c>
      <c r="D786">
        <v>40</v>
      </c>
      <c r="E786">
        <f>IF(OR(B786="vi",B786="ii",B786="pod"),(((D786/100)*(C786*VLOOKUP(B786,'Poids des runes'!A:B,2,FALSE)))+1),(((D786/100)*(C786*VLOOKUP(B786,'Poids des runes'!A:B,2,FALSE)))+1)/VLOOKUP(B786,'Poids des runes'!A:B,2,FALSE))</f>
        <v>11.200000000000001</v>
      </c>
      <c r="F786">
        <f t="shared" si="12"/>
        <v>11.200000000000001</v>
      </c>
    </row>
    <row r="787" spans="1:6" x14ac:dyDescent="0.3">
      <c r="A787" t="s">
        <v>273</v>
      </c>
      <c r="B787" t="s">
        <v>2143</v>
      </c>
      <c r="C787">
        <v>1</v>
      </c>
      <c r="D787">
        <v>40</v>
      </c>
      <c r="E787">
        <f>IF(OR(B787="vi",B787="ii",B787="pod"),(((D787/100)*(C787*VLOOKUP(B787,'Poids des runes'!A:B,2,FALSE)))+1),(((D787/100)*(C787*VLOOKUP(B787,'Poids des runes'!A:B,2,FALSE)))+1)/VLOOKUP(B787,'Poids des runes'!A:B,2,FALSE))</f>
        <v>0.6</v>
      </c>
      <c r="F787">
        <f t="shared" si="12"/>
        <v>0.6</v>
      </c>
    </row>
    <row r="788" spans="1:6" x14ac:dyDescent="0.3">
      <c r="A788" t="s">
        <v>273</v>
      </c>
      <c r="B788" t="s">
        <v>2148</v>
      </c>
      <c r="C788">
        <v>3.5</v>
      </c>
      <c r="D788">
        <v>40</v>
      </c>
      <c r="E788">
        <f>IF(OR(B788="vi",B788="ii",B788="pod"),(((D788/100)*(C788*VLOOKUP(B788,'Poids des runes'!A:B,2,FALSE)))+1),(((D788/100)*(C788*VLOOKUP(B788,'Poids des runes'!A:B,2,FALSE)))+1)/VLOOKUP(B788,'Poids des runes'!A:B,2,FALSE))</f>
        <v>1.5666666666666667</v>
      </c>
      <c r="F788">
        <f t="shared" si="12"/>
        <v>1.5666666666666667</v>
      </c>
    </row>
    <row r="789" spans="1:6" x14ac:dyDescent="0.3">
      <c r="A789" t="s">
        <v>274</v>
      </c>
      <c r="B789" t="s">
        <v>2128</v>
      </c>
      <c r="C789">
        <v>45.5</v>
      </c>
      <c r="D789">
        <v>40</v>
      </c>
      <c r="E789">
        <f>IF(OR(B789="vi",B789="ii",B789="pod"),(((D789/100)*(C789*VLOOKUP(B789,'Poids des runes'!A:B,2,FALSE)))+1),(((D789/100)*(C789*VLOOKUP(B789,'Poids des runes'!A:B,2,FALSE)))+1)/VLOOKUP(B789,'Poids des runes'!A:B,2,FALSE))</f>
        <v>4.6400000000000006</v>
      </c>
      <c r="F789">
        <f t="shared" si="12"/>
        <v>4.6400000000000006</v>
      </c>
    </row>
    <row r="790" spans="1:6" x14ac:dyDescent="0.3">
      <c r="A790" t="s">
        <v>274</v>
      </c>
      <c r="B790" t="s">
        <v>2127</v>
      </c>
      <c r="C790">
        <v>25.5</v>
      </c>
      <c r="D790">
        <v>40</v>
      </c>
      <c r="E790">
        <f>IF(OR(B790="vi",B790="ii",B790="pod"),(((D790/100)*(C790*VLOOKUP(B790,'Poids des runes'!A:B,2,FALSE)))+1),(((D790/100)*(C790*VLOOKUP(B790,'Poids des runes'!A:B,2,FALSE)))+1)/VLOOKUP(B790,'Poids des runes'!A:B,2,FALSE))</f>
        <v>11.200000000000001</v>
      </c>
      <c r="F790">
        <f t="shared" si="12"/>
        <v>11.200000000000001</v>
      </c>
    </row>
    <row r="791" spans="1:6" x14ac:dyDescent="0.3">
      <c r="A791" t="s">
        <v>274</v>
      </c>
      <c r="B791" t="s">
        <v>2153</v>
      </c>
      <c r="C791">
        <v>1</v>
      </c>
      <c r="D791">
        <v>40</v>
      </c>
      <c r="E791">
        <f>IF(OR(B791="vi",B791="ii",B791="pod"),(((D791/100)*(C791*VLOOKUP(B791,'Poids des runes'!A:B,2,FALSE)))+1),(((D791/100)*(C791*VLOOKUP(B791,'Poids des runes'!A:B,2,FALSE)))+1)/VLOOKUP(B791,'Poids des runes'!A:B,2,FALSE))</f>
        <v>0.6</v>
      </c>
      <c r="F791">
        <f t="shared" si="12"/>
        <v>0.6</v>
      </c>
    </row>
    <row r="792" spans="1:6" x14ac:dyDescent="0.3">
      <c r="A792" t="s">
        <v>274</v>
      </c>
      <c r="B792" t="s">
        <v>2157</v>
      </c>
      <c r="C792">
        <v>3.5</v>
      </c>
      <c r="D792">
        <v>40</v>
      </c>
      <c r="E792">
        <f>IF(OR(B792="vi",B792="ii",B792="pod"),(((D792/100)*(C792*VLOOKUP(B792,'Poids des runes'!A:B,2,FALSE)))+1),(((D792/100)*(C792*VLOOKUP(B792,'Poids des runes'!A:B,2,FALSE)))+1)/VLOOKUP(B792,'Poids des runes'!A:B,2,FALSE))</f>
        <v>1.5666666666666667</v>
      </c>
      <c r="F792">
        <f t="shared" si="12"/>
        <v>1.5666666666666667</v>
      </c>
    </row>
    <row r="793" spans="1:6" x14ac:dyDescent="0.3">
      <c r="A793" t="s">
        <v>275</v>
      </c>
      <c r="B793" t="s">
        <v>2128</v>
      </c>
      <c r="C793">
        <v>25.5</v>
      </c>
      <c r="D793">
        <v>40</v>
      </c>
      <c r="E793">
        <f>IF(OR(B793="vi",B793="ii",B793="pod"),(((D793/100)*(C793*VLOOKUP(B793,'Poids des runes'!A:B,2,FALSE)))+1),(((D793/100)*(C793*VLOOKUP(B793,'Poids des runes'!A:B,2,FALSE)))+1)/VLOOKUP(B793,'Poids des runes'!A:B,2,FALSE))</f>
        <v>3.0400000000000005</v>
      </c>
      <c r="F793">
        <f t="shared" si="12"/>
        <v>3.0400000000000005</v>
      </c>
    </row>
    <row r="794" spans="1:6" x14ac:dyDescent="0.3">
      <c r="A794" t="s">
        <v>275</v>
      </c>
      <c r="B794" t="s">
        <v>2143</v>
      </c>
      <c r="C794">
        <v>2.5</v>
      </c>
      <c r="D794">
        <v>40</v>
      </c>
      <c r="E794">
        <f>IF(OR(B794="vi",B794="ii",B794="pod"),(((D794/100)*(C794*VLOOKUP(B794,'Poids des runes'!A:B,2,FALSE)))+1),(((D794/100)*(C794*VLOOKUP(B794,'Poids des runes'!A:B,2,FALSE)))+1)/VLOOKUP(B794,'Poids des runes'!A:B,2,FALSE))</f>
        <v>1.2</v>
      </c>
      <c r="F794">
        <f t="shared" si="12"/>
        <v>1.2</v>
      </c>
    </row>
    <row r="795" spans="1:6" x14ac:dyDescent="0.3">
      <c r="A795" t="s">
        <v>275</v>
      </c>
      <c r="B795" t="s">
        <v>2140</v>
      </c>
      <c r="C795">
        <v>2.5</v>
      </c>
      <c r="D795">
        <v>40</v>
      </c>
      <c r="E795">
        <f>IF(OR(B795="vi",B795="ii",B795="pod"),(((D795/100)*(C795*VLOOKUP(B795,'Poids des runes'!A:B,2,FALSE)))+1),(((D795/100)*(C795*VLOOKUP(B795,'Poids des runes'!A:B,2,FALSE)))+1)/VLOOKUP(B795,'Poids des runes'!A:B,2,FALSE))</f>
        <v>1.2</v>
      </c>
      <c r="F795">
        <f t="shared" si="12"/>
        <v>1.2</v>
      </c>
    </row>
    <row r="796" spans="1:6" x14ac:dyDescent="0.3">
      <c r="A796" t="s">
        <v>275</v>
      </c>
      <c r="B796" t="s">
        <v>2132</v>
      </c>
      <c r="C796">
        <v>125.5</v>
      </c>
      <c r="D796">
        <v>40</v>
      </c>
      <c r="E796">
        <f>IF(OR(B796="vi",B796="ii",B796="pod"),(((D796/100)*(C796*VLOOKUP(B796,'Poids des runes'!A:B,2,FALSE)))+1),(((D796/100)*(C796*VLOOKUP(B796,'Poids des runes'!A:B,2,FALSE)))+1)/VLOOKUP(B796,'Poids des runes'!A:B,2,FALSE))</f>
        <v>6.0200000000000005</v>
      </c>
      <c r="F796">
        <f t="shared" si="12"/>
        <v>6.0200000000000005</v>
      </c>
    </row>
    <row r="797" spans="1:6" x14ac:dyDescent="0.3">
      <c r="A797" t="s">
        <v>276</v>
      </c>
      <c r="B797" t="s">
        <v>2152</v>
      </c>
      <c r="C797">
        <v>1</v>
      </c>
      <c r="D797">
        <v>40</v>
      </c>
      <c r="E797">
        <f>IF(OR(B797="vi",B797="ii",B797="pod"),(((D797/100)*(C797*VLOOKUP(B797,'Poids des runes'!A:B,2,FALSE)))+1),(((D797/100)*(C797*VLOOKUP(B797,'Poids des runes'!A:B,2,FALSE)))+1)/VLOOKUP(B797,'Poids des runes'!A:B,2,FALSE))</f>
        <v>0.41</v>
      </c>
      <c r="F797">
        <f t="shared" si="12"/>
        <v>0.41</v>
      </c>
    </row>
    <row r="798" spans="1:6" x14ac:dyDescent="0.3">
      <c r="A798" t="s">
        <v>277</v>
      </c>
      <c r="B798" t="s">
        <v>2128</v>
      </c>
      <c r="C798">
        <v>30.5</v>
      </c>
      <c r="D798">
        <v>41</v>
      </c>
      <c r="E798">
        <f>IF(OR(B798="vi",B798="ii",B798="pod"),(((D798/100)*(C798*VLOOKUP(B798,'Poids des runes'!A:B,2,FALSE)))+1),(((D798/100)*(C798*VLOOKUP(B798,'Poids des runes'!A:B,2,FALSE)))+1)/VLOOKUP(B798,'Poids des runes'!A:B,2,FALSE))</f>
        <v>3.5009999999999999</v>
      </c>
      <c r="F798">
        <f t="shared" si="12"/>
        <v>3.5009999999999999</v>
      </c>
    </row>
    <row r="799" spans="1:6" x14ac:dyDescent="0.3">
      <c r="A799" t="s">
        <v>277</v>
      </c>
      <c r="B799" t="s">
        <v>2130</v>
      </c>
      <c r="C799">
        <v>30.5</v>
      </c>
      <c r="D799">
        <v>41</v>
      </c>
      <c r="E799">
        <f>IF(OR(B799="vi",B799="ii",B799="pod"),(((D799/100)*(C799*VLOOKUP(B799,'Poids des runes'!A:B,2,FALSE)))+1),(((D799/100)*(C799*VLOOKUP(B799,'Poids des runes'!A:B,2,FALSE)))+1)/VLOOKUP(B799,'Poids des runes'!A:B,2,FALSE))</f>
        <v>13.504999999999999</v>
      </c>
      <c r="F799">
        <f t="shared" si="12"/>
        <v>13.504999999999999</v>
      </c>
    </row>
    <row r="800" spans="1:6" x14ac:dyDescent="0.3">
      <c r="A800" t="s">
        <v>277</v>
      </c>
      <c r="B800" t="s">
        <v>2151</v>
      </c>
      <c r="C800">
        <v>2.5</v>
      </c>
      <c r="D800">
        <v>41</v>
      </c>
      <c r="E800">
        <f>IF(OR(B800="vi",B800="ii",B800="pod"),(((D800/100)*(C800*VLOOKUP(B800,'Poids des runes'!A:B,2,FALSE)))+1),(((D800/100)*(C800*VLOOKUP(B800,'Poids des runes'!A:B,2,FALSE)))+1)/VLOOKUP(B800,'Poids des runes'!A:B,2,FALSE))</f>
        <v>1.125</v>
      </c>
      <c r="F800">
        <f t="shared" si="12"/>
        <v>1.125</v>
      </c>
    </row>
    <row r="801" spans="1:6" x14ac:dyDescent="0.3">
      <c r="A801" t="s">
        <v>277</v>
      </c>
      <c r="B801" t="s">
        <v>2141</v>
      </c>
      <c r="C801">
        <v>2.5</v>
      </c>
      <c r="D801">
        <v>41</v>
      </c>
      <c r="E801">
        <f>IF(OR(B801="vi",B801="ii",B801="pod"),(((D801/100)*(C801*VLOOKUP(B801,'Poids des runes'!A:B,2,FALSE)))+1),(((D801/100)*(C801*VLOOKUP(B801,'Poids des runes'!A:B,2,FALSE)))+1)/VLOOKUP(B801,'Poids des runes'!A:B,2,FALSE))</f>
        <v>1.2749999999999999</v>
      </c>
      <c r="F801">
        <f t="shared" si="12"/>
        <v>1.2749999999999999</v>
      </c>
    </row>
    <row r="802" spans="1:6" x14ac:dyDescent="0.3">
      <c r="A802" t="s">
        <v>278</v>
      </c>
      <c r="B802" t="s">
        <v>2130</v>
      </c>
      <c r="C802">
        <v>50.5</v>
      </c>
      <c r="D802">
        <v>41</v>
      </c>
      <c r="E802">
        <f>IF(OR(B802="vi",B802="ii",B802="pod"),(((D802/100)*(C802*VLOOKUP(B802,'Poids des runes'!A:B,2,FALSE)))+1),(((D802/100)*(C802*VLOOKUP(B802,'Poids des runes'!A:B,2,FALSE)))+1)/VLOOKUP(B802,'Poids des runes'!A:B,2,FALSE))</f>
        <v>21.704999999999998</v>
      </c>
      <c r="F802">
        <f t="shared" si="12"/>
        <v>21.704999999999998</v>
      </c>
    </row>
    <row r="803" spans="1:6" x14ac:dyDescent="0.3">
      <c r="A803" t="s">
        <v>278</v>
      </c>
      <c r="B803" t="s">
        <v>2129</v>
      </c>
      <c r="C803">
        <v>18</v>
      </c>
      <c r="D803">
        <v>41</v>
      </c>
      <c r="E803">
        <f>IF(OR(B803="vi",B803="ii",B803="pod"),(((D803/100)*(C803*VLOOKUP(B803,'Poids des runes'!A:B,2,FALSE)))+1),(((D803/100)*(C803*VLOOKUP(B803,'Poids des runes'!A:B,2,FALSE)))+1)/VLOOKUP(B803,'Poids des runes'!A:B,2,FALSE))</f>
        <v>8.379999999999999</v>
      </c>
      <c r="F803">
        <f t="shared" si="12"/>
        <v>8.379999999999999</v>
      </c>
    </row>
    <row r="804" spans="1:6" x14ac:dyDescent="0.3">
      <c r="A804" t="s">
        <v>278</v>
      </c>
      <c r="B804" t="s">
        <v>2134</v>
      </c>
      <c r="C804">
        <v>2</v>
      </c>
      <c r="D804">
        <v>41</v>
      </c>
      <c r="E804">
        <f>IF(OR(B804="vi",B804="ii",B804="pod"),(((D804/100)*(C804*VLOOKUP(B804,'Poids des runes'!A:B,2,FALSE)))+1),(((D804/100)*(C804*VLOOKUP(B804,'Poids des runes'!A:B,2,FALSE)))+1)/VLOOKUP(B804,'Poids des runes'!A:B,2,FALSE))</f>
        <v>0.86999999999999988</v>
      </c>
      <c r="F804">
        <f t="shared" si="12"/>
        <v>0.86999999999999988</v>
      </c>
    </row>
    <row r="805" spans="1:6" x14ac:dyDescent="0.3">
      <c r="A805" t="s">
        <v>278</v>
      </c>
      <c r="B805" t="s">
        <v>2138</v>
      </c>
      <c r="C805">
        <v>5</v>
      </c>
      <c r="D805">
        <v>41</v>
      </c>
      <c r="E805">
        <f>IF(OR(B805="vi",B805="ii",B805="pod"),(((D805/100)*(C805*VLOOKUP(B805,'Poids des runes'!A:B,2,FALSE)))+1),(((D805/100)*(C805*VLOOKUP(B805,'Poids des runes'!A:B,2,FALSE)))+1)/VLOOKUP(B805,'Poids des runes'!A:B,2,FALSE))</f>
        <v>2.2999999999999998</v>
      </c>
      <c r="F805">
        <f t="shared" si="12"/>
        <v>2.2999999999999998</v>
      </c>
    </row>
    <row r="806" spans="1:6" x14ac:dyDescent="0.3">
      <c r="A806" t="s">
        <v>279</v>
      </c>
      <c r="B806" t="s">
        <v>2130</v>
      </c>
      <c r="C806">
        <v>35.5</v>
      </c>
      <c r="D806">
        <v>41</v>
      </c>
      <c r="E806">
        <f>IF(OR(B806="vi",B806="ii",B806="pod"),(((D806/100)*(C806*VLOOKUP(B806,'Poids des runes'!A:B,2,FALSE)))+1),(((D806/100)*(C806*VLOOKUP(B806,'Poids des runes'!A:B,2,FALSE)))+1)/VLOOKUP(B806,'Poids des runes'!A:B,2,FALSE))</f>
        <v>15.555</v>
      </c>
      <c r="F806">
        <f t="shared" si="12"/>
        <v>15.555</v>
      </c>
    </row>
    <row r="807" spans="1:6" x14ac:dyDescent="0.3">
      <c r="A807" t="s">
        <v>279</v>
      </c>
      <c r="B807" t="s">
        <v>2127</v>
      </c>
      <c r="C807">
        <v>35.5</v>
      </c>
      <c r="D807">
        <v>41</v>
      </c>
      <c r="E807">
        <f>IF(OR(B807="vi",B807="ii",B807="pod"),(((D807/100)*(C807*VLOOKUP(B807,'Poids des runes'!A:B,2,FALSE)))+1),(((D807/100)*(C807*VLOOKUP(B807,'Poids des runes'!A:B,2,FALSE)))+1)/VLOOKUP(B807,'Poids des runes'!A:B,2,FALSE))</f>
        <v>15.555</v>
      </c>
      <c r="F807">
        <f t="shared" si="12"/>
        <v>15.555</v>
      </c>
    </row>
    <row r="808" spans="1:6" x14ac:dyDescent="0.3">
      <c r="A808" t="s">
        <v>279</v>
      </c>
      <c r="B808" t="s">
        <v>2141</v>
      </c>
      <c r="C808">
        <v>6</v>
      </c>
      <c r="D808">
        <v>41</v>
      </c>
      <c r="E808">
        <f>IF(OR(B808="vi",B808="ii",B808="pod"),(((D808/100)*(C808*VLOOKUP(B808,'Poids des runes'!A:B,2,FALSE)))+1),(((D808/100)*(C808*VLOOKUP(B808,'Poids des runes'!A:B,2,FALSE)))+1)/VLOOKUP(B808,'Poids des runes'!A:B,2,FALSE))</f>
        <v>2.71</v>
      </c>
      <c r="F808">
        <f t="shared" si="12"/>
        <v>2.71</v>
      </c>
    </row>
    <row r="809" spans="1:6" x14ac:dyDescent="0.3">
      <c r="A809" t="s">
        <v>279</v>
      </c>
      <c r="B809" t="s">
        <v>2148</v>
      </c>
      <c r="C809">
        <v>3.5</v>
      </c>
      <c r="D809">
        <v>41</v>
      </c>
      <c r="E809">
        <f>IF(OR(B809="vi",B809="ii",B809="pod"),(((D809/100)*(C809*VLOOKUP(B809,'Poids des runes'!A:B,2,FALSE)))+1),(((D809/100)*(C809*VLOOKUP(B809,'Poids des runes'!A:B,2,FALSE)))+1)/VLOOKUP(B809,'Poids des runes'!A:B,2,FALSE))</f>
        <v>1.6016666666666666</v>
      </c>
      <c r="F809">
        <f t="shared" si="12"/>
        <v>1.6016666666666666</v>
      </c>
    </row>
    <row r="810" spans="1:6" x14ac:dyDescent="0.3">
      <c r="A810" t="s">
        <v>279</v>
      </c>
      <c r="B810" t="s">
        <v>2157</v>
      </c>
      <c r="C810">
        <v>3.5</v>
      </c>
      <c r="D810">
        <v>41</v>
      </c>
      <c r="E810">
        <f>IF(OR(B810="vi",B810="ii",B810="pod"),(((D810/100)*(C810*VLOOKUP(B810,'Poids des runes'!A:B,2,FALSE)))+1),(((D810/100)*(C810*VLOOKUP(B810,'Poids des runes'!A:B,2,FALSE)))+1)/VLOOKUP(B810,'Poids des runes'!A:B,2,FALSE))</f>
        <v>1.6016666666666666</v>
      </c>
      <c r="F810">
        <f t="shared" si="12"/>
        <v>1.6016666666666666</v>
      </c>
    </row>
    <row r="811" spans="1:6" x14ac:dyDescent="0.3">
      <c r="A811" t="s">
        <v>280</v>
      </c>
      <c r="B811" t="s">
        <v>2130</v>
      </c>
      <c r="C811">
        <v>23</v>
      </c>
      <c r="D811">
        <v>41</v>
      </c>
      <c r="E811">
        <f>IF(OR(B811="vi",B811="ii",B811="pod"),(((D811/100)*(C811*VLOOKUP(B811,'Poids des runes'!A:B,2,FALSE)))+1),(((D811/100)*(C811*VLOOKUP(B811,'Poids des runes'!A:B,2,FALSE)))+1)/VLOOKUP(B811,'Poids des runes'!A:B,2,FALSE))</f>
        <v>10.43</v>
      </c>
      <c r="F811">
        <f t="shared" si="12"/>
        <v>10.43</v>
      </c>
    </row>
    <row r="812" spans="1:6" x14ac:dyDescent="0.3">
      <c r="A812" t="s">
        <v>280</v>
      </c>
      <c r="B812" t="s">
        <v>2127</v>
      </c>
      <c r="C812">
        <v>23</v>
      </c>
      <c r="D812">
        <v>41</v>
      </c>
      <c r="E812">
        <f>IF(OR(B812="vi",B812="ii",B812="pod"),(((D812/100)*(C812*VLOOKUP(B812,'Poids des runes'!A:B,2,FALSE)))+1),(((D812/100)*(C812*VLOOKUP(B812,'Poids des runes'!A:B,2,FALSE)))+1)/VLOOKUP(B812,'Poids des runes'!A:B,2,FALSE))</f>
        <v>10.43</v>
      </c>
      <c r="F812">
        <f t="shared" si="12"/>
        <v>10.43</v>
      </c>
    </row>
    <row r="813" spans="1:6" x14ac:dyDescent="0.3">
      <c r="A813" t="s">
        <v>280</v>
      </c>
      <c r="B813" t="s">
        <v>2148</v>
      </c>
      <c r="C813">
        <v>5</v>
      </c>
      <c r="D813">
        <v>41</v>
      </c>
      <c r="E813">
        <f>IF(OR(B813="vi",B813="ii",B813="pod"),(((D813/100)*(C813*VLOOKUP(B813,'Poids des runes'!A:B,2,FALSE)))+1),(((D813/100)*(C813*VLOOKUP(B813,'Poids des runes'!A:B,2,FALSE)))+1)/VLOOKUP(B813,'Poids des runes'!A:B,2,FALSE))</f>
        <v>2.2166666666666663</v>
      </c>
      <c r="F813">
        <f t="shared" si="12"/>
        <v>2.2166666666666663</v>
      </c>
    </row>
    <row r="814" spans="1:6" x14ac:dyDescent="0.3">
      <c r="A814" t="s">
        <v>280</v>
      </c>
      <c r="B814" t="s">
        <v>2157</v>
      </c>
      <c r="C814">
        <v>5</v>
      </c>
      <c r="D814">
        <v>41</v>
      </c>
      <c r="E814">
        <f>IF(OR(B814="vi",B814="ii",B814="pod"),(((D814/100)*(C814*VLOOKUP(B814,'Poids des runes'!A:B,2,FALSE)))+1),(((D814/100)*(C814*VLOOKUP(B814,'Poids des runes'!A:B,2,FALSE)))+1)/VLOOKUP(B814,'Poids des runes'!A:B,2,FALSE))</f>
        <v>2.2166666666666663</v>
      </c>
      <c r="F814">
        <f t="shared" si="12"/>
        <v>2.2166666666666663</v>
      </c>
    </row>
    <row r="815" spans="1:6" x14ac:dyDescent="0.3">
      <c r="A815" t="s">
        <v>281</v>
      </c>
      <c r="B815" t="s">
        <v>2128</v>
      </c>
      <c r="C815">
        <v>50.5</v>
      </c>
      <c r="D815">
        <v>41</v>
      </c>
      <c r="E815">
        <f>IF(OR(B815="vi",B815="ii",B815="pod"),(((D815/100)*(C815*VLOOKUP(B815,'Poids des runes'!A:B,2,FALSE)))+1),(((D815/100)*(C815*VLOOKUP(B815,'Poids des runes'!A:B,2,FALSE)))+1)/VLOOKUP(B815,'Poids des runes'!A:B,2,FALSE))</f>
        <v>5.141</v>
      </c>
      <c r="F815">
        <f t="shared" si="12"/>
        <v>5.141</v>
      </c>
    </row>
    <row r="816" spans="1:6" x14ac:dyDescent="0.3">
      <c r="A816" t="s">
        <v>281</v>
      </c>
      <c r="B816" t="s">
        <v>2147</v>
      </c>
      <c r="C816">
        <v>2.5</v>
      </c>
      <c r="D816">
        <v>41</v>
      </c>
      <c r="E816">
        <f>IF(OR(B816="vi",B816="ii",B816="pod"),(((D816/100)*(C816*VLOOKUP(B816,'Poids des runes'!A:B,2,FALSE)))+1),(((D816/100)*(C816*VLOOKUP(B816,'Poids des runes'!A:B,2,FALSE)))+1)/VLOOKUP(B816,'Poids des runes'!A:B,2,FALSE))</f>
        <v>1.1916666666666667</v>
      </c>
      <c r="F816">
        <f t="shared" si="12"/>
        <v>1.1916666666666667</v>
      </c>
    </row>
    <row r="817" spans="1:6" x14ac:dyDescent="0.3">
      <c r="A817" t="s">
        <v>281</v>
      </c>
      <c r="B817" t="s">
        <v>2135</v>
      </c>
      <c r="C817">
        <v>2.5</v>
      </c>
      <c r="D817">
        <v>41</v>
      </c>
      <c r="E817">
        <f>IF(OR(B817="vi",B817="ii",B817="pod"),(((D817/100)*(C817*VLOOKUP(B817,'Poids des runes'!A:B,2,FALSE)))+1),(((D817/100)*(C817*VLOOKUP(B817,'Poids des runes'!A:B,2,FALSE)))+1)/VLOOKUP(B817,'Poids des runes'!A:B,2,FALSE))</f>
        <v>1.1916666666666667</v>
      </c>
      <c r="F817">
        <f t="shared" si="12"/>
        <v>1.1916666666666667</v>
      </c>
    </row>
    <row r="818" spans="1:6" x14ac:dyDescent="0.3">
      <c r="A818" t="s">
        <v>281</v>
      </c>
      <c r="B818" t="s">
        <v>2157</v>
      </c>
      <c r="C818">
        <v>2.5</v>
      </c>
      <c r="D818">
        <v>41</v>
      </c>
      <c r="E818">
        <f>IF(OR(B818="vi",B818="ii",B818="pod"),(((D818/100)*(C818*VLOOKUP(B818,'Poids des runes'!A:B,2,FALSE)))+1),(((D818/100)*(C818*VLOOKUP(B818,'Poids des runes'!A:B,2,FALSE)))+1)/VLOOKUP(B818,'Poids des runes'!A:B,2,FALSE))</f>
        <v>1.1916666666666667</v>
      </c>
      <c r="F818">
        <f t="shared" si="12"/>
        <v>1.1916666666666667</v>
      </c>
    </row>
    <row r="819" spans="1:6" x14ac:dyDescent="0.3">
      <c r="A819" t="s">
        <v>282</v>
      </c>
      <c r="B819" t="s">
        <v>2128</v>
      </c>
      <c r="C819">
        <v>18</v>
      </c>
      <c r="D819">
        <v>41</v>
      </c>
      <c r="E819">
        <f>IF(OR(B819="vi",B819="ii",B819="pod"),(((D819/100)*(C819*VLOOKUP(B819,'Poids des runes'!A:B,2,FALSE)))+1),(((D819/100)*(C819*VLOOKUP(B819,'Poids des runes'!A:B,2,FALSE)))+1)/VLOOKUP(B819,'Poids des runes'!A:B,2,FALSE))</f>
        <v>2.476</v>
      </c>
      <c r="F819">
        <f t="shared" si="12"/>
        <v>2.476</v>
      </c>
    </row>
    <row r="820" spans="1:6" x14ac:dyDescent="0.3">
      <c r="A820" t="s">
        <v>282</v>
      </c>
      <c r="B820" t="s">
        <v>2126</v>
      </c>
      <c r="C820">
        <v>25.5</v>
      </c>
      <c r="D820">
        <v>41</v>
      </c>
      <c r="E820">
        <f>IF(OR(B820="vi",B820="ii",B820="pod"),(((D820/100)*(C820*VLOOKUP(B820,'Poids des runes'!A:B,2,FALSE)))+1),(((D820/100)*(C820*VLOOKUP(B820,'Poids des runes'!A:B,2,FALSE)))+1)/VLOOKUP(B820,'Poids des runes'!A:B,2,FALSE))</f>
        <v>11.455</v>
      </c>
      <c r="F820">
        <f t="shared" si="12"/>
        <v>11.455</v>
      </c>
    </row>
    <row r="821" spans="1:6" x14ac:dyDescent="0.3">
      <c r="A821" t="s">
        <v>282</v>
      </c>
      <c r="B821" t="s">
        <v>2129</v>
      </c>
      <c r="C821">
        <v>8.5</v>
      </c>
      <c r="D821">
        <v>41</v>
      </c>
      <c r="E821">
        <f>IF(OR(B821="vi",B821="ii",B821="pod"),(((D821/100)*(C821*VLOOKUP(B821,'Poids des runes'!A:B,2,FALSE)))+1),(((D821/100)*(C821*VLOOKUP(B821,'Poids des runes'!A:B,2,FALSE)))+1)/VLOOKUP(B821,'Poids des runes'!A:B,2,FALSE))</f>
        <v>4.4849999999999994</v>
      </c>
      <c r="F821">
        <f t="shared" si="12"/>
        <v>4.4849999999999994</v>
      </c>
    </row>
    <row r="822" spans="1:6" x14ac:dyDescent="0.3">
      <c r="A822" t="s">
        <v>282</v>
      </c>
      <c r="B822" t="s">
        <v>2147</v>
      </c>
      <c r="C822">
        <v>4</v>
      </c>
      <c r="D822">
        <v>41</v>
      </c>
      <c r="E822">
        <f>IF(OR(B822="vi",B822="ii",B822="pod"),(((D822/100)*(C822*VLOOKUP(B822,'Poids des runes'!A:B,2,FALSE)))+1),(((D822/100)*(C822*VLOOKUP(B822,'Poids des runes'!A:B,2,FALSE)))+1)/VLOOKUP(B822,'Poids des runes'!A:B,2,FALSE))</f>
        <v>1.8066666666666666</v>
      </c>
      <c r="F822">
        <f t="shared" si="12"/>
        <v>1.8066666666666666</v>
      </c>
    </row>
    <row r="823" spans="1:6" x14ac:dyDescent="0.3">
      <c r="A823" t="s">
        <v>283</v>
      </c>
      <c r="B823" t="s">
        <v>2130</v>
      </c>
      <c r="C823">
        <v>25.5</v>
      </c>
      <c r="D823">
        <v>41</v>
      </c>
      <c r="E823">
        <f>IF(OR(B823="vi",B823="ii",B823="pod"),(((D823/100)*(C823*VLOOKUP(B823,'Poids des runes'!A:B,2,FALSE)))+1),(((D823/100)*(C823*VLOOKUP(B823,'Poids des runes'!A:B,2,FALSE)))+1)/VLOOKUP(B823,'Poids des runes'!A:B,2,FALSE))</f>
        <v>11.455</v>
      </c>
      <c r="F823">
        <f t="shared" si="12"/>
        <v>11.455</v>
      </c>
    </row>
    <row r="824" spans="1:6" x14ac:dyDescent="0.3">
      <c r="A824" t="s">
        <v>283</v>
      </c>
      <c r="B824" t="s">
        <v>2126</v>
      </c>
      <c r="C824">
        <v>25.5</v>
      </c>
      <c r="D824">
        <v>41</v>
      </c>
      <c r="E824">
        <f>IF(OR(B824="vi",B824="ii",B824="pod"),(((D824/100)*(C824*VLOOKUP(B824,'Poids des runes'!A:B,2,FALSE)))+1),(((D824/100)*(C824*VLOOKUP(B824,'Poids des runes'!A:B,2,FALSE)))+1)/VLOOKUP(B824,'Poids des runes'!A:B,2,FALSE))</f>
        <v>11.455</v>
      </c>
      <c r="F824">
        <f t="shared" si="12"/>
        <v>11.455</v>
      </c>
    </row>
    <row r="825" spans="1:6" x14ac:dyDescent="0.3">
      <c r="A825" t="s">
        <v>283</v>
      </c>
      <c r="B825" t="s">
        <v>2138</v>
      </c>
      <c r="C825">
        <v>4</v>
      </c>
      <c r="D825">
        <v>41</v>
      </c>
      <c r="E825">
        <f>IF(OR(B825="vi",B825="ii",B825="pod"),(((D825/100)*(C825*VLOOKUP(B825,'Poids des runes'!A:B,2,FALSE)))+1),(((D825/100)*(C825*VLOOKUP(B825,'Poids des runes'!A:B,2,FALSE)))+1)/VLOOKUP(B825,'Poids des runes'!A:B,2,FALSE))</f>
        <v>1.89</v>
      </c>
      <c r="F825">
        <f t="shared" si="12"/>
        <v>1.89</v>
      </c>
    </row>
    <row r="826" spans="1:6" x14ac:dyDescent="0.3">
      <c r="A826" t="s">
        <v>283</v>
      </c>
      <c r="B826" t="s">
        <v>2162</v>
      </c>
      <c r="C826">
        <v>2.5</v>
      </c>
      <c r="D826">
        <v>41</v>
      </c>
      <c r="E826">
        <f>IF(OR(B826="vi",B826="ii",B826="pod"),(((D826/100)*(C826*VLOOKUP(B826,'Poids des runes'!A:B,2,FALSE)))+1),(((D826/100)*(C826*VLOOKUP(B826,'Poids des runes'!A:B,2,FALSE)))+1)/VLOOKUP(B826,'Poids des runes'!A:B,2,FALSE))</f>
        <v>1.1678571428571429</v>
      </c>
      <c r="F826">
        <f t="shared" si="12"/>
        <v>1.1678571428571429</v>
      </c>
    </row>
    <row r="827" spans="1:6" x14ac:dyDescent="0.3">
      <c r="A827" t="s">
        <v>284</v>
      </c>
      <c r="B827" t="s">
        <v>2128</v>
      </c>
      <c r="C827">
        <v>18</v>
      </c>
      <c r="D827">
        <v>41</v>
      </c>
      <c r="E827">
        <f>IF(OR(B827="vi",B827="ii",B827="pod"),(((D827/100)*(C827*VLOOKUP(B827,'Poids des runes'!A:B,2,FALSE)))+1),(((D827/100)*(C827*VLOOKUP(B827,'Poids des runes'!A:B,2,FALSE)))+1)/VLOOKUP(B827,'Poids des runes'!A:B,2,FALSE))</f>
        <v>2.476</v>
      </c>
      <c r="F827">
        <f t="shared" si="12"/>
        <v>2.476</v>
      </c>
    </row>
    <row r="828" spans="1:6" x14ac:dyDescent="0.3">
      <c r="A828" t="s">
        <v>284</v>
      </c>
      <c r="B828" t="s">
        <v>2131</v>
      </c>
      <c r="C828">
        <v>25.5</v>
      </c>
      <c r="D828">
        <v>41</v>
      </c>
      <c r="E828">
        <f>IF(OR(B828="vi",B828="ii",B828="pod"),(((D828/100)*(C828*VLOOKUP(B828,'Poids des runes'!A:B,2,FALSE)))+1),(((D828/100)*(C828*VLOOKUP(B828,'Poids des runes'!A:B,2,FALSE)))+1)/VLOOKUP(B828,'Poids des runes'!A:B,2,FALSE))</f>
        <v>11.455</v>
      </c>
      <c r="F828">
        <f t="shared" si="12"/>
        <v>11.455</v>
      </c>
    </row>
    <row r="829" spans="1:6" x14ac:dyDescent="0.3">
      <c r="A829" t="s">
        <v>284</v>
      </c>
      <c r="B829" t="s">
        <v>2129</v>
      </c>
      <c r="C829">
        <v>8.5</v>
      </c>
      <c r="D829">
        <v>41</v>
      </c>
      <c r="E829">
        <f>IF(OR(B829="vi",B829="ii",B829="pod"),(((D829/100)*(C829*VLOOKUP(B829,'Poids des runes'!A:B,2,FALSE)))+1),(((D829/100)*(C829*VLOOKUP(B829,'Poids des runes'!A:B,2,FALSE)))+1)/VLOOKUP(B829,'Poids des runes'!A:B,2,FALSE))</f>
        <v>4.4849999999999994</v>
      </c>
      <c r="F829">
        <f t="shared" si="12"/>
        <v>4.4849999999999994</v>
      </c>
    </row>
    <row r="830" spans="1:6" x14ac:dyDescent="0.3">
      <c r="A830" t="s">
        <v>284</v>
      </c>
      <c r="B830" t="s">
        <v>2135</v>
      </c>
      <c r="C830">
        <v>4</v>
      </c>
      <c r="D830">
        <v>41</v>
      </c>
      <c r="E830">
        <f>IF(OR(B830="vi",B830="ii",B830="pod"),(((D830/100)*(C830*VLOOKUP(B830,'Poids des runes'!A:B,2,FALSE)))+1),(((D830/100)*(C830*VLOOKUP(B830,'Poids des runes'!A:B,2,FALSE)))+1)/VLOOKUP(B830,'Poids des runes'!A:B,2,FALSE))</f>
        <v>1.8066666666666666</v>
      </c>
      <c r="F830">
        <f t="shared" si="12"/>
        <v>1.8066666666666666</v>
      </c>
    </row>
    <row r="831" spans="1:6" x14ac:dyDescent="0.3">
      <c r="A831" t="s">
        <v>285</v>
      </c>
      <c r="B831" t="s">
        <v>2128</v>
      </c>
      <c r="C831">
        <v>18</v>
      </c>
      <c r="D831">
        <v>41</v>
      </c>
      <c r="E831">
        <f>IF(OR(B831="vi",B831="ii",B831="pod"),(((D831/100)*(C831*VLOOKUP(B831,'Poids des runes'!A:B,2,FALSE)))+1),(((D831/100)*(C831*VLOOKUP(B831,'Poids des runes'!A:B,2,FALSE)))+1)/VLOOKUP(B831,'Poids des runes'!A:B,2,FALSE))</f>
        <v>2.476</v>
      </c>
      <c r="F831">
        <f t="shared" si="12"/>
        <v>2.476</v>
      </c>
    </row>
    <row r="832" spans="1:6" x14ac:dyDescent="0.3">
      <c r="A832" t="s">
        <v>285</v>
      </c>
      <c r="B832" t="s">
        <v>2130</v>
      </c>
      <c r="C832">
        <v>25.5</v>
      </c>
      <c r="D832">
        <v>41</v>
      </c>
      <c r="E832">
        <f>IF(OR(B832="vi",B832="ii",B832="pod"),(((D832/100)*(C832*VLOOKUP(B832,'Poids des runes'!A:B,2,FALSE)))+1),(((D832/100)*(C832*VLOOKUP(B832,'Poids des runes'!A:B,2,FALSE)))+1)/VLOOKUP(B832,'Poids des runes'!A:B,2,FALSE))</f>
        <v>11.455</v>
      </c>
      <c r="F832">
        <f t="shared" si="12"/>
        <v>11.455</v>
      </c>
    </row>
    <row r="833" spans="1:6" x14ac:dyDescent="0.3">
      <c r="A833" t="s">
        <v>285</v>
      </c>
      <c r="B833" t="s">
        <v>2129</v>
      </c>
      <c r="C833">
        <v>8.5</v>
      </c>
      <c r="D833">
        <v>41</v>
      </c>
      <c r="E833">
        <f>IF(OR(B833="vi",B833="ii",B833="pod"),(((D833/100)*(C833*VLOOKUP(B833,'Poids des runes'!A:B,2,FALSE)))+1),(((D833/100)*(C833*VLOOKUP(B833,'Poids des runes'!A:B,2,FALSE)))+1)/VLOOKUP(B833,'Poids des runes'!A:B,2,FALSE))</f>
        <v>4.4849999999999994</v>
      </c>
      <c r="F833">
        <f t="shared" si="12"/>
        <v>4.4849999999999994</v>
      </c>
    </row>
    <row r="834" spans="1:6" x14ac:dyDescent="0.3">
      <c r="A834" t="s">
        <v>285</v>
      </c>
      <c r="B834" t="s">
        <v>2148</v>
      </c>
      <c r="C834">
        <v>4</v>
      </c>
      <c r="D834">
        <v>41</v>
      </c>
      <c r="E834">
        <f>IF(OR(B834="vi",B834="ii",B834="pod"),(((D834/100)*(C834*VLOOKUP(B834,'Poids des runes'!A:B,2,FALSE)))+1),(((D834/100)*(C834*VLOOKUP(B834,'Poids des runes'!A:B,2,FALSE)))+1)/VLOOKUP(B834,'Poids des runes'!A:B,2,FALSE))</f>
        <v>1.8066666666666666</v>
      </c>
      <c r="F834">
        <f t="shared" si="12"/>
        <v>1.8066666666666666</v>
      </c>
    </row>
    <row r="835" spans="1:6" x14ac:dyDescent="0.3">
      <c r="A835" t="s">
        <v>286</v>
      </c>
      <c r="B835" t="s">
        <v>2128</v>
      </c>
      <c r="C835">
        <v>18</v>
      </c>
      <c r="D835">
        <v>41</v>
      </c>
      <c r="E835">
        <f>IF(OR(B835="vi",B835="ii",B835="pod"),(((D835/100)*(C835*VLOOKUP(B835,'Poids des runes'!A:B,2,FALSE)))+1),(((D835/100)*(C835*VLOOKUP(B835,'Poids des runes'!A:B,2,FALSE)))+1)/VLOOKUP(B835,'Poids des runes'!A:B,2,FALSE))</f>
        <v>2.476</v>
      </c>
      <c r="F835">
        <f t="shared" ref="F835:F898" si="13">E835</f>
        <v>2.476</v>
      </c>
    </row>
    <row r="836" spans="1:6" x14ac:dyDescent="0.3">
      <c r="A836" t="s">
        <v>286</v>
      </c>
      <c r="B836" t="s">
        <v>2127</v>
      </c>
      <c r="C836">
        <v>25.5</v>
      </c>
      <c r="D836">
        <v>41</v>
      </c>
      <c r="E836">
        <f>IF(OR(B836="vi",B836="ii",B836="pod"),(((D836/100)*(C836*VLOOKUP(B836,'Poids des runes'!A:B,2,FALSE)))+1),(((D836/100)*(C836*VLOOKUP(B836,'Poids des runes'!A:B,2,FALSE)))+1)/VLOOKUP(B836,'Poids des runes'!A:B,2,FALSE))</f>
        <v>11.455</v>
      </c>
      <c r="F836">
        <f t="shared" si="13"/>
        <v>11.455</v>
      </c>
    </row>
    <row r="837" spans="1:6" x14ac:dyDescent="0.3">
      <c r="A837" t="s">
        <v>286</v>
      </c>
      <c r="B837" t="s">
        <v>2129</v>
      </c>
      <c r="C837">
        <v>8.5</v>
      </c>
      <c r="D837">
        <v>41</v>
      </c>
      <c r="E837">
        <f>IF(OR(B837="vi",B837="ii",B837="pod"),(((D837/100)*(C837*VLOOKUP(B837,'Poids des runes'!A:B,2,FALSE)))+1),(((D837/100)*(C837*VLOOKUP(B837,'Poids des runes'!A:B,2,FALSE)))+1)/VLOOKUP(B837,'Poids des runes'!A:B,2,FALSE))</f>
        <v>4.4849999999999994</v>
      </c>
      <c r="F837">
        <f t="shared" si="13"/>
        <v>4.4849999999999994</v>
      </c>
    </row>
    <row r="838" spans="1:6" x14ac:dyDescent="0.3">
      <c r="A838" t="s">
        <v>286</v>
      </c>
      <c r="B838" t="s">
        <v>2157</v>
      </c>
      <c r="C838">
        <v>4</v>
      </c>
      <c r="D838">
        <v>41</v>
      </c>
      <c r="E838">
        <f>IF(OR(B838="vi",B838="ii",B838="pod"),(((D838/100)*(C838*VLOOKUP(B838,'Poids des runes'!A:B,2,FALSE)))+1),(((D838/100)*(C838*VLOOKUP(B838,'Poids des runes'!A:B,2,FALSE)))+1)/VLOOKUP(B838,'Poids des runes'!A:B,2,FALSE))</f>
        <v>1.8066666666666666</v>
      </c>
      <c r="F838">
        <f t="shared" si="13"/>
        <v>1.8066666666666666</v>
      </c>
    </row>
    <row r="839" spans="1:6" x14ac:dyDescent="0.3">
      <c r="A839" t="s">
        <v>287</v>
      </c>
      <c r="B839" t="s">
        <v>2126</v>
      </c>
      <c r="C839">
        <v>13</v>
      </c>
      <c r="D839">
        <v>41</v>
      </c>
      <c r="E839">
        <f>IF(OR(B839="vi",B839="ii",B839="pod"),(((D839/100)*(C839*VLOOKUP(B839,'Poids des runes'!A:B,2,FALSE)))+1),(((D839/100)*(C839*VLOOKUP(B839,'Poids des runes'!A:B,2,FALSE)))+1)/VLOOKUP(B839,'Poids des runes'!A:B,2,FALSE))</f>
        <v>6.33</v>
      </c>
      <c r="F839">
        <f t="shared" si="13"/>
        <v>6.33</v>
      </c>
    </row>
    <row r="840" spans="1:6" x14ac:dyDescent="0.3">
      <c r="A840" t="s">
        <v>287</v>
      </c>
      <c r="B840" t="s">
        <v>2150</v>
      </c>
      <c r="C840">
        <v>1</v>
      </c>
      <c r="D840">
        <v>41</v>
      </c>
      <c r="E840">
        <f>IF(OR(B840="vi",B840="ii",B840="pod"),(((D840/100)*(C840*VLOOKUP(B840,'Poids des runes'!A:B,2,FALSE)))+1),(((D840/100)*(C840*VLOOKUP(B840,'Poids des runes'!A:B,2,FALSE)))+1)/VLOOKUP(B840,'Poids des runes'!A:B,2,FALSE))</f>
        <v>0.4433333333333333</v>
      </c>
      <c r="F840">
        <f t="shared" si="13"/>
        <v>0.4433333333333333</v>
      </c>
    </row>
    <row r="841" spans="1:6" x14ac:dyDescent="0.3">
      <c r="A841" t="s">
        <v>287</v>
      </c>
      <c r="B841" t="s">
        <v>2132</v>
      </c>
      <c r="C841">
        <v>75.5</v>
      </c>
      <c r="D841">
        <v>41</v>
      </c>
      <c r="E841">
        <f>IF(OR(B841="vi",B841="ii",B841="pod"),(((D841/100)*(C841*VLOOKUP(B841,'Poids des runes'!A:B,2,FALSE)))+1),(((D841/100)*(C841*VLOOKUP(B841,'Poids des runes'!A:B,2,FALSE)))+1)/VLOOKUP(B841,'Poids des runes'!A:B,2,FALSE))</f>
        <v>4.0954999999999995</v>
      </c>
      <c r="F841">
        <f t="shared" si="13"/>
        <v>4.0954999999999995</v>
      </c>
    </row>
    <row r="842" spans="1:6" x14ac:dyDescent="0.3">
      <c r="A842" t="s">
        <v>287</v>
      </c>
      <c r="B842" t="s">
        <v>2147</v>
      </c>
      <c r="C842">
        <v>4</v>
      </c>
      <c r="D842">
        <v>41</v>
      </c>
      <c r="E842">
        <f>IF(OR(B842="vi",B842="ii",B842="pod"),(((D842/100)*(C842*VLOOKUP(B842,'Poids des runes'!A:B,2,FALSE)))+1),(((D842/100)*(C842*VLOOKUP(B842,'Poids des runes'!A:B,2,FALSE)))+1)/VLOOKUP(B842,'Poids des runes'!A:B,2,FALSE))</f>
        <v>1.8066666666666666</v>
      </c>
      <c r="F842">
        <f t="shared" si="13"/>
        <v>1.8066666666666666</v>
      </c>
    </row>
    <row r="843" spans="1:6" x14ac:dyDescent="0.3">
      <c r="A843" t="s">
        <v>288</v>
      </c>
      <c r="B843" t="s">
        <v>2131</v>
      </c>
      <c r="C843">
        <v>13</v>
      </c>
      <c r="D843">
        <v>41</v>
      </c>
      <c r="E843">
        <f>IF(OR(B843="vi",B843="ii",B843="pod"),(((D843/100)*(C843*VLOOKUP(B843,'Poids des runes'!A:B,2,FALSE)))+1),(((D843/100)*(C843*VLOOKUP(B843,'Poids des runes'!A:B,2,FALSE)))+1)/VLOOKUP(B843,'Poids des runes'!A:B,2,FALSE))</f>
        <v>6.33</v>
      </c>
      <c r="F843">
        <f t="shared" si="13"/>
        <v>6.33</v>
      </c>
    </row>
    <row r="844" spans="1:6" x14ac:dyDescent="0.3">
      <c r="A844" t="s">
        <v>288</v>
      </c>
      <c r="B844" t="s">
        <v>2150</v>
      </c>
      <c r="C844">
        <v>1</v>
      </c>
      <c r="D844">
        <v>41</v>
      </c>
      <c r="E844">
        <f>IF(OR(B844="vi",B844="ii",B844="pod"),(((D844/100)*(C844*VLOOKUP(B844,'Poids des runes'!A:B,2,FALSE)))+1),(((D844/100)*(C844*VLOOKUP(B844,'Poids des runes'!A:B,2,FALSE)))+1)/VLOOKUP(B844,'Poids des runes'!A:B,2,FALSE))</f>
        <v>0.4433333333333333</v>
      </c>
      <c r="F844">
        <f t="shared" si="13"/>
        <v>0.4433333333333333</v>
      </c>
    </row>
    <row r="845" spans="1:6" x14ac:dyDescent="0.3">
      <c r="A845" t="s">
        <v>288</v>
      </c>
      <c r="B845" t="s">
        <v>2132</v>
      </c>
      <c r="C845">
        <v>75.5</v>
      </c>
      <c r="D845">
        <v>41</v>
      </c>
      <c r="E845">
        <f>IF(OR(B845="vi",B845="ii",B845="pod"),(((D845/100)*(C845*VLOOKUP(B845,'Poids des runes'!A:B,2,FALSE)))+1),(((D845/100)*(C845*VLOOKUP(B845,'Poids des runes'!A:B,2,FALSE)))+1)/VLOOKUP(B845,'Poids des runes'!A:B,2,FALSE))</f>
        <v>4.0954999999999995</v>
      </c>
      <c r="F845">
        <f t="shared" si="13"/>
        <v>4.0954999999999995</v>
      </c>
    </row>
    <row r="846" spans="1:6" x14ac:dyDescent="0.3">
      <c r="A846" t="s">
        <v>288</v>
      </c>
      <c r="B846" t="s">
        <v>2135</v>
      </c>
      <c r="C846">
        <v>4</v>
      </c>
      <c r="D846">
        <v>41</v>
      </c>
      <c r="E846">
        <f>IF(OR(B846="vi",B846="ii",B846="pod"),(((D846/100)*(C846*VLOOKUP(B846,'Poids des runes'!A:B,2,FALSE)))+1),(((D846/100)*(C846*VLOOKUP(B846,'Poids des runes'!A:B,2,FALSE)))+1)/VLOOKUP(B846,'Poids des runes'!A:B,2,FALSE))</f>
        <v>1.8066666666666666</v>
      </c>
      <c r="F846">
        <f t="shared" si="13"/>
        <v>1.8066666666666666</v>
      </c>
    </row>
    <row r="847" spans="1:6" x14ac:dyDescent="0.3">
      <c r="A847" t="s">
        <v>289</v>
      </c>
      <c r="B847" t="s">
        <v>2130</v>
      </c>
      <c r="C847">
        <v>13</v>
      </c>
      <c r="D847">
        <v>41</v>
      </c>
      <c r="E847">
        <f>IF(OR(B847="vi",B847="ii",B847="pod"),(((D847/100)*(C847*VLOOKUP(B847,'Poids des runes'!A:B,2,FALSE)))+1),(((D847/100)*(C847*VLOOKUP(B847,'Poids des runes'!A:B,2,FALSE)))+1)/VLOOKUP(B847,'Poids des runes'!A:B,2,FALSE))</f>
        <v>6.33</v>
      </c>
      <c r="F847">
        <f t="shared" si="13"/>
        <v>6.33</v>
      </c>
    </row>
    <row r="848" spans="1:6" x14ac:dyDescent="0.3">
      <c r="A848" t="s">
        <v>289</v>
      </c>
      <c r="B848" t="s">
        <v>2150</v>
      </c>
      <c r="C848">
        <v>1</v>
      </c>
      <c r="D848">
        <v>41</v>
      </c>
      <c r="E848">
        <f>IF(OR(B848="vi",B848="ii",B848="pod"),(((D848/100)*(C848*VLOOKUP(B848,'Poids des runes'!A:B,2,FALSE)))+1),(((D848/100)*(C848*VLOOKUP(B848,'Poids des runes'!A:B,2,FALSE)))+1)/VLOOKUP(B848,'Poids des runes'!A:B,2,FALSE))</f>
        <v>0.4433333333333333</v>
      </c>
      <c r="F848">
        <f t="shared" si="13"/>
        <v>0.4433333333333333</v>
      </c>
    </row>
    <row r="849" spans="1:6" x14ac:dyDescent="0.3">
      <c r="A849" t="s">
        <v>289</v>
      </c>
      <c r="B849" t="s">
        <v>2132</v>
      </c>
      <c r="C849">
        <v>45.5</v>
      </c>
      <c r="D849">
        <v>41</v>
      </c>
      <c r="E849">
        <f>IF(OR(B849="vi",B849="ii",B849="pod"),(((D849/100)*(C849*VLOOKUP(B849,'Poids des runes'!A:B,2,FALSE)))+1),(((D849/100)*(C849*VLOOKUP(B849,'Poids des runes'!A:B,2,FALSE)))+1)/VLOOKUP(B849,'Poids des runes'!A:B,2,FALSE))</f>
        <v>2.8654999999999999</v>
      </c>
      <c r="F849">
        <f t="shared" si="13"/>
        <v>2.8654999999999999</v>
      </c>
    </row>
    <row r="850" spans="1:6" x14ac:dyDescent="0.3">
      <c r="A850" t="s">
        <v>289</v>
      </c>
      <c r="B850" t="s">
        <v>2148</v>
      </c>
      <c r="C850">
        <v>4</v>
      </c>
      <c r="D850">
        <v>41</v>
      </c>
      <c r="E850">
        <f>IF(OR(B850="vi",B850="ii",B850="pod"),(((D850/100)*(C850*VLOOKUP(B850,'Poids des runes'!A:B,2,FALSE)))+1),(((D850/100)*(C850*VLOOKUP(B850,'Poids des runes'!A:B,2,FALSE)))+1)/VLOOKUP(B850,'Poids des runes'!A:B,2,FALSE))</f>
        <v>1.8066666666666666</v>
      </c>
      <c r="F850">
        <f t="shared" si="13"/>
        <v>1.8066666666666666</v>
      </c>
    </row>
    <row r="851" spans="1:6" x14ac:dyDescent="0.3">
      <c r="A851" t="s">
        <v>290</v>
      </c>
      <c r="B851" t="s">
        <v>2127</v>
      </c>
      <c r="C851">
        <v>13</v>
      </c>
      <c r="D851">
        <v>41</v>
      </c>
      <c r="E851">
        <f>IF(OR(B851="vi",B851="ii",B851="pod"),(((D851/100)*(C851*VLOOKUP(B851,'Poids des runes'!A:B,2,FALSE)))+1),(((D851/100)*(C851*VLOOKUP(B851,'Poids des runes'!A:B,2,FALSE)))+1)/VLOOKUP(B851,'Poids des runes'!A:B,2,FALSE))</f>
        <v>6.33</v>
      </c>
      <c r="F851">
        <f t="shared" si="13"/>
        <v>6.33</v>
      </c>
    </row>
    <row r="852" spans="1:6" x14ac:dyDescent="0.3">
      <c r="A852" t="s">
        <v>290</v>
      </c>
      <c r="B852" t="s">
        <v>2150</v>
      </c>
      <c r="C852">
        <v>1</v>
      </c>
      <c r="D852">
        <v>41</v>
      </c>
      <c r="E852">
        <f>IF(OR(B852="vi",B852="ii",B852="pod"),(((D852/100)*(C852*VLOOKUP(B852,'Poids des runes'!A:B,2,FALSE)))+1),(((D852/100)*(C852*VLOOKUP(B852,'Poids des runes'!A:B,2,FALSE)))+1)/VLOOKUP(B852,'Poids des runes'!A:B,2,FALSE))</f>
        <v>0.4433333333333333</v>
      </c>
      <c r="F852">
        <f t="shared" si="13"/>
        <v>0.4433333333333333</v>
      </c>
    </row>
    <row r="853" spans="1:6" x14ac:dyDescent="0.3">
      <c r="A853" t="s">
        <v>290</v>
      </c>
      <c r="B853" t="s">
        <v>2132</v>
      </c>
      <c r="C853">
        <v>75.5</v>
      </c>
      <c r="D853">
        <v>41</v>
      </c>
      <c r="E853">
        <f>IF(OR(B853="vi",B853="ii",B853="pod"),(((D853/100)*(C853*VLOOKUP(B853,'Poids des runes'!A:B,2,FALSE)))+1),(((D853/100)*(C853*VLOOKUP(B853,'Poids des runes'!A:B,2,FALSE)))+1)/VLOOKUP(B853,'Poids des runes'!A:B,2,FALSE))</f>
        <v>4.0954999999999995</v>
      </c>
      <c r="F853">
        <f t="shared" si="13"/>
        <v>4.0954999999999995</v>
      </c>
    </row>
    <row r="854" spans="1:6" x14ac:dyDescent="0.3">
      <c r="A854" t="s">
        <v>290</v>
      </c>
      <c r="B854" t="s">
        <v>2157</v>
      </c>
      <c r="C854">
        <v>4</v>
      </c>
      <c r="D854">
        <v>41</v>
      </c>
      <c r="E854">
        <f>IF(OR(B854="vi",B854="ii",B854="pod"),(((D854/100)*(C854*VLOOKUP(B854,'Poids des runes'!A:B,2,FALSE)))+1),(((D854/100)*(C854*VLOOKUP(B854,'Poids des runes'!A:B,2,FALSE)))+1)/VLOOKUP(B854,'Poids des runes'!A:B,2,FALSE))</f>
        <v>1.8066666666666666</v>
      </c>
      <c r="F854">
        <f t="shared" si="13"/>
        <v>1.8066666666666666</v>
      </c>
    </row>
    <row r="855" spans="1:6" x14ac:dyDescent="0.3">
      <c r="A855" t="s">
        <v>291</v>
      </c>
      <c r="B855" t="s">
        <v>2128</v>
      </c>
      <c r="C855">
        <v>45.5</v>
      </c>
      <c r="D855">
        <v>41</v>
      </c>
      <c r="E855">
        <f>IF(OR(B855="vi",B855="ii",B855="pod"),(((D855/100)*(C855*VLOOKUP(B855,'Poids des runes'!A:B,2,FALSE)))+1),(((D855/100)*(C855*VLOOKUP(B855,'Poids des runes'!A:B,2,FALSE)))+1)/VLOOKUP(B855,'Poids des runes'!A:B,2,FALSE))</f>
        <v>4.7309999999999999</v>
      </c>
      <c r="F855">
        <f t="shared" si="13"/>
        <v>4.7309999999999999</v>
      </c>
    </row>
    <row r="856" spans="1:6" x14ac:dyDescent="0.3">
      <c r="A856" t="s">
        <v>291</v>
      </c>
      <c r="B856" t="s">
        <v>2131</v>
      </c>
      <c r="C856">
        <v>15.5</v>
      </c>
      <c r="D856">
        <v>41</v>
      </c>
      <c r="E856">
        <f>IF(OR(B856="vi",B856="ii",B856="pod"),(((D856/100)*(C856*VLOOKUP(B856,'Poids des runes'!A:B,2,FALSE)))+1),(((D856/100)*(C856*VLOOKUP(B856,'Poids des runes'!A:B,2,FALSE)))+1)/VLOOKUP(B856,'Poids des runes'!A:B,2,FALSE))</f>
        <v>7.3549999999999995</v>
      </c>
      <c r="F856">
        <f t="shared" si="13"/>
        <v>7.3549999999999995</v>
      </c>
    </row>
    <row r="857" spans="1:6" x14ac:dyDescent="0.3">
      <c r="A857" t="s">
        <v>291</v>
      </c>
      <c r="B857" t="s">
        <v>2155</v>
      </c>
      <c r="C857">
        <v>1</v>
      </c>
      <c r="D857">
        <v>41</v>
      </c>
      <c r="E857">
        <f>IF(OR(B857="vi",B857="ii",B857="pod"),(((D857/100)*(C857*VLOOKUP(B857,'Poids des runes'!A:B,2,FALSE)))+1),(((D857/100)*(C857*VLOOKUP(B857,'Poids des runes'!A:B,2,FALSE)))+1)/VLOOKUP(B857,'Poids des runes'!A:B,2,FALSE))</f>
        <v>0.42960784313725492</v>
      </c>
      <c r="F857">
        <f t="shared" si="13"/>
        <v>0.42960784313725492</v>
      </c>
    </row>
    <row r="858" spans="1:6" x14ac:dyDescent="0.3">
      <c r="A858" t="s">
        <v>292</v>
      </c>
      <c r="B858" t="s">
        <v>2151</v>
      </c>
      <c r="C858">
        <v>6</v>
      </c>
      <c r="D858">
        <v>41</v>
      </c>
      <c r="E858">
        <f>IF(OR(B858="vi",B858="ii",B858="pod"),(((D858/100)*(C858*VLOOKUP(B858,'Poids des runes'!A:B,2,FALSE)))+1),(((D858/100)*(C858*VLOOKUP(B858,'Poids des runes'!A:B,2,FALSE)))+1)/VLOOKUP(B858,'Poids des runes'!A:B,2,FALSE))</f>
        <v>2.5599999999999996</v>
      </c>
      <c r="F858">
        <f t="shared" si="13"/>
        <v>2.5599999999999996</v>
      </c>
    </row>
    <row r="859" spans="1:6" x14ac:dyDescent="0.3">
      <c r="A859" t="s">
        <v>292</v>
      </c>
      <c r="B859" t="s">
        <v>2153</v>
      </c>
      <c r="C859">
        <v>6.5</v>
      </c>
      <c r="D859">
        <v>41</v>
      </c>
      <c r="E859">
        <f>IF(OR(B859="vi",B859="ii",B859="pod"),(((D859/100)*(C859*VLOOKUP(B859,'Poids des runes'!A:B,2,FALSE)))+1),(((D859/100)*(C859*VLOOKUP(B859,'Poids des runes'!A:B,2,FALSE)))+1)/VLOOKUP(B859,'Poids des runes'!A:B,2,FALSE))</f>
        <v>2.8649999999999998</v>
      </c>
      <c r="F859">
        <f t="shared" si="13"/>
        <v>2.8649999999999998</v>
      </c>
    </row>
    <row r="860" spans="1:6" x14ac:dyDescent="0.3">
      <c r="A860" t="s">
        <v>292</v>
      </c>
      <c r="B860" t="s">
        <v>2138</v>
      </c>
      <c r="C860">
        <v>5</v>
      </c>
      <c r="D860">
        <v>41</v>
      </c>
      <c r="E860">
        <f>IF(OR(B860="vi",B860="ii",B860="pod"),(((D860/100)*(C860*VLOOKUP(B860,'Poids des runes'!A:B,2,FALSE)))+1),(((D860/100)*(C860*VLOOKUP(B860,'Poids des runes'!A:B,2,FALSE)))+1)/VLOOKUP(B860,'Poids des runes'!A:B,2,FALSE))</f>
        <v>2.2999999999999998</v>
      </c>
      <c r="F860">
        <f t="shared" si="13"/>
        <v>2.2999999999999998</v>
      </c>
    </row>
    <row r="861" spans="1:6" x14ac:dyDescent="0.3">
      <c r="A861" t="s">
        <v>293</v>
      </c>
      <c r="B861" t="s">
        <v>2130</v>
      </c>
      <c r="C861">
        <v>20.5</v>
      </c>
      <c r="D861">
        <v>41</v>
      </c>
      <c r="E861">
        <f>IF(OR(B861="vi",B861="ii",B861="pod"),(((D861/100)*(C861*VLOOKUP(B861,'Poids des runes'!A:B,2,FALSE)))+1),(((D861/100)*(C861*VLOOKUP(B861,'Poids des runes'!A:B,2,FALSE)))+1)/VLOOKUP(B861,'Poids des runes'!A:B,2,FALSE))</f>
        <v>9.4049999999999994</v>
      </c>
      <c r="F861">
        <f t="shared" si="13"/>
        <v>9.4049999999999994</v>
      </c>
    </row>
    <row r="862" spans="1:6" x14ac:dyDescent="0.3">
      <c r="A862" t="s">
        <v>293</v>
      </c>
      <c r="B862" t="s">
        <v>2126</v>
      </c>
      <c r="C862">
        <v>20.5</v>
      </c>
      <c r="D862">
        <v>41</v>
      </c>
      <c r="E862">
        <f>IF(OR(B862="vi",B862="ii",B862="pod"),(((D862/100)*(C862*VLOOKUP(B862,'Poids des runes'!A:B,2,FALSE)))+1),(((D862/100)*(C862*VLOOKUP(B862,'Poids des runes'!A:B,2,FALSE)))+1)/VLOOKUP(B862,'Poids des runes'!A:B,2,FALSE))</f>
        <v>9.4049999999999994</v>
      </c>
      <c r="F862">
        <f t="shared" si="13"/>
        <v>9.4049999999999994</v>
      </c>
    </row>
    <row r="863" spans="1:6" x14ac:dyDescent="0.3">
      <c r="A863" t="s">
        <v>293</v>
      </c>
      <c r="B863" t="s">
        <v>2129</v>
      </c>
      <c r="C863">
        <v>13</v>
      </c>
      <c r="D863">
        <v>41</v>
      </c>
      <c r="E863">
        <f>IF(OR(B863="vi",B863="ii",B863="pod"),(((D863/100)*(C863*VLOOKUP(B863,'Poids des runes'!A:B,2,FALSE)))+1),(((D863/100)*(C863*VLOOKUP(B863,'Poids des runes'!A:B,2,FALSE)))+1)/VLOOKUP(B863,'Poids des runes'!A:B,2,FALSE))</f>
        <v>6.33</v>
      </c>
      <c r="F863">
        <f t="shared" si="13"/>
        <v>6.33</v>
      </c>
    </row>
    <row r="864" spans="1:6" x14ac:dyDescent="0.3">
      <c r="A864" t="s">
        <v>293</v>
      </c>
      <c r="B864" t="s">
        <v>2138</v>
      </c>
      <c r="C864">
        <v>2.5</v>
      </c>
      <c r="D864">
        <v>41</v>
      </c>
      <c r="E864">
        <f>IF(OR(B864="vi",B864="ii",B864="pod"),(((D864/100)*(C864*VLOOKUP(B864,'Poids des runes'!A:B,2,FALSE)))+1),(((D864/100)*(C864*VLOOKUP(B864,'Poids des runes'!A:B,2,FALSE)))+1)/VLOOKUP(B864,'Poids des runes'!A:B,2,FALSE))</f>
        <v>1.2749999999999999</v>
      </c>
      <c r="F864">
        <f t="shared" si="13"/>
        <v>1.2749999999999999</v>
      </c>
    </row>
    <row r="865" spans="1:6" x14ac:dyDescent="0.3">
      <c r="A865" t="s">
        <v>294</v>
      </c>
      <c r="B865" t="s">
        <v>2128</v>
      </c>
      <c r="C865">
        <v>25.5</v>
      </c>
      <c r="D865">
        <v>41</v>
      </c>
      <c r="E865">
        <f>IF(OR(B865="vi",B865="ii",B865="pod"),(((D865/100)*(C865*VLOOKUP(B865,'Poids des runes'!A:B,2,FALSE)))+1),(((D865/100)*(C865*VLOOKUP(B865,'Poids des runes'!A:B,2,FALSE)))+1)/VLOOKUP(B865,'Poids des runes'!A:B,2,FALSE))</f>
        <v>3.0910000000000002</v>
      </c>
      <c r="F865">
        <f t="shared" si="13"/>
        <v>3.0910000000000002</v>
      </c>
    </row>
    <row r="866" spans="1:6" x14ac:dyDescent="0.3">
      <c r="A866" t="s">
        <v>294</v>
      </c>
      <c r="B866" t="s">
        <v>2131</v>
      </c>
      <c r="C866">
        <v>25.5</v>
      </c>
      <c r="D866">
        <v>41</v>
      </c>
      <c r="E866">
        <f>IF(OR(B866="vi",B866="ii",B866="pod"),(((D866/100)*(C866*VLOOKUP(B866,'Poids des runes'!A:B,2,FALSE)))+1),(((D866/100)*(C866*VLOOKUP(B866,'Poids des runes'!A:B,2,FALSE)))+1)/VLOOKUP(B866,'Poids des runes'!A:B,2,FALSE))</f>
        <v>11.455</v>
      </c>
      <c r="F866">
        <f t="shared" si="13"/>
        <v>11.455</v>
      </c>
    </row>
    <row r="867" spans="1:6" x14ac:dyDescent="0.3">
      <c r="A867" t="s">
        <v>294</v>
      </c>
      <c r="B867" t="s">
        <v>2151</v>
      </c>
      <c r="C867">
        <v>2.5</v>
      </c>
      <c r="D867">
        <v>41</v>
      </c>
      <c r="E867">
        <f>IF(OR(B867="vi",B867="ii",B867="pod"),(((D867/100)*(C867*VLOOKUP(B867,'Poids des runes'!A:B,2,FALSE)))+1),(((D867/100)*(C867*VLOOKUP(B867,'Poids des runes'!A:B,2,FALSE)))+1)/VLOOKUP(B867,'Poids des runes'!A:B,2,FALSE))</f>
        <v>1.125</v>
      </c>
      <c r="F867">
        <f t="shared" si="13"/>
        <v>1.125</v>
      </c>
    </row>
    <row r="868" spans="1:6" x14ac:dyDescent="0.3">
      <c r="A868" t="s">
        <v>294</v>
      </c>
      <c r="B868" t="s">
        <v>2133</v>
      </c>
      <c r="C868">
        <v>2.5</v>
      </c>
      <c r="D868">
        <v>41</v>
      </c>
      <c r="E868">
        <f>IF(OR(B868="vi",B868="ii",B868="pod"),(((D868/100)*(C868*VLOOKUP(B868,'Poids des runes'!A:B,2,FALSE)))+1),(((D868/100)*(C868*VLOOKUP(B868,'Poids des runes'!A:B,2,FALSE)))+1)/VLOOKUP(B868,'Poids des runes'!A:B,2,FALSE))</f>
        <v>1.2250000000000001</v>
      </c>
      <c r="F868">
        <f t="shared" si="13"/>
        <v>1.2250000000000001</v>
      </c>
    </row>
    <row r="869" spans="1:6" x14ac:dyDescent="0.3">
      <c r="A869" t="s">
        <v>295</v>
      </c>
      <c r="B869" t="s">
        <v>2128</v>
      </c>
      <c r="C869">
        <v>35.5</v>
      </c>
      <c r="D869">
        <v>41</v>
      </c>
      <c r="E869">
        <f>IF(OR(B869="vi",B869="ii",B869="pod"),(((D869/100)*(C869*VLOOKUP(B869,'Poids des runes'!A:B,2,FALSE)))+1),(((D869/100)*(C869*VLOOKUP(B869,'Poids des runes'!A:B,2,FALSE)))+1)/VLOOKUP(B869,'Poids des runes'!A:B,2,FALSE))</f>
        <v>3.911</v>
      </c>
      <c r="F869">
        <f t="shared" si="13"/>
        <v>3.911</v>
      </c>
    </row>
    <row r="870" spans="1:6" x14ac:dyDescent="0.3">
      <c r="A870" t="s">
        <v>295</v>
      </c>
      <c r="B870" t="s">
        <v>2129</v>
      </c>
      <c r="C870">
        <v>8</v>
      </c>
      <c r="D870">
        <v>41</v>
      </c>
      <c r="E870">
        <f>IF(OR(B870="vi",B870="ii",B870="pod"),(((D870/100)*(C870*VLOOKUP(B870,'Poids des runes'!A:B,2,FALSE)))+1),(((D870/100)*(C870*VLOOKUP(B870,'Poids des runes'!A:B,2,FALSE)))+1)/VLOOKUP(B870,'Poids des runes'!A:B,2,FALSE))</f>
        <v>4.2799999999999994</v>
      </c>
      <c r="F870">
        <f t="shared" si="13"/>
        <v>4.2799999999999994</v>
      </c>
    </row>
    <row r="871" spans="1:6" x14ac:dyDescent="0.3">
      <c r="A871" t="s">
        <v>295</v>
      </c>
      <c r="B871" t="s">
        <v>2139</v>
      </c>
      <c r="C871">
        <v>15.5</v>
      </c>
      <c r="D871">
        <v>41</v>
      </c>
      <c r="E871">
        <f>IF(OR(B871="vi",B871="ii",B871="pod"),(((D871/100)*(C871*VLOOKUP(B871,'Poids des runes'!A:B,2,FALSE)))+1),(((D871/100)*(C871*VLOOKUP(B871,'Poids des runes'!A:B,2,FALSE)))+1)/VLOOKUP(B871,'Poids des runes'!A:B,2,FALSE))</f>
        <v>6.8549999999999995</v>
      </c>
      <c r="F871">
        <f t="shared" si="13"/>
        <v>6.8549999999999995</v>
      </c>
    </row>
    <row r="872" spans="1:6" x14ac:dyDescent="0.3">
      <c r="A872" t="s">
        <v>295</v>
      </c>
      <c r="B872" t="s">
        <v>2143</v>
      </c>
      <c r="C872">
        <v>2.5</v>
      </c>
      <c r="D872">
        <v>41</v>
      </c>
      <c r="E872">
        <f>IF(OR(B872="vi",B872="ii",B872="pod"),(((D872/100)*(C872*VLOOKUP(B872,'Poids des runes'!A:B,2,FALSE)))+1),(((D872/100)*(C872*VLOOKUP(B872,'Poids des runes'!A:B,2,FALSE)))+1)/VLOOKUP(B872,'Poids des runes'!A:B,2,FALSE))</f>
        <v>1.2250000000000001</v>
      </c>
      <c r="F872">
        <f t="shared" si="13"/>
        <v>1.2250000000000001</v>
      </c>
    </row>
    <row r="873" spans="1:6" x14ac:dyDescent="0.3">
      <c r="A873" t="s">
        <v>295</v>
      </c>
      <c r="B873" t="s">
        <v>2140</v>
      </c>
      <c r="C873">
        <v>2.5</v>
      </c>
      <c r="D873">
        <v>41</v>
      </c>
      <c r="E873">
        <f>IF(OR(B873="vi",B873="ii",B873="pod"),(((D873/100)*(C873*VLOOKUP(B873,'Poids des runes'!A:B,2,FALSE)))+1),(((D873/100)*(C873*VLOOKUP(B873,'Poids des runes'!A:B,2,FALSE)))+1)/VLOOKUP(B873,'Poids des runes'!A:B,2,FALSE))</f>
        <v>1.2250000000000001</v>
      </c>
      <c r="F873">
        <f t="shared" si="13"/>
        <v>1.2250000000000001</v>
      </c>
    </row>
    <row r="874" spans="1:6" x14ac:dyDescent="0.3">
      <c r="A874" t="s">
        <v>295</v>
      </c>
      <c r="B874" t="s">
        <v>2138</v>
      </c>
      <c r="C874">
        <v>1.5</v>
      </c>
      <c r="D874">
        <v>41</v>
      </c>
      <c r="E874">
        <f>IF(OR(B874="vi",B874="ii",B874="pod"),(((D874/100)*(C874*VLOOKUP(B874,'Poids des runes'!A:B,2,FALSE)))+1),(((D874/100)*(C874*VLOOKUP(B874,'Poids des runes'!A:B,2,FALSE)))+1)/VLOOKUP(B874,'Poids des runes'!A:B,2,FALSE))</f>
        <v>0.86499999999999999</v>
      </c>
      <c r="F874">
        <f t="shared" si="13"/>
        <v>0.86499999999999999</v>
      </c>
    </row>
    <row r="875" spans="1:6" x14ac:dyDescent="0.3">
      <c r="A875" t="s">
        <v>296</v>
      </c>
      <c r="B875" t="s">
        <v>2128</v>
      </c>
      <c r="C875">
        <v>35.5</v>
      </c>
      <c r="D875">
        <v>41</v>
      </c>
      <c r="E875">
        <f>IF(OR(B875="vi",B875="ii",B875="pod"),(((D875/100)*(C875*VLOOKUP(B875,'Poids des runes'!A:B,2,FALSE)))+1),(((D875/100)*(C875*VLOOKUP(B875,'Poids des runes'!A:B,2,FALSE)))+1)/VLOOKUP(B875,'Poids des runes'!A:B,2,FALSE))</f>
        <v>3.911</v>
      </c>
      <c r="F875">
        <f t="shared" si="13"/>
        <v>3.911</v>
      </c>
    </row>
    <row r="876" spans="1:6" x14ac:dyDescent="0.3">
      <c r="A876" t="s">
        <v>296</v>
      </c>
      <c r="B876" t="s">
        <v>2130</v>
      </c>
      <c r="C876">
        <v>35.5</v>
      </c>
      <c r="D876">
        <v>41</v>
      </c>
      <c r="E876">
        <f>IF(OR(B876="vi",B876="ii",B876="pod"),(((D876/100)*(C876*VLOOKUP(B876,'Poids des runes'!A:B,2,FALSE)))+1),(((D876/100)*(C876*VLOOKUP(B876,'Poids des runes'!A:B,2,FALSE)))+1)/VLOOKUP(B876,'Poids des runes'!A:B,2,FALSE))</f>
        <v>15.555</v>
      </c>
      <c r="F876">
        <f t="shared" si="13"/>
        <v>15.555</v>
      </c>
    </row>
    <row r="877" spans="1:6" x14ac:dyDescent="0.3">
      <c r="A877" t="s">
        <v>296</v>
      </c>
      <c r="B877" t="s">
        <v>2129</v>
      </c>
      <c r="C877">
        <v>6</v>
      </c>
      <c r="D877">
        <v>41</v>
      </c>
      <c r="E877">
        <f>IF(OR(B877="vi",B877="ii",B877="pod"),(((D877/100)*(C877*VLOOKUP(B877,'Poids des runes'!A:B,2,FALSE)))+1),(((D877/100)*(C877*VLOOKUP(B877,'Poids des runes'!A:B,2,FALSE)))+1)/VLOOKUP(B877,'Poids des runes'!A:B,2,FALSE))</f>
        <v>3.46</v>
      </c>
      <c r="F877">
        <f t="shared" si="13"/>
        <v>3.46</v>
      </c>
    </row>
    <row r="878" spans="1:6" x14ac:dyDescent="0.3">
      <c r="A878" t="s">
        <v>296</v>
      </c>
      <c r="B878" t="s">
        <v>2143</v>
      </c>
      <c r="C878">
        <v>3.5</v>
      </c>
      <c r="D878">
        <v>41</v>
      </c>
      <c r="E878">
        <f>IF(OR(B878="vi",B878="ii",B878="pod"),(((D878/100)*(C878*VLOOKUP(B878,'Poids des runes'!A:B,2,FALSE)))+1),(((D878/100)*(C878*VLOOKUP(B878,'Poids des runes'!A:B,2,FALSE)))+1)/VLOOKUP(B878,'Poids des runes'!A:B,2,FALSE))</f>
        <v>1.6350000000000002</v>
      </c>
      <c r="F878">
        <f t="shared" si="13"/>
        <v>1.6350000000000002</v>
      </c>
    </row>
    <row r="879" spans="1:6" x14ac:dyDescent="0.3">
      <c r="A879" t="s">
        <v>297</v>
      </c>
      <c r="B879" t="s">
        <v>2128</v>
      </c>
      <c r="C879">
        <v>25.5</v>
      </c>
      <c r="D879">
        <v>41</v>
      </c>
      <c r="E879">
        <f>IF(OR(B879="vi",B879="ii",B879="pod"),(((D879/100)*(C879*VLOOKUP(B879,'Poids des runes'!A:B,2,FALSE)))+1),(((D879/100)*(C879*VLOOKUP(B879,'Poids des runes'!A:B,2,FALSE)))+1)/VLOOKUP(B879,'Poids des runes'!A:B,2,FALSE))</f>
        <v>3.0910000000000002</v>
      </c>
      <c r="F879">
        <f t="shared" si="13"/>
        <v>3.0910000000000002</v>
      </c>
    </row>
    <row r="880" spans="1:6" x14ac:dyDescent="0.3">
      <c r="A880" t="s">
        <v>297</v>
      </c>
      <c r="B880" t="s">
        <v>2126</v>
      </c>
      <c r="C880">
        <v>25.5</v>
      </c>
      <c r="D880">
        <v>41</v>
      </c>
      <c r="E880">
        <f>IF(OR(B880="vi",B880="ii",B880="pod"),(((D880/100)*(C880*VLOOKUP(B880,'Poids des runes'!A:B,2,FALSE)))+1),(((D880/100)*(C880*VLOOKUP(B880,'Poids des runes'!A:B,2,FALSE)))+1)/VLOOKUP(B880,'Poids des runes'!A:B,2,FALSE))</f>
        <v>11.455</v>
      </c>
      <c r="F880">
        <f t="shared" si="13"/>
        <v>11.455</v>
      </c>
    </row>
    <row r="881" spans="1:6" x14ac:dyDescent="0.3">
      <c r="A881" t="s">
        <v>297</v>
      </c>
      <c r="B881" t="s">
        <v>2141</v>
      </c>
      <c r="C881">
        <v>2.5</v>
      </c>
      <c r="D881">
        <v>41</v>
      </c>
      <c r="E881">
        <f>IF(OR(B881="vi",B881="ii",B881="pod"),(((D881/100)*(C881*VLOOKUP(B881,'Poids des runes'!A:B,2,FALSE)))+1),(((D881/100)*(C881*VLOOKUP(B881,'Poids des runes'!A:B,2,FALSE)))+1)/VLOOKUP(B881,'Poids des runes'!A:B,2,FALSE))</f>
        <v>1.2749999999999999</v>
      </c>
      <c r="F881">
        <f t="shared" si="13"/>
        <v>1.2749999999999999</v>
      </c>
    </row>
    <row r="882" spans="1:6" x14ac:dyDescent="0.3">
      <c r="A882" t="s">
        <v>297</v>
      </c>
      <c r="B882" t="s">
        <v>2147</v>
      </c>
      <c r="C882">
        <v>5</v>
      </c>
      <c r="D882">
        <v>41</v>
      </c>
      <c r="E882">
        <f>IF(OR(B882="vi",B882="ii",B882="pod"),(((D882/100)*(C882*VLOOKUP(B882,'Poids des runes'!A:B,2,FALSE)))+1),(((D882/100)*(C882*VLOOKUP(B882,'Poids des runes'!A:B,2,FALSE)))+1)/VLOOKUP(B882,'Poids des runes'!A:B,2,FALSE))</f>
        <v>2.2166666666666663</v>
      </c>
      <c r="F882">
        <f t="shared" si="13"/>
        <v>2.2166666666666663</v>
      </c>
    </row>
    <row r="883" spans="1:6" x14ac:dyDescent="0.3">
      <c r="A883" t="s">
        <v>298</v>
      </c>
      <c r="B883" t="s">
        <v>2128</v>
      </c>
      <c r="C883">
        <v>25.5</v>
      </c>
      <c r="D883">
        <v>41</v>
      </c>
      <c r="E883">
        <f>IF(OR(B883="vi",B883="ii",B883="pod"),(((D883/100)*(C883*VLOOKUP(B883,'Poids des runes'!A:B,2,FALSE)))+1),(((D883/100)*(C883*VLOOKUP(B883,'Poids des runes'!A:B,2,FALSE)))+1)/VLOOKUP(B883,'Poids des runes'!A:B,2,FALSE))</f>
        <v>3.0910000000000002</v>
      </c>
      <c r="F883">
        <f t="shared" si="13"/>
        <v>3.0910000000000002</v>
      </c>
    </row>
    <row r="884" spans="1:6" x14ac:dyDescent="0.3">
      <c r="A884" t="s">
        <v>298</v>
      </c>
      <c r="B884" t="s">
        <v>2131</v>
      </c>
      <c r="C884">
        <v>25.5</v>
      </c>
      <c r="D884">
        <v>41</v>
      </c>
      <c r="E884">
        <f>IF(OR(B884="vi",B884="ii",B884="pod"),(((D884/100)*(C884*VLOOKUP(B884,'Poids des runes'!A:B,2,FALSE)))+1),(((D884/100)*(C884*VLOOKUP(B884,'Poids des runes'!A:B,2,FALSE)))+1)/VLOOKUP(B884,'Poids des runes'!A:B,2,FALSE))</f>
        <v>11.455</v>
      </c>
      <c r="F884">
        <f t="shared" si="13"/>
        <v>11.455</v>
      </c>
    </row>
    <row r="885" spans="1:6" x14ac:dyDescent="0.3">
      <c r="A885" t="s">
        <v>298</v>
      </c>
      <c r="B885" t="s">
        <v>2141</v>
      </c>
      <c r="C885">
        <v>2.5</v>
      </c>
      <c r="D885">
        <v>41</v>
      </c>
      <c r="E885">
        <f>IF(OR(B885="vi",B885="ii",B885="pod"),(((D885/100)*(C885*VLOOKUP(B885,'Poids des runes'!A:B,2,FALSE)))+1),(((D885/100)*(C885*VLOOKUP(B885,'Poids des runes'!A:B,2,FALSE)))+1)/VLOOKUP(B885,'Poids des runes'!A:B,2,FALSE))</f>
        <v>1.2749999999999999</v>
      </c>
      <c r="F885">
        <f t="shared" si="13"/>
        <v>1.2749999999999999</v>
      </c>
    </row>
    <row r="886" spans="1:6" x14ac:dyDescent="0.3">
      <c r="A886" t="s">
        <v>298</v>
      </c>
      <c r="B886" t="s">
        <v>2135</v>
      </c>
      <c r="C886">
        <v>5</v>
      </c>
      <c r="D886">
        <v>41</v>
      </c>
      <c r="E886">
        <f>IF(OR(B886="vi",B886="ii",B886="pod"),(((D886/100)*(C886*VLOOKUP(B886,'Poids des runes'!A:B,2,FALSE)))+1),(((D886/100)*(C886*VLOOKUP(B886,'Poids des runes'!A:B,2,FALSE)))+1)/VLOOKUP(B886,'Poids des runes'!A:B,2,FALSE))</f>
        <v>2.2166666666666663</v>
      </c>
      <c r="F886">
        <f t="shared" si="13"/>
        <v>2.2166666666666663</v>
      </c>
    </row>
    <row r="887" spans="1:6" x14ac:dyDescent="0.3">
      <c r="A887" t="s">
        <v>299</v>
      </c>
      <c r="B887" t="s">
        <v>2128</v>
      </c>
      <c r="C887">
        <v>25.5</v>
      </c>
      <c r="D887">
        <v>41</v>
      </c>
      <c r="E887">
        <f>IF(OR(B887="vi",B887="ii",B887="pod"),(((D887/100)*(C887*VLOOKUP(B887,'Poids des runes'!A:B,2,FALSE)))+1),(((D887/100)*(C887*VLOOKUP(B887,'Poids des runes'!A:B,2,FALSE)))+1)/VLOOKUP(B887,'Poids des runes'!A:B,2,FALSE))</f>
        <v>3.0910000000000002</v>
      </c>
      <c r="F887">
        <f t="shared" si="13"/>
        <v>3.0910000000000002</v>
      </c>
    </row>
    <row r="888" spans="1:6" x14ac:dyDescent="0.3">
      <c r="A888" t="s">
        <v>299</v>
      </c>
      <c r="B888" t="s">
        <v>2130</v>
      </c>
      <c r="C888">
        <v>25.5</v>
      </c>
      <c r="D888">
        <v>41</v>
      </c>
      <c r="E888">
        <f>IF(OR(B888="vi",B888="ii",B888="pod"),(((D888/100)*(C888*VLOOKUP(B888,'Poids des runes'!A:B,2,FALSE)))+1),(((D888/100)*(C888*VLOOKUP(B888,'Poids des runes'!A:B,2,FALSE)))+1)/VLOOKUP(B888,'Poids des runes'!A:B,2,FALSE))</f>
        <v>11.455</v>
      </c>
      <c r="F888">
        <f t="shared" si="13"/>
        <v>11.455</v>
      </c>
    </row>
    <row r="889" spans="1:6" x14ac:dyDescent="0.3">
      <c r="A889" t="s">
        <v>299</v>
      </c>
      <c r="B889" t="s">
        <v>2141</v>
      </c>
      <c r="C889">
        <v>2.5</v>
      </c>
      <c r="D889">
        <v>41</v>
      </c>
      <c r="E889">
        <f>IF(OR(B889="vi",B889="ii",B889="pod"),(((D889/100)*(C889*VLOOKUP(B889,'Poids des runes'!A:B,2,FALSE)))+1),(((D889/100)*(C889*VLOOKUP(B889,'Poids des runes'!A:B,2,FALSE)))+1)/VLOOKUP(B889,'Poids des runes'!A:B,2,FALSE))</f>
        <v>1.2749999999999999</v>
      </c>
      <c r="F889">
        <f t="shared" si="13"/>
        <v>1.2749999999999999</v>
      </c>
    </row>
    <row r="890" spans="1:6" x14ac:dyDescent="0.3">
      <c r="A890" t="s">
        <v>299</v>
      </c>
      <c r="B890" t="s">
        <v>2148</v>
      </c>
      <c r="C890">
        <v>5</v>
      </c>
      <c r="D890">
        <v>41</v>
      </c>
      <c r="E890">
        <f>IF(OR(B890="vi",B890="ii",B890="pod"),(((D890/100)*(C890*VLOOKUP(B890,'Poids des runes'!A:B,2,FALSE)))+1),(((D890/100)*(C890*VLOOKUP(B890,'Poids des runes'!A:B,2,FALSE)))+1)/VLOOKUP(B890,'Poids des runes'!A:B,2,FALSE))</f>
        <v>2.2166666666666663</v>
      </c>
      <c r="F890">
        <f t="shared" si="13"/>
        <v>2.2166666666666663</v>
      </c>
    </row>
    <row r="891" spans="1:6" x14ac:dyDescent="0.3">
      <c r="A891" t="s">
        <v>300</v>
      </c>
      <c r="B891" t="s">
        <v>2128</v>
      </c>
      <c r="C891">
        <v>25.5</v>
      </c>
      <c r="D891">
        <v>41</v>
      </c>
      <c r="E891">
        <f>IF(OR(B891="vi",B891="ii",B891="pod"),(((D891/100)*(C891*VLOOKUP(B891,'Poids des runes'!A:B,2,FALSE)))+1),(((D891/100)*(C891*VLOOKUP(B891,'Poids des runes'!A:B,2,FALSE)))+1)/VLOOKUP(B891,'Poids des runes'!A:B,2,FALSE))</f>
        <v>3.0910000000000002</v>
      </c>
      <c r="F891">
        <f t="shared" si="13"/>
        <v>3.0910000000000002</v>
      </c>
    </row>
    <row r="892" spans="1:6" x14ac:dyDescent="0.3">
      <c r="A892" t="s">
        <v>300</v>
      </c>
      <c r="B892" t="s">
        <v>2127</v>
      </c>
      <c r="C892">
        <v>25.5</v>
      </c>
      <c r="D892">
        <v>41</v>
      </c>
      <c r="E892">
        <f>IF(OR(B892="vi",B892="ii",B892="pod"),(((D892/100)*(C892*VLOOKUP(B892,'Poids des runes'!A:B,2,FALSE)))+1),(((D892/100)*(C892*VLOOKUP(B892,'Poids des runes'!A:B,2,FALSE)))+1)/VLOOKUP(B892,'Poids des runes'!A:B,2,FALSE))</f>
        <v>11.455</v>
      </c>
      <c r="F892">
        <f t="shared" si="13"/>
        <v>11.455</v>
      </c>
    </row>
    <row r="893" spans="1:6" x14ac:dyDescent="0.3">
      <c r="A893" t="s">
        <v>300</v>
      </c>
      <c r="B893" t="s">
        <v>2141</v>
      </c>
      <c r="C893">
        <v>2.5</v>
      </c>
      <c r="D893">
        <v>41</v>
      </c>
      <c r="E893">
        <f>IF(OR(B893="vi",B893="ii",B893="pod"),(((D893/100)*(C893*VLOOKUP(B893,'Poids des runes'!A:B,2,FALSE)))+1),(((D893/100)*(C893*VLOOKUP(B893,'Poids des runes'!A:B,2,FALSE)))+1)/VLOOKUP(B893,'Poids des runes'!A:B,2,FALSE))</f>
        <v>1.2749999999999999</v>
      </c>
      <c r="F893">
        <f t="shared" si="13"/>
        <v>1.2749999999999999</v>
      </c>
    </row>
    <row r="894" spans="1:6" x14ac:dyDescent="0.3">
      <c r="A894" t="s">
        <v>300</v>
      </c>
      <c r="B894" t="s">
        <v>2157</v>
      </c>
      <c r="C894">
        <v>5</v>
      </c>
      <c r="D894">
        <v>41</v>
      </c>
      <c r="E894">
        <f>IF(OR(B894="vi",B894="ii",B894="pod"),(((D894/100)*(C894*VLOOKUP(B894,'Poids des runes'!A:B,2,FALSE)))+1),(((D894/100)*(C894*VLOOKUP(B894,'Poids des runes'!A:B,2,FALSE)))+1)/VLOOKUP(B894,'Poids des runes'!A:B,2,FALSE))</f>
        <v>2.2166666666666663</v>
      </c>
      <c r="F894">
        <f t="shared" si="13"/>
        <v>2.2166666666666663</v>
      </c>
    </row>
    <row r="895" spans="1:6" x14ac:dyDescent="0.3">
      <c r="A895" t="s">
        <v>301</v>
      </c>
      <c r="B895" t="s">
        <v>2128</v>
      </c>
      <c r="C895">
        <v>25.5</v>
      </c>
      <c r="D895">
        <v>41</v>
      </c>
      <c r="E895">
        <f>IF(OR(B895="vi",B895="ii",B895="pod"),(((D895/100)*(C895*VLOOKUP(B895,'Poids des runes'!A:B,2,FALSE)))+1),(((D895/100)*(C895*VLOOKUP(B895,'Poids des runes'!A:B,2,FALSE)))+1)/VLOOKUP(B895,'Poids des runes'!A:B,2,FALSE))</f>
        <v>3.0910000000000002</v>
      </c>
      <c r="F895">
        <f t="shared" si="13"/>
        <v>3.0910000000000002</v>
      </c>
    </row>
    <row r="896" spans="1:6" x14ac:dyDescent="0.3">
      <c r="A896" t="s">
        <v>301</v>
      </c>
      <c r="B896" t="s">
        <v>2129</v>
      </c>
      <c r="C896">
        <v>18</v>
      </c>
      <c r="D896">
        <v>41</v>
      </c>
      <c r="E896">
        <f>IF(OR(B896="vi",B896="ii",B896="pod"),(((D896/100)*(C896*VLOOKUP(B896,'Poids des runes'!A:B,2,FALSE)))+1),(((D896/100)*(C896*VLOOKUP(B896,'Poids des runes'!A:B,2,FALSE)))+1)/VLOOKUP(B896,'Poids des runes'!A:B,2,FALSE))</f>
        <v>8.379999999999999</v>
      </c>
      <c r="F896">
        <f t="shared" si="13"/>
        <v>8.379999999999999</v>
      </c>
    </row>
    <row r="897" spans="1:6" x14ac:dyDescent="0.3">
      <c r="A897" t="s">
        <v>301</v>
      </c>
      <c r="B897" t="s">
        <v>2135</v>
      </c>
      <c r="C897">
        <v>4.5</v>
      </c>
      <c r="D897">
        <v>41</v>
      </c>
      <c r="E897">
        <f>IF(OR(B897="vi",B897="ii",B897="pod"),(((D897/100)*(C897*VLOOKUP(B897,'Poids des runes'!A:B,2,FALSE)))+1),(((D897/100)*(C897*VLOOKUP(B897,'Poids des runes'!A:B,2,FALSE)))+1)/VLOOKUP(B897,'Poids des runes'!A:B,2,FALSE))</f>
        <v>2.0116666666666663</v>
      </c>
      <c r="F897">
        <f t="shared" si="13"/>
        <v>2.0116666666666663</v>
      </c>
    </row>
    <row r="898" spans="1:6" x14ac:dyDescent="0.3">
      <c r="A898" t="s">
        <v>302</v>
      </c>
      <c r="B898" t="s">
        <v>2128</v>
      </c>
      <c r="C898">
        <v>25.5</v>
      </c>
      <c r="D898">
        <v>42</v>
      </c>
      <c r="E898">
        <f>IF(OR(B898="vi",B898="ii",B898="pod"),(((D898/100)*(C898*VLOOKUP(B898,'Poids des runes'!A:B,2,FALSE)))+1),(((D898/100)*(C898*VLOOKUP(B898,'Poids des runes'!A:B,2,FALSE)))+1)/VLOOKUP(B898,'Poids des runes'!A:B,2,FALSE))</f>
        <v>3.1420000000000003</v>
      </c>
      <c r="F898">
        <f t="shared" si="13"/>
        <v>3.1420000000000003</v>
      </c>
    </row>
    <row r="899" spans="1:6" x14ac:dyDescent="0.3">
      <c r="A899" t="s">
        <v>302</v>
      </c>
      <c r="B899" t="s">
        <v>2126</v>
      </c>
      <c r="C899">
        <v>35.5</v>
      </c>
      <c r="D899">
        <v>42</v>
      </c>
      <c r="E899">
        <f>IF(OR(B899="vi",B899="ii",B899="pod"),(((D899/100)*(C899*VLOOKUP(B899,'Poids des runes'!A:B,2,FALSE)))+1),(((D899/100)*(C899*VLOOKUP(B899,'Poids des runes'!A:B,2,FALSE)))+1)/VLOOKUP(B899,'Poids des runes'!A:B,2,FALSE))</f>
        <v>15.91</v>
      </c>
      <c r="F899">
        <f t="shared" ref="F899:F962" si="14">E899</f>
        <v>15.91</v>
      </c>
    </row>
    <row r="900" spans="1:6" x14ac:dyDescent="0.3">
      <c r="A900" t="s">
        <v>302</v>
      </c>
      <c r="B900" t="s">
        <v>2147</v>
      </c>
      <c r="C900">
        <v>4.5</v>
      </c>
      <c r="D900">
        <v>42</v>
      </c>
      <c r="E900">
        <f>IF(OR(B900="vi",B900="ii",B900="pod"),(((D900/100)*(C900*VLOOKUP(B900,'Poids des runes'!A:B,2,FALSE)))+1),(((D900/100)*(C900*VLOOKUP(B900,'Poids des runes'!A:B,2,FALSE)))+1)/VLOOKUP(B900,'Poids des runes'!A:B,2,FALSE))</f>
        <v>2.0566666666666666</v>
      </c>
      <c r="F900">
        <f t="shared" si="14"/>
        <v>2.0566666666666666</v>
      </c>
    </row>
    <row r="901" spans="1:6" x14ac:dyDescent="0.3">
      <c r="A901" t="s">
        <v>303</v>
      </c>
      <c r="B901" t="s">
        <v>2152</v>
      </c>
      <c r="C901">
        <v>1</v>
      </c>
      <c r="D901">
        <v>42</v>
      </c>
      <c r="E901">
        <f>IF(OR(B901="vi",B901="ii",B901="pod"),(((D901/100)*(C901*VLOOKUP(B901,'Poids des runes'!A:B,2,FALSE)))+1),(((D901/100)*(C901*VLOOKUP(B901,'Poids des runes'!A:B,2,FALSE)))+1)/VLOOKUP(B901,'Poids des runes'!A:B,2,FALSE))</f>
        <v>0.43</v>
      </c>
      <c r="F901">
        <f t="shared" si="14"/>
        <v>0.43</v>
      </c>
    </row>
    <row r="902" spans="1:6" x14ac:dyDescent="0.3">
      <c r="A902" t="s">
        <v>303</v>
      </c>
      <c r="B902" t="s">
        <v>2150</v>
      </c>
      <c r="C902">
        <v>1</v>
      </c>
      <c r="D902">
        <v>42</v>
      </c>
      <c r="E902">
        <f>IF(OR(B902="vi",B902="ii",B902="pod"),(((D902/100)*(C902*VLOOKUP(B902,'Poids des runes'!A:B,2,FALSE)))+1),(((D902/100)*(C902*VLOOKUP(B902,'Poids des runes'!A:B,2,FALSE)))+1)/VLOOKUP(B902,'Poids des runes'!A:B,2,FALSE))</f>
        <v>0.45333333333333331</v>
      </c>
      <c r="F902">
        <f t="shared" si="14"/>
        <v>0.45333333333333331</v>
      </c>
    </row>
    <row r="903" spans="1:6" x14ac:dyDescent="0.3">
      <c r="A903" t="s">
        <v>304</v>
      </c>
      <c r="B903" t="s">
        <v>2128</v>
      </c>
      <c r="C903">
        <v>25.5</v>
      </c>
      <c r="D903">
        <v>42</v>
      </c>
      <c r="E903">
        <f>IF(OR(B903="vi",B903="ii",B903="pod"),(((D903/100)*(C903*VLOOKUP(B903,'Poids des runes'!A:B,2,FALSE)))+1),(((D903/100)*(C903*VLOOKUP(B903,'Poids des runes'!A:B,2,FALSE)))+1)/VLOOKUP(B903,'Poids des runes'!A:B,2,FALSE))</f>
        <v>3.1420000000000003</v>
      </c>
      <c r="F903">
        <f t="shared" si="14"/>
        <v>3.1420000000000003</v>
      </c>
    </row>
    <row r="904" spans="1:6" x14ac:dyDescent="0.3">
      <c r="A904" t="s">
        <v>304</v>
      </c>
      <c r="B904" t="s">
        <v>2126</v>
      </c>
      <c r="C904">
        <v>18</v>
      </c>
      <c r="D904">
        <v>42</v>
      </c>
      <c r="E904">
        <f>IF(OR(B904="vi",B904="ii",B904="pod"),(((D904/100)*(C904*VLOOKUP(B904,'Poids des runes'!A:B,2,FALSE)))+1),(((D904/100)*(C904*VLOOKUP(B904,'Poids des runes'!A:B,2,FALSE)))+1)/VLOOKUP(B904,'Poids des runes'!A:B,2,FALSE))</f>
        <v>8.5599999999999987</v>
      </c>
      <c r="F904">
        <f t="shared" si="14"/>
        <v>8.5599999999999987</v>
      </c>
    </row>
    <row r="905" spans="1:6" x14ac:dyDescent="0.3">
      <c r="A905" t="s">
        <v>304</v>
      </c>
      <c r="B905" t="s">
        <v>2131</v>
      </c>
      <c r="C905">
        <v>18</v>
      </c>
      <c r="D905">
        <v>42</v>
      </c>
      <c r="E905">
        <f>IF(OR(B905="vi",B905="ii",B905="pod"),(((D905/100)*(C905*VLOOKUP(B905,'Poids des runes'!A:B,2,FALSE)))+1),(((D905/100)*(C905*VLOOKUP(B905,'Poids des runes'!A:B,2,FALSE)))+1)/VLOOKUP(B905,'Poids des runes'!A:B,2,FALSE))</f>
        <v>8.5599999999999987</v>
      </c>
      <c r="F905">
        <f t="shared" si="14"/>
        <v>8.5599999999999987</v>
      </c>
    </row>
    <row r="906" spans="1:6" x14ac:dyDescent="0.3">
      <c r="A906" t="s">
        <v>304</v>
      </c>
      <c r="B906" t="s">
        <v>2127</v>
      </c>
      <c r="C906">
        <v>18</v>
      </c>
      <c r="D906">
        <v>42</v>
      </c>
      <c r="E906">
        <f>IF(OR(B906="vi",B906="ii",B906="pod"),(((D906/100)*(C906*VLOOKUP(B906,'Poids des runes'!A:B,2,FALSE)))+1),(((D906/100)*(C906*VLOOKUP(B906,'Poids des runes'!A:B,2,FALSE)))+1)/VLOOKUP(B906,'Poids des runes'!A:B,2,FALSE))</f>
        <v>8.5599999999999987</v>
      </c>
      <c r="F906">
        <f t="shared" si="14"/>
        <v>8.5599999999999987</v>
      </c>
    </row>
    <row r="907" spans="1:6" x14ac:dyDescent="0.3">
      <c r="A907" t="s">
        <v>304</v>
      </c>
      <c r="B907" t="s">
        <v>2156</v>
      </c>
      <c r="C907">
        <v>2.5</v>
      </c>
      <c r="D907">
        <v>42</v>
      </c>
      <c r="E907">
        <f>IF(OR(B907="vi",B907="ii",B907="pod"),(((D907/100)*(C907*VLOOKUP(B907,'Poids des runes'!A:B,2,FALSE)))+1),(((D907/100)*(C907*VLOOKUP(B907,'Poids des runes'!A:B,2,FALSE)))+1)/VLOOKUP(B907,'Poids des runes'!A:B,2,FALSE))</f>
        <v>1.2166666666666666</v>
      </c>
      <c r="F907">
        <f t="shared" si="14"/>
        <v>1.2166666666666666</v>
      </c>
    </row>
    <row r="908" spans="1:6" x14ac:dyDescent="0.3">
      <c r="A908" t="s">
        <v>305</v>
      </c>
      <c r="B908" t="s">
        <v>2128</v>
      </c>
      <c r="C908">
        <v>13</v>
      </c>
      <c r="D908">
        <v>42</v>
      </c>
      <c r="E908">
        <f>IF(OR(B908="vi",B908="ii",B908="pod"),(((D908/100)*(C908*VLOOKUP(B908,'Poids des runes'!A:B,2,FALSE)))+1),(((D908/100)*(C908*VLOOKUP(B908,'Poids des runes'!A:B,2,FALSE)))+1)/VLOOKUP(B908,'Poids des runes'!A:B,2,FALSE))</f>
        <v>2.0920000000000001</v>
      </c>
      <c r="F908">
        <f t="shared" si="14"/>
        <v>2.0920000000000001</v>
      </c>
    </row>
    <row r="909" spans="1:6" x14ac:dyDescent="0.3">
      <c r="A909" t="s">
        <v>305</v>
      </c>
      <c r="B909" t="s">
        <v>2130</v>
      </c>
      <c r="C909">
        <v>25.5</v>
      </c>
      <c r="D909">
        <v>42</v>
      </c>
      <c r="E909">
        <f>IF(OR(B909="vi",B909="ii",B909="pod"),(((D909/100)*(C909*VLOOKUP(B909,'Poids des runes'!A:B,2,FALSE)))+1),(((D909/100)*(C909*VLOOKUP(B909,'Poids des runes'!A:B,2,FALSE)))+1)/VLOOKUP(B909,'Poids des runes'!A:B,2,FALSE))</f>
        <v>11.709999999999999</v>
      </c>
      <c r="F909">
        <f t="shared" si="14"/>
        <v>11.709999999999999</v>
      </c>
    </row>
    <row r="910" spans="1:6" x14ac:dyDescent="0.3">
      <c r="A910" t="s">
        <v>305</v>
      </c>
      <c r="B910" t="s">
        <v>2126</v>
      </c>
      <c r="C910">
        <v>25.5</v>
      </c>
      <c r="D910">
        <v>42</v>
      </c>
      <c r="E910">
        <f>IF(OR(B910="vi",B910="ii",B910="pod"),(((D910/100)*(C910*VLOOKUP(B910,'Poids des runes'!A:B,2,FALSE)))+1),(((D910/100)*(C910*VLOOKUP(B910,'Poids des runes'!A:B,2,FALSE)))+1)/VLOOKUP(B910,'Poids des runes'!A:B,2,FALSE))</f>
        <v>11.709999999999999</v>
      </c>
      <c r="F910">
        <f t="shared" si="14"/>
        <v>11.709999999999999</v>
      </c>
    </row>
    <row r="911" spans="1:6" x14ac:dyDescent="0.3">
      <c r="A911" t="s">
        <v>305</v>
      </c>
      <c r="B911" t="s">
        <v>2156</v>
      </c>
      <c r="C911">
        <v>2.5</v>
      </c>
      <c r="D911">
        <v>42</v>
      </c>
      <c r="E911">
        <f>IF(OR(B911="vi",B911="ii",B911="pod"),(((D911/100)*(C911*VLOOKUP(B911,'Poids des runes'!A:B,2,FALSE)))+1),(((D911/100)*(C911*VLOOKUP(B911,'Poids des runes'!A:B,2,FALSE)))+1)/VLOOKUP(B911,'Poids des runes'!A:B,2,FALSE))</f>
        <v>1.2166666666666666</v>
      </c>
      <c r="F911">
        <f t="shared" si="14"/>
        <v>1.2166666666666666</v>
      </c>
    </row>
    <row r="912" spans="1:6" x14ac:dyDescent="0.3">
      <c r="A912" t="s">
        <v>306</v>
      </c>
      <c r="B912" t="s">
        <v>2128</v>
      </c>
      <c r="C912">
        <v>50.5</v>
      </c>
      <c r="D912">
        <v>42</v>
      </c>
      <c r="E912">
        <f>IF(OR(B912="vi",B912="ii",B912="pod"),(((D912/100)*(C912*VLOOKUP(B912,'Poids des runes'!A:B,2,FALSE)))+1),(((D912/100)*(C912*VLOOKUP(B912,'Poids des runes'!A:B,2,FALSE)))+1)/VLOOKUP(B912,'Poids des runes'!A:B,2,FALSE))</f>
        <v>5.2420000000000009</v>
      </c>
      <c r="F912">
        <f t="shared" si="14"/>
        <v>5.2420000000000009</v>
      </c>
    </row>
    <row r="913" spans="1:6" x14ac:dyDescent="0.3">
      <c r="A913" t="s">
        <v>306</v>
      </c>
      <c r="B913" t="s">
        <v>2130</v>
      </c>
      <c r="C913">
        <v>18</v>
      </c>
      <c r="D913">
        <v>42</v>
      </c>
      <c r="E913">
        <f>IF(OR(B913="vi",B913="ii",B913="pod"),(((D913/100)*(C913*VLOOKUP(B913,'Poids des runes'!A:B,2,FALSE)))+1),(((D913/100)*(C913*VLOOKUP(B913,'Poids des runes'!A:B,2,FALSE)))+1)/VLOOKUP(B913,'Poids des runes'!A:B,2,FALSE))</f>
        <v>8.5599999999999987</v>
      </c>
      <c r="F913">
        <f t="shared" si="14"/>
        <v>8.5599999999999987</v>
      </c>
    </row>
    <row r="914" spans="1:6" x14ac:dyDescent="0.3">
      <c r="A914" t="s">
        <v>306</v>
      </c>
      <c r="B914" t="s">
        <v>2126</v>
      </c>
      <c r="C914">
        <v>18</v>
      </c>
      <c r="D914">
        <v>42</v>
      </c>
      <c r="E914">
        <f>IF(OR(B914="vi",B914="ii",B914="pod"),(((D914/100)*(C914*VLOOKUP(B914,'Poids des runes'!A:B,2,FALSE)))+1),(((D914/100)*(C914*VLOOKUP(B914,'Poids des runes'!A:B,2,FALSE)))+1)/VLOOKUP(B914,'Poids des runes'!A:B,2,FALSE))</f>
        <v>8.5599999999999987</v>
      </c>
      <c r="F914">
        <f t="shared" si="14"/>
        <v>8.5599999999999987</v>
      </c>
    </row>
    <row r="915" spans="1:6" x14ac:dyDescent="0.3">
      <c r="A915" t="s">
        <v>306</v>
      </c>
      <c r="B915" t="s">
        <v>2132</v>
      </c>
      <c r="C915">
        <v>175.5</v>
      </c>
      <c r="D915">
        <v>42</v>
      </c>
      <c r="E915">
        <f>IF(OR(B915="vi",B915="ii",B915="pod"),(((D915/100)*(C915*VLOOKUP(B915,'Poids des runes'!A:B,2,FALSE)))+1),(((D915/100)*(C915*VLOOKUP(B915,'Poids des runes'!A:B,2,FALSE)))+1)/VLOOKUP(B915,'Poids des runes'!A:B,2,FALSE))</f>
        <v>8.3710000000000004</v>
      </c>
      <c r="F915">
        <f t="shared" si="14"/>
        <v>8.3710000000000004</v>
      </c>
    </row>
    <row r="916" spans="1:6" x14ac:dyDescent="0.3">
      <c r="A916" t="s">
        <v>307</v>
      </c>
      <c r="B916" t="s">
        <v>2128</v>
      </c>
      <c r="C916">
        <v>35.5</v>
      </c>
      <c r="D916">
        <v>42</v>
      </c>
      <c r="E916">
        <f>IF(OR(B916="vi",B916="ii",B916="pod"),(((D916/100)*(C916*VLOOKUP(B916,'Poids des runes'!A:B,2,FALSE)))+1),(((D916/100)*(C916*VLOOKUP(B916,'Poids des runes'!A:B,2,FALSE)))+1)/VLOOKUP(B916,'Poids des runes'!A:B,2,FALSE))</f>
        <v>3.9820000000000002</v>
      </c>
      <c r="F916">
        <f t="shared" si="14"/>
        <v>3.9820000000000002</v>
      </c>
    </row>
    <row r="917" spans="1:6" x14ac:dyDescent="0.3">
      <c r="A917" t="s">
        <v>307</v>
      </c>
      <c r="B917" t="s">
        <v>2127</v>
      </c>
      <c r="C917">
        <v>15.5</v>
      </c>
      <c r="D917">
        <v>42</v>
      </c>
      <c r="E917">
        <f>IF(OR(B917="vi",B917="ii",B917="pod"),(((D917/100)*(C917*VLOOKUP(B917,'Poids des runes'!A:B,2,FALSE)))+1),(((D917/100)*(C917*VLOOKUP(B917,'Poids des runes'!A:B,2,FALSE)))+1)/VLOOKUP(B917,'Poids des runes'!A:B,2,FALSE))</f>
        <v>7.51</v>
      </c>
      <c r="F917">
        <f t="shared" si="14"/>
        <v>7.51</v>
      </c>
    </row>
    <row r="918" spans="1:6" x14ac:dyDescent="0.3">
      <c r="A918" t="s">
        <v>307</v>
      </c>
      <c r="B918" t="s">
        <v>2129</v>
      </c>
      <c r="C918">
        <v>6.5</v>
      </c>
      <c r="D918">
        <v>42</v>
      </c>
      <c r="E918">
        <f>IF(OR(B918="vi",B918="ii",B918="pod"),(((D918/100)*(C918*VLOOKUP(B918,'Poids des runes'!A:B,2,FALSE)))+1),(((D918/100)*(C918*VLOOKUP(B918,'Poids des runes'!A:B,2,FALSE)))+1)/VLOOKUP(B918,'Poids des runes'!A:B,2,FALSE))</f>
        <v>3.73</v>
      </c>
      <c r="F918">
        <f t="shared" si="14"/>
        <v>3.73</v>
      </c>
    </row>
    <row r="919" spans="1:6" x14ac:dyDescent="0.3">
      <c r="A919" t="s">
        <v>307</v>
      </c>
      <c r="B919" t="s">
        <v>2156</v>
      </c>
      <c r="C919">
        <v>2.5</v>
      </c>
      <c r="D919">
        <v>42</v>
      </c>
      <c r="E919">
        <f>IF(OR(B919="vi",B919="ii",B919="pod"),(((D919/100)*(C919*VLOOKUP(B919,'Poids des runes'!A:B,2,FALSE)))+1),(((D919/100)*(C919*VLOOKUP(B919,'Poids des runes'!A:B,2,FALSE)))+1)/VLOOKUP(B919,'Poids des runes'!A:B,2,FALSE))</f>
        <v>1.2166666666666666</v>
      </c>
      <c r="F919">
        <f t="shared" si="14"/>
        <v>1.2166666666666666</v>
      </c>
    </row>
    <row r="920" spans="1:6" x14ac:dyDescent="0.3">
      <c r="A920" t="s">
        <v>307</v>
      </c>
      <c r="B920" t="s">
        <v>2148</v>
      </c>
      <c r="C920">
        <v>2.5</v>
      </c>
      <c r="D920">
        <v>42</v>
      </c>
      <c r="E920">
        <f>IF(OR(B920="vi",B920="ii",B920="pod"),(((D920/100)*(C920*VLOOKUP(B920,'Poids des runes'!A:B,2,FALSE)))+1),(((D920/100)*(C920*VLOOKUP(B920,'Poids des runes'!A:B,2,FALSE)))+1)/VLOOKUP(B920,'Poids des runes'!A:B,2,FALSE))</f>
        <v>1.2166666666666666</v>
      </c>
      <c r="F920">
        <f t="shared" si="14"/>
        <v>1.2166666666666666</v>
      </c>
    </row>
    <row r="921" spans="1:6" x14ac:dyDescent="0.3">
      <c r="A921" t="s">
        <v>308</v>
      </c>
      <c r="B921" t="s">
        <v>2128</v>
      </c>
      <c r="C921">
        <v>18</v>
      </c>
      <c r="D921">
        <v>42</v>
      </c>
      <c r="E921">
        <f>IF(OR(B921="vi",B921="ii",B921="pod"),(((D921/100)*(C921*VLOOKUP(B921,'Poids des runes'!A:B,2,FALSE)))+1),(((D921/100)*(C921*VLOOKUP(B921,'Poids des runes'!A:B,2,FALSE)))+1)/VLOOKUP(B921,'Poids des runes'!A:B,2,FALSE))</f>
        <v>2.512</v>
      </c>
      <c r="F921">
        <f t="shared" si="14"/>
        <v>2.512</v>
      </c>
    </row>
    <row r="922" spans="1:6" x14ac:dyDescent="0.3">
      <c r="A922" t="s">
        <v>308</v>
      </c>
      <c r="B922" t="s">
        <v>2126</v>
      </c>
      <c r="C922">
        <v>25.5</v>
      </c>
      <c r="D922">
        <v>42</v>
      </c>
      <c r="E922">
        <f>IF(OR(B922="vi",B922="ii",B922="pod"),(((D922/100)*(C922*VLOOKUP(B922,'Poids des runes'!A:B,2,FALSE)))+1),(((D922/100)*(C922*VLOOKUP(B922,'Poids des runes'!A:B,2,FALSE)))+1)/VLOOKUP(B922,'Poids des runes'!A:B,2,FALSE))</f>
        <v>11.709999999999999</v>
      </c>
      <c r="F922">
        <f t="shared" si="14"/>
        <v>11.709999999999999</v>
      </c>
    </row>
    <row r="923" spans="1:6" x14ac:dyDescent="0.3">
      <c r="A923" t="s">
        <v>308</v>
      </c>
      <c r="B923" t="s">
        <v>2151</v>
      </c>
      <c r="C923">
        <v>2</v>
      </c>
      <c r="D923">
        <v>42</v>
      </c>
      <c r="E923">
        <f>IF(OR(B923="vi",B923="ii",B923="pod"),(((D923/100)*(C923*VLOOKUP(B923,'Poids des runes'!A:B,2,FALSE)))+1),(((D923/100)*(C923*VLOOKUP(B923,'Poids des runes'!A:B,2,FALSE)))+1)/VLOOKUP(B923,'Poids des runes'!A:B,2,FALSE))</f>
        <v>0.94000000000000006</v>
      </c>
      <c r="F923">
        <f t="shared" si="14"/>
        <v>0.94000000000000006</v>
      </c>
    </row>
    <row r="924" spans="1:6" x14ac:dyDescent="0.3">
      <c r="A924" t="s">
        <v>308</v>
      </c>
      <c r="B924" t="s">
        <v>2147</v>
      </c>
      <c r="C924">
        <v>4</v>
      </c>
      <c r="D924">
        <v>42</v>
      </c>
      <c r="E924">
        <f>IF(OR(B924="vi",B924="ii",B924="pod"),(((D924/100)*(C924*VLOOKUP(B924,'Poids des runes'!A:B,2,FALSE)))+1),(((D924/100)*(C924*VLOOKUP(B924,'Poids des runes'!A:B,2,FALSE)))+1)/VLOOKUP(B924,'Poids des runes'!A:B,2,FALSE))</f>
        <v>1.8466666666666667</v>
      </c>
      <c r="F924">
        <f t="shared" si="14"/>
        <v>1.8466666666666667</v>
      </c>
    </row>
    <row r="925" spans="1:6" x14ac:dyDescent="0.3">
      <c r="A925" t="s">
        <v>309</v>
      </c>
      <c r="B925" t="s">
        <v>2128</v>
      </c>
      <c r="C925">
        <v>18</v>
      </c>
      <c r="D925">
        <v>42</v>
      </c>
      <c r="E925">
        <f>IF(OR(B925="vi",B925="ii",B925="pod"),(((D925/100)*(C925*VLOOKUP(B925,'Poids des runes'!A:B,2,FALSE)))+1),(((D925/100)*(C925*VLOOKUP(B925,'Poids des runes'!A:B,2,FALSE)))+1)/VLOOKUP(B925,'Poids des runes'!A:B,2,FALSE))</f>
        <v>2.512</v>
      </c>
      <c r="F925">
        <f t="shared" si="14"/>
        <v>2.512</v>
      </c>
    </row>
    <row r="926" spans="1:6" x14ac:dyDescent="0.3">
      <c r="A926" t="s">
        <v>309</v>
      </c>
      <c r="B926" t="s">
        <v>2131</v>
      </c>
      <c r="C926">
        <v>25.5</v>
      </c>
      <c r="D926">
        <v>42</v>
      </c>
      <c r="E926">
        <f>IF(OR(B926="vi",B926="ii",B926="pod"),(((D926/100)*(C926*VLOOKUP(B926,'Poids des runes'!A:B,2,FALSE)))+1),(((D926/100)*(C926*VLOOKUP(B926,'Poids des runes'!A:B,2,FALSE)))+1)/VLOOKUP(B926,'Poids des runes'!A:B,2,FALSE))</f>
        <v>11.709999999999999</v>
      </c>
      <c r="F926">
        <f t="shared" si="14"/>
        <v>11.709999999999999</v>
      </c>
    </row>
    <row r="927" spans="1:6" x14ac:dyDescent="0.3">
      <c r="A927" t="s">
        <v>309</v>
      </c>
      <c r="B927" t="s">
        <v>2151</v>
      </c>
      <c r="C927">
        <v>2</v>
      </c>
      <c r="D927">
        <v>42</v>
      </c>
      <c r="E927">
        <f>IF(OR(B927="vi",B927="ii",B927="pod"),(((D927/100)*(C927*VLOOKUP(B927,'Poids des runes'!A:B,2,FALSE)))+1),(((D927/100)*(C927*VLOOKUP(B927,'Poids des runes'!A:B,2,FALSE)))+1)/VLOOKUP(B927,'Poids des runes'!A:B,2,FALSE))</f>
        <v>0.94000000000000006</v>
      </c>
      <c r="F927">
        <f t="shared" si="14"/>
        <v>0.94000000000000006</v>
      </c>
    </row>
    <row r="928" spans="1:6" x14ac:dyDescent="0.3">
      <c r="A928" t="s">
        <v>309</v>
      </c>
      <c r="B928" t="s">
        <v>2135</v>
      </c>
      <c r="C928">
        <v>4</v>
      </c>
      <c r="D928">
        <v>42</v>
      </c>
      <c r="E928">
        <f>IF(OR(B928="vi",B928="ii",B928="pod"),(((D928/100)*(C928*VLOOKUP(B928,'Poids des runes'!A:B,2,FALSE)))+1),(((D928/100)*(C928*VLOOKUP(B928,'Poids des runes'!A:B,2,FALSE)))+1)/VLOOKUP(B928,'Poids des runes'!A:B,2,FALSE))</f>
        <v>1.8466666666666667</v>
      </c>
      <c r="F928">
        <f t="shared" si="14"/>
        <v>1.8466666666666667</v>
      </c>
    </row>
    <row r="929" spans="1:6" x14ac:dyDescent="0.3">
      <c r="A929" t="s">
        <v>310</v>
      </c>
      <c r="B929" t="s">
        <v>2128</v>
      </c>
      <c r="C929">
        <v>18</v>
      </c>
      <c r="D929">
        <v>42</v>
      </c>
      <c r="E929">
        <f>IF(OR(B929="vi",B929="ii",B929="pod"),(((D929/100)*(C929*VLOOKUP(B929,'Poids des runes'!A:B,2,FALSE)))+1),(((D929/100)*(C929*VLOOKUP(B929,'Poids des runes'!A:B,2,FALSE)))+1)/VLOOKUP(B929,'Poids des runes'!A:B,2,FALSE))</f>
        <v>2.512</v>
      </c>
      <c r="F929">
        <f t="shared" si="14"/>
        <v>2.512</v>
      </c>
    </row>
    <row r="930" spans="1:6" x14ac:dyDescent="0.3">
      <c r="A930" t="s">
        <v>310</v>
      </c>
      <c r="B930" t="s">
        <v>2130</v>
      </c>
      <c r="C930">
        <v>25.5</v>
      </c>
      <c r="D930">
        <v>42</v>
      </c>
      <c r="E930">
        <f>IF(OR(B930="vi",B930="ii",B930="pod"),(((D930/100)*(C930*VLOOKUP(B930,'Poids des runes'!A:B,2,FALSE)))+1),(((D930/100)*(C930*VLOOKUP(B930,'Poids des runes'!A:B,2,FALSE)))+1)/VLOOKUP(B930,'Poids des runes'!A:B,2,FALSE))</f>
        <v>11.709999999999999</v>
      </c>
      <c r="F930">
        <f t="shared" si="14"/>
        <v>11.709999999999999</v>
      </c>
    </row>
    <row r="931" spans="1:6" x14ac:dyDescent="0.3">
      <c r="A931" t="s">
        <v>310</v>
      </c>
      <c r="B931" t="s">
        <v>2151</v>
      </c>
      <c r="C931">
        <v>2</v>
      </c>
      <c r="D931">
        <v>42</v>
      </c>
      <c r="E931">
        <f>IF(OR(B931="vi",B931="ii",B931="pod"),(((D931/100)*(C931*VLOOKUP(B931,'Poids des runes'!A:B,2,FALSE)))+1),(((D931/100)*(C931*VLOOKUP(B931,'Poids des runes'!A:B,2,FALSE)))+1)/VLOOKUP(B931,'Poids des runes'!A:B,2,FALSE))</f>
        <v>0.94000000000000006</v>
      </c>
      <c r="F931">
        <f t="shared" si="14"/>
        <v>0.94000000000000006</v>
      </c>
    </row>
    <row r="932" spans="1:6" x14ac:dyDescent="0.3">
      <c r="A932" t="s">
        <v>310</v>
      </c>
      <c r="B932" t="s">
        <v>2148</v>
      </c>
      <c r="C932">
        <v>4</v>
      </c>
      <c r="D932">
        <v>42</v>
      </c>
      <c r="E932">
        <f>IF(OR(B932="vi",B932="ii",B932="pod"),(((D932/100)*(C932*VLOOKUP(B932,'Poids des runes'!A:B,2,FALSE)))+1),(((D932/100)*(C932*VLOOKUP(B932,'Poids des runes'!A:B,2,FALSE)))+1)/VLOOKUP(B932,'Poids des runes'!A:B,2,FALSE))</f>
        <v>1.8466666666666667</v>
      </c>
      <c r="F932">
        <f t="shared" si="14"/>
        <v>1.8466666666666667</v>
      </c>
    </row>
    <row r="933" spans="1:6" x14ac:dyDescent="0.3">
      <c r="A933" t="s">
        <v>311</v>
      </c>
      <c r="B933" t="s">
        <v>2128</v>
      </c>
      <c r="C933">
        <v>18</v>
      </c>
      <c r="D933">
        <v>42</v>
      </c>
      <c r="E933">
        <f>IF(OR(B933="vi",B933="ii",B933="pod"),(((D933/100)*(C933*VLOOKUP(B933,'Poids des runes'!A:B,2,FALSE)))+1),(((D933/100)*(C933*VLOOKUP(B933,'Poids des runes'!A:B,2,FALSE)))+1)/VLOOKUP(B933,'Poids des runes'!A:B,2,FALSE))</f>
        <v>2.512</v>
      </c>
      <c r="F933">
        <f t="shared" si="14"/>
        <v>2.512</v>
      </c>
    </row>
    <row r="934" spans="1:6" x14ac:dyDescent="0.3">
      <c r="A934" t="s">
        <v>311</v>
      </c>
      <c r="B934" t="s">
        <v>2127</v>
      </c>
      <c r="C934">
        <v>25.5</v>
      </c>
      <c r="D934">
        <v>42</v>
      </c>
      <c r="E934">
        <f>IF(OR(B934="vi",B934="ii",B934="pod"),(((D934/100)*(C934*VLOOKUP(B934,'Poids des runes'!A:B,2,FALSE)))+1),(((D934/100)*(C934*VLOOKUP(B934,'Poids des runes'!A:B,2,FALSE)))+1)/VLOOKUP(B934,'Poids des runes'!A:B,2,FALSE))</f>
        <v>11.709999999999999</v>
      </c>
      <c r="F934">
        <f t="shared" si="14"/>
        <v>11.709999999999999</v>
      </c>
    </row>
    <row r="935" spans="1:6" x14ac:dyDescent="0.3">
      <c r="A935" t="s">
        <v>311</v>
      </c>
      <c r="B935" t="s">
        <v>2151</v>
      </c>
      <c r="C935">
        <v>2</v>
      </c>
      <c r="D935">
        <v>42</v>
      </c>
      <c r="E935">
        <f>IF(OR(B935="vi",B935="ii",B935="pod"),(((D935/100)*(C935*VLOOKUP(B935,'Poids des runes'!A:B,2,FALSE)))+1),(((D935/100)*(C935*VLOOKUP(B935,'Poids des runes'!A:B,2,FALSE)))+1)/VLOOKUP(B935,'Poids des runes'!A:B,2,FALSE))</f>
        <v>0.94000000000000006</v>
      </c>
      <c r="F935">
        <f t="shared" si="14"/>
        <v>0.94000000000000006</v>
      </c>
    </row>
    <row r="936" spans="1:6" x14ac:dyDescent="0.3">
      <c r="A936" t="s">
        <v>311</v>
      </c>
      <c r="B936" t="s">
        <v>2157</v>
      </c>
      <c r="C936">
        <v>4</v>
      </c>
      <c r="D936">
        <v>42</v>
      </c>
      <c r="E936">
        <f>IF(OR(B936="vi",B936="ii",B936="pod"),(((D936/100)*(C936*VLOOKUP(B936,'Poids des runes'!A:B,2,FALSE)))+1),(((D936/100)*(C936*VLOOKUP(B936,'Poids des runes'!A:B,2,FALSE)))+1)/VLOOKUP(B936,'Poids des runes'!A:B,2,FALSE))</f>
        <v>1.8466666666666667</v>
      </c>
      <c r="F936">
        <f t="shared" si="14"/>
        <v>1.8466666666666667</v>
      </c>
    </row>
    <row r="937" spans="1:6" x14ac:dyDescent="0.3">
      <c r="A937" t="s">
        <v>312</v>
      </c>
      <c r="B937" t="s">
        <v>2128</v>
      </c>
      <c r="C937">
        <v>15.5</v>
      </c>
      <c r="D937">
        <v>42</v>
      </c>
      <c r="E937">
        <f>IF(OR(B937="vi",B937="ii",B937="pod"),(((D937/100)*(C937*VLOOKUP(B937,'Poids des runes'!A:B,2,FALSE)))+1),(((D937/100)*(C937*VLOOKUP(B937,'Poids des runes'!A:B,2,FALSE)))+1)/VLOOKUP(B937,'Poids des runes'!A:B,2,FALSE))</f>
        <v>2.302</v>
      </c>
      <c r="F937">
        <f t="shared" si="14"/>
        <v>2.302</v>
      </c>
    </row>
    <row r="938" spans="1:6" x14ac:dyDescent="0.3">
      <c r="A938" t="s">
        <v>312</v>
      </c>
      <c r="B938" t="s">
        <v>2127</v>
      </c>
      <c r="C938">
        <v>13</v>
      </c>
      <c r="D938">
        <v>42</v>
      </c>
      <c r="E938">
        <f>IF(OR(B938="vi",B938="ii",B938="pod"),(((D938/100)*(C938*VLOOKUP(B938,'Poids des runes'!A:B,2,FALSE)))+1),(((D938/100)*(C938*VLOOKUP(B938,'Poids des runes'!A:B,2,FALSE)))+1)/VLOOKUP(B938,'Poids des runes'!A:B,2,FALSE))</f>
        <v>6.46</v>
      </c>
      <c r="F938">
        <f t="shared" si="14"/>
        <v>6.46</v>
      </c>
    </row>
    <row r="939" spans="1:6" x14ac:dyDescent="0.3">
      <c r="A939" t="s">
        <v>312</v>
      </c>
      <c r="B939" t="s">
        <v>2152</v>
      </c>
      <c r="C939">
        <v>1</v>
      </c>
      <c r="D939">
        <v>42</v>
      </c>
      <c r="E939">
        <f>IF(OR(B939="vi",B939="ii",B939="pod"),(((D939/100)*(C939*VLOOKUP(B939,'Poids des runes'!A:B,2,FALSE)))+1),(((D939/100)*(C939*VLOOKUP(B939,'Poids des runes'!A:B,2,FALSE)))+1)/VLOOKUP(B939,'Poids des runes'!A:B,2,FALSE))</f>
        <v>0.43</v>
      </c>
      <c r="F939">
        <f t="shared" si="14"/>
        <v>0.43</v>
      </c>
    </row>
    <row r="940" spans="1:6" x14ac:dyDescent="0.3">
      <c r="A940" t="s">
        <v>313</v>
      </c>
      <c r="B940" t="s">
        <v>2126</v>
      </c>
      <c r="C940">
        <v>8</v>
      </c>
      <c r="D940">
        <v>42</v>
      </c>
      <c r="E940">
        <f>IF(OR(B940="vi",B940="ii",B940="pod"),(((D940/100)*(C940*VLOOKUP(B940,'Poids des runes'!A:B,2,FALSE)))+1),(((D940/100)*(C940*VLOOKUP(B940,'Poids des runes'!A:B,2,FALSE)))+1)/VLOOKUP(B940,'Poids des runes'!A:B,2,FALSE))</f>
        <v>4.3599999999999994</v>
      </c>
      <c r="F940">
        <f t="shared" si="14"/>
        <v>4.3599999999999994</v>
      </c>
    </row>
    <row r="941" spans="1:6" x14ac:dyDescent="0.3">
      <c r="A941" t="s">
        <v>313</v>
      </c>
      <c r="B941" t="s">
        <v>2131</v>
      </c>
      <c r="C941">
        <v>8</v>
      </c>
      <c r="D941">
        <v>42</v>
      </c>
      <c r="E941">
        <f>IF(OR(B941="vi",B941="ii",B941="pod"),(((D941/100)*(C941*VLOOKUP(B941,'Poids des runes'!A:B,2,FALSE)))+1),(((D941/100)*(C941*VLOOKUP(B941,'Poids des runes'!A:B,2,FALSE)))+1)/VLOOKUP(B941,'Poids des runes'!A:B,2,FALSE))</f>
        <v>4.3599999999999994</v>
      </c>
      <c r="F941">
        <f t="shared" si="14"/>
        <v>4.3599999999999994</v>
      </c>
    </row>
    <row r="942" spans="1:6" x14ac:dyDescent="0.3">
      <c r="A942" t="s">
        <v>313</v>
      </c>
      <c r="B942" t="s">
        <v>2150</v>
      </c>
      <c r="C942">
        <v>1</v>
      </c>
      <c r="D942">
        <v>42</v>
      </c>
      <c r="E942">
        <f>IF(OR(B942="vi",B942="ii",B942="pod"),(((D942/100)*(C942*VLOOKUP(B942,'Poids des runes'!A:B,2,FALSE)))+1),(((D942/100)*(C942*VLOOKUP(B942,'Poids des runes'!A:B,2,FALSE)))+1)/VLOOKUP(B942,'Poids des runes'!A:B,2,FALSE))</f>
        <v>0.45333333333333331</v>
      </c>
      <c r="F942">
        <f t="shared" si="14"/>
        <v>0.45333333333333331</v>
      </c>
    </row>
    <row r="943" spans="1:6" x14ac:dyDescent="0.3">
      <c r="A943" t="s">
        <v>313</v>
      </c>
      <c r="B943" t="s">
        <v>2161</v>
      </c>
      <c r="C943">
        <v>5</v>
      </c>
      <c r="D943">
        <v>42</v>
      </c>
      <c r="E943">
        <f>IF(OR(B943="vi",B943="ii",B943="pod"),(((D943/100)*(C943*VLOOKUP(B943,'Poids des runes'!A:B,2,FALSE)))+1),(((D943/100)*(C943*VLOOKUP(B943,'Poids des runes'!A:B,2,FALSE)))+1)/VLOOKUP(B943,'Poids des runes'!A:B,2,FALSE))</f>
        <v>2.4333333333333331</v>
      </c>
      <c r="F943">
        <f t="shared" si="14"/>
        <v>2.4333333333333331</v>
      </c>
    </row>
    <row r="944" spans="1:6" x14ac:dyDescent="0.3">
      <c r="A944" t="s">
        <v>313</v>
      </c>
      <c r="B944" t="s">
        <v>2157</v>
      </c>
      <c r="C944">
        <v>2.5</v>
      </c>
      <c r="D944">
        <v>42</v>
      </c>
      <c r="E944">
        <f>IF(OR(B944="vi",B944="ii",B944="pod"),(((D944/100)*(C944*VLOOKUP(B944,'Poids des runes'!A:B,2,FALSE)))+1),(((D944/100)*(C944*VLOOKUP(B944,'Poids des runes'!A:B,2,FALSE)))+1)/VLOOKUP(B944,'Poids des runes'!A:B,2,FALSE))</f>
        <v>1.2166666666666666</v>
      </c>
      <c r="F944">
        <f t="shared" si="14"/>
        <v>1.2166666666666666</v>
      </c>
    </row>
    <row r="945" spans="1:6" x14ac:dyDescent="0.3">
      <c r="A945" t="s">
        <v>314</v>
      </c>
      <c r="B945" t="s">
        <v>2150</v>
      </c>
      <c r="C945">
        <v>2</v>
      </c>
      <c r="D945">
        <v>42</v>
      </c>
      <c r="E945">
        <f>IF(OR(B945="vi",B945="ii",B945="pod"),(((D945/100)*(C945*VLOOKUP(B945,'Poids des runes'!A:B,2,FALSE)))+1),(((D945/100)*(C945*VLOOKUP(B945,'Poids des runes'!A:B,2,FALSE)))+1)/VLOOKUP(B945,'Poids des runes'!A:B,2,FALSE))</f>
        <v>0.87333333333333329</v>
      </c>
      <c r="F945">
        <f t="shared" si="14"/>
        <v>0.87333333333333329</v>
      </c>
    </row>
    <row r="946" spans="1:6" x14ac:dyDescent="0.3">
      <c r="A946" t="s">
        <v>314</v>
      </c>
      <c r="B946" t="s">
        <v>2143</v>
      </c>
      <c r="C946">
        <v>5</v>
      </c>
      <c r="D946">
        <v>42</v>
      </c>
      <c r="E946">
        <f>IF(OR(B946="vi",B946="ii",B946="pod"),(((D946/100)*(C946*VLOOKUP(B946,'Poids des runes'!A:B,2,FALSE)))+1),(((D946/100)*(C946*VLOOKUP(B946,'Poids des runes'!A:B,2,FALSE)))+1)/VLOOKUP(B946,'Poids des runes'!A:B,2,FALSE))</f>
        <v>2.2999999999999998</v>
      </c>
      <c r="F946">
        <f t="shared" si="14"/>
        <v>2.2999999999999998</v>
      </c>
    </row>
    <row r="947" spans="1:6" x14ac:dyDescent="0.3">
      <c r="A947" t="s">
        <v>314</v>
      </c>
      <c r="B947" t="s">
        <v>2141</v>
      </c>
      <c r="C947">
        <v>5</v>
      </c>
      <c r="D947">
        <v>42</v>
      </c>
      <c r="E947">
        <f>IF(OR(B947="vi",B947="ii",B947="pod"),(((D947/100)*(C947*VLOOKUP(B947,'Poids des runes'!A:B,2,FALSE)))+1),(((D947/100)*(C947*VLOOKUP(B947,'Poids des runes'!A:B,2,FALSE)))+1)/VLOOKUP(B947,'Poids des runes'!A:B,2,FALSE))</f>
        <v>2.35</v>
      </c>
      <c r="F947">
        <f t="shared" si="14"/>
        <v>2.35</v>
      </c>
    </row>
    <row r="948" spans="1:6" x14ac:dyDescent="0.3">
      <c r="A948" t="s">
        <v>315</v>
      </c>
      <c r="B948" t="s">
        <v>2126</v>
      </c>
      <c r="C948">
        <v>18</v>
      </c>
      <c r="D948">
        <v>42</v>
      </c>
      <c r="E948">
        <f>IF(OR(B948="vi",B948="ii",B948="pod"),(((D948/100)*(C948*VLOOKUP(B948,'Poids des runes'!A:B,2,FALSE)))+1),(((D948/100)*(C948*VLOOKUP(B948,'Poids des runes'!A:B,2,FALSE)))+1)/VLOOKUP(B948,'Poids des runes'!A:B,2,FALSE))</f>
        <v>8.5599999999999987</v>
      </c>
      <c r="F948">
        <f t="shared" si="14"/>
        <v>8.5599999999999987</v>
      </c>
    </row>
    <row r="949" spans="1:6" x14ac:dyDescent="0.3">
      <c r="A949" t="s">
        <v>315</v>
      </c>
      <c r="B949" t="s">
        <v>2147</v>
      </c>
      <c r="C949">
        <v>4</v>
      </c>
      <c r="D949">
        <v>42</v>
      </c>
      <c r="E949">
        <f>IF(OR(B949="vi",B949="ii",B949="pod"),(((D949/100)*(C949*VLOOKUP(B949,'Poids des runes'!A:B,2,FALSE)))+1),(((D949/100)*(C949*VLOOKUP(B949,'Poids des runes'!A:B,2,FALSE)))+1)/VLOOKUP(B949,'Poids des runes'!A:B,2,FALSE))</f>
        <v>1.8466666666666667</v>
      </c>
      <c r="F949">
        <f t="shared" si="14"/>
        <v>1.8466666666666667</v>
      </c>
    </row>
    <row r="950" spans="1:6" x14ac:dyDescent="0.3">
      <c r="A950" t="s">
        <v>316</v>
      </c>
      <c r="B950" t="s">
        <v>2128</v>
      </c>
      <c r="C950">
        <v>25.5</v>
      </c>
      <c r="D950">
        <v>42</v>
      </c>
      <c r="E950">
        <f>IF(OR(B950="vi",B950="ii",B950="pod"),(((D950/100)*(C950*VLOOKUP(B950,'Poids des runes'!A:B,2,FALSE)))+1),(((D950/100)*(C950*VLOOKUP(B950,'Poids des runes'!A:B,2,FALSE)))+1)/VLOOKUP(B950,'Poids des runes'!A:B,2,FALSE))</f>
        <v>3.1420000000000003</v>
      </c>
      <c r="F950">
        <f t="shared" si="14"/>
        <v>3.1420000000000003</v>
      </c>
    </row>
    <row r="951" spans="1:6" x14ac:dyDescent="0.3">
      <c r="A951" t="s">
        <v>316</v>
      </c>
      <c r="B951" t="s">
        <v>2151</v>
      </c>
      <c r="C951">
        <v>2.5</v>
      </c>
      <c r="D951">
        <v>42</v>
      </c>
      <c r="E951">
        <f>IF(OR(B951="vi",B951="ii",B951="pod"),(((D951/100)*(C951*VLOOKUP(B951,'Poids des runes'!A:B,2,FALSE)))+1),(((D951/100)*(C951*VLOOKUP(B951,'Poids des runes'!A:B,2,FALSE)))+1)/VLOOKUP(B951,'Poids des runes'!A:B,2,FALSE))</f>
        <v>1.1499999999999999</v>
      </c>
      <c r="F951">
        <f t="shared" si="14"/>
        <v>1.1499999999999999</v>
      </c>
    </row>
    <row r="952" spans="1:6" x14ac:dyDescent="0.3">
      <c r="A952" t="s">
        <v>316</v>
      </c>
      <c r="B952" t="s">
        <v>2134</v>
      </c>
      <c r="C952">
        <v>2.5</v>
      </c>
      <c r="D952">
        <v>42</v>
      </c>
      <c r="E952">
        <f>IF(OR(B952="vi",B952="ii",B952="pod"),(((D952/100)*(C952*VLOOKUP(B952,'Poids des runes'!A:B,2,FALSE)))+1),(((D952/100)*(C952*VLOOKUP(B952,'Poids des runes'!A:B,2,FALSE)))+1)/VLOOKUP(B952,'Poids des runes'!A:B,2,FALSE))</f>
        <v>1.1000000000000001</v>
      </c>
      <c r="F952">
        <f t="shared" si="14"/>
        <v>1.1000000000000001</v>
      </c>
    </row>
    <row r="953" spans="1:6" x14ac:dyDescent="0.3">
      <c r="A953" t="s">
        <v>317</v>
      </c>
      <c r="B953" t="s">
        <v>2131</v>
      </c>
      <c r="C953">
        <v>18</v>
      </c>
      <c r="D953">
        <v>42</v>
      </c>
      <c r="E953">
        <f>IF(OR(B953="vi",B953="ii",B953="pod"),(((D953/100)*(C953*VLOOKUP(B953,'Poids des runes'!A:B,2,FALSE)))+1),(((D953/100)*(C953*VLOOKUP(B953,'Poids des runes'!A:B,2,FALSE)))+1)/VLOOKUP(B953,'Poids des runes'!A:B,2,FALSE))</f>
        <v>8.5599999999999987</v>
      </c>
      <c r="F953">
        <f t="shared" si="14"/>
        <v>8.5599999999999987</v>
      </c>
    </row>
    <row r="954" spans="1:6" x14ac:dyDescent="0.3">
      <c r="A954" t="s">
        <v>317</v>
      </c>
      <c r="B954" t="s">
        <v>2135</v>
      </c>
      <c r="C954">
        <v>4</v>
      </c>
      <c r="D954">
        <v>42</v>
      </c>
      <c r="E954">
        <f>IF(OR(B954="vi",B954="ii",B954="pod"),(((D954/100)*(C954*VLOOKUP(B954,'Poids des runes'!A:B,2,FALSE)))+1),(((D954/100)*(C954*VLOOKUP(B954,'Poids des runes'!A:B,2,FALSE)))+1)/VLOOKUP(B954,'Poids des runes'!A:B,2,FALSE))</f>
        <v>1.8466666666666667</v>
      </c>
      <c r="F954">
        <f t="shared" si="14"/>
        <v>1.8466666666666667</v>
      </c>
    </row>
    <row r="955" spans="1:6" x14ac:dyDescent="0.3">
      <c r="A955" t="s">
        <v>318</v>
      </c>
      <c r="B955" t="s">
        <v>2130</v>
      </c>
      <c r="C955">
        <v>18</v>
      </c>
      <c r="D955">
        <v>42</v>
      </c>
      <c r="E955">
        <f>IF(OR(B955="vi",B955="ii",B955="pod"),(((D955/100)*(C955*VLOOKUP(B955,'Poids des runes'!A:B,2,FALSE)))+1),(((D955/100)*(C955*VLOOKUP(B955,'Poids des runes'!A:B,2,FALSE)))+1)/VLOOKUP(B955,'Poids des runes'!A:B,2,FALSE))</f>
        <v>8.5599999999999987</v>
      </c>
      <c r="F955">
        <f t="shared" si="14"/>
        <v>8.5599999999999987</v>
      </c>
    </row>
    <row r="956" spans="1:6" x14ac:dyDescent="0.3">
      <c r="A956" t="s">
        <v>318</v>
      </c>
      <c r="B956" t="s">
        <v>2148</v>
      </c>
      <c r="C956">
        <v>4</v>
      </c>
      <c r="D956">
        <v>42</v>
      </c>
      <c r="E956">
        <f>IF(OR(B956="vi",B956="ii",B956="pod"),(((D956/100)*(C956*VLOOKUP(B956,'Poids des runes'!A:B,2,FALSE)))+1),(((D956/100)*(C956*VLOOKUP(B956,'Poids des runes'!A:B,2,FALSE)))+1)/VLOOKUP(B956,'Poids des runes'!A:B,2,FALSE))</f>
        <v>1.8466666666666667</v>
      </c>
      <c r="F956">
        <f t="shared" si="14"/>
        <v>1.8466666666666667</v>
      </c>
    </row>
    <row r="957" spans="1:6" x14ac:dyDescent="0.3">
      <c r="A957" t="s">
        <v>319</v>
      </c>
      <c r="B957" t="s">
        <v>2127</v>
      </c>
      <c r="C957">
        <v>18</v>
      </c>
      <c r="D957">
        <v>42</v>
      </c>
      <c r="E957">
        <f>IF(OR(B957="vi",B957="ii",B957="pod"),(((D957/100)*(C957*VLOOKUP(B957,'Poids des runes'!A:B,2,FALSE)))+1),(((D957/100)*(C957*VLOOKUP(B957,'Poids des runes'!A:B,2,FALSE)))+1)/VLOOKUP(B957,'Poids des runes'!A:B,2,FALSE))</f>
        <v>8.5599999999999987</v>
      </c>
      <c r="F957">
        <f t="shared" si="14"/>
        <v>8.5599999999999987</v>
      </c>
    </row>
    <row r="958" spans="1:6" x14ac:dyDescent="0.3">
      <c r="A958" t="s">
        <v>319</v>
      </c>
      <c r="B958" t="s">
        <v>2157</v>
      </c>
      <c r="C958">
        <v>4</v>
      </c>
      <c r="D958">
        <v>42</v>
      </c>
      <c r="E958">
        <f>IF(OR(B958="vi",B958="ii",B958="pod"),(((D958/100)*(C958*VLOOKUP(B958,'Poids des runes'!A:B,2,FALSE)))+1),(((D958/100)*(C958*VLOOKUP(B958,'Poids des runes'!A:B,2,FALSE)))+1)/VLOOKUP(B958,'Poids des runes'!A:B,2,FALSE))</f>
        <v>1.8466666666666667</v>
      </c>
      <c r="F958">
        <f t="shared" si="14"/>
        <v>1.8466666666666667</v>
      </c>
    </row>
    <row r="959" spans="1:6" x14ac:dyDescent="0.3">
      <c r="A959" t="s">
        <v>320</v>
      </c>
      <c r="B959" t="s">
        <v>2152</v>
      </c>
      <c r="C959">
        <v>1</v>
      </c>
      <c r="D959">
        <v>43</v>
      </c>
      <c r="E959">
        <f>IF(OR(B959="vi",B959="ii",B959="pod"),(((D959/100)*(C959*VLOOKUP(B959,'Poids des runes'!A:B,2,FALSE)))+1),(((D959/100)*(C959*VLOOKUP(B959,'Poids des runes'!A:B,2,FALSE)))+1)/VLOOKUP(B959,'Poids des runes'!A:B,2,FALSE))</f>
        <v>0.44</v>
      </c>
      <c r="F959">
        <f t="shared" si="14"/>
        <v>0.44</v>
      </c>
    </row>
    <row r="960" spans="1:6" x14ac:dyDescent="0.3">
      <c r="A960" t="s">
        <v>321</v>
      </c>
      <c r="B960" t="s">
        <v>2128</v>
      </c>
      <c r="C960">
        <v>18</v>
      </c>
      <c r="D960">
        <v>43</v>
      </c>
      <c r="E960">
        <f>IF(OR(B960="vi",B960="ii",B960="pod"),(((D960/100)*(C960*VLOOKUP(B960,'Poids des runes'!A:B,2,FALSE)))+1),(((D960/100)*(C960*VLOOKUP(B960,'Poids des runes'!A:B,2,FALSE)))+1)/VLOOKUP(B960,'Poids des runes'!A:B,2,FALSE))</f>
        <v>2.548</v>
      </c>
      <c r="F960">
        <f t="shared" si="14"/>
        <v>2.548</v>
      </c>
    </row>
    <row r="961" spans="1:6" x14ac:dyDescent="0.3">
      <c r="A961" t="s">
        <v>321</v>
      </c>
      <c r="B961" t="s">
        <v>2151</v>
      </c>
      <c r="C961">
        <v>6.5</v>
      </c>
      <c r="D961">
        <v>43</v>
      </c>
      <c r="E961">
        <f>IF(OR(B961="vi",B961="ii",B961="pod"),(((D961/100)*(C961*VLOOKUP(B961,'Poids des runes'!A:B,2,FALSE)))+1),(((D961/100)*(C961*VLOOKUP(B961,'Poids des runes'!A:B,2,FALSE)))+1)/VLOOKUP(B961,'Poids des runes'!A:B,2,FALSE))</f>
        <v>2.895</v>
      </c>
      <c r="F961">
        <f t="shared" si="14"/>
        <v>2.895</v>
      </c>
    </row>
    <row r="962" spans="1:6" x14ac:dyDescent="0.3">
      <c r="A962" t="s">
        <v>321</v>
      </c>
      <c r="B962" t="s">
        <v>2132</v>
      </c>
      <c r="C962">
        <v>75.5</v>
      </c>
      <c r="D962">
        <v>43</v>
      </c>
      <c r="E962">
        <f>IF(OR(B962="vi",B962="ii",B962="pod"),(((D962/100)*(C962*VLOOKUP(B962,'Poids des runes'!A:B,2,FALSE)))+1),(((D962/100)*(C962*VLOOKUP(B962,'Poids des runes'!A:B,2,FALSE)))+1)/VLOOKUP(B962,'Poids des runes'!A:B,2,FALSE))</f>
        <v>4.2465000000000002</v>
      </c>
      <c r="F962">
        <f t="shared" si="14"/>
        <v>4.2465000000000002</v>
      </c>
    </row>
    <row r="963" spans="1:6" x14ac:dyDescent="0.3">
      <c r="A963" t="s">
        <v>322</v>
      </c>
      <c r="B963" t="s">
        <v>2128</v>
      </c>
      <c r="C963">
        <v>25.5</v>
      </c>
      <c r="D963">
        <v>43</v>
      </c>
      <c r="E963">
        <f>IF(OR(B963="vi",B963="ii",B963="pod"),(((D963/100)*(C963*VLOOKUP(B963,'Poids des runes'!A:B,2,FALSE)))+1),(((D963/100)*(C963*VLOOKUP(B963,'Poids des runes'!A:B,2,FALSE)))+1)/VLOOKUP(B963,'Poids des runes'!A:B,2,FALSE))</f>
        <v>3.1930000000000001</v>
      </c>
      <c r="F963">
        <f t="shared" ref="F963:F1026" si="15">E963</f>
        <v>3.1930000000000001</v>
      </c>
    </row>
    <row r="964" spans="1:6" x14ac:dyDescent="0.3">
      <c r="A964" t="s">
        <v>322</v>
      </c>
      <c r="B964" t="s">
        <v>2151</v>
      </c>
      <c r="C964">
        <v>2.5</v>
      </c>
      <c r="D964">
        <v>43</v>
      </c>
      <c r="E964">
        <f>IF(OR(B964="vi",B964="ii",B964="pod"),(((D964/100)*(C964*VLOOKUP(B964,'Poids des runes'!A:B,2,FALSE)))+1),(((D964/100)*(C964*VLOOKUP(B964,'Poids des runes'!A:B,2,FALSE)))+1)/VLOOKUP(B964,'Poids des runes'!A:B,2,FALSE))</f>
        <v>1.175</v>
      </c>
      <c r="F964">
        <f t="shared" si="15"/>
        <v>1.175</v>
      </c>
    </row>
    <row r="965" spans="1:6" x14ac:dyDescent="0.3">
      <c r="A965" t="s">
        <v>322</v>
      </c>
      <c r="B965" t="s">
        <v>2134</v>
      </c>
      <c r="C965">
        <v>4.5</v>
      </c>
      <c r="D965">
        <v>43</v>
      </c>
      <c r="E965">
        <f>IF(OR(B965="vi",B965="ii",B965="pod"),(((D965/100)*(C965*VLOOKUP(B965,'Poids des runes'!A:B,2,FALSE)))+1),(((D965/100)*(C965*VLOOKUP(B965,'Poids des runes'!A:B,2,FALSE)))+1)/VLOOKUP(B965,'Poids des runes'!A:B,2,FALSE))</f>
        <v>1.9850000000000001</v>
      </c>
      <c r="F965">
        <f t="shared" si="15"/>
        <v>1.9850000000000001</v>
      </c>
    </row>
    <row r="966" spans="1:6" x14ac:dyDescent="0.3">
      <c r="A966" t="s">
        <v>322</v>
      </c>
      <c r="B966" t="s">
        <v>2158</v>
      </c>
      <c r="C966">
        <v>8.5</v>
      </c>
      <c r="D966">
        <v>43</v>
      </c>
      <c r="E966">
        <f>IF(OR(B966="vi",B966="ii",B966="pod"),(((D966/100)*(C966*VLOOKUP(B966,'Poids des runes'!A:B,2,FALSE)))+1),(((D966/100)*(C966*VLOOKUP(B966,'Poids des runes'!A:B,2,FALSE)))+1)/VLOOKUP(B966,'Poids des runes'!A:B,2,FALSE))</f>
        <v>3.8549999999999995</v>
      </c>
      <c r="F966">
        <f t="shared" si="15"/>
        <v>3.8549999999999995</v>
      </c>
    </row>
    <row r="967" spans="1:6" x14ac:dyDescent="0.3">
      <c r="A967" t="s">
        <v>323</v>
      </c>
      <c r="B967" t="s">
        <v>2127</v>
      </c>
      <c r="C967">
        <v>15.5</v>
      </c>
      <c r="D967">
        <v>43</v>
      </c>
      <c r="E967">
        <f>IF(OR(B967="vi",B967="ii",B967="pod"),(((D967/100)*(C967*VLOOKUP(B967,'Poids des runes'!A:B,2,FALSE)))+1),(((D967/100)*(C967*VLOOKUP(B967,'Poids des runes'!A:B,2,FALSE)))+1)/VLOOKUP(B967,'Poids des runes'!A:B,2,FALSE))</f>
        <v>7.665</v>
      </c>
      <c r="F967">
        <f t="shared" si="15"/>
        <v>7.665</v>
      </c>
    </row>
    <row r="968" spans="1:6" x14ac:dyDescent="0.3">
      <c r="A968" t="s">
        <v>323</v>
      </c>
      <c r="B968" t="s">
        <v>2151</v>
      </c>
      <c r="C968">
        <v>4</v>
      </c>
      <c r="D968">
        <v>43</v>
      </c>
      <c r="E968">
        <f>IF(OR(B968="vi",B968="ii",B968="pod"),(((D968/100)*(C968*VLOOKUP(B968,'Poids des runes'!A:B,2,FALSE)))+1),(((D968/100)*(C968*VLOOKUP(B968,'Poids des runes'!A:B,2,FALSE)))+1)/VLOOKUP(B968,'Poids des runes'!A:B,2,FALSE))</f>
        <v>1.8199999999999998</v>
      </c>
      <c r="F968">
        <f t="shared" si="15"/>
        <v>1.8199999999999998</v>
      </c>
    </row>
    <row r="969" spans="1:6" x14ac:dyDescent="0.3">
      <c r="A969" t="s">
        <v>324</v>
      </c>
      <c r="B969" t="s">
        <v>2128</v>
      </c>
      <c r="C969">
        <v>65.5</v>
      </c>
      <c r="D969">
        <v>43</v>
      </c>
      <c r="E969">
        <f>IF(OR(B969="vi",B969="ii",B969="pod"),(((D969/100)*(C969*VLOOKUP(B969,'Poids des runes'!A:B,2,FALSE)))+1),(((D969/100)*(C969*VLOOKUP(B969,'Poids des runes'!A:B,2,FALSE)))+1)/VLOOKUP(B969,'Poids des runes'!A:B,2,FALSE))</f>
        <v>6.6330000000000009</v>
      </c>
      <c r="F969">
        <f t="shared" si="15"/>
        <v>6.6330000000000009</v>
      </c>
    </row>
    <row r="970" spans="1:6" x14ac:dyDescent="0.3">
      <c r="A970" t="s">
        <v>324</v>
      </c>
      <c r="B970" t="s">
        <v>2130</v>
      </c>
      <c r="C970">
        <v>30.5</v>
      </c>
      <c r="D970">
        <v>43</v>
      </c>
      <c r="E970">
        <f>IF(OR(B970="vi",B970="ii",B970="pod"),(((D970/100)*(C970*VLOOKUP(B970,'Poids des runes'!A:B,2,FALSE)))+1),(((D970/100)*(C970*VLOOKUP(B970,'Poids des runes'!A:B,2,FALSE)))+1)/VLOOKUP(B970,'Poids des runes'!A:B,2,FALSE))</f>
        <v>14.115</v>
      </c>
      <c r="F970">
        <f t="shared" si="15"/>
        <v>14.115</v>
      </c>
    </row>
    <row r="971" spans="1:6" x14ac:dyDescent="0.3">
      <c r="A971" t="s">
        <v>324</v>
      </c>
      <c r="B971" t="s">
        <v>2126</v>
      </c>
      <c r="C971">
        <v>30.5</v>
      </c>
      <c r="D971">
        <v>43</v>
      </c>
      <c r="E971">
        <f>IF(OR(B971="vi",B971="ii",B971="pod"),(((D971/100)*(C971*VLOOKUP(B971,'Poids des runes'!A:B,2,FALSE)))+1),(((D971/100)*(C971*VLOOKUP(B971,'Poids des runes'!A:B,2,FALSE)))+1)/VLOOKUP(B971,'Poids des runes'!A:B,2,FALSE))</f>
        <v>14.115</v>
      </c>
      <c r="F971">
        <f t="shared" si="15"/>
        <v>14.115</v>
      </c>
    </row>
    <row r="972" spans="1:6" x14ac:dyDescent="0.3">
      <c r="A972" t="s">
        <v>324</v>
      </c>
      <c r="B972" t="s">
        <v>2139</v>
      </c>
      <c r="C972">
        <v>8</v>
      </c>
      <c r="D972">
        <v>43</v>
      </c>
      <c r="E972">
        <f>IF(OR(B972="vi",B972="ii",B972="pod"),(((D972/100)*(C972*VLOOKUP(B972,'Poids des runes'!A:B,2,FALSE)))+1),(((D972/100)*(C972*VLOOKUP(B972,'Poids des runes'!A:B,2,FALSE)))+1)/VLOOKUP(B972,'Poids des runes'!A:B,2,FALSE))</f>
        <v>3.94</v>
      </c>
      <c r="F972">
        <f t="shared" si="15"/>
        <v>3.94</v>
      </c>
    </row>
    <row r="973" spans="1:6" x14ac:dyDescent="0.3">
      <c r="A973" t="s">
        <v>324</v>
      </c>
      <c r="B973" t="s">
        <v>2134</v>
      </c>
      <c r="C973">
        <v>2.5</v>
      </c>
      <c r="D973">
        <v>43</v>
      </c>
      <c r="E973">
        <f>IF(OR(B973="vi",B973="ii",B973="pod"),(((D973/100)*(C973*VLOOKUP(B973,'Poids des runes'!A:B,2,FALSE)))+1),(((D973/100)*(C973*VLOOKUP(B973,'Poids des runes'!A:B,2,FALSE)))+1)/VLOOKUP(B973,'Poids des runes'!A:B,2,FALSE))</f>
        <v>1.125</v>
      </c>
      <c r="F973">
        <f t="shared" si="15"/>
        <v>1.125</v>
      </c>
    </row>
    <row r="974" spans="1:6" x14ac:dyDescent="0.3">
      <c r="A974" t="s">
        <v>324</v>
      </c>
      <c r="B974" t="s">
        <v>2141</v>
      </c>
      <c r="C974">
        <v>4</v>
      </c>
      <c r="D974">
        <v>43</v>
      </c>
      <c r="E974">
        <f>IF(OR(B974="vi",B974="ii",B974="pod"),(((D974/100)*(C974*VLOOKUP(B974,'Poids des runes'!A:B,2,FALSE)))+1),(((D974/100)*(C974*VLOOKUP(B974,'Poids des runes'!A:B,2,FALSE)))+1)/VLOOKUP(B974,'Poids des runes'!A:B,2,FALSE))</f>
        <v>1.97</v>
      </c>
      <c r="F974">
        <f t="shared" si="15"/>
        <v>1.97</v>
      </c>
    </row>
    <row r="975" spans="1:6" x14ac:dyDescent="0.3">
      <c r="A975" t="s">
        <v>325</v>
      </c>
      <c r="B975" t="s">
        <v>2128</v>
      </c>
      <c r="C975">
        <v>45.5</v>
      </c>
      <c r="D975">
        <v>43</v>
      </c>
      <c r="E975">
        <f>IF(OR(B975="vi",B975="ii",B975="pod"),(((D975/100)*(C975*VLOOKUP(B975,'Poids des runes'!A:B,2,FALSE)))+1),(((D975/100)*(C975*VLOOKUP(B975,'Poids des runes'!A:B,2,FALSE)))+1)/VLOOKUP(B975,'Poids des runes'!A:B,2,FALSE))</f>
        <v>4.9130000000000003</v>
      </c>
      <c r="F975">
        <f t="shared" si="15"/>
        <v>4.9130000000000003</v>
      </c>
    </row>
    <row r="976" spans="1:6" x14ac:dyDescent="0.3">
      <c r="A976" t="s">
        <v>325</v>
      </c>
      <c r="B976" t="s">
        <v>2131</v>
      </c>
      <c r="C976">
        <v>25.5</v>
      </c>
      <c r="D976">
        <v>43</v>
      </c>
      <c r="E976">
        <f>IF(OR(B976="vi",B976="ii",B976="pod"),(((D976/100)*(C976*VLOOKUP(B976,'Poids des runes'!A:B,2,FALSE)))+1),(((D976/100)*(C976*VLOOKUP(B976,'Poids des runes'!A:B,2,FALSE)))+1)/VLOOKUP(B976,'Poids des runes'!A:B,2,FALSE))</f>
        <v>11.965</v>
      </c>
      <c r="F976">
        <f t="shared" si="15"/>
        <v>11.965</v>
      </c>
    </row>
    <row r="977" spans="1:6" x14ac:dyDescent="0.3">
      <c r="A977" t="s">
        <v>325</v>
      </c>
      <c r="B977" t="s">
        <v>2129</v>
      </c>
      <c r="C977">
        <v>13</v>
      </c>
      <c r="D977">
        <v>43</v>
      </c>
      <c r="E977">
        <f>IF(OR(B977="vi",B977="ii",B977="pod"),(((D977/100)*(C977*VLOOKUP(B977,'Poids des runes'!A:B,2,FALSE)))+1),(((D977/100)*(C977*VLOOKUP(B977,'Poids des runes'!A:B,2,FALSE)))+1)/VLOOKUP(B977,'Poids des runes'!A:B,2,FALSE))</f>
        <v>6.59</v>
      </c>
      <c r="F977">
        <f t="shared" si="15"/>
        <v>6.59</v>
      </c>
    </row>
    <row r="978" spans="1:6" x14ac:dyDescent="0.3">
      <c r="A978" t="s">
        <v>325</v>
      </c>
      <c r="B978" t="s">
        <v>2133</v>
      </c>
      <c r="C978">
        <v>3.5</v>
      </c>
      <c r="D978">
        <v>43</v>
      </c>
      <c r="E978">
        <f>IF(OR(B978="vi",B978="ii",B978="pod"),(((D978/100)*(C978*VLOOKUP(B978,'Poids des runes'!A:B,2,FALSE)))+1),(((D978/100)*(C978*VLOOKUP(B978,'Poids des runes'!A:B,2,FALSE)))+1)/VLOOKUP(B978,'Poids des runes'!A:B,2,FALSE))</f>
        <v>1.7049999999999996</v>
      </c>
      <c r="F978">
        <f t="shared" si="15"/>
        <v>1.7049999999999996</v>
      </c>
    </row>
    <row r="979" spans="1:6" x14ac:dyDescent="0.3">
      <c r="A979" t="s">
        <v>325</v>
      </c>
      <c r="B979" t="s">
        <v>2158</v>
      </c>
      <c r="C979">
        <v>4.5</v>
      </c>
      <c r="D979">
        <v>43</v>
      </c>
      <c r="E979">
        <f>IF(OR(B979="vi",B979="ii",B979="pod"),(((D979/100)*(C979*VLOOKUP(B979,'Poids des runes'!A:B,2,FALSE)))+1),(((D979/100)*(C979*VLOOKUP(B979,'Poids des runes'!A:B,2,FALSE)))+1)/VLOOKUP(B979,'Poids des runes'!A:B,2,FALSE))</f>
        <v>2.1350000000000002</v>
      </c>
      <c r="F979">
        <f t="shared" si="15"/>
        <v>2.1350000000000002</v>
      </c>
    </row>
    <row r="980" spans="1:6" x14ac:dyDescent="0.3">
      <c r="A980" t="s">
        <v>326</v>
      </c>
      <c r="B980" t="s">
        <v>2128</v>
      </c>
      <c r="C980">
        <v>50.5</v>
      </c>
      <c r="D980">
        <v>43</v>
      </c>
      <c r="E980">
        <f>IF(OR(B980="vi",B980="ii",B980="pod"),(((D980/100)*(C980*VLOOKUP(B980,'Poids des runes'!A:B,2,FALSE)))+1),(((D980/100)*(C980*VLOOKUP(B980,'Poids des runes'!A:B,2,FALSE)))+1)/VLOOKUP(B980,'Poids des runes'!A:B,2,FALSE))</f>
        <v>5.3430000000000009</v>
      </c>
      <c r="F980">
        <f t="shared" si="15"/>
        <v>5.3430000000000009</v>
      </c>
    </row>
    <row r="981" spans="1:6" x14ac:dyDescent="0.3">
      <c r="A981" t="s">
        <v>326</v>
      </c>
      <c r="B981" t="s">
        <v>2127</v>
      </c>
      <c r="C981">
        <v>13</v>
      </c>
      <c r="D981">
        <v>43</v>
      </c>
      <c r="E981">
        <f>IF(OR(B981="vi",B981="ii",B981="pod"),(((D981/100)*(C981*VLOOKUP(B981,'Poids des runes'!A:B,2,FALSE)))+1),(((D981/100)*(C981*VLOOKUP(B981,'Poids des runes'!A:B,2,FALSE)))+1)/VLOOKUP(B981,'Poids des runes'!A:B,2,FALSE))</f>
        <v>6.59</v>
      </c>
      <c r="F981">
        <f t="shared" si="15"/>
        <v>6.59</v>
      </c>
    </row>
    <row r="982" spans="1:6" x14ac:dyDescent="0.3">
      <c r="A982" t="s">
        <v>326</v>
      </c>
      <c r="B982" t="s">
        <v>2129</v>
      </c>
      <c r="C982">
        <v>6.5</v>
      </c>
      <c r="D982">
        <v>43</v>
      </c>
      <c r="E982">
        <f>IF(OR(B982="vi",B982="ii",B982="pod"),(((D982/100)*(C982*VLOOKUP(B982,'Poids des runes'!A:B,2,FALSE)))+1),(((D982/100)*(C982*VLOOKUP(B982,'Poids des runes'!A:B,2,FALSE)))+1)/VLOOKUP(B982,'Poids des runes'!A:B,2,FALSE))</f>
        <v>3.7949999999999999</v>
      </c>
      <c r="F982">
        <f t="shared" si="15"/>
        <v>3.7949999999999999</v>
      </c>
    </row>
    <row r="983" spans="1:6" x14ac:dyDescent="0.3">
      <c r="A983" t="s">
        <v>326</v>
      </c>
      <c r="B983" t="s">
        <v>2150</v>
      </c>
      <c r="C983">
        <v>1</v>
      </c>
      <c r="D983">
        <v>43</v>
      </c>
      <c r="E983">
        <f>IF(OR(B983="vi",B983="ii",B983="pod"),(((D983/100)*(C983*VLOOKUP(B983,'Poids des runes'!A:B,2,FALSE)))+1),(((D983/100)*(C983*VLOOKUP(B983,'Poids des runes'!A:B,2,FALSE)))+1)/VLOOKUP(B983,'Poids des runes'!A:B,2,FALSE))</f>
        <v>0.46333333333333332</v>
      </c>
      <c r="F983">
        <f t="shared" si="15"/>
        <v>0.46333333333333332</v>
      </c>
    </row>
    <row r="984" spans="1:6" x14ac:dyDescent="0.3">
      <c r="A984" t="s">
        <v>326</v>
      </c>
      <c r="B984" t="s">
        <v>2141</v>
      </c>
      <c r="C984">
        <v>2.5</v>
      </c>
      <c r="D984">
        <v>43</v>
      </c>
      <c r="E984">
        <f>IF(OR(B984="vi",B984="ii",B984="pod"),(((D984/100)*(C984*VLOOKUP(B984,'Poids des runes'!A:B,2,FALSE)))+1),(((D984/100)*(C984*VLOOKUP(B984,'Poids des runes'!A:B,2,FALSE)))+1)/VLOOKUP(B984,'Poids des runes'!A:B,2,FALSE))</f>
        <v>1.325</v>
      </c>
      <c r="F984">
        <f t="shared" si="15"/>
        <v>1.325</v>
      </c>
    </row>
    <row r="985" spans="1:6" x14ac:dyDescent="0.3">
      <c r="A985" t="s">
        <v>327</v>
      </c>
      <c r="B985" t="s">
        <v>2128</v>
      </c>
      <c r="C985">
        <v>20.5</v>
      </c>
      <c r="D985">
        <v>43</v>
      </c>
      <c r="E985">
        <f>IF(OR(B985="vi",B985="ii",B985="pod"),(((D985/100)*(C985*VLOOKUP(B985,'Poids des runes'!A:B,2,FALSE)))+1),(((D985/100)*(C985*VLOOKUP(B985,'Poids des runes'!A:B,2,FALSE)))+1)/VLOOKUP(B985,'Poids des runes'!A:B,2,FALSE))</f>
        <v>2.7629999999999999</v>
      </c>
      <c r="F985">
        <f t="shared" si="15"/>
        <v>2.7629999999999999</v>
      </c>
    </row>
    <row r="986" spans="1:6" x14ac:dyDescent="0.3">
      <c r="A986" t="s">
        <v>327</v>
      </c>
      <c r="B986" t="s">
        <v>2130</v>
      </c>
      <c r="C986">
        <v>25.5</v>
      </c>
      <c r="D986">
        <v>43</v>
      </c>
      <c r="E986">
        <f>IF(OR(B986="vi",B986="ii",B986="pod"),(((D986/100)*(C986*VLOOKUP(B986,'Poids des runes'!A:B,2,FALSE)))+1),(((D986/100)*(C986*VLOOKUP(B986,'Poids des runes'!A:B,2,FALSE)))+1)/VLOOKUP(B986,'Poids des runes'!A:B,2,FALSE))</f>
        <v>11.965</v>
      </c>
      <c r="F986">
        <f t="shared" si="15"/>
        <v>11.965</v>
      </c>
    </row>
    <row r="987" spans="1:6" x14ac:dyDescent="0.3">
      <c r="A987" t="s">
        <v>327</v>
      </c>
      <c r="B987" t="s">
        <v>2155</v>
      </c>
      <c r="C987">
        <v>1</v>
      </c>
      <c r="D987">
        <v>43</v>
      </c>
      <c r="E987">
        <f>IF(OR(B987="vi",B987="ii",B987="pod"),(((D987/100)*(C987*VLOOKUP(B987,'Poids des runes'!A:B,2,FALSE)))+1),(((D987/100)*(C987*VLOOKUP(B987,'Poids des runes'!A:B,2,FALSE)))+1)/VLOOKUP(B987,'Poids des runes'!A:B,2,FALSE))</f>
        <v>0.44960784313725488</v>
      </c>
      <c r="F987">
        <f t="shared" si="15"/>
        <v>0.44960784313725488</v>
      </c>
    </row>
    <row r="988" spans="1:6" x14ac:dyDescent="0.3">
      <c r="A988" t="s">
        <v>328</v>
      </c>
      <c r="B988" t="s">
        <v>2128</v>
      </c>
      <c r="C988">
        <v>35.5</v>
      </c>
      <c r="D988">
        <v>43</v>
      </c>
      <c r="E988">
        <f>IF(OR(B988="vi",B988="ii",B988="pod"),(((D988/100)*(C988*VLOOKUP(B988,'Poids des runes'!A:B,2,FALSE)))+1),(((D988/100)*(C988*VLOOKUP(B988,'Poids des runes'!A:B,2,FALSE)))+1)/VLOOKUP(B988,'Poids des runes'!A:B,2,FALSE))</f>
        <v>4.0530000000000008</v>
      </c>
      <c r="F988">
        <f t="shared" si="15"/>
        <v>4.0530000000000008</v>
      </c>
    </row>
    <row r="989" spans="1:6" x14ac:dyDescent="0.3">
      <c r="A989" t="s">
        <v>328</v>
      </c>
      <c r="B989" t="s">
        <v>2131</v>
      </c>
      <c r="C989">
        <v>20.5</v>
      </c>
      <c r="D989">
        <v>43</v>
      </c>
      <c r="E989">
        <f>IF(OR(B989="vi",B989="ii",B989="pod"),(((D989/100)*(C989*VLOOKUP(B989,'Poids des runes'!A:B,2,FALSE)))+1),(((D989/100)*(C989*VLOOKUP(B989,'Poids des runes'!A:B,2,FALSE)))+1)/VLOOKUP(B989,'Poids des runes'!A:B,2,FALSE))</f>
        <v>9.8149999999999995</v>
      </c>
      <c r="F989">
        <f t="shared" si="15"/>
        <v>9.8149999999999995</v>
      </c>
    </row>
    <row r="990" spans="1:6" x14ac:dyDescent="0.3">
      <c r="A990" t="s">
        <v>328</v>
      </c>
      <c r="B990" t="s">
        <v>2133</v>
      </c>
      <c r="C990">
        <v>3.5</v>
      </c>
      <c r="D990">
        <v>43</v>
      </c>
      <c r="E990">
        <f>IF(OR(B990="vi",B990="ii",B990="pod"),(((D990/100)*(C990*VLOOKUP(B990,'Poids des runes'!A:B,2,FALSE)))+1),(((D990/100)*(C990*VLOOKUP(B990,'Poids des runes'!A:B,2,FALSE)))+1)/VLOOKUP(B990,'Poids des runes'!A:B,2,FALSE))</f>
        <v>1.7049999999999996</v>
      </c>
      <c r="F990">
        <f t="shared" si="15"/>
        <v>1.7049999999999996</v>
      </c>
    </row>
    <row r="991" spans="1:6" x14ac:dyDescent="0.3">
      <c r="A991" t="s">
        <v>328</v>
      </c>
      <c r="B991" t="s">
        <v>2161</v>
      </c>
      <c r="C991">
        <v>8</v>
      </c>
      <c r="D991">
        <v>43</v>
      </c>
      <c r="E991">
        <f>IF(OR(B991="vi",B991="ii",B991="pod"),(((D991/100)*(C991*VLOOKUP(B991,'Poids des runes'!A:B,2,FALSE)))+1),(((D991/100)*(C991*VLOOKUP(B991,'Poids des runes'!A:B,2,FALSE)))+1)/VLOOKUP(B991,'Poids des runes'!A:B,2,FALSE))</f>
        <v>3.7733333333333334</v>
      </c>
      <c r="F991">
        <f t="shared" si="15"/>
        <v>3.7733333333333334</v>
      </c>
    </row>
    <row r="992" spans="1:6" x14ac:dyDescent="0.3">
      <c r="A992" t="s">
        <v>328</v>
      </c>
      <c r="B992" t="s">
        <v>2141</v>
      </c>
      <c r="C992">
        <v>2.5</v>
      </c>
      <c r="D992">
        <v>43</v>
      </c>
      <c r="E992">
        <f>IF(OR(B992="vi",B992="ii",B992="pod"),(((D992/100)*(C992*VLOOKUP(B992,'Poids des runes'!A:B,2,FALSE)))+1),(((D992/100)*(C992*VLOOKUP(B992,'Poids des runes'!A:B,2,FALSE)))+1)/VLOOKUP(B992,'Poids des runes'!A:B,2,FALSE))</f>
        <v>1.325</v>
      </c>
      <c r="F992">
        <f t="shared" si="15"/>
        <v>1.325</v>
      </c>
    </row>
    <row r="993" spans="1:6" x14ac:dyDescent="0.3">
      <c r="A993" t="s">
        <v>328</v>
      </c>
      <c r="B993" t="s">
        <v>2160</v>
      </c>
      <c r="C993">
        <v>2.5</v>
      </c>
      <c r="D993">
        <v>43</v>
      </c>
      <c r="E993">
        <f>IF(OR(B993="vi",B993="ii",B993="pod"),(((D993/100)*(C993*VLOOKUP(B993,'Poids des runes'!A:B,2,FALSE)))+1),(((D993/100)*(C993*VLOOKUP(B993,'Poids des runes'!A:B,2,FALSE)))+1)/VLOOKUP(B993,'Poids des runes'!A:B,2,FALSE))</f>
        <v>1.2178571428571427</v>
      </c>
      <c r="F993">
        <f t="shared" si="15"/>
        <v>1.2178571428571427</v>
      </c>
    </row>
    <row r="994" spans="1:6" x14ac:dyDescent="0.3">
      <c r="A994" t="s">
        <v>329</v>
      </c>
      <c r="B994" t="s">
        <v>2128</v>
      </c>
      <c r="C994">
        <v>30.5</v>
      </c>
      <c r="D994">
        <v>43</v>
      </c>
      <c r="E994">
        <f>IF(OR(B994="vi",B994="ii",B994="pod"),(((D994/100)*(C994*VLOOKUP(B994,'Poids des runes'!A:B,2,FALSE)))+1),(((D994/100)*(C994*VLOOKUP(B994,'Poids des runes'!A:B,2,FALSE)))+1)/VLOOKUP(B994,'Poids des runes'!A:B,2,FALSE))</f>
        <v>3.6230000000000002</v>
      </c>
      <c r="F994">
        <f t="shared" si="15"/>
        <v>3.6230000000000002</v>
      </c>
    </row>
    <row r="995" spans="1:6" x14ac:dyDescent="0.3">
      <c r="A995" t="s">
        <v>329</v>
      </c>
      <c r="B995" t="s">
        <v>2127</v>
      </c>
      <c r="C995">
        <v>20.5</v>
      </c>
      <c r="D995">
        <v>43</v>
      </c>
      <c r="E995">
        <f>IF(OR(B995="vi",B995="ii",B995="pod"),(((D995/100)*(C995*VLOOKUP(B995,'Poids des runes'!A:B,2,FALSE)))+1),(((D995/100)*(C995*VLOOKUP(B995,'Poids des runes'!A:B,2,FALSE)))+1)/VLOOKUP(B995,'Poids des runes'!A:B,2,FALSE))</f>
        <v>9.8149999999999995</v>
      </c>
      <c r="F995">
        <f t="shared" si="15"/>
        <v>9.8149999999999995</v>
      </c>
    </row>
    <row r="996" spans="1:6" x14ac:dyDescent="0.3">
      <c r="A996" t="s">
        <v>329</v>
      </c>
      <c r="B996" t="s">
        <v>2129</v>
      </c>
      <c r="C996">
        <v>8.5</v>
      </c>
      <c r="D996">
        <v>43</v>
      </c>
      <c r="E996">
        <f>IF(OR(B996="vi",B996="ii",B996="pod"),(((D996/100)*(C996*VLOOKUP(B996,'Poids des runes'!A:B,2,FALSE)))+1),(((D996/100)*(C996*VLOOKUP(B996,'Poids des runes'!A:B,2,FALSE)))+1)/VLOOKUP(B996,'Poids des runes'!A:B,2,FALSE))</f>
        <v>4.6549999999999994</v>
      </c>
      <c r="F996">
        <f t="shared" si="15"/>
        <v>4.6549999999999994</v>
      </c>
    </row>
    <row r="997" spans="1:6" x14ac:dyDescent="0.3">
      <c r="A997" t="s">
        <v>329</v>
      </c>
      <c r="B997" t="s">
        <v>2151</v>
      </c>
      <c r="C997">
        <v>1.5</v>
      </c>
      <c r="D997">
        <v>43</v>
      </c>
      <c r="E997">
        <f>IF(OR(B997="vi",B997="ii",B997="pod"),(((D997/100)*(C997*VLOOKUP(B997,'Poids des runes'!A:B,2,FALSE)))+1),(((D997/100)*(C997*VLOOKUP(B997,'Poids des runes'!A:B,2,FALSE)))+1)/VLOOKUP(B997,'Poids des runes'!A:B,2,FALSE))</f>
        <v>0.745</v>
      </c>
      <c r="F997">
        <f t="shared" si="15"/>
        <v>0.745</v>
      </c>
    </row>
    <row r="998" spans="1:6" x14ac:dyDescent="0.3">
      <c r="A998" t="s">
        <v>329</v>
      </c>
      <c r="B998" t="s">
        <v>2148</v>
      </c>
      <c r="C998">
        <v>2.5</v>
      </c>
      <c r="D998">
        <v>43</v>
      </c>
      <c r="E998">
        <f>IF(OR(B998="vi",B998="ii",B998="pod"),(((D998/100)*(C998*VLOOKUP(B998,'Poids des runes'!A:B,2,FALSE)))+1),(((D998/100)*(C998*VLOOKUP(B998,'Poids des runes'!A:B,2,FALSE)))+1)/VLOOKUP(B998,'Poids des runes'!A:B,2,FALSE))</f>
        <v>1.2416666666666667</v>
      </c>
      <c r="F998">
        <f t="shared" si="15"/>
        <v>1.2416666666666667</v>
      </c>
    </row>
    <row r="999" spans="1:6" x14ac:dyDescent="0.3">
      <c r="A999" t="s">
        <v>330</v>
      </c>
      <c r="B999" t="s">
        <v>2128</v>
      </c>
      <c r="C999">
        <v>25.5</v>
      </c>
      <c r="D999">
        <v>43</v>
      </c>
      <c r="E999">
        <f>IF(OR(B999="vi",B999="ii",B999="pod"),(((D999/100)*(C999*VLOOKUP(B999,'Poids des runes'!A:B,2,FALSE)))+1),(((D999/100)*(C999*VLOOKUP(B999,'Poids des runes'!A:B,2,FALSE)))+1)/VLOOKUP(B999,'Poids des runes'!A:B,2,FALSE))</f>
        <v>3.1930000000000001</v>
      </c>
      <c r="F999">
        <f t="shared" si="15"/>
        <v>3.1930000000000001</v>
      </c>
    </row>
    <row r="1000" spans="1:6" x14ac:dyDescent="0.3">
      <c r="A1000" t="s">
        <v>330</v>
      </c>
      <c r="B1000" t="s">
        <v>2131</v>
      </c>
      <c r="C1000">
        <v>15.5</v>
      </c>
      <c r="D1000">
        <v>43</v>
      </c>
      <c r="E1000">
        <f>IF(OR(B1000="vi",B1000="ii",B1000="pod"),(((D1000/100)*(C1000*VLOOKUP(B1000,'Poids des runes'!A:B,2,FALSE)))+1),(((D1000/100)*(C1000*VLOOKUP(B1000,'Poids des runes'!A:B,2,FALSE)))+1)/VLOOKUP(B1000,'Poids des runes'!A:B,2,FALSE))</f>
        <v>7.665</v>
      </c>
      <c r="F1000">
        <f t="shared" si="15"/>
        <v>7.665</v>
      </c>
    </row>
    <row r="1001" spans="1:6" x14ac:dyDescent="0.3">
      <c r="A1001" t="s">
        <v>330</v>
      </c>
      <c r="B1001" t="s">
        <v>2133</v>
      </c>
      <c r="C1001">
        <v>3.5</v>
      </c>
      <c r="D1001">
        <v>43</v>
      </c>
      <c r="E1001">
        <f>IF(OR(B1001="vi",B1001="ii",B1001="pod"),(((D1001/100)*(C1001*VLOOKUP(B1001,'Poids des runes'!A:B,2,FALSE)))+1),(((D1001/100)*(C1001*VLOOKUP(B1001,'Poids des runes'!A:B,2,FALSE)))+1)/VLOOKUP(B1001,'Poids des runes'!A:B,2,FALSE))</f>
        <v>1.7049999999999996</v>
      </c>
      <c r="F1001">
        <f t="shared" si="15"/>
        <v>1.7049999999999996</v>
      </c>
    </row>
    <row r="1002" spans="1:6" x14ac:dyDescent="0.3">
      <c r="A1002" t="s">
        <v>330</v>
      </c>
      <c r="B1002" t="s">
        <v>2161</v>
      </c>
      <c r="C1002">
        <v>8</v>
      </c>
      <c r="D1002">
        <v>43</v>
      </c>
      <c r="E1002">
        <f>IF(OR(B1002="vi",B1002="ii",B1002="pod"),(((D1002/100)*(C1002*VLOOKUP(B1002,'Poids des runes'!A:B,2,FALSE)))+1),(((D1002/100)*(C1002*VLOOKUP(B1002,'Poids des runes'!A:B,2,FALSE)))+1)/VLOOKUP(B1002,'Poids des runes'!A:B,2,FALSE))</f>
        <v>3.7733333333333334</v>
      </c>
      <c r="F1002">
        <f t="shared" si="15"/>
        <v>3.7733333333333334</v>
      </c>
    </row>
    <row r="1003" spans="1:6" x14ac:dyDescent="0.3">
      <c r="A1003" t="s">
        <v>331</v>
      </c>
      <c r="B1003" t="s">
        <v>2130</v>
      </c>
      <c r="C1003">
        <v>18</v>
      </c>
      <c r="D1003">
        <v>43</v>
      </c>
      <c r="E1003">
        <f>IF(OR(B1003="vi",B1003="ii",B1003="pod"),(((D1003/100)*(C1003*VLOOKUP(B1003,'Poids des runes'!A:B,2,FALSE)))+1),(((D1003/100)*(C1003*VLOOKUP(B1003,'Poids des runes'!A:B,2,FALSE)))+1)/VLOOKUP(B1003,'Poids des runes'!A:B,2,FALSE))</f>
        <v>8.74</v>
      </c>
      <c r="F1003">
        <f t="shared" si="15"/>
        <v>8.74</v>
      </c>
    </row>
    <row r="1004" spans="1:6" x14ac:dyDescent="0.3">
      <c r="A1004" t="s">
        <v>331</v>
      </c>
      <c r="B1004" t="s">
        <v>2151</v>
      </c>
      <c r="C1004">
        <v>2</v>
      </c>
      <c r="D1004">
        <v>43</v>
      </c>
      <c r="E1004">
        <f>IF(OR(B1004="vi",B1004="ii",B1004="pod"),(((D1004/100)*(C1004*VLOOKUP(B1004,'Poids des runes'!A:B,2,FALSE)))+1),(((D1004/100)*(C1004*VLOOKUP(B1004,'Poids des runes'!A:B,2,FALSE)))+1)/VLOOKUP(B1004,'Poids des runes'!A:B,2,FALSE))</f>
        <v>0.96</v>
      </c>
      <c r="F1004">
        <f t="shared" si="15"/>
        <v>0.96</v>
      </c>
    </row>
    <row r="1005" spans="1:6" x14ac:dyDescent="0.3">
      <c r="A1005" t="s">
        <v>331</v>
      </c>
      <c r="B1005" t="s">
        <v>2132</v>
      </c>
      <c r="C1005">
        <v>50.5</v>
      </c>
      <c r="D1005">
        <v>43</v>
      </c>
      <c r="E1005">
        <f>IF(OR(B1005="vi",B1005="ii",B1005="pod"),(((D1005/100)*(C1005*VLOOKUP(B1005,'Poids des runes'!A:B,2,FALSE)))+1),(((D1005/100)*(C1005*VLOOKUP(B1005,'Poids des runes'!A:B,2,FALSE)))+1)/VLOOKUP(B1005,'Poids des runes'!A:B,2,FALSE))</f>
        <v>3.1715000000000004</v>
      </c>
      <c r="F1005">
        <f t="shared" si="15"/>
        <v>3.1715000000000004</v>
      </c>
    </row>
    <row r="1006" spans="1:6" x14ac:dyDescent="0.3">
      <c r="A1006" t="s">
        <v>331</v>
      </c>
      <c r="B1006" t="s">
        <v>2148</v>
      </c>
      <c r="C1006">
        <v>2.5</v>
      </c>
      <c r="D1006">
        <v>43</v>
      </c>
      <c r="E1006">
        <f>IF(OR(B1006="vi",B1006="ii",B1006="pod"),(((D1006/100)*(C1006*VLOOKUP(B1006,'Poids des runes'!A:B,2,FALSE)))+1),(((D1006/100)*(C1006*VLOOKUP(B1006,'Poids des runes'!A:B,2,FALSE)))+1)/VLOOKUP(B1006,'Poids des runes'!A:B,2,FALSE))</f>
        <v>1.2416666666666667</v>
      </c>
      <c r="F1006">
        <f t="shared" si="15"/>
        <v>1.2416666666666667</v>
      </c>
    </row>
    <row r="1007" spans="1:6" x14ac:dyDescent="0.3">
      <c r="A1007" t="s">
        <v>332</v>
      </c>
      <c r="B1007" t="s">
        <v>2126</v>
      </c>
      <c r="C1007">
        <v>18</v>
      </c>
      <c r="D1007">
        <v>43</v>
      </c>
      <c r="E1007">
        <f>IF(OR(B1007="vi",B1007="ii",B1007="pod"),(((D1007/100)*(C1007*VLOOKUP(B1007,'Poids des runes'!A:B,2,FALSE)))+1),(((D1007/100)*(C1007*VLOOKUP(B1007,'Poids des runes'!A:B,2,FALSE)))+1)/VLOOKUP(B1007,'Poids des runes'!A:B,2,FALSE))</f>
        <v>8.74</v>
      </c>
      <c r="F1007">
        <f t="shared" si="15"/>
        <v>8.74</v>
      </c>
    </row>
    <row r="1008" spans="1:6" x14ac:dyDescent="0.3">
      <c r="A1008" t="s">
        <v>332</v>
      </c>
      <c r="B1008" t="s">
        <v>2151</v>
      </c>
      <c r="C1008">
        <v>2</v>
      </c>
      <c r="D1008">
        <v>43</v>
      </c>
      <c r="E1008">
        <f>IF(OR(B1008="vi",B1008="ii",B1008="pod"),(((D1008/100)*(C1008*VLOOKUP(B1008,'Poids des runes'!A:B,2,FALSE)))+1),(((D1008/100)*(C1008*VLOOKUP(B1008,'Poids des runes'!A:B,2,FALSE)))+1)/VLOOKUP(B1008,'Poids des runes'!A:B,2,FALSE))</f>
        <v>0.96</v>
      </c>
      <c r="F1008">
        <f t="shared" si="15"/>
        <v>0.96</v>
      </c>
    </row>
    <row r="1009" spans="1:6" x14ac:dyDescent="0.3">
      <c r="A1009" t="s">
        <v>332</v>
      </c>
      <c r="B1009" t="s">
        <v>2132</v>
      </c>
      <c r="C1009">
        <v>50.5</v>
      </c>
      <c r="D1009">
        <v>43</v>
      </c>
      <c r="E1009">
        <f>IF(OR(B1009="vi",B1009="ii",B1009="pod"),(((D1009/100)*(C1009*VLOOKUP(B1009,'Poids des runes'!A:B,2,FALSE)))+1),(((D1009/100)*(C1009*VLOOKUP(B1009,'Poids des runes'!A:B,2,FALSE)))+1)/VLOOKUP(B1009,'Poids des runes'!A:B,2,FALSE))</f>
        <v>3.1715000000000004</v>
      </c>
      <c r="F1009">
        <f t="shared" si="15"/>
        <v>3.1715000000000004</v>
      </c>
    </row>
    <row r="1010" spans="1:6" x14ac:dyDescent="0.3">
      <c r="A1010" t="s">
        <v>332</v>
      </c>
      <c r="B1010" t="s">
        <v>2147</v>
      </c>
      <c r="C1010">
        <v>2.5</v>
      </c>
      <c r="D1010">
        <v>43</v>
      </c>
      <c r="E1010">
        <f>IF(OR(B1010="vi",B1010="ii",B1010="pod"),(((D1010/100)*(C1010*VLOOKUP(B1010,'Poids des runes'!A:B,2,FALSE)))+1),(((D1010/100)*(C1010*VLOOKUP(B1010,'Poids des runes'!A:B,2,FALSE)))+1)/VLOOKUP(B1010,'Poids des runes'!A:B,2,FALSE))</f>
        <v>1.2416666666666667</v>
      </c>
      <c r="F1010">
        <f t="shared" si="15"/>
        <v>1.2416666666666667</v>
      </c>
    </row>
    <row r="1011" spans="1:6" x14ac:dyDescent="0.3">
      <c r="A1011" t="s">
        <v>333</v>
      </c>
      <c r="B1011" t="s">
        <v>2127</v>
      </c>
      <c r="C1011">
        <v>18</v>
      </c>
      <c r="D1011">
        <v>43</v>
      </c>
      <c r="E1011">
        <f>IF(OR(B1011="vi",B1011="ii",B1011="pod"),(((D1011/100)*(C1011*VLOOKUP(B1011,'Poids des runes'!A:B,2,FALSE)))+1),(((D1011/100)*(C1011*VLOOKUP(B1011,'Poids des runes'!A:B,2,FALSE)))+1)/VLOOKUP(B1011,'Poids des runes'!A:B,2,FALSE))</f>
        <v>8.74</v>
      </c>
      <c r="F1011">
        <f t="shared" si="15"/>
        <v>8.74</v>
      </c>
    </row>
    <row r="1012" spans="1:6" x14ac:dyDescent="0.3">
      <c r="A1012" t="s">
        <v>333</v>
      </c>
      <c r="B1012" t="s">
        <v>2151</v>
      </c>
      <c r="C1012">
        <v>2</v>
      </c>
      <c r="D1012">
        <v>43</v>
      </c>
      <c r="E1012">
        <f>IF(OR(B1012="vi",B1012="ii",B1012="pod"),(((D1012/100)*(C1012*VLOOKUP(B1012,'Poids des runes'!A:B,2,FALSE)))+1),(((D1012/100)*(C1012*VLOOKUP(B1012,'Poids des runes'!A:B,2,FALSE)))+1)/VLOOKUP(B1012,'Poids des runes'!A:B,2,FALSE))</f>
        <v>0.96</v>
      </c>
      <c r="F1012">
        <f t="shared" si="15"/>
        <v>0.96</v>
      </c>
    </row>
    <row r="1013" spans="1:6" x14ac:dyDescent="0.3">
      <c r="A1013" t="s">
        <v>333</v>
      </c>
      <c r="B1013" t="s">
        <v>2132</v>
      </c>
      <c r="C1013">
        <v>50.5</v>
      </c>
      <c r="D1013">
        <v>43</v>
      </c>
      <c r="E1013">
        <f>IF(OR(B1013="vi",B1013="ii",B1013="pod"),(((D1013/100)*(C1013*VLOOKUP(B1013,'Poids des runes'!A:B,2,FALSE)))+1),(((D1013/100)*(C1013*VLOOKUP(B1013,'Poids des runes'!A:B,2,FALSE)))+1)/VLOOKUP(B1013,'Poids des runes'!A:B,2,FALSE))</f>
        <v>3.1715000000000004</v>
      </c>
      <c r="F1013">
        <f t="shared" si="15"/>
        <v>3.1715000000000004</v>
      </c>
    </row>
    <row r="1014" spans="1:6" x14ac:dyDescent="0.3">
      <c r="A1014" t="s">
        <v>333</v>
      </c>
      <c r="B1014" t="s">
        <v>2157</v>
      </c>
      <c r="C1014">
        <v>2.5</v>
      </c>
      <c r="D1014">
        <v>43</v>
      </c>
      <c r="E1014">
        <f>IF(OR(B1014="vi",B1014="ii",B1014="pod"),(((D1014/100)*(C1014*VLOOKUP(B1014,'Poids des runes'!A:B,2,FALSE)))+1),(((D1014/100)*(C1014*VLOOKUP(B1014,'Poids des runes'!A:B,2,FALSE)))+1)/VLOOKUP(B1014,'Poids des runes'!A:B,2,FALSE))</f>
        <v>1.2416666666666667</v>
      </c>
      <c r="F1014">
        <f t="shared" si="15"/>
        <v>1.2416666666666667</v>
      </c>
    </row>
    <row r="1015" spans="1:6" x14ac:dyDescent="0.3">
      <c r="A1015" t="s">
        <v>334</v>
      </c>
      <c r="B1015" t="s">
        <v>2131</v>
      </c>
      <c r="C1015">
        <v>18</v>
      </c>
      <c r="D1015">
        <v>43</v>
      </c>
      <c r="E1015">
        <f>IF(OR(B1015="vi",B1015="ii",B1015="pod"),(((D1015/100)*(C1015*VLOOKUP(B1015,'Poids des runes'!A:B,2,FALSE)))+1),(((D1015/100)*(C1015*VLOOKUP(B1015,'Poids des runes'!A:B,2,FALSE)))+1)/VLOOKUP(B1015,'Poids des runes'!A:B,2,FALSE))</f>
        <v>8.74</v>
      </c>
      <c r="F1015">
        <f t="shared" si="15"/>
        <v>8.74</v>
      </c>
    </row>
    <row r="1016" spans="1:6" x14ac:dyDescent="0.3">
      <c r="A1016" t="s">
        <v>334</v>
      </c>
      <c r="B1016" t="s">
        <v>2151</v>
      </c>
      <c r="C1016">
        <v>2</v>
      </c>
      <c r="D1016">
        <v>43</v>
      </c>
      <c r="E1016">
        <f>IF(OR(B1016="vi",B1016="ii",B1016="pod"),(((D1016/100)*(C1016*VLOOKUP(B1016,'Poids des runes'!A:B,2,FALSE)))+1),(((D1016/100)*(C1016*VLOOKUP(B1016,'Poids des runes'!A:B,2,FALSE)))+1)/VLOOKUP(B1016,'Poids des runes'!A:B,2,FALSE))</f>
        <v>0.96</v>
      </c>
      <c r="F1016">
        <f t="shared" si="15"/>
        <v>0.96</v>
      </c>
    </row>
    <row r="1017" spans="1:6" x14ac:dyDescent="0.3">
      <c r="A1017" t="s">
        <v>334</v>
      </c>
      <c r="B1017" t="s">
        <v>2132</v>
      </c>
      <c r="C1017">
        <v>50.5</v>
      </c>
      <c r="D1017">
        <v>43</v>
      </c>
      <c r="E1017">
        <f>IF(OR(B1017="vi",B1017="ii",B1017="pod"),(((D1017/100)*(C1017*VLOOKUP(B1017,'Poids des runes'!A:B,2,FALSE)))+1),(((D1017/100)*(C1017*VLOOKUP(B1017,'Poids des runes'!A:B,2,FALSE)))+1)/VLOOKUP(B1017,'Poids des runes'!A:B,2,FALSE))</f>
        <v>3.1715000000000004</v>
      </c>
      <c r="F1017">
        <f t="shared" si="15"/>
        <v>3.1715000000000004</v>
      </c>
    </row>
    <row r="1018" spans="1:6" x14ac:dyDescent="0.3">
      <c r="A1018" t="s">
        <v>334</v>
      </c>
      <c r="B1018" t="s">
        <v>2135</v>
      </c>
      <c r="C1018">
        <v>2.5</v>
      </c>
      <c r="D1018">
        <v>43</v>
      </c>
      <c r="E1018">
        <f>IF(OR(B1018="vi",B1018="ii",B1018="pod"),(((D1018/100)*(C1018*VLOOKUP(B1018,'Poids des runes'!A:B,2,FALSE)))+1),(((D1018/100)*(C1018*VLOOKUP(B1018,'Poids des runes'!A:B,2,FALSE)))+1)/VLOOKUP(B1018,'Poids des runes'!A:B,2,FALSE))</f>
        <v>1.2416666666666667</v>
      </c>
      <c r="F1018">
        <f t="shared" si="15"/>
        <v>1.2416666666666667</v>
      </c>
    </row>
    <row r="1019" spans="1:6" x14ac:dyDescent="0.3">
      <c r="A1019" t="s">
        <v>335</v>
      </c>
      <c r="B1019" t="s">
        <v>2128</v>
      </c>
      <c r="C1019">
        <v>25.5</v>
      </c>
      <c r="D1019">
        <v>43</v>
      </c>
      <c r="E1019">
        <f>IF(OR(B1019="vi",B1019="ii",B1019="pod"),(((D1019/100)*(C1019*VLOOKUP(B1019,'Poids des runes'!A:B,2,FALSE)))+1),(((D1019/100)*(C1019*VLOOKUP(B1019,'Poids des runes'!A:B,2,FALSE)))+1)/VLOOKUP(B1019,'Poids des runes'!A:B,2,FALSE))</f>
        <v>3.1930000000000001</v>
      </c>
      <c r="F1019">
        <f t="shared" si="15"/>
        <v>3.1930000000000001</v>
      </c>
    </row>
    <row r="1020" spans="1:6" x14ac:dyDescent="0.3">
      <c r="A1020" t="s">
        <v>335</v>
      </c>
      <c r="B1020" t="s">
        <v>2126</v>
      </c>
      <c r="C1020">
        <v>13</v>
      </c>
      <c r="D1020">
        <v>43</v>
      </c>
      <c r="E1020">
        <f>IF(OR(B1020="vi",B1020="ii",B1020="pod"),(((D1020/100)*(C1020*VLOOKUP(B1020,'Poids des runes'!A:B,2,FALSE)))+1),(((D1020/100)*(C1020*VLOOKUP(B1020,'Poids des runes'!A:B,2,FALSE)))+1)/VLOOKUP(B1020,'Poids des runes'!A:B,2,FALSE))</f>
        <v>6.59</v>
      </c>
      <c r="F1020">
        <f t="shared" si="15"/>
        <v>6.59</v>
      </c>
    </row>
    <row r="1021" spans="1:6" x14ac:dyDescent="0.3">
      <c r="A1021" t="s">
        <v>335</v>
      </c>
      <c r="B1021" t="s">
        <v>2127</v>
      </c>
      <c r="C1021">
        <v>13</v>
      </c>
      <c r="D1021">
        <v>43</v>
      </c>
      <c r="E1021">
        <f>IF(OR(B1021="vi",B1021="ii",B1021="pod"),(((D1021/100)*(C1021*VLOOKUP(B1021,'Poids des runes'!A:B,2,FALSE)))+1),(((D1021/100)*(C1021*VLOOKUP(B1021,'Poids des runes'!A:B,2,FALSE)))+1)/VLOOKUP(B1021,'Poids des runes'!A:B,2,FALSE))</f>
        <v>6.59</v>
      </c>
      <c r="F1021">
        <f t="shared" si="15"/>
        <v>6.59</v>
      </c>
    </row>
    <row r="1022" spans="1:6" x14ac:dyDescent="0.3">
      <c r="A1022" t="s">
        <v>335</v>
      </c>
      <c r="B1022" t="s">
        <v>2134</v>
      </c>
      <c r="C1022">
        <v>1</v>
      </c>
      <c r="D1022">
        <v>43</v>
      </c>
      <c r="E1022">
        <f>IF(OR(B1022="vi",B1022="ii",B1022="pod"),(((D1022/100)*(C1022*VLOOKUP(B1022,'Poids des runes'!A:B,2,FALSE)))+1),(((D1022/100)*(C1022*VLOOKUP(B1022,'Poids des runes'!A:B,2,FALSE)))+1)/VLOOKUP(B1022,'Poids des runes'!A:B,2,FALSE))</f>
        <v>0.48</v>
      </c>
      <c r="F1022">
        <f t="shared" si="15"/>
        <v>0.48</v>
      </c>
    </row>
    <row r="1023" spans="1:6" x14ac:dyDescent="0.3">
      <c r="A1023" t="s">
        <v>335</v>
      </c>
      <c r="B1023" t="s">
        <v>2149</v>
      </c>
      <c r="C1023">
        <v>5</v>
      </c>
      <c r="D1023">
        <v>43</v>
      </c>
      <c r="E1023">
        <f>IF(OR(B1023="vi",B1023="ii",B1023="pod"),(((D1023/100)*(C1023*VLOOKUP(B1023,'Poids des runes'!A:B,2,FALSE)))+1),(((D1023/100)*(C1023*VLOOKUP(B1023,'Poids des runes'!A:B,2,FALSE)))+1)/VLOOKUP(B1023,'Poids des runes'!A:B,2,FALSE))</f>
        <v>2.25</v>
      </c>
      <c r="F1023">
        <f t="shared" si="15"/>
        <v>2.25</v>
      </c>
    </row>
    <row r="1024" spans="1:6" x14ac:dyDescent="0.3">
      <c r="A1024" t="s">
        <v>336</v>
      </c>
      <c r="B1024" t="s">
        <v>2128</v>
      </c>
      <c r="C1024">
        <v>25.5</v>
      </c>
      <c r="D1024">
        <v>43</v>
      </c>
      <c r="E1024">
        <f>IF(OR(B1024="vi",B1024="ii",B1024="pod"),(((D1024/100)*(C1024*VLOOKUP(B1024,'Poids des runes'!A:B,2,FALSE)))+1),(((D1024/100)*(C1024*VLOOKUP(B1024,'Poids des runes'!A:B,2,FALSE)))+1)/VLOOKUP(B1024,'Poids des runes'!A:B,2,FALSE))</f>
        <v>3.1930000000000001</v>
      </c>
      <c r="F1024">
        <f t="shared" si="15"/>
        <v>3.1930000000000001</v>
      </c>
    </row>
    <row r="1025" spans="1:6" x14ac:dyDescent="0.3">
      <c r="A1025" t="s">
        <v>336</v>
      </c>
      <c r="B1025" t="s">
        <v>2129</v>
      </c>
      <c r="C1025">
        <v>8</v>
      </c>
      <c r="D1025">
        <v>43</v>
      </c>
      <c r="E1025">
        <f>IF(OR(B1025="vi",B1025="ii",B1025="pod"),(((D1025/100)*(C1025*VLOOKUP(B1025,'Poids des runes'!A:B,2,FALSE)))+1),(((D1025/100)*(C1025*VLOOKUP(B1025,'Poids des runes'!A:B,2,FALSE)))+1)/VLOOKUP(B1025,'Poids des runes'!A:B,2,FALSE))</f>
        <v>4.4399999999999995</v>
      </c>
      <c r="F1025">
        <f t="shared" si="15"/>
        <v>4.4399999999999995</v>
      </c>
    </row>
    <row r="1026" spans="1:6" x14ac:dyDescent="0.3">
      <c r="A1026" t="s">
        <v>336</v>
      </c>
      <c r="B1026" t="s">
        <v>2140</v>
      </c>
      <c r="C1026">
        <v>2.5</v>
      </c>
      <c r="D1026">
        <v>43</v>
      </c>
      <c r="E1026">
        <f>IF(OR(B1026="vi",B1026="ii",B1026="pod"),(((D1026/100)*(C1026*VLOOKUP(B1026,'Poids des runes'!A:B,2,FALSE)))+1),(((D1026/100)*(C1026*VLOOKUP(B1026,'Poids des runes'!A:B,2,FALSE)))+1)/VLOOKUP(B1026,'Poids des runes'!A:B,2,FALSE))</f>
        <v>1.2749999999999999</v>
      </c>
      <c r="F1026">
        <f t="shared" si="15"/>
        <v>1.2749999999999999</v>
      </c>
    </row>
    <row r="1027" spans="1:6" x14ac:dyDescent="0.3">
      <c r="A1027" t="s">
        <v>336</v>
      </c>
      <c r="B1027" t="s">
        <v>2133</v>
      </c>
      <c r="C1027">
        <v>2.5</v>
      </c>
      <c r="D1027">
        <v>43</v>
      </c>
      <c r="E1027">
        <f>IF(OR(B1027="vi",B1027="ii",B1027="pod"),(((D1027/100)*(C1027*VLOOKUP(B1027,'Poids des runes'!A:B,2,FALSE)))+1),(((D1027/100)*(C1027*VLOOKUP(B1027,'Poids des runes'!A:B,2,FALSE)))+1)/VLOOKUP(B1027,'Poids des runes'!A:B,2,FALSE))</f>
        <v>1.2749999999999999</v>
      </c>
      <c r="F1027">
        <f t="shared" ref="F1027:F1090" si="16">E1027</f>
        <v>1.2749999999999999</v>
      </c>
    </row>
    <row r="1028" spans="1:6" x14ac:dyDescent="0.3">
      <c r="A1028" t="s">
        <v>336</v>
      </c>
      <c r="B1028" t="s">
        <v>2141</v>
      </c>
      <c r="C1028">
        <v>4</v>
      </c>
      <c r="D1028">
        <v>43</v>
      </c>
      <c r="E1028">
        <f>IF(OR(B1028="vi",B1028="ii",B1028="pod"),(((D1028/100)*(C1028*VLOOKUP(B1028,'Poids des runes'!A:B,2,FALSE)))+1),(((D1028/100)*(C1028*VLOOKUP(B1028,'Poids des runes'!A:B,2,FALSE)))+1)/VLOOKUP(B1028,'Poids des runes'!A:B,2,FALSE))</f>
        <v>1.97</v>
      </c>
      <c r="F1028">
        <f t="shared" si="16"/>
        <v>1.97</v>
      </c>
    </row>
    <row r="1029" spans="1:6" x14ac:dyDescent="0.3">
      <c r="A1029" t="s">
        <v>337</v>
      </c>
      <c r="B1029" t="s">
        <v>2128</v>
      </c>
      <c r="C1029">
        <v>25.5</v>
      </c>
      <c r="D1029">
        <v>43</v>
      </c>
      <c r="E1029">
        <f>IF(OR(B1029="vi",B1029="ii",B1029="pod"),(((D1029/100)*(C1029*VLOOKUP(B1029,'Poids des runes'!A:B,2,FALSE)))+1),(((D1029/100)*(C1029*VLOOKUP(B1029,'Poids des runes'!A:B,2,FALSE)))+1)/VLOOKUP(B1029,'Poids des runes'!A:B,2,FALSE))</f>
        <v>3.1930000000000001</v>
      </c>
      <c r="F1029">
        <f t="shared" si="16"/>
        <v>3.1930000000000001</v>
      </c>
    </row>
    <row r="1030" spans="1:6" x14ac:dyDescent="0.3">
      <c r="A1030" t="s">
        <v>337</v>
      </c>
      <c r="B1030" t="s">
        <v>2140</v>
      </c>
      <c r="C1030">
        <v>5</v>
      </c>
      <c r="D1030">
        <v>43</v>
      </c>
      <c r="E1030">
        <f>IF(OR(B1030="vi",B1030="ii",B1030="pod"),(((D1030/100)*(C1030*VLOOKUP(B1030,'Poids des runes'!A:B,2,FALSE)))+1),(((D1030/100)*(C1030*VLOOKUP(B1030,'Poids des runes'!A:B,2,FALSE)))+1)/VLOOKUP(B1030,'Poids des runes'!A:B,2,FALSE))</f>
        <v>2.35</v>
      </c>
      <c r="F1030">
        <f t="shared" si="16"/>
        <v>2.35</v>
      </c>
    </row>
    <row r="1031" spans="1:6" x14ac:dyDescent="0.3">
      <c r="A1031" t="s">
        <v>337</v>
      </c>
      <c r="B1031" t="s">
        <v>2141</v>
      </c>
      <c r="C1031">
        <v>2.5</v>
      </c>
      <c r="D1031">
        <v>43</v>
      </c>
      <c r="E1031">
        <f>IF(OR(B1031="vi",B1031="ii",B1031="pod"),(((D1031/100)*(C1031*VLOOKUP(B1031,'Poids des runes'!A:B,2,FALSE)))+1),(((D1031/100)*(C1031*VLOOKUP(B1031,'Poids des runes'!A:B,2,FALSE)))+1)/VLOOKUP(B1031,'Poids des runes'!A:B,2,FALSE))</f>
        <v>1.325</v>
      </c>
      <c r="F1031">
        <f t="shared" si="16"/>
        <v>1.325</v>
      </c>
    </row>
    <row r="1032" spans="1:6" x14ac:dyDescent="0.3">
      <c r="A1032" t="s">
        <v>337</v>
      </c>
      <c r="B1032" t="s">
        <v>2159</v>
      </c>
      <c r="C1032">
        <v>5</v>
      </c>
      <c r="D1032">
        <v>43</v>
      </c>
      <c r="E1032">
        <f>IF(OR(B1032="vi",B1032="ii",B1032="pod"),(((D1032/100)*(C1032*VLOOKUP(B1032,'Poids des runes'!A:B,2,FALSE)))+1),(((D1032/100)*(C1032*VLOOKUP(B1032,'Poids des runes'!A:B,2,FALSE)))+1)/VLOOKUP(B1032,'Poids des runes'!A:B,2,FALSE))</f>
        <v>2.2928571428571423</v>
      </c>
      <c r="F1032">
        <f t="shared" si="16"/>
        <v>2.2928571428571423</v>
      </c>
    </row>
    <row r="1033" spans="1:6" x14ac:dyDescent="0.3">
      <c r="A1033" t="s">
        <v>338</v>
      </c>
      <c r="B1033" t="s">
        <v>2128</v>
      </c>
      <c r="C1033">
        <v>25.5</v>
      </c>
      <c r="D1033">
        <v>43</v>
      </c>
      <c r="E1033">
        <f>IF(OR(B1033="vi",B1033="ii",B1033="pod"),(((D1033/100)*(C1033*VLOOKUP(B1033,'Poids des runes'!A:B,2,FALSE)))+1),(((D1033/100)*(C1033*VLOOKUP(B1033,'Poids des runes'!A:B,2,FALSE)))+1)/VLOOKUP(B1033,'Poids des runes'!A:B,2,FALSE))</f>
        <v>3.1930000000000001</v>
      </c>
      <c r="F1033">
        <f t="shared" si="16"/>
        <v>3.1930000000000001</v>
      </c>
    </row>
    <row r="1034" spans="1:6" x14ac:dyDescent="0.3">
      <c r="A1034" t="s">
        <v>338</v>
      </c>
      <c r="B1034" t="s">
        <v>2130</v>
      </c>
      <c r="C1034">
        <v>13</v>
      </c>
      <c r="D1034">
        <v>43</v>
      </c>
      <c r="E1034">
        <f>IF(OR(B1034="vi",B1034="ii",B1034="pod"),(((D1034/100)*(C1034*VLOOKUP(B1034,'Poids des runes'!A:B,2,FALSE)))+1),(((D1034/100)*(C1034*VLOOKUP(B1034,'Poids des runes'!A:B,2,FALSE)))+1)/VLOOKUP(B1034,'Poids des runes'!A:B,2,FALSE))</f>
        <v>6.59</v>
      </c>
      <c r="F1034">
        <f t="shared" si="16"/>
        <v>6.59</v>
      </c>
    </row>
    <row r="1035" spans="1:6" x14ac:dyDescent="0.3">
      <c r="A1035" t="s">
        <v>338</v>
      </c>
      <c r="B1035" t="s">
        <v>2126</v>
      </c>
      <c r="C1035">
        <v>13</v>
      </c>
      <c r="D1035">
        <v>43</v>
      </c>
      <c r="E1035">
        <f>IF(OR(B1035="vi",B1035="ii",B1035="pod"),(((D1035/100)*(C1035*VLOOKUP(B1035,'Poids des runes'!A:B,2,FALSE)))+1),(((D1035/100)*(C1035*VLOOKUP(B1035,'Poids des runes'!A:B,2,FALSE)))+1)/VLOOKUP(B1035,'Poids des runes'!A:B,2,FALSE))</f>
        <v>6.59</v>
      </c>
      <c r="F1035">
        <f t="shared" si="16"/>
        <v>6.59</v>
      </c>
    </row>
    <row r="1036" spans="1:6" x14ac:dyDescent="0.3">
      <c r="A1036" t="s">
        <v>339</v>
      </c>
      <c r="B1036" t="s">
        <v>2151</v>
      </c>
      <c r="C1036">
        <v>3</v>
      </c>
      <c r="D1036">
        <v>43</v>
      </c>
      <c r="E1036">
        <f>IF(OR(B1036="vi",B1036="ii",B1036="pod"),(((D1036/100)*(C1036*VLOOKUP(B1036,'Poids des runes'!A:B,2,FALSE)))+1),(((D1036/100)*(C1036*VLOOKUP(B1036,'Poids des runes'!A:B,2,FALSE)))+1)/VLOOKUP(B1036,'Poids des runes'!A:B,2,FALSE))</f>
        <v>1.3900000000000001</v>
      </c>
      <c r="F1036">
        <f t="shared" si="16"/>
        <v>1.3900000000000001</v>
      </c>
    </row>
    <row r="1037" spans="1:6" x14ac:dyDescent="0.3">
      <c r="A1037" t="s">
        <v>339</v>
      </c>
      <c r="B1037" t="s">
        <v>2150</v>
      </c>
      <c r="C1037">
        <v>1</v>
      </c>
      <c r="D1037">
        <v>43</v>
      </c>
      <c r="E1037">
        <f>IF(OR(B1037="vi",B1037="ii",B1037="pod"),(((D1037/100)*(C1037*VLOOKUP(B1037,'Poids des runes'!A:B,2,FALSE)))+1),(((D1037/100)*(C1037*VLOOKUP(B1037,'Poids des runes'!A:B,2,FALSE)))+1)/VLOOKUP(B1037,'Poids des runes'!A:B,2,FALSE))</f>
        <v>0.46333333333333332</v>
      </c>
      <c r="F1037">
        <f t="shared" si="16"/>
        <v>0.46333333333333332</v>
      </c>
    </row>
    <row r="1038" spans="1:6" x14ac:dyDescent="0.3">
      <c r="A1038" t="s">
        <v>339</v>
      </c>
      <c r="B1038" t="s">
        <v>2161</v>
      </c>
      <c r="C1038">
        <v>5.5</v>
      </c>
      <c r="D1038">
        <v>43</v>
      </c>
      <c r="E1038">
        <f>IF(OR(B1038="vi",B1038="ii",B1038="pod"),(((D1038/100)*(C1038*VLOOKUP(B1038,'Poids des runes'!A:B,2,FALSE)))+1),(((D1038/100)*(C1038*VLOOKUP(B1038,'Poids des runes'!A:B,2,FALSE)))+1)/VLOOKUP(B1038,'Poids des runes'!A:B,2,FALSE))</f>
        <v>2.6983333333333328</v>
      </c>
      <c r="F1038">
        <f t="shared" si="16"/>
        <v>2.6983333333333328</v>
      </c>
    </row>
    <row r="1039" spans="1:6" x14ac:dyDescent="0.3">
      <c r="A1039" t="s">
        <v>339</v>
      </c>
      <c r="B1039" t="s">
        <v>2132</v>
      </c>
      <c r="C1039">
        <v>50.5</v>
      </c>
      <c r="D1039">
        <v>43</v>
      </c>
      <c r="E1039">
        <f>IF(OR(B1039="vi",B1039="ii",B1039="pod"),(((D1039/100)*(C1039*VLOOKUP(B1039,'Poids des runes'!A:B,2,FALSE)))+1),(((D1039/100)*(C1039*VLOOKUP(B1039,'Poids des runes'!A:B,2,FALSE)))+1)/VLOOKUP(B1039,'Poids des runes'!A:B,2,FALSE))</f>
        <v>3.1715000000000004</v>
      </c>
      <c r="F1039">
        <f t="shared" si="16"/>
        <v>3.1715000000000004</v>
      </c>
    </row>
    <row r="1040" spans="1:6" x14ac:dyDescent="0.3">
      <c r="A1040" t="s">
        <v>340</v>
      </c>
      <c r="B1040" t="s">
        <v>2128</v>
      </c>
      <c r="C1040">
        <v>30.5</v>
      </c>
      <c r="D1040">
        <v>44</v>
      </c>
      <c r="E1040">
        <f>IF(OR(B1040="vi",B1040="ii",B1040="pod"),(((D1040/100)*(C1040*VLOOKUP(B1040,'Poids des runes'!A:B,2,FALSE)))+1),(((D1040/100)*(C1040*VLOOKUP(B1040,'Poids des runes'!A:B,2,FALSE)))+1)/VLOOKUP(B1040,'Poids des runes'!A:B,2,FALSE))</f>
        <v>3.6840000000000002</v>
      </c>
      <c r="F1040">
        <f t="shared" si="16"/>
        <v>3.6840000000000002</v>
      </c>
    </row>
    <row r="1041" spans="1:6" x14ac:dyDescent="0.3">
      <c r="A1041" t="s">
        <v>340</v>
      </c>
      <c r="B1041" t="s">
        <v>2147</v>
      </c>
      <c r="C1041">
        <v>3.5</v>
      </c>
      <c r="D1041">
        <v>44</v>
      </c>
      <c r="E1041">
        <f>IF(OR(B1041="vi",B1041="ii",B1041="pod"),(((D1041/100)*(C1041*VLOOKUP(B1041,'Poids des runes'!A:B,2,FALSE)))+1),(((D1041/100)*(C1041*VLOOKUP(B1041,'Poids des runes'!A:B,2,FALSE)))+1)/VLOOKUP(B1041,'Poids des runes'!A:B,2,FALSE))</f>
        <v>1.7066666666666668</v>
      </c>
      <c r="F1041">
        <f t="shared" si="16"/>
        <v>1.7066666666666668</v>
      </c>
    </row>
    <row r="1042" spans="1:6" x14ac:dyDescent="0.3">
      <c r="A1042" t="s">
        <v>340</v>
      </c>
      <c r="B1042" t="s">
        <v>2135</v>
      </c>
      <c r="C1042">
        <v>3.5</v>
      </c>
      <c r="D1042">
        <v>44</v>
      </c>
      <c r="E1042">
        <f>IF(OR(B1042="vi",B1042="ii",B1042="pod"),(((D1042/100)*(C1042*VLOOKUP(B1042,'Poids des runes'!A:B,2,FALSE)))+1),(((D1042/100)*(C1042*VLOOKUP(B1042,'Poids des runes'!A:B,2,FALSE)))+1)/VLOOKUP(B1042,'Poids des runes'!A:B,2,FALSE))</f>
        <v>1.7066666666666668</v>
      </c>
      <c r="F1042">
        <f t="shared" si="16"/>
        <v>1.7066666666666668</v>
      </c>
    </row>
    <row r="1043" spans="1:6" x14ac:dyDescent="0.3">
      <c r="A1043" t="s">
        <v>340</v>
      </c>
      <c r="B1043" t="s">
        <v>2157</v>
      </c>
      <c r="C1043">
        <v>3.5</v>
      </c>
      <c r="D1043">
        <v>44</v>
      </c>
      <c r="E1043">
        <f>IF(OR(B1043="vi",B1043="ii",B1043="pod"),(((D1043/100)*(C1043*VLOOKUP(B1043,'Poids des runes'!A:B,2,FALSE)))+1),(((D1043/100)*(C1043*VLOOKUP(B1043,'Poids des runes'!A:B,2,FALSE)))+1)/VLOOKUP(B1043,'Poids des runes'!A:B,2,FALSE))</f>
        <v>1.7066666666666668</v>
      </c>
      <c r="F1043">
        <f t="shared" si="16"/>
        <v>1.7066666666666668</v>
      </c>
    </row>
    <row r="1044" spans="1:6" x14ac:dyDescent="0.3">
      <c r="A1044" t="s">
        <v>341</v>
      </c>
      <c r="B1044" t="s">
        <v>2131</v>
      </c>
      <c r="C1044">
        <v>15.5</v>
      </c>
      <c r="D1044">
        <v>44</v>
      </c>
      <c r="E1044">
        <f>IF(OR(B1044="vi",B1044="ii",B1044="pod"),(((D1044/100)*(C1044*VLOOKUP(B1044,'Poids des runes'!A:B,2,FALSE)))+1),(((D1044/100)*(C1044*VLOOKUP(B1044,'Poids des runes'!A:B,2,FALSE)))+1)/VLOOKUP(B1044,'Poids des runes'!A:B,2,FALSE))</f>
        <v>7.82</v>
      </c>
      <c r="F1044">
        <f t="shared" si="16"/>
        <v>7.82</v>
      </c>
    </row>
    <row r="1045" spans="1:6" x14ac:dyDescent="0.3">
      <c r="A1045" t="s">
        <v>341</v>
      </c>
      <c r="B1045" t="s">
        <v>2154</v>
      </c>
      <c r="C1045">
        <v>1</v>
      </c>
      <c r="D1045">
        <v>44</v>
      </c>
      <c r="E1045">
        <f>IF(OR(B1045="vi",B1045="ii",B1045="pod"),(((D1045/100)*(C1045*VLOOKUP(B1045,'Poids des runes'!A:B,2,FALSE)))+1),(((D1045/100)*(C1045*VLOOKUP(B1045,'Poids des runes'!A:B,2,FALSE)))+1)/VLOOKUP(B1045,'Poids des runes'!A:B,2,FALSE))</f>
        <v>0.45111111111111113</v>
      </c>
      <c r="F1045">
        <f t="shared" si="16"/>
        <v>0.45111111111111113</v>
      </c>
    </row>
    <row r="1046" spans="1:6" x14ac:dyDescent="0.3">
      <c r="A1046" t="s">
        <v>342</v>
      </c>
      <c r="B1046" t="s">
        <v>2128</v>
      </c>
      <c r="C1046">
        <v>25.5</v>
      </c>
      <c r="D1046">
        <v>44</v>
      </c>
      <c r="E1046">
        <f>IF(OR(B1046="vi",B1046="ii",B1046="pod"),(((D1046/100)*(C1046*VLOOKUP(B1046,'Poids des runes'!A:B,2,FALSE)))+1),(((D1046/100)*(C1046*VLOOKUP(B1046,'Poids des runes'!A:B,2,FALSE)))+1)/VLOOKUP(B1046,'Poids des runes'!A:B,2,FALSE))</f>
        <v>3.2440000000000002</v>
      </c>
      <c r="F1046">
        <f t="shared" si="16"/>
        <v>3.2440000000000002</v>
      </c>
    </row>
    <row r="1047" spans="1:6" x14ac:dyDescent="0.3">
      <c r="A1047" t="s">
        <v>342</v>
      </c>
      <c r="B1047" t="s">
        <v>2131</v>
      </c>
      <c r="C1047">
        <v>30.5</v>
      </c>
      <c r="D1047">
        <v>44</v>
      </c>
      <c r="E1047">
        <f>IF(OR(B1047="vi",B1047="ii",B1047="pod"),(((D1047/100)*(C1047*VLOOKUP(B1047,'Poids des runes'!A:B,2,FALSE)))+1),(((D1047/100)*(C1047*VLOOKUP(B1047,'Poids des runes'!A:B,2,FALSE)))+1)/VLOOKUP(B1047,'Poids des runes'!A:B,2,FALSE))</f>
        <v>14.42</v>
      </c>
      <c r="F1047">
        <f t="shared" si="16"/>
        <v>14.42</v>
      </c>
    </row>
    <row r="1048" spans="1:6" x14ac:dyDescent="0.3">
      <c r="A1048" t="s">
        <v>342</v>
      </c>
      <c r="B1048" t="s">
        <v>2161</v>
      </c>
      <c r="C1048">
        <v>8.5</v>
      </c>
      <c r="D1048">
        <v>44</v>
      </c>
      <c r="E1048">
        <f>IF(OR(B1048="vi",B1048="ii",B1048="pod"),(((D1048/100)*(C1048*VLOOKUP(B1048,'Poids des runes'!A:B,2,FALSE)))+1),(((D1048/100)*(C1048*VLOOKUP(B1048,'Poids des runes'!A:B,2,FALSE)))+1)/VLOOKUP(B1048,'Poids des runes'!A:B,2,FALSE))</f>
        <v>4.0733333333333333</v>
      </c>
      <c r="F1048">
        <f t="shared" si="16"/>
        <v>4.0733333333333333</v>
      </c>
    </row>
    <row r="1049" spans="1:6" x14ac:dyDescent="0.3">
      <c r="A1049" t="s">
        <v>342</v>
      </c>
      <c r="B1049" t="s">
        <v>2141</v>
      </c>
      <c r="C1049">
        <v>8.5</v>
      </c>
      <c r="D1049">
        <v>44</v>
      </c>
      <c r="E1049">
        <f>IF(OR(B1049="vi",B1049="ii",B1049="pod"),(((D1049/100)*(C1049*VLOOKUP(B1049,'Poids des runes'!A:B,2,FALSE)))+1),(((D1049/100)*(C1049*VLOOKUP(B1049,'Poids des runes'!A:B,2,FALSE)))+1)/VLOOKUP(B1049,'Poids des runes'!A:B,2,FALSE))</f>
        <v>3.99</v>
      </c>
      <c r="F1049">
        <f t="shared" si="16"/>
        <v>3.99</v>
      </c>
    </row>
    <row r="1050" spans="1:6" x14ac:dyDescent="0.3">
      <c r="A1050" t="s">
        <v>343</v>
      </c>
      <c r="B1050" t="s">
        <v>2126</v>
      </c>
      <c r="C1050">
        <v>25.5</v>
      </c>
      <c r="D1050">
        <v>44</v>
      </c>
      <c r="E1050">
        <f>IF(OR(B1050="vi",B1050="ii",B1050="pod"),(((D1050/100)*(C1050*VLOOKUP(B1050,'Poids des runes'!A:B,2,FALSE)))+1),(((D1050/100)*(C1050*VLOOKUP(B1050,'Poids des runes'!A:B,2,FALSE)))+1)/VLOOKUP(B1050,'Poids des runes'!A:B,2,FALSE))</f>
        <v>12.22</v>
      </c>
      <c r="F1050">
        <f t="shared" si="16"/>
        <v>12.22</v>
      </c>
    </row>
    <row r="1051" spans="1:6" x14ac:dyDescent="0.3">
      <c r="A1051" t="s">
        <v>343</v>
      </c>
      <c r="B1051" t="s">
        <v>2151</v>
      </c>
      <c r="C1051">
        <v>3.5</v>
      </c>
      <c r="D1051">
        <v>44</v>
      </c>
      <c r="E1051">
        <f>IF(OR(B1051="vi",B1051="ii",B1051="pod"),(((D1051/100)*(C1051*VLOOKUP(B1051,'Poids des runes'!A:B,2,FALSE)))+1),(((D1051/100)*(C1051*VLOOKUP(B1051,'Poids des runes'!A:B,2,FALSE)))+1)/VLOOKUP(B1051,'Poids des runes'!A:B,2,FALSE))</f>
        <v>1.64</v>
      </c>
      <c r="F1051">
        <f t="shared" si="16"/>
        <v>1.64</v>
      </c>
    </row>
    <row r="1052" spans="1:6" x14ac:dyDescent="0.3">
      <c r="A1052" t="s">
        <v>343</v>
      </c>
      <c r="B1052" t="s">
        <v>2140</v>
      </c>
      <c r="C1052">
        <v>4</v>
      </c>
      <c r="D1052">
        <v>44</v>
      </c>
      <c r="E1052">
        <f>IF(OR(B1052="vi",B1052="ii",B1052="pod"),(((D1052/100)*(C1052*VLOOKUP(B1052,'Poids des runes'!A:B,2,FALSE)))+1),(((D1052/100)*(C1052*VLOOKUP(B1052,'Poids des runes'!A:B,2,FALSE)))+1)/VLOOKUP(B1052,'Poids des runes'!A:B,2,FALSE))</f>
        <v>1.9600000000000002</v>
      </c>
      <c r="F1052">
        <f t="shared" si="16"/>
        <v>1.9600000000000002</v>
      </c>
    </row>
    <row r="1053" spans="1:6" x14ac:dyDescent="0.3">
      <c r="A1053" t="s">
        <v>343</v>
      </c>
      <c r="B1053" t="s">
        <v>2132</v>
      </c>
      <c r="C1053">
        <v>175.5</v>
      </c>
      <c r="D1053">
        <v>44</v>
      </c>
      <c r="E1053">
        <f>IF(OR(B1053="vi",B1053="ii",B1053="pod"),(((D1053/100)*(C1053*VLOOKUP(B1053,'Poids des runes'!A:B,2,FALSE)))+1),(((D1053/100)*(C1053*VLOOKUP(B1053,'Poids des runes'!A:B,2,FALSE)))+1)/VLOOKUP(B1053,'Poids des runes'!A:B,2,FALSE))</f>
        <v>8.7220000000000013</v>
      </c>
      <c r="F1053">
        <f t="shared" si="16"/>
        <v>8.7220000000000013</v>
      </c>
    </row>
    <row r="1054" spans="1:6" x14ac:dyDescent="0.3">
      <c r="A1054" t="s">
        <v>344</v>
      </c>
      <c r="B1054" t="s">
        <v>2128</v>
      </c>
      <c r="C1054">
        <v>50.5</v>
      </c>
      <c r="D1054">
        <v>44</v>
      </c>
      <c r="E1054">
        <f>IF(OR(B1054="vi",B1054="ii",B1054="pod"),(((D1054/100)*(C1054*VLOOKUP(B1054,'Poids des runes'!A:B,2,FALSE)))+1),(((D1054/100)*(C1054*VLOOKUP(B1054,'Poids des runes'!A:B,2,FALSE)))+1)/VLOOKUP(B1054,'Poids des runes'!A:B,2,FALSE))</f>
        <v>5.4440000000000008</v>
      </c>
      <c r="F1054">
        <f t="shared" si="16"/>
        <v>5.4440000000000008</v>
      </c>
    </row>
    <row r="1055" spans="1:6" x14ac:dyDescent="0.3">
      <c r="A1055" t="s">
        <v>344</v>
      </c>
      <c r="B1055" t="s">
        <v>2127</v>
      </c>
      <c r="C1055">
        <v>35.5</v>
      </c>
      <c r="D1055">
        <v>44</v>
      </c>
      <c r="E1055">
        <f>IF(OR(B1055="vi",B1055="ii",B1055="pod"),(((D1055/100)*(C1055*VLOOKUP(B1055,'Poids des runes'!A:B,2,FALSE)))+1),(((D1055/100)*(C1055*VLOOKUP(B1055,'Poids des runes'!A:B,2,FALSE)))+1)/VLOOKUP(B1055,'Poids des runes'!A:B,2,FALSE))</f>
        <v>16.619999999999997</v>
      </c>
      <c r="F1055">
        <f t="shared" si="16"/>
        <v>16.619999999999997</v>
      </c>
    </row>
    <row r="1056" spans="1:6" x14ac:dyDescent="0.3">
      <c r="A1056" t="s">
        <v>344</v>
      </c>
      <c r="B1056" t="s">
        <v>2150</v>
      </c>
      <c r="C1056">
        <v>1</v>
      </c>
      <c r="D1056">
        <v>44</v>
      </c>
      <c r="E1056">
        <f>IF(OR(B1056="vi",B1056="ii",B1056="pod"),(((D1056/100)*(C1056*VLOOKUP(B1056,'Poids des runes'!A:B,2,FALSE)))+1),(((D1056/100)*(C1056*VLOOKUP(B1056,'Poids des runes'!A:B,2,FALSE)))+1)/VLOOKUP(B1056,'Poids des runes'!A:B,2,FALSE))</f>
        <v>0.47333333333333333</v>
      </c>
      <c r="F1056">
        <f t="shared" si="16"/>
        <v>0.47333333333333333</v>
      </c>
    </row>
    <row r="1057" spans="1:6" x14ac:dyDescent="0.3">
      <c r="A1057" t="s">
        <v>344</v>
      </c>
      <c r="B1057" t="s">
        <v>2149</v>
      </c>
      <c r="C1057">
        <v>8.5</v>
      </c>
      <c r="D1057">
        <v>44</v>
      </c>
      <c r="E1057">
        <f>IF(OR(B1057="vi",B1057="ii",B1057="pod"),(((D1057/100)*(C1057*VLOOKUP(B1057,'Poids des runes'!A:B,2,FALSE)))+1),(((D1057/100)*(C1057*VLOOKUP(B1057,'Poids des runes'!A:B,2,FALSE)))+1)/VLOOKUP(B1057,'Poids des runes'!A:B,2,FALSE))</f>
        <v>3.84</v>
      </c>
      <c r="F1057">
        <f t="shared" si="16"/>
        <v>3.84</v>
      </c>
    </row>
    <row r="1058" spans="1:6" x14ac:dyDescent="0.3">
      <c r="A1058" t="s">
        <v>344</v>
      </c>
      <c r="B1058" t="s">
        <v>2161</v>
      </c>
      <c r="C1058">
        <v>5</v>
      </c>
      <c r="D1058">
        <v>44</v>
      </c>
      <c r="E1058">
        <f>IF(OR(B1058="vi",B1058="ii",B1058="pod"),(((D1058/100)*(C1058*VLOOKUP(B1058,'Poids des runes'!A:B,2,FALSE)))+1),(((D1058/100)*(C1058*VLOOKUP(B1058,'Poids des runes'!A:B,2,FALSE)))+1)/VLOOKUP(B1058,'Poids des runes'!A:B,2,FALSE))</f>
        <v>2.5333333333333332</v>
      </c>
      <c r="F1058">
        <f t="shared" si="16"/>
        <v>2.5333333333333332</v>
      </c>
    </row>
    <row r="1059" spans="1:6" x14ac:dyDescent="0.3">
      <c r="A1059" t="s">
        <v>345</v>
      </c>
      <c r="B1059" t="s">
        <v>2128</v>
      </c>
      <c r="C1059">
        <v>25.5</v>
      </c>
      <c r="D1059">
        <v>44</v>
      </c>
      <c r="E1059">
        <f>IF(OR(B1059="vi",B1059="ii",B1059="pod"),(((D1059/100)*(C1059*VLOOKUP(B1059,'Poids des runes'!A:B,2,FALSE)))+1),(((D1059/100)*(C1059*VLOOKUP(B1059,'Poids des runes'!A:B,2,FALSE)))+1)/VLOOKUP(B1059,'Poids des runes'!A:B,2,FALSE))</f>
        <v>3.2440000000000002</v>
      </c>
      <c r="F1059">
        <f t="shared" si="16"/>
        <v>3.2440000000000002</v>
      </c>
    </row>
    <row r="1060" spans="1:6" x14ac:dyDescent="0.3">
      <c r="A1060" t="s">
        <v>345</v>
      </c>
      <c r="B1060" t="s">
        <v>2131</v>
      </c>
      <c r="C1060">
        <v>23</v>
      </c>
      <c r="D1060">
        <v>44</v>
      </c>
      <c r="E1060">
        <f>IF(OR(B1060="vi",B1060="ii",B1060="pod"),(((D1060/100)*(C1060*VLOOKUP(B1060,'Poids des runes'!A:B,2,FALSE)))+1),(((D1060/100)*(C1060*VLOOKUP(B1060,'Poids des runes'!A:B,2,FALSE)))+1)/VLOOKUP(B1060,'Poids des runes'!A:B,2,FALSE))</f>
        <v>11.12</v>
      </c>
      <c r="F1060">
        <f t="shared" si="16"/>
        <v>11.12</v>
      </c>
    </row>
    <row r="1061" spans="1:6" x14ac:dyDescent="0.3">
      <c r="A1061" t="s">
        <v>345</v>
      </c>
      <c r="B1061" t="s">
        <v>2139</v>
      </c>
      <c r="C1061">
        <v>4</v>
      </c>
      <c r="D1061">
        <v>44</v>
      </c>
      <c r="E1061">
        <f>IF(OR(B1061="vi",B1061="ii",B1061="pod"),(((D1061/100)*(C1061*VLOOKUP(B1061,'Poids des runes'!A:B,2,FALSE)))+1),(((D1061/100)*(C1061*VLOOKUP(B1061,'Poids des runes'!A:B,2,FALSE)))+1)/VLOOKUP(B1061,'Poids des runes'!A:B,2,FALSE))</f>
        <v>2.2599999999999998</v>
      </c>
      <c r="F1061">
        <f t="shared" si="16"/>
        <v>2.2599999999999998</v>
      </c>
    </row>
    <row r="1062" spans="1:6" x14ac:dyDescent="0.3">
      <c r="A1062" t="s">
        <v>345</v>
      </c>
      <c r="B1062" t="s">
        <v>2157</v>
      </c>
      <c r="C1062">
        <v>2.5</v>
      </c>
      <c r="D1062">
        <v>44</v>
      </c>
      <c r="E1062">
        <f>IF(OR(B1062="vi",B1062="ii",B1062="pod"),(((D1062/100)*(C1062*VLOOKUP(B1062,'Poids des runes'!A:B,2,FALSE)))+1),(((D1062/100)*(C1062*VLOOKUP(B1062,'Poids des runes'!A:B,2,FALSE)))+1)/VLOOKUP(B1062,'Poids des runes'!A:B,2,FALSE))</f>
        <v>1.2666666666666666</v>
      </c>
      <c r="F1062">
        <f t="shared" si="16"/>
        <v>1.2666666666666666</v>
      </c>
    </row>
    <row r="1063" spans="1:6" x14ac:dyDescent="0.3">
      <c r="A1063" t="s">
        <v>346</v>
      </c>
      <c r="B1063" t="s">
        <v>2128</v>
      </c>
      <c r="C1063">
        <v>40.5</v>
      </c>
      <c r="D1063">
        <v>44</v>
      </c>
      <c r="E1063">
        <f>IF(OR(B1063="vi",B1063="ii",B1063="pod"),(((D1063/100)*(C1063*VLOOKUP(B1063,'Poids des runes'!A:B,2,FALSE)))+1),(((D1063/100)*(C1063*VLOOKUP(B1063,'Poids des runes'!A:B,2,FALSE)))+1)/VLOOKUP(B1063,'Poids des runes'!A:B,2,FALSE))</f>
        <v>4.5640000000000001</v>
      </c>
      <c r="F1063">
        <f t="shared" si="16"/>
        <v>4.5640000000000001</v>
      </c>
    </row>
    <row r="1064" spans="1:6" x14ac:dyDescent="0.3">
      <c r="A1064" t="s">
        <v>346</v>
      </c>
      <c r="B1064" t="s">
        <v>2129</v>
      </c>
      <c r="C1064">
        <v>15.5</v>
      </c>
      <c r="D1064">
        <v>44</v>
      </c>
      <c r="E1064">
        <f>IF(OR(B1064="vi",B1064="ii",B1064="pod"),(((D1064/100)*(C1064*VLOOKUP(B1064,'Poids des runes'!A:B,2,FALSE)))+1),(((D1064/100)*(C1064*VLOOKUP(B1064,'Poids des runes'!A:B,2,FALSE)))+1)/VLOOKUP(B1064,'Poids des runes'!A:B,2,FALSE))</f>
        <v>7.82</v>
      </c>
      <c r="F1064">
        <f t="shared" si="16"/>
        <v>7.82</v>
      </c>
    </row>
    <row r="1065" spans="1:6" x14ac:dyDescent="0.3">
      <c r="A1065" t="s">
        <v>346</v>
      </c>
      <c r="B1065" t="s">
        <v>2151</v>
      </c>
      <c r="C1065">
        <v>2.5</v>
      </c>
      <c r="D1065">
        <v>44</v>
      </c>
      <c r="E1065">
        <f>IF(OR(B1065="vi",B1065="ii",B1065="pod"),(((D1065/100)*(C1065*VLOOKUP(B1065,'Poids des runes'!A:B,2,FALSE)))+1),(((D1065/100)*(C1065*VLOOKUP(B1065,'Poids des runes'!A:B,2,FALSE)))+1)/VLOOKUP(B1065,'Poids des runes'!A:B,2,FALSE))</f>
        <v>1.2</v>
      </c>
      <c r="F1065">
        <f t="shared" si="16"/>
        <v>1.2</v>
      </c>
    </row>
    <row r="1066" spans="1:6" x14ac:dyDescent="0.3">
      <c r="A1066" t="s">
        <v>347</v>
      </c>
      <c r="B1066" t="s">
        <v>2128</v>
      </c>
      <c r="C1066">
        <v>28</v>
      </c>
      <c r="D1066">
        <v>44</v>
      </c>
      <c r="E1066">
        <f>IF(OR(B1066="vi",B1066="ii",B1066="pod"),(((D1066/100)*(C1066*VLOOKUP(B1066,'Poids des runes'!A:B,2,FALSE)))+1),(((D1066/100)*(C1066*VLOOKUP(B1066,'Poids des runes'!A:B,2,FALSE)))+1)/VLOOKUP(B1066,'Poids des runes'!A:B,2,FALSE))</f>
        <v>3.4640000000000004</v>
      </c>
      <c r="F1066">
        <f t="shared" si="16"/>
        <v>3.4640000000000004</v>
      </c>
    </row>
    <row r="1067" spans="1:6" x14ac:dyDescent="0.3">
      <c r="A1067" t="s">
        <v>347</v>
      </c>
      <c r="B1067" t="s">
        <v>2126</v>
      </c>
      <c r="C1067">
        <v>28</v>
      </c>
      <c r="D1067">
        <v>44</v>
      </c>
      <c r="E1067">
        <f>IF(OR(B1067="vi",B1067="ii",B1067="pod"),(((D1067/100)*(C1067*VLOOKUP(B1067,'Poids des runes'!A:B,2,FALSE)))+1),(((D1067/100)*(C1067*VLOOKUP(B1067,'Poids des runes'!A:B,2,FALSE)))+1)/VLOOKUP(B1067,'Poids des runes'!A:B,2,FALSE))</f>
        <v>13.32</v>
      </c>
      <c r="F1067">
        <f t="shared" si="16"/>
        <v>13.32</v>
      </c>
    </row>
    <row r="1068" spans="1:6" x14ac:dyDescent="0.3">
      <c r="A1068" t="s">
        <v>347</v>
      </c>
      <c r="B1068" t="s">
        <v>2140</v>
      </c>
      <c r="C1068">
        <v>2.5</v>
      </c>
      <c r="D1068">
        <v>44</v>
      </c>
      <c r="E1068">
        <f>IF(OR(B1068="vi",B1068="ii",B1068="pod"),(((D1068/100)*(C1068*VLOOKUP(B1068,'Poids des runes'!A:B,2,FALSE)))+1),(((D1068/100)*(C1068*VLOOKUP(B1068,'Poids des runes'!A:B,2,FALSE)))+1)/VLOOKUP(B1068,'Poids des runes'!A:B,2,FALSE))</f>
        <v>1.3</v>
      </c>
      <c r="F1068">
        <f t="shared" si="16"/>
        <v>1.3</v>
      </c>
    </row>
    <row r="1069" spans="1:6" x14ac:dyDescent="0.3">
      <c r="A1069" t="s">
        <v>348</v>
      </c>
      <c r="B1069" t="s">
        <v>2128</v>
      </c>
      <c r="C1069">
        <v>30.5</v>
      </c>
      <c r="D1069">
        <v>44</v>
      </c>
      <c r="E1069">
        <f>IF(OR(B1069="vi",B1069="ii",B1069="pod"),(((D1069/100)*(C1069*VLOOKUP(B1069,'Poids des runes'!A:B,2,FALSE)))+1),(((D1069/100)*(C1069*VLOOKUP(B1069,'Poids des runes'!A:B,2,FALSE)))+1)/VLOOKUP(B1069,'Poids des runes'!A:B,2,FALSE))</f>
        <v>3.6840000000000002</v>
      </c>
      <c r="F1069">
        <f t="shared" si="16"/>
        <v>3.6840000000000002</v>
      </c>
    </row>
    <row r="1070" spans="1:6" x14ac:dyDescent="0.3">
      <c r="A1070" t="s">
        <v>348</v>
      </c>
      <c r="B1070" t="s">
        <v>2131</v>
      </c>
      <c r="C1070">
        <v>13</v>
      </c>
      <c r="D1070">
        <v>44</v>
      </c>
      <c r="E1070">
        <f>IF(OR(B1070="vi",B1070="ii",B1070="pod"),(((D1070/100)*(C1070*VLOOKUP(B1070,'Poids des runes'!A:B,2,FALSE)))+1),(((D1070/100)*(C1070*VLOOKUP(B1070,'Poids des runes'!A:B,2,FALSE)))+1)/VLOOKUP(B1070,'Poids des runes'!A:B,2,FALSE))</f>
        <v>6.72</v>
      </c>
      <c r="F1070">
        <f t="shared" si="16"/>
        <v>6.72</v>
      </c>
    </row>
    <row r="1071" spans="1:6" x14ac:dyDescent="0.3">
      <c r="A1071" t="s">
        <v>348</v>
      </c>
      <c r="B1071" t="s">
        <v>2150</v>
      </c>
      <c r="C1071">
        <v>1</v>
      </c>
      <c r="D1071">
        <v>44</v>
      </c>
      <c r="E1071">
        <f>IF(OR(B1071="vi",B1071="ii",B1071="pod"),(((D1071/100)*(C1071*VLOOKUP(B1071,'Poids des runes'!A:B,2,FALSE)))+1),(((D1071/100)*(C1071*VLOOKUP(B1071,'Poids des runes'!A:B,2,FALSE)))+1)/VLOOKUP(B1071,'Poids des runes'!A:B,2,FALSE))</f>
        <v>0.47333333333333333</v>
      </c>
      <c r="F1071">
        <f t="shared" si="16"/>
        <v>0.47333333333333333</v>
      </c>
    </row>
    <row r="1072" spans="1:6" x14ac:dyDescent="0.3">
      <c r="A1072" t="s">
        <v>348</v>
      </c>
      <c r="B1072" t="s">
        <v>2133</v>
      </c>
      <c r="C1072">
        <v>3.5</v>
      </c>
      <c r="D1072">
        <v>44</v>
      </c>
      <c r="E1072">
        <f>IF(OR(B1072="vi",B1072="ii",B1072="pod"),(((D1072/100)*(C1072*VLOOKUP(B1072,'Poids des runes'!A:B,2,FALSE)))+1),(((D1072/100)*(C1072*VLOOKUP(B1072,'Poids des runes'!A:B,2,FALSE)))+1)/VLOOKUP(B1072,'Poids des runes'!A:B,2,FALSE))</f>
        <v>1.7399999999999998</v>
      </c>
      <c r="F1072">
        <f t="shared" si="16"/>
        <v>1.7399999999999998</v>
      </c>
    </row>
    <row r="1073" spans="1:6" x14ac:dyDescent="0.3">
      <c r="A1073" t="s">
        <v>348</v>
      </c>
      <c r="B1073" t="s">
        <v>2141</v>
      </c>
      <c r="C1073">
        <v>3.5</v>
      </c>
      <c r="D1073">
        <v>44</v>
      </c>
      <c r="E1073">
        <f>IF(OR(B1073="vi",B1073="ii",B1073="pod"),(((D1073/100)*(C1073*VLOOKUP(B1073,'Poids des runes'!A:B,2,FALSE)))+1),(((D1073/100)*(C1073*VLOOKUP(B1073,'Poids des runes'!A:B,2,FALSE)))+1)/VLOOKUP(B1073,'Poids des runes'!A:B,2,FALSE))</f>
        <v>1.79</v>
      </c>
      <c r="F1073">
        <f t="shared" si="16"/>
        <v>1.79</v>
      </c>
    </row>
    <row r="1074" spans="1:6" x14ac:dyDescent="0.3">
      <c r="A1074" t="s">
        <v>349</v>
      </c>
      <c r="B1074" t="s">
        <v>2128</v>
      </c>
      <c r="C1074">
        <v>70.5</v>
      </c>
      <c r="D1074">
        <v>44</v>
      </c>
      <c r="E1074">
        <f>IF(OR(B1074="vi",B1074="ii",B1074="pod"),(((D1074/100)*(C1074*VLOOKUP(B1074,'Poids des runes'!A:B,2,FALSE)))+1),(((D1074/100)*(C1074*VLOOKUP(B1074,'Poids des runes'!A:B,2,FALSE)))+1)/VLOOKUP(B1074,'Poids des runes'!A:B,2,FALSE))</f>
        <v>7.2040000000000006</v>
      </c>
      <c r="F1074">
        <f t="shared" si="16"/>
        <v>7.2040000000000006</v>
      </c>
    </row>
    <row r="1075" spans="1:6" x14ac:dyDescent="0.3">
      <c r="A1075" t="s">
        <v>349</v>
      </c>
      <c r="B1075" t="s">
        <v>2129</v>
      </c>
      <c r="C1075">
        <v>8.5</v>
      </c>
      <c r="D1075">
        <v>44</v>
      </c>
      <c r="E1075">
        <f>IF(OR(B1075="vi",B1075="ii",B1075="pod"),(((D1075/100)*(C1075*VLOOKUP(B1075,'Poids des runes'!A:B,2,FALSE)))+1),(((D1075/100)*(C1075*VLOOKUP(B1075,'Poids des runes'!A:B,2,FALSE)))+1)/VLOOKUP(B1075,'Poids des runes'!A:B,2,FALSE))</f>
        <v>4.74</v>
      </c>
      <c r="F1075">
        <f t="shared" si="16"/>
        <v>4.74</v>
      </c>
    </row>
    <row r="1076" spans="1:6" x14ac:dyDescent="0.3">
      <c r="A1076" t="s">
        <v>349</v>
      </c>
      <c r="B1076" t="s">
        <v>2139</v>
      </c>
      <c r="C1076">
        <v>15.5</v>
      </c>
      <c r="D1076">
        <v>44</v>
      </c>
      <c r="E1076">
        <f>IF(OR(B1076="vi",B1076="ii",B1076="pod"),(((D1076/100)*(C1076*VLOOKUP(B1076,'Poids des runes'!A:B,2,FALSE)))+1),(((D1076/100)*(C1076*VLOOKUP(B1076,'Poids des runes'!A:B,2,FALSE)))+1)/VLOOKUP(B1076,'Poids des runes'!A:B,2,FALSE))</f>
        <v>7.32</v>
      </c>
      <c r="F1076">
        <f t="shared" si="16"/>
        <v>7.32</v>
      </c>
    </row>
    <row r="1077" spans="1:6" x14ac:dyDescent="0.3">
      <c r="A1077" t="s">
        <v>349</v>
      </c>
      <c r="B1077" t="s">
        <v>2151</v>
      </c>
      <c r="C1077">
        <v>2.5</v>
      </c>
      <c r="D1077">
        <v>44</v>
      </c>
      <c r="E1077">
        <f>IF(OR(B1077="vi",B1077="ii",B1077="pod"),(((D1077/100)*(C1077*VLOOKUP(B1077,'Poids des runes'!A:B,2,FALSE)))+1),(((D1077/100)*(C1077*VLOOKUP(B1077,'Poids des runes'!A:B,2,FALSE)))+1)/VLOOKUP(B1077,'Poids des runes'!A:B,2,FALSE))</f>
        <v>1.2</v>
      </c>
      <c r="F1077">
        <f t="shared" si="16"/>
        <v>1.2</v>
      </c>
    </row>
    <row r="1078" spans="1:6" x14ac:dyDescent="0.3">
      <c r="A1078" t="s">
        <v>349</v>
      </c>
      <c r="B1078" t="s">
        <v>2138</v>
      </c>
      <c r="C1078">
        <v>2.5</v>
      </c>
      <c r="D1078">
        <v>44</v>
      </c>
      <c r="E1078">
        <f>IF(OR(B1078="vi",B1078="ii",B1078="pod"),(((D1078/100)*(C1078*VLOOKUP(B1078,'Poids des runes'!A:B,2,FALSE)))+1),(((D1078/100)*(C1078*VLOOKUP(B1078,'Poids des runes'!A:B,2,FALSE)))+1)/VLOOKUP(B1078,'Poids des runes'!A:B,2,FALSE))</f>
        <v>1.35</v>
      </c>
      <c r="F1078">
        <f t="shared" si="16"/>
        <v>1.35</v>
      </c>
    </row>
    <row r="1079" spans="1:6" x14ac:dyDescent="0.3">
      <c r="A1079" t="s">
        <v>350</v>
      </c>
      <c r="B1079" t="s">
        <v>2128</v>
      </c>
      <c r="C1079">
        <v>25.5</v>
      </c>
      <c r="D1079">
        <v>44</v>
      </c>
      <c r="E1079">
        <f>IF(OR(B1079="vi",B1079="ii",B1079="pod"),(((D1079/100)*(C1079*VLOOKUP(B1079,'Poids des runes'!A:B,2,FALSE)))+1),(((D1079/100)*(C1079*VLOOKUP(B1079,'Poids des runes'!A:B,2,FALSE)))+1)/VLOOKUP(B1079,'Poids des runes'!A:B,2,FALSE))</f>
        <v>3.2440000000000002</v>
      </c>
      <c r="F1079">
        <f t="shared" si="16"/>
        <v>3.2440000000000002</v>
      </c>
    </row>
    <row r="1080" spans="1:6" x14ac:dyDescent="0.3">
      <c r="A1080" t="s">
        <v>350</v>
      </c>
      <c r="B1080" t="s">
        <v>2131</v>
      </c>
      <c r="C1080">
        <v>35.5</v>
      </c>
      <c r="D1080">
        <v>44</v>
      </c>
      <c r="E1080">
        <f>IF(OR(B1080="vi",B1080="ii",B1080="pod"),(((D1080/100)*(C1080*VLOOKUP(B1080,'Poids des runes'!A:B,2,FALSE)))+1),(((D1080/100)*(C1080*VLOOKUP(B1080,'Poids des runes'!A:B,2,FALSE)))+1)/VLOOKUP(B1080,'Poids des runes'!A:B,2,FALSE))</f>
        <v>16.619999999999997</v>
      </c>
      <c r="F1080">
        <f t="shared" si="16"/>
        <v>16.619999999999997</v>
      </c>
    </row>
    <row r="1081" spans="1:6" x14ac:dyDescent="0.3">
      <c r="A1081" t="s">
        <v>350</v>
      </c>
      <c r="B1081" t="s">
        <v>2129</v>
      </c>
      <c r="C1081">
        <v>8</v>
      </c>
      <c r="D1081">
        <v>44</v>
      </c>
      <c r="E1081">
        <f>IF(OR(B1081="vi",B1081="ii",B1081="pod"),(((D1081/100)*(C1081*VLOOKUP(B1081,'Poids des runes'!A:B,2,FALSE)))+1),(((D1081/100)*(C1081*VLOOKUP(B1081,'Poids des runes'!A:B,2,FALSE)))+1)/VLOOKUP(B1081,'Poids des runes'!A:B,2,FALSE))</f>
        <v>4.5199999999999996</v>
      </c>
      <c r="F1081">
        <f t="shared" si="16"/>
        <v>4.5199999999999996</v>
      </c>
    </row>
    <row r="1082" spans="1:6" x14ac:dyDescent="0.3">
      <c r="A1082" t="s">
        <v>350</v>
      </c>
      <c r="B1082" t="s">
        <v>2133</v>
      </c>
      <c r="C1082">
        <v>3.5</v>
      </c>
      <c r="D1082">
        <v>44</v>
      </c>
      <c r="E1082">
        <f>IF(OR(B1082="vi",B1082="ii",B1082="pod"),(((D1082/100)*(C1082*VLOOKUP(B1082,'Poids des runes'!A:B,2,FALSE)))+1),(((D1082/100)*(C1082*VLOOKUP(B1082,'Poids des runes'!A:B,2,FALSE)))+1)/VLOOKUP(B1082,'Poids des runes'!A:B,2,FALSE))</f>
        <v>1.7399999999999998</v>
      </c>
      <c r="F1082">
        <f t="shared" si="16"/>
        <v>1.7399999999999998</v>
      </c>
    </row>
    <row r="1083" spans="1:6" x14ac:dyDescent="0.3">
      <c r="A1083" t="s">
        <v>350</v>
      </c>
      <c r="B1083" t="s">
        <v>2161</v>
      </c>
      <c r="C1083">
        <v>4</v>
      </c>
      <c r="D1083">
        <v>44</v>
      </c>
      <c r="E1083">
        <f>IF(OR(B1083="vi",B1083="ii",B1083="pod"),(((D1083/100)*(C1083*VLOOKUP(B1083,'Poids des runes'!A:B,2,FALSE)))+1),(((D1083/100)*(C1083*VLOOKUP(B1083,'Poids des runes'!A:B,2,FALSE)))+1)/VLOOKUP(B1083,'Poids des runes'!A:B,2,FALSE))</f>
        <v>2.0933333333333333</v>
      </c>
      <c r="F1083">
        <f t="shared" si="16"/>
        <v>2.0933333333333333</v>
      </c>
    </row>
    <row r="1084" spans="1:6" x14ac:dyDescent="0.3">
      <c r="A1084" t="s">
        <v>350</v>
      </c>
      <c r="B1084" t="s">
        <v>2141</v>
      </c>
      <c r="C1084">
        <v>2.5</v>
      </c>
      <c r="D1084">
        <v>44</v>
      </c>
      <c r="E1084">
        <f>IF(OR(B1084="vi",B1084="ii",B1084="pod"),(((D1084/100)*(C1084*VLOOKUP(B1084,'Poids des runes'!A:B,2,FALSE)))+1),(((D1084/100)*(C1084*VLOOKUP(B1084,'Poids des runes'!A:B,2,FALSE)))+1)/VLOOKUP(B1084,'Poids des runes'!A:B,2,FALSE))</f>
        <v>1.35</v>
      </c>
      <c r="F1084">
        <f t="shared" si="16"/>
        <v>1.35</v>
      </c>
    </row>
    <row r="1085" spans="1:6" x14ac:dyDescent="0.3">
      <c r="A1085" t="s">
        <v>351</v>
      </c>
      <c r="B1085" t="s">
        <v>2128</v>
      </c>
      <c r="C1085">
        <v>23</v>
      </c>
      <c r="D1085">
        <v>44</v>
      </c>
      <c r="E1085">
        <f>IF(OR(B1085="vi",B1085="ii",B1085="pod"),(((D1085/100)*(C1085*VLOOKUP(B1085,'Poids des runes'!A:B,2,FALSE)))+1),(((D1085/100)*(C1085*VLOOKUP(B1085,'Poids des runes'!A:B,2,FALSE)))+1)/VLOOKUP(B1085,'Poids des runes'!A:B,2,FALSE))</f>
        <v>3.0240000000000005</v>
      </c>
      <c r="F1085">
        <f t="shared" si="16"/>
        <v>3.0240000000000005</v>
      </c>
    </row>
    <row r="1086" spans="1:6" x14ac:dyDescent="0.3">
      <c r="A1086" t="s">
        <v>351</v>
      </c>
      <c r="B1086" t="s">
        <v>2130</v>
      </c>
      <c r="C1086">
        <v>23</v>
      </c>
      <c r="D1086">
        <v>44</v>
      </c>
      <c r="E1086">
        <f>IF(OR(B1086="vi",B1086="ii",B1086="pod"),(((D1086/100)*(C1086*VLOOKUP(B1086,'Poids des runes'!A:B,2,FALSE)))+1),(((D1086/100)*(C1086*VLOOKUP(B1086,'Poids des runes'!A:B,2,FALSE)))+1)/VLOOKUP(B1086,'Poids des runes'!A:B,2,FALSE))</f>
        <v>11.12</v>
      </c>
      <c r="F1086">
        <f t="shared" si="16"/>
        <v>11.12</v>
      </c>
    </row>
    <row r="1087" spans="1:6" x14ac:dyDescent="0.3">
      <c r="A1087" t="s">
        <v>351</v>
      </c>
      <c r="B1087" t="s">
        <v>2129</v>
      </c>
      <c r="C1087">
        <v>13</v>
      </c>
      <c r="D1087">
        <v>44</v>
      </c>
      <c r="E1087">
        <f>IF(OR(B1087="vi",B1087="ii",B1087="pod"),(((D1087/100)*(C1087*VLOOKUP(B1087,'Poids des runes'!A:B,2,FALSE)))+1),(((D1087/100)*(C1087*VLOOKUP(B1087,'Poids des runes'!A:B,2,FALSE)))+1)/VLOOKUP(B1087,'Poids des runes'!A:B,2,FALSE))</f>
        <v>6.72</v>
      </c>
      <c r="F1087">
        <f t="shared" si="16"/>
        <v>6.72</v>
      </c>
    </row>
    <row r="1088" spans="1:6" x14ac:dyDescent="0.3">
      <c r="A1088" t="s">
        <v>351</v>
      </c>
      <c r="B1088" t="s">
        <v>2148</v>
      </c>
      <c r="C1088">
        <v>4</v>
      </c>
      <c r="D1088">
        <v>44</v>
      </c>
      <c r="E1088">
        <f>IF(OR(B1088="vi",B1088="ii",B1088="pod"),(((D1088/100)*(C1088*VLOOKUP(B1088,'Poids des runes'!A:B,2,FALSE)))+1),(((D1088/100)*(C1088*VLOOKUP(B1088,'Poids des runes'!A:B,2,FALSE)))+1)/VLOOKUP(B1088,'Poids des runes'!A:B,2,FALSE))</f>
        <v>1.9266666666666667</v>
      </c>
      <c r="F1088">
        <f t="shared" si="16"/>
        <v>1.9266666666666667</v>
      </c>
    </row>
    <row r="1089" spans="1:6" x14ac:dyDescent="0.3">
      <c r="A1089" t="s">
        <v>352</v>
      </c>
      <c r="B1089" t="s">
        <v>2128</v>
      </c>
      <c r="C1089">
        <v>23</v>
      </c>
      <c r="D1089">
        <v>44</v>
      </c>
      <c r="E1089">
        <f>IF(OR(B1089="vi",B1089="ii",B1089="pod"),(((D1089/100)*(C1089*VLOOKUP(B1089,'Poids des runes'!A:B,2,FALSE)))+1),(((D1089/100)*(C1089*VLOOKUP(B1089,'Poids des runes'!A:B,2,FALSE)))+1)/VLOOKUP(B1089,'Poids des runes'!A:B,2,FALSE))</f>
        <v>3.0240000000000005</v>
      </c>
      <c r="F1089">
        <f t="shared" si="16"/>
        <v>3.0240000000000005</v>
      </c>
    </row>
    <row r="1090" spans="1:6" x14ac:dyDescent="0.3">
      <c r="A1090" t="s">
        <v>352</v>
      </c>
      <c r="B1090" t="s">
        <v>2126</v>
      </c>
      <c r="C1090">
        <v>23</v>
      </c>
      <c r="D1090">
        <v>44</v>
      </c>
      <c r="E1090">
        <f>IF(OR(B1090="vi",B1090="ii",B1090="pod"),(((D1090/100)*(C1090*VLOOKUP(B1090,'Poids des runes'!A:B,2,FALSE)))+1),(((D1090/100)*(C1090*VLOOKUP(B1090,'Poids des runes'!A:B,2,FALSE)))+1)/VLOOKUP(B1090,'Poids des runes'!A:B,2,FALSE))</f>
        <v>11.12</v>
      </c>
      <c r="F1090">
        <f t="shared" si="16"/>
        <v>11.12</v>
      </c>
    </row>
    <row r="1091" spans="1:6" x14ac:dyDescent="0.3">
      <c r="A1091" t="s">
        <v>352</v>
      </c>
      <c r="B1091" t="s">
        <v>2129</v>
      </c>
      <c r="C1091">
        <v>13</v>
      </c>
      <c r="D1091">
        <v>44</v>
      </c>
      <c r="E1091">
        <f>IF(OR(B1091="vi",B1091="ii",B1091="pod"),(((D1091/100)*(C1091*VLOOKUP(B1091,'Poids des runes'!A:B,2,FALSE)))+1),(((D1091/100)*(C1091*VLOOKUP(B1091,'Poids des runes'!A:B,2,FALSE)))+1)/VLOOKUP(B1091,'Poids des runes'!A:B,2,FALSE))</f>
        <v>6.72</v>
      </c>
      <c r="F1091">
        <f t="shared" ref="F1091:F1154" si="17">E1091</f>
        <v>6.72</v>
      </c>
    </row>
    <row r="1092" spans="1:6" x14ac:dyDescent="0.3">
      <c r="A1092" t="s">
        <v>352</v>
      </c>
      <c r="B1092" t="s">
        <v>2147</v>
      </c>
      <c r="C1092">
        <v>4</v>
      </c>
      <c r="D1092">
        <v>44</v>
      </c>
      <c r="E1092">
        <f>IF(OR(B1092="vi",B1092="ii",B1092="pod"),(((D1092/100)*(C1092*VLOOKUP(B1092,'Poids des runes'!A:B,2,FALSE)))+1),(((D1092/100)*(C1092*VLOOKUP(B1092,'Poids des runes'!A:B,2,FALSE)))+1)/VLOOKUP(B1092,'Poids des runes'!A:B,2,FALSE))</f>
        <v>1.9266666666666667</v>
      </c>
      <c r="F1092">
        <f t="shared" si="17"/>
        <v>1.9266666666666667</v>
      </c>
    </row>
    <row r="1093" spans="1:6" x14ac:dyDescent="0.3">
      <c r="A1093" t="s">
        <v>353</v>
      </c>
      <c r="B1093" t="s">
        <v>2128</v>
      </c>
      <c r="C1093">
        <v>23</v>
      </c>
      <c r="D1093">
        <v>44</v>
      </c>
      <c r="E1093">
        <f>IF(OR(B1093="vi",B1093="ii",B1093="pod"),(((D1093/100)*(C1093*VLOOKUP(B1093,'Poids des runes'!A:B,2,FALSE)))+1),(((D1093/100)*(C1093*VLOOKUP(B1093,'Poids des runes'!A:B,2,FALSE)))+1)/VLOOKUP(B1093,'Poids des runes'!A:B,2,FALSE))</f>
        <v>3.0240000000000005</v>
      </c>
      <c r="F1093">
        <f t="shared" si="17"/>
        <v>3.0240000000000005</v>
      </c>
    </row>
    <row r="1094" spans="1:6" x14ac:dyDescent="0.3">
      <c r="A1094" t="s">
        <v>353</v>
      </c>
      <c r="B1094" t="s">
        <v>2127</v>
      </c>
      <c r="C1094">
        <v>23</v>
      </c>
      <c r="D1094">
        <v>44</v>
      </c>
      <c r="E1094">
        <f>IF(OR(B1094="vi",B1094="ii",B1094="pod"),(((D1094/100)*(C1094*VLOOKUP(B1094,'Poids des runes'!A:B,2,FALSE)))+1),(((D1094/100)*(C1094*VLOOKUP(B1094,'Poids des runes'!A:B,2,FALSE)))+1)/VLOOKUP(B1094,'Poids des runes'!A:B,2,FALSE))</f>
        <v>11.12</v>
      </c>
      <c r="F1094">
        <f t="shared" si="17"/>
        <v>11.12</v>
      </c>
    </row>
    <row r="1095" spans="1:6" x14ac:dyDescent="0.3">
      <c r="A1095" t="s">
        <v>353</v>
      </c>
      <c r="B1095" t="s">
        <v>2129</v>
      </c>
      <c r="C1095">
        <v>13</v>
      </c>
      <c r="D1095">
        <v>44</v>
      </c>
      <c r="E1095">
        <f>IF(OR(B1095="vi",B1095="ii",B1095="pod"),(((D1095/100)*(C1095*VLOOKUP(B1095,'Poids des runes'!A:B,2,FALSE)))+1),(((D1095/100)*(C1095*VLOOKUP(B1095,'Poids des runes'!A:B,2,FALSE)))+1)/VLOOKUP(B1095,'Poids des runes'!A:B,2,FALSE))</f>
        <v>6.72</v>
      </c>
      <c r="F1095">
        <f t="shared" si="17"/>
        <v>6.72</v>
      </c>
    </row>
    <row r="1096" spans="1:6" x14ac:dyDescent="0.3">
      <c r="A1096" t="s">
        <v>353</v>
      </c>
      <c r="B1096" t="s">
        <v>2157</v>
      </c>
      <c r="C1096">
        <v>4</v>
      </c>
      <c r="D1096">
        <v>44</v>
      </c>
      <c r="E1096">
        <f>IF(OR(B1096="vi",B1096="ii",B1096="pod"),(((D1096/100)*(C1096*VLOOKUP(B1096,'Poids des runes'!A:B,2,FALSE)))+1),(((D1096/100)*(C1096*VLOOKUP(B1096,'Poids des runes'!A:B,2,FALSE)))+1)/VLOOKUP(B1096,'Poids des runes'!A:B,2,FALSE))</f>
        <v>1.9266666666666667</v>
      </c>
      <c r="F1096">
        <f t="shared" si="17"/>
        <v>1.9266666666666667</v>
      </c>
    </row>
    <row r="1097" spans="1:6" x14ac:dyDescent="0.3">
      <c r="A1097" t="s">
        <v>354</v>
      </c>
      <c r="B1097" t="s">
        <v>2128</v>
      </c>
      <c r="C1097">
        <v>23</v>
      </c>
      <c r="D1097">
        <v>44</v>
      </c>
      <c r="E1097">
        <f>IF(OR(B1097="vi",B1097="ii",B1097="pod"),(((D1097/100)*(C1097*VLOOKUP(B1097,'Poids des runes'!A:B,2,FALSE)))+1),(((D1097/100)*(C1097*VLOOKUP(B1097,'Poids des runes'!A:B,2,FALSE)))+1)/VLOOKUP(B1097,'Poids des runes'!A:B,2,FALSE))</f>
        <v>3.0240000000000005</v>
      </c>
      <c r="F1097">
        <f t="shared" si="17"/>
        <v>3.0240000000000005</v>
      </c>
    </row>
    <row r="1098" spans="1:6" x14ac:dyDescent="0.3">
      <c r="A1098" t="s">
        <v>354</v>
      </c>
      <c r="B1098" t="s">
        <v>2131</v>
      </c>
      <c r="C1098">
        <v>23</v>
      </c>
      <c r="D1098">
        <v>44</v>
      </c>
      <c r="E1098">
        <f>IF(OR(B1098="vi",B1098="ii",B1098="pod"),(((D1098/100)*(C1098*VLOOKUP(B1098,'Poids des runes'!A:B,2,FALSE)))+1),(((D1098/100)*(C1098*VLOOKUP(B1098,'Poids des runes'!A:B,2,FALSE)))+1)/VLOOKUP(B1098,'Poids des runes'!A:B,2,FALSE))</f>
        <v>11.12</v>
      </c>
      <c r="F1098">
        <f t="shared" si="17"/>
        <v>11.12</v>
      </c>
    </row>
    <row r="1099" spans="1:6" x14ac:dyDescent="0.3">
      <c r="A1099" t="s">
        <v>354</v>
      </c>
      <c r="B1099" t="s">
        <v>2129</v>
      </c>
      <c r="C1099">
        <v>13</v>
      </c>
      <c r="D1099">
        <v>44</v>
      </c>
      <c r="E1099">
        <f>IF(OR(B1099="vi",B1099="ii",B1099="pod"),(((D1099/100)*(C1099*VLOOKUP(B1099,'Poids des runes'!A:B,2,FALSE)))+1),(((D1099/100)*(C1099*VLOOKUP(B1099,'Poids des runes'!A:B,2,FALSE)))+1)/VLOOKUP(B1099,'Poids des runes'!A:B,2,FALSE))</f>
        <v>6.72</v>
      </c>
      <c r="F1099">
        <f t="shared" si="17"/>
        <v>6.72</v>
      </c>
    </row>
    <row r="1100" spans="1:6" x14ac:dyDescent="0.3">
      <c r="A1100" t="s">
        <v>354</v>
      </c>
      <c r="B1100" t="s">
        <v>2135</v>
      </c>
      <c r="C1100">
        <v>4</v>
      </c>
      <c r="D1100">
        <v>44</v>
      </c>
      <c r="E1100">
        <f>IF(OR(B1100="vi",B1100="ii",B1100="pod"),(((D1100/100)*(C1100*VLOOKUP(B1100,'Poids des runes'!A:B,2,FALSE)))+1),(((D1100/100)*(C1100*VLOOKUP(B1100,'Poids des runes'!A:B,2,FALSE)))+1)/VLOOKUP(B1100,'Poids des runes'!A:B,2,FALSE))</f>
        <v>1.9266666666666667</v>
      </c>
      <c r="F1100">
        <f t="shared" si="17"/>
        <v>1.9266666666666667</v>
      </c>
    </row>
    <row r="1101" spans="1:6" x14ac:dyDescent="0.3">
      <c r="A1101" t="s">
        <v>355</v>
      </c>
      <c r="B1101" t="s">
        <v>2128</v>
      </c>
      <c r="C1101">
        <v>50.5</v>
      </c>
      <c r="D1101">
        <v>44</v>
      </c>
      <c r="E1101">
        <f>IF(OR(B1101="vi",B1101="ii",B1101="pod"),(((D1101/100)*(C1101*VLOOKUP(B1101,'Poids des runes'!A:B,2,FALSE)))+1),(((D1101/100)*(C1101*VLOOKUP(B1101,'Poids des runes'!A:B,2,FALSE)))+1)/VLOOKUP(B1101,'Poids des runes'!A:B,2,FALSE))</f>
        <v>5.4440000000000008</v>
      </c>
      <c r="F1101">
        <f t="shared" si="17"/>
        <v>5.4440000000000008</v>
      </c>
    </row>
    <row r="1102" spans="1:6" x14ac:dyDescent="0.3">
      <c r="A1102" t="s">
        <v>355</v>
      </c>
      <c r="B1102" t="s">
        <v>2130</v>
      </c>
      <c r="C1102">
        <v>25.5</v>
      </c>
      <c r="D1102">
        <v>44</v>
      </c>
      <c r="E1102">
        <f>IF(OR(B1102="vi",B1102="ii",B1102="pod"),(((D1102/100)*(C1102*VLOOKUP(B1102,'Poids des runes'!A:B,2,FALSE)))+1),(((D1102/100)*(C1102*VLOOKUP(B1102,'Poids des runes'!A:B,2,FALSE)))+1)/VLOOKUP(B1102,'Poids des runes'!A:B,2,FALSE))</f>
        <v>12.22</v>
      </c>
      <c r="F1102">
        <f t="shared" si="17"/>
        <v>12.22</v>
      </c>
    </row>
    <row r="1103" spans="1:6" x14ac:dyDescent="0.3">
      <c r="A1103" t="s">
        <v>355</v>
      </c>
      <c r="B1103" t="s">
        <v>2138</v>
      </c>
      <c r="C1103">
        <v>3.5</v>
      </c>
      <c r="D1103">
        <v>44</v>
      </c>
      <c r="E1103">
        <f>IF(OR(B1103="vi",B1103="ii",B1103="pod"),(((D1103/100)*(C1103*VLOOKUP(B1103,'Poids des runes'!A:B,2,FALSE)))+1),(((D1103/100)*(C1103*VLOOKUP(B1103,'Poids des runes'!A:B,2,FALSE)))+1)/VLOOKUP(B1103,'Poids des runes'!A:B,2,FALSE))</f>
        <v>1.79</v>
      </c>
      <c r="F1103">
        <f t="shared" si="17"/>
        <v>1.79</v>
      </c>
    </row>
    <row r="1104" spans="1:6" x14ac:dyDescent="0.3">
      <c r="A1104" t="s">
        <v>355</v>
      </c>
      <c r="B1104" t="s">
        <v>2163</v>
      </c>
      <c r="C1104">
        <v>4.5</v>
      </c>
      <c r="D1104">
        <v>44</v>
      </c>
      <c r="E1104">
        <f>IF(OR(B1104="vi",B1104="ii",B1104="pod"),(((D1104/100)*(C1104*VLOOKUP(B1104,'Poids des runes'!A:B,2,FALSE)))+1),(((D1104/100)*(C1104*VLOOKUP(B1104,'Poids des runes'!A:B,2,FALSE)))+1)/VLOOKUP(B1104,'Poids des runes'!A:B,2,FALSE))</f>
        <v>2.48</v>
      </c>
      <c r="F1104">
        <f t="shared" si="17"/>
        <v>2.48</v>
      </c>
    </row>
    <row r="1105" spans="1:6" x14ac:dyDescent="0.3">
      <c r="A1105" t="s">
        <v>355</v>
      </c>
      <c r="B1105" t="s">
        <v>2164</v>
      </c>
      <c r="C1105">
        <v>4.5</v>
      </c>
      <c r="D1105">
        <v>44</v>
      </c>
      <c r="E1105">
        <f>IF(OR(B1105="vi",B1105="ii",B1105="pod"),(((D1105/100)*(C1105*VLOOKUP(B1105,'Poids des runes'!A:B,2,FALSE)))+1),(((D1105/100)*(C1105*VLOOKUP(B1105,'Poids des runes'!A:B,2,FALSE)))+1)/VLOOKUP(B1105,'Poids des runes'!A:B,2,FALSE))</f>
        <v>2.48</v>
      </c>
      <c r="F1105">
        <f t="shared" si="17"/>
        <v>2.48</v>
      </c>
    </row>
    <row r="1106" spans="1:6" x14ac:dyDescent="0.3">
      <c r="A1106" t="s">
        <v>356</v>
      </c>
      <c r="B1106" t="s">
        <v>2128</v>
      </c>
      <c r="C1106">
        <v>25.5</v>
      </c>
      <c r="D1106">
        <v>44</v>
      </c>
      <c r="E1106">
        <f>IF(OR(B1106="vi",B1106="ii",B1106="pod"),(((D1106/100)*(C1106*VLOOKUP(B1106,'Poids des runes'!A:B,2,FALSE)))+1),(((D1106/100)*(C1106*VLOOKUP(B1106,'Poids des runes'!A:B,2,FALSE)))+1)/VLOOKUP(B1106,'Poids des runes'!A:B,2,FALSE))</f>
        <v>3.2440000000000002</v>
      </c>
      <c r="F1106">
        <f t="shared" si="17"/>
        <v>3.2440000000000002</v>
      </c>
    </row>
    <row r="1107" spans="1:6" x14ac:dyDescent="0.3">
      <c r="A1107" t="s">
        <v>356</v>
      </c>
      <c r="B1107" t="s">
        <v>2126</v>
      </c>
      <c r="C1107">
        <v>18</v>
      </c>
      <c r="D1107">
        <v>44</v>
      </c>
      <c r="E1107">
        <f>IF(OR(B1107="vi",B1107="ii",B1107="pod"),(((D1107/100)*(C1107*VLOOKUP(B1107,'Poids des runes'!A:B,2,FALSE)))+1),(((D1107/100)*(C1107*VLOOKUP(B1107,'Poids des runes'!A:B,2,FALSE)))+1)/VLOOKUP(B1107,'Poids des runes'!A:B,2,FALSE))</f>
        <v>8.92</v>
      </c>
      <c r="F1107">
        <f t="shared" si="17"/>
        <v>8.92</v>
      </c>
    </row>
    <row r="1108" spans="1:6" x14ac:dyDescent="0.3">
      <c r="A1108" t="s">
        <v>356</v>
      </c>
      <c r="B1108" t="s">
        <v>2131</v>
      </c>
      <c r="C1108">
        <v>18</v>
      </c>
      <c r="D1108">
        <v>44</v>
      </c>
      <c r="E1108">
        <f>IF(OR(B1108="vi",B1108="ii",B1108="pod"),(((D1108/100)*(C1108*VLOOKUP(B1108,'Poids des runes'!A:B,2,FALSE)))+1),(((D1108/100)*(C1108*VLOOKUP(B1108,'Poids des runes'!A:B,2,FALSE)))+1)/VLOOKUP(B1108,'Poids des runes'!A:B,2,FALSE))</f>
        <v>8.92</v>
      </c>
      <c r="F1108">
        <f t="shared" si="17"/>
        <v>8.92</v>
      </c>
    </row>
    <row r="1109" spans="1:6" x14ac:dyDescent="0.3">
      <c r="A1109" t="s">
        <v>356</v>
      </c>
      <c r="B1109" t="s">
        <v>2161</v>
      </c>
      <c r="C1109">
        <v>8.5</v>
      </c>
      <c r="D1109">
        <v>44</v>
      </c>
      <c r="E1109">
        <f>IF(OR(B1109="vi",B1109="ii",B1109="pod"),(((D1109/100)*(C1109*VLOOKUP(B1109,'Poids des runes'!A:B,2,FALSE)))+1),(((D1109/100)*(C1109*VLOOKUP(B1109,'Poids des runes'!A:B,2,FALSE)))+1)/VLOOKUP(B1109,'Poids des runes'!A:B,2,FALSE))</f>
        <v>4.0733333333333333</v>
      </c>
      <c r="F1109">
        <f t="shared" si="17"/>
        <v>4.0733333333333333</v>
      </c>
    </row>
    <row r="1110" spans="1:6" x14ac:dyDescent="0.3">
      <c r="A1110" t="s">
        <v>356</v>
      </c>
      <c r="B1110" t="s">
        <v>2132</v>
      </c>
      <c r="C1110">
        <v>175.5</v>
      </c>
      <c r="D1110">
        <v>44</v>
      </c>
      <c r="E1110">
        <f>IF(OR(B1110="vi",B1110="ii",B1110="pod"),(((D1110/100)*(C1110*VLOOKUP(B1110,'Poids des runes'!A:B,2,FALSE)))+1),(((D1110/100)*(C1110*VLOOKUP(B1110,'Poids des runes'!A:B,2,FALSE)))+1)/VLOOKUP(B1110,'Poids des runes'!A:B,2,FALSE))</f>
        <v>8.7220000000000013</v>
      </c>
      <c r="F1110">
        <f t="shared" si="17"/>
        <v>8.7220000000000013</v>
      </c>
    </row>
    <row r="1111" spans="1:6" x14ac:dyDescent="0.3">
      <c r="A1111" t="s">
        <v>357</v>
      </c>
      <c r="B1111" t="s">
        <v>2128</v>
      </c>
      <c r="C1111">
        <v>25.5</v>
      </c>
      <c r="D1111">
        <v>44</v>
      </c>
      <c r="E1111">
        <f>IF(OR(B1111="vi",B1111="ii",B1111="pod"),(((D1111/100)*(C1111*VLOOKUP(B1111,'Poids des runes'!A:B,2,FALSE)))+1),(((D1111/100)*(C1111*VLOOKUP(B1111,'Poids des runes'!A:B,2,FALSE)))+1)/VLOOKUP(B1111,'Poids des runes'!A:B,2,FALSE))</f>
        <v>3.2440000000000002</v>
      </c>
      <c r="F1111">
        <f t="shared" si="17"/>
        <v>3.2440000000000002</v>
      </c>
    </row>
    <row r="1112" spans="1:6" x14ac:dyDescent="0.3">
      <c r="A1112" t="s">
        <v>357</v>
      </c>
      <c r="B1112" t="s">
        <v>2127</v>
      </c>
      <c r="C1112">
        <v>20.5</v>
      </c>
      <c r="D1112">
        <v>44</v>
      </c>
      <c r="E1112">
        <f>IF(OR(B1112="vi",B1112="ii",B1112="pod"),(((D1112/100)*(C1112*VLOOKUP(B1112,'Poids des runes'!A:B,2,FALSE)))+1),(((D1112/100)*(C1112*VLOOKUP(B1112,'Poids des runes'!A:B,2,FALSE)))+1)/VLOOKUP(B1112,'Poids des runes'!A:B,2,FALSE))</f>
        <v>10.02</v>
      </c>
      <c r="F1112">
        <f t="shared" si="17"/>
        <v>10.02</v>
      </c>
    </row>
    <row r="1113" spans="1:6" x14ac:dyDescent="0.3">
      <c r="A1113" t="s">
        <v>357</v>
      </c>
      <c r="B1113" t="s">
        <v>2129</v>
      </c>
      <c r="C1113">
        <v>8.5</v>
      </c>
      <c r="D1113">
        <v>44</v>
      </c>
      <c r="E1113">
        <f>IF(OR(B1113="vi",B1113="ii",B1113="pod"),(((D1113/100)*(C1113*VLOOKUP(B1113,'Poids des runes'!A:B,2,FALSE)))+1),(((D1113/100)*(C1113*VLOOKUP(B1113,'Poids des runes'!A:B,2,FALSE)))+1)/VLOOKUP(B1113,'Poids des runes'!A:B,2,FALSE))</f>
        <v>4.74</v>
      </c>
      <c r="F1113">
        <f t="shared" si="17"/>
        <v>4.74</v>
      </c>
    </row>
    <row r="1114" spans="1:6" x14ac:dyDescent="0.3">
      <c r="A1114" t="s">
        <v>357</v>
      </c>
      <c r="B1114" t="s">
        <v>2141</v>
      </c>
      <c r="C1114">
        <v>2.5</v>
      </c>
      <c r="D1114">
        <v>44</v>
      </c>
      <c r="E1114">
        <f>IF(OR(B1114="vi",B1114="ii",B1114="pod"),(((D1114/100)*(C1114*VLOOKUP(B1114,'Poids des runes'!A:B,2,FALSE)))+1),(((D1114/100)*(C1114*VLOOKUP(B1114,'Poids des runes'!A:B,2,FALSE)))+1)/VLOOKUP(B1114,'Poids des runes'!A:B,2,FALSE))</f>
        <v>1.35</v>
      </c>
      <c r="F1114">
        <f t="shared" si="17"/>
        <v>1.35</v>
      </c>
    </row>
    <row r="1115" spans="1:6" x14ac:dyDescent="0.3">
      <c r="A1115" t="s">
        <v>358</v>
      </c>
      <c r="B1115" t="s">
        <v>2128</v>
      </c>
      <c r="C1115">
        <v>25.5</v>
      </c>
      <c r="D1115">
        <v>44</v>
      </c>
      <c r="E1115">
        <f>IF(OR(B1115="vi",B1115="ii",B1115="pod"),(((D1115/100)*(C1115*VLOOKUP(B1115,'Poids des runes'!A:B,2,FALSE)))+1),(((D1115/100)*(C1115*VLOOKUP(B1115,'Poids des runes'!A:B,2,FALSE)))+1)/VLOOKUP(B1115,'Poids des runes'!A:B,2,FALSE))</f>
        <v>3.2440000000000002</v>
      </c>
      <c r="F1115">
        <f t="shared" si="17"/>
        <v>3.2440000000000002</v>
      </c>
    </row>
    <row r="1116" spans="1:6" x14ac:dyDescent="0.3">
      <c r="A1116" t="s">
        <v>358</v>
      </c>
      <c r="B1116" t="s">
        <v>2133</v>
      </c>
      <c r="C1116">
        <v>5</v>
      </c>
      <c r="D1116">
        <v>44</v>
      </c>
      <c r="E1116">
        <f>IF(OR(B1116="vi",B1116="ii",B1116="pod"),(((D1116/100)*(C1116*VLOOKUP(B1116,'Poids des runes'!A:B,2,FALSE)))+1),(((D1116/100)*(C1116*VLOOKUP(B1116,'Poids des runes'!A:B,2,FALSE)))+1)/VLOOKUP(B1116,'Poids des runes'!A:B,2,FALSE))</f>
        <v>2.4</v>
      </c>
      <c r="F1116">
        <f t="shared" si="17"/>
        <v>2.4</v>
      </c>
    </row>
    <row r="1117" spans="1:6" x14ac:dyDescent="0.3">
      <c r="A1117" t="s">
        <v>358</v>
      </c>
      <c r="B1117" t="s">
        <v>2138</v>
      </c>
      <c r="C1117">
        <v>2.5</v>
      </c>
      <c r="D1117">
        <v>44</v>
      </c>
      <c r="E1117">
        <f>IF(OR(B1117="vi",B1117="ii",B1117="pod"),(((D1117/100)*(C1117*VLOOKUP(B1117,'Poids des runes'!A:B,2,FALSE)))+1),(((D1117/100)*(C1117*VLOOKUP(B1117,'Poids des runes'!A:B,2,FALSE)))+1)/VLOOKUP(B1117,'Poids des runes'!A:B,2,FALSE))</f>
        <v>1.35</v>
      </c>
      <c r="F1117">
        <f t="shared" si="17"/>
        <v>1.35</v>
      </c>
    </row>
    <row r="1118" spans="1:6" x14ac:dyDescent="0.3">
      <c r="A1118" t="s">
        <v>358</v>
      </c>
      <c r="B1118" t="s">
        <v>2160</v>
      </c>
      <c r="C1118">
        <v>5</v>
      </c>
      <c r="D1118">
        <v>44</v>
      </c>
      <c r="E1118">
        <f>IF(OR(B1118="vi",B1118="ii",B1118="pod"),(((D1118/100)*(C1118*VLOOKUP(B1118,'Poids des runes'!A:B,2,FALSE)))+1),(((D1118/100)*(C1118*VLOOKUP(B1118,'Poids des runes'!A:B,2,FALSE)))+1)/VLOOKUP(B1118,'Poids des runes'!A:B,2,FALSE))</f>
        <v>2.3428571428571425</v>
      </c>
      <c r="F1118">
        <f t="shared" si="17"/>
        <v>2.3428571428571425</v>
      </c>
    </row>
    <row r="1119" spans="1:6" x14ac:dyDescent="0.3">
      <c r="A1119" t="s">
        <v>359</v>
      </c>
      <c r="B1119" t="s">
        <v>2128</v>
      </c>
      <c r="C1119">
        <v>35.5</v>
      </c>
      <c r="D1119">
        <v>44</v>
      </c>
      <c r="E1119">
        <f>IF(OR(B1119="vi",B1119="ii",B1119="pod"),(((D1119/100)*(C1119*VLOOKUP(B1119,'Poids des runes'!A:B,2,FALSE)))+1),(((D1119/100)*(C1119*VLOOKUP(B1119,'Poids des runes'!A:B,2,FALSE)))+1)/VLOOKUP(B1119,'Poids des runes'!A:B,2,FALSE))</f>
        <v>4.1240000000000006</v>
      </c>
      <c r="F1119">
        <f t="shared" si="17"/>
        <v>4.1240000000000006</v>
      </c>
    </row>
    <row r="1120" spans="1:6" x14ac:dyDescent="0.3">
      <c r="A1120" t="s">
        <v>359</v>
      </c>
      <c r="B1120" t="s">
        <v>2129</v>
      </c>
      <c r="C1120">
        <v>18</v>
      </c>
      <c r="D1120">
        <v>44</v>
      </c>
      <c r="E1120">
        <f>IF(OR(B1120="vi",B1120="ii",B1120="pod"),(((D1120/100)*(C1120*VLOOKUP(B1120,'Poids des runes'!A:B,2,FALSE)))+1),(((D1120/100)*(C1120*VLOOKUP(B1120,'Poids des runes'!A:B,2,FALSE)))+1)/VLOOKUP(B1120,'Poids des runes'!A:B,2,FALSE))</f>
        <v>8.92</v>
      </c>
      <c r="F1120">
        <f t="shared" si="17"/>
        <v>8.92</v>
      </c>
    </row>
    <row r="1121" spans="1:6" x14ac:dyDescent="0.3">
      <c r="A1121" t="s">
        <v>359</v>
      </c>
      <c r="B1121" t="s">
        <v>2140</v>
      </c>
      <c r="C1121">
        <v>2.5</v>
      </c>
      <c r="D1121">
        <v>44</v>
      </c>
      <c r="E1121">
        <f>IF(OR(B1121="vi",B1121="ii",B1121="pod"),(((D1121/100)*(C1121*VLOOKUP(B1121,'Poids des runes'!A:B,2,FALSE)))+1),(((D1121/100)*(C1121*VLOOKUP(B1121,'Poids des runes'!A:B,2,FALSE)))+1)/VLOOKUP(B1121,'Poids des runes'!A:B,2,FALSE))</f>
        <v>1.3</v>
      </c>
      <c r="F1121">
        <f t="shared" si="17"/>
        <v>1.3</v>
      </c>
    </row>
    <row r="1122" spans="1:6" x14ac:dyDescent="0.3">
      <c r="A1122" t="s">
        <v>359</v>
      </c>
      <c r="B1122" t="s">
        <v>2133</v>
      </c>
      <c r="C1122">
        <v>2.5</v>
      </c>
      <c r="D1122">
        <v>44</v>
      </c>
      <c r="E1122">
        <f>IF(OR(B1122="vi",B1122="ii",B1122="pod"),(((D1122/100)*(C1122*VLOOKUP(B1122,'Poids des runes'!A:B,2,FALSE)))+1),(((D1122/100)*(C1122*VLOOKUP(B1122,'Poids des runes'!A:B,2,FALSE)))+1)/VLOOKUP(B1122,'Poids des runes'!A:B,2,FALSE))</f>
        <v>1.3</v>
      </c>
      <c r="F1122">
        <f t="shared" si="17"/>
        <v>1.3</v>
      </c>
    </row>
    <row r="1123" spans="1:6" x14ac:dyDescent="0.3">
      <c r="A1123" t="s">
        <v>359</v>
      </c>
      <c r="B1123" t="s">
        <v>2136</v>
      </c>
      <c r="C1123">
        <v>2.5</v>
      </c>
      <c r="D1123">
        <v>44</v>
      </c>
      <c r="E1123">
        <f>IF(OR(B1123="vi",B1123="ii",B1123="pod"),(((D1123/100)*(C1123*VLOOKUP(B1123,'Poids des runes'!A:B,2,FALSE)))+1),(((D1123/100)*(C1123*VLOOKUP(B1123,'Poids des runes'!A:B,2,FALSE)))+1)/VLOOKUP(B1123,'Poids des runes'!A:B,2,FALSE))</f>
        <v>1.6</v>
      </c>
      <c r="F1123">
        <f t="shared" si="17"/>
        <v>1.6</v>
      </c>
    </row>
    <row r="1124" spans="1:6" x14ac:dyDescent="0.3">
      <c r="A1124" t="s">
        <v>359</v>
      </c>
      <c r="B1124" t="s">
        <v>2137</v>
      </c>
      <c r="C1124">
        <v>2.5</v>
      </c>
      <c r="D1124">
        <v>44</v>
      </c>
      <c r="E1124">
        <f>IF(OR(B1124="vi",B1124="ii",B1124="pod"),(((D1124/100)*(C1124*VLOOKUP(B1124,'Poids des runes'!A:B,2,FALSE)))+1),(((D1124/100)*(C1124*VLOOKUP(B1124,'Poids des runes'!A:B,2,FALSE)))+1)/VLOOKUP(B1124,'Poids des runes'!A:B,2,FALSE))</f>
        <v>1.6</v>
      </c>
      <c r="F1124">
        <f t="shared" si="17"/>
        <v>1.6</v>
      </c>
    </row>
    <row r="1125" spans="1:6" x14ac:dyDescent="0.3">
      <c r="A1125" t="s">
        <v>360</v>
      </c>
      <c r="B1125" t="s">
        <v>2131</v>
      </c>
      <c r="C1125">
        <v>25.5</v>
      </c>
      <c r="D1125">
        <v>45</v>
      </c>
      <c r="E1125">
        <f>IF(OR(B1125="vi",B1125="ii",B1125="pod"),(((D1125/100)*(C1125*VLOOKUP(B1125,'Poids des runes'!A:B,2,FALSE)))+1),(((D1125/100)*(C1125*VLOOKUP(B1125,'Poids des runes'!A:B,2,FALSE)))+1)/VLOOKUP(B1125,'Poids des runes'!A:B,2,FALSE))</f>
        <v>12.475</v>
      </c>
      <c r="F1125">
        <f t="shared" si="17"/>
        <v>12.475</v>
      </c>
    </row>
    <row r="1126" spans="1:6" x14ac:dyDescent="0.3">
      <c r="A1126" t="s">
        <v>360</v>
      </c>
      <c r="B1126" t="s">
        <v>2129</v>
      </c>
      <c r="C1126">
        <v>8.5</v>
      </c>
      <c r="D1126">
        <v>45</v>
      </c>
      <c r="E1126">
        <f>IF(OR(B1126="vi",B1126="ii",B1126="pod"),(((D1126/100)*(C1126*VLOOKUP(B1126,'Poids des runes'!A:B,2,FALSE)))+1),(((D1126/100)*(C1126*VLOOKUP(B1126,'Poids des runes'!A:B,2,FALSE)))+1)/VLOOKUP(B1126,'Poids des runes'!A:B,2,FALSE))</f>
        <v>4.8250000000000002</v>
      </c>
      <c r="F1126">
        <f t="shared" si="17"/>
        <v>4.8250000000000002</v>
      </c>
    </row>
    <row r="1127" spans="1:6" x14ac:dyDescent="0.3">
      <c r="A1127" t="s">
        <v>360</v>
      </c>
      <c r="B1127" t="s">
        <v>2150</v>
      </c>
      <c r="C1127">
        <v>2</v>
      </c>
      <c r="D1127">
        <v>45</v>
      </c>
      <c r="E1127">
        <f>IF(OR(B1127="vi",B1127="ii",B1127="pod"),(((D1127/100)*(C1127*VLOOKUP(B1127,'Poids des runes'!A:B,2,FALSE)))+1),(((D1127/100)*(C1127*VLOOKUP(B1127,'Poids des runes'!A:B,2,FALSE)))+1)/VLOOKUP(B1127,'Poids des runes'!A:B,2,FALSE))</f>
        <v>0.93333333333333335</v>
      </c>
      <c r="F1127">
        <f t="shared" si="17"/>
        <v>0.93333333333333335</v>
      </c>
    </row>
    <row r="1128" spans="1:6" x14ac:dyDescent="0.3">
      <c r="A1128" t="s">
        <v>361</v>
      </c>
      <c r="B1128" t="s">
        <v>2129</v>
      </c>
      <c r="C1128">
        <v>13</v>
      </c>
      <c r="D1128">
        <v>45</v>
      </c>
      <c r="E1128">
        <f>IF(OR(B1128="vi",B1128="ii",B1128="pod"),(((D1128/100)*(C1128*VLOOKUP(B1128,'Poids des runes'!A:B,2,FALSE)))+1),(((D1128/100)*(C1128*VLOOKUP(B1128,'Poids des runes'!A:B,2,FALSE)))+1)/VLOOKUP(B1128,'Poids des runes'!A:B,2,FALSE))</f>
        <v>6.8500000000000005</v>
      </c>
      <c r="F1128">
        <f t="shared" si="17"/>
        <v>6.8500000000000005</v>
      </c>
    </row>
    <row r="1129" spans="1:6" x14ac:dyDescent="0.3">
      <c r="A1129" t="s">
        <v>361</v>
      </c>
      <c r="B1129" t="s">
        <v>2150</v>
      </c>
      <c r="C1129">
        <v>1</v>
      </c>
      <c r="D1129">
        <v>45</v>
      </c>
      <c r="E1129">
        <f>IF(OR(B1129="vi",B1129="ii",B1129="pod"),(((D1129/100)*(C1129*VLOOKUP(B1129,'Poids des runes'!A:B,2,FALSE)))+1),(((D1129/100)*(C1129*VLOOKUP(B1129,'Poids des runes'!A:B,2,FALSE)))+1)/VLOOKUP(B1129,'Poids des runes'!A:B,2,FALSE))</f>
        <v>0.48333333333333334</v>
      </c>
      <c r="F1129">
        <f t="shared" si="17"/>
        <v>0.48333333333333334</v>
      </c>
    </row>
    <row r="1130" spans="1:6" x14ac:dyDescent="0.3">
      <c r="A1130" t="s">
        <v>361</v>
      </c>
      <c r="B1130" t="s">
        <v>2157</v>
      </c>
      <c r="C1130">
        <v>8</v>
      </c>
      <c r="D1130">
        <v>45</v>
      </c>
      <c r="E1130">
        <f>IF(OR(B1130="vi",B1130="ii",B1130="pod"),(((D1130/100)*(C1130*VLOOKUP(B1130,'Poids des runes'!A:B,2,FALSE)))+1),(((D1130/100)*(C1130*VLOOKUP(B1130,'Poids des runes'!A:B,2,FALSE)))+1)/VLOOKUP(B1130,'Poids des runes'!A:B,2,FALSE))</f>
        <v>3.7666666666666671</v>
      </c>
      <c r="F1130">
        <f t="shared" si="17"/>
        <v>3.7666666666666671</v>
      </c>
    </row>
    <row r="1131" spans="1:6" x14ac:dyDescent="0.3">
      <c r="A1131" t="s">
        <v>362</v>
      </c>
      <c r="B1131" t="s">
        <v>2128</v>
      </c>
      <c r="C1131">
        <v>50.5</v>
      </c>
      <c r="D1131">
        <v>45</v>
      </c>
      <c r="E1131">
        <f>IF(OR(B1131="vi",B1131="ii",B1131="pod"),(((D1131/100)*(C1131*VLOOKUP(B1131,'Poids des runes'!A:B,2,FALSE)))+1),(((D1131/100)*(C1131*VLOOKUP(B1131,'Poids des runes'!A:B,2,FALSE)))+1)/VLOOKUP(B1131,'Poids des runes'!A:B,2,FALSE))</f>
        <v>5.5450000000000008</v>
      </c>
      <c r="F1131">
        <f t="shared" si="17"/>
        <v>5.5450000000000008</v>
      </c>
    </row>
    <row r="1132" spans="1:6" x14ac:dyDescent="0.3">
      <c r="A1132" t="s">
        <v>362</v>
      </c>
      <c r="B1132" t="s">
        <v>2126</v>
      </c>
      <c r="C1132">
        <v>35.5</v>
      </c>
      <c r="D1132">
        <v>45</v>
      </c>
      <c r="E1132">
        <f>IF(OR(B1132="vi",B1132="ii",B1132="pod"),(((D1132/100)*(C1132*VLOOKUP(B1132,'Poids des runes'!A:B,2,FALSE)))+1),(((D1132/100)*(C1132*VLOOKUP(B1132,'Poids des runes'!A:B,2,FALSE)))+1)/VLOOKUP(B1132,'Poids des runes'!A:B,2,FALSE))</f>
        <v>16.975000000000001</v>
      </c>
      <c r="F1132">
        <f t="shared" si="17"/>
        <v>16.975000000000001</v>
      </c>
    </row>
    <row r="1133" spans="1:6" x14ac:dyDescent="0.3">
      <c r="A1133" t="s">
        <v>362</v>
      </c>
      <c r="B1133" t="s">
        <v>2131</v>
      </c>
      <c r="C1133">
        <v>35.5</v>
      </c>
      <c r="D1133">
        <v>45</v>
      </c>
      <c r="E1133">
        <f>IF(OR(B1133="vi",B1133="ii",B1133="pod"),(((D1133/100)*(C1133*VLOOKUP(B1133,'Poids des runes'!A:B,2,FALSE)))+1),(((D1133/100)*(C1133*VLOOKUP(B1133,'Poids des runes'!A:B,2,FALSE)))+1)/VLOOKUP(B1133,'Poids des runes'!A:B,2,FALSE))</f>
        <v>16.975000000000001</v>
      </c>
      <c r="F1133">
        <f t="shared" si="17"/>
        <v>16.975000000000001</v>
      </c>
    </row>
    <row r="1134" spans="1:6" x14ac:dyDescent="0.3">
      <c r="A1134" t="s">
        <v>362</v>
      </c>
      <c r="B1134" t="s">
        <v>2155</v>
      </c>
      <c r="C1134">
        <v>1</v>
      </c>
      <c r="D1134">
        <v>45</v>
      </c>
      <c r="E1134">
        <f>IF(OR(B1134="vi",B1134="ii",B1134="pod"),(((D1134/100)*(C1134*VLOOKUP(B1134,'Poids des runes'!A:B,2,FALSE)))+1),(((D1134/100)*(C1134*VLOOKUP(B1134,'Poids des runes'!A:B,2,FALSE)))+1)/VLOOKUP(B1134,'Poids des runes'!A:B,2,FALSE))</f>
        <v>0.4696078431372549</v>
      </c>
      <c r="F1134">
        <f t="shared" si="17"/>
        <v>0.4696078431372549</v>
      </c>
    </row>
    <row r="1135" spans="1:6" x14ac:dyDescent="0.3">
      <c r="A1135" t="s">
        <v>362</v>
      </c>
      <c r="B1135" t="s">
        <v>2161</v>
      </c>
      <c r="C1135">
        <v>8.5</v>
      </c>
      <c r="D1135">
        <v>45</v>
      </c>
      <c r="E1135">
        <f>IF(OR(B1135="vi",B1135="ii",B1135="pod"),(((D1135/100)*(C1135*VLOOKUP(B1135,'Poids des runes'!A:B,2,FALSE)))+1),(((D1135/100)*(C1135*VLOOKUP(B1135,'Poids des runes'!A:B,2,FALSE)))+1)/VLOOKUP(B1135,'Poids des runes'!A:B,2,FALSE))</f>
        <v>4.1583333333333332</v>
      </c>
      <c r="F1135">
        <f t="shared" si="17"/>
        <v>4.1583333333333332</v>
      </c>
    </row>
    <row r="1136" spans="1:6" x14ac:dyDescent="0.3">
      <c r="A1136" t="s">
        <v>362</v>
      </c>
      <c r="B1136" t="s">
        <v>2159</v>
      </c>
      <c r="C1136">
        <v>4.5</v>
      </c>
      <c r="D1136">
        <v>45</v>
      </c>
      <c r="E1136">
        <f>IF(OR(B1136="vi",B1136="ii",B1136="pod"),(((D1136/100)*(C1136*VLOOKUP(B1136,'Poids des runes'!A:B,2,FALSE)))+1),(((D1136/100)*(C1136*VLOOKUP(B1136,'Poids des runes'!A:B,2,FALSE)))+1)/VLOOKUP(B1136,'Poids des runes'!A:B,2,FALSE))</f>
        <v>2.1678571428571431</v>
      </c>
      <c r="F1136">
        <f t="shared" si="17"/>
        <v>2.1678571428571431</v>
      </c>
    </row>
    <row r="1137" spans="1:6" x14ac:dyDescent="0.3">
      <c r="A1137" t="s">
        <v>362</v>
      </c>
      <c r="B1137" t="s">
        <v>2160</v>
      </c>
      <c r="C1137">
        <v>4.5</v>
      </c>
      <c r="D1137">
        <v>45</v>
      </c>
      <c r="E1137">
        <f>IF(OR(B1137="vi",B1137="ii",B1137="pod"),(((D1137/100)*(C1137*VLOOKUP(B1137,'Poids des runes'!A:B,2,FALSE)))+1),(((D1137/100)*(C1137*VLOOKUP(B1137,'Poids des runes'!A:B,2,FALSE)))+1)/VLOOKUP(B1137,'Poids des runes'!A:B,2,FALSE))</f>
        <v>2.1678571428571431</v>
      </c>
      <c r="F1137">
        <f t="shared" si="17"/>
        <v>2.1678571428571431</v>
      </c>
    </row>
    <row r="1138" spans="1:6" x14ac:dyDescent="0.3">
      <c r="A1138" t="s">
        <v>363</v>
      </c>
      <c r="B1138" t="s">
        <v>2128</v>
      </c>
      <c r="C1138">
        <v>110.5</v>
      </c>
      <c r="D1138">
        <v>45</v>
      </c>
      <c r="E1138">
        <f>IF(OR(B1138="vi",B1138="ii",B1138="pod"),(((D1138/100)*(C1138*VLOOKUP(B1138,'Poids des runes'!A:B,2,FALSE)))+1),(((D1138/100)*(C1138*VLOOKUP(B1138,'Poids des runes'!A:B,2,FALSE)))+1)/VLOOKUP(B1138,'Poids des runes'!A:B,2,FALSE))</f>
        <v>10.945</v>
      </c>
      <c r="F1138">
        <f t="shared" si="17"/>
        <v>10.945</v>
      </c>
    </row>
    <row r="1139" spans="1:6" x14ac:dyDescent="0.3">
      <c r="A1139" t="s">
        <v>363</v>
      </c>
      <c r="B1139" t="s">
        <v>2139</v>
      </c>
      <c r="C1139">
        <v>15.5</v>
      </c>
      <c r="D1139">
        <v>45</v>
      </c>
      <c r="E1139">
        <f>IF(OR(B1139="vi",B1139="ii",B1139="pod"),(((D1139/100)*(C1139*VLOOKUP(B1139,'Poids des runes'!A:B,2,FALSE)))+1),(((D1139/100)*(C1139*VLOOKUP(B1139,'Poids des runes'!A:B,2,FALSE)))+1)/VLOOKUP(B1139,'Poids des runes'!A:B,2,FALSE))</f>
        <v>7.4750000000000005</v>
      </c>
      <c r="F1139">
        <f t="shared" si="17"/>
        <v>7.4750000000000005</v>
      </c>
    </row>
    <row r="1140" spans="1:6" x14ac:dyDescent="0.3">
      <c r="A1140" t="s">
        <v>363</v>
      </c>
      <c r="B1140" t="s">
        <v>2132</v>
      </c>
      <c r="C1140">
        <v>175.5</v>
      </c>
      <c r="D1140">
        <v>45</v>
      </c>
      <c r="E1140">
        <f>IF(OR(B1140="vi",B1140="ii",B1140="pod"),(((D1140/100)*(C1140*VLOOKUP(B1140,'Poids des runes'!A:B,2,FALSE)))+1),(((D1140/100)*(C1140*VLOOKUP(B1140,'Poids des runes'!A:B,2,FALSE)))+1)/VLOOKUP(B1140,'Poids des runes'!A:B,2,FALSE))</f>
        <v>8.8975000000000009</v>
      </c>
      <c r="F1140">
        <f t="shared" si="17"/>
        <v>8.8975000000000009</v>
      </c>
    </row>
    <row r="1141" spans="1:6" x14ac:dyDescent="0.3">
      <c r="A1141" t="s">
        <v>363</v>
      </c>
      <c r="B1141" t="s">
        <v>2162</v>
      </c>
      <c r="C1141">
        <v>2.5</v>
      </c>
      <c r="D1141">
        <v>45</v>
      </c>
      <c r="E1141">
        <f>IF(OR(B1141="vi",B1141="ii",B1141="pod"),(((D1141/100)*(C1141*VLOOKUP(B1141,'Poids des runes'!A:B,2,FALSE)))+1),(((D1141/100)*(C1141*VLOOKUP(B1141,'Poids des runes'!A:B,2,FALSE)))+1)/VLOOKUP(B1141,'Poids des runes'!A:B,2,FALSE))</f>
        <v>1.2678571428571428</v>
      </c>
      <c r="F1141">
        <f t="shared" si="17"/>
        <v>1.2678571428571428</v>
      </c>
    </row>
    <row r="1142" spans="1:6" x14ac:dyDescent="0.3">
      <c r="A1142" t="s">
        <v>364</v>
      </c>
      <c r="B1142" t="s">
        <v>2128</v>
      </c>
      <c r="C1142">
        <v>40.5</v>
      </c>
      <c r="D1142">
        <v>45</v>
      </c>
      <c r="E1142">
        <f>IF(OR(B1142="vi",B1142="ii",B1142="pod"),(((D1142/100)*(C1142*VLOOKUP(B1142,'Poids des runes'!A:B,2,FALSE)))+1),(((D1142/100)*(C1142*VLOOKUP(B1142,'Poids des runes'!A:B,2,FALSE)))+1)/VLOOKUP(B1142,'Poids des runes'!A:B,2,FALSE))</f>
        <v>4.6449999999999996</v>
      </c>
      <c r="F1142">
        <f t="shared" si="17"/>
        <v>4.6449999999999996</v>
      </c>
    </row>
    <row r="1143" spans="1:6" x14ac:dyDescent="0.3">
      <c r="A1143" t="s">
        <v>364</v>
      </c>
      <c r="B1143" t="s">
        <v>2130</v>
      </c>
      <c r="C1143">
        <v>23</v>
      </c>
      <c r="D1143">
        <v>45</v>
      </c>
      <c r="E1143">
        <f>IF(OR(B1143="vi",B1143="ii",B1143="pod"),(((D1143/100)*(C1143*VLOOKUP(B1143,'Poids des runes'!A:B,2,FALSE)))+1),(((D1143/100)*(C1143*VLOOKUP(B1143,'Poids des runes'!A:B,2,FALSE)))+1)/VLOOKUP(B1143,'Poids des runes'!A:B,2,FALSE))</f>
        <v>11.35</v>
      </c>
      <c r="F1143">
        <f t="shared" si="17"/>
        <v>11.35</v>
      </c>
    </row>
    <row r="1144" spans="1:6" x14ac:dyDescent="0.3">
      <c r="A1144" t="s">
        <v>364</v>
      </c>
      <c r="B1144" t="s">
        <v>2150</v>
      </c>
      <c r="C1144">
        <v>1</v>
      </c>
      <c r="D1144">
        <v>45</v>
      </c>
      <c r="E1144">
        <f>IF(OR(B1144="vi",B1144="ii",B1144="pod"),(((D1144/100)*(C1144*VLOOKUP(B1144,'Poids des runes'!A:B,2,FALSE)))+1),(((D1144/100)*(C1144*VLOOKUP(B1144,'Poids des runes'!A:B,2,FALSE)))+1)/VLOOKUP(B1144,'Poids des runes'!A:B,2,FALSE))</f>
        <v>0.48333333333333334</v>
      </c>
      <c r="F1144">
        <f t="shared" si="17"/>
        <v>0.48333333333333334</v>
      </c>
    </row>
    <row r="1145" spans="1:6" x14ac:dyDescent="0.3">
      <c r="A1145" t="s">
        <v>364</v>
      </c>
      <c r="B1145" t="s">
        <v>2134</v>
      </c>
      <c r="C1145">
        <v>2.5</v>
      </c>
      <c r="D1145">
        <v>45</v>
      </c>
      <c r="E1145">
        <f>IF(OR(B1145="vi",B1145="ii",B1145="pod"),(((D1145/100)*(C1145*VLOOKUP(B1145,'Poids des runes'!A:B,2,FALSE)))+1),(((D1145/100)*(C1145*VLOOKUP(B1145,'Poids des runes'!A:B,2,FALSE)))+1)/VLOOKUP(B1145,'Poids des runes'!A:B,2,FALSE))</f>
        <v>1.175</v>
      </c>
      <c r="F1145">
        <f t="shared" si="17"/>
        <v>1.175</v>
      </c>
    </row>
    <row r="1146" spans="1:6" x14ac:dyDescent="0.3">
      <c r="A1146" t="s">
        <v>365</v>
      </c>
      <c r="B1146" t="s">
        <v>2127</v>
      </c>
      <c r="C1146">
        <v>28</v>
      </c>
      <c r="D1146">
        <v>45</v>
      </c>
      <c r="E1146">
        <f>IF(OR(B1146="vi",B1146="ii",B1146="pod"),(((D1146/100)*(C1146*VLOOKUP(B1146,'Poids des runes'!A:B,2,FALSE)))+1),(((D1146/100)*(C1146*VLOOKUP(B1146,'Poids des runes'!A:B,2,FALSE)))+1)/VLOOKUP(B1146,'Poids des runes'!A:B,2,FALSE))</f>
        <v>13.6</v>
      </c>
      <c r="F1146">
        <f t="shared" si="17"/>
        <v>13.6</v>
      </c>
    </row>
    <row r="1147" spans="1:6" x14ac:dyDescent="0.3">
      <c r="A1147" t="s">
        <v>365</v>
      </c>
      <c r="B1147" t="s">
        <v>2129</v>
      </c>
      <c r="C1147">
        <v>13</v>
      </c>
      <c r="D1147">
        <v>45</v>
      </c>
      <c r="E1147">
        <f>IF(OR(B1147="vi",B1147="ii",B1147="pod"),(((D1147/100)*(C1147*VLOOKUP(B1147,'Poids des runes'!A:B,2,FALSE)))+1),(((D1147/100)*(C1147*VLOOKUP(B1147,'Poids des runes'!A:B,2,FALSE)))+1)/VLOOKUP(B1147,'Poids des runes'!A:B,2,FALSE))</f>
        <v>6.8500000000000005</v>
      </c>
      <c r="F1147">
        <f t="shared" si="17"/>
        <v>6.8500000000000005</v>
      </c>
    </row>
    <row r="1148" spans="1:6" x14ac:dyDescent="0.3">
      <c r="A1148" t="s">
        <v>365</v>
      </c>
      <c r="B1148" t="s">
        <v>2134</v>
      </c>
      <c r="C1148">
        <v>1.5</v>
      </c>
      <c r="D1148">
        <v>45</v>
      </c>
      <c r="E1148">
        <f>IF(OR(B1148="vi",B1148="ii",B1148="pod"),(((D1148/100)*(C1148*VLOOKUP(B1148,'Poids des runes'!A:B,2,FALSE)))+1),(((D1148/100)*(C1148*VLOOKUP(B1148,'Poids des runes'!A:B,2,FALSE)))+1)/VLOOKUP(B1148,'Poids des runes'!A:B,2,FALSE))</f>
        <v>0.72499999999999998</v>
      </c>
      <c r="F1148">
        <f t="shared" si="17"/>
        <v>0.72499999999999998</v>
      </c>
    </row>
    <row r="1149" spans="1:6" x14ac:dyDescent="0.3">
      <c r="A1149" t="s">
        <v>365</v>
      </c>
      <c r="B1149" t="s">
        <v>2157</v>
      </c>
      <c r="C1149">
        <v>4</v>
      </c>
      <c r="D1149">
        <v>45</v>
      </c>
      <c r="E1149">
        <f>IF(OR(B1149="vi",B1149="ii",B1149="pod"),(((D1149/100)*(C1149*VLOOKUP(B1149,'Poids des runes'!A:B,2,FALSE)))+1),(((D1149/100)*(C1149*VLOOKUP(B1149,'Poids des runes'!A:B,2,FALSE)))+1)/VLOOKUP(B1149,'Poids des runes'!A:B,2,FALSE))</f>
        <v>1.9666666666666668</v>
      </c>
      <c r="F1149">
        <f t="shared" si="17"/>
        <v>1.9666666666666668</v>
      </c>
    </row>
    <row r="1150" spans="1:6" x14ac:dyDescent="0.3">
      <c r="A1150" t="s">
        <v>366</v>
      </c>
      <c r="B1150" t="s">
        <v>2128</v>
      </c>
      <c r="C1150">
        <v>35.5</v>
      </c>
      <c r="D1150">
        <v>45</v>
      </c>
      <c r="E1150">
        <f>IF(OR(B1150="vi",B1150="ii",B1150="pod"),(((D1150/100)*(C1150*VLOOKUP(B1150,'Poids des runes'!A:B,2,FALSE)))+1),(((D1150/100)*(C1150*VLOOKUP(B1150,'Poids des runes'!A:B,2,FALSE)))+1)/VLOOKUP(B1150,'Poids des runes'!A:B,2,FALSE))</f>
        <v>4.1950000000000003</v>
      </c>
      <c r="F1150">
        <f t="shared" si="17"/>
        <v>4.1950000000000003</v>
      </c>
    </row>
    <row r="1151" spans="1:6" x14ac:dyDescent="0.3">
      <c r="A1151" t="s">
        <v>366</v>
      </c>
      <c r="B1151" t="s">
        <v>2130</v>
      </c>
      <c r="C1151">
        <v>25.5</v>
      </c>
      <c r="D1151">
        <v>45</v>
      </c>
      <c r="E1151">
        <f>IF(OR(B1151="vi",B1151="ii",B1151="pod"),(((D1151/100)*(C1151*VLOOKUP(B1151,'Poids des runes'!A:B,2,FALSE)))+1),(((D1151/100)*(C1151*VLOOKUP(B1151,'Poids des runes'!A:B,2,FALSE)))+1)/VLOOKUP(B1151,'Poids des runes'!A:B,2,FALSE))</f>
        <v>12.475</v>
      </c>
      <c r="F1151">
        <f t="shared" si="17"/>
        <v>12.475</v>
      </c>
    </row>
    <row r="1152" spans="1:6" x14ac:dyDescent="0.3">
      <c r="A1152" t="s">
        <v>366</v>
      </c>
      <c r="B1152" t="s">
        <v>2134</v>
      </c>
      <c r="C1152">
        <v>2.5</v>
      </c>
      <c r="D1152">
        <v>45</v>
      </c>
      <c r="E1152">
        <f>IF(OR(B1152="vi",B1152="ii",B1152="pod"),(((D1152/100)*(C1152*VLOOKUP(B1152,'Poids des runes'!A:B,2,FALSE)))+1),(((D1152/100)*(C1152*VLOOKUP(B1152,'Poids des runes'!A:B,2,FALSE)))+1)/VLOOKUP(B1152,'Poids des runes'!A:B,2,FALSE))</f>
        <v>1.175</v>
      </c>
      <c r="F1152">
        <f t="shared" si="17"/>
        <v>1.175</v>
      </c>
    </row>
    <row r="1153" spans="1:6" x14ac:dyDescent="0.3">
      <c r="A1153" t="s">
        <v>366</v>
      </c>
      <c r="B1153" t="s">
        <v>2148</v>
      </c>
      <c r="C1153">
        <v>4.5</v>
      </c>
      <c r="D1153">
        <v>45</v>
      </c>
      <c r="E1153">
        <f>IF(OR(B1153="vi",B1153="ii",B1153="pod"),(((D1153/100)*(C1153*VLOOKUP(B1153,'Poids des runes'!A:B,2,FALSE)))+1),(((D1153/100)*(C1153*VLOOKUP(B1153,'Poids des runes'!A:B,2,FALSE)))+1)/VLOOKUP(B1153,'Poids des runes'!A:B,2,FALSE))</f>
        <v>2.1916666666666669</v>
      </c>
      <c r="F1153">
        <f t="shared" si="17"/>
        <v>2.1916666666666669</v>
      </c>
    </row>
    <row r="1154" spans="1:6" x14ac:dyDescent="0.3">
      <c r="A1154" t="s">
        <v>367</v>
      </c>
      <c r="B1154" t="s">
        <v>2128</v>
      </c>
      <c r="C1154">
        <v>35.5</v>
      </c>
      <c r="D1154">
        <v>45</v>
      </c>
      <c r="E1154">
        <f>IF(OR(B1154="vi",B1154="ii",B1154="pod"),(((D1154/100)*(C1154*VLOOKUP(B1154,'Poids des runes'!A:B,2,FALSE)))+1),(((D1154/100)*(C1154*VLOOKUP(B1154,'Poids des runes'!A:B,2,FALSE)))+1)/VLOOKUP(B1154,'Poids des runes'!A:B,2,FALSE))</f>
        <v>4.1950000000000003</v>
      </c>
      <c r="F1154">
        <f t="shared" si="17"/>
        <v>4.1950000000000003</v>
      </c>
    </row>
    <row r="1155" spans="1:6" x14ac:dyDescent="0.3">
      <c r="A1155" t="s">
        <v>367</v>
      </c>
      <c r="B1155" t="s">
        <v>2131</v>
      </c>
      <c r="C1155">
        <v>25.5</v>
      </c>
      <c r="D1155">
        <v>45</v>
      </c>
      <c r="E1155">
        <f>IF(OR(B1155="vi",B1155="ii",B1155="pod"),(((D1155/100)*(C1155*VLOOKUP(B1155,'Poids des runes'!A:B,2,FALSE)))+1),(((D1155/100)*(C1155*VLOOKUP(B1155,'Poids des runes'!A:B,2,FALSE)))+1)/VLOOKUP(B1155,'Poids des runes'!A:B,2,FALSE))</f>
        <v>12.475</v>
      </c>
      <c r="F1155">
        <f t="shared" ref="F1155:F1218" si="18">E1155</f>
        <v>12.475</v>
      </c>
    </row>
    <row r="1156" spans="1:6" x14ac:dyDescent="0.3">
      <c r="A1156" t="s">
        <v>367</v>
      </c>
      <c r="B1156" t="s">
        <v>2134</v>
      </c>
      <c r="C1156">
        <v>2.5</v>
      </c>
      <c r="D1156">
        <v>45</v>
      </c>
      <c r="E1156">
        <f>IF(OR(B1156="vi",B1156="ii",B1156="pod"),(((D1156/100)*(C1156*VLOOKUP(B1156,'Poids des runes'!A:B,2,FALSE)))+1),(((D1156/100)*(C1156*VLOOKUP(B1156,'Poids des runes'!A:B,2,FALSE)))+1)/VLOOKUP(B1156,'Poids des runes'!A:B,2,FALSE))</f>
        <v>1.175</v>
      </c>
      <c r="F1156">
        <f t="shared" si="18"/>
        <v>1.175</v>
      </c>
    </row>
    <row r="1157" spans="1:6" x14ac:dyDescent="0.3">
      <c r="A1157" t="s">
        <v>367</v>
      </c>
      <c r="B1157" t="s">
        <v>2135</v>
      </c>
      <c r="C1157">
        <v>4.5</v>
      </c>
      <c r="D1157">
        <v>45</v>
      </c>
      <c r="E1157">
        <f>IF(OR(B1157="vi",B1157="ii",B1157="pod"),(((D1157/100)*(C1157*VLOOKUP(B1157,'Poids des runes'!A:B,2,FALSE)))+1),(((D1157/100)*(C1157*VLOOKUP(B1157,'Poids des runes'!A:B,2,FALSE)))+1)/VLOOKUP(B1157,'Poids des runes'!A:B,2,FALSE))</f>
        <v>2.1916666666666669</v>
      </c>
      <c r="F1157">
        <f t="shared" si="18"/>
        <v>2.1916666666666669</v>
      </c>
    </row>
    <row r="1158" spans="1:6" x14ac:dyDescent="0.3">
      <c r="A1158" t="s">
        <v>368</v>
      </c>
      <c r="B1158" t="s">
        <v>2128</v>
      </c>
      <c r="C1158">
        <v>35.5</v>
      </c>
      <c r="D1158">
        <v>45</v>
      </c>
      <c r="E1158">
        <f>IF(OR(B1158="vi",B1158="ii",B1158="pod"),(((D1158/100)*(C1158*VLOOKUP(B1158,'Poids des runes'!A:B,2,FALSE)))+1),(((D1158/100)*(C1158*VLOOKUP(B1158,'Poids des runes'!A:B,2,FALSE)))+1)/VLOOKUP(B1158,'Poids des runes'!A:B,2,FALSE))</f>
        <v>4.1950000000000003</v>
      </c>
      <c r="F1158">
        <f t="shared" si="18"/>
        <v>4.1950000000000003</v>
      </c>
    </row>
    <row r="1159" spans="1:6" x14ac:dyDescent="0.3">
      <c r="A1159" t="s">
        <v>368</v>
      </c>
      <c r="B1159" t="s">
        <v>2126</v>
      </c>
      <c r="C1159">
        <v>25.5</v>
      </c>
      <c r="D1159">
        <v>45</v>
      </c>
      <c r="E1159">
        <f>IF(OR(B1159="vi",B1159="ii",B1159="pod"),(((D1159/100)*(C1159*VLOOKUP(B1159,'Poids des runes'!A:B,2,FALSE)))+1),(((D1159/100)*(C1159*VLOOKUP(B1159,'Poids des runes'!A:B,2,FALSE)))+1)/VLOOKUP(B1159,'Poids des runes'!A:B,2,FALSE))</f>
        <v>12.475</v>
      </c>
      <c r="F1159">
        <f t="shared" si="18"/>
        <v>12.475</v>
      </c>
    </row>
    <row r="1160" spans="1:6" x14ac:dyDescent="0.3">
      <c r="A1160" t="s">
        <v>368</v>
      </c>
      <c r="B1160" t="s">
        <v>2134</v>
      </c>
      <c r="C1160">
        <v>2.5</v>
      </c>
      <c r="D1160">
        <v>45</v>
      </c>
      <c r="E1160">
        <f>IF(OR(B1160="vi",B1160="ii",B1160="pod"),(((D1160/100)*(C1160*VLOOKUP(B1160,'Poids des runes'!A:B,2,FALSE)))+1),(((D1160/100)*(C1160*VLOOKUP(B1160,'Poids des runes'!A:B,2,FALSE)))+1)/VLOOKUP(B1160,'Poids des runes'!A:B,2,FALSE))</f>
        <v>1.175</v>
      </c>
      <c r="F1160">
        <f t="shared" si="18"/>
        <v>1.175</v>
      </c>
    </row>
    <row r="1161" spans="1:6" x14ac:dyDescent="0.3">
      <c r="A1161" t="s">
        <v>368</v>
      </c>
      <c r="B1161" t="s">
        <v>2147</v>
      </c>
      <c r="C1161">
        <v>4</v>
      </c>
      <c r="D1161">
        <v>45</v>
      </c>
      <c r="E1161">
        <f>IF(OR(B1161="vi",B1161="ii",B1161="pod"),(((D1161/100)*(C1161*VLOOKUP(B1161,'Poids des runes'!A:B,2,FALSE)))+1),(((D1161/100)*(C1161*VLOOKUP(B1161,'Poids des runes'!A:B,2,FALSE)))+1)/VLOOKUP(B1161,'Poids des runes'!A:B,2,FALSE))</f>
        <v>1.9666666666666668</v>
      </c>
      <c r="F1161">
        <f t="shared" si="18"/>
        <v>1.9666666666666668</v>
      </c>
    </row>
    <row r="1162" spans="1:6" x14ac:dyDescent="0.3">
      <c r="A1162" t="s">
        <v>369</v>
      </c>
      <c r="B1162" t="s">
        <v>2128</v>
      </c>
      <c r="C1162">
        <v>35.5</v>
      </c>
      <c r="D1162">
        <v>45</v>
      </c>
      <c r="E1162">
        <f>IF(OR(B1162="vi",B1162="ii",B1162="pod"),(((D1162/100)*(C1162*VLOOKUP(B1162,'Poids des runes'!A:B,2,FALSE)))+1),(((D1162/100)*(C1162*VLOOKUP(B1162,'Poids des runes'!A:B,2,FALSE)))+1)/VLOOKUP(B1162,'Poids des runes'!A:B,2,FALSE))</f>
        <v>4.1950000000000003</v>
      </c>
      <c r="F1162">
        <f t="shared" si="18"/>
        <v>4.1950000000000003</v>
      </c>
    </row>
    <row r="1163" spans="1:6" x14ac:dyDescent="0.3">
      <c r="A1163" t="s">
        <v>369</v>
      </c>
      <c r="B1163" t="s">
        <v>2127</v>
      </c>
      <c r="C1163">
        <v>25.5</v>
      </c>
      <c r="D1163">
        <v>45</v>
      </c>
      <c r="E1163">
        <f>IF(OR(B1163="vi",B1163="ii",B1163="pod"),(((D1163/100)*(C1163*VLOOKUP(B1163,'Poids des runes'!A:B,2,FALSE)))+1),(((D1163/100)*(C1163*VLOOKUP(B1163,'Poids des runes'!A:B,2,FALSE)))+1)/VLOOKUP(B1163,'Poids des runes'!A:B,2,FALSE))</f>
        <v>12.475</v>
      </c>
      <c r="F1163">
        <f t="shared" si="18"/>
        <v>12.475</v>
      </c>
    </row>
    <row r="1164" spans="1:6" x14ac:dyDescent="0.3">
      <c r="A1164" t="s">
        <v>369</v>
      </c>
      <c r="B1164" t="s">
        <v>2134</v>
      </c>
      <c r="C1164">
        <v>2.5</v>
      </c>
      <c r="D1164">
        <v>45</v>
      </c>
      <c r="E1164">
        <f>IF(OR(B1164="vi",B1164="ii",B1164="pod"),(((D1164/100)*(C1164*VLOOKUP(B1164,'Poids des runes'!A:B,2,FALSE)))+1),(((D1164/100)*(C1164*VLOOKUP(B1164,'Poids des runes'!A:B,2,FALSE)))+1)/VLOOKUP(B1164,'Poids des runes'!A:B,2,FALSE))</f>
        <v>1.175</v>
      </c>
      <c r="F1164">
        <f t="shared" si="18"/>
        <v>1.175</v>
      </c>
    </row>
    <row r="1165" spans="1:6" x14ac:dyDescent="0.3">
      <c r="A1165" t="s">
        <v>369</v>
      </c>
      <c r="B1165" t="s">
        <v>2157</v>
      </c>
      <c r="C1165">
        <v>4.5</v>
      </c>
      <c r="D1165">
        <v>45</v>
      </c>
      <c r="E1165">
        <f>IF(OR(B1165="vi",B1165="ii",B1165="pod"),(((D1165/100)*(C1165*VLOOKUP(B1165,'Poids des runes'!A:B,2,FALSE)))+1),(((D1165/100)*(C1165*VLOOKUP(B1165,'Poids des runes'!A:B,2,FALSE)))+1)/VLOOKUP(B1165,'Poids des runes'!A:B,2,FALSE))</f>
        <v>2.1916666666666669</v>
      </c>
      <c r="F1165">
        <f t="shared" si="18"/>
        <v>2.1916666666666669</v>
      </c>
    </row>
    <row r="1166" spans="1:6" x14ac:dyDescent="0.3">
      <c r="A1166" t="s">
        <v>370</v>
      </c>
      <c r="B1166" t="s">
        <v>2128</v>
      </c>
      <c r="C1166">
        <v>25.5</v>
      </c>
      <c r="D1166">
        <v>45</v>
      </c>
      <c r="E1166">
        <f>IF(OR(B1166="vi",B1166="ii",B1166="pod"),(((D1166/100)*(C1166*VLOOKUP(B1166,'Poids des runes'!A:B,2,FALSE)))+1),(((D1166/100)*(C1166*VLOOKUP(B1166,'Poids des runes'!A:B,2,FALSE)))+1)/VLOOKUP(B1166,'Poids des runes'!A:B,2,FALSE))</f>
        <v>3.2950000000000004</v>
      </c>
      <c r="F1166">
        <f t="shared" si="18"/>
        <v>3.2950000000000004</v>
      </c>
    </row>
    <row r="1167" spans="1:6" x14ac:dyDescent="0.3">
      <c r="A1167" t="s">
        <v>370</v>
      </c>
      <c r="B1167" t="s">
        <v>2129</v>
      </c>
      <c r="C1167">
        <v>13</v>
      </c>
      <c r="D1167">
        <v>45</v>
      </c>
      <c r="E1167">
        <f>IF(OR(B1167="vi",B1167="ii",B1167="pod"),(((D1167/100)*(C1167*VLOOKUP(B1167,'Poids des runes'!A:B,2,FALSE)))+1),(((D1167/100)*(C1167*VLOOKUP(B1167,'Poids des runes'!A:B,2,FALSE)))+1)/VLOOKUP(B1167,'Poids des runes'!A:B,2,FALSE))</f>
        <v>6.8500000000000005</v>
      </c>
      <c r="F1167">
        <f t="shared" si="18"/>
        <v>6.8500000000000005</v>
      </c>
    </row>
    <row r="1168" spans="1:6" x14ac:dyDescent="0.3">
      <c r="A1168" t="s">
        <v>370</v>
      </c>
      <c r="B1168" t="s">
        <v>2155</v>
      </c>
      <c r="C1168">
        <v>1</v>
      </c>
      <c r="D1168">
        <v>45</v>
      </c>
      <c r="E1168">
        <f>IF(OR(B1168="vi",B1168="ii",B1168="pod"),(((D1168/100)*(C1168*VLOOKUP(B1168,'Poids des runes'!A:B,2,FALSE)))+1),(((D1168/100)*(C1168*VLOOKUP(B1168,'Poids des runes'!A:B,2,FALSE)))+1)/VLOOKUP(B1168,'Poids des runes'!A:B,2,FALSE))</f>
        <v>0.4696078431372549</v>
      </c>
      <c r="F1168">
        <f t="shared" si="18"/>
        <v>0.4696078431372549</v>
      </c>
    </row>
    <row r="1169" spans="1:6" x14ac:dyDescent="0.3">
      <c r="A1169" t="s">
        <v>371</v>
      </c>
      <c r="B1169" t="s">
        <v>2128</v>
      </c>
      <c r="C1169">
        <v>35.5</v>
      </c>
      <c r="D1169">
        <v>45</v>
      </c>
      <c r="E1169">
        <f>IF(OR(B1169="vi",B1169="ii",B1169="pod"),(((D1169/100)*(C1169*VLOOKUP(B1169,'Poids des runes'!A:B,2,FALSE)))+1),(((D1169/100)*(C1169*VLOOKUP(B1169,'Poids des runes'!A:B,2,FALSE)))+1)/VLOOKUP(B1169,'Poids des runes'!A:B,2,FALSE))</f>
        <v>4.1950000000000003</v>
      </c>
      <c r="F1169">
        <f t="shared" si="18"/>
        <v>4.1950000000000003</v>
      </c>
    </row>
    <row r="1170" spans="1:6" x14ac:dyDescent="0.3">
      <c r="A1170" t="s">
        <v>371</v>
      </c>
      <c r="B1170" t="s">
        <v>2130</v>
      </c>
      <c r="C1170">
        <v>35.5</v>
      </c>
      <c r="D1170">
        <v>45</v>
      </c>
      <c r="E1170">
        <f>IF(OR(B1170="vi",B1170="ii",B1170="pod"),(((D1170/100)*(C1170*VLOOKUP(B1170,'Poids des runes'!A:B,2,FALSE)))+1),(((D1170/100)*(C1170*VLOOKUP(B1170,'Poids des runes'!A:B,2,FALSE)))+1)/VLOOKUP(B1170,'Poids des runes'!A:B,2,FALSE))</f>
        <v>16.975000000000001</v>
      </c>
      <c r="F1170">
        <f t="shared" si="18"/>
        <v>16.975000000000001</v>
      </c>
    </row>
    <row r="1171" spans="1:6" x14ac:dyDescent="0.3">
      <c r="A1171" t="s">
        <v>371</v>
      </c>
      <c r="B1171" t="s">
        <v>2143</v>
      </c>
      <c r="C1171">
        <v>3</v>
      </c>
      <c r="D1171">
        <v>45</v>
      </c>
      <c r="E1171">
        <f>IF(OR(B1171="vi",B1171="ii",B1171="pod"),(((D1171/100)*(C1171*VLOOKUP(B1171,'Poids des runes'!A:B,2,FALSE)))+1),(((D1171/100)*(C1171*VLOOKUP(B1171,'Poids des runes'!A:B,2,FALSE)))+1)/VLOOKUP(B1171,'Poids des runes'!A:B,2,FALSE))</f>
        <v>1.55</v>
      </c>
      <c r="F1171">
        <f t="shared" si="18"/>
        <v>1.55</v>
      </c>
    </row>
    <row r="1172" spans="1:6" x14ac:dyDescent="0.3">
      <c r="A1172" t="s">
        <v>371</v>
      </c>
      <c r="B1172" t="s">
        <v>2149</v>
      </c>
      <c r="C1172">
        <v>4.5</v>
      </c>
      <c r="D1172">
        <v>45</v>
      </c>
      <c r="E1172">
        <f>IF(OR(B1172="vi",B1172="ii",B1172="pod"),(((D1172/100)*(C1172*VLOOKUP(B1172,'Poids des runes'!A:B,2,FALSE)))+1),(((D1172/100)*(C1172*VLOOKUP(B1172,'Poids des runes'!A:B,2,FALSE)))+1)/VLOOKUP(B1172,'Poids des runes'!A:B,2,FALSE))</f>
        <v>2.125</v>
      </c>
      <c r="F1172">
        <f t="shared" si="18"/>
        <v>2.125</v>
      </c>
    </row>
    <row r="1173" spans="1:6" x14ac:dyDescent="0.3">
      <c r="A1173" t="s">
        <v>371</v>
      </c>
      <c r="B1173" t="s">
        <v>2138</v>
      </c>
      <c r="C1173">
        <v>4.5</v>
      </c>
      <c r="D1173">
        <v>45</v>
      </c>
      <c r="E1173">
        <f>IF(OR(B1173="vi",B1173="ii",B1173="pod"),(((D1173/100)*(C1173*VLOOKUP(B1173,'Poids des runes'!A:B,2,FALSE)))+1),(((D1173/100)*(C1173*VLOOKUP(B1173,'Poids des runes'!A:B,2,FALSE)))+1)/VLOOKUP(B1173,'Poids des runes'!A:B,2,FALSE))</f>
        <v>2.2749999999999999</v>
      </c>
      <c r="F1173">
        <f t="shared" si="18"/>
        <v>2.2749999999999999</v>
      </c>
    </row>
    <row r="1174" spans="1:6" x14ac:dyDescent="0.3">
      <c r="A1174" t="s">
        <v>372</v>
      </c>
      <c r="B1174" t="s">
        <v>2127</v>
      </c>
      <c r="C1174">
        <v>15.5</v>
      </c>
      <c r="D1174">
        <v>45</v>
      </c>
      <c r="E1174">
        <f>IF(OR(B1174="vi",B1174="ii",B1174="pod"),(((D1174/100)*(C1174*VLOOKUP(B1174,'Poids des runes'!A:B,2,FALSE)))+1),(((D1174/100)*(C1174*VLOOKUP(B1174,'Poids des runes'!A:B,2,FALSE)))+1)/VLOOKUP(B1174,'Poids des runes'!A:B,2,FALSE))</f>
        <v>7.9750000000000005</v>
      </c>
      <c r="F1174">
        <f t="shared" si="18"/>
        <v>7.9750000000000005</v>
      </c>
    </row>
    <row r="1175" spans="1:6" x14ac:dyDescent="0.3">
      <c r="A1175" t="s">
        <v>372</v>
      </c>
      <c r="B1175" t="s">
        <v>2139</v>
      </c>
      <c r="C1175">
        <v>13</v>
      </c>
      <c r="D1175">
        <v>45</v>
      </c>
      <c r="E1175">
        <f>IF(OR(B1175="vi",B1175="ii",B1175="pod"),(((D1175/100)*(C1175*VLOOKUP(B1175,'Poids des runes'!A:B,2,FALSE)))+1),(((D1175/100)*(C1175*VLOOKUP(B1175,'Poids des runes'!A:B,2,FALSE)))+1)/VLOOKUP(B1175,'Poids des runes'!A:B,2,FALSE))</f>
        <v>6.3500000000000005</v>
      </c>
      <c r="F1175">
        <f t="shared" si="18"/>
        <v>6.3500000000000005</v>
      </c>
    </row>
    <row r="1176" spans="1:6" x14ac:dyDescent="0.3">
      <c r="A1176" t="s">
        <v>372</v>
      </c>
      <c r="B1176" t="s">
        <v>2151</v>
      </c>
      <c r="C1176">
        <v>3</v>
      </c>
      <c r="D1176">
        <v>45</v>
      </c>
      <c r="E1176">
        <f>IF(OR(B1176="vi",B1176="ii",B1176="pod"),(((D1176/100)*(C1176*VLOOKUP(B1176,'Poids des runes'!A:B,2,FALSE)))+1),(((D1176/100)*(C1176*VLOOKUP(B1176,'Poids des runes'!A:B,2,FALSE)))+1)/VLOOKUP(B1176,'Poids des runes'!A:B,2,FALSE))</f>
        <v>1.45</v>
      </c>
      <c r="F1176">
        <f t="shared" si="18"/>
        <v>1.45</v>
      </c>
    </row>
    <row r="1177" spans="1:6" x14ac:dyDescent="0.3">
      <c r="A1177" t="s">
        <v>373</v>
      </c>
      <c r="B1177" t="s">
        <v>2130</v>
      </c>
      <c r="C1177">
        <v>25.5</v>
      </c>
      <c r="D1177">
        <v>45</v>
      </c>
      <c r="E1177">
        <f>IF(OR(B1177="vi",B1177="ii",B1177="pod"),(((D1177/100)*(C1177*VLOOKUP(B1177,'Poids des runes'!A:B,2,FALSE)))+1),(((D1177/100)*(C1177*VLOOKUP(B1177,'Poids des runes'!A:B,2,FALSE)))+1)/VLOOKUP(B1177,'Poids des runes'!A:B,2,FALSE))</f>
        <v>12.475</v>
      </c>
      <c r="F1177">
        <f t="shared" si="18"/>
        <v>12.475</v>
      </c>
    </row>
    <row r="1178" spans="1:6" x14ac:dyDescent="0.3">
      <c r="A1178" t="s">
        <v>373</v>
      </c>
      <c r="B1178" t="s">
        <v>2156</v>
      </c>
      <c r="C1178">
        <v>5</v>
      </c>
      <c r="D1178">
        <v>45</v>
      </c>
      <c r="E1178">
        <f>IF(OR(B1178="vi",B1178="ii",B1178="pod"),(((D1178/100)*(C1178*VLOOKUP(B1178,'Poids des runes'!A:B,2,FALSE)))+1),(((D1178/100)*(C1178*VLOOKUP(B1178,'Poids des runes'!A:B,2,FALSE)))+1)/VLOOKUP(B1178,'Poids des runes'!A:B,2,FALSE))</f>
        <v>2.4166666666666665</v>
      </c>
      <c r="F1178">
        <f t="shared" si="18"/>
        <v>2.4166666666666665</v>
      </c>
    </row>
    <row r="1179" spans="1:6" x14ac:dyDescent="0.3">
      <c r="A1179" t="s">
        <v>374</v>
      </c>
      <c r="B1179" t="s">
        <v>2128</v>
      </c>
      <c r="C1179">
        <v>25.5</v>
      </c>
      <c r="D1179">
        <v>45</v>
      </c>
      <c r="E1179">
        <f>IF(OR(B1179="vi",B1179="ii",B1179="pod"),(((D1179/100)*(C1179*VLOOKUP(B1179,'Poids des runes'!A:B,2,FALSE)))+1),(((D1179/100)*(C1179*VLOOKUP(B1179,'Poids des runes'!A:B,2,FALSE)))+1)/VLOOKUP(B1179,'Poids des runes'!A:B,2,FALSE))</f>
        <v>3.2950000000000004</v>
      </c>
      <c r="F1179">
        <f t="shared" si="18"/>
        <v>3.2950000000000004</v>
      </c>
    </row>
    <row r="1180" spans="1:6" x14ac:dyDescent="0.3">
      <c r="A1180" t="s">
        <v>374</v>
      </c>
      <c r="B1180" t="s">
        <v>2127</v>
      </c>
      <c r="C1180">
        <v>25.5</v>
      </c>
      <c r="D1180">
        <v>45</v>
      </c>
      <c r="E1180">
        <f>IF(OR(B1180="vi",B1180="ii",B1180="pod"),(((D1180/100)*(C1180*VLOOKUP(B1180,'Poids des runes'!A:B,2,FALSE)))+1),(((D1180/100)*(C1180*VLOOKUP(B1180,'Poids des runes'!A:B,2,FALSE)))+1)/VLOOKUP(B1180,'Poids des runes'!A:B,2,FALSE))</f>
        <v>12.475</v>
      </c>
      <c r="F1180">
        <f t="shared" si="18"/>
        <v>12.475</v>
      </c>
    </row>
    <row r="1181" spans="1:6" x14ac:dyDescent="0.3">
      <c r="A1181" t="s">
        <v>374</v>
      </c>
      <c r="B1181" t="s">
        <v>2153</v>
      </c>
      <c r="C1181">
        <v>4.5</v>
      </c>
      <c r="D1181">
        <v>45</v>
      </c>
      <c r="E1181">
        <f>IF(OR(B1181="vi",B1181="ii",B1181="pod"),(((D1181/100)*(C1181*VLOOKUP(B1181,'Poids des runes'!A:B,2,FALSE)))+1),(((D1181/100)*(C1181*VLOOKUP(B1181,'Poids des runes'!A:B,2,FALSE)))+1)/VLOOKUP(B1181,'Poids des runes'!A:B,2,FALSE))</f>
        <v>2.2250000000000001</v>
      </c>
      <c r="F1181">
        <f t="shared" si="18"/>
        <v>2.2250000000000001</v>
      </c>
    </row>
    <row r="1182" spans="1:6" x14ac:dyDescent="0.3">
      <c r="A1182" t="s">
        <v>374</v>
      </c>
      <c r="B1182" t="s">
        <v>2142</v>
      </c>
      <c r="C1182">
        <v>8.5</v>
      </c>
      <c r="D1182">
        <v>45</v>
      </c>
      <c r="E1182">
        <f>IF(OR(B1182="vi",B1182="ii",B1182="pod"),(((D1182/100)*(C1182*VLOOKUP(B1182,'Poids des runes'!A:B,2,FALSE)))+1),(((D1182/100)*(C1182*VLOOKUP(B1182,'Poids des runes'!A:B,2,FALSE)))+1)/VLOOKUP(B1182,'Poids des runes'!A:B,2,FALSE))</f>
        <v>4.0250000000000004</v>
      </c>
      <c r="F1182">
        <f t="shared" si="18"/>
        <v>4.0250000000000004</v>
      </c>
    </row>
    <row r="1183" spans="1:6" x14ac:dyDescent="0.3">
      <c r="A1183" t="s">
        <v>374</v>
      </c>
      <c r="B1183" t="s">
        <v>2164</v>
      </c>
      <c r="C1183">
        <v>8.5</v>
      </c>
      <c r="D1183">
        <v>45</v>
      </c>
      <c r="E1183">
        <f>IF(OR(B1183="vi",B1183="ii",B1183="pod"),(((D1183/100)*(C1183*VLOOKUP(B1183,'Poids des runes'!A:B,2,FALSE)))+1),(((D1183/100)*(C1183*VLOOKUP(B1183,'Poids des runes'!A:B,2,FALSE)))+1)/VLOOKUP(B1183,'Poids des runes'!A:B,2,FALSE))</f>
        <v>4.3250000000000002</v>
      </c>
      <c r="F1183">
        <f t="shared" si="18"/>
        <v>4.3250000000000002</v>
      </c>
    </row>
    <row r="1184" spans="1:6" x14ac:dyDescent="0.3">
      <c r="A1184" t="s">
        <v>375</v>
      </c>
      <c r="B1184" t="s">
        <v>2128</v>
      </c>
      <c r="C1184">
        <v>35.5</v>
      </c>
      <c r="D1184">
        <v>45</v>
      </c>
      <c r="E1184">
        <f>IF(OR(B1184="vi",B1184="ii",B1184="pod"),(((D1184/100)*(C1184*VLOOKUP(B1184,'Poids des runes'!A:B,2,FALSE)))+1),(((D1184/100)*(C1184*VLOOKUP(B1184,'Poids des runes'!A:B,2,FALSE)))+1)/VLOOKUP(B1184,'Poids des runes'!A:B,2,FALSE))</f>
        <v>4.1950000000000003</v>
      </c>
      <c r="F1184">
        <f t="shared" si="18"/>
        <v>4.1950000000000003</v>
      </c>
    </row>
    <row r="1185" spans="1:6" x14ac:dyDescent="0.3">
      <c r="A1185" t="s">
        <v>375</v>
      </c>
      <c r="B1185" t="s">
        <v>2130</v>
      </c>
      <c r="C1185">
        <v>13</v>
      </c>
      <c r="D1185">
        <v>45</v>
      </c>
      <c r="E1185">
        <f>IF(OR(B1185="vi",B1185="ii",B1185="pod"),(((D1185/100)*(C1185*VLOOKUP(B1185,'Poids des runes'!A:B,2,FALSE)))+1),(((D1185/100)*(C1185*VLOOKUP(B1185,'Poids des runes'!A:B,2,FALSE)))+1)/VLOOKUP(B1185,'Poids des runes'!A:B,2,FALSE))</f>
        <v>6.8500000000000005</v>
      </c>
      <c r="F1185">
        <f t="shared" si="18"/>
        <v>6.8500000000000005</v>
      </c>
    </row>
    <row r="1186" spans="1:6" x14ac:dyDescent="0.3">
      <c r="A1186" t="s">
        <v>375</v>
      </c>
      <c r="B1186" t="s">
        <v>2129</v>
      </c>
      <c r="C1186">
        <v>13</v>
      </c>
      <c r="D1186">
        <v>45</v>
      </c>
      <c r="E1186">
        <f>IF(OR(B1186="vi",B1186="ii",B1186="pod"),(((D1186/100)*(C1186*VLOOKUP(B1186,'Poids des runes'!A:B,2,FALSE)))+1),(((D1186/100)*(C1186*VLOOKUP(B1186,'Poids des runes'!A:B,2,FALSE)))+1)/VLOOKUP(B1186,'Poids des runes'!A:B,2,FALSE))</f>
        <v>6.8500000000000005</v>
      </c>
      <c r="F1186">
        <f t="shared" si="18"/>
        <v>6.8500000000000005</v>
      </c>
    </row>
    <row r="1187" spans="1:6" x14ac:dyDescent="0.3">
      <c r="A1187" t="s">
        <v>375</v>
      </c>
      <c r="B1187" t="s">
        <v>2163</v>
      </c>
      <c r="C1187">
        <v>4.5</v>
      </c>
      <c r="D1187">
        <v>45</v>
      </c>
      <c r="E1187">
        <f>IF(OR(B1187="vi",B1187="ii",B1187="pod"),(((D1187/100)*(C1187*VLOOKUP(B1187,'Poids des runes'!A:B,2,FALSE)))+1),(((D1187/100)*(C1187*VLOOKUP(B1187,'Poids des runes'!A:B,2,FALSE)))+1)/VLOOKUP(B1187,'Poids des runes'!A:B,2,FALSE))</f>
        <v>2.5249999999999999</v>
      </c>
      <c r="F1187">
        <f t="shared" si="18"/>
        <v>2.5249999999999999</v>
      </c>
    </row>
    <row r="1188" spans="1:6" x14ac:dyDescent="0.3">
      <c r="A1188" t="s">
        <v>375</v>
      </c>
      <c r="B1188" t="s">
        <v>2164</v>
      </c>
      <c r="C1188">
        <v>4.5</v>
      </c>
      <c r="D1188">
        <v>45</v>
      </c>
      <c r="E1188">
        <f>IF(OR(B1188="vi",B1188="ii",B1188="pod"),(((D1188/100)*(C1188*VLOOKUP(B1188,'Poids des runes'!A:B,2,FALSE)))+1),(((D1188/100)*(C1188*VLOOKUP(B1188,'Poids des runes'!A:B,2,FALSE)))+1)/VLOOKUP(B1188,'Poids des runes'!A:B,2,FALSE))</f>
        <v>2.5249999999999999</v>
      </c>
      <c r="F1188">
        <f t="shared" si="18"/>
        <v>2.5249999999999999</v>
      </c>
    </row>
    <row r="1189" spans="1:6" x14ac:dyDescent="0.3">
      <c r="A1189" t="s">
        <v>376</v>
      </c>
      <c r="B1189" t="s">
        <v>2128</v>
      </c>
      <c r="C1189">
        <v>25.5</v>
      </c>
      <c r="D1189">
        <v>45</v>
      </c>
      <c r="E1189">
        <f>IF(OR(B1189="vi",B1189="ii",B1189="pod"),(((D1189/100)*(C1189*VLOOKUP(B1189,'Poids des runes'!A:B,2,FALSE)))+1),(((D1189/100)*(C1189*VLOOKUP(B1189,'Poids des runes'!A:B,2,FALSE)))+1)/VLOOKUP(B1189,'Poids des runes'!A:B,2,FALSE))</f>
        <v>3.2950000000000004</v>
      </c>
      <c r="F1189">
        <f t="shared" si="18"/>
        <v>3.2950000000000004</v>
      </c>
    </row>
    <row r="1190" spans="1:6" x14ac:dyDescent="0.3">
      <c r="A1190" t="s">
        <v>376</v>
      </c>
      <c r="B1190" t="s">
        <v>2131</v>
      </c>
      <c r="C1190">
        <v>15.5</v>
      </c>
      <c r="D1190">
        <v>45</v>
      </c>
      <c r="E1190">
        <f>IF(OR(B1190="vi",B1190="ii",B1190="pod"),(((D1190/100)*(C1190*VLOOKUP(B1190,'Poids des runes'!A:B,2,FALSE)))+1),(((D1190/100)*(C1190*VLOOKUP(B1190,'Poids des runes'!A:B,2,FALSE)))+1)/VLOOKUP(B1190,'Poids des runes'!A:B,2,FALSE))</f>
        <v>7.9750000000000005</v>
      </c>
      <c r="F1190">
        <f t="shared" si="18"/>
        <v>7.9750000000000005</v>
      </c>
    </row>
    <row r="1191" spans="1:6" x14ac:dyDescent="0.3">
      <c r="A1191" t="s">
        <v>376</v>
      </c>
      <c r="B1191" t="s">
        <v>2129</v>
      </c>
      <c r="C1191">
        <v>8</v>
      </c>
      <c r="D1191">
        <v>45</v>
      </c>
      <c r="E1191">
        <f>IF(OR(B1191="vi",B1191="ii",B1191="pod"),(((D1191/100)*(C1191*VLOOKUP(B1191,'Poids des runes'!A:B,2,FALSE)))+1),(((D1191/100)*(C1191*VLOOKUP(B1191,'Poids des runes'!A:B,2,FALSE)))+1)/VLOOKUP(B1191,'Poids des runes'!A:B,2,FALSE))</f>
        <v>4.5999999999999996</v>
      </c>
      <c r="F1191">
        <f t="shared" si="18"/>
        <v>4.5999999999999996</v>
      </c>
    </row>
    <row r="1192" spans="1:6" x14ac:dyDescent="0.3">
      <c r="A1192" t="s">
        <v>376</v>
      </c>
      <c r="B1192" t="s">
        <v>2150</v>
      </c>
      <c r="C1192">
        <v>1</v>
      </c>
      <c r="D1192">
        <v>45</v>
      </c>
      <c r="E1192">
        <f>IF(OR(B1192="vi",B1192="ii",B1192="pod"),(((D1192/100)*(C1192*VLOOKUP(B1192,'Poids des runes'!A:B,2,FALSE)))+1),(((D1192/100)*(C1192*VLOOKUP(B1192,'Poids des runes'!A:B,2,FALSE)))+1)/VLOOKUP(B1192,'Poids des runes'!A:B,2,FALSE))</f>
        <v>0.48333333333333334</v>
      </c>
      <c r="F1192">
        <f t="shared" si="18"/>
        <v>0.48333333333333334</v>
      </c>
    </row>
    <row r="1193" spans="1:6" x14ac:dyDescent="0.3">
      <c r="A1193" t="s">
        <v>376</v>
      </c>
      <c r="B1193" t="s">
        <v>2141</v>
      </c>
      <c r="C1193">
        <v>2.5</v>
      </c>
      <c r="D1193">
        <v>45</v>
      </c>
      <c r="E1193">
        <f>IF(OR(B1193="vi",B1193="ii",B1193="pod"),(((D1193/100)*(C1193*VLOOKUP(B1193,'Poids des runes'!A:B,2,FALSE)))+1),(((D1193/100)*(C1193*VLOOKUP(B1193,'Poids des runes'!A:B,2,FALSE)))+1)/VLOOKUP(B1193,'Poids des runes'!A:B,2,FALSE))</f>
        <v>1.375</v>
      </c>
      <c r="F1193">
        <f t="shared" si="18"/>
        <v>1.375</v>
      </c>
    </row>
    <row r="1194" spans="1:6" x14ac:dyDescent="0.3">
      <c r="A1194" t="s">
        <v>376</v>
      </c>
      <c r="B1194" t="s">
        <v>2160</v>
      </c>
      <c r="C1194">
        <v>2.5</v>
      </c>
      <c r="D1194">
        <v>45</v>
      </c>
      <c r="E1194">
        <f>IF(OR(B1194="vi",B1194="ii",B1194="pod"),(((D1194/100)*(C1194*VLOOKUP(B1194,'Poids des runes'!A:B,2,FALSE)))+1),(((D1194/100)*(C1194*VLOOKUP(B1194,'Poids des runes'!A:B,2,FALSE)))+1)/VLOOKUP(B1194,'Poids des runes'!A:B,2,FALSE))</f>
        <v>1.2678571428571428</v>
      </c>
      <c r="F1194">
        <f t="shared" si="18"/>
        <v>1.2678571428571428</v>
      </c>
    </row>
    <row r="1195" spans="1:6" x14ac:dyDescent="0.3">
      <c r="A1195" t="s">
        <v>377</v>
      </c>
      <c r="B1195" t="s">
        <v>2128</v>
      </c>
      <c r="C1195">
        <v>55.5</v>
      </c>
      <c r="D1195">
        <v>46</v>
      </c>
      <c r="E1195">
        <f>IF(OR(B1195="vi",B1195="ii",B1195="pod"),(((D1195/100)*(C1195*VLOOKUP(B1195,'Poids des runes'!A:B,2,FALSE)))+1),(((D1195/100)*(C1195*VLOOKUP(B1195,'Poids des runes'!A:B,2,FALSE)))+1)/VLOOKUP(B1195,'Poids des runes'!A:B,2,FALSE))</f>
        <v>6.1060000000000008</v>
      </c>
      <c r="F1195">
        <f t="shared" si="18"/>
        <v>6.1060000000000008</v>
      </c>
    </row>
    <row r="1196" spans="1:6" x14ac:dyDescent="0.3">
      <c r="A1196" t="s">
        <v>377</v>
      </c>
      <c r="B1196" t="s">
        <v>2155</v>
      </c>
      <c r="C1196">
        <v>1</v>
      </c>
      <c r="D1196">
        <v>46</v>
      </c>
      <c r="E1196">
        <f>IF(OR(B1196="vi",B1196="ii",B1196="pod"),(((D1196/100)*(C1196*VLOOKUP(B1196,'Poids des runes'!A:B,2,FALSE)))+1),(((D1196/100)*(C1196*VLOOKUP(B1196,'Poids des runes'!A:B,2,FALSE)))+1)/VLOOKUP(B1196,'Poids des runes'!A:B,2,FALSE))</f>
        <v>0.47960784313725491</v>
      </c>
      <c r="F1196">
        <f t="shared" si="18"/>
        <v>0.47960784313725491</v>
      </c>
    </row>
    <row r="1197" spans="1:6" x14ac:dyDescent="0.3">
      <c r="A1197" t="s">
        <v>377</v>
      </c>
      <c r="B1197" t="s">
        <v>2150</v>
      </c>
      <c r="C1197">
        <v>2</v>
      </c>
      <c r="D1197">
        <v>46</v>
      </c>
      <c r="E1197">
        <f>IF(OR(B1197="vi",B1197="ii",B1197="pod"),(((D1197/100)*(C1197*VLOOKUP(B1197,'Poids des runes'!A:B,2,FALSE)))+1),(((D1197/100)*(C1197*VLOOKUP(B1197,'Poids des runes'!A:B,2,FALSE)))+1)/VLOOKUP(B1197,'Poids des runes'!A:B,2,FALSE))</f>
        <v>0.95333333333333337</v>
      </c>
      <c r="F1197">
        <f t="shared" si="18"/>
        <v>0.95333333333333337</v>
      </c>
    </row>
    <row r="1198" spans="1:6" x14ac:dyDescent="0.3">
      <c r="A1198" t="s">
        <v>378</v>
      </c>
      <c r="B1198" t="s">
        <v>2128</v>
      </c>
      <c r="C1198">
        <v>85.5</v>
      </c>
      <c r="D1198">
        <v>46</v>
      </c>
      <c r="E1198">
        <f>IF(OR(B1198="vi",B1198="ii",B1198="pod"),(((D1198/100)*(C1198*VLOOKUP(B1198,'Poids des runes'!A:B,2,FALSE)))+1),(((D1198/100)*(C1198*VLOOKUP(B1198,'Poids des runes'!A:B,2,FALSE)))+1)/VLOOKUP(B1198,'Poids des runes'!A:B,2,FALSE))</f>
        <v>8.8660000000000014</v>
      </c>
      <c r="F1198">
        <f t="shared" si="18"/>
        <v>8.8660000000000014</v>
      </c>
    </row>
    <row r="1199" spans="1:6" x14ac:dyDescent="0.3">
      <c r="A1199" t="s">
        <v>378</v>
      </c>
      <c r="B1199" t="s">
        <v>2129</v>
      </c>
      <c r="C1199">
        <v>18</v>
      </c>
      <c r="D1199">
        <v>46</v>
      </c>
      <c r="E1199">
        <f>IF(OR(B1199="vi",B1199="ii",B1199="pod"),(((D1199/100)*(C1199*VLOOKUP(B1199,'Poids des runes'!A:B,2,FALSE)))+1),(((D1199/100)*(C1199*VLOOKUP(B1199,'Poids des runes'!A:B,2,FALSE)))+1)/VLOOKUP(B1199,'Poids des runes'!A:B,2,FALSE))</f>
        <v>9.2800000000000011</v>
      </c>
      <c r="F1199">
        <f t="shared" si="18"/>
        <v>9.2800000000000011</v>
      </c>
    </row>
    <row r="1200" spans="1:6" x14ac:dyDescent="0.3">
      <c r="A1200" t="s">
        <v>378</v>
      </c>
      <c r="B1200" t="s">
        <v>2152</v>
      </c>
      <c r="C1200">
        <v>1</v>
      </c>
      <c r="D1200">
        <v>46</v>
      </c>
      <c r="E1200">
        <f>IF(OR(B1200="vi",B1200="ii",B1200="pod"),(((D1200/100)*(C1200*VLOOKUP(B1200,'Poids des runes'!A:B,2,FALSE)))+1),(((D1200/100)*(C1200*VLOOKUP(B1200,'Poids des runes'!A:B,2,FALSE)))+1)/VLOOKUP(B1200,'Poids des runes'!A:B,2,FALSE))</f>
        <v>0.47</v>
      </c>
      <c r="F1200">
        <f t="shared" si="18"/>
        <v>0.47</v>
      </c>
    </row>
    <row r="1201" spans="1:6" x14ac:dyDescent="0.3">
      <c r="A1201" t="s">
        <v>378</v>
      </c>
      <c r="B1201" t="s">
        <v>2134</v>
      </c>
      <c r="C1201">
        <v>4.5</v>
      </c>
      <c r="D1201">
        <v>46</v>
      </c>
      <c r="E1201">
        <f>IF(OR(B1201="vi",B1201="ii",B1201="pod"),(((D1201/100)*(C1201*VLOOKUP(B1201,'Poids des runes'!A:B,2,FALSE)))+1),(((D1201/100)*(C1201*VLOOKUP(B1201,'Poids des runes'!A:B,2,FALSE)))+1)/VLOOKUP(B1201,'Poids des runes'!A:B,2,FALSE))</f>
        <v>2.12</v>
      </c>
      <c r="F1201">
        <f t="shared" si="18"/>
        <v>2.12</v>
      </c>
    </row>
    <row r="1202" spans="1:6" x14ac:dyDescent="0.3">
      <c r="A1202" t="s">
        <v>379</v>
      </c>
      <c r="B1202" t="s">
        <v>2128</v>
      </c>
      <c r="C1202">
        <v>35.5</v>
      </c>
      <c r="D1202">
        <v>46</v>
      </c>
      <c r="E1202">
        <f>IF(OR(B1202="vi",B1202="ii",B1202="pod"),(((D1202/100)*(C1202*VLOOKUP(B1202,'Poids des runes'!A:B,2,FALSE)))+1),(((D1202/100)*(C1202*VLOOKUP(B1202,'Poids des runes'!A:B,2,FALSE)))+1)/VLOOKUP(B1202,'Poids des runes'!A:B,2,FALSE))</f>
        <v>4.266</v>
      </c>
      <c r="F1202">
        <f t="shared" si="18"/>
        <v>4.266</v>
      </c>
    </row>
    <row r="1203" spans="1:6" x14ac:dyDescent="0.3">
      <c r="A1203" t="s">
        <v>379</v>
      </c>
      <c r="B1203" t="s">
        <v>2126</v>
      </c>
      <c r="C1203">
        <v>35.5</v>
      </c>
      <c r="D1203">
        <v>46</v>
      </c>
      <c r="E1203">
        <f>IF(OR(B1203="vi",B1203="ii",B1203="pod"),(((D1203/100)*(C1203*VLOOKUP(B1203,'Poids des runes'!A:B,2,FALSE)))+1),(((D1203/100)*(C1203*VLOOKUP(B1203,'Poids des runes'!A:B,2,FALSE)))+1)/VLOOKUP(B1203,'Poids des runes'!A:B,2,FALSE))</f>
        <v>17.330000000000002</v>
      </c>
      <c r="F1203">
        <f t="shared" si="18"/>
        <v>17.330000000000002</v>
      </c>
    </row>
    <row r="1204" spans="1:6" x14ac:dyDescent="0.3">
      <c r="A1204" t="s">
        <v>379</v>
      </c>
      <c r="B1204" t="s">
        <v>2139</v>
      </c>
      <c r="C1204">
        <v>13</v>
      </c>
      <c r="D1204">
        <v>46</v>
      </c>
      <c r="E1204">
        <f>IF(OR(B1204="vi",B1204="ii",B1204="pod"),(((D1204/100)*(C1204*VLOOKUP(B1204,'Poids des runes'!A:B,2,FALSE)))+1),(((D1204/100)*(C1204*VLOOKUP(B1204,'Poids des runes'!A:B,2,FALSE)))+1)/VLOOKUP(B1204,'Poids des runes'!A:B,2,FALSE))</f>
        <v>6.48</v>
      </c>
      <c r="F1204">
        <f t="shared" si="18"/>
        <v>6.48</v>
      </c>
    </row>
    <row r="1205" spans="1:6" x14ac:dyDescent="0.3">
      <c r="A1205" t="s">
        <v>379</v>
      </c>
      <c r="B1205" t="s">
        <v>2149</v>
      </c>
      <c r="C1205">
        <v>4.5</v>
      </c>
      <c r="D1205">
        <v>46</v>
      </c>
      <c r="E1205">
        <f>IF(OR(B1205="vi",B1205="ii",B1205="pod"),(((D1205/100)*(C1205*VLOOKUP(B1205,'Poids des runes'!A:B,2,FALSE)))+1),(((D1205/100)*(C1205*VLOOKUP(B1205,'Poids des runes'!A:B,2,FALSE)))+1)/VLOOKUP(B1205,'Poids des runes'!A:B,2,FALSE))</f>
        <v>2.17</v>
      </c>
      <c r="F1205">
        <f t="shared" si="18"/>
        <v>2.17</v>
      </c>
    </row>
    <row r="1206" spans="1:6" x14ac:dyDescent="0.3">
      <c r="A1206" t="s">
        <v>379</v>
      </c>
      <c r="B1206" t="s">
        <v>2138</v>
      </c>
      <c r="C1206">
        <v>4.5</v>
      </c>
      <c r="D1206">
        <v>46</v>
      </c>
      <c r="E1206">
        <f>IF(OR(B1206="vi",B1206="ii",B1206="pod"),(((D1206/100)*(C1206*VLOOKUP(B1206,'Poids des runes'!A:B,2,FALSE)))+1),(((D1206/100)*(C1206*VLOOKUP(B1206,'Poids des runes'!A:B,2,FALSE)))+1)/VLOOKUP(B1206,'Poids des runes'!A:B,2,FALSE))</f>
        <v>2.3200000000000003</v>
      </c>
      <c r="F1206">
        <f t="shared" si="18"/>
        <v>2.3200000000000003</v>
      </c>
    </row>
    <row r="1207" spans="1:6" x14ac:dyDescent="0.3">
      <c r="A1207" t="s">
        <v>380</v>
      </c>
      <c r="B1207" t="s">
        <v>2128</v>
      </c>
      <c r="C1207">
        <v>50.5</v>
      </c>
      <c r="D1207">
        <v>46</v>
      </c>
      <c r="E1207">
        <f>IF(OR(B1207="vi",B1207="ii",B1207="pod"),(((D1207/100)*(C1207*VLOOKUP(B1207,'Poids des runes'!A:B,2,FALSE)))+1),(((D1207/100)*(C1207*VLOOKUP(B1207,'Poids des runes'!A:B,2,FALSE)))+1)/VLOOKUP(B1207,'Poids des runes'!A:B,2,FALSE))</f>
        <v>5.6460000000000008</v>
      </c>
      <c r="F1207">
        <f t="shared" si="18"/>
        <v>5.6460000000000008</v>
      </c>
    </row>
    <row r="1208" spans="1:6" x14ac:dyDescent="0.3">
      <c r="A1208" t="s">
        <v>380</v>
      </c>
      <c r="B1208" t="s">
        <v>2139</v>
      </c>
      <c r="C1208">
        <v>13</v>
      </c>
      <c r="D1208">
        <v>46</v>
      </c>
      <c r="E1208">
        <f>IF(OR(B1208="vi",B1208="ii",B1208="pod"),(((D1208/100)*(C1208*VLOOKUP(B1208,'Poids des runes'!A:B,2,FALSE)))+1),(((D1208/100)*(C1208*VLOOKUP(B1208,'Poids des runes'!A:B,2,FALSE)))+1)/VLOOKUP(B1208,'Poids des runes'!A:B,2,FALSE))</f>
        <v>6.48</v>
      </c>
      <c r="F1208">
        <f t="shared" si="18"/>
        <v>6.48</v>
      </c>
    </row>
    <row r="1209" spans="1:6" x14ac:dyDescent="0.3">
      <c r="A1209" t="s">
        <v>380</v>
      </c>
      <c r="B1209" t="s">
        <v>2151</v>
      </c>
      <c r="C1209">
        <v>3.5</v>
      </c>
      <c r="D1209">
        <v>46</v>
      </c>
      <c r="E1209">
        <f>IF(OR(B1209="vi",B1209="ii",B1209="pod"),(((D1209/100)*(C1209*VLOOKUP(B1209,'Poids des runes'!A:B,2,FALSE)))+1),(((D1209/100)*(C1209*VLOOKUP(B1209,'Poids des runes'!A:B,2,FALSE)))+1)/VLOOKUP(B1209,'Poids des runes'!A:B,2,FALSE))</f>
        <v>1.7100000000000002</v>
      </c>
      <c r="F1209">
        <f t="shared" si="18"/>
        <v>1.7100000000000002</v>
      </c>
    </row>
    <row r="1210" spans="1:6" x14ac:dyDescent="0.3">
      <c r="A1210" t="s">
        <v>380</v>
      </c>
      <c r="B1210" t="s">
        <v>2149</v>
      </c>
      <c r="C1210">
        <v>8.5</v>
      </c>
      <c r="D1210">
        <v>46</v>
      </c>
      <c r="E1210">
        <f>IF(OR(B1210="vi",B1210="ii",B1210="pod"),(((D1210/100)*(C1210*VLOOKUP(B1210,'Poids des runes'!A:B,2,FALSE)))+1),(((D1210/100)*(C1210*VLOOKUP(B1210,'Poids des runes'!A:B,2,FALSE)))+1)/VLOOKUP(B1210,'Poids des runes'!A:B,2,FALSE))</f>
        <v>4.01</v>
      </c>
      <c r="F1210">
        <f t="shared" si="18"/>
        <v>4.01</v>
      </c>
    </row>
    <row r="1211" spans="1:6" x14ac:dyDescent="0.3">
      <c r="A1211" t="s">
        <v>381</v>
      </c>
      <c r="B1211" t="s">
        <v>2128</v>
      </c>
      <c r="C1211">
        <v>50.5</v>
      </c>
      <c r="D1211">
        <v>46</v>
      </c>
      <c r="E1211">
        <f>IF(OR(B1211="vi",B1211="ii",B1211="pod"),(((D1211/100)*(C1211*VLOOKUP(B1211,'Poids des runes'!A:B,2,FALSE)))+1),(((D1211/100)*(C1211*VLOOKUP(B1211,'Poids des runes'!A:B,2,FALSE)))+1)/VLOOKUP(B1211,'Poids des runes'!A:B,2,FALSE))</f>
        <v>5.6460000000000008</v>
      </c>
      <c r="F1211">
        <f t="shared" si="18"/>
        <v>5.6460000000000008</v>
      </c>
    </row>
    <row r="1212" spans="1:6" x14ac:dyDescent="0.3">
      <c r="A1212" t="s">
        <v>381</v>
      </c>
      <c r="B1212" t="s">
        <v>2127</v>
      </c>
      <c r="C1212">
        <v>25.5</v>
      </c>
      <c r="D1212">
        <v>46</v>
      </c>
      <c r="E1212">
        <f>IF(OR(B1212="vi",B1212="ii",B1212="pod"),(((D1212/100)*(C1212*VLOOKUP(B1212,'Poids des runes'!A:B,2,FALSE)))+1),(((D1212/100)*(C1212*VLOOKUP(B1212,'Poids des runes'!A:B,2,FALSE)))+1)/VLOOKUP(B1212,'Poids des runes'!A:B,2,FALSE))</f>
        <v>12.73</v>
      </c>
      <c r="F1212">
        <f t="shared" si="18"/>
        <v>12.73</v>
      </c>
    </row>
    <row r="1213" spans="1:6" x14ac:dyDescent="0.3">
      <c r="A1213" t="s">
        <v>381</v>
      </c>
      <c r="B1213" t="s">
        <v>2151</v>
      </c>
      <c r="C1213">
        <v>2.5</v>
      </c>
      <c r="D1213">
        <v>46</v>
      </c>
      <c r="E1213">
        <f>IF(OR(B1213="vi",B1213="ii",B1213="pod"),(((D1213/100)*(C1213*VLOOKUP(B1213,'Poids des runes'!A:B,2,FALSE)))+1),(((D1213/100)*(C1213*VLOOKUP(B1213,'Poids des runes'!A:B,2,FALSE)))+1)/VLOOKUP(B1213,'Poids des runes'!A:B,2,FALSE))</f>
        <v>1.25</v>
      </c>
      <c r="F1213">
        <f t="shared" si="18"/>
        <v>1.25</v>
      </c>
    </row>
    <row r="1214" spans="1:6" x14ac:dyDescent="0.3">
      <c r="A1214" t="s">
        <v>381</v>
      </c>
      <c r="B1214" t="s">
        <v>2134</v>
      </c>
      <c r="C1214">
        <v>2.5</v>
      </c>
      <c r="D1214">
        <v>46</v>
      </c>
      <c r="E1214">
        <f>IF(OR(B1214="vi",B1214="ii",B1214="pod"),(((D1214/100)*(C1214*VLOOKUP(B1214,'Poids des runes'!A:B,2,FALSE)))+1),(((D1214/100)*(C1214*VLOOKUP(B1214,'Poids des runes'!A:B,2,FALSE)))+1)/VLOOKUP(B1214,'Poids des runes'!A:B,2,FALSE))</f>
        <v>1.2</v>
      </c>
      <c r="F1214">
        <f t="shared" si="18"/>
        <v>1.2</v>
      </c>
    </row>
    <row r="1215" spans="1:6" x14ac:dyDescent="0.3">
      <c r="A1215" t="s">
        <v>382</v>
      </c>
      <c r="B1215" t="s">
        <v>2127</v>
      </c>
      <c r="C1215">
        <v>28</v>
      </c>
      <c r="D1215">
        <v>46</v>
      </c>
      <c r="E1215">
        <f>IF(OR(B1215="vi",B1215="ii",B1215="pod"),(((D1215/100)*(C1215*VLOOKUP(B1215,'Poids des runes'!A:B,2,FALSE)))+1),(((D1215/100)*(C1215*VLOOKUP(B1215,'Poids des runes'!A:B,2,FALSE)))+1)/VLOOKUP(B1215,'Poids des runes'!A:B,2,FALSE))</f>
        <v>13.88</v>
      </c>
      <c r="F1215">
        <f t="shared" si="18"/>
        <v>13.88</v>
      </c>
    </row>
    <row r="1216" spans="1:6" x14ac:dyDescent="0.3">
      <c r="A1216" t="s">
        <v>382</v>
      </c>
      <c r="B1216" t="s">
        <v>2150</v>
      </c>
      <c r="C1216">
        <v>1.5</v>
      </c>
      <c r="D1216">
        <v>46</v>
      </c>
      <c r="E1216">
        <f>IF(OR(B1216="vi",B1216="ii",B1216="pod"),(((D1216/100)*(C1216*VLOOKUP(B1216,'Poids des runes'!A:B,2,FALSE)))+1),(((D1216/100)*(C1216*VLOOKUP(B1216,'Poids des runes'!A:B,2,FALSE)))+1)/VLOOKUP(B1216,'Poids des runes'!A:B,2,FALSE))</f>
        <v>0.72333333333333327</v>
      </c>
      <c r="F1216">
        <f t="shared" si="18"/>
        <v>0.72333333333333327</v>
      </c>
    </row>
    <row r="1217" spans="1:6" x14ac:dyDescent="0.3">
      <c r="A1217" t="s">
        <v>382</v>
      </c>
      <c r="B1217" t="s">
        <v>2132</v>
      </c>
      <c r="C1217">
        <v>250.5</v>
      </c>
      <c r="D1217">
        <v>46</v>
      </c>
      <c r="E1217">
        <f>IF(OR(B1217="vi",B1217="ii",B1217="pod"),(((D1217/100)*(C1217*VLOOKUP(B1217,'Poids des runes'!A:B,2,FALSE)))+1),(((D1217/100)*(C1217*VLOOKUP(B1217,'Poids des runes'!A:B,2,FALSE)))+1)/VLOOKUP(B1217,'Poids des runes'!A:B,2,FALSE))</f>
        <v>12.523000000000001</v>
      </c>
      <c r="F1217">
        <f t="shared" si="18"/>
        <v>12.523000000000001</v>
      </c>
    </row>
    <row r="1218" spans="1:6" x14ac:dyDescent="0.3">
      <c r="A1218" t="s">
        <v>383</v>
      </c>
      <c r="B1218" t="s">
        <v>2128</v>
      </c>
      <c r="C1218">
        <v>58</v>
      </c>
      <c r="D1218">
        <v>46</v>
      </c>
      <c r="E1218">
        <f>IF(OR(B1218="vi",B1218="ii",B1218="pod"),(((D1218/100)*(C1218*VLOOKUP(B1218,'Poids des runes'!A:B,2,FALSE)))+1),(((D1218/100)*(C1218*VLOOKUP(B1218,'Poids des runes'!A:B,2,FALSE)))+1)/VLOOKUP(B1218,'Poids des runes'!A:B,2,FALSE))</f>
        <v>6.3360000000000012</v>
      </c>
      <c r="F1218">
        <f t="shared" si="18"/>
        <v>6.3360000000000012</v>
      </c>
    </row>
    <row r="1219" spans="1:6" x14ac:dyDescent="0.3">
      <c r="A1219" t="s">
        <v>383</v>
      </c>
      <c r="B1219" t="s">
        <v>2152</v>
      </c>
      <c r="C1219">
        <v>1</v>
      </c>
      <c r="D1219">
        <v>46</v>
      </c>
      <c r="E1219">
        <f>IF(OR(B1219="vi",B1219="ii",B1219="pod"),(((D1219/100)*(C1219*VLOOKUP(B1219,'Poids des runes'!A:B,2,FALSE)))+1),(((D1219/100)*(C1219*VLOOKUP(B1219,'Poids des runes'!A:B,2,FALSE)))+1)/VLOOKUP(B1219,'Poids des runes'!A:B,2,FALSE))</f>
        <v>0.47</v>
      </c>
      <c r="F1219">
        <f t="shared" ref="F1219:F1282" si="19">E1219</f>
        <v>0.47</v>
      </c>
    </row>
    <row r="1220" spans="1:6" x14ac:dyDescent="0.3">
      <c r="A1220" t="s">
        <v>383</v>
      </c>
      <c r="B1220" t="s">
        <v>2149</v>
      </c>
      <c r="C1220">
        <v>4.5</v>
      </c>
      <c r="D1220">
        <v>46</v>
      </c>
      <c r="E1220">
        <f>IF(OR(B1220="vi",B1220="ii",B1220="pod"),(((D1220/100)*(C1220*VLOOKUP(B1220,'Poids des runes'!A:B,2,FALSE)))+1),(((D1220/100)*(C1220*VLOOKUP(B1220,'Poids des runes'!A:B,2,FALSE)))+1)/VLOOKUP(B1220,'Poids des runes'!A:B,2,FALSE))</f>
        <v>2.17</v>
      </c>
      <c r="F1220">
        <f t="shared" si="19"/>
        <v>2.17</v>
      </c>
    </row>
    <row r="1221" spans="1:6" x14ac:dyDescent="0.3">
      <c r="A1221" t="s">
        <v>384</v>
      </c>
      <c r="B1221" t="s">
        <v>2128</v>
      </c>
      <c r="C1221">
        <v>25.5</v>
      </c>
      <c r="D1221">
        <v>46</v>
      </c>
      <c r="E1221">
        <f>IF(OR(B1221="vi",B1221="ii",B1221="pod"),(((D1221/100)*(C1221*VLOOKUP(B1221,'Poids des runes'!A:B,2,FALSE)))+1),(((D1221/100)*(C1221*VLOOKUP(B1221,'Poids des runes'!A:B,2,FALSE)))+1)/VLOOKUP(B1221,'Poids des runes'!A:B,2,FALSE))</f>
        <v>3.3460000000000005</v>
      </c>
      <c r="F1221">
        <f t="shared" si="19"/>
        <v>3.3460000000000005</v>
      </c>
    </row>
    <row r="1222" spans="1:6" x14ac:dyDescent="0.3">
      <c r="A1222" t="s">
        <v>384</v>
      </c>
      <c r="B1222" t="s">
        <v>2155</v>
      </c>
      <c r="C1222">
        <v>1</v>
      </c>
      <c r="D1222">
        <v>46</v>
      </c>
      <c r="E1222">
        <f>IF(OR(B1222="vi",B1222="ii",B1222="pod"),(((D1222/100)*(C1222*VLOOKUP(B1222,'Poids des runes'!A:B,2,FALSE)))+1),(((D1222/100)*(C1222*VLOOKUP(B1222,'Poids des runes'!A:B,2,FALSE)))+1)/VLOOKUP(B1222,'Poids des runes'!A:B,2,FALSE))</f>
        <v>0.47960784313725491</v>
      </c>
      <c r="F1222">
        <f t="shared" si="19"/>
        <v>0.47960784313725491</v>
      </c>
    </row>
    <row r="1223" spans="1:6" x14ac:dyDescent="0.3">
      <c r="A1223" t="s">
        <v>384</v>
      </c>
      <c r="B1223" t="s">
        <v>2140</v>
      </c>
      <c r="C1223">
        <v>1.5</v>
      </c>
      <c r="D1223">
        <v>46</v>
      </c>
      <c r="E1223">
        <f>IF(OR(B1223="vi",B1223="ii",B1223="pod"),(((D1223/100)*(C1223*VLOOKUP(B1223,'Poids des runes'!A:B,2,FALSE)))+1),(((D1223/100)*(C1223*VLOOKUP(B1223,'Poids des runes'!A:B,2,FALSE)))+1)/VLOOKUP(B1223,'Poids des runes'!A:B,2,FALSE))</f>
        <v>0.89</v>
      </c>
      <c r="F1223">
        <f t="shared" si="19"/>
        <v>0.89</v>
      </c>
    </row>
    <row r="1224" spans="1:6" x14ac:dyDescent="0.3">
      <c r="A1224" t="s">
        <v>384</v>
      </c>
      <c r="B1224" t="s">
        <v>2133</v>
      </c>
      <c r="C1224">
        <v>1.5</v>
      </c>
      <c r="D1224">
        <v>46</v>
      </c>
      <c r="E1224">
        <f>IF(OR(B1224="vi",B1224="ii",B1224="pod"),(((D1224/100)*(C1224*VLOOKUP(B1224,'Poids des runes'!A:B,2,FALSE)))+1),(((D1224/100)*(C1224*VLOOKUP(B1224,'Poids des runes'!A:B,2,FALSE)))+1)/VLOOKUP(B1224,'Poids des runes'!A:B,2,FALSE))</f>
        <v>0.89</v>
      </c>
      <c r="F1224">
        <f t="shared" si="19"/>
        <v>0.89</v>
      </c>
    </row>
    <row r="1225" spans="1:6" x14ac:dyDescent="0.3">
      <c r="A1225" t="s">
        <v>384</v>
      </c>
      <c r="B1225" t="s">
        <v>2148</v>
      </c>
      <c r="C1225">
        <v>2.5</v>
      </c>
      <c r="D1225">
        <v>46</v>
      </c>
      <c r="E1225">
        <f>IF(OR(B1225="vi",B1225="ii",B1225="pod"),(((D1225/100)*(C1225*VLOOKUP(B1225,'Poids des runes'!A:B,2,FALSE)))+1),(((D1225/100)*(C1225*VLOOKUP(B1225,'Poids des runes'!A:B,2,FALSE)))+1)/VLOOKUP(B1225,'Poids des runes'!A:B,2,FALSE))</f>
        <v>1.3166666666666667</v>
      </c>
      <c r="F1225">
        <f t="shared" si="19"/>
        <v>1.3166666666666667</v>
      </c>
    </row>
    <row r="1226" spans="1:6" x14ac:dyDescent="0.3">
      <c r="A1226" t="s">
        <v>385</v>
      </c>
      <c r="B1226" t="s">
        <v>2128</v>
      </c>
      <c r="C1226">
        <v>50.5</v>
      </c>
      <c r="D1226">
        <v>46</v>
      </c>
      <c r="E1226">
        <f>IF(OR(B1226="vi",B1226="ii",B1226="pod"),(((D1226/100)*(C1226*VLOOKUP(B1226,'Poids des runes'!A:B,2,FALSE)))+1),(((D1226/100)*(C1226*VLOOKUP(B1226,'Poids des runes'!A:B,2,FALSE)))+1)/VLOOKUP(B1226,'Poids des runes'!A:B,2,FALSE))</f>
        <v>5.6460000000000008</v>
      </c>
      <c r="F1226">
        <f t="shared" si="19"/>
        <v>5.6460000000000008</v>
      </c>
    </row>
    <row r="1227" spans="1:6" x14ac:dyDescent="0.3">
      <c r="A1227" t="s">
        <v>385</v>
      </c>
      <c r="B1227" t="s">
        <v>2138</v>
      </c>
      <c r="C1227">
        <v>8.5</v>
      </c>
      <c r="D1227">
        <v>46</v>
      </c>
      <c r="E1227">
        <f>IF(OR(B1227="vi",B1227="ii",B1227="pod"),(((D1227/100)*(C1227*VLOOKUP(B1227,'Poids des runes'!A:B,2,FALSE)))+1),(((D1227/100)*(C1227*VLOOKUP(B1227,'Poids des runes'!A:B,2,FALSE)))+1)/VLOOKUP(B1227,'Poids des runes'!A:B,2,FALSE))</f>
        <v>4.16</v>
      </c>
      <c r="F1227">
        <f t="shared" si="19"/>
        <v>4.16</v>
      </c>
    </row>
    <row r="1228" spans="1:6" x14ac:dyDescent="0.3">
      <c r="A1228" t="s">
        <v>385</v>
      </c>
      <c r="B1228" t="s">
        <v>2163</v>
      </c>
      <c r="C1228">
        <v>8.5</v>
      </c>
      <c r="D1228">
        <v>46</v>
      </c>
      <c r="E1228">
        <f>IF(OR(B1228="vi",B1228="ii",B1228="pod"),(((D1228/100)*(C1228*VLOOKUP(B1228,'Poids des runes'!A:B,2,FALSE)))+1),(((D1228/100)*(C1228*VLOOKUP(B1228,'Poids des runes'!A:B,2,FALSE)))+1)/VLOOKUP(B1228,'Poids des runes'!A:B,2,FALSE))</f>
        <v>4.41</v>
      </c>
      <c r="F1228">
        <f t="shared" si="19"/>
        <v>4.41</v>
      </c>
    </row>
    <row r="1229" spans="1:6" x14ac:dyDescent="0.3">
      <c r="A1229" t="s">
        <v>385</v>
      </c>
      <c r="B1229" t="s">
        <v>2164</v>
      </c>
      <c r="C1229">
        <v>8.5</v>
      </c>
      <c r="D1229">
        <v>46</v>
      </c>
      <c r="E1229">
        <f>IF(OR(B1229="vi",B1229="ii",B1229="pod"),(((D1229/100)*(C1229*VLOOKUP(B1229,'Poids des runes'!A:B,2,FALSE)))+1),(((D1229/100)*(C1229*VLOOKUP(B1229,'Poids des runes'!A:B,2,FALSE)))+1)/VLOOKUP(B1229,'Poids des runes'!A:B,2,FALSE))</f>
        <v>4.41</v>
      </c>
      <c r="F1229">
        <f t="shared" si="19"/>
        <v>4.41</v>
      </c>
    </row>
    <row r="1230" spans="1:6" x14ac:dyDescent="0.3">
      <c r="A1230" t="s">
        <v>386</v>
      </c>
      <c r="B1230" t="s">
        <v>2128</v>
      </c>
      <c r="C1230">
        <v>18</v>
      </c>
      <c r="D1230">
        <v>46</v>
      </c>
      <c r="E1230">
        <f>IF(OR(B1230="vi",B1230="ii",B1230="pod"),(((D1230/100)*(C1230*VLOOKUP(B1230,'Poids des runes'!A:B,2,FALSE)))+1),(((D1230/100)*(C1230*VLOOKUP(B1230,'Poids des runes'!A:B,2,FALSE)))+1)/VLOOKUP(B1230,'Poids des runes'!A:B,2,FALSE))</f>
        <v>2.6560000000000001</v>
      </c>
      <c r="F1230">
        <f t="shared" si="19"/>
        <v>2.6560000000000001</v>
      </c>
    </row>
    <row r="1231" spans="1:6" x14ac:dyDescent="0.3">
      <c r="A1231" t="s">
        <v>386</v>
      </c>
      <c r="B1231" t="s">
        <v>2129</v>
      </c>
      <c r="C1231">
        <v>13</v>
      </c>
      <c r="D1231">
        <v>46</v>
      </c>
      <c r="E1231">
        <f>IF(OR(B1231="vi",B1231="ii",B1231="pod"),(((D1231/100)*(C1231*VLOOKUP(B1231,'Poids des runes'!A:B,2,FALSE)))+1),(((D1231/100)*(C1231*VLOOKUP(B1231,'Poids des runes'!A:B,2,FALSE)))+1)/VLOOKUP(B1231,'Poids des runes'!A:B,2,FALSE))</f>
        <v>6.98</v>
      </c>
      <c r="F1231">
        <f t="shared" si="19"/>
        <v>6.98</v>
      </c>
    </row>
    <row r="1232" spans="1:6" x14ac:dyDescent="0.3">
      <c r="A1232" t="s">
        <v>386</v>
      </c>
      <c r="B1232" t="s">
        <v>2148</v>
      </c>
      <c r="C1232">
        <v>4</v>
      </c>
      <c r="D1232">
        <v>46</v>
      </c>
      <c r="E1232">
        <f>IF(OR(B1232="vi",B1232="ii",B1232="pod"),(((D1232/100)*(C1232*VLOOKUP(B1232,'Poids des runes'!A:B,2,FALSE)))+1),(((D1232/100)*(C1232*VLOOKUP(B1232,'Poids des runes'!A:B,2,FALSE)))+1)/VLOOKUP(B1232,'Poids des runes'!A:B,2,FALSE))</f>
        <v>2.0066666666666668</v>
      </c>
      <c r="F1232">
        <f t="shared" si="19"/>
        <v>2.0066666666666668</v>
      </c>
    </row>
    <row r="1233" spans="1:6" x14ac:dyDescent="0.3">
      <c r="A1233" t="s">
        <v>386</v>
      </c>
      <c r="B1233" t="s">
        <v>2144</v>
      </c>
      <c r="C1233">
        <v>4</v>
      </c>
      <c r="D1233">
        <v>46</v>
      </c>
      <c r="E1233">
        <f>IF(OR(B1233="vi",B1233="ii",B1233="pod"),(((D1233/100)*(C1233*VLOOKUP(B1233,'Poids des runes'!A:B,2,FALSE)))+1),(((D1233/100)*(C1233*VLOOKUP(B1233,'Poids des runes'!A:B,2,FALSE)))+1)/VLOOKUP(B1233,'Poids des runes'!A:B,2,FALSE))</f>
        <v>2.34</v>
      </c>
      <c r="F1233">
        <f t="shared" si="19"/>
        <v>2.34</v>
      </c>
    </row>
    <row r="1234" spans="1:6" x14ac:dyDescent="0.3">
      <c r="A1234" t="s">
        <v>386</v>
      </c>
      <c r="B1234" t="s">
        <v>2145</v>
      </c>
      <c r="C1234">
        <v>4</v>
      </c>
      <c r="D1234">
        <v>46</v>
      </c>
      <c r="E1234">
        <f>IF(OR(B1234="vi",B1234="ii",B1234="pod"),(((D1234/100)*(C1234*VLOOKUP(B1234,'Poids des runes'!A:B,2,FALSE)))+1),(((D1234/100)*(C1234*VLOOKUP(B1234,'Poids des runes'!A:B,2,FALSE)))+1)/VLOOKUP(B1234,'Poids des runes'!A:B,2,FALSE))</f>
        <v>2.34</v>
      </c>
      <c r="F1234">
        <f t="shared" si="19"/>
        <v>2.34</v>
      </c>
    </row>
    <row r="1235" spans="1:6" x14ac:dyDescent="0.3">
      <c r="A1235" t="s">
        <v>386</v>
      </c>
      <c r="B1235" t="s">
        <v>2146</v>
      </c>
      <c r="C1235">
        <v>4</v>
      </c>
      <c r="D1235">
        <v>46</v>
      </c>
      <c r="E1235">
        <f>IF(OR(B1235="vi",B1235="ii",B1235="pod"),(((D1235/100)*(C1235*VLOOKUP(B1235,'Poids des runes'!A:B,2,FALSE)))+1),(((D1235/100)*(C1235*VLOOKUP(B1235,'Poids des runes'!A:B,2,FALSE)))+1)/VLOOKUP(B1235,'Poids des runes'!A:B,2,FALSE))</f>
        <v>2.34</v>
      </c>
      <c r="F1235">
        <f t="shared" si="19"/>
        <v>2.34</v>
      </c>
    </row>
    <row r="1236" spans="1:6" x14ac:dyDescent="0.3">
      <c r="A1236" t="s">
        <v>387</v>
      </c>
      <c r="B1236" t="s">
        <v>2128</v>
      </c>
      <c r="C1236">
        <v>18</v>
      </c>
      <c r="D1236">
        <v>46</v>
      </c>
      <c r="E1236">
        <f>IF(OR(B1236="vi",B1236="ii",B1236="pod"),(((D1236/100)*(C1236*VLOOKUP(B1236,'Poids des runes'!A:B,2,FALSE)))+1),(((D1236/100)*(C1236*VLOOKUP(B1236,'Poids des runes'!A:B,2,FALSE)))+1)/VLOOKUP(B1236,'Poids des runes'!A:B,2,FALSE))</f>
        <v>2.6560000000000001</v>
      </c>
      <c r="F1236">
        <f t="shared" si="19"/>
        <v>2.6560000000000001</v>
      </c>
    </row>
    <row r="1237" spans="1:6" x14ac:dyDescent="0.3">
      <c r="A1237" t="s">
        <v>387</v>
      </c>
      <c r="B1237" t="s">
        <v>2129</v>
      </c>
      <c r="C1237">
        <v>13</v>
      </c>
      <c r="D1237">
        <v>46</v>
      </c>
      <c r="E1237">
        <f>IF(OR(B1237="vi",B1237="ii",B1237="pod"),(((D1237/100)*(C1237*VLOOKUP(B1237,'Poids des runes'!A:B,2,FALSE)))+1),(((D1237/100)*(C1237*VLOOKUP(B1237,'Poids des runes'!A:B,2,FALSE)))+1)/VLOOKUP(B1237,'Poids des runes'!A:B,2,FALSE))</f>
        <v>6.98</v>
      </c>
      <c r="F1237">
        <f t="shared" si="19"/>
        <v>6.98</v>
      </c>
    </row>
    <row r="1238" spans="1:6" x14ac:dyDescent="0.3">
      <c r="A1238" t="s">
        <v>387</v>
      </c>
      <c r="B1238" t="s">
        <v>2157</v>
      </c>
      <c r="C1238">
        <v>4</v>
      </c>
      <c r="D1238">
        <v>46</v>
      </c>
      <c r="E1238">
        <f>IF(OR(B1238="vi",B1238="ii",B1238="pod"),(((D1238/100)*(C1238*VLOOKUP(B1238,'Poids des runes'!A:B,2,FALSE)))+1),(((D1238/100)*(C1238*VLOOKUP(B1238,'Poids des runes'!A:B,2,FALSE)))+1)/VLOOKUP(B1238,'Poids des runes'!A:B,2,FALSE))</f>
        <v>2.0066666666666668</v>
      </c>
      <c r="F1238">
        <f t="shared" si="19"/>
        <v>2.0066666666666668</v>
      </c>
    </row>
    <row r="1239" spans="1:6" x14ac:dyDescent="0.3">
      <c r="A1239" t="s">
        <v>387</v>
      </c>
      <c r="B1239" t="s">
        <v>2144</v>
      </c>
      <c r="C1239">
        <v>4</v>
      </c>
      <c r="D1239">
        <v>46</v>
      </c>
      <c r="E1239">
        <f>IF(OR(B1239="vi",B1239="ii",B1239="pod"),(((D1239/100)*(C1239*VLOOKUP(B1239,'Poids des runes'!A:B,2,FALSE)))+1),(((D1239/100)*(C1239*VLOOKUP(B1239,'Poids des runes'!A:B,2,FALSE)))+1)/VLOOKUP(B1239,'Poids des runes'!A:B,2,FALSE))</f>
        <v>2.34</v>
      </c>
      <c r="F1239">
        <f t="shared" si="19"/>
        <v>2.34</v>
      </c>
    </row>
    <row r="1240" spans="1:6" x14ac:dyDescent="0.3">
      <c r="A1240" t="s">
        <v>387</v>
      </c>
      <c r="B1240" t="s">
        <v>2145</v>
      </c>
      <c r="C1240">
        <v>4</v>
      </c>
      <c r="D1240">
        <v>46</v>
      </c>
      <c r="E1240">
        <f>IF(OR(B1240="vi",B1240="ii",B1240="pod"),(((D1240/100)*(C1240*VLOOKUP(B1240,'Poids des runes'!A:B,2,FALSE)))+1),(((D1240/100)*(C1240*VLOOKUP(B1240,'Poids des runes'!A:B,2,FALSE)))+1)/VLOOKUP(B1240,'Poids des runes'!A:B,2,FALSE))</f>
        <v>2.34</v>
      </c>
      <c r="F1240">
        <f t="shared" si="19"/>
        <v>2.34</v>
      </c>
    </row>
    <row r="1241" spans="1:6" x14ac:dyDescent="0.3">
      <c r="A1241" t="s">
        <v>387</v>
      </c>
      <c r="B1241" t="s">
        <v>2146</v>
      </c>
      <c r="C1241">
        <v>4</v>
      </c>
      <c r="D1241">
        <v>46</v>
      </c>
      <c r="E1241">
        <f>IF(OR(B1241="vi",B1241="ii",B1241="pod"),(((D1241/100)*(C1241*VLOOKUP(B1241,'Poids des runes'!A:B,2,FALSE)))+1),(((D1241/100)*(C1241*VLOOKUP(B1241,'Poids des runes'!A:B,2,FALSE)))+1)/VLOOKUP(B1241,'Poids des runes'!A:B,2,FALSE))</f>
        <v>2.34</v>
      </c>
      <c r="F1241">
        <f t="shared" si="19"/>
        <v>2.34</v>
      </c>
    </row>
    <row r="1242" spans="1:6" x14ac:dyDescent="0.3">
      <c r="A1242" t="s">
        <v>388</v>
      </c>
      <c r="B1242" t="s">
        <v>2128</v>
      </c>
      <c r="C1242">
        <v>18</v>
      </c>
      <c r="D1242">
        <v>46</v>
      </c>
      <c r="E1242">
        <f>IF(OR(B1242="vi",B1242="ii",B1242="pod"),(((D1242/100)*(C1242*VLOOKUP(B1242,'Poids des runes'!A:B,2,FALSE)))+1),(((D1242/100)*(C1242*VLOOKUP(B1242,'Poids des runes'!A:B,2,FALSE)))+1)/VLOOKUP(B1242,'Poids des runes'!A:B,2,FALSE))</f>
        <v>2.6560000000000001</v>
      </c>
      <c r="F1242">
        <f t="shared" si="19"/>
        <v>2.6560000000000001</v>
      </c>
    </row>
    <row r="1243" spans="1:6" x14ac:dyDescent="0.3">
      <c r="A1243" t="s">
        <v>388</v>
      </c>
      <c r="B1243" t="s">
        <v>2129</v>
      </c>
      <c r="C1243">
        <v>13</v>
      </c>
      <c r="D1243">
        <v>46</v>
      </c>
      <c r="E1243">
        <f>IF(OR(B1243="vi",B1243="ii",B1243="pod"),(((D1243/100)*(C1243*VLOOKUP(B1243,'Poids des runes'!A:B,2,FALSE)))+1),(((D1243/100)*(C1243*VLOOKUP(B1243,'Poids des runes'!A:B,2,FALSE)))+1)/VLOOKUP(B1243,'Poids des runes'!A:B,2,FALSE))</f>
        <v>6.98</v>
      </c>
      <c r="F1243">
        <f t="shared" si="19"/>
        <v>6.98</v>
      </c>
    </row>
    <row r="1244" spans="1:6" x14ac:dyDescent="0.3">
      <c r="A1244" t="s">
        <v>388</v>
      </c>
      <c r="B1244" t="s">
        <v>2147</v>
      </c>
      <c r="C1244">
        <v>4</v>
      </c>
      <c r="D1244">
        <v>46</v>
      </c>
      <c r="E1244">
        <f>IF(OR(B1244="vi",B1244="ii",B1244="pod"),(((D1244/100)*(C1244*VLOOKUP(B1244,'Poids des runes'!A:B,2,FALSE)))+1),(((D1244/100)*(C1244*VLOOKUP(B1244,'Poids des runes'!A:B,2,FALSE)))+1)/VLOOKUP(B1244,'Poids des runes'!A:B,2,FALSE))</f>
        <v>2.0066666666666668</v>
      </c>
      <c r="F1244">
        <f t="shared" si="19"/>
        <v>2.0066666666666668</v>
      </c>
    </row>
    <row r="1245" spans="1:6" x14ac:dyDescent="0.3">
      <c r="A1245" t="s">
        <v>388</v>
      </c>
      <c r="B1245" t="s">
        <v>2144</v>
      </c>
      <c r="C1245">
        <v>4</v>
      </c>
      <c r="D1245">
        <v>46</v>
      </c>
      <c r="E1245">
        <f>IF(OR(B1245="vi",B1245="ii",B1245="pod"),(((D1245/100)*(C1245*VLOOKUP(B1245,'Poids des runes'!A:B,2,FALSE)))+1),(((D1245/100)*(C1245*VLOOKUP(B1245,'Poids des runes'!A:B,2,FALSE)))+1)/VLOOKUP(B1245,'Poids des runes'!A:B,2,FALSE))</f>
        <v>2.34</v>
      </c>
      <c r="F1245">
        <f t="shared" si="19"/>
        <v>2.34</v>
      </c>
    </row>
    <row r="1246" spans="1:6" x14ac:dyDescent="0.3">
      <c r="A1246" t="s">
        <v>388</v>
      </c>
      <c r="B1246" t="s">
        <v>2145</v>
      </c>
      <c r="C1246">
        <v>4</v>
      </c>
      <c r="D1246">
        <v>46</v>
      </c>
      <c r="E1246">
        <f>IF(OR(B1246="vi",B1246="ii",B1246="pod"),(((D1246/100)*(C1246*VLOOKUP(B1246,'Poids des runes'!A:B,2,FALSE)))+1),(((D1246/100)*(C1246*VLOOKUP(B1246,'Poids des runes'!A:B,2,FALSE)))+1)/VLOOKUP(B1246,'Poids des runes'!A:B,2,FALSE))</f>
        <v>2.34</v>
      </c>
      <c r="F1246">
        <f t="shared" si="19"/>
        <v>2.34</v>
      </c>
    </row>
    <row r="1247" spans="1:6" x14ac:dyDescent="0.3">
      <c r="A1247" t="s">
        <v>388</v>
      </c>
      <c r="B1247" t="s">
        <v>2146</v>
      </c>
      <c r="C1247">
        <v>4</v>
      </c>
      <c r="D1247">
        <v>46</v>
      </c>
      <c r="E1247">
        <f>IF(OR(B1247="vi",B1247="ii",B1247="pod"),(((D1247/100)*(C1247*VLOOKUP(B1247,'Poids des runes'!A:B,2,FALSE)))+1),(((D1247/100)*(C1247*VLOOKUP(B1247,'Poids des runes'!A:B,2,FALSE)))+1)/VLOOKUP(B1247,'Poids des runes'!A:B,2,FALSE))</f>
        <v>2.34</v>
      </c>
      <c r="F1247">
        <f t="shared" si="19"/>
        <v>2.34</v>
      </c>
    </row>
    <row r="1248" spans="1:6" x14ac:dyDescent="0.3">
      <c r="A1248" t="s">
        <v>389</v>
      </c>
      <c r="B1248" t="s">
        <v>2128</v>
      </c>
      <c r="C1248">
        <v>18</v>
      </c>
      <c r="D1248">
        <v>46</v>
      </c>
      <c r="E1248">
        <f>IF(OR(B1248="vi",B1248="ii",B1248="pod"),(((D1248/100)*(C1248*VLOOKUP(B1248,'Poids des runes'!A:B,2,FALSE)))+1),(((D1248/100)*(C1248*VLOOKUP(B1248,'Poids des runes'!A:B,2,FALSE)))+1)/VLOOKUP(B1248,'Poids des runes'!A:B,2,FALSE))</f>
        <v>2.6560000000000001</v>
      </c>
      <c r="F1248">
        <f t="shared" si="19"/>
        <v>2.6560000000000001</v>
      </c>
    </row>
    <row r="1249" spans="1:6" x14ac:dyDescent="0.3">
      <c r="A1249" t="s">
        <v>389</v>
      </c>
      <c r="B1249" t="s">
        <v>2129</v>
      </c>
      <c r="C1249">
        <v>13</v>
      </c>
      <c r="D1249">
        <v>46</v>
      </c>
      <c r="E1249">
        <f>IF(OR(B1249="vi",B1249="ii",B1249="pod"),(((D1249/100)*(C1249*VLOOKUP(B1249,'Poids des runes'!A:B,2,FALSE)))+1),(((D1249/100)*(C1249*VLOOKUP(B1249,'Poids des runes'!A:B,2,FALSE)))+1)/VLOOKUP(B1249,'Poids des runes'!A:B,2,FALSE))</f>
        <v>6.98</v>
      </c>
      <c r="F1249">
        <f t="shared" si="19"/>
        <v>6.98</v>
      </c>
    </row>
    <row r="1250" spans="1:6" x14ac:dyDescent="0.3">
      <c r="A1250" t="s">
        <v>389</v>
      </c>
      <c r="B1250" t="s">
        <v>2135</v>
      </c>
      <c r="C1250">
        <v>4</v>
      </c>
      <c r="D1250">
        <v>46</v>
      </c>
      <c r="E1250">
        <f>IF(OR(B1250="vi",B1250="ii",B1250="pod"),(((D1250/100)*(C1250*VLOOKUP(B1250,'Poids des runes'!A:B,2,FALSE)))+1),(((D1250/100)*(C1250*VLOOKUP(B1250,'Poids des runes'!A:B,2,FALSE)))+1)/VLOOKUP(B1250,'Poids des runes'!A:B,2,FALSE))</f>
        <v>2.0066666666666668</v>
      </c>
      <c r="F1250">
        <f t="shared" si="19"/>
        <v>2.0066666666666668</v>
      </c>
    </row>
    <row r="1251" spans="1:6" x14ac:dyDescent="0.3">
      <c r="A1251" t="s">
        <v>389</v>
      </c>
      <c r="B1251" t="s">
        <v>2144</v>
      </c>
      <c r="C1251">
        <v>4</v>
      </c>
      <c r="D1251">
        <v>46</v>
      </c>
      <c r="E1251">
        <f>IF(OR(B1251="vi",B1251="ii",B1251="pod"),(((D1251/100)*(C1251*VLOOKUP(B1251,'Poids des runes'!A:B,2,FALSE)))+1),(((D1251/100)*(C1251*VLOOKUP(B1251,'Poids des runes'!A:B,2,FALSE)))+1)/VLOOKUP(B1251,'Poids des runes'!A:B,2,FALSE))</f>
        <v>2.34</v>
      </c>
      <c r="F1251">
        <f t="shared" si="19"/>
        <v>2.34</v>
      </c>
    </row>
    <row r="1252" spans="1:6" x14ac:dyDescent="0.3">
      <c r="A1252" t="s">
        <v>389</v>
      </c>
      <c r="B1252" t="s">
        <v>2145</v>
      </c>
      <c r="C1252">
        <v>4</v>
      </c>
      <c r="D1252">
        <v>46</v>
      </c>
      <c r="E1252">
        <f>IF(OR(B1252="vi",B1252="ii",B1252="pod"),(((D1252/100)*(C1252*VLOOKUP(B1252,'Poids des runes'!A:B,2,FALSE)))+1),(((D1252/100)*(C1252*VLOOKUP(B1252,'Poids des runes'!A:B,2,FALSE)))+1)/VLOOKUP(B1252,'Poids des runes'!A:B,2,FALSE))</f>
        <v>2.34</v>
      </c>
      <c r="F1252">
        <f t="shared" si="19"/>
        <v>2.34</v>
      </c>
    </row>
    <row r="1253" spans="1:6" x14ac:dyDescent="0.3">
      <c r="A1253" t="s">
        <v>389</v>
      </c>
      <c r="B1253" t="s">
        <v>2146</v>
      </c>
      <c r="C1253">
        <v>4</v>
      </c>
      <c r="D1253">
        <v>46</v>
      </c>
      <c r="E1253">
        <f>IF(OR(B1253="vi",B1253="ii",B1253="pod"),(((D1253/100)*(C1253*VLOOKUP(B1253,'Poids des runes'!A:B,2,FALSE)))+1),(((D1253/100)*(C1253*VLOOKUP(B1253,'Poids des runes'!A:B,2,FALSE)))+1)/VLOOKUP(B1253,'Poids des runes'!A:B,2,FALSE))</f>
        <v>2.34</v>
      </c>
      <c r="F1253">
        <f t="shared" si="19"/>
        <v>2.34</v>
      </c>
    </row>
    <row r="1254" spans="1:6" x14ac:dyDescent="0.3">
      <c r="A1254" t="s">
        <v>390</v>
      </c>
      <c r="B1254" t="s">
        <v>2131</v>
      </c>
      <c r="C1254">
        <v>25.5</v>
      </c>
      <c r="D1254">
        <v>47</v>
      </c>
      <c r="E1254">
        <f>IF(OR(B1254="vi",B1254="ii",B1254="pod"),(((D1254/100)*(C1254*VLOOKUP(B1254,'Poids des runes'!A:B,2,FALSE)))+1),(((D1254/100)*(C1254*VLOOKUP(B1254,'Poids des runes'!A:B,2,FALSE)))+1)/VLOOKUP(B1254,'Poids des runes'!A:B,2,FALSE))</f>
        <v>12.984999999999999</v>
      </c>
      <c r="F1254">
        <f t="shared" si="19"/>
        <v>12.984999999999999</v>
      </c>
    </row>
    <row r="1255" spans="1:6" x14ac:dyDescent="0.3">
      <c r="A1255" t="s">
        <v>390</v>
      </c>
      <c r="B1255" t="s">
        <v>2129</v>
      </c>
      <c r="C1255">
        <v>18</v>
      </c>
      <c r="D1255">
        <v>47</v>
      </c>
      <c r="E1255">
        <f>IF(OR(B1255="vi",B1255="ii",B1255="pod"),(((D1255/100)*(C1255*VLOOKUP(B1255,'Poids des runes'!A:B,2,FALSE)))+1),(((D1255/100)*(C1255*VLOOKUP(B1255,'Poids des runes'!A:B,2,FALSE)))+1)/VLOOKUP(B1255,'Poids des runes'!A:B,2,FALSE))</f>
        <v>9.4599999999999991</v>
      </c>
      <c r="F1255">
        <f t="shared" si="19"/>
        <v>9.4599999999999991</v>
      </c>
    </row>
    <row r="1256" spans="1:6" x14ac:dyDescent="0.3">
      <c r="A1256" t="s">
        <v>390</v>
      </c>
      <c r="B1256" t="s">
        <v>2151</v>
      </c>
      <c r="C1256">
        <v>4.5</v>
      </c>
      <c r="D1256">
        <v>47</v>
      </c>
      <c r="E1256">
        <f>IF(OR(B1256="vi",B1256="ii",B1256="pod"),(((D1256/100)*(C1256*VLOOKUP(B1256,'Poids des runes'!A:B,2,FALSE)))+1),(((D1256/100)*(C1256*VLOOKUP(B1256,'Poids des runes'!A:B,2,FALSE)))+1)/VLOOKUP(B1256,'Poids des runes'!A:B,2,FALSE))</f>
        <v>2.2149999999999999</v>
      </c>
      <c r="F1256">
        <f t="shared" si="19"/>
        <v>2.2149999999999999</v>
      </c>
    </row>
    <row r="1257" spans="1:6" x14ac:dyDescent="0.3">
      <c r="A1257" t="s">
        <v>390</v>
      </c>
      <c r="B1257" t="s">
        <v>2158</v>
      </c>
      <c r="C1257">
        <v>4.5</v>
      </c>
      <c r="D1257">
        <v>47</v>
      </c>
      <c r="E1257">
        <f>IF(OR(B1257="vi",B1257="ii",B1257="pod"),(((D1257/100)*(C1257*VLOOKUP(B1257,'Poids des runes'!A:B,2,FALSE)))+1),(((D1257/100)*(C1257*VLOOKUP(B1257,'Poids des runes'!A:B,2,FALSE)))+1)/VLOOKUP(B1257,'Poids des runes'!A:B,2,FALSE))</f>
        <v>2.3149999999999999</v>
      </c>
      <c r="F1257">
        <f t="shared" si="19"/>
        <v>2.3149999999999999</v>
      </c>
    </row>
    <row r="1258" spans="1:6" x14ac:dyDescent="0.3">
      <c r="A1258" t="s">
        <v>391</v>
      </c>
      <c r="B1258" t="s">
        <v>2130</v>
      </c>
      <c r="C1258">
        <v>40.5</v>
      </c>
      <c r="D1258">
        <v>47</v>
      </c>
      <c r="E1258">
        <f>IF(OR(B1258="vi",B1258="ii",B1258="pod"),(((D1258/100)*(C1258*VLOOKUP(B1258,'Poids des runes'!A:B,2,FALSE)))+1),(((D1258/100)*(C1258*VLOOKUP(B1258,'Poids des runes'!A:B,2,FALSE)))+1)/VLOOKUP(B1258,'Poids des runes'!A:B,2,FALSE))</f>
        <v>20.035</v>
      </c>
      <c r="F1258">
        <f t="shared" si="19"/>
        <v>20.035</v>
      </c>
    </row>
    <row r="1259" spans="1:6" x14ac:dyDescent="0.3">
      <c r="A1259" t="s">
        <v>391</v>
      </c>
      <c r="B1259" t="s">
        <v>2134</v>
      </c>
      <c r="C1259">
        <v>4</v>
      </c>
      <c r="D1259">
        <v>47</v>
      </c>
      <c r="E1259">
        <f>IF(OR(B1259="vi",B1259="ii",B1259="pod"),(((D1259/100)*(C1259*VLOOKUP(B1259,'Poids des runes'!A:B,2,FALSE)))+1),(((D1259/100)*(C1259*VLOOKUP(B1259,'Poids des runes'!A:B,2,FALSE)))+1)/VLOOKUP(B1259,'Poids des runes'!A:B,2,FALSE))</f>
        <v>1.9299999999999997</v>
      </c>
      <c r="F1259">
        <f t="shared" si="19"/>
        <v>1.9299999999999997</v>
      </c>
    </row>
    <row r="1260" spans="1:6" x14ac:dyDescent="0.3">
      <c r="A1260" t="s">
        <v>392</v>
      </c>
      <c r="B1260" t="s">
        <v>2128</v>
      </c>
      <c r="C1260">
        <v>23</v>
      </c>
      <c r="D1260">
        <v>47</v>
      </c>
      <c r="E1260">
        <f>IF(OR(B1260="vi",B1260="ii",B1260="pod"),(((D1260/100)*(C1260*VLOOKUP(B1260,'Poids des runes'!A:B,2,FALSE)))+1),(((D1260/100)*(C1260*VLOOKUP(B1260,'Poids des runes'!A:B,2,FALSE)))+1)/VLOOKUP(B1260,'Poids des runes'!A:B,2,FALSE))</f>
        <v>3.1619999999999999</v>
      </c>
      <c r="F1260">
        <f t="shared" si="19"/>
        <v>3.1619999999999999</v>
      </c>
    </row>
    <row r="1261" spans="1:6" x14ac:dyDescent="0.3">
      <c r="A1261" t="s">
        <v>392</v>
      </c>
      <c r="B1261" t="s">
        <v>2130</v>
      </c>
      <c r="C1261">
        <v>23</v>
      </c>
      <c r="D1261">
        <v>47</v>
      </c>
      <c r="E1261">
        <f>IF(OR(B1261="vi",B1261="ii",B1261="pod"),(((D1261/100)*(C1261*VLOOKUP(B1261,'Poids des runes'!A:B,2,FALSE)))+1),(((D1261/100)*(C1261*VLOOKUP(B1261,'Poids des runes'!A:B,2,FALSE)))+1)/VLOOKUP(B1261,'Poids des runes'!A:B,2,FALSE))</f>
        <v>11.809999999999999</v>
      </c>
      <c r="F1261">
        <f t="shared" si="19"/>
        <v>11.809999999999999</v>
      </c>
    </row>
    <row r="1262" spans="1:6" x14ac:dyDescent="0.3">
      <c r="A1262" t="s">
        <v>392</v>
      </c>
      <c r="B1262" t="s">
        <v>2126</v>
      </c>
      <c r="C1262">
        <v>23</v>
      </c>
      <c r="D1262">
        <v>47</v>
      </c>
      <c r="E1262">
        <f>IF(OR(B1262="vi",B1262="ii",B1262="pod"),(((D1262/100)*(C1262*VLOOKUP(B1262,'Poids des runes'!A:B,2,FALSE)))+1),(((D1262/100)*(C1262*VLOOKUP(B1262,'Poids des runes'!A:B,2,FALSE)))+1)/VLOOKUP(B1262,'Poids des runes'!A:B,2,FALSE))</f>
        <v>11.809999999999999</v>
      </c>
      <c r="F1262">
        <f t="shared" si="19"/>
        <v>11.809999999999999</v>
      </c>
    </row>
    <row r="1263" spans="1:6" x14ac:dyDescent="0.3">
      <c r="A1263" t="s">
        <v>392</v>
      </c>
      <c r="B1263" t="s">
        <v>2127</v>
      </c>
      <c r="C1263">
        <v>23</v>
      </c>
      <c r="D1263">
        <v>47</v>
      </c>
      <c r="E1263">
        <f>IF(OR(B1263="vi",B1263="ii",B1263="pod"),(((D1263/100)*(C1263*VLOOKUP(B1263,'Poids des runes'!A:B,2,FALSE)))+1),(((D1263/100)*(C1263*VLOOKUP(B1263,'Poids des runes'!A:B,2,FALSE)))+1)/VLOOKUP(B1263,'Poids des runes'!A:B,2,FALSE))</f>
        <v>11.809999999999999</v>
      </c>
      <c r="F1263">
        <f t="shared" si="19"/>
        <v>11.809999999999999</v>
      </c>
    </row>
    <row r="1264" spans="1:6" x14ac:dyDescent="0.3">
      <c r="A1264" t="s">
        <v>392</v>
      </c>
      <c r="B1264" t="s">
        <v>2134</v>
      </c>
      <c r="C1264">
        <v>2.5</v>
      </c>
      <c r="D1264">
        <v>47</v>
      </c>
      <c r="E1264">
        <f>IF(OR(B1264="vi",B1264="ii",B1264="pod"),(((D1264/100)*(C1264*VLOOKUP(B1264,'Poids des runes'!A:B,2,FALSE)))+1),(((D1264/100)*(C1264*VLOOKUP(B1264,'Poids des runes'!A:B,2,FALSE)))+1)/VLOOKUP(B1264,'Poids des runes'!A:B,2,FALSE))</f>
        <v>1.2250000000000001</v>
      </c>
      <c r="F1264">
        <f t="shared" si="19"/>
        <v>1.2250000000000001</v>
      </c>
    </row>
    <row r="1265" spans="1:6" x14ac:dyDescent="0.3">
      <c r="A1265" t="s">
        <v>393</v>
      </c>
      <c r="B1265" t="s">
        <v>2128</v>
      </c>
      <c r="C1265">
        <v>10</v>
      </c>
      <c r="D1265">
        <v>47</v>
      </c>
      <c r="E1265">
        <f>IF(OR(B1265="vi",B1265="ii",B1265="pod"),(((D1265/100)*(C1265*VLOOKUP(B1265,'Poids des runes'!A:B,2,FALSE)))+1),(((D1265/100)*(C1265*VLOOKUP(B1265,'Poids des runes'!A:B,2,FALSE)))+1)/VLOOKUP(B1265,'Poids des runes'!A:B,2,FALSE))</f>
        <v>1.94</v>
      </c>
      <c r="F1265">
        <f t="shared" si="19"/>
        <v>1.94</v>
      </c>
    </row>
    <row r="1266" spans="1:6" x14ac:dyDescent="0.3">
      <c r="A1266" t="s">
        <v>393</v>
      </c>
      <c r="B1266" t="s">
        <v>2130</v>
      </c>
      <c r="C1266">
        <v>10</v>
      </c>
      <c r="D1266">
        <v>47</v>
      </c>
      <c r="E1266">
        <f>IF(OR(B1266="vi",B1266="ii",B1266="pod"),(((D1266/100)*(C1266*VLOOKUP(B1266,'Poids des runes'!A:B,2,FALSE)))+1),(((D1266/100)*(C1266*VLOOKUP(B1266,'Poids des runes'!A:B,2,FALSE)))+1)/VLOOKUP(B1266,'Poids des runes'!A:B,2,FALSE))</f>
        <v>5.6999999999999993</v>
      </c>
      <c r="F1266">
        <f t="shared" si="19"/>
        <v>5.6999999999999993</v>
      </c>
    </row>
    <row r="1267" spans="1:6" x14ac:dyDescent="0.3">
      <c r="A1267" t="s">
        <v>393</v>
      </c>
      <c r="B1267" t="s">
        <v>2126</v>
      </c>
      <c r="C1267">
        <v>10</v>
      </c>
      <c r="D1267">
        <v>47</v>
      </c>
      <c r="E1267">
        <f>IF(OR(B1267="vi",B1267="ii",B1267="pod"),(((D1267/100)*(C1267*VLOOKUP(B1267,'Poids des runes'!A:B,2,FALSE)))+1),(((D1267/100)*(C1267*VLOOKUP(B1267,'Poids des runes'!A:B,2,FALSE)))+1)/VLOOKUP(B1267,'Poids des runes'!A:B,2,FALSE))</f>
        <v>5.6999999999999993</v>
      </c>
      <c r="F1267">
        <f t="shared" si="19"/>
        <v>5.6999999999999993</v>
      </c>
    </row>
    <row r="1268" spans="1:6" x14ac:dyDescent="0.3">
      <c r="A1268" t="s">
        <v>393</v>
      </c>
      <c r="B1268" t="s">
        <v>2131</v>
      </c>
      <c r="C1268">
        <v>10</v>
      </c>
      <c r="D1268">
        <v>47</v>
      </c>
      <c r="E1268">
        <f>IF(OR(B1268="vi",B1268="ii",B1268="pod"),(((D1268/100)*(C1268*VLOOKUP(B1268,'Poids des runes'!A:B,2,FALSE)))+1),(((D1268/100)*(C1268*VLOOKUP(B1268,'Poids des runes'!A:B,2,FALSE)))+1)/VLOOKUP(B1268,'Poids des runes'!A:B,2,FALSE))</f>
        <v>5.6999999999999993</v>
      </c>
      <c r="F1268">
        <f t="shared" si="19"/>
        <v>5.6999999999999993</v>
      </c>
    </row>
    <row r="1269" spans="1:6" x14ac:dyDescent="0.3">
      <c r="A1269" t="s">
        <v>393</v>
      </c>
      <c r="B1269" t="s">
        <v>2127</v>
      </c>
      <c r="C1269">
        <v>10</v>
      </c>
      <c r="D1269">
        <v>47</v>
      </c>
      <c r="E1269">
        <f>IF(OR(B1269="vi",B1269="ii",B1269="pod"),(((D1269/100)*(C1269*VLOOKUP(B1269,'Poids des runes'!A:B,2,FALSE)))+1),(((D1269/100)*(C1269*VLOOKUP(B1269,'Poids des runes'!A:B,2,FALSE)))+1)/VLOOKUP(B1269,'Poids des runes'!A:B,2,FALSE))</f>
        <v>5.6999999999999993</v>
      </c>
      <c r="F1269">
        <f t="shared" si="19"/>
        <v>5.6999999999999993</v>
      </c>
    </row>
    <row r="1270" spans="1:6" x14ac:dyDescent="0.3">
      <c r="A1270" t="s">
        <v>393</v>
      </c>
      <c r="B1270" t="s">
        <v>2129</v>
      </c>
      <c r="C1270">
        <v>10</v>
      </c>
      <c r="D1270">
        <v>47</v>
      </c>
      <c r="E1270">
        <f>IF(OR(B1270="vi",B1270="ii",B1270="pod"),(((D1270/100)*(C1270*VLOOKUP(B1270,'Poids des runes'!A:B,2,FALSE)))+1),(((D1270/100)*(C1270*VLOOKUP(B1270,'Poids des runes'!A:B,2,FALSE)))+1)/VLOOKUP(B1270,'Poids des runes'!A:B,2,FALSE))</f>
        <v>5.6999999999999993</v>
      </c>
      <c r="F1270">
        <f t="shared" si="19"/>
        <v>5.6999999999999993</v>
      </c>
    </row>
    <row r="1271" spans="1:6" x14ac:dyDescent="0.3">
      <c r="A1271" t="s">
        <v>393</v>
      </c>
      <c r="B1271" t="s">
        <v>2139</v>
      </c>
      <c r="C1271">
        <v>10</v>
      </c>
      <c r="D1271">
        <v>47</v>
      </c>
      <c r="E1271">
        <f>IF(OR(B1271="vi",B1271="ii",B1271="pod"),(((D1271/100)*(C1271*VLOOKUP(B1271,'Poids des runes'!A:B,2,FALSE)))+1),(((D1271/100)*(C1271*VLOOKUP(B1271,'Poids des runes'!A:B,2,FALSE)))+1)/VLOOKUP(B1271,'Poids des runes'!A:B,2,FALSE))</f>
        <v>5.1999999999999993</v>
      </c>
      <c r="F1271">
        <f t="shared" si="19"/>
        <v>5.1999999999999993</v>
      </c>
    </row>
    <row r="1272" spans="1:6" x14ac:dyDescent="0.3">
      <c r="A1272" t="s">
        <v>394</v>
      </c>
      <c r="B1272" t="s">
        <v>2130</v>
      </c>
      <c r="C1272">
        <v>25.5</v>
      </c>
      <c r="D1272">
        <v>47</v>
      </c>
      <c r="E1272">
        <f>IF(OR(B1272="vi",B1272="ii",B1272="pod"),(((D1272/100)*(C1272*VLOOKUP(B1272,'Poids des runes'!A:B,2,FALSE)))+1),(((D1272/100)*(C1272*VLOOKUP(B1272,'Poids des runes'!A:B,2,FALSE)))+1)/VLOOKUP(B1272,'Poids des runes'!A:B,2,FALSE))</f>
        <v>12.984999999999999</v>
      </c>
      <c r="F1272">
        <f t="shared" si="19"/>
        <v>12.984999999999999</v>
      </c>
    </row>
    <row r="1273" spans="1:6" x14ac:dyDescent="0.3">
      <c r="A1273" t="s">
        <v>394</v>
      </c>
      <c r="B1273" t="s">
        <v>2127</v>
      </c>
      <c r="C1273">
        <v>25.5</v>
      </c>
      <c r="D1273">
        <v>47</v>
      </c>
      <c r="E1273">
        <f>IF(OR(B1273="vi",B1273="ii",B1273="pod"),(((D1273/100)*(C1273*VLOOKUP(B1273,'Poids des runes'!A:B,2,FALSE)))+1),(((D1273/100)*(C1273*VLOOKUP(B1273,'Poids des runes'!A:B,2,FALSE)))+1)/VLOOKUP(B1273,'Poids des runes'!A:B,2,FALSE))</f>
        <v>12.984999999999999</v>
      </c>
      <c r="F1273">
        <f t="shared" si="19"/>
        <v>12.984999999999999</v>
      </c>
    </row>
    <row r="1274" spans="1:6" x14ac:dyDescent="0.3">
      <c r="A1274" t="s">
        <v>394</v>
      </c>
      <c r="B1274" t="s">
        <v>2129</v>
      </c>
      <c r="C1274">
        <v>13</v>
      </c>
      <c r="D1274">
        <v>47</v>
      </c>
      <c r="E1274">
        <f>IF(OR(B1274="vi",B1274="ii",B1274="pod"),(((D1274/100)*(C1274*VLOOKUP(B1274,'Poids des runes'!A:B,2,FALSE)))+1),(((D1274/100)*(C1274*VLOOKUP(B1274,'Poids des runes'!A:B,2,FALSE)))+1)/VLOOKUP(B1274,'Poids des runes'!A:B,2,FALSE))</f>
        <v>7.1099999999999994</v>
      </c>
      <c r="F1274">
        <f t="shared" si="19"/>
        <v>7.1099999999999994</v>
      </c>
    </row>
    <row r="1275" spans="1:6" x14ac:dyDescent="0.3">
      <c r="A1275" t="s">
        <v>394</v>
      </c>
      <c r="B1275" t="s">
        <v>2151</v>
      </c>
      <c r="C1275">
        <v>2.5</v>
      </c>
      <c r="D1275">
        <v>47</v>
      </c>
      <c r="E1275">
        <f>IF(OR(B1275="vi",B1275="ii",B1275="pod"),(((D1275/100)*(C1275*VLOOKUP(B1275,'Poids des runes'!A:B,2,FALSE)))+1),(((D1275/100)*(C1275*VLOOKUP(B1275,'Poids des runes'!A:B,2,FALSE)))+1)/VLOOKUP(B1275,'Poids des runes'!A:B,2,FALSE))</f>
        <v>1.2749999999999999</v>
      </c>
      <c r="F1275">
        <f t="shared" si="19"/>
        <v>1.2749999999999999</v>
      </c>
    </row>
    <row r="1276" spans="1:6" x14ac:dyDescent="0.3">
      <c r="A1276" t="s">
        <v>395</v>
      </c>
      <c r="B1276" t="s">
        <v>2131</v>
      </c>
      <c r="C1276">
        <v>33</v>
      </c>
      <c r="D1276">
        <v>47</v>
      </c>
      <c r="E1276">
        <f>IF(OR(B1276="vi",B1276="ii",B1276="pod"),(((D1276/100)*(C1276*VLOOKUP(B1276,'Poids des runes'!A:B,2,FALSE)))+1),(((D1276/100)*(C1276*VLOOKUP(B1276,'Poids des runes'!A:B,2,FALSE)))+1)/VLOOKUP(B1276,'Poids des runes'!A:B,2,FALSE))</f>
        <v>16.509999999999998</v>
      </c>
      <c r="F1276">
        <f t="shared" si="19"/>
        <v>16.509999999999998</v>
      </c>
    </row>
    <row r="1277" spans="1:6" x14ac:dyDescent="0.3">
      <c r="A1277" t="s">
        <v>395</v>
      </c>
      <c r="B1277" t="s">
        <v>2127</v>
      </c>
      <c r="C1277">
        <v>33</v>
      </c>
      <c r="D1277">
        <v>47</v>
      </c>
      <c r="E1277">
        <f>IF(OR(B1277="vi",B1277="ii",B1277="pod"),(((D1277/100)*(C1277*VLOOKUP(B1277,'Poids des runes'!A:B,2,FALSE)))+1),(((D1277/100)*(C1277*VLOOKUP(B1277,'Poids des runes'!A:B,2,FALSE)))+1)/VLOOKUP(B1277,'Poids des runes'!A:B,2,FALSE))</f>
        <v>16.509999999999998</v>
      </c>
      <c r="F1277">
        <f t="shared" si="19"/>
        <v>16.509999999999998</v>
      </c>
    </row>
    <row r="1278" spans="1:6" x14ac:dyDescent="0.3">
      <c r="A1278" t="s">
        <v>395</v>
      </c>
      <c r="B1278" t="s">
        <v>2137</v>
      </c>
      <c r="C1278">
        <v>4.5</v>
      </c>
      <c r="D1278">
        <v>47</v>
      </c>
      <c r="E1278">
        <f>IF(OR(B1278="vi",B1278="ii",B1278="pod"),(((D1278/100)*(C1278*VLOOKUP(B1278,'Poids des runes'!A:B,2,FALSE)))+1),(((D1278/100)*(C1278*VLOOKUP(B1278,'Poids des runes'!A:B,2,FALSE)))+1)/VLOOKUP(B1278,'Poids des runes'!A:B,2,FALSE))</f>
        <v>2.6149999999999998</v>
      </c>
      <c r="F1278">
        <f t="shared" si="19"/>
        <v>2.6149999999999998</v>
      </c>
    </row>
    <row r="1279" spans="1:6" x14ac:dyDescent="0.3">
      <c r="A1279" t="s">
        <v>395</v>
      </c>
      <c r="B1279" t="s">
        <v>2144</v>
      </c>
      <c r="C1279">
        <v>4.5</v>
      </c>
      <c r="D1279">
        <v>47</v>
      </c>
      <c r="E1279">
        <f>IF(OR(B1279="vi",B1279="ii",B1279="pod"),(((D1279/100)*(C1279*VLOOKUP(B1279,'Poids des runes'!A:B,2,FALSE)))+1),(((D1279/100)*(C1279*VLOOKUP(B1279,'Poids des runes'!A:B,2,FALSE)))+1)/VLOOKUP(B1279,'Poids des runes'!A:B,2,FALSE))</f>
        <v>2.6149999999999998</v>
      </c>
      <c r="F1279">
        <f t="shared" si="19"/>
        <v>2.6149999999999998</v>
      </c>
    </row>
    <row r="1280" spans="1:6" x14ac:dyDescent="0.3">
      <c r="A1280" t="s">
        <v>396</v>
      </c>
      <c r="B1280" t="s">
        <v>2128</v>
      </c>
      <c r="C1280">
        <v>35.5</v>
      </c>
      <c r="D1280">
        <v>47</v>
      </c>
      <c r="E1280">
        <f>IF(OR(B1280="vi",B1280="ii",B1280="pod"),(((D1280/100)*(C1280*VLOOKUP(B1280,'Poids des runes'!A:B,2,FALSE)))+1),(((D1280/100)*(C1280*VLOOKUP(B1280,'Poids des runes'!A:B,2,FALSE)))+1)/VLOOKUP(B1280,'Poids des runes'!A:B,2,FALSE))</f>
        <v>4.3369999999999997</v>
      </c>
      <c r="F1280">
        <f t="shared" si="19"/>
        <v>4.3369999999999997</v>
      </c>
    </row>
    <row r="1281" spans="1:6" x14ac:dyDescent="0.3">
      <c r="A1281" t="s">
        <v>396</v>
      </c>
      <c r="B1281" t="s">
        <v>2126</v>
      </c>
      <c r="C1281">
        <v>13</v>
      </c>
      <c r="D1281">
        <v>47</v>
      </c>
      <c r="E1281">
        <f>IF(OR(B1281="vi",B1281="ii",B1281="pod"),(((D1281/100)*(C1281*VLOOKUP(B1281,'Poids des runes'!A:B,2,FALSE)))+1),(((D1281/100)*(C1281*VLOOKUP(B1281,'Poids des runes'!A:B,2,FALSE)))+1)/VLOOKUP(B1281,'Poids des runes'!A:B,2,FALSE))</f>
        <v>7.1099999999999994</v>
      </c>
      <c r="F1281">
        <f t="shared" si="19"/>
        <v>7.1099999999999994</v>
      </c>
    </row>
    <row r="1282" spans="1:6" x14ac:dyDescent="0.3">
      <c r="A1282" t="s">
        <v>396</v>
      </c>
      <c r="B1282" t="s">
        <v>2131</v>
      </c>
      <c r="C1282">
        <v>13</v>
      </c>
      <c r="D1282">
        <v>47</v>
      </c>
      <c r="E1282">
        <f>IF(OR(B1282="vi",B1282="ii",B1282="pod"),(((D1282/100)*(C1282*VLOOKUP(B1282,'Poids des runes'!A:B,2,FALSE)))+1),(((D1282/100)*(C1282*VLOOKUP(B1282,'Poids des runes'!A:B,2,FALSE)))+1)/VLOOKUP(B1282,'Poids des runes'!A:B,2,FALSE))</f>
        <v>7.1099999999999994</v>
      </c>
      <c r="F1282">
        <f t="shared" si="19"/>
        <v>7.1099999999999994</v>
      </c>
    </row>
    <row r="1283" spans="1:6" x14ac:dyDescent="0.3">
      <c r="A1283" t="s">
        <v>396</v>
      </c>
      <c r="B1283" t="s">
        <v>2155</v>
      </c>
      <c r="C1283">
        <v>1</v>
      </c>
      <c r="D1283">
        <v>47</v>
      </c>
      <c r="E1283">
        <f>IF(OR(B1283="vi",B1283="ii",B1283="pod"),(((D1283/100)*(C1283*VLOOKUP(B1283,'Poids des runes'!A:B,2,FALSE)))+1),(((D1283/100)*(C1283*VLOOKUP(B1283,'Poids des runes'!A:B,2,FALSE)))+1)/VLOOKUP(B1283,'Poids des runes'!A:B,2,FALSE))</f>
        <v>0.48960784313725486</v>
      </c>
      <c r="F1283">
        <f t="shared" ref="F1283:F1346" si="20">E1283</f>
        <v>0.48960784313725486</v>
      </c>
    </row>
    <row r="1284" spans="1:6" x14ac:dyDescent="0.3">
      <c r="A1284" t="s">
        <v>397</v>
      </c>
      <c r="B1284" t="s">
        <v>2139</v>
      </c>
      <c r="C1284">
        <v>20.5</v>
      </c>
      <c r="D1284">
        <v>48</v>
      </c>
      <c r="E1284">
        <f>IF(OR(B1284="vi",B1284="ii",B1284="pod"),(((D1284/100)*(C1284*VLOOKUP(B1284,'Poids des runes'!A:B,2,FALSE)))+1),(((D1284/100)*(C1284*VLOOKUP(B1284,'Poids des runes'!A:B,2,FALSE)))+1)/VLOOKUP(B1284,'Poids des runes'!A:B,2,FALSE))</f>
        <v>10.34</v>
      </c>
      <c r="F1284">
        <f t="shared" si="20"/>
        <v>10.34</v>
      </c>
    </row>
    <row r="1285" spans="1:6" x14ac:dyDescent="0.3">
      <c r="A1285" t="s">
        <v>397</v>
      </c>
      <c r="B1285" t="s">
        <v>2151</v>
      </c>
      <c r="C1285">
        <v>3.5</v>
      </c>
      <c r="D1285">
        <v>48</v>
      </c>
      <c r="E1285">
        <f>IF(OR(B1285="vi",B1285="ii",B1285="pod"),(((D1285/100)*(C1285*VLOOKUP(B1285,'Poids des runes'!A:B,2,FALSE)))+1),(((D1285/100)*(C1285*VLOOKUP(B1285,'Poids des runes'!A:B,2,FALSE)))+1)/VLOOKUP(B1285,'Poids des runes'!A:B,2,FALSE))</f>
        <v>1.78</v>
      </c>
      <c r="F1285">
        <f t="shared" si="20"/>
        <v>1.78</v>
      </c>
    </row>
    <row r="1286" spans="1:6" x14ac:dyDescent="0.3">
      <c r="A1286" t="s">
        <v>397</v>
      </c>
      <c r="B1286" t="s">
        <v>2134</v>
      </c>
      <c r="C1286">
        <v>3.5</v>
      </c>
      <c r="D1286">
        <v>48</v>
      </c>
      <c r="E1286">
        <f>IF(OR(B1286="vi",B1286="ii",B1286="pod"),(((D1286/100)*(C1286*VLOOKUP(B1286,'Poids des runes'!A:B,2,FALSE)))+1),(((D1286/100)*(C1286*VLOOKUP(B1286,'Poids des runes'!A:B,2,FALSE)))+1)/VLOOKUP(B1286,'Poids des runes'!A:B,2,FALSE))</f>
        <v>1.73</v>
      </c>
      <c r="F1286">
        <f t="shared" si="20"/>
        <v>1.73</v>
      </c>
    </row>
    <row r="1287" spans="1:6" x14ac:dyDescent="0.3">
      <c r="A1287" t="s">
        <v>397</v>
      </c>
      <c r="B1287" t="s">
        <v>2158</v>
      </c>
      <c r="C1287">
        <v>5</v>
      </c>
      <c r="D1287">
        <v>48</v>
      </c>
      <c r="E1287">
        <f>IF(OR(B1287="vi",B1287="ii",B1287="pod"),(((D1287/100)*(C1287*VLOOKUP(B1287,'Poids des runes'!A:B,2,FALSE)))+1),(((D1287/100)*(C1287*VLOOKUP(B1287,'Poids des runes'!A:B,2,FALSE)))+1)/VLOOKUP(B1287,'Poids des runes'!A:B,2,FALSE))</f>
        <v>2.6</v>
      </c>
      <c r="F1287">
        <f t="shared" si="20"/>
        <v>2.6</v>
      </c>
    </row>
    <row r="1288" spans="1:6" x14ac:dyDescent="0.3">
      <c r="A1288" t="s">
        <v>398</v>
      </c>
      <c r="B1288" t="s">
        <v>2128</v>
      </c>
      <c r="C1288">
        <v>15.5</v>
      </c>
      <c r="D1288">
        <v>48</v>
      </c>
      <c r="E1288">
        <f>IF(OR(B1288="vi",B1288="ii",B1288="pod"),(((D1288/100)*(C1288*VLOOKUP(B1288,'Poids des runes'!A:B,2,FALSE)))+1),(((D1288/100)*(C1288*VLOOKUP(B1288,'Poids des runes'!A:B,2,FALSE)))+1)/VLOOKUP(B1288,'Poids des runes'!A:B,2,FALSE))</f>
        <v>2.488</v>
      </c>
      <c r="F1288">
        <f t="shared" si="20"/>
        <v>2.488</v>
      </c>
    </row>
    <row r="1289" spans="1:6" x14ac:dyDescent="0.3">
      <c r="A1289" t="s">
        <v>398</v>
      </c>
      <c r="B1289" t="s">
        <v>2130</v>
      </c>
      <c r="C1289">
        <v>15.5</v>
      </c>
      <c r="D1289">
        <v>48</v>
      </c>
      <c r="E1289">
        <f>IF(OR(B1289="vi",B1289="ii",B1289="pod"),(((D1289/100)*(C1289*VLOOKUP(B1289,'Poids des runes'!A:B,2,FALSE)))+1),(((D1289/100)*(C1289*VLOOKUP(B1289,'Poids des runes'!A:B,2,FALSE)))+1)/VLOOKUP(B1289,'Poids des runes'!A:B,2,FALSE))</f>
        <v>8.44</v>
      </c>
      <c r="F1289">
        <f t="shared" si="20"/>
        <v>8.44</v>
      </c>
    </row>
    <row r="1290" spans="1:6" x14ac:dyDescent="0.3">
      <c r="A1290" t="s">
        <v>398</v>
      </c>
      <c r="B1290" t="s">
        <v>2126</v>
      </c>
      <c r="C1290">
        <v>15.5</v>
      </c>
      <c r="D1290">
        <v>48</v>
      </c>
      <c r="E1290">
        <f>IF(OR(B1290="vi",B1290="ii",B1290="pod"),(((D1290/100)*(C1290*VLOOKUP(B1290,'Poids des runes'!A:B,2,FALSE)))+1),(((D1290/100)*(C1290*VLOOKUP(B1290,'Poids des runes'!A:B,2,FALSE)))+1)/VLOOKUP(B1290,'Poids des runes'!A:B,2,FALSE))</f>
        <v>8.44</v>
      </c>
      <c r="F1290">
        <f t="shared" si="20"/>
        <v>8.44</v>
      </c>
    </row>
    <row r="1291" spans="1:6" x14ac:dyDescent="0.3">
      <c r="A1291" t="s">
        <v>398</v>
      </c>
      <c r="B1291" t="s">
        <v>2131</v>
      </c>
      <c r="C1291">
        <v>15.5</v>
      </c>
      <c r="D1291">
        <v>48</v>
      </c>
      <c r="E1291">
        <f>IF(OR(B1291="vi",B1291="ii",B1291="pod"),(((D1291/100)*(C1291*VLOOKUP(B1291,'Poids des runes'!A:B,2,FALSE)))+1),(((D1291/100)*(C1291*VLOOKUP(B1291,'Poids des runes'!A:B,2,FALSE)))+1)/VLOOKUP(B1291,'Poids des runes'!A:B,2,FALSE))</f>
        <v>8.44</v>
      </c>
      <c r="F1291">
        <f t="shared" si="20"/>
        <v>8.44</v>
      </c>
    </row>
    <row r="1292" spans="1:6" x14ac:dyDescent="0.3">
      <c r="A1292" t="s">
        <v>398</v>
      </c>
      <c r="B1292" t="s">
        <v>2127</v>
      </c>
      <c r="C1292">
        <v>15.5</v>
      </c>
      <c r="D1292">
        <v>48</v>
      </c>
      <c r="E1292">
        <f>IF(OR(B1292="vi",B1292="ii",B1292="pod"),(((D1292/100)*(C1292*VLOOKUP(B1292,'Poids des runes'!A:B,2,FALSE)))+1),(((D1292/100)*(C1292*VLOOKUP(B1292,'Poids des runes'!A:B,2,FALSE)))+1)/VLOOKUP(B1292,'Poids des runes'!A:B,2,FALSE))</f>
        <v>8.44</v>
      </c>
      <c r="F1292">
        <f t="shared" si="20"/>
        <v>8.44</v>
      </c>
    </row>
    <row r="1293" spans="1:6" x14ac:dyDescent="0.3">
      <c r="A1293" t="s">
        <v>398</v>
      </c>
      <c r="B1293" t="s">
        <v>2129</v>
      </c>
      <c r="C1293">
        <v>15.5</v>
      </c>
      <c r="D1293">
        <v>48</v>
      </c>
      <c r="E1293">
        <f>IF(OR(B1293="vi",B1293="ii",B1293="pod"),(((D1293/100)*(C1293*VLOOKUP(B1293,'Poids des runes'!A:B,2,FALSE)))+1),(((D1293/100)*(C1293*VLOOKUP(B1293,'Poids des runes'!A:B,2,FALSE)))+1)/VLOOKUP(B1293,'Poids des runes'!A:B,2,FALSE))</f>
        <v>8.44</v>
      </c>
      <c r="F1293">
        <f t="shared" si="20"/>
        <v>8.44</v>
      </c>
    </row>
    <row r="1294" spans="1:6" x14ac:dyDescent="0.3">
      <c r="A1294" t="s">
        <v>399</v>
      </c>
      <c r="B1294" t="s">
        <v>2128</v>
      </c>
      <c r="C1294">
        <v>60.5</v>
      </c>
      <c r="D1294">
        <v>48</v>
      </c>
      <c r="E1294">
        <f>IF(OR(B1294="vi",B1294="ii",B1294="pod"),(((D1294/100)*(C1294*VLOOKUP(B1294,'Poids des runes'!A:B,2,FALSE)))+1),(((D1294/100)*(C1294*VLOOKUP(B1294,'Poids des runes'!A:B,2,FALSE)))+1)/VLOOKUP(B1294,'Poids des runes'!A:B,2,FALSE))</f>
        <v>6.8080000000000007</v>
      </c>
      <c r="F1294">
        <f t="shared" si="20"/>
        <v>6.8080000000000007</v>
      </c>
    </row>
    <row r="1295" spans="1:6" x14ac:dyDescent="0.3">
      <c r="A1295" t="s">
        <v>399</v>
      </c>
      <c r="B1295" t="s">
        <v>2129</v>
      </c>
      <c r="C1295">
        <v>8.5</v>
      </c>
      <c r="D1295">
        <v>48</v>
      </c>
      <c r="E1295">
        <f>IF(OR(B1295="vi",B1295="ii",B1295="pod"),(((D1295/100)*(C1295*VLOOKUP(B1295,'Poids des runes'!A:B,2,FALSE)))+1),(((D1295/100)*(C1295*VLOOKUP(B1295,'Poids des runes'!A:B,2,FALSE)))+1)/VLOOKUP(B1295,'Poids des runes'!A:B,2,FALSE))</f>
        <v>5.08</v>
      </c>
      <c r="F1295">
        <f t="shared" si="20"/>
        <v>5.08</v>
      </c>
    </row>
    <row r="1296" spans="1:6" x14ac:dyDescent="0.3">
      <c r="A1296" t="s">
        <v>399</v>
      </c>
      <c r="B1296" t="s">
        <v>2139</v>
      </c>
      <c r="C1296">
        <v>18</v>
      </c>
      <c r="D1296">
        <v>48</v>
      </c>
      <c r="E1296">
        <f>IF(OR(B1296="vi",B1296="ii",B1296="pod"),(((D1296/100)*(C1296*VLOOKUP(B1296,'Poids des runes'!A:B,2,FALSE)))+1),(((D1296/100)*(C1296*VLOOKUP(B1296,'Poids des runes'!A:B,2,FALSE)))+1)/VLOOKUP(B1296,'Poids des runes'!A:B,2,FALSE))</f>
        <v>9.14</v>
      </c>
      <c r="F1296">
        <f t="shared" si="20"/>
        <v>9.14</v>
      </c>
    </row>
    <row r="1297" spans="1:6" x14ac:dyDescent="0.3">
      <c r="A1297" t="s">
        <v>399</v>
      </c>
      <c r="B1297" t="s">
        <v>2134</v>
      </c>
      <c r="C1297">
        <v>4.5</v>
      </c>
      <c r="D1297">
        <v>48</v>
      </c>
      <c r="E1297">
        <f>IF(OR(B1297="vi",B1297="ii",B1297="pod"),(((D1297/100)*(C1297*VLOOKUP(B1297,'Poids des runes'!A:B,2,FALSE)))+1),(((D1297/100)*(C1297*VLOOKUP(B1297,'Poids des runes'!A:B,2,FALSE)))+1)/VLOOKUP(B1297,'Poids des runes'!A:B,2,FALSE))</f>
        <v>2.21</v>
      </c>
      <c r="F1297">
        <f t="shared" si="20"/>
        <v>2.21</v>
      </c>
    </row>
    <row r="1298" spans="1:6" x14ac:dyDescent="0.3">
      <c r="A1298" t="s">
        <v>400</v>
      </c>
      <c r="B1298" t="s">
        <v>2128</v>
      </c>
      <c r="C1298">
        <v>25.5</v>
      </c>
      <c r="D1298">
        <v>48</v>
      </c>
      <c r="E1298">
        <f>IF(OR(B1298="vi",B1298="ii",B1298="pod"),(((D1298/100)*(C1298*VLOOKUP(B1298,'Poids des runes'!A:B,2,FALSE)))+1),(((D1298/100)*(C1298*VLOOKUP(B1298,'Poids des runes'!A:B,2,FALSE)))+1)/VLOOKUP(B1298,'Poids des runes'!A:B,2,FALSE))</f>
        <v>3.448</v>
      </c>
      <c r="F1298">
        <f t="shared" si="20"/>
        <v>3.448</v>
      </c>
    </row>
    <row r="1299" spans="1:6" x14ac:dyDescent="0.3">
      <c r="A1299" t="s">
        <v>400</v>
      </c>
      <c r="B1299" t="s">
        <v>2149</v>
      </c>
      <c r="C1299">
        <v>13</v>
      </c>
      <c r="D1299">
        <v>48</v>
      </c>
      <c r="E1299">
        <f>IF(OR(B1299="vi",B1299="ii",B1299="pod"),(((D1299/100)*(C1299*VLOOKUP(B1299,'Poids des runes'!A:B,2,FALSE)))+1),(((D1299/100)*(C1299*VLOOKUP(B1299,'Poids des runes'!A:B,2,FALSE)))+1)/VLOOKUP(B1299,'Poids des runes'!A:B,2,FALSE))</f>
        <v>6.34</v>
      </c>
      <c r="F1299">
        <f t="shared" si="20"/>
        <v>6.34</v>
      </c>
    </row>
    <row r="1300" spans="1:6" x14ac:dyDescent="0.3">
      <c r="A1300" t="s">
        <v>400</v>
      </c>
      <c r="B1300" t="s">
        <v>2135</v>
      </c>
      <c r="C1300">
        <v>2</v>
      </c>
      <c r="D1300">
        <v>48</v>
      </c>
      <c r="E1300">
        <f>IF(OR(B1300="vi",B1300="ii",B1300="pod"),(((D1300/100)*(C1300*VLOOKUP(B1300,'Poids des runes'!A:B,2,FALSE)))+1),(((D1300/100)*(C1300*VLOOKUP(B1300,'Poids des runes'!A:B,2,FALSE)))+1)/VLOOKUP(B1300,'Poids des runes'!A:B,2,FALSE))</f>
        <v>1.1266666666666667</v>
      </c>
      <c r="F1300">
        <f t="shared" si="20"/>
        <v>1.1266666666666667</v>
      </c>
    </row>
    <row r="1301" spans="1:6" x14ac:dyDescent="0.3">
      <c r="A1301" t="s">
        <v>400</v>
      </c>
      <c r="B1301" t="s">
        <v>2137</v>
      </c>
      <c r="C1301">
        <v>2</v>
      </c>
      <c r="D1301">
        <v>48</v>
      </c>
      <c r="E1301">
        <f>IF(OR(B1301="vi",B1301="ii",B1301="pod"),(((D1301/100)*(C1301*VLOOKUP(B1301,'Poids des runes'!A:B,2,FALSE)))+1),(((D1301/100)*(C1301*VLOOKUP(B1301,'Poids des runes'!A:B,2,FALSE)))+1)/VLOOKUP(B1301,'Poids des runes'!A:B,2,FALSE))</f>
        <v>1.46</v>
      </c>
      <c r="F1301">
        <f t="shared" si="20"/>
        <v>1.46</v>
      </c>
    </row>
    <row r="1302" spans="1:6" x14ac:dyDescent="0.3">
      <c r="A1302" t="s">
        <v>401</v>
      </c>
      <c r="B1302" t="s">
        <v>2128</v>
      </c>
      <c r="C1302">
        <v>25.5</v>
      </c>
      <c r="D1302">
        <v>48</v>
      </c>
      <c r="E1302">
        <f>IF(OR(B1302="vi",B1302="ii",B1302="pod"),(((D1302/100)*(C1302*VLOOKUP(B1302,'Poids des runes'!A:B,2,FALSE)))+1),(((D1302/100)*(C1302*VLOOKUP(B1302,'Poids des runes'!A:B,2,FALSE)))+1)/VLOOKUP(B1302,'Poids des runes'!A:B,2,FALSE))</f>
        <v>3.448</v>
      </c>
      <c r="F1302">
        <f t="shared" si="20"/>
        <v>3.448</v>
      </c>
    </row>
    <row r="1303" spans="1:6" x14ac:dyDescent="0.3">
      <c r="A1303" t="s">
        <v>401</v>
      </c>
      <c r="B1303" t="s">
        <v>2155</v>
      </c>
      <c r="C1303">
        <v>1</v>
      </c>
      <c r="D1303">
        <v>48</v>
      </c>
      <c r="E1303">
        <f>IF(OR(B1303="vi",B1303="ii",B1303="pod"),(((D1303/100)*(C1303*VLOOKUP(B1303,'Poids des runes'!A:B,2,FALSE)))+1),(((D1303/100)*(C1303*VLOOKUP(B1303,'Poids des runes'!A:B,2,FALSE)))+1)/VLOOKUP(B1303,'Poids des runes'!A:B,2,FALSE))</f>
        <v>0.49960784313725493</v>
      </c>
      <c r="F1303">
        <f t="shared" si="20"/>
        <v>0.49960784313725493</v>
      </c>
    </row>
    <row r="1304" spans="1:6" x14ac:dyDescent="0.3">
      <c r="A1304" t="s">
        <v>401</v>
      </c>
      <c r="B1304" t="s">
        <v>2133</v>
      </c>
      <c r="C1304">
        <v>5</v>
      </c>
      <c r="D1304">
        <v>48</v>
      </c>
      <c r="E1304">
        <f>IF(OR(B1304="vi",B1304="ii",B1304="pod"),(((D1304/100)*(C1304*VLOOKUP(B1304,'Poids des runes'!A:B,2,FALSE)))+1),(((D1304/100)*(C1304*VLOOKUP(B1304,'Poids des runes'!A:B,2,FALSE)))+1)/VLOOKUP(B1304,'Poids des runes'!A:B,2,FALSE))</f>
        <v>2.6</v>
      </c>
      <c r="F1304">
        <f t="shared" si="20"/>
        <v>2.6</v>
      </c>
    </row>
    <row r="1305" spans="1:6" x14ac:dyDescent="0.3">
      <c r="A1305" t="s">
        <v>401</v>
      </c>
      <c r="B1305" t="s">
        <v>2165</v>
      </c>
      <c r="C1305">
        <v>6</v>
      </c>
      <c r="D1305">
        <v>48</v>
      </c>
      <c r="E1305">
        <f>IF(OR(B1305="vi",B1305="ii",B1305="pod"),(((D1305/100)*(C1305*VLOOKUP(B1305,'Poids des runes'!A:B,2,FALSE)))+1),(((D1305/100)*(C1305*VLOOKUP(B1305,'Poids des runes'!A:B,2,FALSE)))+1)/VLOOKUP(B1305,'Poids des runes'!A:B,2,FALSE))</f>
        <v>3.0228571428571427</v>
      </c>
      <c r="F1305">
        <f t="shared" si="20"/>
        <v>3.0228571428571427</v>
      </c>
    </row>
    <row r="1306" spans="1:6" x14ac:dyDescent="0.3">
      <c r="A1306" t="s">
        <v>402</v>
      </c>
      <c r="B1306" t="s">
        <v>2128</v>
      </c>
      <c r="C1306">
        <v>50.5</v>
      </c>
      <c r="D1306">
        <v>48</v>
      </c>
      <c r="E1306">
        <f>IF(OR(B1306="vi",B1306="ii",B1306="pod"),(((D1306/100)*(C1306*VLOOKUP(B1306,'Poids des runes'!A:B,2,FALSE)))+1),(((D1306/100)*(C1306*VLOOKUP(B1306,'Poids des runes'!A:B,2,FALSE)))+1)/VLOOKUP(B1306,'Poids des runes'!A:B,2,FALSE))</f>
        <v>5.8480000000000008</v>
      </c>
      <c r="F1306">
        <f t="shared" si="20"/>
        <v>5.8480000000000008</v>
      </c>
    </row>
    <row r="1307" spans="1:6" x14ac:dyDescent="0.3">
      <c r="A1307" t="s">
        <v>402</v>
      </c>
      <c r="B1307" t="s">
        <v>2151</v>
      </c>
      <c r="C1307">
        <v>2.5</v>
      </c>
      <c r="D1307">
        <v>48</v>
      </c>
      <c r="E1307">
        <f>IF(OR(B1307="vi",B1307="ii",B1307="pod"),(((D1307/100)*(C1307*VLOOKUP(B1307,'Poids des runes'!A:B,2,FALSE)))+1),(((D1307/100)*(C1307*VLOOKUP(B1307,'Poids des runes'!A:B,2,FALSE)))+1)/VLOOKUP(B1307,'Poids des runes'!A:B,2,FALSE))</f>
        <v>1.3</v>
      </c>
      <c r="F1307">
        <f t="shared" si="20"/>
        <v>1.3</v>
      </c>
    </row>
    <row r="1308" spans="1:6" x14ac:dyDescent="0.3">
      <c r="A1308" t="s">
        <v>402</v>
      </c>
      <c r="B1308" t="s">
        <v>2149</v>
      </c>
      <c r="C1308">
        <v>4.5</v>
      </c>
      <c r="D1308">
        <v>48</v>
      </c>
      <c r="E1308">
        <f>IF(OR(B1308="vi",B1308="ii",B1308="pod"),(((D1308/100)*(C1308*VLOOKUP(B1308,'Poids des runes'!A:B,2,FALSE)))+1),(((D1308/100)*(C1308*VLOOKUP(B1308,'Poids des runes'!A:B,2,FALSE)))+1)/VLOOKUP(B1308,'Poids des runes'!A:B,2,FALSE))</f>
        <v>2.2599999999999998</v>
      </c>
      <c r="F1308">
        <f t="shared" si="20"/>
        <v>2.2599999999999998</v>
      </c>
    </row>
    <row r="1309" spans="1:6" x14ac:dyDescent="0.3">
      <c r="A1309" t="s">
        <v>402</v>
      </c>
      <c r="B1309" t="s">
        <v>2156</v>
      </c>
      <c r="C1309">
        <v>2.5</v>
      </c>
      <c r="D1309">
        <v>48</v>
      </c>
      <c r="E1309">
        <f>IF(OR(B1309="vi",B1309="ii",B1309="pod"),(((D1309/100)*(C1309*VLOOKUP(B1309,'Poids des runes'!A:B,2,FALSE)))+1),(((D1309/100)*(C1309*VLOOKUP(B1309,'Poids des runes'!A:B,2,FALSE)))+1)/VLOOKUP(B1309,'Poids des runes'!A:B,2,FALSE))</f>
        <v>1.3666666666666665</v>
      </c>
      <c r="F1309">
        <f t="shared" si="20"/>
        <v>1.3666666666666665</v>
      </c>
    </row>
    <row r="1310" spans="1:6" x14ac:dyDescent="0.3">
      <c r="A1310" t="s">
        <v>403</v>
      </c>
      <c r="B1310" t="s">
        <v>2128</v>
      </c>
      <c r="C1310">
        <v>25.5</v>
      </c>
      <c r="D1310">
        <v>49</v>
      </c>
      <c r="E1310">
        <f>IF(OR(B1310="vi",B1310="ii",B1310="pod"),(((D1310/100)*(C1310*VLOOKUP(B1310,'Poids des runes'!A:B,2,FALSE)))+1),(((D1310/100)*(C1310*VLOOKUP(B1310,'Poids des runes'!A:B,2,FALSE)))+1)/VLOOKUP(B1310,'Poids des runes'!A:B,2,FALSE))</f>
        <v>3.4990000000000001</v>
      </c>
      <c r="F1310">
        <f t="shared" si="20"/>
        <v>3.4990000000000001</v>
      </c>
    </row>
    <row r="1311" spans="1:6" x14ac:dyDescent="0.3">
      <c r="A1311" t="s">
        <v>403</v>
      </c>
      <c r="B1311" t="s">
        <v>2130</v>
      </c>
      <c r="C1311">
        <v>15.5</v>
      </c>
      <c r="D1311">
        <v>49</v>
      </c>
      <c r="E1311">
        <f>IF(OR(B1311="vi",B1311="ii",B1311="pod"),(((D1311/100)*(C1311*VLOOKUP(B1311,'Poids des runes'!A:B,2,FALSE)))+1),(((D1311/100)*(C1311*VLOOKUP(B1311,'Poids des runes'!A:B,2,FALSE)))+1)/VLOOKUP(B1311,'Poids des runes'!A:B,2,FALSE))</f>
        <v>8.5949999999999989</v>
      </c>
      <c r="F1311">
        <f t="shared" si="20"/>
        <v>8.5949999999999989</v>
      </c>
    </row>
    <row r="1312" spans="1:6" x14ac:dyDescent="0.3">
      <c r="A1312" t="s">
        <v>403</v>
      </c>
      <c r="B1312" t="s">
        <v>2126</v>
      </c>
      <c r="C1312">
        <v>15.5</v>
      </c>
      <c r="D1312">
        <v>49</v>
      </c>
      <c r="E1312">
        <f>IF(OR(B1312="vi",B1312="ii",B1312="pod"),(((D1312/100)*(C1312*VLOOKUP(B1312,'Poids des runes'!A:B,2,FALSE)))+1),(((D1312/100)*(C1312*VLOOKUP(B1312,'Poids des runes'!A:B,2,FALSE)))+1)/VLOOKUP(B1312,'Poids des runes'!A:B,2,FALSE))</f>
        <v>8.5949999999999989</v>
      </c>
      <c r="F1312">
        <f t="shared" si="20"/>
        <v>8.5949999999999989</v>
      </c>
    </row>
    <row r="1313" spans="1:6" x14ac:dyDescent="0.3">
      <c r="A1313" t="s">
        <v>403</v>
      </c>
      <c r="B1313" t="s">
        <v>2131</v>
      </c>
      <c r="C1313">
        <v>20.5</v>
      </c>
      <c r="D1313">
        <v>49</v>
      </c>
      <c r="E1313">
        <f>IF(OR(B1313="vi",B1313="ii",B1313="pod"),(((D1313/100)*(C1313*VLOOKUP(B1313,'Poids des runes'!A:B,2,FALSE)))+1),(((D1313/100)*(C1313*VLOOKUP(B1313,'Poids des runes'!A:B,2,FALSE)))+1)/VLOOKUP(B1313,'Poids des runes'!A:B,2,FALSE))</f>
        <v>11.045</v>
      </c>
      <c r="F1313">
        <f t="shared" si="20"/>
        <v>11.045</v>
      </c>
    </row>
    <row r="1314" spans="1:6" x14ac:dyDescent="0.3">
      <c r="A1314" t="s">
        <v>403</v>
      </c>
      <c r="B1314" t="s">
        <v>2127</v>
      </c>
      <c r="C1314">
        <v>15.5</v>
      </c>
      <c r="D1314">
        <v>49</v>
      </c>
      <c r="E1314">
        <f>IF(OR(B1314="vi",B1314="ii",B1314="pod"),(((D1314/100)*(C1314*VLOOKUP(B1314,'Poids des runes'!A:B,2,FALSE)))+1),(((D1314/100)*(C1314*VLOOKUP(B1314,'Poids des runes'!A:B,2,FALSE)))+1)/VLOOKUP(B1314,'Poids des runes'!A:B,2,FALSE))</f>
        <v>8.5949999999999989</v>
      </c>
      <c r="F1314">
        <f t="shared" si="20"/>
        <v>8.5949999999999989</v>
      </c>
    </row>
    <row r="1315" spans="1:6" x14ac:dyDescent="0.3">
      <c r="A1315" t="s">
        <v>403</v>
      </c>
      <c r="B1315" t="s">
        <v>2161</v>
      </c>
      <c r="C1315">
        <v>3.5</v>
      </c>
      <c r="D1315">
        <v>49</v>
      </c>
      <c r="E1315">
        <f>IF(OR(B1315="vi",B1315="ii",B1315="pod"),(((D1315/100)*(C1315*VLOOKUP(B1315,'Poids des runes'!A:B,2,FALSE)))+1),(((D1315/100)*(C1315*VLOOKUP(B1315,'Poids des runes'!A:B,2,FALSE)))+1)/VLOOKUP(B1315,'Poids des runes'!A:B,2,FALSE))</f>
        <v>2.0483333333333333</v>
      </c>
      <c r="F1315">
        <f t="shared" si="20"/>
        <v>2.0483333333333333</v>
      </c>
    </row>
    <row r="1316" spans="1:6" x14ac:dyDescent="0.3">
      <c r="A1316" t="s">
        <v>404</v>
      </c>
      <c r="B1316" t="s">
        <v>2152</v>
      </c>
      <c r="C1316">
        <v>1</v>
      </c>
      <c r="D1316">
        <v>49</v>
      </c>
      <c r="E1316">
        <f>IF(OR(B1316="vi",B1316="ii",B1316="pod"),(((D1316/100)*(C1316*VLOOKUP(B1316,'Poids des runes'!A:B,2,FALSE)))+1),(((D1316/100)*(C1316*VLOOKUP(B1316,'Poids des runes'!A:B,2,FALSE)))+1)/VLOOKUP(B1316,'Poids des runes'!A:B,2,FALSE))</f>
        <v>0.5</v>
      </c>
      <c r="F1316">
        <f t="shared" si="20"/>
        <v>0.5</v>
      </c>
    </row>
    <row r="1317" spans="1:6" x14ac:dyDescent="0.3">
      <c r="A1317" t="s">
        <v>404</v>
      </c>
      <c r="B1317" t="s">
        <v>2157</v>
      </c>
      <c r="C1317">
        <v>3.5</v>
      </c>
      <c r="D1317">
        <v>49</v>
      </c>
      <c r="E1317">
        <f>IF(OR(B1317="vi",B1317="ii",B1317="pod"),(((D1317/100)*(C1317*VLOOKUP(B1317,'Poids des runes'!A:B,2,FALSE)))+1),(((D1317/100)*(C1317*VLOOKUP(B1317,'Poids des runes'!A:B,2,FALSE)))+1)/VLOOKUP(B1317,'Poids des runes'!A:B,2,FALSE))</f>
        <v>1.8816666666666666</v>
      </c>
      <c r="F1317">
        <f t="shared" si="20"/>
        <v>1.8816666666666666</v>
      </c>
    </row>
    <row r="1318" spans="1:6" x14ac:dyDescent="0.3">
      <c r="A1318" t="s">
        <v>405</v>
      </c>
      <c r="B1318" t="s">
        <v>2128</v>
      </c>
      <c r="C1318">
        <v>25.5</v>
      </c>
      <c r="D1318">
        <v>49</v>
      </c>
      <c r="E1318">
        <f>IF(OR(B1318="vi",B1318="ii",B1318="pod"),(((D1318/100)*(C1318*VLOOKUP(B1318,'Poids des runes'!A:B,2,FALSE)))+1),(((D1318/100)*(C1318*VLOOKUP(B1318,'Poids des runes'!A:B,2,FALSE)))+1)/VLOOKUP(B1318,'Poids des runes'!A:B,2,FALSE))</f>
        <v>3.4990000000000001</v>
      </c>
      <c r="F1318">
        <f t="shared" si="20"/>
        <v>3.4990000000000001</v>
      </c>
    </row>
    <row r="1319" spans="1:6" x14ac:dyDescent="0.3">
      <c r="A1319" t="s">
        <v>405</v>
      </c>
      <c r="B1319" t="s">
        <v>2151</v>
      </c>
      <c r="C1319">
        <v>2.5</v>
      </c>
      <c r="D1319">
        <v>49</v>
      </c>
      <c r="E1319">
        <f>IF(OR(B1319="vi",B1319="ii",B1319="pod"),(((D1319/100)*(C1319*VLOOKUP(B1319,'Poids des runes'!A:B,2,FALSE)))+1),(((D1319/100)*(C1319*VLOOKUP(B1319,'Poids des runes'!A:B,2,FALSE)))+1)/VLOOKUP(B1319,'Poids des runes'!A:B,2,FALSE))</f>
        <v>1.325</v>
      </c>
      <c r="F1319">
        <f t="shared" si="20"/>
        <v>1.325</v>
      </c>
    </row>
    <row r="1320" spans="1:6" x14ac:dyDescent="0.3">
      <c r="A1320" t="s">
        <v>405</v>
      </c>
      <c r="B1320" t="s">
        <v>2155</v>
      </c>
      <c r="C1320">
        <v>1</v>
      </c>
      <c r="D1320">
        <v>49</v>
      </c>
      <c r="E1320">
        <f>IF(OR(B1320="vi",B1320="ii",B1320="pod"),(((D1320/100)*(C1320*VLOOKUP(B1320,'Poids des runes'!A:B,2,FALSE)))+1),(((D1320/100)*(C1320*VLOOKUP(B1320,'Poids des runes'!A:B,2,FALSE)))+1)/VLOOKUP(B1320,'Poids des runes'!A:B,2,FALSE))</f>
        <v>0.50960784313725482</v>
      </c>
      <c r="F1320">
        <f t="shared" si="20"/>
        <v>0.50960784313725482</v>
      </c>
    </row>
    <row r="1321" spans="1:6" x14ac:dyDescent="0.3">
      <c r="A1321" t="s">
        <v>406</v>
      </c>
      <c r="B1321" t="s">
        <v>2128</v>
      </c>
      <c r="C1321">
        <v>45.5</v>
      </c>
      <c r="D1321">
        <v>49</v>
      </c>
      <c r="E1321">
        <f>IF(OR(B1321="vi",B1321="ii",B1321="pod"),(((D1321/100)*(C1321*VLOOKUP(B1321,'Poids des runes'!A:B,2,FALSE)))+1),(((D1321/100)*(C1321*VLOOKUP(B1321,'Poids des runes'!A:B,2,FALSE)))+1)/VLOOKUP(B1321,'Poids des runes'!A:B,2,FALSE))</f>
        <v>5.4589999999999996</v>
      </c>
      <c r="F1321">
        <f t="shared" si="20"/>
        <v>5.4589999999999996</v>
      </c>
    </row>
    <row r="1322" spans="1:6" x14ac:dyDescent="0.3">
      <c r="A1322" t="s">
        <v>406</v>
      </c>
      <c r="B1322" t="s">
        <v>2130</v>
      </c>
      <c r="C1322">
        <v>35.5</v>
      </c>
      <c r="D1322">
        <v>49</v>
      </c>
      <c r="E1322">
        <f>IF(OR(B1322="vi",B1322="ii",B1322="pod"),(((D1322/100)*(C1322*VLOOKUP(B1322,'Poids des runes'!A:B,2,FALSE)))+1),(((D1322/100)*(C1322*VLOOKUP(B1322,'Poids des runes'!A:B,2,FALSE)))+1)/VLOOKUP(B1322,'Poids des runes'!A:B,2,FALSE))</f>
        <v>18.395</v>
      </c>
      <c r="F1322">
        <f t="shared" si="20"/>
        <v>18.395</v>
      </c>
    </row>
    <row r="1323" spans="1:6" x14ac:dyDescent="0.3">
      <c r="A1323" t="s">
        <v>406</v>
      </c>
      <c r="B1323" t="s">
        <v>2151</v>
      </c>
      <c r="C1323">
        <v>4.5</v>
      </c>
      <c r="D1323">
        <v>49</v>
      </c>
      <c r="E1323">
        <f>IF(OR(B1323="vi",B1323="ii",B1323="pod"),(((D1323/100)*(C1323*VLOOKUP(B1323,'Poids des runes'!A:B,2,FALSE)))+1),(((D1323/100)*(C1323*VLOOKUP(B1323,'Poids des runes'!A:B,2,FALSE)))+1)/VLOOKUP(B1323,'Poids des runes'!A:B,2,FALSE))</f>
        <v>2.3050000000000002</v>
      </c>
      <c r="F1323">
        <f t="shared" si="20"/>
        <v>2.3050000000000002</v>
      </c>
    </row>
    <row r="1324" spans="1:6" x14ac:dyDescent="0.3">
      <c r="A1324" t="s">
        <v>406</v>
      </c>
      <c r="B1324" t="s">
        <v>2158</v>
      </c>
      <c r="C1324">
        <v>4.5</v>
      </c>
      <c r="D1324">
        <v>49</v>
      </c>
      <c r="E1324">
        <f>IF(OR(B1324="vi",B1324="ii",B1324="pod"),(((D1324/100)*(C1324*VLOOKUP(B1324,'Poids des runes'!A:B,2,FALSE)))+1),(((D1324/100)*(C1324*VLOOKUP(B1324,'Poids des runes'!A:B,2,FALSE)))+1)/VLOOKUP(B1324,'Poids des runes'!A:B,2,FALSE))</f>
        <v>2.4050000000000002</v>
      </c>
      <c r="F1324">
        <f t="shared" si="20"/>
        <v>2.4050000000000002</v>
      </c>
    </row>
    <row r="1325" spans="1:6" x14ac:dyDescent="0.3">
      <c r="A1325" t="s">
        <v>407</v>
      </c>
      <c r="B1325" t="s">
        <v>2128</v>
      </c>
      <c r="C1325">
        <v>30.5</v>
      </c>
      <c r="D1325">
        <v>49</v>
      </c>
      <c r="E1325">
        <f>IF(OR(B1325="vi",B1325="ii",B1325="pod"),(((D1325/100)*(C1325*VLOOKUP(B1325,'Poids des runes'!A:B,2,FALSE)))+1),(((D1325/100)*(C1325*VLOOKUP(B1325,'Poids des runes'!A:B,2,FALSE)))+1)/VLOOKUP(B1325,'Poids des runes'!A:B,2,FALSE))</f>
        <v>3.9890000000000003</v>
      </c>
      <c r="F1325">
        <f t="shared" si="20"/>
        <v>3.9890000000000003</v>
      </c>
    </row>
    <row r="1326" spans="1:6" x14ac:dyDescent="0.3">
      <c r="A1326" t="s">
        <v>407</v>
      </c>
      <c r="B1326" t="s">
        <v>2137</v>
      </c>
      <c r="C1326">
        <v>4</v>
      </c>
      <c r="D1326">
        <v>49</v>
      </c>
      <c r="E1326">
        <f>IF(OR(B1326="vi",B1326="ii",B1326="pod"),(((D1326/100)*(C1326*VLOOKUP(B1326,'Poids des runes'!A:B,2,FALSE)))+1),(((D1326/100)*(C1326*VLOOKUP(B1326,'Poids des runes'!A:B,2,FALSE)))+1)/VLOOKUP(B1326,'Poids des runes'!A:B,2,FALSE))</f>
        <v>2.46</v>
      </c>
      <c r="F1326">
        <f t="shared" si="20"/>
        <v>2.46</v>
      </c>
    </row>
    <row r="1327" spans="1:6" x14ac:dyDescent="0.3">
      <c r="A1327" t="s">
        <v>407</v>
      </c>
      <c r="B1327" t="s">
        <v>2144</v>
      </c>
      <c r="C1327">
        <v>4</v>
      </c>
      <c r="D1327">
        <v>49</v>
      </c>
      <c r="E1327">
        <f>IF(OR(B1327="vi",B1327="ii",B1327="pod"),(((D1327/100)*(C1327*VLOOKUP(B1327,'Poids des runes'!A:B,2,FALSE)))+1),(((D1327/100)*(C1327*VLOOKUP(B1327,'Poids des runes'!A:B,2,FALSE)))+1)/VLOOKUP(B1327,'Poids des runes'!A:B,2,FALSE))</f>
        <v>2.46</v>
      </c>
      <c r="F1327">
        <f t="shared" si="20"/>
        <v>2.46</v>
      </c>
    </row>
    <row r="1328" spans="1:6" x14ac:dyDescent="0.3">
      <c r="A1328" t="s">
        <v>407</v>
      </c>
      <c r="B1328" t="s">
        <v>2145</v>
      </c>
      <c r="C1328">
        <v>4</v>
      </c>
      <c r="D1328">
        <v>49</v>
      </c>
      <c r="E1328">
        <f>IF(OR(B1328="vi",B1328="ii",B1328="pod"),(((D1328/100)*(C1328*VLOOKUP(B1328,'Poids des runes'!A:B,2,FALSE)))+1),(((D1328/100)*(C1328*VLOOKUP(B1328,'Poids des runes'!A:B,2,FALSE)))+1)/VLOOKUP(B1328,'Poids des runes'!A:B,2,FALSE))</f>
        <v>2.46</v>
      </c>
      <c r="F1328">
        <f t="shared" si="20"/>
        <v>2.46</v>
      </c>
    </row>
    <row r="1329" spans="1:6" x14ac:dyDescent="0.3">
      <c r="A1329" t="s">
        <v>407</v>
      </c>
      <c r="B1329" t="s">
        <v>2146</v>
      </c>
      <c r="C1329">
        <v>4</v>
      </c>
      <c r="D1329">
        <v>49</v>
      </c>
      <c r="E1329">
        <f>IF(OR(B1329="vi",B1329="ii",B1329="pod"),(((D1329/100)*(C1329*VLOOKUP(B1329,'Poids des runes'!A:B,2,FALSE)))+1),(((D1329/100)*(C1329*VLOOKUP(B1329,'Poids des runes'!A:B,2,FALSE)))+1)/VLOOKUP(B1329,'Poids des runes'!A:B,2,FALSE))</f>
        <v>2.46</v>
      </c>
      <c r="F1329">
        <f t="shared" si="20"/>
        <v>2.46</v>
      </c>
    </row>
    <row r="1330" spans="1:6" x14ac:dyDescent="0.3">
      <c r="A1330" t="s">
        <v>408</v>
      </c>
      <c r="B1330" t="s">
        <v>2128</v>
      </c>
      <c r="C1330">
        <v>25.5</v>
      </c>
      <c r="D1330">
        <v>49</v>
      </c>
      <c r="E1330">
        <f>IF(OR(B1330="vi",B1330="ii",B1330="pod"),(((D1330/100)*(C1330*VLOOKUP(B1330,'Poids des runes'!A:B,2,FALSE)))+1),(((D1330/100)*(C1330*VLOOKUP(B1330,'Poids des runes'!A:B,2,FALSE)))+1)/VLOOKUP(B1330,'Poids des runes'!A:B,2,FALSE))</f>
        <v>3.4990000000000001</v>
      </c>
      <c r="F1330">
        <f t="shared" si="20"/>
        <v>3.4990000000000001</v>
      </c>
    </row>
    <row r="1331" spans="1:6" x14ac:dyDescent="0.3">
      <c r="A1331" t="s">
        <v>408</v>
      </c>
      <c r="B1331" t="s">
        <v>2130</v>
      </c>
      <c r="C1331">
        <v>23</v>
      </c>
      <c r="D1331">
        <v>49</v>
      </c>
      <c r="E1331">
        <f>IF(OR(B1331="vi",B1331="ii",B1331="pod"),(((D1331/100)*(C1331*VLOOKUP(B1331,'Poids des runes'!A:B,2,FALSE)))+1),(((D1331/100)*(C1331*VLOOKUP(B1331,'Poids des runes'!A:B,2,FALSE)))+1)/VLOOKUP(B1331,'Poids des runes'!A:B,2,FALSE))</f>
        <v>12.27</v>
      </c>
      <c r="F1331">
        <f t="shared" si="20"/>
        <v>12.27</v>
      </c>
    </row>
    <row r="1332" spans="1:6" x14ac:dyDescent="0.3">
      <c r="A1332" t="s">
        <v>408</v>
      </c>
      <c r="B1332" t="s">
        <v>2131</v>
      </c>
      <c r="C1332">
        <v>23</v>
      </c>
      <c r="D1332">
        <v>49</v>
      </c>
      <c r="E1332">
        <f>IF(OR(B1332="vi",B1332="ii",B1332="pod"),(((D1332/100)*(C1332*VLOOKUP(B1332,'Poids des runes'!A:B,2,FALSE)))+1),(((D1332/100)*(C1332*VLOOKUP(B1332,'Poids des runes'!A:B,2,FALSE)))+1)/VLOOKUP(B1332,'Poids des runes'!A:B,2,FALSE))</f>
        <v>12.27</v>
      </c>
      <c r="F1332">
        <f t="shared" si="20"/>
        <v>12.27</v>
      </c>
    </row>
    <row r="1333" spans="1:6" x14ac:dyDescent="0.3">
      <c r="A1333" t="s">
        <v>408</v>
      </c>
      <c r="B1333" t="s">
        <v>2134</v>
      </c>
      <c r="C1333">
        <v>2.5</v>
      </c>
      <c r="D1333">
        <v>49</v>
      </c>
      <c r="E1333">
        <f>IF(OR(B1333="vi",B1333="ii",B1333="pod"),(((D1333/100)*(C1333*VLOOKUP(B1333,'Poids des runes'!A:B,2,FALSE)))+1),(((D1333/100)*(C1333*VLOOKUP(B1333,'Poids des runes'!A:B,2,FALSE)))+1)/VLOOKUP(B1333,'Poids des runes'!A:B,2,FALSE))</f>
        <v>1.2749999999999999</v>
      </c>
      <c r="F1333">
        <f t="shared" si="20"/>
        <v>1.2749999999999999</v>
      </c>
    </row>
    <row r="1334" spans="1:6" x14ac:dyDescent="0.3">
      <c r="A1334" t="s">
        <v>408</v>
      </c>
      <c r="B1334" t="s">
        <v>2148</v>
      </c>
      <c r="C1334">
        <v>2.5</v>
      </c>
      <c r="D1334">
        <v>49</v>
      </c>
      <c r="E1334">
        <f>IF(OR(B1334="vi",B1334="ii",B1334="pod"),(((D1334/100)*(C1334*VLOOKUP(B1334,'Poids des runes'!A:B,2,FALSE)))+1),(((D1334/100)*(C1334*VLOOKUP(B1334,'Poids des runes'!A:B,2,FALSE)))+1)/VLOOKUP(B1334,'Poids des runes'!A:B,2,FALSE))</f>
        <v>1.3916666666666666</v>
      </c>
      <c r="F1334">
        <f t="shared" si="20"/>
        <v>1.3916666666666666</v>
      </c>
    </row>
    <row r="1335" spans="1:6" x14ac:dyDescent="0.3">
      <c r="A1335" t="s">
        <v>409</v>
      </c>
      <c r="B1335" t="s">
        <v>2128</v>
      </c>
      <c r="C1335">
        <v>60.5</v>
      </c>
      <c r="D1335">
        <v>49</v>
      </c>
      <c r="E1335">
        <f>IF(OR(B1335="vi",B1335="ii",B1335="pod"),(((D1335/100)*(C1335*VLOOKUP(B1335,'Poids des runes'!A:B,2,FALSE)))+1),(((D1335/100)*(C1335*VLOOKUP(B1335,'Poids des runes'!A:B,2,FALSE)))+1)/VLOOKUP(B1335,'Poids des runes'!A:B,2,FALSE))</f>
        <v>6.9290000000000003</v>
      </c>
      <c r="F1335">
        <f t="shared" si="20"/>
        <v>6.9290000000000003</v>
      </c>
    </row>
    <row r="1336" spans="1:6" x14ac:dyDescent="0.3">
      <c r="A1336" t="s">
        <v>409</v>
      </c>
      <c r="B1336" t="s">
        <v>2151</v>
      </c>
      <c r="C1336">
        <v>5</v>
      </c>
      <c r="D1336">
        <v>49</v>
      </c>
      <c r="E1336">
        <f>IF(OR(B1336="vi",B1336="ii",B1336="pod"),(((D1336/100)*(C1336*VLOOKUP(B1336,'Poids des runes'!A:B,2,FALSE)))+1),(((D1336/100)*(C1336*VLOOKUP(B1336,'Poids des runes'!A:B,2,FALSE)))+1)/VLOOKUP(B1336,'Poids des runes'!A:B,2,FALSE))</f>
        <v>2.5499999999999998</v>
      </c>
      <c r="F1336">
        <f t="shared" si="20"/>
        <v>2.5499999999999998</v>
      </c>
    </row>
    <row r="1337" spans="1:6" x14ac:dyDescent="0.3">
      <c r="A1337" t="s">
        <v>409</v>
      </c>
      <c r="B1337" t="s">
        <v>2140</v>
      </c>
      <c r="C1337">
        <v>6</v>
      </c>
      <c r="D1337">
        <v>49</v>
      </c>
      <c r="E1337">
        <f>IF(OR(B1337="vi",B1337="ii",B1337="pod"),(((D1337/100)*(C1337*VLOOKUP(B1337,'Poids des runes'!A:B,2,FALSE)))+1),(((D1337/100)*(C1337*VLOOKUP(B1337,'Poids des runes'!A:B,2,FALSE)))+1)/VLOOKUP(B1337,'Poids des runes'!A:B,2,FALSE))</f>
        <v>3.1399999999999997</v>
      </c>
      <c r="F1337">
        <f t="shared" si="20"/>
        <v>3.1399999999999997</v>
      </c>
    </row>
    <row r="1338" spans="1:6" x14ac:dyDescent="0.3">
      <c r="A1338" t="s">
        <v>409</v>
      </c>
      <c r="B1338" t="s">
        <v>2141</v>
      </c>
      <c r="C1338">
        <v>3.5</v>
      </c>
      <c r="D1338">
        <v>49</v>
      </c>
      <c r="E1338">
        <f>IF(OR(B1338="vi",B1338="ii",B1338="pod"),(((D1338/100)*(C1338*VLOOKUP(B1338,'Poids des runes'!A:B,2,FALSE)))+1),(((D1338/100)*(C1338*VLOOKUP(B1338,'Poids des runes'!A:B,2,FALSE)))+1)/VLOOKUP(B1338,'Poids des runes'!A:B,2,FALSE))</f>
        <v>1.9649999999999999</v>
      </c>
      <c r="F1338">
        <f t="shared" si="20"/>
        <v>1.9649999999999999</v>
      </c>
    </row>
    <row r="1339" spans="1:6" x14ac:dyDescent="0.3">
      <c r="A1339" t="s">
        <v>410</v>
      </c>
      <c r="B1339" t="s">
        <v>2131</v>
      </c>
      <c r="C1339">
        <v>18</v>
      </c>
      <c r="D1339">
        <v>50</v>
      </c>
      <c r="E1339">
        <f>IF(OR(B1339="vi",B1339="ii",B1339="pod"),(((D1339/100)*(C1339*VLOOKUP(B1339,'Poids des runes'!A:B,2,FALSE)))+1),(((D1339/100)*(C1339*VLOOKUP(B1339,'Poids des runes'!A:B,2,FALSE)))+1)/VLOOKUP(B1339,'Poids des runes'!A:B,2,FALSE))</f>
        <v>10</v>
      </c>
      <c r="F1339">
        <f t="shared" si="20"/>
        <v>10</v>
      </c>
    </row>
    <row r="1340" spans="1:6" x14ac:dyDescent="0.3">
      <c r="A1340" t="s">
        <v>410</v>
      </c>
      <c r="B1340" t="s">
        <v>2154</v>
      </c>
      <c r="C1340">
        <v>1</v>
      </c>
      <c r="D1340">
        <v>50</v>
      </c>
      <c r="E1340">
        <f>IF(OR(B1340="vi",B1340="ii",B1340="pod"),(((D1340/100)*(C1340*VLOOKUP(B1340,'Poids des runes'!A:B,2,FALSE)))+1),(((D1340/100)*(C1340*VLOOKUP(B1340,'Poids des runes'!A:B,2,FALSE)))+1)/VLOOKUP(B1340,'Poids des runes'!A:B,2,FALSE))</f>
        <v>0.51111111111111107</v>
      </c>
      <c r="F1340">
        <f t="shared" si="20"/>
        <v>0.51111111111111107</v>
      </c>
    </row>
    <row r="1341" spans="1:6" x14ac:dyDescent="0.3">
      <c r="A1341" t="s">
        <v>410</v>
      </c>
      <c r="B1341" t="s">
        <v>2161</v>
      </c>
      <c r="C1341">
        <v>2.5</v>
      </c>
      <c r="D1341">
        <v>50</v>
      </c>
      <c r="E1341">
        <f>IF(OR(B1341="vi",B1341="ii",B1341="pod"),(((D1341/100)*(C1341*VLOOKUP(B1341,'Poids des runes'!A:B,2,FALSE)))+1),(((D1341/100)*(C1341*VLOOKUP(B1341,'Poids des runes'!A:B,2,FALSE)))+1)/VLOOKUP(B1341,'Poids des runes'!A:B,2,FALSE))</f>
        <v>1.5833333333333333</v>
      </c>
      <c r="F1341">
        <f t="shared" si="20"/>
        <v>1.5833333333333333</v>
      </c>
    </row>
    <row r="1342" spans="1:6" x14ac:dyDescent="0.3">
      <c r="A1342" t="s">
        <v>411</v>
      </c>
      <c r="B1342" t="s">
        <v>2128</v>
      </c>
      <c r="C1342">
        <v>35.5</v>
      </c>
      <c r="D1342">
        <v>50</v>
      </c>
      <c r="E1342">
        <f>IF(OR(B1342="vi",B1342="ii",B1342="pod"),(((D1342/100)*(C1342*VLOOKUP(B1342,'Poids des runes'!A:B,2,FALSE)))+1),(((D1342/100)*(C1342*VLOOKUP(B1342,'Poids des runes'!A:B,2,FALSE)))+1)/VLOOKUP(B1342,'Poids des runes'!A:B,2,FALSE))</f>
        <v>4.5500000000000007</v>
      </c>
      <c r="F1342">
        <f t="shared" si="20"/>
        <v>4.5500000000000007</v>
      </c>
    </row>
    <row r="1343" spans="1:6" x14ac:dyDescent="0.3">
      <c r="A1343" t="s">
        <v>411</v>
      </c>
      <c r="B1343" t="s">
        <v>2126</v>
      </c>
      <c r="C1343">
        <v>25.5</v>
      </c>
      <c r="D1343">
        <v>50</v>
      </c>
      <c r="E1343">
        <f>IF(OR(B1343="vi",B1343="ii",B1343="pod"),(((D1343/100)*(C1343*VLOOKUP(B1343,'Poids des runes'!A:B,2,FALSE)))+1),(((D1343/100)*(C1343*VLOOKUP(B1343,'Poids des runes'!A:B,2,FALSE)))+1)/VLOOKUP(B1343,'Poids des runes'!A:B,2,FALSE))</f>
        <v>13.75</v>
      </c>
      <c r="F1343">
        <f t="shared" si="20"/>
        <v>13.75</v>
      </c>
    </row>
    <row r="1344" spans="1:6" x14ac:dyDescent="0.3">
      <c r="A1344" t="s">
        <v>411</v>
      </c>
      <c r="B1344" t="s">
        <v>2129</v>
      </c>
      <c r="C1344">
        <v>23</v>
      </c>
      <c r="D1344">
        <v>50</v>
      </c>
      <c r="E1344">
        <f>IF(OR(B1344="vi",B1344="ii",B1344="pod"),(((D1344/100)*(C1344*VLOOKUP(B1344,'Poids des runes'!A:B,2,FALSE)))+1),(((D1344/100)*(C1344*VLOOKUP(B1344,'Poids des runes'!A:B,2,FALSE)))+1)/VLOOKUP(B1344,'Poids des runes'!A:B,2,FALSE))</f>
        <v>12.5</v>
      </c>
      <c r="F1344">
        <f t="shared" si="20"/>
        <v>12.5</v>
      </c>
    </row>
    <row r="1345" spans="1:6" x14ac:dyDescent="0.3">
      <c r="A1345" t="s">
        <v>411</v>
      </c>
      <c r="B1345" t="s">
        <v>2139</v>
      </c>
      <c r="C1345">
        <v>18</v>
      </c>
      <c r="D1345">
        <v>50</v>
      </c>
      <c r="E1345">
        <f>IF(OR(B1345="vi",B1345="ii",B1345="pod"),(((D1345/100)*(C1345*VLOOKUP(B1345,'Poids des runes'!A:B,2,FALSE)))+1),(((D1345/100)*(C1345*VLOOKUP(B1345,'Poids des runes'!A:B,2,FALSE)))+1)/VLOOKUP(B1345,'Poids des runes'!A:B,2,FALSE))</f>
        <v>9.5</v>
      </c>
      <c r="F1345">
        <f t="shared" si="20"/>
        <v>9.5</v>
      </c>
    </row>
    <row r="1346" spans="1:6" x14ac:dyDescent="0.3">
      <c r="A1346" t="s">
        <v>411</v>
      </c>
      <c r="B1346" t="s">
        <v>2149</v>
      </c>
      <c r="C1346">
        <v>4.5</v>
      </c>
      <c r="D1346">
        <v>50</v>
      </c>
      <c r="E1346">
        <f>IF(OR(B1346="vi",B1346="ii",B1346="pod"),(((D1346/100)*(C1346*VLOOKUP(B1346,'Poids des runes'!A:B,2,FALSE)))+1),(((D1346/100)*(C1346*VLOOKUP(B1346,'Poids des runes'!A:B,2,FALSE)))+1)/VLOOKUP(B1346,'Poids des runes'!A:B,2,FALSE))</f>
        <v>2.35</v>
      </c>
      <c r="F1346">
        <f t="shared" si="20"/>
        <v>2.35</v>
      </c>
    </row>
    <row r="1347" spans="1:6" x14ac:dyDescent="0.3">
      <c r="A1347" t="s">
        <v>412</v>
      </c>
      <c r="B1347" t="s">
        <v>2128</v>
      </c>
      <c r="C1347">
        <v>25.5</v>
      </c>
      <c r="D1347">
        <v>50</v>
      </c>
      <c r="E1347">
        <f>IF(OR(B1347="vi",B1347="ii",B1347="pod"),(((D1347/100)*(C1347*VLOOKUP(B1347,'Poids des runes'!A:B,2,FALSE)))+1),(((D1347/100)*(C1347*VLOOKUP(B1347,'Poids des runes'!A:B,2,FALSE)))+1)/VLOOKUP(B1347,'Poids des runes'!A:B,2,FALSE))</f>
        <v>3.5500000000000003</v>
      </c>
      <c r="F1347">
        <f t="shared" ref="F1347:F1410" si="21">E1347</f>
        <v>3.5500000000000003</v>
      </c>
    </row>
    <row r="1348" spans="1:6" x14ac:dyDescent="0.3">
      <c r="A1348" t="s">
        <v>412</v>
      </c>
      <c r="B1348" t="s">
        <v>2126</v>
      </c>
      <c r="C1348">
        <v>25.5</v>
      </c>
      <c r="D1348">
        <v>50</v>
      </c>
      <c r="E1348">
        <f>IF(OR(B1348="vi",B1348="ii",B1348="pod"),(((D1348/100)*(C1348*VLOOKUP(B1348,'Poids des runes'!A:B,2,FALSE)))+1),(((D1348/100)*(C1348*VLOOKUP(B1348,'Poids des runes'!A:B,2,FALSE)))+1)/VLOOKUP(B1348,'Poids des runes'!A:B,2,FALSE))</f>
        <v>13.75</v>
      </c>
      <c r="F1348">
        <f t="shared" si="21"/>
        <v>13.75</v>
      </c>
    </row>
    <row r="1349" spans="1:6" x14ac:dyDescent="0.3">
      <c r="A1349" t="s">
        <v>412</v>
      </c>
      <c r="B1349" t="s">
        <v>2139</v>
      </c>
      <c r="C1349">
        <v>8</v>
      </c>
      <c r="D1349">
        <v>50</v>
      </c>
      <c r="E1349">
        <f>IF(OR(B1349="vi",B1349="ii",B1349="pod"),(((D1349/100)*(C1349*VLOOKUP(B1349,'Poids des runes'!A:B,2,FALSE)))+1),(((D1349/100)*(C1349*VLOOKUP(B1349,'Poids des runes'!A:B,2,FALSE)))+1)/VLOOKUP(B1349,'Poids des runes'!A:B,2,FALSE))</f>
        <v>4.5</v>
      </c>
      <c r="F1349">
        <f t="shared" si="21"/>
        <v>4.5</v>
      </c>
    </row>
    <row r="1350" spans="1:6" x14ac:dyDescent="0.3">
      <c r="A1350" t="s">
        <v>412</v>
      </c>
      <c r="B1350" t="s">
        <v>2155</v>
      </c>
      <c r="C1350">
        <v>1</v>
      </c>
      <c r="D1350">
        <v>50</v>
      </c>
      <c r="E1350">
        <f>IF(OR(B1350="vi",B1350="ii",B1350="pod"),(((D1350/100)*(C1350*VLOOKUP(B1350,'Poids des runes'!A:B,2,FALSE)))+1),(((D1350/100)*(C1350*VLOOKUP(B1350,'Poids des runes'!A:B,2,FALSE)))+1)/VLOOKUP(B1350,'Poids des runes'!A:B,2,FALSE))</f>
        <v>0.51960784313725494</v>
      </c>
      <c r="F1350">
        <f t="shared" si="21"/>
        <v>0.51960784313725494</v>
      </c>
    </row>
    <row r="1351" spans="1:6" x14ac:dyDescent="0.3">
      <c r="A1351" t="s">
        <v>412</v>
      </c>
      <c r="B1351" t="s">
        <v>2144</v>
      </c>
      <c r="C1351">
        <v>4</v>
      </c>
      <c r="D1351">
        <v>50</v>
      </c>
      <c r="E1351">
        <f>IF(OR(B1351="vi",B1351="ii",B1351="pod"),(((D1351/100)*(C1351*VLOOKUP(B1351,'Poids des runes'!A:B,2,FALSE)))+1),(((D1351/100)*(C1351*VLOOKUP(B1351,'Poids des runes'!A:B,2,FALSE)))+1)/VLOOKUP(B1351,'Poids des runes'!A:B,2,FALSE))</f>
        <v>2.5</v>
      </c>
      <c r="F1351">
        <f t="shared" si="21"/>
        <v>2.5</v>
      </c>
    </row>
    <row r="1352" spans="1:6" x14ac:dyDescent="0.3">
      <c r="A1352" t="s">
        <v>412</v>
      </c>
      <c r="B1352" t="s">
        <v>2145</v>
      </c>
      <c r="C1352">
        <v>4</v>
      </c>
      <c r="D1352">
        <v>50</v>
      </c>
      <c r="E1352">
        <f>IF(OR(B1352="vi",B1352="ii",B1352="pod"),(((D1352/100)*(C1352*VLOOKUP(B1352,'Poids des runes'!A:B,2,FALSE)))+1),(((D1352/100)*(C1352*VLOOKUP(B1352,'Poids des runes'!A:B,2,FALSE)))+1)/VLOOKUP(B1352,'Poids des runes'!A:B,2,FALSE))</f>
        <v>2.5</v>
      </c>
      <c r="F1352">
        <f t="shared" si="21"/>
        <v>2.5</v>
      </c>
    </row>
    <row r="1353" spans="1:6" x14ac:dyDescent="0.3">
      <c r="A1353" t="s">
        <v>412</v>
      </c>
      <c r="B1353" t="s">
        <v>2146</v>
      </c>
      <c r="C1353">
        <v>4</v>
      </c>
      <c r="D1353">
        <v>50</v>
      </c>
      <c r="E1353">
        <f>IF(OR(B1353="vi",B1353="ii",B1353="pod"),(((D1353/100)*(C1353*VLOOKUP(B1353,'Poids des runes'!A:B,2,FALSE)))+1),(((D1353/100)*(C1353*VLOOKUP(B1353,'Poids des runes'!A:B,2,FALSE)))+1)/VLOOKUP(B1353,'Poids des runes'!A:B,2,FALSE))</f>
        <v>2.5</v>
      </c>
      <c r="F1353">
        <f t="shared" si="21"/>
        <v>2.5</v>
      </c>
    </row>
    <row r="1354" spans="1:6" x14ac:dyDescent="0.3">
      <c r="A1354" t="s">
        <v>413</v>
      </c>
      <c r="B1354" t="s">
        <v>2128</v>
      </c>
      <c r="C1354">
        <v>85.5</v>
      </c>
      <c r="D1354">
        <v>50</v>
      </c>
      <c r="E1354">
        <f>IF(OR(B1354="vi",B1354="ii",B1354="pod"),(((D1354/100)*(C1354*VLOOKUP(B1354,'Poids des runes'!A:B,2,FALSE)))+1),(((D1354/100)*(C1354*VLOOKUP(B1354,'Poids des runes'!A:B,2,FALSE)))+1)/VLOOKUP(B1354,'Poids des runes'!A:B,2,FALSE))</f>
        <v>9.5500000000000007</v>
      </c>
      <c r="F1354">
        <f t="shared" si="21"/>
        <v>9.5500000000000007</v>
      </c>
    </row>
    <row r="1355" spans="1:6" x14ac:dyDescent="0.3">
      <c r="A1355" t="s">
        <v>413</v>
      </c>
      <c r="B1355" t="s">
        <v>2151</v>
      </c>
      <c r="C1355">
        <v>4.5</v>
      </c>
      <c r="D1355">
        <v>50</v>
      </c>
      <c r="E1355">
        <f>IF(OR(B1355="vi",B1355="ii",B1355="pod"),(((D1355/100)*(C1355*VLOOKUP(B1355,'Poids des runes'!A:B,2,FALSE)))+1),(((D1355/100)*(C1355*VLOOKUP(B1355,'Poids des runes'!A:B,2,FALSE)))+1)/VLOOKUP(B1355,'Poids des runes'!A:B,2,FALSE))</f>
        <v>2.35</v>
      </c>
      <c r="F1355">
        <f t="shared" si="21"/>
        <v>2.35</v>
      </c>
    </row>
    <row r="1356" spans="1:6" x14ac:dyDescent="0.3">
      <c r="A1356" t="s">
        <v>413</v>
      </c>
      <c r="B1356" t="s">
        <v>2152</v>
      </c>
      <c r="C1356">
        <v>1</v>
      </c>
      <c r="D1356">
        <v>50</v>
      </c>
      <c r="E1356">
        <f>IF(OR(B1356="vi",B1356="ii",B1356="pod"),(((D1356/100)*(C1356*VLOOKUP(B1356,'Poids des runes'!A:B,2,FALSE)))+1),(((D1356/100)*(C1356*VLOOKUP(B1356,'Poids des runes'!A:B,2,FALSE)))+1)/VLOOKUP(B1356,'Poids des runes'!A:B,2,FALSE))</f>
        <v>0.51</v>
      </c>
      <c r="F1356">
        <f t="shared" si="21"/>
        <v>0.51</v>
      </c>
    </row>
    <row r="1357" spans="1:6" x14ac:dyDescent="0.3">
      <c r="A1357" t="s">
        <v>413</v>
      </c>
      <c r="B1357" t="s">
        <v>2150</v>
      </c>
      <c r="C1357">
        <v>1</v>
      </c>
      <c r="D1357">
        <v>50</v>
      </c>
      <c r="E1357">
        <f>IF(OR(B1357="vi",B1357="ii",B1357="pod"),(((D1357/100)*(C1357*VLOOKUP(B1357,'Poids des runes'!A:B,2,FALSE)))+1),(((D1357/100)*(C1357*VLOOKUP(B1357,'Poids des runes'!A:B,2,FALSE)))+1)/VLOOKUP(B1357,'Poids des runes'!A:B,2,FALSE))</f>
        <v>0.53333333333333333</v>
      </c>
      <c r="F1357">
        <f t="shared" si="21"/>
        <v>0.53333333333333333</v>
      </c>
    </row>
    <row r="1358" spans="1:6" x14ac:dyDescent="0.3">
      <c r="A1358" t="s">
        <v>414</v>
      </c>
      <c r="B1358" t="s">
        <v>2128</v>
      </c>
      <c r="C1358">
        <v>50.5</v>
      </c>
      <c r="D1358">
        <v>50</v>
      </c>
      <c r="E1358">
        <f>IF(OR(B1358="vi",B1358="ii",B1358="pod"),(((D1358/100)*(C1358*VLOOKUP(B1358,'Poids des runes'!A:B,2,FALSE)))+1),(((D1358/100)*(C1358*VLOOKUP(B1358,'Poids des runes'!A:B,2,FALSE)))+1)/VLOOKUP(B1358,'Poids des runes'!A:B,2,FALSE))</f>
        <v>6.0500000000000007</v>
      </c>
      <c r="F1358">
        <f t="shared" si="21"/>
        <v>6.0500000000000007</v>
      </c>
    </row>
    <row r="1359" spans="1:6" x14ac:dyDescent="0.3">
      <c r="A1359" t="s">
        <v>414</v>
      </c>
      <c r="B1359" t="s">
        <v>2129</v>
      </c>
      <c r="C1359">
        <v>18</v>
      </c>
      <c r="D1359">
        <v>50</v>
      </c>
      <c r="E1359">
        <f>IF(OR(B1359="vi",B1359="ii",B1359="pod"),(((D1359/100)*(C1359*VLOOKUP(B1359,'Poids des runes'!A:B,2,FALSE)))+1),(((D1359/100)*(C1359*VLOOKUP(B1359,'Poids des runes'!A:B,2,FALSE)))+1)/VLOOKUP(B1359,'Poids des runes'!A:B,2,FALSE))</f>
        <v>10</v>
      </c>
      <c r="F1359">
        <f t="shared" si="21"/>
        <v>10</v>
      </c>
    </row>
    <row r="1360" spans="1:6" x14ac:dyDescent="0.3">
      <c r="A1360" t="s">
        <v>414</v>
      </c>
      <c r="B1360" t="s">
        <v>2139</v>
      </c>
      <c r="C1360">
        <v>30.5</v>
      </c>
      <c r="D1360">
        <v>50</v>
      </c>
      <c r="E1360">
        <f>IF(OR(B1360="vi",B1360="ii",B1360="pod"),(((D1360/100)*(C1360*VLOOKUP(B1360,'Poids des runes'!A:B,2,FALSE)))+1),(((D1360/100)*(C1360*VLOOKUP(B1360,'Poids des runes'!A:B,2,FALSE)))+1)/VLOOKUP(B1360,'Poids des runes'!A:B,2,FALSE))</f>
        <v>15.75</v>
      </c>
      <c r="F1360">
        <f t="shared" si="21"/>
        <v>15.75</v>
      </c>
    </row>
    <row r="1361" spans="1:6" x14ac:dyDescent="0.3">
      <c r="A1361" t="s">
        <v>414</v>
      </c>
      <c r="B1361" t="s">
        <v>2134</v>
      </c>
      <c r="C1361">
        <v>2.5</v>
      </c>
      <c r="D1361">
        <v>50</v>
      </c>
      <c r="E1361">
        <f>IF(OR(B1361="vi",B1361="ii",B1361="pod"),(((D1361/100)*(C1361*VLOOKUP(B1361,'Poids des runes'!A:B,2,FALSE)))+1),(((D1361/100)*(C1361*VLOOKUP(B1361,'Poids des runes'!A:B,2,FALSE)))+1)/VLOOKUP(B1361,'Poids des runes'!A:B,2,FALSE))</f>
        <v>1.3</v>
      </c>
      <c r="F1361">
        <f t="shared" si="21"/>
        <v>1.3</v>
      </c>
    </row>
    <row r="1362" spans="1:6" x14ac:dyDescent="0.3">
      <c r="A1362" t="s">
        <v>415</v>
      </c>
      <c r="B1362" t="s">
        <v>2128</v>
      </c>
      <c r="C1362">
        <v>25.5</v>
      </c>
      <c r="D1362">
        <v>50</v>
      </c>
      <c r="E1362">
        <f>IF(OR(B1362="vi",B1362="ii",B1362="pod"),(((D1362/100)*(C1362*VLOOKUP(B1362,'Poids des runes'!A:B,2,FALSE)))+1),(((D1362/100)*(C1362*VLOOKUP(B1362,'Poids des runes'!A:B,2,FALSE)))+1)/VLOOKUP(B1362,'Poids des runes'!A:B,2,FALSE))</f>
        <v>3.5500000000000003</v>
      </c>
      <c r="F1362">
        <f t="shared" si="21"/>
        <v>3.5500000000000003</v>
      </c>
    </row>
    <row r="1363" spans="1:6" x14ac:dyDescent="0.3">
      <c r="A1363" t="s">
        <v>415</v>
      </c>
      <c r="B1363" t="s">
        <v>2150</v>
      </c>
      <c r="C1363">
        <v>1</v>
      </c>
      <c r="D1363">
        <v>50</v>
      </c>
      <c r="E1363">
        <f>IF(OR(B1363="vi",B1363="ii",B1363="pod"),(((D1363/100)*(C1363*VLOOKUP(B1363,'Poids des runes'!A:B,2,FALSE)))+1),(((D1363/100)*(C1363*VLOOKUP(B1363,'Poids des runes'!A:B,2,FALSE)))+1)/VLOOKUP(B1363,'Poids des runes'!A:B,2,FALSE))</f>
        <v>0.53333333333333333</v>
      </c>
      <c r="F1363">
        <f t="shared" si="21"/>
        <v>0.53333333333333333</v>
      </c>
    </row>
    <row r="1364" spans="1:6" x14ac:dyDescent="0.3">
      <c r="A1364" t="s">
        <v>415</v>
      </c>
      <c r="B1364" t="s">
        <v>2156</v>
      </c>
      <c r="C1364">
        <v>2</v>
      </c>
      <c r="D1364">
        <v>50</v>
      </c>
      <c r="E1364">
        <f>IF(OR(B1364="vi",B1364="ii",B1364="pod"),(((D1364/100)*(C1364*VLOOKUP(B1364,'Poids des runes'!A:B,2,FALSE)))+1),(((D1364/100)*(C1364*VLOOKUP(B1364,'Poids des runes'!A:B,2,FALSE)))+1)/VLOOKUP(B1364,'Poids des runes'!A:B,2,FALSE))</f>
        <v>1.1666666666666667</v>
      </c>
      <c r="F1364">
        <f t="shared" si="21"/>
        <v>1.1666666666666667</v>
      </c>
    </row>
    <row r="1365" spans="1:6" x14ac:dyDescent="0.3">
      <c r="A1365" t="s">
        <v>415</v>
      </c>
      <c r="B1365" t="s">
        <v>2148</v>
      </c>
      <c r="C1365">
        <v>2</v>
      </c>
      <c r="D1365">
        <v>50</v>
      </c>
      <c r="E1365">
        <f>IF(OR(B1365="vi",B1365="ii",B1365="pod"),(((D1365/100)*(C1365*VLOOKUP(B1365,'Poids des runes'!A:B,2,FALSE)))+1),(((D1365/100)*(C1365*VLOOKUP(B1365,'Poids des runes'!A:B,2,FALSE)))+1)/VLOOKUP(B1365,'Poids des runes'!A:B,2,FALSE))</f>
        <v>1.1666666666666667</v>
      </c>
      <c r="F1365">
        <f t="shared" si="21"/>
        <v>1.1666666666666667</v>
      </c>
    </row>
    <row r="1366" spans="1:6" x14ac:dyDescent="0.3">
      <c r="A1366" t="s">
        <v>415</v>
      </c>
      <c r="B1366" t="s">
        <v>2147</v>
      </c>
      <c r="C1366">
        <v>2</v>
      </c>
      <c r="D1366">
        <v>50</v>
      </c>
      <c r="E1366">
        <f>IF(OR(B1366="vi",B1366="ii",B1366="pod"),(((D1366/100)*(C1366*VLOOKUP(B1366,'Poids des runes'!A:B,2,FALSE)))+1),(((D1366/100)*(C1366*VLOOKUP(B1366,'Poids des runes'!A:B,2,FALSE)))+1)/VLOOKUP(B1366,'Poids des runes'!A:B,2,FALSE))</f>
        <v>1.1666666666666667</v>
      </c>
      <c r="F1366">
        <f t="shared" si="21"/>
        <v>1.1666666666666667</v>
      </c>
    </row>
    <row r="1367" spans="1:6" x14ac:dyDescent="0.3">
      <c r="A1367" t="s">
        <v>415</v>
      </c>
      <c r="B1367" t="s">
        <v>2135</v>
      </c>
      <c r="C1367">
        <v>2</v>
      </c>
      <c r="D1367">
        <v>50</v>
      </c>
      <c r="E1367">
        <f>IF(OR(B1367="vi",B1367="ii",B1367="pod"),(((D1367/100)*(C1367*VLOOKUP(B1367,'Poids des runes'!A:B,2,FALSE)))+1),(((D1367/100)*(C1367*VLOOKUP(B1367,'Poids des runes'!A:B,2,FALSE)))+1)/VLOOKUP(B1367,'Poids des runes'!A:B,2,FALSE))</f>
        <v>1.1666666666666667</v>
      </c>
      <c r="F1367">
        <f t="shared" si="21"/>
        <v>1.1666666666666667</v>
      </c>
    </row>
    <row r="1368" spans="1:6" x14ac:dyDescent="0.3">
      <c r="A1368" t="s">
        <v>415</v>
      </c>
      <c r="B1368" t="s">
        <v>2157</v>
      </c>
      <c r="C1368">
        <v>2</v>
      </c>
      <c r="D1368">
        <v>50</v>
      </c>
      <c r="E1368">
        <f>IF(OR(B1368="vi",B1368="ii",B1368="pod"),(((D1368/100)*(C1368*VLOOKUP(B1368,'Poids des runes'!A:B,2,FALSE)))+1),(((D1368/100)*(C1368*VLOOKUP(B1368,'Poids des runes'!A:B,2,FALSE)))+1)/VLOOKUP(B1368,'Poids des runes'!A:B,2,FALSE))</f>
        <v>1.1666666666666667</v>
      </c>
      <c r="F1368">
        <f t="shared" si="21"/>
        <v>1.1666666666666667</v>
      </c>
    </row>
    <row r="1369" spans="1:6" x14ac:dyDescent="0.3">
      <c r="A1369" t="s">
        <v>416</v>
      </c>
      <c r="B1369" t="s">
        <v>2128</v>
      </c>
      <c r="C1369">
        <v>35.5</v>
      </c>
      <c r="D1369">
        <v>50</v>
      </c>
      <c r="E1369">
        <f>IF(OR(B1369="vi",B1369="ii",B1369="pod"),(((D1369/100)*(C1369*VLOOKUP(B1369,'Poids des runes'!A:B,2,FALSE)))+1),(((D1369/100)*(C1369*VLOOKUP(B1369,'Poids des runes'!A:B,2,FALSE)))+1)/VLOOKUP(B1369,'Poids des runes'!A:B,2,FALSE))</f>
        <v>4.5500000000000007</v>
      </c>
      <c r="F1369">
        <f t="shared" si="21"/>
        <v>4.5500000000000007</v>
      </c>
    </row>
    <row r="1370" spans="1:6" x14ac:dyDescent="0.3">
      <c r="A1370" t="s">
        <v>416</v>
      </c>
      <c r="B1370" t="s">
        <v>2126</v>
      </c>
      <c r="C1370">
        <v>20.5</v>
      </c>
      <c r="D1370">
        <v>50</v>
      </c>
      <c r="E1370">
        <f>IF(OR(B1370="vi",B1370="ii",B1370="pod"),(((D1370/100)*(C1370*VLOOKUP(B1370,'Poids des runes'!A:B,2,FALSE)))+1),(((D1370/100)*(C1370*VLOOKUP(B1370,'Poids des runes'!A:B,2,FALSE)))+1)/VLOOKUP(B1370,'Poids des runes'!A:B,2,FALSE))</f>
        <v>11.25</v>
      </c>
      <c r="F1370">
        <f t="shared" si="21"/>
        <v>11.25</v>
      </c>
    </row>
    <row r="1371" spans="1:6" x14ac:dyDescent="0.3">
      <c r="A1371" t="s">
        <v>416</v>
      </c>
      <c r="B1371" t="s">
        <v>2147</v>
      </c>
      <c r="C1371">
        <v>4</v>
      </c>
      <c r="D1371">
        <v>50</v>
      </c>
      <c r="E1371">
        <f>IF(OR(B1371="vi",B1371="ii",B1371="pod"),(((D1371/100)*(C1371*VLOOKUP(B1371,'Poids des runes'!A:B,2,FALSE)))+1),(((D1371/100)*(C1371*VLOOKUP(B1371,'Poids des runes'!A:B,2,FALSE)))+1)/VLOOKUP(B1371,'Poids des runes'!A:B,2,FALSE))</f>
        <v>2.1666666666666665</v>
      </c>
      <c r="F1371">
        <f t="shared" si="21"/>
        <v>2.1666666666666665</v>
      </c>
    </row>
    <row r="1372" spans="1:6" x14ac:dyDescent="0.3">
      <c r="A1372" t="s">
        <v>416</v>
      </c>
      <c r="B1372" t="s">
        <v>2144</v>
      </c>
      <c r="C1372">
        <v>8.5</v>
      </c>
      <c r="D1372">
        <v>50</v>
      </c>
      <c r="E1372">
        <f>IF(OR(B1372="vi",B1372="ii",B1372="pod"),(((D1372/100)*(C1372*VLOOKUP(B1372,'Poids des runes'!A:B,2,FALSE)))+1),(((D1372/100)*(C1372*VLOOKUP(B1372,'Poids des runes'!A:B,2,FALSE)))+1)/VLOOKUP(B1372,'Poids des runes'!A:B,2,FALSE))</f>
        <v>4.75</v>
      </c>
      <c r="F1372">
        <f t="shared" si="21"/>
        <v>4.75</v>
      </c>
    </row>
    <row r="1373" spans="1:6" x14ac:dyDescent="0.3">
      <c r="A1373" t="s">
        <v>417</v>
      </c>
      <c r="B1373" t="s">
        <v>2128</v>
      </c>
      <c r="C1373">
        <v>25.5</v>
      </c>
      <c r="D1373">
        <v>50</v>
      </c>
      <c r="E1373">
        <f>IF(OR(B1373="vi",B1373="ii",B1373="pod"),(((D1373/100)*(C1373*VLOOKUP(B1373,'Poids des runes'!A:B,2,FALSE)))+1),(((D1373/100)*(C1373*VLOOKUP(B1373,'Poids des runes'!A:B,2,FALSE)))+1)/VLOOKUP(B1373,'Poids des runes'!A:B,2,FALSE))</f>
        <v>3.5500000000000003</v>
      </c>
      <c r="F1373">
        <f t="shared" si="21"/>
        <v>3.5500000000000003</v>
      </c>
    </row>
    <row r="1374" spans="1:6" x14ac:dyDescent="0.3">
      <c r="A1374" t="s">
        <v>417</v>
      </c>
      <c r="B1374" t="s">
        <v>2127</v>
      </c>
      <c r="C1374">
        <v>25.5</v>
      </c>
      <c r="D1374">
        <v>50</v>
      </c>
      <c r="E1374">
        <f>IF(OR(B1374="vi",B1374="ii",B1374="pod"),(((D1374/100)*(C1374*VLOOKUP(B1374,'Poids des runes'!A:B,2,FALSE)))+1),(((D1374/100)*(C1374*VLOOKUP(B1374,'Poids des runes'!A:B,2,FALSE)))+1)/VLOOKUP(B1374,'Poids des runes'!A:B,2,FALSE))</f>
        <v>13.75</v>
      </c>
      <c r="F1374">
        <f t="shared" si="21"/>
        <v>13.75</v>
      </c>
    </row>
    <row r="1375" spans="1:6" x14ac:dyDescent="0.3">
      <c r="A1375" t="s">
        <v>417</v>
      </c>
      <c r="B1375" t="s">
        <v>2139</v>
      </c>
      <c r="C1375">
        <v>13</v>
      </c>
      <c r="D1375">
        <v>50</v>
      </c>
      <c r="E1375">
        <f>IF(OR(B1375="vi",B1375="ii",B1375="pod"),(((D1375/100)*(C1375*VLOOKUP(B1375,'Poids des runes'!A:B,2,FALSE)))+1),(((D1375/100)*(C1375*VLOOKUP(B1375,'Poids des runes'!A:B,2,FALSE)))+1)/VLOOKUP(B1375,'Poids des runes'!A:B,2,FALSE))</f>
        <v>7</v>
      </c>
      <c r="F1375">
        <f t="shared" si="21"/>
        <v>7</v>
      </c>
    </row>
    <row r="1376" spans="1:6" x14ac:dyDescent="0.3">
      <c r="A1376" t="s">
        <v>417</v>
      </c>
      <c r="B1376" t="s">
        <v>2151</v>
      </c>
      <c r="C1376">
        <v>2.5</v>
      </c>
      <c r="D1376">
        <v>50</v>
      </c>
      <c r="E1376">
        <f>IF(OR(B1376="vi",B1376="ii",B1376="pod"),(((D1376/100)*(C1376*VLOOKUP(B1376,'Poids des runes'!A:B,2,FALSE)))+1),(((D1376/100)*(C1376*VLOOKUP(B1376,'Poids des runes'!A:B,2,FALSE)))+1)/VLOOKUP(B1376,'Poids des runes'!A:B,2,FALSE))</f>
        <v>1.35</v>
      </c>
      <c r="F1376">
        <f t="shared" si="21"/>
        <v>1.35</v>
      </c>
    </row>
    <row r="1377" spans="1:6" x14ac:dyDescent="0.3">
      <c r="A1377" t="s">
        <v>417</v>
      </c>
      <c r="B1377" t="s">
        <v>2161</v>
      </c>
      <c r="C1377">
        <v>8.5</v>
      </c>
      <c r="D1377">
        <v>50</v>
      </c>
      <c r="E1377">
        <f>IF(OR(B1377="vi",B1377="ii",B1377="pod"),(((D1377/100)*(C1377*VLOOKUP(B1377,'Poids des runes'!A:B,2,FALSE)))+1),(((D1377/100)*(C1377*VLOOKUP(B1377,'Poids des runes'!A:B,2,FALSE)))+1)/VLOOKUP(B1377,'Poids des runes'!A:B,2,FALSE))</f>
        <v>4.583333333333333</v>
      </c>
      <c r="F1377">
        <f t="shared" si="21"/>
        <v>4.583333333333333</v>
      </c>
    </row>
    <row r="1378" spans="1:6" x14ac:dyDescent="0.3">
      <c r="A1378" t="s">
        <v>418</v>
      </c>
      <c r="B1378" t="s">
        <v>2128</v>
      </c>
      <c r="C1378">
        <v>28</v>
      </c>
      <c r="D1378">
        <v>50</v>
      </c>
      <c r="E1378">
        <f>IF(OR(B1378="vi",B1378="ii",B1378="pod"),(((D1378/100)*(C1378*VLOOKUP(B1378,'Poids des runes'!A:B,2,FALSE)))+1),(((D1378/100)*(C1378*VLOOKUP(B1378,'Poids des runes'!A:B,2,FALSE)))+1)/VLOOKUP(B1378,'Poids des runes'!A:B,2,FALSE))</f>
        <v>3.8000000000000003</v>
      </c>
      <c r="F1378">
        <f t="shared" si="21"/>
        <v>3.8000000000000003</v>
      </c>
    </row>
    <row r="1379" spans="1:6" x14ac:dyDescent="0.3">
      <c r="A1379" t="s">
        <v>418</v>
      </c>
      <c r="B1379" t="s">
        <v>2139</v>
      </c>
      <c r="C1379">
        <v>13</v>
      </c>
      <c r="D1379">
        <v>50</v>
      </c>
      <c r="E1379">
        <f>IF(OR(B1379="vi",B1379="ii",B1379="pod"),(((D1379/100)*(C1379*VLOOKUP(B1379,'Poids des runes'!A:B,2,FALSE)))+1),(((D1379/100)*(C1379*VLOOKUP(B1379,'Poids des runes'!A:B,2,FALSE)))+1)/VLOOKUP(B1379,'Poids des runes'!A:B,2,FALSE))</f>
        <v>7</v>
      </c>
      <c r="F1379">
        <f t="shared" si="21"/>
        <v>7</v>
      </c>
    </row>
    <row r="1380" spans="1:6" x14ac:dyDescent="0.3">
      <c r="A1380" t="s">
        <v>418</v>
      </c>
      <c r="B1380" t="s">
        <v>2132</v>
      </c>
      <c r="C1380">
        <v>125.5</v>
      </c>
      <c r="D1380">
        <v>50</v>
      </c>
      <c r="E1380">
        <f>IF(OR(B1380="vi",B1380="ii",B1380="pod"),(((D1380/100)*(C1380*VLOOKUP(B1380,'Poids des runes'!A:B,2,FALSE)))+1),(((D1380/100)*(C1380*VLOOKUP(B1380,'Poids des runes'!A:B,2,FALSE)))+1)/VLOOKUP(B1380,'Poids des runes'!A:B,2,FALSE))</f>
        <v>7.2750000000000004</v>
      </c>
      <c r="F1380">
        <f t="shared" si="21"/>
        <v>7.2750000000000004</v>
      </c>
    </row>
    <row r="1381" spans="1:6" x14ac:dyDescent="0.3">
      <c r="A1381" t="s">
        <v>418</v>
      </c>
      <c r="B1381" t="s">
        <v>2145</v>
      </c>
      <c r="C1381">
        <v>4.5</v>
      </c>
      <c r="D1381">
        <v>50</v>
      </c>
      <c r="E1381">
        <f>IF(OR(B1381="vi",B1381="ii",B1381="pod"),(((D1381/100)*(C1381*VLOOKUP(B1381,'Poids des runes'!A:B,2,FALSE)))+1),(((D1381/100)*(C1381*VLOOKUP(B1381,'Poids des runes'!A:B,2,FALSE)))+1)/VLOOKUP(B1381,'Poids des runes'!A:B,2,FALSE))</f>
        <v>2.75</v>
      </c>
      <c r="F1381">
        <f t="shared" si="21"/>
        <v>2.75</v>
      </c>
    </row>
    <row r="1382" spans="1:6" x14ac:dyDescent="0.3">
      <c r="A1382" t="s">
        <v>418</v>
      </c>
      <c r="B1382" t="s">
        <v>2146</v>
      </c>
      <c r="C1382">
        <v>4.5</v>
      </c>
      <c r="D1382">
        <v>50</v>
      </c>
      <c r="E1382">
        <f>IF(OR(B1382="vi",B1382="ii",B1382="pod"),(((D1382/100)*(C1382*VLOOKUP(B1382,'Poids des runes'!A:B,2,FALSE)))+1),(((D1382/100)*(C1382*VLOOKUP(B1382,'Poids des runes'!A:B,2,FALSE)))+1)/VLOOKUP(B1382,'Poids des runes'!A:B,2,FALSE))</f>
        <v>2.75</v>
      </c>
      <c r="F1382">
        <f t="shared" si="21"/>
        <v>2.75</v>
      </c>
    </row>
    <row r="1383" spans="1:6" x14ac:dyDescent="0.3">
      <c r="A1383" t="s">
        <v>419</v>
      </c>
      <c r="B1383" t="s">
        <v>2138</v>
      </c>
      <c r="C1383">
        <v>4</v>
      </c>
      <c r="D1383">
        <v>50</v>
      </c>
      <c r="E1383">
        <f>IF(OR(B1383="vi",B1383="ii",B1383="pod"),(((D1383/100)*(C1383*VLOOKUP(B1383,'Poids des runes'!A:B,2,FALSE)))+1),(((D1383/100)*(C1383*VLOOKUP(B1383,'Poids des runes'!A:B,2,FALSE)))+1)/VLOOKUP(B1383,'Poids des runes'!A:B,2,FALSE))</f>
        <v>2.25</v>
      </c>
      <c r="F1383">
        <f t="shared" si="21"/>
        <v>2.25</v>
      </c>
    </row>
    <row r="1384" spans="1:6" x14ac:dyDescent="0.3">
      <c r="A1384" t="s">
        <v>420</v>
      </c>
      <c r="B1384" t="s">
        <v>2141</v>
      </c>
      <c r="C1384">
        <v>4</v>
      </c>
      <c r="D1384">
        <v>50</v>
      </c>
      <c r="E1384">
        <f>IF(OR(B1384="vi",B1384="ii",B1384="pod"),(((D1384/100)*(C1384*VLOOKUP(B1384,'Poids des runes'!A:B,2,FALSE)))+1),(((D1384/100)*(C1384*VLOOKUP(B1384,'Poids des runes'!A:B,2,FALSE)))+1)/VLOOKUP(B1384,'Poids des runes'!A:B,2,FALSE))</f>
        <v>2.25</v>
      </c>
      <c r="F1384">
        <f t="shared" si="21"/>
        <v>2.25</v>
      </c>
    </row>
    <row r="1385" spans="1:6" x14ac:dyDescent="0.3">
      <c r="A1385" t="s">
        <v>421</v>
      </c>
      <c r="B1385" t="s">
        <v>2160</v>
      </c>
      <c r="C1385">
        <v>3</v>
      </c>
      <c r="D1385">
        <v>50</v>
      </c>
      <c r="E1385">
        <f>IF(OR(B1385="vi",B1385="ii",B1385="pod"),(((D1385/100)*(C1385*VLOOKUP(B1385,'Poids des runes'!A:B,2,FALSE)))+1),(((D1385/100)*(C1385*VLOOKUP(B1385,'Poids des runes'!A:B,2,FALSE)))+1)/VLOOKUP(B1385,'Poids des runes'!A:B,2,FALSE))</f>
        <v>1.6428571428571428</v>
      </c>
      <c r="F1385">
        <f t="shared" si="21"/>
        <v>1.6428571428571428</v>
      </c>
    </row>
    <row r="1386" spans="1:6" x14ac:dyDescent="0.3">
      <c r="A1386" t="s">
        <v>422</v>
      </c>
      <c r="B1386" t="s">
        <v>2159</v>
      </c>
      <c r="C1386">
        <v>3</v>
      </c>
      <c r="D1386">
        <v>50</v>
      </c>
      <c r="E1386">
        <f>IF(OR(B1386="vi",B1386="ii",B1386="pod"),(((D1386/100)*(C1386*VLOOKUP(B1386,'Poids des runes'!A:B,2,FALSE)))+1),(((D1386/100)*(C1386*VLOOKUP(B1386,'Poids des runes'!A:B,2,FALSE)))+1)/VLOOKUP(B1386,'Poids des runes'!A:B,2,FALSE))</f>
        <v>1.6428571428571428</v>
      </c>
      <c r="F1386">
        <f t="shared" si="21"/>
        <v>1.6428571428571428</v>
      </c>
    </row>
    <row r="1387" spans="1:6" x14ac:dyDescent="0.3">
      <c r="A1387" t="s">
        <v>423</v>
      </c>
      <c r="B1387" t="s">
        <v>2162</v>
      </c>
      <c r="C1387">
        <v>4</v>
      </c>
      <c r="D1387">
        <v>50</v>
      </c>
      <c r="E1387">
        <f>IF(OR(B1387="vi",B1387="ii",B1387="pod"),(((D1387/100)*(C1387*VLOOKUP(B1387,'Poids des runes'!A:B,2,FALSE)))+1),(((D1387/100)*(C1387*VLOOKUP(B1387,'Poids des runes'!A:B,2,FALSE)))+1)/VLOOKUP(B1387,'Poids des runes'!A:B,2,FALSE))</f>
        <v>2.1428571428571428</v>
      </c>
      <c r="F1387">
        <f t="shared" si="21"/>
        <v>2.1428571428571428</v>
      </c>
    </row>
    <row r="1388" spans="1:6" x14ac:dyDescent="0.3">
      <c r="A1388" t="s">
        <v>424</v>
      </c>
      <c r="B1388" t="s">
        <v>2165</v>
      </c>
      <c r="C1388">
        <v>4</v>
      </c>
      <c r="D1388">
        <v>50</v>
      </c>
      <c r="E1388">
        <f>IF(OR(B1388="vi",B1388="ii",B1388="pod"),(((D1388/100)*(C1388*VLOOKUP(B1388,'Poids des runes'!A:B,2,FALSE)))+1),(((D1388/100)*(C1388*VLOOKUP(B1388,'Poids des runes'!A:B,2,FALSE)))+1)/VLOOKUP(B1388,'Poids des runes'!A:B,2,FALSE))</f>
        <v>2.1428571428571428</v>
      </c>
      <c r="F1388">
        <f t="shared" si="21"/>
        <v>2.1428571428571428</v>
      </c>
    </row>
    <row r="1389" spans="1:6" x14ac:dyDescent="0.3">
      <c r="A1389" t="s">
        <v>425</v>
      </c>
      <c r="B1389" t="s">
        <v>2142</v>
      </c>
      <c r="C1389">
        <v>8</v>
      </c>
      <c r="D1389">
        <v>50</v>
      </c>
      <c r="E1389">
        <f>IF(OR(B1389="vi",B1389="ii",B1389="pod"),(((D1389/100)*(C1389*VLOOKUP(B1389,'Poids des runes'!A:B,2,FALSE)))+1),(((D1389/100)*(C1389*VLOOKUP(B1389,'Poids des runes'!A:B,2,FALSE)))+1)/VLOOKUP(B1389,'Poids des runes'!A:B,2,FALSE))</f>
        <v>4.2</v>
      </c>
      <c r="F1389">
        <f t="shared" si="21"/>
        <v>4.2</v>
      </c>
    </row>
    <row r="1390" spans="1:6" x14ac:dyDescent="0.3">
      <c r="A1390" t="s">
        <v>426</v>
      </c>
      <c r="B1390" t="s">
        <v>2164</v>
      </c>
      <c r="C1390">
        <v>12</v>
      </c>
      <c r="D1390">
        <v>50</v>
      </c>
      <c r="E1390">
        <f>IF(OR(B1390="vi",B1390="ii",B1390="pod"),(((D1390/100)*(C1390*VLOOKUP(B1390,'Poids des runes'!A:B,2,FALSE)))+1),(((D1390/100)*(C1390*VLOOKUP(B1390,'Poids des runes'!A:B,2,FALSE)))+1)/VLOOKUP(B1390,'Poids des runes'!A:B,2,FALSE))</f>
        <v>6.5</v>
      </c>
      <c r="F1390">
        <f t="shared" si="21"/>
        <v>6.5</v>
      </c>
    </row>
    <row r="1391" spans="1:6" x14ac:dyDescent="0.3">
      <c r="A1391" t="s">
        <v>427</v>
      </c>
      <c r="B1391" t="s">
        <v>2163</v>
      </c>
      <c r="C1391">
        <v>3</v>
      </c>
      <c r="D1391">
        <v>50</v>
      </c>
      <c r="E1391">
        <f>IF(OR(B1391="vi",B1391="ii",B1391="pod"),(((D1391/100)*(C1391*VLOOKUP(B1391,'Poids des runes'!A:B,2,FALSE)))+1),(((D1391/100)*(C1391*VLOOKUP(B1391,'Poids des runes'!A:B,2,FALSE)))+1)/VLOOKUP(B1391,'Poids des runes'!A:B,2,FALSE))</f>
        <v>2</v>
      </c>
      <c r="F1391">
        <f t="shared" si="21"/>
        <v>2</v>
      </c>
    </row>
    <row r="1392" spans="1:6" x14ac:dyDescent="0.3">
      <c r="A1392" t="s">
        <v>428</v>
      </c>
      <c r="B1392" t="s">
        <v>2146</v>
      </c>
      <c r="C1392">
        <v>6</v>
      </c>
      <c r="D1392">
        <v>50</v>
      </c>
      <c r="E1392">
        <f>IF(OR(B1392="vi",B1392="ii",B1392="pod"),(((D1392/100)*(C1392*VLOOKUP(B1392,'Poids des runes'!A:B,2,FALSE)))+1),(((D1392/100)*(C1392*VLOOKUP(B1392,'Poids des runes'!A:B,2,FALSE)))+1)/VLOOKUP(B1392,'Poids des runes'!A:B,2,FALSE))</f>
        <v>3.5</v>
      </c>
      <c r="F1392">
        <f t="shared" si="21"/>
        <v>3.5</v>
      </c>
    </row>
    <row r="1393" spans="1:6" x14ac:dyDescent="0.3">
      <c r="A1393" t="s">
        <v>429</v>
      </c>
      <c r="B1393" t="s">
        <v>2145</v>
      </c>
      <c r="C1393">
        <v>6</v>
      </c>
      <c r="D1393">
        <v>50</v>
      </c>
      <c r="E1393">
        <f>IF(OR(B1393="vi",B1393="ii",B1393="pod"),(((D1393/100)*(C1393*VLOOKUP(B1393,'Poids des runes'!A:B,2,FALSE)))+1),(((D1393/100)*(C1393*VLOOKUP(B1393,'Poids des runes'!A:B,2,FALSE)))+1)/VLOOKUP(B1393,'Poids des runes'!A:B,2,FALSE))</f>
        <v>3.5</v>
      </c>
      <c r="F1393">
        <f t="shared" si="21"/>
        <v>3.5</v>
      </c>
    </row>
    <row r="1394" spans="1:6" x14ac:dyDescent="0.3">
      <c r="A1394" t="s">
        <v>430</v>
      </c>
      <c r="B1394" t="s">
        <v>2144</v>
      </c>
      <c r="C1394">
        <v>6</v>
      </c>
      <c r="D1394">
        <v>50</v>
      </c>
      <c r="E1394">
        <f>IF(OR(B1394="vi",B1394="ii",B1394="pod"),(((D1394/100)*(C1394*VLOOKUP(B1394,'Poids des runes'!A:B,2,FALSE)))+1),(((D1394/100)*(C1394*VLOOKUP(B1394,'Poids des runes'!A:B,2,FALSE)))+1)/VLOOKUP(B1394,'Poids des runes'!A:B,2,FALSE))</f>
        <v>3.5</v>
      </c>
      <c r="F1394">
        <f t="shared" si="21"/>
        <v>3.5</v>
      </c>
    </row>
    <row r="1395" spans="1:6" x14ac:dyDescent="0.3">
      <c r="A1395" t="s">
        <v>431</v>
      </c>
      <c r="B1395" t="s">
        <v>2137</v>
      </c>
      <c r="C1395">
        <v>6</v>
      </c>
      <c r="D1395">
        <v>50</v>
      </c>
      <c r="E1395">
        <f>IF(OR(B1395="vi",B1395="ii",B1395="pod"),(((D1395/100)*(C1395*VLOOKUP(B1395,'Poids des runes'!A:B,2,FALSE)))+1),(((D1395/100)*(C1395*VLOOKUP(B1395,'Poids des runes'!A:B,2,FALSE)))+1)/VLOOKUP(B1395,'Poids des runes'!A:B,2,FALSE))</f>
        <v>3.5</v>
      </c>
      <c r="F1395">
        <f t="shared" si="21"/>
        <v>3.5</v>
      </c>
    </row>
    <row r="1396" spans="1:6" x14ac:dyDescent="0.3">
      <c r="A1396" t="s">
        <v>432</v>
      </c>
      <c r="B1396" t="s">
        <v>2136</v>
      </c>
      <c r="C1396">
        <v>6</v>
      </c>
      <c r="D1396">
        <v>50</v>
      </c>
      <c r="E1396">
        <f>IF(OR(B1396="vi",B1396="ii",B1396="pod"),(((D1396/100)*(C1396*VLOOKUP(B1396,'Poids des runes'!A:B,2,FALSE)))+1),(((D1396/100)*(C1396*VLOOKUP(B1396,'Poids des runes'!A:B,2,FALSE)))+1)/VLOOKUP(B1396,'Poids des runes'!A:B,2,FALSE))</f>
        <v>3.5</v>
      </c>
      <c r="F1396">
        <f t="shared" si="21"/>
        <v>3.5</v>
      </c>
    </row>
    <row r="1397" spans="1:6" x14ac:dyDescent="0.3">
      <c r="A1397" t="s">
        <v>433</v>
      </c>
      <c r="B1397" t="s">
        <v>2153</v>
      </c>
      <c r="C1397">
        <v>3</v>
      </c>
      <c r="D1397">
        <v>50</v>
      </c>
      <c r="E1397">
        <f>IF(OR(B1397="vi",B1397="ii",B1397="pod"),(((D1397/100)*(C1397*VLOOKUP(B1397,'Poids des runes'!A:B,2,FALSE)))+1),(((D1397/100)*(C1397*VLOOKUP(B1397,'Poids des runes'!A:B,2,FALSE)))+1)/VLOOKUP(B1397,'Poids des runes'!A:B,2,FALSE))</f>
        <v>1.7</v>
      </c>
      <c r="F1397">
        <f t="shared" si="21"/>
        <v>1.7</v>
      </c>
    </row>
    <row r="1398" spans="1:6" x14ac:dyDescent="0.3">
      <c r="A1398" t="s">
        <v>434</v>
      </c>
      <c r="B1398" t="s">
        <v>2133</v>
      </c>
      <c r="C1398">
        <v>3</v>
      </c>
      <c r="D1398">
        <v>50</v>
      </c>
      <c r="E1398">
        <f>IF(OR(B1398="vi",B1398="ii",B1398="pod"),(((D1398/100)*(C1398*VLOOKUP(B1398,'Poids des runes'!A:B,2,FALSE)))+1),(((D1398/100)*(C1398*VLOOKUP(B1398,'Poids des runes'!A:B,2,FALSE)))+1)/VLOOKUP(B1398,'Poids des runes'!A:B,2,FALSE))</f>
        <v>1.7</v>
      </c>
      <c r="F1398">
        <f t="shared" si="21"/>
        <v>1.7</v>
      </c>
    </row>
    <row r="1399" spans="1:6" x14ac:dyDescent="0.3">
      <c r="A1399" t="s">
        <v>435</v>
      </c>
      <c r="B1399" t="s">
        <v>2140</v>
      </c>
      <c r="C1399">
        <v>3</v>
      </c>
      <c r="D1399">
        <v>50</v>
      </c>
      <c r="E1399">
        <f>IF(OR(B1399="vi",B1399="ii",B1399="pod"),(((D1399/100)*(C1399*VLOOKUP(B1399,'Poids des runes'!A:B,2,FALSE)))+1),(((D1399/100)*(C1399*VLOOKUP(B1399,'Poids des runes'!A:B,2,FALSE)))+1)/VLOOKUP(B1399,'Poids des runes'!A:B,2,FALSE))</f>
        <v>1.7</v>
      </c>
      <c r="F1399">
        <f t="shared" si="21"/>
        <v>1.7</v>
      </c>
    </row>
    <row r="1400" spans="1:6" x14ac:dyDescent="0.3">
      <c r="A1400" t="s">
        <v>436</v>
      </c>
      <c r="B1400" t="s">
        <v>2132</v>
      </c>
      <c r="C1400">
        <v>100</v>
      </c>
      <c r="D1400">
        <v>50</v>
      </c>
      <c r="E1400">
        <f>IF(OR(B1400="vi",B1400="ii",B1400="pod"),(((D1400/100)*(C1400*VLOOKUP(B1400,'Poids des runes'!A:B,2,FALSE)))+1),(((D1400/100)*(C1400*VLOOKUP(B1400,'Poids des runes'!A:B,2,FALSE)))+1)/VLOOKUP(B1400,'Poids des runes'!A:B,2,FALSE))</f>
        <v>6</v>
      </c>
      <c r="F1400">
        <f t="shared" si="21"/>
        <v>6</v>
      </c>
    </row>
    <row r="1401" spans="1:6" x14ac:dyDescent="0.3">
      <c r="A1401" t="s">
        <v>437</v>
      </c>
      <c r="B1401" t="s">
        <v>2149</v>
      </c>
      <c r="C1401">
        <v>4</v>
      </c>
      <c r="D1401">
        <v>50</v>
      </c>
      <c r="E1401">
        <f>IF(OR(B1401="vi",B1401="ii",B1401="pod"),(((D1401/100)*(C1401*VLOOKUP(B1401,'Poids des runes'!A:B,2,FALSE)))+1),(((D1401/100)*(C1401*VLOOKUP(B1401,'Poids des runes'!A:B,2,FALSE)))+1)/VLOOKUP(B1401,'Poids des runes'!A:B,2,FALSE))</f>
        <v>2.1</v>
      </c>
      <c r="F1401">
        <f t="shared" si="21"/>
        <v>2.1</v>
      </c>
    </row>
    <row r="1402" spans="1:6" x14ac:dyDescent="0.3">
      <c r="A1402" t="s">
        <v>438</v>
      </c>
      <c r="B1402" t="s">
        <v>2127</v>
      </c>
      <c r="C1402">
        <v>15</v>
      </c>
      <c r="D1402">
        <v>50</v>
      </c>
      <c r="E1402">
        <f>IF(OR(B1402="vi",B1402="ii",B1402="pod"),(((D1402/100)*(C1402*VLOOKUP(B1402,'Poids des runes'!A:B,2,FALSE)))+1),(((D1402/100)*(C1402*VLOOKUP(B1402,'Poids des runes'!A:B,2,FALSE)))+1)/VLOOKUP(B1402,'Poids des runes'!A:B,2,FALSE))</f>
        <v>8.5</v>
      </c>
      <c r="F1402">
        <f t="shared" si="21"/>
        <v>8.5</v>
      </c>
    </row>
    <row r="1403" spans="1:6" x14ac:dyDescent="0.3">
      <c r="A1403" t="s">
        <v>439</v>
      </c>
      <c r="B1403" t="s">
        <v>2126</v>
      </c>
      <c r="C1403">
        <v>15</v>
      </c>
      <c r="D1403">
        <v>50</v>
      </c>
      <c r="E1403">
        <f>IF(OR(B1403="vi",B1403="ii",B1403="pod"),(((D1403/100)*(C1403*VLOOKUP(B1403,'Poids des runes'!A:B,2,FALSE)))+1),(((D1403/100)*(C1403*VLOOKUP(B1403,'Poids des runes'!A:B,2,FALSE)))+1)/VLOOKUP(B1403,'Poids des runes'!A:B,2,FALSE))</f>
        <v>8.5</v>
      </c>
      <c r="F1403">
        <f t="shared" si="21"/>
        <v>8.5</v>
      </c>
    </row>
    <row r="1404" spans="1:6" x14ac:dyDescent="0.3">
      <c r="A1404" t="s">
        <v>440</v>
      </c>
      <c r="B1404" t="s">
        <v>2131</v>
      </c>
      <c r="C1404">
        <v>15</v>
      </c>
      <c r="D1404">
        <v>50</v>
      </c>
      <c r="E1404">
        <f>IF(OR(B1404="vi",B1404="ii",B1404="pod"),(((D1404/100)*(C1404*VLOOKUP(B1404,'Poids des runes'!A:B,2,FALSE)))+1),(((D1404/100)*(C1404*VLOOKUP(B1404,'Poids des runes'!A:B,2,FALSE)))+1)/VLOOKUP(B1404,'Poids des runes'!A:B,2,FALSE))</f>
        <v>8.5</v>
      </c>
      <c r="F1404">
        <f t="shared" si="21"/>
        <v>8.5</v>
      </c>
    </row>
    <row r="1405" spans="1:6" x14ac:dyDescent="0.3">
      <c r="A1405" t="s">
        <v>441</v>
      </c>
      <c r="B1405" t="s">
        <v>2130</v>
      </c>
      <c r="C1405">
        <v>15</v>
      </c>
      <c r="D1405">
        <v>50</v>
      </c>
      <c r="E1405">
        <f>IF(OR(B1405="vi",B1405="ii",B1405="pod"),(((D1405/100)*(C1405*VLOOKUP(B1405,'Poids des runes'!A:B,2,FALSE)))+1),(((D1405/100)*(C1405*VLOOKUP(B1405,'Poids des runes'!A:B,2,FALSE)))+1)/VLOOKUP(B1405,'Poids des runes'!A:B,2,FALSE))</f>
        <v>8.5</v>
      </c>
      <c r="F1405">
        <f t="shared" si="21"/>
        <v>8.5</v>
      </c>
    </row>
    <row r="1406" spans="1:6" x14ac:dyDescent="0.3">
      <c r="A1406" t="s">
        <v>442</v>
      </c>
      <c r="B1406" t="s">
        <v>2128</v>
      </c>
      <c r="C1406">
        <v>30</v>
      </c>
      <c r="D1406">
        <v>50</v>
      </c>
      <c r="E1406">
        <f>IF(OR(B1406="vi",B1406="ii",B1406="pod"),(((D1406/100)*(C1406*VLOOKUP(B1406,'Poids des runes'!A:B,2,FALSE)))+1),(((D1406/100)*(C1406*VLOOKUP(B1406,'Poids des runes'!A:B,2,FALSE)))+1)/VLOOKUP(B1406,'Poids des runes'!A:B,2,FALSE))</f>
        <v>4</v>
      </c>
      <c r="F1406">
        <f t="shared" si="21"/>
        <v>4</v>
      </c>
    </row>
    <row r="1407" spans="1:6" x14ac:dyDescent="0.3">
      <c r="A1407" t="s">
        <v>443</v>
      </c>
      <c r="B1407" t="s">
        <v>2143</v>
      </c>
      <c r="C1407">
        <v>3</v>
      </c>
      <c r="D1407">
        <v>50</v>
      </c>
      <c r="E1407">
        <f>IF(OR(B1407="vi",B1407="ii",B1407="pod"),(((D1407/100)*(C1407*VLOOKUP(B1407,'Poids des runes'!A:B,2,FALSE)))+1),(((D1407/100)*(C1407*VLOOKUP(B1407,'Poids des runes'!A:B,2,FALSE)))+1)/VLOOKUP(B1407,'Poids des runes'!A:B,2,FALSE))</f>
        <v>1.7</v>
      </c>
      <c r="F1407">
        <f t="shared" si="21"/>
        <v>1.7</v>
      </c>
    </row>
    <row r="1408" spans="1:6" x14ac:dyDescent="0.3">
      <c r="A1408" t="s">
        <v>444</v>
      </c>
      <c r="B1408" t="s">
        <v>2138</v>
      </c>
      <c r="C1408">
        <v>8</v>
      </c>
      <c r="D1408">
        <v>50</v>
      </c>
      <c r="E1408">
        <f>IF(OR(B1408="vi",B1408="ii",B1408="pod"),(((D1408/100)*(C1408*VLOOKUP(B1408,'Poids des runes'!A:B,2,FALSE)))+1),(((D1408/100)*(C1408*VLOOKUP(B1408,'Poids des runes'!A:B,2,FALSE)))+1)/VLOOKUP(B1408,'Poids des runes'!A:B,2,FALSE))</f>
        <v>4.25</v>
      </c>
      <c r="F1408">
        <f t="shared" si="21"/>
        <v>4.25</v>
      </c>
    </row>
    <row r="1409" spans="1:6" x14ac:dyDescent="0.3">
      <c r="A1409" t="s">
        <v>445</v>
      </c>
      <c r="B1409" t="s">
        <v>2141</v>
      </c>
      <c r="C1409">
        <v>8</v>
      </c>
      <c r="D1409">
        <v>50</v>
      </c>
      <c r="E1409">
        <f>IF(OR(B1409="vi",B1409="ii",B1409="pod"),(((D1409/100)*(C1409*VLOOKUP(B1409,'Poids des runes'!A:B,2,FALSE)))+1),(((D1409/100)*(C1409*VLOOKUP(B1409,'Poids des runes'!A:B,2,FALSE)))+1)/VLOOKUP(B1409,'Poids des runes'!A:B,2,FALSE))</f>
        <v>4.25</v>
      </c>
      <c r="F1409">
        <f t="shared" si="21"/>
        <v>4.25</v>
      </c>
    </row>
    <row r="1410" spans="1:6" x14ac:dyDescent="0.3">
      <c r="A1410" t="s">
        <v>446</v>
      </c>
      <c r="B1410" t="s">
        <v>2149</v>
      </c>
      <c r="C1410">
        <v>8</v>
      </c>
      <c r="D1410">
        <v>50</v>
      </c>
      <c r="E1410">
        <f>IF(OR(B1410="vi",B1410="ii",B1410="pod"),(((D1410/100)*(C1410*VLOOKUP(B1410,'Poids des runes'!A:B,2,FALSE)))+1),(((D1410/100)*(C1410*VLOOKUP(B1410,'Poids des runes'!A:B,2,FALSE)))+1)/VLOOKUP(B1410,'Poids des runes'!A:B,2,FALSE))</f>
        <v>4.0999999999999996</v>
      </c>
      <c r="F1410">
        <f t="shared" si="21"/>
        <v>4.0999999999999996</v>
      </c>
    </row>
    <row r="1411" spans="1:6" x14ac:dyDescent="0.3">
      <c r="A1411" t="s">
        <v>447</v>
      </c>
      <c r="B1411" t="s">
        <v>2130</v>
      </c>
      <c r="C1411">
        <v>25</v>
      </c>
      <c r="D1411">
        <v>50</v>
      </c>
      <c r="E1411">
        <f>IF(OR(B1411="vi",B1411="ii",B1411="pod"),(((D1411/100)*(C1411*VLOOKUP(B1411,'Poids des runes'!A:B,2,FALSE)))+1),(((D1411/100)*(C1411*VLOOKUP(B1411,'Poids des runes'!A:B,2,FALSE)))+1)/VLOOKUP(B1411,'Poids des runes'!A:B,2,FALSE))</f>
        <v>13.5</v>
      </c>
      <c r="F1411">
        <f t="shared" ref="F1411:F1474" si="22">E1411</f>
        <v>13.5</v>
      </c>
    </row>
    <row r="1412" spans="1:6" x14ac:dyDescent="0.3">
      <c r="A1412" t="s">
        <v>448</v>
      </c>
      <c r="B1412" t="s">
        <v>2126</v>
      </c>
      <c r="C1412">
        <v>25</v>
      </c>
      <c r="D1412">
        <v>50</v>
      </c>
      <c r="E1412">
        <f>IF(OR(B1412="vi",B1412="ii",B1412="pod"),(((D1412/100)*(C1412*VLOOKUP(B1412,'Poids des runes'!A:B,2,FALSE)))+1),(((D1412/100)*(C1412*VLOOKUP(B1412,'Poids des runes'!A:B,2,FALSE)))+1)/VLOOKUP(B1412,'Poids des runes'!A:B,2,FALSE))</f>
        <v>13.5</v>
      </c>
      <c r="F1412">
        <f t="shared" si="22"/>
        <v>13.5</v>
      </c>
    </row>
    <row r="1413" spans="1:6" x14ac:dyDescent="0.3">
      <c r="A1413" t="s">
        <v>449</v>
      </c>
      <c r="B1413" t="s">
        <v>2127</v>
      </c>
      <c r="C1413">
        <v>25</v>
      </c>
      <c r="D1413">
        <v>50</v>
      </c>
      <c r="E1413">
        <f>IF(OR(B1413="vi",B1413="ii",B1413="pod"),(((D1413/100)*(C1413*VLOOKUP(B1413,'Poids des runes'!A:B,2,FALSE)))+1),(((D1413/100)*(C1413*VLOOKUP(B1413,'Poids des runes'!A:B,2,FALSE)))+1)/VLOOKUP(B1413,'Poids des runes'!A:B,2,FALSE))</f>
        <v>13.5</v>
      </c>
      <c r="F1413">
        <f t="shared" si="22"/>
        <v>13.5</v>
      </c>
    </row>
    <row r="1414" spans="1:6" x14ac:dyDescent="0.3">
      <c r="A1414" t="s">
        <v>450</v>
      </c>
      <c r="B1414" t="s">
        <v>2131</v>
      </c>
      <c r="C1414">
        <v>25</v>
      </c>
      <c r="D1414">
        <v>50</v>
      </c>
      <c r="E1414">
        <f>IF(OR(B1414="vi",B1414="ii",B1414="pod"),(((D1414/100)*(C1414*VLOOKUP(B1414,'Poids des runes'!A:B,2,FALSE)))+1),(((D1414/100)*(C1414*VLOOKUP(B1414,'Poids des runes'!A:B,2,FALSE)))+1)/VLOOKUP(B1414,'Poids des runes'!A:B,2,FALSE))</f>
        <v>13.5</v>
      </c>
      <c r="F1414">
        <f t="shared" si="22"/>
        <v>13.5</v>
      </c>
    </row>
    <row r="1415" spans="1:6" x14ac:dyDescent="0.3">
      <c r="A1415" t="s">
        <v>451</v>
      </c>
      <c r="B1415" t="s">
        <v>2163</v>
      </c>
      <c r="C1415">
        <v>8</v>
      </c>
      <c r="D1415">
        <v>50</v>
      </c>
      <c r="E1415">
        <f>IF(OR(B1415="vi",B1415="ii",B1415="pod"),(((D1415/100)*(C1415*VLOOKUP(B1415,'Poids des runes'!A:B,2,FALSE)))+1),(((D1415/100)*(C1415*VLOOKUP(B1415,'Poids des runes'!A:B,2,FALSE)))+1)/VLOOKUP(B1415,'Poids des runes'!A:B,2,FALSE))</f>
        <v>4.5</v>
      </c>
      <c r="F1415">
        <f t="shared" si="22"/>
        <v>4.5</v>
      </c>
    </row>
    <row r="1416" spans="1:6" x14ac:dyDescent="0.3">
      <c r="A1416" t="s">
        <v>452</v>
      </c>
      <c r="B1416" t="s">
        <v>2143</v>
      </c>
      <c r="C1416">
        <v>5</v>
      </c>
      <c r="D1416">
        <v>50</v>
      </c>
      <c r="E1416">
        <f>IF(OR(B1416="vi",B1416="ii",B1416="pod"),(((D1416/100)*(C1416*VLOOKUP(B1416,'Poids des runes'!A:B,2,FALSE)))+1),(((D1416/100)*(C1416*VLOOKUP(B1416,'Poids des runes'!A:B,2,FALSE)))+1)/VLOOKUP(B1416,'Poids des runes'!A:B,2,FALSE))</f>
        <v>2.7</v>
      </c>
      <c r="F1416">
        <f t="shared" si="22"/>
        <v>2.7</v>
      </c>
    </row>
    <row r="1417" spans="1:6" x14ac:dyDescent="0.3">
      <c r="A1417" t="s">
        <v>453</v>
      </c>
      <c r="B1417" t="s">
        <v>2140</v>
      </c>
      <c r="C1417">
        <v>5</v>
      </c>
      <c r="D1417">
        <v>50</v>
      </c>
      <c r="E1417">
        <f>IF(OR(B1417="vi",B1417="ii",B1417="pod"),(((D1417/100)*(C1417*VLOOKUP(B1417,'Poids des runes'!A:B,2,FALSE)))+1),(((D1417/100)*(C1417*VLOOKUP(B1417,'Poids des runes'!A:B,2,FALSE)))+1)/VLOOKUP(B1417,'Poids des runes'!A:B,2,FALSE))</f>
        <v>2.7</v>
      </c>
      <c r="F1417">
        <f t="shared" si="22"/>
        <v>2.7</v>
      </c>
    </row>
    <row r="1418" spans="1:6" x14ac:dyDescent="0.3">
      <c r="A1418" t="s">
        <v>454</v>
      </c>
      <c r="B1418" t="s">
        <v>2133</v>
      </c>
      <c r="C1418">
        <v>5</v>
      </c>
      <c r="D1418">
        <v>50</v>
      </c>
      <c r="E1418">
        <f>IF(OR(B1418="vi",B1418="ii",B1418="pod"),(((D1418/100)*(C1418*VLOOKUP(B1418,'Poids des runes'!A:B,2,FALSE)))+1),(((D1418/100)*(C1418*VLOOKUP(B1418,'Poids des runes'!A:B,2,FALSE)))+1)/VLOOKUP(B1418,'Poids des runes'!A:B,2,FALSE))</f>
        <v>2.7</v>
      </c>
      <c r="F1418">
        <f t="shared" si="22"/>
        <v>2.7</v>
      </c>
    </row>
    <row r="1419" spans="1:6" x14ac:dyDescent="0.3">
      <c r="A1419" t="s">
        <v>455</v>
      </c>
      <c r="B1419" t="s">
        <v>2153</v>
      </c>
      <c r="C1419">
        <v>5</v>
      </c>
      <c r="D1419">
        <v>50</v>
      </c>
      <c r="E1419">
        <f>IF(OR(B1419="vi",B1419="ii",B1419="pod"),(((D1419/100)*(C1419*VLOOKUP(B1419,'Poids des runes'!A:B,2,FALSE)))+1),(((D1419/100)*(C1419*VLOOKUP(B1419,'Poids des runes'!A:B,2,FALSE)))+1)/VLOOKUP(B1419,'Poids des runes'!A:B,2,FALSE))</f>
        <v>2.7</v>
      </c>
      <c r="F1419">
        <f t="shared" si="22"/>
        <v>2.7</v>
      </c>
    </row>
    <row r="1420" spans="1:6" x14ac:dyDescent="0.3">
      <c r="A1420" t="s">
        <v>456</v>
      </c>
      <c r="B1420" t="s">
        <v>2160</v>
      </c>
      <c r="C1420">
        <v>6</v>
      </c>
      <c r="D1420">
        <v>50</v>
      </c>
      <c r="E1420">
        <f>IF(OR(B1420="vi",B1420="ii",B1420="pod"),(((D1420/100)*(C1420*VLOOKUP(B1420,'Poids des runes'!A:B,2,FALSE)))+1),(((D1420/100)*(C1420*VLOOKUP(B1420,'Poids des runes'!A:B,2,FALSE)))+1)/VLOOKUP(B1420,'Poids des runes'!A:B,2,FALSE))</f>
        <v>3.1428571428571428</v>
      </c>
      <c r="F1420">
        <f t="shared" si="22"/>
        <v>3.1428571428571428</v>
      </c>
    </row>
    <row r="1421" spans="1:6" x14ac:dyDescent="0.3">
      <c r="A1421" t="s">
        <v>457</v>
      </c>
      <c r="B1421" t="s">
        <v>2159</v>
      </c>
      <c r="C1421">
        <v>6</v>
      </c>
      <c r="D1421">
        <v>50</v>
      </c>
      <c r="E1421">
        <f>IF(OR(B1421="vi",B1421="ii",B1421="pod"),(((D1421/100)*(C1421*VLOOKUP(B1421,'Poids des runes'!A:B,2,FALSE)))+1),(((D1421/100)*(C1421*VLOOKUP(B1421,'Poids des runes'!A:B,2,FALSE)))+1)/VLOOKUP(B1421,'Poids des runes'!A:B,2,FALSE))</f>
        <v>3.1428571428571428</v>
      </c>
      <c r="F1421">
        <f t="shared" si="22"/>
        <v>3.1428571428571428</v>
      </c>
    </row>
    <row r="1422" spans="1:6" x14ac:dyDescent="0.3">
      <c r="A1422" t="s">
        <v>458</v>
      </c>
      <c r="B1422" t="s">
        <v>2165</v>
      </c>
      <c r="C1422">
        <v>8</v>
      </c>
      <c r="D1422">
        <v>50</v>
      </c>
      <c r="E1422">
        <f>IF(OR(B1422="vi",B1422="ii",B1422="pod"),(((D1422/100)*(C1422*VLOOKUP(B1422,'Poids des runes'!A:B,2,FALSE)))+1),(((D1422/100)*(C1422*VLOOKUP(B1422,'Poids des runes'!A:B,2,FALSE)))+1)/VLOOKUP(B1422,'Poids des runes'!A:B,2,FALSE))</f>
        <v>4.1428571428571432</v>
      </c>
      <c r="F1422">
        <f t="shared" si="22"/>
        <v>4.1428571428571432</v>
      </c>
    </row>
    <row r="1423" spans="1:6" x14ac:dyDescent="0.3">
      <c r="A1423" t="s">
        <v>459</v>
      </c>
      <c r="B1423" t="s">
        <v>2162</v>
      </c>
      <c r="C1423">
        <v>8</v>
      </c>
      <c r="D1423">
        <v>50</v>
      </c>
      <c r="E1423">
        <f>IF(OR(B1423="vi",B1423="ii",B1423="pod"),(((D1423/100)*(C1423*VLOOKUP(B1423,'Poids des runes'!A:B,2,FALSE)))+1),(((D1423/100)*(C1423*VLOOKUP(B1423,'Poids des runes'!A:B,2,FALSE)))+1)/VLOOKUP(B1423,'Poids des runes'!A:B,2,FALSE))</f>
        <v>4.1428571428571432</v>
      </c>
      <c r="F1423">
        <f t="shared" si="22"/>
        <v>4.1428571428571432</v>
      </c>
    </row>
    <row r="1424" spans="1:6" x14ac:dyDescent="0.3">
      <c r="A1424" t="s">
        <v>460</v>
      </c>
      <c r="B1424" t="s">
        <v>2142</v>
      </c>
      <c r="C1424">
        <v>16</v>
      </c>
      <c r="D1424">
        <v>50</v>
      </c>
      <c r="E1424">
        <f>IF(OR(B1424="vi",B1424="ii",B1424="pod"),(((D1424/100)*(C1424*VLOOKUP(B1424,'Poids des runes'!A:B,2,FALSE)))+1),(((D1424/100)*(C1424*VLOOKUP(B1424,'Poids des runes'!A:B,2,FALSE)))+1)/VLOOKUP(B1424,'Poids des runes'!A:B,2,FALSE))</f>
        <v>8.1999999999999993</v>
      </c>
      <c r="F1424">
        <f t="shared" si="22"/>
        <v>8.1999999999999993</v>
      </c>
    </row>
    <row r="1425" spans="1:6" x14ac:dyDescent="0.3">
      <c r="A1425" t="s">
        <v>461</v>
      </c>
      <c r="B1425" t="s">
        <v>2164</v>
      </c>
      <c r="C1425">
        <v>24</v>
      </c>
      <c r="D1425">
        <v>50</v>
      </c>
      <c r="E1425">
        <f>IF(OR(B1425="vi",B1425="ii",B1425="pod"),(((D1425/100)*(C1425*VLOOKUP(B1425,'Poids des runes'!A:B,2,FALSE)))+1),(((D1425/100)*(C1425*VLOOKUP(B1425,'Poids des runes'!A:B,2,FALSE)))+1)/VLOOKUP(B1425,'Poids des runes'!A:B,2,FALSE))</f>
        <v>12.5</v>
      </c>
      <c r="F1425">
        <f t="shared" si="22"/>
        <v>12.5</v>
      </c>
    </row>
    <row r="1426" spans="1:6" x14ac:dyDescent="0.3">
      <c r="A1426" t="s">
        <v>462</v>
      </c>
      <c r="B1426" t="s">
        <v>2132</v>
      </c>
      <c r="C1426">
        <v>200</v>
      </c>
      <c r="D1426">
        <v>50</v>
      </c>
      <c r="E1426">
        <f>IF(OR(B1426="vi",B1426="ii",B1426="pod"),(((D1426/100)*(C1426*VLOOKUP(B1426,'Poids des runes'!A:B,2,FALSE)))+1),(((D1426/100)*(C1426*VLOOKUP(B1426,'Poids des runes'!A:B,2,FALSE)))+1)/VLOOKUP(B1426,'Poids des runes'!A:B,2,FALSE))</f>
        <v>11</v>
      </c>
      <c r="F1426">
        <f t="shared" si="22"/>
        <v>11</v>
      </c>
    </row>
    <row r="1427" spans="1:6" x14ac:dyDescent="0.3">
      <c r="A1427" t="s">
        <v>463</v>
      </c>
      <c r="B1427" t="s">
        <v>2137</v>
      </c>
      <c r="C1427">
        <v>10</v>
      </c>
      <c r="D1427">
        <v>50</v>
      </c>
      <c r="E1427">
        <f>IF(OR(B1427="vi",B1427="ii",B1427="pod"),(((D1427/100)*(C1427*VLOOKUP(B1427,'Poids des runes'!A:B,2,FALSE)))+1),(((D1427/100)*(C1427*VLOOKUP(B1427,'Poids des runes'!A:B,2,FALSE)))+1)/VLOOKUP(B1427,'Poids des runes'!A:B,2,FALSE))</f>
        <v>5.5</v>
      </c>
      <c r="F1427">
        <f t="shared" si="22"/>
        <v>5.5</v>
      </c>
    </row>
    <row r="1428" spans="1:6" x14ac:dyDescent="0.3">
      <c r="A1428" t="s">
        <v>464</v>
      </c>
      <c r="B1428" t="s">
        <v>2136</v>
      </c>
      <c r="C1428">
        <v>10</v>
      </c>
      <c r="D1428">
        <v>50</v>
      </c>
      <c r="E1428">
        <f>IF(OR(B1428="vi",B1428="ii",B1428="pod"),(((D1428/100)*(C1428*VLOOKUP(B1428,'Poids des runes'!A:B,2,FALSE)))+1),(((D1428/100)*(C1428*VLOOKUP(B1428,'Poids des runes'!A:B,2,FALSE)))+1)/VLOOKUP(B1428,'Poids des runes'!A:B,2,FALSE))</f>
        <v>5.5</v>
      </c>
      <c r="F1428">
        <f t="shared" si="22"/>
        <v>5.5</v>
      </c>
    </row>
    <row r="1429" spans="1:6" x14ac:dyDescent="0.3">
      <c r="A1429" t="s">
        <v>465</v>
      </c>
      <c r="B1429" t="s">
        <v>2144</v>
      </c>
      <c r="C1429">
        <v>10</v>
      </c>
      <c r="D1429">
        <v>50</v>
      </c>
      <c r="E1429">
        <f>IF(OR(B1429="vi",B1429="ii",B1429="pod"),(((D1429/100)*(C1429*VLOOKUP(B1429,'Poids des runes'!A:B,2,FALSE)))+1),(((D1429/100)*(C1429*VLOOKUP(B1429,'Poids des runes'!A:B,2,FALSE)))+1)/VLOOKUP(B1429,'Poids des runes'!A:B,2,FALSE))</f>
        <v>5.5</v>
      </c>
      <c r="F1429">
        <f t="shared" si="22"/>
        <v>5.5</v>
      </c>
    </row>
    <row r="1430" spans="1:6" x14ac:dyDescent="0.3">
      <c r="A1430" t="s">
        <v>466</v>
      </c>
      <c r="B1430" t="s">
        <v>2145</v>
      </c>
      <c r="C1430">
        <v>10</v>
      </c>
      <c r="D1430">
        <v>50</v>
      </c>
      <c r="E1430">
        <f>IF(OR(B1430="vi",B1430="ii",B1430="pod"),(((D1430/100)*(C1430*VLOOKUP(B1430,'Poids des runes'!A:B,2,FALSE)))+1),(((D1430/100)*(C1430*VLOOKUP(B1430,'Poids des runes'!A:B,2,FALSE)))+1)/VLOOKUP(B1430,'Poids des runes'!A:B,2,FALSE))</f>
        <v>5.5</v>
      </c>
      <c r="F1430">
        <f t="shared" si="22"/>
        <v>5.5</v>
      </c>
    </row>
    <row r="1431" spans="1:6" x14ac:dyDescent="0.3">
      <c r="A1431" t="s">
        <v>467</v>
      </c>
      <c r="B1431" t="s">
        <v>2146</v>
      </c>
      <c r="C1431">
        <v>10</v>
      </c>
      <c r="D1431">
        <v>50</v>
      </c>
      <c r="E1431">
        <f>IF(OR(B1431="vi",B1431="ii",B1431="pod"),(((D1431/100)*(C1431*VLOOKUP(B1431,'Poids des runes'!A:B,2,FALSE)))+1),(((D1431/100)*(C1431*VLOOKUP(B1431,'Poids des runes'!A:B,2,FALSE)))+1)/VLOOKUP(B1431,'Poids des runes'!A:B,2,FALSE))</f>
        <v>5.5</v>
      </c>
      <c r="F1431">
        <f t="shared" si="22"/>
        <v>5.5</v>
      </c>
    </row>
    <row r="1432" spans="1:6" x14ac:dyDescent="0.3">
      <c r="A1432" t="s">
        <v>468</v>
      </c>
      <c r="B1432" t="s">
        <v>2139</v>
      </c>
      <c r="C1432">
        <v>20</v>
      </c>
      <c r="D1432">
        <v>50</v>
      </c>
      <c r="E1432">
        <f>IF(OR(B1432="vi",B1432="ii",B1432="pod"),(((D1432/100)*(C1432*VLOOKUP(B1432,'Poids des runes'!A:B,2,FALSE)))+1),(((D1432/100)*(C1432*VLOOKUP(B1432,'Poids des runes'!A:B,2,FALSE)))+1)/VLOOKUP(B1432,'Poids des runes'!A:B,2,FALSE))</f>
        <v>10.5</v>
      </c>
      <c r="F1432">
        <f t="shared" si="22"/>
        <v>10.5</v>
      </c>
    </row>
    <row r="1433" spans="1:6" x14ac:dyDescent="0.3">
      <c r="A1433" t="s">
        <v>469</v>
      </c>
      <c r="B1433" t="s">
        <v>2155</v>
      </c>
      <c r="C1433">
        <v>1</v>
      </c>
      <c r="D1433">
        <v>50</v>
      </c>
      <c r="E1433">
        <f>IF(OR(B1433="vi",B1433="ii",B1433="pod"),(((D1433/100)*(C1433*VLOOKUP(B1433,'Poids des runes'!A:B,2,FALSE)))+1),(((D1433/100)*(C1433*VLOOKUP(B1433,'Poids des runes'!A:B,2,FALSE)))+1)/VLOOKUP(B1433,'Poids des runes'!A:B,2,FALSE))</f>
        <v>0.51960784313725494</v>
      </c>
      <c r="F1433">
        <f t="shared" si="22"/>
        <v>0.51960784313725494</v>
      </c>
    </row>
    <row r="1434" spans="1:6" x14ac:dyDescent="0.3">
      <c r="A1434" t="s">
        <v>470</v>
      </c>
      <c r="B1434" t="s">
        <v>2143</v>
      </c>
      <c r="C1434">
        <v>3</v>
      </c>
      <c r="D1434">
        <v>50</v>
      </c>
      <c r="E1434">
        <f>IF(OR(B1434="vi",B1434="ii",B1434="pod"),(((D1434/100)*(C1434*VLOOKUP(B1434,'Poids des runes'!A:B,2,FALSE)))+1),(((D1434/100)*(C1434*VLOOKUP(B1434,'Poids des runes'!A:B,2,FALSE)))+1)/VLOOKUP(B1434,'Poids des runes'!A:B,2,FALSE))</f>
        <v>1.7</v>
      </c>
      <c r="F1434">
        <f t="shared" si="22"/>
        <v>1.7</v>
      </c>
    </row>
    <row r="1435" spans="1:6" x14ac:dyDescent="0.3">
      <c r="A1435" t="s">
        <v>470</v>
      </c>
      <c r="B1435" t="s">
        <v>2140</v>
      </c>
      <c r="C1435">
        <v>3</v>
      </c>
      <c r="D1435">
        <v>50</v>
      </c>
      <c r="E1435">
        <f>IF(OR(B1435="vi",B1435="ii",B1435="pod"),(((D1435/100)*(C1435*VLOOKUP(B1435,'Poids des runes'!A:B,2,FALSE)))+1),(((D1435/100)*(C1435*VLOOKUP(B1435,'Poids des runes'!A:B,2,FALSE)))+1)/VLOOKUP(B1435,'Poids des runes'!A:B,2,FALSE))</f>
        <v>1.7</v>
      </c>
      <c r="F1435">
        <f t="shared" si="22"/>
        <v>1.7</v>
      </c>
    </row>
    <row r="1436" spans="1:6" x14ac:dyDescent="0.3">
      <c r="A1436" t="s">
        <v>470</v>
      </c>
      <c r="B1436" t="s">
        <v>2133</v>
      </c>
      <c r="C1436">
        <v>3</v>
      </c>
      <c r="D1436">
        <v>50</v>
      </c>
      <c r="E1436">
        <f>IF(OR(B1436="vi",B1436="ii",B1436="pod"),(((D1436/100)*(C1436*VLOOKUP(B1436,'Poids des runes'!A:B,2,FALSE)))+1),(((D1436/100)*(C1436*VLOOKUP(B1436,'Poids des runes'!A:B,2,FALSE)))+1)/VLOOKUP(B1436,'Poids des runes'!A:B,2,FALSE))</f>
        <v>1.7</v>
      </c>
      <c r="F1436">
        <f t="shared" si="22"/>
        <v>1.7</v>
      </c>
    </row>
    <row r="1437" spans="1:6" x14ac:dyDescent="0.3">
      <c r="A1437" t="s">
        <v>470</v>
      </c>
      <c r="B1437" t="s">
        <v>2153</v>
      </c>
      <c r="C1437">
        <v>3</v>
      </c>
      <c r="D1437">
        <v>50</v>
      </c>
      <c r="E1437">
        <f>IF(OR(B1437="vi",B1437="ii",B1437="pod"),(((D1437/100)*(C1437*VLOOKUP(B1437,'Poids des runes'!A:B,2,FALSE)))+1),(((D1437/100)*(C1437*VLOOKUP(B1437,'Poids des runes'!A:B,2,FALSE)))+1)/VLOOKUP(B1437,'Poids des runes'!A:B,2,FALSE))</f>
        <v>1.7</v>
      </c>
      <c r="F1437">
        <f t="shared" si="22"/>
        <v>1.7</v>
      </c>
    </row>
    <row r="1438" spans="1:6" x14ac:dyDescent="0.3">
      <c r="A1438" t="s">
        <v>471</v>
      </c>
      <c r="B1438" t="s">
        <v>2128</v>
      </c>
      <c r="C1438">
        <v>28</v>
      </c>
      <c r="D1438">
        <v>50</v>
      </c>
      <c r="E1438">
        <f>IF(OR(B1438="vi",B1438="ii",B1438="pod"),(((D1438/100)*(C1438*VLOOKUP(B1438,'Poids des runes'!A:B,2,FALSE)))+1),(((D1438/100)*(C1438*VLOOKUP(B1438,'Poids des runes'!A:B,2,FALSE)))+1)/VLOOKUP(B1438,'Poids des runes'!A:B,2,FALSE))</f>
        <v>3.8000000000000003</v>
      </c>
      <c r="F1438">
        <f t="shared" si="22"/>
        <v>3.8000000000000003</v>
      </c>
    </row>
    <row r="1439" spans="1:6" x14ac:dyDescent="0.3">
      <c r="A1439" t="s">
        <v>471</v>
      </c>
      <c r="B1439" t="s">
        <v>2130</v>
      </c>
      <c r="C1439">
        <v>23</v>
      </c>
      <c r="D1439">
        <v>50</v>
      </c>
      <c r="E1439">
        <f>IF(OR(B1439="vi",B1439="ii",B1439="pod"),(((D1439/100)*(C1439*VLOOKUP(B1439,'Poids des runes'!A:B,2,FALSE)))+1),(((D1439/100)*(C1439*VLOOKUP(B1439,'Poids des runes'!A:B,2,FALSE)))+1)/VLOOKUP(B1439,'Poids des runes'!A:B,2,FALSE))</f>
        <v>12.5</v>
      </c>
      <c r="F1439">
        <f t="shared" si="22"/>
        <v>12.5</v>
      </c>
    </row>
    <row r="1440" spans="1:6" x14ac:dyDescent="0.3">
      <c r="A1440" t="s">
        <v>471</v>
      </c>
      <c r="B1440" t="s">
        <v>2131</v>
      </c>
      <c r="C1440">
        <v>23</v>
      </c>
      <c r="D1440">
        <v>50</v>
      </c>
      <c r="E1440">
        <f>IF(OR(B1440="vi",B1440="ii",B1440="pod"),(((D1440/100)*(C1440*VLOOKUP(B1440,'Poids des runes'!A:B,2,FALSE)))+1),(((D1440/100)*(C1440*VLOOKUP(B1440,'Poids des runes'!A:B,2,FALSE)))+1)/VLOOKUP(B1440,'Poids des runes'!A:B,2,FALSE))</f>
        <v>12.5</v>
      </c>
      <c r="F1440">
        <f t="shared" si="22"/>
        <v>12.5</v>
      </c>
    </row>
    <row r="1441" spans="1:6" x14ac:dyDescent="0.3">
      <c r="A1441" t="s">
        <v>471</v>
      </c>
      <c r="B1441" t="s">
        <v>2152</v>
      </c>
      <c r="C1441">
        <v>1</v>
      </c>
      <c r="D1441">
        <v>50</v>
      </c>
      <c r="E1441">
        <f>IF(OR(B1441="vi",B1441="ii",B1441="pod"),(((D1441/100)*(C1441*VLOOKUP(B1441,'Poids des runes'!A:B,2,FALSE)))+1),(((D1441/100)*(C1441*VLOOKUP(B1441,'Poids des runes'!A:B,2,FALSE)))+1)/VLOOKUP(B1441,'Poids des runes'!A:B,2,FALSE))</f>
        <v>0.51</v>
      </c>
      <c r="F1441">
        <f t="shared" si="22"/>
        <v>0.51</v>
      </c>
    </row>
    <row r="1442" spans="1:6" x14ac:dyDescent="0.3">
      <c r="A1442" t="s">
        <v>472</v>
      </c>
      <c r="B1442" t="s">
        <v>2128</v>
      </c>
      <c r="C1442">
        <v>45.5</v>
      </c>
      <c r="D1442">
        <v>50</v>
      </c>
      <c r="E1442">
        <f>IF(OR(B1442="vi",B1442="ii",B1442="pod"),(((D1442/100)*(C1442*VLOOKUP(B1442,'Poids des runes'!A:B,2,FALSE)))+1),(((D1442/100)*(C1442*VLOOKUP(B1442,'Poids des runes'!A:B,2,FALSE)))+1)/VLOOKUP(B1442,'Poids des runes'!A:B,2,FALSE))</f>
        <v>5.55</v>
      </c>
      <c r="F1442">
        <f t="shared" si="22"/>
        <v>5.55</v>
      </c>
    </row>
    <row r="1443" spans="1:6" x14ac:dyDescent="0.3">
      <c r="A1443" t="s">
        <v>472</v>
      </c>
      <c r="B1443" t="s">
        <v>2129</v>
      </c>
      <c r="C1443">
        <v>8</v>
      </c>
      <c r="D1443">
        <v>50</v>
      </c>
      <c r="E1443">
        <f>IF(OR(B1443="vi",B1443="ii",B1443="pod"),(((D1443/100)*(C1443*VLOOKUP(B1443,'Poids des runes'!A:B,2,FALSE)))+1),(((D1443/100)*(C1443*VLOOKUP(B1443,'Poids des runes'!A:B,2,FALSE)))+1)/VLOOKUP(B1443,'Poids des runes'!A:B,2,FALSE))</f>
        <v>5</v>
      </c>
      <c r="F1443">
        <f t="shared" si="22"/>
        <v>5</v>
      </c>
    </row>
    <row r="1444" spans="1:6" x14ac:dyDescent="0.3">
      <c r="A1444" t="s">
        <v>472</v>
      </c>
      <c r="B1444" t="s">
        <v>2134</v>
      </c>
      <c r="C1444">
        <v>3.5</v>
      </c>
      <c r="D1444">
        <v>50</v>
      </c>
      <c r="E1444">
        <f>IF(OR(B1444="vi",B1444="ii",B1444="pod"),(((D1444/100)*(C1444*VLOOKUP(B1444,'Poids des runes'!A:B,2,FALSE)))+1),(((D1444/100)*(C1444*VLOOKUP(B1444,'Poids des runes'!A:B,2,FALSE)))+1)/VLOOKUP(B1444,'Poids des runes'!A:B,2,FALSE))</f>
        <v>1.8</v>
      </c>
      <c r="F1444">
        <f t="shared" si="22"/>
        <v>1.8</v>
      </c>
    </row>
    <row r="1445" spans="1:6" x14ac:dyDescent="0.3">
      <c r="A1445" t="s">
        <v>472</v>
      </c>
      <c r="B1445" t="s">
        <v>2161</v>
      </c>
      <c r="C1445">
        <v>13</v>
      </c>
      <c r="D1445">
        <v>50</v>
      </c>
      <c r="E1445">
        <f>IF(OR(B1445="vi",B1445="ii",B1445="pod"),(((D1445/100)*(C1445*VLOOKUP(B1445,'Poids des runes'!A:B,2,FALSE)))+1),(((D1445/100)*(C1445*VLOOKUP(B1445,'Poids des runes'!A:B,2,FALSE)))+1)/VLOOKUP(B1445,'Poids des runes'!A:B,2,FALSE))</f>
        <v>6.833333333333333</v>
      </c>
      <c r="F1445">
        <f t="shared" si="22"/>
        <v>6.833333333333333</v>
      </c>
    </row>
    <row r="1446" spans="1:6" x14ac:dyDescent="0.3">
      <c r="A1446" t="s">
        <v>472</v>
      </c>
      <c r="B1446" t="s">
        <v>2157</v>
      </c>
      <c r="C1446">
        <v>2.5</v>
      </c>
      <c r="D1446">
        <v>50</v>
      </c>
      <c r="E1446">
        <f>IF(OR(B1446="vi",B1446="ii",B1446="pod"),(((D1446/100)*(C1446*VLOOKUP(B1446,'Poids des runes'!A:B,2,FALSE)))+1),(((D1446/100)*(C1446*VLOOKUP(B1446,'Poids des runes'!A:B,2,FALSE)))+1)/VLOOKUP(B1446,'Poids des runes'!A:B,2,FALSE))</f>
        <v>1.4166666666666667</v>
      </c>
      <c r="F1446">
        <f t="shared" si="22"/>
        <v>1.4166666666666667</v>
      </c>
    </row>
    <row r="1447" spans="1:6" x14ac:dyDescent="0.3">
      <c r="A1447" t="s">
        <v>473</v>
      </c>
      <c r="B1447" t="s">
        <v>2154</v>
      </c>
      <c r="C1447">
        <v>1</v>
      </c>
      <c r="D1447">
        <v>50</v>
      </c>
      <c r="E1447">
        <f>IF(OR(B1447="vi",B1447="ii",B1447="pod"),(((D1447/100)*(C1447*VLOOKUP(B1447,'Poids des runes'!A:B,2,FALSE)))+1),(((D1447/100)*(C1447*VLOOKUP(B1447,'Poids des runes'!A:B,2,FALSE)))+1)/VLOOKUP(B1447,'Poids des runes'!A:B,2,FALSE))</f>
        <v>0.51111111111111107</v>
      </c>
      <c r="F1447">
        <f t="shared" si="22"/>
        <v>0.51111111111111107</v>
      </c>
    </row>
    <row r="1448" spans="1:6" x14ac:dyDescent="0.3">
      <c r="A1448" t="s">
        <v>474</v>
      </c>
      <c r="B1448" t="s">
        <v>2128</v>
      </c>
      <c r="C1448">
        <v>45.5</v>
      </c>
      <c r="D1448">
        <v>50</v>
      </c>
      <c r="E1448">
        <f>IF(OR(B1448="vi",B1448="ii",B1448="pod"),(((D1448/100)*(C1448*VLOOKUP(B1448,'Poids des runes'!A:B,2,FALSE)))+1),(((D1448/100)*(C1448*VLOOKUP(B1448,'Poids des runes'!A:B,2,FALSE)))+1)/VLOOKUP(B1448,'Poids des runes'!A:B,2,FALSE))</f>
        <v>5.55</v>
      </c>
      <c r="F1448">
        <f t="shared" si="22"/>
        <v>5.55</v>
      </c>
    </row>
    <row r="1449" spans="1:6" x14ac:dyDescent="0.3">
      <c r="A1449" t="s">
        <v>474</v>
      </c>
      <c r="B1449" t="s">
        <v>2126</v>
      </c>
      <c r="C1449">
        <v>30.5</v>
      </c>
      <c r="D1449">
        <v>50</v>
      </c>
      <c r="E1449">
        <f>IF(OR(B1449="vi",B1449="ii",B1449="pod"),(((D1449/100)*(C1449*VLOOKUP(B1449,'Poids des runes'!A:B,2,FALSE)))+1),(((D1449/100)*(C1449*VLOOKUP(B1449,'Poids des runes'!A:B,2,FALSE)))+1)/VLOOKUP(B1449,'Poids des runes'!A:B,2,FALSE))</f>
        <v>16.25</v>
      </c>
      <c r="F1449">
        <f t="shared" si="22"/>
        <v>16.25</v>
      </c>
    </row>
    <row r="1450" spans="1:6" x14ac:dyDescent="0.3">
      <c r="A1450" t="s">
        <v>474</v>
      </c>
      <c r="B1450" t="s">
        <v>2129</v>
      </c>
      <c r="C1450">
        <v>13</v>
      </c>
      <c r="D1450">
        <v>50</v>
      </c>
      <c r="E1450">
        <f>IF(OR(B1450="vi",B1450="ii",B1450="pod"),(((D1450/100)*(C1450*VLOOKUP(B1450,'Poids des runes'!A:B,2,FALSE)))+1),(((D1450/100)*(C1450*VLOOKUP(B1450,'Poids des runes'!A:B,2,FALSE)))+1)/VLOOKUP(B1450,'Poids des runes'!A:B,2,FALSE))</f>
        <v>7.5</v>
      </c>
      <c r="F1450">
        <f t="shared" si="22"/>
        <v>7.5</v>
      </c>
    </row>
    <row r="1451" spans="1:6" x14ac:dyDescent="0.3">
      <c r="A1451" t="s">
        <v>474</v>
      </c>
      <c r="B1451" t="s">
        <v>2151</v>
      </c>
      <c r="C1451">
        <v>4.5</v>
      </c>
      <c r="D1451">
        <v>50</v>
      </c>
      <c r="E1451">
        <f>IF(OR(B1451="vi",B1451="ii",B1451="pod"),(((D1451/100)*(C1451*VLOOKUP(B1451,'Poids des runes'!A:B,2,FALSE)))+1),(((D1451/100)*(C1451*VLOOKUP(B1451,'Poids des runes'!A:B,2,FALSE)))+1)/VLOOKUP(B1451,'Poids des runes'!A:B,2,FALSE))</f>
        <v>2.35</v>
      </c>
      <c r="F1451">
        <f t="shared" si="22"/>
        <v>2.35</v>
      </c>
    </row>
    <row r="1452" spans="1:6" x14ac:dyDescent="0.3">
      <c r="A1452" t="s">
        <v>475</v>
      </c>
      <c r="B1452" t="s">
        <v>2128</v>
      </c>
      <c r="C1452">
        <v>45.5</v>
      </c>
      <c r="D1452">
        <v>50</v>
      </c>
      <c r="E1452">
        <f>IF(OR(B1452="vi",B1452="ii",B1452="pod"),(((D1452/100)*(C1452*VLOOKUP(B1452,'Poids des runes'!A:B,2,FALSE)))+1),(((D1452/100)*(C1452*VLOOKUP(B1452,'Poids des runes'!A:B,2,FALSE)))+1)/VLOOKUP(B1452,'Poids des runes'!A:B,2,FALSE))</f>
        <v>5.55</v>
      </c>
      <c r="F1452">
        <f t="shared" si="22"/>
        <v>5.55</v>
      </c>
    </row>
    <row r="1453" spans="1:6" x14ac:dyDescent="0.3">
      <c r="A1453" t="s">
        <v>475</v>
      </c>
      <c r="B1453" t="s">
        <v>2130</v>
      </c>
      <c r="C1453">
        <v>30.5</v>
      </c>
      <c r="D1453">
        <v>50</v>
      </c>
      <c r="E1453">
        <f>IF(OR(B1453="vi",B1453="ii",B1453="pod"),(((D1453/100)*(C1453*VLOOKUP(B1453,'Poids des runes'!A:B,2,FALSE)))+1),(((D1453/100)*(C1453*VLOOKUP(B1453,'Poids des runes'!A:B,2,FALSE)))+1)/VLOOKUP(B1453,'Poids des runes'!A:B,2,FALSE))</f>
        <v>16.25</v>
      </c>
      <c r="F1453">
        <f t="shared" si="22"/>
        <v>16.25</v>
      </c>
    </row>
    <row r="1454" spans="1:6" x14ac:dyDescent="0.3">
      <c r="A1454" t="s">
        <v>475</v>
      </c>
      <c r="B1454" t="s">
        <v>2129</v>
      </c>
      <c r="C1454">
        <v>13</v>
      </c>
      <c r="D1454">
        <v>50</v>
      </c>
      <c r="E1454">
        <f>IF(OR(B1454="vi",B1454="ii",B1454="pod"),(((D1454/100)*(C1454*VLOOKUP(B1454,'Poids des runes'!A:B,2,FALSE)))+1),(((D1454/100)*(C1454*VLOOKUP(B1454,'Poids des runes'!A:B,2,FALSE)))+1)/VLOOKUP(B1454,'Poids des runes'!A:B,2,FALSE))</f>
        <v>7.5</v>
      </c>
      <c r="F1454">
        <f t="shared" si="22"/>
        <v>7.5</v>
      </c>
    </row>
    <row r="1455" spans="1:6" x14ac:dyDescent="0.3">
      <c r="A1455" t="s">
        <v>475</v>
      </c>
      <c r="B1455" t="s">
        <v>2151</v>
      </c>
      <c r="C1455">
        <v>4.5</v>
      </c>
      <c r="D1455">
        <v>50</v>
      </c>
      <c r="E1455">
        <f>IF(OR(B1455="vi",B1455="ii",B1455="pod"),(((D1455/100)*(C1455*VLOOKUP(B1455,'Poids des runes'!A:B,2,FALSE)))+1),(((D1455/100)*(C1455*VLOOKUP(B1455,'Poids des runes'!A:B,2,FALSE)))+1)/VLOOKUP(B1455,'Poids des runes'!A:B,2,FALSE))</f>
        <v>2.35</v>
      </c>
      <c r="F1455">
        <f t="shared" si="22"/>
        <v>2.35</v>
      </c>
    </row>
    <row r="1456" spans="1:6" x14ac:dyDescent="0.3">
      <c r="A1456" t="s">
        <v>476</v>
      </c>
      <c r="B1456" t="s">
        <v>2128</v>
      </c>
      <c r="C1456">
        <v>45.5</v>
      </c>
      <c r="D1456">
        <v>50</v>
      </c>
      <c r="E1456">
        <f>IF(OR(B1456="vi",B1456="ii",B1456="pod"),(((D1456/100)*(C1456*VLOOKUP(B1456,'Poids des runes'!A:B,2,FALSE)))+1),(((D1456/100)*(C1456*VLOOKUP(B1456,'Poids des runes'!A:B,2,FALSE)))+1)/VLOOKUP(B1456,'Poids des runes'!A:B,2,FALSE))</f>
        <v>5.55</v>
      </c>
      <c r="F1456">
        <f t="shared" si="22"/>
        <v>5.55</v>
      </c>
    </row>
    <row r="1457" spans="1:6" x14ac:dyDescent="0.3">
      <c r="A1457" t="s">
        <v>476</v>
      </c>
      <c r="B1457" t="s">
        <v>2127</v>
      </c>
      <c r="C1457">
        <v>30.5</v>
      </c>
      <c r="D1457">
        <v>50</v>
      </c>
      <c r="E1457">
        <f>IF(OR(B1457="vi",B1457="ii",B1457="pod"),(((D1457/100)*(C1457*VLOOKUP(B1457,'Poids des runes'!A:B,2,FALSE)))+1),(((D1457/100)*(C1457*VLOOKUP(B1457,'Poids des runes'!A:B,2,FALSE)))+1)/VLOOKUP(B1457,'Poids des runes'!A:B,2,FALSE))</f>
        <v>16.25</v>
      </c>
      <c r="F1457">
        <f t="shared" si="22"/>
        <v>16.25</v>
      </c>
    </row>
    <row r="1458" spans="1:6" x14ac:dyDescent="0.3">
      <c r="A1458" t="s">
        <v>476</v>
      </c>
      <c r="B1458" t="s">
        <v>2129</v>
      </c>
      <c r="C1458">
        <v>13</v>
      </c>
      <c r="D1458">
        <v>50</v>
      </c>
      <c r="E1458">
        <f>IF(OR(B1458="vi",B1458="ii",B1458="pod"),(((D1458/100)*(C1458*VLOOKUP(B1458,'Poids des runes'!A:B,2,FALSE)))+1),(((D1458/100)*(C1458*VLOOKUP(B1458,'Poids des runes'!A:B,2,FALSE)))+1)/VLOOKUP(B1458,'Poids des runes'!A:B,2,FALSE))</f>
        <v>7.5</v>
      </c>
      <c r="F1458">
        <f t="shared" si="22"/>
        <v>7.5</v>
      </c>
    </row>
    <row r="1459" spans="1:6" x14ac:dyDescent="0.3">
      <c r="A1459" t="s">
        <v>476</v>
      </c>
      <c r="B1459" t="s">
        <v>2151</v>
      </c>
      <c r="C1459">
        <v>4.5</v>
      </c>
      <c r="D1459">
        <v>50</v>
      </c>
      <c r="E1459">
        <f>IF(OR(B1459="vi",B1459="ii",B1459="pod"),(((D1459/100)*(C1459*VLOOKUP(B1459,'Poids des runes'!A:B,2,FALSE)))+1),(((D1459/100)*(C1459*VLOOKUP(B1459,'Poids des runes'!A:B,2,FALSE)))+1)/VLOOKUP(B1459,'Poids des runes'!A:B,2,FALSE))</f>
        <v>2.35</v>
      </c>
      <c r="F1459">
        <f t="shared" si="22"/>
        <v>2.35</v>
      </c>
    </row>
    <row r="1460" spans="1:6" x14ac:dyDescent="0.3">
      <c r="A1460" t="s">
        <v>477</v>
      </c>
      <c r="B1460" t="s">
        <v>2128</v>
      </c>
      <c r="C1460">
        <v>45.5</v>
      </c>
      <c r="D1460">
        <v>50</v>
      </c>
      <c r="E1460">
        <f>IF(OR(B1460="vi",B1460="ii",B1460="pod"),(((D1460/100)*(C1460*VLOOKUP(B1460,'Poids des runes'!A:B,2,FALSE)))+1),(((D1460/100)*(C1460*VLOOKUP(B1460,'Poids des runes'!A:B,2,FALSE)))+1)/VLOOKUP(B1460,'Poids des runes'!A:B,2,FALSE))</f>
        <v>5.55</v>
      </c>
      <c r="F1460">
        <f t="shared" si="22"/>
        <v>5.55</v>
      </c>
    </row>
    <row r="1461" spans="1:6" x14ac:dyDescent="0.3">
      <c r="A1461" t="s">
        <v>477</v>
      </c>
      <c r="B1461" t="s">
        <v>2131</v>
      </c>
      <c r="C1461">
        <v>30.5</v>
      </c>
      <c r="D1461">
        <v>50</v>
      </c>
      <c r="E1461">
        <f>IF(OR(B1461="vi",B1461="ii",B1461="pod"),(((D1461/100)*(C1461*VLOOKUP(B1461,'Poids des runes'!A:B,2,FALSE)))+1),(((D1461/100)*(C1461*VLOOKUP(B1461,'Poids des runes'!A:B,2,FALSE)))+1)/VLOOKUP(B1461,'Poids des runes'!A:B,2,FALSE))</f>
        <v>16.25</v>
      </c>
      <c r="F1461">
        <f t="shared" si="22"/>
        <v>16.25</v>
      </c>
    </row>
    <row r="1462" spans="1:6" x14ac:dyDescent="0.3">
      <c r="A1462" t="s">
        <v>477</v>
      </c>
      <c r="B1462" t="s">
        <v>2129</v>
      </c>
      <c r="C1462">
        <v>13</v>
      </c>
      <c r="D1462">
        <v>50</v>
      </c>
      <c r="E1462">
        <f>IF(OR(B1462="vi",B1462="ii",B1462="pod"),(((D1462/100)*(C1462*VLOOKUP(B1462,'Poids des runes'!A:B,2,FALSE)))+1),(((D1462/100)*(C1462*VLOOKUP(B1462,'Poids des runes'!A:B,2,FALSE)))+1)/VLOOKUP(B1462,'Poids des runes'!A:B,2,FALSE))</f>
        <v>7.5</v>
      </c>
      <c r="F1462">
        <f t="shared" si="22"/>
        <v>7.5</v>
      </c>
    </row>
    <row r="1463" spans="1:6" x14ac:dyDescent="0.3">
      <c r="A1463" t="s">
        <v>477</v>
      </c>
      <c r="B1463" t="s">
        <v>2151</v>
      </c>
      <c r="C1463">
        <v>4.5</v>
      </c>
      <c r="D1463">
        <v>50</v>
      </c>
      <c r="E1463">
        <f>IF(OR(B1463="vi",B1463="ii",B1463="pod"),(((D1463/100)*(C1463*VLOOKUP(B1463,'Poids des runes'!A:B,2,FALSE)))+1),(((D1463/100)*(C1463*VLOOKUP(B1463,'Poids des runes'!A:B,2,FALSE)))+1)/VLOOKUP(B1463,'Poids des runes'!A:B,2,FALSE))</f>
        <v>2.35</v>
      </c>
      <c r="F1463">
        <f t="shared" si="22"/>
        <v>2.35</v>
      </c>
    </row>
    <row r="1464" spans="1:6" x14ac:dyDescent="0.3">
      <c r="A1464" t="s">
        <v>478</v>
      </c>
      <c r="B1464" t="s">
        <v>2128</v>
      </c>
      <c r="C1464">
        <v>50.5</v>
      </c>
      <c r="D1464">
        <v>50</v>
      </c>
      <c r="E1464">
        <f>IF(OR(B1464="vi",B1464="ii",B1464="pod"),(((D1464/100)*(C1464*VLOOKUP(B1464,'Poids des runes'!A:B,2,FALSE)))+1),(((D1464/100)*(C1464*VLOOKUP(B1464,'Poids des runes'!A:B,2,FALSE)))+1)/VLOOKUP(B1464,'Poids des runes'!A:B,2,FALSE))</f>
        <v>6.0500000000000007</v>
      </c>
      <c r="F1464">
        <f t="shared" si="22"/>
        <v>6.0500000000000007</v>
      </c>
    </row>
    <row r="1465" spans="1:6" x14ac:dyDescent="0.3">
      <c r="A1465" t="s">
        <v>478</v>
      </c>
      <c r="B1465" t="s">
        <v>2150</v>
      </c>
      <c r="C1465">
        <v>1</v>
      </c>
      <c r="D1465">
        <v>50</v>
      </c>
      <c r="E1465">
        <f>IF(OR(B1465="vi",B1465="ii",B1465="pod"),(((D1465/100)*(C1465*VLOOKUP(B1465,'Poids des runes'!A:B,2,FALSE)))+1),(((D1465/100)*(C1465*VLOOKUP(B1465,'Poids des runes'!A:B,2,FALSE)))+1)/VLOOKUP(B1465,'Poids des runes'!A:B,2,FALSE))</f>
        <v>0.53333333333333333</v>
      </c>
      <c r="F1465">
        <f t="shared" si="22"/>
        <v>0.53333333333333333</v>
      </c>
    </row>
    <row r="1466" spans="1:6" x14ac:dyDescent="0.3">
      <c r="A1466" t="s">
        <v>478</v>
      </c>
      <c r="B1466" t="s">
        <v>2134</v>
      </c>
      <c r="C1466">
        <v>5</v>
      </c>
      <c r="D1466">
        <v>50</v>
      </c>
      <c r="E1466">
        <f>IF(OR(B1466="vi",B1466="ii",B1466="pod"),(((D1466/100)*(C1466*VLOOKUP(B1466,'Poids des runes'!A:B,2,FALSE)))+1),(((D1466/100)*(C1466*VLOOKUP(B1466,'Poids des runes'!A:B,2,FALSE)))+1)/VLOOKUP(B1466,'Poids des runes'!A:B,2,FALSE))</f>
        <v>2.5499999999999998</v>
      </c>
      <c r="F1466">
        <f t="shared" si="22"/>
        <v>2.5499999999999998</v>
      </c>
    </row>
    <row r="1467" spans="1:6" x14ac:dyDescent="0.3">
      <c r="A1467" t="s">
        <v>478</v>
      </c>
      <c r="B1467" t="s">
        <v>2149</v>
      </c>
      <c r="C1467">
        <v>5</v>
      </c>
      <c r="D1467">
        <v>50</v>
      </c>
      <c r="E1467">
        <f>IF(OR(B1467="vi",B1467="ii",B1467="pod"),(((D1467/100)*(C1467*VLOOKUP(B1467,'Poids des runes'!A:B,2,FALSE)))+1),(((D1467/100)*(C1467*VLOOKUP(B1467,'Poids des runes'!A:B,2,FALSE)))+1)/VLOOKUP(B1467,'Poids des runes'!A:B,2,FALSE))</f>
        <v>2.6</v>
      </c>
      <c r="F1467">
        <f t="shared" si="22"/>
        <v>2.6</v>
      </c>
    </row>
    <row r="1468" spans="1:6" x14ac:dyDescent="0.3">
      <c r="A1468" t="s">
        <v>479</v>
      </c>
      <c r="B1468" t="s">
        <v>2128</v>
      </c>
      <c r="C1468">
        <v>28</v>
      </c>
      <c r="D1468">
        <v>50</v>
      </c>
      <c r="E1468">
        <f>IF(OR(B1468="vi",B1468="ii",B1468="pod"),(((D1468/100)*(C1468*VLOOKUP(B1468,'Poids des runes'!A:B,2,FALSE)))+1),(((D1468/100)*(C1468*VLOOKUP(B1468,'Poids des runes'!A:B,2,FALSE)))+1)/VLOOKUP(B1468,'Poids des runes'!A:B,2,FALSE))</f>
        <v>3.8000000000000003</v>
      </c>
      <c r="F1468">
        <f t="shared" si="22"/>
        <v>3.8000000000000003</v>
      </c>
    </row>
    <row r="1469" spans="1:6" x14ac:dyDescent="0.3">
      <c r="A1469" t="s">
        <v>479</v>
      </c>
      <c r="B1469" t="s">
        <v>2126</v>
      </c>
      <c r="C1469">
        <v>13</v>
      </c>
      <c r="D1469">
        <v>50</v>
      </c>
      <c r="E1469">
        <f>IF(OR(B1469="vi",B1469="ii",B1469="pod"),(((D1469/100)*(C1469*VLOOKUP(B1469,'Poids des runes'!A:B,2,FALSE)))+1),(((D1469/100)*(C1469*VLOOKUP(B1469,'Poids des runes'!A:B,2,FALSE)))+1)/VLOOKUP(B1469,'Poids des runes'!A:B,2,FALSE))</f>
        <v>7.5</v>
      </c>
      <c r="F1469">
        <f t="shared" si="22"/>
        <v>7.5</v>
      </c>
    </row>
    <row r="1470" spans="1:6" x14ac:dyDescent="0.3">
      <c r="A1470" t="s">
        <v>479</v>
      </c>
      <c r="B1470" t="s">
        <v>2139</v>
      </c>
      <c r="C1470">
        <v>13</v>
      </c>
      <c r="D1470">
        <v>50</v>
      </c>
      <c r="E1470">
        <f>IF(OR(B1470="vi",B1470="ii",B1470="pod"),(((D1470/100)*(C1470*VLOOKUP(B1470,'Poids des runes'!A:B,2,FALSE)))+1),(((D1470/100)*(C1470*VLOOKUP(B1470,'Poids des runes'!A:B,2,FALSE)))+1)/VLOOKUP(B1470,'Poids des runes'!A:B,2,FALSE))</f>
        <v>7</v>
      </c>
      <c r="F1470">
        <f t="shared" si="22"/>
        <v>7</v>
      </c>
    </row>
    <row r="1471" spans="1:6" x14ac:dyDescent="0.3">
      <c r="A1471" t="s">
        <v>479</v>
      </c>
      <c r="B1471" t="s">
        <v>2150</v>
      </c>
      <c r="C1471">
        <v>1</v>
      </c>
      <c r="D1471">
        <v>50</v>
      </c>
      <c r="E1471">
        <f>IF(OR(B1471="vi",B1471="ii",B1471="pod"),(((D1471/100)*(C1471*VLOOKUP(B1471,'Poids des runes'!A:B,2,FALSE)))+1),(((D1471/100)*(C1471*VLOOKUP(B1471,'Poids des runes'!A:B,2,FALSE)))+1)/VLOOKUP(B1471,'Poids des runes'!A:B,2,FALSE))</f>
        <v>0.53333333333333333</v>
      </c>
      <c r="F1471">
        <f t="shared" si="22"/>
        <v>0.53333333333333333</v>
      </c>
    </row>
    <row r="1472" spans="1:6" x14ac:dyDescent="0.3">
      <c r="A1472" t="s">
        <v>479</v>
      </c>
      <c r="B1472" t="s">
        <v>2161</v>
      </c>
      <c r="C1472">
        <v>3</v>
      </c>
      <c r="D1472">
        <v>50</v>
      </c>
      <c r="E1472">
        <f>IF(OR(B1472="vi",B1472="ii",B1472="pod"),(((D1472/100)*(C1472*VLOOKUP(B1472,'Poids des runes'!A:B,2,FALSE)))+1),(((D1472/100)*(C1472*VLOOKUP(B1472,'Poids des runes'!A:B,2,FALSE)))+1)/VLOOKUP(B1472,'Poids des runes'!A:B,2,FALSE))</f>
        <v>1.8333333333333333</v>
      </c>
      <c r="F1472">
        <f t="shared" si="22"/>
        <v>1.8333333333333333</v>
      </c>
    </row>
    <row r="1473" spans="1:6" x14ac:dyDescent="0.3">
      <c r="A1473" t="s">
        <v>479</v>
      </c>
      <c r="B1473" t="s">
        <v>2132</v>
      </c>
      <c r="C1473">
        <v>125.5</v>
      </c>
      <c r="D1473">
        <v>50</v>
      </c>
      <c r="E1473">
        <f>IF(OR(B1473="vi",B1473="ii",B1473="pod"),(((D1473/100)*(C1473*VLOOKUP(B1473,'Poids des runes'!A:B,2,FALSE)))+1),(((D1473/100)*(C1473*VLOOKUP(B1473,'Poids des runes'!A:B,2,FALSE)))+1)/VLOOKUP(B1473,'Poids des runes'!A:B,2,FALSE))</f>
        <v>7.2750000000000004</v>
      </c>
      <c r="F1473">
        <f t="shared" si="22"/>
        <v>7.2750000000000004</v>
      </c>
    </row>
    <row r="1474" spans="1:6" x14ac:dyDescent="0.3">
      <c r="A1474" t="s">
        <v>480</v>
      </c>
      <c r="B1474" t="s">
        <v>2128</v>
      </c>
      <c r="C1474">
        <v>28</v>
      </c>
      <c r="D1474">
        <v>50</v>
      </c>
      <c r="E1474">
        <f>IF(OR(B1474="vi",B1474="ii",B1474="pod"),(((D1474/100)*(C1474*VLOOKUP(B1474,'Poids des runes'!A:B,2,FALSE)))+1),(((D1474/100)*(C1474*VLOOKUP(B1474,'Poids des runes'!A:B,2,FALSE)))+1)/VLOOKUP(B1474,'Poids des runes'!A:B,2,FALSE))</f>
        <v>3.8000000000000003</v>
      </c>
      <c r="F1474">
        <f t="shared" si="22"/>
        <v>3.8000000000000003</v>
      </c>
    </row>
    <row r="1475" spans="1:6" x14ac:dyDescent="0.3">
      <c r="A1475" t="s">
        <v>480</v>
      </c>
      <c r="B1475" t="s">
        <v>2130</v>
      </c>
      <c r="C1475">
        <v>13</v>
      </c>
      <c r="D1475">
        <v>50</v>
      </c>
      <c r="E1475">
        <f>IF(OR(B1475="vi",B1475="ii",B1475="pod"),(((D1475/100)*(C1475*VLOOKUP(B1475,'Poids des runes'!A:B,2,FALSE)))+1),(((D1475/100)*(C1475*VLOOKUP(B1475,'Poids des runes'!A:B,2,FALSE)))+1)/VLOOKUP(B1475,'Poids des runes'!A:B,2,FALSE))</f>
        <v>7.5</v>
      </c>
      <c r="F1475">
        <f t="shared" ref="F1475:F1538" si="23">E1475</f>
        <v>7.5</v>
      </c>
    </row>
    <row r="1476" spans="1:6" x14ac:dyDescent="0.3">
      <c r="A1476" t="s">
        <v>480</v>
      </c>
      <c r="B1476" t="s">
        <v>2139</v>
      </c>
      <c r="C1476">
        <v>13</v>
      </c>
      <c r="D1476">
        <v>50</v>
      </c>
      <c r="E1476">
        <f>IF(OR(B1476="vi",B1476="ii",B1476="pod"),(((D1476/100)*(C1476*VLOOKUP(B1476,'Poids des runes'!A:B,2,FALSE)))+1),(((D1476/100)*(C1476*VLOOKUP(B1476,'Poids des runes'!A:B,2,FALSE)))+1)/VLOOKUP(B1476,'Poids des runes'!A:B,2,FALSE))</f>
        <v>7</v>
      </c>
      <c r="F1476">
        <f t="shared" si="23"/>
        <v>7</v>
      </c>
    </row>
    <row r="1477" spans="1:6" x14ac:dyDescent="0.3">
      <c r="A1477" t="s">
        <v>480</v>
      </c>
      <c r="B1477" t="s">
        <v>2150</v>
      </c>
      <c r="C1477">
        <v>1</v>
      </c>
      <c r="D1477">
        <v>50</v>
      </c>
      <c r="E1477">
        <f>IF(OR(B1477="vi",B1477="ii",B1477="pod"),(((D1477/100)*(C1477*VLOOKUP(B1477,'Poids des runes'!A:B,2,FALSE)))+1),(((D1477/100)*(C1477*VLOOKUP(B1477,'Poids des runes'!A:B,2,FALSE)))+1)/VLOOKUP(B1477,'Poids des runes'!A:B,2,FALSE))</f>
        <v>0.53333333333333333</v>
      </c>
      <c r="F1477">
        <f t="shared" si="23"/>
        <v>0.53333333333333333</v>
      </c>
    </row>
    <row r="1478" spans="1:6" x14ac:dyDescent="0.3">
      <c r="A1478" t="s">
        <v>480</v>
      </c>
      <c r="B1478" t="s">
        <v>2161</v>
      </c>
      <c r="C1478">
        <v>3</v>
      </c>
      <c r="D1478">
        <v>50</v>
      </c>
      <c r="E1478">
        <f>IF(OR(B1478="vi",B1478="ii",B1478="pod"),(((D1478/100)*(C1478*VLOOKUP(B1478,'Poids des runes'!A:B,2,FALSE)))+1),(((D1478/100)*(C1478*VLOOKUP(B1478,'Poids des runes'!A:B,2,FALSE)))+1)/VLOOKUP(B1478,'Poids des runes'!A:B,2,FALSE))</f>
        <v>1.8333333333333333</v>
      </c>
      <c r="F1478">
        <f t="shared" si="23"/>
        <v>1.8333333333333333</v>
      </c>
    </row>
    <row r="1479" spans="1:6" x14ac:dyDescent="0.3">
      <c r="A1479" t="s">
        <v>480</v>
      </c>
      <c r="B1479" t="s">
        <v>2132</v>
      </c>
      <c r="C1479">
        <v>125.5</v>
      </c>
      <c r="D1479">
        <v>50</v>
      </c>
      <c r="E1479">
        <f>IF(OR(B1479="vi",B1479="ii",B1479="pod"),(((D1479/100)*(C1479*VLOOKUP(B1479,'Poids des runes'!A:B,2,FALSE)))+1),(((D1479/100)*(C1479*VLOOKUP(B1479,'Poids des runes'!A:B,2,FALSE)))+1)/VLOOKUP(B1479,'Poids des runes'!A:B,2,FALSE))</f>
        <v>7.2750000000000004</v>
      </c>
      <c r="F1479">
        <f t="shared" si="23"/>
        <v>7.2750000000000004</v>
      </c>
    </row>
    <row r="1480" spans="1:6" x14ac:dyDescent="0.3">
      <c r="A1480" t="s">
        <v>481</v>
      </c>
      <c r="B1480" t="s">
        <v>2128</v>
      </c>
      <c r="C1480">
        <v>28</v>
      </c>
      <c r="D1480">
        <v>50</v>
      </c>
      <c r="E1480">
        <f>IF(OR(B1480="vi",B1480="ii",B1480="pod"),(((D1480/100)*(C1480*VLOOKUP(B1480,'Poids des runes'!A:B,2,FALSE)))+1),(((D1480/100)*(C1480*VLOOKUP(B1480,'Poids des runes'!A:B,2,FALSE)))+1)/VLOOKUP(B1480,'Poids des runes'!A:B,2,FALSE))</f>
        <v>3.8000000000000003</v>
      </c>
      <c r="F1480">
        <f t="shared" si="23"/>
        <v>3.8000000000000003</v>
      </c>
    </row>
    <row r="1481" spans="1:6" x14ac:dyDescent="0.3">
      <c r="A1481" t="s">
        <v>481</v>
      </c>
      <c r="B1481" t="s">
        <v>2127</v>
      </c>
      <c r="C1481">
        <v>13</v>
      </c>
      <c r="D1481">
        <v>50</v>
      </c>
      <c r="E1481">
        <f>IF(OR(B1481="vi",B1481="ii",B1481="pod"),(((D1481/100)*(C1481*VLOOKUP(B1481,'Poids des runes'!A:B,2,FALSE)))+1),(((D1481/100)*(C1481*VLOOKUP(B1481,'Poids des runes'!A:B,2,FALSE)))+1)/VLOOKUP(B1481,'Poids des runes'!A:B,2,FALSE))</f>
        <v>7.5</v>
      </c>
      <c r="F1481">
        <f t="shared" si="23"/>
        <v>7.5</v>
      </c>
    </row>
    <row r="1482" spans="1:6" x14ac:dyDescent="0.3">
      <c r="A1482" t="s">
        <v>481</v>
      </c>
      <c r="B1482" t="s">
        <v>2139</v>
      </c>
      <c r="C1482">
        <v>13</v>
      </c>
      <c r="D1482">
        <v>50</v>
      </c>
      <c r="E1482">
        <f>IF(OR(B1482="vi",B1482="ii",B1482="pod"),(((D1482/100)*(C1482*VLOOKUP(B1482,'Poids des runes'!A:B,2,FALSE)))+1),(((D1482/100)*(C1482*VLOOKUP(B1482,'Poids des runes'!A:B,2,FALSE)))+1)/VLOOKUP(B1482,'Poids des runes'!A:B,2,FALSE))</f>
        <v>7</v>
      </c>
      <c r="F1482">
        <f t="shared" si="23"/>
        <v>7</v>
      </c>
    </row>
    <row r="1483" spans="1:6" x14ac:dyDescent="0.3">
      <c r="A1483" t="s">
        <v>481</v>
      </c>
      <c r="B1483" t="s">
        <v>2150</v>
      </c>
      <c r="C1483">
        <v>1</v>
      </c>
      <c r="D1483">
        <v>50</v>
      </c>
      <c r="E1483">
        <f>IF(OR(B1483="vi",B1483="ii",B1483="pod"),(((D1483/100)*(C1483*VLOOKUP(B1483,'Poids des runes'!A:B,2,FALSE)))+1),(((D1483/100)*(C1483*VLOOKUP(B1483,'Poids des runes'!A:B,2,FALSE)))+1)/VLOOKUP(B1483,'Poids des runes'!A:B,2,FALSE))</f>
        <v>0.53333333333333333</v>
      </c>
      <c r="F1483">
        <f t="shared" si="23"/>
        <v>0.53333333333333333</v>
      </c>
    </row>
    <row r="1484" spans="1:6" x14ac:dyDescent="0.3">
      <c r="A1484" t="s">
        <v>481</v>
      </c>
      <c r="B1484" t="s">
        <v>2161</v>
      </c>
      <c r="C1484">
        <v>3</v>
      </c>
      <c r="D1484">
        <v>50</v>
      </c>
      <c r="E1484">
        <f>IF(OR(B1484="vi",B1484="ii",B1484="pod"),(((D1484/100)*(C1484*VLOOKUP(B1484,'Poids des runes'!A:B,2,FALSE)))+1),(((D1484/100)*(C1484*VLOOKUP(B1484,'Poids des runes'!A:B,2,FALSE)))+1)/VLOOKUP(B1484,'Poids des runes'!A:B,2,FALSE))</f>
        <v>1.8333333333333333</v>
      </c>
      <c r="F1484">
        <f t="shared" si="23"/>
        <v>1.8333333333333333</v>
      </c>
    </row>
    <row r="1485" spans="1:6" x14ac:dyDescent="0.3">
      <c r="A1485" t="s">
        <v>481</v>
      </c>
      <c r="B1485" t="s">
        <v>2132</v>
      </c>
      <c r="C1485">
        <v>125.5</v>
      </c>
      <c r="D1485">
        <v>50</v>
      </c>
      <c r="E1485">
        <f>IF(OR(B1485="vi",B1485="ii",B1485="pod"),(((D1485/100)*(C1485*VLOOKUP(B1485,'Poids des runes'!A:B,2,FALSE)))+1),(((D1485/100)*(C1485*VLOOKUP(B1485,'Poids des runes'!A:B,2,FALSE)))+1)/VLOOKUP(B1485,'Poids des runes'!A:B,2,FALSE))</f>
        <v>7.2750000000000004</v>
      </c>
      <c r="F1485">
        <f t="shared" si="23"/>
        <v>7.2750000000000004</v>
      </c>
    </row>
    <row r="1486" spans="1:6" x14ac:dyDescent="0.3">
      <c r="A1486" t="s">
        <v>482</v>
      </c>
      <c r="B1486" t="s">
        <v>2128</v>
      </c>
      <c r="C1486">
        <v>28</v>
      </c>
      <c r="D1486">
        <v>50</v>
      </c>
      <c r="E1486">
        <f>IF(OR(B1486="vi",B1486="ii",B1486="pod"),(((D1486/100)*(C1486*VLOOKUP(B1486,'Poids des runes'!A:B,2,FALSE)))+1),(((D1486/100)*(C1486*VLOOKUP(B1486,'Poids des runes'!A:B,2,FALSE)))+1)/VLOOKUP(B1486,'Poids des runes'!A:B,2,FALSE))</f>
        <v>3.8000000000000003</v>
      </c>
      <c r="F1486">
        <f t="shared" si="23"/>
        <v>3.8000000000000003</v>
      </c>
    </row>
    <row r="1487" spans="1:6" x14ac:dyDescent="0.3">
      <c r="A1487" t="s">
        <v>482</v>
      </c>
      <c r="B1487" t="s">
        <v>2131</v>
      </c>
      <c r="C1487">
        <v>13</v>
      </c>
      <c r="D1487">
        <v>50</v>
      </c>
      <c r="E1487">
        <f>IF(OR(B1487="vi",B1487="ii",B1487="pod"),(((D1487/100)*(C1487*VLOOKUP(B1487,'Poids des runes'!A:B,2,FALSE)))+1),(((D1487/100)*(C1487*VLOOKUP(B1487,'Poids des runes'!A:B,2,FALSE)))+1)/VLOOKUP(B1487,'Poids des runes'!A:B,2,FALSE))</f>
        <v>7.5</v>
      </c>
      <c r="F1487">
        <f t="shared" si="23"/>
        <v>7.5</v>
      </c>
    </row>
    <row r="1488" spans="1:6" x14ac:dyDescent="0.3">
      <c r="A1488" t="s">
        <v>482</v>
      </c>
      <c r="B1488" t="s">
        <v>2139</v>
      </c>
      <c r="C1488">
        <v>13</v>
      </c>
      <c r="D1488">
        <v>50</v>
      </c>
      <c r="E1488">
        <f>IF(OR(B1488="vi",B1488="ii",B1488="pod"),(((D1488/100)*(C1488*VLOOKUP(B1488,'Poids des runes'!A:B,2,FALSE)))+1),(((D1488/100)*(C1488*VLOOKUP(B1488,'Poids des runes'!A:B,2,FALSE)))+1)/VLOOKUP(B1488,'Poids des runes'!A:B,2,FALSE))</f>
        <v>7</v>
      </c>
      <c r="F1488">
        <f t="shared" si="23"/>
        <v>7</v>
      </c>
    </row>
    <row r="1489" spans="1:6" x14ac:dyDescent="0.3">
      <c r="A1489" t="s">
        <v>482</v>
      </c>
      <c r="B1489" t="s">
        <v>2150</v>
      </c>
      <c r="C1489">
        <v>1</v>
      </c>
      <c r="D1489">
        <v>50</v>
      </c>
      <c r="E1489">
        <f>IF(OR(B1489="vi",B1489="ii",B1489="pod"),(((D1489/100)*(C1489*VLOOKUP(B1489,'Poids des runes'!A:B,2,FALSE)))+1),(((D1489/100)*(C1489*VLOOKUP(B1489,'Poids des runes'!A:B,2,FALSE)))+1)/VLOOKUP(B1489,'Poids des runes'!A:B,2,FALSE))</f>
        <v>0.53333333333333333</v>
      </c>
      <c r="F1489">
        <f t="shared" si="23"/>
        <v>0.53333333333333333</v>
      </c>
    </row>
    <row r="1490" spans="1:6" x14ac:dyDescent="0.3">
      <c r="A1490" t="s">
        <v>482</v>
      </c>
      <c r="B1490" t="s">
        <v>2161</v>
      </c>
      <c r="C1490">
        <v>3</v>
      </c>
      <c r="D1490">
        <v>50</v>
      </c>
      <c r="E1490">
        <f>IF(OR(B1490="vi",B1490="ii",B1490="pod"),(((D1490/100)*(C1490*VLOOKUP(B1490,'Poids des runes'!A:B,2,FALSE)))+1),(((D1490/100)*(C1490*VLOOKUP(B1490,'Poids des runes'!A:B,2,FALSE)))+1)/VLOOKUP(B1490,'Poids des runes'!A:B,2,FALSE))</f>
        <v>1.8333333333333333</v>
      </c>
      <c r="F1490">
        <f t="shared" si="23"/>
        <v>1.8333333333333333</v>
      </c>
    </row>
    <row r="1491" spans="1:6" x14ac:dyDescent="0.3">
      <c r="A1491" t="s">
        <v>482</v>
      </c>
      <c r="B1491" t="s">
        <v>2132</v>
      </c>
      <c r="C1491">
        <v>125.5</v>
      </c>
      <c r="D1491">
        <v>50</v>
      </c>
      <c r="E1491">
        <f>IF(OR(B1491="vi",B1491="ii",B1491="pod"),(((D1491/100)*(C1491*VLOOKUP(B1491,'Poids des runes'!A:B,2,FALSE)))+1),(((D1491/100)*(C1491*VLOOKUP(B1491,'Poids des runes'!A:B,2,FALSE)))+1)/VLOOKUP(B1491,'Poids des runes'!A:B,2,FALSE))</f>
        <v>7.2750000000000004</v>
      </c>
      <c r="F1491">
        <f t="shared" si="23"/>
        <v>7.2750000000000004</v>
      </c>
    </row>
    <row r="1492" spans="1:6" x14ac:dyDescent="0.3">
      <c r="A1492" t="s">
        <v>483</v>
      </c>
      <c r="B1492" t="s">
        <v>2130</v>
      </c>
      <c r="C1492">
        <v>13</v>
      </c>
      <c r="D1492">
        <v>50</v>
      </c>
      <c r="E1492">
        <f>IF(OR(B1492="vi",B1492="ii",B1492="pod"),(((D1492/100)*(C1492*VLOOKUP(B1492,'Poids des runes'!A:B,2,FALSE)))+1),(((D1492/100)*(C1492*VLOOKUP(B1492,'Poids des runes'!A:B,2,FALSE)))+1)/VLOOKUP(B1492,'Poids des runes'!A:B,2,FALSE))</f>
        <v>7.5</v>
      </c>
      <c r="F1492">
        <f t="shared" si="23"/>
        <v>7.5</v>
      </c>
    </row>
    <row r="1493" spans="1:6" x14ac:dyDescent="0.3">
      <c r="A1493" t="s">
        <v>483</v>
      </c>
      <c r="B1493" t="s">
        <v>2126</v>
      </c>
      <c r="C1493">
        <v>13</v>
      </c>
      <c r="D1493">
        <v>50</v>
      </c>
      <c r="E1493">
        <f>IF(OR(B1493="vi",B1493="ii",B1493="pod"),(((D1493/100)*(C1493*VLOOKUP(B1493,'Poids des runes'!A:B,2,FALSE)))+1),(((D1493/100)*(C1493*VLOOKUP(B1493,'Poids des runes'!A:B,2,FALSE)))+1)/VLOOKUP(B1493,'Poids des runes'!A:B,2,FALSE))</f>
        <v>7.5</v>
      </c>
      <c r="F1493">
        <f t="shared" si="23"/>
        <v>7.5</v>
      </c>
    </row>
    <row r="1494" spans="1:6" x14ac:dyDescent="0.3">
      <c r="A1494" t="s">
        <v>483</v>
      </c>
      <c r="B1494" t="s">
        <v>2131</v>
      </c>
      <c r="C1494">
        <v>13</v>
      </c>
      <c r="D1494">
        <v>50</v>
      </c>
      <c r="E1494">
        <f>IF(OR(B1494="vi",B1494="ii",B1494="pod"),(((D1494/100)*(C1494*VLOOKUP(B1494,'Poids des runes'!A:B,2,FALSE)))+1),(((D1494/100)*(C1494*VLOOKUP(B1494,'Poids des runes'!A:B,2,FALSE)))+1)/VLOOKUP(B1494,'Poids des runes'!A:B,2,FALSE))</f>
        <v>7.5</v>
      </c>
      <c r="F1494">
        <f t="shared" si="23"/>
        <v>7.5</v>
      </c>
    </row>
    <row r="1495" spans="1:6" x14ac:dyDescent="0.3">
      <c r="A1495" t="s">
        <v>483</v>
      </c>
      <c r="B1495" t="s">
        <v>2127</v>
      </c>
      <c r="C1495">
        <v>13</v>
      </c>
      <c r="D1495">
        <v>50</v>
      </c>
      <c r="E1495">
        <f>IF(OR(B1495="vi",B1495="ii",B1495="pod"),(((D1495/100)*(C1495*VLOOKUP(B1495,'Poids des runes'!A:B,2,FALSE)))+1),(((D1495/100)*(C1495*VLOOKUP(B1495,'Poids des runes'!A:B,2,FALSE)))+1)/VLOOKUP(B1495,'Poids des runes'!A:B,2,FALSE))</f>
        <v>7.5</v>
      </c>
      <c r="F1495">
        <f t="shared" si="23"/>
        <v>7.5</v>
      </c>
    </row>
    <row r="1496" spans="1:6" x14ac:dyDescent="0.3">
      <c r="A1496" t="s">
        <v>483</v>
      </c>
      <c r="B1496" t="s">
        <v>2129</v>
      </c>
      <c r="C1496">
        <v>8.5</v>
      </c>
      <c r="D1496">
        <v>50</v>
      </c>
      <c r="E1496">
        <f>IF(OR(B1496="vi",B1496="ii",B1496="pod"),(((D1496/100)*(C1496*VLOOKUP(B1496,'Poids des runes'!A:B,2,FALSE)))+1),(((D1496/100)*(C1496*VLOOKUP(B1496,'Poids des runes'!A:B,2,FALSE)))+1)/VLOOKUP(B1496,'Poids des runes'!A:B,2,FALSE))</f>
        <v>5.25</v>
      </c>
      <c r="F1496">
        <f t="shared" si="23"/>
        <v>5.25</v>
      </c>
    </row>
    <row r="1497" spans="1:6" x14ac:dyDescent="0.3">
      <c r="A1497" t="s">
        <v>484</v>
      </c>
      <c r="B1497" t="s">
        <v>2126</v>
      </c>
      <c r="C1497">
        <v>20.5</v>
      </c>
      <c r="D1497">
        <v>50</v>
      </c>
      <c r="E1497">
        <f>IF(OR(B1497="vi",B1497="ii",B1497="pod"),(((D1497/100)*(C1497*VLOOKUP(B1497,'Poids des runes'!A:B,2,FALSE)))+1),(((D1497/100)*(C1497*VLOOKUP(B1497,'Poids des runes'!A:B,2,FALSE)))+1)/VLOOKUP(B1497,'Poids des runes'!A:B,2,FALSE))</f>
        <v>11.25</v>
      </c>
      <c r="F1497">
        <f t="shared" si="23"/>
        <v>11.25</v>
      </c>
    </row>
    <row r="1498" spans="1:6" x14ac:dyDescent="0.3">
      <c r="A1498" t="s">
        <v>484</v>
      </c>
      <c r="B1498" t="s">
        <v>2155</v>
      </c>
      <c r="C1498">
        <v>1</v>
      </c>
      <c r="D1498">
        <v>50</v>
      </c>
      <c r="E1498">
        <f>IF(OR(B1498="vi",B1498="ii",B1498="pod"),(((D1498/100)*(C1498*VLOOKUP(B1498,'Poids des runes'!A:B,2,FALSE)))+1),(((D1498/100)*(C1498*VLOOKUP(B1498,'Poids des runes'!A:B,2,FALSE)))+1)/VLOOKUP(B1498,'Poids des runes'!A:B,2,FALSE))</f>
        <v>0.51960784313725494</v>
      </c>
      <c r="F1498">
        <f t="shared" si="23"/>
        <v>0.51960784313725494</v>
      </c>
    </row>
    <row r="1499" spans="1:6" x14ac:dyDescent="0.3">
      <c r="A1499" t="s">
        <v>484</v>
      </c>
      <c r="B1499" t="s">
        <v>2150</v>
      </c>
      <c r="C1499">
        <v>1</v>
      </c>
      <c r="D1499">
        <v>50</v>
      </c>
      <c r="E1499">
        <f>IF(OR(B1499="vi",B1499="ii",B1499="pod"),(((D1499/100)*(C1499*VLOOKUP(B1499,'Poids des runes'!A:B,2,FALSE)))+1),(((D1499/100)*(C1499*VLOOKUP(B1499,'Poids des runes'!A:B,2,FALSE)))+1)/VLOOKUP(B1499,'Poids des runes'!A:B,2,FALSE))</f>
        <v>0.53333333333333333</v>
      </c>
      <c r="F1499">
        <f t="shared" si="23"/>
        <v>0.53333333333333333</v>
      </c>
    </row>
    <row r="1500" spans="1:6" x14ac:dyDescent="0.3">
      <c r="A1500" t="s">
        <v>484</v>
      </c>
      <c r="B1500" t="s">
        <v>2134</v>
      </c>
      <c r="C1500">
        <v>2</v>
      </c>
      <c r="D1500">
        <v>50</v>
      </c>
      <c r="E1500">
        <f>IF(OR(B1500="vi",B1500="ii",B1500="pod"),(((D1500/100)*(C1500*VLOOKUP(B1500,'Poids des runes'!A:B,2,FALSE)))+1),(((D1500/100)*(C1500*VLOOKUP(B1500,'Poids des runes'!A:B,2,FALSE)))+1)/VLOOKUP(B1500,'Poids des runes'!A:B,2,FALSE))</f>
        <v>1.05</v>
      </c>
      <c r="F1500">
        <f t="shared" si="23"/>
        <v>1.05</v>
      </c>
    </row>
    <row r="1501" spans="1:6" x14ac:dyDescent="0.3">
      <c r="A1501" t="s">
        <v>485</v>
      </c>
      <c r="B1501" t="s">
        <v>2130</v>
      </c>
      <c r="C1501">
        <v>20.5</v>
      </c>
      <c r="D1501">
        <v>50</v>
      </c>
      <c r="E1501">
        <f>IF(OR(B1501="vi",B1501="ii",B1501="pod"),(((D1501/100)*(C1501*VLOOKUP(B1501,'Poids des runes'!A:B,2,FALSE)))+1),(((D1501/100)*(C1501*VLOOKUP(B1501,'Poids des runes'!A:B,2,FALSE)))+1)/VLOOKUP(B1501,'Poids des runes'!A:B,2,FALSE))</f>
        <v>11.25</v>
      </c>
      <c r="F1501">
        <f t="shared" si="23"/>
        <v>11.25</v>
      </c>
    </row>
    <row r="1502" spans="1:6" x14ac:dyDescent="0.3">
      <c r="A1502" t="s">
        <v>485</v>
      </c>
      <c r="B1502" t="s">
        <v>2155</v>
      </c>
      <c r="C1502">
        <v>1</v>
      </c>
      <c r="D1502">
        <v>50</v>
      </c>
      <c r="E1502">
        <f>IF(OR(B1502="vi",B1502="ii",B1502="pod"),(((D1502/100)*(C1502*VLOOKUP(B1502,'Poids des runes'!A:B,2,FALSE)))+1),(((D1502/100)*(C1502*VLOOKUP(B1502,'Poids des runes'!A:B,2,FALSE)))+1)/VLOOKUP(B1502,'Poids des runes'!A:B,2,FALSE))</f>
        <v>0.51960784313725494</v>
      </c>
      <c r="F1502">
        <f t="shared" si="23"/>
        <v>0.51960784313725494</v>
      </c>
    </row>
    <row r="1503" spans="1:6" x14ac:dyDescent="0.3">
      <c r="A1503" t="s">
        <v>485</v>
      </c>
      <c r="B1503" t="s">
        <v>2150</v>
      </c>
      <c r="C1503">
        <v>1</v>
      </c>
      <c r="D1503">
        <v>50</v>
      </c>
      <c r="E1503">
        <f>IF(OR(B1503="vi",B1503="ii",B1503="pod"),(((D1503/100)*(C1503*VLOOKUP(B1503,'Poids des runes'!A:B,2,FALSE)))+1),(((D1503/100)*(C1503*VLOOKUP(B1503,'Poids des runes'!A:B,2,FALSE)))+1)/VLOOKUP(B1503,'Poids des runes'!A:B,2,FALSE))</f>
        <v>0.53333333333333333</v>
      </c>
      <c r="F1503">
        <f t="shared" si="23"/>
        <v>0.53333333333333333</v>
      </c>
    </row>
    <row r="1504" spans="1:6" x14ac:dyDescent="0.3">
      <c r="A1504" t="s">
        <v>485</v>
      </c>
      <c r="B1504" t="s">
        <v>2134</v>
      </c>
      <c r="C1504">
        <v>2</v>
      </c>
      <c r="D1504">
        <v>50</v>
      </c>
      <c r="E1504">
        <f>IF(OR(B1504="vi",B1504="ii",B1504="pod"),(((D1504/100)*(C1504*VLOOKUP(B1504,'Poids des runes'!A:B,2,FALSE)))+1),(((D1504/100)*(C1504*VLOOKUP(B1504,'Poids des runes'!A:B,2,FALSE)))+1)/VLOOKUP(B1504,'Poids des runes'!A:B,2,FALSE))</f>
        <v>1.05</v>
      </c>
      <c r="F1504">
        <f t="shared" si="23"/>
        <v>1.05</v>
      </c>
    </row>
    <row r="1505" spans="1:6" x14ac:dyDescent="0.3">
      <c r="A1505" t="s">
        <v>486</v>
      </c>
      <c r="B1505" t="s">
        <v>2127</v>
      </c>
      <c r="C1505">
        <v>20.5</v>
      </c>
      <c r="D1505">
        <v>50</v>
      </c>
      <c r="E1505">
        <f>IF(OR(B1505="vi",B1505="ii",B1505="pod"),(((D1505/100)*(C1505*VLOOKUP(B1505,'Poids des runes'!A:B,2,FALSE)))+1),(((D1505/100)*(C1505*VLOOKUP(B1505,'Poids des runes'!A:B,2,FALSE)))+1)/VLOOKUP(B1505,'Poids des runes'!A:B,2,FALSE))</f>
        <v>11.25</v>
      </c>
      <c r="F1505">
        <f t="shared" si="23"/>
        <v>11.25</v>
      </c>
    </row>
    <row r="1506" spans="1:6" x14ac:dyDescent="0.3">
      <c r="A1506" t="s">
        <v>486</v>
      </c>
      <c r="B1506" t="s">
        <v>2155</v>
      </c>
      <c r="C1506">
        <v>1</v>
      </c>
      <c r="D1506">
        <v>50</v>
      </c>
      <c r="E1506">
        <f>IF(OR(B1506="vi",B1506="ii",B1506="pod"),(((D1506/100)*(C1506*VLOOKUP(B1506,'Poids des runes'!A:B,2,FALSE)))+1),(((D1506/100)*(C1506*VLOOKUP(B1506,'Poids des runes'!A:B,2,FALSE)))+1)/VLOOKUP(B1506,'Poids des runes'!A:B,2,FALSE))</f>
        <v>0.51960784313725494</v>
      </c>
      <c r="F1506">
        <f t="shared" si="23"/>
        <v>0.51960784313725494</v>
      </c>
    </row>
    <row r="1507" spans="1:6" x14ac:dyDescent="0.3">
      <c r="A1507" t="s">
        <v>486</v>
      </c>
      <c r="B1507" t="s">
        <v>2150</v>
      </c>
      <c r="C1507">
        <v>1</v>
      </c>
      <c r="D1507">
        <v>50</v>
      </c>
      <c r="E1507">
        <f>IF(OR(B1507="vi",B1507="ii",B1507="pod"),(((D1507/100)*(C1507*VLOOKUP(B1507,'Poids des runes'!A:B,2,FALSE)))+1),(((D1507/100)*(C1507*VLOOKUP(B1507,'Poids des runes'!A:B,2,FALSE)))+1)/VLOOKUP(B1507,'Poids des runes'!A:B,2,FALSE))</f>
        <v>0.53333333333333333</v>
      </c>
      <c r="F1507">
        <f t="shared" si="23"/>
        <v>0.53333333333333333</v>
      </c>
    </row>
    <row r="1508" spans="1:6" x14ac:dyDescent="0.3">
      <c r="A1508" t="s">
        <v>486</v>
      </c>
      <c r="B1508" t="s">
        <v>2134</v>
      </c>
      <c r="C1508">
        <v>2</v>
      </c>
      <c r="D1508">
        <v>50</v>
      </c>
      <c r="E1508">
        <f>IF(OR(B1508="vi",B1508="ii",B1508="pod"),(((D1508/100)*(C1508*VLOOKUP(B1508,'Poids des runes'!A:B,2,FALSE)))+1),(((D1508/100)*(C1508*VLOOKUP(B1508,'Poids des runes'!A:B,2,FALSE)))+1)/VLOOKUP(B1508,'Poids des runes'!A:B,2,FALSE))</f>
        <v>1.05</v>
      </c>
      <c r="F1508">
        <f t="shared" si="23"/>
        <v>1.05</v>
      </c>
    </row>
    <row r="1509" spans="1:6" x14ac:dyDescent="0.3">
      <c r="A1509" t="s">
        <v>487</v>
      </c>
      <c r="B1509" t="s">
        <v>2131</v>
      </c>
      <c r="C1509">
        <v>20.5</v>
      </c>
      <c r="D1509">
        <v>50</v>
      </c>
      <c r="E1509">
        <f>IF(OR(B1509="vi",B1509="ii",B1509="pod"),(((D1509/100)*(C1509*VLOOKUP(B1509,'Poids des runes'!A:B,2,FALSE)))+1),(((D1509/100)*(C1509*VLOOKUP(B1509,'Poids des runes'!A:B,2,FALSE)))+1)/VLOOKUP(B1509,'Poids des runes'!A:B,2,FALSE))</f>
        <v>11.25</v>
      </c>
      <c r="F1509">
        <f t="shared" si="23"/>
        <v>11.25</v>
      </c>
    </row>
    <row r="1510" spans="1:6" x14ac:dyDescent="0.3">
      <c r="A1510" t="s">
        <v>487</v>
      </c>
      <c r="B1510" t="s">
        <v>2155</v>
      </c>
      <c r="C1510">
        <v>1</v>
      </c>
      <c r="D1510">
        <v>50</v>
      </c>
      <c r="E1510">
        <f>IF(OR(B1510="vi",B1510="ii",B1510="pod"),(((D1510/100)*(C1510*VLOOKUP(B1510,'Poids des runes'!A:B,2,FALSE)))+1),(((D1510/100)*(C1510*VLOOKUP(B1510,'Poids des runes'!A:B,2,FALSE)))+1)/VLOOKUP(B1510,'Poids des runes'!A:B,2,FALSE))</f>
        <v>0.51960784313725494</v>
      </c>
      <c r="F1510">
        <f t="shared" si="23"/>
        <v>0.51960784313725494</v>
      </c>
    </row>
    <row r="1511" spans="1:6" x14ac:dyDescent="0.3">
      <c r="A1511" t="s">
        <v>487</v>
      </c>
      <c r="B1511" t="s">
        <v>2150</v>
      </c>
      <c r="C1511">
        <v>1</v>
      </c>
      <c r="D1511">
        <v>50</v>
      </c>
      <c r="E1511">
        <f>IF(OR(B1511="vi",B1511="ii",B1511="pod"),(((D1511/100)*(C1511*VLOOKUP(B1511,'Poids des runes'!A:B,2,FALSE)))+1),(((D1511/100)*(C1511*VLOOKUP(B1511,'Poids des runes'!A:B,2,FALSE)))+1)/VLOOKUP(B1511,'Poids des runes'!A:B,2,FALSE))</f>
        <v>0.53333333333333333</v>
      </c>
      <c r="F1511">
        <f t="shared" si="23"/>
        <v>0.53333333333333333</v>
      </c>
    </row>
    <row r="1512" spans="1:6" x14ac:dyDescent="0.3">
      <c r="A1512" t="s">
        <v>487</v>
      </c>
      <c r="B1512" t="s">
        <v>2134</v>
      </c>
      <c r="C1512">
        <v>2</v>
      </c>
      <c r="D1512">
        <v>50</v>
      </c>
      <c r="E1512">
        <f>IF(OR(B1512="vi",B1512="ii",B1512="pod"),(((D1512/100)*(C1512*VLOOKUP(B1512,'Poids des runes'!A:B,2,FALSE)))+1),(((D1512/100)*(C1512*VLOOKUP(B1512,'Poids des runes'!A:B,2,FALSE)))+1)/VLOOKUP(B1512,'Poids des runes'!A:B,2,FALSE))</f>
        <v>1.05</v>
      </c>
      <c r="F1512">
        <f t="shared" si="23"/>
        <v>1.05</v>
      </c>
    </row>
    <row r="1513" spans="1:6" x14ac:dyDescent="0.3">
      <c r="A1513" t="s">
        <v>488</v>
      </c>
      <c r="B1513" t="s">
        <v>2128</v>
      </c>
      <c r="C1513">
        <v>45.5</v>
      </c>
      <c r="D1513">
        <v>50</v>
      </c>
      <c r="E1513">
        <f>IF(OR(B1513="vi",B1513="ii",B1513="pod"),(((D1513/100)*(C1513*VLOOKUP(B1513,'Poids des runes'!A:B,2,FALSE)))+1),(((D1513/100)*(C1513*VLOOKUP(B1513,'Poids des runes'!A:B,2,FALSE)))+1)/VLOOKUP(B1513,'Poids des runes'!A:B,2,FALSE))</f>
        <v>5.55</v>
      </c>
      <c r="F1513">
        <f t="shared" si="23"/>
        <v>5.55</v>
      </c>
    </row>
    <row r="1514" spans="1:6" x14ac:dyDescent="0.3">
      <c r="A1514" t="s">
        <v>488</v>
      </c>
      <c r="B1514" t="s">
        <v>2126</v>
      </c>
      <c r="C1514">
        <v>30.5</v>
      </c>
      <c r="D1514">
        <v>50</v>
      </c>
      <c r="E1514">
        <f>IF(OR(B1514="vi",B1514="ii",B1514="pod"),(((D1514/100)*(C1514*VLOOKUP(B1514,'Poids des runes'!A:B,2,FALSE)))+1),(((D1514/100)*(C1514*VLOOKUP(B1514,'Poids des runes'!A:B,2,FALSE)))+1)/VLOOKUP(B1514,'Poids des runes'!A:B,2,FALSE))</f>
        <v>16.25</v>
      </c>
      <c r="F1514">
        <f t="shared" si="23"/>
        <v>16.25</v>
      </c>
    </row>
    <row r="1515" spans="1:6" x14ac:dyDescent="0.3">
      <c r="A1515" t="s">
        <v>488</v>
      </c>
      <c r="B1515" t="s">
        <v>2129</v>
      </c>
      <c r="C1515">
        <v>13</v>
      </c>
      <c r="D1515">
        <v>50</v>
      </c>
      <c r="E1515">
        <f>IF(OR(B1515="vi",B1515="ii",B1515="pod"),(((D1515/100)*(C1515*VLOOKUP(B1515,'Poids des runes'!A:B,2,FALSE)))+1),(((D1515/100)*(C1515*VLOOKUP(B1515,'Poids des runes'!A:B,2,FALSE)))+1)/VLOOKUP(B1515,'Poids des runes'!A:B,2,FALSE))</f>
        <v>7.5</v>
      </c>
      <c r="F1515">
        <f t="shared" si="23"/>
        <v>7.5</v>
      </c>
    </row>
    <row r="1516" spans="1:6" x14ac:dyDescent="0.3">
      <c r="A1516" t="s">
        <v>488</v>
      </c>
      <c r="B1516" t="s">
        <v>2140</v>
      </c>
      <c r="C1516">
        <v>2.5</v>
      </c>
      <c r="D1516">
        <v>50</v>
      </c>
      <c r="E1516">
        <f>IF(OR(B1516="vi",B1516="ii",B1516="pod"),(((D1516/100)*(C1516*VLOOKUP(B1516,'Poids des runes'!A:B,2,FALSE)))+1),(((D1516/100)*(C1516*VLOOKUP(B1516,'Poids des runes'!A:B,2,FALSE)))+1)/VLOOKUP(B1516,'Poids des runes'!A:B,2,FALSE))</f>
        <v>1.45</v>
      </c>
      <c r="F1516">
        <f t="shared" si="23"/>
        <v>1.45</v>
      </c>
    </row>
    <row r="1517" spans="1:6" x14ac:dyDescent="0.3">
      <c r="A1517" t="s">
        <v>489</v>
      </c>
      <c r="B1517" t="s">
        <v>2128</v>
      </c>
      <c r="C1517">
        <v>45.5</v>
      </c>
      <c r="D1517">
        <v>50</v>
      </c>
      <c r="E1517">
        <f>IF(OR(B1517="vi",B1517="ii",B1517="pod"),(((D1517/100)*(C1517*VLOOKUP(B1517,'Poids des runes'!A:B,2,FALSE)))+1),(((D1517/100)*(C1517*VLOOKUP(B1517,'Poids des runes'!A:B,2,FALSE)))+1)/VLOOKUP(B1517,'Poids des runes'!A:B,2,FALSE))</f>
        <v>5.55</v>
      </c>
      <c r="F1517">
        <f t="shared" si="23"/>
        <v>5.55</v>
      </c>
    </row>
    <row r="1518" spans="1:6" x14ac:dyDescent="0.3">
      <c r="A1518" t="s">
        <v>489</v>
      </c>
      <c r="B1518" t="s">
        <v>2130</v>
      </c>
      <c r="C1518">
        <v>30.5</v>
      </c>
      <c r="D1518">
        <v>50</v>
      </c>
      <c r="E1518">
        <f>IF(OR(B1518="vi",B1518="ii",B1518="pod"),(((D1518/100)*(C1518*VLOOKUP(B1518,'Poids des runes'!A:B,2,FALSE)))+1),(((D1518/100)*(C1518*VLOOKUP(B1518,'Poids des runes'!A:B,2,FALSE)))+1)/VLOOKUP(B1518,'Poids des runes'!A:B,2,FALSE))</f>
        <v>16.25</v>
      </c>
      <c r="F1518">
        <f t="shared" si="23"/>
        <v>16.25</v>
      </c>
    </row>
    <row r="1519" spans="1:6" x14ac:dyDescent="0.3">
      <c r="A1519" t="s">
        <v>489</v>
      </c>
      <c r="B1519" t="s">
        <v>2129</v>
      </c>
      <c r="C1519">
        <v>13</v>
      </c>
      <c r="D1519">
        <v>50</v>
      </c>
      <c r="E1519">
        <f>IF(OR(B1519="vi",B1519="ii",B1519="pod"),(((D1519/100)*(C1519*VLOOKUP(B1519,'Poids des runes'!A:B,2,FALSE)))+1),(((D1519/100)*(C1519*VLOOKUP(B1519,'Poids des runes'!A:B,2,FALSE)))+1)/VLOOKUP(B1519,'Poids des runes'!A:B,2,FALSE))</f>
        <v>7.5</v>
      </c>
      <c r="F1519">
        <f t="shared" si="23"/>
        <v>7.5</v>
      </c>
    </row>
    <row r="1520" spans="1:6" x14ac:dyDescent="0.3">
      <c r="A1520" t="s">
        <v>489</v>
      </c>
      <c r="B1520" t="s">
        <v>2134</v>
      </c>
      <c r="C1520">
        <v>2.5</v>
      </c>
      <c r="D1520">
        <v>50</v>
      </c>
      <c r="E1520">
        <f>IF(OR(B1520="vi",B1520="ii",B1520="pod"),(((D1520/100)*(C1520*VLOOKUP(B1520,'Poids des runes'!A:B,2,FALSE)))+1),(((D1520/100)*(C1520*VLOOKUP(B1520,'Poids des runes'!A:B,2,FALSE)))+1)/VLOOKUP(B1520,'Poids des runes'!A:B,2,FALSE))</f>
        <v>1.3</v>
      </c>
      <c r="F1520">
        <f t="shared" si="23"/>
        <v>1.3</v>
      </c>
    </row>
    <row r="1521" spans="1:6" x14ac:dyDescent="0.3">
      <c r="A1521" t="s">
        <v>490</v>
      </c>
      <c r="B1521" t="s">
        <v>2128</v>
      </c>
      <c r="C1521">
        <v>45.5</v>
      </c>
      <c r="D1521">
        <v>50</v>
      </c>
      <c r="E1521">
        <f>IF(OR(B1521="vi",B1521="ii",B1521="pod"),(((D1521/100)*(C1521*VLOOKUP(B1521,'Poids des runes'!A:B,2,FALSE)))+1),(((D1521/100)*(C1521*VLOOKUP(B1521,'Poids des runes'!A:B,2,FALSE)))+1)/VLOOKUP(B1521,'Poids des runes'!A:B,2,FALSE))</f>
        <v>5.55</v>
      </c>
      <c r="F1521">
        <f t="shared" si="23"/>
        <v>5.55</v>
      </c>
    </row>
    <row r="1522" spans="1:6" x14ac:dyDescent="0.3">
      <c r="A1522" t="s">
        <v>490</v>
      </c>
      <c r="B1522" t="s">
        <v>2127</v>
      </c>
      <c r="C1522">
        <v>30.5</v>
      </c>
      <c r="D1522">
        <v>50</v>
      </c>
      <c r="E1522">
        <f>IF(OR(B1522="vi",B1522="ii",B1522="pod"),(((D1522/100)*(C1522*VLOOKUP(B1522,'Poids des runes'!A:B,2,FALSE)))+1),(((D1522/100)*(C1522*VLOOKUP(B1522,'Poids des runes'!A:B,2,FALSE)))+1)/VLOOKUP(B1522,'Poids des runes'!A:B,2,FALSE))</f>
        <v>16.25</v>
      </c>
      <c r="F1522">
        <f t="shared" si="23"/>
        <v>16.25</v>
      </c>
    </row>
    <row r="1523" spans="1:6" x14ac:dyDescent="0.3">
      <c r="A1523" t="s">
        <v>490</v>
      </c>
      <c r="B1523" t="s">
        <v>2129</v>
      </c>
      <c r="C1523">
        <v>13</v>
      </c>
      <c r="D1523">
        <v>50</v>
      </c>
      <c r="E1523">
        <f>IF(OR(B1523="vi",B1523="ii",B1523="pod"),(((D1523/100)*(C1523*VLOOKUP(B1523,'Poids des runes'!A:B,2,FALSE)))+1),(((D1523/100)*(C1523*VLOOKUP(B1523,'Poids des runes'!A:B,2,FALSE)))+1)/VLOOKUP(B1523,'Poids des runes'!A:B,2,FALSE))</f>
        <v>7.5</v>
      </c>
      <c r="F1523">
        <f t="shared" si="23"/>
        <v>7.5</v>
      </c>
    </row>
    <row r="1524" spans="1:6" x14ac:dyDescent="0.3">
      <c r="A1524" t="s">
        <v>490</v>
      </c>
      <c r="B1524" t="s">
        <v>2153</v>
      </c>
      <c r="C1524">
        <v>2.5</v>
      </c>
      <c r="D1524">
        <v>50</v>
      </c>
      <c r="E1524">
        <f>IF(OR(B1524="vi",B1524="ii",B1524="pod"),(((D1524/100)*(C1524*VLOOKUP(B1524,'Poids des runes'!A:B,2,FALSE)))+1),(((D1524/100)*(C1524*VLOOKUP(B1524,'Poids des runes'!A:B,2,FALSE)))+1)/VLOOKUP(B1524,'Poids des runes'!A:B,2,FALSE))</f>
        <v>1.45</v>
      </c>
      <c r="F1524">
        <f t="shared" si="23"/>
        <v>1.45</v>
      </c>
    </row>
    <row r="1525" spans="1:6" x14ac:dyDescent="0.3">
      <c r="A1525" t="s">
        <v>491</v>
      </c>
      <c r="B1525" t="s">
        <v>2128</v>
      </c>
      <c r="C1525">
        <v>45.5</v>
      </c>
      <c r="D1525">
        <v>50</v>
      </c>
      <c r="E1525">
        <f>IF(OR(B1525="vi",B1525="ii",B1525="pod"),(((D1525/100)*(C1525*VLOOKUP(B1525,'Poids des runes'!A:B,2,FALSE)))+1),(((D1525/100)*(C1525*VLOOKUP(B1525,'Poids des runes'!A:B,2,FALSE)))+1)/VLOOKUP(B1525,'Poids des runes'!A:B,2,FALSE))</f>
        <v>5.55</v>
      </c>
      <c r="F1525">
        <f t="shared" si="23"/>
        <v>5.55</v>
      </c>
    </row>
    <row r="1526" spans="1:6" x14ac:dyDescent="0.3">
      <c r="A1526" t="s">
        <v>491</v>
      </c>
      <c r="B1526" t="s">
        <v>2131</v>
      </c>
      <c r="C1526">
        <v>30.5</v>
      </c>
      <c r="D1526">
        <v>50</v>
      </c>
      <c r="E1526">
        <f>IF(OR(B1526="vi",B1526="ii",B1526="pod"),(((D1526/100)*(C1526*VLOOKUP(B1526,'Poids des runes'!A:B,2,FALSE)))+1),(((D1526/100)*(C1526*VLOOKUP(B1526,'Poids des runes'!A:B,2,FALSE)))+1)/VLOOKUP(B1526,'Poids des runes'!A:B,2,FALSE))</f>
        <v>16.25</v>
      </c>
      <c r="F1526">
        <f t="shared" si="23"/>
        <v>16.25</v>
      </c>
    </row>
    <row r="1527" spans="1:6" x14ac:dyDescent="0.3">
      <c r="A1527" t="s">
        <v>491</v>
      </c>
      <c r="B1527" t="s">
        <v>2129</v>
      </c>
      <c r="C1527">
        <v>13</v>
      </c>
      <c r="D1527">
        <v>50</v>
      </c>
      <c r="E1527">
        <f>IF(OR(B1527="vi",B1527="ii",B1527="pod"),(((D1527/100)*(C1527*VLOOKUP(B1527,'Poids des runes'!A:B,2,FALSE)))+1),(((D1527/100)*(C1527*VLOOKUP(B1527,'Poids des runes'!A:B,2,FALSE)))+1)/VLOOKUP(B1527,'Poids des runes'!A:B,2,FALSE))</f>
        <v>7.5</v>
      </c>
      <c r="F1527">
        <f t="shared" si="23"/>
        <v>7.5</v>
      </c>
    </row>
    <row r="1528" spans="1:6" x14ac:dyDescent="0.3">
      <c r="A1528" t="s">
        <v>491</v>
      </c>
      <c r="B1528" t="s">
        <v>2133</v>
      </c>
      <c r="C1528">
        <v>2.5</v>
      </c>
      <c r="D1528">
        <v>50</v>
      </c>
      <c r="E1528">
        <f>IF(OR(B1528="vi",B1528="ii",B1528="pod"),(((D1528/100)*(C1528*VLOOKUP(B1528,'Poids des runes'!A:B,2,FALSE)))+1),(((D1528/100)*(C1528*VLOOKUP(B1528,'Poids des runes'!A:B,2,FALSE)))+1)/VLOOKUP(B1528,'Poids des runes'!A:B,2,FALSE))</f>
        <v>1.45</v>
      </c>
      <c r="F1528">
        <f t="shared" si="23"/>
        <v>1.45</v>
      </c>
    </row>
    <row r="1529" spans="1:6" x14ac:dyDescent="0.3">
      <c r="A1529" t="s">
        <v>492</v>
      </c>
      <c r="B1529" t="s">
        <v>2129</v>
      </c>
      <c r="C1529">
        <v>25.5</v>
      </c>
      <c r="D1529">
        <v>50</v>
      </c>
      <c r="E1529">
        <f>IF(OR(B1529="vi",B1529="ii",B1529="pod"),(((D1529/100)*(C1529*VLOOKUP(B1529,'Poids des runes'!A:B,2,FALSE)))+1),(((D1529/100)*(C1529*VLOOKUP(B1529,'Poids des runes'!A:B,2,FALSE)))+1)/VLOOKUP(B1529,'Poids des runes'!A:B,2,FALSE))</f>
        <v>13.75</v>
      </c>
      <c r="F1529">
        <f t="shared" si="23"/>
        <v>13.75</v>
      </c>
    </row>
    <row r="1530" spans="1:6" x14ac:dyDescent="0.3">
      <c r="A1530" t="s">
        <v>492</v>
      </c>
      <c r="B1530" t="s">
        <v>2140</v>
      </c>
      <c r="C1530">
        <v>5.5</v>
      </c>
      <c r="D1530">
        <v>50</v>
      </c>
      <c r="E1530">
        <f>IF(OR(B1530="vi",B1530="ii",B1530="pod"),(((D1530/100)*(C1530*VLOOKUP(B1530,'Poids des runes'!A:B,2,FALSE)))+1),(((D1530/100)*(C1530*VLOOKUP(B1530,'Poids des runes'!A:B,2,FALSE)))+1)/VLOOKUP(B1530,'Poids des runes'!A:B,2,FALSE))</f>
        <v>2.95</v>
      </c>
      <c r="F1530">
        <f t="shared" si="23"/>
        <v>2.95</v>
      </c>
    </row>
    <row r="1531" spans="1:6" x14ac:dyDescent="0.3">
      <c r="A1531" t="s">
        <v>492</v>
      </c>
      <c r="B1531" t="s">
        <v>2141</v>
      </c>
      <c r="C1531">
        <v>3.5</v>
      </c>
      <c r="D1531">
        <v>50</v>
      </c>
      <c r="E1531">
        <f>IF(OR(B1531="vi",B1531="ii",B1531="pod"),(((D1531/100)*(C1531*VLOOKUP(B1531,'Poids des runes'!A:B,2,FALSE)))+1),(((D1531/100)*(C1531*VLOOKUP(B1531,'Poids des runes'!A:B,2,FALSE)))+1)/VLOOKUP(B1531,'Poids des runes'!A:B,2,FALSE))</f>
        <v>2</v>
      </c>
      <c r="F1531">
        <f t="shared" si="23"/>
        <v>2</v>
      </c>
    </row>
    <row r="1532" spans="1:6" x14ac:dyDescent="0.3">
      <c r="A1532" t="s">
        <v>493</v>
      </c>
      <c r="B1532" t="s">
        <v>2139</v>
      </c>
      <c r="C1532">
        <v>10</v>
      </c>
      <c r="D1532">
        <v>50</v>
      </c>
      <c r="E1532">
        <f>IF(OR(B1532="vi",B1532="ii",B1532="pod"),(((D1532/100)*(C1532*VLOOKUP(B1532,'Poids des runes'!A:B,2,FALSE)))+1),(((D1532/100)*(C1532*VLOOKUP(B1532,'Poids des runes'!A:B,2,FALSE)))+1)/VLOOKUP(B1532,'Poids des runes'!A:B,2,FALSE))</f>
        <v>5.5</v>
      </c>
      <c r="F1532">
        <f t="shared" si="23"/>
        <v>5.5</v>
      </c>
    </row>
    <row r="1533" spans="1:6" x14ac:dyDescent="0.3">
      <c r="A1533" t="s">
        <v>494</v>
      </c>
      <c r="B1533" t="s">
        <v>2130</v>
      </c>
      <c r="C1533">
        <v>25.5</v>
      </c>
      <c r="D1533">
        <v>51</v>
      </c>
      <c r="E1533">
        <f>IF(OR(B1533="vi",B1533="ii",B1533="pod"),(((D1533/100)*(C1533*VLOOKUP(B1533,'Poids des runes'!A:B,2,FALSE)))+1),(((D1533/100)*(C1533*VLOOKUP(B1533,'Poids des runes'!A:B,2,FALSE)))+1)/VLOOKUP(B1533,'Poids des runes'!A:B,2,FALSE))</f>
        <v>14.005000000000001</v>
      </c>
      <c r="F1533">
        <f t="shared" si="23"/>
        <v>14.005000000000001</v>
      </c>
    </row>
    <row r="1534" spans="1:6" x14ac:dyDescent="0.3">
      <c r="A1534" t="s">
        <v>494</v>
      </c>
      <c r="B1534" t="s">
        <v>2139</v>
      </c>
      <c r="C1534">
        <v>8.5</v>
      </c>
      <c r="D1534">
        <v>51</v>
      </c>
      <c r="E1534">
        <f>IF(OR(B1534="vi",B1534="ii",B1534="pod"),(((D1534/100)*(C1534*VLOOKUP(B1534,'Poids des runes'!A:B,2,FALSE)))+1),(((D1534/100)*(C1534*VLOOKUP(B1534,'Poids des runes'!A:B,2,FALSE)))+1)/VLOOKUP(B1534,'Poids des runes'!A:B,2,FALSE))</f>
        <v>4.835</v>
      </c>
      <c r="F1534">
        <f t="shared" si="23"/>
        <v>4.835</v>
      </c>
    </row>
    <row r="1535" spans="1:6" x14ac:dyDescent="0.3">
      <c r="A1535" t="s">
        <v>494</v>
      </c>
      <c r="B1535" t="s">
        <v>2151</v>
      </c>
      <c r="C1535">
        <v>3.5</v>
      </c>
      <c r="D1535">
        <v>51</v>
      </c>
      <c r="E1535">
        <f>IF(OR(B1535="vi",B1535="ii",B1535="pod"),(((D1535/100)*(C1535*VLOOKUP(B1535,'Poids des runes'!A:B,2,FALSE)))+1),(((D1535/100)*(C1535*VLOOKUP(B1535,'Poids des runes'!A:B,2,FALSE)))+1)/VLOOKUP(B1535,'Poids des runes'!A:B,2,FALSE))</f>
        <v>1.8850000000000002</v>
      </c>
      <c r="F1535">
        <f t="shared" si="23"/>
        <v>1.8850000000000002</v>
      </c>
    </row>
    <row r="1536" spans="1:6" x14ac:dyDescent="0.3">
      <c r="A1536" t="s">
        <v>494</v>
      </c>
      <c r="B1536" t="s">
        <v>2143</v>
      </c>
      <c r="C1536">
        <v>2.5</v>
      </c>
      <c r="D1536">
        <v>51</v>
      </c>
      <c r="E1536">
        <f>IF(OR(B1536="vi",B1536="ii",B1536="pod"),(((D1536/100)*(C1536*VLOOKUP(B1536,'Poids des runes'!A:B,2,FALSE)))+1),(((D1536/100)*(C1536*VLOOKUP(B1536,'Poids des runes'!A:B,2,FALSE)))+1)/VLOOKUP(B1536,'Poids des runes'!A:B,2,FALSE))</f>
        <v>1.4750000000000001</v>
      </c>
      <c r="F1536">
        <f t="shared" si="23"/>
        <v>1.4750000000000001</v>
      </c>
    </row>
    <row r="1537" spans="1:6" x14ac:dyDescent="0.3">
      <c r="A1537" t="s">
        <v>494</v>
      </c>
      <c r="B1537" t="s">
        <v>2158</v>
      </c>
      <c r="C1537">
        <v>8.5</v>
      </c>
      <c r="D1537">
        <v>51</v>
      </c>
      <c r="E1537">
        <f>IF(OR(B1537="vi",B1537="ii",B1537="pod"),(((D1537/100)*(C1537*VLOOKUP(B1537,'Poids des runes'!A:B,2,FALSE)))+1),(((D1537/100)*(C1537*VLOOKUP(B1537,'Poids des runes'!A:B,2,FALSE)))+1)/VLOOKUP(B1537,'Poids des runes'!A:B,2,FALSE))</f>
        <v>4.5350000000000001</v>
      </c>
      <c r="F1537">
        <f t="shared" si="23"/>
        <v>4.5350000000000001</v>
      </c>
    </row>
    <row r="1538" spans="1:6" x14ac:dyDescent="0.3">
      <c r="A1538" t="s">
        <v>495</v>
      </c>
      <c r="B1538" t="s">
        <v>2128</v>
      </c>
      <c r="C1538">
        <v>50.5</v>
      </c>
      <c r="D1538">
        <v>51</v>
      </c>
      <c r="E1538">
        <f>IF(OR(B1538="vi",B1538="ii",B1538="pod"),(((D1538/100)*(C1538*VLOOKUP(B1538,'Poids des runes'!A:B,2,FALSE)))+1),(((D1538/100)*(C1538*VLOOKUP(B1538,'Poids des runes'!A:B,2,FALSE)))+1)/VLOOKUP(B1538,'Poids des runes'!A:B,2,FALSE))</f>
        <v>6.1510000000000007</v>
      </c>
      <c r="F1538">
        <f t="shared" si="23"/>
        <v>6.1510000000000007</v>
      </c>
    </row>
    <row r="1539" spans="1:6" x14ac:dyDescent="0.3">
      <c r="A1539" t="s">
        <v>495</v>
      </c>
      <c r="B1539" t="s">
        <v>2154</v>
      </c>
      <c r="C1539">
        <v>1</v>
      </c>
      <c r="D1539">
        <v>51</v>
      </c>
      <c r="E1539">
        <f>IF(OR(B1539="vi",B1539="ii",B1539="pod"),(((D1539/100)*(C1539*VLOOKUP(B1539,'Poids des runes'!A:B,2,FALSE)))+1),(((D1539/100)*(C1539*VLOOKUP(B1539,'Poids des runes'!A:B,2,FALSE)))+1)/VLOOKUP(B1539,'Poids des runes'!A:B,2,FALSE))</f>
        <v>0.52111111111111108</v>
      </c>
      <c r="F1539">
        <f t="shared" ref="F1539:F1602" si="24">E1539</f>
        <v>0.52111111111111108</v>
      </c>
    </row>
    <row r="1540" spans="1:6" x14ac:dyDescent="0.3">
      <c r="A1540" t="s">
        <v>495</v>
      </c>
      <c r="B1540" t="s">
        <v>2150</v>
      </c>
      <c r="C1540">
        <v>1</v>
      </c>
      <c r="D1540">
        <v>51</v>
      </c>
      <c r="E1540">
        <f>IF(OR(B1540="vi",B1540="ii",B1540="pod"),(((D1540/100)*(C1540*VLOOKUP(B1540,'Poids des runes'!A:B,2,FALSE)))+1),(((D1540/100)*(C1540*VLOOKUP(B1540,'Poids des runes'!A:B,2,FALSE)))+1)/VLOOKUP(B1540,'Poids des runes'!A:B,2,FALSE))</f>
        <v>0.54333333333333333</v>
      </c>
      <c r="F1540">
        <f t="shared" si="24"/>
        <v>0.54333333333333333</v>
      </c>
    </row>
    <row r="1541" spans="1:6" x14ac:dyDescent="0.3">
      <c r="A1541" t="s">
        <v>496</v>
      </c>
      <c r="B1541" t="s">
        <v>2129</v>
      </c>
      <c r="C1541">
        <v>13</v>
      </c>
      <c r="D1541">
        <v>51</v>
      </c>
      <c r="E1541">
        <f>IF(OR(B1541="vi",B1541="ii",B1541="pod"),(((D1541/100)*(C1541*VLOOKUP(B1541,'Poids des runes'!A:B,2,FALSE)))+1),(((D1541/100)*(C1541*VLOOKUP(B1541,'Poids des runes'!A:B,2,FALSE)))+1)/VLOOKUP(B1541,'Poids des runes'!A:B,2,FALSE))</f>
        <v>7.63</v>
      </c>
      <c r="F1541">
        <f t="shared" si="24"/>
        <v>7.63</v>
      </c>
    </row>
    <row r="1542" spans="1:6" x14ac:dyDescent="0.3">
      <c r="A1542" t="s">
        <v>496</v>
      </c>
      <c r="B1542" t="s">
        <v>2151</v>
      </c>
      <c r="C1542">
        <v>2.5</v>
      </c>
      <c r="D1542">
        <v>51</v>
      </c>
      <c r="E1542">
        <f>IF(OR(B1542="vi",B1542="ii",B1542="pod"),(((D1542/100)*(C1542*VLOOKUP(B1542,'Poids des runes'!A:B,2,FALSE)))+1),(((D1542/100)*(C1542*VLOOKUP(B1542,'Poids des runes'!A:B,2,FALSE)))+1)/VLOOKUP(B1542,'Poids des runes'!A:B,2,FALSE))</f>
        <v>1.375</v>
      </c>
      <c r="F1542">
        <f t="shared" si="24"/>
        <v>1.375</v>
      </c>
    </row>
    <row r="1543" spans="1:6" x14ac:dyDescent="0.3">
      <c r="A1543" t="s">
        <v>496</v>
      </c>
      <c r="B1543" t="s">
        <v>2150</v>
      </c>
      <c r="C1543">
        <v>1</v>
      </c>
      <c r="D1543">
        <v>51</v>
      </c>
      <c r="E1543">
        <f>IF(OR(B1543="vi",B1543="ii",B1543="pod"),(((D1543/100)*(C1543*VLOOKUP(B1543,'Poids des runes'!A:B,2,FALSE)))+1),(((D1543/100)*(C1543*VLOOKUP(B1543,'Poids des runes'!A:B,2,FALSE)))+1)/VLOOKUP(B1543,'Poids des runes'!A:B,2,FALSE))</f>
        <v>0.54333333333333333</v>
      </c>
      <c r="F1543">
        <f t="shared" si="24"/>
        <v>0.54333333333333333</v>
      </c>
    </row>
    <row r="1544" spans="1:6" x14ac:dyDescent="0.3">
      <c r="A1544" t="s">
        <v>496</v>
      </c>
      <c r="B1544" t="s">
        <v>2132</v>
      </c>
      <c r="C1544">
        <v>125.5</v>
      </c>
      <c r="D1544">
        <v>51</v>
      </c>
      <c r="E1544">
        <f>IF(OR(B1544="vi",B1544="ii",B1544="pod"),(((D1544/100)*(C1544*VLOOKUP(B1544,'Poids des runes'!A:B,2,FALSE)))+1),(((D1544/100)*(C1544*VLOOKUP(B1544,'Poids des runes'!A:B,2,FALSE)))+1)/VLOOKUP(B1544,'Poids des runes'!A:B,2,FALSE))</f>
        <v>7.4005000000000001</v>
      </c>
      <c r="F1544">
        <f t="shared" si="24"/>
        <v>7.4005000000000001</v>
      </c>
    </row>
    <row r="1545" spans="1:6" x14ac:dyDescent="0.3">
      <c r="A1545" t="s">
        <v>497</v>
      </c>
      <c r="B1545" t="s">
        <v>2128</v>
      </c>
      <c r="C1545">
        <v>35.5</v>
      </c>
      <c r="D1545">
        <v>51</v>
      </c>
      <c r="E1545">
        <f>IF(OR(B1545="vi",B1545="ii",B1545="pod"),(((D1545/100)*(C1545*VLOOKUP(B1545,'Poids des runes'!A:B,2,FALSE)))+1),(((D1545/100)*(C1545*VLOOKUP(B1545,'Poids des runes'!A:B,2,FALSE)))+1)/VLOOKUP(B1545,'Poids des runes'!A:B,2,FALSE))</f>
        <v>4.6210000000000004</v>
      </c>
      <c r="F1545">
        <f t="shared" si="24"/>
        <v>4.6210000000000004</v>
      </c>
    </row>
    <row r="1546" spans="1:6" x14ac:dyDescent="0.3">
      <c r="A1546" t="s">
        <v>497</v>
      </c>
      <c r="B1546" t="s">
        <v>2139</v>
      </c>
      <c r="C1546">
        <v>25.5</v>
      </c>
      <c r="D1546">
        <v>51</v>
      </c>
      <c r="E1546">
        <f>IF(OR(B1546="vi",B1546="ii",B1546="pod"),(((D1546/100)*(C1546*VLOOKUP(B1546,'Poids des runes'!A:B,2,FALSE)))+1),(((D1546/100)*(C1546*VLOOKUP(B1546,'Poids des runes'!A:B,2,FALSE)))+1)/VLOOKUP(B1546,'Poids des runes'!A:B,2,FALSE))</f>
        <v>13.505000000000001</v>
      </c>
      <c r="F1546">
        <f t="shared" si="24"/>
        <v>13.505000000000001</v>
      </c>
    </row>
    <row r="1547" spans="1:6" x14ac:dyDescent="0.3">
      <c r="A1547" t="s">
        <v>497</v>
      </c>
      <c r="B1547" t="s">
        <v>2134</v>
      </c>
      <c r="C1547">
        <v>2.5</v>
      </c>
      <c r="D1547">
        <v>51</v>
      </c>
      <c r="E1547">
        <f>IF(OR(B1547="vi",B1547="ii",B1547="pod"),(((D1547/100)*(C1547*VLOOKUP(B1547,'Poids des runes'!A:B,2,FALSE)))+1),(((D1547/100)*(C1547*VLOOKUP(B1547,'Poids des runes'!A:B,2,FALSE)))+1)/VLOOKUP(B1547,'Poids des runes'!A:B,2,FALSE))</f>
        <v>1.325</v>
      </c>
      <c r="F1547">
        <f t="shared" si="24"/>
        <v>1.325</v>
      </c>
    </row>
    <row r="1548" spans="1:6" x14ac:dyDescent="0.3">
      <c r="A1548" t="s">
        <v>497</v>
      </c>
      <c r="B1548" t="s">
        <v>2156</v>
      </c>
      <c r="C1548">
        <v>4.5</v>
      </c>
      <c r="D1548">
        <v>51</v>
      </c>
      <c r="E1548">
        <f>IF(OR(B1548="vi",B1548="ii",B1548="pod"),(((D1548/100)*(C1548*VLOOKUP(B1548,'Poids des runes'!A:B,2,FALSE)))+1),(((D1548/100)*(C1548*VLOOKUP(B1548,'Poids des runes'!A:B,2,FALSE)))+1)/VLOOKUP(B1548,'Poids des runes'!A:B,2,FALSE))</f>
        <v>2.4616666666666664</v>
      </c>
      <c r="F1548">
        <f t="shared" si="24"/>
        <v>2.4616666666666664</v>
      </c>
    </row>
    <row r="1549" spans="1:6" x14ac:dyDescent="0.3">
      <c r="A1549" t="s">
        <v>498</v>
      </c>
      <c r="B1549" t="s">
        <v>2128</v>
      </c>
      <c r="C1549">
        <v>25.5</v>
      </c>
      <c r="D1549">
        <v>51</v>
      </c>
      <c r="E1549">
        <f>IF(OR(B1549="vi",B1549="ii",B1549="pod"),(((D1549/100)*(C1549*VLOOKUP(B1549,'Poids des runes'!A:B,2,FALSE)))+1),(((D1549/100)*(C1549*VLOOKUP(B1549,'Poids des runes'!A:B,2,FALSE)))+1)/VLOOKUP(B1549,'Poids des runes'!A:B,2,FALSE))</f>
        <v>3.6010000000000004</v>
      </c>
      <c r="F1549">
        <f t="shared" si="24"/>
        <v>3.6010000000000004</v>
      </c>
    </row>
    <row r="1550" spans="1:6" x14ac:dyDescent="0.3">
      <c r="A1550" t="s">
        <v>498</v>
      </c>
      <c r="B1550" t="s">
        <v>2129</v>
      </c>
      <c r="C1550">
        <v>18</v>
      </c>
      <c r="D1550">
        <v>51</v>
      </c>
      <c r="E1550">
        <f>IF(OR(B1550="vi",B1550="ii",B1550="pod"),(((D1550/100)*(C1550*VLOOKUP(B1550,'Poids des runes'!A:B,2,FALSE)))+1),(((D1550/100)*(C1550*VLOOKUP(B1550,'Poids des runes'!A:B,2,FALSE)))+1)/VLOOKUP(B1550,'Poids des runes'!A:B,2,FALSE))</f>
        <v>10.18</v>
      </c>
      <c r="F1550">
        <f t="shared" si="24"/>
        <v>10.18</v>
      </c>
    </row>
    <row r="1551" spans="1:6" x14ac:dyDescent="0.3">
      <c r="A1551" t="s">
        <v>498</v>
      </c>
      <c r="B1551" t="s">
        <v>2134</v>
      </c>
      <c r="C1551">
        <v>2.5</v>
      </c>
      <c r="D1551">
        <v>51</v>
      </c>
      <c r="E1551">
        <f>IF(OR(B1551="vi",B1551="ii",B1551="pod"),(((D1551/100)*(C1551*VLOOKUP(B1551,'Poids des runes'!A:B,2,FALSE)))+1),(((D1551/100)*(C1551*VLOOKUP(B1551,'Poids des runes'!A:B,2,FALSE)))+1)/VLOOKUP(B1551,'Poids des runes'!A:B,2,FALSE))</f>
        <v>1.325</v>
      </c>
      <c r="F1551">
        <f t="shared" si="24"/>
        <v>1.325</v>
      </c>
    </row>
    <row r="1552" spans="1:6" x14ac:dyDescent="0.3">
      <c r="A1552" t="s">
        <v>498</v>
      </c>
      <c r="B1552" t="s">
        <v>2132</v>
      </c>
      <c r="C1552">
        <v>175.5</v>
      </c>
      <c r="D1552">
        <v>51</v>
      </c>
      <c r="E1552">
        <f>IF(OR(B1552="vi",B1552="ii",B1552="pod"),(((D1552/100)*(C1552*VLOOKUP(B1552,'Poids des runes'!A:B,2,FALSE)))+1),(((D1552/100)*(C1552*VLOOKUP(B1552,'Poids des runes'!A:B,2,FALSE)))+1)/VLOOKUP(B1552,'Poids des runes'!A:B,2,FALSE))</f>
        <v>9.9504999999999999</v>
      </c>
      <c r="F1552">
        <f t="shared" si="24"/>
        <v>9.9504999999999999</v>
      </c>
    </row>
    <row r="1553" spans="1:6" x14ac:dyDescent="0.3">
      <c r="A1553" t="s">
        <v>498</v>
      </c>
      <c r="B1553" t="s">
        <v>2141</v>
      </c>
      <c r="C1553">
        <v>4.5</v>
      </c>
      <c r="D1553">
        <v>51</v>
      </c>
      <c r="E1553">
        <f>IF(OR(B1553="vi",B1553="ii",B1553="pod"),(((D1553/100)*(C1553*VLOOKUP(B1553,'Poids des runes'!A:B,2,FALSE)))+1),(((D1553/100)*(C1553*VLOOKUP(B1553,'Poids des runes'!A:B,2,FALSE)))+1)/VLOOKUP(B1553,'Poids des runes'!A:B,2,FALSE))</f>
        <v>2.5449999999999999</v>
      </c>
      <c r="F1553">
        <f t="shared" si="24"/>
        <v>2.5449999999999999</v>
      </c>
    </row>
    <row r="1554" spans="1:6" x14ac:dyDescent="0.3">
      <c r="A1554" t="s">
        <v>498</v>
      </c>
      <c r="B1554" t="s">
        <v>2158</v>
      </c>
      <c r="C1554">
        <v>6</v>
      </c>
      <c r="D1554">
        <v>51</v>
      </c>
      <c r="E1554">
        <f>IF(OR(B1554="vi",B1554="ii",B1554="pod"),(((D1554/100)*(C1554*VLOOKUP(B1554,'Poids des runes'!A:B,2,FALSE)))+1),(((D1554/100)*(C1554*VLOOKUP(B1554,'Poids des runes'!A:B,2,FALSE)))+1)/VLOOKUP(B1554,'Poids des runes'!A:B,2,FALSE))</f>
        <v>3.2600000000000002</v>
      </c>
      <c r="F1554">
        <f t="shared" si="24"/>
        <v>3.2600000000000002</v>
      </c>
    </row>
    <row r="1555" spans="1:6" x14ac:dyDescent="0.3">
      <c r="A1555" t="s">
        <v>499</v>
      </c>
      <c r="B1555" t="s">
        <v>2128</v>
      </c>
      <c r="C1555">
        <v>20.5</v>
      </c>
      <c r="D1555">
        <v>51</v>
      </c>
      <c r="E1555">
        <f>IF(OR(B1555="vi",B1555="ii",B1555="pod"),(((D1555/100)*(C1555*VLOOKUP(B1555,'Poids des runes'!A:B,2,FALSE)))+1),(((D1555/100)*(C1555*VLOOKUP(B1555,'Poids des runes'!A:B,2,FALSE)))+1)/VLOOKUP(B1555,'Poids des runes'!A:B,2,FALSE))</f>
        <v>3.0910000000000002</v>
      </c>
      <c r="F1555">
        <f t="shared" si="24"/>
        <v>3.0910000000000002</v>
      </c>
    </row>
    <row r="1556" spans="1:6" x14ac:dyDescent="0.3">
      <c r="A1556" t="s">
        <v>499</v>
      </c>
      <c r="B1556" t="s">
        <v>2130</v>
      </c>
      <c r="C1556">
        <v>23</v>
      </c>
      <c r="D1556">
        <v>51</v>
      </c>
      <c r="E1556">
        <f>IF(OR(B1556="vi",B1556="ii",B1556="pod"),(((D1556/100)*(C1556*VLOOKUP(B1556,'Poids des runes'!A:B,2,FALSE)))+1),(((D1556/100)*(C1556*VLOOKUP(B1556,'Poids des runes'!A:B,2,FALSE)))+1)/VLOOKUP(B1556,'Poids des runes'!A:B,2,FALSE))</f>
        <v>12.73</v>
      </c>
      <c r="F1556">
        <f t="shared" si="24"/>
        <v>12.73</v>
      </c>
    </row>
    <row r="1557" spans="1:6" x14ac:dyDescent="0.3">
      <c r="A1557" t="s">
        <v>499</v>
      </c>
      <c r="B1557" t="s">
        <v>2127</v>
      </c>
      <c r="C1557">
        <v>23</v>
      </c>
      <c r="D1557">
        <v>51</v>
      </c>
      <c r="E1557">
        <f>IF(OR(B1557="vi",B1557="ii",B1557="pod"),(((D1557/100)*(C1557*VLOOKUP(B1557,'Poids des runes'!A:B,2,FALSE)))+1),(((D1557/100)*(C1557*VLOOKUP(B1557,'Poids des runes'!A:B,2,FALSE)))+1)/VLOOKUP(B1557,'Poids des runes'!A:B,2,FALSE))</f>
        <v>12.73</v>
      </c>
      <c r="F1557">
        <f t="shared" si="24"/>
        <v>12.73</v>
      </c>
    </row>
    <row r="1558" spans="1:6" x14ac:dyDescent="0.3">
      <c r="A1558" t="s">
        <v>499</v>
      </c>
      <c r="B1558" t="s">
        <v>2129</v>
      </c>
      <c r="C1558">
        <v>13</v>
      </c>
      <c r="D1558">
        <v>51</v>
      </c>
      <c r="E1558">
        <f>IF(OR(B1558="vi",B1558="ii",B1558="pod"),(((D1558/100)*(C1558*VLOOKUP(B1558,'Poids des runes'!A:B,2,FALSE)))+1),(((D1558/100)*(C1558*VLOOKUP(B1558,'Poids des runes'!A:B,2,FALSE)))+1)/VLOOKUP(B1558,'Poids des runes'!A:B,2,FALSE))</f>
        <v>7.63</v>
      </c>
      <c r="F1558">
        <f t="shared" si="24"/>
        <v>7.63</v>
      </c>
    </row>
    <row r="1559" spans="1:6" x14ac:dyDescent="0.3">
      <c r="A1559" t="s">
        <v>499</v>
      </c>
      <c r="B1559" t="s">
        <v>2161</v>
      </c>
      <c r="C1559">
        <v>8.5</v>
      </c>
      <c r="D1559">
        <v>51</v>
      </c>
      <c r="E1559">
        <f>IF(OR(B1559="vi",B1559="ii",B1559="pod"),(((D1559/100)*(C1559*VLOOKUP(B1559,'Poids des runes'!A:B,2,FALSE)))+1),(((D1559/100)*(C1559*VLOOKUP(B1559,'Poids des runes'!A:B,2,FALSE)))+1)/VLOOKUP(B1559,'Poids des runes'!A:B,2,FALSE))</f>
        <v>4.6683333333333339</v>
      </c>
      <c r="F1559">
        <f t="shared" si="24"/>
        <v>4.6683333333333339</v>
      </c>
    </row>
    <row r="1560" spans="1:6" x14ac:dyDescent="0.3">
      <c r="A1560" t="s">
        <v>500</v>
      </c>
      <c r="B1560" t="s">
        <v>2128</v>
      </c>
      <c r="C1560">
        <v>45.5</v>
      </c>
      <c r="D1560">
        <v>51</v>
      </c>
      <c r="E1560">
        <f>IF(OR(B1560="vi",B1560="ii",B1560="pod"),(((D1560/100)*(C1560*VLOOKUP(B1560,'Poids des runes'!A:B,2,FALSE)))+1),(((D1560/100)*(C1560*VLOOKUP(B1560,'Poids des runes'!A:B,2,FALSE)))+1)/VLOOKUP(B1560,'Poids des runes'!A:B,2,FALSE))</f>
        <v>5.641</v>
      </c>
      <c r="F1560">
        <f t="shared" si="24"/>
        <v>5.641</v>
      </c>
    </row>
    <row r="1561" spans="1:6" x14ac:dyDescent="0.3">
      <c r="A1561" t="s">
        <v>500</v>
      </c>
      <c r="B1561" t="s">
        <v>2127</v>
      </c>
      <c r="C1561">
        <v>25.5</v>
      </c>
      <c r="D1561">
        <v>51</v>
      </c>
      <c r="E1561">
        <f>IF(OR(B1561="vi",B1561="ii",B1561="pod"),(((D1561/100)*(C1561*VLOOKUP(B1561,'Poids des runes'!A:B,2,FALSE)))+1),(((D1561/100)*(C1561*VLOOKUP(B1561,'Poids des runes'!A:B,2,FALSE)))+1)/VLOOKUP(B1561,'Poids des runes'!A:B,2,FALSE))</f>
        <v>14.005000000000001</v>
      </c>
      <c r="F1561">
        <f t="shared" si="24"/>
        <v>14.005000000000001</v>
      </c>
    </row>
    <row r="1562" spans="1:6" x14ac:dyDescent="0.3">
      <c r="A1562" t="s">
        <v>500</v>
      </c>
      <c r="B1562" t="s">
        <v>2151</v>
      </c>
      <c r="C1562">
        <v>2</v>
      </c>
      <c r="D1562">
        <v>51</v>
      </c>
      <c r="E1562">
        <f>IF(OR(B1562="vi",B1562="ii",B1562="pod"),(((D1562/100)*(C1562*VLOOKUP(B1562,'Poids des runes'!A:B,2,FALSE)))+1),(((D1562/100)*(C1562*VLOOKUP(B1562,'Poids des runes'!A:B,2,FALSE)))+1)/VLOOKUP(B1562,'Poids des runes'!A:B,2,FALSE))</f>
        <v>1.1199999999999999</v>
      </c>
      <c r="F1562">
        <f t="shared" si="24"/>
        <v>1.1199999999999999</v>
      </c>
    </row>
    <row r="1563" spans="1:6" x14ac:dyDescent="0.3">
      <c r="A1563" t="s">
        <v>500</v>
      </c>
      <c r="B1563" t="s">
        <v>2149</v>
      </c>
      <c r="C1563">
        <v>6</v>
      </c>
      <c r="D1563">
        <v>51</v>
      </c>
      <c r="E1563">
        <f>IF(OR(B1563="vi",B1563="ii",B1563="pod"),(((D1563/100)*(C1563*VLOOKUP(B1563,'Poids des runes'!A:B,2,FALSE)))+1),(((D1563/100)*(C1563*VLOOKUP(B1563,'Poids des runes'!A:B,2,FALSE)))+1)/VLOOKUP(B1563,'Poids des runes'!A:B,2,FALSE))</f>
        <v>3.16</v>
      </c>
      <c r="F1563">
        <f t="shared" si="24"/>
        <v>3.16</v>
      </c>
    </row>
    <row r="1564" spans="1:6" x14ac:dyDescent="0.3">
      <c r="A1564" t="s">
        <v>500</v>
      </c>
      <c r="B1564" t="s">
        <v>2156</v>
      </c>
      <c r="C1564">
        <v>4</v>
      </c>
      <c r="D1564">
        <v>51</v>
      </c>
      <c r="E1564">
        <f>IF(OR(B1564="vi",B1564="ii",B1564="pod"),(((D1564/100)*(C1564*VLOOKUP(B1564,'Poids des runes'!A:B,2,FALSE)))+1),(((D1564/100)*(C1564*VLOOKUP(B1564,'Poids des runes'!A:B,2,FALSE)))+1)/VLOOKUP(B1564,'Poids des runes'!A:B,2,FALSE))</f>
        <v>2.2066666666666666</v>
      </c>
      <c r="F1564">
        <f t="shared" si="24"/>
        <v>2.2066666666666666</v>
      </c>
    </row>
    <row r="1565" spans="1:6" x14ac:dyDescent="0.3">
      <c r="A1565" t="s">
        <v>501</v>
      </c>
      <c r="B1565" t="s">
        <v>2128</v>
      </c>
      <c r="C1565">
        <v>50.5</v>
      </c>
      <c r="D1565">
        <v>51</v>
      </c>
      <c r="E1565">
        <f>IF(OR(B1565="vi",B1565="ii",B1565="pod"),(((D1565/100)*(C1565*VLOOKUP(B1565,'Poids des runes'!A:B,2,FALSE)))+1),(((D1565/100)*(C1565*VLOOKUP(B1565,'Poids des runes'!A:B,2,FALSE)))+1)/VLOOKUP(B1565,'Poids des runes'!A:B,2,FALSE))</f>
        <v>6.1510000000000007</v>
      </c>
      <c r="F1565">
        <f t="shared" si="24"/>
        <v>6.1510000000000007</v>
      </c>
    </row>
    <row r="1566" spans="1:6" x14ac:dyDescent="0.3">
      <c r="A1566" t="s">
        <v>501</v>
      </c>
      <c r="B1566" t="s">
        <v>2139</v>
      </c>
      <c r="C1566">
        <v>23</v>
      </c>
      <c r="D1566">
        <v>51</v>
      </c>
      <c r="E1566">
        <f>IF(OR(B1566="vi",B1566="ii",B1566="pod"),(((D1566/100)*(C1566*VLOOKUP(B1566,'Poids des runes'!A:B,2,FALSE)))+1),(((D1566/100)*(C1566*VLOOKUP(B1566,'Poids des runes'!A:B,2,FALSE)))+1)/VLOOKUP(B1566,'Poids des runes'!A:B,2,FALSE))</f>
        <v>12.23</v>
      </c>
      <c r="F1566">
        <f t="shared" si="24"/>
        <v>12.23</v>
      </c>
    </row>
    <row r="1567" spans="1:6" x14ac:dyDescent="0.3">
      <c r="A1567" t="s">
        <v>501</v>
      </c>
      <c r="B1567" t="s">
        <v>2140</v>
      </c>
      <c r="C1567">
        <v>5</v>
      </c>
      <c r="D1567">
        <v>51</v>
      </c>
      <c r="E1567">
        <f>IF(OR(B1567="vi",B1567="ii",B1567="pod"),(((D1567/100)*(C1567*VLOOKUP(B1567,'Poids des runes'!A:B,2,FALSE)))+1),(((D1567/100)*(C1567*VLOOKUP(B1567,'Poids des runes'!A:B,2,FALSE)))+1)/VLOOKUP(B1567,'Poids des runes'!A:B,2,FALSE))</f>
        <v>2.75</v>
      </c>
      <c r="F1567">
        <f t="shared" si="24"/>
        <v>2.75</v>
      </c>
    </row>
    <row r="1568" spans="1:6" x14ac:dyDescent="0.3">
      <c r="A1568" t="s">
        <v>501</v>
      </c>
      <c r="B1568" t="s">
        <v>2141</v>
      </c>
      <c r="C1568">
        <v>5</v>
      </c>
      <c r="D1568">
        <v>51</v>
      </c>
      <c r="E1568">
        <f>IF(OR(B1568="vi",B1568="ii",B1568="pod"),(((D1568/100)*(C1568*VLOOKUP(B1568,'Poids des runes'!A:B,2,FALSE)))+1),(((D1568/100)*(C1568*VLOOKUP(B1568,'Poids des runes'!A:B,2,FALSE)))+1)/VLOOKUP(B1568,'Poids des runes'!A:B,2,FALSE))</f>
        <v>2.8</v>
      </c>
      <c r="F1568">
        <f t="shared" si="24"/>
        <v>2.8</v>
      </c>
    </row>
    <row r="1569" spans="1:6" x14ac:dyDescent="0.3">
      <c r="A1569" t="s">
        <v>501</v>
      </c>
      <c r="B1569" t="s">
        <v>2159</v>
      </c>
      <c r="C1569">
        <v>2.5</v>
      </c>
      <c r="D1569">
        <v>51</v>
      </c>
      <c r="E1569">
        <f>IF(OR(B1569="vi",B1569="ii",B1569="pod"),(((D1569/100)*(C1569*VLOOKUP(B1569,'Poids des runes'!A:B,2,FALSE)))+1),(((D1569/100)*(C1569*VLOOKUP(B1569,'Poids des runes'!A:B,2,FALSE)))+1)/VLOOKUP(B1569,'Poids des runes'!A:B,2,FALSE))</f>
        <v>1.4178571428571429</v>
      </c>
      <c r="F1569">
        <f t="shared" si="24"/>
        <v>1.4178571428571429</v>
      </c>
    </row>
    <row r="1570" spans="1:6" x14ac:dyDescent="0.3">
      <c r="A1570" t="s">
        <v>502</v>
      </c>
      <c r="B1570" t="s">
        <v>2151</v>
      </c>
      <c r="C1570">
        <v>2.5</v>
      </c>
      <c r="D1570">
        <v>52</v>
      </c>
      <c r="E1570">
        <f>IF(OR(B1570="vi",B1570="ii",B1570="pod"),(((D1570/100)*(C1570*VLOOKUP(B1570,'Poids des runes'!A:B,2,FALSE)))+1),(((D1570/100)*(C1570*VLOOKUP(B1570,'Poids des runes'!A:B,2,FALSE)))+1)/VLOOKUP(B1570,'Poids des runes'!A:B,2,FALSE))</f>
        <v>1.4</v>
      </c>
      <c r="F1570">
        <f t="shared" si="24"/>
        <v>1.4</v>
      </c>
    </row>
    <row r="1571" spans="1:6" x14ac:dyDescent="0.3">
      <c r="A1571" t="s">
        <v>502</v>
      </c>
      <c r="B1571" t="s">
        <v>2152</v>
      </c>
      <c r="C1571">
        <v>1</v>
      </c>
      <c r="D1571">
        <v>52</v>
      </c>
      <c r="E1571">
        <f>IF(OR(B1571="vi",B1571="ii",B1571="pod"),(((D1571/100)*(C1571*VLOOKUP(B1571,'Poids des runes'!A:B,2,FALSE)))+1),(((D1571/100)*(C1571*VLOOKUP(B1571,'Poids des runes'!A:B,2,FALSE)))+1)/VLOOKUP(B1571,'Poids des runes'!A:B,2,FALSE))</f>
        <v>0.53</v>
      </c>
      <c r="F1571">
        <f t="shared" si="24"/>
        <v>0.53</v>
      </c>
    </row>
    <row r="1572" spans="1:6" x14ac:dyDescent="0.3">
      <c r="A1572" t="s">
        <v>502</v>
      </c>
      <c r="B1572" t="s">
        <v>2134</v>
      </c>
      <c r="C1572">
        <v>4.5</v>
      </c>
      <c r="D1572">
        <v>52</v>
      </c>
      <c r="E1572">
        <f>IF(OR(B1572="vi",B1572="ii",B1572="pod"),(((D1572/100)*(C1572*VLOOKUP(B1572,'Poids des runes'!A:B,2,FALSE)))+1),(((D1572/100)*(C1572*VLOOKUP(B1572,'Poids des runes'!A:B,2,FALSE)))+1)/VLOOKUP(B1572,'Poids des runes'!A:B,2,FALSE))</f>
        <v>2.39</v>
      </c>
      <c r="F1572">
        <f t="shared" si="24"/>
        <v>2.39</v>
      </c>
    </row>
    <row r="1573" spans="1:6" x14ac:dyDescent="0.3">
      <c r="A1573" t="s">
        <v>503</v>
      </c>
      <c r="B1573" t="s">
        <v>2128</v>
      </c>
      <c r="C1573">
        <v>15.5</v>
      </c>
      <c r="D1573">
        <v>52</v>
      </c>
      <c r="E1573">
        <f>IF(OR(B1573="vi",B1573="ii",B1573="pod"),(((D1573/100)*(C1573*VLOOKUP(B1573,'Poids des runes'!A:B,2,FALSE)))+1),(((D1573/100)*(C1573*VLOOKUP(B1573,'Poids des runes'!A:B,2,FALSE)))+1)/VLOOKUP(B1573,'Poids des runes'!A:B,2,FALSE))</f>
        <v>2.6120000000000001</v>
      </c>
      <c r="F1573">
        <f t="shared" si="24"/>
        <v>2.6120000000000001</v>
      </c>
    </row>
    <row r="1574" spans="1:6" x14ac:dyDescent="0.3">
      <c r="A1574" t="s">
        <v>503</v>
      </c>
      <c r="B1574" t="s">
        <v>2151</v>
      </c>
      <c r="C1574">
        <v>3.5</v>
      </c>
      <c r="D1574">
        <v>52</v>
      </c>
      <c r="E1574">
        <f>IF(OR(B1574="vi",B1574="ii",B1574="pod"),(((D1574/100)*(C1574*VLOOKUP(B1574,'Poids des runes'!A:B,2,FALSE)))+1),(((D1574/100)*(C1574*VLOOKUP(B1574,'Poids des runes'!A:B,2,FALSE)))+1)/VLOOKUP(B1574,'Poids des runes'!A:B,2,FALSE))</f>
        <v>1.92</v>
      </c>
      <c r="F1574">
        <f t="shared" si="24"/>
        <v>1.92</v>
      </c>
    </row>
    <row r="1575" spans="1:6" x14ac:dyDescent="0.3">
      <c r="A1575" t="s">
        <v>503</v>
      </c>
      <c r="B1575" t="s">
        <v>2134</v>
      </c>
      <c r="C1575">
        <v>3.5</v>
      </c>
      <c r="D1575">
        <v>52</v>
      </c>
      <c r="E1575">
        <f>IF(OR(B1575="vi",B1575="ii",B1575="pod"),(((D1575/100)*(C1575*VLOOKUP(B1575,'Poids des runes'!A:B,2,FALSE)))+1),(((D1575/100)*(C1575*VLOOKUP(B1575,'Poids des runes'!A:B,2,FALSE)))+1)/VLOOKUP(B1575,'Poids des runes'!A:B,2,FALSE))</f>
        <v>1.8699999999999999</v>
      </c>
      <c r="F1575">
        <f t="shared" si="24"/>
        <v>1.8699999999999999</v>
      </c>
    </row>
    <row r="1576" spans="1:6" x14ac:dyDescent="0.3">
      <c r="A1576" t="s">
        <v>503</v>
      </c>
      <c r="B1576" t="s">
        <v>2158</v>
      </c>
      <c r="C1576">
        <v>4.5</v>
      </c>
      <c r="D1576">
        <v>52</v>
      </c>
      <c r="E1576">
        <f>IF(OR(B1576="vi",B1576="ii",B1576="pod"),(((D1576/100)*(C1576*VLOOKUP(B1576,'Poids des runes'!A:B,2,FALSE)))+1),(((D1576/100)*(C1576*VLOOKUP(B1576,'Poids des runes'!A:B,2,FALSE)))+1)/VLOOKUP(B1576,'Poids des runes'!A:B,2,FALSE))</f>
        <v>2.54</v>
      </c>
      <c r="F1576">
        <f t="shared" si="24"/>
        <v>2.54</v>
      </c>
    </row>
    <row r="1577" spans="1:6" x14ac:dyDescent="0.3">
      <c r="A1577" t="s">
        <v>503</v>
      </c>
      <c r="B1577" t="s">
        <v>2156</v>
      </c>
      <c r="C1577">
        <v>3.5</v>
      </c>
      <c r="D1577">
        <v>52</v>
      </c>
      <c r="E1577">
        <f>IF(OR(B1577="vi",B1577="ii",B1577="pod"),(((D1577/100)*(C1577*VLOOKUP(B1577,'Poids des runes'!A:B,2,FALSE)))+1),(((D1577/100)*(C1577*VLOOKUP(B1577,'Poids des runes'!A:B,2,FALSE)))+1)/VLOOKUP(B1577,'Poids des runes'!A:B,2,FALSE))</f>
        <v>1.9866666666666666</v>
      </c>
      <c r="F1577">
        <f t="shared" si="24"/>
        <v>1.9866666666666666</v>
      </c>
    </row>
    <row r="1578" spans="1:6" x14ac:dyDescent="0.3">
      <c r="A1578" t="s">
        <v>504</v>
      </c>
      <c r="B1578" t="s">
        <v>2128</v>
      </c>
      <c r="C1578">
        <v>20.5</v>
      </c>
      <c r="D1578">
        <v>52</v>
      </c>
      <c r="E1578">
        <f>IF(OR(B1578="vi",B1578="ii",B1578="pod"),(((D1578/100)*(C1578*VLOOKUP(B1578,'Poids des runes'!A:B,2,FALSE)))+1),(((D1578/100)*(C1578*VLOOKUP(B1578,'Poids des runes'!A:B,2,FALSE)))+1)/VLOOKUP(B1578,'Poids des runes'!A:B,2,FALSE))</f>
        <v>3.1320000000000006</v>
      </c>
      <c r="F1578">
        <f t="shared" si="24"/>
        <v>3.1320000000000006</v>
      </c>
    </row>
    <row r="1579" spans="1:6" x14ac:dyDescent="0.3">
      <c r="A1579" t="s">
        <v>504</v>
      </c>
      <c r="B1579" t="s">
        <v>2126</v>
      </c>
      <c r="C1579">
        <v>20.5</v>
      </c>
      <c r="D1579">
        <v>52</v>
      </c>
      <c r="E1579">
        <f>IF(OR(B1579="vi",B1579="ii",B1579="pod"),(((D1579/100)*(C1579*VLOOKUP(B1579,'Poids des runes'!A:B,2,FALSE)))+1),(((D1579/100)*(C1579*VLOOKUP(B1579,'Poids des runes'!A:B,2,FALSE)))+1)/VLOOKUP(B1579,'Poids des runes'!A:B,2,FALSE))</f>
        <v>11.66</v>
      </c>
      <c r="F1579">
        <f t="shared" si="24"/>
        <v>11.66</v>
      </c>
    </row>
    <row r="1580" spans="1:6" x14ac:dyDescent="0.3">
      <c r="A1580" t="s">
        <v>504</v>
      </c>
      <c r="B1580" t="s">
        <v>2131</v>
      </c>
      <c r="C1580">
        <v>20.5</v>
      </c>
      <c r="D1580">
        <v>52</v>
      </c>
      <c r="E1580">
        <f>IF(OR(B1580="vi",B1580="ii",B1580="pod"),(((D1580/100)*(C1580*VLOOKUP(B1580,'Poids des runes'!A:B,2,FALSE)))+1),(((D1580/100)*(C1580*VLOOKUP(B1580,'Poids des runes'!A:B,2,FALSE)))+1)/VLOOKUP(B1580,'Poids des runes'!A:B,2,FALSE))</f>
        <v>11.66</v>
      </c>
      <c r="F1580">
        <f t="shared" si="24"/>
        <v>11.66</v>
      </c>
    </row>
    <row r="1581" spans="1:6" x14ac:dyDescent="0.3">
      <c r="A1581" t="s">
        <v>504</v>
      </c>
      <c r="B1581" t="s">
        <v>2127</v>
      </c>
      <c r="C1581">
        <v>20.5</v>
      </c>
      <c r="D1581">
        <v>52</v>
      </c>
      <c r="E1581">
        <f>IF(OR(B1581="vi",B1581="ii",B1581="pod"),(((D1581/100)*(C1581*VLOOKUP(B1581,'Poids des runes'!A:B,2,FALSE)))+1),(((D1581/100)*(C1581*VLOOKUP(B1581,'Poids des runes'!A:B,2,FALSE)))+1)/VLOOKUP(B1581,'Poids des runes'!A:B,2,FALSE))</f>
        <v>11.66</v>
      </c>
      <c r="F1581">
        <f t="shared" si="24"/>
        <v>11.66</v>
      </c>
    </row>
    <row r="1582" spans="1:6" x14ac:dyDescent="0.3">
      <c r="A1582" t="s">
        <v>504</v>
      </c>
      <c r="B1582" t="s">
        <v>2136</v>
      </c>
      <c r="C1582">
        <v>6</v>
      </c>
      <c r="D1582">
        <v>52</v>
      </c>
      <c r="E1582">
        <f>IF(OR(B1582="vi",B1582="ii",B1582="pod"),(((D1582/100)*(C1582*VLOOKUP(B1582,'Poids des runes'!A:B,2,FALSE)))+1),(((D1582/100)*(C1582*VLOOKUP(B1582,'Poids des runes'!A:B,2,FALSE)))+1)/VLOOKUP(B1582,'Poids des runes'!A:B,2,FALSE))</f>
        <v>3.62</v>
      </c>
      <c r="F1582">
        <f t="shared" si="24"/>
        <v>3.62</v>
      </c>
    </row>
    <row r="1583" spans="1:6" x14ac:dyDescent="0.3">
      <c r="A1583" t="s">
        <v>504</v>
      </c>
      <c r="B1583" t="s">
        <v>2137</v>
      </c>
      <c r="C1583">
        <v>6</v>
      </c>
      <c r="D1583">
        <v>52</v>
      </c>
      <c r="E1583">
        <f>IF(OR(B1583="vi",B1583="ii",B1583="pod"),(((D1583/100)*(C1583*VLOOKUP(B1583,'Poids des runes'!A:B,2,FALSE)))+1),(((D1583/100)*(C1583*VLOOKUP(B1583,'Poids des runes'!A:B,2,FALSE)))+1)/VLOOKUP(B1583,'Poids des runes'!A:B,2,FALSE))</f>
        <v>3.62</v>
      </c>
      <c r="F1583">
        <f t="shared" si="24"/>
        <v>3.62</v>
      </c>
    </row>
    <row r="1584" spans="1:6" x14ac:dyDescent="0.3">
      <c r="A1584" t="s">
        <v>505</v>
      </c>
      <c r="B1584" t="s">
        <v>2128</v>
      </c>
      <c r="C1584">
        <v>50.5</v>
      </c>
      <c r="D1584">
        <v>52</v>
      </c>
      <c r="E1584">
        <f>IF(OR(B1584="vi",B1584="ii",B1584="pod"),(((D1584/100)*(C1584*VLOOKUP(B1584,'Poids des runes'!A:B,2,FALSE)))+1),(((D1584/100)*(C1584*VLOOKUP(B1584,'Poids des runes'!A:B,2,FALSE)))+1)/VLOOKUP(B1584,'Poids des runes'!A:B,2,FALSE))</f>
        <v>6.2520000000000007</v>
      </c>
      <c r="F1584">
        <f t="shared" si="24"/>
        <v>6.2520000000000007</v>
      </c>
    </row>
    <row r="1585" spans="1:6" x14ac:dyDescent="0.3">
      <c r="A1585" t="s">
        <v>505</v>
      </c>
      <c r="B1585" t="s">
        <v>2126</v>
      </c>
      <c r="C1585">
        <v>20.5</v>
      </c>
      <c r="D1585">
        <v>52</v>
      </c>
      <c r="E1585">
        <f>IF(OR(B1585="vi",B1585="ii",B1585="pod"),(((D1585/100)*(C1585*VLOOKUP(B1585,'Poids des runes'!A:B,2,FALSE)))+1),(((D1585/100)*(C1585*VLOOKUP(B1585,'Poids des runes'!A:B,2,FALSE)))+1)/VLOOKUP(B1585,'Poids des runes'!A:B,2,FALSE))</f>
        <v>11.66</v>
      </c>
      <c r="F1585">
        <f t="shared" si="24"/>
        <v>11.66</v>
      </c>
    </row>
    <row r="1586" spans="1:6" x14ac:dyDescent="0.3">
      <c r="A1586" t="s">
        <v>505</v>
      </c>
      <c r="B1586" t="s">
        <v>2129</v>
      </c>
      <c r="C1586">
        <v>13</v>
      </c>
      <c r="D1586">
        <v>52</v>
      </c>
      <c r="E1586">
        <f>IF(OR(B1586="vi",B1586="ii",B1586="pod"),(((D1586/100)*(C1586*VLOOKUP(B1586,'Poids des runes'!A:B,2,FALSE)))+1),(((D1586/100)*(C1586*VLOOKUP(B1586,'Poids des runes'!A:B,2,FALSE)))+1)/VLOOKUP(B1586,'Poids des runes'!A:B,2,FALSE))</f>
        <v>7.76</v>
      </c>
      <c r="F1586">
        <f t="shared" si="24"/>
        <v>7.76</v>
      </c>
    </row>
    <row r="1587" spans="1:6" x14ac:dyDescent="0.3">
      <c r="A1587" t="s">
        <v>505</v>
      </c>
      <c r="B1587" t="s">
        <v>2140</v>
      </c>
      <c r="C1587">
        <v>5.5</v>
      </c>
      <c r="D1587">
        <v>52</v>
      </c>
      <c r="E1587">
        <f>IF(OR(B1587="vi",B1587="ii",B1587="pod"),(((D1587/100)*(C1587*VLOOKUP(B1587,'Poids des runes'!A:B,2,FALSE)))+1),(((D1587/100)*(C1587*VLOOKUP(B1587,'Poids des runes'!A:B,2,FALSE)))+1)/VLOOKUP(B1587,'Poids des runes'!A:B,2,FALSE))</f>
        <v>3.06</v>
      </c>
      <c r="F1587">
        <f t="shared" si="24"/>
        <v>3.06</v>
      </c>
    </row>
    <row r="1588" spans="1:6" x14ac:dyDescent="0.3">
      <c r="A1588" t="s">
        <v>505</v>
      </c>
      <c r="B1588" t="s">
        <v>2163</v>
      </c>
      <c r="C1588">
        <v>5.5</v>
      </c>
      <c r="D1588">
        <v>52</v>
      </c>
      <c r="E1588">
        <f>IF(OR(B1588="vi",B1588="ii",B1588="pod"),(((D1588/100)*(C1588*VLOOKUP(B1588,'Poids des runes'!A:B,2,FALSE)))+1),(((D1588/100)*(C1588*VLOOKUP(B1588,'Poids des runes'!A:B,2,FALSE)))+1)/VLOOKUP(B1588,'Poids des runes'!A:B,2,FALSE))</f>
        <v>3.3600000000000003</v>
      </c>
      <c r="F1588">
        <f t="shared" si="24"/>
        <v>3.3600000000000003</v>
      </c>
    </row>
    <row r="1589" spans="1:6" x14ac:dyDescent="0.3">
      <c r="A1589" t="s">
        <v>506</v>
      </c>
      <c r="B1589" t="s">
        <v>2128</v>
      </c>
      <c r="C1589">
        <v>18</v>
      </c>
      <c r="D1589">
        <v>52</v>
      </c>
      <c r="E1589">
        <f>IF(OR(B1589="vi",B1589="ii",B1589="pod"),(((D1589/100)*(C1589*VLOOKUP(B1589,'Poids des runes'!A:B,2,FALSE)))+1),(((D1589/100)*(C1589*VLOOKUP(B1589,'Poids des runes'!A:B,2,FALSE)))+1)/VLOOKUP(B1589,'Poids des runes'!A:B,2,FALSE))</f>
        <v>2.8719999999999999</v>
      </c>
      <c r="F1589">
        <f t="shared" si="24"/>
        <v>2.8719999999999999</v>
      </c>
    </row>
    <row r="1590" spans="1:6" x14ac:dyDescent="0.3">
      <c r="A1590" t="s">
        <v>506</v>
      </c>
      <c r="B1590" t="s">
        <v>2143</v>
      </c>
      <c r="C1590">
        <v>4.5</v>
      </c>
      <c r="D1590">
        <v>52</v>
      </c>
      <c r="E1590">
        <f>IF(OR(B1590="vi",B1590="ii",B1590="pod"),(((D1590/100)*(C1590*VLOOKUP(B1590,'Poids des runes'!A:B,2,FALSE)))+1),(((D1590/100)*(C1590*VLOOKUP(B1590,'Poids des runes'!A:B,2,FALSE)))+1)/VLOOKUP(B1590,'Poids des runes'!A:B,2,FALSE))</f>
        <v>2.54</v>
      </c>
      <c r="F1590">
        <f t="shared" si="24"/>
        <v>2.54</v>
      </c>
    </row>
    <row r="1591" spans="1:6" x14ac:dyDescent="0.3">
      <c r="A1591" t="s">
        <v>506</v>
      </c>
      <c r="B1591" t="s">
        <v>2153</v>
      </c>
      <c r="C1591">
        <v>4.5</v>
      </c>
      <c r="D1591">
        <v>52</v>
      </c>
      <c r="E1591">
        <f>IF(OR(B1591="vi",B1591="ii",B1591="pod"),(((D1591/100)*(C1591*VLOOKUP(B1591,'Poids des runes'!A:B,2,FALSE)))+1),(((D1591/100)*(C1591*VLOOKUP(B1591,'Poids des runes'!A:B,2,FALSE)))+1)/VLOOKUP(B1591,'Poids des runes'!A:B,2,FALSE))</f>
        <v>2.54</v>
      </c>
      <c r="F1591">
        <f t="shared" si="24"/>
        <v>2.54</v>
      </c>
    </row>
    <row r="1592" spans="1:6" x14ac:dyDescent="0.3">
      <c r="A1592" t="s">
        <v>506</v>
      </c>
      <c r="B1592" t="s">
        <v>2160</v>
      </c>
      <c r="C1592">
        <v>4.5</v>
      </c>
      <c r="D1592">
        <v>52</v>
      </c>
      <c r="E1592">
        <f>IF(OR(B1592="vi",B1592="ii",B1592="pod"),(((D1592/100)*(C1592*VLOOKUP(B1592,'Poids des runes'!A:B,2,FALSE)))+1),(((D1592/100)*(C1592*VLOOKUP(B1592,'Poids des runes'!A:B,2,FALSE)))+1)/VLOOKUP(B1592,'Poids des runes'!A:B,2,FALSE))</f>
        <v>2.4828571428571427</v>
      </c>
      <c r="F1592">
        <f t="shared" si="24"/>
        <v>2.4828571428571427</v>
      </c>
    </row>
    <row r="1593" spans="1:6" x14ac:dyDescent="0.3">
      <c r="A1593" t="s">
        <v>506</v>
      </c>
      <c r="B1593" t="s">
        <v>2162</v>
      </c>
      <c r="C1593">
        <v>4.5</v>
      </c>
      <c r="D1593">
        <v>52</v>
      </c>
      <c r="E1593">
        <f>IF(OR(B1593="vi",B1593="ii",B1593="pod"),(((D1593/100)*(C1593*VLOOKUP(B1593,'Poids des runes'!A:B,2,FALSE)))+1),(((D1593/100)*(C1593*VLOOKUP(B1593,'Poids des runes'!A:B,2,FALSE)))+1)/VLOOKUP(B1593,'Poids des runes'!A:B,2,FALSE))</f>
        <v>2.4828571428571427</v>
      </c>
      <c r="F1593">
        <f t="shared" si="24"/>
        <v>2.4828571428571427</v>
      </c>
    </row>
    <row r="1594" spans="1:6" x14ac:dyDescent="0.3">
      <c r="A1594" t="s">
        <v>507</v>
      </c>
      <c r="B1594" t="s">
        <v>2128</v>
      </c>
      <c r="C1594">
        <v>18</v>
      </c>
      <c r="D1594">
        <v>52</v>
      </c>
      <c r="E1594">
        <f>IF(OR(B1594="vi",B1594="ii",B1594="pod"),(((D1594/100)*(C1594*VLOOKUP(B1594,'Poids des runes'!A:B,2,FALSE)))+1),(((D1594/100)*(C1594*VLOOKUP(B1594,'Poids des runes'!A:B,2,FALSE)))+1)/VLOOKUP(B1594,'Poids des runes'!A:B,2,FALSE))</f>
        <v>2.8719999999999999</v>
      </c>
      <c r="F1594">
        <f t="shared" si="24"/>
        <v>2.8719999999999999</v>
      </c>
    </row>
    <row r="1595" spans="1:6" x14ac:dyDescent="0.3">
      <c r="A1595" t="s">
        <v>507</v>
      </c>
      <c r="B1595" t="s">
        <v>2140</v>
      </c>
      <c r="C1595">
        <v>4.5</v>
      </c>
      <c r="D1595">
        <v>52</v>
      </c>
      <c r="E1595">
        <f>IF(OR(B1595="vi",B1595="ii",B1595="pod"),(((D1595/100)*(C1595*VLOOKUP(B1595,'Poids des runes'!A:B,2,FALSE)))+1),(((D1595/100)*(C1595*VLOOKUP(B1595,'Poids des runes'!A:B,2,FALSE)))+1)/VLOOKUP(B1595,'Poids des runes'!A:B,2,FALSE))</f>
        <v>2.54</v>
      </c>
      <c r="F1595">
        <f t="shared" si="24"/>
        <v>2.54</v>
      </c>
    </row>
    <row r="1596" spans="1:6" x14ac:dyDescent="0.3">
      <c r="A1596" t="s">
        <v>507</v>
      </c>
      <c r="B1596" t="s">
        <v>2133</v>
      </c>
      <c r="C1596">
        <v>4.5</v>
      </c>
      <c r="D1596">
        <v>52</v>
      </c>
      <c r="E1596">
        <f>IF(OR(B1596="vi",B1596="ii",B1596="pod"),(((D1596/100)*(C1596*VLOOKUP(B1596,'Poids des runes'!A:B,2,FALSE)))+1),(((D1596/100)*(C1596*VLOOKUP(B1596,'Poids des runes'!A:B,2,FALSE)))+1)/VLOOKUP(B1596,'Poids des runes'!A:B,2,FALSE))</f>
        <v>2.54</v>
      </c>
      <c r="F1596">
        <f t="shared" si="24"/>
        <v>2.54</v>
      </c>
    </row>
    <row r="1597" spans="1:6" x14ac:dyDescent="0.3">
      <c r="A1597" t="s">
        <v>507</v>
      </c>
      <c r="B1597" t="s">
        <v>2159</v>
      </c>
      <c r="C1597">
        <v>4.5</v>
      </c>
      <c r="D1597">
        <v>52</v>
      </c>
      <c r="E1597">
        <f>IF(OR(B1597="vi",B1597="ii",B1597="pod"),(((D1597/100)*(C1597*VLOOKUP(B1597,'Poids des runes'!A:B,2,FALSE)))+1),(((D1597/100)*(C1597*VLOOKUP(B1597,'Poids des runes'!A:B,2,FALSE)))+1)/VLOOKUP(B1597,'Poids des runes'!A:B,2,FALSE))</f>
        <v>2.4828571428571427</v>
      </c>
      <c r="F1597">
        <f t="shared" si="24"/>
        <v>2.4828571428571427</v>
      </c>
    </row>
    <row r="1598" spans="1:6" x14ac:dyDescent="0.3">
      <c r="A1598" t="s">
        <v>507</v>
      </c>
      <c r="B1598" t="s">
        <v>2165</v>
      </c>
      <c r="C1598">
        <v>4.5</v>
      </c>
      <c r="D1598">
        <v>52</v>
      </c>
      <c r="E1598">
        <f>IF(OR(B1598="vi",B1598="ii",B1598="pod"),(((D1598/100)*(C1598*VLOOKUP(B1598,'Poids des runes'!A:B,2,FALSE)))+1),(((D1598/100)*(C1598*VLOOKUP(B1598,'Poids des runes'!A:B,2,FALSE)))+1)/VLOOKUP(B1598,'Poids des runes'!A:B,2,FALSE))</f>
        <v>2.4828571428571427</v>
      </c>
      <c r="F1598">
        <f t="shared" si="24"/>
        <v>2.4828571428571427</v>
      </c>
    </row>
    <row r="1599" spans="1:6" x14ac:dyDescent="0.3">
      <c r="A1599" t="s">
        <v>508</v>
      </c>
      <c r="B1599" t="s">
        <v>2131</v>
      </c>
      <c r="C1599">
        <v>18</v>
      </c>
      <c r="D1599">
        <v>53</v>
      </c>
      <c r="E1599">
        <f>IF(OR(B1599="vi",B1599="ii",B1599="pod"),(((D1599/100)*(C1599*VLOOKUP(B1599,'Poids des runes'!A:B,2,FALSE)))+1),(((D1599/100)*(C1599*VLOOKUP(B1599,'Poids des runes'!A:B,2,FALSE)))+1)/VLOOKUP(B1599,'Poids des runes'!A:B,2,FALSE))</f>
        <v>10.540000000000001</v>
      </c>
      <c r="F1599">
        <f t="shared" si="24"/>
        <v>10.540000000000001</v>
      </c>
    </row>
    <row r="1600" spans="1:6" x14ac:dyDescent="0.3">
      <c r="A1600" t="s">
        <v>508</v>
      </c>
      <c r="B1600" t="s">
        <v>2154</v>
      </c>
      <c r="C1600">
        <v>1</v>
      </c>
      <c r="D1600">
        <v>53</v>
      </c>
      <c r="E1600">
        <f>IF(OR(B1600="vi",B1600="ii",B1600="pod"),(((D1600/100)*(C1600*VLOOKUP(B1600,'Poids des runes'!A:B,2,FALSE)))+1),(((D1600/100)*(C1600*VLOOKUP(B1600,'Poids des runes'!A:B,2,FALSE)))+1)/VLOOKUP(B1600,'Poids des runes'!A:B,2,FALSE))</f>
        <v>0.5411111111111111</v>
      </c>
      <c r="F1600">
        <f t="shared" si="24"/>
        <v>0.5411111111111111</v>
      </c>
    </row>
    <row r="1601" spans="1:6" x14ac:dyDescent="0.3">
      <c r="A1601" t="s">
        <v>508</v>
      </c>
      <c r="B1601" t="s">
        <v>2161</v>
      </c>
      <c r="C1601">
        <v>4.5</v>
      </c>
      <c r="D1601">
        <v>53</v>
      </c>
      <c r="E1601">
        <f>IF(OR(B1601="vi",B1601="ii",B1601="pod"),(((D1601/100)*(C1601*VLOOKUP(B1601,'Poids des runes'!A:B,2,FALSE)))+1),(((D1601/100)*(C1601*VLOOKUP(B1601,'Poids des runes'!A:B,2,FALSE)))+1)/VLOOKUP(B1601,'Poids des runes'!A:B,2,FALSE))</f>
        <v>2.7183333333333337</v>
      </c>
      <c r="F1601">
        <f t="shared" si="24"/>
        <v>2.7183333333333337</v>
      </c>
    </row>
    <row r="1602" spans="1:6" x14ac:dyDescent="0.3">
      <c r="A1602" t="s">
        <v>509</v>
      </c>
      <c r="B1602" t="s">
        <v>2151</v>
      </c>
      <c r="C1602">
        <v>6.5</v>
      </c>
      <c r="D1602">
        <v>53</v>
      </c>
      <c r="E1602">
        <f>IF(OR(B1602="vi",B1602="ii",B1602="pod"),(((D1602/100)*(C1602*VLOOKUP(B1602,'Poids des runes'!A:B,2,FALSE)))+1),(((D1602/100)*(C1602*VLOOKUP(B1602,'Poids des runes'!A:B,2,FALSE)))+1)/VLOOKUP(B1602,'Poids des runes'!A:B,2,FALSE))</f>
        <v>3.5450000000000004</v>
      </c>
      <c r="F1602">
        <f t="shared" si="24"/>
        <v>3.5450000000000004</v>
      </c>
    </row>
    <row r="1603" spans="1:6" x14ac:dyDescent="0.3">
      <c r="A1603" t="s">
        <v>509</v>
      </c>
      <c r="B1603" t="s">
        <v>2134</v>
      </c>
      <c r="C1603">
        <v>4</v>
      </c>
      <c r="D1603">
        <v>53</v>
      </c>
      <c r="E1603">
        <f>IF(OR(B1603="vi",B1603="ii",B1603="pod"),(((D1603/100)*(C1603*VLOOKUP(B1603,'Poids des runes'!A:B,2,FALSE)))+1),(((D1603/100)*(C1603*VLOOKUP(B1603,'Poids des runes'!A:B,2,FALSE)))+1)/VLOOKUP(B1603,'Poids des runes'!A:B,2,FALSE))</f>
        <v>2.1700000000000004</v>
      </c>
      <c r="F1603">
        <f t="shared" ref="F1603:F1666" si="25">E1603</f>
        <v>2.1700000000000004</v>
      </c>
    </row>
    <row r="1604" spans="1:6" x14ac:dyDescent="0.3">
      <c r="A1604" t="s">
        <v>509</v>
      </c>
      <c r="B1604" t="s">
        <v>2132</v>
      </c>
      <c r="C1604">
        <v>75.5</v>
      </c>
      <c r="D1604">
        <v>53</v>
      </c>
      <c r="E1604">
        <f>IF(OR(B1604="vi",B1604="ii",B1604="pod"),(((D1604/100)*(C1604*VLOOKUP(B1604,'Poids des runes'!A:B,2,FALSE)))+1),(((D1604/100)*(C1604*VLOOKUP(B1604,'Poids des runes'!A:B,2,FALSE)))+1)/VLOOKUP(B1604,'Poids des runes'!A:B,2,FALSE))</f>
        <v>5.0015000000000009</v>
      </c>
      <c r="F1604">
        <f t="shared" si="25"/>
        <v>5.0015000000000009</v>
      </c>
    </row>
    <row r="1605" spans="1:6" x14ac:dyDescent="0.3">
      <c r="A1605" t="s">
        <v>510</v>
      </c>
      <c r="B1605" t="s">
        <v>2130</v>
      </c>
      <c r="C1605">
        <v>23</v>
      </c>
      <c r="D1605">
        <v>53</v>
      </c>
      <c r="E1605">
        <f>IF(OR(B1605="vi",B1605="ii",B1605="pod"),(((D1605/100)*(C1605*VLOOKUP(B1605,'Poids des runes'!A:B,2,FALSE)))+1),(((D1605/100)*(C1605*VLOOKUP(B1605,'Poids des runes'!A:B,2,FALSE)))+1)/VLOOKUP(B1605,'Poids des runes'!A:B,2,FALSE))</f>
        <v>13.190000000000001</v>
      </c>
      <c r="F1605">
        <f t="shared" si="25"/>
        <v>13.190000000000001</v>
      </c>
    </row>
    <row r="1606" spans="1:6" x14ac:dyDescent="0.3">
      <c r="A1606" t="s">
        <v>510</v>
      </c>
      <c r="B1606" t="s">
        <v>2132</v>
      </c>
      <c r="C1606">
        <v>125.5</v>
      </c>
      <c r="D1606">
        <v>53</v>
      </c>
      <c r="E1606">
        <f>IF(OR(B1606="vi",B1606="ii",B1606="pod"),(((D1606/100)*(C1606*VLOOKUP(B1606,'Poids des runes'!A:B,2,FALSE)))+1),(((D1606/100)*(C1606*VLOOKUP(B1606,'Poids des runes'!A:B,2,FALSE)))+1)/VLOOKUP(B1606,'Poids des runes'!A:B,2,FALSE))</f>
        <v>7.6515000000000004</v>
      </c>
      <c r="F1606">
        <f t="shared" si="25"/>
        <v>7.6515000000000004</v>
      </c>
    </row>
    <row r="1607" spans="1:6" x14ac:dyDescent="0.3">
      <c r="A1607" t="s">
        <v>510</v>
      </c>
      <c r="B1607" t="s">
        <v>2148</v>
      </c>
      <c r="C1607">
        <v>4</v>
      </c>
      <c r="D1607">
        <v>53</v>
      </c>
      <c r="E1607">
        <f>IF(OR(B1607="vi",B1607="ii",B1607="pod"),(((D1607/100)*(C1607*VLOOKUP(B1607,'Poids des runes'!A:B,2,FALSE)))+1),(((D1607/100)*(C1607*VLOOKUP(B1607,'Poids des runes'!A:B,2,FALSE)))+1)/VLOOKUP(B1607,'Poids des runes'!A:B,2,FALSE))</f>
        <v>2.2866666666666666</v>
      </c>
      <c r="F1607">
        <f t="shared" si="25"/>
        <v>2.2866666666666666</v>
      </c>
    </row>
    <row r="1608" spans="1:6" x14ac:dyDescent="0.3">
      <c r="A1608" t="s">
        <v>510</v>
      </c>
      <c r="B1608" t="s">
        <v>2136</v>
      </c>
      <c r="C1608">
        <v>4</v>
      </c>
      <c r="D1608">
        <v>53</v>
      </c>
      <c r="E1608">
        <f>IF(OR(B1608="vi",B1608="ii",B1608="pod"),(((D1608/100)*(C1608*VLOOKUP(B1608,'Poids des runes'!A:B,2,FALSE)))+1),(((D1608/100)*(C1608*VLOOKUP(B1608,'Poids des runes'!A:B,2,FALSE)))+1)/VLOOKUP(B1608,'Poids des runes'!A:B,2,FALSE))</f>
        <v>2.62</v>
      </c>
      <c r="F1608">
        <f t="shared" si="25"/>
        <v>2.62</v>
      </c>
    </row>
    <row r="1609" spans="1:6" x14ac:dyDescent="0.3">
      <c r="A1609" t="s">
        <v>510</v>
      </c>
      <c r="B1609" t="s">
        <v>2137</v>
      </c>
      <c r="C1609">
        <v>4</v>
      </c>
      <c r="D1609">
        <v>53</v>
      </c>
      <c r="E1609">
        <f>IF(OR(B1609="vi",B1609="ii",B1609="pod"),(((D1609/100)*(C1609*VLOOKUP(B1609,'Poids des runes'!A:B,2,FALSE)))+1),(((D1609/100)*(C1609*VLOOKUP(B1609,'Poids des runes'!A:B,2,FALSE)))+1)/VLOOKUP(B1609,'Poids des runes'!A:B,2,FALSE))</f>
        <v>2.62</v>
      </c>
      <c r="F1609">
        <f t="shared" si="25"/>
        <v>2.62</v>
      </c>
    </row>
    <row r="1610" spans="1:6" x14ac:dyDescent="0.3">
      <c r="A1610" t="s">
        <v>511</v>
      </c>
      <c r="B1610" t="s">
        <v>2126</v>
      </c>
      <c r="C1610">
        <v>23</v>
      </c>
      <c r="D1610">
        <v>53</v>
      </c>
      <c r="E1610">
        <f>IF(OR(B1610="vi",B1610="ii",B1610="pod"),(((D1610/100)*(C1610*VLOOKUP(B1610,'Poids des runes'!A:B,2,FALSE)))+1),(((D1610/100)*(C1610*VLOOKUP(B1610,'Poids des runes'!A:B,2,FALSE)))+1)/VLOOKUP(B1610,'Poids des runes'!A:B,2,FALSE))</f>
        <v>13.190000000000001</v>
      </c>
      <c r="F1610">
        <f t="shared" si="25"/>
        <v>13.190000000000001</v>
      </c>
    </row>
    <row r="1611" spans="1:6" x14ac:dyDescent="0.3">
      <c r="A1611" t="s">
        <v>511</v>
      </c>
      <c r="B1611" t="s">
        <v>2132</v>
      </c>
      <c r="C1611">
        <v>125.5</v>
      </c>
      <c r="D1611">
        <v>53</v>
      </c>
      <c r="E1611">
        <f>IF(OR(B1611="vi",B1611="ii",B1611="pod"),(((D1611/100)*(C1611*VLOOKUP(B1611,'Poids des runes'!A:B,2,FALSE)))+1),(((D1611/100)*(C1611*VLOOKUP(B1611,'Poids des runes'!A:B,2,FALSE)))+1)/VLOOKUP(B1611,'Poids des runes'!A:B,2,FALSE))</f>
        <v>7.6515000000000004</v>
      </c>
      <c r="F1611">
        <f t="shared" si="25"/>
        <v>7.6515000000000004</v>
      </c>
    </row>
    <row r="1612" spans="1:6" x14ac:dyDescent="0.3">
      <c r="A1612" t="s">
        <v>511</v>
      </c>
      <c r="B1612" t="s">
        <v>2147</v>
      </c>
      <c r="C1612">
        <v>4</v>
      </c>
      <c r="D1612">
        <v>53</v>
      </c>
      <c r="E1612">
        <f>IF(OR(B1612="vi",B1612="ii",B1612="pod"),(((D1612/100)*(C1612*VLOOKUP(B1612,'Poids des runes'!A:B,2,FALSE)))+1),(((D1612/100)*(C1612*VLOOKUP(B1612,'Poids des runes'!A:B,2,FALSE)))+1)/VLOOKUP(B1612,'Poids des runes'!A:B,2,FALSE))</f>
        <v>2.2866666666666666</v>
      </c>
      <c r="F1612">
        <f t="shared" si="25"/>
        <v>2.2866666666666666</v>
      </c>
    </row>
    <row r="1613" spans="1:6" x14ac:dyDescent="0.3">
      <c r="A1613" t="s">
        <v>511</v>
      </c>
      <c r="B1613" t="s">
        <v>2144</v>
      </c>
      <c r="C1613">
        <v>4</v>
      </c>
      <c r="D1613">
        <v>53</v>
      </c>
      <c r="E1613">
        <f>IF(OR(B1613="vi",B1613="ii",B1613="pod"),(((D1613/100)*(C1613*VLOOKUP(B1613,'Poids des runes'!A:B,2,FALSE)))+1),(((D1613/100)*(C1613*VLOOKUP(B1613,'Poids des runes'!A:B,2,FALSE)))+1)/VLOOKUP(B1613,'Poids des runes'!A:B,2,FALSE))</f>
        <v>2.62</v>
      </c>
      <c r="F1613">
        <f t="shared" si="25"/>
        <v>2.62</v>
      </c>
    </row>
    <row r="1614" spans="1:6" x14ac:dyDescent="0.3">
      <c r="A1614" t="s">
        <v>511</v>
      </c>
      <c r="B1614" t="s">
        <v>2145</v>
      </c>
      <c r="C1614">
        <v>4</v>
      </c>
      <c r="D1614">
        <v>53</v>
      </c>
      <c r="E1614">
        <f>IF(OR(B1614="vi",B1614="ii",B1614="pod"),(((D1614/100)*(C1614*VLOOKUP(B1614,'Poids des runes'!A:B,2,FALSE)))+1),(((D1614/100)*(C1614*VLOOKUP(B1614,'Poids des runes'!A:B,2,FALSE)))+1)/VLOOKUP(B1614,'Poids des runes'!A:B,2,FALSE))</f>
        <v>2.62</v>
      </c>
      <c r="F1614">
        <f t="shared" si="25"/>
        <v>2.62</v>
      </c>
    </row>
    <row r="1615" spans="1:6" x14ac:dyDescent="0.3">
      <c r="A1615" t="s">
        <v>511</v>
      </c>
      <c r="B1615" t="s">
        <v>2146</v>
      </c>
      <c r="C1615">
        <v>4</v>
      </c>
      <c r="D1615">
        <v>53</v>
      </c>
      <c r="E1615">
        <f>IF(OR(B1615="vi",B1615="ii",B1615="pod"),(((D1615/100)*(C1615*VLOOKUP(B1615,'Poids des runes'!A:B,2,FALSE)))+1),(((D1615/100)*(C1615*VLOOKUP(B1615,'Poids des runes'!A:B,2,FALSE)))+1)/VLOOKUP(B1615,'Poids des runes'!A:B,2,FALSE))</f>
        <v>2.62</v>
      </c>
      <c r="F1615">
        <f t="shared" si="25"/>
        <v>2.62</v>
      </c>
    </row>
    <row r="1616" spans="1:6" x14ac:dyDescent="0.3">
      <c r="A1616" t="s">
        <v>512</v>
      </c>
      <c r="B1616" t="s">
        <v>2126</v>
      </c>
      <c r="C1616">
        <v>28</v>
      </c>
      <c r="D1616">
        <v>53</v>
      </c>
      <c r="E1616">
        <f>IF(OR(B1616="vi",B1616="ii",B1616="pod"),(((D1616/100)*(C1616*VLOOKUP(B1616,'Poids des runes'!A:B,2,FALSE)))+1),(((D1616/100)*(C1616*VLOOKUP(B1616,'Poids des runes'!A:B,2,FALSE)))+1)/VLOOKUP(B1616,'Poids des runes'!A:B,2,FALSE))</f>
        <v>15.84</v>
      </c>
      <c r="F1616">
        <f t="shared" si="25"/>
        <v>15.84</v>
      </c>
    </row>
    <row r="1617" spans="1:6" x14ac:dyDescent="0.3">
      <c r="A1617" t="s">
        <v>512</v>
      </c>
      <c r="B1617" t="s">
        <v>2131</v>
      </c>
      <c r="C1617">
        <v>28</v>
      </c>
      <c r="D1617">
        <v>53</v>
      </c>
      <c r="E1617">
        <f>IF(OR(B1617="vi",B1617="ii",B1617="pod"),(((D1617/100)*(C1617*VLOOKUP(B1617,'Poids des runes'!A:B,2,FALSE)))+1),(((D1617/100)*(C1617*VLOOKUP(B1617,'Poids des runes'!A:B,2,FALSE)))+1)/VLOOKUP(B1617,'Poids des runes'!A:B,2,FALSE))</f>
        <v>15.84</v>
      </c>
      <c r="F1617">
        <f t="shared" si="25"/>
        <v>15.84</v>
      </c>
    </row>
    <row r="1618" spans="1:6" x14ac:dyDescent="0.3">
      <c r="A1618" t="s">
        <v>512</v>
      </c>
      <c r="B1618" t="s">
        <v>2161</v>
      </c>
      <c r="C1618">
        <v>4.5</v>
      </c>
      <c r="D1618">
        <v>53</v>
      </c>
      <c r="E1618">
        <f>IF(OR(B1618="vi",B1618="ii",B1618="pod"),(((D1618/100)*(C1618*VLOOKUP(B1618,'Poids des runes'!A:B,2,FALSE)))+1),(((D1618/100)*(C1618*VLOOKUP(B1618,'Poids des runes'!A:B,2,FALSE)))+1)/VLOOKUP(B1618,'Poids des runes'!A:B,2,FALSE))</f>
        <v>2.7183333333333337</v>
      </c>
      <c r="F1618">
        <f t="shared" si="25"/>
        <v>2.7183333333333337</v>
      </c>
    </row>
    <row r="1619" spans="1:6" x14ac:dyDescent="0.3">
      <c r="A1619" t="s">
        <v>512</v>
      </c>
      <c r="B1619" t="s">
        <v>2144</v>
      </c>
      <c r="C1619">
        <v>3.5</v>
      </c>
      <c r="D1619">
        <v>53</v>
      </c>
      <c r="E1619">
        <f>IF(OR(B1619="vi",B1619="ii",B1619="pod"),(((D1619/100)*(C1619*VLOOKUP(B1619,'Poids des runes'!A:B,2,FALSE)))+1),(((D1619/100)*(C1619*VLOOKUP(B1619,'Poids des runes'!A:B,2,FALSE)))+1)/VLOOKUP(B1619,'Poids des runes'!A:B,2,FALSE))</f>
        <v>2.355</v>
      </c>
      <c r="F1619">
        <f t="shared" si="25"/>
        <v>2.355</v>
      </c>
    </row>
    <row r="1620" spans="1:6" x14ac:dyDescent="0.3">
      <c r="A1620" t="s">
        <v>512</v>
      </c>
      <c r="B1620" t="s">
        <v>2146</v>
      </c>
      <c r="C1620">
        <v>3.5</v>
      </c>
      <c r="D1620">
        <v>53</v>
      </c>
      <c r="E1620">
        <f>IF(OR(B1620="vi",B1620="ii",B1620="pod"),(((D1620/100)*(C1620*VLOOKUP(B1620,'Poids des runes'!A:B,2,FALSE)))+1),(((D1620/100)*(C1620*VLOOKUP(B1620,'Poids des runes'!A:B,2,FALSE)))+1)/VLOOKUP(B1620,'Poids des runes'!A:B,2,FALSE))</f>
        <v>2.355</v>
      </c>
      <c r="F1620">
        <f t="shared" si="25"/>
        <v>2.355</v>
      </c>
    </row>
    <row r="1621" spans="1:6" x14ac:dyDescent="0.3">
      <c r="A1621" t="s">
        <v>513</v>
      </c>
      <c r="B1621" t="s">
        <v>2128</v>
      </c>
      <c r="C1621">
        <v>35.5</v>
      </c>
      <c r="D1621">
        <v>53</v>
      </c>
      <c r="E1621">
        <f>IF(OR(B1621="vi",B1621="ii",B1621="pod"),(((D1621/100)*(C1621*VLOOKUP(B1621,'Poids des runes'!A:B,2,FALSE)))+1),(((D1621/100)*(C1621*VLOOKUP(B1621,'Poids des runes'!A:B,2,FALSE)))+1)/VLOOKUP(B1621,'Poids des runes'!A:B,2,FALSE))</f>
        <v>4.7629999999999999</v>
      </c>
      <c r="F1621">
        <f t="shared" si="25"/>
        <v>4.7629999999999999</v>
      </c>
    </row>
    <row r="1622" spans="1:6" x14ac:dyDescent="0.3">
      <c r="A1622" t="s">
        <v>513</v>
      </c>
      <c r="B1622" t="s">
        <v>2129</v>
      </c>
      <c r="C1622">
        <v>13</v>
      </c>
      <c r="D1622">
        <v>53</v>
      </c>
      <c r="E1622">
        <f>IF(OR(B1622="vi",B1622="ii",B1622="pod"),(((D1622/100)*(C1622*VLOOKUP(B1622,'Poids des runes'!A:B,2,FALSE)))+1),(((D1622/100)*(C1622*VLOOKUP(B1622,'Poids des runes'!A:B,2,FALSE)))+1)/VLOOKUP(B1622,'Poids des runes'!A:B,2,FALSE))</f>
        <v>7.8900000000000006</v>
      </c>
      <c r="F1622">
        <f t="shared" si="25"/>
        <v>7.8900000000000006</v>
      </c>
    </row>
    <row r="1623" spans="1:6" x14ac:dyDescent="0.3">
      <c r="A1623" t="s">
        <v>513</v>
      </c>
      <c r="B1623" t="s">
        <v>2155</v>
      </c>
      <c r="C1623">
        <v>1</v>
      </c>
      <c r="D1623">
        <v>53</v>
      </c>
      <c r="E1623">
        <f>IF(OR(B1623="vi",B1623="ii",B1623="pod"),(((D1623/100)*(C1623*VLOOKUP(B1623,'Poids des runes'!A:B,2,FALSE)))+1),(((D1623/100)*(C1623*VLOOKUP(B1623,'Poids des runes'!A:B,2,FALSE)))+1)/VLOOKUP(B1623,'Poids des runes'!A:B,2,FALSE))</f>
        <v>0.54960784313725497</v>
      </c>
      <c r="F1623">
        <f t="shared" si="25"/>
        <v>0.54960784313725497</v>
      </c>
    </row>
    <row r="1624" spans="1:6" x14ac:dyDescent="0.3">
      <c r="A1624" t="s">
        <v>513</v>
      </c>
      <c r="B1624" t="s">
        <v>2134</v>
      </c>
      <c r="C1624">
        <v>3</v>
      </c>
      <c r="D1624">
        <v>53</v>
      </c>
      <c r="E1624">
        <f>IF(OR(B1624="vi",B1624="ii",B1624="pod"),(((D1624/100)*(C1624*VLOOKUP(B1624,'Poids des runes'!A:B,2,FALSE)))+1),(((D1624/100)*(C1624*VLOOKUP(B1624,'Poids des runes'!A:B,2,FALSE)))+1)/VLOOKUP(B1624,'Poids des runes'!A:B,2,FALSE))</f>
        <v>1.64</v>
      </c>
      <c r="F1624">
        <f t="shared" si="25"/>
        <v>1.64</v>
      </c>
    </row>
    <row r="1625" spans="1:6" x14ac:dyDescent="0.3">
      <c r="A1625" t="s">
        <v>514</v>
      </c>
      <c r="B1625" t="s">
        <v>2128</v>
      </c>
      <c r="C1625">
        <v>20.5</v>
      </c>
      <c r="D1625">
        <v>53</v>
      </c>
      <c r="E1625">
        <f>IF(OR(B1625="vi",B1625="ii",B1625="pod"),(((D1625/100)*(C1625*VLOOKUP(B1625,'Poids des runes'!A:B,2,FALSE)))+1),(((D1625/100)*(C1625*VLOOKUP(B1625,'Poids des runes'!A:B,2,FALSE)))+1)/VLOOKUP(B1625,'Poids des runes'!A:B,2,FALSE))</f>
        <v>3.1730000000000005</v>
      </c>
      <c r="F1625">
        <f t="shared" si="25"/>
        <v>3.1730000000000005</v>
      </c>
    </row>
    <row r="1626" spans="1:6" x14ac:dyDescent="0.3">
      <c r="A1626" t="s">
        <v>514</v>
      </c>
      <c r="B1626" t="s">
        <v>2151</v>
      </c>
      <c r="C1626">
        <v>2</v>
      </c>
      <c r="D1626">
        <v>53</v>
      </c>
      <c r="E1626">
        <f>IF(OR(B1626="vi",B1626="ii",B1626="pod"),(((D1626/100)*(C1626*VLOOKUP(B1626,'Poids des runes'!A:B,2,FALSE)))+1),(((D1626/100)*(C1626*VLOOKUP(B1626,'Poids des runes'!A:B,2,FALSE)))+1)/VLOOKUP(B1626,'Poids des runes'!A:B,2,FALSE))</f>
        <v>1.1600000000000001</v>
      </c>
      <c r="F1626">
        <f t="shared" si="25"/>
        <v>1.1600000000000001</v>
      </c>
    </row>
    <row r="1627" spans="1:6" x14ac:dyDescent="0.3">
      <c r="A1627" t="s">
        <v>514</v>
      </c>
      <c r="B1627" t="s">
        <v>2154</v>
      </c>
      <c r="C1627">
        <v>1</v>
      </c>
      <c r="D1627">
        <v>53</v>
      </c>
      <c r="E1627">
        <f>IF(OR(B1627="vi",B1627="ii",B1627="pod"),(((D1627/100)*(C1627*VLOOKUP(B1627,'Poids des runes'!A:B,2,FALSE)))+1),(((D1627/100)*(C1627*VLOOKUP(B1627,'Poids des runes'!A:B,2,FALSE)))+1)/VLOOKUP(B1627,'Poids des runes'!A:B,2,FALSE))</f>
        <v>0.5411111111111111</v>
      </c>
      <c r="F1627">
        <f t="shared" si="25"/>
        <v>0.5411111111111111</v>
      </c>
    </row>
    <row r="1628" spans="1:6" x14ac:dyDescent="0.3">
      <c r="A1628" t="s">
        <v>514</v>
      </c>
      <c r="B1628" t="s">
        <v>2153</v>
      </c>
      <c r="C1628">
        <v>2.5</v>
      </c>
      <c r="D1628">
        <v>53</v>
      </c>
      <c r="E1628">
        <f>IF(OR(B1628="vi",B1628="ii",B1628="pod"),(((D1628/100)*(C1628*VLOOKUP(B1628,'Poids des runes'!A:B,2,FALSE)))+1),(((D1628/100)*(C1628*VLOOKUP(B1628,'Poids des runes'!A:B,2,FALSE)))+1)/VLOOKUP(B1628,'Poids des runes'!A:B,2,FALSE))</f>
        <v>1.5249999999999999</v>
      </c>
      <c r="F1628">
        <f t="shared" si="25"/>
        <v>1.5249999999999999</v>
      </c>
    </row>
    <row r="1629" spans="1:6" x14ac:dyDescent="0.3">
      <c r="A1629" t="s">
        <v>514</v>
      </c>
      <c r="B1629" t="s">
        <v>2162</v>
      </c>
      <c r="C1629">
        <v>2.5</v>
      </c>
      <c r="D1629">
        <v>53</v>
      </c>
      <c r="E1629">
        <f>IF(OR(B1629="vi",B1629="ii",B1629="pod"),(((D1629/100)*(C1629*VLOOKUP(B1629,'Poids des runes'!A:B,2,FALSE)))+1),(((D1629/100)*(C1629*VLOOKUP(B1629,'Poids des runes'!A:B,2,FALSE)))+1)/VLOOKUP(B1629,'Poids des runes'!A:B,2,FALSE))</f>
        <v>1.467857142857143</v>
      </c>
      <c r="F1629">
        <f t="shared" si="25"/>
        <v>1.467857142857143</v>
      </c>
    </row>
    <row r="1630" spans="1:6" x14ac:dyDescent="0.3">
      <c r="A1630" t="s">
        <v>515</v>
      </c>
      <c r="B1630" t="s">
        <v>2128</v>
      </c>
      <c r="C1630">
        <v>25.5</v>
      </c>
      <c r="D1630">
        <v>53</v>
      </c>
      <c r="E1630">
        <f>IF(OR(B1630="vi",B1630="ii",B1630="pod"),(((D1630/100)*(C1630*VLOOKUP(B1630,'Poids des runes'!A:B,2,FALSE)))+1),(((D1630/100)*(C1630*VLOOKUP(B1630,'Poids des runes'!A:B,2,FALSE)))+1)/VLOOKUP(B1630,'Poids des runes'!A:B,2,FALSE))</f>
        <v>3.7030000000000003</v>
      </c>
      <c r="F1630">
        <f t="shared" si="25"/>
        <v>3.7030000000000003</v>
      </c>
    </row>
    <row r="1631" spans="1:6" x14ac:dyDescent="0.3">
      <c r="A1631" t="s">
        <v>515</v>
      </c>
      <c r="B1631" t="s">
        <v>2150</v>
      </c>
      <c r="C1631">
        <v>1</v>
      </c>
      <c r="D1631">
        <v>53</v>
      </c>
      <c r="E1631">
        <f>IF(OR(B1631="vi",B1631="ii",B1631="pod"),(((D1631/100)*(C1631*VLOOKUP(B1631,'Poids des runes'!A:B,2,FALSE)))+1),(((D1631/100)*(C1631*VLOOKUP(B1631,'Poids des runes'!A:B,2,FALSE)))+1)/VLOOKUP(B1631,'Poids des runes'!A:B,2,FALSE))</f>
        <v>0.56333333333333324</v>
      </c>
      <c r="F1631">
        <f t="shared" si="25"/>
        <v>0.56333333333333324</v>
      </c>
    </row>
    <row r="1632" spans="1:6" x14ac:dyDescent="0.3">
      <c r="A1632" t="s">
        <v>515</v>
      </c>
      <c r="B1632" t="s">
        <v>2147</v>
      </c>
      <c r="C1632">
        <v>4.5</v>
      </c>
      <c r="D1632">
        <v>53</v>
      </c>
      <c r="E1632">
        <f>IF(OR(B1632="vi",B1632="ii",B1632="pod"),(((D1632/100)*(C1632*VLOOKUP(B1632,'Poids des runes'!A:B,2,FALSE)))+1),(((D1632/100)*(C1632*VLOOKUP(B1632,'Poids des runes'!A:B,2,FALSE)))+1)/VLOOKUP(B1632,'Poids des runes'!A:B,2,FALSE))</f>
        <v>2.5516666666666667</v>
      </c>
      <c r="F1632">
        <f t="shared" si="25"/>
        <v>2.5516666666666667</v>
      </c>
    </row>
    <row r="1633" spans="1:6" x14ac:dyDescent="0.3">
      <c r="A1633" t="s">
        <v>516</v>
      </c>
      <c r="B1633" t="s">
        <v>2154</v>
      </c>
      <c r="C1633">
        <v>1</v>
      </c>
      <c r="D1633">
        <v>54</v>
      </c>
      <c r="E1633">
        <f>IF(OR(B1633="vi",B1633="ii",B1633="pod"),(((D1633/100)*(C1633*VLOOKUP(B1633,'Poids des runes'!A:B,2,FALSE)))+1),(((D1633/100)*(C1633*VLOOKUP(B1633,'Poids des runes'!A:B,2,FALSE)))+1)/VLOOKUP(B1633,'Poids des runes'!A:B,2,FALSE))</f>
        <v>0.55111111111111111</v>
      </c>
      <c r="F1633">
        <f t="shared" si="25"/>
        <v>0.55111111111111111</v>
      </c>
    </row>
    <row r="1634" spans="1:6" x14ac:dyDescent="0.3">
      <c r="A1634" t="s">
        <v>516</v>
      </c>
      <c r="B1634" t="s">
        <v>2155</v>
      </c>
      <c r="C1634">
        <v>1</v>
      </c>
      <c r="D1634">
        <v>54</v>
      </c>
      <c r="E1634">
        <f>IF(OR(B1634="vi",B1634="ii",B1634="pod"),(((D1634/100)*(C1634*VLOOKUP(B1634,'Poids des runes'!A:B,2,FALSE)))+1),(((D1634/100)*(C1634*VLOOKUP(B1634,'Poids des runes'!A:B,2,FALSE)))+1)/VLOOKUP(B1634,'Poids des runes'!A:B,2,FALSE))</f>
        <v>0.55960784313725498</v>
      </c>
      <c r="F1634">
        <f t="shared" si="25"/>
        <v>0.55960784313725498</v>
      </c>
    </row>
    <row r="1635" spans="1:6" x14ac:dyDescent="0.3">
      <c r="A1635" t="s">
        <v>516</v>
      </c>
      <c r="B1635" t="s">
        <v>2150</v>
      </c>
      <c r="C1635">
        <v>1</v>
      </c>
      <c r="D1635">
        <v>54</v>
      </c>
      <c r="E1635">
        <f>IF(OR(B1635="vi",B1635="ii",B1635="pod"),(((D1635/100)*(C1635*VLOOKUP(B1635,'Poids des runes'!A:B,2,FALSE)))+1),(((D1635/100)*(C1635*VLOOKUP(B1635,'Poids des runes'!A:B,2,FALSE)))+1)/VLOOKUP(B1635,'Poids des runes'!A:B,2,FALSE))</f>
        <v>0.57333333333333347</v>
      </c>
      <c r="F1635">
        <f t="shared" si="25"/>
        <v>0.57333333333333347</v>
      </c>
    </row>
    <row r="1636" spans="1:6" x14ac:dyDescent="0.3">
      <c r="A1636" t="s">
        <v>516</v>
      </c>
      <c r="B1636" t="s">
        <v>2136</v>
      </c>
      <c r="C1636">
        <v>4.5</v>
      </c>
      <c r="D1636">
        <v>54</v>
      </c>
      <c r="E1636">
        <f>IF(OR(B1636="vi",B1636="ii",B1636="pod"),(((D1636/100)*(C1636*VLOOKUP(B1636,'Poids des runes'!A:B,2,FALSE)))+1),(((D1636/100)*(C1636*VLOOKUP(B1636,'Poids des runes'!A:B,2,FALSE)))+1)/VLOOKUP(B1636,'Poids des runes'!A:B,2,FALSE))</f>
        <v>2.93</v>
      </c>
      <c r="F1636">
        <f t="shared" si="25"/>
        <v>2.93</v>
      </c>
    </row>
    <row r="1637" spans="1:6" x14ac:dyDescent="0.3">
      <c r="A1637" t="s">
        <v>516</v>
      </c>
      <c r="B1637" t="s">
        <v>2137</v>
      </c>
      <c r="C1637">
        <v>4.5</v>
      </c>
      <c r="D1637">
        <v>54</v>
      </c>
      <c r="E1637">
        <f>IF(OR(B1637="vi",B1637="ii",B1637="pod"),(((D1637/100)*(C1637*VLOOKUP(B1637,'Poids des runes'!A:B,2,FALSE)))+1),(((D1637/100)*(C1637*VLOOKUP(B1637,'Poids des runes'!A:B,2,FALSE)))+1)/VLOOKUP(B1637,'Poids des runes'!A:B,2,FALSE))</f>
        <v>2.93</v>
      </c>
      <c r="F1637">
        <f t="shared" si="25"/>
        <v>2.93</v>
      </c>
    </row>
    <row r="1638" spans="1:6" x14ac:dyDescent="0.3">
      <c r="A1638" t="s">
        <v>517</v>
      </c>
      <c r="B1638" t="s">
        <v>2128</v>
      </c>
      <c r="C1638">
        <v>13</v>
      </c>
      <c r="D1638">
        <v>54</v>
      </c>
      <c r="E1638">
        <f>IF(OR(B1638="vi",B1638="ii",B1638="pod"),(((D1638/100)*(C1638*VLOOKUP(B1638,'Poids des runes'!A:B,2,FALSE)))+1),(((D1638/100)*(C1638*VLOOKUP(B1638,'Poids des runes'!A:B,2,FALSE)))+1)/VLOOKUP(B1638,'Poids des runes'!A:B,2,FALSE))</f>
        <v>2.4039999999999999</v>
      </c>
      <c r="F1638">
        <f t="shared" si="25"/>
        <v>2.4039999999999999</v>
      </c>
    </row>
    <row r="1639" spans="1:6" x14ac:dyDescent="0.3">
      <c r="A1639" t="s">
        <v>517</v>
      </c>
      <c r="B1639" t="s">
        <v>2130</v>
      </c>
      <c r="C1639">
        <v>23</v>
      </c>
      <c r="D1639">
        <v>54</v>
      </c>
      <c r="E1639">
        <f>IF(OR(B1639="vi",B1639="ii",B1639="pod"),(((D1639/100)*(C1639*VLOOKUP(B1639,'Poids des runes'!A:B,2,FALSE)))+1),(((D1639/100)*(C1639*VLOOKUP(B1639,'Poids des runes'!A:B,2,FALSE)))+1)/VLOOKUP(B1639,'Poids des runes'!A:B,2,FALSE))</f>
        <v>13.420000000000002</v>
      </c>
      <c r="F1639">
        <f t="shared" si="25"/>
        <v>13.420000000000002</v>
      </c>
    </row>
    <row r="1640" spans="1:6" x14ac:dyDescent="0.3">
      <c r="A1640" t="s">
        <v>517</v>
      </c>
      <c r="B1640" t="s">
        <v>2127</v>
      </c>
      <c r="C1640">
        <v>23</v>
      </c>
      <c r="D1640">
        <v>54</v>
      </c>
      <c r="E1640">
        <f>IF(OR(B1640="vi",B1640="ii",B1640="pod"),(((D1640/100)*(C1640*VLOOKUP(B1640,'Poids des runes'!A:B,2,FALSE)))+1),(((D1640/100)*(C1640*VLOOKUP(B1640,'Poids des runes'!A:B,2,FALSE)))+1)/VLOOKUP(B1640,'Poids des runes'!A:B,2,FALSE))</f>
        <v>13.420000000000002</v>
      </c>
      <c r="F1640">
        <f t="shared" si="25"/>
        <v>13.420000000000002</v>
      </c>
    </row>
    <row r="1641" spans="1:6" x14ac:dyDescent="0.3">
      <c r="A1641" t="s">
        <v>517</v>
      </c>
      <c r="B1641" t="s">
        <v>2148</v>
      </c>
      <c r="C1641">
        <v>1.5</v>
      </c>
      <c r="D1641">
        <v>54</v>
      </c>
      <c r="E1641">
        <f>IF(OR(B1641="vi",B1641="ii",B1641="pod"),(((D1641/100)*(C1641*VLOOKUP(B1641,'Poids des runes'!A:B,2,FALSE)))+1),(((D1641/100)*(C1641*VLOOKUP(B1641,'Poids des runes'!A:B,2,FALSE)))+1)/VLOOKUP(B1641,'Poids des runes'!A:B,2,FALSE))</f>
        <v>0.97666666666666668</v>
      </c>
      <c r="F1641">
        <f t="shared" si="25"/>
        <v>0.97666666666666668</v>
      </c>
    </row>
    <row r="1642" spans="1:6" x14ac:dyDescent="0.3">
      <c r="A1642" t="s">
        <v>517</v>
      </c>
      <c r="B1642" t="s">
        <v>2157</v>
      </c>
      <c r="C1642">
        <v>1.5</v>
      </c>
      <c r="D1642">
        <v>54</v>
      </c>
      <c r="E1642">
        <f>IF(OR(B1642="vi",B1642="ii",B1642="pod"),(((D1642/100)*(C1642*VLOOKUP(B1642,'Poids des runes'!A:B,2,FALSE)))+1),(((D1642/100)*(C1642*VLOOKUP(B1642,'Poids des runes'!A:B,2,FALSE)))+1)/VLOOKUP(B1642,'Poids des runes'!A:B,2,FALSE))</f>
        <v>0.97666666666666668</v>
      </c>
      <c r="F1642">
        <f t="shared" si="25"/>
        <v>0.97666666666666668</v>
      </c>
    </row>
    <row r="1643" spans="1:6" x14ac:dyDescent="0.3">
      <c r="A1643" t="s">
        <v>518</v>
      </c>
      <c r="B1643" t="s">
        <v>2128</v>
      </c>
      <c r="C1643">
        <v>25.5</v>
      </c>
      <c r="D1643">
        <v>54</v>
      </c>
      <c r="E1643">
        <f>IF(OR(B1643="vi",B1643="ii",B1643="pod"),(((D1643/100)*(C1643*VLOOKUP(B1643,'Poids des runes'!A:B,2,FALSE)))+1),(((D1643/100)*(C1643*VLOOKUP(B1643,'Poids des runes'!A:B,2,FALSE)))+1)/VLOOKUP(B1643,'Poids des runes'!A:B,2,FALSE))</f>
        <v>3.7540000000000004</v>
      </c>
      <c r="F1643">
        <f t="shared" si="25"/>
        <v>3.7540000000000004</v>
      </c>
    </row>
    <row r="1644" spans="1:6" x14ac:dyDescent="0.3">
      <c r="A1644" t="s">
        <v>518</v>
      </c>
      <c r="B1644" t="s">
        <v>2129</v>
      </c>
      <c r="C1644">
        <v>13</v>
      </c>
      <c r="D1644">
        <v>54</v>
      </c>
      <c r="E1644">
        <f>IF(OR(B1644="vi",B1644="ii",B1644="pod"),(((D1644/100)*(C1644*VLOOKUP(B1644,'Poids des runes'!A:B,2,FALSE)))+1),(((D1644/100)*(C1644*VLOOKUP(B1644,'Poids des runes'!A:B,2,FALSE)))+1)/VLOOKUP(B1644,'Poids des runes'!A:B,2,FALSE))</f>
        <v>8.02</v>
      </c>
      <c r="F1644">
        <f t="shared" si="25"/>
        <v>8.02</v>
      </c>
    </row>
    <row r="1645" spans="1:6" x14ac:dyDescent="0.3">
      <c r="A1645" t="s">
        <v>518</v>
      </c>
      <c r="B1645" t="s">
        <v>2139</v>
      </c>
      <c r="C1645">
        <v>8.5</v>
      </c>
      <c r="D1645">
        <v>54</v>
      </c>
      <c r="E1645">
        <f>IF(OR(B1645="vi",B1645="ii",B1645="pod"),(((D1645/100)*(C1645*VLOOKUP(B1645,'Poids des runes'!A:B,2,FALSE)))+1),(((D1645/100)*(C1645*VLOOKUP(B1645,'Poids des runes'!A:B,2,FALSE)))+1)/VLOOKUP(B1645,'Poids des runes'!A:B,2,FALSE))</f>
        <v>5.09</v>
      </c>
      <c r="F1645">
        <f t="shared" si="25"/>
        <v>5.09</v>
      </c>
    </row>
    <row r="1646" spans="1:6" x14ac:dyDescent="0.3">
      <c r="A1646" t="s">
        <v>518</v>
      </c>
      <c r="B1646" t="s">
        <v>2143</v>
      </c>
      <c r="C1646">
        <v>4.5</v>
      </c>
      <c r="D1646">
        <v>54</v>
      </c>
      <c r="E1646">
        <f>IF(OR(B1646="vi",B1646="ii",B1646="pod"),(((D1646/100)*(C1646*VLOOKUP(B1646,'Poids des runes'!A:B,2,FALSE)))+1),(((D1646/100)*(C1646*VLOOKUP(B1646,'Poids des runes'!A:B,2,FALSE)))+1)/VLOOKUP(B1646,'Poids des runes'!A:B,2,FALSE))</f>
        <v>2.63</v>
      </c>
      <c r="F1646">
        <f t="shared" si="25"/>
        <v>2.63</v>
      </c>
    </row>
    <row r="1647" spans="1:6" x14ac:dyDescent="0.3">
      <c r="A1647" t="s">
        <v>518</v>
      </c>
      <c r="B1647" t="s">
        <v>2140</v>
      </c>
      <c r="C1647">
        <v>4.5</v>
      </c>
      <c r="D1647">
        <v>54</v>
      </c>
      <c r="E1647">
        <f>IF(OR(B1647="vi",B1647="ii",B1647="pod"),(((D1647/100)*(C1647*VLOOKUP(B1647,'Poids des runes'!A:B,2,FALSE)))+1),(((D1647/100)*(C1647*VLOOKUP(B1647,'Poids des runes'!A:B,2,FALSE)))+1)/VLOOKUP(B1647,'Poids des runes'!A:B,2,FALSE))</f>
        <v>2.63</v>
      </c>
      <c r="F1647">
        <f t="shared" si="25"/>
        <v>2.63</v>
      </c>
    </row>
    <row r="1648" spans="1:6" x14ac:dyDescent="0.3">
      <c r="A1648" t="s">
        <v>518</v>
      </c>
      <c r="B1648" t="s">
        <v>2133</v>
      </c>
      <c r="C1648">
        <v>4.5</v>
      </c>
      <c r="D1648">
        <v>54</v>
      </c>
      <c r="E1648">
        <f>IF(OR(B1648="vi",B1648="ii",B1648="pod"),(((D1648/100)*(C1648*VLOOKUP(B1648,'Poids des runes'!A:B,2,FALSE)))+1),(((D1648/100)*(C1648*VLOOKUP(B1648,'Poids des runes'!A:B,2,FALSE)))+1)/VLOOKUP(B1648,'Poids des runes'!A:B,2,FALSE))</f>
        <v>2.63</v>
      </c>
      <c r="F1648">
        <f t="shared" si="25"/>
        <v>2.63</v>
      </c>
    </row>
    <row r="1649" spans="1:6" x14ac:dyDescent="0.3">
      <c r="A1649" t="s">
        <v>518</v>
      </c>
      <c r="B1649" t="s">
        <v>2153</v>
      </c>
      <c r="C1649">
        <v>4.5</v>
      </c>
      <c r="D1649">
        <v>54</v>
      </c>
      <c r="E1649">
        <f>IF(OR(B1649="vi",B1649="ii",B1649="pod"),(((D1649/100)*(C1649*VLOOKUP(B1649,'Poids des runes'!A:B,2,FALSE)))+1),(((D1649/100)*(C1649*VLOOKUP(B1649,'Poids des runes'!A:B,2,FALSE)))+1)/VLOOKUP(B1649,'Poids des runes'!A:B,2,FALSE))</f>
        <v>2.63</v>
      </c>
      <c r="F1649">
        <f t="shared" si="25"/>
        <v>2.63</v>
      </c>
    </row>
    <row r="1650" spans="1:6" x14ac:dyDescent="0.3">
      <c r="A1650" t="s">
        <v>518</v>
      </c>
      <c r="B1650" t="s">
        <v>2138</v>
      </c>
      <c r="C1650">
        <v>4.5</v>
      </c>
      <c r="D1650">
        <v>54</v>
      </c>
      <c r="E1650">
        <f>IF(OR(B1650="vi",B1650="ii",B1650="pod"),(((D1650/100)*(C1650*VLOOKUP(B1650,'Poids des runes'!A:B,2,FALSE)))+1),(((D1650/100)*(C1650*VLOOKUP(B1650,'Poids des runes'!A:B,2,FALSE)))+1)/VLOOKUP(B1650,'Poids des runes'!A:B,2,FALSE))</f>
        <v>2.68</v>
      </c>
      <c r="F1650">
        <f t="shared" si="25"/>
        <v>2.68</v>
      </c>
    </row>
    <row r="1651" spans="1:6" x14ac:dyDescent="0.3">
      <c r="A1651" t="s">
        <v>519</v>
      </c>
      <c r="B1651" t="s">
        <v>2128</v>
      </c>
      <c r="C1651">
        <v>25.5</v>
      </c>
      <c r="D1651">
        <v>54</v>
      </c>
      <c r="E1651">
        <f>IF(OR(B1651="vi",B1651="ii",B1651="pod"),(((D1651/100)*(C1651*VLOOKUP(B1651,'Poids des runes'!A:B,2,FALSE)))+1),(((D1651/100)*(C1651*VLOOKUP(B1651,'Poids des runes'!A:B,2,FALSE)))+1)/VLOOKUP(B1651,'Poids des runes'!A:B,2,FALSE))</f>
        <v>3.7540000000000004</v>
      </c>
      <c r="F1651">
        <f t="shared" si="25"/>
        <v>3.7540000000000004</v>
      </c>
    </row>
    <row r="1652" spans="1:6" x14ac:dyDescent="0.3">
      <c r="A1652" t="s">
        <v>519</v>
      </c>
      <c r="B1652" t="s">
        <v>2129</v>
      </c>
      <c r="C1652">
        <v>8.5</v>
      </c>
      <c r="D1652">
        <v>54</v>
      </c>
      <c r="E1652">
        <f>IF(OR(B1652="vi",B1652="ii",B1652="pod"),(((D1652/100)*(C1652*VLOOKUP(B1652,'Poids des runes'!A:B,2,FALSE)))+1),(((D1652/100)*(C1652*VLOOKUP(B1652,'Poids des runes'!A:B,2,FALSE)))+1)/VLOOKUP(B1652,'Poids des runes'!A:B,2,FALSE))</f>
        <v>5.59</v>
      </c>
      <c r="F1652">
        <f t="shared" si="25"/>
        <v>5.59</v>
      </c>
    </row>
    <row r="1653" spans="1:6" x14ac:dyDescent="0.3">
      <c r="A1653" t="s">
        <v>519</v>
      </c>
      <c r="B1653" t="s">
        <v>2154</v>
      </c>
      <c r="C1653">
        <v>1</v>
      </c>
      <c r="D1653">
        <v>54</v>
      </c>
      <c r="E1653">
        <f>IF(OR(B1653="vi",B1653="ii",B1653="pod"),(((D1653/100)*(C1653*VLOOKUP(B1653,'Poids des runes'!A:B,2,FALSE)))+1),(((D1653/100)*(C1653*VLOOKUP(B1653,'Poids des runes'!A:B,2,FALSE)))+1)/VLOOKUP(B1653,'Poids des runes'!A:B,2,FALSE))</f>
        <v>0.55111111111111111</v>
      </c>
      <c r="F1653">
        <f t="shared" si="25"/>
        <v>0.55111111111111111</v>
      </c>
    </row>
    <row r="1654" spans="1:6" x14ac:dyDescent="0.3">
      <c r="A1654" t="s">
        <v>520</v>
      </c>
      <c r="B1654" t="s">
        <v>2126</v>
      </c>
      <c r="C1654">
        <v>25.5</v>
      </c>
      <c r="D1654">
        <v>54</v>
      </c>
      <c r="E1654">
        <f>IF(OR(B1654="vi",B1654="ii",B1654="pod"),(((D1654/100)*(C1654*VLOOKUP(B1654,'Poids des runes'!A:B,2,FALSE)))+1),(((D1654/100)*(C1654*VLOOKUP(B1654,'Poids des runes'!A:B,2,FALSE)))+1)/VLOOKUP(B1654,'Poids des runes'!A:B,2,FALSE))</f>
        <v>14.770000000000001</v>
      </c>
      <c r="F1654">
        <f t="shared" si="25"/>
        <v>14.770000000000001</v>
      </c>
    </row>
    <row r="1655" spans="1:6" x14ac:dyDescent="0.3">
      <c r="A1655" t="s">
        <v>520</v>
      </c>
      <c r="B1655" t="s">
        <v>2129</v>
      </c>
      <c r="C1655">
        <v>15.5</v>
      </c>
      <c r="D1655">
        <v>54</v>
      </c>
      <c r="E1655">
        <f>IF(OR(B1655="vi",B1655="ii",B1655="pod"),(((D1655/100)*(C1655*VLOOKUP(B1655,'Poids des runes'!A:B,2,FALSE)))+1),(((D1655/100)*(C1655*VLOOKUP(B1655,'Poids des runes'!A:B,2,FALSE)))+1)/VLOOKUP(B1655,'Poids des runes'!A:B,2,FALSE))</f>
        <v>9.370000000000001</v>
      </c>
      <c r="F1655">
        <f t="shared" si="25"/>
        <v>9.370000000000001</v>
      </c>
    </row>
    <row r="1656" spans="1:6" x14ac:dyDescent="0.3">
      <c r="A1656" t="s">
        <v>520</v>
      </c>
      <c r="B1656" t="s">
        <v>2151</v>
      </c>
      <c r="C1656">
        <v>2.5</v>
      </c>
      <c r="D1656">
        <v>54</v>
      </c>
      <c r="E1656">
        <f>IF(OR(B1656="vi",B1656="ii",B1656="pod"),(((D1656/100)*(C1656*VLOOKUP(B1656,'Poids des runes'!A:B,2,FALSE)))+1),(((D1656/100)*(C1656*VLOOKUP(B1656,'Poids des runes'!A:B,2,FALSE)))+1)/VLOOKUP(B1656,'Poids des runes'!A:B,2,FALSE))</f>
        <v>1.45</v>
      </c>
      <c r="F1656">
        <f t="shared" si="25"/>
        <v>1.45</v>
      </c>
    </row>
    <row r="1657" spans="1:6" x14ac:dyDescent="0.3">
      <c r="A1657" t="s">
        <v>520</v>
      </c>
      <c r="B1657" t="s">
        <v>2159</v>
      </c>
      <c r="C1657">
        <v>2.5</v>
      </c>
      <c r="D1657">
        <v>54</v>
      </c>
      <c r="E1657">
        <f>IF(OR(B1657="vi",B1657="ii",B1657="pod"),(((D1657/100)*(C1657*VLOOKUP(B1657,'Poids des runes'!A:B,2,FALSE)))+1),(((D1657/100)*(C1657*VLOOKUP(B1657,'Poids des runes'!A:B,2,FALSE)))+1)/VLOOKUP(B1657,'Poids des runes'!A:B,2,FALSE))</f>
        <v>1.4928571428571431</v>
      </c>
      <c r="F1657">
        <f t="shared" si="25"/>
        <v>1.4928571428571431</v>
      </c>
    </row>
    <row r="1658" spans="1:6" x14ac:dyDescent="0.3">
      <c r="A1658" t="s">
        <v>521</v>
      </c>
      <c r="B1658" t="s">
        <v>2128</v>
      </c>
      <c r="C1658">
        <v>23</v>
      </c>
      <c r="D1658">
        <v>55</v>
      </c>
      <c r="E1658">
        <f>IF(OR(B1658="vi",B1658="ii",B1658="pod"),(((D1658/100)*(C1658*VLOOKUP(B1658,'Poids des runes'!A:B,2,FALSE)))+1),(((D1658/100)*(C1658*VLOOKUP(B1658,'Poids des runes'!A:B,2,FALSE)))+1)/VLOOKUP(B1658,'Poids des runes'!A:B,2,FALSE))</f>
        <v>3.5300000000000007</v>
      </c>
      <c r="F1658">
        <f t="shared" si="25"/>
        <v>3.5300000000000007</v>
      </c>
    </row>
    <row r="1659" spans="1:6" x14ac:dyDescent="0.3">
      <c r="A1659" t="s">
        <v>521</v>
      </c>
      <c r="B1659" t="s">
        <v>2129</v>
      </c>
      <c r="C1659">
        <v>23</v>
      </c>
      <c r="D1659">
        <v>55</v>
      </c>
      <c r="E1659">
        <f>IF(OR(B1659="vi",B1659="ii",B1659="pod"),(((D1659/100)*(C1659*VLOOKUP(B1659,'Poids des runes'!A:B,2,FALSE)))+1),(((D1659/100)*(C1659*VLOOKUP(B1659,'Poids des runes'!A:B,2,FALSE)))+1)/VLOOKUP(B1659,'Poids des runes'!A:B,2,FALSE))</f>
        <v>13.65</v>
      </c>
      <c r="F1659">
        <f t="shared" si="25"/>
        <v>13.65</v>
      </c>
    </row>
    <row r="1660" spans="1:6" x14ac:dyDescent="0.3">
      <c r="A1660" t="s">
        <v>521</v>
      </c>
      <c r="B1660" t="s">
        <v>2152</v>
      </c>
      <c r="C1660">
        <v>1</v>
      </c>
      <c r="D1660">
        <v>55</v>
      </c>
      <c r="E1660">
        <f>IF(OR(B1660="vi",B1660="ii",B1660="pod"),(((D1660/100)*(C1660*VLOOKUP(B1660,'Poids des runes'!A:B,2,FALSE)))+1),(((D1660/100)*(C1660*VLOOKUP(B1660,'Poids des runes'!A:B,2,FALSE)))+1)/VLOOKUP(B1660,'Poids des runes'!A:B,2,FALSE))</f>
        <v>0.56000000000000005</v>
      </c>
      <c r="F1660">
        <f t="shared" si="25"/>
        <v>0.56000000000000005</v>
      </c>
    </row>
    <row r="1661" spans="1:6" x14ac:dyDescent="0.3">
      <c r="A1661" t="s">
        <v>522</v>
      </c>
      <c r="B1661" t="s">
        <v>2128</v>
      </c>
      <c r="C1661">
        <v>50.5</v>
      </c>
      <c r="D1661">
        <v>55</v>
      </c>
      <c r="E1661">
        <f>IF(OR(B1661="vi",B1661="ii",B1661="pod"),(((D1661/100)*(C1661*VLOOKUP(B1661,'Poids des runes'!A:B,2,FALSE)))+1),(((D1661/100)*(C1661*VLOOKUP(B1661,'Poids des runes'!A:B,2,FALSE)))+1)/VLOOKUP(B1661,'Poids des runes'!A:B,2,FALSE))</f>
        <v>6.5550000000000015</v>
      </c>
      <c r="F1661">
        <f t="shared" si="25"/>
        <v>6.5550000000000015</v>
      </c>
    </row>
    <row r="1662" spans="1:6" x14ac:dyDescent="0.3">
      <c r="A1662" t="s">
        <v>522</v>
      </c>
      <c r="B1662" t="s">
        <v>2139</v>
      </c>
      <c r="C1662">
        <v>8.5</v>
      </c>
      <c r="D1662">
        <v>55</v>
      </c>
      <c r="E1662">
        <f>IF(OR(B1662="vi",B1662="ii",B1662="pod"),(((D1662/100)*(C1662*VLOOKUP(B1662,'Poids des runes'!A:B,2,FALSE)))+1),(((D1662/100)*(C1662*VLOOKUP(B1662,'Poids des runes'!A:B,2,FALSE)))+1)/VLOOKUP(B1662,'Poids des runes'!A:B,2,FALSE))</f>
        <v>5.1750000000000007</v>
      </c>
      <c r="F1662">
        <f t="shared" si="25"/>
        <v>5.1750000000000007</v>
      </c>
    </row>
    <row r="1663" spans="1:6" x14ac:dyDescent="0.3">
      <c r="A1663" t="s">
        <v>522</v>
      </c>
      <c r="B1663" t="s">
        <v>2150</v>
      </c>
      <c r="C1663">
        <v>1</v>
      </c>
      <c r="D1663">
        <v>55</v>
      </c>
      <c r="E1663">
        <f>IF(OR(B1663="vi",B1663="ii",B1663="pod"),(((D1663/100)*(C1663*VLOOKUP(B1663,'Poids des runes'!A:B,2,FALSE)))+1),(((D1663/100)*(C1663*VLOOKUP(B1663,'Poids des runes'!A:B,2,FALSE)))+1)/VLOOKUP(B1663,'Poids des runes'!A:B,2,FALSE))</f>
        <v>0.58333333333333337</v>
      </c>
      <c r="F1663">
        <f t="shared" si="25"/>
        <v>0.58333333333333337</v>
      </c>
    </row>
    <row r="1664" spans="1:6" x14ac:dyDescent="0.3">
      <c r="A1664" t="s">
        <v>522</v>
      </c>
      <c r="B1664" t="s">
        <v>2163</v>
      </c>
      <c r="C1664">
        <v>8.5</v>
      </c>
      <c r="D1664">
        <v>55</v>
      </c>
      <c r="E1664">
        <f>IF(OR(B1664="vi",B1664="ii",B1664="pod"),(((D1664/100)*(C1664*VLOOKUP(B1664,'Poids des runes'!A:B,2,FALSE)))+1),(((D1664/100)*(C1664*VLOOKUP(B1664,'Poids des runes'!A:B,2,FALSE)))+1)/VLOOKUP(B1664,'Poids des runes'!A:B,2,FALSE))</f>
        <v>5.1750000000000007</v>
      </c>
      <c r="F1664">
        <f t="shared" si="25"/>
        <v>5.1750000000000007</v>
      </c>
    </row>
    <row r="1665" spans="1:6" x14ac:dyDescent="0.3">
      <c r="A1665" t="s">
        <v>522</v>
      </c>
      <c r="B1665" t="s">
        <v>2156</v>
      </c>
      <c r="C1665">
        <v>2</v>
      </c>
      <c r="D1665">
        <v>55</v>
      </c>
      <c r="E1665">
        <f>IF(OR(B1665="vi",B1665="ii",B1665="pod"),(((D1665/100)*(C1665*VLOOKUP(B1665,'Poids des runes'!A:B,2,FALSE)))+1),(((D1665/100)*(C1665*VLOOKUP(B1665,'Poids des runes'!A:B,2,FALSE)))+1)/VLOOKUP(B1665,'Poids des runes'!A:B,2,FALSE))</f>
        <v>1.2666666666666668</v>
      </c>
      <c r="F1665">
        <f t="shared" si="25"/>
        <v>1.2666666666666668</v>
      </c>
    </row>
    <row r="1666" spans="1:6" x14ac:dyDescent="0.3">
      <c r="A1666" t="s">
        <v>522</v>
      </c>
      <c r="B1666" t="s">
        <v>2148</v>
      </c>
      <c r="C1666">
        <v>2</v>
      </c>
      <c r="D1666">
        <v>55</v>
      </c>
      <c r="E1666">
        <f>IF(OR(B1666="vi",B1666="ii",B1666="pod"),(((D1666/100)*(C1666*VLOOKUP(B1666,'Poids des runes'!A:B,2,FALSE)))+1),(((D1666/100)*(C1666*VLOOKUP(B1666,'Poids des runes'!A:B,2,FALSE)))+1)/VLOOKUP(B1666,'Poids des runes'!A:B,2,FALSE))</f>
        <v>1.2666666666666668</v>
      </c>
      <c r="F1666">
        <f t="shared" si="25"/>
        <v>1.2666666666666668</v>
      </c>
    </row>
    <row r="1667" spans="1:6" x14ac:dyDescent="0.3">
      <c r="A1667" t="s">
        <v>522</v>
      </c>
      <c r="B1667" t="s">
        <v>2147</v>
      </c>
      <c r="C1667">
        <v>2</v>
      </c>
      <c r="D1667">
        <v>55</v>
      </c>
      <c r="E1667">
        <f>IF(OR(B1667="vi",B1667="ii",B1667="pod"),(((D1667/100)*(C1667*VLOOKUP(B1667,'Poids des runes'!A:B,2,FALSE)))+1),(((D1667/100)*(C1667*VLOOKUP(B1667,'Poids des runes'!A:B,2,FALSE)))+1)/VLOOKUP(B1667,'Poids des runes'!A:B,2,FALSE))</f>
        <v>1.2666666666666668</v>
      </c>
      <c r="F1667">
        <f t="shared" ref="F1667:F1730" si="26">E1667</f>
        <v>1.2666666666666668</v>
      </c>
    </row>
    <row r="1668" spans="1:6" x14ac:dyDescent="0.3">
      <c r="A1668" t="s">
        <v>522</v>
      </c>
      <c r="B1668" t="s">
        <v>2135</v>
      </c>
      <c r="C1668">
        <v>2</v>
      </c>
      <c r="D1668">
        <v>55</v>
      </c>
      <c r="E1668">
        <f>IF(OR(B1668="vi",B1668="ii",B1668="pod"),(((D1668/100)*(C1668*VLOOKUP(B1668,'Poids des runes'!A:B,2,FALSE)))+1),(((D1668/100)*(C1668*VLOOKUP(B1668,'Poids des runes'!A:B,2,FALSE)))+1)/VLOOKUP(B1668,'Poids des runes'!A:B,2,FALSE))</f>
        <v>1.2666666666666668</v>
      </c>
      <c r="F1668">
        <f t="shared" si="26"/>
        <v>1.2666666666666668</v>
      </c>
    </row>
    <row r="1669" spans="1:6" x14ac:dyDescent="0.3">
      <c r="A1669" t="s">
        <v>522</v>
      </c>
      <c r="B1669" t="s">
        <v>2157</v>
      </c>
      <c r="C1669">
        <v>2</v>
      </c>
      <c r="D1669">
        <v>55</v>
      </c>
      <c r="E1669">
        <f>IF(OR(B1669="vi",B1669="ii",B1669="pod"),(((D1669/100)*(C1669*VLOOKUP(B1669,'Poids des runes'!A:B,2,FALSE)))+1),(((D1669/100)*(C1669*VLOOKUP(B1669,'Poids des runes'!A:B,2,FALSE)))+1)/VLOOKUP(B1669,'Poids des runes'!A:B,2,FALSE))</f>
        <v>1.2666666666666668</v>
      </c>
      <c r="F1669">
        <f t="shared" si="26"/>
        <v>1.2666666666666668</v>
      </c>
    </row>
    <row r="1670" spans="1:6" x14ac:dyDescent="0.3">
      <c r="A1670" t="s">
        <v>523</v>
      </c>
      <c r="B1670" t="s">
        <v>2128</v>
      </c>
      <c r="C1670">
        <v>50.5</v>
      </c>
      <c r="D1670">
        <v>55</v>
      </c>
      <c r="E1670">
        <f>IF(OR(B1670="vi",B1670="ii",B1670="pod"),(((D1670/100)*(C1670*VLOOKUP(B1670,'Poids des runes'!A:B,2,FALSE)))+1),(((D1670/100)*(C1670*VLOOKUP(B1670,'Poids des runes'!A:B,2,FALSE)))+1)/VLOOKUP(B1670,'Poids des runes'!A:B,2,FALSE))</f>
        <v>6.5550000000000015</v>
      </c>
      <c r="F1670">
        <f t="shared" si="26"/>
        <v>6.5550000000000015</v>
      </c>
    </row>
    <row r="1671" spans="1:6" x14ac:dyDescent="0.3">
      <c r="A1671" t="s">
        <v>523</v>
      </c>
      <c r="B1671" t="s">
        <v>2130</v>
      </c>
      <c r="C1671">
        <v>25.5</v>
      </c>
      <c r="D1671">
        <v>55</v>
      </c>
      <c r="E1671">
        <f>IF(OR(B1671="vi",B1671="ii",B1671="pod"),(((D1671/100)*(C1671*VLOOKUP(B1671,'Poids des runes'!A:B,2,FALSE)))+1),(((D1671/100)*(C1671*VLOOKUP(B1671,'Poids des runes'!A:B,2,FALSE)))+1)/VLOOKUP(B1671,'Poids des runes'!A:B,2,FALSE))</f>
        <v>15.025</v>
      </c>
      <c r="F1671">
        <f t="shared" si="26"/>
        <v>15.025</v>
      </c>
    </row>
    <row r="1672" spans="1:6" x14ac:dyDescent="0.3">
      <c r="A1672" t="s">
        <v>523</v>
      </c>
      <c r="B1672" t="s">
        <v>2129</v>
      </c>
      <c r="C1672">
        <v>18</v>
      </c>
      <c r="D1672">
        <v>55</v>
      </c>
      <c r="E1672">
        <f>IF(OR(B1672="vi",B1672="ii",B1672="pod"),(((D1672/100)*(C1672*VLOOKUP(B1672,'Poids des runes'!A:B,2,FALSE)))+1),(((D1672/100)*(C1672*VLOOKUP(B1672,'Poids des runes'!A:B,2,FALSE)))+1)/VLOOKUP(B1672,'Poids des runes'!A:B,2,FALSE))</f>
        <v>10.9</v>
      </c>
      <c r="F1672">
        <f t="shared" si="26"/>
        <v>10.9</v>
      </c>
    </row>
    <row r="1673" spans="1:6" x14ac:dyDescent="0.3">
      <c r="A1673" t="s">
        <v>523</v>
      </c>
      <c r="B1673" t="s">
        <v>2132</v>
      </c>
      <c r="C1673">
        <v>175.5</v>
      </c>
      <c r="D1673">
        <v>55</v>
      </c>
      <c r="E1673">
        <f>IF(OR(B1673="vi",B1673="ii",B1673="pod"),(((D1673/100)*(C1673*VLOOKUP(B1673,'Poids des runes'!A:B,2,FALSE)))+1),(((D1673/100)*(C1673*VLOOKUP(B1673,'Poids des runes'!A:B,2,FALSE)))+1)/VLOOKUP(B1673,'Poids des runes'!A:B,2,FALSE))</f>
        <v>10.652500000000002</v>
      </c>
      <c r="F1673">
        <f t="shared" si="26"/>
        <v>10.652500000000002</v>
      </c>
    </row>
    <row r="1674" spans="1:6" x14ac:dyDescent="0.3">
      <c r="A1674" t="s">
        <v>523</v>
      </c>
      <c r="B1674" t="s">
        <v>2141</v>
      </c>
      <c r="C1674">
        <v>4.5</v>
      </c>
      <c r="D1674">
        <v>55</v>
      </c>
      <c r="E1674">
        <f>IF(OR(B1674="vi",B1674="ii",B1674="pod"),(((D1674/100)*(C1674*VLOOKUP(B1674,'Poids des runes'!A:B,2,FALSE)))+1),(((D1674/100)*(C1674*VLOOKUP(B1674,'Poids des runes'!A:B,2,FALSE)))+1)/VLOOKUP(B1674,'Poids des runes'!A:B,2,FALSE))</f>
        <v>2.7250000000000001</v>
      </c>
      <c r="F1674">
        <f t="shared" si="26"/>
        <v>2.7250000000000001</v>
      </c>
    </row>
    <row r="1675" spans="1:6" x14ac:dyDescent="0.3">
      <c r="A1675" t="s">
        <v>524</v>
      </c>
      <c r="B1675" t="s">
        <v>2128</v>
      </c>
      <c r="C1675">
        <v>40.5</v>
      </c>
      <c r="D1675">
        <v>55</v>
      </c>
      <c r="E1675">
        <f>IF(OR(B1675="vi",B1675="ii",B1675="pod"),(((D1675/100)*(C1675*VLOOKUP(B1675,'Poids des runes'!A:B,2,FALSE)))+1),(((D1675/100)*(C1675*VLOOKUP(B1675,'Poids des runes'!A:B,2,FALSE)))+1)/VLOOKUP(B1675,'Poids des runes'!A:B,2,FALSE))</f>
        <v>5.4550000000000001</v>
      </c>
      <c r="F1675">
        <f t="shared" si="26"/>
        <v>5.4550000000000001</v>
      </c>
    </row>
    <row r="1676" spans="1:6" x14ac:dyDescent="0.3">
      <c r="A1676" t="s">
        <v>524</v>
      </c>
      <c r="B1676" t="s">
        <v>2130</v>
      </c>
      <c r="C1676">
        <v>18</v>
      </c>
      <c r="D1676">
        <v>55</v>
      </c>
      <c r="E1676">
        <f>IF(OR(B1676="vi",B1676="ii",B1676="pod"),(((D1676/100)*(C1676*VLOOKUP(B1676,'Poids des runes'!A:B,2,FALSE)))+1),(((D1676/100)*(C1676*VLOOKUP(B1676,'Poids des runes'!A:B,2,FALSE)))+1)/VLOOKUP(B1676,'Poids des runes'!A:B,2,FALSE))</f>
        <v>10.9</v>
      </c>
      <c r="F1676">
        <f t="shared" si="26"/>
        <v>10.9</v>
      </c>
    </row>
    <row r="1677" spans="1:6" x14ac:dyDescent="0.3">
      <c r="A1677" t="s">
        <v>524</v>
      </c>
      <c r="B1677" t="s">
        <v>2126</v>
      </c>
      <c r="C1677">
        <v>18</v>
      </c>
      <c r="D1677">
        <v>55</v>
      </c>
      <c r="E1677">
        <f>IF(OR(B1677="vi",B1677="ii",B1677="pod"),(((D1677/100)*(C1677*VLOOKUP(B1677,'Poids des runes'!A:B,2,FALSE)))+1),(((D1677/100)*(C1677*VLOOKUP(B1677,'Poids des runes'!A:B,2,FALSE)))+1)/VLOOKUP(B1677,'Poids des runes'!A:B,2,FALSE))</f>
        <v>10.9</v>
      </c>
      <c r="F1677">
        <f t="shared" si="26"/>
        <v>10.9</v>
      </c>
    </row>
    <row r="1678" spans="1:6" x14ac:dyDescent="0.3">
      <c r="A1678" t="s">
        <v>524</v>
      </c>
      <c r="B1678" t="s">
        <v>2131</v>
      </c>
      <c r="C1678">
        <v>18</v>
      </c>
      <c r="D1678">
        <v>55</v>
      </c>
      <c r="E1678">
        <f>IF(OR(B1678="vi",B1678="ii",B1678="pod"),(((D1678/100)*(C1678*VLOOKUP(B1678,'Poids des runes'!A:B,2,FALSE)))+1),(((D1678/100)*(C1678*VLOOKUP(B1678,'Poids des runes'!A:B,2,FALSE)))+1)/VLOOKUP(B1678,'Poids des runes'!A:B,2,FALSE))</f>
        <v>10.9</v>
      </c>
      <c r="F1678">
        <f t="shared" si="26"/>
        <v>10.9</v>
      </c>
    </row>
    <row r="1679" spans="1:6" x14ac:dyDescent="0.3">
      <c r="A1679" t="s">
        <v>524</v>
      </c>
      <c r="B1679" t="s">
        <v>2127</v>
      </c>
      <c r="C1679">
        <v>18</v>
      </c>
      <c r="D1679">
        <v>55</v>
      </c>
      <c r="E1679">
        <f>IF(OR(B1679="vi",B1679="ii",B1679="pod"),(((D1679/100)*(C1679*VLOOKUP(B1679,'Poids des runes'!A:B,2,FALSE)))+1),(((D1679/100)*(C1679*VLOOKUP(B1679,'Poids des runes'!A:B,2,FALSE)))+1)/VLOOKUP(B1679,'Poids des runes'!A:B,2,FALSE))</f>
        <v>10.9</v>
      </c>
      <c r="F1679">
        <f t="shared" si="26"/>
        <v>10.9</v>
      </c>
    </row>
    <row r="1680" spans="1:6" x14ac:dyDescent="0.3">
      <c r="A1680" t="s">
        <v>524</v>
      </c>
      <c r="B1680" t="s">
        <v>2129</v>
      </c>
      <c r="C1680">
        <v>23</v>
      </c>
      <c r="D1680">
        <v>55</v>
      </c>
      <c r="E1680">
        <f>IF(OR(B1680="vi",B1680="ii",B1680="pod"),(((D1680/100)*(C1680*VLOOKUP(B1680,'Poids des runes'!A:B,2,FALSE)))+1),(((D1680/100)*(C1680*VLOOKUP(B1680,'Poids des runes'!A:B,2,FALSE)))+1)/VLOOKUP(B1680,'Poids des runes'!A:B,2,FALSE))</f>
        <v>13.65</v>
      </c>
      <c r="F1680">
        <f t="shared" si="26"/>
        <v>13.65</v>
      </c>
    </row>
    <row r="1681" spans="1:6" x14ac:dyDescent="0.3">
      <c r="A1681" t="s">
        <v>524</v>
      </c>
      <c r="B1681" t="s">
        <v>2149</v>
      </c>
      <c r="C1681">
        <v>8.5</v>
      </c>
      <c r="D1681">
        <v>55</v>
      </c>
      <c r="E1681">
        <f>IF(OR(B1681="vi",B1681="ii",B1681="pod"),(((D1681/100)*(C1681*VLOOKUP(B1681,'Poids des runes'!A:B,2,FALSE)))+1),(((D1681/100)*(C1681*VLOOKUP(B1681,'Poids des runes'!A:B,2,FALSE)))+1)/VLOOKUP(B1681,'Poids des runes'!A:B,2,FALSE))</f>
        <v>4.7750000000000004</v>
      </c>
      <c r="F1681">
        <f t="shared" si="26"/>
        <v>4.7750000000000004</v>
      </c>
    </row>
    <row r="1682" spans="1:6" x14ac:dyDescent="0.3">
      <c r="A1682" t="s">
        <v>525</v>
      </c>
      <c r="B1682" t="s">
        <v>2130</v>
      </c>
      <c r="C1682">
        <v>35.5</v>
      </c>
      <c r="D1682">
        <v>55</v>
      </c>
      <c r="E1682">
        <f>IF(OR(B1682="vi",B1682="ii",B1682="pod"),(((D1682/100)*(C1682*VLOOKUP(B1682,'Poids des runes'!A:B,2,FALSE)))+1),(((D1682/100)*(C1682*VLOOKUP(B1682,'Poids des runes'!A:B,2,FALSE)))+1)/VLOOKUP(B1682,'Poids des runes'!A:B,2,FALSE))</f>
        <v>20.525000000000002</v>
      </c>
      <c r="F1682">
        <f t="shared" si="26"/>
        <v>20.525000000000002</v>
      </c>
    </row>
    <row r="1683" spans="1:6" x14ac:dyDescent="0.3">
      <c r="A1683" t="s">
        <v>525</v>
      </c>
      <c r="B1683" t="s">
        <v>2126</v>
      </c>
      <c r="C1683">
        <v>35.5</v>
      </c>
      <c r="D1683">
        <v>55</v>
      </c>
      <c r="E1683">
        <f>IF(OR(B1683="vi",B1683="ii",B1683="pod"),(((D1683/100)*(C1683*VLOOKUP(B1683,'Poids des runes'!A:B,2,FALSE)))+1),(((D1683/100)*(C1683*VLOOKUP(B1683,'Poids des runes'!A:B,2,FALSE)))+1)/VLOOKUP(B1683,'Poids des runes'!A:B,2,FALSE))</f>
        <v>20.525000000000002</v>
      </c>
      <c r="F1683">
        <f t="shared" si="26"/>
        <v>20.525000000000002</v>
      </c>
    </row>
    <row r="1684" spans="1:6" x14ac:dyDescent="0.3">
      <c r="A1684" t="s">
        <v>525</v>
      </c>
      <c r="B1684" t="s">
        <v>2129</v>
      </c>
      <c r="C1684">
        <v>13</v>
      </c>
      <c r="D1684">
        <v>55</v>
      </c>
      <c r="E1684">
        <f>IF(OR(B1684="vi",B1684="ii",B1684="pod"),(((D1684/100)*(C1684*VLOOKUP(B1684,'Poids des runes'!A:B,2,FALSE)))+1),(((D1684/100)*(C1684*VLOOKUP(B1684,'Poids des runes'!A:B,2,FALSE)))+1)/VLOOKUP(B1684,'Poids des runes'!A:B,2,FALSE))</f>
        <v>8.15</v>
      </c>
      <c r="F1684">
        <f t="shared" si="26"/>
        <v>8.15</v>
      </c>
    </row>
    <row r="1685" spans="1:6" x14ac:dyDescent="0.3">
      <c r="A1685" t="s">
        <v>525</v>
      </c>
      <c r="B1685" t="s">
        <v>2143</v>
      </c>
      <c r="C1685">
        <v>2</v>
      </c>
      <c r="D1685">
        <v>55</v>
      </c>
      <c r="E1685">
        <f>IF(OR(B1685="vi",B1685="ii",B1685="pod"),(((D1685/100)*(C1685*VLOOKUP(B1685,'Poids des runes'!A:B,2,FALSE)))+1),(((D1685/100)*(C1685*VLOOKUP(B1685,'Poids des runes'!A:B,2,FALSE)))+1)/VLOOKUP(B1685,'Poids des runes'!A:B,2,FALSE))</f>
        <v>1.3</v>
      </c>
      <c r="F1685">
        <f t="shared" si="26"/>
        <v>1.3</v>
      </c>
    </row>
    <row r="1686" spans="1:6" x14ac:dyDescent="0.3">
      <c r="A1686" t="s">
        <v>525</v>
      </c>
      <c r="B1686" t="s">
        <v>2140</v>
      </c>
      <c r="C1686">
        <v>2</v>
      </c>
      <c r="D1686">
        <v>55</v>
      </c>
      <c r="E1686">
        <f>IF(OR(B1686="vi",B1686="ii",B1686="pod"),(((D1686/100)*(C1686*VLOOKUP(B1686,'Poids des runes'!A:B,2,FALSE)))+1),(((D1686/100)*(C1686*VLOOKUP(B1686,'Poids des runes'!A:B,2,FALSE)))+1)/VLOOKUP(B1686,'Poids des runes'!A:B,2,FALSE))</f>
        <v>1.3</v>
      </c>
      <c r="F1686">
        <f t="shared" si="26"/>
        <v>1.3</v>
      </c>
    </row>
    <row r="1687" spans="1:6" x14ac:dyDescent="0.3">
      <c r="A1687" t="s">
        <v>525</v>
      </c>
      <c r="B1687" t="s">
        <v>2159</v>
      </c>
      <c r="C1687">
        <v>4.5</v>
      </c>
      <c r="D1687">
        <v>55</v>
      </c>
      <c r="E1687">
        <f>IF(OR(B1687="vi",B1687="ii",B1687="pod"),(((D1687/100)*(C1687*VLOOKUP(B1687,'Poids des runes'!A:B,2,FALSE)))+1),(((D1687/100)*(C1687*VLOOKUP(B1687,'Poids des runes'!A:B,2,FALSE)))+1)/VLOOKUP(B1687,'Poids des runes'!A:B,2,FALSE))</f>
        <v>2.6178571428571433</v>
      </c>
      <c r="F1687">
        <f t="shared" si="26"/>
        <v>2.6178571428571433</v>
      </c>
    </row>
    <row r="1688" spans="1:6" x14ac:dyDescent="0.3">
      <c r="A1688" t="s">
        <v>526</v>
      </c>
      <c r="B1688" t="s">
        <v>2128</v>
      </c>
      <c r="C1688">
        <v>35.5</v>
      </c>
      <c r="D1688">
        <v>55</v>
      </c>
      <c r="E1688">
        <f>IF(OR(B1688="vi",B1688="ii",B1688="pod"),(((D1688/100)*(C1688*VLOOKUP(B1688,'Poids des runes'!A:B,2,FALSE)))+1),(((D1688/100)*(C1688*VLOOKUP(B1688,'Poids des runes'!A:B,2,FALSE)))+1)/VLOOKUP(B1688,'Poids des runes'!A:B,2,FALSE))</f>
        <v>4.9050000000000011</v>
      </c>
      <c r="F1688">
        <f t="shared" si="26"/>
        <v>4.9050000000000011</v>
      </c>
    </row>
    <row r="1689" spans="1:6" x14ac:dyDescent="0.3">
      <c r="A1689" t="s">
        <v>526</v>
      </c>
      <c r="B1689" t="s">
        <v>2139</v>
      </c>
      <c r="C1689">
        <v>23</v>
      </c>
      <c r="D1689">
        <v>55</v>
      </c>
      <c r="E1689">
        <f>IF(OR(B1689="vi",B1689="ii",B1689="pod"),(((D1689/100)*(C1689*VLOOKUP(B1689,'Poids des runes'!A:B,2,FALSE)))+1),(((D1689/100)*(C1689*VLOOKUP(B1689,'Poids des runes'!A:B,2,FALSE)))+1)/VLOOKUP(B1689,'Poids des runes'!A:B,2,FALSE))</f>
        <v>13.15</v>
      </c>
      <c r="F1689">
        <f t="shared" si="26"/>
        <v>13.15</v>
      </c>
    </row>
    <row r="1690" spans="1:6" x14ac:dyDescent="0.3">
      <c r="A1690" t="s">
        <v>526</v>
      </c>
      <c r="B1690" t="s">
        <v>2151</v>
      </c>
      <c r="C1690">
        <v>2</v>
      </c>
      <c r="D1690">
        <v>55</v>
      </c>
      <c r="E1690">
        <f>IF(OR(B1690="vi",B1690="ii",B1690="pod"),(((D1690/100)*(C1690*VLOOKUP(B1690,'Poids des runes'!A:B,2,FALSE)))+1),(((D1690/100)*(C1690*VLOOKUP(B1690,'Poids des runes'!A:B,2,FALSE)))+1)/VLOOKUP(B1690,'Poids des runes'!A:B,2,FALSE))</f>
        <v>1.2</v>
      </c>
      <c r="F1690">
        <f t="shared" si="26"/>
        <v>1.2</v>
      </c>
    </row>
    <row r="1691" spans="1:6" x14ac:dyDescent="0.3">
      <c r="A1691" t="s">
        <v>526</v>
      </c>
      <c r="B1691" t="s">
        <v>2143</v>
      </c>
      <c r="C1691">
        <v>4.5</v>
      </c>
      <c r="D1691">
        <v>55</v>
      </c>
      <c r="E1691">
        <f>IF(OR(B1691="vi",B1691="ii",B1691="pod"),(((D1691/100)*(C1691*VLOOKUP(B1691,'Poids des runes'!A:B,2,FALSE)))+1),(((D1691/100)*(C1691*VLOOKUP(B1691,'Poids des runes'!A:B,2,FALSE)))+1)/VLOOKUP(B1691,'Poids des runes'!A:B,2,FALSE))</f>
        <v>2.6750000000000003</v>
      </c>
      <c r="F1691">
        <f t="shared" si="26"/>
        <v>2.6750000000000003</v>
      </c>
    </row>
    <row r="1692" spans="1:6" x14ac:dyDescent="0.3">
      <c r="A1692" t="s">
        <v>526</v>
      </c>
      <c r="B1692" t="s">
        <v>2138</v>
      </c>
      <c r="C1692">
        <v>4.5</v>
      </c>
      <c r="D1692">
        <v>55</v>
      </c>
      <c r="E1692">
        <f>IF(OR(B1692="vi",B1692="ii",B1692="pod"),(((D1692/100)*(C1692*VLOOKUP(B1692,'Poids des runes'!A:B,2,FALSE)))+1),(((D1692/100)*(C1692*VLOOKUP(B1692,'Poids des runes'!A:B,2,FALSE)))+1)/VLOOKUP(B1692,'Poids des runes'!A:B,2,FALSE))</f>
        <v>2.7250000000000001</v>
      </c>
      <c r="F1692">
        <f t="shared" si="26"/>
        <v>2.7250000000000001</v>
      </c>
    </row>
    <row r="1693" spans="1:6" x14ac:dyDescent="0.3">
      <c r="A1693" t="s">
        <v>526</v>
      </c>
      <c r="B1693" t="s">
        <v>2165</v>
      </c>
      <c r="C1693">
        <v>3.5</v>
      </c>
      <c r="D1693">
        <v>55</v>
      </c>
      <c r="E1693">
        <f>IF(OR(B1693="vi",B1693="ii",B1693="pod"),(((D1693/100)*(C1693*VLOOKUP(B1693,'Poids des runes'!A:B,2,FALSE)))+1),(((D1693/100)*(C1693*VLOOKUP(B1693,'Poids des runes'!A:B,2,FALSE)))+1)/VLOOKUP(B1693,'Poids des runes'!A:B,2,FALSE))</f>
        <v>2.0678571428571431</v>
      </c>
      <c r="F1693">
        <f t="shared" si="26"/>
        <v>2.0678571428571431</v>
      </c>
    </row>
    <row r="1694" spans="1:6" x14ac:dyDescent="0.3">
      <c r="A1694" t="s">
        <v>527</v>
      </c>
      <c r="B1694" t="s">
        <v>2126</v>
      </c>
      <c r="C1694">
        <v>35.5</v>
      </c>
      <c r="D1694">
        <v>55</v>
      </c>
      <c r="E1694">
        <f>IF(OR(B1694="vi",B1694="ii",B1694="pod"),(((D1694/100)*(C1694*VLOOKUP(B1694,'Poids des runes'!A:B,2,FALSE)))+1),(((D1694/100)*(C1694*VLOOKUP(B1694,'Poids des runes'!A:B,2,FALSE)))+1)/VLOOKUP(B1694,'Poids des runes'!A:B,2,FALSE))</f>
        <v>20.525000000000002</v>
      </c>
      <c r="F1694">
        <f t="shared" si="26"/>
        <v>20.525000000000002</v>
      </c>
    </row>
    <row r="1695" spans="1:6" x14ac:dyDescent="0.3">
      <c r="A1695" t="s">
        <v>527</v>
      </c>
      <c r="B1695" t="s">
        <v>2129</v>
      </c>
      <c r="C1695">
        <v>20.5</v>
      </c>
      <c r="D1695">
        <v>55</v>
      </c>
      <c r="E1695">
        <f>IF(OR(B1695="vi",B1695="ii",B1695="pod"),(((D1695/100)*(C1695*VLOOKUP(B1695,'Poids des runes'!A:B,2,FALSE)))+1),(((D1695/100)*(C1695*VLOOKUP(B1695,'Poids des runes'!A:B,2,FALSE)))+1)/VLOOKUP(B1695,'Poids des runes'!A:B,2,FALSE))</f>
        <v>12.275</v>
      </c>
      <c r="F1695">
        <f t="shared" si="26"/>
        <v>12.275</v>
      </c>
    </row>
    <row r="1696" spans="1:6" x14ac:dyDescent="0.3">
      <c r="A1696" t="s">
        <v>527</v>
      </c>
      <c r="B1696" t="s">
        <v>2155</v>
      </c>
      <c r="C1696">
        <v>1</v>
      </c>
      <c r="D1696">
        <v>55</v>
      </c>
      <c r="E1696">
        <f>IF(OR(B1696="vi",B1696="ii",B1696="pod"),(((D1696/100)*(C1696*VLOOKUP(B1696,'Poids des runes'!A:B,2,FALSE)))+1),(((D1696/100)*(C1696*VLOOKUP(B1696,'Poids des runes'!A:B,2,FALSE)))+1)/VLOOKUP(B1696,'Poids des runes'!A:B,2,FALSE))</f>
        <v>0.56960784313725488</v>
      </c>
      <c r="F1696">
        <f t="shared" si="26"/>
        <v>0.56960784313725488</v>
      </c>
    </row>
    <row r="1697" spans="1:6" x14ac:dyDescent="0.3">
      <c r="A1697" t="s">
        <v>527</v>
      </c>
      <c r="B1697" t="s">
        <v>2140</v>
      </c>
      <c r="C1697">
        <v>4.5</v>
      </c>
      <c r="D1697">
        <v>55</v>
      </c>
      <c r="E1697">
        <f>IF(OR(B1697="vi",B1697="ii",B1697="pod"),(((D1697/100)*(C1697*VLOOKUP(B1697,'Poids des runes'!A:B,2,FALSE)))+1),(((D1697/100)*(C1697*VLOOKUP(B1697,'Poids des runes'!A:B,2,FALSE)))+1)/VLOOKUP(B1697,'Poids des runes'!A:B,2,FALSE))</f>
        <v>2.6750000000000003</v>
      </c>
      <c r="F1697">
        <f t="shared" si="26"/>
        <v>2.6750000000000003</v>
      </c>
    </row>
    <row r="1698" spans="1:6" x14ac:dyDescent="0.3">
      <c r="A1698" t="s">
        <v>527</v>
      </c>
      <c r="B1698" t="s">
        <v>2149</v>
      </c>
      <c r="C1698">
        <v>4.5</v>
      </c>
      <c r="D1698">
        <v>55</v>
      </c>
      <c r="E1698">
        <f>IF(OR(B1698="vi",B1698="ii",B1698="pod"),(((D1698/100)*(C1698*VLOOKUP(B1698,'Poids des runes'!A:B,2,FALSE)))+1),(((D1698/100)*(C1698*VLOOKUP(B1698,'Poids des runes'!A:B,2,FALSE)))+1)/VLOOKUP(B1698,'Poids des runes'!A:B,2,FALSE))</f>
        <v>2.5750000000000002</v>
      </c>
      <c r="F1698">
        <f t="shared" si="26"/>
        <v>2.5750000000000002</v>
      </c>
    </row>
    <row r="1699" spans="1:6" x14ac:dyDescent="0.3">
      <c r="A1699" t="s">
        <v>528</v>
      </c>
      <c r="B1699" t="s">
        <v>2128</v>
      </c>
      <c r="C1699">
        <v>50.5</v>
      </c>
      <c r="D1699">
        <v>55</v>
      </c>
      <c r="E1699">
        <f>IF(OR(B1699="vi",B1699="ii",B1699="pod"),(((D1699/100)*(C1699*VLOOKUP(B1699,'Poids des runes'!A:B,2,FALSE)))+1),(((D1699/100)*(C1699*VLOOKUP(B1699,'Poids des runes'!A:B,2,FALSE)))+1)/VLOOKUP(B1699,'Poids des runes'!A:B,2,FALSE))</f>
        <v>6.5550000000000015</v>
      </c>
      <c r="F1699">
        <f t="shared" si="26"/>
        <v>6.5550000000000015</v>
      </c>
    </row>
    <row r="1700" spans="1:6" x14ac:dyDescent="0.3">
      <c r="A1700" t="s">
        <v>528</v>
      </c>
      <c r="B1700" t="s">
        <v>2149</v>
      </c>
      <c r="C1700">
        <v>8.5</v>
      </c>
      <c r="D1700">
        <v>55</v>
      </c>
      <c r="E1700">
        <f>IF(OR(B1700="vi",B1700="ii",B1700="pod"),(((D1700/100)*(C1700*VLOOKUP(B1700,'Poids des runes'!A:B,2,FALSE)))+1),(((D1700/100)*(C1700*VLOOKUP(B1700,'Poids des runes'!A:B,2,FALSE)))+1)/VLOOKUP(B1700,'Poids des runes'!A:B,2,FALSE))</f>
        <v>4.7750000000000004</v>
      </c>
      <c r="F1700">
        <f t="shared" si="26"/>
        <v>4.7750000000000004</v>
      </c>
    </row>
    <row r="1701" spans="1:6" x14ac:dyDescent="0.3">
      <c r="A1701" t="s">
        <v>528</v>
      </c>
      <c r="B1701" t="s">
        <v>2132</v>
      </c>
      <c r="C1701">
        <v>175.5</v>
      </c>
      <c r="D1701">
        <v>55</v>
      </c>
      <c r="E1701">
        <f>IF(OR(B1701="vi",B1701="ii",B1701="pod"),(((D1701/100)*(C1701*VLOOKUP(B1701,'Poids des runes'!A:B,2,FALSE)))+1),(((D1701/100)*(C1701*VLOOKUP(B1701,'Poids des runes'!A:B,2,FALSE)))+1)/VLOOKUP(B1701,'Poids des runes'!A:B,2,FALSE))</f>
        <v>10.652500000000002</v>
      </c>
      <c r="F1701">
        <f t="shared" si="26"/>
        <v>10.652500000000002</v>
      </c>
    </row>
    <row r="1702" spans="1:6" x14ac:dyDescent="0.3">
      <c r="A1702" t="s">
        <v>528</v>
      </c>
      <c r="B1702" t="s">
        <v>2147</v>
      </c>
      <c r="C1702">
        <v>2</v>
      </c>
      <c r="D1702">
        <v>55</v>
      </c>
      <c r="E1702">
        <f>IF(OR(B1702="vi",B1702="ii",B1702="pod"),(((D1702/100)*(C1702*VLOOKUP(B1702,'Poids des runes'!A:B,2,FALSE)))+1),(((D1702/100)*(C1702*VLOOKUP(B1702,'Poids des runes'!A:B,2,FALSE)))+1)/VLOOKUP(B1702,'Poids des runes'!A:B,2,FALSE))</f>
        <v>1.2666666666666668</v>
      </c>
      <c r="F1702">
        <f t="shared" si="26"/>
        <v>1.2666666666666668</v>
      </c>
    </row>
    <row r="1703" spans="1:6" x14ac:dyDescent="0.3">
      <c r="A1703" t="s">
        <v>528</v>
      </c>
      <c r="B1703" t="s">
        <v>2135</v>
      </c>
      <c r="C1703">
        <v>2</v>
      </c>
      <c r="D1703">
        <v>55</v>
      </c>
      <c r="E1703">
        <f>IF(OR(B1703="vi",B1703="ii",B1703="pod"),(((D1703/100)*(C1703*VLOOKUP(B1703,'Poids des runes'!A:B,2,FALSE)))+1),(((D1703/100)*(C1703*VLOOKUP(B1703,'Poids des runes'!A:B,2,FALSE)))+1)/VLOOKUP(B1703,'Poids des runes'!A:B,2,FALSE))</f>
        <v>1.2666666666666668</v>
      </c>
      <c r="F1703">
        <f t="shared" si="26"/>
        <v>1.2666666666666668</v>
      </c>
    </row>
    <row r="1704" spans="1:6" x14ac:dyDescent="0.3">
      <c r="A1704" t="s">
        <v>529</v>
      </c>
      <c r="B1704" t="s">
        <v>2128</v>
      </c>
      <c r="C1704">
        <v>40.5</v>
      </c>
      <c r="D1704">
        <v>55</v>
      </c>
      <c r="E1704">
        <f>IF(OR(B1704="vi",B1704="ii",B1704="pod"),(((D1704/100)*(C1704*VLOOKUP(B1704,'Poids des runes'!A:B,2,FALSE)))+1),(((D1704/100)*(C1704*VLOOKUP(B1704,'Poids des runes'!A:B,2,FALSE)))+1)/VLOOKUP(B1704,'Poids des runes'!A:B,2,FALSE))</f>
        <v>5.4550000000000001</v>
      </c>
      <c r="F1704">
        <f t="shared" si="26"/>
        <v>5.4550000000000001</v>
      </c>
    </row>
    <row r="1705" spans="1:6" x14ac:dyDescent="0.3">
      <c r="A1705" t="s">
        <v>529</v>
      </c>
      <c r="B1705" t="s">
        <v>2148</v>
      </c>
      <c r="C1705">
        <v>4.5</v>
      </c>
      <c r="D1705">
        <v>55</v>
      </c>
      <c r="E1705">
        <f>IF(OR(B1705="vi",B1705="ii",B1705="pod"),(((D1705/100)*(C1705*VLOOKUP(B1705,'Poids des runes'!A:B,2,FALSE)))+1),(((D1705/100)*(C1705*VLOOKUP(B1705,'Poids des runes'!A:B,2,FALSE)))+1)/VLOOKUP(B1705,'Poids des runes'!A:B,2,FALSE))</f>
        <v>2.6416666666666671</v>
      </c>
      <c r="F1705">
        <f t="shared" si="26"/>
        <v>2.6416666666666671</v>
      </c>
    </row>
    <row r="1706" spans="1:6" x14ac:dyDescent="0.3">
      <c r="A1706" t="s">
        <v>529</v>
      </c>
      <c r="B1706" t="s">
        <v>2145</v>
      </c>
      <c r="C1706">
        <v>5</v>
      </c>
      <c r="D1706">
        <v>55</v>
      </c>
      <c r="E1706">
        <f>IF(OR(B1706="vi",B1706="ii",B1706="pod"),(((D1706/100)*(C1706*VLOOKUP(B1706,'Poids des runes'!A:B,2,FALSE)))+1),(((D1706/100)*(C1706*VLOOKUP(B1706,'Poids des runes'!A:B,2,FALSE)))+1)/VLOOKUP(B1706,'Poids des runes'!A:B,2,FALSE))</f>
        <v>3.25</v>
      </c>
      <c r="F1706">
        <f t="shared" si="26"/>
        <v>3.25</v>
      </c>
    </row>
    <row r="1707" spans="1:6" x14ac:dyDescent="0.3">
      <c r="A1707" t="s">
        <v>529</v>
      </c>
      <c r="B1707" t="s">
        <v>2146</v>
      </c>
      <c r="C1707">
        <v>5</v>
      </c>
      <c r="D1707">
        <v>55</v>
      </c>
      <c r="E1707">
        <f>IF(OR(B1707="vi",B1707="ii",B1707="pod"),(((D1707/100)*(C1707*VLOOKUP(B1707,'Poids des runes'!A:B,2,FALSE)))+1),(((D1707/100)*(C1707*VLOOKUP(B1707,'Poids des runes'!A:B,2,FALSE)))+1)/VLOOKUP(B1707,'Poids des runes'!A:B,2,FALSE))</f>
        <v>3.25</v>
      </c>
      <c r="F1707">
        <f t="shared" si="26"/>
        <v>3.25</v>
      </c>
    </row>
    <row r="1708" spans="1:6" x14ac:dyDescent="0.3">
      <c r="A1708" t="s">
        <v>530</v>
      </c>
      <c r="B1708" t="s">
        <v>2127</v>
      </c>
      <c r="C1708">
        <v>20.5</v>
      </c>
      <c r="D1708">
        <v>56</v>
      </c>
      <c r="E1708">
        <f>IF(OR(B1708="vi",B1708="ii",B1708="pod"),(((D1708/100)*(C1708*VLOOKUP(B1708,'Poids des runes'!A:B,2,FALSE)))+1),(((D1708/100)*(C1708*VLOOKUP(B1708,'Poids des runes'!A:B,2,FALSE)))+1)/VLOOKUP(B1708,'Poids des runes'!A:B,2,FALSE))</f>
        <v>12.48</v>
      </c>
      <c r="F1708">
        <f t="shared" si="26"/>
        <v>12.48</v>
      </c>
    </row>
    <row r="1709" spans="1:6" x14ac:dyDescent="0.3">
      <c r="A1709" t="s">
        <v>530</v>
      </c>
      <c r="B1709" t="s">
        <v>2151</v>
      </c>
      <c r="C1709">
        <v>3.5</v>
      </c>
      <c r="D1709">
        <v>56</v>
      </c>
      <c r="E1709">
        <f>IF(OR(B1709="vi",B1709="ii",B1709="pod"),(((D1709/100)*(C1709*VLOOKUP(B1709,'Poids des runes'!A:B,2,FALSE)))+1),(((D1709/100)*(C1709*VLOOKUP(B1709,'Poids des runes'!A:B,2,FALSE)))+1)/VLOOKUP(B1709,'Poids des runes'!A:B,2,FALSE))</f>
        <v>2.06</v>
      </c>
      <c r="F1709">
        <f t="shared" si="26"/>
        <v>2.06</v>
      </c>
    </row>
    <row r="1710" spans="1:6" x14ac:dyDescent="0.3">
      <c r="A1710" t="s">
        <v>530</v>
      </c>
      <c r="B1710" t="s">
        <v>2153</v>
      </c>
      <c r="C1710">
        <v>4</v>
      </c>
      <c r="D1710">
        <v>56</v>
      </c>
      <c r="E1710">
        <f>IF(OR(B1710="vi",B1710="ii",B1710="pod"),(((D1710/100)*(C1710*VLOOKUP(B1710,'Poids des runes'!A:B,2,FALSE)))+1),(((D1710/100)*(C1710*VLOOKUP(B1710,'Poids des runes'!A:B,2,FALSE)))+1)/VLOOKUP(B1710,'Poids des runes'!A:B,2,FALSE))</f>
        <v>2.4400000000000004</v>
      </c>
      <c r="F1710">
        <f t="shared" si="26"/>
        <v>2.4400000000000004</v>
      </c>
    </row>
    <row r="1711" spans="1:6" x14ac:dyDescent="0.3">
      <c r="A1711" t="s">
        <v>530</v>
      </c>
      <c r="B1711" t="s">
        <v>2161</v>
      </c>
      <c r="C1711">
        <v>8</v>
      </c>
      <c r="D1711">
        <v>56</v>
      </c>
      <c r="E1711">
        <f>IF(OR(B1711="vi",B1711="ii",B1711="pod"),(((D1711/100)*(C1711*VLOOKUP(B1711,'Poids des runes'!A:B,2,FALSE)))+1),(((D1711/100)*(C1711*VLOOKUP(B1711,'Poids des runes'!A:B,2,FALSE)))+1)/VLOOKUP(B1711,'Poids des runes'!A:B,2,FALSE))</f>
        <v>4.8133333333333335</v>
      </c>
      <c r="F1711">
        <f t="shared" si="26"/>
        <v>4.8133333333333335</v>
      </c>
    </row>
    <row r="1712" spans="1:6" x14ac:dyDescent="0.3">
      <c r="A1712" t="s">
        <v>531</v>
      </c>
      <c r="B1712" t="s">
        <v>2128</v>
      </c>
      <c r="C1712">
        <v>20.5</v>
      </c>
      <c r="D1712">
        <v>56</v>
      </c>
      <c r="E1712">
        <f>IF(OR(B1712="vi",B1712="ii",B1712="pod"),(((D1712/100)*(C1712*VLOOKUP(B1712,'Poids des runes'!A:B,2,FALSE)))+1),(((D1712/100)*(C1712*VLOOKUP(B1712,'Poids des runes'!A:B,2,FALSE)))+1)/VLOOKUP(B1712,'Poids des runes'!A:B,2,FALSE))</f>
        <v>3.2960000000000007</v>
      </c>
      <c r="F1712">
        <f t="shared" si="26"/>
        <v>3.2960000000000007</v>
      </c>
    </row>
    <row r="1713" spans="1:6" x14ac:dyDescent="0.3">
      <c r="A1713" t="s">
        <v>531</v>
      </c>
      <c r="B1713" t="s">
        <v>2130</v>
      </c>
      <c r="C1713">
        <v>20.5</v>
      </c>
      <c r="D1713">
        <v>56</v>
      </c>
      <c r="E1713">
        <f>IF(OR(B1713="vi",B1713="ii",B1713="pod"),(((D1713/100)*(C1713*VLOOKUP(B1713,'Poids des runes'!A:B,2,FALSE)))+1),(((D1713/100)*(C1713*VLOOKUP(B1713,'Poids des runes'!A:B,2,FALSE)))+1)/VLOOKUP(B1713,'Poids des runes'!A:B,2,FALSE))</f>
        <v>12.48</v>
      </c>
      <c r="F1713">
        <f t="shared" si="26"/>
        <v>12.48</v>
      </c>
    </row>
    <row r="1714" spans="1:6" x14ac:dyDescent="0.3">
      <c r="A1714" t="s">
        <v>531</v>
      </c>
      <c r="B1714" t="s">
        <v>2126</v>
      </c>
      <c r="C1714">
        <v>20.5</v>
      </c>
      <c r="D1714">
        <v>56</v>
      </c>
      <c r="E1714">
        <f>IF(OR(B1714="vi",B1714="ii",B1714="pod"),(((D1714/100)*(C1714*VLOOKUP(B1714,'Poids des runes'!A:B,2,FALSE)))+1),(((D1714/100)*(C1714*VLOOKUP(B1714,'Poids des runes'!A:B,2,FALSE)))+1)/VLOOKUP(B1714,'Poids des runes'!A:B,2,FALSE))</f>
        <v>12.48</v>
      </c>
      <c r="F1714">
        <f t="shared" si="26"/>
        <v>12.48</v>
      </c>
    </row>
    <row r="1715" spans="1:6" x14ac:dyDescent="0.3">
      <c r="A1715" t="s">
        <v>531</v>
      </c>
      <c r="B1715" t="s">
        <v>2131</v>
      </c>
      <c r="C1715">
        <v>20.5</v>
      </c>
      <c r="D1715">
        <v>56</v>
      </c>
      <c r="E1715">
        <f>IF(OR(B1715="vi",B1715="ii",B1715="pod"),(((D1715/100)*(C1715*VLOOKUP(B1715,'Poids des runes'!A:B,2,FALSE)))+1),(((D1715/100)*(C1715*VLOOKUP(B1715,'Poids des runes'!A:B,2,FALSE)))+1)/VLOOKUP(B1715,'Poids des runes'!A:B,2,FALSE))</f>
        <v>12.48</v>
      </c>
      <c r="F1715">
        <f t="shared" si="26"/>
        <v>12.48</v>
      </c>
    </row>
    <row r="1716" spans="1:6" x14ac:dyDescent="0.3">
      <c r="A1716" t="s">
        <v>531</v>
      </c>
      <c r="B1716" t="s">
        <v>2127</v>
      </c>
      <c r="C1716">
        <v>20.5</v>
      </c>
      <c r="D1716">
        <v>56</v>
      </c>
      <c r="E1716">
        <f>IF(OR(B1716="vi",B1716="ii",B1716="pod"),(((D1716/100)*(C1716*VLOOKUP(B1716,'Poids des runes'!A:B,2,FALSE)))+1),(((D1716/100)*(C1716*VLOOKUP(B1716,'Poids des runes'!A:B,2,FALSE)))+1)/VLOOKUP(B1716,'Poids des runes'!A:B,2,FALSE))</f>
        <v>12.48</v>
      </c>
      <c r="F1716">
        <f t="shared" si="26"/>
        <v>12.48</v>
      </c>
    </row>
    <row r="1717" spans="1:6" x14ac:dyDescent="0.3">
      <c r="A1717" t="s">
        <v>531</v>
      </c>
      <c r="B1717" t="s">
        <v>2129</v>
      </c>
      <c r="C1717">
        <v>20.5</v>
      </c>
      <c r="D1717">
        <v>56</v>
      </c>
      <c r="E1717">
        <f>IF(OR(B1717="vi",B1717="ii",B1717="pod"),(((D1717/100)*(C1717*VLOOKUP(B1717,'Poids des runes'!A:B,2,FALSE)))+1),(((D1717/100)*(C1717*VLOOKUP(B1717,'Poids des runes'!A:B,2,FALSE)))+1)/VLOOKUP(B1717,'Poids des runes'!A:B,2,FALSE))</f>
        <v>12.48</v>
      </c>
      <c r="F1717">
        <f t="shared" si="26"/>
        <v>12.48</v>
      </c>
    </row>
    <row r="1718" spans="1:6" x14ac:dyDescent="0.3">
      <c r="A1718" t="s">
        <v>532</v>
      </c>
      <c r="B1718" t="s">
        <v>2128</v>
      </c>
      <c r="C1718">
        <v>25.5</v>
      </c>
      <c r="D1718">
        <v>56</v>
      </c>
      <c r="E1718">
        <f>IF(OR(B1718="vi",B1718="ii",B1718="pod"),(((D1718/100)*(C1718*VLOOKUP(B1718,'Poids des runes'!A:B,2,FALSE)))+1),(((D1718/100)*(C1718*VLOOKUP(B1718,'Poids des runes'!A:B,2,FALSE)))+1)/VLOOKUP(B1718,'Poids des runes'!A:B,2,FALSE))</f>
        <v>3.8560000000000008</v>
      </c>
      <c r="F1718">
        <f t="shared" si="26"/>
        <v>3.8560000000000008</v>
      </c>
    </row>
    <row r="1719" spans="1:6" x14ac:dyDescent="0.3">
      <c r="A1719" t="s">
        <v>532</v>
      </c>
      <c r="B1719" t="s">
        <v>2139</v>
      </c>
      <c r="C1719">
        <v>25.5</v>
      </c>
      <c r="D1719">
        <v>56</v>
      </c>
      <c r="E1719">
        <f>IF(OR(B1719="vi",B1719="ii",B1719="pod"),(((D1719/100)*(C1719*VLOOKUP(B1719,'Poids des runes'!A:B,2,FALSE)))+1),(((D1719/100)*(C1719*VLOOKUP(B1719,'Poids des runes'!A:B,2,FALSE)))+1)/VLOOKUP(B1719,'Poids des runes'!A:B,2,FALSE))</f>
        <v>14.780000000000001</v>
      </c>
      <c r="F1719">
        <f t="shared" si="26"/>
        <v>14.780000000000001</v>
      </c>
    </row>
    <row r="1720" spans="1:6" x14ac:dyDescent="0.3">
      <c r="A1720" t="s">
        <v>532</v>
      </c>
      <c r="B1720" t="s">
        <v>2151</v>
      </c>
      <c r="C1720">
        <v>2.5</v>
      </c>
      <c r="D1720">
        <v>56</v>
      </c>
      <c r="E1720">
        <f>IF(OR(B1720="vi",B1720="ii",B1720="pod"),(((D1720/100)*(C1720*VLOOKUP(B1720,'Poids des runes'!A:B,2,FALSE)))+1),(((D1720/100)*(C1720*VLOOKUP(B1720,'Poids des runes'!A:B,2,FALSE)))+1)/VLOOKUP(B1720,'Poids des runes'!A:B,2,FALSE))</f>
        <v>1.5000000000000002</v>
      </c>
      <c r="F1720">
        <f t="shared" si="26"/>
        <v>1.5000000000000002</v>
      </c>
    </row>
    <row r="1721" spans="1:6" x14ac:dyDescent="0.3">
      <c r="A1721" t="s">
        <v>532</v>
      </c>
      <c r="B1721" t="s">
        <v>2134</v>
      </c>
      <c r="C1721">
        <v>6</v>
      </c>
      <c r="D1721">
        <v>56</v>
      </c>
      <c r="E1721">
        <f>IF(OR(B1721="vi",B1721="ii",B1721="pod"),(((D1721/100)*(C1721*VLOOKUP(B1721,'Poids des runes'!A:B,2,FALSE)))+1),(((D1721/100)*(C1721*VLOOKUP(B1721,'Poids des runes'!A:B,2,FALSE)))+1)/VLOOKUP(B1721,'Poids des runes'!A:B,2,FALSE))</f>
        <v>3.41</v>
      </c>
      <c r="F1721">
        <f t="shared" si="26"/>
        <v>3.41</v>
      </c>
    </row>
    <row r="1722" spans="1:6" x14ac:dyDescent="0.3">
      <c r="A1722" t="s">
        <v>533</v>
      </c>
      <c r="B1722" t="s">
        <v>2139</v>
      </c>
      <c r="C1722">
        <v>13</v>
      </c>
      <c r="D1722">
        <v>56</v>
      </c>
      <c r="E1722">
        <f>IF(OR(B1722="vi",B1722="ii",B1722="pod"),(((D1722/100)*(C1722*VLOOKUP(B1722,'Poids des runes'!A:B,2,FALSE)))+1),(((D1722/100)*(C1722*VLOOKUP(B1722,'Poids des runes'!A:B,2,FALSE)))+1)/VLOOKUP(B1722,'Poids des runes'!A:B,2,FALSE))</f>
        <v>7.7800000000000011</v>
      </c>
      <c r="F1722">
        <f t="shared" si="26"/>
        <v>7.7800000000000011</v>
      </c>
    </row>
    <row r="1723" spans="1:6" x14ac:dyDescent="0.3">
      <c r="A1723" t="s">
        <v>533</v>
      </c>
      <c r="B1723" t="s">
        <v>2152</v>
      </c>
      <c r="C1723">
        <v>1</v>
      </c>
      <c r="D1723">
        <v>56</v>
      </c>
      <c r="E1723">
        <f>IF(OR(B1723="vi",B1723="ii",B1723="pod"),(((D1723/100)*(C1723*VLOOKUP(B1723,'Poids des runes'!A:B,2,FALSE)))+1),(((D1723/100)*(C1723*VLOOKUP(B1723,'Poids des runes'!A:B,2,FALSE)))+1)/VLOOKUP(B1723,'Poids des runes'!A:B,2,FALSE))</f>
        <v>0.57000000000000006</v>
      </c>
      <c r="F1723">
        <f t="shared" si="26"/>
        <v>0.57000000000000006</v>
      </c>
    </row>
    <row r="1724" spans="1:6" x14ac:dyDescent="0.3">
      <c r="A1724" t="s">
        <v>533</v>
      </c>
      <c r="B1724" t="s">
        <v>2133</v>
      </c>
      <c r="C1724">
        <v>4.5</v>
      </c>
      <c r="D1724">
        <v>56</v>
      </c>
      <c r="E1724">
        <f>IF(OR(B1724="vi",B1724="ii",B1724="pod"),(((D1724/100)*(C1724*VLOOKUP(B1724,'Poids des runes'!A:B,2,FALSE)))+1),(((D1724/100)*(C1724*VLOOKUP(B1724,'Poids des runes'!A:B,2,FALSE)))+1)/VLOOKUP(B1724,'Poids des runes'!A:B,2,FALSE))</f>
        <v>2.72</v>
      </c>
      <c r="F1724">
        <f t="shared" si="26"/>
        <v>2.72</v>
      </c>
    </row>
    <row r="1725" spans="1:6" x14ac:dyDescent="0.3">
      <c r="A1725" t="s">
        <v>533</v>
      </c>
      <c r="B1725" t="s">
        <v>2160</v>
      </c>
      <c r="C1725">
        <v>2.5</v>
      </c>
      <c r="D1725">
        <v>56</v>
      </c>
      <c r="E1725">
        <f>IF(OR(B1725="vi",B1725="ii",B1725="pod"),(((D1725/100)*(C1725*VLOOKUP(B1725,'Poids des runes'!A:B,2,FALSE)))+1),(((D1725/100)*(C1725*VLOOKUP(B1725,'Poids des runes'!A:B,2,FALSE)))+1)/VLOOKUP(B1725,'Poids des runes'!A:B,2,FALSE))</f>
        <v>1.5428571428571429</v>
      </c>
      <c r="F1725">
        <f t="shared" si="26"/>
        <v>1.5428571428571429</v>
      </c>
    </row>
    <row r="1726" spans="1:6" x14ac:dyDescent="0.3">
      <c r="A1726" t="s">
        <v>534</v>
      </c>
      <c r="B1726" t="s">
        <v>2128</v>
      </c>
      <c r="C1726">
        <v>35.5</v>
      </c>
      <c r="D1726">
        <v>56</v>
      </c>
      <c r="E1726">
        <f>IF(OR(B1726="vi",B1726="ii",B1726="pod"),(((D1726/100)*(C1726*VLOOKUP(B1726,'Poids des runes'!A:B,2,FALSE)))+1),(((D1726/100)*(C1726*VLOOKUP(B1726,'Poids des runes'!A:B,2,FALSE)))+1)/VLOOKUP(B1726,'Poids des runes'!A:B,2,FALSE))</f>
        <v>4.9760000000000009</v>
      </c>
      <c r="F1726">
        <f t="shared" si="26"/>
        <v>4.9760000000000009</v>
      </c>
    </row>
    <row r="1727" spans="1:6" x14ac:dyDescent="0.3">
      <c r="A1727" t="s">
        <v>534</v>
      </c>
      <c r="B1727" t="s">
        <v>2126</v>
      </c>
      <c r="C1727">
        <v>15.5</v>
      </c>
      <c r="D1727">
        <v>56</v>
      </c>
      <c r="E1727">
        <f>IF(OR(B1727="vi",B1727="ii",B1727="pod"),(((D1727/100)*(C1727*VLOOKUP(B1727,'Poids des runes'!A:B,2,FALSE)))+1),(((D1727/100)*(C1727*VLOOKUP(B1727,'Poids des runes'!A:B,2,FALSE)))+1)/VLOOKUP(B1727,'Poids des runes'!A:B,2,FALSE))</f>
        <v>9.6800000000000015</v>
      </c>
      <c r="F1727">
        <f t="shared" si="26"/>
        <v>9.6800000000000015</v>
      </c>
    </row>
    <row r="1728" spans="1:6" x14ac:dyDescent="0.3">
      <c r="A1728" t="s">
        <v>534</v>
      </c>
      <c r="B1728" t="s">
        <v>2154</v>
      </c>
      <c r="C1728">
        <v>1</v>
      </c>
      <c r="D1728">
        <v>56</v>
      </c>
      <c r="E1728">
        <f>IF(OR(B1728="vi",B1728="ii",B1728="pod"),(((D1728/100)*(C1728*VLOOKUP(B1728,'Poids des runes'!A:B,2,FALSE)))+1),(((D1728/100)*(C1728*VLOOKUP(B1728,'Poids des runes'!A:B,2,FALSE)))+1)/VLOOKUP(B1728,'Poids des runes'!A:B,2,FALSE))</f>
        <v>0.57111111111111112</v>
      </c>
      <c r="F1728">
        <f t="shared" si="26"/>
        <v>0.57111111111111112</v>
      </c>
    </row>
    <row r="1729" spans="1:6" x14ac:dyDescent="0.3">
      <c r="A1729" t="s">
        <v>534</v>
      </c>
      <c r="B1729" t="s">
        <v>2149</v>
      </c>
      <c r="C1729">
        <v>3.5</v>
      </c>
      <c r="D1729">
        <v>56</v>
      </c>
      <c r="E1729">
        <f>IF(OR(B1729="vi",B1729="ii",B1729="pod"),(((D1729/100)*(C1729*VLOOKUP(B1729,'Poids des runes'!A:B,2,FALSE)))+1),(((D1729/100)*(C1729*VLOOKUP(B1729,'Poids des runes'!A:B,2,FALSE)))+1)/VLOOKUP(B1729,'Poids des runes'!A:B,2,FALSE))</f>
        <v>2.06</v>
      </c>
      <c r="F1729">
        <f t="shared" si="26"/>
        <v>2.06</v>
      </c>
    </row>
    <row r="1730" spans="1:6" x14ac:dyDescent="0.3">
      <c r="A1730" t="s">
        <v>535</v>
      </c>
      <c r="B1730" t="s">
        <v>2128</v>
      </c>
      <c r="C1730">
        <v>35.5</v>
      </c>
      <c r="D1730">
        <v>57</v>
      </c>
      <c r="E1730">
        <f>IF(OR(B1730="vi",B1730="ii",B1730="pod"),(((D1730/100)*(C1730*VLOOKUP(B1730,'Poids des runes'!A:B,2,FALSE)))+1),(((D1730/100)*(C1730*VLOOKUP(B1730,'Poids des runes'!A:B,2,FALSE)))+1)/VLOOKUP(B1730,'Poids des runes'!A:B,2,FALSE))</f>
        <v>5.0469999999999997</v>
      </c>
      <c r="F1730">
        <f t="shared" si="26"/>
        <v>5.0469999999999997</v>
      </c>
    </row>
    <row r="1731" spans="1:6" x14ac:dyDescent="0.3">
      <c r="A1731" t="s">
        <v>535</v>
      </c>
      <c r="B1731" t="s">
        <v>2126</v>
      </c>
      <c r="C1731">
        <v>25.5</v>
      </c>
      <c r="D1731">
        <v>57</v>
      </c>
      <c r="E1731">
        <f>IF(OR(B1731="vi",B1731="ii",B1731="pod"),(((D1731/100)*(C1731*VLOOKUP(B1731,'Poids des runes'!A:B,2,FALSE)))+1),(((D1731/100)*(C1731*VLOOKUP(B1731,'Poids des runes'!A:B,2,FALSE)))+1)/VLOOKUP(B1731,'Poids des runes'!A:B,2,FALSE))</f>
        <v>15.534999999999998</v>
      </c>
      <c r="F1731">
        <f t="shared" ref="F1731:F1794" si="27">E1731</f>
        <v>15.534999999999998</v>
      </c>
    </row>
    <row r="1732" spans="1:6" x14ac:dyDescent="0.3">
      <c r="A1732" t="s">
        <v>535</v>
      </c>
      <c r="B1732" t="s">
        <v>2129</v>
      </c>
      <c r="C1732">
        <v>13</v>
      </c>
      <c r="D1732">
        <v>57</v>
      </c>
      <c r="E1732">
        <f>IF(OR(B1732="vi",B1732="ii",B1732="pod"),(((D1732/100)*(C1732*VLOOKUP(B1732,'Poids des runes'!A:B,2,FALSE)))+1),(((D1732/100)*(C1732*VLOOKUP(B1732,'Poids des runes'!A:B,2,FALSE)))+1)/VLOOKUP(B1732,'Poids des runes'!A:B,2,FALSE))</f>
        <v>8.41</v>
      </c>
      <c r="F1732">
        <f t="shared" si="27"/>
        <v>8.41</v>
      </c>
    </row>
    <row r="1733" spans="1:6" x14ac:dyDescent="0.3">
      <c r="A1733" t="s">
        <v>535</v>
      </c>
      <c r="B1733" t="s">
        <v>2147</v>
      </c>
      <c r="C1733">
        <v>3.5</v>
      </c>
      <c r="D1733">
        <v>57</v>
      </c>
      <c r="E1733">
        <f>IF(OR(B1733="vi",B1733="ii",B1733="pod"),(((D1733/100)*(C1733*VLOOKUP(B1733,'Poids des runes'!A:B,2,FALSE)))+1),(((D1733/100)*(C1733*VLOOKUP(B1733,'Poids des runes'!A:B,2,FALSE)))+1)/VLOOKUP(B1733,'Poids des runes'!A:B,2,FALSE))</f>
        <v>2.1616666666666666</v>
      </c>
      <c r="F1733">
        <f t="shared" si="27"/>
        <v>2.1616666666666666</v>
      </c>
    </row>
    <row r="1734" spans="1:6" x14ac:dyDescent="0.3">
      <c r="A1734" t="s">
        <v>536</v>
      </c>
      <c r="B1734" t="s">
        <v>2128</v>
      </c>
      <c r="C1734">
        <v>20.5</v>
      </c>
      <c r="D1734">
        <v>57</v>
      </c>
      <c r="E1734">
        <f>IF(OR(B1734="vi",B1734="ii",B1734="pod"),(((D1734/100)*(C1734*VLOOKUP(B1734,'Poids des runes'!A:B,2,FALSE)))+1),(((D1734/100)*(C1734*VLOOKUP(B1734,'Poids des runes'!A:B,2,FALSE)))+1)/VLOOKUP(B1734,'Poids des runes'!A:B,2,FALSE))</f>
        <v>3.3370000000000002</v>
      </c>
      <c r="F1734">
        <f t="shared" si="27"/>
        <v>3.3370000000000002</v>
      </c>
    </row>
    <row r="1735" spans="1:6" x14ac:dyDescent="0.3">
      <c r="A1735" t="s">
        <v>536</v>
      </c>
      <c r="B1735" t="s">
        <v>2127</v>
      </c>
      <c r="C1735">
        <v>25.5</v>
      </c>
      <c r="D1735">
        <v>57</v>
      </c>
      <c r="E1735">
        <f>IF(OR(B1735="vi",B1735="ii",B1735="pod"),(((D1735/100)*(C1735*VLOOKUP(B1735,'Poids des runes'!A:B,2,FALSE)))+1),(((D1735/100)*(C1735*VLOOKUP(B1735,'Poids des runes'!A:B,2,FALSE)))+1)/VLOOKUP(B1735,'Poids des runes'!A:B,2,FALSE))</f>
        <v>15.534999999999998</v>
      </c>
      <c r="F1735">
        <f t="shared" si="27"/>
        <v>15.534999999999998</v>
      </c>
    </row>
    <row r="1736" spans="1:6" x14ac:dyDescent="0.3">
      <c r="A1736" t="s">
        <v>536</v>
      </c>
      <c r="B1736" t="s">
        <v>2151</v>
      </c>
      <c r="C1736">
        <v>3.5</v>
      </c>
      <c r="D1736">
        <v>57</v>
      </c>
      <c r="E1736">
        <f>IF(OR(B1736="vi",B1736="ii",B1736="pod"),(((D1736/100)*(C1736*VLOOKUP(B1736,'Poids des runes'!A:B,2,FALSE)))+1),(((D1736/100)*(C1736*VLOOKUP(B1736,'Poids des runes'!A:B,2,FALSE)))+1)/VLOOKUP(B1736,'Poids des runes'!A:B,2,FALSE))</f>
        <v>2.0949999999999998</v>
      </c>
      <c r="F1736">
        <f t="shared" si="27"/>
        <v>2.0949999999999998</v>
      </c>
    </row>
    <row r="1737" spans="1:6" x14ac:dyDescent="0.3">
      <c r="A1737" t="s">
        <v>536</v>
      </c>
      <c r="B1737" t="s">
        <v>2134</v>
      </c>
      <c r="C1737">
        <v>3.5</v>
      </c>
      <c r="D1737">
        <v>57</v>
      </c>
      <c r="E1737">
        <f>IF(OR(B1737="vi",B1737="ii",B1737="pod"),(((D1737/100)*(C1737*VLOOKUP(B1737,'Poids des runes'!A:B,2,FALSE)))+1),(((D1737/100)*(C1737*VLOOKUP(B1737,'Poids des runes'!A:B,2,FALSE)))+1)/VLOOKUP(B1737,'Poids des runes'!A:B,2,FALSE))</f>
        <v>2.0449999999999999</v>
      </c>
      <c r="F1737">
        <f t="shared" si="27"/>
        <v>2.0449999999999999</v>
      </c>
    </row>
    <row r="1738" spans="1:6" x14ac:dyDescent="0.3">
      <c r="A1738" t="s">
        <v>536</v>
      </c>
      <c r="B1738" t="s">
        <v>2161</v>
      </c>
      <c r="C1738">
        <v>5.5</v>
      </c>
      <c r="D1738">
        <v>57</v>
      </c>
      <c r="E1738">
        <f>IF(OR(B1738="vi",B1738="ii",B1738="pod"),(((D1738/100)*(C1738*VLOOKUP(B1738,'Poids des runes'!A:B,2,FALSE)))+1),(((D1738/100)*(C1738*VLOOKUP(B1738,'Poids des runes'!A:B,2,FALSE)))+1)/VLOOKUP(B1738,'Poids des runes'!A:B,2,FALSE))</f>
        <v>3.4683333333333333</v>
      </c>
      <c r="F1738">
        <f t="shared" si="27"/>
        <v>3.4683333333333333</v>
      </c>
    </row>
    <row r="1739" spans="1:6" x14ac:dyDescent="0.3">
      <c r="A1739" t="s">
        <v>537</v>
      </c>
      <c r="B1739" t="s">
        <v>2128</v>
      </c>
      <c r="C1739">
        <v>28</v>
      </c>
      <c r="D1739">
        <v>57</v>
      </c>
      <c r="E1739">
        <f>IF(OR(B1739="vi",B1739="ii",B1739="pod"),(((D1739/100)*(C1739*VLOOKUP(B1739,'Poids des runes'!A:B,2,FALSE)))+1),(((D1739/100)*(C1739*VLOOKUP(B1739,'Poids des runes'!A:B,2,FALSE)))+1)/VLOOKUP(B1739,'Poids des runes'!A:B,2,FALSE))</f>
        <v>4.1920000000000002</v>
      </c>
      <c r="F1739">
        <f t="shared" si="27"/>
        <v>4.1920000000000002</v>
      </c>
    </row>
    <row r="1740" spans="1:6" x14ac:dyDescent="0.3">
      <c r="A1740" t="s">
        <v>537</v>
      </c>
      <c r="B1740" t="s">
        <v>2127</v>
      </c>
      <c r="C1740">
        <v>28</v>
      </c>
      <c r="D1740">
        <v>57</v>
      </c>
      <c r="E1740">
        <f>IF(OR(B1740="vi",B1740="ii",B1740="pod"),(((D1740/100)*(C1740*VLOOKUP(B1740,'Poids des runes'!A:B,2,FALSE)))+1),(((D1740/100)*(C1740*VLOOKUP(B1740,'Poids des runes'!A:B,2,FALSE)))+1)/VLOOKUP(B1740,'Poids des runes'!A:B,2,FALSE))</f>
        <v>16.96</v>
      </c>
      <c r="F1740">
        <f t="shared" si="27"/>
        <v>16.96</v>
      </c>
    </row>
    <row r="1741" spans="1:6" x14ac:dyDescent="0.3">
      <c r="A1741" t="s">
        <v>537</v>
      </c>
      <c r="B1741" t="s">
        <v>2151</v>
      </c>
      <c r="C1741">
        <v>3.5</v>
      </c>
      <c r="D1741">
        <v>57</v>
      </c>
      <c r="E1741">
        <f>IF(OR(B1741="vi",B1741="ii",B1741="pod"),(((D1741/100)*(C1741*VLOOKUP(B1741,'Poids des runes'!A:B,2,FALSE)))+1),(((D1741/100)*(C1741*VLOOKUP(B1741,'Poids des runes'!A:B,2,FALSE)))+1)/VLOOKUP(B1741,'Poids des runes'!A:B,2,FALSE))</f>
        <v>2.0949999999999998</v>
      </c>
      <c r="F1741">
        <f t="shared" si="27"/>
        <v>2.0949999999999998</v>
      </c>
    </row>
    <row r="1742" spans="1:6" x14ac:dyDescent="0.3">
      <c r="A1742" t="s">
        <v>537</v>
      </c>
      <c r="B1742" t="s">
        <v>2154</v>
      </c>
      <c r="C1742">
        <v>1</v>
      </c>
      <c r="D1742">
        <v>57</v>
      </c>
      <c r="E1742">
        <f>IF(OR(B1742="vi",B1742="ii",B1742="pod"),(((D1742/100)*(C1742*VLOOKUP(B1742,'Poids des runes'!A:B,2,FALSE)))+1),(((D1742/100)*(C1742*VLOOKUP(B1742,'Poids des runes'!A:B,2,FALSE)))+1)/VLOOKUP(B1742,'Poids des runes'!A:B,2,FALSE))</f>
        <v>0.58111111111111113</v>
      </c>
      <c r="F1742">
        <f t="shared" si="27"/>
        <v>0.58111111111111113</v>
      </c>
    </row>
    <row r="1743" spans="1:6" x14ac:dyDescent="0.3">
      <c r="A1743" t="s">
        <v>538</v>
      </c>
      <c r="B1743" t="s">
        <v>2128</v>
      </c>
      <c r="C1743">
        <v>30.5</v>
      </c>
      <c r="D1743">
        <v>57</v>
      </c>
      <c r="E1743">
        <f>IF(OR(B1743="vi",B1743="ii",B1743="pod"),(((D1743/100)*(C1743*VLOOKUP(B1743,'Poids des runes'!A:B,2,FALSE)))+1),(((D1743/100)*(C1743*VLOOKUP(B1743,'Poids des runes'!A:B,2,FALSE)))+1)/VLOOKUP(B1743,'Poids des runes'!A:B,2,FALSE))</f>
        <v>4.4770000000000003</v>
      </c>
      <c r="F1743">
        <f t="shared" si="27"/>
        <v>4.4770000000000003</v>
      </c>
    </row>
    <row r="1744" spans="1:6" x14ac:dyDescent="0.3">
      <c r="A1744" t="s">
        <v>538</v>
      </c>
      <c r="B1744" t="s">
        <v>2127</v>
      </c>
      <c r="C1744">
        <v>25.5</v>
      </c>
      <c r="D1744">
        <v>57</v>
      </c>
      <c r="E1744">
        <f>IF(OR(B1744="vi",B1744="ii",B1744="pod"),(((D1744/100)*(C1744*VLOOKUP(B1744,'Poids des runes'!A:B,2,FALSE)))+1),(((D1744/100)*(C1744*VLOOKUP(B1744,'Poids des runes'!A:B,2,FALSE)))+1)/VLOOKUP(B1744,'Poids des runes'!A:B,2,FALSE))</f>
        <v>15.534999999999998</v>
      </c>
      <c r="F1744">
        <f t="shared" si="27"/>
        <v>15.534999999999998</v>
      </c>
    </row>
    <row r="1745" spans="1:6" x14ac:dyDescent="0.3">
      <c r="A1745" t="s">
        <v>538</v>
      </c>
      <c r="B1745" t="s">
        <v>2129</v>
      </c>
      <c r="C1745">
        <v>8</v>
      </c>
      <c r="D1745">
        <v>57</v>
      </c>
      <c r="E1745">
        <f>IF(OR(B1745="vi",B1745="ii",B1745="pod"),(((D1745/100)*(C1745*VLOOKUP(B1745,'Poids des runes'!A:B,2,FALSE)))+1),(((D1745/100)*(C1745*VLOOKUP(B1745,'Poids des runes'!A:B,2,FALSE)))+1)/VLOOKUP(B1745,'Poids des runes'!A:B,2,FALSE))</f>
        <v>5.56</v>
      </c>
      <c r="F1745">
        <f t="shared" si="27"/>
        <v>5.56</v>
      </c>
    </row>
    <row r="1746" spans="1:6" x14ac:dyDescent="0.3">
      <c r="A1746" t="s">
        <v>538</v>
      </c>
      <c r="B1746" t="s">
        <v>2153</v>
      </c>
      <c r="C1746">
        <v>2.5</v>
      </c>
      <c r="D1746">
        <v>57</v>
      </c>
      <c r="E1746">
        <f>IF(OR(B1746="vi",B1746="ii",B1746="pod"),(((D1746/100)*(C1746*VLOOKUP(B1746,'Poids des runes'!A:B,2,FALSE)))+1),(((D1746/100)*(C1746*VLOOKUP(B1746,'Poids des runes'!A:B,2,FALSE)))+1)/VLOOKUP(B1746,'Poids des runes'!A:B,2,FALSE))</f>
        <v>1.625</v>
      </c>
      <c r="F1746">
        <f t="shared" si="27"/>
        <v>1.625</v>
      </c>
    </row>
    <row r="1747" spans="1:6" x14ac:dyDescent="0.3">
      <c r="A1747" t="s">
        <v>538</v>
      </c>
      <c r="B1747" t="s">
        <v>2161</v>
      </c>
      <c r="C1747">
        <v>8.5</v>
      </c>
      <c r="D1747">
        <v>57</v>
      </c>
      <c r="E1747">
        <f>IF(OR(B1747="vi",B1747="ii",B1747="pod"),(((D1747/100)*(C1747*VLOOKUP(B1747,'Poids des runes'!A:B,2,FALSE)))+1),(((D1747/100)*(C1747*VLOOKUP(B1747,'Poids des runes'!A:B,2,FALSE)))+1)/VLOOKUP(B1747,'Poids des runes'!A:B,2,FALSE))</f>
        <v>5.1783333333333328</v>
      </c>
      <c r="F1747">
        <f t="shared" si="27"/>
        <v>5.1783333333333328</v>
      </c>
    </row>
    <row r="1748" spans="1:6" x14ac:dyDescent="0.3">
      <c r="A1748" t="s">
        <v>539</v>
      </c>
      <c r="B1748" t="s">
        <v>2128</v>
      </c>
      <c r="C1748">
        <v>70.5</v>
      </c>
      <c r="D1748">
        <v>58</v>
      </c>
      <c r="E1748">
        <f>IF(OR(B1748="vi",B1748="ii",B1748="pod"),(((D1748/100)*(C1748*VLOOKUP(B1748,'Poids des runes'!A:B,2,FALSE)))+1),(((D1748/100)*(C1748*VLOOKUP(B1748,'Poids des runes'!A:B,2,FALSE)))+1)/VLOOKUP(B1748,'Poids des runes'!A:B,2,FALSE))</f>
        <v>9.1780000000000008</v>
      </c>
      <c r="F1748">
        <f t="shared" si="27"/>
        <v>9.1780000000000008</v>
      </c>
    </row>
    <row r="1749" spans="1:6" x14ac:dyDescent="0.3">
      <c r="A1749" t="s">
        <v>539</v>
      </c>
      <c r="B1749" t="s">
        <v>2126</v>
      </c>
      <c r="C1749">
        <v>25.5</v>
      </c>
      <c r="D1749">
        <v>58</v>
      </c>
      <c r="E1749">
        <f>IF(OR(B1749="vi",B1749="ii",B1749="pod"),(((D1749/100)*(C1749*VLOOKUP(B1749,'Poids des runes'!A:B,2,FALSE)))+1),(((D1749/100)*(C1749*VLOOKUP(B1749,'Poids des runes'!A:B,2,FALSE)))+1)/VLOOKUP(B1749,'Poids des runes'!A:B,2,FALSE))</f>
        <v>15.79</v>
      </c>
      <c r="F1749">
        <f t="shared" si="27"/>
        <v>15.79</v>
      </c>
    </row>
    <row r="1750" spans="1:6" x14ac:dyDescent="0.3">
      <c r="A1750" t="s">
        <v>539</v>
      </c>
      <c r="B1750" t="s">
        <v>2129</v>
      </c>
      <c r="C1750">
        <v>13</v>
      </c>
      <c r="D1750">
        <v>58</v>
      </c>
      <c r="E1750">
        <f>IF(OR(B1750="vi",B1750="ii",B1750="pod"),(((D1750/100)*(C1750*VLOOKUP(B1750,'Poids des runes'!A:B,2,FALSE)))+1),(((D1750/100)*(C1750*VLOOKUP(B1750,'Poids des runes'!A:B,2,FALSE)))+1)/VLOOKUP(B1750,'Poids des runes'!A:B,2,FALSE))</f>
        <v>8.5399999999999991</v>
      </c>
      <c r="F1750">
        <f t="shared" si="27"/>
        <v>8.5399999999999991</v>
      </c>
    </row>
    <row r="1751" spans="1:6" x14ac:dyDescent="0.3">
      <c r="A1751" t="s">
        <v>539</v>
      </c>
      <c r="B1751" t="s">
        <v>2140</v>
      </c>
      <c r="C1751">
        <v>4</v>
      </c>
      <c r="D1751">
        <v>58</v>
      </c>
      <c r="E1751">
        <f>IF(OR(B1751="vi",B1751="ii",B1751="pod"),(((D1751/100)*(C1751*VLOOKUP(B1751,'Poids des runes'!A:B,2,FALSE)))+1),(((D1751/100)*(C1751*VLOOKUP(B1751,'Poids des runes'!A:B,2,FALSE)))+1)/VLOOKUP(B1751,'Poids des runes'!A:B,2,FALSE))</f>
        <v>2.52</v>
      </c>
      <c r="F1751">
        <f t="shared" si="27"/>
        <v>2.52</v>
      </c>
    </row>
    <row r="1752" spans="1:6" x14ac:dyDescent="0.3">
      <c r="A1752" t="s">
        <v>539</v>
      </c>
      <c r="B1752" t="s">
        <v>2149</v>
      </c>
      <c r="C1752">
        <v>4.5</v>
      </c>
      <c r="D1752">
        <v>58</v>
      </c>
      <c r="E1752">
        <f>IF(OR(B1752="vi",B1752="ii",B1752="pod"),(((D1752/100)*(C1752*VLOOKUP(B1752,'Poids des runes'!A:B,2,FALSE)))+1),(((D1752/100)*(C1752*VLOOKUP(B1752,'Poids des runes'!A:B,2,FALSE)))+1)/VLOOKUP(B1752,'Poids des runes'!A:B,2,FALSE))</f>
        <v>2.71</v>
      </c>
      <c r="F1752">
        <f t="shared" si="27"/>
        <v>2.71</v>
      </c>
    </row>
    <row r="1753" spans="1:6" x14ac:dyDescent="0.3">
      <c r="A1753" t="s">
        <v>539</v>
      </c>
      <c r="B1753" t="s">
        <v>2132</v>
      </c>
      <c r="C1753">
        <v>250.5</v>
      </c>
      <c r="D1753">
        <v>58</v>
      </c>
      <c r="E1753">
        <f>IF(OR(B1753="vi",B1753="ii",B1753="pod"),(((D1753/100)*(C1753*VLOOKUP(B1753,'Poids des runes'!A:B,2,FALSE)))+1),(((D1753/100)*(C1753*VLOOKUP(B1753,'Poids des runes'!A:B,2,FALSE)))+1)/VLOOKUP(B1753,'Poids des runes'!A:B,2,FALSE))</f>
        <v>15.529</v>
      </c>
      <c r="F1753">
        <f t="shared" si="27"/>
        <v>15.529</v>
      </c>
    </row>
    <row r="1754" spans="1:6" x14ac:dyDescent="0.3">
      <c r="A1754" t="s">
        <v>540</v>
      </c>
      <c r="B1754" t="s">
        <v>2128</v>
      </c>
      <c r="C1754">
        <v>30.5</v>
      </c>
      <c r="D1754">
        <v>58</v>
      </c>
      <c r="E1754">
        <f>IF(OR(B1754="vi",B1754="ii",B1754="pod"),(((D1754/100)*(C1754*VLOOKUP(B1754,'Poids des runes'!A:B,2,FALSE)))+1),(((D1754/100)*(C1754*VLOOKUP(B1754,'Poids des runes'!A:B,2,FALSE)))+1)/VLOOKUP(B1754,'Poids des runes'!A:B,2,FALSE))</f>
        <v>4.5380000000000003</v>
      </c>
      <c r="F1754">
        <f t="shared" si="27"/>
        <v>4.5380000000000003</v>
      </c>
    </row>
    <row r="1755" spans="1:6" x14ac:dyDescent="0.3">
      <c r="A1755" t="s">
        <v>540</v>
      </c>
      <c r="B1755" t="s">
        <v>2127</v>
      </c>
      <c r="C1755">
        <v>25.5</v>
      </c>
      <c r="D1755">
        <v>58</v>
      </c>
      <c r="E1755">
        <f>IF(OR(B1755="vi",B1755="ii",B1755="pod"),(((D1755/100)*(C1755*VLOOKUP(B1755,'Poids des runes'!A:B,2,FALSE)))+1),(((D1755/100)*(C1755*VLOOKUP(B1755,'Poids des runes'!A:B,2,FALSE)))+1)/VLOOKUP(B1755,'Poids des runes'!A:B,2,FALSE))</f>
        <v>15.79</v>
      </c>
      <c r="F1755">
        <f t="shared" si="27"/>
        <v>15.79</v>
      </c>
    </row>
    <row r="1756" spans="1:6" x14ac:dyDescent="0.3">
      <c r="A1756" t="s">
        <v>540</v>
      </c>
      <c r="B1756" t="s">
        <v>2151</v>
      </c>
      <c r="C1756">
        <v>2.5</v>
      </c>
      <c r="D1756">
        <v>58</v>
      </c>
      <c r="E1756">
        <f>IF(OR(B1756="vi",B1756="ii",B1756="pod"),(((D1756/100)*(C1756*VLOOKUP(B1756,'Poids des runes'!A:B,2,FALSE)))+1),(((D1756/100)*(C1756*VLOOKUP(B1756,'Poids des runes'!A:B,2,FALSE)))+1)/VLOOKUP(B1756,'Poids des runes'!A:B,2,FALSE))</f>
        <v>1.5499999999999998</v>
      </c>
      <c r="F1756">
        <f t="shared" si="27"/>
        <v>1.5499999999999998</v>
      </c>
    </row>
    <row r="1757" spans="1:6" x14ac:dyDescent="0.3">
      <c r="A1757" t="s">
        <v>540</v>
      </c>
      <c r="B1757" t="s">
        <v>2134</v>
      </c>
      <c r="C1757">
        <v>2.5</v>
      </c>
      <c r="D1757">
        <v>58</v>
      </c>
      <c r="E1757">
        <f>IF(OR(B1757="vi",B1757="ii",B1757="pod"),(((D1757/100)*(C1757*VLOOKUP(B1757,'Poids des runes'!A:B,2,FALSE)))+1),(((D1757/100)*(C1757*VLOOKUP(B1757,'Poids des runes'!A:B,2,FALSE)))+1)/VLOOKUP(B1757,'Poids des runes'!A:B,2,FALSE))</f>
        <v>1.4999999999999998</v>
      </c>
      <c r="F1757">
        <f t="shared" si="27"/>
        <v>1.4999999999999998</v>
      </c>
    </row>
    <row r="1758" spans="1:6" x14ac:dyDescent="0.3">
      <c r="A1758" t="s">
        <v>541</v>
      </c>
      <c r="B1758" t="s">
        <v>2151</v>
      </c>
      <c r="C1758">
        <v>2.5</v>
      </c>
      <c r="D1758">
        <v>58</v>
      </c>
      <c r="E1758">
        <f>IF(OR(B1758="vi",B1758="ii",B1758="pod"),(((D1758/100)*(C1758*VLOOKUP(B1758,'Poids des runes'!A:B,2,FALSE)))+1),(((D1758/100)*(C1758*VLOOKUP(B1758,'Poids des runes'!A:B,2,FALSE)))+1)/VLOOKUP(B1758,'Poids des runes'!A:B,2,FALSE))</f>
        <v>1.5499999999999998</v>
      </c>
      <c r="F1758">
        <f t="shared" si="27"/>
        <v>1.5499999999999998</v>
      </c>
    </row>
    <row r="1759" spans="1:6" x14ac:dyDescent="0.3">
      <c r="A1759" t="s">
        <v>541</v>
      </c>
      <c r="B1759" t="s">
        <v>2154</v>
      </c>
      <c r="C1759">
        <v>1</v>
      </c>
      <c r="D1759">
        <v>58</v>
      </c>
      <c r="E1759">
        <f>IF(OR(B1759="vi",B1759="ii",B1759="pod"),(((D1759/100)*(C1759*VLOOKUP(B1759,'Poids des runes'!A:B,2,FALSE)))+1),(((D1759/100)*(C1759*VLOOKUP(B1759,'Poids des runes'!A:B,2,FALSE)))+1)/VLOOKUP(B1759,'Poids des runes'!A:B,2,FALSE))</f>
        <v>0.59111111111111103</v>
      </c>
      <c r="F1759">
        <f t="shared" si="27"/>
        <v>0.59111111111111103</v>
      </c>
    </row>
    <row r="1760" spans="1:6" x14ac:dyDescent="0.3">
      <c r="A1760" t="s">
        <v>541</v>
      </c>
      <c r="B1760" t="s">
        <v>2140</v>
      </c>
      <c r="C1760">
        <v>3.5</v>
      </c>
      <c r="D1760">
        <v>58</v>
      </c>
      <c r="E1760">
        <f>IF(OR(B1760="vi",B1760="ii",B1760="pod"),(((D1760/100)*(C1760*VLOOKUP(B1760,'Poids des runes'!A:B,2,FALSE)))+1),(((D1760/100)*(C1760*VLOOKUP(B1760,'Poids des runes'!A:B,2,FALSE)))+1)/VLOOKUP(B1760,'Poids des runes'!A:B,2,FALSE))</f>
        <v>2.2299999999999995</v>
      </c>
      <c r="F1760">
        <f t="shared" si="27"/>
        <v>2.2299999999999995</v>
      </c>
    </row>
    <row r="1761" spans="1:6" x14ac:dyDescent="0.3">
      <c r="A1761" t="s">
        <v>542</v>
      </c>
      <c r="B1761" t="s">
        <v>2126</v>
      </c>
      <c r="C1761">
        <v>23</v>
      </c>
      <c r="D1761">
        <v>58</v>
      </c>
      <c r="E1761">
        <f>IF(OR(B1761="vi",B1761="ii",B1761="pod"),(((D1761/100)*(C1761*VLOOKUP(B1761,'Poids des runes'!A:B,2,FALSE)))+1),(((D1761/100)*(C1761*VLOOKUP(B1761,'Poids des runes'!A:B,2,FALSE)))+1)/VLOOKUP(B1761,'Poids des runes'!A:B,2,FALSE))</f>
        <v>14.34</v>
      </c>
      <c r="F1761">
        <f t="shared" si="27"/>
        <v>14.34</v>
      </c>
    </row>
    <row r="1762" spans="1:6" x14ac:dyDescent="0.3">
      <c r="A1762" t="s">
        <v>542</v>
      </c>
      <c r="B1762" t="s">
        <v>2127</v>
      </c>
      <c r="C1762">
        <v>23</v>
      </c>
      <c r="D1762">
        <v>58</v>
      </c>
      <c r="E1762">
        <f>IF(OR(B1762="vi",B1762="ii",B1762="pod"),(((D1762/100)*(C1762*VLOOKUP(B1762,'Poids des runes'!A:B,2,FALSE)))+1),(((D1762/100)*(C1762*VLOOKUP(B1762,'Poids des runes'!A:B,2,FALSE)))+1)/VLOOKUP(B1762,'Poids des runes'!A:B,2,FALSE))</f>
        <v>14.34</v>
      </c>
      <c r="F1762">
        <f t="shared" si="27"/>
        <v>14.34</v>
      </c>
    </row>
    <row r="1763" spans="1:6" x14ac:dyDescent="0.3">
      <c r="A1763" t="s">
        <v>542</v>
      </c>
      <c r="B1763" t="s">
        <v>2151</v>
      </c>
      <c r="C1763">
        <v>2.5</v>
      </c>
      <c r="D1763">
        <v>58</v>
      </c>
      <c r="E1763">
        <f>IF(OR(B1763="vi",B1763="ii",B1763="pod"),(((D1763/100)*(C1763*VLOOKUP(B1763,'Poids des runes'!A:B,2,FALSE)))+1),(((D1763/100)*(C1763*VLOOKUP(B1763,'Poids des runes'!A:B,2,FALSE)))+1)/VLOOKUP(B1763,'Poids des runes'!A:B,2,FALSE))</f>
        <v>1.5499999999999998</v>
      </c>
      <c r="F1763">
        <f t="shared" si="27"/>
        <v>1.5499999999999998</v>
      </c>
    </row>
    <row r="1764" spans="1:6" x14ac:dyDescent="0.3">
      <c r="A1764" t="s">
        <v>542</v>
      </c>
      <c r="B1764" t="s">
        <v>2150</v>
      </c>
      <c r="C1764">
        <v>1</v>
      </c>
      <c r="D1764">
        <v>58</v>
      </c>
      <c r="E1764">
        <f>IF(OR(B1764="vi",B1764="ii",B1764="pod"),(((D1764/100)*(C1764*VLOOKUP(B1764,'Poids des runes'!A:B,2,FALSE)))+1),(((D1764/100)*(C1764*VLOOKUP(B1764,'Poids des runes'!A:B,2,FALSE)))+1)/VLOOKUP(B1764,'Poids des runes'!A:B,2,FALSE))</f>
        <v>0.61333333333333329</v>
      </c>
      <c r="F1764">
        <f t="shared" si="27"/>
        <v>0.61333333333333329</v>
      </c>
    </row>
    <row r="1765" spans="1:6" x14ac:dyDescent="0.3">
      <c r="A1765" t="s">
        <v>542</v>
      </c>
      <c r="B1765" t="s">
        <v>2161</v>
      </c>
      <c r="C1765">
        <v>4.5</v>
      </c>
      <c r="D1765">
        <v>58</v>
      </c>
      <c r="E1765">
        <f>IF(OR(B1765="vi",B1765="ii",B1765="pod"),(((D1765/100)*(C1765*VLOOKUP(B1765,'Poids des runes'!A:B,2,FALSE)))+1),(((D1765/100)*(C1765*VLOOKUP(B1765,'Poids des runes'!A:B,2,FALSE)))+1)/VLOOKUP(B1765,'Poids des runes'!A:B,2,FALSE))</f>
        <v>2.9433333333333329</v>
      </c>
      <c r="F1765">
        <f t="shared" si="27"/>
        <v>2.9433333333333329</v>
      </c>
    </row>
    <row r="1766" spans="1:6" x14ac:dyDescent="0.3">
      <c r="A1766" t="s">
        <v>542</v>
      </c>
      <c r="B1766" t="s">
        <v>2156</v>
      </c>
      <c r="C1766">
        <v>2.5</v>
      </c>
      <c r="D1766">
        <v>58</v>
      </c>
      <c r="E1766">
        <f>IF(OR(B1766="vi",B1766="ii",B1766="pod"),(((D1766/100)*(C1766*VLOOKUP(B1766,'Poids des runes'!A:B,2,FALSE)))+1),(((D1766/100)*(C1766*VLOOKUP(B1766,'Poids des runes'!A:B,2,FALSE)))+1)/VLOOKUP(B1766,'Poids des runes'!A:B,2,FALSE))</f>
        <v>1.6166666666666665</v>
      </c>
      <c r="F1766">
        <f t="shared" si="27"/>
        <v>1.6166666666666665</v>
      </c>
    </row>
    <row r="1767" spans="1:6" x14ac:dyDescent="0.3">
      <c r="A1767" t="s">
        <v>543</v>
      </c>
      <c r="B1767" t="s">
        <v>2128</v>
      </c>
      <c r="C1767">
        <v>35.5</v>
      </c>
      <c r="D1767">
        <v>58</v>
      </c>
      <c r="E1767">
        <f>IF(OR(B1767="vi",B1767="ii",B1767="pod"),(((D1767/100)*(C1767*VLOOKUP(B1767,'Poids des runes'!A:B,2,FALSE)))+1),(((D1767/100)*(C1767*VLOOKUP(B1767,'Poids des runes'!A:B,2,FALSE)))+1)/VLOOKUP(B1767,'Poids des runes'!A:B,2,FALSE))</f>
        <v>5.1180000000000003</v>
      </c>
      <c r="F1767">
        <f t="shared" si="27"/>
        <v>5.1180000000000003</v>
      </c>
    </row>
    <row r="1768" spans="1:6" x14ac:dyDescent="0.3">
      <c r="A1768" t="s">
        <v>543</v>
      </c>
      <c r="B1768" t="s">
        <v>2129</v>
      </c>
      <c r="C1768">
        <v>18</v>
      </c>
      <c r="D1768">
        <v>58</v>
      </c>
      <c r="E1768">
        <f>IF(OR(B1768="vi",B1768="ii",B1768="pod"),(((D1768/100)*(C1768*VLOOKUP(B1768,'Poids des runes'!A:B,2,FALSE)))+1),(((D1768/100)*(C1768*VLOOKUP(B1768,'Poids des runes'!A:B,2,FALSE)))+1)/VLOOKUP(B1768,'Poids des runes'!A:B,2,FALSE))</f>
        <v>11.44</v>
      </c>
      <c r="F1768">
        <f t="shared" si="27"/>
        <v>11.44</v>
      </c>
    </row>
    <row r="1769" spans="1:6" x14ac:dyDescent="0.3">
      <c r="A1769" t="s">
        <v>543</v>
      </c>
      <c r="B1769" t="s">
        <v>2155</v>
      </c>
      <c r="C1769">
        <v>1</v>
      </c>
      <c r="D1769">
        <v>58</v>
      </c>
      <c r="E1769">
        <f>IF(OR(B1769="vi",B1769="ii",B1769="pod"),(((D1769/100)*(C1769*VLOOKUP(B1769,'Poids des runes'!A:B,2,FALSE)))+1),(((D1769/100)*(C1769*VLOOKUP(B1769,'Poids des runes'!A:B,2,FALSE)))+1)/VLOOKUP(B1769,'Poids des runes'!A:B,2,FALSE))</f>
        <v>0.5996078431372549</v>
      </c>
      <c r="F1769">
        <f t="shared" si="27"/>
        <v>0.5996078431372549</v>
      </c>
    </row>
    <row r="1770" spans="1:6" x14ac:dyDescent="0.3">
      <c r="A1770" t="s">
        <v>543</v>
      </c>
      <c r="B1770" t="s">
        <v>2134</v>
      </c>
      <c r="C1770">
        <v>2.5</v>
      </c>
      <c r="D1770">
        <v>58</v>
      </c>
      <c r="E1770">
        <f>IF(OR(B1770="vi",B1770="ii",B1770="pod"),(((D1770/100)*(C1770*VLOOKUP(B1770,'Poids des runes'!A:B,2,FALSE)))+1),(((D1770/100)*(C1770*VLOOKUP(B1770,'Poids des runes'!A:B,2,FALSE)))+1)/VLOOKUP(B1770,'Poids des runes'!A:B,2,FALSE))</f>
        <v>1.4999999999999998</v>
      </c>
      <c r="F1770">
        <f t="shared" si="27"/>
        <v>1.4999999999999998</v>
      </c>
    </row>
    <row r="1771" spans="1:6" x14ac:dyDescent="0.3">
      <c r="A1771" t="s">
        <v>543</v>
      </c>
      <c r="B1771" t="s">
        <v>2132</v>
      </c>
      <c r="C1771">
        <v>175.5</v>
      </c>
      <c r="D1771">
        <v>58</v>
      </c>
      <c r="E1771">
        <f>IF(OR(B1771="vi",B1771="ii",B1771="pod"),(((D1771/100)*(C1771*VLOOKUP(B1771,'Poids des runes'!A:B,2,FALSE)))+1),(((D1771/100)*(C1771*VLOOKUP(B1771,'Poids des runes'!A:B,2,FALSE)))+1)/VLOOKUP(B1771,'Poids des runes'!A:B,2,FALSE))</f>
        <v>11.179</v>
      </c>
      <c r="F1771">
        <f t="shared" si="27"/>
        <v>11.179</v>
      </c>
    </row>
    <row r="1772" spans="1:6" x14ac:dyDescent="0.3">
      <c r="A1772" t="s">
        <v>544</v>
      </c>
      <c r="B1772" t="s">
        <v>2128</v>
      </c>
      <c r="C1772">
        <v>35.5</v>
      </c>
      <c r="D1772">
        <v>58</v>
      </c>
      <c r="E1772">
        <f>IF(OR(B1772="vi",B1772="ii",B1772="pod"),(((D1772/100)*(C1772*VLOOKUP(B1772,'Poids des runes'!A:B,2,FALSE)))+1),(((D1772/100)*(C1772*VLOOKUP(B1772,'Poids des runes'!A:B,2,FALSE)))+1)/VLOOKUP(B1772,'Poids des runes'!A:B,2,FALSE))</f>
        <v>5.1180000000000003</v>
      </c>
      <c r="F1772">
        <f t="shared" si="27"/>
        <v>5.1180000000000003</v>
      </c>
    </row>
    <row r="1773" spans="1:6" x14ac:dyDescent="0.3">
      <c r="A1773" t="s">
        <v>544</v>
      </c>
      <c r="B1773" t="s">
        <v>2131</v>
      </c>
      <c r="C1773">
        <v>30.5</v>
      </c>
      <c r="D1773">
        <v>58</v>
      </c>
      <c r="E1773">
        <f>IF(OR(B1773="vi",B1773="ii",B1773="pod"),(((D1773/100)*(C1773*VLOOKUP(B1773,'Poids des runes'!A:B,2,FALSE)))+1),(((D1773/100)*(C1773*VLOOKUP(B1773,'Poids des runes'!A:B,2,FALSE)))+1)/VLOOKUP(B1773,'Poids des runes'!A:B,2,FALSE))</f>
        <v>18.689999999999998</v>
      </c>
      <c r="F1773">
        <f t="shared" si="27"/>
        <v>18.689999999999998</v>
      </c>
    </row>
    <row r="1774" spans="1:6" x14ac:dyDescent="0.3">
      <c r="A1774" t="s">
        <v>544</v>
      </c>
      <c r="B1774" t="s">
        <v>2150</v>
      </c>
      <c r="C1774">
        <v>1</v>
      </c>
      <c r="D1774">
        <v>58</v>
      </c>
      <c r="E1774">
        <f>IF(OR(B1774="vi",B1774="ii",B1774="pod"),(((D1774/100)*(C1774*VLOOKUP(B1774,'Poids des runes'!A:B,2,FALSE)))+1),(((D1774/100)*(C1774*VLOOKUP(B1774,'Poids des runes'!A:B,2,FALSE)))+1)/VLOOKUP(B1774,'Poids des runes'!A:B,2,FALSE))</f>
        <v>0.61333333333333329</v>
      </c>
      <c r="F1774">
        <f t="shared" si="27"/>
        <v>0.61333333333333329</v>
      </c>
    </row>
    <row r="1775" spans="1:6" x14ac:dyDescent="0.3">
      <c r="A1775" t="s">
        <v>544</v>
      </c>
      <c r="B1775" t="s">
        <v>2133</v>
      </c>
      <c r="C1775">
        <v>4.5</v>
      </c>
      <c r="D1775">
        <v>58</v>
      </c>
      <c r="E1775">
        <f>IF(OR(B1775="vi",B1775="ii",B1775="pod"),(((D1775/100)*(C1775*VLOOKUP(B1775,'Poids des runes'!A:B,2,FALSE)))+1),(((D1775/100)*(C1775*VLOOKUP(B1775,'Poids des runes'!A:B,2,FALSE)))+1)/VLOOKUP(B1775,'Poids des runes'!A:B,2,FALSE))</f>
        <v>2.8099999999999996</v>
      </c>
      <c r="F1775">
        <f t="shared" si="27"/>
        <v>2.8099999999999996</v>
      </c>
    </row>
    <row r="1776" spans="1:6" x14ac:dyDescent="0.3">
      <c r="A1776" t="s">
        <v>544</v>
      </c>
      <c r="B1776" t="s">
        <v>2149</v>
      </c>
      <c r="C1776">
        <v>4.5</v>
      </c>
      <c r="D1776">
        <v>58</v>
      </c>
      <c r="E1776">
        <f>IF(OR(B1776="vi",B1776="ii",B1776="pod"),(((D1776/100)*(C1776*VLOOKUP(B1776,'Poids des runes'!A:B,2,FALSE)))+1),(((D1776/100)*(C1776*VLOOKUP(B1776,'Poids des runes'!A:B,2,FALSE)))+1)/VLOOKUP(B1776,'Poids des runes'!A:B,2,FALSE))</f>
        <v>2.71</v>
      </c>
      <c r="F1776">
        <f t="shared" si="27"/>
        <v>2.71</v>
      </c>
    </row>
    <row r="1777" spans="1:6" x14ac:dyDescent="0.3">
      <c r="A1777" t="s">
        <v>544</v>
      </c>
      <c r="B1777" t="s">
        <v>2157</v>
      </c>
      <c r="C1777">
        <v>3</v>
      </c>
      <c r="D1777">
        <v>58</v>
      </c>
      <c r="E1777">
        <f>IF(OR(B1777="vi",B1777="ii",B1777="pod"),(((D1777/100)*(C1777*VLOOKUP(B1777,'Poids des runes'!A:B,2,FALSE)))+1),(((D1777/100)*(C1777*VLOOKUP(B1777,'Poids des runes'!A:B,2,FALSE)))+1)/VLOOKUP(B1777,'Poids des runes'!A:B,2,FALSE))</f>
        <v>1.9066666666666665</v>
      </c>
      <c r="F1777">
        <f t="shared" si="27"/>
        <v>1.9066666666666665</v>
      </c>
    </row>
    <row r="1778" spans="1:6" x14ac:dyDescent="0.3">
      <c r="A1778" t="s">
        <v>545</v>
      </c>
      <c r="B1778" t="s">
        <v>2128</v>
      </c>
      <c r="C1778">
        <v>50.5</v>
      </c>
      <c r="D1778">
        <v>58</v>
      </c>
      <c r="E1778">
        <f>IF(OR(B1778="vi",B1778="ii",B1778="pod"),(((D1778/100)*(C1778*VLOOKUP(B1778,'Poids des runes'!A:B,2,FALSE)))+1),(((D1778/100)*(C1778*VLOOKUP(B1778,'Poids des runes'!A:B,2,FALSE)))+1)/VLOOKUP(B1778,'Poids des runes'!A:B,2,FALSE))</f>
        <v>6.8580000000000005</v>
      </c>
      <c r="F1778">
        <f t="shared" si="27"/>
        <v>6.8580000000000005</v>
      </c>
    </row>
    <row r="1779" spans="1:6" x14ac:dyDescent="0.3">
      <c r="A1779" t="s">
        <v>545</v>
      </c>
      <c r="B1779" t="s">
        <v>2140</v>
      </c>
      <c r="C1779">
        <v>3.5</v>
      </c>
      <c r="D1779">
        <v>58</v>
      </c>
      <c r="E1779">
        <f>IF(OR(B1779="vi",B1779="ii",B1779="pod"),(((D1779/100)*(C1779*VLOOKUP(B1779,'Poids des runes'!A:B,2,FALSE)))+1),(((D1779/100)*(C1779*VLOOKUP(B1779,'Poids des runes'!A:B,2,FALSE)))+1)/VLOOKUP(B1779,'Poids des runes'!A:B,2,FALSE))</f>
        <v>2.2299999999999995</v>
      </c>
      <c r="F1779">
        <f t="shared" si="27"/>
        <v>2.2299999999999995</v>
      </c>
    </row>
    <row r="1780" spans="1:6" x14ac:dyDescent="0.3">
      <c r="A1780" t="s">
        <v>545</v>
      </c>
      <c r="B1780" t="s">
        <v>2149</v>
      </c>
      <c r="C1780">
        <v>13</v>
      </c>
      <c r="D1780">
        <v>58</v>
      </c>
      <c r="E1780">
        <f>IF(OR(B1780="vi",B1780="ii",B1780="pod"),(((D1780/100)*(C1780*VLOOKUP(B1780,'Poids des runes'!A:B,2,FALSE)))+1),(((D1780/100)*(C1780*VLOOKUP(B1780,'Poids des runes'!A:B,2,FALSE)))+1)/VLOOKUP(B1780,'Poids des runes'!A:B,2,FALSE))</f>
        <v>7.6399999999999988</v>
      </c>
      <c r="F1780">
        <f t="shared" si="27"/>
        <v>7.6399999999999988</v>
      </c>
    </row>
    <row r="1781" spans="1:6" x14ac:dyDescent="0.3">
      <c r="A1781" t="s">
        <v>545</v>
      </c>
      <c r="B1781" t="s">
        <v>2160</v>
      </c>
      <c r="C1781">
        <v>2.5</v>
      </c>
      <c r="D1781">
        <v>58</v>
      </c>
      <c r="E1781">
        <f>IF(OR(B1781="vi",B1781="ii",B1781="pod"),(((D1781/100)*(C1781*VLOOKUP(B1781,'Poids des runes'!A:B,2,FALSE)))+1),(((D1781/100)*(C1781*VLOOKUP(B1781,'Poids des runes'!A:B,2,FALSE)))+1)/VLOOKUP(B1781,'Poids des runes'!A:B,2,FALSE))</f>
        <v>1.5928571428571427</v>
      </c>
      <c r="F1781">
        <f t="shared" si="27"/>
        <v>1.5928571428571427</v>
      </c>
    </row>
    <row r="1782" spans="1:6" x14ac:dyDescent="0.3">
      <c r="A1782" t="s">
        <v>546</v>
      </c>
      <c r="B1782" t="s">
        <v>2131</v>
      </c>
      <c r="C1782">
        <v>35.5</v>
      </c>
      <c r="D1782">
        <v>59</v>
      </c>
      <c r="E1782">
        <f>IF(OR(B1782="vi",B1782="ii",B1782="pod"),(((D1782/100)*(C1782*VLOOKUP(B1782,'Poids des runes'!A:B,2,FALSE)))+1),(((D1782/100)*(C1782*VLOOKUP(B1782,'Poids des runes'!A:B,2,FALSE)))+1)/VLOOKUP(B1782,'Poids des runes'!A:B,2,FALSE))</f>
        <v>21.945</v>
      </c>
      <c r="F1782">
        <f t="shared" si="27"/>
        <v>21.945</v>
      </c>
    </row>
    <row r="1783" spans="1:6" x14ac:dyDescent="0.3">
      <c r="A1783" t="s">
        <v>546</v>
      </c>
      <c r="B1783" t="s">
        <v>2161</v>
      </c>
      <c r="C1783">
        <v>13</v>
      </c>
      <c r="D1783">
        <v>59</v>
      </c>
      <c r="E1783">
        <f>IF(OR(B1783="vi",B1783="ii",B1783="pod"),(((D1783/100)*(C1783*VLOOKUP(B1783,'Poids des runes'!A:B,2,FALSE)))+1),(((D1783/100)*(C1783*VLOOKUP(B1783,'Poids des runes'!A:B,2,FALSE)))+1)/VLOOKUP(B1783,'Poids des runes'!A:B,2,FALSE))</f>
        <v>8.0033333333333321</v>
      </c>
      <c r="F1783">
        <f t="shared" si="27"/>
        <v>8.0033333333333321</v>
      </c>
    </row>
    <row r="1784" spans="1:6" x14ac:dyDescent="0.3">
      <c r="A1784" t="s">
        <v>546</v>
      </c>
      <c r="B1784" t="s">
        <v>2141</v>
      </c>
      <c r="C1784">
        <v>4.5</v>
      </c>
      <c r="D1784">
        <v>59</v>
      </c>
      <c r="E1784">
        <f>IF(OR(B1784="vi",B1784="ii",B1784="pod"),(((D1784/100)*(C1784*VLOOKUP(B1784,'Poids des runes'!A:B,2,FALSE)))+1),(((D1784/100)*(C1784*VLOOKUP(B1784,'Poids des runes'!A:B,2,FALSE)))+1)/VLOOKUP(B1784,'Poids des runes'!A:B,2,FALSE))</f>
        <v>2.9049999999999998</v>
      </c>
      <c r="F1784">
        <f t="shared" si="27"/>
        <v>2.9049999999999998</v>
      </c>
    </row>
    <row r="1785" spans="1:6" x14ac:dyDescent="0.3">
      <c r="A1785" t="s">
        <v>547</v>
      </c>
      <c r="B1785" t="s">
        <v>2128</v>
      </c>
      <c r="C1785">
        <v>23</v>
      </c>
      <c r="D1785">
        <v>59</v>
      </c>
      <c r="E1785">
        <f>IF(OR(B1785="vi",B1785="ii",B1785="pod"),(((D1785/100)*(C1785*VLOOKUP(B1785,'Poids des runes'!A:B,2,FALSE)))+1),(((D1785/100)*(C1785*VLOOKUP(B1785,'Poids des runes'!A:B,2,FALSE)))+1)/VLOOKUP(B1785,'Poids des runes'!A:B,2,FALSE))</f>
        <v>3.714</v>
      </c>
      <c r="F1785">
        <f t="shared" si="27"/>
        <v>3.714</v>
      </c>
    </row>
    <row r="1786" spans="1:6" x14ac:dyDescent="0.3">
      <c r="A1786" t="s">
        <v>547</v>
      </c>
      <c r="B1786" t="s">
        <v>2130</v>
      </c>
      <c r="C1786">
        <v>23</v>
      </c>
      <c r="D1786">
        <v>59</v>
      </c>
      <c r="E1786">
        <f>IF(OR(B1786="vi",B1786="ii",B1786="pod"),(((D1786/100)*(C1786*VLOOKUP(B1786,'Poids des runes'!A:B,2,FALSE)))+1),(((D1786/100)*(C1786*VLOOKUP(B1786,'Poids des runes'!A:B,2,FALSE)))+1)/VLOOKUP(B1786,'Poids des runes'!A:B,2,FALSE))</f>
        <v>14.569999999999999</v>
      </c>
      <c r="F1786">
        <f t="shared" si="27"/>
        <v>14.569999999999999</v>
      </c>
    </row>
    <row r="1787" spans="1:6" x14ac:dyDescent="0.3">
      <c r="A1787" t="s">
        <v>547</v>
      </c>
      <c r="B1787" t="s">
        <v>2127</v>
      </c>
      <c r="C1787">
        <v>23</v>
      </c>
      <c r="D1787">
        <v>59</v>
      </c>
      <c r="E1787">
        <f>IF(OR(B1787="vi",B1787="ii",B1787="pod"),(((D1787/100)*(C1787*VLOOKUP(B1787,'Poids des runes'!A:B,2,FALSE)))+1),(((D1787/100)*(C1787*VLOOKUP(B1787,'Poids des runes'!A:B,2,FALSE)))+1)/VLOOKUP(B1787,'Poids des runes'!A:B,2,FALSE))</f>
        <v>14.569999999999999</v>
      </c>
      <c r="F1787">
        <f t="shared" si="27"/>
        <v>14.569999999999999</v>
      </c>
    </row>
    <row r="1788" spans="1:6" x14ac:dyDescent="0.3">
      <c r="A1788" t="s">
        <v>547</v>
      </c>
      <c r="B1788" t="s">
        <v>2147</v>
      </c>
      <c r="C1788">
        <v>2</v>
      </c>
      <c r="D1788">
        <v>59</v>
      </c>
      <c r="E1788">
        <f>IF(OR(B1788="vi",B1788="ii",B1788="pod"),(((D1788/100)*(C1788*VLOOKUP(B1788,'Poids des runes'!A:B,2,FALSE)))+1),(((D1788/100)*(C1788*VLOOKUP(B1788,'Poids des runes'!A:B,2,FALSE)))+1)/VLOOKUP(B1788,'Poids des runes'!A:B,2,FALSE))</f>
        <v>1.3466666666666667</v>
      </c>
      <c r="F1788">
        <f t="shared" si="27"/>
        <v>1.3466666666666667</v>
      </c>
    </row>
    <row r="1789" spans="1:6" x14ac:dyDescent="0.3">
      <c r="A1789" t="s">
        <v>547</v>
      </c>
      <c r="B1789" t="s">
        <v>2135</v>
      </c>
      <c r="C1789">
        <v>2</v>
      </c>
      <c r="D1789">
        <v>59</v>
      </c>
      <c r="E1789">
        <f>IF(OR(B1789="vi",B1789="ii",B1789="pod"),(((D1789/100)*(C1789*VLOOKUP(B1789,'Poids des runes'!A:B,2,FALSE)))+1),(((D1789/100)*(C1789*VLOOKUP(B1789,'Poids des runes'!A:B,2,FALSE)))+1)/VLOOKUP(B1789,'Poids des runes'!A:B,2,FALSE))</f>
        <v>1.3466666666666667</v>
      </c>
      <c r="F1789">
        <f t="shared" si="27"/>
        <v>1.3466666666666667</v>
      </c>
    </row>
    <row r="1790" spans="1:6" x14ac:dyDescent="0.3">
      <c r="A1790" t="s">
        <v>548</v>
      </c>
      <c r="B1790" t="s">
        <v>2126</v>
      </c>
      <c r="C1790">
        <v>23</v>
      </c>
      <c r="D1790">
        <v>59</v>
      </c>
      <c r="E1790">
        <f>IF(OR(B1790="vi",B1790="ii",B1790="pod"),(((D1790/100)*(C1790*VLOOKUP(B1790,'Poids des runes'!A:B,2,FALSE)))+1),(((D1790/100)*(C1790*VLOOKUP(B1790,'Poids des runes'!A:B,2,FALSE)))+1)/VLOOKUP(B1790,'Poids des runes'!A:B,2,FALSE))</f>
        <v>14.569999999999999</v>
      </c>
      <c r="F1790">
        <f t="shared" si="27"/>
        <v>14.569999999999999</v>
      </c>
    </row>
    <row r="1791" spans="1:6" x14ac:dyDescent="0.3">
      <c r="A1791" t="s">
        <v>548</v>
      </c>
      <c r="B1791" t="s">
        <v>2127</v>
      </c>
      <c r="C1791">
        <v>23</v>
      </c>
      <c r="D1791">
        <v>59</v>
      </c>
      <c r="E1791">
        <f>IF(OR(B1791="vi",B1791="ii",B1791="pod"),(((D1791/100)*(C1791*VLOOKUP(B1791,'Poids des runes'!A:B,2,FALSE)))+1),(((D1791/100)*(C1791*VLOOKUP(B1791,'Poids des runes'!A:B,2,FALSE)))+1)/VLOOKUP(B1791,'Poids des runes'!A:B,2,FALSE))</f>
        <v>14.569999999999999</v>
      </c>
      <c r="F1791">
        <f t="shared" si="27"/>
        <v>14.569999999999999</v>
      </c>
    </row>
    <row r="1792" spans="1:6" x14ac:dyDescent="0.3">
      <c r="A1792" t="s">
        <v>548</v>
      </c>
      <c r="B1792" t="s">
        <v>2151</v>
      </c>
      <c r="C1792">
        <v>2.5</v>
      </c>
      <c r="D1792">
        <v>59</v>
      </c>
      <c r="E1792">
        <f>IF(OR(B1792="vi",B1792="ii",B1792="pod"),(((D1792/100)*(C1792*VLOOKUP(B1792,'Poids des runes'!A:B,2,FALSE)))+1),(((D1792/100)*(C1792*VLOOKUP(B1792,'Poids des runes'!A:B,2,FALSE)))+1)/VLOOKUP(B1792,'Poids des runes'!A:B,2,FALSE))</f>
        <v>1.575</v>
      </c>
      <c r="F1792">
        <f t="shared" si="27"/>
        <v>1.575</v>
      </c>
    </row>
    <row r="1793" spans="1:6" x14ac:dyDescent="0.3">
      <c r="A1793" t="s">
        <v>548</v>
      </c>
      <c r="B1793" t="s">
        <v>2149</v>
      </c>
      <c r="C1793">
        <v>2.5</v>
      </c>
      <c r="D1793">
        <v>59</v>
      </c>
      <c r="E1793">
        <f>IF(OR(B1793="vi",B1793="ii",B1793="pod"),(((D1793/100)*(C1793*VLOOKUP(B1793,'Poids des runes'!A:B,2,FALSE)))+1),(((D1793/100)*(C1793*VLOOKUP(B1793,'Poids des runes'!A:B,2,FALSE)))+1)/VLOOKUP(B1793,'Poids des runes'!A:B,2,FALSE))</f>
        <v>1.575</v>
      </c>
      <c r="F1793">
        <f t="shared" si="27"/>
        <v>1.575</v>
      </c>
    </row>
    <row r="1794" spans="1:6" x14ac:dyDescent="0.3">
      <c r="A1794" t="s">
        <v>548</v>
      </c>
      <c r="B1794" t="s">
        <v>2132</v>
      </c>
      <c r="C1794">
        <v>75.5</v>
      </c>
      <c r="D1794">
        <v>59</v>
      </c>
      <c r="E1794">
        <f>IF(OR(B1794="vi",B1794="ii",B1794="pod"),(((D1794/100)*(C1794*VLOOKUP(B1794,'Poids des runes'!A:B,2,FALSE)))+1),(((D1794/100)*(C1794*VLOOKUP(B1794,'Poids des runes'!A:B,2,FALSE)))+1)/VLOOKUP(B1794,'Poids des runes'!A:B,2,FALSE))</f>
        <v>5.4545000000000003</v>
      </c>
      <c r="F1794">
        <f t="shared" si="27"/>
        <v>5.4545000000000003</v>
      </c>
    </row>
    <row r="1795" spans="1:6" x14ac:dyDescent="0.3">
      <c r="A1795" t="s">
        <v>549</v>
      </c>
      <c r="B1795" t="s">
        <v>2128</v>
      </c>
      <c r="C1795">
        <v>35.5</v>
      </c>
      <c r="D1795">
        <v>59</v>
      </c>
      <c r="E1795">
        <f>IF(OR(B1795="vi",B1795="ii",B1795="pod"),(((D1795/100)*(C1795*VLOOKUP(B1795,'Poids des runes'!A:B,2,FALSE)))+1),(((D1795/100)*(C1795*VLOOKUP(B1795,'Poids des runes'!A:B,2,FALSE)))+1)/VLOOKUP(B1795,'Poids des runes'!A:B,2,FALSE))</f>
        <v>5.1890000000000001</v>
      </c>
      <c r="F1795">
        <f t="shared" ref="F1795:F1858" si="28">E1795</f>
        <v>5.1890000000000001</v>
      </c>
    </row>
    <row r="1796" spans="1:6" x14ac:dyDescent="0.3">
      <c r="A1796" t="s">
        <v>549</v>
      </c>
      <c r="B1796" t="s">
        <v>2126</v>
      </c>
      <c r="C1796">
        <v>13</v>
      </c>
      <c r="D1796">
        <v>59</v>
      </c>
      <c r="E1796">
        <f>IF(OR(B1796="vi",B1796="ii",B1796="pod"),(((D1796/100)*(C1796*VLOOKUP(B1796,'Poids des runes'!A:B,2,FALSE)))+1),(((D1796/100)*(C1796*VLOOKUP(B1796,'Poids des runes'!A:B,2,FALSE)))+1)/VLOOKUP(B1796,'Poids des runes'!A:B,2,FALSE))</f>
        <v>8.67</v>
      </c>
      <c r="F1796">
        <f t="shared" si="28"/>
        <v>8.67</v>
      </c>
    </row>
    <row r="1797" spans="1:6" x14ac:dyDescent="0.3">
      <c r="A1797" t="s">
        <v>549</v>
      </c>
      <c r="B1797" t="s">
        <v>2129</v>
      </c>
      <c r="C1797">
        <v>13</v>
      </c>
      <c r="D1797">
        <v>59</v>
      </c>
      <c r="E1797">
        <f>IF(OR(B1797="vi",B1797="ii",B1797="pod"),(((D1797/100)*(C1797*VLOOKUP(B1797,'Poids des runes'!A:B,2,FALSE)))+1),(((D1797/100)*(C1797*VLOOKUP(B1797,'Poids des runes'!A:B,2,FALSE)))+1)/VLOOKUP(B1797,'Poids des runes'!A:B,2,FALSE))</f>
        <v>8.67</v>
      </c>
      <c r="F1797">
        <f t="shared" si="28"/>
        <v>8.67</v>
      </c>
    </row>
    <row r="1798" spans="1:6" x14ac:dyDescent="0.3">
      <c r="A1798" t="s">
        <v>549</v>
      </c>
      <c r="B1798" t="s">
        <v>2155</v>
      </c>
      <c r="C1798">
        <v>1</v>
      </c>
      <c r="D1798">
        <v>59</v>
      </c>
      <c r="E1798">
        <f>IF(OR(B1798="vi",B1798="ii",B1798="pod"),(((D1798/100)*(C1798*VLOOKUP(B1798,'Poids des runes'!A:B,2,FALSE)))+1),(((D1798/100)*(C1798*VLOOKUP(B1798,'Poids des runes'!A:B,2,FALSE)))+1)/VLOOKUP(B1798,'Poids des runes'!A:B,2,FALSE))</f>
        <v>0.60960784313725491</v>
      </c>
      <c r="F1798">
        <f t="shared" si="28"/>
        <v>0.60960784313725491</v>
      </c>
    </row>
    <row r="1799" spans="1:6" x14ac:dyDescent="0.3">
      <c r="A1799" t="s">
        <v>549</v>
      </c>
      <c r="B1799" t="s">
        <v>2140</v>
      </c>
      <c r="C1799">
        <v>3.5</v>
      </c>
      <c r="D1799">
        <v>59</v>
      </c>
      <c r="E1799">
        <f>IF(OR(B1799="vi",B1799="ii",B1799="pod"),(((D1799/100)*(C1799*VLOOKUP(B1799,'Poids des runes'!A:B,2,FALSE)))+1),(((D1799/100)*(C1799*VLOOKUP(B1799,'Poids des runes'!A:B,2,FALSE)))+1)/VLOOKUP(B1799,'Poids des runes'!A:B,2,FALSE))</f>
        <v>2.2649999999999997</v>
      </c>
      <c r="F1799">
        <f t="shared" si="28"/>
        <v>2.2649999999999997</v>
      </c>
    </row>
    <row r="1800" spans="1:6" x14ac:dyDescent="0.3">
      <c r="A1800" t="s">
        <v>549</v>
      </c>
      <c r="B1800" t="s">
        <v>2149</v>
      </c>
      <c r="C1800">
        <v>5</v>
      </c>
      <c r="D1800">
        <v>59</v>
      </c>
      <c r="E1800">
        <f>IF(OR(B1800="vi",B1800="ii",B1800="pod"),(((D1800/100)*(C1800*VLOOKUP(B1800,'Poids des runes'!A:B,2,FALSE)))+1),(((D1800/100)*(C1800*VLOOKUP(B1800,'Poids des runes'!A:B,2,FALSE)))+1)/VLOOKUP(B1800,'Poids des runes'!A:B,2,FALSE))</f>
        <v>3.05</v>
      </c>
      <c r="F1800">
        <f t="shared" si="28"/>
        <v>3.05</v>
      </c>
    </row>
    <row r="1801" spans="1:6" x14ac:dyDescent="0.3">
      <c r="A1801" t="s">
        <v>550</v>
      </c>
      <c r="B1801" t="s">
        <v>2128</v>
      </c>
      <c r="C1801">
        <v>25.5</v>
      </c>
      <c r="D1801">
        <v>59</v>
      </c>
      <c r="E1801">
        <f>IF(OR(B1801="vi",B1801="ii",B1801="pod"),(((D1801/100)*(C1801*VLOOKUP(B1801,'Poids des runes'!A:B,2,FALSE)))+1),(((D1801/100)*(C1801*VLOOKUP(B1801,'Poids des runes'!A:B,2,FALSE)))+1)/VLOOKUP(B1801,'Poids des runes'!A:B,2,FALSE))</f>
        <v>4.0090000000000003</v>
      </c>
      <c r="F1801">
        <f t="shared" si="28"/>
        <v>4.0090000000000003</v>
      </c>
    </row>
    <row r="1802" spans="1:6" x14ac:dyDescent="0.3">
      <c r="A1802" t="s">
        <v>550</v>
      </c>
      <c r="B1802" t="s">
        <v>2129</v>
      </c>
      <c r="C1802">
        <v>25.5</v>
      </c>
      <c r="D1802">
        <v>59</v>
      </c>
      <c r="E1802">
        <f>IF(OR(B1802="vi",B1802="ii",B1802="pod"),(((D1802/100)*(C1802*VLOOKUP(B1802,'Poids des runes'!A:B,2,FALSE)))+1),(((D1802/100)*(C1802*VLOOKUP(B1802,'Poids des runes'!A:B,2,FALSE)))+1)/VLOOKUP(B1802,'Poids des runes'!A:B,2,FALSE))</f>
        <v>16.045000000000002</v>
      </c>
      <c r="F1802">
        <f t="shared" si="28"/>
        <v>16.045000000000002</v>
      </c>
    </row>
    <row r="1803" spans="1:6" x14ac:dyDescent="0.3">
      <c r="A1803" t="s">
        <v>550</v>
      </c>
      <c r="B1803" t="s">
        <v>2151</v>
      </c>
      <c r="C1803">
        <v>7.5</v>
      </c>
      <c r="D1803">
        <v>59</v>
      </c>
      <c r="E1803">
        <f>IF(OR(B1803="vi",B1803="ii",B1803="pod"),(((D1803/100)*(C1803*VLOOKUP(B1803,'Poids des runes'!A:B,2,FALSE)))+1),(((D1803/100)*(C1803*VLOOKUP(B1803,'Poids des runes'!A:B,2,FALSE)))+1)/VLOOKUP(B1803,'Poids des runes'!A:B,2,FALSE))</f>
        <v>4.5250000000000004</v>
      </c>
      <c r="F1803">
        <f t="shared" si="28"/>
        <v>4.5250000000000004</v>
      </c>
    </row>
    <row r="1804" spans="1:6" x14ac:dyDescent="0.3">
      <c r="A1804" t="s">
        <v>550</v>
      </c>
      <c r="B1804" t="s">
        <v>2161</v>
      </c>
      <c r="C1804">
        <v>8.5</v>
      </c>
      <c r="D1804">
        <v>59</v>
      </c>
      <c r="E1804">
        <f>IF(OR(B1804="vi",B1804="ii",B1804="pod"),(((D1804/100)*(C1804*VLOOKUP(B1804,'Poids des runes'!A:B,2,FALSE)))+1),(((D1804/100)*(C1804*VLOOKUP(B1804,'Poids des runes'!A:B,2,FALSE)))+1)/VLOOKUP(B1804,'Poids des runes'!A:B,2,FALSE))</f>
        <v>5.3483333333333336</v>
      </c>
      <c r="F1804">
        <f t="shared" si="28"/>
        <v>5.3483333333333336</v>
      </c>
    </row>
    <row r="1805" spans="1:6" x14ac:dyDescent="0.3">
      <c r="A1805" t="s">
        <v>551</v>
      </c>
      <c r="B1805" t="s">
        <v>2128</v>
      </c>
      <c r="C1805">
        <v>35.5</v>
      </c>
      <c r="D1805">
        <v>60</v>
      </c>
      <c r="E1805">
        <f>IF(OR(B1805="vi",B1805="ii",B1805="pod"),(((D1805/100)*(C1805*VLOOKUP(B1805,'Poids des runes'!A:B,2,FALSE)))+1),(((D1805/100)*(C1805*VLOOKUP(B1805,'Poids des runes'!A:B,2,FALSE)))+1)/VLOOKUP(B1805,'Poids des runes'!A:B,2,FALSE))</f>
        <v>5.26</v>
      </c>
      <c r="F1805">
        <f t="shared" si="28"/>
        <v>5.26</v>
      </c>
    </row>
    <row r="1806" spans="1:6" x14ac:dyDescent="0.3">
      <c r="A1806" t="s">
        <v>551</v>
      </c>
      <c r="B1806" t="s">
        <v>2131</v>
      </c>
      <c r="C1806">
        <v>35.5</v>
      </c>
      <c r="D1806">
        <v>60</v>
      </c>
      <c r="E1806">
        <f>IF(OR(B1806="vi",B1806="ii",B1806="pod"),(((D1806/100)*(C1806*VLOOKUP(B1806,'Poids des runes'!A:B,2,FALSE)))+1),(((D1806/100)*(C1806*VLOOKUP(B1806,'Poids des runes'!A:B,2,FALSE)))+1)/VLOOKUP(B1806,'Poids des runes'!A:B,2,FALSE))</f>
        <v>22.3</v>
      </c>
      <c r="F1806">
        <f t="shared" si="28"/>
        <v>22.3</v>
      </c>
    </row>
    <row r="1807" spans="1:6" x14ac:dyDescent="0.3">
      <c r="A1807" t="s">
        <v>551</v>
      </c>
      <c r="B1807" t="s">
        <v>2155</v>
      </c>
      <c r="C1807">
        <v>1</v>
      </c>
      <c r="D1807">
        <v>60</v>
      </c>
      <c r="E1807">
        <f>IF(OR(B1807="vi",B1807="ii",B1807="pod"),(((D1807/100)*(C1807*VLOOKUP(B1807,'Poids des runes'!A:B,2,FALSE)))+1),(((D1807/100)*(C1807*VLOOKUP(B1807,'Poids des runes'!A:B,2,FALSE)))+1)/VLOOKUP(B1807,'Poids des runes'!A:B,2,FALSE))</f>
        <v>0.61960784313725481</v>
      </c>
      <c r="F1807">
        <f t="shared" si="28"/>
        <v>0.61960784313725481</v>
      </c>
    </row>
    <row r="1808" spans="1:6" x14ac:dyDescent="0.3">
      <c r="A1808" t="s">
        <v>551</v>
      </c>
      <c r="B1808" t="s">
        <v>2161</v>
      </c>
      <c r="C1808">
        <v>8.5</v>
      </c>
      <c r="D1808">
        <v>60</v>
      </c>
      <c r="E1808">
        <f>IF(OR(B1808="vi",B1808="ii",B1808="pod"),(((D1808/100)*(C1808*VLOOKUP(B1808,'Poids des runes'!A:B,2,FALSE)))+1),(((D1808/100)*(C1808*VLOOKUP(B1808,'Poids des runes'!A:B,2,FALSE)))+1)/VLOOKUP(B1808,'Poids des runes'!A:B,2,FALSE))</f>
        <v>5.4333333333333327</v>
      </c>
      <c r="F1808">
        <f t="shared" si="28"/>
        <v>5.4333333333333327</v>
      </c>
    </row>
    <row r="1809" spans="1:6" x14ac:dyDescent="0.3">
      <c r="A1809" t="s">
        <v>551</v>
      </c>
      <c r="B1809" t="s">
        <v>2132</v>
      </c>
      <c r="C1809">
        <v>125.5</v>
      </c>
      <c r="D1809">
        <v>60</v>
      </c>
      <c r="E1809">
        <f>IF(OR(B1809="vi",B1809="ii",B1809="pod"),(((D1809/100)*(C1809*VLOOKUP(B1809,'Poids des runes'!A:B,2,FALSE)))+1),(((D1809/100)*(C1809*VLOOKUP(B1809,'Poids des runes'!A:B,2,FALSE)))+1)/VLOOKUP(B1809,'Poids des runes'!A:B,2,FALSE))</f>
        <v>8.5300000000000011</v>
      </c>
      <c r="F1809">
        <f t="shared" si="28"/>
        <v>8.5300000000000011</v>
      </c>
    </row>
    <row r="1810" spans="1:6" x14ac:dyDescent="0.3">
      <c r="A1810" t="s">
        <v>552</v>
      </c>
      <c r="B1810" t="s">
        <v>2128</v>
      </c>
      <c r="C1810">
        <v>35.5</v>
      </c>
      <c r="D1810">
        <v>60</v>
      </c>
      <c r="E1810">
        <f>IF(OR(B1810="vi",B1810="ii",B1810="pod"),(((D1810/100)*(C1810*VLOOKUP(B1810,'Poids des runes'!A:B,2,FALSE)))+1),(((D1810/100)*(C1810*VLOOKUP(B1810,'Poids des runes'!A:B,2,FALSE)))+1)/VLOOKUP(B1810,'Poids des runes'!A:B,2,FALSE))</f>
        <v>5.26</v>
      </c>
      <c r="F1810">
        <f t="shared" si="28"/>
        <v>5.26</v>
      </c>
    </row>
    <row r="1811" spans="1:6" x14ac:dyDescent="0.3">
      <c r="A1811" t="s">
        <v>552</v>
      </c>
      <c r="B1811" t="s">
        <v>2127</v>
      </c>
      <c r="C1811">
        <v>35.5</v>
      </c>
      <c r="D1811">
        <v>60</v>
      </c>
      <c r="E1811">
        <f>IF(OR(B1811="vi",B1811="ii",B1811="pod"),(((D1811/100)*(C1811*VLOOKUP(B1811,'Poids des runes'!A:B,2,FALSE)))+1),(((D1811/100)*(C1811*VLOOKUP(B1811,'Poids des runes'!A:B,2,FALSE)))+1)/VLOOKUP(B1811,'Poids des runes'!A:B,2,FALSE))</f>
        <v>22.3</v>
      </c>
      <c r="F1811">
        <f t="shared" si="28"/>
        <v>22.3</v>
      </c>
    </row>
    <row r="1812" spans="1:6" x14ac:dyDescent="0.3">
      <c r="A1812" t="s">
        <v>552</v>
      </c>
      <c r="B1812" t="s">
        <v>2155</v>
      </c>
      <c r="C1812">
        <v>1</v>
      </c>
      <c r="D1812">
        <v>60</v>
      </c>
      <c r="E1812">
        <f>IF(OR(B1812="vi",B1812="ii",B1812="pod"),(((D1812/100)*(C1812*VLOOKUP(B1812,'Poids des runes'!A:B,2,FALSE)))+1),(((D1812/100)*(C1812*VLOOKUP(B1812,'Poids des runes'!A:B,2,FALSE)))+1)/VLOOKUP(B1812,'Poids des runes'!A:B,2,FALSE))</f>
        <v>0.61960784313725481</v>
      </c>
      <c r="F1812">
        <f t="shared" si="28"/>
        <v>0.61960784313725481</v>
      </c>
    </row>
    <row r="1813" spans="1:6" x14ac:dyDescent="0.3">
      <c r="A1813" t="s">
        <v>552</v>
      </c>
      <c r="B1813" t="s">
        <v>2161</v>
      </c>
      <c r="C1813">
        <v>8.5</v>
      </c>
      <c r="D1813">
        <v>60</v>
      </c>
      <c r="E1813">
        <f>IF(OR(B1813="vi",B1813="ii",B1813="pod"),(((D1813/100)*(C1813*VLOOKUP(B1813,'Poids des runes'!A:B,2,FALSE)))+1),(((D1813/100)*(C1813*VLOOKUP(B1813,'Poids des runes'!A:B,2,FALSE)))+1)/VLOOKUP(B1813,'Poids des runes'!A:B,2,FALSE))</f>
        <v>5.4333333333333327</v>
      </c>
      <c r="F1813">
        <f t="shared" si="28"/>
        <v>5.4333333333333327</v>
      </c>
    </row>
    <row r="1814" spans="1:6" x14ac:dyDescent="0.3">
      <c r="A1814" t="s">
        <v>552</v>
      </c>
      <c r="B1814" t="s">
        <v>2132</v>
      </c>
      <c r="C1814">
        <v>125.5</v>
      </c>
      <c r="D1814">
        <v>60</v>
      </c>
      <c r="E1814">
        <f>IF(OR(B1814="vi",B1814="ii",B1814="pod"),(((D1814/100)*(C1814*VLOOKUP(B1814,'Poids des runes'!A:B,2,FALSE)))+1),(((D1814/100)*(C1814*VLOOKUP(B1814,'Poids des runes'!A:B,2,FALSE)))+1)/VLOOKUP(B1814,'Poids des runes'!A:B,2,FALSE))</f>
        <v>8.5300000000000011</v>
      </c>
      <c r="F1814">
        <f t="shared" si="28"/>
        <v>8.5300000000000011</v>
      </c>
    </row>
    <row r="1815" spans="1:6" x14ac:dyDescent="0.3">
      <c r="A1815" t="s">
        <v>553</v>
      </c>
      <c r="B1815" t="s">
        <v>2128</v>
      </c>
      <c r="C1815">
        <v>35.5</v>
      </c>
      <c r="D1815">
        <v>60</v>
      </c>
      <c r="E1815">
        <f>IF(OR(B1815="vi",B1815="ii",B1815="pod"),(((D1815/100)*(C1815*VLOOKUP(B1815,'Poids des runes'!A:B,2,FALSE)))+1),(((D1815/100)*(C1815*VLOOKUP(B1815,'Poids des runes'!A:B,2,FALSE)))+1)/VLOOKUP(B1815,'Poids des runes'!A:B,2,FALSE))</f>
        <v>5.26</v>
      </c>
      <c r="F1815">
        <f t="shared" si="28"/>
        <v>5.26</v>
      </c>
    </row>
    <row r="1816" spans="1:6" x14ac:dyDescent="0.3">
      <c r="A1816" t="s">
        <v>553</v>
      </c>
      <c r="B1816" t="s">
        <v>2126</v>
      </c>
      <c r="C1816">
        <v>35.5</v>
      </c>
      <c r="D1816">
        <v>60</v>
      </c>
      <c r="E1816">
        <f>IF(OR(B1816="vi",B1816="ii",B1816="pod"),(((D1816/100)*(C1816*VLOOKUP(B1816,'Poids des runes'!A:B,2,FALSE)))+1),(((D1816/100)*(C1816*VLOOKUP(B1816,'Poids des runes'!A:B,2,FALSE)))+1)/VLOOKUP(B1816,'Poids des runes'!A:B,2,FALSE))</f>
        <v>22.3</v>
      </c>
      <c r="F1816">
        <f t="shared" si="28"/>
        <v>22.3</v>
      </c>
    </row>
    <row r="1817" spans="1:6" x14ac:dyDescent="0.3">
      <c r="A1817" t="s">
        <v>553</v>
      </c>
      <c r="B1817" t="s">
        <v>2155</v>
      </c>
      <c r="C1817">
        <v>1</v>
      </c>
      <c r="D1817">
        <v>60</v>
      </c>
      <c r="E1817">
        <f>IF(OR(B1817="vi",B1817="ii",B1817="pod"),(((D1817/100)*(C1817*VLOOKUP(B1817,'Poids des runes'!A:B,2,FALSE)))+1),(((D1817/100)*(C1817*VLOOKUP(B1817,'Poids des runes'!A:B,2,FALSE)))+1)/VLOOKUP(B1817,'Poids des runes'!A:B,2,FALSE))</f>
        <v>0.61960784313725481</v>
      </c>
      <c r="F1817">
        <f t="shared" si="28"/>
        <v>0.61960784313725481</v>
      </c>
    </row>
    <row r="1818" spans="1:6" x14ac:dyDescent="0.3">
      <c r="A1818" t="s">
        <v>553</v>
      </c>
      <c r="B1818" t="s">
        <v>2161</v>
      </c>
      <c r="C1818">
        <v>8.5</v>
      </c>
      <c r="D1818">
        <v>60</v>
      </c>
      <c r="E1818">
        <f>IF(OR(B1818="vi",B1818="ii",B1818="pod"),(((D1818/100)*(C1818*VLOOKUP(B1818,'Poids des runes'!A:B,2,FALSE)))+1),(((D1818/100)*(C1818*VLOOKUP(B1818,'Poids des runes'!A:B,2,FALSE)))+1)/VLOOKUP(B1818,'Poids des runes'!A:B,2,FALSE))</f>
        <v>5.4333333333333327</v>
      </c>
      <c r="F1818">
        <f t="shared" si="28"/>
        <v>5.4333333333333327</v>
      </c>
    </row>
    <row r="1819" spans="1:6" x14ac:dyDescent="0.3">
      <c r="A1819" t="s">
        <v>553</v>
      </c>
      <c r="B1819" t="s">
        <v>2132</v>
      </c>
      <c r="C1819">
        <v>125.5</v>
      </c>
      <c r="D1819">
        <v>60</v>
      </c>
      <c r="E1819">
        <f>IF(OR(B1819="vi",B1819="ii",B1819="pod"),(((D1819/100)*(C1819*VLOOKUP(B1819,'Poids des runes'!A:B,2,FALSE)))+1),(((D1819/100)*(C1819*VLOOKUP(B1819,'Poids des runes'!A:B,2,FALSE)))+1)/VLOOKUP(B1819,'Poids des runes'!A:B,2,FALSE))</f>
        <v>8.5300000000000011</v>
      </c>
      <c r="F1819">
        <f t="shared" si="28"/>
        <v>8.5300000000000011</v>
      </c>
    </row>
    <row r="1820" spans="1:6" x14ac:dyDescent="0.3">
      <c r="A1820" t="s">
        <v>554</v>
      </c>
      <c r="B1820" t="s">
        <v>2128</v>
      </c>
      <c r="C1820">
        <v>35.5</v>
      </c>
      <c r="D1820">
        <v>60</v>
      </c>
      <c r="E1820">
        <f>IF(OR(B1820="vi",B1820="ii",B1820="pod"),(((D1820/100)*(C1820*VLOOKUP(B1820,'Poids des runes'!A:B,2,FALSE)))+1),(((D1820/100)*(C1820*VLOOKUP(B1820,'Poids des runes'!A:B,2,FALSE)))+1)/VLOOKUP(B1820,'Poids des runes'!A:B,2,FALSE))</f>
        <v>5.26</v>
      </c>
      <c r="F1820">
        <f t="shared" si="28"/>
        <v>5.26</v>
      </c>
    </row>
    <row r="1821" spans="1:6" x14ac:dyDescent="0.3">
      <c r="A1821" t="s">
        <v>554</v>
      </c>
      <c r="B1821" t="s">
        <v>2130</v>
      </c>
      <c r="C1821">
        <v>35.5</v>
      </c>
      <c r="D1821">
        <v>60</v>
      </c>
      <c r="E1821">
        <f>IF(OR(B1821="vi",B1821="ii",B1821="pod"),(((D1821/100)*(C1821*VLOOKUP(B1821,'Poids des runes'!A:B,2,FALSE)))+1),(((D1821/100)*(C1821*VLOOKUP(B1821,'Poids des runes'!A:B,2,FALSE)))+1)/VLOOKUP(B1821,'Poids des runes'!A:B,2,FALSE))</f>
        <v>22.3</v>
      </c>
      <c r="F1821">
        <f t="shared" si="28"/>
        <v>22.3</v>
      </c>
    </row>
    <row r="1822" spans="1:6" x14ac:dyDescent="0.3">
      <c r="A1822" t="s">
        <v>554</v>
      </c>
      <c r="B1822" t="s">
        <v>2155</v>
      </c>
      <c r="C1822">
        <v>1</v>
      </c>
      <c r="D1822">
        <v>60</v>
      </c>
      <c r="E1822">
        <f>IF(OR(B1822="vi",B1822="ii",B1822="pod"),(((D1822/100)*(C1822*VLOOKUP(B1822,'Poids des runes'!A:B,2,FALSE)))+1),(((D1822/100)*(C1822*VLOOKUP(B1822,'Poids des runes'!A:B,2,FALSE)))+1)/VLOOKUP(B1822,'Poids des runes'!A:B,2,FALSE))</f>
        <v>0.61960784313725481</v>
      </c>
      <c r="F1822">
        <f t="shared" si="28"/>
        <v>0.61960784313725481</v>
      </c>
    </row>
    <row r="1823" spans="1:6" x14ac:dyDescent="0.3">
      <c r="A1823" t="s">
        <v>554</v>
      </c>
      <c r="B1823" t="s">
        <v>2161</v>
      </c>
      <c r="C1823">
        <v>8.5</v>
      </c>
      <c r="D1823">
        <v>60</v>
      </c>
      <c r="E1823">
        <f>IF(OR(B1823="vi",B1823="ii",B1823="pod"),(((D1823/100)*(C1823*VLOOKUP(B1823,'Poids des runes'!A:B,2,FALSE)))+1),(((D1823/100)*(C1823*VLOOKUP(B1823,'Poids des runes'!A:B,2,FALSE)))+1)/VLOOKUP(B1823,'Poids des runes'!A:B,2,FALSE))</f>
        <v>5.4333333333333327</v>
      </c>
      <c r="F1823">
        <f t="shared" si="28"/>
        <v>5.4333333333333327</v>
      </c>
    </row>
    <row r="1824" spans="1:6" x14ac:dyDescent="0.3">
      <c r="A1824" t="s">
        <v>554</v>
      </c>
      <c r="B1824" t="s">
        <v>2132</v>
      </c>
      <c r="C1824">
        <v>125.5</v>
      </c>
      <c r="D1824">
        <v>60</v>
      </c>
      <c r="E1824">
        <f>IF(OR(B1824="vi",B1824="ii",B1824="pod"),(((D1824/100)*(C1824*VLOOKUP(B1824,'Poids des runes'!A:B,2,FALSE)))+1),(((D1824/100)*(C1824*VLOOKUP(B1824,'Poids des runes'!A:B,2,FALSE)))+1)/VLOOKUP(B1824,'Poids des runes'!A:B,2,FALSE))</f>
        <v>8.5300000000000011</v>
      </c>
      <c r="F1824">
        <f t="shared" si="28"/>
        <v>8.5300000000000011</v>
      </c>
    </row>
    <row r="1825" spans="1:6" x14ac:dyDescent="0.3">
      <c r="A1825" t="s">
        <v>555</v>
      </c>
      <c r="B1825" t="s">
        <v>2128</v>
      </c>
      <c r="C1825">
        <v>23</v>
      </c>
      <c r="D1825">
        <v>60</v>
      </c>
      <c r="E1825">
        <f>IF(OR(B1825="vi",B1825="ii",B1825="pod"),(((D1825/100)*(C1825*VLOOKUP(B1825,'Poids des runes'!A:B,2,FALSE)))+1),(((D1825/100)*(C1825*VLOOKUP(B1825,'Poids des runes'!A:B,2,FALSE)))+1)/VLOOKUP(B1825,'Poids des runes'!A:B,2,FALSE))</f>
        <v>3.7600000000000002</v>
      </c>
      <c r="F1825">
        <f t="shared" si="28"/>
        <v>3.7600000000000002</v>
      </c>
    </row>
    <row r="1826" spans="1:6" x14ac:dyDescent="0.3">
      <c r="A1826" t="s">
        <v>555</v>
      </c>
      <c r="B1826" t="s">
        <v>2130</v>
      </c>
      <c r="C1826">
        <v>18</v>
      </c>
      <c r="D1826">
        <v>60</v>
      </c>
      <c r="E1826">
        <f>IF(OR(B1826="vi",B1826="ii",B1826="pod"),(((D1826/100)*(C1826*VLOOKUP(B1826,'Poids des runes'!A:B,2,FALSE)))+1),(((D1826/100)*(C1826*VLOOKUP(B1826,'Poids des runes'!A:B,2,FALSE)))+1)/VLOOKUP(B1826,'Poids des runes'!A:B,2,FALSE))</f>
        <v>11.799999999999999</v>
      </c>
      <c r="F1826">
        <f t="shared" si="28"/>
        <v>11.799999999999999</v>
      </c>
    </row>
    <row r="1827" spans="1:6" x14ac:dyDescent="0.3">
      <c r="A1827" t="s">
        <v>555</v>
      </c>
      <c r="B1827" t="s">
        <v>2131</v>
      </c>
      <c r="C1827">
        <v>18</v>
      </c>
      <c r="D1827">
        <v>60</v>
      </c>
      <c r="E1827">
        <f>IF(OR(B1827="vi",B1827="ii",B1827="pod"),(((D1827/100)*(C1827*VLOOKUP(B1827,'Poids des runes'!A:B,2,FALSE)))+1),(((D1827/100)*(C1827*VLOOKUP(B1827,'Poids des runes'!A:B,2,FALSE)))+1)/VLOOKUP(B1827,'Poids des runes'!A:B,2,FALSE))</f>
        <v>11.799999999999999</v>
      </c>
      <c r="F1827">
        <f t="shared" si="28"/>
        <v>11.799999999999999</v>
      </c>
    </row>
    <row r="1828" spans="1:6" x14ac:dyDescent="0.3">
      <c r="A1828" t="s">
        <v>555</v>
      </c>
      <c r="B1828" t="s">
        <v>2129</v>
      </c>
      <c r="C1828">
        <v>8.5</v>
      </c>
      <c r="D1828">
        <v>60</v>
      </c>
      <c r="E1828">
        <f>IF(OR(B1828="vi",B1828="ii",B1828="pod"),(((D1828/100)*(C1828*VLOOKUP(B1828,'Poids des runes'!A:B,2,FALSE)))+1),(((D1828/100)*(C1828*VLOOKUP(B1828,'Poids des runes'!A:B,2,FALSE)))+1)/VLOOKUP(B1828,'Poids des runes'!A:B,2,FALSE))</f>
        <v>6.1</v>
      </c>
      <c r="F1828">
        <f t="shared" si="28"/>
        <v>6.1</v>
      </c>
    </row>
    <row r="1829" spans="1:6" x14ac:dyDescent="0.3">
      <c r="A1829" t="s">
        <v>555</v>
      </c>
      <c r="B1829" t="s">
        <v>2158</v>
      </c>
      <c r="C1829">
        <v>2.5</v>
      </c>
      <c r="D1829">
        <v>60</v>
      </c>
      <c r="E1829">
        <f>IF(OR(B1829="vi",B1829="ii",B1829="pod"),(((D1829/100)*(C1829*VLOOKUP(B1829,'Poids des runes'!A:B,2,FALSE)))+1),(((D1829/100)*(C1829*VLOOKUP(B1829,'Poids des runes'!A:B,2,FALSE)))+1)/VLOOKUP(B1829,'Poids des runes'!A:B,2,FALSE))</f>
        <v>1.7</v>
      </c>
      <c r="F1829">
        <f t="shared" si="28"/>
        <v>1.7</v>
      </c>
    </row>
    <row r="1830" spans="1:6" x14ac:dyDescent="0.3">
      <c r="A1830" t="s">
        <v>555</v>
      </c>
      <c r="B1830" t="s">
        <v>2135</v>
      </c>
      <c r="C1830">
        <v>2.5</v>
      </c>
      <c r="D1830">
        <v>60</v>
      </c>
      <c r="E1830">
        <f>IF(OR(B1830="vi",B1830="ii",B1830="pod"),(((D1830/100)*(C1830*VLOOKUP(B1830,'Poids des runes'!A:B,2,FALSE)))+1),(((D1830/100)*(C1830*VLOOKUP(B1830,'Poids des runes'!A:B,2,FALSE)))+1)/VLOOKUP(B1830,'Poids des runes'!A:B,2,FALSE))</f>
        <v>1.6666666666666667</v>
      </c>
      <c r="F1830">
        <f t="shared" si="28"/>
        <v>1.6666666666666667</v>
      </c>
    </row>
    <row r="1831" spans="1:6" x14ac:dyDescent="0.3">
      <c r="A1831" t="s">
        <v>556</v>
      </c>
      <c r="B1831" t="s">
        <v>2128</v>
      </c>
      <c r="C1831">
        <v>90.5</v>
      </c>
      <c r="D1831">
        <v>60</v>
      </c>
      <c r="E1831">
        <f>IF(OR(B1831="vi",B1831="ii",B1831="pod"),(((D1831/100)*(C1831*VLOOKUP(B1831,'Poids des runes'!A:B,2,FALSE)))+1),(((D1831/100)*(C1831*VLOOKUP(B1831,'Poids des runes'!A:B,2,FALSE)))+1)/VLOOKUP(B1831,'Poids des runes'!A:B,2,FALSE))</f>
        <v>11.860000000000001</v>
      </c>
      <c r="F1831">
        <f t="shared" si="28"/>
        <v>11.860000000000001</v>
      </c>
    </row>
    <row r="1832" spans="1:6" x14ac:dyDescent="0.3">
      <c r="A1832" t="s">
        <v>556</v>
      </c>
      <c r="B1832" t="s">
        <v>2126</v>
      </c>
      <c r="C1832">
        <v>25.5</v>
      </c>
      <c r="D1832">
        <v>60</v>
      </c>
      <c r="E1832">
        <f>IF(OR(B1832="vi",B1832="ii",B1832="pod"),(((D1832/100)*(C1832*VLOOKUP(B1832,'Poids des runes'!A:B,2,FALSE)))+1),(((D1832/100)*(C1832*VLOOKUP(B1832,'Poids des runes'!A:B,2,FALSE)))+1)/VLOOKUP(B1832,'Poids des runes'!A:B,2,FALSE))</f>
        <v>16.299999999999997</v>
      </c>
      <c r="F1832">
        <f t="shared" si="28"/>
        <v>16.299999999999997</v>
      </c>
    </row>
    <row r="1833" spans="1:6" x14ac:dyDescent="0.3">
      <c r="A1833" t="s">
        <v>556</v>
      </c>
      <c r="B1833" t="s">
        <v>2127</v>
      </c>
      <c r="C1833">
        <v>25.5</v>
      </c>
      <c r="D1833">
        <v>60</v>
      </c>
      <c r="E1833">
        <f>IF(OR(B1833="vi",B1833="ii",B1833="pod"),(((D1833/100)*(C1833*VLOOKUP(B1833,'Poids des runes'!A:B,2,FALSE)))+1),(((D1833/100)*(C1833*VLOOKUP(B1833,'Poids des runes'!A:B,2,FALSE)))+1)/VLOOKUP(B1833,'Poids des runes'!A:B,2,FALSE))</f>
        <v>16.299999999999997</v>
      </c>
      <c r="F1833">
        <f t="shared" si="28"/>
        <v>16.299999999999997</v>
      </c>
    </row>
    <row r="1834" spans="1:6" x14ac:dyDescent="0.3">
      <c r="A1834" t="s">
        <v>556</v>
      </c>
      <c r="B1834" t="s">
        <v>2138</v>
      </c>
      <c r="C1834">
        <v>8.5</v>
      </c>
      <c r="D1834">
        <v>60</v>
      </c>
      <c r="E1834">
        <f>IF(OR(B1834="vi",B1834="ii",B1834="pod"),(((D1834/100)*(C1834*VLOOKUP(B1834,'Poids des runes'!A:B,2,FALSE)))+1),(((D1834/100)*(C1834*VLOOKUP(B1834,'Poids des runes'!A:B,2,FALSE)))+1)/VLOOKUP(B1834,'Poids des runes'!A:B,2,FALSE))</f>
        <v>5.35</v>
      </c>
      <c r="F1834">
        <f t="shared" si="28"/>
        <v>5.35</v>
      </c>
    </row>
    <row r="1835" spans="1:6" x14ac:dyDescent="0.3">
      <c r="A1835" t="s">
        <v>556</v>
      </c>
      <c r="B1835" t="s">
        <v>2162</v>
      </c>
      <c r="C1835">
        <v>7</v>
      </c>
      <c r="D1835">
        <v>60</v>
      </c>
      <c r="E1835">
        <f>IF(OR(B1835="vi",B1835="ii",B1835="pod"),(((D1835/100)*(C1835*VLOOKUP(B1835,'Poids des runes'!A:B,2,FALSE)))+1),(((D1835/100)*(C1835*VLOOKUP(B1835,'Poids des runes'!A:B,2,FALSE)))+1)/VLOOKUP(B1835,'Poids des runes'!A:B,2,FALSE))</f>
        <v>4.3428571428571425</v>
      </c>
      <c r="F1835">
        <f t="shared" si="28"/>
        <v>4.3428571428571425</v>
      </c>
    </row>
    <row r="1836" spans="1:6" x14ac:dyDescent="0.3">
      <c r="A1836" t="s">
        <v>557</v>
      </c>
      <c r="B1836" t="s">
        <v>2128</v>
      </c>
      <c r="C1836">
        <v>35.5</v>
      </c>
      <c r="D1836">
        <v>60</v>
      </c>
      <c r="E1836">
        <f>IF(OR(B1836="vi",B1836="ii",B1836="pod"),(((D1836/100)*(C1836*VLOOKUP(B1836,'Poids des runes'!A:B,2,FALSE)))+1),(((D1836/100)*(C1836*VLOOKUP(B1836,'Poids des runes'!A:B,2,FALSE)))+1)/VLOOKUP(B1836,'Poids des runes'!A:B,2,FALSE))</f>
        <v>5.26</v>
      </c>
      <c r="F1836">
        <f t="shared" si="28"/>
        <v>5.26</v>
      </c>
    </row>
    <row r="1837" spans="1:6" x14ac:dyDescent="0.3">
      <c r="A1837" t="s">
        <v>557</v>
      </c>
      <c r="B1837" t="s">
        <v>2126</v>
      </c>
      <c r="C1837">
        <v>25.5</v>
      </c>
      <c r="D1837">
        <v>60</v>
      </c>
      <c r="E1837">
        <f>IF(OR(B1837="vi",B1837="ii",B1837="pod"),(((D1837/100)*(C1837*VLOOKUP(B1837,'Poids des runes'!A:B,2,FALSE)))+1),(((D1837/100)*(C1837*VLOOKUP(B1837,'Poids des runes'!A:B,2,FALSE)))+1)/VLOOKUP(B1837,'Poids des runes'!A:B,2,FALSE))</f>
        <v>16.299999999999997</v>
      </c>
      <c r="F1837">
        <f t="shared" si="28"/>
        <v>16.299999999999997</v>
      </c>
    </row>
    <row r="1838" spans="1:6" x14ac:dyDescent="0.3">
      <c r="A1838" t="s">
        <v>557</v>
      </c>
      <c r="B1838" t="s">
        <v>2129</v>
      </c>
      <c r="C1838">
        <v>25.5</v>
      </c>
      <c r="D1838">
        <v>60</v>
      </c>
      <c r="E1838">
        <f>IF(OR(B1838="vi",B1838="ii",B1838="pod"),(((D1838/100)*(C1838*VLOOKUP(B1838,'Poids des runes'!A:B,2,FALSE)))+1),(((D1838/100)*(C1838*VLOOKUP(B1838,'Poids des runes'!A:B,2,FALSE)))+1)/VLOOKUP(B1838,'Poids des runes'!A:B,2,FALSE))</f>
        <v>16.299999999999997</v>
      </c>
      <c r="F1838">
        <f t="shared" si="28"/>
        <v>16.299999999999997</v>
      </c>
    </row>
    <row r="1839" spans="1:6" x14ac:dyDescent="0.3">
      <c r="A1839" t="s">
        <v>557</v>
      </c>
      <c r="B1839" t="s">
        <v>2149</v>
      </c>
      <c r="C1839">
        <v>4</v>
      </c>
      <c r="D1839">
        <v>60</v>
      </c>
      <c r="E1839">
        <f>IF(OR(B1839="vi",B1839="ii",B1839="pod"),(((D1839/100)*(C1839*VLOOKUP(B1839,'Poids des runes'!A:B,2,FALSE)))+1),(((D1839/100)*(C1839*VLOOKUP(B1839,'Poids des runes'!A:B,2,FALSE)))+1)/VLOOKUP(B1839,'Poids des runes'!A:B,2,FALSE))</f>
        <v>2.5</v>
      </c>
      <c r="F1839">
        <f t="shared" si="28"/>
        <v>2.5</v>
      </c>
    </row>
    <row r="1840" spans="1:6" x14ac:dyDescent="0.3">
      <c r="A1840" t="s">
        <v>557</v>
      </c>
      <c r="B1840" t="s">
        <v>2161</v>
      </c>
      <c r="C1840">
        <v>18</v>
      </c>
      <c r="D1840">
        <v>60</v>
      </c>
      <c r="E1840">
        <f>IF(OR(B1840="vi",B1840="ii",B1840="pod"),(((D1840/100)*(C1840*VLOOKUP(B1840,'Poids des runes'!A:B,2,FALSE)))+1),(((D1840/100)*(C1840*VLOOKUP(B1840,'Poids des runes'!A:B,2,FALSE)))+1)/VLOOKUP(B1840,'Poids des runes'!A:B,2,FALSE))</f>
        <v>11.133333333333333</v>
      </c>
      <c r="F1840">
        <f t="shared" si="28"/>
        <v>11.133333333333333</v>
      </c>
    </row>
    <row r="1841" spans="1:6" x14ac:dyDescent="0.3">
      <c r="A1841" t="s">
        <v>558</v>
      </c>
      <c r="B1841" t="s">
        <v>2128</v>
      </c>
      <c r="C1841">
        <v>40.5</v>
      </c>
      <c r="D1841">
        <v>60</v>
      </c>
      <c r="E1841">
        <f>IF(OR(B1841="vi",B1841="ii",B1841="pod"),(((D1841/100)*(C1841*VLOOKUP(B1841,'Poids des runes'!A:B,2,FALSE)))+1),(((D1841/100)*(C1841*VLOOKUP(B1841,'Poids des runes'!A:B,2,FALSE)))+1)/VLOOKUP(B1841,'Poids des runes'!A:B,2,FALSE))</f>
        <v>5.8599999999999994</v>
      </c>
      <c r="F1841">
        <f t="shared" si="28"/>
        <v>5.8599999999999994</v>
      </c>
    </row>
    <row r="1842" spans="1:6" x14ac:dyDescent="0.3">
      <c r="A1842" t="s">
        <v>558</v>
      </c>
      <c r="B1842" t="s">
        <v>2152</v>
      </c>
      <c r="C1842">
        <v>1</v>
      </c>
      <c r="D1842">
        <v>60</v>
      </c>
      <c r="E1842">
        <f>IF(OR(B1842="vi",B1842="ii",B1842="pod"),(((D1842/100)*(C1842*VLOOKUP(B1842,'Poids des runes'!A:B,2,FALSE)))+1),(((D1842/100)*(C1842*VLOOKUP(B1842,'Poids des runes'!A:B,2,FALSE)))+1)/VLOOKUP(B1842,'Poids des runes'!A:B,2,FALSE))</f>
        <v>0.61</v>
      </c>
      <c r="F1842">
        <f t="shared" si="28"/>
        <v>0.61</v>
      </c>
    </row>
    <row r="1843" spans="1:6" x14ac:dyDescent="0.3">
      <c r="A1843" t="s">
        <v>559</v>
      </c>
      <c r="B1843" t="s">
        <v>2128</v>
      </c>
      <c r="C1843">
        <v>50.5</v>
      </c>
      <c r="D1843">
        <v>60</v>
      </c>
      <c r="E1843">
        <f>IF(OR(B1843="vi",B1843="ii",B1843="pod"),(((D1843/100)*(C1843*VLOOKUP(B1843,'Poids des runes'!A:B,2,FALSE)))+1),(((D1843/100)*(C1843*VLOOKUP(B1843,'Poids des runes'!A:B,2,FALSE)))+1)/VLOOKUP(B1843,'Poids des runes'!A:B,2,FALSE))</f>
        <v>7.0600000000000005</v>
      </c>
      <c r="F1843">
        <f t="shared" si="28"/>
        <v>7.0600000000000005</v>
      </c>
    </row>
    <row r="1844" spans="1:6" x14ac:dyDescent="0.3">
      <c r="A1844" t="s">
        <v>559</v>
      </c>
      <c r="B1844" t="s">
        <v>2126</v>
      </c>
      <c r="C1844">
        <v>25.5</v>
      </c>
      <c r="D1844">
        <v>60</v>
      </c>
      <c r="E1844">
        <f>IF(OR(B1844="vi",B1844="ii",B1844="pod"),(((D1844/100)*(C1844*VLOOKUP(B1844,'Poids des runes'!A:B,2,FALSE)))+1),(((D1844/100)*(C1844*VLOOKUP(B1844,'Poids des runes'!A:B,2,FALSE)))+1)/VLOOKUP(B1844,'Poids des runes'!A:B,2,FALSE))</f>
        <v>16.299999999999997</v>
      </c>
      <c r="F1844">
        <f t="shared" si="28"/>
        <v>16.299999999999997</v>
      </c>
    </row>
    <row r="1845" spans="1:6" x14ac:dyDescent="0.3">
      <c r="A1845" t="s">
        <v>559</v>
      </c>
      <c r="B1845" t="s">
        <v>2129</v>
      </c>
      <c r="C1845">
        <v>15.5</v>
      </c>
      <c r="D1845">
        <v>60</v>
      </c>
      <c r="E1845">
        <f>IF(OR(B1845="vi",B1845="ii",B1845="pod"),(((D1845/100)*(C1845*VLOOKUP(B1845,'Poids des runes'!A:B,2,FALSE)))+1),(((D1845/100)*(C1845*VLOOKUP(B1845,'Poids des runes'!A:B,2,FALSE)))+1)/VLOOKUP(B1845,'Poids des runes'!A:B,2,FALSE))</f>
        <v>10.299999999999999</v>
      </c>
      <c r="F1845">
        <f t="shared" si="28"/>
        <v>10.299999999999999</v>
      </c>
    </row>
    <row r="1846" spans="1:6" x14ac:dyDescent="0.3">
      <c r="A1846" t="s">
        <v>559</v>
      </c>
      <c r="B1846" t="s">
        <v>2155</v>
      </c>
      <c r="C1846">
        <v>1</v>
      </c>
      <c r="D1846">
        <v>60</v>
      </c>
      <c r="E1846">
        <f>IF(OR(B1846="vi",B1846="ii",B1846="pod"),(((D1846/100)*(C1846*VLOOKUP(B1846,'Poids des runes'!A:B,2,FALSE)))+1),(((D1846/100)*(C1846*VLOOKUP(B1846,'Poids des runes'!A:B,2,FALSE)))+1)/VLOOKUP(B1846,'Poids des runes'!A:B,2,FALSE))</f>
        <v>0.61960784313725481</v>
      </c>
      <c r="F1846">
        <f t="shared" si="28"/>
        <v>0.61960784313725481</v>
      </c>
    </row>
    <row r="1847" spans="1:6" x14ac:dyDescent="0.3">
      <c r="A1847" t="s">
        <v>559</v>
      </c>
      <c r="B1847" t="s">
        <v>2140</v>
      </c>
      <c r="C1847">
        <v>6</v>
      </c>
      <c r="D1847">
        <v>60</v>
      </c>
      <c r="E1847">
        <f>IF(OR(B1847="vi",B1847="ii",B1847="pod"),(((D1847/100)*(C1847*VLOOKUP(B1847,'Poids des runes'!A:B,2,FALSE)))+1),(((D1847/100)*(C1847*VLOOKUP(B1847,'Poids des runes'!A:B,2,FALSE)))+1)/VLOOKUP(B1847,'Poids des runes'!A:B,2,FALSE))</f>
        <v>3.8</v>
      </c>
      <c r="F1847">
        <f t="shared" si="28"/>
        <v>3.8</v>
      </c>
    </row>
    <row r="1848" spans="1:6" x14ac:dyDescent="0.3">
      <c r="A1848" t="s">
        <v>560</v>
      </c>
      <c r="B1848" t="s">
        <v>2128</v>
      </c>
      <c r="C1848">
        <v>85.5</v>
      </c>
      <c r="D1848">
        <v>60</v>
      </c>
      <c r="E1848">
        <f>IF(OR(B1848="vi",B1848="ii",B1848="pod"),(((D1848/100)*(C1848*VLOOKUP(B1848,'Poids des runes'!A:B,2,FALSE)))+1),(((D1848/100)*(C1848*VLOOKUP(B1848,'Poids des runes'!A:B,2,FALSE)))+1)/VLOOKUP(B1848,'Poids des runes'!A:B,2,FALSE))</f>
        <v>11.26</v>
      </c>
      <c r="F1848">
        <f t="shared" si="28"/>
        <v>11.26</v>
      </c>
    </row>
    <row r="1849" spans="1:6" x14ac:dyDescent="0.3">
      <c r="A1849" t="s">
        <v>560</v>
      </c>
      <c r="B1849" t="s">
        <v>2151</v>
      </c>
      <c r="C1849">
        <v>3.5</v>
      </c>
      <c r="D1849">
        <v>60</v>
      </c>
      <c r="E1849">
        <f>IF(OR(B1849="vi",B1849="ii",B1849="pod"),(((D1849/100)*(C1849*VLOOKUP(B1849,'Poids des runes'!A:B,2,FALSE)))+1),(((D1849/100)*(C1849*VLOOKUP(B1849,'Poids des runes'!A:B,2,FALSE)))+1)/VLOOKUP(B1849,'Poids des runes'!A:B,2,FALSE))</f>
        <v>2.2000000000000002</v>
      </c>
      <c r="F1849">
        <f t="shared" si="28"/>
        <v>2.2000000000000002</v>
      </c>
    </row>
    <row r="1850" spans="1:6" x14ac:dyDescent="0.3">
      <c r="A1850" t="s">
        <v>560</v>
      </c>
      <c r="B1850" t="s">
        <v>2150</v>
      </c>
      <c r="C1850">
        <v>1</v>
      </c>
      <c r="D1850">
        <v>60</v>
      </c>
      <c r="E1850">
        <f>IF(OR(B1850="vi",B1850="ii",B1850="pod"),(((D1850/100)*(C1850*VLOOKUP(B1850,'Poids des runes'!A:B,2,FALSE)))+1),(((D1850/100)*(C1850*VLOOKUP(B1850,'Poids des runes'!A:B,2,FALSE)))+1)/VLOOKUP(B1850,'Poids des runes'!A:B,2,FALSE))</f>
        <v>0.6333333333333333</v>
      </c>
      <c r="F1850">
        <f t="shared" si="28"/>
        <v>0.6333333333333333</v>
      </c>
    </row>
    <row r="1851" spans="1:6" x14ac:dyDescent="0.3">
      <c r="A1851" t="s">
        <v>560</v>
      </c>
      <c r="B1851" t="s">
        <v>2134</v>
      </c>
      <c r="C1851">
        <v>5</v>
      </c>
      <c r="D1851">
        <v>60</v>
      </c>
      <c r="E1851">
        <f>IF(OR(B1851="vi",B1851="ii",B1851="pod"),(((D1851/100)*(C1851*VLOOKUP(B1851,'Poids des runes'!A:B,2,FALSE)))+1),(((D1851/100)*(C1851*VLOOKUP(B1851,'Poids des runes'!A:B,2,FALSE)))+1)/VLOOKUP(B1851,'Poids des runes'!A:B,2,FALSE))</f>
        <v>3.05</v>
      </c>
      <c r="F1851">
        <f t="shared" si="28"/>
        <v>3.05</v>
      </c>
    </row>
    <row r="1852" spans="1:6" x14ac:dyDescent="0.3">
      <c r="A1852" t="s">
        <v>561</v>
      </c>
      <c r="B1852" t="s">
        <v>2128</v>
      </c>
      <c r="C1852">
        <v>85.5</v>
      </c>
      <c r="D1852">
        <v>60</v>
      </c>
      <c r="E1852">
        <f>IF(OR(B1852="vi",B1852="ii",B1852="pod"),(((D1852/100)*(C1852*VLOOKUP(B1852,'Poids des runes'!A:B,2,FALSE)))+1),(((D1852/100)*(C1852*VLOOKUP(B1852,'Poids des runes'!A:B,2,FALSE)))+1)/VLOOKUP(B1852,'Poids des runes'!A:B,2,FALSE))</f>
        <v>11.26</v>
      </c>
      <c r="F1852">
        <f t="shared" si="28"/>
        <v>11.26</v>
      </c>
    </row>
    <row r="1853" spans="1:6" x14ac:dyDescent="0.3">
      <c r="A1853" t="s">
        <v>561</v>
      </c>
      <c r="B1853" t="s">
        <v>2139</v>
      </c>
      <c r="C1853">
        <v>23</v>
      </c>
      <c r="D1853">
        <v>60</v>
      </c>
      <c r="E1853">
        <f>IF(OR(B1853="vi",B1853="ii",B1853="pod"),(((D1853/100)*(C1853*VLOOKUP(B1853,'Poids des runes'!A:B,2,FALSE)))+1),(((D1853/100)*(C1853*VLOOKUP(B1853,'Poids des runes'!A:B,2,FALSE)))+1)/VLOOKUP(B1853,'Poids des runes'!A:B,2,FALSE))</f>
        <v>14.299999999999999</v>
      </c>
      <c r="F1853">
        <f t="shared" si="28"/>
        <v>14.299999999999999</v>
      </c>
    </row>
    <row r="1854" spans="1:6" x14ac:dyDescent="0.3">
      <c r="A1854" t="s">
        <v>561</v>
      </c>
      <c r="B1854" t="s">
        <v>2155</v>
      </c>
      <c r="C1854">
        <v>1</v>
      </c>
      <c r="D1854">
        <v>60</v>
      </c>
      <c r="E1854">
        <f>IF(OR(B1854="vi",B1854="ii",B1854="pod"),(((D1854/100)*(C1854*VLOOKUP(B1854,'Poids des runes'!A:B,2,FALSE)))+1),(((D1854/100)*(C1854*VLOOKUP(B1854,'Poids des runes'!A:B,2,FALSE)))+1)/VLOOKUP(B1854,'Poids des runes'!A:B,2,FALSE))</f>
        <v>0.61960784313725481</v>
      </c>
      <c r="F1854">
        <f t="shared" si="28"/>
        <v>0.61960784313725481</v>
      </c>
    </row>
    <row r="1855" spans="1:6" x14ac:dyDescent="0.3">
      <c r="A1855" t="s">
        <v>561</v>
      </c>
      <c r="B1855" t="s">
        <v>2138</v>
      </c>
      <c r="C1855">
        <v>6</v>
      </c>
      <c r="D1855">
        <v>60</v>
      </c>
      <c r="E1855">
        <f>IF(OR(B1855="vi",B1855="ii",B1855="pod"),(((D1855/100)*(C1855*VLOOKUP(B1855,'Poids des runes'!A:B,2,FALSE)))+1),(((D1855/100)*(C1855*VLOOKUP(B1855,'Poids des runes'!A:B,2,FALSE)))+1)/VLOOKUP(B1855,'Poids des runes'!A:B,2,FALSE))</f>
        <v>3.8499999999999996</v>
      </c>
      <c r="F1855">
        <f t="shared" si="28"/>
        <v>3.8499999999999996</v>
      </c>
    </row>
    <row r="1856" spans="1:6" x14ac:dyDescent="0.3">
      <c r="A1856" t="s">
        <v>562</v>
      </c>
      <c r="B1856" t="s">
        <v>2128</v>
      </c>
      <c r="C1856">
        <v>50.5</v>
      </c>
      <c r="D1856">
        <v>60</v>
      </c>
      <c r="E1856">
        <f>IF(OR(B1856="vi",B1856="ii",B1856="pod"),(((D1856/100)*(C1856*VLOOKUP(B1856,'Poids des runes'!A:B,2,FALSE)))+1),(((D1856/100)*(C1856*VLOOKUP(B1856,'Poids des runes'!A:B,2,FALSE)))+1)/VLOOKUP(B1856,'Poids des runes'!A:B,2,FALSE))</f>
        <v>7.0600000000000005</v>
      </c>
      <c r="F1856">
        <f t="shared" si="28"/>
        <v>7.0600000000000005</v>
      </c>
    </row>
    <row r="1857" spans="1:6" x14ac:dyDescent="0.3">
      <c r="A1857" t="s">
        <v>562</v>
      </c>
      <c r="B1857" t="s">
        <v>2139</v>
      </c>
      <c r="C1857">
        <v>30.5</v>
      </c>
      <c r="D1857">
        <v>60</v>
      </c>
      <c r="E1857">
        <f>IF(OR(B1857="vi",B1857="ii",B1857="pod"),(((D1857/100)*(C1857*VLOOKUP(B1857,'Poids des runes'!A:B,2,FALSE)))+1),(((D1857/100)*(C1857*VLOOKUP(B1857,'Poids des runes'!A:B,2,FALSE)))+1)/VLOOKUP(B1857,'Poids des runes'!A:B,2,FALSE))</f>
        <v>18.8</v>
      </c>
      <c r="F1857">
        <f t="shared" si="28"/>
        <v>18.8</v>
      </c>
    </row>
    <row r="1858" spans="1:6" x14ac:dyDescent="0.3">
      <c r="A1858" t="s">
        <v>562</v>
      </c>
      <c r="B1858" t="s">
        <v>2155</v>
      </c>
      <c r="C1858">
        <v>1</v>
      </c>
      <c r="D1858">
        <v>60</v>
      </c>
      <c r="E1858">
        <f>IF(OR(B1858="vi",B1858="ii",B1858="pod"),(((D1858/100)*(C1858*VLOOKUP(B1858,'Poids des runes'!A:B,2,FALSE)))+1),(((D1858/100)*(C1858*VLOOKUP(B1858,'Poids des runes'!A:B,2,FALSE)))+1)/VLOOKUP(B1858,'Poids des runes'!A:B,2,FALSE))</f>
        <v>0.61960784313725481</v>
      </c>
      <c r="F1858">
        <f t="shared" si="28"/>
        <v>0.61960784313725481</v>
      </c>
    </row>
    <row r="1859" spans="1:6" x14ac:dyDescent="0.3">
      <c r="A1859" t="s">
        <v>562</v>
      </c>
      <c r="B1859" t="s">
        <v>2161</v>
      </c>
      <c r="C1859">
        <v>15.5</v>
      </c>
      <c r="D1859">
        <v>60</v>
      </c>
      <c r="E1859">
        <f>IF(OR(B1859="vi",B1859="ii",B1859="pod"),(((D1859/100)*(C1859*VLOOKUP(B1859,'Poids des runes'!A:B,2,FALSE)))+1),(((D1859/100)*(C1859*VLOOKUP(B1859,'Poids des runes'!A:B,2,FALSE)))+1)/VLOOKUP(B1859,'Poids des runes'!A:B,2,FALSE))</f>
        <v>9.6333333333333329</v>
      </c>
      <c r="F1859">
        <f t="shared" ref="F1859:F1922" si="29">E1859</f>
        <v>9.6333333333333329</v>
      </c>
    </row>
    <row r="1860" spans="1:6" x14ac:dyDescent="0.3">
      <c r="A1860" t="s">
        <v>563</v>
      </c>
      <c r="B1860" t="s">
        <v>2128</v>
      </c>
      <c r="C1860">
        <v>25.5</v>
      </c>
      <c r="D1860">
        <v>60</v>
      </c>
      <c r="E1860">
        <f>IF(OR(B1860="vi",B1860="ii",B1860="pod"),(((D1860/100)*(C1860*VLOOKUP(B1860,'Poids des runes'!A:B,2,FALSE)))+1),(((D1860/100)*(C1860*VLOOKUP(B1860,'Poids des runes'!A:B,2,FALSE)))+1)/VLOOKUP(B1860,'Poids des runes'!A:B,2,FALSE))</f>
        <v>4.0600000000000005</v>
      </c>
      <c r="F1860">
        <f t="shared" si="29"/>
        <v>4.0600000000000005</v>
      </c>
    </row>
    <row r="1861" spans="1:6" x14ac:dyDescent="0.3">
      <c r="A1861" t="s">
        <v>563</v>
      </c>
      <c r="B1861" t="s">
        <v>2131</v>
      </c>
      <c r="C1861">
        <v>25.5</v>
      </c>
      <c r="D1861">
        <v>60</v>
      </c>
      <c r="E1861">
        <f>IF(OR(B1861="vi",B1861="ii",B1861="pod"),(((D1861/100)*(C1861*VLOOKUP(B1861,'Poids des runes'!A:B,2,FALSE)))+1),(((D1861/100)*(C1861*VLOOKUP(B1861,'Poids des runes'!A:B,2,FALSE)))+1)/VLOOKUP(B1861,'Poids des runes'!A:B,2,FALSE))</f>
        <v>16.299999999999997</v>
      </c>
      <c r="F1861">
        <f t="shared" si="29"/>
        <v>16.299999999999997</v>
      </c>
    </row>
    <row r="1862" spans="1:6" x14ac:dyDescent="0.3">
      <c r="A1862" t="s">
        <v>563</v>
      </c>
      <c r="B1862" t="s">
        <v>2129</v>
      </c>
      <c r="C1862">
        <v>25.5</v>
      </c>
      <c r="D1862">
        <v>60</v>
      </c>
      <c r="E1862">
        <f>IF(OR(B1862="vi",B1862="ii",B1862="pod"),(((D1862/100)*(C1862*VLOOKUP(B1862,'Poids des runes'!A:B,2,FALSE)))+1),(((D1862/100)*(C1862*VLOOKUP(B1862,'Poids des runes'!A:B,2,FALSE)))+1)/VLOOKUP(B1862,'Poids des runes'!A:B,2,FALSE))</f>
        <v>16.299999999999997</v>
      </c>
      <c r="F1862">
        <f t="shared" si="29"/>
        <v>16.299999999999997</v>
      </c>
    </row>
    <row r="1863" spans="1:6" x14ac:dyDescent="0.3">
      <c r="A1863" t="s">
        <v>563</v>
      </c>
      <c r="B1863" t="s">
        <v>2151</v>
      </c>
      <c r="C1863">
        <v>4.5</v>
      </c>
      <c r="D1863">
        <v>60</v>
      </c>
      <c r="E1863">
        <f>IF(OR(B1863="vi",B1863="ii",B1863="pod"),(((D1863/100)*(C1863*VLOOKUP(B1863,'Poids des runes'!A:B,2,FALSE)))+1),(((D1863/100)*(C1863*VLOOKUP(B1863,'Poids des runes'!A:B,2,FALSE)))+1)/VLOOKUP(B1863,'Poids des runes'!A:B,2,FALSE))</f>
        <v>2.8</v>
      </c>
      <c r="F1863">
        <f t="shared" si="29"/>
        <v>2.8</v>
      </c>
    </row>
    <row r="1864" spans="1:6" x14ac:dyDescent="0.3">
      <c r="A1864" t="s">
        <v>563</v>
      </c>
      <c r="B1864" t="s">
        <v>2161</v>
      </c>
      <c r="C1864">
        <v>8.5</v>
      </c>
      <c r="D1864">
        <v>60</v>
      </c>
      <c r="E1864">
        <f>IF(OR(B1864="vi",B1864="ii",B1864="pod"),(((D1864/100)*(C1864*VLOOKUP(B1864,'Poids des runes'!A:B,2,FALSE)))+1),(((D1864/100)*(C1864*VLOOKUP(B1864,'Poids des runes'!A:B,2,FALSE)))+1)/VLOOKUP(B1864,'Poids des runes'!A:B,2,FALSE))</f>
        <v>5.4333333333333327</v>
      </c>
      <c r="F1864">
        <f t="shared" si="29"/>
        <v>5.4333333333333327</v>
      </c>
    </row>
    <row r="1865" spans="1:6" x14ac:dyDescent="0.3">
      <c r="A1865" t="s">
        <v>564</v>
      </c>
      <c r="B1865" t="s">
        <v>2128</v>
      </c>
      <c r="C1865">
        <v>65.5</v>
      </c>
      <c r="D1865">
        <v>60</v>
      </c>
      <c r="E1865">
        <f>IF(OR(B1865="vi",B1865="ii",B1865="pod"),(((D1865/100)*(C1865*VLOOKUP(B1865,'Poids des runes'!A:B,2,FALSE)))+1),(((D1865/100)*(C1865*VLOOKUP(B1865,'Poids des runes'!A:B,2,FALSE)))+1)/VLOOKUP(B1865,'Poids des runes'!A:B,2,FALSE))</f>
        <v>8.86</v>
      </c>
      <c r="F1865">
        <f t="shared" si="29"/>
        <v>8.86</v>
      </c>
    </row>
    <row r="1866" spans="1:6" x14ac:dyDescent="0.3">
      <c r="A1866" t="s">
        <v>564</v>
      </c>
      <c r="B1866" t="s">
        <v>2130</v>
      </c>
      <c r="C1866">
        <v>25.5</v>
      </c>
      <c r="D1866">
        <v>60</v>
      </c>
      <c r="E1866">
        <f>IF(OR(B1866="vi",B1866="ii",B1866="pod"),(((D1866/100)*(C1866*VLOOKUP(B1866,'Poids des runes'!A:B,2,FALSE)))+1),(((D1866/100)*(C1866*VLOOKUP(B1866,'Poids des runes'!A:B,2,FALSE)))+1)/VLOOKUP(B1866,'Poids des runes'!A:B,2,FALSE))</f>
        <v>16.299999999999997</v>
      </c>
      <c r="F1866">
        <f t="shared" si="29"/>
        <v>16.299999999999997</v>
      </c>
    </row>
    <row r="1867" spans="1:6" x14ac:dyDescent="0.3">
      <c r="A1867" t="s">
        <v>564</v>
      </c>
      <c r="B1867" t="s">
        <v>2131</v>
      </c>
      <c r="C1867">
        <v>25.5</v>
      </c>
      <c r="D1867">
        <v>60</v>
      </c>
      <c r="E1867">
        <f>IF(OR(B1867="vi",B1867="ii",B1867="pod"),(((D1867/100)*(C1867*VLOOKUP(B1867,'Poids des runes'!A:B,2,FALSE)))+1),(((D1867/100)*(C1867*VLOOKUP(B1867,'Poids des runes'!A:B,2,FALSE)))+1)/VLOOKUP(B1867,'Poids des runes'!A:B,2,FALSE))</f>
        <v>16.299999999999997</v>
      </c>
      <c r="F1867">
        <f t="shared" si="29"/>
        <v>16.299999999999997</v>
      </c>
    </row>
    <row r="1868" spans="1:6" x14ac:dyDescent="0.3">
      <c r="A1868" t="s">
        <v>564</v>
      </c>
      <c r="B1868" t="s">
        <v>2143</v>
      </c>
      <c r="C1868">
        <v>3.5</v>
      </c>
      <c r="D1868">
        <v>60</v>
      </c>
      <c r="E1868">
        <f>IF(OR(B1868="vi",B1868="ii",B1868="pod"),(((D1868/100)*(C1868*VLOOKUP(B1868,'Poids des runes'!A:B,2,FALSE)))+1),(((D1868/100)*(C1868*VLOOKUP(B1868,'Poids des runes'!A:B,2,FALSE)))+1)/VLOOKUP(B1868,'Poids des runes'!A:B,2,FALSE))</f>
        <v>2.2999999999999998</v>
      </c>
      <c r="F1868">
        <f t="shared" si="29"/>
        <v>2.2999999999999998</v>
      </c>
    </row>
    <row r="1869" spans="1:6" x14ac:dyDescent="0.3">
      <c r="A1869" t="s">
        <v>564</v>
      </c>
      <c r="B1869" t="s">
        <v>2133</v>
      </c>
      <c r="C1869">
        <v>3.5</v>
      </c>
      <c r="D1869">
        <v>60</v>
      </c>
      <c r="E1869">
        <f>IF(OR(B1869="vi",B1869="ii",B1869="pod"),(((D1869/100)*(C1869*VLOOKUP(B1869,'Poids des runes'!A:B,2,FALSE)))+1),(((D1869/100)*(C1869*VLOOKUP(B1869,'Poids des runes'!A:B,2,FALSE)))+1)/VLOOKUP(B1869,'Poids des runes'!A:B,2,FALSE))</f>
        <v>2.2999999999999998</v>
      </c>
      <c r="F1869">
        <f t="shared" si="29"/>
        <v>2.2999999999999998</v>
      </c>
    </row>
    <row r="1870" spans="1:6" x14ac:dyDescent="0.3">
      <c r="A1870" t="s">
        <v>564</v>
      </c>
      <c r="B1870" t="s">
        <v>2161</v>
      </c>
      <c r="C1870">
        <v>4</v>
      </c>
      <c r="D1870">
        <v>60</v>
      </c>
      <c r="E1870">
        <f>IF(OR(B1870="vi",B1870="ii",B1870="pod"),(((D1870/100)*(C1870*VLOOKUP(B1870,'Poids des runes'!A:B,2,FALSE)))+1),(((D1870/100)*(C1870*VLOOKUP(B1870,'Poids des runes'!A:B,2,FALSE)))+1)/VLOOKUP(B1870,'Poids des runes'!A:B,2,FALSE))</f>
        <v>2.7333333333333329</v>
      </c>
      <c r="F1870">
        <f t="shared" si="29"/>
        <v>2.7333333333333329</v>
      </c>
    </row>
    <row r="1871" spans="1:6" x14ac:dyDescent="0.3">
      <c r="A1871" t="s">
        <v>564</v>
      </c>
      <c r="B1871" t="s">
        <v>2142</v>
      </c>
      <c r="C1871">
        <v>6.5</v>
      </c>
      <c r="D1871">
        <v>60</v>
      </c>
      <c r="E1871">
        <f>IF(OR(B1871="vi",B1871="ii",B1871="pod"),(((D1871/100)*(C1871*VLOOKUP(B1871,'Poids des runes'!A:B,2,FALSE)))+1),(((D1871/100)*(C1871*VLOOKUP(B1871,'Poids des runes'!A:B,2,FALSE)))+1)/VLOOKUP(B1871,'Poids des runes'!A:B,2,FALSE))</f>
        <v>4.0999999999999996</v>
      </c>
      <c r="F1871">
        <f t="shared" si="29"/>
        <v>4.0999999999999996</v>
      </c>
    </row>
    <row r="1872" spans="1:6" x14ac:dyDescent="0.3">
      <c r="A1872" t="s">
        <v>565</v>
      </c>
      <c r="B1872" t="s">
        <v>2155</v>
      </c>
      <c r="C1872">
        <v>1</v>
      </c>
      <c r="D1872">
        <v>60</v>
      </c>
      <c r="E1872">
        <f>IF(OR(B1872="vi",B1872="ii",B1872="pod"),(((D1872/100)*(C1872*VLOOKUP(B1872,'Poids des runes'!A:B,2,FALSE)))+1),(((D1872/100)*(C1872*VLOOKUP(B1872,'Poids des runes'!A:B,2,FALSE)))+1)/VLOOKUP(B1872,'Poids des runes'!A:B,2,FALSE))</f>
        <v>0.61960784313725481</v>
      </c>
      <c r="F1872">
        <f t="shared" si="29"/>
        <v>0.61960784313725481</v>
      </c>
    </row>
    <row r="1873" spans="1:6" x14ac:dyDescent="0.3">
      <c r="A1873" t="s">
        <v>565</v>
      </c>
      <c r="B1873" t="s">
        <v>2150</v>
      </c>
      <c r="C1873">
        <v>2</v>
      </c>
      <c r="D1873">
        <v>60</v>
      </c>
      <c r="E1873">
        <f>IF(OR(B1873="vi",B1873="ii",B1873="pod"),(((D1873/100)*(C1873*VLOOKUP(B1873,'Poids des runes'!A:B,2,FALSE)))+1),(((D1873/100)*(C1873*VLOOKUP(B1873,'Poids des runes'!A:B,2,FALSE)))+1)/VLOOKUP(B1873,'Poids des runes'!A:B,2,FALSE))</f>
        <v>1.2333333333333334</v>
      </c>
      <c r="F1873">
        <f t="shared" si="29"/>
        <v>1.2333333333333334</v>
      </c>
    </row>
    <row r="1874" spans="1:6" x14ac:dyDescent="0.3">
      <c r="A1874" t="s">
        <v>565</v>
      </c>
      <c r="B1874" t="s">
        <v>2132</v>
      </c>
      <c r="C1874">
        <v>250.5</v>
      </c>
      <c r="D1874">
        <v>60</v>
      </c>
      <c r="E1874">
        <f>IF(OR(B1874="vi",B1874="ii",B1874="pod"),(((D1874/100)*(C1874*VLOOKUP(B1874,'Poids des runes'!A:B,2,FALSE)))+1),(((D1874/100)*(C1874*VLOOKUP(B1874,'Poids des runes'!A:B,2,FALSE)))+1)/VLOOKUP(B1874,'Poids des runes'!A:B,2,FALSE))</f>
        <v>16.03</v>
      </c>
      <c r="F1874">
        <f t="shared" si="29"/>
        <v>16.03</v>
      </c>
    </row>
    <row r="1875" spans="1:6" x14ac:dyDescent="0.3">
      <c r="A1875" t="s">
        <v>566</v>
      </c>
      <c r="B1875" t="s">
        <v>2130</v>
      </c>
      <c r="C1875">
        <v>18</v>
      </c>
      <c r="D1875">
        <v>60</v>
      </c>
      <c r="E1875">
        <f>IF(OR(B1875="vi",B1875="ii",B1875="pod"),(((D1875/100)*(C1875*VLOOKUP(B1875,'Poids des runes'!A:B,2,FALSE)))+1),(((D1875/100)*(C1875*VLOOKUP(B1875,'Poids des runes'!A:B,2,FALSE)))+1)/VLOOKUP(B1875,'Poids des runes'!A:B,2,FALSE))</f>
        <v>11.799999999999999</v>
      </c>
      <c r="F1875">
        <f t="shared" si="29"/>
        <v>11.799999999999999</v>
      </c>
    </row>
    <row r="1876" spans="1:6" x14ac:dyDescent="0.3">
      <c r="A1876" t="s">
        <v>566</v>
      </c>
      <c r="B1876" t="s">
        <v>2131</v>
      </c>
      <c r="C1876">
        <v>18</v>
      </c>
      <c r="D1876">
        <v>60</v>
      </c>
      <c r="E1876">
        <f>IF(OR(B1876="vi",B1876="ii",B1876="pod"),(((D1876/100)*(C1876*VLOOKUP(B1876,'Poids des runes'!A:B,2,FALSE)))+1),(((D1876/100)*(C1876*VLOOKUP(B1876,'Poids des runes'!A:B,2,FALSE)))+1)/VLOOKUP(B1876,'Poids des runes'!A:B,2,FALSE))</f>
        <v>11.799999999999999</v>
      </c>
      <c r="F1876">
        <f t="shared" si="29"/>
        <v>11.799999999999999</v>
      </c>
    </row>
    <row r="1877" spans="1:6" x14ac:dyDescent="0.3">
      <c r="A1877" t="s">
        <v>566</v>
      </c>
      <c r="B1877" t="s">
        <v>2127</v>
      </c>
      <c r="C1877">
        <v>18</v>
      </c>
      <c r="D1877">
        <v>60</v>
      </c>
      <c r="E1877">
        <f>IF(OR(B1877="vi",B1877="ii",B1877="pod"),(((D1877/100)*(C1877*VLOOKUP(B1877,'Poids des runes'!A:B,2,FALSE)))+1),(((D1877/100)*(C1877*VLOOKUP(B1877,'Poids des runes'!A:B,2,FALSE)))+1)/VLOOKUP(B1877,'Poids des runes'!A:B,2,FALSE))</f>
        <v>11.799999999999999</v>
      </c>
      <c r="F1877">
        <f t="shared" si="29"/>
        <v>11.799999999999999</v>
      </c>
    </row>
    <row r="1878" spans="1:6" x14ac:dyDescent="0.3">
      <c r="A1878" t="s">
        <v>566</v>
      </c>
      <c r="B1878" t="s">
        <v>2155</v>
      </c>
      <c r="C1878">
        <v>1</v>
      </c>
      <c r="D1878">
        <v>60</v>
      </c>
      <c r="E1878">
        <f>IF(OR(B1878="vi",B1878="ii",B1878="pod"),(((D1878/100)*(C1878*VLOOKUP(B1878,'Poids des runes'!A:B,2,FALSE)))+1),(((D1878/100)*(C1878*VLOOKUP(B1878,'Poids des runes'!A:B,2,FALSE)))+1)/VLOOKUP(B1878,'Poids des runes'!A:B,2,FALSE))</f>
        <v>0.61960784313725481</v>
      </c>
      <c r="F1878">
        <f t="shared" si="29"/>
        <v>0.61960784313725481</v>
      </c>
    </row>
    <row r="1879" spans="1:6" x14ac:dyDescent="0.3">
      <c r="A1879" t="s">
        <v>566</v>
      </c>
      <c r="B1879" t="s">
        <v>2150</v>
      </c>
      <c r="C1879">
        <v>1</v>
      </c>
      <c r="D1879">
        <v>60</v>
      </c>
      <c r="E1879">
        <f>IF(OR(B1879="vi",B1879="ii",B1879="pod"),(((D1879/100)*(C1879*VLOOKUP(B1879,'Poids des runes'!A:B,2,FALSE)))+1),(((D1879/100)*(C1879*VLOOKUP(B1879,'Poids des runes'!A:B,2,FALSE)))+1)/VLOOKUP(B1879,'Poids des runes'!A:B,2,FALSE))</f>
        <v>0.6333333333333333</v>
      </c>
      <c r="F1879">
        <f t="shared" si="29"/>
        <v>0.6333333333333333</v>
      </c>
    </row>
    <row r="1880" spans="1:6" x14ac:dyDescent="0.3">
      <c r="A1880" t="s">
        <v>566</v>
      </c>
      <c r="B1880" t="s">
        <v>2132</v>
      </c>
      <c r="C1880">
        <v>75.5</v>
      </c>
      <c r="D1880">
        <v>60</v>
      </c>
      <c r="E1880">
        <f>IF(OR(B1880="vi",B1880="ii",B1880="pod"),(((D1880/100)*(C1880*VLOOKUP(B1880,'Poids des runes'!A:B,2,FALSE)))+1),(((D1880/100)*(C1880*VLOOKUP(B1880,'Poids des runes'!A:B,2,FALSE)))+1)/VLOOKUP(B1880,'Poids des runes'!A:B,2,FALSE))</f>
        <v>5.53</v>
      </c>
      <c r="F1880">
        <f t="shared" si="29"/>
        <v>5.53</v>
      </c>
    </row>
    <row r="1881" spans="1:6" x14ac:dyDescent="0.3">
      <c r="A1881" t="s">
        <v>567</v>
      </c>
      <c r="B1881" t="s">
        <v>2129</v>
      </c>
      <c r="C1881">
        <v>18</v>
      </c>
      <c r="D1881">
        <v>60</v>
      </c>
      <c r="E1881">
        <f>IF(OR(B1881="vi",B1881="ii",B1881="pod"),(((D1881/100)*(C1881*VLOOKUP(B1881,'Poids des runes'!A:B,2,FALSE)))+1),(((D1881/100)*(C1881*VLOOKUP(B1881,'Poids des runes'!A:B,2,FALSE)))+1)/VLOOKUP(B1881,'Poids des runes'!A:B,2,FALSE))</f>
        <v>11.799999999999999</v>
      </c>
      <c r="F1881">
        <f t="shared" si="29"/>
        <v>11.799999999999999</v>
      </c>
    </row>
    <row r="1882" spans="1:6" x14ac:dyDescent="0.3">
      <c r="A1882" t="s">
        <v>567</v>
      </c>
      <c r="B1882" t="s">
        <v>2155</v>
      </c>
      <c r="C1882">
        <v>1</v>
      </c>
      <c r="D1882">
        <v>60</v>
      </c>
      <c r="E1882">
        <f>IF(OR(B1882="vi",B1882="ii",B1882="pod"),(((D1882/100)*(C1882*VLOOKUP(B1882,'Poids des runes'!A:B,2,FALSE)))+1),(((D1882/100)*(C1882*VLOOKUP(B1882,'Poids des runes'!A:B,2,FALSE)))+1)/VLOOKUP(B1882,'Poids des runes'!A:B,2,FALSE))</f>
        <v>0.61960784313725481</v>
      </c>
      <c r="F1882">
        <f t="shared" si="29"/>
        <v>0.61960784313725481</v>
      </c>
    </row>
    <row r="1883" spans="1:6" x14ac:dyDescent="0.3">
      <c r="A1883" t="s">
        <v>567</v>
      </c>
      <c r="B1883" t="s">
        <v>2158</v>
      </c>
      <c r="C1883">
        <v>5</v>
      </c>
      <c r="D1883">
        <v>60</v>
      </c>
      <c r="E1883">
        <f>IF(OR(B1883="vi",B1883="ii",B1883="pod"),(((D1883/100)*(C1883*VLOOKUP(B1883,'Poids des runes'!A:B,2,FALSE)))+1),(((D1883/100)*(C1883*VLOOKUP(B1883,'Poids des runes'!A:B,2,FALSE)))+1)/VLOOKUP(B1883,'Poids des runes'!A:B,2,FALSE))</f>
        <v>3.2</v>
      </c>
      <c r="F1883">
        <f t="shared" si="29"/>
        <v>3.2</v>
      </c>
    </row>
    <row r="1884" spans="1:6" x14ac:dyDescent="0.3">
      <c r="A1884" t="s">
        <v>567</v>
      </c>
      <c r="B1884" t="s">
        <v>2148</v>
      </c>
      <c r="C1884">
        <v>3.5</v>
      </c>
      <c r="D1884">
        <v>60</v>
      </c>
      <c r="E1884">
        <f>IF(OR(B1884="vi",B1884="ii",B1884="pod"),(((D1884/100)*(C1884*VLOOKUP(B1884,'Poids des runes'!A:B,2,FALSE)))+1),(((D1884/100)*(C1884*VLOOKUP(B1884,'Poids des runes'!A:B,2,FALSE)))+1)/VLOOKUP(B1884,'Poids des runes'!A:B,2,FALSE))</f>
        <v>2.2666666666666666</v>
      </c>
      <c r="F1884">
        <f t="shared" si="29"/>
        <v>2.2666666666666666</v>
      </c>
    </row>
    <row r="1885" spans="1:6" x14ac:dyDescent="0.3">
      <c r="A1885" t="s">
        <v>567</v>
      </c>
      <c r="B1885" t="s">
        <v>2135</v>
      </c>
      <c r="C1885">
        <v>3.5</v>
      </c>
      <c r="D1885">
        <v>60</v>
      </c>
      <c r="E1885">
        <f>IF(OR(B1885="vi",B1885="ii",B1885="pod"),(((D1885/100)*(C1885*VLOOKUP(B1885,'Poids des runes'!A:B,2,FALSE)))+1),(((D1885/100)*(C1885*VLOOKUP(B1885,'Poids des runes'!A:B,2,FALSE)))+1)/VLOOKUP(B1885,'Poids des runes'!A:B,2,FALSE))</f>
        <v>2.2666666666666666</v>
      </c>
      <c r="F1885">
        <f t="shared" si="29"/>
        <v>2.2666666666666666</v>
      </c>
    </row>
    <row r="1886" spans="1:6" x14ac:dyDescent="0.3">
      <c r="A1886" t="s">
        <v>568</v>
      </c>
      <c r="B1886" t="s">
        <v>2154</v>
      </c>
      <c r="C1886">
        <v>1</v>
      </c>
      <c r="D1886">
        <v>60</v>
      </c>
      <c r="E1886">
        <f>IF(OR(B1886="vi",B1886="ii",B1886="pod"),(((D1886/100)*(C1886*VLOOKUP(B1886,'Poids des runes'!A:B,2,FALSE)))+1),(((D1886/100)*(C1886*VLOOKUP(B1886,'Poids des runes'!A:B,2,FALSE)))+1)/VLOOKUP(B1886,'Poids des runes'!A:B,2,FALSE))</f>
        <v>0.61111111111111116</v>
      </c>
      <c r="F1886">
        <f t="shared" si="29"/>
        <v>0.61111111111111116</v>
      </c>
    </row>
    <row r="1887" spans="1:6" x14ac:dyDescent="0.3">
      <c r="A1887" t="s">
        <v>568</v>
      </c>
      <c r="B1887" t="s">
        <v>2161</v>
      </c>
      <c r="C1887">
        <v>8</v>
      </c>
      <c r="D1887">
        <v>60</v>
      </c>
      <c r="E1887">
        <f>IF(OR(B1887="vi",B1887="ii",B1887="pod"),(((D1887/100)*(C1887*VLOOKUP(B1887,'Poids des runes'!A:B,2,FALSE)))+1),(((D1887/100)*(C1887*VLOOKUP(B1887,'Poids des runes'!A:B,2,FALSE)))+1)/VLOOKUP(B1887,'Poids des runes'!A:B,2,FALSE))</f>
        <v>5.1333333333333329</v>
      </c>
      <c r="F1887">
        <f t="shared" si="29"/>
        <v>5.1333333333333329</v>
      </c>
    </row>
    <row r="1888" spans="1:6" x14ac:dyDescent="0.3">
      <c r="A1888" t="s">
        <v>569</v>
      </c>
      <c r="B1888" t="s">
        <v>2128</v>
      </c>
      <c r="C1888">
        <v>50.5</v>
      </c>
      <c r="D1888">
        <v>60</v>
      </c>
      <c r="E1888">
        <f>IF(OR(B1888="vi",B1888="ii",B1888="pod"),(((D1888/100)*(C1888*VLOOKUP(B1888,'Poids des runes'!A:B,2,FALSE)))+1),(((D1888/100)*(C1888*VLOOKUP(B1888,'Poids des runes'!A:B,2,FALSE)))+1)/VLOOKUP(B1888,'Poids des runes'!A:B,2,FALSE))</f>
        <v>7.0600000000000005</v>
      </c>
      <c r="F1888">
        <f t="shared" si="29"/>
        <v>7.0600000000000005</v>
      </c>
    </row>
    <row r="1889" spans="1:6" x14ac:dyDescent="0.3">
      <c r="A1889" t="s">
        <v>569</v>
      </c>
      <c r="B1889" t="s">
        <v>2131</v>
      </c>
      <c r="C1889">
        <v>50.5</v>
      </c>
      <c r="D1889">
        <v>60</v>
      </c>
      <c r="E1889">
        <f>IF(OR(B1889="vi",B1889="ii",B1889="pod"),(((D1889/100)*(C1889*VLOOKUP(B1889,'Poids des runes'!A:B,2,FALSE)))+1),(((D1889/100)*(C1889*VLOOKUP(B1889,'Poids des runes'!A:B,2,FALSE)))+1)/VLOOKUP(B1889,'Poids des runes'!A:B,2,FALSE))</f>
        <v>31.299999999999997</v>
      </c>
      <c r="F1889">
        <f t="shared" si="29"/>
        <v>31.299999999999997</v>
      </c>
    </row>
    <row r="1890" spans="1:6" x14ac:dyDescent="0.3">
      <c r="A1890" t="s">
        <v>569</v>
      </c>
      <c r="B1890" t="s">
        <v>2150</v>
      </c>
      <c r="C1890">
        <v>1</v>
      </c>
      <c r="D1890">
        <v>60</v>
      </c>
      <c r="E1890">
        <f>IF(OR(B1890="vi",B1890="ii",B1890="pod"),(((D1890/100)*(C1890*VLOOKUP(B1890,'Poids des runes'!A:B,2,FALSE)))+1),(((D1890/100)*(C1890*VLOOKUP(B1890,'Poids des runes'!A:B,2,FALSE)))+1)/VLOOKUP(B1890,'Poids des runes'!A:B,2,FALSE))</f>
        <v>0.6333333333333333</v>
      </c>
      <c r="F1890">
        <f t="shared" si="29"/>
        <v>0.6333333333333333</v>
      </c>
    </row>
    <row r="1891" spans="1:6" x14ac:dyDescent="0.3">
      <c r="A1891" t="s">
        <v>569</v>
      </c>
      <c r="B1891" t="s">
        <v>2161</v>
      </c>
      <c r="C1891">
        <v>6</v>
      </c>
      <c r="D1891">
        <v>60</v>
      </c>
      <c r="E1891">
        <f>IF(OR(B1891="vi",B1891="ii",B1891="pod"),(((D1891/100)*(C1891*VLOOKUP(B1891,'Poids des runes'!A:B,2,FALSE)))+1),(((D1891/100)*(C1891*VLOOKUP(B1891,'Poids des runes'!A:B,2,FALSE)))+1)/VLOOKUP(B1891,'Poids des runes'!A:B,2,FALSE))</f>
        <v>3.9333333333333331</v>
      </c>
      <c r="F1891">
        <f t="shared" si="29"/>
        <v>3.9333333333333331</v>
      </c>
    </row>
    <row r="1892" spans="1:6" x14ac:dyDescent="0.3">
      <c r="A1892" t="s">
        <v>570</v>
      </c>
      <c r="B1892" t="s">
        <v>2126</v>
      </c>
      <c r="C1892">
        <v>40.5</v>
      </c>
      <c r="D1892">
        <v>60</v>
      </c>
      <c r="E1892">
        <f>IF(OR(B1892="vi",B1892="ii",B1892="pod"),(((D1892/100)*(C1892*VLOOKUP(B1892,'Poids des runes'!A:B,2,FALSE)))+1),(((D1892/100)*(C1892*VLOOKUP(B1892,'Poids des runes'!A:B,2,FALSE)))+1)/VLOOKUP(B1892,'Poids des runes'!A:B,2,FALSE))</f>
        <v>25.3</v>
      </c>
      <c r="F1892">
        <f t="shared" si="29"/>
        <v>25.3</v>
      </c>
    </row>
    <row r="1893" spans="1:6" x14ac:dyDescent="0.3">
      <c r="A1893" t="s">
        <v>570</v>
      </c>
      <c r="B1893" t="s">
        <v>2140</v>
      </c>
      <c r="C1893">
        <v>7</v>
      </c>
      <c r="D1893">
        <v>60</v>
      </c>
      <c r="E1893">
        <f>IF(OR(B1893="vi",B1893="ii",B1893="pod"),(((D1893/100)*(C1893*VLOOKUP(B1893,'Poids des runes'!A:B,2,FALSE)))+1),(((D1893/100)*(C1893*VLOOKUP(B1893,'Poids des runes'!A:B,2,FALSE)))+1)/VLOOKUP(B1893,'Poids des runes'!A:B,2,FALSE))</f>
        <v>4.4000000000000004</v>
      </c>
      <c r="F1893">
        <f t="shared" si="29"/>
        <v>4.4000000000000004</v>
      </c>
    </row>
    <row r="1894" spans="1:6" x14ac:dyDescent="0.3">
      <c r="A1894" t="s">
        <v>570</v>
      </c>
      <c r="B1894" t="s">
        <v>2132</v>
      </c>
      <c r="C1894">
        <v>90.5</v>
      </c>
      <c r="D1894">
        <v>60</v>
      </c>
      <c r="E1894">
        <f>IF(OR(B1894="vi",B1894="ii",B1894="pod"),(((D1894/100)*(C1894*VLOOKUP(B1894,'Poids des runes'!A:B,2,FALSE)))+1),(((D1894/100)*(C1894*VLOOKUP(B1894,'Poids des runes'!A:B,2,FALSE)))+1)/VLOOKUP(B1894,'Poids des runes'!A:B,2,FALSE))</f>
        <v>6.4300000000000006</v>
      </c>
      <c r="F1894">
        <f t="shared" si="29"/>
        <v>6.4300000000000006</v>
      </c>
    </row>
    <row r="1895" spans="1:6" x14ac:dyDescent="0.3">
      <c r="A1895" t="s">
        <v>570</v>
      </c>
      <c r="B1895" t="s">
        <v>2141</v>
      </c>
      <c r="C1895">
        <v>7</v>
      </c>
      <c r="D1895">
        <v>60</v>
      </c>
      <c r="E1895">
        <f>IF(OR(B1895="vi",B1895="ii",B1895="pod"),(((D1895/100)*(C1895*VLOOKUP(B1895,'Poids des runes'!A:B,2,FALSE)))+1),(((D1895/100)*(C1895*VLOOKUP(B1895,'Poids des runes'!A:B,2,FALSE)))+1)/VLOOKUP(B1895,'Poids des runes'!A:B,2,FALSE))</f>
        <v>4.45</v>
      </c>
      <c r="F1895">
        <f t="shared" si="29"/>
        <v>4.45</v>
      </c>
    </row>
    <row r="1896" spans="1:6" x14ac:dyDescent="0.3">
      <c r="A1896" t="s">
        <v>570</v>
      </c>
      <c r="B1896" t="s">
        <v>2148</v>
      </c>
      <c r="C1896">
        <v>4</v>
      </c>
      <c r="D1896">
        <v>60</v>
      </c>
      <c r="E1896">
        <f>IF(OR(B1896="vi",B1896="ii",B1896="pod"),(((D1896/100)*(C1896*VLOOKUP(B1896,'Poids des runes'!A:B,2,FALSE)))+1),(((D1896/100)*(C1896*VLOOKUP(B1896,'Poids des runes'!A:B,2,FALSE)))+1)/VLOOKUP(B1896,'Poids des runes'!A:B,2,FALSE))</f>
        <v>2.5666666666666664</v>
      </c>
      <c r="F1896">
        <f t="shared" si="29"/>
        <v>2.5666666666666664</v>
      </c>
    </row>
    <row r="1897" spans="1:6" x14ac:dyDescent="0.3">
      <c r="A1897" t="s">
        <v>571</v>
      </c>
      <c r="B1897" t="s">
        <v>2154</v>
      </c>
      <c r="C1897">
        <v>1</v>
      </c>
      <c r="D1897">
        <v>60</v>
      </c>
      <c r="E1897">
        <f>IF(OR(B1897="vi",B1897="ii",B1897="pod"),(((D1897/100)*(C1897*VLOOKUP(B1897,'Poids des runes'!A:B,2,FALSE)))+1),(((D1897/100)*(C1897*VLOOKUP(B1897,'Poids des runes'!A:B,2,FALSE)))+1)/VLOOKUP(B1897,'Poids des runes'!A:B,2,FALSE))</f>
        <v>0.61111111111111116</v>
      </c>
      <c r="F1897">
        <f t="shared" si="29"/>
        <v>0.61111111111111116</v>
      </c>
    </row>
    <row r="1898" spans="1:6" x14ac:dyDescent="0.3">
      <c r="A1898" t="s">
        <v>571</v>
      </c>
      <c r="B1898" t="s">
        <v>2149</v>
      </c>
      <c r="C1898">
        <v>1.5</v>
      </c>
      <c r="D1898">
        <v>60</v>
      </c>
      <c r="E1898">
        <f>IF(OR(B1898="vi",B1898="ii",B1898="pod"),(((D1898/100)*(C1898*VLOOKUP(B1898,'Poids des runes'!A:B,2,FALSE)))+1),(((D1898/100)*(C1898*VLOOKUP(B1898,'Poids des runes'!A:B,2,FALSE)))+1)/VLOOKUP(B1898,'Poids des runes'!A:B,2,FALSE))</f>
        <v>1</v>
      </c>
      <c r="F1898">
        <f t="shared" si="29"/>
        <v>1</v>
      </c>
    </row>
    <row r="1899" spans="1:6" x14ac:dyDescent="0.3">
      <c r="A1899" t="s">
        <v>571</v>
      </c>
      <c r="B1899" t="s">
        <v>2156</v>
      </c>
      <c r="C1899">
        <v>4.5</v>
      </c>
      <c r="D1899">
        <v>60</v>
      </c>
      <c r="E1899">
        <f>IF(OR(B1899="vi",B1899="ii",B1899="pod"),(((D1899/100)*(C1899*VLOOKUP(B1899,'Poids des runes'!A:B,2,FALSE)))+1),(((D1899/100)*(C1899*VLOOKUP(B1899,'Poids des runes'!A:B,2,FALSE)))+1)/VLOOKUP(B1899,'Poids des runes'!A:B,2,FALSE))</f>
        <v>2.8666666666666667</v>
      </c>
      <c r="F1899">
        <f t="shared" si="29"/>
        <v>2.8666666666666667</v>
      </c>
    </row>
    <row r="1900" spans="1:6" x14ac:dyDescent="0.3">
      <c r="A1900" t="s">
        <v>572</v>
      </c>
      <c r="B1900" t="s">
        <v>2152</v>
      </c>
      <c r="C1900">
        <v>1</v>
      </c>
      <c r="D1900">
        <v>60</v>
      </c>
      <c r="E1900">
        <f>IF(OR(B1900="vi",B1900="ii",B1900="pod"),(((D1900/100)*(C1900*VLOOKUP(B1900,'Poids des runes'!A:B,2,FALSE)))+1),(((D1900/100)*(C1900*VLOOKUP(B1900,'Poids des runes'!A:B,2,FALSE)))+1)/VLOOKUP(B1900,'Poids des runes'!A:B,2,FALSE))</f>
        <v>0.61</v>
      </c>
      <c r="F1900">
        <f t="shared" si="29"/>
        <v>0.61</v>
      </c>
    </row>
    <row r="1901" spans="1:6" x14ac:dyDescent="0.3">
      <c r="A1901" t="s">
        <v>573</v>
      </c>
      <c r="B1901" t="s">
        <v>2128</v>
      </c>
      <c r="C1901">
        <v>50.5</v>
      </c>
      <c r="D1901">
        <v>60</v>
      </c>
      <c r="E1901">
        <f>IF(OR(B1901="vi",B1901="ii",B1901="pod"),(((D1901/100)*(C1901*VLOOKUP(B1901,'Poids des runes'!A:B,2,FALSE)))+1),(((D1901/100)*(C1901*VLOOKUP(B1901,'Poids des runes'!A:B,2,FALSE)))+1)/VLOOKUP(B1901,'Poids des runes'!A:B,2,FALSE))</f>
        <v>7.0600000000000005</v>
      </c>
      <c r="F1901">
        <f t="shared" si="29"/>
        <v>7.0600000000000005</v>
      </c>
    </row>
    <row r="1902" spans="1:6" x14ac:dyDescent="0.3">
      <c r="A1902" t="s">
        <v>573</v>
      </c>
      <c r="B1902" t="s">
        <v>2126</v>
      </c>
      <c r="C1902">
        <v>45.5</v>
      </c>
      <c r="D1902">
        <v>60</v>
      </c>
      <c r="E1902">
        <f>IF(OR(B1902="vi",B1902="ii",B1902="pod"),(((D1902/100)*(C1902*VLOOKUP(B1902,'Poids des runes'!A:B,2,FALSE)))+1),(((D1902/100)*(C1902*VLOOKUP(B1902,'Poids des runes'!A:B,2,FALSE)))+1)/VLOOKUP(B1902,'Poids des runes'!A:B,2,FALSE))</f>
        <v>28.3</v>
      </c>
      <c r="F1902">
        <f t="shared" si="29"/>
        <v>28.3</v>
      </c>
    </row>
    <row r="1903" spans="1:6" x14ac:dyDescent="0.3">
      <c r="A1903" t="s">
        <v>573</v>
      </c>
      <c r="B1903" t="s">
        <v>2141</v>
      </c>
      <c r="C1903">
        <v>6</v>
      </c>
      <c r="D1903">
        <v>60</v>
      </c>
      <c r="E1903">
        <f>IF(OR(B1903="vi",B1903="ii",B1903="pod"),(((D1903/100)*(C1903*VLOOKUP(B1903,'Poids des runes'!A:B,2,FALSE)))+1),(((D1903/100)*(C1903*VLOOKUP(B1903,'Poids des runes'!A:B,2,FALSE)))+1)/VLOOKUP(B1903,'Poids des runes'!A:B,2,FALSE))</f>
        <v>3.8499999999999996</v>
      </c>
      <c r="F1903">
        <f t="shared" si="29"/>
        <v>3.8499999999999996</v>
      </c>
    </row>
    <row r="1904" spans="1:6" x14ac:dyDescent="0.3">
      <c r="A1904" t="s">
        <v>574</v>
      </c>
      <c r="B1904" t="s">
        <v>2150</v>
      </c>
      <c r="C1904">
        <v>1</v>
      </c>
      <c r="D1904">
        <v>60</v>
      </c>
      <c r="E1904">
        <f>IF(OR(B1904="vi",B1904="ii",B1904="pod"),(((D1904/100)*(C1904*VLOOKUP(B1904,'Poids des runes'!A:B,2,FALSE)))+1),(((D1904/100)*(C1904*VLOOKUP(B1904,'Poids des runes'!A:B,2,FALSE)))+1)/VLOOKUP(B1904,'Poids des runes'!A:B,2,FALSE))</f>
        <v>0.6333333333333333</v>
      </c>
      <c r="F1904">
        <f t="shared" si="29"/>
        <v>0.6333333333333333</v>
      </c>
    </row>
    <row r="1905" spans="1:6" x14ac:dyDescent="0.3">
      <c r="A1905" t="s">
        <v>574</v>
      </c>
      <c r="B1905" t="s">
        <v>2149</v>
      </c>
      <c r="C1905">
        <v>6</v>
      </c>
      <c r="D1905">
        <v>60</v>
      </c>
      <c r="E1905">
        <f>IF(OR(B1905="vi",B1905="ii",B1905="pod"),(((D1905/100)*(C1905*VLOOKUP(B1905,'Poids des runes'!A:B,2,FALSE)))+1),(((D1905/100)*(C1905*VLOOKUP(B1905,'Poids des runes'!A:B,2,FALSE)))+1)/VLOOKUP(B1905,'Poids des runes'!A:B,2,FALSE))</f>
        <v>3.7</v>
      </c>
      <c r="F1905">
        <f t="shared" si="29"/>
        <v>3.7</v>
      </c>
    </row>
    <row r="1906" spans="1:6" x14ac:dyDescent="0.3">
      <c r="A1906" t="s">
        <v>574</v>
      </c>
      <c r="B1906" t="s">
        <v>2161</v>
      </c>
      <c r="C1906">
        <v>13</v>
      </c>
      <c r="D1906">
        <v>60</v>
      </c>
      <c r="E1906">
        <f>IF(OR(B1906="vi",B1906="ii",B1906="pod"),(((D1906/100)*(C1906*VLOOKUP(B1906,'Poids des runes'!A:B,2,FALSE)))+1),(((D1906/100)*(C1906*VLOOKUP(B1906,'Poids des runes'!A:B,2,FALSE)))+1)/VLOOKUP(B1906,'Poids des runes'!A:B,2,FALSE))</f>
        <v>8.1333333333333329</v>
      </c>
      <c r="F1906">
        <f t="shared" si="29"/>
        <v>8.1333333333333329</v>
      </c>
    </row>
    <row r="1907" spans="1:6" x14ac:dyDescent="0.3">
      <c r="A1907" t="s">
        <v>574</v>
      </c>
      <c r="B1907" t="s">
        <v>2132</v>
      </c>
      <c r="C1907">
        <v>250.5</v>
      </c>
      <c r="D1907">
        <v>60</v>
      </c>
      <c r="E1907">
        <f>IF(OR(B1907="vi",B1907="ii",B1907="pod"),(((D1907/100)*(C1907*VLOOKUP(B1907,'Poids des runes'!A:B,2,FALSE)))+1),(((D1907/100)*(C1907*VLOOKUP(B1907,'Poids des runes'!A:B,2,FALSE)))+1)/VLOOKUP(B1907,'Poids des runes'!A:B,2,FALSE))</f>
        <v>16.03</v>
      </c>
      <c r="F1907">
        <f t="shared" si="29"/>
        <v>16.03</v>
      </c>
    </row>
    <row r="1908" spans="1:6" x14ac:dyDescent="0.3">
      <c r="A1908" t="s">
        <v>575</v>
      </c>
      <c r="B1908" t="s">
        <v>2126</v>
      </c>
      <c r="C1908">
        <v>13</v>
      </c>
      <c r="D1908">
        <v>60</v>
      </c>
      <c r="E1908">
        <f>IF(OR(B1908="vi",B1908="ii",B1908="pod"),(((D1908/100)*(C1908*VLOOKUP(B1908,'Poids des runes'!A:B,2,FALSE)))+1),(((D1908/100)*(C1908*VLOOKUP(B1908,'Poids des runes'!A:B,2,FALSE)))+1)/VLOOKUP(B1908,'Poids des runes'!A:B,2,FALSE))</f>
        <v>8.8000000000000007</v>
      </c>
      <c r="F1908">
        <f t="shared" si="29"/>
        <v>8.8000000000000007</v>
      </c>
    </row>
    <row r="1909" spans="1:6" x14ac:dyDescent="0.3">
      <c r="A1909" t="s">
        <v>575</v>
      </c>
      <c r="B1909" t="s">
        <v>2140</v>
      </c>
      <c r="C1909">
        <v>2.5</v>
      </c>
      <c r="D1909">
        <v>60</v>
      </c>
      <c r="E1909">
        <f>IF(OR(B1909="vi",B1909="ii",B1909="pod"),(((D1909/100)*(C1909*VLOOKUP(B1909,'Poids des runes'!A:B,2,FALSE)))+1),(((D1909/100)*(C1909*VLOOKUP(B1909,'Poids des runes'!A:B,2,FALSE)))+1)/VLOOKUP(B1909,'Poids des runes'!A:B,2,FALSE))</f>
        <v>1.7</v>
      </c>
      <c r="F1909">
        <f t="shared" si="29"/>
        <v>1.7</v>
      </c>
    </row>
    <row r="1910" spans="1:6" x14ac:dyDescent="0.3">
      <c r="A1910" t="s">
        <v>575</v>
      </c>
      <c r="B1910" t="s">
        <v>2148</v>
      </c>
      <c r="C1910">
        <v>2.5</v>
      </c>
      <c r="D1910">
        <v>60</v>
      </c>
      <c r="E1910">
        <f>IF(OR(B1910="vi",B1910="ii",B1910="pod"),(((D1910/100)*(C1910*VLOOKUP(B1910,'Poids des runes'!A:B,2,FALSE)))+1),(((D1910/100)*(C1910*VLOOKUP(B1910,'Poids des runes'!A:B,2,FALSE)))+1)/VLOOKUP(B1910,'Poids des runes'!A:B,2,FALSE))</f>
        <v>1.6666666666666667</v>
      </c>
      <c r="F1910">
        <f t="shared" si="29"/>
        <v>1.6666666666666667</v>
      </c>
    </row>
    <row r="1911" spans="1:6" x14ac:dyDescent="0.3">
      <c r="A1911" t="s">
        <v>575</v>
      </c>
      <c r="B1911" t="s">
        <v>2135</v>
      </c>
      <c r="C1911">
        <v>2.5</v>
      </c>
      <c r="D1911">
        <v>60</v>
      </c>
      <c r="E1911">
        <f>IF(OR(B1911="vi",B1911="ii",B1911="pod"),(((D1911/100)*(C1911*VLOOKUP(B1911,'Poids des runes'!A:B,2,FALSE)))+1),(((D1911/100)*(C1911*VLOOKUP(B1911,'Poids des runes'!A:B,2,FALSE)))+1)/VLOOKUP(B1911,'Poids des runes'!A:B,2,FALSE))</f>
        <v>1.6666666666666667</v>
      </c>
      <c r="F1911">
        <f t="shared" si="29"/>
        <v>1.6666666666666667</v>
      </c>
    </row>
    <row r="1912" spans="1:6" x14ac:dyDescent="0.3">
      <c r="A1912" t="s">
        <v>576</v>
      </c>
      <c r="B1912" t="s">
        <v>2128</v>
      </c>
      <c r="C1912">
        <v>85.5</v>
      </c>
      <c r="D1912">
        <v>60</v>
      </c>
      <c r="E1912">
        <f>IF(OR(B1912="vi",B1912="ii",B1912="pod"),(((D1912/100)*(C1912*VLOOKUP(B1912,'Poids des runes'!A:B,2,FALSE)))+1),(((D1912/100)*(C1912*VLOOKUP(B1912,'Poids des runes'!A:B,2,FALSE)))+1)/VLOOKUP(B1912,'Poids des runes'!A:B,2,FALSE))</f>
        <v>11.26</v>
      </c>
      <c r="F1912">
        <f t="shared" si="29"/>
        <v>11.26</v>
      </c>
    </row>
    <row r="1913" spans="1:6" x14ac:dyDescent="0.3">
      <c r="A1913" t="s">
        <v>576</v>
      </c>
      <c r="B1913" t="s">
        <v>2152</v>
      </c>
      <c r="C1913">
        <v>1</v>
      </c>
      <c r="D1913">
        <v>60</v>
      </c>
      <c r="E1913">
        <f>IF(OR(B1913="vi",B1913="ii",B1913="pod"),(((D1913/100)*(C1913*VLOOKUP(B1913,'Poids des runes'!A:B,2,FALSE)))+1),(((D1913/100)*(C1913*VLOOKUP(B1913,'Poids des runes'!A:B,2,FALSE)))+1)/VLOOKUP(B1913,'Poids des runes'!A:B,2,FALSE))</f>
        <v>0.61</v>
      </c>
      <c r="F1913">
        <f t="shared" si="29"/>
        <v>0.61</v>
      </c>
    </row>
    <row r="1914" spans="1:6" x14ac:dyDescent="0.3">
      <c r="A1914" t="s">
        <v>576</v>
      </c>
      <c r="B1914" t="s">
        <v>2132</v>
      </c>
      <c r="C1914">
        <v>250.5</v>
      </c>
      <c r="D1914">
        <v>60</v>
      </c>
      <c r="E1914">
        <f>IF(OR(B1914="vi",B1914="ii",B1914="pod"),(((D1914/100)*(C1914*VLOOKUP(B1914,'Poids des runes'!A:B,2,FALSE)))+1),(((D1914/100)*(C1914*VLOOKUP(B1914,'Poids des runes'!A:B,2,FALSE)))+1)/VLOOKUP(B1914,'Poids des runes'!A:B,2,FALSE))</f>
        <v>16.03</v>
      </c>
      <c r="F1914">
        <f t="shared" si="29"/>
        <v>16.03</v>
      </c>
    </row>
    <row r="1915" spans="1:6" x14ac:dyDescent="0.3">
      <c r="A1915" t="s">
        <v>576</v>
      </c>
      <c r="B1915" t="s">
        <v>2141</v>
      </c>
      <c r="C1915">
        <v>4.5</v>
      </c>
      <c r="D1915">
        <v>60</v>
      </c>
      <c r="E1915">
        <f>IF(OR(B1915="vi",B1915="ii",B1915="pod"),(((D1915/100)*(C1915*VLOOKUP(B1915,'Poids des runes'!A:B,2,FALSE)))+1),(((D1915/100)*(C1915*VLOOKUP(B1915,'Poids des runes'!A:B,2,FALSE)))+1)/VLOOKUP(B1915,'Poids des runes'!A:B,2,FALSE))</f>
        <v>2.9499999999999997</v>
      </c>
      <c r="F1915">
        <f t="shared" si="29"/>
        <v>2.9499999999999997</v>
      </c>
    </row>
    <row r="1916" spans="1:6" x14ac:dyDescent="0.3">
      <c r="A1916" t="s">
        <v>577</v>
      </c>
      <c r="B1916" t="s">
        <v>2128</v>
      </c>
      <c r="C1916">
        <v>18</v>
      </c>
      <c r="D1916">
        <v>61</v>
      </c>
      <c r="E1916">
        <f>IF(OR(B1916="vi",B1916="ii",B1916="pod"),(((D1916/100)*(C1916*VLOOKUP(B1916,'Poids des runes'!A:B,2,FALSE)))+1),(((D1916/100)*(C1916*VLOOKUP(B1916,'Poids des runes'!A:B,2,FALSE)))+1)/VLOOKUP(B1916,'Poids des runes'!A:B,2,FALSE))</f>
        <v>3.1960000000000002</v>
      </c>
      <c r="F1916">
        <f t="shared" si="29"/>
        <v>3.1960000000000002</v>
      </c>
    </row>
    <row r="1917" spans="1:6" x14ac:dyDescent="0.3">
      <c r="A1917" t="s">
        <v>577</v>
      </c>
      <c r="B1917" t="s">
        <v>2126</v>
      </c>
      <c r="C1917">
        <v>18</v>
      </c>
      <c r="D1917">
        <v>61</v>
      </c>
      <c r="E1917">
        <f>IF(OR(B1917="vi",B1917="ii",B1917="pod"),(((D1917/100)*(C1917*VLOOKUP(B1917,'Poids des runes'!A:B,2,FALSE)))+1),(((D1917/100)*(C1917*VLOOKUP(B1917,'Poids des runes'!A:B,2,FALSE)))+1)/VLOOKUP(B1917,'Poids des runes'!A:B,2,FALSE))</f>
        <v>11.98</v>
      </c>
      <c r="F1917">
        <f t="shared" si="29"/>
        <v>11.98</v>
      </c>
    </row>
    <row r="1918" spans="1:6" x14ac:dyDescent="0.3">
      <c r="A1918" t="s">
        <v>577</v>
      </c>
      <c r="B1918" t="s">
        <v>2129</v>
      </c>
      <c r="C1918">
        <v>13</v>
      </c>
      <c r="D1918">
        <v>61</v>
      </c>
      <c r="E1918">
        <f>IF(OR(B1918="vi",B1918="ii",B1918="pod"),(((D1918/100)*(C1918*VLOOKUP(B1918,'Poids des runes'!A:B,2,FALSE)))+1),(((D1918/100)*(C1918*VLOOKUP(B1918,'Poids des runes'!A:B,2,FALSE)))+1)/VLOOKUP(B1918,'Poids des runes'!A:B,2,FALSE))</f>
        <v>8.93</v>
      </c>
      <c r="F1918">
        <f t="shared" si="29"/>
        <v>8.93</v>
      </c>
    </row>
    <row r="1919" spans="1:6" x14ac:dyDescent="0.3">
      <c r="A1919" t="s">
        <v>577</v>
      </c>
      <c r="B1919" t="s">
        <v>2152</v>
      </c>
      <c r="C1919">
        <v>1</v>
      </c>
      <c r="D1919">
        <v>61</v>
      </c>
      <c r="E1919">
        <f>IF(OR(B1919="vi",B1919="ii",B1919="pod"),(((D1919/100)*(C1919*VLOOKUP(B1919,'Poids des runes'!A:B,2,FALSE)))+1),(((D1919/100)*(C1919*VLOOKUP(B1919,'Poids des runes'!A:B,2,FALSE)))+1)/VLOOKUP(B1919,'Poids des runes'!A:B,2,FALSE))</f>
        <v>0.62</v>
      </c>
      <c r="F1919">
        <f t="shared" si="29"/>
        <v>0.62</v>
      </c>
    </row>
    <row r="1920" spans="1:6" x14ac:dyDescent="0.3">
      <c r="A1920" t="s">
        <v>578</v>
      </c>
      <c r="B1920" t="s">
        <v>2128</v>
      </c>
      <c r="C1920">
        <v>80.5</v>
      </c>
      <c r="D1920">
        <v>61</v>
      </c>
      <c r="E1920">
        <f>IF(OR(B1920="vi",B1920="ii",B1920="pod"),(((D1920/100)*(C1920*VLOOKUP(B1920,'Poids des runes'!A:B,2,FALSE)))+1),(((D1920/100)*(C1920*VLOOKUP(B1920,'Poids des runes'!A:B,2,FALSE)))+1)/VLOOKUP(B1920,'Poids des runes'!A:B,2,FALSE))</f>
        <v>10.821000000000002</v>
      </c>
      <c r="F1920">
        <f t="shared" si="29"/>
        <v>10.821000000000002</v>
      </c>
    </row>
    <row r="1921" spans="1:6" x14ac:dyDescent="0.3">
      <c r="A1921" t="s">
        <v>578</v>
      </c>
      <c r="B1921" t="s">
        <v>2139</v>
      </c>
      <c r="C1921">
        <v>23</v>
      </c>
      <c r="D1921">
        <v>61</v>
      </c>
      <c r="E1921">
        <f>IF(OR(B1921="vi",B1921="ii",B1921="pod"),(((D1921/100)*(C1921*VLOOKUP(B1921,'Poids des runes'!A:B,2,FALSE)))+1),(((D1921/100)*(C1921*VLOOKUP(B1921,'Poids des runes'!A:B,2,FALSE)))+1)/VLOOKUP(B1921,'Poids des runes'!A:B,2,FALSE))</f>
        <v>14.53</v>
      </c>
      <c r="F1921">
        <f t="shared" si="29"/>
        <v>14.53</v>
      </c>
    </row>
    <row r="1922" spans="1:6" x14ac:dyDescent="0.3">
      <c r="A1922" t="s">
        <v>578</v>
      </c>
      <c r="B1922" t="s">
        <v>2156</v>
      </c>
      <c r="C1922">
        <v>4.5</v>
      </c>
      <c r="D1922">
        <v>61</v>
      </c>
      <c r="E1922">
        <f>IF(OR(B1922="vi",B1922="ii",B1922="pod"),(((D1922/100)*(C1922*VLOOKUP(B1922,'Poids des runes'!A:B,2,FALSE)))+1),(((D1922/100)*(C1922*VLOOKUP(B1922,'Poids des runes'!A:B,2,FALSE)))+1)/VLOOKUP(B1922,'Poids des runes'!A:B,2,FALSE))</f>
        <v>2.9116666666666666</v>
      </c>
      <c r="F1922">
        <f t="shared" si="29"/>
        <v>2.9116666666666666</v>
      </c>
    </row>
    <row r="1923" spans="1:6" x14ac:dyDescent="0.3">
      <c r="A1923" t="s">
        <v>578</v>
      </c>
      <c r="B1923" t="s">
        <v>2135</v>
      </c>
      <c r="C1923">
        <v>4.5</v>
      </c>
      <c r="D1923">
        <v>61</v>
      </c>
      <c r="E1923">
        <f>IF(OR(B1923="vi",B1923="ii",B1923="pod"),(((D1923/100)*(C1923*VLOOKUP(B1923,'Poids des runes'!A:B,2,FALSE)))+1),(((D1923/100)*(C1923*VLOOKUP(B1923,'Poids des runes'!A:B,2,FALSE)))+1)/VLOOKUP(B1923,'Poids des runes'!A:B,2,FALSE))</f>
        <v>2.9116666666666666</v>
      </c>
      <c r="F1923">
        <f t="shared" ref="F1923:F1986" si="30">E1923</f>
        <v>2.9116666666666666</v>
      </c>
    </row>
    <row r="1924" spans="1:6" x14ac:dyDescent="0.3">
      <c r="A1924" t="s">
        <v>579</v>
      </c>
      <c r="B1924" t="s">
        <v>2128</v>
      </c>
      <c r="C1924">
        <v>50.5</v>
      </c>
      <c r="D1924">
        <v>61</v>
      </c>
      <c r="E1924">
        <f>IF(OR(B1924="vi",B1924="ii",B1924="pod"),(((D1924/100)*(C1924*VLOOKUP(B1924,'Poids des runes'!A:B,2,FALSE)))+1),(((D1924/100)*(C1924*VLOOKUP(B1924,'Poids des runes'!A:B,2,FALSE)))+1)/VLOOKUP(B1924,'Poids des runes'!A:B,2,FALSE))</f>
        <v>7.1610000000000005</v>
      </c>
      <c r="F1924">
        <f t="shared" si="30"/>
        <v>7.1610000000000005</v>
      </c>
    </row>
    <row r="1925" spans="1:6" x14ac:dyDescent="0.3">
      <c r="A1925" t="s">
        <v>579</v>
      </c>
      <c r="B1925" t="s">
        <v>2131</v>
      </c>
      <c r="C1925">
        <v>25.5</v>
      </c>
      <c r="D1925">
        <v>61</v>
      </c>
      <c r="E1925">
        <f>IF(OR(B1925="vi",B1925="ii",B1925="pod"),(((D1925/100)*(C1925*VLOOKUP(B1925,'Poids des runes'!A:B,2,FALSE)))+1),(((D1925/100)*(C1925*VLOOKUP(B1925,'Poids des runes'!A:B,2,FALSE)))+1)/VLOOKUP(B1925,'Poids des runes'!A:B,2,FALSE))</f>
        <v>16.555</v>
      </c>
      <c r="F1925">
        <f t="shared" si="30"/>
        <v>16.555</v>
      </c>
    </row>
    <row r="1926" spans="1:6" x14ac:dyDescent="0.3">
      <c r="A1926" t="s">
        <v>579</v>
      </c>
      <c r="B1926" t="s">
        <v>2127</v>
      </c>
      <c r="C1926">
        <v>35.5</v>
      </c>
      <c r="D1926">
        <v>61</v>
      </c>
      <c r="E1926">
        <f>IF(OR(B1926="vi",B1926="ii",B1926="pod"),(((D1926/100)*(C1926*VLOOKUP(B1926,'Poids des runes'!A:B,2,FALSE)))+1),(((D1926/100)*(C1926*VLOOKUP(B1926,'Poids des runes'!A:B,2,FALSE)))+1)/VLOOKUP(B1926,'Poids des runes'!A:B,2,FALSE))</f>
        <v>22.655000000000001</v>
      </c>
      <c r="F1926">
        <f t="shared" si="30"/>
        <v>22.655000000000001</v>
      </c>
    </row>
    <row r="1927" spans="1:6" x14ac:dyDescent="0.3">
      <c r="A1927" t="s">
        <v>579</v>
      </c>
      <c r="B1927" t="s">
        <v>2155</v>
      </c>
      <c r="C1927">
        <v>1</v>
      </c>
      <c r="D1927">
        <v>61</v>
      </c>
      <c r="E1927">
        <f>IF(OR(B1927="vi",B1927="ii",B1927="pod"),(((D1927/100)*(C1927*VLOOKUP(B1927,'Poids des runes'!A:B,2,FALSE)))+1),(((D1927/100)*(C1927*VLOOKUP(B1927,'Poids des runes'!A:B,2,FALSE)))+1)/VLOOKUP(B1927,'Poids des runes'!A:B,2,FALSE))</f>
        <v>0.62960784313725493</v>
      </c>
      <c r="F1927">
        <f t="shared" si="30"/>
        <v>0.62960784313725493</v>
      </c>
    </row>
    <row r="1928" spans="1:6" x14ac:dyDescent="0.3">
      <c r="A1928" t="s">
        <v>579</v>
      </c>
      <c r="B1928" t="s">
        <v>2149</v>
      </c>
      <c r="C1928">
        <v>2.5</v>
      </c>
      <c r="D1928">
        <v>61</v>
      </c>
      <c r="E1928">
        <f>IF(OR(B1928="vi",B1928="ii",B1928="pod"),(((D1928/100)*(C1928*VLOOKUP(B1928,'Poids des runes'!A:B,2,FALSE)))+1),(((D1928/100)*(C1928*VLOOKUP(B1928,'Poids des runes'!A:B,2,FALSE)))+1)/VLOOKUP(B1928,'Poids des runes'!A:B,2,FALSE))</f>
        <v>1.625</v>
      </c>
      <c r="F1928">
        <f t="shared" si="30"/>
        <v>1.625</v>
      </c>
    </row>
    <row r="1929" spans="1:6" x14ac:dyDescent="0.3">
      <c r="A1929" t="s">
        <v>580</v>
      </c>
      <c r="B1929" t="s">
        <v>2128</v>
      </c>
      <c r="C1929">
        <v>45.5</v>
      </c>
      <c r="D1929">
        <v>61</v>
      </c>
      <c r="E1929">
        <f>IF(OR(B1929="vi",B1929="ii",B1929="pod"),(((D1929/100)*(C1929*VLOOKUP(B1929,'Poids des runes'!A:B,2,FALSE)))+1),(((D1929/100)*(C1929*VLOOKUP(B1929,'Poids des runes'!A:B,2,FALSE)))+1)/VLOOKUP(B1929,'Poids des runes'!A:B,2,FALSE))</f>
        <v>6.5509999999999993</v>
      </c>
      <c r="F1929">
        <f t="shared" si="30"/>
        <v>6.5509999999999993</v>
      </c>
    </row>
    <row r="1930" spans="1:6" x14ac:dyDescent="0.3">
      <c r="A1930" t="s">
        <v>580</v>
      </c>
      <c r="B1930" t="s">
        <v>2139</v>
      </c>
      <c r="C1930">
        <v>25.5</v>
      </c>
      <c r="D1930">
        <v>61</v>
      </c>
      <c r="E1930">
        <f>IF(OR(B1930="vi",B1930="ii",B1930="pod"),(((D1930/100)*(C1930*VLOOKUP(B1930,'Poids des runes'!A:B,2,FALSE)))+1),(((D1930/100)*(C1930*VLOOKUP(B1930,'Poids des runes'!A:B,2,FALSE)))+1)/VLOOKUP(B1930,'Poids des runes'!A:B,2,FALSE))</f>
        <v>16.055</v>
      </c>
      <c r="F1930">
        <f t="shared" si="30"/>
        <v>16.055</v>
      </c>
    </row>
    <row r="1931" spans="1:6" x14ac:dyDescent="0.3">
      <c r="A1931" t="s">
        <v>580</v>
      </c>
      <c r="B1931" t="s">
        <v>2155</v>
      </c>
      <c r="C1931">
        <v>1</v>
      </c>
      <c r="D1931">
        <v>61</v>
      </c>
      <c r="E1931">
        <f>IF(OR(B1931="vi",B1931="ii",B1931="pod"),(((D1931/100)*(C1931*VLOOKUP(B1931,'Poids des runes'!A:B,2,FALSE)))+1),(((D1931/100)*(C1931*VLOOKUP(B1931,'Poids des runes'!A:B,2,FALSE)))+1)/VLOOKUP(B1931,'Poids des runes'!A:B,2,FALSE))</f>
        <v>0.62960784313725493</v>
      </c>
      <c r="F1931">
        <f t="shared" si="30"/>
        <v>0.62960784313725493</v>
      </c>
    </row>
    <row r="1932" spans="1:6" x14ac:dyDescent="0.3">
      <c r="A1932" t="s">
        <v>580</v>
      </c>
      <c r="B1932" t="s">
        <v>2132</v>
      </c>
      <c r="C1932">
        <v>225.5</v>
      </c>
      <c r="D1932">
        <v>61</v>
      </c>
      <c r="E1932">
        <f>IF(OR(B1932="vi",B1932="ii",B1932="pod"),(((D1932/100)*(C1932*VLOOKUP(B1932,'Poids des runes'!A:B,2,FALSE)))+1),(((D1932/100)*(C1932*VLOOKUP(B1932,'Poids des runes'!A:B,2,FALSE)))+1)/VLOOKUP(B1932,'Poids des runes'!A:B,2,FALSE))</f>
        <v>14.7555</v>
      </c>
      <c r="F1932">
        <f t="shared" si="30"/>
        <v>14.7555</v>
      </c>
    </row>
    <row r="1933" spans="1:6" x14ac:dyDescent="0.3">
      <c r="A1933" t="s">
        <v>581</v>
      </c>
      <c r="B1933" t="s">
        <v>2128</v>
      </c>
      <c r="C1933">
        <v>35.5</v>
      </c>
      <c r="D1933">
        <v>61</v>
      </c>
      <c r="E1933">
        <f>IF(OR(B1933="vi",B1933="ii",B1933="pod"),(((D1933/100)*(C1933*VLOOKUP(B1933,'Poids des runes'!A:B,2,FALSE)))+1),(((D1933/100)*(C1933*VLOOKUP(B1933,'Poids des runes'!A:B,2,FALSE)))+1)/VLOOKUP(B1933,'Poids des runes'!A:B,2,FALSE))</f>
        <v>5.3310000000000004</v>
      </c>
      <c r="F1933">
        <f t="shared" si="30"/>
        <v>5.3310000000000004</v>
      </c>
    </row>
    <row r="1934" spans="1:6" x14ac:dyDescent="0.3">
      <c r="A1934" t="s">
        <v>581</v>
      </c>
      <c r="B1934" t="s">
        <v>2127</v>
      </c>
      <c r="C1934">
        <v>35.5</v>
      </c>
      <c r="D1934">
        <v>61</v>
      </c>
      <c r="E1934">
        <f>IF(OR(B1934="vi",B1934="ii",B1934="pod"),(((D1934/100)*(C1934*VLOOKUP(B1934,'Poids des runes'!A:B,2,FALSE)))+1),(((D1934/100)*(C1934*VLOOKUP(B1934,'Poids des runes'!A:B,2,FALSE)))+1)/VLOOKUP(B1934,'Poids des runes'!A:B,2,FALSE))</f>
        <v>22.655000000000001</v>
      </c>
      <c r="F1934">
        <f t="shared" si="30"/>
        <v>22.655000000000001</v>
      </c>
    </row>
    <row r="1935" spans="1:6" x14ac:dyDescent="0.3">
      <c r="A1935" t="s">
        <v>581</v>
      </c>
      <c r="B1935" t="s">
        <v>2129</v>
      </c>
      <c r="C1935">
        <v>18</v>
      </c>
      <c r="D1935">
        <v>61</v>
      </c>
      <c r="E1935">
        <f>IF(OR(B1935="vi",B1935="ii",B1935="pod"),(((D1935/100)*(C1935*VLOOKUP(B1935,'Poids des runes'!A:B,2,FALSE)))+1),(((D1935/100)*(C1935*VLOOKUP(B1935,'Poids des runes'!A:B,2,FALSE)))+1)/VLOOKUP(B1935,'Poids des runes'!A:B,2,FALSE))</f>
        <v>11.98</v>
      </c>
      <c r="F1935">
        <f t="shared" si="30"/>
        <v>11.98</v>
      </c>
    </row>
    <row r="1936" spans="1:6" x14ac:dyDescent="0.3">
      <c r="A1936" t="s">
        <v>581</v>
      </c>
      <c r="B1936" t="s">
        <v>2150</v>
      </c>
      <c r="C1936">
        <v>1</v>
      </c>
      <c r="D1936">
        <v>61</v>
      </c>
      <c r="E1936">
        <f>IF(OR(B1936="vi",B1936="ii",B1936="pod"),(((D1936/100)*(C1936*VLOOKUP(B1936,'Poids des runes'!A:B,2,FALSE)))+1),(((D1936/100)*(C1936*VLOOKUP(B1936,'Poids des runes'!A:B,2,FALSE)))+1)/VLOOKUP(B1936,'Poids des runes'!A:B,2,FALSE))</f>
        <v>0.64333333333333331</v>
      </c>
      <c r="F1936">
        <f t="shared" si="30"/>
        <v>0.64333333333333331</v>
      </c>
    </row>
    <row r="1937" spans="1:6" x14ac:dyDescent="0.3">
      <c r="A1937" t="s">
        <v>581</v>
      </c>
      <c r="B1937" t="s">
        <v>2153</v>
      </c>
      <c r="C1937">
        <v>2.5</v>
      </c>
      <c r="D1937">
        <v>61</v>
      </c>
      <c r="E1937">
        <f>IF(OR(B1937="vi",B1937="ii",B1937="pod"),(((D1937/100)*(C1937*VLOOKUP(B1937,'Poids des runes'!A:B,2,FALSE)))+1),(((D1937/100)*(C1937*VLOOKUP(B1937,'Poids des runes'!A:B,2,FALSE)))+1)/VLOOKUP(B1937,'Poids des runes'!A:B,2,FALSE))</f>
        <v>1.7250000000000001</v>
      </c>
      <c r="F1937">
        <f t="shared" si="30"/>
        <v>1.7250000000000001</v>
      </c>
    </row>
    <row r="1938" spans="1:6" x14ac:dyDescent="0.3">
      <c r="A1938" t="s">
        <v>581</v>
      </c>
      <c r="B1938" t="s">
        <v>2161</v>
      </c>
      <c r="C1938">
        <v>8.5</v>
      </c>
      <c r="D1938">
        <v>61</v>
      </c>
      <c r="E1938">
        <f>IF(OR(B1938="vi",B1938="ii",B1938="pod"),(((D1938/100)*(C1938*VLOOKUP(B1938,'Poids des runes'!A:B,2,FALSE)))+1),(((D1938/100)*(C1938*VLOOKUP(B1938,'Poids des runes'!A:B,2,FALSE)))+1)/VLOOKUP(B1938,'Poids des runes'!A:B,2,FALSE))</f>
        <v>5.5183333333333335</v>
      </c>
      <c r="F1938">
        <f t="shared" si="30"/>
        <v>5.5183333333333335</v>
      </c>
    </row>
    <row r="1939" spans="1:6" x14ac:dyDescent="0.3">
      <c r="A1939" t="s">
        <v>582</v>
      </c>
      <c r="B1939" t="s">
        <v>2128</v>
      </c>
      <c r="C1939">
        <v>125.5</v>
      </c>
      <c r="D1939">
        <v>61</v>
      </c>
      <c r="E1939">
        <f>IF(OR(B1939="vi",B1939="ii",B1939="pod"),(((D1939/100)*(C1939*VLOOKUP(B1939,'Poids des runes'!A:B,2,FALSE)))+1),(((D1939/100)*(C1939*VLOOKUP(B1939,'Poids des runes'!A:B,2,FALSE)))+1)/VLOOKUP(B1939,'Poids des runes'!A:B,2,FALSE))</f>
        <v>16.311</v>
      </c>
      <c r="F1939">
        <f t="shared" si="30"/>
        <v>16.311</v>
      </c>
    </row>
    <row r="1940" spans="1:6" x14ac:dyDescent="0.3">
      <c r="A1940" t="s">
        <v>582</v>
      </c>
      <c r="B1940" t="s">
        <v>2139</v>
      </c>
      <c r="C1940">
        <v>18</v>
      </c>
      <c r="D1940">
        <v>61</v>
      </c>
      <c r="E1940">
        <f>IF(OR(B1940="vi",B1940="ii",B1940="pod"),(((D1940/100)*(C1940*VLOOKUP(B1940,'Poids des runes'!A:B,2,FALSE)))+1),(((D1940/100)*(C1940*VLOOKUP(B1940,'Poids des runes'!A:B,2,FALSE)))+1)/VLOOKUP(B1940,'Poids des runes'!A:B,2,FALSE))</f>
        <v>11.48</v>
      </c>
      <c r="F1940">
        <f t="shared" si="30"/>
        <v>11.48</v>
      </c>
    </row>
    <row r="1941" spans="1:6" x14ac:dyDescent="0.3">
      <c r="A1941" t="s">
        <v>582</v>
      </c>
      <c r="B1941" t="s">
        <v>2156</v>
      </c>
      <c r="C1941">
        <v>3.5</v>
      </c>
      <c r="D1941">
        <v>61</v>
      </c>
      <c r="E1941">
        <f>IF(OR(B1941="vi",B1941="ii",B1941="pod"),(((D1941/100)*(C1941*VLOOKUP(B1941,'Poids des runes'!A:B,2,FALSE)))+1),(((D1941/100)*(C1941*VLOOKUP(B1941,'Poids des runes'!A:B,2,FALSE)))+1)/VLOOKUP(B1941,'Poids des runes'!A:B,2,FALSE))</f>
        <v>2.3016666666666667</v>
      </c>
      <c r="F1941">
        <f t="shared" si="30"/>
        <v>2.3016666666666667</v>
      </c>
    </row>
    <row r="1942" spans="1:6" x14ac:dyDescent="0.3">
      <c r="A1942" t="s">
        <v>582</v>
      </c>
      <c r="B1942" t="s">
        <v>2135</v>
      </c>
      <c r="C1942">
        <v>3.5</v>
      </c>
      <c r="D1942">
        <v>61</v>
      </c>
      <c r="E1942">
        <f>IF(OR(B1942="vi",B1942="ii",B1942="pod"),(((D1942/100)*(C1942*VLOOKUP(B1942,'Poids des runes'!A:B,2,FALSE)))+1),(((D1942/100)*(C1942*VLOOKUP(B1942,'Poids des runes'!A:B,2,FALSE)))+1)/VLOOKUP(B1942,'Poids des runes'!A:B,2,FALSE))</f>
        <v>2.3016666666666667</v>
      </c>
      <c r="F1942">
        <f t="shared" si="30"/>
        <v>2.3016666666666667</v>
      </c>
    </row>
    <row r="1943" spans="1:6" x14ac:dyDescent="0.3">
      <c r="A1943" t="s">
        <v>583</v>
      </c>
      <c r="B1943" t="s">
        <v>2128</v>
      </c>
      <c r="C1943">
        <v>90.5</v>
      </c>
      <c r="D1943">
        <v>61</v>
      </c>
      <c r="E1943">
        <f>IF(OR(B1943="vi",B1943="ii",B1943="pod"),(((D1943/100)*(C1943*VLOOKUP(B1943,'Poids des runes'!A:B,2,FALSE)))+1),(((D1943/100)*(C1943*VLOOKUP(B1943,'Poids des runes'!A:B,2,FALSE)))+1)/VLOOKUP(B1943,'Poids des runes'!A:B,2,FALSE))</f>
        <v>12.041</v>
      </c>
      <c r="F1943">
        <f t="shared" si="30"/>
        <v>12.041</v>
      </c>
    </row>
    <row r="1944" spans="1:6" x14ac:dyDescent="0.3">
      <c r="A1944" t="s">
        <v>583</v>
      </c>
      <c r="B1944" t="s">
        <v>2127</v>
      </c>
      <c r="C1944">
        <v>35.5</v>
      </c>
      <c r="D1944">
        <v>61</v>
      </c>
      <c r="E1944">
        <f>IF(OR(B1944="vi",B1944="ii",B1944="pod"),(((D1944/100)*(C1944*VLOOKUP(B1944,'Poids des runes'!A:B,2,FALSE)))+1),(((D1944/100)*(C1944*VLOOKUP(B1944,'Poids des runes'!A:B,2,FALSE)))+1)/VLOOKUP(B1944,'Poids des runes'!A:B,2,FALSE))</f>
        <v>22.655000000000001</v>
      </c>
      <c r="F1944">
        <f t="shared" si="30"/>
        <v>22.655000000000001</v>
      </c>
    </row>
    <row r="1945" spans="1:6" x14ac:dyDescent="0.3">
      <c r="A1945" t="s">
        <v>583</v>
      </c>
      <c r="B1945" t="s">
        <v>2147</v>
      </c>
      <c r="C1945">
        <v>2.5</v>
      </c>
      <c r="D1945">
        <v>61</v>
      </c>
      <c r="E1945">
        <f>IF(OR(B1945="vi",B1945="ii",B1945="pod"),(((D1945/100)*(C1945*VLOOKUP(B1945,'Poids des runes'!A:B,2,FALSE)))+1),(((D1945/100)*(C1945*VLOOKUP(B1945,'Poids des runes'!A:B,2,FALSE)))+1)/VLOOKUP(B1945,'Poids des runes'!A:B,2,FALSE))</f>
        <v>1.6916666666666667</v>
      </c>
      <c r="F1945">
        <f t="shared" si="30"/>
        <v>1.6916666666666667</v>
      </c>
    </row>
    <row r="1946" spans="1:6" x14ac:dyDescent="0.3">
      <c r="A1946" t="s">
        <v>583</v>
      </c>
      <c r="B1946" t="s">
        <v>2135</v>
      </c>
      <c r="C1946">
        <v>2.5</v>
      </c>
      <c r="D1946">
        <v>61</v>
      </c>
      <c r="E1946">
        <f>IF(OR(B1946="vi",B1946="ii",B1946="pod"),(((D1946/100)*(C1946*VLOOKUP(B1946,'Poids des runes'!A:B,2,FALSE)))+1),(((D1946/100)*(C1946*VLOOKUP(B1946,'Poids des runes'!A:B,2,FALSE)))+1)/VLOOKUP(B1946,'Poids des runes'!A:B,2,FALSE))</f>
        <v>1.6916666666666667</v>
      </c>
      <c r="F1946">
        <f t="shared" si="30"/>
        <v>1.6916666666666667</v>
      </c>
    </row>
    <row r="1947" spans="1:6" x14ac:dyDescent="0.3">
      <c r="A1947" t="s">
        <v>584</v>
      </c>
      <c r="B1947" t="s">
        <v>2128</v>
      </c>
      <c r="C1947">
        <v>35.5</v>
      </c>
      <c r="D1947">
        <v>61</v>
      </c>
      <c r="E1947">
        <f>IF(OR(B1947="vi",B1947="ii",B1947="pod"),(((D1947/100)*(C1947*VLOOKUP(B1947,'Poids des runes'!A:B,2,FALSE)))+1),(((D1947/100)*(C1947*VLOOKUP(B1947,'Poids des runes'!A:B,2,FALSE)))+1)/VLOOKUP(B1947,'Poids des runes'!A:B,2,FALSE))</f>
        <v>5.3310000000000004</v>
      </c>
      <c r="F1947">
        <f t="shared" si="30"/>
        <v>5.3310000000000004</v>
      </c>
    </row>
    <row r="1948" spans="1:6" x14ac:dyDescent="0.3">
      <c r="A1948" t="s">
        <v>584</v>
      </c>
      <c r="B1948" t="s">
        <v>2130</v>
      </c>
      <c r="C1948">
        <v>20.5</v>
      </c>
      <c r="D1948">
        <v>61</v>
      </c>
      <c r="E1948">
        <f>IF(OR(B1948="vi",B1948="ii",B1948="pod"),(((D1948/100)*(C1948*VLOOKUP(B1948,'Poids des runes'!A:B,2,FALSE)))+1),(((D1948/100)*(C1948*VLOOKUP(B1948,'Poids des runes'!A:B,2,FALSE)))+1)/VLOOKUP(B1948,'Poids des runes'!A:B,2,FALSE))</f>
        <v>13.504999999999999</v>
      </c>
      <c r="F1948">
        <f t="shared" si="30"/>
        <v>13.504999999999999</v>
      </c>
    </row>
    <row r="1949" spans="1:6" x14ac:dyDescent="0.3">
      <c r="A1949" t="s">
        <v>584</v>
      </c>
      <c r="B1949" t="s">
        <v>2131</v>
      </c>
      <c r="C1949">
        <v>20.5</v>
      </c>
      <c r="D1949">
        <v>61</v>
      </c>
      <c r="E1949">
        <f>IF(OR(B1949="vi",B1949="ii",B1949="pod"),(((D1949/100)*(C1949*VLOOKUP(B1949,'Poids des runes'!A:B,2,FALSE)))+1),(((D1949/100)*(C1949*VLOOKUP(B1949,'Poids des runes'!A:B,2,FALSE)))+1)/VLOOKUP(B1949,'Poids des runes'!A:B,2,FALSE))</f>
        <v>13.504999999999999</v>
      </c>
      <c r="F1949">
        <f t="shared" si="30"/>
        <v>13.504999999999999</v>
      </c>
    </row>
    <row r="1950" spans="1:6" x14ac:dyDescent="0.3">
      <c r="A1950" t="s">
        <v>584</v>
      </c>
      <c r="B1950" t="s">
        <v>2129</v>
      </c>
      <c r="C1950">
        <v>13</v>
      </c>
      <c r="D1950">
        <v>61</v>
      </c>
      <c r="E1950">
        <f>IF(OR(B1950="vi",B1950="ii",B1950="pod"),(((D1950/100)*(C1950*VLOOKUP(B1950,'Poids des runes'!A:B,2,FALSE)))+1),(((D1950/100)*(C1950*VLOOKUP(B1950,'Poids des runes'!A:B,2,FALSE)))+1)/VLOOKUP(B1950,'Poids des runes'!A:B,2,FALSE))</f>
        <v>8.93</v>
      </c>
      <c r="F1950">
        <f t="shared" si="30"/>
        <v>8.93</v>
      </c>
    </row>
    <row r="1951" spans="1:6" x14ac:dyDescent="0.3">
      <c r="A1951" t="s">
        <v>584</v>
      </c>
      <c r="B1951" t="s">
        <v>2150</v>
      </c>
      <c r="C1951">
        <v>1</v>
      </c>
      <c r="D1951">
        <v>61</v>
      </c>
      <c r="E1951">
        <f>IF(OR(B1951="vi",B1951="ii",B1951="pod"),(((D1951/100)*(C1951*VLOOKUP(B1951,'Poids des runes'!A:B,2,FALSE)))+1),(((D1951/100)*(C1951*VLOOKUP(B1951,'Poids des runes'!A:B,2,FALSE)))+1)/VLOOKUP(B1951,'Poids des runes'!A:B,2,FALSE))</f>
        <v>0.64333333333333331</v>
      </c>
      <c r="F1951">
        <f t="shared" si="30"/>
        <v>0.64333333333333331</v>
      </c>
    </row>
    <row r="1952" spans="1:6" x14ac:dyDescent="0.3">
      <c r="A1952" t="s">
        <v>584</v>
      </c>
      <c r="B1952" t="s">
        <v>2143</v>
      </c>
      <c r="C1952">
        <v>3.5</v>
      </c>
      <c r="D1952">
        <v>61</v>
      </c>
      <c r="E1952">
        <f>IF(OR(B1952="vi",B1952="ii",B1952="pod"),(((D1952/100)*(C1952*VLOOKUP(B1952,'Poids des runes'!A:B,2,FALSE)))+1),(((D1952/100)*(C1952*VLOOKUP(B1952,'Poids des runes'!A:B,2,FALSE)))+1)/VLOOKUP(B1952,'Poids des runes'!A:B,2,FALSE))</f>
        <v>2.335</v>
      </c>
      <c r="F1952">
        <f t="shared" si="30"/>
        <v>2.335</v>
      </c>
    </row>
    <row r="1953" spans="1:6" x14ac:dyDescent="0.3">
      <c r="A1953" t="s">
        <v>584</v>
      </c>
      <c r="B1953" t="s">
        <v>2133</v>
      </c>
      <c r="C1953">
        <v>3.5</v>
      </c>
      <c r="D1953">
        <v>61</v>
      </c>
      <c r="E1953">
        <f>IF(OR(B1953="vi",B1953="ii",B1953="pod"),(((D1953/100)*(C1953*VLOOKUP(B1953,'Poids des runes'!A:B,2,FALSE)))+1),(((D1953/100)*(C1953*VLOOKUP(B1953,'Poids des runes'!A:B,2,FALSE)))+1)/VLOOKUP(B1953,'Poids des runes'!A:B,2,FALSE))</f>
        <v>2.335</v>
      </c>
      <c r="F1953">
        <f t="shared" si="30"/>
        <v>2.335</v>
      </c>
    </row>
    <row r="1954" spans="1:6" x14ac:dyDescent="0.3">
      <c r="A1954" t="s">
        <v>585</v>
      </c>
      <c r="B1954" t="s">
        <v>2128</v>
      </c>
      <c r="C1954">
        <v>35.5</v>
      </c>
      <c r="D1954">
        <v>61</v>
      </c>
      <c r="E1954">
        <f>IF(OR(B1954="vi",B1954="ii",B1954="pod"),(((D1954/100)*(C1954*VLOOKUP(B1954,'Poids des runes'!A:B,2,FALSE)))+1),(((D1954/100)*(C1954*VLOOKUP(B1954,'Poids des runes'!A:B,2,FALSE)))+1)/VLOOKUP(B1954,'Poids des runes'!A:B,2,FALSE))</f>
        <v>5.3310000000000004</v>
      </c>
      <c r="F1954">
        <f t="shared" si="30"/>
        <v>5.3310000000000004</v>
      </c>
    </row>
    <row r="1955" spans="1:6" x14ac:dyDescent="0.3">
      <c r="A1955" t="s">
        <v>585</v>
      </c>
      <c r="B1955" t="s">
        <v>2130</v>
      </c>
      <c r="C1955">
        <v>15.5</v>
      </c>
      <c r="D1955">
        <v>61</v>
      </c>
      <c r="E1955">
        <f>IF(OR(B1955="vi",B1955="ii",B1955="pod"),(((D1955/100)*(C1955*VLOOKUP(B1955,'Poids des runes'!A:B,2,FALSE)))+1),(((D1955/100)*(C1955*VLOOKUP(B1955,'Poids des runes'!A:B,2,FALSE)))+1)/VLOOKUP(B1955,'Poids des runes'!A:B,2,FALSE))</f>
        <v>10.455</v>
      </c>
      <c r="F1955">
        <f t="shared" si="30"/>
        <v>10.455</v>
      </c>
    </row>
    <row r="1956" spans="1:6" x14ac:dyDescent="0.3">
      <c r="A1956" t="s">
        <v>585</v>
      </c>
      <c r="B1956" t="s">
        <v>2131</v>
      </c>
      <c r="C1956">
        <v>15.5</v>
      </c>
      <c r="D1956">
        <v>61</v>
      </c>
      <c r="E1956">
        <f>IF(OR(B1956="vi",B1956="ii",B1956="pod"),(((D1956/100)*(C1956*VLOOKUP(B1956,'Poids des runes'!A:B,2,FALSE)))+1),(((D1956/100)*(C1956*VLOOKUP(B1956,'Poids des runes'!A:B,2,FALSE)))+1)/VLOOKUP(B1956,'Poids des runes'!A:B,2,FALSE))</f>
        <v>10.455</v>
      </c>
      <c r="F1956">
        <f t="shared" si="30"/>
        <v>10.455</v>
      </c>
    </row>
    <row r="1957" spans="1:6" x14ac:dyDescent="0.3">
      <c r="A1957" t="s">
        <v>585</v>
      </c>
      <c r="B1957" t="s">
        <v>2139</v>
      </c>
      <c r="C1957">
        <v>8</v>
      </c>
      <c r="D1957">
        <v>61</v>
      </c>
      <c r="E1957">
        <f>IF(OR(B1957="vi",B1957="ii",B1957="pod"),(((D1957/100)*(C1957*VLOOKUP(B1957,'Poids des runes'!A:B,2,FALSE)))+1),(((D1957/100)*(C1957*VLOOKUP(B1957,'Poids des runes'!A:B,2,FALSE)))+1)/VLOOKUP(B1957,'Poids des runes'!A:B,2,FALSE))</f>
        <v>5.38</v>
      </c>
      <c r="F1957">
        <f t="shared" si="30"/>
        <v>5.38</v>
      </c>
    </row>
    <row r="1958" spans="1:6" x14ac:dyDescent="0.3">
      <c r="A1958" t="s">
        <v>585</v>
      </c>
      <c r="B1958" t="s">
        <v>2154</v>
      </c>
      <c r="C1958">
        <v>1</v>
      </c>
      <c r="D1958">
        <v>61</v>
      </c>
      <c r="E1958">
        <f>IF(OR(B1958="vi",B1958="ii",B1958="pod"),(((D1958/100)*(C1958*VLOOKUP(B1958,'Poids des runes'!A:B,2,FALSE)))+1),(((D1958/100)*(C1958*VLOOKUP(B1958,'Poids des runes'!A:B,2,FALSE)))+1)/VLOOKUP(B1958,'Poids des runes'!A:B,2,FALSE))</f>
        <v>0.62111111111111106</v>
      </c>
      <c r="F1958">
        <f t="shared" si="30"/>
        <v>0.62111111111111106</v>
      </c>
    </row>
    <row r="1959" spans="1:6" x14ac:dyDescent="0.3">
      <c r="A1959" t="s">
        <v>586</v>
      </c>
      <c r="B1959" t="s">
        <v>2128</v>
      </c>
      <c r="C1959">
        <v>23</v>
      </c>
      <c r="D1959">
        <v>61</v>
      </c>
      <c r="E1959">
        <f>IF(OR(B1959="vi",B1959="ii",B1959="pod"),(((D1959/100)*(C1959*VLOOKUP(B1959,'Poids des runes'!A:B,2,FALSE)))+1),(((D1959/100)*(C1959*VLOOKUP(B1959,'Poids des runes'!A:B,2,FALSE)))+1)/VLOOKUP(B1959,'Poids des runes'!A:B,2,FALSE))</f>
        <v>3.806</v>
      </c>
      <c r="F1959">
        <f t="shared" si="30"/>
        <v>3.806</v>
      </c>
    </row>
    <row r="1960" spans="1:6" x14ac:dyDescent="0.3">
      <c r="A1960" t="s">
        <v>586</v>
      </c>
      <c r="B1960" t="s">
        <v>2154</v>
      </c>
      <c r="C1960">
        <v>1</v>
      </c>
      <c r="D1960">
        <v>61</v>
      </c>
      <c r="E1960">
        <f>IF(OR(B1960="vi",B1960="ii",B1960="pod"),(((D1960/100)*(C1960*VLOOKUP(B1960,'Poids des runes'!A:B,2,FALSE)))+1),(((D1960/100)*(C1960*VLOOKUP(B1960,'Poids des runes'!A:B,2,FALSE)))+1)/VLOOKUP(B1960,'Poids des runes'!A:B,2,FALSE))</f>
        <v>0.62111111111111106</v>
      </c>
      <c r="F1960">
        <f t="shared" si="30"/>
        <v>0.62111111111111106</v>
      </c>
    </row>
    <row r="1961" spans="1:6" x14ac:dyDescent="0.3">
      <c r="A1961" t="s">
        <v>586</v>
      </c>
      <c r="B1961" t="s">
        <v>2153</v>
      </c>
      <c r="C1961">
        <v>6.5</v>
      </c>
      <c r="D1961">
        <v>61</v>
      </c>
      <c r="E1961">
        <f>IF(OR(B1961="vi",B1961="ii",B1961="pod"),(((D1961/100)*(C1961*VLOOKUP(B1961,'Poids des runes'!A:B,2,FALSE)))+1),(((D1961/100)*(C1961*VLOOKUP(B1961,'Poids des runes'!A:B,2,FALSE)))+1)/VLOOKUP(B1961,'Poids des runes'!A:B,2,FALSE))</f>
        <v>4.165</v>
      </c>
      <c r="F1961">
        <f t="shared" si="30"/>
        <v>4.165</v>
      </c>
    </row>
    <row r="1962" spans="1:6" x14ac:dyDescent="0.3">
      <c r="A1962" t="s">
        <v>586</v>
      </c>
      <c r="B1962" t="s">
        <v>2148</v>
      </c>
      <c r="C1962">
        <v>2</v>
      </c>
      <c r="D1962">
        <v>61</v>
      </c>
      <c r="E1962">
        <f>IF(OR(B1962="vi",B1962="ii",B1962="pod"),(((D1962/100)*(C1962*VLOOKUP(B1962,'Poids des runes'!A:B,2,FALSE)))+1),(((D1962/100)*(C1962*VLOOKUP(B1962,'Poids des runes'!A:B,2,FALSE)))+1)/VLOOKUP(B1962,'Poids des runes'!A:B,2,FALSE))</f>
        <v>1.3866666666666667</v>
      </c>
      <c r="F1962">
        <f t="shared" si="30"/>
        <v>1.3866666666666667</v>
      </c>
    </row>
    <row r="1963" spans="1:6" x14ac:dyDescent="0.3">
      <c r="A1963" t="s">
        <v>587</v>
      </c>
      <c r="B1963" t="s">
        <v>2128</v>
      </c>
      <c r="C1963">
        <v>35.5</v>
      </c>
      <c r="D1963">
        <v>62</v>
      </c>
      <c r="E1963">
        <f>IF(OR(B1963="vi",B1963="ii",B1963="pod"),(((D1963/100)*(C1963*VLOOKUP(B1963,'Poids des runes'!A:B,2,FALSE)))+1),(((D1963/100)*(C1963*VLOOKUP(B1963,'Poids des runes'!A:B,2,FALSE)))+1)/VLOOKUP(B1963,'Poids des runes'!A:B,2,FALSE))</f>
        <v>5.4020000000000001</v>
      </c>
      <c r="F1963">
        <f t="shared" si="30"/>
        <v>5.4020000000000001</v>
      </c>
    </row>
    <row r="1964" spans="1:6" x14ac:dyDescent="0.3">
      <c r="A1964" t="s">
        <v>587</v>
      </c>
      <c r="B1964" t="s">
        <v>2139</v>
      </c>
      <c r="C1964">
        <v>35.5</v>
      </c>
      <c r="D1964">
        <v>62</v>
      </c>
      <c r="E1964">
        <f>IF(OR(B1964="vi",B1964="ii",B1964="pod"),(((D1964/100)*(C1964*VLOOKUP(B1964,'Poids des runes'!A:B,2,FALSE)))+1),(((D1964/100)*(C1964*VLOOKUP(B1964,'Poids des runes'!A:B,2,FALSE)))+1)/VLOOKUP(B1964,'Poids des runes'!A:B,2,FALSE))</f>
        <v>22.51</v>
      </c>
      <c r="F1964">
        <f t="shared" si="30"/>
        <v>22.51</v>
      </c>
    </row>
    <row r="1965" spans="1:6" x14ac:dyDescent="0.3">
      <c r="A1965" t="s">
        <v>587</v>
      </c>
      <c r="B1965" t="s">
        <v>2154</v>
      </c>
      <c r="C1965">
        <v>1</v>
      </c>
      <c r="D1965">
        <v>62</v>
      </c>
      <c r="E1965">
        <f>IF(OR(B1965="vi",B1965="ii",B1965="pod"),(((D1965/100)*(C1965*VLOOKUP(B1965,'Poids des runes'!A:B,2,FALSE)))+1),(((D1965/100)*(C1965*VLOOKUP(B1965,'Poids des runes'!A:B,2,FALSE)))+1)/VLOOKUP(B1965,'Poids des runes'!A:B,2,FALSE))</f>
        <v>0.63111111111111107</v>
      </c>
      <c r="F1965">
        <f t="shared" si="30"/>
        <v>0.63111111111111107</v>
      </c>
    </row>
    <row r="1966" spans="1:6" x14ac:dyDescent="0.3">
      <c r="A1966" t="s">
        <v>588</v>
      </c>
      <c r="B1966" t="s">
        <v>2128</v>
      </c>
      <c r="C1966">
        <v>70.5</v>
      </c>
      <c r="D1966">
        <v>62</v>
      </c>
      <c r="E1966">
        <f>IF(OR(B1966="vi",B1966="ii",B1966="pod"),(((D1966/100)*(C1966*VLOOKUP(B1966,'Poids des runes'!A:B,2,FALSE)))+1),(((D1966/100)*(C1966*VLOOKUP(B1966,'Poids des runes'!A:B,2,FALSE)))+1)/VLOOKUP(B1966,'Poids des runes'!A:B,2,FALSE))</f>
        <v>9.7420000000000009</v>
      </c>
      <c r="F1966">
        <f t="shared" si="30"/>
        <v>9.7420000000000009</v>
      </c>
    </row>
    <row r="1967" spans="1:6" x14ac:dyDescent="0.3">
      <c r="A1967" t="s">
        <v>588</v>
      </c>
      <c r="B1967" t="s">
        <v>2127</v>
      </c>
      <c r="C1967">
        <v>45.5</v>
      </c>
      <c r="D1967">
        <v>62</v>
      </c>
      <c r="E1967">
        <f>IF(OR(B1967="vi",B1967="ii",B1967="pod"),(((D1967/100)*(C1967*VLOOKUP(B1967,'Poids des runes'!A:B,2,FALSE)))+1),(((D1967/100)*(C1967*VLOOKUP(B1967,'Poids des runes'!A:B,2,FALSE)))+1)/VLOOKUP(B1967,'Poids des runes'!A:B,2,FALSE))</f>
        <v>29.21</v>
      </c>
      <c r="F1967">
        <f t="shared" si="30"/>
        <v>29.21</v>
      </c>
    </row>
    <row r="1968" spans="1:6" x14ac:dyDescent="0.3">
      <c r="A1968" t="s">
        <v>588</v>
      </c>
      <c r="B1968" t="s">
        <v>2129</v>
      </c>
      <c r="C1968">
        <v>25.5</v>
      </c>
      <c r="D1968">
        <v>62</v>
      </c>
      <c r="E1968">
        <f>IF(OR(B1968="vi",B1968="ii",B1968="pod"),(((D1968/100)*(C1968*VLOOKUP(B1968,'Poids des runes'!A:B,2,FALSE)))+1),(((D1968/100)*(C1968*VLOOKUP(B1968,'Poids des runes'!A:B,2,FALSE)))+1)/VLOOKUP(B1968,'Poids des runes'!A:B,2,FALSE))</f>
        <v>16.810000000000002</v>
      </c>
      <c r="F1968">
        <f t="shared" si="30"/>
        <v>16.810000000000002</v>
      </c>
    </row>
    <row r="1969" spans="1:6" x14ac:dyDescent="0.3">
      <c r="A1969" t="s">
        <v>588</v>
      </c>
      <c r="B1969" t="s">
        <v>2157</v>
      </c>
      <c r="C1969">
        <v>4</v>
      </c>
      <c r="D1969">
        <v>62</v>
      </c>
      <c r="E1969">
        <f>IF(OR(B1969="vi",B1969="ii",B1969="pod"),(((D1969/100)*(C1969*VLOOKUP(B1969,'Poids des runes'!A:B,2,FALSE)))+1),(((D1969/100)*(C1969*VLOOKUP(B1969,'Poids des runes'!A:B,2,FALSE)))+1)/VLOOKUP(B1969,'Poids des runes'!A:B,2,FALSE))</f>
        <v>2.6466666666666665</v>
      </c>
      <c r="F1969">
        <f t="shared" si="30"/>
        <v>2.6466666666666665</v>
      </c>
    </row>
    <row r="1970" spans="1:6" x14ac:dyDescent="0.3">
      <c r="A1970" t="s">
        <v>589</v>
      </c>
      <c r="B1970" t="s">
        <v>2128</v>
      </c>
      <c r="C1970">
        <v>60.5</v>
      </c>
      <c r="D1970">
        <v>62</v>
      </c>
      <c r="E1970">
        <f>IF(OR(B1970="vi",B1970="ii",B1970="pod"),(((D1970/100)*(C1970*VLOOKUP(B1970,'Poids des runes'!A:B,2,FALSE)))+1),(((D1970/100)*(C1970*VLOOKUP(B1970,'Poids des runes'!A:B,2,FALSE)))+1)/VLOOKUP(B1970,'Poids des runes'!A:B,2,FALSE))</f>
        <v>8.5020000000000007</v>
      </c>
      <c r="F1970">
        <f t="shared" si="30"/>
        <v>8.5020000000000007</v>
      </c>
    </row>
    <row r="1971" spans="1:6" x14ac:dyDescent="0.3">
      <c r="A1971" t="s">
        <v>589</v>
      </c>
      <c r="B1971" t="s">
        <v>2130</v>
      </c>
      <c r="C1971">
        <v>25.5</v>
      </c>
      <c r="D1971">
        <v>62</v>
      </c>
      <c r="E1971">
        <f>IF(OR(B1971="vi",B1971="ii",B1971="pod"),(((D1971/100)*(C1971*VLOOKUP(B1971,'Poids des runes'!A:B,2,FALSE)))+1),(((D1971/100)*(C1971*VLOOKUP(B1971,'Poids des runes'!A:B,2,FALSE)))+1)/VLOOKUP(B1971,'Poids des runes'!A:B,2,FALSE))</f>
        <v>16.810000000000002</v>
      </c>
      <c r="F1971">
        <f t="shared" si="30"/>
        <v>16.810000000000002</v>
      </c>
    </row>
    <row r="1972" spans="1:6" x14ac:dyDescent="0.3">
      <c r="A1972" t="s">
        <v>589</v>
      </c>
      <c r="B1972" t="s">
        <v>2131</v>
      </c>
      <c r="C1972">
        <v>25.5</v>
      </c>
      <c r="D1972">
        <v>62</v>
      </c>
      <c r="E1972">
        <f>IF(OR(B1972="vi",B1972="ii",B1972="pod"),(((D1972/100)*(C1972*VLOOKUP(B1972,'Poids des runes'!A:B,2,FALSE)))+1),(((D1972/100)*(C1972*VLOOKUP(B1972,'Poids des runes'!A:B,2,FALSE)))+1)/VLOOKUP(B1972,'Poids des runes'!A:B,2,FALSE))</f>
        <v>16.810000000000002</v>
      </c>
      <c r="F1972">
        <f t="shared" si="30"/>
        <v>16.810000000000002</v>
      </c>
    </row>
    <row r="1973" spans="1:6" x14ac:dyDescent="0.3">
      <c r="A1973" t="s">
        <v>589</v>
      </c>
      <c r="B1973" t="s">
        <v>2143</v>
      </c>
      <c r="C1973">
        <v>2.5</v>
      </c>
      <c r="D1973">
        <v>62</v>
      </c>
      <c r="E1973">
        <f>IF(OR(B1973="vi",B1973="ii",B1973="pod"),(((D1973/100)*(C1973*VLOOKUP(B1973,'Poids des runes'!A:B,2,FALSE)))+1),(((D1973/100)*(C1973*VLOOKUP(B1973,'Poids des runes'!A:B,2,FALSE)))+1)/VLOOKUP(B1973,'Poids des runes'!A:B,2,FALSE))</f>
        <v>1.75</v>
      </c>
      <c r="F1973">
        <f t="shared" si="30"/>
        <v>1.75</v>
      </c>
    </row>
    <row r="1974" spans="1:6" x14ac:dyDescent="0.3">
      <c r="A1974" t="s">
        <v>589</v>
      </c>
      <c r="B1974" t="s">
        <v>2133</v>
      </c>
      <c r="C1974">
        <v>2.5</v>
      </c>
      <c r="D1974">
        <v>62</v>
      </c>
      <c r="E1974">
        <f>IF(OR(B1974="vi",B1974="ii",B1974="pod"),(((D1974/100)*(C1974*VLOOKUP(B1974,'Poids des runes'!A:B,2,FALSE)))+1),(((D1974/100)*(C1974*VLOOKUP(B1974,'Poids des runes'!A:B,2,FALSE)))+1)/VLOOKUP(B1974,'Poids des runes'!A:B,2,FALSE))</f>
        <v>1.75</v>
      </c>
      <c r="F1974">
        <f t="shared" si="30"/>
        <v>1.75</v>
      </c>
    </row>
    <row r="1975" spans="1:6" x14ac:dyDescent="0.3">
      <c r="A1975" t="s">
        <v>589</v>
      </c>
      <c r="B1975" t="s">
        <v>2138</v>
      </c>
      <c r="C1975">
        <v>6.5</v>
      </c>
      <c r="D1975">
        <v>62</v>
      </c>
      <c r="E1975">
        <f>IF(OR(B1975="vi",B1975="ii",B1975="pod"),(((D1975/100)*(C1975*VLOOKUP(B1975,'Poids des runes'!A:B,2,FALSE)))+1),(((D1975/100)*(C1975*VLOOKUP(B1975,'Poids des runes'!A:B,2,FALSE)))+1)/VLOOKUP(B1975,'Poids des runes'!A:B,2,FALSE))</f>
        <v>4.28</v>
      </c>
      <c r="F1975">
        <f t="shared" si="30"/>
        <v>4.28</v>
      </c>
    </row>
    <row r="1976" spans="1:6" x14ac:dyDescent="0.3">
      <c r="A1976" t="s">
        <v>589</v>
      </c>
      <c r="B1976" t="s">
        <v>2142</v>
      </c>
      <c r="C1976">
        <v>6.5</v>
      </c>
      <c r="D1976">
        <v>62</v>
      </c>
      <c r="E1976">
        <f>IF(OR(B1976="vi",B1976="ii",B1976="pod"),(((D1976/100)*(C1976*VLOOKUP(B1976,'Poids des runes'!A:B,2,FALSE)))+1),(((D1976/100)*(C1976*VLOOKUP(B1976,'Poids des runes'!A:B,2,FALSE)))+1)/VLOOKUP(B1976,'Poids des runes'!A:B,2,FALSE))</f>
        <v>4.2299999999999995</v>
      </c>
      <c r="F1976">
        <f t="shared" si="30"/>
        <v>4.2299999999999995</v>
      </c>
    </row>
    <row r="1977" spans="1:6" x14ac:dyDescent="0.3">
      <c r="A1977" t="s">
        <v>590</v>
      </c>
      <c r="B1977" t="s">
        <v>2128</v>
      </c>
      <c r="C1977">
        <v>35.5</v>
      </c>
      <c r="D1977">
        <v>62</v>
      </c>
      <c r="E1977">
        <f>IF(OR(B1977="vi",B1977="ii",B1977="pod"),(((D1977/100)*(C1977*VLOOKUP(B1977,'Poids des runes'!A:B,2,FALSE)))+1),(((D1977/100)*(C1977*VLOOKUP(B1977,'Poids des runes'!A:B,2,FALSE)))+1)/VLOOKUP(B1977,'Poids des runes'!A:B,2,FALSE))</f>
        <v>5.4020000000000001</v>
      </c>
      <c r="F1977">
        <f t="shared" si="30"/>
        <v>5.4020000000000001</v>
      </c>
    </row>
    <row r="1978" spans="1:6" x14ac:dyDescent="0.3">
      <c r="A1978" t="s">
        <v>590</v>
      </c>
      <c r="B1978" t="s">
        <v>2129</v>
      </c>
      <c r="C1978">
        <v>13</v>
      </c>
      <c r="D1978">
        <v>62</v>
      </c>
      <c r="E1978">
        <f>IF(OR(B1978="vi",B1978="ii",B1978="pod"),(((D1978/100)*(C1978*VLOOKUP(B1978,'Poids des runes'!A:B,2,FALSE)))+1),(((D1978/100)*(C1978*VLOOKUP(B1978,'Poids des runes'!A:B,2,FALSE)))+1)/VLOOKUP(B1978,'Poids des runes'!A:B,2,FALSE))</f>
        <v>9.06</v>
      </c>
      <c r="F1978">
        <f t="shared" si="30"/>
        <v>9.06</v>
      </c>
    </row>
    <row r="1979" spans="1:6" x14ac:dyDescent="0.3">
      <c r="A1979" t="s">
        <v>590</v>
      </c>
      <c r="B1979" t="s">
        <v>2141</v>
      </c>
      <c r="C1979">
        <v>5</v>
      </c>
      <c r="D1979">
        <v>62</v>
      </c>
      <c r="E1979">
        <f>IF(OR(B1979="vi",B1979="ii",B1979="pod"),(((D1979/100)*(C1979*VLOOKUP(B1979,'Poids des runes'!A:B,2,FALSE)))+1),(((D1979/100)*(C1979*VLOOKUP(B1979,'Poids des runes'!A:B,2,FALSE)))+1)/VLOOKUP(B1979,'Poids des runes'!A:B,2,FALSE))</f>
        <v>3.35</v>
      </c>
      <c r="F1979">
        <f t="shared" si="30"/>
        <v>3.35</v>
      </c>
    </row>
    <row r="1980" spans="1:6" x14ac:dyDescent="0.3">
      <c r="A1980" t="s">
        <v>590</v>
      </c>
      <c r="B1980" t="s">
        <v>2165</v>
      </c>
      <c r="C1980">
        <v>6.5</v>
      </c>
      <c r="D1980">
        <v>62</v>
      </c>
      <c r="E1980">
        <f>IF(OR(B1980="vi",B1980="ii",B1980="pod"),(((D1980/100)*(C1980*VLOOKUP(B1980,'Poids des runes'!A:B,2,FALSE)))+1),(((D1980/100)*(C1980*VLOOKUP(B1980,'Poids des runes'!A:B,2,FALSE)))+1)/VLOOKUP(B1980,'Poids des runes'!A:B,2,FALSE))</f>
        <v>4.1728571428571426</v>
      </c>
      <c r="F1980">
        <f t="shared" si="30"/>
        <v>4.1728571428571426</v>
      </c>
    </row>
    <row r="1981" spans="1:6" x14ac:dyDescent="0.3">
      <c r="A1981" t="s">
        <v>590</v>
      </c>
      <c r="B1981" t="s">
        <v>2148</v>
      </c>
      <c r="C1981">
        <v>2.5</v>
      </c>
      <c r="D1981">
        <v>62</v>
      </c>
      <c r="E1981">
        <f>IF(OR(B1981="vi",B1981="ii",B1981="pod"),(((D1981/100)*(C1981*VLOOKUP(B1981,'Poids des runes'!A:B,2,FALSE)))+1),(((D1981/100)*(C1981*VLOOKUP(B1981,'Poids des runes'!A:B,2,FALSE)))+1)/VLOOKUP(B1981,'Poids des runes'!A:B,2,FALSE))</f>
        <v>1.7166666666666668</v>
      </c>
      <c r="F1981">
        <f t="shared" si="30"/>
        <v>1.7166666666666668</v>
      </c>
    </row>
    <row r="1982" spans="1:6" x14ac:dyDescent="0.3">
      <c r="A1982" t="s">
        <v>590</v>
      </c>
      <c r="B1982" t="s">
        <v>2157</v>
      </c>
      <c r="C1982">
        <v>2.5</v>
      </c>
      <c r="D1982">
        <v>62</v>
      </c>
      <c r="E1982">
        <f>IF(OR(B1982="vi",B1982="ii",B1982="pod"),(((D1982/100)*(C1982*VLOOKUP(B1982,'Poids des runes'!A:B,2,FALSE)))+1),(((D1982/100)*(C1982*VLOOKUP(B1982,'Poids des runes'!A:B,2,FALSE)))+1)/VLOOKUP(B1982,'Poids des runes'!A:B,2,FALSE))</f>
        <v>1.7166666666666668</v>
      </c>
      <c r="F1982">
        <f t="shared" si="30"/>
        <v>1.7166666666666668</v>
      </c>
    </row>
    <row r="1983" spans="1:6" x14ac:dyDescent="0.3">
      <c r="A1983" t="s">
        <v>591</v>
      </c>
      <c r="B1983" t="s">
        <v>2128</v>
      </c>
      <c r="C1983">
        <v>90.5</v>
      </c>
      <c r="D1983">
        <v>62</v>
      </c>
      <c r="E1983">
        <f>IF(OR(B1983="vi",B1983="ii",B1983="pod"),(((D1983/100)*(C1983*VLOOKUP(B1983,'Poids des runes'!A:B,2,FALSE)))+1),(((D1983/100)*(C1983*VLOOKUP(B1983,'Poids des runes'!A:B,2,FALSE)))+1)/VLOOKUP(B1983,'Poids des runes'!A:B,2,FALSE))</f>
        <v>12.222000000000001</v>
      </c>
      <c r="F1983">
        <f t="shared" si="30"/>
        <v>12.222000000000001</v>
      </c>
    </row>
    <row r="1984" spans="1:6" x14ac:dyDescent="0.3">
      <c r="A1984" t="s">
        <v>591</v>
      </c>
      <c r="B1984" t="s">
        <v>2149</v>
      </c>
      <c r="C1984">
        <v>6</v>
      </c>
      <c r="D1984">
        <v>62</v>
      </c>
      <c r="E1984">
        <f>IF(OR(B1984="vi",B1984="ii",B1984="pod"),(((D1984/100)*(C1984*VLOOKUP(B1984,'Poids des runes'!A:B,2,FALSE)))+1),(((D1984/100)*(C1984*VLOOKUP(B1984,'Poids des runes'!A:B,2,FALSE)))+1)/VLOOKUP(B1984,'Poids des runes'!A:B,2,FALSE))</f>
        <v>3.8200000000000003</v>
      </c>
      <c r="F1984">
        <f t="shared" si="30"/>
        <v>3.8200000000000003</v>
      </c>
    </row>
    <row r="1985" spans="1:6" x14ac:dyDescent="0.3">
      <c r="A1985" t="s">
        <v>591</v>
      </c>
      <c r="B1985" t="s">
        <v>2141</v>
      </c>
      <c r="C1985">
        <v>4.5</v>
      </c>
      <c r="D1985">
        <v>62</v>
      </c>
      <c r="E1985">
        <f>IF(OR(B1985="vi",B1985="ii",B1985="pod"),(((D1985/100)*(C1985*VLOOKUP(B1985,'Poids des runes'!A:B,2,FALSE)))+1),(((D1985/100)*(C1985*VLOOKUP(B1985,'Poids des runes'!A:B,2,FALSE)))+1)/VLOOKUP(B1985,'Poids des runes'!A:B,2,FALSE))</f>
        <v>3.04</v>
      </c>
      <c r="F1985">
        <f t="shared" si="30"/>
        <v>3.04</v>
      </c>
    </row>
    <row r="1986" spans="1:6" x14ac:dyDescent="0.3">
      <c r="A1986" t="s">
        <v>591</v>
      </c>
      <c r="B1986" t="s">
        <v>2147</v>
      </c>
      <c r="C1986">
        <v>4.5</v>
      </c>
      <c r="D1986">
        <v>62</v>
      </c>
      <c r="E1986">
        <f>IF(OR(B1986="vi",B1986="ii",B1986="pod"),(((D1986/100)*(C1986*VLOOKUP(B1986,'Poids des runes'!A:B,2,FALSE)))+1),(((D1986/100)*(C1986*VLOOKUP(B1986,'Poids des runes'!A:B,2,FALSE)))+1)/VLOOKUP(B1986,'Poids des runes'!A:B,2,FALSE))</f>
        <v>2.9566666666666666</v>
      </c>
      <c r="F1986">
        <f t="shared" si="30"/>
        <v>2.9566666666666666</v>
      </c>
    </row>
    <row r="1987" spans="1:6" x14ac:dyDescent="0.3">
      <c r="A1987" t="s">
        <v>591</v>
      </c>
      <c r="B1987" t="s">
        <v>2157</v>
      </c>
      <c r="C1987">
        <v>4.5</v>
      </c>
      <c r="D1987">
        <v>62</v>
      </c>
      <c r="E1987">
        <f>IF(OR(B1987="vi",B1987="ii",B1987="pod"),(((D1987/100)*(C1987*VLOOKUP(B1987,'Poids des runes'!A:B,2,FALSE)))+1),(((D1987/100)*(C1987*VLOOKUP(B1987,'Poids des runes'!A:B,2,FALSE)))+1)/VLOOKUP(B1987,'Poids des runes'!A:B,2,FALSE))</f>
        <v>2.9566666666666666</v>
      </c>
      <c r="F1987">
        <f t="shared" ref="F1987:F2050" si="31">E1987</f>
        <v>2.9566666666666666</v>
      </c>
    </row>
    <row r="1988" spans="1:6" x14ac:dyDescent="0.3">
      <c r="A1988" t="s">
        <v>592</v>
      </c>
      <c r="B1988" t="s">
        <v>2128</v>
      </c>
      <c r="C1988">
        <v>25.5</v>
      </c>
      <c r="D1988">
        <v>62</v>
      </c>
      <c r="E1988">
        <f>IF(OR(B1988="vi",B1988="ii",B1988="pod"),(((D1988/100)*(C1988*VLOOKUP(B1988,'Poids des runes'!A:B,2,FALSE)))+1),(((D1988/100)*(C1988*VLOOKUP(B1988,'Poids des runes'!A:B,2,FALSE)))+1)/VLOOKUP(B1988,'Poids des runes'!A:B,2,FALSE))</f>
        <v>4.1620000000000008</v>
      </c>
      <c r="F1988">
        <f t="shared" si="31"/>
        <v>4.1620000000000008</v>
      </c>
    </row>
    <row r="1989" spans="1:6" x14ac:dyDescent="0.3">
      <c r="A1989" t="s">
        <v>592</v>
      </c>
      <c r="B1989" t="s">
        <v>2127</v>
      </c>
      <c r="C1989">
        <v>25.5</v>
      </c>
      <c r="D1989">
        <v>62</v>
      </c>
      <c r="E1989">
        <f>IF(OR(B1989="vi",B1989="ii",B1989="pod"),(((D1989/100)*(C1989*VLOOKUP(B1989,'Poids des runes'!A:B,2,FALSE)))+1),(((D1989/100)*(C1989*VLOOKUP(B1989,'Poids des runes'!A:B,2,FALSE)))+1)/VLOOKUP(B1989,'Poids des runes'!A:B,2,FALSE))</f>
        <v>16.810000000000002</v>
      </c>
      <c r="F1989">
        <f t="shared" si="31"/>
        <v>16.810000000000002</v>
      </c>
    </row>
    <row r="1990" spans="1:6" x14ac:dyDescent="0.3">
      <c r="A1990" t="s">
        <v>592</v>
      </c>
      <c r="B1990" t="s">
        <v>2152</v>
      </c>
      <c r="C1990">
        <v>1</v>
      </c>
      <c r="D1990">
        <v>62</v>
      </c>
      <c r="E1990">
        <f>IF(OR(B1990="vi",B1990="ii",B1990="pod"),(((D1990/100)*(C1990*VLOOKUP(B1990,'Poids des runes'!A:B,2,FALSE)))+1),(((D1990/100)*(C1990*VLOOKUP(B1990,'Poids des runes'!A:B,2,FALSE)))+1)/VLOOKUP(B1990,'Poids des runes'!A:B,2,FALSE))</f>
        <v>0.63</v>
      </c>
      <c r="F1990">
        <f t="shared" si="31"/>
        <v>0.63</v>
      </c>
    </row>
    <row r="1991" spans="1:6" x14ac:dyDescent="0.3">
      <c r="A1991" t="s">
        <v>592</v>
      </c>
      <c r="B1991" t="s">
        <v>2134</v>
      </c>
      <c r="C1991">
        <v>2.5</v>
      </c>
      <c r="D1991">
        <v>62</v>
      </c>
      <c r="E1991">
        <f>IF(OR(B1991="vi",B1991="ii",B1991="pod"),(((D1991/100)*(C1991*VLOOKUP(B1991,'Poids des runes'!A:B,2,FALSE)))+1),(((D1991/100)*(C1991*VLOOKUP(B1991,'Poids des runes'!A:B,2,FALSE)))+1)/VLOOKUP(B1991,'Poids des runes'!A:B,2,FALSE))</f>
        <v>1.6</v>
      </c>
      <c r="F1991">
        <f t="shared" si="31"/>
        <v>1.6</v>
      </c>
    </row>
    <row r="1992" spans="1:6" x14ac:dyDescent="0.3">
      <c r="A1992" t="s">
        <v>593</v>
      </c>
      <c r="B1992" t="s">
        <v>2128</v>
      </c>
      <c r="C1992">
        <v>85.5</v>
      </c>
      <c r="D1992">
        <v>62</v>
      </c>
      <c r="E1992">
        <f>IF(OR(B1992="vi",B1992="ii",B1992="pod"),(((D1992/100)*(C1992*VLOOKUP(B1992,'Poids des runes'!A:B,2,FALSE)))+1),(((D1992/100)*(C1992*VLOOKUP(B1992,'Poids des runes'!A:B,2,FALSE)))+1)/VLOOKUP(B1992,'Poids des runes'!A:B,2,FALSE))</f>
        <v>11.602</v>
      </c>
      <c r="F1992">
        <f t="shared" si="31"/>
        <v>11.602</v>
      </c>
    </row>
    <row r="1993" spans="1:6" x14ac:dyDescent="0.3">
      <c r="A1993" t="s">
        <v>593</v>
      </c>
      <c r="B1993" t="s">
        <v>2129</v>
      </c>
      <c r="C1993">
        <v>18</v>
      </c>
      <c r="D1993">
        <v>62</v>
      </c>
      <c r="E1993">
        <f>IF(OR(B1993="vi",B1993="ii",B1993="pod"),(((D1993/100)*(C1993*VLOOKUP(B1993,'Poids des runes'!A:B,2,FALSE)))+1),(((D1993/100)*(C1993*VLOOKUP(B1993,'Poids des runes'!A:B,2,FALSE)))+1)/VLOOKUP(B1993,'Poids des runes'!A:B,2,FALSE))</f>
        <v>12.16</v>
      </c>
      <c r="F1993">
        <f t="shared" si="31"/>
        <v>12.16</v>
      </c>
    </row>
    <row r="1994" spans="1:6" x14ac:dyDescent="0.3">
      <c r="A1994" t="s">
        <v>593</v>
      </c>
      <c r="B1994" t="s">
        <v>2139</v>
      </c>
      <c r="C1994">
        <v>18</v>
      </c>
      <c r="D1994">
        <v>62</v>
      </c>
      <c r="E1994">
        <f>IF(OR(B1994="vi",B1994="ii",B1994="pod"),(((D1994/100)*(C1994*VLOOKUP(B1994,'Poids des runes'!A:B,2,FALSE)))+1),(((D1994/100)*(C1994*VLOOKUP(B1994,'Poids des runes'!A:B,2,FALSE)))+1)/VLOOKUP(B1994,'Poids des runes'!A:B,2,FALSE))</f>
        <v>11.66</v>
      </c>
      <c r="F1994">
        <f t="shared" si="31"/>
        <v>11.66</v>
      </c>
    </row>
    <row r="1995" spans="1:6" x14ac:dyDescent="0.3">
      <c r="A1995" t="s">
        <v>593</v>
      </c>
      <c r="B1995" t="s">
        <v>2161</v>
      </c>
      <c r="C1995">
        <v>8.5</v>
      </c>
      <c r="D1995">
        <v>62</v>
      </c>
      <c r="E1995">
        <f>IF(OR(B1995="vi",B1995="ii",B1995="pod"),(((D1995/100)*(C1995*VLOOKUP(B1995,'Poids des runes'!A:B,2,FALSE)))+1),(((D1995/100)*(C1995*VLOOKUP(B1995,'Poids des runes'!A:B,2,FALSE)))+1)/VLOOKUP(B1995,'Poids des runes'!A:B,2,FALSE))</f>
        <v>5.6033333333333344</v>
      </c>
      <c r="F1995">
        <f t="shared" si="31"/>
        <v>5.6033333333333344</v>
      </c>
    </row>
    <row r="1996" spans="1:6" x14ac:dyDescent="0.3">
      <c r="A1996" t="s">
        <v>593</v>
      </c>
      <c r="B1996" t="s">
        <v>2138</v>
      </c>
      <c r="C1996">
        <v>4</v>
      </c>
      <c r="D1996">
        <v>62</v>
      </c>
      <c r="E1996">
        <f>IF(OR(B1996="vi",B1996="ii",B1996="pod"),(((D1996/100)*(C1996*VLOOKUP(B1996,'Poids des runes'!A:B,2,FALSE)))+1),(((D1996/100)*(C1996*VLOOKUP(B1996,'Poids des runes'!A:B,2,FALSE)))+1)/VLOOKUP(B1996,'Poids des runes'!A:B,2,FALSE))</f>
        <v>2.73</v>
      </c>
      <c r="F1996">
        <f t="shared" si="31"/>
        <v>2.73</v>
      </c>
    </row>
    <row r="1997" spans="1:6" x14ac:dyDescent="0.3">
      <c r="A1997" t="s">
        <v>593</v>
      </c>
      <c r="B1997" t="s">
        <v>2142</v>
      </c>
      <c r="C1997">
        <v>8</v>
      </c>
      <c r="D1997">
        <v>62</v>
      </c>
      <c r="E1997">
        <f>IF(OR(B1997="vi",B1997="ii",B1997="pod"),(((D1997/100)*(C1997*VLOOKUP(B1997,'Poids des runes'!A:B,2,FALSE)))+1),(((D1997/100)*(C1997*VLOOKUP(B1997,'Poids des runes'!A:B,2,FALSE)))+1)/VLOOKUP(B1997,'Poids des runes'!A:B,2,FALSE))</f>
        <v>5.16</v>
      </c>
      <c r="F1997">
        <f t="shared" si="31"/>
        <v>5.16</v>
      </c>
    </row>
    <row r="1998" spans="1:6" x14ac:dyDescent="0.3">
      <c r="A1998" t="s">
        <v>594</v>
      </c>
      <c r="B1998" t="s">
        <v>2128</v>
      </c>
      <c r="C1998">
        <v>45.5</v>
      </c>
      <c r="D1998">
        <v>63</v>
      </c>
      <c r="E1998">
        <f>IF(OR(B1998="vi",B1998="ii",B1998="pod"),(((D1998/100)*(C1998*VLOOKUP(B1998,'Poids des runes'!A:B,2,FALSE)))+1),(((D1998/100)*(C1998*VLOOKUP(B1998,'Poids des runes'!A:B,2,FALSE)))+1)/VLOOKUP(B1998,'Poids des runes'!A:B,2,FALSE))</f>
        <v>6.7329999999999997</v>
      </c>
      <c r="F1998">
        <f t="shared" si="31"/>
        <v>6.7329999999999997</v>
      </c>
    </row>
    <row r="1999" spans="1:6" x14ac:dyDescent="0.3">
      <c r="A1999" t="s">
        <v>594</v>
      </c>
      <c r="B1999" t="s">
        <v>2129</v>
      </c>
      <c r="C1999">
        <v>18</v>
      </c>
      <c r="D1999">
        <v>63</v>
      </c>
      <c r="E1999">
        <f>IF(OR(B1999="vi",B1999="ii",B1999="pod"),(((D1999/100)*(C1999*VLOOKUP(B1999,'Poids des runes'!A:B,2,FALSE)))+1),(((D1999/100)*(C1999*VLOOKUP(B1999,'Poids des runes'!A:B,2,FALSE)))+1)/VLOOKUP(B1999,'Poids des runes'!A:B,2,FALSE))</f>
        <v>12.34</v>
      </c>
      <c r="F1999">
        <f t="shared" si="31"/>
        <v>12.34</v>
      </c>
    </row>
    <row r="2000" spans="1:6" x14ac:dyDescent="0.3">
      <c r="A2000" t="s">
        <v>594</v>
      </c>
      <c r="B2000" t="s">
        <v>2139</v>
      </c>
      <c r="C2000">
        <v>13</v>
      </c>
      <c r="D2000">
        <v>63</v>
      </c>
      <c r="E2000">
        <f>IF(OR(B2000="vi",B2000="ii",B2000="pod"),(((D2000/100)*(C2000*VLOOKUP(B2000,'Poids des runes'!A:B,2,FALSE)))+1),(((D2000/100)*(C2000*VLOOKUP(B2000,'Poids des runes'!A:B,2,FALSE)))+1)/VLOOKUP(B2000,'Poids des runes'!A:B,2,FALSE))</f>
        <v>8.69</v>
      </c>
      <c r="F2000">
        <f t="shared" si="31"/>
        <v>8.69</v>
      </c>
    </row>
    <row r="2001" spans="1:6" x14ac:dyDescent="0.3">
      <c r="A2001" t="s">
        <v>594</v>
      </c>
      <c r="B2001" t="s">
        <v>2155</v>
      </c>
      <c r="C2001">
        <v>1.5</v>
      </c>
      <c r="D2001">
        <v>63</v>
      </c>
      <c r="E2001">
        <f>IF(OR(B2001="vi",B2001="ii",B2001="pod"),(((D2001/100)*(C2001*VLOOKUP(B2001,'Poids des runes'!A:B,2,FALSE)))+1),(((D2001/100)*(C2001*VLOOKUP(B2001,'Poids des runes'!A:B,2,FALSE)))+1)/VLOOKUP(B2001,'Poids des runes'!A:B,2,FALSE))</f>
        <v>0.96460784313725489</v>
      </c>
      <c r="F2001">
        <f t="shared" si="31"/>
        <v>0.96460784313725489</v>
      </c>
    </row>
    <row r="2002" spans="1:6" x14ac:dyDescent="0.3">
      <c r="A2002" t="s">
        <v>594</v>
      </c>
      <c r="B2002" t="s">
        <v>2148</v>
      </c>
      <c r="C2002">
        <v>4.5</v>
      </c>
      <c r="D2002">
        <v>63</v>
      </c>
      <c r="E2002">
        <f>IF(OR(B2002="vi",B2002="ii",B2002="pod"),(((D2002/100)*(C2002*VLOOKUP(B2002,'Poids des runes'!A:B,2,FALSE)))+1),(((D2002/100)*(C2002*VLOOKUP(B2002,'Poids des runes'!A:B,2,FALSE)))+1)/VLOOKUP(B2002,'Poids des runes'!A:B,2,FALSE))</f>
        <v>3.0016666666666669</v>
      </c>
      <c r="F2002">
        <f t="shared" si="31"/>
        <v>3.0016666666666669</v>
      </c>
    </row>
    <row r="2003" spans="1:6" x14ac:dyDescent="0.3">
      <c r="A2003" t="s">
        <v>595</v>
      </c>
      <c r="B2003" t="s">
        <v>2128</v>
      </c>
      <c r="C2003">
        <v>25.5</v>
      </c>
      <c r="D2003">
        <v>63</v>
      </c>
      <c r="E2003">
        <f>IF(OR(B2003="vi",B2003="ii",B2003="pod"),(((D2003/100)*(C2003*VLOOKUP(B2003,'Poids des runes'!A:B,2,FALSE)))+1),(((D2003/100)*(C2003*VLOOKUP(B2003,'Poids des runes'!A:B,2,FALSE)))+1)/VLOOKUP(B2003,'Poids des runes'!A:B,2,FALSE))</f>
        <v>4.213000000000001</v>
      </c>
      <c r="F2003">
        <f t="shared" si="31"/>
        <v>4.213000000000001</v>
      </c>
    </row>
    <row r="2004" spans="1:6" x14ac:dyDescent="0.3">
      <c r="A2004" t="s">
        <v>595</v>
      </c>
      <c r="B2004" t="s">
        <v>2126</v>
      </c>
      <c r="C2004">
        <v>30.5</v>
      </c>
      <c r="D2004">
        <v>63</v>
      </c>
      <c r="E2004">
        <f>IF(OR(B2004="vi",B2004="ii",B2004="pod"),(((D2004/100)*(C2004*VLOOKUP(B2004,'Poids des runes'!A:B,2,FALSE)))+1),(((D2004/100)*(C2004*VLOOKUP(B2004,'Poids des runes'!A:B,2,FALSE)))+1)/VLOOKUP(B2004,'Poids des runes'!A:B,2,FALSE))</f>
        <v>20.215</v>
      </c>
      <c r="F2004">
        <f t="shared" si="31"/>
        <v>20.215</v>
      </c>
    </row>
    <row r="2005" spans="1:6" x14ac:dyDescent="0.3">
      <c r="A2005" t="s">
        <v>595</v>
      </c>
      <c r="B2005" t="s">
        <v>2131</v>
      </c>
      <c r="C2005">
        <v>20.5</v>
      </c>
      <c r="D2005">
        <v>63</v>
      </c>
      <c r="E2005">
        <f>IF(OR(B2005="vi",B2005="ii",B2005="pod"),(((D2005/100)*(C2005*VLOOKUP(B2005,'Poids des runes'!A:B,2,FALSE)))+1),(((D2005/100)*(C2005*VLOOKUP(B2005,'Poids des runes'!A:B,2,FALSE)))+1)/VLOOKUP(B2005,'Poids des runes'!A:B,2,FALSE))</f>
        <v>13.915000000000001</v>
      </c>
      <c r="F2005">
        <f t="shared" si="31"/>
        <v>13.915000000000001</v>
      </c>
    </row>
    <row r="2006" spans="1:6" x14ac:dyDescent="0.3">
      <c r="A2006" t="s">
        <v>595</v>
      </c>
      <c r="B2006" t="s">
        <v>2127</v>
      </c>
      <c r="C2006">
        <v>20.5</v>
      </c>
      <c r="D2006">
        <v>63</v>
      </c>
      <c r="E2006">
        <f>IF(OR(B2006="vi",B2006="ii",B2006="pod"),(((D2006/100)*(C2006*VLOOKUP(B2006,'Poids des runes'!A:B,2,FALSE)))+1),(((D2006/100)*(C2006*VLOOKUP(B2006,'Poids des runes'!A:B,2,FALSE)))+1)/VLOOKUP(B2006,'Poids des runes'!A:B,2,FALSE))</f>
        <v>13.915000000000001</v>
      </c>
      <c r="F2006">
        <f t="shared" si="31"/>
        <v>13.915000000000001</v>
      </c>
    </row>
    <row r="2007" spans="1:6" x14ac:dyDescent="0.3">
      <c r="A2007" t="s">
        <v>595</v>
      </c>
      <c r="B2007" t="s">
        <v>2155</v>
      </c>
      <c r="C2007">
        <v>1</v>
      </c>
      <c r="D2007">
        <v>63</v>
      </c>
      <c r="E2007">
        <f>IF(OR(B2007="vi",B2007="ii",B2007="pod"),(((D2007/100)*(C2007*VLOOKUP(B2007,'Poids des runes'!A:B,2,FALSE)))+1),(((D2007/100)*(C2007*VLOOKUP(B2007,'Poids des runes'!A:B,2,FALSE)))+1)/VLOOKUP(B2007,'Poids des runes'!A:B,2,FALSE))</f>
        <v>0.64960784313725495</v>
      </c>
      <c r="F2007">
        <f t="shared" si="31"/>
        <v>0.64960784313725495</v>
      </c>
    </row>
    <row r="2008" spans="1:6" x14ac:dyDescent="0.3">
      <c r="A2008" t="s">
        <v>595</v>
      </c>
      <c r="B2008" t="s">
        <v>2161</v>
      </c>
      <c r="C2008">
        <v>4</v>
      </c>
      <c r="D2008">
        <v>63</v>
      </c>
      <c r="E2008">
        <f>IF(OR(B2008="vi",B2008="ii",B2008="pod"),(((D2008/100)*(C2008*VLOOKUP(B2008,'Poids des runes'!A:B,2,FALSE)))+1),(((D2008/100)*(C2008*VLOOKUP(B2008,'Poids des runes'!A:B,2,FALSE)))+1)/VLOOKUP(B2008,'Poids des runes'!A:B,2,FALSE))</f>
        <v>2.8533333333333335</v>
      </c>
      <c r="F2008">
        <f t="shared" si="31"/>
        <v>2.8533333333333335</v>
      </c>
    </row>
    <row r="2009" spans="1:6" x14ac:dyDescent="0.3">
      <c r="A2009" t="s">
        <v>596</v>
      </c>
      <c r="B2009" t="s">
        <v>2128</v>
      </c>
      <c r="C2009">
        <v>50.5</v>
      </c>
      <c r="D2009">
        <v>63</v>
      </c>
      <c r="E2009">
        <f>IF(OR(B2009="vi",B2009="ii",B2009="pod"),(((D2009/100)*(C2009*VLOOKUP(B2009,'Poids des runes'!A:B,2,FALSE)))+1),(((D2009/100)*(C2009*VLOOKUP(B2009,'Poids des runes'!A:B,2,FALSE)))+1)/VLOOKUP(B2009,'Poids des runes'!A:B,2,FALSE))</f>
        <v>7.3630000000000013</v>
      </c>
      <c r="F2009">
        <f t="shared" si="31"/>
        <v>7.3630000000000013</v>
      </c>
    </row>
    <row r="2010" spans="1:6" x14ac:dyDescent="0.3">
      <c r="A2010" t="s">
        <v>596</v>
      </c>
      <c r="B2010" t="s">
        <v>2126</v>
      </c>
      <c r="C2010">
        <v>25.5</v>
      </c>
      <c r="D2010">
        <v>63</v>
      </c>
      <c r="E2010">
        <f>IF(OR(B2010="vi",B2010="ii",B2010="pod"),(((D2010/100)*(C2010*VLOOKUP(B2010,'Poids des runes'!A:B,2,FALSE)))+1),(((D2010/100)*(C2010*VLOOKUP(B2010,'Poids des runes'!A:B,2,FALSE)))+1)/VLOOKUP(B2010,'Poids des runes'!A:B,2,FALSE))</f>
        <v>17.065000000000001</v>
      </c>
      <c r="F2010">
        <f t="shared" si="31"/>
        <v>17.065000000000001</v>
      </c>
    </row>
    <row r="2011" spans="1:6" x14ac:dyDescent="0.3">
      <c r="A2011" t="s">
        <v>596</v>
      </c>
      <c r="B2011" t="s">
        <v>2129</v>
      </c>
      <c r="C2011">
        <v>18</v>
      </c>
      <c r="D2011">
        <v>63</v>
      </c>
      <c r="E2011">
        <f>IF(OR(B2011="vi",B2011="ii",B2011="pod"),(((D2011/100)*(C2011*VLOOKUP(B2011,'Poids des runes'!A:B,2,FALSE)))+1),(((D2011/100)*(C2011*VLOOKUP(B2011,'Poids des runes'!A:B,2,FALSE)))+1)/VLOOKUP(B2011,'Poids des runes'!A:B,2,FALSE))</f>
        <v>12.34</v>
      </c>
      <c r="F2011">
        <f t="shared" si="31"/>
        <v>12.34</v>
      </c>
    </row>
    <row r="2012" spans="1:6" x14ac:dyDescent="0.3">
      <c r="A2012" t="s">
        <v>596</v>
      </c>
      <c r="B2012" t="s">
        <v>2139</v>
      </c>
      <c r="C2012">
        <v>13</v>
      </c>
      <c r="D2012">
        <v>63</v>
      </c>
      <c r="E2012">
        <f>IF(OR(B2012="vi",B2012="ii",B2012="pod"),(((D2012/100)*(C2012*VLOOKUP(B2012,'Poids des runes'!A:B,2,FALSE)))+1),(((D2012/100)*(C2012*VLOOKUP(B2012,'Poids des runes'!A:B,2,FALSE)))+1)/VLOOKUP(B2012,'Poids des runes'!A:B,2,FALSE))</f>
        <v>8.69</v>
      </c>
      <c r="F2012">
        <f t="shared" si="31"/>
        <v>8.69</v>
      </c>
    </row>
    <row r="2013" spans="1:6" x14ac:dyDescent="0.3">
      <c r="A2013" t="s">
        <v>596</v>
      </c>
      <c r="B2013" t="s">
        <v>2149</v>
      </c>
      <c r="C2013">
        <v>4.5</v>
      </c>
      <c r="D2013">
        <v>63</v>
      </c>
      <c r="E2013">
        <f>IF(OR(B2013="vi",B2013="ii",B2013="pod"),(((D2013/100)*(C2013*VLOOKUP(B2013,'Poids des runes'!A:B,2,FALSE)))+1),(((D2013/100)*(C2013*VLOOKUP(B2013,'Poids des runes'!A:B,2,FALSE)))+1)/VLOOKUP(B2013,'Poids des runes'!A:B,2,FALSE))</f>
        <v>2.9350000000000001</v>
      </c>
      <c r="F2013">
        <f t="shared" si="31"/>
        <v>2.9350000000000001</v>
      </c>
    </row>
    <row r="2014" spans="1:6" x14ac:dyDescent="0.3">
      <c r="A2014" t="s">
        <v>596</v>
      </c>
      <c r="B2014" t="s">
        <v>2148</v>
      </c>
      <c r="C2014">
        <v>4.5</v>
      </c>
      <c r="D2014">
        <v>63</v>
      </c>
      <c r="E2014">
        <f>IF(OR(B2014="vi",B2014="ii",B2014="pod"),(((D2014/100)*(C2014*VLOOKUP(B2014,'Poids des runes'!A:B,2,FALSE)))+1),(((D2014/100)*(C2014*VLOOKUP(B2014,'Poids des runes'!A:B,2,FALSE)))+1)/VLOOKUP(B2014,'Poids des runes'!A:B,2,FALSE))</f>
        <v>3.0016666666666669</v>
      </c>
      <c r="F2014">
        <f t="shared" si="31"/>
        <v>3.0016666666666669</v>
      </c>
    </row>
    <row r="2015" spans="1:6" x14ac:dyDescent="0.3">
      <c r="A2015" t="s">
        <v>597</v>
      </c>
      <c r="B2015" t="s">
        <v>2128</v>
      </c>
      <c r="C2015">
        <v>50.5</v>
      </c>
      <c r="D2015">
        <v>63</v>
      </c>
      <c r="E2015">
        <f>IF(OR(B2015="vi",B2015="ii",B2015="pod"),(((D2015/100)*(C2015*VLOOKUP(B2015,'Poids des runes'!A:B,2,FALSE)))+1),(((D2015/100)*(C2015*VLOOKUP(B2015,'Poids des runes'!A:B,2,FALSE)))+1)/VLOOKUP(B2015,'Poids des runes'!A:B,2,FALSE))</f>
        <v>7.3630000000000013</v>
      </c>
      <c r="F2015">
        <f t="shared" si="31"/>
        <v>7.3630000000000013</v>
      </c>
    </row>
    <row r="2016" spans="1:6" x14ac:dyDescent="0.3">
      <c r="A2016" t="s">
        <v>597</v>
      </c>
      <c r="B2016" t="s">
        <v>2130</v>
      </c>
      <c r="C2016">
        <v>35.5</v>
      </c>
      <c r="D2016">
        <v>63</v>
      </c>
      <c r="E2016">
        <f>IF(OR(B2016="vi",B2016="ii",B2016="pod"),(((D2016/100)*(C2016*VLOOKUP(B2016,'Poids des runes'!A:B,2,FALSE)))+1),(((D2016/100)*(C2016*VLOOKUP(B2016,'Poids des runes'!A:B,2,FALSE)))+1)/VLOOKUP(B2016,'Poids des runes'!A:B,2,FALSE))</f>
        <v>23.364999999999998</v>
      </c>
      <c r="F2016">
        <f t="shared" si="31"/>
        <v>23.364999999999998</v>
      </c>
    </row>
    <row r="2017" spans="1:6" x14ac:dyDescent="0.3">
      <c r="A2017" t="s">
        <v>597</v>
      </c>
      <c r="B2017" t="s">
        <v>2143</v>
      </c>
      <c r="C2017">
        <v>4.5</v>
      </c>
      <c r="D2017">
        <v>63</v>
      </c>
      <c r="E2017">
        <f>IF(OR(B2017="vi",B2017="ii",B2017="pod"),(((D2017/100)*(C2017*VLOOKUP(B2017,'Poids des runes'!A:B,2,FALSE)))+1),(((D2017/100)*(C2017*VLOOKUP(B2017,'Poids des runes'!A:B,2,FALSE)))+1)/VLOOKUP(B2017,'Poids des runes'!A:B,2,FALSE))</f>
        <v>3.0350000000000001</v>
      </c>
      <c r="F2017">
        <f t="shared" si="31"/>
        <v>3.0350000000000001</v>
      </c>
    </row>
    <row r="2018" spans="1:6" x14ac:dyDescent="0.3">
      <c r="A2018" t="s">
        <v>597</v>
      </c>
      <c r="B2018" t="s">
        <v>2132</v>
      </c>
      <c r="C2018">
        <v>225.5</v>
      </c>
      <c r="D2018">
        <v>63</v>
      </c>
      <c r="E2018">
        <f>IF(OR(B2018="vi",B2018="ii",B2018="pod"),(((D2018/100)*(C2018*VLOOKUP(B2018,'Poids des runes'!A:B,2,FALSE)))+1),(((D2018/100)*(C2018*VLOOKUP(B2018,'Poids des runes'!A:B,2,FALSE)))+1)/VLOOKUP(B2018,'Poids des runes'!A:B,2,FALSE))</f>
        <v>15.2065</v>
      </c>
      <c r="F2018">
        <f t="shared" si="31"/>
        <v>15.2065</v>
      </c>
    </row>
    <row r="2019" spans="1:6" x14ac:dyDescent="0.3">
      <c r="A2019" t="s">
        <v>597</v>
      </c>
      <c r="B2019" t="s">
        <v>2148</v>
      </c>
      <c r="C2019">
        <v>2.5</v>
      </c>
      <c r="D2019">
        <v>63</v>
      </c>
      <c r="E2019">
        <f>IF(OR(B2019="vi",B2019="ii",B2019="pod"),(((D2019/100)*(C2019*VLOOKUP(B2019,'Poids des runes'!A:B,2,FALSE)))+1),(((D2019/100)*(C2019*VLOOKUP(B2019,'Poids des runes'!A:B,2,FALSE)))+1)/VLOOKUP(B2019,'Poids des runes'!A:B,2,FALSE))</f>
        <v>1.7416666666666665</v>
      </c>
      <c r="F2019">
        <f t="shared" si="31"/>
        <v>1.7416666666666665</v>
      </c>
    </row>
    <row r="2020" spans="1:6" x14ac:dyDescent="0.3">
      <c r="A2020" t="s">
        <v>597</v>
      </c>
      <c r="B2020" t="s">
        <v>2135</v>
      </c>
      <c r="C2020">
        <v>2.5</v>
      </c>
      <c r="D2020">
        <v>63</v>
      </c>
      <c r="E2020">
        <f>IF(OR(B2020="vi",B2020="ii",B2020="pod"),(((D2020/100)*(C2020*VLOOKUP(B2020,'Poids des runes'!A:B,2,FALSE)))+1),(((D2020/100)*(C2020*VLOOKUP(B2020,'Poids des runes'!A:B,2,FALSE)))+1)/VLOOKUP(B2020,'Poids des runes'!A:B,2,FALSE))</f>
        <v>1.7416666666666665</v>
      </c>
      <c r="F2020">
        <f t="shared" si="31"/>
        <v>1.7416666666666665</v>
      </c>
    </row>
    <row r="2021" spans="1:6" x14ac:dyDescent="0.3">
      <c r="A2021" t="s">
        <v>598</v>
      </c>
      <c r="B2021" t="s">
        <v>2128</v>
      </c>
      <c r="C2021">
        <v>18</v>
      </c>
      <c r="D2021">
        <v>63</v>
      </c>
      <c r="E2021">
        <f>IF(OR(B2021="vi",B2021="ii",B2021="pod"),(((D2021/100)*(C2021*VLOOKUP(B2021,'Poids des runes'!A:B,2,FALSE)))+1),(((D2021/100)*(C2021*VLOOKUP(B2021,'Poids des runes'!A:B,2,FALSE)))+1)/VLOOKUP(B2021,'Poids des runes'!A:B,2,FALSE))</f>
        <v>3.2680000000000002</v>
      </c>
      <c r="F2021">
        <f t="shared" si="31"/>
        <v>3.2680000000000002</v>
      </c>
    </row>
    <row r="2022" spans="1:6" x14ac:dyDescent="0.3">
      <c r="A2022" t="s">
        <v>598</v>
      </c>
      <c r="B2022" t="s">
        <v>2126</v>
      </c>
      <c r="C2022">
        <v>20.5</v>
      </c>
      <c r="D2022">
        <v>63</v>
      </c>
      <c r="E2022">
        <f>IF(OR(B2022="vi",B2022="ii",B2022="pod"),(((D2022/100)*(C2022*VLOOKUP(B2022,'Poids des runes'!A:B,2,FALSE)))+1),(((D2022/100)*(C2022*VLOOKUP(B2022,'Poids des runes'!A:B,2,FALSE)))+1)/VLOOKUP(B2022,'Poids des runes'!A:B,2,FALSE))</f>
        <v>13.915000000000001</v>
      </c>
      <c r="F2022">
        <f t="shared" si="31"/>
        <v>13.915000000000001</v>
      </c>
    </row>
    <row r="2023" spans="1:6" x14ac:dyDescent="0.3">
      <c r="A2023" t="s">
        <v>598</v>
      </c>
      <c r="B2023" t="s">
        <v>2152</v>
      </c>
      <c r="C2023">
        <v>1</v>
      </c>
      <c r="D2023">
        <v>63</v>
      </c>
      <c r="E2023">
        <f>IF(OR(B2023="vi",B2023="ii",B2023="pod"),(((D2023/100)*(C2023*VLOOKUP(B2023,'Poids des runes'!A:B,2,FALSE)))+1),(((D2023/100)*(C2023*VLOOKUP(B2023,'Poids des runes'!A:B,2,FALSE)))+1)/VLOOKUP(B2023,'Poids des runes'!A:B,2,FALSE))</f>
        <v>0.64</v>
      </c>
      <c r="F2023">
        <f t="shared" si="31"/>
        <v>0.64</v>
      </c>
    </row>
    <row r="2024" spans="1:6" x14ac:dyDescent="0.3">
      <c r="A2024" t="s">
        <v>598</v>
      </c>
      <c r="B2024" t="s">
        <v>2149</v>
      </c>
      <c r="C2024">
        <v>4</v>
      </c>
      <c r="D2024">
        <v>63</v>
      </c>
      <c r="E2024">
        <f>IF(OR(B2024="vi",B2024="ii",B2024="pod"),(((D2024/100)*(C2024*VLOOKUP(B2024,'Poids des runes'!A:B,2,FALSE)))+1),(((D2024/100)*(C2024*VLOOKUP(B2024,'Poids des runes'!A:B,2,FALSE)))+1)/VLOOKUP(B2024,'Poids des runes'!A:B,2,FALSE))</f>
        <v>2.62</v>
      </c>
      <c r="F2024">
        <f t="shared" si="31"/>
        <v>2.62</v>
      </c>
    </row>
    <row r="2025" spans="1:6" x14ac:dyDescent="0.3">
      <c r="A2025" t="s">
        <v>599</v>
      </c>
      <c r="B2025" t="s">
        <v>2128</v>
      </c>
      <c r="C2025">
        <v>50.5</v>
      </c>
      <c r="D2025">
        <v>63</v>
      </c>
      <c r="E2025">
        <f>IF(OR(B2025="vi",B2025="ii",B2025="pod"),(((D2025/100)*(C2025*VLOOKUP(B2025,'Poids des runes'!A:B,2,FALSE)))+1),(((D2025/100)*(C2025*VLOOKUP(B2025,'Poids des runes'!A:B,2,FALSE)))+1)/VLOOKUP(B2025,'Poids des runes'!A:B,2,FALSE))</f>
        <v>7.3630000000000013</v>
      </c>
      <c r="F2025">
        <f t="shared" si="31"/>
        <v>7.3630000000000013</v>
      </c>
    </row>
    <row r="2026" spans="1:6" x14ac:dyDescent="0.3">
      <c r="A2026" t="s">
        <v>599</v>
      </c>
      <c r="B2026" t="s">
        <v>2126</v>
      </c>
      <c r="C2026">
        <v>25.5</v>
      </c>
      <c r="D2026">
        <v>63</v>
      </c>
      <c r="E2026">
        <f>IF(OR(B2026="vi",B2026="ii",B2026="pod"),(((D2026/100)*(C2026*VLOOKUP(B2026,'Poids des runes'!A:B,2,FALSE)))+1),(((D2026/100)*(C2026*VLOOKUP(B2026,'Poids des runes'!A:B,2,FALSE)))+1)/VLOOKUP(B2026,'Poids des runes'!A:B,2,FALSE))</f>
        <v>17.065000000000001</v>
      </c>
      <c r="F2026">
        <f t="shared" si="31"/>
        <v>17.065000000000001</v>
      </c>
    </row>
    <row r="2027" spans="1:6" x14ac:dyDescent="0.3">
      <c r="A2027" t="s">
        <v>599</v>
      </c>
      <c r="B2027" t="s">
        <v>2129</v>
      </c>
      <c r="C2027">
        <v>13</v>
      </c>
      <c r="D2027">
        <v>63</v>
      </c>
      <c r="E2027">
        <f>IF(OR(B2027="vi",B2027="ii",B2027="pod"),(((D2027/100)*(C2027*VLOOKUP(B2027,'Poids des runes'!A:B,2,FALSE)))+1),(((D2027/100)*(C2027*VLOOKUP(B2027,'Poids des runes'!A:B,2,FALSE)))+1)/VLOOKUP(B2027,'Poids des runes'!A:B,2,FALSE))</f>
        <v>9.19</v>
      </c>
      <c r="F2027">
        <f t="shared" si="31"/>
        <v>9.19</v>
      </c>
    </row>
    <row r="2028" spans="1:6" x14ac:dyDescent="0.3">
      <c r="A2028" t="s">
        <v>599</v>
      </c>
      <c r="B2028" t="s">
        <v>2150</v>
      </c>
      <c r="C2028">
        <v>1</v>
      </c>
      <c r="D2028">
        <v>63</v>
      </c>
      <c r="E2028">
        <f>IF(OR(B2028="vi",B2028="ii",B2028="pod"),(((D2028/100)*(C2028*VLOOKUP(B2028,'Poids des runes'!A:B,2,FALSE)))+1),(((D2028/100)*(C2028*VLOOKUP(B2028,'Poids des runes'!A:B,2,FALSE)))+1)/VLOOKUP(B2028,'Poids des runes'!A:B,2,FALSE))</f>
        <v>0.66333333333333333</v>
      </c>
      <c r="F2028">
        <f t="shared" si="31"/>
        <v>0.66333333333333333</v>
      </c>
    </row>
    <row r="2029" spans="1:6" x14ac:dyDescent="0.3">
      <c r="A2029" t="s">
        <v>599</v>
      </c>
      <c r="B2029" t="s">
        <v>2140</v>
      </c>
      <c r="C2029">
        <v>2.5</v>
      </c>
      <c r="D2029">
        <v>63</v>
      </c>
      <c r="E2029">
        <f>IF(OR(B2029="vi",B2029="ii",B2029="pod"),(((D2029/100)*(C2029*VLOOKUP(B2029,'Poids des runes'!A:B,2,FALSE)))+1),(((D2029/100)*(C2029*VLOOKUP(B2029,'Poids des runes'!A:B,2,FALSE)))+1)/VLOOKUP(B2029,'Poids des runes'!A:B,2,FALSE))</f>
        <v>1.7749999999999999</v>
      </c>
      <c r="F2029">
        <f t="shared" si="31"/>
        <v>1.7749999999999999</v>
      </c>
    </row>
    <row r="2030" spans="1:6" x14ac:dyDescent="0.3">
      <c r="A2030" t="s">
        <v>599</v>
      </c>
      <c r="B2030" t="s">
        <v>2148</v>
      </c>
      <c r="C2030">
        <v>2.5</v>
      </c>
      <c r="D2030">
        <v>63</v>
      </c>
      <c r="E2030">
        <f>IF(OR(B2030="vi",B2030="ii",B2030="pod"),(((D2030/100)*(C2030*VLOOKUP(B2030,'Poids des runes'!A:B,2,FALSE)))+1),(((D2030/100)*(C2030*VLOOKUP(B2030,'Poids des runes'!A:B,2,FALSE)))+1)/VLOOKUP(B2030,'Poids des runes'!A:B,2,FALSE))</f>
        <v>1.7416666666666665</v>
      </c>
      <c r="F2030">
        <f t="shared" si="31"/>
        <v>1.7416666666666665</v>
      </c>
    </row>
    <row r="2031" spans="1:6" x14ac:dyDescent="0.3">
      <c r="A2031" t="s">
        <v>600</v>
      </c>
      <c r="B2031" t="s">
        <v>2131</v>
      </c>
      <c r="C2031">
        <v>13</v>
      </c>
      <c r="D2031">
        <v>64</v>
      </c>
      <c r="E2031">
        <f>IF(OR(B2031="vi",B2031="ii",B2031="pod"),(((D2031/100)*(C2031*VLOOKUP(B2031,'Poids des runes'!A:B,2,FALSE)))+1),(((D2031/100)*(C2031*VLOOKUP(B2031,'Poids des runes'!A:B,2,FALSE)))+1)/VLOOKUP(B2031,'Poids des runes'!A:B,2,FALSE))</f>
        <v>9.32</v>
      </c>
      <c r="F2031">
        <f t="shared" si="31"/>
        <v>9.32</v>
      </c>
    </row>
    <row r="2032" spans="1:6" x14ac:dyDescent="0.3">
      <c r="A2032" t="s">
        <v>600</v>
      </c>
      <c r="B2032" t="s">
        <v>2152</v>
      </c>
      <c r="C2032">
        <v>1</v>
      </c>
      <c r="D2032">
        <v>64</v>
      </c>
      <c r="E2032">
        <f>IF(OR(B2032="vi",B2032="ii",B2032="pod"),(((D2032/100)*(C2032*VLOOKUP(B2032,'Poids des runes'!A:B,2,FALSE)))+1),(((D2032/100)*(C2032*VLOOKUP(B2032,'Poids des runes'!A:B,2,FALSE)))+1)/VLOOKUP(B2032,'Poids des runes'!A:B,2,FALSE))</f>
        <v>0.65</v>
      </c>
      <c r="F2032">
        <f t="shared" si="31"/>
        <v>0.65</v>
      </c>
    </row>
    <row r="2033" spans="1:6" x14ac:dyDescent="0.3">
      <c r="A2033" t="s">
        <v>600</v>
      </c>
      <c r="B2033" t="s">
        <v>2155</v>
      </c>
      <c r="C2033">
        <v>1</v>
      </c>
      <c r="D2033">
        <v>64</v>
      </c>
      <c r="E2033">
        <f>IF(OR(B2033="vi",B2033="ii",B2033="pod"),(((D2033/100)*(C2033*VLOOKUP(B2033,'Poids des runes'!A:B,2,FALSE)))+1),(((D2033/100)*(C2033*VLOOKUP(B2033,'Poids des runes'!A:B,2,FALSE)))+1)/VLOOKUP(B2033,'Poids des runes'!A:B,2,FALSE))</f>
        <v>0.65960784313725496</v>
      </c>
      <c r="F2033">
        <f t="shared" si="31"/>
        <v>0.65960784313725496</v>
      </c>
    </row>
    <row r="2034" spans="1:6" x14ac:dyDescent="0.3">
      <c r="A2034" t="s">
        <v>601</v>
      </c>
      <c r="B2034" t="s">
        <v>2128</v>
      </c>
      <c r="C2034">
        <v>35.5</v>
      </c>
      <c r="D2034">
        <v>64</v>
      </c>
      <c r="E2034">
        <f>IF(OR(B2034="vi",B2034="ii",B2034="pod"),(((D2034/100)*(C2034*VLOOKUP(B2034,'Poids des runes'!A:B,2,FALSE)))+1),(((D2034/100)*(C2034*VLOOKUP(B2034,'Poids des runes'!A:B,2,FALSE)))+1)/VLOOKUP(B2034,'Poids des runes'!A:B,2,FALSE))</f>
        <v>5.5440000000000005</v>
      </c>
      <c r="F2034">
        <f t="shared" si="31"/>
        <v>5.5440000000000005</v>
      </c>
    </row>
    <row r="2035" spans="1:6" x14ac:dyDescent="0.3">
      <c r="A2035" t="s">
        <v>601</v>
      </c>
      <c r="B2035" t="s">
        <v>2127</v>
      </c>
      <c r="C2035">
        <v>35.5</v>
      </c>
      <c r="D2035">
        <v>64</v>
      </c>
      <c r="E2035">
        <f>IF(OR(B2035="vi",B2035="ii",B2035="pod"),(((D2035/100)*(C2035*VLOOKUP(B2035,'Poids des runes'!A:B,2,FALSE)))+1),(((D2035/100)*(C2035*VLOOKUP(B2035,'Poids des runes'!A:B,2,FALSE)))+1)/VLOOKUP(B2035,'Poids des runes'!A:B,2,FALSE))</f>
        <v>23.72</v>
      </c>
      <c r="F2035">
        <f t="shared" si="31"/>
        <v>23.72</v>
      </c>
    </row>
    <row r="2036" spans="1:6" x14ac:dyDescent="0.3">
      <c r="A2036" t="s">
        <v>601</v>
      </c>
      <c r="B2036" t="s">
        <v>2129</v>
      </c>
      <c r="C2036">
        <v>18</v>
      </c>
      <c r="D2036">
        <v>64</v>
      </c>
      <c r="E2036">
        <f>IF(OR(B2036="vi",B2036="ii",B2036="pod"),(((D2036/100)*(C2036*VLOOKUP(B2036,'Poids des runes'!A:B,2,FALSE)))+1),(((D2036/100)*(C2036*VLOOKUP(B2036,'Poids des runes'!A:B,2,FALSE)))+1)/VLOOKUP(B2036,'Poids des runes'!A:B,2,FALSE))</f>
        <v>12.52</v>
      </c>
      <c r="F2036">
        <f t="shared" si="31"/>
        <v>12.52</v>
      </c>
    </row>
    <row r="2037" spans="1:6" x14ac:dyDescent="0.3">
      <c r="A2037" t="s">
        <v>601</v>
      </c>
      <c r="B2037" t="s">
        <v>2134</v>
      </c>
      <c r="C2037">
        <v>2.5</v>
      </c>
      <c r="D2037">
        <v>64</v>
      </c>
      <c r="E2037">
        <f>IF(OR(B2037="vi",B2037="ii",B2037="pod"),(((D2037/100)*(C2037*VLOOKUP(B2037,'Poids des runes'!A:B,2,FALSE)))+1),(((D2037/100)*(C2037*VLOOKUP(B2037,'Poids des runes'!A:B,2,FALSE)))+1)/VLOOKUP(B2037,'Poids des runes'!A:B,2,FALSE))</f>
        <v>1.65</v>
      </c>
      <c r="F2037">
        <f t="shared" si="31"/>
        <v>1.65</v>
      </c>
    </row>
    <row r="2038" spans="1:6" x14ac:dyDescent="0.3">
      <c r="A2038" t="s">
        <v>601</v>
      </c>
      <c r="B2038" t="s">
        <v>2156</v>
      </c>
      <c r="C2038">
        <v>2.5</v>
      </c>
      <c r="D2038">
        <v>64</v>
      </c>
      <c r="E2038">
        <f>IF(OR(B2038="vi",B2038="ii",B2038="pod"),(((D2038/100)*(C2038*VLOOKUP(B2038,'Poids des runes'!A:B,2,FALSE)))+1),(((D2038/100)*(C2038*VLOOKUP(B2038,'Poids des runes'!A:B,2,FALSE)))+1)/VLOOKUP(B2038,'Poids des runes'!A:B,2,FALSE))</f>
        <v>1.7666666666666666</v>
      </c>
      <c r="F2038">
        <f t="shared" si="31"/>
        <v>1.7666666666666666</v>
      </c>
    </row>
    <row r="2039" spans="1:6" x14ac:dyDescent="0.3">
      <c r="A2039" t="s">
        <v>601</v>
      </c>
      <c r="B2039" t="s">
        <v>2147</v>
      </c>
      <c r="C2039">
        <v>2.5</v>
      </c>
      <c r="D2039">
        <v>64</v>
      </c>
      <c r="E2039">
        <f>IF(OR(B2039="vi",B2039="ii",B2039="pod"),(((D2039/100)*(C2039*VLOOKUP(B2039,'Poids des runes'!A:B,2,FALSE)))+1),(((D2039/100)*(C2039*VLOOKUP(B2039,'Poids des runes'!A:B,2,FALSE)))+1)/VLOOKUP(B2039,'Poids des runes'!A:B,2,FALSE))</f>
        <v>1.7666666666666666</v>
      </c>
      <c r="F2039">
        <f t="shared" si="31"/>
        <v>1.7666666666666666</v>
      </c>
    </row>
    <row r="2040" spans="1:6" x14ac:dyDescent="0.3">
      <c r="A2040" t="s">
        <v>602</v>
      </c>
      <c r="B2040" t="s">
        <v>2128</v>
      </c>
      <c r="C2040">
        <v>70.5</v>
      </c>
      <c r="D2040">
        <v>64</v>
      </c>
      <c r="E2040">
        <f>IF(OR(B2040="vi",B2040="ii",B2040="pod"),(((D2040/100)*(C2040*VLOOKUP(B2040,'Poids des runes'!A:B,2,FALSE)))+1),(((D2040/100)*(C2040*VLOOKUP(B2040,'Poids des runes'!A:B,2,FALSE)))+1)/VLOOKUP(B2040,'Poids des runes'!A:B,2,FALSE))</f>
        <v>10.024000000000001</v>
      </c>
      <c r="F2040">
        <f t="shared" si="31"/>
        <v>10.024000000000001</v>
      </c>
    </row>
    <row r="2041" spans="1:6" x14ac:dyDescent="0.3">
      <c r="A2041" t="s">
        <v>602</v>
      </c>
      <c r="B2041" t="s">
        <v>2130</v>
      </c>
      <c r="C2041">
        <v>23</v>
      </c>
      <c r="D2041">
        <v>64</v>
      </c>
      <c r="E2041">
        <f>IF(OR(B2041="vi",B2041="ii",B2041="pod"),(((D2041/100)*(C2041*VLOOKUP(B2041,'Poids des runes'!A:B,2,FALSE)))+1),(((D2041/100)*(C2041*VLOOKUP(B2041,'Poids des runes'!A:B,2,FALSE)))+1)/VLOOKUP(B2041,'Poids des runes'!A:B,2,FALSE))</f>
        <v>15.72</v>
      </c>
      <c r="F2041">
        <f t="shared" si="31"/>
        <v>15.72</v>
      </c>
    </row>
    <row r="2042" spans="1:6" x14ac:dyDescent="0.3">
      <c r="A2042" t="s">
        <v>602</v>
      </c>
      <c r="B2042" t="s">
        <v>2129</v>
      </c>
      <c r="C2042">
        <v>13</v>
      </c>
      <c r="D2042">
        <v>64</v>
      </c>
      <c r="E2042">
        <f>IF(OR(B2042="vi",B2042="ii",B2042="pod"),(((D2042/100)*(C2042*VLOOKUP(B2042,'Poids des runes'!A:B,2,FALSE)))+1),(((D2042/100)*(C2042*VLOOKUP(B2042,'Poids des runes'!A:B,2,FALSE)))+1)/VLOOKUP(B2042,'Poids des runes'!A:B,2,FALSE))</f>
        <v>9.32</v>
      </c>
      <c r="F2042">
        <f t="shared" si="31"/>
        <v>9.32</v>
      </c>
    </row>
    <row r="2043" spans="1:6" x14ac:dyDescent="0.3">
      <c r="A2043" t="s">
        <v>602</v>
      </c>
      <c r="B2043" t="s">
        <v>2155</v>
      </c>
      <c r="C2043">
        <v>1</v>
      </c>
      <c r="D2043">
        <v>64</v>
      </c>
      <c r="E2043">
        <f>IF(OR(B2043="vi",B2043="ii",B2043="pod"),(((D2043/100)*(C2043*VLOOKUP(B2043,'Poids des runes'!A:B,2,FALSE)))+1),(((D2043/100)*(C2043*VLOOKUP(B2043,'Poids des runes'!A:B,2,FALSE)))+1)/VLOOKUP(B2043,'Poids des runes'!A:B,2,FALSE))</f>
        <v>0.65960784313725496</v>
      </c>
      <c r="F2043">
        <f t="shared" si="31"/>
        <v>0.65960784313725496</v>
      </c>
    </row>
    <row r="2044" spans="1:6" x14ac:dyDescent="0.3">
      <c r="A2044" t="s">
        <v>602</v>
      </c>
      <c r="B2044" t="s">
        <v>2149</v>
      </c>
      <c r="C2044">
        <v>8.5</v>
      </c>
      <c r="D2044">
        <v>64</v>
      </c>
      <c r="E2044">
        <f>IF(OR(B2044="vi",B2044="ii",B2044="pod"),(((D2044/100)*(C2044*VLOOKUP(B2044,'Poids des runes'!A:B,2,FALSE)))+1),(((D2044/100)*(C2044*VLOOKUP(B2044,'Poids des runes'!A:B,2,FALSE)))+1)/VLOOKUP(B2044,'Poids des runes'!A:B,2,FALSE))</f>
        <v>5.54</v>
      </c>
      <c r="F2044">
        <f t="shared" si="31"/>
        <v>5.54</v>
      </c>
    </row>
    <row r="2045" spans="1:6" x14ac:dyDescent="0.3">
      <c r="A2045" t="s">
        <v>602</v>
      </c>
      <c r="B2045" t="s">
        <v>2161</v>
      </c>
      <c r="C2045">
        <v>4.5</v>
      </c>
      <c r="D2045">
        <v>64</v>
      </c>
      <c r="E2045">
        <f>IF(OR(B2045="vi",B2045="ii",B2045="pod"),(((D2045/100)*(C2045*VLOOKUP(B2045,'Poids des runes'!A:B,2,FALSE)))+1),(((D2045/100)*(C2045*VLOOKUP(B2045,'Poids des runes'!A:B,2,FALSE)))+1)/VLOOKUP(B2045,'Poids des runes'!A:B,2,FALSE))</f>
        <v>3.2133333333333334</v>
      </c>
      <c r="F2045">
        <f t="shared" si="31"/>
        <v>3.2133333333333334</v>
      </c>
    </row>
    <row r="2046" spans="1:6" x14ac:dyDescent="0.3">
      <c r="A2046" t="s">
        <v>603</v>
      </c>
      <c r="B2046" t="s">
        <v>2131</v>
      </c>
      <c r="C2046">
        <v>23</v>
      </c>
      <c r="D2046">
        <v>65</v>
      </c>
      <c r="E2046">
        <f>IF(OR(B2046="vi",B2046="ii",B2046="pod"),(((D2046/100)*(C2046*VLOOKUP(B2046,'Poids des runes'!A:B,2,FALSE)))+1),(((D2046/100)*(C2046*VLOOKUP(B2046,'Poids des runes'!A:B,2,FALSE)))+1)/VLOOKUP(B2046,'Poids des runes'!A:B,2,FALSE))</f>
        <v>15.950000000000001</v>
      </c>
      <c r="F2046">
        <f t="shared" si="31"/>
        <v>15.950000000000001</v>
      </c>
    </row>
    <row r="2047" spans="1:6" x14ac:dyDescent="0.3">
      <c r="A2047" t="s">
        <v>603</v>
      </c>
      <c r="B2047" t="s">
        <v>2127</v>
      </c>
      <c r="C2047">
        <v>23</v>
      </c>
      <c r="D2047">
        <v>65</v>
      </c>
      <c r="E2047">
        <f>IF(OR(B2047="vi",B2047="ii",B2047="pod"),(((D2047/100)*(C2047*VLOOKUP(B2047,'Poids des runes'!A:B,2,FALSE)))+1),(((D2047/100)*(C2047*VLOOKUP(B2047,'Poids des runes'!A:B,2,FALSE)))+1)/VLOOKUP(B2047,'Poids des runes'!A:B,2,FALSE))</f>
        <v>15.950000000000001</v>
      </c>
      <c r="F2047">
        <f t="shared" si="31"/>
        <v>15.950000000000001</v>
      </c>
    </row>
    <row r="2048" spans="1:6" x14ac:dyDescent="0.3">
      <c r="A2048" t="s">
        <v>603</v>
      </c>
      <c r="B2048" t="s">
        <v>2139</v>
      </c>
      <c r="C2048">
        <v>13</v>
      </c>
      <c r="D2048">
        <v>65</v>
      </c>
      <c r="E2048">
        <f>IF(OR(B2048="vi",B2048="ii",B2048="pod"),(((D2048/100)*(C2048*VLOOKUP(B2048,'Poids des runes'!A:B,2,FALSE)))+1),(((D2048/100)*(C2048*VLOOKUP(B2048,'Poids des runes'!A:B,2,FALSE)))+1)/VLOOKUP(B2048,'Poids des runes'!A:B,2,FALSE))</f>
        <v>8.9500000000000011</v>
      </c>
      <c r="F2048">
        <f t="shared" si="31"/>
        <v>8.9500000000000011</v>
      </c>
    </row>
    <row r="2049" spans="1:6" x14ac:dyDescent="0.3">
      <c r="A2049" t="s">
        <v>603</v>
      </c>
      <c r="B2049" t="s">
        <v>2147</v>
      </c>
      <c r="C2049">
        <v>4</v>
      </c>
      <c r="D2049">
        <v>65</v>
      </c>
      <c r="E2049">
        <f>IF(OR(B2049="vi",B2049="ii",B2049="pod"),(((D2049/100)*(C2049*VLOOKUP(B2049,'Poids des runes'!A:B,2,FALSE)))+1),(((D2049/100)*(C2049*VLOOKUP(B2049,'Poids des runes'!A:B,2,FALSE)))+1)/VLOOKUP(B2049,'Poids des runes'!A:B,2,FALSE))</f>
        <v>2.7666666666666671</v>
      </c>
      <c r="F2049">
        <f t="shared" si="31"/>
        <v>2.7666666666666671</v>
      </c>
    </row>
    <row r="2050" spans="1:6" x14ac:dyDescent="0.3">
      <c r="A2050" t="s">
        <v>603</v>
      </c>
      <c r="B2050" t="s">
        <v>2157</v>
      </c>
      <c r="C2050">
        <v>4</v>
      </c>
      <c r="D2050">
        <v>65</v>
      </c>
      <c r="E2050">
        <f>IF(OR(B2050="vi",B2050="ii",B2050="pod"),(((D2050/100)*(C2050*VLOOKUP(B2050,'Poids des runes'!A:B,2,FALSE)))+1),(((D2050/100)*(C2050*VLOOKUP(B2050,'Poids des runes'!A:B,2,FALSE)))+1)/VLOOKUP(B2050,'Poids des runes'!A:B,2,FALSE))</f>
        <v>2.7666666666666671</v>
      </c>
      <c r="F2050">
        <f t="shared" si="31"/>
        <v>2.7666666666666671</v>
      </c>
    </row>
    <row r="2051" spans="1:6" x14ac:dyDescent="0.3">
      <c r="A2051" t="s">
        <v>604</v>
      </c>
      <c r="B2051" t="s">
        <v>2128</v>
      </c>
      <c r="C2051">
        <v>45.5</v>
      </c>
      <c r="D2051">
        <v>65</v>
      </c>
      <c r="E2051">
        <f>IF(OR(B2051="vi",B2051="ii",B2051="pod"),(((D2051/100)*(C2051*VLOOKUP(B2051,'Poids des runes'!A:B,2,FALSE)))+1),(((D2051/100)*(C2051*VLOOKUP(B2051,'Poids des runes'!A:B,2,FALSE)))+1)/VLOOKUP(B2051,'Poids des runes'!A:B,2,FALSE))</f>
        <v>6.915</v>
      </c>
      <c r="F2051">
        <f t="shared" ref="F2051:F2114" si="32">E2051</f>
        <v>6.915</v>
      </c>
    </row>
    <row r="2052" spans="1:6" x14ac:dyDescent="0.3">
      <c r="A2052" t="s">
        <v>604</v>
      </c>
      <c r="B2052" t="s">
        <v>2127</v>
      </c>
      <c r="C2052">
        <v>25.5</v>
      </c>
      <c r="D2052">
        <v>65</v>
      </c>
      <c r="E2052">
        <f>IF(OR(B2052="vi",B2052="ii",B2052="pod"),(((D2052/100)*(C2052*VLOOKUP(B2052,'Poids des runes'!A:B,2,FALSE)))+1),(((D2052/100)*(C2052*VLOOKUP(B2052,'Poids des runes'!A:B,2,FALSE)))+1)/VLOOKUP(B2052,'Poids des runes'!A:B,2,FALSE))</f>
        <v>17.574999999999999</v>
      </c>
      <c r="F2052">
        <f t="shared" si="32"/>
        <v>17.574999999999999</v>
      </c>
    </row>
    <row r="2053" spans="1:6" x14ac:dyDescent="0.3">
      <c r="A2053" t="s">
        <v>604</v>
      </c>
      <c r="B2053" t="s">
        <v>2129</v>
      </c>
      <c r="C2053">
        <v>18</v>
      </c>
      <c r="D2053">
        <v>65</v>
      </c>
      <c r="E2053">
        <f>IF(OR(B2053="vi",B2053="ii",B2053="pod"),(((D2053/100)*(C2053*VLOOKUP(B2053,'Poids des runes'!A:B,2,FALSE)))+1),(((D2053/100)*(C2053*VLOOKUP(B2053,'Poids des runes'!A:B,2,FALSE)))+1)/VLOOKUP(B2053,'Poids des runes'!A:B,2,FALSE))</f>
        <v>12.700000000000001</v>
      </c>
      <c r="F2053">
        <f t="shared" si="32"/>
        <v>12.700000000000001</v>
      </c>
    </row>
    <row r="2054" spans="1:6" x14ac:dyDescent="0.3">
      <c r="A2054" t="s">
        <v>604</v>
      </c>
      <c r="B2054" t="s">
        <v>2149</v>
      </c>
      <c r="C2054">
        <v>5</v>
      </c>
      <c r="D2054">
        <v>65</v>
      </c>
      <c r="E2054">
        <f>IF(OR(B2054="vi",B2054="ii",B2054="pod"),(((D2054/100)*(C2054*VLOOKUP(B2054,'Poids des runes'!A:B,2,FALSE)))+1),(((D2054/100)*(C2054*VLOOKUP(B2054,'Poids des runes'!A:B,2,FALSE)))+1)/VLOOKUP(B2054,'Poids des runes'!A:B,2,FALSE))</f>
        <v>3.35</v>
      </c>
      <c r="F2054">
        <f t="shared" si="32"/>
        <v>3.35</v>
      </c>
    </row>
    <row r="2055" spans="1:6" x14ac:dyDescent="0.3">
      <c r="A2055" t="s">
        <v>604</v>
      </c>
      <c r="B2055" t="s">
        <v>2132</v>
      </c>
      <c r="C2055">
        <v>175.5</v>
      </c>
      <c r="D2055">
        <v>65</v>
      </c>
      <c r="E2055">
        <f>IF(OR(B2055="vi",B2055="ii",B2055="pod"),(((D2055/100)*(C2055*VLOOKUP(B2055,'Poids des runes'!A:B,2,FALSE)))+1),(((D2055/100)*(C2055*VLOOKUP(B2055,'Poids des runes'!A:B,2,FALSE)))+1)/VLOOKUP(B2055,'Poids des runes'!A:B,2,FALSE))</f>
        <v>12.407500000000001</v>
      </c>
      <c r="F2055">
        <f t="shared" si="32"/>
        <v>12.407500000000001</v>
      </c>
    </row>
    <row r="2056" spans="1:6" x14ac:dyDescent="0.3">
      <c r="A2056" t="s">
        <v>605</v>
      </c>
      <c r="B2056" t="s">
        <v>2128</v>
      </c>
      <c r="C2056">
        <v>50.5</v>
      </c>
      <c r="D2056">
        <v>65</v>
      </c>
      <c r="E2056">
        <f>IF(OR(B2056="vi",B2056="ii",B2056="pod"),(((D2056/100)*(C2056*VLOOKUP(B2056,'Poids des runes'!A:B,2,FALSE)))+1),(((D2056/100)*(C2056*VLOOKUP(B2056,'Poids des runes'!A:B,2,FALSE)))+1)/VLOOKUP(B2056,'Poids des runes'!A:B,2,FALSE))</f>
        <v>7.5650000000000013</v>
      </c>
      <c r="F2056">
        <f t="shared" si="32"/>
        <v>7.5650000000000013</v>
      </c>
    </row>
    <row r="2057" spans="1:6" x14ac:dyDescent="0.3">
      <c r="A2057" t="s">
        <v>605</v>
      </c>
      <c r="B2057" t="s">
        <v>2127</v>
      </c>
      <c r="C2057">
        <v>45.5</v>
      </c>
      <c r="D2057">
        <v>65</v>
      </c>
      <c r="E2057">
        <f>IF(OR(B2057="vi",B2057="ii",B2057="pod"),(((D2057/100)*(C2057*VLOOKUP(B2057,'Poids des runes'!A:B,2,FALSE)))+1),(((D2057/100)*(C2057*VLOOKUP(B2057,'Poids des runes'!A:B,2,FALSE)))+1)/VLOOKUP(B2057,'Poids des runes'!A:B,2,FALSE))</f>
        <v>30.574999999999999</v>
      </c>
      <c r="F2057">
        <f t="shared" si="32"/>
        <v>30.574999999999999</v>
      </c>
    </row>
    <row r="2058" spans="1:6" x14ac:dyDescent="0.3">
      <c r="A2058" t="s">
        <v>605</v>
      </c>
      <c r="B2058" t="s">
        <v>2153</v>
      </c>
      <c r="C2058">
        <v>4.5</v>
      </c>
      <c r="D2058">
        <v>65</v>
      </c>
      <c r="E2058">
        <f>IF(OR(B2058="vi",B2058="ii",B2058="pod"),(((D2058/100)*(C2058*VLOOKUP(B2058,'Poids des runes'!A:B,2,FALSE)))+1),(((D2058/100)*(C2058*VLOOKUP(B2058,'Poids des runes'!A:B,2,FALSE)))+1)/VLOOKUP(B2058,'Poids des runes'!A:B,2,FALSE))</f>
        <v>3.125</v>
      </c>
      <c r="F2058">
        <f t="shared" si="32"/>
        <v>3.125</v>
      </c>
    </row>
    <row r="2059" spans="1:6" x14ac:dyDescent="0.3">
      <c r="A2059" t="s">
        <v>605</v>
      </c>
      <c r="B2059" t="s">
        <v>2161</v>
      </c>
      <c r="C2059">
        <v>8.5</v>
      </c>
      <c r="D2059">
        <v>65</v>
      </c>
      <c r="E2059">
        <f>IF(OR(B2059="vi",B2059="ii",B2059="pod"),(((D2059/100)*(C2059*VLOOKUP(B2059,'Poids des runes'!A:B,2,FALSE)))+1),(((D2059/100)*(C2059*VLOOKUP(B2059,'Poids des runes'!A:B,2,FALSE)))+1)/VLOOKUP(B2059,'Poids des runes'!A:B,2,FALSE))</f>
        <v>5.8583333333333334</v>
      </c>
      <c r="F2059">
        <f t="shared" si="32"/>
        <v>5.8583333333333334</v>
      </c>
    </row>
    <row r="2060" spans="1:6" x14ac:dyDescent="0.3">
      <c r="A2060" t="s">
        <v>605</v>
      </c>
      <c r="B2060" t="s">
        <v>2147</v>
      </c>
      <c r="C2060">
        <v>2.5</v>
      </c>
      <c r="D2060">
        <v>65</v>
      </c>
      <c r="E2060">
        <f>IF(OR(B2060="vi",B2060="ii",B2060="pod"),(((D2060/100)*(C2060*VLOOKUP(B2060,'Poids des runes'!A:B,2,FALSE)))+1),(((D2060/100)*(C2060*VLOOKUP(B2060,'Poids des runes'!A:B,2,FALSE)))+1)/VLOOKUP(B2060,'Poids des runes'!A:B,2,FALSE))</f>
        <v>1.7916666666666667</v>
      </c>
      <c r="F2060">
        <f t="shared" si="32"/>
        <v>1.7916666666666667</v>
      </c>
    </row>
    <row r="2061" spans="1:6" x14ac:dyDescent="0.3">
      <c r="A2061" t="s">
        <v>605</v>
      </c>
      <c r="B2061" t="s">
        <v>2135</v>
      </c>
      <c r="C2061">
        <v>2.5</v>
      </c>
      <c r="D2061">
        <v>65</v>
      </c>
      <c r="E2061">
        <f>IF(OR(B2061="vi",B2061="ii",B2061="pod"),(((D2061/100)*(C2061*VLOOKUP(B2061,'Poids des runes'!A:B,2,FALSE)))+1),(((D2061/100)*(C2061*VLOOKUP(B2061,'Poids des runes'!A:B,2,FALSE)))+1)/VLOOKUP(B2061,'Poids des runes'!A:B,2,FALSE))</f>
        <v>1.7916666666666667</v>
      </c>
      <c r="F2061">
        <f t="shared" si="32"/>
        <v>1.7916666666666667</v>
      </c>
    </row>
    <row r="2062" spans="1:6" x14ac:dyDescent="0.3">
      <c r="A2062" t="s">
        <v>606</v>
      </c>
      <c r="B2062" t="s">
        <v>2128</v>
      </c>
      <c r="C2062">
        <v>50.5</v>
      </c>
      <c r="D2062">
        <v>66</v>
      </c>
      <c r="E2062">
        <f>IF(OR(B2062="vi",B2062="ii",B2062="pod"),(((D2062/100)*(C2062*VLOOKUP(B2062,'Poids des runes'!A:B,2,FALSE)))+1),(((D2062/100)*(C2062*VLOOKUP(B2062,'Poids des runes'!A:B,2,FALSE)))+1)/VLOOKUP(B2062,'Poids des runes'!A:B,2,FALSE))</f>
        <v>7.6660000000000013</v>
      </c>
      <c r="F2062">
        <f t="shared" si="32"/>
        <v>7.6660000000000013</v>
      </c>
    </row>
    <row r="2063" spans="1:6" x14ac:dyDescent="0.3">
      <c r="A2063" t="s">
        <v>606</v>
      </c>
      <c r="B2063" t="s">
        <v>2130</v>
      </c>
      <c r="C2063">
        <v>13</v>
      </c>
      <c r="D2063">
        <v>66</v>
      </c>
      <c r="E2063">
        <f>IF(OR(B2063="vi",B2063="ii",B2063="pod"),(((D2063/100)*(C2063*VLOOKUP(B2063,'Poids des runes'!A:B,2,FALSE)))+1),(((D2063/100)*(C2063*VLOOKUP(B2063,'Poids des runes'!A:B,2,FALSE)))+1)/VLOOKUP(B2063,'Poids des runes'!A:B,2,FALSE))</f>
        <v>9.58</v>
      </c>
      <c r="F2063">
        <f t="shared" si="32"/>
        <v>9.58</v>
      </c>
    </row>
    <row r="2064" spans="1:6" x14ac:dyDescent="0.3">
      <c r="A2064" t="s">
        <v>606</v>
      </c>
      <c r="B2064" t="s">
        <v>2126</v>
      </c>
      <c r="C2064">
        <v>13</v>
      </c>
      <c r="D2064">
        <v>66</v>
      </c>
      <c r="E2064">
        <f>IF(OR(B2064="vi",B2064="ii",B2064="pod"),(((D2064/100)*(C2064*VLOOKUP(B2064,'Poids des runes'!A:B,2,FALSE)))+1),(((D2064/100)*(C2064*VLOOKUP(B2064,'Poids des runes'!A:B,2,FALSE)))+1)/VLOOKUP(B2064,'Poids des runes'!A:B,2,FALSE))</f>
        <v>9.58</v>
      </c>
      <c r="F2064">
        <f t="shared" si="32"/>
        <v>9.58</v>
      </c>
    </row>
    <row r="2065" spans="1:6" x14ac:dyDescent="0.3">
      <c r="A2065" t="s">
        <v>606</v>
      </c>
      <c r="B2065" t="s">
        <v>2131</v>
      </c>
      <c r="C2065">
        <v>13</v>
      </c>
      <c r="D2065">
        <v>66</v>
      </c>
      <c r="E2065">
        <f>IF(OR(B2065="vi",B2065="ii",B2065="pod"),(((D2065/100)*(C2065*VLOOKUP(B2065,'Poids des runes'!A:B,2,FALSE)))+1),(((D2065/100)*(C2065*VLOOKUP(B2065,'Poids des runes'!A:B,2,FALSE)))+1)/VLOOKUP(B2065,'Poids des runes'!A:B,2,FALSE))</f>
        <v>9.58</v>
      </c>
      <c r="F2065">
        <f t="shared" si="32"/>
        <v>9.58</v>
      </c>
    </row>
    <row r="2066" spans="1:6" x14ac:dyDescent="0.3">
      <c r="A2066" t="s">
        <v>606</v>
      </c>
      <c r="B2066" t="s">
        <v>2127</v>
      </c>
      <c r="C2066">
        <v>13</v>
      </c>
      <c r="D2066">
        <v>66</v>
      </c>
      <c r="E2066">
        <f>IF(OR(B2066="vi",B2066="ii",B2066="pod"),(((D2066/100)*(C2066*VLOOKUP(B2066,'Poids des runes'!A:B,2,FALSE)))+1),(((D2066/100)*(C2066*VLOOKUP(B2066,'Poids des runes'!A:B,2,FALSE)))+1)/VLOOKUP(B2066,'Poids des runes'!A:B,2,FALSE))</f>
        <v>9.58</v>
      </c>
      <c r="F2066">
        <f t="shared" si="32"/>
        <v>9.58</v>
      </c>
    </row>
    <row r="2067" spans="1:6" x14ac:dyDescent="0.3">
      <c r="A2067" t="s">
        <v>606</v>
      </c>
      <c r="B2067" t="s">
        <v>2139</v>
      </c>
      <c r="C2067">
        <v>13</v>
      </c>
      <c r="D2067">
        <v>66</v>
      </c>
      <c r="E2067">
        <f>IF(OR(B2067="vi",B2067="ii",B2067="pod"),(((D2067/100)*(C2067*VLOOKUP(B2067,'Poids des runes'!A:B,2,FALSE)))+1),(((D2067/100)*(C2067*VLOOKUP(B2067,'Poids des runes'!A:B,2,FALSE)))+1)/VLOOKUP(B2067,'Poids des runes'!A:B,2,FALSE))</f>
        <v>9.08</v>
      </c>
      <c r="F2067">
        <f t="shared" si="32"/>
        <v>9.08</v>
      </c>
    </row>
    <row r="2068" spans="1:6" x14ac:dyDescent="0.3">
      <c r="A2068" t="s">
        <v>606</v>
      </c>
      <c r="B2068" t="s">
        <v>2155</v>
      </c>
      <c r="C2068">
        <v>1</v>
      </c>
      <c r="D2068">
        <v>66</v>
      </c>
      <c r="E2068">
        <f>IF(OR(B2068="vi",B2068="ii",B2068="pod"),(((D2068/100)*(C2068*VLOOKUP(B2068,'Poids des runes'!A:B,2,FALSE)))+1),(((D2068/100)*(C2068*VLOOKUP(B2068,'Poids des runes'!A:B,2,FALSE)))+1)/VLOOKUP(B2068,'Poids des runes'!A:B,2,FALSE))</f>
        <v>0.67960784313725497</v>
      </c>
      <c r="F2068">
        <f t="shared" si="32"/>
        <v>0.67960784313725497</v>
      </c>
    </row>
    <row r="2069" spans="1:6" x14ac:dyDescent="0.3">
      <c r="A2069" t="s">
        <v>606</v>
      </c>
      <c r="B2069" t="s">
        <v>2134</v>
      </c>
      <c r="C2069">
        <v>4.5</v>
      </c>
      <c r="D2069">
        <v>66</v>
      </c>
      <c r="E2069">
        <f>IF(OR(B2069="vi",B2069="ii",B2069="pod"),(((D2069/100)*(C2069*VLOOKUP(B2069,'Poids des runes'!A:B,2,FALSE)))+1),(((D2069/100)*(C2069*VLOOKUP(B2069,'Poids des runes'!A:B,2,FALSE)))+1)/VLOOKUP(B2069,'Poids des runes'!A:B,2,FALSE))</f>
        <v>3.0200000000000005</v>
      </c>
      <c r="F2069">
        <f t="shared" si="32"/>
        <v>3.0200000000000005</v>
      </c>
    </row>
    <row r="2070" spans="1:6" x14ac:dyDescent="0.3">
      <c r="A2070" t="s">
        <v>606</v>
      </c>
      <c r="B2070" t="s">
        <v>2132</v>
      </c>
      <c r="C2070">
        <v>175.5</v>
      </c>
      <c r="D2070">
        <v>66</v>
      </c>
      <c r="E2070">
        <f>IF(OR(B2070="vi",B2070="ii",B2070="pod"),(((D2070/100)*(C2070*VLOOKUP(B2070,'Poids des runes'!A:B,2,FALSE)))+1),(((D2070/100)*(C2070*VLOOKUP(B2070,'Poids des runes'!A:B,2,FALSE)))+1)/VLOOKUP(B2070,'Poids des runes'!A:B,2,FALSE))</f>
        <v>12.583</v>
      </c>
      <c r="F2070">
        <f t="shared" si="32"/>
        <v>12.583</v>
      </c>
    </row>
    <row r="2071" spans="1:6" x14ac:dyDescent="0.3">
      <c r="A2071" t="s">
        <v>607</v>
      </c>
      <c r="B2071" t="s">
        <v>2139</v>
      </c>
      <c r="C2071">
        <v>40.5</v>
      </c>
      <c r="D2071">
        <v>66</v>
      </c>
      <c r="E2071">
        <f>IF(OR(B2071="vi",B2071="ii",B2071="pod"),(((D2071/100)*(C2071*VLOOKUP(B2071,'Poids des runes'!A:B,2,FALSE)))+1),(((D2071/100)*(C2071*VLOOKUP(B2071,'Poids des runes'!A:B,2,FALSE)))+1)/VLOOKUP(B2071,'Poids des runes'!A:B,2,FALSE))</f>
        <v>27.23</v>
      </c>
      <c r="F2071">
        <f t="shared" si="32"/>
        <v>27.23</v>
      </c>
    </row>
    <row r="2072" spans="1:6" x14ac:dyDescent="0.3">
      <c r="A2072" t="s">
        <v>607</v>
      </c>
      <c r="B2072" t="s">
        <v>2151</v>
      </c>
      <c r="C2072">
        <v>4</v>
      </c>
      <c r="D2072">
        <v>66</v>
      </c>
      <c r="E2072">
        <f>IF(OR(B2072="vi",B2072="ii",B2072="pod"),(((D2072/100)*(C2072*VLOOKUP(B2072,'Poids des runes'!A:B,2,FALSE)))+1),(((D2072/100)*(C2072*VLOOKUP(B2072,'Poids des runes'!A:B,2,FALSE)))+1)/VLOOKUP(B2072,'Poids des runes'!A:B,2,FALSE))</f>
        <v>2.74</v>
      </c>
      <c r="F2072">
        <f t="shared" si="32"/>
        <v>2.74</v>
      </c>
    </row>
    <row r="2073" spans="1:6" x14ac:dyDescent="0.3">
      <c r="A2073" t="s">
        <v>607</v>
      </c>
      <c r="B2073" t="s">
        <v>2132</v>
      </c>
      <c r="C2073">
        <v>175.5</v>
      </c>
      <c r="D2073">
        <v>66</v>
      </c>
      <c r="E2073">
        <f>IF(OR(B2073="vi",B2073="ii",B2073="pod"),(((D2073/100)*(C2073*VLOOKUP(B2073,'Poids des runes'!A:B,2,FALSE)))+1),(((D2073/100)*(C2073*VLOOKUP(B2073,'Poids des runes'!A:B,2,FALSE)))+1)/VLOOKUP(B2073,'Poids des runes'!A:B,2,FALSE))</f>
        <v>12.583</v>
      </c>
      <c r="F2073">
        <f t="shared" si="32"/>
        <v>12.583</v>
      </c>
    </row>
    <row r="2074" spans="1:6" x14ac:dyDescent="0.3">
      <c r="A2074" t="s">
        <v>607</v>
      </c>
      <c r="B2074" t="s">
        <v>2158</v>
      </c>
      <c r="C2074">
        <v>8.5</v>
      </c>
      <c r="D2074">
        <v>66</v>
      </c>
      <c r="E2074">
        <f>IF(OR(B2074="vi",B2074="ii",B2074="pod"),(((D2074/100)*(C2074*VLOOKUP(B2074,'Poids des runes'!A:B,2,FALSE)))+1),(((D2074/100)*(C2074*VLOOKUP(B2074,'Poids des runes'!A:B,2,FALSE)))+1)/VLOOKUP(B2074,'Poids des runes'!A:B,2,FALSE))</f>
        <v>5.8100000000000005</v>
      </c>
      <c r="F2074">
        <f t="shared" si="32"/>
        <v>5.8100000000000005</v>
      </c>
    </row>
    <row r="2075" spans="1:6" x14ac:dyDescent="0.3">
      <c r="A2075" t="s">
        <v>607</v>
      </c>
      <c r="B2075" t="s">
        <v>2142</v>
      </c>
      <c r="C2075">
        <v>8.5</v>
      </c>
      <c r="D2075">
        <v>66</v>
      </c>
      <c r="E2075">
        <f>IF(OR(B2075="vi",B2075="ii",B2075="pod"),(((D2075/100)*(C2075*VLOOKUP(B2075,'Poids des runes'!A:B,2,FALSE)))+1),(((D2075/100)*(C2075*VLOOKUP(B2075,'Poids des runes'!A:B,2,FALSE)))+1)/VLOOKUP(B2075,'Poids des runes'!A:B,2,FALSE))</f>
        <v>5.8100000000000005</v>
      </c>
      <c r="F2075">
        <f t="shared" si="32"/>
        <v>5.8100000000000005</v>
      </c>
    </row>
    <row r="2076" spans="1:6" x14ac:dyDescent="0.3">
      <c r="A2076" t="s">
        <v>608</v>
      </c>
      <c r="B2076" t="s">
        <v>2128</v>
      </c>
      <c r="C2076">
        <v>50.5</v>
      </c>
      <c r="D2076">
        <v>66</v>
      </c>
      <c r="E2076">
        <f>IF(OR(B2076="vi",B2076="ii",B2076="pod"),(((D2076/100)*(C2076*VLOOKUP(B2076,'Poids des runes'!A:B,2,FALSE)))+1),(((D2076/100)*(C2076*VLOOKUP(B2076,'Poids des runes'!A:B,2,FALSE)))+1)/VLOOKUP(B2076,'Poids des runes'!A:B,2,FALSE))</f>
        <v>7.6660000000000013</v>
      </c>
      <c r="F2076">
        <f t="shared" si="32"/>
        <v>7.6660000000000013</v>
      </c>
    </row>
    <row r="2077" spans="1:6" x14ac:dyDescent="0.3">
      <c r="A2077" t="s">
        <v>608</v>
      </c>
      <c r="B2077" t="s">
        <v>2129</v>
      </c>
      <c r="C2077">
        <v>13</v>
      </c>
      <c r="D2077">
        <v>66</v>
      </c>
      <c r="E2077">
        <f>IF(OR(B2077="vi",B2077="ii",B2077="pod"),(((D2077/100)*(C2077*VLOOKUP(B2077,'Poids des runes'!A:B,2,FALSE)))+1),(((D2077/100)*(C2077*VLOOKUP(B2077,'Poids des runes'!A:B,2,FALSE)))+1)/VLOOKUP(B2077,'Poids des runes'!A:B,2,FALSE))</f>
        <v>9.58</v>
      </c>
      <c r="F2077">
        <f t="shared" si="32"/>
        <v>9.58</v>
      </c>
    </row>
    <row r="2078" spans="1:6" x14ac:dyDescent="0.3">
      <c r="A2078" t="s">
        <v>608</v>
      </c>
      <c r="B2078" t="s">
        <v>2151</v>
      </c>
      <c r="C2078">
        <v>3.5</v>
      </c>
      <c r="D2078">
        <v>66</v>
      </c>
      <c r="E2078">
        <f>IF(OR(B2078="vi",B2078="ii",B2078="pod"),(((D2078/100)*(C2078*VLOOKUP(B2078,'Poids des runes'!A:B,2,FALSE)))+1),(((D2078/100)*(C2078*VLOOKUP(B2078,'Poids des runes'!A:B,2,FALSE)))+1)/VLOOKUP(B2078,'Poids des runes'!A:B,2,FALSE))</f>
        <v>2.41</v>
      </c>
      <c r="F2078">
        <f t="shared" si="32"/>
        <v>2.41</v>
      </c>
    </row>
    <row r="2079" spans="1:6" x14ac:dyDescent="0.3">
      <c r="A2079" t="s">
        <v>608</v>
      </c>
      <c r="B2079" t="s">
        <v>2143</v>
      </c>
      <c r="C2079">
        <v>2.5</v>
      </c>
      <c r="D2079">
        <v>66</v>
      </c>
      <c r="E2079">
        <f>IF(OR(B2079="vi",B2079="ii",B2079="pod"),(((D2079/100)*(C2079*VLOOKUP(B2079,'Poids des runes'!A:B,2,FALSE)))+1),(((D2079/100)*(C2079*VLOOKUP(B2079,'Poids des runes'!A:B,2,FALSE)))+1)/VLOOKUP(B2079,'Poids des runes'!A:B,2,FALSE))</f>
        <v>1.85</v>
      </c>
      <c r="F2079">
        <f t="shared" si="32"/>
        <v>1.85</v>
      </c>
    </row>
    <row r="2080" spans="1:6" x14ac:dyDescent="0.3">
      <c r="A2080" t="s">
        <v>608</v>
      </c>
      <c r="B2080" t="s">
        <v>2140</v>
      </c>
      <c r="C2080">
        <v>2.5</v>
      </c>
      <c r="D2080">
        <v>66</v>
      </c>
      <c r="E2080">
        <f>IF(OR(B2080="vi",B2080="ii",B2080="pod"),(((D2080/100)*(C2080*VLOOKUP(B2080,'Poids des runes'!A:B,2,FALSE)))+1),(((D2080/100)*(C2080*VLOOKUP(B2080,'Poids des runes'!A:B,2,FALSE)))+1)/VLOOKUP(B2080,'Poids des runes'!A:B,2,FALSE))</f>
        <v>1.85</v>
      </c>
      <c r="F2080">
        <f t="shared" si="32"/>
        <v>1.85</v>
      </c>
    </row>
    <row r="2081" spans="1:6" x14ac:dyDescent="0.3">
      <c r="A2081" t="s">
        <v>609</v>
      </c>
      <c r="B2081" t="s">
        <v>2130</v>
      </c>
      <c r="C2081">
        <v>25.5</v>
      </c>
      <c r="D2081">
        <v>67</v>
      </c>
      <c r="E2081">
        <f>IF(OR(B2081="vi",B2081="ii",B2081="pod"),(((D2081/100)*(C2081*VLOOKUP(B2081,'Poids des runes'!A:B,2,FALSE)))+1),(((D2081/100)*(C2081*VLOOKUP(B2081,'Poids des runes'!A:B,2,FALSE)))+1)/VLOOKUP(B2081,'Poids des runes'!A:B,2,FALSE))</f>
        <v>18.085000000000001</v>
      </c>
      <c r="F2081">
        <f t="shared" si="32"/>
        <v>18.085000000000001</v>
      </c>
    </row>
    <row r="2082" spans="1:6" x14ac:dyDescent="0.3">
      <c r="A2082" t="s">
        <v>609</v>
      </c>
      <c r="B2082" t="s">
        <v>2127</v>
      </c>
      <c r="C2082">
        <v>25.5</v>
      </c>
      <c r="D2082">
        <v>67</v>
      </c>
      <c r="E2082">
        <f>IF(OR(B2082="vi",B2082="ii",B2082="pod"),(((D2082/100)*(C2082*VLOOKUP(B2082,'Poids des runes'!A:B,2,FALSE)))+1),(((D2082/100)*(C2082*VLOOKUP(B2082,'Poids des runes'!A:B,2,FALSE)))+1)/VLOOKUP(B2082,'Poids des runes'!A:B,2,FALSE))</f>
        <v>18.085000000000001</v>
      </c>
      <c r="F2082">
        <f t="shared" si="32"/>
        <v>18.085000000000001</v>
      </c>
    </row>
    <row r="2083" spans="1:6" x14ac:dyDescent="0.3">
      <c r="A2083" t="s">
        <v>609</v>
      </c>
      <c r="B2083" t="s">
        <v>2129</v>
      </c>
      <c r="C2083">
        <v>13</v>
      </c>
      <c r="D2083">
        <v>67</v>
      </c>
      <c r="E2083">
        <f>IF(OR(B2083="vi",B2083="ii",B2083="pod"),(((D2083/100)*(C2083*VLOOKUP(B2083,'Poids des runes'!A:B,2,FALSE)))+1),(((D2083/100)*(C2083*VLOOKUP(B2083,'Poids des runes'!A:B,2,FALSE)))+1)/VLOOKUP(B2083,'Poids des runes'!A:B,2,FALSE))</f>
        <v>9.7100000000000009</v>
      </c>
      <c r="F2083">
        <f t="shared" si="32"/>
        <v>9.7100000000000009</v>
      </c>
    </row>
    <row r="2084" spans="1:6" x14ac:dyDescent="0.3">
      <c r="A2084" t="s">
        <v>609</v>
      </c>
      <c r="B2084" t="s">
        <v>2150</v>
      </c>
      <c r="C2084">
        <v>1</v>
      </c>
      <c r="D2084">
        <v>67</v>
      </c>
      <c r="E2084">
        <f>IF(OR(B2084="vi",B2084="ii",B2084="pod"),(((D2084/100)*(C2084*VLOOKUP(B2084,'Poids des runes'!A:B,2,FALSE)))+1),(((D2084/100)*(C2084*VLOOKUP(B2084,'Poids des runes'!A:B,2,FALSE)))+1)/VLOOKUP(B2084,'Poids des runes'!A:B,2,FALSE))</f>
        <v>0.70333333333333337</v>
      </c>
      <c r="F2084">
        <f t="shared" si="32"/>
        <v>0.70333333333333337</v>
      </c>
    </row>
    <row r="2085" spans="1:6" x14ac:dyDescent="0.3">
      <c r="A2085" t="s">
        <v>609</v>
      </c>
      <c r="B2085" t="s">
        <v>2134</v>
      </c>
      <c r="C2085">
        <v>2</v>
      </c>
      <c r="D2085">
        <v>67</v>
      </c>
      <c r="E2085">
        <f>IF(OR(B2085="vi",B2085="ii",B2085="pod"),(((D2085/100)*(C2085*VLOOKUP(B2085,'Poids des runes'!A:B,2,FALSE)))+1),(((D2085/100)*(C2085*VLOOKUP(B2085,'Poids des runes'!A:B,2,FALSE)))+1)/VLOOKUP(B2085,'Poids des runes'!A:B,2,FALSE))</f>
        <v>1.3900000000000001</v>
      </c>
      <c r="F2085">
        <f t="shared" si="32"/>
        <v>1.3900000000000001</v>
      </c>
    </row>
    <row r="2086" spans="1:6" x14ac:dyDescent="0.3">
      <c r="A2086" t="s">
        <v>609</v>
      </c>
      <c r="B2086" t="s">
        <v>2157</v>
      </c>
      <c r="C2086">
        <v>2</v>
      </c>
      <c r="D2086">
        <v>67</v>
      </c>
      <c r="E2086">
        <f>IF(OR(B2086="vi",B2086="ii",B2086="pod"),(((D2086/100)*(C2086*VLOOKUP(B2086,'Poids des runes'!A:B,2,FALSE)))+1),(((D2086/100)*(C2086*VLOOKUP(B2086,'Poids des runes'!A:B,2,FALSE)))+1)/VLOOKUP(B2086,'Poids des runes'!A:B,2,FALSE))</f>
        <v>1.5066666666666668</v>
      </c>
      <c r="F2086">
        <f t="shared" si="32"/>
        <v>1.5066666666666668</v>
      </c>
    </row>
    <row r="2087" spans="1:6" x14ac:dyDescent="0.3">
      <c r="A2087" t="s">
        <v>610</v>
      </c>
      <c r="B2087" t="s">
        <v>2128</v>
      </c>
      <c r="C2087">
        <v>25.5</v>
      </c>
      <c r="D2087">
        <v>67</v>
      </c>
      <c r="E2087">
        <f>IF(OR(B2087="vi",B2087="ii",B2087="pod"),(((D2087/100)*(C2087*VLOOKUP(B2087,'Poids des runes'!A:B,2,FALSE)))+1),(((D2087/100)*(C2087*VLOOKUP(B2087,'Poids des runes'!A:B,2,FALSE)))+1)/VLOOKUP(B2087,'Poids des runes'!A:B,2,FALSE))</f>
        <v>4.4170000000000007</v>
      </c>
      <c r="F2087">
        <f t="shared" si="32"/>
        <v>4.4170000000000007</v>
      </c>
    </row>
    <row r="2088" spans="1:6" x14ac:dyDescent="0.3">
      <c r="A2088" t="s">
        <v>610</v>
      </c>
      <c r="B2088" t="s">
        <v>2126</v>
      </c>
      <c r="C2088">
        <v>23</v>
      </c>
      <c r="D2088">
        <v>67</v>
      </c>
      <c r="E2088">
        <f>IF(OR(B2088="vi",B2088="ii",B2088="pod"),(((D2088/100)*(C2088*VLOOKUP(B2088,'Poids des runes'!A:B,2,FALSE)))+1),(((D2088/100)*(C2088*VLOOKUP(B2088,'Poids des runes'!A:B,2,FALSE)))+1)/VLOOKUP(B2088,'Poids des runes'!A:B,2,FALSE))</f>
        <v>16.41</v>
      </c>
      <c r="F2088">
        <f t="shared" si="32"/>
        <v>16.41</v>
      </c>
    </row>
    <row r="2089" spans="1:6" x14ac:dyDescent="0.3">
      <c r="A2089" t="s">
        <v>610</v>
      </c>
      <c r="B2089" t="s">
        <v>2131</v>
      </c>
      <c r="C2089">
        <v>23</v>
      </c>
      <c r="D2089">
        <v>67</v>
      </c>
      <c r="E2089">
        <f>IF(OR(B2089="vi",B2089="ii",B2089="pod"),(((D2089/100)*(C2089*VLOOKUP(B2089,'Poids des runes'!A:B,2,FALSE)))+1),(((D2089/100)*(C2089*VLOOKUP(B2089,'Poids des runes'!A:B,2,FALSE)))+1)/VLOOKUP(B2089,'Poids des runes'!A:B,2,FALSE))</f>
        <v>16.41</v>
      </c>
      <c r="F2089">
        <f t="shared" si="32"/>
        <v>16.41</v>
      </c>
    </row>
    <row r="2090" spans="1:6" x14ac:dyDescent="0.3">
      <c r="A2090" t="s">
        <v>610</v>
      </c>
      <c r="B2090" t="s">
        <v>2129</v>
      </c>
      <c r="C2090">
        <v>8.5</v>
      </c>
      <c r="D2090">
        <v>67</v>
      </c>
      <c r="E2090">
        <f>IF(OR(B2090="vi",B2090="ii",B2090="pod"),(((D2090/100)*(C2090*VLOOKUP(B2090,'Poids des runes'!A:B,2,FALSE)))+1),(((D2090/100)*(C2090*VLOOKUP(B2090,'Poids des runes'!A:B,2,FALSE)))+1)/VLOOKUP(B2090,'Poids des runes'!A:B,2,FALSE))</f>
        <v>6.6950000000000003</v>
      </c>
      <c r="F2090">
        <f t="shared" si="32"/>
        <v>6.6950000000000003</v>
      </c>
    </row>
    <row r="2091" spans="1:6" x14ac:dyDescent="0.3">
      <c r="A2091" t="s">
        <v>610</v>
      </c>
      <c r="B2091" t="s">
        <v>2161</v>
      </c>
      <c r="C2091">
        <v>8.5</v>
      </c>
      <c r="D2091">
        <v>67</v>
      </c>
      <c r="E2091">
        <f>IF(OR(B2091="vi",B2091="ii",B2091="pod"),(((D2091/100)*(C2091*VLOOKUP(B2091,'Poids des runes'!A:B,2,FALSE)))+1),(((D2091/100)*(C2091*VLOOKUP(B2091,'Poids des runes'!A:B,2,FALSE)))+1)/VLOOKUP(B2091,'Poids des runes'!A:B,2,FALSE))</f>
        <v>6.0283333333333333</v>
      </c>
      <c r="F2091">
        <f t="shared" si="32"/>
        <v>6.0283333333333333</v>
      </c>
    </row>
    <row r="2092" spans="1:6" x14ac:dyDescent="0.3">
      <c r="A2092" t="s">
        <v>610</v>
      </c>
      <c r="B2092" t="s">
        <v>2132</v>
      </c>
      <c r="C2092">
        <v>125.5</v>
      </c>
      <c r="D2092">
        <v>67</v>
      </c>
      <c r="E2092">
        <f>IF(OR(B2092="vi",B2092="ii",B2092="pod"),(((D2092/100)*(C2092*VLOOKUP(B2092,'Poids des runes'!A:B,2,FALSE)))+1),(((D2092/100)*(C2092*VLOOKUP(B2092,'Poids des runes'!A:B,2,FALSE)))+1)/VLOOKUP(B2092,'Poids des runes'!A:B,2,FALSE))</f>
        <v>9.4085000000000019</v>
      </c>
      <c r="F2092">
        <f t="shared" si="32"/>
        <v>9.4085000000000019</v>
      </c>
    </row>
    <row r="2093" spans="1:6" x14ac:dyDescent="0.3">
      <c r="A2093" t="s">
        <v>611</v>
      </c>
      <c r="B2093" t="s">
        <v>2130</v>
      </c>
      <c r="C2093">
        <v>55.5</v>
      </c>
      <c r="D2093">
        <v>67</v>
      </c>
      <c r="E2093">
        <f>IF(OR(B2093="vi",B2093="ii",B2093="pod"),(((D2093/100)*(C2093*VLOOKUP(B2093,'Poids des runes'!A:B,2,FALSE)))+1),(((D2093/100)*(C2093*VLOOKUP(B2093,'Poids des runes'!A:B,2,FALSE)))+1)/VLOOKUP(B2093,'Poids des runes'!A:B,2,FALSE))</f>
        <v>38.185000000000002</v>
      </c>
      <c r="F2093">
        <f t="shared" si="32"/>
        <v>38.185000000000002</v>
      </c>
    </row>
    <row r="2094" spans="1:6" x14ac:dyDescent="0.3">
      <c r="A2094" t="s">
        <v>611</v>
      </c>
      <c r="B2094" t="s">
        <v>2126</v>
      </c>
      <c r="C2094">
        <v>55.5</v>
      </c>
      <c r="D2094">
        <v>67</v>
      </c>
      <c r="E2094">
        <f>IF(OR(B2094="vi",B2094="ii",B2094="pod"),(((D2094/100)*(C2094*VLOOKUP(B2094,'Poids des runes'!A:B,2,FALSE)))+1),(((D2094/100)*(C2094*VLOOKUP(B2094,'Poids des runes'!A:B,2,FALSE)))+1)/VLOOKUP(B2094,'Poids des runes'!A:B,2,FALSE))</f>
        <v>38.185000000000002</v>
      </c>
      <c r="F2094">
        <f t="shared" si="32"/>
        <v>38.185000000000002</v>
      </c>
    </row>
    <row r="2095" spans="1:6" x14ac:dyDescent="0.3">
      <c r="A2095" t="s">
        <v>611</v>
      </c>
      <c r="B2095" t="s">
        <v>2143</v>
      </c>
      <c r="C2095">
        <v>2.5</v>
      </c>
      <c r="D2095">
        <v>67</v>
      </c>
      <c r="E2095">
        <f>IF(OR(B2095="vi",B2095="ii",B2095="pod"),(((D2095/100)*(C2095*VLOOKUP(B2095,'Poids des runes'!A:B,2,FALSE)))+1),(((D2095/100)*(C2095*VLOOKUP(B2095,'Poids des runes'!A:B,2,FALSE)))+1)/VLOOKUP(B2095,'Poids des runes'!A:B,2,FALSE))</f>
        <v>1.875</v>
      </c>
      <c r="F2095">
        <f t="shared" si="32"/>
        <v>1.875</v>
      </c>
    </row>
    <row r="2096" spans="1:6" x14ac:dyDescent="0.3">
      <c r="A2096" t="s">
        <v>611</v>
      </c>
      <c r="B2096" t="s">
        <v>2140</v>
      </c>
      <c r="C2096">
        <v>2.5</v>
      </c>
      <c r="D2096">
        <v>67</v>
      </c>
      <c r="E2096">
        <f>IF(OR(B2096="vi",B2096="ii",B2096="pod"),(((D2096/100)*(C2096*VLOOKUP(B2096,'Poids des runes'!A:B,2,FALSE)))+1),(((D2096/100)*(C2096*VLOOKUP(B2096,'Poids des runes'!A:B,2,FALSE)))+1)/VLOOKUP(B2096,'Poids des runes'!A:B,2,FALSE))</f>
        <v>1.875</v>
      </c>
      <c r="F2096">
        <f t="shared" si="32"/>
        <v>1.875</v>
      </c>
    </row>
    <row r="2097" spans="1:6" x14ac:dyDescent="0.3">
      <c r="A2097" t="s">
        <v>612</v>
      </c>
      <c r="B2097" t="s">
        <v>2128</v>
      </c>
      <c r="C2097">
        <v>35.5</v>
      </c>
      <c r="D2097">
        <v>67</v>
      </c>
      <c r="E2097">
        <f>IF(OR(B2097="vi",B2097="ii",B2097="pod"),(((D2097/100)*(C2097*VLOOKUP(B2097,'Poids des runes'!A:B,2,FALSE)))+1),(((D2097/100)*(C2097*VLOOKUP(B2097,'Poids des runes'!A:B,2,FALSE)))+1)/VLOOKUP(B2097,'Poids des runes'!A:B,2,FALSE))</f>
        <v>5.7570000000000006</v>
      </c>
      <c r="F2097">
        <f t="shared" si="32"/>
        <v>5.7570000000000006</v>
      </c>
    </row>
    <row r="2098" spans="1:6" x14ac:dyDescent="0.3">
      <c r="A2098" t="s">
        <v>612</v>
      </c>
      <c r="B2098" t="s">
        <v>2130</v>
      </c>
      <c r="C2098">
        <v>50.5</v>
      </c>
      <c r="D2098">
        <v>67</v>
      </c>
      <c r="E2098">
        <f>IF(OR(B2098="vi",B2098="ii",B2098="pod"),(((D2098/100)*(C2098*VLOOKUP(B2098,'Poids des runes'!A:B,2,FALSE)))+1),(((D2098/100)*(C2098*VLOOKUP(B2098,'Poids des runes'!A:B,2,FALSE)))+1)/VLOOKUP(B2098,'Poids des runes'!A:B,2,FALSE))</f>
        <v>34.835000000000001</v>
      </c>
      <c r="F2098">
        <f t="shared" si="32"/>
        <v>34.835000000000001</v>
      </c>
    </row>
    <row r="2099" spans="1:6" x14ac:dyDescent="0.3">
      <c r="A2099" t="s">
        <v>612</v>
      </c>
      <c r="B2099" t="s">
        <v>2126</v>
      </c>
      <c r="C2099">
        <v>25.5</v>
      </c>
      <c r="D2099">
        <v>67</v>
      </c>
      <c r="E2099">
        <f>IF(OR(B2099="vi",B2099="ii",B2099="pod"),(((D2099/100)*(C2099*VLOOKUP(B2099,'Poids des runes'!A:B,2,FALSE)))+1),(((D2099/100)*(C2099*VLOOKUP(B2099,'Poids des runes'!A:B,2,FALSE)))+1)/VLOOKUP(B2099,'Poids des runes'!A:B,2,FALSE))</f>
        <v>18.085000000000001</v>
      </c>
      <c r="F2099">
        <f t="shared" si="32"/>
        <v>18.085000000000001</v>
      </c>
    </row>
    <row r="2100" spans="1:6" x14ac:dyDescent="0.3">
      <c r="A2100" t="s">
        <v>612</v>
      </c>
      <c r="B2100" t="s">
        <v>2156</v>
      </c>
      <c r="C2100">
        <v>2.5</v>
      </c>
      <c r="D2100">
        <v>67</v>
      </c>
      <c r="E2100">
        <f>IF(OR(B2100="vi",B2100="ii",B2100="pod"),(((D2100/100)*(C2100*VLOOKUP(B2100,'Poids des runes'!A:B,2,FALSE)))+1),(((D2100/100)*(C2100*VLOOKUP(B2100,'Poids des runes'!A:B,2,FALSE)))+1)/VLOOKUP(B2100,'Poids des runes'!A:B,2,FALSE))</f>
        <v>1.8416666666666668</v>
      </c>
      <c r="F2100">
        <f t="shared" si="32"/>
        <v>1.8416666666666668</v>
      </c>
    </row>
    <row r="2101" spans="1:6" x14ac:dyDescent="0.3">
      <c r="A2101" t="s">
        <v>612</v>
      </c>
      <c r="B2101" t="s">
        <v>2148</v>
      </c>
      <c r="C2101">
        <v>2.5</v>
      </c>
      <c r="D2101">
        <v>67</v>
      </c>
      <c r="E2101">
        <f>IF(OR(B2101="vi",B2101="ii",B2101="pod"),(((D2101/100)*(C2101*VLOOKUP(B2101,'Poids des runes'!A:B,2,FALSE)))+1),(((D2101/100)*(C2101*VLOOKUP(B2101,'Poids des runes'!A:B,2,FALSE)))+1)/VLOOKUP(B2101,'Poids des runes'!A:B,2,FALSE))</f>
        <v>1.8416666666666668</v>
      </c>
      <c r="F2101">
        <f t="shared" si="32"/>
        <v>1.8416666666666668</v>
      </c>
    </row>
    <row r="2102" spans="1:6" x14ac:dyDescent="0.3">
      <c r="A2102" t="s">
        <v>613</v>
      </c>
      <c r="B2102" t="s">
        <v>2128</v>
      </c>
      <c r="C2102">
        <v>50.5</v>
      </c>
      <c r="D2102">
        <v>67</v>
      </c>
      <c r="E2102">
        <f>IF(OR(B2102="vi",B2102="ii",B2102="pod"),(((D2102/100)*(C2102*VLOOKUP(B2102,'Poids des runes'!A:B,2,FALSE)))+1),(((D2102/100)*(C2102*VLOOKUP(B2102,'Poids des runes'!A:B,2,FALSE)))+1)/VLOOKUP(B2102,'Poids des runes'!A:B,2,FALSE))</f>
        <v>7.7670000000000012</v>
      </c>
      <c r="F2102">
        <f t="shared" si="32"/>
        <v>7.7670000000000012</v>
      </c>
    </row>
    <row r="2103" spans="1:6" x14ac:dyDescent="0.3">
      <c r="A2103" t="s">
        <v>613</v>
      </c>
      <c r="B2103" t="s">
        <v>2129</v>
      </c>
      <c r="C2103">
        <v>25.5</v>
      </c>
      <c r="D2103">
        <v>67</v>
      </c>
      <c r="E2103">
        <f>IF(OR(B2103="vi",B2103="ii",B2103="pod"),(((D2103/100)*(C2103*VLOOKUP(B2103,'Poids des runes'!A:B,2,FALSE)))+1),(((D2103/100)*(C2103*VLOOKUP(B2103,'Poids des runes'!A:B,2,FALSE)))+1)/VLOOKUP(B2103,'Poids des runes'!A:B,2,FALSE))</f>
        <v>18.085000000000001</v>
      </c>
      <c r="F2103">
        <f t="shared" si="32"/>
        <v>18.085000000000001</v>
      </c>
    </row>
    <row r="2104" spans="1:6" x14ac:dyDescent="0.3">
      <c r="A2104" t="s">
        <v>613</v>
      </c>
      <c r="B2104" t="s">
        <v>2151</v>
      </c>
      <c r="C2104">
        <v>4.5</v>
      </c>
      <c r="D2104">
        <v>67</v>
      </c>
      <c r="E2104">
        <f>IF(OR(B2104="vi",B2104="ii",B2104="pod"),(((D2104/100)*(C2104*VLOOKUP(B2104,'Poids des runes'!A:B,2,FALSE)))+1),(((D2104/100)*(C2104*VLOOKUP(B2104,'Poids des runes'!A:B,2,FALSE)))+1)/VLOOKUP(B2104,'Poids des runes'!A:B,2,FALSE))</f>
        <v>3.1150000000000002</v>
      </c>
      <c r="F2104">
        <f t="shared" si="32"/>
        <v>3.1150000000000002</v>
      </c>
    </row>
    <row r="2105" spans="1:6" x14ac:dyDescent="0.3">
      <c r="A2105" t="s">
        <v>613</v>
      </c>
      <c r="B2105" t="s">
        <v>2134</v>
      </c>
      <c r="C2105">
        <v>4.5</v>
      </c>
      <c r="D2105">
        <v>67</v>
      </c>
      <c r="E2105">
        <f>IF(OR(B2105="vi",B2105="ii",B2105="pod"),(((D2105/100)*(C2105*VLOOKUP(B2105,'Poids des runes'!A:B,2,FALSE)))+1),(((D2105/100)*(C2105*VLOOKUP(B2105,'Poids des runes'!A:B,2,FALSE)))+1)/VLOOKUP(B2105,'Poids des runes'!A:B,2,FALSE))</f>
        <v>3.0650000000000004</v>
      </c>
      <c r="F2105">
        <f t="shared" si="32"/>
        <v>3.0650000000000004</v>
      </c>
    </row>
    <row r="2106" spans="1:6" x14ac:dyDescent="0.3">
      <c r="A2106" t="s">
        <v>613</v>
      </c>
      <c r="B2106" t="s">
        <v>2132</v>
      </c>
      <c r="C2106">
        <v>175.5</v>
      </c>
      <c r="D2106">
        <v>67</v>
      </c>
      <c r="E2106">
        <f>IF(OR(B2106="vi",B2106="ii",B2106="pod"),(((D2106/100)*(C2106*VLOOKUP(B2106,'Poids des runes'!A:B,2,FALSE)))+1),(((D2106/100)*(C2106*VLOOKUP(B2106,'Poids des runes'!A:B,2,FALSE)))+1)/VLOOKUP(B2106,'Poids des runes'!A:B,2,FALSE))</f>
        <v>12.758500000000002</v>
      </c>
      <c r="F2106">
        <f t="shared" si="32"/>
        <v>12.758500000000002</v>
      </c>
    </row>
    <row r="2107" spans="1:6" x14ac:dyDescent="0.3">
      <c r="A2107" t="s">
        <v>614</v>
      </c>
      <c r="B2107" t="s">
        <v>2128</v>
      </c>
      <c r="C2107">
        <v>18</v>
      </c>
      <c r="D2107">
        <v>68</v>
      </c>
      <c r="E2107">
        <f>IF(OR(B2107="vi",B2107="ii",B2107="pod"),(((D2107/100)*(C2107*VLOOKUP(B2107,'Poids des runes'!A:B,2,FALSE)))+1),(((D2107/100)*(C2107*VLOOKUP(B2107,'Poids des runes'!A:B,2,FALSE)))+1)/VLOOKUP(B2107,'Poids des runes'!A:B,2,FALSE))</f>
        <v>3.4480000000000004</v>
      </c>
      <c r="F2107">
        <f t="shared" si="32"/>
        <v>3.4480000000000004</v>
      </c>
    </row>
    <row r="2108" spans="1:6" x14ac:dyDescent="0.3">
      <c r="A2108" t="s">
        <v>614</v>
      </c>
      <c r="B2108" t="s">
        <v>2131</v>
      </c>
      <c r="C2108">
        <v>18</v>
      </c>
      <c r="D2108">
        <v>68</v>
      </c>
      <c r="E2108">
        <f>IF(OR(B2108="vi",B2108="ii",B2108="pod"),(((D2108/100)*(C2108*VLOOKUP(B2108,'Poids des runes'!A:B,2,FALSE)))+1),(((D2108/100)*(C2108*VLOOKUP(B2108,'Poids des runes'!A:B,2,FALSE)))+1)/VLOOKUP(B2108,'Poids des runes'!A:B,2,FALSE))</f>
        <v>13.24</v>
      </c>
      <c r="F2108">
        <f t="shared" si="32"/>
        <v>13.24</v>
      </c>
    </row>
    <row r="2109" spans="1:6" x14ac:dyDescent="0.3">
      <c r="A2109" t="s">
        <v>614</v>
      </c>
      <c r="B2109" t="s">
        <v>2154</v>
      </c>
      <c r="C2109">
        <v>1</v>
      </c>
      <c r="D2109">
        <v>68</v>
      </c>
      <c r="E2109">
        <f>IF(OR(B2109="vi",B2109="ii",B2109="pod"),(((D2109/100)*(C2109*VLOOKUP(B2109,'Poids des runes'!A:B,2,FALSE)))+1),(((D2109/100)*(C2109*VLOOKUP(B2109,'Poids des runes'!A:B,2,FALSE)))+1)/VLOOKUP(B2109,'Poids des runes'!A:B,2,FALSE))</f>
        <v>0.69111111111111112</v>
      </c>
      <c r="F2109">
        <f t="shared" si="32"/>
        <v>0.69111111111111112</v>
      </c>
    </row>
    <row r="2110" spans="1:6" x14ac:dyDescent="0.3">
      <c r="A2110" t="s">
        <v>614</v>
      </c>
      <c r="B2110" t="s">
        <v>2150</v>
      </c>
      <c r="C2110">
        <v>1</v>
      </c>
      <c r="D2110">
        <v>68</v>
      </c>
      <c r="E2110">
        <f>IF(OR(B2110="vi",B2110="ii",B2110="pod"),(((D2110/100)*(C2110*VLOOKUP(B2110,'Poids des runes'!A:B,2,FALSE)))+1),(((D2110/100)*(C2110*VLOOKUP(B2110,'Poids des runes'!A:B,2,FALSE)))+1)/VLOOKUP(B2110,'Poids des runes'!A:B,2,FALSE))</f>
        <v>0.71333333333333337</v>
      </c>
      <c r="F2110">
        <f t="shared" si="32"/>
        <v>0.71333333333333337</v>
      </c>
    </row>
    <row r="2111" spans="1:6" x14ac:dyDescent="0.3">
      <c r="A2111" t="s">
        <v>615</v>
      </c>
      <c r="B2111" t="s">
        <v>2128</v>
      </c>
      <c r="C2111">
        <v>28</v>
      </c>
      <c r="D2111">
        <v>68</v>
      </c>
      <c r="E2111">
        <f>IF(OR(B2111="vi",B2111="ii",B2111="pod"),(((D2111/100)*(C2111*VLOOKUP(B2111,'Poids des runes'!A:B,2,FALSE)))+1),(((D2111/100)*(C2111*VLOOKUP(B2111,'Poids des runes'!A:B,2,FALSE)))+1)/VLOOKUP(B2111,'Poids des runes'!A:B,2,FALSE))</f>
        <v>4.8080000000000007</v>
      </c>
      <c r="F2111">
        <f t="shared" si="32"/>
        <v>4.8080000000000007</v>
      </c>
    </row>
    <row r="2112" spans="1:6" x14ac:dyDescent="0.3">
      <c r="A2112" t="s">
        <v>615</v>
      </c>
      <c r="B2112" t="s">
        <v>2150</v>
      </c>
      <c r="C2112">
        <v>1</v>
      </c>
      <c r="D2112">
        <v>68</v>
      </c>
      <c r="E2112">
        <f>IF(OR(B2112="vi",B2112="ii",B2112="pod"),(((D2112/100)*(C2112*VLOOKUP(B2112,'Poids des runes'!A:B,2,FALSE)))+1),(((D2112/100)*(C2112*VLOOKUP(B2112,'Poids des runes'!A:B,2,FALSE)))+1)/VLOOKUP(B2112,'Poids des runes'!A:B,2,FALSE))</f>
        <v>0.71333333333333337</v>
      </c>
      <c r="F2112">
        <f t="shared" si="32"/>
        <v>0.71333333333333337</v>
      </c>
    </row>
    <row r="2113" spans="1:6" x14ac:dyDescent="0.3">
      <c r="A2113" t="s">
        <v>615</v>
      </c>
      <c r="B2113" t="s">
        <v>2134</v>
      </c>
      <c r="C2113">
        <v>2.5</v>
      </c>
      <c r="D2113">
        <v>68</v>
      </c>
      <c r="E2113">
        <f>IF(OR(B2113="vi",B2113="ii",B2113="pod"),(((D2113/100)*(C2113*VLOOKUP(B2113,'Poids des runes'!A:B,2,FALSE)))+1),(((D2113/100)*(C2113*VLOOKUP(B2113,'Poids des runes'!A:B,2,FALSE)))+1)/VLOOKUP(B2113,'Poids des runes'!A:B,2,FALSE))</f>
        <v>1.75</v>
      </c>
      <c r="F2113">
        <f t="shared" si="32"/>
        <v>1.75</v>
      </c>
    </row>
    <row r="2114" spans="1:6" x14ac:dyDescent="0.3">
      <c r="A2114" t="s">
        <v>615</v>
      </c>
      <c r="B2114" t="s">
        <v>2149</v>
      </c>
      <c r="C2114">
        <v>2.5</v>
      </c>
      <c r="D2114">
        <v>68</v>
      </c>
      <c r="E2114">
        <f>IF(OR(B2114="vi",B2114="ii",B2114="pod"),(((D2114/100)*(C2114*VLOOKUP(B2114,'Poids des runes'!A:B,2,FALSE)))+1),(((D2114/100)*(C2114*VLOOKUP(B2114,'Poids des runes'!A:B,2,FALSE)))+1)/VLOOKUP(B2114,'Poids des runes'!A:B,2,FALSE))</f>
        <v>1.8</v>
      </c>
      <c r="F2114">
        <f t="shared" si="32"/>
        <v>1.8</v>
      </c>
    </row>
    <row r="2115" spans="1:6" x14ac:dyDescent="0.3">
      <c r="A2115" t="s">
        <v>615</v>
      </c>
      <c r="B2115" t="s">
        <v>2147</v>
      </c>
      <c r="C2115">
        <v>2</v>
      </c>
      <c r="D2115">
        <v>68</v>
      </c>
      <c r="E2115">
        <f>IF(OR(B2115="vi",B2115="ii",B2115="pod"),(((D2115/100)*(C2115*VLOOKUP(B2115,'Poids des runes'!A:B,2,FALSE)))+1),(((D2115/100)*(C2115*VLOOKUP(B2115,'Poids des runes'!A:B,2,FALSE)))+1)/VLOOKUP(B2115,'Poids des runes'!A:B,2,FALSE))</f>
        <v>1.5266666666666666</v>
      </c>
      <c r="F2115">
        <f t="shared" ref="F2115:F2178" si="33">E2115</f>
        <v>1.5266666666666666</v>
      </c>
    </row>
    <row r="2116" spans="1:6" x14ac:dyDescent="0.3">
      <c r="A2116" t="s">
        <v>615</v>
      </c>
      <c r="B2116" t="s">
        <v>2135</v>
      </c>
      <c r="C2116">
        <v>2</v>
      </c>
      <c r="D2116">
        <v>68</v>
      </c>
      <c r="E2116">
        <f>IF(OR(B2116="vi",B2116="ii",B2116="pod"),(((D2116/100)*(C2116*VLOOKUP(B2116,'Poids des runes'!A:B,2,FALSE)))+1),(((D2116/100)*(C2116*VLOOKUP(B2116,'Poids des runes'!A:B,2,FALSE)))+1)/VLOOKUP(B2116,'Poids des runes'!A:B,2,FALSE))</f>
        <v>1.5266666666666666</v>
      </c>
      <c r="F2116">
        <f t="shared" si="33"/>
        <v>1.5266666666666666</v>
      </c>
    </row>
    <row r="2117" spans="1:6" x14ac:dyDescent="0.3">
      <c r="A2117" t="s">
        <v>616</v>
      </c>
      <c r="B2117" t="s">
        <v>2128</v>
      </c>
      <c r="C2117">
        <v>60.5</v>
      </c>
      <c r="D2117">
        <v>68</v>
      </c>
      <c r="E2117">
        <f>IF(OR(B2117="vi",B2117="ii",B2117="pod"),(((D2117/100)*(C2117*VLOOKUP(B2117,'Poids des runes'!A:B,2,FALSE)))+1),(((D2117/100)*(C2117*VLOOKUP(B2117,'Poids des runes'!A:B,2,FALSE)))+1)/VLOOKUP(B2117,'Poids des runes'!A:B,2,FALSE))</f>
        <v>9.2280000000000015</v>
      </c>
      <c r="F2117">
        <f t="shared" si="33"/>
        <v>9.2280000000000015</v>
      </c>
    </row>
    <row r="2118" spans="1:6" x14ac:dyDescent="0.3">
      <c r="A2118" t="s">
        <v>616</v>
      </c>
      <c r="B2118" t="s">
        <v>2126</v>
      </c>
      <c r="C2118">
        <v>25.5</v>
      </c>
      <c r="D2118">
        <v>68</v>
      </c>
      <c r="E2118">
        <f>IF(OR(B2118="vi",B2118="ii",B2118="pod"),(((D2118/100)*(C2118*VLOOKUP(B2118,'Poids des runes'!A:B,2,FALSE)))+1),(((D2118/100)*(C2118*VLOOKUP(B2118,'Poids des runes'!A:B,2,FALSE)))+1)/VLOOKUP(B2118,'Poids des runes'!A:B,2,FALSE))</f>
        <v>18.34</v>
      </c>
      <c r="F2118">
        <f t="shared" si="33"/>
        <v>18.34</v>
      </c>
    </row>
    <row r="2119" spans="1:6" x14ac:dyDescent="0.3">
      <c r="A2119" t="s">
        <v>616</v>
      </c>
      <c r="B2119" t="s">
        <v>2129</v>
      </c>
      <c r="C2119">
        <v>13</v>
      </c>
      <c r="D2119">
        <v>68</v>
      </c>
      <c r="E2119">
        <f>IF(OR(B2119="vi",B2119="ii",B2119="pod"),(((D2119/100)*(C2119*VLOOKUP(B2119,'Poids des runes'!A:B,2,FALSE)))+1),(((D2119/100)*(C2119*VLOOKUP(B2119,'Poids des runes'!A:B,2,FALSE)))+1)/VLOOKUP(B2119,'Poids des runes'!A:B,2,FALSE))</f>
        <v>9.84</v>
      </c>
      <c r="F2119">
        <f t="shared" si="33"/>
        <v>9.84</v>
      </c>
    </row>
    <row r="2120" spans="1:6" x14ac:dyDescent="0.3">
      <c r="A2120" t="s">
        <v>616</v>
      </c>
      <c r="B2120" t="s">
        <v>2151</v>
      </c>
      <c r="C2120">
        <v>4</v>
      </c>
      <c r="D2120">
        <v>68</v>
      </c>
      <c r="E2120">
        <f>IF(OR(B2120="vi",B2120="ii",B2120="pod"),(((D2120/100)*(C2120*VLOOKUP(B2120,'Poids des runes'!A:B,2,FALSE)))+1),(((D2120/100)*(C2120*VLOOKUP(B2120,'Poids des runes'!A:B,2,FALSE)))+1)/VLOOKUP(B2120,'Poids des runes'!A:B,2,FALSE))</f>
        <v>2.8200000000000003</v>
      </c>
      <c r="F2120">
        <f t="shared" si="33"/>
        <v>2.8200000000000003</v>
      </c>
    </row>
    <row r="2121" spans="1:6" x14ac:dyDescent="0.3">
      <c r="A2121" t="s">
        <v>616</v>
      </c>
      <c r="B2121" t="s">
        <v>2155</v>
      </c>
      <c r="C2121">
        <v>1</v>
      </c>
      <c r="D2121">
        <v>68</v>
      </c>
      <c r="E2121">
        <f>IF(OR(B2121="vi",B2121="ii",B2121="pod"),(((D2121/100)*(C2121*VLOOKUP(B2121,'Poids des runes'!A:B,2,FALSE)))+1),(((D2121/100)*(C2121*VLOOKUP(B2121,'Poids des runes'!A:B,2,FALSE)))+1)/VLOOKUP(B2121,'Poids des runes'!A:B,2,FALSE))</f>
        <v>0.69960784313725488</v>
      </c>
      <c r="F2121">
        <f t="shared" si="33"/>
        <v>0.69960784313725488</v>
      </c>
    </row>
    <row r="2122" spans="1:6" x14ac:dyDescent="0.3">
      <c r="A2122" t="s">
        <v>617</v>
      </c>
      <c r="B2122" t="s">
        <v>2128</v>
      </c>
      <c r="C2122">
        <v>25.5</v>
      </c>
      <c r="D2122">
        <v>68</v>
      </c>
      <c r="E2122">
        <f>IF(OR(B2122="vi",B2122="ii",B2122="pod"),(((D2122/100)*(C2122*VLOOKUP(B2122,'Poids des runes'!A:B,2,FALSE)))+1),(((D2122/100)*(C2122*VLOOKUP(B2122,'Poids des runes'!A:B,2,FALSE)))+1)/VLOOKUP(B2122,'Poids des runes'!A:B,2,FALSE))</f>
        <v>4.468</v>
      </c>
      <c r="F2122">
        <f t="shared" si="33"/>
        <v>4.468</v>
      </c>
    </row>
    <row r="2123" spans="1:6" x14ac:dyDescent="0.3">
      <c r="A2123" t="s">
        <v>617</v>
      </c>
      <c r="B2123" t="s">
        <v>2126</v>
      </c>
      <c r="C2123">
        <v>25.5</v>
      </c>
      <c r="D2123">
        <v>68</v>
      </c>
      <c r="E2123">
        <f>IF(OR(B2123="vi",B2123="ii",B2123="pod"),(((D2123/100)*(C2123*VLOOKUP(B2123,'Poids des runes'!A:B,2,FALSE)))+1),(((D2123/100)*(C2123*VLOOKUP(B2123,'Poids des runes'!A:B,2,FALSE)))+1)/VLOOKUP(B2123,'Poids des runes'!A:B,2,FALSE))</f>
        <v>18.34</v>
      </c>
      <c r="F2123">
        <f t="shared" si="33"/>
        <v>18.34</v>
      </c>
    </row>
    <row r="2124" spans="1:6" x14ac:dyDescent="0.3">
      <c r="A2124" t="s">
        <v>617</v>
      </c>
      <c r="B2124" t="s">
        <v>2151</v>
      </c>
      <c r="C2124">
        <v>2.5</v>
      </c>
      <c r="D2124">
        <v>68</v>
      </c>
      <c r="E2124">
        <f>IF(OR(B2124="vi",B2124="ii",B2124="pod"),(((D2124/100)*(C2124*VLOOKUP(B2124,'Poids des runes'!A:B,2,FALSE)))+1),(((D2124/100)*(C2124*VLOOKUP(B2124,'Poids des runes'!A:B,2,FALSE)))+1)/VLOOKUP(B2124,'Poids des runes'!A:B,2,FALSE))</f>
        <v>1.8</v>
      </c>
      <c r="F2124">
        <f t="shared" si="33"/>
        <v>1.8</v>
      </c>
    </row>
    <row r="2125" spans="1:6" x14ac:dyDescent="0.3">
      <c r="A2125" t="s">
        <v>617</v>
      </c>
      <c r="B2125" t="s">
        <v>2154</v>
      </c>
      <c r="C2125">
        <v>1</v>
      </c>
      <c r="D2125">
        <v>68</v>
      </c>
      <c r="E2125">
        <f>IF(OR(B2125="vi",B2125="ii",B2125="pod"),(((D2125/100)*(C2125*VLOOKUP(B2125,'Poids des runes'!A:B,2,FALSE)))+1),(((D2125/100)*(C2125*VLOOKUP(B2125,'Poids des runes'!A:B,2,FALSE)))+1)/VLOOKUP(B2125,'Poids des runes'!A:B,2,FALSE))</f>
        <v>0.69111111111111112</v>
      </c>
      <c r="F2125">
        <f t="shared" si="33"/>
        <v>0.69111111111111112</v>
      </c>
    </row>
    <row r="2126" spans="1:6" x14ac:dyDescent="0.3">
      <c r="A2126" t="s">
        <v>618</v>
      </c>
      <c r="B2126" t="s">
        <v>2128</v>
      </c>
      <c r="C2126">
        <v>50.5</v>
      </c>
      <c r="D2126">
        <v>68</v>
      </c>
      <c r="E2126">
        <f>IF(OR(B2126="vi",B2126="ii",B2126="pod"),(((D2126/100)*(C2126*VLOOKUP(B2126,'Poids des runes'!A:B,2,FALSE)))+1),(((D2126/100)*(C2126*VLOOKUP(B2126,'Poids des runes'!A:B,2,FALSE)))+1)/VLOOKUP(B2126,'Poids des runes'!A:B,2,FALSE))</f>
        <v>7.8680000000000012</v>
      </c>
      <c r="F2126">
        <f t="shared" si="33"/>
        <v>7.8680000000000012</v>
      </c>
    </row>
    <row r="2127" spans="1:6" x14ac:dyDescent="0.3">
      <c r="A2127" t="s">
        <v>618</v>
      </c>
      <c r="B2127" t="s">
        <v>2151</v>
      </c>
      <c r="C2127">
        <v>4</v>
      </c>
      <c r="D2127">
        <v>68</v>
      </c>
      <c r="E2127">
        <f>IF(OR(B2127="vi",B2127="ii",B2127="pod"),(((D2127/100)*(C2127*VLOOKUP(B2127,'Poids des runes'!A:B,2,FALSE)))+1),(((D2127/100)*(C2127*VLOOKUP(B2127,'Poids des runes'!A:B,2,FALSE)))+1)/VLOOKUP(B2127,'Poids des runes'!A:B,2,FALSE))</f>
        <v>2.8200000000000003</v>
      </c>
      <c r="F2127">
        <f t="shared" si="33"/>
        <v>2.8200000000000003</v>
      </c>
    </row>
    <row r="2128" spans="1:6" x14ac:dyDescent="0.3">
      <c r="A2128" t="s">
        <v>618</v>
      </c>
      <c r="B2128" t="s">
        <v>2134</v>
      </c>
      <c r="C2128">
        <v>2.5</v>
      </c>
      <c r="D2128">
        <v>68</v>
      </c>
      <c r="E2128">
        <f>IF(OR(B2128="vi",B2128="ii",B2128="pod"),(((D2128/100)*(C2128*VLOOKUP(B2128,'Poids des runes'!A:B,2,FALSE)))+1),(((D2128/100)*(C2128*VLOOKUP(B2128,'Poids des runes'!A:B,2,FALSE)))+1)/VLOOKUP(B2128,'Poids des runes'!A:B,2,FALSE))</f>
        <v>1.75</v>
      </c>
      <c r="F2128">
        <f t="shared" si="33"/>
        <v>1.75</v>
      </c>
    </row>
    <row r="2129" spans="1:6" x14ac:dyDescent="0.3">
      <c r="A2129" t="s">
        <v>619</v>
      </c>
      <c r="B2129" t="s">
        <v>2128</v>
      </c>
      <c r="C2129">
        <v>50.5</v>
      </c>
      <c r="D2129">
        <v>69</v>
      </c>
      <c r="E2129">
        <f>IF(OR(B2129="vi",B2129="ii",B2129="pod"),(((D2129/100)*(C2129*VLOOKUP(B2129,'Poids des runes'!A:B,2,FALSE)))+1),(((D2129/100)*(C2129*VLOOKUP(B2129,'Poids des runes'!A:B,2,FALSE)))+1)/VLOOKUP(B2129,'Poids des runes'!A:B,2,FALSE))</f>
        <v>7.9690000000000003</v>
      </c>
      <c r="F2129">
        <f t="shared" si="33"/>
        <v>7.9690000000000003</v>
      </c>
    </row>
    <row r="2130" spans="1:6" x14ac:dyDescent="0.3">
      <c r="A2130" t="s">
        <v>619</v>
      </c>
      <c r="B2130" t="s">
        <v>2152</v>
      </c>
      <c r="C2130">
        <v>1</v>
      </c>
      <c r="D2130">
        <v>69</v>
      </c>
      <c r="E2130">
        <f>IF(OR(B2130="vi",B2130="ii",B2130="pod"),(((D2130/100)*(C2130*VLOOKUP(B2130,'Poids des runes'!A:B,2,FALSE)))+1),(((D2130/100)*(C2130*VLOOKUP(B2130,'Poids des runes'!A:B,2,FALSE)))+1)/VLOOKUP(B2130,'Poids des runes'!A:B,2,FALSE))</f>
        <v>0.7</v>
      </c>
      <c r="F2130">
        <f t="shared" si="33"/>
        <v>0.7</v>
      </c>
    </row>
    <row r="2131" spans="1:6" x14ac:dyDescent="0.3">
      <c r="A2131" t="s">
        <v>619</v>
      </c>
      <c r="B2131" t="s">
        <v>2150</v>
      </c>
      <c r="C2131">
        <v>2</v>
      </c>
      <c r="D2131">
        <v>69</v>
      </c>
      <c r="E2131">
        <f>IF(OR(B2131="vi",B2131="ii",B2131="pod"),(((D2131/100)*(C2131*VLOOKUP(B2131,'Poids des runes'!A:B,2,FALSE)))+1),(((D2131/100)*(C2131*VLOOKUP(B2131,'Poids des runes'!A:B,2,FALSE)))+1)/VLOOKUP(B2131,'Poids des runes'!A:B,2,FALSE))</f>
        <v>1.4133333333333333</v>
      </c>
      <c r="F2131">
        <f t="shared" si="33"/>
        <v>1.4133333333333333</v>
      </c>
    </row>
    <row r="2132" spans="1:6" x14ac:dyDescent="0.3">
      <c r="A2132" t="s">
        <v>619</v>
      </c>
      <c r="B2132" t="s">
        <v>2156</v>
      </c>
      <c r="C2132">
        <v>2</v>
      </c>
      <c r="D2132">
        <v>69</v>
      </c>
      <c r="E2132">
        <f>IF(OR(B2132="vi",B2132="ii",B2132="pod"),(((D2132/100)*(C2132*VLOOKUP(B2132,'Poids des runes'!A:B,2,FALSE)))+1),(((D2132/100)*(C2132*VLOOKUP(B2132,'Poids des runes'!A:B,2,FALSE)))+1)/VLOOKUP(B2132,'Poids des runes'!A:B,2,FALSE))</f>
        <v>1.5466666666666666</v>
      </c>
      <c r="F2132">
        <f t="shared" si="33"/>
        <v>1.5466666666666666</v>
      </c>
    </row>
    <row r="2133" spans="1:6" x14ac:dyDescent="0.3">
      <c r="A2133" t="s">
        <v>619</v>
      </c>
      <c r="B2133" t="s">
        <v>2148</v>
      </c>
      <c r="C2133">
        <v>2</v>
      </c>
      <c r="D2133">
        <v>69</v>
      </c>
      <c r="E2133">
        <f>IF(OR(B2133="vi",B2133="ii",B2133="pod"),(((D2133/100)*(C2133*VLOOKUP(B2133,'Poids des runes'!A:B,2,FALSE)))+1),(((D2133/100)*(C2133*VLOOKUP(B2133,'Poids des runes'!A:B,2,FALSE)))+1)/VLOOKUP(B2133,'Poids des runes'!A:B,2,FALSE))</f>
        <v>1.5466666666666666</v>
      </c>
      <c r="F2133">
        <f t="shared" si="33"/>
        <v>1.5466666666666666</v>
      </c>
    </row>
    <row r="2134" spans="1:6" x14ac:dyDescent="0.3">
      <c r="A2134" t="s">
        <v>620</v>
      </c>
      <c r="B2134" t="s">
        <v>2128</v>
      </c>
      <c r="C2134">
        <v>50.5</v>
      </c>
      <c r="D2134">
        <v>69</v>
      </c>
      <c r="E2134">
        <f>IF(OR(B2134="vi",B2134="ii",B2134="pod"),(((D2134/100)*(C2134*VLOOKUP(B2134,'Poids des runes'!A:B,2,FALSE)))+1),(((D2134/100)*(C2134*VLOOKUP(B2134,'Poids des runes'!A:B,2,FALSE)))+1)/VLOOKUP(B2134,'Poids des runes'!A:B,2,FALSE))</f>
        <v>7.9690000000000003</v>
      </c>
      <c r="F2134">
        <f t="shared" si="33"/>
        <v>7.9690000000000003</v>
      </c>
    </row>
    <row r="2135" spans="1:6" x14ac:dyDescent="0.3">
      <c r="A2135" t="s">
        <v>620</v>
      </c>
      <c r="B2135" t="s">
        <v>2130</v>
      </c>
      <c r="C2135">
        <v>25.5</v>
      </c>
      <c r="D2135">
        <v>69</v>
      </c>
      <c r="E2135">
        <f>IF(OR(B2135="vi",B2135="ii",B2135="pod"),(((D2135/100)*(C2135*VLOOKUP(B2135,'Poids des runes'!A:B,2,FALSE)))+1),(((D2135/100)*(C2135*VLOOKUP(B2135,'Poids des runes'!A:B,2,FALSE)))+1)/VLOOKUP(B2135,'Poids des runes'!A:B,2,FALSE))</f>
        <v>18.594999999999999</v>
      </c>
      <c r="F2135">
        <f t="shared" si="33"/>
        <v>18.594999999999999</v>
      </c>
    </row>
    <row r="2136" spans="1:6" x14ac:dyDescent="0.3">
      <c r="A2136" t="s">
        <v>620</v>
      </c>
      <c r="B2136" t="s">
        <v>2126</v>
      </c>
      <c r="C2136">
        <v>25.5</v>
      </c>
      <c r="D2136">
        <v>69</v>
      </c>
      <c r="E2136">
        <f>IF(OR(B2136="vi",B2136="ii",B2136="pod"),(((D2136/100)*(C2136*VLOOKUP(B2136,'Poids des runes'!A:B,2,FALSE)))+1),(((D2136/100)*(C2136*VLOOKUP(B2136,'Poids des runes'!A:B,2,FALSE)))+1)/VLOOKUP(B2136,'Poids des runes'!A:B,2,FALSE))</f>
        <v>18.594999999999999</v>
      </c>
      <c r="F2136">
        <f t="shared" si="33"/>
        <v>18.594999999999999</v>
      </c>
    </row>
    <row r="2137" spans="1:6" x14ac:dyDescent="0.3">
      <c r="A2137" t="s">
        <v>620</v>
      </c>
      <c r="B2137" t="s">
        <v>2143</v>
      </c>
      <c r="C2137">
        <v>6.5</v>
      </c>
      <c r="D2137">
        <v>69</v>
      </c>
      <c r="E2137">
        <f>IF(OR(B2137="vi",B2137="ii",B2137="pod"),(((D2137/100)*(C2137*VLOOKUP(B2137,'Poids des runes'!A:B,2,FALSE)))+1),(((D2137/100)*(C2137*VLOOKUP(B2137,'Poids des runes'!A:B,2,FALSE)))+1)/VLOOKUP(B2137,'Poids des runes'!A:B,2,FALSE))</f>
        <v>4.6849999999999996</v>
      </c>
      <c r="F2137">
        <f t="shared" si="33"/>
        <v>4.6849999999999996</v>
      </c>
    </row>
    <row r="2138" spans="1:6" x14ac:dyDescent="0.3">
      <c r="A2138" t="s">
        <v>620</v>
      </c>
      <c r="B2138" t="s">
        <v>2140</v>
      </c>
      <c r="C2138">
        <v>6.5</v>
      </c>
      <c r="D2138">
        <v>69</v>
      </c>
      <c r="E2138">
        <f>IF(OR(B2138="vi",B2138="ii",B2138="pod"),(((D2138/100)*(C2138*VLOOKUP(B2138,'Poids des runes'!A:B,2,FALSE)))+1),(((D2138/100)*(C2138*VLOOKUP(B2138,'Poids des runes'!A:B,2,FALSE)))+1)/VLOOKUP(B2138,'Poids des runes'!A:B,2,FALSE))</f>
        <v>4.6849999999999996</v>
      </c>
      <c r="F2138">
        <f t="shared" si="33"/>
        <v>4.6849999999999996</v>
      </c>
    </row>
    <row r="2139" spans="1:6" x14ac:dyDescent="0.3">
      <c r="A2139" t="s">
        <v>621</v>
      </c>
      <c r="B2139" t="s">
        <v>2128</v>
      </c>
      <c r="C2139">
        <v>60.5</v>
      </c>
      <c r="D2139">
        <v>69</v>
      </c>
      <c r="E2139">
        <f>IF(OR(B2139="vi",B2139="ii",B2139="pod"),(((D2139/100)*(C2139*VLOOKUP(B2139,'Poids des runes'!A:B,2,FALSE)))+1),(((D2139/100)*(C2139*VLOOKUP(B2139,'Poids des runes'!A:B,2,FALSE)))+1)/VLOOKUP(B2139,'Poids des runes'!A:B,2,FALSE))</f>
        <v>9.3490000000000002</v>
      </c>
      <c r="F2139">
        <f t="shared" si="33"/>
        <v>9.3490000000000002</v>
      </c>
    </row>
    <row r="2140" spans="1:6" x14ac:dyDescent="0.3">
      <c r="A2140" t="s">
        <v>621</v>
      </c>
      <c r="B2140" t="s">
        <v>2129</v>
      </c>
      <c r="C2140">
        <v>8</v>
      </c>
      <c r="D2140">
        <v>69</v>
      </c>
      <c r="E2140">
        <f>IF(OR(B2140="vi",B2140="ii",B2140="pod"),(((D2140/100)*(C2140*VLOOKUP(B2140,'Poids des runes'!A:B,2,FALSE)))+1),(((D2140/100)*(C2140*VLOOKUP(B2140,'Poids des runes'!A:B,2,FALSE)))+1)/VLOOKUP(B2140,'Poids des runes'!A:B,2,FALSE))</f>
        <v>6.52</v>
      </c>
      <c r="F2140">
        <f t="shared" si="33"/>
        <v>6.52</v>
      </c>
    </row>
    <row r="2141" spans="1:6" x14ac:dyDescent="0.3">
      <c r="A2141" t="s">
        <v>621</v>
      </c>
      <c r="B2141" t="s">
        <v>2154</v>
      </c>
      <c r="C2141">
        <v>1</v>
      </c>
      <c r="D2141">
        <v>69</v>
      </c>
      <c r="E2141">
        <f>IF(OR(B2141="vi",B2141="ii",B2141="pod"),(((D2141/100)*(C2141*VLOOKUP(B2141,'Poids des runes'!A:B,2,FALSE)))+1),(((D2141/100)*(C2141*VLOOKUP(B2141,'Poids des runes'!A:B,2,FALSE)))+1)/VLOOKUP(B2141,'Poids des runes'!A:B,2,FALSE))</f>
        <v>0.70111111111111102</v>
      </c>
      <c r="F2141">
        <f t="shared" si="33"/>
        <v>0.70111111111111102</v>
      </c>
    </row>
    <row r="2142" spans="1:6" x14ac:dyDescent="0.3">
      <c r="A2142" t="s">
        <v>621</v>
      </c>
      <c r="B2142" t="s">
        <v>2138</v>
      </c>
      <c r="C2142">
        <v>4</v>
      </c>
      <c r="D2142">
        <v>69</v>
      </c>
      <c r="E2142">
        <f>IF(OR(B2142="vi",B2142="ii",B2142="pod"),(((D2142/100)*(C2142*VLOOKUP(B2142,'Poids des runes'!A:B,2,FALSE)))+1),(((D2142/100)*(C2142*VLOOKUP(B2142,'Poids des runes'!A:B,2,FALSE)))+1)/VLOOKUP(B2142,'Poids des runes'!A:B,2,FALSE))</f>
        <v>3.01</v>
      </c>
      <c r="F2142">
        <f t="shared" si="33"/>
        <v>3.01</v>
      </c>
    </row>
    <row r="2143" spans="1:6" x14ac:dyDescent="0.3">
      <c r="A2143" t="s">
        <v>622</v>
      </c>
      <c r="B2143" t="s">
        <v>2128</v>
      </c>
      <c r="C2143">
        <v>40.5</v>
      </c>
      <c r="D2143">
        <v>70</v>
      </c>
      <c r="E2143">
        <f>IF(OR(B2143="vi",B2143="ii",B2143="pod"),(((D2143/100)*(C2143*VLOOKUP(B2143,'Poids des runes'!A:B,2,FALSE)))+1),(((D2143/100)*(C2143*VLOOKUP(B2143,'Poids des runes'!A:B,2,FALSE)))+1)/VLOOKUP(B2143,'Poids des runes'!A:B,2,FALSE))</f>
        <v>6.669999999999999</v>
      </c>
      <c r="F2143">
        <f t="shared" si="33"/>
        <v>6.669999999999999</v>
      </c>
    </row>
    <row r="2144" spans="1:6" x14ac:dyDescent="0.3">
      <c r="A2144" t="s">
        <v>622</v>
      </c>
      <c r="B2144" t="s">
        <v>2131</v>
      </c>
      <c r="C2144">
        <v>30.5</v>
      </c>
      <c r="D2144">
        <v>70</v>
      </c>
      <c r="E2144">
        <f>IF(OR(B2144="vi",B2144="ii",B2144="pod"),(((D2144/100)*(C2144*VLOOKUP(B2144,'Poids des runes'!A:B,2,FALSE)))+1),(((D2144/100)*(C2144*VLOOKUP(B2144,'Poids des runes'!A:B,2,FALSE)))+1)/VLOOKUP(B2144,'Poids des runes'!A:B,2,FALSE))</f>
        <v>22.349999999999998</v>
      </c>
      <c r="F2144">
        <f t="shared" si="33"/>
        <v>22.349999999999998</v>
      </c>
    </row>
    <row r="2145" spans="1:6" x14ac:dyDescent="0.3">
      <c r="A2145" t="s">
        <v>622</v>
      </c>
      <c r="B2145" t="s">
        <v>2150</v>
      </c>
      <c r="C2145">
        <v>1.5</v>
      </c>
      <c r="D2145">
        <v>70</v>
      </c>
      <c r="E2145">
        <f>IF(OR(B2145="vi",B2145="ii",B2145="pod"),(((D2145/100)*(C2145*VLOOKUP(B2145,'Poids des runes'!A:B,2,FALSE)))+1),(((D2145/100)*(C2145*VLOOKUP(B2145,'Poids des runes'!A:B,2,FALSE)))+1)/VLOOKUP(B2145,'Poids des runes'!A:B,2,FALSE))</f>
        <v>1.0833333333333333</v>
      </c>
      <c r="F2145">
        <f t="shared" si="33"/>
        <v>1.0833333333333333</v>
      </c>
    </row>
    <row r="2146" spans="1:6" x14ac:dyDescent="0.3">
      <c r="A2146" t="s">
        <v>622</v>
      </c>
      <c r="B2146" t="s">
        <v>2133</v>
      </c>
      <c r="C2146">
        <v>3.5</v>
      </c>
      <c r="D2146">
        <v>70</v>
      </c>
      <c r="E2146">
        <f>IF(OR(B2146="vi",B2146="ii",B2146="pod"),(((D2146/100)*(C2146*VLOOKUP(B2146,'Poids des runes'!A:B,2,FALSE)))+1),(((D2146/100)*(C2146*VLOOKUP(B2146,'Poids des runes'!A:B,2,FALSE)))+1)/VLOOKUP(B2146,'Poids des runes'!A:B,2,FALSE))</f>
        <v>2.65</v>
      </c>
      <c r="F2146">
        <f t="shared" si="33"/>
        <v>2.65</v>
      </c>
    </row>
    <row r="2147" spans="1:6" x14ac:dyDescent="0.3">
      <c r="A2147" t="s">
        <v>622</v>
      </c>
      <c r="B2147" t="s">
        <v>2147</v>
      </c>
      <c r="C2147">
        <v>3.5</v>
      </c>
      <c r="D2147">
        <v>70</v>
      </c>
      <c r="E2147">
        <f>IF(OR(B2147="vi",B2147="ii",B2147="pod"),(((D2147/100)*(C2147*VLOOKUP(B2147,'Poids des runes'!A:B,2,FALSE)))+1),(((D2147/100)*(C2147*VLOOKUP(B2147,'Poids des runes'!A:B,2,FALSE)))+1)/VLOOKUP(B2147,'Poids des runes'!A:B,2,FALSE))</f>
        <v>2.6166666666666667</v>
      </c>
      <c r="F2147">
        <f t="shared" si="33"/>
        <v>2.6166666666666667</v>
      </c>
    </row>
    <row r="2148" spans="1:6" x14ac:dyDescent="0.3">
      <c r="A2148" t="s">
        <v>622</v>
      </c>
      <c r="B2148" t="s">
        <v>2135</v>
      </c>
      <c r="C2148">
        <v>4</v>
      </c>
      <c r="D2148">
        <v>70</v>
      </c>
      <c r="E2148">
        <f>IF(OR(B2148="vi",B2148="ii",B2148="pod"),(((D2148/100)*(C2148*VLOOKUP(B2148,'Poids des runes'!A:B,2,FALSE)))+1),(((D2148/100)*(C2148*VLOOKUP(B2148,'Poids des runes'!A:B,2,FALSE)))+1)/VLOOKUP(B2148,'Poids des runes'!A:B,2,FALSE))</f>
        <v>2.9666666666666663</v>
      </c>
      <c r="F2148">
        <f t="shared" si="33"/>
        <v>2.9666666666666663</v>
      </c>
    </row>
    <row r="2149" spans="1:6" x14ac:dyDescent="0.3">
      <c r="A2149" t="s">
        <v>623</v>
      </c>
      <c r="B2149" t="s">
        <v>2128</v>
      </c>
      <c r="C2149">
        <v>25.5</v>
      </c>
      <c r="D2149">
        <v>70</v>
      </c>
      <c r="E2149">
        <f>IF(OR(B2149="vi",B2149="ii",B2149="pod"),(((D2149/100)*(C2149*VLOOKUP(B2149,'Poids des runes'!A:B,2,FALSE)))+1),(((D2149/100)*(C2149*VLOOKUP(B2149,'Poids des runes'!A:B,2,FALSE)))+1)/VLOOKUP(B2149,'Poids des runes'!A:B,2,FALSE))</f>
        <v>4.57</v>
      </c>
      <c r="F2149">
        <f t="shared" si="33"/>
        <v>4.57</v>
      </c>
    </row>
    <row r="2150" spans="1:6" x14ac:dyDescent="0.3">
      <c r="A2150" t="s">
        <v>623</v>
      </c>
      <c r="B2150" t="s">
        <v>2131</v>
      </c>
      <c r="C2150">
        <v>25.5</v>
      </c>
      <c r="D2150">
        <v>70</v>
      </c>
      <c r="E2150">
        <f>IF(OR(B2150="vi",B2150="ii",B2150="pod"),(((D2150/100)*(C2150*VLOOKUP(B2150,'Poids des runes'!A:B,2,FALSE)))+1),(((D2150/100)*(C2150*VLOOKUP(B2150,'Poids des runes'!A:B,2,FALSE)))+1)/VLOOKUP(B2150,'Poids des runes'!A:B,2,FALSE))</f>
        <v>18.849999999999998</v>
      </c>
      <c r="F2150">
        <f t="shared" si="33"/>
        <v>18.849999999999998</v>
      </c>
    </row>
    <row r="2151" spans="1:6" x14ac:dyDescent="0.3">
      <c r="A2151" t="s">
        <v>623</v>
      </c>
      <c r="B2151" t="s">
        <v>2127</v>
      </c>
      <c r="C2151">
        <v>25.5</v>
      </c>
      <c r="D2151">
        <v>70</v>
      </c>
      <c r="E2151">
        <f>IF(OR(B2151="vi",B2151="ii",B2151="pod"),(((D2151/100)*(C2151*VLOOKUP(B2151,'Poids des runes'!A:B,2,FALSE)))+1),(((D2151/100)*(C2151*VLOOKUP(B2151,'Poids des runes'!A:B,2,FALSE)))+1)/VLOOKUP(B2151,'Poids des runes'!A:B,2,FALSE))</f>
        <v>18.849999999999998</v>
      </c>
      <c r="F2151">
        <f t="shared" si="33"/>
        <v>18.849999999999998</v>
      </c>
    </row>
    <row r="2152" spans="1:6" x14ac:dyDescent="0.3">
      <c r="A2152" t="s">
        <v>623</v>
      </c>
      <c r="B2152" t="s">
        <v>2129</v>
      </c>
      <c r="C2152">
        <v>18</v>
      </c>
      <c r="D2152">
        <v>70</v>
      </c>
      <c r="E2152">
        <f>IF(OR(B2152="vi",B2152="ii",B2152="pod"),(((D2152/100)*(C2152*VLOOKUP(B2152,'Poids des runes'!A:B,2,FALSE)))+1),(((D2152/100)*(C2152*VLOOKUP(B2152,'Poids des runes'!A:B,2,FALSE)))+1)/VLOOKUP(B2152,'Poids des runes'!A:B,2,FALSE))</f>
        <v>13.6</v>
      </c>
      <c r="F2152">
        <f t="shared" si="33"/>
        <v>13.6</v>
      </c>
    </row>
    <row r="2153" spans="1:6" x14ac:dyDescent="0.3">
      <c r="A2153" t="s">
        <v>623</v>
      </c>
      <c r="B2153" t="s">
        <v>2155</v>
      </c>
      <c r="C2153">
        <v>1</v>
      </c>
      <c r="D2153">
        <v>70</v>
      </c>
      <c r="E2153">
        <f>IF(OR(B2153="vi",B2153="ii",B2153="pod"),(((D2153/100)*(C2153*VLOOKUP(B2153,'Poids des runes'!A:B,2,FALSE)))+1),(((D2153/100)*(C2153*VLOOKUP(B2153,'Poids des runes'!A:B,2,FALSE)))+1)/VLOOKUP(B2153,'Poids des runes'!A:B,2,FALSE))</f>
        <v>0.71960784313725479</v>
      </c>
      <c r="F2153">
        <f t="shared" si="33"/>
        <v>0.71960784313725479</v>
      </c>
    </row>
    <row r="2154" spans="1:6" x14ac:dyDescent="0.3">
      <c r="A2154" t="s">
        <v>623</v>
      </c>
      <c r="B2154" t="s">
        <v>2150</v>
      </c>
      <c r="C2154">
        <v>1</v>
      </c>
      <c r="D2154">
        <v>70</v>
      </c>
      <c r="E2154">
        <f>IF(OR(B2154="vi",B2154="ii",B2154="pod"),(((D2154/100)*(C2154*VLOOKUP(B2154,'Poids des runes'!A:B,2,FALSE)))+1),(((D2154/100)*(C2154*VLOOKUP(B2154,'Poids des runes'!A:B,2,FALSE)))+1)/VLOOKUP(B2154,'Poids des runes'!A:B,2,FALSE))</f>
        <v>0.73333333333333328</v>
      </c>
      <c r="F2154">
        <f t="shared" si="33"/>
        <v>0.73333333333333328</v>
      </c>
    </row>
    <row r="2155" spans="1:6" x14ac:dyDescent="0.3">
      <c r="A2155" t="s">
        <v>623</v>
      </c>
      <c r="B2155" t="s">
        <v>2147</v>
      </c>
      <c r="C2155">
        <v>4.5</v>
      </c>
      <c r="D2155">
        <v>70</v>
      </c>
      <c r="E2155">
        <f>IF(OR(B2155="vi",B2155="ii",B2155="pod"),(((D2155/100)*(C2155*VLOOKUP(B2155,'Poids des runes'!A:B,2,FALSE)))+1),(((D2155/100)*(C2155*VLOOKUP(B2155,'Poids des runes'!A:B,2,FALSE)))+1)/VLOOKUP(B2155,'Poids des runes'!A:B,2,FALSE))</f>
        <v>3.3166666666666664</v>
      </c>
      <c r="F2155">
        <f t="shared" si="33"/>
        <v>3.3166666666666664</v>
      </c>
    </row>
    <row r="2156" spans="1:6" x14ac:dyDescent="0.3">
      <c r="A2156" t="s">
        <v>624</v>
      </c>
      <c r="B2156" t="s">
        <v>2128</v>
      </c>
      <c r="C2156">
        <v>25.5</v>
      </c>
      <c r="D2156">
        <v>70</v>
      </c>
      <c r="E2156">
        <f>IF(OR(B2156="vi",B2156="ii",B2156="pod"),(((D2156/100)*(C2156*VLOOKUP(B2156,'Poids des runes'!A:B,2,FALSE)))+1),(((D2156/100)*(C2156*VLOOKUP(B2156,'Poids des runes'!A:B,2,FALSE)))+1)/VLOOKUP(B2156,'Poids des runes'!A:B,2,FALSE))</f>
        <v>4.57</v>
      </c>
      <c r="F2156">
        <f t="shared" si="33"/>
        <v>4.57</v>
      </c>
    </row>
    <row r="2157" spans="1:6" x14ac:dyDescent="0.3">
      <c r="A2157" t="s">
        <v>624</v>
      </c>
      <c r="B2157" t="s">
        <v>2152</v>
      </c>
      <c r="C2157">
        <v>1</v>
      </c>
      <c r="D2157">
        <v>70</v>
      </c>
      <c r="E2157">
        <f>IF(OR(B2157="vi",B2157="ii",B2157="pod"),(((D2157/100)*(C2157*VLOOKUP(B2157,'Poids des runes'!A:B,2,FALSE)))+1),(((D2157/100)*(C2157*VLOOKUP(B2157,'Poids des runes'!A:B,2,FALSE)))+1)/VLOOKUP(B2157,'Poids des runes'!A:B,2,FALSE))</f>
        <v>0.71</v>
      </c>
      <c r="F2157">
        <f t="shared" si="33"/>
        <v>0.71</v>
      </c>
    </row>
    <row r="2158" spans="1:6" x14ac:dyDescent="0.3">
      <c r="A2158" t="s">
        <v>624</v>
      </c>
      <c r="B2158" t="s">
        <v>2150</v>
      </c>
      <c r="C2158">
        <v>1</v>
      </c>
      <c r="D2158">
        <v>70</v>
      </c>
      <c r="E2158">
        <f>IF(OR(B2158="vi",B2158="ii",B2158="pod"),(((D2158/100)*(C2158*VLOOKUP(B2158,'Poids des runes'!A:B,2,FALSE)))+1),(((D2158/100)*(C2158*VLOOKUP(B2158,'Poids des runes'!A:B,2,FALSE)))+1)/VLOOKUP(B2158,'Poids des runes'!A:B,2,FALSE))</f>
        <v>0.73333333333333328</v>
      </c>
      <c r="F2158">
        <f t="shared" si="33"/>
        <v>0.73333333333333328</v>
      </c>
    </row>
    <row r="2159" spans="1:6" x14ac:dyDescent="0.3">
      <c r="A2159" t="s">
        <v>624</v>
      </c>
      <c r="B2159" t="s">
        <v>2135</v>
      </c>
      <c r="C2159">
        <v>2</v>
      </c>
      <c r="D2159">
        <v>70</v>
      </c>
      <c r="E2159">
        <f>IF(OR(B2159="vi",B2159="ii",B2159="pod"),(((D2159/100)*(C2159*VLOOKUP(B2159,'Poids des runes'!A:B,2,FALSE)))+1),(((D2159/100)*(C2159*VLOOKUP(B2159,'Poids des runes'!A:B,2,FALSE)))+1)/VLOOKUP(B2159,'Poids des runes'!A:B,2,FALSE))</f>
        <v>1.5666666666666664</v>
      </c>
      <c r="F2159">
        <f t="shared" si="33"/>
        <v>1.5666666666666664</v>
      </c>
    </row>
    <row r="2160" spans="1:6" x14ac:dyDescent="0.3">
      <c r="A2160" t="s">
        <v>624</v>
      </c>
      <c r="B2160" t="s">
        <v>2157</v>
      </c>
      <c r="C2160">
        <v>2</v>
      </c>
      <c r="D2160">
        <v>70</v>
      </c>
      <c r="E2160">
        <f>IF(OR(B2160="vi",B2160="ii",B2160="pod"),(((D2160/100)*(C2160*VLOOKUP(B2160,'Poids des runes'!A:B,2,FALSE)))+1),(((D2160/100)*(C2160*VLOOKUP(B2160,'Poids des runes'!A:B,2,FALSE)))+1)/VLOOKUP(B2160,'Poids des runes'!A:B,2,FALSE))</f>
        <v>1.5666666666666664</v>
      </c>
      <c r="F2160">
        <f t="shared" si="33"/>
        <v>1.5666666666666664</v>
      </c>
    </row>
    <row r="2161" spans="1:6" x14ac:dyDescent="0.3">
      <c r="A2161" t="s">
        <v>625</v>
      </c>
      <c r="B2161" t="s">
        <v>2127</v>
      </c>
      <c r="C2161">
        <v>20.5</v>
      </c>
      <c r="D2161">
        <v>70</v>
      </c>
      <c r="E2161">
        <f>IF(OR(B2161="vi",B2161="ii",B2161="pod"),(((D2161/100)*(C2161*VLOOKUP(B2161,'Poids des runes'!A:B,2,FALSE)))+1),(((D2161/100)*(C2161*VLOOKUP(B2161,'Poids des runes'!A:B,2,FALSE)))+1)/VLOOKUP(B2161,'Poids des runes'!A:B,2,FALSE))</f>
        <v>15.35</v>
      </c>
      <c r="F2161">
        <f t="shared" si="33"/>
        <v>15.35</v>
      </c>
    </row>
    <row r="2162" spans="1:6" x14ac:dyDescent="0.3">
      <c r="A2162" t="s">
        <v>625</v>
      </c>
      <c r="B2162" t="s">
        <v>2154</v>
      </c>
      <c r="C2162">
        <v>1</v>
      </c>
      <c r="D2162">
        <v>70</v>
      </c>
      <c r="E2162">
        <f>IF(OR(B2162="vi",B2162="ii",B2162="pod"),(((D2162/100)*(C2162*VLOOKUP(B2162,'Poids des runes'!A:B,2,FALSE)))+1),(((D2162/100)*(C2162*VLOOKUP(B2162,'Poids des runes'!A:B,2,FALSE)))+1)/VLOOKUP(B2162,'Poids des runes'!A:B,2,FALSE))</f>
        <v>0.71111111111111103</v>
      </c>
      <c r="F2162">
        <f t="shared" si="33"/>
        <v>0.71111111111111103</v>
      </c>
    </row>
    <row r="2163" spans="1:6" x14ac:dyDescent="0.3">
      <c r="A2163" t="s">
        <v>625</v>
      </c>
      <c r="B2163" t="s">
        <v>2135</v>
      </c>
      <c r="C2163">
        <v>2.5</v>
      </c>
      <c r="D2163">
        <v>70</v>
      </c>
      <c r="E2163">
        <f>IF(OR(B2163="vi",B2163="ii",B2163="pod"),(((D2163/100)*(C2163*VLOOKUP(B2163,'Poids des runes'!A:B,2,FALSE)))+1),(((D2163/100)*(C2163*VLOOKUP(B2163,'Poids des runes'!A:B,2,FALSE)))+1)/VLOOKUP(B2163,'Poids des runes'!A:B,2,FALSE))</f>
        <v>1.9166666666666667</v>
      </c>
      <c r="F2163">
        <f t="shared" si="33"/>
        <v>1.9166666666666667</v>
      </c>
    </row>
    <row r="2164" spans="1:6" x14ac:dyDescent="0.3">
      <c r="A2164" t="s">
        <v>625</v>
      </c>
      <c r="B2164" t="s">
        <v>2157</v>
      </c>
      <c r="C2164">
        <v>2.5</v>
      </c>
      <c r="D2164">
        <v>70</v>
      </c>
      <c r="E2164">
        <f>IF(OR(B2164="vi",B2164="ii",B2164="pod"),(((D2164/100)*(C2164*VLOOKUP(B2164,'Poids des runes'!A:B,2,FALSE)))+1),(((D2164/100)*(C2164*VLOOKUP(B2164,'Poids des runes'!A:B,2,FALSE)))+1)/VLOOKUP(B2164,'Poids des runes'!A:B,2,FALSE))</f>
        <v>1.9166666666666667</v>
      </c>
      <c r="F2164">
        <f t="shared" si="33"/>
        <v>1.9166666666666667</v>
      </c>
    </row>
    <row r="2165" spans="1:6" x14ac:dyDescent="0.3">
      <c r="A2165" t="s">
        <v>626</v>
      </c>
      <c r="B2165" t="s">
        <v>2131</v>
      </c>
      <c r="C2165">
        <v>25.5</v>
      </c>
      <c r="D2165">
        <v>70</v>
      </c>
      <c r="E2165">
        <f>IF(OR(B2165="vi",B2165="ii",B2165="pod"),(((D2165/100)*(C2165*VLOOKUP(B2165,'Poids des runes'!A:B,2,FALSE)))+1),(((D2165/100)*(C2165*VLOOKUP(B2165,'Poids des runes'!A:B,2,FALSE)))+1)/VLOOKUP(B2165,'Poids des runes'!A:B,2,FALSE))</f>
        <v>18.849999999999998</v>
      </c>
      <c r="F2165">
        <f t="shared" si="33"/>
        <v>18.849999999999998</v>
      </c>
    </row>
    <row r="2166" spans="1:6" x14ac:dyDescent="0.3">
      <c r="A2166" t="s">
        <v>626</v>
      </c>
      <c r="B2166" t="s">
        <v>2127</v>
      </c>
      <c r="C2166">
        <v>25.5</v>
      </c>
      <c r="D2166">
        <v>70</v>
      </c>
      <c r="E2166">
        <f>IF(OR(B2166="vi",B2166="ii",B2166="pod"),(((D2166/100)*(C2166*VLOOKUP(B2166,'Poids des runes'!A:B,2,FALSE)))+1),(((D2166/100)*(C2166*VLOOKUP(B2166,'Poids des runes'!A:B,2,FALSE)))+1)/VLOOKUP(B2166,'Poids des runes'!A:B,2,FALSE))</f>
        <v>18.849999999999998</v>
      </c>
      <c r="F2166">
        <f t="shared" si="33"/>
        <v>18.849999999999998</v>
      </c>
    </row>
    <row r="2167" spans="1:6" x14ac:dyDescent="0.3">
      <c r="A2167" t="s">
        <v>626</v>
      </c>
      <c r="B2167" t="s">
        <v>2151</v>
      </c>
      <c r="C2167">
        <v>2</v>
      </c>
      <c r="D2167">
        <v>70</v>
      </c>
      <c r="E2167">
        <f>IF(OR(B2167="vi",B2167="ii",B2167="pod"),(((D2167/100)*(C2167*VLOOKUP(B2167,'Poids des runes'!A:B,2,FALSE)))+1),(((D2167/100)*(C2167*VLOOKUP(B2167,'Poids des runes'!A:B,2,FALSE)))+1)/VLOOKUP(B2167,'Poids des runes'!A:B,2,FALSE))</f>
        <v>1.5</v>
      </c>
      <c r="F2167">
        <f t="shared" si="33"/>
        <v>1.5</v>
      </c>
    </row>
    <row r="2168" spans="1:6" x14ac:dyDescent="0.3">
      <c r="A2168" t="s">
        <v>626</v>
      </c>
      <c r="B2168" t="s">
        <v>2161</v>
      </c>
      <c r="C2168">
        <v>2.5</v>
      </c>
      <c r="D2168">
        <v>70</v>
      </c>
      <c r="E2168">
        <f>IF(OR(B2168="vi",B2168="ii",B2168="pod"),(((D2168/100)*(C2168*VLOOKUP(B2168,'Poids des runes'!A:B,2,FALSE)))+1),(((D2168/100)*(C2168*VLOOKUP(B2168,'Poids des runes'!A:B,2,FALSE)))+1)/VLOOKUP(B2168,'Poids des runes'!A:B,2,FALSE))</f>
        <v>2.0833333333333335</v>
      </c>
      <c r="F2168">
        <f t="shared" si="33"/>
        <v>2.0833333333333335</v>
      </c>
    </row>
    <row r="2169" spans="1:6" x14ac:dyDescent="0.3">
      <c r="A2169" t="s">
        <v>626</v>
      </c>
      <c r="B2169" t="s">
        <v>2148</v>
      </c>
      <c r="C2169">
        <v>2</v>
      </c>
      <c r="D2169">
        <v>70</v>
      </c>
      <c r="E2169">
        <f>IF(OR(B2169="vi",B2169="ii",B2169="pod"),(((D2169/100)*(C2169*VLOOKUP(B2169,'Poids des runes'!A:B,2,FALSE)))+1),(((D2169/100)*(C2169*VLOOKUP(B2169,'Poids des runes'!A:B,2,FALSE)))+1)/VLOOKUP(B2169,'Poids des runes'!A:B,2,FALSE))</f>
        <v>1.5666666666666664</v>
      </c>
      <c r="F2169">
        <f t="shared" si="33"/>
        <v>1.5666666666666664</v>
      </c>
    </row>
    <row r="2170" spans="1:6" x14ac:dyDescent="0.3">
      <c r="A2170" t="s">
        <v>626</v>
      </c>
      <c r="B2170" t="s">
        <v>2147</v>
      </c>
      <c r="C2170">
        <v>2</v>
      </c>
      <c r="D2170">
        <v>70</v>
      </c>
      <c r="E2170">
        <f>IF(OR(B2170="vi",B2170="ii",B2170="pod"),(((D2170/100)*(C2170*VLOOKUP(B2170,'Poids des runes'!A:B,2,FALSE)))+1),(((D2170/100)*(C2170*VLOOKUP(B2170,'Poids des runes'!A:B,2,FALSE)))+1)/VLOOKUP(B2170,'Poids des runes'!A:B,2,FALSE))</f>
        <v>1.5666666666666664</v>
      </c>
      <c r="F2170">
        <f t="shared" si="33"/>
        <v>1.5666666666666664</v>
      </c>
    </row>
    <row r="2171" spans="1:6" x14ac:dyDescent="0.3">
      <c r="A2171" t="s">
        <v>627</v>
      </c>
      <c r="B2171" t="s">
        <v>2131</v>
      </c>
      <c r="C2171">
        <v>30.5</v>
      </c>
      <c r="D2171">
        <v>70</v>
      </c>
      <c r="E2171">
        <f>IF(OR(B2171="vi",B2171="ii",B2171="pod"),(((D2171/100)*(C2171*VLOOKUP(B2171,'Poids des runes'!A:B,2,FALSE)))+1),(((D2171/100)*(C2171*VLOOKUP(B2171,'Poids des runes'!A:B,2,FALSE)))+1)/VLOOKUP(B2171,'Poids des runes'!A:B,2,FALSE))</f>
        <v>22.349999999999998</v>
      </c>
      <c r="F2171">
        <f t="shared" si="33"/>
        <v>22.349999999999998</v>
      </c>
    </row>
    <row r="2172" spans="1:6" x14ac:dyDescent="0.3">
      <c r="A2172" t="s">
        <v>627</v>
      </c>
      <c r="B2172" t="s">
        <v>2127</v>
      </c>
      <c r="C2172">
        <v>30.5</v>
      </c>
      <c r="D2172">
        <v>70</v>
      </c>
      <c r="E2172">
        <f>IF(OR(B2172="vi",B2172="ii",B2172="pod"),(((D2172/100)*(C2172*VLOOKUP(B2172,'Poids des runes'!A:B,2,FALSE)))+1),(((D2172/100)*(C2172*VLOOKUP(B2172,'Poids des runes'!A:B,2,FALSE)))+1)/VLOOKUP(B2172,'Poids des runes'!A:B,2,FALSE))</f>
        <v>22.349999999999998</v>
      </c>
      <c r="F2172">
        <f t="shared" si="33"/>
        <v>22.349999999999998</v>
      </c>
    </row>
    <row r="2173" spans="1:6" x14ac:dyDescent="0.3">
      <c r="A2173" t="s">
        <v>627</v>
      </c>
      <c r="B2173" t="s">
        <v>2139</v>
      </c>
      <c r="C2173">
        <v>13</v>
      </c>
      <c r="D2173">
        <v>70</v>
      </c>
      <c r="E2173">
        <f>IF(OR(B2173="vi",B2173="ii",B2173="pod"),(((D2173/100)*(C2173*VLOOKUP(B2173,'Poids des runes'!A:B,2,FALSE)))+1),(((D2173/100)*(C2173*VLOOKUP(B2173,'Poids des runes'!A:B,2,FALSE)))+1)/VLOOKUP(B2173,'Poids des runes'!A:B,2,FALSE))</f>
        <v>9.6</v>
      </c>
      <c r="F2173">
        <f t="shared" si="33"/>
        <v>9.6</v>
      </c>
    </row>
    <row r="2174" spans="1:6" x14ac:dyDescent="0.3">
      <c r="A2174" t="s">
        <v>627</v>
      </c>
      <c r="B2174" t="s">
        <v>2161</v>
      </c>
      <c r="C2174">
        <v>4</v>
      </c>
      <c r="D2174">
        <v>70</v>
      </c>
      <c r="E2174">
        <f>IF(OR(B2174="vi",B2174="ii",B2174="pod"),(((D2174/100)*(C2174*VLOOKUP(B2174,'Poids des runes'!A:B,2,FALSE)))+1),(((D2174/100)*(C2174*VLOOKUP(B2174,'Poids des runes'!A:B,2,FALSE)))+1)/VLOOKUP(B2174,'Poids des runes'!A:B,2,FALSE))</f>
        <v>3.1333333333333329</v>
      </c>
      <c r="F2174">
        <f t="shared" si="33"/>
        <v>3.1333333333333329</v>
      </c>
    </row>
    <row r="2175" spans="1:6" x14ac:dyDescent="0.3">
      <c r="A2175" t="s">
        <v>627</v>
      </c>
      <c r="B2175" t="s">
        <v>2147</v>
      </c>
      <c r="C2175">
        <v>4</v>
      </c>
      <c r="D2175">
        <v>70</v>
      </c>
      <c r="E2175">
        <f>IF(OR(B2175="vi",B2175="ii",B2175="pod"),(((D2175/100)*(C2175*VLOOKUP(B2175,'Poids des runes'!A:B,2,FALSE)))+1),(((D2175/100)*(C2175*VLOOKUP(B2175,'Poids des runes'!A:B,2,FALSE)))+1)/VLOOKUP(B2175,'Poids des runes'!A:B,2,FALSE))</f>
        <v>2.9666666666666663</v>
      </c>
      <c r="F2175">
        <f t="shared" si="33"/>
        <v>2.9666666666666663</v>
      </c>
    </row>
    <row r="2176" spans="1:6" x14ac:dyDescent="0.3">
      <c r="A2176" t="s">
        <v>627</v>
      </c>
      <c r="B2176" t="s">
        <v>2135</v>
      </c>
      <c r="C2176">
        <v>4</v>
      </c>
      <c r="D2176">
        <v>70</v>
      </c>
      <c r="E2176">
        <f>IF(OR(B2176="vi",B2176="ii",B2176="pod"),(((D2176/100)*(C2176*VLOOKUP(B2176,'Poids des runes'!A:B,2,FALSE)))+1),(((D2176/100)*(C2176*VLOOKUP(B2176,'Poids des runes'!A:B,2,FALSE)))+1)/VLOOKUP(B2176,'Poids des runes'!A:B,2,FALSE))</f>
        <v>2.9666666666666663</v>
      </c>
      <c r="F2176">
        <f t="shared" si="33"/>
        <v>2.9666666666666663</v>
      </c>
    </row>
    <row r="2177" spans="1:6" x14ac:dyDescent="0.3">
      <c r="A2177" t="s">
        <v>628</v>
      </c>
      <c r="B2177" t="s">
        <v>2128</v>
      </c>
      <c r="C2177">
        <v>50.5</v>
      </c>
      <c r="D2177">
        <v>70</v>
      </c>
      <c r="E2177">
        <f>IF(OR(B2177="vi",B2177="ii",B2177="pod"),(((D2177/100)*(C2177*VLOOKUP(B2177,'Poids des runes'!A:B,2,FALSE)))+1),(((D2177/100)*(C2177*VLOOKUP(B2177,'Poids des runes'!A:B,2,FALSE)))+1)/VLOOKUP(B2177,'Poids des runes'!A:B,2,FALSE))</f>
        <v>8.07</v>
      </c>
      <c r="F2177">
        <f t="shared" si="33"/>
        <v>8.07</v>
      </c>
    </row>
    <row r="2178" spans="1:6" x14ac:dyDescent="0.3">
      <c r="A2178" t="s">
        <v>628</v>
      </c>
      <c r="B2178" t="s">
        <v>2127</v>
      </c>
      <c r="C2178">
        <v>35.5</v>
      </c>
      <c r="D2178">
        <v>70</v>
      </c>
      <c r="E2178">
        <f>IF(OR(B2178="vi",B2178="ii",B2178="pod"),(((D2178/100)*(C2178*VLOOKUP(B2178,'Poids des runes'!A:B,2,FALSE)))+1),(((D2178/100)*(C2178*VLOOKUP(B2178,'Poids des runes'!A:B,2,FALSE)))+1)/VLOOKUP(B2178,'Poids des runes'!A:B,2,FALSE))</f>
        <v>25.849999999999998</v>
      </c>
      <c r="F2178">
        <f t="shared" si="33"/>
        <v>25.849999999999998</v>
      </c>
    </row>
    <row r="2179" spans="1:6" x14ac:dyDescent="0.3">
      <c r="A2179" t="s">
        <v>628</v>
      </c>
      <c r="B2179" t="s">
        <v>2129</v>
      </c>
      <c r="C2179">
        <v>18</v>
      </c>
      <c r="D2179">
        <v>70</v>
      </c>
      <c r="E2179">
        <f>IF(OR(B2179="vi",B2179="ii",B2179="pod"),(((D2179/100)*(C2179*VLOOKUP(B2179,'Poids des runes'!A:B,2,FALSE)))+1),(((D2179/100)*(C2179*VLOOKUP(B2179,'Poids des runes'!A:B,2,FALSE)))+1)/VLOOKUP(B2179,'Poids des runes'!A:B,2,FALSE))</f>
        <v>13.6</v>
      </c>
      <c r="F2179">
        <f t="shared" ref="F2179:F2242" si="34">E2179</f>
        <v>13.6</v>
      </c>
    </row>
    <row r="2180" spans="1:6" x14ac:dyDescent="0.3">
      <c r="A2180" t="s">
        <v>628</v>
      </c>
      <c r="B2180" t="s">
        <v>2147</v>
      </c>
      <c r="C2180">
        <v>4.5</v>
      </c>
      <c r="D2180">
        <v>70</v>
      </c>
      <c r="E2180">
        <f>IF(OR(B2180="vi",B2180="ii",B2180="pod"),(((D2180/100)*(C2180*VLOOKUP(B2180,'Poids des runes'!A:B,2,FALSE)))+1),(((D2180/100)*(C2180*VLOOKUP(B2180,'Poids des runes'!A:B,2,FALSE)))+1)/VLOOKUP(B2180,'Poids des runes'!A:B,2,FALSE))</f>
        <v>3.3166666666666664</v>
      </c>
      <c r="F2180">
        <f t="shared" si="34"/>
        <v>3.3166666666666664</v>
      </c>
    </row>
    <row r="2181" spans="1:6" x14ac:dyDescent="0.3">
      <c r="A2181" t="s">
        <v>628</v>
      </c>
      <c r="B2181" t="s">
        <v>2157</v>
      </c>
      <c r="C2181">
        <v>4.5</v>
      </c>
      <c r="D2181">
        <v>70</v>
      </c>
      <c r="E2181">
        <f>IF(OR(B2181="vi",B2181="ii",B2181="pod"),(((D2181/100)*(C2181*VLOOKUP(B2181,'Poids des runes'!A:B,2,FALSE)))+1),(((D2181/100)*(C2181*VLOOKUP(B2181,'Poids des runes'!A:B,2,FALSE)))+1)/VLOOKUP(B2181,'Poids des runes'!A:B,2,FALSE))</f>
        <v>3.3166666666666664</v>
      </c>
      <c r="F2181">
        <f t="shared" si="34"/>
        <v>3.3166666666666664</v>
      </c>
    </row>
    <row r="2182" spans="1:6" x14ac:dyDescent="0.3">
      <c r="A2182" t="s">
        <v>629</v>
      </c>
      <c r="B2182" t="s">
        <v>2128</v>
      </c>
      <c r="C2182">
        <v>25.5</v>
      </c>
      <c r="D2182">
        <v>70</v>
      </c>
      <c r="E2182">
        <f>IF(OR(B2182="vi",B2182="ii",B2182="pod"),(((D2182/100)*(C2182*VLOOKUP(B2182,'Poids des runes'!A:B,2,FALSE)))+1),(((D2182/100)*(C2182*VLOOKUP(B2182,'Poids des runes'!A:B,2,FALSE)))+1)/VLOOKUP(B2182,'Poids des runes'!A:B,2,FALSE))</f>
        <v>4.57</v>
      </c>
      <c r="F2182">
        <f t="shared" si="34"/>
        <v>4.57</v>
      </c>
    </row>
    <row r="2183" spans="1:6" x14ac:dyDescent="0.3">
      <c r="A2183" t="s">
        <v>629</v>
      </c>
      <c r="B2183" t="s">
        <v>2127</v>
      </c>
      <c r="C2183">
        <v>25.5</v>
      </c>
      <c r="D2183">
        <v>70</v>
      </c>
      <c r="E2183">
        <f>IF(OR(B2183="vi",B2183="ii",B2183="pod"),(((D2183/100)*(C2183*VLOOKUP(B2183,'Poids des runes'!A:B,2,FALSE)))+1),(((D2183/100)*(C2183*VLOOKUP(B2183,'Poids des runes'!A:B,2,FALSE)))+1)/VLOOKUP(B2183,'Poids des runes'!A:B,2,FALSE))</f>
        <v>18.849999999999998</v>
      </c>
      <c r="F2183">
        <f t="shared" si="34"/>
        <v>18.849999999999998</v>
      </c>
    </row>
    <row r="2184" spans="1:6" x14ac:dyDescent="0.3">
      <c r="A2184" t="s">
        <v>629</v>
      </c>
      <c r="B2184" t="s">
        <v>2129</v>
      </c>
      <c r="C2184">
        <v>18</v>
      </c>
      <c r="D2184">
        <v>70</v>
      </c>
      <c r="E2184">
        <f>IF(OR(B2184="vi",B2184="ii",B2184="pod"),(((D2184/100)*(C2184*VLOOKUP(B2184,'Poids des runes'!A:B,2,FALSE)))+1),(((D2184/100)*(C2184*VLOOKUP(B2184,'Poids des runes'!A:B,2,FALSE)))+1)/VLOOKUP(B2184,'Poids des runes'!A:B,2,FALSE))</f>
        <v>13.6</v>
      </c>
      <c r="F2184">
        <f t="shared" si="34"/>
        <v>13.6</v>
      </c>
    </row>
    <row r="2185" spans="1:6" x14ac:dyDescent="0.3">
      <c r="A2185" t="s">
        <v>629</v>
      </c>
      <c r="B2185" t="s">
        <v>2151</v>
      </c>
      <c r="C2185">
        <v>1.5</v>
      </c>
      <c r="D2185">
        <v>70</v>
      </c>
      <c r="E2185">
        <f>IF(OR(B2185="vi",B2185="ii",B2185="pod"),(((D2185/100)*(C2185*VLOOKUP(B2185,'Poids des runes'!A:B,2,FALSE)))+1),(((D2185/100)*(C2185*VLOOKUP(B2185,'Poids des runes'!A:B,2,FALSE)))+1)/VLOOKUP(B2185,'Poids des runes'!A:B,2,FALSE))</f>
        <v>1.1499999999999999</v>
      </c>
      <c r="F2185">
        <f t="shared" si="34"/>
        <v>1.1499999999999999</v>
      </c>
    </row>
    <row r="2186" spans="1:6" x14ac:dyDescent="0.3">
      <c r="A2186" t="s">
        <v>629</v>
      </c>
      <c r="B2186" t="s">
        <v>2147</v>
      </c>
      <c r="C2186">
        <v>4</v>
      </c>
      <c r="D2186">
        <v>70</v>
      </c>
      <c r="E2186">
        <f>IF(OR(B2186="vi",B2186="ii",B2186="pod"),(((D2186/100)*(C2186*VLOOKUP(B2186,'Poids des runes'!A:B,2,FALSE)))+1),(((D2186/100)*(C2186*VLOOKUP(B2186,'Poids des runes'!A:B,2,FALSE)))+1)/VLOOKUP(B2186,'Poids des runes'!A:B,2,FALSE))</f>
        <v>2.9666666666666663</v>
      </c>
      <c r="F2186">
        <f t="shared" si="34"/>
        <v>2.9666666666666663</v>
      </c>
    </row>
    <row r="2187" spans="1:6" x14ac:dyDescent="0.3">
      <c r="A2187" t="s">
        <v>629</v>
      </c>
      <c r="B2187" t="s">
        <v>2135</v>
      </c>
      <c r="C2187">
        <v>4</v>
      </c>
      <c r="D2187">
        <v>70</v>
      </c>
      <c r="E2187">
        <f>IF(OR(B2187="vi",B2187="ii",B2187="pod"),(((D2187/100)*(C2187*VLOOKUP(B2187,'Poids des runes'!A:B,2,FALSE)))+1),(((D2187/100)*(C2187*VLOOKUP(B2187,'Poids des runes'!A:B,2,FALSE)))+1)/VLOOKUP(B2187,'Poids des runes'!A:B,2,FALSE))</f>
        <v>2.9666666666666663</v>
      </c>
      <c r="F2187">
        <f t="shared" si="34"/>
        <v>2.9666666666666663</v>
      </c>
    </row>
    <row r="2188" spans="1:6" x14ac:dyDescent="0.3">
      <c r="A2188" t="s">
        <v>630</v>
      </c>
      <c r="B2188" t="s">
        <v>2128</v>
      </c>
      <c r="C2188">
        <v>60.5</v>
      </c>
      <c r="D2188">
        <v>71</v>
      </c>
      <c r="E2188">
        <f>IF(OR(B2188="vi",B2188="ii",B2188="pod"),(((D2188/100)*(C2188*VLOOKUP(B2188,'Poids des runes'!A:B,2,FALSE)))+1),(((D2188/100)*(C2188*VLOOKUP(B2188,'Poids des runes'!A:B,2,FALSE)))+1)/VLOOKUP(B2188,'Poids des runes'!A:B,2,FALSE))</f>
        <v>9.5910000000000011</v>
      </c>
      <c r="F2188">
        <f t="shared" si="34"/>
        <v>9.5910000000000011</v>
      </c>
    </row>
    <row r="2189" spans="1:6" x14ac:dyDescent="0.3">
      <c r="A2189" t="s">
        <v>630</v>
      </c>
      <c r="B2189" t="s">
        <v>2126</v>
      </c>
      <c r="C2189">
        <v>35.5</v>
      </c>
      <c r="D2189">
        <v>71</v>
      </c>
      <c r="E2189">
        <f>IF(OR(B2189="vi",B2189="ii",B2189="pod"),(((D2189/100)*(C2189*VLOOKUP(B2189,'Poids des runes'!A:B,2,FALSE)))+1),(((D2189/100)*(C2189*VLOOKUP(B2189,'Poids des runes'!A:B,2,FALSE)))+1)/VLOOKUP(B2189,'Poids des runes'!A:B,2,FALSE))</f>
        <v>26.204999999999998</v>
      </c>
      <c r="F2189">
        <f t="shared" si="34"/>
        <v>26.204999999999998</v>
      </c>
    </row>
    <row r="2190" spans="1:6" x14ac:dyDescent="0.3">
      <c r="A2190" t="s">
        <v>630</v>
      </c>
      <c r="B2190" t="s">
        <v>2150</v>
      </c>
      <c r="C2190">
        <v>1</v>
      </c>
      <c r="D2190">
        <v>71</v>
      </c>
      <c r="E2190">
        <f>IF(OR(B2190="vi",B2190="ii",B2190="pod"),(((D2190/100)*(C2190*VLOOKUP(B2190,'Poids des runes'!A:B,2,FALSE)))+1),(((D2190/100)*(C2190*VLOOKUP(B2190,'Poids des runes'!A:B,2,FALSE)))+1)/VLOOKUP(B2190,'Poids des runes'!A:B,2,FALSE))</f>
        <v>0.74333333333333329</v>
      </c>
      <c r="F2190">
        <f t="shared" si="34"/>
        <v>0.74333333333333329</v>
      </c>
    </row>
    <row r="2191" spans="1:6" x14ac:dyDescent="0.3">
      <c r="A2191" t="s">
        <v>630</v>
      </c>
      <c r="B2191" t="s">
        <v>2161</v>
      </c>
      <c r="C2191">
        <v>13</v>
      </c>
      <c r="D2191">
        <v>71</v>
      </c>
      <c r="E2191">
        <f>IF(OR(B2191="vi",B2191="ii",B2191="pod"),(((D2191/100)*(C2191*VLOOKUP(B2191,'Poids des runes'!A:B,2,FALSE)))+1),(((D2191/100)*(C2191*VLOOKUP(B2191,'Poids des runes'!A:B,2,FALSE)))+1)/VLOOKUP(B2191,'Poids des runes'!A:B,2,FALSE))</f>
        <v>9.5633333333333326</v>
      </c>
      <c r="F2191">
        <f t="shared" si="34"/>
        <v>9.5633333333333326</v>
      </c>
    </row>
    <row r="2192" spans="1:6" x14ac:dyDescent="0.3">
      <c r="A2192" t="s">
        <v>631</v>
      </c>
      <c r="B2192" t="s">
        <v>2128</v>
      </c>
      <c r="C2192">
        <v>50.5</v>
      </c>
      <c r="D2192">
        <v>71</v>
      </c>
      <c r="E2192">
        <f>IF(OR(B2192="vi",B2192="ii",B2192="pod"),(((D2192/100)*(C2192*VLOOKUP(B2192,'Poids des runes'!A:B,2,FALSE)))+1),(((D2192/100)*(C2192*VLOOKUP(B2192,'Poids des runes'!A:B,2,FALSE)))+1)/VLOOKUP(B2192,'Poids des runes'!A:B,2,FALSE))</f>
        <v>8.1709999999999994</v>
      </c>
      <c r="F2192">
        <f t="shared" si="34"/>
        <v>8.1709999999999994</v>
      </c>
    </row>
    <row r="2193" spans="1:6" x14ac:dyDescent="0.3">
      <c r="A2193" t="s">
        <v>631</v>
      </c>
      <c r="B2193" t="s">
        <v>2141</v>
      </c>
      <c r="C2193">
        <v>8.5</v>
      </c>
      <c r="D2193">
        <v>71</v>
      </c>
      <c r="E2193">
        <f>IF(OR(B2193="vi",B2193="ii",B2193="pod"),(((D2193/100)*(C2193*VLOOKUP(B2193,'Poids des runes'!A:B,2,FALSE)))+1),(((D2193/100)*(C2193*VLOOKUP(B2193,'Poids des runes'!A:B,2,FALSE)))+1)/VLOOKUP(B2193,'Poids des runes'!A:B,2,FALSE))</f>
        <v>6.2850000000000001</v>
      </c>
      <c r="F2193">
        <f t="shared" si="34"/>
        <v>6.2850000000000001</v>
      </c>
    </row>
    <row r="2194" spans="1:6" x14ac:dyDescent="0.3">
      <c r="A2194" t="s">
        <v>631</v>
      </c>
      <c r="B2194" t="s">
        <v>2165</v>
      </c>
      <c r="C2194">
        <v>8.5</v>
      </c>
      <c r="D2194">
        <v>71</v>
      </c>
      <c r="E2194">
        <f>IF(OR(B2194="vi",B2194="ii",B2194="pod"),(((D2194/100)*(C2194*VLOOKUP(B2194,'Poids des runes'!A:B,2,FALSE)))+1),(((D2194/100)*(C2194*VLOOKUP(B2194,'Poids des runes'!A:B,2,FALSE)))+1)/VLOOKUP(B2194,'Poids des runes'!A:B,2,FALSE))</f>
        <v>6.1778571428571425</v>
      </c>
      <c r="F2194">
        <f t="shared" si="34"/>
        <v>6.1778571428571425</v>
      </c>
    </row>
    <row r="2195" spans="1:6" x14ac:dyDescent="0.3">
      <c r="A2195" t="s">
        <v>631</v>
      </c>
      <c r="B2195" t="s">
        <v>2158</v>
      </c>
      <c r="C2195">
        <v>8.5</v>
      </c>
      <c r="D2195">
        <v>71</v>
      </c>
      <c r="E2195">
        <f>IF(OR(B2195="vi",B2195="ii",B2195="pod"),(((D2195/100)*(C2195*VLOOKUP(B2195,'Poids des runes'!A:B,2,FALSE)))+1),(((D2195/100)*(C2195*VLOOKUP(B2195,'Poids des runes'!A:B,2,FALSE)))+1)/VLOOKUP(B2195,'Poids des runes'!A:B,2,FALSE))</f>
        <v>6.2349999999999994</v>
      </c>
      <c r="F2195">
        <f t="shared" si="34"/>
        <v>6.2349999999999994</v>
      </c>
    </row>
    <row r="2196" spans="1:6" x14ac:dyDescent="0.3">
      <c r="A2196" t="s">
        <v>631</v>
      </c>
      <c r="B2196" t="s">
        <v>2163</v>
      </c>
      <c r="C2196">
        <v>8.5</v>
      </c>
      <c r="D2196">
        <v>71</v>
      </c>
      <c r="E2196">
        <f>IF(OR(B2196="vi",B2196="ii",B2196="pod"),(((D2196/100)*(C2196*VLOOKUP(B2196,'Poids des runes'!A:B,2,FALSE)))+1),(((D2196/100)*(C2196*VLOOKUP(B2196,'Poids des runes'!A:B,2,FALSE)))+1)/VLOOKUP(B2196,'Poids des runes'!A:B,2,FALSE))</f>
        <v>6.5350000000000001</v>
      </c>
      <c r="F2196">
        <f t="shared" si="34"/>
        <v>6.5350000000000001</v>
      </c>
    </row>
    <row r="2197" spans="1:6" x14ac:dyDescent="0.3">
      <c r="A2197" t="s">
        <v>632</v>
      </c>
      <c r="B2197" t="s">
        <v>2128</v>
      </c>
      <c r="C2197">
        <v>60.5</v>
      </c>
      <c r="D2197">
        <v>71</v>
      </c>
      <c r="E2197">
        <f>IF(OR(B2197="vi",B2197="ii",B2197="pod"),(((D2197/100)*(C2197*VLOOKUP(B2197,'Poids des runes'!A:B,2,FALSE)))+1),(((D2197/100)*(C2197*VLOOKUP(B2197,'Poids des runes'!A:B,2,FALSE)))+1)/VLOOKUP(B2197,'Poids des runes'!A:B,2,FALSE))</f>
        <v>9.5910000000000011</v>
      </c>
      <c r="F2197">
        <f t="shared" si="34"/>
        <v>9.5910000000000011</v>
      </c>
    </row>
    <row r="2198" spans="1:6" x14ac:dyDescent="0.3">
      <c r="A2198" t="s">
        <v>632</v>
      </c>
      <c r="B2198" t="s">
        <v>2126</v>
      </c>
      <c r="C2198">
        <v>25.5</v>
      </c>
      <c r="D2198">
        <v>71</v>
      </c>
      <c r="E2198">
        <f>IF(OR(B2198="vi",B2198="ii",B2198="pod"),(((D2198/100)*(C2198*VLOOKUP(B2198,'Poids des runes'!A:B,2,FALSE)))+1),(((D2198/100)*(C2198*VLOOKUP(B2198,'Poids des runes'!A:B,2,FALSE)))+1)/VLOOKUP(B2198,'Poids des runes'!A:B,2,FALSE))</f>
        <v>19.105</v>
      </c>
      <c r="F2198">
        <f t="shared" si="34"/>
        <v>19.105</v>
      </c>
    </row>
    <row r="2199" spans="1:6" x14ac:dyDescent="0.3">
      <c r="A2199" t="s">
        <v>632</v>
      </c>
      <c r="B2199" t="s">
        <v>2129</v>
      </c>
      <c r="C2199">
        <v>8</v>
      </c>
      <c r="D2199">
        <v>71</v>
      </c>
      <c r="E2199">
        <f>IF(OR(B2199="vi",B2199="ii",B2199="pod"),(((D2199/100)*(C2199*VLOOKUP(B2199,'Poids des runes'!A:B,2,FALSE)))+1),(((D2199/100)*(C2199*VLOOKUP(B2199,'Poids des runes'!A:B,2,FALSE)))+1)/VLOOKUP(B2199,'Poids des runes'!A:B,2,FALSE))</f>
        <v>6.68</v>
      </c>
      <c r="F2199">
        <f t="shared" si="34"/>
        <v>6.68</v>
      </c>
    </row>
    <row r="2200" spans="1:6" x14ac:dyDescent="0.3">
      <c r="A2200" t="s">
        <v>632</v>
      </c>
      <c r="B2200" t="s">
        <v>2151</v>
      </c>
      <c r="C2200">
        <v>1.5</v>
      </c>
      <c r="D2200">
        <v>71</v>
      </c>
      <c r="E2200">
        <f>IF(OR(B2200="vi",B2200="ii",B2200="pod"),(((D2200/100)*(C2200*VLOOKUP(B2200,'Poids des runes'!A:B,2,FALSE)))+1),(((D2200/100)*(C2200*VLOOKUP(B2200,'Poids des runes'!A:B,2,FALSE)))+1)/VLOOKUP(B2200,'Poids des runes'!A:B,2,FALSE))</f>
        <v>1.1649999999999998</v>
      </c>
      <c r="F2200">
        <f t="shared" si="34"/>
        <v>1.1649999999999998</v>
      </c>
    </row>
    <row r="2201" spans="1:6" x14ac:dyDescent="0.3">
      <c r="A2201" t="s">
        <v>632</v>
      </c>
      <c r="B2201" t="s">
        <v>2152</v>
      </c>
      <c r="C2201">
        <v>1</v>
      </c>
      <c r="D2201">
        <v>71</v>
      </c>
      <c r="E2201">
        <f>IF(OR(B2201="vi",B2201="ii",B2201="pod"),(((D2201/100)*(C2201*VLOOKUP(B2201,'Poids des runes'!A:B,2,FALSE)))+1),(((D2201/100)*(C2201*VLOOKUP(B2201,'Poids des runes'!A:B,2,FALSE)))+1)/VLOOKUP(B2201,'Poids des runes'!A:B,2,FALSE))</f>
        <v>0.72</v>
      </c>
      <c r="F2201">
        <f t="shared" si="34"/>
        <v>0.72</v>
      </c>
    </row>
    <row r="2202" spans="1:6" x14ac:dyDescent="0.3">
      <c r="A2202" t="s">
        <v>633</v>
      </c>
      <c r="B2202" t="s">
        <v>2128</v>
      </c>
      <c r="C2202">
        <v>35.5</v>
      </c>
      <c r="D2202">
        <v>72</v>
      </c>
      <c r="E2202">
        <f>IF(OR(B2202="vi",B2202="ii",B2202="pod"),(((D2202/100)*(C2202*VLOOKUP(B2202,'Poids des runes'!A:B,2,FALSE)))+1),(((D2202/100)*(C2202*VLOOKUP(B2202,'Poids des runes'!A:B,2,FALSE)))+1)/VLOOKUP(B2202,'Poids des runes'!A:B,2,FALSE))</f>
        <v>6.1120000000000001</v>
      </c>
      <c r="F2202">
        <f t="shared" si="34"/>
        <v>6.1120000000000001</v>
      </c>
    </row>
    <row r="2203" spans="1:6" x14ac:dyDescent="0.3">
      <c r="A2203" t="s">
        <v>633</v>
      </c>
      <c r="B2203" t="s">
        <v>2130</v>
      </c>
      <c r="C2203">
        <v>23</v>
      </c>
      <c r="D2203">
        <v>72</v>
      </c>
      <c r="E2203">
        <f>IF(OR(B2203="vi",B2203="ii",B2203="pod"),(((D2203/100)*(C2203*VLOOKUP(B2203,'Poids des runes'!A:B,2,FALSE)))+1),(((D2203/100)*(C2203*VLOOKUP(B2203,'Poids des runes'!A:B,2,FALSE)))+1)/VLOOKUP(B2203,'Poids des runes'!A:B,2,FALSE))</f>
        <v>17.559999999999999</v>
      </c>
      <c r="F2203">
        <f t="shared" si="34"/>
        <v>17.559999999999999</v>
      </c>
    </row>
    <row r="2204" spans="1:6" x14ac:dyDescent="0.3">
      <c r="A2204" t="s">
        <v>633</v>
      </c>
      <c r="B2204" t="s">
        <v>2129</v>
      </c>
      <c r="C2204">
        <v>8.5</v>
      </c>
      <c r="D2204">
        <v>72</v>
      </c>
      <c r="E2204">
        <f>IF(OR(B2204="vi",B2204="ii",B2204="pod"),(((D2204/100)*(C2204*VLOOKUP(B2204,'Poids des runes'!A:B,2,FALSE)))+1),(((D2204/100)*(C2204*VLOOKUP(B2204,'Poids des runes'!A:B,2,FALSE)))+1)/VLOOKUP(B2204,'Poids des runes'!A:B,2,FALSE))</f>
        <v>7.12</v>
      </c>
      <c r="F2204">
        <f t="shared" si="34"/>
        <v>7.12</v>
      </c>
    </row>
    <row r="2205" spans="1:6" x14ac:dyDescent="0.3">
      <c r="A2205" t="s">
        <v>633</v>
      </c>
      <c r="B2205" t="s">
        <v>2139</v>
      </c>
      <c r="C2205">
        <v>8.5</v>
      </c>
      <c r="D2205">
        <v>72</v>
      </c>
      <c r="E2205">
        <f>IF(OR(B2205="vi",B2205="ii",B2205="pod"),(((D2205/100)*(C2205*VLOOKUP(B2205,'Poids des runes'!A:B,2,FALSE)))+1),(((D2205/100)*(C2205*VLOOKUP(B2205,'Poids des runes'!A:B,2,FALSE)))+1)/VLOOKUP(B2205,'Poids des runes'!A:B,2,FALSE))</f>
        <v>6.62</v>
      </c>
      <c r="F2205">
        <f t="shared" si="34"/>
        <v>6.62</v>
      </c>
    </row>
    <row r="2206" spans="1:6" x14ac:dyDescent="0.3">
      <c r="A2206" t="s">
        <v>633</v>
      </c>
      <c r="B2206" t="s">
        <v>2154</v>
      </c>
      <c r="C2206">
        <v>1</v>
      </c>
      <c r="D2206">
        <v>72</v>
      </c>
      <c r="E2206">
        <f>IF(OR(B2206="vi",B2206="ii",B2206="pod"),(((D2206/100)*(C2206*VLOOKUP(B2206,'Poids des runes'!A:B,2,FALSE)))+1),(((D2206/100)*(C2206*VLOOKUP(B2206,'Poids des runes'!A:B,2,FALSE)))+1)/VLOOKUP(B2206,'Poids des runes'!A:B,2,FALSE))</f>
        <v>0.73111111111111104</v>
      </c>
      <c r="F2206">
        <f t="shared" si="34"/>
        <v>0.73111111111111104</v>
      </c>
    </row>
    <row r="2207" spans="1:6" x14ac:dyDescent="0.3">
      <c r="A2207" t="s">
        <v>633</v>
      </c>
      <c r="B2207" t="s">
        <v>2148</v>
      </c>
      <c r="C2207">
        <v>2</v>
      </c>
      <c r="D2207">
        <v>72</v>
      </c>
      <c r="E2207">
        <f>IF(OR(B2207="vi",B2207="ii",B2207="pod"),(((D2207/100)*(C2207*VLOOKUP(B2207,'Poids des runes'!A:B,2,FALSE)))+1),(((D2207/100)*(C2207*VLOOKUP(B2207,'Poids des runes'!A:B,2,FALSE)))+1)/VLOOKUP(B2207,'Poids des runes'!A:B,2,FALSE))</f>
        <v>1.6066666666666667</v>
      </c>
      <c r="F2207">
        <f t="shared" si="34"/>
        <v>1.6066666666666667</v>
      </c>
    </row>
    <row r="2208" spans="1:6" x14ac:dyDescent="0.3">
      <c r="A2208" t="s">
        <v>634</v>
      </c>
      <c r="B2208" t="s">
        <v>2128</v>
      </c>
      <c r="C2208">
        <v>50.5</v>
      </c>
      <c r="D2208">
        <v>72</v>
      </c>
      <c r="E2208">
        <f>IF(OR(B2208="vi",B2208="ii",B2208="pod"),(((D2208/100)*(C2208*VLOOKUP(B2208,'Poids des runes'!A:B,2,FALSE)))+1),(((D2208/100)*(C2208*VLOOKUP(B2208,'Poids des runes'!A:B,2,FALSE)))+1)/VLOOKUP(B2208,'Poids des runes'!A:B,2,FALSE))</f>
        <v>8.272000000000002</v>
      </c>
      <c r="F2208">
        <f t="shared" si="34"/>
        <v>8.272000000000002</v>
      </c>
    </row>
    <row r="2209" spans="1:6" x14ac:dyDescent="0.3">
      <c r="A2209" t="s">
        <v>634</v>
      </c>
      <c r="B2209" t="s">
        <v>2126</v>
      </c>
      <c r="C2209">
        <v>45.5</v>
      </c>
      <c r="D2209">
        <v>72</v>
      </c>
      <c r="E2209">
        <f>IF(OR(B2209="vi",B2209="ii",B2209="pod"),(((D2209/100)*(C2209*VLOOKUP(B2209,'Poids des runes'!A:B,2,FALSE)))+1),(((D2209/100)*(C2209*VLOOKUP(B2209,'Poids des runes'!A:B,2,FALSE)))+1)/VLOOKUP(B2209,'Poids des runes'!A:B,2,FALSE))</f>
        <v>33.76</v>
      </c>
      <c r="F2209">
        <f t="shared" si="34"/>
        <v>33.76</v>
      </c>
    </row>
    <row r="2210" spans="1:6" x14ac:dyDescent="0.3">
      <c r="A2210" t="s">
        <v>634</v>
      </c>
      <c r="B2210" t="s">
        <v>2151</v>
      </c>
      <c r="C2210">
        <v>2.5</v>
      </c>
      <c r="D2210">
        <v>72</v>
      </c>
      <c r="E2210">
        <f>IF(OR(B2210="vi",B2210="ii",B2210="pod"),(((D2210/100)*(C2210*VLOOKUP(B2210,'Poids des runes'!A:B,2,FALSE)))+1),(((D2210/100)*(C2210*VLOOKUP(B2210,'Poids des runes'!A:B,2,FALSE)))+1)/VLOOKUP(B2210,'Poids des runes'!A:B,2,FALSE))</f>
        <v>1.9</v>
      </c>
      <c r="F2210">
        <f t="shared" si="34"/>
        <v>1.9</v>
      </c>
    </row>
    <row r="2211" spans="1:6" x14ac:dyDescent="0.3">
      <c r="A2211" t="s">
        <v>634</v>
      </c>
      <c r="B2211" t="s">
        <v>2150</v>
      </c>
      <c r="C2211">
        <v>1</v>
      </c>
      <c r="D2211">
        <v>72</v>
      </c>
      <c r="E2211">
        <f>IF(OR(B2211="vi",B2211="ii",B2211="pod"),(((D2211/100)*(C2211*VLOOKUP(B2211,'Poids des runes'!A:B,2,FALSE)))+1),(((D2211/100)*(C2211*VLOOKUP(B2211,'Poids des runes'!A:B,2,FALSE)))+1)/VLOOKUP(B2211,'Poids des runes'!A:B,2,FALSE))</f>
        <v>0.7533333333333333</v>
      </c>
      <c r="F2211">
        <f t="shared" si="34"/>
        <v>0.7533333333333333</v>
      </c>
    </row>
    <row r="2212" spans="1:6" x14ac:dyDescent="0.3">
      <c r="A2212" t="s">
        <v>634</v>
      </c>
      <c r="B2212" t="s">
        <v>2132</v>
      </c>
      <c r="C2212">
        <v>175.5</v>
      </c>
      <c r="D2212">
        <v>72</v>
      </c>
      <c r="E2212">
        <f>IF(OR(B2212="vi",B2212="ii",B2212="pod"),(((D2212/100)*(C2212*VLOOKUP(B2212,'Poids des runes'!A:B,2,FALSE)))+1),(((D2212/100)*(C2212*VLOOKUP(B2212,'Poids des runes'!A:B,2,FALSE)))+1)/VLOOKUP(B2212,'Poids des runes'!A:B,2,FALSE))</f>
        <v>13.635999999999999</v>
      </c>
      <c r="F2212">
        <f t="shared" si="34"/>
        <v>13.635999999999999</v>
      </c>
    </row>
    <row r="2213" spans="1:6" x14ac:dyDescent="0.3">
      <c r="A2213" t="s">
        <v>634</v>
      </c>
      <c r="B2213" t="s">
        <v>2157</v>
      </c>
      <c r="C2213">
        <v>4</v>
      </c>
      <c r="D2213">
        <v>72</v>
      </c>
      <c r="E2213">
        <f>IF(OR(B2213="vi",B2213="ii",B2213="pod"),(((D2213/100)*(C2213*VLOOKUP(B2213,'Poids des runes'!A:B,2,FALSE)))+1),(((D2213/100)*(C2213*VLOOKUP(B2213,'Poids des runes'!A:B,2,FALSE)))+1)/VLOOKUP(B2213,'Poids des runes'!A:B,2,FALSE))</f>
        <v>3.0466666666666669</v>
      </c>
      <c r="F2213">
        <f t="shared" si="34"/>
        <v>3.0466666666666669</v>
      </c>
    </row>
    <row r="2214" spans="1:6" x14ac:dyDescent="0.3">
      <c r="A2214" t="s">
        <v>635</v>
      </c>
      <c r="B2214" t="s">
        <v>2126</v>
      </c>
      <c r="C2214">
        <v>18</v>
      </c>
      <c r="D2214">
        <v>72</v>
      </c>
      <c r="E2214">
        <f>IF(OR(B2214="vi",B2214="ii",B2214="pod"),(((D2214/100)*(C2214*VLOOKUP(B2214,'Poids des runes'!A:B,2,FALSE)))+1),(((D2214/100)*(C2214*VLOOKUP(B2214,'Poids des runes'!A:B,2,FALSE)))+1)/VLOOKUP(B2214,'Poids des runes'!A:B,2,FALSE))</f>
        <v>13.959999999999999</v>
      </c>
      <c r="F2214">
        <f t="shared" si="34"/>
        <v>13.959999999999999</v>
      </c>
    </row>
    <row r="2215" spans="1:6" x14ac:dyDescent="0.3">
      <c r="A2215" t="s">
        <v>635</v>
      </c>
      <c r="B2215" t="s">
        <v>2127</v>
      </c>
      <c r="C2215">
        <v>18</v>
      </c>
      <c r="D2215">
        <v>72</v>
      </c>
      <c r="E2215">
        <f>IF(OR(B2215="vi",B2215="ii",B2215="pod"),(((D2215/100)*(C2215*VLOOKUP(B2215,'Poids des runes'!A:B,2,FALSE)))+1),(((D2215/100)*(C2215*VLOOKUP(B2215,'Poids des runes'!A:B,2,FALSE)))+1)/VLOOKUP(B2215,'Poids des runes'!A:B,2,FALSE))</f>
        <v>13.959999999999999</v>
      </c>
      <c r="F2215">
        <f t="shared" si="34"/>
        <v>13.959999999999999</v>
      </c>
    </row>
    <row r="2216" spans="1:6" x14ac:dyDescent="0.3">
      <c r="A2216" t="s">
        <v>635</v>
      </c>
      <c r="B2216" t="s">
        <v>2155</v>
      </c>
      <c r="C2216">
        <v>1</v>
      </c>
      <c r="D2216">
        <v>72</v>
      </c>
      <c r="E2216">
        <f>IF(OR(B2216="vi",B2216="ii",B2216="pod"),(((D2216/100)*(C2216*VLOOKUP(B2216,'Poids des runes'!A:B,2,FALSE)))+1),(((D2216/100)*(C2216*VLOOKUP(B2216,'Poids des runes'!A:B,2,FALSE)))+1)/VLOOKUP(B2216,'Poids des runes'!A:B,2,FALSE))</f>
        <v>0.73960784313725492</v>
      </c>
      <c r="F2216">
        <f t="shared" si="34"/>
        <v>0.73960784313725492</v>
      </c>
    </row>
    <row r="2217" spans="1:6" x14ac:dyDescent="0.3">
      <c r="A2217" t="s">
        <v>635</v>
      </c>
      <c r="B2217" t="s">
        <v>2135</v>
      </c>
      <c r="C2217">
        <v>2</v>
      </c>
      <c r="D2217">
        <v>72</v>
      </c>
      <c r="E2217">
        <f>IF(OR(B2217="vi",B2217="ii",B2217="pod"),(((D2217/100)*(C2217*VLOOKUP(B2217,'Poids des runes'!A:B,2,FALSE)))+1),(((D2217/100)*(C2217*VLOOKUP(B2217,'Poids des runes'!A:B,2,FALSE)))+1)/VLOOKUP(B2217,'Poids des runes'!A:B,2,FALSE))</f>
        <v>1.6066666666666667</v>
      </c>
      <c r="F2217">
        <f t="shared" si="34"/>
        <v>1.6066666666666667</v>
      </c>
    </row>
    <row r="2218" spans="1:6" x14ac:dyDescent="0.3">
      <c r="A2218" t="s">
        <v>635</v>
      </c>
      <c r="B2218" t="s">
        <v>2157</v>
      </c>
      <c r="C2218">
        <v>2</v>
      </c>
      <c r="D2218">
        <v>72</v>
      </c>
      <c r="E2218">
        <f>IF(OR(B2218="vi",B2218="ii",B2218="pod"),(((D2218/100)*(C2218*VLOOKUP(B2218,'Poids des runes'!A:B,2,FALSE)))+1),(((D2218/100)*(C2218*VLOOKUP(B2218,'Poids des runes'!A:B,2,FALSE)))+1)/VLOOKUP(B2218,'Poids des runes'!A:B,2,FALSE))</f>
        <v>1.6066666666666667</v>
      </c>
      <c r="F2218">
        <f t="shared" si="34"/>
        <v>1.6066666666666667</v>
      </c>
    </row>
    <row r="2219" spans="1:6" x14ac:dyDescent="0.3">
      <c r="A2219" t="s">
        <v>636</v>
      </c>
      <c r="B2219" t="s">
        <v>2128</v>
      </c>
      <c r="C2219">
        <v>35.5</v>
      </c>
      <c r="D2219">
        <v>72</v>
      </c>
      <c r="E2219">
        <f>IF(OR(B2219="vi",B2219="ii",B2219="pod"),(((D2219/100)*(C2219*VLOOKUP(B2219,'Poids des runes'!A:B,2,FALSE)))+1),(((D2219/100)*(C2219*VLOOKUP(B2219,'Poids des runes'!A:B,2,FALSE)))+1)/VLOOKUP(B2219,'Poids des runes'!A:B,2,FALSE))</f>
        <v>6.1120000000000001</v>
      </c>
      <c r="F2219">
        <f t="shared" si="34"/>
        <v>6.1120000000000001</v>
      </c>
    </row>
    <row r="2220" spans="1:6" x14ac:dyDescent="0.3">
      <c r="A2220" t="s">
        <v>636</v>
      </c>
      <c r="B2220" t="s">
        <v>2130</v>
      </c>
      <c r="C2220">
        <v>38</v>
      </c>
      <c r="D2220">
        <v>72</v>
      </c>
      <c r="E2220">
        <f>IF(OR(B2220="vi",B2220="ii",B2220="pod"),(((D2220/100)*(C2220*VLOOKUP(B2220,'Poids des runes'!A:B,2,FALSE)))+1),(((D2220/100)*(C2220*VLOOKUP(B2220,'Poids des runes'!A:B,2,FALSE)))+1)/VLOOKUP(B2220,'Poids des runes'!A:B,2,FALSE))</f>
        <v>28.36</v>
      </c>
      <c r="F2220">
        <f t="shared" si="34"/>
        <v>28.36</v>
      </c>
    </row>
    <row r="2221" spans="1:6" x14ac:dyDescent="0.3">
      <c r="A2221" t="s">
        <v>636</v>
      </c>
      <c r="B2221" t="s">
        <v>2151</v>
      </c>
      <c r="C2221">
        <v>3.5</v>
      </c>
      <c r="D2221">
        <v>72</v>
      </c>
      <c r="E2221">
        <f>IF(OR(B2221="vi",B2221="ii",B2221="pod"),(((D2221/100)*(C2221*VLOOKUP(B2221,'Poids des runes'!A:B,2,FALSE)))+1),(((D2221/100)*(C2221*VLOOKUP(B2221,'Poids des runes'!A:B,2,FALSE)))+1)/VLOOKUP(B2221,'Poids des runes'!A:B,2,FALSE))</f>
        <v>2.62</v>
      </c>
      <c r="F2221">
        <f t="shared" si="34"/>
        <v>2.62</v>
      </c>
    </row>
    <row r="2222" spans="1:6" x14ac:dyDescent="0.3">
      <c r="A2222" t="s">
        <v>636</v>
      </c>
      <c r="B2222" t="s">
        <v>2150</v>
      </c>
      <c r="C2222">
        <v>1</v>
      </c>
      <c r="D2222">
        <v>72</v>
      </c>
      <c r="E2222">
        <f>IF(OR(B2222="vi",B2222="ii",B2222="pod"),(((D2222/100)*(C2222*VLOOKUP(B2222,'Poids des runes'!A:B,2,FALSE)))+1),(((D2222/100)*(C2222*VLOOKUP(B2222,'Poids des runes'!A:B,2,FALSE)))+1)/VLOOKUP(B2222,'Poids des runes'!A:B,2,FALSE))</f>
        <v>0.7533333333333333</v>
      </c>
      <c r="F2222">
        <f t="shared" si="34"/>
        <v>0.7533333333333333</v>
      </c>
    </row>
    <row r="2223" spans="1:6" x14ac:dyDescent="0.3">
      <c r="A2223" t="s">
        <v>636</v>
      </c>
      <c r="B2223" t="s">
        <v>2143</v>
      </c>
      <c r="C2223">
        <v>3.5</v>
      </c>
      <c r="D2223">
        <v>72</v>
      </c>
      <c r="E2223">
        <f>IF(OR(B2223="vi",B2223="ii",B2223="pod"),(((D2223/100)*(C2223*VLOOKUP(B2223,'Poids des runes'!A:B,2,FALSE)))+1),(((D2223/100)*(C2223*VLOOKUP(B2223,'Poids des runes'!A:B,2,FALSE)))+1)/VLOOKUP(B2223,'Poids des runes'!A:B,2,FALSE))</f>
        <v>2.7199999999999998</v>
      </c>
      <c r="F2223">
        <f t="shared" si="34"/>
        <v>2.7199999999999998</v>
      </c>
    </row>
    <row r="2224" spans="1:6" x14ac:dyDescent="0.3">
      <c r="A2224" t="s">
        <v>637</v>
      </c>
      <c r="B2224" t="s">
        <v>2128</v>
      </c>
      <c r="C2224">
        <v>18</v>
      </c>
      <c r="D2224">
        <v>73</v>
      </c>
      <c r="E2224">
        <f>IF(OR(B2224="vi",B2224="ii",B2224="pod"),(((D2224/100)*(C2224*VLOOKUP(B2224,'Poids des runes'!A:B,2,FALSE)))+1),(((D2224/100)*(C2224*VLOOKUP(B2224,'Poids des runes'!A:B,2,FALSE)))+1)/VLOOKUP(B2224,'Poids des runes'!A:B,2,FALSE))</f>
        <v>3.6280000000000001</v>
      </c>
      <c r="F2224">
        <f t="shared" si="34"/>
        <v>3.6280000000000001</v>
      </c>
    </row>
    <row r="2225" spans="1:6" x14ac:dyDescent="0.3">
      <c r="A2225" t="s">
        <v>637</v>
      </c>
      <c r="B2225" t="s">
        <v>2130</v>
      </c>
      <c r="C2225">
        <v>35.5</v>
      </c>
      <c r="D2225">
        <v>73</v>
      </c>
      <c r="E2225">
        <f>IF(OR(B2225="vi",B2225="ii",B2225="pod"),(((D2225/100)*(C2225*VLOOKUP(B2225,'Poids des runes'!A:B,2,FALSE)))+1),(((D2225/100)*(C2225*VLOOKUP(B2225,'Poids des runes'!A:B,2,FALSE)))+1)/VLOOKUP(B2225,'Poids des runes'!A:B,2,FALSE))</f>
        <v>26.914999999999999</v>
      </c>
      <c r="F2225">
        <f t="shared" si="34"/>
        <v>26.914999999999999</v>
      </c>
    </row>
    <row r="2226" spans="1:6" x14ac:dyDescent="0.3">
      <c r="A2226" t="s">
        <v>637</v>
      </c>
      <c r="B2226" t="s">
        <v>2126</v>
      </c>
      <c r="C2226">
        <v>35.5</v>
      </c>
      <c r="D2226">
        <v>73</v>
      </c>
      <c r="E2226">
        <f>IF(OR(B2226="vi",B2226="ii",B2226="pod"),(((D2226/100)*(C2226*VLOOKUP(B2226,'Poids des runes'!A:B,2,FALSE)))+1),(((D2226/100)*(C2226*VLOOKUP(B2226,'Poids des runes'!A:B,2,FALSE)))+1)/VLOOKUP(B2226,'Poids des runes'!A:B,2,FALSE))</f>
        <v>26.914999999999999</v>
      </c>
      <c r="F2226">
        <f t="shared" si="34"/>
        <v>26.914999999999999</v>
      </c>
    </row>
    <row r="2227" spans="1:6" x14ac:dyDescent="0.3">
      <c r="A2227" t="s">
        <v>637</v>
      </c>
      <c r="B2227" t="s">
        <v>2129</v>
      </c>
      <c r="C2227">
        <v>13</v>
      </c>
      <c r="D2227">
        <v>73</v>
      </c>
      <c r="E2227">
        <f>IF(OR(B2227="vi",B2227="ii",B2227="pod"),(((D2227/100)*(C2227*VLOOKUP(B2227,'Poids des runes'!A:B,2,FALSE)))+1),(((D2227/100)*(C2227*VLOOKUP(B2227,'Poids des runes'!A:B,2,FALSE)))+1)/VLOOKUP(B2227,'Poids des runes'!A:B,2,FALSE))</f>
        <v>10.49</v>
      </c>
      <c r="F2227">
        <f t="shared" si="34"/>
        <v>10.49</v>
      </c>
    </row>
    <row r="2228" spans="1:6" x14ac:dyDescent="0.3">
      <c r="A2228" t="s">
        <v>637</v>
      </c>
      <c r="B2228" t="s">
        <v>2150</v>
      </c>
      <c r="C2228">
        <v>2</v>
      </c>
      <c r="D2228">
        <v>73</v>
      </c>
      <c r="E2228">
        <f>IF(OR(B2228="vi",B2228="ii",B2228="pod"),(((D2228/100)*(C2228*VLOOKUP(B2228,'Poids des runes'!A:B,2,FALSE)))+1),(((D2228/100)*(C2228*VLOOKUP(B2228,'Poids des runes'!A:B,2,FALSE)))+1)/VLOOKUP(B2228,'Poids des runes'!A:B,2,FALSE))</f>
        <v>1.4933333333333332</v>
      </c>
      <c r="F2228">
        <f t="shared" si="34"/>
        <v>1.4933333333333332</v>
      </c>
    </row>
    <row r="2229" spans="1:6" x14ac:dyDescent="0.3">
      <c r="A2229" t="s">
        <v>637</v>
      </c>
      <c r="B2229" t="s">
        <v>2134</v>
      </c>
      <c r="C2229">
        <v>2</v>
      </c>
      <c r="D2229">
        <v>73</v>
      </c>
      <c r="E2229">
        <f>IF(OR(B2229="vi",B2229="ii",B2229="pod"),(((D2229/100)*(C2229*VLOOKUP(B2229,'Poids des runes'!A:B,2,FALSE)))+1),(((D2229/100)*(C2229*VLOOKUP(B2229,'Poids des runes'!A:B,2,FALSE)))+1)/VLOOKUP(B2229,'Poids des runes'!A:B,2,FALSE))</f>
        <v>1.51</v>
      </c>
      <c r="F2229">
        <f t="shared" si="34"/>
        <v>1.51</v>
      </c>
    </row>
    <row r="2230" spans="1:6" x14ac:dyDescent="0.3">
      <c r="A2230" t="s">
        <v>638</v>
      </c>
      <c r="B2230" t="s">
        <v>2128</v>
      </c>
      <c r="C2230">
        <v>43</v>
      </c>
      <c r="D2230">
        <v>73</v>
      </c>
      <c r="E2230">
        <f>IF(OR(B2230="vi",B2230="ii",B2230="pod"),(((D2230/100)*(C2230*VLOOKUP(B2230,'Poids des runes'!A:B,2,FALSE)))+1),(((D2230/100)*(C2230*VLOOKUP(B2230,'Poids des runes'!A:B,2,FALSE)))+1)/VLOOKUP(B2230,'Poids des runes'!A:B,2,FALSE))</f>
        <v>7.2779999999999996</v>
      </c>
      <c r="F2230">
        <f t="shared" si="34"/>
        <v>7.2779999999999996</v>
      </c>
    </row>
    <row r="2231" spans="1:6" x14ac:dyDescent="0.3">
      <c r="A2231" t="s">
        <v>638</v>
      </c>
      <c r="B2231" t="s">
        <v>2126</v>
      </c>
      <c r="C2231">
        <v>25.5</v>
      </c>
      <c r="D2231">
        <v>73</v>
      </c>
      <c r="E2231">
        <f>IF(OR(B2231="vi",B2231="ii",B2231="pod"),(((D2231/100)*(C2231*VLOOKUP(B2231,'Poids des runes'!A:B,2,FALSE)))+1),(((D2231/100)*(C2231*VLOOKUP(B2231,'Poids des runes'!A:B,2,FALSE)))+1)/VLOOKUP(B2231,'Poids des runes'!A:B,2,FALSE))</f>
        <v>19.614999999999998</v>
      </c>
      <c r="F2231">
        <f t="shared" si="34"/>
        <v>19.614999999999998</v>
      </c>
    </row>
    <row r="2232" spans="1:6" x14ac:dyDescent="0.3">
      <c r="A2232" t="s">
        <v>638</v>
      </c>
      <c r="B2232" t="s">
        <v>2131</v>
      </c>
      <c r="C2232">
        <v>18</v>
      </c>
      <c r="D2232">
        <v>73</v>
      </c>
      <c r="E2232">
        <f>IF(OR(B2232="vi",B2232="ii",B2232="pod"),(((D2232/100)*(C2232*VLOOKUP(B2232,'Poids des runes'!A:B,2,FALSE)))+1),(((D2232/100)*(C2232*VLOOKUP(B2232,'Poids des runes'!A:B,2,FALSE)))+1)/VLOOKUP(B2232,'Poids des runes'!A:B,2,FALSE))</f>
        <v>14.14</v>
      </c>
      <c r="F2232">
        <f t="shared" si="34"/>
        <v>14.14</v>
      </c>
    </row>
    <row r="2233" spans="1:6" x14ac:dyDescent="0.3">
      <c r="A2233" t="s">
        <v>638</v>
      </c>
      <c r="B2233" t="s">
        <v>2127</v>
      </c>
      <c r="C2233">
        <v>18</v>
      </c>
      <c r="D2233">
        <v>73</v>
      </c>
      <c r="E2233">
        <f>IF(OR(B2233="vi",B2233="ii",B2233="pod"),(((D2233/100)*(C2233*VLOOKUP(B2233,'Poids des runes'!A:B,2,FALSE)))+1),(((D2233/100)*(C2233*VLOOKUP(B2233,'Poids des runes'!A:B,2,FALSE)))+1)/VLOOKUP(B2233,'Poids des runes'!A:B,2,FALSE))</f>
        <v>14.14</v>
      </c>
      <c r="F2233">
        <f t="shared" si="34"/>
        <v>14.14</v>
      </c>
    </row>
    <row r="2234" spans="1:6" x14ac:dyDescent="0.3">
      <c r="A2234" t="s">
        <v>638</v>
      </c>
      <c r="B2234" t="s">
        <v>2129</v>
      </c>
      <c r="C2234">
        <v>18</v>
      </c>
      <c r="D2234">
        <v>73</v>
      </c>
      <c r="E2234">
        <f>IF(OR(B2234="vi",B2234="ii",B2234="pod"),(((D2234/100)*(C2234*VLOOKUP(B2234,'Poids des runes'!A:B,2,FALSE)))+1),(((D2234/100)*(C2234*VLOOKUP(B2234,'Poids des runes'!A:B,2,FALSE)))+1)/VLOOKUP(B2234,'Poids des runes'!A:B,2,FALSE))</f>
        <v>14.14</v>
      </c>
      <c r="F2234">
        <f t="shared" si="34"/>
        <v>14.14</v>
      </c>
    </row>
    <row r="2235" spans="1:6" x14ac:dyDescent="0.3">
      <c r="A2235" t="s">
        <v>638</v>
      </c>
      <c r="B2235" t="s">
        <v>2139</v>
      </c>
      <c r="C2235">
        <v>13</v>
      </c>
      <c r="D2235">
        <v>73</v>
      </c>
      <c r="E2235">
        <f>IF(OR(B2235="vi",B2235="ii",B2235="pod"),(((D2235/100)*(C2235*VLOOKUP(B2235,'Poids des runes'!A:B,2,FALSE)))+1),(((D2235/100)*(C2235*VLOOKUP(B2235,'Poids des runes'!A:B,2,FALSE)))+1)/VLOOKUP(B2235,'Poids des runes'!A:B,2,FALSE))</f>
        <v>9.99</v>
      </c>
      <c r="F2235">
        <f t="shared" si="34"/>
        <v>9.99</v>
      </c>
    </row>
    <row r="2236" spans="1:6" x14ac:dyDescent="0.3">
      <c r="A2236" t="s">
        <v>638</v>
      </c>
      <c r="B2236" t="s">
        <v>2148</v>
      </c>
      <c r="C2236">
        <v>4.5</v>
      </c>
      <c r="D2236">
        <v>73</v>
      </c>
      <c r="E2236">
        <f>IF(OR(B2236="vi",B2236="ii",B2236="pod"),(((D2236/100)*(C2236*VLOOKUP(B2236,'Poids des runes'!A:B,2,FALSE)))+1),(((D2236/100)*(C2236*VLOOKUP(B2236,'Poids des runes'!A:B,2,FALSE)))+1)/VLOOKUP(B2236,'Poids des runes'!A:B,2,FALSE))</f>
        <v>3.4516666666666667</v>
      </c>
      <c r="F2236">
        <f t="shared" si="34"/>
        <v>3.4516666666666667</v>
      </c>
    </row>
    <row r="2237" spans="1:6" x14ac:dyDescent="0.3">
      <c r="A2237" t="s">
        <v>638</v>
      </c>
      <c r="B2237" t="s">
        <v>2157</v>
      </c>
      <c r="C2237">
        <v>4.5</v>
      </c>
      <c r="D2237">
        <v>73</v>
      </c>
      <c r="E2237">
        <f>IF(OR(B2237="vi",B2237="ii",B2237="pod"),(((D2237/100)*(C2237*VLOOKUP(B2237,'Poids des runes'!A:B,2,FALSE)))+1),(((D2237/100)*(C2237*VLOOKUP(B2237,'Poids des runes'!A:B,2,FALSE)))+1)/VLOOKUP(B2237,'Poids des runes'!A:B,2,FALSE))</f>
        <v>3.4516666666666667</v>
      </c>
      <c r="F2237">
        <f t="shared" si="34"/>
        <v>3.4516666666666667</v>
      </c>
    </row>
    <row r="2238" spans="1:6" x14ac:dyDescent="0.3">
      <c r="A2238" t="s">
        <v>639</v>
      </c>
      <c r="B2238" t="s">
        <v>2127</v>
      </c>
      <c r="C2238">
        <v>35.5</v>
      </c>
      <c r="D2238">
        <v>74</v>
      </c>
      <c r="E2238">
        <f>IF(OR(B2238="vi",B2238="ii",B2238="pod"),(((D2238/100)*(C2238*VLOOKUP(B2238,'Poids des runes'!A:B,2,FALSE)))+1),(((D2238/100)*(C2238*VLOOKUP(B2238,'Poids des runes'!A:B,2,FALSE)))+1)/VLOOKUP(B2238,'Poids des runes'!A:B,2,FALSE))</f>
        <v>27.27</v>
      </c>
      <c r="F2238">
        <f t="shared" si="34"/>
        <v>27.27</v>
      </c>
    </row>
    <row r="2239" spans="1:6" x14ac:dyDescent="0.3">
      <c r="A2239" t="s">
        <v>639</v>
      </c>
      <c r="B2239" t="s">
        <v>2129</v>
      </c>
      <c r="C2239">
        <v>8.5</v>
      </c>
      <c r="D2239">
        <v>74</v>
      </c>
      <c r="E2239">
        <f>IF(OR(B2239="vi",B2239="ii",B2239="pod"),(((D2239/100)*(C2239*VLOOKUP(B2239,'Poids des runes'!A:B,2,FALSE)))+1),(((D2239/100)*(C2239*VLOOKUP(B2239,'Poids des runes'!A:B,2,FALSE)))+1)/VLOOKUP(B2239,'Poids des runes'!A:B,2,FALSE))</f>
        <v>7.29</v>
      </c>
      <c r="F2239">
        <f t="shared" si="34"/>
        <v>7.29</v>
      </c>
    </row>
    <row r="2240" spans="1:6" x14ac:dyDescent="0.3">
      <c r="A2240" t="s">
        <v>639</v>
      </c>
      <c r="B2240" t="s">
        <v>2151</v>
      </c>
      <c r="C2240">
        <v>2.5</v>
      </c>
      <c r="D2240">
        <v>74</v>
      </c>
      <c r="E2240">
        <f>IF(OR(B2240="vi",B2240="ii",B2240="pod"),(((D2240/100)*(C2240*VLOOKUP(B2240,'Poids des runes'!A:B,2,FALSE)))+1),(((D2240/100)*(C2240*VLOOKUP(B2240,'Poids des runes'!A:B,2,FALSE)))+1)/VLOOKUP(B2240,'Poids des runes'!A:B,2,FALSE))</f>
        <v>1.95</v>
      </c>
      <c r="F2240">
        <f t="shared" si="34"/>
        <v>1.95</v>
      </c>
    </row>
    <row r="2241" spans="1:6" x14ac:dyDescent="0.3">
      <c r="A2241" t="s">
        <v>639</v>
      </c>
      <c r="B2241" t="s">
        <v>2155</v>
      </c>
      <c r="C2241">
        <v>1</v>
      </c>
      <c r="D2241">
        <v>74</v>
      </c>
      <c r="E2241">
        <f>IF(OR(B2241="vi",B2241="ii",B2241="pod"),(((D2241/100)*(C2241*VLOOKUP(B2241,'Poids des runes'!A:B,2,FALSE)))+1),(((D2241/100)*(C2241*VLOOKUP(B2241,'Poids des runes'!A:B,2,FALSE)))+1)/VLOOKUP(B2241,'Poids des runes'!A:B,2,FALSE))</f>
        <v>0.75960784313725493</v>
      </c>
      <c r="F2241">
        <f t="shared" si="34"/>
        <v>0.75960784313725493</v>
      </c>
    </row>
    <row r="2242" spans="1:6" x14ac:dyDescent="0.3">
      <c r="A2242" t="s">
        <v>639</v>
      </c>
      <c r="B2242" t="s">
        <v>2132</v>
      </c>
      <c r="C2242">
        <v>125.5</v>
      </c>
      <c r="D2242">
        <v>74</v>
      </c>
      <c r="E2242">
        <f>IF(OR(B2242="vi",B2242="ii",B2242="pod"),(((D2242/100)*(C2242*VLOOKUP(B2242,'Poids des runes'!A:B,2,FALSE)))+1),(((D2242/100)*(C2242*VLOOKUP(B2242,'Poids des runes'!A:B,2,FALSE)))+1)/VLOOKUP(B2242,'Poids des runes'!A:B,2,FALSE))</f>
        <v>10.287000000000001</v>
      </c>
      <c r="F2242">
        <f t="shared" si="34"/>
        <v>10.287000000000001</v>
      </c>
    </row>
    <row r="2243" spans="1:6" x14ac:dyDescent="0.3">
      <c r="A2243" t="s">
        <v>639</v>
      </c>
      <c r="B2243" t="s">
        <v>2162</v>
      </c>
      <c r="C2243">
        <v>6.5</v>
      </c>
      <c r="D2243">
        <v>74</v>
      </c>
      <c r="E2243">
        <f>IF(OR(B2243="vi",B2243="ii",B2243="pod"),(((D2243/100)*(C2243*VLOOKUP(B2243,'Poids des runes'!A:B,2,FALSE)))+1),(((D2243/100)*(C2243*VLOOKUP(B2243,'Poids des runes'!A:B,2,FALSE)))+1)/VLOOKUP(B2243,'Poids des runes'!A:B,2,FALSE))</f>
        <v>4.9528571428571428</v>
      </c>
      <c r="F2243">
        <f t="shared" ref="F2243:F2306" si="35">E2243</f>
        <v>4.9528571428571428</v>
      </c>
    </row>
    <row r="2244" spans="1:6" x14ac:dyDescent="0.3">
      <c r="A2244" t="s">
        <v>639</v>
      </c>
      <c r="B2244" t="s">
        <v>2158</v>
      </c>
      <c r="C2244">
        <v>6</v>
      </c>
      <c r="D2244">
        <v>74</v>
      </c>
      <c r="E2244">
        <f>IF(OR(B2244="vi",B2244="ii",B2244="pod"),(((D2244/100)*(C2244*VLOOKUP(B2244,'Poids des runes'!A:B,2,FALSE)))+1),(((D2244/100)*(C2244*VLOOKUP(B2244,'Poids des runes'!A:B,2,FALSE)))+1)/VLOOKUP(B2244,'Poids des runes'!A:B,2,FALSE))</f>
        <v>4.6399999999999997</v>
      </c>
      <c r="F2244">
        <f t="shared" si="35"/>
        <v>4.6399999999999997</v>
      </c>
    </row>
    <row r="2245" spans="1:6" x14ac:dyDescent="0.3">
      <c r="A2245" t="s">
        <v>639</v>
      </c>
      <c r="B2245" t="s">
        <v>2148</v>
      </c>
      <c r="C2245">
        <v>2.5</v>
      </c>
      <c r="D2245">
        <v>74</v>
      </c>
      <c r="E2245">
        <f>IF(OR(B2245="vi",B2245="ii",B2245="pod"),(((D2245/100)*(C2245*VLOOKUP(B2245,'Poids des runes'!A:B,2,FALSE)))+1),(((D2245/100)*(C2245*VLOOKUP(B2245,'Poids des runes'!A:B,2,FALSE)))+1)/VLOOKUP(B2245,'Poids des runes'!A:B,2,FALSE))</f>
        <v>2.0166666666666666</v>
      </c>
      <c r="F2245">
        <f t="shared" si="35"/>
        <v>2.0166666666666666</v>
      </c>
    </row>
    <row r="2246" spans="1:6" x14ac:dyDescent="0.3">
      <c r="A2246" t="s">
        <v>640</v>
      </c>
      <c r="B2246" t="s">
        <v>2128</v>
      </c>
      <c r="C2246">
        <v>50.5</v>
      </c>
      <c r="D2246">
        <v>74</v>
      </c>
      <c r="E2246">
        <f>IF(OR(B2246="vi",B2246="ii",B2246="pod"),(((D2246/100)*(C2246*VLOOKUP(B2246,'Poids des runes'!A:B,2,FALSE)))+1),(((D2246/100)*(C2246*VLOOKUP(B2246,'Poids des runes'!A:B,2,FALSE)))+1)/VLOOKUP(B2246,'Poids des runes'!A:B,2,FALSE))</f>
        <v>8.4740000000000002</v>
      </c>
      <c r="F2246">
        <f t="shared" si="35"/>
        <v>8.4740000000000002</v>
      </c>
    </row>
    <row r="2247" spans="1:6" x14ac:dyDescent="0.3">
      <c r="A2247" t="s">
        <v>640</v>
      </c>
      <c r="B2247" t="s">
        <v>2138</v>
      </c>
      <c r="C2247">
        <v>8.5</v>
      </c>
      <c r="D2247">
        <v>74</v>
      </c>
      <c r="E2247">
        <f>IF(OR(B2247="vi",B2247="ii",B2247="pod"),(((D2247/100)*(C2247*VLOOKUP(B2247,'Poids des runes'!A:B,2,FALSE)))+1),(((D2247/100)*(C2247*VLOOKUP(B2247,'Poids des runes'!A:B,2,FALSE)))+1)/VLOOKUP(B2247,'Poids des runes'!A:B,2,FALSE))</f>
        <v>6.54</v>
      </c>
      <c r="F2247">
        <f t="shared" si="35"/>
        <v>6.54</v>
      </c>
    </row>
    <row r="2248" spans="1:6" x14ac:dyDescent="0.3">
      <c r="A2248" t="s">
        <v>640</v>
      </c>
      <c r="B2248" t="s">
        <v>2159</v>
      </c>
      <c r="C2248">
        <v>8.5</v>
      </c>
      <c r="D2248">
        <v>74</v>
      </c>
      <c r="E2248">
        <f>IF(OR(B2248="vi",B2248="ii",B2248="pod"),(((D2248/100)*(C2248*VLOOKUP(B2248,'Poids des runes'!A:B,2,FALSE)))+1),(((D2248/100)*(C2248*VLOOKUP(B2248,'Poids des runes'!A:B,2,FALSE)))+1)/VLOOKUP(B2248,'Poids des runes'!A:B,2,FALSE))</f>
        <v>6.4328571428571433</v>
      </c>
      <c r="F2248">
        <f t="shared" si="35"/>
        <v>6.4328571428571433</v>
      </c>
    </row>
    <row r="2249" spans="1:6" x14ac:dyDescent="0.3">
      <c r="A2249" t="s">
        <v>640</v>
      </c>
      <c r="B2249" t="s">
        <v>2158</v>
      </c>
      <c r="C2249">
        <v>8.5</v>
      </c>
      <c r="D2249">
        <v>74</v>
      </c>
      <c r="E2249">
        <f>IF(OR(B2249="vi",B2249="ii",B2249="pod"),(((D2249/100)*(C2249*VLOOKUP(B2249,'Poids des runes'!A:B,2,FALSE)))+1),(((D2249/100)*(C2249*VLOOKUP(B2249,'Poids des runes'!A:B,2,FALSE)))+1)/VLOOKUP(B2249,'Poids des runes'!A:B,2,FALSE))</f>
        <v>6.49</v>
      </c>
      <c r="F2249">
        <f t="shared" si="35"/>
        <v>6.49</v>
      </c>
    </row>
    <row r="2250" spans="1:6" x14ac:dyDescent="0.3">
      <c r="A2250" t="s">
        <v>640</v>
      </c>
      <c r="B2250" t="s">
        <v>2163</v>
      </c>
      <c r="C2250">
        <v>8.5</v>
      </c>
      <c r="D2250">
        <v>74</v>
      </c>
      <c r="E2250">
        <f>IF(OR(B2250="vi",B2250="ii",B2250="pod"),(((D2250/100)*(C2250*VLOOKUP(B2250,'Poids des runes'!A:B,2,FALSE)))+1),(((D2250/100)*(C2250*VLOOKUP(B2250,'Poids des runes'!A:B,2,FALSE)))+1)/VLOOKUP(B2250,'Poids des runes'!A:B,2,FALSE))</f>
        <v>6.79</v>
      </c>
      <c r="F2250">
        <f t="shared" si="35"/>
        <v>6.79</v>
      </c>
    </row>
    <row r="2251" spans="1:6" x14ac:dyDescent="0.3">
      <c r="A2251" t="s">
        <v>641</v>
      </c>
      <c r="B2251" t="s">
        <v>2128</v>
      </c>
      <c r="C2251">
        <v>70.5</v>
      </c>
      <c r="D2251">
        <v>74</v>
      </c>
      <c r="E2251">
        <f>IF(OR(B2251="vi",B2251="ii",B2251="pod"),(((D2251/100)*(C2251*VLOOKUP(B2251,'Poids des runes'!A:B,2,FALSE)))+1),(((D2251/100)*(C2251*VLOOKUP(B2251,'Poids des runes'!A:B,2,FALSE)))+1)/VLOOKUP(B2251,'Poids des runes'!A:B,2,FALSE))</f>
        <v>11.434000000000001</v>
      </c>
      <c r="F2251">
        <f t="shared" si="35"/>
        <v>11.434000000000001</v>
      </c>
    </row>
    <row r="2252" spans="1:6" x14ac:dyDescent="0.3">
      <c r="A2252" t="s">
        <v>641</v>
      </c>
      <c r="B2252" t="s">
        <v>2141</v>
      </c>
      <c r="C2252">
        <v>8.5</v>
      </c>
      <c r="D2252">
        <v>74</v>
      </c>
      <c r="E2252">
        <f>IF(OR(B2252="vi",B2252="ii",B2252="pod"),(((D2252/100)*(C2252*VLOOKUP(B2252,'Poids des runes'!A:B,2,FALSE)))+1),(((D2252/100)*(C2252*VLOOKUP(B2252,'Poids des runes'!A:B,2,FALSE)))+1)/VLOOKUP(B2252,'Poids des runes'!A:B,2,FALSE))</f>
        <v>6.54</v>
      </c>
      <c r="F2252">
        <f t="shared" si="35"/>
        <v>6.54</v>
      </c>
    </row>
    <row r="2253" spans="1:6" x14ac:dyDescent="0.3">
      <c r="A2253" t="s">
        <v>641</v>
      </c>
      <c r="B2253" t="s">
        <v>2162</v>
      </c>
      <c r="C2253">
        <v>8.5</v>
      </c>
      <c r="D2253">
        <v>74</v>
      </c>
      <c r="E2253">
        <f>IF(OR(B2253="vi",B2253="ii",B2253="pod"),(((D2253/100)*(C2253*VLOOKUP(B2253,'Poids des runes'!A:B,2,FALSE)))+1),(((D2253/100)*(C2253*VLOOKUP(B2253,'Poids des runes'!A:B,2,FALSE)))+1)/VLOOKUP(B2253,'Poids des runes'!A:B,2,FALSE))</f>
        <v>6.4328571428571433</v>
      </c>
      <c r="F2253">
        <f t="shared" si="35"/>
        <v>6.4328571428571433</v>
      </c>
    </row>
    <row r="2254" spans="1:6" x14ac:dyDescent="0.3">
      <c r="A2254" t="s">
        <v>641</v>
      </c>
      <c r="B2254" t="s">
        <v>2142</v>
      </c>
      <c r="C2254">
        <v>8.5</v>
      </c>
      <c r="D2254">
        <v>74</v>
      </c>
      <c r="E2254">
        <f>IF(OR(B2254="vi",B2254="ii",B2254="pod"),(((D2254/100)*(C2254*VLOOKUP(B2254,'Poids des runes'!A:B,2,FALSE)))+1),(((D2254/100)*(C2254*VLOOKUP(B2254,'Poids des runes'!A:B,2,FALSE)))+1)/VLOOKUP(B2254,'Poids des runes'!A:B,2,FALSE))</f>
        <v>6.49</v>
      </c>
      <c r="F2254">
        <f t="shared" si="35"/>
        <v>6.49</v>
      </c>
    </row>
    <row r="2255" spans="1:6" x14ac:dyDescent="0.3">
      <c r="A2255" t="s">
        <v>641</v>
      </c>
      <c r="B2255" t="s">
        <v>2164</v>
      </c>
      <c r="C2255">
        <v>8.5</v>
      </c>
      <c r="D2255">
        <v>74</v>
      </c>
      <c r="E2255">
        <f>IF(OR(B2255="vi",B2255="ii",B2255="pod"),(((D2255/100)*(C2255*VLOOKUP(B2255,'Poids des runes'!A:B,2,FALSE)))+1),(((D2255/100)*(C2255*VLOOKUP(B2255,'Poids des runes'!A:B,2,FALSE)))+1)/VLOOKUP(B2255,'Poids des runes'!A:B,2,FALSE))</f>
        <v>6.79</v>
      </c>
      <c r="F2255">
        <f t="shared" si="35"/>
        <v>6.79</v>
      </c>
    </row>
    <row r="2256" spans="1:6" x14ac:dyDescent="0.3">
      <c r="A2256" t="s">
        <v>642</v>
      </c>
      <c r="B2256" t="s">
        <v>2128</v>
      </c>
      <c r="C2256">
        <v>45.5</v>
      </c>
      <c r="D2256">
        <v>75</v>
      </c>
      <c r="E2256">
        <f>IF(OR(B2256="vi",B2256="ii",B2256="pod"),(((D2256/100)*(C2256*VLOOKUP(B2256,'Poids des runes'!A:B,2,FALSE)))+1),(((D2256/100)*(C2256*VLOOKUP(B2256,'Poids des runes'!A:B,2,FALSE)))+1)/VLOOKUP(B2256,'Poids des runes'!A:B,2,FALSE))</f>
        <v>7.8249999999999993</v>
      </c>
      <c r="F2256">
        <f t="shared" si="35"/>
        <v>7.8249999999999993</v>
      </c>
    </row>
    <row r="2257" spans="1:6" x14ac:dyDescent="0.3">
      <c r="A2257" t="s">
        <v>642</v>
      </c>
      <c r="B2257" t="s">
        <v>2130</v>
      </c>
      <c r="C2257">
        <v>35.5</v>
      </c>
      <c r="D2257">
        <v>75</v>
      </c>
      <c r="E2257">
        <f>IF(OR(B2257="vi",B2257="ii",B2257="pod"),(((D2257/100)*(C2257*VLOOKUP(B2257,'Poids des runes'!A:B,2,FALSE)))+1),(((D2257/100)*(C2257*VLOOKUP(B2257,'Poids des runes'!A:B,2,FALSE)))+1)/VLOOKUP(B2257,'Poids des runes'!A:B,2,FALSE))</f>
        <v>27.625</v>
      </c>
      <c r="F2257">
        <f t="shared" si="35"/>
        <v>27.625</v>
      </c>
    </row>
    <row r="2258" spans="1:6" x14ac:dyDescent="0.3">
      <c r="A2258" t="s">
        <v>642</v>
      </c>
      <c r="B2258" t="s">
        <v>2129</v>
      </c>
      <c r="C2258">
        <v>23</v>
      </c>
      <c r="D2258">
        <v>75</v>
      </c>
      <c r="E2258">
        <f>IF(OR(B2258="vi",B2258="ii",B2258="pod"),(((D2258/100)*(C2258*VLOOKUP(B2258,'Poids des runes'!A:B,2,FALSE)))+1),(((D2258/100)*(C2258*VLOOKUP(B2258,'Poids des runes'!A:B,2,FALSE)))+1)/VLOOKUP(B2258,'Poids des runes'!A:B,2,FALSE))</f>
        <v>18.25</v>
      </c>
      <c r="F2258">
        <f t="shared" si="35"/>
        <v>18.25</v>
      </c>
    </row>
    <row r="2259" spans="1:6" x14ac:dyDescent="0.3">
      <c r="A2259" t="s">
        <v>642</v>
      </c>
      <c r="B2259" t="s">
        <v>2155</v>
      </c>
      <c r="C2259">
        <v>1</v>
      </c>
      <c r="D2259">
        <v>75</v>
      </c>
      <c r="E2259">
        <f>IF(OR(B2259="vi",B2259="ii",B2259="pod"),(((D2259/100)*(C2259*VLOOKUP(B2259,'Poids des runes'!A:B,2,FALSE)))+1),(((D2259/100)*(C2259*VLOOKUP(B2259,'Poids des runes'!A:B,2,FALSE)))+1)/VLOOKUP(B2259,'Poids des runes'!A:B,2,FALSE))</f>
        <v>0.76960784313725494</v>
      </c>
      <c r="F2259">
        <f t="shared" si="35"/>
        <v>0.76960784313725494</v>
      </c>
    </row>
    <row r="2260" spans="1:6" x14ac:dyDescent="0.3">
      <c r="A2260" t="s">
        <v>642</v>
      </c>
      <c r="B2260" t="s">
        <v>2147</v>
      </c>
      <c r="C2260">
        <v>2.5</v>
      </c>
      <c r="D2260">
        <v>75</v>
      </c>
      <c r="E2260">
        <f>IF(OR(B2260="vi",B2260="ii",B2260="pod"),(((D2260/100)*(C2260*VLOOKUP(B2260,'Poids des runes'!A:B,2,FALSE)))+1),(((D2260/100)*(C2260*VLOOKUP(B2260,'Poids des runes'!A:B,2,FALSE)))+1)/VLOOKUP(B2260,'Poids des runes'!A:B,2,FALSE))</f>
        <v>2.0416666666666665</v>
      </c>
      <c r="F2260">
        <f t="shared" si="35"/>
        <v>2.0416666666666665</v>
      </c>
    </row>
    <row r="2261" spans="1:6" x14ac:dyDescent="0.3">
      <c r="A2261" t="s">
        <v>642</v>
      </c>
      <c r="B2261" t="s">
        <v>2157</v>
      </c>
      <c r="C2261">
        <v>2.5</v>
      </c>
      <c r="D2261">
        <v>75</v>
      </c>
      <c r="E2261">
        <f>IF(OR(B2261="vi",B2261="ii",B2261="pod"),(((D2261/100)*(C2261*VLOOKUP(B2261,'Poids des runes'!A:B,2,FALSE)))+1),(((D2261/100)*(C2261*VLOOKUP(B2261,'Poids des runes'!A:B,2,FALSE)))+1)/VLOOKUP(B2261,'Poids des runes'!A:B,2,FALSE))</f>
        <v>2.0416666666666665</v>
      </c>
      <c r="F2261">
        <f t="shared" si="35"/>
        <v>2.0416666666666665</v>
      </c>
    </row>
    <row r="2262" spans="1:6" x14ac:dyDescent="0.3">
      <c r="A2262" t="s">
        <v>643</v>
      </c>
      <c r="B2262" t="s">
        <v>2127</v>
      </c>
      <c r="C2262">
        <v>25</v>
      </c>
      <c r="D2262">
        <v>75</v>
      </c>
      <c r="E2262">
        <f>IF(OR(B2262="vi",B2262="ii",B2262="pod"),(((D2262/100)*(C2262*VLOOKUP(B2262,'Poids des runes'!A:B,2,FALSE)))+1),(((D2262/100)*(C2262*VLOOKUP(B2262,'Poids des runes'!A:B,2,FALSE)))+1)/VLOOKUP(B2262,'Poids des runes'!A:B,2,FALSE))</f>
        <v>19.75</v>
      </c>
      <c r="F2262">
        <f t="shared" si="35"/>
        <v>19.75</v>
      </c>
    </row>
    <row r="2263" spans="1:6" x14ac:dyDescent="0.3">
      <c r="A2263" t="s">
        <v>644</v>
      </c>
      <c r="B2263" t="s">
        <v>2130</v>
      </c>
      <c r="C2263">
        <v>25</v>
      </c>
      <c r="D2263">
        <v>75</v>
      </c>
      <c r="E2263">
        <f>IF(OR(B2263="vi",B2263="ii",B2263="pod"),(((D2263/100)*(C2263*VLOOKUP(B2263,'Poids des runes'!A:B,2,FALSE)))+1),(((D2263/100)*(C2263*VLOOKUP(B2263,'Poids des runes'!A:B,2,FALSE)))+1)/VLOOKUP(B2263,'Poids des runes'!A:B,2,FALSE))</f>
        <v>19.75</v>
      </c>
      <c r="F2263">
        <f t="shared" si="35"/>
        <v>19.75</v>
      </c>
    </row>
    <row r="2264" spans="1:6" x14ac:dyDescent="0.3">
      <c r="A2264" t="s">
        <v>645</v>
      </c>
      <c r="B2264" t="s">
        <v>2131</v>
      </c>
      <c r="C2264">
        <v>25</v>
      </c>
      <c r="D2264">
        <v>75</v>
      </c>
      <c r="E2264">
        <f>IF(OR(B2264="vi",B2264="ii",B2264="pod"),(((D2264/100)*(C2264*VLOOKUP(B2264,'Poids des runes'!A:B,2,FALSE)))+1),(((D2264/100)*(C2264*VLOOKUP(B2264,'Poids des runes'!A:B,2,FALSE)))+1)/VLOOKUP(B2264,'Poids des runes'!A:B,2,FALSE))</f>
        <v>19.75</v>
      </c>
      <c r="F2264">
        <f t="shared" si="35"/>
        <v>19.75</v>
      </c>
    </row>
    <row r="2265" spans="1:6" x14ac:dyDescent="0.3">
      <c r="A2265" t="s">
        <v>646</v>
      </c>
      <c r="B2265" t="s">
        <v>2126</v>
      </c>
      <c r="C2265">
        <v>25</v>
      </c>
      <c r="D2265">
        <v>75</v>
      </c>
      <c r="E2265">
        <f>IF(OR(B2265="vi",B2265="ii",B2265="pod"),(((D2265/100)*(C2265*VLOOKUP(B2265,'Poids des runes'!A:B,2,FALSE)))+1),(((D2265/100)*(C2265*VLOOKUP(B2265,'Poids des runes'!A:B,2,FALSE)))+1)/VLOOKUP(B2265,'Poids des runes'!A:B,2,FALSE))</f>
        <v>19.75</v>
      </c>
      <c r="F2265">
        <f t="shared" si="35"/>
        <v>19.75</v>
      </c>
    </row>
    <row r="2266" spans="1:6" x14ac:dyDescent="0.3">
      <c r="A2266" t="s">
        <v>647</v>
      </c>
      <c r="B2266" t="s">
        <v>2143</v>
      </c>
      <c r="C2266">
        <v>5</v>
      </c>
      <c r="D2266">
        <v>75</v>
      </c>
      <c r="E2266">
        <f>IF(OR(B2266="vi",B2266="ii",B2266="pod"),(((D2266/100)*(C2266*VLOOKUP(B2266,'Poids des runes'!A:B,2,FALSE)))+1),(((D2266/100)*(C2266*VLOOKUP(B2266,'Poids des runes'!A:B,2,FALSE)))+1)/VLOOKUP(B2266,'Poids des runes'!A:B,2,FALSE))</f>
        <v>3.95</v>
      </c>
      <c r="F2266">
        <f t="shared" si="35"/>
        <v>3.95</v>
      </c>
    </row>
    <row r="2267" spans="1:6" x14ac:dyDescent="0.3">
      <c r="A2267" t="s">
        <v>648</v>
      </c>
      <c r="B2267" t="s">
        <v>2153</v>
      </c>
      <c r="C2267">
        <v>5</v>
      </c>
      <c r="D2267">
        <v>75</v>
      </c>
      <c r="E2267">
        <f>IF(OR(B2267="vi",B2267="ii",B2267="pod"),(((D2267/100)*(C2267*VLOOKUP(B2267,'Poids des runes'!A:B,2,FALSE)))+1),(((D2267/100)*(C2267*VLOOKUP(B2267,'Poids des runes'!A:B,2,FALSE)))+1)/VLOOKUP(B2267,'Poids des runes'!A:B,2,FALSE))</f>
        <v>3.95</v>
      </c>
      <c r="F2267">
        <f t="shared" si="35"/>
        <v>3.95</v>
      </c>
    </row>
    <row r="2268" spans="1:6" x14ac:dyDescent="0.3">
      <c r="A2268" t="s">
        <v>649</v>
      </c>
      <c r="B2268" t="s">
        <v>2133</v>
      </c>
      <c r="C2268">
        <v>5</v>
      </c>
      <c r="D2268">
        <v>75</v>
      </c>
      <c r="E2268">
        <f>IF(OR(B2268="vi",B2268="ii",B2268="pod"),(((D2268/100)*(C2268*VLOOKUP(B2268,'Poids des runes'!A:B,2,FALSE)))+1),(((D2268/100)*(C2268*VLOOKUP(B2268,'Poids des runes'!A:B,2,FALSE)))+1)/VLOOKUP(B2268,'Poids des runes'!A:B,2,FALSE))</f>
        <v>3.95</v>
      </c>
      <c r="F2268">
        <f t="shared" si="35"/>
        <v>3.95</v>
      </c>
    </row>
    <row r="2269" spans="1:6" x14ac:dyDescent="0.3">
      <c r="A2269" t="s">
        <v>650</v>
      </c>
      <c r="B2269" t="s">
        <v>2140</v>
      </c>
      <c r="C2269">
        <v>5</v>
      </c>
      <c r="D2269">
        <v>75</v>
      </c>
      <c r="E2269">
        <f>IF(OR(B2269="vi",B2269="ii",B2269="pod"),(((D2269/100)*(C2269*VLOOKUP(B2269,'Poids des runes'!A:B,2,FALSE)))+1),(((D2269/100)*(C2269*VLOOKUP(B2269,'Poids des runes'!A:B,2,FALSE)))+1)/VLOOKUP(B2269,'Poids des runes'!A:B,2,FALSE))</f>
        <v>3.95</v>
      </c>
      <c r="F2269">
        <f t="shared" si="35"/>
        <v>3.95</v>
      </c>
    </row>
    <row r="2270" spans="1:6" x14ac:dyDescent="0.3">
      <c r="A2270" t="s">
        <v>651</v>
      </c>
      <c r="B2270" t="s">
        <v>2142</v>
      </c>
      <c r="C2270">
        <v>16</v>
      </c>
      <c r="D2270">
        <v>75</v>
      </c>
      <c r="E2270">
        <f>IF(OR(B2270="vi",B2270="ii",B2270="pod"),(((D2270/100)*(C2270*VLOOKUP(B2270,'Poids des runes'!A:B,2,FALSE)))+1),(((D2270/100)*(C2270*VLOOKUP(B2270,'Poids des runes'!A:B,2,FALSE)))+1)/VLOOKUP(B2270,'Poids des runes'!A:B,2,FALSE))</f>
        <v>12.2</v>
      </c>
      <c r="F2270">
        <f t="shared" si="35"/>
        <v>12.2</v>
      </c>
    </row>
    <row r="2271" spans="1:6" x14ac:dyDescent="0.3">
      <c r="A2271" t="s">
        <v>652</v>
      </c>
      <c r="B2271" t="s">
        <v>2164</v>
      </c>
      <c r="C2271">
        <v>24</v>
      </c>
      <c r="D2271">
        <v>75</v>
      </c>
      <c r="E2271">
        <f>IF(OR(B2271="vi",B2271="ii",B2271="pod"),(((D2271/100)*(C2271*VLOOKUP(B2271,'Poids des runes'!A:B,2,FALSE)))+1),(((D2271/100)*(C2271*VLOOKUP(B2271,'Poids des runes'!A:B,2,FALSE)))+1)/VLOOKUP(B2271,'Poids des runes'!A:B,2,FALSE))</f>
        <v>18.5</v>
      </c>
      <c r="F2271">
        <f t="shared" si="35"/>
        <v>18.5</v>
      </c>
    </row>
    <row r="2272" spans="1:6" x14ac:dyDescent="0.3">
      <c r="A2272" t="s">
        <v>653</v>
      </c>
      <c r="B2272" t="s">
        <v>2138</v>
      </c>
      <c r="C2272">
        <v>8</v>
      </c>
      <c r="D2272">
        <v>75</v>
      </c>
      <c r="E2272">
        <f>IF(OR(B2272="vi",B2272="ii",B2272="pod"),(((D2272/100)*(C2272*VLOOKUP(B2272,'Poids des runes'!A:B,2,FALSE)))+1),(((D2272/100)*(C2272*VLOOKUP(B2272,'Poids des runes'!A:B,2,FALSE)))+1)/VLOOKUP(B2272,'Poids des runes'!A:B,2,FALSE))</f>
        <v>6.25</v>
      </c>
      <c r="F2272">
        <f t="shared" si="35"/>
        <v>6.25</v>
      </c>
    </row>
    <row r="2273" spans="1:6" x14ac:dyDescent="0.3">
      <c r="A2273" t="s">
        <v>654</v>
      </c>
      <c r="B2273" t="s">
        <v>2141</v>
      </c>
      <c r="C2273">
        <v>8</v>
      </c>
      <c r="D2273">
        <v>75</v>
      </c>
      <c r="E2273">
        <f>IF(OR(B2273="vi",B2273="ii",B2273="pod"),(((D2273/100)*(C2273*VLOOKUP(B2273,'Poids des runes'!A:B,2,FALSE)))+1),(((D2273/100)*(C2273*VLOOKUP(B2273,'Poids des runes'!A:B,2,FALSE)))+1)/VLOOKUP(B2273,'Poids des runes'!A:B,2,FALSE))</f>
        <v>6.25</v>
      </c>
      <c r="F2273">
        <f t="shared" si="35"/>
        <v>6.25</v>
      </c>
    </row>
    <row r="2274" spans="1:6" x14ac:dyDescent="0.3">
      <c r="A2274" t="s">
        <v>655</v>
      </c>
      <c r="B2274" t="s">
        <v>2162</v>
      </c>
      <c r="C2274">
        <v>8</v>
      </c>
      <c r="D2274">
        <v>75</v>
      </c>
      <c r="E2274">
        <f>IF(OR(B2274="vi",B2274="ii",B2274="pod"),(((D2274/100)*(C2274*VLOOKUP(B2274,'Poids des runes'!A:B,2,FALSE)))+1),(((D2274/100)*(C2274*VLOOKUP(B2274,'Poids des runes'!A:B,2,FALSE)))+1)/VLOOKUP(B2274,'Poids des runes'!A:B,2,FALSE))</f>
        <v>6.1428571428571432</v>
      </c>
      <c r="F2274">
        <f t="shared" si="35"/>
        <v>6.1428571428571432</v>
      </c>
    </row>
    <row r="2275" spans="1:6" x14ac:dyDescent="0.3">
      <c r="A2275" t="s">
        <v>656</v>
      </c>
      <c r="B2275" t="s">
        <v>2160</v>
      </c>
      <c r="C2275">
        <v>6</v>
      </c>
      <c r="D2275">
        <v>75</v>
      </c>
      <c r="E2275">
        <f>IF(OR(B2275="vi",B2275="ii",B2275="pod"),(((D2275/100)*(C2275*VLOOKUP(B2275,'Poids des runes'!A:B,2,FALSE)))+1),(((D2275/100)*(C2275*VLOOKUP(B2275,'Poids des runes'!A:B,2,FALSE)))+1)/VLOOKUP(B2275,'Poids des runes'!A:B,2,FALSE))</f>
        <v>4.6428571428571432</v>
      </c>
      <c r="F2275">
        <f t="shared" si="35"/>
        <v>4.6428571428571432</v>
      </c>
    </row>
    <row r="2276" spans="1:6" x14ac:dyDescent="0.3">
      <c r="A2276" t="s">
        <v>657</v>
      </c>
      <c r="B2276" t="s">
        <v>2165</v>
      </c>
      <c r="C2276">
        <v>8</v>
      </c>
      <c r="D2276">
        <v>75</v>
      </c>
      <c r="E2276">
        <f>IF(OR(B2276="vi",B2276="ii",B2276="pod"),(((D2276/100)*(C2276*VLOOKUP(B2276,'Poids des runes'!A:B,2,FALSE)))+1),(((D2276/100)*(C2276*VLOOKUP(B2276,'Poids des runes'!A:B,2,FALSE)))+1)/VLOOKUP(B2276,'Poids des runes'!A:B,2,FALSE))</f>
        <v>6.1428571428571432</v>
      </c>
      <c r="F2276">
        <f t="shared" si="35"/>
        <v>6.1428571428571432</v>
      </c>
    </row>
    <row r="2277" spans="1:6" x14ac:dyDescent="0.3">
      <c r="A2277" t="s">
        <v>658</v>
      </c>
      <c r="B2277" t="s">
        <v>2159</v>
      </c>
      <c r="C2277">
        <v>6</v>
      </c>
      <c r="D2277">
        <v>75</v>
      </c>
      <c r="E2277">
        <f>IF(OR(B2277="vi",B2277="ii",B2277="pod"),(((D2277/100)*(C2277*VLOOKUP(B2277,'Poids des runes'!A:B,2,FALSE)))+1),(((D2277/100)*(C2277*VLOOKUP(B2277,'Poids des runes'!A:B,2,FALSE)))+1)/VLOOKUP(B2277,'Poids des runes'!A:B,2,FALSE))</f>
        <v>4.6428571428571432</v>
      </c>
      <c r="F2277">
        <f t="shared" si="35"/>
        <v>4.6428571428571432</v>
      </c>
    </row>
    <row r="2278" spans="1:6" x14ac:dyDescent="0.3">
      <c r="A2278" t="s">
        <v>659</v>
      </c>
      <c r="B2278" t="s">
        <v>2149</v>
      </c>
      <c r="C2278">
        <v>8</v>
      </c>
      <c r="D2278">
        <v>75</v>
      </c>
      <c r="E2278">
        <f>IF(OR(B2278="vi",B2278="ii",B2278="pod"),(((D2278/100)*(C2278*VLOOKUP(B2278,'Poids des runes'!A:B,2,FALSE)))+1),(((D2278/100)*(C2278*VLOOKUP(B2278,'Poids des runes'!A:B,2,FALSE)))+1)/VLOOKUP(B2278,'Poids des runes'!A:B,2,FALSE))</f>
        <v>6.1</v>
      </c>
      <c r="F2278">
        <f t="shared" si="35"/>
        <v>6.1</v>
      </c>
    </row>
    <row r="2279" spans="1:6" x14ac:dyDescent="0.3">
      <c r="A2279" t="s">
        <v>660</v>
      </c>
      <c r="B2279" t="s">
        <v>2132</v>
      </c>
      <c r="C2279">
        <v>200</v>
      </c>
      <c r="D2279">
        <v>75</v>
      </c>
      <c r="E2279">
        <f>IF(OR(B2279="vi",B2279="ii",B2279="pod"),(((D2279/100)*(C2279*VLOOKUP(B2279,'Poids des runes'!A:B,2,FALSE)))+1),(((D2279/100)*(C2279*VLOOKUP(B2279,'Poids des runes'!A:B,2,FALSE)))+1)/VLOOKUP(B2279,'Poids des runes'!A:B,2,FALSE))</f>
        <v>16</v>
      </c>
      <c r="F2279">
        <f t="shared" si="35"/>
        <v>16</v>
      </c>
    </row>
    <row r="2280" spans="1:6" x14ac:dyDescent="0.3">
      <c r="A2280" t="s">
        <v>661</v>
      </c>
      <c r="B2280" t="s">
        <v>2163</v>
      </c>
      <c r="C2280">
        <v>8</v>
      </c>
      <c r="D2280">
        <v>75</v>
      </c>
      <c r="E2280">
        <f>IF(OR(B2280="vi",B2280="ii",B2280="pod"),(((D2280/100)*(C2280*VLOOKUP(B2280,'Poids des runes'!A:B,2,FALSE)))+1),(((D2280/100)*(C2280*VLOOKUP(B2280,'Poids des runes'!A:B,2,FALSE)))+1)/VLOOKUP(B2280,'Poids des runes'!A:B,2,FALSE))</f>
        <v>6.5</v>
      </c>
      <c r="F2280">
        <f t="shared" si="35"/>
        <v>6.5</v>
      </c>
    </row>
    <row r="2281" spans="1:6" x14ac:dyDescent="0.3">
      <c r="A2281" t="s">
        <v>662</v>
      </c>
      <c r="B2281" t="s">
        <v>2134</v>
      </c>
      <c r="C2281">
        <v>3</v>
      </c>
      <c r="D2281">
        <v>75</v>
      </c>
      <c r="E2281">
        <f>IF(OR(B2281="vi",B2281="ii",B2281="pod"),(((D2281/100)*(C2281*VLOOKUP(B2281,'Poids des runes'!A:B,2,FALSE)))+1),(((D2281/100)*(C2281*VLOOKUP(B2281,'Poids des runes'!A:B,2,FALSE)))+1)/VLOOKUP(B2281,'Poids des runes'!A:B,2,FALSE))</f>
        <v>2.2999999999999998</v>
      </c>
      <c r="F2281">
        <f t="shared" si="35"/>
        <v>2.2999999999999998</v>
      </c>
    </row>
    <row r="2282" spans="1:6" x14ac:dyDescent="0.3">
      <c r="A2282" t="s">
        <v>663</v>
      </c>
      <c r="B2282" t="s">
        <v>2139</v>
      </c>
      <c r="C2282">
        <v>20</v>
      </c>
      <c r="D2282">
        <v>75</v>
      </c>
      <c r="E2282">
        <f>IF(OR(B2282="vi",B2282="ii",B2282="pod"),(((D2282/100)*(C2282*VLOOKUP(B2282,'Poids des runes'!A:B,2,FALSE)))+1),(((D2282/100)*(C2282*VLOOKUP(B2282,'Poids des runes'!A:B,2,FALSE)))+1)/VLOOKUP(B2282,'Poids des runes'!A:B,2,FALSE))</f>
        <v>15.5</v>
      </c>
      <c r="F2282">
        <f t="shared" si="35"/>
        <v>15.5</v>
      </c>
    </row>
    <row r="2283" spans="1:6" x14ac:dyDescent="0.3">
      <c r="A2283" t="s">
        <v>664</v>
      </c>
      <c r="B2283" t="s">
        <v>2128</v>
      </c>
      <c r="C2283">
        <v>60</v>
      </c>
      <c r="D2283">
        <v>75</v>
      </c>
      <c r="E2283">
        <f>IF(OR(B2283="vi",B2283="ii",B2283="pod"),(((D2283/100)*(C2283*VLOOKUP(B2283,'Poids des runes'!A:B,2,FALSE)))+1),(((D2283/100)*(C2283*VLOOKUP(B2283,'Poids des runes'!A:B,2,FALSE)))+1)/VLOOKUP(B2283,'Poids des runes'!A:B,2,FALSE))</f>
        <v>10</v>
      </c>
      <c r="F2283">
        <f t="shared" si="35"/>
        <v>10</v>
      </c>
    </row>
    <row r="2284" spans="1:6" x14ac:dyDescent="0.3">
      <c r="A2284" t="s">
        <v>665</v>
      </c>
      <c r="B2284" t="s">
        <v>2128</v>
      </c>
      <c r="C2284">
        <v>125.5</v>
      </c>
      <c r="D2284">
        <v>76</v>
      </c>
      <c r="E2284">
        <f>IF(OR(B2284="vi",B2284="ii",B2284="pod"),(((D2284/100)*(C2284*VLOOKUP(B2284,'Poids des runes'!A:B,2,FALSE)))+1),(((D2284/100)*(C2284*VLOOKUP(B2284,'Poids des runes'!A:B,2,FALSE)))+1)/VLOOKUP(B2284,'Poids des runes'!A:B,2,FALSE))</f>
        <v>20.076000000000001</v>
      </c>
      <c r="F2284">
        <f t="shared" si="35"/>
        <v>20.076000000000001</v>
      </c>
    </row>
    <row r="2285" spans="1:6" x14ac:dyDescent="0.3">
      <c r="A2285" t="s">
        <v>665</v>
      </c>
      <c r="B2285" t="s">
        <v>2129</v>
      </c>
      <c r="C2285">
        <v>18</v>
      </c>
      <c r="D2285">
        <v>76</v>
      </c>
      <c r="E2285">
        <f>IF(OR(B2285="vi",B2285="ii",B2285="pod"),(((D2285/100)*(C2285*VLOOKUP(B2285,'Poids des runes'!A:B,2,FALSE)))+1),(((D2285/100)*(C2285*VLOOKUP(B2285,'Poids des runes'!A:B,2,FALSE)))+1)/VLOOKUP(B2285,'Poids des runes'!A:B,2,FALSE))</f>
        <v>14.68</v>
      </c>
      <c r="F2285">
        <f t="shared" si="35"/>
        <v>14.68</v>
      </c>
    </row>
    <row r="2286" spans="1:6" x14ac:dyDescent="0.3">
      <c r="A2286" t="s">
        <v>665</v>
      </c>
      <c r="B2286" t="s">
        <v>2139</v>
      </c>
      <c r="C2286">
        <v>18</v>
      </c>
      <c r="D2286">
        <v>76</v>
      </c>
      <c r="E2286">
        <f>IF(OR(B2286="vi",B2286="ii",B2286="pod"),(((D2286/100)*(C2286*VLOOKUP(B2286,'Poids des runes'!A:B,2,FALSE)))+1),(((D2286/100)*(C2286*VLOOKUP(B2286,'Poids des runes'!A:B,2,FALSE)))+1)/VLOOKUP(B2286,'Poids des runes'!A:B,2,FALSE))</f>
        <v>14.18</v>
      </c>
      <c r="F2286">
        <f t="shared" si="35"/>
        <v>14.18</v>
      </c>
    </row>
    <row r="2287" spans="1:6" x14ac:dyDescent="0.3">
      <c r="A2287" t="s">
        <v>665</v>
      </c>
      <c r="B2287" t="s">
        <v>2151</v>
      </c>
      <c r="C2287">
        <v>4.5</v>
      </c>
      <c r="D2287">
        <v>76</v>
      </c>
      <c r="E2287">
        <f>IF(OR(B2287="vi",B2287="ii",B2287="pod"),(((D2287/100)*(C2287*VLOOKUP(B2287,'Poids des runes'!A:B,2,FALSE)))+1),(((D2287/100)*(C2287*VLOOKUP(B2287,'Poids des runes'!A:B,2,FALSE)))+1)/VLOOKUP(B2287,'Poids des runes'!A:B,2,FALSE))</f>
        <v>3.5200000000000005</v>
      </c>
      <c r="F2287">
        <f t="shared" si="35"/>
        <v>3.5200000000000005</v>
      </c>
    </row>
    <row r="2288" spans="1:6" x14ac:dyDescent="0.3">
      <c r="A2288" t="s">
        <v>665</v>
      </c>
      <c r="B2288" t="s">
        <v>2134</v>
      </c>
      <c r="C2288">
        <v>5</v>
      </c>
      <c r="D2288">
        <v>76</v>
      </c>
      <c r="E2288">
        <f>IF(OR(B2288="vi",B2288="ii",B2288="pod"),(((D2288/100)*(C2288*VLOOKUP(B2288,'Poids des runes'!A:B,2,FALSE)))+1),(((D2288/100)*(C2288*VLOOKUP(B2288,'Poids des runes'!A:B,2,FALSE)))+1)/VLOOKUP(B2288,'Poids des runes'!A:B,2,FALSE))</f>
        <v>3.85</v>
      </c>
      <c r="F2288">
        <f t="shared" si="35"/>
        <v>3.85</v>
      </c>
    </row>
    <row r="2289" spans="1:6" x14ac:dyDescent="0.3">
      <c r="A2289" t="s">
        <v>666</v>
      </c>
      <c r="B2289" t="s">
        <v>2128</v>
      </c>
      <c r="C2289">
        <v>35.5</v>
      </c>
      <c r="D2289">
        <v>76</v>
      </c>
      <c r="E2289">
        <f>IF(OR(B2289="vi",B2289="ii",B2289="pod"),(((D2289/100)*(C2289*VLOOKUP(B2289,'Poids des runes'!A:B,2,FALSE)))+1),(((D2289/100)*(C2289*VLOOKUP(B2289,'Poids des runes'!A:B,2,FALSE)))+1)/VLOOKUP(B2289,'Poids des runes'!A:B,2,FALSE))</f>
        <v>6.3960000000000008</v>
      </c>
      <c r="F2289">
        <f t="shared" si="35"/>
        <v>6.3960000000000008</v>
      </c>
    </row>
    <row r="2290" spans="1:6" x14ac:dyDescent="0.3">
      <c r="A2290" t="s">
        <v>666</v>
      </c>
      <c r="B2290" t="s">
        <v>2130</v>
      </c>
      <c r="C2290">
        <v>25.5</v>
      </c>
      <c r="D2290">
        <v>76</v>
      </c>
      <c r="E2290">
        <f>IF(OR(B2290="vi",B2290="ii",B2290="pod"),(((D2290/100)*(C2290*VLOOKUP(B2290,'Poids des runes'!A:B,2,FALSE)))+1),(((D2290/100)*(C2290*VLOOKUP(B2290,'Poids des runes'!A:B,2,FALSE)))+1)/VLOOKUP(B2290,'Poids des runes'!A:B,2,FALSE))</f>
        <v>20.38</v>
      </c>
      <c r="F2290">
        <f t="shared" si="35"/>
        <v>20.38</v>
      </c>
    </row>
    <row r="2291" spans="1:6" x14ac:dyDescent="0.3">
      <c r="A2291" t="s">
        <v>666</v>
      </c>
      <c r="B2291" t="s">
        <v>2154</v>
      </c>
      <c r="C2291">
        <v>1</v>
      </c>
      <c r="D2291">
        <v>76</v>
      </c>
      <c r="E2291">
        <f>IF(OR(B2291="vi",B2291="ii",B2291="pod"),(((D2291/100)*(C2291*VLOOKUP(B2291,'Poids des runes'!A:B,2,FALSE)))+1),(((D2291/100)*(C2291*VLOOKUP(B2291,'Poids des runes'!A:B,2,FALSE)))+1)/VLOOKUP(B2291,'Poids des runes'!A:B,2,FALSE))</f>
        <v>0.77111111111111119</v>
      </c>
      <c r="F2291">
        <f t="shared" si="35"/>
        <v>0.77111111111111119</v>
      </c>
    </row>
    <row r="2292" spans="1:6" x14ac:dyDescent="0.3">
      <c r="A2292" t="s">
        <v>666</v>
      </c>
      <c r="B2292" t="s">
        <v>2147</v>
      </c>
      <c r="C2292">
        <v>4.5</v>
      </c>
      <c r="D2292">
        <v>76</v>
      </c>
      <c r="E2292">
        <f>IF(OR(B2292="vi",B2292="ii",B2292="pod"),(((D2292/100)*(C2292*VLOOKUP(B2292,'Poids des runes'!A:B,2,FALSE)))+1),(((D2292/100)*(C2292*VLOOKUP(B2292,'Poids des runes'!A:B,2,FALSE)))+1)/VLOOKUP(B2292,'Poids des runes'!A:B,2,FALSE))</f>
        <v>3.5866666666666664</v>
      </c>
      <c r="F2292">
        <f t="shared" si="35"/>
        <v>3.5866666666666664</v>
      </c>
    </row>
    <row r="2293" spans="1:6" x14ac:dyDescent="0.3">
      <c r="A2293" t="s">
        <v>666</v>
      </c>
      <c r="B2293" t="s">
        <v>2157</v>
      </c>
      <c r="C2293">
        <v>4.5</v>
      </c>
      <c r="D2293">
        <v>76</v>
      </c>
      <c r="E2293">
        <f>IF(OR(B2293="vi",B2293="ii",B2293="pod"),(((D2293/100)*(C2293*VLOOKUP(B2293,'Poids des runes'!A:B,2,FALSE)))+1),(((D2293/100)*(C2293*VLOOKUP(B2293,'Poids des runes'!A:B,2,FALSE)))+1)/VLOOKUP(B2293,'Poids des runes'!A:B,2,FALSE))</f>
        <v>3.5866666666666664</v>
      </c>
      <c r="F2293">
        <f t="shared" si="35"/>
        <v>3.5866666666666664</v>
      </c>
    </row>
    <row r="2294" spans="1:6" x14ac:dyDescent="0.3">
      <c r="A2294" t="s">
        <v>667</v>
      </c>
      <c r="B2294" t="s">
        <v>2128</v>
      </c>
      <c r="C2294">
        <v>225.5</v>
      </c>
      <c r="D2294">
        <v>77</v>
      </c>
      <c r="E2294">
        <f>IF(OR(B2294="vi",B2294="ii",B2294="pod"),(((D2294/100)*(C2294*VLOOKUP(B2294,'Poids des runes'!A:B,2,FALSE)))+1),(((D2294/100)*(C2294*VLOOKUP(B2294,'Poids des runes'!A:B,2,FALSE)))+1)/VLOOKUP(B2294,'Poids des runes'!A:B,2,FALSE))</f>
        <v>35.727000000000004</v>
      </c>
      <c r="F2294">
        <f t="shared" si="35"/>
        <v>35.727000000000004</v>
      </c>
    </row>
    <row r="2295" spans="1:6" x14ac:dyDescent="0.3">
      <c r="A2295" t="s">
        <v>667</v>
      </c>
      <c r="B2295" t="s">
        <v>2138</v>
      </c>
      <c r="C2295">
        <v>2.5</v>
      </c>
      <c r="D2295">
        <v>77</v>
      </c>
      <c r="E2295">
        <f>IF(OR(B2295="vi",B2295="ii",B2295="pod"),(((D2295/100)*(C2295*VLOOKUP(B2295,'Poids des runes'!A:B,2,FALSE)))+1),(((D2295/100)*(C2295*VLOOKUP(B2295,'Poids des runes'!A:B,2,FALSE)))+1)/VLOOKUP(B2295,'Poids des runes'!A:B,2,FALSE))</f>
        <v>2.1749999999999998</v>
      </c>
      <c r="F2295">
        <f t="shared" si="35"/>
        <v>2.1749999999999998</v>
      </c>
    </row>
    <row r="2296" spans="1:6" x14ac:dyDescent="0.3">
      <c r="A2296" t="s">
        <v>667</v>
      </c>
      <c r="B2296" t="s">
        <v>2163</v>
      </c>
      <c r="C2296">
        <v>8.5</v>
      </c>
      <c r="D2296">
        <v>77</v>
      </c>
      <c r="E2296">
        <f>IF(OR(B2296="vi",B2296="ii",B2296="pod"),(((D2296/100)*(C2296*VLOOKUP(B2296,'Poids des runes'!A:B,2,FALSE)))+1),(((D2296/100)*(C2296*VLOOKUP(B2296,'Poids des runes'!A:B,2,FALSE)))+1)/VLOOKUP(B2296,'Poids des runes'!A:B,2,FALSE))</f>
        <v>7.0449999999999999</v>
      </c>
      <c r="F2296">
        <f t="shared" si="35"/>
        <v>7.0449999999999999</v>
      </c>
    </row>
    <row r="2297" spans="1:6" x14ac:dyDescent="0.3">
      <c r="A2297" t="s">
        <v>667</v>
      </c>
      <c r="B2297" t="s">
        <v>2148</v>
      </c>
      <c r="C2297">
        <v>3.5</v>
      </c>
      <c r="D2297">
        <v>77</v>
      </c>
      <c r="E2297">
        <f>IF(OR(B2297="vi",B2297="ii",B2297="pod"),(((D2297/100)*(C2297*VLOOKUP(B2297,'Poids des runes'!A:B,2,FALSE)))+1),(((D2297/100)*(C2297*VLOOKUP(B2297,'Poids des runes'!A:B,2,FALSE)))+1)/VLOOKUP(B2297,'Poids des runes'!A:B,2,FALSE))</f>
        <v>2.8616666666666668</v>
      </c>
      <c r="F2297">
        <f t="shared" si="35"/>
        <v>2.8616666666666668</v>
      </c>
    </row>
    <row r="2298" spans="1:6" x14ac:dyDescent="0.3">
      <c r="A2298" t="s">
        <v>667</v>
      </c>
      <c r="B2298" t="s">
        <v>2135</v>
      </c>
      <c r="C2298">
        <v>3.5</v>
      </c>
      <c r="D2298">
        <v>77</v>
      </c>
      <c r="E2298">
        <f>IF(OR(B2298="vi",B2298="ii",B2298="pod"),(((D2298/100)*(C2298*VLOOKUP(B2298,'Poids des runes'!A:B,2,FALSE)))+1),(((D2298/100)*(C2298*VLOOKUP(B2298,'Poids des runes'!A:B,2,FALSE)))+1)/VLOOKUP(B2298,'Poids des runes'!A:B,2,FALSE))</f>
        <v>2.8616666666666668</v>
      </c>
      <c r="F2298">
        <f t="shared" si="35"/>
        <v>2.8616666666666668</v>
      </c>
    </row>
    <row r="2299" spans="1:6" x14ac:dyDescent="0.3">
      <c r="A2299" t="s">
        <v>668</v>
      </c>
      <c r="B2299" t="s">
        <v>2128</v>
      </c>
      <c r="C2299">
        <v>43</v>
      </c>
      <c r="D2299">
        <v>77</v>
      </c>
      <c r="E2299">
        <f>IF(OR(B2299="vi",B2299="ii",B2299="pod"),(((D2299/100)*(C2299*VLOOKUP(B2299,'Poids des runes'!A:B,2,FALSE)))+1),(((D2299/100)*(C2299*VLOOKUP(B2299,'Poids des runes'!A:B,2,FALSE)))+1)/VLOOKUP(B2299,'Poids des runes'!A:B,2,FALSE))</f>
        <v>7.6219999999999999</v>
      </c>
      <c r="F2299">
        <f t="shared" si="35"/>
        <v>7.6219999999999999</v>
      </c>
    </row>
    <row r="2300" spans="1:6" x14ac:dyDescent="0.3">
      <c r="A2300" t="s">
        <v>668</v>
      </c>
      <c r="B2300" t="s">
        <v>2130</v>
      </c>
      <c r="C2300">
        <v>20.5</v>
      </c>
      <c r="D2300">
        <v>77</v>
      </c>
      <c r="E2300">
        <f>IF(OR(B2300="vi",B2300="ii",B2300="pod"),(((D2300/100)*(C2300*VLOOKUP(B2300,'Poids des runes'!A:B,2,FALSE)))+1),(((D2300/100)*(C2300*VLOOKUP(B2300,'Poids des runes'!A:B,2,FALSE)))+1)/VLOOKUP(B2300,'Poids des runes'!A:B,2,FALSE))</f>
        <v>16.785</v>
      </c>
      <c r="F2300">
        <f t="shared" si="35"/>
        <v>16.785</v>
      </c>
    </row>
    <row r="2301" spans="1:6" x14ac:dyDescent="0.3">
      <c r="A2301" t="s">
        <v>668</v>
      </c>
      <c r="B2301" t="s">
        <v>2127</v>
      </c>
      <c r="C2301">
        <v>20.5</v>
      </c>
      <c r="D2301">
        <v>77</v>
      </c>
      <c r="E2301">
        <f>IF(OR(B2301="vi",B2301="ii",B2301="pod"),(((D2301/100)*(C2301*VLOOKUP(B2301,'Poids des runes'!A:B,2,FALSE)))+1),(((D2301/100)*(C2301*VLOOKUP(B2301,'Poids des runes'!A:B,2,FALSE)))+1)/VLOOKUP(B2301,'Poids des runes'!A:B,2,FALSE))</f>
        <v>16.785</v>
      </c>
      <c r="F2301">
        <f t="shared" si="35"/>
        <v>16.785</v>
      </c>
    </row>
    <row r="2302" spans="1:6" x14ac:dyDescent="0.3">
      <c r="A2302" t="s">
        <v>668</v>
      </c>
      <c r="B2302" t="s">
        <v>2129</v>
      </c>
      <c r="C2302">
        <v>13</v>
      </c>
      <c r="D2302">
        <v>77</v>
      </c>
      <c r="E2302">
        <f>IF(OR(B2302="vi",B2302="ii",B2302="pod"),(((D2302/100)*(C2302*VLOOKUP(B2302,'Poids des runes'!A:B,2,FALSE)))+1),(((D2302/100)*(C2302*VLOOKUP(B2302,'Poids des runes'!A:B,2,FALSE)))+1)/VLOOKUP(B2302,'Poids des runes'!A:B,2,FALSE))</f>
        <v>11.01</v>
      </c>
      <c r="F2302">
        <f t="shared" si="35"/>
        <v>11.01</v>
      </c>
    </row>
    <row r="2303" spans="1:6" x14ac:dyDescent="0.3">
      <c r="A2303" t="s">
        <v>668</v>
      </c>
      <c r="B2303" t="s">
        <v>2151</v>
      </c>
      <c r="C2303">
        <v>2.5</v>
      </c>
      <c r="D2303">
        <v>77</v>
      </c>
      <c r="E2303">
        <f>IF(OR(B2303="vi",B2303="ii",B2303="pod"),(((D2303/100)*(C2303*VLOOKUP(B2303,'Poids des runes'!A:B,2,FALSE)))+1),(((D2303/100)*(C2303*VLOOKUP(B2303,'Poids des runes'!A:B,2,FALSE)))+1)/VLOOKUP(B2303,'Poids des runes'!A:B,2,FALSE))</f>
        <v>2.0249999999999999</v>
      </c>
      <c r="F2303">
        <f t="shared" si="35"/>
        <v>2.0249999999999999</v>
      </c>
    </row>
    <row r="2304" spans="1:6" x14ac:dyDescent="0.3">
      <c r="A2304" t="s">
        <v>668</v>
      </c>
      <c r="B2304" t="s">
        <v>2152</v>
      </c>
      <c r="C2304">
        <v>1</v>
      </c>
      <c r="D2304">
        <v>77</v>
      </c>
      <c r="E2304">
        <f>IF(OR(B2304="vi",B2304="ii",B2304="pod"),(((D2304/100)*(C2304*VLOOKUP(B2304,'Poids des runes'!A:B,2,FALSE)))+1),(((D2304/100)*(C2304*VLOOKUP(B2304,'Poids des runes'!A:B,2,FALSE)))+1)/VLOOKUP(B2304,'Poids des runes'!A:B,2,FALSE))</f>
        <v>0.78</v>
      </c>
      <c r="F2304">
        <f t="shared" si="35"/>
        <v>0.78</v>
      </c>
    </row>
    <row r="2305" spans="1:6" x14ac:dyDescent="0.3">
      <c r="A2305" t="s">
        <v>668</v>
      </c>
      <c r="B2305" t="s">
        <v>2141</v>
      </c>
      <c r="C2305">
        <v>3.5</v>
      </c>
      <c r="D2305">
        <v>77</v>
      </c>
      <c r="E2305">
        <f>IF(OR(B2305="vi",B2305="ii",B2305="pod"),(((D2305/100)*(C2305*VLOOKUP(B2305,'Poids des runes'!A:B,2,FALSE)))+1),(((D2305/100)*(C2305*VLOOKUP(B2305,'Poids des runes'!A:B,2,FALSE)))+1)/VLOOKUP(B2305,'Poids des runes'!A:B,2,FALSE))</f>
        <v>2.9450000000000003</v>
      </c>
      <c r="F2305">
        <f t="shared" si="35"/>
        <v>2.9450000000000003</v>
      </c>
    </row>
    <row r="2306" spans="1:6" x14ac:dyDescent="0.3">
      <c r="A2306" t="s">
        <v>668</v>
      </c>
      <c r="B2306" t="s">
        <v>2135</v>
      </c>
      <c r="C2306">
        <v>2.5</v>
      </c>
      <c r="D2306">
        <v>77</v>
      </c>
      <c r="E2306">
        <f>IF(OR(B2306="vi",B2306="ii",B2306="pod"),(((D2306/100)*(C2306*VLOOKUP(B2306,'Poids des runes'!A:B,2,FALSE)))+1),(((D2306/100)*(C2306*VLOOKUP(B2306,'Poids des runes'!A:B,2,FALSE)))+1)/VLOOKUP(B2306,'Poids des runes'!A:B,2,FALSE))</f>
        <v>2.0916666666666668</v>
      </c>
      <c r="F2306">
        <f t="shared" si="35"/>
        <v>2.0916666666666668</v>
      </c>
    </row>
    <row r="2307" spans="1:6" x14ac:dyDescent="0.3">
      <c r="A2307" t="s">
        <v>669</v>
      </c>
      <c r="B2307" t="s">
        <v>2128</v>
      </c>
      <c r="C2307">
        <v>35.5</v>
      </c>
      <c r="D2307">
        <v>77</v>
      </c>
      <c r="E2307">
        <f>IF(OR(B2307="vi",B2307="ii",B2307="pod"),(((D2307/100)*(C2307*VLOOKUP(B2307,'Poids des runes'!A:B,2,FALSE)))+1),(((D2307/100)*(C2307*VLOOKUP(B2307,'Poids des runes'!A:B,2,FALSE)))+1)/VLOOKUP(B2307,'Poids des runes'!A:B,2,FALSE))</f>
        <v>6.4670000000000005</v>
      </c>
      <c r="F2307">
        <f t="shared" ref="F2307:F2370" si="36">E2307</f>
        <v>6.4670000000000005</v>
      </c>
    </row>
    <row r="2308" spans="1:6" x14ac:dyDescent="0.3">
      <c r="A2308" t="s">
        <v>669</v>
      </c>
      <c r="B2308" t="s">
        <v>2129</v>
      </c>
      <c r="C2308">
        <v>23</v>
      </c>
      <c r="D2308">
        <v>77</v>
      </c>
      <c r="E2308">
        <f>IF(OR(B2308="vi",B2308="ii",B2308="pod"),(((D2308/100)*(C2308*VLOOKUP(B2308,'Poids des runes'!A:B,2,FALSE)))+1),(((D2308/100)*(C2308*VLOOKUP(B2308,'Poids des runes'!A:B,2,FALSE)))+1)/VLOOKUP(B2308,'Poids des runes'!A:B,2,FALSE))</f>
        <v>18.71</v>
      </c>
      <c r="F2308">
        <f t="shared" si="36"/>
        <v>18.71</v>
      </c>
    </row>
    <row r="2309" spans="1:6" x14ac:dyDescent="0.3">
      <c r="A2309" t="s">
        <v>669</v>
      </c>
      <c r="B2309" t="s">
        <v>2134</v>
      </c>
      <c r="C2309">
        <v>3.5</v>
      </c>
      <c r="D2309">
        <v>77</v>
      </c>
      <c r="E2309">
        <f>IF(OR(B2309="vi",B2309="ii",B2309="pod"),(((D2309/100)*(C2309*VLOOKUP(B2309,'Poids des runes'!A:B,2,FALSE)))+1),(((D2309/100)*(C2309*VLOOKUP(B2309,'Poids des runes'!A:B,2,FALSE)))+1)/VLOOKUP(B2309,'Poids des runes'!A:B,2,FALSE))</f>
        <v>2.7450000000000001</v>
      </c>
      <c r="F2309">
        <f t="shared" si="36"/>
        <v>2.7450000000000001</v>
      </c>
    </row>
    <row r="2310" spans="1:6" x14ac:dyDescent="0.3">
      <c r="A2310" t="s">
        <v>669</v>
      </c>
      <c r="B2310" t="s">
        <v>2148</v>
      </c>
      <c r="C2310">
        <v>4.5</v>
      </c>
      <c r="D2310">
        <v>77</v>
      </c>
      <c r="E2310">
        <f>IF(OR(B2310="vi",B2310="ii",B2310="pod"),(((D2310/100)*(C2310*VLOOKUP(B2310,'Poids des runes'!A:B,2,FALSE)))+1),(((D2310/100)*(C2310*VLOOKUP(B2310,'Poids des runes'!A:B,2,FALSE)))+1)/VLOOKUP(B2310,'Poids des runes'!A:B,2,FALSE))</f>
        <v>3.6316666666666664</v>
      </c>
      <c r="F2310">
        <f t="shared" si="36"/>
        <v>3.6316666666666664</v>
      </c>
    </row>
    <row r="2311" spans="1:6" x14ac:dyDescent="0.3">
      <c r="A2311" t="s">
        <v>669</v>
      </c>
      <c r="B2311" t="s">
        <v>2135</v>
      </c>
      <c r="C2311">
        <v>4.5</v>
      </c>
      <c r="D2311">
        <v>77</v>
      </c>
      <c r="E2311">
        <f>IF(OR(B2311="vi",B2311="ii",B2311="pod"),(((D2311/100)*(C2311*VLOOKUP(B2311,'Poids des runes'!A:B,2,FALSE)))+1),(((D2311/100)*(C2311*VLOOKUP(B2311,'Poids des runes'!A:B,2,FALSE)))+1)/VLOOKUP(B2311,'Poids des runes'!A:B,2,FALSE))</f>
        <v>3.6316666666666664</v>
      </c>
      <c r="F2311">
        <f t="shared" si="36"/>
        <v>3.6316666666666664</v>
      </c>
    </row>
    <row r="2312" spans="1:6" x14ac:dyDescent="0.3">
      <c r="A2312" t="s">
        <v>670</v>
      </c>
      <c r="B2312" t="s">
        <v>2131</v>
      </c>
      <c r="C2312">
        <v>35.5</v>
      </c>
      <c r="D2312">
        <v>77</v>
      </c>
      <c r="E2312">
        <f>IF(OR(B2312="vi",B2312="ii",B2312="pod"),(((D2312/100)*(C2312*VLOOKUP(B2312,'Poids des runes'!A:B,2,FALSE)))+1),(((D2312/100)*(C2312*VLOOKUP(B2312,'Poids des runes'!A:B,2,FALSE)))+1)/VLOOKUP(B2312,'Poids des runes'!A:B,2,FALSE))</f>
        <v>28.335000000000001</v>
      </c>
      <c r="F2312">
        <f t="shared" si="36"/>
        <v>28.335000000000001</v>
      </c>
    </row>
    <row r="2313" spans="1:6" x14ac:dyDescent="0.3">
      <c r="A2313" t="s">
        <v>670</v>
      </c>
      <c r="B2313" t="s">
        <v>2129</v>
      </c>
      <c r="C2313">
        <v>13</v>
      </c>
      <c r="D2313">
        <v>77</v>
      </c>
      <c r="E2313">
        <f>IF(OR(B2313="vi",B2313="ii",B2313="pod"),(((D2313/100)*(C2313*VLOOKUP(B2313,'Poids des runes'!A:B,2,FALSE)))+1),(((D2313/100)*(C2313*VLOOKUP(B2313,'Poids des runes'!A:B,2,FALSE)))+1)/VLOOKUP(B2313,'Poids des runes'!A:B,2,FALSE))</f>
        <v>11.01</v>
      </c>
      <c r="F2313">
        <f t="shared" si="36"/>
        <v>11.01</v>
      </c>
    </row>
    <row r="2314" spans="1:6" x14ac:dyDescent="0.3">
      <c r="A2314" t="s">
        <v>670</v>
      </c>
      <c r="B2314" t="s">
        <v>2155</v>
      </c>
      <c r="C2314">
        <v>1</v>
      </c>
      <c r="D2314">
        <v>77</v>
      </c>
      <c r="E2314">
        <f>IF(OR(B2314="vi",B2314="ii",B2314="pod"),(((D2314/100)*(C2314*VLOOKUP(B2314,'Poids des runes'!A:B,2,FALSE)))+1),(((D2314/100)*(C2314*VLOOKUP(B2314,'Poids des runes'!A:B,2,FALSE)))+1)/VLOOKUP(B2314,'Poids des runes'!A:B,2,FALSE))</f>
        <v>0.78960784313725496</v>
      </c>
      <c r="F2314">
        <f t="shared" si="36"/>
        <v>0.78960784313725496</v>
      </c>
    </row>
    <row r="2315" spans="1:6" x14ac:dyDescent="0.3">
      <c r="A2315" t="s">
        <v>670</v>
      </c>
      <c r="B2315" t="s">
        <v>2150</v>
      </c>
      <c r="C2315">
        <v>1</v>
      </c>
      <c r="D2315">
        <v>77</v>
      </c>
      <c r="E2315">
        <f>IF(OR(B2315="vi",B2315="ii",B2315="pod"),(((D2315/100)*(C2315*VLOOKUP(B2315,'Poids des runes'!A:B,2,FALSE)))+1),(((D2315/100)*(C2315*VLOOKUP(B2315,'Poids des runes'!A:B,2,FALSE)))+1)/VLOOKUP(B2315,'Poids des runes'!A:B,2,FALSE))</f>
        <v>0.80333333333333334</v>
      </c>
      <c r="F2315">
        <f t="shared" si="36"/>
        <v>0.80333333333333334</v>
      </c>
    </row>
    <row r="2316" spans="1:6" x14ac:dyDescent="0.3">
      <c r="A2316" t="s">
        <v>670</v>
      </c>
      <c r="B2316" t="s">
        <v>2156</v>
      </c>
      <c r="C2316">
        <v>3</v>
      </c>
      <c r="D2316">
        <v>77</v>
      </c>
      <c r="E2316">
        <f>IF(OR(B2316="vi",B2316="ii",B2316="pod"),(((D2316/100)*(C2316*VLOOKUP(B2316,'Poids des runes'!A:B,2,FALSE)))+1),(((D2316/100)*(C2316*VLOOKUP(B2316,'Poids des runes'!A:B,2,FALSE)))+1)/VLOOKUP(B2316,'Poids des runes'!A:B,2,FALSE))</f>
        <v>2.4766666666666666</v>
      </c>
      <c r="F2316">
        <f t="shared" si="36"/>
        <v>2.4766666666666666</v>
      </c>
    </row>
    <row r="2317" spans="1:6" x14ac:dyDescent="0.3">
      <c r="A2317" t="s">
        <v>670</v>
      </c>
      <c r="B2317" t="s">
        <v>2135</v>
      </c>
      <c r="C2317">
        <v>3</v>
      </c>
      <c r="D2317">
        <v>77</v>
      </c>
      <c r="E2317">
        <f>IF(OR(B2317="vi",B2317="ii",B2317="pod"),(((D2317/100)*(C2317*VLOOKUP(B2317,'Poids des runes'!A:B,2,FALSE)))+1),(((D2317/100)*(C2317*VLOOKUP(B2317,'Poids des runes'!A:B,2,FALSE)))+1)/VLOOKUP(B2317,'Poids des runes'!A:B,2,FALSE))</f>
        <v>2.4766666666666666</v>
      </c>
      <c r="F2317">
        <f t="shared" si="36"/>
        <v>2.4766666666666666</v>
      </c>
    </row>
    <row r="2318" spans="1:6" x14ac:dyDescent="0.3">
      <c r="A2318" t="s">
        <v>671</v>
      </c>
      <c r="B2318" t="s">
        <v>2128</v>
      </c>
      <c r="C2318">
        <v>90.5</v>
      </c>
      <c r="D2318">
        <v>78</v>
      </c>
      <c r="E2318">
        <f>IF(OR(B2318="vi",B2318="ii",B2318="pod"),(((D2318/100)*(C2318*VLOOKUP(B2318,'Poids des runes'!A:B,2,FALSE)))+1),(((D2318/100)*(C2318*VLOOKUP(B2318,'Poids des runes'!A:B,2,FALSE)))+1)/VLOOKUP(B2318,'Poids des runes'!A:B,2,FALSE))</f>
        <v>15.118000000000002</v>
      </c>
      <c r="F2318">
        <f t="shared" si="36"/>
        <v>15.118000000000002</v>
      </c>
    </row>
    <row r="2319" spans="1:6" x14ac:dyDescent="0.3">
      <c r="A2319" t="s">
        <v>671</v>
      </c>
      <c r="B2319" t="s">
        <v>2138</v>
      </c>
      <c r="C2319">
        <v>8.5</v>
      </c>
      <c r="D2319">
        <v>78</v>
      </c>
      <c r="E2319">
        <f>IF(OR(B2319="vi",B2319="ii",B2319="pod"),(((D2319/100)*(C2319*VLOOKUP(B2319,'Poids des runes'!A:B,2,FALSE)))+1),(((D2319/100)*(C2319*VLOOKUP(B2319,'Poids des runes'!A:B,2,FALSE)))+1)/VLOOKUP(B2319,'Poids des runes'!A:B,2,FALSE))</f>
        <v>6.88</v>
      </c>
      <c r="F2319">
        <f t="shared" si="36"/>
        <v>6.88</v>
      </c>
    </row>
    <row r="2320" spans="1:6" x14ac:dyDescent="0.3">
      <c r="A2320" t="s">
        <v>671</v>
      </c>
      <c r="B2320" t="s">
        <v>2160</v>
      </c>
      <c r="C2320">
        <v>8.5</v>
      </c>
      <c r="D2320">
        <v>78</v>
      </c>
      <c r="E2320">
        <f>IF(OR(B2320="vi",B2320="ii",B2320="pod"),(((D2320/100)*(C2320*VLOOKUP(B2320,'Poids des runes'!A:B,2,FALSE)))+1),(((D2320/100)*(C2320*VLOOKUP(B2320,'Poids des runes'!A:B,2,FALSE)))+1)/VLOOKUP(B2320,'Poids des runes'!A:B,2,FALSE))</f>
        <v>6.7728571428571431</v>
      </c>
      <c r="F2320">
        <f t="shared" si="36"/>
        <v>6.7728571428571431</v>
      </c>
    </row>
    <row r="2321" spans="1:6" x14ac:dyDescent="0.3">
      <c r="A2321" t="s">
        <v>671</v>
      </c>
      <c r="B2321" t="s">
        <v>2142</v>
      </c>
      <c r="C2321">
        <v>8.5</v>
      </c>
      <c r="D2321">
        <v>78</v>
      </c>
      <c r="E2321">
        <f>IF(OR(B2321="vi",B2321="ii",B2321="pod"),(((D2321/100)*(C2321*VLOOKUP(B2321,'Poids des runes'!A:B,2,FALSE)))+1),(((D2321/100)*(C2321*VLOOKUP(B2321,'Poids des runes'!A:B,2,FALSE)))+1)/VLOOKUP(B2321,'Poids des runes'!A:B,2,FALSE))</f>
        <v>6.83</v>
      </c>
      <c r="F2321">
        <f t="shared" si="36"/>
        <v>6.83</v>
      </c>
    </row>
    <row r="2322" spans="1:6" x14ac:dyDescent="0.3">
      <c r="A2322" t="s">
        <v>671</v>
      </c>
      <c r="B2322" t="s">
        <v>2164</v>
      </c>
      <c r="C2322">
        <v>8.5</v>
      </c>
      <c r="D2322">
        <v>78</v>
      </c>
      <c r="E2322">
        <f>IF(OR(B2322="vi",B2322="ii",B2322="pod"),(((D2322/100)*(C2322*VLOOKUP(B2322,'Poids des runes'!A:B,2,FALSE)))+1),(((D2322/100)*(C2322*VLOOKUP(B2322,'Poids des runes'!A:B,2,FALSE)))+1)/VLOOKUP(B2322,'Poids des runes'!A:B,2,FALSE))</f>
        <v>7.13</v>
      </c>
      <c r="F2322">
        <f t="shared" si="36"/>
        <v>7.13</v>
      </c>
    </row>
    <row r="2323" spans="1:6" x14ac:dyDescent="0.3">
      <c r="A2323" t="s">
        <v>672</v>
      </c>
      <c r="B2323" t="s">
        <v>2128</v>
      </c>
      <c r="C2323">
        <v>275.5</v>
      </c>
      <c r="D2323">
        <v>79</v>
      </c>
      <c r="E2323">
        <f>IF(OR(B2323="vi",B2323="ii",B2323="pod"),(((D2323/100)*(C2323*VLOOKUP(B2323,'Poids des runes'!A:B,2,FALSE)))+1),(((D2323/100)*(C2323*VLOOKUP(B2323,'Poids des runes'!A:B,2,FALSE)))+1)/VLOOKUP(B2323,'Poids des runes'!A:B,2,FALSE))</f>
        <v>44.529000000000003</v>
      </c>
      <c r="F2323">
        <f t="shared" si="36"/>
        <v>44.529000000000003</v>
      </c>
    </row>
    <row r="2324" spans="1:6" x14ac:dyDescent="0.3">
      <c r="A2324" t="s">
        <v>672</v>
      </c>
      <c r="B2324" t="s">
        <v>2151</v>
      </c>
      <c r="C2324">
        <v>4.5</v>
      </c>
      <c r="D2324">
        <v>79</v>
      </c>
      <c r="E2324">
        <f>IF(OR(B2324="vi",B2324="ii",B2324="pod"),(((D2324/100)*(C2324*VLOOKUP(B2324,'Poids des runes'!A:B,2,FALSE)))+1),(((D2324/100)*(C2324*VLOOKUP(B2324,'Poids des runes'!A:B,2,FALSE)))+1)/VLOOKUP(B2324,'Poids des runes'!A:B,2,FALSE))</f>
        <v>3.6550000000000002</v>
      </c>
      <c r="F2324">
        <f t="shared" si="36"/>
        <v>3.6550000000000002</v>
      </c>
    </row>
    <row r="2325" spans="1:6" x14ac:dyDescent="0.3">
      <c r="A2325" t="s">
        <v>672</v>
      </c>
      <c r="B2325" t="s">
        <v>2149</v>
      </c>
      <c r="C2325">
        <v>8.5</v>
      </c>
      <c r="D2325">
        <v>79</v>
      </c>
      <c r="E2325">
        <f>IF(OR(B2325="vi",B2325="ii",B2325="pod"),(((D2325/100)*(C2325*VLOOKUP(B2325,'Poids des runes'!A:B,2,FALSE)))+1),(((D2325/100)*(C2325*VLOOKUP(B2325,'Poids des runes'!A:B,2,FALSE)))+1)/VLOOKUP(B2325,'Poids des runes'!A:B,2,FALSE))</f>
        <v>6.8150000000000004</v>
      </c>
      <c r="F2325">
        <f t="shared" si="36"/>
        <v>6.8150000000000004</v>
      </c>
    </row>
    <row r="2326" spans="1:6" x14ac:dyDescent="0.3">
      <c r="A2326" t="s">
        <v>672</v>
      </c>
      <c r="B2326" t="s">
        <v>2132</v>
      </c>
      <c r="C2326">
        <v>175.5</v>
      </c>
      <c r="D2326">
        <v>79</v>
      </c>
      <c r="E2326">
        <f>IF(OR(B2326="vi",B2326="ii",B2326="pod"),(((D2326/100)*(C2326*VLOOKUP(B2326,'Poids des runes'!A:B,2,FALSE)))+1),(((D2326/100)*(C2326*VLOOKUP(B2326,'Poids des runes'!A:B,2,FALSE)))+1)/VLOOKUP(B2326,'Poids des runes'!A:B,2,FALSE))</f>
        <v>14.864500000000001</v>
      </c>
      <c r="F2326">
        <f t="shared" si="36"/>
        <v>14.864500000000001</v>
      </c>
    </row>
    <row r="2327" spans="1:6" x14ac:dyDescent="0.3">
      <c r="A2327" t="s">
        <v>672</v>
      </c>
      <c r="B2327" t="s">
        <v>2141</v>
      </c>
      <c r="C2327">
        <v>4.5</v>
      </c>
      <c r="D2327">
        <v>79</v>
      </c>
      <c r="E2327">
        <f>IF(OR(B2327="vi",B2327="ii",B2327="pod"),(((D2327/100)*(C2327*VLOOKUP(B2327,'Poids des runes'!A:B,2,FALSE)))+1),(((D2327/100)*(C2327*VLOOKUP(B2327,'Poids des runes'!A:B,2,FALSE)))+1)/VLOOKUP(B2327,'Poids des runes'!A:B,2,FALSE))</f>
        <v>3.8050000000000002</v>
      </c>
      <c r="F2327">
        <f t="shared" si="36"/>
        <v>3.8050000000000002</v>
      </c>
    </row>
    <row r="2328" spans="1:6" x14ac:dyDescent="0.3">
      <c r="A2328" t="s">
        <v>673</v>
      </c>
      <c r="B2328" t="s">
        <v>2128</v>
      </c>
      <c r="C2328">
        <v>25.5</v>
      </c>
      <c r="D2328">
        <v>79</v>
      </c>
      <c r="E2328">
        <f>IF(OR(B2328="vi",B2328="ii",B2328="pod"),(((D2328/100)*(C2328*VLOOKUP(B2328,'Poids des runes'!A:B,2,FALSE)))+1),(((D2328/100)*(C2328*VLOOKUP(B2328,'Poids des runes'!A:B,2,FALSE)))+1)/VLOOKUP(B2328,'Poids des runes'!A:B,2,FALSE))</f>
        <v>5.0290000000000008</v>
      </c>
      <c r="F2328">
        <f t="shared" si="36"/>
        <v>5.0290000000000008</v>
      </c>
    </row>
    <row r="2329" spans="1:6" x14ac:dyDescent="0.3">
      <c r="A2329" t="s">
        <v>673</v>
      </c>
      <c r="B2329" t="s">
        <v>2130</v>
      </c>
      <c r="C2329">
        <v>25.5</v>
      </c>
      <c r="D2329">
        <v>79</v>
      </c>
      <c r="E2329">
        <f>IF(OR(B2329="vi",B2329="ii",B2329="pod"),(((D2329/100)*(C2329*VLOOKUP(B2329,'Poids des runes'!A:B,2,FALSE)))+1),(((D2329/100)*(C2329*VLOOKUP(B2329,'Poids des runes'!A:B,2,FALSE)))+1)/VLOOKUP(B2329,'Poids des runes'!A:B,2,FALSE))</f>
        <v>21.145</v>
      </c>
      <c r="F2329">
        <f t="shared" si="36"/>
        <v>21.145</v>
      </c>
    </row>
    <row r="2330" spans="1:6" x14ac:dyDescent="0.3">
      <c r="A2330" t="s">
        <v>673</v>
      </c>
      <c r="B2330" t="s">
        <v>2127</v>
      </c>
      <c r="C2330">
        <v>25.5</v>
      </c>
      <c r="D2330">
        <v>79</v>
      </c>
      <c r="E2330">
        <f>IF(OR(B2330="vi",B2330="ii",B2330="pod"),(((D2330/100)*(C2330*VLOOKUP(B2330,'Poids des runes'!A:B,2,FALSE)))+1),(((D2330/100)*(C2330*VLOOKUP(B2330,'Poids des runes'!A:B,2,FALSE)))+1)/VLOOKUP(B2330,'Poids des runes'!A:B,2,FALSE))</f>
        <v>21.145</v>
      </c>
      <c r="F2330">
        <f t="shared" si="36"/>
        <v>21.145</v>
      </c>
    </row>
    <row r="2331" spans="1:6" x14ac:dyDescent="0.3">
      <c r="A2331" t="s">
        <v>673</v>
      </c>
      <c r="B2331" t="s">
        <v>2151</v>
      </c>
      <c r="C2331">
        <v>1.5</v>
      </c>
      <c r="D2331">
        <v>79</v>
      </c>
      <c r="E2331">
        <f>IF(OR(B2331="vi",B2331="ii",B2331="pod"),(((D2331/100)*(C2331*VLOOKUP(B2331,'Poids des runes'!A:B,2,FALSE)))+1),(((D2331/100)*(C2331*VLOOKUP(B2331,'Poids des runes'!A:B,2,FALSE)))+1)/VLOOKUP(B2331,'Poids des runes'!A:B,2,FALSE))</f>
        <v>1.2850000000000001</v>
      </c>
      <c r="F2331">
        <f t="shared" si="36"/>
        <v>1.2850000000000001</v>
      </c>
    </row>
    <row r="2332" spans="1:6" x14ac:dyDescent="0.3">
      <c r="A2332" t="s">
        <v>673</v>
      </c>
      <c r="B2332" t="s">
        <v>2154</v>
      </c>
      <c r="C2332">
        <v>1</v>
      </c>
      <c r="D2332">
        <v>79</v>
      </c>
      <c r="E2332">
        <f>IF(OR(B2332="vi",B2332="ii",B2332="pod"),(((D2332/100)*(C2332*VLOOKUP(B2332,'Poids des runes'!A:B,2,FALSE)))+1),(((D2332/100)*(C2332*VLOOKUP(B2332,'Poids des runes'!A:B,2,FALSE)))+1)/VLOOKUP(B2332,'Poids des runes'!A:B,2,FALSE))</f>
        <v>0.80111111111111122</v>
      </c>
      <c r="F2332">
        <f t="shared" si="36"/>
        <v>0.80111111111111122</v>
      </c>
    </row>
    <row r="2333" spans="1:6" x14ac:dyDescent="0.3">
      <c r="A2333" t="s">
        <v>673</v>
      </c>
      <c r="B2333" t="s">
        <v>2147</v>
      </c>
      <c r="C2333">
        <v>2.5</v>
      </c>
      <c r="D2333">
        <v>79</v>
      </c>
      <c r="E2333">
        <f>IF(OR(B2333="vi",B2333="ii",B2333="pod"),(((D2333/100)*(C2333*VLOOKUP(B2333,'Poids des runes'!A:B,2,FALSE)))+1),(((D2333/100)*(C2333*VLOOKUP(B2333,'Poids des runes'!A:B,2,FALSE)))+1)/VLOOKUP(B2333,'Poids des runes'!A:B,2,FALSE))</f>
        <v>2.1416666666666671</v>
      </c>
      <c r="F2333">
        <f t="shared" si="36"/>
        <v>2.1416666666666671</v>
      </c>
    </row>
    <row r="2334" spans="1:6" x14ac:dyDescent="0.3">
      <c r="A2334" t="s">
        <v>674</v>
      </c>
      <c r="B2334" t="s">
        <v>2128</v>
      </c>
      <c r="C2334">
        <v>43</v>
      </c>
      <c r="D2334">
        <v>79</v>
      </c>
      <c r="E2334">
        <f>IF(OR(B2334="vi",B2334="ii",B2334="pod"),(((D2334/100)*(C2334*VLOOKUP(B2334,'Poids des runes'!A:B,2,FALSE)))+1),(((D2334/100)*(C2334*VLOOKUP(B2334,'Poids des runes'!A:B,2,FALSE)))+1)/VLOOKUP(B2334,'Poids des runes'!A:B,2,FALSE))</f>
        <v>7.7939999999999996</v>
      </c>
      <c r="F2334">
        <f t="shared" si="36"/>
        <v>7.7939999999999996</v>
      </c>
    </row>
    <row r="2335" spans="1:6" x14ac:dyDescent="0.3">
      <c r="A2335" t="s">
        <v>674</v>
      </c>
      <c r="B2335" t="s">
        <v>2130</v>
      </c>
      <c r="C2335">
        <v>25.5</v>
      </c>
      <c r="D2335">
        <v>79</v>
      </c>
      <c r="E2335">
        <f>IF(OR(B2335="vi",B2335="ii",B2335="pod"),(((D2335/100)*(C2335*VLOOKUP(B2335,'Poids des runes'!A:B,2,FALSE)))+1),(((D2335/100)*(C2335*VLOOKUP(B2335,'Poids des runes'!A:B,2,FALSE)))+1)/VLOOKUP(B2335,'Poids des runes'!A:B,2,FALSE))</f>
        <v>21.145</v>
      </c>
      <c r="F2335">
        <f t="shared" si="36"/>
        <v>21.145</v>
      </c>
    </row>
    <row r="2336" spans="1:6" x14ac:dyDescent="0.3">
      <c r="A2336" t="s">
        <v>674</v>
      </c>
      <c r="B2336" t="s">
        <v>2126</v>
      </c>
      <c r="C2336">
        <v>18</v>
      </c>
      <c r="D2336">
        <v>79</v>
      </c>
      <c r="E2336">
        <f>IF(OR(B2336="vi",B2336="ii",B2336="pod"),(((D2336/100)*(C2336*VLOOKUP(B2336,'Poids des runes'!A:B,2,FALSE)))+1),(((D2336/100)*(C2336*VLOOKUP(B2336,'Poids des runes'!A:B,2,FALSE)))+1)/VLOOKUP(B2336,'Poids des runes'!A:B,2,FALSE))</f>
        <v>15.22</v>
      </c>
      <c r="F2336">
        <f t="shared" si="36"/>
        <v>15.22</v>
      </c>
    </row>
    <row r="2337" spans="1:6" x14ac:dyDescent="0.3">
      <c r="A2337" t="s">
        <v>674</v>
      </c>
      <c r="B2337" t="s">
        <v>2127</v>
      </c>
      <c r="C2337">
        <v>18</v>
      </c>
      <c r="D2337">
        <v>79</v>
      </c>
      <c r="E2337">
        <f>IF(OR(B2337="vi",B2337="ii",B2337="pod"),(((D2337/100)*(C2337*VLOOKUP(B2337,'Poids des runes'!A:B,2,FALSE)))+1),(((D2337/100)*(C2337*VLOOKUP(B2337,'Poids des runes'!A:B,2,FALSE)))+1)/VLOOKUP(B2337,'Poids des runes'!A:B,2,FALSE))</f>
        <v>15.22</v>
      </c>
      <c r="F2337">
        <f t="shared" si="36"/>
        <v>15.22</v>
      </c>
    </row>
    <row r="2338" spans="1:6" x14ac:dyDescent="0.3">
      <c r="A2338" t="s">
        <v>674</v>
      </c>
      <c r="B2338" t="s">
        <v>2129</v>
      </c>
      <c r="C2338">
        <v>18</v>
      </c>
      <c r="D2338">
        <v>79</v>
      </c>
      <c r="E2338">
        <f>IF(OR(B2338="vi",B2338="ii",B2338="pod"),(((D2338/100)*(C2338*VLOOKUP(B2338,'Poids des runes'!A:B,2,FALSE)))+1),(((D2338/100)*(C2338*VLOOKUP(B2338,'Poids des runes'!A:B,2,FALSE)))+1)/VLOOKUP(B2338,'Poids des runes'!A:B,2,FALSE))</f>
        <v>15.22</v>
      </c>
      <c r="F2338">
        <f t="shared" si="36"/>
        <v>15.22</v>
      </c>
    </row>
    <row r="2339" spans="1:6" x14ac:dyDescent="0.3">
      <c r="A2339" t="s">
        <v>674</v>
      </c>
      <c r="B2339" t="s">
        <v>2139</v>
      </c>
      <c r="C2339">
        <v>13</v>
      </c>
      <c r="D2339">
        <v>79</v>
      </c>
      <c r="E2339">
        <f>IF(OR(B2339="vi",B2339="ii",B2339="pod"),(((D2339/100)*(C2339*VLOOKUP(B2339,'Poids des runes'!A:B,2,FALSE)))+1),(((D2339/100)*(C2339*VLOOKUP(B2339,'Poids des runes'!A:B,2,FALSE)))+1)/VLOOKUP(B2339,'Poids des runes'!A:B,2,FALSE))</f>
        <v>10.77</v>
      </c>
      <c r="F2339">
        <f t="shared" si="36"/>
        <v>10.77</v>
      </c>
    </row>
    <row r="2340" spans="1:6" x14ac:dyDescent="0.3">
      <c r="A2340" t="s">
        <v>674</v>
      </c>
      <c r="B2340" t="s">
        <v>2147</v>
      </c>
      <c r="C2340">
        <v>4.5</v>
      </c>
      <c r="D2340">
        <v>79</v>
      </c>
      <c r="E2340">
        <f>IF(OR(B2340="vi",B2340="ii",B2340="pod"),(((D2340/100)*(C2340*VLOOKUP(B2340,'Poids des runes'!A:B,2,FALSE)))+1),(((D2340/100)*(C2340*VLOOKUP(B2340,'Poids des runes'!A:B,2,FALSE)))+1)/VLOOKUP(B2340,'Poids des runes'!A:B,2,FALSE))</f>
        <v>3.7216666666666671</v>
      </c>
      <c r="F2340">
        <f t="shared" si="36"/>
        <v>3.7216666666666671</v>
      </c>
    </row>
    <row r="2341" spans="1:6" x14ac:dyDescent="0.3">
      <c r="A2341" t="s">
        <v>674</v>
      </c>
      <c r="B2341" t="s">
        <v>2135</v>
      </c>
      <c r="C2341">
        <v>4.5</v>
      </c>
      <c r="D2341">
        <v>79</v>
      </c>
      <c r="E2341">
        <f>IF(OR(B2341="vi",B2341="ii",B2341="pod"),(((D2341/100)*(C2341*VLOOKUP(B2341,'Poids des runes'!A:B,2,FALSE)))+1),(((D2341/100)*(C2341*VLOOKUP(B2341,'Poids des runes'!A:B,2,FALSE)))+1)/VLOOKUP(B2341,'Poids des runes'!A:B,2,FALSE))</f>
        <v>3.7216666666666671</v>
      </c>
      <c r="F2341">
        <f t="shared" si="36"/>
        <v>3.7216666666666671</v>
      </c>
    </row>
    <row r="2342" spans="1:6" x14ac:dyDescent="0.3">
      <c r="A2342" t="s">
        <v>675</v>
      </c>
      <c r="B2342" t="s">
        <v>2128</v>
      </c>
      <c r="C2342">
        <v>35.5</v>
      </c>
      <c r="D2342">
        <v>80</v>
      </c>
      <c r="E2342">
        <f>IF(OR(B2342="vi",B2342="ii",B2342="pod"),(((D2342/100)*(C2342*VLOOKUP(B2342,'Poids des runes'!A:B,2,FALSE)))+1),(((D2342/100)*(C2342*VLOOKUP(B2342,'Poids des runes'!A:B,2,FALSE)))+1)/VLOOKUP(B2342,'Poids des runes'!A:B,2,FALSE))</f>
        <v>6.6800000000000006</v>
      </c>
      <c r="F2342">
        <f t="shared" si="36"/>
        <v>6.6800000000000006</v>
      </c>
    </row>
    <row r="2343" spans="1:6" x14ac:dyDescent="0.3">
      <c r="A2343" t="s">
        <v>675</v>
      </c>
      <c r="B2343" t="s">
        <v>2129</v>
      </c>
      <c r="C2343">
        <v>35.5</v>
      </c>
      <c r="D2343">
        <v>80</v>
      </c>
      <c r="E2343">
        <f>IF(OR(B2343="vi",B2343="ii",B2343="pod"),(((D2343/100)*(C2343*VLOOKUP(B2343,'Poids des runes'!A:B,2,FALSE)))+1),(((D2343/100)*(C2343*VLOOKUP(B2343,'Poids des runes'!A:B,2,FALSE)))+1)/VLOOKUP(B2343,'Poids des runes'!A:B,2,FALSE))</f>
        <v>29.400000000000002</v>
      </c>
      <c r="F2343">
        <f t="shared" si="36"/>
        <v>29.400000000000002</v>
      </c>
    </row>
    <row r="2344" spans="1:6" x14ac:dyDescent="0.3">
      <c r="A2344" t="s">
        <v>675</v>
      </c>
      <c r="B2344" t="s">
        <v>2152</v>
      </c>
      <c r="C2344">
        <v>1</v>
      </c>
      <c r="D2344">
        <v>80</v>
      </c>
      <c r="E2344">
        <f>IF(OR(B2344="vi",B2344="ii",B2344="pod"),(((D2344/100)*(C2344*VLOOKUP(B2344,'Poids des runes'!A:B,2,FALSE)))+1),(((D2344/100)*(C2344*VLOOKUP(B2344,'Poids des runes'!A:B,2,FALSE)))+1)/VLOOKUP(B2344,'Poids des runes'!A:B,2,FALSE))</f>
        <v>0.81</v>
      </c>
      <c r="F2344">
        <f t="shared" si="36"/>
        <v>0.81</v>
      </c>
    </row>
    <row r="2345" spans="1:6" x14ac:dyDescent="0.3">
      <c r="A2345" t="s">
        <v>675</v>
      </c>
      <c r="B2345" t="s">
        <v>2134</v>
      </c>
      <c r="C2345">
        <v>4.5</v>
      </c>
      <c r="D2345">
        <v>80</v>
      </c>
      <c r="E2345">
        <f>IF(OR(B2345="vi",B2345="ii",B2345="pod"),(((D2345/100)*(C2345*VLOOKUP(B2345,'Poids des runes'!A:B,2,FALSE)))+1),(((D2345/100)*(C2345*VLOOKUP(B2345,'Poids des runes'!A:B,2,FALSE)))+1)/VLOOKUP(B2345,'Poids des runes'!A:B,2,FALSE))</f>
        <v>3.65</v>
      </c>
      <c r="F2345">
        <f t="shared" si="36"/>
        <v>3.65</v>
      </c>
    </row>
    <row r="2346" spans="1:6" x14ac:dyDescent="0.3">
      <c r="A2346" t="s">
        <v>676</v>
      </c>
      <c r="B2346" t="s">
        <v>2128</v>
      </c>
      <c r="C2346">
        <v>25.5</v>
      </c>
      <c r="D2346">
        <v>80</v>
      </c>
      <c r="E2346">
        <f>IF(OR(B2346="vi",B2346="ii",B2346="pod"),(((D2346/100)*(C2346*VLOOKUP(B2346,'Poids des runes'!A:B,2,FALSE)))+1),(((D2346/100)*(C2346*VLOOKUP(B2346,'Poids des runes'!A:B,2,FALSE)))+1)/VLOOKUP(B2346,'Poids des runes'!A:B,2,FALSE))</f>
        <v>5.080000000000001</v>
      </c>
      <c r="F2346">
        <f t="shared" si="36"/>
        <v>5.080000000000001</v>
      </c>
    </row>
    <row r="2347" spans="1:6" x14ac:dyDescent="0.3">
      <c r="A2347" t="s">
        <v>676</v>
      </c>
      <c r="B2347" t="s">
        <v>2131</v>
      </c>
      <c r="C2347">
        <v>25.5</v>
      </c>
      <c r="D2347">
        <v>80</v>
      </c>
      <c r="E2347">
        <f>IF(OR(B2347="vi",B2347="ii",B2347="pod"),(((D2347/100)*(C2347*VLOOKUP(B2347,'Poids des runes'!A:B,2,FALSE)))+1),(((D2347/100)*(C2347*VLOOKUP(B2347,'Poids des runes'!A:B,2,FALSE)))+1)/VLOOKUP(B2347,'Poids des runes'!A:B,2,FALSE))</f>
        <v>21.400000000000002</v>
      </c>
      <c r="F2347">
        <f t="shared" si="36"/>
        <v>21.400000000000002</v>
      </c>
    </row>
    <row r="2348" spans="1:6" x14ac:dyDescent="0.3">
      <c r="A2348" t="s">
        <v>676</v>
      </c>
      <c r="B2348" t="s">
        <v>2134</v>
      </c>
      <c r="C2348">
        <v>2</v>
      </c>
      <c r="D2348">
        <v>80</v>
      </c>
      <c r="E2348">
        <f>IF(OR(B2348="vi",B2348="ii",B2348="pod"),(((D2348/100)*(C2348*VLOOKUP(B2348,'Poids des runes'!A:B,2,FALSE)))+1),(((D2348/100)*(C2348*VLOOKUP(B2348,'Poids des runes'!A:B,2,FALSE)))+1)/VLOOKUP(B2348,'Poids des runes'!A:B,2,FALSE))</f>
        <v>1.65</v>
      </c>
      <c r="F2348">
        <f t="shared" si="36"/>
        <v>1.65</v>
      </c>
    </row>
    <row r="2349" spans="1:6" x14ac:dyDescent="0.3">
      <c r="A2349" t="s">
        <v>676</v>
      </c>
      <c r="B2349" t="s">
        <v>2161</v>
      </c>
      <c r="C2349">
        <v>8.5</v>
      </c>
      <c r="D2349">
        <v>80</v>
      </c>
      <c r="E2349">
        <f>IF(OR(B2349="vi",B2349="ii",B2349="pod"),(((D2349/100)*(C2349*VLOOKUP(B2349,'Poids des runes'!A:B,2,FALSE)))+1),(((D2349/100)*(C2349*VLOOKUP(B2349,'Poids des runes'!A:B,2,FALSE)))+1)/VLOOKUP(B2349,'Poids des runes'!A:B,2,FALSE))</f>
        <v>7.1333333333333337</v>
      </c>
      <c r="F2349">
        <f t="shared" si="36"/>
        <v>7.1333333333333337</v>
      </c>
    </row>
    <row r="2350" spans="1:6" x14ac:dyDescent="0.3">
      <c r="A2350" t="s">
        <v>676</v>
      </c>
      <c r="B2350" t="s">
        <v>2132</v>
      </c>
      <c r="C2350">
        <v>75.5</v>
      </c>
      <c r="D2350">
        <v>80</v>
      </c>
      <c r="E2350">
        <f>IF(OR(B2350="vi",B2350="ii",B2350="pod"),(((D2350/100)*(C2350*VLOOKUP(B2350,'Poids des runes'!A:B,2,FALSE)))+1),(((D2350/100)*(C2350*VLOOKUP(B2350,'Poids des runes'!A:B,2,FALSE)))+1)/VLOOKUP(B2350,'Poids des runes'!A:B,2,FALSE))</f>
        <v>7.0400000000000009</v>
      </c>
      <c r="F2350">
        <f t="shared" si="36"/>
        <v>7.0400000000000009</v>
      </c>
    </row>
    <row r="2351" spans="1:6" x14ac:dyDescent="0.3">
      <c r="A2351" t="s">
        <v>676</v>
      </c>
      <c r="B2351" t="s">
        <v>2148</v>
      </c>
      <c r="C2351">
        <v>2</v>
      </c>
      <c r="D2351">
        <v>80</v>
      </c>
      <c r="E2351">
        <f>IF(OR(B2351="vi",B2351="ii",B2351="pod"),(((D2351/100)*(C2351*VLOOKUP(B2351,'Poids des runes'!A:B,2,FALSE)))+1),(((D2351/100)*(C2351*VLOOKUP(B2351,'Poids des runes'!A:B,2,FALSE)))+1)/VLOOKUP(B2351,'Poids des runes'!A:B,2,FALSE))</f>
        <v>1.7666666666666668</v>
      </c>
      <c r="F2351">
        <f t="shared" si="36"/>
        <v>1.7666666666666668</v>
      </c>
    </row>
    <row r="2352" spans="1:6" x14ac:dyDescent="0.3">
      <c r="A2352" t="s">
        <v>676</v>
      </c>
      <c r="B2352" t="s">
        <v>2157</v>
      </c>
      <c r="C2352">
        <v>2</v>
      </c>
      <c r="D2352">
        <v>80</v>
      </c>
      <c r="E2352">
        <f>IF(OR(B2352="vi",B2352="ii",B2352="pod"),(((D2352/100)*(C2352*VLOOKUP(B2352,'Poids des runes'!A:B,2,FALSE)))+1),(((D2352/100)*(C2352*VLOOKUP(B2352,'Poids des runes'!A:B,2,FALSE)))+1)/VLOOKUP(B2352,'Poids des runes'!A:B,2,FALSE))</f>
        <v>1.7666666666666668</v>
      </c>
      <c r="F2352">
        <f t="shared" si="36"/>
        <v>1.7666666666666668</v>
      </c>
    </row>
    <row r="2353" spans="1:6" x14ac:dyDescent="0.3">
      <c r="A2353" t="s">
        <v>677</v>
      </c>
      <c r="B2353" t="s">
        <v>2128</v>
      </c>
      <c r="C2353">
        <v>90.5</v>
      </c>
      <c r="D2353">
        <v>80</v>
      </c>
      <c r="E2353">
        <f>IF(OR(B2353="vi",B2353="ii",B2353="pod"),(((D2353/100)*(C2353*VLOOKUP(B2353,'Poids des runes'!A:B,2,FALSE)))+1),(((D2353/100)*(C2353*VLOOKUP(B2353,'Poids des runes'!A:B,2,FALSE)))+1)/VLOOKUP(B2353,'Poids des runes'!A:B,2,FALSE))</f>
        <v>15.480000000000002</v>
      </c>
      <c r="F2353">
        <f t="shared" si="36"/>
        <v>15.480000000000002</v>
      </c>
    </row>
    <row r="2354" spans="1:6" x14ac:dyDescent="0.3">
      <c r="A2354" t="s">
        <v>677</v>
      </c>
      <c r="B2354" t="s">
        <v>2130</v>
      </c>
      <c r="C2354">
        <v>35.5</v>
      </c>
      <c r="D2354">
        <v>80</v>
      </c>
      <c r="E2354">
        <f>IF(OR(B2354="vi",B2354="ii",B2354="pod"),(((D2354/100)*(C2354*VLOOKUP(B2354,'Poids des runes'!A:B,2,FALSE)))+1),(((D2354/100)*(C2354*VLOOKUP(B2354,'Poids des runes'!A:B,2,FALSE)))+1)/VLOOKUP(B2354,'Poids des runes'!A:B,2,FALSE))</f>
        <v>29.400000000000002</v>
      </c>
      <c r="F2354">
        <f t="shared" si="36"/>
        <v>29.400000000000002</v>
      </c>
    </row>
    <row r="2355" spans="1:6" x14ac:dyDescent="0.3">
      <c r="A2355" t="s">
        <v>677</v>
      </c>
      <c r="B2355" t="s">
        <v>2126</v>
      </c>
      <c r="C2355">
        <v>35.5</v>
      </c>
      <c r="D2355">
        <v>80</v>
      </c>
      <c r="E2355">
        <f>IF(OR(B2355="vi",B2355="ii",B2355="pod"),(((D2355/100)*(C2355*VLOOKUP(B2355,'Poids des runes'!A:B,2,FALSE)))+1),(((D2355/100)*(C2355*VLOOKUP(B2355,'Poids des runes'!A:B,2,FALSE)))+1)/VLOOKUP(B2355,'Poids des runes'!A:B,2,FALSE))</f>
        <v>29.400000000000002</v>
      </c>
      <c r="F2355">
        <f t="shared" si="36"/>
        <v>29.400000000000002</v>
      </c>
    </row>
    <row r="2356" spans="1:6" x14ac:dyDescent="0.3">
      <c r="A2356" t="s">
        <v>677</v>
      </c>
      <c r="B2356" t="s">
        <v>2129</v>
      </c>
      <c r="C2356">
        <v>25.5</v>
      </c>
      <c r="D2356">
        <v>80</v>
      </c>
      <c r="E2356">
        <f>IF(OR(B2356="vi",B2356="ii",B2356="pod"),(((D2356/100)*(C2356*VLOOKUP(B2356,'Poids des runes'!A:B,2,FALSE)))+1),(((D2356/100)*(C2356*VLOOKUP(B2356,'Poids des runes'!A:B,2,FALSE)))+1)/VLOOKUP(B2356,'Poids des runes'!A:B,2,FALSE))</f>
        <v>21.400000000000002</v>
      </c>
      <c r="F2356">
        <f t="shared" si="36"/>
        <v>21.400000000000002</v>
      </c>
    </row>
    <row r="2357" spans="1:6" x14ac:dyDescent="0.3">
      <c r="A2357" t="s">
        <v>677</v>
      </c>
      <c r="B2357" t="s">
        <v>2143</v>
      </c>
      <c r="C2357">
        <v>2.5</v>
      </c>
      <c r="D2357">
        <v>80</v>
      </c>
      <c r="E2357">
        <f>IF(OR(B2357="vi",B2357="ii",B2357="pod"),(((D2357/100)*(C2357*VLOOKUP(B2357,'Poids des runes'!A:B,2,FALSE)))+1),(((D2357/100)*(C2357*VLOOKUP(B2357,'Poids des runes'!A:B,2,FALSE)))+1)/VLOOKUP(B2357,'Poids des runes'!A:B,2,FALSE))</f>
        <v>2.2000000000000002</v>
      </c>
      <c r="F2357">
        <f t="shared" si="36"/>
        <v>2.2000000000000002</v>
      </c>
    </row>
    <row r="2358" spans="1:6" x14ac:dyDescent="0.3">
      <c r="A2358" t="s">
        <v>677</v>
      </c>
      <c r="B2358" t="s">
        <v>2140</v>
      </c>
      <c r="C2358">
        <v>2.5</v>
      </c>
      <c r="D2358">
        <v>80</v>
      </c>
      <c r="E2358">
        <f>IF(OR(B2358="vi",B2358="ii",B2358="pod"),(((D2358/100)*(C2358*VLOOKUP(B2358,'Poids des runes'!A:B,2,FALSE)))+1),(((D2358/100)*(C2358*VLOOKUP(B2358,'Poids des runes'!A:B,2,FALSE)))+1)/VLOOKUP(B2358,'Poids des runes'!A:B,2,FALSE))</f>
        <v>2.2000000000000002</v>
      </c>
      <c r="F2358">
        <f t="shared" si="36"/>
        <v>2.2000000000000002</v>
      </c>
    </row>
    <row r="2359" spans="1:6" x14ac:dyDescent="0.3">
      <c r="A2359" t="s">
        <v>677</v>
      </c>
      <c r="B2359" t="s">
        <v>2141</v>
      </c>
      <c r="C2359">
        <v>8.5</v>
      </c>
      <c r="D2359">
        <v>80</v>
      </c>
      <c r="E2359">
        <f>IF(OR(B2359="vi",B2359="ii",B2359="pod"),(((D2359/100)*(C2359*VLOOKUP(B2359,'Poids des runes'!A:B,2,FALSE)))+1),(((D2359/100)*(C2359*VLOOKUP(B2359,'Poids des runes'!A:B,2,FALSE)))+1)/VLOOKUP(B2359,'Poids des runes'!A:B,2,FALSE))</f>
        <v>7.0500000000000007</v>
      </c>
      <c r="F2359">
        <f t="shared" si="36"/>
        <v>7.0500000000000007</v>
      </c>
    </row>
    <row r="2360" spans="1:6" x14ac:dyDescent="0.3">
      <c r="A2360" t="s">
        <v>678</v>
      </c>
      <c r="B2360" t="s">
        <v>2128</v>
      </c>
      <c r="C2360">
        <v>95.5</v>
      </c>
      <c r="D2360">
        <v>80</v>
      </c>
      <c r="E2360">
        <f>IF(OR(B2360="vi",B2360="ii",B2360="pod"),(((D2360/100)*(C2360*VLOOKUP(B2360,'Poids des runes'!A:B,2,FALSE)))+1),(((D2360/100)*(C2360*VLOOKUP(B2360,'Poids des runes'!A:B,2,FALSE)))+1)/VLOOKUP(B2360,'Poids des runes'!A:B,2,FALSE))</f>
        <v>16.28</v>
      </c>
      <c r="F2360">
        <f t="shared" si="36"/>
        <v>16.28</v>
      </c>
    </row>
    <row r="2361" spans="1:6" x14ac:dyDescent="0.3">
      <c r="A2361" t="s">
        <v>678</v>
      </c>
      <c r="B2361" t="s">
        <v>2129</v>
      </c>
      <c r="C2361">
        <v>25.5</v>
      </c>
      <c r="D2361">
        <v>80</v>
      </c>
      <c r="E2361">
        <f>IF(OR(B2361="vi",B2361="ii",B2361="pod"),(((D2361/100)*(C2361*VLOOKUP(B2361,'Poids des runes'!A:B,2,FALSE)))+1),(((D2361/100)*(C2361*VLOOKUP(B2361,'Poids des runes'!A:B,2,FALSE)))+1)/VLOOKUP(B2361,'Poids des runes'!A:B,2,FALSE))</f>
        <v>21.400000000000002</v>
      </c>
      <c r="F2361">
        <f t="shared" si="36"/>
        <v>21.400000000000002</v>
      </c>
    </row>
    <row r="2362" spans="1:6" x14ac:dyDescent="0.3">
      <c r="A2362" t="s">
        <v>678</v>
      </c>
      <c r="B2362" t="s">
        <v>2155</v>
      </c>
      <c r="C2362">
        <v>1</v>
      </c>
      <c r="D2362">
        <v>80</v>
      </c>
      <c r="E2362">
        <f>IF(OR(B2362="vi",B2362="ii",B2362="pod"),(((D2362/100)*(C2362*VLOOKUP(B2362,'Poids des runes'!A:B,2,FALSE)))+1),(((D2362/100)*(C2362*VLOOKUP(B2362,'Poids des runes'!A:B,2,FALSE)))+1)/VLOOKUP(B2362,'Poids des runes'!A:B,2,FALSE))</f>
        <v>0.81960784313725499</v>
      </c>
      <c r="F2362">
        <f t="shared" si="36"/>
        <v>0.81960784313725499</v>
      </c>
    </row>
    <row r="2363" spans="1:6" x14ac:dyDescent="0.3">
      <c r="A2363" t="s">
        <v>678</v>
      </c>
      <c r="B2363" t="s">
        <v>2134</v>
      </c>
      <c r="C2363">
        <v>2.5</v>
      </c>
      <c r="D2363">
        <v>80</v>
      </c>
      <c r="E2363">
        <f>IF(OR(B2363="vi",B2363="ii",B2363="pod"),(((D2363/100)*(C2363*VLOOKUP(B2363,'Poids des runes'!A:B,2,FALSE)))+1),(((D2363/100)*(C2363*VLOOKUP(B2363,'Poids des runes'!A:B,2,FALSE)))+1)/VLOOKUP(B2363,'Poids des runes'!A:B,2,FALSE))</f>
        <v>2.0499999999999998</v>
      </c>
      <c r="F2363">
        <f t="shared" si="36"/>
        <v>2.0499999999999998</v>
      </c>
    </row>
    <row r="2364" spans="1:6" x14ac:dyDescent="0.3">
      <c r="A2364" t="s">
        <v>678</v>
      </c>
      <c r="B2364" t="s">
        <v>2161</v>
      </c>
      <c r="C2364">
        <v>8.5</v>
      </c>
      <c r="D2364">
        <v>80</v>
      </c>
      <c r="E2364">
        <f>IF(OR(B2364="vi",B2364="ii",B2364="pod"),(((D2364/100)*(C2364*VLOOKUP(B2364,'Poids des runes'!A:B,2,FALSE)))+1),(((D2364/100)*(C2364*VLOOKUP(B2364,'Poids des runes'!A:B,2,FALSE)))+1)/VLOOKUP(B2364,'Poids des runes'!A:B,2,FALSE))</f>
        <v>7.1333333333333337</v>
      </c>
      <c r="F2364">
        <f t="shared" si="36"/>
        <v>7.1333333333333337</v>
      </c>
    </row>
    <row r="2365" spans="1:6" x14ac:dyDescent="0.3">
      <c r="A2365" t="s">
        <v>678</v>
      </c>
      <c r="B2365" t="s">
        <v>2135</v>
      </c>
      <c r="C2365">
        <v>4.5</v>
      </c>
      <c r="D2365">
        <v>80</v>
      </c>
      <c r="E2365">
        <f>IF(OR(B2365="vi",B2365="ii",B2365="pod"),(((D2365/100)*(C2365*VLOOKUP(B2365,'Poids des runes'!A:B,2,FALSE)))+1),(((D2365/100)*(C2365*VLOOKUP(B2365,'Poids des runes'!A:B,2,FALSE)))+1)/VLOOKUP(B2365,'Poids des runes'!A:B,2,FALSE))</f>
        <v>3.7666666666666671</v>
      </c>
      <c r="F2365">
        <f t="shared" si="36"/>
        <v>3.7666666666666671</v>
      </c>
    </row>
    <row r="2366" spans="1:6" x14ac:dyDescent="0.3">
      <c r="A2366" t="s">
        <v>679</v>
      </c>
      <c r="B2366" t="s">
        <v>2128</v>
      </c>
      <c r="C2366">
        <v>50.5</v>
      </c>
      <c r="D2366">
        <v>80</v>
      </c>
      <c r="E2366">
        <f>IF(OR(B2366="vi",B2366="ii",B2366="pod"),(((D2366/100)*(C2366*VLOOKUP(B2366,'Poids des runes'!A:B,2,FALSE)))+1),(((D2366/100)*(C2366*VLOOKUP(B2366,'Poids des runes'!A:B,2,FALSE)))+1)/VLOOKUP(B2366,'Poids des runes'!A:B,2,FALSE))</f>
        <v>9.0800000000000018</v>
      </c>
      <c r="F2366">
        <f t="shared" si="36"/>
        <v>9.0800000000000018</v>
      </c>
    </row>
    <row r="2367" spans="1:6" x14ac:dyDescent="0.3">
      <c r="A2367" t="s">
        <v>679</v>
      </c>
      <c r="B2367" t="s">
        <v>2127</v>
      </c>
      <c r="C2367">
        <v>35.5</v>
      </c>
      <c r="D2367">
        <v>80</v>
      </c>
      <c r="E2367">
        <f>IF(OR(B2367="vi",B2367="ii",B2367="pod"),(((D2367/100)*(C2367*VLOOKUP(B2367,'Poids des runes'!A:B,2,FALSE)))+1),(((D2367/100)*(C2367*VLOOKUP(B2367,'Poids des runes'!A:B,2,FALSE)))+1)/VLOOKUP(B2367,'Poids des runes'!A:B,2,FALSE))</f>
        <v>29.400000000000002</v>
      </c>
      <c r="F2367">
        <f t="shared" si="36"/>
        <v>29.400000000000002</v>
      </c>
    </row>
    <row r="2368" spans="1:6" x14ac:dyDescent="0.3">
      <c r="A2368" t="s">
        <v>679</v>
      </c>
      <c r="B2368" t="s">
        <v>2129</v>
      </c>
      <c r="C2368">
        <v>23</v>
      </c>
      <c r="D2368">
        <v>80</v>
      </c>
      <c r="E2368">
        <f>IF(OR(B2368="vi",B2368="ii",B2368="pod"),(((D2368/100)*(C2368*VLOOKUP(B2368,'Poids des runes'!A:B,2,FALSE)))+1),(((D2368/100)*(C2368*VLOOKUP(B2368,'Poids des runes'!A:B,2,FALSE)))+1)/VLOOKUP(B2368,'Poids des runes'!A:B,2,FALSE))</f>
        <v>19.400000000000002</v>
      </c>
      <c r="F2368">
        <f t="shared" si="36"/>
        <v>19.400000000000002</v>
      </c>
    </row>
    <row r="2369" spans="1:6" x14ac:dyDescent="0.3">
      <c r="A2369" t="s">
        <v>679</v>
      </c>
      <c r="B2369" t="s">
        <v>2139</v>
      </c>
      <c r="C2369">
        <v>13</v>
      </c>
      <c r="D2369">
        <v>80</v>
      </c>
      <c r="E2369">
        <f>IF(OR(B2369="vi",B2369="ii",B2369="pod"),(((D2369/100)*(C2369*VLOOKUP(B2369,'Poids des runes'!A:B,2,FALSE)))+1),(((D2369/100)*(C2369*VLOOKUP(B2369,'Poids des runes'!A:B,2,FALSE)))+1)/VLOOKUP(B2369,'Poids des runes'!A:B,2,FALSE))</f>
        <v>10.9</v>
      </c>
      <c r="F2369">
        <f t="shared" si="36"/>
        <v>10.9</v>
      </c>
    </row>
    <row r="2370" spans="1:6" x14ac:dyDescent="0.3">
      <c r="A2370" t="s">
        <v>679</v>
      </c>
      <c r="B2370" t="s">
        <v>2151</v>
      </c>
      <c r="C2370">
        <v>2.5</v>
      </c>
      <c r="D2370">
        <v>80</v>
      </c>
      <c r="E2370">
        <f>IF(OR(B2370="vi",B2370="ii",B2370="pod"),(((D2370/100)*(C2370*VLOOKUP(B2370,'Poids des runes'!A:B,2,FALSE)))+1),(((D2370/100)*(C2370*VLOOKUP(B2370,'Poids des runes'!A:B,2,FALSE)))+1)/VLOOKUP(B2370,'Poids des runes'!A:B,2,FALSE))</f>
        <v>2.1</v>
      </c>
      <c r="F2370">
        <f t="shared" si="36"/>
        <v>2.1</v>
      </c>
    </row>
    <row r="2371" spans="1:6" x14ac:dyDescent="0.3">
      <c r="A2371" t="s">
        <v>679</v>
      </c>
      <c r="B2371" t="s">
        <v>2155</v>
      </c>
      <c r="C2371">
        <v>1</v>
      </c>
      <c r="D2371">
        <v>80</v>
      </c>
      <c r="E2371">
        <f>IF(OR(B2371="vi",B2371="ii",B2371="pod"),(((D2371/100)*(C2371*VLOOKUP(B2371,'Poids des runes'!A:B,2,FALSE)))+1),(((D2371/100)*(C2371*VLOOKUP(B2371,'Poids des runes'!A:B,2,FALSE)))+1)/VLOOKUP(B2371,'Poids des runes'!A:B,2,FALSE))</f>
        <v>0.81960784313725499</v>
      </c>
      <c r="F2371">
        <f t="shared" ref="F2371:F2434" si="37">E2371</f>
        <v>0.81960784313725499</v>
      </c>
    </row>
    <row r="2372" spans="1:6" x14ac:dyDescent="0.3">
      <c r="A2372" t="s">
        <v>679</v>
      </c>
      <c r="B2372" t="s">
        <v>2132</v>
      </c>
      <c r="C2372">
        <v>175.5</v>
      </c>
      <c r="D2372">
        <v>80</v>
      </c>
      <c r="E2372">
        <f>IF(OR(B2372="vi",B2372="ii",B2372="pod"),(((D2372/100)*(C2372*VLOOKUP(B2372,'Poids des runes'!A:B,2,FALSE)))+1),(((D2372/100)*(C2372*VLOOKUP(B2372,'Poids des runes'!A:B,2,FALSE)))+1)/VLOOKUP(B2372,'Poids des runes'!A:B,2,FALSE))</f>
        <v>15.040000000000001</v>
      </c>
      <c r="F2372">
        <f t="shared" si="37"/>
        <v>15.040000000000001</v>
      </c>
    </row>
    <row r="2373" spans="1:6" x14ac:dyDescent="0.3">
      <c r="A2373" t="s">
        <v>680</v>
      </c>
      <c r="B2373" t="s">
        <v>2128</v>
      </c>
      <c r="C2373">
        <v>95.5</v>
      </c>
      <c r="D2373">
        <v>80</v>
      </c>
      <c r="E2373">
        <f>IF(OR(B2373="vi",B2373="ii",B2373="pod"),(((D2373/100)*(C2373*VLOOKUP(B2373,'Poids des runes'!A:B,2,FALSE)))+1),(((D2373/100)*(C2373*VLOOKUP(B2373,'Poids des runes'!A:B,2,FALSE)))+1)/VLOOKUP(B2373,'Poids des runes'!A:B,2,FALSE))</f>
        <v>16.28</v>
      </c>
      <c r="F2373">
        <f t="shared" si="37"/>
        <v>16.28</v>
      </c>
    </row>
    <row r="2374" spans="1:6" x14ac:dyDescent="0.3">
      <c r="A2374" t="s">
        <v>680</v>
      </c>
      <c r="B2374" t="s">
        <v>2129</v>
      </c>
      <c r="C2374">
        <v>25.5</v>
      </c>
      <c r="D2374">
        <v>80</v>
      </c>
      <c r="E2374">
        <f>IF(OR(B2374="vi",B2374="ii",B2374="pod"),(((D2374/100)*(C2374*VLOOKUP(B2374,'Poids des runes'!A:B,2,FALSE)))+1),(((D2374/100)*(C2374*VLOOKUP(B2374,'Poids des runes'!A:B,2,FALSE)))+1)/VLOOKUP(B2374,'Poids des runes'!A:B,2,FALSE))</f>
        <v>21.400000000000002</v>
      </c>
      <c r="F2374">
        <f t="shared" si="37"/>
        <v>21.400000000000002</v>
      </c>
    </row>
    <row r="2375" spans="1:6" x14ac:dyDescent="0.3">
      <c r="A2375" t="s">
        <v>680</v>
      </c>
      <c r="B2375" t="s">
        <v>2155</v>
      </c>
      <c r="C2375">
        <v>1</v>
      </c>
      <c r="D2375">
        <v>80</v>
      </c>
      <c r="E2375">
        <f>IF(OR(B2375="vi",B2375="ii",B2375="pod"),(((D2375/100)*(C2375*VLOOKUP(B2375,'Poids des runes'!A:B,2,FALSE)))+1),(((D2375/100)*(C2375*VLOOKUP(B2375,'Poids des runes'!A:B,2,FALSE)))+1)/VLOOKUP(B2375,'Poids des runes'!A:B,2,FALSE))</f>
        <v>0.81960784313725499</v>
      </c>
      <c r="F2375">
        <f t="shared" si="37"/>
        <v>0.81960784313725499</v>
      </c>
    </row>
    <row r="2376" spans="1:6" x14ac:dyDescent="0.3">
      <c r="A2376" t="s">
        <v>680</v>
      </c>
      <c r="B2376" t="s">
        <v>2134</v>
      </c>
      <c r="C2376">
        <v>2.5</v>
      </c>
      <c r="D2376">
        <v>80</v>
      </c>
      <c r="E2376">
        <f>IF(OR(B2376="vi",B2376="ii",B2376="pod"),(((D2376/100)*(C2376*VLOOKUP(B2376,'Poids des runes'!A:B,2,FALSE)))+1),(((D2376/100)*(C2376*VLOOKUP(B2376,'Poids des runes'!A:B,2,FALSE)))+1)/VLOOKUP(B2376,'Poids des runes'!A:B,2,FALSE))</f>
        <v>2.0499999999999998</v>
      </c>
      <c r="F2376">
        <f t="shared" si="37"/>
        <v>2.0499999999999998</v>
      </c>
    </row>
    <row r="2377" spans="1:6" x14ac:dyDescent="0.3">
      <c r="A2377" t="s">
        <v>680</v>
      </c>
      <c r="B2377" t="s">
        <v>2161</v>
      </c>
      <c r="C2377">
        <v>8.5</v>
      </c>
      <c r="D2377">
        <v>80</v>
      </c>
      <c r="E2377">
        <f>IF(OR(B2377="vi",B2377="ii",B2377="pod"),(((D2377/100)*(C2377*VLOOKUP(B2377,'Poids des runes'!A:B,2,FALSE)))+1),(((D2377/100)*(C2377*VLOOKUP(B2377,'Poids des runes'!A:B,2,FALSE)))+1)/VLOOKUP(B2377,'Poids des runes'!A:B,2,FALSE))</f>
        <v>7.1333333333333337</v>
      </c>
      <c r="F2377">
        <f t="shared" si="37"/>
        <v>7.1333333333333337</v>
      </c>
    </row>
    <row r="2378" spans="1:6" x14ac:dyDescent="0.3">
      <c r="A2378" t="s">
        <v>680</v>
      </c>
      <c r="B2378" t="s">
        <v>2157</v>
      </c>
      <c r="C2378">
        <v>4.5</v>
      </c>
      <c r="D2378">
        <v>80</v>
      </c>
      <c r="E2378">
        <f>IF(OR(B2378="vi",B2378="ii",B2378="pod"),(((D2378/100)*(C2378*VLOOKUP(B2378,'Poids des runes'!A:B,2,FALSE)))+1),(((D2378/100)*(C2378*VLOOKUP(B2378,'Poids des runes'!A:B,2,FALSE)))+1)/VLOOKUP(B2378,'Poids des runes'!A:B,2,FALSE))</f>
        <v>3.7666666666666671</v>
      </c>
      <c r="F2378">
        <f t="shared" si="37"/>
        <v>3.7666666666666671</v>
      </c>
    </row>
    <row r="2379" spans="1:6" x14ac:dyDescent="0.3">
      <c r="A2379" t="s">
        <v>681</v>
      </c>
      <c r="B2379" t="s">
        <v>2126</v>
      </c>
      <c r="C2379">
        <v>28</v>
      </c>
      <c r="D2379">
        <v>80</v>
      </c>
      <c r="E2379">
        <f>IF(OR(B2379="vi",B2379="ii",B2379="pod"),(((D2379/100)*(C2379*VLOOKUP(B2379,'Poids des runes'!A:B,2,FALSE)))+1),(((D2379/100)*(C2379*VLOOKUP(B2379,'Poids des runes'!A:B,2,FALSE)))+1)/VLOOKUP(B2379,'Poids des runes'!A:B,2,FALSE))</f>
        <v>23.400000000000002</v>
      </c>
      <c r="F2379">
        <f t="shared" si="37"/>
        <v>23.400000000000002</v>
      </c>
    </row>
    <row r="2380" spans="1:6" x14ac:dyDescent="0.3">
      <c r="A2380" t="s">
        <v>681</v>
      </c>
      <c r="B2380" t="s">
        <v>2155</v>
      </c>
      <c r="C2380">
        <v>1.5</v>
      </c>
      <c r="D2380">
        <v>80</v>
      </c>
      <c r="E2380">
        <f>IF(OR(B2380="vi",B2380="ii",B2380="pod"),(((D2380/100)*(C2380*VLOOKUP(B2380,'Poids des runes'!A:B,2,FALSE)))+1),(((D2380/100)*(C2380*VLOOKUP(B2380,'Poids des runes'!A:B,2,FALSE)))+1)/VLOOKUP(B2380,'Poids des runes'!A:B,2,FALSE))</f>
        <v>1.219607843137255</v>
      </c>
      <c r="F2380">
        <f t="shared" si="37"/>
        <v>1.219607843137255</v>
      </c>
    </row>
    <row r="2381" spans="1:6" x14ac:dyDescent="0.3">
      <c r="A2381" t="s">
        <v>681</v>
      </c>
      <c r="B2381" t="s">
        <v>2134</v>
      </c>
      <c r="C2381">
        <v>7</v>
      </c>
      <c r="D2381">
        <v>80</v>
      </c>
      <c r="E2381">
        <f>IF(OR(B2381="vi",B2381="ii",B2381="pod"),(((D2381/100)*(C2381*VLOOKUP(B2381,'Poids des runes'!A:B,2,FALSE)))+1),(((D2381/100)*(C2381*VLOOKUP(B2381,'Poids des runes'!A:B,2,FALSE)))+1)/VLOOKUP(B2381,'Poids des runes'!A:B,2,FALSE))</f>
        <v>5.65</v>
      </c>
      <c r="F2381">
        <f t="shared" si="37"/>
        <v>5.65</v>
      </c>
    </row>
    <row r="2382" spans="1:6" x14ac:dyDescent="0.3">
      <c r="A2382" t="s">
        <v>681</v>
      </c>
      <c r="B2382" t="s">
        <v>2147</v>
      </c>
      <c r="C2382">
        <v>2</v>
      </c>
      <c r="D2382">
        <v>80</v>
      </c>
      <c r="E2382">
        <f>IF(OR(B2382="vi",B2382="ii",B2382="pod"),(((D2382/100)*(C2382*VLOOKUP(B2382,'Poids des runes'!A:B,2,FALSE)))+1),(((D2382/100)*(C2382*VLOOKUP(B2382,'Poids des runes'!A:B,2,FALSE)))+1)/VLOOKUP(B2382,'Poids des runes'!A:B,2,FALSE))</f>
        <v>1.7666666666666668</v>
      </c>
      <c r="F2382">
        <f t="shared" si="37"/>
        <v>1.7666666666666668</v>
      </c>
    </row>
    <row r="2383" spans="1:6" x14ac:dyDescent="0.3">
      <c r="A2383" t="s">
        <v>681</v>
      </c>
      <c r="B2383" t="s">
        <v>2135</v>
      </c>
      <c r="C2383">
        <v>2</v>
      </c>
      <c r="D2383">
        <v>80</v>
      </c>
      <c r="E2383">
        <f>IF(OR(B2383="vi",B2383="ii",B2383="pod"),(((D2383/100)*(C2383*VLOOKUP(B2383,'Poids des runes'!A:B,2,FALSE)))+1),(((D2383/100)*(C2383*VLOOKUP(B2383,'Poids des runes'!A:B,2,FALSE)))+1)/VLOOKUP(B2383,'Poids des runes'!A:B,2,FALSE))</f>
        <v>1.7666666666666668</v>
      </c>
      <c r="F2383">
        <f t="shared" si="37"/>
        <v>1.7666666666666668</v>
      </c>
    </row>
    <row r="2384" spans="1:6" x14ac:dyDescent="0.3">
      <c r="A2384" t="s">
        <v>681</v>
      </c>
      <c r="B2384" t="s">
        <v>2157</v>
      </c>
      <c r="C2384">
        <v>2</v>
      </c>
      <c r="D2384">
        <v>80</v>
      </c>
      <c r="E2384">
        <f>IF(OR(B2384="vi",B2384="ii",B2384="pod"),(((D2384/100)*(C2384*VLOOKUP(B2384,'Poids des runes'!A:B,2,FALSE)))+1),(((D2384/100)*(C2384*VLOOKUP(B2384,'Poids des runes'!A:B,2,FALSE)))+1)/VLOOKUP(B2384,'Poids des runes'!A:B,2,FALSE))</f>
        <v>1.7666666666666668</v>
      </c>
      <c r="F2384">
        <f t="shared" si="37"/>
        <v>1.7666666666666668</v>
      </c>
    </row>
    <row r="2385" spans="1:6" x14ac:dyDescent="0.3">
      <c r="A2385" t="s">
        <v>682</v>
      </c>
      <c r="B2385" t="s">
        <v>2128</v>
      </c>
      <c r="C2385">
        <v>30.5</v>
      </c>
      <c r="D2385">
        <v>80</v>
      </c>
      <c r="E2385">
        <f>IF(OR(B2385="vi",B2385="ii",B2385="pod"),(((D2385/100)*(C2385*VLOOKUP(B2385,'Poids des runes'!A:B,2,FALSE)))+1),(((D2385/100)*(C2385*VLOOKUP(B2385,'Poids des runes'!A:B,2,FALSE)))+1)/VLOOKUP(B2385,'Poids des runes'!A:B,2,FALSE))</f>
        <v>5.8800000000000008</v>
      </c>
      <c r="F2385">
        <f t="shared" si="37"/>
        <v>5.8800000000000008</v>
      </c>
    </row>
    <row r="2386" spans="1:6" x14ac:dyDescent="0.3">
      <c r="A2386" t="s">
        <v>682</v>
      </c>
      <c r="B2386" t="s">
        <v>2127</v>
      </c>
      <c r="C2386">
        <v>30.5</v>
      </c>
      <c r="D2386">
        <v>80</v>
      </c>
      <c r="E2386">
        <f>IF(OR(B2386="vi",B2386="ii",B2386="pod"),(((D2386/100)*(C2386*VLOOKUP(B2386,'Poids des runes'!A:B,2,FALSE)))+1),(((D2386/100)*(C2386*VLOOKUP(B2386,'Poids des runes'!A:B,2,FALSE)))+1)/VLOOKUP(B2386,'Poids des runes'!A:B,2,FALSE))</f>
        <v>25.400000000000002</v>
      </c>
      <c r="F2386">
        <f t="shared" si="37"/>
        <v>25.400000000000002</v>
      </c>
    </row>
    <row r="2387" spans="1:6" x14ac:dyDescent="0.3">
      <c r="A2387" t="s">
        <v>682</v>
      </c>
      <c r="B2387" t="s">
        <v>2129</v>
      </c>
      <c r="C2387">
        <v>18</v>
      </c>
      <c r="D2387">
        <v>80</v>
      </c>
      <c r="E2387">
        <f>IF(OR(B2387="vi",B2387="ii",B2387="pod"),(((D2387/100)*(C2387*VLOOKUP(B2387,'Poids des runes'!A:B,2,FALSE)))+1),(((D2387/100)*(C2387*VLOOKUP(B2387,'Poids des runes'!A:B,2,FALSE)))+1)/VLOOKUP(B2387,'Poids des runes'!A:B,2,FALSE))</f>
        <v>15.4</v>
      </c>
      <c r="F2387">
        <f t="shared" si="37"/>
        <v>15.4</v>
      </c>
    </row>
    <row r="2388" spans="1:6" x14ac:dyDescent="0.3">
      <c r="A2388" t="s">
        <v>682</v>
      </c>
      <c r="B2388" t="s">
        <v>2150</v>
      </c>
      <c r="C2388">
        <v>1</v>
      </c>
      <c r="D2388">
        <v>80</v>
      </c>
      <c r="E2388">
        <f>IF(OR(B2388="vi",B2388="ii",B2388="pod"),(((D2388/100)*(C2388*VLOOKUP(B2388,'Poids des runes'!A:B,2,FALSE)))+1),(((D2388/100)*(C2388*VLOOKUP(B2388,'Poids des runes'!A:B,2,FALSE)))+1)/VLOOKUP(B2388,'Poids des runes'!A:B,2,FALSE))</f>
        <v>0.83333333333333337</v>
      </c>
      <c r="F2388">
        <f t="shared" si="37"/>
        <v>0.83333333333333337</v>
      </c>
    </row>
    <row r="2389" spans="1:6" x14ac:dyDescent="0.3">
      <c r="A2389" t="s">
        <v>682</v>
      </c>
      <c r="B2389" t="s">
        <v>2135</v>
      </c>
      <c r="C2389">
        <v>4.5</v>
      </c>
      <c r="D2389">
        <v>80</v>
      </c>
      <c r="E2389">
        <f>IF(OR(B2389="vi",B2389="ii",B2389="pod"),(((D2389/100)*(C2389*VLOOKUP(B2389,'Poids des runes'!A:B,2,FALSE)))+1),(((D2389/100)*(C2389*VLOOKUP(B2389,'Poids des runes'!A:B,2,FALSE)))+1)/VLOOKUP(B2389,'Poids des runes'!A:B,2,FALSE))</f>
        <v>3.7666666666666671</v>
      </c>
      <c r="F2389">
        <f t="shared" si="37"/>
        <v>3.7666666666666671</v>
      </c>
    </row>
    <row r="2390" spans="1:6" x14ac:dyDescent="0.3">
      <c r="A2390" t="s">
        <v>682</v>
      </c>
      <c r="B2390" t="s">
        <v>2157</v>
      </c>
      <c r="C2390">
        <v>4.5</v>
      </c>
      <c r="D2390">
        <v>80</v>
      </c>
      <c r="E2390">
        <f>IF(OR(B2390="vi",B2390="ii",B2390="pod"),(((D2390/100)*(C2390*VLOOKUP(B2390,'Poids des runes'!A:B,2,FALSE)))+1),(((D2390/100)*(C2390*VLOOKUP(B2390,'Poids des runes'!A:B,2,FALSE)))+1)/VLOOKUP(B2390,'Poids des runes'!A:B,2,FALSE))</f>
        <v>3.7666666666666671</v>
      </c>
      <c r="F2390">
        <f t="shared" si="37"/>
        <v>3.7666666666666671</v>
      </c>
    </row>
    <row r="2391" spans="1:6" x14ac:dyDescent="0.3">
      <c r="A2391" t="s">
        <v>682</v>
      </c>
      <c r="B2391" t="s">
        <v>2136</v>
      </c>
      <c r="C2391">
        <v>2.5</v>
      </c>
      <c r="D2391">
        <v>80</v>
      </c>
      <c r="E2391">
        <f>IF(OR(B2391="vi",B2391="ii",B2391="pod"),(((D2391/100)*(C2391*VLOOKUP(B2391,'Poids des runes'!A:B,2,FALSE)))+1),(((D2391/100)*(C2391*VLOOKUP(B2391,'Poids des runes'!A:B,2,FALSE)))+1)/VLOOKUP(B2391,'Poids des runes'!A:B,2,FALSE))</f>
        <v>2.5</v>
      </c>
      <c r="F2391">
        <f t="shared" si="37"/>
        <v>2.5</v>
      </c>
    </row>
    <row r="2392" spans="1:6" x14ac:dyDescent="0.3">
      <c r="A2392" t="s">
        <v>682</v>
      </c>
      <c r="B2392" t="s">
        <v>2137</v>
      </c>
      <c r="C2392">
        <v>2.5</v>
      </c>
      <c r="D2392">
        <v>80</v>
      </c>
      <c r="E2392">
        <f>IF(OR(B2392="vi",B2392="ii",B2392="pod"),(((D2392/100)*(C2392*VLOOKUP(B2392,'Poids des runes'!A:B,2,FALSE)))+1),(((D2392/100)*(C2392*VLOOKUP(B2392,'Poids des runes'!A:B,2,FALSE)))+1)/VLOOKUP(B2392,'Poids des runes'!A:B,2,FALSE))</f>
        <v>2.5</v>
      </c>
      <c r="F2392">
        <f t="shared" si="37"/>
        <v>2.5</v>
      </c>
    </row>
    <row r="2393" spans="1:6" x14ac:dyDescent="0.3">
      <c r="A2393" t="s">
        <v>682</v>
      </c>
      <c r="B2393" t="s">
        <v>2144</v>
      </c>
      <c r="C2393">
        <v>2.5</v>
      </c>
      <c r="D2393">
        <v>80</v>
      </c>
      <c r="E2393">
        <f>IF(OR(B2393="vi",B2393="ii",B2393="pod"),(((D2393/100)*(C2393*VLOOKUP(B2393,'Poids des runes'!A:B,2,FALSE)))+1),(((D2393/100)*(C2393*VLOOKUP(B2393,'Poids des runes'!A:B,2,FALSE)))+1)/VLOOKUP(B2393,'Poids des runes'!A:B,2,FALSE))</f>
        <v>2.5</v>
      </c>
      <c r="F2393">
        <f t="shared" si="37"/>
        <v>2.5</v>
      </c>
    </row>
    <row r="2394" spans="1:6" x14ac:dyDescent="0.3">
      <c r="A2394" t="s">
        <v>682</v>
      </c>
      <c r="B2394" t="s">
        <v>2145</v>
      </c>
      <c r="C2394">
        <v>2.5</v>
      </c>
      <c r="D2394">
        <v>80</v>
      </c>
      <c r="E2394">
        <f>IF(OR(B2394="vi",B2394="ii",B2394="pod"),(((D2394/100)*(C2394*VLOOKUP(B2394,'Poids des runes'!A:B,2,FALSE)))+1),(((D2394/100)*(C2394*VLOOKUP(B2394,'Poids des runes'!A:B,2,FALSE)))+1)/VLOOKUP(B2394,'Poids des runes'!A:B,2,FALSE))</f>
        <v>2.5</v>
      </c>
      <c r="F2394">
        <f t="shared" si="37"/>
        <v>2.5</v>
      </c>
    </row>
    <row r="2395" spans="1:6" x14ac:dyDescent="0.3">
      <c r="A2395" t="s">
        <v>682</v>
      </c>
      <c r="B2395" t="s">
        <v>2146</v>
      </c>
      <c r="C2395">
        <v>2.5</v>
      </c>
      <c r="D2395">
        <v>80</v>
      </c>
      <c r="E2395">
        <f>IF(OR(B2395="vi",B2395="ii",B2395="pod"),(((D2395/100)*(C2395*VLOOKUP(B2395,'Poids des runes'!A:B,2,FALSE)))+1),(((D2395/100)*(C2395*VLOOKUP(B2395,'Poids des runes'!A:B,2,FALSE)))+1)/VLOOKUP(B2395,'Poids des runes'!A:B,2,FALSE))</f>
        <v>2.5</v>
      </c>
      <c r="F2395">
        <f t="shared" si="37"/>
        <v>2.5</v>
      </c>
    </row>
    <row r="2396" spans="1:6" x14ac:dyDescent="0.3">
      <c r="A2396" t="s">
        <v>683</v>
      </c>
      <c r="B2396" t="s">
        <v>2128</v>
      </c>
      <c r="C2396">
        <v>30.5</v>
      </c>
      <c r="D2396">
        <v>80</v>
      </c>
      <c r="E2396">
        <f>IF(OR(B2396="vi",B2396="ii",B2396="pod"),(((D2396/100)*(C2396*VLOOKUP(B2396,'Poids des runes'!A:B,2,FALSE)))+1),(((D2396/100)*(C2396*VLOOKUP(B2396,'Poids des runes'!A:B,2,FALSE)))+1)/VLOOKUP(B2396,'Poids des runes'!A:B,2,FALSE))</f>
        <v>5.8800000000000008</v>
      </c>
      <c r="F2396">
        <f t="shared" si="37"/>
        <v>5.8800000000000008</v>
      </c>
    </row>
    <row r="2397" spans="1:6" x14ac:dyDescent="0.3">
      <c r="A2397" t="s">
        <v>683</v>
      </c>
      <c r="B2397" t="s">
        <v>2131</v>
      </c>
      <c r="C2397">
        <v>30.5</v>
      </c>
      <c r="D2397">
        <v>80</v>
      </c>
      <c r="E2397">
        <f>IF(OR(B2397="vi",B2397="ii",B2397="pod"),(((D2397/100)*(C2397*VLOOKUP(B2397,'Poids des runes'!A:B,2,FALSE)))+1),(((D2397/100)*(C2397*VLOOKUP(B2397,'Poids des runes'!A:B,2,FALSE)))+1)/VLOOKUP(B2397,'Poids des runes'!A:B,2,FALSE))</f>
        <v>25.400000000000002</v>
      </c>
      <c r="F2397">
        <f t="shared" si="37"/>
        <v>25.400000000000002</v>
      </c>
    </row>
    <row r="2398" spans="1:6" x14ac:dyDescent="0.3">
      <c r="A2398" t="s">
        <v>683</v>
      </c>
      <c r="B2398" t="s">
        <v>2129</v>
      </c>
      <c r="C2398">
        <v>18</v>
      </c>
      <c r="D2398">
        <v>80</v>
      </c>
      <c r="E2398">
        <f>IF(OR(B2398="vi",B2398="ii",B2398="pod"),(((D2398/100)*(C2398*VLOOKUP(B2398,'Poids des runes'!A:B,2,FALSE)))+1),(((D2398/100)*(C2398*VLOOKUP(B2398,'Poids des runes'!A:B,2,FALSE)))+1)/VLOOKUP(B2398,'Poids des runes'!A:B,2,FALSE))</f>
        <v>15.4</v>
      </c>
      <c r="F2398">
        <f t="shared" si="37"/>
        <v>15.4</v>
      </c>
    </row>
    <row r="2399" spans="1:6" x14ac:dyDescent="0.3">
      <c r="A2399" t="s">
        <v>683</v>
      </c>
      <c r="B2399" t="s">
        <v>2150</v>
      </c>
      <c r="C2399">
        <v>1</v>
      </c>
      <c r="D2399">
        <v>80</v>
      </c>
      <c r="E2399">
        <f>IF(OR(B2399="vi",B2399="ii",B2399="pod"),(((D2399/100)*(C2399*VLOOKUP(B2399,'Poids des runes'!A:B,2,FALSE)))+1),(((D2399/100)*(C2399*VLOOKUP(B2399,'Poids des runes'!A:B,2,FALSE)))+1)/VLOOKUP(B2399,'Poids des runes'!A:B,2,FALSE))</f>
        <v>0.83333333333333337</v>
      </c>
      <c r="F2399">
        <f t="shared" si="37"/>
        <v>0.83333333333333337</v>
      </c>
    </row>
    <row r="2400" spans="1:6" x14ac:dyDescent="0.3">
      <c r="A2400" t="s">
        <v>683</v>
      </c>
      <c r="B2400" t="s">
        <v>2148</v>
      </c>
      <c r="C2400">
        <v>4.5</v>
      </c>
      <c r="D2400">
        <v>80</v>
      </c>
      <c r="E2400">
        <f>IF(OR(B2400="vi",B2400="ii",B2400="pod"),(((D2400/100)*(C2400*VLOOKUP(B2400,'Poids des runes'!A:B,2,FALSE)))+1),(((D2400/100)*(C2400*VLOOKUP(B2400,'Poids des runes'!A:B,2,FALSE)))+1)/VLOOKUP(B2400,'Poids des runes'!A:B,2,FALSE))</f>
        <v>3.7666666666666671</v>
      </c>
      <c r="F2400">
        <f t="shared" si="37"/>
        <v>3.7666666666666671</v>
      </c>
    </row>
    <row r="2401" spans="1:6" x14ac:dyDescent="0.3">
      <c r="A2401" t="s">
        <v>683</v>
      </c>
      <c r="B2401" t="s">
        <v>2147</v>
      </c>
      <c r="C2401">
        <v>4.5</v>
      </c>
      <c r="D2401">
        <v>80</v>
      </c>
      <c r="E2401">
        <f>IF(OR(B2401="vi",B2401="ii",B2401="pod"),(((D2401/100)*(C2401*VLOOKUP(B2401,'Poids des runes'!A:B,2,FALSE)))+1),(((D2401/100)*(C2401*VLOOKUP(B2401,'Poids des runes'!A:B,2,FALSE)))+1)/VLOOKUP(B2401,'Poids des runes'!A:B,2,FALSE))</f>
        <v>3.7666666666666671</v>
      </c>
      <c r="F2401">
        <f t="shared" si="37"/>
        <v>3.7666666666666671</v>
      </c>
    </row>
    <row r="2402" spans="1:6" x14ac:dyDescent="0.3">
      <c r="A2402" t="s">
        <v>683</v>
      </c>
      <c r="B2402" t="s">
        <v>2136</v>
      </c>
      <c r="C2402">
        <v>2.5</v>
      </c>
      <c r="D2402">
        <v>80</v>
      </c>
      <c r="E2402">
        <f>IF(OR(B2402="vi",B2402="ii",B2402="pod"),(((D2402/100)*(C2402*VLOOKUP(B2402,'Poids des runes'!A:B,2,FALSE)))+1),(((D2402/100)*(C2402*VLOOKUP(B2402,'Poids des runes'!A:B,2,FALSE)))+1)/VLOOKUP(B2402,'Poids des runes'!A:B,2,FALSE))</f>
        <v>2.5</v>
      </c>
      <c r="F2402">
        <f t="shared" si="37"/>
        <v>2.5</v>
      </c>
    </row>
    <row r="2403" spans="1:6" x14ac:dyDescent="0.3">
      <c r="A2403" t="s">
        <v>683</v>
      </c>
      <c r="B2403" t="s">
        <v>2137</v>
      </c>
      <c r="C2403">
        <v>2.5</v>
      </c>
      <c r="D2403">
        <v>80</v>
      </c>
      <c r="E2403">
        <f>IF(OR(B2403="vi",B2403="ii",B2403="pod"),(((D2403/100)*(C2403*VLOOKUP(B2403,'Poids des runes'!A:B,2,FALSE)))+1),(((D2403/100)*(C2403*VLOOKUP(B2403,'Poids des runes'!A:B,2,FALSE)))+1)/VLOOKUP(B2403,'Poids des runes'!A:B,2,FALSE))</f>
        <v>2.5</v>
      </c>
      <c r="F2403">
        <f t="shared" si="37"/>
        <v>2.5</v>
      </c>
    </row>
    <row r="2404" spans="1:6" x14ac:dyDescent="0.3">
      <c r="A2404" t="s">
        <v>683</v>
      </c>
      <c r="B2404" t="s">
        <v>2144</v>
      </c>
      <c r="C2404">
        <v>2.5</v>
      </c>
      <c r="D2404">
        <v>80</v>
      </c>
      <c r="E2404">
        <f>IF(OR(B2404="vi",B2404="ii",B2404="pod"),(((D2404/100)*(C2404*VLOOKUP(B2404,'Poids des runes'!A:B,2,FALSE)))+1),(((D2404/100)*(C2404*VLOOKUP(B2404,'Poids des runes'!A:B,2,FALSE)))+1)/VLOOKUP(B2404,'Poids des runes'!A:B,2,FALSE))</f>
        <v>2.5</v>
      </c>
      <c r="F2404">
        <f t="shared" si="37"/>
        <v>2.5</v>
      </c>
    </row>
    <row r="2405" spans="1:6" x14ac:dyDescent="0.3">
      <c r="A2405" t="s">
        <v>683</v>
      </c>
      <c r="B2405" t="s">
        <v>2145</v>
      </c>
      <c r="C2405">
        <v>2.5</v>
      </c>
      <c r="D2405">
        <v>80</v>
      </c>
      <c r="E2405">
        <f>IF(OR(B2405="vi",B2405="ii",B2405="pod"),(((D2405/100)*(C2405*VLOOKUP(B2405,'Poids des runes'!A:B,2,FALSE)))+1),(((D2405/100)*(C2405*VLOOKUP(B2405,'Poids des runes'!A:B,2,FALSE)))+1)/VLOOKUP(B2405,'Poids des runes'!A:B,2,FALSE))</f>
        <v>2.5</v>
      </c>
      <c r="F2405">
        <f t="shared" si="37"/>
        <v>2.5</v>
      </c>
    </row>
    <row r="2406" spans="1:6" x14ac:dyDescent="0.3">
      <c r="A2406" t="s">
        <v>683</v>
      </c>
      <c r="B2406" t="s">
        <v>2146</v>
      </c>
      <c r="C2406">
        <v>2.5</v>
      </c>
      <c r="D2406">
        <v>80</v>
      </c>
      <c r="E2406">
        <f>IF(OR(B2406="vi",B2406="ii",B2406="pod"),(((D2406/100)*(C2406*VLOOKUP(B2406,'Poids des runes'!A:B,2,FALSE)))+1),(((D2406/100)*(C2406*VLOOKUP(B2406,'Poids des runes'!A:B,2,FALSE)))+1)/VLOOKUP(B2406,'Poids des runes'!A:B,2,FALSE))</f>
        <v>2.5</v>
      </c>
      <c r="F2406">
        <f t="shared" si="37"/>
        <v>2.5</v>
      </c>
    </row>
    <row r="2407" spans="1:6" x14ac:dyDescent="0.3">
      <c r="A2407" t="s">
        <v>684</v>
      </c>
      <c r="B2407" t="s">
        <v>2128</v>
      </c>
      <c r="C2407">
        <v>33</v>
      </c>
      <c r="D2407">
        <v>80</v>
      </c>
      <c r="E2407">
        <f>IF(OR(B2407="vi",B2407="ii",B2407="pod"),(((D2407/100)*(C2407*VLOOKUP(B2407,'Poids des runes'!A:B,2,FALSE)))+1),(((D2407/100)*(C2407*VLOOKUP(B2407,'Poids des runes'!A:B,2,FALSE)))+1)/VLOOKUP(B2407,'Poids des runes'!A:B,2,FALSE))</f>
        <v>6.2800000000000011</v>
      </c>
      <c r="F2407">
        <f t="shared" si="37"/>
        <v>6.2800000000000011</v>
      </c>
    </row>
    <row r="2408" spans="1:6" x14ac:dyDescent="0.3">
      <c r="A2408" t="s">
        <v>684</v>
      </c>
      <c r="B2408" t="s">
        <v>2130</v>
      </c>
      <c r="C2408">
        <v>25.5</v>
      </c>
      <c r="D2408">
        <v>80</v>
      </c>
      <c r="E2408">
        <f>IF(OR(B2408="vi",B2408="ii",B2408="pod"),(((D2408/100)*(C2408*VLOOKUP(B2408,'Poids des runes'!A:B,2,FALSE)))+1),(((D2408/100)*(C2408*VLOOKUP(B2408,'Poids des runes'!A:B,2,FALSE)))+1)/VLOOKUP(B2408,'Poids des runes'!A:B,2,FALSE))</f>
        <v>21.400000000000002</v>
      </c>
      <c r="F2408">
        <f t="shared" si="37"/>
        <v>21.400000000000002</v>
      </c>
    </row>
    <row r="2409" spans="1:6" x14ac:dyDescent="0.3">
      <c r="A2409" t="s">
        <v>684</v>
      </c>
      <c r="B2409" t="s">
        <v>2129</v>
      </c>
      <c r="C2409">
        <v>13</v>
      </c>
      <c r="D2409">
        <v>80</v>
      </c>
      <c r="E2409">
        <f>IF(OR(B2409="vi",B2409="ii",B2409="pod"),(((D2409/100)*(C2409*VLOOKUP(B2409,'Poids des runes'!A:B,2,FALSE)))+1),(((D2409/100)*(C2409*VLOOKUP(B2409,'Poids des runes'!A:B,2,FALSE)))+1)/VLOOKUP(B2409,'Poids des runes'!A:B,2,FALSE))</f>
        <v>11.4</v>
      </c>
      <c r="F2409">
        <f t="shared" si="37"/>
        <v>11.4</v>
      </c>
    </row>
    <row r="2410" spans="1:6" x14ac:dyDescent="0.3">
      <c r="A2410" t="s">
        <v>684</v>
      </c>
      <c r="B2410" t="s">
        <v>2151</v>
      </c>
      <c r="C2410">
        <v>1.5</v>
      </c>
      <c r="D2410">
        <v>80</v>
      </c>
      <c r="E2410">
        <f>IF(OR(B2410="vi",B2410="ii",B2410="pod"),(((D2410/100)*(C2410*VLOOKUP(B2410,'Poids des runes'!A:B,2,FALSE)))+1),(((D2410/100)*(C2410*VLOOKUP(B2410,'Poids des runes'!A:B,2,FALSE)))+1)/VLOOKUP(B2410,'Poids des runes'!A:B,2,FALSE))</f>
        <v>1.3</v>
      </c>
      <c r="F2410">
        <f t="shared" si="37"/>
        <v>1.3</v>
      </c>
    </row>
    <row r="2411" spans="1:6" x14ac:dyDescent="0.3">
      <c r="A2411" t="s">
        <v>684</v>
      </c>
      <c r="B2411" t="s">
        <v>2152</v>
      </c>
      <c r="C2411">
        <v>1</v>
      </c>
      <c r="D2411">
        <v>80</v>
      </c>
      <c r="E2411">
        <f>IF(OR(B2411="vi",B2411="ii",B2411="pod"),(((D2411/100)*(C2411*VLOOKUP(B2411,'Poids des runes'!A:B,2,FALSE)))+1),(((D2411/100)*(C2411*VLOOKUP(B2411,'Poids des runes'!A:B,2,FALSE)))+1)/VLOOKUP(B2411,'Poids des runes'!A:B,2,FALSE))</f>
        <v>0.81</v>
      </c>
      <c r="F2411">
        <f t="shared" si="37"/>
        <v>0.81</v>
      </c>
    </row>
    <row r="2412" spans="1:6" x14ac:dyDescent="0.3">
      <c r="A2412" t="s">
        <v>684</v>
      </c>
      <c r="B2412" t="s">
        <v>2150</v>
      </c>
      <c r="C2412">
        <v>1</v>
      </c>
      <c r="D2412">
        <v>80</v>
      </c>
      <c r="E2412">
        <f>IF(OR(B2412="vi",B2412="ii",B2412="pod"),(((D2412/100)*(C2412*VLOOKUP(B2412,'Poids des runes'!A:B,2,FALSE)))+1),(((D2412/100)*(C2412*VLOOKUP(B2412,'Poids des runes'!A:B,2,FALSE)))+1)/VLOOKUP(B2412,'Poids des runes'!A:B,2,FALSE))</f>
        <v>0.83333333333333337</v>
      </c>
      <c r="F2412">
        <f t="shared" si="37"/>
        <v>0.83333333333333337</v>
      </c>
    </row>
    <row r="2413" spans="1:6" x14ac:dyDescent="0.3">
      <c r="A2413" t="s">
        <v>684</v>
      </c>
      <c r="B2413" t="s">
        <v>2134</v>
      </c>
      <c r="C2413">
        <v>2.5</v>
      </c>
      <c r="D2413">
        <v>80</v>
      </c>
      <c r="E2413">
        <f>IF(OR(B2413="vi",B2413="ii",B2413="pod"),(((D2413/100)*(C2413*VLOOKUP(B2413,'Poids des runes'!A:B,2,FALSE)))+1),(((D2413/100)*(C2413*VLOOKUP(B2413,'Poids des runes'!A:B,2,FALSE)))+1)/VLOOKUP(B2413,'Poids des runes'!A:B,2,FALSE))</f>
        <v>2.0499999999999998</v>
      </c>
      <c r="F2413">
        <f t="shared" si="37"/>
        <v>2.0499999999999998</v>
      </c>
    </row>
    <row r="2414" spans="1:6" x14ac:dyDescent="0.3">
      <c r="A2414" t="s">
        <v>684</v>
      </c>
      <c r="B2414" t="s">
        <v>2161</v>
      </c>
      <c r="C2414">
        <v>6.5</v>
      </c>
      <c r="D2414">
        <v>80</v>
      </c>
      <c r="E2414">
        <f>IF(OR(B2414="vi",B2414="ii",B2414="pod"),(((D2414/100)*(C2414*VLOOKUP(B2414,'Poids des runes'!A:B,2,FALSE)))+1),(((D2414/100)*(C2414*VLOOKUP(B2414,'Poids des runes'!A:B,2,FALSE)))+1)/VLOOKUP(B2414,'Poids des runes'!A:B,2,FALSE))</f>
        <v>5.5333333333333341</v>
      </c>
      <c r="F2414">
        <f t="shared" si="37"/>
        <v>5.5333333333333341</v>
      </c>
    </row>
    <row r="2415" spans="1:6" x14ac:dyDescent="0.3">
      <c r="A2415" t="s">
        <v>685</v>
      </c>
      <c r="B2415" t="s">
        <v>2128</v>
      </c>
      <c r="C2415">
        <v>50.5</v>
      </c>
      <c r="D2415">
        <v>80</v>
      </c>
      <c r="E2415">
        <f>IF(OR(B2415="vi",B2415="ii",B2415="pod"),(((D2415/100)*(C2415*VLOOKUP(B2415,'Poids des runes'!A:B,2,FALSE)))+1),(((D2415/100)*(C2415*VLOOKUP(B2415,'Poids des runes'!A:B,2,FALSE)))+1)/VLOOKUP(B2415,'Poids des runes'!A:B,2,FALSE))</f>
        <v>9.0800000000000018</v>
      </c>
      <c r="F2415">
        <f t="shared" si="37"/>
        <v>9.0800000000000018</v>
      </c>
    </row>
    <row r="2416" spans="1:6" x14ac:dyDescent="0.3">
      <c r="A2416" t="s">
        <v>685</v>
      </c>
      <c r="B2416" t="s">
        <v>2129</v>
      </c>
      <c r="C2416">
        <v>23</v>
      </c>
      <c r="D2416">
        <v>80</v>
      </c>
      <c r="E2416">
        <f>IF(OR(B2416="vi",B2416="ii",B2416="pod"),(((D2416/100)*(C2416*VLOOKUP(B2416,'Poids des runes'!A:B,2,FALSE)))+1),(((D2416/100)*(C2416*VLOOKUP(B2416,'Poids des runes'!A:B,2,FALSE)))+1)/VLOOKUP(B2416,'Poids des runes'!A:B,2,FALSE))</f>
        <v>19.400000000000002</v>
      </c>
      <c r="F2416">
        <f t="shared" si="37"/>
        <v>19.400000000000002</v>
      </c>
    </row>
    <row r="2417" spans="1:6" x14ac:dyDescent="0.3">
      <c r="A2417" t="s">
        <v>685</v>
      </c>
      <c r="B2417" t="s">
        <v>2152</v>
      </c>
      <c r="C2417">
        <v>1</v>
      </c>
      <c r="D2417">
        <v>80</v>
      </c>
      <c r="E2417">
        <f>IF(OR(B2417="vi",B2417="ii",B2417="pod"),(((D2417/100)*(C2417*VLOOKUP(B2417,'Poids des runes'!A:B,2,FALSE)))+1),(((D2417/100)*(C2417*VLOOKUP(B2417,'Poids des runes'!A:B,2,FALSE)))+1)/VLOOKUP(B2417,'Poids des runes'!A:B,2,FALSE))</f>
        <v>0.81</v>
      </c>
      <c r="F2417">
        <f t="shared" si="37"/>
        <v>0.81</v>
      </c>
    </row>
    <row r="2418" spans="1:6" x14ac:dyDescent="0.3">
      <c r="A2418" t="s">
        <v>685</v>
      </c>
      <c r="B2418" t="s">
        <v>2135</v>
      </c>
      <c r="C2418">
        <v>2.5</v>
      </c>
      <c r="D2418">
        <v>80</v>
      </c>
      <c r="E2418">
        <f>IF(OR(B2418="vi",B2418="ii",B2418="pod"),(((D2418/100)*(C2418*VLOOKUP(B2418,'Poids des runes'!A:B,2,FALSE)))+1),(((D2418/100)*(C2418*VLOOKUP(B2418,'Poids des runes'!A:B,2,FALSE)))+1)/VLOOKUP(B2418,'Poids des runes'!A:B,2,FALSE))</f>
        <v>2.1666666666666665</v>
      </c>
      <c r="F2418">
        <f t="shared" si="37"/>
        <v>2.1666666666666665</v>
      </c>
    </row>
    <row r="2419" spans="1:6" x14ac:dyDescent="0.3">
      <c r="A2419" t="s">
        <v>685</v>
      </c>
      <c r="B2419" t="s">
        <v>2157</v>
      </c>
      <c r="C2419">
        <v>2.5</v>
      </c>
      <c r="D2419">
        <v>80</v>
      </c>
      <c r="E2419">
        <f>IF(OR(B2419="vi",B2419="ii",B2419="pod"),(((D2419/100)*(C2419*VLOOKUP(B2419,'Poids des runes'!A:B,2,FALSE)))+1),(((D2419/100)*(C2419*VLOOKUP(B2419,'Poids des runes'!A:B,2,FALSE)))+1)/VLOOKUP(B2419,'Poids des runes'!A:B,2,FALSE))</f>
        <v>2.1666666666666665</v>
      </c>
      <c r="F2419">
        <f t="shared" si="37"/>
        <v>2.1666666666666665</v>
      </c>
    </row>
    <row r="2420" spans="1:6" x14ac:dyDescent="0.3">
      <c r="A2420" t="s">
        <v>686</v>
      </c>
      <c r="B2420" t="s">
        <v>2128</v>
      </c>
      <c r="C2420">
        <v>33</v>
      </c>
      <c r="D2420">
        <v>80</v>
      </c>
      <c r="E2420">
        <f>IF(OR(B2420="vi",B2420="ii",B2420="pod"),(((D2420/100)*(C2420*VLOOKUP(B2420,'Poids des runes'!A:B,2,FALSE)))+1),(((D2420/100)*(C2420*VLOOKUP(B2420,'Poids des runes'!A:B,2,FALSE)))+1)/VLOOKUP(B2420,'Poids des runes'!A:B,2,FALSE))</f>
        <v>6.2800000000000011</v>
      </c>
      <c r="F2420">
        <f t="shared" si="37"/>
        <v>6.2800000000000011</v>
      </c>
    </row>
    <row r="2421" spans="1:6" x14ac:dyDescent="0.3">
      <c r="A2421" t="s">
        <v>686</v>
      </c>
      <c r="B2421" t="s">
        <v>2131</v>
      </c>
      <c r="C2421">
        <v>25.5</v>
      </c>
      <c r="D2421">
        <v>80</v>
      </c>
      <c r="E2421">
        <f>IF(OR(B2421="vi",B2421="ii",B2421="pod"),(((D2421/100)*(C2421*VLOOKUP(B2421,'Poids des runes'!A:B,2,FALSE)))+1),(((D2421/100)*(C2421*VLOOKUP(B2421,'Poids des runes'!A:B,2,FALSE)))+1)/VLOOKUP(B2421,'Poids des runes'!A:B,2,FALSE))</f>
        <v>21.400000000000002</v>
      </c>
      <c r="F2421">
        <f t="shared" si="37"/>
        <v>21.400000000000002</v>
      </c>
    </row>
    <row r="2422" spans="1:6" x14ac:dyDescent="0.3">
      <c r="A2422" t="s">
        <v>686</v>
      </c>
      <c r="B2422" t="s">
        <v>2129</v>
      </c>
      <c r="C2422">
        <v>13</v>
      </c>
      <c r="D2422">
        <v>80</v>
      </c>
      <c r="E2422">
        <f>IF(OR(B2422="vi",B2422="ii",B2422="pod"),(((D2422/100)*(C2422*VLOOKUP(B2422,'Poids des runes'!A:B,2,FALSE)))+1),(((D2422/100)*(C2422*VLOOKUP(B2422,'Poids des runes'!A:B,2,FALSE)))+1)/VLOOKUP(B2422,'Poids des runes'!A:B,2,FALSE))</f>
        <v>11.4</v>
      </c>
      <c r="F2422">
        <f t="shared" si="37"/>
        <v>11.4</v>
      </c>
    </row>
    <row r="2423" spans="1:6" x14ac:dyDescent="0.3">
      <c r="A2423" t="s">
        <v>686</v>
      </c>
      <c r="B2423" t="s">
        <v>2151</v>
      </c>
      <c r="C2423">
        <v>1.5</v>
      </c>
      <c r="D2423">
        <v>80</v>
      </c>
      <c r="E2423">
        <f>IF(OR(B2423="vi",B2423="ii",B2423="pod"),(((D2423/100)*(C2423*VLOOKUP(B2423,'Poids des runes'!A:B,2,FALSE)))+1),(((D2423/100)*(C2423*VLOOKUP(B2423,'Poids des runes'!A:B,2,FALSE)))+1)/VLOOKUP(B2423,'Poids des runes'!A:B,2,FALSE))</f>
        <v>1.3</v>
      </c>
      <c r="F2423">
        <f t="shared" si="37"/>
        <v>1.3</v>
      </c>
    </row>
    <row r="2424" spans="1:6" x14ac:dyDescent="0.3">
      <c r="A2424" t="s">
        <v>686</v>
      </c>
      <c r="B2424" t="s">
        <v>2152</v>
      </c>
      <c r="C2424">
        <v>1</v>
      </c>
      <c r="D2424">
        <v>80</v>
      </c>
      <c r="E2424">
        <f>IF(OR(B2424="vi",B2424="ii",B2424="pod"),(((D2424/100)*(C2424*VLOOKUP(B2424,'Poids des runes'!A:B,2,FALSE)))+1),(((D2424/100)*(C2424*VLOOKUP(B2424,'Poids des runes'!A:B,2,FALSE)))+1)/VLOOKUP(B2424,'Poids des runes'!A:B,2,FALSE))</f>
        <v>0.81</v>
      </c>
      <c r="F2424">
        <f t="shared" si="37"/>
        <v>0.81</v>
      </c>
    </row>
    <row r="2425" spans="1:6" x14ac:dyDescent="0.3">
      <c r="A2425" t="s">
        <v>686</v>
      </c>
      <c r="B2425" t="s">
        <v>2150</v>
      </c>
      <c r="C2425">
        <v>1</v>
      </c>
      <c r="D2425">
        <v>80</v>
      </c>
      <c r="E2425">
        <f>IF(OR(B2425="vi",B2425="ii",B2425="pod"),(((D2425/100)*(C2425*VLOOKUP(B2425,'Poids des runes'!A:B,2,FALSE)))+1),(((D2425/100)*(C2425*VLOOKUP(B2425,'Poids des runes'!A:B,2,FALSE)))+1)/VLOOKUP(B2425,'Poids des runes'!A:B,2,FALSE))</f>
        <v>0.83333333333333337</v>
      </c>
      <c r="F2425">
        <f t="shared" si="37"/>
        <v>0.83333333333333337</v>
      </c>
    </row>
    <row r="2426" spans="1:6" x14ac:dyDescent="0.3">
      <c r="A2426" t="s">
        <v>686</v>
      </c>
      <c r="B2426" t="s">
        <v>2134</v>
      </c>
      <c r="C2426">
        <v>2.5</v>
      </c>
      <c r="D2426">
        <v>80</v>
      </c>
      <c r="E2426">
        <f>IF(OR(B2426="vi",B2426="ii",B2426="pod"),(((D2426/100)*(C2426*VLOOKUP(B2426,'Poids des runes'!A:B,2,FALSE)))+1),(((D2426/100)*(C2426*VLOOKUP(B2426,'Poids des runes'!A:B,2,FALSE)))+1)/VLOOKUP(B2426,'Poids des runes'!A:B,2,FALSE))</f>
        <v>2.0499999999999998</v>
      </c>
      <c r="F2426">
        <f t="shared" si="37"/>
        <v>2.0499999999999998</v>
      </c>
    </row>
    <row r="2427" spans="1:6" x14ac:dyDescent="0.3">
      <c r="A2427" t="s">
        <v>686</v>
      </c>
      <c r="B2427" t="s">
        <v>2161</v>
      </c>
      <c r="C2427">
        <v>6.5</v>
      </c>
      <c r="D2427">
        <v>80</v>
      </c>
      <c r="E2427">
        <f>IF(OR(B2427="vi",B2427="ii",B2427="pod"),(((D2427/100)*(C2427*VLOOKUP(B2427,'Poids des runes'!A:B,2,FALSE)))+1),(((D2427/100)*(C2427*VLOOKUP(B2427,'Poids des runes'!A:B,2,FALSE)))+1)/VLOOKUP(B2427,'Poids des runes'!A:B,2,FALSE))</f>
        <v>5.5333333333333341</v>
      </c>
      <c r="F2427">
        <f t="shared" si="37"/>
        <v>5.5333333333333341</v>
      </c>
    </row>
    <row r="2428" spans="1:6" x14ac:dyDescent="0.3">
      <c r="A2428" t="s">
        <v>687</v>
      </c>
      <c r="B2428" t="s">
        <v>2128</v>
      </c>
      <c r="C2428">
        <v>35.5</v>
      </c>
      <c r="D2428">
        <v>80</v>
      </c>
      <c r="E2428">
        <f>IF(OR(B2428="vi",B2428="ii",B2428="pod"),(((D2428/100)*(C2428*VLOOKUP(B2428,'Poids des runes'!A:B,2,FALSE)))+1),(((D2428/100)*(C2428*VLOOKUP(B2428,'Poids des runes'!A:B,2,FALSE)))+1)/VLOOKUP(B2428,'Poids des runes'!A:B,2,FALSE))</f>
        <v>6.6800000000000006</v>
      </c>
      <c r="F2428">
        <f t="shared" si="37"/>
        <v>6.6800000000000006</v>
      </c>
    </row>
    <row r="2429" spans="1:6" x14ac:dyDescent="0.3">
      <c r="A2429" t="s">
        <v>687</v>
      </c>
      <c r="B2429" t="s">
        <v>2126</v>
      </c>
      <c r="C2429">
        <v>25.5</v>
      </c>
      <c r="D2429">
        <v>80</v>
      </c>
      <c r="E2429">
        <f>IF(OR(B2429="vi",B2429="ii",B2429="pod"),(((D2429/100)*(C2429*VLOOKUP(B2429,'Poids des runes'!A:B,2,FALSE)))+1),(((D2429/100)*(C2429*VLOOKUP(B2429,'Poids des runes'!A:B,2,FALSE)))+1)/VLOOKUP(B2429,'Poids des runes'!A:B,2,FALSE))</f>
        <v>21.400000000000002</v>
      </c>
      <c r="F2429">
        <f t="shared" si="37"/>
        <v>21.400000000000002</v>
      </c>
    </row>
    <row r="2430" spans="1:6" x14ac:dyDescent="0.3">
      <c r="A2430" t="s">
        <v>687</v>
      </c>
      <c r="B2430" t="s">
        <v>2152</v>
      </c>
      <c r="C2430">
        <v>1</v>
      </c>
      <c r="D2430">
        <v>80</v>
      </c>
      <c r="E2430">
        <f>IF(OR(B2430="vi",B2430="ii",B2430="pod"),(((D2430/100)*(C2430*VLOOKUP(B2430,'Poids des runes'!A:B,2,FALSE)))+1),(((D2430/100)*(C2430*VLOOKUP(B2430,'Poids des runes'!A:B,2,FALSE)))+1)/VLOOKUP(B2430,'Poids des runes'!A:B,2,FALSE))</f>
        <v>0.81</v>
      </c>
      <c r="F2430">
        <f t="shared" si="37"/>
        <v>0.81</v>
      </c>
    </row>
    <row r="2431" spans="1:6" x14ac:dyDescent="0.3">
      <c r="A2431" t="s">
        <v>687</v>
      </c>
      <c r="B2431" t="s">
        <v>2150</v>
      </c>
      <c r="C2431">
        <v>1</v>
      </c>
      <c r="D2431">
        <v>80</v>
      </c>
      <c r="E2431">
        <f>IF(OR(B2431="vi",B2431="ii",B2431="pod"),(((D2431/100)*(C2431*VLOOKUP(B2431,'Poids des runes'!A:B,2,FALSE)))+1),(((D2431/100)*(C2431*VLOOKUP(B2431,'Poids des runes'!A:B,2,FALSE)))+1)/VLOOKUP(B2431,'Poids des runes'!A:B,2,FALSE))</f>
        <v>0.83333333333333337</v>
      </c>
      <c r="F2431">
        <f t="shared" si="37"/>
        <v>0.83333333333333337</v>
      </c>
    </row>
    <row r="2432" spans="1:6" x14ac:dyDescent="0.3">
      <c r="A2432" t="s">
        <v>687</v>
      </c>
      <c r="B2432" t="s">
        <v>2140</v>
      </c>
      <c r="C2432">
        <v>4.5</v>
      </c>
      <c r="D2432">
        <v>80</v>
      </c>
      <c r="E2432">
        <f>IF(OR(B2432="vi",B2432="ii",B2432="pod"),(((D2432/100)*(C2432*VLOOKUP(B2432,'Poids des runes'!A:B,2,FALSE)))+1),(((D2432/100)*(C2432*VLOOKUP(B2432,'Poids des runes'!A:B,2,FALSE)))+1)/VLOOKUP(B2432,'Poids des runes'!A:B,2,FALSE))</f>
        <v>3.8</v>
      </c>
      <c r="F2432">
        <f t="shared" si="37"/>
        <v>3.8</v>
      </c>
    </row>
    <row r="2433" spans="1:6" x14ac:dyDescent="0.3">
      <c r="A2433" t="s">
        <v>687</v>
      </c>
      <c r="B2433" t="s">
        <v>2149</v>
      </c>
      <c r="C2433">
        <v>4.5</v>
      </c>
      <c r="D2433">
        <v>80</v>
      </c>
      <c r="E2433">
        <f>IF(OR(B2433="vi",B2433="ii",B2433="pod"),(((D2433/100)*(C2433*VLOOKUP(B2433,'Poids des runes'!A:B,2,FALSE)))+1),(((D2433/100)*(C2433*VLOOKUP(B2433,'Poids des runes'!A:B,2,FALSE)))+1)/VLOOKUP(B2433,'Poids des runes'!A:B,2,FALSE))</f>
        <v>3.7</v>
      </c>
      <c r="F2433">
        <f t="shared" si="37"/>
        <v>3.7</v>
      </c>
    </row>
    <row r="2434" spans="1:6" x14ac:dyDescent="0.3">
      <c r="A2434" t="s">
        <v>688</v>
      </c>
      <c r="B2434" t="s">
        <v>2128</v>
      </c>
      <c r="C2434">
        <v>35.5</v>
      </c>
      <c r="D2434">
        <v>80</v>
      </c>
      <c r="E2434">
        <f>IF(OR(B2434="vi",B2434="ii",B2434="pod"),(((D2434/100)*(C2434*VLOOKUP(B2434,'Poids des runes'!A:B,2,FALSE)))+1),(((D2434/100)*(C2434*VLOOKUP(B2434,'Poids des runes'!A:B,2,FALSE)))+1)/VLOOKUP(B2434,'Poids des runes'!A:B,2,FALSE))</f>
        <v>6.6800000000000006</v>
      </c>
      <c r="F2434">
        <f t="shared" si="37"/>
        <v>6.6800000000000006</v>
      </c>
    </row>
    <row r="2435" spans="1:6" x14ac:dyDescent="0.3">
      <c r="A2435" t="s">
        <v>688</v>
      </c>
      <c r="B2435" t="s">
        <v>2130</v>
      </c>
      <c r="C2435">
        <v>25.5</v>
      </c>
      <c r="D2435">
        <v>80</v>
      </c>
      <c r="E2435">
        <f>IF(OR(B2435="vi",B2435="ii",B2435="pod"),(((D2435/100)*(C2435*VLOOKUP(B2435,'Poids des runes'!A:B,2,FALSE)))+1),(((D2435/100)*(C2435*VLOOKUP(B2435,'Poids des runes'!A:B,2,FALSE)))+1)/VLOOKUP(B2435,'Poids des runes'!A:B,2,FALSE))</f>
        <v>21.400000000000002</v>
      </c>
      <c r="F2435">
        <f t="shared" ref="F2435:F2498" si="38">E2435</f>
        <v>21.400000000000002</v>
      </c>
    </row>
    <row r="2436" spans="1:6" x14ac:dyDescent="0.3">
      <c r="A2436" t="s">
        <v>688</v>
      </c>
      <c r="B2436" t="s">
        <v>2152</v>
      </c>
      <c r="C2436">
        <v>1</v>
      </c>
      <c r="D2436">
        <v>80</v>
      </c>
      <c r="E2436">
        <f>IF(OR(B2436="vi",B2436="ii",B2436="pod"),(((D2436/100)*(C2436*VLOOKUP(B2436,'Poids des runes'!A:B,2,FALSE)))+1),(((D2436/100)*(C2436*VLOOKUP(B2436,'Poids des runes'!A:B,2,FALSE)))+1)/VLOOKUP(B2436,'Poids des runes'!A:B,2,FALSE))</f>
        <v>0.81</v>
      </c>
      <c r="F2436">
        <f t="shared" si="38"/>
        <v>0.81</v>
      </c>
    </row>
    <row r="2437" spans="1:6" x14ac:dyDescent="0.3">
      <c r="A2437" t="s">
        <v>688</v>
      </c>
      <c r="B2437" t="s">
        <v>2150</v>
      </c>
      <c r="C2437">
        <v>1</v>
      </c>
      <c r="D2437">
        <v>80</v>
      </c>
      <c r="E2437">
        <f>IF(OR(B2437="vi",B2437="ii",B2437="pod"),(((D2437/100)*(C2437*VLOOKUP(B2437,'Poids des runes'!A:B,2,FALSE)))+1),(((D2437/100)*(C2437*VLOOKUP(B2437,'Poids des runes'!A:B,2,FALSE)))+1)/VLOOKUP(B2437,'Poids des runes'!A:B,2,FALSE))</f>
        <v>0.83333333333333337</v>
      </c>
      <c r="F2437">
        <f t="shared" si="38"/>
        <v>0.83333333333333337</v>
      </c>
    </row>
    <row r="2438" spans="1:6" x14ac:dyDescent="0.3">
      <c r="A2438" t="s">
        <v>688</v>
      </c>
      <c r="B2438" t="s">
        <v>2143</v>
      </c>
      <c r="C2438">
        <v>4.5</v>
      </c>
      <c r="D2438">
        <v>80</v>
      </c>
      <c r="E2438">
        <f>IF(OR(B2438="vi",B2438="ii",B2438="pod"),(((D2438/100)*(C2438*VLOOKUP(B2438,'Poids des runes'!A:B,2,FALSE)))+1),(((D2438/100)*(C2438*VLOOKUP(B2438,'Poids des runes'!A:B,2,FALSE)))+1)/VLOOKUP(B2438,'Poids des runes'!A:B,2,FALSE))</f>
        <v>3.8</v>
      </c>
      <c r="F2438">
        <f t="shared" si="38"/>
        <v>3.8</v>
      </c>
    </row>
    <row r="2439" spans="1:6" x14ac:dyDescent="0.3">
      <c r="A2439" t="s">
        <v>688</v>
      </c>
      <c r="B2439" t="s">
        <v>2149</v>
      </c>
      <c r="C2439">
        <v>4.5</v>
      </c>
      <c r="D2439">
        <v>80</v>
      </c>
      <c r="E2439">
        <f>IF(OR(B2439="vi",B2439="ii",B2439="pod"),(((D2439/100)*(C2439*VLOOKUP(B2439,'Poids des runes'!A:B,2,FALSE)))+1),(((D2439/100)*(C2439*VLOOKUP(B2439,'Poids des runes'!A:B,2,FALSE)))+1)/VLOOKUP(B2439,'Poids des runes'!A:B,2,FALSE))</f>
        <v>3.7</v>
      </c>
      <c r="F2439">
        <f t="shared" si="38"/>
        <v>3.7</v>
      </c>
    </row>
    <row r="2440" spans="1:6" x14ac:dyDescent="0.3">
      <c r="A2440" t="s">
        <v>689</v>
      </c>
      <c r="B2440" t="s">
        <v>2128</v>
      </c>
      <c r="C2440">
        <v>35.5</v>
      </c>
      <c r="D2440">
        <v>80</v>
      </c>
      <c r="E2440">
        <f>IF(OR(B2440="vi",B2440="ii",B2440="pod"),(((D2440/100)*(C2440*VLOOKUP(B2440,'Poids des runes'!A:B,2,FALSE)))+1),(((D2440/100)*(C2440*VLOOKUP(B2440,'Poids des runes'!A:B,2,FALSE)))+1)/VLOOKUP(B2440,'Poids des runes'!A:B,2,FALSE))</f>
        <v>6.6800000000000006</v>
      </c>
      <c r="F2440">
        <f t="shared" si="38"/>
        <v>6.6800000000000006</v>
      </c>
    </row>
    <row r="2441" spans="1:6" x14ac:dyDescent="0.3">
      <c r="A2441" t="s">
        <v>689</v>
      </c>
      <c r="B2441" t="s">
        <v>2127</v>
      </c>
      <c r="C2441">
        <v>25.5</v>
      </c>
      <c r="D2441">
        <v>80</v>
      </c>
      <c r="E2441">
        <f>IF(OR(B2441="vi",B2441="ii",B2441="pod"),(((D2441/100)*(C2441*VLOOKUP(B2441,'Poids des runes'!A:B,2,FALSE)))+1),(((D2441/100)*(C2441*VLOOKUP(B2441,'Poids des runes'!A:B,2,FALSE)))+1)/VLOOKUP(B2441,'Poids des runes'!A:B,2,FALSE))</f>
        <v>21.400000000000002</v>
      </c>
      <c r="F2441">
        <f t="shared" si="38"/>
        <v>21.400000000000002</v>
      </c>
    </row>
    <row r="2442" spans="1:6" x14ac:dyDescent="0.3">
      <c r="A2442" t="s">
        <v>689</v>
      </c>
      <c r="B2442" t="s">
        <v>2152</v>
      </c>
      <c r="C2442">
        <v>1</v>
      </c>
      <c r="D2442">
        <v>80</v>
      </c>
      <c r="E2442">
        <f>IF(OR(B2442="vi",B2442="ii",B2442="pod"),(((D2442/100)*(C2442*VLOOKUP(B2442,'Poids des runes'!A:B,2,FALSE)))+1),(((D2442/100)*(C2442*VLOOKUP(B2442,'Poids des runes'!A:B,2,FALSE)))+1)/VLOOKUP(B2442,'Poids des runes'!A:B,2,FALSE))</f>
        <v>0.81</v>
      </c>
      <c r="F2442">
        <f t="shared" si="38"/>
        <v>0.81</v>
      </c>
    </row>
    <row r="2443" spans="1:6" x14ac:dyDescent="0.3">
      <c r="A2443" t="s">
        <v>689</v>
      </c>
      <c r="B2443" t="s">
        <v>2150</v>
      </c>
      <c r="C2443">
        <v>1</v>
      </c>
      <c r="D2443">
        <v>80</v>
      </c>
      <c r="E2443">
        <f>IF(OR(B2443="vi",B2443="ii",B2443="pod"),(((D2443/100)*(C2443*VLOOKUP(B2443,'Poids des runes'!A:B,2,FALSE)))+1),(((D2443/100)*(C2443*VLOOKUP(B2443,'Poids des runes'!A:B,2,FALSE)))+1)/VLOOKUP(B2443,'Poids des runes'!A:B,2,FALSE))</f>
        <v>0.83333333333333337</v>
      </c>
      <c r="F2443">
        <f t="shared" si="38"/>
        <v>0.83333333333333337</v>
      </c>
    </row>
    <row r="2444" spans="1:6" x14ac:dyDescent="0.3">
      <c r="A2444" t="s">
        <v>689</v>
      </c>
      <c r="B2444" t="s">
        <v>2153</v>
      </c>
      <c r="C2444">
        <v>4.5</v>
      </c>
      <c r="D2444">
        <v>80</v>
      </c>
      <c r="E2444">
        <f>IF(OR(B2444="vi",B2444="ii",B2444="pod"),(((D2444/100)*(C2444*VLOOKUP(B2444,'Poids des runes'!A:B,2,FALSE)))+1),(((D2444/100)*(C2444*VLOOKUP(B2444,'Poids des runes'!A:B,2,FALSE)))+1)/VLOOKUP(B2444,'Poids des runes'!A:B,2,FALSE))</f>
        <v>3.8</v>
      </c>
      <c r="F2444">
        <f t="shared" si="38"/>
        <v>3.8</v>
      </c>
    </row>
    <row r="2445" spans="1:6" x14ac:dyDescent="0.3">
      <c r="A2445" t="s">
        <v>689</v>
      </c>
      <c r="B2445" t="s">
        <v>2149</v>
      </c>
      <c r="C2445">
        <v>4.5</v>
      </c>
      <c r="D2445">
        <v>80</v>
      </c>
      <c r="E2445">
        <f>IF(OR(B2445="vi",B2445="ii",B2445="pod"),(((D2445/100)*(C2445*VLOOKUP(B2445,'Poids des runes'!A:B,2,FALSE)))+1),(((D2445/100)*(C2445*VLOOKUP(B2445,'Poids des runes'!A:B,2,FALSE)))+1)/VLOOKUP(B2445,'Poids des runes'!A:B,2,FALSE))</f>
        <v>3.7</v>
      </c>
      <c r="F2445">
        <f t="shared" si="38"/>
        <v>3.7</v>
      </c>
    </row>
    <row r="2446" spans="1:6" x14ac:dyDescent="0.3">
      <c r="A2446" t="s">
        <v>690</v>
      </c>
      <c r="B2446" t="s">
        <v>2128</v>
      </c>
      <c r="C2446">
        <v>35.5</v>
      </c>
      <c r="D2446">
        <v>80</v>
      </c>
      <c r="E2446">
        <f>IF(OR(B2446="vi",B2446="ii",B2446="pod"),(((D2446/100)*(C2446*VLOOKUP(B2446,'Poids des runes'!A:B,2,FALSE)))+1),(((D2446/100)*(C2446*VLOOKUP(B2446,'Poids des runes'!A:B,2,FALSE)))+1)/VLOOKUP(B2446,'Poids des runes'!A:B,2,FALSE))</f>
        <v>6.6800000000000006</v>
      </c>
      <c r="F2446">
        <f t="shared" si="38"/>
        <v>6.6800000000000006</v>
      </c>
    </row>
    <row r="2447" spans="1:6" x14ac:dyDescent="0.3">
      <c r="A2447" t="s">
        <v>690</v>
      </c>
      <c r="B2447" t="s">
        <v>2131</v>
      </c>
      <c r="C2447">
        <v>25.5</v>
      </c>
      <c r="D2447">
        <v>80</v>
      </c>
      <c r="E2447">
        <f>IF(OR(B2447="vi",B2447="ii",B2447="pod"),(((D2447/100)*(C2447*VLOOKUP(B2447,'Poids des runes'!A:B,2,FALSE)))+1),(((D2447/100)*(C2447*VLOOKUP(B2447,'Poids des runes'!A:B,2,FALSE)))+1)/VLOOKUP(B2447,'Poids des runes'!A:B,2,FALSE))</f>
        <v>21.400000000000002</v>
      </c>
      <c r="F2447">
        <f t="shared" si="38"/>
        <v>21.400000000000002</v>
      </c>
    </row>
    <row r="2448" spans="1:6" x14ac:dyDescent="0.3">
      <c r="A2448" t="s">
        <v>690</v>
      </c>
      <c r="B2448" t="s">
        <v>2152</v>
      </c>
      <c r="C2448">
        <v>1</v>
      </c>
      <c r="D2448">
        <v>80</v>
      </c>
      <c r="E2448">
        <f>IF(OR(B2448="vi",B2448="ii",B2448="pod"),(((D2448/100)*(C2448*VLOOKUP(B2448,'Poids des runes'!A:B,2,FALSE)))+1),(((D2448/100)*(C2448*VLOOKUP(B2448,'Poids des runes'!A:B,2,FALSE)))+1)/VLOOKUP(B2448,'Poids des runes'!A:B,2,FALSE))</f>
        <v>0.81</v>
      </c>
      <c r="F2448">
        <f t="shared" si="38"/>
        <v>0.81</v>
      </c>
    </row>
    <row r="2449" spans="1:6" x14ac:dyDescent="0.3">
      <c r="A2449" t="s">
        <v>690</v>
      </c>
      <c r="B2449" t="s">
        <v>2150</v>
      </c>
      <c r="C2449">
        <v>1</v>
      </c>
      <c r="D2449">
        <v>80</v>
      </c>
      <c r="E2449">
        <f>IF(OR(B2449="vi",B2449="ii",B2449="pod"),(((D2449/100)*(C2449*VLOOKUP(B2449,'Poids des runes'!A:B,2,FALSE)))+1),(((D2449/100)*(C2449*VLOOKUP(B2449,'Poids des runes'!A:B,2,FALSE)))+1)/VLOOKUP(B2449,'Poids des runes'!A:B,2,FALSE))</f>
        <v>0.83333333333333337</v>
      </c>
      <c r="F2449">
        <f t="shared" si="38"/>
        <v>0.83333333333333337</v>
      </c>
    </row>
    <row r="2450" spans="1:6" x14ac:dyDescent="0.3">
      <c r="A2450" t="s">
        <v>690</v>
      </c>
      <c r="B2450" t="s">
        <v>2133</v>
      </c>
      <c r="C2450">
        <v>4.5</v>
      </c>
      <c r="D2450">
        <v>80</v>
      </c>
      <c r="E2450">
        <f>IF(OR(B2450="vi",B2450="ii",B2450="pod"),(((D2450/100)*(C2450*VLOOKUP(B2450,'Poids des runes'!A:B,2,FALSE)))+1),(((D2450/100)*(C2450*VLOOKUP(B2450,'Poids des runes'!A:B,2,FALSE)))+1)/VLOOKUP(B2450,'Poids des runes'!A:B,2,FALSE))</f>
        <v>3.8</v>
      </c>
      <c r="F2450">
        <f t="shared" si="38"/>
        <v>3.8</v>
      </c>
    </row>
    <row r="2451" spans="1:6" x14ac:dyDescent="0.3">
      <c r="A2451" t="s">
        <v>690</v>
      </c>
      <c r="B2451" t="s">
        <v>2149</v>
      </c>
      <c r="C2451">
        <v>4.5</v>
      </c>
      <c r="D2451">
        <v>80</v>
      </c>
      <c r="E2451">
        <f>IF(OR(B2451="vi",B2451="ii",B2451="pod"),(((D2451/100)*(C2451*VLOOKUP(B2451,'Poids des runes'!A:B,2,FALSE)))+1),(((D2451/100)*(C2451*VLOOKUP(B2451,'Poids des runes'!A:B,2,FALSE)))+1)/VLOOKUP(B2451,'Poids des runes'!A:B,2,FALSE))</f>
        <v>3.7</v>
      </c>
      <c r="F2451">
        <f t="shared" si="38"/>
        <v>3.7</v>
      </c>
    </row>
    <row r="2452" spans="1:6" x14ac:dyDescent="0.3">
      <c r="A2452" t="s">
        <v>691</v>
      </c>
      <c r="B2452" t="s">
        <v>2128</v>
      </c>
      <c r="C2452">
        <v>43</v>
      </c>
      <c r="D2452">
        <v>80</v>
      </c>
      <c r="E2452">
        <f>IF(OR(B2452="vi",B2452="ii",B2452="pod"),(((D2452/100)*(C2452*VLOOKUP(B2452,'Poids des runes'!A:B,2,FALSE)))+1),(((D2452/100)*(C2452*VLOOKUP(B2452,'Poids des runes'!A:B,2,FALSE)))+1)/VLOOKUP(B2452,'Poids des runes'!A:B,2,FALSE))</f>
        <v>7.88</v>
      </c>
      <c r="F2452">
        <f t="shared" si="38"/>
        <v>7.88</v>
      </c>
    </row>
    <row r="2453" spans="1:6" x14ac:dyDescent="0.3">
      <c r="A2453" t="s">
        <v>691</v>
      </c>
      <c r="B2453" t="s">
        <v>2130</v>
      </c>
      <c r="C2453">
        <v>25.5</v>
      </c>
      <c r="D2453">
        <v>80</v>
      </c>
      <c r="E2453">
        <f>IF(OR(B2453="vi",B2453="ii",B2453="pod"),(((D2453/100)*(C2453*VLOOKUP(B2453,'Poids des runes'!A:B,2,FALSE)))+1),(((D2453/100)*(C2453*VLOOKUP(B2453,'Poids des runes'!A:B,2,FALSE)))+1)/VLOOKUP(B2453,'Poids des runes'!A:B,2,FALSE))</f>
        <v>21.400000000000002</v>
      </c>
      <c r="F2453">
        <f t="shared" si="38"/>
        <v>21.400000000000002</v>
      </c>
    </row>
    <row r="2454" spans="1:6" x14ac:dyDescent="0.3">
      <c r="A2454" t="s">
        <v>691</v>
      </c>
      <c r="B2454" t="s">
        <v>2127</v>
      </c>
      <c r="C2454">
        <v>25.5</v>
      </c>
      <c r="D2454">
        <v>80</v>
      </c>
      <c r="E2454">
        <f>IF(OR(B2454="vi",B2454="ii",B2454="pod"),(((D2454/100)*(C2454*VLOOKUP(B2454,'Poids des runes'!A:B,2,FALSE)))+1),(((D2454/100)*(C2454*VLOOKUP(B2454,'Poids des runes'!A:B,2,FALSE)))+1)/VLOOKUP(B2454,'Poids des runes'!A:B,2,FALSE))</f>
        <v>21.400000000000002</v>
      </c>
      <c r="F2454">
        <f t="shared" si="38"/>
        <v>21.400000000000002</v>
      </c>
    </row>
    <row r="2455" spans="1:6" x14ac:dyDescent="0.3">
      <c r="A2455" t="s">
        <v>691</v>
      </c>
      <c r="B2455" t="s">
        <v>2151</v>
      </c>
      <c r="C2455">
        <v>1.5</v>
      </c>
      <c r="D2455">
        <v>80</v>
      </c>
      <c r="E2455">
        <f>IF(OR(B2455="vi",B2455="ii",B2455="pod"),(((D2455/100)*(C2455*VLOOKUP(B2455,'Poids des runes'!A:B,2,FALSE)))+1),(((D2455/100)*(C2455*VLOOKUP(B2455,'Poids des runes'!A:B,2,FALSE)))+1)/VLOOKUP(B2455,'Poids des runes'!A:B,2,FALSE))</f>
        <v>1.3</v>
      </c>
      <c r="F2455">
        <f t="shared" si="38"/>
        <v>1.3</v>
      </c>
    </row>
    <row r="2456" spans="1:6" x14ac:dyDescent="0.3">
      <c r="A2456" t="s">
        <v>691</v>
      </c>
      <c r="B2456" t="s">
        <v>2154</v>
      </c>
      <c r="C2456">
        <v>1</v>
      </c>
      <c r="D2456">
        <v>80</v>
      </c>
      <c r="E2456">
        <f>IF(OR(B2456="vi",B2456="ii",B2456="pod"),(((D2456/100)*(C2456*VLOOKUP(B2456,'Poids des runes'!A:B,2,FALSE)))+1),(((D2456/100)*(C2456*VLOOKUP(B2456,'Poids des runes'!A:B,2,FALSE)))+1)/VLOOKUP(B2456,'Poids des runes'!A:B,2,FALSE))</f>
        <v>0.81111111111111112</v>
      </c>
      <c r="F2456">
        <f t="shared" si="38"/>
        <v>0.81111111111111112</v>
      </c>
    </row>
    <row r="2457" spans="1:6" x14ac:dyDescent="0.3">
      <c r="A2457" t="s">
        <v>691</v>
      </c>
      <c r="B2457" t="s">
        <v>2134</v>
      </c>
      <c r="C2457">
        <v>1.5</v>
      </c>
      <c r="D2457">
        <v>80</v>
      </c>
      <c r="E2457">
        <f>IF(OR(B2457="vi",B2457="ii",B2457="pod"),(((D2457/100)*(C2457*VLOOKUP(B2457,'Poids des runes'!A:B,2,FALSE)))+1),(((D2457/100)*(C2457*VLOOKUP(B2457,'Poids des runes'!A:B,2,FALSE)))+1)/VLOOKUP(B2457,'Poids des runes'!A:B,2,FALSE))</f>
        <v>1.25</v>
      </c>
      <c r="F2457">
        <f t="shared" si="38"/>
        <v>1.25</v>
      </c>
    </row>
    <row r="2458" spans="1:6" x14ac:dyDescent="0.3">
      <c r="A2458" t="s">
        <v>691</v>
      </c>
      <c r="B2458" t="s">
        <v>2135</v>
      </c>
      <c r="C2458">
        <v>4.5</v>
      </c>
      <c r="D2458">
        <v>80</v>
      </c>
      <c r="E2458">
        <f>IF(OR(B2458="vi",B2458="ii",B2458="pod"),(((D2458/100)*(C2458*VLOOKUP(B2458,'Poids des runes'!A:B,2,FALSE)))+1),(((D2458/100)*(C2458*VLOOKUP(B2458,'Poids des runes'!A:B,2,FALSE)))+1)/VLOOKUP(B2458,'Poids des runes'!A:B,2,FALSE))</f>
        <v>3.7666666666666671</v>
      </c>
      <c r="F2458">
        <f t="shared" si="38"/>
        <v>3.7666666666666671</v>
      </c>
    </row>
    <row r="2459" spans="1:6" x14ac:dyDescent="0.3">
      <c r="A2459" t="s">
        <v>691</v>
      </c>
      <c r="B2459" t="s">
        <v>2144</v>
      </c>
      <c r="C2459">
        <v>3.5</v>
      </c>
      <c r="D2459">
        <v>80</v>
      </c>
      <c r="E2459">
        <f>IF(OR(B2459="vi",B2459="ii",B2459="pod"),(((D2459/100)*(C2459*VLOOKUP(B2459,'Poids des runes'!A:B,2,FALSE)))+1),(((D2459/100)*(C2459*VLOOKUP(B2459,'Poids des runes'!A:B,2,FALSE)))+1)/VLOOKUP(B2459,'Poids des runes'!A:B,2,FALSE))</f>
        <v>3.3000000000000003</v>
      </c>
      <c r="F2459">
        <f t="shared" si="38"/>
        <v>3.3000000000000003</v>
      </c>
    </row>
    <row r="2460" spans="1:6" x14ac:dyDescent="0.3">
      <c r="A2460" t="s">
        <v>691</v>
      </c>
      <c r="B2460" t="s">
        <v>2145</v>
      </c>
      <c r="C2460">
        <v>3.5</v>
      </c>
      <c r="D2460">
        <v>80</v>
      </c>
      <c r="E2460">
        <f>IF(OR(B2460="vi",B2460="ii",B2460="pod"),(((D2460/100)*(C2460*VLOOKUP(B2460,'Poids des runes'!A:B,2,FALSE)))+1),(((D2460/100)*(C2460*VLOOKUP(B2460,'Poids des runes'!A:B,2,FALSE)))+1)/VLOOKUP(B2460,'Poids des runes'!A:B,2,FALSE))</f>
        <v>3.3000000000000003</v>
      </c>
      <c r="F2460">
        <f t="shared" si="38"/>
        <v>3.3000000000000003</v>
      </c>
    </row>
    <row r="2461" spans="1:6" x14ac:dyDescent="0.3">
      <c r="A2461" t="s">
        <v>691</v>
      </c>
      <c r="B2461" t="s">
        <v>2146</v>
      </c>
      <c r="C2461">
        <v>3.5</v>
      </c>
      <c r="D2461">
        <v>80</v>
      </c>
      <c r="E2461">
        <f>IF(OR(B2461="vi",B2461="ii",B2461="pod"),(((D2461/100)*(C2461*VLOOKUP(B2461,'Poids des runes'!A:B,2,FALSE)))+1),(((D2461/100)*(C2461*VLOOKUP(B2461,'Poids des runes'!A:B,2,FALSE)))+1)/VLOOKUP(B2461,'Poids des runes'!A:B,2,FALSE))</f>
        <v>3.3000000000000003</v>
      </c>
      <c r="F2461">
        <f t="shared" si="38"/>
        <v>3.3000000000000003</v>
      </c>
    </row>
    <row r="2462" spans="1:6" x14ac:dyDescent="0.3">
      <c r="A2462" t="s">
        <v>692</v>
      </c>
      <c r="B2462" t="s">
        <v>2128</v>
      </c>
      <c r="C2462">
        <v>43</v>
      </c>
      <c r="D2462">
        <v>80</v>
      </c>
      <c r="E2462">
        <f>IF(OR(B2462="vi",B2462="ii",B2462="pod"),(((D2462/100)*(C2462*VLOOKUP(B2462,'Poids des runes'!A:B,2,FALSE)))+1),(((D2462/100)*(C2462*VLOOKUP(B2462,'Poids des runes'!A:B,2,FALSE)))+1)/VLOOKUP(B2462,'Poids des runes'!A:B,2,FALSE))</f>
        <v>7.88</v>
      </c>
      <c r="F2462">
        <f t="shared" si="38"/>
        <v>7.88</v>
      </c>
    </row>
    <row r="2463" spans="1:6" x14ac:dyDescent="0.3">
      <c r="A2463" t="s">
        <v>692</v>
      </c>
      <c r="B2463" t="s">
        <v>2126</v>
      </c>
      <c r="C2463">
        <v>25.5</v>
      </c>
      <c r="D2463">
        <v>80</v>
      </c>
      <c r="E2463">
        <f>IF(OR(B2463="vi",B2463="ii",B2463="pod"),(((D2463/100)*(C2463*VLOOKUP(B2463,'Poids des runes'!A:B,2,FALSE)))+1),(((D2463/100)*(C2463*VLOOKUP(B2463,'Poids des runes'!A:B,2,FALSE)))+1)/VLOOKUP(B2463,'Poids des runes'!A:B,2,FALSE))</f>
        <v>21.400000000000002</v>
      </c>
      <c r="F2463">
        <f t="shared" si="38"/>
        <v>21.400000000000002</v>
      </c>
    </row>
    <row r="2464" spans="1:6" x14ac:dyDescent="0.3">
      <c r="A2464" t="s">
        <v>692</v>
      </c>
      <c r="B2464" t="s">
        <v>2131</v>
      </c>
      <c r="C2464">
        <v>25.5</v>
      </c>
      <c r="D2464">
        <v>80</v>
      </c>
      <c r="E2464">
        <f>IF(OR(B2464="vi",B2464="ii",B2464="pod"),(((D2464/100)*(C2464*VLOOKUP(B2464,'Poids des runes'!A:B,2,FALSE)))+1),(((D2464/100)*(C2464*VLOOKUP(B2464,'Poids des runes'!A:B,2,FALSE)))+1)/VLOOKUP(B2464,'Poids des runes'!A:B,2,FALSE))</f>
        <v>21.400000000000002</v>
      </c>
      <c r="F2464">
        <f t="shared" si="38"/>
        <v>21.400000000000002</v>
      </c>
    </row>
    <row r="2465" spans="1:6" x14ac:dyDescent="0.3">
      <c r="A2465" t="s">
        <v>692</v>
      </c>
      <c r="B2465" t="s">
        <v>2151</v>
      </c>
      <c r="C2465">
        <v>1.5</v>
      </c>
      <c r="D2465">
        <v>80</v>
      </c>
      <c r="E2465">
        <f>IF(OR(B2465="vi",B2465="ii",B2465="pod"),(((D2465/100)*(C2465*VLOOKUP(B2465,'Poids des runes'!A:B,2,FALSE)))+1),(((D2465/100)*(C2465*VLOOKUP(B2465,'Poids des runes'!A:B,2,FALSE)))+1)/VLOOKUP(B2465,'Poids des runes'!A:B,2,FALSE))</f>
        <v>1.3</v>
      </c>
      <c r="F2465">
        <f t="shared" si="38"/>
        <v>1.3</v>
      </c>
    </row>
    <row r="2466" spans="1:6" x14ac:dyDescent="0.3">
      <c r="A2466" t="s">
        <v>692</v>
      </c>
      <c r="B2466" t="s">
        <v>2154</v>
      </c>
      <c r="C2466">
        <v>1</v>
      </c>
      <c r="D2466">
        <v>80</v>
      </c>
      <c r="E2466">
        <f>IF(OR(B2466="vi",B2466="ii",B2466="pod"),(((D2466/100)*(C2466*VLOOKUP(B2466,'Poids des runes'!A:B,2,FALSE)))+1),(((D2466/100)*(C2466*VLOOKUP(B2466,'Poids des runes'!A:B,2,FALSE)))+1)/VLOOKUP(B2466,'Poids des runes'!A:B,2,FALSE))</f>
        <v>0.81111111111111112</v>
      </c>
      <c r="F2466">
        <f t="shared" si="38"/>
        <v>0.81111111111111112</v>
      </c>
    </row>
    <row r="2467" spans="1:6" x14ac:dyDescent="0.3">
      <c r="A2467" t="s">
        <v>692</v>
      </c>
      <c r="B2467" t="s">
        <v>2134</v>
      </c>
      <c r="C2467">
        <v>1.5</v>
      </c>
      <c r="D2467">
        <v>80</v>
      </c>
      <c r="E2467">
        <f>IF(OR(B2467="vi",B2467="ii",B2467="pod"),(((D2467/100)*(C2467*VLOOKUP(B2467,'Poids des runes'!A:B,2,FALSE)))+1),(((D2467/100)*(C2467*VLOOKUP(B2467,'Poids des runes'!A:B,2,FALSE)))+1)/VLOOKUP(B2467,'Poids des runes'!A:B,2,FALSE))</f>
        <v>1.25</v>
      </c>
      <c r="F2467">
        <f t="shared" si="38"/>
        <v>1.25</v>
      </c>
    </row>
    <row r="2468" spans="1:6" x14ac:dyDescent="0.3">
      <c r="A2468" t="s">
        <v>692</v>
      </c>
      <c r="B2468" t="s">
        <v>2157</v>
      </c>
      <c r="C2468">
        <v>4.5</v>
      </c>
      <c r="D2468">
        <v>80</v>
      </c>
      <c r="E2468">
        <f>IF(OR(B2468="vi",B2468="ii",B2468="pod"),(((D2468/100)*(C2468*VLOOKUP(B2468,'Poids des runes'!A:B,2,FALSE)))+1),(((D2468/100)*(C2468*VLOOKUP(B2468,'Poids des runes'!A:B,2,FALSE)))+1)/VLOOKUP(B2468,'Poids des runes'!A:B,2,FALSE))</f>
        <v>3.7666666666666671</v>
      </c>
      <c r="F2468">
        <f t="shared" si="38"/>
        <v>3.7666666666666671</v>
      </c>
    </row>
    <row r="2469" spans="1:6" x14ac:dyDescent="0.3">
      <c r="A2469" t="s">
        <v>692</v>
      </c>
      <c r="B2469" t="s">
        <v>2144</v>
      </c>
      <c r="C2469">
        <v>3.5</v>
      </c>
      <c r="D2469">
        <v>80</v>
      </c>
      <c r="E2469">
        <f>IF(OR(B2469="vi",B2469="ii",B2469="pod"),(((D2469/100)*(C2469*VLOOKUP(B2469,'Poids des runes'!A:B,2,FALSE)))+1),(((D2469/100)*(C2469*VLOOKUP(B2469,'Poids des runes'!A:B,2,FALSE)))+1)/VLOOKUP(B2469,'Poids des runes'!A:B,2,FALSE))</f>
        <v>3.3000000000000003</v>
      </c>
      <c r="F2469">
        <f t="shared" si="38"/>
        <v>3.3000000000000003</v>
      </c>
    </row>
    <row r="2470" spans="1:6" x14ac:dyDescent="0.3">
      <c r="A2470" t="s">
        <v>692</v>
      </c>
      <c r="B2470" t="s">
        <v>2145</v>
      </c>
      <c r="C2470">
        <v>3.5</v>
      </c>
      <c r="D2470">
        <v>80</v>
      </c>
      <c r="E2470">
        <f>IF(OR(B2470="vi",B2470="ii",B2470="pod"),(((D2470/100)*(C2470*VLOOKUP(B2470,'Poids des runes'!A:B,2,FALSE)))+1),(((D2470/100)*(C2470*VLOOKUP(B2470,'Poids des runes'!A:B,2,FALSE)))+1)/VLOOKUP(B2470,'Poids des runes'!A:B,2,FALSE))</f>
        <v>3.3000000000000003</v>
      </c>
      <c r="F2470">
        <f t="shared" si="38"/>
        <v>3.3000000000000003</v>
      </c>
    </row>
    <row r="2471" spans="1:6" x14ac:dyDescent="0.3">
      <c r="A2471" t="s">
        <v>692</v>
      </c>
      <c r="B2471" t="s">
        <v>2146</v>
      </c>
      <c r="C2471">
        <v>3.5</v>
      </c>
      <c r="D2471">
        <v>80</v>
      </c>
      <c r="E2471">
        <f>IF(OR(B2471="vi",B2471="ii",B2471="pod"),(((D2471/100)*(C2471*VLOOKUP(B2471,'Poids des runes'!A:B,2,FALSE)))+1),(((D2471/100)*(C2471*VLOOKUP(B2471,'Poids des runes'!A:B,2,FALSE)))+1)/VLOOKUP(B2471,'Poids des runes'!A:B,2,FALSE))</f>
        <v>3.3000000000000003</v>
      </c>
      <c r="F2471">
        <f t="shared" si="38"/>
        <v>3.3000000000000003</v>
      </c>
    </row>
    <row r="2472" spans="1:6" x14ac:dyDescent="0.3">
      <c r="A2472" t="s">
        <v>693</v>
      </c>
      <c r="B2472" t="s">
        <v>2128</v>
      </c>
      <c r="C2472">
        <v>33</v>
      </c>
      <c r="D2472">
        <v>80</v>
      </c>
      <c r="E2472">
        <f>IF(OR(B2472="vi",B2472="ii",B2472="pod"),(((D2472/100)*(C2472*VLOOKUP(B2472,'Poids des runes'!A:B,2,FALSE)))+1),(((D2472/100)*(C2472*VLOOKUP(B2472,'Poids des runes'!A:B,2,FALSE)))+1)/VLOOKUP(B2472,'Poids des runes'!A:B,2,FALSE))</f>
        <v>6.2800000000000011</v>
      </c>
      <c r="F2472">
        <f t="shared" si="38"/>
        <v>6.2800000000000011</v>
      </c>
    </row>
    <row r="2473" spans="1:6" x14ac:dyDescent="0.3">
      <c r="A2473" t="s">
        <v>693</v>
      </c>
      <c r="B2473" t="s">
        <v>2126</v>
      </c>
      <c r="C2473">
        <v>23</v>
      </c>
      <c r="D2473">
        <v>80</v>
      </c>
      <c r="E2473">
        <f>IF(OR(B2473="vi",B2473="ii",B2473="pod"),(((D2473/100)*(C2473*VLOOKUP(B2473,'Poids des runes'!A:B,2,FALSE)))+1),(((D2473/100)*(C2473*VLOOKUP(B2473,'Poids des runes'!A:B,2,FALSE)))+1)/VLOOKUP(B2473,'Poids des runes'!A:B,2,FALSE))</f>
        <v>19.400000000000002</v>
      </c>
      <c r="F2473">
        <f t="shared" si="38"/>
        <v>19.400000000000002</v>
      </c>
    </row>
    <row r="2474" spans="1:6" x14ac:dyDescent="0.3">
      <c r="A2474" t="s">
        <v>693</v>
      </c>
      <c r="B2474" t="s">
        <v>2151</v>
      </c>
      <c r="C2474">
        <v>2.5</v>
      </c>
      <c r="D2474">
        <v>80</v>
      </c>
      <c r="E2474">
        <f>IF(OR(B2474="vi",B2474="ii",B2474="pod"),(((D2474/100)*(C2474*VLOOKUP(B2474,'Poids des runes'!A:B,2,FALSE)))+1),(((D2474/100)*(C2474*VLOOKUP(B2474,'Poids des runes'!A:B,2,FALSE)))+1)/VLOOKUP(B2474,'Poids des runes'!A:B,2,FALSE))</f>
        <v>2.1</v>
      </c>
      <c r="F2474">
        <f t="shared" si="38"/>
        <v>2.1</v>
      </c>
    </row>
    <row r="2475" spans="1:6" x14ac:dyDescent="0.3">
      <c r="A2475" t="s">
        <v>693</v>
      </c>
      <c r="B2475" t="s">
        <v>2154</v>
      </c>
      <c r="C2475">
        <v>1</v>
      </c>
      <c r="D2475">
        <v>80</v>
      </c>
      <c r="E2475">
        <f>IF(OR(B2475="vi",B2475="ii",B2475="pod"),(((D2475/100)*(C2475*VLOOKUP(B2475,'Poids des runes'!A:B,2,FALSE)))+1),(((D2475/100)*(C2475*VLOOKUP(B2475,'Poids des runes'!A:B,2,FALSE)))+1)/VLOOKUP(B2475,'Poids des runes'!A:B,2,FALSE))</f>
        <v>0.81111111111111112</v>
      </c>
      <c r="F2475">
        <f t="shared" si="38"/>
        <v>0.81111111111111112</v>
      </c>
    </row>
    <row r="2476" spans="1:6" x14ac:dyDescent="0.3">
      <c r="A2476" t="s">
        <v>693</v>
      </c>
      <c r="B2476" t="s">
        <v>2155</v>
      </c>
      <c r="C2476">
        <v>1</v>
      </c>
      <c r="D2476">
        <v>80</v>
      </c>
      <c r="E2476">
        <f>IF(OR(B2476="vi",B2476="ii",B2476="pod"),(((D2476/100)*(C2476*VLOOKUP(B2476,'Poids des runes'!A:B,2,FALSE)))+1),(((D2476/100)*(C2476*VLOOKUP(B2476,'Poids des runes'!A:B,2,FALSE)))+1)/VLOOKUP(B2476,'Poids des runes'!A:B,2,FALSE))</f>
        <v>0.81960784313725499</v>
      </c>
      <c r="F2476">
        <f t="shared" si="38"/>
        <v>0.81960784313725499</v>
      </c>
    </row>
    <row r="2477" spans="1:6" x14ac:dyDescent="0.3">
      <c r="A2477" t="s">
        <v>693</v>
      </c>
      <c r="B2477" t="s">
        <v>2150</v>
      </c>
      <c r="C2477">
        <v>1</v>
      </c>
      <c r="D2477">
        <v>80</v>
      </c>
      <c r="E2477">
        <f>IF(OR(B2477="vi",B2477="ii",B2477="pod"),(((D2477/100)*(C2477*VLOOKUP(B2477,'Poids des runes'!A:B,2,FALSE)))+1),(((D2477/100)*(C2477*VLOOKUP(B2477,'Poids des runes'!A:B,2,FALSE)))+1)/VLOOKUP(B2477,'Poids des runes'!A:B,2,FALSE))</f>
        <v>0.83333333333333337</v>
      </c>
      <c r="F2477">
        <f t="shared" si="38"/>
        <v>0.83333333333333337</v>
      </c>
    </row>
    <row r="2478" spans="1:6" x14ac:dyDescent="0.3">
      <c r="A2478" t="s">
        <v>693</v>
      </c>
      <c r="B2478" t="s">
        <v>2147</v>
      </c>
      <c r="C2478">
        <v>6.5</v>
      </c>
      <c r="D2478">
        <v>80</v>
      </c>
      <c r="E2478">
        <f>IF(OR(B2478="vi",B2478="ii",B2478="pod"),(((D2478/100)*(C2478*VLOOKUP(B2478,'Poids des runes'!A:B,2,FALSE)))+1),(((D2478/100)*(C2478*VLOOKUP(B2478,'Poids des runes'!A:B,2,FALSE)))+1)/VLOOKUP(B2478,'Poids des runes'!A:B,2,FALSE))</f>
        <v>5.3666666666666671</v>
      </c>
      <c r="F2478">
        <f t="shared" si="38"/>
        <v>5.3666666666666671</v>
      </c>
    </row>
    <row r="2479" spans="1:6" x14ac:dyDescent="0.3">
      <c r="A2479" t="s">
        <v>694</v>
      </c>
      <c r="B2479" t="s">
        <v>2128</v>
      </c>
      <c r="C2479">
        <v>33</v>
      </c>
      <c r="D2479">
        <v>80</v>
      </c>
      <c r="E2479">
        <f>IF(OR(B2479="vi",B2479="ii",B2479="pod"),(((D2479/100)*(C2479*VLOOKUP(B2479,'Poids des runes'!A:B,2,FALSE)))+1),(((D2479/100)*(C2479*VLOOKUP(B2479,'Poids des runes'!A:B,2,FALSE)))+1)/VLOOKUP(B2479,'Poids des runes'!A:B,2,FALSE))</f>
        <v>6.2800000000000011</v>
      </c>
      <c r="F2479">
        <f t="shared" si="38"/>
        <v>6.2800000000000011</v>
      </c>
    </row>
    <row r="2480" spans="1:6" x14ac:dyDescent="0.3">
      <c r="A2480" t="s">
        <v>694</v>
      </c>
      <c r="B2480" t="s">
        <v>2130</v>
      </c>
      <c r="C2480">
        <v>23</v>
      </c>
      <c r="D2480">
        <v>80</v>
      </c>
      <c r="E2480">
        <f>IF(OR(B2480="vi",B2480="ii",B2480="pod"),(((D2480/100)*(C2480*VLOOKUP(B2480,'Poids des runes'!A:B,2,FALSE)))+1),(((D2480/100)*(C2480*VLOOKUP(B2480,'Poids des runes'!A:B,2,FALSE)))+1)/VLOOKUP(B2480,'Poids des runes'!A:B,2,FALSE))</f>
        <v>19.400000000000002</v>
      </c>
      <c r="F2480">
        <f t="shared" si="38"/>
        <v>19.400000000000002</v>
      </c>
    </row>
    <row r="2481" spans="1:6" x14ac:dyDescent="0.3">
      <c r="A2481" t="s">
        <v>694</v>
      </c>
      <c r="B2481" t="s">
        <v>2151</v>
      </c>
      <c r="C2481">
        <v>2.5</v>
      </c>
      <c r="D2481">
        <v>80</v>
      </c>
      <c r="E2481">
        <f>IF(OR(B2481="vi",B2481="ii",B2481="pod"),(((D2481/100)*(C2481*VLOOKUP(B2481,'Poids des runes'!A:B,2,FALSE)))+1),(((D2481/100)*(C2481*VLOOKUP(B2481,'Poids des runes'!A:B,2,FALSE)))+1)/VLOOKUP(B2481,'Poids des runes'!A:B,2,FALSE))</f>
        <v>2.1</v>
      </c>
      <c r="F2481">
        <f t="shared" si="38"/>
        <v>2.1</v>
      </c>
    </row>
    <row r="2482" spans="1:6" x14ac:dyDescent="0.3">
      <c r="A2482" t="s">
        <v>694</v>
      </c>
      <c r="B2482" t="s">
        <v>2154</v>
      </c>
      <c r="C2482">
        <v>1</v>
      </c>
      <c r="D2482">
        <v>80</v>
      </c>
      <c r="E2482">
        <f>IF(OR(B2482="vi",B2482="ii",B2482="pod"),(((D2482/100)*(C2482*VLOOKUP(B2482,'Poids des runes'!A:B,2,FALSE)))+1),(((D2482/100)*(C2482*VLOOKUP(B2482,'Poids des runes'!A:B,2,FALSE)))+1)/VLOOKUP(B2482,'Poids des runes'!A:B,2,FALSE))</f>
        <v>0.81111111111111112</v>
      </c>
      <c r="F2482">
        <f t="shared" si="38"/>
        <v>0.81111111111111112</v>
      </c>
    </row>
    <row r="2483" spans="1:6" x14ac:dyDescent="0.3">
      <c r="A2483" t="s">
        <v>694</v>
      </c>
      <c r="B2483" t="s">
        <v>2155</v>
      </c>
      <c r="C2483">
        <v>1</v>
      </c>
      <c r="D2483">
        <v>80</v>
      </c>
      <c r="E2483">
        <f>IF(OR(B2483="vi",B2483="ii",B2483="pod"),(((D2483/100)*(C2483*VLOOKUP(B2483,'Poids des runes'!A:B,2,FALSE)))+1),(((D2483/100)*(C2483*VLOOKUP(B2483,'Poids des runes'!A:B,2,FALSE)))+1)/VLOOKUP(B2483,'Poids des runes'!A:B,2,FALSE))</f>
        <v>0.81960784313725499</v>
      </c>
      <c r="F2483">
        <f t="shared" si="38"/>
        <v>0.81960784313725499</v>
      </c>
    </row>
    <row r="2484" spans="1:6" x14ac:dyDescent="0.3">
      <c r="A2484" t="s">
        <v>694</v>
      </c>
      <c r="B2484" t="s">
        <v>2150</v>
      </c>
      <c r="C2484">
        <v>1</v>
      </c>
      <c r="D2484">
        <v>80</v>
      </c>
      <c r="E2484">
        <f>IF(OR(B2484="vi",B2484="ii",B2484="pod"),(((D2484/100)*(C2484*VLOOKUP(B2484,'Poids des runes'!A:B,2,FALSE)))+1),(((D2484/100)*(C2484*VLOOKUP(B2484,'Poids des runes'!A:B,2,FALSE)))+1)/VLOOKUP(B2484,'Poids des runes'!A:B,2,FALSE))</f>
        <v>0.83333333333333337</v>
      </c>
      <c r="F2484">
        <f t="shared" si="38"/>
        <v>0.83333333333333337</v>
      </c>
    </row>
    <row r="2485" spans="1:6" x14ac:dyDescent="0.3">
      <c r="A2485" t="s">
        <v>694</v>
      </c>
      <c r="B2485" t="s">
        <v>2148</v>
      </c>
      <c r="C2485">
        <v>6.5</v>
      </c>
      <c r="D2485">
        <v>80</v>
      </c>
      <c r="E2485">
        <f>IF(OR(B2485="vi",B2485="ii",B2485="pod"),(((D2485/100)*(C2485*VLOOKUP(B2485,'Poids des runes'!A:B,2,FALSE)))+1),(((D2485/100)*(C2485*VLOOKUP(B2485,'Poids des runes'!A:B,2,FALSE)))+1)/VLOOKUP(B2485,'Poids des runes'!A:B,2,FALSE))</f>
        <v>5.3666666666666671</v>
      </c>
      <c r="F2485">
        <f t="shared" si="38"/>
        <v>5.3666666666666671</v>
      </c>
    </row>
    <row r="2486" spans="1:6" x14ac:dyDescent="0.3">
      <c r="A2486" t="s">
        <v>695</v>
      </c>
      <c r="B2486" t="s">
        <v>2128</v>
      </c>
      <c r="C2486">
        <v>33</v>
      </c>
      <c r="D2486">
        <v>80</v>
      </c>
      <c r="E2486">
        <f>IF(OR(B2486="vi",B2486="ii",B2486="pod"),(((D2486/100)*(C2486*VLOOKUP(B2486,'Poids des runes'!A:B,2,FALSE)))+1),(((D2486/100)*(C2486*VLOOKUP(B2486,'Poids des runes'!A:B,2,FALSE)))+1)/VLOOKUP(B2486,'Poids des runes'!A:B,2,FALSE))</f>
        <v>6.2800000000000011</v>
      </c>
      <c r="F2486">
        <f t="shared" si="38"/>
        <v>6.2800000000000011</v>
      </c>
    </row>
    <row r="2487" spans="1:6" x14ac:dyDescent="0.3">
      <c r="A2487" t="s">
        <v>695</v>
      </c>
      <c r="B2487" t="s">
        <v>2127</v>
      </c>
      <c r="C2487">
        <v>23</v>
      </c>
      <c r="D2487">
        <v>80</v>
      </c>
      <c r="E2487">
        <f>IF(OR(B2487="vi",B2487="ii",B2487="pod"),(((D2487/100)*(C2487*VLOOKUP(B2487,'Poids des runes'!A:B,2,FALSE)))+1),(((D2487/100)*(C2487*VLOOKUP(B2487,'Poids des runes'!A:B,2,FALSE)))+1)/VLOOKUP(B2487,'Poids des runes'!A:B,2,FALSE))</f>
        <v>19.400000000000002</v>
      </c>
      <c r="F2487">
        <f t="shared" si="38"/>
        <v>19.400000000000002</v>
      </c>
    </row>
    <row r="2488" spans="1:6" x14ac:dyDescent="0.3">
      <c r="A2488" t="s">
        <v>695</v>
      </c>
      <c r="B2488" t="s">
        <v>2151</v>
      </c>
      <c r="C2488">
        <v>2.5</v>
      </c>
      <c r="D2488">
        <v>80</v>
      </c>
      <c r="E2488">
        <f>IF(OR(B2488="vi",B2488="ii",B2488="pod"),(((D2488/100)*(C2488*VLOOKUP(B2488,'Poids des runes'!A:B,2,FALSE)))+1),(((D2488/100)*(C2488*VLOOKUP(B2488,'Poids des runes'!A:B,2,FALSE)))+1)/VLOOKUP(B2488,'Poids des runes'!A:B,2,FALSE))</f>
        <v>2.1</v>
      </c>
      <c r="F2488">
        <f t="shared" si="38"/>
        <v>2.1</v>
      </c>
    </row>
    <row r="2489" spans="1:6" x14ac:dyDescent="0.3">
      <c r="A2489" t="s">
        <v>695</v>
      </c>
      <c r="B2489" t="s">
        <v>2154</v>
      </c>
      <c r="C2489">
        <v>1</v>
      </c>
      <c r="D2489">
        <v>80</v>
      </c>
      <c r="E2489">
        <f>IF(OR(B2489="vi",B2489="ii",B2489="pod"),(((D2489/100)*(C2489*VLOOKUP(B2489,'Poids des runes'!A:B,2,FALSE)))+1),(((D2489/100)*(C2489*VLOOKUP(B2489,'Poids des runes'!A:B,2,FALSE)))+1)/VLOOKUP(B2489,'Poids des runes'!A:B,2,FALSE))</f>
        <v>0.81111111111111112</v>
      </c>
      <c r="F2489">
        <f t="shared" si="38"/>
        <v>0.81111111111111112</v>
      </c>
    </row>
    <row r="2490" spans="1:6" x14ac:dyDescent="0.3">
      <c r="A2490" t="s">
        <v>695</v>
      </c>
      <c r="B2490" t="s">
        <v>2155</v>
      </c>
      <c r="C2490">
        <v>1</v>
      </c>
      <c r="D2490">
        <v>80</v>
      </c>
      <c r="E2490">
        <f>IF(OR(B2490="vi",B2490="ii",B2490="pod"),(((D2490/100)*(C2490*VLOOKUP(B2490,'Poids des runes'!A:B,2,FALSE)))+1),(((D2490/100)*(C2490*VLOOKUP(B2490,'Poids des runes'!A:B,2,FALSE)))+1)/VLOOKUP(B2490,'Poids des runes'!A:B,2,FALSE))</f>
        <v>0.81960784313725499</v>
      </c>
      <c r="F2490">
        <f t="shared" si="38"/>
        <v>0.81960784313725499</v>
      </c>
    </row>
    <row r="2491" spans="1:6" x14ac:dyDescent="0.3">
      <c r="A2491" t="s">
        <v>695</v>
      </c>
      <c r="B2491" t="s">
        <v>2150</v>
      </c>
      <c r="C2491">
        <v>1</v>
      </c>
      <c r="D2491">
        <v>80</v>
      </c>
      <c r="E2491">
        <f>IF(OR(B2491="vi",B2491="ii",B2491="pod"),(((D2491/100)*(C2491*VLOOKUP(B2491,'Poids des runes'!A:B,2,FALSE)))+1),(((D2491/100)*(C2491*VLOOKUP(B2491,'Poids des runes'!A:B,2,FALSE)))+1)/VLOOKUP(B2491,'Poids des runes'!A:B,2,FALSE))</f>
        <v>0.83333333333333337</v>
      </c>
      <c r="F2491">
        <f t="shared" si="38"/>
        <v>0.83333333333333337</v>
      </c>
    </row>
    <row r="2492" spans="1:6" x14ac:dyDescent="0.3">
      <c r="A2492" t="s">
        <v>695</v>
      </c>
      <c r="B2492" t="s">
        <v>2157</v>
      </c>
      <c r="C2492">
        <v>6.5</v>
      </c>
      <c r="D2492">
        <v>80</v>
      </c>
      <c r="E2492">
        <f>IF(OR(B2492="vi",B2492="ii",B2492="pod"),(((D2492/100)*(C2492*VLOOKUP(B2492,'Poids des runes'!A:B,2,FALSE)))+1),(((D2492/100)*(C2492*VLOOKUP(B2492,'Poids des runes'!A:B,2,FALSE)))+1)/VLOOKUP(B2492,'Poids des runes'!A:B,2,FALSE))</f>
        <v>5.3666666666666671</v>
      </c>
      <c r="F2492">
        <f t="shared" si="38"/>
        <v>5.3666666666666671</v>
      </c>
    </row>
    <row r="2493" spans="1:6" x14ac:dyDescent="0.3">
      <c r="A2493" t="s">
        <v>696</v>
      </c>
      <c r="B2493" t="s">
        <v>2128</v>
      </c>
      <c r="C2493">
        <v>33</v>
      </c>
      <c r="D2493">
        <v>80</v>
      </c>
      <c r="E2493">
        <f>IF(OR(B2493="vi",B2493="ii",B2493="pod"),(((D2493/100)*(C2493*VLOOKUP(B2493,'Poids des runes'!A:B,2,FALSE)))+1),(((D2493/100)*(C2493*VLOOKUP(B2493,'Poids des runes'!A:B,2,FALSE)))+1)/VLOOKUP(B2493,'Poids des runes'!A:B,2,FALSE))</f>
        <v>6.2800000000000011</v>
      </c>
      <c r="F2493">
        <f t="shared" si="38"/>
        <v>6.2800000000000011</v>
      </c>
    </row>
    <row r="2494" spans="1:6" x14ac:dyDescent="0.3">
      <c r="A2494" t="s">
        <v>696</v>
      </c>
      <c r="B2494" t="s">
        <v>2131</v>
      </c>
      <c r="C2494">
        <v>23</v>
      </c>
      <c r="D2494">
        <v>80</v>
      </c>
      <c r="E2494">
        <f>IF(OR(B2494="vi",B2494="ii",B2494="pod"),(((D2494/100)*(C2494*VLOOKUP(B2494,'Poids des runes'!A:B,2,FALSE)))+1),(((D2494/100)*(C2494*VLOOKUP(B2494,'Poids des runes'!A:B,2,FALSE)))+1)/VLOOKUP(B2494,'Poids des runes'!A:B,2,FALSE))</f>
        <v>19.400000000000002</v>
      </c>
      <c r="F2494">
        <f t="shared" si="38"/>
        <v>19.400000000000002</v>
      </c>
    </row>
    <row r="2495" spans="1:6" x14ac:dyDescent="0.3">
      <c r="A2495" t="s">
        <v>696</v>
      </c>
      <c r="B2495" t="s">
        <v>2151</v>
      </c>
      <c r="C2495">
        <v>2.5</v>
      </c>
      <c r="D2495">
        <v>80</v>
      </c>
      <c r="E2495">
        <f>IF(OR(B2495="vi",B2495="ii",B2495="pod"),(((D2495/100)*(C2495*VLOOKUP(B2495,'Poids des runes'!A:B,2,FALSE)))+1),(((D2495/100)*(C2495*VLOOKUP(B2495,'Poids des runes'!A:B,2,FALSE)))+1)/VLOOKUP(B2495,'Poids des runes'!A:B,2,FALSE))</f>
        <v>2.1</v>
      </c>
      <c r="F2495">
        <f t="shared" si="38"/>
        <v>2.1</v>
      </c>
    </row>
    <row r="2496" spans="1:6" x14ac:dyDescent="0.3">
      <c r="A2496" t="s">
        <v>696</v>
      </c>
      <c r="B2496" t="s">
        <v>2154</v>
      </c>
      <c r="C2496">
        <v>1</v>
      </c>
      <c r="D2496">
        <v>80</v>
      </c>
      <c r="E2496">
        <f>IF(OR(B2496="vi",B2496="ii",B2496="pod"),(((D2496/100)*(C2496*VLOOKUP(B2496,'Poids des runes'!A:B,2,FALSE)))+1),(((D2496/100)*(C2496*VLOOKUP(B2496,'Poids des runes'!A:B,2,FALSE)))+1)/VLOOKUP(B2496,'Poids des runes'!A:B,2,FALSE))</f>
        <v>0.81111111111111112</v>
      </c>
      <c r="F2496">
        <f t="shared" si="38"/>
        <v>0.81111111111111112</v>
      </c>
    </row>
    <row r="2497" spans="1:6" x14ac:dyDescent="0.3">
      <c r="A2497" t="s">
        <v>696</v>
      </c>
      <c r="B2497" t="s">
        <v>2155</v>
      </c>
      <c r="C2497">
        <v>1</v>
      </c>
      <c r="D2497">
        <v>80</v>
      </c>
      <c r="E2497">
        <f>IF(OR(B2497="vi",B2497="ii",B2497="pod"),(((D2497/100)*(C2497*VLOOKUP(B2497,'Poids des runes'!A:B,2,FALSE)))+1),(((D2497/100)*(C2497*VLOOKUP(B2497,'Poids des runes'!A:B,2,FALSE)))+1)/VLOOKUP(B2497,'Poids des runes'!A:B,2,FALSE))</f>
        <v>0.81960784313725499</v>
      </c>
      <c r="F2497">
        <f t="shared" si="38"/>
        <v>0.81960784313725499</v>
      </c>
    </row>
    <row r="2498" spans="1:6" x14ac:dyDescent="0.3">
      <c r="A2498" t="s">
        <v>696</v>
      </c>
      <c r="B2498" t="s">
        <v>2150</v>
      </c>
      <c r="C2498">
        <v>1</v>
      </c>
      <c r="D2498">
        <v>80</v>
      </c>
      <c r="E2498">
        <f>IF(OR(B2498="vi",B2498="ii",B2498="pod"),(((D2498/100)*(C2498*VLOOKUP(B2498,'Poids des runes'!A:B,2,FALSE)))+1),(((D2498/100)*(C2498*VLOOKUP(B2498,'Poids des runes'!A:B,2,FALSE)))+1)/VLOOKUP(B2498,'Poids des runes'!A:B,2,FALSE))</f>
        <v>0.83333333333333337</v>
      </c>
      <c r="F2498">
        <f t="shared" si="38"/>
        <v>0.83333333333333337</v>
      </c>
    </row>
    <row r="2499" spans="1:6" x14ac:dyDescent="0.3">
      <c r="A2499" t="s">
        <v>696</v>
      </c>
      <c r="B2499" t="s">
        <v>2135</v>
      </c>
      <c r="C2499">
        <v>6.5</v>
      </c>
      <c r="D2499">
        <v>80</v>
      </c>
      <c r="E2499">
        <f>IF(OR(B2499="vi",B2499="ii",B2499="pod"),(((D2499/100)*(C2499*VLOOKUP(B2499,'Poids des runes'!A:B,2,FALSE)))+1),(((D2499/100)*(C2499*VLOOKUP(B2499,'Poids des runes'!A:B,2,FALSE)))+1)/VLOOKUP(B2499,'Poids des runes'!A:B,2,FALSE))</f>
        <v>5.3666666666666671</v>
      </c>
      <c r="F2499">
        <f t="shared" ref="F2499:F2562" si="39">E2499</f>
        <v>5.3666666666666671</v>
      </c>
    </row>
    <row r="2500" spans="1:6" x14ac:dyDescent="0.3">
      <c r="A2500" t="s">
        <v>697</v>
      </c>
      <c r="B2500" t="s">
        <v>2128</v>
      </c>
      <c r="C2500">
        <v>28</v>
      </c>
      <c r="D2500">
        <v>80</v>
      </c>
      <c r="E2500">
        <f>IF(OR(B2500="vi",B2500="ii",B2500="pod"),(((D2500/100)*(C2500*VLOOKUP(B2500,'Poids des runes'!A:B,2,FALSE)))+1),(((D2500/100)*(C2500*VLOOKUP(B2500,'Poids des runes'!A:B,2,FALSE)))+1)/VLOOKUP(B2500,'Poids des runes'!A:B,2,FALSE))</f>
        <v>5.48</v>
      </c>
      <c r="F2500">
        <f t="shared" si="39"/>
        <v>5.48</v>
      </c>
    </row>
    <row r="2501" spans="1:6" x14ac:dyDescent="0.3">
      <c r="A2501" t="s">
        <v>697</v>
      </c>
      <c r="B2501" t="s">
        <v>2126</v>
      </c>
      <c r="C2501">
        <v>23</v>
      </c>
      <c r="D2501">
        <v>80</v>
      </c>
      <c r="E2501">
        <f>IF(OR(B2501="vi",B2501="ii",B2501="pod"),(((D2501/100)*(C2501*VLOOKUP(B2501,'Poids des runes'!A:B,2,FALSE)))+1),(((D2501/100)*(C2501*VLOOKUP(B2501,'Poids des runes'!A:B,2,FALSE)))+1)/VLOOKUP(B2501,'Poids des runes'!A:B,2,FALSE))</f>
        <v>19.400000000000002</v>
      </c>
      <c r="F2501">
        <f t="shared" si="39"/>
        <v>19.400000000000002</v>
      </c>
    </row>
    <row r="2502" spans="1:6" x14ac:dyDescent="0.3">
      <c r="A2502" t="s">
        <v>697</v>
      </c>
      <c r="B2502" t="s">
        <v>2129</v>
      </c>
      <c r="C2502">
        <v>13</v>
      </c>
      <c r="D2502">
        <v>80</v>
      </c>
      <c r="E2502">
        <f>IF(OR(B2502="vi",B2502="ii",B2502="pod"),(((D2502/100)*(C2502*VLOOKUP(B2502,'Poids des runes'!A:B,2,FALSE)))+1),(((D2502/100)*(C2502*VLOOKUP(B2502,'Poids des runes'!A:B,2,FALSE)))+1)/VLOOKUP(B2502,'Poids des runes'!A:B,2,FALSE))</f>
        <v>11.4</v>
      </c>
      <c r="F2502">
        <f t="shared" si="39"/>
        <v>11.4</v>
      </c>
    </row>
    <row r="2503" spans="1:6" x14ac:dyDescent="0.3">
      <c r="A2503" t="s">
        <v>697</v>
      </c>
      <c r="B2503" t="s">
        <v>2134</v>
      </c>
      <c r="C2503">
        <v>4.5</v>
      </c>
      <c r="D2503">
        <v>80</v>
      </c>
      <c r="E2503">
        <f>IF(OR(B2503="vi",B2503="ii",B2503="pod"),(((D2503/100)*(C2503*VLOOKUP(B2503,'Poids des runes'!A:B,2,FALSE)))+1),(((D2503/100)*(C2503*VLOOKUP(B2503,'Poids des runes'!A:B,2,FALSE)))+1)/VLOOKUP(B2503,'Poids des runes'!A:B,2,FALSE))</f>
        <v>3.65</v>
      </c>
      <c r="F2503">
        <f t="shared" si="39"/>
        <v>3.65</v>
      </c>
    </row>
    <row r="2504" spans="1:6" x14ac:dyDescent="0.3">
      <c r="A2504" t="s">
        <v>697</v>
      </c>
      <c r="B2504" t="s">
        <v>2161</v>
      </c>
      <c r="C2504">
        <v>8</v>
      </c>
      <c r="D2504">
        <v>80</v>
      </c>
      <c r="E2504">
        <f>IF(OR(B2504="vi",B2504="ii",B2504="pod"),(((D2504/100)*(C2504*VLOOKUP(B2504,'Poids des runes'!A:B,2,FALSE)))+1),(((D2504/100)*(C2504*VLOOKUP(B2504,'Poids des runes'!A:B,2,FALSE)))+1)/VLOOKUP(B2504,'Poids des runes'!A:B,2,FALSE))</f>
        <v>6.7333333333333343</v>
      </c>
      <c r="F2504">
        <f t="shared" si="39"/>
        <v>6.7333333333333343</v>
      </c>
    </row>
    <row r="2505" spans="1:6" x14ac:dyDescent="0.3">
      <c r="A2505" t="s">
        <v>697</v>
      </c>
      <c r="B2505" t="s">
        <v>2132</v>
      </c>
      <c r="C2505">
        <v>150.5</v>
      </c>
      <c r="D2505">
        <v>80</v>
      </c>
      <c r="E2505">
        <f>IF(OR(B2505="vi",B2505="ii",B2505="pod"),(((D2505/100)*(C2505*VLOOKUP(B2505,'Poids des runes'!A:B,2,FALSE)))+1),(((D2505/100)*(C2505*VLOOKUP(B2505,'Poids des runes'!A:B,2,FALSE)))+1)/VLOOKUP(B2505,'Poids des runes'!A:B,2,FALSE))</f>
        <v>13.040000000000001</v>
      </c>
      <c r="F2505">
        <f t="shared" si="39"/>
        <v>13.040000000000001</v>
      </c>
    </row>
    <row r="2506" spans="1:6" x14ac:dyDescent="0.3">
      <c r="A2506" t="s">
        <v>698</v>
      </c>
      <c r="B2506" t="s">
        <v>2128</v>
      </c>
      <c r="C2506">
        <v>28</v>
      </c>
      <c r="D2506">
        <v>80</v>
      </c>
      <c r="E2506">
        <f>IF(OR(B2506="vi",B2506="ii",B2506="pod"),(((D2506/100)*(C2506*VLOOKUP(B2506,'Poids des runes'!A:B,2,FALSE)))+1),(((D2506/100)*(C2506*VLOOKUP(B2506,'Poids des runes'!A:B,2,FALSE)))+1)/VLOOKUP(B2506,'Poids des runes'!A:B,2,FALSE))</f>
        <v>5.48</v>
      </c>
      <c r="F2506">
        <f t="shared" si="39"/>
        <v>5.48</v>
      </c>
    </row>
    <row r="2507" spans="1:6" x14ac:dyDescent="0.3">
      <c r="A2507" t="s">
        <v>698</v>
      </c>
      <c r="B2507" t="s">
        <v>2130</v>
      </c>
      <c r="C2507">
        <v>23</v>
      </c>
      <c r="D2507">
        <v>80</v>
      </c>
      <c r="E2507">
        <f>IF(OR(B2507="vi",B2507="ii",B2507="pod"),(((D2507/100)*(C2507*VLOOKUP(B2507,'Poids des runes'!A:B,2,FALSE)))+1),(((D2507/100)*(C2507*VLOOKUP(B2507,'Poids des runes'!A:B,2,FALSE)))+1)/VLOOKUP(B2507,'Poids des runes'!A:B,2,FALSE))</f>
        <v>19.400000000000002</v>
      </c>
      <c r="F2507">
        <f t="shared" si="39"/>
        <v>19.400000000000002</v>
      </c>
    </row>
    <row r="2508" spans="1:6" x14ac:dyDescent="0.3">
      <c r="A2508" t="s">
        <v>698</v>
      </c>
      <c r="B2508" t="s">
        <v>2129</v>
      </c>
      <c r="C2508">
        <v>13</v>
      </c>
      <c r="D2508">
        <v>80</v>
      </c>
      <c r="E2508">
        <f>IF(OR(B2508="vi",B2508="ii",B2508="pod"),(((D2508/100)*(C2508*VLOOKUP(B2508,'Poids des runes'!A:B,2,FALSE)))+1),(((D2508/100)*(C2508*VLOOKUP(B2508,'Poids des runes'!A:B,2,FALSE)))+1)/VLOOKUP(B2508,'Poids des runes'!A:B,2,FALSE))</f>
        <v>11.4</v>
      </c>
      <c r="F2508">
        <f t="shared" si="39"/>
        <v>11.4</v>
      </c>
    </row>
    <row r="2509" spans="1:6" x14ac:dyDescent="0.3">
      <c r="A2509" t="s">
        <v>698</v>
      </c>
      <c r="B2509" t="s">
        <v>2134</v>
      </c>
      <c r="C2509">
        <v>4.5</v>
      </c>
      <c r="D2509">
        <v>80</v>
      </c>
      <c r="E2509">
        <f>IF(OR(B2509="vi",B2509="ii",B2509="pod"),(((D2509/100)*(C2509*VLOOKUP(B2509,'Poids des runes'!A:B,2,FALSE)))+1),(((D2509/100)*(C2509*VLOOKUP(B2509,'Poids des runes'!A:B,2,FALSE)))+1)/VLOOKUP(B2509,'Poids des runes'!A:B,2,FALSE))</f>
        <v>3.65</v>
      </c>
      <c r="F2509">
        <f t="shared" si="39"/>
        <v>3.65</v>
      </c>
    </row>
    <row r="2510" spans="1:6" x14ac:dyDescent="0.3">
      <c r="A2510" t="s">
        <v>698</v>
      </c>
      <c r="B2510" t="s">
        <v>2161</v>
      </c>
      <c r="C2510">
        <v>8</v>
      </c>
      <c r="D2510">
        <v>80</v>
      </c>
      <c r="E2510">
        <f>IF(OR(B2510="vi",B2510="ii",B2510="pod"),(((D2510/100)*(C2510*VLOOKUP(B2510,'Poids des runes'!A:B,2,FALSE)))+1),(((D2510/100)*(C2510*VLOOKUP(B2510,'Poids des runes'!A:B,2,FALSE)))+1)/VLOOKUP(B2510,'Poids des runes'!A:B,2,FALSE))</f>
        <v>6.7333333333333343</v>
      </c>
      <c r="F2510">
        <f t="shared" si="39"/>
        <v>6.7333333333333343</v>
      </c>
    </row>
    <row r="2511" spans="1:6" x14ac:dyDescent="0.3">
      <c r="A2511" t="s">
        <v>698</v>
      </c>
      <c r="B2511" t="s">
        <v>2132</v>
      </c>
      <c r="C2511">
        <v>150.5</v>
      </c>
      <c r="D2511">
        <v>80</v>
      </c>
      <c r="E2511">
        <f>IF(OR(B2511="vi",B2511="ii",B2511="pod"),(((D2511/100)*(C2511*VLOOKUP(B2511,'Poids des runes'!A:B,2,FALSE)))+1),(((D2511/100)*(C2511*VLOOKUP(B2511,'Poids des runes'!A:B,2,FALSE)))+1)/VLOOKUP(B2511,'Poids des runes'!A:B,2,FALSE))</f>
        <v>13.040000000000001</v>
      </c>
      <c r="F2511">
        <f t="shared" si="39"/>
        <v>13.040000000000001</v>
      </c>
    </row>
    <row r="2512" spans="1:6" x14ac:dyDescent="0.3">
      <c r="A2512" t="s">
        <v>699</v>
      </c>
      <c r="B2512" t="s">
        <v>2128</v>
      </c>
      <c r="C2512">
        <v>28</v>
      </c>
      <c r="D2512">
        <v>80</v>
      </c>
      <c r="E2512">
        <f>IF(OR(B2512="vi",B2512="ii",B2512="pod"),(((D2512/100)*(C2512*VLOOKUP(B2512,'Poids des runes'!A:B,2,FALSE)))+1),(((D2512/100)*(C2512*VLOOKUP(B2512,'Poids des runes'!A:B,2,FALSE)))+1)/VLOOKUP(B2512,'Poids des runes'!A:B,2,FALSE))</f>
        <v>5.48</v>
      </c>
      <c r="F2512">
        <f t="shared" si="39"/>
        <v>5.48</v>
      </c>
    </row>
    <row r="2513" spans="1:6" x14ac:dyDescent="0.3">
      <c r="A2513" t="s">
        <v>699</v>
      </c>
      <c r="B2513" t="s">
        <v>2127</v>
      </c>
      <c r="C2513">
        <v>23</v>
      </c>
      <c r="D2513">
        <v>80</v>
      </c>
      <c r="E2513">
        <f>IF(OR(B2513="vi",B2513="ii",B2513="pod"),(((D2513/100)*(C2513*VLOOKUP(B2513,'Poids des runes'!A:B,2,FALSE)))+1),(((D2513/100)*(C2513*VLOOKUP(B2513,'Poids des runes'!A:B,2,FALSE)))+1)/VLOOKUP(B2513,'Poids des runes'!A:B,2,FALSE))</f>
        <v>19.400000000000002</v>
      </c>
      <c r="F2513">
        <f t="shared" si="39"/>
        <v>19.400000000000002</v>
      </c>
    </row>
    <row r="2514" spans="1:6" x14ac:dyDescent="0.3">
      <c r="A2514" t="s">
        <v>699</v>
      </c>
      <c r="B2514" t="s">
        <v>2129</v>
      </c>
      <c r="C2514">
        <v>13</v>
      </c>
      <c r="D2514">
        <v>80</v>
      </c>
      <c r="E2514">
        <f>IF(OR(B2514="vi",B2514="ii",B2514="pod"),(((D2514/100)*(C2514*VLOOKUP(B2514,'Poids des runes'!A:B,2,FALSE)))+1),(((D2514/100)*(C2514*VLOOKUP(B2514,'Poids des runes'!A:B,2,FALSE)))+1)/VLOOKUP(B2514,'Poids des runes'!A:B,2,FALSE))</f>
        <v>11.4</v>
      </c>
      <c r="F2514">
        <f t="shared" si="39"/>
        <v>11.4</v>
      </c>
    </row>
    <row r="2515" spans="1:6" x14ac:dyDescent="0.3">
      <c r="A2515" t="s">
        <v>699</v>
      </c>
      <c r="B2515" t="s">
        <v>2134</v>
      </c>
      <c r="C2515">
        <v>4.5</v>
      </c>
      <c r="D2515">
        <v>80</v>
      </c>
      <c r="E2515">
        <f>IF(OR(B2515="vi",B2515="ii",B2515="pod"),(((D2515/100)*(C2515*VLOOKUP(B2515,'Poids des runes'!A:B,2,FALSE)))+1),(((D2515/100)*(C2515*VLOOKUP(B2515,'Poids des runes'!A:B,2,FALSE)))+1)/VLOOKUP(B2515,'Poids des runes'!A:B,2,FALSE))</f>
        <v>3.65</v>
      </c>
      <c r="F2515">
        <f t="shared" si="39"/>
        <v>3.65</v>
      </c>
    </row>
    <row r="2516" spans="1:6" x14ac:dyDescent="0.3">
      <c r="A2516" t="s">
        <v>699</v>
      </c>
      <c r="B2516" t="s">
        <v>2161</v>
      </c>
      <c r="C2516">
        <v>8</v>
      </c>
      <c r="D2516">
        <v>80</v>
      </c>
      <c r="E2516">
        <f>IF(OR(B2516="vi",B2516="ii",B2516="pod"),(((D2516/100)*(C2516*VLOOKUP(B2516,'Poids des runes'!A:B,2,FALSE)))+1),(((D2516/100)*(C2516*VLOOKUP(B2516,'Poids des runes'!A:B,2,FALSE)))+1)/VLOOKUP(B2516,'Poids des runes'!A:B,2,FALSE))</f>
        <v>6.7333333333333343</v>
      </c>
      <c r="F2516">
        <f t="shared" si="39"/>
        <v>6.7333333333333343</v>
      </c>
    </row>
    <row r="2517" spans="1:6" x14ac:dyDescent="0.3">
      <c r="A2517" t="s">
        <v>699</v>
      </c>
      <c r="B2517" t="s">
        <v>2132</v>
      </c>
      <c r="C2517">
        <v>150.5</v>
      </c>
      <c r="D2517">
        <v>80</v>
      </c>
      <c r="E2517">
        <f>IF(OR(B2517="vi",B2517="ii",B2517="pod"),(((D2517/100)*(C2517*VLOOKUP(B2517,'Poids des runes'!A:B,2,FALSE)))+1),(((D2517/100)*(C2517*VLOOKUP(B2517,'Poids des runes'!A:B,2,FALSE)))+1)/VLOOKUP(B2517,'Poids des runes'!A:B,2,FALSE))</f>
        <v>13.040000000000001</v>
      </c>
      <c r="F2517">
        <f t="shared" si="39"/>
        <v>13.040000000000001</v>
      </c>
    </row>
    <row r="2518" spans="1:6" x14ac:dyDescent="0.3">
      <c r="A2518" t="s">
        <v>700</v>
      </c>
      <c r="B2518" t="s">
        <v>2128</v>
      </c>
      <c r="C2518">
        <v>28</v>
      </c>
      <c r="D2518">
        <v>80</v>
      </c>
      <c r="E2518">
        <f>IF(OR(B2518="vi",B2518="ii",B2518="pod"),(((D2518/100)*(C2518*VLOOKUP(B2518,'Poids des runes'!A:B,2,FALSE)))+1),(((D2518/100)*(C2518*VLOOKUP(B2518,'Poids des runes'!A:B,2,FALSE)))+1)/VLOOKUP(B2518,'Poids des runes'!A:B,2,FALSE))</f>
        <v>5.48</v>
      </c>
      <c r="F2518">
        <f t="shared" si="39"/>
        <v>5.48</v>
      </c>
    </row>
    <row r="2519" spans="1:6" x14ac:dyDescent="0.3">
      <c r="A2519" t="s">
        <v>700</v>
      </c>
      <c r="B2519" t="s">
        <v>2131</v>
      </c>
      <c r="C2519">
        <v>23</v>
      </c>
      <c r="D2519">
        <v>80</v>
      </c>
      <c r="E2519">
        <f>IF(OR(B2519="vi",B2519="ii",B2519="pod"),(((D2519/100)*(C2519*VLOOKUP(B2519,'Poids des runes'!A:B,2,FALSE)))+1),(((D2519/100)*(C2519*VLOOKUP(B2519,'Poids des runes'!A:B,2,FALSE)))+1)/VLOOKUP(B2519,'Poids des runes'!A:B,2,FALSE))</f>
        <v>19.400000000000002</v>
      </c>
      <c r="F2519">
        <f t="shared" si="39"/>
        <v>19.400000000000002</v>
      </c>
    </row>
    <row r="2520" spans="1:6" x14ac:dyDescent="0.3">
      <c r="A2520" t="s">
        <v>700</v>
      </c>
      <c r="B2520" t="s">
        <v>2129</v>
      </c>
      <c r="C2520">
        <v>13</v>
      </c>
      <c r="D2520">
        <v>80</v>
      </c>
      <c r="E2520">
        <f>IF(OR(B2520="vi",B2520="ii",B2520="pod"),(((D2520/100)*(C2520*VLOOKUP(B2520,'Poids des runes'!A:B,2,FALSE)))+1),(((D2520/100)*(C2520*VLOOKUP(B2520,'Poids des runes'!A:B,2,FALSE)))+1)/VLOOKUP(B2520,'Poids des runes'!A:B,2,FALSE))</f>
        <v>11.4</v>
      </c>
      <c r="F2520">
        <f t="shared" si="39"/>
        <v>11.4</v>
      </c>
    </row>
    <row r="2521" spans="1:6" x14ac:dyDescent="0.3">
      <c r="A2521" t="s">
        <v>700</v>
      </c>
      <c r="B2521" t="s">
        <v>2134</v>
      </c>
      <c r="C2521">
        <v>4.5</v>
      </c>
      <c r="D2521">
        <v>80</v>
      </c>
      <c r="E2521">
        <f>IF(OR(B2521="vi",B2521="ii",B2521="pod"),(((D2521/100)*(C2521*VLOOKUP(B2521,'Poids des runes'!A:B,2,FALSE)))+1),(((D2521/100)*(C2521*VLOOKUP(B2521,'Poids des runes'!A:B,2,FALSE)))+1)/VLOOKUP(B2521,'Poids des runes'!A:B,2,FALSE))</f>
        <v>3.65</v>
      </c>
      <c r="F2521">
        <f t="shared" si="39"/>
        <v>3.65</v>
      </c>
    </row>
    <row r="2522" spans="1:6" x14ac:dyDescent="0.3">
      <c r="A2522" t="s">
        <v>700</v>
      </c>
      <c r="B2522" t="s">
        <v>2161</v>
      </c>
      <c r="C2522">
        <v>8</v>
      </c>
      <c r="D2522">
        <v>80</v>
      </c>
      <c r="E2522">
        <f>IF(OR(B2522="vi",B2522="ii",B2522="pod"),(((D2522/100)*(C2522*VLOOKUP(B2522,'Poids des runes'!A:B,2,FALSE)))+1),(((D2522/100)*(C2522*VLOOKUP(B2522,'Poids des runes'!A:B,2,FALSE)))+1)/VLOOKUP(B2522,'Poids des runes'!A:B,2,FALSE))</f>
        <v>6.7333333333333343</v>
      </c>
      <c r="F2522">
        <f t="shared" si="39"/>
        <v>6.7333333333333343</v>
      </c>
    </row>
    <row r="2523" spans="1:6" x14ac:dyDescent="0.3">
      <c r="A2523" t="s">
        <v>700</v>
      </c>
      <c r="B2523" t="s">
        <v>2132</v>
      </c>
      <c r="C2523">
        <v>150.5</v>
      </c>
      <c r="D2523">
        <v>80</v>
      </c>
      <c r="E2523">
        <f>IF(OR(B2523="vi",B2523="ii",B2523="pod"),(((D2523/100)*(C2523*VLOOKUP(B2523,'Poids des runes'!A:B,2,FALSE)))+1),(((D2523/100)*(C2523*VLOOKUP(B2523,'Poids des runes'!A:B,2,FALSE)))+1)/VLOOKUP(B2523,'Poids des runes'!A:B,2,FALSE))</f>
        <v>13.040000000000001</v>
      </c>
      <c r="F2523">
        <f t="shared" si="39"/>
        <v>13.040000000000001</v>
      </c>
    </row>
    <row r="2524" spans="1:6" x14ac:dyDescent="0.3">
      <c r="A2524" t="s">
        <v>701</v>
      </c>
      <c r="B2524" t="s">
        <v>2130</v>
      </c>
      <c r="C2524">
        <v>25.5</v>
      </c>
      <c r="D2524">
        <v>80</v>
      </c>
      <c r="E2524">
        <f>IF(OR(B2524="vi",B2524="ii",B2524="pod"),(((D2524/100)*(C2524*VLOOKUP(B2524,'Poids des runes'!A:B,2,FALSE)))+1),(((D2524/100)*(C2524*VLOOKUP(B2524,'Poids des runes'!A:B,2,FALSE)))+1)/VLOOKUP(B2524,'Poids des runes'!A:B,2,FALSE))</f>
        <v>21.400000000000002</v>
      </c>
      <c r="F2524">
        <f t="shared" si="39"/>
        <v>21.400000000000002</v>
      </c>
    </row>
    <row r="2525" spans="1:6" x14ac:dyDescent="0.3">
      <c r="A2525" t="s">
        <v>701</v>
      </c>
      <c r="B2525" t="s">
        <v>2129</v>
      </c>
      <c r="C2525">
        <v>13</v>
      </c>
      <c r="D2525">
        <v>80</v>
      </c>
      <c r="E2525">
        <f>IF(OR(B2525="vi",B2525="ii",B2525="pod"),(((D2525/100)*(C2525*VLOOKUP(B2525,'Poids des runes'!A:B,2,FALSE)))+1),(((D2525/100)*(C2525*VLOOKUP(B2525,'Poids des runes'!A:B,2,FALSE)))+1)/VLOOKUP(B2525,'Poids des runes'!A:B,2,FALSE))</f>
        <v>11.4</v>
      </c>
      <c r="F2525">
        <f t="shared" si="39"/>
        <v>11.4</v>
      </c>
    </row>
    <row r="2526" spans="1:6" x14ac:dyDescent="0.3">
      <c r="A2526" t="s">
        <v>701</v>
      </c>
      <c r="B2526" t="s">
        <v>2139</v>
      </c>
      <c r="C2526">
        <v>4.5</v>
      </c>
      <c r="D2526">
        <v>80</v>
      </c>
      <c r="E2526">
        <f>IF(OR(B2526="vi",B2526="ii",B2526="pod"),(((D2526/100)*(C2526*VLOOKUP(B2526,'Poids des runes'!A:B,2,FALSE)))+1),(((D2526/100)*(C2526*VLOOKUP(B2526,'Poids des runes'!A:B,2,FALSE)))+1)/VLOOKUP(B2526,'Poids des runes'!A:B,2,FALSE))</f>
        <v>4.0999999999999996</v>
      </c>
      <c r="F2526">
        <f t="shared" si="39"/>
        <v>4.0999999999999996</v>
      </c>
    </row>
    <row r="2527" spans="1:6" x14ac:dyDescent="0.3">
      <c r="A2527" t="s">
        <v>701</v>
      </c>
      <c r="B2527" t="s">
        <v>2161</v>
      </c>
      <c r="C2527">
        <v>4.5</v>
      </c>
      <c r="D2527">
        <v>80</v>
      </c>
      <c r="E2527">
        <f>IF(OR(B2527="vi",B2527="ii",B2527="pod"),(((D2527/100)*(C2527*VLOOKUP(B2527,'Poids des runes'!A:B,2,FALSE)))+1),(((D2527/100)*(C2527*VLOOKUP(B2527,'Poids des runes'!A:B,2,FALSE)))+1)/VLOOKUP(B2527,'Poids des runes'!A:B,2,FALSE))</f>
        <v>3.9333333333333336</v>
      </c>
      <c r="F2527">
        <f t="shared" si="39"/>
        <v>3.9333333333333336</v>
      </c>
    </row>
    <row r="2528" spans="1:6" x14ac:dyDescent="0.3">
      <c r="A2528" t="s">
        <v>701</v>
      </c>
      <c r="B2528" t="s">
        <v>2147</v>
      </c>
      <c r="C2528">
        <v>4</v>
      </c>
      <c r="D2528">
        <v>80</v>
      </c>
      <c r="E2528">
        <f>IF(OR(B2528="vi",B2528="ii",B2528="pod"),(((D2528/100)*(C2528*VLOOKUP(B2528,'Poids des runes'!A:B,2,FALSE)))+1),(((D2528/100)*(C2528*VLOOKUP(B2528,'Poids des runes'!A:B,2,FALSE)))+1)/VLOOKUP(B2528,'Poids des runes'!A:B,2,FALSE))</f>
        <v>3.3666666666666671</v>
      </c>
      <c r="F2528">
        <f t="shared" si="39"/>
        <v>3.3666666666666671</v>
      </c>
    </row>
    <row r="2529" spans="1:6" x14ac:dyDescent="0.3">
      <c r="A2529" t="s">
        <v>701</v>
      </c>
      <c r="B2529" t="s">
        <v>2135</v>
      </c>
      <c r="C2529">
        <v>4</v>
      </c>
      <c r="D2529">
        <v>80</v>
      </c>
      <c r="E2529">
        <f>IF(OR(B2529="vi",B2529="ii",B2529="pod"),(((D2529/100)*(C2529*VLOOKUP(B2529,'Poids des runes'!A:B,2,FALSE)))+1),(((D2529/100)*(C2529*VLOOKUP(B2529,'Poids des runes'!A:B,2,FALSE)))+1)/VLOOKUP(B2529,'Poids des runes'!A:B,2,FALSE))</f>
        <v>3.3666666666666671</v>
      </c>
      <c r="F2529">
        <f t="shared" si="39"/>
        <v>3.3666666666666671</v>
      </c>
    </row>
    <row r="2530" spans="1:6" x14ac:dyDescent="0.3">
      <c r="A2530" t="s">
        <v>701</v>
      </c>
      <c r="B2530" t="s">
        <v>2157</v>
      </c>
      <c r="C2530">
        <v>4</v>
      </c>
      <c r="D2530">
        <v>80</v>
      </c>
      <c r="E2530">
        <f>IF(OR(B2530="vi",B2530="ii",B2530="pod"),(((D2530/100)*(C2530*VLOOKUP(B2530,'Poids des runes'!A:B,2,FALSE)))+1),(((D2530/100)*(C2530*VLOOKUP(B2530,'Poids des runes'!A:B,2,FALSE)))+1)/VLOOKUP(B2530,'Poids des runes'!A:B,2,FALSE))</f>
        <v>3.3666666666666671</v>
      </c>
      <c r="F2530">
        <f t="shared" si="39"/>
        <v>3.3666666666666671</v>
      </c>
    </row>
    <row r="2531" spans="1:6" x14ac:dyDescent="0.3">
      <c r="A2531" t="s">
        <v>701</v>
      </c>
      <c r="B2531" t="s">
        <v>2144</v>
      </c>
      <c r="C2531">
        <v>2.5</v>
      </c>
      <c r="D2531">
        <v>80</v>
      </c>
      <c r="E2531">
        <f>IF(OR(B2531="vi",B2531="ii",B2531="pod"),(((D2531/100)*(C2531*VLOOKUP(B2531,'Poids des runes'!A:B,2,FALSE)))+1),(((D2531/100)*(C2531*VLOOKUP(B2531,'Poids des runes'!A:B,2,FALSE)))+1)/VLOOKUP(B2531,'Poids des runes'!A:B,2,FALSE))</f>
        <v>2.5</v>
      </c>
      <c r="F2531">
        <f t="shared" si="39"/>
        <v>2.5</v>
      </c>
    </row>
    <row r="2532" spans="1:6" x14ac:dyDescent="0.3">
      <c r="A2532" t="s">
        <v>701</v>
      </c>
      <c r="B2532" t="s">
        <v>2145</v>
      </c>
      <c r="C2532">
        <v>2.5</v>
      </c>
      <c r="D2532">
        <v>80</v>
      </c>
      <c r="E2532">
        <f>IF(OR(B2532="vi",B2532="ii",B2532="pod"),(((D2532/100)*(C2532*VLOOKUP(B2532,'Poids des runes'!A:B,2,FALSE)))+1),(((D2532/100)*(C2532*VLOOKUP(B2532,'Poids des runes'!A:B,2,FALSE)))+1)/VLOOKUP(B2532,'Poids des runes'!A:B,2,FALSE))</f>
        <v>2.5</v>
      </c>
      <c r="F2532">
        <f t="shared" si="39"/>
        <v>2.5</v>
      </c>
    </row>
    <row r="2533" spans="1:6" x14ac:dyDescent="0.3">
      <c r="A2533" t="s">
        <v>701</v>
      </c>
      <c r="B2533" t="s">
        <v>2146</v>
      </c>
      <c r="C2533">
        <v>2.5</v>
      </c>
      <c r="D2533">
        <v>80</v>
      </c>
      <c r="E2533">
        <f>IF(OR(B2533="vi",B2533="ii",B2533="pod"),(((D2533/100)*(C2533*VLOOKUP(B2533,'Poids des runes'!A:B,2,FALSE)))+1),(((D2533/100)*(C2533*VLOOKUP(B2533,'Poids des runes'!A:B,2,FALSE)))+1)/VLOOKUP(B2533,'Poids des runes'!A:B,2,FALSE))</f>
        <v>2.5</v>
      </c>
      <c r="F2533">
        <f t="shared" si="39"/>
        <v>2.5</v>
      </c>
    </row>
    <row r="2534" spans="1:6" x14ac:dyDescent="0.3">
      <c r="A2534" t="s">
        <v>702</v>
      </c>
      <c r="B2534" t="s">
        <v>2128</v>
      </c>
      <c r="C2534">
        <v>50.5</v>
      </c>
      <c r="D2534">
        <v>80</v>
      </c>
      <c r="E2534">
        <f>IF(OR(B2534="vi",B2534="ii",B2534="pod"),(((D2534/100)*(C2534*VLOOKUP(B2534,'Poids des runes'!A:B,2,FALSE)))+1),(((D2534/100)*(C2534*VLOOKUP(B2534,'Poids des runes'!A:B,2,FALSE)))+1)/VLOOKUP(B2534,'Poids des runes'!A:B,2,FALSE))</f>
        <v>9.0800000000000018</v>
      </c>
      <c r="F2534">
        <f t="shared" si="39"/>
        <v>9.0800000000000018</v>
      </c>
    </row>
    <row r="2535" spans="1:6" x14ac:dyDescent="0.3">
      <c r="A2535" t="s">
        <v>702</v>
      </c>
      <c r="B2535" t="s">
        <v>2127</v>
      </c>
      <c r="C2535">
        <v>35.5</v>
      </c>
      <c r="D2535">
        <v>80</v>
      </c>
      <c r="E2535">
        <f>IF(OR(B2535="vi",B2535="ii",B2535="pod"),(((D2535/100)*(C2535*VLOOKUP(B2535,'Poids des runes'!A:B,2,FALSE)))+1),(((D2535/100)*(C2535*VLOOKUP(B2535,'Poids des runes'!A:B,2,FALSE)))+1)/VLOOKUP(B2535,'Poids des runes'!A:B,2,FALSE))</f>
        <v>29.400000000000002</v>
      </c>
      <c r="F2535">
        <f t="shared" si="39"/>
        <v>29.400000000000002</v>
      </c>
    </row>
    <row r="2536" spans="1:6" x14ac:dyDescent="0.3">
      <c r="A2536" t="s">
        <v>702</v>
      </c>
      <c r="B2536" t="s">
        <v>2129</v>
      </c>
      <c r="C2536">
        <v>23</v>
      </c>
      <c r="D2536">
        <v>80</v>
      </c>
      <c r="E2536">
        <f>IF(OR(B2536="vi",B2536="ii",B2536="pod"),(((D2536/100)*(C2536*VLOOKUP(B2536,'Poids des runes'!A:B,2,FALSE)))+1),(((D2536/100)*(C2536*VLOOKUP(B2536,'Poids des runes'!A:B,2,FALSE)))+1)/VLOOKUP(B2536,'Poids des runes'!A:B,2,FALSE))</f>
        <v>19.400000000000002</v>
      </c>
      <c r="F2536">
        <f t="shared" si="39"/>
        <v>19.400000000000002</v>
      </c>
    </row>
    <row r="2537" spans="1:6" x14ac:dyDescent="0.3">
      <c r="A2537" t="s">
        <v>702</v>
      </c>
      <c r="B2537" t="s">
        <v>2150</v>
      </c>
      <c r="C2537">
        <v>1</v>
      </c>
      <c r="D2537">
        <v>80</v>
      </c>
      <c r="E2537">
        <f>IF(OR(B2537="vi",B2537="ii",B2537="pod"),(((D2537/100)*(C2537*VLOOKUP(B2537,'Poids des runes'!A:B,2,FALSE)))+1),(((D2537/100)*(C2537*VLOOKUP(B2537,'Poids des runes'!A:B,2,FALSE)))+1)/VLOOKUP(B2537,'Poids des runes'!A:B,2,FALSE))</f>
        <v>0.83333333333333337</v>
      </c>
      <c r="F2537">
        <f t="shared" si="39"/>
        <v>0.83333333333333337</v>
      </c>
    </row>
    <row r="2538" spans="1:6" x14ac:dyDescent="0.3">
      <c r="A2538" t="s">
        <v>702</v>
      </c>
      <c r="B2538" t="s">
        <v>2153</v>
      </c>
      <c r="C2538">
        <v>8.5</v>
      </c>
      <c r="D2538">
        <v>80</v>
      </c>
      <c r="E2538">
        <f>IF(OR(B2538="vi",B2538="ii",B2538="pod"),(((D2538/100)*(C2538*VLOOKUP(B2538,'Poids des runes'!A:B,2,FALSE)))+1),(((D2538/100)*(C2538*VLOOKUP(B2538,'Poids des runes'!A:B,2,FALSE)))+1)/VLOOKUP(B2538,'Poids des runes'!A:B,2,FALSE))</f>
        <v>7</v>
      </c>
      <c r="F2538">
        <f t="shared" si="39"/>
        <v>7</v>
      </c>
    </row>
    <row r="2539" spans="1:6" x14ac:dyDescent="0.3">
      <c r="A2539" t="s">
        <v>702</v>
      </c>
      <c r="B2539" t="s">
        <v>2132</v>
      </c>
      <c r="C2539">
        <v>125.5</v>
      </c>
      <c r="D2539">
        <v>80</v>
      </c>
      <c r="E2539">
        <f>IF(OR(B2539="vi",B2539="ii",B2539="pod"),(((D2539/100)*(C2539*VLOOKUP(B2539,'Poids des runes'!A:B,2,FALSE)))+1),(((D2539/100)*(C2539*VLOOKUP(B2539,'Poids des runes'!A:B,2,FALSE)))+1)/VLOOKUP(B2539,'Poids des runes'!A:B,2,FALSE))</f>
        <v>11.040000000000001</v>
      </c>
      <c r="F2539">
        <f t="shared" si="39"/>
        <v>11.040000000000001</v>
      </c>
    </row>
    <row r="2540" spans="1:6" x14ac:dyDescent="0.3">
      <c r="A2540" t="s">
        <v>703</v>
      </c>
      <c r="B2540" t="s">
        <v>2126</v>
      </c>
      <c r="C2540">
        <v>25.5</v>
      </c>
      <c r="D2540">
        <v>80</v>
      </c>
      <c r="E2540">
        <f>IF(OR(B2540="vi",B2540="ii",B2540="pod"),(((D2540/100)*(C2540*VLOOKUP(B2540,'Poids des runes'!A:B,2,FALSE)))+1),(((D2540/100)*(C2540*VLOOKUP(B2540,'Poids des runes'!A:B,2,FALSE)))+1)/VLOOKUP(B2540,'Poids des runes'!A:B,2,FALSE))</f>
        <v>21.400000000000002</v>
      </c>
      <c r="F2540">
        <f t="shared" si="39"/>
        <v>21.400000000000002</v>
      </c>
    </row>
    <row r="2541" spans="1:6" x14ac:dyDescent="0.3">
      <c r="A2541" t="s">
        <v>703</v>
      </c>
      <c r="B2541" t="s">
        <v>2129</v>
      </c>
      <c r="C2541">
        <v>13</v>
      </c>
      <c r="D2541">
        <v>80</v>
      </c>
      <c r="E2541">
        <f>IF(OR(B2541="vi",B2541="ii",B2541="pod"),(((D2541/100)*(C2541*VLOOKUP(B2541,'Poids des runes'!A:B,2,FALSE)))+1),(((D2541/100)*(C2541*VLOOKUP(B2541,'Poids des runes'!A:B,2,FALSE)))+1)/VLOOKUP(B2541,'Poids des runes'!A:B,2,FALSE))</f>
        <v>11.4</v>
      </c>
      <c r="F2541">
        <f t="shared" si="39"/>
        <v>11.4</v>
      </c>
    </row>
    <row r="2542" spans="1:6" x14ac:dyDescent="0.3">
      <c r="A2542" t="s">
        <v>703</v>
      </c>
      <c r="B2542" t="s">
        <v>2139</v>
      </c>
      <c r="C2542">
        <v>4.5</v>
      </c>
      <c r="D2542">
        <v>80</v>
      </c>
      <c r="E2542">
        <f>IF(OR(B2542="vi",B2542="ii",B2542="pod"),(((D2542/100)*(C2542*VLOOKUP(B2542,'Poids des runes'!A:B,2,FALSE)))+1),(((D2542/100)*(C2542*VLOOKUP(B2542,'Poids des runes'!A:B,2,FALSE)))+1)/VLOOKUP(B2542,'Poids des runes'!A:B,2,FALSE))</f>
        <v>4.0999999999999996</v>
      </c>
      <c r="F2542">
        <f t="shared" si="39"/>
        <v>4.0999999999999996</v>
      </c>
    </row>
    <row r="2543" spans="1:6" x14ac:dyDescent="0.3">
      <c r="A2543" t="s">
        <v>703</v>
      </c>
      <c r="B2543" t="s">
        <v>2161</v>
      </c>
      <c r="C2543">
        <v>4.5</v>
      </c>
      <c r="D2543">
        <v>80</v>
      </c>
      <c r="E2543">
        <f>IF(OR(B2543="vi",B2543="ii",B2543="pod"),(((D2543/100)*(C2543*VLOOKUP(B2543,'Poids des runes'!A:B,2,FALSE)))+1),(((D2543/100)*(C2543*VLOOKUP(B2543,'Poids des runes'!A:B,2,FALSE)))+1)/VLOOKUP(B2543,'Poids des runes'!A:B,2,FALSE))</f>
        <v>3.9333333333333336</v>
      </c>
      <c r="F2543">
        <f t="shared" si="39"/>
        <v>3.9333333333333336</v>
      </c>
    </row>
    <row r="2544" spans="1:6" x14ac:dyDescent="0.3">
      <c r="A2544" t="s">
        <v>703</v>
      </c>
      <c r="B2544" t="s">
        <v>2148</v>
      </c>
      <c r="C2544">
        <v>8</v>
      </c>
      <c r="D2544">
        <v>80</v>
      </c>
      <c r="E2544">
        <f>IF(OR(B2544="vi",B2544="ii",B2544="pod"),(((D2544/100)*(C2544*VLOOKUP(B2544,'Poids des runes'!A:B,2,FALSE)))+1),(((D2544/100)*(C2544*VLOOKUP(B2544,'Poids des runes'!A:B,2,FALSE)))+1)/VLOOKUP(B2544,'Poids des runes'!A:B,2,FALSE))</f>
        <v>6.5666666666666673</v>
      </c>
      <c r="F2544">
        <f t="shared" si="39"/>
        <v>6.5666666666666673</v>
      </c>
    </row>
    <row r="2545" spans="1:6" x14ac:dyDescent="0.3">
      <c r="A2545" t="s">
        <v>703</v>
      </c>
      <c r="B2545" t="s">
        <v>2147</v>
      </c>
      <c r="C2545">
        <v>4</v>
      </c>
      <c r="D2545">
        <v>80</v>
      </c>
      <c r="E2545">
        <f>IF(OR(B2545="vi",B2545="ii",B2545="pod"),(((D2545/100)*(C2545*VLOOKUP(B2545,'Poids des runes'!A:B,2,FALSE)))+1),(((D2545/100)*(C2545*VLOOKUP(B2545,'Poids des runes'!A:B,2,FALSE)))+1)/VLOOKUP(B2545,'Poids des runes'!A:B,2,FALSE))</f>
        <v>3.3666666666666671</v>
      </c>
      <c r="F2545">
        <f t="shared" si="39"/>
        <v>3.3666666666666671</v>
      </c>
    </row>
    <row r="2546" spans="1:6" x14ac:dyDescent="0.3">
      <c r="A2546" t="s">
        <v>703</v>
      </c>
      <c r="B2546" t="s">
        <v>2144</v>
      </c>
      <c r="C2546">
        <v>2.5</v>
      </c>
      <c r="D2546">
        <v>80</v>
      </c>
      <c r="E2546">
        <f>IF(OR(B2546="vi",B2546="ii",B2546="pod"),(((D2546/100)*(C2546*VLOOKUP(B2546,'Poids des runes'!A:B,2,FALSE)))+1),(((D2546/100)*(C2546*VLOOKUP(B2546,'Poids des runes'!A:B,2,FALSE)))+1)/VLOOKUP(B2546,'Poids des runes'!A:B,2,FALSE))</f>
        <v>2.5</v>
      </c>
      <c r="F2546">
        <f t="shared" si="39"/>
        <v>2.5</v>
      </c>
    </row>
    <row r="2547" spans="1:6" x14ac:dyDescent="0.3">
      <c r="A2547" t="s">
        <v>703</v>
      </c>
      <c r="B2547" t="s">
        <v>2145</v>
      </c>
      <c r="C2547">
        <v>2.5</v>
      </c>
      <c r="D2547">
        <v>80</v>
      </c>
      <c r="E2547">
        <f>IF(OR(B2547="vi",B2547="ii",B2547="pod"),(((D2547/100)*(C2547*VLOOKUP(B2547,'Poids des runes'!A:B,2,FALSE)))+1),(((D2547/100)*(C2547*VLOOKUP(B2547,'Poids des runes'!A:B,2,FALSE)))+1)/VLOOKUP(B2547,'Poids des runes'!A:B,2,FALSE))</f>
        <v>2.5</v>
      </c>
      <c r="F2547">
        <f t="shared" si="39"/>
        <v>2.5</v>
      </c>
    </row>
    <row r="2548" spans="1:6" x14ac:dyDescent="0.3">
      <c r="A2548" t="s">
        <v>703</v>
      </c>
      <c r="B2548" t="s">
        <v>2146</v>
      </c>
      <c r="C2548">
        <v>2.5</v>
      </c>
      <c r="D2548">
        <v>80</v>
      </c>
      <c r="E2548">
        <f>IF(OR(B2548="vi",B2548="ii",B2548="pod"),(((D2548/100)*(C2548*VLOOKUP(B2548,'Poids des runes'!A:B,2,FALSE)))+1),(((D2548/100)*(C2548*VLOOKUP(B2548,'Poids des runes'!A:B,2,FALSE)))+1)/VLOOKUP(B2548,'Poids des runes'!A:B,2,FALSE))</f>
        <v>2.5</v>
      </c>
      <c r="F2548">
        <f t="shared" si="39"/>
        <v>2.5</v>
      </c>
    </row>
    <row r="2549" spans="1:6" x14ac:dyDescent="0.3">
      <c r="A2549" t="s">
        <v>704</v>
      </c>
      <c r="B2549" t="s">
        <v>2128</v>
      </c>
      <c r="C2549">
        <v>35.5</v>
      </c>
      <c r="D2549">
        <v>80</v>
      </c>
      <c r="E2549">
        <f>IF(OR(B2549="vi",B2549="ii",B2549="pod"),(((D2549/100)*(C2549*VLOOKUP(B2549,'Poids des runes'!A:B,2,FALSE)))+1),(((D2549/100)*(C2549*VLOOKUP(B2549,'Poids des runes'!A:B,2,FALSE)))+1)/VLOOKUP(B2549,'Poids des runes'!A:B,2,FALSE))</f>
        <v>6.6800000000000006</v>
      </c>
      <c r="F2549">
        <f t="shared" si="39"/>
        <v>6.6800000000000006</v>
      </c>
    </row>
    <row r="2550" spans="1:6" x14ac:dyDescent="0.3">
      <c r="A2550" t="s">
        <v>704</v>
      </c>
      <c r="B2550" t="s">
        <v>2126</v>
      </c>
      <c r="C2550">
        <v>23</v>
      </c>
      <c r="D2550">
        <v>80</v>
      </c>
      <c r="E2550">
        <f>IF(OR(B2550="vi",B2550="ii",B2550="pod"),(((D2550/100)*(C2550*VLOOKUP(B2550,'Poids des runes'!A:B,2,FALSE)))+1),(((D2550/100)*(C2550*VLOOKUP(B2550,'Poids des runes'!A:B,2,FALSE)))+1)/VLOOKUP(B2550,'Poids des runes'!A:B,2,FALSE))</f>
        <v>19.400000000000002</v>
      </c>
      <c r="F2550">
        <f t="shared" si="39"/>
        <v>19.400000000000002</v>
      </c>
    </row>
    <row r="2551" spans="1:6" x14ac:dyDescent="0.3">
      <c r="A2551" t="s">
        <v>704</v>
      </c>
      <c r="B2551" t="s">
        <v>2129</v>
      </c>
      <c r="C2551">
        <v>20.5</v>
      </c>
      <c r="D2551">
        <v>80</v>
      </c>
      <c r="E2551">
        <f>IF(OR(B2551="vi",B2551="ii",B2551="pod"),(((D2551/100)*(C2551*VLOOKUP(B2551,'Poids des runes'!A:B,2,FALSE)))+1),(((D2551/100)*(C2551*VLOOKUP(B2551,'Poids des runes'!A:B,2,FALSE)))+1)/VLOOKUP(B2551,'Poids des runes'!A:B,2,FALSE))</f>
        <v>17.400000000000002</v>
      </c>
      <c r="F2551">
        <f t="shared" si="39"/>
        <v>17.400000000000002</v>
      </c>
    </row>
    <row r="2552" spans="1:6" x14ac:dyDescent="0.3">
      <c r="A2552" t="s">
        <v>704</v>
      </c>
      <c r="B2552" t="s">
        <v>2151</v>
      </c>
      <c r="C2552">
        <v>2.5</v>
      </c>
      <c r="D2552">
        <v>80</v>
      </c>
      <c r="E2552">
        <f>IF(OR(B2552="vi",B2552="ii",B2552="pod"),(((D2552/100)*(C2552*VLOOKUP(B2552,'Poids des runes'!A:B,2,FALSE)))+1),(((D2552/100)*(C2552*VLOOKUP(B2552,'Poids des runes'!A:B,2,FALSE)))+1)/VLOOKUP(B2552,'Poids des runes'!A:B,2,FALSE))</f>
        <v>2.1</v>
      </c>
      <c r="F2552">
        <f t="shared" si="39"/>
        <v>2.1</v>
      </c>
    </row>
    <row r="2553" spans="1:6" x14ac:dyDescent="0.3">
      <c r="A2553" t="s">
        <v>704</v>
      </c>
      <c r="B2553" t="s">
        <v>2161</v>
      </c>
      <c r="C2553">
        <v>8</v>
      </c>
      <c r="D2553">
        <v>80</v>
      </c>
      <c r="E2553">
        <f>IF(OR(B2553="vi",B2553="ii",B2553="pod"),(((D2553/100)*(C2553*VLOOKUP(B2553,'Poids des runes'!A:B,2,FALSE)))+1),(((D2553/100)*(C2553*VLOOKUP(B2553,'Poids des runes'!A:B,2,FALSE)))+1)/VLOOKUP(B2553,'Poids des runes'!A:B,2,FALSE))</f>
        <v>6.7333333333333343</v>
      </c>
      <c r="F2553">
        <f t="shared" si="39"/>
        <v>6.7333333333333343</v>
      </c>
    </row>
    <row r="2554" spans="1:6" x14ac:dyDescent="0.3">
      <c r="A2554" t="s">
        <v>704</v>
      </c>
      <c r="B2554" t="s">
        <v>2147</v>
      </c>
      <c r="C2554">
        <v>4</v>
      </c>
      <c r="D2554">
        <v>80</v>
      </c>
      <c r="E2554">
        <f>IF(OR(B2554="vi",B2554="ii",B2554="pod"),(((D2554/100)*(C2554*VLOOKUP(B2554,'Poids des runes'!A:B,2,FALSE)))+1),(((D2554/100)*(C2554*VLOOKUP(B2554,'Poids des runes'!A:B,2,FALSE)))+1)/VLOOKUP(B2554,'Poids des runes'!A:B,2,FALSE))</f>
        <v>3.3666666666666671</v>
      </c>
      <c r="F2554">
        <f t="shared" si="39"/>
        <v>3.3666666666666671</v>
      </c>
    </row>
    <row r="2555" spans="1:6" x14ac:dyDescent="0.3">
      <c r="A2555" t="s">
        <v>705</v>
      </c>
      <c r="B2555" t="s">
        <v>2128</v>
      </c>
      <c r="C2555">
        <v>35.5</v>
      </c>
      <c r="D2555">
        <v>80</v>
      </c>
      <c r="E2555">
        <f>IF(OR(B2555="vi",B2555="ii",B2555="pod"),(((D2555/100)*(C2555*VLOOKUP(B2555,'Poids des runes'!A:B,2,FALSE)))+1),(((D2555/100)*(C2555*VLOOKUP(B2555,'Poids des runes'!A:B,2,FALSE)))+1)/VLOOKUP(B2555,'Poids des runes'!A:B,2,FALSE))</f>
        <v>6.6800000000000006</v>
      </c>
      <c r="F2555">
        <f t="shared" si="39"/>
        <v>6.6800000000000006</v>
      </c>
    </row>
    <row r="2556" spans="1:6" x14ac:dyDescent="0.3">
      <c r="A2556" t="s">
        <v>705</v>
      </c>
      <c r="B2556" t="s">
        <v>2130</v>
      </c>
      <c r="C2556">
        <v>23</v>
      </c>
      <c r="D2556">
        <v>80</v>
      </c>
      <c r="E2556">
        <f>IF(OR(B2556="vi",B2556="ii",B2556="pod"),(((D2556/100)*(C2556*VLOOKUP(B2556,'Poids des runes'!A:B,2,FALSE)))+1),(((D2556/100)*(C2556*VLOOKUP(B2556,'Poids des runes'!A:B,2,FALSE)))+1)/VLOOKUP(B2556,'Poids des runes'!A:B,2,FALSE))</f>
        <v>19.400000000000002</v>
      </c>
      <c r="F2556">
        <f t="shared" si="39"/>
        <v>19.400000000000002</v>
      </c>
    </row>
    <row r="2557" spans="1:6" x14ac:dyDescent="0.3">
      <c r="A2557" t="s">
        <v>705</v>
      </c>
      <c r="B2557" t="s">
        <v>2129</v>
      </c>
      <c r="C2557">
        <v>20.5</v>
      </c>
      <c r="D2557">
        <v>80</v>
      </c>
      <c r="E2557">
        <f>IF(OR(B2557="vi",B2557="ii",B2557="pod"),(((D2557/100)*(C2557*VLOOKUP(B2557,'Poids des runes'!A:B,2,FALSE)))+1),(((D2557/100)*(C2557*VLOOKUP(B2557,'Poids des runes'!A:B,2,FALSE)))+1)/VLOOKUP(B2557,'Poids des runes'!A:B,2,FALSE))</f>
        <v>17.400000000000002</v>
      </c>
      <c r="F2557">
        <f t="shared" si="39"/>
        <v>17.400000000000002</v>
      </c>
    </row>
    <row r="2558" spans="1:6" x14ac:dyDescent="0.3">
      <c r="A2558" t="s">
        <v>705</v>
      </c>
      <c r="B2558" t="s">
        <v>2151</v>
      </c>
      <c r="C2558">
        <v>2.5</v>
      </c>
      <c r="D2558">
        <v>80</v>
      </c>
      <c r="E2558">
        <f>IF(OR(B2558="vi",B2558="ii",B2558="pod"),(((D2558/100)*(C2558*VLOOKUP(B2558,'Poids des runes'!A:B,2,FALSE)))+1),(((D2558/100)*(C2558*VLOOKUP(B2558,'Poids des runes'!A:B,2,FALSE)))+1)/VLOOKUP(B2558,'Poids des runes'!A:B,2,FALSE))</f>
        <v>2.1</v>
      </c>
      <c r="F2558">
        <f t="shared" si="39"/>
        <v>2.1</v>
      </c>
    </row>
    <row r="2559" spans="1:6" x14ac:dyDescent="0.3">
      <c r="A2559" t="s">
        <v>705</v>
      </c>
      <c r="B2559" t="s">
        <v>2161</v>
      </c>
      <c r="C2559">
        <v>8</v>
      </c>
      <c r="D2559">
        <v>80</v>
      </c>
      <c r="E2559">
        <f>IF(OR(B2559="vi",B2559="ii",B2559="pod"),(((D2559/100)*(C2559*VLOOKUP(B2559,'Poids des runes'!A:B,2,FALSE)))+1),(((D2559/100)*(C2559*VLOOKUP(B2559,'Poids des runes'!A:B,2,FALSE)))+1)/VLOOKUP(B2559,'Poids des runes'!A:B,2,FALSE))</f>
        <v>6.7333333333333343</v>
      </c>
      <c r="F2559">
        <f t="shared" si="39"/>
        <v>6.7333333333333343</v>
      </c>
    </row>
    <row r="2560" spans="1:6" x14ac:dyDescent="0.3">
      <c r="A2560" t="s">
        <v>705</v>
      </c>
      <c r="B2560" t="s">
        <v>2148</v>
      </c>
      <c r="C2560">
        <v>4</v>
      </c>
      <c r="D2560">
        <v>80</v>
      </c>
      <c r="E2560">
        <f>IF(OR(B2560="vi",B2560="ii",B2560="pod"),(((D2560/100)*(C2560*VLOOKUP(B2560,'Poids des runes'!A:B,2,FALSE)))+1),(((D2560/100)*(C2560*VLOOKUP(B2560,'Poids des runes'!A:B,2,FALSE)))+1)/VLOOKUP(B2560,'Poids des runes'!A:B,2,FALSE))</f>
        <v>3.3666666666666671</v>
      </c>
      <c r="F2560">
        <f t="shared" si="39"/>
        <v>3.3666666666666671</v>
      </c>
    </row>
    <row r="2561" spans="1:6" x14ac:dyDescent="0.3">
      <c r="A2561" t="s">
        <v>706</v>
      </c>
      <c r="B2561" t="s">
        <v>2128</v>
      </c>
      <c r="C2561">
        <v>35.5</v>
      </c>
      <c r="D2561">
        <v>80</v>
      </c>
      <c r="E2561">
        <f>IF(OR(B2561="vi",B2561="ii",B2561="pod"),(((D2561/100)*(C2561*VLOOKUP(B2561,'Poids des runes'!A:B,2,FALSE)))+1),(((D2561/100)*(C2561*VLOOKUP(B2561,'Poids des runes'!A:B,2,FALSE)))+1)/VLOOKUP(B2561,'Poids des runes'!A:B,2,FALSE))</f>
        <v>6.6800000000000006</v>
      </c>
      <c r="F2561">
        <f t="shared" si="39"/>
        <v>6.6800000000000006</v>
      </c>
    </row>
    <row r="2562" spans="1:6" x14ac:dyDescent="0.3">
      <c r="A2562" t="s">
        <v>706</v>
      </c>
      <c r="B2562" t="s">
        <v>2127</v>
      </c>
      <c r="C2562">
        <v>23</v>
      </c>
      <c r="D2562">
        <v>80</v>
      </c>
      <c r="E2562">
        <f>IF(OR(B2562="vi",B2562="ii",B2562="pod"),(((D2562/100)*(C2562*VLOOKUP(B2562,'Poids des runes'!A:B,2,FALSE)))+1),(((D2562/100)*(C2562*VLOOKUP(B2562,'Poids des runes'!A:B,2,FALSE)))+1)/VLOOKUP(B2562,'Poids des runes'!A:B,2,FALSE))</f>
        <v>19.400000000000002</v>
      </c>
      <c r="F2562">
        <f t="shared" si="39"/>
        <v>19.400000000000002</v>
      </c>
    </row>
    <row r="2563" spans="1:6" x14ac:dyDescent="0.3">
      <c r="A2563" t="s">
        <v>706</v>
      </c>
      <c r="B2563" t="s">
        <v>2129</v>
      </c>
      <c r="C2563">
        <v>20.5</v>
      </c>
      <c r="D2563">
        <v>80</v>
      </c>
      <c r="E2563">
        <f>IF(OR(B2563="vi",B2563="ii",B2563="pod"),(((D2563/100)*(C2563*VLOOKUP(B2563,'Poids des runes'!A:B,2,FALSE)))+1),(((D2563/100)*(C2563*VLOOKUP(B2563,'Poids des runes'!A:B,2,FALSE)))+1)/VLOOKUP(B2563,'Poids des runes'!A:B,2,FALSE))</f>
        <v>17.400000000000002</v>
      </c>
      <c r="F2563">
        <f t="shared" ref="F2563:F2626" si="40">E2563</f>
        <v>17.400000000000002</v>
      </c>
    </row>
    <row r="2564" spans="1:6" x14ac:dyDescent="0.3">
      <c r="A2564" t="s">
        <v>706</v>
      </c>
      <c r="B2564" t="s">
        <v>2151</v>
      </c>
      <c r="C2564">
        <v>2.5</v>
      </c>
      <c r="D2564">
        <v>80</v>
      </c>
      <c r="E2564">
        <f>IF(OR(B2564="vi",B2564="ii",B2564="pod"),(((D2564/100)*(C2564*VLOOKUP(B2564,'Poids des runes'!A:B,2,FALSE)))+1),(((D2564/100)*(C2564*VLOOKUP(B2564,'Poids des runes'!A:B,2,FALSE)))+1)/VLOOKUP(B2564,'Poids des runes'!A:B,2,FALSE))</f>
        <v>2.1</v>
      </c>
      <c r="F2564">
        <f t="shared" si="40"/>
        <v>2.1</v>
      </c>
    </row>
    <row r="2565" spans="1:6" x14ac:dyDescent="0.3">
      <c r="A2565" t="s">
        <v>706</v>
      </c>
      <c r="B2565" t="s">
        <v>2161</v>
      </c>
      <c r="C2565">
        <v>8</v>
      </c>
      <c r="D2565">
        <v>80</v>
      </c>
      <c r="E2565">
        <f>IF(OR(B2565="vi",B2565="ii",B2565="pod"),(((D2565/100)*(C2565*VLOOKUP(B2565,'Poids des runes'!A:B,2,FALSE)))+1),(((D2565/100)*(C2565*VLOOKUP(B2565,'Poids des runes'!A:B,2,FALSE)))+1)/VLOOKUP(B2565,'Poids des runes'!A:B,2,FALSE))</f>
        <v>6.7333333333333343</v>
      </c>
      <c r="F2565">
        <f t="shared" si="40"/>
        <v>6.7333333333333343</v>
      </c>
    </row>
    <row r="2566" spans="1:6" x14ac:dyDescent="0.3">
      <c r="A2566" t="s">
        <v>706</v>
      </c>
      <c r="B2566" t="s">
        <v>2157</v>
      </c>
      <c r="C2566">
        <v>4</v>
      </c>
      <c r="D2566">
        <v>80</v>
      </c>
      <c r="E2566">
        <f>IF(OR(B2566="vi",B2566="ii",B2566="pod"),(((D2566/100)*(C2566*VLOOKUP(B2566,'Poids des runes'!A:B,2,FALSE)))+1),(((D2566/100)*(C2566*VLOOKUP(B2566,'Poids des runes'!A:B,2,FALSE)))+1)/VLOOKUP(B2566,'Poids des runes'!A:B,2,FALSE))</f>
        <v>3.3666666666666671</v>
      </c>
      <c r="F2566">
        <f t="shared" si="40"/>
        <v>3.3666666666666671</v>
      </c>
    </row>
    <row r="2567" spans="1:6" x14ac:dyDescent="0.3">
      <c r="A2567" t="s">
        <v>707</v>
      </c>
      <c r="B2567" t="s">
        <v>2128</v>
      </c>
      <c r="C2567">
        <v>35.5</v>
      </c>
      <c r="D2567">
        <v>80</v>
      </c>
      <c r="E2567">
        <f>IF(OR(B2567="vi",B2567="ii",B2567="pod"),(((D2567/100)*(C2567*VLOOKUP(B2567,'Poids des runes'!A:B,2,FALSE)))+1),(((D2567/100)*(C2567*VLOOKUP(B2567,'Poids des runes'!A:B,2,FALSE)))+1)/VLOOKUP(B2567,'Poids des runes'!A:B,2,FALSE))</f>
        <v>6.6800000000000006</v>
      </c>
      <c r="F2567">
        <f t="shared" si="40"/>
        <v>6.6800000000000006</v>
      </c>
    </row>
    <row r="2568" spans="1:6" x14ac:dyDescent="0.3">
      <c r="A2568" t="s">
        <v>707</v>
      </c>
      <c r="B2568" t="s">
        <v>2131</v>
      </c>
      <c r="C2568">
        <v>23</v>
      </c>
      <c r="D2568">
        <v>80</v>
      </c>
      <c r="E2568">
        <f>IF(OR(B2568="vi",B2568="ii",B2568="pod"),(((D2568/100)*(C2568*VLOOKUP(B2568,'Poids des runes'!A:B,2,FALSE)))+1),(((D2568/100)*(C2568*VLOOKUP(B2568,'Poids des runes'!A:B,2,FALSE)))+1)/VLOOKUP(B2568,'Poids des runes'!A:B,2,FALSE))</f>
        <v>19.400000000000002</v>
      </c>
      <c r="F2568">
        <f t="shared" si="40"/>
        <v>19.400000000000002</v>
      </c>
    </row>
    <row r="2569" spans="1:6" x14ac:dyDescent="0.3">
      <c r="A2569" t="s">
        <v>707</v>
      </c>
      <c r="B2569" t="s">
        <v>2129</v>
      </c>
      <c r="C2569">
        <v>20.5</v>
      </c>
      <c r="D2569">
        <v>80</v>
      </c>
      <c r="E2569">
        <f>IF(OR(B2569="vi",B2569="ii",B2569="pod"),(((D2569/100)*(C2569*VLOOKUP(B2569,'Poids des runes'!A:B,2,FALSE)))+1),(((D2569/100)*(C2569*VLOOKUP(B2569,'Poids des runes'!A:B,2,FALSE)))+1)/VLOOKUP(B2569,'Poids des runes'!A:B,2,FALSE))</f>
        <v>17.400000000000002</v>
      </c>
      <c r="F2569">
        <f t="shared" si="40"/>
        <v>17.400000000000002</v>
      </c>
    </row>
    <row r="2570" spans="1:6" x14ac:dyDescent="0.3">
      <c r="A2570" t="s">
        <v>707</v>
      </c>
      <c r="B2570" t="s">
        <v>2151</v>
      </c>
      <c r="C2570">
        <v>2.5</v>
      </c>
      <c r="D2570">
        <v>80</v>
      </c>
      <c r="E2570">
        <f>IF(OR(B2570="vi",B2570="ii",B2570="pod"),(((D2570/100)*(C2570*VLOOKUP(B2570,'Poids des runes'!A:B,2,FALSE)))+1),(((D2570/100)*(C2570*VLOOKUP(B2570,'Poids des runes'!A:B,2,FALSE)))+1)/VLOOKUP(B2570,'Poids des runes'!A:B,2,FALSE))</f>
        <v>2.1</v>
      </c>
      <c r="F2570">
        <f t="shared" si="40"/>
        <v>2.1</v>
      </c>
    </row>
    <row r="2571" spans="1:6" x14ac:dyDescent="0.3">
      <c r="A2571" t="s">
        <v>707</v>
      </c>
      <c r="B2571" t="s">
        <v>2161</v>
      </c>
      <c r="C2571">
        <v>8</v>
      </c>
      <c r="D2571">
        <v>80</v>
      </c>
      <c r="E2571">
        <f>IF(OR(B2571="vi",B2571="ii",B2571="pod"),(((D2571/100)*(C2571*VLOOKUP(B2571,'Poids des runes'!A:B,2,FALSE)))+1),(((D2571/100)*(C2571*VLOOKUP(B2571,'Poids des runes'!A:B,2,FALSE)))+1)/VLOOKUP(B2571,'Poids des runes'!A:B,2,FALSE))</f>
        <v>6.7333333333333343</v>
      </c>
      <c r="F2571">
        <f t="shared" si="40"/>
        <v>6.7333333333333343</v>
      </c>
    </row>
    <row r="2572" spans="1:6" x14ac:dyDescent="0.3">
      <c r="A2572" t="s">
        <v>707</v>
      </c>
      <c r="B2572" t="s">
        <v>2135</v>
      </c>
      <c r="C2572">
        <v>4</v>
      </c>
      <c r="D2572">
        <v>80</v>
      </c>
      <c r="E2572">
        <f>IF(OR(B2572="vi",B2572="ii",B2572="pod"),(((D2572/100)*(C2572*VLOOKUP(B2572,'Poids des runes'!A:B,2,FALSE)))+1),(((D2572/100)*(C2572*VLOOKUP(B2572,'Poids des runes'!A:B,2,FALSE)))+1)/VLOOKUP(B2572,'Poids des runes'!A:B,2,FALSE))</f>
        <v>3.3666666666666671</v>
      </c>
      <c r="F2572">
        <f t="shared" si="40"/>
        <v>3.3666666666666671</v>
      </c>
    </row>
    <row r="2573" spans="1:6" x14ac:dyDescent="0.3">
      <c r="A2573" t="s">
        <v>708</v>
      </c>
      <c r="B2573" t="s">
        <v>2128</v>
      </c>
      <c r="C2573">
        <v>40.5</v>
      </c>
      <c r="D2573">
        <v>80</v>
      </c>
      <c r="E2573">
        <f>IF(OR(B2573="vi",B2573="ii",B2573="pod"),(((D2573/100)*(C2573*VLOOKUP(B2573,'Poids des runes'!A:B,2,FALSE)))+1),(((D2573/100)*(C2573*VLOOKUP(B2573,'Poids des runes'!A:B,2,FALSE)))+1)/VLOOKUP(B2573,'Poids des runes'!A:B,2,FALSE))</f>
        <v>7.48</v>
      </c>
      <c r="F2573">
        <f t="shared" si="40"/>
        <v>7.48</v>
      </c>
    </row>
    <row r="2574" spans="1:6" x14ac:dyDescent="0.3">
      <c r="A2574" t="s">
        <v>708</v>
      </c>
      <c r="B2574" t="s">
        <v>2130</v>
      </c>
      <c r="C2574">
        <v>25.5</v>
      </c>
      <c r="D2574">
        <v>80</v>
      </c>
      <c r="E2574">
        <f>IF(OR(B2574="vi",B2574="ii",B2574="pod"),(((D2574/100)*(C2574*VLOOKUP(B2574,'Poids des runes'!A:B,2,FALSE)))+1),(((D2574/100)*(C2574*VLOOKUP(B2574,'Poids des runes'!A:B,2,FALSE)))+1)/VLOOKUP(B2574,'Poids des runes'!A:B,2,FALSE))</f>
        <v>21.400000000000002</v>
      </c>
      <c r="F2574">
        <f t="shared" si="40"/>
        <v>21.400000000000002</v>
      </c>
    </row>
    <row r="2575" spans="1:6" x14ac:dyDescent="0.3">
      <c r="A2575" t="s">
        <v>708</v>
      </c>
      <c r="B2575" t="s">
        <v>2127</v>
      </c>
      <c r="C2575">
        <v>25.5</v>
      </c>
      <c r="D2575">
        <v>80</v>
      </c>
      <c r="E2575">
        <f>IF(OR(B2575="vi",B2575="ii",B2575="pod"),(((D2575/100)*(C2575*VLOOKUP(B2575,'Poids des runes'!A:B,2,FALSE)))+1),(((D2575/100)*(C2575*VLOOKUP(B2575,'Poids des runes'!A:B,2,FALSE)))+1)/VLOOKUP(B2575,'Poids des runes'!A:B,2,FALSE))</f>
        <v>21.400000000000002</v>
      </c>
      <c r="F2575">
        <f t="shared" si="40"/>
        <v>21.400000000000002</v>
      </c>
    </row>
    <row r="2576" spans="1:6" x14ac:dyDescent="0.3">
      <c r="A2576" t="s">
        <v>708</v>
      </c>
      <c r="B2576" t="s">
        <v>2129</v>
      </c>
      <c r="C2576">
        <v>15.5</v>
      </c>
      <c r="D2576">
        <v>80</v>
      </c>
      <c r="E2576">
        <f>IF(OR(B2576="vi",B2576="ii",B2576="pod"),(((D2576/100)*(C2576*VLOOKUP(B2576,'Poids des runes'!A:B,2,FALSE)))+1),(((D2576/100)*(C2576*VLOOKUP(B2576,'Poids des runes'!A:B,2,FALSE)))+1)/VLOOKUP(B2576,'Poids des runes'!A:B,2,FALSE))</f>
        <v>13.4</v>
      </c>
      <c r="F2576">
        <f t="shared" si="40"/>
        <v>13.4</v>
      </c>
    </row>
    <row r="2577" spans="1:6" x14ac:dyDescent="0.3">
      <c r="A2577" t="s">
        <v>708</v>
      </c>
      <c r="B2577" t="s">
        <v>2151</v>
      </c>
      <c r="C2577">
        <v>1.5</v>
      </c>
      <c r="D2577">
        <v>80</v>
      </c>
      <c r="E2577">
        <f>IF(OR(B2577="vi",B2577="ii",B2577="pod"),(((D2577/100)*(C2577*VLOOKUP(B2577,'Poids des runes'!A:B,2,FALSE)))+1),(((D2577/100)*(C2577*VLOOKUP(B2577,'Poids des runes'!A:B,2,FALSE)))+1)/VLOOKUP(B2577,'Poids des runes'!A:B,2,FALSE))</f>
        <v>1.3</v>
      </c>
      <c r="F2577">
        <f t="shared" si="40"/>
        <v>1.3</v>
      </c>
    </row>
    <row r="2578" spans="1:6" x14ac:dyDescent="0.3">
      <c r="A2578" t="s">
        <v>708</v>
      </c>
      <c r="B2578" t="s">
        <v>2155</v>
      </c>
      <c r="C2578">
        <v>1</v>
      </c>
      <c r="D2578">
        <v>80</v>
      </c>
      <c r="E2578">
        <f>IF(OR(B2578="vi",B2578="ii",B2578="pod"),(((D2578/100)*(C2578*VLOOKUP(B2578,'Poids des runes'!A:B,2,FALSE)))+1),(((D2578/100)*(C2578*VLOOKUP(B2578,'Poids des runes'!A:B,2,FALSE)))+1)/VLOOKUP(B2578,'Poids des runes'!A:B,2,FALSE))</f>
        <v>0.81960784313725499</v>
      </c>
      <c r="F2578">
        <f t="shared" si="40"/>
        <v>0.81960784313725499</v>
      </c>
    </row>
    <row r="2579" spans="1:6" x14ac:dyDescent="0.3">
      <c r="A2579" t="s">
        <v>708</v>
      </c>
      <c r="B2579" t="s">
        <v>2147</v>
      </c>
      <c r="C2579">
        <v>1.5</v>
      </c>
      <c r="D2579">
        <v>80</v>
      </c>
      <c r="E2579">
        <f>IF(OR(B2579="vi",B2579="ii",B2579="pod"),(((D2579/100)*(C2579*VLOOKUP(B2579,'Poids des runes'!A:B,2,FALSE)))+1),(((D2579/100)*(C2579*VLOOKUP(B2579,'Poids des runes'!A:B,2,FALSE)))+1)/VLOOKUP(B2579,'Poids des runes'!A:B,2,FALSE))</f>
        <v>1.3666666666666665</v>
      </c>
      <c r="F2579">
        <f t="shared" si="40"/>
        <v>1.3666666666666665</v>
      </c>
    </row>
    <row r="2580" spans="1:6" x14ac:dyDescent="0.3">
      <c r="A2580" t="s">
        <v>708</v>
      </c>
      <c r="B2580" t="s">
        <v>2135</v>
      </c>
      <c r="C2580">
        <v>1.5</v>
      </c>
      <c r="D2580">
        <v>80</v>
      </c>
      <c r="E2580">
        <f>IF(OR(B2580="vi",B2580="ii",B2580="pod"),(((D2580/100)*(C2580*VLOOKUP(B2580,'Poids des runes'!A:B,2,FALSE)))+1),(((D2580/100)*(C2580*VLOOKUP(B2580,'Poids des runes'!A:B,2,FALSE)))+1)/VLOOKUP(B2580,'Poids des runes'!A:B,2,FALSE))</f>
        <v>1.3666666666666665</v>
      </c>
      <c r="F2580">
        <f t="shared" si="40"/>
        <v>1.3666666666666665</v>
      </c>
    </row>
    <row r="2581" spans="1:6" x14ac:dyDescent="0.3">
      <c r="A2581" t="s">
        <v>709</v>
      </c>
      <c r="B2581" t="s">
        <v>2128</v>
      </c>
      <c r="C2581">
        <v>60.5</v>
      </c>
      <c r="D2581">
        <v>81</v>
      </c>
      <c r="E2581">
        <f>IF(OR(B2581="vi",B2581="ii",B2581="pod"),(((D2581/100)*(C2581*VLOOKUP(B2581,'Poids des runes'!A:B,2,FALSE)))+1),(((D2581/100)*(C2581*VLOOKUP(B2581,'Poids des runes'!A:B,2,FALSE)))+1)/VLOOKUP(B2581,'Poids des runes'!A:B,2,FALSE))</f>
        <v>10.801000000000002</v>
      </c>
      <c r="F2581">
        <f t="shared" si="40"/>
        <v>10.801000000000002</v>
      </c>
    </row>
    <row r="2582" spans="1:6" x14ac:dyDescent="0.3">
      <c r="A2582" t="s">
        <v>709</v>
      </c>
      <c r="B2582" t="s">
        <v>2130</v>
      </c>
      <c r="C2582">
        <v>35.5</v>
      </c>
      <c r="D2582">
        <v>81</v>
      </c>
      <c r="E2582">
        <f>IF(OR(B2582="vi",B2582="ii",B2582="pod"),(((D2582/100)*(C2582*VLOOKUP(B2582,'Poids des runes'!A:B,2,FALSE)))+1),(((D2582/100)*(C2582*VLOOKUP(B2582,'Poids des runes'!A:B,2,FALSE)))+1)/VLOOKUP(B2582,'Poids des runes'!A:B,2,FALSE))</f>
        <v>29.755000000000003</v>
      </c>
      <c r="F2582">
        <f t="shared" si="40"/>
        <v>29.755000000000003</v>
      </c>
    </row>
    <row r="2583" spans="1:6" x14ac:dyDescent="0.3">
      <c r="A2583" t="s">
        <v>709</v>
      </c>
      <c r="B2583" t="s">
        <v>2127</v>
      </c>
      <c r="C2583">
        <v>35.5</v>
      </c>
      <c r="D2583">
        <v>81</v>
      </c>
      <c r="E2583">
        <f>IF(OR(B2583="vi",B2583="ii",B2583="pod"),(((D2583/100)*(C2583*VLOOKUP(B2583,'Poids des runes'!A:B,2,FALSE)))+1),(((D2583/100)*(C2583*VLOOKUP(B2583,'Poids des runes'!A:B,2,FALSE)))+1)/VLOOKUP(B2583,'Poids des runes'!A:B,2,FALSE))</f>
        <v>29.755000000000003</v>
      </c>
      <c r="F2583">
        <f t="shared" si="40"/>
        <v>29.755000000000003</v>
      </c>
    </row>
    <row r="2584" spans="1:6" x14ac:dyDescent="0.3">
      <c r="A2584" t="s">
        <v>709</v>
      </c>
      <c r="B2584" t="s">
        <v>2129</v>
      </c>
      <c r="C2584">
        <v>23</v>
      </c>
      <c r="D2584">
        <v>81</v>
      </c>
      <c r="E2584">
        <f>IF(OR(B2584="vi",B2584="ii",B2584="pod"),(((D2584/100)*(C2584*VLOOKUP(B2584,'Poids des runes'!A:B,2,FALSE)))+1),(((D2584/100)*(C2584*VLOOKUP(B2584,'Poids des runes'!A:B,2,FALSE)))+1)/VLOOKUP(B2584,'Poids des runes'!A:B,2,FALSE))</f>
        <v>19.630000000000003</v>
      </c>
      <c r="F2584">
        <f t="shared" si="40"/>
        <v>19.630000000000003</v>
      </c>
    </row>
    <row r="2585" spans="1:6" x14ac:dyDescent="0.3">
      <c r="A2585" t="s">
        <v>709</v>
      </c>
      <c r="B2585" t="s">
        <v>2132</v>
      </c>
      <c r="C2585">
        <v>175.5</v>
      </c>
      <c r="D2585">
        <v>81</v>
      </c>
      <c r="E2585">
        <f>IF(OR(B2585="vi",B2585="ii",B2585="pod"),(((D2585/100)*(C2585*VLOOKUP(B2585,'Poids des runes'!A:B,2,FALSE)))+1),(((D2585/100)*(C2585*VLOOKUP(B2585,'Poids des runes'!A:B,2,FALSE)))+1)/VLOOKUP(B2585,'Poids des runes'!A:B,2,FALSE))</f>
        <v>15.215500000000002</v>
      </c>
      <c r="F2585">
        <f t="shared" si="40"/>
        <v>15.215500000000002</v>
      </c>
    </row>
    <row r="2586" spans="1:6" x14ac:dyDescent="0.3">
      <c r="A2586" t="s">
        <v>709</v>
      </c>
      <c r="B2586" t="s">
        <v>2148</v>
      </c>
      <c r="C2586">
        <v>4</v>
      </c>
      <c r="D2586">
        <v>81</v>
      </c>
      <c r="E2586">
        <f>IF(OR(B2586="vi",B2586="ii",B2586="pod"),(((D2586/100)*(C2586*VLOOKUP(B2586,'Poids des runes'!A:B,2,FALSE)))+1),(((D2586/100)*(C2586*VLOOKUP(B2586,'Poids des runes'!A:B,2,FALSE)))+1)/VLOOKUP(B2586,'Poids des runes'!A:B,2,FALSE))</f>
        <v>3.4066666666666667</v>
      </c>
      <c r="F2586">
        <f t="shared" si="40"/>
        <v>3.4066666666666667</v>
      </c>
    </row>
    <row r="2587" spans="1:6" x14ac:dyDescent="0.3">
      <c r="A2587" t="s">
        <v>709</v>
      </c>
      <c r="B2587" t="s">
        <v>2135</v>
      </c>
      <c r="C2587">
        <v>4</v>
      </c>
      <c r="D2587">
        <v>81</v>
      </c>
      <c r="E2587">
        <f>IF(OR(B2587="vi",B2587="ii",B2587="pod"),(((D2587/100)*(C2587*VLOOKUP(B2587,'Poids des runes'!A:B,2,FALSE)))+1),(((D2587/100)*(C2587*VLOOKUP(B2587,'Poids des runes'!A:B,2,FALSE)))+1)/VLOOKUP(B2587,'Poids des runes'!A:B,2,FALSE))</f>
        <v>3.4066666666666667</v>
      </c>
      <c r="F2587">
        <f t="shared" si="40"/>
        <v>3.4066666666666667</v>
      </c>
    </row>
    <row r="2588" spans="1:6" x14ac:dyDescent="0.3">
      <c r="A2588" t="s">
        <v>710</v>
      </c>
      <c r="B2588" t="s">
        <v>2128</v>
      </c>
      <c r="C2588">
        <v>100.5</v>
      </c>
      <c r="D2588">
        <v>81</v>
      </c>
      <c r="E2588">
        <f>IF(OR(B2588="vi",B2588="ii",B2588="pod"),(((D2588/100)*(C2588*VLOOKUP(B2588,'Poids des runes'!A:B,2,FALSE)))+1),(((D2588/100)*(C2588*VLOOKUP(B2588,'Poids des runes'!A:B,2,FALSE)))+1)/VLOOKUP(B2588,'Poids des runes'!A:B,2,FALSE))</f>
        <v>17.281000000000002</v>
      </c>
      <c r="F2588">
        <f t="shared" si="40"/>
        <v>17.281000000000002</v>
      </c>
    </row>
    <row r="2589" spans="1:6" x14ac:dyDescent="0.3">
      <c r="A2589" t="s">
        <v>710</v>
      </c>
      <c r="B2589" t="s">
        <v>2126</v>
      </c>
      <c r="C2589">
        <v>35.5</v>
      </c>
      <c r="D2589">
        <v>81</v>
      </c>
      <c r="E2589">
        <f>IF(OR(B2589="vi",B2589="ii",B2589="pod"),(((D2589/100)*(C2589*VLOOKUP(B2589,'Poids des runes'!A:B,2,FALSE)))+1),(((D2589/100)*(C2589*VLOOKUP(B2589,'Poids des runes'!A:B,2,FALSE)))+1)/VLOOKUP(B2589,'Poids des runes'!A:B,2,FALSE))</f>
        <v>29.755000000000003</v>
      </c>
      <c r="F2589">
        <f t="shared" si="40"/>
        <v>29.755000000000003</v>
      </c>
    </row>
    <row r="2590" spans="1:6" x14ac:dyDescent="0.3">
      <c r="A2590" t="s">
        <v>710</v>
      </c>
      <c r="B2590" t="s">
        <v>2127</v>
      </c>
      <c r="C2590">
        <v>35.5</v>
      </c>
      <c r="D2590">
        <v>81</v>
      </c>
      <c r="E2590">
        <f>IF(OR(B2590="vi",B2590="ii",B2590="pod"),(((D2590/100)*(C2590*VLOOKUP(B2590,'Poids des runes'!A:B,2,FALSE)))+1),(((D2590/100)*(C2590*VLOOKUP(B2590,'Poids des runes'!A:B,2,FALSE)))+1)/VLOOKUP(B2590,'Poids des runes'!A:B,2,FALSE))</f>
        <v>29.755000000000003</v>
      </c>
      <c r="F2590">
        <f t="shared" si="40"/>
        <v>29.755000000000003</v>
      </c>
    </row>
    <row r="2591" spans="1:6" x14ac:dyDescent="0.3">
      <c r="A2591" t="s">
        <v>710</v>
      </c>
      <c r="B2591" t="s">
        <v>2149</v>
      </c>
      <c r="C2591">
        <v>8.5</v>
      </c>
      <c r="D2591">
        <v>81</v>
      </c>
      <c r="E2591">
        <f>IF(OR(B2591="vi",B2591="ii",B2591="pod"),(((D2591/100)*(C2591*VLOOKUP(B2591,'Poids des runes'!A:B,2,FALSE)))+1),(((D2591/100)*(C2591*VLOOKUP(B2591,'Poids des runes'!A:B,2,FALSE)))+1)/VLOOKUP(B2591,'Poids des runes'!A:B,2,FALSE))</f>
        <v>6.9850000000000012</v>
      </c>
      <c r="F2591">
        <f t="shared" si="40"/>
        <v>6.9850000000000012</v>
      </c>
    </row>
    <row r="2592" spans="1:6" x14ac:dyDescent="0.3">
      <c r="A2592" t="s">
        <v>710</v>
      </c>
      <c r="B2592" t="s">
        <v>2148</v>
      </c>
      <c r="C2592">
        <v>3.5</v>
      </c>
      <c r="D2592">
        <v>81</v>
      </c>
      <c r="E2592">
        <f>IF(OR(B2592="vi",B2592="ii",B2592="pod"),(((D2592/100)*(C2592*VLOOKUP(B2592,'Poids des runes'!A:B,2,FALSE)))+1),(((D2592/100)*(C2592*VLOOKUP(B2592,'Poids des runes'!A:B,2,FALSE)))+1)/VLOOKUP(B2592,'Poids des runes'!A:B,2,FALSE))</f>
        <v>3.0016666666666669</v>
      </c>
      <c r="F2592">
        <f t="shared" si="40"/>
        <v>3.0016666666666669</v>
      </c>
    </row>
    <row r="2593" spans="1:6" x14ac:dyDescent="0.3">
      <c r="A2593" t="s">
        <v>710</v>
      </c>
      <c r="B2593" t="s">
        <v>2135</v>
      </c>
      <c r="C2593">
        <v>3.5</v>
      </c>
      <c r="D2593">
        <v>81</v>
      </c>
      <c r="E2593">
        <f>IF(OR(B2593="vi",B2593="ii",B2593="pod"),(((D2593/100)*(C2593*VLOOKUP(B2593,'Poids des runes'!A:B,2,FALSE)))+1),(((D2593/100)*(C2593*VLOOKUP(B2593,'Poids des runes'!A:B,2,FALSE)))+1)/VLOOKUP(B2593,'Poids des runes'!A:B,2,FALSE))</f>
        <v>3.0016666666666669</v>
      </c>
      <c r="F2593">
        <f t="shared" si="40"/>
        <v>3.0016666666666669</v>
      </c>
    </row>
    <row r="2594" spans="1:6" x14ac:dyDescent="0.3">
      <c r="A2594" t="s">
        <v>711</v>
      </c>
      <c r="B2594" t="s">
        <v>2128</v>
      </c>
      <c r="C2594">
        <v>105.5</v>
      </c>
      <c r="D2594">
        <v>81</v>
      </c>
      <c r="E2594">
        <f>IF(OR(B2594="vi",B2594="ii",B2594="pod"),(((D2594/100)*(C2594*VLOOKUP(B2594,'Poids des runes'!A:B,2,FALSE)))+1),(((D2594/100)*(C2594*VLOOKUP(B2594,'Poids des runes'!A:B,2,FALSE)))+1)/VLOOKUP(B2594,'Poids des runes'!A:B,2,FALSE))</f>
        <v>18.091000000000001</v>
      </c>
      <c r="F2594">
        <f t="shared" si="40"/>
        <v>18.091000000000001</v>
      </c>
    </row>
    <row r="2595" spans="1:6" x14ac:dyDescent="0.3">
      <c r="A2595" t="s">
        <v>711</v>
      </c>
      <c r="B2595" t="s">
        <v>2130</v>
      </c>
      <c r="C2595">
        <v>25.5</v>
      </c>
      <c r="D2595">
        <v>81</v>
      </c>
      <c r="E2595">
        <f>IF(OR(B2595="vi",B2595="ii",B2595="pod"),(((D2595/100)*(C2595*VLOOKUP(B2595,'Poids des runes'!A:B,2,FALSE)))+1),(((D2595/100)*(C2595*VLOOKUP(B2595,'Poids des runes'!A:B,2,FALSE)))+1)/VLOOKUP(B2595,'Poids des runes'!A:B,2,FALSE))</f>
        <v>21.655000000000001</v>
      </c>
      <c r="F2595">
        <f t="shared" si="40"/>
        <v>21.655000000000001</v>
      </c>
    </row>
    <row r="2596" spans="1:6" x14ac:dyDescent="0.3">
      <c r="A2596" t="s">
        <v>711</v>
      </c>
      <c r="B2596" t="s">
        <v>2126</v>
      </c>
      <c r="C2596">
        <v>25.5</v>
      </c>
      <c r="D2596">
        <v>81</v>
      </c>
      <c r="E2596">
        <f>IF(OR(B2596="vi",B2596="ii",B2596="pod"),(((D2596/100)*(C2596*VLOOKUP(B2596,'Poids des runes'!A:B,2,FALSE)))+1),(((D2596/100)*(C2596*VLOOKUP(B2596,'Poids des runes'!A:B,2,FALSE)))+1)/VLOOKUP(B2596,'Poids des runes'!A:B,2,FALSE))</f>
        <v>21.655000000000001</v>
      </c>
      <c r="F2596">
        <f t="shared" si="40"/>
        <v>21.655000000000001</v>
      </c>
    </row>
    <row r="2597" spans="1:6" x14ac:dyDescent="0.3">
      <c r="A2597" t="s">
        <v>711</v>
      </c>
      <c r="B2597" t="s">
        <v>2129</v>
      </c>
      <c r="C2597">
        <v>15.5</v>
      </c>
      <c r="D2597">
        <v>81</v>
      </c>
      <c r="E2597">
        <f>IF(OR(B2597="vi",B2597="ii",B2597="pod"),(((D2597/100)*(C2597*VLOOKUP(B2597,'Poids des runes'!A:B,2,FALSE)))+1),(((D2597/100)*(C2597*VLOOKUP(B2597,'Poids des runes'!A:B,2,FALSE)))+1)/VLOOKUP(B2597,'Poids des runes'!A:B,2,FALSE))</f>
        <v>13.555000000000001</v>
      </c>
      <c r="F2597">
        <f t="shared" si="40"/>
        <v>13.555000000000001</v>
      </c>
    </row>
    <row r="2598" spans="1:6" x14ac:dyDescent="0.3">
      <c r="A2598" t="s">
        <v>711</v>
      </c>
      <c r="B2598" t="s">
        <v>2139</v>
      </c>
      <c r="C2598">
        <v>8</v>
      </c>
      <c r="D2598">
        <v>81</v>
      </c>
      <c r="E2598">
        <f>IF(OR(B2598="vi",B2598="ii",B2598="pod"),(((D2598/100)*(C2598*VLOOKUP(B2598,'Poids des runes'!A:B,2,FALSE)))+1),(((D2598/100)*(C2598*VLOOKUP(B2598,'Poids des runes'!A:B,2,FALSE)))+1)/VLOOKUP(B2598,'Poids des runes'!A:B,2,FALSE))</f>
        <v>6.98</v>
      </c>
      <c r="F2598">
        <f t="shared" si="40"/>
        <v>6.98</v>
      </c>
    </row>
    <row r="2599" spans="1:6" x14ac:dyDescent="0.3">
      <c r="A2599" t="s">
        <v>711</v>
      </c>
      <c r="B2599" t="s">
        <v>2155</v>
      </c>
      <c r="C2599">
        <v>1</v>
      </c>
      <c r="D2599">
        <v>81</v>
      </c>
      <c r="E2599">
        <f>IF(OR(B2599="vi",B2599="ii",B2599="pod"),(((D2599/100)*(C2599*VLOOKUP(B2599,'Poids des runes'!A:B,2,FALSE)))+1),(((D2599/100)*(C2599*VLOOKUP(B2599,'Poids des runes'!A:B,2,FALSE)))+1)/VLOOKUP(B2599,'Poids des runes'!A:B,2,FALSE))</f>
        <v>0.829607843137255</v>
      </c>
      <c r="F2599">
        <f t="shared" si="40"/>
        <v>0.829607843137255</v>
      </c>
    </row>
    <row r="2600" spans="1:6" x14ac:dyDescent="0.3">
      <c r="A2600" t="s">
        <v>711</v>
      </c>
      <c r="B2600" t="s">
        <v>2150</v>
      </c>
      <c r="C2600">
        <v>1</v>
      </c>
      <c r="D2600">
        <v>81</v>
      </c>
      <c r="E2600">
        <f>IF(OR(B2600="vi",B2600="ii",B2600="pod"),(((D2600/100)*(C2600*VLOOKUP(B2600,'Poids des runes'!A:B,2,FALSE)))+1),(((D2600/100)*(C2600*VLOOKUP(B2600,'Poids des runes'!A:B,2,FALSE)))+1)/VLOOKUP(B2600,'Poids des runes'!A:B,2,FALSE))</f>
        <v>0.84333333333333338</v>
      </c>
      <c r="F2600">
        <f t="shared" si="40"/>
        <v>0.84333333333333338</v>
      </c>
    </row>
    <row r="2601" spans="1:6" x14ac:dyDescent="0.3">
      <c r="A2601" t="s">
        <v>711</v>
      </c>
      <c r="B2601" t="s">
        <v>2143</v>
      </c>
      <c r="C2601">
        <v>4</v>
      </c>
      <c r="D2601">
        <v>81</v>
      </c>
      <c r="E2601">
        <f>IF(OR(B2601="vi",B2601="ii",B2601="pod"),(((D2601/100)*(C2601*VLOOKUP(B2601,'Poids des runes'!A:B,2,FALSE)))+1),(((D2601/100)*(C2601*VLOOKUP(B2601,'Poids des runes'!A:B,2,FALSE)))+1)/VLOOKUP(B2601,'Poids des runes'!A:B,2,FALSE))</f>
        <v>3.4400000000000004</v>
      </c>
      <c r="F2601">
        <f t="shared" si="40"/>
        <v>3.4400000000000004</v>
      </c>
    </row>
    <row r="2602" spans="1:6" x14ac:dyDescent="0.3">
      <c r="A2602" t="s">
        <v>711</v>
      </c>
      <c r="B2602" t="s">
        <v>2140</v>
      </c>
      <c r="C2602">
        <v>4</v>
      </c>
      <c r="D2602">
        <v>81</v>
      </c>
      <c r="E2602">
        <f>IF(OR(B2602="vi",B2602="ii",B2602="pod"),(((D2602/100)*(C2602*VLOOKUP(B2602,'Poids des runes'!A:B,2,FALSE)))+1),(((D2602/100)*(C2602*VLOOKUP(B2602,'Poids des runes'!A:B,2,FALSE)))+1)/VLOOKUP(B2602,'Poids des runes'!A:B,2,FALSE))</f>
        <v>3.4400000000000004</v>
      </c>
      <c r="F2602">
        <f t="shared" si="40"/>
        <v>3.4400000000000004</v>
      </c>
    </row>
    <row r="2603" spans="1:6" x14ac:dyDescent="0.3">
      <c r="A2603" t="s">
        <v>711</v>
      </c>
      <c r="B2603" t="s">
        <v>2141</v>
      </c>
      <c r="C2603">
        <v>5</v>
      </c>
      <c r="D2603">
        <v>81</v>
      </c>
      <c r="E2603">
        <f>IF(OR(B2603="vi",B2603="ii",B2603="pod"),(((D2603/100)*(C2603*VLOOKUP(B2603,'Poids des runes'!A:B,2,FALSE)))+1),(((D2603/100)*(C2603*VLOOKUP(B2603,'Poids des runes'!A:B,2,FALSE)))+1)/VLOOKUP(B2603,'Poids des runes'!A:B,2,FALSE))</f>
        <v>4.3000000000000007</v>
      </c>
      <c r="F2603">
        <f t="shared" si="40"/>
        <v>4.3000000000000007</v>
      </c>
    </row>
    <row r="2604" spans="1:6" x14ac:dyDescent="0.3">
      <c r="A2604" t="s">
        <v>712</v>
      </c>
      <c r="B2604" t="s">
        <v>2128</v>
      </c>
      <c r="C2604">
        <v>30.5</v>
      </c>
      <c r="D2604">
        <v>81</v>
      </c>
      <c r="E2604">
        <f>IF(OR(B2604="vi",B2604="ii",B2604="pod"),(((D2604/100)*(C2604*VLOOKUP(B2604,'Poids des runes'!A:B,2,FALSE)))+1),(((D2604/100)*(C2604*VLOOKUP(B2604,'Poids des runes'!A:B,2,FALSE)))+1)/VLOOKUP(B2604,'Poids des runes'!A:B,2,FALSE))</f>
        <v>5.9410000000000007</v>
      </c>
      <c r="F2604">
        <f t="shared" si="40"/>
        <v>5.9410000000000007</v>
      </c>
    </row>
    <row r="2605" spans="1:6" x14ac:dyDescent="0.3">
      <c r="A2605" t="s">
        <v>712</v>
      </c>
      <c r="B2605" t="s">
        <v>2126</v>
      </c>
      <c r="C2605">
        <v>30.5</v>
      </c>
      <c r="D2605">
        <v>81</v>
      </c>
      <c r="E2605">
        <f>IF(OR(B2605="vi",B2605="ii",B2605="pod"),(((D2605/100)*(C2605*VLOOKUP(B2605,'Poids des runes'!A:B,2,FALSE)))+1),(((D2605/100)*(C2605*VLOOKUP(B2605,'Poids des runes'!A:B,2,FALSE)))+1)/VLOOKUP(B2605,'Poids des runes'!A:B,2,FALSE))</f>
        <v>25.705000000000002</v>
      </c>
      <c r="F2605">
        <f t="shared" si="40"/>
        <v>25.705000000000002</v>
      </c>
    </row>
    <row r="2606" spans="1:6" x14ac:dyDescent="0.3">
      <c r="A2606" t="s">
        <v>712</v>
      </c>
      <c r="B2606" t="s">
        <v>2129</v>
      </c>
      <c r="C2606">
        <v>18</v>
      </c>
      <c r="D2606">
        <v>81</v>
      </c>
      <c r="E2606">
        <f>IF(OR(B2606="vi",B2606="ii",B2606="pod"),(((D2606/100)*(C2606*VLOOKUP(B2606,'Poids des runes'!A:B,2,FALSE)))+1),(((D2606/100)*(C2606*VLOOKUP(B2606,'Poids des runes'!A:B,2,FALSE)))+1)/VLOOKUP(B2606,'Poids des runes'!A:B,2,FALSE))</f>
        <v>15.580000000000002</v>
      </c>
      <c r="F2606">
        <f t="shared" si="40"/>
        <v>15.580000000000002</v>
      </c>
    </row>
    <row r="2607" spans="1:6" x14ac:dyDescent="0.3">
      <c r="A2607" t="s">
        <v>712</v>
      </c>
      <c r="B2607" t="s">
        <v>2151</v>
      </c>
      <c r="C2607">
        <v>2.5</v>
      </c>
      <c r="D2607">
        <v>81</v>
      </c>
      <c r="E2607">
        <f>IF(OR(B2607="vi",B2607="ii",B2607="pod"),(((D2607/100)*(C2607*VLOOKUP(B2607,'Poids des runes'!A:B,2,FALSE)))+1),(((D2607/100)*(C2607*VLOOKUP(B2607,'Poids des runes'!A:B,2,FALSE)))+1)/VLOOKUP(B2607,'Poids des runes'!A:B,2,FALSE))</f>
        <v>2.125</v>
      </c>
      <c r="F2607">
        <f t="shared" si="40"/>
        <v>2.125</v>
      </c>
    </row>
    <row r="2608" spans="1:6" x14ac:dyDescent="0.3">
      <c r="A2608" t="s">
        <v>712</v>
      </c>
      <c r="B2608" t="s">
        <v>2149</v>
      </c>
      <c r="C2608">
        <v>4.5</v>
      </c>
      <c r="D2608">
        <v>81</v>
      </c>
      <c r="E2608">
        <f>IF(OR(B2608="vi",B2608="ii",B2608="pod"),(((D2608/100)*(C2608*VLOOKUP(B2608,'Poids des runes'!A:B,2,FALSE)))+1),(((D2608/100)*(C2608*VLOOKUP(B2608,'Poids des runes'!A:B,2,FALSE)))+1)/VLOOKUP(B2608,'Poids des runes'!A:B,2,FALSE))</f>
        <v>3.7450000000000001</v>
      </c>
      <c r="F2608">
        <f t="shared" si="40"/>
        <v>3.7450000000000001</v>
      </c>
    </row>
    <row r="2609" spans="1:6" x14ac:dyDescent="0.3">
      <c r="A2609" t="s">
        <v>712</v>
      </c>
      <c r="B2609" t="s">
        <v>2135</v>
      </c>
      <c r="C2609">
        <v>8</v>
      </c>
      <c r="D2609">
        <v>81</v>
      </c>
      <c r="E2609">
        <f>IF(OR(B2609="vi",B2609="ii",B2609="pod"),(((D2609/100)*(C2609*VLOOKUP(B2609,'Poids des runes'!A:B,2,FALSE)))+1),(((D2609/100)*(C2609*VLOOKUP(B2609,'Poids des runes'!A:B,2,FALSE)))+1)/VLOOKUP(B2609,'Poids des runes'!A:B,2,FALSE))</f>
        <v>6.6466666666666674</v>
      </c>
      <c r="F2609">
        <f t="shared" si="40"/>
        <v>6.6466666666666674</v>
      </c>
    </row>
    <row r="2610" spans="1:6" x14ac:dyDescent="0.3">
      <c r="A2610" t="s">
        <v>713</v>
      </c>
      <c r="B2610" t="s">
        <v>2128</v>
      </c>
      <c r="C2610">
        <v>50.5</v>
      </c>
      <c r="D2610">
        <v>81</v>
      </c>
      <c r="E2610">
        <f>IF(OR(B2610="vi",B2610="ii",B2610="pod"),(((D2610/100)*(C2610*VLOOKUP(B2610,'Poids des runes'!A:B,2,FALSE)))+1),(((D2610/100)*(C2610*VLOOKUP(B2610,'Poids des runes'!A:B,2,FALSE)))+1)/VLOOKUP(B2610,'Poids des runes'!A:B,2,FALSE))</f>
        <v>9.1810000000000009</v>
      </c>
      <c r="F2610">
        <f t="shared" si="40"/>
        <v>9.1810000000000009</v>
      </c>
    </row>
    <row r="2611" spans="1:6" x14ac:dyDescent="0.3">
      <c r="A2611" t="s">
        <v>713</v>
      </c>
      <c r="B2611" t="s">
        <v>2126</v>
      </c>
      <c r="C2611">
        <v>35.5</v>
      </c>
      <c r="D2611">
        <v>81</v>
      </c>
      <c r="E2611">
        <f>IF(OR(B2611="vi",B2611="ii",B2611="pod"),(((D2611/100)*(C2611*VLOOKUP(B2611,'Poids des runes'!A:B,2,FALSE)))+1),(((D2611/100)*(C2611*VLOOKUP(B2611,'Poids des runes'!A:B,2,FALSE)))+1)/VLOOKUP(B2611,'Poids des runes'!A:B,2,FALSE))</f>
        <v>29.755000000000003</v>
      </c>
      <c r="F2611">
        <f t="shared" si="40"/>
        <v>29.755000000000003</v>
      </c>
    </row>
    <row r="2612" spans="1:6" x14ac:dyDescent="0.3">
      <c r="A2612" t="s">
        <v>713</v>
      </c>
      <c r="B2612" t="s">
        <v>2129</v>
      </c>
      <c r="C2612">
        <v>18</v>
      </c>
      <c r="D2612">
        <v>81</v>
      </c>
      <c r="E2612">
        <f>IF(OR(B2612="vi",B2612="ii",B2612="pod"),(((D2612/100)*(C2612*VLOOKUP(B2612,'Poids des runes'!A:B,2,FALSE)))+1),(((D2612/100)*(C2612*VLOOKUP(B2612,'Poids des runes'!A:B,2,FALSE)))+1)/VLOOKUP(B2612,'Poids des runes'!A:B,2,FALSE))</f>
        <v>15.580000000000002</v>
      </c>
      <c r="F2612">
        <f t="shared" si="40"/>
        <v>15.580000000000002</v>
      </c>
    </row>
    <row r="2613" spans="1:6" x14ac:dyDescent="0.3">
      <c r="A2613" t="s">
        <v>713</v>
      </c>
      <c r="B2613" t="s">
        <v>2151</v>
      </c>
      <c r="C2613">
        <v>4.5</v>
      </c>
      <c r="D2613">
        <v>81</v>
      </c>
      <c r="E2613">
        <f>IF(OR(B2613="vi",B2613="ii",B2613="pod"),(((D2613/100)*(C2613*VLOOKUP(B2613,'Poids des runes'!A:B,2,FALSE)))+1),(((D2613/100)*(C2613*VLOOKUP(B2613,'Poids des runes'!A:B,2,FALSE)))+1)/VLOOKUP(B2613,'Poids des runes'!A:B,2,FALSE))</f>
        <v>3.7450000000000001</v>
      </c>
      <c r="F2613">
        <f t="shared" si="40"/>
        <v>3.7450000000000001</v>
      </c>
    </row>
    <row r="2614" spans="1:6" x14ac:dyDescent="0.3">
      <c r="A2614" t="s">
        <v>713</v>
      </c>
      <c r="B2614" t="s">
        <v>2134</v>
      </c>
      <c r="C2614">
        <v>4.5</v>
      </c>
      <c r="D2614">
        <v>81</v>
      </c>
      <c r="E2614">
        <f>IF(OR(B2614="vi",B2614="ii",B2614="pod"),(((D2614/100)*(C2614*VLOOKUP(B2614,'Poids des runes'!A:B,2,FALSE)))+1),(((D2614/100)*(C2614*VLOOKUP(B2614,'Poids des runes'!A:B,2,FALSE)))+1)/VLOOKUP(B2614,'Poids des runes'!A:B,2,FALSE))</f>
        <v>3.6950000000000003</v>
      </c>
      <c r="F2614">
        <f t="shared" si="40"/>
        <v>3.6950000000000003</v>
      </c>
    </row>
    <row r="2615" spans="1:6" x14ac:dyDescent="0.3">
      <c r="A2615" t="s">
        <v>713</v>
      </c>
      <c r="B2615" t="s">
        <v>2149</v>
      </c>
      <c r="C2615">
        <v>18</v>
      </c>
      <c r="D2615">
        <v>81</v>
      </c>
      <c r="E2615">
        <f>IF(OR(B2615="vi",B2615="ii",B2615="pod"),(((D2615/100)*(C2615*VLOOKUP(B2615,'Poids des runes'!A:B,2,FALSE)))+1),(((D2615/100)*(C2615*VLOOKUP(B2615,'Poids des runes'!A:B,2,FALSE)))+1)/VLOOKUP(B2615,'Poids des runes'!A:B,2,FALSE))</f>
        <v>14.680000000000001</v>
      </c>
      <c r="F2615">
        <f t="shared" si="40"/>
        <v>14.680000000000001</v>
      </c>
    </row>
    <row r="2616" spans="1:6" x14ac:dyDescent="0.3">
      <c r="A2616" t="s">
        <v>714</v>
      </c>
      <c r="B2616" t="s">
        <v>2128</v>
      </c>
      <c r="C2616">
        <v>60.5</v>
      </c>
      <c r="D2616">
        <v>81</v>
      </c>
      <c r="E2616">
        <f>IF(OR(B2616="vi",B2616="ii",B2616="pod"),(((D2616/100)*(C2616*VLOOKUP(B2616,'Poids des runes'!A:B,2,FALSE)))+1),(((D2616/100)*(C2616*VLOOKUP(B2616,'Poids des runes'!A:B,2,FALSE)))+1)/VLOOKUP(B2616,'Poids des runes'!A:B,2,FALSE))</f>
        <v>10.801000000000002</v>
      </c>
      <c r="F2616">
        <f t="shared" si="40"/>
        <v>10.801000000000002</v>
      </c>
    </row>
    <row r="2617" spans="1:6" x14ac:dyDescent="0.3">
      <c r="A2617" t="s">
        <v>714</v>
      </c>
      <c r="B2617" t="s">
        <v>2130</v>
      </c>
      <c r="C2617">
        <v>35.5</v>
      </c>
      <c r="D2617">
        <v>81</v>
      </c>
      <c r="E2617">
        <f>IF(OR(B2617="vi",B2617="ii",B2617="pod"),(((D2617/100)*(C2617*VLOOKUP(B2617,'Poids des runes'!A:B,2,FALSE)))+1),(((D2617/100)*(C2617*VLOOKUP(B2617,'Poids des runes'!A:B,2,FALSE)))+1)/VLOOKUP(B2617,'Poids des runes'!A:B,2,FALSE))</f>
        <v>29.755000000000003</v>
      </c>
      <c r="F2617">
        <f t="shared" si="40"/>
        <v>29.755000000000003</v>
      </c>
    </row>
    <row r="2618" spans="1:6" x14ac:dyDescent="0.3">
      <c r="A2618" t="s">
        <v>714</v>
      </c>
      <c r="B2618" t="s">
        <v>2131</v>
      </c>
      <c r="C2618">
        <v>35.5</v>
      </c>
      <c r="D2618">
        <v>81</v>
      </c>
      <c r="E2618">
        <f>IF(OR(B2618="vi",B2618="ii",B2618="pod"),(((D2618/100)*(C2618*VLOOKUP(B2618,'Poids des runes'!A:B,2,FALSE)))+1),(((D2618/100)*(C2618*VLOOKUP(B2618,'Poids des runes'!A:B,2,FALSE)))+1)/VLOOKUP(B2618,'Poids des runes'!A:B,2,FALSE))</f>
        <v>29.755000000000003</v>
      </c>
      <c r="F2618">
        <f t="shared" si="40"/>
        <v>29.755000000000003</v>
      </c>
    </row>
    <row r="2619" spans="1:6" x14ac:dyDescent="0.3">
      <c r="A2619" t="s">
        <v>714</v>
      </c>
      <c r="B2619" t="s">
        <v>2129</v>
      </c>
      <c r="C2619">
        <v>13</v>
      </c>
      <c r="D2619">
        <v>81</v>
      </c>
      <c r="E2619">
        <f>IF(OR(B2619="vi",B2619="ii",B2619="pod"),(((D2619/100)*(C2619*VLOOKUP(B2619,'Poids des runes'!A:B,2,FALSE)))+1),(((D2619/100)*(C2619*VLOOKUP(B2619,'Poids des runes'!A:B,2,FALSE)))+1)/VLOOKUP(B2619,'Poids des runes'!A:B,2,FALSE))</f>
        <v>11.530000000000001</v>
      </c>
      <c r="F2619">
        <f t="shared" si="40"/>
        <v>11.530000000000001</v>
      </c>
    </row>
    <row r="2620" spans="1:6" x14ac:dyDescent="0.3">
      <c r="A2620" t="s">
        <v>714</v>
      </c>
      <c r="B2620" t="s">
        <v>2143</v>
      </c>
      <c r="C2620">
        <v>6.5</v>
      </c>
      <c r="D2620">
        <v>81</v>
      </c>
      <c r="E2620">
        <f>IF(OR(B2620="vi",B2620="ii",B2620="pod"),(((D2620/100)*(C2620*VLOOKUP(B2620,'Poids des runes'!A:B,2,FALSE)))+1),(((D2620/100)*(C2620*VLOOKUP(B2620,'Poids des runes'!A:B,2,FALSE)))+1)/VLOOKUP(B2620,'Poids des runes'!A:B,2,FALSE))</f>
        <v>5.4650000000000007</v>
      </c>
      <c r="F2620">
        <f t="shared" si="40"/>
        <v>5.4650000000000007</v>
      </c>
    </row>
    <row r="2621" spans="1:6" x14ac:dyDescent="0.3">
      <c r="A2621" t="s">
        <v>714</v>
      </c>
      <c r="B2621" t="s">
        <v>2133</v>
      </c>
      <c r="C2621">
        <v>6.5</v>
      </c>
      <c r="D2621">
        <v>81</v>
      </c>
      <c r="E2621">
        <f>IF(OR(B2621="vi",B2621="ii",B2621="pod"),(((D2621/100)*(C2621*VLOOKUP(B2621,'Poids des runes'!A:B,2,FALSE)))+1),(((D2621/100)*(C2621*VLOOKUP(B2621,'Poids des runes'!A:B,2,FALSE)))+1)/VLOOKUP(B2621,'Poids des runes'!A:B,2,FALSE))</f>
        <v>5.4650000000000007</v>
      </c>
      <c r="F2621">
        <f t="shared" si="40"/>
        <v>5.4650000000000007</v>
      </c>
    </row>
    <row r="2622" spans="1:6" x14ac:dyDescent="0.3">
      <c r="A2622" t="s">
        <v>714</v>
      </c>
      <c r="B2622" t="s">
        <v>2138</v>
      </c>
      <c r="C2622">
        <v>4.5</v>
      </c>
      <c r="D2622">
        <v>81</v>
      </c>
      <c r="E2622">
        <f>IF(OR(B2622="vi",B2622="ii",B2622="pod"),(((D2622/100)*(C2622*VLOOKUP(B2622,'Poids des runes'!A:B,2,FALSE)))+1),(((D2622/100)*(C2622*VLOOKUP(B2622,'Poids des runes'!A:B,2,FALSE)))+1)/VLOOKUP(B2622,'Poids des runes'!A:B,2,FALSE))</f>
        <v>3.8950000000000005</v>
      </c>
      <c r="F2622">
        <f t="shared" si="40"/>
        <v>3.8950000000000005</v>
      </c>
    </row>
    <row r="2623" spans="1:6" x14ac:dyDescent="0.3">
      <c r="A2623" t="s">
        <v>714</v>
      </c>
      <c r="B2623" t="s">
        <v>2157</v>
      </c>
      <c r="C2623">
        <v>3.5</v>
      </c>
      <c r="D2623">
        <v>81</v>
      </c>
      <c r="E2623">
        <f>IF(OR(B2623="vi",B2623="ii",B2623="pod"),(((D2623/100)*(C2623*VLOOKUP(B2623,'Poids des runes'!A:B,2,FALSE)))+1),(((D2623/100)*(C2623*VLOOKUP(B2623,'Poids des runes'!A:B,2,FALSE)))+1)/VLOOKUP(B2623,'Poids des runes'!A:B,2,FALSE))</f>
        <v>3.0016666666666669</v>
      </c>
      <c r="F2623">
        <f t="shared" si="40"/>
        <v>3.0016666666666669</v>
      </c>
    </row>
    <row r="2624" spans="1:6" x14ac:dyDescent="0.3">
      <c r="A2624" t="s">
        <v>715</v>
      </c>
      <c r="B2624" t="s">
        <v>2147</v>
      </c>
      <c r="C2624">
        <v>4</v>
      </c>
      <c r="D2624">
        <v>82</v>
      </c>
      <c r="E2624">
        <f>IF(OR(B2624="vi",B2624="ii",B2624="pod"),(((D2624/100)*(C2624*VLOOKUP(B2624,'Poids des runes'!A:B,2,FALSE)))+1),(((D2624/100)*(C2624*VLOOKUP(B2624,'Poids des runes'!A:B,2,FALSE)))+1)/VLOOKUP(B2624,'Poids des runes'!A:B,2,FALSE))</f>
        <v>3.4466666666666668</v>
      </c>
      <c r="F2624">
        <f t="shared" si="40"/>
        <v>3.4466666666666668</v>
      </c>
    </row>
    <row r="2625" spans="1:6" x14ac:dyDescent="0.3">
      <c r="A2625" t="s">
        <v>715</v>
      </c>
      <c r="B2625" t="s">
        <v>2135</v>
      </c>
      <c r="C2625">
        <v>4</v>
      </c>
      <c r="D2625">
        <v>82</v>
      </c>
      <c r="E2625">
        <f>IF(OR(B2625="vi",B2625="ii",B2625="pod"),(((D2625/100)*(C2625*VLOOKUP(B2625,'Poids des runes'!A:B,2,FALSE)))+1),(((D2625/100)*(C2625*VLOOKUP(B2625,'Poids des runes'!A:B,2,FALSE)))+1)/VLOOKUP(B2625,'Poids des runes'!A:B,2,FALSE))</f>
        <v>3.4466666666666668</v>
      </c>
      <c r="F2625">
        <f t="shared" si="40"/>
        <v>3.4466666666666668</v>
      </c>
    </row>
    <row r="2626" spans="1:6" x14ac:dyDescent="0.3">
      <c r="A2626" t="s">
        <v>715</v>
      </c>
      <c r="B2626" t="s">
        <v>2157</v>
      </c>
      <c r="C2626">
        <v>4</v>
      </c>
      <c r="D2626">
        <v>82</v>
      </c>
      <c r="E2626">
        <f>IF(OR(B2626="vi",B2626="ii",B2626="pod"),(((D2626/100)*(C2626*VLOOKUP(B2626,'Poids des runes'!A:B,2,FALSE)))+1),(((D2626/100)*(C2626*VLOOKUP(B2626,'Poids des runes'!A:B,2,FALSE)))+1)/VLOOKUP(B2626,'Poids des runes'!A:B,2,FALSE))</f>
        <v>3.4466666666666668</v>
      </c>
      <c r="F2626">
        <f t="shared" si="40"/>
        <v>3.4466666666666668</v>
      </c>
    </row>
    <row r="2627" spans="1:6" x14ac:dyDescent="0.3">
      <c r="A2627" t="s">
        <v>715</v>
      </c>
      <c r="B2627" t="s">
        <v>2136</v>
      </c>
      <c r="C2627">
        <v>8</v>
      </c>
      <c r="D2627">
        <v>82</v>
      </c>
      <c r="E2627">
        <f>IF(OR(B2627="vi",B2627="ii",B2627="pod"),(((D2627/100)*(C2627*VLOOKUP(B2627,'Poids des runes'!A:B,2,FALSE)))+1),(((D2627/100)*(C2627*VLOOKUP(B2627,'Poids des runes'!A:B,2,FALSE)))+1)/VLOOKUP(B2627,'Poids des runes'!A:B,2,FALSE))</f>
        <v>7.06</v>
      </c>
      <c r="F2627">
        <f t="shared" ref="F2627:F2690" si="41">E2627</f>
        <v>7.06</v>
      </c>
    </row>
    <row r="2628" spans="1:6" x14ac:dyDescent="0.3">
      <c r="A2628" t="s">
        <v>715</v>
      </c>
      <c r="B2628" t="s">
        <v>2137</v>
      </c>
      <c r="C2628">
        <v>8</v>
      </c>
      <c r="D2628">
        <v>82</v>
      </c>
      <c r="E2628">
        <f>IF(OR(B2628="vi",B2628="ii",B2628="pod"),(((D2628/100)*(C2628*VLOOKUP(B2628,'Poids des runes'!A:B,2,FALSE)))+1),(((D2628/100)*(C2628*VLOOKUP(B2628,'Poids des runes'!A:B,2,FALSE)))+1)/VLOOKUP(B2628,'Poids des runes'!A:B,2,FALSE))</f>
        <v>7.06</v>
      </c>
      <c r="F2628">
        <f t="shared" si="41"/>
        <v>7.06</v>
      </c>
    </row>
    <row r="2629" spans="1:6" x14ac:dyDescent="0.3">
      <c r="A2629" t="s">
        <v>715</v>
      </c>
      <c r="B2629" t="s">
        <v>2144</v>
      </c>
      <c r="C2629">
        <v>8</v>
      </c>
      <c r="D2629">
        <v>82</v>
      </c>
      <c r="E2629">
        <f>IF(OR(B2629="vi",B2629="ii",B2629="pod"),(((D2629/100)*(C2629*VLOOKUP(B2629,'Poids des runes'!A:B,2,FALSE)))+1),(((D2629/100)*(C2629*VLOOKUP(B2629,'Poids des runes'!A:B,2,FALSE)))+1)/VLOOKUP(B2629,'Poids des runes'!A:B,2,FALSE))</f>
        <v>7.06</v>
      </c>
      <c r="F2629">
        <f t="shared" si="41"/>
        <v>7.06</v>
      </c>
    </row>
    <row r="2630" spans="1:6" x14ac:dyDescent="0.3">
      <c r="A2630" t="s">
        <v>715</v>
      </c>
      <c r="B2630" t="s">
        <v>2145</v>
      </c>
      <c r="C2630">
        <v>8</v>
      </c>
      <c r="D2630">
        <v>82</v>
      </c>
      <c r="E2630">
        <f>IF(OR(B2630="vi",B2630="ii",B2630="pod"),(((D2630/100)*(C2630*VLOOKUP(B2630,'Poids des runes'!A:B,2,FALSE)))+1),(((D2630/100)*(C2630*VLOOKUP(B2630,'Poids des runes'!A:B,2,FALSE)))+1)/VLOOKUP(B2630,'Poids des runes'!A:B,2,FALSE))</f>
        <v>7.06</v>
      </c>
      <c r="F2630">
        <f t="shared" si="41"/>
        <v>7.06</v>
      </c>
    </row>
    <row r="2631" spans="1:6" x14ac:dyDescent="0.3">
      <c r="A2631" t="s">
        <v>715</v>
      </c>
      <c r="B2631" t="s">
        <v>2146</v>
      </c>
      <c r="C2631">
        <v>8</v>
      </c>
      <c r="D2631">
        <v>82</v>
      </c>
      <c r="E2631">
        <f>IF(OR(B2631="vi",B2631="ii",B2631="pod"),(((D2631/100)*(C2631*VLOOKUP(B2631,'Poids des runes'!A:B,2,FALSE)))+1),(((D2631/100)*(C2631*VLOOKUP(B2631,'Poids des runes'!A:B,2,FALSE)))+1)/VLOOKUP(B2631,'Poids des runes'!A:B,2,FALSE))</f>
        <v>7.06</v>
      </c>
      <c r="F2631">
        <f t="shared" si="41"/>
        <v>7.06</v>
      </c>
    </row>
    <row r="2632" spans="1:6" x14ac:dyDescent="0.3">
      <c r="A2632" t="s">
        <v>716</v>
      </c>
      <c r="B2632" t="s">
        <v>2128</v>
      </c>
      <c r="C2632">
        <v>60.5</v>
      </c>
      <c r="D2632">
        <v>82</v>
      </c>
      <c r="E2632">
        <f>IF(OR(B2632="vi",B2632="ii",B2632="pod"),(((D2632/100)*(C2632*VLOOKUP(B2632,'Poids des runes'!A:B,2,FALSE)))+1),(((D2632/100)*(C2632*VLOOKUP(B2632,'Poids des runes'!A:B,2,FALSE)))+1)/VLOOKUP(B2632,'Poids des runes'!A:B,2,FALSE))</f>
        <v>10.922000000000001</v>
      </c>
      <c r="F2632">
        <f t="shared" si="41"/>
        <v>10.922000000000001</v>
      </c>
    </row>
    <row r="2633" spans="1:6" x14ac:dyDescent="0.3">
      <c r="A2633" t="s">
        <v>716</v>
      </c>
      <c r="B2633" t="s">
        <v>2131</v>
      </c>
      <c r="C2633">
        <v>30.5</v>
      </c>
      <c r="D2633">
        <v>82</v>
      </c>
      <c r="E2633">
        <f>IF(OR(B2633="vi",B2633="ii",B2633="pod"),(((D2633/100)*(C2633*VLOOKUP(B2633,'Poids des runes'!A:B,2,FALSE)))+1),(((D2633/100)*(C2633*VLOOKUP(B2633,'Poids des runes'!A:B,2,FALSE)))+1)/VLOOKUP(B2633,'Poids des runes'!A:B,2,FALSE))</f>
        <v>26.009999999999998</v>
      </c>
      <c r="F2633">
        <f t="shared" si="41"/>
        <v>26.009999999999998</v>
      </c>
    </row>
    <row r="2634" spans="1:6" x14ac:dyDescent="0.3">
      <c r="A2634" t="s">
        <v>716</v>
      </c>
      <c r="B2634" t="s">
        <v>2129</v>
      </c>
      <c r="C2634">
        <v>20.5</v>
      </c>
      <c r="D2634">
        <v>82</v>
      </c>
      <c r="E2634">
        <f>IF(OR(B2634="vi",B2634="ii",B2634="pod"),(((D2634/100)*(C2634*VLOOKUP(B2634,'Poids des runes'!A:B,2,FALSE)))+1),(((D2634/100)*(C2634*VLOOKUP(B2634,'Poids des runes'!A:B,2,FALSE)))+1)/VLOOKUP(B2634,'Poids des runes'!A:B,2,FALSE))</f>
        <v>17.809999999999999</v>
      </c>
      <c r="F2634">
        <f t="shared" si="41"/>
        <v>17.809999999999999</v>
      </c>
    </row>
    <row r="2635" spans="1:6" x14ac:dyDescent="0.3">
      <c r="A2635" t="s">
        <v>716</v>
      </c>
      <c r="B2635" t="s">
        <v>2151</v>
      </c>
      <c r="C2635">
        <v>1.5</v>
      </c>
      <c r="D2635">
        <v>82</v>
      </c>
      <c r="E2635">
        <f>IF(OR(B2635="vi",B2635="ii",B2635="pod"),(((D2635/100)*(C2635*VLOOKUP(B2635,'Poids des runes'!A:B,2,FALSE)))+1),(((D2635/100)*(C2635*VLOOKUP(B2635,'Poids des runes'!A:B,2,FALSE)))+1)/VLOOKUP(B2635,'Poids des runes'!A:B,2,FALSE))</f>
        <v>1.3299999999999998</v>
      </c>
      <c r="F2635">
        <f t="shared" si="41"/>
        <v>1.3299999999999998</v>
      </c>
    </row>
    <row r="2636" spans="1:6" x14ac:dyDescent="0.3">
      <c r="A2636" t="s">
        <v>716</v>
      </c>
      <c r="B2636" t="s">
        <v>2133</v>
      </c>
      <c r="C2636">
        <v>5</v>
      </c>
      <c r="D2636">
        <v>82</v>
      </c>
      <c r="E2636">
        <f>IF(OR(B2636="vi",B2636="ii",B2636="pod"),(((D2636/100)*(C2636*VLOOKUP(B2636,'Poids des runes'!A:B,2,FALSE)))+1),(((D2636/100)*(C2636*VLOOKUP(B2636,'Poids des runes'!A:B,2,FALSE)))+1)/VLOOKUP(B2636,'Poids des runes'!A:B,2,FALSE))</f>
        <v>4.3</v>
      </c>
      <c r="F2636">
        <f t="shared" si="41"/>
        <v>4.3</v>
      </c>
    </row>
    <row r="2637" spans="1:6" x14ac:dyDescent="0.3">
      <c r="A2637" t="s">
        <v>716</v>
      </c>
      <c r="B2637" t="s">
        <v>2149</v>
      </c>
      <c r="C2637">
        <v>7</v>
      </c>
      <c r="D2637">
        <v>82</v>
      </c>
      <c r="E2637">
        <f>IF(OR(B2637="vi",B2637="ii",B2637="pod"),(((D2637/100)*(C2637*VLOOKUP(B2637,'Poids des runes'!A:B,2,FALSE)))+1),(((D2637/100)*(C2637*VLOOKUP(B2637,'Poids des runes'!A:B,2,FALSE)))+1)/VLOOKUP(B2637,'Poids des runes'!A:B,2,FALSE))</f>
        <v>5.84</v>
      </c>
      <c r="F2637">
        <f t="shared" si="41"/>
        <v>5.84</v>
      </c>
    </row>
    <row r="2638" spans="1:6" x14ac:dyDescent="0.3">
      <c r="A2638" t="s">
        <v>716</v>
      </c>
      <c r="B2638" t="s">
        <v>2160</v>
      </c>
      <c r="C2638">
        <v>5</v>
      </c>
      <c r="D2638">
        <v>82</v>
      </c>
      <c r="E2638">
        <f>IF(OR(B2638="vi",B2638="ii",B2638="pod"),(((D2638/100)*(C2638*VLOOKUP(B2638,'Poids des runes'!A:B,2,FALSE)))+1),(((D2638/100)*(C2638*VLOOKUP(B2638,'Poids des runes'!A:B,2,FALSE)))+1)/VLOOKUP(B2638,'Poids des runes'!A:B,2,FALSE))</f>
        <v>4.2428571428571429</v>
      </c>
      <c r="F2638">
        <f t="shared" si="41"/>
        <v>4.2428571428571429</v>
      </c>
    </row>
    <row r="2639" spans="1:6" x14ac:dyDescent="0.3">
      <c r="A2639" t="s">
        <v>716</v>
      </c>
      <c r="B2639" t="s">
        <v>2165</v>
      </c>
      <c r="C2639">
        <v>5</v>
      </c>
      <c r="D2639">
        <v>82</v>
      </c>
      <c r="E2639">
        <f>IF(OR(B2639="vi",B2639="ii",B2639="pod"),(((D2639/100)*(C2639*VLOOKUP(B2639,'Poids des runes'!A:B,2,FALSE)))+1),(((D2639/100)*(C2639*VLOOKUP(B2639,'Poids des runes'!A:B,2,FALSE)))+1)/VLOOKUP(B2639,'Poids des runes'!A:B,2,FALSE))</f>
        <v>4.2428571428571429</v>
      </c>
      <c r="F2639">
        <f t="shared" si="41"/>
        <v>4.2428571428571429</v>
      </c>
    </row>
    <row r="2640" spans="1:6" x14ac:dyDescent="0.3">
      <c r="A2640" t="s">
        <v>717</v>
      </c>
      <c r="B2640" t="s">
        <v>2129</v>
      </c>
      <c r="C2640">
        <v>18</v>
      </c>
      <c r="D2640">
        <v>83</v>
      </c>
      <c r="E2640">
        <f>IF(OR(B2640="vi",B2640="ii",B2640="pod"),(((D2640/100)*(C2640*VLOOKUP(B2640,'Poids des runes'!A:B,2,FALSE)))+1),(((D2640/100)*(C2640*VLOOKUP(B2640,'Poids des runes'!A:B,2,FALSE)))+1)/VLOOKUP(B2640,'Poids des runes'!A:B,2,FALSE))</f>
        <v>15.94</v>
      </c>
      <c r="F2640">
        <f t="shared" si="41"/>
        <v>15.94</v>
      </c>
    </row>
    <row r="2641" spans="1:6" x14ac:dyDescent="0.3">
      <c r="A2641" t="s">
        <v>717</v>
      </c>
      <c r="B2641" t="s">
        <v>2139</v>
      </c>
      <c r="C2641">
        <v>13</v>
      </c>
      <c r="D2641">
        <v>83</v>
      </c>
      <c r="E2641">
        <f>IF(OR(B2641="vi",B2641="ii",B2641="pod"),(((D2641/100)*(C2641*VLOOKUP(B2641,'Poids des runes'!A:B,2,FALSE)))+1),(((D2641/100)*(C2641*VLOOKUP(B2641,'Poids des runes'!A:B,2,FALSE)))+1)/VLOOKUP(B2641,'Poids des runes'!A:B,2,FALSE))</f>
        <v>11.29</v>
      </c>
      <c r="F2641">
        <f t="shared" si="41"/>
        <v>11.29</v>
      </c>
    </row>
    <row r="2642" spans="1:6" x14ac:dyDescent="0.3">
      <c r="A2642" t="s">
        <v>717</v>
      </c>
      <c r="B2642" t="s">
        <v>2150</v>
      </c>
      <c r="C2642">
        <v>2</v>
      </c>
      <c r="D2642">
        <v>83</v>
      </c>
      <c r="E2642">
        <f>IF(OR(B2642="vi",B2642="ii",B2642="pod"),(((D2642/100)*(C2642*VLOOKUP(B2642,'Poids des runes'!A:B,2,FALSE)))+1),(((D2642/100)*(C2642*VLOOKUP(B2642,'Poids des runes'!A:B,2,FALSE)))+1)/VLOOKUP(B2642,'Poids des runes'!A:B,2,FALSE))</f>
        <v>1.6933333333333331</v>
      </c>
      <c r="F2642">
        <f t="shared" si="41"/>
        <v>1.6933333333333331</v>
      </c>
    </row>
    <row r="2643" spans="1:6" x14ac:dyDescent="0.3">
      <c r="A2643" t="s">
        <v>717</v>
      </c>
      <c r="B2643" t="s">
        <v>2161</v>
      </c>
      <c r="C2643">
        <v>13</v>
      </c>
      <c r="D2643">
        <v>83</v>
      </c>
      <c r="E2643">
        <f>IF(OR(B2643="vi",B2643="ii",B2643="pod"),(((D2643/100)*(C2643*VLOOKUP(B2643,'Poids des runes'!A:B,2,FALSE)))+1),(((D2643/100)*(C2643*VLOOKUP(B2643,'Poids des runes'!A:B,2,FALSE)))+1)/VLOOKUP(B2643,'Poids des runes'!A:B,2,FALSE))</f>
        <v>11.123333333333333</v>
      </c>
      <c r="F2643">
        <f t="shared" si="41"/>
        <v>11.123333333333333</v>
      </c>
    </row>
    <row r="2644" spans="1:6" x14ac:dyDescent="0.3">
      <c r="A2644" t="s">
        <v>717</v>
      </c>
      <c r="B2644" t="s">
        <v>2156</v>
      </c>
      <c r="C2644">
        <v>3.5</v>
      </c>
      <c r="D2644">
        <v>83</v>
      </c>
      <c r="E2644">
        <f>IF(OR(B2644="vi",B2644="ii",B2644="pod"),(((D2644/100)*(C2644*VLOOKUP(B2644,'Poids des runes'!A:B,2,FALSE)))+1),(((D2644/100)*(C2644*VLOOKUP(B2644,'Poids des runes'!A:B,2,FALSE)))+1)/VLOOKUP(B2644,'Poids des runes'!A:B,2,FALSE))</f>
        <v>3.0716666666666668</v>
      </c>
      <c r="F2644">
        <f t="shared" si="41"/>
        <v>3.0716666666666668</v>
      </c>
    </row>
    <row r="2645" spans="1:6" x14ac:dyDescent="0.3">
      <c r="A2645" t="s">
        <v>717</v>
      </c>
      <c r="B2645" t="s">
        <v>2135</v>
      </c>
      <c r="C2645">
        <v>3.5</v>
      </c>
      <c r="D2645">
        <v>83</v>
      </c>
      <c r="E2645">
        <f>IF(OR(B2645="vi",B2645="ii",B2645="pod"),(((D2645/100)*(C2645*VLOOKUP(B2645,'Poids des runes'!A:B,2,FALSE)))+1),(((D2645/100)*(C2645*VLOOKUP(B2645,'Poids des runes'!A:B,2,FALSE)))+1)/VLOOKUP(B2645,'Poids des runes'!A:B,2,FALSE))</f>
        <v>3.0716666666666668</v>
      </c>
      <c r="F2645">
        <f t="shared" si="41"/>
        <v>3.0716666666666668</v>
      </c>
    </row>
    <row r="2646" spans="1:6" x14ac:dyDescent="0.3">
      <c r="A2646" t="s">
        <v>718</v>
      </c>
      <c r="B2646" t="s">
        <v>2128</v>
      </c>
      <c r="C2646">
        <v>125.5</v>
      </c>
      <c r="D2646">
        <v>83</v>
      </c>
      <c r="E2646">
        <f>IF(OR(B2646="vi",B2646="ii",B2646="pod"),(((D2646/100)*(C2646*VLOOKUP(B2646,'Poids des runes'!A:B,2,FALSE)))+1),(((D2646/100)*(C2646*VLOOKUP(B2646,'Poids des runes'!A:B,2,FALSE)))+1)/VLOOKUP(B2646,'Poids des runes'!A:B,2,FALSE))</f>
        <v>21.832999999999998</v>
      </c>
      <c r="F2646">
        <f t="shared" si="41"/>
        <v>21.832999999999998</v>
      </c>
    </row>
    <row r="2647" spans="1:6" x14ac:dyDescent="0.3">
      <c r="A2647" t="s">
        <v>718</v>
      </c>
      <c r="B2647" t="s">
        <v>2130</v>
      </c>
      <c r="C2647">
        <v>18</v>
      </c>
      <c r="D2647">
        <v>83</v>
      </c>
      <c r="E2647">
        <f>IF(OR(B2647="vi",B2647="ii",B2647="pod"),(((D2647/100)*(C2647*VLOOKUP(B2647,'Poids des runes'!A:B,2,FALSE)))+1),(((D2647/100)*(C2647*VLOOKUP(B2647,'Poids des runes'!A:B,2,FALSE)))+1)/VLOOKUP(B2647,'Poids des runes'!A:B,2,FALSE))</f>
        <v>15.94</v>
      </c>
      <c r="F2647">
        <f t="shared" si="41"/>
        <v>15.94</v>
      </c>
    </row>
    <row r="2648" spans="1:6" x14ac:dyDescent="0.3">
      <c r="A2648" t="s">
        <v>718</v>
      </c>
      <c r="B2648" t="s">
        <v>2126</v>
      </c>
      <c r="C2648">
        <v>18</v>
      </c>
      <c r="D2648">
        <v>83</v>
      </c>
      <c r="E2648">
        <f>IF(OR(B2648="vi",B2648="ii",B2648="pod"),(((D2648/100)*(C2648*VLOOKUP(B2648,'Poids des runes'!A:B,2,FALSE)))+1),(((D2648/100)*(C2648*VLOOKUP(B2648,'Poids des runes'!A:B,2,FALSE)))+1)/VLOOKUP(B2648,'Poids des runes'!A:B,2,FALSE))</f>
        <v>15.94</v>
      </c>
      <c r="F2648">
        <f t="shared" si="41"/>
        <v>15.94</v>
      </c>
    </row>
    <row r="2649" spans="1:6" x14ac:dyDescent="0.3">
      <c r="A2649" t="s">
        <v>718</v>
      </c>
      <c r="B2649" t="s">
        <v>2129</v>
      </c>
      <c r="C2649">
        <v>25.5</v>
      </c>
      <c r="D2649">
        <v>83</v>
      </c>
      <c r="E2649">
        <f>IF(OR(B2649="vi",B2649="ii",B2649="pod"),(((D2649/100)*(C2649*VLOOKUP(B2649,'Poids des runes'!A:B,2,FALSE)))+1),(((D2649/100)*(C2649*VLOOKUP(B2649,'Poids des runes'!A:B,2,FALSE)))+1)/VLOOKUP(B2649,'Poids des runes'!A:B,2,FALSE))</f>
        <v>22.164999999999999</v>
      </c>
      <c r="F2649">
        <f t="shared" si="41"/>
        <v>22.164999999999999</v>
      </c>
    </row>
    <row r="2650" spans="1:6" x14ac:dyDescent="0.3">
      <c r="A2650" t="s">
        <v>718</v>
      </c>
      <c r="B2650" t="s">
        <v>2143</v>
      </c>
      <c r="C2650">
        <v>4.5</v>
      </c>
      <c r="D2650">
        <v>83</v>
      </c>
      <c r="E2650">
        <f>IF(OR(B2650="vi",B2650="ii",B2650="pod"),(((D2650/100)*(C2650*VLOOKUP(B2650,'Poids des runes'!A:B,2,FALSE)))+1),(((D2650/100)*(C2650*VLOOKUP(B2650,'Poids des runes'!A:B,2,FALSE)))+1)/VLOOKUP(B2650,'Poids des runes'!A:B,2,FALSE))</f>
        <v>3.9350000000000001</v>
      </c>
      <c r="F2650">
        <f t="shared" si="41"/>
        <v>3.9350000000000001</v>
      </c>
    </row>
    <row r="2651" spans="1:6" x14ac:dyDescent="0.3">
      <c r="A2651" t="s">
        <v>718</v>
      </c>
      <c r="B2651" t="s">
        <v>2140</v>
      </c>
      <c r="C2651">
        <v>4.5</v>
      </c>
      <c r="D2651">
        <v>83</v>
      </c>
      <c r="E2651">
        <f>IF(OR(B2651="vi",B2651="ii",B2651="pod"),(((D2651/100)*(C2651*VLOOKUP(B2651,'Poids des runes'!A:B,2,FALSE)))+1),(((D2651/100)*(C2651*VLOOKUP(B2651,'Poids des runes'!A:B,2,FALSE)))+1)/VLOOKUP(B2651,'Poids des runes'!A:B,2,FALSE))</f>
        <v>3.9350000000000001</v>
      </c>
      <c r="F2651">
        <f t="shared" si="41"/>
        <v>3.9350000000000001</v>
      </c>
    </row>
    <row r="2652" spans="1:6" x14ac:dyDescent="0.3">
      <c r="A2652" t="s">
        <v>718</v>
      </c>
      <c r="B2652" t="s">
        <v>2149</v>
      </c>
      <c r="C2652">
        <v>6</v>
      </c>
      <c r="D2652">
        <v>83</v>
      </c>
      <c r="E2652">
        <f>IF(OR(B2652="vi",B2652="ii",B2652="pod"),(((D2652/100)*(C2652*VLOOKUP(B2652,'Poids des runes'!A:B,2,FALSE)))+1),(((D2652/100)*(C2652*VLOOKUP(B2652,'Poids des runes'!A:B,2,FALSE)))+1)/VLOOKUP(B2652,'Poids des runes'!A:B,2,FALSE))</f>
        <v>5.08</v>
      </c>
      <c r="F2652">
        <f t="shared" si="41"/>
        <v>5.08</v>
      </c>
    </row>
    <row r="2653" spans="1:6" x14ac:dyDescent="0.3">
      <c r="A2653" t="s">
        <v>718</v>
      </c>
      <c r="B2653" t="s">
        <v>2141</v>
      </c>
      <c r="C2653">
        <v>8.5</v>
      </c>
      <c r="D2653">
        <v>83</v>
      </c>
      <c r="E2653">
        <f>IF(OR(B2653="vi",B2653="ii",B2653="pod"),(((D2653/100)*(C2653*VLOOKUP(B2653,'Poids des runes'!A:B,2,FALSE)))+1),(((D2653/100)*(C2653*VLOOKUP(B2653,'Poids des runes'!A:B,2,FALSE)))+1)/VLOOKUP(B2653,'Poids des runes'!A:B,2,FALSE))</f>
        <v>7.3049999999999997</v>
      </c>
      <c r="F2653">
        <f t="shared" si="41"/>
        <v>7.3049999999999997</v>
      </c>
    </row>
    <row r="2654" spans="1:6" x14ac:dyDescent="0.3">
      <c r="A2654" t="s">
        <v>719</v>
      </c>
      <c r="B2654" t="s">
        <v>2128</v>
      </c>
      <c r="C2654">
        <v>60.5</v>
      </c>
      <c r="D2654">
        <v>83</v>
      </c>
      <c r="E2654">
        <f>IF(OR(B2654="vi",B2654="ii",B2654="pod"),(((D2654/100)*(C2654*VLOOKUP(B2654,'Poids des runes'!A:B,2,FALSE)))+1),(((D2654/100)*(C2654*VLOOKUP(B2654,'Poids des runes'!A:B,2,FALSE)))+1)/VLOOKUP(B2654,'Poids des runes'!A:B,2,FALSE))</f>
        <v>11.043000000000001</v>
      </c>
      <c r="F2654">
        <f t="shared" si="41"/>
        <v>11.043000000000001</v>
      </c>
    </row>
    <row r="2655" spans="1:6" x14ac:dyDescent="0.3">
      <c r="A2655" t="s">
        <v>719</v>
      </c>
      <c r="B2655" t="s">
        <v>2131</v>
      </c>
      <c r="C2655">
        <v>25.5</v>
      </c>
      <c r="D2655">
        <v>83</v>
      </c>
      <c r="E2655">
        <f>IF(OR(B2655="vi",B2655="ii",B2655="pod"),(((D2655/100)*(C2655*VLOOKUP(B2655,'Poids des runes'!A:B,2,FALSE)))+1),(((D2655/100)*(C2655*VLOOKUP(B2655,'Poids des runes'!A:B,2,FALSE)))+1)/VLOOKUP(B2655,'Poids des runes'!A:B,2,FALSE))</f>
        <v>22.164999999999999</v>
      </c>
      <c r="F2655">
        <f t="shared" si="41"/>
        <v>22.164999999999999</v>
      </c>
    </row>
    <row r="2656" spans="1:6" x14ac:dyDescent="0.3">
      <c r="A2656" t="s">
        <v>719</v>
      </c>
      <c r="B2656" t="s">
        <v>2129</v>
      </c>
      <c r="C2656">
        <v>18</v>
      </c>
      <c r="D2656">
        <v>83</v>
      </c>
      <c r="E2656">
        <f>IF(OR(B2656="vi",B2656="ii",B2656="pod"),(((D2656/100)*(C2656*VLOOKUP(B2656,'Poids des runes'!A:B,2,FALSE)))+1),(((D2656/100)*(C2656*VLOOKUP(B2656,'Poids des runes'!A:B,2,FALSE)))+1)/VLOOKUP(B2656,'Poids des runes'!A:B,2,FALSE))</f>
        <v>15.94</v>
      </c>
      <c r="F2656">
        <f t="shared" si="41"/>
        <v>15.94</v>
      </c>
    </row>
    <row r="2657" spans="1:6" x14ac:dyDescent="0.3">
      <c r="A2657" t="s">
        <v>719</v>
      </c>
      <c r="B2657" t="s">
        <v>2155</v>
      </c>
      <c r="C2657">
        <v>1</v>
      </c>
      <c r="D2657">
        <v>83</v>
      </c>
      <c r="E2657">
        <f>IF(OR(B2657="vi",B2657="ii",B2657="pod"),(((D2657/100)*(C2657*VLOOKUP(B2657,'Poids des runes'!A:B,2,FALSE)))+1),(((D2657/100)*(C2657*VLOOKUP(B2657,'Poids des runes'!A:B,2,FALSE)))+1)/VLOOKUP(B2657,'Poids des runes'!A:B,2,FALSE))</f>
        <v>0.8496078431372549</v>
      </c>
      <c r="F2657">
        <f t="shared" si="41"/>
        <v>0.8496078431372549</v>
      </c>
    </row>
    <row r="2658" spans="1:6" x14ac:dyDescent="0.3">
      <c r="A2658" t="s">
        <v>719</v>
      </c>
      <c r="B2658" t="s">
        <v>2133</v>
      </c>
      <c r="C2658">
        <v>5</v>
      </c>
      <c r="D2658">
        <v>83</v>
      </c>
      <c r="E2658">
        <f>IF(OR(B2658="vi",B2658="ii",B2658="pod"),(((D2658/100)*(C2658*VLOOKUP(B2658,'Poids des runes'!A:B,2,FALSE)))+1),(((D2658/100)*(C2658*VLOOKUP(B2658,'Poids des runes'!A:B,2,FALSE)))+1)/VLOOKUP(B2658,'Poids des runes'!A:B,2,FALSE))</f>
        <v>4.3499999999999996</v>
      </c>
      <c r="F2658">
        <f t="shared" si="41"/>
        <v>4.3499999999999996</v>
      </c>
    </row>
    <row r="2659" spans="1:6" x14ac:dyDescent="0.3">
      <c r="A2659" t="s">
        <v>719</v>
      </c>
      <c r="B2659" t="s">
        <v>2142</v>
      </c>
      <c r="C2659">
        <v>7</v>
      </c>
      <c r="D2659">
        <v>83</v>
      </c>
      <c r="E2659">
        <f>IF(OR(B2659="vi",B2659="ii",B2659="pod"),(((D2659/100)*(C2659*VLOOKUP(B2659,'Poids des runes'!A:B,2,FALSE)))+1),(((D2659/100)*(C2659*VLOOKUP(B2659,'Poids des runes'!A:B,2,FALSE)))+1)/VLOOKUP(B2659,'Poids des runes'!A:B,2,FALSE))</f>
        <v>6.01</v>
      </c>
      <c r="F2659">
        <f t="shared" si="41"/>
        <v>6.01</v>
      </c>
    </row>
    <row r="2660" spans="1:6" x14ac:dyDescent="0.3">
      <c r="A2660" t="s">
        <v>719</v>
      </c>
      <c r="B2660" t="s">
        <v>2164</v>
      </c>
      <c r="C2660">
        <v>7</v>
      </c>
      <c r="D2660">
        <v>83</v>
      </c>
      <c r="E2660">
        <f>IF(OR(B2660="vi",B2660="ii",B2660="pod"),(((D2660/100)*(C2660*VLOOKUP(B2660,'Poids des runes'!A:B,2,FALSE)))+1),(((D2660/100)*(C2660*VLOOKUP(B2660,'Poids des runes'!A:B,2,FALSE)))+1)/VLOOKUP(B2660,'Poids des runes'!A:B,2,FALSE))</f>
        <v>6.31</v>
      </c>
      <c r="F2660">
        <f t="shared" si="41"/>
        <v>6.31</v>
      </c>
    </row>
    <row r="2661" spans="1:6" x14ac:dyDescent="0.3">
      <c r="A2661" t="s">
        <v>719</v>
      </c>
      <c r="B2661" t="s">
        <v>2148</v>
      </c>
      <c r="C2661">
        <v>3.5</v>
      </c>
      <c r="D2661">
        <v>83</v>
      </c>
      <c r="E2661">
        <f>IF(OR(B2661="vi",B2661="ii",B2661="pod"),(((D2661/100)*(C2661*VLOOKUP(B2661,'Poids des runes'!A:B,2,FALSE)))+1),(((D2661/100)*(C2661*VLOOKUP(B2661,'Poids des runes'!A:B,2,FALSE)))+1)/VLOOKUP(B2661,'Poids des runes'!A:B,2,FALSE))</f>
        <v>3.0716666666666668</v>
      </c>
      <c r="F2661">
        <f t="shared" si="41"/>
        <v>3.0716666666666668</v>
      </c>
    </row>
    <row r="2662" spans="1:6" x14ac:dyDescent="0.3">
      <c r="A2662" t="s">
        <v>719</v>
      </c>
      <c r="B2662" t="s">
        <v>2137</v>
      </c>
      <c r="C2662">
        <v>7</v>
      </c>
      <c r="D2662">
        <v>83</v>
      </c>
      <c r="E2662">
        <f>IF(OR(B2662="vi",B2662="ii",B2662="pod"),(((D2662/100)*(C2662*VLOOKUP(B2662,'Poids des runes'!A:B,2,FALSE)))+1),(((D2662/100)*(C2662*VLOOKUP(B2662,'Poids des runes'!A:B,2,FALSE)))+1)/VLOOKUP(B2662,'Poids des runes'!A:B,2,FALSE))</f>
        <v>6.31</v>
      </c>
      <c r="F2662">
        <f t="shared" si="41"/>
        <v>6.31</v>
      </c>
    </row>
    <row r="2663" spans="1:6" x14ac:dyDescent="0.3">
      <c r="A2663" t="s">
        <v>720</v>
      </c>
      <c r="B2663" t="s">
        <v>2128</v>
      </c>
      <c r="C2663">
        <v>70.5</v>
      </c>
      <c r="D2663">
        <v>83</v>
      </c>
      <c r="E2663">
        <f>IF(OR(B2663="vi",B2663="ii",B2663="pod"),(((D2663/100)*(C2663*VLOOKUP(B2663,'Poids des runes'!A:B,2,FALSE)))+1),(((D2663/100)*(C2663*VLOOKUP(B2663,'Poids des runes'!A:B,2,FALSE)))+1)/VLOOKUP(B2663,'Poids des runes'!A:B,2,FALSE))</f>
        <v>12.703000000000001</v>
      </c>
      <c r="F2663">
        <f t="shared" si="41"/>
        <v>12.703000000000001</v>
      </c>
    </row>
    <row r="2664" spans="1:6" x14ac:dyDescent="0.3">
      <c r="A2664" t="s">
        <v>720</v>
      </c>
      <c r="B2664" t="s">
        <v>2131</v>
      </c>
      <c r="C2664">
        <v>25.5</v>
      </c>
      <c r="D2664">
        <v>83</v>
      </c>
      <c r="E2664">
        <f>IF(OR(B2664="vi",B2664="ii",B2664="pod"),(((D2664/100)*(C2664*VLOOKUP(B2664,'Poids des runes'!A:B,2,FALSE)))+1),(((D2664/100)*(C2664*VLOOKUP(B2664,'Poids des runes'!A:B,2,FALSE)))+1)/VLOOKUP(B2664,'Poids des runes'!A:B,2,FALSE))</f>
        <v>22.164999999999999</v>
      </c>
      <c r="F2664">
        <f t="shared" si="41"/>
        <v>22.164999999999999</v>
      </c>
    </row>
    <row r="2665" spans="1:6" x14ac:dyDescent="0.3">
      <c r="A2665" t="s">
        <v>720</v>
      </c>
      <c r="B2665" t="s">
        <v>2129</v>
      </c>
      <c r="C2665">
        <v>15.5</v>
      </c>
      <c r="D2665">
        <v>83</v>
      </c>
      <c r="E2665">
        <f>IF(OR(B2665="vi",B2665="ii",B2665="pod"),(((D2665/100)*(C2665*VLOOKUP(B2665,'Poids des runes'!A:B,2,FALSE)))+1),(((D2665/100)*(C2665*VLOOKUP(B2665,'Poids des runes'!A:B,2,FALSE)))+1)/VLOOKUP(B2665,'Poids des runes'!A:B,2,FALSE))</f>
        <v>13.865</v>
      </c>
      <c r="F2665">
        <f t="shared" si="41"/>
        <v>13.865</v>
      </c>
    </row>
    <row r="2666" spans="1:6" x14ac:dyDescent="0.3">
      <c r="A2666" t="s">
        <v>720</v>
      </c>
      <c r="B2666" t="s">
        <v>2155</v>
      </c>
      <c r="C2666">
        <v>1</v>
      </c>
      <c r="D2666">
        <v>83</v>
      </c>
      <c r="E2666">
        <f>IF(OR(B2666="vi",B2666="ii",B2666="pod"),(((D2666/100)*(C2666*VLOOKUP(B2666,'Poids des runes'!A:B,2,FALSE)))+1),(((D2666/100)*(C2666*VLOOKUP(B2666,'Poids des runes'!A:B,2,FALSE)))+1)/VLOOKUP(B2666,'Poids des runes'!A:B,2,FALSE))</f>
        <v>0.8496078431372549</v>
      </c>
      <c r="F2666">
        <f t="shared" si="41"/>
        <v>0.8496078431372549</v>
      </c>
    </row>
    <row r="2667" spans="1:6" x14ac:dyDescent="0.3">
      <c r="A2667" t="s">
        <v>720</v>
      </c>
      <c r="B2667" t="s">
        <v>2149</v>
      </c>
      <c r="C2667">
        <v>7</v>
      </c>
      <c r="D2667">
        <v>83</v>
      </c>
      <c r="E2667">
        <f>IF(OR(B2667="vi",B2667="ii",B2667="pod"),(((D2667/100)*(C2667*VLOOKUP(B2667,'Poids des runes'!A:B,2,FALSE)))+1),(((D2667/100)*(C2667*VLOOKUP(B2667,'Poids des runes'!A:B,2,FALSE)))+1)/VLOOKUP(B2667,'Poids des runes'!A:B,2,FALSE))</f>
        <v>5.9099999999999993</v>
      </c>
      <c r="F2667">
        <f t="shared" si="41"/>
        <v>5.9099999999999993</v>
      </c>
    </row>
    <row r="2668" spans="1:6" x14ac:dyDescent="0.3">
      <c r="A2668" t="s">
        <v>720</v>
      </c>
      <c r="B2668" t="s">
        <v>2160</v>
      </c>
      <c r="C2668">
        <v>5</v>
      </c>
      <c r="D2668">
        <v>83</v>
      </c>
      <c r="E2668">
        <f>IF(OR(B2668="vi",B2668="ii",B2668="pod"),(((D2668/100)*(C2668*VLOOKUP(B2668,'Poids des runes'!A:B,2,FALSE)))+1),(((D2668/100)*(C2668*VLOOKUP(B2668,'Poids des runes'!A:B,2,FALSE)))+1)/VLOOKUP(B2668,'Poids des runes'!A:B,2,FALSE))</f>
        <v>4.2928571428571427</v>
      </c>
      <c r="F2668">
        <f t="shared" si="41"/>
        <v>4.2928571428571427</v>
      </c>
    </row>
    <row r="2669" spans="1:6" x14ac:dyDescent="0.3">
      <c r="A2669" t="s">
        <v>720</v>
      </c>
      <c r="B2669" t="s">
        <v>2148</v>
      </c>
      <c r="C2669">
        <v>5</v>
      </c>
      <c r="D2669">
        <v>83</v>
      </c>
      <c r="E2669">
        <f>IF(OR(B2669="vi",B2669="ii",B2669="pod"),(((D2669/100)*(C2669*VLOOKUP(B2669,'Poids des runes'!A:B,2,FALSE)))+1),(((D2669/100)*(C2669*VLOOKUP(B2669,'Poids des runes'!A:B,2,FALSE)))+1)/VLOOKUP(B2669,'Poids des runes'!A:B,2,FALSE))</f>
        <v>4.3166666666666664</v>
      </c>
      <c r="F2669">
        <f t="shared" si="41"/>
        <v>4.3166666666666664</v>
      </c>
    </row>
    <row r="2670" spans="1:6" x14ac:dyDescent="0.3">
      <c r="A2670" t="s">
        <v>721</v>
      </c>
      <c r="B2670" t="s">
        <v>2128</v>
      </c>
      <c r="C2670">
        <v>50.5</v>
      </c>
      <c r="D2670">
        <v>83</v>
      </c>
      <c r="E2670">
        <f>IF(OR(B2670="vi",B2670="ii",B2670="pod"),(((D2670/100)*(C2670*VLOOKUP(B2670,'Poids des runes'!A:B,2,FALSE)))+1),(((D2670/100)*(C2670*VLOOKUP(B2670,'Poids des runes'!A:B,2,FALSE)))+1)/VLOOKUP(B2670,'Poids des runes'!A:B,2,FALSE))</f>
        <v>9.3830000000000009</v>
      </c>
      <c r="F2670">
        <f t="shared" si="41"/>
        <v>9.3830000000000009</v>
      </c>
    </row>
    <row r="2671" spans="1:6" x14ac:dyDescent="0.3">
      <c r="A2671" t="s">
        <v>721</v>
      </c>
      <c r="B2671" t="s">
        <v>2130</v>
      </c>
      <c r="C2671">
        <v>25.5</v>
      </c>
      <c r="D2671">
        <v>83</v>
      </c>
      <c r="E2671">
        <f>IF(OR(B2671="vi",B2671="ii",B2671="pod"),(((D2671/100)*(C2671*VLOOKUP(B2671,'Poids des runes'!A:B,2,FALSE)))+1),(((D2671/100)*(C2671*VLOOKUP(B2671,'Poids des runes'!A:B,2,FALSE)))+1)/VLOOKUP(B2671,'Poids des runes'!A:B,2,FALSE))</f>
        <v>22.164999999999999</v>
      </c>
      <c r="F2671">
        <f t="shared" si="41"/>
        <v>22.164999999999999</v>
      </c>
    </row>
    <row r="2672" spans="1:6" x14ac:dyDescent="0.3">
      <c r="A2672" t="s">
        <v>721</v>
      </c>
      <c r="B2672" t="s">
        <v>2131</v>
      </c>
      <c r="C2672">
        <v>25.5</v>
      </c>
      <c r="D2672">
        <v>83</v>
      </c>
      <c r="E2672">
        <f>IF(OR(B2672="vi",B2672="ii",B2672="pod"),(((D2672/100)*(C2672*VLOOKUP(B2672,'Poids des runes'!A:B,2,FALSE)))+1),(((D2672/100)*(C2672*VLOOKUP(B2672,'Poids des runes'!A:B,2,FALSE)))+1)/VLOOKUP(B2672,'Poids des runes'!A:B,2,FALSE))</f>
        <v>22.164999999999999</v>
      </c>
      <c r="F2672">
        <f t="shared" si="41"/>
        <v>22.164999999999999</v>
      </c>
    </row>
    <row r="2673" spans="1:6" x14ac:dyDescent="0.3">
      <c r="A2673" t="s">
        <v>721</v>
      </c>
      <c r="B2673" t="s">
        <v>2155</v>
      </c>
      <c r="C2673">
        <v>1</v>
      </c>
      <c r="D2673">
        <v>83</v>
      </c>
      <c r="E2673">
        <f>IF(OR(B2673="vi",B2673="ii",B2673="pod"),(((D2673/100)*(C2673*VLOOKUP(B2673,'Poids des runes'!A:B,2,FALSE)))+1),(((D2673/100)*(C2673*VLOOKUP(B2673,'Poids des runes'!A:B,2,FALSE)))+1)/VLOOKUP(B2673,'Poids des runes'!A:B,2,FALSE))</f>
        <v>0.8496078431372549</v>
      </c>
      <c r="F2673">
        <f t="shared" si="41"/>
        <v>0.8496078431372549</v>
      </c>
    </row>
    <row r="2674" spans="1:6" x14ac:dyDescent="0.3">
      <c r="A2674" t="s">
        <v>721</v>
      </c>
      <c r="B2674" t="s">
        <v>2134</v>
      </c>
      <c r="C2674">
        <v>2.5</v>
      </c>
      <c r="D2674">
        <v>83</v>
      </c>
      <c r="E2674">
        <f>IF(OR(B2674="vi",B2674="ii",B2674="pod"),(((D2674/100)*(C2674*VLOOKUP(B2674,'Poids des runes'!A:B,2,FALSE)))+1),(((D2674/100)*(C2674*VLOOKUP(B2674,'Poids des runes'!A:B,2,FALSE)))+1)/VLOOKUP(B2674,'Poids des runes'!A:B,2,FALSE))</f>
        <v>2.125</v>
      </c>
      <c r="F2674">
        <f t="shared" si="41"/>
        <v>2.125</v>
      </c>
    </row>
    <row r="2675" spans="1:6" x14ac:dyDescent="0.3">
      <c r="A2675" t="s">
        <v>721</v>
      </c>
      <c r="B2675" t="s">
        <v>2147</v>
      </c>
      <c r="C2675">
        <v>2.5</v>
      </c>
      <c r="D2675">
        <v>83</v>
      </c>
      <c r="E2675">
        <f>IF(OR(B2675="vi",B2675="ii",B2675="pod"),(((D2675/100)*(C2675*VLOOKUP(B2675,'Poids des runes'!A:B,2,FALSE)))+1),(((D2675/100)*(C2675*VLOOKUP(B2675,'Poids des runes'!A:B,2,FALSE)))+1)/VLOOKUP(B2675,'Poids des runes'!A:B,2,FALSE))</f>
        <v>2.2416666666666667</v>
      </c>
      <c r="F2675">
        <f t="shared" si="41"/>
        <v>2.2416666666666667</v>
      </c>
    </row>
    <row r="2676" spans="1:6" x14ac:dyDescent="0.3">
      <c r="A2676" t="s">
        <v>722</v>
      </c>
      <c r="B2676" t="s">
        <v>2128</v>
      </c>
      <c r="C2676">
        <v>35.5</v>
      </c>
      <c r="D2676">
        <v>84</v>
      </c>
      <c r="E2676">
        <f>IF(OR(B2676="vi",B2676="ii",B2676="pod"),(((D2676/100)*(C2676*VLOOKUP(B2676,'Poids des runes'!A:B,2,FALSE)))+1),(((D2676/100)*(C2676*VLOOKUP(B2676,'Poids des runes'!A:B,2,FALSE)))+1)/VLOOKUP(B2676,'Poids des runes'!A:B,2,FALSE))</f>
        <v>6.9640000000000004</v>
      </c>
      <c r="F2676">
        <f t="shared" si="41"/>
        <v>6.9640000000000004</v>
      </c>
    </row>
    <row r="2677" spans="1:6" x14ac:dyDescent="0.3">
      <c r="A2677" t="s">
        <v>722</v>
      </c>
      <c r="B2677" t="s">
        <v>2127</v>
      </c>
      <c r="C2677">
        <v>35.5</v>
      </c>
      <c r="D2677">
        <v>84</v>
      </c>
      <c r="E2677">
        <f>IF(OR(B2677="vi",B2677="ii",B2677="pod"),(((D2677/100)*(C2677*VLOOKUP(B2677,'Poids des runes'!A:B,2,FALSE)))+1),(((D2677/100)*(C2677*VLOOKUP(B2677,'Poids des runes'!A:B,2,FALSE)))+1)/VLOOKUP(B2677,'Poids des runes'!A:B,2,FALSE))</f>
        <v>30.82</v>
      </c>
      <c r="F2677">
        <f t="shared" si="41"/>
        <v>30.82</v>
      </c>
    </row>
    <row r="2678" spans="1:6" x14ac:dyDescent="0.3">
      <c r="A2678" t="s">
        <v>722</v>
      </c>
      <c r="B2678" t="s">
        <v>2129</v>
      </c>
      <c r="C2678">
        <v>35.5</v>
      </c>
      <c r="D2678">
        <v>84</v>
      </c>
      <c r="E2678">
        <f>IF(OR(B2678="vi",B2678="ii",B2678="pod"),(((D2678/100)*(C2678*VLOOKUP(B2678,'Poids des runes'!A:B,2,FALSE)))+1),(((D2678/100)*(C2678*VLOOKUP(B2678,'Poids des runes'!A:B,2,FALSE)))+1)/VLOOKUP(B2678,'Poids des runes'!A:B,2,FALSE))</f>
        <v>30.82</v>
      </c>
      <c r="F2678">
        <f t="shared" si="41"/>
        <v>30.82</v>
      </c>
    </row>
    <row r="2679" spans="1:6" x14ac:dyDescent="0.3">
      <c r="A2679" t="s">
        <v>722</v>
      </c>
      <c r="B2679" t="s">
        <v>2151</v>
      </c>
      <c r="C2679">
        <v>5.5</v>
      </c>
      <c r="D2679">
        <v>84</v>
      </c>
      <c r="E2679">
        <f>IF(OR(B2679="vi",B2679="ii",B2679="pod"),(((D2679/100)*(C2679*VLOOKUP(B2679,'Poids des runes'!A:B,2,FALSE)))+1),(((D2679/100)*(C2679*VLOOKUP(B2679,'Poids des runes'!A:B,2,FALSE)))+1)/VLOOKUP(B2679,'Poids des runes'!A:B,2,FALSE))</f>
        <v>4.72</v>
      </c>
      <c r="F2679">
        <f t="shared" si="41"/>
        <v>4.72</v>
      </c>
    </row>
    <row r="2680" spans="1:6" x14ac:dyDescent="0.3">
      <c r="A2680" t="s">
        <v>722</v>
      </c>
      <c r="B2680" t="s">
        <v>2150</v>
      </c>
      <c r="C2680">
        <v>1</v>
      </c>
      <c r="D2680">
        <v>84</v>
      </c>
      <c r="E2680">
        <f>IF(OR(B2680="vi",B2680="ii",B2680="pod"),(((D2680/100)*(C2680*VLOOKUP(B2680,'Poids des runes'!A:B,2,FALSE)))+1),(((D2680/100)*(C2680*VLOOKUP(B2680,'Poids des runes'!A:B,2,FALSE)))+1)/VLOOKUP(B2680,'Poids des runes'!A:B,2,FALSE))</f>
        <v>0.87333333333333329</v>
      </c>
      <c r="F2680">
        <f t="shared" si="41"/>
        <v>0.87333333333333329</v>
      </c>
    </row>
    <row r="2681" spans="1:6" x14ac:dyDescent="0.3">
      <c r="A2681" t="s">
        <v>722</v>
      </c>
      <c r="B2681" t="s">
        <v>2134</v>
      </c>
      <c r="C2681">
        <v>3.5</v>
      </c>
      <c r="D2681">
        <v>84</v>
      </c>
      <c r="E2681">
        <f>IF(OR(B2681="vi",B2681="ii",B2681="pod"),(((D2681/100)*(C2681*VLOOKUP(B2681,'Poids des runes'!A:B,2,FALSE)))+1),(((D2681/100)*(C2681*VLOOKUP(B2681,'Poids des runes'!A:B,2,FALSE)))+1)/VLOOKUP(B2681,'Poids des runes'!A:B,2,FALSE))</f>
        <v>2.9899999999999998</v>
      </c>
      <c r="F2681">
        <f t="shared" si="41"/>
        <v>2.9899999999999998</v>
      </c>
    </row>
    <row r="2682" spans="1:6" x14ac:dyDescent="0.3">
      <c r="A2682" t="s">
        <v>723</v>
      </c>
      <c r="B2682" t="s">
        <v>2126</v>
      </c>
      <c r="C2682">
        <v>25.5</v>
      </c>
      <c r="D2682">
        <v>84</v>
      </c>
      <c r="E2682">
        <f>IF(OR(B2682="vi",B2682="ii",B2682="pod"),(((D2682/100)*(C2682*VLOOKUP(B2682,'Poids des runes'!A:B,2,FALSE)))+1),(((D2682/100)*(C2682*VLOOKUP(B2682,'Poids des runes'!A:B,2,FALSE)))+1)/VLOOKUP(B2682,'Poids des runes'!A:B,2,FALSE))</f>
        <v>22.419999999999998</v>
      </c>
      <c r="F2682">
        <f t="shared" si="41"/>
        <v>22.419999999999998</v>
      </c>
    </row>
    <row r="2683" spans="1:6" x14ac:dyDescent="0.3">
      <c r="A2683" t="s">
        <v>723</v>
      </c>
      <c r="B2683" t="s">
        <v>2131</v>
      </c>
      <c r="C2683">
        <v>25.5</v>
      </c>
      <c r="D2683">
        <v>84</v>
      </c>
      <c r="E2683">
        <f>IF(OR(B2683="vi",B2683="ii",B2683="pod"),(((D2683/100)*(C2683*VLOOKUP(B2683,'Poids des runes'!A:B,2,FALSE)))+1),(((D2683/100)*(C2683*VLOOKUP(B2683,'Poids des runes'!A:B,2,FALSE)))+1)/VLOOKUP(B2683,'Poids des runes'!A:B,2,FALSE))</f>
        <v>22.419999999999998</v>
      </c>
      <c r="F2683">
        <f t="shared" si="41"/>
        <v>22.419999999999998</v>
      </c>
    </row>
    <row r="2684" spans="1:6" x14ac:dyDescent="0.3">
      <c r="A2684" t="s">
        <v>723</v>
      </c>
      <c r="B2684" t="s">
        <v>2129</v>
      </c>
      <c r="C2684">
        <v>15.5</v>
      </c>
      <c r="D2684">
        <v>84</v>
      </c>
      <c r="E2684">
        <f>IF(OR(B2684="vi",B2684="ii",B2684="pod"),(((D2684/100)*(C2684*VLOOKUP(B2684,'Poids des runes'!A:B,2,FALSE)))+1),(((D2684/100)*(C2684*VLOOKUP(B2684,'Poids des runes'!A:B,2,FALSE)))+1)/VLOOKUP(B2684,'Poids des runes'!A:B,2,FALSE))</f>
        <v>14.02</v>
      </c>
      <c r="F2684">
        <f t="shared" si="41"/>
        <v>14.02</v>
      </c>
    </row>
    <row r="2685" spans="1:6" x14ac:dyDescent="0.3">
      <c r="A2685" t="s">
        <v>723</v>
      </c>
      <c r="B2685" t="s">
        <v>2151</v>
      </c>
      <c r="C2685">
        <v>4.5</v>
      </c>
      <c r="D2685">
        <v>84</v>
      </c>
      <c r="E2685">
        <f>IF(OR(B2685="vi",B2685="ii",B2685="pod"),(((D2685/100)*(C2685*VLOOKUP(B2685,'Poids des runes'!A:B,2,FALSE)))+1),(((D2685/100)*(C2685*VLOOKUP(B2685,'Poids des runes'!A:B,2,FALSE)))+1)/VLOOKUP(B2685,'Poids des runes'!A:B,2,FALSE))</f>
        <v>3.88</v>
      </c>
      <c r="F2685">
        <f t="shared" si="41"/>
        <v>3.88</v>
      </c>
    </row>
    <row r="2686" spans="1:6" x14ac:dyDescent="0.3">
      <c r="A2686" t="s">
        <v>723</v>
      </c>
      <c r="B2686" t="s">
        <v>2155</v>
      </c>
      <c r="C2686">
        <v>1</v>
      </c>
      <c r="D2686">
        <v>84</v>
      </c>
      <c r="E2686">
        <f>IF(OR(B2686="vi",B2686="ii",B2686="pod"),(((D2686/100)*(C2686*VLOOKUP(B2686,'Poids des runes'!A:B,2,FALSE)))+1),(((D2686/100)*(C2686*VLOOKUP(B2686,'Poids des runes'!A:B,2,FALSE)))+1)/VLOOKUP(B2686,'Poids des runes'!A:B,2,FALSE))</f>
        <v>0.8596078431372548</v>
      </c>
      <c r="F2686">
        <f t="shared" si="41"/>
        <v>0.8596078431372548</v>
      </c>
    </row>
    <row r="2687" spans="1:6" x14ac:dyDescent="0.3">
      <c r="A2687" t="s">
        <v>723</v>
      </c>
      <c r="B2687" t="s">
        <v>2134</v>
      </c>
      <c r="C2687">
        <v>5</v>
      </c>
      <c r="D2687">
        <v>84</v>
      </c>
      <c r="E2687">
        <f>IF(OR(B2687="vi",B2687="ii",B2687="pod"),(((D2687/100)*(C2687*VLOOKUP(B2687,'Poids des runes'!A:B,2,FALSE)))+1),(((D2687/100)*(C2687*VLOOKUP(B2687,'Poids des runes'!A:B,2,FALSE)))+1)/VLOOKUP(B2687,'Poids des runes'!A:B,2,FALSE))</f>
        <v>4.25</v>
      </c>
      <c r="F2687">
        <f t="shared" si="41"/>
        <v>4.25</v>
      </c>
    </row>
    <row r="2688" spans="1:6" x14ac:dyDescent="0.3">
      <c r="A2688" t="s">
        <v>724</v>
      </c>
      <c r="B2688" t="s">
        <v>2128</v>
      </c>
      <c r="C2688">
        <v>35.5</v>
      </c>
      <c r="D2688">
        <v>84</v>
      </c>
      <c r="E2688">
        <f>IF(OR(B2688="vi",B2688="ii",B2688="pod"),(((D2688/100)*(C2688*VLOOKUP(B2688,'Poids des runes'!A:B,2,FALSE)))+1),(((D2688/100)*(C2688*VLOOKUP(B2688,'Poids des runes'!A:B,2,FALSE)))+1)/VLOOKUP(B2688,'Poids des runes'!A:B,2,FALSE))</f>
        <v>6.9640000000000004</v>
      </c>
      <c r="F2688">
        <f t="shared" si="41"/>
        <v>6.9640000000000004</v>
      </c>
    </row>
    <row r="2689" spans="1:6" x14ac:dyDescent="0.3">
      <c r="A2689" t="s">
        <v>724</v>
      </c>
      <c r="B2689" t="s">
        <v>2131</v>
      </c>
      <c r="C2689">
        <v>25.5</v>
      </c>
      <c r="D2689">
        <v>84</v>
      </c>
      <c r="E2689">
        <f>IF(OR(B2689="vi",B2689="ii",B2689="pod"),(((D2689/100)*(C2689*VLOOKUP(B2689,'Poids des runes'!A:B,2,FALSE)))+1),(((D2689/100)*(C2689*VLOOKUP(B2689,'Poids des runes'!A:B,2,FALSE)))+1)/VLOOKUP(B2689,'Poids des runes'!A:B,2,FALSE))</f>
        <v>22.419999999999998</v>
      </c>
      <c r="F2689">
        <f t="shared" si="41"/>
        <v>22.419999999999998</v>
      </c>
    </row>
    <row r="2690" spans="1:6" x14ac:dyDescent="0.3">
      <c r="A2690" t="s">
        <v>724</v>
      </c>
      <c r="B2690" t="s">
        <v>2129</v>
      </c>
      <c r="C2690">
        <v>18</v>
      </c>
      <c r="D2690">
        <v>84</v>
      </c>
      <c r="E2690">
        <f>IF(OR(B2690="vi",B2690="ii",B2690="pod"),(((D2690/100)*(C2690*VLOOKUP(B2690,'Poids des runes'!A:B,2,FALSE)))+1),(((D2690/100)*(C2690*VLOOKUP(B2690,'Poids des runes'!A:B,2,FALSE)))+1)/VLOOKUP(B2690,'Poids des runes'!A:B,2,FALSE))</f>
        <v>16.119999999999997</v>
      </c>
      <c r="F2690">
        <f t="shared" si="41"/>
        <v>16.119999999999997</v>
      </c>
    </row>
    <row r="2691" spans="1:6" x14ac:dyDescent="0.3">
      <c r="A2691" t="s">
        <v>724</v>
      </c>
      <c r="B2691" t="s">
        <v>2151</v>
      </c>
      <c r="C2691">
        <v>1.5</v>
      </c>
      <c r="D2691">
        <v>84</v>
      </c>
      <c r="E2691">
        <f>IF(OR(B2691="vi",B2691="ii",B2691="pod"),(((D2691/100)*(C2691*VLOOKUP(B2691,'Poids des runes'!A:B,2,FALSE)))+1),(((D2691/100)*(C2691*VLOOKUP(B2691,'Poids des runes'!A:B,2,FALSE)))+1)/VLOOKUP(B2691,'Poids des runes'!A:B,2,FALSE))</f>
        <v>1.3599999999999999</v>
      </c>
      <c r="F2691">
        <f t="shared" ref="F2691:F2754" si="42">E2691</f>
        <v>1.3599999999999999</v>
      </c>
    </row>
    <row r="2692" spans="1:6" x14ac:dyDescent="0.3">
      <c r="A2692" t="s">
        <v>724</v>
      </c>
      <c r="B2692" t="s">
        <v>2133</v>
      </c>
      <c r="C2692">
        <v>2.5</v>
      </c>
      <c r="D2692">
        <v>84</v>
      </c>
      <c r="E2692">
        <f>IF(OR(B2692="vi",B2692="ii",B2692="pod"),(((D2692/100)*(C2692*VLOOKUP(B2692,'Poids des runes'!A:B,2,FALSE)))+1),(((D2692/100)*(C2692*VLOOKUP(B2692,'Poids des runes'!A:B,2,FALSE)))+1)/VLOOKUP(B2692,'Poids des runes'!A:B,2,FALSE))</f>
        <v>2.2999999999999998</v>
      </c>
      <c r="F2692">
        <f t="shared" si="42"/>
        <v>2.2999999999999998</v>
      </c>
    </row>
    <row r="2693" spans="1:6" x14ac:dyDescent="0.3">
      <c r="A2693" t="s">
        <v>724</v>
      </c>
      <c r="B2693" t="s">
        <v>2161</v>
      </c>
      <c r="C2693">
        <v>13</v>
      </c>
      <c r="D2693">
        <v>84</v>
      </c>
      <c r="E2693">
        <f>IF(OR(B2693="vi",B2693="ii",B2693="pod"),(((D2693/100)*(C2693*VLOOKUP(B2693,'Poids des runes'!A:B,2,FALSE)))+1),(((D2693/100)*(C2693*VLOOKUP(B2693,'Poids des runes'!A:B,2,FALSE)))+1)/VLOOKUP(B2693,'Poids des runes'!A:B,2,FALSE))</f>
        <v>11.253333333333332</v>
      </c>
      <c r="F2693">
        <f t="shared" si="42"/>
        <v>11.253333333333332</v>
      </c>
    </row>
    <row r="2694" spans="1:6" x14ac:dyDescent="0.3">
      <c r="A2694" t="s">
        <v>724</v>
      </c>
      <c r="B2694" t="s">
        <v>2132</v>
      </c>
      <c r="C2694">
        <v>75.5</v>
      </c>
      <c r="D2694">
        <v>84</v>
      </c>
      <c r="E2694">
        <f>IF(OR(B2694="vi",B2694="ii",B2694="pod"),(((D2694/100)*(C2694*VLOOKUP(B2694,'Poids des runes'!A:B,2,FALSE)))+1),(((D2694/100)*(C2694*VLOOKUP(B2694,'Poids des runes'!A:B,2,FALSE)))+1)/VLOOKUP(B2694,'Poids des runes'!A:B,2,FALSE))</f>
        <v>7.3420000000000005</v>
      </c>
      <c r="F2694">
        <f t="shared" si="42"/>
        <v>7.3420000000000005</v>
      </c>
    </row>
    <row r="2695" spans="1:6" x14ac:dyDescent="0.3">
      <c r="A2695" t="s">
        <v>724</v>
      </c>
      <c r="B2695" t="s">
        <v>2135</v>
      </c>
      <c r="C2695">
        <v>2.5</v>
      </c>
      <c r="D2695">
        <v>84</v>
      </c>
      <c r="E2695">
        <f>IF(OR(B2695="vi",B2695="ii",B2695="pod"),(((D2695/100)*(C2695*VLOOKUP(B2695,'Poids des runes'!A:B,2,FALSE)))+1),(((D2695/100)*(C2695*VLOOKUP(B2695,'Poids des runes'!A:B,2,FALSE)))+1)/VLOOKUP(B2695,'Poids des runes'!A:B,2,FALSE))</f>
        <v>2.2666666666666666</v>
      </c>
      <c r="F2695">
        <f t="shared" si="42"/>
        <v>2.2666666666666666</v>
      </c>
    </row>
    <row r="2696" spans="1:6" x14ac:dyDescent="0.3">
      <c r="A2696" t="s">
        <v>725</v>
      </c>
      <c r="B2696" t="s">
        <v>2128</v>
      </c>
      <c r="C2696">
        <v>35.5</v>
      </c>
      <c r="D2696">
        <v>84</v>
      </c>
      <c r="E2696">
        <f>IF(OR(B2696="vi",B2696="ii",B2696="pod"),(((D2696/100)*(C2696*VLOOKUP(B2696,'Poids des runes'!A:B,2,FALSE)))+1),(((D2696/100)*(C2696*VLOOKUP(B2696,'Poids des runes'!A:B,2,FALSE)))+1)/VLOOKUP(B2696,'Poids des runes'!A:B,2,FALSE))</f>
        <v>6.9640000000000004</v>
      </c>
      <c r="F2696">
        <f t="shared" si="42"/>
        <v>6.9640000000000004</v>
      </c>
    </row>
    <row r="2697" spans="1:6" x14ac:dyDescent="0.3">
      <c r="A2697" t="s">
        <v>725</v>
      </c>
      <c r="B2697" t="s">
        <v>2130</v>
      </c>
      <c r="C2697">
        <v>20.5</v>
      </c>
      <c r="D2697">
        <v>84</v>
      </c>
      <c r="E2697">
        <f>IF(OR(B2697="vi",B2697="ii",B2697="pod"),(((D2697/100)*(C2697*VLOOKUP(B2697,'Poids des runes'!A:B,2,FALSE)))+1),(((D2697/100)*(C2697*VLOOKUP(B2697,'Poids des runes'!A:B,2,FALSE)))+1)/VLOOKUP(B2697,'Poids des runes'!A:B,2,FALSE))</f>
        <v>18.22</v>
      </c>
      <c r="F2697">
        <f t="shared" si="42"/>
        <v>18.22</v>
      </c>
    </row>
    <row r="2698" spans="1:6" x14ac:dyDescent="0.3">
      <c r="A2698" t="s">
        <v>725</v>
      </c>
      <c r="B2698" t="s">
        <v>2127</v>
      </c>
      <c r="C2698">
        <v>20.5</v>
      </c>
      <c r="D2698">
        <v>84</v>
      </c>
      <c r="E2698">
        <f>IF(OR(B2698="vi",B2698="ii",B2698="pod"),(((D2698/100)*(C2698*VLOOKUP(B2698,'Poids des runes'!A:B,2,FALSE)))+1),(((D2698/100)*(C2698*VLOOKUP(B2698,'Poids des runes'!A:B,2,FALSE)))+1)/VLOOKUP(B2698,'Poids des runes'!A:B,2,FALSE))</f>
        <v>18.22</v>
      </c>
      <c r="F2698">
        <f t="shared" si="42"/>
        <v>18.22</v>
      </c>
    </row>
    <row r="2699" spans="1:6" x14ac:dyDescent="0.3">
      <c r="A2699" t="s">
        <v>725</v>
      </c>
      <c r="B2699" t="s">
        <v>2129</v>
      </c>
      <c r="C2699">
        <v>15.5</v>
      </c>
      <c r="D2699">
        <v>84</v>
      </c>
      <c r="E2699">
        <f>IF(OR(B2699="vi",B2699="ii",B2699="pod"),(((D2699/100)*(C2699*VLOOKUP(B2699,'Poids des runes'!A:B,2,FALSE)))+1),(((D2699/100)*(C2699*VLOOKUP(B2699,'Poids des runes'!A:B,2,FALSE)))+1)/VLOOKUP(B2699,'Poids des runes'!A:B,2,FALSE))</f>
        <v>14.02</v>
      </c>
      <c r="F2699">
        <f t="shared" si="42"/>
        <v>14.02</v>
      </c>
    </row>
    <row r="2700" spans="1:6" x14ac:dyDescent="0.3">
      <c r="A2700" t="s">
        <v>725</v>
      </c>
      <c r="B2700" t="s">
        <v>2154</v>
      </c>
      <c r="C2700">
        <v>1</v>
      </c>
      <c r="D2700">
        <v>84</v>
      </c>
      <c r="E2700">
        <f>IF(OR(B2700="vi",B2700="ii",B2700="pod"),(((D2700/100)*(C2700*VLOOKUP(B2700,'Poids des runes'!A:B,2,FALSE)))+1),(((D2700/100)*(C2700*VLOOKUP(B2700,'Poids des runes'!A:B,2,FALSE)))+1)/VLOOKUP(B2700,'Poids des runes'!A:B,2,FALSE))</f>
        <v>0.85111111111111104</v>
      </c>
      <c r="F2700">
        <f t="shared" si="42"/>
        <v>0.85111111111111104</v>
      </c>
    </row>
    <row r="2701" spans="1:6" x14ac:dyDescent="0.3">
      <c r="A2701" t="s">
        <v>725</v>
      </c>
      <c r="B2701" t="s">
        <v>2161</v>
      </c>
      <c r="C2701">
        <v>8</v>
      </c>
      <c r="D2701">
        <v>84</v>
      </c>
      <c r="E2701">
        <f>IF(OR(B2701="vi",B2701="ii",B2701="pod"),(((D2701/100)*(C2701*VLOOKUP(B2701,'Poids des runes'!A:B,2,FALSE)))+1),(((D2701/100)*(C2701*VLOOKUP(B2701,'Poids des runes'!A:B,2,FALSE)))+1)/VLOOKUP(B2701,'Poids des runes'!A:B,2,FALSE))</f>
        <v>7.0533333333333337</v>
      </c>
      <c r="F2701">
        <f t="shared" si="42"/>
        <v>7.0533333333333337</v>
      </c>
    </row>
    <row r="2702" spans="1:6" x14ac:dyDescent="0.3">
      <c r="A2702" t="s">
        <v>725</v>
      </c>
      <c r="B2702" t="s">
        <v>2158</v>
      </c>
      <c r="C2702">
        <v>7</v>
      </c>
      <c r="D2702">
        <v>84</v>
      </c>
      <c r="E2702">
        <f>IF(OR(B2702="vi",B2702="ii",B2702="pod"),(((D2702/100)*(C2702*VLOOKUP(B2702,'Poids des runes'!A:B,2,FALSE)))+1),(((D2702/100)*(C2702*VLOOKUP(B2702,'Poids des runes'!A:B,2,FALSE)))+1)/VLOOKUP(B2702,'Poids des runes'!A:B,2,FALSE))</f>
        <v>6.08</v>
      </c>
      <c r="F2702">
        <f t="shared" si="42"/>
        <v>6.08</v>
      </c>
    </row>
    <row r="2703" spans="1:6" x14ac:dyDescent="0.3">
      <c r="A2703" t="s">
        <v>725</v>
      </c>
      <c r="B2703" t="s">
        <v>2147</v>
      </c>
      <c r="C2703">
        <v>2</v>
      </c>
      <c r="D2703">
        <v>84</v>
      </c>
      <c r="E2703">
        <f>IF(OR(B2703="vi",B2703="ii",B2703="pod"),(((D2703/100)*(C2703*VLOOKUP(B2703,'Poids des runes'!A:B,2,FALSE)))+1),(((D2703/100)*(C2703*VLOOKUP(B2703,'Poids des runes'!A:B,2,FALSE)))+1)/VLOOKUP(B2703,'Poids des runes'!A:B,2,FALSE))</f>
        <v>1.8466666666666667</v>
      </c>
      <c r="F2703">
        <f t="shared" si="42"/>
        <v>1.8466666666666667</v>
      </c>
    </row>
    <row r="2704" spans="1:6" x14ac:dyDescent="0.3">
      <c r="A2704" t="s">
        <v>725</v>
      </c>
      <c r="B2704" t="s">
        <v>2135</v>
      </c>
      <c r="C2704">
        <v>2</v>
      </c>
      <c r="D2704">
        <v>84</v>
      </c>
      <c r="E2704">
        <f>IF(OR(B2704="vi",B2704="ii",B2704="pod"),(((D2704/100)*(C2704*VLOOKUP(B2704,'Poids des runes'!A:B,2,FALSE)))+1),(((D2704/100)*(C2704*VLOOKUP(B2704,'Poids des runes'!A:B,2,FALSE)))+1)/VLOOKUP(B2704,'Poids des runes'!A:B,2,FALSE))</f>
        <v>1.8466666666666667</v>
      </c>
      <c r="F2704">
        <f t="shared" si="42"/>
        <v>1.8466666666666667</v>
      </c>
    </row>
    <row r="2705" spans="1:6" x14ac:dyDescent="0.3">
      <c r="A2705" t="s">
        <v>726</v>
      </c>
      <c r="B2705" t="s">
        <v>2128</v>
      </c>
      <c r="C2705">
        <v>85.5</v>
      </c>
      <c r="D2705">
        <v>84</v>
      </c>
      <c r="E2705">
        <f>IF(OR(B2705="vi",B2705="ii",B2705="pod"),(((D2705/100)*(C2705*VLOOKUP(B2705,'Poids des runes'!A:B,2,FALSE)))+1),(((D2705/100)*(C2705*VLOOKUP(B2705,'Poids des runes'!A:B,2,FALSE)))+1)/VLOOKUP(B2705,'Poids des runes'!A:B,2,FALSE))</f>
        <v>15.364000000000001</v>
      </c>
      <c r="F2705">
        <f t="shared" si="42"/>
        <v>15.364000000000001</v>
      </c>
    </row>
    <row r="2706" spans="1:6" x14ac:dyDescent="0.3">
      <c r="A2706" t="s">
        <v>726</v>
      </c>
      <c r="B2706" t="s">
        <v>2127</v>
      </c>
      <c r="C2706">
        <v>25.5</v>
      </c>
      <c r="D2706">
        <v>84</v>
      </c>
      <c r="E2706">
        <f>IF(OR(B2706="vi",B2706="ii",B2706="pod"),(((D2706/100)*(C2706*VLOOKUP(B2706,'Poids des runes'!A:B,2,FALSE)))+1),(((D2706/100)*(C2706*VLOOKUP(B2706,'Poids des runes'!A:B,2,FALSE)))+1)/VLOOKUP(B2706,'Poids des runes'!A:B,2,FALSE))</f>
        <v>22.419999999999998</v>
      </c>
      <c r="F2706">
        <f t="shared" si="42"/>
        <v>22.419999999999998</v>
      </c>
    </row>
    <row r="2707" spans="1:6" x14ac:dyDescent="0.3">
      <c r="A2707" t="s">
        <v>726</v>
      </c>
      <c r="B2707" t="s">
        <v>2129</v>
      </c>
      <c r="C2707">
        <v>18</v>
      </c>
      <c r="D2707">
        <v>84</v>
      </c>
      <c r="E2707">
        <f>IF(OR(B2707="vi",B2707="ii",B2707="pod"),(((D2707/100)*(C2707*VLOOKUP(B2707,'Poids des runes'!A:B,2,FALSE)))+1),(((D2707/100)*(C2707*VLOOKUP(B2707,'Poids des runes'!A:B,2,FALSE)))+1)/VLOOKUP(B2707,'Poids des runes'!A:B,2,FALSE))</f>
        <v>16.119999999999997</v>
      </c>
      <c r="F2707">
        <f t="shared" si="42"/>
        <v>16.119999999999997</v>
      </c>
    </row>
    <row r="2708" spans="1:6" x14ac:dyDescent="0.3">
      <c r="A2708" t="s">
        <v>726</v>
      </c>
      <c r="B2708" t="s">
        <v>2151</v>
      </c>
      <c r="C2708">
        <v>1.5</v>
      </c>
      <c r="D2708">
        <v>84</v>
      </c>
      <c r="E2708">
        <f>IF(OR(B2708="vi",B2708="ii",B2708="pod"),(((D2708/100)*(C2708*VLOOKUP(B2708,'Poids des runes'!A:B,2,FALSE)))+1),(((D2708/100)*(C2708*VLOOKUP(B2708,'Poids des runes'!A:B,2,FALSE)))+1)/VLOOKUP(B2708,'Poids des runes'!A:B,2,FALSE))</f>
        <v>1.3599999999999999</v>
      </c>
      <c r="F2708">
        <f t="shared" si="42"/>
        <v>1.3599999999999999</v>
      </c>
    </row>
    <row r="2709" spans="1:6" x14ac:dyDescent="0.3">
      <c r="A2709" t="s">
        <v>726</v>
      </c>
      <c r="B2709" t="s">
        <v>2150</v>
      </c>
      <c r="C2709">
        <v>1</v>
      </c>
      <c r="D2709">
        <v>84</v>
      </c>
      <c r="E2709">
        <f>IF(OR(B2709="vi",B2709="ii",B2709="pod"),(((D2709/100)*(C2709*VLOOKUP(B2709,'Poids des runes'!A:B,2,FALSE)))+1),(((D2709/100)*(C2709*VLOOKUP(B2709,'Poids des runes'!A:B,2,FALSE)))+1)/VLOOKUP(B2709,'Poids des runes'!A:B,2,FALSE))</f>
        <v>0.87333333333333329</v>
      </c>
      <c r="F2709">
        <f t="shared" si="42"/>
        <v>0.87333333333333329</v>
      </c>
    </row>
    <row r="2710" spans="1:6" x14ac:dyDescent="0.3">
      <c r="A2710" t="s">
        <v>726</v>
      </c>
      <c r="B2710" t="s">
        <v>2153</v>
      </c>
      <c r="C2710">
        <v>5</v>
      </c>
      <c r="D2710">
        <v>84</v>
      </c>
      <c r="E2710">
        <f>IF(OR(B2710="vi",B2710="ii",B2710="pod"),(((D2710/100)*(C2710*VLOOKUP(B2710,'Poids des runes'!A:B,2,FALSE)))+1),(((D2710/100)*(C2710*VLOOKUP(B2710,'Poids des runes'!A:B,2,FALSE)))+1)/VLOOKUP(B2710,'Poids des runes'!A:B,2,FALSE))</f>
        <v>4.4000000000000004</v>
      </c>
      <c r="F2710">
        <f t="shared" si="42"/>
        <v>4.4000000000000004</v>
      </c>
    </row>
    <row r="2711" spans="1:6" x14ac:dyDescent="0.3">
      <c r="A2711" t="s">
        <v>726</v>
      </c>
      <c r="B2711" t="s">
        <v>2138</v>
      </c>
      <c r="C2711">
        <v>2.5</v>
      </c>
      <c r="D2711">
        <v>84</v>
      </c>
      <c r="E2711">
        <f>IF(OR(B2711="vi",B2711="ii",B2711="pod"),(((D2711/100)*(C2711*VLOOKUP(B2711,'Poids des runes'!A:B,2,FALSE)))+1),(((D2711/100)*(C2711*VLOOKUP(B2711,'Poids des runes'!A:B,2,FALSE)))+1)/VLOOKUP(B2711,'Poids des runes'!A:B,2,FALSE))</f>
        <v>2.35</v>
      </c>
      <c r="F2711">
        <f t="shared" si="42"/>
        <v>2.35</v>
      </c>
    </row>
    <row r="2712" spans="1:6" x14ac:dyDescent="0.3">
      <c r="A2712" t="s">
        <v>726</v>
      </c>
      <c r="B2712" t="s">
        <v>2165</v>
      </c>
      <c r="C2712">
        <v>2.5</v>
      </c>
      <c r="D2712">
        <v>84</v>
      </c>
      <c r="E2712">
        <f>IF(OR(B2712="vi",B2712="ii",B2712="pod"),(((D2712/100)*(C2712*VLOOKUP(B2712,'Poids des runes'!A:B,2,FALSE)))+1),(((D2712/100)*(C2712*VLOOKUP(B2712,'Poids des runes'!A:B,2,FALSE)))+1)/VLOOKUP(B2712,'Poids des runes'!A:B,2,FALSE))</f>
        <v>2.2428571428571429</v>
      </c>
      <c r="F2712">
        <f t="shared" si="42"/>
        <v>2.2428571428571429</v>
      </c>
    </row>
    <row r="2713" spans="1:6" x14ac:dyDescent="0.3">
      <c r="A2713" t="s">
        <v>726</v>
      </c>
      <c r="B2713" t="s">
        <v>2147</v>
      </c>
      <c r="C2713">
        <v>3.5</v>
      </c>
      <c r="D2713">
        <v>84</v>
      </c>
      <c r="E2713">
        <f>IF(OR(B2713="vi",B2713="ii",B2713="pod"),(((D2713/100)*(C2713*VLOOKUP(B2713,'Poids des runes'!A:B,2,FALSE)))+1),(((D2713/100)*(C2713*VLOOKUP(B2713,'Poids des runes'!A:B,2,FALSE)))+1)/VLOOKUP(B2713,'Poids des runes'!A:B,2,FALSE))</f>
        <v>3.1066666666666669</v>
      </c>
      <c r="F2713">
        <f t="shared" si="42"/>
        <v>3.1066666666666669</v>
      </c>
    </row>
    <row r="2714" spans="1:6" x14ac:dyDescent="0.3">
      <c r="A2714" t="s">
        <v>726</v>
      </c>
      <c r="B2714" t="s">
        <v>2135</v>
      </c>
      <c r="C2714">
        <v>3.5</v>
      </c>
      <c r="D2714">
        <v>84</v>
      </c>
      <c r="E2714">
        <f>IF(OR(B2714="vi",B2714="ii",B2714="pod"),(((D2714/100)*(C2714*VLOOKUP(B2714,'Poids des runes'!A:B,2,FALSE)))+1),(((D2714/100)*(C2714*VLOOKUP(B2714,'Poids des runes'!A:B,2,FALSE)))+1)/VLOOKUP(B2714,'Poids des runes'!A:B,2,FALSE))</f>
        <v>3.1066666666666669</v>
      </c>
      <c r="F2714">
        <f t="shared" si="42"/>
        <v>3.1066666666666669</v>
      </c>
    </row>
    <row r="2715" spans="1:6" x14ac:dyDescent="0.3">
      <c r="A2715" t="s">
        <v>727</v>
      </c>
      <c r="B2715" t="s">
        <v>2128</v>
      </c>
      <c r="C2715">
        <v>80.5</v>
      </c>
      <c r="D2715">
        <v>84</v>
      </c>
      <c r="E2715">
        <f>IF(OR(B2715="vi",B2715="ii",B2715="pod"),(((D2715/100)*(C2715*VLOOKUP(B2715,'Poids des runes'!A:B,2,FALSE)))+1),(((D2715/100)*(C2715*VLOOKUP(B2715,'Poids des runes'!A:B,2,FALSE)))+1)/VLOOKUP(B2715,'Poids des runes'!A:B,2,FALSE))</f>
        <v>14.524000000000001</v>
      </c>
      <c r="F2715">
        <f t="shared" si="42"/>
        <v>14.524000000000001</v>
      </c>
    </row>
    <row r="2716" spans="1:6" x14ac:dyDescent="0.3">
      <c r="A2716" t="s">
        <v>727</v>
      </c>
      <c r="B2716" t="s">
        <v>2127</v>
      </c>
      <c r="C2716">
        <v>35.5</v>
      </c>
      <c r="D2716">
        <v>84</v>
      </c>
      <c r="E2716">
        <f>IF(OR(B2716="vi",B2716="ii",B2716="pod"),(((D2716/100)*(C2716*VLOOKUP(B2716,'Poids des runes'!A:B,2,FALSE)))+1),(((D2716/100)*(C2716*VLOOKUP(B2716,'Poids des runes'!A:B,2,FALSE)))+1)/VLOOKUP(B2716,'Poids des runes'!A:B,2,FALSE))</f>
        <v>30.82</v>
      </c>
      <c r="F2716">
        <f t="shared" si="42"/>
        <v>30.82</v>
      </c>
    </row>
    <row r="2717" spans="1:6" x14ac:dyDescent="0.3">
      <c r="A2717" t="s">
        <v>727</v>
      </c>
      <c r="B2717" t="s">
        <v>2129</v>
      </c>
      <c r="C2717">
        <v>23</v>
      </c>
      <c r="D2717">
        <v>84</v>
      </c>
      <c r="E2717">
        <f>IF(OR(B2717="vi",B2717="ii",B2717="pod"),(((D2717/100)*(C2717*VLOOKUP(B2717,'Poids des runes'!A:B,2,FALSE)))+1),(((D2717/100)*(C2717*VLOOKUP(B2717,'Poids des runes'!A:B,2,FALSE)))+1)/VLOOKUP(B2717,'Poids des runes'!A:B,2,FALSE))</f>
        <v>20.32</v>
      </c>
      <c r="F2717">
        <f t="shared" si="42"/>
        <v>20.32</v>
      </c>
    </row>
    <row r="2718" spans="1:6" x14ac:dyDescent="0.3">
      <c r="A2718" t="s">
        <v>727</v>
      </c>
      <c r="B2718" t="s">
        <v>2139</v>
      </c>
      <c r="C2718">
        <v>18</v>
      </c>
      <c r="D2718">
        <v>84</v>
      </c>
      <c r="E2718">
        <f>IF(OR(B2718="vi",B2718="ii",B2718="pod"),(((D2718/100)*(C2718*VLOOKUP(B2718,'Poids des runes'!A:B,2,FALSE)))+1),(((D2718/100)*(C2718*VLOOKUP(B2718,'Poids des runes'!A:B,2,FALSE)))+1)/VLOOKUP(B2718,'Poids des runes'!A:B,2,FALSE))</f>
        <v>15.62</v>
      </c>
      <c r="F2718">
        <f t="shared" si="42"/>
        <v>15.62</v>
      </c>
    </row>
    <row r="2719" spans="1:6" x14ac:dyDescent="0.3">
      <c r="A2719" t="s">
        <v>727</v>
      </c>
      <c r="B2719" t="s">
        <v>2151</v>
      </c>
      <c r="C2719">
        <v>3.5</v>
      </c>
      <c r="D2719">
        <v>84</v>
      </c>
      <c r="E2719">
        <f>IF(OR(B2719="vi",B2719="ii",B2719="pod"),(((D2719/100)*(C2719*VLOOKUP(B2719,'Poids des runes'!A:B,2,FALSE)))+1),(((D2719/100)*(C2719*VLOOKUP(B2719,'Poids des runes'!A:B,2,FALSE)))+1)/VLOOKUP(B2719,'Poids des runes'!A:B,2,FALSE))</f>
        <v>3.04</v>
      </c>
      <c r="F2719">
        <f t="shared" si="42"/>
        <v>3.04</v>
      </c>
    </row>
    <row r="2720" spans="1:6" x14ac:dyDescent="0.3">
      <c r="A2720" t="s">
        <v>727</v>
      </c>
      <c r="B2720" t="s">
        <v>2161</v>
      </c>
      <c r="C2720">
        <v>4.5</v>
      </c>
      <c r="D2720">
        <v>84</v>
      </c>
      <c r="E2720">
        <f>IF(OR(B2720="vi",B2720="ii",B2720="pod"),(((D2720/100)*(C2720*VLOOKUP(B2720,'Poids des runes'!A:B,2,FALSE)))+1),(((D2720/100)*(C2720*VLOOKUP(B2720,'Poids des runes'!A:B,2,FALSE)))+1)/VLOOKUP(B2720,'Poids des runes'!A:B,2,FALSE))</f>
        <v>4.1133333333333333</v>
      </c>
      <c r="F2720">
        <f t="shared" si="42"/>
        <v>4.1133333333333333</v>
      </c>
    </row>
    <row r="2721" spans="1:6" x14ac:dyDescent="0.3">
      <c r="A2721" t="s">
        <v>727</v>
      </c>
      <c r="B2721" t="s">
        <v>2138</v>
      </c>
      <c r="C2721">
        <v>8.5</v>
      </c>
      <c r="D2721">
        <v>84</v>
      </c>
      <c r="E2721">
        <f>IF(OR(B2721="vi",B2721="ii",B2721="pod"),(((D2721/100)*(C2721*VLOOKUP(B2721,'Poids des runes'!A:B,2,FALSE)))+1),(((D2721/100)*(C2721*VLOOKUP(B2721,'Poids des runes'!A:B,2,FALSE)))+1)/VLOOKUP(B2721,'Poids des runes'!A:B,2,FALSE))</f>
        <v>7.39</v>
      </c>
      <c r="F2721">
        <f t="shared" si="42"/>
        <v>7.39</v>
      </c>
    </row>
    <row r="2722" spans="1:6" x14ac:dyDescent="0.3">
      <c r="A2722" t="s">
        <v>728</v>
      </c>
      <c r="B2722" t="s">
        <v>2128</v>
      </c>
      <c r="C2722">
        <v>50.5</v>
      </c>
      <c r="D2722">
        <v>84</v>
      </c>
      <c r="E2722">
        <f>IF(OR(B2722="vi",B2722="ii",B2722="pod"),(((D2722/100)*(C2722*VLOOKUP(B2722,'Poids des runes'!A:B,2,FALSE)))+1),(((D2722/100)*(C2722*VLOOKUP(B2722,'Poids des runes'!A:B,2,FALSE)))+1)/VLOOKUP(B2722,'Poids des runes'!A:B,2,FALSE))</f>
        <v>9.4840000000000018</v>
      </c>
      <c r="F2722">
        <f t="shared" si="42"/>
        <v>9.4840000000000018</v>
      </c>
    </row>
    <row r="2723" spans="1:6" x14ac:dyDescent="0.3">
      <c r="A2723" t="s">
        <v>728</v>
      </c>
      <c r="B2723" t="s">
        <v>2126</v>
      </c>
      <c r="C2723">
        <v>20.5</v>
      </c>
      <c r="D2723">
        <v>84</v>
      </c>
      <c r="E2723">
        <f>IF(OR(B2723="vi",B2723="ii",B2723="pod"),(((D2723/100)*(C2723*VLOOKUP(B2723,'Poids des runes'!A:B,2,FALSE)))+1),(((D2723/100)*(C2723*VLOOKUP(B2723,'Poids des runes'!A:B,2,FALSE)))+1)/VLOOKUP(B2723,'Poids des runes'!A:B,2,FALSE))</f>
        <v>18.22</v>
      </c>
      <c r="F2723">
        <f t="shared" si="42"/>
        <v>18.22</v>
      </c>
    </row>
    <row r="2724" spans="1:6" x14ac:dyDescent="0.3">
      <c r="A2724" t="s">
        <v>728</v>
      </c>
      <c r="B2724" t="s">
        <v>2127</v>
      </c>
      <c r="C2724">
        <v>20.5</v>
      </c>
      <c r="D2724">
        <v>84</v>
      </c>
      <c r="E2724">
        <f>IF(OR(B2724="vi",B2724="ii",B2724="pod"),(((D2724/100)*(C2724*VLOOKUP(B2724,'Poids des runes'!A:B,2,FALSE)))+1),(((D2724/100)*(C2724*VLOOKUP(B2724,'Poids des runes'!A:B,2,FALSE)))+1)/VLOOKUP(B2724,'Poids des runes'!A:B,2,FALSE))</f>
        <v>18.22</v>
      </c>
      <c r="F2724">
        <f t="shared" si="42"/>
        <v>18.22</v>
      </c>
    </row>
    <row r="2725" spans="1:6" x14ac:dyDescent="0.3">
      <c r="A2725" t="s">
        <v>728</v>
      </c>
      <c r="B2725" t="s">
        <v>2129</v>
      </c>
      <c r="C2725">
        <v>20.5</v>
      </c>
      <c r="D2725">
        <v>84</v>
      </c>
      <c r="E2725">
        <f>IF(OR(B2725="vi",B2725="ii",B2725="pod"),(((D2725/100)*(C2725*VLOOKUP(B2725,'Poids des runes'!A:B,2,FALSE)))+1),(((D2725/100)*(C2725*VLOOKUP(B2725,'Poids des runes'!A:B,2,FALSE)))+1)/VLOOKUP(B2725,'Poids des runes'!A:B,2,FALSE))</f>
        <v>18.22</v>
      </c>
      <c r="F2725">
        <f t="shared" si="42"/>
        <v>18.22</v>
      </c>
    </row>
    <row r="2726" spans="1:6" x14ac:dyDescent="0.3">
      <c r="A2726" t="s">
        <v>728</v>
      </c>
      <c r="B2726" t="s">
        <v>2152</v>
      </c>
      <c r="C2726">
        <v>1</v>
      </c>
      <c r="D2726">
        <v>84</v>
      </c>
      <c r="E2726">
        <f>IF(OR(B2726="vi",B2726="ii",B2726="pod"),(((D2726/100)*(C2726*VLOOKUP(B2726,'Poids des runes'!A:B,2,FALSE)))+1),(((D2726/100)*(C2726*VLOOKUP(B2726,'Poids des runes'!A:B,2,FALSE)))+1)/VLOOKUP(B2726,'Poids des runes'!A:B,2,FALSE))</f>
        <v>0.85</v>
      </c>
      <c r="F2726">
        <f t="shared" si="42"/>
        <v>0.85</v>
      </c>
    </row>
    <row r="2727" spans="1:6" x14ac:dyDescent="0.3">
      <c r="A2727" t="s">
        <v>728</v>
      </c>
      <c r="B2727" t="s">
        <v>2137</v>
      </c>
      <c r="C2727">
        <v>4.5</v>
      </c>
      <c r="D2727">
        <v>84</v>
      </c>
      <c r="E2727">
        <f>IF(OR(B2727="vi",B2727="ii",B2727="pod"),(((D2727/100)*(C2727*VLOOKUP(B2727,'Poids des runes'!A:B,2,FALSE)))+1),(((D2727/100)*(C2727*VLOOKUP(B2727,'Poids des runes'!A:B,2,FALSE)))+1)/VLOOKUP(B2727,'Poids des runes'!A:B,2,FALSE))</f>
        <v>4.2799999999999994</v>
      </c>
      <c r="F2727">
        <f t="shared" si="42"/>
        <v>4.2799999999999994</v>
      </c>
    </row>
    <row r="2728" spans="1:6" x14ac:dyDescent="0.3">
      <c r="A2728" t="s">
        <v>728</v>
      </c>
      <c r="B2728" t="s">
        <v>2145</v>
      </c>
      <c r="C2728">
        <v>4.5</v>
      </c>
      <c r="D2728">
        <v>84</v>
      </c>
      <c r="E2728">
        <f>IF(OR(B2728="vi",B2728="ii",B2728="pod"),(((D2728/100)*(C2728*VLOOKUP(B2728,'Poids des runes'!A:B,2,FALSE)))+1),(((D2728/100)*(C2728*VLOOKUP(B2728,'Poids des runes'!A:B,2,FALSE)))+1)/VLOOKUP(B2728,'Poids des runes'!A:B,2,FALSE))</f>
        <v>4.2799999999999994</v>
      </c>
      <c r="F2728">
        <f t="shared" si="42"/>
        <v>4.2799999999999994</v>
      </c>
    </row>
    <row r="2729" spans="1:6" x14ac:dyDescent="0.3">
      <c r="A2729" t="s">
        <v>729</v>
      </c>
      <c r="B2729" t="s">
        <v>2128</v>
      </c>
      <c r="C2729">
        <v>40.5</v>
      </c>
      <c r="D2729">
        <v>84</v>
      </c>
      <c r="E2729">
        <f>IF(OR(B2729="vi",B2729="ii",B2729="pod"),(((D2729/100)*(C2729*VLOOKUP(B2729,'Poids des runes'!A:B,2,FALSE)))+1),(((D2729/100)*(C2729*VLOOKUP(B2729,'Poids des runes'!A:B,2,FALSE)))+1)/VLOOKUP(B2729,'Poids des runes'!A:B,2,FALSE))</f>
        <v>7.8039999999999994</v>
      </c>
      <c r="F2729">
        <f t="shared" si="42"/>
        <v>7.8039999999999994</v>
      </c>
    </row>
    <row r="2730" spans="1:6" x14ac:dyDescent="0.3">
      <c r="A2730" t="s">
        <v>729</v>
      </c>
      <c r="B2730" t="s">
        <v>2131</v>
      </c>
      <c r="C2730">
        <v>35.5</v>
      </c>
      <c r="D2730">
        <v>84</v>
      </c>
      <c r="E2730">
        <f>IF(OR(B2730="vi",B2730="ii",B2730="pod"),(((D2730/100)*(C2730*VLOOKUP(B2730,'Poids des runes'!A:B,2,FALSE)))+1),(((D2730/100)*(C2730*VLOOKUP(B2730,'Poids des runes'!A:B,2,FALSE)))+1)/VLOOKUP(B2730,'Poids des runes'!A:B,2,FALSE))</f>
        <v>30.82</v>
      </c>
      <c r="F2730">
        <f t="shared" si="42"/>
        <v>30.82</v>
      </c>
    </row>
    <row r="2731" spans="1:6" x14ac:dyDescent="0.3">
      <c r="A2731" t="s">
        <v>729</v>
      </c>
      <c r="B2731" t="s">
        <v>2150</v>
      </c>
      <c r="C2731">
        <v>1</v>
      </c>
      <c r="D2731">
        <v>84</v>
      </c>
      <c r="E2731">
        <f>IF(OR(B2731="vi",B2731="ii",B2731="pod"),(((D2731/100)*(C2731*VLOOKUP(B2731,'Poids des runes'!A:B,2,FALSE)))+1),(((D2731/100)*(C2731*VLOOKUP(B2731,'Poids des runes'!A:B,2,FALSE)))+1)/VLOOKUP(B2731,'Poids des runes'!A:B,2,FALSE))</f>
        <v>0.87333333333333329</v>
      </c>
      <c r="F2731">
        <f t="shared" si="42"/>
        <v>0.87333333333333329</v>
      </c>
    </row>
    <row r="2732" spans="1:6" x14ac:dyDescent="0.3">
      <c r="A2732" t="s">
        <v>729</v>
      </c>
      <c r="B2732" t="s">
        <v>2133</v>
      </c>
      <c r="C2732">
        <v>5</v>
      </c>
      <c r="D2732">
        <v>84</v>
      </c>
      <c r="E2732">
        <f>IF(OR(B2732="vi",B2732="ii",B2732="pod"),(((D2732/100)*(C2732*VLOOKUP(B2732,'Poids des runes'!A:B,2,FALSE)))+1),(((D2732/100)*(C2732*VLOOKUP(B2732,'Poids des runes'!A:B,2,FALSE)))+1)/VLOOKUP(B2732,'Poids des runes'!A:B,2,FALSE))</f>
        <v>4.4000000000000004</v>
      </c>
      <c r="F2732">
        <f t="shared" si="42"/>
        <v>4.4000000000000004</v>
      </c>
    </row>
    <row r="2733" spans="1:6" x14ac:dyDescent="0.3">
      <c r="A2733" t="s">
        <v>729</v>
      </c>
      <c r="B2733" t="s">
        <v>2149</v>
      </c>
      <c r="C2733">
        <v>7</v>
      </c>
      <c r="D2733">
        <v>84</v>
      </c>
      <c r="E2733">
        <f>IF(OR(B2733="vi",B2733="ii",B2733="pod"),(((D2733/100)*(C2733*VLOOKUP(B2733,'Poids des runes'!A:B,2,FALSE)))+1),(((D2733/100)*(C2733*VLOOKUP(B2733,'Poids des runes'!A:B,2,FALSE)))+1)/VLOOKUP(B2733,'Poids des runes'!A:B,2,FALSE))</f>
        <v>5.9799999999999995</v>
      </c>
      <c r="F2733">
        <f t="shared" si="42"/>
        <v>5.9799999999999995</v>
      </c>
    </row>
    <row r="2734" spans="1:6" x14ac:dyDescent="0.3">
      <c r="A2734" t="s">
        <v>729</v>
      </c>
      <c r="B2734" t="s">
        <v>2132</v>
      </c>
      <c r="C2734">
        <v>125.5</v>
      </c>
      <c r="D2734">
        <v>84</v>
      </c>
      <c r="E2734">
        <f>IF(OR(B2734="vi",B2734="ii",B2734="pod"),(((D2734/100)*(C2734*VLOOKUP(B2734,'Poids des runes'!A:B,2,FALSE)))+1),(((D2734/100)*(C2734*VLOOKUP(B2734,'Poids des runes'!A:B,2,FALSE)))+1)/VLOOKUP(B2734,'Poids des runes'!A:B,2,FALSE))</f>
        <v>11.542</v>
      </c>
      <c r="F2734">
        <f t="shared" si="42"/>
        <v>11.542</v>
      </c>
    </row>
    <row r="2735" spans="1:6" x14ac:dyDescent="0.3">
      <c r="A2735" t="s">
        <v>729</v>
      </c>
      <c r="B2735" t="s">
        <v>2165</v>
      </c>
      <c r="C2735">
        <v>5</v>
      </c>
      <c r="D2735">
        <v>84</v>
      </c>
      <c r="E2735">
        <f>IF(OR(B2735="vi",B2735="ii",B2735="pod"),(((D2735/100)*(C2735*VLOOKUP(B2735,'Poids des runes'!A:B,2,FALSE)))+1),(((D2735/100)*(C2735*VLOOKUP(B2735,'Poids des runes'!A:B,2,FALSE)))+1)/VLOOKUP(B2735,'Poids des runes'!A:B,2,FALSE))</f>
        <v>4.3428571428571425</v>
      </c>
      <c r="F2735">
        <f t="shared" si="42"/>
        <v>4.3428571428571425</v>
      </c>
    </row>
    <row r="2736" spans="1:6" x14ac:dyDescent="0.3">
      <c r="A2736" t="s">
        <v>730</v>
      </c>
      <c r="B2736" t="s">
        <v>2128</v>
      </c>
      <c r="C2736">
        <v>50.5</v>
      </c>
      <c r="D2736">
        <v>85</v>
      </c>
      <c r="E2736">
        <f>IF(OR(B2736="vi",B2736="ii",B2736="pod"),(((D2736/100)*(C2736*VLOOKUP(B2736,'Poids des runes'!A:B,2,FALSE)))+1),(((D2736/100)*(C2736*VLOOKUP(B2736,'Poids des runes'!A:B,2,FALSE)))+1)/VLOOKUP(B2736,'Poids des runes'!A:B,2,FALSE))</f>
        <v>9.5850000000000009</v>
      </c>
      <c r="F2736">
        <f t="shared" si="42"/>
        <v>9.5850000000000009</v>
      </c>
    </row>
    <row r="2737" spans="1:6" x14ac:dyDescent="0.3">
      <c r="A2737" t="s">
        <v>730</v>
      </c>
      <c r="B2737" t="s">
        <v>2151</v>
      </c>
      <c r="C2737">
        <v>3.5</v>
      </c>
      <c r="D2737">
        <v>85</v>
      </c>
      <c r="E2737">
        <f>IF(OR(B2737="vi",B2737="ii",B2737="pod"),(((D2737/100)*(C2737*VLOOKUP(B2737,'Poids des runes'!A:B,2,FALSE)))+1),(((D2737/100)*(C2737*VLOOKUP(B2737,'Poids des runes'!A:B,2,FALSE)))+1)/VLOOKUP(B2737,'Poids des runes'!A:B,2,FALSE))</f>
        <v>3.0750000000000002</v>
      </c>
      <c r="F2737">
        <f t="shared" si="42"/>
        <v>3.0750000000000002</v>
      </c>
    </row>
    <row r="2738" spans="1:6" x14ac:dyDescent="0.3">
      <c r="A2738" t="s">
        <v>730</v>
      </c>
      <c r="B2738" t="s">
        <v>2143</v>
      </c>
      <c r="C2738">
        <v>7</v>
      </c>
      <c r="D2738">
        <v>85</v>
      </c>
      <c r="E2738">
        <f>IF(OR(B2738="vi",B2738="ii",B2738="pod"),(((D2738/100)*(C2738*VLOOKUP(B2738,'Poids des runes'!A:B,2,FALSE)))+1),(((D2738/100)*(C2738*VLOOKUP(B2738,'Poids des runes'!A:B,2,FALSE)))+1)/VLOOKUP(B2738,'Poids des runes'!A:B,2,FALSE))</f>
        <v>6.15</v>
      </c>
      <c r="F2738">
        <f t="shared" si="42"/>
        <v>6.15</v>
      </c>
    </row>
    <row r="2739" spans="1:6" x14ac:dyDescent="0.3">
      <c r="A2739" t="s">
        <v>730</v>
      </c>
      <c r="B2739" t="s">
        <v>2140</v>
      </c>
      <c r="C2739">
        <v>7</v>
      </c>
      <c r="D2739">
        <v>85</v>
      </c>
      <c r="E2739">
        <f>IF(OR(B2739="vi",B2739="ii",B2739="pod"),(((D2739/100)*(C2739*VLOOKUP(B2739,'Poids des runes'!A:B,2,FALSE)))+1),(((D2739/100)*(C2739*VLOOKUP(B2739,'Poids des runes'!A:B,2,FALSE)))+1)/VLOOKUP(B2739,'Poids des runes'!A:B,2,FALSE))</f>
        <v>6.15</v>
      </c>
      <c r="F2739">
        <f t="shared" si="42"/>
        <v>6.15</v>
      </c>
    </row>
    <row r="2740" spans="1:6" x14ac:dyDescent="0.3">
      <c r="A2740" t="s">
        <v>730</v>
      </c>
      <c r="B2740" t="s">
        <v>2133</v>
      </c>
      <c r="C2740">
        <v>7</v>
      </c>
      <c r="D2740">
        <v>85</v>
      </c>
      <c r="E2740">
        <f>IF(OR(B2740="vi",B2740="ii",B2740="pod"),(((D2740/100)*(C2740*VLOOKUP(B2740,'Poids des runes'!A:B,2,FALSE)))+1),(((D2740/100)*(C2740*VLOOKUP(B2740,'Poids des runes'!A:B,2,FALSE)))+1)/VLOOKUP(B2740,'Poids des runes'!A:B,2,FALSE))</f>
        <v>6.15</v>
      </c>
      <c r="F2740">
        <f t="shared" si="42"/>
        <v>6.15</v>
      </c>
    </row>
    <row r="2741" spans="1:6" x14ac:dyDescent="0.3">
      <c r="A2741" t="s">
        <v>730</v>
      </c>
      <c r="B2741" t="s">
        <v>2153</v>
      </c>
      <c r="C2741">
        <v>7</v>
      </c>
      <c r="D2741">
        <v>85</v>
      </c>
      <c r="E2741">
        <f>IF(OR(B2741="vi",B2741="ii",B2741="pod"),(((D2741/100)*(C2741*VLOOKUP(B2741,'Poids des runes'!A:B,2,FALSE)))+1),(((D2741/100)*(C2741*VLOOKUP(B2741,'Poids des runes'!A:B,2,FALSE)))+1)/VLOOKUP(B2741,'Poids des runes'!A:B,2,FALSE))</f>
        <v>6.15</v>
      </c>
      <c r="F2741">
        <f t="shared" si="42"/>
        <v>6.15</v>
      </c>
    </row>
    <row r="2742" spans="1:6" x14ac:dyDescent="0.3">
      <c r="A2742" t="s">
        <v>730</v>
      </c>
      <c r="B2742" t="s">
        <v>2132</v>
      </c>
      <c r="C2742">
        <v>175.5</v>
      </c>
      <c r="D2742">
        <v>85</v>
      </c>
      <c r="E2742">
        <f>IF(OR(B2742="vi",B2742="ii",B2742="pod"),(((D2742/100)*(C2742*VLOOKUP(B2742,'Poids des runes'!A:B,2,FALSE)))+1),(((D2742/100)*(C2742*VLOOKUP(B2742,'Poids des runes'!A:B,2,FALSE)))+1)/VLOOKUP(B2742,'Poids des runes'!A:B,2,FALSE))</f>
        <v>15.9175</v>
      </c>
      <c r="F2742">
        <f t="shared" si="42"/>
        <v>15.9175</v>
      </c>
    </row>
    <row r="2743" spans="1:6" x14ac:dyDescent="0.3">
      <c r="A2743" t="s">
        <v>730</v>
      </c>
      <c r="B2743" t="s">
        <v>2138</v>
      </c>
      <c r="C2743">
        <v>4.5</v>
      </c>
      <c r="D2743">
        <v>85</v>
      </c>
      <c r="E2743">
        <f>IF(OR(B2743="vi",B2743="ii",B2743="pod"),(((D2743/100)*(C2743*VLOOKUP(B2743,'Poids des runes'!A:B,2,FALSE)))+1),(((D2743/100)*(C2743*VLOOKUP(B2743,'Poids des runes'!A:B,2,FALSE)))+1)/VLOOKUP(B2743,'Poids des runes'!A:B,2,FALSE))</f>
        <v>4.0749999999999993</v>
      </c>
      <c r="F2743">
        <f t="shared" si="42"/>
        <v>4.0749999999999993</v>
      </c>
    </row>
    <row r="2744" spans="1:6" x14ac:dyDescent="0.3">
      <c r="A2744" t="s">
        <v>730</v>
      </c>
      <c r="B2744" t="s">
        <v>2165</v>
      </c>
      <c r="C2744">
        <v>3.5</v>
      </c>
      <c r="D2744">
        <v>85</v>
      </c>
      <c r="E2744">
        <f>IF(OR(B2744="vi",B2744="ii",B2744="pod"),(((D2744/100)*(C2744*VLOOKUP(B2744,'Poids des runes'!A:B,2,FALSE)))+1),(((D2744/100)*(C2744*VLOOKUP(B2744,'Poids des runes'!A:B,2,FALSE)))+1)/VLOOKUP(B2744,'Poids des runes'!A:B,2,FALSE))</f>
        <v>3.1178571428571429</v>
      </c>
      <c r="F2744">
        <f t="shared" si="42"/>
        <v>3.1178571428571429</v>
      </c>
    </row>
    <row r="2745" spans="1:6" x14ac:dyDescent="0.3">
      <c r="A2745" t="s">
        <v>730</v>
      </c>
      <c r="B2745" t="s">
        <v>2136</v>
      </c>
      <c r="C2745">
        <v>7</v>
      </c>
      <c r="D2745">
        <v>85</v>
      </c>
      <c r="E2745">
        <f>IF(OR(B2745="vi",B2745="ii",B2745="pod"),(((D2745/100)*(C2745*VLOOKUP(B2745,'Poids des runes'!A:B,2,FALSE)))+1),(((D2745/100)*(C2745*VLOOKUP(B2745,'Poids des runes'!A:B,2,FALSE)))+1)/VLOOKUP(B2745,'Poids des runes'!A:B,2,FALSE))</f>
        <v>6.45</v>
      </c>
      <c r="F2745">
        <f t="shared" si="42"/>
        <v>6.45</v>
      </c>
    </row>
    <row r="2746" spans="1:6" x14ac:dyDescent="0.3">
      <c r="A2746" t="s">
        <v>731</v>
      </c>
      <c r="B2746" t="s">
        <v>2128</v>
      </c>
      <c r="C2746">
        <v>50.5</v>
      </c>
      <c r="D2746">
        <v>85</v>
      </c>
      <c r="E2746">
        <f>IF(OR(B2746="vi",B2746="ii",B2746="pod"),(((D2746/100)*(C2746*VLOOKUP(B2746,'Poids des runes'!A:B,2,FALSE)))+1),(((D2746/100)*(C2746*VLOOKUP(B2746,'Poids des runes'!A:B,2,FALSE)))+1)/VLOOKUP(B2746,'Poids des runes'!A:B,2,FALSE))</f>
        <v>9.5850000000000009</v>
      </c>
      <c r="F2746">
        <f t="shared" si="42"/>
        <v>9.5850000000000009</v>
      </c>
    </row>
    <row r="2747" spans="1:6" x14ac:dyDescent="0.3">
      <c r="A2747" t="s">
        <v>731</v>
      </c>
      <c r="B2747" t="s">
        <v>2126</v>
      </c>
      <c r="C2747">
        <v>25.5</v>
      </c>
      <c r="D2747">
        <v>85</v>
      </c>
      <c r="E2747">
        <f>IF(OR(B2747="vi",B2747="ii",B2747="pod"),(((D2747/100)*(C2747*VLOOKUP(B2747,'Poids des runes'!A:B,2,FALSE)))+1),(((D2747/100)*(C2747*VLOOKUP(B2747,'Poids des runes'!A:B,2,FALSE)))+1)/VLOOKUP(B2747,'Poids des runes'!A:B,2,FALSE))</f>
        <v>22.675000000000001</v>
      </c>
      <c r="F2747">
        <f t="shared" si="42"/>
        <v>22.675000000000001</v>
      </c>
    </row>
    <row r="2748" spans="1:6" x14ac:dyDescent="0.3">
      <c r="A2748" t="s">
        <v>731</v>
      </c>
      <c r="B2748" t="s">
        <v>2131</v>
      </c>
      <c r="C2748">
        <v>25.5</v>
      </c>
      <c r="D2748">
        <v>85</v>
      </c>
      <c r="E2748">
        <f>IF(OR(B2748="vi",B2748="ii",B2748="pod"),(((D2748/100)*(C2748*VLOOKUP(B2748,'Poids des runes'!A:B,2,FALSE)))+1),(((D2748/100)*(C2748*VLOOKUP(B2748,'Poids des runes'!A:B,2,FALSE)))+1)/VLOOKUP(B2748,'Poids des runes'!A:B,2,FALSE))</f>
        <v>22.675000000000001</v>
      </c>
      <c r="F2748">
        <f t="shared" si="42"/>
        <v>22.675000000000001</v>
      </c>
    </row>
    <row r="2749" spans="1:6" x14ac:dyDescent="0.3">
      <c r="A2749" t="s">
        <v>731</v>
      </c>
      <c r="B2749" t="s">
        <v>2152</v>
      </c>
      <c r="C2749">
        <v>1</v>
      </c>
      <c r="D2749">
        <v>85</v>
      </c>
      <c r="E2749">
        <f>IF(OR(B2749="vi",B2749="ii",B2749="pod"),(((D2749/100)*(C2749*VLOOKUP(B2749,'Poids des runes'!A:B,2,FALSE)))+1),(((D2749/100)*(C2749*VLOOKUP(B2749,'Poids des runes'!A:B,2,FALSE)))+1)/VLOOKUP(B2749,'Poids des runes'!A:B,2,FALSE))</f>
        <v>0.86</v>
      </c>
      <c r="F2749">
        <f t="shared" si="42"/>
        <v>0.86</v>
      </c>
    </row>
    <row r="2750" spans="1:6" x14ac:dyDescent="0.3">
      <c r="A2750" t="s">
        <v>731</v>
      </c>
      <c r="B2750" t="s">
        <v>2143</v>
      </c>
      <c r="C2750">
        <v>2.5</v>
      </c>
      <c r="D2750">
        <v>85</v>
      </c>
      <c r="E2750">
        <f>IF(OR(B2750="vi",B2750="ii",B2750="pod"),(((D2750/100)*(C2750*VLOOKUP(B2750,'Poids des runes'!A:B,2,FALSE)))+1),(((D2750/100)*(C2750*VLOOKUP(B2750,'Poids des runes'!A:B,2,FALSE)))+1)/VLOOKUP(B2750,'Poids des runes'!A:B,2,FALSE))</f>
        <v>2.3250000000000002</v>
      </c>
      <c r="F2750">
        <f t="shared" si="42"/>
        <v>2.3250000000000002</v>
      </c>
    </row>
    <row r="2751" spans="1:6" x14ac:dyDescent="0.3">
      <c r="A2751" t="s">
        <v>731</v>
      </c>
      <c r="B2751" t="s">
        <v>2153</v>
      </c>
      <c r="C2751">
        <v>2.5</v>
      </c>
      <c r="D2751">
        <v>85</v>
      </c>
      <c r="E2751">
        <f>IF(OR(B2751="vi",B2751="ii",B2751="pod"),(((D2751/100)*(C2751*VLOOKUP(B2751,'Poids des runes'!A:B,2,FALSE)))+1),(((D2751/100)*(C2751*VLOOKUP(B2751,'Poids des runes'!A:B,2,FALSE)))+1)/VLOOKUP(B2751,'Poids des runes'!A:B,2,FALSE))</f>
        <v>2.3250000000000002</v>
      </c>
      <c r="F2751">
        <f t="shared" si="42"/>
        <v>2.3250000000000002</v>
      </c>
    </row>
    <row r="2752" spans="1:6" x14ac:dyDescent="0.3">
      <c r="A2752" t="s">
        <v>731</v>
      </c>
      <c r="B2752" t="s">
        <v>2149</v>
      </c>
      <c r="C2752">
        <v>2.5</v>
      </c>
      <c r="D2752">
        <v>85</v>
      </c>
      <c r="E2752">
        <f>IF(OR(B2752="vi",B2752="ii",B2752="pod"),(((D2752/100)*(C2752*VLOOKUP(B2752,'Poids des runes'!A:B,2,FALSE)))+1),(((D2752/100)*(C2752*VLOOKUP(B2752,'Poids des runes'!A:B,2,FALSE)))+1)/VLOOKUP(B2752,'Poids des runes'!A:B,2,FALSE))</f>
        <v>2.2250000000000001</v>
      </c>
      <c r="F2752">
        <f t="shared" si="42"/>
        <v>2.2250000000000001</v>
      </c>
    </row>
    <row r="2753" spans="1:6" x14ac:dyDescent="0.3">
      <c r="A2753" t="s">
        <v>731</v>
      </c>
      <c r="B2753" t="s">
        <v>2165</v>
      </c>
      <c r="C2753">
        <v>2.5</v>
      </c>
      <c r="D2753">
        <v>85</v>
      </c>
      <c r="E2753">
        <f>IF(OR(B2753="vi",B2753="ii",B2753="pod"),(((D2753/100)*(C2753*VLOOKUP(B2753,'Poids des runes'!A:B,2,FALSE)))+1),(((D2753/100)*(C2753*VLOOKUP(B2753,'Poids des runes'!A:B,2,FALSE)))+1)/VLOOKUP(B2753,'Poids des runes'!A:B,2,FALSE))</f>
        <v>2.2678571428571428</v>
      </c>
      <c r="F2753">
        <f t="shared" si="42"/>
        <v>2.2678571428571428</v>
      </c>
    </row>
    <row r="2754" spans="1:6" x14ac:dyDescent="0.3">
      <c r="A2754" t="s">
        <v>731</v>
      </c>
      <c r="B2754" t="s">
        <v>2163</v>
      </c>
      <c r="C2754">
        <v>4.5</v>
      </c>
      <c r="D2754">
        <v>85</v>
      </c>
      <c r="E2754">
        <f>IF(OR(B2754="vi",B2754="ii",B2754="pod"),(((D2754/100)*(C2754*VLOOKUP(B2754,'Poids des runes'!A:B,2,FALSE)))+1),(((D2754/100)*(C2754*VLOOKUP(B2754,'Poids des runes'!A:B,2,FALSE)))+1)/VLOOKUP(B2754,'Poids des runes'!A:B,2,FALSE))</f>
        <v>4.3249999999999993</v>
      </c>
      <c r="F2754">
        <f t="shared" si="42"/>
        <v>4.3249999999999993</v>
      </c>
    </row>
    <row r="2755" spans="1:6" x14ac:dyDescent="0.3">
      <c r="A2755" t="s">
        <v>732</v>
      </c>
      <c r="B2755" t="s">
        <v>2128</v>
      </c>
      <c r="C2755">
        <v>50.5</v>
      </c>
      <c r="D2755">
        <v>85</v>
      </c>
      <c r="E2755">
        <f>IF(OR(B2755="vi",B2755="ii",B2755="pod"),(((D2755/100)*(C2755*VLOOKUP(B2755,'Poids des runes'!A:B,2,FALSE)))+1),(((D2755/100)*(C2755*VLOOKUP(B2755,'Poids des runes'!A:B,2,FALSE)))+1)/VLOOKUP(B2755,'Poids des runes'!A:B,2,FALSE))</f>
        <v>9.5850000000000009</v>
      </c>
      <c r="F2755">
        <f t="shared" ref="F2755:F2818" si="43">E2755</f>
        <v>9.5850000000000009</v>
      </c>
    </row>
    <row r="2756" spans="1:6" x14ac:dyDescent="0.3">
      <c r="A2756" t="s">
        <v>732</v>
      </c>
      <c r="B2756" t="s">
        <v>2130</v>
      </c>
      <c r="C2756">
        <v>35.5</v>
      </c>
      <c r="D2756">
        <v>85</v>
      </c>
      <c r="E2756">
        <f>IF(OR(B2756="vi",B2756="ii",B2756="pod"),(((D2756/100)*(C2756*VLOOKUP(B2756,'Poids des runes'!A:B,2,FALSE)))+1),(((D2756/100)*(C2756*VLOOKUP(B2756,'Poids des runes'!A:B,2,FALSE)))+1)/VLOOKUP(B2756,'Poids des runes'!A:B,2,FALSE))</f>
        <v>31.175000000000001</v>
      </c>
      <c r="F2756">
        <f t="shared" si="43"/>
        <v>31.175000000000001</v>
      </c>
    </row>
    <row r="2757" spans="1:6" x14ac:dyDescent="0.3">
      <c r="A2757" t="s">
        <v>732</v>
      </c>
      <c r="B2757" t="s">
        <v>2127</v>
      </c>
      <c r="C2757">
        <v>35.5</v>
      </c>
      <c r="D2757">
        <v>85</v>
      </c>
      <c r="E2757">
        <f>IF(OR(B2757="vi",B2757="ii",B2757="pod"),(((D2757/100)*(C2757*VLOOKUP(B2757,'Poids des runes'!A:B,2,FALSE)))+1),(((D2757/100)*(C2757*VLOOKUP(B2757,'Poids des runes'!A:B,2,FALSE)))+1)/VLOOKUP(B2757,'Poids des runes'!A:B,2,FALSE))</f>
        <v>31.175000000000001</v>
      </c>
      <c r="F2757">
        <f t="shared" si="43"/>
        <v>31.175000000000001</v>
      </c>
    </row>
    <row r="2758" spans="1:6" x14ac:dyDescent="0.3">
      <c r="A2758" t="s">
        <v>732</v>
      </c>
      <c r="B2758" t="s">
        <v>2151</v>
      </c>
      <c r="C2758">
        <v>2.5</v>
      </c>
      <c r="D2758">
        <v>85</v>
      </c>
      <c r="E2758">
        <f>IF(OR(B2758="vi",B2758="ii",B2758="pod"),(((D2758/100)*(C2758*VLOOKUP(B2758,'Poids des runes'!A:B,2,FALSE)))+1),(((D2758/100)*(C2758*VLOOKUP(B2758,'Poids des runes'!A:B,2,FALSE)))+1)/VLOOKUP(B2758,'Poids des runes'!A:B,2,FALSE))</f>
        <v>2.2250000000000001</v>
      </c>
      <c r="F2758">
        <f t="shared" si="43"/>
        <v>2.2250000000000001</v>
      </c>
    </row>
    <row r="2759" spans="1:6" x14ac:dyDescent="0.3">
      <c r="A2759" t="s">
        <v>732</v>
      </c>
      <c r="B2759" t="s">
        <v>2154</v>
      </c>
      <c r="C2759">
        <v>1</v>
      </c>
      <c r="D2759">
        <v>85</v>
      </c>
      <c r="E2759">
        <f>IF(OR(B2759="vi",B2759="ii",B2759="pod"),(((D2759/100)*(C2759*VLOOKUP(B2759,'Poids des runes'!A:B,2,FALSE)))+1),(((D2759/100)*(C2759*VLOOKUP(B2759,'Poids des runes'!A:B,2,FALSE)))+1)/VLOOKUP(B2759,'Poids des runes'!A:B,2,FALSE))</f>
        <v>0.86111111111111116</v>
      </c>
      <c r="F2759">
        <f t="shared" si="43"/>
        <v>0.86111111111111116</v>
      </c>
    </row>
    <row r="2760" spans="1:6" x14ac:dyDescent="0.3">
      <c r="A2760" t="s">
        <v>732</v>
      </c>
      <c r="B2760" t="s">
        <v>2140</v>
      </c>
      <c r="C2760">
        <v>2.5</v>
      </c>
      <c r="D2760">
        <v>85</v>
      </c>
      <c r="E2760">
        <f>IF(OR(B2760="vi",B2760="ii",B2760="pod"),(((D2760/100)*(C2760*VLOOKUP(B2760,'Poids des runes'!A:B,2,FALSE)))+1),(((D2760/100)*(C2760*VLOOKUP(B2760,'Poids des runes'!A:B,2,FALSE)))+1)/VLOOKUP(B2760,'Poids des runes'!A:B,2,FALSE))</f>
        <v>2.3250000000000002</v>
      </c>
      <c r="F2760">
        <f t="shared" si="43"/>
        <v>2.3250000000000002</v>
      </c>
    </row>
    <row r="2761" spans="1:6" x14ac:dyDescent="0.3">
      <c r="A2761" t="s">
        <v>732</v>
      </c>
      <c r="B2761" t="s">
        <v>2133</v>
      </c>
      <c r="C2761">
        <v>2.5</v>
      </c>
      <c r="D2761">
        <v>85</v>
      </c>
      <c r="E2761">
        <f>IF(OR(B2761="vi",B2761="ii",B2761="pod"),(((D2761/100)*(C2761*VLOOKUP(B2761,'Poids des runes'!A:B,2,FALSE)))+1),(((D2761/100)*(C2761*VLOOKUP(B2761,'Poids des runes'!A:B,2,FALSE)))+1)/VLOOKUP(B2761,'Poids des runes'!A:B,2,FALSE))</f>
        <v>2.3250000000000002</v>
      </c>
      <c r="F2761">
        <f t="shared" si="43"/>
        <v>2.3250000000000002</v>
      </c>
    </row>
    <row r="2762" spans="1:6" x14ac:dyDescent="0.3">
      <c r="A2762" t="s">
        <v>732</v>
      </c>
      <c r="B2762" t="s">
        <v>2162</v>
      </c>
      <c r="C2762">
        <v>3.5</v>
      </c>
      <c r="D2762">
        <v>85</v>
      </c>
      <c r="E2762">
        <f>IF(OR(B2762="vi",B2762="ii",B2762="pod"),(((D2762/100)*(C2762*VLOOKUP(B2762,'Poids des runes'!A:B,2,FALSE)))+1),(((D2762/100)*(C2762*VLOOKUP(B2762,'Poids des runes'!A:B,2,FALSE)))+1)/VLOOKUP(B2762,'Poids des runes'!A:B,2,FALSE))</f>
        <v>3.1178571428571429</v>
      </c>
      <c r="F2762">
        <f t="shared" si="43"/>
        <v>3.1178571428571429</v>
      </c>
    </row>
    <row r="2763" spans="1:6" x14ac:dyDescent="0.3">
      <c r="A2763" t="s">
        <v>732</v>
      </c>
      <c r="B2763" t="s">
        <v>2163</v>
      </c>
      <c r="C2763">
        <v>4.5</v>
      </c>
      <c r="D2763">
        <v>85</v>
      </c>
      <c r="E2763">
        <f>IF(OR(B2763="vi",B2763="ii",B2763="pod"),(((D2763/100)*(C2763*VLOOKUP(B2763,'Poids des runes'!A:B,2,FALSE)))+1),(((D2763/100)*(C2763*VLOOKUP(B2763,'Poids des runes'!A:B,2,FALSE)))+1)/VLOOKUP(B2763,'Poids des runes'!A:B,2,FALSE))</f>
        <v>4.3249999999999993</v>
      </c>
      <c r="F2763">
        <f t="shared" si="43"/>
        <v>4.3249999999999993</v>
      </c>
    </row>
    <row r="2764" spans="1:6" x14ac:dyDescent="0.3">
      <c r="A2764" t="s">
        <v>733</v>
      </c>
      <c r="B2764" t="s">
        <v>2128</v>
      </c>
      <c r="C2764">
        <v>50.5</v>
      </c>
      <c r="D2764">
        <v>85</v>
      </c>
      <c r="E2764">
        <f>IF(OR(B2764="vi",B2764="ii",B2764="pod"),(((D2764/100)*(C2764*VLOOKUP(B2764,'Poids des runes'!A:B,2,FALSE)))+1),(((D2764/100)*(C2764*VLOOKUP(B2764,'Poids des runes'!A:B,2,FALSE)))+1)/VLOOKUP(B2764,'Poids des runes'!A:B,2,FALSE))</f>
        <v>9.5850000000000009</v>
      </c>
      <c r="F2764">
        <f t="shared" si="43"/>
        <v>9.5850000000000009</v>
      </c>
    </row>
    <row r="2765" spans="1:6" x14ac:dyDescent="0.3">
      <c r="A2765" t="s">
        <v>733</v>
      </c>
      <c r="B2765" t="s">
        <v>2139</v>
      </c>
      <c r="C2765">
        <v>35.5</v>
      </c>
      <c r="D2765">
        <v>85</v>
      </c>
      <c r="E2765">
        <f>IF(OR(B2765="vi",B2765="ii",B2765="pod"),(((D2765/100)*(C2765*VLOOKUP(B2765,'Poids des runes'!A:B,2,FALSE)))+1),(((D2765/100)*(C2765*VLOOKUP(B2765,'Poids des runes'!A:B,2,FALSE)))+1)/VLOOKUP(B2765,'Poids des runes'!A:B,2,FALSE))</f>
        <v>30.675000000000001</v>
      </c>
      <c r="F2765">
        <f t="shared" si="43"/>
        <v>30.675000000000001</v>
      </c>
    </row>
    <row r="2766" spans="1:6" x14ac:dyDescent="0.3">
      <c r="A2766" t="s">
        <v>733</v>
      </c>
      <c r="B2766" t="s">
        <v>2155</v>
      </c>
      <c r="C2766">
        <v>1</v>
      </c>
      <c r="D2766">
        <v>85</v>
      </c>
      <c r="E2766">
        <f>IF(OR(B2766="vi",B2766="ii",B2766="pod"),(((D2766/100)*(C2766*VLOOKUP(B2766,'Poids des runes'!A:B,2,FALSE)))+1),(((D2766/100)*(C2766*VLOOKUP(B2766,'Poids des runes'!A:B,2,FALSE)))+1)/VLOOKUP(B2766,'Poids des runes'!A:B,2,FALSE))</f>
        <v>0.86960784313725492</v>
      </c>
      <c r="F2766">
        <f t="shared" si="43"/>
        <v>0.86960784313725492</v>
      </c>
    </row>
    <row r="2767" spans="1:6" x14ac:dyDescent="0.3">
      <c r="A2767" t="s">
        <v>733</v>
      </c>
      <c r="B2767" t="s">
        <v>2150</v>
      </c>
      <c r="C2767">
        <v>1</v>
      </c>
      <c r="D2767">
        <v>85</v>
      </c>
      <c r="E2767">
        <f>IF(OR(B2767="vi",B2767="ii",B2767="pod"),(((D2767/100)*(C2767*VLOOKUP(B2767,'Poids des runes'!A:B,2,FALSE)))+1),(((D2767/100)*(C2767*VLOOKUP(B2767,'Poids des runes'!A:B,2,FALSE)))+1)/VLOOKUP(B2767,'Poids des runes'!A:B,2,FALSE))</f>
        <v>0.8833333333333333</v>
      </c>
      <c r="F2767">
        <f t="shared" si="43"/>
        <v>0.8833333333333333</v>
      </c>
    </row>
    <row r="2768" spans="1:6" x14ac:dyDescent="0.3">
      <c r="A2768" t="s">
        <v>733</v>
      </c>
      <c r="B2768" t="s">
        <v>2141</v>
      </c>
      <c r="C2768">
        <v>4.5</v>
      </c>
      <c r="D2768">
        <v>85</v>
      </c>
      <c r="E2768">
        <f>IF(OR(B2768="vi",B2768="ii",B2768="pod"),(((D2768/100)*(C2768*VLOOKUP(B2768,'Poids des runes'!A:B,2,FALSE)))+1),(((D2768/100)*(C2768*VLOOKUP(B2768,'Poids des runes'!A:B,2,FALSE)))+1)/VLOOKUP(B2768,'Poids des runes'!A:B,2,FALSE))</f>
        <v>4.0749999999999993</v>
      </c>
      <c r="F2768">
        <f t="shared" si="43"/>
        <v>4.0749999999999993</v>
      </c>
    </row>
    <row r="2769" spans="1:6" x14ac:dyDescent="0.3">
      <c r="A2769" t="s">
        <v>733</v>
      </c>
      <c r="B2769" t="s">
        <v>2162</v>
      </c>
      <c r="C2769">
        <v>3.5</v>
      </c>
      <c r="D2769">
        <v>85</v>
      </c>
      <c r="E2769">
        <f>IF(OR(B2769="vi",B2769="ii",B2769="pod"),(((D2769/100)*(C2769*VLOOKUP(B2769,'Poids des runes'!A:B,2,FALSE)))+1),(((D2769/100)*(C2769*VLOOKUP(B2769,'Poids des runes'!A:B,2,FALSE)))+1)/VLOOKUP(B2769,'Poids des runes'!A:B,2,FALSE))</f>
        <v>3.1178571428571429</v>
      </c>
      <c r="F2769">
        <f t="shared" si="43"/>
        <v>3.1178571428571429</v>
      </c>
    </row>
    <row r="2770" spans="1:6" x14ac:dyDescent="0.3">
      <c r="A2770" t="s">
        <v>733</v>
      </c>
      <c r="B2770" t="s">
        <v>2156</v>
      </c>
      <c r="C2770">
        <v>3.5</v>
      </c>
      <c r="D2770">
        <v>85</v>
      </c>
      <c r="E2770">
        <f>IF(OR(B2770="vi",B2770="ii",B2770="pod"),(((D2770/100)*(C2770*VLOOKUP(B2770,'Poids des runes'!A:B,2,FALSE)))+1),(((D2770/100)*(C2770*VLOOKUP(B2770,'Poids des runes'!A:B,2,FALSE)))+1)/VLOOKUP(B2770,'Poids des runes'!A:B,2,FALSE))</f>
        <v>3.1416666666666662</v>
      </c>
      <c r="F2770">
        <f t="shared" si="43"/>
        <v>3.1416666666666662</v>
      </c>
    </row>
    <row r="2771" spans="1:6" x14ac:dyDescent="0.3">
      <c r="A2771" t="s">
        <v>734</v>
      </c>
      <c r="B2771" t="s">
        <v>2128</v>
      </c>
      <c r="C2771">
        <v>70.5</v>
      </c>
      <c r="D2771">
        <v>86</v>
      </c>
      <c r="E2771">
        <f>IF(OR(B2771="vi",B2771="ii",B2771="pod"),(((D2771/100)*(C2771*VLOOKUP(B2771,'Poids des runes'!A:B,2,FALSE)))+1),(((D2771/100)*(C2771*VLOOKUP(B2771,'Poids des runes'!A:B,2,FALSE)))+1)/VLOOKUP(B2771,'Poids des runes'!A:B,2,FALSE))</f>
        <v>13.126000000000001</v>
      </c>
      <c r="F2771">
        <f t="shared" si="43"/>
        <v>13.126000000000001</v>
      </c>
    </row>
    <row r="2772" spans="1:6" x14ac:dyDescent="0.3">
      <c r="A2772" t="s">
        <v>734</v>
      </c>
      <c r="B2772" t="s">
        <v>2127</v>
      </c>
      <c r="C2772">
        <v>45.5</v>
      </c>
      <c r="D2772">
        <v>86</v>
      </c>
      <c r="E2772">
        <f>IF(OR(B2772="vi",B2772="ii",B2772="pod"),(((D2772/100)*(C2772*VLOOKUP(B2772,'Poids des runes'!A:B,2,FALSE)))+1),(((D2772/100)*(C2772*VLOOKUP(B2772,'Poids des runes'!A:B,2,FALSE)))+1)/VLOOKUP(B2772,'Poids des runes'!A:B,2,FALSE))</f>
        <v>40.130000000000003</v>
      </c>
      <c r="F2772">
        <f t="shared" si="43"/>
        <v>40.130000000000003</v>
      </c>
    </row>
    <row r="2773" spans="1:6" x14ac:dyDescent="0.3">
      <c r="A2773" t="s">
        <v>734</v>
      </c>
      <c r="B2773" t="s">
        <v>2149</v>
      </c>
      <c r="C2773">
        <v>13</v>
      </c>
      <c r="D2773">
        <v>86</v>
      </c>
      <c r="E2773">
        <f>IF(OR(B2773="vi",B2773="ii",B2773="pod"),(((D2773/100)*(C2773*VLOOKUP(B2773,'Poids des runes'!A:B,2,FALSE)))+1),(((D2773/100)*(C2773*VLOOKUP(B2773,'Poids des runes'!A:B,2,FALSE)))+1)/VLOOKUP(B2773,'Poids des runes'!A:B,2,FALSE))</f>
        <v>11.28</v>
      </c>
      <c r="F2773">
        <f t="shared" si="43"/>
        <v>11.28</v>
      </c>
    </row>
    <row r="2774" spans="1:6" x14ac:dyDescent="0.3">
      <c r="A2774" t="s">
        <v>734</v>
      </c>
      <c r="B2774" t="s">
        <v>2161</v>
      </c>
      <c r="C2774">
        <v>13</v>
      </c>
      <c r="D2774">
        <v>86</v>
      </c>
      <c r="E2774">
        <f>IF(OR(B2774="vi",B2774="ii",B2774="pod"),(((D2774/100)*(C2774*VLOOKUP(B2774,'Poids des runes'!A:B,2,FALSE)))+1),(((D2774/100)*(C2774*VLOOKUP(B2774,'Poids des runes'!A:B,2,FALSE)))+1)/VLOOKUP(B2774,'Poids des runes'!A:B,2,FALSE))</f>
        <v>11.513333333333334</v>
      </c>
      <c r="F2774">
        <f t="shared" si="43"/>
        <v>11.513333333333334</v>
      </c>
    </row>
    <row r="2775" spans="1:6" x14ac:dyDescent="0.3">
      <c r="A2775" t="s">
        <v>734</v>
      </c>
      <c r="B2775" t="s">
        <v>2141</v>
      </c>
      <c r="C2775">
        <v>6</v>
      </c>
      <c r="D2775">
        <v>86</v>
      </c>
      <c r="E2775">
        <f>IF(OR(B2775="vi",B2775="ii",B2775="pod"),(((D2775/100)*(C2775*VLOOKUP(B2775,'Poids des runes'!A:B,2,FALSE)))+1),(((D2775/100)*(C2775*VLOOKUP(B2775,'Poids des runes'!A:B,2,FALSE)))+1)/VLOOKUP(B2775,'Poids des runes'!A:B,2,FALSE))</f>
        <v>5.41</v>
      </c>
      <c r="F2775">
        <f t="shared" si="43"/>
        <v>5.41</v>
      </c>
    </row>
    <row r="2776" spans="1:6" x14ac:dyDescent="0.3">
      <c r="A2776" t="s">
        <v>734</v>
      </c>
      <c r="B2776" t="s">
        <v>2135</v>
      </c>
      <c r="C2776">
        <v>4.5</v>
      </c>
      <c r="D2776">
        <v>86</v>
      </c>
      <c r="E2776">
        <f>IF(OR(B2776="vi",B2776="ii",B2776="pod"),(((D2776/100)*(C2776*VLOOKUP(B2776,'Poids des runes'!A:B,2,FALSE)))+1),(((D2776/100)*(C2776*VLOOKUP(B2776,'Poids des runes'!A:B,2,FALSE)))+1)/VLOOKUP(B2776,'Poids des runes'!A:B,2,FALSE))</f>
        <v>4.0366666666666662</v>
      </c>
      <c r="F2776">
        <f t="shared" si="43"/>
        <v>4.0366666666666662</v>
      </c>
    </row>
    <row r="2777" spans="1:6" x14ac:dyDescent="0.3">
      <c r="A2777" t="s">
        <v>735</v>
      </c>
      <c r="B2777" t="s">
        <v>2128</v>
      </c>
      <c r="C2777">
        <v>55.5</v>
      </c>
      <c r="D2777">
        <v>86</v>
      </c>
      <c r="E2777">
        <f>IF(OR(B2777="vi",B2777="ii",B2777="pod"),(((D2777/100)*(C2777*VLOOKUP(B2777,'Poids des runes'!A:B,2,FALSE)))+1),(((D2777/100)*(C2777*VLOOKUP(B2777,'Poids des runes'!A:B,2,FALSE)))+1)/VLOOKUP(B2777,'Poids des runes'!A:B,2,FALSE))</f>
        <v>10.546000000000001</v>
      </c>
      <c r="F2777">
        <f t="shared" si="43"/>
        <v>10.546000000000001</v>
      </c>
    </row>
    <row r="2778" spans="1:6" x14ac:dyDescent="0.3">
      <c r="A2778" t="s">
        <v>735</v>
      </c>
      <c r="B2778" t="s">
        <v>2130</v>
      </c>
      <c r="C2778">
        <v>35.5</v>
      </c>
      <c r="D2778">
        <v>86</v>
      </c>
      <c r="E2778">
        <f>IF(OR(B2778="vi",B2778="ii",B2778="pod"),(((D2778/100)*(C2778*VLOOKUP(B2778,'Poids des runes'!A:B,2,FALSE)))+1),(((D2778/100)*(C2778*VLOOKUP(B2778,'Poids des runes'!A:B,2,FALSE)))+1)/VLOOKUP(B2778,'Poids des runes'!A:B,2,FALSE))</f>
        <v>31.53</v>
      </c>
      <c r="F2778">
        <f t="shared" si="43"/>
        <v>31.53</v>
      </c>
    </row>
    <row r="2779" spans="1:6" x14ac:dyDescent="0.3">
      <c r="A2779" t="s">
        <v>735</v>
      </c>
      <c r="B2779" t="s">
        <v>2131</v>
      </c>
      <c r="C2779">
        <v>35.5</v>
      </c>
      <c r="D2779">
        <v>86</v>
      </c>
      <c r="E2779">
        <f>IF(OR(B2779="vi",B2779="ii",B2779="pod"),(((D2779/100)*(C2779*VLOOKUP(B2779,'Poids des runes'!A:B,2,FALSE)))+1),(((D2779/100)*(C2779*VLOOKUP(B2779,'Poids des runes'!A:B,2,FALSE)))+1)/VLOOKUP(B2779,'Poids des runes'!A:B,2,FALSE))</f>
        <v>31.53</v>
      </c>
      <c r="F2779">
        <f t="shared" si="43"/>
        <v>31.53</v>
      </c>
    </row>
    <row r="2780" spans="1:6" x14ac:dyDescent="0.3">
      <c r="A2780" t="s">
        <v>735</v>
      </c>
      <c r="B2780" t="s">
        <v>2129</v>
      </c>
      <c r="C2780">
        <v>13</v>
      </c>
      <c r="D2780">
        <v>86</v>
      </c>
      <c r="E2780">
        <f>IF(OR(B2780="vi",B2780="ii",B2780="pod"),(((D2780/100)*(C2780*VLOOKUP(B2780,'Poids des runes'!A:B,2,FALSE)))+1),(((D2780/100)*(C2780*VLOOKUP(B2780,'Poids des runes'!A:B,2,FALSE)))+1)/VLOOKUP(B2780,'Poids des runes'!A:B,2,FALSE))</f>
        <v>12.18</v>
      </c>
      <c r="F2780">
        <f t="shared" si="43"/>
        <v>12.18</v>
      </c>
    </row>
    <row r="2781" spans="1:6" x14ac:dyDescent="0.3">
      <c r="A2781" t="s">
        <v>735</v>
      </c>
      <c r="B2781" t="s">
        <v>2134</v>
      </c>
      <c r="C2781">
        <v>3.5</v>
      </c>
      <c r="D2781">
        <v>86</v>
      </c>
      <c r="E2781">
        <f>IF(OR(B2781="vi",B2781="ii",B2781="pod"),(((D2781/100)*(C2781*VLOOKUP(B2781,'Poids des runes'!A:B,2,FALSE)))+1),(((D2781/100)*(C2781*VLOOKUP(B2781,'Poids des runes'!A:B,2,FALSE)))+1)/VLOOKUP(B2781,'Poids des runes'!A:B,2,FALSE))</f>
        <v>3.0599999999999996</v>
      </c>
      <c r="F2781">
        <f t="shared" si="43"/>
        <v>3.0599999999999996</v>
      </c>
    </row>
    <row r="2782" spans="1:6" x14ac:dyDescent="0.3">
      <c r="A2782" t="s">
        <v>735</v>
      </c>
      <c r="B2782" t="s">
        <v>2138</v>
      </c>
      <c r="C2782">
        <v>2.5</v>
      </c>
      <c r="D2782">
        <v>86</v>
      </c>
      <c r="E2782">
        <f>IF(OR(B2782="vi",B2782="ii",B2782="pod"),(((D2782/100)*(C2782*VLOOKUP(B2782,'Poids des runes'!A:B,2,FALSE)))+1),(((D2782/100)*(C2782*VLOOKUP(B2782,'Poids des runes'!A:B,2,FALSE)))+1)/VLOOKUP(B2782,'Poids des runes'!A:B,2,FALSE))</f>
        <v>2.4</v>
      </c>
      <c r="F2782">
        <f t="shared" si="43"/>
        <v>2.4</v>
      </c>
    </row>
    <row r="2783" spans="1:6" x14ac:dyDescent="0.3">
      <c r="A2783" t="s">
        <v>735</v>
      </c>
      <c r="B2783" t="s">
        <v>2164</v>
      </c>
      <c r="C2783">
        <v>4.5</v>
      </c>
      <c r="D2783">
        <v>86</v>
      </c>
      <c r="E2783">
        <f>IF(OR(B2783="vi",B2783="ii",B2783="pod"),(((D2783/100)*(C2783*VLOOKUP(B2783,'Poids des runes'!A:B,2,FALSE)))+1),(((D2783/100)*(C2783*VLOOKUP(B2783,'Poids des runes'!A:B,2,FALSE)))+1)/VLOOKUP(B2783,'Poids des runes'!A:B,2,FALSE))</f>
        <v>4.37</v>
      </c>
      <c r="F2783">
        <f t="shared" si="43"/>
        <v>4.37</v>
      </c>
    </row>
    <row r="2784" spans="1:6" x14ac:dyDescent="0.3">
      <c r="A2784" t="s">
        <v>735</v>
      </c>
      <c r="B2784" t="s">
        <v>2157</v>
      </c>
      <c r="C2784">
        <v>2.5</v>
      </c>
      <c r="D2784">
        <v>86</v>
      </c>
      <c r="E2784">
        <f>IF(OR(B2784="vi",B2784="ii",B2784="pod"),(((D2784/100)*(C2784*VLOOKUP(B2784,'Poids des runes'!A:B,2,FALSE)))+1),(((D2784/100)*(C2784*VLOOKUP(B2784,'Poids des runes'!A:B,2,FALSE)))+1)/VLOOKUP(B2784,'Poids des runes'!A:B,2,FALSE))</f>
        <v>2.3166666666666669</v>
      </c>
      <c r="F2784">
        <f t="shared" si="43"/>
        <v>2.3166666666666669</v>
      </c>
    </row>
    <row r="2785" spans="1:6" x14ac:dyDescent="0.3">
      <c r="A2785" t="s">
        <v>736</v>
      </c>
      <c r="B2785" t="s">
        <v>2126</v>
      </c>
      <c r="C2785">
        <v>20.5</v>
      </c>
      <c r="D2785">
        <v>86</v>
      </c>
      <c r="E2785">
        <f>IF(OR(B2785="vi",B2785="ii",B2785="pod"),(((D2785/100)*(C2785*VLOOKUP(B2785,'Poids des runes'!A:B,2,FALSE)))+1),(((D2785/100)*(C2785*VLOOKUP(B2785,'Poids des runes'!A:B,2,FALSE)))+1)/VLOOKUP(B2785,'Poids des runes'!A:B,2,FALSE))</f>
        <v>18.63</v>
      </c>
      <c r="F2785">
        <f t="shared" si="43"/>
        <v>18.63</v>
      </c>
    </row>
    <row r="2786" spans="1:6" x14ac:dyDescent="0.3">
      <c r="A2786" t="s">
        <v>736</v>
      </c>
      <c r="B2786" t="s">
        <v>2127</v>
      </c>
      <c r="C2786">
        <v>20.5</v>
      </c>
      <c r="D2786">
        <v>86</v>
      </c>
      <c r="E2786">
        <f>IF(OR(B2786="vi",B2786="ii",B2786="pod"),(((D2786/100)*(C2786*VLOOKUP(B2786,'Poids des runes'!A:B,2,FALSE)))+1),(((D2786/100)*(C2786*VLOOKUP(B2786,'Poids des runes'!A:B,2,FALSE)))+1)/VLOOKUP(B2786,'Poids des runes'!A:B,2,FALSE))</f>
        <v>18.63</v>
      </c>
      <c r="F2786">
        <f t="shared" si="43"/>
        <v>18.63</v>
      </c>
    </row>
    <row r="2787" spans="1:6" x14ac:dyDescent="0.3">
      <c r="A2787" t="s">
        <v>736</v>
      </c>
      <c r="B2787" t="s">
        <v>2154</v>
      </c>
      <c r="C2787">
        <v>1</v>
      </c>
      <c r="D2787">
        <v>86</v>
      </c>
      <c r="E2787">
        <f>IF(OR(B2787="vi",B2787="ii",B2787="pod"),(((D2787/100)*(C2787*VLOOKUP(B2787,'Poids des runes'!A:B,2,FALSE)))+1),(((D2787/100)*(C2787*VLOOKUP(B2787,'Poids des runes'!A:B,2,FALSE)))+1)/VLOOKUP(B2787,'Poids des runes'!A:B,2,FALSE))</f>
        <v>0.87111111111111117</v>
      </c>
      <c r="F2787">
        <f t="shared" si="43"/>
        <v>0.87111111111111117</v>
      </c>
    </row>
    <row r="2788" spans="1:6" x14ac:dyDescent="0.3">
      <c r="A2788" t="s">
        <v>736</v>
      </c>
      <c r="B2788" t="s">
        <v>2134</v>
      </c>
      <c r="C2788">
        <v>4.5</v>
      </c>
      <c r="D2788">
        <v>86</v>
      </c>
      <c r="E2788">
        <f>IF(OR(B2788="vi",B2788="ii",B2788="pod"),(((D2788/100)*(C2788*VLOOKUP(B2788,'Poids des runes'!A:B,2,FALSE)))+1),(((D2788/100)*(C2788*VLOOKUP(B2788,'Poids des runes'!A:B,2,FALSE)))+1)/VLOOKUP(B2788,'Poids des runes'!A:B,2,FALSE))</f>
        <v>3.9200000000000004</v>
      </c>
      <c r="F2788">
        <f t="shared" si="43"/>
        <v>3.9200000000000004</v>
      </c>
    </row>
    <row r="2789" spans="1:6" x14ac:dyDescent="0.3">
      <c r="A2789" t="s">
        <v>736</v>
      </c>
      <c r="B2789" t="s">
        <v>2149</v>
      </c>
      <c r="C2789">
        <v>4.5</v>
      </c>
      <c r="D2789">
        <v>86</v>
      </c>
      <c r="E2789">
        <f>IF(OR(B2789="vi",B2789="ii",B2789="pod"),(((D2789/100)*(C2789*VLOOKUP(B2789,'Poids des runes'!A:B,2,FALSE)))+1),(((D2789/100)*(C2789*VLOOKUP(B2789,'Poids des runes'!A:B,2,FALSE)))+1)/VLOOKUP(B2789,'Poids des runes'!A:B,2,FALSE))</f>
        <v>3.97</v>
      </c>
      <c r="F2789">
        <f t="shared" si="43"/>
        <v>3.97</v>
      </c>
    </row>
    <row r="2790" spans="1:6" x14ac:dyDescent="0.3">
      <c r="A2790" t="s">
        <v>736</v>
      </c>
      <c r="B2790" t="s">
        <v>2137</v>
      </c>
      <c r="C2790">
        <v>6</v>
      </c>
      <c r="D2790">
        <v>86</v>
      </c>
      <c r="E2790">
        <f>IF(OR(B2790="vi",B2790="ii",B2790="pod"),(((D2790/100)*(C2790*VLOOKUP(B2790,'Poids des runes'!A:B,2,FALSE)))+1),(((D2790/100)*(C2790*VLOOKUP(B2790,'Poids des runes'!A:B,2,FALSE)))+1)/VLOOKUP(B2790,'Poids des runes'!A:B,2,FALSE))</f>
        <v>5.66</v>
      </c>
      <c r="F2790">
        <f t="shared" si="43"/>
        <v>5.66</v>
      </c>
    </row>
    <row r="2791" spans="1:6" x14ac:dyDescent="0.3">
      <c r="A2791" t="s">
        <v>736</v>
      </c>
      <c r="B2791" t="s">
        <v>2145</v>
      </c>
      <c r="C2791">
        <v>6</v>
      </c>
      <c r="D2791">
        <v>86</v>
      </c>
      <c r="E2791">
        <f>IF(OR(B2791="vi",B2791="ii",B2791="pod"),(((D2791/100)*(C2791*VLOOKUP(B2791,'Poids des runes'!A:B,2,FALSE)))+1),(((D2791/100)*(C2791*VLOOKUP(B2791,'Poids des runes'!A:B,2,FALSE)))+1)/VLOOKUP(B2791,'Poids des runes'!A:B,2,FALSE))</f>
        <v>5.66</v>
      </c>
      <c r="F2791">
        <f t="shared" si="43"/>
        <v>5.66</v>
      </c>
    </row>
    <row r="2792" spans="1:6" x14ac:dyDescent="0.3">
      <c r="A2792" t="s">
        <v>737</v>
      </c>
      <c r="B2792" t="s">
        <v>2128</v>
      </c>
      <c r="C2792">
        <v>40.5</v>
      </c>
      <c r="D2792">
        <v>86</v>
      </c>
      <c r="E2792">
        <f>IF(OR(B2792="vi",B2792="ii",B2792="pod"),(((D2792/100)*(C2792*VLOOKUP(B2792,'Poids des runes'!A:B,2,FALSE)))+1),(((D2792/100)*(C2792*VLOOKUP(B2792,'Poids des runes'!A:B,2,FALSE)))+1)/VLOOKUP(B2792,'Poids des runes'!A:B,2,FALSE))</f>
        <v>7.9659999999999993</v>
      </c>
      <c r="F2792">
        <f t="shared" si="43"/>
        <v>7.9659999999999993</v>
      </c>
    </row>
    <row r="2793" spans="1:6" x14ac:dyDescent="0.3">
      <c r="A2793" t="s">
        <v>737</v>
      </c>
      <c r="B2793" t="s">
        <v>2126</v>
      </c>
      <c r="C2793">
        <v>25.5</v>
      </c>
      <c r="D2793">
        <v>86</v>
      </c>
      <c r="E2793">
        <f>IF(OR(B2793="vi",B2793="ii",B2793="pod"),(((D2793/100)*(C2793*VLOOKUP(B2793,'Poids des runes'!A:B,2,FALSE)))+1),(((D2793/100)*(C2793*VLOOKUP(B2793,'Poids des runes'!A:B,2,FALSE)))+1)/VLOOKUP(B2793,'Poids des runes'!A:B,2,FALSE))</f>
        <v>22.93</v>
      </c>
      <c r="F2793">
        <f t="shared" si="43"/>
        <v>22.93</v>
      </c>
    </row>
    <row r="2794" spans="1:6" x14ac:dyDescent="0.3">
      <c r="A2794" t="s">
        <v>737</v>
      </c>
      <c r="B2794" t="s">
        <v>2129</v>
      </c>
      <c r="C2794">
        <v>20.5</v>
      </c>
      <c r="D2794">
        <v>86</v>
      </c>
      <c r="E2794">
        <f>IF(OR(B2794="vi",B2794="ii",B2794="pod"),(((D2794/100)*(C2794*VLOOKUP(B2794,'Poids des runes'!A:B,2,FALSE)))+1),(((D2794/100)*(C2794*VLOOKUP(B2794,'Poids des runes'!A:B,2,FALSE)))+1)/VLOOKUP(B2794,'Poids des runes'!A:B,2,FALSE))</f>
        <v>18.63</v>
      </c>
      <c r="F2794">
        <f t="shared" si="43"/>
        <v>18.63</v>
      </c>
    </row>
    <row r="2795" spans="1:6" x14ac:dyDescent="0.3">
      <c r="A2795" t="s">
        <v>737</v>
      </c>
      <c r="B2795" t="s">
        <v>2152</v>
      </c>
      <c r="C2795">
        <v>1</v>
      </c>
      <c r="D2795">
        <v>86</v>
      </c>
      <c r="E2795">
        <f>IF(OR(B2795="vi",B2795="ii",B2795="pod"),(((D2795/100)*(C2795*VLOOKUP(B2795,'Poids des runes'!A:B,2,FALSE)))+1),(((D2795/100)*(C2795*VLOOKUP(B2795,'Poids des runes'!A:B,2,FALSE)))+1)/VLOOKUP(B2795,'Poids des runes'!A:B,2,FALSE))</f>
        <v>0.87</v>
      </c>
      <c r="F2795">
        <f t="shared" si="43"/>
        <v>0.87</v>
      </c>
    </row>
    <row r="2796" spans="1:6" x14ac:dyDescent="0.3">
      <c r="A2796" t="s">
        <v>737</v>
      </c>
      <c r="B2796" t="s">
        <v>2140</v>
      </c>
      <c r="C2796">
        <v>8.5</v>
      </c>
      <c r="D2796">
        <v>86</v>
      </c>
      <c r="E2796">
        <f>IF(OR(B2796="vi",B2796="ii",B2796="pod"),(((D2796/100)*(C2796*VLOOKUP(B2796,'Poids des runes'!A:B,2,FALSE)))+1),(((D2796/100)*(C2796*VLOOKUP(B2796,'Poids des runes'!A:B,2,FALSE)))+1)/VLOOKUP(B2796,'Poids des runes'!A:B,2,FALSE))</f>
        <v>7.51</v>
      </c>
      <c r="F2796">
        <f t="shared" si="43"/>
        <v>7.51</v>
      </c>
    </row>
    <row r="2797" spans="1:6" x14ac:dyDescent="0.3">
      <c r="A2797" t="s">
        <v>737</v>
      </c>
      <c r="B2797" t="s">
        <v>2141</v>
      </c>
      <c r="C2797">
        <v>2.5</v>
      </c>
      <c r="D2797">
        <v>86</v>
      </c>
      <c r="E2797">
        <f>IF(OR(B2797="vi",B2797="ii",B2797="pod"),(((D2797/100)*(C2797*VLOOKUP(B2797,'Poids des runes'!A:B,2,FALSE)))+1),(((D2797/100)*(C2797*VLOOKUP(B2797,'Poids des runes'!A:B,2,FALSE)))+1)/VLOOKUP(B2797,'Poids des runes'!A:B,2,FALSE))</f>
        <v>2.4</v>
      </c>
      <c r="F2797">
        <f t="shared" si="43"/>
        <v>2.4</v>
      </c>
    </row>
    <row r="2798" spans="1:6" x14ac:dyDescent="0.3">
      <c r="A2798" t="s">
        <v>737</v>
      </c>
      <c r="B2798" t="s">
        <v>2163</v>
      </c>
      <c r="C2798">
        <v>7</v>
      </c>
      <c r="D2798">
        <v>86</v>
      </c>
      <c r="E2798">
        <f>IF(OR(B2798="vi",B2798="ii",B2798="pod"),(((D2798/100)*(C2798*VLOOKUP(B2798,'Poids des runes'!A:B,2,FALSE)))+1),(((D2798/100)*(C2798*VLOOKUP(B2798,'Poids des runes'!A:B,2,FALSE)))+1)/VLOOKUP(B2798,'Poids des runes'!A:B,2,FALSE))</f>
        <v>6.52</v>
      </c>
      <c r="F2798">
        <f t="shared" si="43"/>
        <v>6.52</v>
      </c>
    </row>
    <row r="2799" spans="1:6" x14ac:dyDescent="0.3">
      <c r="A2799" t="s">
        <v>737</v>
      </c>
      <c r="B2799" t="s">
        <v>2136</v>
      </c>
      <c r="C2799">
        <v>7</v>
      </c>
      <c r="D2799">
        <v>86</v>
      </c>
      <c r="E2799">
        <f>IF(OR(B2799="vi",B2799="ii",B2799="pod"),(((D2799/100)*(C2799*VLOOKUP(B2799,'Poids des runes'!A:B,2,FALSE)))+1),(((D2799/100)*(C2799*VLOOKUP(B2799,'Poids des runes'!A:B,2,FALSE)))+1)/VLOOKUP(B2799,'Poids des runes'!A:B,2,FALSE))</f>
        <v>6.52</v>
      </c>
      <c r="F2799">
        <f t="shared" si="43"/>
        <v>6.52</v>
      </c>
    </row>
    <row r="2800" spans="1:6" x14ac:dyDescent="0.3">
      <c r="A2800" t="s">
        <v>737</v>
      </c>
      <c r="B2800" t="s">
        <v>2146</v>
      </c>
      <c r="C2800">
        <v>7</v>
      </c>
      <c r="D2800">
        <v>86</v>
      </c>
      <c r="E2800">
        <f>IF(OR(B2800="vi",B2800="ii",B2800="pod"),(((D2800/100)*(C2800*VLOOKUP(B2800,'Poids des runes'!A:B,2,FALSE)))+1),(((D2800/100)*(C2800*VLOOKUP(B2800,'Poids des runes'!A:B,2,FALSE)))+1)/VLOOKUP(B2800,'Poids des runes'!A:B,2,FALSE))</f>
        <v>6.52</v>
      </c>
      <c r="F2800">
        <f t="shared" si="43"/>
        <v>6.52</v>
      </c>
    </row>
    <row r="2801" spans="1:6" x14ac:dyDescent="0.3">
      <c r="A2801" t="s">
        <v>738</v>
      </c>
      <c r="B2801" t="s">
        <v>2128</v>
      </c>
      <c r="C2801">
        <v>45.5</v>
      </c>
      <c r="D2801">
        <v>87</v>
      </c>
      <c r="E2801">
        <f>IF(OR(B2801="vi",B2801="ii",B2801="pod"),(((D2801/100)*(C2801*VLOOKUP(B2801,'Poids des runes'!A:B,2,FALSE)))+1),(((D2801/100)*(C2801*VLOOKUP(B2801,'Poids des runes'!A:B,2,FALSE)))+1)/VLOOKUP(B2801,'Poids des runes'!A:B,2,FALSE))</f>
        <v>8.9169999999999998</v>
      </c>
      <c r="F2801">
        <f t="shared" si="43"/>
        <v>8.9169999999999998</v>
      </c>
    </row>
    <row r="2802" spans="1:6" x14ac:dyDescent="0.3">
      <c r="A2802" t="s">
        <v>738</v>
      </c>
      <c r="B2802" t="s">
        <v>2130</v>
      </c>
      <c r="C2802">
        <v>25.5</v>
      </c>
      <c r="D2802">
        <v>87</v>
      </c>
      <c r="E2802">
        <f>IF(OR(B2802="vi",B2802="ii",B2802="pod"),(((D2802/100)*(C2802*VLOOKUP(B2802,'Poids des runes'!A:B,2,FALSE)))+1),(((D2802/100)*(C2802*VLOOKUP(B2802,'Poids des runes'!A:B,2,FALSE)))+1)/VLOOKUP(B2802,'Poids des runes'!A:B,2,FALSE))</f>
        <v>23.184999999999999</v>
      </c>
      <c r="F2802">
        <f t="shared" si="43"/>
        <v>23.184999999999999</v>
      </c>
    </row>
    <row r="2803" spans="1:6" x14ac:dyDescent="0.3">
      <c r="A2803" t="s">
        <v>738</v>
      </c>
      <c r="B2803" t="s">
        <v>2129</v>
      </c>
      <c r="C2803">
        <v>20.5</v>
      </c>
      <c r="D2803">
        <v>87</v>
      </c>
      <c r="E2803">
        <f>IF(OR(B2803="vi",B2803="ii",B2803="pod"),(((D2803/100)*(C2803*VLOOKUP(B2803,'Poids des runes'!A:B,2,FALSE)))+1),(((D2803/100)*(C2803*VLOOKUP(B2803,'Poids des runes'!A:B,2,FALSE)))+1)/VLOOKUP(B2803,'Poids des runes'!A:B,2,FALSE))</f>
        <v>18.835000000000001</v>
      </c>
      <c r="F2803">
        <f t="shared" si="43"/>
        <v>18.835000000000001</v>
      </c>
    </row>
    <row r="2804" spans="1:6" x14ac:dyDescent="0.3">
      <c r="A2804" t="s">
        <v>738</v>
      </c>
      <c r="B2804" t="s">
        <v>2139</v>
      </c>
      <c r="C2804">
        <v>4.5</v>
      </c>
      <c r="D2804">
        <v>87</v>
      </c>
      <c r="E2804">
        <f>IF(OR(B2804="vi",B2804="ii",B2804="pod"),(((D2804/100)*(C2804*VLOOKUP(B2804,'Poids des runes'!A:B,2,FALSE)))+1),(((D2804/100)*(C2804*VLOOKUP(B2804,'Poids des runes'!A:B,2,FALSE)))+1)/VLOOKUP(B2804,'Poids des runes'!A:B,2,FALSE))</f>
        <v>4.415</v>
      </c>
      <c r="F2804">
        <f t="shared" si="43"/>
        <v>4.415</v>
      </c>
    </row>
    <row r="2805" spans="1:6" x14ac:dyDescent="0.3">
      <c r="A2805" t="s">
        <v>738</v>
      </c>
      <c r="B2805" t="s">
        <v>2151</v>
      </c>
      <c r="C2805">
        <v>2.5</v>
      </c>
      <c r="D2805">
        <v>87</v>
      </c>
      <c r="E2805">
        <f>IF(OR(B2805="vi",B2805="ii",B2805="pod"),(((D2805/100)*(C2805*VLOOKUP(B2805,'Poids des runes'!A:B,2,FALSE)))+1),(((D2805/100)*(C2805*VLOOKUP(B2805,'Poids des runes'!A:B,2,FALSE)))+1)/VLOOKUP(B2805,'Poids des runes'!A:B,2,FALSE))</f>
        <v>2.2749999999999999</v>
      </c>
      <c r="F2805">
        <f t="shared" si="43"/>
        <v>2.2749999999999999</v>
      </c>
    </row>
    <row r="2806" spans="1:6" x14ac:dyDescent="0.3">
      <c r="A2806" t="s">
        <v>738</v>
      </c>
      <c r="B2806" t="s">
        <v>2134</v>
      </c>
      <c r="C2806">
        <v>2.5</v>
      </c>
      <c r="D2806">
        <v>87</v>
      </c>
      <c r="E2806">
        <f>IF(OR(B2806="vi",B2806="ii",B2806="pod"),(((D2806/100)*(C2806*VLOOKUP(B2806,'Poids des runes'!A:B,2,FALSE)))+1),(((D2806/100)*(C2806*VLOOKUP(B2806,'Poids des runes'!A:B,2,FALSE)))+1)/VLOOKUP(B2806,'Poids des runes'!A:B,2,FALSE))</f>
        <v>2.2250000000000001</v>
      </c>
      <c r="F2806">
        <f t="shared" si="43"/>
        <v>2.2250000000000001</v>
      </c>
    </row>
    <row r="2807" spans="1:6" x14ac:dyDescent="0.3">
      <c r="A2807" t="s">
        <v>738</v>
      </c>
      <c r="B2807" t="s">
        <v>2161</v>
      </c>
      <c r="C2807">
        <v>8.5</v>
      </c>
      <c r="D2807">
        <v>87</v>
      </c>
      <c r="E2807">
        <f>IF(OR(B2807="vi",B2807="ii",B2807="pod"),(((D2807/100)*(C2807*VLOOKUP(B2807,'Poids des runes'!A:B,2,FALSE)))+1),(((D2807/100)*(C2807*VLOOKUP(B2807,'Poids des runes'!A:B,2,FALSE)))+1)/VLOOKUP(B2807,'Poids des runes'!A:B,2,FALSE))</f>
        <v>7.7283333333333326</v>
      </c>
      <c r="F2807">
        <f t="shared" si="43"/>
        <v>7.7283333333333326</v>
      </c>
    </row>
    <row r="2808" spans="1:6" x14ac:dyDescent="0.3">
      <c r="A2808" t="s">
        <v>739</v>
      </c>
      <c r="B2808" t="s">
        <v>2128</v>
      </c>
      <c r="C2808">
        <v>50.5</v>
      </c>
      <c r="D2808">
        <v>87</v>
      </c>
      <c r="E2808">
        <f>IF(OR(B2808="vi",B2808="ii",B2808="pod"),(((D2808/100)*(C2808*VLOOKUP(B2808,'Poids des runes'!A:B,2,FALSE)))+1),(((D2808/100)*(C2808*VLOOKUP(B2808,'Poids des runes'!A:B,2,FALSE)))+1)/VLOOKUP(B2808,'Poids des runes'!A:B,2,FALSE))</f>
        <v>9.7870000000000008</v>
      </c>
      <c r="F2808">
        <f t="shared" si="43"/>
        <v>9.7870000000000008</v>
      </c>
    </row>
    <row r="2809" spans="1:6" x14ac:dyDescent="0.3">
      <c r="A2809" t="s">
        <v>739</v>
      </c>
      <c r="B2809" t="s">
        <v>2131</v>
      </c>
      <c r="C2809">
        <v>25.5</v>
      </c>
      <c r="D2809">
        <v>87</v>
      </c>
      <c r="E2809">
        <f>IF(OR(B2809="vi",B2809="ii",B2809="pod"),(((D2809/100)*(C2809*VLOOKUP(B2809,'Poids des runes'!A:B,2,FALSE)))+1),(((D2809/100)*(C2809*VLOOKUP(B2809,'Poids des runes'!A:B,2,FALSE)))+1)/VLOOKUP(B2809,'Poids des runes'!A:B,2,FALSE))</f>
        <v>23.184999999999999</v>
      </c>
      <c r="F2809">
        <f t="shared" si="43"/>
        <v>23.184999999999999</v>
      </c>
    </row>
    <row r="2810" spans="1:6" x14ac:dyDescent="0.3">
      <c r="A2810" t="s">
        <v>739</v>
      </c>
      <c r="B2810" t="s">
        <v>2127</v>
      </c>
      <c r="C2810">
        <v>25.5</v>
      </c>
      <c r="D2810">
        <v>87</v>
      </c>
      <c r="E2810">
        <f>IF(OR(B2810="vi",B2810="ii",B2810="pod"),(((D2810/100)*(C2810*VLOOKUP(B2810,'Poids des runes'!A:B,2,FALSE)))+1),(((D2810/100)*(C2810*VLOOKUP(B2810,'Poids des runes'!A:B,2,FALSE)))+1)/VLOOKUP(B2810,'Poids des runes'!A:B,2,FALSE))</f>
        <v>23.184999999999999</v>
      </c>
      <c r="F2810">
        <f t="shared" si="43"/>
        <v>23.184999999999999</v>
      </c>
    </row>
    <row r="2811" spans="1:6" x14ac:dyDescent="0.3">
      <c r="A2811" t="s">
        <v>739</v>
      </c>
      <c r="B2811" t="s">
        <v>2134</v>
      </c>
      <c r="C2811">
        <v>3.5</v>
      </c>
      <c r="D2811">
        <v>87</v>
      </c>
      <c r="E2811">
        <f>IF(OR(B2811="vi",B2811="ii",B2811="pod"),(((D2811/100)*(C2811*VLOOKUP(B2811,'Poids des runes'!A:B,2,FALSE)))+1),(((D2811/100)*(C2811*VLOOKUP(B2811,'Poids des runes'!A:B,2,FALSE)))+1)/VLOOKUP(B2811,'Poids des runes'!A:B,2,FALSE))</f>
        <v>3.0949999999999998</v>
      </c>
      <c r="F2811">
        <f t="shared" si="43"/>
        <v>3.0949999999999998</v>
      </c>
    </row>
    <row r="2812" spans="1:6" x14ac:dyDescent="0.3">
      <c r="A2812" t="s">
        <v>739</v>
      </c>
      <c r="B2812" t="s">
        <v>2161</v>
      </c>
      <c r="C2812">
        <v>8.5</v>
      </c>
      <c r="D2812">
        <v>87</v>
      </c>
      <c r="E2812">
        <f>IF(OR(B2812="vi",B2812="ii",B2812="pod"),(((D2812/100)*(C2812*VLOOKUP(B2812,'Poids des runes'!A:B,2,FALSE)))+1),(((D2812/100)*(C2812*VLOOKUP(B2812,'Poids des runes'!A:B,2,FALSE)))+1)/VLOOKUP(B2812,'Poids des runes'!A:B,2,FALSE))</f>
        <v>7.7283333333333326</v>
      </c>
      <c r="F2812">
        <f t="shared" si="43"/>
        <v>7.7283333333333326</v>
      </c>
    </row>
    <row r="2813" spans="1:6" x14ac:dyDescent="0.3">
      <c r="A2813" t="s">
        <v>739</v>
      </c>
      <c r="B2813" t="s">
        <v>2147</v>
      </c>
      <c r="C2813">
        <v>2.5</v>
      </c>
      <c r="D2813">
        <v>87</v>
      </c>
      <c r="E2813">
        <f>IF(OR(B2813="vi",B2813="ii",B2813="pod"),(((D2813/100)*(C2813*VLOOKUP(B2813,'Poids des runes'!A:B,2,FALSE)))+1),(((D2813/100)*(C2813*VLOOKUP(B2813,'Poids des runes'!A:B,2,FALSE)))+1)/VLOOKUP(B2813,'Poids des runes'!A:B,2,FALSE))</f>
        <v>2.3416666666666668</v>
      </c>
      <c r="F2813">
        <f t="shared" si="43"/>
        <v>2.3416666666666668</v>
      </c>
    </row>
    <row r="2814" spans="1:6" x14ac:dyDescent="0.3">
      <c r="A2814" t="s">
        <v>739</v>
      </c>
      <c r="B2814" t="s">
        <v>2157</v>
      </c>
      <c r="C2814">
        <v>2.5</v>
      </c>
      <c r="D2814">
        <v>87</v>
      </c>
      <c r="E2814">
        <f>IF(OR(B2814="vi",B2814="ii",B2814="pod"),(((D2814/100)*(C2814*VLOOKUP(B2814,'Poids des runes'!A:B,2,FALSE)))+1),(((D2814/100)*(C2814*VLOOKUP(B2814,'Poids des runes'!A:B,2,FALSE)))+1)/VLOOKUP(B2814,'Poids des runes'!A:B,2,FALSE))</f>
        <v>2.3416666666666668</v>
      </c>
      <c r="F2814">
        <f t="shared" si="43"/>
        <v>2.3416666666666668</v>
      </c>
    </row>
    <row r="2815" spans="1:6" x14ac:dyDescent="0.3">
      <c r="A2815" t="s">
        <v>740</v>
      </c>
      <c r="B2815" t="s">
        <v>2128</v>
      </c>
      <c r="C2815">
        <v>50.5</v>
      </c>
      <c r="D2815">
        <v>87</v>
      </c>
      <c r="E2815">
        <f>IF(OR(B2815="vi",B2815="ii",B2815="pod"),(((D2815/100)*(C2815*VLOOKUP(B2815,'Poids des runes'!A:B,2,FALSE)))+1),(((D2815/100)*(C2815*VLOOKUP(B2815,'Poids des runes'!A:B,2,FALSE)))+1)/VLOOKUP(B2815,'Poids des runes'!A:B,2,FALSE))</f>
        <v>9.7870000000000008</v>
      </c>
      <c r="F2815">
        <f t="shared" si="43"/>
        <v>9.7870000000000008</v>
      </c>
    </row>
    <row r="2816" spans="1:6" x14ac:dyDescent="0.3">
      <c r="A2816" t="s">
        <v>740</v>
      </c>
      <c r="B2816" t="s">
        <v>2129</v>
      </c>
      <c r="C2816">
        <v>13</v>
      </c>
      <c r="D2816">
        <v>87</v>
      </c>
      <c r="E2816">
        <f>IF(OR(B2816="vi",B2816="ii",B2816="pod"),(((D2816/100)*(C2816*VLOOKUP(B2816,'Poids des runes'!A:B,2,FALSE)))+1),(((D2816/100)*(C2816*VLOOKUP(B2816,'Poids des runes'!A:B,2,FALSE)))+1)/VLOOKUP(B2816,'Poids des runes'!A:B,2,FALSE))</f>
        <v>12.31</v>
      </c>
      <c r="F2816">
        <f t="shared" si="43"/>
        <v>12.31</v>
      </c>
    </row>
    <row r="2817" spans="1:6" x14ac:dyDescent="0.3">
      <c r="A2817" t="s">
        <v>740</v>
      </c>
      <c r="B2817" t="s">
        <v>2139</v>
      </c>
      <c r="C2817">
        <v>25.5</v>
      </c>
      <c r="D2817">
        <v>87</v>
      </c>
      <c r="E2817">
        <f>IF(OR(B2817="vi",B2817="ii",B2817="pod"),(((D2817/100)*(C2817*VLOOKUP(B2817,'Poids des runes'!A:B,2,FALSE)))+1),(((D2817/100)*(C2817*VLOOKUP(B2817,'Poids des runes'!A:B,2,FALSE)))+1)/VLOOKUP(B2817,'Poids des runes'!A:B,2,FALSE))</f>
        <v>22.684999999999999</v>
      </c>
      <c r="F2817">
        <f t="shared" si="43"/>
        <v>22.684999999999999</v>
      </c>
    </row>
    <row r="2818" spans="1:6" x14ac:dyDescent="0.3">
      <c r="A2818" t="s">
        <v>740</v>
      </c>
      <c r="B2818" t="s">
        <v>2151</v>
      </c>
      <c r="C2818">
        <v>3.5</v>
      </c>
      <c r="D2818">
        <v>87</v>
      </c>
      <c r="E2818">
        <f>IF(OR(B2818="vi",B2818="ii",B2818="pod"),(((D2818/100)*(C2818*VLOOKUP(B2818,'Poids des runes'!A:B,2,FALSE)))+1),(((D2818/100)*(C2818*VLOOKUP(B2818,'Poids des runes'!A:B,2,FALSE)))+1)/VLOOKUP(B2818,'Poids des runes'!A:B,2,FALSE))</f>
        <v>3.145</v>
      </c>
      <c r="F2818">
        <f t="shared" si="43"/>
        <v>3.145</v>
      </c>
    </row>
    <row r="2819" spans="1:6" x14ac:dyDescent="0.3">
      <c r="A2819" t="s">
        <v>740</v>
      </c>
      <c r="B2819" t="s">
        <v>2152</v>
      </c>
      <c r="C2819">
        <v>1</v>
      </c>
      <c r="D2819">
        <v>87</v>
      </c>
      <c r="E2819">
        <f>IF(OR(B2819="vi",B2819="ii",B2819="pod"),(((D2819/100)*(C2819*VLOOKUP(B2819,'Poids des runes'!A:B,2,FALSE)))+1),(((D2819/100)*(C2819*VLOOKUP(B2819,'Poids des runes'!A:B,2,FALSE)))+1)/VLOOKUP(B2819,'Poids des runes'!A:B,2,FALSE))</f>
        <v>0.88</v>
      </c>
      <c r="F2819">
        <f t="shared" ref="F2819:F2882" si="44">E2819</f>
        <v>0.88</v>
      </c>
    </row>
    <row r="2820" spans="1:6" x14ac:dyDescent="0.3">
      <c r="A2820" t="s">
        <v>740</v>
      </c>
      <c r="B2820" t="s">
        <v>2157</v>
      </c>
      <c r="C2820">
        <v>1.5</v>
      </c>
      <c r="D2820">
        <v>87</v>
      </c>
      <c r="E2820">
        <f>IF(OR(B2820="vi",B2820="ii",B2820="pod"),(((D2820/100)*(C2820*VLOOKUP(B2820,'Poids des runes'!A:B,2,FALSE)))+1),(((D2820/100)*(C2820*VLOOKUP(B2820,'Poids des runes'!A:B,2,FALSE)))+1)/VLOOKUP(B2820,'Poids des runes'!A:B,2,FALSE))</f>
        <v>1.4716666666666667</v>
      </c>
      <c r="F2820">
        <f t="shared" si="44"/>
        <v>1.4716666666666667</v>
      </c>
    </row>
    <row r="2821" spans="1:6" x14ac:dyDescent="0.3">
      <c r="A2821" t="s">
        <v>741</v>
      </c>
      <c r="B2821" t="s">
        <v>2128</v>
      </c>
      <c r="C2821">
        <v>40.5</v>
      </c>
      <c r="D2821">
        <v>88</v>
      </c>
      <c r="E2821">
        <f>IF(OR(B2821="vi",B2821="ii",B2821="pod"),(((D2821/100)*(C2821*VLOOKUP(B2821,'Poids des runes'!A:B,2,FALSE)))+1),(((D2821/100)*(C2821*VLOOKUP(B2821,'Poids des runes'!A:B,2,FALSE)))+1)/VLOOKUP(B2821,'Poids des runes'!A:B,2,FALSE))</f>
        <v>8.1280000000000001</v>
      </c>
      <c r="F2821">
        <f t="shared" si="44"/>
        <v>8.1280000000000001</v>
      </c>
    </row>
    <row r="2822" spans="1:6" x14ac:dyDescent="0.3">
      <c r="A2822" t="s">
        <v>741</v>
      </c>
      <c r="B2822" t="s">
        <v>2130</v>
      </c>
      <c r="C2822">
        <v>40.5</v>
      </c>
      <c r="D2822">
        <v>88</v>
      </c>
      <c r="E2822">
        <f>IF(OR(B2822="vi",B2822="ii",B2822="pod"),(((D2822/100)*(C2822*VLOOKUP(B2822,'Poids des runes'!A:B,2,FALSE)))+1),(((D2822/100)*(C2822*VLOOKUP(B2822,'Poids des runes'!A:B,2,FALSE)))+1)/VLOOKUP(B2822,'Poids des runes'!A:B,2,FALSE))</f>
        <v>36.64</v>
      </c>
      <c r="F2822">
        <f t="shared" si="44"/>
        <v>36.64</v>
      </c>
    </row>
    <row r="2823" spans="1:6" x14ac:dyDescent="0.3">
      <c r="A2823" t="s">
        <v>741</v>
      </c>
      <c r="B2823" t="s">
        <v>2150</v>
      </c>
      <c r="C2823">
        <v>2.5</v>
      </c>
      <c r="D2823">
        <v>88</v>
      </c>
      <c r="E2823">
        <f>IF(OR(B2823="vi",B2823="ii",B2823="pod"),(((D2823/100)*(C2823*VLOOKUP(B2823,'Poids des runes'!A:B,2,FALSE)))+1),(((D2823/100)*(C2823*VLOOKUP(B2823,'Poids des runes'!A:B,2,FALSE)))+1)/VLOOKUP(B2823,'Poids des runes'!A:B,2,FALSE))</f>
        <v>2.2333333333333334</v>
      </c>
      <c r="F2823">
        <f t="shared" si="44"/>
        <v>2.2333333333333334</v>
      </c>
    </row>
    <row r="2824" spans="1:6" x14ac:dyDescent="0.3">
      <c r="A2824" t="s">
        <v>741</v>
      </c>
      <c r="B2824" t="s">
        <v>2134</v>
      </c>
      <c r="C2824">
        <v>4.5</v>
      </c>
      <c r="D2824">
        <v>88</v>
      </c>
      <c r="E2824">
        <f>IF(OR(B2824="vi",B2824="ii",B2824="pod"),(((D2824/100)*(C2824*VLOOKUP(B2824,'Poids des runes'!A:B,2,FALSE)))+1),(((D2824/100)*(C2824*VLOOKUP(B2824,'Poids des runes'!A:B,2,FALSE)))+1)/VLOOKUP(B2824,'Poids des runes'!A:B,2,FALSE))</f>
        <v>4.01</v>
      </c>
      <c r="F2824">
        <f t="shared" si="44"/>
        <v>4.01</v>
      </c>
    </row>
    <row r="2825" spans="1:6" x14ac:dyDescent="0.3">
      <c r="A2825" t="s">
        <v>741</v>
      </c>
      <c r="B2825" t="s">
        <v>2156</v>
      </c>
      <c r="C2825">
        <v>8</v>
      </c>
      <c r="D2825">
        <v>88</v>
      </c>
      <c r="E2825">
        <f>IF(OR(B2825="vi",B2825="ii",B2825="pod"),(((D2825/100)*(C2825*VLOOKUP(B2825,'Poids des runes'!A:B,2,FALSE)))+1),(((D2825/100)*(C2825*VLOOKUP(B2825,'Poids des runes'!A:B,2,FALSE)))+1)/VLOOKUP(B2825,'Poids des runes'!A:B,2,FALSE))</f>
        <v>7.206666666666667</v>
      </c>
      <c r="F2825">
        <f t="shared" si="44"/>
        <v>7.206666666666667</v>
      </c>
    </row>
    <row r="2826" spans="1:6" x14ac:dyDescent="0.3">
      <c r="A2826" t="s">
        <v>741</v>
      </c>
      <c r="B2826" t="s">
        <v>2147</v>
      </c>
      <c r="C2826">
        <v>8</v>
      </c>
      <c r="D2826">
        <v>88</v>
      </c>
      <c r="E2826">
        <f>IF(OR(B2826="vi",B2826="ii",B2826="pod"),(((D2826/100)*(C2826*VLOOKUP(B2826,'Poids des runes'!A:B,2,FALSE)))+1),(((D2826/100)*(C2826*VLOOKUP(B2826,'Poids des runes'!A:B,2,FALSE)))+1)/VLOOKUP(B2826,'Poids des runes'!A:B,2,FALSE))</f>
        <v>7.206666666666667</v>
      </c>
      <c r="F2826">
        <f t="shared" si="44"/>
        <v>7.206666666666667</v>
      </c>
    </row>
    <row r="2827" spans="1:6" x14ac:dyDescent="0.3">
      <c r="A2827" t="s">
        <v>742</v>
      </c>
      <c r="B2827" t="s">
        <v>2128</v>
      </c>
      <c r="C2827">
        <v>125.5</v>
      </c>
      <c r="D2827">
        <v>88</v>
      </c>
      <c r="E2827">
        <f>IF(OR(B2827="vi",B2827="ii",B2827="pod"),(((D2827/100)*(C2827*VLOOKUP(B2827,'Poids des runes'!A:B,2,FALSE)))+1),(((D2827/100)*(C2827*VLOOKUP(B2827,'Poids des runes'!A:B,2,FALSE)))+1)/VLOOKUP(B2827,'Poids des runes'!A:B,2,FALSE))</f>
        <v>23.088000000000001</v>
      </c>
      <c r="F2827">
        <f t="shared" si="44"/>
        <v>23.088000000000001</v>
      </c>
    </row>
    <row r="2828" spans="1:6" x14ac:dyDescent="0.3">
      <c r="A2828" t="s">
        <v>742</v>
      </c>
      <c r="B2828" t="s">
        <v>2129</v>
      </c>
      <c r="C2828">
        <v>18</v>
      </c>
      <c r="D2828">
        <v>88</v>
      </c>
      <c r="E2828">
        <f>IF(OR(B2828="vi",B2828="ii",B2828="pod"),(((D2828/100)*(C2828*VLOOKUP(B2828,'Poids des runes'!A:B,2,FALSE)))+1),(((D2828/100)*(C2828*VLOOKUP(B2828,'Poids des runes'!A:B,2,FALSE)))+1)/VLOOKUP(B2828,'Poids des runes'!A:B,2,FALSE))</f>
        <v>16.84</v>
      </c>
      <c r="F2828">
        <f t="shared" si="44"/>
        <v>16.84</v>
      </c>
    </row>
    <row r="2829" spans="1:6" x14ac:dyDescent="0.3">
      <c r="A2829" t="s">
        <v>742</v>
      </c>
      <c r="B2829" t="s">
        <v>2139</v>
      </c>
      <c r="C2829">
        <v>18</v>
      </c>
      <c r="D2829">
        <v>88</v>
      </c>
      <c r="E2829">
        <f>IF(OR(B2829="vi",B2829="ii",B2829="pod"),(((D2829/100)*(C2829*VLOOKUP(B2829,'Poids des runes'!A:B,2,FALSE)))+1),(((D2829/100)*(C2829*VLOOKUP(B2829,'Poids des runes'!A:B,2,FALSE)))+1)/VLOOKUP(B2829,'Poids des runes'!A:B,2,FALSE))</f>
        <v>16.34</v>
      </c>
      <c r="F2829">
        <f t="shared" si="44"/>
        <v>16.34</v>
      </c>
    </row>
    <row r="2830" spans="1:6" x14ac:dyDescent="0.3">
      <c r="A2830" t="s">
        <v>742</v>
      </c>
      <c r="B2830" t="s">
        <v>2141</v>
      </c>
      <c r="C2830">
        <v>4.5</v>
      </c>
      <c r="D2830">
        <v>88</v>
      </c>
      <c r="E2830">
        <f>IF(OR(B2830="vi",B2830="ii",B2830="pod"),(((D2830/100)*(C2830*VLOOKUP(B2830,'Poids des runes'!A:B,2,FALSE)))+1),(((D2830/100)*(C2830*VLOOKUP(B2830,'Poids des runes'!A:B,2,FALSE)))+1)/VLOOKUP(B2830,'Poids des runes'!A:B,2,FALSE))</f>
        <v>4.21</v>
      </c>
      <c r="F2830">
        <f t="shared" si="44"/>
        <v>4.21</v>
      </c>
    </row>
    <row r="2831" spans="1:6" x14ac:dyDescent="0.3">
      <c r="A2831" t="s">
        <v>742</v>
      </c>
      <c r="B2831" t="s">
        <v>2156</v>
      </c>
      <c r="C2831">
        <v>2.5</v>
      </c>
      <c r="D2831">
        <v>88</v>
      </c>
      <c r="E2831">
        <f>IF(OR(B2831="vi",B2831="ii",B2831="pod"),(((D2831/100)*(C2831*VLOOKUP(B2831,'Poids des runes'!A:B,2,FALSE)))+1),(((D2831/100)*(C2831*VLOOKUP(B2831,'Poids des runes'!A:B,2,FALSE)))+1)/VLOOKUP(B2831,'Poids des runes'!A:B,2,FALSE))</f>
        <v>2.3666666666666667</v>
      </c>
      <c r="F2831">
        <f t="shared" si="44"/>
        <v>2.3666666666666667</v>
      </c>
    </row>
    <row r="2832" spans="1:6" x14ac:dyDescent="0.3">
      <c r="A2832" t="s">
        <v>742</v>
      </c>
      <c r="B2832" t="s">
        <v>2148</v>
      </c>
      <c r="C2832">
        <v>2.5</v>
      </c>
      <c r="D2832">
        <v>88</v>
      </c>
      <c r="E2832">
        <f>IF(OR(B2832="vi",B2832="ii",B2832="pod"),(((D2832/100)*(C2832*VLOOKUP(B2832,'Poids des runes'!A:B,2,FALSE)))+1),(((D2832/100)*(C2832*VLOOKUP(B2832,'Poids des runes'!A:B,2,FALSE)))+1)/VLOOKUP(B2832,'Poids des runes'!A:B,2,FALSE))</f>
        <v>2.3666666666666667</v>
      </c>
      <c r="F2832">
        <f t="shared" si="44"/>
        <v>2.3666666666666667</v>
      </c>
    </row>
    <row r="2833" spans="1:6" x14ac:dyDescent="0.3">
      <c r="A2833" t="s">
        <v>742</v>
      </c>
      <c r="B2833" t="s">
        <v>2147</v>
      </c>
      <c r="C2833">
        <v>2.5</v>
      </c>
      <c r="D2833">
        <v>88</v>
      </c>
      <c r="E2833">
        <f>IF(OR(B2833="vi",B2833="ii",B2833="pod"),(((D2833/100)*(C2833*VLOOKUP(B2833,'Poids des runes'!A:B,2,FALSE)))+1),(((D2833/100)*(C2833*VLOOKUP(B2833,'Poids des runes'!A:B,2,FALSE)))+1)/VLOOKUP(B2833,'Poids des runes'!A:B,2,FALSE))</f>
        <v>2.3666666666666667</v>
      </c>
      <c r="F2833">
        <f t="shared" si="44"/>
        <v>2.3666666666666667</v>
      </c>
    </row>
    <row r="2834" spans="1:6" x14ac:dyDescent="0.3">
      <c r="A2834" t="s">
        <v>743</v>
      </c>
      <c r="B2834" t="s">
        <v>2128</v>
      </c>
      <c r="C2834">
        <v>50.5</v>
      </c>
      <c r="D2834">
        <v>89</v>
      </c>
      <c r="E2834">
        <f>IF(OR(B2834="vi",B2834="ii",B2834="pod"),(((D2834/100)*(C2834*VLOOKUP(B2834,'Poids des runes'!A:B,2,FALSE)))+1),(((D2834/100)*(C2834*VLOOKUP(B2834,'Poids des runes'!A:B,2,FALSE)))+1)/VLOOKUP(B2834,'Poids des runes'!A:B,2,FALSE))</f>
        <v>9.9890000000000008</v>
      </c>
      <c r="F2834">
        <f t="shared" si="44"/>
        <v>9.9890000000000008</v>
      </c>
    </row>
    <row r="2835" spans="1:6" x14ac:dyDescent="0.3">
      <c r="A2835" t="s">
        <v>743</v>
      </c>
      <c r="B2835" t="s">
        <v>2131</v>
      </c>
      <c r="C2835">
        <v>45.5</v>
      </c>
      <c r="D2835">
        <v>89</v>
      </c>
      <c r="E2835">
        <f>IF(OR(B2835="vi",B2835="ii",B2835="pod"),(((D2835/100)*(C2835*VLOOKUP(B2835,'Poids des runes'!A:B,2,FALSE)))+1),(((D2835/100)*(C2835*VLOOKUP(B2835,'Poids des runes'!A:B,2,FALSE)))+1)/VLOOKUP(B2835,'Poids des runes'!A:B,2,FALSE))</f>
        <v>41.494999999999997</v>
      </c>
      <c r="F2835">
        <f t="shared" si="44"/>
        <v>41.494999999999997</v>
      </c>
    </row>
    <row r="2836" spans="1:6" x14ac:dyDescent="0.3">
      <c r="A2836" t="s">
        <v>743</v>
      </c>
      <c r="B2836" t="s">
        <v>2127</v>
      </c>
      <c r="C2836">
        <v>45.5</v>
      </c>
      <c r="D2836">
        <v>89</v>
      </c>
      <c r="E2836">
        <f>IF(OR(B2836="vi",B2836="ii",B2836="pod"),(((D2836/100)*(C2836*VLOOKUP(B2836,'Poids des runes'!A:B,2,FALSE)))+1),(((D2836/100)*(C2836*VLOOKUP(B2836,'Poids des runes'!A:B,2,FALSE)))+1)/VLOOKUP(B2836,'Poids des runes'!A:B,2,FALSE))</f>
        <v>41.494999999999997</v>
      </c>
      <c r="F2836">
        <f t="shared" si="44"/>
        <v>41.494999999999997</v>
      </c>
    </row>
    <row r="2837" spans="1:6" x14ac:dyDescent="0.3">
      <c r="A2837" t="s">
        <v>743</v>
      </c>
      <c r="B2837" t="s">
        <v>2151</v>
      </c>
      <c r="C2837">
        <v>8</v>
      </c>
      <c r="D2837">
        <v>89</v>
      </c>
      <c r="E2837">
        <f>IF(OR(B2837="vi",B2837="ii",B2837="pod"),(((D2837/100)*(C2837*VLOOKUP(B2837,'Poids des runes'!A:B,2,FALSE)))+1),(((D2837/100)*(C2837*VLOOKUP(B2837,'Poids des runes'!A:B,2,FALSE)))+1)/VLOOKUP(B2837,'Poids des runes'!A:B,2,FALSE))</f>
        <v>7.2200000000000006</v>
      </c>
      <c r="F2837">
        <f t="shared" si="44"/>
        <v>7.2200000000000006</v>
      </c>
    </row>
    <row r="2838" spans="1:6" x14ac:dyDescent="0.3">
      <c r="A2838" t="s">
        <v>743</v>
      </c>
      <c r="B2838" t="s">
        <v>2155</v>
      </c>
      <c r="C2838">
        <v>2</v>
      </c>
      <c r="D2838">
        <v>89</v>
      </c>
      <c r="E2838">
        <f>IF(OR(B2838="vi",B2838="ii",B2838="pod"),(((D2838/100)*(C2838*VLOOKUP(B2838,'Poids des runes'!A:B,2,FALSE)))+1),(((D2838/100)*(C2838*VLOOKUP(B2838,'Poids des runes'!A:B,2,FALSE)))+1)/VLOOKUP(B2838,'Poids des runes'!A:B,2,FALSE))</f>
        <v>1.7996078431372549</v>
      </c>
      <c r="F2838">
        <f t="shared" si="44"/>
        <v>1.7996078431372549</v>
      </c>
    </row>
    <row r="2839" spans="1:6" x14ac:dyDescent="0.3">
      <c r="A2839" t="s">
        <v>743</v>
      </c>
      <c r="B2839" t="s">
        <v>2161</v>
      </c>
      <c r="C2839">
        <v>13</v>
      </c>
      <c r="D2839">
        <v>89</v>
      </c>
      <c r="E2839">
        <f>IF(OR(B2839="vi",B2839="ii",B2839="pod"),(((D2839/100)*(C2839*VLOOKUP(B2839,'Poids des runes'!A:B,2,FALSE)))+1),(((D2839/100)*(C2839*VLOOKUP(B2839,'Poids des runes'!A:B,2,FALSE)))+1)/VLOOKUP(B2839,'Poids des runes'!A:B,2,FALSE))</f>
        <v>11.903333333333334</v>
      </c>
      <c r="F2839">
        <f t="shared" si="44"/>
        <v>11.903333333333334</v>
      </c>
    </row>
    <row r="2840" spans="1:6" x14ac:dyDescent="0.3">
      <c r="A2840" t="s">
        <v>744</v>
      </c>
      <c r="B2840" t="s">
        <v>2128</v>
      </c>
      <c r="C2840">
        <v>125.5</v>
      </c>
      <c r="D2840">
        <v>90</v>
      </c>
      <c r="E2840">
        <f>IF(OR(B2840="vi",B2840="ii",B2840="pod"),(((D2840/100)*(C2840*VLOOKUP(B2840,'Poids des runes'!A:B,2,FALSE)))+1),(((D2840/100)*(C2840*VLOOKUP(B2840,'Poids des runes'!A:B,2,FALSE)))+1)/VLOOKUP(B2840,'Poids des runes'!A:B,2,FALSE))</f>
        <v>23.590000000000003</v>
      </c>
      <c r="F2840">
        <f t="shared" si="44"/>
        <v>23.590000000000003</v>
      </c>
    </row>
    <row r="2841" spans="1:6" x14ac:dyDescent="0.3">
      <c r="A2841" t="s">
        <v>744</v>
      </c>
      <c r="B2841" t="s">
        <v>2129</v>
      </c>
      <c r="C2841">
        <v>23</v>
      </c>
      <c r="D2841">
        <v>90</v>
      </c>
      <c r="E2841">
        <f>IF(OR(B2841="vi",B2841="ii",B2841="pod"),(((D2841/100)*(C2841*VLOOKUP(B2841,'Poids des runes'!A:B,2,FALSE)))+1),(((D2841/100)*(C2841*VLOOKUP(B2841,'Poids des runes'!A:B,2,FALSE)))+1)/VLOOKUP(B2841,'Poids des runes'!A:B,2,FALSE))</f>
        <v>21.7</v>
      </c>
      <c r="F2841">
        <f t="shared" si="44"/>
        <v>21.7</v>
      </c>
    </row>
    <row r="2842" spans="1:6" x14ac:dyDescent="0.3">
      <c r="A2842" t="s">
        <v>744</v>
      </c>
      <c r="B2842" t="s">
        <v>2139</v>
      </c>
      <c r="C2842">
        <v>18</v>
      </c>
      <c r="D2842">
        <v>90</v>
      </c>
      <c r="E2842">
        <f>IF(OR(B2842="vi",B2842="ii",B2842="pod"),(((D2842/100)*(C2842*VLOOKUP(B2842,'Poids des runes'!A:B,2,FALSE)))+1),(((D2842/100)*(C2842*VLOOKUP(B2842,'Poids des runes'!A:B,2,FALSE)))+1)/VLOOKUP(B2842,'Poids des runes'!A:B,2,FALSE))</f>
        <v>16.7</v>
      </c>
      <c r="F2842">
        <f t="shared" si="44"/>
        <v>16.7</v>
      </c>
    </row>
    <row r="2843" spans="1:6" x14ac:dyDescent="0.3">
      <c r="A2843" t="s">
        <v>744</v>
      </c>
      <c r="B2843" t="s">
        <v>2132</v>
      </c>
      <c r="C2843">
        <v>250.5</v>
      </c>
      <c r="D2843">
        <v>90</v>
      </c>
      <c r="E2843">
        <f>IF(OR(B2843="vi",B2843="ii",B2843="pod"),(((D2843/100)*(C2843*VLOOKUP(B2843,'Poids des runes'!A:B,2,FALSE)))+1),(((D2843/100)*(C2843*VLOOKUP(B2843,'Poids des runes'!A:B,2,FALSE)))+1)/VLOOKUP(B2843,'Poids des runes'!A:B,2,FALSE))</f>
        <v>23.545000000000002</v>
      </c>
      <c r="F2843">
        <f t="shared" si="44"/>
        <v>23.545000000000002</v>
      </c>
    </row>
    <row r="2844" spans="1:6" x14ac:dyDescent="0.3">
      <c r="A2844" t="s">
        <v>744</v>
      </c>
      <c r="B2844" t="s">
        <v>2141</v>
      </c>
      <c r="C2844">
        <v>4.5</v>
      </c>
      <c r="D2844">
        <v>90</v>
      </c>
      <c r="E2844">
        <f>IF(OR(B2844="vi",B2844="ii",B2844="pod"),(((D2844/100)*(C2844*VLOOKUP(B2844,'Poids des runes'!A:B,2,FALSE)))+1),(((D2844/100)*(C2844*VLOOKUP(B2844,'Poids des runes'!A:B,2,FALSE)))+1)/VLOOKUP(B2844,'Poids des runes'!A:B,2,FALSE))</f>
        <v>4.3</v>
      </c>
      <c r="F2844">
        <f t="shared" si="44"/>
        <v>4.3</v>
      </c>
    </row>
    <row r="2845" spans="1:6" x14ac:dyDescent="0.3">
      <c r="A2845" t="s">
        <v>744</v>
      </c>
      <c r="B2845" t="s">
        <v>2162</v>
      </c>
      <c r="C2845">
        <v>6</v>
      </c>
      <c r="D2845">
        <v>90</v>
      </c>
      <c r="E2845">
        <f>IF(OR(B2845="vi",B2845="ii",B2845="pod"),(((D2845/100)*(C2845*VLOOKUP(B2845,'Poids des runes'!A:B,2,FALSE)))+1),(((D2845/100)*(C2845*VLOOKUP(B2845,'Poids des runes'!A:B,2,FALSE)))+1)/VLOOKUP(B2845,'Poids des runes'!A:B,2,FALSE))</f>
        <v>5.5428571428571436</v>
      </c>
      <c r="F2845">
        <f t="shared" si="44"/>
        <v>5.5428571428571436</v>
      </c>
    </row>
    <row r="2846" spans="1:6" x14ac:dyDescent="0.3">
      <c r="A2846" t="s">
        <v>744</v>
      </c>
      <c r="B2846" t="s">
        <v>2147</v>
      </c>
      <c r="C2846">
        <v>3.5</v>
      </c>
      <c r="D2846">
        <v>90</v>
      </c>
      <c r="E2846">
        <f>IF(OR(B2846="vi",B2846="ii",B2846="pod"),(((D2846/100)*(C2846*VLOOKUP(B2846,'Poids des runes'!A:B,2,FALSE)))+1),(((D2846/100)*(C2846*VLOOKUP(B2846,'Poids des runes'!A:B,2,FALSE)))+1)/VLOOKUP(B2846,'Poids des runes'!A:B,2,FALSE))</f>
        <v>3.3166666666666669</v>
      </c>
      <c r="F2846">
        <f t="shared" si="44"/>
        <v>3.3166666666666669</v>
      </c>
    </row>
    <row r="2847" spans="1:6" x14ac:dyDescent="0.3">
      <c r="A2847" t="s">
        <v>745</v>
      </c>
      <c r="B2847" t="s">
        <v>2128</v>
      </c>
      <c r="C2847">
        <v>45.5</v>
      </c>
      <c r="D2847">
        <v>90</v>
      </c>
      <c r="E2847">
        <f>IF(OR(B2847="vi",B2847="ii",B2847="pod"),(((D2847/100)*(C2847*VLOOKUP(B2847,'Poids des runes'!A:B,2,FALSE)))+1),(((D2847/100)*(C2847*VLOOKUP(B2847,'Poids des runes'!A:B,2,FALSE)))+1)/VLOOKUP(B2847,'Poids des runes'!A:B,2,FALSE))</f>
        <v>9.19</v>
      </c>
      <c r="F2847">
        <f t="shared" si="44"/>
        <v>9.19</v>
      </c>
    </row>
    <row r="2848" spans="1:6" x14ac:dyDescent="0.3">
      <c r="A2848" t="s">
        <v>745</v>
      </c>
      <c r="B2848" t="s">
        <v>2129</v>
      </c>
      <c r="C2848">
        <v>20.5</v>
      </c>
      <c r="D2848">
        <v>90</v>
      </c>
      <c r="E2848">
        <f>IF(OR(B2848="vi",B2848="ii",B2848="pod"),(((D2848/100)*(C2848*VLOOKUP(B2848,'Poids des runes'!A:B,2,FALSE)))+1),(((D2848/100)*(C2848*VLOOKUP(B2848,'Poids des runes'!A:B,2,FALSE)))+1)/VLOOKUP(B2848,'Poids des runes'!A:B,2,FALSE))</f>
        <v>19.45</v>
      </c>
      <c r="F2848">
        <f t="shared" si="44"/>
        <v>19.45</v>
      </c>
    </row>
    <row r="2849" spans="1:6" x14ac:dyDescent="0.3">
      <c r="A2849" t="s">
        <v>745</v>
      </c>
      <c r="B2849" t="s">
        <v>2139</v>
      </c>
      <c r="C2849">
        <v>23</v>
      </c>
      <c r="D2849">
        <v>90</v>
      </c>
      <c r="E2849">
        <f>IF(OR(B2849="vi",B2849="ii",B2849="pod"),(((D2849/100)*(C2849*VLOOKUP(B2849,'Poids des runes'!A:B,2,FALSE)))+1),(((D2849/100)*(C2849*VLOOKUP(B2849,'Poids des runes'!A:B,2,FALSE)))+1)/VLOOKUP(B2849,'Poids des runes'!A:B,2,FALSE))</f>
        <v>21.2</v>
      </c>
      <c r="F2849">
        <f t="shared" si="44"/>
        <v>21.2</v>
      </c>
    </row>
    <row r="2850" spans="1:6" x14ac:dyDescent="0.3">
      <c r="A2850" t="s">
        <v>745</v>
      </c>
      <c r="B2850" t="s">
        <v>2152</v>
      </c>
      <c r="C2850">
        <v>1</v>
      </c>
      <c r="D2850">
        <v>90</v>
      </c>
      <c r="E2850">
        <f>IF(OR(B2850="vi",B2850="ii",B2850="pod"),(((D2850/100)*(C2850*VLOOKUP(B2850,'Poids des runes'!A:B,2,FALSE)))+1),(((D2850/100)*(C2850*VLOOKUP(B2850,'Poids des runes'!A:B,2,FALSE)))+1)/VLOOKUP(B2850,'Poids des runes'!A:B,2,FALSE))</f>
        <v>0.91</v>
      </c>
      <c r="F2850">
        <f t="shared" si="44"/>
        <v>0.91</v>
      </c>
    </row>
    <row r="2851" spans="1:6" x14ac:dyDescent="0.3">
      <c r="A2851" t="s">
        <v>745</v>
      </c>
      <c r="B2851" t="s">
        <v>2134</v>
      </c>
      <c r="C2851">
        <v>4.5</v>
      </c>
      <c r="D2851">
        <v>90</v>
      </c>
      <c r="E2851">
        <f>IF(OR(B2851="vi",B2851="ii",B2851="pod"),(((D2851/100)*(C2851*VLOOKUP(B2851,'Poids des runes'!A:B,2,FALSE)))+1),(((D2851/100)*(C2851*VLOOKUP(B2851,'Poids des runes'!A:B,2,FALSE)))+1)/VLOOKUP(B2851,'Poids des runes'!A:B,2,FALSE))</f>
        <v>4.0999999999999996</v>
      </c>
      <c r="F2851">
        <f t="shared" si="44"/>
        <v>4.0999999999999996</v>
      </c>
    </row>
    <row r="2852" spans="1:6" x14ac:dyDescent="0.3">
      <c r="A2852" t="s">
        <v>745</v>
      </c>
      <c r="B2852" t="s">
        <v>2147</v>
      </c>
      <c r="C2852">
        <v>2.5</v>
      </c>
      <c r="D2852">
        <v>90</v>
      </c>
      <c r="E2852">
        <f>IF(OR(B2852="vi",B2852="ii",B2852="pod"),(((D2852/100)*(C2852*VLOOKUP(B2852,'Poids des runes'!A:B,2,FALSE)))+1),(((D2852/100)*(C2852*VLOOKUP(B2852,'Poids des runes'!A:B,2,FALSE)))+1)/VLOOKUP(B2852,'Poids des runes'!A:B,2,FALSE))</f>
        <v>2.4166666666666665</v>
      </c>
      <c r="F2852">
        <f t="shared" si="44"/>
        <v>2.4166666666666665</v>
      </c>
    </row>
    <row r="2853" spans="1:6" x14ac:dyDescent="0.3">
      <c r="A2853" t="s">
        <v>746</v>
      </c>
      <c r="B2853" t="s">
        <v>2128</v>
      </c>
      <c r="C2853">
        <v>45.5</v>
      </c>
      <c r="D2853">
        <v>90</v>
      </c>
      <c r="E2853">
        <f>IF(OR(B2853="vi",B2853="ii",B2853="pod"),(((D2853/100)*(C2853*VLOOKUP(B2853,'Poids des runes'!A:B,2,FALSE)))+1),(((D2853/100)*(C2853*VLOOKUP(B2853,'Poids des runes'!A:B,2,FALSE)))+1)/VLOOKUP(B2853,'Poids des runes'!A:B,2,FALSE))</f>
        <v>9.19</v>
      </c>
      <c r="F2853">
        <f t="shared" si="44"/>
        <v>9.19</v>
      </c>
    </row>
    <row r="2854" spans="1:6" x14ac:dyDescent="0.3">
      <c r="A2854" t="s">
        <v>746</v>
      </c>
      <c r="B2854" t="s">
        <v>2129</v>
      </c>
      <c r="C2854">
        <v>23</v>
      </c>
      <c r="D2854">
        <v>90</v>
      </c>
      <c r="E2854">
        <f>IF(OR(B2854="vi",B2854="ii",B2854="pod"),(((D2854/100)*(C2854*VLOOKUP(B2854,'Poids des runes'!A:B,2,FALSE)))+1),(((D2854/100)*(C2854*VLOOKUP(B2854,'Poids des runes'!A:B,2,FALSE)))+1)/VLOOKUP(B2854,'Poids des runes'!A:B,2,FALSE))</f>
        <v>21.7</v>
      </c>
      <c r="F2854">
        <f t="shared" si="44"/>
        <v>21.7</v>
      </c>
    </row>
    <row r="2855" spans="1:6" x14ac:dyDescent="0.3">
      <c r="A2855" t="s">
        <v>746</v>
      </c>
      <c r="B2855" t="s">
        <v>2139</v>
      </c>
      <c r="C2855">
        <v>25.5</v>
      </c>
      <c r="D2855">
        <v>90</v>
      </c>
      <c r="E2855">
        <f>IF(OR(B2855="vi",B2855="ii",B2855="pod"),(((D2855/100)*(C2855*VLOOKUP(B2855,'Poids des runes'!A:B,2,FALSE)))+1),(((D2855/100)*(C2855*VLOOKUP(B2855,'Poids des runes'!A:B,2,FALSE)))+1)/VLOOKUP(B2855,'Poids des runes'!A:B,2,FALSE))</f>
        <v>23.45</v>
      </c>
      <c r="F2855">
        <f t="shared" si="44"/>
        <v>23.45</v>
      </c>
    </row>
    <row r="2856" spans="1:6" x14ac:dyDescent="0.3">
      <c r="A2856" t="s">
        <v>746</v>
      </c>
      <c r="B2856" t="s">
        <v>2154</v>
      </c>
      <c r="C2856">
        <v>1</v>
      </c>
      <c r="D2856">
        <v>90</v>
      </c>
      <c r="E2856">
        <f>IF(OR(B2856="vi",B2856="ii",B2856="pod"),(((D2856/100)*(C2856*VLOOKUP(B2856,'Poids des runes'!A:B,2,FALSE)))+1),(((D2856/100)*(C2856*VLOOKUP(B2856,'Poids des runes'!A:B,2,FALSE)))+1)/VLOOKUP(B2856,'Poids des runes'!A:B,2,FALSE))</f>
        <v>0.91111111111111109</v>
      </c>
      <c r="F2856">
        <f t="shared" si="44"/>
        <v>0.91111111111111109</v>
      </c>
    </row>
    <row r="2857" spans="1:6" x14ac:dyDescent="0.3">
      <c r="A2857" t="s">
        <v>746</v>
      </c>
      <c r="B2857" t="s">
        <v>2135</v>
      </c>
      <c r="C2857">
        <v>2.5</v>
      </c>
      <c r="D2857">
        <v>90</v>
      </c>
      <c r="E2857">
        <f>IF(OR(B2857="vi",B2857="ii",B2857="pod"),(((D2857/100)*(C2857*VLOOKUP(B2857,'Poids des runes'!A:B,2,FALSE)))+1),(((D2857/100)*(C2857*VLOOKUP(B2857,'Poids des runes'!A:B,2,FALSE)))+1)/VLOOKUP(B2857,'Poids des runes'!A:B,2,FALSE))</f>
        <v>2.4166666666666665</v>
      </c>
      <c r="F2857">
        <f t="shared" si="44"/>
        <v>2.4166666666666665</v>
      </c>
    </row>
    <row r="2858" spans="1:6" x14ac:dyDescent="0.3">
      <c r="A2858" t="s">
        <v>747</v>
      </c>
      <c r="B2858" t="s">
        <v>2128</v>
      </c>
      <c r="C2858">
        <v>30.5</v>
      </c>
      <c r="D2858">
        <v>90</v>
      </c>
      <c r="E2858">
        <f>IF(OR(B2858="vi",B2858="ii",B2858="pod"),(((D2858/100)*(C2858*VLOOKUP(B2858,'Poids des runes'!A:B,2,FALSE)))+1),(((D2858/100)*(C2858*VLOOKUP(B2858,'Poids des runes'!A:B,2,FALSE)))+1)/VLOOKUP(B2858,'Poids des runes'!A:B,2,FALSE))</f>
        <v>6.49</v>
      </c>
      <c r="F2858">
        <f t="shared" si="44"/>
        <v>6.49</v>
      </c>
    </row>
    <row r="2859" spans="1:6" x14ac:dyDescent="0.3">
      <c r="A2859" t="s">
        <v>747</v>
      </c>
      <c r="B2859" t="s">
        <v>2129</v>
      </c>
      <c r="C2859">
        <v>20.5</v>
      </c>
      <c r="D2859">
        <v>90</v>
      </c>
      <c r="E2859">
        <f>IF(OR(B2859="vi",B2859="ii",B2859="pod"),(((D2859/100)*(C2859*VLOOKUP(B2859,'Poids des runes'!A:B,2,FALSE)))+1),(((D2859/100)*(C2859*VLOOKUP(B2859,'Poids des runes'!A:B,2,FALSE)))+1)/VLOOKUP(B2859,'Poids des runes'!A:B,2,FALSE))</f>
        <v>19.45</v>
      </c>
      <c r="F2859">
        <f t="shared" si="44"/>
        <v>19.45</v>
      </c>
    </row>
    <row r="2860" spans="1:6" x14ac:dyDescent="0.3">
      <c r="A2860" t="s">
        <v>747</v>
      </c>
      <c r="B2860" t="s">
        <v>2139</v>
      </c>
      <c r="C2860">
        <v>20.5</v>
      </c>
      <c r="D2860">
        <v>90</v>
      </c>
      <c r="E2860">
        <f>IF(OR(B2860="vi",B2860="ii",B2860="pod"),(((D2860/100)*(C2860*VLOOKUP(B2860,'Poids des runes'!A:B,2,FALSE)))+1),(((D2860/100)*(C2860*VLOOKUP(B2860,'Poids des runes'!A:B,2,FALSE)))+1)/VLOOKUP(B2860,'Poids des runes'!A:B,2,FALSE))</f>
        <v>18.95</v>
      </c>
      <c r="F2860">
        <f t="shared" si="44"/>
        <v>18.95</v>
      </c>
    </row>
    <row r="2861" spans="1:6" x14ac:dyDescent="0.3">
      <c r="A2861" t="s">
        <v>747</v>
      </c>
      <c r="B2861" t="s">
        <v>2150</v>
      </c>
      <c r="C2861">
        <v>1</v>
      </c>
      <c r="D2861">
        <v>90</v>
      </c>
      <c r="E2861">
        <f>IF(OR(B2861="vi",B2861="ii",B2861="pod"),(((D2861/100)*(C2861*VLOOKUP(B2861,'Poids des runes'!A:B,2,FALSE)))+1),(((D2861/100)*(C2861*VLOOKUP(B2861,'Poids des runes'!A:B,2,FALSE)))+1)/VLOOKUP(B2861,'Poids des runes'!A:B,2,FALSE))</f>
        <v>0.93333333333333335</v>
      </c>
      <c r="F2861">
        <f t="shared" si="44"/>
        <v>0.93333333333333335</v>
      </c>
    </row>
    <row r="2862" spans="1:6" x14ac:dyDescent="0.3">
      <c r="A2862" t="s">
        <v>747</v>
      </c>
      <c r="B2862" t="s">
        <v>2149</v>
      </c>
      <c r="C2862">
        <v>4</v>
      </c>
      <c r="D2862">
        <v>90</v>
      </c>
      <c r="E2862">
        <f>IF(OR(B2862="vi",B2862="ii",B2862="pod"),(((D2862/100)*(C2862*VLOOKUP(B2862,'Poids des runes'!A:B,2,FALSE)))+1),(((D2862/100)*(C2862*VLOOKUP(B2862,'Poids des runes'!A:B,2,FALSE)))+1)/VLOOKUP(B2862,'Poids des runes'!A:B,2,FALSE))</f>
        <v>3.7</v>
      </c>
      <c r="F2862">
        <f t="shared" si="44"/>
        <v>3.7</v>
      </c>
    </row>
    <row r="2863" spans="1:6" x14ac:dyDescent="0.3">
      <c r="A2863" t="s">
        <v>747</v>
      </c>
      <c r="B2863" t="s">
        <v>2157</v>
      </c>
      <c r="C2863">
        <v>2.5</v>
      </c>
      <c r="D2863">
        <v>90</v>
      </c>
      <c r="E2863">
        <f>IF(OR(B2863="vi",B2863="ii",B2863="pod"),(((D2863/100)*(C2863*VLOOKUP(B2863,'Poids des runes'!A:B,2,FALSE)))+1),(((D2863/100)*(C2863*VLOOKUP(B2863,'Poids des runes'!A:B,2,FALSE)))+1)/VLOOKUP(B2863,'Poids des runes'!A:B,2,FALSE))</f>
        <v>2.4166666666666665</v>
      </c>
      <c r="F2863">
        <f t="shared" si="44"/>
        <v>2.4166666666666665</v>
      </c>
    </row>
    <row r="2864" spans="1:6" x14ac:dyDescent="0.3">
      <c r="A2864" t="s">
        <v>748</v>
      </c>
      <c r="B2864" t="s">
        <v>2128</v>
      </c>
      <c r="C2864">
        <v>85.5</v>
      </c>
      <c r="D2864">
        <v>90</v>
      </c>
      <c r="E2864">
        <f>IF(OR(B2864="vi",B2864="ii",B2864="pod"),(((D2864/100)*(C2864*VLOOKUP(B2864,'Poids des runes'!A:B,2,FALSE)))+1),(((D2864/100)*(C2864*VLOOKUP(B2864,'Poids des runes'!A:B,2,FALSE)))+1)/VLOOKUP(B2864,'Poids des runes'!A:B,2,FALSE))</f>
        <v>16.39</v>
      </c>
      <c r="F2864">
        <f t="shared" si="44"/>
        <v>16.39</v>
      </c>
    </row>
    <row r="2865" spans="1:6" x14ac:dyDescent="0.3">
      <c r="A2865" t="s">
        <v>748</v>
      </c>
      <c r="B2865" t="s">
        <v>2129</v>
      </c>
      <c r="C2865">
        <v>25.5</v>
      </c>
      <c r="D2865">
        <v>90</v>
      </c>
      <c r="E2865">
        <f>IF(OR(B2865="vi",B2865="ii",B2865="pod"),(((D2865/100)*(C2865*VLOOKUP(B2865,'Poids des runes'!A:B,2,FALSE)))+1),(((D2865/100)*(C2865*VLOOKUP(B2865,'Poids des runes'!A:B,2,FALSE)))+1)/VLOOKUP(B2865,'Poids des runes'!A:B,2,FALSE))</f>
        <v>23.95</v>
      </c>
      <c r="F2865">
        <f t="shared" si="44"/>
        <v>23.95</v>
      </c>
    </row>
    <row r="2866" spans="1:6" x14ac:dyDescent="0.3">
      <c r="A2866" t="s">
        <v>748</v>
      </c>
      <c r="B2866" t="s">
        <v>2139</v>
      </c>
      <c r="C2866">
        <v>30.5</v>
      </c>
      <c r="D2866">
        <v>90</v>
      </c>
      <c r="E2866">
        <f>IF(OR(B2866="vi",B2866="ii",B2866="pod"),(((D2866/100)*(C2866*VLOOKUP(B2866,'Poids des runes'!A:B,2,FALSE)))+1),(((D2866/100)*(C2866*VLOOKUP(B2866,'Poids des runes'!A:B,2,FALSE)))+1)/VLOOKUP(B2866,'Poids des runes'!A:B,2,FALSE))</f>
        <v>27.95</v>
      </c>
      <c r="F2866">
        <f t="shared" si="44"/>
        <v>27.95</v>
      </c>
    </row>
    <row r="2867" spans="1:6" x14ac:dyDescent="0.3">
      <c r="A2867" t="s">
        <v>748</v>
      </c>
      <c r="B2867" t="s">
        <v>2134</v>
      </c>
      <c r="C2867">
        <v>7</v>
      </c>
      <c r="D2867">
        <v>90</v>
      </c>
      <c r="E2867">
        <f>IF(OR(B2867="vi",B2867="ii",B2867="pod"),(((D2867/100)*(C2867*VLOOKUP(B2867,'Poids des runes'!A:B,2,FALSE)))+1),(((D2867/100)*(C2867*VLOOKUP(B2867,'Poids des runes'!A:B,2,FALSE)))+1)/VLOOKUP(B2867,'Poids des runes'!A:B,2,FALSE))</f>
        <v>6.35</v>
      </c>
      <c r="F2867">
        <f t="shared" si="44"/>
        <v>6.35</v>
      </c>
    </row>
    <row r="2868" spans="1:6" x14ac:dyDescent="0.3">
      <c r="A2868" t="s">
        <v>748</v>
      </c>
      <c r="B2868" t="s">
        <v>2149</v>
      </c>
      <c r="C2868">
        <v>8.5</v>
      </c>
      <c r="D2868">
        <v>90</v>
      </c>
      <c r="E2868">
        <f>IF(OR(B2868="vi",B2868="ii",B2868="pod"),(((D2868/100)*(C2868*VLOOKUP(B2868,'Poids des runes'!A:B,2,FALSE)))+1),(((D2868/100)*(C2868*VLOOKUP(B2868,'Poids des runes'!A:B,2,FALSE)))+1)/VLOOKUP(B2868,'Poids des runes'!A:B,2,FALSE))</f>
        <v>7.75</v>
      </c>
      <c r="F2868">
        <f t="shared" si="44"/>
        <v>7.75</v>
      </c>
    </row>
    <row r="2869" spans="1:6" x14ac:dyDescent="0.3">
      <c r="A2869" t="s">
        <v>748</v>
      </c>
      <c r="B2869" t="s">
        <v>2148</v>
      </c>
      <c r="C2869">
        <v>2.5</v>
      </c>
      <c r="D2869">
        <v>90</v>
      </c>
      <c r="E2869">
        <f>IF(OR(B2869="vi",B2869="ii",B2869="pod"),(((D2869/100)*(C2869*VLOOKUP(B2869,'Poids des runes'!A:B,2,FALSE)))+1),(((D2869/100)*(C2869*VLOOKUP(B2869,'Poids des runes'!A:B,2,FALSE)))+1)/VLOOKUP(B2869,'Poids des runes'!A:B,2,FALSE))</f>
        <v>2.4166666666666665</v>
      </c>
      <c r="F2869">
        <f t="shared" si="44"/>
        <v>2.4166666666666665</v>
      </c>
    </row>
    <row r="2870" spans="1:6" x14ac:dyDescent="0.3">
      <c r="A2870" t="s">
        <v>749</v>
      </c>
      <c r="B2870" t="s">
        <v>2128</v>
      </c>
      <c r="C2870">
        <v>45.5</v>
      </c>
      <c r="D2870">
        <v>91</v>
      </c>
      <c r="E2870">
        <f>IF(OR(B2870="vi",B2870="ii",B2870="pod"),(((D2870/100)*(C2870*VLOOKUP(B2870,'Poids des runes'!A:B,2,FALSE)))+1),(((D2870/100)*(C2870*VLOOKUP(B2870,'Poids des runes'!A:B,2,FALSE)))+1)/VLOOKUP(B2870,'Poids des runes'!A:B,2,FALSE))</f>
        <v>9.2810000000000006</v>
      </c>
      <c r="F2870">
        <f t="shared" si="44"/>
        <v>9.2810000000000006</v>
      </c>
    </row>
    <row r="2871" spans="1:6" x14ac:dyDescent="0.3">
      <c r="A2871" t="s">
        <v>749</v>
      </c>
      <c r="B2871" t="s">
        <v>2126</v>
      </c>
      <c r="C2871">
        <v>35.5</v>
      </c>
      <c r="D2871">
        <v>91</v>
      </c>
      <c r="E2871">
        <f>IF(OR(B2871="vi",B2871="ii",B2871="pod"),(((D2871/100)*(C2871*VLOOKUP(B2871,'Poids des runes'!A:B,2,FALSE)))+1),(((D2871/100)*(C2871*VLOOKUP(B2871,'Poids des runes'!A:B,2,FALSE)))+1)/VLOOKUP(B2871,'Poids des runes'!A:B,2,FALSE))</f>
        <v>33.305</v>
      </c>
      <c r="F2871">
        <f t="shared" si="44"/>
        <v>33.305</v>
      </c>
    </row>
    <row r="2872" spans="1:6" x14ac:dyDescent="0.3">
      <c r="A2872" t="s">
        <v>749</v>
      </c>
      <c r="B2872" t="s">
        <v>2131</v>
      </c>
      <c r="C2872">
        <v>35.5</v>
      </c>
      <c r="D2872">
        <v>91</v>
      </c>
      <c r="E2872">
        <f>IF(OR(B2872="vi",B2872="ii",B2872="pod"),(((D2872/100)*(C2872*VLOOKUP(B2872,'Poids des runes'!A:B,2,FALSE)))+1),(((D2872/100)*(C2872*VLOOKUP(B2872,'Poids des runes'!A:B,2,FALSE)))+1)/VLOOKUP(B2872,'Poids des runes'!A:B,2,FALSE))</f>
        <v>33.305</v>
      </c>
      <c r="F2872">
        <f t="shared" si="44"/>
        <v>33.305</v>
      </c>
    </row>
    <row r="2873" spans="1:6" x14ac:dyDescent="0.3">
      <c r="A2873" t="s">
        <v>749</v>
      </c>
      <c r="B2873" t="s">
        <v>2152</v>
      </c>
      <c r="C2873">
        <v>1</v>
      </c>
      <c r="D2873">
        <v>91</v>
      </c>
      <c r="E2873">
        <f>IF(OR(B2873="vi",B2873="ii",B2873="pod"),(((D2873/100)*(C2873*VLOOKUP(B2873,'Poids des runes'!A:B,2,FALSE)))+1),(((D2873/100)*(C2873*VLOOKUP(B2873,'Poids des runes'!A:B,2,FALSE)))+1)/VLOOKUP(B2873,'Poids des runes'!A:B,2,FALSE))</f>
        <v>0.92</v>
      </c>
      <c r="F2873">
        <f t="shared" si="44"/>
        <v>0.92</v>
      </c>
    </row>
    <row r="2874" spans="1:6" x14ac:dyDescent="0.3">
      <c r="A2874" t="s">
        <v>749</v>
      </c>
      <c r="B2874" t="s">
        <v>2149</v>
      </c>
      <c r="C2874">
        <v>8.5</v>
      </c>
      <c r="D2874">
        <v>91</v>
      </c>
      <c r="E2874">
        <f>IF(OR(B2874="vi",B2874="ii",B2874="pod"),(((D2874/100)*(C2874*VLOOKUP(B2874,'Poids des runes'!A:B,2,FALSE)))+1),(((D2874/100)*(C2874*VLOOKUP(B2874,'Poids des runes'!A:B,2,FALSE)))+1)/VLOOKUP(B2874,'Poids des runes'!A:B,2,FALSE))</f>
        <v>7.8350000000000009</v>
      </c>
      <c r="F2874">
        <f t="shared" si="44"/>
        <v>7.8350000000000009</v>
      </c>
    </row>
    <row r="2875" spans="1:6" x14ac:dyDescent="0.3">
      <c r="A2875" t="s">
        <v>749</v>
      </c>
      <c r="B2875" t="s">
        <v>2157</v>
      </c>
      <c r="C2875">
        <v>2.5</v>
      </c>
      <c r="D2875">
        <v>91</v>
      </c>
      <c r="E2875">
        <f>IF(OR(B2875="vi",B2875="ii",B2875="pod"),(((D2875/100)*(C2875*VLOOKUP(B2875,'Poids des runes'!A:B,2,FALSE)))+1),(((D2875/100)*(C2875*VLOOKUP(B2875,'Poids des runes'!A:B,2,FALSE)))+1)/VLOOKUP(B2875,'Poids des runes'!A:B,2,FALSE))</f>
        <v>2.4416666666666669</v>
      </c>
      <c r="F2875">
        <f t="shared" si="44"/>
        <v>2.4416666666666669</v>
      </c>
    </row>
    <row r="2876" spans="1:6" x14ac:dyDescent="0.3">
      <c r="A2876" t="s">
        <v>750</v>
      </c>
      <c r="B2876" t="s">
        <v>2128</v>
      </c>
      <c r="C2876">
        <v>70.5</v>
      </c>
      <c r="D2876">
        <v>92</v>
      </c>
      <c r="E2876">
        <f>IF(OR(B2876="vi",B2876="ii",B2876="pod"),(((D2876/100)*(C2876*VLOOKUP(B2876,'Poids des runes'!A:B,2,FALSE)))+1),(((D2876/100)*(C2876*VLOOKUP(B2876,'Poids des runes'!A:B,2,FALSE)))+1)/VLOOKUP(B2876,'Poids des runes'!A:B,2,FALSE))</f>
        <v>13.972000000000001</v>
      </c>
      <c r="F2876">
        <f t="shared" si="44"/>
        <v>13.972000000000001</v>
      </c>
    </row>
    <row r="2877" spans="1:6" x14ac:dyDescent="0.3">
      <c r="A2877" t="s">
        <v>750</v>
      </c>
      <c r="B2877" t="s">
        <v>2130</v>
      </c>
      <c r="C2877">
        <v>40.5</v>
      </c>
      <c r="D2877">
        <v>92</v>
      </c>
      <c r="E2877">
        <f>IF(OR(B2877="vi",B2877="ii",B2877="pod"),(((D2877/100)*(C2877*VLOOKUP(B2877,'Poids des runes'!A:B,2,FALSE)))+1),(((D2877/100)*(C2877*VLOOKUP(B2877,'Poids des runes'!A:B,2,FALSE)))+1)/VLOOKUP(B2877,'Poids des runes'!A:B,2,FALSE))</f>
        <v>38.260000000000005</v>
      </c>
      <c r="F2877">
        <f t="shared" si="44"/>
        <v>38.260000000000005</v>
      </c>
    </row>
    <row r="2878" spans="1:6" x14ac:dyDescent="0.3">
      <c r="A2878" t="s">
        <v>750</v>
      </c>
      <c r="B2878" t="s">
        <v>2129</v>
      </c>
      <c r="C2878">
        <v>8.5</v>
      </c>
      <c r="D2878">
        <v>92</v>
      </c>
      <c r="E2878">
        <f>IF(OR(B2878="vi",B2878="ii",B2878="pod"),(((D2878/100)*(C2878*VLOOKUP(B2878,'Poids des runes'!A:B,2,FALSE)))+1),(((D2878/100)*(C2878*VLOOKUP(B2878,'Poids des runes'!A:B,2,FALSE)))+1)/VLOOKUP(B2878,'Poids des runes'!A:B,2,FALSE))</f>
        <v>8.82</v>
      </c>
      <c r="F2878">
        <f t="shared" si="44"/>
        <v>8.82</v>
      </c>
    </row>
    <row r="2879" spans="1:6" x14ac:dyDescent="0.3">
      <c r="A2879" t="s">
        <v>750</v>
      </c>
      <c r="B2879" t="s">
        <v>2150</v>
      </c>
      <c r="C2879">
        <v>1</v>
      </c>
      <c r="D2879">
        <v>92</v>
      </c>
      <c r="E2879">
        <f>IF(OR(B2879="vi",B2879="ii",B2879="pod"),(((D2879/100)*(C2879*VLOOKUP(B2879,'Poids des runes'!A:B,2,FALSE)))+1),(((D2879/100)*(C2879*VLOOKUP(B2879,'Poids des runes'!A:B,2,FALSE)))+1)/VLOOKUP(B2879,'Poids des runes'!A:B,2,FALSE))</f>
        <v>0.95333333333333337</v>
      </c>
      <c r="F2879">
        <f t="shared" si="44"/>
        <v>0.95333333333333337</v>
      </c>
    </row>
    <row r="2880" spans="1:6" x14ac:dyDescent="0.3">
      <c r="A2880" t="s">
        <v>750</v>
      </c>
      <c r="B2880" t="s">
        <v>2143</v>
      </c>
      <c r="C2880">
        <v>4</v>
      </c>
      <c r="D2880">
        <v>92</v>
      </c>
      <c r="E2880">
        <f>IF(OR(B2880="vi",B2880="ii",B2880="pod"),(((D2880/100)*(C2880*VLOOKUP(B2880,'Poids des runes'!A:B,2,FALSE)))+1),(((D2880/100)*(C2880*VLOOKUP(B2880,'Poids des runes'!A:B,2,FALSE)))+1)/VLOOKUP(B2880,'Poids des runes'!A:B,2,FALSE))</f>
        <v>3.8800000000000003</v>
      </c>
      <c r="F2880">
        <f t="shared" si="44"/>
        <v>3.8800000000000003</v>
      </c>
    </row>
    <row r="2881" spans="1:6" x14ac:dyDescent="0.3">
      <c r="A2881" t="s">
        <v>750</v>
      </c>
      <c r="B2881" t="s">
        <v>2138</v>
      </c>
      <c r="C2881">
        <v>3.5</v>
      </c>
      <c r="D2881">
        <v>92</v>
      </c>
      <c r="E2881">
        <f>IF(OR(B2881="vi",B2881="ii",B2881="pod"),(((D2881/100)*(C2881*VLOOKUP(B2881,'Poids des runes'!A:B,2,FALSE)))+1),(((D2881/100)*(C2881*VLOOKUP(B2881,'Poids des runes'!A:B,2,FALSE)))+1)/VLOOKUP(B2881,'Poids des runes'!A:B,2,FALSE))</f>
        <v>3.47</v>
      </c>
      <c r="F2881">
        <f t="shared" si="44"/>
        <v>3.47</v>
      </c>
    </row>
    <row r="2882" spans="1:6" x14ac:dyDescent="0.3">
      <c r="A2882" t="s">
        <v>750</v>
      </c>
      <c r="B2882" t="s">
        <v>2147</v>
      </c>
      <c r="C2882">
        <v>6</v>
      </c>
      <c r="D2882">
        <v>92</v>
      </c>
      <c r="E2882">
        <f>IF(OR(B2882="vi",B2882="ii",B2882="pod"),(((D2882/100)*(C2882*VLOOKUP(B2882,'Poids des runes'!A:B,2,FALSE)))+1),(((D2882/100)*(C2882*VLOOKUP(B2882,'Poids des runes'!A:B,2,FALSE)))+1)/VLOOKUP(B2882,'Poids des runes'!A:B,2,FALSE))</f>
        <v>5.6866666666666674</v>
      </c>
      <c r="F2882">
        <f t="shared" si="44"/>
        <v>5.6866666666666674</v>
      </c>
    </row>
    <row r="2883" spans="1:6" x14ac:dyDescent="0.3">
      <c r="A2883" t="s">
        <v>751</v>
      </c>
      <c r="B2883" t="s">
        <v>2128</v>
      </c>
      <c r="C2883">
        <v>90.5</v>
      </c>
      <c r="D2883">
        <v>92</v>
      </c>
      <c r="E2883">
        <f>IF(OR(B2883="vi",B2883="ii",B2883="pod"),(((D2883/100)*(C2883*VLOOKUP(B2883,'Poids des runes'!A:B,2,FALSE)))+1),(((D2883/100)*(C2883*VLOOKUP(B2883,'Poids des runes'!A:B,2,FALSE)))+1)/VLOOKUP(B2883,'Poids des runes'!A:B,2,FALSE))</f>
        <v>17.652000000000001</v>
      </c>
      <c r="F2883">
        <f t="shared" ref="F2883:F2946" si="45">E2883</f>
        <v>17.652000000000001</v>
      </c>
    </row>
    <row r="2884" spans="1:6" x14ac:dyDescent="0.3">
      <c r="A2884" t="s">
        <v>751</v>
      </c>
      <c r="B2884" t="s">
        <v>2126</v>
      </c>
      <c r="C2884">
        <v>45.5</v>
      </c>
      <c r="D2884">
        <v>92</v>
      </c>
      <c r="E2884">
        <f>IF(OR(B2884="vi",B2884="ii",B2884="pod"),(((D2884/100)*(C2884*VLOOKUP(B2884,'Poids des runes'!A:B,2,FALSE)))+1),(((D2884/100)*(C2884*VLOOKUP(B2884,'Poids des runes'!A:B,2,FALSE)))+1)/VLOOKUP(B2884,'Poids des runes'!A:B,2,FALSE))</f>
        <v>42.86</v>
      </c>
      <c r="F2884">
        <f t="shared" si="45"/>
        <v>42.86</v>
      </c>
    </row>
    <row r="2885" spans="1:6" x14ac:dyDescent="0.3">
      <c r="A2885" t="s">
        <v>751</v>
      </c>
      <c r="B2885" t="s">
        <v>2129</v>
      </c>
      <c r="C2885">
        <v>25.5</v>
      </c>
      <c r="D2885">
        <v>92</v>
      </c>
      <c r="E2885">
        <f>IF(OR(B2885="vi",B2885="ii",B2885="pod"),(((D2885/100)*(C2885*VLOOKUP(B2885,'Poids des runes'!A:B,2,FALSE)))+1),(((D2885/100)*(C2885*VLOOKUP(B2885,'Poids des runes'!A:B,2,FALSE)))+1)/VLOOKUP(B2885,'Poids des runes'!A:B,2,FALSE))</f>
        <v>24.46</v>
      </c>
      <c r="F2885">
        <f t="shared" si="45"/>
        <v>24.46</v>
      </c>
    </row>
    <row r="2886" spans="1:6" x14ac:dyDescent="0.3">
      <c r="A2886" t="s">
        <v>751</v>
      </c>
      <c r="B2886" t="s">
        <v>2151</v>
      </c>
      <c r="C2886">
        <v>3.5</v>
      </c>
      <c r="D2886">
        <v>92</v>
      </c>
      <c r="E2886">
        <f>IF(OR(B2886="vi",B2886="ii",B2886="pod"),(((D2886/100)*(C2886*VLOOKUP(B2886,'Poids des runes'!A:B,2,FALSE)))+1),(((D2886/100)*(C2886*VLOOKUP(B2886,'Poids des runes'!A:B,2,FALSE)))+1)/VLOOKUP(B2886,'Poids des runes'!A:B,2,FALSE))</f>
        <v>3.3200000000000003</v>
      </c>
      <c r="F2886">
        <f t="shared" si="45"/>
        <v>3.3200000000000003</v>
      </c>
    </row>
    <row r="2887" spans="1:6" x14ac:dyDescent="0.3">
      <c r="A2887" t="s">
        <v>751</v>
      </c>
      <c r="B2887" t="s">
        <v>2148</v>
      </c>
      <c r="C2887">
        <v>4.5</v>
      </c>
      <c r="D2887">
        <v>92</v>
      </c>
      <c r="E2887">
        <f>IF(OR(B2887="vi",B2887="ii",B2887="pod"),(((D2887/100)*(C2887*VLOOKUP(B2887,'Poids des runes'!A:B,2,FALSE)))+1),(((D2887/100)*(C2887*VLOOKUP(B2887,'Poids des runes'!A:B,2,FALSE)))+1)/VLOOKUP(B2887,'Poids des runes'!A:B,2,FALSE))</f>
        <v>4.3066666666666666</v>
      </c>
      <c r="F2887">
        <f t="shared" si="45"/>
        <v>4.3066666666666666</v>
      </c>
    </row>
    <row r="2888" spans="1:6" x14ac:dyDescent="0.3">
      <c r="A2888" t="s">
        <v>751</v>
      </c>
      <c r="B2888" t="s">
        <v>2135</v>
      </c>
      <c r="C2888">
        <v>4.5</v>
      </c>
      <c r="D2888">
        <v>92</v>
      </c>
      <c r="E2888">
        <f>IF(OR(B2888="vi",B2888="ii",B2888="pod"),(((D2888/100)*(C2888*VLOOKUP(B2888,'Poids des runes'!A:B,2,FALSE)))+1),(((D2888/100)*(C2888*VLOOKUP(B2888,'Poids des runes'!A:B,2,FALSE)))+1)/VLOOKUP(B2888,'Poids des runes'!A:B,2,FALSE))</f>
        <v>4.3066666666666666</v>
      </c>
      <c r="F2888">
        <f t="shared" si="45"/>
        <v>4.3066666666666666</v>
      </c>
    </row>
    <row r="2889" spans="1:6" x14ac:dyDescent="0.3">
      <c r="A2889" t="s">
        <v>752</v>
      </c>
      <c r="B2889" t="s">
        <v>2128</v>
      </c>
      <c r="C2889">
        <v>85.5</v>
      </c>
      <c r="D2889">
        <v>92</v>
      </c>
      <c r="E2889">
        <f>IF(OR(B2889="vi",B2889="ii",B2889="pod"),(((D2889/100)*(C2889*VLOOKUP(B2889,'Poids des runes'!A:B,2,FALSE)))+1),(((D2889/100)*(C2889*VLOOKUP(B2889,'Poids des runes'!A:B,2,FALSE)))+1)/VLOOKUP(B2889,'Poids des runes'!A:B,2,FALSE))</f>
        <v>16.732000000000003</v>
      </c>
      <c r="F2889">
        <f t="shared" si="45"/>
        <v>16.732000000000003</v>
      </c>
    </row>
    <row r="2890" spans="1:6" x14ac:dyDescent="0.3">
      <c r="A2890" t="s">
        <v>752</v>
      </c>
      <c r="B2890" t="s">
        <v>2130</v>
      </c>
      <c r="C2890">
        <v>25.5</v>
      </c>
      <c r="D2890">
        <v>92</v>
      </c>
      <c r="E2890">
        <f>IF(OR(B2890="vi",B2890="ii",B2890="pod"),(((D2890/100)*(C2890*VLOOKUP(B2890,'Poids des runes'!A:B,2,FALSE)))+1),(((D2890/100)*(C2890*VLOOKUP(B2890,'Poids des runes'!A:B,2,FALSE)))+1)/VLOOKUP(B2890,'Poids des runes'!A:B,2,FALSE))</f>
        <v>24.46</v>
      </c>
      <c r="F2890">
        <f t="shared" si="45"/>
        <v>24.46</v>
      </c>
    </row>
    <row r="2891" spans="1:6" x14ac:dyDescent="0.3">
      <c r="A2891" t="s">
        <v>752</v>
      </c>
      <c r="B2891" t="s">
        <v>2131</v>
      </c>
      <c r="C2891">
        <v>25.5</v>
      </c>
      <c r="D2891">
        <v>92</v>
      </c>
      <c r="E2891">
        <f>IF(OR(B2891="vi",B2891="ii",B2891="pod"),(((D2891/100)*(C2891*VLOOKUP(B2891,'Poids des runes'!A:B,2,FALSE)))+1),(((D2891/100)*(C2891*VLOOKUP(B2891,'Poids des runes'!A:B,2,FALSE)))+1)/VLOOKUP(B2891,'Poids des runes'!A:B,2,FALSE))</f>
        <v>24.46</v>
      </c>
      <c r="F2891">
        <f t="shared" si="45"/>
        <v>24.46</v>
      </c>
    </row>
    <row r="2892" spans="1:6" x14ac:dyDescent="0.3">
      <c r="A2892" t="s">
        <v>752</v>
      </c>
      <c r="B2892" t="s">
        <v>2129</v>
      </c>
      <c r="C2892">
        <v>15.5</v>
      </c>
      <c r="D2892">
        <v>92</v>
      </c>
      <c r="E2892">
        <f>IF(OR(B2892="vi",B2892="ii",B2892="pod"),(((D2892/100)*(C2892*VLOOKUP(B2892,'Poids des runes'!A:B,2,FALSE)))+1),(((D2892/100)*(C2892*VLOOKUP(B2892,'Poids des runes'!A:B,2,FALSE)))+1)/VLOOKUP(B2892,'Poids des runes'!A:B,2,FALSE))</f>
        <v>15.26</v>
      </c>
      <c r="F2892">
        <f t="shared" si="45"/>
        <v>15.26</v>
      </c>
    </row>
    <row r="2893" spans="1:6" x14ac:dyDescent="0.3">
      <c r="A2893" t="s">
        <v>752</v>
      </c>
      <c r="B2893" t="s">
        <v>2143</v>
      </c>
      <c r="C2893">
        <v>3.5</v>
      </c>
      <c r="D2893">
        <v>92</v>
      </c>
      <c r="E2893">
        <f>IF(OR(B2893="vi",B2893="ii",B2893="pod"),(((D2893/100)*(C2893*VLOOKUP(B2893,'Poids des runes'!A:B,2,FALSE)))+1),(((D2893/100)*(C2893*VLOOKUP(B2893,'Poids des runes'!A:B,2,FALSE)))+1)/VLOOKUP(B2893,'Poids des runes'!A:B,2,FALSE))</f>
        <v>3.4200000000000004</v>
      </c>
      <c r="F2893">
        <f t="shared" si="45"/>
        <v>3.4200000000000004</v>
      </c>
    </row>
    <row r="2894" spans="1:6" x14ac:dyDescent="0.3">
      <c r="A2894" t="s">
        <v>752</v>
      </c>
      <c r="B2894" t="s">
        <v>2133</v>
      </c>
      <c r="C2894">
        <v>3.5</v>
      </c>
      <c r="D2894">
        <v>92</v>
      </c>
      <c r="E2894">
        <f>IF(OR(B2894="vi",B2894="ii",B2894="pod"),(((D2894/100)*(C2894*VLOOKUP(B2894,'Poids des runes'!A:B,2,FALSE)))+1),(((D2894/100)*(C2894*VLOOKUP(B2894,'Poids des runes'!A:B,2,FALSE)))+1)/VLOOKUP(B2894,'Poids des runes'!A:B,2,FALSE))</f>
        <v>3.4200000000000004</v>
      </c>
      <c r="F2894">
        <f t="shared" si="45"/>
        <v>3.4200000000000004</v>
      </c>
    </row>
    <row r="2895" spans="1:6" x14ac:dyDescent="0.3">
      <c r="A2895" t="s">
        <v>753</v>
      </c>
      <c r="B2895" t="s">
        <v>2128</v>
      </c>
      <c r="C2895">
        <v>50.5</v>
      </c>
      <c r="D2895">
        <v>92</v>
      </c>
      <c r="E2895">
        <f>IF(OR(B2895="vi",B2895="ii",B2895="pod"),(((D2895/100)*(C2895*VLOOKUP(B2895,'Poids des runes'!A:B,2,FALSE)))+1),(((D2895/100)*(C2895*VLOOKUP(B2895,'Poids des runes'!A:B,2,FALSE)))+1)/VLOOKUP(B2895,'Poids des runes'!A:B,2,FALSE))</f>
        <v>10.292000000000002</v>
      </c>
      <c r="F2895">
        <f t="shared" si="45"/>
        <v>10.292000000000002</v>
      </c>
    </row>
    <row r="2896" spans="1:6" x14ac:dyDescent="0.3">
      <c r="A2896" t="s">
        <v>753</v>
      </c>
      <c r="B2896" t="s">
        <v>2130</v>
      </c>
      <c r="C2896">
        <v>35.5</v>
      </c>
      <c r="D2896">
        <v>92</v>
      </c>
      <c r="E2896">
        <f>IF(OR(B2896="vi",B2896="ii",B2896="pod"),(((D2896/100)*(C2896*VLOOKUP(B2896,'Poids des runes'!A:B,2,FALSE)))+1),(((D2896/100)*(C2896*VLOOKUP(B2896,'Poids des runes'!A:B,2,FALSE)))+1)/VLOOKUP(B2896,'Poids des runes'!A:B,2,FALSE))</f>
        <v>33.660000000000004</v>
      </c>
      <c r="F2896">
        <f t="shared" si="45"/>
        <v>33.660000000000004</v>
      </c>
    </row>
    <row r="2897" spans="1:6" x14ac:dyDescent="0.3">
      <c r="A2897" t="s">
        <v>753</v>
      </c>
      <c r="B2897" t="s">
        <v>2126</v>
      </c>
      <c r="C2897">
        <v>35.5</v>
      </c>
      <c r="D2897">
        <v>92</v>
      </c>
      <c r="E2897">
        <f>IF(OR(B2897="vi",B2897="ii",B2897="pod"),(((D2897/100)*(C2897*VLOOKUP(B2897,'Poids des runes'!A:B,2,FALSE)))+1),(((D2897/100)*(C2897*VLOOKUP(B2897,'Poids des runes'!A:B,2,FALSE)))+1)/VLOOKUP(B2897,'Poids des runes'!A:B,2,FALSE))</f>
        <v>33.660000000000004</v>
      </c>
      <c r="F2897">
        <f t="shared" si="45"/>
        <v>33.660000000000004</v>
      </c>
    </row>
    <row r="2898" spans="1:6" x14ac:dyDescent="0.3">
      <c r="A2898" t="s">
        <v>753</v>
      </c>
      <c r="B2898" t="s">
        <v>2139</v>
      </c>
      <c r="C2898">
        <v>8.5</v>
      </c>
      <c r="D2898">
        <v>92</v>
      </c>
      <c r="E2898">
        <f>IF(OR(B2898="vi",B2898="ii",B2898="pod"),(((D2898/100)*(C2898*VLOOKUP(B2898,'Poids des runes'!A:B,2,FALSE)))+1),(((D2898/100)*(C2898*VLOOKUP(B2898,'Poids des runes'!A:B,2,FALSE)))+1)/VLOOKUP(B2898,'Poids des runes'!A:B,2,FALSE))</f>
        <v>8.32</v>
      </c>
      <c r="F2898">
        <f t="shared" si="45"/>
        <v>8.32</v>
      </c>
    </row>
    <row r="2899" spans="1:6" x14ac:dyDescent="0.3">
      <c r="A2899" t="s">
        <v>753</v>
      </c>
      <c r="B2899" t="s">
        <v>2151</v>
      </c>
      <c r="C2899">
        <v>4.5</v>
      </c>
      <c r="D2899">
        <v>92</v>
      </c>
      <c r="E2899">
        <f>IF(OR(B2899="vi",B2899="ii",B2899="pod"),(((D2899/100)*(C2899*VLOOKUP(B2899,'Poids des runes'!A:B,2,FALSE)))+1),(((D2899/100)*(C2899*VLOOKUP(B2899,'Poids des runes'!A:B,2,FALSE)))+1)/VLOOKUP(B2899,'Poids des runes'!A:B,2,FALSE))</f>
        <v>4.24</v>
      </c>
      <c r="F2899">
        <f t="shared" si="45"/>
        <v>4.24</v>
      </c>
    </row>
    <row r="2900" spans="1:6" x14ac:dyDescent="0.3">
      <c r="A2900" t="s">
        <v>753</v>
      </c>
      <c r="B2900" t="s">
        <v>2161</v>
      </c>
      <c r="C2900">
        <v>8.5</v>
      </c>
      <c r="D2900">
        <v>92</v>
      </c>
      <c r="E2900">
        <f>IF(OR(B2900="vi",B2900="ii",B2900="pod"),(((D2900/100)*(C2900*VLOOKUP(B2900,'Poids des runes'!A:B,2,FALSE)))+1),(((D2900/100)*(C2900*VLOOKUP(B2900,'Poids des runes'!A:B,2,FALSE)))+1)/VLOOKUP(B2900,'Poids des runes'!A:B,2,FALSE))</f>
        <v>8.1533333333333342</v>
      </c>
      <c r="F2900">
        <f t="shared" si="45"/>
        <v>8.1533333333333342</v>
      </c>
    </row>
    <row r="2901" spans="1:6" x14ac:dyDescent="0.3">
      <c r="A2901" t="s">
        <v>753</v>
      </c>
      <c r="B2901" t="s">
        <v>2156</v>
      </c>
      <c r="C2901">
        <v>4.5</v>
      </c>
      <c r="D2901">
        <v>92</v>
      </c>
      <c r="E2901">
        <f>IF(OR(B2901="vi",B2901="ii",B2901="pod"),(((D2901/100)*(C2901*VLOOKUP(B2901,'Poids des runes'!A:B,2,FALSE)))+1),(((D2901/100)*(C2901*VLOOKUP(B2901,'Poids des runes'!A:B,2,FALSE)))+1)/VLOOKUP(B2901,'Poids des runes'!A:B,2,FALSE))</f>
        <v>4.3066666666666666</v>
      </c>
      <c r="F2901">
        <f t="shared" si="45"/>
        <v>4.3066666666666666</v>
      </c>
    </row>
    <row r="2902" spans="1:6" x14ac:dyDescent="0.3">
      <c r="A2902" t="s">
        <v>753</v>
      </c>
      <c r="B2902" t="s">
        <v>2157</v>
      </c>
      <c r="C2902">
        <v>4.5</v>
      </c>
      <c r="D2902">
        <v>92</v>
      </c>
      <c r="E2902">
        <f>IF(OR(B2902="vi",B2902="ii",B2902="pod"),(((D2902/100)*(C2902*VLOOKUP(B2902,'Poids des runes'!A:B,2,FALSE)))+1),(((D2902/100)*(C2902*VLOOKUP(B2902,'Poids des runes'!A:B,2,FALSE)))+1)/VLOOKUP(B2902,'Poids des runes'!A:B,2,FALSE))</f>
        <v>4.3066666666666666</v>
      </c>
      <c r="F2902">
        <f t="shared" si="45"/>
        <v>4.3066666666666666</v>
      </c>
    </row>
    <row r="2903" spans="1:6" x14ac:dyDescent="0.3">
      <c r="A2903" t="s">
        <v>754</v>
      </c>
      <c r="B2903" t="s">
        <v>2128</v>
      </c>
      <c r="C2903">
        <v>50.5</v>
      </c>
      <c r="D2903">
        <v>93</v>
      </c>
      <c r="E2903">
        <f>IF(OR(B2903="vi",B2903="ii",B2903="pod"),(((D2903/100)*(C2903*VLOOKUP(B2903,'Poids des runes'!A:B,2,FALSE)))+1),(((D2903/100)*(C2903*VLOOKUP(B2903,'Poids des runes'!A:B,2,FALSE)))+1)/VLOOKUP(B2903,'Poids des runes'!A:B,2,FALSE))</f>
        <v>10.393000000000002</v>
      </c>
      <c r="F2903">
        <f t="shared" si="45"/>
        <v>10.393000000000002</v>
      </c>
    </row>
    <row r="2904" spans="1:6" x14ac:dyDescent="0.3">
      <c r="A2904" t="s">
        <v>754</v>
      </c>
      <c r="B2904" t="s">
        <v>2131</v>
      </c>
      <c r="C2904">
        <v>35.5</v>
      </c>
      <c r="D2904">
        <v>93</v>
      </c>
      <c r="E2904">
        <f>IF(OR(B2904="vi",B2904="ii",B2904="pod"),(((D2904/100)*(C2904*VLOOKUP(B2904,'Poids des runes'!A:B,2,FALSE)))+1),(((D2904/100)*(C2904*VLOOKUP(B2904,'Poids des runes'!A:B,2,FALSE)))+1)/VLOOKUP(B2904,'Poids des runes'!A:B,2,FALSE))</f>
        <v>34.015000000000001</v>
      </c>
      <c r="F2904">
        <f t="shared" si="45"/>
        <v>34.015000000000001</v>
      </c>
    </row>
    <row r="2905" spans="1:6" x14ac:dyDescent="0.3">
      <c r="A2905" t="s">
        <v>754</v>
      </c>
      <c r="B2905" t="s">
        <v>2129</v>
      </c>
      <c r="C2905">
        <v>23</v>
      </c>
      <c r="D2905">
        <v>93</v>
      </c>
      <c r="E2905">
        <f>IF(OR(B2905="vi",B2905="ii",B2905="pod"),(((D2905/100)*(C2905*VLOOKUP(B2905,'Poids des runes'!A:B,2,FALSE)))+1),(((D2905/100)*(C2905*VLOOKUP(B2905,'Poids des runes'!A:B,2,FALSE)))+1)/VLOOKUP(B2905,'Poids des runes'!A:B,2,FALSE))</f>
        <v>22.39</v>
      </c>
      <c r="F2905">
        <f t="shared" si="45"/>
        <v>22.39</v>
      </c>
    </row>
    <row r="2906" spans="1:6" x14ac:dyDescent="0.3">
      <c r="A2906" t="s">
        <v>754</v>
      </c>
      <c r="B2906" t="s">
        <v>2139</v>
      </c>
      <c r="C2906">
        <v>13</v>
      </c>
      <c r="D2906">
        <v>93</v>
      </c>
      <c r="E2906">
        <f>IF(OR(B2906="vi",B2906="ii",B2906="pod"),(((D2906/100)*(C2906*VLOOKUP(B2906,'Poids des runes'!A:B,2,FALSE)))+1),(((D2906/100)*(C2906*VLOOKUP(B2906,'Poids des runes'!A:B,2,FALSE)))+1)/VLOOKUP(B2906,'Poids des runes'!A:B,2,FALSE))</f>
        <v>12.59</v>
      </c>
      <c r="F2906">
        <f t="shared" si="45"/>
        <v>12.59</v>
      </c>
    </row>
    <row r="2907" spans="1:6" x14ac:dyDescent="0.3">
      <c r="A2907" t="s">
        <v>754</v>
      </c>
      <c r="B2907" t="s">
        <v>2155</v>
      </c>
      <c r="C2907">
        <v>1</v>
      </c>
      <c r="D2907">
        <v>93</v>
      </c>
      <c r="E2907">
        <f>IF(OR(B2907="vi",B2907="ii",B2907="pod"),(((D2907/100)*(C2907*VLOOKUP(B2907,'Poids des runes'!A:B,2,FALSE)))+1),(((D2907/100)*(C2907*VLOOKUP(B2907,'Poids des runes'!A:B,2,FALSE)))+1)/VLOOKUP(B2907,'Poids des runes'!A:B,2,FALSE))</f>
        <v>0.94960784313725488</v>
      </c>
      <c r="F2907">
        <f t="shared" si="45"/>
        <v>0.94960784313725488</v>
      </c>
    </row>
    <row r="2908" spans="1:6" x14ac:dyDescent="0.3">
      <c r="A2908" t="s">
        <v>754</v>
      </c>
      <c r="B2908" t="s">
        <v>2134</v>
      </c>
      <c r="C2908">
        <v>5</v>
      </c>
      <c r="D2908">
        <v>93</v>
      </c>
      <c r="E2908">
        <f>IF(OR(B2908="vi",B2908="ii",B2908="pod"),(((D2908/100)*(C2908*VLOOKUP(B2908,'Poids des runes'!A:B,2,FALSE)))+1),(((D2908/100)*(C2908*VLOOKUP(B2908,'Poids des runes'!A:B,2,FALSE)))+1)/VLOOKUP(B2908,'Poids des runes'!A:B,2,FALSE))</f>
        <v>4.7</v>
      </c>
      <c r="F2908">
        <f t="shared" si="45"/>
        <v>4.7</v>
      </c>
    </row>
    <row r="2909" spans="1:6" x14ac:dyDescent="0.3">
      <c r="A2909" t="s">
        <v>754</v>
      </c>
      <c r="B2909" t="s">
        <v>2161</v>
      </c>
      <c r="C2909">
        <v>8.5</v>
      </c>
      <c r="D2909">
        <v>93</v>
      </c>
      <c r="E2909">
        <f>IF(OR(B2909="vi",B2909="ii",B2909="pod"),(((D2909/100)*(C2909*VLOOKUP(B2909,'Poids des runes'!A:B,2,FALSE)))+1),(((D2909/100)*(C2909*VLOOKUP(B2909,'Poids des runes'!A:B,2,FALSE)))+1)/VLOOKUP(B2909,'Poids des runes'!A:B,2,FALSE))</f>
        <v>8.2383333333333333</v>
      </c>
      <c r="F2909">
        <f t="shared" si="45"/>
        <v>8.2383333333333333</v>
      </c>
    </row>
    <row r="2910" spans="1:6" x14ac:dyDescent="0.3">
      <c r="A2910" t="s">
        <v>754</v>
      </c>
      <c r="B2910" t="s">
        <v>2148</v>
      </c>
      <c r="C2910">
        <v>3</v>
      </c>
      <c r="D2910">
        <v>93</v>
      </c>
      <c r="E2910">
        <f>IF(OR(B2910="vi",B2910="ii",B2910="pod"),(((D2910/100)*(C2910*VLOOKUP(B2910,'Poids des runes'!A:B,2,FALSE)))+1),(((D2910/100)*(C2910*VLOOKUP(B2910,'Poids des runes'!A:B,2,FALSE)))+1)/VLOOKUP(B2910,'Poids des runes'!A:B,2,FALSE))</f>
        <v>2.956666666666667</v>
      </c>
      <c r="F2910">
        <f t="shared" si="45"/>
        <v>2.956666666666667</v>
      </c>
    </row>
    <row r="2911" spans="1:6" x14ac:dyDescent="0.3">
      <c r="A2911" t="s">
        <v>755</v>
      </c>
      <c r="B2911" t="s">
        <v>2128</v>
      </c>
      <c r="C2911">
        <v>70.5</v>
      </c>
      <c r="D2911">
        <v>93</v>
      </c>
      <c r="E2911">
        <f>IF(OR(B2911="vi",B2911="ii",B2911="pod"),(((D2911/100)*(C2911*VLOOKUP(B2911,'Poids des runes'!A:B,2,FALSE)))+1),(((D2911/100)*(C2911*VLOOKUP(B2911,'Poids des runes'!A:B,2,FALSE)))+1)/VLOOKUP(B2911,'Poids des runes'!A:B,2,FALSE))</f>
        <v>14.113000000000001</v>
      </c>
      <c r="F2911">
        <f t="shared" si="45"/>
        <v>14.113000000000001</v>
      </c>
    </row>
    <row r="2912" spans="1:6" x14ac:dyDescent="0.3">
      <c r="A2912" t="s">
        <v>755</v>
      </c>
      <c r="B2912" t="s">
        <v>2131</v>
      </c>
      <c r="C2912">
        <v>35.5</v>
      </c>
      <c r="D2912">
        <v>93</v>
      </c>
      <c r="E2912">
        <f>IF(OR(B2912="vi",B2912="ii",B2912="pod"),(((D2912/100)*(C2912*VLOOKUP(B2912,'Poids des runes'!A:B,2,FALSE)))+1),(((D2912/100)*(C2912*VLOOKUP(B2912,'Poids des runes'!A:B,2,FALSE)))+1)/VLOOKUP(B2912,'Poids des runes'!A:B,2,FALSE))</f>
        <v>34.015000000000001</v>
      </c>
      <c r="F2912">
        <f t="shared" si="45"/>
        <v>34.015000000000001</v>
      </c>
    </row>
    <row r="2913" spans="1:6" x14ac:dyDescent="0.3">
      <c r="A2913" t="s">
        <v>755</v>
      </c>
      <c r="B2913" t="s">
        <v>2129</v>
      </c>
      <c r="C2913">
        <v>18</v>
      </c>
      <c r="D2913">
        <v>93</v>
      </c>
      <c r="E2913">
        <f>IF(OR(B2913="vi",B2913="ii",B2913="pod"),(((D2913/100)*(C2913*VLOOKUP(B2913,'Poids des runes'!A:B,2,FALSE)))+1),(((D2913/100)*(C2913*VLOOKUP(B2913,'Poids des runes'!A:B,2,FALSE)))+1)/VLOOKUP(B2913,'Poids des runes'!A:B,2,FALSE))</f>
        <v>17.740000000000002</v>
      </c>
      <c r="F2913">
        <f t="shared" si="45"/>
        <v>17.740000000000002</v>
      </c>
    </row>
    <row r="2914" spans="1:6" x14ac:dyDescent="0.3">
      <c r="A2914" t="s">
        <v>755</v>
      </c>
      <c r="B2914" t="s">
        <v>2154</v>
      </c>
      <c r="C2914">
        <v>1</v>
      </c>
      <c r="D2914">
        <v>93</v>
      </c>
      <c r="E2914">
        <f>IF(OR(B2914="vi",B2914="ii",B2914="pod"),(((D2914/100)*(C2914*VLOOKUP(B2914,'Poids des runes'!A:B,2,FALSE)))+1),(((D2914/100)*(C2914*VLOOKUP(B2914,'Poids des runes'!A:B,2,FALSE)))+1)/VLOOKUP(B2914,'Poids des runes'!A:B,2,FALSE))</f>
        <v>0.94111111111111112</v>
      </c>
      <c r="F2914">
        <f t="shared" si="45"/>
        <v>0.94111111111111112</v>
      </c>
    </row>
    <row r="2915" spans="1:6" x14ac:dyDescent="0.3">
      <c r="A2915" t="s">
        <v>755</v>
      </c>
      <c r="B2915" t="s">
        <v>2150</v>
      </c>
      <c r="C2915">
        <v>1</v>
      </c>
      <c r="D2915">
        <v>93</v>
      </c>
      <c r="E2915">
        <f>IF(OR(B2915="vi",B2915="ii",B2915="pod"),(((D2915/100)*(C2915*VLOOKUP(B2915,'Poids des runes'!A:B,2,FALSE)))+1),(((D2915/100)*(C2915*VLOOKUP(B2915,'Poids des runes'!A:B,2,FALSE)))+1)/VLOOKUP(B2915,'Poids des runes'!A:B,2,FALSE))</f>
        <v>0.96333333333333337</v>
      </c>
      <c r="F2915">
        <f t="shared" si="45"/>
        <v>0.96333333333333337</v>
      </c>
    </row>
    <row r="2916" spans="1:6" x14ac:dyDescent="0.3">
      <c r="A2916" t="s">
        <v>755</v>
      </c>
      <c r="B2916" t="s">
        <v>2134</v>
      </c>
      <c r="C2916">
        <v>2.5</v>
      </c>
      <c r="D2916">
        <v>93</v>
      </c>
      <c r="E2916">
        <f>IF(OR(B2916="vi",B2916="ii",B2916="pod"),(((D2916/100)*(C2916*VLOOKUP(B2916,'Poids des runes'!A:B,2,FALSE)))+1),(((D2916/100)*(C2916*VLOOKUP(B2916,'Poids des runes'!A:B,2,FALSE)))+1)/VLOOKUP(B2916,'Poids des runes'!A:B,2,FALSE))</f>
        <v>2.375</v>
      </c>
      <c r="F2916">
        <f t="shared" si="45"/>
        <v>2.375</v>
      </c>
    </row>
    <row r="2917" spans="1:6" x14ac:dyDescent="0.3">
      <c r="A2917" t="s">
        <v>755</v>
      </c>
      <c r="B2917" t="s">
        <v>2161</v>
      </c>
      <c r="C2917">
        <v>8.5</v>
      </c>
      <c r="D2917">
        <v>93</v>
      </c>
      <c r="E2917">
        <f>IF(OR(B2917="vi",B2917="ii",B2917="pod"),(((D2917/100)*(C2917*VLOOKUP(B2917,'Poids des runes'!A:B,2,FALSE)))+1),(((D2917/100)*(C2917*VLOOKUP(B2917,'Poids des runes'!A:B,2,FALSE)))+1)/VLOOKUP(B2917,'Poids des runes'!A:B,2,FALSE))</f>
        <v>8.2383333333333333</v>
      </c>
      <c r="F2917">
        <f t="shared" si="45"/>
        <v>8.2383333333333333</v>
      </c>
    </row>
    <row r="2918" spans="1:6" x14ac:dyDescent="0.3">
      <c r="A2918" t="s">
        <v>756</v>
      </c>
      <c r="B2918" t="s">
        <v>2128</v>
      </c>
      <c r="C2918">
        <v>60.5</v>
      </c>
      <c r="D2918">
        <v>94</v>
      </c>
      <c r="E2918">
        <f>IF(OR(B2918="vi",B2918="ii",B2918="pod"),(((D2918/100)*(C2918*VLOOKUP(B2918,'Poids des runes'!A:B,2,FALSE)))+1),(((D2918/100)*(C2918*VLOOKUP(B2918,'Poids des runes'!A:B,2,FALSE)))+1)/VLOOKUP(B2918,'Poids des runes'!A:B,2,FALSE))</f>
        <v>12.374000000000001</v>
      </c>
      <c r="F2918">
        <f t="shared" si="45"/>
        <v>12.374000000000001</v>
      </c>
    </row>
    <row r="2919" spans="1:6" x14ac:dyDescent="0.3">
      <c r="A2919" t="s">
        <v>756</v>
      </c>
      <c r="B2919" t="s">
        <v>2126</v>
      </c>
      <c r="C2919">
        <v>40.5</v>
      </c>
      <c r="D2919">
        <v>94</v>
      </c>
      <c r="E2919">
        <f>IF(OR(B2919="vi",B2919="ii",B2919="pod"),(((D2919/100)*(C2919*VLOOKUP(B2919,'Poids des runes'!A:B,2,FALSE)))+1),(((D2919/100)*(C2919*VLOOKUP(B2919,'Poids des runes'!A:B,2,FALSE)))+1)/VLOOKUP(B2919,'Poids des runes'!A:B,2,FALSE))</f>
        <v>39.07</v>
      </c>
      <c r="F2919">
        <f t="shared" si="45"/>
        <v>39.07</v>
      </c>
    </row>
    <row r="2920" spans="1:6" x14ac:dyDescent="0.3">
      <c r="A2920" t="s">
        <v>756</v>
      </c>
      <c r="B2920" t="s">
        <v>2129</v>
      </c>
      <c r="C2920">
        <v>25.5</v>
      </c>
      <c r="D2920">
        <v>94</v>
      </c>
      <c r="E2920">
        <f>IF(OR(B2920="vi",B2920="ii",B2920="pod"),(((D2920/100)*(C2920*VLOOKUP(B2920,'Poids des runes'!A:B,2,FALSE)))+1),(((D2920/100)*(C2920*VLOOKUP(B2920,'Poids des runes'!A:B,2,FALSE)))+1)/VLOOKUP(B2920,'Poids des runes'!A:B,2,FALSE))</f>
        <v>24.97</v>
      </c>
      <c r="F2920">
        <f t="shared" si="45"/>
        <v>24.97</v>
      </c>
    </row>
    <row r="2921" spans="1:6" x14ac:dyDescent="0.3">
      <c r="A2921" t="s">
        <v>756</v>
      </c>
      <c r="B2921" t="s">
        <v>2154</v>
      </c>
      <c r="C2921">
        <v>1</v>
      </c>
      <c r="D2921">
        <v>94</v>
      </c>
      <c r="E2921">
        <f>IF(OR(B2921="vi",B2921="ii",B2921="pod"),(((D2921/100)*(C2921*VLOOKUP(B2921,'Poids des runes'!A:B,2,FALSE)))+1),(((D2921/100)*(C2921*VLOOKUP(B2921,'Poids des runes'!A:B,2,FALSE)))+1)/VLOOKUP(B2921,'Poids des runes'!A:B,2,FALSE))</f>
        <v>0.95111111111111102</v>
      </c>
      <c r="F2921">
        <f t="shared" si="45"/>
        <v>0.95111111111111102</v>
      </c>
    </row>
    <row r="2922" spans="1:6" x14ac:dyDescent="0.3">
      <c r="A2922" t="s">
        <v>756</v>
      </c>
      <c r="B2922" t="s">
        <v>2147</v>
      </c>
      <c r="C2922">
        <v>4.5</v>
      </c>
      <c r="D2922">
        <v>94</v>
      </c>
      <c r="E2922">
        <f>IF(OR(B2922="vi",B2922="ii",B2922="pod"),(((D2922/100)*(C2922*VLOOKUP(B2922,'Poids des runes'!A:B,2,FALSE)))+1),(((D2922/100)*(C2922*VLOOKUP(B2922,'Poids des runes'!A:B,2,FALSE)))+1)/VLOOKUP(B2922,'Poids des runes'!A:B,2,FALSE))</f>
        <v>4.3966666666666665</v>
      </c>
      <c r="F2922">
        <f t="shared" si="45"/>
        <v>4.3966666666666665</v>
      </c>
    </row>
    <row r="2923" spans="1:6" x14ac:dyDescent="0.3">
      <c r="A2923" t="s">
        <v>757</v>
      </c>
      <c r="B2923" t="s">
        <v>2128</v>
      </c>
      <c r="C2923">
        <v>80.5</v>
      </c>
      <c r="D2923">
        <v>94</v>
      </c>
      <c r="E2923">
        <f>IF(OR(B2923="vi",B2923="ii",B2923="pod"),(((D2923/100)*(C2923*VLOOKUP(B2923,'Poids des runes'!A:B,2,FALSE)))+1),(((D2923/100)*(C2923*VLOOKUP(B2923,'Poids des runes'!A:B,2,FALSE)))+1)/VLOOKUP(B2923,'Poids des runes'!A:B,2,FALSE))</f>
        <v>16.134</v>
      </c>
      <c r="F2923">
        <f t="shared" si="45"/>
        <v>16.134</v>
      </c>
    </row>
    <row r="2924" spans="1:6" x14ac:dyDescent="0.3">
      <c r="A2924" t="s">
        <v>757</v>
      </c>
      <c r="B2924" t="s">
        <v>2129</v>
      </c>
      <c r="C2924">
        <v>23</v>
      </c>
      <c r="D2924">
        <v>94</v>
      </c>
      <c r="E2924">
        <f>IF(OR(B2924="vi",B2924="ii",B2924="pod"),(((D2924/100)*(C2924*VLOOKUP(B2924,'Poids des runes'!A:B,2,FALSE)))+1),(((D2924/100)*(C2924*VLOOKUP(B2924,'Poids des runes'!A:B,2,FALSE)))+1)/VLOOKUP(B2924,'Poids des runes'!A:B,2,FALSE))</f>
        <v>22.619999999999997</v>
      </c>
      <c r="F2924">
        <f t="shared" si="45"/>
        <v>22.619999999999997</v>
      </c>
    </row>
    <row r="2925" spans="1:6" x14ac:dyDescent="0.3">
      <c r="A2925" t="s">
        <v>757</v>
      </c>
      <c r="B2925" t="s">
        <v>2134</v>
      </c>
      <c r="C2925">
        <v>4.5</v>
      </c>
      <c r="D2925">
        <v>94</v>
      </c>
      <c r="E2925">
        <f>IF(OR(B2925="vi",B2925="ii",B2925="pod"),(((D2925/100)*(C2925*VLOOKUP(B2925,'Poids des runes'!A:B,2,FALSE)))+1),(((D2925/100)*(C2925*VLOOKUP(B2925,'Poids des runes'!A:B,2,FALSE)))+1)/VLOOKUP(B2925,'Poids des runes'!A:B,2,FALSE))</f>
        <v>4.2799999999999994</v>
      </c>
      <c r="F2925">
        <f t="shared" si="45"/>
        <v>4.2799999999999994</v>
      </c>
    </row>
    <row r="2926" spans="1:6" x14ac:dyDescent="0.3">
      <c r="A2926" t="s">
        <v>757</v>
      </c>
      <c r="B2926" t="s">
        <v>2149</v>
      </c>
      <c r="C2926">
        <v>13</v>
      </c>
      <c r="D2926">
        <v>94</v>
      </c>
      <c r="E2926">
        <f>IF(OR(B2926="vi",B2926="ii",B2926="pod"),(((D2926/100)*(C2926*VLOOKUP(B2926,'Poids des runes'!A:B,2,FALSE)))+1),(((D2926/100)*(C2926*VLOOKUP(B2926,'Poids des runes'!A:B,2,FALSE)))+1)/VLOOKUP(B2926,'Poids des runes'!A:B,2,FALSE))</f>
        <v>12.319999999999999</v>
      </c>
      <c r="F2926">
        <f t="shared" si="45"/>
        <v>12.319999999999999</v>
      </c>
    </row>
    <row r="2927" spans="1:6" x14ac:dyDescent="0.3">
      <c r="A2927" t="s">
        <v>757</v>
      </c>
      <c r="B2927" t="s">
        <v>2161</v>
      </c>
      <c r="C2927">
        <v>13</v>
      </c>
      <c r="D2927">
        <v>94</v>
      </c>
      <c r="E2927">
        <f>IF(OR(B2927="vi",B2927="ii",B2927="pod"),(((D2927/100)*(C2927*VLOOKUP(B2927,'Poids des runes'!A:B,2,FALSE)))+1),(((D2927/100)*(C2927*VLOOKUP(B2927,'Poids des runes'!A:B,2,FALSE)))+1)/VLOOKUP(B2927,'Poids des runes'!A:B,2,FALSE))</f>
        <v>12.553333333333333</v>
      </c>
      <c r="F2927">
        <f t="shared" si="45"/>
        <v>12.553333333333333</v>
      </c>
    </row>
    <row r="2928" spans="1:6" x14ac:dyDescent="0.3">
      <c r="A2928" t="s">
        <v>757</v>
      </c>
      <c r="B2928" t="s">
        <v>2156</v>
      </c>
      <c r="C2928">
        <v>3.5</v>
      </c>
      <c r="D2928">
        <v>94</v>
      </c>
      <c r="E2928">
        <f>IF(OR(B2928="vi",B2928="ii",B2928="pod"),(((D2928/100)*(C2928*VLOOKUP(B2928,'Poids des runes'!A:B,2,FALSE)))+1),(((D2928/100)*(C2928*VLOOKUP(B2928,'Poids des runes'!A:B,2,FALSE)))+1)/VLOOKUP(B2928,'Poids des runes'!A:B,2,FALSE))</f>
        <v>3.4566666666666666</v>
      </c>
      <c r="F2928">
        <f t="shared" si="45"/>
        <v>3.4566666666666666</v>
      </c>
    </row>
    <row r="2929" spans="1:6" x14ac:dyDescent="0.3">
      <c r="A2929" t="s">
        <v>757</v>
      </c>
      <c r="B2929" t="s">
        <v>2147</v>
      </c>
      <c r="C2929">
        <v>3.5</v>
      </c>
      <c r="D2929">
        <v>94</v>
      </c>
      <c r="E2929">
        <f>IF(OR(B2929="vi",B2929="ii",B2929="pod"),(((D2929/100)*(C2929*VLOOKUP(B2929,'Poids des runes'!A:B,2,FALSE)))+1),(((D2929/100)*(C2929*VLOOKUP(B2929,'Poids des runes'!A:B,2,FALSE)))+1)/VLOOKUP(B2929,'Poids des runes'!A:B,2,FALSE))</f>
        <v>3.4566666666666666</v>
      </c>
      <c r="F2929">
        <f t="shared" si="45"/>
        <v>3.4566666666666666</v>
      </c>
    </row>
    <row r="2930" spans="1:6" x14ac:dyDescent="0.3">
      <c r="A2930" t="s">
        <v>758</v>
      </c>
      <c r="B2930" t="s">
        <v>2128</v>
      </c>
      <c r="C2930">
        <v>80.5</v>
      </c>
      <c r="D2930">
        <v>94</v>
      </c>
      <c r="E2930">
        <f>IF(OR(B2930="vi",B2930="ii",B2930="pod"),(((D2930/100)*(C2930*VLOOKUP(B2930,'Poids des runes'!A:B,2,FALSE)))+1),(((D2930/100)*(C2930*VLOOKUP(B2930,'Poids des runes'!A:B,2,FALSE)))+1)/VLOOKUP(B2930,'Poids des runes'!A:B,2,FALSE))</f>
        <v>16.134</v>
      </c>
      <c r="F2930">
        <f t="shared" si="45"/>
        <v>16.134</v>
      </c>
    </row>
    <row r="2931" spans="1:6" x14ac:dyDescent="0.3">
      <c r="A2931" t="s">
        <v>758</v>
      </c>
      <c r="B2931" t="s">
        <v>2130</v>
      </c>
      <c r="C2931">
        <v>25.5</v>
      </c>
      <c r="D2931">
        <v>94</v>
      </c>
      <c r="E2931">
        <f>IF(OR(B2931="vi",B2931="ii",B2931="pod"),(((D2931/100)*(C2931*VLOOKUP(B2931,'Poids des runes'!A:B,2,FALSE)))+1),(((D2931/100)*(C2931*VLOOKUP(B2931,'Poids des runes'!A:B,2,FALSE)))+1)/VLOOKUP(B2931,'Poids des runes'!A:B,2,FALSE))</f>
        <v>24.97</v>
      </c>
      <c r="F2931">
        <f t="shared" si="45"/>
        <v>24.97</v>
      </c>
    </row>
    <row r="2932" spans="1:6" x14ac:dyDescent="0.3">
      <c r="A2932" t="s">
        <v>758</v>
      </c>
      <c r="B2932" t="s">
        <v>2154</v>
      </c>
      <c r="C2932">
        <v>1</v>
      </c>
      <c r="D2932">
        <v>94</v>
      </c>
      <c r="E2932">
        <f>IF(OR(B2932="vi",B2932="ii",B2932="pod"),(((D2932/100)*(C2932*VLOOKUP(B2932,'Poids des runes'!A:B,2,FALSE)))+1),(((D2932/100)*(C2932*VLOOKUP(B2932,'Poids des runes'!A:B,2,FALSE)))+1)/VLOOKUP(B2932,'Poids des runes'!A:B,2,FALSE))</f>
        <v>0.95111111111111102</v>
      </c>
      <c r="F2932">
        <f t="shared" si="45"/>
        <v>0.95111111111111102</v>
      </c>
    </row>
    <row r="2933" spans="1:6" x14ac:dyDescent="0.3">
      <c r="A2933" t="s">
        <v>758</v>
      </c>
      <c r="B2933" t="s">
        <v>2143</v>
      </c>
      <c r="C2933">
        <v>3.5</v>
      </c>
      <c r="D2933">
        <v>94</v>
      </c>
      <c r="E2933">
        <f>IF(OR(B2933="vi",B2933="ii",B2933="pod"),(((D2933/100)*(C2933*VLOOKUP(B2933,'Poids des runes'!A:B,2,FALSE)))+1),(((D2933/100)*(C2933*VLOOKUP(B2933,'Poids des runes'!A:B,2,FALSE)))+1)/VLOOKUP(B2933,'Poids des runes'!A:B,2,FALSE))</f>
        <v>3.4899999999999998</v>
      </c>
      <c r="F2933">
        <f t="shared" si="45"/>
        <v>3.4899999999999998</v>
      </c>
    </row>
    <row r="2934" spans="1:6" x14ac:dyDescent="0.3">
      <c r="A2934" t="s">
        <v>758</v>
      </c>
      <c r="B2934" t="s">
        <v>2135</v>
      </c>
      <c r="C2934">
        <v>6</v>
      </c>
      <c r="D2934">
        <v>94</v>
      </c>
      <c r="E2934">
        <f>IF(OR(B2934="vi",B2934="ii",B2934="pod"),(((D2934/100)*(C2934*VLOOKUP(B2934,'Poids des runes'!A:B,2,FALSE)))+1),(((D2934/100)*(C2934*VLOOKUP(B2934,'Poids des runes'!A:B,2,FALSE)))+1)/VLOOKUP(B2934,'Poids des runes'!A:B,2,FALSE))</f>
        <v>5.8066666666666658</v>
      </c>
      <c r="F2934">
        <f t="shared" si="45"/>
        <v>5.8066666666666658</v>
      </c>
    </row>
    <row r="2935" spans="1:6" x14ac:dyDescent="0.3">
      <c r="A2935" t="s">
        <v>759</v>
      </c>
      <c r="B2935" t="s">
        <v>2128</v>
      </c>
      <c r="C2935">
        <v>60.5</v>
      </c>
      <c r="D2935">
        <v>95</v>
      </c>
      <c r="E2935">
        <f>IF(OR(B2935="vi",B2935="ii",B2935="pod"),(((D2935/100)*(C2935*VLOOKUP(B2935,'Poids des runes'!A:B,2,FALSE)))+1),(((D2935/100)*(C2935*VLOOKUP(B2935,'Poids des runes'!A:B,2,FALSE)))+1)/VLOOKUP(B2935,'Poids des runes'!A:B,2,FALSE))</f>
        <v>12.495000000000001</v>
      </c>
      <c r="F2935">
        <f t="shared" si="45"/>
        <v>12.495000000000001</v>
      </c>
    </row>
    <row r="2936" spans="1:6" x14ac:dyDescent="0.3">
      <c r="A2936" t="s">
        <v>759</v>
      </c>
      <c r="B2936" t="s">
        <v>2127</v>
      </c>
      <c r="C2936">
        <v>45.5</v>
      </c>
      <c r="D2936">
        <v>95</v>
      </c>
      <c r="E2936">
        <f>IF(OR(B2936="vi",B2936="ii",B2936="pod"),(((D2936/100)*(C2936*VLOOKUP(B2936,'Poids des runes'!A:B,2,FALSE)))+1),(((D2936/100)*(C2936*VLOOKUP(B2936,'Poids des runes'!A:B,2,FALSE)))+1)/VLOOKUP(B2936,'Poids des runes'!A:B,2,FALSE))</f>
        <v>44.225000000000001</v>
      </c>
      <c r="F2936">
        <f t="shared" si="45"/>
        <v>44.225000000000001</v>
      </c>
    </row>
    <row r="2937" spans="1:6" x14ac:dyDescent="0.3">
      <c r="A2937" t="s">
        <v>759</v>
      </c>
      <c r="B2937" t="s">
        <v>2129</v>
      </c>
      <c r="C2937">
        <v>18</v>
      </c>
      <c r="D2937">
        <v>95</v>
      </c>
      <c r="E2937">
        <f>IF(OR(B2937="vi",B2937="ii",B2937="pod"),(((D2937/100)*(C2937*VLOOKUP(B2937,'Poids des runes'!A:B,2,FALSE)))+1),(((D2937/100)*(C2937*VLOOKUP(B2937,'Poids des runes'!A:B,2,FALSE)))+1)/VLOOKUP(B2937,'Poids des runes'!A:B,2,FALSE))</f>
        <v>18.099999999999998</v>
      </c>
      <c r="F2937">
        <f t="shared" si="45"/>
        <v>18.099999999999998</v>
      </c>
    </row>
    <row r="2938" spans="1:6" x14ac:dyDescent="0.3">
      <c r="A2938" t="s">
        <v>759</v>
      </c>
      <c r="B2938" t="s">
        <v>2151</v>
      </c>
      <c r="C2938">
        <v>2.5</v>
      </c>
      <c r="D2938">
        <v>95</v>
      </c>
      <c r="E2938">
        <f>IF(OR(B2938="vi",B2938="ii",B2938="pod"),(((D2938/100)*(C2938*VLOOKUP(B2938,'Poids des runes'!A:B,2,FALSE)))+1),(((D2938/100)*(C2938*VLOOKUP(B2938,'Poids des runes'!A:B,2,FALSE)))+1)/VLOOKUP(B2938,'Poids des runes'!A:B,2,FALSE))</f>
        <v>2.4750000000000001</v>
      </c>
      <c r="F2938">
        <f t="shared" si="45"/>
        <v>2.4750000000000001</v>
      </c>
    </row>
    <row r="2939" spans="1:6" x14ac:dyDescent="0.3">
      <c r="A2939" t="s">
        <v>759</v>
      </c>
      <c r="B2939" t="s">
        <v>2150</v>
      </c>
      <c r="C2939">
        <v>2</v>
      </c>
      <c r="D2939">
        <v>95</v>
      </c>
      <c r="E2939">
        <f>IF(OR(B2939="vi",B2939="ii",B2939="pod"),(((D2939/100)*(C2939*VLOOKUP(B2939,'Poids des runes'!A:B,2,FALSE)))+1),(((D2939/100)*(C2939*VLOOKUP(B2939,'Poids des runes'!A:B,2,FALSE)))+1)/VLOOKUP(B2939,'Poids des runes'!A:B,2,FALSE))</f>
        <v>1.9333333333333333</v>
      </c>
      <c r="F2939">
        <f t="shared" si="45"/>
        <v>1.9333333333333333</v>
      </c>
    </row>
    <row r="2940" spans="1:6" x14ac:dyDescent="0.3">
      <c r="A2940" t="s">
        <v>759</v>
      </c>
      <c r="B2940" t="s">
        <v>2134</v>
      </c>
      <c r="C2940">
        <v>2.5</v>
      </c>
      <c r="D2940">
        <v>95</v>
      </c>
      <c r="E2940">
        <f>IF(OR(B2940="vi",B2940="ii",B2940="pod"),(((D2940/100)*(C2940*VLOOKUP(B2940,'Poids des runes'!A:B,2,FALSE)))+1),(((D2940/100)*(C2940*VLOOKUP(B2940,'Poids des runes'!A:B,2,FALSE)))+1)/VLOOKUP(B2940,'Poids des runes'!A:B,2,FALSE))</f>
        <v>2.4249999999999998</v>
      </c>
      <c r="F2940">
        <f t="shared" si="45"/>
        <v>2.4249999999999998</v>
      </c>
    </row>
    <row r="2941" spans="1:6" x14ac:dyDescent="0.3">
      <c r="A2941" t="s">
        <v>760</v>
      </c>
      <c r="B2941" t="s">
        <v>2128</v>
      </c>
      <c r="C2941">
        <v>50.5</v>
      </c>
      <c r="D2941">
        <v>95</v>
      </c>
      <c r="E2941">
        <f>IF(OR(B2941="vi",B2941="ii",B2941="pod"),(((D2941/100)*(C2941*VLOOKUP(B2941,'Poids des runes'!A:B,2,FALSE)))+1),(((D2941/100)*(C2941*VLOOKUP(B2941,'Poids des runes'!A:B,2,FALSE)))+1)/VLOOKUP(B2941,'Poids des runes'!A:B,2,FALSE))</f>
        <v>10.595000000000001</v>
      </c>
      <c r="F2941">
        <f t="shared" si="45"/>
        <v>10.595000000000001</v>
      </c>
    </row>
    <row r="2942" spans="1:6" x14ac:dyDescent="0.3">
      <c r="A2942" t="s">
        <v>760</v>
      </c>
      <c r="B2942" t="s">
        <v>2131</v>
      </c>
      <c r="C2942">
        <v>45.5</v>
      </c>
      <c r="D2942">
        <v>95</v>
      </c>
      <c r="E2942">
        <f>IF(OR(B2942="vi",B2942="ii",B2942="pod"),(((D2942/100)*(C2942*VLOOKUP(B2942,'Poids des runes'!A:B,2,FALSE)))+1),(((D2942/100)*(C2942*VLOOKUP(B2942,'Poids des runes'!A:B,2,FALSE)))+1)/VLOOKUP(B2942,'Poids des runes'!A:B,2,FALSE))</f>
        <v>44.225000000000001</v>
      </c>
      <c r="F2942">
        <f t="shared" si="45"/>
        <v>44.225000000000001</v>
      </c>
    </row>
    <row r="2943" spans="1:6" x14ac:dyDescent="0.3">
      <c r="A2943" t="s">
        <v>760</v>
      </c>
      <c r="B2943" t="s">
        <v>2129</v>
      </c>
      <c r="C2943">
        <v>15.5</v>
      </c>
      <c r="D2943">
        <v>95</v>
      </c>
      <c r="E2943">
        <f>IF(OR(B2943="vi",B2943="ii",B2943="pod"),(((D2943/100)*(C2943*VLOOKUP(B2943,'Poids des runes'!A:B,2,FALSE)))+1),(((D2943/100)*(C2943*VLOOKUP(B2943,'Poids des runes'!A:B,2,FALSE)))+1)/VLOOKUP(B2943,'Poids des runes'!A:B,2,FALSE))</f>
        <v>15.725</v>
      </c>
      <c r="F2943">
        <f t="shared" si="45"/>
        <v>15.725</v>
      </c>
    </row>
    <row r="2944" spans="1:6" x14ac:dyDescent="0.3">
      <c r="A2944" t="s">
        <v>760</v>
      </c>
      <c r="B2944" t="s">
        <v>2139</v>
      </c>
      <c r="C2944">
        <v>18</v>
      </c>
      <c r="D2944">
        <v>95</v>
      </c>
      <c r="E2944">
        <f>IF(OR(B2944="vi",B2944="ii",B2944="pod"),(((D2944/100)*(C2944*VLOOKUP(B2944,'Poids des runes'!A:B,2,FALSE)))+1),(((D2944/100)*(C2944*VLOOKUP(B2944,'Poids des runes'!A:B,2,FALSE)))+1)/VLOOKUP(B2944,'Poids des runes'!A:B,2,FALSE))</f>
        <v>17.599999999999998</v>
      </c>
      <c r="F2944">
        <f t="shared" si="45"/>
        <v>17.599999999999998</v>
      </c>
    </row>
    <row r="2945" spans="1:6" x14ac:dyDescent="0.3">
      <c r="A2945" t="s">
        <v>760</v>
      </c>
      <c r="B2945" t="s">
        <v>2134</v>
      </c>
      <c r="C2945">
        <v>6</v>
      </c>
      <c r="D2945">
        <v>95</v>
      </c>
      <c r="E2945">
        <f>IF(OR(B2945="vi",B2945="ii",B2945="pod"),(((D2945/100)*(C2945*VLOOKUP(B2945,'Poids des runes'!A:B,2,FALSE)))+1),(((D2945/100)*(C2945*VLOOKUP(B2945,'Poids des runes'!A:B,2,FALSE)))+1)/VLOOKUP(B2945,'Poids des runes'!A:B,2,FALSE))</f>
        <v>5.75</v>
      </c>
      <c r="F2945">
        <f t="shared" si="45"/>
        <v>5.75</v>
      </c>
    </row>
    <row r="2946" spans="1:6" x14ac:dyDescent="0.3">
      <c r="A2946" t="s">
        <v>760</v>
      </c>
      <c r="B2946" t="s">
        <v>2161</v>
      </c>
      <c r="C2946">
        <v>13</v>
      </c>
      <c r="D2946">
        <v>95</v>
      </c>
      <c r="E2946">
        <f>IF(OR(B2946="vi",B2946="ii",B2946="pod"),(((D2946/100)*(C2946*VLOOKUP(B2946,'Poids des runes'!A:B,2,FALSE)))+1),(((D2946/100)*(C2946*VLOOKUP(B2946,'Poids des runes'!A:B,2,FALSE)))+1)/VLOOKUP(B2946,'Poids des runes'!A:B,2,FALSE))</f>
        <v>12.683333333333332</v>
      </c>
      <c r="F2946">
        <f t="shared" si="45"/>
        <v>12.683333333333332</v>
      </c>
    </row>
    <row r="2947" spans="1:6" x14ac:dyDescent="0.3">
      <c r="A2947" t="s">
        <v>760</v>
      </c>
      <c r="B2947" t="s">
        <v>2135</v>
      </c>
      <c r="C2947">
        <v>4.5</v>
      </c>
      <c r="D2947">
        <v>95</v>
      </c>
      <c r="E2947">
        <f>IF(OR(B2947="vi",B2947="ii",B2947="pod"),(((D2947/100)*(C2947*VLOOKUP(B2947,'Poids des runes'!A:B,2,FALSE)))+1),(((D2947/100)*(C2947*VLOOKUP(B2947,'Poids des runes'!A:B,2,FALSE)))+1)/VLOOKUP(B2947,'Poids des runes'!A:B,2,FALSE))</f>
        <v>4.4416666666666664</v>
      </c>
      <c r="F2947">
        <f t="shared" ref="F2947:F3010" si="46">E2947</f>
        <v>4.4416666666666664</v>
      </c>
    </row>
    <row r="2948" spans="1:6" x14ac:dyDescent="0.3">
      <c r="A2948" t="s">
        <v>761</v>
      </c>
      <c r="B2948" t="s">
        <v>2128</v>
      </c>
      <c r="C2948">
        <v>85.5</v>
      </c>
      <c r="D2948">
        <v>95</v>
      </c>
      <c r="E2948">
        <f>IF(OR(B2948="vi",B2948="ii",B2948="pod"),(((D2948/100)*(C2948*VLOOKUP(B2948,'Poids des runes'!A:B,2,FALSE)))+1),(((D2948/100)*(C2948*VLOOKUP(B2948,'Poids des runes'!A:B,2,FALSE)))+1)/VLOOKUP(B2948,'Poids des runes'!A:B,2,FALSE))</f>
        <v>17.245000000000001</v>
      </c>
      <c r="F2948">
        <f t="shared" si="46"/>
        <v>17.245000000000001</v>
      </c>
    </row>
    <row r="2949" spans="1:6" x14ac:dyDescent="0.3">
      <c r="A2949" t="s">
        <v>761</v>
      </c>
      <c r="B2949" t="s">
        <v>2130</v>
      </c>
      <c r="C2949">
        <v>35.5</v>
      </c>
      <c r="D2949">
        <v>95</v>
      </c>
      <c r="E2949">
        <f>IF(OR(B2949="vi",B2949="ii",B2949="pod"),(((D2949/100)*(C2949*VLOOKUP(B2949,'Poids des runes'!A:B,2,FALSE)))+1),(((D2949/100)*(C2949*VLOOKUP(B2949,'Poids des runes'!A:B,2,FALSE)))+1)/VLOOKUP(B2949,'Poids des runes'!A:B,2,FALSE))</f>
        <v>34.725000000000001</v>
      </c>
      <c r="F2949">
        <f t="shared" si="46"/>
        <v>34.725000000000001</v>
      </c>
    </row>
    <row r="2950" spans="1:6" x14ac:dyDescent="0.3">
      <c r="A2950" t="s">
        <v>761</v>
      </c>
      <c r="B2950" t="s">
        <v>2127</v>
      </c>
      <c r="C2950">
        <v>35.5</v>
      </c>
      <c r="D2950">
        <v>95</v>
      </c>
      <c r="E2950">
        <f>IF(OR(B2950="vi",B2950="ii",B2950="pod"),(((D2950/100)*(C2950*VLOOKUP(B2950,'Poids des runes'!A:B,2,FALSE)))+1),(((D2950/100)*(C2950*VLOOKUP(B2950,'Poids des runes'!A:B,2,FALSE)))+1)/VLOOKUP(B2950,'Poids des runes'!A:B,2,FALSE))</f>
        <v>34.725000000000001</v>
      </c>
      <c r="F2950">
        <f t="shared" si="46"/>
        <v>34.725000000000001</v>
      </c>
    </row>
    <row r="2951" spans="1:6" x14ac:dyDescent="0.3">
      <c r="A2951" t="s">
        <v>761</v>
      </c>
      <c r="B2951" t="s">
        <v>2151</v>
      </c>
      <c r="C2951">
        <v>2.5</v>
      </c>
      <c r="D2951">
        <v>95</v>
      </c>
      <c r="E2951">
        <f>IF(OR(B2951="vi",B2951="ii",B2951="pod"),(((D2951/100)*(C2951*VLOOKUP(B2951,'Poids des runes'!A:B,2,FALSE)))+1),(((D2951/100)*(C2951*VLOOKUP(B2951,'Poids des runes'!A:B,2,FALSE)))+1)/VLOOKUP(B2951,'Poids des runes'!A:B,2,FALSE))</f>
        <v>2.4750000000000001</v>
      </c>
      <c r="F2951">
        <f t="shared" si="46"/>
        <v>2.4750000000000001</v>
      </c>
    </row>
    <row r="2952" spans="1:6" x14ac:dyDescent="0.3">
      <c r="A2952" t="s">
        <v>761</v>
      </c>
      <c r="B2952" t="s">
        <v>2134</v>
      </c>
      <c r="C2952">
        <v>5</v>
      </c>
      <c r="D2952">
        <v>95</v>
      </c>
      <c r="E2952">
        <f>IF(OR(B2952="vi",B2952="ii",B2952="pod"),(((D2952/100)*(C2952*VLOOKUP(B2952,'Poids des runes'!A:B,2,FALSE)))+1),(((D2952/100)*(C2952*VLOOKUP(B2952,'Poids des runes'!A:B,2,FALSE)))+1)/VLOOKUP(B2952,'Poids des runes'!A:B,2,FALSE))</f>
        <v>4.8</v>
      </c>
      <c r="F2952">
        <f t="shared" si="46"/>
        <v>4.8</v>
      </c>
    </row>
    <row r="2953" spans="1:6" x14ac:dyDescent="0.3">
      <c r="A2953" t="s">
        <v>761</v>
      </c>
      <c r="B2953" t="s">
        <v>2161</v>
      </c>
      <c r="C2953">
        <v>8.5</v>
      </c>
      <c r="D2953">
        <v>95</v>
      </c>
      <c r="E2953">
        <f>IF(OR(B2953="vi",B2953="ii",B2953="pod"),(((D2953/100)*(C2953*VLOOKUP(B2953,'Poids des runes'!A:B,2,FALSE)))+1),(((D2953/100)*(C2953*VLOOKUP(B2953,'Poids des runes'!A:B,2,FALSE)))+1)/VLOOKUP(B2953,'Poids des runes'!A:B,2,FALSE))</f>
        <v>8.4083333333333332</v>
      </c>
      <c r="F2953">
        <f t="shared" si="46"/>
        <v>8.4083333333333332</v>
      </c>
    </row>
    <row r="2954" spans="1:6" x14ac:dyDescent="0.3">
      <c r="A2954" t="s">
        <v>761</v>
      </c>
      <c r="B2954" t="s">
        <v>2132</v>
      </c>
      <c r="C2954">
        <v>200.5</v>
      </c>
      <c r="D2954">
        <v>95</v>
      </c>
      <c r="E2954">
        <f>IF(OR(B2954="vi",B2954="ii",B2954="pod"),(((D2954/100)*(C2954*VLOOKUP(B2954,'Poids des runes'!A:B,2,FALSE)))+1),(((D2954/100)*(C2954*VLOOKUP(B2954,'Poids des runes'!A:B,2,FALSE)))+1)/VLOOKUP(B2954,'Poids des runes'!A:B,2,FALSE))</f>
        <v>20.047499999999999</v>
      </c>
      <c r="F2954">
        <f t="shared" si="46"/>
        <v>20.047499999999999</v>
      </c>
    </row>
    <row r="2955" spans="1:6" x14ac:dyDescent="0.3">
      <c r="A2955" t="s">
        <v>761</v>
      </c>
      <c r="B2955" t="s">
        <v>2147</v>
      </c>
      <c r="C2955">
        <v>4.5</v>
      </c>
      <c r="D2955">
        <v>95</v>
      </c>
      <c r="E2955">
        <f>IF(OR(B2955="vi",B2955="ii",B2955="pod"),(((D2955/100)*(C2955*VLOOKUP(B2955,'Poids des runes'!A:B,2,FALSE)))+1),(((D2955/100)*(C2955*VLOOKUP(B2955,'Poids des runes'!A:B,2,FALSE)))+1)/VLOOKUP(B2955,'Poids des runes'!A:B,2,FALSE))</f>
        <v>4.4416666666666664</v>
      </c>
      <c r="F2955">
        <f t="shared" si="46"/>
        <v>4.4416666666666664</v>
      </c>
    </row>
    <row r="2956" spans="1:6" x14ac:dyDescent="0.3">
      <c r="A2956" t="s">
        <v>762</v>
      </c>
      <c r="B2956" t="s">
        <v>2128</v>
      </c>
      <c r="C2956">
        <v>100.5</v>
      </c>
      <c r="D2956">
        <v>95</v>
      </c>
      <c r="E2956">
        <f>IF(OR(B2956="vi",B2956="ii",B2956="pod"),(((D2956/100)*(C2956*VLOOKUP(B2956,'Poids des runes'!A:B,2,FALSE)))+1),(((D2956/100)*(C2956*VLOOKUP(B2956,'Poids des runes'!A:B,2,FALSE)))+1)/VLOOKUP(B2956,'Poids des runes'!A:B,2,FALSE))</f>
        <v>20.094999999999999</v>
      </c>
      <c r="F2956">
        <f t="shared" si="46"/>
        <v>20.094999999999999</v>
      </c>
    </row>
    <row r="2957" spans="1:6" x14ac:dyDescent="0.3">
      <c r="A2957" t="s">
        <v>762</v>
      </c>
      <c r="B2957" t="s">
        <v>2130</v>
      </c>
      <c r="C2957">
        <v>35.5</v>
      </c>
      <c r="D2957">
        <v>95</v>
      </c>
      <c r="E2957">
        <f>IF(OR(B2957="vi",B2957="ii",B2957="pod"),(((D2957/100)*(C2957*VLOOKUP(B2957,'Poids des runes'!A:B,2,FALSE)))+1),(((D2957/100)*(C2957*VLOOKUP(B2957,'Poids des runes'!A:B,2,FALSE)))+1)/VLOOKUP(B2957,'Poids des runes'!A:B,2,FALSE))</f>
        <v>34.725000000000001</v>
      </c>
      <c r="F2957">
        <f t="shared" si="46"/>
        <v>34.725000000000001</v>
      </c>
    </row>
    <row r="2958" spans="1:6" x14ac:dyDescent="0.3">
      <c r="A2958" t="s">
        <v>762</v>
      </c>
      <c r="B2958" t="s">
        <v>2129</v>
      </c>
      <c r="C2958">
        <v>15.5</v>
      </c>
      <c r="D2958">
        <v>95</v>
      </c>
      <c r="E2958">
        <f>IF(OR(B2958="vi",B2958="ii",B2958="pod"),(((D2958/100)*(C2958*VLOOKUP(B2958,'Poids des runes'!A:B,2,FALSE)))+1),(((D2958/100)*(C2958*VLOOKUP(B2958,'Poids des runes'!A:B,2,FALSE)))+1)/VLOOKUP(B2958,'Poids des runes'!A:B,2,FALSE))</f>
        <v>15.725</v>
      </c>
      <c r="F2958">
        <f t="shared" si="46"/>
        <v>15.725</v>
      </c>
    </row>
    <row r="2959" spans="1:6" x14ac:dyDescent="0.3">
      <c r="A2959" t="s">
        <v>762</v>
      </c>
      <c r="B2959" t="s">
        <v>2151</v>
      </c>
      <c r="C2959">
        <v>2.5</v>
      </c>
      <c r="D2959">
        <v>95</v>
      </c>
      <c r="E2959">
        <f>IF(OR(B2959="vi",B2959="ii",B2959="pod"),(((D2959/100)*(C2959*VLOOKUP(B2959,'Poids des runes'!A:B,2,FALSE)))+1),(((D2959/100)*(C2959*VLOOKUP(B2959,'Poids des runes'!A:B,2,FALSE)))+1)/VLOOKUP(B2959,'Poids des runes'!A:B,2,FALSE))</f>
        <v>2.4750000000000001</v>
      </c>
      <c r="F2959">
        <f t="shared" si="46"/>
        <v>2.4750000000000001</v>
      </c>
    </row>
    <row r="2960" spans="1:6" x14ac:dyDescent="0.3">
      <c r="A2960" t="s">
        <v>762</v>
      </c>
      <c r="B2960" t="s">
        <v>2143</v>
      </c>
      <c r="C2960">
        <v>5</v>
      </c>
      <c r="D2960">
        <v>95</v>
      </c>
      <c r="E2960">
        <f>IF(OR(B2960="vi",B2960="ii",B2960="pod"),(((D2960/100)*(C2960*VLOOKUP(B2960,'Poids des runes'!A:B,2,FALSE)))+1),(((D2960/100)*(C2960*VLOOKUP(B2960,'Poids des runes'!A:B,2,FALSE)))+1)/VLOOKUP(B2960,'Poids des runes'!A:B,2,FALSE))</f>
        <v>4.95</v>
      </c>
      <c r="F2960">
        <f t="shared" si="46"/>
        <v>4.95</v>
      </c>
    </row>
    <row r="2961" spans="1:6" x14ac:dyDescent="0.3">
      <c r="A2961" t="s">
        <v>762</v>
      </c>
      <c r="B2961" t="s">
        <v>2138</v>
      </c>
      <c r="C2961">
        <v>2.5</v>
      </c>
      <c r="D2961">
        <v>95</v>
      </c>
      <c r="E2961">
        <f>IF(OR(B2961="vi",B2961="ii",B2961="pod"),(((D2961/100)*(C2961*VLOOKUP(B2961,'Poids des runes'!A:B,2,FALSE)))+1),(((D2961/100)*(C2961*VLOOKUP(B2961,'Poids des runes'!A:B,2,FALSE)))+1)/VLOOKUP(B2961,'Poids des runes'!A:B,2,FALSE))</f>
        <v>2.625</v>
      </c>
      <c r="F2961">
        <f t="shared" si="46"/>
        <v>2.625</v>
      </c>
    </row>
    <row r="2962" spans="1:6" x14ac:dyDescent="0.3">
      <c r="A2962" t="s">
        <v>762</v>
      </c>
      <c r="B2962" t="s">
        <v>2147</v>
      </c>
      <c r="C2962">
        <v>4</v>
      </c>
      <c r="D2962">
        <v>95</v>
      </c>
      <c r="E2962">
        <f>IF(OR(B2962="vi",B2962="ii",B2962="pod"),(((D2962/100)*(C2962*VLOOKUP(B2962,'Poids des runes'!A:B,2,FALSE)))+1),(((D2962/100)*(C2962*VLOOKUP(B2962,'Poids des runes'!A:B,2,FALSE)))+1)/VLOOKUP(B2962,'Poids des runes'!A:B,2,FALSE))</f>
        <v>3.9666666666666663</v>
      </c>
      <c r="F2962">
        <f t="shared" si="46"/>
        <v>3.9666666666666663</v>
      </c>
    </row>
    <row r="2963" spans="1:6" x14ac:dyDescent="0.3">
      <c r="A2963" t="s">
        <v>762</v>
      </c>
      <c r="B2963" t="s">
        <v>2135</v>
      </c>
      <c r="C2963">
        <v>4</v>
      </c>
      <c r="D2963">
        <v>95</v>
      </c>
      <c r="E2963">
        <f>IF(OR(B2963="vi",B2963="ii",B2963="pod"),(((D2963/100)*(C2963*VLOOKUP(B2963,'Poids des runes'!A:B,2,FALSE)))+1),(((D2963/100)*(C2963*VLOOKUP(B2963,'Poids des runes'!A:B,2,FALSE)))+1)/VLOOKUP(B2963,'Poids des runes'!A:B,2,FALSE))</f>
        <v>3.9666666666666663</v>
      </c>
      <c r="F2963">
        <f t="shared" si="46"/>
        <v>3.9666666666666663</v>
      </c>
    </row>
    <row r="2964" spans="1:6" x14ac:dyDescent="0.3">
      <c r="A2964" t="s">
        <v>763</v>
      </c>
      <c r="B2964" t="s">
        <v>2128</v>
      </c>
      <c r="C2964">
        <v>70.5</v>
      </c>
      <c r="D2964">
        <v>95</v>
      </c>
      <c r="E2964">
        <f>IF(OR(B2964="vi",B2964="ii",B2964="pod"),(((D2964/100)*(C2964*VLOOKUP(B2964,'Poids des runes'!A:B,2,FALSE)))+1),(((D2964/100)*(C2964*VLOOKUP(B2964,'Poids des runes'!A:B,2,FALSE)))+1)/VLOOKUP(B2964,'Poids des runes'!A:B,2,FALSE))</f>
        <v>14.395000000000001</v>
      </c>
      <c r="F2964">
        <f t="shared" si="46"/>
        <v>14.395000000000001</v>
      </c>
    </row>
    <row r="2965" spans="1:6" x14ac:dyDescent="0.3">
      <c r="A2965" t="s">
        <v>763</v>
      </c>
      <c r="B2965" t="s">
        <v>2130</v>
      </c>
      <c r="C2965">
        <v>35.5</v>
      </c>
      <c r="D2965">
        <v>95</v>
      </c>
      <c r="E2965">
        <f>IF(OR(B2965="vi",B2965="ii",B2965="pod"),(((D2965/100)*(C2965*VLOOKUP(B2965,'Poids des runes'!A:B,2,FALSE)))+1),(((D2965/100)*(C2965*VLOOKUP(B2965,'Poids des runes'!A:B,2,FALSE)))+1)/VLOOKUP(B2965,'Poids des runes'!A:B,2,FALSE))</f>
        <v>34.725000000000001</v>
      </c>
      <c r="F2965">
        <f t="shared" si="46"/>
        <v>34.725000000000001</v>
      </c>
    </row>
    <row r="2966" spans="1:6" x14ac:dyDescent="0.3">
      <c r="A2966" t="s">
        <v>763</v>
      </c>
      <c r="B2966" t="s">
        <v>2126</v>
      </c>
      <c r="C2966">
        <v>35.5</v>
      </c>
      <c r="D2966">
        <v>95</v>
      </c>
      <c r="E2966">
        <f>IF(OR(B2966="vi",B2966="ii",B2966="pod"),(((D2966/100)*(C2966*VLOOKUP(B2966,'Poids des runes'!A:B,2,FALSE)))+1),(((D2966/100)*(C2966*VLOOKUP(B2966,'Poids des runes'!A:B,2,FALSE)))+1)/VLOOKUP(B2966,'Poids des runes'!A:B,2,FALSE))</f>
        <v>34.725000000000001</v>
      </c>
      <c r="F2966">
        <f t="shared" si="46"/>
        <v>34.725000000000001</v>
      </c>
    </row>
    <row r="2967" spans="1:6" x14ac:dyDescent="0.3">
      <c r="A2967" t="s">
        <v>763</v>
      </c>
      <c r="B2967" t="s">
        <v>2129</v>
      </c>
      <c r="C2967">
        <v>18</v>
      </c>
      <c r="D2967">
        <v>95</v>
      </c>
      <c r="E2967">
        <f>IF(OR(B2967="vi",B2967="ii",B2967="pod"),(((D2967/100)*(C2967*VLOOKUP(B2967,'Poids des runes'!A:B,2,FALSE)))+1),(((D2967/100)*(C2967*VLOOKUP(B2967,'Poids des runes'!A:B,2,FALSE)))+1)/VLOOKUP(B2967,'Poids des runes'!A:B,2,FALSE))</f>
        <v>18.099999999999998</v>
      </c>
      <c r="F2967">
        <f t="shared" si="46"/>
        <v>18.099999999999998</v>
      </c>
    </row>
    <row r="2968" spans="1:6" x14ac:dyDescent="0.3">
      <c r="A2968" t="s">
        <v>763</v>
      </c>
      <c r="B2968" t="s">
        <v>2134</v>
      </c>
      <c r="C2968">
        <v>3.5</v>
      </c>
      <c r="D2968">
        <v>95</v>
      </c>
      <c r="E2968">
        <f>IF(OR(B2968="vi",B2968="ii",B2968="pod"),(((D2968/100)*(C2968*VLOOKUP(B2968,'Poids des runes'!A:B,2,FALSE)))+1),(((D2968/100)*(C2968*VLOOKUP(B2968,'Poids des runes'!A:B,2,FALSE)))+1)/VLOOKUP(B2968,'Poids des runes'!A:B,2,FALSE))</f>
        <v>3.375</v>
      </c>
      <c r="F2968">
        <f t="shared" si="46"/>
        <v>3.375</v>
      </c>
    </row>
    <row r="2969" spans="1:6" x14ac:dyDescent="0.3">
      <c r="A2969" t="s">
        <v>763</v>
      </c>
      <c r="B2969" t="s">
        <v>2161</v>
      </c>
      <c r="C2969">
        <v>8.5</v>
      </c>
      <c r="D2969">
        <v>95</v>
      </c>
      <c r="E2969">
        <f>IF(OR(B2969="vi",B2969="ii",B2969="pod"),(((D2969/100)*(C2969*VLOOKUP(B2969,'Poids des runes'!A:B,2,FALSE)))+1),(((D2969/100)*(C2969*VLOOKUP(B2969,'Poids des runes'!A:B,2,FALSE)))+1)/VLOOKUP(B2969,'Poids des runes'!A:B,2,FALSE))</f>
        <v>8.4083333333333332</v>
      </c>
      <c r="F2969">
        <f t="shared" si="46"/>
        <v>8.4083333333333332</v>
      </c>
    </row>
    <row r="2970" spans="1:6" x14ac:dyDescent="0.3">
      <c r="A2970" t="s">
        <v>763</v>
      </c>
      <c r="B2970" t="s">
        <v>2135</v>
      </c>
      <c r="C2970">
        <v>6</v>
      </c>
      <c r="D2970">
        <v>95</v>
      </c>
      <c r="E2970">
        <f>IF(OR(B2970="vi",B2970="ii",B2970="pod"),(((D2970/100)*(C2970*VLOOKUP(B2970,'Poids des runes'!A:B,2,FALSE)))+1),(((D2970/100)*(C2970*VLOOKUP(B2970,'Poids des runes'!A:B,2,FALSE)))+1)/VLOOKUP(B2970,'Poids des runes'!A:B,2,FALSE))</f>
        <v>5.8666666666666663</v>
      </c>
      <c r="F2970">
        <f t="shared" si="46"/>
        <v>5.8666666666666663</v>
      </c>
    </row>
    <row r="2971" spans="1:6" x14ac:dyDescent="0.3">
      <c r="A2971" t="s">
        <v>764</v>
      </c>
      <c r="B2971" t="s">
        <v>2128</v>
      </c>
      <c r="C2971">
        <v>70.5</v>
      </c>
      <c r="D2971">
        <v>96</v>
      </c>
      <c r="E2971">
        <f>IF(OR(B2971="vi",B2971="ii",B2971="pod"),(((D2971/100)*(C2971*VLOOKUP(B2971,'Poids des runes'!A:B,2,FALSE)))+1),(((D2971/100)*(C2971*VLOOKUP(B2971,'Poids des runes'!A:B,2,FALSE)))+1)/VLOOKUP(B2971,'Poids des runes'!A:B,2,FALSE))</f>
        <v>14.536000000000001</v>
      </c>
      <c r="F2971">
        <f t="shared" si="46"/>
        <v>14.536000000000001</v>
      </c>
    </row>
    <row r="2972" spans="1:6" x14ac:dyDescent="0.3">
      <c r="A2972" t="s">
        <v>764</v>
      </c>
      <c r="B2972" t="s">
        <v>2130</v>
      </c>
      <c r="C2972">
        <v>45.5</v>
      </c>
      <c r="D2972">
        <v>96</v>
      </c>
      <c r="E2972">
        <f>IF(OR(B2972="vi",B2972="ii",B2972="pod"),(((D2972/100)*(C2972*VLOOKUP(B2972,'Poids des runes'!A:B,2,FALSE)))+1),(((D2972/100)*(C2972*VLOOKUP(B2972,'Poids des runes'!A:B,2,FALSE)))+1)/VLOOKUP(B2972,'Poids des runes'!A:B,2,FALSE))</f>
        <v>44.68</v>
      </c>
      <c r="F2972">
        <f t="shared" si="46"/>
        <v>44.68</v>
      </c>
    </row>
    <row r="2973" spans="1:6" x14ac:dyDescent="0.3">
      <c r="A2973" t="s">
        <v>764</v>
      </c>
      <c r="B2973" t="s">
        <v>2139</v>
      </c>
      <c r="C2973">
        <v>13</v>
      </c>
      <c r="D2973">
        <v>96</v>
      </c>
      <c r="E2973">
        <f>IF(OR(B2973="vi",B2973="ii",B2973="pod"),(((D2973/100)*(C2973*VLOOKUP(B2973,'Poids des runes'!A:B,2,FALSE)))+1),(((D2973/100)*(C2973*VLOOKUP(B2973,'Poids des runes'!A:B,2,FALSE)))+1)/VLOOKUP(B2973,'Poids des runes'!A:B,2,FALSE))</f>
        <v>12.98</v>
      </c>
      <c r="F2973">
        <f t="shared" si="46"/>
        <v>12.98</v>
      </c>
    </row>
    <row r="2974" spans="1:6" x14ac:dyDescent="0.3">
      <c r="A2974" t="s">
        <v>764</v>
      </c>
      <c r="B2974" t="s">
        <v>2134</v>
      </c>
      <c r="C2974">
        <v>6</v>
      </c>
      <c r="D2974">
        <v>96</v>
      </c>
      <c r="E2974">
        <f>IF(OR(B2974="vi",B2974="ii",B2974="pod"),(((D2974/100)*(C2974*VLOOKUP(B2974,'Poids des runes'!A:B,2,FALSE)))+1),(((D2974/100)*(C2974*VLOOKUP(B2974,'Poids des runes'!A:B,2,FALSE)))+1)/VLOOKUP(B2974,'Poids des runes'!A:B,2,FALSE))</f>
        <v>5.81</v>
      </c>
      <c r="F2974">
        <f t="shared" si="46"/>
        <v>5.81</v>
      </c>
    </row>
    <row r="2975" spans="1:6" x14ac:dyDescent="0.3">
      <c r="A2975" t="s">
        <v>764</v>
      </c>
      <c r="B2975" t="s">
        <v>2148</v>
      </c>
      <c r="C2975">
        <v>3.5</v>
      </c>
      <c r="D2975">
        <v>96</v>
      </c>
      <c r="E2975">
        <f>IF(OR(B2975="vi",B2975="ii",B2975="pod"),(((D2975/100)*(C2975*VLOOKUP(B2975,'Poids des runes'!A:B,2,FALSE)))+1),(((D2975/100)*(C2975*VLOOKUP(B2975,'Poids des runes'!A:B,2,FALSE)))+1)/VLOOKUP(B2975,'Poids des runes'!A:B,2,FALSE))</f>
        <v>3.5266666666666668</v>
      </c>
      <c r="F2975">
        <f t="shared" si="46"/>
        <v>3.5266666666666668</v>
      </c>
    </row>
    <row r="2976" spans="1:6" x14ac:dyDescent="0.3">
      <c r="A2976" t="s">
        <v>764</v>
      </c>
      <c r="B2976" t="s">
        <v>2147</v>
      </c>
      <c r="C2976">
        <v>3.5</v>
      </c>
      <c r="D2976">
        <v>96</v>
      </c>
      <c r="E2976">
        <f>IF(OR(B2976="vi",B2976="ii",B2976="pod"),(((D2976/100)*(C2976*VLOOKUP(B2976,'Poids des runes'!A:B,2,FALSE)))+1),(((D2976/100)*(C2976*VLOOKUP(B2976,'Poids des runes'!A:B,2,FALSE)))+1)/VLOOKUP(B2976,'Poids des runes'!A:B,2,FALSE))</f>
        <v>3.5266666666666668</v>
      </c>
      <c r="F2976">
        <f t="shared" si="46"/>
        <v>3.5266666666666668</v>
      </c>
    </row>
    <row r="2977" spans="1:6" x14ac:dyDescent="0.3">
      <c r="A2977" t="s">
        <v>764</v>
      </c>
      <c r="B2977" t="s">
        <v>2135</v>
      </c>
      <c r="C2977">
        <v>3.5</v>
      </c>
      <c r="D2977">
        <v>96</v>
      </c>
      <c r="E2977">
        <f>IF(OR(B2977="vi",B2977="ii",B2977="pod"),(((D2977/100)*(C2977*VLOOKUP(B2977,'Poids des runes'!A:B,2,FALSE)))+1),(((D2977/100)*(C2977*VLOOKUP(B2977,'Poids des runes'!A:B,2,FALSE)))+1)/VLOOKUP(B2977,'Poids des runes'!A:B,2,FALSE))</f>
        <v>3.5266666666666668</v>
      </c>
      <c r="F2977">
        <f t="shared" si="46"/>
        <v>3.5266666666666668</v>
      </c>
    </row>
    <row r="2978" spans="1:6" x14ac:dyDescent="0.3">
      <c r="A2978" t="s">
        <v>765</v>
      </c>
      <c r="B2978" t="s">
        <v>2131</v>
      </c>
      <c r="C2978">
        <v>30.5</v>
      </c>
      <c r="D2978">
        <v>96</v>
      </c>
      <c r="E2978">
        <f>IF(OR(B2978="vi",B2978="ii",B2978="pod"),(((D2978/100)*(C2978*VLOOKUP(B2978,'Poids des runes'!A:B,2,FALSE)))+1),(((D2978/100)*(C2978*VLOOKUP(B2978,'Poids des runes'!A:B,2,FALSE)))+1)/VLOOKUP(B2978,'Poids des runes'!A:B,2,FALSE))</f>
        <v>30.279999999999998</v>
      </c>
      <c r="F2978">
        <f t="shared" si="46"/>
        <v>30.279999999999998</v>
      </c>
    </row>
    <row r="2979" spans="1:6" x14ac:dyDescent="0.3">
      <c r="A2979" t="s">
        <v>765</v>
      </c>
      <c r="B2979" t="s">
        <v>2127</v>
      </c>
      <c r="C2979">
        <v>30.5</v>
      </c>
      <c r="D2979">
        <v>96</v>
      </c>
      <c r="E2979">
        <f>IF(OR(B2979="vi",B2979="ii",B2979="pod"),(((D2979/100)*(C2979*VLOOKUP(B2979,'Poids des runes'!A:B,2,FALSE)))+1),(((D2979/100)*(C2979*VLOOKUP(B2979,'Poids des runes'!A:B,2,FALSE)))+1)/VLOOKUP(B2979,'Poids des runes'!A:B,2,FALSE))</f>
        <v>30.279999999999998</v>
      </c>
      <c r="F2979">
        <f t="shared" si="46"/>
        <v>30.279999999999998</v>
      </c>
    </row>
    <row r="2980" spans="1:6" x14ac:dyDescent="0.3">
      <c r="A2980" t="s">
        <v>765</v>
      </c>
      <c r="B2980" t="s">
        <v>2129</v>
      </c>
      <c r="C2980">
        <v>18</v>
      </c>
      <c r="D2980">
        <v>96</v>
      </c>
      <c r="E2980">
        <f>IF(OR(B2980="vi",B2980="ii",B2980="pod"),(((D2980/100)*(C2980*VLOOKUP(B2980,'Poids des runes'!A:B,2,FALSE)))+1),(((D2980/100)*(C2980*VLOOKUP(B2980,'Poids des runes'!A:B,2,FALSE)))+1)/VLOOKUP(B2980,'Poids des runes'!A:B,2,FALSE))</f>
        <v>18.28</v>
      </c>
      <c r="F2980">
        <f t="shared" si="46"/>
        <v>18.28</v>
      </c>
    </row>
    <row r="2981" spans="1:6" x14ac:dyDescent="0.3">
      <c r="A2981" t="s">
        <v>765</v>
      </c>
      <c r="B2981" t="s">
        <v>2151</v>
      </c>
      <c r="C2981">
        <v>3.5</v>
      </c>
      <c r="D2981">
        <v>96</v>
      </c>
      <c r="E2981">
        <f>IF(OR(B2981="vi",B2981="ii",B2981="pod"),(((D2981/100)*(C2981*VLOOKUP(B2981,'Poids des runes'!A:B,2,FALSE)))+1),(((D2981/100)*(C2981*VLOOKUP(B2981,'Poids des runes'!A:B,2,FALSE)))+1)/VLOOKUP(B2981,'Poids des runes'!A:B,2,FALSE))</f>
        <v>3.46</v>
      </c>
      <c r="F2981">
        <f t="shared" si="46"/>
        <v>3.46</v>
      </c>
    </row>
    <row r="2982" spans="1:6" x14ac:dyDescent="0.3">
      <c r="A2982" t="s">
        <v>765</v>
      </c>
      <c r="B2982" t="s">
        <v>2134</v>
      </c>
      <c r="C2982">
        <v>5</v>
      </c>
      <c r="D2982">
        <v>96</v>
      </c>
      <c r="E2982">
        <f>IF(OR(B2982="vi",B2982="ii",B2982="pod"),(((D2982/100)*(C2982*VLOOKUP(B2982,'Poids des runes'!A:B,2,FALSE)))+1),(((D2982/100)*(C2982*VLOOKUP(B2982,'Poids des runes'!A:B,2,FALSE)))+1)/VLOOKUP(B2982,'Poids des runes'!A:B,2,FALSE))</f>
        <v>4.8499999999999996</v>
      </c>
      <c r="F2982">
        <f t="shared" si="46"/>
        <v>4.8499999999999996</v>
      </c>
    </row>
    <row r="2983" spans="1:6" x14ac:dyDescent="0.3">
      <c r="A2983" t="s">
        <v>765</v>
      </c>
      <c r="B2983" t="s">
        <v>2161</v>
      </c>
      <c r="C2983">
        <v>8.5</v>
      </c>
      <c r="D2983">
        <v>96</v>
      </c>
      <c r="E2983">
        <f>IF(OR(B2983="vi",B2983="ii",B2983="pod"),(((D2983/100)*(C2983*VLOOKUP(B2983,'Poids des runes'!A:B,2,FALSE)))+1),(((D2983/100)*(C2983*VLOOKUP(B2983,'Poids des runes'!A:B,2,FALSE)))+1)/VLOOKUP(B2983,'Poids des runes'!A:B,2,FALSE))</f>
        <v>8.4933333333333341</v>
      </c>
      <c r="F2983">
        <f t="shared" si="46"/>
        <v>8.4933333333333341</v>
      </c>
    </row>
    <row r="2984" spans="1:6" x14ac:dyDescent="0.3">
      <c r="A2984" t="s">
        <v>765</v>
      </c>
      <c r="B2984" t="s">
        <v>2135</v>
      </c>
      <c r="C2984">
        <v>5</v>
      </c>
      <c r="D2984">
        <v>96</v>
      </c>
      <c r="E2984">
        <f>IF(OR(B2984="vi",B2984="ii",B2984="pod"),(((D2984/100)*(C2984*VLOOKUP(B2984,'Poids des runes'!A:B,2,FALSE)))+1),(((D2984/100)*(C2984*VLOOKUP(B2984,'Poids des runes'!A:B,2,FALSE)))+1)/VLOOKUP(B2984,'Poids des runes'!A:B,2,FALSE))</f>
        <v>4.9666666666666659</v>
      </c>
      <c r="F2984">
        <f t="shared" si="46"/>
        <v>4.9666666666666659</v>
      </c>
    </row>
    <row r="2985" spans="1:6" x14ac:dyDescent="0.3">
      <c r="A2985" t="s">
        <v>766</v>
      </c>
      <c r="B2985" t="s">
        <v>2128</v>
      </c>
      <c r="C2985">
        <v>105.5</v>
      </c>
      <c r="D2985">
        <v>96</v>
      </c>
      <c r="E2985">
        <f>IF(OR(B2985="vi",B2985="ii",B2985="pod"),(((D2985/100)*(C2985*VLOOKUP(B2985,'Poids des runes'!A:B,2,FALSE)))+1),(((D2985/100)*(C2985*VLOOKUP(B2985,'Poids des runes'!A:B,2,FALSE)))+1)/VLOOKUP(B2985,'Poids des runes'!A:B,2,FALSE))</f>
        <v>21.256</v>
      </c>
      <c r="F2985">
        <f t="shared" si="46"/>
        <v>21.256</v>
      </c>
    </row>
    <row r="2986" spans="1:6" x14ac:dyDescent="0.3">
      <c r="A2986" t="s">
        <v>766</v>
      </c>
      <c r="B2986" t="s">
        <v>2130</v>
      </c>
      <c r="C2986">
        <v>33</v>
      </c>
      <c r="D2986">
        <v>96</v>
      </c>
      <c r="E2986">
        <f>IF(OR(B2986="vi",B2986="ii",B2986="pod"),(((D2986/100)*(C2986*VLOOKUP(B2986,'Poids des runes'!A:B,2,FALSE)))+1),(((D2986/100)*(C2986*VLOOKUP(B2986,'Poids des runes'!A:B,2,FALSE)))+1)/VLOOKUP(B2986,'Poids des runes'!A:B,2,FALSE))</f>
        <v>32.68</v>
      </c>
      <c r="F2986">
        <f t="shared" si="46"/>
        <v>32.68</v>
      </c>
    </row>
    <row r="2987" spans="1:6" x14ac:dyDescent="0.3">
      <c r="A2987" t="s">
        <v>766</v>
      </c>
      <c r="B2987" t="s">
        <v>2131</v>
      </c>
      <c r="C2987">
        <v>33</v>
      </c>
      <c r="D2987">
        <v>96</v>
      </c>
      <c r="E2987">
        <f>IF(OR(B2987="vi",B2987="ii",B2987="pod"),(((D2987/100)*(C2987*VLOOKUP(B2987,'Poids des runes'!A:B,2,FALSE)))+1),(((D2987/100)*(C2987*VLOOKUP(B2987,'Poids des runes'!A:B,2,FALSE)))+1)/VLOOKUP(B2987,'Poids des runes'!A:B,2,FALSE))</f>
        <v>32.68</v>
      </c>
      <c r="F2987">
        <f t="shared" si="46"/>
        <v>32.68</v>
      </c>
    </row>
    <row r="2988" spans="1:6" x14ac:dyDescent="0.3">
      <c r="A2988" t="s">
        <v>766</v>
      </c>
      <c r="B2988" t="s">
        <v>2129</v>
      </c>
      <c r="C2988">
        <v>8.5</v>
      </c>
      <c r="D2988">
        <v>96</v>
      </c>
      <c r="E2988">
        <f>IF(OR(B2988="vi",B2988="ii",B2988="pod"),(((D2988/100)*(C2988*VLOOKUP(B2988,'Poids des runes'!A:B,2,FALSE)))+1),(((D2988/100)*(C2988*VLOOKUP(B2988,'Poids des runes'!A:B,2,FALSE)))+1)/VLOOKUP(B2988,'Poids des runes'!A:B,2,FALSE))</f>
        <v>9.16</v>
      </c>
      <c r="F2988">
        <f t="shared" si="46"/>
        <v>9.16</v>
      </c>
    </row>
    <row r="2989" spans="1:6" x14ac:dyDescent="0.3">
      <c r="A2989" t="s">
        <v>766</v>
      </c>
      <c r="B2989" t="s">
        <v>2151</v>
      </c>
      <c r="C2989">
        <v>3.5</v>
      </c>
      <c r="D2989">
        <v>96</v>
      </c>
      <c r="E2989">
        <f>IF(OR(B2989="vi",B2989="ii",B2989="pod"),(((D2989/100)*(C2989*VLOOKUP(B2989,'Poids des runes'!A:B,2,FALSE)))+1),(((D2989/100)*(C2989*VLOOKUP(B2989,'Poids des runes'!A:B,2,FALSE)))+1)/VLOOKUP(B2989,'Poids des runes'!A:B,2,FALSE))</f>
        <v>3.46</v>
      </c>
      <c r="F2989">
        <f t="shared" si="46"/>
        <v>3.46</v>
      </c>
    </row>
    <row r="2990" spans="1:6" x14ac:dyDescent="0.3">
      <c r="A2990" t="s">
        <v>766</v>
      </c>
      <c r="B2990" t="s">
        <v>2143</v>
      </c>
      <c r="C2990">
        <v>4</v>
      </c>
      <c r="D2990">
        <v>96</v>
      </c>
      <c r="E2990">
        <f>IF(OR(B2990="vi",B2990="ii",B2990="pod"),(((D2990/100)*(C2990*VLOOKUP(B2990,'Poids des runes'!A:B,2,FALSE)))+1),(((D2990/100)*(C2990*VLOOKUP(B2990,'Poids des runes'!A:B,2,FALSE)))+1)/VLOOKUP(B2990,'Poids des runes'!A:B,2,FALSE))</f>
        <v>4.04</v>
      </c>
      <c r="F2990">
        <f t="shared" si="46"/>
        <v>4.04</v>
      </c>
    </row>
    <row r="2991" spans="1:6" x14ac:dyDescent="0.3">
      <c r="A2991" t="s">
        <v>766</v>
      </c>
      <c r="B2991" t="s">
        <v>2133</v>
      </c>
      <c r="C2991">
        <v>4</v>
      </c>
      <c r="D2991">
        <v>96</v>
      </c>
      <c r="E2991">
        <f>IF(OR(B2991="vi",B2991="ii",B2991="pod"),(((D2991/100)*(C2991*VLOOKUP(B2991,'Poids des runes'!A:B,2,FALSE)))+1),(((D2991/100)*(C2991*VLOOKUP(B2991,'Poids des runes'!A:B,2,FALSE)))+1)/VLOOKUP(B2991,'Poids des runes'!A:B,2,FALSE))</f>
        <v>4.04</v>
      </c>
      <c r="F2991">
        <f t="shared" si="46"/>
        <v>4.04</v>
      </c>
    </row>
    <row r="2992" spans="1:6" x14ac:dyDescent="0.3">
      <c r="A2992" t="s">
        <v>766</v>
      </c>
      <c r="B2992" t="s">
        <v>2141</v>
      </c>
      <c r="C2992">
        <v>2.5</v>
      </c>
      <c r="D2992">
        <v>96</v>
      </c>
      <c r="E2992">
        <f>IF(OR(B2992="vi",B2992="ii",B2992="pod"),(((D2992/100)*(C2992*VLOOKUP(B2992,'Poids des runes'!A:B,2,FALSE)))+1),(((D2992/100)*(C2992*VLOOKUP(B2992,'Poids des runes'!A:B,2,FALSE)))+1)/VLOOKUP(B2992,'Poids des runes'!A:B,2,FALSE))</f>
        <v>2.65</v>
      </c>
      <c r="F2992">
        <f t="shared" si="46"/>
        <v>2.65</v>
      </c>
    </row>
    <row r="2993" spans="1:6" x14ac:dyDescent="0.3">
      <c r="A2993" t="s">
        <v>766</v>
      </c>
      <c r="B2993" t="s">
        <v>2157</v>
      </c>
      <c r="C2993">
        <v>3.5</v>
      </c>
      <c r="D2993">
        <v>96</v>
      </c>
      <c r="E2993">
        <f>IF(OR(B2993="vi",B2993="ii",B2993="pod"),(((D2993/100)*(C2993*VLOOKUP(B2993,'Poids des runes'!A:B,2,FALSE)))+1),(((D2993/100)*(C2993*VLOOKUP(B2993,'Poids des runes'!A:B,2,FALSE)))+1)/VLOOKUP(B2993,'Poids des runes'!A:B,2,FALSE))</f>
        <v>3.5266666666666668</v>
      </c>
      <c r="F2993">
        <f t="shared" si="46"/>
        <v>3.5266666666666668</v>
      </c>
    </row>
    <row r="2994" spans="1:6" x14ac:dyDescent="0.3">
      <c r="A2994" t="s">
        <v>767</v>
      </c>
      <c r="B2994" t="s">
        <v>2128</v>
      </c>
      <c r="C2994">
        <v>100.5</v>
      </c>
      <c r="D2994">
        <v>97</v>
      </c>
      <c r="E2994">
        <f>IF(OR(B2994="vi",B2994="ii",B2994="pod"),(((D2994/100)*(C2994*VLOOKUP(B2994,'Poids des runes'!A:B,2,FALSE)))+1),(((D2994/100)*(C2994*VLOOKUP(B2994,'Poids des runes'!A:B,2,FALSE)))+1)/VLOOKUP(B2994,'Poids des runes'!A:B,2,FALSE))</f>
        <v>20.497</v>
      </c>
      <c r="F2994">
        <f t="shared" si="46"/>
        <v>20.497</v>
      </c>
    </row>
    <row r="2995" spans="1:6" x14ac:dyDescent="0.3">
      <c r="A2995" t="s">
        <v>767</v>
      </c>
      <c r="B2995" t="s">
        <v>2127</v>
      </c>
      <c r="C2995">
        <v>35.5</v>
      </c>
      <c r="D2995">
        <v>97</v>
      </c>
      <c r="E2995">
        <f>IF(OR(B2995="vi",B2995="ii",B2995="pod"),(((D2995/100)*(C2995*VLOOKUP(B2995,'Poids des runes'!A:B,2,FALSE)))+1),(((D2995/100)*(C2995*VLOOKUP(B2995,'Poids des runes'!A:B,2,FALSE)))+1)/VLOOKUP(B2995,'Poids des runes'!A:B,2,FALSE))</f>
        <v>35.435000000000002</v>
      </c>
      <c r="F2995">
        <f t="shared" si="46"/>
        <v>35.435000000000002</v>
      </c>
    </row>
    <row r="2996" spans="1:6" x14ac:dyDescent="0.3">
      <c r="A2996" t="s">
        <v>767</v>
      </c>
      <c r="B2996" t="s">
        <v>2139</v>
      </c>
      <c r="C2996">
        <v>13</v>
      </c>
      <c r="D2996">
        <v>97</v>
      </c>
      <c r="E2996">
        <f>IF(OR(B2996="vi",B2996="ii",B2996="pod"),(((D2996/100)*(C2996*VLOOKUP(B2996,'Poids des runes'!A:B,2,FALSE)))+1),(((D2996/100)*(C2996*VLOOKUP(B2996,'Poids des runes'!A:B,2,FALSE)))+1)/VLOOKUP(B2996,'Poids des runes'!A:B,2,FALSE))</f>
        <v>13.11</v>
      </c>
      <c r="F2996">
        <f t="shared" si="46"/>
        <v>13.11</v>
      </c>
    </row>
    <row r="2997" spans="1:6" x14ac:dyDescent="0.3">
      <c r="A2997" t="s">
        <v>767</v>
      </c>
      <c r="B2997" t="s">
        <v>2132</v>
      </c>
      <c r="C2997">
        <v>375.5</v>
      </c>
      <c r="D2997">
        <v>97</v>
      </c>
      <c r="E2997">
        <f>IF(OR(B2997="vi",B2997="ii",B2997="pod"),(((D2997/100)*(C2997*VLOOKUP(B2997,'Poids des runes'!A:B,2,FALSE)))+1),(((D2997/100)*(C2997*VLOOKUP(B2997,'Poids des runes'!A:B,2,FALSE)))+1)/VLOOKUP(B2997,'Poids des runes'!A:B,2,FALSE))</f>
        <v>37.423500000000004</v>
      </c>
      <c r="F2997">
        <f t="shared" si="46"/>
        <v>37.423500000000004</v>
      </c>
    </row>
    <row r="2998" spans="1:6" x14ac:dyDescent="0.3">
      <c r="A2998" t="s">
        <v>767</v>
      </c>
      <c r="B2998" t="s">
        <v>2148</v>
      </c>
      <c r="C2998">
        <v>6</v>
      </c>
      <c r="D2998">
        <v>97</v>
      </c>
      <c r="E2998">
        <f>IF(OR(B2998="vi",B2998="ii",B2998="pod"),(((D2998/100)*(C2998*VLOOKUP(B2998,'Poids des runes'!A:B,2,FALSE)))+1),(((D2998/100)*(C2998*VLOOKUP(B2998,'Poids des runes'!A:B,2,FALSE)))+1)/VLOOKUP(B2998,'Poids des runes'!A:B,2,FALSE))</f>
        <v>5.9866666666666672</v>
      </c>
      <c r="F2998">
        <f t="shared" si="46"/>
        <v>5.9866666666666672</v>
      </c>
    </row>
    <row r="2999" spans="1:6" x14ac:dyDescent="0.3">
      <c r="A2999" t="s">
        <v>767</v>
      </c>
      <c r="B2999" t="s">
        <v>2135</v>
      </c>
      <c r="C2999">
        <v>6</v>
      </c>
      <c r="D2999">
        <v>97</v>
      </c>
      <c r="E2999">
        <f>IF(OR(B2999="vi",B2999="ii",B2999="pod"),(((D2999/100)*(C2999*VLOOKUP(B2999,'Poids des runes'!A:B,2,FALSE)))+1),(((D2999/100)*(C2999*VLOOKUP(B2999,'Poids des runes'!A:B,2,FALSE)))+1)/VLOOKUP(B2999,'Poids des runes'!A:B,2,FALSE))</f>
        <v>5.9866666666666672</v>
      </c>
      <c r="F2999">
        <f t="shared" si="46"/>
        <v>5.9866666666666672</v>
      </c>
    </row>
    <row r="3000" spans="1:6" x14ac:dyDescent="0.3">
      <c r="A3000" t="s">
        <v>768</v>
      </c>
      <c r="B3000" t="s">
        <v>2128</v>
      </c>
      <c r="C3000">
        <v>50.5</v>
      </c>
      <c r="D3000">
        <v>97</v>
      </c>
      <c r="E3000">
        <f>IF(OR(B3000="vi",B3000="ii",B3000="pod"),(((D3000/100)*(C3000*VLOOKUP(B3000,'Poids des runes'!A:B,2,FALSE)))+1),(((D3000/100)*(C3000*VLOOKUP(B3000,'Poids des runes'!A:B,2,FALSE)))+1)/VLOOKUP(B3000,'Poids des runes'!A:B,2,FALSE))</f>
        <v>10.797000000000001</v>
      </c>
      <c r="F3000">
        <f t="shared" si="46"/>
        <v>10.797000000000001</v>
      </c>
    </row>
    <row r="3001" spans="1:6" x14ac:dyDescent="0.3">
      <c r="A3001" t="s">
        <v>768</v>
      </c>
      <c r="B3001" t="s">
        <v>2129</v>
      </c>
      <c r="C3001">
        <v>13</v>
      </c>
      <c r="D3001">
        <v>97</v>
      </c>
      <c r="E3001">
        <f>IF(OR(B3001="vi",B3001="ii",B3001="pod"),(((D3001/100)*(C3001*VLOOKUP(B3001,'Poids des runes'!A:B,2,FALSE)))+1),(((D3001/100)*(C3001*VLOOKUP(B3001,'Poids des runes'!A:B,2,FALSE)))+1)/VLOOKUP(B3001,'Poids des runes'!A:B,2,FALSE))</f>
        <v>13.61</v>
      </c>
      <c r="F3001">
        <f t="shared" si="46"/>
        <v>13.61</v>
      </c>
    </row>
    <row r="3002" spans="1:6" x14ac:dyDescent="0.3">
      <c r="A3002" t="s">
        <v>768</v>
      </c>
      <c r="B3002" t="s">
        <v>2139</v>
      </c>
      <c r="C3002">
        <v>23</v>
      </c>
      <c r="D3002">
        <v>97</v>
      </c>
      <c r="E3002">
        <f>IF(OR(B3002="vi",B3002="ii",B3002="pod"),(((D3002/100)*(C3002*VLOOKUP(B3002,'Poids des runes'!A:B,2,FALSE)))+1),(((D3002/100)*(C3002*VLOOKUP(B3002,'Poids des runes'!A:B,2,FALSE)))+1)/VLOOKUP(B3002,'Poids des runes'!A:B,2,FALSE))</f>
        <v>22.81</v>
      </c>
      <c r="F3002">
        <f t="shared" si="46"/>
        <v>22.81</v>
      </c>
    </row>
    <row r="3003" spans="1:6" x14ac:dyDescent="0.3">
      <c r="A3003" t="s">
        <v>768</v>
      </c>
      <c r="B3003" t="s">
        <v>2150</v>
      </c>
      <c r="C3003">
        <v>1</v>
      </c>
      <c r="D3003">
        <v>97</v>
      </c>
      <c r="E3003">
        <f>IF(OR(B3003="vi",B3003="ii",B3003="pod"),(((D3003/100)*(C3003*VLOOKUP(B3003,'Poids des runes'!A:B,2,FALSE)))+1),(((D3003/100)*(C3003*VLOOKUP(B3003,'Poids des runes'!A:B,2,FALSE)))+1)/VLOOKUP(B3003,'Poids des runes'!A:B,2,FALSE))</f>
        <v>1.0033333333333332</v>
      </c>
      <c r="F3003">
        <f t="shared" si="46"/>
        <v>1.0033333333333332</v>
      </c>
    </row>
    <row r="3004" spans="1:6" x14ac:dyDescent="0.3">
      <c r="A3004" t="s">
        <v>768</v>
      </c>
      <c r="B3004" t="s">
        <v>2143</v>
      </c>
      <c r="C3004">
        <v>2.5</v>
      </c>
      <c r="D3004">
        <v>97</v>
      </c>
      <c r="E3004">
        <f>IF(OR(B3004="vi",B3004="ii",B3004="pod"),(((D3004/100)*(C3004*VLOOKUP(B3004,'Poids des runes'!A:B,2,FALSE)))+1),(((D3004/100)*(C3004*VLOOKUP(B3004,'Poids des runes'!A:B,2,FALSE)))+1)/VLOOKUP(B3004,'Poids des runes'!A:B,2,FALSE))</f>
        <v>2.625</v>
      </c>
      <c r="F3004">
        <f t="shared" si="46"/>
        <v>2.625</v>
      </c>
    </row>
    <row r="3005" spans="1:6" x14ac:dyDescent="0.3">
      <c r="A3005" t="s">
        <v>768</v>
      </c>
      <c r="B3005" t="s">
        <v>2140</v>
      </c>
      <c r="C3005">
        <v>2.5</v>
      </c>
      <c r="D3005">
        <v>97</v>
      </c>
      <c r="E3005">
        <f>IF(OR(B3005="vi",B3005="ii",B3005="pod"),(((D3005/100)*(C3005*VLOOKUP(B3005,'Poids des runes'!A:B,2,FALSE)))+1),(((D3005/100)*(C3005*VLOOKUP(B3005,'Poids des runes'!A:B,2,FALSE)))+1)/VLOOKUP(B3005,'Poids des runes'!A:B,2,FALSE))</f>
        <v>2.625</v>
      </c>
      <c r="F3005">
        <f t="shared" si="46"/>
        <v>2.625</v>
      </c>
    </row>
    <row r="3006" spans="1:6" x14ac:dyDescent="0.3">
      <c r="A3006" t="s">
        <v>768</v>
      </c>
      <c r="B3006" t="s">
        <v>2138</v>
      </c>
      <c r="C3006">
        <v>2.5</v>
      </c>
      <c r="D3006">
        <v>97</v>
      </c>
      <c r="E3006">
        <f>IF(OR(B3006="vi",B3006="ii",B3006="pod"),(((D3006/100)*(C3006*VLOOKUP(B3006,'Poids des runes'!A:B,2,FALSE)))+1),(((D3006/100)*(C3006*VLOOKUP(B3006,'Poids des runes'!A:B,2,FALSE)))+1)/VLOOKUP(B3006,'Poids des runes'!A:B,2,FALSE))</f>
        <v>2.6749999999999998</v>
      </c>
      <c r="F3006">
        <f t="shared" si="46"/>
        <v>2.6749999999999998</v>
      </c>
    </row>
    <row r="3007" spans="1:6" x14ac:dyDescent="0.3">
      <c r="A3007" t="s">
        <v>768</v>
      </c>
      <c r="B3007" t="s">
        <v>2160</v>
      </c>
      <c r="C3007">
        <v>2.5</v>
      </c>
      <c r="D3007">
        <v>97</v>
      </c>
      <c r="E3007">
        <f>IF(OR(B3007="vi",B3007="ii",B3007="pod"),(((D3007/100)*(C3007*VLOOKUP(B3007,'Poids des runes'!A:B,2,FALSE)))+1),(((D3007/100)*(C3007*VLOOKUP(B3007,'Poids des runes'!A:B,2,FALSE)))+1)/VLOOKUP(B3007,'Poids des runes'!A:B,2,FALSE))</f>
        <v>2.5678571428571426</v>
      </c>
      <c r="F3007">
        <f t="shared" si="46"/>
        <v>2.5678571428571426</v>
      </c>
    </row>
    <row r="3008" spans="1:6" x14ac:dyDescent="0.3">
      <c r="A3008" t="s">
        <v>768</v>
      </c>
      <c r="B3008" t="s">
        <v>2142</v>
      </c>
      <c r="C3008">
        <v>2.5</v>
      </c>
      <c r="D3008">
        <v>97</v>
      </c>
      <c r="E3008">
        <f>IF(OR(B3008="vi",B3008="ii",B3008="pod"),(((D3008/100)*(C3008*VLOOKUP(B3008,'Poids des runes'!A:B,2,FALSE)))+1),(((D3008/100)*(C3008*VLOOKUP(B3008,'Poids des runes'!A:B,2,FALSE)))+1)/VLOOKUP(B3008,'Poids des runes'!A:B,2,FALSE))</f>
        <v>2.625</v>
      </c>
      <c r="F3008">
        <f t="shared" si="46"/>
        <v>2.625</v>
      </c>
    </row>
    <row r="3009" spans="1:6" x14ac:dyDescent="0.3">
      <c r="A3009" t="s">
        <v>769</v>
      </c>
      <c r="B3009" t="s">
        <v>2128</v>
      </c>
      <c r="C3009">
        <v>75.5</v>
      </c>
      <c r="D3009">
        <v>98</v>
      </c>
      <c r="E3009">
        <f>IF(OR(B3009="vi",B3009="ii",B3009="pod"),(((D3009/100)*(C3009*VLOOKUP(B3009,'Poids des runes'!A:B,2,FALSE)))+1),(((D3009/100)*(C3009*VLOOKUP(B3009,'Poids des runes'!A:B,2,FALSE)))+1)/VLOOKUP(B3009,'Poids des runes'!A:B,2,FALSE))</f>
        <v>15.798000000000002</v>
      </c>
      <c r="F3009">
        <f t="shared" si="46"/>
        <v>15.798000000000002</v>
      </c>
    </row>
    <row r="3010" spans="1:6" x14ac:dyDescent="0.3">
      <c r="A3010" t="s">
        <v>769</v>
      </c>
      <c r="B3010" t="s">
        <v>2126</v>
      </c>
      <c r="C3010">
        <v>50.5</v>
      </c>
      <c r="D3010">
        <v>98</v>
      </c>
      <c r="E3010">
        <f>IF(OR(B3010="vi",B3010="ii",B3010="pod"),(((D3010/100)*(C3010*VLOOKUP(B3010,'Poids des runes'!A:B,2,FALSE)))+1),(((D3010/100)*(C3010*VLOOKUP(B3010,'Poids des runes'!A:B,2,FALSE)))+1)/VLOOKUP(B3010,'Poids des runes'!A:B,2,FALSE))</f>
        <v>50.49</v>
      </c>
      <c r="F3010">
        <f t="shared" si="46"/>
        <v>50.49</v>
      </c>
    </row>
    <row r="3011" spans="1:6" x14ac:dyDescent="0.3">
      <c r="A3011" t="s">
        <v>769</v>
      </c>
      <c r="B3011" t="s">
        <v>2129</v>
      </c>
      <c r="C3011">
        <v>25.5</v>
      </c>
      <c r="D3011">
        <v>98</v>
      </c>
      <c r="E3011">
        <f>IF(OR(B3011="vi",B3011="ii",B3011="pod"),(((D3011/100)*(C3011*VLOOKUP(B3011,'Poids des runes'!A:B,2,FALSE)))+1),(((D3011/100)*(C3011*VLOOKUP(B3011,'Poids des runes'!A:B,2,FALSE)))+1)/VLOOKUP(B3011,'Poids des runes'!A:B,2,FALSE))</f>
        <v>25.99</v>
      </c>
      <c r="F3011">
        <f t="shared" ref="F3011:F3074" si="47">E3011</f>
        <v>25.99</v>
      </c>
    </row>
    <row r="3012" spans="1:6" x14ac:dyDescent="0.3">
      <c r="A3012" t="s">
        <v>769</v>
      </c>
      <c r="B3012" t="s">
        <v>2161</v>
      </c>
      <c r="C3012">
        <v>8.5</v>
      </c>
      <c r="D3012">
        <v>98</v>
      </c>
      <c r="E3012">
        <f>IF(OR(B3012="vi",B3012="ii",B3012="pod"),(((D3012/100)*(C3012*VLOOKUP(B3012,'Poids des runes'!A:B,2,FALSE)))+1),(((D3012/100)*(C3012*VLOOKUP(B3012,'Poids des runes'!A:B,2,FALSE)))+1)/VLOOKUP(B3012,'Poids des runes'!A:B,2,FALSE))</f>
        <v>8.6633333333333322</v>
      </c>
      <c r="F3012">
        <f t="shared" si="47"/>
        <v>8.6633333333333322</v>
      </c>
    </row>
    <row r="3013" spans="1:6" x14ac:dyDescent="0.3">
      <c r="A3013" t="s">
        <v>769</v>
      </c>
      <c r="B3013" t="s">
        <v>2147</v>
      </c>
      <c r="C3013">
        <v>5</v>
      </c>
      <c r="D3013">
        <v>98</v>
      </c>
      <c r="E3013">
        <f>IF(OR(B3013="vi",B3013="ii",B3013="pod"),(((D3013/100)*(C3013*VLOOKUP(B3013,'Poids des runes'!A:B,2,FALSE)))+1),(((D3013/100)*(C3013*VLOOKUP(B3013,'Poids des runes'!A:B,2,FALSE)))+1)/VLOOKUP(B3013,'Poids des runes'!A:B,2,FALSE))</f>
        <v>5.0666666666666664</v>
      </c>
      <c r="F3013">
        <f t="shared" si="47"/>
        <v>5.0666666666666664</v>
      </c>
    </row>
    <row r="3014" spans="1:6" x14ac:dyDescent="0.3">
      <c r="A3014" t="s">
        <v>769</v>
      </c>
      <c r="B3014" t="s">
        <v>2157</v>
      </c>
      <c r="C3014">
        <v>5</v>
      </c>
      <c r="D3014">
        <v>98</v>
      </c>
      <c r="E3014">
        <f>IF(OR(B3014="vi",B3014="ii",B3014="pod"),(((D3014/100)*(C3014*VLOOKUP(B3014,'Poids des runes'!A:B,2,FALSE)))+1),(((D3014/100)*(C3014*VLOOKUP(B3014,'Poids des runes'!A:B,2,FALSE)))+1)/VLOOKUP(B3014,'Poids des runes'!A:B,2,FALSE))</f>
        <v>5.0666666666666664</v>
      </c>
      <c r="F3014">
        <f t="shared" si="47"/>
        <v>5.0666666666666664</v>
      </c>
    </row>
    <row r="3015" spans="1:6" x14ac:dyDescent="0.3">
      <c r="A3015" t="s">
        <v>770</v>
      </c>
      <c r="B3015" t="s">
        <v>2128</v>
      </c>
      <c r="C3015">
        <v>60.5</v>
      </c>
      <c r="D3015">
        <v>98</v>
      </c>
      <c r="E3015">
        <f>IF(OR(B3015="vi",B3015="ii",B3015="pod"),(((D3015/100)*(C3015*VLOOKUP(B3015,'Poids des runes'!A:B,2,FALSE)))+1),(((D3015/100)*(C3015*VLOOKUP(B3015,'Poids des runes'!A:B,2,FALSE)))+1)/VLOOKUP(B3015,'Poids des runes'!A:B,2,FALSE))</f>
        <v>12.858000000000001</v>
      </c>
      <c r="F3015">
        <f t="shared" si="47"/>
        <v>12.858000000000001</v>
      </c>
    </row>
    <row r="3016" spans="1:6" x14ac:dyDescent="0.3">
      <c r="A3016" t="s">
        <v>770</v>
      </c>
      <c r="B3016" t="s">
        <v>2127</v>
      </c>
      <c r="C3016">
        <v>45.5</v>
      </c>
      <c r="D3016">
        <v>98</v>
      </c>
      <c r="E3016">
        <f>IF(OR(B3016="vi",B3016="ii",B3016="pod"),(((D3016/100)*(C3016*VLOOKUP(B3016,'Poids des runes'!A:B,2,FALSE)))+1),(((D3016/100)*(C3016*VLOOKUP(B3016,'Poids des runes'!A:B,2,FALSE)))+1)/VLOOKUP(B3016,'Poids des runes'!A:B,2,FALSE))</f>
        <v>45.589999999999996</v>
      </c>
      <c r="F3016">
        <f t="shared" si="47"/>
        <v>45.589999999999996</v>
      </c>
    </row>
    <row r="3017" spans="1:6" x14ac:dyDescent="0.3">
      <c r="A3017" t="s">
        <v>770</v>
      </c>
      <c r="B3017" t="s">
        <v>2129</v>
      </c>
      <c r="C3017">
        <v>13</v>
      </c>
      <c r="D3017">
        <v>98</v>
      </c>
      <c r="E3017">
        <f>IF(OR(B3017="vi",B3017="ii",B3017="pod"),(((D3017/100)*(C3017*VLOOKUP(B3017,'Poids des runes'!A:B,2,FALSE)))+1),(((D3017/100)*(C3017*VLOOKUP(B3017,'Poids des runes'!A:B,2,FALSE)))+1)/VLOOKUP(B3017,'Poids des runes'!A:B,2,FALSE))</f>
        <v>13.74</v>
      </c>
      <c r="F3017">
        <f t="shared" si="47"/>
        <v>13.74</v>
      </c>
    </row>
    <row r="3018" spans="1:6" x14ac:dyDescent="0.3">
      <c r="A3018" t="s">
        <v>770</v>
      </c>
      <c r="B3018" t="s">
        <v>2139</v>
      </c>
      <c r="C3018">
        <v>13</v>
      </c>
      <c r="D3018">
        <v>98</v>
      </c>
      <c r="E3018">
        <f>IF(OR(B3018="vi",B3018="ii",B3018="pod"),(((D3018/100)*(C3018*VLOOKUP(B3018,'Poids des runes'!A:B,2,FALSE)))+1),(((D3018/100)*(C3018*VLOOKUP(B3018,'Poids des runes'!A:B,2,FALSE)))+1)/VLOOKUP(B3018,'Poids des runes'!A:B,2,FALSE))</f>
        <v>13.24</v>
      </c>
      <c r="F3018">
        <f t="shared" si="47"/>
        <v>13.24</v>
      </c>
    </row>
    <row r="3019" spans="1:6" x14ac:dyDescent="0.3">
      <c r="A3019" t="s">
        <v>770</v>
      </c>
      <c r="B3019" t="s">
        <v>2134</v>
      </c>
      <c r="C3019">
        <v>4.5</v>
      </c>
      <c r="D3019">
        <v>98</v>
      </c>
      <c r="E3019">
        <f>IF(OR(B3019="vi",B3019="ii",B3019="pod"),(((D3019/100)*(C3019*VLOOKUP(B3019,'Poids des runes'!A:B,2,FALSE)))+1),(((D3019/100)*(C3019*VLOOKUP(B3019,'Poids des runes'!A:B,2,FALSE)))+1)/VLOOKUP(B3019,'Poids des runes'!A:B,2,FALSE))</f>
        <v>4.46</v>
      </c>
      <c r="F3019">
        <f t="shared" si="47"/>
        <v>4.46</v>
      </c>
    </row>
    <row r="3020" spans="1:6" x14ac:dyDescent="0.3">
      <c r="A3020" t="s">
        <v>770</v>
      </c>
      <c r="B3020" t="s">
        <v>2161</v>
      </c>
      <c r="C3020">
        <v>4.5</v>
      </c>
      <c r="D3020">
        <v>98</v>
      </c>
      <c r="E3020">
        <f>IF(OR(B3020="vi",B3020="ii",B3020="pod"),(((D3020/100)*(C3020*VLOOKUP(B3020,'Poids des runes'!A:B,2,FALSE)))+1),(((D3020/100)*(C3020*VLOOKUP(B3020,'Poids des runes'!A:B,2,FALSE)))+1)/VLOOKUP(B3020,'Poids des runes'!A:B,2,FALSE))</f>
        <v>4.7433333333333332</v>
      </c>
      <c r="F3020">
        <f t="shared" si="47"/>
        <v>4.7433333333333332</v>
      </c>
    </row>
    <row r="3021" spans="1:6" x14ac:dyDescent="0.3">
      <c r="A3021" t="s">
        <v>770</v>
      </c>
      <c r="B3021" t="s">
        <v>2132</v>
      </c>
      <c r="C3021">
        <v>125.5</v>
      </c>
      <c r="D3021">
        <v>98</v>
      </c>
      <c r="E3021">
        <f>IF(OR(B3021="vi",B3021="ii",B3021="pod"),(((D3021/100)*(C3021*VLOOKUP(B3021,'Poids des runes'!A:B,2,FALSE)))+1),(((D3021/100)*(C3021*VLOOKUP(B3021,'Poids des runes'!A:B,2,FALSE)))+1)/VLOOKUP(B3021,'Poids des runes'!A:B,2,FALSE))</f>
        <v>13.299000000000001</v>
      </c>
      <c r="F3021">
        <f t="shared" si="47"/>
        <v>13.299000000000001</v>
      </c>
    </row>
    <row r="3022" spans="1:6" x14ac:dyDescent="0.3">
      <c r="A3022" t="s">
        <v>771</v>
      </c>
      <c r="B3022" t="s">
        <v>2128</v>
      </c>
      <c r="C3022">
        <v>175.5</v>
      </c>
      <c r="D3022">
        <v>98</v>
      </c>
      <c r="E3022">
        <f>IF(OR(B3022="vi",B3022="ii",B3022="pod"),(((D3022/100)*(C3022*VLOOKUP(B3022,'Poids des runes'!A:B,2,FALSE)))+1),(((D3022/100)*(C3022*VLOOKUP(B3022,'Poids des runes'!A:B,2,FALSE)))+1)/VLOOKUP(B3022,'Poids des runes'!A:B,2,FALSE))</f>
        <v>35.398000000000003</v>
      </c>
      <c r="F3022">
        <f t="shared" si="47"/>
        <v>35.398000000000003</v>
      </c>
    </row>
    <row r="3023" spans="1:6" x14ac:dyDescent="0.3">
      <c r="A3023" t="s">
        <v>771</v>
      </c>
      <c r="B3023" t="s">
        <v>2129</v>
      </c>
      <c r="C3023">
        <v>13</v>
      </c>
      <c r="D3023">
        <v>98</v>
      </c>
      <c r="E3023">
        <f>IF(OR(B3023="vi",B3023="ii",B3023="pod"),(((D3023/100)*(C3023*VLOOKUP(B3023,'Poids des runes'!A:B,2,FALSE)))+1),(((D3023/100)*(C3023*VLOOKUP(B3023,'Poids des runes'!A:B,2,FALSE)))+1)/VLOOKUP(B3023,'Poids des runes'!A:B,2,FALSE))</f>
        <v>13.74</v>
      </c>
      <c r="F3023">
        <f t="shared" si="47"/>
        <v>13.74</v>
      </c>
    </row>
    <row r="3024" spans="1:6" x14ac:dyDescent="0.3">
      <c r="A3024" t="s">
        <v>771</v>
      </c>
      <c r="B3024" t="s">
        <v>2139</v>
      </c>
      <c r="C3024">
        <v>35.5</v>
      </c>
      <c r="D3024">
        <v>98</v>
      </c>
      <c r="E3024">
        <f>IF(OR(B3024="vi",B3024="ii",B3024="pod"),(((D3024/100)*(C3024*VLOOKUP(B3024,'Poids des runes'!A:B,2,FALSE)))+1),(((D3024/100)*(C3024*VLOOKUP(B3024,'Poids des runes'!A:B,2,FALSE)))+1)/VLOOKUP(B3024,'Poids des runes'!A:B,2,FALSE))</f>
        <v>35.29</v>
      </c>
      <c r="F3024">
        <f t="shared" si="47"/>
        <v>35.29</v>
      </c>
    </row>
    <row r="3025" spans="1:6" x14ac:dyDescent="0.3">
      <c r="A3025" t="s">
        <v>771</v>
      </c>
      <c r="B3025" t="s">
        <v>2151</v>
      </c>
      <c r="C3025">
        <v>2.5</v>
      </c>
      <c r="D3025">
        <v>98</v>
      </c>
      <c r="E3025">
        <f>IF(OR(B3025="vi",B3025="ii",B3025="pod"),(((D3025/100)*(C3025*VLOOKUP(B3025,'Poids des runes'!A:B,2,FALSE)))+1),(((D3025/100)*(C3025*VLOOKUP(B3025,'Poids des runes'!A:B,2,FALSE)))+1)/VLOOKUP(B3025,'Poids des runes'!A:B,2,FALSE))</f>
        <v>2.5499999999999998</v>
      </c>
      <c r="F3025">
        <f t="shared" si="47"/>
        <v>2.5499999999999998</v>
      </c>
    </row>
    <row r="3026" spans="1:6" x14ac:dyDescent="0.3">
      <c r="A3026" t="s">
        <v>771</v>
      </c>
      <c r="B3026" t="s">
        <v>2155</v>
      </c>
      <c r="C3026">
        <v>1</v>
      </c>
      <c r="D3026">
        <v>98</v>
      </c>
      <c r="E3026">
        <f>IF(OR(B3026="vi",B3026="ii",B3026="pod"),(((D3026/100)*(C3026*VLOOKUP(B3026,'Poids des runes'!A:B,2,FALSE)))+1),(((D3026/100)*(C3026*VLOOKUP(B3026,'Poids des runes'!A:B,2,FALSE)))+1)/VLOOKUP(B3026,'Poids des runes'!A:B,2,FALSE))</f>
        <v>0.99960784313725481</v>
      </c>
      <c r="F3026">
        <f t="shared" si="47"/>
        <v>0.99960784313725481</v>
      </c>
    </row>
    <row r="3027" spans="1:6" x14ac:dyDescent="0.3">
      <c r="A3027" t="s">
        <v>771</v>
      </c>
      <c r="B3027" t="s">
        <v>2138</v>
      </c>
      <c r="C3027">
        <v>4</v>
      </c>
      <c r="D3027">
        <v>98</v>
      </c>
      <c r="E3027">
        <f>IF(OR(B3027="vi",B3027="ii",B3027="pod"),(((D3027/100)*(C3027*VLOOKUP(B3027,'Poids des runes'!A:B,2,FALSE)))+1),(((D3027/100)*(C3027*VLOOKUP(B3027,'Poids des runes'!A:B,2,FALSE)))+1)/VLOOKUP(B3027,'Poids des runes'!A:B,2,FALSE))</f>
        <v>4.17</v>
      </c>
      <c r="F3027">
        <f t="shared" si="47"/>
        <v>4.17</v>
      </c>
    </row>
    <row r="3028" spans="1:6" x14ac:dyDescent="0.3">
      <c r="A3028" t="s">
        <v>771</v>
      </c>
      <c r="B3028" t="s">
        <v>2147</v>
      </c>
      <c r="C3028">
        <v>1.5</v>
      </c>
      <c r="D3028">
        <v>98</v>
      </c>
      <c r="E3028">
        <f>IF(OR(B3028="vi",B3028="ii",B3028="pod"),(((D3028/100)*(C3028*VLOOKUP(B3028,'Poids des runes'!A:B,2,FALSE)))+1),(((D3028/100)*(C3028*VLOOKUP(B3028,'Poids des runes'!A:B,2,FALSE)))+1)/VLOOKUP(B3028,'Poids des runes'!A:B,2,FALSE))</f>
        <v>1.6366666666666667</v>
      </c>
      <c r="F3028">
        <f t="shared" si="47"/>
        <v>1.6366666666666667</v>
      </c>
    </row>
    <row r="3029" spans="1:6" x14ac:dyDescent="0.3">
      <c r="A3029" t="s">
        <v>771</v>
      </c>
      <c r="B3029" t="s">
        <v>2157</v>
      </c>
      <c r="C3029">
        <v>1.5</v>
      </c>
      <c r="D3029">
        <v>98</v>
      </c>
      <c r="E3029">
        <f>IF(OR(B3029="vi",B3029="ii",B3029="pod"),(((D3029/100)*(C3029*VLOOKUP(B3029,'Poids des runes'!A:B,2,FALSE)))+1),(((D3029/100)*(C3029*VLOOKUP(B3029,'Poids des runes'!A:B,2,FALSE)))+1)/VLOOKUP(B3029,'Poids des runes'!A:B,2,FALSE))</f>
        <v>1.6366666666666667</v>
      </c>
      <c r="F3029">
        <f t="shared" si="47"/>
        <v>1.6366666666666667</v>
      </c>
    </row>
    <row r="3030" spans="1:6" x14ac:dyDescent="0.3">
      <c r="A3030" t="s">
        <v>772</v>
      </c>
      <c r="B3030" t="s">
        <v>2128</v>
      </c>
      <c r="C3030">
        <v>50.5</v>
      </c>
      <c r="D3030">
        <v>99</v>
      </c>
      <c r="E3030">
        <f>IF(OR(B3030="vi",B3030="ii",B3030="pod"),(((D3030/100)*(C3030*VLOOKUP(B3030,'Poids des runes'!A:B,2,FALSE)))+1),(((D3030/100)*(C3030*VLOOKUP(B3030,'Poids des runes'!A:B,2,FALSE)))+1)/VLOOKUP(B3030,'Poids des runes'!A:B,2,FALSE))</f>
        <v>10.999000000000001</v>
      </c>
      <c r="F3030">
        <f t="shared" si="47"/>
        <v>10.999000000000001</v>
      </c>
    </row>
    <row r="3031" spans="1:6" x14ac:dyDescent="0.3">
      <c r="A3031" t="s">
        <v>772</v>
      </c>
      <c r="B3031" t="s">
        <v>2130</v>
      </c>
      <c r="C3031">
        <v>25.5</v>
      </c>
      <c r="D3031">
        <v>99</v>
      </c>
      <c r="E3031">
        <f>IF(OR(B3031="vi",B3031="ii",B3031="pod"),(((D3031/100)*(C3031*VLOOKUP(B3031,'Poids des runes'!A:B,2,FALSE)))+1),(((D3031/100)*(C3031*VLOOKUP(B3031,'Poids des runes'!A:B,2,FALSE)))+1)/VLOOKUP(B3031,'Poids des runes'!A:B,2,FALSE))</f>
        <v>26.245000000000001</v>
      </c>
      <c r="F3031">
        <f t="shared" si="47"/>
        <v>26.245000000000001</v>
      </c>
    </row>
    <row r="3032" spans="1:6" x14ac:dyDescent="0.3">
      <c r="A3032" t="s">
        <v>772</v>
      </c>
      <c r="B3032" t="s">
        <v>2126</v>
      </c>
      <c r="C3032">
        <v>25.5</v>
      </c>
      <c r="D3032">
        <v>99</v>
      </c>
      <c r="E3032">
        <f>IF(OR(B3032="vi",B3032="ii",B3032="pod"),(((D3032/100)*(C3032*VLOOKUP(B3032,'Poids des runes'!A:B,2,FALSE)))+1),(((D3032/100)*(C3032*VLOOKUP(B3032,'Poids des runes'!A:B,2,FALSE)))+1)/VLOOKUP(B3032,'Poids des runes'!A:B,2,FALSE))</f>
        <v>26.245000000000001</v>
      </c>
      <c r="F3032">
        <f t="shared" si="47"/>
        <v>26.245000000000001</v>
      </c>
    </row>
    <row r="3033" spans="1:6" x14ac:dyDescent="0.3">
      <c r="A3033" t="s">
        <v>772</v>
      </c>
      <c r="B3033" t="s">
        <v>2129</v>
      </c>
      <c r="C3033">
        <v>20.5</v>
      </c>
      <c r="D3033">
        <v>99</v>
      </c>
      <c r="E3033">
        <f>IF(OR(B3033="vi",B3033="ii",B3033="pod"),(((D3033/100)*(C3033*VLOOKUP(B3033,'Poids des runes'!A:B,2,FALSE)))+1),(((D3033/100)*(C3033*VLOOKUP(B3033,'Poids des runes'!A:B,2,FALSE)))+1)/VLOOKUP(B3033,'Poids des runes'!A:B,2,FALSE))</f>
        <v>21.294999999999998</v>
      </c>
      <c r="F3033">
        <f t="shared" si="47"/>
        <v>21.294999999999998</v>
      </c>
    </row>
    <row r="3034" spans="1:6" x14ac:dyDescent="0.3">
      <c r="A3034" t="s">
        <v>772</v>
      </c>
      <c r="B3034" t="s">
        <v>2151</v>
      </c>
      <c r="C3034">
        <v>2.5</v>
      </c>
      <c r="D3034">
        <v>99</v>
      </c>
      <c r="E3034">
        <f>IF(OR(B3034="vi",B3034="ii",B3034="pod"),(((D3034/100)*(C3034*VLOOKUP(B3034,'Poids des runes'!A:B,2,FALSE)))+1),(((D3034/100)*(C3034*VLOOKUP(B3034,'Poids des runes'!A:B,2,FALSE)))+1)/VLOOKUP(B3034,'Poids des runes'!A:B,2,FALSE))</f>
        <v>2.5750000000000002</v>
      </c>
      <c r="F3034">
        <f t="shared" si="47"/>
        <v>2.5750000000000002</v>
      </c>
    </row>
    <row r="3035" spans="1:6" x14ac:dyDescent="0.3">
      <c r="A3035" t="s">
        <v>772</v>
      </c>
      <c r="B3035" t="s">
        <v>2150</v>
      </c>
      <c r="C3035">
        <v>1</v>
      </c>
      <c r="D3035">
        <v>99</v>
      </c>
      <c r="E3035">
        <f>IF(OR(B3035="vi",B3035="ii",B3035="pod"),(((D3035/100)*(C3035*VLOOKUP(B3035,'Poids des runes'!A:B,2,FALSE)))+1),(((D3035/100)*(C3035*VLOOKUP(B3035,'Poids des runes'!A:B,2,FALSE)))+1)/VLOOKUP(B3035,'Poids des runes'!A:B,2,FALSE))</f>
        <v>1.0233333333333332</v>
      </c>
      <c r="F3035">
        <f t="shared" si="47"/>
        <v>1.0233333333333332</v>
      </c>
    </row>
    <row r="3036" spans="1:6" x14ac:dyDescent="0.3">
      <c r="A3036" t="s">
        <v>772</v>
      </c>
      <c r="B3036" t="s">
        <v>2143</v>
      </c>
      <c r="C3036">
        <v>5</v>
      </c>
      <c r="D3036">
        <v>99</v>
      </c>
      <c r="E3036">
        <f>IF(OR(B3036="vi",B3036="ii",B3036="pod"),(((D3036/100)*(C3036*VLOOKUP(B3036,'Poids des runes'!A:B,2,FALSE)))+1),(((D3036/100)*(C3036*VLOOKUP(B3036,'Poids des runes'!A:B,2,FALSE)))+1)/VLOOKUP(B3036,'Poids des runes'!A:B,2,FALSE))</f>
        <v>5.15</v>
      </c>
      <c r="F3036">
        <f t="shared" si="47"/>
        <v>5.15</v>
      </c>
    </row>
    <row r="3037" spans="1:6" x14ac:dyDescent="0.3">
      <c r="A3037" t="s">
        <v>772</v>
      </c>
      <c r="B3037" t="s">
        <v>2140</v>
      </c>
      <c r="C3037">
        <v>5</v>
      </c>
      <c r="D3037">
        <v>99</v>
      </c>
      <c r="E3037">
        <f>IF(OR(B3037="vi",B3037="ii",B3037="pod"),(((D3037/100)*(C3037*VLOOKUP(B3037,'Poids des runes'!A:B,2,FALSE)))+1),(((D3037/100)*(C3037*VLOOKUP(B3037,'Poids des runes'!A:B,2,FALSE)))+1)/VLOOKUP(B3037,'Poids des runes'!A:B,2,FALSE))</f>
        <v>5.15</v>
      </c>
      <c r="F3037">
        <f t="shared" si="47"/>
        <v>5.15</v>
      </c>
    </row>
    <row r="3038" spans="1:6" x14ac:dyDescent="0.3">
      <c r="A3038" t="s">
        <v>772</v>
      </c>
      <c r="B3038" t="s">
        <v>2161</v>
      </c>
      <c r="C3038">
        <v>8.5</v>
      </c>
      <c r="D3038">
        <v>99</v>
      </c>
      <c r="E3038">
        <f>IF(OR(B3038="vi",B3038="ii",B3038="pod"),(((D3038/100)*(C3038*VLOOKUP(B3038,'Poids des runes'!A:B,2,FALSE)))+1),(((D3038/100)*(C3038*VLOOKUP(B3038,'Poids des runes'!A:B,2,FALSE)))+1)/VLOOKUP(B3038,'Poids des runes'!A:B,2,FALSE))</f>
        <v>8.7483333333333331</v>
      </c>
      <c r="F3038">
        <f t="shared" si="47"/>
        <v>8.7483333333333331</v>
      </c>
    </row>
    <row r="3039" spans="1:6" x14ac:dyDescent="0.3">
      <c r="A3039" t="s">
        <v>772</v>
      </c>
      <c r="B3039" t="s">
        <v>2165</v>
      </c>
      <c r="C3039">
        <v>3.5</v>
      </c>
      <c r="D3039">
        <v>99</v>
      </c>
      <c r="E3039">
        <f>IF(OR(B3039="vi",B3039="ii",B3039="pod"),(((D3039/100)*(C3039*VLOOKUP(B3039,'Poids des runes'!A:B,2,FALSE)))+1),(((D3039/100)*(C3039*VLOOKUP(B3039,'Poids des runes'!A:B,2,FALSE)))+1)/VLOOKUP(B3039,'Poids des runes'!A:B,2,FALSE))</f>
        <v>3.6078571428571427</v>
      </c>
      <c r="F3039">
        <f t="shared" si="47"/>
        <v>3.6078571428571427</v>
      </c>
    </row>
    <row r="3040" spans="1:6" x14ac:dyDescent="0.3">
      <c r="A3040" t="s">
        <v>772</v>
      </c>
      <c r="B3040" t="s">
        <v>2142</v>
      </c>
      <c r="C3040">
        <v>7</v>
      </c>
      <c r="D3040">
        <v>99</v>
      </c>
      <c r="E3040">
        <f>IF(OR(B3040="vi",B3040="ii",B3040="pod"),(((D3040/100)*(C3040*VLOOKUP(B3040,'Poids des runes'!A:B,2,FALSE)))+1),(((D3040/100)*(C3040*VLOOKUP(B3040,'Poids des runes'!A:B,2,FALSE)))+1)/VLOOKUP(B3040,'Poids des runes'!A:B,2,FALSE))</f>
        <v>7.13</v>
      </c>
      <c r="F3040">
        <f t="shared" si="47"/>
        <v>7.13</v>
      </c>
    </row>
    <row r="3041" spans="1:6" x14ac:dyDescent="0.3">
      <c r="A3041" t="s">
        <v>772</v>
      </c>
      <c r="B3041" t="s">
        <v>2145</v>
      </c>
      <c r="C3041">
        <v>7</v>
      </c>
      <c r="D3041">
        <v>99</v>
      </c>
      <c r="E3041">
        <f>IF(OR(B3041="vi",B3041="ii",B3041="pod"),(((D3041/100)*(C3041*VLOOKUP(B3041,'Poids des runes'!A:B,2,FALSE)))+1),(((D3041/100)*(C3041*VLOOKUP(B3041,'Poids des runes'!A:B,2,FALSE)))+1)/VLOOKUP(B3041,'Poids des runes'!A:B,2,FALSE))</f>
        <v>7.43</v>
      </c>
      <c r="F3041">
        <f t="shared" si="47"/>
        <v>7.43</v>
      </c>
    </row>
    <row r="3042" spans="1:6" x14ac:dyDescent="0.3">
      <c r="A3042" t="s">
        <v>772</v>
      </c>
      <c r="B3042" t="s">
        <v>2146</v>
      </c>
      <c r="C3042">
        <v>7</v>
      </c>
      <c r="D3042">
        <v>99</v>
      </c>
      <c r="E3042">
        <f>IF(OR(B3042="vi",B3042="ii",B3042="pod"),(((D3042/100)*(C3042*VLOOKUP(B3042,'Poids des runes'!A:B,2,FALSE)))+1),(((D3042/100)*(C3042*VLOOKUP(B3042,'Poids des runes'!A:B,2,FALSE)))+1)/VLOOKUP(B3042,'Poids des runes'!A:B,2,FALSE))</f>
        <v>7.43</v>
      </c>
      <c r="F3042">
        <f t="shared" si="47"/>
        <v>7.43</v>
      </c>
    </row>
    <row r="3043" spans="1:6" x14ac:dyDescent="0.3">
      <c r="A3043" t="s">
        <v>773</v>
      </c>
      <c r="B3043" t="s">
        <v>2128</v>
      </c>
      <c r="C3043">
        <v>50.5</v>
      </c>
      <c r="D3043">
        <v>99</v>
      </c>
      <c r="E3043">
        <f>IF(OR(B3043="vi",B3043="ii",B3043="pod"),(((D3043/100)*(C3043*VLOOKUP(B3043,'Poids des runes'!A:B,2,FALSE)))+1),(((D3043/100)*(C3043*VLOOKUP(B3043,'Poids des runes'!A:B,2,FALSE)))+1)/VLOOKUP(B3043,'Poids des runes'!A:B,2,FALSE))</f>
        <v>10.999000000000001</v>
      </c>
      <c r="F3043">
        <f t="shared" si="47"/>
        <v>10.999000000000001</v>
      </c>
    </row>
    <row r="3044" spans="1:6" x14ac:dyDescent="0.3">
      <c r="A3044" t="s">
        <v>773</v>
      </c>
      <c r="B3044" t="s">
        <v>2130</v>
      </c>
      <c r="C3044">
        <v>25.5</v>
      </c>
      <c r="D3044">
        <v>99</v>
      </c>
      <c r="E3044">
        <f>IF(OR(B3044="vi",B3044="ii",B3044="pod"),(((D3044/100)*(C3044*VLOOKUP(B3044,'Poids des runes'!A:B,2,FALSE)))+1),(((D3044/100)*(C3044*VLOOKUP(B3044,'Poids des runes'!A:B,2,FALSE)))+1)/VLOOKUP(B3044,'Poids des runes'!A:B,2,FALSE))</f>
        <v>26.245000000000001</v>
      </c>
      <c r="F3044">
        <f t="shared" si="47"/>
        <v>26.245000000000001</v>
      </c>
    </row>
    <row r="3045" spans="1:6" x14ac:dyDescent="0.3">
      <c r="A3045" t="s">
        <v>773</v>
      </c>
      <c r="B3045" t="s">
        <v>2127</v>
      </c>
      <c r="C3045">
        <v>40.5</v>
      </c>
      <c r="D3045">
        <v>99</v>
      </c>
      <c r="E3045">
        <f>IF(OR(B3045="vi",B3045="ii",B3045="pod"),(((D3045/100)*(C3045*VLOOKUP(B3045,'Poids des runes'!A:B,2,FALSE)))+1),(((D3045/100)*(C3045*VLOOKUP(B3045,'Poids des runes'!A:B,2,FALSE)))+1)/VLOOKUP(B3045,'Poids des runes'!A:B,2,FALSE))</f>
        <v>41.094999999999999</v>
      </c>
      <c r="F3045">
        <f t="shared" si="47"/>
        <v>41.094999999999999</v>
      </c>
    </row>
    <row r="3046" spans="1:6" x14ac:dyDescent="0.3">
      <c r="A3046" t="s">
        <v>773</v>
      </c>
      <c r="B3046" t="s">
        <v>2129</v>
      </c>
      <c r="C3046">
        <v>13</v>
      </c>
      <c r="D3046">
        <v>99</v>
      </c>
      <c r="E3046">
        <f>IF(OR(B3046="vi",B3046="ii",B3046="pod"),(((D3046/100)*(C3046*VLOOKUP(B3046,'Poids des runes'!A:B,2,FALSE)))+1),(((D3046/100)*(C3046*VLOOKUP(B3046,'Poids des runes'!A:B,2,FALSE)))+1)/VLOOKUP(B3046,'Poids des runes'!A:B,2,FALSE))</f>
        <v>13.87</v>
      </c>
      <c r="F3046">
        <f t="shared" si="47"/>
        <v>13.87</v>
      </c>
    </row>
    <row r="3047" spans="1:6" x14ac:dyDescent="0.3">
      <c r="A3047" t="s">
        <v>773</v>
      </c>
      <c r="B3047" t="s">
        <v>2154</v>
      </c>
      <c r="C3047">
        <v>1</v>
      </c>
      <c r="D3047">
        <v>99</v>
      </c>
      <c r="E3047">
        <f>IF(OR(B3047="vi",B3047="ii",B3047="pod"),(((D3047/100)*(C3047*VLOOKUP(B3047,'Poids des runes'!A:B,2,FALSE)))+1),(((D3047/100)*(C3047*VLOOKUP(B3047,'Poids des runes'!A:B,2,FALSE)))+1)/VLOOKUP(B3047,'Poids des runes'!A:B,2,FALSE))</f>
        <v>1.0011111111111111</v>
      </c>
      <c r="F3047">
        <f t="shared" si="47"/>
        <v>1.0011111111111111</v>
      </c>
    </row>
    <row r="3048" spans="1:6" x14ac:dyDescent="0.3">
      <c r="A3048" t="s">
        <v>773</v>
      </c>
      <c r="B3048" t="s">
        <v>2161</v>
      </c>
      <c r="C3048">
        <v>8.5</v>
      </c>
      <c r="D3048">
        <v>99</v>
      </c>
      <c r="E3048">
        <f>IF(OR(B3048="vi",B3048="ii",B3048="pod"),(((D3048/100)*(C3048*VLOOKUP(B3048,'Poids des runes'!A:B,2,FALSE)))+1),(((D3048/100)*(C3048*VLOOKUP(B3048,'Poids des runes'!A:B,2,FALSE)))+1)/VLOOKUP(B3048,'Poids des runes'!A:B,2,FALSE))</f>
        <v>8.7483333333333331</v>
      </c>
      <c r="F3048">
        <f t="shared" si="47"/>
        <v>8.7483333333333331</v>
      </c>
    </row>
    <row r="3049" spans="1:6" x14ac:dyDescent="0.3">
      <c r="A3049" t="s">
        <v>773</v>
      </c>
      <c r="B3049" t="s">
        <v>2141</v>
      </c>
      <c r="C3049">
        <v>4.5</v>
      </c>
      <c r="D3049">
        <v>99</v>
      </c>
      <c r="E3049">
        <f>IF(OR(B3049="vi",B3049="ii",B3049="pod"),(((D3049/100)*(C3049*VLOOKUP(B3049,'Poids des runes'!A:B,2,FALSE)))+1),(((D3049/100)*(C3049*VLOOKUP(B3049,'Poids des runes'!A:B,2,FALSE)))+1)/VLOOKUP(B3049,'Poids des runes'!A:B,2,FALSE))</f>
        <v>4.7050000000000001</v>
      </c>
      <c r="F3049">
        <f t="shared" si="47"/>
        <v>4.7050000000000001</v>
      </c>
    </row>
    <row r="3050" spans="1:6" x14ac:dyDescent="0.3">
      <c r="A3050" t="s">
        <v>773</v>
      </c>
      <c r="B3050" t="s">
        <v>2157</v>
      </c>
      <c r="C3050">
        <v>2.5</v>
      </c>
      <c r="D3050">
        <v>99</v>
      </c>
      <c r="E3050">
        <f>IF(OR(B3050="vi",B3050="ii",B3050="pod"),(((D3050/100)*(C3050*VLOOKUP(B3050,'Poids des runes'!A:B,2,FALSE)))+1),(((D3050/100)*(C3050*VLOOKUP(B3050,'Poids des runes'!A:B,2,FALSE)))+1)/VLOOKUP(B3050,'Poids des runes'!A:B,2,FALSE))</f>
        <v>2.6416666666666666</v>
      </c>
      <c r="F3050">
        <f t="shared" si="47"/>
        <v>2.6416666666666666</v>
      </c>
    </row>
    <row r="3051" spans="1:6" x14ac:dyDescent="0.3">
      <c r="A3051" t="s">
        <v>774</v>
      </c>
      <c r="B3051" t="s">
        <v>2128</v>
      </c>
      <c r="C3051">
        <v>60.5</v>
      </c>
      <c r="D3051">
        <v>99</v>
      </c>
      <c r="E3051">
        <f>IF(OR(B3051="vi",B3051="ii",B3051="pod"),(((D3051/100)*(C3051*VLOOKUP(B3051,'Poids des runes'!A:B,2,FALSE)))+1),(((D3051/100)*(C3051*VLOOKUP(B3051,'Poids des runes'!A:B,2,FALSE)))+1)/VLOOKUP(B3051,'Poids des runes'!A:B,2,FALSE))</f>
        <v>12.979000000000001</v>
      </c>
      <c r="F3051">
        <f t="shared" si="47"/>
        <v>12.979000000000001</v>
      </c>
    </row>
    <row r="3052" spans="1:6" x14ac:dyDescent="0.3">
      <c r="A3052" t="s">
        <v>774</v>
      </c>
      <c r="B3052" t="s">
        <v>2130</v>
      </c>
      <c r="C3052">
        <v>33</v>
      </c>
      <c r="D3052">
        <v>99</v>
      </c>
      <c r="E3052">
        <f>IF(OR(B3052="vi",B3052="ii",B3052="pod"),(((D3052/100)*(C3052*VLOOKUP(B3052,'Poids des runes'!A:B,2,FALSE)))+1),(((D3052/100)*(C3052*VLOOKUP(B3052,'Poids des runes'!A:B,2,FALSE)))+1)/VLOOKUP(B3052,'Poids des runes'!A:B,2,FALSE))</f>
        <v>33.67</v>
      </c>
      <c r="F3052">
        <f t="shared" si="47"/>
        <v>33.67</v>
      </c>
    </row>
    <row r="3053" spans="1:6" x14ac:dyDescent="0.3">
      <c r="A3053" t="s">
        <v>774</v>
      </c>
      <c r="B3053" t="s">
        <v>2127</v>
      </c>
      <c r="C3053">
        <v>33</v>
      </c>
      <c r="D3053">
        <v>99</v>
      </c>
      <c r="E3053">
        <f>IF(OR(B3053="vi",B3053="ii",B3053="pod"),(((D3053/100)*(C3053*VLOOKUP(B3053,'Poids des runes'!A:B,2,FALSE)))+1),(((D3053/100)*(C3053*VLOOKUP(B3053,'Poids des runes'!A:B,2,FALSE)))+1)/VLOOKUP(B3053,'Poids des runes'!A:B,2,FALSE))</f>
        <v>33.67</v>
      </c>
      <c r="F3053">
        <f t="shared" si="47"/>
        <v>33.67</v>
      </c>
    </row>
    <row r="3054" spans="1:6" x14ac:dyDescent="0.3">
      <c r="A3054" t="s">
        <v>774</v>
      </c>
      <c r="B3054" t="s">
        <v>2129</v>
      </c>
      <c r="C3054">
        <v>20.5</v>
      </c>
      <c r="D3054">
        <v>99</v>
      </c>
      <c r="E3054">
        <f>IF(OR(B3054="vi",B3054="ii",B3054="pod"),(((D3054/100)*(C3054*VLOOKUP(B3054,'Poids des runes'!A:B,2,FALSE)))+1),(((D3054/100)*(C3054*VLOOKUP(B3054,'Poids des runes'!A:B,2,FALSE)))+1)/VLOOKUP(B3054,'Poids des runes'!A:B,2,FALSE))</f>
        <v>21.294999999999998</v>
      </c>
      <c r="F3054">
        <f t="shared" si="47"/>
        <v>21.294999999999998</v>
      </c>
    </row>
    <row r="3055" spans="1:6" x14ac:dyDescent="0.3">
      <c r="A3055" t="s">
        <v>774</v>
      </c>
      <c r="B3055" t="s">
        <v>2155</v>
      </c>
      <c r="C3055">
        <v>1</v>
      </c>
      <c r="D3055">
        <v>99</v>
      </c>
      <c r="E3055">
        <f>IF(OR(B3055="vi",B3055="ii",B3055="pod"),(((D3055/100)*(C3055*VLOOKUP(B3055,'Poids des runes'!A:B,2,FALSE)))+1),(((D3055/100)*(C3055*VLOOKUP(B3055,'Poids des runes'!A:B,2,FALSE)))+1)/VLOOKUP(B3055,'Poids des runes'!A:B,2,FALSE))</f>
        <v>1.009607843137255</v>
      </c>
      <c r="F3055">
        <f t="shared" si="47"/>
        <v>1.009607843137255</v>
      </c>
    </row>
    <row r="3056" spans="1:6" x14ac:dyDescent="0.3">
      <c r="A3056" t="s">
        <v>774</v>
      </c>
      <c r="B3056" t="s">
        <v>2143</v>
      </c>
      <c r="C3056">
        <v>3.5</v>
      </c>
      <c r="D3056">
        <v>99</v>
      </c>
      <c r="E3056">
        <f>IF(OR(B3056="vi",B3056="ii",B3056="pod"),(((D3056/100)*(C3056*VLOOKUP(B3056,'Poids des runes'!A:B,2,FALSE)))+1),(((D3056/100)*(C3056*VLOOKUP(B3056,'Poids des runes'!A:B,2,FALSE)))+1)/VLOOKUP(B3056,'Poids des runes'!A:B,2,FALSE))</f>
        <v>3.665</v>
      </c>
      <c r="F3056">
        <f t="shared" si="47"/>
        <v>3.665</v>
      </c>
    </row>
    <row r="3057" spans="1:6" x14ac:dyDescent="0.3">
      <c r="A3057" t="s">
        <v>774</v>
      </c>
      <c r="B3057" t="s">
        <v>2153</v>
      </c>
      <c r="C3057">
        <v>3.5</v>
      </c>
      <c r="D3057">
        <v>99</v>
      </c>
      <c r="E3057">
        <f>IF(OR(B3057="vi",B3057="ii",B3057="pod"),(((D3057/100)*(C3057*VLOOKUP(B3057,'Poids des runes'!A:B,2,FALSE)))+1),(((D3057/100)*(C3057*VLOOKUP(B3057,'Poids des runes'!A:B,2,FALSE)))+1)/VLOOKUP(B3057,'Poids des runes'!A:B,2,FALSE))</f>
        <v>3.665</v>
      </c>
      <c r="F3057">
        <f t="shared" si="47"/>
        <v>3.665</v>
      </c>
    </row>
    <row r="3058" spans="1:6" x14ac:dyDescent="0.3">
      <c r="A3058" t="s">
        <v>774</v>
      </c>
      <c r="B3058" t="s">
        <v>2147</v>
      </c>
      <c r="C3058">
        <v>1.5</v>
      </c>
      <c r="D3058">
        <v>99</v>
      </c>
      <c r="E3058">
        <f>IF(OR(B3058="vi",B3058="ii",B3058="pod"),(((D3058/100)*(C3058*VLOOKUP(B3058,'Poids des runes'!A:B,2,FALSE)))+1),(((D3058/100)*(C3058*VLOOKUP(B3058,'Poids des runes'!A:B,2,FALSE)))+1)/VLOOKUP(B3058,'Poids des runes'!A:B,2,FALSE))</f>
        <v>1.6516666666666666</v>
      </c>
      <c r="F3058">
        <f t="shared" si="47"/>
        <v>1.6516666666666666</v>
      </c>
    </row>
    <row r="3059" spans="1:6" x14ac:dyDescent="0.3">
      <c r="A3059" t="s">
        <v>774</v>
      </c>
      <c r="B3059" t="s">
        <v>2135</v>
      </c>
      <c r="C3059">
        <v>1.5</v>
      </c>
      <c r="D3059">
        <v>99</v>
      </c>
      <c r="E3059">
        <f>IF(OR(B3059="vi",B3059="ii",B3059="pod"),(((D3059/100)*(C3059*VLOOKUP(B3059,'Poids des runes'!A:B,2,FALSE)))+1),(((D3059/100)*(C3059*VLOOKUP(B3059,'Poids des runes'!A:B,2,FALSE)))+1)/VLOOKUP(B3059,'Poids des runes'!A:B,2,FALSE))</f>
        <v>1.6516666666666666</v>
      </c>
      <c r="F3059">
        <f t="shared" si="47"/>
        <v>1.6516666666666666</v>
      </c>
    </row>
    <row r="3060" spans="1:6" x14ac:dyDescent="0.3">
      <c r="A3060" t="s">
        <v>774</v>
      </c>
      <c r="B3060" t="s">
        <v>2157</v>
      </c>
      <c r="C3060">
        <v>1.5</v>
      </c>
      <c r="D3060">
        <v>99</v>
      </c>
      <c r="E3060">
        <f>IF(OR(B3060="vi",B3060="ii",B3060="pod"),(((D3060/100)*(C3060*VLOOKUP(B3060,'Poids des runes'!A:B,2,FALSE)))+1),(((D3060/100)*(C3060*VLOOKUP(B3060,'Poids des runes'!A:B,2,FALSE)))+1)/VLOOKUP(B3060,'Poids des runes'!A:B,2,FALSE))</f>
        <v>1.6516666666666666</v>
      </c>
      <c r="F3060">
        <f t="shared" si="47"/>
        <v>1.6516666666666666</v>
      </c>
    </row>
    <row r="3061" spans="1:6" x14ac:dyDescent="0.3">
      <c r="A3061" t="s">
        <v>775</v>
      </c>
      <c r="B3061" t="s">
        <v>2128</v>
      </c>
      <c r="C3061">
        <v>60.5</v>
      </c>
      <c r="D3061">
        <v>99</v>
      </c>
      <c r="E3061">
        <f>IF(OR(B3061="vi",B3061="ii",B3061="pod"),(((D3061/100)*(C3061*VLOOKUP(B3061,'Poids des runes'!A:B,2,FALSE)))+1),(((D3061/100)*(C3061*VLOOKUP(B3061,'Poids des runes'!A:B,2,FALSE)))+1)/VLOOKUP(B3061,'Poids des runes'!A:B,2,FALSE))</f>
        <v>12.979000000000001</v>
      </c>
      <c r="F3061">
        <f t="shared" si="47"/>
        <v>12.979000000000001</v>
      </c>
    </row>
    <row r="3062" spans="1:6" x14ac:dyDescent="0.3">
      <c r="A3062" t="s">
        <v>775</v>
      </c>
      <c r="B3062" t="s">
        <v>2130</v>
      </c>
      <c r="C3062">
        <v>30.5</v>
      </c>
      <c r="D3062">
        <v>99</v>
      </c>
      <c r="E3062">
        <f>IF(OR(B3062="vi",B3062="ii",B3062="pod"),(((D3062/100)*(C3062*VLOOKUP(B3062,'Poids des runes'!A:B,2,FALSE)))+1),(((D3062/100)*(C3062*VLOOKUP(B3062,'Poids des runes'!A:B,2,FALSE)))+1)/VLOOKUP(B3062,'Poids des runes'!A:B,2,FALSE))</f>
        <v>31.195</v>
      </c>
      <c r="F3062">
        <f t="shared" si="47"/>
        <v>31.195</v>
      </c>
    </row>
    <row r="3063" spans="1:6" x14ac:dyDescent="0.3">
      <c r="A3063" t="s">
        <v>775</v>
      </c>
      <c r="B3063" t="s">
        <v>2127</v>
      </c>
      <c r="C3063">
        <v>30.5</v>
      </c>
      <c r="D3063">
        <v>99</v>
      </c>
      <c r="E3063">
        <f>IF(OR(B3063="vi",B3063="ii",B3063="pod"),(((D3063/100)*(C3063*VLOOKUP(B3063,'Poids des runes'!A:B,2,FALSE)))+1),(((D3063/100)*(C3063*VLOOKUP(B3063,'Poids des runes'!A:B,2,FALSE)))+1)/VLOOKUP(B3063,'Poids des runes'!A:B,2,FALSE))</f>
        <v>31.195</v>
      </c>
      <c r="F3063">
        <f t="shared" si="47"/>
        <v>31.195</v>
      </c>
    </row>
    <row r="3064" spans="1:6" x14ac:dyDescent="0.3">
      <c r="A3064" t="s">
        <v>775</v>
      </c>
      <c r="B3064" t="s">
        <v>2129</v>
      </c>
      <c r="C3064">
        <v>20.5</v>
      </c>
      <c r="D3064">
        <v>99</v>
      </c>
      <c r="E3064">
        <f>IF(OR(B3064="vi",B3064="ii",B3064="pod"),(((D3064/100)*(C3064*VLOOKUP(B3064,'Poids des runes'!A:B,2,FALSE)))+1),(((D3064/100)*(C3064*VLOOKUP(B3064,'Poids des runes'!A:B,2,FALSE)))+1)/VLOOKUP(B3064,'Poids des runes'!A:B,2,FALSE))</f>
        <v>21.294999999999998</v>
      </c>
      <c r="F3064">
        <f t="shared" si="47"/>
        <v>21.294999999999998</v>
      </c>
    </row>
    <row r="3065" spans="1:6" x14ac:dyDescent="0.3">
      <c r="A3065" t="s">
        <v>775</v>
      </c>
      <c r="B3065" t="s">
        <v>2154</v>
      </c>
      <c r="C3065">
        <v>1</v>
      </c>
      <c r="D3065">
        <v>99</v>
      </c>
      <c r="E3065">
        <f>IF(OR(B3065="vi",B3065="ii",B3065="pod"),(((D3065/100)*(C3065*VLOOKUP(B3065,'Poids des runes'!A:B,2,FALSE)))+1),(((D3065/100)*(C3065*VLOOKUP(B3065,'Poids des runes'!A:B,2,FALSE)))+1)/VLOOKUP(B3065,'Poids des runes'!A:B,2,FALSE))</f>
        <v>1.0011111111111111</v>
      </c>
      <c r="F3065">
        <f t="shared" si="47"/>
        <v>1.0011111111111111</v>
      </c>
    </row>
    <row r="3066" spans="1:6" x14ac:dyDescent="0.3">
      <c r="A3066" t="s">
        <v>775</v>
      </c>
      <c r="B3066" t="s">
        <v>2148</v>
      </c>
      <c r="C3066">
        <v>2</v>
      </c>
      <c r="D3066">
        <v>99</v>
      </c>
      <c r="E3066">
        <f>IF(OR(B3066="vi",B3066="ii",B3066="pod"),(((D3066/100)*(C3066*VLOOKUP(B3066,'Poids des runes'!A:B,2,FALSE)))+1),(((D3066/100)*(C3066*VLOOKUP(B3066,'Poids des runes'!A:B,2,FALSE)))+1)/VLOOKUP(B3066,'Poids des runes'!A:B,2,FALSE))</f>
        <v>2.1466666666666665</v>
      </c>
      <c r="F3066">
        <f t="shared" si="47"/>
        <v>2.1466666666666665</v>
      </c>
    </row>
    <row r="3067" spans="1:6" x14ac:dyDescent="0.3">
      <c r="A3067" t="s">
        <v>775</v>
      </c>
      <c r="B3067" t="s">
        <v>2135</v>
      </c>
      <c r="C3067">
        <v>2</v>
      </c>
      <c r="D3067">
        <v>99</v>
      </c>
      <c r="E3067">
        <f>IF(OR(B3067="vi",B3067="ii",B3067="pod"),(((D3067/100)*(C3067*VLOOKUP(B3067,'Poids des runes'!A:B,2,FALSE)))+1),(((D3067/100)*(C3067*VLOOKUP(B3067,'Poids des runes'!A:B,2,FALSE)))+1)/VLOOKUP(B3067,'Poids des runes'!A:B,2,FALSE))</f>
        <v>2.1466666666666665</v>
      </c>
      <c r="F3067">
        <f t="shared" si="47"/>
        <v>2.1466666666666665</v>
      </c>
    </row>
    <row r="3068" spans="1:6" x14ac:dyDescent="0.3">
      <c r="A3068" t="s">
        <v>775</v>
      </c>
      <c r="B3068" t="s">
        <v>2157</v>
      </c>
      <c r="C3068">
        <v>2</v>
      </c>
      <c r="D3068">
        <v>99</v>
      </c>
      <c r="E3068">
        <f>IF(OR(B3068="vi",B3068="ii",B3068="pod"),(((D3068/100)*(C3068*VLOOKUP(B3068,'Poids des runes'!A:B,2,FALSE)))+1),(((D3068/100)*(C3068*VLOOKUP(B3068,'Poids des runes'!A:B,2,FALSE)))+1)/VLOOKUP(B3068,'Poids des runes'!A:B,2,FALSE))</f>
        <v>2.1466666666666665</v>
      </c>
      <c r="F3068">
        <f t="shared" si="47"/>
        <v>2.1466666666666665</v>
      </c>
    </row>
    <row r="3069" spans="1:6" x14ac:dyDescent="0.3">
      <c r="A3069" t="s">
        <v>776</v>
      </c>
      <c r="B3069" t="s">
        <v>2128</v>
      </c>
      <c r="C3069">
        <v>125.5</v>
      </c>
      <c r="D3069">
        <v>99</v>
      </c>
      <c r="E3069">
        <f>IF(OR(B3069="vi",B3069="ii",B3069="pod"),(((D3069/100)*(C3069*VLOOKUP(B3069,'Poids des runes'!A:B,2,FALSE)))+1),(((D3069/100)*(C3069*VLOOKUP(B3069,'Poids des runes'!A:B,2,FALSE)))+1)/VLOOKUP(B3069,'Poids des runes'!A:B,2,FALSE))</f>
        <v>25.849</v>
      </c>
      <c r="F3069">
        <f t="shared" si="47"/>
        <v>25.849</v>
      </c>
    </row>
    <row r="3070" spans="1:6" x14ac:dyDescent="0.3">
      <c r="A3070" t="s">
        <v>776</v>
      </c>
      <c r="B3070" t="s">
        <v>2129</v>
      </c>
      <c r="C3070">
        <v>13</v>
      </c>
      <c r="D3070">
        <v>99</v>
      </c>
      <c r="E3070">
        <f>IF(OR(B3070="vi",B3070="ii",B3070="pod"),(((D3070/100)*(C3070*VLOOKUP(B3070,'Poids des runes'!A:B,2,FALSE)))+1),(((D3070/100)*(C3070*VLOOKUP(B3070,'Poids des runes'!A:B,2,FALSE)))+1)/VLOOKUP(B3070,'Poids des runes'!A:B,2,FALSE))</f>
        <v>13.87</v>
      </c>
      <c r="F3070">
        <f t="shared" si="47"/>
        <v>13.87</v>
      </c>
    </row>
    <row r="3071" spans="1:6" x14ac:dyDescent="0.3">
      <c r="A3071" t="s">
        <v>776</v>
      </c>
      <c r="B3071" t="s">
        <v>2139</v>
      </c>
      <c r="C3071">
        <v>25.5</v>
      </c>
      <c r="D3071">
        <v>99</v>
      </c>
      <c r="E3071">
        <f>IF(OR(B3071="vi",B3071="ii",B3071="pod"),(((D3071/100)*(C3071*VLOOKUP(B3071,'Poids des runes'!A:B,2,FALSE)))+1),(((D3071/100)*(C3071*VLOOKUP(B3071,'Poids des runes'!A:B,2,FALSE)))+1)/VLOOKUP(B3071,'Poids des runes'!A:B,2,FALSE))</f>
        <v>25.745000000000001</v>
      </c>
      <c r="F3071">
        <f t="shared" si="47"/>
        <v>25.745000000000001</v>
      </c>
    </row>
    <row r="3072" spans="1:6" x14ac:dyDescent="0.3">
      <c r="A3072" t="s">
        <v>776</v>
      </c>
      <c r="B3072" t="s">
        <v>2132</v>
      </c>
      <c r="C3072">
        <v>150.5</v>
      </c>
      <c r="D3072">
        <v>99</v>
      </c>
      <c r="E3072">
        <f>IF(OR(B3072="vi",B3072="ii",B3072="pod"),(((D3072/100)*(C3072*VLOOKUP(B3072,'Poids des runes'!A:B,2,FALSE)))+1),(((D3072/100)*(C3072*VLOOKUP(B3072,'Poids des runes'!A:B,2,FALSE)))+1)/VLOOKUP(B3072,'Poids des runes'!A:B,2,FALSE))</f>
        <v>15.8995</v>
      </c>
      <c r="F3072">
        <f t="shared" si="47"/>
        <v>15.8995</v>
      </c>
    </row>
    <row r="3073" spans="1:6" x14ac:dyDescent="0.3">
      <c r="A3073" t="s">
        <v>776</v>
      </c>
      <c r="B3073" t="s">
        <v>2138</v>
      </c>
      <c r="C3073">
        <v>3.5</v>
      </c>
      <c r="D3073">
        <v>99</v>
      </c>
      <c r="E3073">
        <f>IF(OR(B3073="vi",B3073="ii",B3073="pod"),(((D3073/100)*(C3073*VLOOKUP(B3073,'Poids des runes'!A:B,2,FALSE)))+1),(((D3073/100)*(C3073*VLOOKUP(B3073,'Poids des runes'!A:B,2,FALSE)))+1)/VLOOKUP(B3073,'Poids des runes'!A:B,2,FALSE))</f>
        <v>3.7149999999999999</v>
      </c>
      <c r="F3073">
        <f t="shared" si="47"/>
        <v>3.7149999999999999</v>
      </c>
    </row>
    <row r="3074" spans="1:6" x14ac:dyDescent="0.3">
      <c r="A3074" t="s">
        <v>776</v>
      </c>
      <c r="B3074" t="s">
        <v>2156</v>
      </c>
      <c r="C3074">
        <v>1.5</v>
      </c>
      <c r="D3074">
        <v>99</v>
      </c>
      <c r="E3074">
        <f>IF(OR(B3074="vi",B3074="ii",B3074="pod"),(((D3074/100)*(C3074*VLOOKUP(B3074,'Poids des runes'!A:B,2,FALSE)))+1),(((D3074/100)*(C3074*VLOOKUP(B3074,'Poids des runes'!A:B,2,FALSE)))+1)/VLOOKUP(B3074,'Poids des runes'!A:B,2,FALSE))</f>
        <v>1.6516666666666666</v>
      </c>
      <c r="F3074">
        <f t="shared" si="47"/>
        <v>1.6516666666666666</v>
      </c>
    </row>
    <row r="3075" spans="1:6" x14ac:dyDescent="0.3">
      <c r="A3075" t="s">
        <v>776</v>
      </c>
      <c r="B3075" t="s">
        <v>2135</v>
      </c>
      <c r="C3075">
        <v>1.5</v>
      </c>
      <c r="D3075">
        <v>99</v>
      </c>
      <c r="E3075">
        <f>IF(OR(B3075="vi",B3075="ii",B3075="pod"),(((D3075/100)*(C3075*VLOOKUP(B3075,'Poids des runes'!A:B,2,FALSE)))+1),(((D3075/100)*(C3075*VLOOKUP(B3075,'Poids des runes'!A:B,2,FALSE)))+1)/VLOOKUP(B3075,'Poids des runes'!A:B,2,FALSE))</f>
        <v>1.6516666666666666</v>
      </c>
      <c r="F3075">
        <f t="shared" ref="F3075:F3138" si="48">E3075</f>
        <v>1.6516666666666666</v>
      </c>
    </row>
    <row r="3076" spans="1:6" x14ac:dyDescent="0.3">
      <c r="A3076" t="s">
        <v>777</v>
      </c>
      <c r="B3076" t="s">
        <v>2128</v>
      </c>
      <c r="C3076">
        <v>75.5</v>
      </c>
      <c r="D3076">
        <v>100</v>
      </c>
      <c r="E3076">
        <f>IF(OR(B3076="vi",B3076="ii",B3076="pod"),(((D3076/100)*(C3076*VLOOKUP(B3076,'Poids des runes'!A:B,2,FALSE)))+1),(((D3076/100)*(C3076*VLOOKUP(B3076,'Poids des runes'!A:B,2,FALSE)))+1)/VLOOKUP(B3076,'Poids des runes'!A:B,2,FALSE))</f>
        <v>16.100000000000001</v>
      </c>
      <c r="F3076">
        <f t="shared" si="48"/>
        <v>16.100000000000001</v>
      </c>
    </row>
    <row r="3077" spans="1:6" x14ac:dyDescent="0.3">
      <c r="A3077" t="s">
        <v>777</v>
      </c>
      <c r="B3077" t="s">
        <v>2155</v>
      </c>
      <c r="C3077">
        <v>1.5</v>
      </c>
      <c r="D3077">
        <v>100</v>
      </c>
      <c r="E3077">
        <f>IF(OR(B3077="vi",B3077="ii",B3077="pod"),(((D3077/100)*(C3077*VLOOKUP(B3077,'Poids des runes'!A:B,2,FALSE)))+1),(((D3077/100)*(C3077*VLOOKUP(B3077,'Poids des runes'!A:B,2,FALSE)))+1)/VLOOKUP(B3077,'Poids des runes'!A:B,2,FALSE))</f>
        <v>1.5196078431372548</v>
      </c>
      <c r="F3077">
        <f t="shared" si="48"/>
        <v>1.5196078431372548</v>
      </c>
    </row>
    <row r="3078" spans="1:6" x14ac:dyDescent="0.3">
      <c r="A3078" t="s">
        <v>777</v>
      </c>
      <c r="B3078" t="s">
        <v>2150</v>
      </c>
      <c r="C3078">
        <v>1.5</v>
      </c>
      <c r="D3078">
        <v>100</v>
      </c>
      <c r="E3078">
        <f>IF(OR(B3078="vi",B3078="ii",B3078="pod"),(((D3078/100)*(C3078*VLOOKUP(B3078,'Poids des runes'!A:B,2,FALSE)))+1),(((D3078/100)*(C3078*VLOOKUP(B3078,'Poids des runes'!A:B,2,FALSE)))+1)/VLOOKUP(B3078,'Poids des runes'!A:B,2,FALSE))</f>
        <v>1.5333333333333334</v>
      </c>
      <c r="F3078">
        <f t="shared" si="48"/>
        <v>1.5333333333333334</v>
      </c>
    </row>
    <row r="3079" spans="1:6" x14ac:dyDescent="0.3">
      <c r="A3079" t="s">
        <v>777</v>
      </c>
      <c r="B3079" t="s">
        <v>2149</v>
      </c>
      <c r="C3079">
        <v>8</v>
      </c>
      <c r="D3079">
        <v>100</v>
      </c>
      <c r="E3079">
        <f>IF(OR(B3079="vi",B3079="ii",B3079="pod"),(((D3079/100)*(C3079*VLOOKUP(B3079,'Poids des runes'!A:B,2,FALSE)))+1),(((D3079/100)*(C3079*VLOOKUP(B3079,'Poids des runes'!A:B,2,FALSE)))+1)/VLOOKUP(B3079,'Poids des runes'!A:B,2,FALSE))</f>
        <v>8.1</v>
      </c>
      <c r="F3079">
        <f t="shared" si="48"/>
        <v>8.1</v>
      </c>
    </row>
    <row r="3080" spans="1:6" x14ac:dyDescent="0.3">
      <c r="A3080" t="s">
        <v>777</v>
      </c>
      <c r="B3080" t="s">
        <v>2132</v>
      </c>
      <c r="C3080">
        <v>1000.5</v>
      </c>
      <c r="D3080">
        <v>100</v>
      </c>
      <c r="E3080">
        <f>IF(OR(B3080="vi",B3080="ii",B3080="pod"),(((D3080/100)*(C3080*VLOOKUP(B3080,'Poids des runes'!A:B,2,FALSE)))+1),(((D3080/100)*(C3080*VLOOKUP(B3080,'Poids des runes'!A:B,2,FALSE)))+1)/VLOOKUP(B3080,'Poids des runes'!A:B,2,FALSE))</f>
        <v>101.05000000000001</v>
      </c>
      <c r="F3080">
        <f t="shared" si="48"/>
        <v>101.05000000000001</v>
      </c>
    </row>
    <row r="3081" spans="1:6" x14ac:dyDescent="0.3">
      <c r="A3081" t="s">
        <v>778</v>
      </c>
      <c r="B3081" t="s">
        <v>2138</v>
      </c>
      <c r="C3081">
        <v>8</v>
      </c>
      <c r="D3081">
        <v>100</v>
      </c>
      <c r="E3081">
        <f>IF(OR(B3081="vi",B3081="ii",B3081="pod"),(((D3081/100)*(C3081*VLOOKUP(B3081,'Poids des runes'!A:B,2,FALSE)))+1),(((D3081/100)*(C3081*VLOOKUP(B3081,'Poids des runes'!A:B,2,FALSE)))+1)/VLOOKUP(B3081,'Poids des runes'!A:B,2,FALSE))</f>
        <v>8.25</v>
      </c>
      <c r="F3081">
        <f t="shared" si="48"/>
        <v>8.25</v>
      </c>
    </row>
    <row r="3082" spans="1:6" x14ac:dyDescent="0.3">
      <c r="A3082" t="s">
        <v>779</v>
      </c>
      <c r="B3082" t="s">
        <v>2141</v>
      </c>
      <c r="C3082">
        <v>8</v>
      </c>
      <c r="D3082">
        <v>100</v>
      </c>
      <c r="E3082">
        <f>IF(OR(B3082="vi",B3082="ii",B3082="pod"),(((D3082/100)*(C3082*VLOOKUP(B3082,'Poids des runes'!A:B,2,FALSE)))+1),(((D3082/100)*(C3082*VLOOKUP(B3082,'Poids des runes'!A:B,2,FALSE)))+1)/VLOOKUP(B3082,'Poids des runes'!A:B,2,FALSE))</f>
        <v>8.25</v>
      </c>
      <c r="F3082">
        <f t="shared" si="48"/>
        <v>8.25</v>
      </c>
    </row>
    <row r="3083" spans="1:6" x14ac:dyDescent="0.3">
      <c r="A3083" t="s">
        <v>780</v>
      </c>
      <c r="B3083" t="s">
        <v>2160</v>
      </c>
      <c r="C3083">
        <v>6</v>
      </c>
      <c r="D3083">
        <v>100</v>
      </c>
      <c r="E3083">
        <f>IF(OR(B3083="vi",B3083="ii",B3083="pod"),(((D3083/100)*(C3083*VLOOKUP(B3083,'Poids des runes'!A:B,2,FALSE)))+1),(((D3083/100)*(C3083*VLOOKUP(B3083,'Poids des runes'!A:B,2,FALSE)))+1)/VLOOKUP(B3083,'Poids des runes'!A:B,2,FALSE))</f>
        <v>6.1428571428571432</v>
      </c>
      <c r="F3083">
        <f t="shared" si="48"/>
        <v>6.1428571428571432</v>
      </c>
    </row>
    <row r="3084" spans="1:6" x14ac:dyDescent="0.3">
      <c r="A3084" t="s">
        <v>781</v>
      </c>
      <c r="B3084" t="s">
        <v>2159</v>
      </c>
      <c r="C3084">
        <v>6</v>
      </c>
      <c r="D3084">
        <v>100</v>
      </c>
      <c r="E3084">
        <f>IF(OR(B3084="vi",B3084="ii",B3084="pod"),(((D3084/100)*(C3084*VLOOKUP(B3084,'Poids des runes'!A:B,2,FALSE)))+1),(((D3084/100)*(C3084*VLOOKUP(B3084,'Poids des runes'!A:B,2,FALSE)))+1)/VLOOKUP(B3084,'Poids des runes'!A:B,2,FALSE))</f>
        <v>6.1428571428571432</v>
      </c>
      <c r="F3084">
        <f t="shared" si="48"/>
        <v>6.1428571428571432</v>
      </c>
    </row>
    <row r="3085" spans="1:6" x14ac:dyDescent="0.3">
      <c r="A3085" t="s">
        <v>782</v>
      </c>
      <c r="B3085" t="s">
        <v>2162</v>
      </c>
      <c r="C3085">
        <v>8</v>
      </c>
      <c r="D3085">
        <v>100</v>
      </c>
      <c r="E3085">
        <f>IF(OR(B3085="vi",B3085="ii",B3085="pod"),(((D3085/100)*(C3085*VLOOKUP(B3085,'Poids des runes'!A:B,2,FALSE)))+1),(((D3085/100)*(C3085*VLOOKUP(B3085,'Poids des runes'!A:B,2,FALSE)))+1)/VLOOKUP(B3085,'Poids des runes'!A:B,2,FALSE))</f>
        <v>8.1428571428571423</v>
      </c>
      <c r="F3085">
        <f t="shared" si="48"/>
        <v>8.1428571428571423</v>
      </c>
    </row>
    <row r="3086" spans="1:6" x14ac:dyDescent="0.3">
      <c r="A3086" t="s">
        <v>783</v>
      </c>
      <c r="B3086" t="s">
        <v>2165</v>
      </c>
      <c r="C3086">
        <v>8</v>
      </c>
      <c r="D3086">
        <v>100</v>
      </c>
      <c r="E3086">
        <f>IF(OR(B3086="vi",B3086="ii",B3086="pod"),(((D3086/100)*(C3086*VLOOKUP(B3086,'Poids des runes'!A:B,2,FALSE)))+1),(((D3086/100)*(C3086*VLOOKUP(B3086,'Poids des runes'!A:B,2,FALSE)))+1)/VLOOKUP(B3086,'Poids des runes'!A:B,2,FALSE))</f>
        <v>8.1428571428571423</v>
      </c>
      <c r="F3086">
        <f t="shared" si="48"/>
        <v>8.1428571428571423</v>
      </c>
    </row>
    <row r="3087" spans="1:6" x14ac:dyDescent="0.3">
      <c r="A3087" t="s">
        <v>784</v>
      </c>
      <c r="B3087" t="s">
        <v>2142</v>
      </c>
      <c r="C3087">
        <v>16</v>
      </c>
      <c r="D3087">
        <v>100</v>
      </c>
      <c r="E3087">
        <f>IF(OR(B3087="vi",B3087="ii",B3087="pod"),(((D3087/100)*(C3087*VLOOKUP(B3087,'Poids des runes'!A:B,2,FALSE)))+1),(((D3087/100)*(C3087*VLOOKUP(B3087,'Poids des runes'!A:B,2,FALSE)))+1)/VLOOKUP(B3087,'Poids des runes'!A:B,2,FALSE))</f>
        <v>16.2</v>
      </c>
      <c r="F3087">
        <f t="shared" si="48"/>
        <v>16.2</v>
      </c>
    </row>
    <row r="3088" spans="1:6" x14ac:dyDescent="0.3">
      <c r="A3088" t="s">
        <v>785</v>
      </c>
      <c r="B3088" t="s">
        <v>2164</v>
      </c>
      <c r="C3088">
        <v>24</v>
      </c>
      <c r="D3088">
        <v>100</v>
      </c>
      <c r="E3088">
        <f>IF(OR(B3088="vi",B3088="ii",B3088="pod"),(((D3088/100)*(C3088*VLOOKUP(B3088,'Poids des runes'!A:B,2,FALSE)))+1),(((D3088/100)*(C3088*VLOOKUP(B3088,'Poids des runes'!A:B,2,FALSE)))+1)/VLOOKUP(B3088,'Poids des runes'!A:B,2,FALSE))</f>
        <v>24.5</v>
      </c>
      <c r="F3088">
        <f t="shared" si="48"/>
        <v>24.5</v>
      </c>
    </row>
    <row r="3089" spans="1:6" x14ac:dyDescent="0.3">
      <c r="A3089" t="s">
        <v>786</v>
      </c>
      <c r="B3089" t="s">
        <v>2163</v>
      </c>
      <c r="C3089">
        <v>6</v>
      </c>
      <c r="D3089">
        <v>100</v>
      </c>
      <c r="E3089">
        <f>IF(OR(B3089="vi",B3089="ii",B3089="pod"),(((D3089/100)*(C3089*VLOOKUP(B3089,'Poids des runes'!A:B,2,FALSE)))+1),(((D3089/100)*(C3089*VLOOKUP(B3089,'Poids des runes'!A:B,2,FALSE)))+1)/VLOOKUP(B3089,'Poids des runes'!A:B,2,FALSE))</f>
        <v>6.5</v>
      </c>
      <c r="F3089">
        <f t="shared" si="48"/>
        <v>6.5</v>
      </c>
    </row>
    <row r="3090" spans="1:6" x14ac:dyDescent="0.3">
      <c r="A3090" t="s">
        <v>787</v>
      </c>
      <c r="B3090" t="s">
        <v>2146</v>
      </c>
      <c r="C3090">
        <v>12</v>
      </c>
      <c r="D3090">
        <v>100</v>
      </c>
      <c r="E3090">
        <f>IF(OR(B3090="vi",B3090="ii",B3090="pod"),(((D3090/100)*(C3090*VLOOKUP(B3090,'Poids des runes'!A:B,2,FALSE)))+1),(((D3090/100)*(C3090*VLOOKUP(B3090,'Poids des runes'!A:B,2,FALSE)))+1)/VLOOKUP(B3090,'Poids des runes'!A:B,2,FALSE))</f>
        <v>12.5</v>
      </c>
      <c r="F3090">
        <f t="shared" si="48"/>
        <v>12.5</v>
      </c>
    </row>
    <row r="3091" spans="1:6" x14ac:dyDescent="0.3">
      <c r="A3091" t="s">
        <v>788</v>
      </c>
      <c r="B3091" t="s">
        <v>2145</v>
      </c>
      <c r="C3091">
        <v>12</v>
      </c>
      <c r="D3091">
        <v>100</v>
      </c>
      <c r="E3091">
        <f>IF(OR(B3091="vi",B3091="ii",B3091="pod"),(((D3091/100)*(C3091*VLOOKUP(B3091,'Poids des runes'!A:B,2,FALSE)))+1),(((D3091/100)*(C3091*VLOOKUP(B3091,'Poids des runes'!A:B,2,FALSE)))+1)/VLOOKUP(B3091,'Poids des runes'!A:B,2,FALSE))</f>
        <v>12.5</v>
      </c>
      <c r="F3091">
        <f t="shared" si="48"/>
        <v>12.5</v>
      </c>
    </row>
    <row r="3092" spans="1:6" x14ac:dyDescent="0.3">
      <c r="A3092" t="s">
        <v>789</v>
      </c>
      <c r="B3092" t="s">
        <v>2144</v>
      </c>
      <c r="C3092">
        <v>12</v>
      </c>
      <c r="D3092">
        <v>100</v>
      </c>
      <c r="E3092">
        <f>IF(OR(B3092="vi",B3092="ii",B3092="pod"),(((D3092/100)*(C3092*VLOOKUP(B3092,'Poids des runes'!A:B,2,FALSE)))+1),(((D3092/100)*(C3092*VLOOKUP(B3092,'Poids des runes'!A:B,2,FALSE)))+1)/VLOOKUP(B3092,'Poids des runes'!A:B,2,FALSE))</f>
        <v>12.5</v>
      </c>
      <c r="F3092">
        <f t="shared" si="48"/>
        <v>12.5</v>
      </c>
    </row>
    <row r="3093" spans="1:6" x14ac:dyDescent="0.3">
      <c r="A3093" t="s">
        <v>790</v>
      </c>
      <c r="B3093" t="s">
        <v>2137</v>
      </c>
      <c r="C3093">
        <v>12</v>
      </c>
      <c r="D3093">
        <v>100</v>
      </c>
      <c r="E3093">
        <f>IF(OR(B3093="vi",B3093="ii",B3093="pod"),(((D3093/100)*(C3093*VLOOKUP(B3093,'Poids des runes'!A:B,2,FALSE)))+1),(((D3093/100)*(C3093*VLOOKUP(B3093,'Poids des runes'!A:B,2,FALSE)))+1)/VLOOKUP(B3093,'Poids des runes'!A:B,2,FALSE))</f>
        <v>12.5</v>
      </c>
      <c r="F3093">
        <f t="shared" si="48"/>
        <v>12.5</v>
      </c>
    </row>
    <row r="3094" spans="1:6" x14ac:dyDescent="0.3">
      <c r="A3094" t="s">
        <v>791</v>
      </c>
      <c r="B3094" t="s">
        <v>2136</v>
      </c>
      <c r="C3094">
        <v>12</v>
      </c>
      <c r="D3094">
        <v>100</v>
      </c>
      <c r="E3094">
        <f>IF(OR(B3094="vi",B3094="ii",B3094="pod"),(((D3094/100)*(C3094*VLOOKUP(B3094,'Poids des runes'!A:B,2,FALSE)))+1),(((D3094/100)*(C3094*VLOOKUP(B3094,'Poids des runes'!A:B,2,FALSE)))+1)/VLOOKUP(B3094,'Poids des runes'!A:B,2,FALSE))</f>
        <v>12.5</v>
      </c>
      <c r="F3094">
        <f t="shared" si="48"/>
        <v>12.5</v>
      </c>
    </row>
    <row r="3095" spans="1:6" x14ac:dyDescent="0.3">
      <c r="A3095" t="s">
        <v>792</v>
      </c>
      <c r="B3095" t="s">
        <v>2153</v>
      </c>
      <c r="C3095">
        <v>6</v>
      </c>
      <c r="D3095">
        <v>100</v>
      </c>
      <c r="E3095">
        <f>IF(OR(B3095="vi",B3095="ii",B3095="pod"),(((D3095/100)*(C3095*VLOOKUP(B3095,'Poids des runes'!A:B,2,FALSE)))+1),(((D3095/100)*(C3095*VLOOKUP(B3095,'Poids des runes'!A:B,2,FALSE)))+1)/VLOOKUP(B3095,'Poids des runes'!A:B,2,FALSE))</f>
        <v>6.2</v>
      </c>
      <c r="F3095">
        <f t="shared" si="48"/>
        <v>6.2</v>
      </c>
    </row>
    <row r="3096" spans="1:6" x14ac:dyDescent="0.3">
      <c r="A3096" t="s">
        <v>793</v>
      </c>
      <c r="B3096" t="s">
        <v>2133</v>
      </c>
      <c r="C3096">
        <v>6</v>
      </c>
      <c r="D3096">
        <v>100</v>
      </c>
      <c r="E3096">
        <f>IF(OR(B3096="vi",B3096="ii",B3096="pod"),(((D3096/100)*(C3096*VLOOKUP(B3096,'Poids des runes'!A:B,2,FALSE)))+1),(((D3096/100)*(C3096*VLOOKUP(B3096,'Poids des runes'!A:B,2,FALSE)))+1)/VLOOKUP(B3096,'Poids des runes'!A:B,2,FALSE))</f>
        <v>6.2</v>
      </c>
      <c r="F3096">
        <f t="shared" si="48"/>
        <v>6.2</v>
      </c>
    </row>
    <row r="3097" spans="1:6" x14ac:dyDescent="0.3">
      <c r="A3097" t="s">
        <v>794</v>
      </c>
      <c r="B3097" t="s">
        <v>2140</v>
      </c>
      <c r="C3097">
        <v>6</v>
      </c>
      <c r="D3097">
        <v>100</v>
      </c>
      <c r="E3097">
        <f>IF(OR(B3097="vi",B3097="ii",B3097="pod"),(((D3097/100)*(C3097*VLOOKUP(B3097,'Poids des runes'!A:B,2,FALSE)))+1),(((D3097/100)*(C3097*VLOOKUP(B3097,'Poids des runes'!A:B,2,FALSE)))+1)/VLOOKUP(B3097,'Poids des runes'!A:B,2,FALSE))</f>
        <v>6.2</v>
      </c>
      <c r="F3097">
        <f t="shared" si="48"/>
        <v>6.2</v>
      </c>
    </row>
    <row r="3098" spans="1:6" x14ac:dyDescent="0.3">
      <c r="A3098" t="s">
        <v>795</v>
      </c>
      <c r="B3098" t="s">
        <v>2132</v>
      </c>
      <c r="C3098">
        <v>200</v>
      </c>
      <c r="D3098">
        <v>100</v>
      </c>
      <c r="E3098">
        <f>IF(OR(B3098="vi",B3098="ii",B3098="pod"),(((D3098/100)*(C3098*VLOOKUP(B3098,'Poids des runes'!A:B,2,FALSE)))+1),(((D3098/100)*(C3098*VLOOKUP(B3098,'Poids des runes'!A:B,2,FALSE)))+1)/VLOOKUP(B3098,'Poids des runes'!A:B,2,FALSE))</f>
        <v>21</v>
      </c>
      <c r="F3098">
        <f t="shared" si="48"/>
        <v>21</v>
      </c>
    </row>
    <row r="3099" spans="1:6" x14ac:dyDescent="0.3">
      <c r="A3099" t="s">
        <v>796</v>
      </c>
      <c r="B3099" t="s">
        <v>2143</v>
      </c>
      <c r="C3099">
        <v>6</v>
      </c>
      <c r="D3099">
        <v>100</v>
      </c>
      <c r="E3099">
        <f>IF(OR(B3099="vi",B3099="ii",B3099="pod"),(((D3099/100)*(C3099*VLOOKUP(B3099,'Poids des runes'!A:B,2,FALSE)))+1),(((D3099/100)*(C3099*VLOOKUP(B3099,'Poids des runes'!A:B,2,FALSE)))+1)/VLOOKUP(B3099,'Poids des runes'!A:B,2,FALSE))</f>
        <v>6.2</v>
      </c>
      <c r="F3099">
        <f t="shared" si="48"/>
        <v>6.2</v>
      </c>
    </row>
    <row r="3100" spans="1:6" x14ac:dyDescent="0.3">
      <c r="A3100" t="s">
        <v>797</v>
      </c>
      <c r="B3100" t="s">
        <v>2149</v>
      </c>
      <c r="C3100">
        <v>8</v>
      </c>
      <c r="D3100">
        <v>100</v>
      </c>
      <c r="E3100">
        <f>IF(OR(B3100="vi",B3100="ii",B3100="pod"),(((D3100/100)*(C3100*VLOOKUP(B3100,'Poids des runes'!A:B,2,FALSE)))+1),(((D3100/100)*(C3100*VLOOKUP(B3100,'Poids des runes'!A:B,2,FALSE)))+1)/VLOOKUP(B3100,'Poids des runes'!A:B,2,FALSE))</f>
        <v>8.1</v>
      </c>
      <c r="F3100">
        <f t="shared" si="48"/>
        <v>8.1</v>
      </c>
    </row>
    <row r="3101" spans="1:6" x14ac:dyDescent="0.3">
      <c r="A3101" t="s">
        <v>798</v>
      </c>
      <c r="B3101" t="s">
        <v>2127</v>
      </c>
      <c r="C3101">
        <v>30</v>
      </c>
      <c r="D3101">
        <v>100</v>
      </c>
      <c r="E3101">
        <f>IF(OR(B3101="vi",B3101="ii",B3101="pod"),(((D3101/100)*(C3101*VLOOKUP(B3101,'Poids des runes'!A:B,2,FALSE)))+1),(((D3101/100)*(C3101*VLOOKUP(B3101,'Poids des runes'!A:B,2,FALSE)))+1)/VLOOKUP(B3101,'Poids des runes'!A:B,2,FALSE))</f>
        <v>31</v>
      </c>
      <c r="F3101">
        <f t="shared" si="48"/>
        <v>31</v>
      </c>
    </row>
    <row r="3102" spans="1:6" x14ac:dyDescent="0.3">
      <c r="A3102" t="s">
        <v>799</v>
      </c>
      <c r="B3102" t="s">
        <v>2131</v>
      </c>
      <c r="C3102">
        <v>30</v>
      </c>
      <c r="D3102">
        <v>100</v>
      </c>
      <c r="E3102">
        <f>IF(OR(B3102="vi",B3102="ii",B3102="pod"),(((D3102/100)*(C3102*VLOOKUP(B3102,'Poids des runes'!A:B,2,FALSE)))+1),(((D3102/100)*(C3102*VLOOKUP(B3102,'Poids des runes'!A:B,2,FALSE)))+1)/VLOOKUP(B3102,'Poids des runes'!A:B,2,FALSE))</f>
        <v>31</v>
      </c>
      <c r="F3102">
        <f t="shared" si="48"/>
        <v>31</v>
      </c>
    </row>
    <row r="3103" spans="1:6" x14ac:dyDescent="0.3">
      <c r="A3103" t="s">
        <v>800</v>
      </c>
      <c r="B3103" t="s">
        <v>2126</v>
      </c>
      <c r="C3103">
        <v>30</v>
      </c>
      <c r="D3103">
        <v>100</v>
      </c>
      <c r="E3103">
        <f>IF(OR(B3103="vi",B3103="ii",B3103="pod"),(((D3103/100)*(C3103*VLOOKUP(B3103,'Poids des runes'!A:B,2,FALSE)))+1),(((D3103/100)*(C3103*VLOOKUP(B3103,'Poids des runes'!A:B,2,FALSE)))+1)/VLOOKUP(B3103,'Poids des runes'!A:B,2,FALSE))</f>
        <v>31</v>
      </c>
      <c r="F3103">
        <f t="shared" si="48"/>
        <v>31</v>
      </c>
    </row>
    <row r="3104" spans="1:6" x14ac:dyDescent="0.3">
      <c r="A3104" t="s">
        <v>801</v>
      </c>
      <c r="B3104" t="s">
        <v>2130</v>
      </c>
      <c r="C3104">
        <v>30</v>
      </c>
      <c r="D3104">
        <v>100</v>
      </c>
      <c r="E3104">
        <f>IF(OR(B3104="vi",B3104="ii",B3104="pod"),(((D3104/100)*(C3104*VLOOKUP(B3104,'Poids des runes'!A:B,2,FALSE)))+1),(((D3104/100)*(C3104*VLOOKUP(B3104,'Poids des runes'!A:B,2,FALSE)))+1)/VLOOKUP(B3104,'Poids des runes'!A:B,2,FALSE))</f>
        <v>31</v>
      </c>
      <c r="F3104">
        <f t="shared" si="48"/>
        <v>31</v>
      </c>
    </row>
    <row r="3105" spans="1:6" x14ac:dyDescent="0.3">
      <c r="A3105" t="s">
        <v>802</v>
      </c>
      <c r="B3105" t="s">
        <v>2128</v>
      </c>
      <c r="C3105">
        <v>60</v>
      </c>
      <c r="D3105">
        <v>100</v>
      </c>
      <c r="E3105">
        <f>IF(OR(B3105="vi",B3105="ii",B3105="pod"),(((D3105/100)*(C3105*VLOOKUP(B3105,'Poids des runes'!A:B,2,FALSE)))+1),(((D3105/100)*(C3105*VLOOKUP(B3105,'Poids des runes'!A:B,2,FALSE)))+1)/VLOOKUP(B3105,'Poids des runes'!A:B,2,FALSE))</f>
        <v>13</v>
      </c>
      <c r="F3105">
        <f t="shared" si="48"/>
        <v>13</v>
      </c>
    </row>
    <row r="3106" spans="1:6" x14ac:dyDescent="0.3">
      <c r="A3106" t="s">
        <v>803</v>
      </c>
      <c r="B3106" t="s">
        <v>2138</v>
      </c>
      <c r="C3106">
        <v>16</v>
      </c>
      <c r="D3106">
        <v>100</v>
      </c>
      <c r="E3106">
        <f>IF(OR(B3106="vi",B3106="ii",B3106="pod"),(((D3106/100)*(C3106*VLOOKUP(B3106,'Poids des runes'!A:B,2,FALSE)))+1),(((D3106/100)*(C3106*VLOOKUP(B3106,'Poids des runes'!A:B,2,FALSE)))+1)/VLOOKUP(B3106,'Poids des runes'!A:B,2,FALSE))</f>
        <v>16.25</v>
      </c>
      <c r="F3106">
        <f t="shared" si="48"/>
        <v>16.25</v>
      </c>
    </row>
    <row r="3107" spans="1:6" x14ac:dyDescent="0.3">
      <c r="A3107" t="s">
        <v>804</v>
      </c>
      <c r="B3107" t="s">
        <v>2141</v>
      </c>
      <c r="C3107">
        <v>16</v>
      </c>
      <c r="D3107">
        <v>100</v>
      </c>
      <c r="E3107">
        <f>IF(OR(B3107="vi",B3107="ii",B3107="pod"),(((D3107/100)*(C3107*VLOOKUP(B3107,'Poids des runes'!A:B,2,FALSE)))+1),(((D3107/100)*(C3107*VLOOKUP(B3107,'Poids des runes'!A:B,2,FALSE)))+1)/VLOOKUP(B3107,'Poids des runes'!A:B,2,FALSE))</f>
        <v>16.25</v>
      </c>
      <c r="F3107">
        <f t="shared" si="48"/>
        <v>16.25</v>
      </c>
    </row>
    <row r="3108" spans="1:6" x14ac:dyDescent="0.3">
      <c r="A3108" t="s">
        <v>805</v>
      </c>
      <c r="B3108" t="s">
        <v>2149</v>
      </c>
      <c r="C3108">
        <v>16</v>
      </c>
      <c r="D3108">
        <v>100</v>
      </c>
      <c r="E3108">
        <f>IF(OR(B3108="vi",B3108="ii",B3108="pod"),(((D3108/100)*(C3108*VLOOKUP(B3108,'Poids des runes'!A:B,2,FALSE)))+1),(((D3108/100)*(C3108*VLOOKUP(B3108,'Poids des runes'!A:B,2,FALSE)))+1)/VLOOKUP(B3108,'Poids des runes'!A:B,2,FALSE))</f>
        <v>16.100000000000001</v>
      </c>
      <c r="F3108">
        <f t="shared" si="48"/>
        <v>16.100000000000001</v>
      </c>
    </row>
    <row r="3109" spans="1:6" x14ac:dyDescent="0.3">
      <c r="A3109" t="s">
        <v>806</v>
      </c>
      <c r="B3109" t="s">
        <v>2130</v>
      </c>
      <c r="C3109">
        <v>50</v>
      </c>
      <c r="D3109">
        <v>100</v>
      </c>
      <c r="E3109">
        <f>IF(OR(B3109="vi",B3109="ii",B3109="pod"),(((D3109/100)*(C3109*VLOOKUP(B3109,'Poids des runes'!A:B,2,FALSE)))+1),(((D3109/100)*(C3109*VLOOKUP(B3109,'Poids des runes'!A:B,2,FALSE)))+1)/VLOOKUP(B3109,'Poids des runes'!A:B,2,FALSE))</f>
        <v>51</v>
      </c>
      <c r="F3109">
        <f t="shared" si="48"/>
        <v>51</v>
      </c>
    </row>
    <row r="3110" spans="1:6" x14ac:dyDescent="0.3">
      <c r="A3110" t="s">
        <v>807</v>
      </c>
      <c r="B3110" t="s">
        <v>2126</v>
      </c>
      <c r="C3110">
        <v>50</v>
      </c>
      <c r="D3110">
        <v>100</v>
      </c>
      <c r="E3110">
        <f>IF(OR(B3110="vi",B3110="ii",B3110="pod"),(((D3110/100)*(C3110*VLOOKUP(B3110,'Poids des runes'!A:B,2,FALSE)))+1),(((D3110/100)*(C3110*VLOOKUP(B3110,'Poids des runes'!A:B,2,FALSE)))+1)/VLOOKUP(B3110,'Poids des runes'!A:B,2,FALSE))</f>
        <v>51</v>
      </c>
      <c r="F3110">
        <f t="shared" si="48"/>
        <v>51</v>
      </c>
    </row>
    <row r="3111" spans="1:6" x14ac:dyDescent="0.3">
      <c r="A3111" t="s">
        <v>808</v>
      </c>
      <c r="B3111" t="s">
        <v>2127</v>
      </c>
      <c r="C3111">
        <v>50</v>
      </c>
      <c r="D3111">
        <v>100</v>
      </c>
      <c r="E3111">
        <f>IF(OR(B3111="vi",B3111="ii",B3111="pod"),(((D3111/100)*(C3111*VLOOKUP(B3111,'Poids des runes'!A:B,2,FALSE)))+1),(((D3111/100)*(C3111*VLOOKUP(B3111,'Poids des runes'!A:B,2,FALSE)))+1)/VLOOKUP(B3111,'Poids des runes'!A:B,2,FALSE))</f>
        <v>51</v>
      </c>
      <c r="F3111">
        <f t="shared" si="48"/>
        <v>51</v>
      </c>
    </row>
    <row r="3112" spans="1:6" x14ac:dyDescent="0.3">
      <c r="A3112" t="s">
        <v>809</v>
      </c>
      <c r="B3112" t="s">
        <v>2131</v>
      </c>
      <c r="C3112">
        <v>50</v>
      </c>
      <c r="D3112">
        <v>100</v>
      </c>
      <c r="E3112">
        <f>IF(OR(B3112="vi",B3112="ii",B3112="pod"),(((D3112/100)*(C3112*VLOOKUP(B3112,'Poids des runes'!A:B,2,FALSE)))+1),(((D3112/100)*(C3112*VLOOKUP(B3112,'Poids des runes'!A:B,2,FALSE)))+1)/VLOOKUP(B3112,'Poids des runes'!A:B,2,FALSE))</f>
        <v>51</v>
      </c>
      <c r="F3112">
        <f t="shared" si="48"/>
        <v>51</v>
      </c>
    </row>
    <row r="3113" spans="1:6" x14ac:dyDescent="0.3">
      <c r="A3113" t="s">
        <v>810</v>
      </c>
      <c r="B3113" t="s">
        <v>2163</v>
      </c>
      <c r="C3113">
        <v>16</v>
      </c>
      <c r="D3113">
        <v>100</v>
      </c>
      <c r="E3113">
        <f>IF(OR(B3113="vi",B3113="ii",B3113="pod"),(((D3113/100)*(C3113*VLOOKUP(B3113,'Poids des runes'!A:B,2,FALSE)))+1),(((D3113/100)*(C3113*VLOOKUP(B3113,'Poids des runes'!A:B,2,FALSE)))+1)/VLOOKUP(B3113,'Poids des runes'!A:B,2,FALSE))</f>
        <v>16.5</v>
      </c>
      <c r="F3113">
        <f t="shared" si="48"/>
        <v>16.5</v>
      </c>
    </row>
    <row r="3114" spans="1:6" x14ac:dyDescent="0.3">
      <c r="A3114" t="s">
        <v>811</v>
      </c>
      <c r="B3114" t="s">
        <v>2143</v>
      </c>
      <c r="C3114">
        <v>10</v>
      </c>
      <c r="D3114">
        <v>100</v>
      </c>
      <c r="E3114">
        <f>IF(OR(B3114="vi",B3114="ii",B3114="pod"),(((D3114/100)*(C3114*VLOOKUP(B3114,'Poids des runes'!A:B,2,FALSE)))+1),(((D3114/100)*(C3114*VLOOKUP(B3114,'Poids des runes'!A:B,2,FALSE)))+1)/VLOOKUP(B3114,'Poids des runes'!A:B,2,FALSE))</f>
        <v>10.199999999999999</v>
      </c>
      <c r="F3114">
        <f t="shared" si="48"/>
        <v>10.199999999999999</v>
      </c>
    </row>
    <row r="3115" spans="1:6" x14ac:dyDescent="0.3">
      <c r="A3115" t="s">
        <v>812</v>
      </c>
      <c r="B3115" t="s">
        <v>2140</v>
      </c>
      <c r="C3115">
        <v>10</v>
      </c>
      <c r="D3115">
        <v>100</v>
      </c>
      <c r="E3115">
        <f>IF(OR(B3115="vi",B3115="ii",B3115="pod"),(((D3115/100)*(C3115*VLOOKUP(B3115,'Poids des runes'!A:B,2,FALSE)))+1),(((D3115/100)*(C3115*VLOOKUP(B3115,'Poids des runes'!A:B,2,FALSE)))+1)/VLOOKUP(B3115,'Poids des runes'!A:B,2,FALSE))</f>
        <v>10.199999999999999</v>
      </c>
      <c r="F3115">
        <f t="shared" si="48"/>
        <v>10.199999999999999</v>
      </c>
    </row>
    <row r="3116" spans="1:6" x14ac:dyDescent="0.3">
      <c r="A3116" t="s">
        <v>813</v>
      </c>
      <c r="B3116" t="s">
        <v>2133</v>
      </c>
      <c r="C3116">
        <v>10</v>
      </c>
      <c r="D3116">
        <v>100</v>
      </c>
      <c r="E3116">
        <f>IF(OR(B3116="vi",B3116="ii",B3116="pod"),(((D3116/100)*(C3116*VLOOKUP(B3116,'Poids des runes'!A:B,2,FALSE)))+1),(((D3116/100)*(C3116*VLOOKUP(B3116,'Poids des runes'!A:B,2,FALSE)))+1)/VLOOKUP(B3116,'Poids des runes'!A:B,2,FALSE))</f>
        <v>10.199999999999999</v>
      </c>
      <c r="F3116">
        <f t="shared" si="48"/>
        <v>10.199999999999999</v>
      </c>
    </row>
    <row r="3117" spans="1:6" x14ac:dyDescent="0.3">
      <c r="A3117" t="s">
        <v>814</v>
      </c>
      <c r="B3117" t="s">
        <v>2153</v>
      </c>
      <c r="C3117">
        <v>10</v>
      </c>
      <c r="D3117">
        <v>100</v>
      </c>
      <c r="E3117">
        <f>IF(OR(B3117="vi",B3117="ii",B3117="pod"),(((D3117/100)*(C3117*VLOOKUP(B3117,'Poids des runes'!A:B,2,FALSE)))+1),(((D3117/100)*(C3117*VLOOKUP(B3117,'Poids des runes'!A:B,2,FALSE)))+1)/VLOOKUP(B3117,'Poids des runes'!A:B,2,FALSE))</f>
        <v>10.199999999999999</v>
      </c>
      <c r="F3117">
        <f t="shared" si="48"/>
        <v>10.199999999999999</v>
      </c>
    </row>
    <row r="3118" spans="1:6" x14ac:dyDescent="0.3">
      <c r="A3118" t="s">
        <v>815</v>
      </c>
      <c r="B3118" t="s">
        <v>2160</v>
      </c>
      <c r="C3118">
        <v>12</v>
      </c>
      <c r="D3118">
        <v>100</v>
      </c>
      <c r="E3118">
        <f>IF(OR(B3118="vi",B3118="ii",B3118="pod"),(((D3118/100)*(C3118*VLOOKUP(B3118,'Poids des runes'!A:B,2,FALSE)))+1),(((D3118/100)*(C3118*VLOOKUP(B3118,'Poids des runes'!A:B,2,FALSE)))+1)/VLOOKUP(B3118,'Poids des runes'!A:B,2,FALSE))</f>
        <v>12.142857142857142</v>
      </c>
      <c r="F3118">
        <f t="shared" si="48"/>
        <v>12.142857142857142</v>
      </c>
    </row>
    <row r="3119" spans="1:6" x14ac:dyDescent="0.3">
      <c r="A3119" t="s">
        <v>816</v>
      </c>
      <c r="B3119" t="s">
        <v>2159</v>
      </c>
      <c r="C3119">
        <v>12</v>
      </c>
      <c r="D3119">
        <v>100</v>
      </c>
      <c r="E3119">
        <f>IF(OR(B3119="vi",B3119="ii",B3119="pod"),(((D3119/100)*(C3119*VLOOKUP(B3119,'Poids des runes'!A:B,2,FALSE)))+1),(((D3119/100)*(C3119*VLOOKUP(B3119,'Poids des runes'!A:B,2,FALSE)))+1)/VLOOKUP(B3119,'Poids des runes'!A:B,2,FALSE))</f>
        <v>12.142857142857142</v>
      </c>
      <c r="F3119">
        <f t="shared" si="48"/>
        <v>12.142857142857142</v>
      </c>
    </row>
    <row r="3120" spans="1:6" x14ac:dyDescent="0.3">
      <c r="A3120" t="s">
        <v>817</v>
      </c>
      <c r="B3120" t="s">
        <v>2165</v>
      </c>
      <c r="C3120">
        <v>16</v>
      </c>
      <c r="D3120">
        <v>100</v>
      </c>
      <c r="E3120">
        <f>IF(OR(B3120="vi",B3120="ii",B3120="pod"),(((D3120/100)*(C3120*VLOOKUP(B3120,'Poids des runes'!A:B,2,FALSE)))+1),(((D3120/100)*(C3120*VLOOKUP(B3120,'Poids des runes'!A:B,2,FALSE)))+1)/VLOOKUP(B3120,'Poids des runes'!A:B,2,FALSE))</f>
        <v>16.142857142857142</v>
      </c>
      <c r="F3120">
        <f t="shared" si="48"/>
        <v>16.142857142857142</v>
      </c>
    </row>
    <row r="3121" spans="1:6" x14ac:dyDescent="0.3">
      <c r="A3121" t="s">
        <v>818</v>
      </c>
      <c r="B3121" t="s">
        <v>2162</v>
      </c>
      <c r="C3121">
        <v>16</v>
      </c>
      <c r="D3121">
        <v>100</v>
      </c>
      <c r="E3121">
        <f>IF(OR(B3121="vi",B3121="ii",B3121="pod"),(((D3121/100)*(C3121*VLOOKUP(B3121,'Poids des runes'!A:B,2,FALSE)))+1),(((D3121/100)*(C3121*VLOOKUP(B3121,'Poids des runes'!A:B,2,FALSE)))+1)/VLOOKUP(B3121,'Poids des runes'!A:B,2,FALSE))</f>
        <v>16.142857142857142</v>
      </c>
      <c r="F3121">
        <f t="shared" si="48"/>
        <v>16.142857142857142</v>
      </c>
    </row>
    <row r="3122" spans="1:6" x14ac:dyDescent="0.3">
      <c r="A3122" t="s">
        <v>819</v>
      </c>
      <c r="B3122" t="s">
        <v>2142</v>
      </c>
      <c r="C3122">
        <v>32</v>
      </c>
      <c r="D3122">
        <v>100</v>
      </c>
      <c r="E3122">
        <f>IF(OR(B3122="vi",B3122="ii",B3122="pod"),(((D3122/100)*(C3122*VLOOKUP(B3122,'Poids des runes'!A:B,2,FALSE)))+1),(((D3122/100)*(C3122*VLOOKUP(B3122,'Poids des runes'!A:B,2,FALSE)))+1)/VLOOKUP(B3122,'Poids des runes'!A:B,2,FALSE))</f>
        <v>32.200000000000003</v>
      </c>
      <c r="F3122">
        <f t="shared" si="48"/>
        <v>32.200000000000003</v>
      </c>
    </row>
    <row r="3123" spans="1:6" x14ac:dyDescent="0.3">
      <c r="A3123" t="s">
        <v>820</v>
      </c>
      <c r="B3123" t="s">
        <v>2164</v>
      </c>
      <c r="C3123">
        <v>48</v>
      </c>
      <c r="D3123">
        <v>100</v>
      </c>
      <c r="E3123">
        <f>IF(OR(B3123="vi",B3123="ii",B3123="pod"),(((D3123/100)*(C3123*VLOOKUP(B3123,'Poids des runes'!A:B,2,FALSE)))+1),(((D3123/100)*(C3123*VLOOKUP(B3123,'Poids des runes'!A:B,2,FALSE)))+1)/VLOOKUP(B3123,'Poids des runes'!A:B,2,FALSE))</f>
        <v>48.5</v>
      </c>
      <c r="F3123">
        <f t="shared" si="48"/>
        <v>48.5</v>
      </c>
    </row>
    <row r="3124" spans="1:6" x14ac:dyDescent="0.3">
      <c r="A3124" t="s">
        <v>821</v>
      </c>
      <c r="B3124" t="s">
        <v>2132</v>
      </c>
      <c r="C3124">
        <v>400</v>
      </c>
      <c r="D3124">
        <v>100</v>
      </c>
      <c r="E3124">
        <f>IF(OR(B3124="vi",B3124="ii",B3124="pod"),(((D3124/100)*(C3124*VLOOKUP(B3124,'Poids des runes'!A:B,2,FALSE)))+1),(((D3124/100)*(C3124*VLOOKUP(B3124,'Poids des runes'!A:B,2,FALSE)))+1)/VLOOKUP(B3124,'Poids des runes'!A:B,2,FALSE))</f>
        <v>41</v>
      </c>
      <c r="F3124">
        <f t="shared" si="48"/>
        <v>41</v>
      </c>
    </row>
    <row r="3125" spans="1:6" x14ac:dyDescent="0.3">
      <c r="A3125" t="s">
        <v>822</v>
      </c>
      <c r="B3125" t="s">
        <v>2137</v>
      </c>
      <c r="C3125">
        <v>20</v>
      </c>
      <c r="D3125">
        <v>100</v>
      </c>
      <c r="E3125">
        <f>IF(OR(B3125="vi",B3125="ii",B3125="pod"),(((D3125/100)*(C3125*VLOOKUP(B3125,'Poids des runes'!A:B,2,FALSE)))+1),(((D3125/100)*(C3125*VLOOKUP(B3125,'Poids des runes'!A:B,2,FALSE)))+1)/VLOOKUP(B3125,'Poids des runes'!A:B,2,FALSE))</f>
        <v>20.5</v>
      </c>
      <c r="F3125">
        <f t="shared" si="48"/>
        <v>20.5</v>
      </c>
    </row>
    <row r="3126" spans="1:6" x14ac:dyDescent="0.3">
      <c r="A3126" t="s">
        <v>823</v>
      </c>
      <c r="B3126" t="s">
        <v>2136</v>
      </c>
      <c r="C3126">
        <v>20</v>
      </c>
      <c r="D3126">
        <v>100</v>
      </c>
      <c r="E3126">
        <f>IF(OR(B3126="vi",B3126="ii",B3126="pod"),(((D3126/100)*(C3126*VLOOKUP(B3126,'Poids des runes'!A:B,2,FALSE)))+1),(((D3126/100)*(C3126*VLOOKUP(B3126,'Poids des runes'!A:B,2,FALSE)))+1)/VLOOKUP(B3126,'Poids des runes'!A:B,2,FALSE))</f>
        <v>20.5</v>
      </c>
      <c r="F3126">
        <f t="shared" si="48"/>
        <v>20.5</v>
      </c>
    </row>
    <row r="3127" spans="1:6" x14ac:dyDescent="0.3">
      <c r="A3127" t="s">
        <v>824</v>
      </c>
      <c r="B3127" t="s">
        <v>2144</v>
      </c>
      <c r="C3127">
        <v>20</v>
      </c>
      <c r="D3127">
        <v>100</v>
      </c>
      <c r="E3127">
        <f>IF(OR(B3127="vi",B3127="ii",B3127="pod"),(((D3127/100)*(C3127*VLOOKUP(B3127,'Poids des runes'!A:B,2,FALSE)))+1),(((D3127/100)*(C3127*VLOOKUP(B3127,'Poids des runes'!A:B,2,FALSE)))+1)/VLOOKUP(B3127,'Poids des runes'!A:B,2,FALSE))</f>
        <v>20.5</v>
      </c>
      <c r="F3127">
        <f t="shared" si="48"/>
        <v>20.5</v>
      </c>
    </row>
    <row r="3128" spans="1:6" x14ac:dyDescent="0.3">
      <c r="A3128" t="s">
        <v>825</v>
      </c>
      <c r="B3128" t="s">
        <v>2145</v>
      </c>
      <c r="C3128">
        <v>20</v>
      </c>
      <c r="D3128">
        <v>100</v>
      </c>
      <c r="E3128">
        <f>IF(OR(B3128="vi",B3128="ii",B3128="pod"),(((D3128/100)*(C3128*VLOOKUP(B3128,'Poids des runes'!A:B,2,FALSE)))+1),(((D3128/100)*(C3128*VLOOKUP(B3128,'Poids des runes'!A:B,2,FALSE)))+1)/VLOOKUP(B3128,'Poids des runes'!A:B,2,FALSE))</f>
        <v>20.5</v>
      </c>
      <c r="F3128">
        <f t="shared" si="48"/>
        <v>20.5</v>
      </c>
    </row>
    <row r="3129" spans="1:6" x14ac:dyDescent="0.3">
      <c r="A3129" t="s">
        <v>826</v>
      </c>
      <c r="B3129" t="s">
        <v>2146</v>
      </c>
      <c r="C3129">
        <v>20</v>
      </c>
      <c r="D3129">
        <v>100</v>
      </c>
      <c r="E3129">
        <f>IF(OR(B3129="vi",B3129="ii",B3129="pod"),(((D3129/100)*(C3129*VLOOKUP(B3129,'Poids des runes'!A:B,2,FALSE)))+1),(((D3129/100)*(C3129*VLOOKUP(B3129,'Poids des runes'!A:B,2,FALSE)))+1)/VLOOKUP(B3129,'Poids des runes'!A:B,2,FALSE))</f>
        <v>20.5</v>
      </c>
      <c r="F3129">
        <f t="shared" si="48"/>
        <v>20.5</v>
      </c>
    </row>
    <row r="3130" spans="1:6" x14ac:dyDescent="0.3">
      <c r="A3130" t="s">
        <v>827</v>
      </c>
      <c r="B3130" t="s">
        <v>2139</v>
      </c>
      <c r="C3130">
        <v>40</v>
      </c>
      <c r="D3130">
        <v>100</v>
      </c>
      <c r="E3130">
        <f>IF(OR(B3130="vi",B3130="ii",B3130="pod"),(((D3130/100)*(C3130*VLOOKUP(B3130,'Poids des runes'!A:B,2,FALSE)))+1),(((D3130/100)*(C3130*VLOOKUP(B3130,'Poids des runes'!A:B,2,FALSE)))+1)/VLOOKUP(B3130,'Poids des runes'!A:B,2,FALSE))</f>
        <v>40.5</v>
      </c>
      <c r="F3130">
        <f t="shared" si="48"/>
        <v>40.5</v>
      </c>
    </row>
    <row r="3131" spans="1:6" x14ac:dyDescent="0.3">
      <c r="A3131" t="s">
        <v>828</v>
      </c>
      <c r="B3131" t="s">
        <v>2152</v>
      </c>
      <c r="C3131">
        <v>1</v>
      </c>
      <c r="D3131">
        <v>100</v>
      </c>
      <c r="E3131">
        <f>IF(OR(B3131="vi",B3131="ii",B3131="pod"),(((D3131/100)*(C3131*VLOOKUP(B3131,'Poids des runes'!A:B,2,FALSE)))+1),(((D3131/100)*(C3131*VLOOKUP(B3131,'Poids des runes'!A:B,2,FALSE)))+1)/VLOOKUP(B3131,'Poids des runes'!A:B,2,FALSE))</f>
        <v>1.01</v>
      </c>
      <c r="F3131">
        <f t="shared" si="48"/>
        <v>1.01</v>
      </c>
    </row>
    <row r="3132" spans="1:6" x14ac:dyDescent="0.3">
      <c r="A3132" t="s">
        <v>829</v>
      </c>
      <c r="B3132" t="s">
        <v>2154</v>
      </c>
      <c r="C3132">
        <v>1</v>
      </c>
      <c r="D3132">
        <v>100</v>
      </c>
      <c r="E3132">
        <f>IF(OR(B3132="vi",B3132="ii",B3132="pod"),(((D3132/100)*(C3132*VLOOKUP(B3132,'Poids des runes'!A:B,2,FALSE)))+1),(((D3132/100)*(C3132*VLOOKUP(B3132,'Poids des runes'!A:B,2,FALSE)))+1)/VLOOKUP(B3132,'Poids des runes'!A:B,2,FALSE))</f>
        <v>1.0111111111111111</v>
      </c>
      <c r="F3132">
        <f t="shared" si="48"/>
        <v>1.0111111111111111</v>
      </c>
    </row>
    <row r="3133" spans="1:6" x14ac:dyDescent="0.3">
      <c r="A3133" t="s">
        <v>830</v>
      </c>
      <c r="B3133" t="s">
        <v>2143</v>
      </c>
      <c r="C3133">
        <v>6</v>
      </c>
      <c r="D3133">
        <v>100</v>
      </c>
      <c r="E3133">
        <f>IF(OR(B3133="vi",B3133="ii",B3133="pod"),(((D3133/100)*(C3133*VLOOKUP(B3133,'Poids des runes'!A:B,2,FALSE)))+1),(((D3133/100)*(C3133*VLOOKUP(B3133,'Poids des runes'!A:B,2,FALSE)))+1)/VLOOKUP(B3133,'Poids des runes'!A:B,2,FALSE))</f>
        <v>6.2</v>
      </c>
      <c r="F3133">
        <f t="shared" si="48"/>
        <v>6.2</v>
      </c>
    </row>
    <row r="3134" spans="1:6" x14ac:dyDescent="0.3">
      <c r="A3134" t="s">
        <v>830</v>
      </c>
      <c r="B3134" t="s">
        <v>2140</v>
      </c>
      <c r="C3134">
        <v>6</v>
      </c>
      <c r="D3134">
        <v>100</v>
      </c>
      <c r="E3134">
        <f>IF(OR(B3134="vi",B3134="ii",B3134="pod"),(((D3134/100)*(C3134*VLOOKUP(B3134,'Poids des runes'!A:B,2,FALSE)))+1),(((D3134/100)*(C3134*VLOOKUP(B3134,'Poids des runes'!A:B,2,FALSE)))+1)/VLOOKUP(B3134,'Poids des runes'!A:B,2,FALSE))</f>
        <v>6.2</v>
      </c>
      <c r="F3134">
        <f t="shared" si="48"/>
        <v>6.2</v>
      </c>
    </row>
    <row r="3135" spans="1:6" x14ac:dyDescent="0.3">
      <c r="A3135" t="s">
        <v>830</v>
      </c>
      <c r="B3135" t="s">
        <v>2133</v>
      </c>
      <c r="C3135">
        <v>6</v>
      </c>
      <c r="D3135">
        <v>100</v>
      </c>
      <c r="E3135">
        <f>IF(OR(B3135="vi",B3135="ii",B3135="pod"),(((D3135/100)*(C3135*VLOOKUP(B3135,'Poids des runes'!A:B,2,FALSE)))+1),(((D3135/100)*(C3135*VLOOKUP(B3135,'Poids des runes'!A:B,2,FALSE)))+1)/VLOOKUP(B3135,'Poids des runes'!A:B,2,FALSE))</f>
        <v>6.2</v>
      </c>
      <c r="F3135">
        <f t="shared" si="48"/>
        <v>6.2</v>
      </c>
    </row>
    <row r="3136" spans="1:6" x14ac:dyDescent="0.3">
      <c r="A3136" t="s">
        <v>830</v>
      </c>
      <c r="B3136" t="s">
        <v>2153</v>
      </c>
      <c r="C3136">
        <v>6</v>
      </c>
      <c r="D3136">
        <v>100</v>
      </c>
      <c r="E3136">
        <f>IF(OR(B3136="vi",B3136="ii",B3136="pod"),(((D3136/100)*(C3136*VLOOKUP(B3136,'Poids des runes'!A:B,2,FALSE)))+1),(((D3136/100)*(C3136*VLOOKUP(B3136,'Poids des runes'!A:B,2,FALSE)))+1)/VLOOKUP(B3136,'Poids des runes'!A:B,2,FALSE))</f>
        <v>6.2</v>
      </c>
      <c r="F3136">
        <f t="shared" si="48"/>
        <v>6.2</v>
      </c>
    </row>
    <row r="3137" spans="1:6" x14ac:dyDescent="0.3">
      <c r="A3137" t="s">
        <v>831</v>
      </c>
      <c r="B3137" t="s">
        <v>2128</v>
      </c>
      <c r="C3137">
        <v>45.5</v>
      </c>
      <c r="D3137">
        <v>100</v>
      </c>
      <c r="E3137">
        <f>IF(OR(B3137="vi",B3137="ii",B3137="pod"),(((D3137/100)*(C3137*VLOOKUP(B3137,'Poids des runes'!A:B,2,FALSE)))+1),(((D3137/100)*(C3137*VLOOKUP(B3137,'Poids des runes'!A:B,2,FALSE)))+1)/VLOOKUP(B3137,'Poids des runes'!A:B,2,FALSE))</f>
        <v>10.1</v>
      </c>
      <c r="F3137">
        <f t="shared" si="48"/>
        <v>10.1</v>
      </c>
    </row>
    <row r="3138" spans="1:6" x14ac:dyDescent="0.3">
      <c r="A3138" t="s">
        <v>831</v>
      </c>
      <c r="B3138" t="s">
        <v>2127</v>
      </c>
      <c r="C3138">
        <v>30.5</v>
      </c>
      <c r="D3138">
        <v>100</v>
      </c>
      <c r="E3138">
        <f>IF(OR(B3138="vi",B3138="ii",B3138="pod"),(((D3138/100)*(C3138*VLOOKUP(B3138,'Poids des runes'!A:B,2,FALSE)))+1),(((D3138/100)*(C3138*VLOOKUP(B3138,'Poids des runes'!A:B,2,FALSE)))+1)/VLOOKUP(B3138,'Poids des runes'!A:B,2,FALSE))</f>
        <v>31.5</v>
      </c>
      <c r="F3138">
        <f t="shared" si="48"/>
        <v>31.5</v>
      </c>
    </row>
    <row r="3139" spans="1:6" x14ac:dyDescent="0.3">
      <c r="A3139" t="s">
        <v>831</v>
      </c>
      <c r="B3139" t="s">
        <v>2129</v>
      </c>
      <c r="C3139">
        <v>13</v>
      </c>
      <c r="D3139">
        <v>100</v>
      </c>
      <c r="E3139">
        <f>IF(OR(B3139="vi",B3139="ii",B3139="pod"),(((D3139/100)*(C3139*VLOOKUP(B3139,'Poids des runes'!A:B,2,FALSE)))+1),(((D3139/100)*(C3139*VLOOKUP(B3139,'Poids des runes'!A:B,2,FALSE)))+1)/VLOOKUP(B3139,'Poids des runes'!A:B,2,FALSE))</f>
        <v>14</v>
      </c>
      <c r="F3139">
        <f t="shared" ref="F3139:F3202" si="49">E3139</f>
        <v>14</v>
      </c>
    </row>
    <row r="3140" spans="1:6" x14ac:dyDescent="0.3">
      <c r="A3140" t="s">
        <v>831</v>
      </c>
      <c r="B3140" t="s">
        <v>2139</v>
      </c>
      <c r="C3140">
        <v>18</v>
      </c>
      <c r="D3140">
        <v>100</v>
      </c>
      <c r="E3140">
        <f>IF(OR(B3140="vi",B3140="ii",B3140="pod"),(((D3140/100)*(C3140*VLOOKUP(B3140,'Poids des runes'!A:B,2,FALSE)))+1),(((D3140/100)*(C3140*VLOOKUP(B3140,'Poids des runes'!A:B,2,FALSE)))+1)/VLOOKUP(B3140,'Poids des runes'!A:B,2,FALSE))</f>
        <v>18.5</v>
      </c>
      <c r="F3140">
        <f t="shared" si="49"/>
        <v>18.5</v>
      </c>
    </row>
    <row r="3141" spans="1:6" x14ac:dyDescent="0.3">
      <c r="A3141" t="s">
        <v>831</v>
      </c>
      <c r="B3141" t="s">
        <v>2151</v>
      </c>
      <c r="C3141">
        <v>2.5</v>
      </c>
      <c r="D3141">
        <v>100</v>
      </c>
      <c r="E3141">
        <f>IF(OR(B3141="vi",B3141="ii",B3141="pod"),(((D3141/100)*(C3141*VLOOKUP(B3141,'Poids des runes'!A:B,2,FALSE)))+1),(((D3141/100)*(C3141*VLOOKUP(B3141,'Poids des runes'!A:B,2,FALSE)))+1)/VLOOKUP(B3141,'Poids des runes'!A:B,2,FALSE))</f>
        <v>2.6</v>
      </c>
      <c r="F3141">
        <f t="shared" si="49"/>
        <v>2.6</v>
      </c>
    </row>
    <row r="3142" spans="1:6" x14ac:dyDescent="0.3">
      <c r="A3142" t="s">
        <v>831</v>
      </c>
      <c r="B3142" t="s">
        <v>2152</v>
      </c>
      <c r="C3142">
        <v>1</v>
      </c>
      <c r="D3142">
        <v>100</v>
      </c>
      <c r="E3142">
        <f>IF(OR(B3142="vi",B3142="ii",B3142="pod"),(((D3142/100)*(C3142*VLOOKUP(B3142,'Poids des runes'!A:B,2,FALSE)))+1),(((D3142/100)*(C3142*VLOOKUP(B3142,'Poids des runes'!A:B,2,FALSE)))+1)/VLOOKUP(B3142,'Poids des runes'!A:B,2,FALSE))</f>
        <v>1.01</v>
      </c>
      <c r="F3142">
        <f t="shared" si="49"/>
        <v>1.01</v>
      </c>
    </row>
    <row r="3143" spans="1:6" x14ac:dyDescent="0.3">
      <c r="A3143" t="s">
        <v>831</v>
      </c>
      <c r="B3143" t="s">
        <v>2134</v>
      </c>
      <c r="C3143">
        <v>4</v>
      </c>
      <c r="D3143">
        <v>100</v>
      </c>
      <c r="E3143">
        <f>IF(OR(B3143="vi",B3143="ii",B3143="pod"),(((D3143/100)*(C3143*VLOOKUP(B3143,'Poids des runes'!A:B,2,FALSE)))+1),(((D3143/100)*(C3143*VLOOKUP(B3143,'Poids des runes'!A:B,2,FALSE)))+1)/VLOOKUP(B3143,'Poids des runes'!A:B,2,FALSE))</f>
        <v>4.05</v>
      </c>
      <c r="F3143">
        <f t="shared" si="49"/>
        <v>4.05</v>
      </c>
    </row>
    <row r="3144" spans="1:6" x14ac:dyDescent="0.3">
      <c r="A3144" t="s">
        <v>831</v>
      </c>
      <c r="B3144" t="s">
        <v>2149</v>
      </c>
      <c r="C3144">
        <v>4</v>
      </c>
      <c r="D3144">
        <v>100</v>
      </c>
      <c r="E3144">
        <f>IF(OR(B3144="vi",B3144="ii",B3144="pod"),(((D3144/100)*(C3144*VLOOKUP(B3144,'Poids des runes'!A:B,2,FALSE)))+1),(((D3144/100)*(C3144*VLOOKUP(B3144,'Poids des runes'!A:B,2,FALSE)))+1)/VLOOKUP(B3144,'Poids des runes'!A:B,2,FALSE))</f>
        <v>4.0999999999999996</v>
      </c>
      <c r="F3144">
        <f t="shared" si="49"/>
        <v>4.0999999999999996</v>
      </c>
    </row>
    <row r="3145" spans="1:6" x14ac:dyDescent="0.3">
      <c r="A3145" t="s">
        <v>831</v>
      </c>
      <c r="B3145" t="s">
        <v>2148</v>
      </c>
      <c r="C3145">
        <v>2</v>
      </c>
      <c r="D3145">
        <v>100</v>
      </c>
      <c r="E3145">
        <f>IF(OR(B3145="vi",B3145="ii",B3145="pod"),(((D3145/100)*(C3145*VLOOKUP(B3145,'Poids des runes'!A:B,2,FALSE)))+1),(((D3145/100)*(C3145*VLOOKUP(B3145,'Poids des runes'!A:B,2,FALSE)))+1)/VLOOKUP(B3145,'Poids des runes'!A:B,2,FALSE))</f>
        <v>2.1666666666666665</v>
      </c>
      <c r="F3145">
        <f t="shared" si="49"/>
        <v>2.1666666666666665</v>
      </c>
    </row>
    <row r="3146" spans="1:6" x14ac:dyDescent="0.3">
      <c r="A3146" t="s">
        <v>831</v>
      </c>
      <c r="B3146" t="s">
        <v>2157</v>
      </c>
      <c r="C3146">
        <v>2</v>
      </c>
      <c r="D3146">
        <v>100</v>
      </c>
      <c r="E3146">
        <f>IF(OR(B3146="vi",B3146="ii",B3146="pod"),(((D3146/100)*(C3146*VLOOKUP(B3146,'Poids des runes'!A:B,2,FALSE)))+1),(((D3146/100)*(C3146*VLOOKUP(B3146,'Poids des runes'!A:B,2,FALSE)))+1)/VLOOKUP(B3146,'Poids des runes'!A:B,2,FALSE))</f>
        <v>2.1666666666666665</v>
      </c>
      <c r="F3146">
        <f t="shared" si="49"/>
        <v>2.1666666666666665</v>
      </c>
    </row>
    <row r="3147" spans="1:6" x14ac:dyDescent="0.3">
      <c r="A3147" t="s">
        <v>832</v>
      </c>
      <c r="B3147" t="s">
        <v>2126</v>
      </c>
      <c r="C3147">
        <v>23</v>
      </c>
      <c r="D3147">
        <v>100</v>
      </c>
      <c r="E3147">
        <f>IF(OR(B3147="vi",B3147="ii",B3147="pod"),(((D3147/100)*(C3147*VLOOKUP(B3147,'Poids des runes'!A:B,2,FALSE)))+1),(((D3147/100)*(C3147*VLOOKUP(B3147,'Poids des runes'!A:B,2,FALSE)))+1)/VLOOKUP(B3147,'Poids des runes'!A:B,2,FALSE))</f>
        <v>24</v>
      </c>
      <c r="F3147">
        <f t="shared" si="49"/>
        <v>24</v>
      </c>
    </row>
    <row r="3148" spans="1:6" x14ac:dyDescent="0.3">
      <c r="A3148" t="s">
        <v>832</v>
      </c>
      <c r="B3148" t="s">
        <v>2127</v>
      </c>
      <c r="C3148">
        <v>23</v>
      </c>
      <c r="D3148">
        <v>100</v>
      </c>
      <c r="E3148">
        <f>IF(OR(B3148="vi",B3148="ii",B3148="pod"),(((D3148/100)*(C3148*VLOOKUP(B3148,'Poids des runes'!A:B,2,FALSE)))+1),(((D3148/100)*(C3148*VLOOKUP(B3148,'Poids des runes'!A:B,2,FALSE)))+1)/VLOOKUP(B3148,'Poids des runes'!A:B,2,FALSE))</f>
        <v>24</v>
      </c>
      <c r="F3148">
        <f t="shared" si="49"/>
        <v>24</v>
      </c>
    </row>
    <row r="3149" spans="1:6" x14ac:dyDescent="0.3">
      <c r="A3149" t="s">
        <v>832</v>
      </c>
      <c r="B3149" t="s">
        <v>2129</v>
      </c>
      <c r="C3149">
        <v>15.5</v>
      </c>
      <c r="D3149">
        <v>100</v>
      </c>
      <c r="E3149">
        <f>IF(OR(B3149="vi",B3149="ii",B3149="pod"),(((D3149/100)*(C3149*VLOOKUP(B3149,'Poids des runes'!A:B,2,FALSE)))+1),(((D3149/100)*(C3149*VLOOKUP(B3149,'Poids des runes'!A:B,2,FALSE)))+1)/VLOOKUP(B3149,'Poids des runes'!A:B,2,FALSE))</f>
        <v>16.5</v>
      </c>
      <c r="F3149">
        <f t="shared" si="49"/>
        <v>16.5</v>
      </c>
    </row>
    <row r="3150" spans="1:6" x14ac:dyDescent="0.3">
      <c r="A3150" t="s">
        <v>832</v>
      </c>
      <c r="B3150" t="s">
        <v>2154</v>
      </c>
      <c r="C3150">
        <v>1</v>
      </c>
      <c r="D3150">
        <v>100</v>
      </c>
      <c r="E3150">
        <f>IF(OR(B3150="vi",B3150="ii",B3150="pod"),(((D3150/100)*(C3150*VLOOKUP(B3150,'Poids des runes'!A:B,2,FALSE)))+1),(((D3150/100)*(C3150*VLOOKUP(B3150,'Poids des runes'!A:B,2,FALSE)))+1)/VLOOKUP(B3150,'Poids des runes'!A:B,2,FALSE))</f>
        <v>1.0111111111111111</v>
      </c>
      <c r="F3150">
        <f t="shared" si="49"/>
        <v>1.0111111111111111</v>
      </c>
    </row>
    <row r="3151" spans="1:6" x14ac:dyDescent="0.3">
      <c r="A3151" t="s">
        <v>832</v>
      </c>
      <c r="B3151" t="s">
        <v>2155</v>
      </c>
      <c r="C3151">
        <v>1</v>
      </c>
      <c r="D3151">
        <v>100</v>
      </c>
      <c r="E3151">
        <f>IF(OR(B3151="vi",B3151="ii",B3151="pod"),(((D3151/100)*(C3151*VLOOKUP(B3151,'Poids des runes'!A:B,2,FALSE)))+1),(((D3151/100)*(C3151*VLOOKUP(B3151,'Poids des runes'!A:B,2,FALSE)))+1)/VLOOKUP(B3151,'Poids des runes'!A:B,2,FALSE))</f>
        <v>1.0196078431372548</v>
      </c>
      <c r="F3151">
        <f t="shared" si="49"/>
        <v>1.0196078431372548</v>
      </c>
    </row>
    <row r="3152" spans="1:6" x14ac:dyDescent="0.3">
      <c r="A3152" t="s">
        <v>832</v>
      </c>
      <c r="B3152" t="s">
        <v>2134</v>
      </c>
      <c r="C3152">
        <v>4.5</v>
      </c>
      <c r="D3152">
        <v>100</v>
      </c>
      <c r="E3152">
        <f>IF(OR(B3152="vi",B3152="ii",B3152="pod"),(((D3152/100)*(C3152*VLOOKUP(B3152,'Poids des runes'!A:B,2,FALSE)))+1),(((D3152/100)*(C3152*VLOOKUP(B3152,'Poids des runes'!A:B,2,FALSE)))+1)/VLOOKUP(B3152,'Poids des runes'!A:B,2,FALSE))</f>
        <v>4.55</v>
      </c>
      <c r="F3152">
        <f t="shared" si="49"/>
        <v>4.55</v>
      </c>
    </row>
    <row r="3153" spans="1:6" x14ac:dyDescent="0.3">
      <c r="A3153" t="s">
        <v>832</v>
      </c>
      <c r="B3153" t="s">
        <v>2161</v>
      </c>
      <c r="C3153">
        <v>8.5</v>
      </c>
      <c r="D3153">
        <v>100</v>
      </c>
      <c r="E3153">
        <f>IF(OR(B3153="vi",B3153="ii",B3153="pod"),(((D3153/100)*(C3153*VLOOKUP(B3153,'Poids des runes'!A:B,2,FALSE)))+1),(((D3153/100)*(C3153*VLOOKUP(B3153,'Poids des runes'!A:B,2,FALSE)))+1)/VLOOKUP(B3153,'Poids des runes'!A:B,2,FALSE))</f>
        <v>8.8333333333333339</v>
      </c>
      <c r="F3153">
        <f t="shared" si="49"/>
        <v>8.8333333333333339</v>
      </c>
    </row>
    <row r="3154" spans="1:6" x14ac:dyDescent="0.3">
      <c r="A3154" t="s">
        <v>832</v>
      </c>
      <c r="B3154" t="s">
        <v>2135</v>
      </c>
      <c r="C3154">
        <v>2.5</v>
      </c>
      <c r="D3154">
        <v>100</v>
      </c>
      <c r="E3154">
        <f>IF(OR(B3154="vi",B3154="ii",B3154="pod"),(((D3154/100)*(C3154*VLOOKUP(B3154,'Poids des runes'!A:B,2,FALSE)))+1),(((D3154/100)*(C3154*VLOOKUP(B3154,'Poids des runes'!A:B,2,FALSE)))+1)/VLOOKUP(B3154,'Poids des runes'!A:B,2,FALSE))</f>
        <v>2.6666666666666665</v>
      </c>
      <c r="F3154">
        <f t="shared" si="49"/>
        <v>2.6666666666666665</v>
      </c>
    </row>
    <row r="3155" spans="1:6" x14ac:dyDescent="0.3">
      <c r="A3155" t="s">
        <v>833</v>
      </c>
      <c r="B3155" t="s">
        <v>2127</v>
      </c>
      <c r="C3155">
        <v>35.5</v>
      </c>
      <c r="D3155">
        <v>100</v>
      </c>
      <c r="E3155">
        <f>IF(OR(B3155="vi",B3155="ii",B3155="pod"),(((D3155/100)*(C3155*VLOOKUP(B3155,'Poids des runes'!A:B,2,FALSE)))+1),(((D3155/100)*(C3155*VLOOKUP(B3155,'Poids des runes'!A:B,2,FALSE)))+1)/VLOOKUP(B3155,'Poids des runes'!A:B,2,FALSE))</f>
        <v>36.5</v>
      </c>
      <c r="F3155">
        <f t="shared" si="49"/>
        <v>36.5</v>
      </c>
    </row>
    <row r="3156" spans="1:6" x14ac:dyDescent="0.3">
      <c r="A3156" t="s">
        <v>833</v>
      </c>
      <c r="B3156" t="s">
        <v>2129</v>
      </c>
      <c r="C3156">
        <v>25.5</v>
      </c>
      <c r="D3156">
        <v>100</v>
      </c>
      <c r="E3156">
        <f>IF(OR(B3156="vi",B3156="ii",B3156="pod"),(((D3156/100)*(C3156*VLOOKUP(B3156,'Poids des runes'!A:B,2,FALSE)))+1),(((D3156/100)*(C3156*VLOOKUP(B3156,'Poids des runes'!A:B,2,FALSE)))+1)/VLOOKUP(B3156,'Poids des runes'!A:B,2,FALSE))</f>
        <v>26.5</v>
      </c>
      <c r="F3156">
        <f t="shared" si="49"/>
        <v>26.5</v>
      </c>
    </row>
    <row r="3157" spans="1:6" x14ac:dyDescent="0.3">
      <c r="A3157" t="s">
        <v>833</v>
      </c>
      <c r="B3157" t="s">
        <v>2151</v>
      </c>
      <c r="C3157">
        <v>3.5</v>
      </c>
      <c r="D3157">
        <v>100</v>
      </c>
      <c r="E3157">
        <f>IF(OR(B3157="vi",B3157="ii",B3157="pod"),(((D3157/100)*(C3157*VLOOKUP(B3157,'Poids des runes'!A:B,2,FALSE)))+1),(((D3157/100)*(C3157*VLOOKUP(B3157,'Poids des runes'!A:B,2,FALSE)))+1)/VLOOKUP(B3157,'Poids des runes'!A:B,2,FALSE))</f>
        <v>3.6</v>
      </c>
      <c r="F3157">
        <f t="shared" si="49"/>
        <v>3.6</v>
      </c>
    </row>
    <row r="3158" spans="1:6" x14ac:dyDescent="0.3">
      <c r="A3158" t="s">
        <v>833</v>
      </c>
      <c r="B3158" t="s">
        <v>2138</v>
      </c>
      <c r="C3158">
        <v>6</v>
      </c>
      <c r="D3158">
        <v>100</v>
      </c>
      <c r="E3158">
        <f>IF(OR(B3158="vi",B3158="ii",B3158="pod"),(((D3158/100)*(C3158*VLOOKUP(B3158,'Poids des runes'!A:B,2,FALSE)))+1),(((D3158/100)*(C3158*VLOOKUP(B3158,'Poids des runes'!A:B,2,FALSE)))+1)/VLOOKUP(B3158,'Poids des runes'!A:B,2,FALSE))</f>
        <v>6.25</v>
      </c>
      <c r="F3158">
        <f t="shared" si="49"/>
        <v>6.25</v>
      </c>
    </row>
    <row r="3159" spans="1:6" x14ac:dyDescent="0.3">
      <c r="A3159" t="s">
        <v>833</v>
      </c>
      <c r="B3159" t="s">
        <v>2158</v>
      </c>
      <c r="C3159">
        <v>8.5</v>
      </c>
      <c r="D3159">
        <v>100</v>
      </c>
      <c r="E3159">
        <f>IF(OR(B3159="vi",B3159="ii",B3159="pod"),(((D3159/100)*(C3159*VLOOKUP(B3159,'Poids des runes'!A:B,2,FALSE)))+1),(((D3159/100)*(C3159*VLOOKUP(B3159,'Poids des runes'!A:B,2,FALSE)))+1)/VLOOKUP(B3159,'Poids des runes'!A:B,2,FALSE))</f>
        <v>8.6999999999999993</v>
      </c>
      <c r="F3159">
        <f t="shared" si="49"/>
        <v>8.6999999999999993</v>
      </c>
    </row>
    <row r="3160" spans="1:6" x14ac:dyDescent="0.3">
      <c r="A3160" t="s">
        <v>833</v>
      </c>
      <c r="B3160" t="s">
        <v>2147</v>
      </c>
      <c r="C3160">
        <v>5</v>
      </c>
      <c r="D3160">
        <v>100</v>
      </c>
      <c r="E3160">
        <f>IF(OR(B3160="vi",B3160="ii",B3160="pod"),(((D3160/100)*(C3160*VLOOKUP(B3160,'Poids des runes'!A:B,2,FALSE)))+1),(((D3160/100)*(C3160*VLOOKUP(B3160,'Poids des runes'!A:B,2,FALSE)))+1)/VLOOKUP(B3160,'Poids des runes'!A:B,2,FALSE))</f>
        <v>5.166666666666667</v>
      </c>
      <c r="F3160">
        <f t="shared" si="49"/>
        <v>5.166666666666667</v>
      </c>
    </row>
    <row r="3161" spans="1:6" x14ac:dyDescent="0.3">
      <c r="A3161" t="s">
        <v>833</v>
      </c>
      <c r="B3161" t="s">
        <v>2157</v>
      </c>
      <c r="C3161">
        <v>5</v>
      </c>
      <c r="D3161">
        <v>100</v>
      </c>
      <c r="E3161">
        <f>IF(OR(B3161="vi",B3161="ii",B3161="pod"),(((D3161/100)*(C3161*VLOOKUP(B3161,'Poids des runes'!A:B,2,FALSE)))+1),(((D3161/100)*(C3161*VLOOKUP(B3161,'Poids des runes'!A:B,2,FALSE)))+1)/VLOOKUP(B3161,'Poids des runes'!A:B,2,FALSE))</f>
        <v>5.166666666666667</v>
      </c>
      <c r="F3161">
        <f t="shared" si="49"/>
        <v>5.166666666666667</v>
      </c>
    </row>
    <row r="3162" spans="1:6" x14ac:dyDescent="0.3">
      <c r="A3162" t="s">
        <v>834</v>
      </c>
      <c r="B3162" t="s">
        <v>2128</v>
      </c>
      <c r="C3162">
        <v>135.5</v>
      </c>
      <c r="D3162">
        <v>100</v>
      </c>
      <c r="E3162">
        <f>IF(OR(B3162="vi",B3162="ii",B3162="pod"),(((D3162/100)*(C3162*VLOOKUP(B3162,'Poids des runes'!A:B,2,FALSE)))+1),(((D3162/100)*(C3162*VLOOKUP(B3162,'Poids des runes'!A:B,2,FALSE)))+1)/VLOOKUP(B3162,'Poids des runes'!A:B,2,FALSE))</f>
        <v>28.1</v>
      </c>
      <c r="F3162">
        <f t="shared" si="49"/>
        <v>28.1</v>
      </c>
    </row>
    <row r="3163" spans="1:6" x14ac:dyDescent="0.3">
      <c r="A3163" t="s">
        <v>834</v>
      </c>
      <c r="B3163" t="s">
        <v>2129</v>
      </c>
      <c r="C3163">
        <v>20.5</v>
      </c>
      <c r="D3163">
        <v>100</v>
      </c>
      <c r="E3163">
        <f>IF(OR(B3163="vi",B3163="ii",B3163="pod"),(((D3163/100)*(C3163*VLOOKUP(B3163,'Poids des runes'!A:B,2,FALSE)))+1),(((D3163/100)*(C3163*VLOOKUP(B3163,'Poids des runes'!A:B,2,FALSE)))+1)/VLOOKUP(B3163,'Poids des runes'!A:B,2,FALSE))</f>
        <v>21.5</v>
      </c>
      <c r="F3163">
        <f t="shared" si="49"/>
        <v>21.5</v>
      </c>
    </row>
    <row r="3164" spans="1:6" x14ac:dyDescent="0.3">
      <c r="A3164" t="s">
        <v>834</v>
      </c>
      <c r="B3164" t="s">
        <v>2139</v>
      </c>
      <c r="C3164">
        <v>35.5</v>
      </c>
      <c r="D3164">
        <v>100</v>
      </c>
      <c r="E3164">
        <f>IF(OR(B3164="vi",B3164="ii",B3164="pod"),(((D3164/100)*(C3164*VLOOKUP(B3164,'Poids des runes'!A:B,2,FALSE)))+1),(((D3164/100)*(C3164*VLOOKUP(B3164,'Poids des runes'!A:B,2,FALSE)))+1)/VLOOKUP(B3164,'Poids des runes'!A:B,2,FALSE))</f>
        <v>36</v>
      </c>
      <c r="F3164">
        <f t="shared" si="49"/>
        <v>36</v>
      </c>
    </row>
    <row r="3165" spans="1:6" x14ac:dyDescent="0.3">
      <c r="A3165" t="s">
        <v>834</v>
      </c>
      <c r="B3165" t="s">
        <v>2132</v>
      </c>
      <c r="C3165">
        <v>150.5</v>
      </c>
      <c r="D3165">
        <v>100</v>
      </c>
      <c r="E3165">
        <f>IF(OR(B3165="vi",B3165="ii",B3165="pod"),(((D3165/100)*(C3165*VLOOKUP(B3165,'Poids des runes'!A:B,2,FALSE)))+1),(((D3165/100)*(C3165*VLOOKUP(B3165,'Poids des runes'!A:B,2,FALSE)))+1)/VLOOKUP(B3165,'Poids des runes'!A:B,2,FALSE))</f>
        <v>16.05</v>
      </c>
      <c r="F3165">
        <f t="shared" si="49"/>
        <v>16.05</v>
      </c>
    </row>
    <row r="3166" spans="1:6" x14ac:dyDescent="0.3">
      <c r="A3166" t="s">
        <v>834</v>
      </c>
      <c r="B3166" t="s">
        <v>2156</v>
      </c>
      <c r="C3166">
        <v>1.5</v>
      </c>
      <c r="D3166">
        <v>100</v>
      </c>
      <c r="E3166">
        <f>IF(OR(B3166="vi",B3166="ii",B3166="pod"),(((D3166/100)*(C3166*VLOOKUP(B3166,'Poids des runes'!A:B,2,FALSE)))+1),(((D3166/100)*(C3166*VLOOKUP(B3166,'Poids des runes'!A:B,2,FALSE)))+1)/VLOOKUP(B3166,'Poids des runes'!A:B,2,FALSE))</f>
        <v>1.6666666666666667</v>
      </c>
      <c r="F3166">
        <f t="shared" si="49"/>
        <v>1.6666666666666667</v>
      </c>
    </row>
    <row r="3167" spans="1:6" x14ac:dyDescent="0.3">
      <c r="A3167" t="s">
        <v>834</v>
      </c>
      <c r="B3167" t="s">
        <v>2148</v>
      </c>
      <c r="C3167">
        <v>4</v>
      </c>
      <c r="D3167">
        <v>100</v>
      </c>
      <c r="E3167">
        <f>IF(OR(B3167="vi",B3167="ii",B3167="pod"),(((D3167/100)*(C3167*VLOOKUP(B3167,'Poids des runes'!A:B,2,FALSE)))+1),(((D3167/100)*(C3167*VLOOKUP(B3167,'Poids des runes'!A:B,2,FALSE)))+1)/VLOOKUP(B3167,'Poids des runes'!A:B,2,FALSE))</f>
        <v>4.166666666666667</v>
      </c>
      <c r="F3167">
        <f t="shared" si="49"/>
        <v>4.166666666666667</v>
      </c>
    </row>
    <row r="3168" spans="1:6" x14ac:dyDescent="0.3">
      <c r="A3168" t="s">
        <v>834</v>
      </c>
      <c r="B3168" t="s">
        <v>2147</v>
      </c>
      <c r="C3168">
        <v>1.5</v>
      </c>
      <c r="D3168">
        <v>100</v>
      </c>
      <c r="E3168">
        <f>IF(OR(B3168="vi",B3168="ii",B3168="pod"),(((D3168/100)*(C3168*VLOOKUP(B3168,'Poids des runes'!A:B,2,FALSE)))+1),(((D3168/100)*(C3168*VLOOKUP(B3168,'Poids des runes'!A:B,2,FALSE)))+1)/VLOOKUP(B3168,'Poids des runes'!A:B,2,FALSE))</f>
        <v>1.6666666666666667</v>
      </c>
      <c r="F3168">
        <f t="shared" si="49"/>
        <v>1.6666666666666667</v>
      </c>
    </row>
    <row r="3169" spans="1:6" x14ac:dyDescent="0.3">
      <c r="A3169" t="s">
        <v>834</v>
      </c>
      <c r="B3169" t="s">
        <v>2135</v>
      </c>
      <c r="C3169">
        <v>1.5</v>
      </c>
      <c r="D3169">
        <v>100</v>
      </c>
      <c r="E3169">
        <f>IF(OR(B3169="vi",B3169="ii",B3169="pod"),(((D3169/100)*(C3169*VLOOKUP(B3169,'Poids des runes'!A:B,2,FALSE)))+1),(((D3169/100)*(C3169*VLOOKUP(B3169,'Poids des runes'!A:B,2,FALSE)))+1)/VLOOKUP(B3169,'Poids des runes'!A:B,2,FALSE))</f>
        <v>1.6666666666666667</v>
      </c>
      <c r="F3169">
        <f t="shared" si="49"/>
        <v>1.6666666666666667</v>
      </c>
    </row>
    <row r="3170" spans="1:6" x14ac:dyDescent="0.3">
      <c r="A3170" t="s">
        <v>834</v>
      </c>
      <c r="B3170" t="s">
        <v>2157</v>
      </c>
      <c r="C3170">
        <v>1.5</v>
      </c>
      <c r="D3170">
        <v>100</v>
      </c>
      <c r="E3170">
        <f>IF(OR(B3170="vi",B3170="ii",B3170="pod"),(((D3170/100)*(C3170*VLOOKUP(B3170,'Poids des runes'!A:B,2,FALSE)))+1),(((D3170/100)*(C3170*VLOOKUP(B3170,'Poids des runes'!A:B,2,FALSE)))+1)/VLOOKUP(B3170,'Poids des runes'!A:B,2,FALSE))</f>
        <v>1.6666666666666667</v>
      </c>
      <c r="F3170">
        <f t="shared" si="49"/>
        <v>1.6666666666666667</v>
      </c>
    </row>
    <row r="3171" spans="1:6" x14ac:dyDescent="0.3">
      <c r="A3171" t="s">
        <v>835</v>
      </c>
      <c r="B3171" t="s">
        <v>2139</v>
      </c>
      <c r="C3171">
        <v>20</v>
      </c>
      <c r="D3171">
        <v>100</v>
      </c>
      <c r="E3171">
        <f>IF(OR(B3171="vi",B3171="ii",B3171="pod"),(((D3171/100)*(C3171*VLOOKUP(B3171,'Poids des runes'!A:B,2,FALSE)))+1),(((D3171/100)*(C3171*VLOOKUP(B3171,'Poids des runes'!A:B,2,FALSE)))+1)/VLOOKUP(B3171,'Poids des runes'!A:B,2,FALSE))</f>
        <v>20.5</v>
      </c>
      <c r="F3171">
        <f t="shared" si="49"/>
        <v>20.5</v>
      </c>
    </row>
    <row r="3172" spans="1:6" x14ac:dyDescent="0.3">
      <c r="A3172" t="s">
        <v>836</v>
      </c>
      <c r="B3172" t="s">
        <v>2128</v>
      </c>
      <c r="C3172">
        <v>85.5</v>
      </c>
      <c r="D3172">
        <v>101</v>
      </c>
      <c r="E3172">
        <f>IF(OR(B3172="vi",B3172="ii",B3172="pod"),(((D3172/100)*(C3172*VLOOKUP(B3172,'Poids des runes'!A:B,2,FALSE)))+1),(((D3172/100)*(C3172*VLOOKUP(B3172,'Poids des runes'!A:B,2,FALSE)))+1)/VLOOKUP(B3172,'Poids des runes'!A:B,2,FALSE))</f>
        <v>18.271000000000001</v>
      </c>
      <c r="F3172">
        <f t="shared" si="49"/>
        <v>18.271000000000001</v>
      </c>
    </row>
    <row r="3173" spans="1:6" x14ac:dyDescent="0.3">
      <c r="A3173" t="s">
        <v>836</v>
      </c>
      <c r="B3173" t="s">
        <v>2139</v>
      </c>
      <c r="C3173">
        <v>28</v>
      </c>
      <c r="D3173">
        <v>101</v>
      </c>
      <c r="E3173">
        <f>IF(OR(B3173="vi",B3173="ii",B3173="pod"),(((D3173/100)*(C3173*VLOOKUP(B3173,'Poids des runes'!A:B,2,FALSE)))+1),(((D3173/100)*(C3173*VLOOKUP(B3173,'Poids des runes'!A:B,2,FALSE)))+1)/VLOOKUP(B3173,'Poids des runes'!A:B,2,FALSE))</f>
        <v>28.78</v>
      </c>
      <c r="F3173">
        <f t="shared" si="49"/>
        <v>28.78</v>
      </c>
    </row>
    <row r="3174" spans="1:6" x14ac:dyDescent="0.3">
      <c r="A3174" t="s">
        <v>836</v>
      </c>
      <c r="B3174" t="s">
        <v>2150</v>
      </c>
      <c r="C3174">
        <v>1</v>
      </c>
      <c r="D3174">
        <v>101</v>
      </c>
      <c r="E3174">
        <f>IF(OR(B3174="vi",B3174="ii",B3174="pod"),(((D3174/100)*(C3174*VLOOKUP(B3174,'Poids des runes'!A:B,2,FALSE)))+1),(((D3174/100)*(C3174*VLOOKUP(B3174,'Poids des runes'!A:B,2,FALSE)))+1)/VLOOKUP(B3174,'Poids des runes'!A:B,2,FALSE))</f>
        <v>1.0433333333333334</v>
      </c>
      <c r="F3174">
        <f t="shared" si="49"/>
        <v>1.0433333333333334</v>
      </c>
    </row>
    <row r="3175" spans="1:6" x14ac:dyDescent="0.3">
      <c r="A3175" t="s">
        <v>836</v>
      </c>
      <c r="B3175" t="s">
        <v>2134</v>
      </c>
      <c r="C3175">
        <v>5</v>
      </c>
      <c r="D3175">
        <v>101</v>
      </c>
      <c r="E3175">
        <f>IF(OR(B3175="vi",B3175="ii",B3175="pod"),(((D3175/100)*(C3175*VLOOKUP(B3175,'Poids des runes'!A:B,2,FALSE)))+1),(((D3175/100)*(C3175*VLOOKUP(B3175,'Poids des runes'!A:B,2,FALSE)))+1)/VLOOKUP(B3175,'Poids des runes'!A:B,2,FALSE))</f>
        <v>5.0999999999999996</v>
      </c>
      <c r="F3175">
        <f t="shared" si="49"/>
        <v>5.0999999999999996</v>
      </c>
    </row>
    <row r="3176" spans="1:6" x14ac:dyDescent="0.3">
      <c r="A3176" t="s">
        <v>836</v>
      </c>
      <c r="B3176" t="s">
        <v>2149</v>
      </c>
      <c r="C3176">
        <v>5</v>
      </c>
      <c r="D3176">
        <v>101</v>
      </c>
      <c r="E3176">
        <f>IF(OR(B3176="vi",B3176="ii",B3176="pod"),(((D3176/100)*(C3176*VLOOKUP(B3176,'Poids des runes'!A:B,2,FALSE)))+1),(((D3176/100)*(C3176*VLOOKUP(B3176,'Poids des runes'!A:B,2,FALSE)))+1)/VLOOKUP(B3176,'Poids des runes'!A:B,2,FALSE))</f>
        <v>5.15</v>
      </c>
      <c r="F3176">
        <f t="shared" si="49"/>
        <v>5.15</v>
      </c>
    </row>
    <row r="3177" spans="1:6" x14ac:dyDescent="0.3">
      <c r="A3177" t="s">
        <v>836</v>
      </c>
      <c r="B3177" t="s">
        <v>2132</v>
      </c>
      <c r="C3177">
        <v>125.5</v>
      </c>
      <c r="D3177">
        <v>101</v>
      </c>
      <c r="E3177">
        <f>IF(OR(B3177="vi",B3177="ii",B3177="pod"),(((D3177/100)*(C3177*VLOOKUP(B3177,'Poids des runes'!A:B,2,FALSE)))+1),(((D3177/100)*(C3177*VLOOKUP(B3177,'Poids des runes'!A:B,2,FALSE)))+1)/VLOOKUP(B3177,'Poids des runes'!A:B,2,FALSE))</f>
        <v>13.675500000000001</v>
      </c>
      <c r="F3177">
        <f t="shared" si="49"/>
        <v>13.675500000000001</v>
      </c>
    </row>
    <row r="3178" spans="1:6" x14ac:dyDescent="0.3">
      <c r="A3178" t="s">
        <v>836</v>
      </c>
      <c r="B3178" t="s">
        <v>2148</v>
      </c>
      <c r="C3178">
        <v>5</v>
      </c>
      <c r="D3178">
        <v>101</v>
      </c>
      <c r="E3178">
        <f>IF(OR(B3178="vi",B3178="ii",B3178="pod"),(((D3178/100)*(C3178*VLOOKUP(B3178,'Poids des runes'!A:B,2,FALSE)))+1),(((D3178/100)*(C3178*VLOOKUP(B3178,'Poids des runes'!A:B,2,FALSE)))+1)/VLOOKUP(B3178,'Poids des runes'!A:B,2,FALSE))</f>
        <v>5.2166666666666668</v>
      </c>
      <c r="F3178">
        <f t="shared" si="49"/>
        <v>5.2166666666666668</v>
      </c>
    </row>
    <row r="3179" spans="1:6" x14ac:dyDescent="0.3">
      <c r="A3179" t="s">
        <v>836</v>
      </c>
      <c r="B3179" t="s">
        <v>2135</v>
      </c>
      <c r="C3179">
        <v>5</v>
      </c>
      <c r="D3179">
        <v>101</v>
      </c>
      <c r="E3179">
        <f>IF(OR(B3179="vi",B3179="ii",B3179="pod"),(((D3179/100)*(C3179*VLOOKUP(B3179,'Poids des runes'!A:B,2,FALSE)))+1),(((D3179/100)*(C3179*VLOOKUP(B3179,'Poids des runes'!A:B,2,FALSE)))+1)/VLOOKUP(B3179,'Poids des runes'!A:B,2,FALSE))</f>
        <v>5.2166666666666668</v>
      </c>
      <c r="F3179">
        <f t="shared" si="49"/>
        <v>5.2166666666666668</v>
      </c>
    </row>
    <row r="3180" spans="1:6" x14ac:dyDescent="0.3">
      <c r="A3180" t="s">
        <v>837</v>
      </c>
      <c r="B3180" t="s">
        <v>2128</v>
      </c>
      <c r="C3180">
        <v>100.5</v>
      </c>
      <c r="D3180">
        <v>101</v>
      </c>
      <c r="E3180">
        <f>IF(OR(B3180="vi",B3180="ii",B3180="pod"),(((D3180/100)*(C3180*VLOOKUP(B3180,'Poids des runes'!A:B,2,FALSE)))+1),(((D3180/100)*(C3180*VLOOKUP(B3180,'Poids des runes'!A:B,2,FALSE)))+1)/VLOOKUP(B3180,'Poids des runes'!A:B,2,FALSE))</f>
        <v>21.301000000000002</v>
      </c>
      <c r="F3180">
        <f t="shared" si="49"/>
        <v>21.301000000000002</v>
      </c>
    </row>
    <row r="3181" spans="1:6" x14ac:dyDescent="0.3">
      <c r="A3181" t="s">
        <v>837</v>
      </c>
      <c r="B3181" t="s">
        <v>2130</v>
      </c>
      <c r="C3181">
        <v>35.5</v>
      </c>
      <c r="D3181">
        <v>101</v>
      </c>
      <c r="E3181">
        <f>IF(OR(B3181="vi",B3181="ii",B3181="pod"),(((D3181/100)*(C3181*VLOOKUP(B3181,'Poids des runes'!A:B,2,FALSE)))+1),(((D3181/100)*(C3181*VLOOKUP(B3181,'Poids des runes'!A:B,2,FALSE)))+1)/VLOOKUP(B3181,'Poids des runes'!A:B,2,FALSE))</f>
        <v>36.854999999999997</v>
      </c>
      <c r="F3181">
        <f t="shared" si="49"/>
        <v>36.854999999999997</v>
      </c>
    </row>
    <row r="3182" spans="1:6" x14ac:dyDescent="0.3">
      <c r="A3182" t="s">
        <v>837</v>
      </c>
      <c r="B3182" t="s">
        <v>2129</v>
      </c>
      <c r="C3182">
        <v>18</v>
      </c>
      <c r="D3182">
        <v>101</v>
      </c>
      <c r="E3182">
        <f>IF(OR(B3182="vi",B3182="ii",B3182="pod"),(((D3182/100)*(C3182*VLOOKUP(B3182,'Poids des runes'!A:B,2,FALSE)))+1),(((D3182/100)*(C3182*VLOOKUP(B3182,'Poids des runes'!A:B,2,FALSE)))+1)/VLOOKUP(B3182,'Poids des runes'!A:B,2,FALSE))</f>
        <v>19.18</v>
      </c>
      <c r="F3182">
        <f t="shared" si="49"/>
        <v>19.18</v>
      </c>
    </row>
    <row r="3183" spans="1:6" x14ac:dyDescent="0.3">
      <c r="A3183" t="s">
        <v>837</v>
      </c>
      <c r="B3183" t="s">
        <v>2151</v>
      </c>
      <c r="C3183">
        <v>2.5</v>
      </c>
      <c r="D3183">
        <v>101</v>
      </c>
      <c r="E3183">
        <f>IF(OR(B3183="vi",B3183="ii",B3183="pod"),(((D3183/100)*(C3183*VLOOKUP(B3183,'Poids des runes'!A:B,2,FALSE)))+1),(((D3183/100)*(C3183*VLOOKUP(B3183,'Poids des runes'!A:B,2,FALSE)))+1)/VLOOKUP(B3183,'Poids des runes'!A:B,2,FALSE))</f>
        <v>2.625</v>
      </c>
      <c r="F3183">
        <f t="shared" si="49"/>
        <v>2.625</v>
      </c>
    </row>
    <row r="3184" spans="1:6" x14ac:dyDescent="0.3">
      <c r="A3184" t="s">
        <v>837</v>
      </c>
      <c r="B3184" t="s">
        <v>2143</v>
      </c>
      <c r="C3184">
        <v>5</v>
      </c>
      <c r="D3184">
        <v>101</v>
      </c>
      <c r="E3184">
        <f>IF(OR(B3184="vi",B3184="ii",B3184="pod"),(((D3184/100)*(C3184*VLOOKUP(B3184,'Poids des runes'!A:B,2,FALSE)))+1),(((D3184/100)*(C3184*VLOOKUP(B3184,'Poids des runes'!A:B,2,FALSE)))+1)/VLOOKUP(B3184,'Poids des runes'!A:B,2,FALSE))</f>
        <v>5.25</v>
      </c>
      <c r="F3184">
        <f t="shared" si="49"/>
        <v>5.25</v>
      </c>
    </row>
    <row r="3185" spans="1:6" x14ac:dyDescent="0.3">
      <c r="A3185" t="s">
        <v>837</v>
      </c>
      <c r="B3185" t="s">
        <v>2161</v>
      </c>
      <c r="C3185">
        <v>8.5</v>
      </c>
      <c r="D3185">
        <v>101</v>
      </c>
      <c r="E3185">
        <f>IF(OR(B3185="vi",B3185="ii",B3185="pod"),(((D3185/100)*(C3185*VLOOKUP(B3185,'Poids des runes'!A:B,2,FALSE)))+1),(((D3185/100)*(C3185*VLOOKUP(B3185,'Poids des runes'!A:B,2,FALSE)))+1)/VLOOKUP(B3185,'Poids des runes'!A:B,2,FALSE))</f>
        <v>8.918333333333333</v>
      </c>
      <c r="F3185">
        <f t="shared" si="49"/>
        <v>8.918333333333333</v>
      </c>
    </row>
    <row r="3186" spans="1:6" x14ac:dyDescent="0.3">
      <c r="A3186" t="s">
        <v>837</v>
      </c>
      <c r="B3186" t="s">
        <v>2138</v>
      </c>
      <c r="C3186">
        <v>4.5</v>
      </c>
      <c r="D3186">
        <v>101</v>
      </c>
      <c r="E3186">
        <f>IF(OR(B3186="vi",B3186="ii",B3186="pod"),(((D3186/100)*(C3186*VLOOKUP(B3186,'Poids des runes'!A:B,2,FALSE)))+1),(((D3186/100)*(C3186*VLOOKUP(B3186,'Poids des runes'!A:B,2,FALSE)))+1)/VLOOKUP(B3186,'Poids des runes'!A:B,2,FALSE))</f>
        <v>4.7949999999999999</v>
      </c>
      <c r="F3186">
        <f t="shared" si="49"/>
        <v>4.7949999999999999</v>
      </c>
    </row>
    <row r="3187" spans="1:6" x14ac:dyDescent="0.3">
      <c r="A3187" t="s">
        <v>837</v>
      </c>
      <c r="B3187" t="s">
        <v>2163</v>
      </c>
      <c r="C3187">
        <v>5</v>
      </c>
      <c r="D3187">
        <v>101</v>
      </c>
      <c r="E3187">
        <f>IF(OR(B3187="vi",B3187="ii",B3187="pod"),(((D3187/100)*(C3187*VLOOKUP(B3187,'Poids des runes'!A:B,2,FALSE)))+1),(((D3187/100)*(C3187*VLOOKUP(B3187,'Poids des runes'!A:B,2,FALSE)))+1)/VLOOKUP(B3187,'Poids des runes'!A:B,2,FALSE))</f>
        <v>5.55</v>
      </c>
      <c r="F3187">
        <f t="shared" si="49"/>
        <v>5.55</v>
      </c>
    </row>
    <row r="3188" spans="1:6" x14ac:dyDescent="0.3">
      <c r="A3188" t="s">
        <v>837</v>
      </c>
      <c r="B3188" t="s">
        <v>2148</v>
      </c>
      <c r="C3188">
        <v>5</v>
      </c>
      <c r="D3188">
        <v>101</v>
      </c>
      <c r="E3188">
        <f>IF(OR(B3188="vi",B3188="ii",B3188="pod"),(((D3188/100)*(C3188*VLOOKUP(B3188,'Poids des runes'!A:B,2,FALSE)))+1),(((D3188/100)*(C3188*VLOOKUP(B3188,'Poids des runes'!A:B,2,FALSE)))+1)/VLOOKUP(B3188,'Poids des runes'!A:B,2,FALSE))</f>
        <v>5.2166666666666668</v>
      </c>
      <c r="F3188">
        <f t="shared" si="49"/>
        <v>5.2166666666666668</v>
      </c>
    </row>
    <row r="3189" spans="1:6" x14ac:dyDescent="0.3">
      <c r="A3189" t="s">
        <v>837</v>
      </c>
      <c r="B3189" t="s">
        <v>2136</v>
      </c>
      <c r="C3189">
        <v>5</v>
      </c>
      <c r="D3189">
        <v>101</v>
      </c>
      <c r="E3189">
        <f>IF(OR(B3189="vi",B3189="ii",B3189="pod"),(((D3189/100)*(C3189*VLOOKUP(B3189,'Poids des runes'!A:B,2,FALSE)))+1),(((D3189/100)*(C3189*VLOOKUP(B3189,'Poids des runes'!A:B,2,FALSE)))+1)/VLOOKUP(B3189,'Poids des runes'!A:B,2,FALSE))</f>
        <v>5.55</v>
      </c>
      <c r="F3189">
        <f t="shared" si="49"/>
        <v>5.55</v>
      </c>
    </row>
    <row r="3190" spans="1:6" x14ac:dyDescent="0.3">
      <c r="A3190" t="s">
        <v>837</v>
      </c>
      <c r="B3190" t="s">
        <v>2145</v>
      </c>
      <c r="C3190">
        <v>5</v>
      </c>
      <c r="D3190">
        <v>101</v>
      </c>
      <c r="E3190">
        <f>IF(OR(B3190="vi",B3190="ii",B3190="pod"),(((D3190/100)*(C3190*VLOOKUP(B3190,'Poids des runes'!A:B,2,FALSE)))+1),(((D3190/100)*(C3190*VLOOKUP(B3190,'Poids des runes'!A:B,2,FALSE)))+1)/VLOOKUP(B3190,'Poids des runes'!A:B,2,FALSE))</f>
        <v>5.55</v>
      </c>
      <c r="F3190">
        <f t="shared" si="49"/>
        <v>5.55</v>
      </c>
    </row>
    <row r="3191" spans="1:6" x14ac:dyDescent="0.3">
      <c r="A3191" t="s">
        <v>838</v>
      </c>
      <c r="B3191" t="s">
        <v>2128</v>
      </c>
      <c r="C3191">
        <v>100.5</v>
      </c>
      <c r="D3191">
        <v>101</v>
      </c>
      <c r="E3191">
        <f>IF(OR(B3191="vi",B3191="ii",B3191="pod"),(((D3191/100)*(C3191*VLOOKUP(B3191,'Poids des runes'!A:B,2,FALSE)))+1),(((D3191/100)*(C3191*VLOOKUP(B3191,'Poids des runes'!A:B,2,FALSE)))+1)/VLOOKUP(B3191,'Poids des runes'!A:B,2,FALSE))</f>
        <v>21.301000000000002</v>
      </c>
      <c r="F3191">
        <f t="shared" si="49"/>
        <v>21.301000000000002</v>
      </c>
    </row>
    <row r="3192" spans="1:6" x14ac:dyDescent="0.3">
      <c r="A3192" t="s">
        <v>838</v>
      </c>
      <c r="B3192" t="s">
        <v>2126</v>
      </c>
      <c r="C3192">
        <v>38</v>
      </c>
      <c r="D3192">
        <v>101</v>
      </c>
      <c r="E3192">
        <f>IF(OR(B3192="vi",B3192="ii",B3192="pod"),(((D3192/100)*(C3192*VLOOKUP(B3192,'Poids des runes'!A:B,2,FALSE)))+1),(((D3192/100)*(C3192*VLOOKUP(B3192,'Poids des runes'!A:B,2,FALSE)))+1)/VLOOKUP(B3192,'Poids des runes'!A:B,2,FALSE))</f>
        <v>39.380000000000003</v>
      </c>
      <c r="F3192">
        <f t="shared" si="49"/>
        <v>39.380000000000003</v>
      </c>
    </row>
    <row r="3193" spans="1:6" x14ac:dyDescent="0.3">
      <c r="A3193" t="s">
        <v>838</v>
      </c>
      <c r="B3193" t="s">
        <v>2131</v>
      </c>
      <c r="C3193">
        <v>38</v>
      </c>
      <c r="D3193">
        <v>101</v>
      </c>
      <c r="E3193">
        <f>IF(OR(B3193="vi",B3193="ii",B3193="pod"),(((D3193/100)*(C3193*VLOOKUP(B3193,'Poids des runes'!A:B,2,FALSE)))+1),(((D3193/100)*(C3193*VLOOKUP(B3193,'Poids des runes'!A:B,2,FALSE)))+1)/VLOOKUP(B3193,'Poids des runes'!A:B,2,FALSE))</f>
        <v>39.380000000000003</v>
      </c>
      <c r="F3193">
        <f t="shared" si="49"/>
        <v>39.380000000000003</v>
      </c>
    </row>
    <row r="3194" spans="1:6" x14ac:dyDescent="0.3">
      <c r="A3194" t="s">
        <v>838</v>
      </c>
      <c r="B3194" t="s">
        <v>2129</v>
      </c>
      <c r="C3194">
        <v>18</v>
      </c>
      <c r="D3194">
        <v>101</v>
      </c>
      <c r="E3194">
        <f>IF(OR(B3194="vi",B3194="ii",B3194="pod"),(((D3194/100)*(C3194*VLOOKUP(B3194,'Poids des runes'!A:B,2,FALSE)))+1),(((D3194/100)*(C3194*VLOOKUP(B3194,'Poids des runes'!A:B,2,FALSE)))+1)/VLOOKUP(B3194,'Poids des runes'!A:B,2,FALSE))</f>
        <v>19.18</v>
      </c>
      <c r="F3194">
        <f t="shared" si="49"/>
        <v>19.18</v>
      </c>
    </row>
    <row r="3195" spans="1:6" x14ac:dyDescent="0.3">
      <c r="A3195" t="s">
        <v>838</v>
      </c>
      <c r="B3195" t="s">
        <v>2155</v>
      </c>
      <c r="C3195">
        <v>1</v>
      </c>
      <c r="D3195">
        <v>101</v>
      </c>
      <c r="E3195">
        <f>IF(OR(B3195="vi",B3195="ii",B3195="pod"),(((D3195/100)*(C3195*VLOOKUP(B3195,'Poids des runes'!A:B,2,FALSE)))+1),(((D3195/100)*(C3195*VLOOKUP(B3195,'Poids des runes'!A:B,2,FALSE)))+1)/VLOOKUP(B3195,'Poids des runes'!A:B,2,FALSE))</f>
        <v>1.0296078431372548</v>
      </c>
      <c r="F3195">
        <f t="shared" si="49"/>
        <v>1.0296078431372548</v>
      </c>
    </row>
    <row r="3196" spans="1:6" x14ac:dyDescent="0.3">
      <c r="A3196" t="s">
        <v>838</v>
      </c>
      <c r="B3196" t="s">
        <v>2150</v>
      </c>
      <c r="C3196">
        <v>1</v>
      </c>
      <c r="D3196">
        <v>101</v>
      </c>
      <c r="E3196">
        <f>IF(OR(B3196="vi",B3196="ii",B3196="pod"),(((D3196/100)*(C3196*VLOOKUP(B3196,'Poids des runes'!A:B,2,FALSE)))+1),(((D3196/100)*(C3196*VLOOKUP(B3196,'Poids des runes'!A:B,2,FALSE)))+1)/VLOOKUP(B3196,'Poids des runes'!A:B,2,FALSE))</f>
        <v>1.0433333333333334</v>
      </c>
      <c r="F3196">
        <f t="shared" si="49"/>
        <v>1.0433333333333334</v>
      </c>
    </row>
    <row r="3197" spans="1:6" x14ac:dyDescent="0.3">
      <c r="A3197" t="s">
        <v>838</v>
      </c>
      <c r="B3197" t="s">
        <v>2140</v>
      </c>
      <c r="C3197">
        <v>3.5</v>
      </c>
      <c r="D3197">
        <v>101</v>
      </c>
      <c r="E3197">
        <f>IF(OR(B3197="vi",B3197="ii",B3197="pod"),(((D3197/100)*(C3197*VLOOKUP(B3197,'Poids des runes'!A:B,2,FALSE)))+1),(((D3197/100)*(C3197*VLOOKUP(B3197,'Poids des runes'!A:B,2,FALSE)))+1)/VLOOKUP(B3197,'Poids des runes'!A:B,2,FALSE))</f>
        <v>3.7350000000000003</v>
      </c>
      <c r="F3197">
        <f t="shared" si="49"/>
        <v>3.7350000000000003</v>
      </c>
    </row>
    <row r="3198" spans="1:6" x14ac:dyDescent="0.3">
      <c r="A3198" t="s">
        <v>838</v>
      </c>
      <c r="B3198" t="s">
        <v>2133</v>
      </c>
      <c r="C3198">
        <v>3.5</v>
      </c>
      <c r="D3198">
        <v>101</v>
      </c>
      <c r="E3198">
        <f>IF(OR(B3198="vi",B3198="ii",B3198="pod"),(((D3198/100)*(C3198*VLOOKUP(B3198,'Poids des runes'!A:B,2,FALSE)))+1),(((D3198/100)*(C3198*VLOOKUP(B3198,'Poids des runes'!A:B,2,FALSE)))+1)/VLOOKUP(B3198,'Poids des runes'!A:B,2,FALSE))</f>
        <v>3.7350000000000003</v>
      </c>
      <c r="F3198">
        <f t="shared" si="49"/>
        <v>3.7350000000000003</v>
      </c>
    </row>
    <row r="3199" spans="1:6" x14ac:dyDescent="0.3">
      <c r="A3199" t="s">
        <v>838</v>
      </c>
      <c r="B3199" t="s">
        <v>2161</v>
      </c>
      <c r="C3199">
        <v>8.5</v>
      </c>
      <c r="D3199">
        <v>101</v>
      </c>
      <c r="E3199">
        <f>IF(OR(B3199="vi",B3199="ii",B3199="pod"),(((D3199/100)*(C3199*VLOOKUP(B3199,'Poids des runes'!A:B,2,FALSE)))+1),(((D3199/100)*(C3199*VLOOKUP(B3199,'Poids des runes'!A:B,2,FALSE)))+1)/VLOOKUP(B3199,'Poids des runes'!A:B,2,FALSE))</f>
        <v>8.918333333333333</v>
      </c>
      <c r="F3199">
        <f t="shared" si="49"/>
        <v>8.918333333333333</v>
      </c>
    </row>
    <row r="3200" spans="1:6" x14ac:dyDescent="0.3">
      <c r="A3200" t="s">
        <v>838</v>
      </c>
      <c r="B3200" t="s">
        <v>2165</v>
      </c>
      <c r="C3200">
        <v>2.5</v>
      </c>
      <c r="D3200">
        <v>101</v>
      </c>
      <c r="E3200">
        <f>IF(OR(B3200="vi",B3200="ii",B3200="pod"),(((D3200/100)*(C3200*VLOOKUP(B3200,'Poids des runes'!A:B,2,FALSE)))+1),(((D3200/100)*(C3200*VLOOKUP(B3200,'Poids des runes'!A:B,2,FALSE)))+1)/VLOOKUP(B3200,'Poids des runes'!A:B,2,FALSE))</f>
        <v>2.6678571428571431</v>
      </c>
      <c r="F3200">
        <f t="shared" si="49"/>
        <v>2.6678571428571431</v>
      </c>
    </row>
    <row r="3201" spans="1:6" x14ac:dyDescent="0.3">
      <c r="A3201" t="s">
        <v>838</v>
      </c>
      <c r="B3201" t="s">
        <v>2163</v>
      </c>
      <c r="C3201">
        <v>7</v>
      </c>
      <c r="D3201">
        <v>101</v>
      </c>
      <c r="E3201">
        <f>IF(OR(B3201="vi",B3201="ii",B3201="pod"),(((D3201/100)*(C3201*VLOOKUP(B3201,'Poids des runes'!A:B,2,FALSE)))+1),(((D3201/100)*(C3201*VLOOKUP(B3201,'Poids des runes'!A:B,2,FALSE)))+1)/VLOOKUP(B3201,'Poids des runes'!A:B,2,FALSE))</f>
        <v>7.57</v>
      </c>
      <c r="F3201">
        <f t="shared" si="49"/>
        <v>7.57</v>
      </c>
    </row>
    <row r="3202" spans="1:6" x14ac:dyDescent="0.3">
      <c r="A3202" t="s">
        <v>838</v>
      </c>
      <c r="B3202" t="s">
        <v>2137</v>
      </c>
      <c r="C3202">
        <v>5</v>
      </c>
      <c r="D3202">
        <v>101</v>
      </c>
      <c r="E3202">
        <f>IF(OR(B3202="vi",B3202="ii",B3202="pod"),(((D3202/100)*(C3202*VLOOKUP(B3202,'Poids des runes'!A:B,2,FALSE)))+1),(((D3202/100)*(C3202*VLOOKUP(B3202,'Poids des runes'!A:B,2,FALSE)))+1)/VLOOKUP(B3202,'Poids des runes'!A:B,2,FALSE))</f>
        <v>5.55</v>
      </c>
      <c r="F3202">
        <f t="shared" si="49"/>
        <v>5.55</v>
      </c>
    </row>
    <row r="3203" spans="1:6" x14ac:dyDescent="0.3">
      <c r="A3203" t="s">
        <v>838</v>
      </c>
      <c r="B3203" t="s">
        <v>2145</v>
      </c>
      <c r="C3203">
        <v>5</v>
      </c>
      <c r="D3203">
        <v>101</v>
      </c>
      <c r="E3203">
        <f>IF(OR(B3203="vi",B3203="ii",B3203="pod"),(((D3203/100)*(C3203*VLOOKUP(B3203,'Poids des runes'!A:B,2,FALSE)))+1),(((D3203/100)*(C3203*VLOOKUP(B3203,'Poids des runes'!A:B,2,FALSE)))+1)/VLOOKUP(B3203,'Poids des runes'!A:B,2,FALSE))</f>
        <v>5.55</v>
      </c>
      <c r="F3203">
        <f t="shared" ref="F3203:F3266" si="50">E3203</f>
        <v>5.55</v>
      </c>
    </row>
    <row r="3204" spans="1:6" x14ac:dyDescent="0.3">
      <c r="A3204" t="s">
        <v>839</v>
      </c>
      <c r="B3204" t="s">
        <v>2128</v>
      </c>
      <c r="C3204">
        <v>50.5</v>
      </c>
      <c r="D3204">
        <v>101</v>
      </c>
      <c r="E3204">
        <f>IF(OR(B3204="vi",B3204="ii",B3204="pod"),(((D3204/100)*(C3204*VLOOKUP(B3204,'Poids des runes'!A:B,2,FALSE)))+1),(((D3204/100)*(C3204*VLOOKUP(B3204,'Poids des runes'!A:B,2,FALSE)))+1)/VLOOKUP(B3204,'Poids des runes'!A:B,2,FALSE))</f>
        <v>11.201000000000002</v>
      </c>
      <c r="F3204">
        <f t="shared" si="50"/>
        <v>11.201000000000002</v>
      </c>
    </row>
    <row r="3205" spans="1:6" x14ac:dyDescent="0.3">
      <c r="A3205" t="s">
        <v>839</v>
      </c>
      <c r="B3205" t="s">
        <v>2130</v>
      </c>
      <c r="C3205">
        <v>25.5</v>
      </c>
      <c r="D3205">
        <v>101</v>
      </c>
      <c r="E3205">
        <f>IF(OR(B3205="vi",B3205="ii",B3205="pod"),(((D3205/100)*(C3205*VLOOKUP(B3205,'Poids des runes'!A:B,2,FALSE)))+1),(((D3205/100)*(C3205*VLOOKUP(B3205,'Poids des runes'!A:B,2,FALSE)))+1)/VLOOKUP(B3205,'Poids des runes'!A:B,2,FALSE))</f>
        <v>26.754999999999999</v>
      </c>
      <c r="F3205">
        <f t="shared" si="50"/>
        <v>26.754999999999999</v>
      </c>
    </row>
    <row r="3206" spans="1:6" x14ac:dyDescent="0.3">
      <c r="A3206" t="s">
        <v>839</v>
      </c>
      <c r="B3206" t="s">
        <v>2126</v>
      </c>
      <c r="C3206">
        <v>25.5</v>
      </c>
      <c r="D3206">
        <v>101</v>
      </c>
      <c r="E3206">
        <f>IF(OR(B3206="vi",B3206="ii",B3206="pod"),(((D3206/100)*(C3206*VLOOKUP(B3206,'Poids des runes'!A:B,2,FALSE)))+1),(((D3206/100)*(C3206*VLOOKUP(B3206,'Poids des runes'!A:B,2,FALSE)))+1)/VLOOKUP(B3206,'Poids des runes'!A:B,2,FALSE))</f>
        <v>26.754999999999999</v>
      </c>
      <c r="F3206">
        <f t="shared" si="50"/>
        <v>26.754999999999999</v>
      </c>
    </row>
    <row r="3207" spans="1:6" x14ac:dyDescent="0.3">
      <c r="A3207" t="s">
        <v>839</v>
      </c>
      <c r="B3207" t="s">
        <v>2129</v>
      </c>
      <c r="C3207">
        <v>18</v>
      </c>
      <c r="D3207">
        <v>101</v>
      </c>
      <c r="E3207">
        <f>IF(OR(B3207="vi",B3207="ii",B3207="pod"),(((D3207/100)*(C3207*VLOOKUP(B3207,'Poids des runes'!A:B,2,FALSE)))+1),(((D3207/100)*(C3207*VLOOKUP(B3207,'Poids des runes'!A:B,2,FALSE)))+1)/VLOOKUP(B3207,'Poids des runes'!A:B,2,FALSE))</f>
        <v>19.18</v>
      </c>
      <c r="F3207">
        <f t="shared" si="50"/>
        <v>19.18</v>
      </c>
    </row>
    <row r="3208" spans="1:6" x14ac:dyDescent="0.3">
      <c r="A3208" t="s">
        <v>839</v>
      </c>
      <c r="B3208" t="s">
        <v>2152</v>
      </c>
      <c r="C3208">
        <v>1</v>
      </c>
      <c r="D3208">
        <v>101</v>
      </c>
      <c r="E3208">
        <f>IF(OR(B3208="vi",B3208="ii",B3208="pod"),(((D3208/100)*(C3208*VLOOKUP(B3208,'Poids des runes'!A:B,2,FALSE)))+1),(((D3208/100)*(C3208*VLOOKUP(B3208,'Poids des runes'!A:B,2,FALSE)))+1)/VLOOKUP(B3208,'Poids des runes'!A:B,2,FALSE))</f>
        <v>1.02</v>
      </c>
      <c r="F3208">
        <f t="shared" si="50"/>
        <v>1.02</v>
      </c>
    </row>
    <row r="3209" spans="1:6" x14ac:dyDescent="0.3">
      <c r="A3209" t="s">
        <v>839</v>
      </c>
      <c r="B3209" t="s">
        <v>2143</v>
      </c>
      <c r="C3209">
        <v>4.5</v>
      </c>
      <c r="D3209">
        <v>101</v>
      </c>
      <c r="E3209">
        <f>IF(OR(B3209="vi",B3209="ii",B3209="pod"),(((D3209/100)*(C3209*VLOOKUP(B3209,'Poids des runes'!A:B,2,FALSE)))+1),(((D3209/100)*(C3209*VLOOKUP(B3209,'Poids des runes'!A:B,2,FALSE)))+1)/VLOOKUP(B3209,'Poids des runes'!A:B,2,FALSE))</f>
        <v>4.7450000000000001</v>
      </c>
      <c r="F3209">
        <f t="shared" si="50"/>
        <v>4.7450000000000001</v>
      </c>
    </row>
    <row r="3210" spans="1:6" x14ac:dyDescent="0.3">
      <c r="A3210" t="s">
        <v>839</v>
      </c>
      <c r="B3210" t="s">
        <v>2140</v>
      </c>
      <c r="C3210">
        <v>4.5</v>
      </c>
      <c r="D3210">
        <v>101</v>
      </c>
      <c r="E3210">
        <f>IF(OR(B3210="vi",B3210="ii",B3210="pod"),(((D3210/100)*(C3210*VLOOKUP(B3210,'Poids des runes'!A:B,2,FALSE)))+1),(((D3210/100)*(C3210*VLOOKUP(B3210,'Poids des runes'!A:B,2,FALSE)))+1)/VLOOKUP(B3210,'Poids des runes'!A:B,2,FALSE))</f>
        <v>4.7450000000000001</v>
      </c>
      <c r="F3210">
        <f t="shared" si="50"/>
        <v>4.7450000000000001</v>
      </c>
    </row>
    <row r="3211" spans="1:6" x14ac:dyDescent="0.3">
      <c r="A3211" t="s">
        <v>839</v>
      </c>
      <c r="B3211" t="s">
        <v>2161</v>
      </c>
      <c r="C3211">
        <v>8.5</v>
      </c>
      <c r="D3211">
        <v>101</v>
      </c>
      <c r="E3211">
        <f>IF(OR(B3211="vi",B3211="ii",B3211="pod"),(((D3211/100)*(C3211*VLOOKUP(B3211,'Poids des runes'!A:B,2,FALSE)))+1),(((D3211/100)*(C3211*VLOOKUP(B3211,'Poids des runes'!A:B,2,FALSE)))+1)/VLOOKUP(B3211,'Poids des runes'!A:B,2,FALSE))</f>
        <v>8.918333333333333</v>
      </c>
      <c r="F3211">
        <f t="shared" si="50"/>
        <v>8.918333333333333</v>
      </c>
    </row>
    <row r="3212" spans="1:6" x14ac:dyDescent="0.3">
      <c r="A3212" t="s">
        <v>839</v>
      </c>
      <c r="B3212" t="s">
        <v>2132</v>
      </c>
      <c r="C3212">
        <v>125.5</v>
      </c>
      <c r="D3212">
        <v>101</v>
      </c>
      <c r="E3212">
        <f>IF(OR(B3212="vi",B3212="ii",B3212="pod"),(((D3212/100)*(C3212*VLOOKUP(B3212,'Poids des runes'!A:B,2,FALSE)))+1),(((D3212/100)*(C3212*VLOOKUP(B3212,'Poids des runes'!A:B,2,FALSE)))+1)/VLOOKUP(B3212,'Poids des runes'!A:B,2,FALSE))</f>
        <v>13.675500000000001</v>
      </c>
      <c r="F3212">
        <f t="shared" si="50"/>
        <v>13.675500000000001</v>
      </c>
    </row>
    <row r="3213" spans="1:6" x14ac:dyDescent="0.3">
      <c r="A3213" t="s">
        <v>839</v>
      </c>
      <c r="B3213" t="s">
        <v>2138</v>
      </c>
      <c r="C3213">
        <v>3.5</v>
      </c>
      <c r="D3213">
        <v>101</v>
      </c>
      <c r="E3213">
        <f>IF(OR(B3213="vi",B3213="ii",B3213="pod"),(((D3213/100)*(C3213*VLOOKUP(B3213,'Poids des runes'!A:B,2,FALSE)))+1),(((D3213/100)*(C3213*VLOOKUP(B3213,'Poids des runes'!A:B,2,FALSE)))+1)/VLOOKUP(B3213,'Poids des runes'!A:B,2,FALSE))</f>
        <v>3.7850000000000001</v>
      </c>
      <c r="F3213">
        <f t="shared" si="50"/>
        <v>3.7850000000000001</v>
      </c>
    </row>
    <row r="3214" spans="1:6" x14ac:dyDescent="0.3">
      <c r="A3214" t="s">
        <v>839</v>
      </c>
      <c r="B3214" t="s">
        <v>2160</v>
      </c>
      <c r="C3214">
        <v>2.5</v>
      </c>
      <c r="D3214">
        <v>101</v>
      </c>
      <c r="E3214">
        <f>IF(OR(B3214="vi",B3214="ii",B3214="pod"),(((D3214/100)*(C3214*VLOOKUP(B3214,'Poids des runes'!A:B,2,FALSE)))+1),(((D3214/100)*(C3214*VLOOKUP(B3214,'Poids des runes'!A:B,2,FALSE)))+1)/VLOOKUP(B3214,'Poids des runes'!A:B,2,FALSE))</f>
        <v>2.6678571428571431</v>
      </c>
      <c r="F3214">
        <f t="shared" si="50"/>
        <v>2.6678571428571431</v>
      </c>
    </row>
    <row r="3215" spans="1:6" x14ac:dyDescent="0.3">
      <c r="A3215" t="s">
        <v>839</v>
      </c>
      <c r="B3215" t="s">
        <v>2142</v>
      </c>
      <c r="C3215">
        <v>7</v>
      </c>
      <c r="D3215">
        <v>101</v>
      </c>
      <c r="E3215">
        <f>IF(OR(B3215="vi",B3215="ii",B3215="pod"),(((D3215/100)*(C3215*VLOOKUP(B3215,'Poids des runes'!A:B,2,FALSE)))+1),(((D3215/100)*(C3215*VLOOKUP(B3215,'Poids des runes'!A:B,2,FALSE)))+1)/VLOOKUP(B3215,'Poids des runes'!A:B,2,FALSE))</f>
        <v>7.2700000000000005</v>
      </c>
      <c r="F3215">
        <f t="shared" si="50"/>
        <v>7.2700000000000005</v>
      </c>
    </row>
    <row r="3216" spans="1:6" x14ac:dyDescent="0.3">
      <c r="A3216" t="s">
        <v>840</v>
      </c>
      <c r="B3216" t="s">
        <v>2128</v>
      </c>
      <c r="C3216">
        <v>100.5</v>
      </c>
      <c r="D3216">
        <v>101</v>
      </c>
      <c r="E3216">
        <f>IF(OR(B3216="vi",B3216="ii",B3216="pod"),(((D3216/100)*(C3216*VLOOKUP(B3216,'Poids des runes'!A:B,2,FALSE)))+1),(((D3216/100)*(C3216*VLOOKUP(B3216,'Poids des runes'!A:B,2,FALSE)))+1)/VLOOKUP(B3216,'Poids des runes'!A:B,2,FALSE))</f>
        <v>21.301000000000002</v>
      </c>
      <c r="F3216">
        <f t="shared" si="50"/>
        <v>21.301000000000002</v>
      </c>
    </row>
    <row r="3217" spans="1:6" x14ac:dyDescent="0.3">
      <c r="A3217" t="s">
        <v>840</v>
      </c>
      <c r="B3217" t="s">
        <v>2127</v>
      </c>
      <c r="C3217">
        <v>28</v>
      </c>
      <c r="D3217">
        <v>101</v>
      </c>
      <c r="E3217">
        <f>IF(OR(B3217="vi",B3217="ii",B3217="pod"),(((D3217/100)*(C3217*VLOOKUP(B3217,'Poids des runes'!A:B,2,FALSE)))+1),(((D3217/100)*(C3217*VLOOKUP(B3217,'Poids des runes'!A:B,2,FALSE)))+1)/VLOOKUP(B3217,'Poids des runes'!A:B,2,FALSE))</f>
        <v>29.28</v>
      </c>
      <c r="F3217">
        <f t="shared" si="50"/>
        <v>29.28</v>
      </c>
    </row>
    <row r="3218" spans="1:6" x14ac:dyDescent="0.3">
      <c r="A3218" t="s">
        <v>840</v>
      </c>
      <c r="B3218" t="s">
        <v>2129</v>
      </c>
      <c r="C3218">
        <v>25.5</v>
      </c>
      <c r="D3218">
        <v>101</v>
      </c>
      <c r="E3218">
        <f>IF(OR(B3218="vi",B3218="ii",B3218="pod"),(((D3218/100)*(C3218*VLOOKUP(B3218,'Poids des runes'!A:B,2,FALSE)))+1),(((D3218/100)*(C3218*VLOOKUP(B3218,'Poids des runes'!A:B,2,FALSE)))+1)/VLOOKUP(B3218,'Poids des runes'!A:B,2,FALSE))</f>
        <v>26.754999999999999</v>
      </c>
      <c r="F3218">
        <f t="shared" si="50"/>
        <v>26.754999999999999</v>
      </c>
    </row>
    <row r="3219" spans="1:6" x14ac:dyDescent="0.3">
      <c r="A3219" t="s">
        <v>840</v>
      </c>
      <c r="B3219" t="s">
        <v>2151</v>
      </c>
      <c r="C3219">
        <v>2.5</v>
      </c>
      <c r="D3219">
        <v>101</v>
      </c>
      <c r="E3219">
        <f>IF(OR(B3219="vi",B3219="ii",B3219="pod"),(((D3219/100)*(C3219*VLOOKUP(B3219,'Poids des runes'!A:B,2,FALSE)))+1),(((D3219/100)*(C3219*VLOOKUP(B3219,'Poids des runes'!A:B,2,FALSE)))+1)/VLOOKUP(B3219,'Poids des runes'!A:B,2,FALSE))</f>
        <v>2.625</v>
      </c>
      <c r="F3219">
        <f t="shared" si="50"/>
        <v>2.625</v>
      </c>
    </row>
    <row r="3220" spans="1:6" x14ac:dyDescent="0.3">
      <c r="A3220" t="s">
        <v>840</v>
      </c>
      <c r="B3220" t="s">
        <v>2154</v>
      </c>
      <c r="C3220">
        <v>1</v>
      </c>
      <c r="D3220">
        <v>101</v>
      </c>
      <c r="E3220">
        <f>IF(OR(B3220="vi",B3220="ii",B3220="pod"),(((D3220/100)*(C3220*VLOOKUP(B3220,'Poids des runes'!A:B,2,FALSE)))+1),(((D3220/100)*(C3220*VLOOKUP(B3220,'Poids des runes'!A:B,2,FALSE)))+1)/VLOOKUP(B3220,'Poids des runes'!A:B,2,FALSE))</f>
        <v>1.0211111111111111</v>
      </c>
      <c r="F3220">
        <f t="shared" si="50"/>
        <v>1.0211111111111111</v>
      </c>
    </row>
    <row r="3221" spans="1:6" x14ac:dyDescent="0.3">
      <c r="A3221" t="s">
        <v>840</v>
      </c>
      <c r="B3221" t="s">
        <v>2153</v>
      </c>
      <c r="C3221">
        <v>1.5</v>
      </c>
      <c r="D3221">
        <v>101</v>
      </c>
      <c r="E3221">
        <f>IF(OR(B3221="vi",B3221="ii",B3221="pod"),(((D3221/100)*(C3221*VLOOKUP(B3221,'Poids des runes'!A:B,2,FALSE)))+1),(((D3221/100)*(C3221*VLOOKUP(B3221,'Poids des runes'!A:B,2,FALSE)))+1)/VLOOKUP(B3221,'Poids des runes'!A:B,2,FALSE))</f>
        <v>1.7149999999999999</v>
      </c>
      <c r="F3221">
        <f t="shared" si="50"/>
        <v>1.7149999999999999</v>
      </c>
    </row>
    <row r="3222" spans="1:6" x14ac:dyDescent="0.3">
      <c r="A3222" t="s">
        <v>840</v>
      </c>
      <c r="B3222" t="s">
        <v>2147</v>
      </c>
      <c r="C3222">
        <v>3.5</v>
      </c>
      <c r="D3222">
        <v>101</v>
      </c>
      <c r="E3222">
        <f>IF(OR(B3222="vi",B3222="ii",B3222="pod"),(((D3222/100)*(C3222*VLOOKUP(B3222,'Poids des runes'!A:B,2,FALSE)))+1),(((D3222/100)*(C3222*VLOOKUP(B3222,'Poids des runes'!A:B,2,FALSE)))+1)/VLOOKUP(B3222,'Poids des runes'!A:B,2,FALSE))</f>
        <v>3.7016666666666667</v>
      </c>
      <c r="F3222">
        <f t="shared" si="50"/>
        <v>3.7016666666666667</v>
      </c>
    </row>
    <row r="3223" spans="1:6" x14ac:dyDescent="0.3">
      <c r="A3223" t="s">
        <v>841</v>
      </c>
      <c r="B3223" t="s">
        <v>2128</v>
      </c>
      <c r="C3223">
        <v>35.5</v>
      </c>
      <c r="D3223">
        <v>101</v>
      </c>
      <c r="E3223">
        <f>IF(OR(B3223="vi",B3223="ii",B3223="pod"),(((D3223/100)*(C3223*VLOOKUP(B3223,'Poids des runes'!A:B,2,FALSE)))+1),(((D3223/100)*(C3223*VLOOKUP(B3223,'Poids des runes'!A:B,2,FALSE)))+1)/VLOOKUP(B3223,'Poids des runes'!A:B,2,FALSE))</f>
        <v>8.1709999999999994</v>
      </c>
      <c r="F3223">
        <f t="shared" si="50"/>
        <v>8.1709999999999994</v>
      </c>
    </row>
    <row r="3224" spans="1:6" x14ac:dyDescent="0.3">
      <c r="A3224" t="s">
        <v>841</v>
      </c>
      <c r="B3224" t="s">
        <v>2130</v>
      </c>
      <c r="C3224">
        <v>15.5</v>
      </c>
      <c r="D3224">
        <v>101</v>
      </c>
      <c r="E3224">
        <f>IF(OR(B3224="vi",B3224="ii",B3224="pod"),(((D3224/100)*(C3224*VLOOKUP(B3224,'Poids des runes'!A:B,2,FALSE)))+1),(((D3224/100)*(C3224*VLOOKUP(B3224,'Poids des runes'!A:B,2,FALSE)))+1)/VLOOKUP(B3224,'Poids des runes'!A:B,2,FALSE))</f>
        <v>16.655000000000001</v>
      </c>
      <c r="F3224">
        <f t="shared" si="50"/>
        <v>16.655000000000001</v>
      </c>
    </row>
    <row r="3225" spans="1:6" x14ac:dyDescent="0.3">
      <c r="A3225" t="s">
        <v>841</v>
      </c>
      <c r="B3225" t="s">
        <v>2127</v>
      </c>
      <c r="C3225">
        <v>25.5</v>
      </c>
      <c r="D3225">
        <v>101</v>
      </c>
      <c r="E3225">
        <f>IF(OR(B3225="vi",B3225="ii",B3225="pod"),(((D3225/100)*(C3225*VLOOKUP(B3225,'Poids des runes'!A:B,2,FALSE)))+1),(((D3225/100)*(C3225*VLOOKUP(B3225,'Poids des runes'!A:B,2,FALSE)))+1)/VLOOKUP(B3225,'Poids des runes'!A:B,2,FALSE))</f>
        <v>26.754999999999999</v>
      </c>
      <c r="F3225">
        <f t="shared" si="50"/>
        <v>26.754999999999999</v>
      </c>
    </row>
    <row r="3226" spans="1:6" x14ac:dyDescent="0.3">
      <c r="A3226" t="s">
        <v>841</v>
      </c>
      <c r="B3226" t="s">
        <v>2129</v>
      </c>
      <c r="C3226">
        <v>15.5</v>
      </c>
      <c r="D3226">
        <v>101</v>
      </c>
      <c r="E3226">
        <f>IF(OR(B3226="vi",B3226="ii",B3226="pod"),(((D3226/100)*(C3226*VLOOKUP(B3226,'Poids des runes'!A:B,2,FALSE)))+1),(((D3226/100)*(C3226*VLOOKUP(B3226,'Poids des runes'!A:B,2,FALSE)))+1)/VLOOKUP(B3226,'Poids des runes'!A:B,2,FALSE))</f>
        <v>16.655000000000001</v>
      </c>
      <c r="F3226">
        <f t="shared" si="50"/>
        <v>16.655000000000001</v>
      </c>
    </row>
    <row r="3227" spans="1:6" x14ac:dyDescent="0.3">
      <c r="A3227" t="s">
        <v>841</v>
      </c>
      <c r="B3227" t="s">
        <v>2134</v>
      </c>
      <c r="C3227">
        <v>3.5</v>
      </c>
      <c r="D3227">
        <v>101</v>
      </c>
      <c r="E3227">
        <f>IF(OR(B3227="vi",B3227="ii",B3227="pod"),(((D3227/100)*(C3227*VLOOKUP(B3227,'Poids des runes'!A:B,2,FALSE)))+1),(((D3227/100)*(C3227*VLOOKUP(B3227,'Poids des runes'!A:B,2,FALSE)))+1)/VLOOKUP(B3227,'Poids des runes'!A:B,2,FALSE))</f>
        <v>3.585</v>
      </c>
      <c r="F3227">
        <f t="shared" si="50"/>
        <v>3.585</v>
      </c>
    </row>
    <row r="3228" spans="1:6" x14ac:dyDescent="0.3">
      <c r="A3228" t="s">
        <v>841</v>
      </c>
      <c r="B3228" t="s">
        <v>2136</v>
      </c>
      <c r="C3228">
        <v>5</v>
      </c>
      <c r="D3228">
        <v>101</v>
      </c>
      <c r="E3228">
        <f>IF(OR(B3228="vi",B3228="ii",B3228="pod"),(((D3228/100)*(C3228*VLOOKUP(B3228,'Poids des runes'!A:B,2,FALSE)))+1),(((D3228/100)*(C3228*VLOOKUP(B3228,'Poids des runes'!A:B,2,FALSE)))+1)/VLOOKUP(B3228,'Poids des runes'!A:B,2,FALSE))</f>
        <v>5.55</v>
      </c>
      <c r="F3228">
        <f t="shared" si="50"/>
        <v>5.55</v>
      </c>
    </row>
    <row r="3229" spans="1:6" x14ac:dyDescent="0.3">
      <c r="A3229" t="s">
        <v>841</v>
      </c>
      <c r="B3229" t="s">
        <v>2137</v>
      </c>
      <c r="C3229">
        <v>5</v>
      </c>
      <c r="D3229">
        <v>101</v>
      </c>
      <c r="E3229">
        <f>IF(OR(B3229="vi",B3229="ii",B3229="pod"),(((D3229/100)*(C3229*VLOOKUP(B3229,'Poids des runes'!A:B,2,FALSE)))+1),(((D3229/100)*(C3229*VLOOKUP(B3229,'Poids des runes'!A:B,2,FALSE)))+1)/VLOOKUP(B3229,'Poids des runes'!A:B,2,FALSE))</f>
        <v>5.55</v>
      </c>
      <c r="F3229">
        <f t="shared" si="50"/>
        <v>5.55</v>
      </c>
    </row>
    <row r="3230" spans="1:6" x14ac:dyDescent="0.3">
      <c r="A3230" t="s">
        <v>841</v>
      </c>
      <c r="B3230" t="s">
        <v>2144</v>
      </c>
      <c r="C3230">
        <v>5</v>
      </c>
      <c r="D3230">
        <v>101</v>
      </c>
      <c r="E3230">
        <f>IF(OR(B3230="vi",B3230="ii",B3230="pod"),(((D3230/100)*(C3230*VLOOKUP(B3230,'Poids des runes'!A:B,2,FALSE)))+1),(((D3230/100)*(C3230*VLOOKUP(B3230,'Poids des runes'!A:B,2,FALSE)))+1)/VLOOKUP(B3230,'Poids des runes'!A:B,2,FALSE))</f>
        <v>5.55</v>
      </c>
      <c r="F3230">
        <f t="shared" si="50"/>
        <v>5.55</v>
      </c>
    </row>
    <row r="3231" spans="1:6" x14ac:dyDescent="0.3">
      <c r="A3231" t="s">
        <v>841</v>
      </c>
      <c r="B3231" t="s">
        <v>2145</v>
      </c>
      <c r="C3231">
        <v>5</v>
      </c>
      <c r="D3231">
        <v>101</v>
      </c>
      <c r="E3231">
        <f>IF(OR(B3231="vi",B3231="ii",B3231="pod"),(((D3231/100)*(C3231*VLOOKUP(B3231,'Poids des runes'!A:B,2,FALSE)))+1),(((D3231/100)*(C3231*VLOOKUP(B3231,'Poids des runes'!A:B,2,FALSE)))+1)/VLOOKUP(B3231,'Poids des runes'!A:B,2,FALSE))</f>
        <v>5.55</v>
      </c>
      <c r="F3231">
        <f t="shared" si="50"/>
        <v>5.55</v>
      </c>
    </row>
    <row r="3232" spans="1:6" x14ac:dyDescent="0.3">
      <c r="A3232" t="s">
        <v>841</v>
      </c>
      <c r="B3232" t="s">
        <v>2146</v>
      </c>
      <c r="C3232">
        <v>5</v>
      </c>
      <c r="D3232">
        <v>101</v>
      </c>
      <c r="E3232">
        <f>IF(OR(B3232="vi",B3232="ii",B3232="pod"),(((D3232/100)*(C3232*VLOOKUP(B3232,'Poids des runes'!A:B,2,FALSE)))+1),(((D3232/100)*(C3232*VLOOKUP(B3232,'Poids des runes'!A:B,2,FALSE)))+1)/VLOOKUP(B3232,'Poids des runes'!A:B,2,FALSE))</f>
        <v>5.55</v>
      </c>
      <c r="F3232">
        <f t="shared" si="50"/>
        <v>5.55</v>
      </c>
    </row>
    <row r="3233" spans="1:6" x14ac:dyDescent="0.3">
      <c r="A3233" t="s">
        <v>842</v>
      </c>
      <c r="B3233" t="s">
        <v>2128</v>
      </c>
      <c r="C3233">
        <v>70.5</v>
      </c>
      <c r="D3233">
        <v>101</v>
      </c>
      <c r="E3233">
        <f>IF(OR(B3233="vi",B3233="ii",B3233="pod"),(((D3233/100)*(C3233*VLOOKUP(B3233,'Poids des runes'!A:B,2,FALSE)))+1),(((D3233/100)*(C3233*VLOOKUP(B3233,'Poids des runes'!A:B,2,FALSE)))+1)/VLOOKUP(B3233,'Poids des runes'!A:B,2,FALSE))</f>
        <v>15.241000000000001</v>
      </c>
      <c r="F3233">
        <f t="shared" si="50"/>
        <v>15.241000000000001</v>
      </c>
    </row>
    <row r="3234" spans="1:6" x14ac:dyDescent="0.3">
      <c r="A3234" t="s">
        <v>842</v>
      </c>
      <c r="B3234" t="s">
        <v>2127</v>
      </c>
      <c r="C3234">
        <v>38</v>
      </c>
      <c r="D3234">
        <v>101</v>
      </c>
      <c r="E3234">
        <f>IF(OR(B3234="vi",B3234="ii",B3234="pod"),(((D3234/100)*(C3234*VLOOKUP(B3234,'Poids des runes'!A:B,2,FALSE)))+1),(((D3234/100)*(C3234*VLOOKUP(B3234,'Poids des runes'!A:B,2,FALSE)))+1)/VLOOKUP(B3234,'Poids des runes'!A:B,2,FALSE))</f>
        <v>39.380000000000003</v>
      </c>
      <c r="F3234">
        <f t="shared" si="50"/>
        <v>39.380000000000003</v>
      </c>
    </row>
    <row r="3235" spans="1:6" x14ac:dyDescent="0.3">
      <c r="A3235" t="s">
        <v>842</v>
      </c>
      <c r="B3235" t="s">
        <v>2129</v>
      </c>
      <c r="C3235">
        <v>13</v>
      </c>
      <c r="D3235">
        <v>101</v>
      </c>
      <c r="E3235">
        <f>IF(OR(B3235="vi",B3235="ii",B3235="pod"),(((D3235/100)*(C3235*VLOOKUP(B3235,'Poids des runes'!A:B,2,FALSE)))+1),(((D3235/100)*(C3235*VLOOKUP(B3235,'Poids des runes'!A:B,2,FALSE)))+1)/VLOOKUP(B3235,'Poids des runes'!A:B,2,FALSE))</f>
        <v>14.13</v>
      </c>
      <c r="F3235">
        <f t="shared" si="50"/>
        <v>14.13</v>
      </c>
    </row>
    <row r="3236" spans="1:6" x14ac:dyDescent="0.3">
      <c r="A3236" t="s">
        <v>842</v>
      </c>
      <c r="B3236" t="s">
        <v>2151</v>
      </c>
      <c r="C3236">
        <v>3.5</v>
      </c>
      <c r="D3236">
        <v>101</v>
      </c>
      <c r="E3236">
        <f>IF(OR(B3236="vi",B3236="ii",B3236="pod"),(((D3236/100)*(C3236*VLOOKUP(B3236,'Poids des runes'!A:B,2,FALSE)))+1),(((D3236/100)*(C3236*VLOOKUP(B3236,'Poids des runes'!A:B,2,FALSE)))+1)/VLOOKUP(B3236,'Poids des runes'!A:B,2,FALSE))</f>
        <v>3.6350000000000002</v>
      </c>
      <c r="F3236">
        <f t="shared" si="50"/>
        <v>3.6350000000000002</v>
      </c>
    </row>
    <row r="3237" spans="1:6" x14ac:dyDescent="0.3">
      <c r="A3237" t="s">
        <v>842</v>
      </c>
      <c r="B3237" t="s">
        <v>2155</v>
      </c>
      <c r="C3237">
        <v>1</v>
      </c>
      <c r="D3237">
        <v>101</v>
      </c>
      <c r="E3237">
        <f>IF(OR(B3237="vi",B3237="ii",B3237="pod"),(((D3237/100)*(C3237*VLOOKUP(B3237,'Poids des runes'!A:B,2,FALSE)))+1),(((D3237/100)*(C3237*VLOOKUP(B3237,'Poids des runes'!A:B,2,FALSE)))+1)/VLOOKUP(B3237,'Poids des runes'!A:B,2,FALSE))</f>
        <v>1.0296078431372548</v>
      </c>
      <c r="F3237">
        <f t="shared" si="50"/>
        <v>1.0296078431372548</v>
      </c>
    </row>
    <row r="3238" spans="1:6" x14ac:dyDescent="0.3">
      <c r="A3238" t="s">
        <v>842</v>
      </c>
      <c r="B3238" t="s">
        <v>2132</v>
      </c>
      <c r="C3238">
        <v>150.5</v>
      </c>
      <c r="D3238">
        <v>101</v>
      </c>
      <c r="E3238">
        <f>IF(OR(B3238="vi",B3238="ii",B3238="pod"),(((D3238/100)*(C3238*VLOOKUP(B3238,'Poids des runes'!A:B,2,FALSE)))+1),(((D3238/100)*(C3238*VLOOKUP(B3238,'Poids des runes'!A:B,2,FALSE)))+1)/VLOOKUP(B3238,'Poids des runes'!A:B,2,FALSE))</f>
        <v>16.200500000000002</v>
      </c>
      <c r="F3238">
        <f t="shared" si="50"/>
        <v>16.200500000000002</v>
      </c>
    </row>
    <row r="3239" spans="1:6" x14ac:dyDescent="0.3">
      <c r="A3239" t="s">
        <v>842</v>
      </c>
      <c r="B3239" t="s">
        <v>2158</v>
      </c>
      <c r="C3239">
        <v>3.5</v>
      </c>
      <c r="D3239">
        <v>101</v>
      </c>
      <c r="E3239">
        <f>IF(OR(B3239="vi",B3239="ii",B3239="pod"),(((D3239/100)*(C3239*VLOOKUP(B3239,'Poids des runes'!A:B,2,FALSE)))+1),(((D3239/100)*(C3239*VLOOKUP(B3239,'Poids des runes'!A:B,2,FALSE)))+1)/VLOOKUP(B3239,'Poids des runes'!A:B,2,FALSE))</f>
        <v>3.7350000000000003</v>
      </c>
      <c r="F3239">
        <f t="shared" si="50"/>
        <v>3.7350000000000003</v>
      </c>
    </row>
    <row r="3240" spans="1:6" x14ac:dyDescent="0.3">
      <c r="A3240" t="s">
        <v>842</v>
      </c>
      <c r="B3240" t="s">
        <v>2142</v>
      </c>
      <c r="C3240">
        <v>8.5</v>
      </c>
      <c r="D3240">
        <v>101</v>
      </c>
      <c r="E3240">
        <f>IF(OR(B3240="vi",B3240="ii",B3240="pod"),(((D3240/100)*(C3240*VLOOKUP(B3240,'Poids des runes'!A:B,2,FALSE)))+1),(((D3240/100)*(C3240*VLOOKUP(B3240,'Poids des runes'!A:B,2,FALSE)))+1)/VLOOKUP(B3240,'Poids des runes'!A:B,2,FALSE))</f>
        <v>8.7850000000000001</v>
      </c>
      <c r="F3240">
        <f t="shared" si="50"/>
        <v>8.7850000000000001</v>
      </c>
    </row>
    <row r="3241" spans="1:6" x14ac:dyDescent="0.3">
      <c r="A3241" t="s">
        <v>842</v>
      </c>
      <c r="B3241" t="s">
        <v>2156</v>
      </c>
      <c r="C3241">
        <v>5</v>
      </c>
      <c r="D3241">
        <v>101</v>
      </c>
      <c r="E3241">
        <f>IF(OR(B3241="vi",B3241="ii",B3241="pod"),(((D3241/100)*(C3241*VLOOKUP(B3241,'Poids des runes'!A:B,2,FALSE)))+1),(((D3241/100)*(C3241*VLOOKUP(B3241,'Poids des runes'!A:B,2,FALSE)))+1)/VLOOKUP(B3241,'Poids des runes'!A:B,2,FALSE))</f>
        <v>5.2166666666666668</v>
      </c>
      <c r="F3241">
        <f t="shared" si="50"/>
        <v>5.2166666666666668</v>
      </c>
    </row>
    <row r="3242" spans="1:6" x14ac:dyDescent="0.3">
      <c r="A3242" t="s">
        <v>843</v>
      </c>
      <c r="B3242" t="s">
        <v>2128</v>
      </c>
      <c r="C3242">
        <v>60.5</v>
      </c>
      <c r="D3242">
        <v>101</v>
      </c>
      <c r="E3242">
        <f>IF(OR(B3242="vi",B3242="ii",B3242="pod"),(((D3242/100)*(C3242*VLOOKUP(B3242,'Poids des runes'!A:B,2,FALSE)))+1),(((D3242/100)*(C3242*VLOOKUP(B3242,'Poids des runes'!A:B,2,FALSE)))+1)/VLOOKUP(B3242,'Poids des runes'!A:B,2,FALSE))</f>
        <v>13.221000000000002</v>
      </c>
      <c r="F3242">
        <f t="shared" si="50"/>
        <v>13.221000000000002</v>
      </c>
    </row>
    <row r="3243" spans="1:6" x14ac:dyDescent="0.3">
      <c r="A3243" t="s">
        <v>843</v>
      </c>
      <c r="B3243" t="s">
        <v>2130</v>
      </c>
      <c r="C3243">
        <v>20.5</v>
      </c>
      <c r="D3243">
        <v>101</v>
      </c>
      <c r="E3243">
        <f>IF(OR(B3243="vi",B3243="ii",B3243="pod"),(((D3243/100)*(C3243*VLOOKUP(B3243,'Poids des runes'!A:B,2,FALSE)))+1),(((D3243/100)*(C3243*VLOOKUP(B3243,'Poids des runes'!A:B,2,FALSE)))+1)/VLOOKUP(B3243,'Poids des runes'!A:B,2,FALSE))</f>
        <v>21.705000000000002</v>
      </c>
      <c r="F3243">
        <f t="shared" si="50"/>
        <v>21.705000000000002</v>
      </c>
    </row>
    <row r="3244" spans="1:6" x14ac:dyDescent="0.3">
      <c r="A3244" t="s">
        <v>843</v>
      </c>
      <c r="B3244" t="s">
        <v>2127</v>
      </c>
      <c r="C3244">
        <v>20.5</v>
      </c>
      <c r="D3244">
        <v>101</v>
      </c>
      <c r="E3244">
        <f>IF(OR(B3244="vi",B3244="ii",B3244="pod"),(((D3244/100)*(C3244*VLOOKUP(B3244,'Poids des runes'!A:B,2,FALSE)))+1),(((D3244/100)*(C3244*VLOOKUP(B3244,'Poids des runes'!A:B,2,FALSE)))+1)/VLOOKUP(B3244,'Poids des runes'!A:B,2,FALSE))</f>
        <v>21.705000000000002</v>
      </c>
      <c r="F3244">
        <f t="shared" si="50"/>
        <v>21.705000000000002</v>
      </c>
    </row>
    <row r="3245" spans="1:6" x14ac:dyDescent="0.3">
      <c r="A3245" t="s">
        <v>843</v>
      </c>
      <c r="B3245" t="s">
        <v>2129</v>
      </c>
      <c r="C3245">
        <v>20.5</v>
      </c>
      <c r="D3245">
        <v>101</v>
      </c>
      <c r="E3245">
        <f>IF(OR(B3245="vi",B3245="ii",B3245="pod"),(((D3245/100)*(C3245*VLOOKUP(B3245,'Poids des runes'!A:B,2,FALSE)))+1),(((D3245/100)*(C3245*VLOOKUP(B3245,'Poids des runes'!A:B,2,FALSE)))+1)/VLOOKUP(B3245,'Poids des runes'!A:B,2,FALSE))</f>
        <v>21.705000000000002</v>
      </c>
      <c r="F3245">
        <f t="shared" si="50"/>
        <v>21.705000000000002</v>
      </c>
    </row>
    <row r="3246" spans="1:6" x14ac:dyDescent="0.3">
      <c r="A3246" t="s">
        <v>843</v>
      </c>
      <c r="B3246" t="s">
        <v>2152</v>
      </c>
      <c r="C3246">
        <v>1</v>
      </c>
      <c r="D3246">
        <v>101</v>
      </c>
      <c r="E3246">
        <f>IF(OR(B3246="vi",B3246="ii",B3246="pod"),(((D3246/100)*(C3246*VLOOKUP(B3246,'Poids des runes'!A:B,2,FALSE)))+1),(((D3246/100)*(C3246*VLOOKUP(B3246,'Poids des runes'!A:B,2,FALSE)))+1)/VLOOKUP(B3246,'Poids des runes'!A:B,2,FALSE))</f>
        <v>1.02</v>
      </c>
      <c r="F3246">
        <f t="shared" si="50"/>
        <v>1.02</v>
      </c>
    </row>
    <row r="3247" spans="1:6" x14ac:dyDescent="0.3">
      <c r="A3247" t="s">
        <v>843</v>
      </c>
      <c r="B3247" t="s">
        <v>2148</v>
      </c>
      <c r="C3247">
        <v>2.5</v>
      </c>
      <c r="D3247">
        <v>101</v>
      </c>
      <c r="E3247">
        <f>IF(OR(B3247="vi",B3247="ii",B3247="pod"),(((D3247/100)*(C3247*VLOOKUP(B3247,'Poids des runes'!A:B,2,FALSE)))+1),(((D3247/100)*(C3247*VLOOKUP(B3247,'Poids des runes'!A:B,2,FALSE)))+1)/VLOOKUP(B3247,'Poids des runes'!A:B,2,FALSE))</f>
        <v>2.6916666666666664</v>
      </c>
      <c r="F3247">
        <f t="shared" si="50"/>
        <v>2.6916666666666664</v>
      </c>
    </row>
    <row r="3248" spans="1:6" x14ac:dyDescent="0.3">
      <c r="A3248" t="s">
        <v>843</v>
      </c>
      <c r="B3248" t="s">
        <v>2135</v>
      </c>
      <c r="C3248">
        <v>2.5</v>
      </c>
      <c r="D3248">
        <v>101</v>
      </c>
      <c r="E3248">
        <f>IF(OR(B3248="vi",B3248="ii",B3248="pod"),(((D3248/100)*(C3248*VLOOKUP(B3248,'Poids des runes'!A:B,2,FALSE)))+1),(((D3248/100)*(C3248*VLOOKUP(B3248,'Poids des runes'!A:B,2,FALSE)))+1)/VLOOKUP(B3248,'Poids des runes'!A:B,2,FALSE))</f>
        <v>2.6916666666666664</v>
      </c>
      <c r="F3248">
        <f t="shared" si="50"/>
        <v>2.6916666666666664</v>
      </c>
    </row>
    <row r="3249" spans="1:6" x14ac:dyDescent="0.3">
      <c r="A3249" t="s">
        <v>843</v>
      </c>
      <c r="B3249" t="s">
        <v>2157</v>
      </c>
      <c r="C3249">
        <v>2.5</v>
      </c>
      <c r="D3249">
        <v>101</v>
      </c>
      <c r="E3249">
        <f>IF(OR(B3249="vi",B3249="ii",B3249="pod"),(((D3249/100)*(C3249*VLOOKUP(B3249,'Poids des runes'!A:B,2,FALSE)))+1),(((D3249/100)*(C3249*VLOOKUP(B3249,'Poids des runes'!A:B,2,FALSE)))+1)/VLOOKUP(B3249,'Poids des runes'!A:B,2,FALSE))</f>
        <v>2.6916666666666664</v>
      </c>
      <c r="F3249">
        <f t="shared" si="50"/>
        <v>2.6916666666666664</v>
      </c>
    </row>
    <row r="3250" spans="1:6" x14ac:dyDescent="0.3">
      <c r="A3250" t="s">
        <v>844</v>
      </c>
      <c r="B3250" t="s">
        <v>2128</v>
      </c>
      <c r="C3250">
        <v>125.5</v>
      </c>
      <c r="D3250">
        <v>102</v>
      </c>
      <c r="E3250">
        <f>IF(OR(B3250="vi",B3250="ii",B3250="pod"),(((D3250/100)*(C3250*VLOOKUP(B3250,'Poids des runes'!A:B,2,FALSE)))+1),(((D3250/100)*(C3250*VLOOKUP(B3250,'Poids des runes'!A:B,2,FALSE)))+1)/VLOOKUP(B3250,'Poids des runes'!A:B,2,FALSE))</f>
        <v>26.602</v>
      </c>
      <c r="F3250">
        <f t="shared" si="50"/>
        <v>26.602</v>
      </c>
    </row>
    <row r="3251" spans="1:6" x14ac:dyDescent="0.3">
      <c r="A3251" t="s">
        <v>844</v>
      </c>
      <c r="B3251" t="s">
        <v>2127</v>
      </c>
      <c r="C3251">
        <v>33</v>
      </c>
      <c r="D3251">
        <v>102</v>
      </c>
      <c r="E3251">
        <f>IF(OR(B3251="vi",B3251="ii",B3251="pod"),(((D3251/100)*(C3251*VLOOKUP(B3251,'Poids des runes'!A:B,2,FALSE)))+1),(((D3251/100)*(C3251*VLOOKUP(B3251,'Poids des runes'!A:B,2,FALSE)))+1)/VLOOKUP(B3251,'Poids des runes'!A:B,2,FALSE))</f>
        <v>34.660000000000004</v>
      </c>
      <c r="F3251">
        <f t="shared" si="50"/>
        <v>34.660000000000004</v>
      </c>
    </row>
    <row r="3252" spans="1:6" x14ac:dyDescent="0.3">
      <c r="A3252" t="s">
        <v>844</v>
      </c>
      <c r="B3252" t="s">
        <v>2129</v>
      </c>
      <c r="C3252">
        <v>20.5</v>
      </c>
      <c r="D3252">
        <v>102</v>
      </c>
      <c r="E3252">
        <f>IF(OR(B3252="vi",B3252="ii",B3252="pod"),(((D3252/100)*(C3252*VLOOKUP(B3252,'Poids des runes'!A:B,2,FALSE)))+1),(((D3252/100)*(C3252*VLOOKUP(B3252,'Poids des runes'!A:B,2,FALSE)))+1)/VLOOKUP(B3252,'Poids des runes'!A:B,2,FALSE))</f>
        <v>21.91</v>
      </c>
      <c r="F3252">
        <f t="shared" si="50"/>
        <v>21.91</v>
      </c>
    </row>
    <row r="3253" spans="1:6" x14ac:dyDescent="0.3">
      <c r="A3253" t="s">
        <v>844</v>
      </c>
      <c r="B3253" t="s">
        <v>2139</v>
      </c>
      <c r="C3253">
        <v>8</v>
      </c>
      <c r="D3253">
        <v>102</v>
      </c>
      <c r="E3253">
        <f>IF(OR(B3253="vi",B3253="ii",B3253="pod"),(((D3253/100)*(C3253*VLOOKUP(B3253,'Poids des runes'!A:B,2,FALSE)))+1),(((D3253/100)*(C3253*VLOOKUP(B3253,'Poids des runes'!A:B,2,FALSE)))+1)/VLOOKUP(B3253,'Poids des runes'!A:B,2,FALSE))</f>
        <v>8.66</v>
      </c>
      <c r="F3253">
        <f t="shared" si="50"/>
        <v>8.66</v>
      </c>
    </row>
    <row r="3254" spans="1:6" x14ac:dyDescent="0.3">
      <c r="A3254" t="s">
        <v>844</v>
      </c>
      <c r="B3254" t="s">
        <v>2151</v>
      </c>
      <c r="C3254">
        <v>3.5</v>
      </c>
      <c r="D3254">
        <v>102</v>
      </c>
      <c r="E3254">
        <f>IF(OR(B3254="vi",B3254="ii",B3254="pod"),(((D3254/100)*(C3254*VLOOKUP(B3254,'Poids des runes'!A:B,2,FALSE)))+1),(((D3254/100)*(C3254*VLOOKUP(B3254,'Poids des runes'!A:B,2,FALSE)))+1)/VLOOKUP(B3254,'Poids des runes'!A:B,2,FALSE))</f>
        <v>3.6700000000000004</v>
      </c>
      <c r="F3254">
        <f t="shared" si="50"/>
        <v>3.6700000000000004</v>
      </c>
    </row>
    <row r="3255" spans="1:6" x14ac:dyDescent="0.3">
      <c r="A3255" t="s">
        <v>844</v>
      </c>
      <c r="B3255" t="s">
        <v>2153</v>
      </c>
      <c r="C3255">
        <v>4</v>
      </c>
      <c r="D3255">
        <v>102</v>
      </c>
      <c r="E3255">
        <f>IF(OR(B3255="vi",B3255="ii",B3255="pod"),(((D3255/100)*(C3255*VLOOKUP(B3255,'Poids des runes'!A:B,2,FALSE)))+1),(((D3255/100)*(C3255*VLOOKUP(B3255,'Poids des runes'!A:B,2,FALSE)))+1)/VLOOKUP(B3255,'Poids des runes'!A:B,2,FALSE))</f>
        <v>4.2799999999999994</v>
      </c>
      <c r="F3255">
        <f t="shared" si="50"/>
        <v>4.2799999999999994</v>
      </c>
    </row>
    <row r="3256" spans="1:6" x14ac:dyDescent="0.3">
      <c r="A3256" t="s">
        <v>844</v>
      </c>
      <c r="B3256" t="s">
        <v>2160</v>
      </c>
      <c r="C3256">
        <v>2.5</v>
      </c>
      <c r="D3256">
        <v>102</v>
      </c>
      <c r="E3256">
        <f>IF(OR(B3256="vi",B3256="ii",B3256="pod"),(((D3256/100)*(C3256*VLOOKUP(B3256,'Poids des runes'!A:B,2,FALSE)))+1),(((D3256/100)*(C3256*VLOOKUP(B3256,'Poids des runes'!A:B,2,FALSE)))+1)/VLOOKUP(B3256,'Poids des runes'!A:B,2,FALSE))</f>
        <v>2.6928571428571431</v>
      </c>
      <c r="F3256">
        <f t="shared" si="50"/>
        <v>2.6928571428571431</v>
      </c>
    </row>
    <row r="3257" spans="1:6" x14ac:dyDescent="0.3">
      <c r="A3257" t="s">
        <v>844</v>
      </c>
      <c r="B3257" t="s">
        <v>2148</v>
      </c>
      <c r="C3257">
        <v>3.5</v>
      </c>
      <c r="D3257">
        <v>102</v>
      </c>
      <c r="E3257">
        <f>IF(OR(B3257="vi",B3257="ii",B3257="pod"),(((D3257/100)*(C3257*VLOOKUP(B3257,'Poids des runes'!A:B,2,FALSE)))+1),(((D3257/100)*(C3257*VLOOKUP(B3257,'Poids des runes'!A:B,2,FALSE)))+1)/VLOOKUP(B3257,'Poids des runes'!A:B,2,FALSE))</f>
        <v>3.7366666666666668</v>
      </c>
      <c r="F3257">
        <f t="shared" si="50"/>
        <v>3.7366666666666668</v>
      </c>
    </row>
    <row r="3258" spans="1:6" x14ac:dyDescent="0.3">
      <c r="A3258" t="s">
        <v>844</v>
      </c>
      <c r="B3258" t="s">
        <v>2137</v>
      </c>
      <c r="C3258">
        <v>5</v>
      </c>
      <c r="D3258">
        <v>102</v>
      </c>
      <c r="E3258">
        <f>IF(OR(B3258="vi",B3258="ii",B3258="pod"),(((D3258/100)*(C3258*VLOOKUP(B3258,'Poids des runes'!A:B,2,FALSE)))+1),(((D3258/100)*(C3258*VLOOKUP(B3258,'Poids des runes'!A:B,2,FALSE)))+1)/VLOOKUP(B3258,'Poids des runes'!A:B,2,FALSE))</f>
        <v>5.6</v>
      </c>
      <c r="F3258">
        <f t="shared" si="50"/>
        <v>5.6</v>
      </c>
    </row>
    <row r="3259" spans="1:6" x14ac:dyDescent="0.3">
      <c r="A3259" t="s">
        <v>844</v>
      </c>
      <c r="B3259" t="s">
        <v>2146</v>
      </c>
      <c r="C3259">
        <v>5</v>
      </c>
      <c r="D3259">
        <v>102</v>
      </c>
      <c r="E3259">
        <f>IF(OR(B3259="vi",B3259="ii",B3259="pod"),(((D3259/100)*(C3259*VLOOKUP(B3259,'Poids des runes'!A:B,2,FALSE)))+1),(((D3259/100)*(C3259*VLOOKUP(B3259,'Poids des runes'!A:B,2,FALSE)))+1)/VLOOKUP(B3259,'Poids des runes'!A:B,2,FALSE))</f>
        <v>5.6</v>
      </c>
      <c r="F3259">
        <f t="shared" si="50"/>
        <v>5.6</v>
      </c>
    </row>
    <row r="3260" spans="1:6" x14ac:dyDescent="0.3">
      <c r="A3260" t="s">
        <v>845</v>
      </c>
      <c r="B3260" t="s">
        <v>2128</v>
      </c>
      <c r="C3260">
        <v>55.5</v>
      </c>
      <c r="D3260">
        <v>102</v>
      </c>
      <c r="E3260">
        <f>IF(OR(B3260="vi",B3260="ii",B3260="pod"),(((D3260/100)*(C3260*VLOOKUP(B3260,'Poids des runes'!A:B,2,FALSE)))+1),(((D3260/100)*(C3260*VLOOKUP(B3260,'Poids des runes'!A:B,2,FALSE)))+1)/VLOOKUP(B3260,'Poids des runes'!A:B,2,FALSE))</f>
        <v>12.322000000000001</v>
      </c>
      <c r="F3260">
        <f t="shared" si="50"/>
        <v>12.322000000000001</v>
      </c>
    </row>
    <row r="3261" spans="1:6" x14ac:dyDescent="0.3">
      <c r="A3261" t="s">
        <v>845</v>
      </c>
      <c r="B3261" t="s">
        <v>2130</v>
      </c>
      <c r="C3261">
        <v>25.5</v>
      </c>
      <c r="D3261">
        <v>102</v>
      </c>
      <c r="E3261">
        <f>IF(OR(B3261="vi",B3261="ii",B3261="pod"),(((D3261/100)*(C3261*VLOOKUP(B3261,'Poids des runes'!A:B,2,FALSE)))+1),(((D3261/100)*(C3261*VLOOKUP(B3261,'Poids des runes'!A:B,2,FALSE)))+1)/VLOOKUP(B3261,'Poids des runes'!A:B,2,FALSE))</f>
        <v>27.01</v>
      </c>
      <c r="F3261">
        <f t="shared" si="50"/>
        <v>27.01</v>
      </c>
    </row>
    <row r="3262" spans="1:6" x14ac:dyDescent="0.3">
      <c r="A3262" t="s">
        <v>845</v>
      </c>
      <c r="B3262" t="s">
        <v>2127</v>
      </c>
      <c r="C3262">
        <v>33</v>
      </c>
      <c r="D3262">
        <v>102</v>
      </c>
      <c r="E3262">
        <f>IF(OR(B3262="vi",B3262="ii",B3262="pod"),(((D3262/100)*(C3262*VLOOKUP(B3262,'Poids des runes'!A:B,2,FALSE)))+1),(((D3262/100)*(C3262*VLOOKUP(B3262,'Poids des runes'!A:B,2,FALSE)))+1)/VLOOKUP(B3262,'Poids des runes'!A:B,2,FALSE))</f>
        <v>34.660000000000004</v>
      </c>
      <c r="F3262">
        <f t="shared" si="50"/>
        <v>34.660000000000004</v>
      </c>
    </row>
    <row r="3263" spans="1:6" x14ac:dyDescent="0.3">
      <c r="A3263" t="s">
        <v>845</v>
      </c>
      <c r="B3263" t="s">
        <v>2129</v>
      </c>
      <c r="C3263">
        <v>15.5</v>
      </c>
      <c r="D3263">
        <v>102</v>
      </c>
      <c r="E3263">
        <f>IF(OR(B3263="vi",B3263="ii",B3263="pod"),(((D3263/100)*(C3263*VLOOKUP(B3263,'Poids des runes'!A:B,2,FALSE)))+1),(((D3263/100)*(C3263*VLOOKUP(B3263,'Poids des runes'!A:B,2,FALSE)))+1)/VLOOKUP(B3263,'Poids des runes'!A:B,2,FALSE))</f>
        <v>16.810000000000002</v>
      </c>
      <c r="F3263">
        <f t="shared" si="50"/>
        <v>16.810000000000002</v>
      </c>
    </row>
    <row r="3264" spans="1:6" x14ac:dyDescent="0.3">
      <c r="A3264" t="s">
        <v>845</v>
      </c>
      <c r="B3264" t="s">
        <v>2155</v>
      </c>
      <c r="C3264">
        <v>1</v>
      </c>
      <c r="D3264">
        <v>102</v>
      </c>
      <c r="E3264">
        <f>IF(OR(B3264="vi",B3264="ii",B3264="pod"),(((D3264/100)*(C3264*VLOOKUP(B3264,'Poids des runes'!A:B,2,FALSE)))+1),(((D3264/100)*(C3264*VLOOKUP(B3264,'Poids des runes'!A:B,2,FALSE)))+1)/VLOOKUP(B3264,'Poids des runes'!A:B,2,FALSE))</f>
        <v>1.0396078431372551</v>
      </c>
      <c r="F3264">
        <f t="shared" si="50"/>
        <v>1.0396078431372551</v>
      </c>
    </row>
    <row r="3265" spans="1:6" x14ac:dyDescent="0.3">
      <c r="A3265" t="s">
        <v>845</v>
      </c>
      <c r="B3265" t="s">
        <v>2147</v>
      </c>
      <c r="C3265">
        <v>5</v>
      </c>
      <c r="D3265">
        <v>102</v>
      </c>
      <c r="E3265">
        <f>IF(OR(B3265="vi",B3265="ii",B3265="pod"),(((D3265/100)*(C3265*VLOOKUP(B3265,'Poids des runes'!A:B,2,FALSE)))+1),(((D3265/100)*(C3265*VLOOKUP(B3265,'Poids des runes'!A:B,2,FALSE)))+1)/VLOOKUP(B3265,'Poids des runes'!A:B,2,FALSE))</f>
        <v>5.2666666666666666</v>
      </c>
      <c r="F3265">
        <f t="shared" si="50"/>
        <v>5.2666666666666666</v>
      </c>
    </row>
    <row r="3266" spans="1:6" x14ac:dyDescent="0.3">
      <c r="A3266" t="s">
        <v>845</v>
      </c>
      <c r="B3266" t="s">
        <v>2136</v>
      </c>
      <c r="C3266">
        <v>5</v>
      </c>
      <c r="D3266">
        <v>102</v>
      </c>
      <c r="E3266">
        <f>IF(OR(B3266="vi",B3266="ii",B3266="pod"),(((D3266/100)*(C3266*VLOOKUP(B3266,'Poids des runes'!A:B,2,FALSE)))+1),(((D3266/100)*(C3266*VLOOKUP(B3266,'Poids des runes'!A:B,2,FALSE)))+1)/VLOOKUP(B3266,'Poids des runes'!A:B,2,FALSE))</f>
        <v>5.6</v>
      </c>
      <c r="F3266">
        <f t="shared" si="50"/>
        <v>5.6</v>
      </c>
    </row>
    <row r="3267" spans="1:6" x14ac:dyDescent="0.3">
      <c r="A3267" t="s">
        <v>845</v>
      </c>
      <c r="B3267" t="s">
        <v>2146</v>
      </c>
      <c r="C3267">
        <v>5</v>
      </c>
      <c r="D3267">
        <v>102</v>
      </c>
      <c r="E3267">
        <f>IF(OR(B3267="vi",B3267="ii",B3267="pod"),(((D3267/100)*(C3267*VLOOKUP(B3267,'Poids des runes'!A:B,2,FALSE)))+1),(((D3267/100)*(C3267*VLOOKUP(B3267,'Poids des runes'!A:B,2,FALSE)))+1)/VLOOKUP(B3267,'Poids des runes'!A:B,2,FALSE))</f>
        <v>5.6</v>
      </c>
      <c r="F3267">
        <f t="shared" ref="F3267:F3330" si="51">E3267</f>
        <v>5.6</v>
      </c>
    </row>
    <row r="3268" spans="1:6" x14ac:dyDescent="0.3">
      <c r="A3268" t="s">
        <v>846</v>
      </c>
      <c r="B3268" t="s">
        <v>2128</v>
      </c>
      <c r="C3268">
        <v>50.5</v>
      </c>
      <c r="D3268">
        <v>102</v>
      </c>
      <c r="E3268">
        <f>IF(OR(B3268="vi",B3268="ii",B3268="pod"),(((D3268/100)*(C3268*VLOOKUP(B3268,'Poids des runes'!A:B,2,FALSE)))+1),(((D3268/100)*(C3268*VLOOKUP(B3268,'Poids des runes'!A:B,2,FALSE)))+1)/VLOOKUP(B3268,'Poids des runes'!A:B,2,FALSE))</f>
        <v>11.302000000000001</v>
      </c>
      <c r="F3268">
        <f t="shared" si="51"/>
        <v>11.302000000000001</v>
      </c>
    </row>
    <row r="3269" spans="1:6" x14ac:dyDescent="0.3">
      <c r="A3269" t="s">
        <v>846</v>
      </c>
      <c r="B3269" t="s">
        <v>2130</v>
      </c>
      <c r="C3269">
        <v>20.5</v>
      </c>
      <c r="D3269">
        <v>102</v>
      </c>
      <c r="E3269">
        <f>IF(OR(B3269="vi",B3269="ii",B3269="pod"),(((D3269/100)*(C3269*VLOOKUP(B3269,'Poids des runes'!A:B,2,FALSE)))+1),(((D3269/100)*(C3269*VLOOKUP(B3269,'Poids des runes'!A:B,2,FALSE)))+1)/VLOOKUP(B3269,'Poids des runes'!A:B,2,FALSE))</f>
        <v>21.91</v>
      </c>
      <c r="F3269">
        <f t="shared" si="51"/>
        <v>21.91</v>
      </c>
    </row>
    <row r="3270" spans="1:6" x14ac:dyDescent="0.3">
      <c r="A3270" t="s">
        <v>846</v>
      </c>
      <c r="B3270" t="s">
        <v>2127</v>
      </c>
      <c r="C3270">
        <v>30.5</v>
      </c>
      <c r="D3270">
        <v>102</v>
      </c>
      <c r="E3270">
        <f>IF(OR(B3270="vi",B3270="ii",B3270="pod"),(((D3270/100)*(C3270*VLOOKUP(B3270,'Poids des runes'!A:B,2,FALSE)))+1),(((D3270/100)*(C3270*VLOOKUP(B3270,'Poids des runes'!A:B,2,FALSE)))+1)/VLOOKUP(B3270,'Poids des runes'!A:B,2,FALSE))</f>
        <v>32.11</v>
      </c>
      <c r="F3270">
        <f t="shared" si="51"/>
        <v>32.11</v>
      </c>
    </row>
    <row r="3271" spans="1:6" x14ac:dyDescent="0.3">
      <c r="A3271" t="s">
        <v>846</v>
      </c>
      <c r="B3271" t="s">
        <v>2129</v>
      </c>
      <c r="C3271">
        <v>15.5</v>
      </c>
      <c r="D3271">
        <v>102</v>
      </c>
      <c r="E3271">
        <f>IF(OR(B3271="vi",B3271="ii",B3271="pod"),(((D3271/100)*(C3271*VLOOKUP(B3271,'Poids des runes'!A:B,2,FALSE)))+1),(((D3271/100)*(C3271*VLOOKUP(B3271,'Poids des runes'!A:B,2,FALSE)))+1)/VLOOKUP(B3271,'Poids des runes'!A:B,2,FALSE))</f>
        <v>16.810000000000002</v>
      </c>
      <c r="F3271">
        <f t="shared" si="51"/>
        <v>16.810000000000002</v>
      </c>
    </row>
    <row r="3272" spans="1:6" x14ac:dyDescent="0.3">
      <c r="A3272" t="s">
        <v>846</v>
      </c>
      <c r="B3272" t="s">
        <v>2152</v>
      </c>
      <c r="C3272">
        <v>1</v>
      </c>
      <c r="D3272">
        <v>102</v>
      </c>
      <c r="E3272">
        <f>IF(OR(B3272="vi",B3272="ii",B3272="pod"),(((D3272/100)*(C3272*VLOOKUP(B3272,'Poids des runes'!A:B,2,FALSE)))+1),(((D3272/100)*(C3272*VLOOKUP(B3272,'Poids des runes'!A:B,2,FALSE)))+1)/VLOOKUP(B3272,'Poids des runes'!A:B,2,FALSE))</f>
        <v>1.03</v>
      </c>
      <c r="F3272">
        <f t="shared" si="51"/>
        <v>1.03</v>
      </c>
    </row>
    <row r="3273" spans="1:6" x14ac:dyDescent="0.3">
      <c r="A3273" t="s">
        <v>846</v>
      </c>
      <c r="B3273" t="s">
        <v>2134</v>
      </c>
      <c r="C3273">
        <v>5</v>
      </c>
      <c r="D3273">
        <v>102</v>
      </c>
      <c r="E3273">
        <f>IF(OR(B3273="vi",B3273="ii",B3273="pod"),(((D3273/100)*(C3273*VLOOKUP(B3273,'Poids des runes'!A:B,2,FALSE)))+1),(((D3273/100)*(C3273*VLOOKUP(B3273,'Poids des runes'!A:B,2,FALSE)))+1)/VLOOKUP(B3273,'Poids des runes'!A:B,2,FALSE))</f>
        <v>5.15</v>
      </c>
      <c r="F3273">
        <f t="shared" si="51"/>
        <v>5.15</v>
      </c>
    </row>
    <row r="3274" spans="1:6" x14ac:dyDescent="0.3">
      <c r="A3274" t="s">
        <v>846</v>
      </c>
      <c r="B3274" t="s">
        <v>2132</v>
      </c>
      <c r="C3274">
        <v>200</v>
      </c>
      <c r="D3274">
        <v>102</v>
      </c>
      <c r="E3274">
        <f>IF(OR(B3274="vi",B3274="ii",B3274="pod"),(((D3274/100)*(C3274*VLOOKUP(B3274,'Poids des runes'!A:B,2,FALSE)))+1),(((D3274/100)*(C3274*VLOOKUP(B3274,'Poids des runes'!A:B,2,FALSE)))+1)/VLOOKUP(B3274,'Poids des runes'!A:B,2,FALSE))</f>
        <v>21.4</v>
      </c>
      <c r="F3274">
        <f t="shared" si="51"/>
        <v>21.4</v>
      </c>
    </row>
    <row r="3275" spans="1:6" x14ac:dyDescent="0.3">
      <c r="A3275" t="s">
        <v>847</v>
      </c>
      <c r="B3275" t="s">
        <v>2128</v>
      </c>
      <c r="C3275">
        <v>65.5</v>
      </c>
      <c r="D3275">
        <v>102</v>
      </c>
      <c r="E3275">
        <f>IF(OR(B3275="vi",B3275="ii",B3275="pod"),(((D3275/100)*(C3275*VLOOKUP(B3275,'Poids des runes'!A:B,2,FALSE)))+1),(((D3275/100)*(C3275*VLOOKUP(B3275,'Poids des runes'!A:B,2,FALSE)))+1)/VLOOKUP(B3275,'Poids des runes'!A:B,2,FALSE))</f>
        <v>14.362000000000002</v>
      </c>
      <c r="F3275">
        <f t="shared" si="51"/>
        <v>14.362000000000002</v>
      </c>
    </row>
    <row r="3276" spans="1:6" x14ac:dyDescent="0.3">
      <c r="A3276" t="s">
        <v>847</v>
      </c>
      <c r="B3276" t="s">
        <v>2130</v>
      </c>
      <c r="C3276">
        <v>20.5</v>
      </c>
      <c r="D3276">
        <v>102</v>
      </c>
      <c r="E3276">
        <f>IF(OR(B3276="vi",B3276="ii",B3276="pod"),(((D3276/100)*(C3276*VLOOKUP(B3276,'Poids des runes'!A:B,2,FALSE)))+1),(((D3276/100)*(C3276*VLOOKUP(B3276,'Poids des runes'!A:B,2,FALSE)))+1)/VLOOKUP(B3276,'Poids des runes'!A:B,2,FALSE))</f>
        <v>21.91</v>
      </c>
      <c r="F3276">
        <f t="shared" si="51"/>
        <v>21.91</v>
      </c>
    </row>
    <row r="3277" spans="1:6" x14ac:dyDescent="0.3">
      <c r="A3277" t="s">
        <v>847</v>
      </c>
      <c r="B3277" t="s">
        <v>2127</v>
      </c>
      <c r="C3277">
        <v>33</v>
      </c>
      <c r="D3277">
        <v>102</v>
      </c>
      <c r="E3277">
        <f>IF(OR(B3277="vi",B3277="ii",B3277="pod"),(((D3277/100)*(C3277*VLOOKUP(B3277,'Poids des runes'!A:B,2,FALSE)))+1),(((D3277/100)*(C3277*VLOOKUP(B3277,'Poids des runes'!A:B,2,FALSE)))+1)/VLOOKUP(B3277,'Poids des runes'!A:B,2,FALSE))</f>
        <v>34.660000000000004</v>
      </c>
      <c r="F3277">
        <f t="shared" si="51"/>
        <v>34.660000000000004</v>
      </c>
    </row>
    <row r="3278" spans="1:6" x14ac:dyDescent="0.3">
      <c r="A3278" t="s">
        <v>847</v>
      </c>
      <c r="B3278" t="s">
        <v>2151</v>
      </c>
      <c r="C3278">
        <v>3.5</v>
      </c>
      <c r="D3278">
        <v>102</v>
      </c>
      <c r="E3278">
        <f>IF(OR(B3278="vi",B3278="ii",B3278="pod"),(((D3278/100)*(C3278*VLOOKUP(B3278,'Poids des runes'!A:B,2,FALSE)))+1),(((D3278/100)*(C3278*VLOOKUP(B3278,'Poids des runes'!A:B,2,FALSE)))+1)/VLOOKUP(B3278,'Poids des runes'!A:B,2,FALSE))</f>
        <v>3.6700000000000004</v>
      </c>
      <c r="F3278">
        <f t="shared" si="51"/>
        <v>3.6700000000000004</v>
      </c>
    </row>
    <row r="3279" spans="1:6" x14ac:dyDescent="0.3">
      <c r="A3279" t="s">
        <v>847</v>
      </c>
      <c r="B3279" t="s">
        <v>2134</v>
      </c>
      <c r="C3279">
        <v>3.5</v>
      </c>
      <c r="D3279">
        <v>102</v>
      </c>
      <c r="E3279">
        <f>IF(OR(B3279="vi",B3279="ii",B3279="pod"),(((D3279/100)*(C3279*VLOOKUP(B3279,'Poids des runes'!A:B,2,FALSE)))+1),(((D3279/100)*(C3279*VLOOKUP(B3279,'Poids des runes'!A:B,2,FALSE)))+1)/VLOOKUP(B3279,'Poids des runes'!A:B,2,FALSE))</f>
        <v>3.62</v>
      </c>
      <c r="F3279">
        <f t="shared" si="51"/>
        <v>3.62</v>
      </c>
    </row>
    <row r="3280" spans="1:6" x14ac:dyDescent="0.3">
      <c r="A3280" t="s">
        <v>847</v>
      </c>
      <c r="B3280" t="s">
        <v>2161</v>
      </c>
      <c r="C3280">
        <v>8</v>
      </c>
      <c r="D3280">
        <v>102</v>
      </c>
      <c r="E3280">
        <f>IF(OR(B3280="vi",B3280="ii",B3280="pod"),(((D3280/100)*(C3280*VLOOKUP(B3280,'Poids des runes'!A:B,2,FALSE)))+1),(((D3280/100)*(C3280*VLOOKUP(B3280,'Poids des runes'!A:B,2,FALSE)))+1)/VLOOKUP(B3280,'Poids des runes'!A:B,2,FALSE))</f>
        <v>8.4933333333333341</v>
      </c>
      <c r="F3280">
        <f t="shared" si="51"/>
        <v>8.4933333333333341</v>
      </c>
    </row>
    <row r="3281" spans="1:6" x14ac:dyDescent="0.3">
      <c r="A3281" t="s">
        <v>847</v>
      </c>
      <c r="B3281" t="s">
        <v>2148</v>
      </c>
      <c r="C3281">
        <v>5</v>
      </c>
      <c r="D3281">
        <v>102</v>
      </c>
      <c r="E3281">
        <f>IF(OR(B3281="vi",B3281="ii",B3281="pod"),(((D3281/100)*(C3281*VLOOKUP(B3281,'Poids des runes'!A:B,2,FALSE)))+1),(((D3281/100)*(C3281*VLOOKUP(B3281,'Poids des runes'!A:B,2,FALSE)))+1)/VLOOKUP(B3281,'Poids des runes'!A:B,2,FALSE))</f>
        <v>5.2666666666666666</v>
      </c>
      <c r="F3281">
        <f t="shared" si="51"/>
        <v>5.2666666666666666</v>
      </c>
    </row>
    <row r="3282" spans="1:6" x14ac:dyDescent="0.3">
      <c r="A3282" t="s">
        <v>848</v>
      </c>
      <c r="B3282" t="s">
        <v>2131</v>
      </c>
      <c r="C3282">
        <v>40.5</v>
      </c>
      <c r="D3282">
        <v>103</v>
      </c>
      <c r="E3282">
        <f>IF(OR(B3282="vi",B3282="ii",B3282="pod"),(((D3282/100)*(C3282*VLOOKUP(B3282,'Poids des runes'!A:B,2,FALSE)))+1),(((D3282/100)*(C3282*VLOOKUP(B3282,'Poids des runes'!A:B,2,FALSE)))+1)/VLOOKUP(B3282,'Poids des runes'!A:B,2,FALSE))</f>
        <v>42.715000000000003</v>
      </c>
      <c r="F3282">
        <f t="shared" si="51"/>
        <v>42.715000000000003</v>
      </c>
    </row>
    <row r="3283" spans="1:6" x14ac:dyDescent="0.3">
      <c r="A3283" t="s">
        <v>848</v>
      </c>
      <c r="B3283" t="s">
        <v>2129</v>
      </c>
      <c r="C3283">
        <v>30.5</v>
      </c>
      <c r="D3283">
        <v>103</v>
      </c>
      <c r="E3283">
        <f>IF(OR(B3283="vi",B3283="ii",B3283="pod"),(((D3283/100)*(C3283*VLOOKUP(B3283,'Poids des runes'!A:B,2,FALSE)))+1),(((D3283/100)*(C3283*VLOOKUP(B3283,'Poids des runes'!A:B,2,FALSE)))+1)/VLOOKUP(B3283,'Poids des runes'!A:B,2,FALSE))</f>
        <v>32.414999999999999</v>
      </c>
      <c r="F3283">
        <f t="shared" si="51"/>
        <v>32.414999999999999</v>
      </c>
    </row>
    <row r="3284" spans="1:6" x14ac:dyDescent="0.3">
      <c r="A3284" t="s">
        <v>848</v>
      </c>
      <c r="B3284" t="s">
        <v>2155</v>
      </c>
      <c r="C3284">
        <v>1</v>
      </c>
      <c r="D3284">
        <v>103</v>
      </c>
      <c r="E3284">
        <f>IF(OR(B3284="vi",B3284="ii",B3284="pod"),(((D3284/100)*(C3284*VLOOKUP(B3284,'Poids des runes'!A:B,2,FALSE)))+1),(((D3284/100)*(C3284*VLOOKUP(B3284,'Poids des runes'!A:B,2,FALSE)))+1)/VLOOKUP(B3284,'Poids des runes'!A:B,2,FALSE))</f>
        <v>1.0496078431372549</v>
      </c>
      <c r="F3284">
        <f t="shared" si="51"/>
        <v>1.0496078431372549</v>
      </c>
    </row>
    <row r="3285" spans="1:6" x14ac:dyDescent="0.3">
      <c r="A3285" t="s">
        <v>848</v>
      </c>
      <c r="B3285" t="s">
        <v>2134</v>
      </c>
      <c r="C3285">
        <v>4</v>
      </c>
      <c r="D3285">
        <v>103</v>
      </c>
      <c r="E3285">
        <f>IF(OR(B3285="vi",B3285="ii",B3285="pod"),(((D3285/100)*(C3285*VLOOKUP(B3285,'Poids des runes'!A:B,2,FALSE)))+1),(((D3285/100)*(C3285*VLOOKUP(B3285,'Poids des runes'!A:B,2,FALSE)))+1)/VLOOKUP(B3285,'Poids des runes'!A:B,2,FALSE))</f>
        <v>4.17</v>
      </c>
      <c r="F3285">
        <f t="shared" si="51"/>
        <v>4.17</v>
      </c>
    </row>
    <row r="3286" spans="1:6" x14ac:dyDescent="0.3">
      <c r="A3286" t="s">
        <v>848</v>
      </c>
      <c r="B3286" t="s">
        <v>2161</v>
      </c>
      <c r="C3286">
        <v>10.5</v>
      </c>
      <c r="D3286">
        <v>103</v>
      </c>
      <c r="E3286">
        <f>IF(OR(B3286="vi",B3286="ii",B3286="pod"),(((D3286/100)*(C3286*VLOOKUP(B3286,'Poids des runes'!A:B,2,FALSE)))+1),(((D3286/100)*(C3286*VLOOKUP(B3286,'Poids des runes'!A:B,2,FALSE)))+1)/VLOOKUP(B3286,'Poids des runes'!A:B,2,FALSE))</f>
        <v>11.148333333333333</v>
      </c>
      <c r="F3286">
        <f t="shared" si="51"/>
        <v>11.148333333333333</v>
      </c>
    </row>
    <row r="3287" spans="1:6" x14ac:dyDescent="0.3">
      <c r="A3287" t="s">
        <v>848</v>
      </c>
      <c r="B3287" t="s">
        <v>2148</v>
      </c>
      <c r="C3287">
        <v>4</v>
      </c>
      <c r="D3287">
        <v>103</v>
      </c>
      <c r="E3287">
        <f>IF(OR(B3287="vi",B3287="ii",B3287="pod"),(((D3287/100)*(C3287*VLOOKUP(B3287,'Poids des runes'!A:B,2,FALSE)))+1),(((D3287/100)*(C3287*VLOOKUP(B3287,'Poids des runes'!A:B,2,FALSE)))+1)/VLOOKUP(B3287,'Poids des runes'!A:B,2,FALSE))</f>
        <v>4.2866666666666662</v>
      </c>
      <c r="F3287">
        <f t="shared" si="51"/>
        <v>4.2866666666666662</v>
      </c>
    </row>
    <row r="3288" spans="1:6" x14ac:dyDescent="0.3">
      <c r="A3288" t="s">
        <v>848</v>
      </c>
      <c r="B3288" t="s">
        <v>2147</v>
      </c>
      <c r="C3288">
        <v>4</v>
      </c>
      <c r="D3288">
        <v>103</v>
      </c>
      <c r="E3288">
        <f>IF(OR(B3288="vi",B3288="ii",B3288="pod"),(((D3288/100)*(C3288*VLOOKUP(B3288,'Poids des runes'!A:B,2,FALSE)))+1),(((D3288/100)*(C3288*VLOOKUP(B3288,'Poids des runes'!A:B,2,FALSE)))+1)/VLOOKUP(B3288,'Poids des runes'!A:B,2,FALSE))</f>
        <v>4.2866666666666662</v>
      </c>
      <c r="F3288">
        <f t="shared" si="51"/>
        <v>4.2866666666666662</v>
      </c>
    </row>
    <row r="3289" spans="1:6" x14ac:dyDescent="0.3">
      <c r="A3289" t="s">
        <v>848</v>
      </c>
      <c r="B3289" t="s">
        <v>2135</v>
      </c>
      <c r="C3289">
        <v>4</v>
      </c>
      <c r="D3289">
        <v>103</v>
      </c>
      <c r="E3289">
        <f>IF(OR(B3289="vi",B3289="ii",B3289="pod"),(((D3289/100)*(C3289*VLOOKUP(B3289,'Poids des runes'!A:B,2,FALSE)))+1),(((D3289/100)*(C3289*VLOOKUP(B3289,'Poids des runes'!A:B,2,FALSE)))+1)/VLOOKUP(B3289,'Poids des runes'!A:B,2,FALSE))</f>
        <v>4.2866666666666662</v>
      </c>
      <c r="F3289">
        <f t="shared" si="51"/>
        <v>4.2866666666666662</v>
      </c>
    </row>
    <row r="3290" spans="1:6" x14ac:dyDescent="0.3">
      <c r="A3290" t="s">
        <v>849</v>
      </c>
      <c r="B3290" t="s">
        <v>2128</v>
      </c>
      <c r="C3290">
        <v>95.5</v>
      </c>
      <c r="D3290">
        <v>103</v>
      </c>
      <c r="E3290">
        <f>IF(OR(B3290="vi",B3290="ii",B3290="pod"),(((D3290/100)*(C3290*VLOOKUP(B3290,'Poids des runes'!A:B,2,FALSE)))+1),(((D3290/100)*(C3290*VLOOKUP(B3290,'Poids des runes'!A:B,2,FALSE)))+1)/VLOOKUP(B3290,'Poids des runes'!A:B,2,FALSE))</f>
        <v>20.673000000000002</v>
      </c>
      <c r="F3290">
        <f t="shared" si="51"/>
        <v>20.673000000000002</v>
      </c>
    </row>
    <row r="3291" spans="1:6" x14ac:dyDescent="0.3">
      <c r="A3291" t="s">
        <v>849</v>
      </c>
      <c r="B3291" t="s">
        <v>2131</v>
      </c>
      <c r="C3291">
        <v>33</v>
      </c>
      <c r="D3291">
        <v>103</v>
      </c>
      <c r="E3291">
        <f>IF(OR(B3291="vi",B3291="ii",B3291="pod"),(((D3291/100)*(C3291*VLOOKUP(B3291,'Poids des runes'!A:B,2,FALSE)))+1),(((D3291/100)*(C3291*VLOOKUP(B3291,'Poids des runes'!A:B,2,FALSE)))+1)/VLOOKUP(B3291,'Poids des runes'!A:B,2,FALSE))</f>
        <v>34.99</v>
      </c>
      <c r="F3291">
        <f t="shared" si="51"/>
        <v>34.99</v>
      </c>
    </row>
    <row r="3292" spans="1:6" x14ac:dyDescent="0.3">
      <c r="A3292" t="s">
        <v>849</v>
      </c>
      <c r="B3292" t="s">
        <v>2134</v>
      </c>
      <c r="C3292">
        <v>5</v>
      </c>
      <c r="D3292">
        <v>103</v>
      </c>
      <c r="E3292">
        <f>IF(OR(B3292="vi",B3292="ii",B3292="pod"),(((D3292/100)*(C3292*VLOOKUP(B3292,'Poids des runes'!A:B,2,FALSE)))+1),(((D3292/100)*(C3292*VLOOKUP(B3292,'Poids des runes'!A:B,2,FALSE)))+1)/VLOOKUP(B3292,'Poids des runes'!A:B,2,FALSE))</f>
        <v>5.2</v>
      </c>
      <c r="F3292">
        <f t="shared" si="51"/>
        <v>5.2</v>
      </c>
    </row>
    <row r="3293" spans="1:6" x14ac:dyDescent="0.3">
      <c r="A3293" t="s">
        <v>849</v>
      </c>
      <c r="B3293" t="s">
        <v>2161</v>
      </c>
      <c r="C3293">
        <v>13</v>
      </c>
      <c r="D3293">
        <v>103</v>
      </c>
      <c r="E3293">
        <f>IF(OR(B3293="vi",B3293="ii",B3293="pod"),(((D3293/100)*(C3293*VLOOKUP(B3293,'Poids des runes'!A:B,2,FALSE)))+1),(((D3293/100)*(C3293*VLOOKUP(B3293,'Poids des runes'!A:B,2,FALSE)))+1)/VLOOKUP(B3293,'Poids des runes'!A:B,2,FALSE))</f>
        <v>13.723333333333334</v>
      </c>
      <c r="F3293">
        <f t="shared" si="51"/>
        <v>13.723333333333334</v>
      </c>
    </row>
    <row r="3294" spans="1:6" x14ac:dyDescent="0.3">
      <c r="A3294" t="s">
        <v>849</v>
      </c>
      <c r="B3294" t="s">
        <v>2147</v>
      </c>
      <c r="C3294">
        <v>5</v>
      </c>
      <c r="D3294">
        <v>103</v>
      </c>
      <c r="E3294">
        <f>IF(OR(B3294="vi",B3294="ii",B3294="pod"),(((D3294/100)*(C3294*VLOOKUP(B3294,'Poids des runes'!A:B,2,FALSE)))+1),(((D3294/100)*(C3294*VLOOKUP(B3294,'Poids des runes'!A:B,2,FALSE)))+1)/VLOOKUP(B3294,'Poids des runes'!A:B,2,FALSE))</f>
        <v>5.3166666666666673</v>
      </c>
      <c r="F3294">
        <f t="shared" si="51"/>
        <v>5.3166666666666673</v>
      </c>
    </row>
    <row r="3295" spans="1:6" x14ac:dyDescent="0.3">
      <c r="A3295" t="s">
        <v>849</v>
      </c>
      <c r="B3295" t="s">
        <v>2157</v>
      </c>
      <c r="C3295">
        <v>5</v>
      </c>
      <c r="D3295">
        <v>103</v>
      </c>
      <c r="E3295">
        <f>IF(OR(B3295="vi",B3295="ii",B3295="pod"),(((D3295/100)*(C3295*VLOOKUP(B3295,'Poids des runes'!A:B,2,FALSE)))+1),(((D3295/100)*(C3295*VLOOKUP(B3295,'Poids des runes'!A:B,2,FALSE)))+1)/VLOOKUP(B3295,'Poids des runes'!A:B,2,FALSE))</f>
        <v>5.3166666666666673</v>
      </c>
      <c r="F3295">
        <f t="shared" si="51"/>
        <v>5.3166666666666673</v>
      </c>
    </row>
    <row r="3296" spans="1:6" x14ac:dyDescent="0.3">
      <c r="A3296" t="s">
        <v>849</v>
      </c>
      <c r="B3296" t="s">
        <v>2136</v>
      </c>
      <c r="C3296">
        <v>4.5</v>
      </c>
      <c r="D3296">
        <v>103</v>
      </c>
      <c r="E3296">
        <f>IF(OR(B3296="vi",B3296="ii",B3296="pod"),(((D3296/100)*(C3296*VLOOKUP(B3296,'Poids des runes'!A:B,2,FALSE)))+1),(((D3296/100)*(C3296*VLOOKUP(B3296,'Poids des runes'!A:B,2,FALSE)))+1)/VLOOKUP(B3296,'Poids des runes'!A:B,2,FALSE))</f>
        <v>5.1349999999999998</v>
      </c>
      <c r="F3296">
        <f t="shared" si="51"/>
        <v>5.1349999999999998</v>
      </c>
    </row>
    <row r="3297" spans="1:6" x14ac:dyDescent="0.3">
      <c r="A3297" t="s">
        <v>849</v>
      </c>
      <c r="B3297" t="s">
        <v>2137</v>
      </c>
      <c r="C3297">
        <v>4.5</v>
      </c>
      <c r="D3297">
        <v>103</v>
      </c>
      <c r="E3297">
        <f>IF(OR(B3297="vi",B3297="ii",B3297="pod"),(((D3297/100)*(C3297*VLOOKUP(B3297,'Poids des runes'!A:B,2,FALSE)))+1),(((D3297/100)*(C3297*VLOOKUP(B3297,'Poids des runes'!A:B,2,FALSE)))+1)/VLOOKUP(B3297,'Poids des runes'!A:B,2,FALSE))</f>
        <v>5.1349999999999998</v>
      </c>
      <c r="F3297">
        <f t="shared" si="51"/>
        <v>5.1349999999999998</v>
      </c>
    </row>
    <row r="3298" spans="1:6" x14ac:dyDescent="0.3">
      <c r="A3298" t="s">
        <v>849</v>
      </c>
      <c r="B3298" t="s">
        <v>2144</v>
      </c>
      <c r="C3298">
        <v>4.5</v>
      </c>
      <c r="D3298">
        <v>103</v>
      </c>
      <c r="E3298">
        <f>IF(OR(B3298="vi",B3298="ii",B3298="pod"),(((D3298/100)*(C3298*VLOOKUP(B3298,'Poids des runes'!A:B,2,FALSE)))+1),(((D3298/100)*(C3298*VLOOKUP(B3298,'Poids des runes'!A:B,2,FALSE)))+1)/VLOOKUP(B3298,'Poids des runes'!A:B,2,FALSE))</f>
        <v>5.1349999999999998</v>
      </c>
      <c r="F3298">
        <f t="shared" si="51"/>
        <v>5.1349999999999998</v>
      </c>
    </row>
    <row r="3299" spans="1:6" x14ac:dyDescent="0.3">
      <c r="A3299" t="s">
        <v>849</v>
      </c>
      <c r="B3299" t="s">
        <v>2145</v>
      </c>
      <c r="C3299">
        <v>4.5</v>
      </c>
      <c r="D3299">
        <v>103</v>
      </c>
      <c r="E3299">
        <f>IF(OR(B3299="vi",B3299="ii",B3299="pod"),(((D3299/100)*(C3299*VLOOKUP(B3299,'Poids des runes'!A:B,2,FALSE)))+1),(((D3299/100)*(C3299*VLOOKUP(B3299,'Poids des runes'!A:B,2,FALSE)))+1)/VLOOKUP(B3299,'Poids des runes'!A:B,2,FALSE))</f>
        <v>5.1349999999999998</v>
      </c>
      <c r="F3299">
        <f t="shared" si="51"/>
        <v>5.1349999999999998</v>
      </c>
    </row>
    <row r="3300" spans="1:6" x14ac:dyDescent="0.3">
      <c r="A3300" t="s">
        <v>849</v>
      </c>
      <c r="B3300" t="s">
        <v>2146</v>
      </c>
      <c r="C3300">
        <v>4.5</v>
      </c>
      <c r="D3300">
        <v>103</v>
      </c>
      <c r="E3300">
        <f>IF(OR(B3300="vi",B3300="ii",B3300="pod"),(((D3300/100)*(C3300*VLOOKUP(B3300,'Poids des runes'!A:B,2,FALSE)))+1),(((D3300/100)*(C3300*VLOOKUP(B3300,'Poids des runes'!A:B,2,FALSE)))+1)/VLOOKUP(B3300,'Poids des runes'!A:B,2,FALSE))</f>
        <v>5.1349999999999998</v>
      </c>
      <c r="F3300">
        <f t="shared" si="51"/>
        <v>5.1349999999999998</v>
      </c>
    </row>
    <row r="3301" spans="1:6" x14ac:dyDescent="0.3">
      <c r="A3301" t="s">
        <v>850</v>
      </c>
      <c r="B3301" t="s">
        <v>2128</v>
      </c>
      <c r="C3301">
        <v>85.5</v>
      </c>
      <c r="D3301">
        <v>103</v>
      </c>
      <c r="E3301">
        <f>IF(OR(B3301="vi",B3301="ii",B3301="pod"),(((D3301/100)*(C3301*VLOOKUP(B3301,'Poids des runes'!A:B,2,FALSE)))+1),(((D3301/100)*(C3301*VLOOKUP(B3301,'Poids des runes'!A:B,2,FALSE)))+1)/VLOOKUP(B3301,'Poids des runes'!A:B,2,FALSE))</f>
        <v>18.613000000000003</v>
      </c>
      <c r="F3301">
        <f t="shared" si="51"/>
        <v>18.613000000000003</v>
      </c>
    </row>
    <row r="3302" spans="1:6" x14ac:dyDescent="0.3">
      <c r="A3302" t="s">
        <v>850</v>
      </c>
      <c r="B3302" t="s">
        <v>2130</v>
      </c>
      <c r="C3302">
        <v>25.5</v>
      </c>
      <c r="D3302">
        <v>103</v>
      </c>
      <c r="E3302">
        <f>IF(OR(B3302="vi",B3302="ii",B3302="pod"),(((D3302/100)*(C3302*VLOOKUP(B3302,'Poids des runes'!A:B,2,FALSE)))+1),(((D3302/100)*(C3302*VLOOKUP(B3302,'Poids des runes'!A:B,2,FALSE)))+1)/VLOOKUP(B3302,'Poids des runes'!A:B,2,FALSE))</f>
        <v>27.265000000000001</v>
      </c>
      <c r="F3302">
        <f t="shared" si="51"/>
        <v>27.265000000000001</v>
      </c>
    </row>
    <row r="3303" spans="1:6" x14ac:dyDescent="0.3">
      <c r="A3303" t="s">
        <v>850</v>
      </c>
      <c r="B3303" t="s">
        <v>2131</v>
      </c>
      <c r="C3303">
        <v>25.5</v>
      </c>
      <c r="D3303">
        <v>103</v>
      </c>
      <c r="E3303">
        <f>IF(OR(B3303="vi",B3303="ii",B3303="pod"),(((D3303/100)*(C3303*VLOOKUP(B3303,'Poids des runes'!A:B,2,FALSE)))+1),(((D3303/100)*(C3303*VLOOKUP(B3303,'Poids des runes'!A:B,2,FALSE)))+1)/VLOOKUP(B3303,'Poids des runes'!A:B,2,FALSE))</f>
        <v>27.265000000000001</v>
      </c>
      <c r="F3303">
        <f t="shared" si="51"/>
        <v>27.265000000000001</v>
      </c>
    </row>
    <row r="3304" spans="1:6" x14ac:dyDescent="0.3">
      <c r="A3304" t="s">
        <v>850</v>
      </c>
      <c r="B3304" t="s">
        <v>2129</v>
      </c>
      <c r="C3304">
        <v>15.5</v>
      </c>
      <c r="D3304">
        <v>103</v>
      </c>
      <c r="E3304">
        <f>IF(OR(B3304="vi",B3304="ii",B3304="pod"),(((D3304/100)*(C3304*VLOOKUP(B3304,'Poids des runes'!A:B,2,FALSE)))+1),(((D3304/100)*(C3304*VLOOKUP(B3304,'Poids des runes'!A:B,2,FALSE)))+1)/VLOOKUP(B3304,'Poids des runes'!A:B,2,FALSE))</f>
        <v>16.965</v>
      </c>
      <c r="F3304">
        <f t="shared" si="51"/>
        <v>16.965</v>
      </c>
    </row>
    <row r="3305" spans="1:6" x14ac:dyDescent="0.3">
      <c r="A3305" t="s">
        <v>850</v>
      </c>
      <c r="B3305" t="s">
        <v>2151</v>
      </c>
      <c r="C3305">
        <v>3.5</v>
      </c>
      <c r="D3305">
        <v>103</v>
      </c>
      <c r="E3305">
        <f>IF(OR(B3305="vi",B3305="ii",B3305="pod"),(((D3305/100)*(C3305*VLOOKUP(B3305,'Poids des runes'!A:B,2,FALSE)))+1),(((D3305/100)*(C3305*VLOOKUP(B3305,'Poids des runes'!A:B,2,FALSE)))+1)/VLOOKUP(B3305,'Poids des runes'!A:B,2,FALSE))</f>
        <v>3.7050000000000005</v>
      </c>
      <c r="F3305">
        <f t="shared" si="51"/>
        <v>3.7050000000000005</v>
      </c>
    </row>
    <row r="3306" spans="1:6" x14ac:dyDescent="0.3">
      <c r="A3306" t="s">
        <v>850</v>
      </c>
      <c r="B3306" t="s">
        <v>2152</v>
      </c>
      <c r="C3306">
        <v>1</v>
      </c>
      <c r="D3306">
        <v>103</v>
      </c>
      <c r="E3306">
        <f>IF(OR(B3306="vi",B3306="ii",B3306="pod"),(((D3306/100)*(C3306*VLOOKUP(B3306,'Poids des runes'!A:B,2,FALSE)))+1),(((D3306/100)*(C3306*VLOOKUP(B3306,'Poids des runes'!A:B,2,FALSE)))+1)/VLOOKUP(B3306,'Poids des runes'!A:B,2,FALSE))</f>
        <v>1.04</v>
      </c>
      <c r="F3306">
        <f t="shared" si="51"/>
        <v>1.04</v>
      </c>
    </row>
    <row r="3307" spans="1:6" x14ac:dyDescent="0.3">
      <c r="A3307" t="s">
        <v>850</v>
      </c>
      <c r="B3307" t="s">
        <v>2143</v>
      </c>
      <c r="C3307">
        <v>5</v>
      </c>
      <c r="D3307">
        <v>103</v>
      </c>
      <c r="E3307">
        <f>IF(OR(B3307="vi",B3307="ii",B3307="pod"),(((D3307/100)*(C3307*VLOOKUP(B3307,'Poids des runes'!A:B,2,FALSE)))+1),(((D3307/100)*(C3307*VLOOKUP(B3307,'Poids des runes'!A:B,2,FALSE)))+1)/VLOOKUP(B3307,'Poids des runes'!A:B,2,FALSE))</f>
        <v>5.35</v>
      </c>
      <c r="F3307">
        <f t="shared" si="51"/>
        <v>5.35</v>
      </c>
    </row>
    <row r="3308" spans="1:6" x14ac:dyDescent="0.3">
      <c r="A3308" t="s">
        <v>850</v>
      </c>
      <c r="B3308" t="s">
        <v>2133</v>
      </c>
      <c r="C3308">
        <v>5</v>
      </c>
      <c r="D3308">
        <v>103</v>
      </c>
      <c r="E3308">
        <f>IF(OR(B3308="vi",B3308="ii",B3308="pod"),(((D3308/100)*(C3308*VLOOKUP(B3308,'Poids des runes'!A:B,2,FALSE)))+1),(((D3308/100)*(C3308*VLOOKUP(B3308,'Poids des runes'!A:B,2,FALSE)))+1)/VLOOKUP(B3308,'Poids des runes'!A:B,2,FALSE))</f>
        <v>5.35</v>
      </c>
      <c r="F3308">
        <f t="shared" si="51"/>
        <v>5.35</v>
      </c>
    </row>
    <row r="3309" spans="1:6" x14ac:dyDescent="0.3">
      <c r="A3309" t="s">
        <v>850</v>
      </c>
      <c r="B3309" t="s">
        <v>2156</v>
      </c>
      <c r="C3309">
        <v>6</v>
      </c>
      <c r="D3309">
        <v>103</v>
      </c>
      <c r="E3309">
        <f>IF(OR(B3309="vi",B3309="ii",B3309="pod"),(((D3309/100)*(C3309*VLOOKUP(B3309,'Poids des runes'!A:B,2,FALSE)))+1),(((D3309/100)*(C3309*VLOOKUP(B3309,'Poids des runes'!A:B,2,FALSE)))+1)/VLOOKUP(B3309,'Poids des runes'!A:B,2,FALSE))</f>
        <v>6.3466666666666667</v>
      </c>
      <c r="F3309">
        <f t="shared" si="51"/>
        <v>6.3466666666666667</v>
      </c>
    </row>
    <row r="3310" spans="1:6" x14ac:dyDescent="0.3">
      <c r="A3310" t="s">
        <v>851</v>
      </c>
      <c r="B3310" t="s">
        <v>2128</v>
      </c>
      <c r="C3310">
        <v>85.5</v>
      </c>
      <c r="D3310">
        <v>103</v>
      </c>
      <c r="E3310">
        <f>IF(OR(B3310="vi",B3310="ii",B3310="pod"),(((D3310/100)*(C3310*VLOOKUP(B3310,'Poids des runes'!A:B,2,FALSE)))+1),(((D3310/100)*(C3310*VLOOKUP(B3310,'Poids des runes'!A:B,2,FALSE)))+1)/VLOOKUP(B3310,'Poids des runes'!A:B,2,FALSE))</f>
        <v>18.613000000000003</v>
      </c>
      <c r="F3310">
        <f t="shared" si="51"/>
        <v>18.613000000000003</v>
      </c>
    </row>
    <row r="3311" spans="1:6" x14ac:dyDescent="0.3">
      <c r="A3311" t="s">
        <v>851</v>
      </c>
      <c r="B3311" t="s">
        <v>2127</v>
      </c>
      <c r="C3311">
        <v>33</v>
      </c>
      <c r="D3311">
        <v>103</v>
      </c>
      <c r="E3311">
        <f>IF(OR(B3311="vi",B3311="ii",B3311="pod"),(((D3311/100)*(C3311*VLOOKUP(B3311,'Poids des runes'!A:B,2,FALSE)))+1),(((D3311/100)*(C3311*VLOOKUP(B3311,'Poids des runes'!A:B,2,FALSE)))+1)/VLOOKUP(B3311,'Poids des runes'!A:B,2,FALSE))</f>
        <v>34.99</v>
      </c>
      <c r="F3311">
        <f t="shared" si="51"/>
        <v>34.99</v>
      </c>
    </row>
    <row r="3312" spans="1:6" x14ac:dyDescent="0.3">
      <c r="A3312" t="s">
        <v>851</v>
      </c>
      <c r="B3312" t="s">
        <v>2129</v>
      </c>
      <c r="C3312">
        <v>20.5</v>
      </c>
      <c r="D3312">
        <v>103</v>
      </c>
      <c r="E3312">
        <f>IF(OR(B3312="vi",B3312="ii",B3312="pod"),(((D3312/100)*(C3312*VLOOKUP(B3312,'Poids des runes'!A:B,2,FALSE)))+1),(((D3312/100)*(C3312*VLOOKUP(B3312,'Poids des runes'!A:B,2,FALSE)))+1)/VLOOKUP(B3312,'Poids des runes'!A:B,2,FALSE))</f>
        <v>22.115000000000002</v>
      </c>
      <c r="F3312">
        <f t="shared" si="51"/>
        <v>22.115000000000002</v>
      </c>
    </row>
    <row r="3313" spans="1:6" x14ac:dyDescent="0.3">
      <c r="A3313" t="s">
        <v>851</v>
      </c>
      <c r="B3313" t="s">
        <v>2151</v>
      </c>
      <c r="C3313">
        <v>3.5</v>
      </c>
      <c r="D3313">
        <v>103</v>
      </c>
      <c r="E3313">
        <f>IF(OR(B3313="vi",B3313="ii",B3313="pod"),(((D3313/100)*(C3313*VLOOKUP(B3313,'Poids des runes'!A:B,2,FALSE)))+1),(((D3313/100)*(C3313*VLOOKUP(B3313,'Poids des runes'!A:B,2,FALSE)))+1)/VLOOKUP(B3313,'Poids des runes'!A:B,2,FALSE))</f>
        <v>3.7050000000000005</v>
      </c>
      <c r="F3313">
        <f t="shared" si="51"/>
        <v>3.7050000000000005</v>
      </c>
    </row>
    <row r="3314" spans="1:6" x14ac:dyDescent="0.3">
      <c r="A3314" t="s">
        <v>851</v>
      </c>
      <c r="B3314" t="s">
        <v>2152</v>
      </c>
      <c r="C3314">
        <v>1</v>
      </c>
      <c r="D3314">
        <v>103</v>
      </c>
      <c r="E3314">
        <f>IF(OR(B3314="vi",B3314="ii",B3314="pod"),(((D3314/100)*(C3314*VLOOKUP(B3314,'Poids des runes'!A:B,2,FALSE)))+1),(((D3314/100)*(C3314*VLOOKUP(B3314,'Poids des runes'!A:B,2,FALSE)))+1)/VLOOKUP(B3314,'Poids des runes'!A:B,2,FALSE))</f>
        <v>1.04</v>
      </c>
      <c r="F3314">
        <f t="shared" si="51"/>
        <v>1.04</v>
      </c>
    </row>
    <row r="3315" spans="1:6" x14ac:dyDescent="0.3">
      <c r="A3315" t="s">
        <v>851</v>
      </c>
      <c r="B3315" t="s">
        <v>2153</v>
      </c>
      <c r="C3315">
        <v>2.5</v>
      </c>
      <c r="D3315">
        <v>103</v>
      </c>
      <c r="E3315">
        <f>IF(OR(B3315="vi",B3315="ii",B3315="pod"),(((D3315/100)*(C3315*VLOOKUP(B3315,'Poids des runes'!A:B,2,FALSE)))+1),(((D3315/100)*(C3315*VLOOKUP(B3315,'Poids des runes'!A:B,2,FALSE)))+1)/VLOOKUP(B3315,'Poids des runes'!A:B,2,FALSE))</f>
        <v>2.7749999999999999</v>
      </c>
      <c r="F3315">
        <f t="shared" si="51"/>
        <v>2.7749999999999999</v>
      </c>
    </row>
    <row r="3316" spans="1:6" x14ac:dyDescent="0.3">
      <c r="A3316" t="s">
        <v>851</v>
      </c>
      <c r="B3316" t="s">
        <v>2157</v>
      </c>
      <c r="C3316">
        <v>1.5</v>
      </c>
      <c r="D3316">
        <v>103</v>
      </c>
      <c r="E3316">
        <f>IF(OR(B3316="vi",B3316="ii",B3316="pod"),(((D3316/100)*(C3316*VLOOKUP(B3316,'Poids des runes'!A:B,2,FALSE)))+1),(((D3316/100)*(C3316*VLOOKUP(B3316,'Poids des runes'!A:B,2,FALSE)))+1)/VLOOKUP(B3316,'Poids des runes'!A:B,2,FALSE))</f>
        <v>1.7116666666666667</v>
      </c>
      <c r="F3316">
        <f t="shared" si="51"/>
        <v>1.7116666666666667</v>
      </c>
    </row>
    <row r="3317" spans="1:6" x14ac:dyDescent="0.3">
      <c r="A3317" t="s">
        <v>851</v>
      </c>
      <c r="B3317" t="s">
        <v>2144</v>
      </c>
      <c r="C3317">
        <v>5</v>
      </c>
      <c r="D3317">
        <v>103</v>
      </c>
      <c r="E3317">
        <f>IF(OR(B3317="vi",B3317="ii",B3317="pod"),(((D3317/100)*(C3317*VLOOKUP(B3317,'Poids des runes'!A:B,2,FALSE)))+1),(((D3317/100)*(C3317*VLOOKUP(B3317,'Poids des runes'!A:B,2,FALSE)))+1)/VLOOKUP(B3317,'Poids des runes'!A:B,2,FALSE))</f>
        <v>5.65</v>
      </c>
      <c r="F3317">
        <f t="shared" si="51"/>
        <v>5.65</v>
      </c>
    </row>
    <row r="3318" spans="1:6" x14ac:dyDescent="0.3">
      <c r="A3318" t="s">
        <v>852</v>
      </c>
      <c r="B3318" t="s">
        <v>2128</v>
      </c>
      <c r="C3318">
        <v>105.5</v>
      </c>
      <c r="D3318">
        <v>104</v>
      </c>
      <c r="E3318">
        <f>IF(OR(B3318="vi",B3318="ii",B3318="pod"),(((D3318/100)*(C3318*VLOOKUP(B3318,'Poids des runes'!A:B,2,FALSE)))+1),(((D3318/100)*(C3318*VLOOKUP(B3318,'Poids des runes'!A:B,2,FALSE)))+1)/VLOOKUP(B3318,'Poids des runes'!A:B,2,FALSE))</f>
        <v>22.944000000000003</v>
      </c>
      <c r="F3318">
        <f t="shared" si="51"/>
        <v>22.944000000000003</v>
      </c>
    </row>
    <row r="3319" spans="1:6" x14ac:dyDescent="0.3">
      <c r="A3319" t="s">
        <v>852</v>
      </c>
      <c r="B3319" t="s">
        <v>2126</v>
      </c>
      <c r="C3319">
        <v>33</v>
      </c>
      <c r="D3319">
        <v>104</v>
      </c>
      <c r="E3319">
        <f>IF(OR(B3319="vi",B3319="ii",B3319="pod"),(((D3319/100)*(C3319*VLOOKUP(B3319,'Poids des runes'!A:B,2,FALSE)))+1),(((D3319/100)*(C3319*VLOOKUP(B3319,'Poids des runes'!A:B,2,FALSE)))+1)/VLOOKUP(B3319,'Poids des runes'!A:B,2,FALSE))</f>
        <v>35.32</v>
      </c>
      <c r="F3319">
        <f t="shared" si="51"/>
        <v>35.32</v>
      </c>
    </row>
    <row r="3320" spans="1:6" x14ac:dyDescent="0.3">
      <c r="A3320" t="s">
        <v>852</v>
      </c>
      <c r="B3320" t="s">
        <v>2127</v>
      </c>
      <c r="C3320">
        <v>33</v>
      </c>
      <c r="D3320">
        <v>104</v>
      </c>
      <c r="E3320">
        <f>IF(OR(B3320="vi",B3320="ii",B3320="pod"),(((D3320/100)*(C3320*VLOOKUP(B3320,'Poids des runes'!A:B,2,FALSE)))+1),(((D3320/100)*(C3320*VLOOKUP(B3320,'Poids des runes'!A:B,2,FALSE)))+1)/VLOOKUP(B3320,'Poids des runes'!A:B,2,FALSE))</f>
        <v>35.32</v>
      </c>
      <c r="F3320">
        <f t="shared" si="51"/>
        <v>35.32</v>
      </c>
    </row>
    <row r="3321" spans="1:6" x14ac:dyDescent="0.3">
      <c r="A3321" t="s">
        <v>852</v>
      </c>
      <c r="B3321" t="s">
        <v>2129</v>
      </c>
      <c r="C3321">
        <v>25.5</v>
      </c>
      <c r="D3321">
        <v>104</v>
      </c>
      <c r="E3321">
        <f>IF(OR(B3321="vi",B3321="ii",B3321="pod"),(((D3321/100)*(C3321*VLOOKUP(B3321,'Poids des runes'!A:B,2,FALSE)))+1),(((D3321/100)*(C3321*VLOOKUP(B3321,'Poids des runes'!A:B,2,FALSE)))+1)/VLOOKUP(B3321,'Poids des runes'!A:B,2,FALSE))</f>
        <v>27.52</v>
      </c>
      <c r="F3321">
        <f t="shared" si="51"/>
        <v>27.52</v>
      </c>
    </row>
    <row r="3322" spans="1:6" x14ac:dyDescent="0.3">
      <c r="A3322" t="s">
        <v>852</v>
      </c>
      <c r="B3322" t="s">
        <v>2134</v>
      </c>
      <c r="C3322">
        <v>5</v>
      </c>
      <c r="D3322">
        <v>104</v>
      </c>
      <c r="E3322">
        <f>IF(OR(B3322="vi",B3322="ii",B3322="pod"),(((D3322/100)*(C3322*VLOOKUP(B3322,'Poids des runes'!A:B,2,FALSE)))+1),(((D3322/100)*(C3322*VLOOKUP(B3322,'Poids des runes'!A:B,2,FALSE)))+1)/VLOOKUP(B3322,'Poids des runes'!A:B,2,FALSE))</f>
        <v>5.25</v>
      </c>
      <c r="F3322">
        <f t="shared" si="51"/>
        <v>5.25</v>
      </c>
    </row>
    <row r="3323" spans="1:6" x14ac:dyDescent="0.3">
      <c r="A3323" t="s">
        <v>852</v>
      </c>
      <c r="B3323" t="s">
        <v>2149</v>
      </c>
      <c r="C3323">
        <v>6.5</v>
      </c>
      <c r="D3323">
        <v>104</v>
      </c>
      <c r="E3323">
        <f>IF(OR(B3323="vi",B3323="ii",B3323="pod"),(((D3323/100)*(C3323*VLOOKUP(B3323,'Poids des runes'!A:B,2,FALSE)))+1),(((D3323/100)*(C3323*VLOOKUP(B3323,'Poids des runes'!A:B,2,FALSE)))+1)/VLOOKUP(B3323,'Poids des runes'!A:B,2,FALSE))</f>
        <v>6.8600000000000012</v>
      </c>
      <c r="F3323">
        <f t="shared" si="51"/>
        <v>6.8600000000000012</v>
      </c>
    </row>
    <row r="3324" spans="1:6" x14ac:dyDescent="0.3">
      <c r="A3324" t="s">
        <v>852</v>
      </c>
      <c r="B3324" t="s">
        <v>2161</v>
      </c>
      <c r="C3324">
        <v>8</v>
      </c>
      <c r="D3324">
        <v>104</v>
      </c>
      <c r="E3324">
        <f>IF(OR(B3324="vi",B3324="ii",B3324="pod"),(((D3324/100)*(C3324*VLOOKUP(B3324,'Poids des runes'!A:B,2,FALSE)))+1),(((D3324/100)*(C3324*VLOOKUP(B3324,'Poids des runes'!A:B,2,FALSE)))+1)/VLOOKUP(B3324,'Poids des runes'!A:B,2,FALSE))</f>
        <v>8.6533333333333342</v>
      </c>
      <c r="F3324">
        <f t="shared" si="51"/>
        <v>8.6533333333333342</v>
      </c>
    </row>
    <row r="3325" spans="1:6" x14ac:dyDescent="0.3">
      <c r="A3325" t="s">
        <v>852</v>
      </c>
      <c r="B3325" t="s">
        <v>2156</v>
      </c>
      <c r="C3325">
        <v>3.5</v>
      </c>
      <c r="D3325">
        <v>104</v>
      </c>
      <c r="E3325">
        <f>IF(OR(B3325="vi",B3325="ii",B3325="pod"),(((D3325/100)*(C3325*VLOOKUP(B3325,'Poids des runes'!A:B,2,FALSE)))+1),(((D3325/100)*(C3325*VLOOKUP(B3325,'Poids des runes'!A:B,2,FALSE)))+1)/VLOOKUP(B3325,'Poids des runes'!A:B,2,FALSE))</f>
        <v>3.8066666666666666</v>
      </c>
      <c r="F3325">
        <f t="shared" si="51"/>
        <v>3.8066666666666666</v>
      </c>
    </row>
    <row r="3326" spans="1:6" x14ac:dyDescent="0.3">
      <c r="A3326" t="s">
        <v>853</v>
      </c>
      <c r="B3326" t="s">
        <v>2128</v>
      </c>
      <c r="C3326">
        <v>85.5</v>
      </c>
      <c r="D3326">
        <v>104</v>
      </c>
      <c r="E3326">
        <f>IF(OR(B3326="vi",B3326="ii",B3326="pod"),(((D3326/100)*(C3326*VLOOKUP(B3326,'Poids des runes'!A:B,2,FALSE)))+1),(((D3326/100)*(C3326*VLOOKUP(B3326,'Poids des runes'!A:B,2,FALSE)))+1)/VLOOKUP(B3326,'Poids des runes'!A:B,2,FALSE))</f>
        <v>18.784000000000002</v>
      </c>
      <c r="F3326">
        <f t="shared" si="51"/>
        <v>18.784000000000002</v>
      </c>
    </row>
    <row r="3327" spans="1:6" x14ac:dyDescent="0.3">
      <c r="A3327" t="s">
        <v>853</v>
      </c>
      <c r="B3327" t="s">
        <v>2126</v>
      </c>
      <c r="C3327">
        <v>25.5</v>
      </c>
      <c r="D3327">
        <v>104</v>
      </c>
      <c r="E3327">
        <f>IF(OR(B3327="vi",B3327="ii",B3327="pod"),(((D3327/100)*(C3327*VLOOKUP(B3327,'Poids des runes'!A:B,2,FALSE)))+1),(((D3327/100)*(C3327*VLOOKUP(B3327,'Poids des runes'!A:B,2,FALSE)))+1)/VLOOKUP(B3327,'Poids des runes'!A:B,2,FALSE))</f>
        <v>27.52</v>
      </c>
      <c r="F3327">
        <f t="shared" si="51"/>
        <v>27.52</v>
      </c>
    </row>
    <row r="3328" spans="1:6" x14ac:dyDescent="0.3">
      <c r="A3328" t="s">
        <v>853</v>
      </c>
      <c r="B3328" t="s">
        <v>2131</v>
      </c>
      <c r="C3328">
        <v>35.5</v>
      </c>
      <c r="D3328">
        <v>104</v>
      </c>
      <c r="E3328">
        <f>IF(OR(B3328="vi",B3328="ii",B3328="pod"),(((D3328/100)*(C3328*VLOOKUP(B3328,'Poids des runes'!A:B,2,FALSE)))+1),(((D3328/100)*(C3328*VLOOKUP(B3328,'Poids des runes'!A:B,2,FALSE)))+1)/VLOOKUP(B3328,'Poids des runes'!A:B,2,FALSE))</f>
        <v>37.92</v>
      </c>
      <c r="F3328">
        <f t="shared" si="51"/>
        <v>37.92</v>
      </c>
    </row>
    <row r="3329" spans="1:6" x14ac:dyDescent="0.3">
      <c r="A3329" t="s">
        <v>853</v>
      </c>
      <c r="B3329" t="s">
        <v>2129</v>
      </c>
      <c r="C3329">
        <v>20.5</v>
      </c>
      <c r="D3329">
        <v>104</v>
      </c>
      <c r="E3329">
        <f>IF(OR(B3329="vi",B3329="ii",B3329="pod"),(((D3329/100)*(C3329*VLOOKUP(B3329,'Poids des runes'!A:B,2,FALSE)))+1),(((D3329/100)*(C3329*VLOOKUP(B3329,'Poids des runes'!A:B,2,FALSE)))+1)/VLOOKUP(B3329,'Poids des runes'!A:B,2,FALSE))</f>
        <v>22.32</v>
      </c>
      <c r="F3329">
        <f t="shared" si="51"/>
        <v>22.32</v>
      </c>
    </row>
    <row r="3330" spans="1:6" x14ac:dyDescent="0.3">
      <c r="A3330" t="s">
        <v>853</v>
      </c>
      <c r="B3330" t="s">
        <v>2151</v>
      </c>
      <c r="C3330">
        <v>2.5</v>
      </c>
      <c r="D3330">
        <v>104</v>
      </c>
      <c r="E3330">
        <f>IF(OR(B3330="vi",B3330="ii",B3330="pod"),(((D3330/100)*(C3330*VLOOKUP(B3330,'Poids des runes'!A:B,2,FALSE)))+1),(((D3330/100)*(C3330*VLOOKUP(B3330,'Poids des runes'!A:B,2,FALSE)))+1)/VLOOKUP(B3330,'Poids des runes'!A:B,2,FALSE))</f>
        <v>2.7</v>
      </c>
      <c r="F3330">
        <f t="shared" si="51"/>
        <v>2.7</v>
      </c>
    </row>
    <row r="3331" spans="1:6" x14ac:dyDescent="0.3">
      <c r="A3331" t="s">
        <v>853</v>
      </c>
      <c r="B3331" t="s">
        <v>2140</v>
      </c>
      <c r="C3331">
        <v>5</v>
      </c>
      <c r="D3331">
        <v>104</v>
      </c>
      <c r="E3331">
        <f>IF(OR(B3331="vi",B3331="ii",B3331="pod"),(((D3331/100)*(C3331*VLOOKUP(B3331,'Poids des runes'!A:B,2,FALSE)))+1),(((D3331/100)*(C3331*VLOOKUP(B3331,'Poids des runes'!A:B,2,FALSE)))+1)/VLOOKUP(B3331,'Poids des runes'!A:B,2,FALSE))</f>
        <v>5.4</v>
      </c>
      <c r="F3331">
        <f t="shared" ref="F3331:F3394" si="52">E3331</f>
        <v>5.4</v>
      </c>
    </row>
    <row r="3332" spans="1:6" x14ac:dyDescent="0.3">
      <c r="A3332" t="s">
        <v>853</v>
      </c>
      <c r="B3332" t="s">
        <v>2133</v>
      </c>
      <c r="C3332">
        <v>5</v>
      </c>
      <c r="D3332">
        <v>104</v>
      </c>
      <c r="E3332">
        <f>IF(OR(B3332="vi",B3332="ii",B3332="pod"),(((D3332/100)*(C3332*VLOOKUP(B3332,'Poids des runes'!A:B,2,FALSE)))+1),(((D3332/100)*(C3332*VLOOKUP(B3332,'Poids des runes'!A:B,2,FALSE)))+1)/VLOOKUP(B3332,'Poids des runes'!A:B,2,FALSE))</f>
        <v>5.4</v>
      </c>
      <c r="F3332">
        <f t="shared" si="52"/>
        <v>5.4</v>
      </c>
    </row>
    <row r="3333" spans="1:6" x14ac:dyDescent="0.3">
      <c r="A3333" t="s">
        <v>853</v>
      </c>
      <c r="B3333" t="s">
        <v>2149</v>
      </c>
      <c r="C3333">
        <v>4.5</v>
      </c>
      <c r="D3333">
        <v>104</v>
      </c>
      <c r="E3333">
        <f>IF(OR(B3333="vi",B3333="ii",B3333="pod"),(((D3333/100)*(C3333*VLOOKUP(B3333,'Poids des runes'!A:B,2,FALSE)))+1),(((D3333/100)*(C3333*VLOOKUP(B3333,'Poids des runes'!A:B,2,FALSE)))+1)/VLOOKUP(B3333,'Poids des runes'!A:B,2,FALSE))</f>
        <v>4.78</v>
      </c>
      <c r="F3333">
        <f t="shared" si="52"/>
        <v>4.78</v>
      </c>
    </row>
    <row r="3334" spans="1:6" x14ac:dyDescent="0.3">
      <c r="A3334" t="s">
        <v>853</v>
      </c>
      <c r="B3334" t="s">
        <v>2141</v>
      </c>
      <c r="C3334">
        <v>2.5</v>
      </c>
      <c r="D3334">
        <v>104</v>
      </c>
      <c r="E3334">
        <f>IF(OR(B3334="vi",B3334="ii",B3334="pod"),(((D3334/100)*(C3334*VLOOKUP(B3334,'Poids des runes'!A:B,2,FALSE)))+1),(((D3334/100)*(C3334*VLOOKUP(B3334,'Poids des runes'!A:B,2,FALSE)))+1)/VLOOKUP(B3334,'Poids des runes'!A:B,2,FALSE))</f>
        <v>2.85</v>
      </c>
      <c r="F3334">
        <f t="shared" si="52"/>
        <v>2.85</v>
      </c>
    </row>
    <row r="3335" spans="1:6" x14ac:dyDescent="0.3">
      <c r="A3335" t="s">
        <v>853</v>
      </c>
      <c r="B3335" t="s">
        <v>2160</v>
      </c>
      <c r="C3335">
        <v>2.5</v>
      </c>
      <c r="D3335">
        <v>104</v>
      </c>
      <c r="E3335">
        <f>IF(OR(B3335="vi",B3335="ii",B3335="pod"),(((D3335/100)*(C3335*VLOOKUP(B3335,'Poids des runes'!A:B,2,FALSE)))+1),(((D3335/100)*(C3335*VLOOKUP(B3335,'Poids des runes'!A:B,2,FALSE)))+1)/VLOOKUP(B3335,'Poids des runes'!A:B,2,FALSE))</f>
        <v>2.7428571428571429</v>
      </c>
      <c r="F3335">
        <f t="shared" si="52"/>
        <v>2.7428571428571429</v>
      </c>
    </row>
    <row r="3336" spans="1:6" x14ac:dyDescent="0.3">
      <c r="A3336" t="s">
        <v>853</v>
      </c>
      <c r="B3336" t="s">
        <v>2164</v>
      </c>
      <c r="C3336">
        <v>8.5</v>
      </c>
      <c r="D3336">
        <v>104</v>
      </c>
      <c r="E3336">
        <f>IF(OR(B3336="vi",B3336="ii",B3336="pod"),(((D3336/100)*(C3336*VLOOKUP(B3336,'Poids des runes'!A:B,2,FALSE)))+1),(((D3336/100)*(C3336*VLOOKUP(B3336,'Poids des runes'!A:B,2,FALSE)))+1)/VLOOKUP(B3336,'Poids des runes'!A:B,2,FALSE))</f>
        <v>9.34</v>
      </c>
      <c r="F3336">
        <f t="shared" si="52"/>
        <v>9.34</v>
      </c>
    </row>
    <row r="3337" spans="1:6" x14ac:dyDescent="0.3">
      <c r="A3337" t="s">
        <v>853</v>
      </c>
      <c r="B3337" t="s">
        <v>2156</v>
      </c>
      <c r="C3337">
        <v>4.5</v>
      </c>
      <c r="D3337">
        <v>104</v>
      </c>
      <c r="E3337">
        <f>IF(OR(B3337="vi",B3337="ii",B3337="pod"),(((D3337/100)*(C3337*VLOOKUP(B3337,'Poids des runes'!A:B,2,FALSE)))+1),(((D3337/100)*(C3337*VLOOKUP(B3337,'Poids des runes'!A:B,2,FALSE)))+1)/VLOOKUP(B3337,'Poids des runes'!A:B,2,FALSE))</f>
        <v>4.8466666666666667</v>
      </c>
      <c r="F3337">
        <f t="shared" si="52"/>
        <v>4.8466666666666667</v>
      </c>
    </row>
    <row r="3338" spans="1:6" x14ac:dyDescent="0.3">
      <c r="A3338" t="s">
        <v>853</v>
      </c>
      <c r="B3338" t="s">
        <v>2146</v>
      </c>
      <c r="C3338">
        <v>6</v>
      </c>
      <c r="D3338">
        <v>104</v>
      </c>
      <c r="E3338">
        <f>IF(OR(B3338="vi",B3338="ii",B3338="pod"),(((D3338/100)*(C3338*VLOOKUP(B3338,'Poids des runes'!A:B,2,FALSE)))+1),(((D3338/100)*(C3338*VLOOKUP(B3338,'Poids des runes'!A:B,2,FALSE)))+1)/VLOOKUP(B3338,'Poids des runes'!A:B,2,FALSE))</f>
        <v>6.74</v>
      </c>
      <c r="F3338">
        <f t="shared" si="52"/>
        <v>6.74</v>
      </c>
    </row>
    <row r="3339" spans="1:6" x14ac:dyDescent="0.3">
      <c r="A3339" t="s">
        <v>854</v>
      </c>
      <c r="B3339" t="s">
        <v>2128</v>
      </c>
      <c r="C3339">
        <v>100.5</v>
      </c>
      <c r="D3339">
        <v>104</v>
      </c>
      <c r="E3339">
        <f>IF(OR(B3339="vi",B3339="ii",B3339="pod"),(((D3339/100)*(C3339*VLOOKUP(B3339,'Poids des runes'!A:B,2,FALSE)))+1),(((D3339/100)*(C3339*VLOOKUP(B3339,'Poids des runes'!A:B,2,FALSE)))+1)/VLOOKUP(B3339,'Poids des runes'!A:B,2,FALSE))</f>
        <v>21.904000000000003</v>
      </c>
      <c r="F3339">
        <f t="shared" si="52"/>
        <v>21.904000000000003</v>
      </c>
    </row>
    <row r="3340" spans="1:6" x14ac:dyDescent="0.3">
      <c r="A3340" t="s">
        <v>854</v>
      </c>
      <c r="B3340" t="s">
        <v>2126</v>
      </c>
      <c r="C3340">
        <v>35.5</v>
      </c>
      <c r="D3340">
        <v>104</v>
      </c>
      <c r="E3340">
        <f>IF(OR(B3340="vi",B3340="ii",B3340="pod"),(((D3340/100)*(C3340*VLOOKUP(B3340,'Poids des runes'!A:B,2,FALSE)))+1),(((D3340/100)*(C3340*VLOOKUP(B3340,'Poids des runes'!A:B,2,FALSE)))+1)/VLOOKUP(B3340,'Poids des runes'!A:B,2,FALSE))</f>
        <v>37.92</v>
      </c>
      <c r="F3340">
        <f t="shared" si="52"/>
        <v>37.92</v>
      </c>
    </row>
    <row r="3341" spans="1:6" x14ac:dyDescent="0.3">
      <c r="A3341" t="s">
        <v>854</v>
      </c>
      <c r="B3341" t="s">
        <v>2127</v>
      </c>
      <c r="C3341">
        <v>35.5</v>
      </c>
      <c r="D3341">
        <v>104</v>
      </c>
      <c r="E3341">
        <f>IF(OR(B3341="vi",B3341="ii",B3341="pod"),(((D3341/100)*(C3341*VLOOKUP(B3341,'Poids des runes'!A:B,2,FALSE)))+1),(((D3341/100)*(C3341*VLOOKUP(B3341,'Poids des runes'!A:B,2,FALSE)))+1)/VLOOKUP(B3341,'Poids des runes'!A:B,2,FALSE))</f>
        <v>37.92</v>
      </c>
      <c r="F3341">
        <f t="shared" si="52"/>
        <v>37.92</v>
      </c>
    </row>
    <row r="3342" spans="1:6" x14ac:dyDescent="0.3">
      <c r="A3342" t="s">
        <v>854</v>
      </c>
      <c r="B3342" t="s">
        <v>2139</v>
      </c>
      <c r="C3342">
        <v>15.5</v>
      </c>
      <c r="D3342">
        <v>104</v>
      </c>
      <c r="E3342">
        <f>IF(OR(B3342="vi",B3342="ii",B3342="pod"),(((D3342/100)*(C3342*VLOOKUP(B3342,'Poids des runes'!A:B,2,FALSE)))+1),(((D3342/100)*(C3342*VLOOKUP(B3342,'Poids des runes'!A:B,2,FALSE)))+1)/VLOOKUP(B3342,'Poids des runes'!A:B,2,FALSE))</f>
        <v>16.62</v>
      </c>
      <c r="F3342">
        <f t="shared" si="52"/>
        <v>16.62</v>
      </c>
    </row>
    <row r="3343" spans="1:6" x14ac:dyDescent="0.3">
      <c r="A3343" t="s">
        <v>854</v>
      </c>
      <c r="B3343" t="s">
        <v>2150</v>
      </c>
      <c r="C3343">
        <v>1</v>
      </c>
      <c r="D3343">
        <v>104</v>
      </c>
      <c r="E3343">
        <f>IF(OR(B3343="vi",B3343="ii",B3343="pod"),(((D3343/100)*(C3343*VLOOKUP(B3343,'Poids des runes'!A:B,2,FALSE)))+1),(((D3343/100)*(C3343*VLOOKUP(B3343,'Poids des runes'!A:B,2,FALSE)))+1)/VLOOKUP(B3343,'Poids des runes'!A:B,2,FALSE))</f>
        <v>1.0733333333333335</v>
      </c>
      <c r="F3343">
        <f t="shared" si="52"/>
        <v>1.0733333333333335</v>
      </c>
    </row>
    <row r="3344" spans="1:6" x14ac:dyDescent="0.3">
      <c r="A3344" t="s">
        <v>854</v>
      </c>
      <c r="B3344" t="s">
        <v>2140</v>
      </c>
      <c r="C3344">
        <v>4</v>
      </c>
      <c r="D3344">
        <v>104</v>
      </c>
      <c r="E3344">
        <f>IF(OR(B3344="vi",B3344="ii",B3344="pod"),(((D3344/100)*(C3344*VLOOKUP(B3344,'Poids des runes'!A:B,2,FALSE)))+1),(((D3344/100)*(C3344*VLOOKUP(B3344,'Poids des runes'!A:B,2,FALSE)))+1)/VLOOKUP(B3344,'Poids des runes'!A:B,2,FALSE))</f>
        <v>4.3600000000000003</v>
      </c>
      <c r="F3344">
        <f t="shared" si="52"/>
        <v>4.3600000000000003</v>
      </c>
    </row>
    <row r="3345" spans="1:6" x14ac:dyDescent="0.3">
      <c r="A3345" t="s">
        <v>854</v>
      </c>
      <c r="B3345" t="s">
        <v>2153</v>
      </c>
      <c r="C3345">
        <v>4</v>
      </c>
      <c r="D3345">
        <v>104</v>
      </c>
      <c r="E3345">
        <f>IF(OR(B3345="vi",B3345="ii",B3345="pod"),(((D3345/100)*(C3345*VLOOKUP(B3345,'Poids des runes'!A:B,2,FALSE)))+1),(((D3345/100)*(C3345*VLOOKUP(B3345,'Poids des runes'!A:B,2,FALSE)))+1)/VLOOKUP(B3345,'Poids des runes'!A:B,2,FALSE))</f>
        <v>4.3600000000000003</v>
      </c>
      <c r="F3345">
        <f t="shared" si="52"/>
        <v>4.3600000000000003</v>
      </c>
    </row>
    <row r="3346" spans="1:6" x14ac:dyDescent="0.3">
      <c r="A3346" t="s">
        <v>854</v>
      </c>
      <c r="B3346" t="s">
        <v>2149</v>
      </c>
      <c r="C3346">
        <v>5</v>
      </c>
      <c r="D3346">
        <v>104</v>
      </c>
      <c r="E3346">
        <f>IF(OR(B3346="vi",B3346="ii",B3346="pod"),(((D3346/100)*(C3346*VLOOKUP(B3346,'Poids des runes'!A:B,2,FALSE)))+1),(((D3346/100)*(C3346*VLOOKUP(B3346,'Poids des runes'!A:B,2,FALSE)))+1)/VLOOKUP(B3346,'Poids des runes'!A:B,2,FALSE))</f>
        <v>5.3</v>
      </c>
      <c r="F3346">
        <f t="shared" si="52"/>
        <v>5.3</v>
      </c>
    </row>
    <row r="3347" spans="1:6" x14ac:dyDescent="0.3">
      <c r="A3347" t="s">
        <v>854</v>
      </c>
      <c r="B3347" t="s">
        <v>2161</v>
      </c>
      <c r="C3347">
        <v>13</v>
      </c>
      <c r="D3347">
        <v>104</v>
      </c>
      <c r="E3347">
        <f>IF(OR(B3347="vi",B3347="ii",B3347="pod"),(((D3347/100)*(C3347*VLOOKUP(B3347,'Poids des runes'!A:B,2,FALSE)))+1),(((D3347/100)*(C3347*VLOOKUP(B3347,'Poids des runes'!A:B,2,FALSE)))+1)/VLOOKUP(B3347,'Poids des runes'!A:B,2,FALSE))</f>
        <v>13.853333333333333</v>
      </c>
      <c r="F3347">
        <f t="shared" si="52"/>
        <v>13.853333333333333</v>
      </c>
    </row>
    <row r="3348" spans="1:6" x14ac:dyDescent="0.3">
      <c r="A3348" t="s">
        <v>855</v>
      </c>
      <c r="B3348" t="s">
        <v>2128</v>
      </c>
      <c r="C3348">
        <v>50.5</v>
      </c>
      <c r="D3348">
        <v>104</v>
      </c>
      <c r="E3348">
        <f>IF(OR(B3348="vi",B3348="ii",B3348="pod"),(((D3348/100)*(C3348*VLOOKUP(B3348,'Poids des runes'!A:B,2,FALSE)))+1),(((D3348/100)*(C3348*VLOOKUP(B3348,'Poids des runes'!A:B,2,FALSE)))+1)/VLOOKUP(B3348,'Poids des runes'!A:B,2,FALSE))</f>
        <v>11.504000000000001</v>
      </c>
      <c r="F3348">
        <f t="shared" si="52"/>
        <v>11.504000000000001</v>
      </c>
    </row>
    <row r="3349" spans="1:6" x14ac:dyDescent="0.3">
      <c r="A3349" t="s">
        <v>855</v>
      </c>
      <c r="B3349" t="s">
        <v>2130</v>
      </c>
      <c r="C3349">
        <v>30.5</v>
      </c>
      <c r="D3349">
        <v>104</v>
      </c>
      <c r="E3349">
        <f>IF(OR(B3349="vi",B3349="ii",B3349="pod"),(((D3349/100)*(C3349*VLOOKUP(B3349,'Poids des runes'!A:B,2,FALSE)))+1),(((D3349/100)*(C3349*VLOOKUP(B3349,'Poids des runes'!A:B,2,FALSE)))+1)/VLOOKUP(B3349,'Poids des runes'!A:B,2,FALSE))</f>
        <v>32.72</v>
      </c>
      <c r="F3349">
        <f t="shared" si="52"/>
        <v>32.72</v>
      </c>
    </row>
    <row r="3350" spans="1:6" x14ac:dyDescent="0.3">
      <c r="A3350" t="s">
        <v>855</v>
      </c>
      <c r="B3350" t="s">
        <v>2126</v>
      </c>
      <c r="C3350">
        <v>30.5</v>
      </c>
      <c r="D3350">
        <v>104</v>
      </c>
      <c r="E3350">
        <f>IF(OR(B3350="vi",B3350="ii",B3350="pod"),(((D3350/100)*(C3350*VLOOKUP(B3350,'Poids des runes'!A:B,2,FALSE)))+1),(((D3350/100)*(C3350*VLOOKUP(B3350,'Poids des runes'!A:B,2,FALSE)))+1)/VLOOKUP(B3350,'Poids des runes'!A:B,2,FALSE))</f>
        <v>32.72</v>
      </c>
      <c r="F3350">
        <f t="shared" si="52"/>
        <v>32.72</v>
      </c>
    </row>
    <row r="3351" spans="1:6" x14ac:dyDescent="0.3">
      <c r="A3351" t="s">
        <v>855</v>
      </c>
      <c r="B3351" t="s">
        <v>2129</v>
      </c>
      <c r="C3351">
        <v>18</v>
      </c>
      <c r="D3351">
        <v>104</v>
      </c>
      <c r="E3351">
        <f>IF(OR(B3351="vi",B3351="ii",B3351="pod"),(((D3351/100)*(C3351*VLOOKUP(B3351,'Poids des runes'!A:B,2,FALSE)))+1),(((D3351/100)*(C3351*VLOOKUP(B3351,'Poids des runes'!A:B,2,FALSE)))+1)/VLOOKUP(B3351,'Poids des runes'!A:B,2,FALSE))</f>
        <v>19.72</v>
      </c>
      <c r="F3351">
        <f t="shared" si="52"/>
        <v>19.72</v>
      </c>
    </row>
    <row r="3352" spans="1:6" x14ac:dyDescent="0.3">
      <c r="A3352" t="s">
        <v>855</v>
      </c>
      <c r="B3352" t="s">
        <v>2151</v>
      </c>
      <c r="C3352">
        <v>1.5</v>
      </c>
      <c r="D3352">
        <v>104</v>
      </c>
      <c r="E3352">
        <f>IF(OR(B3352="vi",B3352="ii",B3352="pod"),(((D3352/100)*(C3352*VLOOKUP(B3352,'Poids des runes'!A:B,2,FALSE)))+1),(((D3352/100)*(C3352*VLOOKUP(B3352,'Poids des runes'!A:B,2,FALSE)))+1)/VLOOKUP(B3352,'Poids des runes'!A:B,2,FALSE))</f>
        <v>1.6600000000000001</v>
      </c>
      <c r="F3352">
        <f t="shared" si="52"/>
        <v>1.6600000000000001</v>
      </c>
    </row>
    <row r="3353" spans="1:6" x14ac:dyDescent="0.3">
      <c r="A3353" t="s">
        <v>855</v>
      </c>
      <c r="B3353" t="s">
        <v>2154</v>
      </c>
      <c r="C3353">
        <v>1</v>
      </c>
      <c r="D3353">
        <v>104</v>
      </c>
      <c r="E3353">
        <f>IF(OR(B3353="vi",B3353="ii",B3353="pod"),(((D3353/100)*(C3353*VLOOKUP(B3353,'Poids des runes'!A:B,2,FALSE)))+1),(((D3353/100)*(C3353*VLOOKUP(B3353,'Poids des runes'!A:B,2,FALSE)))+1)/VLOOKUP(B3353,'Poids des runes'!A:B,2,FALSE))</f>
        <v>1.0511111111111111</v>
      </c>
      <c r="F3353">
        <f t="shared" si="52"/>
        <v>1.0511111111111111</v>
      </c>
    </row>
    <row r="3354" spans="1:6" x14ac:dyDescent="0.3">
      <c r="A3354" t="s">
        <v>855</v>
      </c>
      <c r="B3354" t="s">
        <v>2143</v>
      </c>
      <c r="C3354">
        <v>3.5</v>
      </c>
      <c r="D3354">
        <v>104</v>
      </c>
      <c r="E3354">
        <f>IF(OR(B3354="vi",B3354="ii",B3354="pod"),(((D3354/100)*(C3354*VLOOKUP(B3354,'Poids des runes'!A:B,2,FALSE)))+1),(((D3354/100)*(C3354*VLOOKUP(B3354,'Poids des runes'!A:B,2,FALSE)))+1)/VLOOKUP(B3354,'Poids des runes'!A:B,2,FALSE))</f>
        <v>3.84</v>
      </c>
      <c r="F3354">
        <f t="shared" si="52"/>
        <v>3.84</v>
      </c>
    </row>
    <row r="3355" spans="1:6" x14ac:dyDescent="0.3">
      <c r="A3355" t="s">
        <v>855</v>
      </c>
      <c r="B3355" t="s">
        <v>2140</v>
      </c>
      <c r="C3355">
        <v>3.5</v>
      </c>
      <c r="D3355">
        <v>104</v>
      </c>
      <c r="E3355">
        <f>IF(OR(B3355="vi",B3355="ii",B3355="pod"),(((D3355/100)*(C3355*VLOOKUP(B3355,'Poids des runes'!A:B,2,FALSE)))+1),(((D3355/100)*(C3355*VLOOKUP(B3355,'Poids des runes'!A:B,2,FALSE)))+1)/VLOOKUP(B3355,'Poids des runes'!A:B,2,FALSE))</f>
        <v>3.84</v>
      </c>
      <c r="F3355">
        <f t="shared" si="52"/>
        <v>3.84</v>
      </c>
    </row>
    <row r="3356" spans="1:6" x14ac:dyDescent="0.3">
      <c r="A3356" t="s">
        <v>855</v>
      </c>
      <c r="B3356" t="s">
        <v>2165</v>
      </c>
      <c r="C3356">
        <v>2.5</v>
      </c>
      <c r="D3356">
        <v>104</v>
      </c>
      <c r="E3356">
        <f>IF(OR(B3356="vi",B3356="ii",B3356="pod"),(((D3356/100)*(C3356*VLOOKUP(B3356,'Poids des runes'!A:B,2,FALSE)))+1),(((D3356/100)*(C3356*VLOOKUP(B3356,'Poids des runes'!A:B,2,FALSE)))+1)/VLOOKUP(B3356,'Poids des runes'!A:B,2,FALSE))</f>
        <v>2.7428571428571429</v>
      </c>
      <c r="F3356">
        <f t="shared" si="52"/>
        <v>2.7428571428571429</v>
      </c>
    </row>
    <row r="3357" spans="1:6" x14ac:dyDescent="0.3">
      <c r="A3357" t="s">
        <v>855</v>
      </c>
      <c r="B3357" t="s">
        <v>2142</v>
      </c>
      <c r="C3357">
        <v>7</v>
      </c>
      <c r="D3357">
        <v>104</v>
      </c>
      <c r="E3357">
        <f>IF(OR(B3357="vi",B3357="ii",B3357="pod"),(((D3357/100)*(C3357*VLOOKUP(B3357,'Poids des runes'!A:B,2,FALSE)))+1),(((D3357/100)*(C3357*VLOOKUP(B3357,'Poids des runes'!A:B,2,FALSE)))+1)/VLOOKUP(B3357,'Poids des runes'!A:B,2,FALSE))</f>
        <v>7.4799999999999995</v>
      </c>
      <c r="F3357">
        <f t="shared" si="52"/>
        <v>7.4799999999999995</v>
      </c>
    </row>
    <row r="3358" spans="1:6" x14ac:dyDescent="0.3">
      <c r="A3358" t="s">
        <v>855</v>
      </c>
      <c r="B3358" t="s">
        <v>2148</v>
      </c>
      <c r="C3358">
        <v>3.5</v>
      </c>
      <c r="D3358">
        <v>104</v>
      </c>
      <c r="E3358">
        <f>IF(OR(B3358="vi",B3358="ii",B3358="pod"),(((D3358/100)*(C3358*VLOOKUP(B3358,'Poids des runes'!A:B,2,FALSE)))+1),(((D3358/100)*(C3358*VLOOKUP(B3358,'Poids des runes'!A:B,2,FALSE)))+1)/VLOOKUP(B3358,'Poids des runes'!A:B,2,FALSE))</f>
        <v>3.8066666666666666</v>
      </c>
      <c r="F3358">
        <f t="shared" si="52"/>
        <v>3.8066666666666666</v>
      </c>
    </row>
    <row r="3359" spans="1:6" x14ac:dyDescent="0.3">
      <c r="A3359" t="s">
        <v>855</v>
      </c>
      <c r="B3359" t="s">
        <v>2147</v>
      </c>
      <c r="C3359">
        <v>3.5</v>
      </c>
      <c r="D3359">
        <v>104</v>
      </c>
      <c r="E3359">
        <f>IF(OR(B3359="vi",B3359="ii",B3359="pod"),(((D3359/100)*(C3359*VLOOKUP(B3359,'Poids des runes'!A:B,2,FALSE)))+1),(((D3359/100)*(C3359*VLOOKUP(B3359,'Poids des runes'!A:B,2,FALSE)))+1)/VLOOKUP(B3359,'Poids des runes'!A:B,2,FALSE))</f>
        <v>3.8066666666666666</v>
      </c>
      <c r="F3359">
        <f t="shared" si="52"/>
        <v>3.8066666666666666</v>
      </c>
    </row>
    <row r="3360" spans="1:6" x14ac:dyDescent="0.3">
      <c r="A3360" t="s">
        <v>855</v>
      </c>
      <c r="B3360" t="s">
        <v>2136</v>
      </c>
      <c r="C3360">
        <v>7</v>
      </c>
      <c r="D3360">
        <v>104</v>
      </c>
      <c r="E3360">
        <f>IF(OR(B3360="vi",B3360="ii",B3360="pod"),(((D3360/100)*(C3360*VLOOKUP(B3360,'Poids des runes'!A:B,2,FALSE)))+1),(((D3360/100)*(C3360*VLOOKUP(B3360,'Poids des runes'!A:B,2,FALSE)))+1)/VLOOKUP(B3360,'Poids des runes'!A:B,2,FALSE))</f>
        <v>7.78</v>
      </c>
      <c r="F3360">
        <f t="shared" si="52"/>
        <v>7.78</v>
      </c>
    </row>
    <row r="3361" spans="1:6" x14ac:dyDescent="0.3">
      <c r="A3361" t="s">
        <v>856</v>
      </c>
      <c r="B3361" t="s">
        <v>2128</v>
      </c>
      <c r="C3361">
        <v>80.5</v>
      </c>
      <c r="D3361">
        <v>104</v>
      </c>
      <c r="E3361">
        <f>IF(OR(B3361="vi",B3361="ii",B3361="pod"),(((D3361/100)*(C3361*VLOOKUP(B3361,'Poids des runes'!A:B,2,FALSE)))+1),(((D3361/100)*(C3361*VLOOKUP(B3361,'Poids des runes'!A:B,2,FALSE)))+1)/VLOOKUP(B3361,'Poids des runes'!A:B,2,FALSE))</f>
        <v>17.744000000000003</v>
      </c>
      <c r="F3361">
        <f t="shared" si="52"/>
        <v>17.744000000000003</v>
      </c>
    </row>
    <row r="3362" spans="1:6" x14ac:dyDescent="0.3">
      <c r="A3362" t="s">
        <v>856</v>
      </c>
      <c r="B3362" t="s">
        <v>2130</v>
      </c>
      <c r="C3362">
        <v>35.5</v>
      </c>
      <c r="D3362">
        <v>104</v>
      </c>
      <c r="E3362">
        <f>IF(OR(B3362="vi",B3362="ii",B3362="pod"),(((D3362/100)*(C3362*VLOOKUP(B3362,'Poids des runes'!A:B,2,FALSE)))+1),(((D3362/100)*(C3362*VLOOKUP(B3362,'Poids des runes'!A:B,2,FALSE)))+1)/VLOOKUP(B3362,'Poids des runes'!A:B,2,FALSE))</f>
        <v>37.92</v>
      </c>
      <c r="F3362">
        <f t="shared" si="52"/>
        <v>37.92</v>
      </c>
    </row>
    <row r="3363" spans="1:6" x14ac:dyDescent="0.3">
      <c r="A3363" t="s">
        <v>856</v>
      </c>
      <c r="B3363" t="s">
        <v>2129</v>
      </c>
      <c r="C3363">
        <v>20.5</v>
      </c>
      <c r="D3363">
        <v>104</v>
      </c>
      <c r="E3363">
        <f>IF(OR(B3363="vi",B3363="ii",B3363="pod"),(((D3363/100)*(C3363*VLOOKUP(B3363,'Poids des runes'!A:B,2,FALSE)))+1),(((D3363/100)*(C3363*VLOOKUP(B3363,'Poids des runes'!A:B,2,FALSE)))+1)/VLOOKUP(B3363,'Poids des runes'!A:B,2,FALSE))</f>
        <v>22.32</v>
      </c>
      <c r="F3363">
        <f t="shared" si="52"/>
        <v>22.32</v>
      </c>
    </row>
    <row r="3364" spans="1:6" x14ac:dyDescent="0.3">
      <c r="A3364" t="s">
        <v>856</v>
      </c>
      <c r="B3364" t="s">
        <v>2155</v>
      </c>
      <c r="C3364">
        <v>1</v>
      </c>
      <c r="D3364">
        <v>104</v>
      </c>
      <c r="E3364">
        <f>IF(OR(B3364="vi",B3364="ii",B3364="pod"),(((D3364/100)*(C3364*VLOOKUP(B3364,'Poids des runes'!A:B,2,FALSE)))+1),(((D3364/100)*(C3364*VLOOKUP(B3364,'Poids des runes'!A:B,2,FALSE)))+1)/VLOOKUP(B3364,'Poids des runes'!A:B,2,FALSE))</f>
        <v>1.0596078431372549</v>
      </c>
      <c r="F3364">
        <f t="shared" si="52"/>
        <v>1.0596078431372549</v>
      </c>
    </row>
    <row r="3365" spans="1:6" x14ac:dyDescent="0.3">
      <c r="A3365" t="s">
        <v>856</v>
      </c>
      <c r="B3365" t="s">
        <v>2150</v>
      </c>
      <c r="C3365">
        <v>1</v>
      </c>
      <c r="D3365">
        <v>104</v>
      </c>
      <c r="E3365">
        <f>IF(OR(B3365="vi",B3365="ii",B3365="pod"),(((D3365/100)*(C3365*VLOOKUP(B3365,'Poids des runes'!A:B,2,FALSE)))+1),(((D3365/100)*(C3365*VLOOKUP(B3365,'Poids des runes'!A:B,2,FALSE)))+1)/VLOOKUP(B3365,'Poids des runes'!A:B,2,FALSE))</f>
        <v>1.0733333333333335</v>
      </c>
      <c r="F3365">
        <f t="shared" si="52"/>
        <v>1.0733333333333335</v>
      </c>
    </row>
    <row r="3366" spans="1:6" x14ac:dyDescent="0.3">
      <c r="A3366" t="s">
        <v>856</v>
      </c>
      <c r="B3366" t="s">
        <v>2143</v>
      </c>
      <c r="C3366">
        <v>5</v>
      </c>
      <c r="D3366">
        <v>104</v>
      </c>
      <c r="E3366">
        <f>IF(OR(B3366="vi",B3366="ii",B3366="pod"),(((D3366/100)*(C3366*VLOOKUP(B3366,'Poids des runes'!A:B,2,FALSE)))+1),(((D3366/100)*(C3366*VLOOKUP(B3366,'Poids des runes'!A:B,2,FALSE)))+1)/VLOOKUP(B3366,'Poids des runes'!A:B,2,FALSE))</f>
        <v>5.4</v>
      </c>
      <c r="F3366">
        <f t="shared" si="52"/>
        <v>5.4</v>
      </c>
    </row>
    <row r="3367" spans="1:6" x14ac:dyDescent="0.3">
      <c r="A3367" t="s">
        <v>856</v>
      </c>
      <c r="B3367" t="s">
        <v>2161</v>
      </c>
      <c r="C3367">
        <v>8.5</v>
      </c>
      <c r="D3367">
        <v>104</v>
      </c>
      <c r="E3367">
        <f>IF(OR(B3367="vi",B3367="ii",B3367="pod"),(((D3367/100)*(C3367*VLOOKUP(B3367,'Poids des runes'!A:B,2,FALSE)))+1),(((D3367/100)*(C3367*VLOOKUP(B3367,'Poids des runes'!A:B,2,FALSE)))+1)/VLOOKUP(B3367,'Poids des runes'!A:B,2,FALSE))</f>
        <v>9.1733333333333338</v>
      </c>
      <c r="F3367">
        <f t="shared" si="52"/>
        <v>9.1733333333333338</v>
      </c>
    </row>
    <row r="3368" spans="1:6" x14ac:dyDescent="0.3">
      <c r="A3368" t="s">
        <v>856</v>
      </c>
      <c r="B3368" t="s">
        <v>2138</v>
      </c>
      <c r="C3368">
        <v>3.5</v>
      </c>
      <c r="D3368">
        <v>104</v>
      </c>
      <c r="E3368">
        <f>IF(OR(B3368="vi",B3368="ii",B3368="pod"),(((D3368/100)*(C3368*VLOOKUP(B3368,'Poids des runes'!A:B,2,FALSE)))+1),(((D3368/100)*(C3368*VLOOKUP(B3368,'Poids des runes'!A:B,2,FALSE)))+1)/VLOOKUP(B3368,'Poids des runes'!A:B,2,FALSE))</f>
        <v>3.89</v>
      </c>
      <c r="F3368">
        <f t="shared" si="52"/>
        <v>3.89</v>
      </c>
    </row>
    <row r="3369" spans="1:6" x14ac:dyDescent="0.3">
      <c r="A3369" t="s">
        <v>856</v>
      </c>
      <c r="B3369" t="s">
        <v>2160</v>
      </c>
      <c r="C3369">
        <v>2.5</v>
      </c>
      <c r="D3369">
        <v>104</v>
      </c>
      <c r="E3369">
        <f>IF(OR(B3369="vi",B3369="ii",B3369="pod"),(((D3369/100)*(C3369*VLOOKUP(B3369,'Poids des runes'!A:B,2,FALSE)))+1),(((D3369/100)*(C3369*VLOOKUP(B3369,'Poids des runes'!A:B,2,FALSE)))+1)/VLOOKUP(B3369,'Poids des runes'!A:B,2,FALSE))</f>
        <v>2.7428571428571429</v>
      </c>
      <c r="F3369">
        <f t="shared" si="52"/>
        <v>2.7428571428571429</v>
      </c>
    </row>
    <row r="3370" spans="1:6" x14ac:dyDescent="0.3">
      <c r="A3370" t="s">
        <v>856</v>
      </c>
      <c r="B3370" t="s">
        <v>2147</v>
      </c>
      <c r="C3370">
        <v>5</v>
      </c>
      <c r="D3370">
        <v>104</v>
      </c>
      <c r="E3370">
        <f>IF(OR(B3370="vi",B3370="ii",B3370="pod"),(((D3370/100)*(C3370*VLOOKUP(B3370,'Poids des runes'!A:B,2,FALSE)))+1),(((D3370/100)*(C3370*VLOOKUP(B3370,'Poids des runes'!A:B,2,FALSE)))+1)/VLOOKUP(B3370,'Poids des runes'!A:B,2,FALSE))</f>
        <v>5.3666666666666671</v>
      </c>
      <c r="F3370">
        <f t="shared" si="52"/>
        <v>5.3666666666666671</v>
      </c>
    </row>
    <row r="3371" spans="1:6" x14ac:dyDescent="0.3">
      <c r="A3371" t="s">
        <v>856</v>
      </c>
      <c r="B3371" t="s">
        <v>2137</v>
      </c>
      <c r="C3371">
        <v>5</v>
      </c>
      <c r="D3371">
        <v>104</v>
      </c>
      <c r="E3371">
        <f>IF(OR(B3371="vi",B3371="ii",B3371="pod"),(((D3371/100)*(C3371*VLOOKUP(B3371,'Poids des runes'!A:B,2,FALSE)))+1),(((D3371/100)*(C3371*VLOOKUP(B3371,'Poids des runes'!A:B,2,FALSE)))+1)/VLOOKUP(B3371,'Poids des runes'!A:B,2,FALSE))</f>
        <v>5.7</v>
      </c>
      <c r="F3371">
        <f t="shared" si="52"/>
        <v>5.7</v>
      </c>
    </row>
    <row r="3372" spans="1:6" x14ac:dyDescent="0.3">
      <c r="A3372" t="s">
        <v>856</v>
      </c>
      <c r="B3372" t="s">
        <v>2146</v>
      </c>
      <c r="C3372">
        <v>5</v>
      </c>
      <c r="D3372">
        <v>104</v>
      </c>
      <c r="E3372">
        <f>IF(OR(B3372="vi",B3372="ii",B3372="pod"),(((D3372/100)*(C3372*VLOOKUP(B3372,'Poids des runes'!A:B,2,FALSE)))+1),(((D3372/100)*(C3372*VLOOKUP(B3372,'Poids des runes'!A:B,2,FALSE)))+1)/VLOOKUP(B3372,'Poids des runes'!A:B,2,FALSE))</f>
        <v>5.7</v>
      </c>
      <c r="F3372">
        <f t="shared" si="52"/>
        <v>5.7</v>
      </c>
    </row>
    <row r="3373" spans="1:6" x14ac:dyDescent="0.3">
      <c r="A3373" t="s">
        <v>857</v>
      </c>
      <c r="B3373" t="s">
        <v>2128</v>
      </c>
      <c r="C3373">
        <v>85.5</v>
      </c>
      <c r="D3373">
        <v>105</v>
      </c>
      <c r="E3373">
        <f>IF(OR(B3373="vi",B3373="ii",B3373="pod"),(((D3373/100)*(C3373*VLOOKUP(B3373,'Poids des runes'!A:B,2,FALSE)))+1),(((D3373/100)*(C3373*VLOOKUP(B3373,'Poids des runes'!A:B,2,FALSE)))+1)/VLOOKUP(B3373,'Poids des runes'!A:B,2,FALSE))</f>
        <v>18.955000000000002</v>
      </c>
      <c r="F3373">
        <f t="shared" si="52"/>
        <v>18.955000000000002</v>
      </c>
    </row>
    <row r="3374" spans="1:6" x14ac:dyDescent="0.3">
      <c r="A3374" t="s">
        <v>857</v>
      </c>
      <c r="B3374" t="s">
        <v>2126</v>
      </c>
      <c r="C3374">
        <v>33</v>
      </c>
      <c r="D3374">
        <v>105</v>
      </c>
      <c r="E3374">
        <f>IF(OR(B3374="vi",B3374="ii",B3374="pod"),(((D3374/100)*(C3374*VLOOKUP(B3374,'Poids des runes'!A:B,2,FALSE)))+1),(((D3374/100)*(C3374*VLOOKUP(B3374,'Poids des runes'!A:B,2,FALSE)))+1)/VLOOKUP(B3374,'Poids des runes'!A:B,2,FALSE))</f>
        <v>35.65</v>
      </c>
      <c r="F3374">
        <f t="shared" si="52"/>
        <v>35.65</v>
      </c>
    </row>
    <row r="3375" spans="1:6" x14ac:dyDescent="0.3">
      <c r="A3375" t="s">
        <v>857</v>
      </c>
      <c r="B3375" t="s">
        <v>2129</v>
      </c>
      <c r="C3375">
        <v>20.5</v>
      </c>
      <c r="D3375">
        <v>105</v>
      </c>
      <c r="E3375">
        <f>IF(OR(B3375="vi",B3375="ii",B3375="pod"),(((D3375/100)*(C3375*VLOOKUP(B3375,'Poids des runes'!A:B,2,FALSE)))+1),(((D3375/100)*(C3375*VLOOKUP(B3375,'Poids des runes'!A:B,2,FALSE)))+1)/VLOOKUP(B3375,'Poids des runes'!A:B,2,FALSE))</f>
        <v>22.525000000000002</v>
      </c>
      <c r="F3375">
        <f t="shared" si="52"/>
        <v>22.525000000000002</v>
      </c>
    </row>
    <row r="3376" spans="1:6" x14ac:dyDescent="0.3">
      <c r="A3376" t="s">
        <v>857</v>
      </c>
      <c r="B3376" t="s">
        <v>2149</v>
      </c>
      <c r="C3376">
        <v>8</v>
      </c>
      <c r="D3376">
        <v>105</v>
      </c>
      <c r="E3376">
        <f>IF(OR(B3376="vi",B3376="ii",B3376="pod"),(((D3376/100)*(C3376*VLOOKUP(B3376,'Poids des runes'!A:B,2,FALSE)))+1),(((D3376/100)*(C3376*VLOOKUP(B3376,'Poids des runes'!A:B,2,FALSE)))+1)/VLOOKUP(B3376,'Poids des runes'!A:B,2,FALSE))</f>
        <v>8.5</v>
      </c>
      <c r="F3376">
        <f t="shared" si="52"/>
        <v>8.5</v>
      </c>
    </row>
    <row r="3377" spans="1:6" x14ac:dyDescent="0.3">
      <c r="A3377" t="s">
        <v>857</v>
      </c>
      <c r="B3377" t="s">
        <v>2161</v>
      </c>
      <c r="C3377">
        <v>13</v>
      </c>
      <c r="D3377">
        <v>105</v>
      </c>
      <c r="E3377">
        <f>IF(OR(B3377="vi",B3377="ii",B3377="pod"),(((D3377/100)*(C3377*VLOOKUP(B3377,'Poids des runes'!A:B,2,FALSE)))+1),(((D3377/100)*(C3377*VLOOKUP(B3377,'Poids des runes'!A:B,2,FALSE)))+1)/VLOOKUP(B3377,'Poids des runes'!A:B,2,FALSE))</f>
        <v>13.983333333333334</v>
      </c>
      <c r="F3377">
        <f t="shared" si="52"/>
        <v>13.983333333333334</v>
      </c>
    </row>
    <row r="3378" spans="1:6" x14ac:dyDescent="0.3">
      <c r="A3378" t="s">
        <v>857</v>
      </c>
      <c r="B3378" t="s">
        <v>2144</v>
      </c>
      <c r="C3378">
        <v>8</v>
      </c>
      <c r="D3378">
        <v>105</v>
      </c>
      <c r="E3378">
        <f>IF(OR(B3378="vi",B3378="ii",B3378="pod"),(((D3378/100)*(C3378*VLOOKUP(B3378,'Poids des runes'!A:B,2,FALSE)))+1),(((D3378/100)*(C3378*VLOOKUP(B3378,'Poids des runes'!A:B,2,FALSE)))+1)/VLOOKUP(B3378,'Poids des runes'!A:B,2,FALSE))</f>
        <v>8.9</v>
      </c>
      <c r="F3378">
        <f t="shared" si="52"/>
        <v>8.9</v>
      </c>
    </row>
    <row r="3379" spans="1:6" x14ac:dyDescent="0.3">
      <c r="A3379" t="s">
        <v>857</v>
      </c>
      <c r="B3379" t="s">
        <v>2146</v>
      </c>
      <c r="C3379">
        <v>8</v>
      </c>
      <c r="D3379">
        <v>105</v>
      </c>
      <c r="E3379">
        <f>IF(OR(B3379="vi",B3379="ii",B3379="pod"),(((D3379/100)*(C3379*VLOOKUP(B3379,'Poids des runes'!A:B,2,FALSE)))+1),(((D3379/100)*(C3379*VLOOKUP(B3379,'Poids des runes'!A:B,2,FALSE)))+1)/VLOOKUP(B3379,'Poids des runes'!A:B,2,FALSE))</f>
        <v>8.9</v>
      </c>
      <c r="F3379">
        <f t="shared" si="52"/>
        <v>8.9</v>
      </c>
    </row>
    <row r="3380" spans="1:6" x14ac:dyDescent="0.3">
      <c r="A3380" t="s">
        <v>858</v>
      </c>
      <c r="B3380" t="s">
        <v>2128</v>
      </c>
      <c r="C3380">
        <v>75.5</v>
      </c>
      <c r="D3380">
        <v>105</v>
      </c>
      <c r="E3380">
        <f>IF(OR(B3380="vi",B3380="ii",B3380="pod"),(((D3380/100)*(C3380*VLOOKUP(B3380,'Poids des runes'!A:B,2,FALSE)))+1),(((D3380/100)*(C3380*VLOOKUP(B3380,'Poids des runes'!A:B,2,FALSE)))+1)/VLOOKUP(B3380,'Poids des runes'!A:B,2,FALSE))</f>
        <v>16.855000000000004</v>
      </c>
      <c r="F3380">
        <f t="shared" si="52"/>
        <v>16.855000000000004</v>
      </c>
    </row>
    <row r="3381" spans="1:6" x14ac:dyDescent="0.3">
      <c r="A3381" t="s">
        <v>858</v>
      </c>
      <c r="B3381" t="s">
        <v>2130</v>
      </c>
      <c r="C3381">
        <v>23</v>
      </c>
      <c r="D3381">
        <v>105</v>
      </c>
      <c r="E3381">
        <f>IF(OR(B3381="vi",B3381="ii",B3381="pod"),(((D3381/100)*(C3381*VLOOKUP(B3381,'Poids des runes'!A:B,2,FALSE)))+1),(((D3381/100)*(C3381*VLOOKUP(B3381,'Poids des runes'!A:B,2,FALSE)))+1)/VLOOKUP(B3381,'Poids des runes'!A:B,2,FALSE))</f>
        <v>25.150000000000002</v>
      </c>
      <c r="F3381">
        <f t="shared" si="52"/>
        <v>25.150000000000002</v>
      </c>
    </row>
    <row r="3382" spans="1:6" x14ac:dyDescent="0.3">
      <c r="A3382" t="s">
        <v>858</v>
      </c>
      <c r="B3382" t="s">
        <v>2127</v>
      </c>
      <c r="C3382">
        <v>35.5</v>
      </c>
      <c r="D3382">
        <v>105</v>
      </c>
      <c r="E3382">
        <f>IF(OR(B3382="vi",B3382="ii",B3382="pod"),(((D3382/100)*(C3382*VLOOKUP(B3382,'Poids des runes'!A:B,2,FALSE)))+1),(((D3382/100)*(C3382*VLOOKUP(B3382,'Poids des runes'!A:B,2,FALSE)))+1)/VLOOKUP(B3382,'Poids des runes'!A:B,2,FALSE))</f>
        <v>38.274999999999999</v>
      </c>
      <c r="F3382">
        <f t="shared" si="52"/>
        <v>38.274999999999999</v>
      </c>
    </row>
    <row r="3383" spans="1:6" x14ac:dyDescent="0.3">
      <c r="A3383" t="s">
        <v>858</v>
      </c>
      <c r="B3383" t="s">
        <v>2129</v>
      </c>
      <c r="C3383">
        <v>23</v>
      </c>
      <c r="D3383">
        <v>105</v>
      </c>
      <c r="E3383">
        <f>IF(OR(B3383="vi",B3383="ii",B3383="pod"),(((D3383/100)*(C3383*VLOOKUP(B3383,'Poids des runes'!A:B,2,FALSE)))+1),(((D3383/100)*(C3383*VLOOKUP(B3383,'Poids des runes'!A:B,2,FALSE)))+1)/VLOOKUP(B3383,'Poids des runes'!A:B,2,FALSE))</f>
        <v>25.150000000000002</v>
      </c>
      <c r="F3383">
        <f t="shared" si="52"/>
        <v>25.150000000000002</v>
      </c>
    </row>
    <row r="3384" spans="1:6" x14ac:dyDescent="0.3">
      <c r="A3384" t="s">
        <v>858</v>
      </c>
      <c r="B3384" t="s">
        <v>2139</v>
      </c>
      <c r="C3384">
        <v>8</v>
      </c>
      <c r="D3384">
        <v>105</v>
      </c>
      <c r="E3384">
        <f>IF(OR(B3384="vi",B3384="ii",B3384="pod"),(((D3384/100)*(C3384*VLOOKUP(B3384,'Poids des runes'!A:B,2,FALSE)))+1),(((D3384/100)*(C3384*VLOOKUP(B3384,'Poids des runes'!A:B,2,FALSE)))+1)/VLOOKUP(B3384,'Poids des runes'!A:B,2,FALSE))</f>
        <v>8.9</v>
      </c>
      <c r="F3384">
        <f t="shared" si="52"/>
        <v>8.9</v>
      </c>
    </row>
    <row r="3385" spans="1:6" x14ac:dyDescent="0.3">
      <c r="A3385" t="s">
        <v>858</v>
      </c>
      <c r="B3385" t="s">
        <v>2151</v>
      </c>
      <c r="C3385">
        <v>3.5</v>
      </c>
      <c r="D3385">
        <v>105</v>
      </c>
      <c r="E3385">
        <f>IF(OR(B3385="vi",B3385="ii",B3385="pod"),(((D3385/100)*(C3385*VLOOKUP(B3385,'Poids des runes'!A:B,2,FALSE)))+1),(((D3385/100)*(C3385*VLOOKUP(B3385,'Poids des runes'!A:B,2,FALSE)))+1)/VLOOKUP(B3385,'Poids des runes'!A:B,2,FALSE))</f>
        <v>3.7749999999999999</v>
      </c>
      <c r="F3385">
        <f t="shared" si="52"/>
        <v>3.7749999999999999</v>
      </c>
    </row>
    <row r="3386" spans="1:6" x14ac:dyDescent="0.3">
      <c r="A3386" t="s">
        <v>858</v>
      </c>
      <c r="B3386" t="s">
        <v>2134</v>
      </c>
      <c r="C3386">
        <v>5</v>
      </c>
      <c r="D3386">
        <v>105</v>
      </c>
      <c r="E3386">
        <f>IF(OR(B3386="vi",B3386="ii",B3386="pod"),(((D3386/100)*(C3386*VLOOKUP(B3386,'Poids des runes'!A:B,2,FALSE)))+1),(((D3386/100)*(C3386*VLOOKUP(B3386,'Poids des runes'!A:B,2,FALSE)))+1)/VLOOKUP(B3386,'Poids des runes'!A:B,2,FALSE))</f>
        <v>5.3</v>
      </c>
      <c r="F3386">
        <f t="shared" si="52"/>
        <v>5.3</v>
      </c>
    </row>
    <row r="3387" spans="1:6" x14ac:dyDescent="0.3">
      <c r="A3387" t="s">
        <v>858</v>
      </c>
      <c r="B3387" t="s">
        <v>2132</v>
      </c>
      <c r="C3387">
        <v>175.5</v>
      </c>
      <c r="D3387">
        <v>105</v>
      </c>
      <c r="E3387">
        <f>IF(OR(B3387="vi",B3387="ii",B3387="pod"),(((D3387/100)*(C3387*VLOOKUP(B3387,'Poids des runes'!A:B,2,FALSE)))+1),(((D3387/100)*(C3387*VLOOKUP(B3387,'Poids des runes'!A:B,2,FALSE)))+1)/VLOOKUP(B3387,'Poids des runes'!A:B,2,FALSE))</f>
        <v>19.427500000000002</v>
      </c>
      <c r="F3387">
        <f t="shared" si="52"/>
        <v>19.427500000000002</v>
      </c>
    </row>
    <row r="3388" spans="1:6" x14ac:dyDescent="0.3">
      <c r="A3388" t="s">
        <v>858</v>
      </c>
      <c r="B3388" t="s">
        <v>2144</v>
      </c>
      <c r="C3388">
        <v>5</v>
      </c>
      <c r="D3388">
        <v>105</v>
      </c>
      <c r="E3388">
        <f>IF(OR(B3388="vi",B3388="ii",B3388="pod"),(((D3388/100)*(C3388*VLOOKUP(B3388,'Poids des runes'!A:B,2,FALSE)))+1),(((D3388/100)*(C3388*VLOOKUP(B3388,'Poids des runes'!A:B,2,FALSE)))+1)/VLOOKUP(B3388,'Poids des runes'!A:B,2,FALSE))</f>
        <v>5.75</v>
      </c>
      <c r="F3388">
        <f t="shared" si="52"/>
        <v>5.75</v>
      </c>
    </row>
    <row r="3389" spans="1:6" x14ac:dyDescent="0.3">
      <c r="A3389" t="s">
        <v>859</v>
      </c>
      <c r="B3389" t="s">
        <v>2128</v>
      </c>
      <c r="C3389">
        <v>85.5</v>
      </c>
      <c r="D3389">
        <v>105</v>
      </c>
      <c r="E3389">
        <f>IF(OR(B3389="vi",B3389="ii",B3389="pod"),(((D3389/100)*(C3389*VLOOKUP(B3389,'Poids des runes'!A:B,2,FALSE)))+1),(((D3389/100)*(C3389*VLOOKUP(B3389,'Poids des runes'!A:B,2,FALSE)))+1)/VLOOKUP(B3389,'Poids des runes'!A:B,2,FALSE))</f>
        <v>18.955000000000002</v>
      </c>
      <c r="F3389">
        <f t="shared" si="52"/>
        <v>18.955000000000002</v>
      </c>
    </row>
    <row r="3390" spans="1:6" x14ac:dyDescent="0.3">
      <c r="A3390" t="s">
        <v>859</v>
      </c>
      <c r="B3390" t="s">
        <v>2127</v>
      </c>
      <c r="C3390">
        <v>35.5</v>
      </c>
      <c r="D3390">
        <v>105</v>
      </c>
      <c r="E3390">
        <f>IF(OR(B3390="vi",B3390="ii",B3390="pod"),(((D3390/100)*(C3390*VLOOKUP(B3390,'Poids des runes'!A:B,2,FALSE)))+1),(((D3390/100)*(C3390*VLOOKUP(B3390,'Poids des runes'!A:B,2,FALSE)))+1)/VLOOKUP(B3390,'Poids des runes'!A:B,2,FALSE))</f>
        <v>38.274999999999999</v>
      </c>
      <c r="F3390">
        <f t="shared" si="52"/>
        <v>38.274999999999999</v>
      </c>
    </row>
    <row r="3391" spans="1:6" x14ac:dyDescent="0.3">
      <c r="A3391" t="s">
        <v>859</v>
      </c>
      <c r="B3391" t="s">
        <v>2129</v>
      </c>
      <c r="C3391">
        <v>15.5</v>
      </c>
      <c r="D3391">
        <v>105</v>
      </c>
      <c r="E3391">
        <f>IF(OR(B3391="vi",B3391="ii",B3391="pod"),(((D3391/100)*(C3391*VLOOKUP(B3391,'Poids des runes'!A:B,2,FALSE)))+1),(((D3391/100)*(C3391*VLOOKUP(B3391,'Poids des runes'!A:B,2,FALSE)))+1)/VLOOKUP(B3391,'Poids des runes'!A:B,2,FALSE))</f>
        <v>17.275000000000002</v>
      </c>
      <c r="F3391">
        <f t="shared" si="52"/>
        <v>17.275000000000002</v>
      </c>
    </row>
    <row r="3392" spans="1:6" x14ac:dyDescent="0.3">
      <c r="A3392" t="s">
        <v>859</v>
      </c>
      <c r="B3392" t="s">
        <v>2151</v>
      </c>
      <c r="C3392">
        <v>1.5</v>
      </c>
      <c r="D3392">
        <v>105</v>
      </c>
      <c r="E3392">
        <f>IF(OR(B3392="vi",B3392="ii",B3392="pod"),(((D3392/100)*(C3392*VLOOKUP(B3392,'Poids des runes'!A:B,2,FALSE)))+1),(((D3392/100)*(C3392*VLOOKUP(B3392,'Poids des runes'!A:B,2,FALSE)))+1)/VLOOKUP(B3392,'Poids des runes'!A:B,2,FALSE))</f>
        <v>1.675</v>
      </c>
      <c r="F3392">
        <f t="shared" si="52"/>
        <v>1.675</v>
      </c>
    </row>
    <row r="3393" spans="1:6" x14ac:dyDescent="0.3">
      <c r="A3393" t="s">
        <v>859</v>
      </c>
      <c r="B3393" t="s">
        <v>2155</v>
      </c>
      <c r="C3393">
        <v>1</v>
      </c>
      <c r="D3393">
        <v>105</v>
      </c>
      <c r="E3393">
        <f>IF(OR(B3393="vi",B3393="ii",B3393="pod"),(((D3393/100)*(C3393*VLOOKUP(B3393,'Poids des runes'!A:B,2,FALSE)))+1),(((D3393/100)*(C3393*VLOOKUP(B3393,'Poids des runes'!A:B,2,FALSE)))+1)/VLOOKUP(B3393,'Poids des runes'!A:B,2,FALSE))</f>
        <v>1.0696078431372549</v>
      </c>
      <c r="F3393">
        <f t="shared" si="52"/>
        <v>1.0696078431372549</v>
      </c>
    </row>
    <row r="3394" spans="1:6" x14ac:dyDescent="0.3">
      <c r="A3394" t="s">
        <v>859</v>
      </c>
      <c r="B3394" t="s">
        <v>2134</v>
      </c>
      <c r="C3394">
        <v>4.5</v>
      </c>
      <c r="D3394">
        <v>105</v>
      </c>
      <c r="E3394">
        <f>IF(OR(B3394="vi",B3394="ii",B3394="pod"),(((D3394/100)*(C3394*VLOOKUP(B3394,'Poids des runes'!A:B,2,FALSE)))+1),(((D3394/100)*(C3394*VLOOKUP(B3394,'Poids des runes'!A:B,2,FALSE)))+1)/VLOOKUP(B3394,'Poids des runes'!A:B,2,FALSE))</f>
        <v>4.7750000000000004</v>
      </c>
      <c r="F3394">
        <f t="shared" si="52"/>
        <v>4.7750000000000004</v>
      </c>
    </row>
    <row r="3395" spans="1:6" x14ac:dyDescent="0.3">
      <c r="A3395" t="s">
        <v>859</v>
      </c>
      <c r="B3395" t="s">
        <v>2153</v>
      </c>
      <c r="C3395">
        <v>5</v>
      </c>
      <c r="D3395">
        <v>105</v>
      </c>
      <c r="E3395">
        <f>IF(OR(B3395="vi",B3395="ii",B3395="pod"),(((D3395/100)*(C3395*VLOOKUP(B3395,'Poids des runes'!A:B,2,FALSE)))+1),(((D3395/100)*(C3395*VLOOKUP(B3395,'Poids des runes'!A:B,2,FALSE)))+1)/VLOOKUP(B3395,'Poids des runes'!A:B,2,FALSE))</f>
        <v>5.45</v>
      </c>
      <c r="F3395">
        <f t="shared" ref="F3395:F3458" si="53">E3395</f>
        <v>5.45</v>
      </c>
    </row>
    <row r="3396" spans="1:6" x14ac:dyDescent="0.3">
      <c r="A3396" t="s">
        <v>859</v>
      </c>
      <c r="B3396" t="s">
        <v>2158</v>
      </c>
      <c r="C3396">
        <v>3.5</v>
      </c>
      <c r="D3396">
        <v>105</v>
      </c>
      <c r="E3396">
        <f>IF(OR(B3396="vi",B3396="ii",B3396="pod"),(((D3396/100)*(C3396*VLOOKUP(B3396,'Poids des runes'!A:B,2,FALSE)))+1),(((D3396/100)*(C3396*VLOOKUP(B3396,'Poids des runes'!A:B,2,FALSE)))+1)/VLOOKUP(B3396,'Poids des runes'!A:B,2,FALSE))</f>
        <v>3.875</v>
      </c>
      <c r="F3396">
        <f t="shared" si="53"/>
        <v>3.875</v>
      </c>
    </row>
    <row r="3397" spans="1:6" x14ac:dyDescent="0.3">
      <c r="A3397" t="s">
        <v>859</v>
      </c>
      <c r="B3397" t="s">
        <v>2156</v>
      </c>
      <c r="C3397">
        <v>5</v>
      </c>
      <c r="D3397">
        <v>105</v>
      </c>
      <c r="E3397">
        <f>IF(OR(B3397="vi",B3397="ii",B3397="pod"),(((D3397/100)*(C3397*VLOOKUP(B3397,'Poids des runes'!A:B,2,FALSE)))+1),(((D3397/100)*(C3397*VLOOKUP(B3397,'Poids des runes'!A:B,2,FALSE)))+1)/VLOOKUP(B3397,'Poids des runes'!A:B,2,FALSE))</f>
        <v>5.416666666666667</v>
      </c>
      <c r="F3397">
        <f t="shared" si="53"/>
        <v>5.416666666666667</v>
      </c>
    </row>
    <row r="3398" spans="1:6" x14ac:dyDescent="0.3">
      <c r="A3398" t="s">
        <v>860</v>
      </c>
      <c r="B3398" t="s">
        <v>2128</v>
      </c>
      <c r="C3398">
        <v>125.5</v>
      </c>
      <c r="D3398">
        <v>105</v>
      </c>
      <c r="E3398">
        <f>IF(OR(B3398="vi",B3398="ii",B3398="pod"),(((D3398/100)*(C3398*VLOOKUP(B3398,'Poids des runes'!A:B,2,FALSE)))+1),(((D3398/100)*(C3398*VLOOKUP(B3398,'Poids des runes'!A:B,2,FALSE)))+1)/VLOOKUP(B3398,'Poids des runes'!A:B,2,FALSE))</f>
        <v>27.355000000000004</v>
      </c>
      <c r="F3398">
        <f t="shared" si="53"/>
        <v>27.355000000000004</v>
      </c>
    </row>
    <row r="3399" spans="1:6" x14ac:dyDescent="0.3">
      <c r="A3399" t="s">
        <v>860</v>
      </c>
      <c r="B3399" t="s">
        <v>2126</v>
      </c>
      <c r="C3399">
        <v>13</v>
      </c>
      <c r="D3399">
        <v>105</v>
      </c>
      <c r="E3399">
        <f>IF(OR(B3399="vi",B3399="ii",B3399="pod"),(((D3399/100)*(C3399*VLOOKUP(B3399,'Poids des runes'!A:B,2,FALSE)))+1),(((D3399/100)*(C3399*VLOOKUP(B3399,'Poids des runes'!A:B,2,FALSE)))+1)/VLOOKUP(B3399,'Poids des runes'!A:B,2,FALSE))</f>
        <v>14.65</v>
      </c>
      <c r="F3399">
        <f t="shared" si="53"/>
        <v>14.65</v>
      </c>
    </row>
    <row r="3400" spans="1:6" x14ac:dyDescent="0.3">
      <c r="A3400" t="s">
        <v>860</v>
      </c>
      <c r="B3400" t="s">
        <v>2131</v>
      </c>
      <c r="C3400">
        <v>13</v>
      </c>
      <c r="D3400">
        <v>105</v>
      </c>
      <c r="E3400">
        <f>IF(OR(B3400="vi",B3400="ii",B3400="pod"),(((D3400/100)*(C3400*VLOOKUP(B3400,'Poids des runes'!A:B,2,FALSE)))+1),(((D3400/100)*(C3400*VLOOKUP(B3400,'Poids des runes'!A:B,2,FALSE)))+1)/VLOOKUP(B3400,'Poids des runes'!A:B,2,FALSE))</f>
        <v>14.65</v>
      </c>
      <c r="F3400">
        <f t="shared" si="53"/>
        <v>14.65</v>
      </c>
    </row>
    <row r="3401" spans="1:6" x14ac:dyDescent="0.3">
      <c r="A3401" t="s">
        <v>860</v>
      </c>
      <c r="B3401" t="s">
        <v>2129</v>
      </c>
      <c r="C3401">
        <v>8</v>
      </c>
      <c r="D3401">
        <v>105</v>
      </c>
      <c r="E3401">
        <f>IF(OR(B3401="vi",B3401="ii",B3401="pod"),(((D3401/100)*(C3401*VLOOKUP(B3401,'Poids des runes'!A:B,2,FALSE)))+1),(((D3401/100)*(C3401*VLOOKUP(B3401,'Poids des runes'!A:B,2,FALSE)))+1)/VLOOKUP(B3401,'Poids des runes'!A:B,2,FALSE))</f>
        <v>9.4</v>
      </c>
      <c r="F3401">
        <f t="shared" si="53"/>
        <v>9.4</v>
      </c>
    </row>
    <row r="3402" spans="1:6" x14ac:dyDescent="0.3">
      <c r="A3402" t="s">
        <v>860</v>
      </c>
      <c r="B3402" t="s">
        <v>2149</v>
      </c>
      <c r="C3402">
        <v>8.5</v>
      </c>
      <c r="D3402">
        <v>105</v>
      </c>
      <c r="E3402">
        <f>IF(OR(B3402="vi",B3402="ii",B3402="pod"),(((D3402/100)*(C3402*VLOOKUP(B3402,'Poids des runes'!A:B,2,FALSE)))+1),(((D3402/100)*(C3402*VLOOKUP(B3402,'Poids des runes'!A:B,2,FALSE)))+1)/VLOOKUP(B3402,'Poids des runes'!A:B,2,FALSE))</f>
        <v>9.0250000000000004</v>
      </c>
      <c r="F3402">
        <f t="shared" si="53"/>
        <v>9.0250000000000004</v>
      </c>
    </row>
    <row r="3403" spans="1:6" x14ac:dyDescent="0.3">
      <c r="A3403" t="s">
        <v>860</v>
      </c>
      <c r="B3403" t="s">
        <v>2161</v>
      </c>
      <c r="C3403">
        <v>8.5</v>
      </c>
      <c r="D3403">
        <v>105</v>
      </c>
      <c r="E3403">
        <f>IF(OR(B3403="vi",B3403="ii",B3403="pod"),(((D3403/100)*(C3403*VLOOKUP(B3403,'Poids des runes'!A:B,2,FALSE)))+1),(((D3403/100)*(C3403*VLOOKUP(B3403,'Poids des runes'!A:B,2,FALSE)))+1)/VLOOKUP(B3403,'Poids des runes'!A:B,2,FALSE))</f>
        <v>9.2583333333333346</v>
      </c>
      <c r="F3403">
        <f t="shared" si="53"/>
        <v>9.2583333333333346</v>
      </c>
    </row>
    <row r="3404" spans="1:6" x14ac:dyDescent="0.3">
      <c r="A3404" t="s">
        <v>860</v>
      </c>
      <c r="B3404" t="s">
        <v>2132</v>
      </c>
      <c r="C3404">
        <v>175.5</v>
      </c>
      <c r="D3404">
        <v>105</v>
      </c>
      <c r="E3404">
        <f>IF(OR(B3404="vi",B3404="ii",B3404="pod"),(((D3404/100)*(C3404*VLOOKUP(B3404,'Poids des runes'!A:B,2,FALSE)))+1),(((D3404/100)*(C3404*VLOOKUP(B3404,'Poids des runes'!A:B,2,FALSE)))+1)/VLOOKUP(B3404,'Poids des runes'!A:B,2,FALSE))</f>
        <v>19.427500000000002</v>
      </c>
      <c r="F3404">
        <f t="shared" si="53"/>
        <v>19.427500000000002</v>
      </c>
    </row>
    <row r="3405" spans="1:6" x14ac:dyDescent="0.3">
      <c r="A3405" t="s">
        <v>860</v>
      </c>
      <c r="B3405" t="s">
        <v>2148</v>
      </c>
      <c r="C3405">
        <v>4</v>
      </c>
      <c r="D3405">
        <v>105</v>
      </c>
      <c r="E3405">
        <f>IF(OR(B3405="vi",B3405="ii",B3405="pod"),(((D3405/100)*(C3405*VLOOKUP(B3405,'Poids des runes'!A:B,2,FALSE)))+1),(((D3405/100)*(C3405*VLOOKUP(B3405,'Poids des runes'!A:B,2,FALSE)))+1)/VLOOKUP(B3405,'Poids des runes'!A:B,2,FALSE))</f>
        <v>4.3666666666666671</v>
      </c>
      <c r="F3405">
        <f t="shared" si="53"/>
        <v>4.3666666666666671</v>
      </c>
    </row>
    <row r="3406" spans="1:6" x14ac:dyDescent="0.3">
      <c r="A3406" t="s">
        <v>861</v>
      </c>
      <c r="B3406" t="s">
        <v>2128</v>
      </c>
      <c r="C3406">
        <v>55.5</v>
      </c>
      <c r="D3406">
        <v>105</v>
      </c>
      <c r="E3406">
        <f>IF(OR(B3406="vi",B3406="ii",B3406="pod"),(((D3406/100)*(C3406*VLOOKUP(B3406,'Poids des runes'!A:B,2,FALSE)))+1),(((D3406/100)*(C3406*VLOOKUP(B3406,'Poids des runes'!A:B,2,FALSE)))+1)/VLOOKUP(B3406,'Poids des runes'!A:B,2,FALSE))</f>
        <v>12.655000000000001</v>
      </c>
      <c r="F3406">
        <f t="shared" si="53"/>
        <v>12.655000000000001</v>
      </c>
    </row>
    <row r="3407" spans="1:6" x14ac:dyDescent="0.3">
      <c r="A3407" t="s">
        <v>861</v>
      </c>
      <c r="B3407" t="s">
        <v>2126</v>
      </c>
      <c r="C3407">
        <v>33</v>
      </c>
      <c r="D3407">
        <v>105</v>
      </c>
      <c r="E3407">
        <f>IF(OR(B3407="vi",B3407="ii",B3407="pod"),(((D3407/100)*(C3407*VLOOKUP(B3407,'Poids des runes'!A:B,2,FALSE)))+1),(((D3407/100)*(C3407*VLOOKUP(B3407,'Poids des runes'!A:B,2,FALSE)))+1)/VLOOKUP(B3407,'Poids des runes'!A:B,2,FALSE))</f>
        <v>35.65</v>
      </c>
      <c r="F3407">
        <f t="shared" si="53"/>
        <v>35.65</v>
      </c>
    </row>
    <row r="3408" spans="1:6" x14ac:dyDescent="0.3">
      <c r="A3408" t="s">
        <v>861</v>
      </c>
      <c r="B3408" t="s">
        <v>2127</v>
      </c>
      <c r="C3408">
        <v>33</v>
      </c>
      <c r="D3408">
        <v>105</v>
      </c>
      <c r="E3408">
        <f>IF(OR(B3408="vi",B3408="ii",B3408="pod"),(((D3408/100)*(C3408*VLOOKUP(B3408,'Poids des runes'!A:B,2,FALSE)))+1),(((D3408/100)*(C3408*VLOOKUP(B3408,'Poids des runes'!A:B,2,FALSE)))+1)/VLOOKUP(B3408,'Poids des runes'!A:B,2,FALSE))</f>
        <v>35.65</v>
      </c>
      <c r="F3408">
        <f t="shared" si="53"/>
        <v>35.65</v>
      </c>
    </row>
    <row r="3409" spans="1:6" x14ac:dyDescent="0.3">
      <c r="A3409" t="s">
        <v>861</v>
      </c>
      <c r="B3409" t="s">
        <v>2129</v>
      </c>
      <c r="C3409">
        <v>13</v>
      </c>
      <c r="D3409">
        <v>105</v>
      </c>
      <c r="E3409">
        <f>IF(OR(B3409="vi",B3409="ii",B3409="pod"),(((D3409/100)*(C3409*VLOOKUP(B3409,'Poids des runes'!A:B,2,FALSE)))+1),(((D3409/100)*(C3409*VLOOKUP(B3409,'Poids des runes'!A:B,2,FALSE)))+1)/VLOOKUP(B3409,'Poids des runes'!A:B,2,FALSE))</f>
        <v>14.65</v>
      </c>
      <c r="F3409">
        <f t="shared" si="53"/>
        <v>14.65</v>
      </c>
    </row>
    <row r="3410" spans="1:6" x14ac:dyDescent="0.3">
      <c r="A3410" t="s">
        <v>861</v>
      </c>
      <c r="B3410" t="s">
        <v>2152</v>
      </c>
      <c r="C3410">
        <v>1</v>
      </c>
      <c r="D3410">
        <v>105</v>
      </c>
      <c r="E3410">
        <f>IF(OR(B3410="vi",B3410="ii",B3410="pod"),(((D3410/100)*(C3410*VLOOKUP(B3410,'Poids des runes'!A:B,2,FALSE)))+1),(((D3410/100)*(C3410*VLOOKUP(B3410,'Poids des runes'!A:B,2,FALSE)))+1)/VLOOKUP(B3410,'Poids des runes'!A:B,2,FALSE))</f>
        <v>1.06</v>
      </c>
      <c r="F3410">
        <f t="shared" si="53"/>
        <v>1.06</v>
      </c>
    </row>
    <row r="3411" spans="1:6" x14ac:dyDescent="0.3">
      <c r="A3411" t="s">
        <v>861</v>
      </c>
      <c r="B3411" t="s">
        <v>2134</v>
      </c>
      <c r="C3411">
        <v>2.5</v>
      </c>
      <c r="D3411">
        <v>105</v>
      </c>
      <c r="E3411">
        <f>IF(OR(B3411="vi",B3411="ii",B3411="pod"),(((D3411/100)*(C3411*VLOOKUP(B3411,'Poids des runes'!A:B,2,FALSE)))+1),(((D3411/100)*(C3411*VLOOKUP(B3411,'Poids des runes'!A:B,2,FALSE)))+1)/VLOOKUP(B3411,'Poids des runes'!A:B,2,FALSE))</f>
        <v>2.6749999999999998</v>
      </c>
      <c r="F3411">
        <f t="shared" si="53"/>
        <v>2.6749999999999998</v>
      </c>
    </row>
    <row r="3412" spans="1:6" x14ac:dyDescent="0.3">
      <c r="A3412" t="s">
        <v>861</v>
      </c>
      <c r="B3412" t="s">
        <v>2149</v>
      </c>
      <c r="C3412">
        <v>5</v>
      </c>
      <c r="D3412">
        <v>105</v>
      </c>
      <c r="E3412">
        <f>IF(OR(B3412="vi",B3412="ii",B3412="pod"),(((D3412/100)*(C3412*VLOOKUP(B3412,'Poids des runes'!A:B,2,FALSE)))+1),(((D3412/100)*(C3412*VLOOKUP(B3412,'Poids des runes'!A:B,2,FALSE)))+1)/VLOOKUP(B3412,'Poids des runes'!A:B,2,FALSE))</f>
        <v>5.35</v>
      </c>
      <c r="F3412">
        <f t="shared" si="53"/>
        <v>5.35</v>
      </c>
    </row>
    <row r="3413" spans="1:6" x14ac:dyDescent="0.3">
      <c r="A3413" t="s">
        <v>861</v>
      </c>
      <c r="B3413" t="s">
        <v>2161</v>
      </c>
      <c r="C3413">
        <v>8</v>
      </c>
      <c r="D3413">
        <v>105</v>
      </c>
      <c r="E3413">
        <f>IF(OR(B3413="vi",B3413="ii",B3413="pod"),(((D3413/100)*(C3413*VLOOKUP(B3413,'Poids des runes'!A:B,2,FALSE)))+1),(((D3413/100)*(C3413*VLOOKUP(B3413,'Poids des runes'!A:B,2,FALSE)))+1)/VLOOKUP(B3413,'Poids des runes'!A:B,2,FALSE))</f>
        <v>8.7333333333333343</v>
      </c>
      <c r="F3413">
        <f t="shared" si="53"/>
        <v>8.7333333333333343</v>
      </c>
    </row>
    <row r="3414" spans="1:6" x14ac:dyDescent="0.3">
      <c r="A3414" t="s">
        <v>861</v>
      </c>
      <c r="B3414" t="s">
        <v>2144</v>
      </c>
      <c r="C3414">
        <v>8</v>
      </c>
      <c r="D3414">
        <v>105</v>
      </c>
      <c r="E3414">
        <f>IF(OR(B3414="vi",B3414="ii",B3414="pod"),(((D3414/100)*(C3414*VLOOKUP(B3414,'Poids des runes'!A:B,2,FALSE)))+1),(((D3414/100)*(C3414*VLOOKUP(B3414,'Poids des runes'!A:B,2,FALSE)))+1)/VLOOKUP(B3414,'Poids des runes'!A:B,2,FALSE))</f>
        <v>8.9</v>
      </c>
      <c r="F3414">
        <f t="shared" si="53"/>
        <v>8.9</v>
      </c>
    </row>
    <row r="3415" spans="1:6" x14ac:dyDescent="0.3">
      <c r="A3415" t="s">
        <v>862</v>
      </c>
      <c r="B3415" t="s">
        <v>2128</v>
      </c>
      <c r="C3415">
        <v>225.5</v>
      </c>
      <c r="D3415">
        <v>106</v>
      </c>
      <c r="E3415">
        <f>IF(OR(B3415="vi",B3415="ii",B3415="pod"),(((D3415/100)*(C3415*VLOOKUP(B3415,'Poids des runes'!A:B,2,FALSE)))+1),(((D3415/100)*(C3415*VLOOKUP(B3415,'Poids des runes'!A:B,2,FALSE)))+1)/VLOOKUP(B3415,'Poids des runes'!A:B,2,FALSE))</f>
        <v>48.806000000000004</v>
      </c>
      <c r="F3415">
        <f t="shared" si="53"/>
        <v>48.806000000000004</v>
      </c>
    </row>
    <row r="3416" spans="1:6" x14ac:dyDescent="0.3">
      <c r="A3416" t="s">
        <v>862</v>
      </c>
      <c r="B3416" t="s">
        <v>2151</v>
      </c>
      <c r="C3416">
        <v>5</v>
      </c>
      <c r="D3416">
        <v>106</v>
      </c>
      <c r="E3416">
        <f>IF(OR(B3416="vi",B3416="ii",B3416="pod"),(((D3416/100)*(C3416*VLOOKUP(B3416,'Poids des runes'!A:B,2,FALSE)))+1),(((D3416/100)*(C3416*VLOOKUP(B3416,'Poids des runes'!A:B,2,FALSE)))+1)/VLOOKUP(B3416,'Poids des runes'!A:B,2,FALSE))</f>
        <v>5.4</v>
      </c>
      <c r="F3416">
        <f t="shared" si="53"/>
        <v>5.4</v>
      </c>
    </row>
    <row r="3417" spans="1:6" x14ac:dyDescent="0.3">
      <c r="A3417" t="s">
        <v>862</v>
      </c>
      <c r="B3417" t="s">
        <v>2142</v>
      </c>
      <c r="C3417">
        <v>13</v>
      </c>
      <c r="D3417">
        <v>106</v>
      </c>
      <c r="E3417">
        <f>IF(OR(B3417="vi",B3417="ii",B3417="pod"),(((D3417/100)*(C3417*VLOOKUP(B3417,'Poids des runes'!A:B,2,FALSE)))+1),(((D3417/100)*(C3417*VLOOKUP(B3417,'Poids des runes'!A:B,2,FALSE)))+1)/VLOOKUP(B3417,'Poids des runes'!A:B,2,FALSE))</f>
        <v>13.98</v>
      </c>
      <c r="F3417">
        <f t="shared" si="53"/>
        <v>13.98</v>
      </c>
    </row>
    <row r="3418" spans="1:6" x14ac:dyDescent="0.3">
      <c r="A3418" t="s">
        <v>862</v>
      </c>
      <c r="B3418" t="s">
        <v>2156</v>
      </c>
      <c r="C3418">
        <v>5</v>
      </c>
      <c r="D3418">
        <v>106</v>
      </c>
      <c r="E3418">
        <f>IF(OR(B3418="vi",B3418="ii",B3418="pod"),(((D3418/100)*(C3418*VLOOKUP(B3418,'Poids des runes'!A:B,2,FALSE)))+1),(((D3418/100)*(C3418*VLOOKUP(B3418,'Poids des runes'!A:B,2,FALSE)))+1)/VLOOKUP(B3418,'Poids des runes'!A:B,2,FALSE))</f>
        <v>5.4666666666666659</v>
      </c>
      <c r="F3418">
        <f t="shared" si="53"/>
        <v>5.4666666666666659</v>
      </c>
    </row>
    <row r="3419" spans="1:6" x14ac:dyDescent="0.3">
      <c r="A3419" t="s">
        <v>862</v>
      </c>
      <c r="B3419" t="s">
        <v>2135</v>
      </c>
      <c r="C3419">
        <v>5</v>
      </c>
      <c r="D3419">
        <v>106</v>
      </c>
      <c r="E3419">
        <f>IF(OR(B3419="vi",B3419="ii",B3419="pod"),(((D3419/100)*(C3419*VLOOKUP(B3419,'Poids des runes'!A:B,2,FALSE)))+1),(((D3419/100)*(C3419*VLOOKUP(B3419,'Poids des runes'!A:B,2,FALSE)))+1)/VLOOKUP(B3419,'Poids des runes'!A:B,2,FALSE))</f>
        <v>5.4666666666666659</v>
      </c>
      <c r="F3419">
        <f t="shared" si="53"/>
        <v>5.4666666666666659</v>
      </c>
    </row>
    <row r="3420" spans="1:6" x14ac:dyDescent="0.3">
      <c r="A3420" t="s">
        <v>862</v>
      </c>
      <c r="B3420" t="s">
        <v>2136</v>
      </c>
      <c r="C3420">
        <v>8</v>
      </c>
      <c r="D3420">
        <v>106</v>
      </c>
      <c r="E3420">
        <f>IF(OR(B3420="vi",B3420="ii",B3420="pod"),(((D3420/100)*(C3420*VLOOKUP(B3420,'Poids des runes'!A:B,2,FALSE)))+1),(((D3420/100)*(C3420*VLOOKUP(B3420,'Poids des runes'!A:B,2,FALSE)))+1)/VLOOKUP(B3420,'Poids des runes'!A:B,2,FALSE))</f>
        <v>8.98</v>
      </c>
      <c r="F3420">
        <f t="shared" si="53"/>
        <v>8.98</v>
      </c>
    </row>
    <row r="3421" spans="1:6" x14ac:dyDescent="0.3">
      <c r="A3421" t="s">
        <v>862</v>
      </c>
      <c r="B3421" t="s">
        <v>2145</v>
      </c>
      <c r="C3421">
        <v>8</v>
      </c>
      <c r="D3421">
        <v>106</v>
      </c>
      <c r="E3421">
        <f>IF(OR(B3421="vi",B3421="ii",B3421="pod"),(((D3421/100)*(C3421*VLOOKUP(B3421,'Poids des runes'!A:B,2,FALSE)))+1),(((D3421/100)*(C3421*VLOOKUP(B3421,'Poids des runes'!A:B,2,FALSE)))+1)/VLOOKUP(B3421,'Poids des runes'!A:B,2,FALSE))</f>
        <v>8.98</v>
      </c>
      <c r="F3421">
        <f t="shared" si="53"/>
        <v>8.98</v>
      </c>
    </row>
    <row r="3422" spans="1:6" x14ac:dyDescent="0.3">
      <c r="A3422" t="s">
        <v>863</v>
      </c>
      <c r="B3422" t="s">
        <v>2128</v>
      </c>
      <c r="C3422">
        <v>125.5</v>
      </c>
      <c r="D3422">
        <v>106</v>
      </c>
      <c r="E3422">
        <f>IF(OR(B3422="vi",B3422="ii",B3422="pod"),(((D3422/100)*(C3422*VLOOKUP(B3422,'Poids des runes'!A:B,2,FALSE)))+1),(((D3422/100)*(C3422*VLOOKUP(B3422,'Poids des runes'!A:B,2,FALSE)))+1)/VLOOKUP(B3422,'Poids des runes'!A:B,2,FALSE))</f>
        <v>27.606000000000002</v>
      </c>
      <c r="F3422">
        <f t="shared" si="53"/>
        <v>27.606000000000002</v>
      </c>
    </row>
    <row r="3423" spans="1:6" x14ac:dyDescent="0.3">
      <c r="A3423" t="s">
        <v>863</v>
      </c>
      <c r="B3423" t="s">
        <v>2129</v>
      </c>
      <c r="C3423">
        <v>25.5</v>
      </c>
      <c r="D3423">
        <v>106</v>
      </c>
      <c r="E3423">
        <f>IF(OR(B3423="vi",B3423="ii",B3423="pod"),(((D3423/100)*(C3423*VLOOKUP(B3423,'Poids des runes'!A:B,2,FALSE)))+1),(((D3423/100)*(C3423*VLOOKUP(B3423,'Poids des runes'!A:B,2,FALSE)))+1)/VLOOKUP(B3423,'Poids des runes'!A:B,2,FALSE))</f>
        <v>28.03</v>
      </c>
      <c r="F3423">
        <f t="shared" si="53"/>
        <v>28.03</v>
      </c>
    </row>
    <row r="3424" spans="1:6" x14ac:dyDescent="0.3">
      <c r="A3424" t="s">
        <v>863</v>
      </c>
      <c r="B3424" t="s">
        <v>2139</v>
      </c>
      <c r="C3424">
        <v>35.5</v>
      </c>
      <c r="D3424">
        <v>106</v>
      </c>
      <c r="E3424">
        <f>IF(OR(B3424="vi",B3424="ii",B3424="pod"),(((D3424/100)*(C3424*VLOOKUP(B3424,'Poids des runes'!A:B,2,FALSE)))+1),(((D3424/100)*(C3424*VLOOKUP(B3424,'Poids des runes'!A:B,2,FALSE)))+1)/VLOOKUP(B3424,'Poids des runes'!A:B,2,FALSE))</f>
        <v>38.130000000000003</v>
      </c>
      <c r="F3424">
        <f t="shared" si="53"/>
        <v>38.130000000000003</v>
      </c>
    </row>
    <row r="3425" spans="1:6" x14ac:dyDescent="0.3">
      <c r="A3425" t="s">
        <v>863</v>
      </c>
      <c r="B3425" t="s">
        <v>2151</v>
      </c>
      <c r="C3425">
        <v>6.5</v>
      </c>
      <c r="D3425">
        <v>106</v>
      </c>
      <c r="E3425">
        <f>IF(OR(B3425="vi",B3425="ii",B3425="pod"),(((D3425/100)*(C3425*VLOOKUP(B3425,'Poids des runes'!A:B,2,FALSE)))+1),(((D3425/100)*(C3425*VLOOKUP(B3425,'Poids des runes'!A:B,2,FALSE)))+1)/VLOOKUP(B3425,'Poids des runes'!A:B,2,FALSE))</f>
        <v>6.99</v>
      </c>
      <c r="F3425">
        <f t="shared" si="53"/>
        <v>6.99</v>
      </c>
    </row>
    <row r="3426" spans="1:6" x14ac:dyDescent="0.3">
      <c r="A3426" t="s">
        <v>863</v>
      </c>
      <c r="B3426" t="s">
        <v>2161</v>
      </c>
      <c r="C3426">
        <v>8.5</v>
      </c>
      <c r="D3426">
        <v>106</v>
      </c>
      <c r="E3426">
        <f>IF(OR(B3426="vi",B3426="ii",B3426="pod"),(((D3426/100)*(C3426*VLOOKUP(B3426,'Poids des runes'!A:B,2,FALSE)))+1),(((D3426/100)*(C3426*VLOOKUP(B3426,'Poids des runes'!A:B,2,FALSE)))+1)/VLOOKUP(B3426,'Poids des runes'!A:B,2,FALSE))</f>
        <v>9.3433333333333337</v>
      </c>
      <c r="F3426">
        <f t="shared" si="53"/>
        <v>9.3433333333333337</v>
      </c>
    </row>
    <row r="3427" spans="1:6" x14ac:dyDescent="0.3">
      <c r="A3427" t="s">
        <v>863</v>
      </c>
      <c r="B3427" t="s">
        <v>2132</v>
      </c>
      <c r="C3427">
        <v>250.5</v>
      </c>
      <c r="D3427">
        <v>106</v>
      </c>
      <c r="E3427">
        <f>IF(OR(B3427="vi",B3427="ii",B3427="pod"),(((D3427/100)*(C3427*VLOOKUP(B3427,'Poids des runes'!A:B,2,FALSE)))+1),(((D3427/100)*(C3427*VLOOKUP(B3427,'Poids des runes'!A:B,2,FALSE)))+1)/VLOOKUP(B3427,'Poids des runes'!A:B,2,FALSE))</f>
        <v>27.553000000000001</v>
      </c>
      <c r="F3427">
        <f t="shared" si="53"/>
        <v>27.553000000000001</v>
      </c>
    </row>
    <row r="3428" spans="1:6" x14ac:dyDescent="0.3">
      <c r="A3428" t="s">
        <v>863</v>
      </c>
      <c r="B3428" t="s">
        <v>2141</v>
      </c>
      <c r="C3428">
        <v>4.5</v>
      </c>
      <c r="D3428">
        <v>106</v>
      </c>
      <c r="E3428">
        <f>IF(OR(B3428="vi",B3428="ii",B3428="pod"),(((D3428/100)*(C3428*VLOOKUP(B3428,'Poids des runes'!A:B,2,FALSE)))+1),(((D3428/100)*(C3428*VLOOKUP(B3428,'Poids des runes'!A:B,2,FALSE)))+1)/VLOOKUP(B3428,'Poids des runes'!A:B,2,FALSE))</f>
        <v>5.0200000000000005</v>
      </c>
      <c r="F3428">
        <f t="shared" si="53"/>
        <v>5.0200000000000005</v>
      </c>
    </row>
    <row r="3429" spans="1:6" x14ac:dyDescent="0.3">
      <c r="A3429" t="s">
        <v>863</v>
      </c>
      <c r="B3429" t="s">
        <v>2158</v>
      </c>
      <c r="C3429">
        <v>8.5</v>
      </c>
      <c r="D3429">
        <v>106</v>
      </c>
      <c r="E3429">
        <f>IF(OR(B3429="vi",B3429="ii",B3429="pod"),(((D3429/100)*(C3429*VLOOKUP(B3429,'Poids des runes'!A:B,2,FALSE)))+1),(((D3429/100)*(C3429*VLOOKUP(B3429,'Poids des runes'!A:B,2,FALSE)))+1)/VLOOKUP(B3429,'Poids des runes'!A:B,2,FALSE))</f>
        <v>9.2100000000000009</v>
      </c>
      <c r="F3429">
        <f t="shared" si="53"/>
        <v>9.2100000000000009</v>
      </c>
    </row>
    <row r="3430" spans="1:6" x14ac:dyDescent="0.3">
      <c r="A3430" t="s">
        <v>863</v>
      </c>
      <c r="B3430" t="s">
        <v>2164</v>
      </c>
      <c r="C3430">
        <v>8.5</v>
      </c>
      <c r="D3430">
        <v>106</v>
      </c>
      <c r="E3430">
        <f>IF(OR(B3430="vi",B3430="ii",B3430="pod"),(((D3430/100)*(C3430*VLOOKUP(B3430,'Poids des runes'!A:B,2,FALSE)))+1),(((D3430/100)*(C3430*VLOOKUP(B3430,'Poids des runes'!A:B,2,FALSE)))+1)/VLOOKUP(B3430,'Poids des runes'!A:B,2,FALSE))</f>
        <v>9.51</v>
      </c>
      <c r="F3430">
        <f t="shared" si="53"/>
        <v>9.51</v>
      </c>
    </row>
    <row r="3431" spans="1:6" x14ac:dyDescent="0.3">
      <c r="A3431" t="s">
        <v>864</v>
      </c>
      <c r="B3431" t="s">
        <v>2128</v>
      </c>
      <c r="C3431">
        <v>125.5</v>
      </c>
      <c r="D3431">
        <v>106</v>
      </c>
      <c r="E3431">
        <f>IF(OR(B3431="vi",B3431="ii",B3431="pod"),(((D3431/100)*(C3431*VLOOKUP(B3431,'Poids des runes'!A:B,2,FALSE)))+1),(((D3431/100)*(C3431*VLOOKUP(B3431,'Poids des runes'!A:B,2,FALSE)))+1)/VLOOKUP(B3431,'Poids des runes'!A:B,2,FALSE))</f>
        <v>27.606000000000002</v>
      </c>
      <c r="F3431">
        <f t="shared" si="53"/>
        <v>27.606000000000002</v>
      </c>
    </row>
    <row r="3432" spans="1:6" x14ac:dyDescent="0.3">
      <c r="A3432" t="s">
        <v>864</v>
      </c>
      <c r="B3432" t="s">
        <v>2126</v>
      </c>
      <c r="C3432">
        <v>40.5</v>
      </c>
      <c r="D3432">
        <v>106</v>
      </c>
      <c r="E3432">
        <f>IF(OR(B3432="vi",B3432="ii",B3432="pod"),(((D3432/100)*(C3432*VLOOKUP(B3432,'Poids des runes'!A:B,2,FALSE)))+1),(((D3432/100)*(C3432*VLOOKUP(B3432,'Poids des runes'!A:B,2,FALSE)))+1)/VLOOKUP(B3432,'Poids des runes'!A:B,2,FALSE))</f>
        <v>43.93</v>
      </c>
      <c r="F3432">
        <f t="shared" si="53"/>
        <v>43.93</v>
      </c>
    </row>
    <row r="3433" spans="1:6" x14ac:dyDescent="0.3">
      <c r="A3433" t="s">
        <v>864</v>
      </c>
      <c r="B3433" t="s">
        <v>2131</v>
      </c>
      <c r="C3433">
        <v>40.5</v>
      </c>
      <c r="D3433">
        <v>106</v>
      </c>
      <c r="E3433">
        <f>IF(OR(B3433="vi",B3433="ii",B3433="pod"),(((D3433/100)*(C3433*VLOOKUP(B3433,'Poids des runes'!A:B,2,FALSE)))+1),(((D3433/100)*(C3433*VLOOKUP(B3433,'Poids des runes'!A:B,2,FALSE)))+1)/VLOOKUP(B3433,'Poids des runes'!A:B,2,FALSE))</f>
        <v>43.93</v>
      </c>
      <c r="F3433">
        <f t="shared" si="53"/>
        <v>43.93</v>
      </c>
    </row>
    <row r="3434" spans="1:6" x14ac:dyDescent="0.3">
      <c r="A3434" t="s">
        <v>864</v>
      </c>
      <c r="B3434" t="s">
        <v>2129</v>
      </c>
      <c r="C3434">
        <v>13</v>
      </c>
      <c r="D3434">
        <v>106</v>
      </c>
      <c r="E3434">
        <f>IF(OR(B3434="vi",B3434="ii",B3434="pod"),(((D3434/100)*(C3434*VLOOKUP(B3434,'Poids des runes'!A:B,2,FALSE)))+1),(((D3434/100)*(C3434*VLOOKUP(B3434,'Poids des runes'!A:B,2,FALSE)))+1)/VLOOKUP(B3434,'Poids des runes'!A:B,2,FALSE))</f>
        <v>14.780000000000001</v>
      </c>
      <c r="F3434">
        <f t="shared" si="53"/>
        <v>14.780000000000001</v>
      </c>
    </row>
    <row r="3435" spans="1:6" x14ac:dyDescent="0.3">
      <c r="A3435" t="s">
        <v>864</v>
      </c>
      <c r="B3435" t="s">
        <v>2140</v>
      </c>
      <c r="C3435">
        <v>3.5</v>
      </c>
      <c r="D3435">
        <v>106</v>
      </c>
      <c r="E3435">
        <f>IF(OR(B3435="vi",B3435="ii",B3435="pod"),(((D3435/100)*(C3435*VLOOKUP(B3435,'Poids des runes'!A:B,2,FALSE)))+1),(((D3435/100)*(C3435*VLOOKUP(B3435,'Poids des runes'!A:B,2,FALSE)))+1)/VLOOKUP(B3435,'Poids des runes'!A:B,2,FALSE))</f>
        <v>3.91</v>
      </c>
      <c r="F3435">
        <f t="shared" si="53"/>
        <v>3.91</v>
      </c>
    </row>
    <row r="3436" spans="1:6" x14ac:dyDescent="0.3">
      <c r="A3436" t="s">
        <v>864</v>
      </c>
      <c r="B3436" t="s">
        <v>2133</v>
      </c>
      <c r="C3436">
        <v>3.5</v>
      </c>
      <c r="D3436">
        <v>106</v>
      </c>
      <c r="E3436">
        <f>IF(OR(B3436="vi",B3436="ii",B3436="pod"),(((D3436/100)*(C3436*VLOOKUP(B3436,'Poids des runes'!A:B,2,FALSE)))+1),(((D3436/100)*(C3436*VLOOKUP(B3436,'Poids des runes'!A:B,2,FALSE)))+1)/VLOOKUP(B3436,'Poids des runes'!A:B,2,FALSE))</f>
        <v>3.91</v>
      </c>
      <c r="F3436">
        <f t="shared" si="53"/>
        <v>3.91</v>
      </c>
    </row>
    <row r="3437" spans="1:6" x14ac:dyDescent="0.3">
      <c r="A3437" t="s">
        <v>864</v>
      </c>
      <c r="B3437" t="s">
        <v>2149</v>
      </c>
      <c r="C3437">
        <v>4</v>
      </c>
      <c r="D3437">
        <v>106</v>
      </c>
      <c r="E3437">
        <f>IF(OR(B3437="vi",B3437="ii",B3437="pod"),(((D3437/100)*(C3437*VLOOKUP(B3437,'Poids des runes'!A:B,2,FALSE)))+1),(((D3437/100)*(C3437*VLOOKUP(B3437,'Poids des runes'!A:B,2,FALSE)))+1)/VLOOKUP(B3437,'Poids des runes'!A:B,2,FALSE))</f>
        <v>4.3400000000000007</v>
      </c>
      <c r="F3437">
        <f t="shared" si="53"/>
        <v>4.3400000000000007</v>
      </c>
    </row>
    <row r="3438" spans="1:6" x14ac:dyDescent="0.3">
      <c r="A3438" t="s">
        <v>864</v>
      </c>
      <c r="B3438" t="s">
        <v>2161</v>
      </c>
      <c r="C3438">
        <v>8</v>
      </c>
      <c r="D3438">
        <v>106</v>
      </c>
      <c r="E3438">
        <f>IF(OR(B3438="vi",B3438="ii",B3438="pod"),(((D3438/100)*(C3438*VLOOKUP(B3438,'Poids des runes'!A:B,2,FALSE)))+1),(((D3438/100)*(C3438*VLOOKUP(B3438,'Poids des runes'!A:B,2,FALSE)))+1)/VLOOKUP(B3438,'Poids des runes'!A:B,2,FALSE))</f>
        <v>8.8133333333333344</v>
      </c>
      <c r="F3438">
        <f t="shared" si="53"/>
        <v>8.8133333333333344</v>
      </c>
    </row>
    <row r="3439" spans="1:6" x14ac:dyDescent="0.3">
      <c r="A3439" t="s">
        <v>864</v>
      </c>
      <c r="B3439" t="s">
        <v>2156</v>
      </c>
      <c r="C3439">
        <v>4</v>
      </c>
      <c r="D3439">
        <v>106</v>
      </c>
      <c r="E3439">
        <f>IF(OR(B3439="vi",B3439="ii",B3439="pod"),(((D3439/100)*(C3439*VLOOKUP(B3439,'Poids des runes'!A:B,2,FALSE)))+1),(((D3439/100)*(C3439*VLOOKUP(B3439,'Poids des runes'!A:B,2,FALSE)))+1)/VLOOKUP(B3439,'Poids des runes'!A:B,2,FALSE))</f>
        <v>4.4066666666666672</v>
      </c>
      <c r="F3439">
        <f t="shared" si="53"/>
        <v>4.4066666666666672</v>
      </c>
    </row>
    <row r="3440" spans="1:6" x14ac:dyDescent="0.3">
      <c r="A3440" t="s">
        <v>865</v>
      </c>
      <c r="B3440" t="s">
        <v>2128</v>
      </c>
      <c r="C3440">
        <v>70.5</v>
      </c>
      <c r="D3440">
        <v>106</v>
      </c>
      <c r="E3440">
        <f>IF(OR(B3440="vi",B3440="ii",B3440="pod"),(((D3440/100)*(C3440*VLOOKUP(B3440,'Poids des runes'!A:B,2,FALSE)))+1),(((D3440/100)*(C3440*VLOOKUP(B3440,'Poids des runes'!A:B,2,FALSE)))+1)/VLOOKUP(B3440,'Poids des runes'!A:B,2,FALSE))</f>
        <v>15.946000000000002</v>
      </c>
      <c r="F3440">
        <f t="shared" si="53"/>
        <v>15.946000000000002</v>
      </c>
    </row>
    <row r="3441" spans="1:6" x14ac:dyDescent="0.3">
      <c r="A3441" t="s">
        <v>865</v>
      </c>
      <c r="B3441" t="s">
        <v>2126</v>
      </c>
      <c r="C3441">
        <v>25.5</v>
      </c>
      <c r="D3441">
        <v>106</v>
      </c>
      <c r="E3441">
        <f>IF(OR(B3441="vi",B3441="ii",B3441="pod"),(((D3441/100)*(C3441*VLOOKUP(B3441,'Poids des runes'!A:B,2,FALSE)))+1),(((D3441/100)*(C3441*VLOOKUP(B3441,'Poids des runes'!A:B,2,FALSE)))+1)/VLOOKUP(B3441,'Poids des runes'!A:B,2,FALSE))</f>
        <v>28.03</v>
      </c>
      <c r="F3441">
        <f t="shared" si="53"/>
        <v>28.03</v>
      </c>
    </row>
    <row r="3442" spans="1:6" x14ac:dyDescent="0.3">
      <c r="A3442" t="s">
        <v>865</v>
      </c>
      <c r="B3442" t="s">
        <v>2131</v>
      </c>
      <c r="C3442">
        <v>35.5</v>
      </c>
      <c r="D3442">
        <v>106</v>
      </c>
      <c r="E3442">
        <f>IF(OR(B3442="vi",B3442="ii",B3442="pod"),(((D3442/100)*(C3442*VLOOKUP(B3442,'Poids des runes'!A:B,2,FALSE)))+1),(((D3442/100)*(C3442*VLOOKUP(B3442,'Poids des runes'!A:B,2,FALSE)))+1)/VLOOKUP(B3442,'Poids des runes'!A:B,2,FALSE))</f>
        <v>38.630000000000003</v>
      </c>
      <c r="F3442">
        <f t="shared" si="53"/>
        <v>38.630000000000003</v>
      </c>
    </row>
    <row r="3443" spans="1:6" x14ac:dyDescent="0.3">
      <c r="A3443" t="s">
        <v>865</v>
      </c>
      <c r="B3443" t="s">
        <v>2129</v>
      </c>
      <c r="C3443">
        <v>25.5</v>
      </c>
      <c r="D3443">
        <v>106</v>
      </c>
      <c r="E3443">
        <f>IF(OR(B3443="vi",B3443="ii",B3443="pod"),(((D3443/100)*(C3443*VLOOKUP(B3443,'Poids des runes'!A:B,2,FALSE)))+1),(((D3443/100)*(C3443*VLOOKUP(B3443,'Poids des runes'!A:B,2,FALSE)))+1)/VLOOKUP(B3443,'Poids des runes'!A:B,2,FALSE))</f>
        <v>28.03</v>
      </c>
      <c r="F3443">
        <f t="shared" si="53"/>
        <v>28.03</v>
      </c>
    </row>
    <row r="3444" spans="1:6" x14ac:dyDescent="0.3">
      <c r="A3444" t="s">
        <v>865</v>
      </c>
      <c r="B3444" t="s">
        <v>2151</v>
      </c>
      <c r="C3444">
        <v>3.5</v>
      </c>
      <c r="D3444">
        <v>106</v>
      </c>
      <c r="E3444">
        <f>IF(OR(B3444="vi",B3444="ii",B3444="pod"),(((D3444/100)*(C3444*VLOOKUP(B3444,'Poids des runes'!A:B,2,FALSE)))+1),(((D3444/100)*(C3444*VLOOKUP(B3444,'Poids des runes'!A:B,2,FALSE)))+1)/VLOOKUP(B3444,'Poids des runes'!A:B,2,FALSE))</f>
        <v>3.81</v>
      </c>
      <c r="F3444">
        <f t="shared" si="53"/>
        <v>3.81</v>
      </c>
    </row>
    <row r="3445" spans="1:6" x14ac:dyDescent="0.3">
      <c r="A3445" t="s">
        <v>865</v>
      </c>
      <c r="B3445" t="s">
        <v>2140</v>
      </c>
      <c r="C3445">
        <v>3.5</v>
      </c>
      <c r="D3445">
        <v>106</v>
      </c>
      <c r="E3445">
        <f>IF(OR(B3445="vi",B3445="ii",B3445="pod"),(((D3445/100)*(C3445*VLOOKUP(B3445,'Poids des runes'!A:B,2,FALSE)))+1),(((D3445/100)*(C3445*VLOOKUP(B3445,'Poids des runes'!A:B,2,FALSE)))+1)/VLOOKUP(B3445,'Poids des runes'!A:B,2,FALSE))</f>
        <v>3.91</v>
      </c>
      <c r="F3445">
        <f t="shared" si="53"/>
        <v>3.91</v>
      </c>
    </row>
    <row r="3446" spans="1:6" x14ac:dyDescent="0.3">
      <c r="A3446" t="s">
        <v>865</v>
      </c>
      <c r="B3446" t="s">
        <v>2133</v>
      </c>
      <c r="C3446">
        <v>5</v>
      </c>
      <c r="D3446">
        <v>106</v>
      </c>
      <c r="E3446">
        <f>IF(OR(B3446="vi",B3446="ii",B3446="pod"),(((D3446/100)*(C3446*VLOOKUP(B3446,'Poids des runes'!A:B,2,FALSE)))+1),(((D3446/100)*(C3446*VLOOKUP(B3446,'Poids des runes'!A:B,2,FALSE)))+1)/VLOOKUP(B3446,'Poids des runes'!A:B,2,FALSE))</f>
        <v>5.5</v>
      </c>
      <c r="F3446">
        <f t="shared" si="53"/>
        <v>5.5</v>
      </c>
    </row>
    <row r="3447" spans="1:6" x14ac:dyDescent="0.3">
      <c r="A3447" t="s">
        <v>865</v>
      </c>
      <c r="B3447" t="s">
        <v>2161</v>
      </c>
      <c r="C3447">
        <v>7</v>
      </c>
      <c r="D3447">
        <v>106</v>
      </c>
      <c r="E3447">
        <f>IF(OR(B3447="vi",B3447="ii",B3447="pod"),(((D3447/100)*(C3447*VLOOKUP(B3447,'Poids des runes'!A:B,2,FALSE)))+1),(((D3447/100)*(C3447*VLOOKUP(B3447,'Poids des runes'!A:B,2,FALSE)))+1)/VLOOKUP(B3447,'Poids des runes'!A:B,2,FALSE))</f>
        <v>7.7533333333333339</v>
      </c>
      <c r="F3447">
        <f t="shared" si="53"/>
        <v>7.7533333333333339</v>
      </c>
    </row>
    <row r="3448" spans="1:6" x14ac:dyDescent="0.3">
      <c r="A3448" t="s">
        <v>865</v>
      </c>
      <c r="B3448" t="s">
        <v>2132</v>
      </c>
      <c r="C3448">
        <v>125.5</v>
      </c>
      <c r="D3448">
        <v>106</v>
      </c>
      <c r="E3448">
        <f>IF(OR(B3448="vi",B3448="ii",B3448="pod"),(((D3448/100)*(C3448*VLOOKUP(B3448,'Poids des runes'!A:B,2,FALSE)))+1),(((D3448/100)*(C3448*VLOOKUP(B3448,'Poids des runes'!A:B,2,FALSE)))+1)/VLOOKUP(B3448,'Poids des runes'!A:B,2,FALSE))</f>
        <v>14.303000000000001</v>
      </c>
      <c r="F3448">
        <f t="shared" si="53"/>
        <v>14.303000000000001</v>
      </c>
    </row>
    <row r="3449" spans="1:6" x14ac:dyDescent="0.3">
      <c r="A3449" t="s">
        <v>865</v>
      </c>
      <c r="B3449" t="s">
        <v>2165</v>
      </c>
      <c r="C3449">
        <v>2.5</v>
      </c>
      <c r="D3449">
        <v>106</v>
      </c>
      <c r="E3449">
        <f>IF(OR(B3449="vi",B3449="ii",B3449="pod"),(((D3449/100)*(C3449*VLOOKUP(B3449,'Poids des runes'!A:B,2,FALSE)))+1),(((D3449/100)*(C3449*VLOOKUP(B3449,'Poids des runes'!A:B,2,FALSE)))+1)/VLOOKUP(B3449,'Poids des runes'!A:B,2,FALSE))</f>
        <v>2.7928571428571431</v>
      </c>
      <c r="F3449">
        <f t="shared" si="53"/>
        <v>2.7928571428571431</v>
      </c>
    </row>
    <row r="3450" spans="1:6" x14ac:dyDescent="0.3">
      <c r="A3450" t="s">
        <v>865</v>
      </c>
      <c r="B3450" t="s">
        <v>2142</v>
      </c>
      <c r="C3450">
        <v>8.5</v>
      </c>
      <c r="D3450">
        <v>106</v>
      </c>
      <c r="E3450">
        <f>IF(OR(B3450="vi",B3450="ii",B3450="pod"),(((D3450/100)*(C3450*VLOOKUP(B3450,'Poids des runes'!A:B,2,FALSE)))+1),(((D3450/100)*(C3450*VLOOKUP(B3450,'Poids des runes'!A:B,2,FALSE)))+1)/VLOOKUP(B3450,'Poids des runes'!A:B,2,FALSE))</f>
        <v>9.2100000000000009</v>
      </c>
      <c r="F3450">
        <f t="shared" si="53"/>
        <v>9.2100000000000009</v>
      </c>
    </row>
    <row r="3451" spans="1:6" x14ac:dyDescent="0.3">
      <c r="A3451" t="s">
        <v>865</v>
      </c>
      <c r="B3451" t="s">
        <v>2147</v>
      </c>
      <c r="C3451">
        <v>4.5</v>
      </c>
      <c r="D3451">
        <v>106</v>
      </c>
      <c r="E3451">
        <f>IF(OR(B3451="vi",B3451="ii",B3451="pod"),(((D3451/100)*(C3451*VLOOKUP(B3451,'Poids des runes'!A:B,2,FALSE)))+1),(((D3451/100)*(C3451*VLOOKUP(B3451,'Poids des runes'!A:B,2,FALSE)))+1)/VLOOKUP(B3451,'Poids des runes'!A:B,2,FALSE))</f>
        <v>4.9366666666666665</v>
      </c>
      <c r="F3451">
        <f t="shared" si="53"/>
        <v>4.9366666666666665</v>
      </c>
    </row>
    <row r="3452" spans="1:6" x14ac:dyDescent="0.3">
      <c r="A3452" t="s">
        <v>865</v>
      </c>
      <c r="B3452" t="s">
        <v>2146</v>
      </c>
      <c r="C3452">
        <v>7</v>
      </c>
      <c r="D3452">
        <v>106</v>
      </c>
      <c r="E3452">
        <f>IF(OR(B3452="vi",B3452="ii",B3452="pod"),(((D3452/100)*(C3452*VLOOKUP(B3452,'Poids des runes'!A:B,2,FALSE)))+1),(((D3452/100)*(C3452*VLOOKUP(B3452,'Poids des runes'!A:B,2,FALSE)))+1)/VLOOKUP(B3452,'Poids des runes'!A:B,2,FALSE))</f>
        <v>7.92</v>
      </c>
      <c r="F3452">
        <f t="shared" si="53"/>
        <v>7.92</v>
      </c>
    </row>
    <row r="3453" spans="1:6" x14ac:dyDescent="0.3">
      <c r="A3453" t="s">
        <v>866</v>
      </c>
      <c r="B3453" t="s">
        <v>2128</v>
      </c>
      <c r="C3453">
        <v>85.5</v>
      </c>
      <c r="D3453">
        <v>107</v>
      </c>
      <c r="E3453">
        <f>IF(OR(B3453="vi",B3453="ii",B3453="pod"),(((D3453/100)*(C3453*VLOOKUP(B3453,'Poids des runes'!A:B,2,FALSE)))+1),(((D3453/100)*(C3453*VLOOKUP(B3453,'Poids des runes'!A:B,2,FALSE)))+1)/VLOOKUP(B3453,'Poids des runes'!A:B,2,FALSE))</f>
        <v>19.297000000000004</v>
      </c>
      <c r="F3453">
        <f t="shared" si="53"/>
        <v>19.297000000000004</v>
      </c>
    </row>
    <row r="3454" spans="1:6" x14ac:dyDescent="0.3">
      <c r="A3454" t="s">
        <v>866</v>
      </c>
      <c r="B3454" t="s">
        <v>2130</v>
      </c>
      <c r="C3454">
        <v>35.5</v>
      </c>
      <c r="D3454">
        <v>107</v>
      </c>
      <c r="E3454">
        <f>IF(OR(B3454="vi",B3454="ii",B3454="pod"),(((D3454/100)*(C3454*VLOOKUP(B3454,'Poids des runes'!A:B,2,FALSE)))+1),(((D3454/100)*(C3454*VLOOKUP(B3454,'Poids des runes'!A:B,2,FALSE)))+1)/VLOOKUP(B3454,'Poids des runes'!A:B,2,FALSE))</f>
        <v>38.984999999999999</v>
      </c>
      <c r="F3454">
        <f t="shared" si="53"/>
        <v>38.984999999999999</v>
      </c>
    </row>
    <row r="3455" spans="1:6" x14ac:dyDescent="0.3">
      <c r="A3455" t="s">
        <v>866</v>
      </c>
      <c r="B3455" t="s">
        <v>2127</v>
      </c>
      <c r="C3455">
        <v>35.5</v>
      </c>
      <c r="D3455">
        <v>107</v>
      </c>
      <c r="E3455">
        <f>IF(OR(B3455="vi",B3455="ii",B3455="pod"),(((D3455/100)*(C3455*VLOOKUP(B3455,'Poids des runes'!A:B,2,FALSE)))+1),(((D3455/100)*(C3455*VLOOKUP(B3455,'Poids des runes'!A:B,2,FALSE)))+1)/VLOOKUP(B3455,'Poids des runes'!A:B,2,FALSE))</f>
        <v>38.984999999999999</v>
      </c>
      <c r="F3455">
        <f t="shared" si="53"/>
        <v>38.984999999999999</v>
      </c>
    </row>
    <row r="3456" spans="1:6" x14ac:dyDescent="0.3">
      <c r="A3456" t="s">
        <v>866</v>
      </c>
      <c r="B3456" t="s">
        <v>2129</v>
      </c>
      <c r="C3456">
        <v>20.5</v>
      </c>
      <c r="D3456">
        <v>107</v>
      </c>
      <c r="E3456">
        <f>IF(OR(B3456="vi",B3456="ii",B3456="pod"),(((D3456/100)*(C3456*VLOOKUP(B3456,'Poids des runes'!A:B,2,FALSE)))+1),(((D3456/100)*(C3456*VLOOKUP(B3456,'Poids des runes'!A:B,2,FALSE)))+1)/VLOOKUP(B3456,'Poids des runes'!A:B,2,FALSE))</f>
        <v>22.935000000000002</v>
      </c>
      <c r="F3456">
        <f t="shared" si="53"/>
        <v>22.935000000000002</v>
      </c>
    </row>
    <row r="3457" spans="1:6" x14ac:dyDescent="0.3">
      <c r="A3457" t="s">
        <v>866</v>
      </c>
      <c r="B3457" t="s">
        <v>2151</v>
      </c>
      <c r="C3457">
        <v>2.5</v>
      </c>
      <c r="D3457">
        <v>107</v>
      </c>
      <c r="E3457">
        <f>IF(OR(B3457="vi",B3457="ii",B3457="pod"),(((D3457/100)*(C3457*VLOOKUP(B3457,'Poids des runes'!A:B,2,FALSE)))+1),(((D3457/100)*(C3457*VLOOKUP(B3457,'Poids des runes'!A:B,2,FALSE)))+1)/VLOOKUP(B3457,'Poids des runes'!A:B,2,FALSE))</f>
        <v>2.7749999999999999</v>
      </c>
      <c r="F3457">
        <f t="shared" si="53"/>
        <v>2.7749999999999999</v>
      </c>
    </row>
    <row r="3458" spans="1:6" x14ac:dyDescent="0.3">
      <c r="A3458" t="s">
        <v>866</v>
      </c>
      <c r="B3458" t="s">
        <v>2154</v>
      </c>
      <c r="C3458">
        <v>1</v>
      </c>
      <c r="D3458">
        <v>107</v>
      </c>
      <c r="E3458">
        <f>IF(OR(B3458="vi",B3458="ii",B3458="pod"),(((D3458/100)*(C3458*VLOOKUP(B3458,'Poids des runes'!A:B,2,FALSE)))+1),(((D3458/100)*(C3458*VLOOKUP(B3458,'Poids des runes'!A:B,2,FALSE)))+1)/VLOOKUP(B3458,'Poids des runes'!A:B,2,FALSE))</f>
        <v>1.0811111111111111</v>
      </c>
      <c r="F3458">
        <f t="shared" si="53"/>
        <v>1.0811111111111111</v>
      </c>
    </row>
    <row r="3459" spans="1:6" x14ac:dyDescent="0.3">
      <c r="A3459" t="s">
        <v>866</v>
      </c>
      <c r="B3459" t="s">
        <v>2143</v>
      </c>
      <c r="C3459">
        <v>5</v>
      </c>
      <c r="D3459">
        <v>107</v>
      </c>
      <c r="E3459">
        <f>IF(OR(B3459="vi",B3459="ii",B3459="pod"),(((D3459/100)*(C3459*VLOOKUP(B3459,'Poids des runes'!A:B,2,FALSE)))+1),(((D3459/100)*(C3459*VLOOKUP(B3459,'Poids des runes'!A:B,2,FALSE)))+1)/VLOOKUP(B3459,'Poids des runes'!A:B,2,FALSE))</f>
        <v>5.55</v>
      </c>
      <c r="F3459">
        <f t="shared" ref="F3459:F3522" si="54">E3459</f>
        <v>5.55</v>
      </c>
    </row>
    <row r="3460" spans="1:6" x14ac:dyDescent="0.3">
      <c r="A3460" t="s">
        <v>866</v>
      </c>
      <c r="B3460" t="s">
        <v>2153</v>
      </c>
      <c r="C3460">
        <v>5</v>
      </c>
      <c r="D3460">
        <v>107</v>
      </c>
      <c r="E3460">
        <f>IF(OR(B3460="vi",B3460="ii",B3460="pod"),(((D3460/100)*(C3460*VLOOKUP(B3460,'Poids des runes'!A:B,2,FALSE)))+1),(((D3460/100)*(C3460*VLOOKUP(B3460,'Poids des runes'!A:B,2,FALSE)))+1)/VLOOKUP(B3460,'Poids des runes'!A:B,2,FALSE))</f>
        <v>5.55</v>
      </c>
      <c r="F3460">
        <f t="shared" si="54"/>
        <v>5.55</v>
      </c>
    </row>
    <row r="3461" spans="1:6" x14ac:dyDescent="0.3">
      <c r="A3461" t="s">
        <v>866</v>
      </c>
      <c r="B3461" t="s">
        <v>2161</v>
      </c>
      <c r="C3461">
        <v>8.5</v>
      </c>
      <c r="D3461">
        <v>107</v>
      </c>
      <c r="E3461">
        <f>IF(OR(B3461="vi",B3461="ii",B3461="pod"),(((D3461/100)*(C3461*VLOOKUP(B3461,'Poids des runes'!A:B,2,FALSE)))+1),(((D3461/100)*(C3461*VLOOKUP(B3461,'Poids des runes'!A:B,2,FALSE)))+1)/VLOOKUP(B3461,'Poids des runes'!A:B,2,FALSE))</f>
        <v>9.4283333333333328</v>
      </c>
      <c r="F3461">
        <f t="shared" si="54"/>
        <v>9.4283333333333328</v>
      </c>
    </row>
    <row r="3462" spans="1:6" x14ac:dyDescent="0.3">
      <c r="A3462" t="s">
        <v>866</v>
      </c>
      <c r="B3462" t="s">
        <v>2162</v>
      </c>
      <c r="C3462">
        <v>3.5</v>
      </c>
      <c r="D3462">
        <v>107</v>
      </c>
      <c r="E3462">
        <f>IF(OR(B3462="vi",B3462="ii",B3462="pod"),(((D3462/100)*(C3462*VLOOKUP(B3462,'Poids des runes'!A:B,2,FALSE)))+1),(((D3462/100)*(C3462*VLOOKUP(B3462,'Poids des runes'!A:B,2,FALSE)))+1)/VLOOKUP(B3462,'Poids des runes'!A:B,2,FALSE))</f>
        <v>3.8878571428571429</v>
      </c>
      <c r="F3462">
        <f t="shared" si="54"/>
        <v>3.8878571428571429</v>
      </c>
    </row>
    <row r="3463" spans="1:6" x14ac:dyDescent="0.3">
      <c r="A3463" t="s">
        <v>866</v>
      </c>
      <c r="B3463" t="s">
        <v>2164</v>
      </c>
      <c r="C3463">
        <v>8.5</v>
      </c>
      <c r="D3463">
        <v>107</v>
      </c>
      <c r="E3463">
        <f>IF(OR(B3463="vi",B3463="ii",B3463="pod"),(((D3463/100)*(C3463*VLOOKUP(B3463,'Poids des runes'!A:B,2,FALSE)))+1),(((D3463/100)*(C3463*VLOOKUP(B3463,'Poids des runes'!A:B,2,FALSE)))+1)/VLOOKUP(B3463,'Poids des runes'!A:B,2,FALSE))</f>
        <v>9.5950000000000006</v>
      </c>
      <c r="F3463">
        <f t="shared" si="54"/>
        <v>9.5950000000000006</v>
      </c>
    </row>
    <row r="3464" spans="1:6" x14ac:dyDescent="0.3">
      <c r="A3464" t="s">
        <v>866</v>
      </c>
      <c r="B3464" t="s">
        <v>2136</v>
      </c>
      <c r="C3464">
        <v>7</v>
      </c>
      <c r="D3464">
        <v>107</v>
      </c>
      <c r="E3464">
        <f>IF(OR(B3464="vi",B3464="ii",B3464="pod"),(((D3464/100)*(C3464*VLOOKUP(B3464,'Poids des runes'!A:B,2,FALSE)))+1),(((D3464/100)*(C3464*VLOOKUP(B3464,'Poids des runes'!A:B,2,FALSE)))+1)/VLOOKUP(B3464,'Poids des runes'!A:B,2,FALSE))</f>
        <v>7.99</v>
      </c>
      <c r="F3464">
        <f t="shared" si="54"/>
        <v>7.99</v>
      </c>
    </row>
    <row r="3465" spans="1:6" x14ac:dyDescent="0.3">
      <c r="A3465" t="s">
        <v>866</v>
      </c>
      <c r="B3465" t="s">
        <v>2145</v>
      </c>
      <c r="C3465">
        <v>7</v>
      </c>
      <c r="D3465">
        <v>107</v>
      </c>
      <c r="E3465">
        <f>IF(OR(B3465="vi",B3465="ii",B3465="pod"),(((D3465/100)*(C3465*VLOOKUP(B3465,'Poids des runes'!A:B,2,FALSE)))+1),(((D3465/100)*(C3465*VLOOKUP(B3465,'Poids des runes'!A:B,2,FALSE)))+1)/VLOOKUP(B3465,'Poids des runes'!A:B,2,FALSE))</f>
        <v>7.99</v>
      </c>
      <c r="F3465">
        <f t="shared" si="54"/>
        <v>7.99</v>
      </c>
    </row>
    <row r="3466" spans="1:6" x14ac:dyDescent="0.3">
      <c r="A3466" t="s">
        <v>867</v>
      </c>
      <c r="B3466" t="s">
        <v>2128</v>
      </c>
      <c r="C3466">
        <v>65.5</v>
      </c>
      <c r="D3466">
        <v>107</v>
      </c>
      <c r="E3466">
        <f>IF(OR(B3466="vi",B3466="ii",B3466="pod"),(((D3466/100)*(C3466*VLOOKUP(B3466,'Poids des runes'!A:B,2,FALSE)))+1),(((D3466/100)*(C3466*VLOOKUP(B3466,'Poids des runes'!A:B,2,FALSE)))+1)/VLOOKUP(B3466,'Poids des runes'!A:B,2,FALSE))</f>
        <v>15.017000000000003</v>
      </c>
      <c r="F3466">
        <f t="shared" si="54"/>
        <v>15.017000000000003</v>
      </c>
    </row>
    <row r="3467" spans="1:6" x14ac:dyDescent="0.3">
      <c r="A3467" t="s">
        <v>867</v>
      </c>
      <c r="B3467" t="s">
        <v>2130</v>
      </c>
      <c r="C3467">
        <v>35.5</v>
      </c>
      <c r="D3467">
        <v>107</v>
      </c>
      <c r="E3467">
        <f>IF(OR(B3467="vi",B3467="ii",B3467="pod"),(((D3467/100)*(C3467*VLOOKUP(B3467,'Poids des runes'!A:B,2,FALSE)))+1),(((D3467/100)*(C3467*VLOOKUP(B3467,'Poids des runes'!A:B,2,FALSE)))+1)/VLOOKUP(B3467,'Poids des runes'!A:B,2,FALSE))</f>
        <v>38.984999999999999</v>
      </c>
      <c r="F3467">
        <f t="shared" si="54"/>
        <v>38.984999999999999</v>
      </c>
    </row>
    <row r="3468" spans="1:6" x14ac:dyDescent="0.3">
      <c r="A3468" t="s">
        <v>867</v>
      </c>
      <c r="B3468" t="s">
        <v>2129</v>
      </c>
      <c r="C3468">
        <v>20.5</v>
      </c>
      <c r="D3468">
        <v>107</v>
      </c>
      <c r="E3468">
        <f>IF(OR(B3468="vi",B3468="ii",B3468="pod"),(((D3468/100)*(C3468*VLOOKUP(B3468,'Poids des runes'!A:B,2,FALSE)))+1),(((D3468/100)*(C3468*VLOOKUP(B3468,'Poids des runes'!A:B,2,FALSE)))+1)/VLOOKUP(B3468,'Poids des runes'!A:B,2,FALSE))</f>
        <v>22.935000000000002</v>
      </c>
      <c r="F3468">
        <f t="shared" si="54"/>
        <v>22.935000000000002</v>
      </c>
    </row>
    <row r="3469" spans="1:6" x14ac:dyDescent="0.3">
      <c r="A3469" t="s">
        <v>867</v>
      </c>
      <c r="B3469" t="s">
        <v>2139</v>
      </c>
      <c r="C3469">
        <v>13</v>
      </c>
      <c r="D3469">
        <v>107</v>
      </c>
      <c r="E3469">
        <f>IF(OR(B3469="vi",B3469="ii",B3469="pod"),(((D3469/100)*(C3469*VLOOKUP(B3469,'Poids des runes'!A:B,2,FALSE)))+1),(((D3469/100)*(C3469*VLOOKUP(B3469,'Poids des runes'!A:B,2,FALSE)))+1)/VLOOKUP(B3469,'Poids des runes'!A:B,2,FALSE))</f>
        <v>14.41</v>
      </c>
      <c r="F3469">
        <f t="shared" si="54"/>
        <v>14.41</v>
      </c>
    </row>
    <row r="3470" spans="1:6" x14ac:dyDescent="0.3">
      <c r="A3470" t="s">
        <v>867</v>
      </c>
      <c r="B3470" t="s">
        <v>2151</v>
      </c>
      <c r="C3470">
        <v>2</v>
      </c>
      <c r="D3470">
        <v>107</v>
      </c>
      <c r="E3470">
        <f>IF(OR(B3470="vi",B3470="ii",B3470="pod"),(((D3470/100)*(C3470*VLOOKUP(B3470,'Poids des runes'!A:B,2,FALSE)))+1),(((D3470/100)*(C3470*VLOOKUP(B3470,'Poids des runes'!A:B,2,FALSE)))+1)/VLOOKUP(B3470,'Poids des runes'!A:B,2,FALSE))</f>
        <v>2.2400000000000002</v>
      </c>
      <c r="F3470">
        <f t="shared" si="54"/>
        <v>2.2400000000000002</v>
      </c>
    </row>
    <row r="3471" spans="1:6" x14ac:dyDescent="0.3">
      <c r="A3471" t="s">
        <v>867</v>
      </c>
      <c r="B3471" t="s">
        <v>2152</v>
      </c>
      <c r="C3471">
        <v>1</v>
      </c>
      <c r="D3471">
        <v>107</v>
      </c>
      <c r="E3471">
        <f>IF(OR(B3471="vi",B3471="ii",B3471="pod"),(((D3471/100)*(C3471*VLOOKUP(B3471,'Poids des runes'!A:B,2,FALSE)))+1),(((D3471/100)*(C3471*VLOOKUP(B3471,'Poids des runes'!A:B,2,FALSE)))+1)/VLOOKUP(B3471,'Poids des runes'!A:B,2,FALSE))</f>
        <v>1.08</v>
      </c>
      <c r="F3471">
        <f t="shared" si="54"/>
        <v>1.08</v>
      </c>
    </row>
    <row r="3472" spans="1:6" x14ac:dyDescent="0.3">
      <c r="A3472" t="s">
        <v>867</v>
      </c>
      <c r="B3472" t="s">
        <v>2143</v>
      </c>
      <c r="C3472">
        <v>3.5</v>
      </c>
      <c r="D3472">
        <v>107</v>
      </c>
      <c r="E3472">
        <f>IF(OR(B3472="vi",B3472="ii",B3472="pod"),(((D3472/100)*(C3472*VLOOKUP(B3472,'Poids des runes'!A:B,2,FALSE)))+1),(((D3472/100)*(C3472*VLOOKUP(B3472,'Poids des runes'!A:B,2,FALSE)))+1)/VLOOKUP(B3472,'Poids des runes'!A:B,2,FALSE))</f>
        <v>3.9450000000000003</v>
      </c>
      <c r="F3472">
        <f t="shared" si="54"/>
        <v>3.9450000000000003</v>
      </c>
    </row>
    <row r="3473" spans="1:6" x14ac:dyDescent="0.3">
      <c r="A3473" t="s">
        <v>867</v>
      </c>
      <c r="B3473" t="s">
        <v>2160</v>
      </c>
      <c r="C3473">
        <v>2.5</v>
      </c>
      <c r="D3473">
        <v>107</v>
      </c>
      <c r="E3473">
        <f>IF(OR(B3473="vi",B3473="ii",B3473="pod"),(((D3473/100)*(C3473*VLOOKUP(B3473,'Poids des runes'!A:B,2,FALSE)))+1),(((D3473/100)*(C3473*VLOOKUP(B3473,'Poids des runes'!A:B,2,FALSE)))+1)/VLOOKUP(B3473,'Poids des runes'!A:B,2,FALSE))</f>
        <v>2.8178571428571431</v>
      </c>
      <c r="F3473">
        <f t="shared" si="54"/>
        <v>2.8178571428571431</v>
      </c>
    </row>
    <row r="3474" spans="1:6" x14ac:dyDescent="0.3">
      <c r="A3474" t="s">
        <v>867</v>
      </c>
      <c r="B3474" t="s">
        <v>2142</v>
      </c>
      <c r="C3474">
        <v>8.5</v>
      </c>
      <c r="D3474">
        <v>107</v>
      </c>
      <c r="E3474">
        <f>IF(OR(B3474="vi",B3474="ii",B3474="pod"),(((D3474/100)*(C3474*VLOOKUP(B3474,'Poids des runes'!A:B,2,FALSE)))+1),(((D3474/100)*(C3474*VLOOKUP(B3474,'Poids des runes'!A:B,2,FALSE)))+1)/VLOOKUP(B3474,'Poids des runes'!A:B,2,FALSE))</f>
        <v>9.2949999999999999</v>
      </c>
      <c r="F3474">
        <f t="shared" si="54"/>
        <v>9.2949999999999999</v>
      </c>
    </row>
    <row r="3475" spans="1:6" x14ac:dyDescent="0.3">
      <c r="A3475" t="s">
        <v>867</v>
      </c>
      <c r="B3475" t="s">
        <v>2135</v>
      </c>
      <c r="C3475">
        <v>5</v>
      </c>
      <c r="D3475">
        <v>107</v>
      </c>
      <c r="E3475">
        <f>IF(OR(B3475="vi",B3475="ii",B3475="pod"),(((D3475/100)*(C3475*VLOOKUP(B3475,'Poids des runes'!A:B,2,FALSE)))+1),(((D3475/100)*(C3475*VLOOKUP(B3475,'Poids des runes'!A:B,2,FALSE)))+1)/VLOOKUP(B3475,'Poids des runes'!A:B,2,FALSE))</f>
        <v>5.5166666666666666</v>
      </c>
      <c r="F3475">
        <f t="shared" si="54"/>
        <v>5.5166666666666666</v>
      </c>
    </row>
    <row r="3476" spans="1:6" x14ac:dyDescent="0.3">
      <c r="A3476" t="s">
        <v>867</v>
      </c>
      <c r="B3476" t="s">
        <v>2157</v>
      </c>
      <c r="C3476">
        <v>5</v>
      </c>
      <c r="D3476">
        <v>107</v>
      </c>
      <c r="E3476">
        <f>IF(OR(B3476="vi",B3476="ii",B3476="pod"),(((D3476/100)*(C3476*VLOOKUP(B3476,'Poids des runes'!A:B,2,FALSE)))+1),(((D3476/100)*(C3476*VLOOKUP(B3476,'Poids des runes'!A:B,2,FALSE)))+1)/VLOOKUP(B3476,'Poids des runes'!A:B,2,FALSE))</f>
        <v>5.5166666666666666</v>
      </c>
      <c r="F3476">
        <f t="shared" si="54"/>
        <v>5.5166666666666666</v>
      </c>
    </row>
    <row r="3477" spans="1:6" x14ac:dyDescent="0.3">
      <c r="A3477" t="s">
        <v>868</v>
      </c>
      <c r="B3477" t="s">
        <v>2128</v>
      </c>
      <c r="C3477">
        <v>125.5</v>
      </c>
      <c r="D3477">
        <v>107</v>
      </c>
      <c r="E3477">
        <f>IF(OR(B3477="vi",B3477="ii",B3477="pod"),(((D3477/100)*(C3477*VLOOKUP(B3477,'Poids des runes'!A:B,2,FALSE)))+1),(((D3477/100)*(C3477*VLOOKUP(B3477,'Poids des runes'!A:B,2,FALSE)))+1)/VLOOKUP(B3477,'Poids des runes'!A:B,2,FALSE))</f>
        <v>27.857000000000003</v>
      </c>
      <c r="F3477">
        <f t="shared" si="54"/>
        <v>27.857000000000003</v>
      </c>
    </row>
    <row r="3478" spans="1:6" x14ac:dyDescent="0.3">
      <c r="A3478" t="s">
        <v>868</v>
      </c>
      <c r="B3478" t="s">
        <v>2131</v>
      </c>
      <c r="C3478">
        <v>35.5</v>
      </c>
      <c r="D3478">
        <v>107</v>
      </c>
      <c r="E3478">
        <f>IF(OR(B3478="vi",B3478="ii",B3478="pod"),(((D3478/100)*(C3478*VLOOKUP(B3478,'Poids des runes'!A:B,2,FALSE)))+1),(((D3478/100)*(C3478*VLOOKUP(B3478,'Poids des runes'!A:B,2,FALSE)))+1)/VLOOKUP(B3478,'Poids des runes'!A:B,2,FALSE))</f>
        <v>38.984999999999999</v>
      </c>
      <c r="F3478">
        <f t="shared" si="54"/>
        <v>38.984999999999999</v>
      </c>
    </row>
    <row r="3479" spans="1:6" x14ac:dyDescent="0.3">
      <c r="A3479" t="s">
        <v>868</v>
      </c>
      <c r="B3479" t="s">
        <v>2129</v>
      </c>
      <c r="C3479">
        <v>25.5</v>
      </c>
      <c r="D3479">
        <v>107</v>
      </c>
      <c r="E3479">
        <f>IF(OR(B3479="vi",B3479="ii",B3479="pod"),(((D3479/100)*(C3479*VLOOKUP(B3479,'Poids des runes'!A:B,2,FALSE)))+1),(((D3479/100)*(C3479*VLOOKUP(B3479,'Poids des runes'!A:B,2,FALSE)))+1)/VLOOKUP(B3479,'Poids des runes'!A:B,2,FALSE))</f>
        <v>28.285</v>
      </c>
      <c r="F3479">
        <f t="shared" si="54"/>
        <v>28.285</v>
      </c>
    </row>
    <row r="3480" spans="1:6" x14ac:dyDescent="0.3">
      <c r="A3480" t="s">
        <v>868</v>
      </c>
      <c r="B3480" t="s">
        <v>2152</v>
      </c>
      <c r="C3480">
        <v>1</v>
      </c>
      <c r="D3480">
        <v>107</v>
      </c>
      <c r="E3480">
        <f>IF(OR(B3480="vi",B3480="ii",B3480="pod"),(((D3480/100)*(C3480*VLOOKUP(B3480,'Poids des runes'!A:B,2,FALSE)))+1),(((D3480/100)*(C3480*VLOOKUP(B3480,'Poids des runes'!A:B,2,FALSE)))+1)/VLOOKUP(B3480,'Poids des runes'!A:B,2,FALSE))</f>
        <v>1.08</v>
      </c>
      <c r="F3480">
        <f t="shared" si="54"/>
        <v>1.08</v>
      </c>
    </row>
    <row r="3481" spans="1:6" x14ac:dyDescent="0.3">
      <c r="A3481" t="s">
        <v>868</v>
      </c>
      <c r="B3481" t="s">
        <v>2155</v>
      </c>
      <c r="C3481">
        <v>1</v>
      </c>
      <c r="D3481">
        <v>107</v>
      </c>
      <c r="E3481">
        <f>IF(OR(B3481="vi",B3481="ii",B3481="pod"),(((D3481/100)*(C3481*VLOOKUP(B3481,'Poids des runes'!A:B,2,FALSE)))+1),(((D3481/100)*(C3481*VLOOKUP(B3481,'Poids des runes'!A:B,2,FALSE)))+1)/VLOOKUP(B3481,'Poids des runes'!A:B,2,FALSE))</f>
        <v>1.0896078431372549</v>
      </c>
      <c r="F3481">
        <f t="shared" si="54"/>
        <v>1.0896078431372549</v>
      </c>
    </row>
    <row r="3482" spans="1:6" x14ac:dyDescent="0.3">
      <c r="A3482" t="s">
        <v>868</v>
      </c>
      <c r="B3482" t="s">
        <v>2161</v>
      </c>
      <c r="C3482">
        <v>13</v>
      </c>
      <c r="D3482">
        <v>107</v>
      </c>
      <c r="E3482">
        <f>IF(OR(B3482="vi",B3482="ii",B3482="pod"),(((D3482/100)*(C3482*VLOOKUP(B3482,'Poids des runes'!A:B,2,FALSE)))+1),(((D3482/100)*(C3482*VLOOKUP(B3482,'Poids des runes'!A:B,2,FALSE)))+1)/VLOOKUP(B3482,'Poids des runes'!A:B,2,FALSE))</f>
        <v>14.243333333333334</v>
      </c>
      <c r="F3482">
        <f t="shared" si="54"/>
        <v>14.243333333333334</v>
      </c>
    </row>
    <row r="3483" spans="1:6" x14ac:dyDescent="0.3">
      <c r="A3483" t="s">
        <v>868</v>
      </c>
      <c r="B3483" t="s">
        <v>2148</v>
      </c>
      <c r="C3483">
        <v>6</v>
      </c>
      <c r="D3483">
        <v>107</v>
      </c>
      <c r="E3483">
        <f>IF(OR(B3483="vi",B3483="ii",B3483="pod"),(((D3483/100)*(C3483*VLOOKUP(B3483,'Poids des runes'!A:B,2,FALSE)))+1),(((D3483/100)*(C3483*VLOOKUP(B3483,'Poids des runes'!A:B,2,FALSE)))+1)/VLOOKUP(B3483,'Poids des runes'!A:B,2,FALSE))</f>
        <v>6.5866666666666669</v>
      </c>
      <c r="F3483">
        <f t="shared" si="54"/>
        <v>6.5866666666666669</v>
      </c>
    </row>
    <row r="3484" spans="1:6" x14ac:dyDescent="0.3">
      <c r="A3484" t="s">
        <v>868</v>
      </c>
      <c r="B3484" t="s">
        <v>2137</v>
      </c>
      <c r="C3484">
        <v>6</v>
      </c>
      <c r="D3484">
        <v>107</v>
      </c>
      <c r="E3484">
        <f>IF(OR(B3484="vi",B3484="ii",B3484="pod"),(((D3484/100)*(C3484*VLOOKUP(B3484,'Poids des runes'!A:B,2,FALSE)))+1),(((D3484/100)*(C3484*VLOOKUP(B3484,'Poids des runes'!A:B,2,FALSE)))+1)/VLOOKUP(B3484,'Poids des runes'!A:B,2,FALSE))</f>
        <v>6.92</v>
      </c>
      <c r="F3484">
        <f t="shared" si="54"/>
        <v>6.92</v>
      </c>
    </row>
    <row r="3485" spans="1:6" x14ac:dyDescent="0.3">
      <c r="A3485" t="s">
        <v>869</v>
      </c>
      <c r="B3485" t="s">
        <v>2128</v>
      </c>
      <c r="C3485">
        <v>125.5</v>
      </c>
      <c r="D3485">
        <v>107</v>
      </c>
      <c r="E3485">
        <f>IF(OR(B3485="vi",B3485="ii",B3485="pod"),(((D3485/100)*(C3485*VLOOKUP(B3485,'Poids des runes'!A:B,2,FALSE)))+1),(((D3485/100)*(C3485*VLOOKUP(B3485,'Poids des runes'!A:B,2,FALSE)))+1)/VLOOKUP(B3485,'Poids des runes'!A:B,2,FALSE))</f>
        <v>27.857000000000003</v>
      </c>
      <c r="F3485">
        <f t="shared" si="54"/>
        <v>27.857000000000003</v>
      </c>
    </row>
    <row r="3486" spans="1:6" x14ac:dyDescent="0.3">
      <c r="A3486" t="s">
        <v>869</v>
      </c>
      <c r="B3486" t="s">
        <v>2130</v>
      </c>
      <c r="C3486">
        <v>35.5</v>
      </c>
      <c r="D3486">
        <v>107</v>
      </c>
      <c r="E3486">
        <f>IF(OR(B3486="vi",B3486="ii",B3486="pod"),(((D3486/100)*(C3486*VLOOKUP(B3486,'Poids des runes'!A:B,2,FALSE)))+1),(((D3486/100)*(C3486*VLOOKUP(B3486,'Poids des runes'!A:B,2,FALSE)))+1)/VLOOKUP(B3486,'Poids des runes'!A:B,2,FALSE))</f>
        <v>38.984999999999999</v>
      </c>
      <c r="F3486">
        <f t="shared" si="54"/>
        <v>38.984999999999999</v>
      </c>
    </row>
    <row r="3487" spans="1:6" x14ac:dyDescent="0.3">
      <c r="A3487" t="s">
        <v>869</v>
      </c>
      <c r="B3487" t="s">
        <v>2126</v>
      </c>
      <c r="C3487">
        <v>35.5</v>
      </c>
      <c r="D3487">
        <v>107</v>
      </c>
      <c r="E3487">
        <f>IF(OR(B3487="vi",B3487="ii",B3487="pod"),(((D3487/100)*(C3487*VLOOKUP(B3487,'Poids des runes'!A:B,2,FALSE)))+1),(((D3487/100)*(C3487*VLOOKUP(B3487,'Poids des runes'!A:B,2,FALSE)))+1)/VLOOKUP(B3487,'Poids des runes'!A:B,2,FALSE))</f>
        <v>38.984999999999999</v>
      </c>
      <c r="F3487">
        <f t="shared" si="54"/>
        <v>38.984999999999999</v>
      </c>
    </row>
    <row r="3488" spans="1:6" x14ac:dyDescent="0.3">
      <c r="A3488" t="s">
        <v>869</v>
      </c>
      <c r="B3488" t="s">
        <v>2131</v>
      </c>
      <c r="C3488">
        <v>35.5</v>
      </c>
      <c r="D3488">
        <v>107</v>
      </c>
      <c r="E3488">
        <f>IF(OR(B3488="vi",B3488="ii",B3488="pod"),(((D3488/100)*(C3488*VLOOKUP(B3488,'Poids des runes'!A:B,2,FALSE)))+1),(((D3488/100)*(C3488*VLOOKUP(B3488,'Poids des runes'!A:B,2,FALSE)))+1)/VLOOKUP(B3488,'Poids des runes'!A:B,2,FALSE))</f>
        <v>38.984999999999999</v>
      </c>
      <c r="F3488">
        <f t="shared" si="54"/>
        <v>38.984999999999999</v>
      </c>
    </row>
    <row r="3489" spans="1:6" x14ac:dyDescent="0.3">
      <c r="A3489" t="s">
        <v>869</v>
      </c>
      <c r="B3489" t="s">
        <v>2129</v>
      </c>
      <c r="C3489">
        <v>15.5</v>
      </c>
      <c r="D3489">
        <v>107</v>
      </c>
      <c r="E3489">
        <f>IF(OR(B3489="vi",B3489="ii",B3489="pod"),(((D3489/100)*(C3489*VLOOKUP(B3489,'Poids des runes'!A:B,2,FALSE)))+1),(((D3489/100)*(C3489*VLOOKUP(B3489,'Poids des runes'!A:B,2,FALSE)))+1)/VLOOKUP(B3489,'Poids des runes'!A:B,2,FALSE))</f>
        <v>17.585000000000001</v>
      </c>
      <c r="F3489">
        <f t="shared" si="54"/>
        <v>17.585000000000001</v>
      </c>
    </row>
    <row r="3490" spans="1:6" x14ac:dyDescent="0.3">
      <c r="A3490" t="s">
        <v>869</v>
      </c>
      <c r="B3490" t="s">
        <v>2150</v>
      </c>
      <c r="C3490">
        <v>1</v>
      </c>
      <c r="D3490">
        <v>107</v>
      </c>
      <c r="E3490">
        <f>IF(OR(B3490="vi",B3490="ii",B3490="pod"),(((D3490/100)*(C3490*VLOOKUP(B3490,'Poids des runes'!A:B,2,FALSE)))+1),(((D3490/100)*(C3490*VLOOKUP(B3490,'Poids des runes'!A:B,2,FALSE)))+1)/VLOOKUP(B3490,'Poids des runes'!A:B,2,FALSE))</f>
        <v>1.1033333333333333</v>
      </c>
      <c r="F3490">
        <f t="shared" si="54"/>
        <v>1.1033333333333333</v>
      </c>
    </row>
    <row r="3491" spans="1:6" x14ac:dyDescent="0.3">
      <c r="A3491" t="s">
        <v>869</v>
      </c>
      <c r="B3491" t="s">
        <v>2134</v>
      </c>
      <c r="C3491">
        <v>4</v>
      </c>
      <c r="D3491">
        <v>107</v>
      </c>
      <c r="E3491">
        <f>IF(OR(B3491="vi",B3491="ii",B3491="pod"),(((D3491/100)*(C3491*VLOOKUP(B3491,'Poids des runes'!A:B,2,FALSE)))+1),(((D3491/100)*(C3491*VLOOKUP(B3491,'Poids des runes'!A:B,2,FALSE)))+1)/VLOOKUP(B3491,'Poids des runes'!A:B,2,FALSE))</f>
        <v>4.33</v>
      </c>
      <c r="F3491">
        <f t="shared" si="54"/>
        <v>4.33</v>
      </c>
    </row>
    <row r="3492" spans="1:6" x14ac:dyDescent="0.3">
      <c r="A3492" t="s">
        <v>869</v>
      </c>
      <c r="B3492" t="s">
        <v>2161</v>
      </c>
      <c r="C3492">
        <v>8</v>
      </c>
      <c r="D3492">
        <v>107</v>
      </c>
      <c r="E3492">
        <f>IF(OR(B3492="vi",B3492="ii",B3492="pod"),(((D3492/100)*(C3492*VLOOKUP(B3492,'Poids des runes'!A:B,2,FALSE)))+1),(((D3492/100)*(C3492*VLOOKUP(B3492,'Poids des runes'!A:B,2,FALSE)))+1)/VLOOKUP(B3492,'Poids des runes'!A:B,2,FALSE))</f>
        <v>8.8933333333333326</v>
      </c>
      <c r="F3492">
        <f t="shared" si="54"/>
        <v>8.8933333333333326</v>
      </c>
    </row>
    <row r="3493" spans="1:6" x14ac:dyDescent="0.3">
      <c r="A3493" t="s">
        <v>869</v>
      </c>
      <c r="B3493" t="s">
        <v>2138</v>
      </c>
      <c r="C3493">
        <v>5</v>
      </c>
      <c r="D3493">
        <v>107</v>
      </c>
      <c r="E3493">
        <f>IF(OR(B3493="vi",B3493="ii",B3493="pod"),(((D3493/100)*(C3493*VLOOKUP(B3493,'Poids des runes'!A:B,2,FALSE)))+1),(((D3493/100)*(C3493*VLOOKUP(B3493,'Poids des runes'!A:B,2,FALSE)))+1)/VLOOKUP(B3493,'Poids des runes'!A:B,2,FALSE))</f>
        <v>5.6000000000000005</v>
      </c>
      <c r="F3493">
        <f t="shared" si="54"/>
        <v>5.6000000000000005</v>
      </c>
    </row>
    <row r="3494" spans="1:6" x14ac:dyDescent="0.3">
      <c r="A3494" t="s">
        <v>870</v>
      </c>
      <c r="B3494" t="s">
        <v>2128</v>
      </c>
      <c r="C3494">
        <v>135.5</v>
      </c>
      <c r="D3494">
        <v>107</v>
      </c>
      <c r="E3494">
        <f>IF(OR(B3494="vi",B3494="ii",B3494="pod"),(((D3494/100)*(C3494*VLOOKUP(B3494,'Poids des runes'!A:B,2,FALSE)))+1),(((D3494/100)*(C3494*VLOOKUP(B3494,'Poids des runes'!A:B,2,FALSE)))+1)/VLOOKUP(B3494,'Poids des runes'!A:B,2,FALSE))</f>
        <v>29.997000000000003</v>
      </c>
      <c r="F3494">
        <f t="shared" si="54"/>
        <v>29.997000000000003</v>
      </c>
    </row>
    <row r="3495" spans="1:6" x14ac:dyDescent="0.3">
      <c r="A3495" t="s">
        <v>870</v>
      </c>
      <c r="B3495" t="s">
        <v>2129</v>
      </c>
      <c r="C3495">
        <v>18</v>
      </c>
      <c r="D3495">
        <v>107</v>
      </c>
      <c r="E3495">
        <f>IF(OR(B3495="vi",B3495="ii",B3495="pod"),(((D3495/100)*(C3495*VLOOKUP(B3495,'Poids des runes'!A:B,2,FALSE)))+1),(((D3495/100)*(C3495*VLOOKUP(B3495,'Poids des runes'!A:B,2,FALSE)))+1)/VLOOKUP(B3495,'Poids des runes'!A:B,2,FALSE))</f>
        <v>20.260000000000002</v>
      </c>
      <c r="F3495">
        <f t="shared" si="54"/>
        <v>20.260000000000002</v>
      </c>
    </row>
    <row r="3496" spans="1:6" x14ac:dyDescent="0.3">
      <c r="A3496" t="s">
        <v>870</v>
      </c>
      <c r="B3496" t="s">
        <v>2139</v>
      </c>
      <c r="C3496">
        <v>40.5</v>
      </c>
      <c r="D3496">
        <v>107</v>
      </c>
      <c r="E3496">
        <f>IF(OR(B3496="vi",B3496="ii",B3496="pod"),(((D3496/100)*(C3496*VLOOKUP(B3496,'Poids des runes'!A:B,2,FALSE)))+1),(((D3496/100)*(C3496*VLOOKUP(B3496,'Poids des runes'!A:B,2,FALSE)))+1)/VLOOKUP(B3496,'Poids des runes'!A:B,2,FALSE))</f>
        <v>43.835000000000001</v>
      </c>
      <c r="F3496">
        <f t="shared" si="54"/>
        <v>43.835000000000001</v>
      </c>
    </row>
    <row r="3497" spans="1:6" x14ac:dyDescent="0.3">
      <c r="A3497" t="s">
        <v>870</v>
      </c>
      <c r="B3497" t="s">
        <v>2134</v>
      </c>
      <c r="C3497">
        <v>4</v>
      </c>
      <c r="D3497">
        <v>107</v>
      </c>
      <c r="E3497">
        <f>IF(OR(B3497="vi",B3497="ii",B3497="pod"),(((D3497/100)*(C3497*VLOOKUP(B3497,'Poids des runes'!A:B,2,FALSE)))+1),(((D3497/100)*(C3497*VLOOKUP(B3497,'Poids des runes'!A:B,2,FALSE)))+1)/VLOOKUP(B3497,'Poids des runes'!A:B,2,FALSE))</f>
        <v>4.33</v>
      </c>
      <c r="F3497">
        <f t="shared" si="54"/>
        <v>4.33</v>
      </c>
    </row>
    <row r="3498" spans="1:6" x14ac:dyDescent="0.3">
      <c r="A3498" t="s">
        <v>870</v>
      </c>
      <c r="B3498" t="s">
        <v>2161</v>
      </c>
      <c r="C3498">
        <v>8</v>
      </c>
      <c r="D3498">
        <v>107</v>
      </c>
      <c r="E3498">
        <f>IF(OR(B3498="vi",B3498="ii",B3498="pod"),(((D3498/100)*(C3498*VLOOKUP(B3498,'Poids des runes'!A:B,2,FALSE)))+1),(((D3498/100)*(C3498*VLOOKUP(B3498,'Poids des runes'!A:B,2,FALSE)))+1)/VLOOKUP(B3498,'Poids des runes'!A:B,2,FALSE))</f>
        <v>8.8933333333333326</v>
      </c>
      <c r="F3498">
        <f t="shared" si="54"/>
        <v>8.8933333333333326</v>
      </c>
    </row>
    <row r="3499" spans="1:6" x14ac:dyDescent="0.3">
      <c r="A3499" t="s">
        <v>870</v>
      </c>
      <c r="B3499" t="s">
        <v>2138</v>
      </c>
      <c r="C3499">
        <v>4</v>
      </c>
      <c r="D3499">
        <v>107</v>
      </c>
      <c r="E3499">
        <f>IF(OR(B3499="vi",B3499="ii",B3499="pod"),(((D3499/100)*(C3499*VLOOKUP(B3499,'Poids des runes'!A:B,2,FALSE)))+1),(((D3499/100)*(C3499*VLOOKUP(B3499,'Poids des runes'!A:B,2,FALSE)))+1)/VLOOKUP(B3499,'Poids des runes'!A:B,2,FALSE))</f>
        <v>4.53</v>
      </c>
      <c r="F3499">
        <f t="shared" si="54"/>
        <v>4.53</v>
      </c>
    </row>
    <row r="3500" spans="1:6" x14ac:dyDescent="0.3">
      <c r="A3500" t="s">
        <v>870</v>
      </c>
      <c r="B3500" t="s">
        <v>2135</v>
      </c>
      <c r="C3500">
        <v>3.5</v>
      </c>
      <c r="D3500">
        <v>107</v>
      </c>
      <c r="E3500">
        <f>IF(OR(B3500="vi",B3500="ii",B3500="pod"),(((D3500/100)*(C3500*VLOOKUP(B3500,'Poids des runes'!A:B,2,FALSE)))+1),(((D3500/100)*(C3500*VLOOKUP(B3500,'Poids des runes'!A:B,2,FALSE)))+1)/VLOOKUP(B3500,'Poids des runes'!A:B,2,FALSE))</f>
        <v>3.9116666666666671</v>
      </c>
      <c r="F3500">
        <f t="shared" si="54"/>
        <v>3.9116666666666671</v>
      </c>
    </row>
    <row r="3501" spans="1:6" x14ac:dyDescent="0.3">
      <c r="A3501" t="s">
        <v>870</v>
      </c>
      <c r="B3501" t="s">
        <v>2136</v>
      </c>
      <c r="C3501">
        <v>6.5</v>
      </c>
      <c r="D3501">
        <v>107</v>
      </c>
      <c r="E3501">
        <f>IF(OR(B3501="vi",B3501="ii",B3501="pod"),(((D3501/100)*(C3501*VLOOKUP(B3501,'Poids des runes'!A:B,2,FALSE)))+1),(((D3501/100)*(C3501*VLOOKUP(B3501,'Poids des runes'!A:B,2,FALSE)))+1)/VLOOKUP(B3501,'Poids des runes'!A:B,2,FALSE))</f>
        <v>7.4550000000000001</v>
      </c>
      <c r="F3501">
        <f t="shared" si="54"/>
        <v>7.4550000000000001</v>
      </c>
    </row>
    <row r="3502" spans="1:6" x14ac:dyDescent="0.3">
      <c r="A3502" t="s">
        <v>870</v>
      </c>
      <c r="B3502" t="s">
        <v>2146</v>
      </c>
      <c r="C3502">
        <v>6.5</v>
      </c>
      <c r="D3502">
        <v>107</v>
      </c>
      <c r="E3502">
        <f>IF(OR(B3502="vi",B3502="ii",B3502="pod"),(((D3502/100)*(C3502*VLOOKUP(B3502,'Poids des runes'!A:B,2,FALSE)))+1),(((D3502/100)*(C3502*VLOOKUP(B3502,'Poids des runes'!A:B,2,FALSE)))+1)/VLOOKUP(B3502,'Poids des runes'!A:B,2,FALSE))</f>
        <v>7.4550000000000001</v>
      </c>
      <c r="F3502">
        <f t="shared" si="54"/>
        <v>7.4550000000000001</v>
      </c>
    </row>
    <row r="3503" spans="1:6" x14ac:dyDescent="0.3">
      <c r="A3503" t="s">
        <v>871</v>
      </c>
      <c r="B3503" t="s">
        <v>2128</v>
      </c>
      <c r="C3503">
        <v>125.5</v>
      </c>
      <c r="D3503">
        <v>108</v>
      </c>
      <c r="E3503">
        <f>IF(OR(B3503="vi",B3503="ii",B3503="pod"),(((D3503/100)*(C3503*VLOOKUP(B3503,'Poids des runes'!A:B,2,FALSE)))+1),(((D3503/100)*(C3503*VLOOKUP(B3503,'Poids des runes'!A:B,2,FALSE)))+1)/VLOOKUP(B3503,'Poids des runes'!A:B,2,FALSE))</f>
        <v>28.108000000000004</v>
      </c>
      <c r="F3503">
        <f t="shared" si="54"/>
        <v>28.108000000000004</v>
      </c>
    </row>
    <row r="3504" spans="1:6" x14ac:dyDescent="0.3">
      <c r="A3504" t="s">
        <v>871</v>
      </c>
      <c r="B3504" t="s">
        <v>2129</v>
      </c>
      <c r="C3504">
        <v>28</v>
      </c>
      <c r="D3504">
        <v>108</v>
      </c>
      <c r="E3504">
        <f>IF(OR(B3504="vi",B3504="ii",B3504="pod"),(((D3504/100)*(C3504*VLOOKUP(B3504,'Poids des runes'!A:B,2,FALSE)))+1),(((D3504/100)*(C3504*VLOOKUP(B3504,'Poids des runes'!A:B,2,FALSE)))+1)/VLOOKUP(B3504,'Poids des runes'!A:B,2,FALSE))</f>
        <v>31.240000000000002</v>
      </c>
      <c r="F3504">
        <f t="shared" si="54"/>
        <v>31.240000000000002</v>
      </c>
    </row>
    <row r="3505" spans="1:6" x14ac:dyDescent="0.3">
      <c r="A3505" t="s">
        <v>871</v>
      </c>
      <c r="B3505" t="s">
        <v>2139</v>
      </c>
      <c r="C3505">
        <v>25.5</v>
      </c>
      <c r="D3505">
        <v>108</v>
      </c>
      <c r="E3505">
        <f>IF(OR(B3505="vi",B3505="ii",B3505="pod"),(((D3505/100)*(C3505*VLOOKUP(B3505,'Poids des runes'!A:B,2,FALSE)))+1),(((D3505/100)*(C3505*VLOOKUP(B3505,'Poids des runes'!A:B,2,FALSE)))+1)/VLOOKUP(B3505,'Poids des runes'!A:B,2,FALSE))</f>
        <v>28.040000000000003</v>
      </c>
      <c r="F3505">
        <f t="shared" si="54"/>
        <v>28.040000000000003</v>
      </c>
    </row>
    <row r="3506" spans="1:6" x14ac:dyDescent="0.3">
      <c r="A3506" t="s">
        <v>871</v>
      </c>
      <c r="B3506" t="s">
        <v>2134</v>
      </c>
      <c r="C3506">
        <v>3.5</v>
      </c>
      <c r="D3506">
        <v>108</v>
      </c>
      <c r="E3506">
        <f>IF(OR(B3506="vi",B3506="ii",B3506="pod"),(((D3506/100)*(C3506*VLOOKUP(B3506,'Poids des runes'!A:B,2,FALSE)))+1),(((D3506/100)*(C3506*VLOOKUP(B3506,'Poids des runes'!A:B,2,FALSE)))+1)/VLOOKUP(B3506,'Poids des runes'!A:B,2,FALSE))</f>
        <v>3.8300000000000005</v>
      </c>
      <c r="F3506">
        <f t="shared" si="54"/>
        <v>3.8300000000000005</v>
      </c>
    </row>
    <row r="3507" spans="1:6" x14ac:dyDescent="0.3">
      <c r="A3507" t="s">
        <v>871</v>
      </c>
      <c r="B3507" t="s">
        <v>2161</v>
      </c>
      <c r="C3507">
        <v>8</v>
      </c>
      <c r="D3507">
        <v>108</v>
      </c>
      <c r="E3507">
        <f>IF(OR(B3507="vi",B3507="ii",B3507="pod"),(((D3507/100)*(C3507*VLOOKUP(B3507,'Poids des runes'!A:B,2,FALSE)))+1),(((D3507/100)*(C3507*VLOOKUP(B3507,'Poids des runes'!A:B,2,FALSE)))+1)/VLOOKUP(B3507,'Poids des runes'!A:B,2,FALSE))</f>
        <v>8.9733333333333345</v>
      </c>
      <c r="F3507">
        <f t="shared" si="54"/>
        <v>8.9733333333333345</v>
      </c>
    </row>
    <row r="3508" spans="1:6" x14ac:dyDescent="0.3">
      <c r="A3508" t="s">
        <v>871</v>
      </c>
      <c r="B3508" t="s">
        <v>2132</v>
      </c>
      <c r="C3508">
        <v>350.5</v>
      </c>
      <c r="D3508">
        <v>108</v>
      </c>
      <c r="E3508">
        <f>IF(OR(B3508="vi",B3508="ii",B3508="pod"),(((D3508/100)*(C3508*VLOOKUP(B3508,'Poids des runes'!A:B,2,FALSE)))+1),(((D3508/100)*(C3508*VLOOKUP(B3508,'Poids des runes'!A:B,2,FALSE)))+1)/VLOOKUP(B3508,'Poids des runes'!A:B,2,FALSE))</f>
        <v>38.854000000000006</v>
      </c>
      <c r="F3508">
        <f t="shared" si="54"/>
        <v>38.854000000000006</v>
      </c>
    </row>
    <row r="3509" spans="1:6" x14ac:dyDescent="0.3">
      <c r="A3509" t="s">
        <v>871</v>
      </c>
      <c r="B3509" t="s">
        <v>2135</v>
      </c>
      <c r="C3509">
        <v>4</v>
      </c>
      <c r="D3509">
        <v>108</v>
      </c>
      <c r="E3509">
        <f>IF(OR(B3509="vi",B3509="ii",B3509="pod"),(((D3509/100)*(C3509*VLOOKUP(B3509,'Poids des runes'!A:B,2,FALSE)))+1),(((D3509/100)*(C3509*VLOOKUP(B3509,'Poids des runes'!A:B,2,FALSE)))+1)/VLOOKUP(B3509,'Poids des runes'!A:B,2,FALSE))</f>
        <v>4.4866666666666672</v>
      </c>
      <c r="F3509">
        <f t="shared" si="54"/>
        <v>4.4866666666666672</v>
      </c>
    </row>
    <row r="3510" spans="1:6" x14ac:dyDescent="0.3">
      <c r="A3510" t="s">
        <v>871</v>
      </c>
      <c r="B3510" t="s">
        <v>2157</v>
      </c>
      <c r="C3510">
        <v>4</v>
      </c>
      <c r="D3510">
        <v>108</v>
      </c>
      <c r="E3510">
        <f>IF(OR(B3510="vi",B3510="ii",B3510="pod"),(((D3510/100)*(C3510*VLOOKUP(B3510,'Poids des runes'!A:B,2,FALSE)))+1),(((D3510/100)*(C3510*VLOOKUP(B3510,'Poids des runes'!A:B,2,FALSE)))+1)/VLOOKUP(B3510,'Poids des runes'!A:B,2,FALSE))</f>
        <v>4.4866666666666672</v>
      </c>
      <c r="F3510">
        <f t="shared" si="54"/>
        <v>4.4866666666666672</v>
      </c>
    </row>
    <row r="3511" spans="1:6" x14ac:dyDescent="0.3">
      <c r="A3511" t="s">
        <v>872</v>
      </c>
      <c r="B3511" t="s">
        <v>2128</v>
      </c>
      <c r="C3511">
        <v>65.5</v>
      </c>
      <c r="D3511">
        <v>108</v>
      </c>
      <c r="E3511">
        <f>IF(OR(B3511="vi",B3511="ii",B3511="pod"),(((D3511/100)*(C3511*VLOOKUP(B3511,'Poids des runes'!A:B,2,FALSE)))+1),(((D3511/100)*(C3511*VLOOKUP(B3511,'Poids des runes'!A:B,2,FALSE)))+1)/VLOOKUP(B3511,'Poids des runes'!A:B,2,FALSE))</f>
        <v>15.148000000000003</v>
      </c>
      <c r="F3511">
        <f t="shared" si="54"/>
        <v>15.148000000000003</v>
      </c>
    </row>
    <row r="3512" spans="1:6" x14ac:dyDescent="0.3">
      <c r="A3512" t="s">
        <v>872</v>
      </c>
      <c r="B3512" t="s">
        <v>2130</v>
      </c>
      <c r="C3512">
        <v>28</v>
      </c>
      <c r="D3512">
        <v>108</v>
      </c>
      <c r="E3512">
        <f>IF(OR(B3512="vi",B3512="ii",B3512="pod"),(((D3512/100)*(C3512*VLOOKUP(B3512,'Poids des runes'!A:B,2,FALSE)))+1),(((D3512/100)*(C3512*VLOOKUP(B3512,'Poids des runes'!A:B,2,FALSE)))+1)/VLOOKUP(B3512,'Poids des runes'!A:B,2,FALSE))</f>
        <v>31.240000000000002</v>
      </c>
      <c r="F3512">
        <f t="shared" si="54"/>
        <v>31.240000000000002</v>
      </c>
    </row>
    <row r="3513" spans="1:6" x14ac:dyDescent="0.3">
      <c r="A3513" t="s">
        <v>872</v>
      </c>
      <c r="B3513" t="s">
        <v>2131</v>
      </c>
      <c r="C3513">
        <v>28</v>
      </c>
      <c r="D3513">
        <v>108</v>
      </c>
      <c r="E3513">
        <f>IF(OR(B3513="vi",B3513="ii",B3513="pod"),(((D3513/100)*(C3513*VLOOKUP(B3513,'Poids des runes'!A:B,2,FALSE)))+1),(((D3513/100)*(C3513*VLOOKUP(B3513,'Poids des runes'!A:B,2,FALSE)))+1)/VLOOKUP(B3513,'Poids des runes'!A:B,2,FALSE))</f>
        <v>31.240000000000002</v>
      </c>
      <c r="F3513">
        <f t="shared" si="54"/>
        <v>31.240000000000002</v>
      </c>
    </row>
    <row r="3514" spans="1:6" x14ac:dyDescent="0.3">
      <c r="A3514" t="s">
        <v>872</v>
      </c>
      <c r="B3514" t="s">
        <v>2127</v>
      </c>
      <c r="C3514">
        <v>28</v>
      </c>
      <c r="D3514">
        <v>108</v>
      </c>
      <c r="E3514">
        <f>IF(OR(B3514="vi",B3514="ii",B3514="pod"),(((D3514/100)*(C3514*VLOOKUP(B3514,'Poids des runes'!A:B,2,FALSE)))+1),(((D3514/100)*(C3514*VLOOKUP(B3514,'Poids des runes'!A:B,2,FALSE)))+1)/VLOOKUP(B3514,'Poids des runes'!A:B,2,FALSE))</f>
        <v>31.240000000000002</v>
      </c>
      <c r="F3514">
        <f t="shared" si="54"/>
        <v>31.240000000000002</v>
      </c>
    </row>
    <row r="3515" spans="1:6" x14ac:dyDescent="0.3">
      <c r="A3515" t="s">
        <v>872</v>
      </c>
      <c r="B3515" t="s">
        <v>2129</v>
      </c>
      <c r="C3515">
        <v>20.5</v>
      </c>
      <c r="D3515">
        <v>108</v>
      </c>
      <c r="E3515">
        <f>IF(OR(B3515="vi",B3515="ii",B3515="pod"),(((D3515/100)*(C3515*VLOOKUP(B3515,'Poids des runes'!A:B,2,FALSE)))+1),(((D3515/100)*(C3515*VLOOKUP(B3515,'Poids des runes'!A:B,2,FALSE)))+1)/VLOOKUP(B3515,'Poids des runes'!A:B,2,FALSE))</f>
        <v>23.14</v>
      </c>
      <c r="F3515">
        <f t="shared" si="54"/>
        <v>23.14</v>
      </c>
    </row>
    <row r="3516" spans="1:6" x14ac:dyDescent="0.3">
      <c r="A3516" t="s">
        <v>872</v>
      </c>
      <c r="B3516" t="s">
        <v>2139</v>
      </c>
      <c r="C3516">
        <v>4</v>
      </c>
      <c r="D3516">
        <v>108</v>
      </c>
      <c r="E3516">
        <f>IF(OR(B3516="vi",B3516="ii",B3516="pod"),(((D3516/100)*(C3516*VLOOKUP(B3516,'Poids des runes'!A:B,2,FALSE)))+1),(((D3516/100)*(C3516*VLOOKUP(B3516,'Poids des runes'!A:B,2,FALSE)))+1)/VLOOKUP(B3516,'Poids des runes'!A:B,2,FALSE))</f>
        <v>4.82</v>
      </c>
      <c r="F3516">
        <f t="shared" si="54"/>
        <v>4.82</v>
      </c>
    </row>
    <row r="3517" spans="1:6" x14ac:dyDescent="0.3">
      <c r="A3517" t="s">
        <v>872</v>
      </c>
      <c r="B3517" t="s">
        <v>2151</v>
      </c>
      <c r="C3517">
        <v>3.5</v>
      </c>
      <c r="D3517">
        <v>108</v>
      </c>
      <c r="E3517">
        <f>IF(OR(B3517="vi",B3517="ii",B3517="pod"),(((D3517/100)*(C3517*VLOOKUP(B3517,'Poids des runes'!A:B,2,FALSE)))+1),(((D3517/100)*(C3517*VLOOKUP(B3517,'Poids des runes'!A:B,2,FALSE)))+1)/VLOOKUP(B3517,'Poids des runes'!A:B,2,FALSE))</f>
        <v>3.8800000000000003</v>
      </c>
      <c r="F3517">
        <f t="shared" si="54"/>
        <v>3.8800000000000003</v>
      </c>
    </row>
    <row r="3518" spans="1:6" x14ac:dyDescent="0.3">
      <c r="A3518" t="s">
        <v>872</v>
      </c>
      <c r="B3518" t="s">
        <v>2134</v>
      </c>
      <c r="C3518">
        <v>4</v>
      </c>
      <c r="D3518">
        <v>108</v>
      </c>
      <c r="E3518">
        <f>IF(OR(B3518="vi",B3518="ii",B3518="pod"),(((D3518/100)*(C3518*VLOOKUP(B3518,'Poids des runes'!A:B,2,FALSE)))+1),(((D3518/100)*(C3518*VLOOKUP(B3518,'Poids des runes'!A:B,2,FALSE)))+1)/VLOOKUP(B3518,'Poids des runes'!A:B,2,FALSE))</f>
        <v>4.37</v>
      </c>
      <c r="F3518">
        <f t="shared" si="54"/>
        <v>4.37</v>
      </c>
    </row>
    <row r="3519" spans="1:6" x14ac:dyDescent="0.3">
      <c r="A3519" t="s">
        <v>872</v>
      </c>
      <c r="B3519" t="s">
        <v>2161</v>
      </c>
      <c r="C3519">
        <v>8</v>
      </c>
      <c r="D3519">
        <v>108</v>
      </c>
      <c r="E3519">
        <f>IF(OR(B3519="vi",B3519="ii",B3519="pod"),(((D3519/100)*(C3519*VLOOKUP(B3519,'Poids des runes'!A:B,2,FALSE)))+1),(((D3519/100)*(C3519*VLOOKUP(B3519,'Poids des runes'!A:B,2,FALSE)))+1)/VLOOKUP(B3519,'Poids des runes'!A:B,2,FALSE))</f>
        <v>8.9733333333333345</v>
      </c>
      <c r="F3519">
        <f t="shared" si="54"/>
        <v>8.9733333333333345</v>
      </c>
    </row>
    <row r="3520" spans="1:6" x14ac:dyDescent="0.3">
      <c r="A3520" t="s">
        <v>872</v>
      </c>
      <c r="B3520" t="s">
        <v>2132</v>
      </c>
      <c r="C3520">
        <v>125.5</v>
      </c>
      <c r="D3520">
        <v>108</v>
      </c>
      <c r="E3520">
        <f>IF(OR(B3520="vi",B3520="ii",B3520="pod"),(((D3520/100)*(C3520*VLOOKUP(B3520,'Poids des runes'!A:B,2,FALSE)))+1),(((D3520/100)*(C3520*VLOOKUP(B3520,'Poids des runes'!A:B,2,FALSE)))+1)/VLOOKUP(B3520,'Poids des runes'!A:B,2,FALSE))</f>
        <v>14.554000000000002</v>
      </c>
      <c r="F3520">
        <f t="shared" si="54"/>
        <v>14.554000000000002</v>
      </c>
    </row>
    <row r="3521" spans="1:6" x14ac:dyDescent="0.3">
      <c r="A3521" t="s">
        <v>873</v>
      </c>
      <c r="B3521" t="s">
        <v>2128</v>
      </c>
      <c r="C3521">
        <v>85.5</v>
      </c>
      <c r="D3521">
        <v>108</v>
      </c>
      <c r="E3521">
        <f>IF(OR(B3521="vi",B3521="ii",B3521="pod"),(((D3521/100)*(C3521*VLOOKUP(B3521,'Poids des runes'!A:B,2,FALSE)))+1),(((D3521/100)*(C3521*VLOOKUP(B3521,'Poids des runes'!A:B,2,FALSE)))+1)/VLOOKUP(B3521,'Poids des runes'!A:B,2,FALSE))</f>
        <v>19.468000000000004</v>
      </c>
      <c r="F3521">
        <f t="shared" si="54"/>
        <v>19.468000000000004</v>
      </c>
    </row>
    <row r="3522" spans="1:6" x14ac:dyDescent="0.3">
      <c r="A3522" t="s">
        <v>873</v>
      </c>
      <c r="B3522" t="s">
        <v>2126</v>
      </c>
      <c r="C3522">
        <v>50.5</v>
      </c>
      <c r="D3522">
        <v>108</v>
      </c>
      <c r="E3522">
        <f>IF(OR(B3522="vi",B3522="ii",B3522="pod"),(((D3522/100)*(C3522*VLOOKUP(B3522,'Poids des runes'!A:B,2,FALSE)))+1),(((D3522/100)*(C3522*VLOOKUP(B3522,'Poids des runes'!A:B,2,FALSE)))+1)/VLOOKUP(B3522,'Poids des runes'!A:B,2,FALSE))</f>
        <v>55.540000000000006</v>
      </c>
      <c r="F3522">
        <f t="shared" si="54"/>
        <v>55.540000000000006</v>
      </c>
    </row>
    <row r="3523" spans="1:6" x14ac:dyDescent="0.3">
      <c r="A3523" t="s">
        <v>873</v>
      </c>
      <c r="B3523" t="s">
        <v>2129</v>
      </c>
      <c r="C3523">
        <v>23</v>
      </c>
      <c r="D3523">
        <v>108</v>
      </c>
      <c r="E3523">
        <f>IF(OR(B3523="vi",B3523="ii",B3523="pod"),(((D3523/100)*(C3523*VLOOKUP(B3523,'Poids des runes'!A:B,2,FALSE)))+1),(((D3523/100)*(C3523*VLOOKUP(B3523,'Poids des runes'!A:B,2,FALSE)))+1)/VLOOKUP(B3523,'Poids des runes'!A:B,2,FALSE))</f>
        <v>25.840000000000003</v>
      </c>
      <c r="F3523">
        <f t="shared" ref="F3523:F3586" si="55">E3523</f>
        <v>25.840000000000003</v>
      </c>
    </row>
    <row r="3524" spans="1:6" x14ac:dyDescent="0.3">
      <c r="A3524" t="s">
        <v>873</v>
      </c>
      <c r="B3524" t="s">
        <v>2155</v>
      </c>
      <c r="C3524">
        <v>1</v>
      </c>
      <c r="D3524">
        <v>108</v>
      </c>
      <c r="E3524">
        <f>IF(OR(B3524="vi",B3524="ii",B3524="pod"),(((D3524/100)*(C3524*VLOOKUP(B3524,'Poids des runes'!A:B,2,FALSE)))+1),(((D3524/100)*(C3524*VLOOKUP(B3524,'Poids des runes'!A:B,2,FALSE)))+1)/VLOOKUP(B3524,'Poids des runes'!A:B,2,FALSE))</f>
        <v>1.0996078431372549</v>
      </c>
      <c r="F3524">
        <f t="shared" si="55"/>
        <v>1.0996078431372549</v>
      </c>
    </row>
    <row r="3525" spans="1:6" x14ac:dyDescent="0.3">
      <c r="A3525" t="s">
        <v>873</v>
      </c>
      <c r="B3525" t="s">
        <v>2140</v>
      </c>
      <c r="C3525">
        <v>4</v>
      </c>
      <c r="D3525">
        <v>108</v>
      </c>
      <c r="E3525">
        <f>IF(OR(B3525="vi",B3525="ii",B3525="pod"),(((D3525/100)*(C3525*VLOOKUP(B3525,'Poids des runes'!A:B,2,FALSE)))+1),(((D3525/100)*(C3525*VLOOKUP(B3525,'Poids des runes'!A:B,2,FALSE)))+1)/VLOOKUP(B3525,'Poids des runes'!A:B,2,FALSE))</f>
        <v>4.5200000000000005</v>
      </c>
      <c r="F3525">
        <f t="shared" si="55"/>
        <v>4.5200000000000005</v>
      </c>
    </row>
    <row r="3526" spans="1:6" x14ac:dyDescent="0.3">
      <c r="A3526" t="s">
        <v>873</v>
      </c>
      <c r="B3526" t="s">
        <v>2149</v>
      </c>
      <c r="C3526">
        <v>7</v>
      </c>
      <c r="D3526">
        <v>108</v>
      </c>
      <c r="E3526">
        <f>IF(OR(B3526="vi",B3526="ii",B3526="pod"),(((D3526/100)*(C3526*VLOOKUP(B3526,'Poids des runes'!A:B,2,FALSE)))+1),(((D3526/100)*(C3526*VLOOKUP(B3526,'Poids des runes'!A:B,2,FALSE)))+1)/VLOOKUP(B3526,'Poids des runes'!A:B,2,FALSE))</f>
        <v>7.660000000000001</v>
      </c>
      <c r="F3526">
        <f t="shared" si="55"/>
        <v>7.660000000000001</v>
      </c>
    </row>
    <row r="3527" spans="1:6" x14ac:dyDescent="0.3">
      <c r="A3527" t="s">
        <v>873</v>
      </c>
      <c r="B3527" t="s">
        <v>2161</v>
      </c>
      <c r="C3527">
        <v>6.5</v>
      </c>
      <c r="D3527">
        <v>108</v>
      </c>
      <c r="E3527">
        <f>IF(OR(B3527="vi",B3527="ii",B3527="pod"),(((D3527/100)*(C3527*VLOOKUP(B3527,'Poids des runes'!A:B,2,FALSE)))+1),(((D3527/100)*(C3527*VLOOKUP(B3527,'Poids des runes'!A:B,2,FALSE)))+1)/VLOOKUP(B3527,'Poids des runes'!A:B,2,FALSE))</f>
        <v>7.3533333333333344</v>
      </c>
      <c r="F3527">
        <f t="shared" si="55"/>
        <v>7.3533333333333344</v>
      </c>
    </row>
    <row r="3528" spans="1:6" x14ac:dyDescent="0.3">
      <c r="A3528" t="s">
        <v>873</v>
      </c>
      <c r="B3528" t="s">
        <v>2160</v>
      </c>
      <c r="C3528">
        <v>4.5</v>
      </c>
      <c r="D3528">
        <v>108</v>
      </c>
      <c r="E3528">
        <f>IF(OR(B3528="vi",B3528="ii",B3528="pod"),(((D3528/100)*(C3528*VLOOKUP(B3528,'Poids des runes'!A:B,2,FALSE)))+1),(((D3528/100)*(C3528*VLOOKUP(B3528,'Poids des runes'!A:B,2,FALSE)))+1)/VLOOKUP(B3528,'Poids des runes'!A:B,2,FALSE))</f>
        <v>5.0028571428571436</v>
      </c>
      <c r="F3528">
        <f t="shared" si="55"/>
        <v>5.0028571428571436</v>
      </c>
    </row>
    <row r="3529" spans="1:6" x14ac:dyDescent="0.3">
      <c r="A3529" t="s">
        <v>873</v>
      </c>
      <c r="B3529" t="s">
        <v>2157</v>
      </c>
      <c r="C3529">
        <v>3.5</v>
      </c>
      <c r="D3529">
        <v>108</v>
      </c>
      <c r="E3529">
        <f>IF(OR(B3529="vi",B3529="ii",B3529="pod"),(((D3529/100)*(C3529*VLOOKUP(B3529,'Poids des runes'!A:B,2,FALSE)))+1),(((D3529/100)*(C3529*VLOOKUP(B3529,'Poids des runes'!A:B,2,FALSE)))+1)/VLOOKUP(B3529,'Poids des runes'!A:B,2,FALSE))</f>
        <v>3.9466666666666668</v>
      </c>
      <c r="F3529">
        <f t="shared" si="55"/>
        <v>3.9466666666666668</v>
      </c>
    </row>
    <row r="3530" spans="1:6" x14ac:dyDescent="0.3">
      <c r="A3530" t="s">
        <v>874</v>
      </c>
      <c r="B3530" t="s">
        <v>2128</v>
      </c>
      <c r="C3530">
        <v>175.5</v>
      </c>
      <c r="D3530">
        <v>108</v>
      </c>
      <c r="E3530">
        <f>IF(OR(B3530="vi",B3530="ii",B3530="pod"),(((D3530/100)*(C3530*VLOOKUP(B3530,'Poids des runes'!A:B,2,FALSE)))+1),(((D3530/100)*(C3530*VLOOKUP(B3530,'Poids des runes'!A:B,2,FALSE)))+1)/VLOOKUP(B3530,'Poids des runes'!A:B,2,FALSE))</f>
        <v>38.908000000000001</v>
      </c>
      <c r="F3530">
        <f t="shared" si="55"/>
        <v>38.908000000000001</v>
      </c>
    </row>
    <row r="3531" spans="1:6" x14ac:dyDescent="0.3">
      <c r="A3531" t="s">
        <v>874</v>
      </c>
      <c r="B3531" t="s">
        <v>2129</v>
      </c>
      <c r="C3531">
        <v>18</v>
      </c>
      <c r="D3531">
        <v>108</v>
      </c>
      <c r="E3531">
        <f>IF(OR(B3531="vi",B3531="ii",B3531="pod"),(((D3531/100)*(C3531*VLOOKUP(B3531,'Poids des runes'!A:B,2,FALSE)))+1),(((D3531/100)*(C3531*VLOOKUP(B3531,'Poids des runes'!A:B,2,FALSE)))+1)/VLOOKUP(B3531,'Poids des runes'!A:B,2,FALSE))</f>
        <v>20.440000000000001</v>
      </c>
      <c r="F3531">
        <f t="shared" si="55"/>
        <v>20.440000000000001</v>
      </c>
    </row>
    <row r="3532" spans="1:6" x14ac:dyDescent="0.3">
      <c r="A3532" t="s">
        <v>874</v>
      </c>
      <c r="B3532" t="s">
        <v>2139</v>
      </c>
      <c r="C3532">
        <v>28</v>
      </c>
      <c r="D3532">
        <v>108</v>
      </c>
      <c r="E3532">
        <f>IF(OR(B3532="vi",B3532="ii",B3532="pod"),(((D3532/100)*(C3532*VLOOKUP(B3532,'Poids des runes'!A:B,2,FALSE)))+1),(((D3532/100)*(C3532*VLOOKUP(B3532,'Poids des runes'!A:B,2,FALSE)))+1)/VLOOKUP(B3532,'Poids des runes'!A:B,2,FALSE))</f>
        <v>30.740000000000002</v>
      </c>
      <c r="F3532">
        <f t="shared" si="55"/>
        <v>30.740000000000002</v>
      </c>
    </row>
    <row r="3533" spans="1:6" x14ac:dyDescent="0.3">
      <c r="A3533" t="s">
        <v>874</v>
      </c>
      <c r="B3533" t="s">
        <v>2151</v>
      </c>
      <c r="C3533">
        <v>2.5</v>
      </c>
      <c r="D3533">
        <v>108</v>
      </c>
      <c r="E3533">
        <f>IF(OR(B3533="vi",B3533="ii",B3533="pod"),(((D3533/100)*(C3533*VLOOKUP(B3533,'Poids des runes'!A:B,2,FALSE)))+1),(((D3533/100)*(C3533*VLOOKUP(B3533,'Poids des runes'!A:B,2,FALSE)))+1)/VLOOKUP(B3533,'Poids des runes'!A:B,2,FALSE))</f>
        <v>2.8</v>
      </c>
      <c r="F3533">
        <f t="shared" si="55"/>
        <v>2.8</v>
      </c>
    </row>
    <row r="3534" spans="1:6" x14ac:dyDescent="0.3">
      <c r="A3534" t="s">
        <v>874</v>
      </c>
      <c r="B3534" t="s">
        <v>2155</v>
      </c>
      <c r="C3534">
        <v>1</v>
      </c>
      <c r="D3534">
        <v>108</v>
      </c>
      <c r="E3534">
        <f>IF(OR(B3534="vi",B3534="ii",B3534="pod"),(((D3534/100)*(C3534*VLOOKUP(B3534,'Poids des runes'!A:B,2,FALSE)))+1),(((D3534/100)*(C3534*VLOOKUP(B3534,'Poids des runes'!A:B,2,FALSE)))+1)/VLOOKUP(B3534,'Poids des runes'!A:B,2,FALSE))</f>
        <v>1.0996078431372549</v>
      </c>
      <c r="F3534">
        <f t="shared" si="55"/>
        <v>1.0996078431372549</v>
      </c>
    </row>
    <row r="3535" spans="1:6" x14ac:dyDescent="0.3">
      <c r="A3535" t="s">
        <v>874</v>
      </c>
      <c r="B3535" t="s">
        <v>2134</v>
      </c>
      <c r="C3535">
        <v>3.5</v>
      </c>
      <c r="D3535">
        <v>108</v>
      </c>
      <c r="E3535">
        <f>IF(OR(B3535="vi",B3535="ii",B3535="pod"),(((D3535/100)*(C3535*VLOOKUP(B3535,'Poids des runes'!A:B,2,FALSE)))+1),(((D3535/100)*(C3535*VLOOKUP(B3535,'Poids des runes'!A:B,2,FALSE)))+1)/VLOOKUP(B3535,'Poids des runes'!A:B,2,FALSE))</f>
        <v>3.8300000000000005</v>
      </c>
      <c r="F3535">
        <f t="shared" si="55"/>
        <v>3.8300000000000005</v>
      </c>
    </row>
    <row r="3536" spans="1:6" x14ac:dyDescent="0.3">
      <c r="A3536" t="s">
        <v>874</v>
      </c>
      <c r="B3536" t="s">
        <v>2135</v>
      </c>
      <c r="C3536">
        <v>2.5</v>
      </c>
      <c r="D3536">
        <v>108</v>
      </c>
      <c r="E3536">
        <f>IF(OR(B3536="vi",B3536="ii",B3536="pod"),(((D3536/100)*(C3536*VLOOKUP(B3536,'Poids des runes'!A:B,2,FALSE)))+1),(((D3536/100)*(C3536*VLOOKUP(B3536,'Poids des runes'!A:B,2,FALSE)))+1)/VLOOKUP(B3536,'Poids des runes'!A:B,2,FALSE))</f>
        <v>2.8666666666666671</v>
      </c>
      <c r="F3536">
        <f t="shared" si="55"/>
        <v>2.8666666666666671</v>
      </c>
    </row>
    <row r="3537" spans="1:6" x14ac:dyDescent="0.3">
      <c r="A3537" t="s">
        <v>874</v>
      </c>
      <c r="B3537" t="s">
        <v>2157</v>
      </c>
      <c r="C3537">
        <v>2.5</v>
      </c>
      <c r="D3537">
        <v>108</v>
      </c>
      <c r="E3537">
        <f>IF(OR(B3537="vi",B3537="ii",B3537="pod"),(((D3537/100)*(C3537*VLOOKUP(B3537,'Poids des runes'!A:B,2,FALSE)))+1),(((D3537/100)*(C3537*VLOOKUP(B3537,'Poids des runes'!A:B,2,FALSE)))+1)/VLOOKUP(B3537,'Poids des runes'!A:B,2,FALSE))</f>
        <v>2.8666666666666671</v>
      </c>
      <c r="F3537">
        <f t="shared" si="55"/>
        <v>2.8666666666666671</v>
      </c>
    </row>
    <row r="3538" spans="1:6" x14ac:dyDescent="0.3">
      <c r="A3538" t="s">
        <v>875</v>
      </c>
      <c r="B3538" t="s">
        <v>2128</v>
      </c>
      <c r="C3538">
        <v>115.5</v>
      </c>
      <c r="D3538">
        <v>108</v>
      </c>
      <c r="E3538">
        <f>IF(OR(B3538="vi",B3538="ii",B3538="pod"),(((D3538/100)*(C3538*VLOOKUP(B3538,'Poids des runes'!A:B,2,FALSE)))+1),(((D3538/100)*(C3538*VLOOKUP(B3538,'Poids des runes'!A:B,2,FALSE)))+1)/VLOOKUP(B3538,'Poids des runes'!A:B,2,FALSE))</f>
        <v>25.948000000000004</v>
      </c>
      <c r="F3538">
        <f t="shared" si="55"/>
        <v>25.948000000000004</v>
      </c>
    </row>
    <row r="3539" spans="1:6" x14ac:dyDescent="0.3">
      <c r="A3539" t="s">
        <v>875</v>
      </c>
      <c r="B3539" t="s">
        <v>2129</v>
      </c>
      <c r="C3539">
        <v>13</v>
      </c>
      <c r="D3539">
        <v>108</v>
      </c>
      <c r="E3539">
        <f>IF(OR(B3539="vi",B3539="ii",B3539="pod"),(((D3539/100)*(C3539*VLOOKUP(B3539,'Poids des runes'!A:B,2,FALSE)))+1),(((D3539/100)*(C3539*VLOOKUP(B3539,'Poids des runes'!A:B,2,FALSE)))+1)/VLOOKUP(B3539,'Poids des runes'!A:B,2,FALSE))</f>
        <v>15.040000000000001</v>
      </c>
      <c r="F3539">
        <f t="shared" si="55"/>
        <v>15.040000000000001</v>
      </c>
    </row>
    <row r="3540" spans="1:6" x14ac:dyDescent="0.3">
      <c r="A3540" t="s">
        <v>875</v>
      </c>
      <c r="B3540" t="s">
        <v>2139</v>
      </c>
      <c r="C3540">
        <v>35.5</v>
      </c>
      <c r="D3540">
        <v>108</v>
      </c>
      <c r="E3540">
        <f>IF(OR(B3540="vi",B3540="ii",B3540="pod"),(((D3540/100)*(C3540*VLOOKUP(B3540,'Poids des runes'!A:B,2,FALSE)))+1),(((D3540/100)*(C3540*VLOOKUP(B3540,'Poids des runes'!A:B,2,FALSE)))+1)/VLOOKUP(B3540,'Poids des runes'!A:B,2,FALSE))</f>
        <v>38.840000000000003</v>
      </c>
      <c r="F3540">
        <f t="shared" si="55"/>
        <v>38.840000000000003</v>
      </c>
    </row>
    <row r="3541" spans="1:6" x14ac:dyDescent="0.3">
      <c r="A3541" t="s">
        <v>875</v>
      </c>
      <c r="B3541" t="s">
        <v>2154</v>
      </c>
      <c r="C3541">
        <v>1</v>
      </c>
      <c r="D3541">
        <v>108</v>
      </c>
      <c r="E3541">
        <f>IF(OR(B3541="vi",B3541="ii",B3541="pod"),(((D3541/100)*(C3541*VLOOKUP(B3541,'Poids des runes'!A:B,2,FALSE)))+1),(((D3541/100)*(C3541*VLOOKUP(B3541,'Poids des runes'!A:B,2,FALSE)))+1)/VLOOKUP(B3541,'Poids des runes'!A:B,2,FALSE))</f>
        <v>1.0911111111111111</v>
      </c>
      <c r="F3541">
        <f t="shared" si="55"/>
        <v>1.0911111111111111</v>
      </c>
    </row>
    <row r="3542" spans="1:6" x14ac:dyDescent="0.3">
      <c r="A3542" t="s">
        <v>875</v>
      </c>
      <c r="B3542" t="s">
        <v>2134</v>
      </c>
      <c r="C3542">
        <v>3.5</v>
      </c>
      <c r="D3542">
        <v>108</v>
      </c>
      <c r="E3542">
        <f>IF(OR(B3542="vi",B3542="ii",B3542="pod"),(((D3542/100)*(C3542*VLOOKUP(B3542,'Poids des runes'!A:B,2,FALSE)))+1),(((D3542/100)*(C3542*VLOOKUP(B3542,'Poids des runes'!A:B,2,FALSE)))+1)/VLOOKUP(B3542,'Poids des runes'!A:B,2,FALSE))</f>
        <v>3.8300000000000005</v>
      </c>
      <c r="F3542">
        <f t="shared" si="55"/>
        <v>3.8300000000000005</v>
      </c>
    </row>
    <row r="3543" spans="1:6" x14ac:dyDescent="0.3">
      <c r="A3543" t="s">
        <v>875</v>
      </c>
      <c r="B3543" t="s">
        <v>2138</v>
      </c>
      <c r="C3543">
        <v>2.5</v>
      </c>
      <c r="D3543">
        <v>108</v>
      </c>
      <c r="E3543">
        <f>IF(OR(B3543="vi",B3543="ii",B3543="pod"),(((D3543/100)*(C3543*VLOOKUP(B3543,'Poids des runes'!A:B,2,FALSE)))+1),(((D3543/100)*(C3543*VLOOKUP(B3543,'Poids des runes'!A:B,2,FALSE)))+1)/VLOOKUP(B3543,'Poids des runes'!A:B,2,FALSE))</f>
        <v>2.95</v>
      </c>
      <c r="F3543">
        <f t="shared" si="55"/>
        <v>2.95</v>
      </c>
    </row>
    <row r="3544" spans="1:6" x14ac:dyDescent="0.3">
      <c r="A3544" t="s">
        <v>875</v>
      </c>
      <c r="B3544" t="s">
        <v>2157</v>
      </c>
      <c r="C3544">
        <v>2.5</v>
      </c>
      <c r="D3544">
        <v>108</v>
      </c>
      <c r="E3544">
        <f>IF(OR(B3544="vi",B3544="ii",B3544="pod"),(((D3544/100)*(C3544*VLOOKUP(B3544,'Poids des runes'!A:B,2,FALSE)))+1),(((D3544/100)*(C3544*VLOOKUP(B3544,'Poids des runes'!A:B,2,FALSE)))+1)/VLOOKUP(B3544,'Poids des runes'!A:B,2,FALSE))</f>
        <v>2.8666666666666671</v>
      </c>
      <c r="F3544">
        <f t="shared" si="55"/>
        <v>2.8666666666666671</v>
      </c>
    </row>
    <row r="3545" spans="1:6" x14ac:dyDescent="0.3">
      <c r="A3545" t="s">
        <v>875</v>
      </c>
      <c r="B3545" t="s">
        <v>2145</v>
      </c>
      <c r="C3545">
        <v>4</v>
      </c>
      <c r="D3545">
        <v>108</v>
      </c>
      <c r="E3545">
        <f>IF(OR(B3545="vi",B3545="ii",B3545="pod"),(((D3545/100)*(C3545*VLOOKUP(B3545,'Poids des runes'!A:B,2,FALSE)))+1),(((D3545/100)*(C3545*VLOOKUP(B3545,'Poids des runes'!A:B,2,FALSE)))+1)/VLOOKUP(B3545,'Poids des runes'!A:B,2,FALSE))</f>
        <v>4.82</v>
      </c>
      <c r="F3545">
        <f t="shared" si="55"/>
        <v>4.82</v>
      </c>
    </row>
    <row r="3546" spans="1:6" x14ac:dyDescent="0.3">
      <c r="A3546" t="s">
        <v>876</v>
      </c>
      <c r="B3546" t="s">
        <v>2128</v>
      </c>
      <c r="C3546">
        <v>125.5</v>
      </c>
      <c r="D3546">
        <v>109</v>
      </c>
      <c r="E3546">
        <f>IF(OR(B3546="vi",B3546="ii",B3546="pod"),(((D3546/100)*(C3546*VLOOKUP(B3546,'Poids des runes'!A:B,2,FALSE)))+1),(((D3546/100)*(C3546*VLOOKUP(B3546,'Poids des runes'!A:B,2,FALSE)))+1)/VLOOKUP(B3546,'Poids des runes'!A:B,2,FALSE))</f>
        <v>28.359000000000005</v>
      </c>
      <c r="F3546">
        <f t="shared" si="55"/>
        <v>28.359000000000005</v>
      </c>
    </row>
    <row r="3547" spans="1:6" x14ac:dyDescent="0.3">
      <c r="A3547" t="s">
        <v>876</v>
      </c>
      <c r="B3547" t="s">
        <v>2126</v>
      </c>
      <c r="C3547">
        <v>45.5</v>
      </c>
      <c r="D3547">
        <v>109</v>
      </c>
      <c r="E3547">
        <f>IF(OR(B3547="vi",B3547="ii",B3547="pod"),(((D3547/100)*(C3547*VLOOKUP(B3547,'Poids des runes'!A:B,2,FALSE)))+1),(((D3547/100)*(C3547*VLOOKUP(B3547,'Poids des runes'!A:B,2,FALSE)))+1)/VLOOKUP(B3547,'Poids des runes'!A:B,2,FALSE))</f>
        <v>50.595000000000006</v>
      </c>
      <c r="F3547">
        <f t="shared" si="55"/>
        <v>50.595000000000006</v>
      </c>
    </row>
    <row r="3548" spans="1:6" x14ac:dyDescent="0.3">
      <c r="A3548" t="s">
        <v>876</v>
      </c>
      <c r="B3548" t="s">
        <v>2131</v>
      </c>
      <c r="C3548">
        <v>45.5</v>
      </c>
      <c r="D3548">
        <v>109</v>
      </c>
      <c r="E3548">
        <f>IF(OR(B3548="vi",B3548="ii",B3548="pod"),(((D3548/100)*(C3548*VLOOKUP(B3548,'Poids des runes'!A:B,2,FALSE)))+1),(((D3548/100)*(C3548*VLOOKUP(B3548,'Poids des runes'!A:B,2,FALSE)))+1)/VLOOKUP(B3548,'Poids des runes'!A:B,2,FALSE))</f>
        <v>50.595000000000006</v>
      </c>
      <c r="F3548">
        <f t="shared" si="55"/>
        <v>50.595000000000006</v>
      </c>
    </row>
    <row r="3549" spans="1:6" x14ac:dyDescent="0.3">
      <c r="A3549" t="s">
        <v>876</v>
      </c>
      <c r="B3549" t="s">
        <v>2129</v>
      </c>
      <c r="C3549">
        <v>25.5</v>
      </c>
      <c r="D3549">
        <v>109</v>
      </c>
      <c r="E3549">
        <f>IF(OR(B3549="vi",B3549="ii",B3549="pod"),(((D3549/100)*(C3549*VLOOKUP(B3549,'Poids des runes'!A:B,2,FALSE)))+1),(((D3549/100)*(C3549*VLOOKUP(B3549,'Poids des runes'!A:B,2,FALSE)))+1)/VLOOKUP(B3549,'Poids des runes'!A:B,2,FALSE))</f>
        <v>28.795000000000002</v>
      </c>
      <c r="F3549">
        <f t="shared" si="55"/>
        <v>28.795000000000002</v>
      </c>
    </row>
    <row r="3550" spans="1:6" x14ac:dyDescent="0.3">
      <c r="A3550" t="s">
        <v>876</v>
      </c>
      <c r="B3550" t="s">
        <v>2140</v>
      </c>
      <c r="C3550">
        <v>3.5</v>
      </c>
      <c r="D3550">
        <v>109</v>
      </c>
      <c r="E3550">
        <f>IF(OR(B3550="vi",B3550="ii",B3550="pod"),(((D3550/100)*(C3550*VLOOKUP(B3550,'Poids des runes'!A:B,2,FALSE)))+1),(((D3550/100)*(C3550*VLOOKUP(B3550,'Poids des runes'!A:B,2,FALSE)))+1)/VLOOKUP(B3550,'Poids des runes'!A:B,2,FALSE))</f>
        <v>4.0150000000000006</v>
      </c>
      <c r="F3550">
        <f t="shared" si="55"/>
        <v>4.0150000000000006</v>
      </c>
    </row>
    <row r="3551" spans="1:6" x14ac:dyDescent="0.3">
      <c r="A3551" t="s">
        <v>876</v>
      </c>
      <c r="B3551" t="s">
        <v>2133</v>
      </c>
      <c r="C3551">
        <v>3.5</v>
      </c>
      <c r="D3551">
        <v>109</v>
      </c>
      <c r="E3551">
        <f>IF(OR(B3551="vi",B3551="ii",B3551="pod"),(((D3551/100)*(C3551*VLOOKUP(B3551,'Poids des runes'!A:B,2,FALSE)))+1),(((D3551/100)*(C3551*VLOOKUP(B3551,'Poids des runes'!A:B,2,FALSE)))+1)/VLOOKUP(B3551,'Poids des runes'!A:B,2,FALSE))</f>
        <v>4.0150000000000006</v>
      </c>
      <c r="F3551">
        <f t="shared" si="55"/>
        <v>4.0150000000000006</v>
      </c>
    </row>
    <row r="3552" spans="1:6" x14ac:dyDescent="0.3">
      <c r="A3552" t="s">
        <v>876</v>
      </c>
      <c r="B3552" t="s">
        <v>2149</v>
      </c>
      <c r="C3552">
        <v>6.5</v>
      </c>
      <c r="D3552">
        <v>109</v>
      </c>
      <c r="E3552">
        <f>IF(OR(B3552="vi",B3552="ii",B3552="pod"),(((D3552/100)*(C3552*VLOOKUP(B3552,'Poids des runes'!A:B,2,FALSE)))+1),(((D3552/100)*(C3552*VLOOKUP(B3552,'Poids des runes'!A:B,2,FALSE)))+1)/VLOOKUP(B3552,'Poids des runes'!A:B,2,FALSE))</f>
        <v>7.1850000000000005</v>
      </c>
      <c r="F3552">
        <f t="shared" si="55"/>
        <v>7.1850000000000005</v>
      </c>
    </row>
    <row r="3553" spans="1:6" x14ac:dyDescent="0.3">
      <c r="A3553" t="s">
        <v>876</v>
      </c>
      <c r="B3553" t="s">
        <v>2161</v>
      </c>
      <c r="C3553">
        <v>8.5</v>
      </c>
      <c r="D3553">
        <v>109</v>
      </c>
      <c r="E3553">
        <f>IF(OR(B3553="vi",B3553="ii",B3553="pod"),(((D3553/100)*(C3553*VLOOKUP(B3553,'Poids des runes'!A:B,2,FALSE)))+1),(((D3553/100)*(C3553*VLOOKUP(B3553,'Poids des runes'!A:B,2,FALSE)))+1)/VLOOKUP(B3553,'Poids des runes'!A:B,2,FALSE))</f>
        <v>9.5983333333333345</v>
      </c>
      <c r="F3553">
        <f t="shared" si="55"/>
        <v>9.5983333333333345</v>
      </c>
    </row>
    <row r="3554" spans="1:6" x14ac:dyDescent="0.3">
      <c r="A3554" t="s">
        <v>876</v>
      </c>
      <c r="B3554" t="s">
        <v>2148</v>
      </c>
      <c r="C3554">
        <v>2.5</v>
      </c>
      <c r="D3554">
        <v>109</v>
      </c>
      <c r="E3554">
        <f>IF(OR(B3554="vi",B3554="ii",B3554="pod"),(((D3554/100)*(C3554*VLOOKUP(B3554,'Poids des runes'!A:B,2,FALSE)))+1),(((D3554/100)*(C3554*VLOOKUP(B3554,'Poids des runes'!A:B,2,FALSE)))+1)/VLOOKUP(B3554,'Poids des runes'!A:B,2,FALSE))</f>
        <v>2.8916666666666671</v>
      </c>
      <c r="F3554">
        <f t="shared" si="55"/>
        <v>2.8916666666666671</v>
      </c>
    </row>
    <row r="3555" spans="1:6" x14ac:dyDescent="0.3">
      <c r="A3555" t="s">
        <v>876</v>
      </c>
      <c r="B3555" t="s">
        <v>2147</v>
      </c>
      <c r="C3555">
        <v>2.5</v>
      </c>
      <c r="D3555">
        <v>109</v>
      </c>
      <c r="E3555">
        <f>IF(OR(B3555="vi",B3555="ii",B3555="pod"),(((D3555/100)*(C3555*VLOOKUP(B3555,'Poids des runes'!A:B,2,FALSE)))+1),(((D3555/100)*(C3555*VLOOKUP(B3555,'Poids des runes'!A:B,2,FALSE)))+1)/VLOOKUP(B3555,'Poids des runes'!A:B,2,FALSE))</f>
        <v>2.8916666666666671</v>
      </c>
      <c r="F3555">
        <f t="shared" si="55"/>
        <v>2.8916666666666671</v>
      </c>
    </row>
    <row r="3556" spans="1:6" x14ac:dyDescent="0.3">
      <c r="A3556" t="s">
        <v>877</v>
      </c>
      <c r="B3556" t="s">
        <v>2128</v>
      </c>
      <c r="C3556">
        <v>175.5</v>
      </c>
      <c r="D3556">
        <v>109</v>
      </c>
      <c r="E3556">
        <f>IF(OR(B3556="vi",B3556="ii",B3556="pod"),(((D3556/100)*(C3556*VLOOKUP(B3556,'Poids des runes'!A:B,2,FALSE)))+1),(((D3556/100)*(C3556*VLOOKUP(B3556,'Poids des runes'!A:B,2,FALSE)))+1)/VLOOKUP(B3556,'Poids des runes'!A:B,2,FALSE))</f>
        <v>39.259000000000007</v>
      </c>
      <c r="F3556">
        <f t="shared" si="55"/>
        <v>39.259000000000007</v>
      </c>
    </row>
    <row r="3557" spans="1:6" x14ac:dyDescent="0.3">
      <c r="A3557" t="s">
        <v>877</v>
      </c>
      <c r="B3557" t="s">
        <v>2131</v>
      </c>
      <c r="C3557">
        <v>40.5</v>
      </c>
      <c r="D3557">
        <v>109</v>
      </c>
      <c r="E3557">
        <f>IF(OR(B3557="vi",B3557="ii",B3557="pod"),(((D3557/100)*(C3557*VLOOKUP(B3557,'Poids des runes'!A:B,2,FALSE)))+1),(((D3557/100)*(C3557*VLOOKUP(B3557,'Poids des runes'!A:B,2,FALSE)))+1)/VLOOKUP(B3557,'Poids des runes'!A:B,2,FALSE))</f>
        <v>45.145000000000003</v>
      </c>
      <c r="F3557">
        <f t="shared" si="55"/>
        <v>45.145000000000003</v>
      </c>
    </row>
    <row r="3558" spans="1:6" x14ac:dyDescent="0.3">
      <c r="A3558" t="s">
        <v>877</v>
      </c>
      <c r="B3558" t="s">
        <v>2129</v>
      </c>
      <c r="C3558">
        <v>15.5</v>
      </c>
      <c r="D3558">
        <v>109</v>
      </c>
      <c r="E3558">
        <f>IF(OR(B3558="vi",B3558="ii",B3558="pod"),(((D3558/100)*(C3558*VLOOKUP(B3558,'Poids des runes'!A:B,2,FALSE)))+1),(((D3558/100)*(C3558*VLOOKUP(B3558,'Poids des runes'!A:B,2,FALSE)))+1)/VLOOKUP(B3558,'Poids des runes'!A:B,2,FALSE))</f>
        <v>17.895</v>
      </c>
      <c r="F3558">
        <f t="shared" si="55"/>
        <v>17.895</v>
      </c>
    </row>
    <row r="3559" spans="1:6" x14ac:dyDescent="0.3">
      <c r="A3559" t="s">
        <v>877</v>
      </c>
      <c r="B3559" t="s">
        <v>2133</v>
      </c>
      <c r="C3559">
        <v>6</v>
      </c>
      <c r="D3559">
        <v>109</v>
      </c>
      <c r="E3559">
        <f>IF(OR(B3559="vi",B3559="ii",B3559="pod"),(((D3559/100)*(C3559*VLOOKUP(B3559,'Poids des runes'!A:B,2,FALSE)))+1),(((D3559/100)*(C3559*VLOOKUP(B3559,'Poids des runes'!A:B,2,FALSE)))+1)/VLOOKUP(B3559,'Poids des runes'!A:B,2,FALSE))</f>
        <v>6.74</v>
      </c>
      <c r="F3559">
        <f t="shared" si="55"/>
        <v>6.74</v>
      </c>
    </row>
    <row r="3560" spans="1:6" x14ac:dyDescent="0.3">
      <c r="A3560" t="s">
        <v>877</v>
      </c>
      <c r="B3560" t="s">
        <v>2161</v>
      </c>
      <c r="C3560">
        <v>13</v>
      </c>
      <c r="D3560">
        <v>109</v>
      </c>
      <c r="E3560">
        <f>IF(OR(B3560="vi",B3560="ii",B3560="pod"),(((D3560/100)*(C3560*VLOOKUP(B3560,'Poids des runes'!A:B,2,FALSE)))+1),(((D3560/100)*(C3560*VLOOKUP(B3560,'Poids des runes'!A:B,2,FALSE)))+1)/VLOOKUP(B3560,'Poids des runes'!A:B,2,FALSE))</f>
        <v>14.503333333333336</v>
      </c>
      <c r="F3560">
        <f t="shared" si="55"/>
        <v>14.503333333333336</v>
      </c>
    </row>
    <row r="3561" spans="1:6" x14ac:dyDescent="0.3">
      <c r="A3561" t="s">
        <v>877</v>
      </c>
      <c r="B3561" t="s">
        <v>2160</v>
      </c>
      <c r="C3561">
        <v>4</v>
      </c>
      <c r="D3561">
        <v>109</v>
      </c>
      <c r="E3561">
        <f>IF(OR(B3561="vi",B3561="ii",B3561="pod"),(((D3561/100)*(C3561*VLOOKUP(B3561,'Poids des runes'!A:B,2,FALSE)))+1),(((D3561/100)*(C3561*VLOOKUP(B3561,'Poids des runes'!A:B,2,FALSE)))+1)/VLOOKUP(B3561,'Poids des runes'!A:B,2,FALSE))</f>
        <v>4.5028571428571436</v>
      </c>
      <c r="F3561">
        <f t="shared" si="55"/>
        <v>4.5028571428571436</v>
      </c>
    </row>
    <row r="3562" spans="1:6" x14ac:dyDescent="0.3">
      <c r="A3562" t="s">
        <v>877</v>
      </c>
      <c r="B3562" t="s">
        <v>2157</v>
      </c>
      <c r="C3562">
        <v>8.5</v>
      </c>
      <c r="D3562">
        <v>109</v>
      </c>
      <c r="E3562">
        <f>IF(OR(B3562="vi",B3562="ii",B3562="pod"),(((D3562/100)*(C3562*VLOOKUP(B3562,'Poids des runes'!A:B,2,FALSE)))+1),(((D3562/100)*(C3562*VLOOKUP(B3562,'Poids des runes'!A:B,2,FALSE)))+1)/VLOOKUP(B3562,'Poids des runes'!A:B,2,FALSE))</f>
        <v>9.4316666666666666</v>
      </c>
      <c r="F3562">
        <f t="shared" si="55"/>
        <v>9.4316666666666666</v>
      </c>
    </row>
    <row r="3563" spans="1:6" x14ac:dyDescent="0.3">
      <c r="A3563" t="s">
        <v>878</v>
      </c>
      <c r="B3563" t="s">
        <v>2128</v>
      </c>
      <c r="C3563">
        <v>125.5</v>
      </c>
      <c r="D3563">
        <v>110</v>
      </c>
      <c r="E3563">
        <f>IF(OR(B3563="vi",B3563="ii",B3563="pod"),(((D3563/100)*(C3563*VLOOKUP(B3563,'Poids des runes'!A:B,2,FALSE)))+1),(((D3563/100)*(C3563*VLOOKUP(B3563,'Poids des runes'!A:B,2,FALSE)))+1)/VLOOKUP(B3563,'Poids des runes'!A:B,2,FALSE))</f>
        <v>28.610000000000003</v>
      </c>
      <c r="F3563">
        <f t="shared" si="55"/>
        <v>28.610000000000003</v>
      </c>
    </row>
    <row r="3564" spans="1:6" x14ac:dyDescent="0.3">
      <c r="A3564" t="s">
        <v>878</v>
      </c>
      <c r="B3564" t="s">
        <v>2131</v>
      </c>
      <c r="C3564">
        <v>33</v>
      </c>
      <c r="D3564">
        <v>110</v>
      </c>
      <c r="E3564">
        <f>IF(OR(B3564="vi",B3564="ii",B3564="pod"),(((D3564/100)*(C3564*VLOOKUP(B3564,'Poids des runes'!A:B,2,FALSE)))+1),(((D3564/100)*(C3564*VLOOKUP(B3564,'Poids des runes'!A:B,2,FALSE)))+1)/VLOOKUP(B3564,'Poids des runes'!A:B,2,FALSE))</f>
        <v>37.300000000000004</v>
      </c>
      <c r="F3564">
        <f t="shared" si="55"/>
        <v>37.300000000000004</v>
      </c>
    </row>
    <row r="3565" spans="1:6" x14ac:dyDescent="0.3">
      <c r="A3565" t="s">
        <v>878</v>
      </c>
      <c r="B3565" t="s">
        <v>2127</v>
      </c>
      <c r="C3565">
        <v>33</v>
      </c>
      <c r="D3565">
        <v>110</v>
      </c>
      <c r="E3565">
        <f>IF(OR(B3565="vi",B3565="ii",B3565="pod"),(((D3565/100)*(C3565*VLOOKUP(B3565,'Poids des runes'!A:B,2,FALSE)))+1),(((D3565/100)*(C3565*VLOOKUP(B3565,'Poids des runes'!A:B,2,FALSE)))+1)/VLOOKUP(B3565,'Poids des runes'!A:B,2,FALSE))</f>
        <v>37.300000000000004</v>
      </c>
      <c r="F3565">
        <f t="shared" si="55"/>
        <v>37.300000000000004</v>
      </c>
    </row>
    <row r="3566" spans="1:6" x14ac:dyDescent="0.3">
      <c r="A3566" t="s">
        <v>878</v>
      </c>
      <c r="B3566" t="s">
        <v>2139</v>
      </c>
      <c r="C3566">
        <v>20.5</v>
      </c>
      <c r="D3566">
        <v>110</v>
      </c>
      <c r="E3566">
        <f>IF(OR(B3566="vi",B3566="ii",B3566="pod"),(((D3566/100)*(C3566*VLOOKUP(B3566,'Poids des runes'!A:B,2,FALSE)))+1),(((D3566/100)*(C3566*VLOOKUP(B3566,'Poids des runes'!A:B,2,FALSE)))+1)/VLOOKUP(B3566,'Poids des runes'!A:B,2,FALSE))</f>
        <v>23.05</v>
      </c>
      <c r="F3566">
        <f t="shared" si="55"/>
        <v>23.05</v>
      </c>
    </row>
    <row r="3567" spans="1:6" x14ac:dyDescent="0.3">
      <c r="A3567" t="s">
        <v>878</v>
      </c>
      <c r="B3567" t="s">
        <v>2151</v>
      </c>
      <c r="C3567">
        <v>2.5</v>
      </c>
      <c r="D3567">
        <v>110</v>
      </c>
      <c r="E3567">
        <f>IF(OR(B3567="vi",B3567="ii",B3567="pod"),(((D3567/100)*(C3567*VLOOKUP(B3567,'Poids des runes'!A:B,2,FALSE)))+1),(((D3567/100)*(C3567*VLOOKUP(B3567,'Poids des runes'!A:B,2,FALSE)))+1)/VLOOKUP(B3567,'Poids des runes'!A:B,2,FALSE))</f>
        <v>2.8500000000000005</v>
      </c>
      <c r="F3567">
        <f t="shared" si="55"/>
        <v>2.8500000000000005</v>
      </c>
    </row>
    <row r="3568" spans="1:6" x14ac:dyDescent="0.3">
      <c r="A3568" t="s">
        <v>878</v>
      </c>
      <c r="B3568" t="s">
        <v>2150</v>
      </c>
      <c r="C3568">
        <v>1</v>
      </c>
      <c r="D3568">
        <v>110</v>
      </c>
      <c r="E3568">
        <f>IF(OR(B3568="vi",B3568="ii",B3568="pod"),(((D3568/100)*(C3568*VLOOKUP(B3568,'Poids des runes'!A:B,2,FALSE)))+1),(((D3568/100)*(C3568*VLOOKUP(B3568,'Poids des runes'!A:B,2,FALSE)))+1)/VLOOKUP(B3568,'Poids des runes'!A:B,2,FALSE))</f>
        <v>1.1333333333333333</v>
      </c>
      <c r="F3568">
        <f t="shared" si="55"/>
        <v>1.1333333333333333</v>
      </c>
    </row>
    <row r="3569" spans="1:6" x14ac:dyDescent="0.3">
      <c r="A3569" t="s">
        <v>878</v>
      </c>
      <c r="B3569" t="s">
        <v>2161</v>
      </c>
      <c r="C3569">
        <v>18</v>
      </c>
      <c r="D3569">
        <v>110</v>
      </c>
      <c r="E3569">
        <f>IF(OR(B3569="vi",B3569="ii",B3569="pod"),(((D3569/100)*(C3569*VLOOKUP(B3569,'Poids des runes'!A:B,2,FALSE)))+1),(((D3569/100)*(C3569*VLOOKUP(B3569,'Poids des runes'!A:B,2,FALSE)))+1)/VLOOKUP(B3569,'Poids des runes'!A:B,2,FALSE))</f>
        <v>20.133333333333336</v>
      </c>
      <c r="F3569">
        <f t="shared" si="55"/>
        <v>20.133333333333336</v>
      </c>
    </row>
    <row r="3570" spans="1:6" x14ac:dyDescent="0.3">
      <c r="A3570" t="s">
        <v>878</v>
      </c>
      <c r="B3570" t="s">
        <v>2132</v>
      </c>
      <c r="C3570">
        <v>250.5</v>
      </c>
      <c r="D3570">
        <v>110</v>
      </c>
      <c r="E3570">
        <f>IF(OR(B3570="vi",B3570="ii",B3570="pod"),(((D3570/100)*(C3570*VLOOKUP(B3570,'Poids des runes'!A:B,2,FALSE)))+1),(((D3570/100)*(C3570*VLOOKUP(B3570,'Poids des runes'!A:B,2,FALSE)))+1)/VLOOKUP(B3570,'Poids des runes'!A:B,2,FALSE))</f>
        <v>28.555000000000003</v>
      </c>
      <c r="F3570">
        <f t="shared" si="55"/>
        <v>28.555000000000003</v>
      </c>
    </row>
    <row r="3571" spans="1:6" x14ac:dyDescent="0.3">
      <c r="A3571" t="s">
        <v>878</v>
      </c>
      <c r="B3571" t="s">
        <v>2158</v>
      </c>
      <c r="C3571">
        <v>10</v>
      </c>
      <c r="D3571">
        <v>110</v>
      </c>
      <c r="E3571">
        <f>IF(OR(B3571="vi",B3571="ii",B3571="pod"),(((D3571/100)*(C3571*VLOOKUP(B3571,'Poids des runes'!A:B,2,FALSE)))+1),(((D3571/100)*(C3571*VLOOKUP(B3571,'Poids des runes'!A:B,2,FALSE)))+1)/VLOOKUP(B3571,'Poids des runes'!A:B,2,FALSE))</f>
        <v>11.200000000000001</v>
      </c>
      <c r="F3571">
        <f t="shared" si="55"/>
        <v>11.200000000000001</v>
      </c>
    </row>
    <row r="3572" spans="1:6" x14ac:dyDescent="0.3">
      <c r="A3572" t="s">
        <v>878</v>
      </c>
      <c r="B3572" t="s">
        <v>2147</v>
      </c>
      <c r="C3572">
        <v>6</v>
      </c>
      <c r="D3572">
        <v>110</v>
      </c>
      <c r="E3572">
        <f>IF(OR(B3572="vi",B3572="ii",B3572="pod"),(((D3572/100)*(C3572*VLOOKUP(B3572,'Poids des runes'!A:B,2,FALSE)))+1),(((D3572/100)*(C3572*VLOOKUP(B3572,'Poids des runes'!A:B,2,FALSE)))+1)/VLOOKUP(B3572,'Poids des runes'!A:B,2,FALSE))</f>
        <v>6.7666666666666666</v>
      </c>
      <c r="F3572">
        <f t="shared" si="55"/>
        <v>6.7666666666666666</v>
      </c>
    </row>
    <row r="3573" spans="1:6" x14ac:dyDescent="0.3">
      <c r="A3573" t="s">
        <v>878</v>
      </c>
      <c r="B3573" t="s">
        <v>2144</v>
      </c>
      <c r="C3573">
        <v>6</v>
      </c>
      <c r="D3573">
        <v>110</v>
      </c>
      <c r="E3573">
        <f>IF(OR(B3573="vi",B3573="ii",B3573="pod"),(((D3573/100)*(C3573*VLOOKUP(B3573,'Poids des runes'!A:B,2,FALSE)))+1),(((D3573/100)*(C3573*VLOOKUP(B3573,'Poids des runes'!A:B,2,FALSE)))+1)/VLOOKUP(B3573,'Poids des runes'!A:B,2,FALSE))</f>
        <v>7.1000000000000005</v>
      </c>
      <c r="F3573">
        <f t="shared" si="55"/>
        <v>7.1000000000000005</v>
      </c>
    </row>
    <row r="3574" spans="1:6" x14ac:dyDescent="0.3">
      <c r="A3574" t="s">
        <v>879</v>
      </c>
      <c r="B3574" t="s">
        <v>2128</v>
      </c>
      <c r="C3574">
        <v>35.5</v>
      </c>
      <c r="D3574">
        <v>110</v>
      </c>
      <c r="E3574">
        <f>IF(OR(B3574="vi",B3574="ii",B3574="pod"),(((D3574/100)*(C3574*VLOOKUP(B3574,'Poids des runes'!A:B,2,FALSE)))+1),(((D3574/100)*(C3574*VLOOKUP(B3574,'Poids des runes'!A:B,2,FALSE)))+1)/VLOOKUP(B3574,'Poids des runes'!A:B,2,FALSE))</f>
        <v>8.8100000000000023</v>
      </c>
      <c r="F3574">
        <f t="shared" si="55"/>
        <v>8.8100000000000023</v>
      </c>
    </row>
    <row r="3575" spans="1:6" x14ac:dyDescent="0.3">
      <c r="A3575" t="s">
        <v>879</v>
      </c>
      <c r="B3575" t="s">
        <v>2129</v>
      </c>
      <c r="C3575">
        <v>35.5</v>
      </c>
      <c r="D3575">
        <v>110</v>
      </c>
      <c r="E3575">
        <f>IF(OR(B3575="vi",B3575="ii",B3575="pod"),(((D3575/100)*(C3575*VLOOKUP(B3575,'Poids des runes'!A:B,2,FALSE)))+1),(((D3575/100)*(C3575*VLOOKUP(B3575,'Poids des runes'!A:B,2,FALSE)))+1)/VLOOKUP(B3575,'Poids des runes'!A:B,2,FALSE))</f>
        <v>40.050000000000004</v>
      </c>
      <c r="F3575">
        <f t="shared" si="55"/>
        <v>40.050000000000004</v>
      </c>
    </row>
    <row r="3576" spans="1:6" x14ac:dyDescent="0.3">
      <c r="A3576" t="s">
        <v>879</v>
      </c>
      <c r="B3576" t="s">
        <v>2152</v>
      </c>
      <c r="C3576">
        <v>1</v>
      </c>
      <c r="D3576">
        <v>110</v>
      </c>
      <c r="E3576">
        <f>IF(OR(B3576="vi",B3576="ii",B3576="pod"),(((D3576/100)*(C3576*VLOOKUP(B3576,'Poids des runes'!A:B,2,FALSE)))+1),(((D3576/100)*(C3576*VLOOKUP(B3576,'Poids des runes'!A:B,2,FALSE)))+1)/VLOOKUP(B3576,'Poids des runes'!A:B,2,FALSE))</f>
        <v>1.1100000000000001</v>
      </c>
      <c r="F3576">
        <f t="shared" si="55"/>
        <v>1.1100000000000001</v>
      </c>
    </row>
    <row r="3577" spans="1:6" x14ac:dyDescent="0.3">
      <c r="A3577" t="s">
        <v>879</v>
      </c>
      <c r="B3577" t="s">
        <v>2134</v>
      </c>
      <c r="C3577">
        <v>4.5</v>
      </c>
      <c r="D3577">
        <v>110</v>
      </c>
      <c r="E3577">
        <f>IF(OR(B3577="vi",B3577="ii",B3577="pod"),(((D3577/100)*(C3577*VLOOKUP(B3577,'Poids des runes'!A:B,2,FALSE)))+1),(((D3577/100)*(C3577*VLOOKUP(B3577,'Poids des runes'!A:B,2,FALSE)))+1)/VLOOKUP(B3577,'Poids des runes'!A:B,2,FALSE))</f>
        <v>5.0000000000000009</v>
      </c>
      <c r="F3577">
        <f t="shared" si="55"/>
        <v>5.0000000000000009</v>
      </c>
    </row>
    <row r="3578" spans="1:6" x14ac:dyDescent="0.3">
      <c r="A3578" t="s">
        <v>880</v>
      </c>
      <c r="B3578" t="s">
        <v>2128</v>
      </c>
      <c r="C3578">
        <v>175.5</v>
      </c>
      <c r="D3578">
        <v>110</v>
      </c>
      <c r="E3578">
        <f>IF(OR(B3578="vi",B3578="ii",B3578="pod"),(((D3578/100)*(C3578*VLOOKUP(B3578,'Poids des runes'!A:B,2,FALSE)))+1),(((D3578/100)*(C3578*VLOOKUP(B3578,'Poids des runes'!A:B,2,FALSE)))+1)/VLOOKUP(B3578,'Poids des runes'!A:B,2,FALSE))</f>
        <v>39.610000000000007</v>
      </c>
      <c r="F3578">
        <f t="shared" si="55"/>
        <v>39.610000000000007</v>
      </c>
    </row>
    <row r="3579" spans="1:6" x14ac:dyDescent="0.3">
      <c r="A3579" t="s">
        <v>880</v>
      </c>
      <c r="B3579" t="s">
        <v>2131</v>
      </c>
      <c r="C3579">
        <v>35.5</v>
      </c>
      <c r="D3579">
        <v>110</v>
      </c>
      <c r="E3579">
        <f>IF(OR(B3579="vi",B3579="ii",B3579="pod"),(((D3579/100)*(C3579*VLOOKUP(B3579,'Poids des runes'!A:B,2,FALSE)))+1),(((D3579/100)*(C3579*VLOOKUP(B3579,'Poids des runes'!A:B,2,FALSE)))+1)/VLOOKUP(B3579,'Poids des runes'!A:B,2,FALSE))</f>
        <v>40.050000000000004</v>
      </c>
      <c r="F3579">
        <f t="shared" si="55"/>
        <v>40.050000000000004</v>
      </c>
    </row>
    <row r="3580" spans="1:6" x14ac:dyDescent="0.3">
      <c r="A3580" t="s">
        <v>880</v>
      </c>
      <c r="B3580" t="s">
        <v>2129</v>
      </c>
      <c r="C3580">
        <v>20.5</v>
      </c>
      <c r="D3580">
        <v>110</v>
      </c>
      <c r="E3580">
        <f>IF(OR(B3580="vi",B3580="ii",B3580="pod"),(((D3580/100)*(C3580*VLOOKUP(B3580,'Poids des runes'!A:B,2,FALSE)))+1),(((D3580/100)*(C3580*VLOOKUP(B3580,'Poids des runes'!A:B,2,FALSE)))+1)/VLOOKUP(B3580,'Poids des runes'!A:B,2,FALSE))</f>
        <v>23.55</v>
      </c>
      <c r="F3580">
        <f t="shared" si="55"/>
        <v>23.55</v>
      </c>
    </row>
    <row r="3581" spans="1:6" x14ac:dyDescent="0.3">
      <c r="A3581" t="s">
        <v>880</v>
      </c>
      <c r="B3581" t="s">
        <v>2155</v>
      </c>
      <c r="C3581">
        <v>1</v>
      </c>
      <c r="D3581">
        <v>110</v>
      </c>
      <c r="E3581">
        <f>IF(OR(B3581="vi",B3581="ii",B3581="pod"),(((D3581/100)*(C3581*VLOOKUP(B3581,'Poids des runes'!A:B,2,FALSE)))+1),(((D3581/100)*(C3581*VLOOKUP(B3581,'Poids des runes'!A:B,2,FALSE)))+1)/VLOOKUP(B3581,'Poids des runes'!A:B,2,FALSE))</f>
        <v>1.1196078431372549</v>
      </c>
      <c r="F3581">
        <f t="shared" si="55"/>
        <v>1.1196078431372549</v>
      </c>
    </row>
    <row r="3582" spans="1:6" x14ac:dyDescent="0.3">
      <c r="A3582" t="s">
        <v>880</v>
      </c>
      <c r="B3582" t="s">
        <v>2133</v>
      </c>
      <c r="C3582">
        <v>5</v>
      </c>
      <c r="D3582">
        <v>110</v>
      </c>
      <c r="E3582">
        <f>IF(OR(B3582="vi",B3582="ii",B3582="pod"),(((D3582/100)*(C3582*VLOOKUP(B3582,'Poids des runes'!A:B,2,FALSE)))+1),(((D3582/100)*(C3582*VLOOKUP(B3582,'Poids des runes'!A:B,2,FALSE)))+1)/VLOOKUP(B3582,'Poids des runes'!A:B,2,FALSE))</f>
        <v>5.7000000000000011</v>
      </c>
      <c r="F3582">
        <f t="shared" si="55"/>
        <v>5.7000000000000011</v>
      </c>
    </row>
    <row r="3583" spans="1:6" x14ac:dyDescent="0.3">
      <c r="A3583" t="s">
        <v>880</v>
      </c>
      <c r="B3583" t="s">
        <v>2161</v>
      </c>
      <c r="C3583">
        <v>8</v>
      </c>
      <c r="D3583">
        <v>110</v>
      </c>
      <c r="E3583">
        <f>IF(OR(B3583="vi",B3583="ii",B3583="pod"),(((D3583/100)*(C3583*VLOOKUP(B3583,'Poids des runes'!A:B,2,FALSE)))+1),(((D3583/100)*(C3583*VLOOKUP(B3583,'Poids des runes'!A:B,2,FALSE)))+1)/VLOOKUP(B3583,'Poids des runes'!A:B,2,FALSE))</f>
        <v>9.1333333333333346</v>
      </c>
      <c r="F3583">
        <f t="shared" si="55"/>
        <v>9.1333333333333346</v>
      </c>
    </row>
    <row r="3584" spans="1:6" x14ac:dyDescent="0.3">
      <c r="A3584" t="s">
        <v>880</v>
      </c>
      <c r="B3584" t="s">
        <v>2160</v>
      </c>
      <c r="C3584">
        <v>3.5</v>
      </c>
      <c r="D3584">
        <v>110</v>
      </c>
      <c r="E3584">
        <f>IF(OR(B3584="vi",B3584="ii",B3584="pod"),(((D3584/100)*(C3584*VLOOKUP(B3584,'Poids des runes'!A:B,2,FALSE)))+1),(((D3584/100)*(C3584*VLOOKUP(B3584,'Poids des runes'!A:B,2,FALSE)))+1)/VLOOKUP(B3584,'Poids des runes'!A:B,2,FALSE))</f>
        <v>3.9928571428571433</v>
      </c>
      <c r="F3584">
        <f t="shared" si="55"/>
        <v>3.9928571428571433</v>
      </c>
    </row>
    <row r="3585" spans="1:6" x14ac:dyDescent="0.3">
      <c r="A3585" t="s">
        <v>880</v>
      </c>
      <c r="B3585" t="s">
        <v>2148</v>
      </c>
      <c r="C3585">
        <v>4</v>
      </c>
      <c r="D3585">
        <v>110</v>
      </c>
      <c r="E3585">
        <f>IF(OR(B3585="vi",B3585="ii",B3585="pod"),(((D3585/100)*(C3585*VLOOKUP(B3585,'Poids des runes'!A:B,2,FALSE)))+1),(((D3585/100)*(C3585*VLOOKUP(B3585,'Poids des runes'!A:B,2,FALSE)))+1)/VLOOKUP(B3585,'Poids des runes'!A:B,2,FALSE))</f>
        <v>4.5666666666666673</v>
      </c>
      <c r="F3585">
        <f t="shared" si="55"/>
        <v>4.5666666666666673</v>
      </c>
    </row>
    <row r="3586" spans="1:6" x14ac:dyDescent="0.3">
      <c r="A3586" t="s">
        <v>880</v>
      </c>
      <c r="B3586" t="s">
        <v>2157</v>
      </c>
      <c r="C3586">
        <v>4</v>
      </c>
      <c r="D3586">
        <v>110</v>
      </c>
      <c r="E3586">
        <f>IF(OR(B3586="vi",B3586="ii",B3586="pod"),(((D3586/100)*(C3586*VLOOKUP(B3586,'Poids des runes'!A:B,2,FALSE)))+1),(((D3586/100)*(C3586*VLOOKUP(B3586,'Poids des runes'!A:B,2,FALSE)))+1)/VLOOKUP(B3586,'Poids des runes'!A:B,2,FALSE))</f>
        <v>4.5666666666666673</v>
      </c>
      <c r="F3586">
        <f t="shared" si="55"/>
        <v>4.5666666666666673</v>
      </c>
    </row>
    <row r="3587" spans="1:6" x14ac:dyDescent="0.3">
      <c r="A3587" t="s">
        <v>881</v>
      </c>
      <c r="B3587" t="s">
        <v>2128</v>
      </c>
      <c r="C3587">
        <v>75.5</v>
      </c>
      <c r="D3587">
        <v>110</v>
      </c>
      <c r="E3587">
        <f>IF(OR(B3587="vi",B3587="ii",B3587="pod"),(((D3587/100)*(C3587*VLOOKUP(B3587,'Poids des runes'!A:B,2,FALSE)))+1),(((D3587/100)*(C3587*VLOOKUP(B3587,'Poids des runes'!A:B,2,FALSE)))+1)/VLOOKUP(B3587,'Poids des runes'!A:B,2,FALSE))</f>
        <v>17.610000000000003</v>
      </c>
      <c r="F3587">
        <f t="shared" ref="F3587:F3650" si="56">E3587</f>
        <v>17.610000000000003</v>
      </c>
    </row>
    <row r="3588" spans="1:6" x14ac:dyDescent="0.3">
      <c r="A3588" t="s">
        <v>881</v>
      </c>
      <c r="B3588" t="s">
        <v>2130</v>
      </c>
      <c r="C3588">
        <v>25.5</v>
      </c>
      <c r="D3588">
        <v>110</v>
      </c>
      <c r="E3588">
        <f>IF(OR(B3588="vi",B3588="ii",B3588="pod"),(((D3588/100)*(C3588*VLOOKUP(B3588,'Poids des runes'!A:B,2,FALSE)))+1),(((D3588/100)*(C3588*VLOOKUP(B3588,'Poids des runes'!A:B,2,FALSE)))+1)/VLOOKUP(B3588,'Poids des runes'!A:B,2,FALSE))</f>
        <v>29.05</v>
      </c>
      <c r="F3588">
        <f t="shared" si="56"/>
        <v>29.05</v>
      </c>
    </row>
    <row r="3589" spans="1:6" x14ac:dyDescent="0.3">
      <c r="A3589" t="s">
        <v>881</v>
      </c>
      <c r="B3589" t="s">
        <v>2131</v>
      </c>
      <c r="C3589">
        <v>33</v>
      </c>
      <c r="D3589">
        <v>110</v>
      </c>
      <c r="E3589">
        <f>IF(OR(B3589="vi",B3589="ii",B3589="pod"),(((D3589/100)*(C3589*VLOOKUP(B3589,'Poids des runes'!A:B,2,FALSE)))+1),(((D3589/100)*(C3589*VLOOKUP(B3589,'Poids des runes'!A:B,2,FALSE)))+1)/VLOOKUP(B3589,'Poids des runes'!A:B,2,FALSE))</f>
        <v>37.300000000000004</v>
      </c>
      <c r="F3589">
        <f t="shared" si="56"/>
        <v>37.300000000000004</v>
      </c>
    </row>
    <row r="3590" spans="1:6" x14ac:dyDescent="0.3">
      <c r="A3590" t="s">
        <v>881</v>
      </c>
      <c r="B3590" t="s">
        <v>2129</v>
      </c>
      <c r="C3590">
        <v>15.5</v>
      </c>
      <c r="D3590">
        <v>110</v>
      </c>
      <c r="E3590">
        <f>IF(OR(B3590="vi",B3590="ii",B3590="pod"),(((D3590/100)*(C3590*VLOOKUP(B3590,'Poids des runes'!A:B,2,FALSE)))+1),(((D3590/100)*(C3590*VLOOKUP(B3590,'Poids des runes'!A:B,2,FALSE)))+1)/VLOOKUP(B3590,'Poids des runes'!A:B,2,FALSE))</f>
        <v>18.05</v>
      </c>
      <c r="F3590">
        <f t="shared" si="56"/>
        <v>18.05</v>
      </c>
    </row>
    <row r="3591" spans="1:6" x14ac:dyDescent="0.3">
      <c r="A3591" t="s">
        <v>881</v>
      </c>
      <c r="B3591" t="s">
        <v>2152</v>
      </c>
      <c r="C3591">
        <v>1</v>
      </c>
      <c r="D3591">
        <v>110</v>
      </c>
      <c r="E3591">
        <f>IF(OR(B3591="vi",B3591="ii",B3591="pod"),(((D3591/100)*(C3591*VLOOKUP(B3591,'Poids des runes'!A:B,2,FALSE)))+1),(((D3591/100)*(C3591*VLOOKUP(B3591,'Poids des runes'!A:B,2,FALSE)))+1)/VLOOKUP(B3591,'Poids des runes'!A:B,2,FALSE))</f>
        <v>1.1100000000000001</v>
      </c>
      <c r="F3591">
        <f t="shared" si="56"/>
        <v>1.1100000000000001</v>
      </c>
    </row>
    <row r="3592" spans="1:6" x14ac:dyDescent="0.3">
      <c r="A3592" t="s">
        <v>881</v>
      </c>
      <c r="B3592" t="s">
        <v>2134</v>
      </c>
      <c r="C3592">
        <v>5</v>
      </c>
      <c r="D3592">
        <v>110</v>
      </c>
      <c r="E3592">
        <f>IF(OR(B3592="vi",B3592="ii",B3592="pod"),(((D3592/100)*(C3592*VLOOKUP(B3592,'Poids des runes'!A:B,2,FALSE)))+1),(((D3592/100)*(C3592*VLOOKUP(B3592,'Poids des runes'!A:B,2,FALSE)))+1)/VLOOKUP(B3592,'Poids des runes'!A:B,2,FALSE))</f>
        <v>5.5500000000000007</v>
      </c>
      <c r="F3592">
        <f t="shared" si="56"/>
        <v>5.5500000000000007</v>
      </c>
    </row>
    <row r="3593" spans="1:6" x14ac:dyDescent="0.3">
      <c r="A3593" t="s">
        <v>881</v>
      </c>
      <c r="B3593" t="s">
        <v>2161</v>
      </c>
      <c r="C3593">
        <v>8</v>
      </c>
      <c r="D3593">
        <v>110</v>
      </c>
      <c r="E3593">
        <f>IF(OR(B3593="vi",B3593="ii",B3593="pod"),(((D3593/100)*(C3593*VLOOKUP(B3593,'Poids des runes'!A:B,2,FALSE)))+1),(((D3593/100)*(C3593*VLOOKUP(B3593,'Poids des runes'!A:B,2,FALSE)))+1)/VLOOKUP(B3593,'Poids des runes'!A:B,2,FALSE))</f>
        <v>9.1333333333333346</v>
      </c>
      <c r="F3593">
        <f t="shared" si="56"/>
        <v>9.1333333333333346</v>
      </c>
    </row>
    <row r="3594" spans="1:6" x14ac:dyDescent="0.3">
      <c r="A3594" t="s">
        <v>881</v>
      </c>
      <c r="B3594" t="s">
        <v>2147</v>
      </c>
      <c r="C3594">
        <v>8</v>
      </c>
      <c r="D3594">
        <v>110</v>
      </c>
      <c r="E3594">
        <f>IF(OR(B3594="vi",B3594="ii",B3594="pod"),(((D3594/100)*(C3594*VLOOKUP(B3594,'Poids des runes'!A:B,2,FALSE)))+1),(((D3594/100)*(C3594*VLOOKUP(B3594,'Poids des runes'!A:B,2,FALSE)))+1)/VLOOKUP(B3594,'Poids des runes'!A:B,2,FALSE))</f>
        <v>8.9666666666666668</v>
      </c>
      <c r="F3594">
        <f t="shared" si="56"/>
        <v>8.9666666666666668</v>
      </c>
    </row>
    <row r="3595" spans="1:6" x14ac:dyDescent="0.3">
      <c r="A3595" t="s">
        <v>881</v>
      </c>
      <c r="B3595" t="s">
        <v>2144</v>
      </c>
      <c r="C3595">
        <v>6</v>
      </c>
      <c r="D3595">
        <v>110</v>
      </c>
      <c r="E3595">
        <f>IF(OR(B3595="vi",B3595="ii",B3595="pod"),(((D3595/100)*(C3595*VLOOKUP(B3595,'Poids des runes'!A:B,2,FALSE)))+1),(((D3595/100)*(C3595*VLOOKUP(B3595,'Poids des runes'!A:B,2,FALSE)))+1)/VLOOKUP(B3595,'Poids des runes'!A:B,2,FALSE))</f>
        <v>7.1000000000000005</v>
      </c>
      <c r="F3595">
        <f t="shared" si="56"/>
        <v>7.1000000000000005</v>
      </c>
    </row>
    <row r="3596" spans="1:6" x14ac:dyDescent="0.3">
      <c r="A3596" t="s">
        <v>882</v>
      </c>
      <c r="B3596" t="s">
        <v>2128</v>
      </c>
      <c r="C3596">
        <v>105.5</v>
      </c>
      <c r="D3596">
        <v>110</v>
      </c>
      <c r="E3596">
        <f>IF(OR(B3596="vi",B3596="ii",B3596="pod"),(((D3596/100)*(C3596*VLOOKUP(B3596,'Poids des runes'!A:B,2,FALSE)))+1),(((D3596/100)*(C3596*VLOOKUP(B3596,'Poids des runes'!A:B,2,FALSE)))+1)/VLOOKUP(B3596,'Poids des runes'!A:B,2,FALSE))</f>
        <v>24.210000000000004</v>
      </c>
      <c r="F3596">
        <f t="shared" si="56"/>
        <v>24.210000000000004</v>
      </c>
    </row>
    <row r="3597" spans="1:6" x14ac:dyDescent="0.3">
      <c r="A3597" t="s">
        <v>882</v>
      </c>
      <c r="B3597" t="s">
        <v>2130</v>
      </c>
      <c r="C3597">
        <v>28</v>
      </c>
      <c r="D3597">
        <v>110</v>
      </c>
      <c r="E3597">
        <f>IF(OR(B3597="vi",B3597="ii",B3597="pod"),(((D3597/100)*(C3597*VLOOKUP(B3597,'Poids des runes'!A:B,2,FALSE)))+1),(((D3597/100)*(C3597*VLOOKUP(B3597,'Poids des runes'!A:B,2,FALSE)))+1)/VLOOKUP(B3597,'Poids des runes'!A:B,2,FALSE))</f>
        <v>31.800000000000004</v>
      </c>
      <c r="F3597">
        <f t="shared" si="56"/>
        <v>31.800000000000004</v>
      </c>
    </row>
    <row r="3598" spans="1:6" x14ac:dyDescent="0.3">
      <c r="A3598" t="s">
        <v>882</v>
      </c>
      <c r="B3598" t="s">
        <v>2131</v>
      </c>
      <c r="C3598">
        <v>40.5</v>
      </c>
      <c r="D3598">
        <v>110</v>
      </c>
      <c r="E3598">
        <f>IF(OR(B3598="vi",B3598="ii",B3598="pod"),(((D3598/100)*(C3598*VLOOKUP(B3598,'Poids des runes'!A:B,2,FALSE)))+1),(((D3598/100)*(C3598*VLOOKUP(B3598,'Poids des runes'!A:B,2,FALSE)))+1)/VLOOKUP(B3598,'Poids des runes'!A:B,2,FALSE))</f>
        <v>45.550000000000004</v>
      </c>
      <c r="F3598">
        <f t="shared" si="56"/>
        <v>45.550000000000004</v>
      </c>
    </row>
    <row r="3599" spans="1:6" x14ac:dyDescent="0.3">
      <c r="A3599" t="s">
        <v>882</v>
      </c>
      <c r="B3599" t="s">
        <v>2129</v>
      </c>
      <c r="C3599">
        <v>30.5</v>
      </c>
      <c r="D3599">
        <v>110</v>
      </c>
      <c r="E3599">
        <f>IF(OR(B3599="vi",B3599="ii",B3599="pod"),(((D3599/100)*(C3599*VLOOKUP(B3599,'Poids des runes'!A:B,2,FALSE)))+1),(((D3599/100)*(C3599*VLOOKUP(B3599,'Poids des runes'!A:B,2,FALSE)))+1)/VLOOKUP(B3599,'Poids des runes'!A:B,2,FALSE))</f>
        <v>34.550000000000004</v>
      </c>
      <c r="F3599">
        <f t="shared" si="56"/>
        <v>34.550000000000004</v>
      </c>
    </row>
    <row r="3600" spans="1:6" x14ac:dyDescent="0.3">
      <c r="A3600" t="s">
        <v>882</v>
      </c>
      <c r="B3600" t="s">
        <v>2154</v>
      </c>
      <c r="C3600">
        <v>1</v>
      </c>
      <c r="D3600">
        <v>110</v>
      </c>
      <c r="E3600">
        <f>IF(OR(B3600="vi",B3600="ii",B3600="pod"),(((D3600/100)*(C3600*VLOOKUP(B3600,'Poids des runes'!A:B,2,FALSE)))+1),(((D3600/100)*(C3600*VLOOKUP(B3600,'Poids des runes'!A:B,2,FALSE)))+1)/VLOOKUP(B3600,'Poids des runes'!A:B,2,FALSE))</f>
        <v>1.1111111111111112</v>
      </c>
      <c r="F3600">
        <f t="shared" si="56"/>
        <v>1.1111111111111112</v>
      </c>
    </row>
    <row r="3601" spans="1:6" x14ac:dyDescent="0.3">
      <c r="A3601" t="s">
        <v>882</v>
      </c>
      <c r="B3601" t="s">
        <v>2134</v>
      </c>
      <c r="C3601">
        <v>5</v>
      </c>
      <c r="D3601">
        <v>110</v>
      </c>
      <c r="E3601">
        <f>IF(OR(B3601="vi",B3601="ii",B3601="pod"),(((D3601/100)*(C3601*VLOOKUP(B3601,'Poids des runes'!A:B,2,FALSE)))+1),(((D3601/100)*(C3601*VLOOKUP(B3601,'Poids des runes'!A:B,2,FALSE)))+1)/VLOOKUP(B3601,'Poids des runes'!A:B,2,FALSE))</f>
        <v>5.5500000000000007</v>
      </c>
      <c r="F3601">
        <f t="shared" si="56"/>
        <v>5.5500000000000007</v>
      </c>
    </row>
    <row r="3602" spans="1:6" x14ac:dyDescent="0.3">
      <c r="A3602" t="s">
        <v>882</v>
      </c>
      <c r="B3602" t="s">
        <v>2161</v>
      </c>
      <c r="C3602">
        <v>13</v>
      </c>
      <c r="D3602">
        <v>110</v>
      </c>
      <c r="E3602">
        <f>IF(OR(B3602="vi",B3602="ii",B3602="pod"),(((D3602/100)*(C3602*VLOOKUP(B3602,'Poids des runes'!A:B,2,FALSE)))+1),(((D3602/100)*(C3602*VLOOKUP(B3602,'Poids des runes'!A:B,2,FALSE)))+1)/VLOOKUP(B3602,'Poids des runes'!A:B,2,FALSE))</f>
        <v>14.633333333333335</v>
      </c>
      <c r="F3602">
        <f t="shared" si="56"/>
        <v>14.633333333333335</v>
      </c>
    </row>
    <row r="3603" spans="1:6" x14ac:dyDescent="0.3">
      <c r="A3603" t="s">
        <v>882</v>
      </c>
      <c r="B3603" t="s">
        <v>2144</v>
      </c>
      <c r="C3603">
        <v>6</v>
      </c>
      <c r="D3603">
        <v>110</v>
      </c>
      <c r="E3603">
        <f>IF(OR(B3603="vi",B3603="ii",B3603="pod"),(((D3603/100)*(C3603*VLOOKUP(B3603,'Poids des runes'!A:B,2,FALSE)))+1),(((D3603/100)*(C3603*VLOOKUP(B3603,'Poids des runes'!A:B,2,FALSE)))+1)/VLOOKUP(B3603,'Poids des runes'!A:B,2,FALSE))</f>
        <v>7.1000000000000005</v>
      </c>
      <c r="F3603">
        <f t="shared" si="56"/>
        <v>7.1000000000000005</v>
      </c>
    </row>
    <row r="3604" spans="1:6" x14ac:dyDescent="0.3">
      <c r="A3604" t="s">
        <v>883</v>
      </c>
      <c r="B3604" t="s">
        <v>2128</v>
      </c>
      <c r="C3604">
        <v>115.5</v>
      </c>
      <c r="D3604">
        <v>110</v>
      </c>
      <c r="E3604">
        <f>IF(OR(B3604="vi",B3604="ii",B3604="pod"),(((D3604/100)*(C3604*VLOOKUP(B3604,'Poids des runes'!A:B,2,FALSE)))+1),(((D3604/100)*(C3604*VLOOKUP(B3604,'Poids des runes'!A:B,2,FALSE)))+1)/VLOOKUP(B3604,'Poids des runes'!A:B,2,FALSE))</f>
        <v>26.410000000000004</v>
      </c>
      <c r="F3604">
        <f t="shared" si="56"/>
        <v>26.410000000000004</v>
      </c>
    </row>
    <row r="3605" spans="1:6" x14ac:dyDescent="0.3">
      <c r="A3605" t="s">
        <v>883</v>
      </c>
      <c r="B3605" t="s">
        <v>2126</v>
      </c>
      <c r="C3605">
        <v>50.5</v>
      </c>
      <c r="D3605">
        <v>110</v>
      </c>
      <c r="E3605">
        <f>IF(OR(B3605="vi",B3605="ii",B3605="pod"),(((D3605/100)*(C3605*VLOOKUP(B3605,'Poids des runes'!A:B,2,FALSE)))+1),(((D3605/100)*(C3605*VLOOKUP(B3605,'Poids des runes'!A:B,2,FALSE)))+1)/VLOOKUP(B3605,'Poids des runes'!A:B,2,FALSE))</f>
        <v>56.550000000000004</v>
      </c>
      <c r="F3605">
        <f t="shared" si="56"/>
        <v>56.550000000000004</v>
      </c>
    </row>
    <row r="3606" spans="1:6" x14ac:dyDescent="0.3">
      <c r="A3606" t="s">
        <v>883</v>
      </c>
      <c r="B3606" t="s">
        <v>2129</v>
      </c>
      <c r="C3606">
        <v>23</v>
      </c>
      <c r="D3606">
        <v>110</v>
      </c>
      <c r="E3606">
        <f>IF(OR(B3606="vi",B3606="ii",B3606="pod"),(((D3606/100)*(C3606*VLOOKUP(B3606,'Poids des runes'!A:B,2,FALSE)))+1),(((D3606/100)*(C3606*VLOOKUP(B3606,'Poids des runes'!A:B,2,FALSE)))+1)/VLOOKUP(B3606,'Poids des runes'!A:B,2,FALSE))</f>
        <v>26.3</v>
      </c>
      <c r="F3606">
        <f t="shared" si="56"/>
        <v>26.3</v>
      </c>
    </row>
    <row r="3607" spans="1:6" x14ac:dyDescent="0.3">
      <c r="A3607" t="s">
        <v>883</v>
      </c>
      <c r="B3607" t="s">
        <v>2151</v>
      </c>
      <c r="C3607">
        <v>2.5</v>
      </c>
      <c r="D3607">
        <v>110</v>
      </c>
      <c r="E3607">
        <f>IF(OR(B3607="vi",B3607="ii",B3607="pod"),(((D3607/100)*(C3607*VLOOKUP(B3607,'Poids des runes'!A:B,2,FALSE)))+1),(((D3607/100)*(C3607*VLOOKUP(B3607,'Poids des runes'!A:B,2,FALSE)))+1)/VLOOKUP(B3607,'Poids des runes'!A:B,2,FALSE))</f>
        <v>2.8500000000000005</v>
      </c>
      <c r="F3607">
        <f t="shared" si="56"/>
        <v>2.8500000000000005</v>
      </c>
    </row>
    <row r="3608" spans="1:6" x14ac:dyDescent="0.3">
      <c r="A3608" t="s">
        <v>883</v>
      </c>
      <c r="B3608" t="s">
        <v>2140</v>
      </c>
      <c r="C3608">
        <v>5</v>
      </c>
      <c r="D3608">
        <v>110</v>
      </c>
      <c r="E3608">
        <f>IF(OR(B3608="vi",B3608="ii",B3608="pod"),(((D3608/100)*(C3608*VLOOKUP(B3608,'Poids des runes'!A:B,2,FALSE)))+1),(((D3608/100)*(C3608*VLOOKUP(B3608,'Poids des runes'!A:B,2,FALSE)))+1)/VLOOKUP(B3608,'Poids des runes'!A:B,2,FALSE))</f>
        <v>5.7000000000000011</v>
      </c>
      <c r="F3608">
        <f t="shared" si="56"/>
        <v>5.7000000000000011</v>
      </c>
    </row>
    <row r="3609" spans="1:6" x14ac:dyDescent="0.3">
      <c r="A3609" t="s">
        <v>883</v>
      </c>
      <c r="B3609" t="s">
        <v>2149</v>
      </c>
      <c r="C3609">
        <v>3.5</v>
      </c>
      <c r="D3609">
        <v>110</v>
      </c>
      <c r="E3609">
        <f>IF(OR(B3609="vi",B3609="ii",B3609="pod"),(((D3609/100)*(C3609*VLOOKUP(B3609,'Poids des runes'!A:B,2,FALSE)))+1),(((D3609/100)*(C3609*VLOOKUP(B3609,'Poids des runes'!A:B,2,FALSE)))+1)/VLOOKUP(B3609,'Poids des runes'!A:B,2,FALSE))</f>
        <v>3.95</v>
      </c>
      <c r="F3609">
        <f t="shared" si="56"/>
        <v>3.95</v>
      </c>
    </row>
    <row r="3610" spans="1:6" x14ac:dyDescent="0.3">
      <c r="A3610" t="s">
        <v>883</v>
      </c>
      <c r="B3610" t="s">
        <v>2161</v>
      </c>
      <c r="C3610">
        <v>6.5</v>
      </c>
      <c r="D3610">
        <v>110</v>
      </c>
      <c r="E3610">
        <f>IF(OR(B3610="vi",B3610="ii",B3610="pod"),(((D3610/100)*(C3610*VLOOKUP(B3610,'Poids des runes'!A:B,2,FALSE)))+1),(((D3610/100)*(C3610*VLOOKUP(B3610,'Poids des runes'!A:B,2,FALSE)))+1)/VLOOKUP(B3610,'Poids des runes'!A:B,2,FALSE))</f>
        <v>7.4833333333333343</v>
      </c>
      <c r="F3610">
        <f t="shared" si="56"/>
        <v>7.4833333333333343</v>
      </c>
    </row>
    <row r="3611" spans="1:6" x14ac:dyDescent="0.3">
      <c r="A3611" t="s">
        <v>883</v>
      </c>
      <c r="B3611" t="s">
        <v>2156</v>
      </c>
      <c r="C3611">
        <v>4</v>
      </c>
      <c r="D3611">
        <v>110</v>
      </c>
      <c r="E3611">
        <f>IF(OR(B3611="vi",B3611="ii",B3611="pod"),(((D3611/100)*(C3611*VLOOKUP(B3611,'Poids des runes'!A:B,2,FALSE)))+1),(((D3611/100)*(C3611*VLOOKUP(B3611,'Poids des runes'!A:B,2,FALSE)))+1)/VLOOKUP(B3611,'Poids des runes'!A:B,2,FALSE))</f>
        <v>4.5666666666666673</v>
      </c>
      <c r="F3611">
        <f t="shared" si="56"/>
        <v>4.5666666666666673</v>
      </c>
    </row>
    <row r="3612" spans="1:6" x14ac:dyDescent="0.3">
      <c r="A3612" t="s">
        <v>883</v>
      </c>
      <c r="B3612" t="s">
        <v>2147</v>
      </c>
      <c r="C3612">
        <v>4</v>
      </c>
      <c r="D3612">
        <v>110</v>
      </c>
      <c r="E3612">
        <f>IF(OR(B3612="vi",B3612="ii",B3612="pod"),(((D3612/100)*(C3612*VLOOKUP(B3612,'Poids des runes'!A:B,2,FALSE)))+1),(((D3612/100)*(C3612*VLOOKUP(B3612,'Poids des runes'!A:B,2,FALSE)))+1)/VLOOKUP(B3612,'Poids des runes'!A:B,2,FALSE))</f>
        <v>4.5666666666666673</v>
      </c>
      <c r="F3612">
        <f t="shared" si="56"/>
        <v>4.5666666666666673</v>
      </c>
    </row>
    <row r="3613" spans="1:6" x14ac:dyDescent="0.3">
      <c r="A3613" t="s">
        <v>884</v>
      </c>
      <c r="B3613" t="s">
        <v>2128</v>
      </c>
      <c r="C3613">
        <v>175.5</v>
      </c>
      <c r="D3613">
        <v>111</v>
      </c>
      <c r="E3613">
        <f>IF(OR(B3613="vi",B3613="ii",B3613="pod"),(((D3613/100)*(C3613*VLOOKUP(B3613,'Poids des runes'!A:B,2,FALSE)))+1),(((D3613/100)*(C3613*VLOOKUP(B3613,'Poids des runes'!A:B,2,FALSE)))+1)/VLOOKUP(B3613,'Poids des runes'!A:B,2,FALSE))</f>
        <v>39.961000000000006</v>
      </c>
      <c r="F3613">
        <f t="shared" si="56"/>
        <v>39.961000000000006</v>
      </c>
    </row>
    <row r="3614" spans="1:6" x14ac:dyDescent="0.3">
      <c r="A3614" t="s">
        <v>884</v>
      </c>
      <c r="B3614" t="s">
        <v>2126</v>
      </c>
      <c r="C3614">
        <v>40.5</v>
      </c>
      <c r="D3614">
        <v>111</v>
      </c>
      <c r="E3614">
        <f>IF(OR(B3614="vi",B3614="ii",B3614="pod"),(((D3614/100)*(C3614*VLOOKUP(B3614,'Poids des runes'!A:B,2,FALSE)))+1),(((D3614/100)*(C3614*VLOOKUP(B3614,'Poids des runes'!A:B,2,FALSE)))+1)/VLOOKUP(B3614,'Poids des runes'!A:B,2,FALSE))</f>
        <v>45.955000000000005</v>
      </c>
      <c r="F3614">
        <f t="shared" si="56"/>
        <v>45.955000000000005</v>
      </c>
    </row>
    <row r="3615" spans="1:6" x14ac:dyDescent="0.3">
      <c r="A3615" t="s">
        <v>884</v>
      </c>
      <c r="B3615" t="s">
        <v>2127</v>
      </c>
      <c r="C3615">
        <v>40.5</v>
      </c>
      <c r="D3615">
        <v>111</v>
      </c>
      <c r="E3615">
        <f>IF(OR(B3615="vi",B3615="ii",B3615="pod"),(((D3615/100)*(C3615*VLOOKUP(B3615,'Poids des runes'!A:B,2,FALSE)))+1),(((D3615/100)*(C3615*VLOOKUP(B3615,'Poids des runes'!A:B,2,FALSE)))+1)/VLOOKUP(B3615,'Poids des runes'!A:B,2,FALSE))</f>
        <v>45.955000000000005</v>
      </c>
      <c r="F3615">
        <f t="shared" si="56"/>
        <v>45.955000000000005</v>
      </c>
    </row>
    <row r="3616" spans="1:6" x14ac:dyDescent="0.3">
      <c r="A3616" t="s">
        <v>884</v>
      </c>
      <c r="B3616" t="s">
        <v>2151</v>
      </c>
      <c r="C3616">
        <v>5</v>
      </c>
      <c r="D3616">
        <v>111</v>
      </c>
      <c r="E3616">
        <f>IF(OR(B3616="vi",B3616="ii",B3616="pod"),(((D3616/100)*(C3616*VLOOKUP(B3616,'Poids des runes'!A:B,2,FALSE)))+1),(((D3616/100)*(C3616*VLOOKUP(B3616,'Poids des runes'!A:B,2,FALSE)))+1)/VLOOKUP(B3616,'Poids des runes'!A:B,2,FALSE))</f>
        <v>5.65</v>
      </c>
      <c r="F3616">
        <f t="shared" si="56"/>
        <v>5.65</v>
      </c>
    </row>
    <row r="3617" spans="1:6" x14ac:dyDescent="0.3">
      <c r="A3617" t="s">
        <v>884</v>
      </c>
      <c r="B3617" t="s">
        <v>2134</v>
      </c>
      <c r="C3617">
        <v>6.5</v>
      </c>
      <c r="D3617">
        <v>111</v>
      </c>
      <c r="E3617">
        <f>IF(OR(B3617="vi",B3617="ii",B3617="pod"),(((D3617/100)*(C3617*VLOOKUP(B3617,'Poids des runes'!A:B,2,FALSE)))+1),(((D3617/100)*(C3617*VLOOKUP(B3617,'Poids des runes'!A:B,2,FALSE)))+1)/VLOOKUP(B3617,'Poids des runes'!A:B,2,FALSE))</f>
        <v>7.2650000000000006</v>
      </c>
      <c r="F3617">
        <f t="shared" si="56"/>
        <v>7.2650000000000006</v>
      </c>
    </row>
    <row r="3618" spans="1:6" x14ac:dyDescent="0.3">
      <c r="A3618" t="s">
        <v>884</v>
      </c>
      <c r="B3618" t="s">
        <v>2148</v>
      </c>
      <c r="C3618">
        <v>6.5</v>
      </c>
      <c r="D3618">
        <v>111</v>
      </c>
      <c r="E3618">
        <f>IF(OR(B3618="vi",B3618="ii",B3618="pod"),(((D3618/100)*(C3618*VLOOKUP(B3618,'Poids des runes'!A:B,2,FALSE)))+1),(((D3618/100)*(C3618*VLOOKUP(B3618,'Poids des runes'!A:B,2,FALSE)))+1)/VLOOKUP(B3618,'Poids des runes'!A:B,2,FALSE))</f>
        <v>7.3816666666666677</v>
      </c>
      <c r="F3618">
        <f t="shared" si="56"/>
        <v>7.3816666666666677</v>
      </c>
    </row>
    <row r="3619" spans="1:6" x14ac:dyDescent="0.3">
      <c r="A3619" t="s">
        <v>884</v>
      </c>
      <c r="B3619" t="s">
        <v>2135</v>
      </c>
      <c r="C3619">
        <v>6.5</v>
      </c>
      <c r="D3619">
        <v>111</v>
      </c>
      <c r="E3619">
        <f>IF(OR(B3619="vi",B3619="ii",B3619="pod"),(((D3619/100)*(C3619*VLOOKUP(B3619,'Poids des runes'!A:B,2,FALSE)))+1),(((D3619/100)*(C3619*VLOOKUP(B3619,'Poids des runes'!A:B,2,FALSE)))+1)/VLOOKUP(B3619,'Poids des runes'!A:B,2,FALSE))</f>
        <v>7.3816666666666677</v>
      </c>
      <c r="F3619">
        <f t="shared" si="56"/>
        <v>7.3816666666666677</v>
      </c>
    </row>
    <row r="3620" spans="1:6" x14ac:dyDescent="0.3">
      <c r="A3620" t="s">
        <v>885</v>
      </c>
      <c r="B3620" t="s">
        <v>2128</v>
      </c>
      <c r="C3620">
        <v>125.5</v>
      </c>
      <c r="D3620">
        <v>111</v>
      </c>
      <c r="E3620">
        <f>IF(OR(B3620="vi",B3620="ii",B3620="pod"),(((D3620/100)*(C3620*VLOOKUP(B3620,'Poids des runes'!A:B,2,FALSE)))+1),(((D3620/100)*(C3620*VLOOKUP(B3620,'Poids des runes'!A:B,2,FALSE)))+1)/VLOOKUP(B3620,'Poids des runes'!A:B,2,FALSE))</f>
        <v>28.861000000000004</v>
      </c>
      <c r="F3620">
        <f t="shared" si="56"/>
        <v>28.861000000000004</v>
      </c>
    </row>
    <row r="3621" spans="1:6" x14ac:dyDescent="0.3">
      <c r="A3621" t="s">
        <v>885</v>
      </c>
      <c r="B3621" t="s">
        <v>2129</v>
      </c>
      <c r="C3621">
        <v>20.5</v>
      </c>
      <c r="D3621">
        <v>111</v>
      </c>
      <c r="E3621">
        <f>IF(OR(B3621="vi",B3621="ii",B3621="pod"),(((D3621/100)*(C3621*VLOOKUP(B3621,'Poids des runes'!A:B,2,FALSE)))+1),(((D3621/100)*(C3621*VLOOKUP(B3621,'Poids des runes'!A:B,2,FALSE)))+1)/VLOOKUP(B3621,'Poids des runes'!A:B,2,FALSE))</f>
        <v>23.755000000000003</v>
      </c>
      <c r="F3621">
        <f t="shared" si="56"/>
        <v>23.755000000000003</v>
      </c>
    </row>
    <row r="3622" spans="1:6" x14ac:dyDescent="0.3">
      <c r="A3622" t="s">
        <v>885</v>
      </c>
      <c r="B3622" t="s">
        <v>2152</v>
      </c>
      <c r="C3622">
        <v>1</v>
      </c>
      <c r="D3622">
        <v>111</v>
      </c>
      <c r="E3622">
        <f>IF(OR(B3622="vi",B3622="ii",B3622="pod"),(((D3622/100)*(C3622*VLOOKUP(B3622,'Poids des runes'!A:B,2,FALSE)))+1),(((D3622/100)*(C3622*VLOOKUP(B3622,'Poids des runes'!A:B,2,FALSE)))+1)/VLOOKUP(B3622,'Poids des runes'!A:B,2,FALSE))</f>
        <v>1.1200000000000001</v>
      </c>
      <c r="F3622">
        <f t="shared" si="56"/>
        <v>1.1200000000000001</v>
      </c>
    </row>
    <row r="3623" spans="1:6" x14ac:dyDescent="0.3">
      <c r="A3623" t="s">
        <v>885</v>
      </c>
      <c r="B3623" t="s">
        <v>2150</v>
      </c>
      <c r="C3623">
        <v>1</v>
      </c>
      <c r="D3623">
        <v>111</v>
      </c>
      <c r="E3623">
        <f>IF(OR(B3623="vi",B3623="ii",B3623="pod"),(((D3623/100)*(C3623*VLOOKUP(B3623,'Poids des runes'!A:B,2,FALSE)))+1),(((D3623/100)*(C3623*VLOOKUP(B3623,'Poids des runes'!A:B,2,FALSE)))+1)/VLOOKUP(B3623,'Poids des runes'!A:B,2,FALSE))</f>
        <v>1.1433333333333335</v>
      </c>
      <c r="F3623">
        <f t="shared" si="56"/>
        <v>1.1433333333333335</v>
      </c>
    </row>
    <row r="3624" spans="1:6" x14ac:dyDescent="0.3">
      <c r="A3624" t="s">
        <v>885</v>
      </c>
      <c r="B3624" t="s">
        <v>2149</v>
      </c>
      <c r="C3624">
        <v>5</v>
      </c>
      <c r="D3624">
        <v>111</v>
      </c>
      <c r="E3624">
        <f>IF(OR(B3624="vi",B3624="ii",B3624="pod"),(((D3624/100)*(C3624*VLOOKUP(B3624,'Poids des runes'!A:B,2,FALSE)))+1),(((D3624/100)*(C3624*VLOOKUP(B3624,'Poids des runes'!A:B,2,FALSE)))+1)/VLOOKUP(B3624,'Poids des runes'!A:B,2,FALSE))</f>
        <v>5.65</v>
      </c>
      <c r="F3624">
        <f t="shared" si="56"/>
        <v>5.65</v>
      </c>
    </row>
    <row r="3625" spans="1:6" x14ac:dyDescent="0.3">
      <c r="A3625" t="s">
        <v>885</v>
      </c>
      <c r="B3625" t="s">
        <v>2161</v>
      </c>
      <c r="C3625">
        <v>13</v>
      </c>
      <c r="D3625">
        <v>111</v>
      </c>
      <c r="E3625">
        <f>IF(OR(B3625="vi",B3625="ii",B3625="pod"),(((D3625/100)*(C3625*VLOOKUP(B3625,'Poids des runes'!A:B,2,FALSE)))+1),(((D3625/100)*(C3625*VLOOKUP(B3625,'Poids des runes'!A:B,2,FALSE)))+1)/VLOOKUP(B3625,'Poids des runes'!A:B,2,FALSE))</f>
        <v>14.763333333333335</v>
      </c>
      <c r="F3625">
        <f t="shared" si="56"/>
        <v>14.763333333333335</v>
      </c>
    </row>
    <row r="3626" spans="1:6" x14ac:dyDescent="0.3">
      <c r="A3626" t="s">
        <v>886</v>
      </c>
      <c r="B3626" t="s">
        <v>2128</v>
      </c>
      <c r="C3626">
        <v>175.5</v>
      </c>
      <c r="D3626">
        <v>111</v>
      </c>
      <c r="E3626">
        <f>IF(OR(B3626="vi",B3626="ii",B3626="pod"),(((D3626/100)*(C3626*VLOOKUP(B3626,'Poids des runes'!A:B,2,FALSE)))+1),(((D3626/100)*(C3626*VLOOKUP(B3626,'Poids des runes'!A:B,2,FALSE)))+1)/VLOOKUP(B3626,'Poids des runes'!A:B,2,FALSE))</f>
        <v>39.961000000000006</v>
      </c>
      <c r="F3626">
        <f t="shared" si="56"/>
        <v>39.961000000000006</v>
      </c>
    </row>
    <row r="3627" spans="1:6" x14ac:dyDescent="0.3">
      <c r="A3627" t="s">
        <v>886</v>
      </c>
      <c r="B3627" t="s">
        <v>2126</v>
      </c>
      <c r="C3627">
        <v>20.5</v>
      </c>
      <c r="D3627">
        <v>111</v>
      </c>
      <c r="E3627">
        <f>IF(OR(B3627="vi",B3627="ii",B3627="pod"),(((D3627/100)*(C3627*VLOOKUP(B3627,'Poids des runes'!A:B,2,FALSE)))+1),(((D3627/100)*(C3627*VLOOKUP(B3627,'Poids des runes'!A:B,2,FALSE)))+1)/VLOOKUP(B3627,'Poids des runes'!A:B,2,FALSE))</f>
        <v>23.755000000000003</v>
      </c>
      <c r="F3627">
        <f t="shared" si="56"/>
        <v>23.755000000000003</v>
      </c>
    </row>
    <row r="3628" spans="1:6" x14ac:dyDescent="0.3">
      <c r="A3628" t="s">
        <v>886</v>
      </c>
      <c r="B3628" t="s">
        <v>2131</v>
      </c>
      <c r="C3628">
        <v>20.5</v>
      </c>
      <c r="D3628">
        <v>111</v>
      </c>
      <c r="E3628">
        <f>IF(OR(B3628="vi",B3628="ii",B3628="pod"),(((D3628/100)*(C3628*VLOOKUP(B3628,'Poids des runes'!A:B,2,FALSE)))+1),(((D3628/100)*(C3628*VLOOKUP(B3628,'Poids des runes'!A:B,2,FALSE)))+1)/VLOOKUP(B3628,'Poids des runes'!A:B,2,FALSE))</f>
        <v>23.755000000000003</v>
      </c>
      <c r="F3628">
        <f t="shared" si="56"/>
        <v>23.755000000000003</v>
      </c>
    </row>
    <row r="3629" spans="1:6" x14ac:dyDescent="0.3">
      <c r="A3629" t="s">
        <v>886</v>
      </c>
      <c r="B3629" t="s">
        <v>2129</v>
      </c>
      <c r="C3629">
        <v>25.5</v>
      </c>
      <c r="D3629">
        <v>111</v>
      </c>
      <c r="E3629">
        <f>IF(OR(B3629="vi",B3629="ii",B3629="pod"),(((D3629/100)*(C3629*VLOOKUP(B3629,'Poids des runes'!A:B,2,FALSE)))+1),(((D3629/100)*(C3629*VLOOKUP(B3629,'Poids des runes'!A:B,2,FALSE)))+1)/VLOOKUP(B3629,'Poids des runes'!A:B,2,FALSE))</f>
        <v>29.305000000000003</v>
      </c>
      <c r="F3629">
        <f t="shared" si="56"/>
        <v>29.305000000000003</v>
      </c>
    </row>
    <row r="3630" spans="1:6" x14ac:dyDescent="0.3">
      <c r="A3630" t="s">
        <v>886</v>
      </c>
      <c r="B3630" t="s">
        <v>2149</v>
      </c>
      <c r="C3630">
        <v>8.5</v>
      </c>
      <c r="D3630">
        <v>111</v>
      </c>
      <c r="E3630">
        <f>IF(OR(B3630="vi",B3630="ii",B3630="pod"),(((D3630/100)*(C3630*VLOOKUP(B3630,'Poids des runes'!A:B,2,FALSE)))+1),(((D3630/100)*(C3630*VLOOKUP(B3630,'Poids des runes'!A:B,2,FALSE)))+1)/VLOOKUP(B3630,'Poids des runes'!A:B,2,FALSE))</f>
        <v>9.5350000000000001</v>
      </c>
      <c r="F3630">
        <f t="shared" si="56"/>
        <v>9.5350000000000001</v>
      </c>
    </row>
    <row r="3631" spans="1:6" x14ac:dyDescent="0.3">
      <c r="A3631" t="s">
        <v>886</v>
      </c>
      <c r="B3631" t="s">
        <v>2161</v>
      </c>
      <c r="C3631">
        <v>13</v>
      </c>
      <c r="D3631">
        <v>111</v>
      </c>
      <c r="E3631">
        <f>IF(OR(B3631="vi",B3631="ii",B3631="pod"),(((D3631/100)*(C3631*VLOOKUP(B3631,'Poids des runes'!A:B,2,FALSE)))+1),(((D3631/100)*(C3631*VLOOKUP(B3631,'Poids des runes'!A:B,2,FALSE)))+1)/VLOOKUP(B3631,'Poids des runes'!A:B,2,FALSE))</f>
        <v>14.763333333333335</v>
      </c>
      <c r="F3631">
        <f t="shared" si="56"/>
        <v>14.763333333333335</v>
      </c>
    </row>
    <row r="3632" spans="1:6" x14ac:dyDescent="0.3">
      <c r="A3632" t="s">
        <v>886</v>
      </c>
      <c r="B3632" t="s">
        <v>2132</v>
      </c>
      <c r="C3632">
        <v>175.5</v>
      </c>
      <c r="D3632">
        <v>111</v>
      </c>
      <c r="E3632">
        <f>IF(OR(B3632="vi",B3632="ii",B3632="pod"),(((D3632/100)*(C3632*VLOOKUP(B3632,'Poids des runes'!A:B,2,FALSE)))+1),(((D3632/100)*(C3632*VLOOKUP(B3632,'Poids des runes'!A:B,2,FALSE)))+1)/VLOOKUP(B3632,'Poids des runes'!A:B,2,FALSE))</f>
        <v>20.480500000000003</v>
      </c>
      <c r="F3632">
        <f t="shared" si="56"/>
        <v>20.480500000000003</v>
      </c>
    </row>
    <row r="3633" spans="1:6" x14ac:dyDescent="0.3">
      <c r="A3633" t="s">
        <v>886</v>
      </c>
      <c r="B3633" t="s">
        <v>2138</v>
      </c>
      <c r="C3633">
        <v>4</v>
      </c>
      <c r="D3633">
        <v>111</v>
      </c>
      <c r="E3633">
        <f>IF(OR(B3633="vi",B3633="ii",B3633="pod"),(((D3633/100)*(C3633*VLOOKUP(B3633,'Poids des runes'!A:B,2,FALSE)))+1),(((D3633/100)*(C3633*VLOOKUP(B3633,'Poids des runes'!A:B,2,FALSE)))+1)/VLOOKUP(B3633,'Poids des runes'!A:B,2,FALSE))</f>
        <v>4.6900000000000004</v>
      </c>
      <c r="F3633">
        <f t="shared" si="56"/>
        <v>4.6900000000000004</v>
      </c>
    </row>
    <row r="3634" spans="1:6" x14ac:dyDescent="0.3">
      <c r="A3634" t="s">
        <v>886</v>
      </c>
      <c r="B3634" t="s">
        <v>2148</v>
      </c>
      <c r="C3634">
        <v>3.5</v>
      </c>
      <c r="D3634">
        <v>111</v>
      </c>
      <c r="E3634">
        <f>IF(OR(B3634="vi",B3634="ii",B3634="pod"),(((D3634/100)*(C3634*VLOOKUP(B3634,'Poids des runes'!A:B,2,FALSE)))+1),(((D3634/100)*(C3634*VLOOKUP(B3634,'Poids des runes'!A:B,2,FALSE)))+1)/VLOOKUP(B3634,'Poids des runes'!A:B,2,FALSE))</f>
        <v>4.0516666666666667</v>
      </c>
      <c r="F3634">
        <f t="shared" si="56"/>
        <v>4.0516666666666667</v>
      </c>
    </row>
    <row r="3635" spans="1:6" x14ac:dyDescent="0.3">
      <c r="A3635" t="s">
        <v>886</v>
      </c>
      <c r="B3635" t="s">
        <v>2147</v>
      </c>
      <c r="C3635">
        <v>3.5</v>
      </c>
      <c r="D3635">
        <v>111</v>
      </c>
      <c r="E3635">
        <f>IF(OR(B3635="vi",B3635="ii",B3635="pod"),(((D3635/100)*(C3635*VLOOKUP(B3635,'Poids des runes'!A:B,2,FALSE)))+1),(((D3635/100)*(C3635*VLOOKUP(B3635,'Poids des runes'!A:B,2,FALSE)))+1)/VLOOKUP(B3635,'Poids des runes'!A:B,2,FALSE))</f>
        <v>4.0516666666666667</v>
      </c>
      <c r="F3635">
        <f t="shared" si="56"/>
        <v>4.0516666666666667</v>
      </c>
    </row>
    <row r="3636" spans="1:6" x14ac:dyDescent="0.3">
      <c r="A3636" t="s">
        <v>887</v>
      </c>
      <c r="B3636" t="s">
        <v>2128</v>
      </c>
      <c r="C3636">
        <v>125.5</v>
      </c>
      <c r="D3636">
        <v>111</v>
      </c>
      <c r="E3636">
        <f>IF(OR(B3636="vi",B3636="ii",B3636="pod"),(((D3636/100)*(C3636*VLOOKUP(B3636,'Poids des runes'!A:B,2,FALSE)))+1),(((D3636/100)*(C3636*VLOOKUP(B3636,'Poids des runes'!A:B,2,FALSE)))+1)/VLOOKUP(B3636,'Poids des runes'!A:B,2,FALSE))</f>
        <v>28.861000000000004</v>
      </c>
      <c r="F3636">
        <f t="shared" si="56"/>
        <v>28.861000000000004</v>
      </c>
    </row>
    <row r="3637" spans="1:6" x14ac:dyDescent="0.3">
      <c r="A3637" t="s">
        <v>887</v>
      </c>
      <c r="B3637" t="s">
        <v>2130</v>
      </c>
      <c r="C3637">
        <v>28</v>
      </c>
      <c r="D3637">
        <v>111</v>
      </c>
      <c r="E3637">
        <f>IF(OR(B3637="vi",B3637="ii",B3637="pod"),(((D3637/100)*(C3637*VLOOKUP(B3637,'Poids des runes'!A:B,2,FALSE)))+1),(((D3637/100)*(C3637*VLOOKUP(B3637,'Poids des runes'!A:B,2,FALSE)))+1)/VLOOKUP(B3637,'Poids des runes'!A:B,2,FALSE))</f>
        <v>32.08</v>
      </c>
      <c r="F3637">
        <f t="shared" si="56"/>
        <v>32.08</v>
      </c>
    </row>
    <row r="3638" spans="1:6" x14ac:dyDescent="0.3">
      <c r="A3638" t="s">
        <v>887</v>
      </c>
      <c r="B3638" t="s">
        <v>2131</v>
      </c>
      <c r="C3638">
        <v>38</v>
      </c>
      <c r="D3638">
        <v>111</v>
      </c>
      <c r="E3638">
        <f>IF(OR(B3638="vi",B3638="ii",B3638="pod"),(((D3638/100)*(C3638*VLOOKUP(B3638,'Poids des runes'!A:B,2,FALSE)))+1),(((D3638/100)*(C3638*VLOOKUP(B3638,'Poids des runes'!A:B,2,FALSE)))+1)/VLOOKUP(B3638,'Poids des runes'!A:B,2,FALSE))</f>
        <v>43.180000000000007</v>
      </c>
      <c r="F3638">
        <f t="shared" si="56"/>
        <v>43.180000000000007</v>
      </c>
    </row>
    <row r="3639" spans="1:6" x14ac:dyDescent="0.3">
      <c r="A3639" t="s">
        <v>887</v>
      </c>
      <c r="B3639" t="s">
        <v>2129</v>
      </c>
      <c r="C3639">
        <v>15.5</v>
      </c>
      <c r="D3639">
        <v>111</v>
      </c>
      <c r="E3639">
        <f>IF(OR(B3639="vi",B3639="ii",B3639="pod"),(((D3639/100)*(C3639*VLOOKUP(B3639,'Poids des runes'!A:B,2,FALSE)))+1),(((D3639/100)*(C3639*VLOOKUP(B3639,'Poids des runes'!A:B,2,FALSE)))+1)/VLOOKUP(B3639,'Poids des runes'!A:B,2,FALSE))</f>
        <v>18.205000000000002</v>
      </c>
      <c r="F3639">
        <f t="shared" si="56"/>
        <v>18.205000000000002</v>
      </c>
    </row>
    <row r="3640" spans="1:6" x14ac:dyDescent="0.3">
      <c r="A3640" t="s">
        <v>887</v>
      </c>
      <c r="B3640" t="s">
        <v>2151</v>
      </c>
      <c r="C3640">
        <v>3.5</v>
      </c>
      <c r="D3640">
        <v>111</v>
      </c>
      <c r="E3640">
        <f>IF(OR(B3640="vi",B3640="ii",B3640="pod"),(((D3640/100)*(C3640*VLOOKUP(B3640,'Poids des runes'!A:B,2,FALSE)))+1),(((D3640/100)*(C3640*VLOOKUP(B3640,'Poids des runes'!A:B,2,FALSE)))+1)/VLOOKUP(B3640,'Poids des runes'!A:B,2,FALSE))</f>
        <v>3.9850000000000003</v>
      </c>
      <c r="F3640">
        <f t="shared" si="56"/>
        <v>3.9850000000000003</v>
      </c>
    </row>
    <row r="3641" spans="1:6" x14ac:dyDescent="0.3">
      <c r="A3641" t="s">
        <v>887</v>
      </c>
      <c r="B3641" t="s">
        <v>2134</v>
      </c>
      <c r="C3641">
        <v>5</v>
      </c>
      <c r="D3641">
        <v>111</v>
      </c>
      <c r="E3641">
        <f>IF(OR(B3641="vi",B3641="ii",B3641="pod"),(((D3641/100)*(C3641*VLOOKUP(B3641,'Poids des runes'!A:B,2,FALSE)))+1),(((D3641/100)*(C3641*VLOOKUP(B3641,'Poids des runes'!A:B,2,FALSE)))+1)/VLOOKUP(B3641,'Poids des runes'!A:B,2,FALSE))</f>
        <v>5.6000000000000005</v>
      </c>
      <c r="F3641">
        <f t="shared" si="56"/>
        <v>5.6000000000000005</v>
      </c>
    </row>
    <row r="3642" spans="1:6" x14ac:dyDescent="0.3">
      <c r="A3642" t="s">
        <v>887</v>
      </c>
      <c r="B3642" t="s">
        <v>2161</v>
      </c>
      <c r="C3642">
        <v>13</v>
      </c>
      <c r="D3642">
        <v>111</v>
      </c>
      <c r="E3642">
        <f>IF(OR(B3642="vi",B3642="ii",B3642="pod"),(((D3642/100)*(C3642*VLOOKUP(B3642,'Poids des runes'!A:B,2,FALSE)))+1),(((D3642/100)*(C3642*VLOOKUP(B3642,'Poids des runes'!A:B,2,FALSE)))+1)/VLOOKUP(B3642,'Poids des runes'!A:B,2,FALSE))</f>
        <v>14.763333333333335</v>
      </c>
      <c r="F3642">
        <f t="shared" si="56"/>
        <v>14.763333333333335</v>
      </c>
    </row>
    <row r="3643" spans="1:6" x14ac:dyDescent="0.3">
      <c r="A3643" t="s">
        <v>887</v>
      </c>
      <c r="B3643" t="s">
        <v>2136</v>
      </c>
      <c r="C3643">
        <v>5</v>
      </c>
      <c r="D3643">
        <v>111</v>
      </c>
      <c r="E3643">
        <f>IF(OR(B3643="vi",B3643="ii",B3643="pod"),(((D3643/100)*(C3643*VLOOKUP(B3643,'Poids des runes'!A:B,2,FALSE)))+1),(((D3643/100)*(C3643*VLOOKUP(B3643,'Poids des runes'!A:B,2,FALSE)))+1)/VLOOKUP(B3643,'Poids des runes'!A:B,2,FALSE))</f>
        <v>6.0500000000000007</v>
      </c>
      <c r="F3643">
        <f t="shared" si="56"/>
        <v>6.0500000000000007</v>
      </c>
    </row>
    <row r="3644" spans="1:6" x14ac:dyDescent="0.3">
      <c r="A3644" t="s">
        <v>887</v>
      </c>
      <c r="B3644" t="s">
        <v>2137</v>
      </c>
      <c r="C3644">
        <v>5</v>
      </c>
      <c r="D3644">
        <v>111</v>
      </c>
      <c r="E3644">
        <f>IF(OR(B3644="vi",B3644="ii",B3644="pod"),(((D3644/100)*(C3644*VLOOKUP(B3644,'Poids des runes'!A:B,2,FALSE)))+1),(((D3644/100)*(C3644*VLOOKUP(B3644,'Poids des runes'!A:B,2,FALSE)))+1)/VLOOKUP(B3644,'Poids des runes'!A:B,2,FALSE))</f>
        <v>6.0500000000000007</v>
      </c>
      <c r="F3644">
        <f t="shared" si="56"/>
        <v>6.0500000000000007</v>
      </c>
    </row>
    <row r="3645" spans="1:6" x14ac:dyDescent="0.3">
      <c r="A3645" t="s">
        <v>887</v>
      </c>
      <c r="B3645" t="s">
        <v>2144</v>
      </c>
      <c r="C3645">
        <v>5</v>
      </c>
      <c r="D3645">
        <v>111</v>
      </c>
      <c r="E3645">
        <f>IF(OR(B3645="vi",B3645="ii",B3645="pod"),(((D3645/100)*(C3645*VLOOKUP(B3645,'Poids des runes'!A:B,2,FALSE)))+1),(((D3645/100)*(C3645*VLOOKUP(B3645,'Poids des runes'!A:B,2,FALSE)))+1)/VLOOKUP(B3645,'Poids des runes'!A:B,2,FALSE))</f>
        <v>6.0500000000000007</v>
      </c>
      <c r="F3645">
        <f t="shared" si="56"/>
        <v>6.0500000000000007</v>
      </c>
    </row>
    <row r="3646" spans="1:6" x14ac:dyDescent="0.3">
      <c r="A3646" t="s">
        <v>887</v>
      </c>
      <c r="B3646" t="s">
        <v>2145</v>
      </c>
      <c r="C3646">
        <v>5</v>
      </c>
      <c r="D3646">
        <v>111</v>
      </c>
      <c r="E3646">
        <f>IF(OR(B3646="vi",B3646="ii",B3646="pod"),(((D3646/100)*(C3646*VLOOKUP(B3646,'Poids des runes'!A:B,2,FALSE)))+1),(((D3646/100)*(C3646*VLOOKUP(B3646,'Poids des runes'!A:B,2,FALSE)))+1)/VLOOKUP(B3646,'Poids des runes'!A:B,2,FALSE))</f>
        <v>6.0500000000000007</v>
      </c>
      <c r="F3646">
        <f t="shared" si="56"/>
        <v>6.0500000000000007</v>
      </c>
    </row>
    <row r="3647" spans="1:6" x14ac:dyDescent="0.3">
      <c r="A3647" t="s">
        <v>887</v>
      </c>
      <c r="B3647" t="s">
        <v>2146</v>
      </c>
      <c r="C3647">
        <v>5</v>
      </c>
      <c r="D3647">
        <v>111</v>
      </c>
      <c r="E3647">
        <f>IF(OR(B3647="vi",B3647="ii",B3647="pod"),(((D3647/100)*(C3647*VLOOKUP(B3647,'Poids des runes'!A:B,2,FALSE)))+1),(((D3647/100)*(C3647*VLOOKUP(B3647,'Poids des runes'!A:B,2,FALSE)))+1)/VLOOKUP(B3647,'Poids des runes'!A:B,2,FALSE))</f>
        <v>6.0500000000000007</v>
      </c>
      <c r="F3647">
        <f t="shared" si="56"/>
        <v>6.0500000000000007</v>
      </c>
    </row>
    <row r="3648" spans="1:6" x14ac:dyDescent="0.3">
      <c r="A3648" t="s">
        <v>888</v>
      </c>
      <c r="B3648" t="s">
        <v>2128</v>
      </c>
      <c r="C3648">
        <v>100.5</v>
      </c>
      <c r="D3648">
        <v>111</v>
      </c>
      <c r="E3648">
        <f>IF(OR(B3648="vi",B3648="ii",B3648="pod"),(((D3648/100)*(C3648*VLOOKUP(B3648,'Poids des runes'!A:B,2,FALSE)))+1),(((D3648/100)*(C3648*VLOOKUP(B3648,'Poids des runes'!A:B,2,FALSE)))+1)/VLOOKUP(B3648,'Poids des runes'!A:B,2,FALSE))</f>
        <v>23.311000000000003</v>
      </c>
      <c r="F3648">
        <f t="shared" si="56"/>
        <v>23.311000000000003</v>
      </c>
    </row>
    <row r="3649" spans="1:6" x14ac:dyDescent="0.3">
      <c r="A3649" t="s">
        <v>888</v>
      </c>
      <c r="B3649" t="s">
        <v>2126</v>
      </c>
      <c r="C3649">
        <v>30.5</v>
      </c>
      <c r="D3649">
        <v>111</v>
      </c>
      <c r="E3649">
        <f>IF(OR(B3649="vi",B3649="ii",B3649="pod"),(((D3649/100)*(C3649*VLOOKUP(B3649,'Poids des runes'!A:B,2,FALSE)))+1),(((D3649/100)*(C3649*VLOOKUP(B3649,'Poids des runes'!A:B,2,FALSE)))+1)/VLOOKUP(B3649,'Poids des runes'!A:B,2,FALSE))</f>
        <v>34.855000000000004</v>
      </c>
      <c r="F3649">
        <f t="shared" si="56"/>
        <v>34.855000000000004</v>
      </c>
    </row>
    <row r="3650" spans="1:6" x14ac:dyDescent="0.3">
      <c r="A3650" t="s">
        <v>888</v>
      </c>
      <c r="B3650" t="s">
        <v>2129</v>
      </c>
      <c r="C3650">
        <v>15.5</v>
      </c>
      <c r="D3650">
        <v>111</v>
      </c>
      <c r="E3650">
        <f>IF(OR(B3650="vi",B3650="ii",B3650="pod"),(((D3650/100)*(C3650*VLOOKUP(B3650,'Poids des runes'!A:B,2,FALSE)))+1),(((D3650/100)*(C3650*VLOOKUP(B3650,'Poids des runes'!A:B,2,FALSE)))+1)/VLOOKUP(B3650,'Poids des runes'!A:B,2,FALSE))</f>
        <v>18.205000000000002</v>
      </c>
      <c r="F3650">
        <f t="shared" si="56"/>
        <v>18.205000000000002</v>
      </c>
    </row>
    <row r="3651" spans="1:6" x14ac:dyDescent="0.3">
      <c r="A3651" t="s">
        <v>888</v>
      </c>
      <c r="B3651" t="s">
        <v>2151</v>
      </c>
      <c r="C3651">
        <v>2.5</v>
      </c>
      <c r="D3651">
        <v>111</v>
      </c>
      <c r="E3651">
        <f>IF(OR(B3651="vi",B3651="ii",B3651="pod"),(((D3651/100)*(C3651*VLOOKUP(B3651,'Poids des runes'!A:B,2,FALSE)))+1),(((D3651/100)*(C3651*VLOOKUP(B3651,'Poids des runes'!A:B,2,FALSE)))+1)/VLOOKUP(B3651,'Poids des runes'!A:B,2,FALSE))</f>
        <v>2.8750000000000004</v>
      </c>
      <c r="F3651">
        <f t="shared" ref="F3651:F3714" si="57">E3651</f>
        <v>2.8750000000000004</v>
      </c>
    </row>
    <row r="3652" spans="1:6" x14ac:dyDescent="0.3">
      <c r="A3652" t="s">
        <v>888</v>
      </c>
      <c r="B3652" t="s">
        <v>2154</v>
      </c>
      <c r="C3652">
        <v>1</v>
      </c>
      <c r="D3652">
        <v>111</v>
      </c>
      <c r="E3652">
        <f>IF(OR(B3652="vi",B3652="ii",B3652="pod"),(((D3652/100)*(C3652*VLOOKUP(B3652,'Poids des runes'!A:B,2,FALSE)))+1),(((D3652/100)*(C3652*VLOOKUP(B3652,'Poids des runes'!A:B,2,FALSE)))+1)/VLOOKUP(B3652,'Poids des runes'!A:B,2,FALSE))</f>
        <v>1.1211111111111112</v>
      </c>
      <c r="F3652">
        <f t="shared" si="57"/>
        <v>1.1211111111111112</v>
      </c>
    </row>
    <row r="3653" spans="1:6" x14ac:dyDescent="0.3">
      <c r="A3653" t="s">
        <v>888</v>
      </c>
      <c r="B3653" t="s">
        <v>2140</v>
      </c>
      <c r="C3653">
        <v>4</v>
      </c>
      <c r="D3653">
        <v>111</v>
      </c>
      <c r="E3653">
        <f>IF(OR(B3653="vi",B3653="ii",B3653="pod"),(((D3653/100)*(C3653*VLOOKUP(B3653,'Poids des runes'!A:B,2,FALSE)))+1),(((D3653/100)*(C3653*VLOOKUP(B3653,'Poids des runes'!A:B,2,FALSE)))+1)/VLOOKUP(B3653,'Poids des runes'!A:B,2,FALSE))</f>
        <v>4.6400000000000006</v>
      </c>
      <c r="F3653">
        <f t="shared" si="57"/>
        <v>4.6400000000000006</v>
      </c>
    </row>
    <row r="3654" spans="1:6" x14ac:dyDescent="0.3">
      <c r="A3654" t="s">
        <v>888</v>
      </c>
      <c r="B3654" t="s">
        <v>2149</v>
      </c>
      <c r="C3654">
        <v>2.5</v>
      </c>
      <c r="D3654">
        <v>111</v>
      </c>
      <c r="E3654">
        <f>IF(OR(B3654="vi",B3654="ii",B3654="pod"),(((D3654/100)*(C3654*VLOOKUP(B3654,'Poids des runes'!A:B,2,FALSE)))+1),(((D3654/100)*(C3654*VLOOKUP(B3654,'Poids des runes'!A:B,2,FALSE)))+1)/VLOOKUP(B3654,'Poids des runes'!A:B,2,FALSE))</f>
        <v>2.8750000000000004</v>
      </c>
      <c r="F3654">
        <f t="shared" si="57"/>
        <v>2.8750000000000004</v>
      </c>
    </row>
    <row r="3655" spans="1:6" x14ac:dyDescent="0.3">
      <c r="A3655" t="s">
        <v>888</v>
      </c>
      <c r="B3655" t="s">
        <v>2161</v>
      </c>
      <c r="C3655">
        <v>4.5</v>
      </c>
      <c r="D3655">
        <v>111</v>
      </c>
      <c r="E3655">
        <f>IF(OR(B3655="vi",B3655="ii",B3655="pod"),(((D3655/100)*(C3655*VLOOKUP(B3655,'Poids des runes'!A:B,2,FALSE)))+1),(((D3655/100)*(C3655*VLOOKUP(B3655,'Poids des runes'!A:B,2,FALSE)))+1)/VLOOKUP(B3655,'Poids des runes'!A:B,2,FALSE))</f>
        <v>5.328333333333334</v>
      </c>
      <c r="F3655">
        <f t="shared" si="57"/>
        <v>5.328333333333334</v>
      </c>
    </row>
    <row r="3656" spans="1:6" x14ac:dyDescent="0.3">
      <c r="A3656" t="s">
        <v>888</v>
      </c>
      <c r="B3656" t="s">
        <v>2165</v>
      </c>
      <c r="C3656">
        <v>3.5</v>
      </c>
      <c r="D3656">
        <v>111</v>
      </c>
      <c r="E3656">
        <f>IF(OR(B3656="vi",B3656="ii",B3656="pod"),(((D3656/100)*(C3656*VLOOKUP(B3656,'Poids des runes'!A:B,2,FALSE)))+1),(((D3656/100)*(C3656*VLOOKUP(B3656,'Poids des runes'!A:B,2,FALSE)))+1)/VLOOKUP(B3656,'Poids des runes'!A:B,2,FALSE))</f>
        <v>4.027857142857143</v>
      </c>
      <c r="F3656">
        <f t="shared" si="57"/>
        <v>4.027857142857143</v>
      </c>
    </row>
    <row r="3657" spans="1:6" x14ac:dyDescent="0.3">
      <c r="A3657" t="s">
        <v>888</v>
      </c>
      <c r="B3657" t="s">
        <v>2148</v>
      </c>
      <c r="C3657">
        <v>2.5</v>
      </c>
      <c r="D3657">
        <v>111</v>
      </c>
      <c r="E3657">
        <f>IF(OR(B3657="vi",B3657="ii",B3657="pod"),(((D3657/100)*(C3657*VLOOKUP(B3657,'Poids des runes'!A:B,2,FALSE)))+1),(((D3657/100)*(C3657*VLOOKUP(B3657,'Poids des runes'!A:B,2,FALSE)))+1)/VLOOKUP(B3657,'Poids des runes'!A:B,2,FALSE))</f>
        <v>2.9416666666666669</v>
      </c>
      <c r="F3657">
        <f t="shared" si="57"/>
        <v>2.9416666666666669</v>
      </c>
    </row>
    <row r="3658" spans="1:6" x14ac:dyDescent="0.3">
      <c r="A3658" t="s">
        <v>889</v>
      </c>
      <c r="B3658" t="s">
        <v>2128</v>
      </c>
      <c r="C3658">
        <v>125.5</v>
      </c>
      <c r="D3658">
        <v>113</v>
      </c>
      <c r="E3658">
        <f>IF(OR(B3658="vi",B3658="ii",B3658="pod"),(((D3658/100)*(C3658*VLOOKUP(B3658,'Poids des runes'!A:B,2,FALSE)))+1),(((D3658/100)*(C3658*VLOOKUP(B3658,'Poids des runes'!A:B,2,FALSE)))+1)/VLOOKUP(B3658,'Poids des runes'!A:B,2,FALSE))</f>
        <v>29.363</v>
      </c>
      <c r="F3658">
        <f t="shared" si="57"/>
        <v>29.363</v>
      </c>
    </row>
    <row r="3659" spans="1:6" x14ac:dyDescent="0.3">
      <c r="A3659" t="s">
        <v>889</v>
      </c>
      <c r="B3659" t="s">
        <v>2126</v>
      </c>
      <c r="C3659">
        <v>40.5</v>
      </c>
      <c r="D3659">
        <v>113</v>
      </c>
      <c r="E3659">
        <f>IF(OR(B3659="vi",B3659="ii",B3659="pod"),(((D3659/100)*(C3659*VLOOKUP(B3659,'Poids des runes'!A:B,2,FALSE)))+1),(((D3659/100)*(C3659*VLOOKUP(B3659,'Poids des runes'!A:B,2,FALSE)))+1)/VLOOKUP(B3659,'Poids des runes'!A:B,2,FALSE))</f>
        <v>46.764999999999993</v>
      </c>
      <c r="F3659">
        <f t="shared" si="57"/>
        <v>46.764999999999993</v>
      </c>
    </row>
    <row r="3660" spans="1:6" x14ac:dyDescent="0.3">
      <c r="A3660" t="s">
        <v>889</v>
      </c>
      <c r="B3660" t="s">
        <v>2129</v>
      </c>
      <c r="C3660">
        <v>25.5</v>
      </c>
      <c r="D3660">
        <v>113</v>
      </c>
      <c r="E3660">
        <f>IF(OR(B3660="vi",B3660="ii",B3660="pod"),(((D3660/100)*(C3660*VLOOKUP(B3660,'Poids des runes'!A:B,2,FALSE)))+1),(((D3660/100)*(C3660*VLOOKUP(B3660,'Poids des runes'!A:B,2,FALSE)))+1)/VLOOKUP(B3660,'Poids des runes'!A:B,2,FALSE))</f>
        <v>29.814999999999998</v>
      </c>
      <c r="F3660">
        <f t="shared" si="57"/>
        <v>29.814999999999998</v>
      </c>
    </row>
    <row r="3661" spans="1:6" x14ac:dyDescent="0.3">
      <c r="A3661" t="s">
        <v>889</v>
      </c>
      <c r="B3661" t="s">
        <v>2149</v>
      </c>
      <c r="C3661">
        <v>8</v>
      </c>
      <c r="D3661">
        <v>113</v>
      </c>
      <c r="E3661">
        <f>IF(OR(B3661="vi",B3661="ii",B3661="pod"),(((D3661/100)*(C3661*VLOOKUP(B3661,'Poids des runes'!A:B,2,FALSE)))+1),(((D3661/100)*(C3661*VLOOKUP(B3661,'Poids des runes'!A:B,2,FALSE)))+1)/VLOOKUP(B3661,'Poids des runes'!A:B,2,FALSE))</f>
        <v>9.1399999999999988</v>
      </c>
      <c r="F3661">
        <f t="shared" si="57"/>
        <v>9.1399999999999988</v>
      </c>
    </row>
    <row r="3662" spans="1:6" x14ac:dyDescent="0.3">
      <c r="A3662" t="s">
        <v>889</v>
      </c>
      <c r="B3662" t="s">
        <v>2135</v>
      </c>
      <c r="C3662">
        <v>8</v>
      </c>
      <c r="D3662">
        <v>113</v>
      </c>
      <c r="E3662">
        <f>IF(OR(B3662="vi",B3662="ii",B3662="pod"),(((D3662/100)*(C3662*VLOOKUP(B3662,'Poids des runes'!A:B,2,FALSE)))+1),(((D3662/100)*(C3662*VLOOKUP(B3662,'Poids des runes'!A:B,2,FALSE)))+1)/VLOOKUP(B3662,'Poids des runes'!A:B,2,FALSE))</f>
        <v>9.2066666666666652</v>
      </c>
      <c r="F3662">
        <f t="shared" si="57"/>
        <v>9.2066666666666652</v>
      </c>
    </row>
    <row r="3663" spans="1:6" x14ac:dyDescent="0.3">
      <c r="A3663" t="s">
        <v>889</v>
      </c>
      <c r="B3663" t="s">
        <v>2157</v>
      </c>
      <c r="C3663">
        <v>8</v>
      </c>
      <c r="D3663">
        <v>113</v>
      </c>
      <c r="E3663">
        <f>IF(OR(B3663="vi",B3663="ii",B3663="pod"),(((D3663/100)*(C3663*VLOOKUP(B3663,'Poids des runes'!A:B,2,FALSE)))+1),(((D3663/100)*(C3663*VLOOKUP(B3663,'Poids des runes'!A:B,2,FALSE)))+1)/VLOOKUP(B3663,'Poids des runes'!A:B,2,FALSE))</f>
        <v>9.2066666666666652</v>
      </c>
      <c r="F3663">
        <f t="shared" si="57"/>
        <v>9.2066666666666652</v>
      </c>
    </row>
    <row r="3664" spans="1:6" x14ac:dyDescent="0.3">
      <c r="A3664" t="s">
        <v>890</v>
      </c>
      <c r="B3664" t="s">
        <v>2128</v>
      </c>
      <c r="C3664">
        <v>125.5</v>
      </c>
      <c r="D3664">
        <v>113</v>
      </c>
      <c r="E3664">
        <f>IF(OR(B3664="vi",B3664="ii",B3664="pod"),(((D3664/100)*(C3664*VLOOKUP(B3664,'Poids des runes'!A:B,2,FALSE)))+1),(((D3664/100)*(C3664*VLOOKUP(B3664,'Poids des runes'!A:B,2,FALSE)))+1)/VLOOKUP(B3664,'Poids des runes'!A:B,2,FALSE))</f>
        <v>29.363</v>
      </c>
      <c r="F3664">
        <f t="shared" si="57"/>
        <v>29.363</v>
      </c>
    </row>
    <row r="3665" spans="1:6" x14ac:dyDescent="0.3">
      <c r="A3665" t="s">
        <v>890</v>
      </c>
      <c r="B3665" t="s">
        <v>2126</v>
      </c>
      <c r="C3665">
        <v>20.5</v>
      </c>
      <c r="D3665">
        <v>113</v>
      </c>
      <c r="E3665">
        <f>IF(OR(B3665="vi",B3665="ii",B3665="pod"),(((D3665/100)*(C3665*VLOOKUP(B3665,'Poids des runes'!A:B,2,FALSE)))+1),(((D3665/100)*(C3665*VLOOKUP(B3665,'Poids des runes'!A:B,2,FALSE)))+1)/VLOOKUP(B3665,'Poids des runes'!A:B,2,FALSE))</f>
        <v>24.164999999999999</v>
      </c>
      <c r="F3665">
        <f t="shared" si="57"/>
        <v>24.164999999999999</v>
      </c>
    </row>
    <row r="3666" spans="1:6" x14ac:dyDescent="0.3">
      <c r="A3666" t="s">
        <v>890</v>
      </c>
      <c r="B3666" t="s">
        <v>2131</v>
      </c>
      <c r="C3666">
        <v>20.5</v>
      </c>
      <c r="D3666">
        <v>113</v>
      </c>
      <c r="E3666">
        <f>IF(OR(B3666="vi",B3666="ii",B3666="pod"),(((D3666/100)*(C3666*VLOOKUP(B3666,'Poids des runes'!A:B,2,FALSE)))+1),(((D3666/100)*(C3666*VLOOKUP(B3666,'Poids des runes'!A:B,2,FALSE)))+1)/VLOOKUP(B3666,'Poids des runes'!A:B,2,FALSE))</f>
        <v>24.164999999999999</v>
      </c>
      <c r="F3666">
        <f t="shared" si="57"/>
        <v>24.164999999999999</v>
      </c>
    </row>
    <row r="3667" spans="1:6" x14ac:dyDescent="0.3">
      <c r="A3667" t="s">
        <v>890</v>
      </c>
      <c r="B3667" t="s">
        <v>2129</v>
      </c>
      <c r="C3667">
        <v>18</v>
      </c>
      <c r="D3667">
        <v>113</v>
      </c>
      <c r="E3667">
        <f>IF(OR(B3667="vi",B3667="ii",B3667="pod"),(((D3667/100)*(C3667*VLOOKUP(B3667,'Poids des runes'!A:B,2,FALSE)))+1),(((D3667/100)*(C3667*VLOOKUP(B3667,'Poids des runes'!A:B,2,FALSE)))+1)/VLOOKUP(B3667,'Poids des runes'!A:B,2,FALSE))</f>
        <v>21.339999999999996</v>
      </c>
      <c r="F3667">
        <f t="shared" si="57"/>
        <v>21.339999999999996</v>
      </c>
    </row>
    <row r="3668" spans="1:6" x14ac:dyDescent="0.3">
      <c r="A3668" t="s">
        <v>890</v>
      </c>
      <c r="B3668" t="s">
        <v>2154</v>
      </c>
      <c r="C3668">
        <v>1</v>
      </c>
      <c r="D3668">
        <v>113</v>
      </c>
      <c r="E3668">
        <f>IF(OR(B3668="vi",B3668="ii",B3668="pod"),(((D3668/100)*(C3668*VLOOKUP(B3668,'Poids des runes'!A:B,2,FALSE)))+1),(((D3668/100)*(C3668*VLOOKUP(B3668,'Poids des runes'!A:B,2,FALSE)))+1)/VLOOKUP(B3668,'Poids des runes'!A:B,2,FALSE))</f>
        <v>1.141111111111111</v>
      </c>
      <c r="F3668">
        <f t="shared" si="57"/>
        <v>1.141111111111111</v>
      </c>
    </row>
    <row r="3669" spans="1:6" x14ac:dyDescent="0.3">
      <c r="A3669" t="s">
        <v>890</v>
      </c>
      <c r="B3669" t="s">
        <v>2150</v>
      </c>
      <c r="C3669">
        <v>1</v>
      </c>
      <c r="D3669">
        <v>113</v>
      </c>
      <c r="E3669">
        <f>IF(OR(B3669="vi",B3669="ii",B3669="pod"),(((D3669/100)*(C3669*VLOOKUP(B3669,'Poids des runes'!A:B,2,FALSE)))+1),(((D3669/100)*(C3669*VLOOKUP(B3669,'Poids des runes'!A:B,2,FALSE)))+1)/VLOOKUP(B3669,'Poids des runes'!A:B,2,FALSE))</f>
        <v>1.1633333333333333</v>
      </c>
      <c r="F3669">
        <f t="shared" si="57"/>
        <v>1.1633333333333333</v>
      </c>
    </row>
    <row r="3670" spans="1:6" x14ac:dyDescent="0.3">
      <c r="A3670" t="s">
        <v>890</v>
      </c>
      <c r="B3670" t="s">
        <v>2149</v>
      </c>
      <c r="C3670">
        <v>4</v>
      </c>
      <c r="D3670">
        <v>113</v>
      </c>
      <c r="E3670">
        <f>IF(OR(B3670="vi",B3670="ii",B3670="pod"),(((D3670/100)*(C3670*VLOOKUP(B3670,'Poids des runes'!A:B,2,FALSE)))+1),(((D3670/100)*(C3670*VLOOKUP(B3670,'Poids des runes'!A:B,2,FALSE)))+1)/VLOOKUP(B3670,'Poids des runes'!A:B,2,FALSE))</f>
        <v>4.6199999999999992</v>
      </c>
      <c r="F3670">
        <f t="shared" si="57"/>
        <v>4.6199999999999992</v>
      </c>
    </row>
    <row r="3671" spans="1:6" x14ac:dyDescent="0.3">
      <c r="A3671" t="s">
        <v>890</v>
      </c>
      <c r="B3671" t="s">
        <v>2161</v>
      </c>
      <c r="C3671">
        <v>8</v>
      </c>
      <c r="D3671">
        <v>113</v>
      </c>
      <c r="E3671">
        <f>IF(OR(B3671="vi",B3671="ii",B3671="pod"),(((D3671/100)*(C3671*VLOOKUP(B3671,'Poids des runes'!A:B,2,FALSE)))+1),(((D3671/100)*(C3671*VLOOKUP(B3671,'Poids des runes'!A:B,2,FALSE)))+1)/VLOOKUP(B3671,'Poids des runes'!A:B,2,FALSE))</f>
        <v>9.3733333333333331</v>
      </c>
      <c r="F3671">
        <f t="shared" si="57"/>
        <v>9.3733333333333331</v>
      </c>
    </row>
    <row r="3672" spans="1:6" x14ac:dyDescent="0.3">
      <c r="A3672" t="s">
        <v>890</v>
      </c>
      <c r="B3672" t="s">
        <v>2147</v>
      </c>
      <c r="C3672">
        <v>4</v>
      </c>
      <c r="D3672">
        <v>113</v>
      </c>
      <c r="E3672">
        <f>IF(OR(B3672="vi",B3672="ii",B3672="pod"),(((D3672/100)*(C3672*VLOOKUP(B3672,'Poids des runes'!A:B,2,FALSE)))+1),(((D3672/100)*(C3672*VLOOKUP(B3672,'Poids des runes'!A:B,2,FALSE)))+1)/VLOOKUP(B3672,'Poids des runes'!A:B,2,FALSE))</f>
        <v>4.6866666666666665</v>
      </c>
      <c r="F3672">
        <f t="shared" si="57"/>
        <v>4.6866666666666665</v>
      </c>
    </row>
    <row r="3673" spans="1:6" x14ac:dyDescent="0.3">
      <c r="A3673" t="s">
        <v>891</v>
      </c>
      <c r="B3673" t="s">
        <v>2128</v>
      </c>
      <c r="C3673">
        <v>85.5</v>
      </c>
      <c r="D3673">
        <v>113</v>
      </c>
      <c r="E3673">
        <f>IF(OR(B3673="vi",B3673="ii",B3673="pod"),(((D3673/100)*(C3673*VLOOKUP(B3673,'Poids des runes'!A:B,2,FALSE)))+1),(((D3673/100)*(C3673*VLOOKUP(B3673,'Poids des runes'!A:B,2,FALSE)))+1)/VLOOKUP(B3673,'Poids des runes'!A:B,2,FALSE))</f>
        <v>20.323</v>
      </c>
      <c r="F3673">
        <f t="shared" si="57"/>
        <v>20.323</v>
      </c>
    </row>
    <row r="3674" spans="1:6" x14ac:dyDescent="0.3">
      <c r="A3674" t="s">
        <v>891</v>
      </c>
      <c r="B3674" t="s">
        <v>2130</v>
      </c>
      <c r="C3674">
        <v>20.5</v>
      </c>
      <c r="D3674">
        <v>113</v>
      </c>
      <c r="E3674">
        <f>IF(OR(B3674="vi",B3674="ii",B3674="pod"),(((D3674/100)*(C3674*VLOOKUP(B3674,'Poids des runes'!A:B,2,FALSE)))+1),(((D3674/100)*(C3674*VLOOKUP(B3674,'Poids des runes'!A:B,2,FALSE)))+1)/VLOOKUP(B3674,'Poids des runes'!A:B,2,FALSE))</f>
        <v>24.164999999999999</v>
      </c>
      <c r="F3674">
        <f t="shared" si="57"/>
        <v>24.164999999999999</v>
      </c>
    </row>
    <row r="3675" spans="1:6" x14ac:dyDescent="0.3">
      <c r="A3675" t="s">
        <v>891</v>
      </c>
      <c r="B3675" t="s">
        <v>2126</v>
      </c>
      <c r="C3675">
        <v>20.5</v>
      </c>
      <c r="D3675">
        <v>113</v>
      </c>
      <c r="E3675">
        <f>IF(OR(B3675="vi",B3675="ii",B3675="pod"),(((D3675/100)*(C3675*VLOOKUP(B3675,'Poids des runes'!A:B,2,FALSE)))+1),(((D3675/100)*(C3675*VLOOKUP(B3675,'Poids des runes'!A:B,2,FALSE)))+1)/VLOOKUP(B3675,'Poids des runes'!A:B,2,FALSE))</f>
        <v>24.164999999999999</v>
      </c>
      <c r="F3675">
        <f t="shared" si="57"/>
        <v>24.164999999999999</v>
      </c>
    </row>
    <row r="3676" spans="1:6" x14ac:dyDescent="0.3">
      <c r="A3676" t="s">
        <v>891</v>
      </c>
      <c r="B3676" t="s">
        <v>2131</v>
      </c>
      <c r="C3676">
        <v>20.5</v>
      </c>
      <c r="D3676">
        <v>113</v>
      </c>
      <c r="E3676">
        <f>IF(OR(B3676="vi",B3676="ii",B3676="pod"),(((D3676/100)*(C3676*VLOOKUP(B3676,'Poids des runes'!A:B,2,FALSE)))+1),(((D3676/100)*(C3676*VLOOKUP(B3676,'Poids des runes'!A:B,2,FALSE)))+1)/VLOOKUP(B3676,'Poids des runes'!A:B,2,FALSE))</f>
        <v>24.164999999999999</v>
      </c>
      <c r="F3676">
        <f t="shared" si="57"/>
        <v>24.164999999999999</v>
      </c>
    </row>
    <row r="3677" spans="1:6" x14ac:dyDescent="0.3">
      <c r="A3677" t="s">
        <v>891</v>
      </c>
      <c r="B3677" t="s">
        <v>2129</v>
      </c>
      <c r="C3677">
        <v>13</v>
      </c>
      <c r="D3677">
        <v>113</v>
      </c>
      <c r="E3677">
        <f>IF(OR(B3677="vi",B3677="ii",B3677="pod"),(((D3677/100)*(C3677*VLOOKUP(B3677,'Poids des runes'!A:B,2,FALSE)))+1),(((D3677/100)*(C3677*VLOOKUP(B3677,'Poids des runes'!A:B,2,FALSE)))+1)/VLOOKUP(B3677,'Poids des runes'!A:B,2,FALSE))</f>
        <v>15.689999999999998</v>
      </c>
      <c r="F3677">
        <f t="shared" si="57"/>
        <v>15.689999999999998</v>
      </c>
    </row>
    <row r="3678" spans="1:6" x14ac:dyDescent="0.3">
      <c r="A3678" t="s">
        <v>891</v>
      </c>
      <c r="B3678" t="s">
        <v>2139</v>
      </c>
      <c r="C3678">
        <v>25.5</v>
      </c>
      <c r="D3678">
        <v>113</v>
      </c>
      <c r="E3678">
        <f>IF(OR(B3678="vi",B3678="ii",B3678="pod"),(((D3678/100)*(C3678*VLOOKUP(B3678,'Poids des runes'!A:B,2,FALSE)))+1),(((D3678/100)*(C3678*VLOOKUP(B3678,'Poids des runes'!A:B,2,FALSE)))+1)/VLOOKUP(B3678,'Poids des runes'!A:B,2,FALSE))</f>
        <v>29.314999999999998</v>
      </c>
      <c r="F3678">
        <f t="shared" si="57"/>
        <v>29.314999999999998</v>
      </c>
    </row>
    <row r="3679" spans="1:6" x14ac:dyDescent="0.3">
      <c r="A3679" t="s">
        <v>891</v>
      </c>
      <c r="B3679" t="s">
        <v>2154</v>
      </c>
      <c r="C3679">
        <v>1</v>
      </c>
      <c r="D3679">
        <v>113</v>
      </c>
      <c r="E3679">
        <f>IF(OR(B3679="vi",B3679="ii",B3679="pod"),(((D3679/100)*(C3679*VLOOKUP(B3679,'Poids des runes'!A:B,2,FALSE)))+1),(((D3679/100)*(C3679*VLOOKUP(B3679,'Poids des runes'!A:B,2,FALSE)))+1)/VLOOKUP(B3679,'Poids des runes'!A:B,2,FALSE))</f>
        <v>1.141111111111111</v>
      </c>
      <c r="F3679">
        <f t="shared" si="57"/>
        <v>1.141111111111111</v>
      </c>
    </row>
    <row r="3680" spans="1:6" x14ac:dyDescent="0.3">
      <c r="A3680" t="s">
        <v>891</v>
      </c>
      <c r="B3680" t="s">
        <v>2132</v>
      </c>
      <c r="C3680">
        <v>90.5</v>
      </c>
      <c r="D3680">
        <v>113</v>
      </c>
      <c r="E3680">
        <f>IF(OR(B3680="vi",B3680="ii",B3680="pod"),(((D3680/100)*(C3680*VLOOKUP(B3680,'Poids des runes'!A:B,2,FALSE)))+1),(((D3680/100)*(C3680*VLOOKUP(B3680,'Poids des runes'!A:B,2,FALSE)))+1)/VLOOKUP(B3680,'Poids des runes'!A:B,2,FALSE))</f>
        <v>11.2265</v>
      </c>
      <c r="F3680">
        <f t="shared" si="57"/>
        <v>11.2265</v>
      </c>
    </row>
    <row r="3681" spans="1:6" x14ac:dyDescent="0.3">
      <c r="A3681" t="s">
        <v>891</v>
      </c>
      <c r="B3681" t="s">
        <v>2164</v>
      </c>
      <c r="C3681">
        <v>8</v>
      </c>
      <c r="D3681">
        <v>113</v>
      </c>
      <c r="E3681">
        <f>IF(OR(B3681="vi",B3681="ii",B3681="pod"),(((D3681/100)*(C3681*VLOOKUP(B3681,'Poids des runes'!A:B,2,FALSE)))+1),(((D3681/100)*(C3681*VLOOKUP(B3681,'Poids des runes'!A:B,2,FALSE)))+1)/VLOOKUP(B3681,'Poids des runes'!A:B,2,FALSE))</f>
        <v>9.5399999999999991</v>
      </c>
      <c r="F3681">
        <f t="shared" si="57"/>
        <v>9.5399999999999991</v>
      </c>
    </row>
    <row r="3682" spans="1:6" x14ac:dyDescent="0.3">
      <c r="A3682" t="s">
        <v>891</v>
      </c>
      <c r="B3682" t="s">
        <v>2156</v>
      </c>
      <c r="C3682">
        <v>2.5</v>
      </c>
      <c r="D3682">
        <v>113</v>
      </c>
      <c r="E3682">
        <f>IF(OR(B3682="vi",B3682="ii",B3682="pod"),(((D3682/100)*(C3682*VLOOKUP(B3682,'Poids des runes'!A:B,2,FALSE)))+1),(((D3682/100)*(C3682*VLOOKUP(B3682,'Poids des runes'!A:B,2,FALSE)))+1)/VLOOKUP(B3682,'Poids des runes'!A:B,2,FALSE))</f>
        <v>2.9916666666666667</v>
      </c>
      <c r="F3682">
        <f t="shared" si="57"/>
        <v>2.9916666666666667</v>
      </c>
    </row>
    <row r="3683" spans="1:6" x14ac:dyDescent="0.3">
      <c r="A3683" t="s">
        <v>891</v>
      </c>
      <c r="B3683" t="s">
        <v>2157</v>
      </c>
      <c r="C3683">
        <v>2.5</v>
      </c>
      <c r="D3683">
        <v>113</v>
      </c>
      <c r="E3683">
        <f>IF(OR(B3683="vi",B3683="ii",B3683="pod"),(((D3683/100)*(C3683*VLOOKUP(B3683,'Poids des runes'!A:B,2,FALSE)))+1),(((D3683/100)*(C3683*VLOOKUP(B3683,'Poids des runes'!A:B,2,FALSE)))+1)/VLOOKUP(B3683,'Poids des runes'!A:B,2,FALSE))</f>
        <v>2.9916666666666667</v>
      </c>
      <c r="F3683">
        <f t="shared" si="57"/>
        <v>2.9916666666666667</v>
      </c>
    </row>
    <row r="3684" spans="1:6" x14ac:dyDescent="0.3">
      <c r="A3684" t="s">
        <v>892</v>
      </c>
      <c r="B3684" t="s">
        <v>2128</v>
      </c>
      <c r="C3684">
        <v>105.5</v>
      </c>
      <c r="D3684">
        <v>113</v>
      </c>
      <c r="E3684">
        <f>IF(OR(B3684="vi",B3684="ii",B3684="pod"),(((D3684/100)*(C3684*VLOOKUP(B3684,'Poids des runes'!A:B,2,FALSE)))+1),(((D3684/100)*(C3684*VLOOKUP(B3684,'Poids des runes'!A:B,2,FALSE)))+1)/VLOOKUP(B3684,'Poids des runes'!A:B,2,FALSE))</f>
        <v>24.843</v>
      </c>
      <c r="F3684">
        <f t="shared" si="57"/>
        <v>24.843</v>
      </c>
    </row>
    <row r="3685" spans="1:6" x14ac:dyDescent="0.3">
      <c r="A3685" t="s">
        <v>892</v>
      </c>
      <c r="B3685" t="s">
        <v>2130</v>
      </c>
      <c r="C3685">
        <v>25.5</v>
      </c>
      <c r="D3685">
        <v>113</v>
      </c>
      <c r="E3685">
        <f>IF(OR(B3685="vi",B3685="ii",B3685="pod"),(((D3685/100)*(C3685*VLOOKUP(B3685,'Poids des runes'!A:B,2,FALSE)))+1),(((D3685/100)*(C3685*VLOOKUP(B3685,'Poids des runes'!A:B,2,FALSE)))+1)/VLOOKUP(B3685,'Poids des runes'!A:B,2,FALSE))</f>
        <v>29.814999999999998</v>
      </c>
      <c r="F3685">
        <f t="shared" si="57"/>
        <v>29.814999999999998</v>
      </c>
    </row>
    <row r="3686" spans="1:6" x14ac:dyDescent="0.3">
      <c r="A3686" t="s">
        <v>892</v>
      </c>
      <c r="B3686" t="s">
        <v>2131</v>
      </c>
      <c r="C3686">
        <v>33</v>
      </c>
      <c r="D3686">
        <v>113</v>
      </c>
      <c r="E3686">
        <f>IF(OR(B3686="vi",B3686="ii",B3686="pod"),(((D3686/100)*(C3686*VLOOKUP(B3686,'Poids des runes'!A:B,2,FALSE)))+1),(((D3686/100)*(C3686*VLOOKUP(B3686,'Poids des runes'!A:B,2,FALSE)))+1)/VLOOKUP(B3686,'Poids des runes'!A:B,2,FALSE))</f>
        <v>38.29</v>
      </c>
      <c r="F3686">
        <f t="shared" si="57"/>
        <v>38.29</v>
      </c>
    </row>
    <row r="3687" spans="1:6" x14ac:dyDescent="0.3">
      <c r="A3687" t="s">
        <v>892</v>
      </c>
      <c r="B3687" t="s">
        <v>2129</v>
      </c>
      <c r="C3687">
        <v>30.5</v>
      </c>
      <c r="D3687">
        <v>113</v>
      </c>
      <c r="E3687">
        <f>IF(OR(B3687="vi",B3687="ii",B3687="pod"),(((D3687/100)*(C3687*VLOOKUP(B3687,'Poids des runes'!A:B,2,FALSE)))+1),(((D3687/100)*(C3687*VLOOKUP(B3687,'Poids des runes'!A:B,2,FALSE)))+1)/VLOOKUP(B3687,'Poids des runes'!A:B,2,FALSE))</f>
        <v>35.464999999999996</v>
      </c>
      <c r="F3687">
        <f t="shared" si="57"/>
        <v>35.464999999999996</v>
      </c>
    </row>
    <row r="3688" spans="1:6" x14ac:dyDescent="0.3">
      <c r="A3688" t="s">
        <v>892</v>
      </c>
      <c r="B3688" t="s">
        <v>2161</v>
      </c>
      <c r="C3688">
        <v>8</v>
      </c>
      <c r="D3688">
        <v>113</v>
      </c>
      <c r="E3688">
        <f>IF(OR(B3688="vi",B3688="ii",B3688="pod"),(((D3688/100)*(C3688*VLOOKUP(B3688,'Poids des runes'!A:B,2,FALSE)))+1),(((D3688/100)*(C3688*VLOOKUP(B3688,'Poids des runes'!A:B,2,FALSE)))+1)/VLOOKUP(B3688,'Poids des runes'!A:B,2,FALSE))</f>
        <v>9.3733333333333331</v>
      </c>
      <c r="F3688">
        <f t="shared" si="57"/>
        <v>9.3733333333333331</v>
      </c>
    </row>
    <row r="3689" spans="1:6" x14ac:dyDescent="0.3">
      <c r="A3689" t="s">
        <v>892</v>
      </c>
      <c r="B3689" t="s">
        <v>2148</v>
      </c>
      <c r="C3689">
        <v>5</v>
      </c>
      <c r="D3689">
        <v>113</v>
      </c>
      <c r="E3689">
        <f>IF(OR(B3689="vi",B3689="ii",B3689="pod"),(((D3689/100)*(C3689*VLOOKUP(B3689,'Poids des runes'!A:B,2,FALSE)))+1),(((D3689/100)*(C3689*VLOOKUP(B3689,'Poids des runes'!A:B,2,FALSE)))+1)/VLOOKUP(B3689,'Poids des runes'!A:B,2,FALSE))</f>
        <v>5.8166666666666664</v>
      </c>
      <c r="F3689">
        <f t="shared" si="57"/>
        <v>5.8166666666666664</v>
      </c>
    </row>
    <row r="3690" spans="1:6" x14ac:dyDescent="0.3">
      <c r="A3690" t="s">
        <v>892</v>
      </c>
      <c r="B3690" t="s">
        <v>2135</v>
      </c>
      <c r="C3690">
        <v>5</v>
      </c>
      <c r="D3690">
        <v>113</v>
      </c>
      <c r="E3690">
        <f>IF(OR(B3690="vi",B3690="ii",B3690="pod"),(((D3690/100)*(C3690*VLOOKUP(B3690,'Poids des runes'!A:B,2,FALSE)))+1),(((D3690/100)*(C3690*VLOOKUP(B3690,'Poids des runes'!A:B,2,FALSE)))+1)/VLOOKUP(B3690,'Poids des runes'!A:B,2,FALSE))</f>
        <v>5.8166666666666664</v>
      </c>
      <c r="F3690">
        <f t="shared" si="57"/>
        <v>5.8166666666666664</v>
      </c>
    </row>
    <row r="3691" spans="1:6" x14ac:dyDescent="0.3">
      <c r="A3691" t="s">
        <v>893</v>
      </c>
      <c r="B3691" t="s">
        <v>2128</v>
      </c>
      <c r="C3691">
        <v>100.5</v>
      </c>
      <c r="D3691">
        <v>114</v>
      </c>
      <c r="E3691">
        <f>IF(OR(B3691="vi",B3691="ii",B3691="pod"),(((D3691/100)*(C3691*VLOOKUP(B3691,'Poids des runes'!A:B,2,FALSE)))+1),(((D3691/100)*(C3691*VLOOKUP(B3691,'Poids des runes'!A:B,2,FALSE)))+1)/VLOOKUP(B3691,'Poids des runes'!A:B,2,FALSE))</f>
        <v>23.913999999999998</v>
      </c>
      <c r="F3691">
        <f t="shared" si="57"/>
        <v>23.913999999999998</v>
      </c>
    </row>
    <row r="3692" spans="1:6" x14ac:dyDescent="0.3">
      <c r="A3692" t="s">
        <v>893</v>
      </c>
      <c r="B3692" t="s">
        <v>2126</v>
      </c>
      <c r="C3692">
        <v>35.5</v>
      </c>
      <c r="D3692">
        <v>114</v>
      </c>
      <c r="E3692">
        <f>IF(OR(B3692="vi",B3692="ii",B3692="pod"),(((D3692/100)*(C3692*VLOOKUP(B3692,'Poids des runes'!A:B,2,FALSE)))+1),(((D3692/100)*(C3692*VLOOKUP(B3692,'Poids des runes'!A:B,2,FALSE)))+1)/VLOOKUP(B3692,'Poids des runes'!A:B,2,FALSE))</f>
        <v>41.47</v>
      </c>
      <c r="F3692">
        <f t="shared" si="57"/>
        <v>41.47</v>
      </c>
    </row>
    <row r="3693" spans="1:6" x14ac:dyDescent="0.3">
      <c r="A3693" t="s">
        <v>893</v>
      </c>
      <c r="B3693" t="s">
        <v>2129</v>
      </c>
      <c r="C3693">
        <v>18</v>
      </c>
      <c r="D3693">
        <v>114</v>
      </c>
      <c r="E3693">
        <f>IF(OR(B3693="vi",B3693="ii",B3693="pod"),(((D3693/100)*(C3693*VLOOKUP(B3693,'Poids des runes'!A:B,2,FALSE)))+1),(((D3693/100)*(C3693*VLOOKUP(B3693,'Poids des runes'!A:B,2,FALSE)))+1)/VLOOKUP(B3693,'Poids des runes'!A:B,2,FALSE))</f>
        <v>21.52</v>
      </c>
      <c r="F3693">
        <f t="shared" si="57"/>
        <v>21.52</v>
      </c>
    </row>
    <row r="3694" spans="1:6" x14ac:dyDescent="0.3">
      <c r="A3694" t="s">
        <v>893</v>
      </c>
      <c r="B3694" t="s">
        <v>2151</v>
      </c>
      <c r="C3694">
        <v>2.5</v>
      </c>
      <c r="D3694">
        <v>114</v>
      </c>
      <c r="E3694">
        <f>IF(OR(B3694="vi",B3694="ii",B3694="pod"),(((D3694/100)*(C3694*VLOOKUP(B3694,'Poids des runes'!A:B,2,FALSE)))+1),(((D3694/100)*(C3694*VLOOKUP(B3694,'Poids des runes'!A:B,2,FALSE)))+1)/VLOOKUP(B3694,'Poids des runes'!A:B,2,FALSE))</f>
        <v>2.9499999999999997</v>
      </c>
      <c r="F3694">
        <f t="shared" si="57"/>
        <v>2.9499999999999997</v>
      </c>
    </row>
    <row r="3695" spans="1:6" x14ac:dyDescent="0.3">
      <c r="A3695" t="s">
        <v>893</v>
      </c>
      <c r="B3695" t="s">
        <v>2150</v>
      </c>
      <c r="C3695">
        <v>1</v>
      </c>
      <c r="D3695">
        <v>114</v>
      </c>
      <c r="E3695">
        <f>IF(OR(B3695="vi",B3695="ii",B3695="pod"),(((D3695/100)*(C3695*VLOOKUP(B3695,'Poids des runes'!A:B,2,FALSE)))+1),(((D3695/100)*(C3695*VLOOKUP(B3695,'Poids des runes'!A:B,2,FALSE)))+1)/VLOOKUP(B3695,'Poids des runes'!A:B,2,FALSE))</f>
        <v>1.1733333333333331</v>
      </c>
      <c r="F3695">
        <f t="shared" si="57"/>
        <v>1.1733333333333331</v>
      </c>
    </row>
    <row r="3696" spans="1:6" x14ac:dyDescent="0.3">
      <c r="A3696" t="s">
        <v>893</v>
      </c>
      <c r="B3696" t="s">
        <v>2140</v>
      </c>
      <c r="C3696">
        <v>5</v>
      </c>
      <c r="D3696">
        <v>114</v>
      </c>
      <c r="E3696">
        <f>IF(OR(B3696="vi",B3696="ii",B3696="pod"),(((D3696/100)*(C3696*VLOOKUP(B3696,'Poids des runes'!A:B,2,FALSE)))+1),(((D3696/100)*(C3696*VLOOKUP(B3696,'Poids des runes'!A:B,2,FALSE)))+1)/VLOOKUP(B3696,'Poids des runes'!A:B,2,FALSE))</f>
        <v>5.8999999999999995</v>
      </c>
      <c r="F3696">
        <f t="shared" si="57"/>
        <v>5.8999999999999995</v>
      </c>
    </row>
    <row r="3697" spans="1:6" x14ac:dyDescent="0.3">
      <c r="A3697" t="s">
        <v>893</v>
      </c>
      <c r="B3697" t="s">
        <v>2133</v>
      </c>
      <c r="C3697">
        <v>5</v>
      </c>
      <c r="D3697">
        <v>114</v>
      </c>
      <c r="E3697">
        <f>IF(OR(B3697="vi",B3697="ii",B3697="pod"),(((D3697/100)*(C3697*VLOOKUP(B3697,'Poids des runes'!A:B,2,FALSE)))+1),(((D3697/100)*(C3697*VLOOKUP(B3697,'Poids des runes'!A:B,2,FALSE)))+1)/VLOOKUP(B3697,'Poids des runes'!A:B,2,FALSE))</f>
        <v>5.8999999999999995</v>
      </c>
      <c r="F3697">
        <f t="shared" si="57"/>
        <v>5.8999999999999995</v>
      </c>
    </row>
    <row r="3698" spans="1:6" x14ac:dyDescent="0.3">
      <c r="A3698" t="s">
        <v>893</v>
      </c>
      <c r="B3698" t="s">
        <v>2161</v>
      </c>
      <c r="C3698">
        <v>8.5</v>
      </c>
      <c r="D3698">
        <v>114</v>
      </c>
      <c r="E3698">
        <f>IF(OR(B3698="vi",B3698="ii",B3698="pod"),(((D3698/100)*(C3698*VLOOKUP(B3698,'Poids des runes'!A:B,2,FALSE)))+1),(((D3698/100)*(C3698*VLOOKUP(B3698,'Poids des runes'!A:B,2,FALSE)))+1)/VLOOKUP(B3698,'Poids des runes'!A:B,2,FALSE))</f>
        <v>10.023333333333332</v>
      </c>
      <c r="F3698">
        <f t="shared" si="57"/>
        <v>10.023333333333332</v>
      </c>
    </row>
    <row r="3699" spans="1:6" x14ac:dyDescent="0.3">
      <c r="A3699" t="s">
        <v>893</v>
      </c>
      <c r="B3699" t="s">
        <v>2138</v>
      </c>
      <c r="C3699">
        <v>3.5</v>
      </c>
      <c r="D3699">
        <v>114</v>
      </c>
      <c r="E3699">
        <f>IF(OR(B3699="vi",B3699="ii",B3699="pod"),(((D3699/100)*(C3699*VLOOKUP(B3699,'Poids des runes'!A:B,2,FALSE)))+1),(((D3699/100)*(C3699*VLOOKUP(B3699,'Poids des runes'!A:B,2,FALSE)))+1)/VLOOKUP(B3699,'Poids des runes'!A:B,2,FALSE))</f>
        <v>4.24</v>
      </c>
      <c r="F3699">
        <f t="shared" si="57"/>
        <v>4.24</v>
      </c>
    </row>
    <row r="3700" spans="1:6" x14ac:dyDescent="0.3">
      <c r="A3700" t="s">
        <v>893</v>
      </c>
      <c r="B3700" t="s">
        <v>2163</v>
      </c>
      <c r="C3700">
        <v>10</v>
      </c>
      <c r="D3700">
        <v>114</v>
      </c>
      <c r="E3700">
        <f>IF(OR(B3700="vi",B3700="ii",B3700="pod"),(((D3700/100)*(C3700*VLOOKUP(B3700,'Poids des runes'!A:B,2,FALSE)))+1),(((D3700/100)*(C3700*VLOOKUP(B3700,'Poids des runes'!A:B,2,FALSE)))+1)/VLOOKUP(B3700,'Poids des runes'!A:B,2,FALSE))</f>
        <v>11.899999999999999</v>
      </c>
      <c r="F3700">
        <f t="shared" si="57"/>
        <v>11.899999999999999</v>
      </c>
    </row>
    <row r="3701" spans="1:6" x14ac:dyDescent="0.3">
      <c r="A3701" t="s">
        <v>893</v>
      </c>
      <c r="B3701" t="s">
        <v>2148</v>
      </c>
      <c r="C3701">
        <v>3.5</v>
      </c>
      <c r="D3701">
        <v>114</v>
      </c>
      <c r="E3701">
        <f>IF(OR(B3701="vi",B3701="ii",B3701="pod"),(((D3701/100)*(C3701*VLOOKUP(B3701,'Poids des runes'!A:B,2,FALSE)))+1),(((D3701/100)*(C3701*VLOOKUP(B3701,'Poids des runes'!A:B,2,FALSE)))+1)/VLOOKUP(B3701,'Poids des runes'!A:B,2,FALSE))</f>
        <v>4.1566666666666663</v>
      </c>
      <c r="F3701">
        <f t="shared" si="57"/>
        <v>4.1566666666666663</v>
      </c>
    </row>
    <row r="3702" spans="1:6" x14ac:dyDescent="0.3">
      <c r="A3702" t="s">
        <v>893</v>
      </c>
      <c r="B3702" t="s">
        <v>2135</v>
      </c>
      <c r="C3702">
        <v>3.5</v>
      </c>
      <c r="D3702">
        <v>114</v>
      </c>
      <c r="E3702">
        <f>IF(OR(B3702="vi",B3702="ii",B3702="pod"),(((D3702/100)*(C3702*VLOOKUP(B3702,'Poids des runes'!A:B,2,FALSE)))+1),(((D3702/100)*(C3702*VLOOKUP(B3702,'Poids des runes'!A:B,2,FALSE)))+1)/VLOOKUP(B3702,'Poids des runes'!A:B,2,FALSE))</f>
        <v>4.1566666666666663</v>
      </c>
      <c r="F3702">
        <f t="shared" si="57"/>
        <v>4.1566666666666663</v>
      </c>
    </row>
    <row r="3703" spans="1:6" x14ac:dyDescent="0.3">
      <c r="A3703" t="s">
        <v>893</v>
      </c>
      <c r="B3703" t="s">
        <v>2146</v>
      </c>
      <c r="C3703">
        <v>10</v>
      </c>
      <c r="D3703">
        <v>114</v>
      </c>
      <c r="E3703">
        <f>IF(OR(B3703="vi",B3703="ii",B3703="pod"),(((D3703/100)*(C3703*VLOOKUP(B3703,'Poids des runes'!A:B,2,FALSE)))+1),(((D3703/100)*(C3703*VLOOKUP(B3703,'Poids des runes'!A:B,2,FALSE)))+1)/VLOOKUP(B3703,'Poids des runes'!A:B,2,FALSE))</f>
        <v>11.899999999999999</v>
      </c>
      <c r="F3703">
        <f t="shared" si="57"/>
        <v>11.899999999999999</v>
      </c>
    </row>
    <row r="3704" spans="1:6" x14ac:dyDescent="0.3">
      <c r="A3704" t="s">
        <v>894</v>
      </c>
      <c r="B3704" t="s">
        <v>2128</v>
      </c>
      <c r="C3704">
        <v>175.5</v>
      </c>
      <c r="D3704">
        <v>114</v>
      </c>
      <c r="E3704">
        <f>IF(OR(B3704="vi",B3704="ii",B3704="pod"),(((D3704/100)*(C3704*VLOOKUP(B3704,'Poids des runes'!A:B,2,FALSE)))+1),(((D3704/100)*(C3704*VLOOKUP(B3704,'Poids des runes'!A:B,2,FALSE)))+1)/VLOOKUP(B3704,'Poids des runes'!A:B,2,FALSE))</f>
        <v>41.013999999999996</v>
      </c>
      <c r="F3704">
        <f t="shared" si="57"/>
        <v>41.013999999999996</v>
      </c>
    </row>
    <row r="3705" spans="1:6" x14ac:dyDescent="0.3">
      <c r="A3705" t="s">
        <v>894</v>
      </c>
      <c r="B3705" t="s">
        <v>2130</v>
      </c>
      <c r="C3705">
        <v>33</v>
      </c>
      <c r="D3705">
        <v>114</v>
      </c>
      <c r="E3705">
        <f>IF(OR(B3705="vi",B3705="ii",B3705="pod"),(((D3705/100)*(C3705*VLOOKUP(B3705,'Poids des runes'!A:B,2,FALSE)))+1),(((D3705/100)*(C3705*VLOOKUP(B3705,'Poids des runes'!A:B,2,FALSE)))+1)/VLOOKUP(B3705,'Poids des runes'!A:B,2,FALSE))</f>
        <v>38.619999999999997</v>
      </c>
      <c r="F3705">
        <f t="shared" si="57"/>
        <v>38.619999999999997</v>
      </c>
    </row>
    <row r="3706" spans="1:6" x14ac:dyDescent="0.3">
      <c r="A3706" t="s">
        <v>894</v>
      </c>
      <c r="B3706" t="s">
        <v>2131</v>
      </c>
      <c r="C3706">
        <v>40.5</v>
      </c>
      <c r="D3706">
        <v>114</v>
      </c>
      <c r="E3706">
        <f>IF(OR(B3706="vi",B3706="ii",B3706="pod"),(((D3706/100)*(C3706*VLOOKUP(B3706,'Poids des runes'!A:B,2,FALSE)))+1),(((D3706/100)*(C3706*VLOOKUP(B3706,'Poids des runes'!A:B,2,FALSE)))+1)/VLOOKUP(B3706,'Poids des runes'!A:B,2,FALSE))</f>
        <v>47.169999999999995</v>
      </c>
      <c r="F3706">
        <f t="shared" si="57"/>
        <v>47.169999999999995</v>
      </c>
    </row>
    <row r="3707" spans="1:6" x14ac:dyDescent="0.3">
      <c r="A3707" t="s">
        <v>894</v>
      </c>
      <c r="B3707" t="s">
        <v>2129</v>
      </c>
      <c r="C3707">
        <v>33</v>
      </c>
      <c r="D3707">
        <v>114</v>
      </c>
      <c r="E3707">
        <f>IF(OR(B3707="vi",B3707="ii",B3707="pod"),(((D3707/100)*(C3707*VLOOKUP(B3707,'Poids des runes'!A:B,2,FALSE)))+1),(((D3707/100)*(C3707*VLOOKUP(B3707,'Poids des runes'!A:B,2,FALSE)))+1)/VLOOKUP(B3707,'Poids des runes'!A:B,2,FALSE))</f>
        <v>38.619999999999997</v>
      </c>
      <c r="F3707">
        <f t="shared" si="57"/>
        <v>38.619999999999997</v>
      </c>
    </row>
    <row r="3708" spans="1:6" x14ac:dyDescent="0.3">
      <c r="A3708" t="s">
        <v>894</v>
      </c>
      <c r="B3708" t="s">
        <v>2139</v>
      </c>
      <c r="C3708">
        <v>8</v>
      </c>
      <c r="D3708">
        <v>114</v>
      </c>
      <c r="E3708">
        <f>IF(OR(B3708="vi",B3708="ii",B3708="pod"),(((D3708/100)*(C3708*VLOOKUP(B3708,'Poids des runes'!A:B,2,FALSE)))+1),(((D3708/100)*(C3708*VLOOKUP(B3708,'Poids des runes'!A:B,2,FALSE)))+1)/VLOOKUP(B3708,'Poids des runes'!A:B,2,FALSE))</f>
        <v>9.6199999999999992</v>
      </c>
      <c r="F3708">
        <f t="shared" si="57"/>
        <v>9.6199999999999992</v>
      </c>
    </row>
    <row r="3709" spans="1:6" x14ac:dyDescent="0.3">
      <c r="A3709" t="s">
        <v>894</v>
      </c>
      <c r="B3709" t="s">
        <v>2134</v>
      </c>
      <c r="C3709">
        <v>6</v>
      </c>
      <c r="D3709">
        <v>114</v>
      </c>
      <c r="E3709">
        <f>IF(OR(B3709="vi",B3709="ii",B3709="pod"),(((D3709/100)*(C3709*VLOOKUP(B3709,'Poids des runes'!A:B,2,FALSE)))+1),(((D3709/100)*(C3709*VLOOKUP(B3709,'Poids des runes'!A:B,2,FALSE)))+1)/VLOOKUP(B3709,'Poids des runes'!A:B,2,FALSE))</f>
        <v>6.8899999999999988</v>
      </c>
      <c r="F3709">
        <f t="shared" si="57"/>
        <v>6.8899999999999988</v>
      </c>
    </row>
    <row r="3710" spans="1:6" x14ac:dyDescent="0.3">
      <c r="A3710" t="s">
        <v>894</v>
      </c>
      <c r="B3710" t="s">
        <v>2161</v>
      </c>
      <c r="C3710">
        <v>8</v>
      </c>
      <c r="D3710">
        <v>114</v>
      </c>
      <c r="E3710">
        <f>IF(OR(B3710="vi",B3710="ii",B3710="pod"),(((D3710/100)*(C3710*VLOOKUP(B3710,'Poids des runes'!A:B,2,FALSE)))+1),(((D3710/100)*(C3710*VLOOKUP(B3710,'Poids des runes'!A:B,2,FALSE)))+1)/VLOOKUP(B3710,'Poids des runes'!A:B,2,FALSE))</f>
        <v>9.4533333333333331</v>
      </c>
      <c r="F3710">
        <f t="shared" si="57"/>
        <v>9.4533333333333331</v>
      </c>
    </row>
    <row r="3711" spans="1:6" x14ac:dyDescent="0.3">
      <c r="A3711" t="s">
        <v>894</v>
      </c>
      <c r="B3711" t="s">
        <v>2147</v>
      </c>
      <c r="C3711">
        <v>6</v>
      </c>
      <c r="D3711">
        <v>114</v>
      </c>
      <c r="E3711">
        <f>IF(OR(B3711="vi",B3711="ii",B3711="pod"),(((D3711/100)*(C3711*VLOOKUP(B3711,'Poids des runes'!A:B,2,FALSE)))+1),(((D3711/100)*(C3711*VLOOKUP(B3711,'Poids des runes'!A:B,2,FALSE)))+1)/VLOOKUP(B3711,'Poids des runes'!A:B,2,FALSE))</f>
        <v>7.0066666666666668</v>
      </c>
      <c r="F3711">
        <f t="shared" si="57"/>
        <v>7.0066666666666668</v>
      </c>
    </row>
    <row r="3712" spans="1:6" x14ac:dyDescent="0.3">
      <c r="A3712" t="s">
        <v>895</v>
      </c>
      <c r="B3712" t="s">
        <v>2128</v>
      </c>
      <c r="C3712">
        <v>125.5</v>
      </c>
      <c r="D3712">
        <v>114</v>
      </c>
      <c r="E3712">
        <f>IF(OR(B3712="vi",B3712="ii",B3712="pod"),(((D3712/100)*(C3712*VLOOKUP(B3712,'Poids des runes'!A:B,2,FALSE)))+1),(((D3712/100)*(C3712*VLOOKUP(B3712,'Poids des runes'!A:B,2,FALSE)))+1)/VLOOKUP(B3712,'Poids des runes'!A:B,2,FALSE))</f>
        <v>29.614000000000001</v>
      </c>
      <c r="F3712">
        <f t="shared" si="57"/>
        <v>29.614000000000001</v>
      </c>
    </row>
    <row r="3713" spans="1:6" x14ac:dyDescent="0.3">
      <c r="A3713" t="s">
        <v>895</v>
      </c>
      <c r="B3713" t="s">
        <v>2130</v>
      </c>
      <c r="C3713">
        <v>30.5</v>
      </c>
      <c r="D3713">
        <v>114</v>
      </c>
      <c r="E3713">
        <f>IF(OR(B3713="vi",B3713="ii",B3713="pod"),(((D3713/100)*(C3713*VLOOKUP(B3713,'Poids des runes'!A:B,2,FALSE)))+1),(((D3713/100)*(C3713*VLOOKUP(B3713,'Poids des runes'!A:B,2,FALSE)))+1)/VLOOKUP(B3713,'Poids des runes'!A:B,2,FALSE))</f>
        <v>35.769999999999996</v>
      </c>
      <c r="F3713">
        <f t="shared" si="57"/>
        <v>35.769999999999996</v>
      </c>
    </row>
    <row r="3714" spans="1:6" x14ac:dyDescent="0.3">
      <c r="A3714" t="s">
        <v>895</v>
      </c>
      <c r="B3714" t="s">
        <v>2126</v>
      </c>
      <c r="C3714">
        <v>30.5</v>
      </c>
      <c r="D3714">
        <v>114</v>
      </c>
      <c r="E3714">
        <f>IF(OR(B3714="vi",B3714="ii",B3714="pod"),(((D3714/100)*(C3714*VLOOKUP(B3714,'Poids des runes'!A:B,2,FALSE)))+1),(((D3714/100)*(C3714*VLOOKUP(B3714,'Poids des runes'!A:B,2,FALSE)))+1)/VLOOKUP(B3714,'Poids des runes'!A:B,2,FALSE))</f>
        <v>35.769999999999996</v>
      </c>
      <c r="F3714">
        <f t="shared" si="57"/>
        <v>35.769999999999996</v>
      </c>
    </row>
    <row r="3715" spans="1:6" x14ac:dyDescent="0.3">
      <c r="A3715" t="s">
        <v>895</v>
      </c>
      <c r="B3715" t="s">
        <v>2131</v>
      </c>
      <c r="C3715">
        <v>30.5</v>
      </c>
      <c r="D3715">
        <v>114</v>
      </c>
      <c r="E3715">
        <f>IF(OR(B3715="vi",B3715="ii",B3715="pod"),(((D3715/100)*(C3715*VLOOKUP(B3715,'Poids des runes'!A:B,2,FALSE)))+1),(((D3715/100)*(C3715*VLOOKUP(B3715,'Poids des runes'!A:B,2,FALSE)))+1)/VLOOKUP(B3715,'Poids des runes'!A:B,2,FALSE))</f>
        <v>35.769999999999996</v>
      </c>
      <c r="F3715">
        <f t="shared" ref="F3715:F3778" si="58">E3715</f>
        <v>35.769999999999996</v>
      </c>
    </row>
    <row r="3716" spans="1:6" x14ac:dyDescent="0.3">
      <c r="A3716" t="s">
        <v>895</v>
      </c>
      <c r="B3716" t="s">
        <v>2129</v>
      </c>
      <c r="C3716">
        <v>8</v>
      </c>
      <c r="D3716">
        <v>114</v>
      </c>
      <c r="E3716">
        <f>IF(OR(B3716="vi",B3716="ii",B3716="pod"),(((D3716/100)*(C3716*VLOOKUP(B3716,'Poids des runes'!A:B,2,FALSE)))+1),(((D3716/100)*(C3716*VLOOKUP(B3716,'Poids des runes'!A:B,2,FALSE)))+1)/VLOOKUP(B3716,'Poids des runes'!A:B,2,FALSE))</f>
        <v>10.119999999999999</v>
      </c>
      <c r="F3716">
        <f t="shared" si="58"/>
        <v>10.119999999999999</v>
      </c>
    </row>
    <row r="3717" spans="1:6" x14ac:dyDescent="0.3">
      <c r="A3717" t="s">
        <v>895</v>
      </c>
      <c r="B3717" t="s">
        <v>2155</v>
      </c>
      <c r="C3717">
        <v>1</v>
      </c>
      <c r="D3717">
        <v>114</v>
      </c>
      <c r="E3717">
        <f>IF(OR(B3717="vi",B3717="ii",B3717="pod"),(((D3717/100)*(C3717*VLOOKUP(B3717,'Poids des runes'!A:B,2,FALSE)))+1),(((D3717/100)*(C3717*VLOOKUP(B3717,'Poids des runes'!A:B,2,FALSE)))+1)/VLOOKUP(B3717,'Poids des runes'!A:B,2,FALSE))</f>
        <v>1.1596078431372547</v>
      </c>
      <c r="F3717">
        <f t="shared" si="58"/>
        <v>1.1596078431372547</v>
      </c>
    </row>
    <row r="3718" spans="1:6" x14ac:dyDescent="0.3">
      <c r="A3718" t="s">
        <v>895</v>
      </c>
      <c r="B3718" t="s">
        <v>2150</v>
      </c>
      <c r="C3718">
        <v>1</v>
      </c>
      <c r="D3718">
        <v>114</v>
      </c>
      <c r="E3718">
        <f>IF(OR(B3718="vi",B3718="ii",B3718="pod"),(((D3718/100)*(C3718*VLOOKUP(B3718,'Poids des runes'!A:B,2,FALSE)))+1),(((D3718/100)*(C3718*VLOOKUP(B3718,'Poids des runes'!A:B,2,FALSE)))+1)/VLOOKUP(B3718,'Poids des runes'!A:B,2,FALSE))</f>
        <v>1.1733333333333331</v>
      </c>
      <c r="F3718">
        <f t="shared" si="58"/>
        <v>1.1733333333333331</v>
      </c>
    </row>
    <row r="3719" spans="1:6" x14ac:dyDescent="0.3">
      <c r="A3719" t="s">
        <v>895</v>
      </c>
      <c r="B3719" t="s">
        <v>2134</v>
      </c>
      <c r="C3719">
        <v>4</v>
      </c>
      <c r="D3719">
        <v>114</v>
      </c>
      <c r="E3719">
        <f>IF(OR(B3719="vi",B3719="ii",B3719="pod"),(((D3719/100)*(C3719*VLOOKUP(B3719,'Poids des runes'!A:B,2,FALSE)))+1),(((D3719/100)*(C3719*VLOOKUP(B3719,'Poids des runes'!A:B,2,FALSE)))+1)/VLOOKUP(B3719,'Poids des runes'!A:B,2,FALSE))</f>
        <v>4.6099999999999994</v>
      </c>
      <c r="F3719">
        <f t="shared" si="58"/>
        <v>4.6099999999999994</v>
      </c>
    </row>
    <row r="3720" spans="1:6" x14ac:dyDescent="0.3">
      <c r="A3720" t="s">
        <v>895</v>
      </c>
      <c r="B3720" t="s">
        <v>2147</v>
      </c>
      <c r="C3720">
        <v>2.5</v>
      </c>
      <c r="D3720">
        <v>114</v>
      </c>
      <c r="E3720">
        <f>IF(OR(B3720="vi",B3720="ii",B3720="pod"),(((D3720/100)*(C3720*VLOOKUP(B3720,'Poids des runes'!A:B,2,FALSE)))+1),(((D3720/100)*(C3720*VLOOKUP(B3720,'Poids des runes'!A:B,2,FALSE)))+1)/VLOOKUP(B3720,'Poids des runes'!A:B,2,FALSE))</f>
        <v>3.0166666666666662</v>
      </c>
      <c r="F3720">
        <f t="shared" si="58"/>
        <v>3.0166666666666662</v>
      </c>
    </row>
    <row r="3721" spans="1:6" x14ac:dyDescent="0.3">
      <c r="A3721" t="s">
        <v>895</v>
      </c>
      <c r="B3721" t="s">
        <v>2157</v>
      </c>
      <c r="C3721">
        <v>2.5</v>
      </c>
      <c r="D3721">
        <v>114</v>
      </c>
      <c r="E3721">
        <f>IF(OR(B3721="vi",B3721="ii",B3721="pod"),(((D3721/100)*(C3721*VLOOKUP(B3721,'Poids des runes'!A:B,2,FALSE)))+1),(((D3721/100)*(C3721*VLOOKUP(B3721,'Poids des runes'!A:B,2,FALSE)))+1)/VLOOKUP(B3721,'Poids des runes'!A:B,2,FALSE))</f>
        <v>3.0166666666666662</v>
      </c>
      <c r="F3721">
        <f t="shared" si="58"/>
        <v>3.0166666666666662</v>
      </c>
    </row>
    <row r="3722" spans="1:6" x14ac:dyDescent="0.3">
      <c r="A3722" t="s">
        <v>896</v>
      </c>
      <c r="B3722" t="s">
        <v>2128</v>
      </c>
      <c r="C3722">
        <v>75.5</v>
      </c>
      <c r="D3722">
        <v>114</v>
      </c>
      <c r="E3722">
        <f>IF(OR(B3722="vi",B3722="ii",B3722="pod"),(((D3722/100)*(C3722*VLOOKUP(B3722,'Poids des runes'!A:B,2,FALSE)))+1),(((D3722/100)*(C3722*VLOOKUP(B3722,'Poids des runes'!A:B,2,FALSE)))+1)/VLOOKUP(B3722,'Poids des runes'!A:B,2,FALSE))</f>
        <v>18.213999999999999</v>
      </c>
      <c r="F3722">
        <f t="shared" si="58"/>
        <v>18.213999999999999</v>
      </c>
    </row>
    <row r="3723" spans="1:6" x14ac:dyDescent="0.3">
      <c r="A3723" t="s">
        <v>896</v>
      </c>
      <c r="B3723" t="s">
        <v>2130</v>
      </c>
      <c r="C3723">
        <v>25.5</v>
      </c>
      <c r="D3723">
        <v>114</v>
      </c>
      <c r="E3723">
        <f>IF(OR(B3723="vi",B3723="ii",B3723="pod"),(((D3723/100)*(C3723*VLOOKUP(B3723,'Poids des runes'!A:B,2,FALSE)))+1),(((D3723/100)*(C3723*VLOOKUP(B3723,'Poids des runes'!A:B,2,FALSE)))+1)/VLOOKUP(B3723,'Poids des runes'!A:B,2,FALSE))</f>
        <v>30.069999999999997</v>
      </c>
      <c r="F3723">
        <f t="shared" si="58"/>
        <v>30.069999999999997</v>
      </c>
    </row>
    <row r="3724" spans="1:6" x14ac:dyDescent="0.3">
      <c r="A3724" t="s">
        <v>896</v>
      </c>
      <c r="B3724" t="s">
        <v>2131</v>
      </c>
      <c r="C3724">
        <v>35.5</v>
      </c>
      <c r="D3724">
        <v>114</v>
      </c>
      <c r="E3724">
        <f>IF(OR(B3724="vi",B3724="ii",B3724="pod"),(((D3724/100)*(C3724*VLOOKUP(B3724,'Poids des runes'!A:B,2,FALSE)))+1),(((D3724/100)*(C3724*VLOOKUP(B3724,'Poids des runes'!A:B,2,FALSE)))+1)/VLOOKUP(B3724,'Poids des runes'!A:B,2,FALSE))</f>
        <v>41.47</v>
      </c>
      <c r="F3724">
        <f t="shared" si="58"/>
        <v>41.47</v>
      </c>
    </row>
    <row r="3725" spans="1:6" x14ac:dyDescent="0.3">
      <c r="A3725" t="s">
        <v>896</v>
      </c>
      <c r="B3725" t="s">
        <v>2129</v>
      </c>
      <c r="C3725">
        <v>20.5</v>
      </c>
      <c r="D3725">
        <v>114</v>
      </c>
      <c r="E3725">
        <f>IF(OR(B3725="vi",B3725="ii",B3725="pod"),(((D3725/100)*(C3725*VLOOKUP(B3725,'Poids des runes'!A:B,2,FALSE)))+1),(((D3725/100)*(C3725*VLOOKUP(B3725,'Poids des runes'!A:B,2,FALSE)))+1)/VLOOKUP(B3725,'Poids des runes'!A:B,2,FALSE))</f>
        <v>24.369999999999997</v>
      </c>
      <c r="F3725">
        <f t="shared" si="58"/>
        <v>24.369999999999997</v>
      </c>
    </row>
    <row r="3726" spans="1:6" x14ac:dyDescent="0.3">
      <c r="A3726" t="s">
        <v>896</v>
      </c>
      <c r="B3726" t="s">
        <v>2139</v>
      </c>
      <c r="C3726">
        <v>8</v>
      </c>
      <c r="D3726">
        <v>114</v>
      </c>
      <c r="E3726">
        <f>IF(OR(B3726="vi",B3726="ii",B3726="pod"),(((D3726/100)*(C3726*VLOOKUP(B3726,'Poids des runes'!A:B,2,FALSE)))+1),(((D3726/100)*(C3726*VLOOKUP(B3726,'Poids des runes'!A:B,2,FALSE)))+1)/VLOOKUP(B3726,'Poids des runes'!A:B,2,FALSE))</f>
        <v>9.6199999999999992</v>
      </c>
      <c r="F3726">
        <f t="shared" si="58"/>
        <v>9.6199999999999992</v>
      </c>
    </row>
    <row r="3727" spans="1:6" x14ac:dyDescent="0.3">
      <c r="A3727" t="s">
        <v>896</v>
      </c>
      <c r="B3727" t="s">
        <v>2134</v>
      </c>
      <c r="C3727">
        <v>4.5</v>
      </c>
      <c r="D3727">
        <v>114</v>
      </c>
      <c r="E3727">
        <f>IF(OR(B3727="vi",B3727="ii",B3727="pod"),(((D3727/100)*(C3727*VLOOKUP(B3727,'Poids des runes'!A:B,2,FALSE)))+1),(((D3727/100)*(C3727*VLOOKUP(B3727,'Poids des runes'!A:B,2,FALSE)))+1)/VLOOKUP(B3727,'Poids des runes'!A:B,2,FALSE))</f>
        <v>5.18</v>
      </c>
      <c r="F3727">
        <f t="shared" si="58"/>
        <v>5.18</v>
      </c>
    </row>
    <row r="3728" spans="1:6" x14ac:dyDescent="0.3">
      <c r="A3728" t="s">
        <v>896</v>
      </c>
      <c r="B3728" t="s">
        <v>2161</v>
      </c>
      <c r="C3728">
        <v>8</v>
      </c>
      <c r="D3728">
        <v>114</v>
      </c>
      <c r="E3728">
        <f>IF(OR(B3728="vi",B3728="ii",B3728="pod"),(((D3728/100)*(C3728*VLOOKUP(B3728,'Poids des runes'!A:B,2,FALSE)))+1),(((D3728/100)*(C3728*VLOOKUP(B3728,'Poids des runes'!A:B,2,FALSE)))+1)/VLOOKUP(B3728,'Poids des runes'!A:B,2,FALSE))</f>
        <v>9.4533333333333331</v>
      </c>
      <c r="F3728">
        <f t="shared" si="58"/>
        <v>9.4533333333333331</v>
      </c>
    </row>
    <row r="3729" spans="1:6" x14ac:dyDescent="0.3">
      <c r="A3729" t="s">
        <v>896</v>
      </c>
      <c r="B3729" t="s">
        <v>2132</v>
      </c>
      <c r="C3729">
        <v>150.5</v>
      </c>
      <c r="D3729">
        <v>114</v>
      </c>
      <c r="E3729">
        <f>IF(OR(B3729="vi",B3729="ii",B3729="pod"),(((D3729/100)*(C3729*VLOOKUP(B3729,'Poids des runes'!A:B,2,FALSE)))+1),(((D3729/100)*(C3729*VLOOKUP(B3729,'Poids des runes'!A:B,2,FALSE)))+1)/VLOOKUP(B3729,'Poids des runes'!A:B,2,FALSE))</f>
        <v>18.157</v>
      </c>
      <c r="F3729">
        <f t="shared" si="58"/>
        <v>18.157</v>
      </c>
    </row>
    <row r="3730" spans="1:6" x14ac:dyDescent="0.3">
      <c r="A3730" t="s">
        <v>896</v>
      </c>
      <c r="B3730" t="s">
        <v>2135</v>
      </c>
      <c r="C3730">
        <v>8</v>
      </c>
      <c r="D3730">
        <v>114</v>
      </c>
      <c r="E3730">
        <f>IF(OR(B3730="vi",B3730="ii",B3730="pod"),(((D3730/100)*(C3730*VLOOKUP(B3730,'Poids des runes'!A:B,2,FALSE)))+1),(((D3730/100)*(C3730*VLOOKUP(B3730,'Poids des runes'!A:B,2,FALSE)))+1)/VLOOKUP(B3730,'Poids des runes'!A:B,2,FALSE))</f>
        <v>9.2866666666666671</v>
      </c>
      <c r="F3730">
        <f t="shared" si="58"/>
        <v>9.2866666666666671</v>
      </c>
    </row>
    <row r="3731" spans="1:6" x14ac:dyDescent="0.3">
      <c r="A3731" t="s">
        <v>896</v>
      </c>
      <c r="B3731" t="s">
        <v>2157</v>
      </c>
      <c r="C3731">
        <v>8</v>
      </c>
      <c r="D3731">
        <v>114</v>
      </c>
      <c r="E3731">
        <f>IF(OR(B3731="vi",B3731="ii",B3731="pod"),(((D3731/100)*(C3731*VLOOKUP(B3731,'Poids des runes'!A:B,2,FALSE)))+1),(((D3731/100)*(C3731*VLOOKUP(B3731,'Poids des runes'!A:B,2,FALSE)))+1)/VLOOKUP(B3731,'Poids des runes'!A:B,2,FALSE))</f>
        <v>9.2866666666666671</v>
      </c>
      <c r="F3731">
        <f t="shared" si="58"/>
        <v>9.2866666666666671</v>
      </c>
    </row>
    <row r="3732" spans="1:6" x14ac:dyDescent="0.3">
      <c r="A3732" t="s">
        <v>897</v>
      </c>
      <c r="B3732" t="s">
        <v>2128</v>
      </c>
      <c r="C3732">
        <v>155</v>
      </c>
      <c r="D3732">
        <v>116</v>
      </c>
      <c r="E3732">
        <f>IF(OR(B3732="vi",B3732="ii",B3732="pod"),(((D3732/100)*(C3732*VLOOKUP(B3732,'Poids des runes'!A:B,2,FALSE)))+1),(((D3732/100)*(C3732*VLOOKUP(B3732,'Poids des runes'!A:B,2,FALSE)))+1)/VLOOKUP(B3732,'Poids des runes'!A:B,2,FALSE))</f>
        <v>36.96</v>
      </c>
      <c r="F3732">
        <f t="shared" si="58"/>
        <v>36.96</v>
      </c>
    </row>
    <row r="3733" spans="1:6" x14ac:dyDescent="0.3">
      <c r="A3733" t="s">
        <v>897</v>
      </c>
      <c r="B3733" t="s">
        <v>2126</v>
      </c>
      <c r="C3733">
        <v>40.5</v>
      </c>
      <c r="D3733">
        <v>116</v>
      </c>
      <c r="E3733">
        <f>IF(OR(B3733="vi",B3733="ii",B3733="pod"),(((D3733/100)*(C3733*VLOOKUP(B3733,'Poids des runes'!A:B,2,FALSE)))+1),(((D3733/100)*(C3733*VLOOKUP(B3733,'Poids des runes'!A:B,2,FALSE)))+1)/VLOOKUP(B3733,'Poids des runes'!A:B,2,FALSE))</f>
        <v>47.98</v>
      </c>
      <c r="F3733">
        <f t="shared" si="58"/>
        <v>47.98</v>
      </c>
    </row>
    <row r="3734" spans="1:6" x14ac:dyDescent="0.3">
      <c r="A3734" t="s">
        <v>897</v>
      </c>
      <c r="B3734" t="s">
        <v>2127</v>
      </c>
      <c r="C3734">
        <v>40.5</v>
      </c>
      <c r="D3734">
        <v>116</v>
      </c>
      <c r="E3734">
        <f>IF(OR(B3734="vi",B3734="ii",B3734="pod"),(((D3734/100)*(C3734*VLOOKUP(B3734,'Poids des runes'!A:B,2,FALSE)))+1),(((D3734/100)*(C3734*VLOOKUP(B3734,'Poids des runes'!A:B,2,FALSE)))+1)/VLOOKUP(B3734,'Poids des runes'!A:B,2,FALSE))</f>
        <v>47.98</v>
      </c>
      <c r="F3734">
        <f t="shared" si="58"/>
        <v>47.98</v>
      </c>
    </row>
    <row r="3735" spans="1:6" x14ac:dyDescent="0.3">
      <c r="A3735" t="s">
        <v>897</v>
      </c>
      <c r="B3735" t="s">
        <v>2129</v>
      </c>
      <c r="C3735">
        <v>25.5</v>
      </c>
      <c r="D3735">
        <v>116</v>
      </c>
      <c r="E3735">
        <f>IF(OR(B3735="vi",B3735="ii",B3735="pod"),(((D3735/100)*(C3735*VLOOKUP(B3735,'Poids des runes'!A:B,2,FALSE)))+1),(((D3735/100)*(C3735*VLOOKUP(B3735,'Poids des runes'!A:B,2,FALSE)))+1)/VLOOKUP(B3735,'Poids des runes'!A:B,2,FALSE))</f>
        <v>30.58</v>
      </c>
      <c r="F3735">
        <f t="shared" si="58"/>
        <v>30.58</v>
      </c>
    </row>
    <row r="3736" spans="1:6" x14ac:dyDescent="0.3">
      <c r="A3736" t="s">
        <v>897</v>
      </c>
      <c r="B3736" t="s">
        <v>2155</v>
      </c>
      <c r="C3736">
        <v>1</v>
      </c>
      <c r="D3736">
        <v>116</v>
      </c>
      <c r="E3736">
        <f>IF(OR(B3736="vi",B3736="ii",B3736="pod"),(((D3736/100)*(C3736*VLOOKUP(B3736,'Poids des runes'!A:B,2,FALSE)))+1),(((D3736/100)*(C3736*VLOOKUP(B3736,'Poids des runes'!A:B,2,FALSE)))+1)/VLOOKUP(B3736,'Poids des runes'!A:B,2,FALSE))</f>
        <v>1.1796078431372548</v>
      </c>
      <c r="F3736">
        <f t="shared" si="58"/>
        <v>1.1796078431372548</v>
      </c>
    </row>
    <row r="3737" spans="1:6" x14ac:dyDescent="0.3">
      <c r="A3737" t="s">
        <v>897</v>
      </c>
      <c r="B3737" t="s">
        <v>2149</v>
      </c>
      <c r="C3737">
        <v>8.5</v>
      </c>
      <c r="D3737">
        <v>116</v>
      </c>
      <c r="E3737">
        <f>IF(OR(B3737="vi",B3737="ii",B3737="pod"),(((D3737/100)*(C3737*VLOOKUP(B3737,'Poids des runes'!A:B,2,FALSE)))+1),(((D3737/100)*(C3737*VLOOKUP(B3737,'Poids des runes'!A:B,2,FALSE)))+1)/VLOOKUP(B3737,'Poids des runes'!A:B,2,FALSE))</f>
        <v>9.9599999999999991</v>
      </c>
      <c r="F3737">
        <f t="shared" si="58"/>
        <v>9.9599999999999991</v>
      </c>
    </row>
    <row r="3738" spans="1:6" x14ac:dyDescent="0.3">
      <c r="A3738" t="s">
        <v>897</v>
      </c>
      <c r="B3738" t="s">
        <v>2148</v>
      </c>
      <c r="C3738">
        <v>6</v>
      </c>
      <c r="D3738">
        <v>116</v>
      </c>
      <c r="E3738">
        <f>IF(OR(B3738="vi",B3738="ii",B3738="pod"),(((D3738/100)*(C3738*VLOOKUP(B3738,'Poids des runes'!A:B,2,FALSE)))+1),(((D3738/100)*(C3738*VLOOKUP(B3738,'Poids des runes'!A:B,2,FALSE)))+1)/VLOOKUP(B3738,'Poids des runes'!A:B,2,FALSE))</f>
        <v>7.126666666666666</v>
      </c>
      <c r="F3738">
        <f t="shared" si="58"/>
        <v>7.126666666666666</v>
      </c>
    </row>
    <row r="3739" spans="1:6" x14ac:dyDescent="0.3">
      <c r="A3739" t="s">
        <v>898</v>
      </c>
      <c r="B3739" t="s">
        <v>2128</v>
      </c>
      <c r="C3739">
        <v>90.5</v>
      </c>
      <c r="D3739">
        <v>116</v>
      </c>
      <c r="E3739">
        <f>IF(OR(B3739="vi",B3739="ii",B3739="pod"),(((D3739/100)*(C3739*VLOOKUP(B3739,'Poids des runes'!A:B,2,FALSE)))+1),(((D3739/100)*(C3739*VLOOKUP(B3739,'Poids des runes'!A:B,2,FALSE)))+1)/VLOOKUP(B3739,'Poids des runes'!A:B,2,FALSE))</f>
        <v>21.995999999999999</v>
      </c>
      <c r="F3739">
        <f t="shared" si="58"/>
        <v>21.995999999999999</v>
      </c>
    </row>
    <row r="3740" spans="1:6" x14ac:dyDescent="0.3">
      <c r="A3740" t="s">
        <v>898</v>
      </c>
      <c r="B3740" t="s">
        <v>2130</v>
      </c>
      <c r="C3740">
        <v>28</v>
      </c>
      <c r="D3740">
        <v>116</v>
      </c>
      <c r="E3740">
        <f>IF(OR(B3740="vi",B3740="ii",B3740="pod"),(((D3740/100)*(C3740*VLOOKUP(B3740,'Poids des runes'!A:B,2,FALSE)))+1),(((D3740/100)*(C3740*VLOOKUP(B3740,'Poids des runes'!A:B,2,FALSE)))+1)/VLOOKUP(B3740,'Poids des runes'!A:B,2,FALSE))</f>
        <v>33.479999999999997</v>
      </c>
      <c r="F3740">
        <f t="shared" si="58"/>
        <v>33.479999999999997</v>
      </c>
    </row>
    <row r="3741" spans="1:6" x14ac:dyDescent="0.3">
      <c r="A3741" t="s">
        <v>898</v>
      </c>
      <c r="B3741" t="s">
        <v>2126</v>
      </c>
      <c r="C3741">
        <v>28</v>
      </c>
      <c r="D3741">
        <v>116</v>
      </c>
      <c r="E3741">
        <f>IF(OR(B3741="vi",B3741="ii",B3741="pod"),(((D3741/100)*(C3741*VLOOKUP(B3741,'Poids des runes'!A:B,2,FALSE)))+1),(((D3741/100)*(C3741*VLOOKUP(B3741,'Poids des runes'!A:B,2,FALSE)))+1)/VLOOKUP(B3741,'Poids des runes'!A:B,2,FALSE))</f>
        <v>33.479999999999997</v>
      </c>
      <c r="F3741">
        <f t="shared" si="58"/>
        <v>33.479999999999997</v>
      </c>
    </row>
    <row r="3742" spans="1:6" x14ac:dyDescent="0.3">
      <c r="A3742" t="s">
        <v>898</v>
      </c>
      <c r="B3742" t="s">
        <v>2131</v>
      </c>
      <c r="C3742">
        <v>28</v>
      </c>
      <c r="D3742">
        <v>116</v>
      </c>
      <c r="E3742">
        <f>IF(OR(B3742="vi",B3742="ii",B3742="pod"),(((D3742/100)*(C3742*VLOOKUP(B3742,'Poids des runes'!A:B,2,FALSE)))+1),(((D3742/100)*(C3742*VLOOKUP(B3742,'Poids des runes'!A:B,2,FALSE)))+1)/VLOOKUP(B3742,'Poids des runes'!A:B,2,FALSE))</f>
        <v>33.479999999999997</v>
      </c>
      <c r="F3742">
        <f t="shared" si="58"/>
        <v>33.479999999999997</v>
      </c>
    </row>
    <row r="3743" spans="1:6" x14ac:dyDescent="0.3">
      <c r="A3743" t="s">
        <v>898</v>
      </c>
      <c r="B3743" t="s">
        <v>2129</v>
      </c>
      <c r="C3743">
        <v>13</v>
      </c>
      <c r="D3743">
        <v>116</v>
      </c>
      <c r="E3743">
        <f>IF(OR(B3743="vi",B3743="ii",B3743="pod"),(((D3743/100)*(C3743*VLOOKUP(B3743,'Poids des runes'!A:B,2,FALSE)))+1),(((D3743/100)*(C3743*VLOOKUP(B3743,'Poids des runes'!A:B,2,FALSE)))+1)/VLOOKUP(B3743,'Poids des runes'!A:B,2,FALSE))</f>
        <v>16.079999999999998</v>
      </c>
      <c r="F3743">
        <f t="shared" si="58"/>
        <v>16.079999999999998</v>
      </c>
    </row>
    <row r="3744" spans="1:6" x14ac:dyDescent="0.3">
      <c r="A3744" t="s">
        <v>898</v>
      </c>
      <c r="B3744" t="s">
        <v>2150</v>
      </c>
      <c r="C3744">
        <v>1</v>
      </c>
      <c r="D3744">
        <v>116</v>
      </c>
      <c r="E3744">
        <f>IF(OR(B3744="vi",B3744="ii",B3744="pod"),(((D3744/100)*(C3744*VLOOKUP(B3744,'Poids des runes'!A:B,2,FALSE)))+1),(((D3744/100)*(C3744*VLOOKUP(B3744,'Poids des runes'!A:B,2,FALSE)))+1)/VLOOKUP(B3744,'Poids des runes'!A:B,2,FALSE))</f>
        <v>1.1933333333333331</v>
      </c>
      <c r="F3744">
        <f t="shared" si="58"/>
        <v>1.1933333333333331</v>
      </c>
    </row>
    <row r="3745" spans="1:6" x14ac:dyDescent="0.3">
      <c r="A3745" t="s">
        <v>898</v>
      </c>
      <c r="B3745" t="s">
        <v>2143</v>
      </c>
      <c r="C3745">
        <v>1.5</v>
      </c>
      <c r="D3745">
        <v>116</v>
      </c>
      <c r="E3745">
        <f>IF(OR(B3745="vi",B3745="ii",B3745="pod"),(((D3745/100)*(C3745*VLOOKUP(B3745,'Poids des runes'!A:B,2,FALSE)))+1),(((D3745/100)*(C3745*VLOOKUP(B3745,'Poids des runes'!A:B,2,FALSE)))+1)/VLOOKUP(B3745,'Poids des runes'!A:B,2,FALSE))</f>
        <v>1.94</v>
      </c>
      <c r="F3745">
        <f t="shared" si="58"/>
        <v>1.94</v>
      </c>
    </row>
    <row r="3746" spans="1:6" x14ac:dyDescent="0.3">
      <c r="A3746" t="s">
        <v>898</v>
      </c>
      <c r="B3746" t="s">
        <v>2140</v>
      </c>
      <c r="C3746">
        <v>1.5</v>
      </c>
      <c r="D3746">
        <v>116</v>
      </c>
      <c r="E3746">
        <f>IF(OR(B3746="vi",B3746="ii",B3746="pod"),(((D3746/100)*(C3746*VLOOKUP(B3746,'Poids des runes'!A:B,2,FALSE)))+1),(((D3746/100)*(C3746*VLOOKUP(B3746,'Poids des runes'!A:B,2,FALSE)))+1)/VLOOKUP(B3746,'Poids des runes'!A:B,2,FALSE))</f>
        <v>1.94</v>
      </c>
      <c r="F3746">
        <f t="shared" si="58"/>
        <v>1.94</v>
      </c>
    </row>
    <row r="3747" spans="1:6" x14ac:dyDescent="0.3">
      <c r="A3747" t="s">
        <v>898</v>
      </c>
      <c r="B3747" t="s">
        <v>2133</v>
      </c>
      <c r="C3747">
        <v>1.5</v>
      </c>
      <c r="D3747">
        <v>116</v>
      </c>
      <c r="E3747">
        <f>IF(OR(B3747="vi",B3747="ii",B3747="pod"),(((D3747/100)*(C3747*VLOOKUP(B3747,'Poids des runes'!A:B,2,FALSE)))+1),(((D3747/100)*(C3747*VLOOKUP(B3747,'Poids des runes'!A:B,2,FALSE)))+1)/VLOOKUP(B3747,'Poids des runes'!A:B,2,FALSE))</f>
        <v>1.94</v>
      </c>
      <c r="F3747">
        <f t="shared" si="58"/>
        <v>1.94</v>
      </c>
    </row>
    <row r="3748" spans="1:6" x14ac:dyDescent="0.3">
      <c r="A3748" t="s">
        <v>898</v>
      </c>
      <c r="B3748" t="s">
        <v>2141</v>
      </c>
      <c r="C3748">
        <v>2.5</v>
      </c>
      <c r="D3748">
        <v>116</v>
      </c>
      <c r="E3748">
        <f>IF(OR(B3748="vi",B3748="ii",B3748="pod"),(((D3748/100)*(C3748*VLOOKUP(B3748,'Poids des runes'!A:B,2,FALSE)))+1),(((D3748/100)*(C3748*VLOOKUP(B3748,'Poids des runes'!A:B,2,FALSE)))+1)/VLOOKUP(B3748,'Poids des runes'!A:B,2,FALSE))</f>
        <v>3.15</v>
      </c>
      <c r="F3748">
        <f t="shared" si="58"/>
        <v>3.15</v>
      </c>
    </row>
    <row r="3749" spans="1:6" x14ac:dyDescent="0.3">
      <c r="A3749" t="s">
        <v>898</v>
      </c>
      <c r="B3749" t="s">
        <v>2148</v>
      </c>
      <c r="C3749">
        <v>5</v>
      </c>
      <c r="D3749">
        <v>116</v>
      </c>
      <c r="E3749">
        <f>IF(OR(B3749="vi",B3749="ii",B3749="pod"),(((D3749/100)*(C3749*VLOOKUP(B3749,'Poids des runes'!A:B,2,FALSE)))+1),(((D3749/100)*(C3749*VLOOKUP(B3749,'Poids des runes'!A:B,2,FALSE)))+1)/VLOOKUP(B3749,'Poids des runes'!A:B,2,FALSE))</f>
        <v>5.9666666666666659</v>
      </c>
      <c r="F3749">
        <f t="shared" si="58"/>
        <v>5.9666666666666659</v>
      </c>
    </row>
    <row r="3750" spans="1:6" x14ac:dyDescent="0.3">
      <c r="A3750" t="s">
        <v>898</v>
      </c>
      <c r="B3750" t="s">
        <v>2135</v>
      </c>
      <c r="C3750">
        <v>5</v>
      </c>
      <c r="D3750">
        <v>116</v>
      </c>
      <c r="E3750">
        <f>IF(OR(B3750="vi",B3750="ii",B3750="pod"),(((D3750/100)*(C3750*VLOOKUP(B3750,'Poids des runes'!A:B,2,FALSE)))+1),(((D3750/100)*(C3750*VLOOKUP(B3750,'Poids des runes'!A:B,2,FALSE)))+1)/VLOOKUP(B3750,'Poids des runes'!A:B,2,FALSE))</f>
        <v>5.9666666666666659</v>
      </c>
      <c r="F3750">
        <f t="shared" si="58"/>
        <v>5.9666666666666659</v>
      </c>
    </row>
    <row r="3751" spans="1:6" x14ac:dyDescent="0.3">
      <c r="A3751" t="s">
        <v>899</v>
      </c>
      <c r="B3751" t="s">
        <v>2128</v>
      </c>
      <c r="C3751">
        <v>125.5</v>
      </c>
      <c r="D3751">
        <v>120</v>
      </c>
      <c r="E3751">
        <f>IF(OR(B3751="vi",B3751="ii",B3751="pod"),(((D3751/100)*(C3751*VLOOKUP(B3751,'Poids des runes'!A:B,2,FALSE)))+1),(((D3751/100)*(C3751*VLOOKUP(B3751,'Poids des runes'!A:B,2,FALSE)))+1)/VLOOKUP(B3751,'Poids des runes'!A:B,2,FALSE))</f>
        <v>31.12</v>
      </c>
      <c r="F3751">
        <f t="shared" si="58"/>
        <v>31.12</v>
      </c>
    </row>
    <row r="3752" spans="1:6" x14ac:dyDescent="0.3">
      <c r="A3752" t="s">
        <v>899</v>
      </c>
      <c r="B3752" t="s">
        <v>2130</v>
      </c>
      <c r="C3752">
        <v>40.5</v>
      </c>
      <c r="D3752">
        <v>120</v>
      </c>
      <c r="E3752">
        <f>IF(OR(B3752="vi",B3752="ii",B3752="pod"),(((D3752/100)*(C3752*VLOOKUP(B3752,'Poids des runes'!A:B,2,FALSE)))+1),(((D3752/100)*(C3752*VLOOKUP(B3752,'Poids des runes'!A:B,2,FALSE)))+1)/VLOOKUP(B3752,'Poids des runes'!A:B,2,FALSE))</f>
        <v>49.6</v>
      </c>
      <c r="F3752">
        <f t="shared" si="58"/>
        <v>49.6</v>
      </c>
    </row>
    <row r="3753" spans="1:6" x14ac:dyDescent="0.3">
      <c r="A3753" t="s">
        <v>899</v>
      </c>
      <c r="B3753" t="s">
        <v>2129</v>
      </c>
      <c r="C3753">
        <v>30.5</v>
      </c>
      <c r="D3753">
        <v>120</v>
      </c>
      <c r="E3753">
        <f>IF(OR(B3753="vi",B3753="ii",B3753="pod"),(((D3753/100)*(C3753*VLOOKUP(B3753,'Poids des runes'!A:B,2,FALSE)))+1),(((D3753/100)*(C3753*VLOOKUP(B3753,'Poids des runes'!A:B,2,FALSE)))+1)/VLOOKUP(B3753,'Poids des runes'!A:B,2,FALSE))</f>
        <v>37.6</v>
      </c>
      <c r="F3753">
        <f t="shared" si="58"/>
        <v>37.6</v>
      </c>
    </row>
    <row r="3754" spans="1:6" x14ac:dyDescent="0.3">
      <c r="A3754" t="s">
        <v>899</v>
      </c>
      <c r="B3754" t="s">
        <v>2143</v>
      </c>
      <c r="C3754">
        <v>5</v>
      </c>
      <c r="D3754">
        <v>120</v>
      </c>
      <c r="E3754">
        <f>IF(OR(B3754="vi",B3754="ii",B3754="pod"),(((D3754/100)*(C3754*VLOOKUP(B3754,'Poids des runes'!A:B,2,FALSE)))+1),(((D3754/100)*(C3754*VLOOKUP(B3754,'Poids des runes'!A:B,2,FALSE)))+1)/VLOOKUP(B3754,'Poids des runes'!A:B,2,FALSE))</f>
        <v>6.2</v>
      </c>
      <c r="F3754">
        <f t="shared" si="58"/>
        <v>6.2</v>
      </c>
    </row>
    <row r="3755" spans="1:6" x14ac:dyDescent="0.3">
      <c r="A3755" t="s">
        <v>899</v>
      </c>
      <c r="B3755" t="s">
        <v>2161</v>
      </c>
      <c r="C3755">
        <v>8</v>
      </c>
      <c r="D3755">
        <v>120</v>
      </c>
      <c r="E3755">
        <f>IF(OR(B3755="vi",B3755="ii",B3755="pod"),(((D3755/100)*(C3755*VLOOKUP(B3755,'Poids des runes'!A:B,2,FALSE)))+1),(((D3755/100)*(C3755*VLOOKUP(B3755,'Poids des runes'!A:B,2,FALSE)))+1)/VLOOKUP(B3755,'Poids des runes'!A:B,2,FALSE))</f>
        <v>9.9333333333333318</v>
      </c>
      <c r="F3755">
        <f t="shared" si="58"/>
        <v>9.9333333333333318</v>
      </c>
    </row>
    <row r="3756" spans="1:6" x14ac:dyDescent="0.3">
      <c r="A3756" t="s">
        <v>899</v>
      </c>
      <c r="B3756" t="s">
        <v>2132</v>
      </c>
      <c r="C3756">
        <v>225.5</v>
      </c>
      <c r="D3756">
        <v>120</v>
      </c>
      <c r="E3756">
        <f>IF(OR(B3756="vi",B3756="ii",B3756="pod"),(((D3756/100)*(C3756*VLOOKUP(B3756,'Poids des runes'!A:B,2,FALSE)))+1),(((D3756/100)*(C3756*VLOOKUP(B3756,'Poids des runes'!A:B,2,FALSE)))+1)/VLOOKUP(B3756,'Poids des runes'!A:B,2,FALSE))</f>
        <v>28.06</v>
      </c>
      <c r="F3756">
        <f t="shared" si="58"/>
        <v>28.06</v>
      </c>
    </row>
    <row r="3757" spans="1:6" x14ac:dyDescent="0.3">
      <c r="A3757" t="s">
        <v>899</v>
      </c>
      <c r="B3757" t="s">
        <v>2148</v>
      </c>
      <c r="C3757">
        <v>4</v>
      </c>
      <c r="D3757">
        <v>120</v>
      </c>
      <c r="E3757">
        <f>IF(OR(B3757="vi",B3757="ii",B3757="pod"),(((D3757/100)*(C3757*VLOOKUP(B3757,'Poids des runes'!A:B,2,FALSE)))+1),(((D3757/100)*(C3757*VLOOKUP(B3757,'Poids des runes'!A:B,2,FALSE)))+1)/VLOOKUP(B3757,'Poids des runes'!A:B,2,FALSE))</f>
        <v>4.9666666666666659</v>
      </c>
      <c r="F3757">
        <f t="shared" si="58"/>
        <v>4.9666666666666659</v>
      </c>
    </row>
    <row r="3758" spans="1:6" x14ac:dyDescent="0.3">
      <c r="A3758" t="s">
        <v>899</v>
      </c>
      <c r="B3758" t="s">
        <v>2135</v>
      </c>
      <c r="C3758">
        <v>4</v>
      </c>
      <c r="D3758">
        <v>120</v>
      </c>
      <c r="E3758">
        <f>IF(OR(B3758="vi",B3758="ii",B3758="pod"),(((D3758/100)*(C3758*VLOOKUP(B3758,'Poids des runes'!A:B,2,FALSE)))+1),(((D3758/100)*(C3758*VLOOKUP(B3758,'Poids des runes'!A:B,2,FALSE)))+1)/VLOOKUP(B3758,'Poids des runes'!A:B,2,FALSE))</f>
        <v>4.9666666666666659</v>
      </c>
      <c r="F3758">
        <f t="shared" si="58"/>
        <v>4.9666666666666659</v>
      </c>
    </row>
    <row r="3759" spans="1:6" x14ac:dyDescent="0.3">
      <c r="A3759" t="s">
        <v>899</v>
      </c>
      <c r="B3759" t="s">
        <v>2157</v>
      </c>
      <c r="C3759">
        <v>4</v>
      </c>
      <c r="D3759">
        <v>120</v>
      </c>
      <c r="E3759">
        <f>IF(OR(B3759="vi",B3759="ii",B3759="pod"),(((D3759/100)*(C3759*VLOOKUP(B3759,'Poids des runes'!A:B,2,FALSE)))+1),(((D3759/100)*(C3759*VLOOKUP(B3759,'Poids des runes'!A:B,2,FALSE)))+1)/VLOOKUP(B3759,'Poids des runes'!A:B,2,FALSE))</f>
        <v>4.9666666666666659</v>
      </c>
      <c r="F3759">
        <f t="shared" si="58"/>
        <v>4.9666666666666659</v>
      </c>
    </row>
    <row r="3760" spans="1:6" x14ac:dyDescent="0.3">
      <c r="A3760" t="s">
        <v>900</v>
      </c>
      <c r="B3760" t="s">
        <v>2130</v>
      </c>
      <c r="C3760">
        <v>70.5</v>
      </c>
      <c r="D3760">
        <v>120</v>
      </c>
      <c r="E3760">
        <f>IF(OR(B3760="vi",B3760="ii",B3760="pod"),(((D3760/100)*(C3760*VLOOKUP(B3760,'Poids des runes'!A:B,2,FALSE)))+1),(((D3760/100)*(C3760*VLOOKUP(B3760,'Poids des runes'!A:B,2,FALSE)))+1)/VLOOKUP(B3760,'Poids des runes'!A:B,2,FALSE))</f>
        <v>85.6</v>
      </c>
      <c r="F3760">
        <f t="shared" si="58"/>
        <v>85.6</v>
      </c>
    </row>
    <row r="3761" spans="1:6" x14ac:dyDescent="0.3">
      <c r="A3761" t="s">
        <v>900</v>
      </c>
      <c r="B3761" t="s">
        <v>2126</v>
      </c>
      <c r="C3761">
        <v>70.5</v>
      </c>
      <c r="D3761">
        <v>120</v>
      </c>
      <c r="E3761">
        <f>IF(OR(B3761="vi",B3761="ii",B3761="pod"),(((D3761/100)*(C3761*VLOOKUP(B3761,'Poids des runes'!A:B,2,FALSE)))+1),(((D3761/100)*(C3761*VLOOKUP(B3761,'Poids des runes'!A:B,2,FALSE)))+1)/VLOOKUP(B3761,'Poids des runes'!A:B,2,FALSE))</f>
        <v>85.6</v>
      </c>
      <c r="F3761">
        <f t="shared" si="58"/>
        <v>85.6</v>
      </c>
    </row>
    <row r="3762" spans="1:6" x14ac:dyDescent="0.3">
      <c r="A3762" t="s">
        <v>900</v>
      </c>
      <c r="B3762" t="s">
        <v>2129</v>
      </c>
      <c r="C3762">
        <v>50.5</v>
      </c>
      <c r="D3762">
        <v>120</v>
      </c>
      <c r="E3762">
        <f>IF(OR(B3762="vi",B3762="ii",B3762="pod"),(((D3762/100)*(C3762*VLOOKUP(B3762,'Poids des runes'!A:B,2,FALSE)))+1),(((D3762/100)*(C3762*VLOOKUP(B3762,'Poids des runes'!A:B,2,FALSE)))+1)/VLOOKUP(B3762,'Poids des runes'!A:B,2,FALSE))</f>
        <v>61.599999999999994</v>
      </c>
      <c r="F3762">
        <f t="shared" si="58"/>
        <v>61.599999999999994</v>
      </c>
    </row>
    <row r="3763" spans="1:6" x14ac:dyDescent="0.3">
      <c r="A3763" t="s">
        <v>900</v>
      </c>
      <c r="B3763" t="s">
        <v>2134</v>
      </c>
      <c r="C3763">
        <v>8</v>
      </c>
      <c r="D3763">
        <v>120</v>
      </c>
      <c r="E3763">
        <f>IF(OR(B3763="vi",B3763="ii",B3763="pod"),(((D3763/100)*(C3763*VLOOKUP(B3763,'Poids des runes'!A:B,2,FALSE)))+1),(((D3763/100)*(C3763*VLOOKUP(B3763,'Poids des runes'!A:B,2,FALSE)))+1)/VLOOKUP(B3763,'Poids des runes'!A:B,2,FALSE))</f>
        <v>9.65</v>
      </c>
      <c r="F3763">
        <f t="shared" si="58"/>
        <v>9.65</v>
      </c>
    </row>
    <row r="3764" spans="1:6" x14ac:dyDescent="0.3">
      <c r="A3764" t="s">
        <v>900</v>
      </c>
      <c r="B3764" t="s">
        <v>2161</v>
      </c>
      <c r="C3764">
        <v>10.5</v>
      </c>
      <c r="D3764">
        <v>120</v>
      </c>
      <c r="E3764">
        <f>IF(OR(B3764="vi",B3764="ii",B3764="pod"),(((D3764/100)*(C3764*VLOOKUP(B3764,'Poids des runes'!A:B,2,FALSE)))+1),(((D3764/100)*(C3764*VLOOKUP(B3764,'Poids des runes'!A:B,2,FALSE)))+1)/VLOOKUP(B3764,'Poids des runes'!A:B,2,FALSE))</f>
        <v>12.933333333333332</v>
      </c>
      <c r="F3764">
        <f t="shared" si="58"/>
        <v>12.933333333333332</v>
      </c>
    </row>
    <row r="3765" spans="1:6" x14ac:dyDescent="0.3">
      <c r="A3765" t="s">
        <v>900</v>
      </c>
      <c r="B3765" t="s">
        <v>2156</v>
      </c>
      <c r="C3765">
        <v>4</v>
      </c>
      <c r="D3765">
        <v>120</v>
      </c>
      <c r="E3765">
        <f>IF(OR(B3765="vi",B3765="ii",B3765="pod"),(((D3765/100)*(C3765*VLOOKUP(B3765,'Poids des runes'!A:B,2,FALSE)))+1),(((D3765/100)*(C3765*VLOOKUP(B3765,'Poids des runes'!A:B,2,FALSE)))+1)/VLOOKUP(B3765,'Poids des runes'!A:B,2,FALSE))</f>
        <v>4.9666666666666659</v>
      </c>
      <c r="F3765">
        <f t="shared" si="58"/>
        <v>4.9666666666666659</v>
      </c>
    </row>
    <row r="3766" spans="1:6" x14ac:dyDescent="0.3">
      <c r="A3766" t="s">
        <v>900</v>
      </c>
      <c r="B3766" t="s">
        <v>2148</v>
      </c>
      <c r="C3766">
        <v>4</v>
      </c>
      <c r="D3766">
        <v>120</v>
      </c>
      <c r="E3766">
        <f>IF(OR(B3766="vi",B3766="ii",B3766="pod"),(((D3766/100)*(C3766*VLOOKUP(B3766,'Poids des runes'!A:B,2,FALSE)))+1),(((D3766/100)*(C3766*VLOOKUP(B3766,'Poids des runes'!A:B,2,FALSE)))+1)/VLOOKUP(B3766,'Poids des runes'!A:B,2,FALSE))</f>
        <v>4.9666666666666659</v>
      </c>
      <c r="F3766">
        <f t="shared" si="58"/>
        <v>4.9666666666666659</v>
      </c>
    </row>
    <row r="3767" spans="1:6" x14ac:dyDescent="0.3">
      <c r="A3767" t="s">
        <v>900</v>
      </c>
      <c r="B3767" t="s">
        <v>2157</v>
      </c>
      <c r="C3767">
        <v>4</v>
      </c>
      <c r="D3767">
        <v>120</v>
      </c>
      <c r="E3767">
        <f>IF(OR(B3767="vi",B3767="ii",B3767="pod"),(((D3767/100)*(C3767*VLOOKUP(B3767,'Poids des runes'!A:B,2,FALSE)))+1),(((D3767/100)*(C3767*VLOOKUP(B3767,'Poids des runes'!A:B,2,FALSE)))+1)/VLOOKUP(B3767,'Poids des runes'!A:B,2,FALSE))</f>
        <v>4.9666666666666659</v>
      </c>
      <c r="F3767">
        <f t="shared" si="58"/>
        <v>4.9666666666666659</v>
      </c>
    </row>
    <row r="3768" spans="1:6" x14ac:dyDescent="0.3">
      <c r="A3768" t="s">
        <v>901</v>
      </c>
      <c r="B3768" t="s">
        <v>2128</v>
      </c>
      <c r="C3768">
        <v>175.5</v>
      </c>
      <c r="D3768">
        <v>120</v>
      </c>
      <c r="E3768">
        <f>IF(OR(B3768="vi",B3768="ii",B3768="pod"),(((D3768/100)*(C3768*VLOOKUP(B3768,'Poids des runes'!A:B,2,FALSE)))+1),(((D3768/100)*(C3768*VLOOKUP(B3768,'Poids des runes'!A:B,2,FALSE)))+1)/VLOOKUP(B3768,'Poids des runes'!A:B,2,FALSE))</f>
        <v>43.12</v>
      </c>
      <c r="F3768">
        <f t="shared" si="58"/>
        <v>43.12</v>
      </c>
    </row>
    <row r="3769" spans="1:6" x14ac:dyDescent="0.3">
      <c r="A3769" t="s">
        <v>901</v>
      </c>
      <c r="B3769" t="s">
        <v>2126</v>
      </c>
      <c r="C3769">
        <v>40.5</v>
      </c>
      <c r="D3769">
        <v>120</v>
      </c>
      <c r="E3769">
        <f>IF(OR(B3769="vi",B3769="ii",B3769="pod"),(((D3769/100)*(C3769*VLOOKUP(B3769,'Poids des runes'!A:B,2,FALSE)))+1),(((D3769/100)*(C3769*VLOOKUP(B3769,'Poids des runes'!A:B,2,FALSE)))+1)/VLOOKUP(B3769,'Poids des runes'!A:B,2,FALSE))</f>
        <v>49.6</v>
      </c>
      <c r="F3769">
        <f t="shared" si="58"/>
        <v>49.6</v>
      </c>
    </row>
    <row r="3770" spans="1:6" x14ac:dyDescent="0.3">
      <c r="A3770" t="s">
        <v>901</v>
      </c>
      <c r="B3770" t="s">
        <v>2127</v>
      </c>
      <c r="C3770">
        <v>40.5</v>
      </c>
      <c r="D3770">
        <v>120</v>
      </c>
      <c r="E3770">
        <f>IF(OR(B3770="vi",B3770="ii",B3770="pod"),(((D3770/100)*(C3770*VLOOKUP(B3770,'Poids des runes'!A:B,2,FALSE)))+1),(((D3770/100)*(C3770*VLOOKUP(B3770,'Poids des runes'!A:B,2,FALSE)))+1)/VLOOKUP(B3770,'Poids des runes'!A:B,2,FALSE))</f>
        <v>49.6</v>
      </c>
      <c r="F3770">
        <f t="shared" si="58"/>
        <v>49.6</v>
      </c>
    </row>
    <row r="3771" spans="1:6" x14ac:dyDescent="0.3">
      <c r="A3771" t="s">
        <v>901</v>
      </c>
      <c r="B3771" t="s">
        <v>2140</v>
      </c>
      <c r="C3771">
        <v>5</v>
      </c>
      <c r="D3771">
        <v>120</v>
      </c>
      <c r="E3771">
        <f>IF(OR(B3771="vi",B3771="ii",B3771="pod"),(((D3771/100)*(C3771*VLOOKUP(B3771,'Poids des runes'!A:B,2,FALSE)))+1),(((D3771/100)*(C3771*VLOOKUP(B3771,'Poids des runes'!A:B,2,FALSE)))+1)/VLOOKUP(B3771,'Poids des runes'!A:B,2,FALSE))</f>
        <v>6.2</v>
      </c>
      <c r="F3771">
        <f t="shared" si="58"/>
        <v>6.2</v>
      </c>
    </row>
    <row r="3772" spans="1:6" x14ac:dyDescent="0.3">
      <c r="A3772" t="s">
        <v>901</v>
      </c>
      <c r="B3772" t="s">
        <v>2153</v>
      </c>
      <c r="C3772">
        <v>5</v>
      </c>
      <c r="D3772">
        <v>120</v>
      </c>
      <c r="E3772">
        <f>IF(OR(B3772="vi",B3772="ii",B3772="pod"),(((D3772/100)*(C3772*VLOOKUP(B3772,'Poids des runes'!A:B,2,FALSE)))+1),(((D3772/100)*(C3772*VLOOKUP(B3772,'Poids des runes'!A:B,2,FALSE)))+1)/VLOOKUP(B3772,'Poids des runes'!A:B,2,FALSE))</f>
        <v>6.2</v>
      </c>
      <c r="F3772">
        <f t="shared" si="58"/>
        <v>6.2</v>
      </c>
    </row>
    <row r="3773" spans="1:6" x14ac:dyDescent="0.3">
      <c r="A3773" t="s">
        <v>901</v>
      </c>
      <c r="B3773" t="s">
        <v>2161</v>
      </c>
      <c r="C3773">
        <v>18</v>
      </c>
      <c r="D3773">
        <v>120</v>
      </c>
      <c r="E3773">
        <f>IF(OR(B3773="vi",B3773="ii",B3773="pod"),(((D3773/100)*(C3773*VLOOKUP(B3773,'Poids des runes'!A:B,2,FALSE)))+1),(((D3773/100)*(C3773*VLOOKUP(B3773,'Poids des runes'!A:B,2,FALSE)))+1)/VLOOKUP(B3773,'Poids des runes'!A:B,2,FALSE))</f>
        <v>21.933333333333334</v>
      </c>
      <c r="F3773">
        <f t="shared" si="58"/>
        <v>21.933333333333334</v>
      </c>
    </row>
    <row r="3774" spans="1:6" x14ac:dyDescent="0.3">
      <c r="A3774" t="s">
        <v>901</v>
      </c>
      <c r="B3774" t="s">
        <v>2135</v>
      </c>
      <c r="C3774">
        <v>4</v>
      </c>
      <c r="D3774">
        <v>120</v>
      </c>
      <c r="E3774">
        <f>IF(OR(B3774="vi",B3774="ii",B3774="pod"),(((D3774/100)*(C3774*VLOOKUP(B3774,'Poids des runes'!A:B,2,FALSE)))+1),(((D3774/100)*(C3774*VLOOKUP(B3774,'Poids des runes'!A:B,2,FALSE)))+1)/VLOOKUP(B3774,'Poids des runes'!A:B,2,FALSE))</f>
        <v>4.9666666666666659</v>
      </c>
      <c r="F3774">
        <f t="shared" si="58"/>
        <v>4.9666666666666659</v>
      </c>
    </row>
    <row r="3775" spans="1:6" x14ac:dyDescent="0.3">
      <c r="A3775" t="s">
        <v>901</v>
      </c>
      <c r="B3775" t="s">
        <v>2157</v>
      </c>
      <c r="C3775">
        <v>4</v>
      </c>
      <c r="D3775">
        <v>120</v>
      </c>
      <c r="E3775">
        <f>IF(OR(B3775="vi",B3775="ii",B3775="pod"),(((D3775/100)*(C3775*VLOOKUP(B3775,'Poids des runes'!A:B,2,FALSE)))+1),(((D3775/100)*(C3775*VLOOKUP(B3775,'Poids des runes'!A:B,2,FALSE)))+1)/VLOOKUP(B3775,'Poids des runes'!A:B,2,FALSE))</f>
        <v>4.9666666666666659</v>
      </c>
      <c r="F3775">
        <f t="shared" si="58"/>
        <v>4.9666666666666659</v>
      </c>
    </row>
    <row r="3776" spans="1:6" x14ac:dyDescent="0.3">
      <c r="A3776" t="s">
        <v>901</v>
      </c>
      <c r="B3776" t="s">
        <v>2145</v>
      </c>
      <c r="C3776">
        <v>8</v>
      </c>
      <c r="D3776">
        <v>120</v>
      </c>
      <c r="E3776">
        <f>IF(OR(B3776="vi",B3776="ii",B3776="pod"),(((D3776/100)*(C3776*VLOOKUP(B3776,'Poids des runes'!A:B,2,FALSE)))+1),(((D3776/100)*(C3776*VLOOKUP(B3776,'Poids des runes'!A:B,2,FALSE)))+1)/VLOOKUP(B3776,'Poids des runes'!A:B,2,FALSE))</f>
        <v>10.1</v>
      </c>
      <c r="F3776">
        <f t="shared" si="58"/>
        <v>10.1</v>
      </c>
    </row>
    <row r="3777" spans="1:6" x14ac:dyDescent="0.3">
      <c r="A3777" t="s">
        <v>902</v>
      </c>
      <c r="B3777" t="s">
        <v>2128</v>
      </c>
      <c r="C3777">
        <v>225.5</v>
      </c>
      <c r="D3777">
        <v>120</v>
      </c>
      <c r="E3777">
        <f>IF(OR(B3777="vi",B3777="ii",B3777="pod"),(((D3777/100)*(C3777*VLOOKUP(B3777,'Poids des runes'!A:B,2,FALSE)))+1),(((D3777/100)*(C3777*VLOOKUP(B3777,'Poids des runes'!A:B,2,FALSE)))+1)/VLOOKUP(B3777,'Poids des runes'!A:B,2,FALSE))</f>
        <v>55.12</v>
      </c>
      <c r="F3777">
        <f t="shared" si="58"/>
        <v>55.12</v>
      </c>
    </row>
    <row r="3778" spans="1:6" x14ac:dyDescent="0.3">
      <c r="A3778" t="s">
        <v>902</v>
      </c>
      <c r="B3778" t="s">
        <v>2130</v>
      </c>
      <c r="C3778">
        <v>40.5</v>
      </c>
      <c r="D3778">
        <v>120</v>
      </c>
      <c r="E3778">
        <f>IF(OR(B3778="vi",B3778="ii",B3778="pod"),(((D3778/100)*(C3778*VLOOKUP(B3778,'Poids des runes'!A:B,2,FALSE)))+1),(((D3778/100)*(C3778*VLOOKUP(B3778,'Poids des runes'!A:B,2,FALSE)))+1)/VLOOKUP(B3778,'Poids des runes'!A:B,2,FALSE))</f>
        <v>49.6</v>
      </c>
      <c r="F3778">
        <f t="shared" si="58"/>
        <v>49.6</v>
      </c>
    </row>
    <row r="3779" spans="1:6" x14ac:dyDescent="0.3">
      <c r="A3779" t="s">
        <v>902</v>
      </c>
      <c r="B3779" t="s">
        <v>2127</v>
      </c>
      <c r="C3779">
        <v>40.5</v>
      </c>
      <c r="D3779">
        <v>120</v>
      </c>
      <c r="E3779">
        <f>IF(OR(B3779="vi",B3779="ii",B3779="pod"),(((D3779/100)*(C3779*VLOOKUP(B3779,'Poids des runes'!A:B,2,FALSE)))+1),(((D3779/100)*(C3779*VLOOKUP(B3779,'Poids des runes'!A:B,2,FALSE)))+1)/VLOOKUP(B3779,'Poids des runes'!A:B,2,FALSE))</f>
        <v>49.6</v>
      </c>
      <c r="F3779">
        <f t="shared" ref="F3779:F3842" si="59">E3779</f>
        <v>49.6</v>
      </c>
    </row>
    <row r="3780" spans="1:6" x14ac:dyDescent="0.3">
      <c r="A3780" t="s">
        <v>902</v>
      </c>
      <c r="B3780" t="s">
        <v>2139</v>
      </c>
      <c r="C3780">
        <v>20.5</v>
      </c>
      <c r="D3780">
        <v>120</v>
      </c>
      <c r="E3780">
        <f>IF(OR(B3780="vi",B3780="ii",B3780="pod"),(((D3780/100)*(C3780*VLOOKUP(B3780,'Poids des runes'!A:B,2,FALSE)))+1),(((D3780/100)*(C3780*VLOOKUP(B3780,'Poids des runes'!A:B,2,FALSE)))+1)/VLOOKUP(B3780,'Poids des runes'!A:B,2,FALSE))</f>
        <v>25.099999999999998</v>
      </c>
      <c r="F3780">
        <f t="shared" si="59"/>
        <v>25.099999999999998</v>
      </c>
    </row>
    <row r="3781" spans="1:6" x14ac:dyDescent="0.3">
      <c r="A3781" t="s">
        <v>902</v>
      </c>
      <c r="B3781" t="s">
        <v>2151</v>
      </c>
      <c r="C3781">
        <v>6</v>
      </c>
      <c r="D3781">
        <v>120</v>
      </c>
      <c r="E3781">
        <f>IF(OR(B3781="vi",B3781="ii",B3781="pod"),(((D3781/100)*(C3781*VLOOKUP(B3781,'Poids des runes'!A:B,2,FALSE)))+1),(((D3781/100)*(C3781*VLOOKUP(B3781,'Poids des runes'!A:B,2,FALSE)))+1)/VLOOKUP(B3781,'Poids des runes'!A:B,2,FALSE))</f>
        <v>7.3</v>
      </c>
      <c r="F3781">
        <f t="shared" si="59"/>
        <v>7.3</v>
      </c>
    </row>
    <row r="3782" spans="1:6" x14ac:dyDescent="0.3">
      <c r="A3782" t="s">
        <v>902</v>
      </c>
      <c r="B3782" t="s">
        <v>2134</v>
      </c>
      <c r="C3782">
        <v>8</v>
      </c>
      <c r="D3782">
        <v>120</v>
      </c>
      <c r="E3782">
        <f>IF(OR(B3782="vi",B3782="ii",B3782="pod"),(((D3782/100)*(C3782*VLOOKUP(B3782,'Poids des runes'!A:B,2,FALSE)))+1),(((D3782/100)*(C3782*VLOOKUP(B3782,'Poids des runes'!A:B,2,FALSE)))+1)/VLOOKUP(B3782,'Poids des runes'!A:B,2,FALSE))</f>
        <v>9.65</v>
      </c>
      <c r="F3782">
        <f t="shared" si="59"/>
        <v>9.65</v>
      </c>
    </row>
    <row r="3783" spans="1:6" x14ac:dyDescent="0.3">
      <c r="A3783" t="s">
        <v>902</v>
      </c>
      <c r="B3783" t="s">
        <v>2132</v>
      </c>
      <c r="C3783">
        <v>300</v>
      </c>
      <c r="D3783">
        <v>120</v>
      </c>
      <c r="E3783">
        <f>IF(OR(B3783="vi",B3783="ii",B3783="pod"),(((D3783/100)*(C3783*VLOOKUP(B3783,'Poids des runes'!A:B,2,FALSE)))+1),(((D3783/100)*(C3783*VLOOKUP(B3783,'Poids des runes'!A:B,2,FALSE)))+1)/VLOOKUP(B3783,'Poids des runes'!A:B,2,FALSE))</f>
        <v>37</v>
      </c>
      <c r="F3783">
        <f t="shared" si="59"/>
        <v>37</v>
      </c>
    </row>
    <row r="3784" spans="1:6" x14ac:dyDescent="0.3">
      <c r="A3784" t="s">
        <v>903</v>
      </c>
      <c r="B3784" t="s">
        <v>2128</v>
      </c>
      <c r="C3784">
        <v>175.5</v>
      </c>
      <c r="D3784">
        <v>120</v>
      </c>
      <c r="E3784">
        <f>IF(OR(B3784="vi",B3784="ii",B3784="pod"),(((D3784/100)*(C3784*VLOOKUP(B3784,'Poids des runes'!A:B,2,FALSE)))+1),(((D3784/100)*(C3784*VLOOKUP(B3784,'Poids des runes'!A:B,2,FALSE)))+1)/VLOOKUP(B3784,'Poids des runes'!A:B,2,FALSE))</f>
        <v>43.12</v>
      </c>
      <c r="F3784">
        <f t="shared" si="59"/>
        <v>43.12</v>
      </c>
    </row>
    <row r="3785" spans="1:6" x14ac:dyDescent="0.3">
      <c r="A3785" t="s">
        <v>903</v>
      </c>
      <c r="B3785" t="s">
        <v>2139</v>
      </c>
      <c r="C3785">
        <v>25.5</v>
      </c>
      <c r="D3785">
        <v>120</v>
      </c>
      <c r="E3785">
        <f>IF(OR(B3785="vi",B3785="ii",B3785="pod"),(((D3785/100)*(C3785*VLOOKUP(B3785,'Poids des runes'!A:B,2,FALSE)))+1),(((D3785/100)*(C3785*VLOOKUP(B3785,'Poids des runes'!A:B,2,FALSE)))+1)/VLOOKUP(B3785,'Poids des runes'!A:B,2,FALSE))</f>
        <v>31.099999999999998</v>
      </c>
      <c r="F3785">
        <f t="shared" si="59"/>
        <v>31.099999999999998</v>
      </c>
    </row>
    <row r="3786" spans="1:6" x14ac:dyDescent="0.3">
      <c r="A3786" t="s">
        <v>903</v>
      </c>
      <c r="B3786" t="s">
        <v>2151</v>
      </c>
      <c r="C3786">
        <v>6</v>
      </c>
      <c r="D3786">
        <v>120</v>
      </c>
      <c r="E3786">
        <f>IF(OR(B3786="vi",B3786="ii",B3786="pod"),(((D3786/100)*(C3786*VLOOKUP(B3786,'Poids des runes'!A:B,2,FALSE)))+1),(((D3786/100)*(C3786*VLOOKUP(B3786,'Poids des runes'!A:B,2,FALSE)))+1)/VLOOKUP(B3786,'Poids des runes'!A:B,2,FALSE))</f>
        <v>7.3</v>
      </c>
      <c r="F3786">
        <f t="shared" si="59"/>
        <v>7.3</v>
      </c>
    </row>
    <row r="3787" spans="1:6" x14ac:dyDescent="0.3">
      <c r="A3787" t="s">
        <v>903</v>
      </c>
      <c r="B3787" t="s">
        <v>2134</v>
      </c>
      <c r="C3787">
        <v>3.5</v>
      </c>
      <c r="D3787">
        <v>120</v>
      </c>
      <c r="E3787">
        <f>IF(OR(B3787="vi",B3787="ii",B3787="pod"),(((D3787/100)*(C3787*VLOOKUP(B3787,'Poids des runes'!A:B,2,FALSE)))+1),(((D3787/100)*(C3787*VLOOKUP(B3787,'Poids des runes'!A:B,2,FALSE)))+1)/VLOOKUP(B3787,'Poids des runes'!A:B,2,FALSE))</f>
        <v>4.25</v>
      </c>
      <c r="F3787">
        <f t="shared" si="59"/>
        <v>4.25</v>
      </c>
    </row>
    <row r="3788" spans="1:6" x14ac:dyDescent="0.3">
      <c r="A3788" t="s">
        <v>903</v>
      </c>
      <c r="B3788" t="s">
        <v>2132</v>
      </c>
      <c r="C3788">
        <v>900.5</v>
      </c>
      <c r="D3788">
        <v>120</v>
      </c>
      <c r="E3788">
        <f>IF(OR(B3788="vi",B3788="ii",B3788="pod"),(((D3788/100)*(C3788*VLOOKUP(B3788,'Poids des runes'!A:B,2,FALSE)))+1),(((D3788/100)*(C3788*VLOOKUP(B3788,'Poids des runes'!A:B,2,FALSE)))+1)/VLOOKUP(B3788,'Poids des runes'!A:B,2,FALSE))</f>
        <v>109.06000000000002</v>
      </c>
      <c r="F3788">
        <f t="shared" si="59"/>
        <v>109.06000000000002</v>
      </c>
    </row>
    <row r="3789" spans="1:6" x14ac:dyDescent="0.3">
      <c r="A3789" t="s">
        <v>903</v>
      </c>
      <c r="B3789" t="s">
        <v>2141</v>
      </c>
      <c r="C3789">
        <v>6.5</v>
      </c>
      <c r="D3789">
        <v>120</v>
      </c>
      <c r="E3789">
        <f>IF(OR(B3789="vi",B3789="ii",B3789="pod"),(((D3789/100)*(C3789*VLOOKUP(B3789,'Poids des runes'!A:B,2,FALSE)))+1),(((D3789/100)*(C3789*VLOOKUP(B3789,'Poids des runes'!A:B,2,FALSE)))+1)/VLOOKUP(B3789,'Poids des runes'!A:B,2,FALSE))</f>
        <v>8.0500000000000007</v>
      </c>
      <c r="F3789">
        <f t="shared" si="59"/>
        <v>8.0500000000000007</v>
      </c>
    </row>
    <row r="3790" spans="1:6" x14ac:dyDescent="0.3">
      <c r="A3790" t="s">
        <v>903</v>
      </c>
      <c r="B3790" t="s">
        <v>2158</v>
      </c>
      <c r="C3790">
        <v>13</v>
      </c>
      <c r="D3790">
        <v>120</v>
      </c>
      <c r="E3790">
        <f>IF(OR(B3790="vi",B3790="ii",B3790="pod"),(((D3790/100)*(C3790*VLOOKUP(B3790,'Poids des runes'!A:B,2,FALSE)))+1),(((D3790/100)*(C3790*VLOOKUP(B3790,'Poids des runes'!A:B,2,FALSE)))+1)/VLOOKUP(B3790,'Poids des runes'!A:B,2,FALSE))</f>
        <v>15.8</v>
      </c>
      <c r="F3790">
        <f t="shared" si="59"/>
        <v>15.8</v>
      </c>
    </row>
    <row r="3791" spans="1:6" x14ac:dyDescent="0.3">
      <c r="A3791" t="s">
        <v>904</v>
      </c>
      <c r="B3791" t="s">
        <v>2128</v>
      </c>
      <c r="C3791">
        <v>175.5</v>
      </c>
      <c r="D3791">
        <v>120</v>
      </c>
      <c r="E3791">
        <f>IF(OR(B3791="vi",B3791="ii",B3791="pod"),(((D3791/100)*(C3791*VLOOKUP(B3791,'Poids des runes'!A:B,2,FALSE)))+1),(((D3791/100)*(C3791*VLOOKUP(B3791,'Poids des runes'!A:B,2,FALSE)))+1)/VLOOKUP(B3791,'Poids des runes'!A:B,2,FALSE))</f>
        <v>43.12</v>
      </c>
      <c r="F3791">
        <f t="shared" si="59"/>
        <v>43.12</v>
      </c>
    </row>
    <row r="3792" spans="1:6" x14ac:dyDescent="0.3">
      <c r="A3792" t="s">
        <v>904</v>
      </c>
      <c r="B3792" t="s">
        <v>2130</v>
      </c>
      <c r="C3792">
        <v>40.5</v>
      </c>
      <c r="D3792">
        <v>120</v>
      </c>
      <c r="E3792">
        <f>IF(OR(B3792="vi",B3792="ii",B3792="pod"),(((D3792/100)*(C3792*VLOOKUP(B3792,'Poids des runes'!A:B,2,FALSE)))+1),(((D3792/100)*(C3792*VLOOKUP(B3792,'Poids des runes'!A:B,2,FALSE)))+1)/VLOOKUP(B3792,'Poids des runes'!A:B,2,FALSE))</f>
        <v>49.6</v>
      </c>
      <c r="F3792">
        <f t="shared" si="59"/>
        <v>49.6</v>
      </c>
    </row>
    <row r="3793" spans="1:6" x14ac:dyDescent="0.3">
      <c r="A3793" t="s">
        <v>904</v>
      </c>
      <c r="B3793" t="s">
        <v>2127</v>
      </c>
      <c r="C3793">
        <v>40.5</v>
      </c>
      <c r="D3793">
        <v>120</v>
      </c>
      <c r="E3793">
        <f>IF(OR(B3793="vi",B3793="ii",B3793="pod"),(((D3793/100)*(C3793*VLOOKUP(B3793,'Poids des runes'!A:B,2,FALSE)))+1),(((D3793/100)*(C3793*VLOOKUP(B3793,'Poids des runes'!A:B,2,FALSE)))+1)/VLOOKUP(B3793,'Poids des runes'!A:B,2,FALSE))</f>
        <v>49.6</v>
      </c>
      <c r="F3793">
        <f t="shared" si="59"/>
        <v>49.6</v>
      </c>
    </row>
    <row r="3794" spans="1:6" x14ac:dyDescent="0.3">
      <c r="A3794" t="s">
        <v>904</v>
      </c>
      <c r="B3794" t="s">
        <v>2151</v>
      </c>
      <c r="C3794">
        <v>2.5</v>
      </c>
      <c r="D3794">
        <v>120</v>
      </c>
      <c r="E3794">
        <f>IF(OR(B3794="vi",B3794="ii",B3794="pod"),(((D3794/100)*(C3794*VLOOKUP(B3794,'Poids des runes'!A:B,2,FALSE)))+1),(((D3794/100)*(C3794*VLOOKUP(B3794,'Poids des runes'!A:B,2,FALSE)))+1)/VLOOKUP(B3794,'Poids des runes'!A:B,2,FALSE))</f>
        <v>3.1</v>
      </c>
      <c r="F3794">
        <f t="shared" si="59"/>
        <v>3.1</v>
      </c>
    </row>
    <row r="3795" spans="1:6" x14ac:dyDescent="0.3">
      <c r="A3795" t="s">
        <v>904</v>
      </c>
      <c r="B3795" t="s">
        <v>2155</v>
      </c>
      <c r="C3795">
        <v>1</v>
      </c>
      <c r="D3795">
        <v>120</v>
      </c>
      <c r="E3795">
        <f>IF(OR(B3795="vi",B3795="ii",B3795="pod"),(((D3795/100)*(C3795*VLOOKUP(B3795,'Poids des runes'!A:B,2,FALSE)))+1),(((D3795/100)*(C3795*VLOOKUP(B3795,'Poids des runes'!A:B,2,FALSE)))+1)/VLOOKUP(B3795,'Poids des runes'!A:B,2,FALSE))</f>
        <v>1.2196078431372548</v>
      </c>
      <c r="F3795">
        <f t="shared" si="59"/>
        <v>1.2196078431372548</v>
      </c>
    </row>
    <row r="3796" spans="1:6" x14ac:dyDescent="0.3">
      <c r="A3796" t="s">
        <v>904</v>
      </c>
      <c r="B3796" t="s">
        <v>2161</v>
      </c>
      <c r="C3796">
        <v>18</v>
      </c>
      <c r="D3796">
        <v>120</v>
      </c>
      <c r="E3796">
        <f>IF(OR(B3796="vi",B3796="ii",B3796="pod"),(((D3796/100)*(C3796*VLOOKUP(B3796,'Poids des runes'!A:B,2,FALSE)))+1),(((D3796/100)*(C3796*VLOOKUP(B3796,'Poids des runes'!A:B,2,FALSE)))+1)/VLOOKUP(B3796,'Poids des runes'!A:B,2,FALSE))</f>
        <v>21.933333333333334</v>
      </c>
      <c r="F3796">
        <f t="shared" si="59"/>
        <v>21.933333333333334</v>
      </c>
    </row>
    <row r="3797" spans="1:6" x14ac:dyDescent="0.3">
      <c r="A3797" t="s">
        <v>904</v>
      </c>
      <c r="B3797" t="s">
        <v>2148</v>
      </c>
      <c r="C3797">
        <v>4</v>
      </c>
      <c r="D3797">
        <v>120</v>
      </c>
      <c r="E3797">
        <f>IF(OR(B3797="vi",B3797="ii",B3797="pod"),(((D3797/100)*(C3797*VLOOKUP(B3797,'Poids des runes'!A:B,2,FALSE)))+1),(((D3797/100)*(C3797*VLOOKUP(B3797,'Poids des runes'!A:B,2,FALSE)))+1)/VLOOKUP(B3797,'Poids des runes'!A:B,2,FALSE))</f>
        <v>4.9666666666666659</v>
      </c>
      <c r="F3797">
        <f t="shared" si="59"/>
        <v>4.9666666666666659</v>
      </c>
    </row>
    <row r="3798" spans="1:6" x14ac:dyDescent="0.3">
      <c r="A3798" t="s">
        <v>904</v>
      </c>
      <c r="B3798" t="s">
        <v>2157</v>
      </c>
      <c r="C3798">
        <v>4</v>
      </c>
      <c r="D3798">
        <v>120</v>
      </c>
      <c r="E3798">
        <f>IF(OR(B3798="vi",B3798="ii",B3798="pod"),(((D3798/100)*(C3798*VLOOKUP(B3798,'Poids des runes'!A:B,2,FALSE)))+1),(((D3798/100)*(C3798*VLOOKUP(B3798,'Poids des runes'!A:B,2,FALSE)))+1)/VLOOKUP(B3798,'Poids des runes'!A:B,2,FALSE))</f>
        <v>4.9666666666666659</v>
      </c>
      <c r="F3798">
        <f t="shared" si="59"/>
        <v>4.9666666666666659</v>
      </c>
    </row>
    <row r="3799" spans="1:6" x14ac:dyDescent="0.3">
      <c r="A3799" t="s">
        <v>905</v>
      </c>
      <c r="B3799" t="s">
        <v>2128</v>
      </c>
      <c r="C3799">
        <v>175.5</v>
      </c>
      <c r="D3799">
        <v>120</v>
      </c>
      <c r="E3799">
        <f>IF(OR(B3799="vi",B3799="ii",B3799="pod"),(((D3799/100)*(C3799*VLOOKUP(B3799,'Poids des runes'!A:B,2,FALSE)))+1),(((D3799/100)*(C3799*VLOOKUP(B3799,'Poids des runes'!A:B,2,FALSE)))+1)/VLOOKUP(B3799,'Poids des runes'!A:B,2,FALSE))</f>
        <v>43.12</v>
      </c>
      <c r="F3799">
        <f t="shared" si="59"/>
        <v>43.12</v>
      </c>
    </row>
    <row r="3800" spans="1:6" x14ac:dyDescent="0.3">
      <c r="A3800" t="s">
        <v>905</v>
      </c>
      <c r="B3800" t="s">
        <v>2126</v>
      </c>
      <c r="C3800">
        <v>60.5</v>
      </c>
      <c r="D3800">
        <v>120</v>
      </c>
      <c r="E3800">
        <f>IF(OR(B3800="vi",B3800="ii",B3800="pod"),(((D3800/100)*(C3800*VLOOKUP(B3800,'Poids des runes'!A:B,2,FALSE)))+1),(((D3800/100)*(C3800*VLOOKUP(B3800,'Poids des runes'!A:B,2,FALSE)))+1)/VLOOKUP(B3800,'Poids des runes'!A:B,2,FALSE))</f>
        <v>73.599999999999994</v>
      </c>
      <c r="F3800">
        <f t="shared" si="59"/>
        <v>73.599999999999994</v>
      </c>
    </row>
    <row r="3801" spans="1:6" x14ac:dyDescent="0.3">
      <c r="A3801" t="s">
        <v>905</v>
      </c>
      <c r="B3801" t="s">
        <v>2127</v>
      </c>
      <c r="C3801">
        <v>25.5</v>
      </c>
      <c r="D3801">
        <v>120</v>
      </c>
      <c r="E3801">
        <f>IF(OR(B3801="vi",B3801="ii",B3801="pod"),(((D3801/100)*(C3801*VLOOKUP(B3801,'Poids des runes'!A:B,2,FALSE)))+1),(((D3801/100)*(C3801*VLOOKUP(B3801,'Poids des runes'!A:B,2,FALSE)))+1)/VLOOKUP(B3801,'Poids des runes'!A:B,2,FALSE))</f>
        <v>31.599999999999998</v>
      </c>
      <c r="F3801">
        <f t="shared" si="59"/>
        <v>31.599999999999998</v>
      </c>
    </row>
    <row r="3802" spans="1:6" x14ac:dyDescent="0.3">
      <c r="A3802" t="s">
        <v>905</v>
      </c>
      <c r="B3802" t="s">
        <v>2129</v>
      </c>
      <c r="C3802">
        <v>20.5</v>
      </c>
      <c r="D3802">
        <v>120</v>
      </c>
      <c r="E3802">
        <f>IF(OR(B3802="vi",B3802="ii",B3802="pod"),(((D3802/100)*(C3802*VLOOKUP(B3802,'Poids des runes'!A:B,2,FALSE)))+1),(((D3802/100)*(C3802*VLOOKUP(B3802,'Poids des runes'!A:B,2,FALSE)))+1)/VLOOKUP(B3802,'Poids des runes'!A:B,2,FALSE))</f>
        <v>25.599999999999998</v>
      </c>
      <c r="F3802">
        <f t="shared" si="59"/>
        <v>25.599999999999998</v>
      </c>
    </row>
    <row r="3803" spans="1:6" x14ac:dyDescent="0.3">
      <c r="A3803" t="s">
        <v>905</v>
      </c>
      <c r="B3803" t="s">
        <v>2139</v>
      </c>
      <c r="C3803">
        <v>13</v>
      </c>
      <c r="D3803">
        <v>120</v>
      </c>
      <c r="E3803">
        <f>IF(OR(B3803="vi",B3803="ii",B3803="pod"),(((D3803/100)*(C3803*VLOOKUP(B3803,'Poids des runes'!A:B,2,FALSE)))+1),(((D3803/100)*(C3803*VLOOKUP(B3803,'Poids des runes'!A:B,2,FALSE)))+1)/VLOOKUP(B3803,'Poids des runes'!A:B,2,FALSE))</f>
        <v>16.100000000000001</v>
      </c>
      <c r="F3803">
        <f t="shared" si="59"/>
        <v>16.100000000000001</v>
      </c>
    </row>
    <row r="3804" spans="1:6" x14ac:dyDescent="0.3">
      <c r="A3804" t="s">
        <v>905</v>
      </c>
      <c r="B3804" t="s">
        <v>2140</v>
      </c>
      <c r="C3804">
        <v>6</v>
      </c>
      <c r="D3804">
        <v>120</v>
      </c>
      <c r="E3804">
        <f>IF(OR(B3804="vi",B3804="ii",B3804="pod"),(((D3804/100)*(C3804*VLOOKUP(B3804,'Poids des runes'!A:B,2,FALSE)))+1),(((D3804/100)*(C3804*VLOOKUP(B3804,'Poids des runes'!A:B,2,FALSE)))+1)/VLOOKUP(B3804,'Poids des runes'!A:B,2,FALSE))</f>
        <v>7.4</v>
      </c>
      <c r="F3804">
        <f t="shared" si="59"/>
        <v>7.4</v>
      </c>
    </row>
    <row r="3805" spans="1:6" x14ac:dyDescent="0.3">
      <c r="A3805" t="s">
        <v>905</v>
      </c>
      <c r="B3805" t="s">
        <v>2153</v>
      </c>
      <c r="C3805">
        <v>6</v>
      </c>
      <c r="D3805">
        <v>120</v>
      </c>
      <c r="E3805">
        <f>IF(OR(B3805="vi",B3805="ii",B3805="pod"),(((D3805/100)*(C3805*VLOOKUP(B3805,'Poids des runes'!A:B,2,FALSE)))+1),(((D3805/100)*(C3805*VLOOKUP(B3805,'Poids des runes'!A:B,2,FALSE)))+1)/VLOOKUP(B3805,'Poids des runes'!A:B,2,FALSE))</f>
        <v>7.4</v>
      </c>
      <c r="F3805">
        <f t="shared" si="59"/>
        <v>7.4</v>
      </c>
    </row>
    <row r="3806" spans="1:6" x14ac:dyDescent="0.3">
      <c r="A3806" t="s">
        <v>905</v>
      </c>
      <c r="B3806" t="s">
        <v>2149</v>
      </c>
      <c r="C3806">
        <v>5.5</v>
      </c>
      <c r="D3806">
        <v>120</v>
      </c>
      <c r="E3806">
        <f>IF(OR(B3806="vi",B3806="ii",B3806="pod"),(((D3806/100)*(C3806*VLOOKUP(B3806,'Poids des runes'!A:B,2,FALSE)))+1),(((D3806/100)*(C3806*VLOOKUP(B3806,'Poids des runes'!A:B,2,FALSE)))+1)/VLOOKUP(B3806,'Poids des runes'!A:B,2,FALSE))</f>
        <v>6.7</v>
      </c>
      <c r="F3806">
        <f t="shared" si="59"/>
        <v>6.7</v>
      </c>
    </row>
    <row r="3807" spans="1:6" x14ac:dyDescent="0.3">
      <c r="A3807" t="s">
        <v>905</v>
      </c>
      <c r="B3807" t="s">
        <v>2141</v>
      </c>
      <c r="C3807">
        <v>4</v>
      </c>
      <c r="D3807">
        <v>120</v>
      </c>
      <c r="E3807">
        <f>IF(OR(B3807="vi",B3807="ii",B3807="pod"),(((D3807/100)*(C3807*VLOOKUP(B3807,'Poids des runes'!A:B,2,FALSE)))+1),(((D3807/100)*(C3807*VLOOKUP(B3807,'Poids des runes'!A:B,2,FALSE)))+1)/VLOOKUP(B3807,'Poids des runes'!A:B,2,FALSE))</f>
        <v>5.05</v>
      </c>
      <c r="F3807">
        <f t="shared" si="59"/>
        <v>5.05</v>
      </c>
    </row>
    <row r="3808" spans="1:6" x14ac:dyDescent="0.3">
      <c r="A3808" t="s">
        <v>905</v>
      </c>
      <c r="B3808" t="s">
        <v>2135</v>
      </c>
      <c r="C3808">
        <v>4</v>
      </c>
      <c r="D3808">
        <v>120</v>
      </c>
      <c r="E3808">
        <f>IF(OR(B3808="vi",B3808="ii",B3808="pod"),(((D3808/100)*(C3808*VLOOKUP(B3808,'Poids des runes'!A:B,2,FALSE)))+1),(((D3808/100)*(C3808*VLOOKUP(B3808,'Poids des runes'!A:B,2,FALSE)))+1)/VLOOKUP(B3808,'Poids des runes'!A:B,2,FALSE))</f>
        <v>4.9666666666666659</v>
      </c>
      <c r="F3808">
        <f t="shared" si="59"/>
        <v>4.9666666666666659</v>
      </c>
    </row>
    <row r="3809" spans="1:6" x14ac:dyDescent="0.3">
      <c r="A3809" t="s">
        <v>906</v>
      </c>
      <c r="B3809" t="s">
        <v>2128</v>
      </c>
      <c r="C3809">
        <v>125.5</v>
      </c>
      <c r="D3809">
        <v>120</v>
      </c>
      <c r="E3809">
        <f>IF(OR(B3809="vi",B3809="ii",B3809="pod"),(((D3809/100)*(C3809*VLOOKUP(B3809,'Poids des runes'!A:B,2,FALSE)))+1),(((D3809/100)*(C3809*VLOOKUP(B3809,'Poids des runes'!A:B,2,FALSE)))+1)/VLOOKUP(B3809,'Poids des runes'!A:B,2,FALSE))</f>
        <v>31.12</v>
      </c>
      <c r="F3809">
        <f t="shared" si="59"/>
        <v>31.12</v>
      </c>
    </row>
    <row r="3810" spans="1:6" x14ac:dyDescent="0.3">
      <c r="A3810" t="s">
        <v>906</v>
      </c>
      <c r="B3810" t="s">
        <v>2126</v>
      </c>
      <c r="C3810">
        <v>35.5</v>
      </c>
      <c r="D3810">
        <v>120</v>
      </c>
      <c r="E3810">
        <f>IF(OR(B3810="vi",B3810="ii",B3810="pod"),(((D3810/100)*(C3810*VLOOKUP(B3810,'Poids des runes'!A:B,2,FALSE)))+1),(((D3810/100)*(C3810*VLOOKUP(B3810,'Poids des runes'!A:B,2,FALSE)))+1)/VLOOKUP(B3810,'Poids des runes'!A:B,2,FALSE))</f>
        <v>43.6</v>
      </c>
      <c r="F3810">
        <f t="shared" si="59"/>
        <v>43.6</v>
      </c>
    </row>
    <row r="3811" spans="1:6" x14ac:dyDescent="0.3">
      <c r="A3811" t="s">
        <v>906</v>
      </c>
      <c r="B3811" t="s">
        <v>2131</v>
      </c>
      <c r="C3811">
        <v>35.5</v>
      </c>
      <c r="D3811">
        <v>120</v>
      </c>
      <c r="E3811">
        <f>IF(OR(B3811="vi",B3811="ii",B3811="pod"),(((D3811/100)*(C3811*VLOOKUP(B3811,'Poids des runes'!A:B,2,FALSE)))+1),(((D3811/100)*(C3811*VLOOKUP(B3811,'Poids des runes'!A:B,2,FALSE)))+1)/VLOOKUP(B3811,'Poids des runes'!A:B,2,FALSE))</f>
        <v>43.6</v>
      </c>
      <c r="F3811">
        <f t="shared" si="59"/>
        <v>43.6</v>
      </c>
    </row>
    <row r="3812" spans="1:6" x14ac:dyDescent="0.3">
      <c r="A3812" t="s">
        <v>906</v>
      </c>
      <c r="B3812" t="s">
        <v>2129</v>
      </c>
      <c r="C3812">
        <v>25.5</v>
      </c>
      <c r="D3812">
        <v>120</v>
      </c>
      <c r="E3812">
        <f>IF(OR(B3812="vi",B3812="ii",B3812="pod"),(((D3812/100)*(C3812*VLOOKUP(B3812,'Poids des runes'!A:B,2,FALSE)))+1),(((D3812/100)*(C3812*VLOOKUP(B3812,'Poids des runes'!A:B,2,FALSE)))+1)/VLOOKUP(B3812,'Poids des runes'!A:B,2,FALSE))</f>
        <v>31.599999999999998</v>
      </c>
      <c r="F3812">
        <f t="shared" si="59"/>
        <v>31.599999999999998</v>
      </c>
    </row>
    <row r="3813" spans="1:6" x14ac:dyDescent="0.3">
      <c r="A3813" t="s">
        <v>906</v>
      </c>
      <c r="B3813" t="s">
        <v>2154</v>
      </c>
      <c r="C3813">
        <v>1</v>
      </c>
      <c r="D3813">
        <v>120</v>
      </c>
      <c r="E3813">
        <f>IF(OR(B3813="vi",B3813="ii",B3813="pod"),(((D3813/100)*(C3813*VLOOKUP(B3813,'Poids des runes'!A:B,2,FALSE)))+1),(((D3813/100)*(C3813*VLOOKUP(B3813,'Poids des runes'!A:B,2,FALSE)))+1)/VLOOKUP(B3813,'Poids des runes'!A:B,2,FALSE))</f>
        <v>1.211111111111111</v>
      </c>
      <c r="F3813">
        <f t="shared" si="59"/>
        <v>1.211111111111111</v>
      </c>
    </row>
    <row r="3814" spans="1:6" x14ac:dyDescent="0.3">
      <c r="A3814" t="s">
        <v>906</v>
      </c>
      <c r="B3814" t="s">
        <v>2140</v>
      </c>
      <c r="C3814">
        <v>7</v>
      </c>
      <c r="D3814">
        <v>120</v>
      </c>
      <c r="E3814">
        <f>IF(OR(B3814="vi",B3814="ii",B3814="pod"),(((D3814/100)*(C3814*VLOOKUP(B3814,'Poids des runes'!A:B,2,FALSE)))+1),(((D3814/100)*(C3814*VLOOKUP(B3814,'Poids des runes'!A:B,2,FALSE)))+1)/VLOOKUP(B3814,'Poids des runes'!A:B,2,FALSE))</f>
        <v>8.6</v>
      </c>
      <c r="F3814">
        <f t="shared" si="59"/>
        <v>8.6</v>
      </c>
    </row>
    <row r="3815" spans="1:6" x14ac:dyDescent="0.3">
      <c r="A3815" t="s">
        <v>906</v>
      </c>
      <c r="B3815" t="s">
        <v>2133</v>
      </c>
      <c r="C3815">
        <v>7</v>
      </c>
      <c r="D3815">
        <v>120</v>
      </c>
      <c r="E3815">
        <f>IF(OR(B3815="vi",B3815="ii",B3815="pod"),(((D3815/100)*(C3815*VLOOKUP(B3815,'Poids des runes'!A:B,2,FALSE)))+1),(((D3815/100)*(C3815*VLOOKUP(B3815,'Poids des runes'!A:B,2,FALSE)))+1)/VLOOKUP(B3815,'Poids des runes'!A:B,2,FALSE))</f>
        <v>8.6</v>
      </c>
      <c r="F3815">
        <f t="shared" si="59"/>
        <v>8.6</v>
      </c>
    </row>
    <row r="3816" spans="1:6" x14ac:dyDescent="0.3">
      <c r="A3816" t="s">
        <v>906</v>
      </c>
      <c r="B3816" t="s">
        <v>2149</v>
      </c>
      <c r="C3816">
        <v>7</v>
      </c>
      <c r="D3816">
        <v>120</v>
      </c>
      <c r="E3816">
        <f>IF(OR(B3816="vi",B3816="ii",B3816="pod"),(((D3816/100)*(C3816*VLOOKUP(B3816,'Poids des runes'!A:B,2,FALSE)))+1),(((D3816/100)*(C3816*VLOOKUP(B3816,'Poids des runes'!A:B,2,FALSE)))+1)/VLOOKUP(B3816,'Poids des runes'!A:B,2,FALSE))</f>
        <v>8.5</v>
      </c>
      <c r="F3816">
        <f t="shared" si="59"/>
        <v>8.5</v>
      </c>
    </row>
    <row r="3817" spans="1:6" x14ac:dyDescent="0.3">
      <c r="A3817" t="s">
        <v>906</v>
      </c>
      <c r="B3817" t="s">
        <v>2161</v>
      </c>
      <c r="C3817">
        <v>8.5</v>
      </c>
      <c r="D3817">
        <v>120</v>
      </c>
      <c r="E3817">
        <f>IF(OR(B3817="vi",B3817="ii",B3817="pod"),(((D3817/100)*(C3817*VLOOKUP(B3817,'Poids des runes'!A:B,2,FALSE)))+1),(((D3817/100)*(C3817*VLOOKUP(B3817,'Poids des runes'!A:B,2,FALSE)))+1)/VLOOKUP(B3817,'Poids des runes'!A:B,2,FALSE))</f>
        <v>10.533333333333333</v>
      </c>
      <c r="F3817">
        <f t="shared" si="59"/>
        <v>10.533333333333333</v>
      </c>
    </row>
    <row r="3818" spans="1:6" x14ac:dyDescent="0.3">
      <c r="A3818" t="s">
        <v>906</v>
      </c>
      <c r="B3818" t="s">
        <v>2141</v>
      </c>
      <c r="C3818">
        <v>4.5</v>
      </c>
      <c r="D3818">
        <v>120</v>
      </c>
      <c r="E3818">
        <f>IF(OR(B3818="vi",B3818="ii",B3818="pod"),(((D3818/100)*(C3818*VLOOKUP(B3818,'Poids des runes'!A:B,2,FALSE)))+1),(((D3818/100)*(C3818*VLOOKUP(B3818,'Poids des runes'!A:B,2,FALSE)))+1)/VLOOKUP(B3818,'Poids des runes'!A:B,2,FALSE))</f>
        <v>5.6499999999999995</v>
      </c>
      <c r="F3818">
        <f t="shared" si="59"/>
        <v>5.6499999999999995</v>
      </c>
    </row>
    <row r="3819" spans="1:6" x14ac:dyDescent="0.3">
      <c r="A3819" t="s">
        <v>906</v>
      </c>
      <c r="B3819" t="s">
        <v>2142</v>
      </c>
      <c r="C3819">
        <v>8.5</v>
      </c>
      <c r="D3819">
        <v>120</v>
      </c>
      <c r="E3819">
        <f>IF(OR(B3819="vi",B3819="ii",B3819="pod"),(((D3819/100)*(C3819*VLOOKUP(B3819,'Poids des runes'!A:B,2,FALSE)))+1),(((D3819/100)*(C3819*VLOOKUP(B3819,'Poids des runes'!A:B,2,FALSE)))+1)/VLOOKUP(B3819,'Poids des runes'!A:B,2,FALSE))</f>
        <v>10.4</v>
      </c>
      <c r="F3819">
        <f t="shared" si="59"/>
        <v>10.4</v>
      </c>
    </row>
    <row r="3820" spans="1:6" x14ac:dyDescent="0.3">
      <c r="A3820" t="s">
        <v>906</v>
      </c>
      <c r="B3820" t="s">
        <v>2136</v>
      </c>
      <c r="C3820">
        <v>7</v>
      </c>
      <c r="D3820">
        <v>120</v>
      </c>
      <c r="E3820">
        <f>IF(OR(B3820="vi",B3820="ii",B3820="pod"),(((D3820/100)*(C3820*VLOOKUP(B3820,'Poids des runes'!A:B,2,FALSE)))+1),(((D3820/100)*(C3820*VLOOKUP(B3820,'Poids des runes'!A:B,2,FALSE)))+1)/VLOOKUP(B3820,'Poids des runes'!A:B,2,FALSE))</f>
        <v>8.9</v>
      </c>
      <c r="F3820">
        <f t="shared" si="59"/>
        <v>8.9</v>
      </c>
    </row>
    <row r="3821" spans="1:6" x14ac:dyDescent="0.3">
      <c r="A3821" t="s">
        <v>906</v>
      </c>
      <c r="B3821" t="s">
        <v>2146</v>
      </c>
      <c r="C3821">
        <v>7</v>
      </c>
      <c r="D3821">
        <v>120</v>
      </c>
      <c r="E3821">
        <f>IF(OR(B3821="vi",B3821="ii",B3821="pod"),(((D3821/100)*(C3821*VLOOKUP(B3821,'Poids des runes'!A:B,2,FALSE)))+1),(((D3821/100)*(C3821*VLOOKUP(B3821,'Poids des runes'!A:B,2,FALSE)))+1)/VLOOKUP(B3821,'Poids des runes'!A:B,2,FALSE))</f>
        <v>8.9</v>
      </c>
      <c r="F3821">
        <f t="shared" si="59"/>
        <v>8.9</v>
      </c>
    </row>
    <row r="3822" spans="1:6" x14ac:dyDescent="0.3">
      <c r="A3822" t="s">
        <v>907</v>
      </c>
      <c r="B3822" t="s">
        <v>2128</v>
      </c>
      <c r="C3822">
        <v>125.5</v>
      </c>
      <c r="D3822">
        <v>120</v>
      </c>
      <c r="E3822">
        <f>IF(OR(B3822="vi",B3822="ii",B3822="pod"),(((D3822/100)*(C3822*VLOOKUP(B3822,'Poids des runes'!A:B,2,FALSE)))+1),(((D3822/100)*(C3822*VLOOKUP(B3822,'Poids des runes'!A:B,2,FALSE)))+1)/VLOOKUP(B3822,'Poids des runes'!A:B,2,FALSE))</f>
        <v>31.12</v>
      </c>
      <c r="F3822">
        <f t="shared" si="59"/>
        <v>31.12</v>
      </c>
    </row>
    <row r="3823" spans="1:6" x14ac:dyDescent="0.3">
      <c r="A3823" t="s">
        <v>907</v>
      </c>
      <c r="B3823" t="s">
        <v>2126</v>
      </c>
      <c r="C3823">
        <v>40.5</v>
      </c>
      <c r="D3823">
        <v>120</v>
      </c>
      <c r="E3823">
        <f>IF(OR(B3823="vi",B3823="ii",B3823="pod"),(((D3823/100)*(C3823*VLOOKUP(B3823,'Poids des runes'!A:B,2,FALSE)))+1),(((D3823/100)*(C3823*VLOOKUP(B3823,'Poids des runes'!A:B,2,FALSE)))+1)/VLOOKUP(B3823,'Poids des runes'!A:B,2,FALSE))</f>
        <v>49.6</v>
      </c>
      <c r="F3823">
        <f t="shared" si="59"/>
        <v>49.6</v>
      </c>
    </row>
    <row r="3824" spans="1:6" x14ac:dyDescent="0.3">
      <c r="A3824" t="s">
        <v>907</v>
      </c>
      <c r="B3824" t="s">
        <v>2129</v>
      </c>
      <c r="C3824">
        <v>20.5</v>
      </c>
      <c r="D3824">
        <v>120</v>
      </c>
      <c r="E3824">
        <f>IF(OR(B3824="vi",B3824="ii",B3824="pod"),(((D3824/100)*(C3824*VLOOKUP(B3824,'Poids des runes'!A:B,2,FALSE)))+1),(((D3824/100)*(C3824*VLOOKUP(B3824,'Poids des runes'!A:B,2,FALSE)))+1)/VLOOKUP(B3824,'Poids des runes'!A:B,2,FALSE))</f>
        <v>25.599999999999998</v>
      </c>
      <c r="F3824">
        <f t="shared" si="59"/>
        <v>25.599999999999998</v>
      </c>
    </row>
    <row r="3825" spans="1:6" x14ac:dyDescent="0.3">
      <c r="A3825" t="s">
        <v>907</v>
      </c>
      <c r="B3825" t="s">
        <v>2154</v>
      </c>
      <c r="C3825">
        <v>1</v>
      </c>
      <c r="D3825">
        <v>120</v>
      </c>
      <c r="E3825">
        <f>IF(OR(B3825="vi",B3825="ii",B3825="pod"),(((D3825/100)*(C3825*VLOOKUP(B3825,'Poids des runes'!A:B,2,FALSE)))+1),(((D3825/100)*(C3825*VLOOKUP(B3825,'Poids des runes'!A:B,2,FALSE)))+1)/VLOOKUP(B3825,'Poids des runes'!A:B,2,FALSE))</f>
        <v>1.211111111111111</v>
      </c>
      <c r="F3825">
        <f t="shared" si="59"/>
        <v>1.211111111111111</v>
      </c>
    </row>
    <row r="3826" spans="1:6" x14ac:dyDescent="0.3">
      <c r="A3826" t="s">
        <v>907</v>
      </c>
      <c r="B3826" t="s">
        <v>2140</v>
      </c>
      <c r="C3826">
        <v>10</v>
      </c>
      <c r="D3826">
        <v>120</v>
      </c>
      <c r="E3826">
        <f>IF(OR(B3826="vi",B3826="ii",B3826="pod"),(((D3826/100)*(C3826*VLOOKUP(B3826,'Poids des runes'!A:B,2,FALSE)))+1),(((D3826/100)*(C3826*VLOOKUP(B3826,'Poids des runes'!A:B,2,FALSE)))+1)/VLOOKUP(B3826,'Poids des runes'!A:B,2,FALSE))</f>
        <v>12.2</v>
      </c>
      <c r="F3826">
        <f t="shared" si="59"/>
        <v>12.2</v>
      </c>
    </row>
    <row r="3827" spans="1:6" x14ac:dyDescent="0.3">
      <c r="A3827" t="s">
        <v>907</v>
      </c>
      <c r="B3827" t="s">
        <v>2161</v>
      </c>
      <c r="C3827">
        <v>13</v>
      </c>
      <c r="D3827">
        <v>120</v>
      </c>
      <c r="E3827">
        <f>IF(OR(B3827="vi",B3827="ii",B3827="pod"),(((D3827/100)*(C3827*VLOOKUP(B3827,'Poids des runes'!A:B,2,FALSE)))+1),(((D3827/100)*(C3827*VLOOKUP(B3827,'Poids des runes'!A:B,2,FALSE)))+1)/VLOOKUP(B3827,'Poids des runes'!A:B,2,FALSE))</f>
        <v>15.933333333333332</v>
      </c>
      <c r="F3827">
        <f t="shared" si="59"/>
        <v>15.933333333333332</v>
      </c>
    </row>
    <row r="3828" spans="1:6" x14ac:dyDescent="0.3">
      <c r="A3828" t="s">
        <v>907</v>
      </c>
      <c r="B3828" t="s">
        <v>2132</v>
      </c>
      <c r="C3828">
        <v>300.5</v>
      </c>
      <c r="D3828">
        <v>120</v>
      </c>
      <c r="E3828">
        <f>IF(OR(B3828="vi",B3828="ii",B3828="pod"),(((D3828/100)*(C3828*VLOOKUP(B3828,'Poids des runes'!A:B,2,FALSE)))+1),(((D3828/100)*(C3828*VLOOKUP(B3828,'Poids des runes'!A:B,2,FALSE)))+1)/VLOOKUP(B3828,'Poids des runes'!A:B,2,FALSE))</f>
        <v>37.06</v>
      </c>
      <c r="F3828">
        <f t="shared" si="59"/>
        <v>37.06</v>
      </c>
    </row>
    <row r="3829" spans="1:6" x14ac:dyDescent="0.3">
      <c r="A3829" t="s">
        <v>907</v>
      </c>
      <c r="B3829" t="s">
        <v>2165</v>
      </c>
      <c r="C3829">
        <v>4.5</v>
      </c>
      <c r="D3829">
        <v>120</v>
      </c>
      <c r="E3829">
        <f>IF(OR(B3829="vi",B3829="ii",B3829="pod"),(((D3829/100)*(C3829*VLOOKUP(B3829,'Poids des runes'!A:B,2,FALSE)))+1),(((D3829/100)*(C3829*VLOOKUP(B3829,'Poids des runes'!A:B,2,FALSE)))+1)/VLOOKUP(B3829,'Poids des runes'!A:B,2,FALSE))</f>
        <v>5.5428571428571427</v>
      </c>
      <c r="F3829">
        <f t="shared" si="59"/>
        <v>5.5428571428571427</v>
      </c>
    </row>
    <row r="3830" spans="1:6" x14ac:dyDescent="0.3">
      <c r="A3830" t="s">
        <v>907</v>
      </c>
      <c r="B3830" t="s">
        <v>2147</v>
      </c>
      <c r="C3830">
        <v>8.5</v>
      </c>
      <c r="D3830">
        <v>120</v>
      </c>
      <c r="E3830">
        <f>IF(OR(B3830="vi",B3830="ii",B3830="pod"),(((D3830/100)*(C3830*VLOOKUP(B3830,'Poids des runes'!A:B,2,FALSE)))+1),(((D3830/100)*(C3830*VLOOKUP(B3830,'Poids des runes'!A:B,2,FALSE)))+1)/VLOOKUP(B3830,'Poids des runes'!A:B,2,FALSE))</f>
        <v>10.366666666666665</v>
      </c>
      <c r="F3830">
        <f t="shared" si="59"/>
        <v>10.366666666666665</v>
      </c>
    </row>
    <row r="3831" spans="1:6" x14ac:dyDescent="0.3">
      <c r="A3831" t="s">
        <v>907</v>
      </c>
      <c r="B3831" t="s">
        <v>2144</v>
      </c>
      <c r="C3831">
        <v>13</v>
      </c>
      <c r="D3831">
        <v>120</v>
      </c>
      <c r="E3831">
        <f>IF(OR(B3831="vi",B3831="ii",B3831="pod"),(((D3831/100)*(C3831*VLOOKUP(B3831,'Poids des runes'!A:B,2,FALSE)))+1),(((D3831/100)*(C3831*VLOOKUP(B3831,'Poids des runes'!A:B,2,FALSE)))+1)/VLOOKUP(B3831,'Poids des runes'!A:B,2,FALSE))</f>
        <v>16.100000000000001</v>
      </c>
      <c r="F3831">
        <f t="shared" si="59"/>
        <v>16.100000000000001</v>
      </c>
    </row>
    <row r="3832" spans="1:6" x14ac:dyDescent="0.3">
      <c r="A3832" t="s">
        <v>908</v>
      </c>
      <c r="B3832" t="s">
        <v>2128</v>
      </c>
      <c r="C3832">
        <v>125.5</v>
      </c>
      <c r="D3832">
        <v>120</v>
      </c>
      <c r="E3832">
        <f>IF(OR(B3832="vi",B3832="ii",B3832="pod"),(((D3832/100)*(C3832*VLOOKUP(B3832,'Poids des runes'!A:B,2,FALSE)))+1),(((D3832/100)*(C3832*VLOOKUP(B3832,'Poids des runes'!A:B,2,FALSE)))+1)/VLOOKUP(B3832,'Poids des runes'!A:B,2,FALSE))</f>
        <v>31.12</v>
      </c>
      <c r="F3832">
        <f t="shared" si="59"/>
        <v>31.12</v>
      </c>
    </row>
    <row r="3833" spans="1:6" x14ac:dyDescent="0.3">
      <c r="A3833" t="s">
        <v>908</v>
      </c>
      <c r="B3833" t="s">
        <v>2131</v>
      </c>
      <c r="C3833">
        <v>40.5</v>
      </c>
      <c r="D3833">
        <v>120</v>
      </c>
      <c r="E3833">
        <f>IF(OR(B3833="vi",B3833="ii",B3833="pod"),(((D3833/100)*(C3833*VLOOKUP(B3833,'Poids des runes'!A:B,2,FALSE)))+1),(((D3833/100)*(C3833*VLOOKUP(B3833,'Poids des runes'!A:B,2,FALSE)))+1)/VLOOKUP(B3833,'Poids des runes'!A:B,2,FALSE))</f>
        <v>49.6</v>
      </c>
      <c r="F3833">
        <f t="shared" si="59"/>
        <v>49.6</v>
      </c>
    </row>
    <row r="3834" spans="1:6" x14ac:dyDescent="0.3">
      <c r="A3834" t="s">
        <v>908</v>
      </c>
      <c r="B3834" t="s">
        <v>2129</v>
      </c>
      <c r="C3834">
        <v>20.5</v>
      </c>
      <c r="D3834">
        <v>120</v>
      </c>
      <c r="E3834">
        <f>IF(OR(B3834="vi",B3834="ii",B3834="pod"),(((D3834/100)*(C3834*VLOOKUP(B3834,'Poids des runes'!A:B,2,FALSE)))+1),(((D3834/100)*(C3834*VLOOKUP(B3834,'Poids des runes'!A:B,2,FALSE)))+1)/VLOOKUP(B3834,'Poids des runes'!A:B,2,FALSE))</f>
        <v>25.599999999999998</v>
      </c>
      <c r="F3834">
        <f t="shared" si="59"/>
        <v>25.599999999999998</v>
      </c>
    </row>
    <row r="3835" spans="1:6" x14ac:dyDescent="0.3">
      <c r="A3835" t="s">
        <v>908</v>
      </c>
      <c r="B3835" t="s">
        <v>2154</v>
      </c>
      <c r="C3835">
        <v>1</v>
      </c>
      <c r="D3835">
        <v>120</v>
      </c>
      <c r="E3835">
        <f>IF(OR(B3835="vi",B3835="ii",B3835="pod"),(((D3835/100)*(C3835*VLOOKUP(B3835,'Poids des runes'!A:B,2,FALSE)))+1),(((D3835/100)*(C3835*VLOOKUP(B3835,'Poids des runes'!A:B,2,FALSE)))+1)/VLOOKUP(B3835,'Poids des runes'!A:B,2,FALSE))</f>
        <v>1.211111111111111</v>
      </c>
      <c r="F3835">
        <f t="shared" si="59"/>
        <v>1.211111111111111</v>
      </c>
    </row>
    <row r="3836" spans="1:6" x14ac:dyDescent="0.3">
      <c r="A3836" t="s">
        <v>908</v>
      </c>
      <c r="B3836" t="s">
        <v>2133</v>
      </c>
      <c r="C3836">
        <v>10</v>
      </c>
      <c r="D3836">
        <v>120</v>
      </c>
      <c r="E3836">
        <f>IF(OR(B3836="vi",B3836="ii",B3836="pod"),(((D3836/100)*(C3836*VLOOKUP(B3836,'Poids des runes'!A:B,2,FALSE)))+1),(((D3836/100)*(C3836*VLOOKUP(B3836,'Poids des runes'!A:B,2,FALSE)))+1)/VLOOKUP(B3836,'Poids des runes'!A:B,2,FALSE))</f>
        <v>12.2</v>
      </c>
      <c r="F3836">
        <f t="shared" si="59"/>
        <v>12.2</v>
      </c>
    </row>
    <row r="3837" spans="1:6" x14ac:dyDescent="0.3">
      <c r="A3837" t="s">
        <v>908</v>
      </c>
      <c r="B3837" t="s">
        <v>2161</v>
      </c>
      <c r="C3837">
        <v>13</v>
      </c>
      <c r="D3837">
        <v>120</v>
      </c>
      <c r="E3837">
        <f>IF(OR(B3837="vi",B3837="ii",B3837="pod"),(((D3837/100)*(C3837*VLOOKUP(B3837,'Poids des runes'!A:B,2,FALSE)))+1),(((D3837/100)*(C3837*VLOOKUP(B3837,'Poids des runes'!A:B,2,FALSE)))+1)/VLOOKUP(B3837,'Poids des runes'!A:B,2,FALSE))</f>
        <v>15.933333333333332</v>
      </c>
      <c r="F3837">
        <f t="shared" si="59"/>
        <v>15.933333333333332</v>
      </c>
    </row>
    <row r="3838" spans="1:6" x14ac:dyDescent="0.3">
      <c r="A3838" t="s">
        <v>908</v>
      </c>
      <c r="B3838" t="s">
        <v>2132</v>
      </c>
      <c r="C3838">
        <v>300.5</v>
      </c>
      <c r="D3838">
        <v>120</v>
      </c>
      <c r="E3838">
        <f>IF(OR(B3838="vi",B3838="ii",B3838="pod"),(((D3838/100)*(C3838*VLOOKUP(B3838,'Poids des runes'!A:B,2,FALSE)))+1),(((D3838/100)*(C3838*VLOOKUP(B3838,'Poids des runes'!A:B,2,FALSE)))+1)/VLOOKUP(B3838,'Poids des runes'!A:B,2,FALSE))</f>
        <v>37.06</v>
      </c>
      <c r="F3838">
        <f t="shared" si="59"/>
        <v>37.06</v>
      </c>
    </row>
    <row r="3839" spans="1:6" x14ac:dyDescent="0.3">
      <c r="A3839" t="s">
        <v>908</v>
      </c>
      <c r="B3839" t="s">
        <v>2160</v>
      </c>
      <c r="C3839">
        <v>4.5</v>
      </c>
      <c r="D3839">
        <v>120</v>
      </c>
      <c r="E3839">
        <f>IF(OR(B3839="vi",B3839="ii",B3839="pod"),(((D3839/100)*(C3839*VLOOKUP(B3839,'Poids des runes'!A:B,2,FALSE)))+1),(((D3839/100)*(C3839*VLOOKUP(B3839,'Poids des runes'!A:B,2,FALSE)))+1)/VLOOKUP(B3839,'Poids des runes'!A:B,2,FALSE))</f>
        <v>5.5428571428571427</v>
      </c>
      <c r="F3839">
        <f t="shared" si="59"/>
        <v>5.5428571428571427</v>
      </c>
    </row>
    <row r="3840" spans="1:6" x14ac:dyDescent="0.3">
      <c r="A3840" t="s">
        <v>908</v>
      </c>
      <c r="B3840" t="s">
        <v>2135</v>
      </c>
      <c r="C3840">
        <v>8.5</v>
      </c>
      <c r="D3840">
        <v>120</v>
      </c>
      <c r="E3840">
        <f>IF(OR(B3840="vi",B3840="ii",B3840="pod"),(((D3840/100)*(C3840*VLOOKUP(B3840,'Poids des runes'!A:B,2,FALSE)))+1),(((D3840/100)*(C3840*VLOOKUP(B3840,'Poids des runes'!A:B,2,FALSE)))+1)/VLOOKUP(B3840,'Poids des runes'!A:B,2,FALSE))</f>
        <v>10.366666666666665</v>
      </c>
      <c r="F3840">
        <f t="shared" si="59"/>
        <v>10.366666666666665</v>
      </c>
    </row>
    <row r="3841" spans="1:6" x14ac:dyDescent="0.3">
      <c r="A3841" t="s">
        <v>908</v>
      </c>
      <c r="B3841" t="s">
        <v>2145</v>
      </c>
      <c r="C3841">
        <v>13</v>
      </c>
      <c r="D3841">
        <v>120</v>
      </c>
      <c r="E3841">
        <f>IF(OR(B3841="vi",B3841="ii",B3841="pod"),(((D3841/100)*(C3841*VLOOKUP(B3841,'Poids des runes'!A:B,2,FALSE)))+1),(((D3841/100)*(C3841*VLOOKUP(B3841,'Poids des runes'!A:B,2,FALSE)))+1)/VLOOKUP(B3841,'Poids des runes'!A:B,2,FALSE))</f>
        <v>16.100000000000001</v>
      </c>
      <c r="F3841">
        <f t="shared" si="59"/>
        <v>16.100000000000001</v>
      </c>
    </row>
    <row r="3842" spans="1:6" x14ac:dyDescent="0.3">
      <c r="A3842" t="s">
        <v>909</v>
      </c>
      <c r="B3842" t="s">
        <v>2128</v>
      </c>
      <c r="C3842">
        <v>125.5</v>
      </c>
      <c r="D3842">
        <v>120</v>
      </c>
      <c r="E3842">
        <f>IF(OR(B3842="vi",B3842="ii",B3842="pod"),(((D3842/100)*(C3842*VLOOKUP(B3842,'Poids des runes'!A:B,2,FALSE)))+1),(((D3842/100)*(C3842*VLOOKUP(B3842,'Poids des runes'!A:B,2,FALSE)))+1)/VLOOKUP(B3842,'Poids des runes'!A:B,2,FALSE))</f>
        <v>31.12</v>
      </c>
      <c r="F3842">
        <f t="shared" si="59"/>
        <v>31.12</v>
      </c>
    </row>
    <row r="3843" spans="1:6" x14ac:dyDescent="0.3">
      <c r="A3843" t="s">
        <v>909</v>
      </c>
      <c r="B3843" t="s">
        <v>2130</v>
      </c>
      <c r="C3843">
        <v>40.5</v>
      </c>
      <c r="D3843">
        <v>120</v>
      </c>
      <c r="E3843">
        <f>IF(OR(B3843="vi",B3843="ii",B3843="pod"),(((D3843/100)*(C3843*VLOOKUP(B3843,'Poids des runes'!A:B,2,FALSE)))+1),(((D3843/100)*(C3843*VLOOKUP(B3843,'Poids des runes'!A:B,2,FALSE)))+1)/VLOOKUP(B3843,'Poids des runes'!A:B,2,FALSE))</f>
        <v>49.6</v>
      </c>
      <c r="F3843">
        <f t="shared" ref="F3843:F3906" si="60">E3843</f>
        <v>49.6</v>
      </c>
    </row>
    <row r="3844" spans="1:6" x14ac:dyDescent="0.3">
      <c r="A3844" t="s">
        <v>909</v>
      </c>
      <c r="B3844" t="s">
        <v>2129</v>
      </c>
      <c r="C3844">
        <v>20.5</v>
      </c>
      <c r="D3844">
        <v>120</v>
      </c>
      <c r="E3844">
        <f>IF(OR(B3844="vi",B3844="ii",B3844="pod"),(((D3844/100)*(C3844*VLOOKUP(B3844,'Poids des runes'!A:B,2,FALSE)))+1),(((D3844/100)*(C3844*VLOOKUP(B3844,'Poids des runes'!A:B,2,FALSE)))+1)/VLOOKUP(B3844,'Poids des runes'!A:B,2,FALSE))</f>
        <v>25.599999999999998</v>
      </c>
      <c r="F3844">
        <f t="shared" si="60"/>
        <v>25.599999999999998</v>
      </c>
    </row>
    <row r="3845" spans="1:6" x14ac:dyDescent="0.3">
      <c r="A3845" t="s">
        <v>909</v>
      </c>
      <c r="B3845" t="s">
        <v>2154</v>
      </c>
      <c r="C3845">
        <v>1</v>
      </c>
      <c r="D3845">
        <v>120</v>
      </c>
      <c r="E3845">
        <f>IF(OR(B3845="vi",B3845="ii",B3845="pod"),(((D3845/100)*(C3845*VLOOKUP(B3845,'Poids des runes'!A:B,2,FALSE)))+1),(((D3845/100)*(C3845*VLOOKUP(B3845,'Poids des runes'!A:B,2,FALSE)))+1)/VLOOKUP(B3845,'Poids des runes'!A:B,2,FALSE))</f>
        <v>1.211111111111111</v>
      </c>
      <c r="F3845">
        <f t="shared" si="60"/>
        <v>1.211111111111111</v>
      </c>
    </row>
    <row r="3846" spans="1:6" x14ac:dyDescent="0.3">
      <c r="A3846" t="s">
        <v>909</v>
      </c>
      <c r="B3846" t="s">
        <v>2143</v>
      </c>
      <c r="C3846">
        <v>10</v>
      </c>
      <c r="D3846">
        <v>120</v>
      </c>
      <c r="E3846">
        <f>IF(OR(B3846="vi",B3846="ii",B3846="pod"),(((D3846/100)*(C3846*VLOOKUP(B3846,'Poids des runes'!A:B,2,FALSE)))+1),(((D3846/100)*(C3846*VLOOKUP(B3846,'Poids des runes'!A:B,2,FALSE)))+1)/VLOOKUP(B3846,'Poids des runes'!A:B,2,FALSE))</f>
        <v>12.2</v>
      </c>
      <c r="F3846">
        <f t="shared" si="60"/>
        <v>12.2</v>
      </c>
    </row>
    <row r="3847" spans="1:6" x14ac:dyDescent="0.3">
      <c r="A3847" t="s">
        <v>909</v>
      </c>
      <c r="B3847" t="s">
        <v>2161</v>
      </c>
      <c r="C3847">
        <v>13</v>
      </c>
      <c r="D3847">
        <v>120</v>
      </c>
      <c r="E3847">
        <f>IF(OR(B3847="vi",B3847="ii",B3847="pod"),(((D3847/100)*(C3847*VLOOKUP(B3847,'Poids des runes'!A:B,2,FALSE)))+1),(((D3847/100)*(C3847*VLOOKUP(B3847,'Poids des runes'!A:B,2,FALSE)))+1)/VLOOKUP(B3847,'Poids des runes'!A:B,2,FALSE))</f>
        <v>15.933333333333332</v>
      </c>
      <c r="F3847">
        <f t="shared" si="60"/>
        <v>15.933333333333332</v>
      </c>
    </row>
    <row r="3848" spans="1:6" x14ac:dyDescent="0.3">
      <c r="A3848" t="s">
        <v>909</v>
      </c>
      <c r="B3848" t="s">
        <v>2132</v>
      </c>
      <c r="C3848">
        <v>300.5</v>
      </c>
      <c r="D3848">
        <v>120</v>
      </c>
      <c r="E3848">
        <f>IF(OR(B3848="vi",B3848="ii",B3848="pod"),(((D3848/100)*(C3848*VLOOKUP(B3848,'Poids des runes'!A:B,2,FALSE)))+1),(((D3848/100)*(C3848*VLOOKUP(B3848,'Poids des runes'!A:B,2,FALSE)))+1)/VLOOKUP(B3848,'Poids des runes'!A:B,2,FALSE))</f>
        <v>37.06</v>
      </c>
      <c r="F3848">
        <f t="shared" si="60"/>
        <v>37.06</v>
      </c>
    </row>
    <row r="3849" spans="1:6" x14ac:dyDescent="0.3">
      <c r="A3849" t="s">
        <v>909</v>
      </c>
      <c r="B3849" t="s">
        <v>2159</v>
      </c>
      <c r="C3849">
        <v>4.5</v>
      </c>
      <c r="D3849">
        <v>120</v>
      </c>
      <c r="E3849">
        <f>IF(OR(B3849="vi",B3849="ii",B3849="pod"),(((D3849/100)*(C3849*VLOOKUP(B3849,'Poids des runes'!A:B,2,FALSE)))+1),(((D3849/100)*(C3849*VLOOKUP(B3849,'Poids des runes'!A:B,2,FALSE)))+1)/VLOOKUP(B3849,'Poids des runes'!A:B,2,FALSE))</f>
        <v>5.5428571428571427</v>
      </c>
      <c r="F3849">
        <f t="shared" si="60"/>
        <v>5.5428571428571427</v>
      </c>
    </row>
    <row r="3850" spans="1:6" x14ac:dyDescent="0.3">
      <c r="A3850" t="s">
        <v>909</v>
      </c>
      <c r="B3850" t="s">
        <v>2148</v>
      </c>
      <c r="C3850">
        <v>8.5</v>
      </c>
      <c r="D3850">
        <v>120</v>
      </c>
      <c r="E3850">
        <f>IF(OR(B3850="vi",B3850="ii",B3850="pod"),(((D3850/100)*(C3850*VLOOKUP(B3850,'Poids des runes'!A:B,2,FALSE)))+1),(((D3850/100)*(C3850*VLOOKUP(B3850,'Poids des runes'!A:B,2,FALSE)))+1)/VLOOKUP(B3850,'Poids des runes'!A:B,2,FALSE))</f>
        <v>10.366666666666665</v>
      </c>
      <c r="F3850">
        <f t="shared" si="60"/>
        <v>10.366666666666665</v>
      </c>
    </row>
    <row r="3851" spans="1:6" x14ac:dyDescent="0.3">
      <c r="A3851" t="s">
        <v>909</v>
      </c>
      <c r="B3851" t="s">
        <v>2137</v>
      </c>
      <c r="C3851">
        <v>13</v>
      </c>
      <c r="D3851">
        <v>120</v>
      </c>
      <c r="E3851">
        <f>IF(OR(B3851="vi",B3851="ii",B3851="pod"),(((D3851/100)*(C3851*VLOOKUP(B3851,'Poids des runes'!A:B,2,FALSE)))+1),(((D3851/100)*(C3851*VLOOKUP(B3851,'Poids des runes'!A:B,2,FALSE)))+1)/VLOOKUP(B3851,'Poids des runes'!A:B,2,FALSE))</f>
        <v>16.100000000000001</v>
      </c>
      <c r="F3851">
        <f t="shared" si="60"/>
        <v>16.100000000000001</v>
      </c>
    </row>
    <row r="3852" spans="1:6" x14ac:dyDescent="0.3">
      <c r="A3852" t="s">
        <v>910</v>
      </c>
      <c r="B3852" t="s">
        <v>2128</v>
      </c>
      <c r="C3852">
        <v>125.5</v>
      </c>
      <c r="D3852">
        <v>120</v>
      </c>
      <c r="E3852">
        <f>IF(OR(B3852="vi",B3852="ii",B3852="pod"),(((D3852/100)*(C3852*VLOOKUP(B3852,'Poids des runes'!A:B,2,FALSE)))+1),(((D3852/100)*(C3852*VLOOKUP(B3852,'Poids des runes'!A:B,2,FALSE)))+1)/VLOOKUP(B3852,'Poids des runes'!A:B,2,FALSE))</f>
        <v>31.12</v>
      </c>
      <c r="F3852">
        <f t="shared" si="60"/>
        <v>31.12</v>
      </c>
    </row>
    <row r="3853" spans="1:6" x14ac:dyDescent="0.3">
      <c r="A3853" t="s">
        <v>910</v>
      </c>
      <c r="B3853" t="s">
        <v>2127</v>
      </c>
      <c r="C3853">
        <v>40.5</v>
      </c>
      <c r="D3853">
        <v>120</v>
      </c>
      <c r="E3853">
        <f>IF(OR(B3853="vi",B3853="ii",B3853="pod"),(((D3853/100)*(C3853*VLOOKUP(B3853,'Poids des runes'!A:B,2,FALSE)))+1),(((D3853/100)*(C3853*VLOOKUP(B3853,'Poids des runes'!A:B,2,FALSE)))+1)/VLOOKUP(B3853,'Poids des runes'!A:B,2,FALSE))</f>
        <v>49.6</v>
      </c>
      <c r="F3853">
        <f t="shared" si="60"/>
        <v>49.6</v>
      </c>
    </row>
    <row r="3854" spans="1:6" x14ac:dyDescent="0.3">
      <c r="A3854" t="s">
        <v>910</v>
      </c>
      <c r="B3854" t="s">
        <v>2129</v>
      </c>
      <c r="C3854">
        <v>20.5</v>
      </c>
      <c r="D3854">
        <v>120</v>
      </c>
      <c r="E3854">
        <f>IF(OR(B3854="vi",B3854="ii",B3854="pod"),(((D3854/100)*(C3854*VLOOKUP(B3854,'Poids des runes'!A:B,2,FALSE)))+1),(((D3854/100)*(C3854*VLOOKUP(B3854,'Poids des runes'!A:B,2,FALSE)))+1)/VLOOKUP(B3854,'Poids des runes'!A:B,2,FALSE))</f>
        <v>25.599999999999998</v>
      </c>
      <c r="F3854">
        <f t="shared" si="60"/>
        <v>25.599999999999998</v>
      </c>
    </row>
    <row r="3855" spans="1:6" x14ac:dyDescent="0.3">
      <c r="A3855" t="s">
        <v>910</v>
      </c>
      <c r="B3855" t="s">
        <v>2154</v>
      </c>
      <c r="C3855">
        <v>1</v>
      </c>
      <c r="D3855">
        <v>120</v>
      </c>
      <c r="E3855">
        <f>IF(OR(B3855="vi",B3855="ii",B3855="pod"),(((D3855/100)*(C3855*VLOOKUP(B3855,'Poids des runes'!A:B,2,FALSE)))+1),(((D3855/100)*(C3855*VLOOKUP(B3855,'Poids des runes'!A:B,2,FALSE)))+1)/VLOOKUP(B3855,'Poids des runes'!A:B,2,FALSE))</f>
        <v>1.211111111111111</v>
      </c>
      <c r="F3855">
        <f t="shared" si="60"/>
        <v>1.211111111111111</v>
      </c>
    </row>
    <row r="3856" spans="1:6" x14ac:dyDescent="0.3">
      <c r="A3856" t="s">
        <v>910</v>
      </c>
      <c r="B3856" t="s">
        <v>2153</v>
      </c>
      <c r="C3856">
        <v>10</v>
      </c>
      <c r="D3856">
        <v>120</v>
      </c>
      <c r="E3856">
        <f>IF(OR(B3856="vi",B3856="ii",B3856="pod"),(((D3856/100)*(C3856*VLOOKUP(B3856,'Poids des runes'!A:B,2,FALSE)))+1),(((D3856/100)*(C3856*VLOOKUP(B3856,'Poids des runes'!A:B,2,FALSE)))+1)/VLOOKUP(B3856,'Poids des runes'!A:B,2,FALSE))</f>
        <v>12.2</v>
      </c>
      <c r="F3856">
        <f t="shared" si="60"/>
        <v>12.2</v>
      </c>
    </row>
    <row r="3857" spans="1:6" x14ac:dyDescent="0.3">
      <c r="A3857" t="s">
        <v>910</v>
      </c>
      <c r="B3857" t="s">
        <v>2161</v>
      </c>
      <c r="C3857">
        <v>13</v>
      </c>
      <c r="D3857">
        <v>120</v>
      </c>
      <c r="E3857">
        <f>IF(OR(B3857="vi",B3857="ii",B3857="pod"),(((D3857/100)*(C3857*VLOOKUP(B3857,'Poids des runes'!A:B,2,FALSE)))+1),(((D3857/100)*(C3857*VLOOKUP(B3857,'Poids des runes'!A:B,2,FALSE)))+1)/VLOOKUP(B3857,'Poids des runes'!A:B,2,FALSE))</f>
        <v>15.933333333333332</v>
      </c>
      <c r="F3857">
        <f t="shared" si="60"/>
        <v>15.933333333333332</v>
      </c>
    </row>
    <row r="3858" spans="1:6" x14ac:dyDescent="0.3">
      <c r="A3858" t="s">
        <v>910</v>
      </c>
      <c r="B3858" t="s">
        <v>2132</v>
      </c>
      <c r="C3858">
        <v>300.5</v>
      </c>
      <c r="D3858">
        <v>120</v>
      </c>
      <c r="E3858">
        <f>IF(OR(B3858="vi",B3858="ii",B3858="pod"),(((D3858/100)*(C3858*VLOOKUP(B3858,'Poids des runes'!A:B,2,FALSE)))+1),(((D3858/100)*(C3858*VLOOKUP(B3858,'Poids des runes'!A:B,2,FALSE)))+1)/VLOOKUP(B3858,'Poids des runes'!A:B,2,FALSE))</f>
        <v>37.06</v>
      </c>
      <c r="F3858">
        <f t="shared" si="60"/>
        <v>37.06</v>
      </c>
    </row>
    <row r="3859" spans="1:6" x14ac:dyDescent="0.3">
      <c r="A3859" t="s">
        <v>910</v>
      </c>
      <c r="B3859" t="s">
        <v>2162</v>
      </c>
      <c r="C3859">
        <v>4.5</v>
      </c>
      <c r="D3859">
        <v>120</v>
      </c>
      <c r="E3859">
        <f>IF(OR(B3859="vi",B3859="ii",B3859="pod"),(((D3859/100)*(C3859*VLOOKUP(B3859,'Poids des runes'!A:B,2,FALSE)))+1),(((D3859/100)*(C3859*VLOOKUP(B3859,'Poids des runes'!A:B,2,FALSE)))+1)/VLOOKUP(B3859,'Poids des runes'!A:B,2,FALSE))</f>
        <v>5.5428571428571427</v>
      </c>
      <c r="F3859">
        <f t="shared" si="60"/>
        <v>5.5428571428571427</v>
      </c>
    </row>
    <row r="3860" spans="1:6" x14ac:dyDescent="0.3">
      <c r="A3860" t="s">
        <v>910</v>
      </c>
      <c r="B3860" t="s">
        <v>2157</v>
      </c>
      <c r="C3860">
        <v>8.5</v>
      </c>
      <c r="D3860">
        <v>120</v>
      </c>
      <c r="E3860">
        <f>IF(OR(B3860="vi",B3860="ii",B3860="pod"),(((D3860/100)*(C3860*VLOOKUP(B3860,'Poids des runes'!A:B,2,FALSE)))+1),(((D3860/100)*(C3860*VLOOKUP(B3860,'Poids des runes'!A:B,2,FALSE)))+1)/VLOOKUP(B3860,'Poids des runes'!A:B,2,FALSE))</f>
        <v>10.366666666666665</v>
      </c>
      <c r="F3860">
        <f t="shared" si="60"/>
        <v>10.366666666666665</v>
      </c>
    </row>
    <row r="3861" spans="1:6" x14ac:dyDescent="0.3">
      <c r="A3861" t="s">
        <v>910</v>
      </c>
      <c r="B3861" t="s">
        <v>2146</v>
      </c>
      <c r="C3861">
        <v>13</v>
      </c>
      <c r="D3861">
        <v>120</v>
      </c>
      <c r="E3861">
        <f>IF(OR(B3861="vi",B3861="ii",B3861="pod"),(((D3861/100)*(C3861*VLOOKUP(B3861,'Poids des runes'!A:B,2,FALSE)))+1),(((D3861/100)*(C3861*VLOOKUP(B3861,'Poids des runes'!A:B,2,FALSE)))+1)/VLOOKUP(B3861,'Poids des runes'!A:B,2,FALSE))</f>
        <v>16.100000000000001</v>
      </c>
      <c r="F3861">
        <f t="shared" si="60"/>
        <v>16.100000000000001</v>
      </c>
    </row>
    <row r="3862" spans="1:6" x14ac:dyDescent="0.3">
      <c r="A3862" t="s">
        <v>911</v>
      </c>
      <c r="B3862" t="s">
        <v>2128</v>
      </c>
      <c r="C3862">
        <v>80.5</v>
      </c>
      <c r="D3862">
        <v>120</v>
      </c>
      <c r="E3862">
        <f>IF(OR(B3862="vi",B3862="ii",B3862="pod"),(((D3862/100)*(C3862*VLOOKUP(B3862,'Poids des runes'!A:B,2,FALSE)))+1),(((D3862/100)*(C3862*VLOOKUP(B3862,'Poids des runes'!A:B,2,FALSE)))+1)/VLOOKUP(B3862,'Poids des runes'!A:B,2,FALSE))</f>
        <v>20.32</v>
      </c>
      <c r="F3862">
        <f t="shared" si="60"/>
        <v>20.32</v>
      </c>
    </row>
    <row r="3863" spans="1:6" x14ac:dyDescent="0.3">
      <c r="A3863" t="s">
        <v>911</v>
      </c>
      <c r="B3863" t="s">
        <v>2126</v>
      </c>
      <c r="C3863">
        <v>28</v>
      </c>
      <c r="D3863">
        <v>120</v>
      </c>
      <c r="E3863">
        <f>IF(OR(B3863="vi",B3863="ii",B3863="pod"),(((D3863/100)*(C3863*VLOOKUP(B3863,'Poids des runes'!A:B,2,FALSE)))+1),(((D3863/100)*(C3863*VLOOKUP(B3863,'Poids des runes'!A:B,2,FALSE)))+1)/VLOOKUP(B3863,'Poids des runes'!A:B,2,FALSE))</f>
        <v>34.6</v>
      </c>
      <c r="F3863">
        <f t="shared" si="60"/>
        <v>34.6</v>
      </c>
    </row>
    <row r="3864" spans="1:6" x14ac:dyDescent="0.3">
      <c r="A3864" t="s">
        <v>911</v>
      </c>
      <c r="B3864" t="s">
        <v>2149</v>
      </c>
      <c r="C3864">
        <v>5</v>
      </c>
      <c r="D3864">
        <v>120</v>
      </c>
      <c r="E3864">
        <f>IF(OR(B3864="vi",B3864="ii",B3864="pod"),(((D3864/100)*(C3864*VLOOKUP(B3864,'Poids des runes'!A:B,2,FALSE)))+1),(((D3864/100)*(C3864*VLOOKUP(B3864,'Poids des runes'!A:B,2,FALSE)))+1)/VLOOKUP(B3864,'Poids des runes'!A:B,2,FALSE))</f>
        <v>6.1</v>
      </c>
      <c r="F3864">
        <f t="shared" si="60"/>
        <v>6.1</v>
      </c>
    </row>
    <row r="3865" spans="1:6" x14ac:dyDescent="0.3">
      <c r="A3865" t="s">
        <v>911</v>
      </c>
      <c r="B3865" t="s">
        <v>2161</v>
      </c>
      <c r="C3865">
        <v>13</v>
      </c>
      <c r="D3865">
        <v>120</v>
      </c>
      <c r="E3865">
        <f>IF(OR(B3865="vi",B3865="ii",B3865="pod"),(((D3865/100)*(C3865*VLOOKUP(B3865,'Poids des runes'!A:B,2,FALSE)))+1),(((D3865/100)*(C3865*VLOOKUP(B3865,'Poids des runes'!A:B,2,FALSE)))+1)/VLOOKUP(B3865,'Poids des runes'!A:B,2,FALSE))</f>
        <v>15.933333333333332</v>
      </c>
      <c r="F3865">
        <f t="shared" si="60"/>
        <v>15.933333333333332</v>
      </c>
    </row>
    <row r="3866" spans="1:6" x14ac:dyDescent="0.3">
      <c r="A3866" t="s">
        <v>911</v>
      </c>
      <c r="B3866" t="s">
        <v>2148</v>
      </c>
      <c r="C3866">
        <v>8</v>
      </c>
      <c r="D3866">
        <v>120</v>
      </c>
      <c r="E3866">
        <f>IF(OR(B3866="vi",B3866="ii",B3866="pod"),(((D3866/100)*(C3866*VLOOKUP(B3866,'Poids des runes'!A:B,2,FALSE)))+1),(((D3866/100)*(C3866*VLOOKUP(B3866,'Poids des runes'!A:B,2,FALSE)))+1)/VLOOKUP(B3866,'Poids des runes'!A:B,2,FALSE))</f>
        <v>9.7666666666666657</v>
      </c>
      <c r="F3866">
        <f t="shared" si="60"/>
        <v>9.7666666666666657</v>
      </c>
    </row>
    <row r="3867" spans="1:6" x14ac:dyDescent="0.3">
      <c r="A3867" t="s">
        <v>911</v>
      </c>
      <c r="B3867" t="s">
        <v>2147</v>
      </c>
      <c r="C3867">
        <v>8</v>
      </c>
      <c r="D3867">
        <v>120</v>
      </c>
      <c r="E3867">
        <f>IF(OR(B3867="vi",B3867="ii",B3867="pod"),(((D3867/100)*(C3867*VLOOKUP(B3867,'Poids des runes'!A:B,2,FALSE)))+1),(((D3867/100)*(C3867*VLOOKUP(B3867,'Poids des runes'!A:B,2,FALSE)))+1)/VLOOKUP(B3867,'Poids des runes'!A:B,2,FALSE))</f>
        <v>9.7666666666666657</v>
      </c>
      <c r="F3867">
        <f t="shared" si="60"/>
        <v>9.7666666666666657</v>
      </c>
    </row>
    <row r="3868" spans="1:6" x14ac:dyDescent="0.3">
      <c r="A3868" t="s">
        <v>911</v>
      </c>
      <c r="B3868" t="s">
        <v>2137</v>
      </c>
      <c r="C3868">
        <v>10</v>
      </c>
      <c r="D3868">
        <v>120</v>
      </c>
      <c r="E3868">
        <f>IF(OR(B3868="vi",B3868="ii",B3868="pod"),(((D3868/100)*(C3868*VLOOKUP(B3868,'Poids des runes'!A:B,2,FALSE)))+1),(((D3868/100)*(C3868*VLOOKUP(B3868,'Poids des runes'!A:B,2,FALSE)))+1)/VLOOKUP(B3868,'Poids des runes'!A:B,2,FALSE))</f>
        <v>12.5</v>
      </c>
      <c r="F3868">
        <f t="shared" si="60"/>
        <v>12.5</v>
      </c>
    </row>
    <row r="3869" spans="1:6" x14ac:dyDescent="0.3">
      <c r="A3869" t="s">
        <v>911</v>
      </c>
      <c r="B3869" t="s">
        <v>2144</v>
      </c>
      <c r="C3869">
        <v>10</v>
      </c>
      <c r="D3869">
        <v>120</v>
      </c>
      <c r="E3869">
        <f>IF(OR(B3869="vi",B3869="ii",B3869="pod"),(((D3869/100)*(C3869*VLOOKUP(B3869,'Poids des runes'!A:B,2,FALSE)))+1),(((D3869/100)*(C3869*VLOOKUP(B3869,'Poids des runes'!A:B,2,FALSE)))+1)/VLOOKUP(B3869,'Poids des runes'!A:B,2,FALSE))</f>
        <v>12.5</v>
      </c>
      <c r="F3869">
        <f t="shared" si="60"/>
        <v>12.5</v>
      </c>
    </row>
    <row r="3870" spans="1:6" x14ac:dyDescent="0.3">
      <c r="A3870" t="s">
        <v>912</v>
      </c>
      <c r="B3870" t="s">
        <v>2128</v>
      </c>
      <c r="C3870">
        <v>90.5</v>
      </c>
      <c r="D3870">
        <v>120</v>
      </c>
      <c r="E3870">
        <f>IF(OR(B3870="vi",B3870="ii",B3870="pod"),(((D3870/100)*(C3870*VLOOKUP(B3870,'Poids des runes'!A:B,2,FALSE)))+1),(((D3870/100)*(C3870*VLOOKUP(B3870,'Poids des runes'!A:B,2,FALSE)))+1)/VLOOKUP(B3870,'Poids des runes'!A:B,2,FALSE))</f>
        <v>22.720000000000002</v>
      </c>
      <c r="F3870">
        <f t="shared" si="60"/>
        <v>22.720000000000002</v>
      </c>
    </row>
    <row r="3871" spans="1:6" x14ac:dyDescent="0.3">
      <c r="A3871" t="s">
        <v>912</v>
      </c>
      <c r="B3871" t="s">
        <v>2131</v>
      </c>
      <c r="C3871">
        <v>30.5</v>
      </c>
      <c r="D3871">
        <v>120</v>
      </c>
      <c r="E3871">
        <f>IF(OR(B3871="vi",B3871="ii",B3871="pod"),(((D3871/100)*(C3871*VLOOKUP(B3871,'Poids des runes'!A:B,2,FALSE)))+1),(((D3871/100)*(C3871*VLOOKUP(B3871,'Poids des runes'!A:B,2,FALSE)))+1)/VLOOKUP(B3871,'Poids des runes'!A:B,2,FALSE))</f>
        <v>37.6</v>
      </c>
      <c r="F3871">
        <f t="shared" si="60"/>
        <v>37.6</v>
      </c>
    </row>
    <row r="3872" spans="1:6" x14ac:dyDescent="0.3">
      <c r="A3872" t="s">
        <v>912</v>
      </c>
      <c r="B3872" t="s">
        <v>2151</v>
      </c>
      <c r="C3872">
        <v>2.5</v>
      </c>
      <c r="D3872">
        <v>120</v>
      </c>
      <c r="E3872">
        <f>IF(OR(B3872="vi",B3872="ii",B3872="pod"),(((D3872/100)*(C3872*VLOOKUP(B3872,'Poids des runes'!A:B,2,FALSE)))+1),(((D3872/100)*(C3872*VLOOKUP(B3872,'Poids des runes'!A:B,2,FALSE)))+1)/VLOOKUP(B3872,'Poids des runes'!A:B,2,FALSE))</f>
        <v>3.1</v>
      </c>
      <c r="F3872">
        <f t="shared" si="60"/>
        <v>3.1</v>
      </c>
    </row>
    <row r="3873" spans="1:6" x14ac:dyDescent="0.3">
      <c r="A3873" t="s">
        <v>912</v>
      </c>
      <c r="B3873" t="s">
        <v>2134</v>
      </c>
      <c r="C3873">
        <v>5</v>
      </c>
      <c r="D3873">
        <v>120</v>
      </c>
      <c r="E3873">
        <f>IF(OR(B3873="vi",B3873="ii",B3873="pod"),(((D3873/100)*(C3873*VLOOKUP(B3873,'Poids des runes'!A:B,2,FALSE)))+1),(((D3873/100)*(C3873*VLOOKUP(B3873,'Poids des runes'!A:B,2,FALSE)))+1)/VLOOKUP(B3873,'Poids des runes'!A:B,2,FALSE))</f>
        <v>6.05</v>
      </c>
      <c r="F3873">
        <f t="shared" si="60"/>
        <v>6.05</v>
      </c>
    </row>
    <row r="3874" spans="1:6" x14ac:dyDescent="0.3">
      <c r="A3874" t="s">
        <v>912</v>
      </c>
      <c r="B3874" t="s">
        <v>2161</v>
      </c>
      <c r="C3874">
        <v>8</v>
      </c>
      <c r="D3874">
        <v>120</v>
      </c>
      <c r="E3874">
        <f>IF(OR(B3874="vi",B3874="ii",B3874="pod"),(((D3874/100)*(C3874*VLOOKUP(B3874,'Poids des runes'!A:B,2,FALSE)))+1),(((D3874/100)*(C3874*VLOOKUP(B3874,'Poids des runes'!A:B,2,FALSE)))+1)/VLOOKUP(B3874,'Poids des runes'!A:B,2,FALSE))</f>
        <v>9.9333333333333318</v>
      </c>
      <c r="F3874">
        <f t="shared" si="60"/>
        <v>9.9333333333333318</v>
      </c>
    </row>
    <row r="3875" spans="1:6" x14ac:dyDescent="0.3">
      <c r="A3875" t="s">
        <v>912</v>
      </c>
      <c r="B3875" t="s">
        <v>2135</v>
      </c>
      <c r="C3875">
        <v>6</v>
      </c>
      <c r="D3875">
        <v>120</v>
      </c>
      <c r="E3875">
        <f>IF(OR(B3875="vi",B3875="ii",B3875="pod"),(((D3875/100)*(C3875*VLOOKUP(B3875,'Poids des runes'!A:B,2,FALSE)))+1),(((D3875/100)*(C3875*VLOOKUP(B3875,'Poids des runes'!A:B,2,FALSE)))+1)/VLOOKUP(B3875,'Poids des runes'!A:B,2,FALSE))</f>
        <v>7.3666666666666663</v>
      </c>
      <c r="F3875">
        <f t="shared" si="60"/>
        <v>7.3666666666666663</v>
      </c>
    </row>
    <row r="3876" spans="1:6" x14ac:dyDescent="0.3">
      <c r="A3876" t="s">
        <v>912</v>
      </c>
      <c r="B3876" t="s">
        <v>2145</v>
      </c>
      <c r="C3876">
        <v>6</v>
      </c>
      <c r="D3876">
        <v>120</v>
      </c>
      <c r="E3876">
        <f>IF(OR(B3876="vi",B3876="ii",B3876="pod"),(((D3876/100)*(C3876*VLOOKUP(B3876,'Poids des runes'!A:B,2,FALSE)))+1),(((D3876/100)*(C3876*VLOOKUP(B3876,'Poids des runes'!A:B,2,FALSE)))+1)/VLOOKUP(B3876,'Poids des runes'!A:B,2,FALSE))</f>
        <v>7.6999999999999993</v>
      </c>
      <c r="F3876">
        <f t="shared" si="60"/>
        <v>7.6999999999999993</v>
      </c>
    </row>
    <row r="3877" spans="1:6" x14ac:dyDescent="0.3">
      <c r="A3877" t="s">
        <v>913</v>
      </c>
      <c r="B3877" t="s">
        <v>2127</v>
      </c>
      <c r="C3877">
        <v>18</v>
      </c>
      <c r="D3877">
        <v>121</v>
      </c>
      <c r="E3877">
        <f>IF(OR(B3877="vi",B3877="ii",B3877="pod"),(((D3877/100)*(C3877*VLOOKUP(B3877,'Poids des runes'!A:B,2,FALSE)))+1),(((D3877/100)*(C3877*VLOOKUP(B3877,'Poids des runes'!A:B,2,FALSE)))+1)/VLOOKUP(B3877,'Poids des runes'!A:B,2,FALSE))</f>
        <v>22.78</v>
      </c>
      <c r="F3877">
        <f t="shared" si="60"/>
        <v>22.78</v>
      </c>
    </row>
    <row r="3878" spans="1:6" x14ac:dyDescent="0.3">
      <c r="A3878" t="s">
        <v>913</v>
      </c>
      <c r="B3878" t="s">
        <v>2139</v>
      </c>
      <c r="C3878">
        <v>18</v>
      </c>
      <c r="D3878">
        <v>121</v>
      </c>
      <c r="E3878">
        <f>IF(OR(B3878="vi",B3878="ii",B3878="pod"),(((D3878/100)*(C3878*VLOOKUP(B3878,'Poids des runes'!A:B,2,FALSE)))+1),(((D3878/100)*(C3878*VLOOKUP(B3878,'Poids des runes'!A:B,2,FALSE)))+1)/VLOOKUP(B3878,'Poids des runes'!A:B,2,FALSE))</f>
        <v>22.28</v>
      </c>
      <c r="F3878">
        <f t="shared" si="60"/>
        <v>22.28</v>
      </c>
    </row>
    <row r="3879" spans="1:6" x14ac:dyDescent="0.3">
      <c r="A3879" t="s">
        <v>913</v>
      </c>
      <c r="B3879" t="s">
        <v>2148</v>
      </c>
      <c r="C3879">
        <v>8</v>
      </c>
      <c r="D3879">
        <v>121</v>
      </c>
      <c r="E3879">
        <f>IF(OR(B3879="vi",B3879="ii",B3879="pod"),(((D3879/100)*(C3879*VLOOKUP(B3879,'Poids des runes'!A:B,2,FALSE)))+1),(((D3879/100)*(C3879*VLOOKUP(B3879,'Poids des runes'!A:B,2,FALSE)))+1)/VLOOKUP(B3879,'Poids des runes'!A:B,2,FALSE))</f>
        <v>9.8466666666666658</v>
      </c>
      <c r="F3879">
        <f t="shared" si="60"/>
        <v>9.8466666666666658</v>
      </c>
    </row>
    <row r="3880" spans="1:6" x14ac:dyDescent="0.3">
      <c r="A3880" t="s">
        <v>913</v>
      </c>
      <c r="B3880" t="s">
        <v>2147</v>
      </c>
      <c r="C3880">
        <v>8</v>
      </c>
      <c r="D3880">
        <v>121</v>
      </c>
      <c r="E3880">
        <f>IF(OR(B3880="vi",B3880="ii",B3880="pod"),(((D3880/100)*(C3880*VLOOKUP(B3880,'Poids des runes'!A:B,2,FALSE)))+1),(((D3880/100)*(C3880*VLOOKUP(B3880,'Poids des runes'!A:B,2,FALSE)))+1)/VLOOKUP(B3880,'Poids des runes'!A:B,2,FALSE))</f>
        <v>9.8466666666666658</v>
      </c>
      <c r="F3880">
        <f t="shared" si="60"/>
        <v>9.8466666666666658</v>
      </c>
    </row>
    <row r="3881" spans="1:6" x14ac:dyDescent="0.3">
      <c r="A3881" t="s">
        <v>913</v>
      </c>
      <c r="B3881" t="s">
        <v>2135</v>
      </c>
      <c r="C3881">
        <v>8</v>
      </c>
      <c r="D3881">
        <v>121</v>
      </c>
      <c r="E3881">
        <f>IF(OR(B3881="vi",B3881="ii",B3881="pod"),(((D3881/100)*(C3881*VLOOKUP(B3881,'Poids des runes'!A:B,2,FALSE)))+1),(((D3881/100)*(C3881*VLOOKUP(B3881,'Poids des runes'!A:B,2,FALSE)))+1)/VLOOKUP(B3881,'Poids des runes'!A:B,2,FALSE))</f>
        <v>9.8466666666666658</v>
      </c>
      <c r="F3881">
        <f t="shared" si="60"/>
        <v>9.8466666666666658</v>
      </c>
    </row>
    <row r="3882" spans="1:6" x14ac:dyDescent="0.3">
      <c r="A3882" t="s">
        <v>913</v>
      </c>
      <c r="B3882" t="s">
        <v>2157</v>
      </c>
      <c r="C3882">
        <v>8</v>
      </c>
      <c r="D3882">
        <v>121</v>
      </c>
      <c r="E3882">
        <f>IF(OR(B3882="vi",B3882="ii",B3882="pod"),(((D3882/100)*(C3882*VLOOKUP(B3882,'Poids des runes'!A:B,2,FALSE)))+1),(((D3882/100)*(C3882*VLOOKUP(B3882,'Poids des runes'!A:B,2,FALSE)))+1)/VLOOKUP(B3882,'Poids des runes'!A:B,2,FALSE))</f>
        <v>9.8466666666666658</v>
      </c>
      <c r="F3882">
        <f t="shared" si="60"/>
        <v>9.8466666666666658</v>
      </c>
    </row>
    <row r="3883" spans="1:6" x14ac:dyDescent="0.3">
      <c r="A3883" t="s">
        <v>913</v>
      </c>
      <c r="B3883" t="s">
        <v>2136</v>
      </c>
      <c r="C3883">
        <v>13</v>
      </c>
      <c r="D3883">
        <v>121</v>
      </c>
      <c r="E3883">
        <f>IF(OR(B3883="vi",B3883="ii",B3883="pod"),(((D3883/100)*(C3883*VLOOKUP(B3883,'Poids des runes'!A:B,2,FALSE)))+1),(((D3883/100)*(C3883*VLOOKUP(B3883,'Poids des runes'!A:B,2,FALSE)))+1)/VLOOKUP(B3883,'Poids des runes'!A:B,2,FALSE))</f>
        <v>16.23</v>
      </c>
      <c r="F3883">
        <f t="shared" si="60"/>
        <v>16.23</v>
      </c>
    </row>
    <row r="3884" spans="1:6" x14ac:dyDescent="0.3">
      <c r="A3884" t="s">
        <v>913</v>
      </c>
      <c r="B3884" t="s">
        <v>2137</v>
      </c>
      <c r="C3884">
        <v>13</v>
      </c>
      <c r="D3884">
        <v>121</v>
      </c>
      <c r="E3884">
        <f>IF(OR(B3884="vi",B3884="ii",B3884="pod"),(((D3884/100)*(C3884*VLOOKUP(B3884,'Poids des runes'!A:B,2,FALSE)))+1),(((D3884/100)*(C3884*VLOOKUP(B3884,'Poids des runes'!A:B,2,FALSE)))+1)/VLOOKUP(B3884,'Poids des runes'!A:B,2,FALSE))</f>
        <v>16.23</v>
      </c>
      <c r="F3884">
        <f t="shared" si="60"/>
        <v>16.23</v>
      </c>
    </row>
    <row r="3885" spans="1:6" x14ac:dyDescent="0.3">
      <c r="A3885" t="s">
        <v>913</v>
      </c>
      <c r="B3885" t="s">
        <v>2144</v>
      </c>
      <c r="C3885">
        <v>13</v>
      </c>
      <c r="D3885">
        <v>121</v>
      </c>
      <c r="E3885">
        <f>IF(OR(B3885="vi",B3885="ii",B3885="pod"),(((D3885/100)*(C3885*VLOOKUP(B3885,'Poids des runes'!A:B,2,FALSE)))+1),(((D3885/100)*(C3885*VLOOKUP(B3885,'Poids des runes'!A:B,2,FALSE)))+1)/VLOOKUP(B3885,'Poids des runes'!A:B,2,FALSE))</f>
        <v>16.23</v>
      </c>
      <c r="F3885">
        <f t="shared" si="60"/>
        <v>16.23</v>
      </c>
    </row>
    <row r="3886" spans="1:6" x14ac:dyDescent="0.3">
      <c r="A3886" t="s">
        <v>913</v>
      </c>
      <c r="B3886" t="s">
        <v>2145</v>
      </c>
      <c r="C3886">
        <v>13</v>
      </c>
      <c r="D3886">
        <v>121</v>
      </c>
      <c r="E3886">
        <f>IF(OR(B3886="vi",B3886="ii",B3886="pod"),(((D3886/100)*(C3886*VLOOKUP(B3886,'Poids des runes'!A:B,2,FALSE)))+1),(((D3886/100)*(C3886*VLOOKUP(B3886,'Poids des runes'!A:B,2,FALSE)))+1)/VLOOKUP(B3886,'Poids des runes'!A:B,2,FALSE))</f>
        <v>16.23</v>
      </c>
      <c r="F3886">
        <f t="shared" si="60"/>
        <v>16.23</v>
      </c>
    </row>
    <row r="3887" spans="1:6" x14ac:dyDescent="0.3">
      <c r="A3887" t="s">
        <v>913</v>
      </c>
      <c r="B3887" t="s">
        <v>2146</v>
      </c>
      <c r="C3887">
        <v>13</v>
      </c>
      <c r="D3887">
        <v>121</v>
      </c>
      <c r="E3887">
        <f>IF(OR(B3887="vi",B3887="ii",B3887="pod"),(((D3887/100)*(C3887*VLOOKUP(B3887,'Poids des runes'!A:B,2,FALSE)))+1),(((D3887/100)*(C3887*VLOOKUP(B3887,'Poids des runes'!A:B,2,FALSE)))+1)/VLOOKUP(B3887,'Poids des runes'!A:B,2,FALSE))</f>
        <v>16.23</v>
      </c>
      <c r="F3887">
        <f t="shared" si="60"/>
        <v>16.23</v>
      </c>
    </row>
    <row r="3888" spans="1:6" x14ac:dyDescent="0.3">
      <c r="A3888" t="s">
        <v>914</v>
      </c>
      <c r="B3888" t="s">
        <v>2128</v>
      </c>
      <c r="C3888">
        <v>85.5</v>
      </c>
      <c r="D3888">
        <v>121</v>
      </c>
      <c r="E3888">
        <f>IF(OR(B3888="vi",B3888="ii",B3888="pod"),(((D3888/100)*(C3888*VLOOKUP(B3888,'Poids des runes'!A:B,2,FALSE)))+1),(((D3888/100)*(C3888*VLOOKUP(B3888,'Poids des runes'!A:B,2,FALSE)))+1)/VLOOKUP(B3888,'Poids des runes'!A:B,2,FALSE))</f>
        <v>21.691000000000003</v>
      </c>
      <c r="F3888">
        <f t="shared" si="60"/>
        <v>21.691000000000003</v>
      </c>
    </row>
    <row r="3889" spans="1:6" x14ac:dyDescent="0.3">
      <c r="A3889" t="s">
        <v>914</v>
      </c>
      <c r="B3889" t="s">
        <v>2129</v>
      </c>
      <c r="C3889">
        <v>40.5</v>
      </c>
      <c r="D3889">
        <v>121</v>
      </c>
      <c r="E3889">
        <f>IF(OR(B3889="vi",B3889="ii",B3889="pod"),(((D3889/100)*(C3889*VLOOKUP(B3889,'Poids des runes'!A:B,2,FALSE)))+1),(((D3889/100)*(C3889*VLOOKUP(B3889,'Poids des runes'!A:B,2,FALSE)))+1)/VLOOKUP(B3889,'Poids des runes'!A:B,2,FALSE))</f>
        <v>50.004999999999995</v>
      </c>
      <c r="F3889">
        <f t="shared" si="60"/>
        <v>50.004999999999995</v>
      </c>
    </row>
    <row r="3890" spans="1:6" x14ac:dyDescent="0.3">
      <c r="A3890" t="s">
        <v>914</v>
      </c>
      <c r="B3890" t="s">
        <v>2134</v>
      </c>
      <c r="C3890">
        <v>7</v>
      </c>
      <c r="D3890">
        <v>121</v>
      </c>
      <c r="E3890">
        <f>IF(OR(B3890="vi",B3890="ii",B3890="pod"),(((D3890/100)*(C3890*VLOOKUP(B3890,'Poids des runes'!A:B,2,FALSE)))+1),(((D3890/100)*(C3890*VLOOKUP(B3890,'Poids des runes'!A:B,2,FALSE)))+1)/VLOOKUP(B3890,'Poids des runes'!A:B,2,FALSE))</f>
        <v>8.52</v>
      </c>
      <c r="F3890">
        <f t="shared" si="60"/>
        <v>8.52</v>
      </c>
    </row>
    <row r="3891" spans="1:6" x14ac:dyDescent="0.3">
      <c r="A3891" t="s">
        <v>914</v>
      </c>
      <c r="B3891" t="s">
        <v>2161</v>
      </c>
      <c r="C3891">
        <v>11</v>
      </c>
      <c r="D3891">
        <v>121</v>
      </c>
      <c r="E3891">
        <f>IF(OR(B3891="vi",B3891="ii",B3891="pod"),(((D3891/100)*(C3891*VLOOKUP(B3891,'Poids des runes'!A:B,2,FALSE)))+1),(((D3891/100)*(C3891*VLOOKUP(B3891,'Poids des runes'!A:B,2,FALSE)))+1)/VLOOKUP(B3891,'Poids des runes'!A:B,2,FALSE))</f>
        <v>13.643333333333333</v>
      </c>
      <c r="F3891">
        <f t="shared" si="60"/>
        <v>13.643333333333333</v>
      </c>
    </row>
    <row r="3892" spans="1:6" x14ac:dyDescent="0.3">
      <c r="A3892" t="s">
        <v>914</v>
      </c>
      <c r="B3892" t="s">
        <v>2148</v>
      </c>
      <c r="C3892">
        <v>4.5</v>
      </c>
      <c r="D3892">
        <v>121</v>
      </c>
      <c r="E3892">
        <f>IF(OR(B3892="vi",B3892="ii",B3892="pod"),(((D3892/100)*(C3892*VLOOKUP(B3892,'Poids des runes'!A:B,2,FALSE)))+1),(((D3892/100)*(C3892*VLOOKUP(B3892,'Poids des runes'!A:B,2,FALSE)))+1)/VLOOKUP(B3892,'Poids des runes'!A:B,2,FALSE))</f>
        <v>5.6116666666666672</v>
      </c>
      <c r="F3892">
        <f t="shared" si="60"/>
        <v>5.6116666666666672</v>
      </c>
    </row>
    <row r="3893" spans="1:6" x14ac:dyDescent="0.3">
      <c r="A3893" t="s">
        <v>914</v>
      </c>
      <c r="B3893" t="s">
        <v>2147</v>
      </c>
      <c r="C3893">
        <v>4.5</v>
      </c>
      <c r="D3893">
        <v>121</v>
      </c>
      <c r="E3893">
        <f>IF(OR(B3893="vi",B3893="ii",B3893="pod"),(((D3893/100)*(C3893*VLOOKUP(B3893,'Poids des runes'!A:B,2,FALSE)))+1),(((D3893/100)*(C3893*VLOOKUP(B3893,'Poids des runes'!A:B,2,FALSE)))+1)/VLOOKUP(B3893,'Poids des runes'!A:B,2,FALSE))</f>
        <v>5.6116666666666672</v>
      </c>
      <c r="F3893">
        <f t="shared" si="60"/>
        <v>5.6116666666666672</v>
      </c>
    </row>
    <row r="3894" spans="1:6" x14ac:dyDescent="0.3">
      <c r="A3894" t="s">
        <v>914</v>
      </c>
      <c r="B3894" t="s">
        <v>2135</v>
      </c>
      <c r="C3894">
        <v>4.5</v>
      </c>
      <c r="D3894">
        <v>121</v>
      </c>
      <c r="E3894">
        <f>IF(OR(B3894="vi",B3894="ii",B3894="pod"),(((D3894/100)*(C3894*VLOOKUP(B3894,'Poids des runes'!A:B,2,FALSE)))+1),(((D3894/100)*(C3894*VLOOKUP(B3894,'Poids des runes'!A:B,2,FALSE)))+1)/VLOOKUP(B3894,'Poids des runes'!A:B,2,FALSE))</f>
        <v>5.6116666666666672</v>
      </c>
      <c r="F3894">
        <f t="shared" si="60"/>
        <v>5.6116666666666672</v>
      </c>
    </row>
    <row r="3895" spans="1:6" x14ac:dyDescent="0.3">
      <c r="A3895" t="s">
        <v>914</v>
      </c>
      <c r="B3895" t="s">
        <v>2144</v>
      </c>
      <c r="C3895">
        <v>8</v>
      </c>
      <c r="D3895">
        <v>121</v>
      </c>
      <c r="E3895">
        <f>IF(OR(B3895="vi",B3895="ii",B3895="pod"),(((D3895/100)*(C3895*VLOOKUP(B3895,'Poids des runes'!A:B,2,FALSE)))+1),(((D3895/100)*(C3895*VLOOKUP(B3895,'Poids des runes'!A:B,2,FALSE)))+1)/VLOOKUP(B3895,'Poids des runes'!A:B,2,FALSE))</f>
        <v>10.18</v>
      </c>
      <c r="F3895">
        <f t="shared" si="60"/>
        <v>10.18</v>
      </c>
    </row>
    <row r="3896" spans="1:6" x14ac:dyDescent="0.3">
      <c r="A3896" t="s">
        <v>914</v>
      </c>
      <c r="B3896" t="s">
        <v>2145</v>
      </c>
      <c r="C3896">
        <v>8</v>
      </c>
      <c r="D3896">
        <v>121</v>
      </c>
      <c r="E3896">
        <f>IF(OR(B3896="vi",B3896="ii",B3896="pod"),(((D3896/100)*(C3896*VLOOKUP(B3896,'Poids des runes'!A:B,2,FALSE)))+1),(((D3896/100)*(C3896*VLOOKUP(B3896,'Poids des runes'!A:B,2,FALSE)))+1)/VLOOKUP(B3896,'Poids des runes'!A:B,2,FALSE))</f>
        <v>10.18</v>
      </c>
      <c r="F3896">
        <f t="shared" si="60"/>
        <v>10.18</v>
      </c>
    </row>
    <row r="3897" spans="1:6" x14ac:dyDescent="0.3">
      <c r="A3897" t="s">
        <v>914</v>
      </c>
      <c r="B3897" t="s">
        <v>2146</v>
      </c>
      <c r="C3897">
        <v>8</v>
      </c>
      <c r="D3897">
        <v>121</v>
      </c>
      <c r="E3897">
        <f>IF(OR(B3897="vi",B3897="ii",B3897="pod"),(((D3897/100)*(C3897*VLOOKUP(B3897,'Poids des runes'!A:B,2,FALSE)))+1),(((D3897/100)*(C3897*VLOOKUP(B3897,'Poids des runes'!A:B,2,FALSE)))+1)/VLOOKUP(B3897,'Poids des runes'!A:B,2,FALSE))</f>
        <v>10.18</v>
      </c>
      <c r="F3897">
        <f t="shared" si="60"/>
        <v>10.18</v>
      </c>
    </row>
    <row r="3898" spans="1:6" x14ac:dyDescent="0.3">
      <c r="A3898" t="s">
        <v>915</v>
      </c>
      <c r="B3898" t="s">
        <v>2128</v>
      </c>
      <c r="C3898">
        <v>125.5</v>
      </c>
      <c r="D3898">
        <v>121</v>
      </c>
      <c r="E3898">
        <f>IF(OR(B3898="vi",B3898="ii",B3898="pod"),(((D3898/100)*(C3898*VLOOKUP(B3898,'Poids des runes'!A:B,2,FALSE)))+1),(((D3898/100)*(C3898*VLOOKUP(B3898,'Poids des runes'!A:B,2,FALSE)))+1)/VLOOKUP(B3898,'Poids des runes'!A:B,2,FALSE))</f>
        <v>31.371000000000002</v>
      </c>
      <c r="F3898">
        <f t="shared" si="60"/>
        <v>31.371000000000002</v>
      </c>
    </row>
    <row r="3899" spans="1:6" x14ac:dyDescent="0.3">
      <c r="A3899" t="s">
        <v>915</v>
      </c>
      <c r="B3899" t="s">
        <v>2131</v>
      </c>
      <c r="C3899">
        <v>35.5</v>
      </c>
      <c r="D3899">
        <v>121</v>
      </c>
      <c r="E3899">
        <f>IF(OR(B3899="vi",B3899="ii",B3899="pod"),(((D3899/100)*(C3899*VLOOKUP(B3899,'Poids des runes'!A:B,2,FALSE)))+1),(((D3899/100)*(C3899*VLOOKUP(B3899,'Poids des runes'!A:B,2,FALSE)))+1)/VLOOKUP(B3899,'Poids des runes'!A:B,2,FALSE))</f>
        <v>43.954999999999998</v>
      </c>
      <c r="F3899">
        <f t="shared" si="60"/>
        <v>43.954999999999998</v>
      </c>
    </row>
    <row r="3900" spans="1:6" x14ac:dyDescent="0.3">
      <c r="A3900" t="s">
        <v>915</v>
      </c>
      <c r="B3900" t="s">
        <v>2129</v>
      </c>
      <c r="C3900">
        <v>28</v>
      </c>
      <c r="D3900">
        <v>121</v>
      </c>
      <c r="E3900">
        <f>IF(OR(B3900="vi",B3900="ii",B3900="pod"),(((D3900/100)*(C3900*VLOOKUP(B3900,'Poids des runes'!A:B,2,FALSE)))+1),(((D3900/100)*(C3900*VLOOKUP(B3900,'Poids des runes'!A:B,2,FALSE)))+1)/VLOOKUP(B3900,'Poids des runes'!A:B,2,FALSE))</f>
        <v>34.879999999999995</v>
      </c>
      <c r="F3900">
        <f t="shared" si="60"/>
        <v>34.879999999999995</v>
      </c>
    </row>
    <row r="3901" spans="1:6" x14ac:dyDescent="0.3">
      <c r="A3901" t="s">
        <v>915</v>
      </c>
      <c r="B3901" t="s">
        <v>2154</v>
      </c>
      <c r="C3901">
        <v>1</v>
      </c>
      <c r="D3901">
        <v>121</v>
      </c>
      <c r="E3901">
        <f>IF(OR(B3901="vi",B3901="ii",B3901="pod"),(((D3901/100)*(C3901*VLOOKUP(B3901,'Poids des runes'!A:B,2,FALSE)))+1),(((D3901/100)*(C3901*VLOOKUP(B3901,'Poids des runes'!A:B,2,FALSE)))+1)/VLOOKUP(B3901,'Poids des runes'!A:B,2,FALSE))</f>
        <v>1.221111111111111</v>
      </c>
      <c r="F3901">
        <f t="shared" si="60"/>
        <v>1.221111111111111</v>
      </c>
    </row>
    <row r="3902" spans="1:6" x14ac:dyDescent="0.3">
      <c r="A3902" t="s">
        <v>915</v>
      </c>
      <c r="B3902" t="s">
        <v>2161</v>
      </c>
      <c r="C3902">
        <v>13</v>
      </c>
      <c r="D3902">
        <v>121</v>
      </c>
      <c r="E3902">
        <f>IF(OR(B3902="vi",B3902="ii",B3902="pod"),(((D3902/100)*(C3902*VLOOKUP(B3902,'Poids des runes'!A:B,2,FALSE)))+1),(((D3902/100)*(C3902*VLOOKUP(B3902,'Poids des runes'!A:B,2,FALSE)))+1)/VLOOKUP(B3902,'Poids des runes'!A:B,2,FALSE))</f>
        <v>16.063333333333333</v>
      </c>
      <c r="F3902">
        <f t="shared" si="60"/>
        <v>16.063333333333333</v>
      </c>
    </row>
    <row r="3903" spans="1:6" x14ac:dyDescent="0.3">
      <c r="A3903" t="s">
        <v>915</v>
      </c>
      <c r="B3903" t="s">
        <v>2148</v>
      </c>
      <c r="C3903">
        <v>4.5</v>
      </c>
      <c r="D3903">
        <v>121</v>
      </c>
      <c r="E3903">
        <f>IF(OR(B3903="vi",B3903="ii",B3903="pod"),(((D3903/100)*(C3903*VLOOKUP(B3903,'Poids des runes'!A:B,2,FALSE)))+1),(((D3903/100)*(C3903*VLOOKUP(B3903,'Poids des runes'!A:B,2,FALSE)))+1)/VLOOKUP(B3903,'Poids des runes'!A:B,2,FALSE))</f>
        <v>5.6116666666666672</v>
      </c>
      <c r="F3903">
        <f t="shared" si="60"/>
        <v>5.6116666666666672</v>
      </c>
    </row>
    <row r="3904" spans="1:6" x14ac:dyDescent="0.3">
      <c r="A3904" t="s">
        <v>915</v>
      </c>
      <c r="B3904" t="s">
        <v>2147</v>
      </c>
      <c r="C3904">
        <v>4.5</v>
      </c>
      <c r="D3904">
        <v>121</v>
      </c>
      <c r="E3904">
        <f>IF(OR(B3904="vi",B3904="ii",B3904="pod"),(((D3904/100)*(C3904*VLOOKUP(B3904,'Poids des runes'!A:B,2,FALSE)))+1),(((D3904/100)*(C3904*VLOOKUP(B3904,'Poids des runes'!A:B,2,FALSE)))+1)/VLOOKUP(B3904,'Poids des runes'!A:B,2,FALSE))</f>
        <v>5.6116666666666672</v>
      </c>
      <c r="F3904">
        <f t="shared" si="60"/>
        <v>5.6116666666666672</v>
      </c>
    </row>
    <row r="3905" spans="1:6" x14ac:dyDescent="0.3">
      <c r="A3905" t="s">
        <v>915</v>
      </c>
      <c r="B3905" t="s">
        <v>2135</v>
      </c>
      <c r="C3905">
        <v>4.5</v>
      </c>
      <c r="D3905">
        <v>121</v>
      </c>
      <c r="E3905">
        <f>IF(OR(B3905="vi",B3905="ii",B3905="pod"),(((D3905/100)*(C3905*VLOOKUP(B3905,'Poids des runes'!A:B,2,FALSE)))+1),(((D3905/100)*(C3905*VLOOKUP(B3905,'Poids des runes'!A:B,2,FALSE)))+1)/VLOOKUP(B3905,'Poids des runes'!A:B,2,FALSE))</f>
        <v>5.6116666666666672</v>
      </c>
      <c r="F3905">
        <f t="shared" si="60"/>
        <v>5.6116666666666672</v>
      </c>
    </row>
    <row r="3906" spans="1:6" x14ac:dyDescent="0.3">
      <c r="A3906" t="s">
        <v>915</v>
      </c>
      <c r="B3906" t="s">
        <v>2157</v>
      </c>
      <c r="C3906">
        <v>4.5</v>
      </c>
      <c r="D3906">
        <v>121</v>
      </c>
      <c r="E3906">
        <f>IF(OR(B3906="vi",B3906="ii",B3906="pod"),(((D3906/100)*(C3906*VLOOKUP(B3906,'Poids des runes'!A:B,2,FALSE)))+1),(((D3906/100)*(C3906*VLOOKUP(B3906,'Poids des runes'!A:B,2,FALSE)))+1)/VLOOKUP(B3906,'Poids des runes'!A:B,2,FALSE))</f>
        <v>5.6116666666666672</v>
      </c>
      <c r="F3906">
        <f t="shared" si="60"/>
        <v>5.6116666666666672</v>
      </c>
    </row>
    <row r="3907" spans="1:6" x14ac:dyDescent="0.3">
      <c r="A3907" t="s">
        <v>916</v>
      </c>
      <c r="B3907" t="s">
        <v>2128</v>
      </c>
      <c r="C3907">
        <v>40.5</v>
      </c>
      <c r="D3907">
        <v>122</v>
      </c>
      <c r="E3907">
        <f>IF(OR(B3907="vi",B3907="ii",B3907="pod"),(((D3907/100)*(C3907*VLOOKUP(B3907,'Poids des runes'!A:B,2,FALSE)))+1),(((D3907/100)*(C3907*VLOOKUP(B3907,'Poids des runes'!A:B,2,FALSE)))+1)/VLOOKUP(B3907,'Poids des runes'!A:B,2,FALSE))</f>
        <v>10.882</v>
      </c>
      <c r="F3907">
        <f t="shared" ref="F3907:F3970" si="61">E3907</f>
        <v>10.882</v>
      </c>
    </row>
    <row r="3908" spans="1:6" x14ac:dyDescent="0.3">
      <c r="A3908" t="s">
        <v>916</v>
      </c>
      <c r="B3908" t="s">
        <v>2129</v>
      </c>
      <c r="C3908">
        <v>23</v>
      </c>
      <c r="D3908">
        <v>122</v>
      </c>
      <c r="E3908">
        <f>IF(OR(B3908="vi",B3908="ii",B3908="pod"),(((D3908/100)*(C3908*VLOOKUP(B3908,'Poids des runes'!A:B,2,FALSE)))+1),(((D3908/100)*(C3908*VLOOKUP(B3908,'Poids des runes'!A:B,2,FALSE)))+1)/VLOOKUP(B3908,'Poids des runes'!A:B,2,FALSE))</f>
        <v>29.06</v>
      </c>
      <c r="F3908">
        <f t="shared" si="61"/>
        <v>29.06</v>
      </c>
    </row>
    <row r="3909" spans="1:6" x14ac:dyDescent="0.3">
      <c r="A3909" t="s">
        <v>916</v>
      </c>
      <c r="B3909" t="s">
        <v>2154</v>
      </c>
      <c r="C3909">
        <v>1</v>
      </c>
      <c r="D3909">
        <v>122</v>
      </c>
      <c r="E3909">
        <f>IF(OR(B3909="vi",B3909="ii",B3909="pod"),(((D3909/100)*(C3909*VLOOKUP(B3909,'Poids des runes'!A:B,2,FALSE)))+1),(((D3909/100)*(C3909*VLOOKUP(B3909,'Poids des runes'!A:B,2,FALSE)))+1)/VLOOKUP(B3909,'Poids des runes'!A:B,2,FALSE))</f>
        <v>1.231111111111111</v>
      </c>
      <c r="F3909">
        <f t="shared" si="61"/>
        <v>1.231111111111111</v>
      </c>
    </row>
    <row r="3910" spans="1:6" x14ac:dyDescent="0.3">
      <c r="A3910" t="s">
        <v>916</v>
      </c>
      <c r="B3910" t="s">
        <v>2134</v>
      </c>
      <c r="C3910">
        <v>8</v>
      </c>
      <c r="D3910">
        <v>122</v>
      </c>
      <c r="E3910">
        <f>IF(OR(B3910="vi",B3910="ii",B3910="pod"),(((D3910/100)*(C3910*VLOOKUP(B3910,'Poids des runes'!A:B,2,FALSE)))+1),(((D3910/100)*(C3910*VLOOKUP(B3910,'Poids des runes'!A:B,2,FALSE)))+1)/VLOOKUP(B3910,'Poids des runes'!A:B,2,FALSE))</f>
        <v>9.8099999999999987</v>
      </c>
      <c r="F3910">
        <f t="shared" si="61"/>
        <v>9.8099999999999987</v>
      </c>
    </row>
    <row r="3911" spans="1:6" x14ac:dyDescent="0.3">
      <c r="A3911" t="s">
        <v>916</v>
      </c>
      <c r="B3911" t="s">
        <v>2161</v>
      </c>
      <c r="C3911">
        <v>8</v>
      </c>
      <c r="D3911">
        <v>122</v>
      </c>
      <c r="E3911">
        <f>IF(OR(B3911="vi",B3911="ii",B3911="pod"),(((D3911/100)*(C3911*VLOOKUP(B3911,'Poids des runes'!A:B,2,FALSE)))+1),(((D3911/100)*(C3911*VLOOKUP(B3911,'Poids des runes'!A:B,2,FALSE)))+1)/VLOOKUP(B3911,'Poids des runes'!A:B,2,FALSE))</f>
        <v>10.093333333333334</v>
      </c>
      <c r="F3911">
        <f t="shared" si="61"/>
        <v>10.093333333333334</v>
      </c>
    </row>
    <row r="3912" spans="1:6" x14ac:dyDescent="0.3">
      <c r="A3912" t="s">
        <v>916</v>
      </c>
      <c r="B3912" t="s">
        <v>2156</v>
      </c>
      <c r="C3912">
        <v>4</v>
      </c>
      <c r="D3912">
        <v>122</v>
      </c>
      <c r="E3912">
        <f>IF(OR(B3912="vi",B3912="ii",B3912="pod"),(((D3912/100)*(C3912*VLOOKUP(B3912,'Poids des runes'!A:B,2,FALSE)))+1),(((D3912/100)*(C3912*VLOOKUP(B3912,'Poids des runes'!A:B,2,FALSE)))+1)/VLOOKUP(B3912,'Poids des runes'!A:B,2,FALSE))</f>
        <v>5.0466666666666669</v>
      </c>
      <c r="F3912">
        <f t="shared" si="61"/>
        <v>5.0466666666666669</v>
      </c>
    </row>
    <row r="3913" spans="1:6" x14ac:dyDescent="0.3">
      <c r="A3913" t="s">
        <v>916</v>
      </c>
      <c r="B3913" t="s">
        <v>2144</v>
      </c>
      <c r="C3913">
        <v>13</v>
      </c>
      <c r="D3913">
        <v>122</v>
      </c>
      <c r="E3913">
        <f>IF(OR(B3913="vi",B3913="ii",B3913="pod"),(((D3913/100)*(C3913*VLOOKUP(B3913,'Poids des runes'!A:B,2,FALSE)))+1),(((D3913/100)*(C3913*VLOOKUP(B3913,'Poids des runes'!A:B,2,FALSE)))+1)/VLOOKUP(B3913,'Poids des runes'!A:B,2,FALSE))</f>
        <v>16.36</v>
      </c>
      <c r="F3913">
        <f t="shared" si="61"/>
        <v>16.36</v>
      </c>
    </row>
    <row r="3914" spans="1:6" x14ac:dyDescent="0.3">
      <c r="A3914" t="s">
        <v>916</v>
      </c>
      <c r="B3914" t="s">
        <v>2145</v>
      </c>
      <c r="C3914">
        <v>13</v>
      </c>
      <c r="D3914">
        <v>122</v>
      </c>
      <c r="E3914">
        <f>IF(OR(B3914="vi",B3914="ii",B3914="pod"),(((D3914/100)*(C3914*VLOOKUP(B3914,'Poids des runes'!A:B,2,FALSE)))+1),(((D3914/100)*(C3914*VLOOKUP(B3914,'Poids des runes'!A:B,2,FALSE)))+1)/VLOOKUP(B3914,'Poids des runes'!A:B,2,FALSE))</f>
        <v>16.36</v>
      </c>
      <c r="F3914">
        <f t="shared" si="61"/>
        <v>16.36</v>
      </c>
    </row>
    <row r="3915" spans="1:6" x14ac:dyDescent="0.3">
      <c r="A3915" t="s">
        <v>916</v>
      </c>
      <c r="B3915" t="s">
        <v>2146</v>
      </c>
      <c r="C3915">
        <v>13</v>
      </c>
      <c r="D3915">
        <v>122</v>
      </c>
      <c r="E3915">
        <f>IF(OR(B3915="vi",B3915="ii",B3915="pod"),(((D3915/100)*(C3915*VLOOKUP(B3915,'Poids des runes'!A:B,2,FALSE)))+1),(((D3915/100)*(C3915*VLOOKUP(B3915,'Poids des runes'!A:B,2,FALSE)))+1)/VLOOKUP(B3915,'Poids des runes'!A:B,2,FALSE))</f>
        <v>16.36</v>
      </c>
      <c r="F3915">
        <f t="shared" si="61"/>
        <v>16.36</v>
      </c>
    </row>
    <row r="3916" spans="1:6" x14ac:dyDescent="0.3">
      <c r="A3916" t="s">
        <v>917</v>
      </c>
      <c r="B3916" t="s">
        <v>2128</v>
      </c>
      <c r="C3916">
        <v>225.5</v>
      </c>
      <c r="D3916">
        <v>122</v>
      </c>
      <c r="E3916">
        <f>IF(OR(B3916="vi",B3916="ii",B3916="pod"),(((D3916/100)*(C3916*VLOOKUP(B3916,'Poids des runes'!A:B,2,FALSE)))+1),(((D3916/100)*(C3916*VLOOKUP(B3916,'Poids des runes'!A:B,2,FALSE)))+1)/VLOOKUP(B3916,'Poids des runes'!A:B,2,FALSE))</f>
        <v>56.021999999999998</v>
      </c>
      <c r="F3916">
        <f t="shared" si="61"/>
        <v>56.021999999999998</v>
      </c>
    </row>
    <row r="3917" spans="1:6" x14ac:dyDescent="0.3">
      <c r="A3917" t="s">
        <v>917</v>
      </c>
      <c r="B3917" t="s">
        <v>2126</v>
      </c>
      <c r="C3917">
        <v>40.5</v>
      </c>
      <c r="D3917">
        <v>122</v>
      </c>
      <c r="E3917">
        <f>IF(OR(B3917="vi",B3917="ii",B3917="pod"),(((D3917/100)*(C3917*VLOOKUP(B3917,'Poids des runes'!A:B,2,FALSE)))+1),(((D3917/100)*(C3917*VLOOKUP(B3917,'Poids des runes'!A:B,2,FALSE)))+1)/VLOOKUP(B3917,'Poids des runes'!A:B,2,FALSE))</f>
        <v>50.41</v>
      </c>
      <c r="F3917">
        <f t="shared" si="61"/>
        <v>50.41</v>
      </c>
    </row>
    <row r="3918" spans="1:6" x14ac:dyDescent="0.3">
      <c r="A3918" t="s">
        <v>917</v>
      </c>
      <c r="B3918" t="s">
        <v>2131</v>
      </c>
      <c r="C3918">
        <v>40.5</v>
      </c>
      <c r="D3918">
        <v>122</v>
      </c>
      <c r="E3918">
        <f>IF(OR(B3918="vi",B3918="ii",B3918="pod"),(((D3918/100)*(C3918*VLOOKUP(B3918,'Poids des runes'!A:B,2,FALSE)))+1),(((D3918/100)*(C3918*VLOOKUP(B3918,'Poids des runes'!A:B,2,FALSE)))+1)/VLOOKUP(B3918,'Poids des runes'!A:B,2,FALSE))</f>
        <v>50.41</v>
      </c>
      <c r="F3918">
        <f t="shared" si="61"/>
        <v>50.41</v>
      </c>
    </row>
    <row r="3919" spans="1:6" x14ac:dyDescent="0.3">
      <c r="A3919" t="s">
        <v>917</v>
      </c>
      <c r="B3919" t="s">
        <v>2151</v>
      </c>
      <c r="C3919">
        <v>4.5</v>
      </c>
      <c r="D3919">
        <v>122</v>
      </c>
      <c r="E3919">
        <f>IF(OR(B3919="vi",B3919="ii",B3919="pod"),(((D3919/100)*(C3919*VLOOKUP(B3919,'Poids des runes'!A:B,2,FALSE)))+1),(((D3919/100)*(C3919*VLOOKUP(B3919,'Poids des runes'!A:B,2,FALSE)))+1)/VLOOKUP(B3919,'Poids des runes'!A:B,2,FALSE))</f>
        <v>5.59</v>
      </c>
      <c r="F3919">
        <f t="shared" si="61"/>
        <v>5.59</v>
      </c>
    </row>
    <row r="3920" spans="1:6" x14ac:dyDescent="0.3">
      <c r="A3920" t="s">
        <v>917</v>
      </c>
      <c r="B3920" t="s">
        <v>2149</v>
      </c>
      <c r="C3920">
        <v>8</v>
      </c>
      <c r="D3920">
        <v>122</v>
      </c>
      <c r="E3920">
        <f>IF(OR(B3920="vi",B3920="ii",B3920="pod"),(((D3920/100)*(C3920*VLOOKUP(B3920,'Poids des runes'!A:B,2,FALSE)))+1),(((D3920/100)*(C3920*VLOOKUP(B3920,'Poids des runes'!A:B,2,FALSE)))+1)/VLOOKUP(B3920,'Poids des runes'!A:B,2,FALSE))</f>
        <v>9.86</v>
      </c>
      <c r="F3920">
        <f t="shared" si="61"/>
        <v>9.86</v>
      </c>
    </row>
    <row r="3921" spans="1:6" x14ac:dyDescent="0.3">
      <c r="A3921" t="s">
        <v>917</v>
      </c>
      <c r="B3921" t="s">
        <v>2148</v>
      </c>
      <c r="C3921">
        <v>8</v>
      </c>
      <c r="D3921">
        <v>122</v>
      </c>
      <c r="E3921">
        <f>IF(OR(B3921="vi",B3921="ii",B3921="pod"),(((D3921/100)*(C3921*VLOOKUP(B3921,'Poids des runes'!A:B,2,FALSE)))+1),(((D3921/100)*(C3921*VLOOKUP(B3921,'Poids des runes'!A:B,2,FALSE)))+1)/VLOOKUP(B3921,'Poids des runes'!A:B,2,FALSE))</f>
        <v>9.9266666666666676</v>
      </c>
      <c r="F3921">
        <f t="shared" si="61"/>
        <v>9.9266666666666676</v>
      </c>
    </row>
    <row r="3922" spans="1:6" x14ac:dyDescent="0.3">
      <c r="A3922" t="s">
        <v>917</v>
      </c>
      <c r="B3922" t="s">
        <v>2147</v>
      </c>
      <c r="C3922">
        <v>8</v>
      </c>
      <c r="D3922">
        <v>122</v>
      </c>
      <c r="E3922">
        <f>IF(OR(B3922="vi",B3922="ii",B3922="pod"),(((D3922/100)*(C3922*VLOOKUP(B3922,'Poids des runes'!A:B,2,FALSE)))+1),(((D3922/100)*(C3922*VLOOKUP(B3922,'Poids des runes'!A:B,2,FALSE)))+1)/VLOOKUP(B3922,'Poids des runes'!A:B,2,FALSE))</f>
        <v>9.9266666666666676</v>
      </c>
      <c r="F3922">
        <f t="shared" si="61"/>
        <v>9.9266666666666676</v>
      </c>
    </row>
    <row r="3923" spans="1:6" x14ac:dyDescent="0.3">
      <c r="A3923" t="s">
        <v>918</v>
      </c>
      <c r="B3923" t="s">
        <v>2128</v>
      </c>
      <c r="C3923">
        <v>163</v>
      </c>
      <c r="D3923">
        <v>122</v>
      </c>
      <c r="E3923">
        <f>IF(OR(B3923="vi",B3923="ii",B3923="pod"),(((D3923/100)*(C3923*VLOOKUP(B3923,'Poids des runes'!A:B,2,FALSE)))+1),(((D3923/100)*(C3923*VLOOKUP(B3923,'Poids des runes'!A:B,2,FALSE)))+1)/VLOOKUP(B3923,'Poids des runes'!A:B,2,FALSE))</f>
        <v>40.771999999999998</v>
      </c>
      <c r="F3923">
        <f t="shared" si="61"/>
        <v>40.771999999999998</v>
      </c>
    </row>
    <row r="3924" spans="1:6" x14ac:dyDescent="0.3">
      <c r="A3924" t="s">
        <v>918</v>
      </c>
      <c r="B3924" t="s">
        <v>2131</v>
      </c>
      <c r="C3924">
        <v>40.5</v>
      </c>
      <c r="D3924">
        <v>122</v>
      </c>
      <c r="E3924">
        <f>IF(OR(B3924="vi",B3924="ii",B3924="pod"),(((D3924/100)*(C3924*VLOOKUP(B3924,'Poids des runes'!A:B,2,FALSE)))+1),(((D3924/100)*(C3924*VLOOKUP(B3924,'Poids des runes'!A:B,2,FALSE)))+1)/VLOOKUP(B3924,'Poids des runes'!A:B,2,FALSE))</f>
        <v>50.41</v>
      </c>
      <c r="F3924">
        <f t="shared" si="61"/>
        <v>50.41</v>
      </c>
    </row>
    <row r="3925" spans="1:6" x14ac:dyDescent="0.3">
      <c r="A3925" t="s">
        <v>918</v>
      </c>
      <c r="B3925" t="s">
        <v>2127</v>
      </c>
      <c r="C3925">
        <v>40.5</v>
      </c>
      <c r="D3925">
        <v>122</v>
      </c>
      <c r="E3925">
        <f>IF(OR(B3925="vi",B3925="ii",B3925="pod"),(((D3925/100)*(C3925*VLOOKUP(B3925,'Poids des runes'!A:B,2,FALSE)))+1),(((D3925/100)*(C3925*VLOOKUP(B3925,'Poids des runes'!A:B,2,FALSE)))+1)/VLOOKUP(B3925,'Poids des runes'!A:B,2,FALSE))</f>
        <v>50.41</v>
      </c>
      <c r="F3925">
        <f t="shared" si="61"/>
        <v>50.41</v>
      </c>
    </row>
    <row r="3926" spans="1:6" x14ac:dyDescent="0.3">
      <c r="A3926" t="s">
        <v>918</v>
      </c>
      <c r="B3926" t="s">
        <v>2129</v>
      </c>
      <c r="C3926">
        <v>28</v>
      </c>
      <c r="D3926">
        <v>122</v>
      </c>
      <c r="E3926">
        <f>IF(OR(B3926="vi",B3926="ii",B3926="pod"),(((D3926/100)*(C3926*VLOOKUP(B3926,'Poids des runes'!A:B,2,FALSE)))+1),(((D3926/100)*(C3926*VLOOKUP(B3926,'Poids des runes'!A:B,2,FALSE)))+1)/VLOOKUP(B3926,'Poids des runes'!A:B,2,FALSE))</f>
        <v>35.159999999999997</v>
      </c>
      <c r="F3926">
        <f t="shared" si="61"/>
        <v>35.159999999999997</v>
      </c>
    </row>
    <row r="3927" spans="1:6" x14ac:dyDescent="0.3">
      <c r="A3927" t="s">
        <v>918</v>
      </c>
      <c r="B3927" t="s">
        <v>2154</v>
      </c>
      <c r="C3927">
        <v>1</v>
      </c>
      <c r="D3927">
        <v>122</v>
      </c>
      <c r="E3927">
        <f>IF(OR(B3927="vi",B3927="ii",B3927="pod"),(((D3927/100)*(C3927*VLOOKUP(B3927,'Poids des runes'!A:B,2,FALSE)))+1),(((D3927/100)*(C3927*VLOOKUP(B3927,'Poids des runes'!A:B,2,FALSE)))+1)/VLOOKUP(B3927,'Poids des runes'!A:B,2,FALSE))</f>
        <v>1.231111111111111</v>
      </c>
      <c r="F3927">
        <f t="shared" si="61"/>
        <v>1.231111111111111</v>
      </c>
    </row>
    <row r="3928" spans="1:6" x14ac:dyDescent="0.3">
      <c r="A3928" t="s">
        <v>918</v>
      </c>
      <c r="B3928" t="s">
        <v>2161</v>
      </c>
      <c r="C3928">
        <v>13</v>
      </c>
      <c r="D3928">
        <v>122</v>
      </c>
      <c r="E3928">
        <f>IF(OR(B3928="vi",B3928="ii",B3928="pod"),(((D3928/100)*(C3928*VLOOKUP(B3928,'Poids des runes'!A:B,2,FALSE)))+1),(((D3928/100)*(C3928*VLOOKUP(B3928,'Poids des runes'!A:B,2,FALSE)))+1)/VLOOKUP(B3928,'Poids des runes'!A:B,2,FALSE))</f>
        <v>16.193333333333332</v>
      </c>
      <c r="F3928">
        <f t="shared" si="61"/>
        <v>16.193333333333332</v>
      </c>
    </row>
    <row r="3929" spans="1:6" x14ac:dyDescent="0.3">
      <c r="A3929" t="s">
        <v>918</v>
      </c>
      <c r="B3929" t="s">
        <v>2156</v>
      </c>
      <c r="C3929">
        <v>6.5</v>
      </c>
      <c r="D3929">
        <v>122</v>
      </c>
      <c r="E3929">
        <f>IF(OR(B3929="vi",B3929="ii",B3929="pod"),(((D3929/100)*(C3929*VLOOKUP(B3929,'Poids des runes'!A:B,2,FALSE)))+1),(((D3929/100)*(C3929*VLOOKUP(B3929,'Poids des runes'!A:B,2,FALSE)))+1)/VLOOKUP(B3929,'Poids des runes'!A:B,2,FALSE))</f>
        <v>8.0966666666666658</v>
      </c>
      <c r="F3929">
        <f t="shared" si="61"/>
        <v>8.0966666666666658</v>
      </c>
    </row>
    <row r="3930" spans="1:6" x14ac:dyDescent="0.3">
      <c r="A3930" t="s">
        <v>918</v>
      </c>
      <c r="B3930" t="s">
        <v>2148</v>
      </c>
      <c r="C3930">
        <v>6.5</v>
      </c>
      <c r="D3930">
        <v>122</v>
      </c>
      <c r="E3930">
        <f>IF(OR(B3930="vi",B3930="ii",B3930="pod"),(((D3930/100)*(C3930*VLOOKUP(B3930,'Poids des runes'!A:B,2,FALSE)))+1),(((D3930/100)*(C3930*VLOOKUP(B3930,'Poids des runes'!A:B,2,FALSE)))+1)/VLOOKUP(B3930,'Poids des runes'!A:B,2,FALSE))</f>
        <v>8.0966666666666658</v>
      </c>
      <c r="F3930">
        <f t="shared" si="61"/>
        <v>8.0966666666666658</v>
      </c>
    </row>
    <row r="3931" spans="1:6" x14ac:dyDescent="0.3">
      <c r="A3931" t="s">
        <v>919</v>
      </c>
      <c r="B3931" t="s">
        <v>2128</v>
      </c>
      <c r="C3931">
        <v>55.5</v>
      </c>
      <c r="D3931">
        <v>123</v>
      </c>
      <c r="E3931">
        <f>IF(OR(B3931="vi",B3931="ii",B3931="pod"),(((D3931/100)*(C3931*VLOOKUP(B3931,'Poids des runes'!A:B,2,FALSE)))+1),(((D3931/100)*(C3931*VLOOKUP(B3931,'Poids des runes'!A:B,2,FALSE)))+1)/VLOOKUP(B3931,'Poids des runes'!A:B,2,FALSE))</f>
        <v>14.653000000000002</v>
      </c>
      <c r="F3931">
        <f t="shared" si="61"/>
        <v>14.653000000000002</v>
      </c>
    </row>
    <row r="3932" spans="1:6" x14ac:dyDescent="0.3">
      <c r="A3932" t="s">
        <v>919</v>
      </c>
      <c r="B3932" t="s">
        <v>2131</v>
      </c>
      <c r="C3932">
        <v>40.5</v>
      </c>
      <c r="D3932">
        <v>123</v>
      </c>
      <c r="E3932">
        <f>IF(OR(B3932="vi",B3932="ii",B3932="pod"),(((D3932/100)*(C3932*VLOOKUP(B3932,'Poids des runes'!A:B,2,FALSE)))+1),(((D3932/100)*(C3932*VLOOKUP(B3932,'Poids des runes'!A:B,2,FALSE)))+1)/VLOOKUP(B3932,'Poids des runes'!A:B,2,FALSE))</f>
        <v>50.814999999999998</v>
      </c>
      <c r="F3932">
        <f t="shared" si="61"/>
        <v>50.814999999999998</v>
      </c>
    </row>
    <row r="3933" spans="1:6" x14ac:dyDescent="0.3">
      <c r="A3933" t="s">
        <v>919</v>
      </c>
      <c r="B3933" t="s">
        <v>2127</v>
      </c>
      <c r="C3933">
        <v>40.5</v>
      </c>
      <c r="D3933">
        <v>123</v>
      </c>
      <c r="E3933">
        <f>IF(OR(B3933="vi",B3933="ii",B3933="pod"),(((D3933/100)*(C3933*VLOOKUP(B3933,'Poids des runes'!A:B,2,FALSE)))+1),(((D3933/100)*(C3933*VLOOKUP(B3933,'Poids des runes'!A:B,2,FALSE)))+1)/VLOOKUP(B3933,'Poids des runes'!A:B,2,FALSE))</f>
        <v>50.814999999999998</v>
      </c>
      <c r="F3933">
        <f t="shared" si="61"/>
        <v>50.814999999999998</v>
      </c>
    </row>
    <row r="3934" spans="1:6" x14ac:dyDescent="0.3">
      <c r="A3934" t="s">
        <v>919</v>
      </c>
      <c r="B3934" t="s">
        <v>2152</v>
      </c>
      <c r="C3934">
        <v>1</v>
      </c>
      <c r="D3934">
        <v>123</v>
      </c>
      <c r="E3934">
        <f>IF(OR(B3934="vi",B3934="ii",B3934="pod"),(((D3934/100)*(C3934*VLOOKUP(B3934,'Poids des runes'!A:B,2,FALSE)))+1),(((D3934/100)*(C3934*VLOOKUP(B3934,'Poids des runes'!A:B,2,FALSE)))+1)/VLOOKUP(B3934,'Poids des runes'!A:B,2,FALSE))</f>
        <v>1.24</v>
      </c>
      <c r="F3934">
        <f t="shared" si="61"/>
        <v>1.24</v>
      </c>
    </row>
    <row r="3935" spans="1:6" x14ac:dyDescent="0.3">
      <c r="A3935" t="s">
        <v>919</v>
      </c>
      <c r="B3935" t="s">
        <v>2155</v>
      </c>
      <c r="C3935">
        <v>1.5</v>
      </c>
      <c r="D3935">
        <v>123</v>
      </c>
      <c r="E3935">
        <f>IF(OR(B3935="vi",B3935="ii",B3935="pod"),(((D3935/100)*(C3935*VLOOKUP(B3935,'Poids des runes'!A:B,2,FALSE)))+1),(((D3935/100)*(C3935*VLOOKUP(B3935,'Poids des runes'!A:B,2,FALSE)))+1)/VLOOKUP(B3935,'Poids des runes'!A:B,2,FALSE))</f>
        <v>1.8646078431372548</v>
      </c>
      <c r="F3935">
        <f t="shared" si="61"/>
        <v>1.8646078431372548</v>
      </c>
    </row>
    <row r="3936" spans="1:6" x14ac:dyDescent="0.3">
      <c r="A3936" t="s">
        <v>919</v>
      </c>
      <c r="B3936" t="s">
        <v>2134</v>
      </c>
      <c r="C3936">
        <v>8</v>
      </c>
      <c r="D3936">
        <v>123</v>
      </c>
      <c r="E3936">
        <f>IF(OR(B3936="vi",B3936="ii",B3936="pod"),(((D3936/100)*(C3936*VLOOKUP(B3936,'Poids des runes'!A:B,2,FALSE)))+1),(((D3936/100)*(C3936*VLOOKUP(B3936,'Poids des runes'!A:B,2,FALSE)))+1)/VLOOKUP(B3936,'Poids des runes'!A:B,2,FALSE))</f>
        <v>9.89</v>
      </c>
      <c r="F3936">
        <f t="shared" si="61"/>
        <v>9.89</v>
      </c>
    </row>
    <row r="3937" spans="1:6" x14ac:dyDescent="0.3">
      <c r="A3937" t="s">
        <v>919</v>
      </c>
      <c r="B3937" t="s">
        <v>2161</v>
      </c>
      <c r="C3937">
        <v>13</v>
      </c>
      <c r="D3937">
        <v>123</v>
      </c>
      <c r="E3937">
        <f>IF(OR(B3937="vi",B3937="ii",B3937="pod"),(((D3937/100)*(C3937*VLOOKUP(B3937,'Poids des runes'!A:B,2,FALSE)))+1),(((D3937/100)*(C3937*VLOOKUP(B3937,'Poids des runes'!A:B,2,FALSE)))+1)/VLOOKUP(B3937,'Poids des runes'!A:B,2,FALSE))</f>
        <v>16.323333333333334</v>
      </c>
      <c r="F3937">
        <f t="shared" si="61"/>
        <v>16.323333333333334</v>
      </c>
    </row>
    <row r="3938" spans="1:6" x14ac:dyDescent="0.3">
      <c r="A3938" t="s">
        <v>919</v>
      </c>
      <c r="B3938" t="s">
        <v>2147</v>
      </c>
      <c r="C3938">
        <v>4</v>
      </c>
      <c r="D3938">
        <v>123</v>
      </c>
      <c r="E3938">
        <f>IF(OR(B3938="vi",B3938="ii",B3938="pod"),(((D3938/100)*(C3938*VLOOKUP(B3938,'Poids des runes'!A:B,2,FALSE)))+1),(((D3938/100)*(C3938*VLOOKUP(B3938,'Poids des runes'!A:B,2,FALSE)))+1)/VLOOKUP(B3938,'Poids des runes'!A:B,2,FALSE))</f>
        <v>5.0866666666666669</v>
      </c>
      <c r="F3938">
        <f t="shared" si="61"/>
        <v>5.0866666666666669</v>
      </c>
    </row>
    <row r="3939" spans="1:6" x14ac:dyDescent="0.3">
      <c r="A3939" t="s">
        <v>919</v>
      </c>
      <c r="B3939" t="s">
        <v>2135</v>
      </c>
      <c r="C3939">
        <v>4</v>
      </c>
      <c r="D3939">
        <v>123</v>
      </c>
      <c r="E3939">
        <f>IF(OR(B3939="vi",B3939="ii",B3939="pod"),(((D3939/100)*(C3939*VLOOKUP(B3939,'Poids des runes'!A:B,2,FALSE)))+1),(((D3939/100)*(C3939*VLOOKUP(B3939,'Poids des runes'!A:B,2,FALSE)))+1)/VLOOKUP(B3939,'Poids des runes'!A:B,2,FALSE))</f>
        <v>5.0866666666666669</v>
      </c>
      <c r="F3939">
        <f t="shared" si="61"/>
        <v>5.0866666666666669</v>
      </c>
    </row>
    <row r="3940" spans="1:6" x14ac:dyDescent="0.3">
      <c r="A3940" t="s">
        <v>920</v>
      </c>
      <c r="B3940" t="s">
        <v>2128</v>
      </c>
      <c r="C3940">
        <v>138</v>
      </c>
      <c r="D3940">
        <v>123</v>
      </c>
      <c r="E3940">
        <f>IF(OR(B3940="vi",B3940="ii",B3940="pod"),(((D3940/100)*(C3940*VLOOKUP(B3940,'Poids des runes'!A:B,2,FALSE)))+1),(((D3940/100)*(C3940*VLOOKUP(B3940,'Poids des runes'!A:B,2,FALSE)))+1)/VLOOKUP(B3940,'Poids des runes'!A:B,2,FALSE))</f>
        <v>34.948</v>
      </c>
      <c r="F3940">
        <f t="shared" si="61"/>
        <v>34.948</v>
      </c>
    </row>
    <row r="3941" spans="1:6" x14ac:dyDescent="0.3">
      <c r="A3941" t="s">
        <v>920</v>
      </c>
      <c r="B3941" t="s">
        <v>2127</v>
      </c>
      <c r="C3941">
        <v>43</v>
      </c>
      <c r="D3941">
        <v>123</v>
      </c>
      <c r="E3941">
        <f>IF(OR(B3941="vi",B3941="ii",B3941="pod"),(((D3941/100)*(C3941*VLOOKUP(B3941,'Poids des runes'!A:B,2,FALSE)))+1),(((D3941/100)*(C3941*VLOOKUP(B3941,'Poids des runes'!A:B,2,FALSE)))+1)/VLOOKUP(B3941,'Poids des runes'!A:B,2,FALSE))</f>
        <v>53.89</v>
      </c>
      <c r="F3941">
        <f t="shared" si="61"/>
        <v>53.89</v>
      </c>
    </row>
    <row r="3942" spans="1:6" x14ac:dyDescent="0.3">
      <c r="A3942" t="s">
        <v>920</v>
      </c>
      <c r="B3942" t="s">
        <v>2129</v>
      </c>
      <c r="C3942">
        <v>20.5</v>
      </c>
      <c r="D3942">
        <v>123</v>
      </c>
      <c r="E3942">
        <f>IF(OR(B3942="vi",B3942="ii",B3942="pod"),(((D3942/100)*(C3942*VLOOKUP(B3942,'Poids des runes'!A:B,2,FALSE)))+1),(((D3942/100)*(C3942*VLOOKUP(B3942,'Poids des runes'!A:B,2,FALSE)))+1)/VLOOKUP(B3942,'Poids des runes'!A:B,2,FALSE))</f>
        <v>26.215</v>
      </c>
      <c r="F3942">
        <f t="shared" si="61"/>
        <v>26.215</v>
      </c>
    </row>
    <row r="3943" spans="1:6" x14ac:dyDescent="0.3">
      <c r="A3943" t="s">
        <v>920</v>
      </c>
      <c r="B3943" t="s">
        <v>2151</v>
      </c>
      <c r="C3943">
        <v>3.5</v>
      </c>
      <c r="D3943">
        <v>123</v>
      </c>
      <c r="E3943">
        <f>IF(OR(B3943="vi",B3943="ii",B3943="pod"),(((D3943/100)*(C3943*VLOOKUP(B3943,'Poids des runes'!A:B,2,FALSE)))+1),(((D3943/100)*(C3943*VLOOKUP(B3943,'Poids des runes'!A:B,2,FALSE)))+1)/VLOOKUP(B3943,'Poids des runes'!A:B,2,FALSE))</f>
        <v>4.4049999999999994</v>
      </c>
      <c r="F3943">
        <f t="shared" si="61"/>
        <v>4.4049999999999994</v>
      </c>
    </row>
    <row r="3944" spans="1:6" x14ac:dyDescent="0.3">
      <c r="A3944" t="s">
        <v>920</v>
      </c>
      <c r="B3944" t="s">
        <v>2154</v>
      </c>
      <c r="C3944">
        <v>1</v>
      </c>
      <c r="D3944">
        <v>123</v>
      </c>
      <c r="E3944">
        <f>IF(OR(B3944="vi",B3944="ii",B3944="pod"),(((D3944/100)*(C3944*VLOOKUP(B3944,'Poids des runes'!A:B,2,FALSE)))+1),(((D3944/100)*(C3944*VLOOKUP(B3944,'Poids des runes'!A:B,2,FALSE)))+1)/VLOOKUP(B3944,'Poids des runes'!A:B,2,FALSE))</f>
        <v>1.2411111111111111</v>
      </c>
      <c r="F3944">
        <f t="shared" si="61"/>
        <v>1.2411111111111111</v>
      </c>
    </row>
    <row r="3945" spans="1:6" x14ac:dyDescent="0.3">
      <c r="A3945" t="s">
        <v>920</v>
      </c>
      <c r="B3945" t="s">
        <v>2134</v>
      </c>
      <c r="C3945">
        <v>8</v>
      </c>
      <c r="D3945">
        <v>123</v>
      </c>
      <c r="E3945">
        <f>IF(OR(B3945="vi",B3945="ii",B3945="pod"),(((D3945/100)*(C3945*VLOOKUP(B3945,'Poids des runes'!A:B,2,FALSE)))+1),(((D3945/100)*(C3945*VLOOKUP(B3945,'Poids des runes'!A:B,2,FALSE)))+1)/VLOOKUP(B3945,'Poids des runes'!A:B,2,FALSE))</f>
        <v>9.89</v>
      </c>
      <c r="F3945">
        <f t="shared" si="61"/>
        <v>9.89</v>
      </c>
    </row>
    <row r="3946" spans="1:6" x14ac:dyDescent="0.3">
      <c r="A3946" t="s">
        <v>920</v>
      </c>
      <c r="B3946" t="s">
        <v>2161</v>
      </c>
      <c r="C3946">
        <v>8</v>
      </c>
      <c r="D3946">
        <v>123</v>
      </c>
      <c r="E3946">
        <f>IF(OR(B3946="vi",B3946="ii",B3946="pod"),(((D3946/100)*(C3946*VLOOKUP(B3946,'Poids des runes'!A:B,2,FALSE)))+1),(((D3946/100)*(C3946*VLOOKUP(B3946,'Poids des runes'!A:B,2,FALSE)))+1)/VLOOKUP(B3946,'Poids des runes'!A:B,2,FALSE))</f>
        <v>10.173333333333334</v>
      </c>
      <c r="F3946">
        <f t="shared" si="61"/>
        <v>10.173333333333334</v>
      </c>
    </row>
    <row r="3947" spans="1:6" x14ac:dyDescent="0.3">
      <c r="A3947" t="s">
        <v>920</v>
      </c>
      <c r="B3947" t="s">
        <v>2132</v>
      </c>
      <c r="C3947">
        <v>300</v>
      </c>
      <c r="D3947">
        <v>123</v>
      </c>
      <c r="E3947">
        <f>IF(OR(B3947="vi",B3947="ii",B3947="pod"),(((D3947/100)*(C3947*VLOOKUP(B3947,'Poids des runes'!A:B,2,FALSE)))+1),(((D3947/100)*(C3947*VLOOKUP(B3947,'Poids des runes'!A:B,2,FALSE)))+1)/VLOOKUP(B3947,'Poids des runes'!A:B,2,FALSE))</f>
        <v>37.9</v>
      </c>
      <c r="F3947">
        <f t="shared" si="61"/>
        <v>37.9</v>
      </c>
    </row>
    <row r="3948" spans="1:6" x14ac:dyDescent="0.3">
      <c r="A3948" t="s">
        <v>920</v>
      </c>
      <c r="B3948" t="s">
        <v>2147</v>
      </c>
      <c r="C3948">
        <v>7</v>
      </c>
      <c r="D3948">
        <v>123</v>
      </c>
      <c r="E3948">
        <f>IF(OR(B3948="vi",B3948="ii",B3948="pod"),(((D3948/100)*(C3948*VLOOKUP(B3948,'Poids des runes'!A:B,2,FALSE)))+1),(((D3948/100)*(C3948*VLOOKUP(B3948,'Poids des runes'!A:B,2,FALSE)))+1)/VLOOKUP(B3948,'Poids des runes'!A:B,2,FALSE))</f>
        <v>8.7766666666666655</v>
      </c>
      <c r="F3948">
        <f t="shared" si="61"/>
        <v>8.7766666666666655</v>
      </c>
    </row>
    <row r="3949" spans="1:6" x14ac:dyDescent="0.3">
      <c r="A3949" t="s">
        <v>921</v>
      </c>
      <c r="B3949" t="s">
        <v>2128</v>
      </c>
      <c r="C3949">
        <v>175.5</v>
      </c>
      <c r="D3949">
        <v>123</v>
      </c>
      <c r="E3949">
        <f>IF(OR(B3949="vi",B3949="ii",B3949="pod"),(((D3949/100)*(C3949*VLOOKUP(B3949,'Poids des runes'!A:B,2,FALSE)))+1),(((D3949/100)*(C3949*VLOOKUP(B3949,'Poids des runes'!A:B,2,FALSE)))+1)/VLOOKUP(B3949,'Poids des runes'!A:B,2,FALSE))</f>
        <v>44.173000000000002</v>
      </c>
      <c r="F3949">
        <f t="shared" si="61"/>
        <v>44.173000000000002</v>
      </c>
    </row>
    <row r="3950" spans="1:6" x14ac:dyDescent="0.3">
      <c r="A3950" t="s">
        <v>921</v>
      </c>
      <c r="B3950" t="s">
        <v>2130</v>
      </c>
      <c r="C3950">
        <v>40.5</v>
      </c>
      <c r="D3950">
        <v>123</v>
      </c>
      <c r="E3950">
        <f>IF(OR(B3950="vi",B3950="ii",B3950="pod"),(((D3950/100)*(C3950*VLOOKUP(B3950,'Poids des runes'!A:B,2,FALSE)))+1),(((D3950/100)*(C3950*VLOOKUP(B3950,'Poids des runes'!A:B,2,FALSE)))+1)/VLOOKUP(B3950,'Poids des runes'!A:B,2,FALSE))</f>
        <v>50.814999999999998</v>
      </c>
      <c r="F3950">
        <f t="shared" si="61"/>
        <v>50.814999999999998</v>
      </c>
    </row>
    <row r="3951" spans="1:6" x14ac:dyDescent="0.3">
      <c r="A3951" t="s">
        <v>921</v>
      </c>
      <c r="B3951" t="s">
        <v>2129</v>
      </c>
      <c r="C3951">
        <v>33</v>
      </c>
      <c r="D3951">
        <v>123</v>
      </c>
      <c r="E3951">
        <f>IF(OR(B3951="vi",B3951="ii",B3951="pod"),(((D3951/100)*(C3951*VLOOKUP(B3951,'Poids des runes'!A:B,2,FALSE)))+1),(((D3951/100)*(C3951*VLOOKUP(B3951,'Poids des runes'!A:B,2,FALSE)))+1)/VLOOKUP(B3951,'Poids des runes'!A:B,2,FALSE))</f>
        <v>41.589999999999996</v>
      </c>
      <c r="F3951">
        <f t="shared" si="61"/>
        <v>41.589999999999996</v>
      </c>
    </row>
    <row r="3952" spans="1:6" x14ac:dyDescent="0.3">
      <c r="A3952" t="s">
        <v>921</v>
      </c>
      <c r="B3952" t="s">
        <v>2134</v>
      </c>
      <c r="C3952">
        <v>3.5</v>
      </c>
      <c r="D3952">
        <v>123</v>
      </c>
      <c r="E3952">
        <f>IF(OR(B3952="vi",B3952="ii",B3952="pod"),(((D3952/100)*(C3952*VLOOKUP(B3952,'Poids des runes'!A:B,2,FALSE)))+1),(((D3952/100)*(C3952*VLOOKUP(B3952,'Poids des runes'!A:B,2,FALSE)))+1)/VLOOKUP(B3952,'Poids des runes'!A:B,2,FALSE))</f>
        <v>4.3549999999999995</v>
      </c>
      <c r="F3952">
        <f t="shared" si="61"/>
        <v>4.3549999999999995</v>
      </c>
    </row>
    <row r="3953" spans="1:6" x14ac:dyDescent="0.3">
      <c r="A3953" t="s">
        <v>921</v>
      </c>
      <c r="B3953" t="s">
        <v>2156</v>
      </c>
      <c r="C3953">
        <v>8</v>
      </c>
      <c r="D3953">
        <v>123</v>
      </c>
      <c r="E3953">
        <f>IF(OR(B3953="vi",B3953="ii",B3953="pod"),(((D3953/100)*(C3953*VLOOKUP(B3953,'Poids des runes'!A:B,2,FALSE)))+1),(((D3953/100)*(C3953*VLOOKUP(B3953,'Poids des runes'!A:B,2,FALSE)))+1)/VLOOKUP(B3953,'Poids des runes'!A:B,2,FALSE))</f>
        <v>10.006666666666666</v>
      </c>
      <c r="F3953">
        <f t="shared" si="61"/>
        <v>10.006666666666666</v>
      </c>
    </row>
    <row r="3954" spans="1:6" x14ac:dyDescent="0.3">
      <c r="A3954" t="s">
        <v>921</v>
      </c>
      <c r="B3954" t="s">
        <v>2147</v>
      </c>
      <c r="C3954">
        <v>8</v>
      </c>
      <c r="D3954">
        <v>123</v>
      </c>
      <c r="E3954">
        <f>IF(OR(B3954="vi",B3954="ii",B3954="pod"),(((D3954/100)*(C3954*VLOOKUP(B3954,'Poids des runes'!A:B,2,FALSE)))+1),(((D3954/100)*(C3954*VLOOKUP(B3954,'Poids des runes'!A:B,2,FALSE)))+1)/VLOOKUP(B3954,'Poids des runes'!A:B,2,FALSE))</f>
        <v>10.006666666666666</v>
      </c>
      <c r="F3954">
        <f t="shared" si="61"/>
        <v>10.006666666666666</v>
      </c>
    </row>
    <row r="3955" spans="1:6" x14ac:dyDescent="0.3">
      <c r="A3955" t="s">
        <v>921</v>
      </c>
      <c r="B3955" t="s">
        <v>2157</v>
      </c>
      <c r="C3955">
        <v>8</v>
      </c>
      <c r="D3955">
        <v>123</v>
      </c>
      <c r="E3955">
        <f>IF(OR(B3955="vi",B3955="ii",B3955="pod"),(((D3955/100)*(C3955*VLOOKUP(B3955,'Poids des runes'!A:B,2,FALSE)))+1),(((D3955/100)*(C3955*VLOOKUP(B3955,'Poids des runes'!A:B,2,FALSE)))+1)/VLOOKUP(B3955,'Poids des runes'!A:B,2,FALSE))</f>
        <v>10.006666666666666</v>
      </c>
      <c r="F3955">
        <f t="shared" si="61"/>
        <v>10.006666666666666</v>
      </c>
    </row>
    <row r="3956" spans="1:6" x14ac:dyDescent="0.3">
      <c r="A3956" t="s">
        <v>921</v>
      </c>
      <c r="B3956" t="s">
        <v>2137</v>
      </c>
      <c r="C3956">
        <v>8</v>
      </c>
      <c r="D3956">
        <v>123</v>
      </c>
      <c r="E3956">
        <f>IF(OR(B3956="vi",B3956="ii",B3956="pod"),(((D3956/100)*(C3956*VLOOKUP(B3956,'Poids des runes'!A:B,2,FALSE)))+1),(((D3956/100)*(C3956*VLOOKUP(B3956,'Poids des runes'!A:B,2,FALSE)))+1)/VLOOKUP(B3956,'Poids des runes'!A:B,2,FALSE))</f>
        <v>10.34</v>
      </c>
      <c r="F3956">
        <f t="shared" si="61"/>
        <v>10.34</v>
      </c>
    </row>
    <row r="3957" spans="1:6" x14ac:dyDescent="0.3">
      <c r="A3957" t="s">
        <v>921</v>
      </c>
      <c r="B3957" t="s">
        <v>2145</v>
      </c>
      <c r="C3957">
        <v>8</v>
      </c>
      <c r="D3957">
        <v>123</v>
      </c>
      <c r="E3957">
        <f>IF(OR(B3957="vi",B3957="ii",B3957="pod"),(((D3957/100)*(C3957*VLOOKUP(B3957,'Poids des runes'!A:B,2,FALSE)))+1),(((D3957/100)*(C3957*VLOOKUP(B3957,'Poids des runes'!A:B,2,FALSE)))+1)/VLOOKUP(B3957,'Poids des runes'!A:B,2,FALSE))</f>
        <v>10.34</v>
      </c>
      <c r="F3957">
        <f t="shared" si="61"/>
        <v>10.34</v>
      </c>
    </row>
    <row r="3958" spans="1:6" x14ac:dyDescent="0.3">
      <c r="A3958" t="s">
        <v>922</v>
      </c>
      <c r="B3958" t="s">
        <v>2128</v>
      </c>
      <c r="C3958">
        <v>135.5</v>
      </c>
      <c r="D3958">
        <v>124</v>
      </c>
      <c r="E3958">
        <f>IF(OR(B3958="vi",B3958="ii",B3958="pod"),(((D3958/100)*(C3958*VLOOKUP(B3958,'Poids des runes'!A:B,2,FALSE)))+1),(((D3958/100)*(C3958*VLOOKUP(B3958,'Poids des runes'!A:B,2,FALSE)))+1)/VLOOKUP(B3958,'Poids des runes'!A:B,2,FALSE))</f>
        <v>34.603999999999999</v>
      </c>
      <c r="F3958">
        <f t="shared" si="61"/>
        <v>34.603999999999999</v>
      </c>
    </row>
    <row r="3959" spans="1:6" x14ac:dyDescent="0.3">
      <c r="A3959" t="s">
        <v>922</v>
      </c>
      <c r="B3959" t="s">
        <v>2130</v>
      </c>
      <c r="C3959">
        <v>50.5</v>
      </c>
      <c r="D3959">
        <v>124</v>
      </c>
      <c r="E3959">
        <f>IF(OR(B3959="vi",B3959="ii",B3959="pod"),(((D3959/100)*(C3959*VLOOKUP(B3959,'Poids des runes'!A:B,2,FALSE)))+1),(((D3959/100)*(C3959*VLOOKUP(B3959,'Poids des runes'!A:B,2,FALSE)))+1)/VLOOKUP(B3959,'Poids des runes'!A:B,2,FALSE))</f>
        <v>63.62</v>
      </c>
      <c r="F3959">
        <f t="shared" si="61"/>
        <v>63.62</v>
      </c>
    </row>
    <row r="3960" spans="1:6" x14ac:dyDescent="0.3">
      <c r="A3960" t="s">
        <v>922</v>
      </c>
      <c r="B3960" t="s">
        <v>2129</v>
      </c>
      <c r="C3960">
        <v>25.5</v>
      </c>
      <c r="D3960">
        <v>124</v>
      </c>
      <c r="E3960">
        <f>IF(OR(B3960="vi",B3960="ii",B3960="pod"),(((D3960/100)*(C3960*VLOOKUP(B3960,'Poids des runes'!A:B,2,FALSE)))+1),(((D3960/100)*(C3960*VLOOKUP(B3960,'Poids des runes'!A:B,2,FALSE)))+1)/VLOOKUP(B3960,'Poids des runes'!A:B,2,FALSE))</f>
        <v>32.620000000000005</v>
      </c>
      <c r="F3960">
        <f t="shared" si="61"/>
        <v>32.620000000000005</v>
      </c>
    </row>
    <row r="3961" spans="1:6" x14ac:dyDescent="0.3">
      <c r="A3961" t="s">
        <v>922</v>
      </c>
      <c r="B3961" t="s">
        <v>2151</v>
      </c>
      <c r="C3961">
        <v>2.5</v>
      </c>
      <c r="D3961">
        <v>124</v>
      </c>
      <c r="E3961">
        <f>IF(OR(B3961="vi",B3961="ii",B3961="pod"),(((D3961/100)*(C3961*VLOOKUP(B3961,'Poids des runes'!A:B,2,FALSE)))+1),(((D3961/100)*(C3961*VLOOKUP(B3961,'Poids des runes'!A:B,2,FALSE)))+1)/VLOOKUP(B3961,'Poids des runes'!A:B,2,FALSE))</f>
        <v>3.2</v>
      </c>
      <c r="F3961">
        <f t="shared" si="61"/>
        <v>3.2</v>
      </c>
    </row>
    <row r="3962" spans="1:6" x14ac:dyDescent="0.3">
      <c r="A3962" t="s">
        <v>922</v>
      </c>
      <c r="B3962" t="s">
        <v>2150</v>
      </c>
      <c r="C3962">
        <v>1</v>
      </c>
      <c r="D3962">
        <v>124</v>
      </c>
      <c r="E3962">
        <f>IF(OR(B3962="vi",B3962="ii",B3962="pod"),(((D3962/100)*(C3962*VLOOKUP(B3962,'Poids des runes'!A:B,2,FALSE)))+1),(((D3962/100)*(C3962*VLOOKUP(B3962,'Poids des runes'!A:B,2,FALSE)))+1)/VLOOKUP(B3962,'Poids des runes'!A:B,2,FALSE))</f>
        <v>1.2733333333333334</v>
      </c>
      <c r="F3962">
        <f t="shared" si="61"/>
        <v>1.2733333333333334</v>
      </c>
    </row>
    <row r="3963" spans="1:6" x14ac:dyDescent="0.3">
      <c r="A3963" t="s">
        <v>922</v>
      </c>
      <c r="B3963" t="s">
        <v>2143</v>
      </c>
      <c r="C3963">
        <v>6.5</v>
      </c>
      <c r="D3963">
        <v>124</v>
      </c>
      <c r="E3963">
        <f>IF(OR(B3963="vi",B3963="ii",B3963="pod"),(((D3963/100)*(C3963*VLOOKUP(B3963,'Poids des runes'!A:B,2,FALSE)))+1),(((D3963/100)*(C3963*VLOOKUP(B3963,'Poids des runes'!A:B,2,FALSE)))+1)/VLOOKUP(B3963,'Poids des runes'!A:B,2,FALSE))</f>
        <v>8.26</v>
      </c>
      <c r="F3963">
        <f t="shared" si="61"/>
        <v>8.26</v>
      </c>
    </row>
    <row r="3964" spans="1:6" x14ac:dyDescent="0.3">
      <c r="A3964" t="s">
        <v>922</v>
      </c>
      <c r="B3964" t="s">
        <v>2138</v>
      </c>
      <c r="C3964">
        <v>6</v>
      </c>
      <c r="D3964">
        <v>124</v>
      </c>
      <c r="E3964">
        <f>IF(OR(B3964="vi",B3964="ii",B3964="pod"),(((D3964/100)*(C3964*VLOOKUP(B3964,'Poids des runes'!A:B,2,FALSE)))+1),(((D3964/100)*(C3964*VLOOKUP(B3964,'Poids des runes'!A:B,2,FALSE)))+1)/VLOOKUP(B3964,'Poids des runes'!A:B,2,FALSE))</f>
        <v>7.6899999999999995</v>
      </c>
      <c r="F3964">
        <f t="shared" si="61"/>
        <v>7.6899999999999995</v>
      </c>
    </row>
    <row r="3965" spans="1:6" x14ac:dyDescent="0.3">
      <c r="A3965" t="s">
        <v>922</v>
      </c>
      <c r="B3965" t="s">
        <v>2147</v>
      </c>
      <c r="C3965">
        <v>3.5</v>
      </c>
      <c r="D3965">
        <v>124</v>
      </c>
      <c r="E3965">
        <f>IF(OR(B3965="vi",B3965="ii",B3965="pod"),(((D3965/100)*(C3965*VLOOKUP(B3965,'Poids des runes'!A:B,2,FALSE)))+1),(((D3965/100)*(C3965*VLOOKUP(B3965,'Poids des runes'!A:B,2,FALSE)))+1)/VLOOKUP(B3965,'Poids des runes'!A:B,2,FALSE))</f>
        <v>4.5066666666666668</v>
      </c>
      <c r="F3965">
        <f t="shared" si="61"/>
        <v>4.5066666666666668</v>
      </c>
    </row>
    <row r="3966" spans="1:6" x14ac:dyDescent="0.3">
      <c r="A3966" t="s">
        <v>922</v>
      </c>
      <c r="B3966" t="s">
        <v>2157</v>
      </c>
      <c r="C3966">
        <v>3.5</v>
      </c>
      <c r="D3966">
        <v>124</v>
      </c>
      <c r="E3966">
        <f>IF(OR(B3966="vi",B3966="ii",B3966="pod"),(((D3966/100)*(C3966*VLOOKUP(B3966,'Poids des runes'!A:B,2,FALSE)))+1),(((D3966/100)*(C3966*VLOOKUP(B3966,'Poids des runes'!A:B,2,FALSE)))+1)/VLOOKUP(B3966,'Poids des runes'!A:B,2,FALSE))</f>
        <v>4.5066666666666668</v>
      </c>
      <c r="F3966">
        <f t="shared" si="61"/>
        <v>4.5066666666666668</v>
      </c>
    </row>
    <row r="3967" spans="1:6" x14ac:dyDescent="0.3">
      <c r="A3967" t="s">
        <v>923</v>
      </c>
      <c r="B3967" t="s">
        <v>2128</v>
      </c>
      <c r="C3967">
        <v>175.5</v>
      </c>
      <c r="D3967">
        <v>124</v>
      </c>
      <c r="E3967">
        <f>IF(OR(B3967="vi",B3967="ii",B3967="pod"),(((D3967/100)*(C3967*VLOOKUP(B3967,'Poids des runes'!A:B,2,FALSE)))+1),(((D3967/100)*(C3967*VLOOKUP(B3967,'Poids des runes'!A:B,2,FALSE)))+1)/VLOOKUP(B3967,'Poids des runes'!A:B,2,FALSE))</f>
        <v>44.524000000000001</v>
      </c>
      <c r="F3967">
        <f t="shared" si="61"/>
        <v>44.524000000000001</v>
      </c>
    </row>
    <row r="3968" spans="1:6" x14ac:dyDescent="0.3">
      <c r="A3968" t="s">
        <v>923</v>
      </c>
      <c r="B3968" t="s">
        <v>2129</v>
      </c>
      <c r="C3968">
        <v>25.5</v>
      </c>
      <c r="D3968">
        <v>124</v>
      </c>
      <c r="E3968">
        <f>IF(OR(B3968="vi",B3968="ii",B3968="pod"),(((D3968/100)*(C3968*VLOOKUP(B3968,'Poids des runes'!A:B,2,FALSE)))+1),(((D3968/100)*(C3968*VLOOKUP(B3968,'Poids des runes'!A:B,2,FALSE)))+1)/VLOOKUP(B3968,'Poids des runes'!A:B,2,FALSE))</f>
        <v>32.620000000000005</v>
      </c>
      <c r="F3968">
        <f t="shared" si="61"/>
        <v>32.620000000000005</v>
      </c>
    </row>
    <row r="3969" spans="1:6" x14ac:dyDescent="0.3">
      <c r="A3969" t="s">
        <v>923</v>
      </c>
      <c r="B3969" t="s">
        <v>2155</v>
      </c>
      <c r="C3969">
        <v>1</v>
      </c>
      <c r="D3969">
        <v>124</v>
      </c>
      <c r="E3969">
        <f>IF(OR(B3969="vi",B3969="ii",B3969="pod"),(((D3969/100)*(C3969*VLOOKUP(B3969,'Poids des runes'!A:B,2,FALSE)))+1),(((D3969/100)*(C3969*VLOOKUP(B3969,'Poids des runes'!A:B,2,FALSE)))+1)/VLOOKUP(B3969,'Poids des runes'!A:B,2,FALSE))</f>
        <v>1.259607843137255</v>
      </c>
      <c r="F3969">
        <f t="shared" si="61"/>
        <v>1.259607843137255</v>
      </c>
    </row>
    <row r="3970" spans="1:6" x14ac:dyDescent="0.3">
      <c r="A3970" t="s">
        <v>923</v>
      </c>
      <c r="B3970" t="s">
        <v>2133</v>
      </c>
      <c r="C3970">
        <v>13</v>
      </c>
      <c r="D3970">
        <v>124</v>
      </c>
      <c r="E3970">
        <f>IF(OR(B3970="vi",B3970="ii",B3970="pod"),(((D3970/100)*(C3970*VLOOKUP(B3970,'Poids des runes'!A:B,2,FALSE)))+1),(((D3970/100)*(C3970*VLOOKUP(B3970,'Poids des runes'!A:B,2,FALSE)))+1)/VLOOKUP(B3970,'Poids des runes'!A:B,2,FALSE))</f>
        <v>16.32</v>
      </c>
      <c r="F3970">
        <f t="shared" si="61"/>
        <v>16.32</v>
      </c>
    </row>
    <row r="3971" spans="1:6" x14ac:dyDescent="0.3">
      <c r="A3971" t="s">
        <v>923</v>
      </c>
      <c r="B3971" t="s">
        <v>2153</v>
      </c>
      <c r="C3971">
        <v>13</v>
      </c>
      <c r="D3971">
        <v>124</v>
      </c>
      <c r="E3971">
        <f>IF(OR(B3971="vi",B3971="ii",B3971="pod"),(((D3971/100)*(C3971*VLOOKUP(B3971,'Poids des runes'!A:B,2,FALSE)))+1),(((D3971/100)*(C3971*VLOOKUP(B3971,'Poids des runes'!A:B,2,FALSE)))+1)/VLOOKUP(B3971,'Poids des runes'!A:B,2,FALSE))</f>
        <v>16.32</v>
      </c>
      <c r="F3971">
        <f t="shared" ref="F3971:F4034" si="62">E3971</f>
        <v>16.32</v>
      </c>
    </row>
    <row r="3972" spans="1:6" x14ac:dyDescent="0.3">
      <c r="A3972" t="s">
        <v>923</v>
      </c>
      <c r="B3972" t="s">
        <v>2161</v>
      </c>
      <c r="C3972">
        <v>8.5</v>
      </c>
      <c r="D3972">
        <v>124</v>
      </c>
      <c r="E3972">
        <f>IF(OR(B3972="vi",B3972="ii",B3972="pod"),(((D3972/100)*(C3972*VLOOKUP(B3972,'Poids des runes'!A:B,2,FALSE)))+1),(((D3972/100)*(C3972*VLOOKUP(B3972,'Poids des runes'!A:B,2,FALSE)))+1)/VLOOKUP(B3972,'Poids des runes'!A:B,2,FALSE))</f>
        <v>10.873333333333335</v>
      </c>
      <c r="F3972">
        <f t="shared" si="62"/>
        <v>10.873333333333335</v>
      </c>
    </row>
    <row r="3973" spans="1:6" x14ac:dyDescent="0.3">
      <c r="A3973" t="s">
        <v>923</v>
      </c>
      <c r="B3973" t="s">
        <v>2138</v>
      </c>
      <c r="C3973">
        <v>8.5</v>
      </c>
      <c r="D3973">
        <v>124</v>
      </c>
      <c r="E3973">
        <f>IF(OR(B3973="vi",B3973="ii",B3973="pod"),(((D3973/100)*(C3973*VLOOKUP(B3973,'Poids des runes'!A:B,2,FALSE)))+1),(((D3973/100)*(C3973*VLOOKUP(B3973,'Poids des runes'!A:B,2,FALSE)))+1)/VLOOKUP(B3973,'Poids des runes'!A:B,2,FALSE))</f>
        <v>10.79</v>
      </c>
      <c r="F3973">
        <f t="shared" si="62"/>
        <v>10.79</v>
      </c>
    </row>
    <row r="3974" spans="1:6" x14ac:dyDescent="0.3">
      <c r="A3974" t="s">
        <v>923</v>
      </c>
      <c r="B3974" t="s">
        <v>2156</v>
      </c>
      <c r="C3974">
        <v>8.5</v>
      </c>
      <c r="D3974">
        <v>124</v>
      </c>
      <c r="E3974">
        <f>IF(OR(B3974="vi",B3974="ii",B3974="pod"),(((D3974/100)*(C3974*VLOOKUP(B3974,'Poids des runes'!A:B,2,FALSE)))+1),(((D3974/100)*(C3974*VLOOKUP(B3974,'Poids des runes'!A:B,2,FALSE)))+1)/VLOOKUP(B3974,'Poids des runes'!A:B,2,FALSE))</f>
        <v>10.706666666666669</v>
      </c>
      <c r="F3974">
        <f t="shared" si="62"/>
        <v>10.706666666666669</v>
      </c>
    </row>
    <row r="3975" spans="1:6" x14ac:dyDescent="0.3">
      <c r="A3975" t="s">
        <v>924</v>
      </c>
      <c r="B3975" t="s">
        <v>2128</v>
      </c>
      <c r="C3975">
        <v>85.5</v>
      </c>
      <c r="D3975">
        <v>124</v>
      </c>
      <c r="E3975">
        <f>IF(OR(B3975="vi",B3975="ii",B3975="pod"),(((D3975/100)*(C3975*VLOOKUP(B3975,'Poids des runes'!A:B,2,FALSE)))+1),(((D3975/100)*(C3975*VLOOKUP(B3975,'Poids des runes'!A:B,2,FALSE)))+1)/VLOOKUP(B3975,'Poids des runes'!A:B,2,FALSE))</f>
        <v>22.204000000000001</v>
      </c>
      <c r="F3975">
        <f t="shared" si="62"/>
        <v>22.204000000000001</v>
      </c>
    </row>
    <row r="3976" spans="1:6" x14ac:dyDescent="0.3">
      <c r="A3976" t="s">
        <v>924</v>
      </c>
      <c r="B3976" t="s">
        <v>2127</v>
      </c>
      <c r="C3976">
        <v>40.5</v>
      </c>
      <c r="D3976">
        <v>124</v>
      </c>
      <c r="E3976">
        <f>IF(OR(B3976="vi",B3976="ii",B3976="pod"),(((D3976/100)*(C3976*VLOOKUP(B3976,'Poids des runes'!A:B,2,FALSE)))+1),(((D3976/100)*(C3976*VLOOKUP(B3976,'Poids des runes'!A:B,2,FALSE)))+1)/VLOOKUP(B3976,'Poids des runes'!A:B,2,FALSE))</f>
        <v>51.22</v>
      </c>
      <c r="F3976">
        <f t="shared" si="62"/>
        <v>51.22</v>
      </c>
    </row>
    <row r="3977" spans="1:6" x14ac:dyDescent="0.3">
      <c r="A3977" t="s">
        <v>924</v>
      </c>
      <c r="B3977" t="s">
        <v>2129</v>
      </c>
      <c r="C3977">
        <v>33</v>
      </c>
      <c r="D3977">
        <v>124</v>
      </c>
      <c r="E3977">
        <f>IF(OR(B3977="vi",B3977="ii",B3977="pod"),(((D3977/100)*(C3977*VLOOKUP(B3977,'Poids des runes'!A:B,2,FALSE)))+1),(((D3977/100)*(C3977*VLOOKUP(B3977,'Poids des runes'!A:B,2,FALSE)))+1)/VLOOKUP(B3977,'Poids des runes'!A:B,2,FALSE))</f>
        <v>41.92</v>
      </c>
      <c r="F3977">
        <f t="shared" si="62"/>
        <v>41.92</v>
      </c>
    </row>
    <row r="3978" spans="1:6" x14ac:dyDescent="0.3">
      <c r="A3978" t="s">
        <v>924</v>
      </c>
      <c r="B3978" t="s">
        <v>2151</v>
      </c>
      <c r="C3978">
        <v>1.5</v>
      </c>
      <c r="D3978">
        <v>124</v>
      </c>
      <c r="E3978">
        <f>IF(OR(B3978="vi",B3978="ii",B3978="pod"),(((D3978/100)*(C3978*VLOOKUP(B3978,'Poids des runes'!A:B,2,FALSE)))+1),(((D3978/100)*(C3978*VLOOKUP(B3978,'Poids des runes'!A:B,2,FALSE)))+1)/VLOOKUP(B3978,'Poids des runes'!A:B,2,FALSE))</f>
        <v>1.9600000000000002</v>
      </c>
      <c r="F3978">
        <f t="shared" si="62"/>
        <v>1.9600000000000002</v>
      </c>
    </row>
    <row r="3979" spans="1:6" x14ac:dyDescent="0.3">
      <c r="A3979" t="s">
        <v>924</v>
      </c>
      <c r="B3979" t="s">
        <v>2152</v>
      </c>
      <c r="C3979">
        <v>1</v>
      </c>
      <c r="D3979">
        <v>124</v>
      </c>
      <c r="E3979">
        <f>IF(OR(B3979="vi",B3979="ii",B3979="pod"),(((D3979/100)*(C3979*VLOOKUP(B3979,'Poids des runes'!A:B,2,FALSE)))+1),(((D3979/100)*(C3979*VLOOKUP(B3979,'Poids des runes'!A:B,2,FALSE)))+1)/VLOOKUP(B3979,'Poids des runes'!A:B,2,FALSE))</f>
        <v>1.25</v>
      </c>
      <c r="F3979">
        <f t="shared" si="62"/>
        <v>1.25</v>
      </c>
    </row>
    <row r="3980" spans="1:6" x14ac:dyDescent="0.3">
      <c r="A3980" t="s">
        <v>924</v>
      </c>
      <c r="B3980" t="s">
        <v>2134</v>
      </c>
      <c r="C3980">
        <v>6</v>
      </c>
      <c r="D3980">
        <v>124</v>
      </c>
      <c r="E3980">
        <f>IF(OR(B3980="vi",B3980="ii",B3980="pod"),(((D3980/100)*(C3980*VLOOKUP(B3980,'Poids des runes'!A:B,2,FALSE)))+1),(((D3980/100)*(C3980*VLOOKUP(B3980,'Poids des runes'!A:B,2,FALSE)))+1)/VLOOKUP(B3980,'Poids des runes'!A:B,2,FALSE))</f>
        <v>7.49</v>
      </c>
      <c r="F3980">
        <f t="shared" si="62"/>
        <v>7.49</v>
      </c>
    </row>
    <row r="3981" spans="1:6" x14ac:dyDescent="0.3">
      <c r="A3981" t="s">
        <v>924</v>
      </c>
      <c r="B3981" t="s">
        <v>2161</v>
      </c>
      <c r="C3981">
        <v>20.5</v>
      </c>
      <c r="D3981">
        <v>124</v>
      </c>
      <c r="E3981">
        <f>IF(OR(B3981="vi",B3981="ii",B3981="pod"),(((D3981/100)*(C3981*VLOOKUP(B3981,'Poids des runes'!A:B,2,FALSE)))+1),(((D3981/100)*(C3981*VLOOKUP(B3981,'Poids des runes'!A:B,2,FALSE)))+1)/VLOOKUP(B3981,'Poids des runes'!A:B,2,FALSE))</f>
        <v>25.753333333333334</v>
      </c>
      <c r="F3981">
        <f t="shared" si="62"/>
        <v>25.753333333333334</v>
      </c>
    </row>
    <row r="3982" spans="1:6" x14ac:dyDescent="0.3">
      <c r="A3982" t="s">
        <v>924</v>
      </c>
      <c r="B3982" t="s">
        <v>2132</v>
      </c>
      <c r="C3982">
        <v>250.5</v>
      </c>
      <c r="D3982">
        <v>124</v>
      </c>
      <c r="E3982">
        <f>IF(OR(B3982="vi",B3982="ii",B3982="pod"),(((D3982/100)*(C3982*VLOOKUP(B3982,'Poids des runes'!A:B,2,FALSE)))+1),(((D3982/100)*(C3982*VLOOKUP(B3982,'Poids des runes'!A:B,2,FALSE)))+1)/VLOOKUP(B3982,'Poids des runes'!A:B,2,FALSE))</f>
        <v>32.061999999999998</v>
      </c>
      <c r="F3982">
        <f t="shared" si="62"/>
        <v>32.061999999999998</v>
      </c>
    </row>
    <row r="3983" spans="1:6" x14ac:dyDescent="0.3">
      <c r="A3983" t="s">
        <v>924</v>
      </c>
      <c r="B3983" t="s">
        <v>2147</v>
      </c>
      <c r="C3983">
        <v>5</v>
      </c>
      <c r="D3983">
        <v>124</v>
      </c>
      <c r="E3983">
        <f>IF(OR(B3983="vi",B3983="ii",B3983="pod"),(((D3983/100)*(C3983*VLOOKUP(B3983,'Poids des runes'!A:B,2,FALSE)))+1),(((D3983/100)*(C3983*VLOOKUP(B3983,'Poids des runes'!A:B,2,FALSE)))+1)/VLOOKUP(B3983,'Poids des runes'!A:B,2,FALSE))</f>
        <v>6.3666666666666671</v>
      </c>
      <c r="F3983">
        <f t="shared" si="62"/>
        <v>6.3666666666666671</v>
      </c>
    </row>
    <row r="3984" spans="1:6" x14ac:dyDescent="0.3">
      <c r="A3984" t="s">
        <v>924</v>
      </c>
      <c r="B3984" t="s">
        <v>2144</v>
      </c>
      <c r="C3984">
        <v>5</v>
      </c>
      <c r="D3984">
        <v>124</v>
      </c>
      <c r="E3984">
        <f>IF(OR(B3984="vi",B3984="ii",B3984="pod"),(((D3984/100)*(C3984*VLOOKUP(B3984,'Poids des runes'!A:B,2,FALSE)))+1),(((D3984/100)*(C3984*VLOOKUP(B3984,'Poids des runes'!A:B,2,FALSE)))+1)/VLOOKUP(B3984,'Poids des runes'!A:B,2,FALSE))</f>
        <v>6.7</v>
      </c>
      <c r="F3984">
        <f t="shared" si="62"/>
        <v>6.7</v>
      </c>
    </row>
    <row r="3985" spans="1:6" x14ac:dyDescent="0.3">
      <c r="A3985" t="s">
        <v>925</v>
      </c>
      <c r="B3985" t="s">
        <v>2128</v>
      </c>
      <c r="C3985">
        <v>125.5</v>
      </c>
      <c r="D3985">
        <v>124</v>
      </c>
      <c r="E3985">
        <f>IF(OR(B3985="vi",B3985="ii",B3985="pod"),(((D3985/100)*(C3985*VLOOKUP(B3985,'Poids des runes'!A:B,2,FALSE)))+1),(((D3985/100)*(C3985*VLOOKUP(B3985,'Poids des runes'!A:B,2,FALSE)))+1)/VLOOKUP(B3985,'Poids des runes'!A:B,2,FALSE))</f>
        <v>32.124000000000002</v>
      </c>
      <c r="F3985">
        <f t="shared" si="62"/>
        <v>32.124000000000002</v>
      </c>
    </row>
    <row r="3986" spans="1:6" x14ac:dyDescent="0.3">
      <c r="A3986" t="s">
        <v>925</v>
      </c>
      <c r="B3986" t="s">
        <v>2130</v>
      </c>
      <c r="C3986">
        <v>40.5</v>
      </c>
      <c r="D3986">
        <v>124</v>
      </c>
      <c r="E3986">
        <f>IF(OR(B3986="vi",B3986="ii",B3986="pod"),(((D3986/100)*(C3986*VLOOKUP(B3986,'Poids des runes'!A:B,2,FALSE)))+1),(((D3986/100)*(C3986*VLOOKUP(B3986,'Poids des runes'!A:B,2,FALSE)))+1)/VLOOKUP(B3986,'Poids des runes'!A:B,2,FALSE))</f>
        <v>51.22</v>
      </c>
      <c r="F3986">
        <f t="shared" si="62"/>
        <v>51.22</v>
      </c>
    </row>
    <row r="3987" spans="1:6" x14ac:dyDescent="0.3">
      <c r="A3987" t="s">
        <v>925</v>
      </c>
      <c r="B3987" t="s">
        <v>2131</v>
      </c>
      <c r="C3987">
        <v>40.5</v>
      </c>
      <c r="D3987">
        <v>124</v>
      </c>
      <c r="E3987">
        <f>IF(OR(B3987="vi",B3987="ii",B3987="pod"),(((D3987/100)*(C3987*VLOOKUP(B3987,'Poids des runes'!A:B,2,FALSE)))+1),(((D3987/100)*(C3987*VLOOKUP(B3987,'Poids des runes'!A:B,2,FALSE)))+1)/VLOOKUP(B3987,'Poids des runes'!A:B,2,FALSE))</f>
        <v>51.22</v>
      </c>
      <c r="F3987">
        <f t="shared" si="62"/>
        <v>51.22</v>
      </c>
    </row>
    <row r="3988" spans="1:6" x14ac:dyDescent="0.3">
      <c r="A3988" t="s">
        <v>925</v>
      </c>
      <c r="B3988" t="s">
        <v>2129</v>
      </c>
      <c r="C3988">
        <v>30.5</v>
      </c>
      <c r="D3988">
        <v>124</v>
      </c>
      <c r="E3988">
        <f>IF(OR(B3988="vi",B3988="ii",B3988="pod"),(((D3988/100)*(C3988*VLOOKUP(B3988,'Poids des runes'!A:B,2,FALSE)))+1),(((D3988/100)*(C3988*VLOOKUP(B3988,'Poids des runes'!A:B,2,FALSE)))+1)/VLOOKUP(B3988,'Poids des runes'!A:B,2,FALSE))</f>
        <v>38.82</v>
      </c>
      <c r="F3988">
        <f t="shared" si="62"/>
        <v>38.82</v>
      </c>
    </row>
    <row r="3989" spans="1:6" x14ac:dyDescent="0.3">
      <c r="A3989" t="s">
        <v>925</v>
      </c>
      <c r="B3989" t="s">
        <v>2151</v>
      </c>
      <c r="C3989">
        <v>2.5</v>
      </c>
      <c r="D3989">
        <v>124</v>
      </c>
      <c r="E3989">
        <f>IF(OR(B3989="vi",B3989="ii",B3989="pod"),(((D3989/100)*(C3989*VLOOKUP(B3989,'Poids des runes'!A:B,2,FALSE)))+1),(((D3989/100)*(C3989*VLOOKUP(B3989,'Poids des runes'!A:B,2,FALSE)))+1)/VLOOKUP(B3989,'Poids des runes'!A:B,2,FALSE))</f>
        <v>3.2</v>
      </c>
      <c r="F3989">
        <f t="shared" si="62"/>
        <v>3.2</v>
      </c>
    </row>
    <row r="3990" spans="1:6" x14ac:dyDescent="0.3">
      <c r="A3990" t="s">
        <v>925</v>
      </c>
      <c r="B3990" t="s">
        <v>2134</v>
      </c>
      <c r="C3990">
        <v>3.5</v>
      </c>
      <c r="D3990">
        <v>124</v>
      </c>
      <c r="E3990">
        <f>IF(OR(B3990="vi",B3990="ii",B3990="pod"),(((D3990/100)*(C3990*VLOOKUP(B3990,'Poids des runes'!A:B,2,FALSE)))+1),(((D3990/100)*(C3990*VLOOKUP(B3990,'Poids des runes'!A:B,2,FALSE)))+1)/VLOOKUP(B3990,'Poids des runes'!A:B,2,FALSE))</f>
        <v>4.3899999999999997</v>
      </c>
      <c r="F3990">
        <f t="shared" si="62"/>
        <v>4.3899999999999997</v>
      </c>
    </row>
    <row r="3991" spans="1:6" x14ac:dyDescent="0.3">
      <c r="A3991" t="s">
        <v>925</v>
      </c>
      <c r="B3991" t="s">
        <v>2161</v>
      </c>
      <c r="C3991">
        <v>15.5</v>
      </c>
      <c r="D3991">
        <v>124</v>
      </c>
      <c r="E3991">
        <f>IF(OR(B3991="vi",B3991="ii",B3991="pod"),(((D3991/100)*(C3991*VLOOKUP(B3991,'Poids des runes'!A:B,2,FALSE)))+1),(((D3991/100)*(C3991*VLOOKUP(B3991,'Poids des runes'!A:B,2,FALSE)))+1)/VLOOKUP(B3991,'Poids des runes'!A:B,2,FALSE))</f>
        <v>19.553333333333331</v>
      </c>
      <c r="F3991">
        <f t="shared" si="62"/>
        <v>19.553333333333331</v>
      </c>
    </row>
    <row r="3992" spans="1:6" x14ac:dyDescent="0.3">
      <c r="A3992" t="s">
        <v>925</v>
      </c>
      <c r="B3992" t="s">
        <v>2132</v>
      </c>
      <c r="C3992">
        <v>150.5</v>
      </c>
      <c r="D3992">
        <v>124</v>
      </c>
      <c r="E3992">
        <f>IF(OR(B3992="vi",B3992="ii",B3992="pod"),(((D3992/100)*(C3992*VLOOKUP(B3992,'Poids des runes'!A:B,2,FALSE)))+1),(((D3992/100)*(C3992*VLOOKUP(B3992,'Poids des runes'!A:B,2,FALSE)))+1)/VLOOKUP(B3992,'Poids des runes'!A:B,2,FALSE))</f>
        <v>19.661999999999999</v>
      </c>
      <c r="F3992">
        <f t="shared" si="62"/>
        <v>19.661999999999999</v>
      </c>
    </row>
    <row r="3993" spans="1:6" x14ac:dyDescent="0.3">
      <c r="A3993" t="s">
        <v>925</v>
      </c>
      <c r="B3993" t="s">
        <v>2148</v>
      </c>
      <c r="C3993">
        <v>5</v>
      </c>
      <c r="D3993">
        <v>124</v>
      </c>
      <c r="E3993">
        <f>IF(OR(B3993="vi",B3993="ii",B3993="pod"),(((D3993/100)*(C3993*VLOOKUP(B3993,'Poids des runes'!A:B,2,FALSE)))+1),(((D3993/100)*(C3993*VLOOKUP(B3993,'Poids des runes'!A:B,2,FALSE)))+1)/VLOOKUP(B3993,'Poids des runes'!A:B,2,FALSE))</f>
        <v>6.3666666666666671</v>
      </c>
      <c r="F3993">
        <f t="shared" si="62"/>
        <v>6.3666666666666671</v>
      </c>
    </row>
    <row r="3994" spans="1:6" x14ac:dyDescent="0.3">
      <c r="A3994" t="s">
        <v>925</v>
      </c>
      <c r="B3994" t="s">
        <v>2136</v>
      </c>
      <c r="C3994">
        <v>4.5</v>
      </c>
      <c r="D3994">
        <v>124</v>
      </c>
      <c r="E3994">
        <f>IF(OR(B3994="vi",B3994="ii",B3994="pod"),(((D3994/100)*(C3994*VLOOKUP(B3994,'Poids des runes'!A:B,2,FALSE)))+1),(((D3994/100)*(C3994*VLOOKUP(B3994,'Poids des runes'!A:B,2,FALSE)))+1)/VLOOKUP(B3994,'Poids des runes'!A:B,2,FALSE))</f>
        <v>6.08</v>
      </c>
      <c r="F3994">
        <f t="shared" si="62"/>
        <v>6.08</v>
      </c>
    </row>
    <row r="3995" spans="1:6" x14ac:dyDescent="0.3">
      <c r="A3995" t="s">
        <v>925</v>
      </c>
      <c r="B3995" t="s">
        <v>2137</v>
      </c>
      <c r="C3995">
        <v>4.5</v>
      </c>
      <c r="D3995">
        <v>124</v>
      </c>
      <c r="E3995">
        <f>IF(OR(B3995="vi",B3995="ii",B3995="pod"),(((D3995/100)*(C3995*VLOOKUP(B3995,'Poids des runes'!A:B,2,FALSE)))+1),(((D3995/100)*(C3995*VLOOKUP(B3995,'Poids des runes'!A:B,2,FALSE)))+1)/VLOOKUP(B3995,'Poids des runes'!A:B,2,FALSE))</f>
        <v>6.08</v>
      </c>
      <c r="F3995">
        <f t="shared" si="62"/>
        <v>6.08</v>
      </c>
    </row>
    <row r="3996" spans="1:6" x14ac:dyDescent="0.3">
      <c r="A3996" t="s">
        <v>925</v>
      </c>
      <c r="B3996" t="s">
        <v>2144</v>
      </c>
      <c r="C3996">
        <v>4.5</v>
      </c>
      <c r="D3996">
        <v>124</v>
      </c>
      <c r="E3996">
        <f>IF(OR(B3996="vi",B3996="ii",B3996="pod"),(((D3996/100)*(C3996*VLOOKUP(B3996,'Poids des runes'!A:B,2,FALSE)))+1),(((D3996/100)*(C3996*VLOOKUP(B3996,'Poids des runes'!A:B,2,FALSE)))+1)/VLOOKUP(B3996,'Poids des runes'!A:B,2,FALSE))</f>
        <v>6.08</v>
      </c>
      <c r="F3996">
        <f t="shared" si="62"/>
        <v>6.08</v>
      </c>
    </row>
    <row r="3997" spans="1:6" x14ac:dyDescent="0.3">
      <c r="A3997" t="s">
        <v>925</v>
      </c>
      <c r="B3997" t="s">
        <v>2145</v>
      </c>
      <c r="C3997">
        <v>4.5</v>
      </c>
      <c r="D3997">
        <v>124</v>
      </c>
      <c r="E3997">
        <f>IF(OR(B3997="vi",B3997="ii",B3997="pod"),(((D3997/100)*(C3997*VLOOKUP(B3997,'Poids des runes'!A:B,2,FALSE)))+1),(((D3997/100)*(C3997*VLOOKUP(B3997,'Poids des runes'!A:B,2,FALSE)))+1)/VLOOKUP(B3997,'Poids des runes'!A:B,2,FALSE))</f>
        <v>6.08</v>
      </c>
      <c r="F3997">
        <f t="shared" si="62"/>
        <v>6.08</v>
      </c>
    </row>
    <row r="3998" spans="1:6" x14ac:dyDescent="0.3">
      <c r="A3998" t="s">
        <v>925</v>
      </c>
      <c r="B3998" t="s">
        <v>2146</v>
      </c>
      <c r="C3998">
        <v>4.5</v>
      </c>
      <c r="D3998">
        <v>124</v>
      </c>
      <c r="E3998">
        <f>IF(OR(B3998="vi",B3998="ii",B3998="pod"),(((D3998/100)*(C3998*VLOOKUP(B3998,'Poids des runes'!A:B,2,FALSE)))+1),(((D3998/100)*(C3998*VLOOKUP(B3998,'Poids des runes'!A:B,2,FALSE)))+1)/VLOOKUP(B3998,'Poids des runes'!A:B,2,FALSE))</f>
        <v>6.08</v>
      </c>
      <c r="F3998">
        <f t="shared" si="62"/>
        <v>6.08</v>
      </c>
    </row>
    <row r="3999" spans="1:6" x14ac:dyDescent="0.3">
      <c r="A3999" t="s">
        <v>926</v>
      </c>
      <c r="B3999" t="s">
        <v>2128</v>
      </c>
      <c r="C3999">
        <v>125.5</v>
      </c>
      <c r="D3999">
        <v>125</v>
      </c>
      <c r="E3999">
        <f>IF(OR(B3999="vi",B3999="ii",B3999="pod"),(((D3999/100)*(C3999*VLOOKUP(B3999,'Poids des runes'!A:B,2,FALSE)))+1),(((D3999/100)*(C3999*VLOOKUP(B3999,'Poids des runes'!A:B,2,FALSE)))+1)/VLOOKUP(B3999,'Poids des runes'!A:B,2,FALSE))</f>
        <v>32.375</v>
      </c>
      <c r="F3999">
        <f t="shared" si="62"/>
        <v>32.375</v>
      </c>
    </row>
    <row r="4000" spans="1:6" x14ac:dyDescent="0.3">
      <c r="A4000" t="s">
        <v>926</v>
      </c>
      <c r="B4000" t="s">
        <v>2126</v>
      </c>
      <c r="C4000">
        <v>30.5</v>
      </c>
      <c r="D4000">
        <v>125</v>
      </c>
      <c r="E4000">
        <f>IF(OR(B4000="vi",B4000="ii",B4000="pod"),(((D4000/100)*(C4000*VLOOKUP(B4000,'Poids des runes'!A:B,2,FALSE)))+1),(((D4000/100)*(C4000*VLOOKUP(B4000,'Poids des runes'!A:B,2,FALSE)))+1)/VLOOKUP(B4000,'Poids des runes'!A:B,2,FALSE))</f>
        <v>39.125</v>
      </c>
      <c r="F4000">
        <f t="shared" si="62"/>
        <v>39.125</v>
      </c>
    </row>
    <row r="4001" spans="1:6" x14ac:dyDescent="0.3">
      <c r="A4001" t="s">
        <v>926</v>
      </c>
      <c r="B4001" t="s">
        <v>2129</v>
      </c>
      <c r="C4001">
        <v>35.5</v>
      </c>
      <c r="D4001">
        <v>125</v>
      </c>
      <c r="E4001">
        <f>IF(OR(B4001="vi",B4001="ii",B4001="pod"),(((D4001/100)*(C4001*VLOOKUP(B4001,'Poids des runes'!A:B,2,FALSE)))+1),(((D4001/100)*(C4001*VLOOKUP(B4001,'Poids des runes'!A:B,2,FALSE)))+1)/VLOOKUP(B4001,'Poids des runes'!A:B,2,FALSE))</f>
        <v>45.375</v>
      </c>
      <c r="F4001">
        <f t="shared" si="62"/>
        <v>45.375</v>
      </c>
    </row>
    <row r="4002" spans="1:6" x14ac:dyDescent="0.3">
      <c r="A4002" t="s">
        <v>926</v>
      </c>
      <c r="B4002" t="s">
        <v>2152</v>
      </c>
      <c r="C4002">
        <v>1</v>
      </c>
      <c r="D4002">
        <v>125</v>
      </c>
      <c r="E4002">
        <f>IF(OR(B4002="vi",B4002="ii",B4002="pod"),(((D4002/100)*(C4002*VLOOKUP(B4002,'Poids des runes'!A:B,2,FALSE)))+1),(((D4002/100)*(C4002*VLOOKUP(B4002,'Poids des runes'!A:B,2,FALSE)))+1)/VLOOKUP(B4002,'Poids des runes'!A:B,2,FALSE))</f>
        <v>1.26</v>
      </c>
      <c r="F4002">
        <f t="shared" si="62"/>
        <v>1.26</v>
      </c>
    </row>
    <row r="4003" spans="1:6" x14ac:dyDescent="0.3">
      <c r="A4003" t="s">
        <v>926</v>
      </c>
      <c r="B4003" t="s">
        <v>2161</v>
      </c>
      <c r="C4003">
        <v>18</v>
      </c>
      <c r="D4003">
        <v>125</v>
      </c>
      <c r="E4003">
        <f>IF(OR(B4003="vi",B4003="ii",B4003="pod"),(((D4003/100)*(C4003*VLOOKUP(B4003,'Poids des runes'!A:B,2,FALSE)))+1),(((D4003/100)*(C4003*VLOOKUP(B4003,'Poids des runes'!A:B,2,FALSE)))+1)/VLOOKUP(B4003,'Poids des runes'!A:B,2,FALSE))</f>
        <v>22.833333333333332</v>
      </c>
      <c r="F4003">
        <f t="shared" si="62"/>
        <v>22.833333333333332</v>
      </c>
    </row>
    <row r="4004" spans="1:6" x14ac:dyDescent="0.3">
      <c r="A4004" t="s">
        <v>926</v>
      </c>
      <c r="B4004" t="s">
        <v>2147</v>
      </c>
      <c r="C4004">
        <v>8</v>
      </c>
      <c r="D4004">
        <v>125</v>
      </c>
      <c r="E4004">
        <f>IF(OR(B4004="vi",B4004="ii",B4004="pod"),(((D4004/100)*(C4004*VLOOKUP(B4004,'Poids des runes'!A:B,2,FALSE)))+1),(((D4004/100)*(C4004*VLOOKUP(B4004,'Poids des runes'!A:B,2,FALSE)))+1)/VLOOKUP(B4004,'Poids des runes'!A:B,2,FALSE))</f>
        <v>10.166666666666666</v>
      </c>
      <c r="F4004">
        <f t="shared" si="62"/>
        <v>10.166666666666666</v>
      </c>
    </row>
    <row r="4005" spans="1:6" x14ac:dyDescent="0.3">
      <c r="A4005" t="s">
        <v>926</v>
      </c>
      <c r="B4005" t="s">
        <v>2157</v>
      </c>
      <c r="C4005">
        <v>8</v>
      </c>
      <c r="D4005">
        <v>125</v>
      </c>
      <c r="E4005">
        <f>IF(OR(B4005="vi",B4005="ii",B4005="pod"),(((D4005/100)*(C4005*VLOOKUP(B4005,'Poids des runes'!A:B,2,FALSE)))+1),(((D4005/100)*(C4005*VLOOKUP(B4005,'Poids des runes'!A:B,2,FALSE)))+1)/VLOOKUP(B4005,'Poids des runes'!A:B,2,FALSE))</f>
        <v>10.166666666666666</v>
      </c>
      <c r="F4005">
        <f t="shared" si="62"/>
        <v>10.166666666666666</v>
      </c>
    </row>
    <row r="4006" spans="1:6" x14ac:dyDescent="0.3">
      <c r="A4006" t="s">
        <v>927</v>
      </c>
      <c r="B4006" t="s">
        <v>2128</v>
      </c>
      <c r="C4006">
        <v>175.5</v>
      </c>
      <c r="D4006">
        <v>125</v>
      </c>
      <c r="E4006">
        <f>IF(OR(B4006="vi",B4006="ii",B4006="pod"),(((D4006/100)*(C4006*VLOOKUP(B4006,'Poids des runes'!A:B,2,FALSE)))+1),(((D4006/100)*(C4006*VLOOKUP(B4006,'Poids des runes'!A:B,2,FALSE)))+1)/VLOOKUP(B4006,'Poids des runes'!A:B,2,FALSE))</f>
        <v>44.875</v>
      </c>
      <c r="F4006">
        <f t="shared" si="62"/>
        <v>44.875</v>
      </c>
    </row>
    <row r="4007" spans="1:6" x14ac:dyDescent="0.3">
      <c r="A4007" t="s">
        <v>927</v>
      </c>
      <c r="B4007" t="s">
        <v>2126</v>
      </c>
      <c r="C4007">
        <v>38</v>
      </c>
      <c r="D4007">
        <v>125</v>
      </c>
      <c r="E4007">
        <f>IF(OR(B4007="vi",B4007="ii",B4007="pod"),(((D4007/100)*(C4007*VLOOKUP(B4007,'Poids des runes'!A:B,2,FALSE)))+1),(((D4007/100)*(C4007*VLOOKUP(B4007,'Poids des runes'!A:B,2,FALSE)))+1)/VLOOKUP(B4007,'Poids des runes'!A:B,2,FALSE))</f>
        <v>48.5</v>
      </c>
      <c r="F4007">
        <f t="shared" si="62"/>
        <v>48.5</v>
      </c>
    </row>
    <row r="4008" spans="1:6" x14ac:dyDescent="0.3">
      <c r="A4008" t="s">
        <v>927</v>
      </c>
      <c r="B4008" t="s">
        <v>2129</v>
      </c>
      <c r="C4008">
        <v>28</v>
      </c>
      <c r="D4008">
        <v>125</v>
      </c>
      <c r="E4008">
        <f>IF(OR(B4008="vi",B4008="ii",B4008="pod"),(((D4008/100)*(C4008*VLOOKUP(B4008,'Poids des runes'!A:B,2,FALSE)))+1),(((D4008/100)*(C4008*VLOOKUP(B4008,'Poids des runes'!A:B,2,FALSE)))+1)/VLOOKUP(B4008,'Poids des runes'!A:B,2,FALSE))</f>
        <v>36</v>
      </c>
      <c r="F4008">
        <f t="shared" si="62"/>
        <v>36</v>
      </c>
    </row>
    <row r="4009" spans="1:6" x14ac:dyDescent="0.3">
      <c r="A4009" t="s">
        <v>927</v>
      </c>
      <c r="B4009" t="s">
        <v>2134</v>
      </c>
      <c r="C4009">
        <v>6</v>
      </c>
      <c r="D4009">
        <v>125</v>
      </c>
      <c r="E4009">
        <f>IF(OR(B4009="vi",B4009="ii",B4009="pod"),(((D4009/100)*(C4009*VLOOKUP(B4009,'Poids des runes'!A:B,2,FALSE)))+1),(((D4009/100)*(C4009*VLOOKUP(B4009,'Poids des runes'!A:B,2,FALSE)))+1)/VLOOKUP(B4009,'Poids des runes'!A:B,2,FALSE))</f>
        <v>7.55</v>
      </c>
      <c r="F4009">
        <f t="shared" si="62"/>
        <v>7.55</v>
      </c>
    </row>
    <row r="4010" spans="1:6" x14ac:dyDescent="0.3">
      <c r="A4010" t="s">
        <v>927</v>
      </c>
      <c r="B4010" t="s">
        <v>2147</v>
      </c>
      <c r="C4010">
        <v>8</v>
      </c>
      <c r="D4010">
        <v>125</v>
      </c>
      <c r="E4010">
        <f>IF(OR(B4010="vi",B4010="ii",B4010="pod"),(((D4010/100)*(C4010*VLOOKUP(B4010,'Poids des runes'!A:B,2,FALSE)))+1),(((D4010/100)*(C4010*VLOOKUP(B4010,'Poids des runes'!A:B,2,FALSE)))+1)/VLOOKUP(B4010,'Poids des runes'!A:B,2,FALSE))</f>
        <v>10.166666666666666</v>
      </c>
      <c r="F4010">
        <f t="shared" si="62"/>
        <v>10.166666666666666</v>
      </c>
    </row>
    <row r="4011" spans="1:6" x14ac:dyDescent="0.3">
      <c r="A4011" t="s">
        <v>927</v>
      </c>
      <c r="B4011" t="s">
        <v>2157</v>
      </c>
      <c r="C4011">
        <v>8</v>
      </c>
      <c r="D4011">
        <v>125</v>
      </c>
      <c r="E4011">
        <f>IF(OR(B4011="vi",B4011="ii",B4011="pod"),(((D4011/100)*(C4011*VLOOKUP(B4011,'Poids des runes'!A:B,2,FALSE)))+1),(((D4011/100)*(C4011*VLOOKUP(B4011,'Poids des runes'!A:B,2,FALSE)))+1)/VLOOKUP(B4011,'Poids des runes'!A:B,2,FALSE))</f>
        <v>10.166666666666666</v>
      </c>
      <c r="F4011">
        <f t="shared" si="62"/>
        <v>10.166666666666666</v>
      </c>
    </row>
    <row r="4012" spans="1:6" x14ac:dyDescent="0.3">
      <c r="A4012" t="s">
        <v>928</v>
      </c>
      <c r="B4012" t="s">
        <v>2128</v>
      </c>
      <c r="C4012">
        <v>175.5</v>
      </c>
      <c r="D4012">
        <v>125</v>
      </c>
      <c r="E4012">
        <f>IF(OR(B4012="vi",B4012="ii",B4012="pod"),(((D4012/100)*(C4012*VLOOKUP(B4012,'Poids des runes'!A:B,2,FALSE)))+1),(((D4012/100)*(C4012*VLOOKUP(B4012,'Poids des runes'!A:B,2,FALSE)))+1)/VLOOKUP(B4012,'Poids des runes'!A:B,2,FALSE))</f>
        <v>44.875</v>
      </c>
      <c r="F4012">
        <f t="shared" si="62"/>
        <v>44.875</v>
      </c>
    </row>
    <row r="4013" spans="1:6" x14ac:dyDescent="0.3">
      <c r="A4013" t="s">
        <v>928</v>
      </c>
      <c r="B4013" t="s">
        <v>2131</v>
      </c>
      <c r="C4013">
        <v>40.5</v>
      </c>
      <c r="D4013">
        <v>125</v>
      </c>
      <c r="E4013">
        <f>IF(OR(B4013="vi",B4013="ii",B4013="pod"),(((D4013/100)*(C4013*VLOOKUP(B4013,'Poids des runes'!A:B,2,FALSE)))+1),(((D4013/100)*(C4013*VLOOKUP(B4013,'Poids des runes'!A:B,2,FALSE)))+1)/VLOOKUP(B4013,'Poids des runes'!A:B,2,FALSE))</f>
        <v>51.625</v>
      </c>
      <c r="F4013">
        <f t="shared" si="62"/>
        <v>51.625</v>
      </c>
    </row>
    <row r="4014" spans="1:6" x14ac:dyDescent="0.3">
      <c r="A4014" t="s">
        <v>928</v>
      </c>
      <c r="B4014" t="s">
        <v>2127</v>
      </c>
      <c r="C4014">
        <v>40.5</v>
      </c>
      <c r="D4014">
        <v>125</v>
      </c>
      <c r="E4014">
        <f>IF(OR(B4014="vi",B4014="ii",B4014="pod"),(((D4014/100)*(C4014*VLOOKUP(B4014,'Poids des runes'!A:B,2,FALSE)))+1),(((D4014/100)*(C4014*VLOOKUP(B4014,'Poids des runes'!A:B,2,FALSE)))+1)/VLOOKUP(B4014,'Poids des runes'!A:B,2,FALSE))</f>
        <v>51.625</v>
      </c>
      <c r="F4014">
        <f t="shared" si="62"/>
        <v>51.625</v>
      </c>
    </row>
    <row r="4015" spans="1:6" x14ac:dyDescent="0.3">
      <c r="A4015" t="s">
        <v>928</v>
      </c>
      <c r="B4015" t="s">
        <v>2133</v>
      </c>
      <c r="C4015">
        <v>4</v>
      </c>
      <c r="D4015">
        <v>125</v>
      </c>
      <c r="E4015">
        <f>IF(OR(B4015="vi",B4015="ii",B4015="pod"),(((D4015/100)*(C4015*VLOOKUP(B4015,'Poids des runes'!A:B,2,FALSE)))+1),(((D4015/100)*(C4015*VLOOKUP(B4015,'Poids des runes'!A:B,2,FALSE)))+1)/VLOOKUP(B4015,'Poids des runes'!A:B,2,FALSE))</f>
        <v>5.2</v>
      </c>
      <c r="F4015">
        <f t="shared" si="62"/>
        <v>5.2</v>
      </c>
    </row>
    <row r="4016" spans="1:6" x14ac:dyDescent="0.3">
      <c r="A4016" t="s">
        <v>928</v>
      </c>
      <c r="B4016" t="s">
        <v>2153</v>
      </c>
      <c r="C4016">
        <v>4</v>
      </c>
      <c r="D4016">
        <v>125</v>
      </c>
      <c r="E4016">
        <f>IF(OR(B4016="vi",B4016="ii",B4016="pod"),(((D4016/100)*(C4016*VLOOKUP(B4016,'Poids des runes'!A:B,2,FALSE)))+1),(((D4016/100)*(C4016*VLOOKUP(B4016,'Poids des runes'!A:B,2,FALSE)))+1)/VLOOKUP(B4016,'Poids des runes'!A:B,2,FALSE))</f>
        <v>5.2</v>
      </c>
      <c r="F4016">
        <f t="shared" si="62"/>
        <v>5.2</v>
      </c>
    </row>
    <row r="4017" spans="1:6" x14ac:dyDescent="0.3">
      <c r="A4017" t="s">
        <v>928</v>
      </c>
      <c r="B4017" t="s">
        <v>2161</v>
      </c>
      <c r="C4017">
        <v>18</v>
      </c>
      <c r="D4017">
        <v>125</v>
      </c>
      <c r="E4017">
        <f>IF(OR(B4017="vi",B4017="ii",B4017="pod"),(((D4017/100)*(C4017*VLOOKUP(B4017,'Poids des runes'!A:B,2,FALSE)))+1),(((D4017/100)*(C4017*VLOOKUP(B4017,'Poids des runes'!A:B,2,FALSE)))+1)/VLOOKUP(B4017,'Poids des runes'!A:B,2,FALSE))</f>
        <v>22.833333333333332</v>
      </c>
      <c r="F4017">
        <f t="shared" si="62"/>
        <v>22.833333333333332</v>
      </c>
    </row>
    <row r="4018" spans="1:6" x14ac:dyDescent="0.3">
      <c r="A4018" t="s">
        <v>928</v>
      </c>
      <c r="B4018" t="s">
        <v>2156</v>
      </c>
      <c r="C4018">
        <v>5</v>
      </c>
      <c r="D4018">
        <v>125</v>
      </c>
      <c r="E4018">
        <f>IF(OR(B4018="vi",B4018="ii",B4018="pod"),(((D4018/100)*(C4018*VLOOKUP(B4018,'Poids des runes'!A:B,2,FALSE)))+1),(((D4018/100)*(C4018*VLOOKUP(B4018,'Poids des runes'!A:B,2,FALSE)))+1)/VLOOKUP(B4018,'Poids des runes'!A:B,2,FALSE))</f>
        <v>6.416666666666667</v>
      </c>
      <c r="F4018">
        <f t="shared" si="62"/>
        <v>6.416666666666667</v>
      </c>
    </row>
    <row r="4019" spans="1:6" x14ac:dyDescent="0.3">
      <c r="A4019" t="s">
        <v>928</v>
      </c>
      <c r="B4019" t="s">
        <v>2148</v>
      </c>
      <c r="C4019">
        <v>5</v>
      </c>
      <c r="D4019">
        <v>125</v>
      </c>
      <c r="E4019">
        <f>IF(OR(B4019="vi",B4019="ii",B4019="pod"),(((D4019/100)*(C4019*VLOOKUP(B4019,'Poids des runes'!A:B,2,FALSE)))+1),(((D4019/100)*(C4019*VLOOKUP(B4019,'Poids des runes'!A:B,2,FALSE)))+1)/VLOOKUP(B4019,'Poids des runes'!A:B,2,FALSE))</f>
        <v>6.416666666666667</v>
      </c>
      <c r="F4019">
        <f t="shared" si="62"/>
        <v>6.416666666666667</v>
      </c>
    </row>
    <row r="4020" spans="1:6" x14ac:dyDescent="0.3">
      <c r="A4020" t="s">
        <v>928</v>
      </c>
      <c r="B4020" t="s">
        <v>2136</v>
      </c>
      <c r="C4020">
        <v>10.5</v>
      </c>
      <c r="D4020">
        <v>125</v>
      </c>
      <c r="E4020">
        <f>IF(OR(B4020="vi",B4020="ii",B4020="pod"),(((D4020/100)*(C4020*VLOOKUP(B4020,'Poids des runes'!A:B,2,FALSE)))+1),(((D4020/100)*(C4020*VLOOKUP(B4020,'Poids des runes'!A:B,2,FALSE)))+1)/VLOOKUP(B4020,'Poids des runes'!A:B,2,FALSE))</f>
        <v>13.625</v>
      </c>
      <c r="F4020">
        <f t="shared" si="62"/>
        <v>13.625</v>
      </c>
    </row>
    <row r="4021" spans="1:6" x14ac:dyDescent="0.3">
      <c r="A4021" t="s">
        <v>929</v>
      </c>
      <c r="B4021" t="s">
        <v>2128</v>
      </c>
      <c r="C4021">
        <v>175.5</v>
      </c>
      <c r="D4021">
        <v>125</v>
      </c>
      <c r="E4021">
        <f>IF(OR(B4021="vi",B4021="ii",B4021="pod"),(((D4021/100)*(C4021*VLOOKUP(B4021,'Poids des runes'!A:B,2,FALSE)))+1),(((D4021/100)*(C4021*VLOOKUP(B4021,'Poids des runes'!A:B,2,FALSE)))+1)/VLOOKUP(B4021,'Poids des runes'!A:B,2,FALSE))</f>
        <v>44.875</v>
      </c>
      <c r="F4021">
        <f t="shared" si="62"/>
        <v>44.875</v>
      </c>
    </row>
    <row r="4022" spans="1:6" x14ac:dyDescent="0.3">
      <c r="A4022" t="s">
        <v>929</v>
      </c>
      <c r="B4022" t="s">
        <v>2126</v>
      </c>
      <c r="C4022">
        <v>40.5</v>
      </c>
      <c r="D4022">
        <v>125</v>
      </c>
      <c r="E4022">
        <f>IF(OR(B4022="vi",B4022="ii",B4022="pod"),(((D4022/100)*(C4022*VLOOKUP(B4022,'Poids des runes'!A:B,2,FALSE)))+1),(((D4022/100)*(C4022*VLOOKUP(B4022,'Poids des runes'!A:B,2,FALSE)))+1)/VLOOKUP(B4022,'Poids des runes'!A:B,2,FALSE))</f>
        <v>51.625</v>
      </c>
      <c r="F4022">
        <f t="shared" si="62"/>
        <v>51.625</v>
      </c>
    </row>
    <row r="4023" spans="1:6" x14ac:dyDescent="0.3">
      <c r="A4023" t="s">
        <v>929</v>
      </c>
      <c r="B4023" t="s">
        <v>2127</v>
      </c>
      <c r="C4023">
        <v>40.5</v>
      </c>
      <c r="D4023">
        <v>125</v>
      </c>
      <c r="E4023">
        <f>IF(OR(B4023="vi",B4023="ii",B4023="pod"),(((D4023/100)*(C4023*VLOOKUP(B4023,'Poids des runes'!A:B,2,FALSE)))+1),(((D4023/100)*(C4023*VLOOKUP(B4023,'Poids des runes'!A:B,2,FALSE)))+1)/VLOOKUP(B4023,'Poids des runes'!A:B,2,FALSE))</f>
        <v>51.625</v>
      </c>
      <c r="F4023">
        <f t="shared" si="62"/>
        <v>51.625</v>
      </c>
    </row>
    <row r="4024" spans="1:6" x14ac:dyDescent="0.3">
      <c r="A4024" t="s">
        <v>929</v>
      </c>
      <c r="B4024" t="s">
        <v>2149</v>
      </c>
      <c r="C4024">
        <v>4.5</v>
      </c>
      <c r="D4024">
        <v>125</v>
      </c>
      <c r="E4024">
        <f>IF(OR(B4024="vi",B4024="ii",B4024="pod"),(((D4024/100)*(C4024*VLOOKUP(B4024,'Poids des runes'!A:B,2,FALSE)))+1),(((D4024/100)*(C4024*VLOOKUP(B4024,'Poids des runes'!A:B,2,FALSE)))+1)/VLOOKUP(B4024,'Poids des runes'!A:B,2,FALSE))</f>
        <v>5.7249999999999996</v>
      </c>
      <c r="F4024">
        <f t="shared" si="62"/>
        <v>5.7249999999999996</v>
      </c>
    </row>
    <row r="4025" spans="1:6" x14ac:dyDescent="0.3">
      <c r="A4025" t="s">
        <v>929</v>
      </c>
      <c r="B4025" t="s">
        <v>2161</v>
      </c>
      <c r="C4025">
        <v>18</v>
      </c>
      <c r="D4025">
        <v>125</v>
      </c>
      <c r="E4025">
        <f>IF(OR(B4025="vi",B4025="ii",B4025="pod"),(((D4025/100)*(C4025*VLOOKUP(B4025,'Poids des runes'!A:B,2,FALSE)))+1),(((D4025/100)*(C4025*VLOOKUP(B4025,'Poids des runes'!A:B,2,FALSE)))+1)/VLOOKUP(B4025,'Poids des runes'!A:B,2,FALSE))</f>
        <v>22.833333333333332</v>
      </c>
      <c r="F4025">
        <f t="shared" si="62"/>
        <v>22.833333333333332</v>
      </c>
    </row>
    <row r="4026" spans="1:6" x14ac:dyDescent="0.3">
      <c r="A4026" t="s">
        <v>929</v>
      </c>
      <c r="B4026" t="s">
        <v>2132</v>
      </c>
      <c r="C4026">
        <v>300</v>
      </c>
      <c r="D4026">
        <v>125</v>
      </c>
      <c r="E4026">
        <f>IF(OR(B4026="vi",B4026="ii",B4026="pod"),(((D4026/100)*(C4026*VLOOKUP(B4026,'Poids des runes'!A:B,2,FALSE)))+1),(((D4026/100)*(C4026*VLOOKUP(B4026,'Poids des runes'!A:B,2,FALSE)))+1)/VLOOKUP(B4026,'Poids des runes'!A:B,2,FALSE))</f>
        <v>38.5</v>
      </c>
      <c r="F4026">
        <f t="shared" si="62"/>
        <v>38.5</v>
      </c>
    </row>
    <row r="4027" spans="1:6" x14ac:dyDescent="0.3">
      <c r="A4027" t="s">
        <v>929</v>
      </c>
      <c r="B4027" t="s">
        <v>2156</v>
      </c>
      <c r="C4027">
        <v>4.5</v>
      </c>
      <c r="D4027">
        <v>125</v>
      </c>
      <c r="E4027">
        <f>IF(OR(B4027="vi",B4027="ii",B4027="pod"),(((D4027/100)*(C4027*VLOOKUP(B4027,'Poids des runes'!A:B,2,FALSE)))+1),(((D4027/100)*(C4027*VLOOKUP(B4027,'Poids des runes'!A:B,2,FALSE)))+1)/VLOOKUP(B4027,'Poids des runes'!A:B,2,FALSE))</f>
        <v>5.791666666666667</v>
      </c>
      <c r="F4027">
        <f t="shared" si="62"/>
        <v>5.791666666666667</v>
      </c>
    </row>
    <row r="4028" spans="1:6" x14ac:dyDescent="0.3">
      <c r="A4028" t="s">
        <v>929</v>
      </c>
      <c r="B4028" t="s">
        <v>2147</v>
      </c>
      <c r="C4028">
        <v>4.5</v>
      </c>
      <c r="D4028">
        <v>125</v>
      </c>
      <c r="E4028">
        <f>IF(OR(B4028="vi",B4028="ii",B4028="pod"),(((D4028/100)*(C4028*VLOOKUP(B4028,'Poids des runes'!A:B,2,FALSE)))+1),(((D4028/100)*(C4028*VLOOKUP(B4028,'Poids des runes'!A:B,2,FALSE)))+1)/VLOOKUP(B4028,'Poids des runes'!A:B,2,FALSE))</f>
        <v>5.791666666666667</v>
      </c>
      <c r="F4028">
        <f t="shared" si="62"/>
        <v>5.791666666666667</v>
      </c>
    </row>
    <row r="4029" spans="1:6" x14ac:dyDescent="0.3">
      <c r="A4029" t="s">
        <v>929</v>
      </c>
      <c r="B4029" t="s">
        <v>2157</v>
      </c>
      <c r="C4029">
        <v>4.5</v>
      </c>
      <c r="D4029">
        <v>125</v>
      </c>
      <c r="E4029">
        <f>IF(OR(B4029="vi",B4029="ii",B4029="pod"),(((D4029/100)*(C4029*VLOOKUP(B4029,'Poids des runes'!A:B,2,FALSE)))+1),(((D4029/100)*(C4029*VLOOKUP(B4029,'Poids des runes'!A:B,2,FALSE)))+1)/VLOOKUP(B4029,'Poids des runes'!A:B,2,FALSE))</f>
        <v>5.791666666666667</v>
      </c>
      <c r="F4029">
        <f t="shared" si="62"/>
        <v>5.791666666666667</v>
      </c>
    </row>
    <row r="4030" spans="1:6" x14ac:dyDescent="0.3">
      <c r="A4030" t="s">
        <v>930</v>
      </c>
      <c r="B4030" t="s">
        <v>2128</v>
      </c>
      <c r="C4030">
        <v>175.5</v>
      </c>
      <c r="D4030">
        <v>125</v>
      </c>
      <c r="E4030">
        <f>IF(OR(B4030="vi",B4030="ii",B4030="pod"),(((D4030/100)*(C4030*VLOOKUP(B4030,'Poids des runes'!A:B,2,FALSE)))+1),(((D4030/100)*(C4030*VLOOKUP(B4030,'Poids des runes'!A:B,2,FALSE)))+1)/VLOOKUP(B4030,'Poids des runes'!A:B,2,FALSE))</f>
        <v>44.875</v>
      </c>
      <c r="F4030">
        <f t="shared" si="62"/>
        <v>44.875</v>
      </c>
    </row>
    <row r="4031" spans="1:6" x14ac:dyDescent="0.3">
      <c r="A4031" t="s">
        <v>930</v>
      </c>
      <c r="B4031" t="s">
        <v>2126</v>
      </c>
      <c r="C4031">
        <v>40.5</v>
      </c>
      <c r="D4031">
        <v>125</v>
      </c>
      <c r="E4031">
        <f>IF(OR(B4031="vi",B4031="ii",B4031="pod"),(((D4031/100)*(C4031*VLOOKUP(B4031,'Poids des runes'!A:B,2,FALSE)))+1),(((D4031/100)*(C4031*VLOOKUP(B4031,'Poids des runes'!A:B,2,FALSE)))+1)/VLOOKUP(B4031,'Poids des runes'!A:B,2,FALSE))</f>
        <v>51.625</v>
      </c>
      <c r="F4031">
        <f t="shared" si="62"/>
        <v>51.625</v>
      </c>
    </row>
    <row r="4032" spans="1:6" x14ac:dyDescent="0.3">
      <c r="A4032" t="s">
        <v>930</v>
      </c>
      <c r="B4032" t="s">
        <v>2131</v>
      </c>
      <c r="C4032">
        <v>40.5</v>
      </c>
      <c r="D4032">
        <v>125</v>
      </c>
      <c r="E4032">
        <f>IF(OR(B4032="vi",B4032="ii",B4032="pod"),(((D4032/100)*(C4032*VLOOKUP(B4032,'Poids des runes'!A:B,2,FALSE)))+1),(((D4032/100)*(C4032*VLOOKUP(B4032,'Poids des runes'!A:B,2,FALSE)))+1)/VLOOKUP(B4032,'Poids des runes'!A:B,2,FALSE))</f>
        <v>51.625</v>
      </c>
      <c r="F4032">
        <f t="shared" si="62"/>
        <v>51.625</v>
      </c>
    </row>
    <row r="4033" spans="1:6" x14ac:dyDescent="0.3">
      <c r="A4033" t="s">
        <v>930</v>
      </c>
      <c r="B4033" t="s">
        <v>2129</v>
      </c>
      <c r="C4033">
        <v>35.5</v>
      </c>
      <c r="D4033">
        <v>125</v>
      </c>
      <c r="E4033">
        <f>IF(OR(B4033="vi",B4033="ii",B4033="pod"),(((D4033/100)*(C4033*VLOOKUP(B4033,'Poids des runes'!A:B,2,FALSE)))+1),(((D4033/100)*(C4033*VLOOKUP(B4033,'Poids des runes'!A:B,2,FALSE)))+1)/VLOOKUP(B4033,'Poids des runes'!A:B,2,FALSE))</f>
        <v>45.375</v>
      </c>
      <c r="F4033">
        <f t="shared" si="62"/>
        <v>45.375</v>
      </c>
    </row>
    <row r="4034" spans="1:6" x14ac:dyDescent="0.3">
      <c r="A4034" t="s">
        <v>930</v>
      </c>
      <c r="B4034" t="s">
        <v>2151</v>
      </c>
      <c r="C4034">
        <v>2.5</v>
      </c>
      <c r="D4034">
        <v>125</v>
      </c>
      <c r="E4034">
        <f>IF(OR(B4034="vi",B4034="ii",B4034="pod"),(((D4034/100)*(C4034*VLOOKUP(B4034,'Poids des runes'!A:B,2,FALSE)))+1),(((D4034/100)*(C4034*VLOOKUP(B4034,'Poids des runes'!A:B,2,FALSE)))+1)/VLOOKUP(B4034,'Poids des runes'!A:B,2,FALSE))</f>
        <v>3.2250000000000001</v>
      </c>
      <c r="F4034">
        <f t="shared" si="62"/>
        <v>3.2250000000000001</v>
      </c>
    </row>
    <row r="4035" spans="1:6" x14ac:dyDescent="0.3">
      <c r="A4035" t="s">
        <v>930</v>
      </c>
      <c r="B4035" t="s">
        <v>2150</v>
      </c>
      <c r="C4035">
        <v>1.5</v>
      </c>
      <c r="D4035">
        <v>125</v>
      </c>
      <c r="E4035">
        <f>IF(OR(B4035="vi",B4035="ii",B4035="pod"),(((D4035/100)*(C4035*VLOOKUP(B4035,'Poids des runes'!A:B,2,FALSE)))+1),(((D4035/100)*(C4035*VLOOKUP(B4035,'Poids des runes'!A:B,2,FALSE)))+1)/VLOOKUP(B4035,'Poids des runes'!A:B,2,FALSE))</f>
        <v>1.9083333333333334</v>
      </c>
      <c r="F4035">
        <f t="shared" ref="F4035:F4098" si="63">E4035</f>
        <v>1.9083333333333334</v>
      </c>
    </row>
    <row r="4036" spans="1:6" x14ac:dyDescent="0.3">
      <c r="A4036" t="s">
        <v>930</v>
      </c>
      <c r="B4036" t="s">
        <v>2140</v>
      </c>
      <c r="C4036">
        <v>8.5</v>
      </c>
      <c r="D4036">
        <v>125</v>
      </c>
      <c r="E4036">
        <f>IF(OR(B4036="vi",B4036="ii",B4036="pod"),(((D4036/100)*(C4036*VLOOKUP(B4036,'Poids des runes'!A:B,2,FALSE)))+1),(((D4036/100)*(C4036*VLOOKUP(B4036,'Poids des runes'!A:B,2,FALSE)))+1)/VLOOKUP(B4036,'Poids des runes'!A:B,2,FALSE))</f>
        <v>10.824999999999999</v>
      </c>
      <c r="F4036">
        <f t="shared" si="63"/>
        <v>10.824999999999999</v>
      </c>
    </row>
    <row r="4037" spans="1:6" x14ac:dyDescent="0.3">
      <c r="A4037" t="s">
        <v>930</v>
      </c>
      <c r="B4037" t="s">
        <v>2133</v>
      </c>
      <c r="C4037">
        <v>8.5</v>
      </c>
      <c r="D4037">
        <v>125</v>
      </c>
      <c r="E4037">
        <f>IF(OR(B4037="vi",B4037="ii",B4037="pod"),(((D4037/100)*(C4037*VLOOKUP(B4037,'Poids des runes'!A:B,2,FALSE)))+1),(((D4037/100)*(C4037*VLOOKUP(B4037,'Poids des runes'!A:B,2,FALSE)))+1)/VLOOKUP(B4037,'Poids des runes'!A:B,2,FALSE))</f>
        <v>10.824999999999999</v>
      </c>
      <c r="F4037">
        <f t="shared" si="63"/>
        <v>10.824999999999999</v>
      </c>
    </row>
    <row r="4038" spans="1:6" x14ac:dyDescent="0.3">
      <c r="A4038" t="s">
        <v>930</v>
      </c>
      <c r="B4038" t="s">
        <v>2161</v>
      </c>
      <c r="C4038">
        <v>8.5</v>
      </c>
      <c r="D4038">
        <v>125</v>
      </c>
      <c r="E4038">
        <f>IF(OR(B4038="vi",B4038="ii",B4038="pod"),(((D4038/100)*(C4038*VLOOKUP(B4038,'Poids des runes'!A:B,2,FALSE)))+1),(((D4038/100)*(C4038*VLOOKUP(B4038,'Poids des runes'!A:B,2,FALSE)))+1)/VLOOKUP(B4038,'Poids des runes'!A:B,2,FALSE))</f>
        <v>10.958333333333334</v>
      </c>
      <c r="F4038">
        <f t="shared" si="63"/>
        <v>10.958333333333334</v>
      </c>
    </row>
    <row r="4039" spans="1:6" x14ac:dyDescent="0.3">
      <c r="A4039" t="s">
        <v>930</v>
      </c>
      <c r="B4039" t="s">
        <v>2141</v>
      </c>
      <c r="C4039">
        <v>4.5</v>
      </c>
      <c r="D4039">
        <v>125</v>
      </c>
      <c r="E4039">
        <f>IF(OR(B4039="vi",B4039="ii",B4039="pod"),(((D4039/100)*(C4039*VLOOKUP(B4039,'Poids des runes'!A:B,2,FALSE)))+1),(((D4039/100)*(C4039*VLOOKUP(B4039,'Poids des runes'!A:B,2,FALSE)))+1)/VLOOKUP(B4039,'Poids des runes'!A:B,2,FALSE))</f>
        <v>5.875</v>
      </c>
      <c r="F4039">
        <f t="shared" si="63"/>
        <v>5.875</v>
      </c>
    </row>
    <row r="4040" spans="1:6" x14ac:dyDescent="0.3">
      <c r="A4040" t="s">
        <v>930</v>
      </c>
      <c r="B4040" t="s">
        <v>2142</v>
      </c>
      <c r="C4040">
        <v>8.5</v>
      </c>
      <c r="D4040">
        <v>125</v>
      </c>
      <c r="E4040">
        <f>IF(OR(B4040="vi",B4040="ii",B4040="pod"),(((D4040/100)*(C4040*VLOOKUP(B4040,'Poids des runes'!A:B,2,FALSE)))+1),(((D4040/100)*(C4040*VLOOKUP(B4040,'Poids des runes'!A:B,2,FALSE)))+1)/VLOOKUP(B4040,'Poids des runes'!A:B,2,FALSE))</f>
        <v>10.824999999999999</v>
      </c>
      <c r="F4040">
        <f t="shared" si="63"/>
        <v>10.824999999999999</v>
      </c>
    </row>
    <row r="4041" spans="1:6" x14ac:dyDescent="0.3">
      <c r="A4041" t="s">
        <v>930</v>
      </c>
      <c r="B4041" t="s">
        <v>2145</v>
      </c>
      <c r="C4041">
        <v>8.5</v>
      </c>
      <c r="D4041">
        <v>125</v>
      </c>
      <c r="E4041">
        <f>IF(OR(B4041="vi",B4041="ii",B4041="pod"),(((D4041/100)*(C4041*VLOOKUP(B4041,'Poids des runes'!A:B,2,FALSE)))+1),(((D4041/100)*(C4041*VLOOKUP(B4041,'Poids des runes'!A:B,2,FALSE)))+1)/VLOOKUP(B4041,'Poids des runes'!A:B,2,FALSE))</f>
        <v>11.125</v>
      </c>
      <c r="F4041">
        <f t="shared" si="63"/>
        <v>11.125</v>
      </c>
    </row>
    <row r="4042" spans="1:6" x14ac:dyDescent="0.3">
      <c r="A4042" t="s">
        <v>930</v>
      </c>
      <c r="B4042" t="s">
        <v>2146</v>
      </c>
      <c r="C4042">
        <v>8.5</v>
      </c>
      <c r="D4042">
        <v>125</v>
      </c>
      <c r="E4042">
        <f>IF(OR(B4042="vi",B4042="ii",B4042="pod"),(((D4042/100)*(C4042*VLOOKUP(B4042,'Poids des runes'!A:B,2,FALSE)))+1),(((D4042/100)*(C4042*VLOOKUP(B4042,'Poids des runes'!A:B,2,FALSE)))+1)/VLOOKUP(B4042,'Poids des runes'!A:B,2,FALSE))</f>
        <v>11.125</v>
      </c>
      <c r="F4042">
        <f t="shared" si="63"/>
        <v>11.125</v>
      </c>
    </row>
    <row r="4043" spans="1:6" x14ac:dyDescent="0.3">
      <c r="A4043" t="s">
        <v>931</v>
      </c>
      <c r="B4043" t="s">
        <v>2128</v>
      </c>
      <c r="C4043">
        <v>175.5</v>
      </c>
      <c r="D4043">
        <v>125</v>
      </c>
      <c r="E4043">
        <f>IF(OR(B4043="vi",B4043="ii",B4043="pod"),(((D4043/100)*(C4043*VLOOKUP(B4043,'Poids des runes'!A:B,2,FALSE)))+1),(((D4043/100)*(C4043*VLOOKUP(B4043,'Poids des runes'!A:B,2,FALSE)))+1)/VLOOKUP(B4043,'Poids des runes'!A:B,2,FALSE))</f>
        <v>44.875</v>
      </c>
      <c r="F4043">
        <f t="shared" si="63"/>
        <v>44.875</v>
      </c>
    </row>
    <row r="4044" spans="1:6" x14ac:dyDescent="0.3">
      <c r="A4044" t="s">
        <v>931</v>
      </c>
      <c r="B4044" t="s">
        <v>2130</v>
      </c>
      <c r="C4044">
        <v>35.5</v>
      </c>
      <c r="D4044">
        <v>125</v>
      </c>
      <c r="E4044">
        <f>IF(OR(B4044="vi",B4044="ii",B4044="pod"),(((D4044/100)*(C4044*VLOOKUP(B4044,'Poids des runes'!A:B,2,FALSE)))+1),(((D4044/100)*(C4044*VLOOKUP(B4044,'Poids des runes'!A:B,2,FALSE)))+1)/VLOOKUP(B4044,'Poids des runes'!A:B,2,FALSE))</f>
        <v>45.375</v>
      </c>
      <c r="F4044">
        <f t="shared" si="63"/>
        <v>45.375</v>
      </c>
    </row>
    <row r="4045" spans="1:6" x14ac:dyDescent="0.3">
      <c r="A4045" t="s">
        <v>931</v>
      </c>
      <c r="B4045" t="s">
        <v>2154</v>
      </c>
      <c r="C4045">
        <v>1</v>
      </c>
      <c r="D4045">
        <v>125</v>
      </c>
      <c r="E4045">
        <f>IF(OR(B4045="vi",B4045="ii",B4045="pod"),(((D4045/100)*(C4045*VLOOKUP(B4045,'Poids des runes'!A:B,2,FALSE)))+1),(((D4045/100)*(C4045*VLOOKUP(B4045,'Poids des runes'!A:B,2,FALSE)))+1)/VLOOKUP(B4045,'Poids des runes'!A:B,2,FALSE))</f>
        <v>1.2611111111111111</v>
      </c>
      <c r="F4045">
        <f t="shared" si="63"/>
        <v>1.2611111111111111</v>
      </c>
    </row>
    <row r="4046" spans="1:6" x14ac:dyDescent="0.3">
      <c r="A4046" t="s">
        <v>931</v>
      </c>
      <c r="B4046" t="s">
        <v>2155</v>
      </c>
      <c r="C4046">
        <v>1</v>
      </c>
      <c r="D4046">
        <v>125</v>
      </c>
      <c r="E4046">
        <f>IF(OR(B4046="vi",B4046="ii",B4046="pod"),(((D4046/100)*(C4046*VLOOKUP(B4046,'Poids des runes'!A:B,2,FALSE)))+1),(((D4046/100)*(C4046*VLOOKUP(B4046,'Poids des runes'!A:B,2,FALSE)))+1)/VLOOKUP(B4046,'Poids des runes'!A:B,2,FALSE))</f>
        <v>1.2696078431372548</v>
      </c>
      <c r="F4046">
        <f t="shared" si="63"/>
        <v>1.2696078431372548</v>
      </c>
    </row>
    <row r="4047" spans="1:6" x14ac:dyDescent="0.3">
      <c r="A4047" t="s">
        <v>931</v>
      </c>
      <c r="B4047" t="s">
        <v>2143</v>
      </c>
      <c r="C4047">
        <v>4</v>
      </c>
      <c r="D4047">
        <v>125</v>
      </c>
      <c r="E4047">
        <f>IF(OR(B4047="vi",B4047="ii",B4047="pod"),(((D4047/100)*(C4047*VLOOKUP(B4047,'Poids des runes'!A:B,2,FALSE)))+1),(((D4047/100)*(C4047*VLOOKUP(B4047,'Poids des runes'!A:B,2,FALSE)))+1)/VLOOKUP(B4047,'Poids des runes'!A:B,2,FALSE))</f>
        <v>5.2</v>
      </c>
      <c r="F4047">
        <f t="shared" si="63"/>
        <v>5.2</v>
      </c>
    </row>
    <row r="4048" spans="1:6" x14ac:dyDescent="0.3">
      <c r="A4048" t="s">
        <v>931</v>
      </c>
      <c r="B4048" t="s">
        <v>2132</v>
      </c>
      <c r="C4048">
        <v>175.5</v>
      </c>
      <c r="D4048">
        <v>125</v>
      </c>
      <c r="E4048">
        <f>IF(OR(B4048="vi",B4048="ii",B4048="pod"),(((D4048/100)*(C4048*VLOOKUP(B4048,'Poids des runes'!A:B,2,FALSE)))+1),(((D4048/100)*(C4048*VLOOKUP(B4048,'Poids des runes'!A:B,2,FALSE)))+1)/VLOOKUP(B4048,'Poids des runes'!A:B,2,FALSE))</f>
        <v>22.9375</v>
      </c>
      <c r="F4048">
        <f t="shared" si="63"/>
        <v>22.9375</v>
      </c>
    </row>
    <row r="4049" spans="1:6" x14ac:dyDescent="0.3">
      <c r="A4049" t="s">
        <v>931</v>
      </c>
      <c r="B4049" t="s">
        <v>2160</v>
      </c>
      <c r="C4049">
        <v>4</v>
      </c>
      <c r="D4049">
        <v>125</v>
      </c>
      <c r="E4049">
        <f>IF(OR(B4049="vi",B4049="ii",B4049="pod"),(((D4049/100)*(C4049*VLOOKUP(B4049,'Poids des runes'!A:B,2,FALSE)))+1),(((D4049/100)*(C4049*VLOOKUP(B4049,'Poids des runes'!A:B,2,FALSE)))+1)/VLOOKUP(B4049,'Poids des runes'!A:B,2,FALSE))</f>
        <v>5.1428571428571432</v>
      </c>
      <c r="F4049">
        <f t="shared" si="63"/>
        <v>5.1428571428571432</v>
      </c>
    </row>
    <row r="4050" spans="1:6" x14ac:dyDescent="0.3">
      <c r="A4050" t="s">
        <v>931</v>
      </c>
      <c r="B4050" t="s">
        <v>2147</v>
      </c>
      <c r="C4050">
        <v>6</v>
      </c>
      <c r="D4050">
        <v>125</v>
      </c>
      <c r="E4050">
        <f>IF(OR(B4050="vi",B4050="ii",B4050="pod"),(((D4050/100)*(C4050*VLOOKUP(B4050,'Poids des runes'!A:B,2,FALSE)))+1),(((D4050/100)*(C4050*VLOOKUP(B4050,'Poids des runes'!A:B,2,FALSE)))+1)/VLOOKUP(B4050,'Poids des runes'!A:B,2,FALSE))</f>
        <v>7.666666666666667</v>
      </c>
      <c r="F4050">
        <f t="shared" si="63"/>
        <v>7.666666666666667</v>
      </c>
    </row>
    <row r="4051" spans="1:6" x14ac:dyDescent="0.3">
      <c r="A4051" t="s">
        <v>932</v>
      </c>
      <c r="B4051" t="s">
        <v>2128</v>
      </c>
      <c r="C4051">
        <v>175.5</v>
      </c>
      <c r="D4051">
        <v>125</v>
      </c>
      <c r="E4051">
        <f>IF(OR(B4051="vi",B4051="ii",B4051="pod"),(((D4051/100)*(C4051*VLOOKUP(B4051,'Poids des runes'!A:B,2,FALSE)))+1),(((D4051/100)*(C4051*VLOOKUP(B4051,'Poids des runes'!A:B,2,FALSE)))+1)/VLOOKUP(B4051,'Poids des runes'!A:B,2,FALSE))</f>
        <v>44.875</v>
      </c>
      <c r="F4051">
        <f t="shared" si="63"/>
        <v>44.875</v>
      </c>
    </row>
    <row r="4052" spans="1:6" x14ac:dyDescent="0.3">
      <c r="A4052" t="s">
        <v>932</v>
      </c>
      <c r="B4052" t="s">
        <v>2130</v>
      </c>
      <c r="C4052">
        <v>40.5</v>
      </c>
      <c r="D4052">
        <v>125</v>
      </c>
      <c r="E4052">
        <f>IF(OR(B4052="vi",B4052="ii",B4052="pod"),(((D4052/100)*(C4052*VLOOKUP(B4052,'Poids des runes'!A:B,2,FALSE)))+1),(((D4052/100)*(C4052*VLOOKUP(B4052,'Poids des runes'!A:B,2,FALSE)))+1)/VLOOKUP(B4052,'Poids des runes'!A:B,2,FALSE))</f>
        <v>51.625</v>
      </c>
      <c r="F4052">
        <f t="shared" si="63"/>
        <v>51.625</v>
      </c>
    </row>
    <row r="4053" spans="1:6" x14ac:dyDescent="0.3">
      <c r="A4053" t="s">
        <v>932</v>
      </c>
      <c r="B4053" t="s">
        <v>2129</v>
      </c>
      <c r="C4053">
        <v>33</v>
      </c>
      <c r="D4053">
        <v>125</v>
      </c>
      <c r="E4053">
        <f>IF(OR(B4053="vi",B4053="ii",B4053="pod"),(((D4053/100)*(C4053*VLOOKUP(B4053,'Poids des runes'!A:B,2,FALSE)))+1),(((D4053/100)*(C4053*VLOOKUP(B4053,'Poids des runes'!A:B,2,FALSE)))+1)/VLOOKUP(B4053,'Poids des runes'!A:B,2,FALSE))</f>
        <v>42.25</v>
      </c>
      <c r="F4053">
        <f t="shared" si="63"/>
        <v>42.25</v>
      </c>
    </row>
    <row r="4054" spans="1:6" x14ac:dyDescent="0.3">
      <c r="A4054" t="s">
        <v>932</v>
      </c>
      <c r="B4054" t="s">
        <v>2155</v>
      </c>
      <c r="C4054">
        <v>1</v>
      </c>
      <c r="D4054">
        <v>125</v>
      </c>
      <c r="E4054">
        <f>IF(OR(B4054="vi",B4054="ii",B4054="pod"),(((D4054/100)*(C4054*VLOOKUP(B4054,'Poids des runes'!A:B,2,FALSE)))+1),(((D4054/100)*(C4054*VLOOKUP(B4054,'Poids des runes'!A:B,2,FALSE)))+1)/VLOOKUP(B4054,'Poids des runes'!A:B,2,FALSE))</f>
        <v>1.2696078431372548</v>
      </c>
      <c r="F4054">
        <f t="shared" si="63"/>
        <v>1.2696078431372548</v>
      </c>
    </row>
    <row r="4055" spans="1:6" x14ac:dyDescent="0.3">
      <c r="A4055" t="s">
        <v>932</v>
      </c>
      <c r="B4055" t="s">
        <v>2134</v>
      </c>
      <c r="C4055">
        <v>5</v>
      </c>
      <c r="D4055">
        <v>125</v>
      </c>
      <c r="E4055">
        <f>IF(OR(B4055="vi",B4055="ii",B4055="pod"),(((D4055/100)*(C4055*VLOOKUP(B4055,'Poids des runes'!A:B,2,FALSE)))+1),(((D4055/100)*(C4055*VLOOKUP(B4055,'Poids des runes'!A:B,2,FALSE)))+1)/VLOOKUP(B4055,'Poids des runes'!A:B,2,FALSE))</f>
        <v>6.3</v>
      </c>
      <c r="F4055">
        <f t="shared" si="63"/>
        <v>6.3</v>
      </c>
    </row>
    <row r="4056" spans="1:6" x14ac:dyDescent="0.3">
      <c r="A4056" t="s">
        <v>932</v>
      </c>
      <c r="B4056" t="s">
        <v>2161</v>
      </c>
      <c r="C4056">
        <v>15.5</v>
      </c>
      <c r="D4056">
        <v>125</v>
      </c>
      <c r="E4056">
        <f>IF(OR(B4056="vi",B4056="ii",B4056="pod"),(((D4056/100)*(C4056*VLOOKUP(B4056,'Poids des runes'!A:B,2,FALSE)))+1),(((D4056/100)*(C4056*VLOOKUP(B4056,'Poids des runes'!A:B,2,FALSE)))+1)/VLOOKUP(B4056,'Poids des runes'!A:B,2,FALSE))</f>
        <v>19.708333333333332</v>
      </c>
      <c r="F4056">
        <f t="shared" si="63"/>
        <v>19.708333333333332</v>
      </c>
    </row>
    <row r="4057" spans="1:6" x14ac:dyDescent="0.3">
      <c r="A4057" t="s">
        <v>932</v>
      </c>
      <c r="B4057" t="s">
        <v>2156</v>
      </c>
      <c r="C4057">
        <v>3.5</v>
      </c>
      <c r="D4057">
        <v>125</v>
      </c>
      <c r="E4057">
        <f>IF(OR(B4057="vi",B4057="ii",B4057="pod"),(((D4057/100)*(C4057*VLOOKUP(B4057,'Poids des runes'!A:B,2,FALSE)))+1),(((D4057/100)*(C4057*VLOOKUP(B4057,'Poids des runes'!A:B,2,FALSE)))+1)/VLOOKUP(B4057,'Poids des runes'!A:B,2,FALSE))</f>
        <v>4.541666666666667</v>
      </c>
      <c r="F4057">
        <f t="shared" si="63"/>
        <v>4.541666666666667</v>
      </c>
    </row>
    <row r="4058" spans="1:6" x14ac:dyDescent="0.3">
      <c r="A4058" t="s">
        <v>932</v>
      </c>
      <c r="B4058" t="s">
        <v>2135</v>
      </c>
      <c r="C4058">
        <v>3.5</v>
      </c>
      <c r="D4058">
        <v>125</v>
      </c>
      <c r="E4058">
        <f>IF(OR(B4058="vi",B4058="ii",B4058="pod"),(((D4058/100)*(C4058*VLOOKUP(B4058,'Poids des runes'!A:B,2,FALSE)))+1),(((D4058/100)*(C4058*VLOOKUP(B4058,'Poids des runes'!A:B,2,FALSE)))+1)/VLOOKUP(B4058,'Poids des runes'!A:B,2,FALSE))</f>
        <v>4.541666666666667</v>
      </c>
      <c r="F4058">
        <f t="shared" si="63"/>
        <v>4.541666666666667</v>
      </c>
    </row>
    <row r="4059" spans="1:6" x14ac:dyDescent="0.3">
      <c r="A4059" t="s">
        <v>933</v>
      </c>
      <c r="B4059" t="s">
        <v>2127</v>
      </c>
      <c r="C4059">
        <v>50</v>
      </c>
      <c r="D4059">
        <v>125</v>
      </c>
      <c r="E4059">
        <f>IF(OR(B4059="vi",B4059="ii",B4059="pod"),(((D4059/100)*(C4059*VLOOKUP(B4059,'Poids des runes'!A:B,2,FALSE)))+1),(((D4059/100)*(C4059*VLOOKUP(B4059,'Poids des runes'!A:B,2,FALSE)))+1)/VLOOKUP(B4059,'Poids des runes'!A:B,2,FALSE))</f>
        <v>63.5</v>
      </c>
      <c r="F4059">
        <f t="shared" si="63"/>
        <v>63.5</v>
      </c>
    </row>
    <row r="4060" spans="1:6" x14ac:dyDescent="0.3">
      <c r="A4060" t="s">
        <v>934</v>
      </c>
      <c r="B4060" t="s">
        <v>2130</v>
      </c>
      <c r="C4060">
        <v>50</v>
      </c>
      <c r="D4060">
        <v>125</v>
      </c>
      <c r="E4060">
        <f>IF(OR(B4060="vi",B4060="ii",B4060="pod"),(((D4060/100)*(C4060*VLOOKUP(B4060,'Poids des runes'!A:B,2,FALSE)))+1),(((D4060/100)*(C4060*VLOOKUP(B4060,'Poids des runes'!A:B,2,FALSE)))+1)/VLOOKUP(B4060,'Poids des runes'!A:B,2,FALSE))</f>
        <v>63.5</v>
      </c>
      <c r="F4060">
        <f t="shared" si="63"/>
        <v>63.5</v>
      </c>
    </row>
    <row r="4061" spans="1:6" x14ac:dyDescent="0.3">
      <c r="A4061" t="s">
        <v>935</v>
      </c>
      <c r="B4061" t="s">
        <v>2131</v>
      </c>
      <c r="C4061">
        <v>50</v>
      </c>
      <c r="D4061">
        <v>125</v>
      </c>
      <c r="E4061">
        <f>IF(OR(B4061="vi",B4061="ii",B4061="pod"),(((D4061/100)*(C4061*VLOOKUP(B4061,'Poids des runes'!A:B,2,FALSE)))+1),(((D4061/100)*(C4061*VLOOKUP(B4061,'Poids des runes'!A:B,2,FALSE)))+1)/VLOOKUP(B4061,'Poids des runes'!A:B,2,FALSE))</f>
        <v>63.5</v>
      </c>
      <c r="F4061">
        <f t="shared" si="63"/>
        <v>63.5</v>
      </c>
    </row>
    <row r="4062" spans="1:6" x14ac:dyDescent="0.3">
      <c r="A4062" t="s">
        <v>936</v>
      </c>
      <c r="B4062" t="s">
        <v>2126</v>
      </c>
      <c r="C4062">
        <v>50</v>
      </c>
      <c r="D4062">
        <v>125</v>
      </c>
      <c r="E4062">
        <f>IF(OR(B4062="vi",B4062="ii",B4062="pod"),(((D4062/100)*(C4062*VLOOKUP(B4062,'Poids des runes'!A:B,2,FALSE)))+1),(((D4062/100)*(C4062*VLOOKUP(B4062,'Poids des runes'!A:B,2,FALSE)))+1)/VLOOKUP(B4062,'Poids des runes'!A:B,2,FALSE))</f>
        <v>63.5</v>
      </c>
      <c r="F4062">
        <f t="shared" si="63"/>
        <v>63.5</v>
      </c>
    </row>
    <row r="4063" spans="1:6" x14ac:dyDescent="0.3">
      <c r="A4063" t="s">
        <v>937</v>
      </c>
      <c r="B4063" t="s">
        <v>2143</v>
      </c>
      <c r="C4063">
        <v>10</v>
      </c>
      <c r="D4063">
        <v>125</v>
      </c>
      <c r="E4063">
        <f>IF(OR(B4063="vi",B4063="ii",B4063="pod"),(((D4063/100)*(C4063*VLOOKUP(B4063,'Poids des runes'!A:B,2,FALSE)))+1),(((D4063/100)*(C4063*VLOOKUP(B4063,'Poids des runes'!A:B,2,FALSE)))+1)/VLOOKUP(B4063,'Poids des runes'!A:B,2,FALSE))</f>
        <v>12.7</v>
      </c>
      <c r="F4063">
        <f t="shared" si="63"/>
        <v>12.7</v>
      </c>
    </row>
    <row r="4064" spans="1:6" x14ac:dyDescent="0.3">
      <c r="A4064" t="s">
        <v>938</v>
      </c>
      <c r="B4064" t="s">
        <v>2153</v>
      </c>
      <c r="C4064">
        <v>10</v>
      </c>
      <c r="D4064">
        <v>125</v>
      </c>
      <c r="E4064">
        <f>IF(OR(B4064="vi",B4064="ii",B4064="pod"),(((D4064/100)*(C4064*VLOOKUP(B4064,'Poids des runes'!A:B,2,FALSE)))+1),(((D4064/100)*(C4064*VLOOKUP(B4064,'Poids des runes'!A:B,2,FALSE)))+1)/VLOOKUP(B4064,'Poids des runes'!A:B,2,FALSE))</f>
        <v>12.7</v>
      </c>
      <c r="F4064">
        <f t="shared" si="63"/>
        <v>12.7</v>
      </c>
    </row>
    <row r="4065" spans="1:6" x14ac:dyDescent="0.3">
      <c r="A4065" t="s">
        <v>939</v>
      </c>
      <c r="B4065" t="s">
        <v>2133</v>
      </c>
      <c r="C4065">
        <v>10</v>
      </c>
      <c r="D4065">
        <v>125</v>
      </c>
      <c r="E4065">
        <f>IF(OR(B4065="vi",B4065="ii",B4065="pod"),(((D4065/100)*(C4065*VLOOKUP(B4065,'Poids des runes'!A:B,2,FALSE)))+1),(((D4065/100)*(C4065*VLOOKUP(B4065,'Poids des runes'!A:B,2,FALSE)))+1)/VLOOKUP(B4065,'Poids des runes'!A:B,2,FALSE))</f>
        <v>12.7</v>
      </c>
      <c r="F4065">
        <f t="shared" si="63"/>
        <v>12.7</v>
      </c>
    </row>
    <row r="4066" spans="1:6" x14ac:dyDescent="0.3">
      <c r="A4066" t="s">
        <v>940</v>
      </c>
      <c r="B4066" t="s">
        <v>2140</v>
      </c>
      <c r="C4066">
        <v>10</v>
      </c>
      <c r="D4066">
        <v>125</v>
      </c>
      <c r="E4066">
        <f>IF(OR(B4066="vi",B4066="ii",B4066="pod"),(((D4066/100)*(C4066*VLOOKUP(B4066,'Poids des runes'!A:B,2,FALSE)))+1),(((D4066/100)*(C4066*VLOOKUP(B4066,'Poids des runes'!A:B,2,FALSE)))+1)/VLOOKUP(B4066,'Poids des runes'!A:B,2,FALSE))</f>
        <v>12.7</v>
      </c>
      <c r="F4066">
        <f t="shared" si="63"/>
        <v>12.7</v>
      </c>
    </row>
    <row r="4067" spans="1:6" x14ac:dyDescent="0.3">
      <c r="A4067" t="s">
        <v>941</v>
      </c>
      <c r="B4067" t="s">
        <v>2142</v>
      </c>
      <c r="C4067">
        <v>32</v>
      </c>
      <c r="D4067">
        <v>125</v>
      </c>
      <c r="E4067">
        <f>IF(OR(B4067="vi",B4067="ii",B4067="pod"),(((D4067/100)*(C4067*VLOOKUP(B4067,'Poids des runes'!A:B,2,FALSE)))+1),(((D4067/100)*(C4067*VLOOKUP(B4067,'Poids des runes'!A:B,2,FALSE)))+1)/VLOOKUP(B4067,'Poids des runes'!A:B,2,FALSE))</f>
        <v>40.200000000000003</v>
      </c>
      <c r="F4067">
        <f t="shared" si="63"/>
        <v>40.200000000000003</v>
      </c>
    </row>
    <row r="4068" spans="1:6" x14ac:dyDescent="0.3">
      <c r="A4068" t="s">
        <v>942</v>
      </c>
      <c r="B4068" t="s">
        <v>2164</v>
      </c>
      <c r="C4068">
        <v>48</v>
      </c>
      <c r="D4068">
        <v>125</v>
      </c>
      <c r="E4068">
        <f>IF(OR(B4068="vi",B4068="ii",B4068="pod"),(((D4068/100)*(C4068*VLOOKUP(B4068,'Poids des runes'!A:B,2,FALSE)))+1),(((D4068/100)*(C4068*VLOOKUP(B4068,'Poids des runes'!A:B,2,FALSE)))+1)/VLOOKUP(B4068,'Poids des runes'!A:B,2,FALSE))</f>
        <v>60.5</v>
      </c>
      <c r="F4068">
        <f t="shared" si="63"/>
        <v>60.5</v>
      </c>
    </row>
    <row r="4069" spans="1:6" x14ac:dyDescent="0.3">
      <c r="A4069" t="s">
        <v>943</v>
      </c>
      <c r="B4069" t="s">
        <v>2138</v>
      </c>
      <c r="C4069">
        <v>16</v>
      </c>
      <c r="D4069">
        <v>125</v>
      </c>
      <c r="E4069">
        <f>IF(OR(B4069="vi",B4069="ii",B4069="pod"),(((D4069/100)*(C4069*VLOOKUP(B4069,'Poids des runes'!A:B,2,FALSE)))+1),(((D4069/100)*(C4069*VLOOKUP(B4069,'Poids des runes'!A:B,2,FALSE)))+1)/VLOOKUP(B4069,'Poids des runes'!A:B,2,FALSE))</f>
        <v>20.25</v>
      </c>
      <c r="F4069">
        <f t="shared" si="63"/>
        <v>20.25</v>
      </c>
    </row>
    <row r="4070" spans="1:6" x14ac:dyDescent="0.3">
      <c r="A4070" t="s">
        <v>944</v>
      </c>
      <c r="B4070" t="s">
        <v>2141</v>
      </c>
      <c r="C4070">
        <v>16</v>
      </c>
      <c r="D4070">
        <v>125</v>
      </c>
      <c r="E4070">
        <f>IF(OR(B4070="vi",B4070="ii",B4070="pod"),(((D4070/100)*(C4070*VLOOKUP(B4070,'Poids des runes'!A:B,2,FALSE)))+1),(((D4070/100)*(C4070*VLOOKUP(B4070,'Poids des runes'!A:B,2,FALSE)))+1)/VLOOKUP(B4070,'Poids des runes'!A:B,2,FALSE))</f>
        <v>20.25</v>
      </c>
      <c r="F4070">
        <f t="shared" si="63"/>
        <v>20.25</v>
      </c>
    </row>
    <row r="4071" spans="1:6" x14ac:dyDescent="0.3">
      <c r="A4071" t="s">
        <v>945</v>
      </c>
      <c r="B4071" t="s">
        <v>2162</v>
      </c>
      <c r="C4071">
        <v>16</v>
      </c>
      <c r="D4071">
        <v>125</v>
      </c>
      <c r="E4071">
        <f>IF(OR(B4071="vi",B4071="ii",B4071="pod"),(((D4071/100)*(C4071*VLOOKUP(B4071,'Poids des runes'!A:B,2,FALSE)))+1),(((D4071/100)*(C4071*VLOOKUP(B4071,'Poids des runes'!A:B,2,FALSE)))+1)/VLOOKUP(B4071,'Poids des runes'!A:B,2,FALSE))</f>
        <v>20.142857142857142</v>
      </c>
      <c r="F4071">
        <f t="shared" si="63"/>
        <v>20.142857142857142</v>
      </c>
    </row>
    <row r="4072" spans="1:6" x14ac:dyDescent="0.3">
      <c r="A4072" t="s">
        <v>946</v>
      </c>
      <c r="B4072" t="s">
        <v>2160</v>
      </c>
      <c r="C4072">
        <v>12</v>
      </c>
      <c r="D4072">
        <v>125</v>
      </c>
      <c r="E4072">
        <f>IF(OR(B4072="vi",B4072="ii",B4072="pod"),(((D4072/100)*(C4072*VLOOKUP(B4072,'Poids des runes'!A:B,2,FALSE)))+1),(((D4072/100)*(C4072*VLOOKUP(B4072,'Poids des runes'!A:B,2,FALSE)))+1)/VLOOKUP(B4072,'Poids des runes'!A:B,2,FALSE))</f>
        <v>15.142857142857142</v>
      </c>
      <c r="F4072">
        <f t="shared" si="63"/>
        <v>15.142857142857142</v>
      </c>
    </row>
    <row r="4073" spans="1:6" x14ac:dyDescent="0.3">
      <c r="A4073" t="s">
        <v>947</v>
      </c>
      <c r="B4073" t="s">
        <v>2165</v>
      </c>
      <c r="C4073">
        <v>16</v>
      </c>
      <c r="D4073">
        <v>125</v>
      </c>
      <c r="E4073">
        <f>IF(OR(B4073="vi",B4073="ii",B4073="pod"),(((D4073/100)*(C4073*VLOOKUP(B4073,'Poids des runes'!A:B,2,FALSE)))+1),(((D4073/100)*(C4073*VLOOKUP(B4073,'Poids des runes'!A:B,2,FALSE)))+1)/VLOOKUP(B4073,'Poids des runes'!A:B,2,FALSE))</f>
        <v>20.142857142857142</v>
      </c>
      <c r="F4073">
        <f t="shared" si="63"/>
        <v>20.142857142857142</v>
      </c>
    </row>
    <row r="4074" spans="1:6" x14ac:dyDescent="0.3">
      <c r="A4074" t="s">
        <v>948</v>
      </c>
      <c r="B4074" t="s">
        <v>2159</v>
      </c>
      <c r="C4074">
        <v>12</v>
      </c>
      <c r="D4074">
        <v>125</v>
      </c>
      <c r="E4074">
        <f>IF(OR(B4074="vi",B4074="ii",B4074="pod"),(((D4074/100)*(C4074*VLOOKUP(B4074,'Poids des runes'!A:B,2,FALSE)))+1),(((D4074/100)*(C4074*VLOOKUP(B4074,'Poids des runes'!A:B,2,FALSE)))+1)/VLOOKUP(B4074,'Poids des runes'!A:B,2,FALSE))</f>
        <v>15.142857142857142</v>
      </c>
      <c r="F4074">
        <f t="shared" si="63"/>
        <v>15.142857142857142</v>
      </c>
    </row>
    <row r="4075" spans="1:6" x14ac:dyDescent="0.3">
      <c r="A4075" t="s">
        <v>949</v>
      </c>
      <c r="B4075" t="s">
        <v>2149</v>
      </c>
      <c r="C4075">
        <v>16</v>
      </c>
      <c r="D4075">
        <v>125</v>
      </c>
      <c r="E4075">
        <f>IF(OR(B4075="vi",B4075="ii",B4075="pod"),(((D4075/100)*(C4075*VLOOKUP(B4075,'Poids des runes'!A:B,2,FALSE)))+1),(((D4075/100)*(C4075*VLOOKUP(B4075,'Poids des runes'!A:B,2,FALSE)))+1)/VLOOKUP(B4075,'Poids des runes'!A:B,2,FALSE))</f>
        <v>20.100000000000001</v>
      </c>
      <c r="F4075">
        <f t="shared" si="63"/>
        <v>20.100000000000001</v>
      </c>
    </row>
    <row r="4076" spans="1:6" x14ac:dyDescent="0.3">
      <c r="A4076" t="s">
        <v>950</v>
      </c>
      <c r="B4076" t="s">
        <v>2132</v>
      </c>
      <c r="C4076">
        <v>400</v>
      </c>
      <c r="D4076">
        <v>125</v>
      </c>
      <c r="E4076">
        <f>IF(OR(B4076="vi",B4076="ii",B4076="pod"),(((D4076/100)*(C4076*VLOOKUP(B4076,'Poids des runes'!A:B,2,FALSE)))+1),(((D4076/100)*(C4076*VLOOKUP(B4076,'Poids des runes'!A:B,2,FALSE)))+1)/VLOOKUP(B4076,'Poids des runes'!A:B,2,FALSE))</f>
        <v>51</v>
      </c>
      <c r="F4076">
        <f t="shared" si="63"/>
        <v>51</v>
      </c>
    </row>
    <row r="4077" spans="1:6" x14ac:dyDescent="0.3">
      <c r="A4077" t="s">
        <v>951</v>
      </c>
      <c r="B4077" t="s">
        <v>2163</v>
      </c>
      <c r="C4077">
        <v>16</v>
      </c>
      <c r="D4077">
        <v>125</v>
      </c>
      <c r="E4077">
        <f>IF(OR(B4077="vi",B4077="ii",B4077="pod"),(((D4077/100)*(C4077*VLOOKUP(B4077,'Poids des runes'!A:B,2,FALSE)))+1),(((D4077/100)*(C4077*VLOOKUP(B4077,'Poids des runes'!A:B,2,FALSE)))+1)/VLOOKUP(B4077,'Poids des runes'!A:B,2,FALSE))</f>
        <v>20.5</v>
      </c>
      <c r="F4077">
        <f t="shared" si="63"/>
        <v>20.5</v>
      </c>
    </row>
    <row r="4078" spans="1:6" x14ac:dyDescent="0.3">
      <c r="A4078" t="s">
        <v>952</v>
      </c>
      <c r="B4078" t="s">
        <v>2134</v>
      </c>
      <c r="C4078">
        <v>6</v>
      </c>
      <c r="D4078">
        <v>125</v>
      </c>
      <c r="E4078">
        <f>IF(OR(B4078="vi",B4078="ii",B4078="pod"),(((D4078/100)*(C4078*VLOOKUP(B4078,'Poids des runes'!A:B,2,FALSE)))+1),(((D4078/100)*(C4078*VLOOKUP(B4078,'Poids des runes'!A:B,2,FALSE)))+1)/VLOOKUP(B4078,'Poids des runes'!A:B,2,FALSE))</f>
        <v>7.55</v>
      </c>
      <c r="F4078">
        <f t="shared" si="63"/>
        <v>7.55</v>
      </c>
    </row>
    <row r="4079" spans="1:6" x14ac:dyDescent="0.3">
      <c r="A4079" t="s">
        <v>953</v>
      </c>
      <c r="B4079" t="s">
        <v>2139</v>
      </c>
      <c r="C4079">
        <v>40</v>
      </c>
      <c r="D4079">
        <v>125</v>
      </c>
      <c r="E4079">
        <f>IF(OR(B4079="vi",B4079="ii",B4079="pod"),(((D4079/100)*(C4079*VLOOKUP(B4079,'Poids des runes'!A:B,2,FALSE)))+1),(((D4079/100)*(C4079*VLOOKUP(B4079,'Poids des runes'!A:B,2,FALSE)))+1)/VLOOKUP(B4079,'Poids des runes'!A:B,2,FALSE))</f>
        <v>50.5</v>
      </c>
      <c r="F4079">
        <f t="shared" si="63"/>
        <v>50.5</v>
      </c>
    </row>
    <row r="4080" spans="1:6" x14ac:dyDescent="0.3">
      <c r="A4080" t="s">
        <v>954</v>
      </c>
      <c r="B4080" t="s">
        <v>2154</v>
      </c>
      <c r="C4080">
        <v>1</v>
      </c>
      <c r="D4080">
        <v>125</v>
      </c>
      <c r="E4080">
        <f>IF(OR(B4080="vi",B4080="ii",B4080="pod"),(((D4080/100)*(C4080*VLOOKUP(B4080,'Poids des runes'!A:B,2,FALSE)))+1),(((D4080/100)*(C4080*VLOOKUP(B4080,'Poids des runes'!A:B,2,FALSE)))+1)/VLOOKUP(B4080,'Poids des runes'!A:B,2,FALSE))</f>
        <v>1.2611111111111111</v>
      </c>
      <c r="F4080">
        <f t="shared" si="63"/>
        <v>1.2611111111111111</v>
      </c>
    </row>
    <row r="4081" spans="1:6" x14ac:dyDescent="0.3">
      <c r="A4081" t="s">
        <v>955</v>
      </c>
      <c r="B4081" t="s">
        <v>2152</v>
      </c>
      <c r="C4081">
        <v>1</v>
      </c>
      <c r="D4081">
        <v>125</v>
      </c>
      <c r="E4081">
        <f>IF(OR(B4081="vi",B4081="ii",B4081="pod"),(((D4081/100)*(C4081*VLOOKUP(B4081,'Poids des runes'!A:B,2,FALSE)))+1),(((D4081/100)*(C4081*VLOOKUP(B4081,'Poids des runes'!A:B,2,FALSE)))+1)/VLOOKUP(B4081,'Poids des runes'!A:B,2,FALSE))</f>
        <v>1.26</v>
      </c>
      <c r="F4081">
        <f t="shared" si="63"/>
        <v>1.26</v>
      </c>
    </row>
    <row r="4082" spans="1:6" x14ac:dyDescent="0.3">
      <c r="A4082" t="s">
        <v>956</v>
      </c>
      <c r="B4082" t="s">
        <v>2128</v>
      </c>
      <c r="C4082">
        <v>120</v>
      </c>
      <c r="D4082">
        <v>125</v>
      </c>
      <c r="E4082">
        <f>IF(OR(B4082="vi",B4082="ii",B4082="pod"),(((D4082/100)*(C4082*VLOOKUP(B4082,'Poids des runes'!A:B,2,FALSE)))+1),(((D4082/100)*(C4082*VLOOKUP(B4082,'Poids des runes'!A:B,2,FALSE)))+1)/VLOOKUP(B4082,'Poids des runes'!A:B,2,FALSE))</f>
        <v>31</v>
      </c>
      <c r="F4082">
        <f t="shared" si="63"/>
        <v>31</v>
      </c>
    </row>
    <row r="4083" spans="1:6" x14ac:dyDescent="0.3">
      <c r="A4083" t="s">
        <v>957</v>
      </c>
      <c r="B4083" t="s">
        <v>2128</v>
      </c>
      <c r="C4083">
        <v>55.5</v>
      </c>
      <c r="D4083">
        <v>126</v>
      </c>
      <c r="E4083">
        <f>IF(OR(B4083="vi",B4083="ii",B4083="pod"),(((D4083/100)*(C4083*VLOOKUP(B4083,'Poids des runes'!A:B,2,FALSE)))+1),(((D4083/100)*(C4083*VLOOKUP(B4083,'Poids des runes'!A:B,2,FALSE)))+1)/VLOOKUP(B4083,'Poids des runes'!A:B,2,FALSE))</f>
        <v>14.986000000000002</v>
      </c>
      <c r="F4083">
        <f t="shared" si="63"/>
        <v>14.986000000000002</v>
      </c>
    </row>
    <row r="4084" spans="1:6" x14ac:dyDescent="0.3">
      <c r="A4084" t="s">
        <v>957</v>
      </c>
      <c r="B4084" t="s">
        <v>2130</v>
      </c>
      <c r="C4084">
        <v>40.5</v>
      </c>
      <c r="D4084">
        <v>126</v>
      </c>
      <c r="E4084">
        <f>IF(OR(B4084="vi",B4084="ii",B4084="pod"),(((D4084/100)*(C4084*VLOOKUP(B4084,'Poids des runes'!A:B,2,FALSE)))+1),(((D4084/100)*(C4084*VLOOKUP(B4084,'Poids des runes'!A:B,2,FALSE)))+1)/VLOOKUP(B4084,'Poids des runes'!A:B,2,FALSE))</f>
        <v>52.03</v>
      </c>
      <c r="F4084">
        <f t="shared" si="63"/>
        <v>52.03</v>
      </c>
    </row>
    <row r="4085" spans="1:6" x14ac:dyDescent="0.3">
      <c r="A4085" t="s">
        <v>957</v>
      </c>
      <c r="B4085" t="s">
        <v>2129</v>
      </c>
      <c r="C4085">
        <v>35.5</v>
      </c>
      <c r="D4085">
        <v>126</v>
      </c>
      <c r="E4085">
        <f>IF(OR(B4085="vi",B4085="ii",B4085="pod"),(((D4085/100)*(C4085*VLOOKUP(B4085,'Poids des runes'!A:B,2,FALSE)))+1),(((D4085/100)*(C4085*VLOOKUP(B4085,'Poids des runes'!A:B,2,FALSE)))+1)/VLOOKUP(B4085,'Poids des runes'!A:B,2,FALSE))</f>
        <v>45.73</v>
      </c>
      <c r="F4085">
        <f t="shared" si="63"/>
        <v>45.73</v>
      </c>
    </row>
    <row r="4086" spans="1:6" x14ac:dyDescent="0.3">
      <c r="A4086" t="s">
        <v>957</v>
      </c>
      <c r="B4086" t="s">
        <v>2152</v>
      </c>
      <c r="C4086">
        <v>1</v>
      </c>
      <c r="D4086">
        <v>126</v>
      </c>
      <c r="E4086">
        <f>IF(OR(B4086="vi",B4086="ii",B4086="pod"),(((D4086/100)*(C4086*VLOOKUP(B4086,'Poids des runes'!A:B,2,FALSE)))+1),(((D4086/100)*(C4086*VLOOKUP(B4086,'Poids des runes'!A:B,2,FALSE)))+1)/VLOOKUP(B4086,'Poids des runes'!A:B,2,FALSE))</f>
        <v>1.27</v>
      </c>
      <c r="F4086">
        <f t="shared" si="63"/>
        <v>1.27</v>
      </c>
    </row>
    <row r="4087" spans="1:6" x14ac:dyDescent="0.3">
      <c r="A4087" t="s">
        <v>957</v>
      </c>
      <c r="B4087" t="s">
        <v>2155</v>
      </c>
      <c r="C4087">
        <v>1</v>
      </c>
      <c r="D4087">
        <v>126</v>
      </c>
      <c r="E4087">
        <f>IF(OR(B4087="vi",B4087="ii",B4087="pod"),(((D4087/100)*(C4087*VLOOKUP(B4087,'Poids des runes'!A:B,2,FALSE)))+1),(((D4087/100)*(C4087*VLOOKUP(B4087,'Poids des runes'!A:B,2,FALSE)))+1)/VLOOKUP(B4087,'Poids des runes'!A:B,2,FALSE))</f>
        <v>1.2796078431372551</v>
      </c>
      <c r="F4087">
        <f t="shared" si="63"/>
        <v>1.2796078431372551</v>
      </c>
    </row>
    <row r="4088" spans="1:6" x14ac:dyDescent="0.3">
      <c r="A4088" t="s">
        <v>957</v>
      </c>
      <c r="B4088" t="s">
        <v>2134</v>
      </c>
      <c r="C4088">
        <v>8</v>
      </c>
      <c r="D4088">
        <v>126</v>
      </c>
      <c r="E4088">
        <f>IF(OR(B4088="vi",B4088="ii",B4088="pod"),(((D4088/100)*(C4088*VLOOKUP(B4088,'Poids des runes'!A:B,2,FALSE)))+1),(((D4088/100)*(C4088*VLOOKUP(B4088,'Poids des runes'!A:B,2,FALSE)))+1)/VLOOKUP(B4088,'Poids des runes'!A:B,2,FALSE))</f>
        <v>10.129999999999999</v>
      </c>
      <c r="F4088">
        <f t="shared" si="63"/>
        <v>10.129999999999999</v>
      </c>
    </row>
    <row r="4089" spans="1:6" x14ac:dyDescent="0.3">
      <c r="A4089" t="s">
        <v>957</v>
      </c>
      <c r="B4089" t="s">
        <v>2161</v>
      </c>
      <c r="C4089">
        <v>13</v>
      </c>
      <c r="D4089">
        <v>126</v>
      </c>
      <c r="E4089">
        <f>IF(OR(B4089="vi",B4089="ii",B4089="pod"),(((D4089/100)*(C4089*VLOOKUP(B4089,'Poids des runes'!A:B,2,FALSE)))+1),(((D4089/100)*(C4089*VLOOKUP(B4089,'Poids des runes'!A:B,2,FALSE)))+1)/VLOOKUP(B4089,'Poids des runes'!A:B,2,FALSE))</f>
        <v>16.713333333333335</v>
      </c>
      <c r="F4089">
        <f t="shared" si="63"/>
        <v>16.713333333333335</v>
      </c>
    </row>
    <row r="4090" spans="1:6" x14ac:dyDescent="0.3">
      <c r="A4090" t="s">
        <v>957</v>
      </c>
      <c r="B4090" t="s">
        <v>2148</v>
      </c>
      <c r="C4090">
        <v>4</v>
      </c>
      <c r="D4090">
        <v>126</v>
      </c>
      <c r="E4090">
        <f>IF(OR(B4090="vi",B4090="ii",B4090="pod"),(((D4090/100)*(C4090*VLOOKUP(B4090,'Poids des runes'!A:B,2,FALSE)))+1),(((D4090/100)*(C4090*VLOOKUP(B4090,'Poids des runes'!A:B,2,FALSE)))+1)/VLOOKUP(B4090,'Poids des runes'!A:B,2,FALSE))</f>
        <v>5.206666666666667</v>
      </c>
      <c r="F4090">
        <f t="shared" si="63"/>
        <v>5.206666666666667</v>
      </c>
    </row>
    <row r="4091" spans="1:6" x14ac:dyDescent="0.3">
      <c r="A4091" t="s">
        <v>958</v>
      </c>
      <c r="B4091" t="s">
        <v>2128</v>
      </c>
      <c r="C4091">
        <v>175.5</v>
      </c>
      <c r="D4091">
        <v>126</v>
      </c>
      <c r="E4091">
        <f>IF(OR(B4091="vi",B4091="ii",B4091="pod"),(((D4091/100)*(C4091*VLOOKUP(B4091,'Poids des runes'!A:B,2,FALSE)))+1),(((D4091/100)*(C4091*VLOOKUP(B4091,'Poids des runes'!A:B,2,FALSE)))+1)/VLOOKUP(B4091,'Poids des runes'!A:B,2,FALSE))</f>
        <v>45.225999999999999</v>
      </c>
      <c r="F4091">
        <f t="shared" si="63"/>
        <v>45.225999999999999</v>
      </c>
    </row>
    <row r="4092" spans="1:6" x14ac:dyDescent="0.3">
      <c r="A4092" t="s">
        <v>958</v>
      </c>
      <c r="B4092" t="s">
        <v>2131</v>
      </c>
      <c r="C4092">
        <v>40.5</v>
      </c>
      <c r="D4092">
        <v>126</v>
      </c>
      <c r="E4092">
        <f>IF(OR(B4092="vi",B4092="ii",B4092="pod"),(((D4092/100)*(C4092*VLOOKUP(B4092,'Poids des runes'!A:B,2,FALSE)))+1),(((D4092/100)*(C4092*VLOOKUP(B4092,'Poids des runes'!A:B,2,FALSE)))+1)/VLOOKUP(B4092,'Poids des runes'!A:B,2,FALSE))</f>
        <v>52.03</v>
      </c>
      <c r="F4092">
        <f t="shared" si="63"/>
        <v>52.03</v>
      </c>
    </row>
    <row r="4093" spans="1:6" x14ac:dyDescent="0.3">
      <c r="A4093" t="s">
        <v>958</v>
      </c>
      <c r="B4093" t="s">
        <v>2129</v>
      </c>
      <c r="C4093">
        <v>20.5</v>
      </c>
      <c r="D4093">
        <v>126</v>
      </c>
      <c r="E4093">
        <f>IF(OR(B4093="vi",B4093="ii",B4093="pod"),(((D4093/100)*(C4093*VLOOKUP(B4093,'Poids des runes'!A:B,2,FALSE)))+1),(((D4093/100)*(C4093*VLOOKUP(B4093,'Poids des runes'!A:B,2,FALSE)))+1)/VLOOKUP(B4093,'Poids des runes'!A:B,2,FALSE))</f>
        <v>26.830000000000002</v>
      </c>
      <c r="F4093">
        <f t="shared" si="63"/>
        <v>26.830000000000002</v>
      </c>
    </row>
    <row r="4094" spans="1:6" x14ac:dyDescent="0.3">
      <c r="A4094" t="s">
        <v>958</v>
      </c>
      <c r="B4094" t="s">
        <v>2155</v>
      </c>
      <c r="C4094">
        <v>1</v>
      </c>
      <c r="D4094">
        <v>126</v>
      </c>
      <c r="E4094">
        <f>IF(OR(B4094="vi",B4094="ii",B4094="pod"),(((D4094/100)*(C4094*VLOOKUP(B4094,'Poids des runes'!A:B,2,FALSE)))+1),(((D4094/100)*(C4094*VLOOKUP(B4094,'Poids des runes'!A:B,2,FALSE)))+1)/VLOOKUP(B4094,'Poids des runes'!A:B,2,FALSE))</f>
        <v>1.2796078431372551</v>
      </c>
      <c r="F4094">
        <f t="shared" si="63"/>
        <v>1.2796078431372551</v>
      </c>
    </row>
    <row r="4095" spans="1:6" x14ac:dyDescent="0.3">
      <c r="A4095" t="s">
        <v>958</v>
      </c>
      <c r="B4095" t="s">
        <v>2133</v>
      </c>
      <c r="C4095">
        <v>8.5</v>
      </c>
      <c r="D4095">
        <v>126</v>
      </c>
      <c r="E4095">
        <f>IF(OR(B4095="vi",B4095="ii",B4095="pod"),(((D4095/100)*(C4095*VLOOKUP(B4095,'Poids des runes'!A:B,2,FALSE)))+1),(((D4095/100)*(C4095*VLOOKUP(B4095,'Poids des runes'!A:B,2,FALSE)))+1)/VLOOKUP(B4095,'Poids des runes'!A:B,2,FALSE))</f>
        <v>10.91</v>
      </c>
      <c r="F4095">
        <f t="shared" si="63"/>
        <v>10.91</v>
      </c>
    </row>
    <row r="4096" spans="1:6" x14ac:dyDescent="0.3">
      <c r="A4096" t="s">
        <v>958</v>
      </c>
      <c r="B4096" t="s">
        <v>2138</v>
      </c>
      <c r="C4096">
        <v>5</v>
      </c>
      <c r="D4096">
        <v>126</v>
      </c>
      <c r="E4096">
        <f>IF(OR(B4096="vi",B4096="ii",B4096="pod"),(((D4096/100)*(C4096*VLOOKUP(B4096,'Poids des runes'!A:B,2,FALSE)))+1),(((D4096/100)*(C4096*VLOOKUP(B4096,'Poids des runes'!A:B,2,FALSE)))+1)/VLOOKUP(B4096,'Poids des runes'!A:B,2,FALSE))</f>
        <v>6.55</v>
      </c>
      <c r="F4096">
        <f t="shared" si="63"/>
        <v>6.55</v>
      </c>
    </row>
    <row r="4097" spans="1:6" x14ac:dyDescent="0.3">
      <c r="A4097" t="s">
        <v>958</v>
      </c>
      <c r="B4097" t="s">
        <v>2159</v>
      </c>
      <c r="C4097">
        <v>5</v>
      </c>
      <c r="D4097">
        <v>126</v>
      </c>
      <c r="E4097">
        <f>IF(OR(B4097="vi",B4097="ii",B4097="pod"),(((D4097/100)*(C4097*VLOOKUP(B4097,'Poids des runes'!A:B,2,FALSE)))+1),(((D4097/100)*(C4097*VLOOKUP(B4097,'Poids des runes'!A:B,2,FALSE)))+1)/VLOOKUP(B4097,'Poids des runes'!A:B,2,FALSE))</f>
        <v>6.4428571428571431</v>
      </c>
      <c r="F4097">
        <f t="shared" si="63"/>
        <v>6.4428571428571431</v>
      </c>
    </row>
    <row r="4098" spans="1:6" x14ac:dyDescent="0.3">
      <c r="A4098" t="s">
        <v>958</v>
      </c>
      <c r="B4098" t="s">
        <v>2148</v>
      </c>
      <c r="C4098">
        <v>4</v>
      </c>
      <c r="D4098">
        <v>126</v>
      </c>
      <c r="E4098">
        <f>IF(OR(B4098="vi",B4098="ii",B4098="pod"),(((D4098/100)*(C4098*VLOOKUP(B4098,'Poids des runes'!A:B,2,FALSE)))+1),(((D4098/100)*(C4098*VLOOKUP(B4098,'Poids des runes'!A:B,2,FALSE)))+1)/VLOOKUP(B4098,'Poids des runes'!A:B,2,FALSE))</f>
        <v>5.206666666666667</v>
      </c>
      <c r="F4098">
        <f t="shared" si="63"/>
        <v>5.206666666666667</v>
      </c>
    </row>
    <row r="4099" spans="1:6" x14ac:dyDescent="0.3">
      <c r="A4099" t="s">
        <v>958</v>
      </c>
      <c r="B4099" t="s">
        <v>2147</v>
      </c>
      <c r="C4099">
        <v>4</v>
      </c>
      <c r="D4099">
        <v>126</v>
      </c>
      <c r="E4099">
        <f>IF(OR(B4099="vi",B4099="ii",B4099="pod"),(((D4099/100)*(C4099*VLOOKUP(B4099,'Poids des runes'!A:B,2,FALSE)))+1),(((D4099/100)*(C4099*VLOOKUP(B4099,'Poids des runes'!A:B,2,FALSE)))+1)/VLOOKUP(B4099,'Poids des runes'!A:B,2,FALSE))</f>
        <v>5.206666666666667</v>
      </c>
      <c r="F4099">
        <f t="shared" ref="F4099:F4162" si="64">E4099</f>
        <v>5.206666666666667</v>
      </c>
    </row>
    <row r="4100" spans="1:6" x14ac:dyDescent="0.3">
      <c r="A4100" t="s">
        <v>959</v>
      </c>
      <c r="B4100" t="s">
        <v>2128</v>
      </c>
      <c r="C4100">
        <v>85.5</v>
      </c>
      <c r="D4100">
        <v>126</v>
      </c>
      <c r="E4100">
        <f>IF(OR(B4100="vi",B4100="ii",B4100="pod"),(((D4100/100)*(C4100*VLOOKUP(B4100,'Poids des runes'!A:B,2,FALSE)))+1),(((D4100/100)*(C4100*VLOOKUP(B4100,'Poids des runes'!A:B,2,FALSE)))+1)/VLOOKUP(B4100,'Poids des runes'!A:B,2,FALSE))</f>
        <v>22.546000000000003</v>
      </c>
      <c r="F4100">
        <f t="shared" si="64"/>
        <v>22.546000000000003</v>
      </c>
    </row>
    <row r="4101" spans="1:6" x14ac:dyDescent="0.3">
      <c r="A4101" t="s">
        <v>959</v>
      </c>
      <c r="B4101" t="s">
        <v>2130</v>
      </c>
      <c r="C4101">
        <v>33</v>
      </c>
      <c r="D4101">
        <v>126</v>
      </c>
      <c r="E4101">
        <f>IF(OR(B4101="vi",B4101="ii",B4101="pod"),(((D4101/100)*(C4101*VLOOKUP(B4101,'Poids des runes'!A:B,2,FALSE)))+1),(((D4101/100)*(C4101*VLOOKUP(B4101,'Poids des runes'!A:B,2,FALSE)))+1)/VLOOKUP(B4101,'Poids des runes'!A:B,2,FALSE))</f>
        <v>42.58</v>
      </c>
      <c r="F4101">
        <f t="shared" si="64"/>
        <v>42.58</v>
      </c>
    </row>
    <row r="4102" spans="1:6" x14ac:dyDescent="0.3">
      <c r="A4102" t="s">
        <v>959</v>
      </c>
      <c r="B4102" t="s">
        <v>2127</v>
      </c>
      <c r="C4102">
        <v>25.5</v>
      </c>
      <c r="D4102">
        <v>126</v>
      </c>
      <c r="E4102">
        <f>IF(OR(B4102="vi",B4102="ii",B4102="pod"),(((D4102/100)*(C4102*VLOOKUP(B4102,'Poids des runes'!A:B,2,FALSE)))+1),(((D4102/100)*(C4102*VLOOKUP(B4102,'Poids des runes'!A:B,2,FALSE)))+1)/VLOOKUP(B4102,'Poids des runes'!A:B,2,FALSE))</f>
        <v>33.130000000000003</v>
      </c>
      <c r="F4102">
        <f t="shared" si="64"/>
        <v>33.130000000000003</v>
      </c>
    </row>
    <row r="4103" spans="1:6" x14ac:dyDescent="0.3">
      <c r="A4103" t="s">
        <v>959</v>
      </c>
      <c r="B4103" t="s">
        <v>2155</v>
      </c>
      <c r="C4103">
        <v>1</v>
      </c>
      <c r="D4103">
        <v>126</v>
      </c>
      <c r="E4103">
        <f>IF(OR(B4103="vi",B4103="ii",B4103="pod"),(((D4103/100)*(C4103*VLOOKUP(B4103,'Poids des runes'!A:B,2,FALSE)))+1),(((D4103/100)*(C4103*VLOOKUP(B4103,'Poids des runes'!A:B,2,FALSE)))+1)/VLOOKUP(B4103,'Poids des runes'!A:B,2,FALSE))</f>
        <v>1.2796078431372551</v>
      </c>
      <c r="F4103">
        <f t="shared" si="64"/>
        <v>1.2796078431372551</v>
      </c>
    </row>
    <row r="4104" spans="1:6" x14ac:dyDescent="0.3">
      <c r="A4104" t="s">
        <v>959</v>
      </c>
      <c r="B4104" t="s">
        <v>2134</v>
      </c>
      <c r="C4104">
        <v>4.5</v>
      </c>
      <c r="D4104">
        <v>126</v>
      </c>
      <c r="E4104">
        <f>IF(OR(B4104="vi",B4104="ii",B4104="pod"),(((D4104/100)*(C4104*VLOOKUP(B4104,'Poids des runes'!A:B,2,FALSE)))+1),(((D4104/100)*(C4104*VLOOKUP(B4104,'Poids des runes'!A:B,2,FALSE)))+1)/VLOOKUP(B4104,'Poids des runes'!A:B,2,FALSE))</f>
        <v>5.7200000000000006</v>
      </c>
      <c r="F4104">
        <f t="shared" si="64"/>
        <v>5.7200000000000006</v>
      </c>
    </row>
    <row r="4105" spans="1:6" x14ac:dyDescent="0.3">
      <c r="A4105" t="s">
        <v>959</v>
      </c>
      <c r="B4105" t="s">
        <v>2161</v>
      </c>
      <c r="C4105">
        <v>10.5</v>
      </c>
      <c r="D4105">
        <v>126</v>
      </c>
      <c r="E4105">
        <f>IF(OR(B4105="vi",B4105="ii",B4105="pod"),(((D4105/100)*(C4105*VLOOKUP(B4105,'Poids des runes'!A:B,2,FALSE)))+1),(((D4105/100)*(C4105*VLOOKUP(B4105,'Poids des runes'!A:B,2,FALSE)))+1)/VLOOKUP(B4105,'Poids des runes'!A:B,2,FALSE))</f>
        <v>13.563333333333333</v>
      </c>
      <c r="F4105">
        <f t="shared" si="64"/>
        <v>13.563333333333333</v>
      </c>
    </row>
    <row r="4106" spans="1:6" x14ac:dyDescent="0.3">
      <c r="A4106" t="s">
        <v>959</v>
      </c>
      <c r="B4106" t="s">
        <v>2132</v>
      </c>
      <c r="C4106">
        <v>150.5</v>
      </c>
      <c r="D4106">
        <v>126</v>
      </c>
      <c r="E4106">
        <f>IF(OR(B4106="vi",B4106="ii",B4106="pod"),(((D4106/100)*(C4106*VLOOKUP(B4106,'Poids des runes'!A:B,2,FALSE)))+1),(((D4106/100)*(C4106*VLOOKUP(B4106,'Poids des runes'!A:B,2,FALSE)))+1)/VLOOKUP(B4106,'Poids des runes'!A:B,2,FALSE))</f>
        <v>19.963000000000001</v>
      </c>
      <c r="F4106">
        <f t="shared" si="64"/>
        <v>19.963000000000001</v>
      </c>
    </row>
    <row r="4107" spans="1:6" x14ac:dyDescent="0.3">
      <c r="A4107" t="s">
        <v>959</v>
      </c>
      <c r="B4107" t="s">
        <v>2147</v>
      </c>
      <c r="C4107">
        <v>6</v>
      </c>
      <c r="D4107">
        <v>126</v>
      </c>
      <c r="E4107">
        <f>IF(OR(B4107="vi",B4107="ii",B4107="pod"),(((D4107/100)*(C4107*VLOOKUP(B4107,'Poids des runes'!A:B,2,FALSE)))+1),(((D4107/100)*(C4107*VLOOKUP(B4107,'Poids des runes'!A:B,2,FALSE)))+1)/VLOOKUP(B4107,'Poids des runes'!A:B,2,FALSE))</f>
        <v>7.7266666666666666</v>
      </c>
      <c r="F4107">
        <f t="shared" si="64"/>
        <v>7.7266666666666666</v>
      </c>
    </row>
    <row r="4108" spans="1:6" x14ac:dyDescent="0.3">
      <c r="A4108" t="s">
        <v>959</v>
      </c>
      <c r="B4108" t="s">
        <v>2136</v>
      </c>
      <c r="C4108">
        <v>5</v>
      </c>
      <c r="D4108">
        <v>126</v>
      </c>
      <c r="E4108">
        <f>IF(OR(B4108="vi",B4108="ii",B4108="pod"),(((D4108/100)*(C4108*VLOOKUP(B4108,'Poids des runes'!A:B,2,FALSE)))+1),(((D4108/100)*(C4108*VLOOKUP(B4108,'Poids des runes'!A:B,2,FALSE)))+1)/VLOOKUP(B4108,'Poids des runes'!A:B,2,FALSE))</f>
        <v>6.8</v>
      </c>
      <c r="F4108">
        <f t="shared" si="64"/>
        <v>6.8</v>
      </c>
    </row>
    <row r="4109" spans="1:6" x14ac:dyDescent="0.3">
      <c r="A4109" t="s">
        <v>960</v>
      </c>
      <c r="B4109" t="s">
        <v>2128</v>
      </c>
      <c r="C4109">
        <v>125.5</v>
      </c>
      <c r="D4109">
        <v>126</v>
      </c>
      <c r="E4109">
        <f>IF(OR(B4109="vi",B4109="ii",B4109="pod"),(((D4109/100)*(C4109*VLOOKUP(B4109,'Poids des runes'!A:B,2,FALSE)))+1),(((D4109/100)*(C4109*VLOOKUP(B4109,'Poids des runes'!A:B,2,FALSE)))+1)/VLOOKUP(B4109,'Poids des runes'!A:B,2,FALSE))</f>
        <v>32.626000000000005</v>
      </c>
      <c r="F4109">
        <f t="shared" si="64"/>
        <v>32.626000000000005</v>
      </c>
    </row>
    <row r="4110" spans="1:6" x14ac:dyDescent="0.3">
      <c r="A4110" t="s">
        <v>960</v>
      </c>
      <c r="B4110" t="s">
        <v>2131</v>
      </c>
      <c r="C4110">
        <v>35.5</v>
      </c>
      <c r="D4110">
        <v>126</v>
      </c>
      <c r="E4110">
        <f>IF(OR(B4110="vi",B4110="ii",B4110="pod"),(((D4110/100)*(C4110*VLOOKUP(B4110,'Poids des runes'!A:B,2,FALSE)))+1),(((D4110/100)*(C4110*VLOOKUP(B4110,'Poids des runes'!A:B,2,FALSE)))+1)/VLOOKUP(B4110,'Poids des runes'!A:B,2,FALSE))</f>
        <v>45.73</v>
      </c>
      <c r="F4110">
        <f t="shared" si="64"/>
        <v>45.73</v>
      </c>
    </row>
    <row r="4111" spans="1:6" x14ac:dyDescent="0.3">
      <c r="A4111" t="s">
        <v>960</v>
      </c>
      <c r="B4111" t="s">
        <v>2129</v>
      </c>
      <c r="C4111">
        <v>18</v>
      </c>
      <c r="D4111">
        <v>126</v>
      </c>
      <c r="E4111">
        <f>IF(OR(B4111="vi",B4111="ii",B4111="pod"),(((D4111/100)*(C4111*VLOOKUP(B4111,'Poids des runes'!A:B,2,FALSE)))+1),(((D4111/100)*(C4111*VLOOKUP(B4111,'Poids des runes'!A:B,2,FALSE)))+1)/VLOOKUP(B4111,'Poids des runes'!A:B,2,FALSE))</f>
        <v>23.68</v>
      </c>
      <c r="F4111">
        <f t="shared" si="64"/>
        <v>23.68</v>
      </c>
    </row>
    <row r="4112" spans="1:6" x14ac:dyDescent="0.3">
      <c r="A4112" t="s">
        <v>960</v>
      </c>
      <c r="B4112" t="s">
        <v>2151</v>
      </c>
      <c r="C4112">
        <v>4.5</v>
      </c>
      <c r="D4112">
        <v>126</v>
      </c>
      <c r="E4112">
        <f>IF(OR(B4112="vi",B4112="ii",B4112="pod"),(((D4112/100)*(C4112*VLOOKUP(B4112,'Poids des runes'!A:B,2,FALSE)))+1),(((D4112/100)*(C4112*VLOOKUP(B4112,'Poids des runes'!A:B,2,FALSE)))+1)/VLOOKUP(B4112,'Poids des runes'!A:B,2,FALSE))</f>
        <v>5.7700000000000005</v>
      </c>
      <c r="F4112">
        <f t="shared" si="64"/>
        <v>5.7700000000000005</v>
      </c>
    </row>
    <row r="4113" spans="1:6" x14ac:dyDescent="0.3">
      <c r="A4113" t="s">
        <v>960</v>
      </c>
      <c r="B4113" t="s">
        <v>2133</v>
      </c>
      <c r="C4113">
        <v>8.5</v>
      </c>
      <c r="D4113">
        <v>126</v>
      </c>
      <c r="E4113">
        <f>IF(OR(B4113="vi",B4113="ii",B4113="pod"),(((D4113/100)*(C4113*VLOOKUP(B4113,'Poids des runes'!A:B,2,FALSE)))+1),(((D4113/100)*(C4113*VLOOKUP(B4113,'Poids des runes'!A:B,2,FALSE)))+1)/VLOOKUP(B4113,'Poids des runes'!A:B,2,FALSE))</f>
        <v>10.91</v>
      </c>
      <c r="F4113">
        <f t="shared" si="64"/>
        <v>10.91</v>
      </c>
    </row>
    <row r="4114" spans="1:6" x14ac:dyDescent="0.3">
      <c r="A4114" t="s">
        <v>960</v>
      </c>
      <c r="B4114" t="s">
        <v>2160</v>
      </c>
      <c r="C4114">
        <v>4.5</v>
      </c>
      <c r="D4114">
        <v>126</v>
      </c>
      <c r="E4114">
        <f>IF(OR(B4114="vi",B4114="ii",B4114="pod"),(((D4114/100)*(C4114*VLOOKUP(B4114,'Poids des runes'!A:B,2,FALSE)))+1),(((D4114/100)*(C4114*VLOOKUP(B4114,'Poids des runes'!A:B,2,FALSE)))+1)/VLOOKUP(B4114,'Poids des runes'!A:B,2,FALSE))</f>
        <v>5.8128571428571423</v>
      </c>
      <c r="F4114">
        <f t="shared" si="64"/>
        <v>5.8128571428571423</v>
      </c>
    </row>
    <row r="4115" spans="1:6" x14ac:dyDescent="0.3">
      <c r="A4115" t="s">
        <v>960</v>
      </c>
      <c r="B4115" t="s">
        <v>2164</v>
      </c>
      <c r="C4115">
        <v>8.5</v>
      </c>
      <c r="D4115">
        <v>126</v>
      </c>
      <c r="E4115">
        <f>IF(OR(B4115="vi",B4115="ii",B4115="pod"),(((D4115/100)*(C4115*VLOOKUP(B4115,'Poids des runes'!A:B,2,FALSE)))+1),(((D4115/100)*(C4115*VLOOKUP(B4115,'Poids des runes'!A:B,2,FALSE)))+1)/VLOOKUP(B4115,'Poids des runes'!A:B,2,FALSE))</f>
        <v>11.21</v>
      </c>
      <c r="F4115">
        <f t="shared" si="64"/>
        <v>11.21</v>
      </c>
    </row>
    <row r="4116" spans="1:6" x14ac:dyDescent="0.3">
      <c r="A4116" t="s">
        <v>960</v>
      </c>
      <c r="B4116" t="s">
        <v>2146</v>
      </c>
      <c r="C4116">
        <v>13</v>
      </c>
      <c r="D4116">
        <v>126</v>
      </c>
      <c r="E4116">
        <f>IF(OR(B4116="vi",B4116="ii",B4116="pod"),(((D4116/100)*(C4116*VLOOKUP(B4116,'Poids des runes'!A:B,2,FALSE)))+1),(((D4116/100)*(C4116*VLOOKUP(B4116,'Poids des runes'!A:B,2,FALSE)))+1)/VLOOKUP(B4116,'Poids des runes'!A:B,2,FALSE))</f>
        <v>16.88</v>
      </c>
      <c r="F4116">
        <f t="shared" si="64"/>
        <v>16.88</v>
      </c>
    </row>
    <row r="4117" spans="1:6" x14ac:dyDescent="0.3">
      <c r="A4117" t="s">
        <v>961</v>
      </c>
      <c r="B4117" t="s">
        <v>2128</v>
      </c>
      <c r="C4117">
        <v>125.5</v>
      </c>
      <c r="D4117">
        <v>126</v>
      </c>
      <c r="E4117">
        <f>IF(OR(B4117="vi",B4117="ii",B4117="pod"),(((D4117/100)*(C4117*VLOOKUP(B4117,'Poids des runes'!A:B,2,FALSE)))+1),(((D4117/100)*(C4117*VLOOKUP(B4117,'Poids des runes'!A:B,2,FALSE)))+1)/VLOOKUP(B4117,'Poids des runes'!A:B,2,FALSE))</f>
        <v>32.626000000000005</v>
      </c>
      <c r="F4117">
        <f t="shared" si="64"/>
        <v>32.626000000000005</v>
      </c>
    </row>
    <row r="4118" spans="1:6" x14ac:dyDescent="0.3">
      <c r="A4118" t="s">
        <v>961</v>
      </c>
      <c r="B4118" t="s">
        <v>2126</v>
      </c>
      <c r="C4118">
        <v>40.5</v>
      </c>
      <c r="D4118">
        <v>126</v>
      </c>
      <c r="E4118">
        <f>IF(OR(B4118="vi",B4118="ii",B4118="pod"),(((D4118/100)*(C4118*VLOOKUP(B4118,'Poids des runes'!A:B,2,FALSE)))+1),(((D4118/100)*(C4118*VLOOKUP(B4118,'Poids des runes'!A:B,2,FALSE)))+1)/VLOOKUP(B4118,'Poids des runes'!A:B,2,FALSE))</f>
        <v>52.03</v>
      </c>
      <c r="F4118">
        <f t="shared" si="64"/>
        <v>52.03</v>
      </c>
    </row>
    <row r="4119" spans="1:6" x14ac:dyDescent="0.3">
      <c r="A4119" t="s">
        <v>961</v>
      </c>
      <c r="B4119" t="s">
        <v>2129</v>
      </c>
      <c r="C4119">
        <v>25.5</v>
      </c>
      <c r="D4119">
        <v>126</v>
      </c>
      <c r="E4119">
        <f>IF(OR(B4119="vi",B4119="ii",B4119="pod"),(((D4119/100)*(C4119*VLOOKUP(B4119,'Poids des runes'!A:B,2,FALSE)))+1),(((D4119/100)*(C4119*VLOOKUP(B4119,'Poids des runes'!A:B,2,FALSE)))+1)/VLOOKUP(B4119,'Poids des runes'!A:B,2,FALSE))</f>
        <v>33.130000000000003</v>
      </c>
      <c r="F4119">
        <f t="shared" si="64"/>
        <v>33.130000000000003</v>
      </c>
    </row>
    <row r="4120" spans="1:6" x14ac:dyDescent="0.3">
      <c r="A4120" t="s">
        <v>961</v>
      </c>
      <c r="B4120" t="s">
        <v>2151</v>
      </c>
      <c r="C4120">
        <v>2.5</v>
      </c>
      <c r="D4120">
        <v>126</v>
      </c>
      <c r="E4120">
        <f>IF(OR(B4120="vi",B4120="ii",B4120="pod"),(((D4120/100)*(C4120*VLOOKUP(B4120,'Poids des runes'!A:B,2,FALSE)))+1),(((D4120/100)*(C4120*VLOOKUP(B4120,'Poids des runes'!A:B,2,FALSE)))+1)/VLOOKUP(B4120,'Poids des runes'!A:B,2,FALSE))</f>
        <v>3.25</v>
      </c>
      <c r="F4120">
        <f t="shared" si="64"/>
        <v>3.25</v>
      </c>
    </row>
    <row r="4121" spans="1:6" x14ac:dyDescent="0.3">
      <c r="A4121" t="s">
        <v>961</v>
      </c>
      <c r="B4121" t="s">
        <v>2155</v>
      </c>
      <c r="C4121">
        <v>1</v>
      </c>
      <c r="D4121">
        <v>126</v>
      </c>
      <c r="E4121">
        <f>IF(OR(B4121="vi",B4121="ii",B4121="pod"),(((D4121/100)*(C4121*VLOOKUP(B4121,'Poids des runes'!A:B,2,FALSE)))+1),(((D4121/100)*(C4121*VLOOKUP(B4121,'Poids des runes'!A:B,2,FALSE)))+1)/VLOOKUP(B4121,'Poids des runes'!A:B,2,FALSE))</f>
        <v>1.2796078431372551</v>
      </c>
      <c r="F4121">
        <f t="shared" si="64"/>
        <v>1.2796078431372551</v>
      </c>
    </row>
    <row r="4122" spans="1:6" x14ac:dyDescent="0.3">
      <c r="A4122" t="s">
        <v>961</v>
      </c>
      <c r="B4122" t="s">
        <v>2140</v>
      </c>
      <c r="C4122">
        <v>6.5</v>
      </c>
      <c r="D4122">
        <v>126</v>
      </c>
      <c r="E4122">
        <f>IF(OR(B4122="vi",B4122="ii",B4122="pod"),(((D4122/100)*(C4122*VLOOKUP(B4122,'Poids des runes'!A:B,2,FALSE)))+1),(((D4122/100)*(C4122*VLOOKUP(B4122,'Poids des runes'!A:B,2,FALSE)))+1)/VLOOKUP(B4122,'Poids des runes'!A:B,2,FALSE))</f>
        <v>8.39</v>
      </c>
      <c r="F4122">
        <f t="shared" si="64"/>
        <v>8.39</v>
      </c>
    </row>
    <row r="4123" spans="1:6" x14ac:dyDescent="0.3">
      <c r="A4123" t="s">
        <v>961</v>
      </c>
      <c r="B4123" t="s">
        <v>2149</v>
      </c>
      <c r="C4123">
        <v>13</v>
      </c>
      <c r="D4123">
        <v>126</v>
      </c>
      <c r="E4123">
        <f>IF(OR(B4123="vi",B4123="ii",B4123="pod"),(((D4123/100)*(C4123*VLOOKUP(B4123,'Poids des runes'!A:B,2,FALSE)))+1),(((D4123/100)*(C4123*VLOOKUP(B4123,'Poids des runes'!A:B,2,FALSE)))+1)/VLOOKUP(B4123,'Poids des runes'!A:B,2,FALSE))</f>
        <v>16.48</v>
      </c>
      <c r="F4123">
        <f t="shared" si="64"/>
        <v>16.48</v>
      </c>
    </row>
    <row r="4124" spans="1:6" x14ac:dyDescent="0.3">
      <c r="A4124" t="s">
        <v>961</v>
      </c>
      <c r="B4124" t="s">
        <v>2147</v>
      </c>
      <c r="C4124">
        <v>2.5</v>
      </c>
      <c r="D4124">
        <v>126</v>
      </c>
      <c r="E4124">
        <f>IF(OR(B4124="vi",B4124="ii",B4124="pod"),(((D4124/100)*(C4124*VLOOKUP(B4124,'Poids des runes'!A:B,2,FALSE)))+1),(((D4124/100)*(C4124*VLOOKUP(B4124,'Poids des runes'!A:B,2,FALSE)))+1)/VLOOKUP(B4124,'Poids des runes'!A:B,2,FALSE))</f>
        <v>3.3166666666666664</v>
      </c>
      <c r="F4124">
        <f t="shared" si="64"/>
        <v>3.3166666666666664</v>
      </c>
    </row>
    <row r="4125" spans="1:6" x14ac:dyDescent="0.3">
      <c r="A4125" t="s">
        <v>961</v>
      </c>
      <c r="B4125" t="s">
        <v>2135</v>
      </c>
      <c r="C4125">
        <v>2.5</v>
      </c>
      <c r="D4125">
        <v>126</v>
      </c>
      <c r="E4125">
        <f>IF(OR(B4125="vi",B4125="ii",B4125="pod"),(((D4125/100)*(C4125*VLOOKUP(B4125,'Poids des runes'!A:B,2,FALSE)))+1),(((D4125/100)*(C4125*VLOOKUP(B4125,'Poids des runes'!A:B,2,FALSE)))+1)/VLOOKUP(B4125,'Poids des runes'!A:B,2,FALSE))</f>
        <v>3.3166666666666664</v>
      </c>
      <c r="F4125">
        <f t="shared" si="64"/>
        <v>3.3166666666666664</v>
      </c>
    </row>
    <row r="4126" spans="1:6" x14ac:dyDescent="0.3">
      <c r="A4126" t="s">
        <v>961</v>
      </c>
      <c r="B4126" t="s">
        <v>2157</v>
      </c>
      <c r="C4126">
        <v>2.5</v>
      </c>
      <c r="D4126">
        <v>126</v>
      </c>
      <c r="E4126">
        <f>IF(OR(B4126="vi",B4126="ii",B4126="pod"),(((D4126/100)*(C4126*VLOOKUP(B4126,'Poids des runes'!A:B,2,FALSE)))+1),(((D4126/100)*(C4126*VLOOKUP(B4126,'Poids des runes'!A:B,2,FALSE)))+1)/VLOOKUP(B4126,'Poids des runes'!A:B,2,FALSE))</f>
        <v>3.3166666666666664</v>
      </c>
      <c r="F4126">
        <f t="shared" si="64"/>
        <v>3.3166666666666664</v>
      </c>
    </row>
    <row r="4127" spans="1:6" x14ac:dyDescent="0.3">
      <c r="A4127" t="s">
        <v>962</v>
      </c>
      <c r="B4127" t="s">
        <v>2128</v>
      </c>
      <c r="C4127">
        <v>100.5</v>
      </c>
      <c r="D4127">
        <v>127</v>
      </c>
      <c r="E4127">
        <f>IF(OR(B4127="vi",B4127="ii",B4127="pod"),(((D4127/100)*(C4127*VLOOKUP(B4127,'Poids des runes'!A:B,2,FALSE)))+1),(((D4127/100)*(C4127*VLOOKUP(B4127,'Poids des runes'!A:B,2,FALSE)))+1)/VLOOKUP(B4127,'Poids des runes'!A:B,2,FALSE))</f>
        <v>26.527000000000001</v>
      </c>
      <c r="F4127">
        <f t="shared" si="64"/>
        <v>26.527000000000001</v>
      </c>
    </row>
    <row r="4128" spans="1:6" x14ac:dyDescent="0.3">
      <c r="A4128" t="s">
        <v>962</v>
      </c>
      <c r="B4128" t="s">
        <v>2131</v>
      </c>
      <c r="C4128">
        <v>53</v>
      </c>
      <c r="D4128">
        <v>127</v>
      </c>
      <c r="E4128">
        <f>IF(OR(B4128="vi",B4128="ii",B4128="pod"),(((D4128/100)*(C4128*VLOOKUP(B4128,'Poids des runes'!A:B,2,FALSE)))+1),(((D4128/100)*(C4128*VLOOKUP(B4128,'Poids des runes'!A:B,2,FALSE)))+1)/VLOOKUP(B4128,'Poids des runes'!A:B,2,FALSE))</f>
        <v>68.31</v>
      </c>
      <c r="F4128">
        <f t="shared" si="64"/>
        <v>68.31</v>
      </c>
    </row>
    <row r="4129" spans="1:6" x14ac:dyDescent="0.3">
      <c r="A4129" t="s">
        <v>962</v>
      </c>
      <c r="B4129" t="s">
        <v>2129</v>
      </c>
      <c r="C4129">
        <v>43</v>
      </c>
      <c r="D4129">
        <v>127</v>
      </c>
      <c r="E4129">
        <f>IF(OR(B4129="vi",B4129="ii",B4129="pod"),(((D4129/100)*(C4129*VLOOKUP(B4129,'Poids des runes'!A:B,2,FALSE)))+1),(((D4129/100)*(C4129*VLOOKUP(B4129,'Poids des runes'!A:B,2,FALSE)))+1)/VLOOKUP(B4129,'Poids des runes'!A:B,2,FALSE))</f>
        <v>55.61</v>
      </c>
      <c r="F4129">
        <f t="shared" si="64"/>
        <v>55.61</v>
      </c>
    </row>
    <row r="4130" spans="1:6" x14ac:dyDescent="0.3">
      <c r="A4130" t="s">
        <v>962</v>
      </c>
      <c r="B4130" t="s">
        <v>2155</v>
      </c>
      <c r="C4130">
        <v>2</v>
      </c>
      <c r="D4130">
        <v>127</v>
      </c>
      <c r="E4130">
        <f>IF(OR(B4130="vi",B4130="ii",B4130="pod"),(((D4130/100)*(C4130*VLOOKUP(B4130,'Poids des runes'!A:B,2,FALSE)))+1),(((D4130/100)*(C4130*VLOOKUP(B4130,'Poids des runes'!A:B,2,FALSE)))+1)/VLOOKUP(B4130,'Poids des runes'!A:B,2,FALSE))</f>
        <v>2.5596078431372549</v>
      </c>
      <c r="F4130">
        <f t="shared" si="64"/>
        <v>2.5596078431372549</v>
      </c>
    </row>
    <row r="4131" spans="1:6" x14ac:dyDescent="0.3">
      <c r="A4131" t="s">
        <v>962</v>
      </c>
      <c r="B4131" t="s">
        <v>2161</v>
      </c>
      <c r="C4131">
        <v>8</v>
      </c>
      <c r="D4131">
        <v>127</v>
      </c>
      <c r="E4131">
        <f>IF(OR(B4131="vi",B4131="ii",B4131="pod"),(((D4131/100)*(C4131*VLOOKUP(B4131,'Poids des runes'!A:B,2,FALSE)))+1),(((D4131/100)*(C4131*VLOOKUP(B4131,'Poids des runes'!A:B,2,FALSE)))+1)/VLOOKUP(B4131,'Poids des runes'!A:B,2,FALSE))</f>
        <v>10.493333333333334</v>
      </c>
      <c r="F4131">
        <f t="shared" si="64"/>
        <v>10.493333333333334</v>
      </c>
    </row>
    <row r="4132" spans="1:6" x14ac:dyDescent="0.3">
      <c r="A4132" t="s">
        <v>962</v>
      </c>
      <c r="B4132" t="s">
        <v>2156</v>
      </c>
      <c r="C4132">
        <v>8</v>
      </c>
      <c r="D4132">
        <v>127</v>
      </c>
      <c r="E4132">
        <f>IF(OR(B4132="vi",B4132="ii",B4132="pod"),(((D4132/100)*(C4132*VLOOKUP(B4132,'Poids des runes'!A:B,2,FALSE)))+1),(((D4132/100)*(C4132*VLOOKUP(B4132,'Poids des runes'!A:B,2,FALSE)))+1)/VLOOKUP(B4132,'Poids des runes'!A:B,2,FALSE))</f>
        <v>10.326666666666666</v>
      </c>
      <c r="F4132">
        <f t="shared" si="64"/>
        <v>10.326666666666666</v>
      </c>
    </row>
    <row r="4133" spans="1:6" x14ac:dyDescent="0.3">
      <c r="A4133" t="s">
        <v>962</v>
      </c>
      <c r="B4133" t="s">
        <v>2148</v>
      </c>
      <c r="C4133">
        <v>8</v>
      </c>
      <c r="D4133">
        <v>127</v>
      </c>
      <c r="E4133">
        <f>IF(OR(B4133="vi",B4133="ii",B4133="pod"),(((D4133/100)*(C4133*VLOOKUP(B4133,'Poids des runes'!A:B,2,FALSE)))+1),(((D4133/100)*(C4133*VLOOKUP(B4133,'Poids des runes'!A:B,2,FALSE)))+1)/VLOOKUP(B4133,'Poids des runes'!A:B,2,FALSE))</f>
        <v>10.326666666666666</v>
      </c>
      <c r="F4133">
        <f t="shared" si="64"/>
        <v>10.326666666666666</v>
      </c>
    </row>
    <row r="4134" spans="1:6" x14ac:dyDescent="0.3">
      <c r="A4134" t="s">
        <v>962</v>
      </c>
      <c r="B4134" t="s">
        <v>2135</v>
      </c>
      <c r="C4134">
        <v>8</v>
      </c>
      <c r="D4134">
        <v>127</v>
      </c>
      <c r="E4134">
        <f>IF(OR(B4134="vi",B4134="ii",B4134="pod"),(((D4134/100)*(C4134*VLOOKUP(B4134,'Poids des runes'!A:B,2,FALSE)))+1),(((D4134/100)*(C4134*VLOOKUP(B4134,'Poids des runes'!A:B,2,FALSE)))+1)/VLOOKUP(B4134,'Poids des runes'!A:B,2,FALSE))</f>
        <v>10.326666666666666</v>
      </c>
      <c r="F4134">
        <f t="shared" si="64"/>
        <v>10.326666666666666</v>
      </c>
    </row>
    <row r="4135" spans="1:6" x14ac:dyDescent="0.3">
      <c r="A4135" t="s">
        <v>963</v>
      </c>
      <c r="B4135" t="s">
        <v>2130</v>
      </c>
      <c r="C4135">
        <v>40.5</v>
      </c>
      <c r="D4135">
        <v>127</v>
      </c>
      <c r="E4135">
        <f>IF(OR(B4135="vi",B4135="ii",B4135="pod"),(((D4135/100)*(C4135*VLOOKUP(B4135,'Poids des runes'!A:B,2,FALSE)))+1),(((D4135/100)*(C4135*VLOOKUP(B4135,'Poids des runes'!A:B,2,FALSE)))+1)/VLOOKUP(B4135,'Poids des runes'!A:B,2,FALSE))</f>
        <v>52.435000000000002</v>
      </c>
      <c r="F4135">
        <f t="shared" si="64"/>
        <v>52.435000000000002</v>
      </c>
    </row>
    <row r="4136" spans="1:6" x14ac:dyDescent="0.3">
      <c r="A4136" t="s">
        <v>963</v>
      </c>
      <c r="B4136" t="s">
        <v>2126</v>
      </c>
      <c r="C4136">
        <v>40.5</v>
      </c>
      <c r="D4136">
        <v>127</v>
      </c>
      <c r="E4136">
        <f>IF(OR(B4136="vi",B4136="ii",B4136="pod"),(((D4136/100)*(C4136*VLOOKUP(B4136,'Poids des runes'!A:B,2,FALSE)))+1),(((D4136/100)*(C4136*VLOOKUP(B4136,'Poids des runes'!A:B,2,FALSE)))+1)/VLOOKUP(B4136,'Poids des runes'!A:B,2,FALSE))</f>
        <v>52.435000000000002</v>
      </c>
      <c r="F4136">
        <f t="shared" si="64"/>
        <v>52.435000000000002</v>
      </c>
    </row>
    <row r="4137" spans="1:6" x14ac:dyDescent="0.3">
      <c r="A4137" t="s">
        <v>963</v>
      </c>
      <c r="B4137" t="s">
        <v>2131</v>
      </c>
      <c r="C4137">
        <v>40.5</v>
      </c>
      <c r="D4137">
        <v>127</v>
      </c>
      <c r="E4137">
        <f>IF(OR(B4137="vi",B4137="ii",B4137="pod"),(((D4137/100)*(C4137*VLOOKUP(B4137,'Poids des runes'!A:B,2,FALSE)))+1),(((D4137/100)*(C4137*VLOOKUP(B4137,'Poids des runes'!A:B,2,FALSE)))+1)/VLOOKUP(B4137,'Poids des runes'!A:B,2,FALSE))</f>
        <v>52.435000000000002</v>
      </c>
      <c r="F4137">
        <f t="shared" si="64"/>
        <v>52.435000000000002</v>
      </c>
    </row>
    <row r="4138" spans="1:6" x14ac:dyDescent="0.3">
      <c r="A4138" t="s">
        <v>963</v>
      </c>
      <c r="B4138" t="s">
        <v>2127</v>
      </c>
      <c r="C4138">
        <v>40.5</v>
      </c>
      <c r="D4138">
        <v>127</v>
      </c>
      <c r="E4138">
        <f>IF(OR(B4138="vi",B4138="ii",B4138="pod"),(((D4138/100)*(C4138*VLOOKUP(B4138,'Poids des runes'!A:B,2,FALSE)))+1),(((D4138/100)*(C4138*VLOOKUP(B4138,'Poids des runes'!A:B,2,FALSE)))+1)/VLOOKUP(B4138,'Poids des runes'!A:B,2,FALSE))</f>
        <v>52.435000000000002</v>
      </c>
      <c r="F4138">
        <f t="shared" si="64"/>
        <v>52.435000000000002</v>
      </c>
    </row>
    <row r="4139" spans="1:6" x14ac:dyDescent="0.3">
      <c r="A4139" t="s">
        <v>963</v>
      </c>
      <c r="B4139" t="s">
        <v>2152</v>
      </c>
      <c r="C4139">
        <v>1</v>
      </c>
      <c r="D4139">
        <v>127</v>
      </c>
      <c r="E4139">
        <f>IF(OR(B4139="vi",B4139="ii",B4139="pod"),(((D4139/100)*(C4139*VLOOKUP(B4139,'Poids des runes'!A:B,2,FALSE)))+1),(((D4139/100)*(C4139*VLOOKUP(B4139,'Poids des runes'!A:B,2,FALSE)))+1)/VLOOKUP(B4139,'Poids des runes'!A:B,2,FALSE))</f>
        <v>1.28</v>
      </c>
      <c r="F4139">
        <f t="shared" si="64"/>
        <v>1.28</v>
      </c>
    </row>
    <row r="4140" spans="1:6" x14ac:dyDescent="0.3">
      <c r="A4140" t="s">
        <v>963</v>
      </c>
      <c r="B4140" t="s">
        <v>2155</v>
      </c>
      <c r="C4140">
        <v>1</v>
      </c>
      <c r="D4140">
        <v>127</v>
      </c>
      <c r="E4140">
        <f>IF(OR(B4140="vi",B4140="ii",B4140="pod"),(((D4140/100)*(C4140*VLOOKUP(B4140,'Poids des runes'!A:B,2,FALSE)))+1),(((D4140/100)*(C4140*VLOOKUP(B4140,'Poids des runes'!A:B,2,FALSE)))+1)/VLOOKUP(B4140,'Poids des runes'!A:B,2,FALSE))</f>
        <v>1.2896078431372549</v>
      </c>
      <c r="F4140">
        <f t="shared" si="64"/>
        <v>1.2896078431372549</v>
      </c>
    </row>
    <row r="4141" spans="1:6" x14ac:dyDescent="0.3">
      <c r="A4141" t="s">
        <v>963</v>
      </c>
      <c r="B4141" t="s">
        <v>2143</v>
      </c>
      <c r="C4141">
        <v>3</v>
      </c>
      <c r="D4141">
        <v>127</v>
      </c>
      <c r="E4141">
        <f>IF(OR(B4141="vi",B4141="ii",B4141="pod"),(((D4141/100)*(C4141*VLOOKUP(B4141,'Poids des runes'!A:B,2,FALSE)))+1),(((D4141/100)*(C4141*VLOOKUP(B4141,'Poids des runes'!A:B,2,FALSE)))+1)/VLOOKUP(B4141,'Poids des runes'!A:B,2,FALSE))</f>
        <v>4.01</v>
      </c>
      <c r="F4141">
        <f t="shared" si="64"/>
        <v>4.01</v>
      </c>
    </row>
    <row r="4142" spans="1:6" x14ac:dyDescent="0.3">
      <c r="A4142" t="s">
        <v>963</v>
      </c>
      <c r="B4142" t="s">
        <v>2140</v>
      </c>
      <c r="C4142">
        <v>3</v>
      </c>
      <c r="D4142">
        <v>127</v>
      </c>
      <c r="E4142">
        <f>IF(OR(B4142="vi",B4142="ii",B4142="pod"),(((D4142/100)*(C4142*VLOOKUP(B4142,'Poids des runes'!A:B,2,FALSE)))+1),(((D4142/100)*(C4142*VLOOKUP(B4142,'Poids des runes'!A:B,2,FALSE)))+1)/VLOOKUP(B4142,'Poids des runes'!A:B,2,FALSE))</f>
        <v>4.01</v>
      </c>
      <c r="F4142">
        <f t="shared" si="64"/>
        <v>4.01</v>
      </c>
    </row>
    <row r="4143" spans="1:6" x14ac:dyDescent="0.3">
      <c r="A4143" t="s">
        <v>963</v>
      </c>
      <c r="B4143" t="s">
        <v>2133</v>
      </c>
      <c r="C4143">
        <v>3</v>
      </c>
      <c r="D4143">
        <v>127</v>
      </c>
      <c r="E4143">
        <f>IF(OR(B4143="vi",B4143="ii",B4143="pod"),(((D4143/100)*(C4143*VLOOKUP(B4143,'Poids des runes'!A:B,2,FALSE)))+1),(((D4143/100)*(C4143*VLOOKUP(B4143,'Poids des runes'!A:B,2,FALSE)))+1)/VLOOKUP(B4143,'Poids des runes'!A:B,2,FALSE))</f>
        <v>4.01</v>
      </c>
      <c r="F4143">
        <f t="shared" si="64"/>
        <v>4.01</v>
      </c>
    </row>
    <row r="4144" spans="1:6" x14ac:dyDescent="0.3">
      <c r="A4144" t="s">
        <v>963</v>
      </c>
      <c r="B4144" t="s">
        <v>2153</v>
      </c>
      <c r="C4144">
        <v>3</v>
      </c>
      <c r="D4144">
        <v>127</v>
      </c>
      <c r="E4144">
        <f>IF(OR(B4144="vi",B4144="ii",B4144="pod"),(((D4144/100)*(C4144*VLOOKUP(B4144,'Poids des runes'!A:B,2,FALSE)))+1),(((D4144/100)*(C4144*VLOOKUP(B4144,'Poids des runes'!A:B,2,FALSE)))+1)/VLOOKUP(B4144,'Poids des runes'!A:B,2,FALSE))</f>
        <v>4.01</v>
      </c>
      <c r="F4144">
        <f t="shared" si="64"/>
        <v>4.01</v>
      </c>
    </row>
    <row r="4145" spans="1:6" x14ac:dyDescent="0.3">
      <c r="A4145" t="s">
        <v>963</v>
      </c>
      <c r="B4145" t="s">
        <v>2148</v>
      </c>
      <c r="C4145">
        <v>7</v>
      </c>
      <c r="D4145">
        <v>127</v>
      </c>
      <c r="E4145">
        <f>IF(OR(B4145="vi",B4145="ii",B4145="pod"),(((D4145/100)*(C4145*VLOOKUP(B4145,'Poids des runes'!A:B,2,FALSE)))+1),(((D4145/100)*(C4145*VLOOKUP(B4145,'Poids des runes'!A:B,2,FALSE)))+1)/VLOOKUP(B4145,'Poids des runes'!A:B,2,FALSE))</f>
        <v>9.0566666666666666</v>
      </c>
      <c r="F4145">
        <f t="shared" si="64"/>
        <v>9.0566666666666666</v>
      </c>
    </row>
    <row r="4146" spans="1:6" x14ac:dyDescent="0.3">
      <c r="A4146" t="s">
        <v>963</v>
      </c>
      <c r="B4146" t="s">
        <v>2147</v>
      </c>
      <c r="C4146">
        <v>7</v>
      </c>
      <c r="D4146">
        <v>127</v>
      </c>
      <c r="E4146">
        <f>IF(OR(B4146="vi",B4146="ii",B4146="pod"),(((D4146/100)*(C4146*VLOOKUP(B4146,'Poids des runes'!A:B,2,FALSE)))+1),(((D4146/100)*(C4146*VLOOKUP(B4146,'Poids des runes'!A:B,2,FALSE)))+1)/VLOOKUP(B4146,'Poids des runes'!A:B,2,FALSE))</f>
        <v>9.0566666666666666</v>
      </c>
      <c r="F4146">
        <f t="shared" si="64"/>
        <v>9.0566666666666666</v>
      </c>
    </row>
    <row r="4147" spans="1:6" x14ac:dyDescent="0.3">
      <c r="A4147" t="s">
        <v>963</v>
      </c>
      <c r="B4147" t="s">
        <v>2135</v>
      </c>
      <c r="C4147">
        <v>7</v>
      </c>
      <c r="D4147">
        <v>127</v>
      </c>
      <c r="E4147">
        <f>IF(OR(B4147="vi",B4147="ii",B4147="pod"),(((D4147/100)*(C4147*VLOOKUP(B4147,'Poids des runes'!A:B,2,FALSE)))+1),(((D4147/100)*(C4147*VLOOKUP(B4147,'Poids des runes'!A:B,2,FALSE)))+1)/VLOOKUP(B4147,'Poids des runes'!A:B,2,FALSE))</f>
        <v>9.0566666666666666</v>
      </c>
      <c r="F4147">
        <f t="shared" si="64"/>
        <v>9.0566666666666666</v>
      </c>
    </row>
    <row r="4148" spans="1:6" x14ac:dyDescent="0.3">
      <c r="A4148" t="s">
        <v>963</v>
      </c>
      <c r="B4148" t="s">
        <v>2157</v>
      </c>
      <c r="C4148">
        <v>7</v>
      </c>
      <c r="D4148">
        <v>127</v>
      </c>
      <c r="E4148">
        <f>IF(OR(B4148="vi",B4148="ii",B4148="pod"),(((D4148/100)*(C4148*VLOOKUP(B4148,'Poids des runes'!A:B,2,FALSE)))+1),(((D4148/100)*(C4148*VLOOKUP(B4148,'Poids des runes'!A:B,2,FALSE)))+1)/VLOOKUP(B4148,'Poids des runes'!A:B,2,FALSE))</f>
        <v>9.0566666666666666</v>
      </c>
      <c r="F4148">
        <f t="shared" si="64"/>
        <v>9.0566666666666666</v>
      </c>
    </row>
    <row r="4149" spans="1:6" x14ac:dyDescent="0.3">
      <c r="A4149" t="s">
        <v>964</v>
      </c>
      <c r="B4149" t="s">
        <v>2128</v>
      </c>
      <c r="C4149">
        <v>125.5</v>
      </c>
      <c r="D4149">
        <v>127</v>
      </c>
      <c r="E4149">
        <f>IF(OR(B4149="vi",B4149="ii",B4149="pod"),(((D4149/100)*(C4149*VLOOKUP(B4149,'Poids des runes'!A:B,2,FALSE)))+1),(((D4149/100)*(C4149*VLOOKUP(B4149,'Poids des runes'!A:B,2,FALSE)))+1)/VLOOKUP(B4149,'Poids des runes'!A:B,2,FALSE))</f>
        <v>32.877000000000002</v>
      </c>
      <c r="F4149">
        <f t="shared" si="64"/>
        <v>32.877000000000002</v>
      </c>
    </row>
    <row r="4150" spans="1:6" x14ac:dyDescent="0.3">
      <c r="A4150" t="s">
        <v>964</v>
      </c>
      <c r="B4150" t="s">
        <v>2131</v>
      </c>
      <c r="C4150">
        <v>35.5</v>
      </c>
      <c r="D4150">
        <v>127</v>
      </c>
      <c r="E4150">
        <f>IF(OR(B4150="vi",B4150="ii",B4150="pod"),(((D4150/100)*(C4150*VLOOKUP(B4150,'Poids des runes'!A:B,2,FALSE)))+1),(((D4150/100)*(C4150*VLOOKUP(B4150,'Poids des runes'!A:B,2,FALSE)))+1)/VLOOKUP(B4150,'Poids des runes'!A:B,2,FALSE))</f>
        <v>46.085000000000001</v>
      </c>
      <c r="F4150">
        <f t="shared" si="64"/>
        <v>46.085000000000001</v>
      </c>
    </row>
    <row r="4151" spans="1:6" x14ac:dyDescent="0.3">
      <c r="A4151" t="s">
        <v>964</v>
      </c>
      <c r="B4151" t="s">
        <v>2127</v>
      </c>
      <c r="C4151">
        <v>35.5</v>
      </c>
      <c r="D4151">
        <v>127</v>
      </c>
      <c r="E4151">
        <f>IF(OR(B4151="vi",B4151="ii",B4151="pod"),(((D4151/100)*(C4151*VLOOKUP(B4151,'Poids des runes'!A:B,2,FALSE)))+1),(((D4151/100)*(C4151*VLOOKUP(B4151,'Poids des runes'!A:B,2,FALSE)))+1)/VLOOKUP(B4151,'Poids des runes'!A:B,2,FALSE))</f>
        <v>46.085000000000001</v>
      </c>
      <c r="F4151">
        <f t="shared" si="64"/>
        <v>46.085000000000001</v>
      </c>
    </row>
    <row r="4152" spans="1:6" x14ac:dyDescent="0.3">
      <c r="A4152" t="s">
        <v>964</v>
      </c>
      <c r="B4152" t="s">
        <v>2129</v>
      </c>
      <c r="C4152">
        <v>20.5</v>
      </c>
      <c r="D4152">
        <v>127</v>
      </c>
      <c r="E4152">
        <f>IF(OR(B4152="vi",B4152="ii",B4152="pod"),(((D4152/100)*(C4152*VLOOKUP(B4152,'Poids des runes'!A:B,2,FALSE)))+1),(((D4152/100)*(C4152*VLOOKUP(B4152,'Poids des runes'!A:B,2,FALSE)))+1)/VLOOKUP(B4152,'Poids des runes'!A:B,2,FALSE))</f>
        <v>27.035</v>
      </c>
      <c r="F4152">
        <f t="shared" si="64"/>
        <v>27.035</v>
      </c>
    </row>
    <row r="4153" spans="1:6" x14ac:dyDescent="0.3">
      <c r="A4153" t="s">
        <v>964</v>
      </c>
      <c r="B4153" t="s">
        <v>2155</v>
      </c>
      <c r="C4153">
        <v>1</v>
      </c>
      <c r="D4153">
        <v>127</v>
      </c>
      <c r="E4153">
        <f>IF(OR(B4153="vi",B4153="ii",B4153="pod"),(((D4153/100)*(C4153*VLOOKUP(B4153,'Poids des runes'!A:B,2,FALSE)))+1),(((D4153/100)*(C4153*VLOOKUP(B4153,'Poids des runes'!A:B,2,FALSE)))+1)/VLOOKUP(B4153,'Poids des runes'!A:B,2,FALSE))</f>
        <v>1.2896078431372549</v>
      </c>
      <c r="F4153">
        <f t="shared" si="64"/>
        <v>1.2896078431372549</v>
      </c>
    </row>
    <row r="4154" spans="1:6" x14ac:dyDescent="0.3">
      <c r="A4154" t="s">
        <v>964</v>
      </c>
      <c r="B4154" t="s">
        <v>2133</v>
      </c>
      <c r="C4154">
        <v>8.5</v>
      </c>
      <c r="D4154">
        <v>127</v>
      </c>
      <c r="E4154">
        <f>IF(OR(B4154="vi",B4154="ii",B4154="pod"),(((D4154/100)*(C4154*VLOOKUP(B4154,'Poids des runes'!A:B,2,FALSE)))+1),(((D4154/100)*(C4154*VLOOKUP(B4154,'Poids des runes'!A:B,2,FALSE)))+1)/VLOOKUP(B4154,'Poids des runes'!A:B,2,FALSE))</f>
        <v>10.995000000000001</v>
      </c>
      <c r="F4154">
        <f t="shared" si="64"/>
        <v>10.995000000000001</v>
      </c>
    </row>
    <row r="4155" spans="1:6" x14ac:dyDescent="0.3">
      <c r="A4155" t="s">
        <v>964</v>
      </c>
      <c r="B4155" t="s">
        <v>2153</v>
      </c>
      <c r="C4155">
        <v>8.5</v>
      </c>
      <c r="D4155">
        <v>127</v>
      </c>
      <c r="E4155">
        <f>IF(OR(B4155="vi",B4155="ii",B4155="pod"),(((D4155/100)*(C4155*VLOOKUP(B4155,'Poids des runes'!A:B,2,FALSE)))+1),(((D4155/100)*(C4155*VLOOKUP(B4155,'Poids des runes'!A:B,2,FALSE)))+1)/VLOOKUP(B4155,'Poids des runes'!A:B,2,FALSE))</f>
        <v>10.995000000000001</v>
      </c>
      <c r="F4155">
        <f t="shared" si="64"/>
        <v>10.995000000000001</v>
      </c>
    </row>
    <row r="4156" spans="1:6" x14ac:dyDescent="0.3">
      <c r="A4156" t="s">
        <v>964</v>
      </c>
      <c r="B4156" t="s">
        <v>2161</v>
      </c>
      <c r="C4156">
        <v>15.5</v>
      </c>
      <c r="D4156">
        <v>127</v>
      </c>
      <c r="E4156">
        <f>IF(OR(B4156="vi",B4156="ii",B4156="pod"),(((D4156/100)*(C4156*VLOOKUP(B4156,'Poids des runes'!A:B,2,FALSE)))+1),(((D4156/100)*(C4156*VLOOKUP(B4156,'Poids des runes'!A:B,2,FALSE)))+1)/VLOOKUP(B4156,'Poids des runes'!A:B,2,FALSE))</f>
        <v>20.018333333333334</v>
      </c>
      <c r="F4156">
        <f t="shared" si="64"/>
        <v>20.018333333333334</v>
      </c>
    </row>
    <row r="4157" spans="1:6" x14ac:dyDescent="0.3">
      <c r="A4157" t="s">
        <v>964</v>
      </c>
      <c r="B4157" t="s">
        <v>2164</v>
      </c>
      <c r="C4157">
        <v>8.5</v>
      </c>
      <c r="D4157">
        <v>127</v>
      </c>
      <c r="E4157">
        <f>IF(OR(B4157="vi",B4157="ii",B4157="pod"),(((D4157/100)*(C4157*VLOOKUP(B4157,'Poids des runes'!A:B,2,FALSE)))+1),(((D4157/100)*(C4157*VLOOKUP(B4157,'Poids des runes'!A:B,2,FALSE)))+1)/VLOOKUP(B4157,'Poids des runes'!A:B,2,FALSE))</f>
        <v>11.295</v>
      </c>
      <c r="F4157">
        <f t="shared" si="64"/>
        <v>11.295</v>
      </c>
    </row>
    <row r="4158" spans="1:6" x14ac:dyDescent="0.3">
      <c r="A4158" t="s">
        <v>964</v>
      </c>
      <c r="B4158" t="s">
        <v>2147</v>
      </c>
      <c r="C4158">
        <v>8.5</v>
      </c>
      <c r="D4158">
        <v>127</v>
      </c>
      <c r="E4158">
        <f>IF(OR(B4158="vi",B4158="ii",B4158="pod"),(((D4158/100)*(C4158*VLOOKUP(B4158,'Poids des runes'!A:B,2,FALSE)))+1),(((D4158/100)*(C4158*VLOOKUP(B4158,'Poids des runes'!A:B,2,FALSE)))+1)/VLOOKUP(B4158,'Poids des runes'!A:B,2,FALSE))</f>
        <v>10.961666666666666</v>
      </c>
      <c r="F4158">
        <f t="shared" si="64"/>
        <v>10.961666666666666</v>
      </c>
    </row>
    <row r="4159" spans="1:6" x14ac:dyDescent="0.3">
      <c r="A4159" t="s">
        <v>964</v>
      </c>
      <c r="B4159" t="s">
        <v>2136</v>
      </c>
      <c r="C4159">
        <v>8.5</v>
      </c>
      <c r="D4159">
        <v>127</v>
      </c>
      <c r="E4159">
        <f>IF(OR(B4159="vi",B4159="ii",B4159="pod"),(((D4159/100)*(C4159*VLOOKUP(B4159,'Poids des runes'!A:B,2,FALSE)))+1),(((D4159/100)*(C4159*VLOOKUP(B4159,'Poids des runes'!A:B,2,FALSE)))+1)/VLOOKUP(B4159,'Poids des runes'!A:B,2,FALSE))</f>
        <v>11.295</v>
      </c>
      <c r="F4159">
        <f t="shared" si="64"/>
        <v>11.295</v>
      </c>
    </row>
    <row r="4160" spans="1:6" x14ac:dyDescent="0.3">
      <c r="A4160" t="s">
        <v>965</v>
      </c>
      <c r="B4160" t="s">
        <v>2128</v>
      </c>
      <c r="C4160">
        <v>175.5</v>
      </c>
      <c r="D4160">
        <v>127</v>
      </c>
      <c r="E4160">
        <f>IF(OR(B4160="vi",B4160="ii",B4160="pod"),(((D4160/100)*(C4160*VLOOKUP(B4160,'Poids des runes'!A:B,2,FALSE)))+1),(((D4160/100)*(C4160*VLOOKUP(B4160,'Poids des runes'!A:B,2,FALSE)))+1)/VLOOKUP(B4160,'Poids des runes'!A:B,2,FALSE))</f>
        <v>45.577000000000005</v>
      </c>
      <c r="F4160">
        <f t="shared" si="64"/>
        <v>45.577000000000005</v>
      </c>
    </row>
    <row r="4161" spans="1:6" x14ac:dyDescent="0.3">
      <c r="A4161" t="s">
        <v>965</v>
      </c>
      <c r="B4161" t="s">
        <v>2130</v>
      </c>
      <c r="C4161">
        <v>35.5</v>
      </c>
      <c r="D4161">
        <v>127</v>
      </c>
      <c r="E4161">
        <f>IF(OR(B4161="vi",B4161="ii",B4161="pod"),(((D4161/100)*(C4161*VLOOKUP(B4161,'Poids des runes'!A:B,2,FALSE)))+1),(((D4161/100)*(C4161*VLOOKUP(B4161,'Poids des runes'!A:B,2,FALSE)))+1)/VLOOKUP(B4161,'Poids des runes'!A:B,2,FALSE))</f>
        <v>46.085000000000001</v>
      </c>
      <c r="F4161">
        <f t="shared" si="64"/>
        <v>46.085000000000001</v>
      </c>
    </row>
    <row r="4162" spans="1:6" x14ac:dyDescent="0.3">
      <c r="A4162" t="s">
        <v>965</v>
      </c>
      <c r="B4162" t="s">
        <v>2129</v>
      </c>
      <c r="C4162">
        <v>25.5</v>
      </c>
      <c r="D4162">
        <v>127</v>
      </c>
      <c r="E4162">
        <f>IF(OR(B4162="vi",B4162="ii",B4162="pod"),(((D4162/100)*(C4162*VLOOKUP(B4162,'Poids des runes'!A:B,2,FALSE)))+1),(((D4162/100)*(C4162*VLOOKUP(B4162,'Poids des runes'!A:B,2,FALSE)))+1)/VLOOKUP(B4162,'Poids des runes'!A:B,2,FALSE))</f>
        <v>33.384999999999998</v>
      </c>
      <c r="F4162">
        <f t="shared" si="64"/>
        <v>33.384999999999998</v>
      </c>
    </row>
    <row r="4163" spans="1:6" x14ac:dyDescent="0.3">
      <c r="A4163" t="s">
        <v>965</v>
      </c>
      <c r="B4163" t="s">
        <v>2151</v>
      </c>
      <c r="C4163">
        <v>4.5</v>
      </c>
      <c r="D4163">
        <v>127</v>
      </c>
      <c r="E4163">
        <f>IF(OR(B4163="vi",B4163="ii",B4163="pod"),(((D4163/100)*(C4163*VLOOKUP(B4163,'Poids des runes'!A:B,2,FALSE)))+1),(((D4163/100)*(C4163*VLOOKUP(B4163,'Poids des runes'!A:B,2,FALSE)))+1)/VLOOKUP(B4163,'Poids des runes'!A:B,2,FALSE))</f>
        <v>5.8149999999999995</v>
      </c>
      <c r="F4163">
        <f t="shared" ref="F4163:F4226" si="65">E4163</f>
        <v>5.8149999999999995</v>
      </c>
    </row>
    <row r="4164" spans="1:6" x14ac:dyDescent="0.3">
      <c r="A4164" t="s">
        <v>965</v>
      </c>
      <c r="B4164" t="s">
        <v>2143</v>
      </c>
      <c r="C4164">
        <v>7</v>
      </c>
      <c r="D4164">
        <v>127</v>
      </c>
      <c r="E4164">
        <f>IF(OR(B4164="vi",B4164="ii",B4164="pod"),(((D4164/100)*(C4164*VLOOKUP(B4164,'Poids des runes'!A:B,2,FALSE)))+1),(((D4164/100)*(C4164*VLOOKUP(B4164,'Poids des runes'!A:B,2,FALSE)))+1)/VLOOKUP(B4164,'Poids des runes'!A:B,2,FALSE))</f>
        <v>9.09</v>
      </c>
      <c r="F4164">
        <f t="shared" si="65"/>
        <v>9.09</v>
      </c>
    </row>
    <row r="4165" spans="1:6" x14ac:dyDescent="0.3">
      <c r="A4165" t="s">
        <v>965</v>
      </c>
      <c r="B4165" t="s">
        <v>2132</v>
      </c>
      <c r="C4165">
        <v>350.5</v>
      </c>
      <c r="D4165">
        <v>127</v>
      </c>
      <c r="E4165">
        <f>IF(OR(B4165="vi",B4165="ii",B4165="pod"),(((D4165/100)*(C4165*VLOOKUP(B4165,'Poids des runes'!A:B,2,FALSE)))+1),(((D4165/100)*(C4165*VLOOKUP(B4165,'Poids des runes'!A:B,2,FALSE)))+1)/VLOOKUP(B4165,'Poids des runes'!A:B,2,FALSE))</f>
        <v>45.513500000000008</v>
      </c>
      <c r="F4165">
        <f t="shared" si="65"/>
        <v>45.513500000000008</v>
      </c>
    </row>
    <row r="4166" spans="1:6" x14ac:dyDescent="0.3">
      <c r="A4166" t="s">
        <v>965</v>
      </c>
      <c r="B4166" t="s">
        <v>2138</v>
      </c>
      <c r="C4166">
        <v>5</v>
      </c>
      <c r="D4166">
        <v>127</v>
      </c>
      <c r="E4166">
        <f>IF(OR(B4166="vi",B4166="ii",B4166="pod"),(((D4166/100)*(C4166*VLOOKUP(B4166,'Poids des runes'!A:B,2,FALSE)))+1),(((D4166/100)*(C4166*VLOOKUP(B4166,'Poids des runes'!A:B,2,FALSE)))+1)/VLOOKUP(B4166,'Poids des runes'!A:B,2,FALSE))</f>
        <v>6.6</v>
      </c>
      <c r="F4166">
        <f t="shared" si="65"/>
        <v>6.6</v>
      </c>
    </row>
    <row r="4167" spans="1:6" x14ac:dyDescent="0.3">
      <c r="A4167" t="s">
        <v>965</v>
      </c>
      <c r="B4167" t="s">
        <v>2160</v>
      </c>
      <c r="C4167">
        <v>5</v>
      </c>
      <c r="D4167">
        <v>127</v>
      </c>
      <c r="E4167">
        <f>IF(OR(B4167="vi",B4167="ii",B4167="pod"),(((D4167/100)*(C4167*VLOOKUP(B4167,'Poids des runes'!A:B,2,FALSE)))+1),(((D4167/100)*(C4167*VLOOKUP(B4167,'Poids des runes'!A:B,2,FALSE)))+1)/VLOOKUP(B4167,'Poids des runes'!A:B,2,FALSE))</f>
        <v>6.4928571428571429</v>
      </c>
      <c r="F4167">
        <f t="shared" si="65"/>
        <v>6.4928571428571429</v>
      </c>
    </row>
    <row r="4168" spans="1:6" x14ac:dyDescent="0.3">
      <c r="A4168" t="s">
        <v>965</v>
      </c>
      <c r="B4168" t="s">
        <v>2164</v>
      </c>
      <c r="C4168">
        <v>13</v>
      </c>
      <c r="D4168">
        <v>127</v>
      </c>
      <c r="E4168">
        <f>IF(OR(B4168="vi",B4168="ii",B4168="pod"),(((D4168/100)*(C4168*VLOOKUP(B4168,'Poids des runes'!A:B,2,FALSE)))+1),(((D4168/100)*(C4168*VLOOKUP(B4168,'Poids des runes'!A:B,2,FALSE)))+1)/VLOOKUP(B4168,'Poids des runes'!A:B,2,FALSE))</f>
        <v>17.010000000000002</v>
      </c>
      <c r="F4168">
        <f t="shared" si="65"/>
        <v>17.010000000000002</v>
      </c>
    </row>
    <row r="4169" spans="1:6" x14ac:dyDescent="0.3">
      <c r="A4169" t="s">
        <v>965</v>
      </c>
      <c r="B4169" t="s">
        <v>2156</v>
      </c>
      <c r="C4169">
        <v>8.5</v>
      </c>
      <c r="D4169">
        <v>127</v>
      </c>
      <c r="E4169">
        <f>IF(OR(B4169="vi",B4169="ii",B4169="pod"),(((D4169/100)*(C4169*VLOOKUP(B4169,'Poids des runes'!A:B,2,FALSE)))+1),(((D4169/100)*(C4169*VLOOKUP(B4169,'Poids des runes'!A:B,2,FALSE)))+1)/VLOOKUP(B4169,'Poids des runes'!A:B,2,FALSE))</f>
        <v>10.961666666666666</v>
      </c>
      <c r="F4169">
        <f t="shared" si="65"/>
        <v>10.961666666666666</v>
      </c>
    </row>
    <row r="4170" spans="1:6" x14ac:dyDescent="0.3">
      <c r="A4170" t="s">
        <v>966</v>
      </c>
      <c r="B4170" t="s">
        <v>2128</v>
      </c>
      <c r="C4170">
        <v>125.5</v>
      </c>
      <c r="D4170">
        <v>127</v>
      </c>
      <c r="E4170">
        <f>IF(OR(B4170="vi",B4170="ii",B4170="pod"),(((D4170/100)*(C4170*VLOOKUP(B4170,'Poids des runes'!A:B,2,FALSE)))+1),(((D4170/100)*(C4170*VLOOKUP(B4170,'Poids des runes'!A:B,2,FALSE)))+1)/VLOOKUP(B4170,'Poids des runes'!A:B,2,FALSE))</f>
        <v>32.877000000000002</v>
      </c>
      <c r="F4170">
        <f t="shared" si="65"/>
        <v>32.877000000000002</v>
      </c>
    </row>
    <row r="4171" spans="1:6" x14ac:dyDescent="0.3">
      <c r="A4171" t="s">
        <v>966</v>
      </c>
      <c r="B4171" t="s">
        <v>2155</v>
      </c>
      <c r="C4171">
        <v>1</v>
      </c>
      <c r="D4171">
        <v>127</v>
      </c>
      <c r="E4171">
        <f>IF(OR(B4171="vi",B4171="ii",B4171="pod"),(((D4171/100)*(C4171*VLOOKUP(B4171,'Poids des runes'!A:B,2,FALSE)))+1),(((D4171/100)*(C4171*VLOOKUP(B4171,'Poids des runes'!A:B,2,FALSE)))+1)/VLOOKUP(B4171,'Poids des runes'!A:B,2,FALSE))</f>
        <v>1.2896078431372549</v>
      </c>
      <c r="F4171">
        <f t="shared" si="65"/>
        <v>1.2896078431372549</v>
      </c>
    </row>
    <row r="4172" spans="1:6" x14ac:dyDescent="0.3">
      <c r="A4172" t="s">
        <v>966</v>
      </c>
      <c r="B4172" t="s">
        <v>2150</v>
      </c>
      <c r="C4172">
        <v>2.5</v>
      </c>
      <c r="D4172">
        <v>127</v>
      </c>
      <c r="E4172">
        <f>IF(OR(B4172="vi",B4172="ii",B4172="pod"),(((D4172/100)*(C4172*VLOOKUP(B4172,'Poids des runes'!A:B,2,FALSE)))+1),(((D4172/100)*(C4172*VLOOKUP(B4172,'Poids des runes'!A:B,2,FALSE)))+1)/VLOOKUP(B4172,'Poids des runes'!A:B,2,FALSE))</f>
        <v>3.2083333333333335</v>
      </c>
      <c r="F4172">
        <f t="shared" si="65"/>
        <v>3.2083333333333335</v>
      </c>
    </row>
    <row r="4173" spans="1:6" x14ac:dyDescent="0.3">
      <c r="A4173" t="s">
        <v>966</v>
      </c>
      <c r="B4173" t="s">
        <v>2134</v>
      </c>
      <c r="C4173">
        <v>5</v>
      </c>
      <c r="D4173">
        <v>127</v>
      </c>
      <c r="E4173">
        <f>IF(OR(B4173="vi",B4173="ii",B4173="pod"),(((D4173/100)*(C4173*VLOOKUP(B4173,'Poids des runes'!A:B,2,FALSE)))+1),(((D4173/100)*(C4173*VLOOKUP(B4173,'Poids des runes'!A:B,2,FALSE)))+1)/VLOOKUP(B4173,'Poids des runes'!A:B,2,FALSE))</f>
        <v>6.4</v>
      </c>
      <c r="F4173">
        <f t="shared" si="65"/>
        <v>6.4</v>
      </c>
    </row>
    <row r="4174" spans="1:6" x14ac:dyDescent="0.3">
      <c r="A4174" t="s">
        <v>966</v>
      </c>
      <c r="B4174" t="s">
        <v>2161</v>
      </c>
      <c r="C4174">
        <v>20.5</v>
      </c>
      <c r="D4174">
        <v>127</v>
      </c>
      <c r="E4174">
        <f>IF(OR(B4174="vi",B4174="ii",B4174="pod"),(((D4174/100)*(C4174*VLOOKUP(B4174,'Poids des runes'!A:B,2,FALSE)))+1),(((D4174/100)*(C4174*VLOOKUP(B4174,'Poids des runes'!A:B,2,FALSE)))+1)/VLOOKUP(B4174,'Poids des runes'!A:B,2,FALSE))</f>
        <v>26.368333333333336</v>
      </c>
      <c r="F4174">
        <f t="shared" si="65"/>
        <v>26.368333333333336</v>
      </c>
    </row>
    <row r="4175" spans="1:6" x14ac:dyDescent="0.3">
      <c r="A4175" t="s">
        <v>966</v>
      </c>
      <c r="B4175" t="s">
        <v>2147</v>
      </c>
      <c r="C4175">
        <v>7</v>
      </c>
      <c r="D4175">
        <v>127</v>
      </c>
      <c r="E4175">
        <f>IF(OR(B4175="vi",B4175="ii",B4175="pod"),(((D4175/100)*(C4175*VLOOKUP(B4175,'Poids des runes'!A:B,2,FALSE)))+1),(((D4175/100)*(C4175*VLOOKUP(B4175,'Poids des runes'!A:B,2,FALSE)))+1)/VLOOKUP(B4175,'Poids des runes'!A:B,2,FALSE))</f>
        <v>9.0566666666666666</v>
      </c>
      <c r="F4175">
        <f t="shared" si="65"/>
        <v>9.0566666666666666</v>
      </c>
    </row>
    <row r="4176" spans="1:6" x14ac:dyDescent="0.3">
      <c r="A4176" t="s">
        <v>966</v>
      </c>
      <c r="B4176" t="s">
        <v>2157</v>
      </c>
      <c r="C4176">
        <v>7</v>
      </c>
      <c r="D4176">
        <v>127</v>
      </c>
      <c r="E4176">
        <f>IF(OR(B4176="vi",B4176="ii",B4176="pod"),(((D4176/100)*(C4176*VLOOKUP(B4176,'Poids des runes'!A:B,2,FALSE)))+1),(((D4176/100)*(C4176*VLOOKUP(B4176,'Poids des runes'!A:B,2,FALSE)))+1)/VLOOKUP(B4176,'Poids des runes'!A:B,2,FALSE))</f>
        <v>9.0566666666666666</v>
      </c>
      <c r="F4176">
        <f t="shared" si="65"/>
        <v>9.0566666666666666</v>
      </c>
    </row>
    <row r="4177" spans="1:6" x14ac:dyDescent="0.3">
      <c r="A4177" t="s">
        <v>967</v>
      </c>
      <c r="B4177" t="s">
        <v>2128</v>
      </c>
      <c r="C4177">
        <v>125.5</v>
      </c>
      <c r="D4177">
        <v>127</v>
      </c>
      <c r="E4177">
        <f>IF(OR(B4177="vi",B4177="ii",B4177="pod"),(((D4177/100)*(C4177*VLOOKUP(B4177,'Poids des runes'!A:B,2,FALSE)))+1),(((D4177/100)*(C4177*VLOOKUP(B4177,'Poids des runes'!A:B,2,FALSE)))+1)/VLOOKUP(B4177,'Poids des runes'!A:B,2,FALSE))</f>
        <v>32.877000000000002</v>
      </c>
      <c r="F4177">
        <f t="shared" si="65"/>
        <v>32.877000000000002</v>
      </c>
    </row>
    <row r="4178" spans="1:6" x14ac:dyDescent="0.3">
      <c r="A4178" t="s">
        <v>967</v>
      </c>
      <c r="B4178" t="s">
        <v>2127</v>
      </c>
      <c r="C4178">
        <v>35.5</v>
      </c>
      <c r="D4178">
        <v>127</v>
      </c>
      <c r="E4178">
        <f>IF(OR(B4178="vi",B4178="ii",B4178="pod"),(((D4178/100)*(C4178*VLOOKUP(B4178,'Poids des runes'!A:B,2,FALSE)))+1),(((D4178/100)*(C4178*VLOOKUP(B4178,'Poids des runes'!A:B,2,FALSE)))+1)/VLOOKUP(B4178,'Poids des runes'!A:B,2,FALSE))</f>
        <v>46.085000000000001</v>
      </c>
      <c r="F4178">
        <f t="shared" si="65"/>
        <v>46.085000000000001</v>
      </c>
    </row>
    <row r="4179" spans="1:6" x14ac:dyDescent="0.3">
      <c r="A4179" t="s">
        <v>967</v>
      </c>
      <c r="B4179" t="s">
        <v>2129</v>
      </c>
      <c r="C4179">
        <v>18</v>
      </c>
      <c r="D4179">
        <v>127</v>
      </c>
      <c r="E4179">
        <f>IF(OR(B4179="vi",B4179="ii",B4179="pod"),(((D4179/100)*(C4179*VLOOKUP(B4179,'Poids des runes'!A:B,2,FALSE)))+1),(((D4179/100)*(C4179*VLOOKUP(B4179,'Poids des runes'!A:B,2,FALSE)))+1)/VLOOKUP(B4179,'Poids des runes'!A:B,2,FALSE))</f>
        <v>23.86</v>
      </c>
      <c r="F4179">
        <f t="shared" si="65"/>
        <v>23.86</v>
      </c>
    </row>
    <row r="4180" spans="1:6" x14ac:dyDescent="0.3">
      <c r="A4180" t="s">
        <v>967</v>
      </c>
      <c r="B4180" t="s">
        <v>2153</v>
      </c>
      <c r="C4180">
        <v>8.5</v>
      </c>
      <c r="D4180">
        <v>127</v>
      </c>
      <c r="E4180">
        <f>IF(OR(B4180="vi",B4180="ii",B4180="pod"),(((D4180/100)*(C4180*VLOOKUP(B4180,'Poids des runes'!A:B,2,FALSE)))+1),(((D4180/100)*(C4180*VLOOKUP(B4180,'Poids des runes'!A:B,2,FALSE)))+1)/VLOOKUP(B4180,'Poids des runes'!A:B,2,FALSE))</f>
        <v>10.995000000000001</v>
      </c>
      <c r="F4180">
        <f t="shared" si="65"/>
        <v>10.995000000000001</v>
      </c>
    </row>
    <row r="4181" spans="1:6" x14ac:dyDescent="0.3">
      <c r="A4181" t="s">
        <v>967</v>
      </c>
      <c r="B4181" t="s">
        <v>2161</v>
      </c>
      <c r="C4181">
        <v>15.5</v>
      </c>
      <c r="D4181">
        <v>127</v>
      </c>
      <c r="E4181">
        <f>IF(OR(B4181="vi",B4181="ii",B4181="pod"),(((D4181/100)*(C4181*VLOOKUP(B4181,'Poids des runes'!A:B,2,FALSE)))+1),(((D4181/100)*(C4181*VLOOKUP(B4181,'Poids des runes'!A:B,2,FALSE)))+1)/VLOOKUP(B4181,'Poids des runes'!A:B,2,FALSE))</f>
        <v>20.018333333333334</v>
      </c>
      <c r="F4181">
        <f t="shared" si="65"/>
        <v>20.018333333333334</v>
      </c>
    </row>
    <row r="4182" spans="1:6" x14ac:dyDescent="0.3">
      <c r="A4182" t="s">
        <v>967</v>
      </c>
      <c r="B4182" t="s">
        <v>2159</v>
      </c>
      <c r="C4182">
        <v>4.5</v>
      </c>
      <c r="D4182">
        <v>127</v>
      </c>
      <c r="E4182">
        <f>IF(OR(B4182="vi",B4182="ii",B4182="pod"),(((D4182/100)*(C4182*VLOOKUP(B4182,'Poids des runes'!A:B,2,FALSE)))+1),(((D4182/100)*(C4182*VLOOKUP(B4182,'Poids des runes'!A:B,2,FALSE)))+1)/VLOOKUP(B4182,'Poids des runes'!A:B,2,FALSE))</f>
        <v>5.8578571428571431</v>
      </c>
      <c r="F4182">
        <f t="shared" si="65"/>
        <v>5.8578571428571431</v>
      </c>
    </row>
    <row r="4183" spans="1:6" x14ac:dyDescent="0.3">
      <c r="A4183" t="s">
        <v>967</v>
      </c>
      <c r="B4183" t="s">
        <v>2163</v>
      </c>
      <c r="C4183">
        <v>8.5</v>
      </c>
      <c r="D4183">
        <v>127</v>
      </c>
      <c r="E4183">
        <f>IF(OR(B4183="vi",B4183="ii",B4183="pod"),(((D4183/100)*(C4183*VLOOKUP(B4183,'Poids des runes'!A:B,2,FALSE)))+1),(((D4183/100)*(C4183*VLOOKUP(B4183,'Poids des runes'!A:B,2,FALSE)))+1)/VLOOKUP(B4183,'Poids des runes'!A:B,2,FALSE))</f>
        <v>11.295</v>
      </c>
      <c r="F4183">
        <f t="shared" si="65"/>
        <v>11.295</v>
      </c>
    </row>
    <row r="4184" spans="1:6" x14ac:dyDescent="0.3">
      <c r="A4184" t="s">
        <v>967</v>
      </c>
      <c r="B4184" t="s">
        <v>2145</v>
      </c>
      <c r="C4184">
        <v>13</v>
      </c>
      <c r="D4184">
        <v>127</v>
      </c>
      <c r="E4184">
        <f>IF(OR(B4184="vi",B4184="ii",B4184="pod"),(((D4184/100)*(C4184*VLOOKUP(B4184,'Poids des runes'!A:B,2,FALSE)))+1),(((D4184/100)*(C4184*VLOOKUP(B4184,'Poids des runes'!A:B,2,FALSE)))+1)/VLOOKUP(B4184,'Poids des runes'!A:B,2,FALSE))</f>
        <v>17.010000000000002</v>
      </c>
      <c r="F4184">
        <f t="shared" si="65"/>
        <v>17.010000000000002</v>
      </c>
    </row>
    <row r="4185" spans="1:6" x14ac:dyDescent="0.3">
      <c r="A4185" t="s">
        <v>968</v>
      </c>
      <c r="B4185" t="s">
        <v>2128</v>
      </c>
      <c r="C4185">
        <v>115.5</v>
      </c>
      <c r="D4185">
        <v>127</v>
      </c>
      <c r="E4185">
        <f>IF(OR(B4185="vi",B4185="ii",B4185="pod"),(((D4185/100)*(C4185*VLOOKUP(B4185,'Poids des runes'!A:B,2,FALSE)))+1),(((D4185/100)*(C4185*VLOOKUP(B4185,'Poids des runes'!A:B,2,FALSE)))+1)/VLOOKUP(B4185,'Poids des runes'!A:B,2,FALSE))</f>
        <v>30.337000000000003</v>
      </c>
      <c r="F4185">
        <f t="shared" si="65"/>
        <v>30.337000000000003</v>
      </c>
    </row>
    <row r="4186" spans="1:6" x14ac:dyDescent="0.3">
      <c r="A4186" t="s">
        <v>968</v>
      </c>
      <c r="B4186" t="s">
        <v>2130</v>
      </c>
      <c r="C4186">
        <v>35.5</v>
      </c>
      <c r="D4186">
        <v>127</v>
      </c>
      <c r="E4186">
        <f>IF(OR(B4186="vi",B4186="ii",B4186="pod"),(((D4186/100)*(C4186*VLOOKUP(B4186,'Poids des runes'!A:B,2,FALSE)))+1),(((D4186/100)*(C4186*VLOOKUP(B4186,'Poids des runes'!A:B,2,FALSE)))+1)/VLOOKUP(B4186,'Poids des runes'!A:B,2,FALSE))</f>
        <v>46.085000000000001</v>
      </c>
      <c r="F4186">
        <f t="shared" si="65"/>
        <v>46.085000000000001</v>
      </c>
    </row>
    <row r="4187" spans="1:6" x14ac:dyDescent="0.3">
      <c r="A4187" t="s">
        <v>968</v>
      </c>
      <c r="B4187" t="s">
        <v>2129</v>
      </c>
      <c r="C4187">
        <v>25.5</v>
      </c>
      <c r="D4187">
        <v>127</v>
      </c>
      <c r="E4187">
        <f>IF(OR(B4187="vi",B4187="ii",B4187="pod"),(((D4187/100)*(C4187*VLOOKUP(B4187,'Poids des runes'!A:B,2,FALSE)))+1),(((D4187/100)*(C4187*VLOOKUP(B4187,'Poids des runes'!A:B,2,FALSE)))+1)/VLOOKUP(B4187,'Poids des runes'!A:B,2,FALSE))</f>
        <v>33.384999999999998</v>
      </c>
      <c r="F4187">
        <f t="shared" si="65"/>
        <v>33.384999999999998</v>
      </c>
    </row>
    <row r="4188" spans="1:6" x14ac:dyDescent="0.3">
      <c r="A4188" t="s">
        <v>968</v>
      </c>
      <c r="B4188" t="s">
        <v>2151</v>
      </c>
      <c r="C4188">
        <v>2.5</v>
      </c>
      <c r="D4188">
        <v>127</v>
      </c>
      <c r="E4188">
        <f>IF(OR(B4188="vi",B4188="ii",B4188="pod"),(((D4188/100)*(C4188*VLOOKUP(B4188,'Poids des runes'!A:B,2,FALSE)))+1),(((D4188/100)*(C4188*VLOOKUP(B4188,'Poids des runes'!A:B,2,FALSE)))+1)/VLOOKUP(B4188,'Poids des runes'!A:B,2,FALSE))</f>
        <v>3.2749999999999999</v>
      </c>
      <c r="F4188">
        <f t="shared" si="65"/>
        <v>3.2749999999999999</v>
      </c>
    </row>
    <row r="4189" spans="1:6" x14ac:dyDescent="0.3">
      <c r="A4189" t="s">
        <v>968</v>
      </c>
      <c r="B4189" t="s">
        <v>2143</v>
      </c>
      <c r="C4189">
        <v>8.5</v>
      </c>
      <c r="D4189">
        <v>127</v>
      </c>
      <c r="E4189">
        <f>IF(OR(B4189="vi",B4189="ii",B4189="pod"),(((D4189/100)*(C4189*VLOOKUP(B4189,'Poids des runes'!A:B,2,FALSE)))+1),(((D4189/100)*(C4189*VLOOKUP(B4189,'Poids des runes'!A:B,2,FALSE)))+1)/VLOOKUP(B4189,'Poids des runes'!A:B,2,FALSE))</f>
        <v>10.995000000000001</v>
      </c>
      <c r="F4189">
        <f t="shared" si="65"/>
        <v>10.995000000000001</v>
      </c>
    </row>
    <row r="4190" spans="1:6" x14ac:dyDescent="0.3">
      <c r="A4190" t="s">
        <v>968</v>
      </c>
      <c r="B4190" t="s">
        <v>2160</v>
      </c>
      <c r="C4190">
        <v>3.5</v>
      </c>
      <c r="D4190">
        <v>127</v>
      </c>
      <c r="E4190">
        <f>IF(OR(B4190="vi",B4190="ii",B4190="pod"),(((D4190/100)*(C4190*VLOOKUP(B4190,'Poids des runes'!A:B,2,FALSE)))+1),(((D4190/100)*(C4190*VLOOKUP(B4190,'Poids des runes'!A:B,2,FALSE)))+1)/VLOOKUP(B4190,'Poids des runes'!A:B,2,FALSE))</f>
        <v>4.5878571428571435</v>
      </c>
      <c r="F4190">
        <f t="shared" si="65"/>
        <v>4.5878571428571435</v>
      </c>
    </row>
    <row r="4191" spans="1:6" x14ac:dyDescent="0.3">
      <c r="A4191" t="s">
        <v>968</v>
      </c>
      <c r="B4191" t="s">
        <v>2157</v>
      </c>
      <c r="C4191">
        <v>4</v>
      </c>
      <c r="D4191">
        <v>127</v>
      </c>
      <c r="E4191">
        <f>IF(OR(B4191="vi",B4191="ii",B4191="pod"),(((D4191/100)*(C4191*VLOOKUP(B4191,'Poids des runes'!A:B,2,FALSE)))+1),(((D4191/100)*(C4191*VLOOKUP(B4191,'Poids des runes'!A:B,2,FALSE)))+1)/VLOOKUP(B4191,'Poids des runes'!A:B,2,FALSE))</f>
        <v>5.246666666666667</v>
      </c>
      <c r="F4191">
        <f t="shared" si="65"/>
        <v>5.246666666666667</v>
      </c>
    </row>
    <row r="4192" spans="1:6" x14ac:dyDescent="0.3">
      <c r="A4192" t="s">
        <v>969</v>
      </c>
      <c r="B4192" t="s">
        <v>2128</v>
      </c>
      <c r="C4192">
        <v>175.5</v>
      </c>
      <c r="D4192">
        <v>127</v>
      </c>
      <c r="E4192">
        <f>IF(OR(B4192="vi",B4192="ii",B4192="pod"),(((D4192/100)*(C4192*VLOOKUP(B4192,'Poids des runes'!A:B,2,FALSE)))+1),(((D4192/100)*(C4192*VLOOKUP(B4192,'Poids des runes'!A:B,2,FALSE)))+1)/VLOOKUP(B4192,'Poids des runes'!A:B,2,FALSE))</f>
        <v>45.577000000000005</v>
      </c>
      <c r="F4192">
        <f t="shared" si="65"/>
        <v>45.577000000000005</v>
      </c>
    </row>
    <row r="4193" spans="1:6" x14ac:dyDescent="0.3">
      <c r="A4193" t="s">
        <v>969</v>
      </c>
      <c r="B4193" t="s">
        <v>2131</v>
      </c>
      <c r="C4193">
        <v>40.5</v>
      </c>
      <c r="D4193">
        <v>127</v>
      </c>
      <c r="E4193">
        <f>IF(OR(B4193="vi",B4193="ii",B4193="pod"),(((D4193/100)*(C4193*VLOOKUP(B4193,'Poids des runes'!A:B,2,FALSE)))+1),(((D4193/100)*(C4193*VLOOKUP(B4193,'Poids des runes'!A:B,2,FALSE)))+1)/VLOOKUP(B4193,'Poids des runes'!A:B,2,FALSE))</f>
        <v>52.435000000000002</v>
      </c>
      <c r="F4193">
        <f t="shared" si="65"/>
        <v>52.435000000000002</v>
      </c>
    </row>
    <row r="4194" spans="1:6" x14ac:dyDescent="0.3">
      <c r="A4194" t="s">
        <v>969</v>
      </c>
      <c r="B4194" t="s">
        <v>2129</v>
      </c>
      <c r="C4194">
        <v>25.5</v>
      </c>
      <c r="D4194">
        <v>127</v>
      </c>
      <c r="E4194">
        <f>IF(OR(B4194="vi",B4194="ii",B4194="pod"),(((D4194/100)*(C4194*VLOOKUP(B4194,'Poids des runes'!A:B,2,FALSE)))+1),(((D4194/100)*(C4194*VLOOKUP(B4194,'Poids des runes'!A:B,2,FALSE)))+1)/VLOOKUP(B4194,'Poids des runes'!A:B,2,FALSE))</f>
        <v>33.384999999999998</v>
      </c>
      <c r="F4194">
        <f t="shared" si="65"/>
        <v>33.384999999999998</v>
      </c>
    </row>
    <row r="4195" spans="1:6" x14ac:dyDescent="0.3">
      <c r="A4195" t="s">
        <v>969</v>
      </c>
      <c r="B4195" t="s">
        <v>2155</v>
      </c>
      <c r="C4195">
        <v>1</v>
      </c>
      <c r="D4195">
        <v>127</v>
      </c>
      <c r="E4195">
        <f>IF(OR(B4195="vi",B4195="ii",B4195="pod"),(((D4195/100)*(C4195*VLOOKUP(B4195,'Poids des runes'!A:B,2,FALSE)))+1),(((D4195/100)*(C4195*VLOOKUP(B4195,'Poids des runes'!A:B,2,FALSE)))+1)/VLOOKUP(B4195,'Poids des runes'!A:B,2,FALSE))</f>
        <v>1.2896078431372549</v>
      </c>
      <c r="F4195">
        <f t="shared" si="65"/>
        <v>1.2896078431372549</v>
      </c>
    </row>
    <row r="4196" spans="1:6" x14ac:dyDescent="0.3">
      <c r="A4196" t="s">
        <v>969</v>
      </c>
      <c r="B4196" t="s">
        <v>2150</v>
      </c>
      <c r="C4196">
        <v>1</v>
      </c>
      <c r="D4196">
        <v>127</v>
      </c>
      <c r="E4196">
        <f>IF(OR(B4196="vi",B4196="ii",B4196="pod"),(((D4196/100)*(C4196*VLOOKUP(B4196,'Poids des runes'!A:B,2,FALSE)))+1),(((D4196/100)*(C4196*VLOOKUP(B4196,'Poids des runes'!A:B,2,FALSE)))+1)/VLOOKUP(B4196,'Poids des runes'!A:B,2,FALSE))</f>
        <v>1.3033333333333335</v>
      </c>
      <c r="F4196">
        <f t="shared" si="65"/>
        <v>1.3033333333333335</v>
      </c>
    </row>
    <row r="4197" spans="1:6" x14ac:dyDescent="0.3">
      <c r="A4197" t="s">
        <v>969</v>
      </c>
      <c r="B4197" t="s">
        <v>2133</v>
      </c>
      <c r="C4197">
        <v>8.5</v>
      </c>
      <c r="D4197">
        <v>127</v>
      </c>
      <c r="E4197">
        <f>IF(OR(B4197="vi",B4197="ii",B4197="pod"),(((D4197/100)*(C4197*VLOOKUP(B4197,'Poids des runes'!A:B,2,FALSE)))+1),(((D4197/100)*(C4197*VLOOKUP(B4197,'Poids des runes'!A:B,2,FALSE)))+1)/VLOOKUP(B4197,'Poids des runes'!A:B,2,FALSE))</f>
        <v>10.995000000000001</v>
      </c>
      <c r="F4197">
        <f t="shared" si="65"/>
        <v>10.995000000000001</v>
      </c>
    </row>
    <row r="4198" spans="1:6" x14ac:dyDescent="0.3">
      <c r="A4198" t="s">
        <v>969</v>
      </c>
      <c r="B4198" t="s">
        <v>2138</v>
      </c>
      <c r="C4198">
        <v>4</v>
      </c>
      <c r="D4198">
        <v>127</v>
      </c>
      <c r="E4198">
        <f>IF(OR(B4198="vi",B4198="ii",B4198="pod"),(((D4198/100)*(C4198*VLOOKUP(B4198,'Poids des runes'!A:B,2,FALSE)))+1),(((D4198/100)*(C4198*VLOOKUP(B4198,'Poids des runes'!A:B,2,FALSE)))+1)/VLOOKUP(B4198,'Poids des runes'!A:B,2,FALSE))</f>
        <v>5.33</v>
      </c>
      <c r="F4198">
        <f t="shared" si="65"/>
        <v>5.33</v>
      </c>
    </row>
    <row r="4199" spans="1:6" x14ac:dyDescent="0.3">
      <c r="A4199" t="s">
        <v>969</v>
      </c>
      <c r="B4199" t="s">
        <v>2160</v>
      </c>
      <c r="C4199">
        <v>4</v>
      </c>
      <c r="D4199">
        <v>127</v>
      </c>
      <c r="E4199">
        <f>IF(OR(B4199="vi",B4199="ii",B4199="pod"),(((D4199/100)*(C4199*VLOOKUP(B4199,'Poids des runes'!A:B,2,FALSE)))+1),(((D4199/100)*(C4199*VLOOKUP(B4199,'Poids des runes'!A:B,2,FALSE)))+1)/VLOOKUP(B4199,'Poids des runes'!A:B,2,FALSE))</f>
        <v>5.2228571428571433</v>
      </c>
      <c r="F4199">
        <f t="shared" si="65"/>
        <v>5.2228571428571433</v>
      </c>
    </row>
    <row r="4200" spans="1:6" x14ac:dyDescent="0.3">
      <c r="A4200" t="s">
        <v>969</v>
      </c>
      <c r="B4200" t="s">
        <v>2148</v>
      </c>
      <c r="C4200">
        <v>4</v>
      </c>
      <c r="D4200">
        <v>127</v>
      </c>
      <c r="E4200">
        <f>IF(OR(B4200="vi",B4200="ii",B4200="pod"),(((D4200/100)*(C4200*VLOOKUP(B4200,'Poids des runes'!A:B,2,FALSE)))+1),(((D4200/100)*(C4200*VLOOKUP(B4200,'Poids des runes'!A:B,2,FALSE)))+1)/VLOOKUP(B4200,'Poids des runes'!A:B,2,FALSE))</f>
        <v>5.246666666666667</v>
      </c>
      <c r="F4200">
        <f t="shared" si="65"/>
        <v>5.246666666666667</v>
      </c>
    </row>
    <row r="4201" spans="1:6" x14ac:dyDescent="0.3">
      <c r="A4201" t="s">
        <v>969</v>
      </c>
      <c r="B4201" t="s">
        <v>2157</v>
      </c>
      <c r="C4201">
        <v>3.5</v>
      </c>
      <c r="D4201">
        <v>127</v>
      </c>
      <c r="E4201">
        <f>IF(OR(B4201="vi",B4201="ii",B4201="pod"),(((D4201/100)*(C4201*VLOOKUP(B4201,'Poids des runes'!A:B,2,FALSE)))+1),(((D4201/100)*(C4201*VLOOKUP(B4201,'Poids des runes'!A:B,2,FALSE)))+1)/VLOOKUP(B4201,'Poids des runes'!A:B,2,FALSE))</f>
        <v>4.6116666666666672</v>
      </c>
      <c r="F4201">
        <f t="shared" si="65"/>
        <v>4.6116666666666672</v>
      </c>
    </row>
    <row r="4202" spans="1:6" x14ac:dyDescent="0.3">
      <c r="A4202" t="s">
        <v>970</v>
      </c>
      <c r="B4202" t="s">
        <v>2128</v>
      </c>
      <c r="C4202">
        <v>125.5</v>
      </c>
      <c r="D4202">
        <v>127</v>
      </c>
      <c r="E4202">
        <f>IF(OR(B4202="vi",B4202="ii",B4202="pod"),(((D4202/100)*(C4202*VLOOKUP(B4202,'Poids des runes'!A:B,2,FALSE)))+1),(((D4202/100)*(C4202*VLOOKUP(B4202,'Poids des runes'!A:B,2,FALSE)))+1)/VLOOKUP(B4202,'Poids des runes'!A:B,2,FALSE))</f>
        <v>32.877000000000002</v>
      </c>
      <c r="F4202">
        <f t="shared" si="65"/>
        <v>32.877000000000002</v>
      </c>
    </row>
    <row r="4203" spans="1:6" x14ac:dyDescent="0.3">
      <c r="A4203" t="s">
        <v>970</v>
      </c>
      <c r="B4203" t="s">
        <v>2131</v>
      </c>
      <c r="C4203">
        <v>35.5</v>
      </c>
      <c r="D4203">
        <v>127</v>
      </c>
      <c r="E4203">
        <f>IF(OR(B4203="vi",B4203="ii",B4203="pod"),(((D4203/100)*(C4203*VLOOKUP(B4203,'Poids des runes'!A:B,2,FALSE)))+1),(((D4203/100)*(C4203*VLOOKUP(B4203,'Poids des runes'!A:B,2,FALSE)))+1)/VLOOKUP(B4203,'Poids des runes'!A:B,2,FALSE))</f>
        <v>46.085000000000001</v>
      </c>
      <c r="F4203">
        <f t="shared" si="65"/>
        <v>46.085000000000001</v>
      </c>
    </row>
    <row r="4204" spans="1:6" x14ac:dyDescent="0.3">
      <c r="A4204" t="s">
        <v>970</v>
      </c>
      <c r="B4204" t="s">
        <v>2129</v>
      </c>
      <c r="C4204">
        <v>25.5</v>
      </c>
      <c r="D4204">
        <v>127</v>
      </c>
      <c r="E4204">
        <f>IF(OR(B4204="vi",B4204="ii",B4204="pod"),(((D4204/100)*(C4204*VLOOKUP(B4204,'Poids des runes'!A:B,2,FALSE)))+1),(((D4204/100)*(C4204*VLOOKUP(B4204,'Poids des runes'!A:B,2,FALSE)))+1)/VLOOKUP(B4204,'Poids des runes'!A:B,2,FALSE))</f>
        <v>33.384999999999998</v>
      </c>
      <c r="F4204">
        <f t="shared" si="65"/>
        <v>33.384999999999998</v>
      </c>
    </row>
    <row r="4205" spans="1:6" x14ac:dyDescent="0.3">
      <c r="A4205" t="s">
        <v>970</v>
      </c>
      <c r="B4205" t="s">
        <v>2154</v>
      </c>
      <c r="C4205">
        <v>1</v>
      </c>
      <c r="D4205">
        <v>127</v>
      </c>
      <c r="E4205">
        <f>IF(OR(B4205="vi",B4205="ii",B4205="pod"),(((D4205/100)*(C4205*VLOOKUP(B4205,'Poids des runes'!A:B,2,FALSE)))+1),(((D4205/100)*(C4205*VLOOKUP(B4205,'Poids des runes'!A:B,2,FALSE)))+1)/VLOOKUP(B4205,'Poids des runes'!A:B,2,FALSE))</f>
        <v>1.2811111111111111</v>
      </c>
      <c r="F4205">
        <f t="shared" si="65"/>
        <v>1.2811111111111111</v>
      </c>
    </row>
    <row r="4206" spans="1:6" x14ac:dyDescent="0.3">
      <c r="A4206" t="s">
        <v>970</v>
      </c>
      <c r="B4206" t="s">
        <v>2150</v>
      </c>
      <c r="C4206">
        <v>1</v>
      </c>
      <c r="D4206">
        <v>127</v>
      </c>
      <c r="E4206">
        <f>IF(OR(B4206="vi",B4206="ii",B4206="pod"),(((D4206/100)*(C4206*VLOOKUP(B4206,'Poids des runes'!A:B,2,FALSE)))+1),(((D4206/100)*(C4206*VLOOKUP(B4206,'Poids des runes'!A:B,2,FALSE)))+1)/VLOOKUP(B4206,'Poids des runes'!A:B,2,FALSE))</f>
        <v>1.3033333333333335</v>
      </c>
      <c r="F4206">
        <f t="shared" si="65"/>
        <v>1.3033333333333335</v>
      </c>
    </row>
    <row r="4207" spans="1:6" x14ac:dyDescent="0.3">
      <c r="A4207" t="s">
        <v>970</v>
      </c>
      <c r="B4207" t="s">
        <v>2133</v>
      </c>
      <c r="C4207">
        <v>6.5</v>
      </c>
      <c r="D4207">
        <v>127</v>
      </c>
      <c r="E4207">
        <f>IF(OR(B4207="vi",B4207="ii",B4207="pod"),(((D4207/100)*(C4207*VLOOKUP(B4207,'Poids des runes'!A:B,2,FALSE)))+1),(((D4207/100)*(C4207*VLOOKUP(B4207,'Poids des runes'!A:B,2,FALSE)))+1)/VLOOKUP(B4207,'Poids des runes'!A:B,2,FALSE))</f>
        <v>8.4550000000000001</v>
      </c>
      <c r="F4207">
        <f t="shared" si="65"/>
        <v>8.4550000000000001</v>
      </c>
    </row>
    <row r="4208" spans="1:6" x14ac:dyDescent="0.3">
      <c r="A4208" t="s">
        <v>970</v>
      </c>
      <c r="B4208" t="s">
        <v>2138</v>
      </c>
      <c r="C4208">
        <v>4</v>
      </c>
      <c r="D4208">
        <v>127</v>
      </c>
      <c r="E4208">
        <f>IF(OR(B4208="vi",B4208="ii",B4208="pod"),(((D4208/100)*(C4208*VLOOKUP(B4208,'Poids des runes'!A:B,2,FALSE)))+1),(((D4208/100)*(C4208*VLOOKUP(B4208,'Poids des runes'!A:B,2,FALSE)))+1)/VLOOKUP(B4208,'Poids des runes'!A:B,2,FALSE))</f>
        <v>5.33</v>
      </c>
      <c r="F4208">
        <f t="shared" si="65"/>
        <v>5.33</v>
      </c>
    </row>
    <row r="4209" spans="1:6" x14ac:dyDescent="0.3">
      <c r="A4209" t="s">
        <v>970</v>
      </c>
      <c r="B4209" t="s">
        <v>2160</v>
      </c>
      <c r="C4209">
        <v>4</v>
      </c>
      <c r="D4209">
        <v>127</v>
      </c>
      <c r="E4209">
        <f>IF(OR(B4209="vi",B4209="ii",B4209="pod"),(((D4209/100)*(C4209*VLOOKUP(B4209,'Poids des runes'!A:B,2,FALSE)))+1),(((D4209/100)*(C4209*VLOOKUP(B4209,'Poids des runes'!A:B,2,FALSE)))+1)/VLOOKUP(B4209,'Poids des runes'!A:B,2,FALSE))</f>
        <v>5.2228571428571433</v>
      </c>
      <c r="F4209">
        <f t="shared" si="65"/>
        <v>5.2228571428571433</v>
      </c>
    </row>
    <row r="4210" spans="1:6" x14ac:dyDescent="0.3">
      <c r="A4210" t="s">
        <v>970</v>
      </c>
      <c r="B4210" t="s">
        <v>2135</v>
      </c>
      <c r="C4210">
        <v>5</v>
      </c>
      <c r="D4210">
        <v>127</v>
      </c>
      <c r="E4210">
        <f>IF(OR(B4210="vi",B4210="ii",B4210="pod"),(((D4210/100)*(C4210*VLOOKUP(B4210,'Poids des runes'!A:B,2,FALSE)))+1),(((D4210/100)*(C4210*VLOOKUP(B4210,'Poids des runes'!A:B,2,FALSE)))+1)/VLOOKUP(B4210,'Poids des runes'!A:B,2,FALSE))</f>
        <v>6.5166666666666666</v>
      </c>
      <c r="F4210">
        <f t="shared" si="65"/>
        <v>6.5166666666666666</v>
      </c>
    </row>
    <row r="4211" spans="1:6" x14ac:dyDescent="0.3">
      <c r="A4211" t="s">
        <v>971</v>
      </c>
      <c r="B4211" t="s">
        <v>2128</v>
      </c>
      <c r="C4211">
        <v>175.5</v>
      </c>
      <c r="D4211">
        <v>128</v>
      </c>
      <c r="E4211">
        <f>IF(OR(B4211="vi",B4211="ii",B4211="pod"),(((D4211/100)*(C4211*VLOOKUP(B4211,'Poids des runes'!A:B,2,FALSE)))+1),(((D4211/100)*(C4211*VLOOKUP(B4211,'Poids des runes'!A:B,2,FALSE)))+1)/VLOOKUP(B4211,'Poids des runes'!A:B,2,FALSE))</f>
        <v>45.928000000000004</v>
      </c>
      <c r="F4211">
        <f t="shared" si="65"/>
        <v>45.928000000000004</v>
      </c>
    </row>
    <row r="4212" spans="1:6" x14ac:dyDescent="0.3">
      <c r="A4212" t="s">
        <v>971</v>
      </c>
      <c r="B4212" t="s">
        <v>2127</v>
      </c>
      <c r="C4212">
        <v>53</v>
      </c>
      <c r="D4212">
        <v>128</v>
      </c>
      <c r="E4212">
        <f>IF(OR(B4212="vi",B4212="ii",B4212="pod"),(((D4212/100)*(C4212*VLOOKUP(B4212,'Poids des runes'!A:B,2,FALSE)))+1),(((D4212/100)*(C4212*VLOOKUP(B4212,'Poids des runes'!A:B,2,FALSE)))+1)/VLOOKUP(B4212,'Poids des runes'!A:B,2,FALSE))</f>
        <v>68.84</v>
      </c>
      <c r="F4212">
        <f t="shared" si="65"/>
        <v>68.84</v>
      </c>
    </row>
    <row r="4213" spans="1:6" x14ac:dyDescent="0.3">
      <c r="A4213" t="s">
        <v>971</v>
      </c>
      <c r="B4213" t="s">
        <v>2129</v>
      </c>
      <c r="C4213">
        <v>30.5</v>
      </c>
      <c r="D4213">
        <v>128</v>
      </c>
      <c r="E4213">
        <f>IF(OR(B4213="vi",B4213="ii",B4213="pod"),(((D4213/100)*(C4213*VLOOKUP(B4213,'Poids des runes'!A:B,2,FALSE)))+1),(((D4213/100)*(C4213*VLOOKUP(B4213,'Poids des runes'!A:B,2,FALSE)))+1)/VLOOKUP(B4213,'Poids des runes'!A:B,2,FALSE))</f>
        <v>40.04</v>
      </c>
      <c r="F4213">
        <f t="shared" si="65"/>
        <v>40.04</v>
      </c>
    </row>
    <row r="4214" spans="1:6" x14ac:dyDescent="0.3">
      <c r="A4214" t="s">
        <v>971</v>
      </c>
      <c r="B4214" t="s">
        <v>2154</v>
      </c>
      <c r="C4214">
        <v>1</v>
      </c>
      <c r="D4214">
        <v>128</v>
      </c>
      <c r="E4214">
        <f>IF(OR(B4214="vi",B4214="ii",B4214="pod"),(((D4214/100)*(C4214*VLOOKUP(B4214,'Poids des runes'!A:B,2,FALSE)))+1),(((D4214/100)*(C4214*VLOOKUP(B4214,'Poids des runes'!A:B,2,FALSE)))+1)/VLOOKUP(B4214,'Poids des runes'!A:B,2,FALSE))</f>
        <v>1.2911111111111111</v>
      </c>
      <c r="F4214">
        <f t="shared" si="65"/>
        <v>1.2911111111111111</v>
      </c>
    </row>
    <row r="4215" spans="1:6" x14ac:dyDescent="0.3">
      <c r="A4215" t="s">
        <v>971</v>
      </c>
      <c r="B4215" t="s">
        <v>2141</v>
      </c>
      <c r="C4215">
        <v>6</v>
      </c>
      <c r="D4215">
        <v>128</v>
      </c>
      <c r="E4215">
        <f>IF(OR(B4215="vi",B4215="ii",B4215="pod"),(((D4215/100)*(C4215*VLOOKUP(B4215,'Poids des runes'!A:B,2,FALSE)))+1),(((D4215/100)*(C4215*VLOOKUP(B4215,'Poids des runes'!A:B,2,FALSE)))+1)/VLOOKUP(B4215,'Poids des runes'!A:B,2,FALSE))</f>
        <v>7.93</v>
      </c>
      <c r="F4215">
        <f t="shared" si="65"/>
        <v>7.93</v>
      </c>
    </row>
    <row r="4216" spans="1:6" x14ac:dyDescent="0.3">
      <c r="A4216" t="s">
        <v>971</v>
      </c>
      <c r="B4216" t="s">
        <v>2157</v>
      </c>
      <c r="C4216">
        <v>5</v>
      </c>
      <c r="D4216">
        <v>128</v>
      </c>
      <c r="E4216">
        <f>IF(OR(B4216="vi",B4216="ii",B4216="pod"),(((D4216/100)*(C4216*VLOOKUP(B4216,'Poids des runes'!A:B,2,FALSE)))+1),(((D4216/100)*(C4216*VLOOKUP(B4216,'Poids des runes'!A:B,2,FALSE)))+1)/VLOOKUP(B4216,'Poids des runes'!A:B,2,FALSE))</f>
        <v>6.5666666666666664</v>
      </c>
      <c r="F4216">
        <f t="shared" si="65"/>
        <v>6.5666666666666664</v>
      </c>
    </row>
    <row r="4217" spans="1:6" x14ac:dyDescent="0.3">
      <c r="A4217" t="s">
        <v>972</v>
      </c>
      <c r="B4217" t="s">
        <v>2128</v>
      </c>
      <c r="C4217">
        <v>250.5</v>
      </c>
      <c r="D4217">
        <v>128</v>
      </c>
      <c r="E4217">
        <f>IF(OR(B4217="vi",B4217="ii",B4217="pod"),(((D4217/100)*(C4217*VLOOKUP(B4217,'Poids des runes'!A:B,2,FALSE)))+1),(((D4217/100)*(C4217*VLOOKUP(B4217,'Poids des runes'!A:B,2,FALSE)))+1)/VLOOKUP(B4217,'Poids des runes'!A:B,2,FALSE))</f>
        <v>65.128</v>
      </c>
      <c r="F4217">
        <f t="shared" si="65"/>
        <v>65.128</v>
      </c>
    </row>
    <row r="4218" spans="1:6" x14ac:dyDescent="0.3">
      <c r="A4218" t="s">
        <v>972</v>
      </c>
      <c r="B4218" t="s">
        <v>2126</v>
      </c>
      <c r="C4218">
        <v>40.5</v>
      </c>
      <c r="D4218">
        <v>128</v>
      </c>
      <c r="E4218">
        <f>IF(OR(B4218="vi",B4218="ii",B4218="pod"),(((D4218/100)*(C4218*VLOOKUP(B4218,'Poids des runes'!A:B,2,FALSE)))+1),(((D4218/100)*(C4218*VLOOKUP(B4218,'Poids des runes'!A:B,2,FALSE)))+1)/VLOOKUP(B4218,'Poids des runes'!A:B,2,FALSE))</f>
        <v>52.84</v>
      </c>
      <c r="F4218">
        <f t="shared" si="65"/>
        <v>52.84</v>
      </c>
    </row>
    <row r="4219" spans="1:6" x14ac:dyDescent="0.3">
      <c r="A4219" t="s">
        <v>972</v>
      </c>
      <c r="B4219" t="s">
        <v>2129</v>
      </c>
      <c r="C4219">
        <v>20.5</v>
      </c>
      <c r="D4219">
        <v>128</v>
      </c>
      <c r="E4219">
        <f>IF(OR(B4219="vi",B4219="ii",B4219="pod"),(((D4219/100)*(C4219*VLOOKUP(B4219,'Poids des runes'!A:B,2,FALSE)))+1),(((D4219/100)*(C4219*VLOOKUP(B4219,'Poids des runes'!A:B,2,FALSE)))+1)/VLOOKUP(B4219,'Poids des runes'!A:B,2,FALSE))</f>
        <v>27.240000000000002</v>
      </c>
      <c r="F4219">
        <f t="shared" si="65"/>
        <v>27.240000000000002</v>
      </c>
    </row>
    <row r="4220" spans="1:6" x14ac:dyDescent="0.3">
      <c r="A4220" t="s">
        <v>972</v>
      </c>
      <c r="B4220" t="s">
        <v>2155</v>
      </c>
      <c r="C4220">
        <v>1</v>
      </c>
      <c r="D4220">
        <v>128</v>
      </c>
      <c r="E4220">
        <f>IF(OR(B4220="vi",B4220="ii",B4220="pod"),(((D4220/100)*(C4220*VLOOKUP(B4220,'Poids des runes'!A:B,2,FALSE)))+1),(((D4220/100)*(C4220*VLOOKUP(B4220,'Poids des runes'!A:B,2,FALSE)))+1)/VLOOKUP(B4220,'Poids des runes'!A:B,2,FALSE))</f>
        <v>1.2996078431372549</v>
      </c>
      <c r="F4220">
        <f t="shared" si="65"/>
        <v>1.2996078431372549</v>
      </c>
    </row>
    <row r="4221" spans="1:6" x14ac:dyDescent="0.3">
      <c r="A4221" t="s">
        <v>972</v>
      </c>
      <c r="B4221" t="s">
        <v>2134</v>
      </c>
      <c r="C4221">
        <v>5</v>
      </c>
      <c r="D4221">
        <v>128</v>
      </c>
      <c r="E4221">
        <f>IF(OR(B4221="vi",B4221="ii",B4221="pod"),(((D4221/100)*(C4221*VLOOKUP(B4221,'Poids des runes'!A:B,2,FALSE)))+1),(((D4221/100)*(C4221*VLOOKUP(B4221,'Poids des runes'!A:B,2,FALSE)))+1)/VLOOKUP(B4221,'Poids des runes'!A:B,2,FALSE))</f>
        <v>6.45</v>
      </c>
      <c r="F4221">
        <f t="shared" si="65"/>
        <v>6.45</v>
      </c>
    </row>
    <row r="4222" spans="1:6" x14ac:dyDescent="0.3">
      <c r="A4222" t="s">
        <v>972</v>
      </c>
      <c r="B4222" t="s">
        <v>2161</v>
      </c>
      <c r="C4222">
        <v>13</v>
      </c>
      <c r="D4222">
        <v>128</v>
      </c>
      <c r="E4222">
        <f>IF(OR(B4222="vi",B4222="ii",B4222="pod"),(((D4222/100)*(C4222*VLOOKUP(B4222,'Poids des runes'!A:B,2,FALSE)))+1),(((D4222/100)*(C4222*VLOOKUP(B4222,'Poids des runes'!A:B,2,FALSE)))+1)/VLOOKUP(B4222,'Poids des runes'!A:B,2,FALSE))</f>
        <v>16.973333333333333</v>
      </c>
      <c r="F4222">
        <f t="shared" si="65"/>
        <v>16.973333333333333</v>
      </c>
    </row>
    <row r="4223" spans="1:6" x14ac:dyDescent="0.3">
      <c r="A4223" t="s">
        <v>972</v>
      </c>
      <c r="B4223" t="s">
        <v>2148</v>
      </c>
      <c r="C4223">
        <v>8</v>
      </c>
      <c r="D4223">
        <v>128</v>
      </c>
      <c r="E4223">
        <f>IF(OR(B4223="vi",B4223="ii",B4223="pod"),(((D4223/100)*(C4223*VLOOKUP(B4223,'Poids des runes'!A:B,2,FALSE)))+1),(((D4223/100)*(C4223*VLOOKUP(B4223,'Poids des runes'!A:B,2,FALSE)))+1)/VLOOKUP(B4223,'Poids des runes'!A:B,2,FALSE))</f>
        <v>10.406666666666666</v>
      </c>
      <c r="F4223">
        <f t="shared" si="65"/>
        <v>10.406666666666666</v>
      </c>
    </row>
    <row r="4224" spans="1:6" x14ac:dyDescent="0.3">
      <c r="A4224" t="s">
        <v>972</v>
      </c>
      <c r="B4224" t="s">
        <v>2147</v>
      </c>
      <c r="C4224">
        <v>8</v>
      </c>
      <c r="D4224">
        <v>128</v>
      </c>
      <c r="E4224">
        <f>IF(OR(B4224="vi",B4224="ii",B4224="pod"),(((D4224/100)*(C4224*VLOOKUP(B4224,'Poids des runes'!A:B,2,FALSE)))+1),(((D4224/100)*(C4224*VLOOKUP(B4224,'Poids des runes'!A:B,2,FALSE)))+1)/VLOOKUP(B4224,'Poids des runes'!A:B,2,FALSE))</f>
        <v>10.406666666666666</v>
      </c>
      <c r="F4224">
        <f t="shared" si="65"/>
        <v>10.406666666666666</v>
      </c>
    </row>
    <row r="4225" spans="1:6" x14ac:dyDescent="0.3">
      <c r="A4225" t="s">
        <v>973</v>
      </c>
      <c r="B4225" t="s">
        <v>2128</v>
      </c>
      <c r="C4225">
        <v>175.5</v>
      </c>
      <c r="D4225">
        <v>128</v>
      </c>
      <c r="E4225">
        <f>IF(OR(B4225="vi",B4225="ii",B4225="pod"),(((D4225/100)*(C4225*VLOOKUP(B4225,'Poids des runes'!A:B,2,FALSE)))+1),(((D4225/100)*(C4225*VLOOKUP(B4225,'Poids des runes'!A:B,2,FALSE)))+1)/VLOOKUP(B4225,'Poids des runes'!A:B,2,FALSE))</f>
        <v>45.928000000000004</v>
      </c>
      <c r="F4225">
        <f t="shared" si="65"/>
        <v>45.928000000000004</v>
      </c>
    </row>
    <row r="4226" spans="1:6" x14ac:dyDescent="0.3">
      <c r="A4226" t="s">
        <v>973</v>
      </c>
      <c r="B4226" t="s">
        <v>2156</v>
      </c>
      <c r="C4226">
        <v>9.5</v>
      </c>
      <c r="D4226">
        <v>128</v>
      </c>
      <c r="E4226">
        <f>IF(OR(B4226="vi",B4226="ii",B4226="pod"),(((D4226/100)*(C4226*VLOOKUP(B4226,'Poids des runes'!A:B,2,FALSE)))+1),(((D4226/100)*(C4226*VLOOKUP(B4226,'Poids des runes'!A:B,2,FALSE)))+1)/VLOOKUP(B4226,'Poids des runes'!A:B,2,FALSE))</f>
        <v>12.326666666666668</v>
      </c>
      <c r="F4226">
        <f t="shared" si="65"/>
        <v>12.326666666666668</v>
      </c>
    </row>
    <row r="4227" spans="1:6" x14ac:dyDescent="0.3">
      <c r="A4227" t="s">
        <v>973</v>
      </c>
      <c r="B4227" t="s">
        <v>2148</v>
      </c>
      <c r="C4227">
        <v>9.5</v>
      </c>
      <c r="D4227">
        <v>128</v>
      </c>
      <c r="E4227">
        <f>IF(OR(B4227="vi",B4227="ii",B4227="pod"),(((D4227/100)*(C4227*VLOOKUP(B4227,'Poids des runes'!A:B,2,FALSE)))+1),(((D4227/100)*(C4227*VLOOKUP(B4227,'Poids des runes'!A:B,2,FALSE)))+1)/VLOOKUP(B4227,'Poids des runes'!A:B,2,FALSE))</f>
        <v>12.326666666666668</v>
      </c>
      <c r="F4227">
        <f t="shared" ref="F4227:F4290" si="66">E4227</f>
        <v>12.326666666666668</v>
      </c>
    </row>
    <row r="4228" spans="1:6" x14ac:dyDescent="0.3">
      <c r="A4228" t="s">
        <v>973</v>
      </c>
      <c r="B4228" t="s">
        <v>2147</v>
      </c>
      <c r="C4228">
        <v>9.5</v>
      </c>
      <c r="D4228">
        <v>128</v>
      </c>
      <c r="E4228">
        <f>IF(OR(B4228="vi",B4228="ii",B4228="pod"),(((D4228/100)*(C4228*VLOOKUP(B4228,'Poids des runes'!A:B,2,FALSE)))+1),(((D4228/100)*(C4228*VLOOKUP(B4228,'Poids des runes'!A:B,2,FALSE)))+1)/VLOOKUP(B4228,'Poids des runes'!A:B,2,FALSE))</f>
        <v>12.326666666666668</v>
      </c>
      <c r="F4228">
        <f t="shared" si="66"/>
        <v>12.326666666666668</v>
      </c>
    </row>
    <row r="4229" spans="1:6" x14ac:dyDescent="0.3">
      <c r="A4229" t="s">
        <v>973</v>
      </c>
      <c r="B4229" t="s">
        <v>2135</v>
      </c>
      <c r="C4229">
        <v>9.5</v>
      </c>
      <c r="D4229">
        <v>128</v>
      </c>
      <c r="E4229">
        <f>IF(OR(B4229="vi",B4229="ii",B4229="pod"),(((D4229/100)*(C4229*VLOOKUP(B4229,'Poids des runes'!A:B,2,FALSE)))+1),(((D4229/100)*(C4229*VLOOKUP(B4229,'Poids des runes'!A:B,2,FALSE)))+1)/VLOOKUP(B4229,'Poids des runes'!A:B,2,FALSE))</f>
        <v>12.326666666666668</v>
      </c>
      <c r="F4229">
        <f t="shared" si="66"/>
        <v>12.326666666666668</v>
      </c>
    </row>
    <row r="4230" spans="1:6" x14ac:dyDescent="0.3">
      <c r="A4230" t="s">
        <v>973</v>
      </c>
      <c r="B4230" t="s">
        <v>2157</v>
      </c>
      <c r="C4230">
        <v>9.5</v>
      </c>
      <c r="D4230">
        <v>128</v>
      </c>
      <c r="E4230">
        <f>IF(OR(B4230="vi",B4230="ii",B4230="pod"),(((D4230/100)*(C4230*VLOOKUP(B4230,'Poids des runes'!A:B,2,FALSE)))+1),(((D4230/100)*(C4230*VLOOKUP(B4230,'Poids des runes'!A:B,2,FALSE)))+1)/VLOOKUP(B4230,'Poids des runes'!A:B,2,FALSE))</f>
        <v>12.326666666666668</v>
      </c>
      <c r="F4230">
        <f t="shared" si="66"/>
        <v>12.326666666666668</v>
      </c>
    </row>
    <row r="4231" spans="1:6" x14ac:dyDescent="0.3">
      <c r="A4231" t="s">
        <v>974</v>
      </c>
      <c r="B4231" t="s">
        <v>2128</v>
      </c>
      <c r="C4231">
        <v>125.5</v>
      </c>
      <c r="D4231">
        <v>128</v>
      </c>
      <c r="E4231">
        <f>IF(OR(B4231="vi",B4231="ii",B4231="pod"),(((D4231/100)*(C4231*VLOOKUP(B4231,'Poids des runes'!A:B,2,FALSE)))+1),(((D4231/100)*(C4231*VLOOKUP(B4231,'Poids des runes'!A:B,2,FALSE)))+1)/VLOOKUP(B4231,'Poids des runes'!A:B,2,FALSE))</f>
        <v>33.128</v>
      </c>
      <c r="F4231">
        <f t="shared" si="66"/>
        <v>33.128</v>
      </c>
    </row>
    <row r="4232" spans="1:6" x14ac:dyDescent="0.3">
      <c r="A4232" t="s">
        <v>974</v>
      </c>
      <c r="B4232" t="s">
        <v>2127</v>
      </c>
      <c r="C4232">
        <v>50.5</v>
      </c>
      <c r="D4232">
        <v>128</v>
      </c>
      <c r="E4232">
        <f>IF(OR(B4232="vi",B4232="ii",B4232="pod"),(((D4232/100)*(C4232*VLOOKUP(B4232,'Poids des runes'!A:B,2,FALSE)))+1),(((D4232/100)*(C4232*VLOOKUP(B4232,'Poids des runes'!A:B,2,FALSE)))+1)/VLOOKUP(B4232,'Poids des runes'!A:B,2,FALSE))</f>
        <v>65.64</v>
      </c>
      <c r="F4232">
        <f t="shared" si="66"/>
        <v>65.64</v>
      </c>
    </row>
    <row r="4233" spans="1:6" x14ac:dyDescent="0.3">
      <c r="A4233" t="s">
        <v>974</v>
      </c>
      <c r="B4233" t="s">
        <v>2129</v>
      </c>
      <c r="C4233">
        <v>40.5</v>
      </c>
      <c r="D4233">
        <v>128</v>
      </c>
      <c r="E4233">
        <f>IF(OR(B4233="vi",B4233="ii",B4233="pod"),(((D4233/100)*(C4233*VLOOKUP(B4233,'Poids des runes'!A:B,2,FALSE)))+1),(((D4233/100)*(C4233*VLOOKUP(B4233,'Poids des runes'!A:B,2,FALSE)))+1)/VLOOKUP(B4233,'Poids des runes'!A:B,2,FALSE))</f>
        <v>52.84</v>
      </c>
      <c r="F4233">
        <f t="shared" si="66"/>
        <v>52.84</v>
      </c>
    </row>
    <row r="4234" spans="1:6" x14ac:dyDescent="0.3">
      <c r="A4234" t="s">
        <v>974</v>
      </c>
      <c r="B4234" t="s">
        <v>2150</v>
      </c>
      <c r="C4234">
        <v>1</v>
      </c>
      <c r="D4234">
        <v>128</v>
      </c>
      <c r="E4234">
        <f>IF(OR(B4234="vi",B4234="ii",B4234="pod"),(((D4234/100)*(C4234*VLOOKUP(B4234,'Poids des runes'!A:B,2,FALSE)))+1),(((D4234/100)*(C4234*VLOOKUP(B4234,'Poids des runes'!A:B,2,FALSE)))+1)/VLOOKUP(B4234,'Poids des runes'!A:B,2,FALSE))</f>
        <v>1.3133333333333332</v>
      </c>
      <c r="F4234">
        <f t="shared" si="66"/>
        <v>1.3133333333333332</v>
      </c>
    </row>
    <row r="4235" spans="1:6" x14ac:dyDescent="0.3">
      <c r="A4235" t="s">
        <v>974</v>
      </c>
      <c r="B4235" t="s">
        <v>2153</v>
      </c>
      <c r="C4235">
        <v>6.5</v>
      </c>
      <c r="D4235">
        <v>128</v>
      </c>
      <c r="E4235">
        <f>IF(OR(B4235="vi",B4235="ii",B4235="pod"),(((D4235/100)*(C4235*VLOOKUP(B4235,'Poids des runes'!A:B,2,FALSE)))+1),(((D4235/100)*(C4235*VLOOKUP(B4235,'Poids des runes'!A:B,2,FALSE)))+1)/VLOOKUP(B4235,'Poids des runes'!A:B,2,FALSE))</f>
        <v>8.52</v>
      </c>
      <c r="F4235">
        <f t="shared" si="66"/>
        <v>8.52</v>
      </c>
    </row>
    <row r="4236" spans="1:6" x14ac:dyDescent="0.3">
      <c r="A4236" t="s">
        <v>974</v>
      </c>
      <c r="B4236" t="s">
        <v>2161</v>
      </c>
      <c r="C4236">
        <v>13</v>
      </c>
      <c r="D4236">
        <v>128</v>
      </c>
      <c r="E4236">
        <f>IF(OR(B4236="vi",B4236="ii",B4236="pod"),(((D4236/100)*(C4236*VLOOKUP(B4236,'Poids des runes'!A:B,2,FALSE)))+1),(((D4236/100)*(C4236*VLOOKUP(B4236,'Poids des runes'!A:B,2,FALSE)))+1)/VLOOKUP(B4236,'Poids des runes'!A:B,2,FALSE))</f>
        <v>16.973333333333333</v>
      </c>
      <c r="F4236">
        <f t="shared" si="66"/>
        <v>16.973333333333333</v>
      </c>
    </row>
    <row r="4237" spans="1:6" x14ac:dyDescent="0.3">
      <c r="A4237" t="s">
        <v>974</v>
      </c>
      <c r="B4237" t="s">
        <v>2156</v>
      </c>
      <c r="C4237">
        <v>3.5</v>
      </c>
      <c r="D4237">
        <v>128</v>
      </c>
      <c r="E4237">
        <f>IF(OR(B4237="vi",B4237="ii",B4237="pod"),(((D4237/100)*(C4237*VLOOKUP(B4237,'Poids des runes'!A:B,2,FALSE)))+1),(((D4237/100)*(C4237*VLOOKUP(B4237,'Poids des runes'!A:B,2,FALSE)))+1)/VLOOKUP(B4237,'Poids des runes'!A:B,2,FALSE))</f>
        <v>4.6466666666666665</v>
      </c>
      <c r="F4237">
        <f t="shared" si="66"/>
        <v>4.6466666666666665</v>
      </c>
    </row>
    <row r="4238" spans="1:6" x14ac:dyDescent="0.3">
      <c r="A4238" t="s">
        <v>974</v>
      </c>
      <c r="B4238" t="s">
        <v>2157</v>
      </c>
      <c r="C4238">
        <v>3.5</v>
      </c>
      <c r="D4238">
        <v>128</v>
      </c>
      <c r="E4238">
        <f>IF(OR(B4238="vi",B4238="ii",B4238="pod"),(((D4238/100)*(C4238*VLOOKUP(B4238,'Poids des runes'!A:B,2,FALSE)))+1),(((D4238/100)*(C4238*VLOOKUP(B4238,'Poids des runes'!A:B,2,FALSE)))+1)/VLOOKUP(B4238,'Poids des runes'!A:B,2,FALSE))</f>
        <v>4.6466666666666665</v>
      </c>
      <c r="F4238">
        <f t="shared" si="66"/>
        <v>4.6466666666666665</v>
      </c>
    </row>
    <row r="4239" spans="1:6" x14ac:dyDescent="0.3">
      <c r="A4239" t="s">
        <v>974</v>
      </c>
      <c r="B4239" t="s">
        <v>2136</v>
      </c>
      <c r="C4239">
        <v>8</v>
      </c>
      <c r="D4239">
        <v>128</v>
      </c>
      <c r="E4239">
        <f>IF(OR(B4239="vi",B4239="ii",B4239="pod"),(((D4239/100)*(C4239*VLOOKUP(B4239,'Poids des runes'!A:B,2,FALSE)))+1),(((D4239/100)*(C4239*VLOOKUP(B4239,'Poids des runes'!A:B,2,FALSE)))+1)/VLOOKUP(B4239,'Poids des runes'!A:B,2,FALSE))</f>
        <v>10.74</v>
      </c>
      <c r="F4239">
        <f t="shared" si="66"/>
        <v>10.74</v>
      </c>
    </row>
    <row r="4240" spans="1:6" x14ac:dyDescent="0.3">
      <c r="A4240" t="s">
        <v>974</v>
      </c>
      <c r="B4240" t="s">
        <v>2146</v>
      </c>
      <c r="C4240">
        <v>8</v>
      </c>
      <c r="D4240">
        <v>128</v>
      </c>
      <c r="E4240">
        <f>IF(OR(B4240="vi",B4240="ii",B4240="pod"),(((D4240/100)*(C4240*VLOOKUP(B4240,'Poids des runes'!A:B,2,FALSE)))+1),(((D4240/100)*(C4240*VLOOKUP(B4240,'Poids des runes'!A:B,2,FALSE)))+1)/VLOOKUP(B4240,'Poids des runes'!A:B,2,FALSE))</f>
        <v>10.74</v>
      </c>
      <c r="F4240">
        <f t="shared" si="66"/>
        <v>10.74</v>
      </c>
    </row>
    <row r="4241" spans="1:6" x14ac:dyDescent="0.3">
      <c r="A4241" t="s">
        <v>975</v>
      </c>
      <c r="B4241" t="s">
        <v>2128</v>
      </c>
      <c r="C4241">
        <v>110.5</v>
      </c>
      <c r="D4241">
        <v>128</v>
      </c>
      <c r="E4241">
        <f>IF(OR(B4241="vi",B4241="ii",B4241="pod"),(((D4241/100)*(C4241*VLOOKUP(B4241,'Poids des runes'!A:B,2,FALSE)))+1),(((D4241/100)*(C4241*VLOOKUP(B4241,'Poids des runes'!A:B,2,FALSE)))+1)/VLOOKUP(B4241,'Poids des runes'!A:B,2,FALSE))</f>
        <v>29.288000000000004</v>
      </c>
      <c r="F4241">
        <f t="shared" si="66"/>
        <v>29.288000000000004</v>
      </c>
    </row>
    <row r="4242" spans="1:6" x14ac:dyDescent="0.3">
      <c r="A4242" t="s">
        <v>975</v>
      </c>
      <c r="B4242" t="s">
        <v>2126</v>
      </c>
      <c r="C4242">
        <v>35.5</v>
      </c>
      <c r="D4242">
        <v>128</v>
      </c>
      <c r="E4242">
        <f>IF(OR(B4242="vi",B4242="ii",B4242="pod"),(((D4242/100)*(C4242*VLOOKUP(B4242,'Poids des runes'!A:B,2,FALSE)))+1),(((D4242/100)*(C4242*VLOOKUP(B4242,'Poids des runes'!A:B,2,FALSE)))+1)/VLOOKUP(B4242,'Poids des runes'!A:B,2,FALSE))</f>
        <v>46.44</v>
      </c>
      <c r="F4242">
        <f t="shared" si="66"/>
        <v>46.44</v>
      </c>
    </row>
    <row r="4243" spans="1:6" x14ac:dyDescent="0.3">
      <c r="A4243" t="s">
        <v>975</v>
      </c>
      <c r="B4243" t="s">
        <v>2131</v>
      </c>
      <c r="C4243">
        <v>35.5</v>
      </c>
      <c r="D4243">
        <v>128</v>
      </c>
      <c r="E4243">
        <f>IF(OR(B4243="vi",B4243="ii",B4243="pod"),(((D4243/100)*(C4243*VLOOKUP(B4243,'Poids des runes'!A:B,2,FALSE)))+1),(((D4243/100)*(C4243*VLOOKUP(B4243,'Poids des runes'!A:B,2,FALSE)))+1)/VLOOKUP(B4243,'Poids des runes'!A:B,2,FALSE))</f>
        <v>46.44</v>
      </c>
      <c r="F4243">
        <f t="shared" si="66"/>
        <v>46.44</v>
      </c>
    </row>
    <row r="4244" spans="1:6" x14ac:dyDescent="0.3">
      <c r="A4244" t="s">
        <v>975</v>
      </c>
      <c r="B4244" t="s">
        <v>2129</v>
      </c>
      <c r="C4244">
        <v>25.5</v>
      </c>
      <c r="D4244">
        <v>128</v>
      </c>
      <c r="E4244">
        <f>IF(OR(B4244="vi",B4244="ii",B4244="pod"),(((D4244/100)*(C4244*VLOOKUP(B4244,'Poids des runes'!A:B,2,FALSE)))+1),(((D4244/100)*(C4244*VLOOKUP(B4244,'Poids des runes'!A:B,2,FALSE)))+1)/VLOOKUP(B4244,'Poids des runes'!A:B,2,FALSE))</f>
        <v>33.64</v>
      </c>
      <c r="F4244">
        <f t="shared" si="66"/>
        <v>33.64</v>
      </c>
    </row>
    <row r="4245" spans="1:6" x14ac:dyDescent="0.3">
      <c r="A4245" t="s">
        <v>975</v>
      </c>
      <c r="B4245" t="s">
        <v>2151</v>
      </c>
      <c r="C4245">
        <v>1.5</v>
      </c>
      <c r="D4245">
        <v>128</v>
      </c>
      <c r="E4245">
        <f>IF(OR(B4245="vi",B4245="ii",B4245="pod"),(((D4245/100)*(C4245*VLOOKUP(B4245,'Poids des runes'!A:B,2,FALSE)))+1),(((D4245/100)*(C4245*VLOOKUP(B4245,'Poids des runes'!A:B,2,FALSE)))+1)/VLOOKUP(B4245,'Poids des runes'!A:B,2,FALSE))</f>
        <v>2.02</v>
      </c>
      <c r="F4245">
        <f t="shared" si="66"/>
        <v>2.02</v>
      </c>
    </row>
    <row r="4246" spans="1:6" x14ac:dyDescent="0.3">
      <c r="A4246" t="s">
        <v>975</v>
      </c>
      <c r="B4246" t="s">
        <v>2152</v>
      </c>
      <c r="C4246">
        <v>1</v>
      </c>
      <c r="D4246">
        <v>128</v>
      </c>
      <c r="E4246">
        <f>IF(OR(B4246="vi",B4246="ii",B4246="pod"),(((D4246/100)*(C4246*VLOOKUP(B4246,'Poids des runes'!A:B,2,FALSE)))+1),(((D4246/100)*(C4246*VLOOKUP(B4246,'Poids des runes'!A:B,2,FALSE)))+1)/VLOOKUP(B4246,'Poids des runes'!A:B,2,FALSE))</f>
        <v>1.29</v>
      </c>
      <c r="F4246">
        <f t="shared" si="66"/>
        <v>1.29</v>
      </c>
    </row>
    <row r="4247" spans="1:6" x14ac:dyDescent="0.3">
      <c r="A4247" t="s">
        <v>975</v>
      </c>
      <c r="B4247" t="s">
        <v>2140</v>
      </c>
      <c r="C4247">
        <v>5</v>
      </c>
      <c r="D4247">
        <v>128</v>
      </c>
      <c r="E4247">
        <f>IF(OR(B4247="vi",B4247="ii",B4247="pod"),(((D4247/100)*(C4247*VLOOKUP(B4247,'Poids des runes'!A:B,2,FALSE)))+1),(((D4247/100)*(C4247*VLOOKUP(B4247,'Poids des runes'!A:B,2,FALSE)))+1)/VLOOKUP(B4247,'Poids des runes'!A:B,2,FALSE))</f>
        <v>6.6</v>
      </c>
      <c r="F4247">
        <f t="shared" si="66"/>
        <v>6.6</v>
      </c>
    </row>
    <row r="4248" spans="1:6" x14ac:dyDescent="0.3">
      <c r="A4248" t="s">
        <v>975</v>
      </c>
      <c r="B4248" t="s">
        <v>2133</v>
      </c>
      <c r="C4248">
        <v>5</v>
      </c>
      <c r="D4248">
        <v>128</v>
      </c>
      <c r="E4248">
        <f>IF(OR(B4248="vi",B4248="ii",B4248="pod"),(((D4248/100)*(C4248*VLOOKUP(B4248,'Poids des runes'!A:B,2,FALSE)))+1),(((D4248/100)*(C4248*VLOOKUP(B4248,'Poids des runes'!A:B,2,FALSE)))+1)/VLOOKUP(B4248,'Poids des runes'!A:B,2,FALSE))</f>
        <v>6.6</v>
      </c>
      <c r="F4248">
        <f t="shared" si="66"/>
        <v>6.6</v>
      </c>
    </row>
    <row r="4249" spans="1:6" x14ac:dyDescent="0.3">
      <c r="A4249" t="s">
        <v>975</v>
      </c>
      <c r="B4249" t="s">
        <v>2149</v>
      </c>
      <c r="C4249">
        <v>5</v>
      </c>
      <c r="D4249">
        <v>128</v>
      </c>
      <c r="E4249">
        <f>IF(OR(B4249="vi",B4249="ii",B4249="pod"),(((D4249/100)*(C4249*VLOOKUP(B4249,'Poids des runes'!A:B,2,FALSE)))+1),(((D4249/100)*(C4249*VLOOKUP(B4249,'Poids des runes'!A:B,2,FALSE)))+1)/VLOOKUP(B4249,'Poids des runes'!A:B,2,FALSE))</f>
        <v>6.5</v>
      </c>
      <c r="F4249">
        <f t="shared" si="66"/>
        <v>6.5</v>
      </c>
    </row>
    <row r="4250" spans="1:6" x14ac:dyDescent="0.3">
      <c r="A4250" t="s">
        <v>975</v>
      </c>
      <c r="B4250" t="s">
        <v>2161</v>
      </c>
      <c r="C4250">
        <v>13</v>
      </c>
      <c r="D4250">
        <v>128</v>
      </c>
      <c r="E4250">
        <f>IF(OR(B4250="vi",B4250="ii",B4250="pod"),(((D4250/100)*(C4250*VLOOKUP(B4250,'Poids des runes'!A:B,2,FALSE)))+1),(((D4250/100)*(C4250*VLOOKUP(B4250,'Poids des runes'!A:B,2,FALSE)))+1)/VLOOKUP(B4250,'Poids des runes'!A:B,2,FALSE))</f>
        <v>16.973333333333333</v>
      </c>
      <c r="F4250">
        <f t="shared" si="66"/>
        <v>16.973333333333333</v>
      </c>
    </row>
    <row r="4251" spans="1:6" x14ac:dyDescent="0.3">
      <c r="A4251" t="s">
        <v>975</v>
      </c>
      <c r="B4251" t="s">
        <v>2141</v>
      </c>
      <c r="C4251">
        <v>4.5</v>
      </c>
      <c r="D4251">
        <v>128</v>
      </c>
      <c r="E4251">
        <f>IF(OR(B4251="vi",B4251="ii",B4251="pod"),(((D4251/100)*(C4251*VLOOKUP(B4251,'Poids des runes'!A:B,2,FALSE)))+1),(((D4251/100)*(C4251*VLOOKUP(B4251,'Poids des runes'!A:B,2,FALSE)))+1)/VLOOKUP(B4251,'Poids des runes'!A:B,2,FALSE))</f>
        <v>6.01</v>
      </c>
      <c r="F4251">
        <f t="shared" si="66"/>
        <v>6.01</v>
      </c>
    </row>
    <row r="4252" spans="1:6" x14ac:dyDescent="0.3">
      <c r="A4252" t="s">
        <v>975</v>
      </c>
      <c r="B4252" t="s">
        <v>2142</v>
      </c>
      <c r="C4252">
        <v>8.5</v>
      </c>
      <c r="D4252">
        <v>128</v>
      </c>
      <c r="E4252">
        <f>IF(OR(B4252="vi",B4252="ii",B4252="pod"),(((D4252/100)*(C4252*VLOOKUP(B4252,'Poids des runes'!A:B,2,FALSE)))+1),(((D4252/100)*(C4252*VLOOKUP(B4252,'Poids des runes'!A:B,2,FALSE)))+1)/VLOOKUP(B4252,'Poids des runes'!A:B,2,FALSE))</f>
        <v>11.08</v>
      </c>
      <c r="F4252">
        <f t="shared" si="66"/>
        <v>11.08</v>
      </c>
    </row>
    <row r="4253" spans="1:6" x14ac:dyDescent="0.3">
      <c r="A4253" t="s">
        <v>975</v>
      </c>
      <c r="B4253" t="s">
        <v>2137</v>
      </c>
      <c r="C4253">
        <v>8.5</v>
      </c>
      <c r="D4253">
        <v>128</v>
      </c>
      <c r="E4253">
        <f>IF(OR(B4253="vi",B4253="ii",B4253="pod"),(((D4253/100)*(C4253*VLOOKUP(B4253,'Poids des runes'!A:B,2,FALSE)))+1),(((D4253/100)*(C4253*VLOOKUP(B4253,'Poids des runes'!A:B,2,FALSE)))+1)/VLOOKUP(B4253,'Poids des runes'!A:B,2,FALSE))</f>
        <v>11.38</v>
      </c>
      <c r="F4253">
        <f t="shared" si="66"/>
        <v>11.38</v>
      </c>
    </row>
    <row r="4254" spans="1:6" x14ac:dyDescent="0.3">
      <c r="A4254" t="s">
        <v>975</v>
      </c>
      <c r="B4254" t="s">
        <v>2144</v>
      </c>
      <c r="C4254">
        <v>8.5</v>
      </c>
      <c r="D4254">
        <v>128</v>
      </c>
      <c r="E4254">
        <f>IF(OR(B4254="vi",B4254="ii",B4254="pod"),(((D4254/100)*(C4254*VLOOKUP(B4254,'Poids des runes'!A:B,2,FALSE)))+1),(((D4254/100)*(C4254*VLOOKUP(B4254,'Poids des runes'!A:B,2,FALSE)))+1)/VLOOKUP(B4254,'Poids des runes'!A:B,2,FALSE))</f>
        <v>11.38</v>
      </c>
      <c r="F4254">
        <f t="shared" si="66"/>
        <v>11.38</v>
      </c>
    </row>
    <row r="4255" spans="1:6" x14ac:dyDescent="0.3">
      <c r="A4255" t="s">
        <v>976</v>
      </c>
      <c r="B4255" t="s">
        <v>2128</v>
      </c>
      <c r="C4255">
        <v>125.5</v>
      </c>
      <c r="D4255">
        <v>128</v>
      </c>
      <c r="E4255">
        <f>IF(OR(B4255="vi",B4255="ii",B4255="pod"),(((D4255/100)*(C4255*VLOOKUP(B4255,'Poids des runes'!A:B,2,FALSE)))+1),(((D4255/100)*(C4255*VLOOKUP(B4255,'Poids des runes'!A:B,2,FALSE)))+1)/VLOOKUP(B4255,'Poids des runes'!A:B,2,FALSE))</f>
        <v>33.128</v>
      </c>
      <c r="F4255">
        <f t="shared" si="66"/>
        <v>33.128</v>
      </c>
    </row>
    <row r="4256" spans="1:6" x14ac:dyDescent="0.3">
      <c r="A4256" t="s">
        <v>976</v>
      </c>
      <c r="B4256" t="s">
        <v>2129</v>
      </c>
      <c r="C4256">
        <v>15.5</v>
      </c>
      <c r="D4256">
        <v>128</v>
      </c>
      <c r="E4256">
        <f>IF(OR(B4256="vi",B4256="ii",B4256="pod"),(((D4256/100)*(C4256*VLOOKUP(B4256,'Poids des runes'!A:B,2,FALSE)))+1),(((D4256/100)*(C4256*VLOOKUP(B4256,'Poids des runes'!A:B,2,FALSE)))+1)/VLOOKUP(B4256,'Poids des runes'!A:B,2,FALSE))</f>
        <v>20.84</v>
      </c>
      <c r="F4256">
        <f t="shared" si="66"/>
        <v>20.84</v>
      </c>
    </row>
    <row r="4257" spans="1:6" x14ac:dyDescent="0.3">
      <c r="A4257" t="s">
        <v>976</v>
      </c>
      <c r="B4257" t="s">
        <v>2139</v>
      </c>
      <c r="C4257">
        <v>20.5</v>
      </c>
      <c r="D4257">
        <v>128</v>
      </c>
      <c r="E4257">
        <f>IF(OR(B4257="vi",B4257="ii",B4257="pod"),(((D4257/100)*(C4257*VLOOKUP(B4257,'Poids des runes'!A:B,2,FALSE)))+1),(((D4257/100)*(C4257*VLOOKUP(B4257,'Poids des runes'!A:B,2,FALSE)))+1)/VLOOKUP(B4257,'Poids des runes'!A:B,2,FALSE))</f>
        <v>26.740000000000002</v>
      </c>
      <c r="F4257">
        <f t="shared" si="66"/>
        <v>26.740000000000002</v>
      </c>
    </row>
    <row r="4258" spans="1:6" x14ac:dyDescent="0.3">
      <c r="A4258" t="s">
        <v>976</v>
      </c>
      <c r="B4258" t="s">
        <v>2150</v>
      </c>
      <c r="C4258">
        <v>1</v>
      </c>
      <c r="D4258">
        <v>128</v>
      </c>
      <c r="E4258">
        <f>IF(OR(B4258="vi",B4258="ii",B4258="pod"),(((D4258/100)*(C4258*VLOOKUP(B4258,'Poids des runes'!A:B,2,FALSE)))+1),(((D4258/100)*(C4258*VLOOKUP(B4258,'Poids des runes'!A:B,2,FALSE)))+1)/VLOOKUP(B4258,'Poids des runes'!A:B,2,FALSE))</f>
        <v>1.3133333333333332</v>
      </c>
      <c r="F4258">
        <f t="shared" si="66"/>
        <v>1.3133333333333332</v>
      </c>
    </row>
    <row r="4259" spans="1:6" x14ac:dyDescent="0.3">
      <c r="A4259" t="s">
        <v>976</v>
      </c>
      <c r="B4259" t="s">
        <v>2134</v>
      </c>
      <c r="C4259">
        <v>5</v>
      </c>
      <c r="D4259">
        <v>128</v>
      </c>
      <c r="E4259">
        <f>IF(OR(B4259="vi",B4259="ii",B4259="pod"),(((D4259/100)*(C4259*VLOOKUP(B4259,'Poids des runes'!A:B,2,FALSE)))+1),(((D4259/100)*(C4259*VLOOKUP(B4259,'Poids des runes'!A:B,2,FALSE)))+1)/VLOOKUP(B4259,'Poids des runes'!A:B,2,FALSE))</f>
        <v>6.45</v>
      </c>
      <c r="F4259">
        <f t="shared" si="66"/>
        <v>6.45</v>
      </c>
    </row>
    <row r="4260" spans="1:6" x14ac:dyDescent="0.3">
      <c r="A4260" t="s">
        <v>976</v>
      </c>
      <c r="B4260" t="s">
        <v>2149</v>
      </c>
      <c r="C4260">
        <v>5</v>
      </c>
      <c r="D4260">
        <v>128</v>
      </c>
      <c r="E4260">
        <f>IF(OR(B4260="vi",B4260="ii",B4260="pod"),(((D4260/100)*(C4260*VLOOKUP(B4260,'Poids des runes'!A:B,2,FALSE)))+1),(((D4260/100)*(C4260*VLOOKUP(B4260,'Poids des runes'!A:B,2,FALSE)))+1)/VLOOKUP(B4260,'Poids des runes'!A:B,2,FALSE))</f>
        <v>6.5</v>
      </c>
      <c r="F4260">
        <f t="shared" si="66"/>
        <v>6.5</v>
      </c>
    </row>
    <row r="4261" spans="1:6" x14ac:dyDescent="0.3">
      <c r="A4261" t="s">
        <v>976</v>
      </c>
      <c r="B4261" t="s">
        <v>2161</v>
      </c>
      <c r="C4261">
        <v>13</v>
      </c>
      <c r="D4261">
        <v>128</v>
      </c>
      <c r="E4261">
        <f>IF(OR(B4261="vi",B4261="ii",B4261="pod"),(((D4261/100)*(C4261*VLOOKUP(B4261,'Poids des runes'!A:B,2,FALSE)))+1),(((D4261/100)*(C4261*VLOOKUP(B4261,'Poids des runes'!A:B,2,FALSE)))+1)/VLOOKUP(B4261,'Poids des runes'!A:B,2,FALSE))</f>
        <v>16.973333333333333</v>
      </c>
      <c r="F4261">
        <f t="shared" si="66"/>
        <v>16.973333333333333</v>
      </c>
    </row>
    <row r="4262" spans="1:6" x14ac:dyDescent="0.3">
      <c r="A4262" t="s">
        <v>977</v>
      </c>
      <c r="B4262" t="s">
        <v>2128</v>
      </c>
      <c r="C4262">
        <v>175.5</v>
      </c>
      <c r="D4262">
        <v>128</v>
      </c>
      <c r="E4262">
        <f>IF(OR(B4262="vi",B4262="ii",B4262="pod"),(((D4262/100)*(C4262*VLOOKUP(B4262,'Poids des runes'!A:B,2,FALSE)))+1),(((D4262/100)*(C4262*VLOOKUP(B4262,'Poids des runes'!A:B,2,FALSE)))+1)/VLOOKUP(B4262,'Poids des runes'!A:B,2,FALSE))</f>
        <v>45.928000000000004</v>
      </c>
      <c r="F4262">
        <f t="shared" si="66"/>
        <v>45.928000000000004</v>
      </c>
    </row>
    <row r="4263" spans="1:6" x14ac:dyDescent="0.3">
      <c r="A4263" t="s">
        <v>977</v>
      </c>
      <c r="B4263" t="s">
        <v>2130</v>
      </c>
      <c r="C4263">
        <v>38</v>
      </c>
      <c r="D4263">
        <v>128</v>
      </c>
      <c r="E4263">
        <f>IF(OR(B4263="vi",B4263="ii",B4263="pod"),(((D4263/100)*(C4263*VLOOKUP(B4263,'Poids des runes'!A:B,2,FALSE)))+1),(((D4263/100)*(C4263*VLOOKUP(B4263,'Poids des runes'!A:B,2,FALSE)))+1)/VLOOKUP(B4263,'Poids des runes'!A:B,2,FALSE))</f>
        <v>49.64</v>
      </c>
      <c r="F4263">
        <f t="shared" si="66"/>
        <v>49.64</v>
      </c>
    </row>
    <row r="4264" spans="1:6" x14ac:dyDescent="0.3">
      <c r="A4264" t="s">
        <v>977</v>
      </c>
      <c r="B4264" t="s">
        <v>2127</v>
      </c>
      <c r="C4264">
        <v>38</v>
      </c>
      <c r="D4264">
        <v>128</v>
      </c>
      <c r="E4264">
        <f>IF(OR(B4264="vi",B4264="ii",B4264="pod"),(((D4264/100)*(C4264*VLOOKUP(B4264,'Poids des runes'!A:B,2,FALSE)))+1),(((D4264/100)*(C4264*VLOOKUP(B4264,'Poids des runes'!A:B,2,FALSE)))+1)/VLOOKUP(B4264,'Poids des runes'!A:B,2,FALSE))</f>
        <v>49.64</v>
      </c>
      <c r="F4264">
        <f t="shared" si="66"/>
        <v>49.64</v>
      </c>
    </row>
    <row r="4265" spans="1:6" x14ac:dyDescent="0.3">
      <c r="A4265" t="s">
        <v>977</v>
      </c>
      <c r="B4265" t="s">
        <v>2129</v>
      </c>
      <c r="C4265">
        <v>35.5</v>
      </c>
      <c r="D4265">
        <v>128</v>
      </c>
      <c r="E4265">
        <f>IF(OR(B4265="vi",B4265="ii",B4265="pod"),(((D4265/100)*(C4265*VLOOKUP(B4265,'Poids des runes'!A:B,2,FALSE)))+1),(((D4265/100)*(C4265*VLOOKUP(B4265,'Poids des runes'!A:B,2,FALSE)))+1)/VLOOKUP(B4265,'Poids des runes'!A:B,2,FALSE))</f>
        <v>46.44</v>
      </c>
      <c r="F4265">
        <f t="shared" si="66"/>
        <v>46.44</v>
      </c>
    </row>
    <row r="4266" spans="1:6" x14ac:dyDescent="0.3">
      <c r="A4266" t="s">
        <v>977</v>
      </c>
      <c r="B4266" t="s">
        <v>2139</v>
      </c>
      <c r="C4266">
        <v>8</v>
      </c>
      <c r="D4266">
        <v>128</v>
      </c>
      <c r="E4266">
        <f>IF(OR(B4266="vi",B4266="ii",B4266="pod"),(((D4266/100)*(C4266*VLOOKUP(B4266,'Poids des runes'!A:B,2,FALSE)))+1),(((D4266/100)*(C4266*VLOOKUP(B4266,'Poids des runes'!A:B,2,FALSE)))+1)/VLOOKUP(B4266,'Poids des runes'!A:B,2,FALSE))</f>
        <v>10.74</v>
      </c>
      <c r="F4266">
        <f t="shared" si="66"/>
        <v>10.74</v>
      </c>
    </row>
    <row r="4267" spans="1:6" x14ac:dyDescent="0.3">
      <c r="A4267" t="s">
        <v>977</v>
      </c>
      <c r="B4267" t="s">
        <v>2161</v>
      </c>
      <c r="C4267">
        <v>15.5</v>
      </c>
      <c r="D4267">
        <v>128</v>
      </c>
      <c r="E4267">
        <f>IF(OR(B4267="vi",B4267="ii",B4267="pod"),(((D4267/100)*(C4267*VLOOKUP(B4267,'Poids des runes'!A:B,2,FALSE)))+1),(((D4267/100)*(C4267*VLOOKUP(B4267,'Poids des runes'!A:B,2,FALSE)))+1)/VLOOKUP(B4267,'Poids des runes'!A:B,2,FALSE))</f>
        <v>20.173333333333336</v>
      </c>
      <c r="F4267">
        <f t="shared" si="66"/>
        <v>20.173333333333336</v>
      </c>
    </row>
    <row r="4268" spans="1:6" x14ac:dyDescent="0.3">
      <c r="A4268" t="s">
        <v>977</v>
      </c>
      <c r="B4268" t="s">
        <v>2132</v>
      </c>
      <c r="C4268">
        <v>250.5</v>
      </c>
      <c r="D4268">
        <v>128</v>
      </c>
      <c r="E4268">
        <f>IF(OR(B4268="vi",B4268="ii",B4268="pod"),(((D4268/100)*(C4268*VLOOKUP(B4268,'Poids des runes'!A:B,2,FALSE)))+1),(((D4268/100)*(C4268*VLOOKUP(B4268,'Poids des runes'!A:B,2,FALSE)))+1)/VLOOKUP(B4268,'Poids des runes'!A:B,2,FALSE))</f>
        <v>33.064</v>
      </c>
      <c r="F4268">
        <f t="shared" si="66"/>
        <v>33.064</v>
      </c>
    </row>
    <row r="4269" spans="1:6" x14ac:dyDescent="0.3">
      <c r="A4269" t="s">
        <v>977</v>
      </c>
      <c r="B4269" t="s">
        <v>2156</v>
      </c>
      <c r="C4269">
        <v>8</v>
      </c>
      <c r="D4269">
        <v>128</v>
      </c>
      <c r="E4269">
        <f>IF(OR(B4269="vi",B4269="ii",B4269="pod"),(((D4269/100)*(C4269*VLOOKUP(B4269,'Poids des runes'!A:B,2,FALSE)))+1),(((D4269/100)*(C4269*VLOOKUP(B4269,'Poids des runes'!A:B,2,FALSE)))+1)/VLOOKUP(B4269,'Poids des runes'!A:B,2,FALSE))</f>
        <v>10.406666666666666</v>
      </c>
      <c r="F4269">
        <f t="shared" si="66"/>
        <v>10.406666666666666</v>
      </c>
    </row>
    <row r="4270" spans="1:6" x14ac:dyDescent="0.3">
      <c r="A4270" t="s">
        <v>977</v>
      </c>
      <c r="B4270" t="s">
        <v>2147</v>
      </c>
      <c r="C4270">
        <v>8</v>
      </c>
      <c r="D4270">
        <v>128</v>
      </c>
      <c r="E4270">
        <f>IF(OR(B4270="vi",B4270="ii",B4270="pod"),(((D4270/100)*(C4270*VLOOKUP(B4270,'Poids des runes'!A:B,2,FALSE)))+1),(((D4270/100)*(C4270*VLOOKUP(B4270,'Poids des runes'!A:B,2,FALSE)))+1)/VLOOKUP(B4270,'Poids des runes'!A:B,2,FALSE))</f>
        <v>10.406666666666666</v>
      </c>
      <c r="F4270">
        <f t="shared" si="66"/>
        <v>10.406666666666666</v>
      </c>
    </row>
    <row r="4271" spans="1:6" x14ac:dyDescent="0.3">
      <c r="A4271" t="s">
        <v>978</v>
      </c>
      <c r="B4271" t="s">
        <v>2128</v>
      </c>
      <c r="C4271">
        <v>175.5</v>
      </c>
      <c r="D4271">
        <v>128</v>
      </c>
      <c r="E4271">
        <f>IF(OR(B4271="vi",B4271="ii",B4271="pod"),(((D4271/100)*(C4271*VLOOKUP(B4271,'Poids des runes'!A:B,2,FALSE)))+1),(((D4271/100)*(C4271*VLOOKUP(B4271,'Poids des runes'!A:B,2,FALSE)))+1)/VLOOKUP(B4271,'Poids des runes'!A:B,2,FALSE))</f>
        <v>45.928000000000004</v>
      </c>
      <c r="F4271">
        <f t="shared" si="66"/>
        <v>45.928000000000004</v>
      </c>
    </row>
    <row r="4272" spans="1:6" x14ac:dyDescent="0.3">
      <c r="A4272" t="s">
        <v>978</v>
      </c>
      <c r="B4272" t="s">
        <v>2126</v>
      </c>
      <c r="C4272">
        <v>42.5</v>
      </c>
      <c r="D4272">
        <v>128</v>
      </c>
      <c r="E4272">
        <f>IF(OR(B4272="vi",B4272="ii",B4272="pod"),(((D4272/100)*(C4272*VLOOKUP(B4272,'Poids des runes'!A:B,2,FALSE)))+1),(((D4272/100)*(C4272*VLOOKUP(B4272,'Poids des runes'!A:B,2,FALSE)))+1)/VLOOKUP(B4272,'Poids des runes'!A:B,2,FALSE))</f>
        <v>55.4</v>
      </c>
      <c r="F4272">
        <f t="shared" si="66"/>
        <v>55.4</v>
      </c>
    </row>
    <row r="4273" spans="1:6" x14ac:dyDescent="0.3">
      <c r="A4273" t="s">
        <v>978</v>
      </c>
      <c r="B4273" t="s">
        <v>2127</v>
      </c>
      <c r="C4273">
        <v>42.5</v>
      </c>
      <c r="D4273">
        <v>128</v>
      </c>
      <c r="E4273">
        <f>IF(OR(B4273="vi",B4273="ii",B4273="pod"),(((D4273/100)*(C4273*VLOOKUP(B4273,'Poids des runes'!A:B,2,FALSE)))+1),(((D4273/100)*(C4273*VLOOKUP(B4273,'Poids des runes'!A:B,2,FALSE)))+1)/VLOOKUP(B4273,'Poids des runes'!A:B,2,FALSE))</f>
        <v>55.4</v>
      </c>
      <c r="F4273">
        <f t="shared" si="66"/>
        <v>55.4</v>
      </c>
    </row>
    <row r="4274" spans="1:6" x14ac:dyDescent="0.3">
      <c r="A4274" t="s">
        <v>978</v>
      </c>
      <c r="B4274" t="s">
        <v>2129</v>
      </c>
      <c r="C4274">
        <v>23</v>
      </c>
      <c r="D4274">
        <v>128</v>
      </c>
      <c r="E4274">
        <f>IF(OR(B4274="vi",B4274="ii",B4274="pod"),(((D4274/100)*(C4274*VLOOKUP(B4274,'Poids des runes'!A:B,2,FALSE)))+1),(((D4274/100)*(C4274*VLOOKUP(B4274,'Poids des runes'!A:B,2,FALSE)))+1)/VLOOKUP(B4274,'Poids des runes'!A:B,2,FALSE))</f>
        <v>30.44</v>
      </c>
      <c r="F4274">
        <f t="shared" si="66"/>
        <v>30.44</v>
      </c>
    </row>
    <row r="4275" spans="1:6" x14ac:dyDescent="0.3">
      <c r="A4275" t="s">
        <v>978</v>
      </c>
      <c r="B4275" t="s">
        <v>2151</v>
      </c>
      <c r="C4275">
        <v>2.5</v>
      </c>
      <c r="D4275">
        <v>128</v>
      </c>
      <c r="E4275">
        <f>IF(OR(B4275="vi",B4275="ii",B4275="pod"),(((D4275/100)*(C4275*VLOOKUP(B4275,'Poids des runes'!A:B,2,FALSE)))+1),(((D4275/100)*(C4275*VLOOKUP(B4275,'Poids des runes'!A:B,2,FALSE)))+1)/VLOOKUP(B4275,'Poids des runes'!A:B,2,FALSE))</f>
        <v>3.3</v>
      </c>
      <c r="F4275">
        <f t="shared" si="66"/>
        <v>3.3</v>
      </c>
    </row>
    <row r="4276" spans="1:6" x14ac:dyDescent="0.3">
      <c r="A4276" t="s">
        <v>978</v>
      </c>
      <c r="B4276" t="s">
        <v>2155</v>
      </c>
      <c r="C4276">
        <v>1</v>
      </c>
      <c r="D4276">
        <v>128</v>
      </c>
      <c r="E4276">
        <f>IF(OR(B4276="vi",B4276="ii",B4276="pod"),(((D4276/100)*(C4276*VLOOKUP(B4276,'Poids des runes'!A:B,2,FALSE)))+1),(((D4276/100)*(C4276*VLOOKUP(B4276,'Poids des runes'!A:B,2,FALSE)))+1)/VLOOKUP(B4276,'Poids des runes'!A:B,2,FALSE))</f>
        <v>1.2996078431372549</v>
      </c>
      <c r="F4276">
        <f t="shared" si="66"/>
        <v>1.2996078431372549</v>
      </c>
    </row>
    <row r="4277" spans="1:6" x14ac:dyDescent="0.3">
      <c r="A4277" t="s">
        <v>978</v>
      </c>
      <c r="B4277" t="s">
        <v>2149</v>
      </c>
      <c r="C4277">
        <v>4</v>
      </c>
      <c r="D4277">
        <v>128</v>
      </c>
      <c r="E4277">
        <f>IF(OR(B4277="vi",B4277="ii",B4277="pod"),(((D4277/100)*(C4277*VLOOKUP(B4277,'Poids des runes'!A:B,2,FALSE)))+1),(((D4277/100)*(C4277*VLOOKUP(B4277,'Poids des runes'!A:B,2,FALSE)))+1)/VLOOKUP(B4277,'Poids des runes'!A:B,2,FALSE))</f>
        <v>5.2200000000000006</v>
      </c>
      <c r="F4277">
        <f t="shared" si="66"/>
        <v>5.2200000000000006</v>
      </c>
    </row>
    <row r="4278" spans="1:6" x14ac:dyDescent="0.3">
      <c r="A4278" t="s">
        <v>978</v>
      </c>
      <c r="B4278" t="s">
        <v>2141</v>
      </c>
      <c r="C4278">
        <v>6</v>
      </c>
      <c r="D4278">
        <v>128</v>
      </c>
      <c r="E4278">
        <f>IF(OR(B4278="vi",B4278="ii",B4278="pod"),(((D4278/100)*(C4278*VLOOKUP(B4278,'Poids des runes'!A:B,2,FALSE)))+1),(((D4278/100)*(C4278*VLOOKUP(B4278,'Poids des runes'!A:B,2,FALSE)))+1)/VLOOKUP(B4278,'Poids des runes'!A:B,2,FALSE))</f>
        <v>7.93</v>
      </c>
      <c r="F4278">
        <f t="shared" si="66"/>
        <v>7.93</v>
      </c>
    </row>
    <row r="4279" spans="1:6" x14ac:dyDescent="0.3">
      <c r="A4279" t="s">
        <v>978</v>
      </c>
      <c r="B4279" t="s">
        <v>2147</v>
      </c>
      <c r="C4279">
        <v>6</v>
      </c>
      <c r="D4279">
        <v>128</v>
      </c>
      <c r="E4279">
        <f>IF(OR(B4279="vi",B4279="ii",B4279="pod"),(((D4279/100)*(C4279*VLOOKUP(B4279,'Poids des runes'!A:B,2,FALSE)))+1),(((D4279/100)*(C4279*VLOOKUP(B4279,'Poids des runes'!A:B,2,FALSE)))+1)/VLOOKUP(B4279,'Poids des runes'!A:B,2,FALSE))</f>
        <v>7.8466666666666667</v>
      </c>
      <c r="F4279">
        <f t="shared" si="66"/>
        <v>7.8466666666666667</v>
      </c>
    </row>
    <row r="4280" spans="1:6" x14ac:dyDescent="0.3">
      <c r="A4280" t="s">
        <v>979</v>
      </c>
      <c r="B4280" t="s">
        <v>2128</v>
      </c>
      <c r="C4280">
        <v>225.5</v>
      </c>
      <c r="D4280">
        <v>129</v>
      </c>
      <c r="E4280">
        <f>IF(OR(B4280="vi",B4280="ii",B4280="pod"),(((D4280/100)*(C4280*VLOOKUP(B4280,'Poids des runes'!A:B,2,FALSE)))+1),(((D4280/100)*(C4280*VLOOKUP(B4280,'Poids des runes'!A:B,2,FALSE)))+1)/VLOOKUP(B4280,'Poids des runes'!A:B,2,FALSE))</f>
        <v>59.179000000000002</v>
      </c>
      <c r="F4280">
        <f t="shared" si="66"/>
        <v>59.179000000000002</v>
      </c>
    </row>
    <row r="4281" spans="1:6" x14ac:dyDescent="0.3">
      <c r="A4281" t="s">
        <v>979</v>
      </c>
      <c r="B4281" t="s">
        <v>2129</v>
      </c>
      <c r="C4281">
        <v>40.5</v>
      </c>
      <c r="D4281">
        <v>129</v>
      </c>
      <c r="E4281">
        <f>IF(OR(B4281="vi",B4281="ii",B4281="pod"),(((D4281/100)*(C4281*VLOOKUP(B4281,'Poids des runes'!A:B,2,FALSE)))+1),(((D4281/100)*(C4281*VLOOKUP(B4281,'Poids des runes'!A:B,2,FALSE)))+1)/VLOOKUP(B4281,'Poids des runes'!A:B,2,FALSE))</f>
        <v>53.245000000000005</v>
      </c>
      <c r="F4281">
        <f t="shared" si="66"/>
        <v>53.245000000000005</v>
      </c>
    </row>
    <row r="4282" spans="1:6" x14ac:dyDescent="0.3">
      <c r="A4282" t="s">
        <v>979</v>
      </c>
      <c r="B4282" t="s">
        <v>2134</v>
      </c>
      <c r="C4282">
        <v>7.5</v>
      </c>
      <c r="D4282">
        <v>129</v>
      </c>
      <c r="E4282">
        <f>IF(OR(B4282="vi",B4282="ii",B4282="pod"),(((D4282/100)*(C4282*VLOOKUP(B4282,'Poids des runes'!A:B,2,FALSE)))+1),(((D4282/100)*(C4282*VLOOKUP(B4282,'Poids des runes'!A:B,2,FALSE)))+1)/VLOOKUP(B4282,'Poids des runes'!A:B,2,FALSE))</f>
        <v>9.7249999999999996</v>
      </c>
      <c r="F4282">
        <f t="shared" si="66"/>
        <v>9.7249999999999996</v>
      </c>
    </row>
    <row r="4283" spans="1:6" x14ac:dyDescent="0.3">
      <c r="A4283" t="s">
        <v>979</v>
      </c>
      <c r="B4283" t="s">
        <v>2132</v>
      </c>
      <c r="C4283">
        <v>500.5</v>
      </c>
      <c r="D4283">
        <v>129</v>
      </c>
      <c r="E4283">
        <f>IF(OR(B4283="vi",B4283="ii",B4283="pod"),(((D4283/100)*(C4283*VLOOKUP(B4283,'Poids des runes'!A:B,2,FALSE)))+1),(((D4283/100)*(C4283*VLOOKUP(B4283,'Poids des runes'!A:B,2,FALSE)))+1)/VLOOKUP(B4283,'Poids des runes'!A:B,2,FALSE))</f>
        <v>65.56450000000001</v>
      </c>
      <c r="F4283">
        <f t="shared" si="66"/>
        <v>65.56450000000001</v>
      </c>
    </row>
    <row r="4284" spans="1:6" x14ac:dyDescent="0.3">
      <c r="A4284" t="s">
        <v>979</v>
      </c>
      <c r="B4284" t="s">
        <v>2137</v>
      </c>
      <c r="C4284">
        <v>13</v>
      </c>
      <c r="D4284">
        <v>129</v>
      </c>
      <c r="E4284">
        <f>IF(OR(B4284="vi",B4284="ii",B4284="pod"),(((D4284/100)*(C4284*VLOOKUP(B4284,'Poids des runes'!A:B,2,FALSE)))+1),(((D4284/100)*(C4284*VLOOKUP(B4284,'Poids des runes'!A:B,2,FALSE)))+1)/VLOOKUP(B4284,'Poids des runes'!A:B,2,FALSE))</f>
        <v>17.27</v>
      </c>
      <c r="F4284">
        <f t="shared" si="66"/>
        <v>17.27</v>
      </c>
    </row>
    <row r="4285" spans="1:6" x14ac:dyDescent="0.3">
      <c r="A4285" t="s">
        <v>979</v>
      </c>
      <c r="B4285" t="s">
        <v>2144</v>
      </c>
      <c r="C4285">
        <v>13</v>
      </c>
      <c r="D4285">
        <v>129</v>
      </c>
      <c r="E4285">
        <f>IF(OR(B4285="vi",B4285="ii",B4285="pod"),(((D4285/100)*(C4285*VLOOKUP(B4285,'Poids des runes'!A:B,2,FALSE)))+1),(((D4285/100)*(C4285*VLOOKUP(B4285,'Poids des runes'!A:B,2,FALSE)))+1)/VLOOKUP(B4285,'Poids des runes'!A:B,2,FALSE))</f>
        <v>17.27</v>
      </c>
      <c r="F4285">
        <f t="shared" si="66"/>
        <v>17.27</v>
      </c>
    </row>
    <row r="4286" spans="1:6" x14ac:dyDescent="0.3">
      <c r="A4286" t="s">
        <v>979</v>
      </c>
      <c r="B4286" t="s">
        <v>2145</v>
      </c>
      <c r="C4286">
        <v>13</v>
      </c>
      <c r="D4286">
        <v>129</v>
      </c>
      <c r="E4286">
        <f>IF(OR(B4286="vi",B4286="ii",B4286="pod"),(((D4286/100)*(C4286*VLOOKUP(B4286,'Poids des runes'!A:B,2,FALSE)))+1),(((D4286/100)*(C4286*VLOOKUP(B4286,'Poids des runes'!A:B,2,FALSE)))+1)/VLOOKUP(B4286,'Poids des runes'!A:B,2,FALSE))</f>
        <v>17.27</v>
      </c>
      <c r="F4286">
        <f t="shared" si="66"/>
        <v>17.27</v>
      </c>
    </row>
    <row r="4287" spans="1:6" x14ac:dyDescent="0.3">
      <c r="A4287" t="s">
        <v>979</v>
      </c>
      <c r="B4287" t="s">
        <v>2146</v>
      </c>
      <c r="C4287">
        <v>13</v>
      </c>
      <c r="D4287">
        <v>129</v>
      </c>
      <c r="E4287">
        <f>IF(OR(B4287="vi",B4287="ii",B4287="pod"),(((D4287/100)*(C4287*VLOOKUP(B4287,'Poids des runes'!A:B,2,FALSE)))+1),(((D4287/100)*(C4287*VLOOKUP(B4287,'Poids des runes'!A:B,2,FALSE)))+1)/VLOOKUP(B4287,'Poids des runes'!A:B,2,FALSE))</f>
        <v>17.27</v>
      </c>
      <c r="F4287">
        <f t="shared" si="66"/>
        <v>17.27</v>
      </c>
    </row>
    <row r="4288" spans="1:6" x14ac:dyDescent="0.3">
      <c r="A4288" t="s">
        <v>980</v>
      </c>
      <c r="B4288" t="s">
        <v>2131</v>
      </c>
      <c r="C4288">
        <v>50.5</v>
      </c>
      <c r="D4288">
        <v>129</v>
      </c>
      <c r="E4288">
        <f>IF(OR(B4288="vi",B4288="ii",B4288="pod"),(((D4288/100)*(C4288*VLOOKUP(B4288,'Poids des runes'!A:B,2,FALSE)))+1),(((D4288/100)*(C4288*VLOOKUP(B4288,'Poids des runes'!A:B,2,FALSE)))+1)/VLOOKUP(B4288,'Poids des runes'!A:B,2,FALSE))</f>
        <v>66.144999999999996</v>
      </c>
      <c r="F4288">
        <f t="shared" si="66"/>
        <v>66.144999999999996</v>
      </c>
    </row>
    <row r="4289" spans="1:6" x14ac:dyDescent="0.3">
      <c r="A4289" t="s">
        <v>980</v>
      </c>
      <c r="B4289" t="s">
        <v>2129</v>
      </c>
      <c r="C4289">
        <v>40.5</v>
      </c>
      <c r="D4289">
        <v>129</v>
      </c>
      <c r="E4289">
        <f>IF(OR(B4289="vi",B4289="ii",B4289="pod"),(((D4289/100)*(C4289*VLOOKUP(B4289,'Poids des runes'!A:B,2,FALSE)))+1),(((D4289/100)*(C4289*VLOOKUP(B4289,'Poids des runes'!A:B,2,FALSE)))+1)/VLOOKUP(B4289,'Poids des runes'!A:B,2,FALSE))</f>
        <v>53.245000000000005</v>
      </c>
      <c r="F4289">
        <f t="shared" si="66"/>
        <v>53.245000000000005</v>
      </c>
    </row>
    <row r="4290" spans="1:6" x14ac:dyDescent="0.3">
      <c r="A4290" t="s">
        <v>980</v>
      </c>
      <c r="B4290" t="s">
        <v>2134</v>
      </c>
      <c r="C4290">
        <v>8</v>
      </c>
      <c r="D4290">
        <v>129</v>
      </c>
      <c r="E4290">
        <f>IF(OR(B4290="vi",B4290="ii",B4290="pod"),(((D4290/100)*(C4290*VLOOKUP(B4290,'Poids des runes'!A:B,2,FALSE)))+1),(((D4290/100)*(C4290*VLOOKUP(B4290,'Poids des runes'!A:B,2,FALSE)))+1)/VLOOKUP(B4290,'Poids des runes'!A:B,2,FALSE))</f>
        <v>10.370000000000001</v>
      </c>
      <c r="F4290">
        <f t="shared" si="66"/>
        <v>10.370000000000001</v>
      </c>
    </row>
    <row r="4291" spans="1:6" x14ac:dyDescent="0.3">
      <c r="A4291" t="s">
        <v>980</v>
      </c>
      <c r="B4291" t="s">
        <v>2161</v>
      </c>
      <c r="C4291">
        <v>25.5</v>
      </c>
      <c r="D4291">
        <v>129</v>
      </c>
      <c r="E4291">
        <f>IF(OR(B4291="vi",B4291="ii",B4291="pod"),(((D4291/100)*(C4291*VLOOKUP(B4291,'Poids des runes'!A:B,2,FALSE)))+1),(((D4291/100)*(C4291*VLOOKUP(B4291,'Poids des runes'!A:B,2,FALSE)))+1)/VLOOKUP(B4291,'Poids des runes'!A:B,2,FALSE))</f>
        <v>33.228333333333332</v>
      </c>
      <c r="F4291">
        <f t="shared" ref="F4291:F4354" si="67">E4291</f>
        <v>33.228333333333332</v>
      </c>
    </row>
    <row r="4292" spans="1:6" x14ac:dyDescent="0.3">
      <c r="A4292" t="s">
        <v>980</v>
      </c>
      <c r="B4292" t="s">
        <v>2156</v>
      </c>
      <c r="C4292">
        <v>8</v>
      </c>
      <c r="D4292">
        <v>129</v>
      </c>
      <c r="E4292">
        <f>IF(OR(B4292="vi",B4292="ii",B4292="pod"),(((D4292/100)*(C4292*VLOOKUP(B4292,'Poids des runes'!A:B,2,FALSE)))+1),(((D4292/100)*(C4292*VLOOKUP(B4292,'Poids des runes'!A:B,2,FALSE)))+1)/VLOOKUP(B4292,'Poids des runes'!A:B,2,FALSE))</f>
        <v>10.486666666666666</v>
      </c>
      <c r="F4292">
        <f t="shared" si="67"/>
        <v>10.486666666666666</v>
      </c>
    </row>
    <row r="4293" spans="1:6" x14ac:dyDescent="0.3">
      <c r="A4293" t="s">
        <v>980</v>
      </c>
      <c r="B4293" t="s">
        <v>2147</v>
      </c>
      <c r="C4293">
        <v>8</v>
      </c>
      <c r="D4293">
        <v>129</v>
      </c>
      <c r="E4293">
        <f>IF(OR(B4293="vi",B4293="ii",B4293="pod"),(((D4293/100)*(C4293*VLOOKUP(B4293,'Poids des runes'!A:B,2,FALSE)))+1),(((D4293/100)*(C4293*VLOOKUP(B4293,'Poids des runes'!A:B,2,FALSE)))+1)/VLOOKUP(B4293,'Poids des runes'!A:B,2,FALSE))</f>
        <v>10.486666666666666</v>
      </c>
      <c r="F4293">
        <f t="shared" si="67"/>
        <v>10.486666666666666</v>
      </c>
    </row>
    <row r="4294" spans="1:6" x14ac:dyDescent="0.3">
      <c r="A4294" t="s">
        <v>981</v>
      </c>
      <c r="B4294" t="s">
        <v>2128</v>
      </c>
      <c r="C4294">
        <v>125.5</v>
      </c>
      <c r="D4294">
        <v>129</v>
      </c>
      <c r="E4294">
        <f>IF(OR(B4294="vi",B4294="ii",B4294="pod"),(((D4294/100)*(C4294*VLOOKUP(B4294,'Poids des runes'!A:B,2,FALSE)))+1),(((D4294/100)*(C4294*VLOOKUP(B4294,'Poids des runes'!A:B,2,FALSE)))+1)/VLOOKUP(B4294,'Poids des runes'!A:B,2,FALSE))</f>
        <v>33.379000000000005</v>
      </c>
      <c r="F4294">
        <f t="shared" si="67"/>
        <v>33.379000000000005</v>
      </c>
    </row>
    <row r="4295" spans="1:6" x14ac:dyDescent="0.3">
      <c r="A4295" t="s">
        <v>981</v>
      </c>
      <c r="B4295" t="s">
        <v>2126</v>
      </c>
      <c r="C4295">
        <v>20.5</v>
      </c>
      <c r="D4295">
        <v>129</v>
      </c>
      <c r="E4295">
        <f>IF(OR(B4295="vi",B4295="ii",B4295="pod"),(((D4295/100)*(C4295*VLOOKUP(B4295,'Poids des runes'!A:B,2,FALSE)))+1),(((D4295/100)*(C4295*VLOOKUP(B4295,'Poids des runes'!A:B,2,FALSE)))+1)/VLOOKUP(B4295,'Poids des runes'!A:B,2,FALSE))</f>
        <v>27.445</v>
      </c>
      <c r="F4295">
        <f t="shared" si="67"/>
        <v>27.445</v>
      </c>
    </row>
    <row r="4296" spans="1:6" x14ac:dyDescent="0.3">
      <c r="A4296" t="s">
        <v>981</v>
      </c>
      <c r="B4296" t="s">
        <v>2129</v>
      </c>
      <c r="C4296">
        <v>35.5</v>
      </c>
      <c r="D4296">
        <v>129</v>
      </c>
      <c r="E4296">
        <f>IF(OR(B4296="vi",B4296="ii",B4296="pod"),(((D4296/100)*(C4296*VLOOKUP(B4296,'Poids des runes'!A:B,2,FALSE)))+1),(((D4296/100)*(C4296*VLOOKUP(B4296,'Poids des runes'!A:B,2,FALSE)))+1)/VLOOKUP(B4296,'Poids des runes'!A:B,2,FALSE))</f>
        <v>46.795000000000002</v>
      </c>
      <c r="F4296">
        <f t="shared" si="67"/>
        <v>46.795000000000002</v>
      </c>
    </row>
    <row r="4297" spans="1:6" x14ac:dyDescent="0.3">
      <c r="A4297" t="s">
        <v>981</v>
      </c>
      <c r="B4297" t="s">
        <v>2152</v>
      </c>
      <c r="C4297">
        <v>1</v>
      </c>
      <c r="D4297">
        <v>129</v>
      </c>
      <c r="E4297">
        <f>IF(OR(B4297="vi",B4297="ii",B4297="pod"),(((D4297/100)*(C4297*VLOOKUP(B4297,'Poids des runes'!A:B,2,FALSE)))+1),(((D4297/100)*(C4297*VLOOKUP(B4297,'Poids des runes'!A:B,2,FALSE)))+1)/VLOOKUP(B4297,'Poids des runes'!A:B,2,FALSE))</f>
        <v>1.3</v>
      </c>
      <c r="F4297">
        <f t="shared" si="67"/>
        <v>1.3</v>
      </c>
    </row>
    <row r="4298" spans="1:6" x14ac:dyDescent="0.3">
      <c r="A4298" t="s">
        <v>981</v>
      </c>
      <c r="B4298" t="s">
        <v>2149</v>
      </c>
      <c r="C4298">
        <v>8</v>
      </c>
      <c r="D4298">
        <v>129</v>
      </c>
      <c r="E4298">
        <f>IF(OR(B4298="vi",B4298="ii",B4298="pod"),(((D4298/100)*(C4298*VLOOKUP(B4298,'Poids des runes'!A:B,2,FALSE)))+1),(((D4298/100)*(C4298*VLOOKUP(B4298,'Poids des runes'!A:B,2,FALSE)))+1)/VLOOKUP(B4298,'Poids des runes'!A:B,2,FALSE))</f>
        <v>10.42</v>
      </c>
      <c r="F4298">
        <f t="shared" si="67"/>
        <v>10.42</v>
      </c>
    </row>
    <row r="4299" spans="1:6" x14ac:dyDescent="0.3">
      <c r="A4299" t="s">
        <v>981</v>
      </c>
      <c r="B4299" t="s">
        <v>2135</v>
      </c>
      <c r="C4299">
        <v>6</v>
      </c>
      <c r="D4299">
        <v>129</v>
      </c>
      <c r="E4299">
        <f>IF(OR(B4299="vi",B4299="ii",B4299="pod"),(((D4299/100)*(C4299*VLOOKUP(B4299,'Poids des runes'!A:B,2,FALSE)))+1),(((D4299/100)*(C4299*VLOOKUP(B4299,'Poids des runes'!A:B,2,FALSE)))+1)/VLOOKUP(B4299,'Poids des runes'!A:B,2,FALSE))</f>
        <v>7.9066666666666663</v>
      </c>
      <c r="F4299">
        <f t="shared" si="67"/>
        <v>7.9066666666666663</v>
      </c>
    </row>
    <row r="4300" spans="1:6" x14ac:dyDescent="0.3">
      <c r="A4300" t="s">
        <v>981</v>
      </c>
      <c r="B4300" t="s">
        <v>2157</v>
      </c>
      <c r="C4300">
        <v>6</v>
      </c>
      <c r="D4300">
        <v>129</v>
      </c>
      <c r="E4300">
        <f>IF(OR(B4300="vi",B4300="ii",B4300="pod"),(((D4300/100)*(C4300*VLOOKUP(B4300,'Poids des runes'!A:B,2,FALSE)))+1),(((D4300/100)*(C4300*VLOOKUP(B4300,'Poids des runes'!A:B,2,FALSE)))+1)/VLOOKUP(B4300,'Poids des runes'!A:B,2,FALSE))</f>
        <v>7.9066666666666663</v>
      </c>
      <c r="F4300">
        <f t="shared" si="67"/>
        <v>7.9066666666666663</v>
      </c>
    </row>
    <row r="4301" spans="1:6" x14ac:dyDescent="0.3">
      <c r="A4301" t="s">
        <v>981</v>
      </c>
      <c r="B4301" t="s">
        <v>2137</v>
      </c>
      <c r="C4301">
        <v>11</v>
      </c>
      <c r="D4301">
        <v>129</v>
      </c>
      <c r="E4301">
        <f>IF(OR(B4301="vi",B4301="ii",B4301="pod"),(((D4301/100)*(C4301*VLOOKUP(B4301,'Poids des runes'!A:B,2,FALSE)))+1),(((D4301/100)*(C4301*VLOOKUP(B4301,'Poids des runes'!A:B,2,FALSE)))+1)/VLOOKUP(B4301,'Poids des runes'!A:B,2,FALSE))</f>
        <v>14.690000000000001</v>
      </c>
      <c r="F4301">
        <f t="shared" si="67"/>
        <v>14.690000000000001</v>
      </c>
    </row>
    <row r="4302" spans="1:6" x14ac:dyDescent="0.3">
      <c r="A4302" t="s">
        <v>981</v>
      </c>
      <c r="B4302" t="s">
        <v>2144</v>
      </c>
      <c r="C4302">
        <v>11</v>
      </c>
      <c r="D4302">
        <v>129</v>
      </c>
      <c r="E4302">
        <f>IF(OR(B4302="vi",B4302="ii",B4302="pod"),(((D4302/100)*(C4302*VLOOKUP(B4302,'Poids des runes'!A:B,2,FALSE)))+1),(((D4302/100)*(C4302*VLOOKUP(B4302,'Poids des runes'!A:B,2,FALSE)))+1)/VLOOKUP(B4302,'Poids des runes'!A:B,2,FALSE))</f>
        <v>14.690000000000001</v>
      </c>
      <c r="F4302">
        <f t="shared" si="67"/>
        <v>14.690000000000001</v>
      </c>
    </row>
    <row r="4303" spans="1:6" x14ac:dyDescent="0.3">
      <c r="A4303" t="s">
        <v>982</v>
      </c>
      <c r="B4303" t="s">
        <v>2128</v>
      </c>
      <c r="C4303">
        <v>95.5</v>
      </c>
      <c r="D4303">
        <v>129</v>
      </c>
      <c r="E4303">
        <f>IF(OR(B4303="vi",B4303="ii",B4303="pod"),(((D4303/100)*(C4303*VLOOKUP(B4303,'Poids des runes'!A:B,2,FALSE)))+1),(((D4303/100)*(C4303*VLOOKUP(B4303,'Poids des runes'!A:B,2,FALSE)))+1)/VLOOKUP(B4303,'Poids des runes'!A:B,2,FALSE))</f>
        <v>25.639000000000003</v>
      </c>
      <c r="F4303">
        <f t="shared" si="67"/>
        <v>25.639000000000003</v>
      </c>
    </row>
    <row r="4304" spans="1:6" x14ac:dyDescent="0.3">
      <c r="A4304" t="s">
        <v>982</v>
      </c>
      <c r="B4304" t="s">
        <v>2126</v>
      </c>
      <c r="C4304">
        <v>35.5</v>
      </c>
      <c r="D4304">
        <v>129</v>
      </c>
      <c r="E4304">
        <f>IF(OR(B4304="vi",B4304="ii",B4304="pod"),(((D4304/100)*(C4304*VLOOKUP(B4304,'Poids des runes'!A:B,2,FALSE)))+1),(((D4304/100)*(C4304*VLOOKUP(B4304,'Poids des runes'!A:B,2,FALSE)))+1)/VLOOKUP(B4304,'Poids des runes'!A:B,2,FALSE))</f>
        <v>46.795000000000002</v>
      </c>
      <c r="F4304">
        <f t="shared" si="67"/>
        <v>46.795000000000002</v>
      </c>
    </row>
    <row r="4305" spans="1:6" x14ac:dyDescent="0.3">
      <c r="A4305" t="s">
        <v>982</v>
      </c>
      <c r="B4305" t="s">
        <v>2131</v>
      </c>
      <c r="C4305">
        <v>35.5</v>
      </c>
      <c r="D4305">
        <v>129</v>
      </c>
      <c r="E4305">
        <f>IF(OR(B4305="vi",B4305="ii",B4305="pod"),(((D4305/100)*(C4305*VLOOKUP(B4305,'Poids des runes'!A:B,2,FALSE)))+1),(((D4305/100)*(C4305*VLOOKUP(B4305,'Poids des runes'!A:B,2,FALSE)))+1)/VLOOKUP(B4305,'Poids des runes'!A:B,2,FALSE))</f>
        <v>46.795000000000002</v>
      </c>
      <c r="F4305">
        <f t="shared" si="67"/>
        <v>46.795000000000002</v>
      </c>
    </row>
    <row r="4306" spans="1:6" x14ac:dyDescent="0.3">
      <c r="A4306" t="s">
        <v>982</v>
      </c>
      <c r="B4306" t="s">
        <v>2151</v>
      </c>
      <c r="C4306">
        <v>3.5</v>
      </c>
      <c r="D4306">
        <v>129</v>
      </c>
      <c r="E4306">
        <f>IF(OR(B4306="vi",B4306="ii",B4306="pod"),(((D4306/100)*(C4306*VLOOKUP(B4306,'Poids des runes'!A:B,2,FALSE)))+1),(((D4306/100)*(C4306*VLOOKUP(B4306,'Poids des runes'!A:B,2,FALSE)))+1)/VLOOKUP(B4306,'Poids des runes'!A:B,2,FALSE))</f>
        <v>4.6150000000000002</v>
      </c>
      <c r="F4306">
        <f t="shared" si="67"/>
        <v>4.6150000000000002</v>
      </c>
    </row>
    <row r="4307" spans="1:6" x14ac:dyDescent="0.3">
      <c r="A4307" t="s">
        <v>982</v>
      </c>
      <c r="B4307" t="s">
        <v>2154</v>
      </c>
      <c r="C4307">
        <v>1</v>
      </c>
      <c r="D4307">
        <v>129</v>
      </c>
      <c r="E4307">
        <f>IF(OR(B4307="vi",B4307="ii",B4307="pod"),(((D4307/100)*(C4307*VLOOKUP(B4307,'Poids des runes'!A:B,2,FALSE)))+1),(((D4307/100)*(C4307*VLOOKUP(B4307,'Poids des runes'!A:B,2,FALSE)))+1)/VLOOKUP(B4307,'Poids des runes'!A:B,2,FALSE))</f>
        <v>1.3011111111111111</v>
      </c>
      <c r="F4307">
        <f t="shared" si="67"/>
        <v>1.3011111111111111</v>
      </c>
    </row>
    <row r="4308" spans="1:6" x14ac:dyDescent="0.3">
      <c r="A4308" t="s">
        <v>982</v>
      </c>
      <c r="B4308" t="s">
        <v>2134</v>
      </c>
      <c r="C4308">
        <v>5</v>
      </c>
      <c r="D4308">
        <v>129</v>
      </c>
      <c r="E4308">
        <f>IF(OR(B4308="vi",B4308="ii",B4308="pod"),(((D4308/100)*(C4308*VLOOKUP(B4308,'Poids des runes'!A:B,2,FALSE)))+1),(((D4308/100)*(C4308*VLOOKUP(B4308,'Poids des runes'!A:B,2,FALSE)))+1)/VLOOKUP(B4308,'Poids des runes'!A:B,2,FALSE))</f>
        <v>6.5</v>
      </c>
      <c r="F4308">
        <f t="shared" si="67"/>
        <v>6.5</v>
      </c>
    </row>
    <row r="4309" spans="1:6" x14ac:dyDescent="0.3">
      <c r="A4309" t="s">
        <v>982</v>
      </c>
      <c r="B4309" t="s">
        <v>2149</v>
      </c>
      <c r="C4309">
        <v>4</v>
      </c>
      <c r="D4309">
        <v>129</v>
      </c>
      <c r="E4309">
        <f>IF(OR(B4309="vi",B4309="ii",B4309="pod"),(((D4309/100)*(C4309*VLOOKUP(B4309,'Poids des runes'!A:B,2,FALSE)))+1),(((D4309/100)*(C4309*VLOOKUP(B4309,'Poids des runes'!A:B,2,FALSE)))+1)/VLOOKUP(B4309,'Poids des runes'!A:B,2,FALSE))</f>
        <v>5.26</v>
      </c>
      <c r="F4309">
        <f t="shared" si="67"/>
        <v>5.26</v>
      </c>
    </row>
    <row r="4310" spans="1:6" x14ac:dyDescent="0.3">
      <c r="A4310" t="s">
        <v>982</v>
      </c>
      <c r="B4310" t="s">
        <v>2161</v>
      </c>
      <c r="C4310">
        <v>15.5</v>
      </c>
      <c r="D4310">
        <v>129</v>
      </c>
      <c r="E4310">
        <f>IF(OR(B4310="vi",B4310="ii",B4310="pod"),(((D4310/100)*(C4310*VLOOKUP(B4310,'Poids des runes'!A:B,2,FALSE)))+1),(((D4310/100)*(C4310*VLOOKUP(B4310,'Poids des runes'!A:B,2,FALSE)))+1)/VLOOKUP(B4310,'Poids des runes'!A:B,2,FALSE))</f>
        <v>20.328333333333333</v>
      </c>
      <c r="F4310">
        <f t="shared" si="67"/>
        <v>20.328333333333333</v>
      </c>
    </row>
    <row r="4311" spans="1:6" x14ac:dyDescent="0.3">
      <c r="A4311" t="s">
        <v>982</v>
      </c>
      <c r="B4311" t="s">
        <v>2148</v>
      </c>
      <c r="C4311">
        <v>6.5</v>
      </c>
      <c r="D4311">
        <v>129</v>
      </c>
      <c r="E4311">
        <f>IF(OR(B4311="vi",B4311="ii",B4311="pod"),(((D4311/100)*(C4311*VLOOKUP(B4311,'Poids des runes'!A:B,2,FALSE)))+1),(((D4311/100)*(C4311*VLOOKUP(B4311,'Poids des runes'!A:B,2,FALSE)))+1)/VLOOKUP(B4311,'Poids des runes'!A:B,2,FALSE))</f>
        <v>8.5516666666666676</v>
      </c>
      <c r="F4311">
        <f t="shared" si="67"/>
        <v>8.5516666666666676</v>
      </c>
    </row>
    <row r="4312" spans="1:6" x14ac:dyDescent="0.3">
      <c r="A4312" t="s">
        <v>982</v>
      </c>
      <c r="B4312" t="s">
        <v>2135</v>
      </c>
      <c r="C4312">
        <v>6.5</v>
      </c>
      <c r="D4312">
        <v>129</v>
      </c>
      <c r="E4312">
        <f>IF(OR(B4312="vi",B4312="ii",B4312="pod"),(((D4312/100)*(C4312*VLOOKUP(B4312,'Poids des runes'!A:B,2,FALSE)))+1),(((D4312/100)*(C4312*VLOOKUP(B4312,'Poids des runes'!A:B,2,FALSE)))+1)/VLOOKUP(B4312,'Poids des runes'!A:B,2,FALSE))</f>
        <v>8.5516666666666676</v>
      </c>
      <c r="F4312">
        <f t="shared" si="67"/>
        <v>8.5516666666666676</v>
      </c>
    </row>
    <row r="4313" spans="1:6" x14ac:dyDescent="0.3">
      <c r="A4313" t="s">
        <v>983</v>
      </c>
      <c r="B4313" t="s">
        <v>2152</v>
      </c>
      <c r="C4313">
        <v>1</v>
      </c>
      <c r="D4313">
        <v>130</v>
      </c>
      <c r="E4313">
        <f>IF(OR(B4313="vi",B4313="ii",B4313="pod"),(((D4313/100)*(C4313*VLOOKUP(B4313,'Poids des runes'!A:B,2,FALSE)))+1),(((D4313/100)*(C4313*VLOOKUP(B4313,'Poids des runes'!A:B,2,FALSE)))+1)/VLOOKUP(B4313,'Poids des runes'!A:B,2,FALSE))</f>
        <v>1.31</v>
      </c>
      <c r="F4313">
        <f t="shared" si="67"/>
        <v>1.31</v>
      </c>
    </row>
    <row r="4314" spans="1:6" x14ac:dyDescent="0.3">
      <c r="A4314" t="s">
        <v>983</v>
      </c>
      <c r="B4314" t="s">
        <v>2154</v>
      </c>
      <c r="C4314">
        <v>1</v>
      </c>
      <c r="D4314">
        <v>130</v>
      </c>
      <c r="E4314">
        <f>IF(OR(B4314="vi",B4314="ii",B4314="pod"),(((D4314/100)*(C4314*VLOOKUP(B4314,'Poids des runes'!A:B,2,FALSE)))+1),(((D4314/100)*(C4314*VLOOKUP(B4314,'Poids des runes'!A:B,2,FALSE)))+1)/VLOOKUP(B4314,'Poids des runes'!A:B,2,FALSE))</f>
        <v>1.3111111111111111</v>
      </c>
      <c r="F4314">
        <f t="shared" si="67"/>
        <v>1.3111111111111111</v>
      </c>
    </row>
    <row r="4315" spans="1:6" x14ac:dyDescent="0.3">
      <c r="A4315" t="s">
        <v>983</v>
      </c>
      <c r="B4315" t="s">
        <v>2155</v>
      </c>
      <c r="C4315">
        <v>1</v>
      </c>
      <c r="D4315">
        <v>130</v>
      </c>
      <c r="E4315">
        <f>IF(OR(B4315="vi",B4315="ii",B4315="pod"),(((D4315/100)*(C4315*VLOOKUP(B4315,'Poids des runes'!A:B,2,FALSE)))+1),(((D4315/100)*(C4315*VLOOKUP(B4315,'Poids des runes'!A:B,2,FALSE)))+1)/VLOOKUP(B4315,'Poids des runes'!A:B,2,FALSE))</f>
        <v>1.3196078431372549</v>
      </c>
      <c r="F4315">
        <f t="shared" si="67"/>
        <v>1.3196078431372549</v>
      </c>
    </row>
    <row r="4316" spans="1:6" x14ac:dyDescent="0.3">
      <c r="A4316" t="s">
        <v>984</v>
      </c>
      <c r="B4316" t="s">
        <v>2128</v>
      </c>
      <c r="C4316">
        <v>175.5</v>
      </c>
      <c r="D4316">
        <v>130</v>
      </c>
      <c r="E4316">
        <f>IF(OR(B4316="vi",B4316="ii",B4316="pod"),(((D4316/100)*(C4316*VLOOKUP(B4316,'Poids des runes'!A:B,2,FALSE)))+1),(((D4316/100)*(C4316*VLOOKUP(B4316,'Poids des runes'!A:B,2,FALSE)))+1)/VLOOKUP(B4316,'Poids des runes'!A:B,2,FALSE))</f>
        <v>46.63</v>
      </c>
      <c r="F4316">
        <f t="shared" si="67"/>
        <v>46.63</v>
      </c>
    </row>
    <row r="4317" spans="1:6" x14ac:dyDescent="0.3">
      <c r="A4317" t="s">
        <v>984</v>
      </c>
      <c r="B4317" t="s">
        <v>2130</v>
      </c>
      <c r="C4317">
        <v>40.5</v>
      </c>
      <c r="D4317">
        <v>130</v>
      </c>
      <c r="E4317">
        <f>IF(OR(B4317="vi",B4317="ii",B4317="pod"),(((D4317/100)*(C4317*VLOOKUP(B4317,'Poids des runes'!A:B,2,FALSE)))+1),(((D4317/100)*(C4317*VLOOKUP(B4317,'Poids des runes'!A:B,2,FALSE)))+1)/VLOOKUP(B4317,'Poids des runes'!A:B,2,FALSE))</f>
        <v>53.65</v>
      </c>
      <c r="F4317">
        <f t="shared" si="67"/>
        <v>53.65</v>
      </c>
    </row>
    <row r="4318" spans="1:6" x14ac:dyDescent="0.3">
      <c r="A4318" t="s">
        <v>984</v>
      </c>
      <c r="B4318" t="s">
        <v>2131</v>
      </c>
      <c r="C4318">
        <v>40.5</v>
      </c>
      <c r="D4318">
        <v>130</v>
      </c>
      <c r="E4318">
        <f>IF(OR(B4318="vi",B4318="ii",B4318="pod"),(((D4318/100)*(C4318*VLOOKUP(B4318,'Poids des runes'!A:B,2,FALSE)))+1),(((D4318/100)*(C4318*VLOOKUP(B4318,'Poids des runes'!A:B,2,FALSE)))+1)/VLOOKUP(B4318,'Poids des runes'!A:B,2,FALSE))</f>
        <v>53.65</v>
      </c>
      <c r="F4318">
        <f t="shared" si="67"/>
        <v>53.65</v>
      </c>
    </row>
    <row r="4319" spans="1:6" x14ac:dyDescent="0.3">
      <c r="A4319" t="s">
        <v>984</v>
      </c>
      <c r="B4319" t="s">
        <v>2129</v>
      </c>
      <c r="C4319">
        <v>25.5</v>
      </c>
      <c r="D4319">
        <v>130</v>
      </c>
      <c r="E4319">
        <f>IF(OR(B4319="vi",B4319="ii",B4319="pod"),(((D4319/100)*(C4319*VLOOKUP(B4319,'Poids des runes'!A:B,2,FALSE)))+1),(((D4319/100)*(C4319*VLOOKUP(B4319,'Poids des runes'!A:B,2,FALSE)))+1)/VLOOKUP(B4319,'Poids des runes'!A:B,2,FALSE))</f>
        <v>34.15</v>
      </c>
      <c r="F4319">
        <f t="shared" si="67"/>
        <v>34.15</v>
      </c>
    </row>
    <row r="4320" spans="1:6" x14ac:dyDescent="0.3">
      <c r="A4320" t="s">
        <v>984</v>
      </c>
      <c r="B4320" t="s">
        <v>2150</v>
      </c>
      <c r="C4320">
        <v>1.5</v>
      </c>
      <c r="D4320">
        <v>130</v>
      </c>
      <c r="E4320">
        <f>IF(OR(B4320="vi",B4320="ii",B4320="pod"),(((D4320/100)*(C4320*VLOOKUP(B4320,'Poids des runes'!A:B,2,FALSE)))+1),(((D4320/100)*(C4320*VLOOKUP(B4320,'Poids des runes'!A:B,2,FALSE)))+1)/VLOOKUP(B4320,'Poids des runes'!A:B,2,FALSE))</f>
        <v>1.9833333333333334</v>
      </c>
      <c r="F4320">
        <f t="shared" si="67"/>
        <v>1.9833333333333334</v>
      </c>
    </row>
    <row r="4321" spans="1:6" x14ac:dyDescent="0.3">
      <c r="A4321" t="s">
        <v>984</v>
      </c>
      <c r="B4321" t="s">
        <v>2134</v>
      </c>
      <c r="C4321">
        <v>5</v>
      </c>
      <c r="D4321">
        <v>130</v>
      </c>
      <c r="E4321">
        <f>IF(OR(B4321="vi",B4321="ii",B4321="pod"),(((D4321/100)*(C4321*VLOOKUP(B4321,'Poids des runes'!A:B,2,FALSE)))+1),(((D4321/100)*(C4321*VLOOKUP(B4321,'Poids des runes'!A:B,2,FALSE)))+1)/VLOOKUP(B4321,'Poids des runes'!A:B,2,FALSE))</f>
        <v>6.55</v>
      </c>
      <c r="F4321">
        <f t="shared" si="67"/>
        <v>6.55</v>
      </c>
    </row>
    <row r="4322" spans="1:6" x14ac:dyDescent="0.3">
      <c r="A4322" t="s">
        <v>984</v>
      </c>
      <c r="B4322" t="s">
        <v>2164</v>
      </c>
      <c r="C4322">
        <v>8.5</v>
      </c>
      <c r="D4322">
        <v>130</v>
      </c>
      <c r="E4322">
        <f>IF(OR(B4322="vi",B4322="ii",B4322="pod"),(((D4322/100)*(C4322*VLOOKUP(B4322,'Poids des runes'!A:B,2,FALSE)))+1),(((D4322/100)*(C4322*VLOOKUP(B4322,'Poids des runes'!A:B,2,FALSE)))+1)/VLOOKUP(B4322,'Poids des runes'!A:B,2,FALSE))</f>
        <v>11.55</v>
      </c>
      <c r="F4322">
        <f t="shared" si="67"/>
        <v>11.55</v>
      </c>
    </row>
    <row r="4323" spans="1:6" x14ac:dyDescent="0.3">
      <c r="A4323" t="s">
        <v>984</v>
      </c>
      <c r="B4323" t="s">
        <v>2147</v>
      </c>
      <c r="C4323">
        <v>4.5</v>
      </c>
      <c r="D4323">
        <v>130</v>
      </c>
      <c r="E4323">
        <f>IF(OR(B4323="vi",B4323="ii",B4323="pod"),(((D4323/100)*(C4323*VLOOKUP(B4323,'Poids des runes'!A:B,2,FALSE)))+1),(((D4323/100)*(C4323*VLOOKUP(B4323,'Poids des runes'!A:B,2,FALSE)))+1)/VLOOKUP(B4323,'Poids des runes'!A:B,2,FALSE))</f>
        <v>6.0166666666666666</v>
      </c>
      <c r="F4323">
        <f t="shared" si="67"/>
        <v>6.0166666666666666</v>
      </c>
    </row>
    <row r="4324" spans="1:6" x14ac:dyDescent="0.3">
      <c r="A4324" t="s">
        <v>984</v>
      </c>
      <c r="B4324" t="s">
        <v>2144</v>
      </c>
      <c r="C4324">
        <v>4.5</v>
      </c>
      <c r="D4324">
        <v>130</v>
      </c>
      <c r="E4324">
        <f>IF(OR(B4324="vi",B4324="ii",B4324="pod"),(((D4324/100)*(C4324*VLOOKUP(B4324,'Poids des runes'!A:B,2,FALSE)))+1),(((D4324/100)*(C4324*VLOOKUP(B4324,'Poids des runes'!A:B,2,FALSE)))+1)/VLOOKUP(B4324,'Poids des runes'!A:B,2,FALSE))</f>
        <v>6.3500000000000005</v>
      </c>
      <c r="F4324">
        <f t="shared" si="67"/>
        <v>6.3500000000000005</v>
      </c>
    </row>
    <row r="4325" spans="1:6" x14ac:dyDescent="0.3">
      <c r="A4325" t="s">
        <v>985</v>
      </c>
      <c r="B4325" t="s">
        <v>2128</v>
      </c>
      <c r="C4325">
        <v>125.5</v>
      </c>
      <c r="D4325">
        <v>130</v>
      </c>
      <c r="E4325">
        <f>IF(OR(B4325="vi",B4325="ii",B4325="pod"),(((D4325/100)*(C4325*VLOOKUP(B4325,'Poids des runes'!A:B,2,FALSE)))+1),(((D4325/100)*(C4325*VLOOKUP(B4325,'Poids des runes'!A:B,2,FALSE)))+1)/VLOOKUP(B4325,'Poids des runes'!A:B,2,FALSE))</f>
        <v>33.630000000000003</v>
      </c>
      <c r="F4325">
        <f t="shared" si="67"/>
        <v>33.630000000000003</v>
      </c>
    </row>
    <row r="4326" spans="1:6" x14ac:dyDescent="0.3">
      <c r="A4326" t="s">
        <v>985</v>
      </c>
      <c r="B4326" t="s">
        <v>2126</v>
      </c>
      <c r="C4326">
        <v>23</v>
      </c>
      <c r="D4326">
        <v>130</v>
      </c>
      <c r="E4326">
        <f>IF(OR(B4326="vi",B4326="ii",B4326="pod"),(((D4326/100)*(C4326*VLOOKUP(B4326,'Poids des runes'!A:B,2,FALSE)))+1),(((D4326/100)*(C4326*VLOOKUP(B4326,'Poids des runes'!A:B,2,FALSE)))+1)/VLOOKUP(B4326,'Poids des runes'!A:B,2,FALSE))</f>
        <v>30.900000000000002</v>
      </c>
      <c r="F4326">
        <f t="shared" si="67"/>
        <v>30.900000000000002</v>
      </c>
    </row>
    <row r="4327" spans="1:6" x14ac:dyDescent="0.3">
      <c r="A4327" t="s">
        <v>985</v>
      </c>
      <c r="B4327" t="s">
        <v>2127</v>
      </c>
      <c r="C4327">
        <v>38</v>
      </c>
      <c r="D4327">
        <v>130</v>
      </c>
      <c r="E4327">
        <f>IF(OR(B4327="vi",B4327="ii",B4327="pod"),(((D4327/100)*(C4327*VLOOKUP(B4327,'Poids des runes'!A:B,2,FALSE)))+1),(((D4327/100)*(C4327*VLOOKUP(B4327,'Poids des runes'!A:B,2,FALSE)))+1)/VLOOKUP(B4327,'Poids des runes'!A:B,2,FALSE))</f>
        <v>50.4</v>
      </c>
      <c r="F4327">
        <f t="shared" si="67"/>
        <v>50.4</v>
      </c>
    </row>
    <row r="4328" spans="1:6" x14ac:dyDescent="0.3">
      <c r="A4328" t="s">
        <v>985</v>
      </c>
      <c r="B4328" t="s">
        <v>2129</v>
      </c>
      <c r="C4328">
        <v>15.5</v>
      </c>
      <c r="D4328">
        <v>130</v>
      </c>
      <c r="E4328">
        <f>IF(OR(B4328="vi",B4328="ii",B4328="pod"),(((D4328/100)*(C4328*VLOOKUP(B4328,'Poids des runes'!A:B,2,FALSE)))+1),(((D4328/100)*(C4328*VLOOKUP(B4328,'Poids des runes'!A:B,2,FALSE)))+1)/VLOOKUP(B4328,'Poids des runes'!A:B,2,FALSE))</f>
        <v>21.150000000000002</v>
      </c>
      <c r="F4328">
        <f t="shared" si="67"/>
        <v>21.150000000000002</v>
      </c>
    </row>
    <row r="4329" spans="1:6" x14ac:dyDescent="0.3">
      <c r="A4329" t="s">
        <v>985</v>
      </c>
      <c r="B4329" t="s">
        <v>2155</v>
      </c>
      <c r="C4329">
        <v>1</v>
      </c>
      <c r="D4329">
        <v>130</v>
      </c>
      <c r="E4329">
        <f>IF(OR(B4329="vi",B4329="ii",B4329="pod"),(((D4329/100)*(C4329*VLOOKUP(B4329,'Poids des runes'!A:B,2,FALSE)))+1),(((D4329/100)*(C4329*VLOOKUP(B4329,'Poids des runes'!A:B,2,FALSE)))+1)/VLOOKUP(B4329,'Poids des runes'!A:B,2,FALSE))</f>
        <v>1.3196078431372549</v>
      </c>
      <c r="F4329">
        <f t="shared" si="67"/>
        <v>1.3196078431372549</v>
      </c>
    </row>
    <row r="4330" spans="1:6" x14ac:dyDescent="0.3">
      <c r="A4330" t="s">
        <v>985</v>
      </c>
      <c r="B4330" t="s">
        <v>2134</v>
      </c>
      <c r="C4330">
        <v>5</v>
      </c>
      <c r="D4330">
        <v>130</v>
      </c>
      <c r="E4330">
        <f>IF(OR(B4330="vi",B4330="ii",B4330="pod"),(((D4330/100)*(C4330*VLOOKUP(B4330,'Poids des runes'!A:B,2,FALSE)))+1),(((D4330/100)*(C4330*VLOOKUP(B4330,'Poids des runes'!A:B,2,FALSE)))+1)/VLOOKUP(B4330,'Poids des runes'!A:B,2,FALSE))</f>
        <v>6.55</v>
      </c>
      <c r="F4330">
        <f t="shared" si="67"/>
        <v>6.55</v>
      </c>
    </row>
    <row r="4331" spans="1:6" x14ac:dyDescent="0.3">
      <c r="A4331" t="s">
        <v>985</v>
      </c>
      <c r="B4331" t="s">
        <v>2149</v>
      </c>
      <c r="C4331">
        <v>5</v>
      </c>
      <c r="D4331">
        <v>130</v>
      </c>
      <c r="E4331">
        <f>IF(OR(B4331="vi",B4331="ii",B4331="pod"),(((D4331/100)*(C4331*VLOOKUP(B4331,'Poids des runes'!A:B,2,FALSE)))+1),(((D4331/100)*(C4331*VLOOKUP(B4331,'Poids des runes'!A:B,2,FALSE)))+1)/VLOOKUP(B4331,'Poids des runes'!A:B,2,FALSE))</f>
        <v>6.6</v>
      </c>
      <c r="F4331">
        <f t="shared" si="67"/>
        <v>6.6</v>
      </c>
    </row>
    <row r="4332" spans="1:6" x14ac:dyDescent="0.3">
      <c r="A4332" t="s">
        <v>985</v>
      </c>
      <c r="B4332" t="s">
        <v>2161</v>
      </c>
      <c r="C4332">
        <v>13</v>
      </c>
      <c r="D4332">
        <v>130</v>
      </c>
      <c r="E4332">
        <f>IF(OR(B4332="vi",B4332="ii",B4332="pod"),(((D4332/100)*(C4332*VLOOKUP(B4332,'Poids des runes'!A:B,2,FALSE)))+1),(((D4332/100)*(C4332*VLOOKUP(B4332,'Poids des runes'!A:B,2,FALSE)))+1)/VLOOKUP(B4332,'Poids des runes'!A:B,2,FALSE))</f>
        <v>17.233333333333334</v>
      </c>
      <c r="F4332">
        <f t="shared" si="67"/>
        <v>17.233333333333334</v>
      </c>
    </row>
    <row r="4333" spans="1:6" x14ac:dyDescent="0.3">
      <c r="A4333" t="s">
        <v>985</v>
      </c>
      <c r="B4333" t="s">
        <v>2147</v>
      </c>
      <c r="C4333">
        <v>6</v>
      </c>
      <c r="D4333">
        <v>130</v>
      </c>
      <c r="E4333">
        <f>IF(OR(B4333="vi",B4333="ii",B4333="pod"),(((D4333/100)*(C4333*VLOOKUP(B4333,'Poids des runes'!A:B,2,FALSE)))+1),(((D4333/100)*(C4333*VLOOKUP(B4333,'Poids des runes'!A:B,2,FALSE)))+1)/VLOOKUP(B4333,'Poids des runes'!A:B,2,FALSE))</f>
        <v>7.9666666666666677</v>
      </c>
      <c r="F4333">
        <f t="shared" si="67"/>
        <v>7.9666666666666677</v>
      </c>
    </row>
    <row r="4334" spans="1:6" x14ac:dyDescent="0.3">
      <c r="A4334" t="s">
        <v>985</v>
      </c>
      <c r="B4334" t="s">
        <v>2157</v>
      </c>
      <c r="C4334">
        <v>6</v>
      </c>
      <c r="D4334">
        <v>130</v>
      </c>
      <c r="E4334">
        <f>IF(OR(B4334="vi",B4334="ii",B4334="pod"),(((D4334/100)*(C4334*VLOOKUP(B4334,'Poids des runes'!A:B,2,FALSE)))+1),(((D4334/100)*(C4334*VLOOKUP(B4334,'Poids des runes'!A:B,2,FALSE)))+1)/VLOOKUP(B4334,'Poids des runes'!A:B,2,FALSE))</f>
        <v>7.9666666666666677</v>
      </c>
      <c r="F4334">
        <f t="shared" si="67"/>
        <v>7.9666666666666677</v>
      </c>
    </row>
    <row r="4335" spans="1:6" x14ac:dyDescent="0.3">
      <c r="A4335" t="s">
        <v>985</v>
      </c>
      <c r="B4335" t="s">
        <v>2144</v>
      </c>
      <c r="C4335">
        <v>5</v>
      </c>
      <c r="D4335">
        <v>130</v>
      </c>
      <c r="E4335">
        <f>IF(OR(B4335="vi",B4335="ii",B4335="pod"),(((D4335/100)*(C4335*VLOOKUP(B4335,'Poids des runes'!A:B,2,FALSE)))+1),(((D4335/100)*(C4335*VLOOKUP(B4335,'Poids des runes'!A:B,2,FALSE)))+1)/VLOOKUP(B4335,'Poids des runes'!A:B,2,FALSE))</f>
        <v>7</v>
      </c>
      <c r="F4335">
        <f t="shared" si="67"/>
        <v>7</v>
      </c>
    </row>
    <row r="4336" spans="1:6" x14ac:dyDescent="0.3">
      <c r="A4336" t="s">
        <v>985</v>
      </c>
      <c r="B4336" t="s">
        <v>2146</v>
      </c>
      <c r="C4336">
        <v>5</v>
      </c>
      <c r="D4336">
        <v>130</v>
      </c>
      <c r="E4336">
        <f>IF(OR(B4336="vi",B4336="ii",B4336="pod"),(((D4336/100)*(C4336*VLOOKUP(B4336,'Poids des runes'!A:B,2,FALSE)))+1),(((D4336/100)*(C4336*VLOOKUP(B4336,'Poids des runes'!A:B,2,FALSE)))+1)/VLOOKUP(B4336,'Poids des runes'!A:B,2,FALSE))</f>
        <v>7</v>
      </c>
      <c r="F4336">
        <f t="shared" si="67"/>
        <v>7</v>
      </c>
    </row>
    <row r="4337" spans="1:6" x14ac:dyDescent="0.3">
      <c r="A4337" t="s">
        <v>986</v>
      </c>
      <c r="B4337" t="s">
        <v>2128</v>
      </c>
      <c r="C4337">
        <v>125.5</v>
      </c>
      <c r="D4337">
        <v>130</v>
      </c>
      <c r="E4337">
        <f>IF(OR(B4337="vi",B4337="ii",B4337="pod"),(((D4337/100)*(C4337*VLOOKUP(B4337,'Poids des runes'!A:B,2,FALSE)))+1),(((D4337/100)*(C4337*VLOOKUP(B4337,'Poids des runes'!A:B,2,FALSE)))+1)/VLOOKUP(B4337,'Poids des runes'!A:B,2,FALSE))</f>
        <v>33.630000000000003</v>
      </c>
      <c r="F4337">
        <f t="shared" si="67"/>
        <v>33.630000000000003</v>
      </c>
    </row>
    <row r="4338" spans="1:6" x14ac:dyDescent="0.3">
      <c r="A4338" t="s">
        <v>986</v>
      </c>
      <c r="B4338" t="s">
        <v>2126</v>
      </c>
      <c r="C4338">
        <v>35.5</v>
      </c>
      <c r="D4338">
        <v>130</v>
      </c>
      <c r="E4338">
        <f>IF(OR(B4338="vi",B4338="ii",B4338="pod"),(((D4338/100)*(C4338*VLOOKUP(B4338,'Poids des runes'!A:B,2,FALSE)))+1),(((D4338/100)*(C4338*VLOOKUP(B4338,'Poids des runes'!A:B,2,FALSE)))+1)/VLOOKUP(B4338,'Poids des runes'!A:B,2,FALSE))</f>
        <v>47.15</v>
      </c>
      <c r="F4338">
        <f t="shared" si="67"/>
        <v>47.15</v>
      </c>
    </row>
    <row r="4339" spans="1:6" x14ac:dyDescent="0.3">
      <c r="A4339" t="s">
        <v>986</v>
      </c>
      <c r="B4339" t="s">
        <v>2131</v>
      </c>
      <c r="C4339">
        <v>35.5</v>
      </c>
      <c r="D4339">
        <v>130</v>
      </c>
      <c r="E4339">
        <f>IF(OR(B4339="vi",B4339="ii",B4339="pod"),(((D4339/100)*(C4339*VLOOKUP(B4339,'Poids des runes'!A:B,2,FALSE)))+1),(((D4339/100)*(C4339*VLOOKUP(B4339,'Poids des runes'!A:B,2,FALSE)))+1)/VLOOKUP(B4339,'Poids des runes'!A:B,2,FALSE))</f>
        <v>47.15</v>
      </c>
      <c r="F4339">
        <f t="shared" si="67"/>
        <v>47.15</v>
      </c>
    </row>
    <row r="4340" spans="1:6" x14ac:dyDescent="0.3">
      <c r="A4340" t="s">
        <v>986</v>
      </c>
      <c r="B4340" t="s">
        <v>2129</v>
      </c>
      <c r="C4340">
        <v>25.5</v>
      </c>
      <c r="D4340">
        <v>130</v>
      </c>
      <c r="E4340">
        <f>IF(OR(B4340="vi",B4340="ii",B4340="pod"),(((D4340/100)*(C4340*VLOOKUP(B4340,'Poids des runes'!A:B,2,FALSE)))+1),(((D4340/100)*(C4340*VLOOKUP(B4340,'Poids des runes'!A:B,2,FALSE)))+1)/VLOOKUP(B4340,'Poids des runes'!A:B,2,FALSE))</f>
        <v>34.15</v>
      </c>
      <c r="F4340">
        <f t="shared" si="67"/>
        <v>34.15</v>
      </c>
    </row>
    <row r="4341" spans="1:6" x14ac:dyDescent="0.3">
      <c r="A4341" t="s">
        <v>986</v>
      </c>
      <c r="B4341" t="s">
        <v>2155</v>
      </c>
      <c r="C4341">
        <v>1</v>
      </c>
      <c r="D4341">
        <v>130</v>
      </c>
      <c r="E4341">
        <f>IF(OR(B4341="vi",B4341="ii",B4341="pod"),(((D4341/100)*(C4341*VLOOKUP(B4341,'Poids des runes'!A:B,2,FALSE)))+1),(((D4341/100)*(C4341*VLOOKUP(B4341,'Poids des runes'!A:B,2,FALSE)))+1)/VLOOKUP(B4341,'Poids des runes'!A:B,2,FALSE))</f>
        <v>1.3196078431372549</v>
      </c>
      <c r="F4341">
        <f t="shared" si="67"/>
        <v>1.3196078431372549</v>
      </c>
    </row>
    <row r="4342" spans="1:6" x14ac:dyDescent="0.3">
      <c r="A4342" t="s">
        <v>986</v>
      </c>
      <c r="B4342" t="s">
        <v>2140</v>
      </c>
      <c r="C4342">
        <v>7</v>
      </c>
      <c r="D4342">
        <v>130</v>
      </c>
      <c r="E4342">
        <f>IF(OR(B4342="vi",B4342="ii",B4342="pod"),(((D4342/100)*(C4342*VLOOKUP(B4342,'Poids des runes'!A:B,2,FALSE)))+1),(((D4342/100)*(C4342*VLOOKUP(B4342,'Poids des runes'!A:B,2,FALSE)))+1)/VLOOKUP(B4342,'Poids des runes'!A:B,2,FALSE))</f>
        <v>9.3000000000000007</v>
      </c>
      <c r="F4342">
        <f t="shared" si="67"/>
        <v>9.3000000000000007</v>
      </c>
    </row>
    <row r="4343" spans="1:6" x14ac:dyDescent="0.3">
      <c r="A4343" t="s">
        <v>986</v>
      </c>
      <c r="B4343" t="s">
        <v>2133</v>
      </c>
      <c r="C4343">
        <v>7</v>
      </c>
      <c r="D4343">
        <v>130</v>
      </c>
      <c r="E4343">
        <f>IF(OR(B4343="vi",B4343="ii",B4343="pod"),(((D4343/100)*(C4343*VLOOKUP(B4343,'Poids des runes'!A:B,2,FALSE)))+1),(((D4343/100)*(C4343*VLOOKUP(B4343,'Poids des runes'!A:B,2,FALSE)))+1)/VLOOKUP(B4343,'Poids des runes'!A:B,2,FALSE))</f>
        <v>9.3000000000000007</v>
      </c>
      <c r="F4343">
        <f t="shared" si="67"/>
        <v>9.3000000000000007</v>
      </c>
    </row>
    <row r="4344" spans="1:6" x14ac:dyDescent="0.3">
      <c r="A4344" t="s">
        <v>986</v>
      </c>
      <c r="B4344" t="s">
        <v>2149</v>
      </c>
      <c r="C4344">
        <v>4.5</v>
      </c>
      <c r="D4344">
        <v>130</v>
      </c>
      <c r="E4344">
        <f>IF(OR(B4344="vi",B4344="ii",B4344="pod"),(((D4344/100)*(C4344*VLOOKUP(B4344,'Poids des runes'!A:B,2,FALSE)))+1),(((D4344/100)*(C4344*VLOOKUP(B4344,'Poids des runes'!A:B,2,FALSE)))+1)/VLOOKUP(B4344,'Poids des runes'!A:B,2,FALSE))</f>
        <v>5.95</v>
      </c>
      <c r="F4344">
        <f t="shared" si="67"/>
        <v>5.95</v>
      </c>
    </row>
    <row r="4345" spans="1:6" x14ac:dyDescent="0.3">
      <c r="A4345" t="s">
        <v>986</v>
      </c>
      <c r="B4345" t="s">
        <v>2161</v>
      </c>
      <c r="C4345">
        <v>13</v>
      </c>
      <c r="D4345">
        <v>130</v>
      </c>
      <c r="E4345">
        <f>IF(OR(B4345="vi",B4345="ii",B4345="pod"),(((D4345/100)*(C4345*VLOOKUP(B4345,'Poids des runes'!A:B,2,FALSE)))+1),(((D4345/100)*(C4345*VLOOKUP(B4345,'Poids des runes'!A:B,2,FALSE)))+1)/VLOOKUP(B4345,'Poids des runes'!A:B,2,FALSE))</f>
        <v>17.233333333333334</v>
      </c>
      <c r="F4345">
        <f t="shared" si="67"/>
        <v>17.233333333333334</v>
      </c>
    </row>
    <row r="4346" spans="1:6" x14ac:dyDescent="0.3">
      <c r="A4346" t="s">
        <v>986</v>
      </c>
      <c r="B4346" t="s">
        <v>2141</v>
      </c>
      <c r="C4346">
        <v>4.5</v>
      </c>
      <c r="D4346">
        <v>130</v>
      </c>
      <c r="E4346">
        <f>IF(OR(B4346="vi",B4346="ii",B4346="pod"),(((D4346/100)*(C4346*VLOOKUP(B4346,'Poids des runes'!A:B,2,FALSE)))+1),(((D4346/100)*(C4346*VLOOKUP(B4346,'Poids des runes'!A:B,2,FALSE)))+1)/VLOOKUP(B4346,'Poids des runes'!A:B,2,FALSE))</f>
        <v>6.1000000000000005</v>
      </c>
      <c r="F4346">
        <f t="shared" si="67"/>
        <v>6.1000000000000005</v>
      </c>
    </row>
    <row r="4347" spans="1:6" x14ac:dyDescent="0.3">
      <c r="A4347" t="s">
        <v>986</v>
      </c>
      <c r="B4347" t="s">
        <v>2142</v>
      </c>
      <c r="C4347">
        <v>8.5</v>
      </c>
      <c r="D4347">
        <v>130</v>
      </c>
      <c r="E4347">
        <f>IF(OR(B4347="vi",B4347="ii",B4347="pod"),(((D4347/100)*(C4347*VLOOKUP(B4347,'Poids des runes'!A:B,2,FALSE)))+1),(((D4347/100)*(C4347*VLOOKUP(B4347,'Poids des runes'!A:B,2,FALSE)))+1)/VLOOKUP(B4347,'Poids des runes'!A:B,2,FALSE))</f>
        <v>11.25</v>
      </c>
      <c r="F4347">
        <f t="shared" si="67"/>
        <v>11.25</v>
      </c>
    </row>
    <row r="4348" spans="1:6" x14ac:dyDescent="0.3">
      <c r="A4348" t="s">
        <v>986</v>
      </c>
      <c r="B4348" t="s">
        <v>2135</v>
      </c>
      <c r="C4348">
        <v>6</v>
      </c>
      <c r="D4348">
        <v>130</v>
      </c>
      <c r="E4348">
        <f>IF(OR(B4348="vi",B4348="ii",B4348="pod"),(((D4348/100)*(C4348*VLOOKUP(B4348,'Poids des runes'!A:B,2,FALSE)))+1),(((D4348/100)*(C4348*VLOOKUP(B4348,'Poids des runes'!A:B,2,FALSE)))+1)/VLOOKUP(B4348,'Poids des runes'!A:B,2,FALSE))</f>
        <v>7.9666666666666677</v>
      </c>
      <c r="F4348">
        <f t="shared" si="67"/>
        <v>7.9666666666666677</v>
      </c>
    </row>
    <row r="4349" spans="1:6" x14ac:dyDescent="0.3">
      <c r="A4349" t="s">
        <v>986</v>
      </c>
      <c r="B4349" t="s">
        <v>2144</v>
      </c>
      <c r="C4349">
        <v>6</v>
      </c>
      <c r="D4349">
        <v>130</v>
      </c>
      <c r="E4349">
        <f>IF(OR(B4349="vi",B4349="ii",B4349="pod"),(((D4349/100)*(C4349*VLOOKUP(B4349,'Poids des runes'!A:B,2,FALSE)))+1),(((D4349/100)*(C4349*VLOOKUP(B4349,'Poids des runes'!A:B,2,FALSE)))+1)/VLOOKUP(B4349,'Poids des runes'!A:B,2,FALSE))</f>
        <v>8.3000000000000007</v>
      </c>
      <c r="F4349">
        <f t="shared" si="67"/>
        <v>8.3000000000000007</v>
      </c>
    </row>
    <row r="4350" spans="1:6" x14ac:dyDescent="0.3">
      <c r="A4350" t="s">
        <v>986</v>
      </c>
      <c r="B4350" t="s">
        <v>2146</v>
      </c>
      <c r="C4350">
        <v>6</v>
      </c>
      <c r="D4350">
        <v>130</v>
      </c>
      <c r="E4350">
        <f>IF(OR(B4350="vi",B4350="ii",B4350="pod"),(((D4350/100)*(C4350*VLOOKUP(B4350,'Poids des runes'!A:B,2,FALSE)))+1),(((D4350/100)*(C4350*VLOOKUP(B4350,'Poids des runes'!A:B,2,FALSE)))+1)/VLOOKUP(B4350,'Poids des runes'!A:B,2,FALSE))</f>
        <v>8.3000000000000007</v>
      </c>
      <c r="F4350">
        <f t="shared" si="67"/>
        <v>8.3000000000000007</v>
      </c>
    </row>
    <row r="4351" spans="1:6" x14ac:dyDescent="0.3">
      <c r="A4351" t="s">
        <v>987</v>
      </c>
      <c r="B4351" t="s">
        <v>2128</v>
      </c>
      <c r="C4351">
        <v>95.5</v>
      </c>
      <c r="D4351">
        <v>131</v>
      </c>
      <c r="E4351">
        <f>IF(OR(B4351="vi",B4351="ii",B4351="pod"),(((D4351/100)*(C4351*VLOOKUP(B4351,'Poids des runes'!A:B,2,FALSE)))+1),(((D4351/100)*(C4351*VLOOKUP(B4351,'Poids des runes'!A:B,2,FALSE)))+1)/VLOOKUP(B4351,'Poids des runes'!A:B,2,FALSE))</f>
        <v>26.021000000000004</v>
      </c>
      <c r="F4351">
        <f t="shared" si="67"/>
        <v>26.021000000000004</v>
      </c>
    </row>
    <row r="4352" spans="1:6" x14ac:dyDescent="0.3">
      <c r="A4352" t="s">
        <v>987</v>
      </c>
      <c r="B4352" t="s">
        <v>2130</v>
      </c>
      <c r="C4352">
        <v>40.5</v>
      </c>
      <c r="D4352">
        <v>131</v>
      </c>
      <c r="E4352">
        <f>IF(OR(B4352="vi",B4352="ii",B4352="pod"),(((D4352/100)*(C4352*VLOOKUP(B4352,'Poids des runes'!A:B,2,FALSE)))+1),(((D4352/100)*(C4352*VLOOKUP(B4352,'Poids des runes'!A:B,2,FALSE)))+1)/VLOOKUP(B4352,'Poids des runes'!A:B,2,FALSE))</f>
        <v>54.055</v>
      </c>
      <c r="F4352">
        <f t="shared" si="67"/>
        <v>54.055</v>
      </c>
    </row>
    <row r="4353" spans="1:6" x14ac:dyDescent="0.3">
      <c r="A4353" t="s">
        <v>987</v>
      </c>
      <c r="B4353" t="s">
        <v>2129</v>
      </c>
      <c r="C4353">
        <v>23</v>
      </c>
      <c r="D4353">
        <v>131</v>
      </c>
      <c r="E4353">
        <f>IF(OR(B4353="vi",B4353="ii",B4353="pod"),(((D4353/100)*(C4353*VLOOKUP(B4353,'Poids des runes'!A:B,2,FALSE)))+1),(((D4353/100)*(C4353*VLOOKUP(B4353,'Poids des runes'!A:B,2,FALSE)))+1)/VLOOKUP(B4353,'Poids des runes'!A:B,2,FALSE))</f>
        <v>31.130000000000003</v>
      </c>
      <c r="F4353">
        <f t="shared" si="67"/>
        <v>31.130000000000003</v>
      </c>
    </row>
    <row r="4354" spans="1:6" x14ac:dyDescent="0.3">
      <c r="A4354" t="s">
        <v>987</v>
      </c>
      <c r="B4354" t="s">
        <v>2139</v>
      </c>
      <c r="C4354">
        <v>4.5</v>
      </c>
      <c r="D4354">
        <v>131</v>
      </c>
      <c r="E4354">
        <f>IF(OR(B4354="vi",B4354="ii",B4354="pod"),(((D4354/100)*(C4354*VLOOKUP(B4354,'Poids des runes'!A:B,2,FALSE)))+1),(((D4354/100)*(C4354*VLOOKUP(B4354,'Poids des runes'!A:B,2,FALSE)))+1)/VLOOKUP(B4354,'Poids des runes'!A:B,2,FALSE))</f>
        <v>6.3950000000000005</v>
      </c>
      <c r="F4354">
        <f t="shared" si="67"/>
        <v>6.3950000000000005</v>
      </c>
    </row>
    <row r="4355" spans="1:6" x14ac:dyDescent="0.3">
      <c r="A4355" t="s">
        <v>987</v>
      </c>
      <c r="B4355" t="s">
        <v>2151</v>
      </c>
      <c r="C4355">
        <v>2.5</v>
      </c>
      <c r="D4355">
        <v>131</v>
      </c>
      <c r="E4355">
        <f>IF(OR(B4355="vi",B4355="ii",B4355="pod"),(((D4355/100)*(C4355*VLOOKUP(B4355,'Poids des runes'!A:B,2,FALSE)))+1),(((D4355/100)*(C4355*VLOOKUP(B4355,'Poids des runes'!A:B,2,FALSE)))+1)/VLOOKUP(B4355,'Poids des runes'!A:B,2,FALSE))</f>
        <v>3.375</v>
      </c>
      <c r="F4355">
        <f t="shared" ref="F4355:F4418" si="68">E4355</f>
        <v>3.375</v>
      </c>
    </row>
    <row r="4356" spans="1:6" x14ac:dyDescent="0.3">
      <c r="A4356" t="s">
        <v>987</v>
      </c>
      <c r="B4356" t="s">
        <v>2154</v>
      </c>
      <c r="C4356">
        <v>1</v>
      </c>
      <c r="D4356">
        <v>131</v>
      </c>
      <c r="E4356">
        <f>IF(OR(B4356="vi",B4356="ii",B4356="pod"),(((D4356/100)*(C4356*VLOOKUP(B4356,'Poids des runes'!A:B,2,FALSE)))+1),(((D4356/100)*(C4356*VLOOKUP(B4356,'Poids des runes'!A:B,2,FALSE)))+1)/VLOOKUP(B4356,'Poids des runes'!A:B,2,FALSE))</f>
        <v>1.3211111111111111</v>
      </c>
      <c r="F4356">
        <f t="shared" si="68"/>
        <v>1.3211111111111111</v>
      </c>
    </row>
    <row r="4357" spans="1:6" x14ac:dyDescent="0.3">
      <c r="A4357" t="s">
        <v>987</v>
      </c>
      <c r="B4357" t="s">
        <v>2150</v>
      </c>
      <c r="C4357">
        <v>1.5</v>
      </c>
      <c r="D4357">
        <v>131</v>
      </c>
      <c r="E4357">
        <f>IF(OR(B4357="vi",B4357="ii",B4357="pod"),(((D4357/100)*(C4357*VLOOKUP(B4357,'Poids des runes'!A:B,2,FALSE)))+1),(((D4357/100)*(C4357*VLOOKUP(B4357,'Poids des runes'!A:B,2,FALSE)))+1)/VLOOKUP(B4357,'Poids des runes'!A:B,2,FALSE))</f>
        <v>1.9983333333333335</v>
      </c>
      <c r="F4357">
        <f t="shared" si="68"/>
        <v>1.9983333333333335</v>
      </c>
    </row>
    <row r="4358" spans="1:6" x14ac:dyDescent="0.3">
      <c r="A4358" t="s">
        <v>987</v>
      </c>
      <c r="B4358" t="s">
        <v>2161</v>
      </c>
      <c r="C4358">
        <v>13</v>
      </c>
      <c r="D4358">
        <v>131</v>
      </c>
      <c r="E4358">
        <f>IF(OR(B4358="vi",B4358="ii",B4358="pod"),(((D4358/100)*(C4358*VLOOKUP(B4358,'Poids des runes'!A:B,2,FALSE)))+1),(((D4358/100)*(C4358*VLOOKUP(B4358,'Poids des runes'!A:B,2,FALSE)))+1)/VLOOKUP(B4358,'Poids des runes'!A:B,2,FALSE))</f>
        <v>17.363333333333333</v>
      </c>
      <c r="F4358">
        <f t="shared" si="68"/>
        <v>17.363333333333333</v>
      </c>
    </row>
    <row r="4359" spans="1:6" x14ac:dyDescent="0.3">
      <c r="A4359" t="s">
        <v>987</v>
      </c>
      <c r="B4359" t="s">
        <v>2132</v>
      </c>
      <c r="C4359">
        <v>150.5</v>
      </c>
      <c r="D4359">
        <v>131</v>
      </c>
      <c r="E4359">
        <f>IF(OR(B4359="vi",B4359="ii",B4359="pod"),(((D4359/100)*(C4359*VLOOKUP(B4359,'Poids des runes'!A:B,2,FALSE)))+1),(((D4359/100)*(C4359*VLOOKUP(B4359,'Poids des runes'!A:B,2,FALSE)))+1)/VLOOKUP(B4359,'Poids des runes'!A:B,2,FALSE))</f>
        <v>20.715500000000002</v>
      </c>
      <c r="F4359">
        <f t="shared" si="68"/>
        <v>20.715500000000002</v>
      </c>
    </row>
    <row r="4360" spans="1:6" x14ac:dyDescent="0.3">
      <c r="A4360" t="s">
        <v>987</v>
      </c>
      <c r="B4360" t="s">
        <v>2135</v>
      </c>
      <c r="C4360">
        <v>7.5</v>
      </c>
      <c r="D4360">
        <v>131</v>
      </c>
      <c r="E4360">
        <f>IF(OR(B4360="vi",B4360="ii",B4360="pod"),(((D4360/100)*(C4360*VLOOKUP(B4360,'Poids des runes'!A:B,2,FALSE)))+1),(((D4360/100)*(C4360*VLOOKUP(B4360,'Poids des runes'!A:B,2,FALSE)))+1)/VLOOKUP(B4360,'Poids des runes'!A:B,2,FALSE))</f>
        <v>9.9916666666666671</v>
      </c>
      <c r="F4360">
        <f t="shared" si="68"/>
        <v>9.9916666666666671</v>
      </c>
    </row>
    <row r="4361" spans="1:6" x14ac:dyDescent="0.3">
      <c r="A4361" t="s">
        <v>987</v>
      </c>
      <c r="B4361" t="s">
        <v>2157</v>
      </c>
      <c r="C4361">
        <v>7.5</v>
      </c>
      <c r="D4361">
        <v>131</v>
      </c>
      <c r="E4361">
        <f>IF(OR(B4361="vi",B4361="ii",B4361="pod"),(((D4361/100)*(C4361*VLOOKUP(B4361,'Poids des runes'!A:B,2,FALSE)))+1),(((D4361/100)*(C4361*VLOOKUP(B4361,'Poids des runes'!A:B,2,FALSE)))+1)/VLOOKUP(B4361,'Poids des runes'!A:B,2,FALSE))</f>
        <v>9.9916666666666671</v>
      </c>
      <c r="F4361">
        <f t="shared" si="68"/>
        <v>9.9916666666666671</v>
      </c>
    </row>
    <row r="4362" spans="1:6" x14ac:dyDescent="0.3">
      <c r="A4362" t="s">
        <v>987</v>
      </c>
      <c r="B4362" t="s">
        <v>2136</v>
      </c>
      <c r="C4362">
        <v>6</v>
      </c>
      <c r="D4362">
        <v>131</v>
      </c>
      <c r="E4362">
        <f>IF(OR(B4362="vi",B4362="ii",B4362="pod"),(((D4362/100)*(C4362*VLOOKUP(B4362,'Poids des runes'!A:B,2,FALSE)))+1),(((D4362/100)*(C4362*VLOOKUP(B4362,'Poids des runes'!A:B,2,FALSE)))+1)/VLOOKUP(B4362,'Poids des runes'!A:B,2,FALSE))</f>
        <v>8.36</v>
      </c>
      <c r="F4362">
        <f t="shared" si="68"/>
        <v>8.36</v>
      </c>
    </row>
    <row r="4363" spans="1:6" x14ac:dyDescent="0.3">
      <c r="A4363" t="s">
        <v>987</v>
      </c>
      <c r="B4363" t="s">
        <v>2137</v>
      </c>
      <c r="C4363">
        <v>6</v>
      </c>
      <c r="D4363">
        <v>131</v>
      </c>
      <c r="E4363">
        <f>IF(OR(B4363="vi",B4363="ii",B4363="pod"),(((D4363/100)*(C4363*VLOOKUP(B4363,'Poids des runes'!A:B,2,FALSE)))+1),(((D4363/100)*(C4363*VLOOKUP(B4363,'Poids des runes'!A:B,2,FALSE)))+1)/VLOOKUP(B4363,'Poids des runes'!A:B,2,FALSE))</f>
        <v>8.36</v>
      </c>
      <c r="F4363">
        <f t="shared" si="68"/>
        <v>8.36</v>
      </c>
    </row>
    <row r="4364" spans="1:6" x14ac:dyDescent="0.3">
      <c r="A4364" t="s">
        <v>987</v>
      </c>
      <c r="B4364" t="s">
        <v>2144</v>
      </c>
      <c r="C4364">
        <v>6</v>
      </c>
      <c r="D4364">
        <v>131</v>
      </c>
      <c r="E4364">
        <f>IF(OR(B4364="vi",B4364="ii",B4364="pod"),(((D4364/100)*(C4364*VLOOKUP(B4364,'Poids des runes'!A:B,2,FALSE)))+1),(((D4364/100)*(C4364*VLOOKUP(B4364,'Poids des runes'!A:B,2,FALSE)))+1)/VLOOKUP(B4364,'Poids des runes'!A:B,2,FALSE))</f>
        <v>8.36</v>
      </c>
      <c r="F4364">
        <f t="shared" si="68"/>
        <v>8.36</v>
      </c>
    </row>
    <row r="4365" spans="1:6" x14ac:dyDescent="0.3">
      <c r="A4365" t="s">
        <v>987</v>
      </c>
      <c r="B4365" t="s">
        <v>2145</v>
      </c>
      <c r="C4365">
        <v>6</v>
      </c>
      <c r="D4365">
        <v>131</v>
      </c>
      <c r="E4365">
        <f>IF(OR(B4365="vi",B4365="ii",B4365="pod"),(((D4365/100)*(C4365*VLOOKUP(B4365,'Poids des runes'!A:B,2,FALSE)))+1),(((D4365/100)*(C4365*VLOOKUP(B4365,'Poids des runes'!A:B,2,FALSE)))+1)/VLOOKUP(B4365,'Poids des runes'!A:B,2,FALSE))</f>
        <v>8.36</v>
      </c>
      <c r="F4365">
        <f t="shared" si="68"/>
        <v>8.36</v>
      </c>
    </row>
    <row r="4366" spans="1:6" x14ac:dyDescent="0.3">
      <c r="A4366" t="s">
        <v>987</v>
      </c>
      <c r="B4366" t="s">
        <v>2146</v>
      </c>
      <c r="C4366">
        <v>6</v>
      </c>
      <c r="D4366">
        <v>131</v>
      </c>
      <c r="E4366">
        <f>IF(OR(B4366="vi",B4366="ii",B4366="pod"),(((D4366/100)*(C4366*VLOOKUP(B4366,'Poids des runes'!A:B,2,FALSE)))+1),(((D4366/100)*(C4366*VLOOKUP(B4366,'Poids des runes'!A:B,2,FALSE)))+1)/VLOOKUP(B4366,'Poids des runes'!A:B,2,FALSE))</f>
        <v>8.36</v>
      </c>
      <c r="F4366">
        <f t="shared" si="68"/>
        <v>8.36</v>
      </c>
    </row>
    <row r="4367" spans="1:6" x14ac:dyDescent="0.3">
      <c r="A4367" t="s">
        <v>988</v>
      </c>
      <c r="B4367" t="s">
        <v>2128</v>
      </c>
      <c r="C4367">
        <v>115.5</v>
      </c>
      <c r="D4367">
        <v>131</v>
      </c>
      <c r="E4367">
        <f>IF(OR(B4367="vi",B4367="ii",B4367="pod"),(((D4367/100)*(C4367*VLOOKUP(B4367,'Poids des runes'!A:B,2,FALSE)))+1),(((D4367/100)*(C4367*VLOOKUP(B4367,'Poids des runes'!A:B,2,FALSE)))+1)/VLOOKUP(B4367,'Poids des runes'!A:B,2,FALSE))</f>
        <v>31.261000000000003</v>
      </c>
      <c r="F4367">
        <f t="shared" si="68"/>
        <v>31.261000000000003</v>
      </c>
    </row>
    <row r="4368" spans="1:6" x14ac:dyDescent="0.3">
      <c r="A4368" t="s">
        <v>988</v>
      </c>
      <c r="B4368" t="s">
        <v>2127</v>
      </c>
      <c r="C4368">
        <v>33</v>
      </c>
      <c r="D4368">
        <v>131</v>
      </c>
      <c r="E4368">
        <f>IF(OR(B4368="vi",B4368="ii",B4368="pod"),(((D4368/100)*(C4368*VLOOKUP(B4368,'Poids des runes'!A:B,2,FALSE)))+1),(((D4368/100)*(C4368*VLOOKUP(B4368,'Poids des runes'!A:B,2,FALSE)))+1)/VLOOKUP(B4368,'Poids des runes'!A:B,2,FALSE))</f>
        <v>44.230000000000004</v>
      </c>
      <c r="F4368">
        <f t="shared" si="68"/>
        <v>44.230000000000004</v>
      </c>
    </row>
    <row r="4369" spans="1:6" x14ac:dyDescent="0.3">
      <c r="A4369" t="s">
        <v>988</v>
      </c>
      <c r="B4369" t="s">
        <v>2139</v>
      </c>
      <c r="C4369">
        <v>8</v>
      </c>
      <c r="D4369">
        <v>131</v>
      </c>
      <c r="E4369">
        <f>IF(OR(B4369="vi",B4369="ii",B4369="pod"),(((D4369/100)*(C4369*VLOOKUP(B4369,'Poids des runes'!A:B,2,FALSE)))+1),(((D4369/100)*(C4369*VLOOKUP(B4369,'Poids des runes'!A:B,2,FALSE)))+1)/VLOOKUP(B4369,'Poids des runes'!A:B,2,FALSE))</f>
        <v>10.98</v>
      </c>
      <c r="F4369">
        <f t="shared" si="68"/>
        <v>10.98</v>
      </c>
    </row>
    <row r="4370" spans="1:6" x14ac:dyDescent="0.3">
      <c r="A4370" t="s">
        <v>988</v>
      </c>
      <c r="B4370" t="s">
        <v>2151</v>
      </c>
      <c r="C4370">
        <v>3.5</v>
      </c>
      <c r="D4370">
        <v>131</v>
      </c>
      <c r="E4370">
        <f>IF(OR(B4370="vi",B4370="ii",B4370="pod"),(((D4370/100)*(C4370*VLOOKUP(B4370,'Poids des runes'!A:B,2,FALSE)))+1),(((D4370/100)*(C4370*VLOOKUP(B4370,'Poids des runes'!A:B,2,FALSE)))+1)/VLOOKUP(B4370,'Poids des runes'!A:B,2,FALSE))</f>
        <v>4.6850000000000005</v>
      </c>
      <c r="F4370">
        <f t="shared" si="68"/>
        <v>4.6850000000000005</v>
      </c>
    </row>
    <row r="4371" spans="1:6" x14ac:dyDescent="0.3">
      <c r="A4371" t="s">
        <v>988</v>
      </c>
      <c r="B4371" t="s">
        <v>2134</v>
      </c>
      <c r="C4371">
        <v>5</v>
      </c>
      <c r="D4371">
        <v>131</v>
      </c>
      <c r="E4371">
        <f>IF(OR(B4371="vi",B4371="ii",B4371="pod"),(((D4371/100)*(C4371*VLOOKUP(B4371,'Poids des runes'!A:B,2,FALSE)))+1),(((D4371/100)*(C4371*VLOOKUP(B4371,'Poids des runes'!A:B,2,FALSE)))+1)/VLOOKUP(B4371,'Poids des runes'!A:B,2,FALSE))</f>
        <v>6.6</v>
      </c>
      <c r="F4371">
        <f t="shared" si="68"/>
        <v>6.6</v>
      </c>
    </row>
    <row r="4372" spans="1:6" x14ac:dyDescent="0.3">
      <c r="A4372" t="s">
        <v>988</v>
      </c>
      <c r="B4372" t="s">
        <v>2161</v>
      </c>
      <c r="C4372">
        <v>13</v>
      </c>
      <c r="D4372">
        <v>131</v>
      </c>
      <c r="E4372">
        <f>IF(OR(B4372="vi",B4372="ii",B4372="pod"),(((D4372/100)*(C4372*VLOOKUP(B4372,'Poids des runes'!A:B,2,FALSE)))+1),(((D4372/100)*(C4372*VLOOKUP(B4372,'Poids des runes'!A:B,2,FALSE)))+1)/VLOOKUP(B4372,'Poids des runes'!A:B,2,FALSE))</f>
        <v>17.363333333333333</v>
      </c>
      <c r="F4372">
        <f t="shared" si="68"/>
        <v>17.363333333333333</v>
      </c>
    </row>
    <row r="4373" spans="1:6" x14ac:dyDescent="0.3">
      <c r="A4373" t="s">
        <v>988</v>
      </c>
      <c r="B4373" t="s">
        <v>2157</v>
      </c>
      <c r="C4373">
        <v>6</v>
      </c>
      <c r="D4373">
        <v>131</v>
      </c>
      <c r="E4373">
        <f>IF(OR(B4373="vi",B4373="ii",B4373="pod"),(((D4373/100)*(C4373*VLOOKUP(B4373,'Poids des runes'!A:B,2,FALSE)))+1),(((D4373/100)*(C4373*VLOOKUP(B4373,'Poids des runes'!A:B,2,FALSE)))+1)/VLOOKUP(B4373,'Poids des runes'!A:B,2,FALSE))</f>
        <v>8.0266666666666673</v>
      </c>
      <c r="F4373">
        <f t="shared" si="68"/>
        <v>8.0266666666666673</v>
      </c>
    </row>
    <row r="4374" spans="1:6" x14ac:dyDescent="0.3">
      <c r="A4374" t="s">
        <v>988</v>
      </c>
      <c r="B4374" t="s">
        <v>2137</v>
      </c>
      <c r="C4374">
        <v>6</v>
      </c>
      <c r="D4374">
        <v>131</v>
      </c>
      <c r="E4374">
        <f>IF(OR(B4374="vi",B4374="ii",B4374="pod"),(((D4374/100)*(C4374*VLOOKUP(B4374,'Poids des runes'!A:B,2,FALSE)))+1),(((D4374/100)*(C4374*VLOOKUP(B4374,'Poids des runes'!A:B,2,FALSE)))+1)/VLOOKUP(B4374,'Poids des runes'!A:B,2,FALSE))</f>
        <v>8.36</v>
      </c>
      <c r="F4374">
        <f t="shared" si="68"/>
        <v>8.36</v>
      </c>
    </row>
    <row r="4375" spans="1:6" x14ac:dyDescent="0.3">
      <c r="A4375" t="s">
        <v>988</v>
      </c>
      <c r="B4375" t="s">
        <v>2144</v>
      </c>
      <c r="C4375">
        <v>6</v>
      </c>
      <c r="D4375">
        <v>131</v>
      </c>
      <c r="E4375">
        <f>IF(OR(B4375="vi",B4375="ii",B4375="pod"),(((D4375/100)*(C4375*VLOOKUP(B4375,'Poids des runes'!A:B,2,FALSE)))+1),(((D4375/100)*(C4375*VLOOKUP(B4375,'Poids des runes'!A:B,2,FALSE)))+1)/VLOOKUP(B4375,'Poids des runes'!A:B,2,FALSE))</f>
        <v>8.36</v>
      </c>
      <c r="F4375">
        <f t="shared" si="68"/>
        <v>8.36</v>
      </c>
    </row>
    <row r="4376" spans="1:6" x14ac:dyDescent="0.3">
      <c r="A4376" t="s">
        <v>989</v>
      </c>
      <c r="B4376" t="s">
        <v>2128</v>
      </c>
      <c r="C4376">
        <v>125.5</v>
      </c>
      <c r="D4376">
        <v>131</v>
      </c>
      <c r="E4376">
        <f>IF(OR(B4376="vi",B4376="ii",B4376="pod"),(((D4376/100)*(C4376*VLOOKUP(B4376,'Poids des runes'!A:B,2,FALSE)))+1),(((D4376/100)*(C4376*VLOOKUP(B4376,'Poids des runes'!A:B,2,FALSE)))+1)/VLOOKUP(B4376,'Poids des runes'!A:B,2,FALSE))</f>
        <v>33.881</v>
      </c>
      <c r="F4376">
        <f t="shared" si="68"/>
        <v>33.881</v>
      </c>
    </row>
    <row r="4377" spans="1:6" x14ac:dyDescent="0.3">
      <c r="A4377" t="s">
        <v>989</v>
      </c>
      <c r="B4377" t="s">
        <v>2130</v>
      </c>
      <c r="C4377">
        <v>25.5</v>
      </c>
      <c r="D4377">
        <v>131</v>
      </c>
      <c r="E4377">
        <f>IF(OR(B4377="vi",B4377="ii",B4377="pod"),(((D4377/100)*(C4377*VLOOKUP(B4377,'Poids des runes'!A:B,2,FALSE)))+1),(((D4377/100)*(C4377*VLOOKUP(B4377,'Poids des runes'!A:B,2,FALSE)))+1)/VLOOKUP(B4377,'Poids des runes'!A:B,2,FALSE))</f>
        <v>34.405000000000001</v>
      </c>
      <c r="F4377">
        <f t="shared" si="68"/>
        <v>34.405000000000001</v>
      </c>
    </row>
    <row r="4378" spans="1:6" x14ac:dyDescent="0.3">
      <c r="A4378" t="s">
        <v>989</v>
      </c>
      <c r="B4378" t="s">
        <v>2127</v>
      </c>
      <c r="C4378">
        <v>25.5</v>
      </c>
      <c r="D4378">
        <v>131</v>
      </c>
      <c r="E4378">
        <f>IF(OR(B4378="vi",B4378="ii",B4378="pod"),(((D4378/100)*(C4378*VLOOKUP(B4378,'Poids des runes'!A:B,2,FALSE)))+1),(((D4378/100)*(C4378*VLOOKUP(B4378,'Poids des runes'!A:B,2,FALSE)))+1)/VLOOKUP(B4378,'Poids des runes'!A:B,2,FALSE))</f>
        <v>34.405000000000001</v>
      </c>
      <c r="F4378">
        <f t="shared" si="68"/>
        <v>34.405000000000001</v>
      </c>
    </row>
    <row r="4379" spans="1:6" x14ac:dyDescent="0.3">
      <c r="A4379" t="s">
        <v>989</v>
      </c>
      <c r="B4379" t="s">
        <v>2129</v>
      </c>
      <c r="C4379">
        <v>13</v>
      </c>
      <c r="D4379">
        <v>131</v>
      </c>
      <c r="E4379">
        <f>IF(OR(B4379="vi",B4379="ii",B4379="pod"),(((D4379/100)*(C4379*VLOOKUP(B4379,'Poids des runes'!A:B,2,FALSE)))+1),(((D4379/100)*(C4379*VLOOKUP(B4379,'Poids des runes'!A:B,2,FALSE)))+1)/VLOOKUP(B4379,'Poids des runes'!A:B,2,FALSE))</f>
        <v>18.03</v>
      </c>
      <c r="F4379">
        <f t="shared" si="68"/>
        <v>18.03</v>
      </c>
    </row>
    <row r="4380" spans="1:6" x14ac:dyDescent="0.3">
      <c r="A4380" t="s">
        <v>989</v>
      </c>
      <c r="B4380" t="s">
        <v>2151</v>
      </c>
      <c r="C4380">
        <v>2.5</v>
      </c>
      <c r="D4380">
        <v>131</v>
      </c>
      <c r="E4380">
        <f>IF(OR(B4380="vi",B4380="ii",B4380="pod"),(((D4380/100)*(C4380*VLOOKUP(B4380,'Poids des runes'!A:B,2,FALSE)))+1),(((D4380/100)*(C4380*VLOOKUP(B4380,'Poids des runes'!A:B,2,FALSE)))+1)/VLOOKUP(B4380,'Poids des runes'!A:B,2,FALSE))</f>
        <v>3.375</v>
      </c>
      <c r="F4380">
        <f t="shared" si="68"/>
        <v>3.375</v>
      </c>
    </row>
    <row r="4381" spans="1:6" x14ac:dyDescent="0.3">
      <c r="A4381" t="s">
        <v>989</v>
      </c>
      <c r="B4381" t="s">
        <v>2155</v>
      </c>
      <c r="C4381">
        <v>1</v>
      </c>
      <c r="D4381">
        <v>131</v>
      </c>
      <c r="E4381">
        <f>IF(OR(B4381="vi",B4381="ii",B4381="pod"),(((D4381/100)*(C4381*VLOOKUP(B4381,'Poids des runes'!A:B,2,FALSE)))+1),(((D4381/100)*(C4381*VLOOKUP(B4381,'Poids des runes'!A:B,2,FALSE)))+1)/VLOOKUP(B4381,'Poids des runes'!A:B,2,FALSE))</f>
        <v>1.3296078431372549</v>
      </c>
      <c r="F4381">
        <f t="shared" si="68"/>
        <v>1.3296078431372549</v>
      </c>
    </row>
    <row r="4382" spans="1:6" x14ac:dyDescent="0.3">
      <c r="A4382" t="s">
        <v>989</v>
      </c>
      <c r="B4382" t="s">
        <v>2132</v>
      </c>
      <c r="C4382">
        <v>125.5</v>
      </c>
      <c r="D4382">
        <v>131</v>
      </c>
      <c r="E4382">
        <f>IF(OR(B4382="vi",B4382="ii",B4382="pod"),(((D4382/100)*(C4382*VLOOKUP(B4382,'Poids des runes'!A:B,2,FALSE)))+1),(((D4382/100)*(C4382*VLOOKUP(B4382,'Poids des runes'!A:B,2,FALSE)))+1)/VLOOKUP(B4382,'Poids des runes'!A:B,2,FALSE))</f>
        <v>17.4405</v>
      </c>
      <c r="F4382">
        <f t="shared" si="68"/>
        <v>17.4405</v>
      </c>
    </row>
    <row r="4383" spans="1:6" x14ac:dyDescent="0.3">
      <c r="A4383" t="s">
        <v>989</v>
      </c>
      <c r="B4383" t="s">
        <v>2141</v>
      </c>
      <c r="C4383">
        <v>2.5</v>
      </c>
      <c r="D4383">
        <v>131</v>
      </c>
      <c r="E4383">
        <f>IF(OR(B4383="vi",B4383="ii",B4383="pod"),(((D4383/100)*(C4383*VLOOKUP(B4383,'Poids des runes'!A:B,2,FALSE)))+1),(((D4383/100)*(C4383*VLOOKUP(B4383,'Poids des runes'!A:B,2,FALSE)))+1)/VLOOKUP(B4383,'Poids des runes'!A:B,2,FALSE))</f>
        <v>3.5250000000000004</v>
      </c>
      <c r="F4383">
        <f t="shared" si="68"/>
        <v>3.5250000000000004</v>
      </c>
    </row>
    <row r="4384" spans="1:6" x14ac:dyDescent="0.3">
      <c r="A4384" t="s">
        <v>989</v>
      </c>
      <c r="B4384" t="s">
        <v>2157</v>
      </c>
      <c r="C4384">
        <v>4</v>
      </c>
      <c r="D4384">
        <v>131</v>
      </c>
      <c r="E4384">
        <f>IF(OR(B4384="vi",B4384="ii",B4384="pod"),(((D4384/100)*(C4384*VLOOKUP(B4384,'Poids des runes'!A:B,2,FALSE)))+1),(((D4384/100)*(C4384*VLOOKUP(B4384,'Poids des runes'!A:B,2,FALSE)))+1)/VLOOKUP(B4384,'Poids des runes'!A:B,2,FALSE))</f>
        <v>5.4066666666666663</v>
      </c>
      <c r="F4384">
        <f t="shared" si="68"/>
        <v>5.4066666666666663</v>
      </c>
    </row>
    <row r="4385" spans="1:6" x14ac:dyDescent="0.3">
      <c r="A4385" t="s">
        <v>990</v>
      </c>
      <c r="B4385" t="s">
        <v>2128</v>
      </c>
      <c r="C4385">
        <v>125.5</v>
      </c>
      <c r="D4385">
        <v>132</v>
      </c>
      <c r="E4385">
        <f>IF(OR(B4385="vi",B4385="ii",B4385="pod"),(((D4385/100)*(C4385*VLOOKUP(B4385,'Poids des runes'!A:B,2,FALSE)))+1),(((D4385/100)*(C4385*VLOOKUP(B4385,'Poids des runes'!A:B,2,FALSE)))+1)/VLOOKUP(B4385,'Poids des runes'!A:B,2,FALSE))</f>
        <v>34.132000000000005</v>
      </c>
      <c r="F4385">
        <f t="shared" si="68"/>
        <v>34.132000000000005</v>
      </c>
    </row>
    <row r="4386" spans="1:6" x14ac:dyDescent="0.3">
      <c r="A4386" t="s">
        <v>990</v>
      </c>
      <c r="B4386" t="s">
        <v>2130</v>
      </c>
      <c r="C4386">
        <v>25.5</v>
      </c>
      <c r="D4386">
        <v>132</v>
      </c>
      <c r="E4386">
        <f>IF(OR(B4386="vi",B4386="ii",B4386="pod"),(((D4386/100)*(C4386*VLOOKUP(B4386,'Poids des runes'!A:B,2,FALSE)))+1),(((D4386/100)*(C4386*VLOOKUP(B4386,'Poids des runes'!A:B,2,FALSE)))+1)/VLOOKUP(B4386,'Poids des runes'!A:B,2,FALSE))</f>
        <v>34.660000000000004</v>
      </c>
      <c r="F4386">
        <f t="shared" si="68"/>
        <v>34.660000000000004</v>
      </c>
    </row>
    <row r="4387" spans="1:6" x14ac:dyDescent="0.3">
      <c r="A4387" t="s">
        <v>990</v>
      </c>
      <c r="B4387" t="s">
        <v>2127</v>
      </c>
      <c r="C4387">
        <v>25.5</v>
      </c>
      <c r="D4387">
        <v>132</v>
      </c>
      <c r="E4387">
        <f>IF(OR(B4387="vi",B4387="ii",B4387="pod"),(((D4387/100)*(C4387*VLOOKUP(B4387,'Poids des runes'!A:B,2,FALSE)))+1),(((D4387/100)*(C4387*VLOOKUP(B4387,'Poids des runes'!A:B,2,FALSE)))+1)/VLOOKUP(B4387,'Poids des runes'!A:B,2,FALSE))</f>
        <v>34.660000000000004</v>
      </c>
      <c r="F4387">
        <f t="shared" si="68"/>
        <v>34.660000000000004</v>
      </c>
    </row>
    <row r="4388" spans="1:6" x14ac:dyDescent="0.3">
      <c r="A4388" t="s">
        <v>990</v>
      </c>
      <c r="B4388" t="s">
        <v>2129</v>
      </c>
      <c r="C4388">
        <v>20.5</v>
      </c>
      <c r="D4388">
        <v>132</v>
      </c>
      <c r="E4388">
        <f>IF(OR(B4388="vi",B4388="ii",B4388="pod"),(((D4388/100)*(C4388*VLOOKUP(B4388,'Poids des runes'!A:B,2,FALSE)))+1),(((D4388/100)*(C4388*VLOOKUP(B4388,'Poids des runes'!A:B,2,FALSE)))+1)/VLOOKUP(B4388,'Poids des runes'!A:B,2,FALSE))</f>
        <v>28.060000000000002</v>
      </c>
      <c r="F4388">
        <f t="shared" si="68"/>
        <v>28.060000000000002</v>
      </c>
    </row>
    <row r="4389" spans="1:6" x14ac:dyDescent="0.3">
      <c r="A4389" t="s">
        <v>990</v>
      </c>
      <c r="B4389" t="s">
        <v>2139</v>
      </c>
      <c r="C4389">
        <v>18</v>
      </c>
      <c r="D4389">
        <v>132</v>
      </c>
      <c r="E4389">
        <f>IF(OR(B4389="vi",B4389="ii",B4389="pod"),(((D4389/100)*(C4389*VLOOKUP(B4389,'Poids des runes'!A:B,2,FALSE)))+1),(((D4389/100)*(C4389*VLOOKUP(B4389,'Poids des runes'!A:B,2,FALSE)))+1)/VLOOKUP(B4389,'Poids des runes'!A:B,2,FALSE))</f>
        <v>24.26</v>
      </c>
      <c r="F4389">
        <f t="shared" si="68"/>
        <v>24.26</v>
      </c>
    </row>
    <row r="4390" spans="1:6" x14ac:dyDescent="0.3">
      <c r="A4390" t="s">
        <v>990</v>
      </c>
      <c r="B4390" t="s">
        <v>2151</v>
      </c>
      <c r="C4390">
        <v>1.5</v>
      </c>
      <c r="D4390">
        <v>132</v>
      </c>
      <c r="E4390">
        <f>IF(OR(B4390="vi",B4390="ii",B4390="pod"),(((D4390/100)*(C4390*VLOOKUP(B4390,'Poids des runes'!A:B,2,FALSE)))+1),(((D4390/100)*(C4390*VLOOKUP(B4390,'Poids des runes'!A:B,2,FALSE)))+1)/VLOOKUP(B4390,'Poids des runes'!A:B,2,FALSE))</f>
        <v>2.08</v>
      </c>
      <c r="F4390">
        <f t="shared" si="68"/>
        <v>2.08</v>
      </c>
    </row>
    <row r="4391" spans="1:6" x14ac:dyDescent="0.3">
      <c r="A4391" t="s">
        <v>990</v>
      </c>
      <c r="B4391" t="s">
        <v>2143</v>
      </c>
      <c r="C4391">
        <v>4.5</v>
      </c>
      <c r="D4391">
        <v>132</v>
      </c>
      <c r="E4391">
        <f>IF(OR(B4391="vi",B4391="ii",B4391="pod"),(((D4391/100)*(C4391*VLOOKUP(B4391,'Poids des runes'!A:B,2,FALSE)))+1),(((D4391/100)*(C4391*VLOOKUP(B4391,'Poids des runes'!A:B,2,FALSE)))+1)/VLOOKUP(B4391,'Poids des runes'!A:B,2,FALSE))</f>
        <v>6.1400000000000006</v>
      </c>
      <c r="F4391">
        <f t="shared" si="68"/>
        <v>6.1400000000000006</v>
      </c>
    </row>
    <row r="4392" spans="1:6" x14ac:dyDescent="0.3">
      <c r="A4392" t="s">
        <v>990</v>
      </c>
      <c r="B4392" t="s">
        <v>2153</v>
      </c>
      <c r="C4392">
        <v>4.5</v>
      </c>
      <c r="D4392">
        <v>132</v>
      </c>
      <c r="E4392">
        <f>IF(OR(B4392="vi",B4392="ii",B4392="pod"),(((D4392/100)*(C4392*VLOOKUP(B4392,'Poids des runes'!A:B,2,FALSE)))+1),(((D4392/100)*(C4392*VLOOKUP(B4392,'Poids des runes'!A:B,2,FALSE)))+1)/VLOOKUP(B4392,'Poids des runes'!A:B,2,FALSE))</f>
        <v>6.1400000000000006</v>
      </c>
      <c r="F4392">
        <f t="shared" si="68"/>
        <v>6.1400000000000006</v>
      </c>
    </row>
    <row r="4393" spans="1:6" x14ac:dyDescent="0.3">
      <c r="A4393" t="s">
        <v>990</v>
      </c>
      <c r="B4393" t="s">
        <v>2161</v>
      </c>
      <c r="C4393">
        <v>18</v>
      </c>
      <c r="D4393">
        <v>132</v>
      </c>
      <c r="E4393">
        <f>IF(OR(B4393="vi",B4393="ii",B4393="pod"),(((D4393/100)*(C4393*VLOOKUP(B4393,'Poids des runes'!A:B,2,FALSE)))+1),(((D4393/100)*(C4393*VLOOKUP(B4393,'Poids des runes'!A:B,2,FALSE)))+1)/VLOOKUP(B4393,'Poids des runes'!A:B,2,FALSE))</f>
        <v>24.093333333333334</v>
      </c>
      <c r="F4393">
        <f t="shared" si="68"/>
        <v>24.093333333333334</v>
      </c>
    </row>
    <row r="4394" spans="1:6" x14ac:dyDescent="0.3">
      <c r="A4394" t="s">
        <v>990</v>
      </c>
      <c r="B4394" t="s">
        <v>2141</v>
      </c>
      <c r="C4394">
        <v>4.5</v>
      </c>
      <c r="D4394">
        <v>132</v>
      </c>
      <c r="E4394">
        <f>IF(OR(B4394="vi",B4394="ii",B4394="pod"),(((D4394/100)*(C4394*VLOOKUP(B4394,'Poids des runes'!A:B,2,FALSE)))+1),(((D4394/100)*(C4394*VLOOKUP(B4394,'Poids des runes'!A:B,2,FALSE)))+1)/VLOOKUP(B4394,'Poids des runes'!A:B,2,FALSE))</f>
        <v>6.19</v>
      </c>
      <c r="F4394">
        <f t="shared" si="68"/>
        <v>6.19</v>
      </c>
    </row>
    <row r="4395" spans="1:6" x14ac:dyDescent="0.3">
      <c r="A4395" t="s">
        <v>990</v>
      </c>
      <c r="B4395" t="s">
        <v>2163</v>
      </c>
      <c r="C4395">
        <v>8.5</v>
      </c>
      <c r="D4395">
        <v>132</v>
      </c>
      <c r="E4395">
        <f>IF(OR(B4395="vi",B4395="ii",B4395="pod"),(((D4395/100)*(C4395*VLOOKUP(B4395,'Poids des runes'!A:B,2,FALSE)))+1),(((D4395/100)*(C4395*VLOOKUP(B4395,'Poids des runes'!A:B,2,FALSE)))+1)/VLOOKUP(B4395,'Poids des runes'!A:B,2,FALSE))</f>
        <v>11.72</v>
      </c>
      <c r="F4395">
        <f t="shared" si="68"/>
        <v>11.72</v>
      </c>
    </row>
    <row r="4396" spans="1:6" x14ac:dyDescent="0.3">
      <c r="A4396" t="s">
        <v>990</v>
      </c>
      <c r="B4396" t="s">
        <v>2148</v>
      </c>
      <c r="C4396">
        <v>6</v>
      </c>
      <c r="D4396">
        <v>132</v>
      </c>
      <c r="E4396">
        <f>IF(OR(B4396="vi",B4396="ii",B4396="pod"),(((D4396/100)*(C4396*VLOOKUP(B4396,'Poids des runes'!A:B,2,FALSE)))+1),(((D4396/100)*(C4396*VLOOKUP(B4396,'Poids des runes'!A:B,2,FALSE)))+1)/VLOOKUP(B4396,'Poids des runes'!A:B,2,FALSE))</f>
        <v>8.0866666666666678</v>
      </c>
      <c r="F4396">
        <f t="shared" si="68"/>
        <v>8.0866666666666678</v>
      </c>
    </row>
    <row r="4397" spans="1:6" x14ac:dyDescent="0.3">
      <c r="A4397" t="s">
        <v>990</v>
      </c>
      <c r="B4397" t="s">
        <v>2157</v>
      </c>
      <c r="C4397">
        <v>6</v>
      </c>
      <c r="D4397">
        <v>132</v>
      </c>
      <c r="E4397">
        <f>IF(OR(B4397="vi",B4397="ii",B4397="pod"),(((D4397/100)*(C4397*VLOOKUP(B4397,'Poids des runes'!A:B,2,FALSE)))+1),(((D4397/100)*(C4397*VLOOKUP(B4397,'Poids des runes'!A:B,2,FALSE)))+1)/VLOOKUP(B4397,'Poids des runes'!A:B,2,FALSE))</f>
        <v>8.0866666666666678</v>
      </c>
      <c r="F4397">
        <f t="shared" si="68"/>
        <v>8.0866666666666678</v>
      </c>
    </row>
    <row r="4398" spans="1:6" x14ac:dyDescent="0.3">
      <c r="A4398" t="s">
        <v>990</v>
      </c>
      <c r="B4398" t="s">
        <v>2144</v>
      </c>
      <c r="C4398">
        <v>6</v>
      </c>
      <c r="D4398">
        <v>132</v>
      </c>
      <c r="E4398">
        <f>IF(OR(B4398="vi",B4398="ii",B4398="pod"),(((D4398/100)*(C4398*VLOOKUP(B4398,'Poids des runes'!A:B,2,FALSE)))+1),(((D4398/100)*(C4398*VLOOKUP(B4398,'Poids des runes'!A:B,2,FALSE)))+1)/VLOOKUP(B4398,'Poids des runes'!A:B,2,FALSE))</f>
        <v>8.42</v>
      </c>
      <c r="F4398">
        <f t="shared" si="68"/>
        <v>8.42</v>
      </c>
    </row>
    <row r="4399" spans="1:6" x14ac:dyDescent="0.3">
      <c r="A4399" t="s">
        <v>991</v>
      </c>
      <c r="B4399" t="s">
        <v>2128</v>
      </c>
      <c r="C4399">
        <v>175.5</v>
      </c>
      <c r="D4399">
        <v>132</v>
      </c>
      <c r="E4399">
        <f>IF(OR(B4399="vi",B4399="ii",B4399="pod"),(((D4399/100)*(C4399*VLOOKUP(B4399,'Poids des runes'!A:B,2,FALSE)))+1),(((D4399/100)*(C4399*VLOOKUP(B4399,'Poids des runes'!A:B,2,FALSE)))+1)/VLOOKUP(B4399,'Poids des runes'!A:B,2,FALSE))</f>
        <v>47.332000000000001</v>
      </c>
      <c r="F4399">
        <f t="shared" si="68"/>
        <v>47.332000000000001</v>
      </c>
    </row>
    <row r="4400" spans="1:6" x14ac:dyDescent="0.3">
      <c r="A4400" t="s">
        <v>991</v>
      </c>
      <c r="B4400" t="s">
        <v>2130</v>
      </c>
      <c r="C4400">
        <v>35.5</v>
      </c>
      <c r="D4400">
        <v>132</v>
      </c>
      <c r="E4400">
        <f>IF(OR(B4400="vi",B4400="ii",B4400="pod"),(((D4400/100)*(C4400*VLOOKUP(B4400,'Poids des runes'!A:B,2,FALSE)))+1),(((D4400/100)*(C4400*VLOOKUP(B4400,'Poids des runes'!A:B,2,FALSE)))+1)/VLOOKUP(B4400,'Poids des runes'!A:B,2,FALSE))</f>
        <v>47.86</v>
      </c>
      <c r="F4400">
        <f t="shared" si="68"/>
        <v>47.86</v>
      </c>
    </row>
    <row r="4401" spans="1:6" x14ac:dyDescent="0.3">
      <c r="A4401" t="s">
        <v>991</v>
      </c>
      <c r="B4401" t="s">
        <v>2127</v>
      </c>
      <c r="C4401">
        <v>35.5</v>
      </c>
      <c r="D4401">
        <v>132</v>
      </c>
      <c r="E4401">
        <f>IF(OR(B4401="vi",B4401="ii",B4401="pod"),(((D4401/100)*(C4401*VLOOKUP(B4401,'Poids des runes'!A:B,2,FALSE)))+1),(((D4401/100)*(C4401*VLOOKUP(B4401,'Poids des runes'!A:B,2,FALSE)))+1)/VLOOKUP(B4401,'Poids des runes'!A:B,2,FALSE))</f>
        <v>47.86</v>
      </c>
      <c r="F4401">
        <f t="shared" si="68"/>
        <v>47.86</v>
      </c>
    </row>
    <row r="4402" spans="1:6" x14ac:dyDescent="0.3">
      <c r="A4402" t="s">
        <v>991</v>
      </c>
      <c r="B4402" t="s">
        <v>2129</v>
      </c>
      <c r="C4402">
        <v>25.5</v>
      </c>
      <c r="D4402">
        <v>132</v>
      </c>
      <c r="E4402">
        <f>IF(OR(B4402="vi",B4402="ii",B4402="pod"),(((D4402/100)*(C4402*VLOOKUP(B4402,'Poids des runes'!A:B,2,FALSE)))+1),(((D4402/100)*(C4402*VLOOKUP(B4402,'Poids des runes'!A:B,2,FALSE)))+1)/VLOOKUP(B4402,'Poids des runes'!A:B,2,FALSE))</f>
        <v>34.660000000000004</v>
      </c>
      <c r="F4402">
        <f t="shared" si="68"/>
        <v>34.660000000000004</v>
      </c>
    </row>
    <row r="4403" spans="1:6" x14ac:dyDescent="0.3">
      <c r="A4403" t="s">
        <v>991</v>
      </c>
      <c r="B4403" t="s">
        <v>2155</v>
      </c>
      <c r="C4403">
        <v>1</v>
      </c>
      <c r="D4403">
        <v>132</v>
      </c>
      <c r="E4403">
        <f>IF(OR(B4403="vi",B4403="ii",B4403="pod"),(((D4403/100)*(C4403*VLOOKUP(B4403,'Poids des runes'!A:B,2,FALSE)))+1),(((D4403/100)*(C4403*VLOOKUP(B4403,'Poids des runes'!A:B,2,FALSE)))+1)/VLOOKUP(B4403,'Poids des runes'!A:B,2,FALSE))</f>
        <v>1.3396078431372551</v>
      </c>
      <c r="F4403">
        <f t="shared" si="68"/>
        <v>1.3396078431372551</v>
      </c>
    </row>
    <row r="4404" spans="1:6" x14ac:dyDescent="0.3">
      <c r="A4404" t="s">
        <v>991</v>
      </c>
      <c r="B4404" t="s">
        <v>2143</v>
      </c>
      <c r="C4404">
        <v>6</v>
      </c>
      <c r="D4404">
        <v>132</v>
      </c>
      <c r="E4404">
        <f>IF(OR(B4404="vi",B4404="ii",B4404="pod"),(((D4404/100)*(C4404*VLOOKUP(B4404,'Poids des runes'!A:B,2,FALSE)))+1),(((D4404/100)*(C4404*VLOOKUP(B4404,'Poids des runes'!A:B,2,FALSE)))+1)/VLOOKUP(B4404,'Poids des runes'!A:B,2,FALSE))</f>
        <v>8.120000000000001</v>
      </c>
      <c r="F4404">
        <f t="shared" si="68"/>
        <v>8.120000000000001</v>
      </c>
    </row>
    <row r="4405" spans="1:6" x14ac:dyDescent="0.3">
      <c r="A4405" t="s">
        <v>991</v>
      </c>
      <c r="B4405" t="s">
        <v>2153</v>
      </c>
      <c r="C4405">
        <v>6</v>
      </c>
      <c r="D4405">
        <v>132</v>
      </c>
      <c r="E4405">
        <f>IF(OR(B4405="vi",B4405="ii",B4405="pod"),(((D4405/100)*(C4405*VLOOKUP(B4405,'Poids des runes'!A:B,2,FALSE)))+1),(((D4405/100)*(C4405*VLOOKUP(B4405,'Poids des runes'!A:B,2,FALSE)))+1)/VLOOKUP(B4405,'Poids des runes'!A:B,2,FALSE))</f>
        <v>8.120000000000001</v>
      </c>
      <c r="F4405">
        <f t="shared" si="68"/>
        <v>8.120000000000001</v>
      </c>
    </row>
    <row r="4406" spans="1:6" x14ac:dyDescent="0.3">
      <c r="A4406" t="s">
        <v>991</v>
      </c>
      <c r="B4406" t="s">
        <v>2141</v>
      </c>
      <c r="C4406">
        <v>3.5</v>
      </c>
      <c r="D4406">
        <v>132</v>
      </c>
      <c r="E4406">
        <f>IF(OR(B4406="vi",B4406="ii",B4406="pod"),(((D4406/100)*(C4406*VLOOKUP(B4406,'Poids des runes'!A:B,2,FALSE)))+1),(((D4406/100)*(C4406*VLOOKUP(B4406,'Poids des runes'!A:B,2,FALSE)))+1)/VLOOKUP(B4406,'Poids des runes'!A:B,2,FALSE))</f>
        <v>4.87</v>
      </c>
      <c r="F4406">
        <f t="shared" si="68"/>
        <v>4.87</v>
      </c>
    </row>
    <row r="4407" spans="1:6" x14ac:dyDescent="0.3">
      <c r="A4407" t="s">
        <v>991</v>
      </c>
      <c r="B4407" t="s">
        <v>2156</v>
      </c>
      <c r="C4407">
        <v>4</v>
      </c>
      <c r="D4407">
        <v>132</v>
      </c>
      <c r="E4407">
        <f>IF(OR(B4407="vi",B4407="ii",B4407="pod"),(((D4407/100)*(C4407*VLOOKUP(B4407,'Poids des runes'!A:B,2,FALSE)))+1),(((D4407/100)*(C4407*VLOOKUP(B4407,'Poids des runes'!A:B,2,FALSE)))+1)/VLOOKUP(B4407,'Poids des runes'!A:B,2,FALSE))</f>
        <v>5.4466666666666663</v>
      </c>
      <c r="F4407">
        <f t="shared" si="68"/>
        <v>5.4466666666666663</v>
      </c>
    </row>
    <row r="4408" spans="1:6" x14ac:dyDescent="0.3">
      <c r="A4408" t="s">
        <v>991</v>
      </c>
      <c r="B4408" t="s">
        <v>2144</v>
      </c>
      <c r="C4408">
        <v>8.5</v>
      </c>
      <c r="D4408">
        <v>132</v>
      </c>
      <c r="E4408">
        <f>IF(OR(B4408="vi",B4408="ii",B4408="pod"),(((D4408/100)*(C4408*VLOOKUP(B4408,'Poids des runes'!A:B,2,FALSE)))+1),(((D4408/100)*(C4408*VLOOKUP(B4408,'Poids des runes'!A:B,2,FALSE)))+1)/VLOOKUP(B4408,'Poids des runes'!A:B,2,FALSE))</f>
        <v>11.72</v>
      </c>
      <c r="F4408">
        <f t="shared" si="68"/>
        <v>11.72</v>
      </c>
    </row>
    <row r="4409" spans="1:6" x14ac:dyDescent="0.3">
      <c r="A4409" t="s">
        <v>991</v>
      </c>
      <c r="B4409" t="s">
        <v>2146</v>
      </c>
      <c r="C4409">
        <v>8.5</v>
      </c>
      <c r="D4409">
        <v>132</v>
      </c>
      <c r="E4409">
        <f>IF(OR(B4409="vi",B4409="ii",B4409="pod"),(((D4409/100)*(C4409*VLOOKUP(B4409,'Poids des runes'!A:B,2,FALSE)))+1),(((D4409/100)*(C4409*VLOOKUP(B4409,'Poids des runes'!A:B,2,FALSE)))+1)/VLOOKUP(B4409,'Poids des runes'!A:B,2,FALSE))</f>
        <v>11.72</v>
      </c>
      <c r="F4409">
        <f t="shared" si="68"/>
        <v>11.72</v>
      </c>
    </row>
    <row r="4410" spans="1:6" x14ac:dyDescent="0.3">
      <c r="A4410" t="s">
        <v>992</v>
      </c>
      <c r="B4410" t="s">
        <v>2128</v>
      </c>
      <c r="C4410">
        <v>225.5</v>
      </c>
      <c r="D4410">
        <v>133</v>
      </c>
      <c r="E4410">
        <f>IF(OR(B4410="vi",B4410="ii",B4410="pod"),(((D4410/100)*(C4410*VLOOKUP(B4410,'Poids des runes'!A:B,2,FALSE)))+1),(((D4410/100)*(C4410*VLOOKUP(B4410,'Poids des runes'!A:B,2,FALSE)))+1)/VLOOKUP(B4410,'Poids des runes'!A:B,2,FALSE))</f>
        <v>60.983000000000004</v>
      </c>
      <c r="F4410">
        <f t="shared" si="68"/>
        <v>60.983000000000004</v>
      </c>
    </row>
    <row r="4411" spans="1:6" x14ac:dyDescent="0.3">
      <c r="A4411" t="s">
        <v>992</v>
      </c>
      <c r="B4411" t="s">
        <v>2127</v>
      </c>
      <c r="C4411">
        <v>40.5</v>
      </c>
      <c r="D4411">
        <v>133</v>
      </c>
      <c r="E4411">
        <f>IF(OR(B4411="vi",B4411="ii",B4411="pod"),(((D4411/100)*(C4411*VLOOKUP(B4411,'Poids des runes'!A:B,2,FALSE)))+1),(((D4411/100)*(C4411*VLOOKUP(B4411,'Poids des runes'!A:B,2,FALSE)))+1)/VLOOKUP(B4411,'Poids des runes'!A:B,2,FALSE))</f>
        <v>54.865000000000002</v>
      </c>
      <c r="F4411">
        <f t="shared" si="68"/>
        <v>54.865000000000002</v>
      </c>
    </row>
    <row r="4412" spans="1:6" x14ac:dyDescent="0.3">
      <c r="A4412" t="s">
        <v>992</v>
      </c>
      <c r="B4412" t="s">
        <v>2129</v>
      </c>
      <c r="C4412">
        <v>30.5</v>
      </c>
      <c r="D4412">
        <v>133</v>
      </c>
      <c r="E4412">
        <f>IF(OR(B4412="vi",B4412="ii",B4412="pod"),(((D4412/100)*(C4412*VLOOKUP(B4412,'Poids des runes'!A:B,2,FALSE)))+1),(((D4412/100)*(C4412*VLOOKUP(B4412,'Poids des runes'!A:B,2,FALSE)))+1)/VLOOKUP(B4412,'Poids des runes'!A:B,2,FALSE))</f>
        <v>41.565000000000005</v>
      </c>
      <c r="F4412">
        <f t="shared" si="68"/>
        <v>41.565000000000005</v>
      </c>
    </row>
    <row r="4413" spans="1:6" x14ac:dyDescent="0.3">
      <c r="A4413" t="s">
        <v>992</v>
      </c>
      <c r="B4413" t="s">
        <v>2139</v>
      </c>
      <c r="C4413">
        <v>15.5</v>
      </c>
      <c r="D4413">
        <v>133</v>
      </c>
      <c r="E4413">
        <f>IF(OR(B4413="vi",B4413="ii",B4413="pod"),(((D4413/100)*(C4413*VLOOKUP(B4413,'Poids des runes'!A:B,2,FALSE)))+1),(((D4413/100)*(C4413*VLOOKUP(B4413,'Poids des runes'!A:B,2,FALSE)))+1)/VLOOKUP(B4413,'Poids des runes'!A:B,2,FALSE))</f>
        <v>21.115000000000002</v>
      </c>
      <c r="F4413">
        <f t="shared" si="68"/>
        <v>21.115000000000002</v>
      </c>
    </row>
    <row r="4414" spans="1:6" x14ac:dyDescent="0.3">
      <c r="A4414" t="s">
        <v>992</v>
      </c>
      <c r="B4414" t="s">
        <v>2151</v>
      </c>
      <c r="C4414">
        <v>4</v>
      </c>
      <c r="D4414">
        <v>133</v>
      </c>
      <c r="E4414">
        <f>IF(OR(B4414="vi",B4414="ii",B4414="pod"),(((D4414/100)*(C4414*VLOOKUP(B4414,'Poids des runes'!A:B,2,FALSE)))+1),(((D4414/100)*(C4414*VLOOKUP(B4414,'Poids des runes'!A:B,2,FALSE)))+1)/VLOOKUP(B4414,'Poids des runes'!A:B,2,FALSE))</f>
        <v>5.42</v>
      </c>
      <c r="F4414">
        <f t="shared" si="68"/>
        <v>5.42</v>
      </c>
    </row>
    <row r="4415" spans="1:6" x14ac:dyDescent="0.3">
      <c r="A4415" t="s">
        <v>992</v>
      </c>
      <c r="B4415" t="s">
        <v>2155</v>
      </c>
      <c r="C4415">
        <v>1</v>
      </c>
      <c r="D4415">
        <v>133</v>
      </c>
      <c r="E4415">
        <f>IF(OR(B4415="vi",B4415="ii",B4415="pod"),(((D4415/100)*(C4415*VLOOKUP(B4415,'Poids des runes'!A:B,2,FALSE)))+1),(((D4415/100)*(C4415*VLOOKUP(B4415,'Poids des runes'!A:B,2,FALSE)))+1)/VLOOKUP(B4415,'Poids des runes'!A:B,2,FALSE))</f>
        <v>1.3496078431372549</v>
      </c>
      <c r="F4415">
        <f t="shared" si="68"/>
        <v>1.3496078431372549</v>
      </c>
    </row>
    <row r="4416" spans="1:6" x14ac:dyDescent="0.3">
      <c r="A4416" t="s">
        <v>992</v>
      </c>
      <c r="B4416" t="s">
        <v>2134</v>
      </c>
      <c r="C4416">
        <v>8</v>
      </c>
      <c r="D4416">
        <v>133</v>
      </c>
      <c r="E4416">
        <f>IF(OR(B4416="vi",B4416="ii",B4416="pod"),(((D4416/100)*(C4416*VLOOKUP(B4416,'Poids des runes'!A:B,2,FALSE)))+1),(((D4416/100)*(C4416*VLOOKUP(B4416,'Poids des runes'!A:B,2,FALSE)))+1)/VLOOKUP(B4416,'Poids des runes'!A:B,2,FALSE))</f>
        <v>10.690000000000001</v>
      </c>
      <c r="F4416">
        <f t="shared" si="68"/>
        <v>10.690000000000001</v>
      </c>
    </row>
    <row r="4417" spans="1:6" x14ac:dyDescent="0.3">
      <c r="A4417" t="s">
        <v>992</v>
      </c>
      <c r="B4417" t="s">
        <v>2161</v>
      </c>
      <c r="C4417">
        <v>13</v>
      </c>
      <c r="D4417">
        <v>133</v>
      </c>
      <c r="E4417">
        <f>IF(OR(B4417="vi",B4417="ii",B4417="pod"),(((D4417/100)*(C4417*VLOOKUP(B4417,'Poids des runes'!A:B,2,FALSE)))+1),(((D4417/100)*(C4417*VLOOKUP(B4417,'Poids des runes'!A:B,2,FALSE)))+1)/VLOOKUP(B4417,'Poids des runes'!A:B,2,FALSE))</f>
        <v>17.623333333333335</v>
      </c>
      <c r="F4417">
        <f t="shared" si="68"/>
        <v>17.623333333333335</v>
      </c>
    </row>
    <row r="4418" spans="1:6" x14ac:dyDescent="0.3">
      <c r="A4418" t="s">
        <v>992</v>
      </c>
      <c r="B4418" t="s">
        <v>2132</v>
      </c>
      <c r="C4418">
        <v>300.5</v>
      </c>
      <c r="D4418">
        <v>133</v>
      </c>
      <c r="E4418">
        <f>IF(OR(B4418="vi",B4418="ii",B4418="pod"),(((D4418/100)*(C4418*VLOOKUP(B4418,'Poids des runes'!A:B,2,FALSE)))+1),(((D4418/100)*(C4418*VLOOKUP(B4418,'Poids des runes'!A:B,2,FALSE)))+1)/VLOOKUP(B4418,'Poids des runes'!A:B,2,FALSE))</f>
        <v>40.966500000000003</v>
      </c>
      <c r="F4418">
        <f t="shared" si="68"/>
        <v>40.966500000000003</v>
      </c>
    </row>
    <row r="4419" spans="1:6" x14ac:dyDescent="0.3">
      <c r="A4419" t="s">
        <v>992</v>
      </c>
      <c r="B4419" t="s">
        <v>2156</v>
      </c>
      <c r="C4419">
        <v>6</v>
      </c>
      <c r="D4419">
        <v>133</v>
      </c>
      <c r="E4419">
        <f>IF(OR(B4419="vi",B4419="ii",B4419="pod"),(((D4419/100)*(C4419*VLOOKUP(B4419,'Poids des runes'!A:B,2,FALSE)))+1),(((D4419/100)*(C4419*VLOOKUP(B4419,'Poids des runes'!A:B,2,FALSE)))+1)/VLOOKUP(B4419,'Poids des runes'!A:B,2,FALSE))</f>
        <v>8.1466666666666665</v>
      </c>
      <c r="F4419">
        <f t="shared" ref="F4419:F4482" si="69">E4419</f>
        <v>8.1466666666666665</v>
      </c>
    </row>
    <row r="4420" spans="1:6" x14ac:dyDescent="0.3">
      <c r="A4420" t="s">
        <v>993</v>
      </c>
      <c r="B4420" t="s">
        <v>2128</v>
      </c>
      <c r="C4420">
        <v>175.5</v>
      </c>
      <c r="D4420">
        <v>133</v>
      </c>
      <c r="E4420">
        <f>IF(OR(B4420="vi",B4420="ii",B4420="pod"),(((D4420/100)*(C4420*VLOOKUP(B4420,'Poids des runes'!A:B,2,FALSE)))+1),(((D4420/100)*(C4420*VLOOKUP(B4420,'Poids des runes'!A:B,2,FALSE)))+1)/VLOOKUP(B4420,'Poids des runes'!A:B,2,FALSE))</f>
        <v>47.683000000000007</v>
      </c>
      <c r="F4420">
        <f t="shared" si="69"/>
        <v>47.683000000000007</v>
      </c>
    </row>
    <row r="4421" spans="1:6" x14ac:dyDescent="0.3">
      <c r="A4421" t="s">
        <v>993</v>
      </c>
      <c r="B4421" t="s">
        <v>2131</v>
      </c>
      <c r="C4421">
        <v>50.5</v>
      </c>
      <c r="D4421">
        <v>133</v>
      </c>
      <c r="E4421">
        <f>IF(OR(B4421="vi",B4421="ii",B4421="pod"),(((D4421/100)*(C4421*VLOOKUP(B4421,'Poids des runes'!A:B,2,FALSE)))+1),(((D4421/100)*(C4421*VLOOKUP(B4421,'Poids des runes'!A:B,2,FALSE)))+1)/VLOOKUP(B4421,'Poids des runes'!A:B,2,FALSE))</f>
        <v>68.165000000000006</v>
      </c>
      <c r="F4421">
        <f t="shared" si="69"/>
        <v>68.165000000000006</v>
      </c>
    </row>
    <row r="4422" spans="1:6" x14ac:dyDescent="0.3">
      <c r="A4422" t="s">
        <v>993</v>
      </c>
      <c r="B4422" t="s">
        <v>2129</v>
      </c>
      <c r="C4422">
        <v>15.5</v>
      </c>
      <c r="D4422">
        <v>133</v>
      </c>
      <c r="E4422">
        <f>IF(OR(B4422="vi",B4422="ii",B4422="pod"),(((D4422/100)*(C4422*VLOOKUP(B4422,'Poids des runes'!A:B,2,FALSE)))+1),(((D4422/100)*(C4422*VLOOKUP(B4422,'Poids des runes'!A:B,2,FALSE)))+1)/VLOOKUP(B4422,'Poids des runes'!A:B,2,FALSE))</f>
        <v>21.615000000000002</v>
      </c>
      <c r="F4422">
        <f t="shared" si="69"/>
        <v>21.615000000000002</v>
      </c>
    </row>
    <row r="4423" spans="1:6" x14ac:dyDescent="0.3">
      <c r="A4423" t="s">
        <v>993</v>
      </c>
      <c r="B4423" t="s">
        <v>2151</v>
      </c>
      <c r="C4423">
        <v>5</v>
      </c>
      <c r="D4423">
        <v>133</v>
      </c>
      <c r="E4423">
        <f>IF(OR(B4423="vi",B4423="ii",B4423="pod"),(((D4423/100)*(C4423*VLOOKUP(B4423,'Poids des runes'!A:B,2,FALSE)))+1),(((D4423/100)*(C4423*VLOOKUP(B4423,'Poids des runes'!A:B,2,FALSE)))+1)/VLOOKUP(B4423,'Poids des runes'!A:B,2,FALSE))</f>
        <v>6.75</v>
      </c>
      <c r="F4423">
        <f t="shared" si="69"/>
        <v>6.75</v>
      </c>
    </row>
    <row r="4424" spans="1:6" x14ac:dyDescent="0.3">
      <c r="A4424" t="s">
        <v>993</v>
      </c>
      <c r="B4424" t="s">
        <v>2133</v>
      </c>
      <c r="C4424">
        <v>6</v>
      </c>
      <c r="D4424">
        <v>133</v>
      </c>
      <c r="E4424">
        <f>IF(OR(B4424="vi",B4424="ii",B4424="pod"),(((D4424/100)*(C4424*VLOOKUP(B4424,'Poids des runes'!A:B,2,FALSE)))+1),(((D4424/100)*(C4424*VLOOKUP(B4424,'Poids des runes'!A:B,2,FALSE)))+1)/VLOOKUP(B4424,'Poids des runes'!A:B,2,FALSE))</f>
        <v>8.1800000000000015</v>
      </c>
      <c r="F4424">
        <f t="shared" si="69"/>
        <v>8.1800000000000015</v>
      </c>
    </row>
    <row r="4425" spans="1:6" x14ac:dyDescent="0.3">
      <c r="A4425" t="s">
        <v>993</v>
      </c>
      <c r="B4425" t="s">
        <v>2161</v>
      </c>
      <c r="C4425">
        <v>15.5</v>
      </c>
      <c r="D4425">
        <v>133</v>
      </c>
      <c r="E4425">
        <f>IF(OR(B4425="vi",B4425="ii",B4425="pod"),(((D4425/100)*(C4425*VLOOKUP(B4425,'Poids des runes'!A:B,2,FALSE)))+1),(((D4425/100)*(C4425*VLOOKUP(B4425,'Poids des runes'!A:B,2,FALSE)))+1)/VLOOKUP(B4425,'Poids des runes'!A:B,2,FALSE))</f>
        <v>20.948333333333334</v>
      </c>
      <c r="F4425">
        <f t="shared" si="69"/>
        <v>20.948333333333334</v>
      </c>
    </row>
    <row r="4426" spans="1:6" x14ac:dyDescent="0.3">
      <c r="A4426" t="s">
        <v>993</v>
      </c>
      <c r="B4426" t="s">
        <v>2132</v>
      </c>
      <c r="C4426">
        <v>300.5</v>
      </c>
      <c r="D4426">
        <v>133</v>
      </c>
      <c r="E4426">
        <f>IF(OR(B4426="vi",B4426="ii",B4426="pod"),(((D4426/100)*(C4426*VLOOKUP(B4426,'Poids des runes'!A:B,2,FALSE)))+1),(((D4426/100)*(C4426*VLOOKUP(B4426,'Poids des runes'!A:B,2,FALSE)))+1)/VLOOKUP(B4426,'Poids des runes'!A:B,2,FALSE))</f>
        <v>40.966500000000003</v>
      </c>
      <c r="F4426">
        <f t="shared" si="69"/>
        <v>40.966500000000003</v>
      </c>
    </row>
    <row r="4427" spans="1:6" x14ac:dyDescent="0.3">
      <c r="A4427" t="s">
        <v>993</v>
      </c>
      <c r="B4427" t="s">
        <v>2158</v>
      </c>
      <c r="C4427">
        <v>10.5</v>
      </c>
      <c r="D4427">
        <v>133</v>
      </c>
      <c r="E4427">
        <f>IF(OR(B4427="vi",B4427="ii",B4427="pod"),(((D4427/100)*(C4427*VLOOKUP(B4427,'Poids des runes'!A:B,2,FALSE)))+1),(((D4427/100)*(C4427*VLOOKUP(B4427,'Poids des runes'!A:B,2,FALSE)))+1)/VLOOKUP(B4427,'Poids des runes'!A:B,2,FALSE))</f>
        <v>14.165000000000001</v>
      </c>
      <c r="F4427">
        <f t="shared" si="69"/>
        <v>14.165000000000001</v>
      </c>
    </row>
    <row r="4428" spans="1:6" x14ac:dyDescent="0.3">
      <c r="A4428" t="s">
        <v>993</v>
      </c>
      <c r="B4428" t="s">
        <v>2148</v>
      </c>
      <c r="C4428">
        <v>5</v>
      </c>
      <c r="D4428">
        <v>133</v>
      </c>
      <c r="E4428">
        <f>IF(OR(B4428="vi",B4428="ii",B4428="pod"),(((D4428/100)*(C4428*VLOOKUP(B4428,'Poids des runes'!A:B,2,FALSE)))+1),(((D4428/100)*(C4428*VLOOKUP(B4428,'Poids des runes'!A:B,2,FALSE)))+1)/VLOOKUP(B4428,'Poids des runes'!A:B,2,FALSE))</f>
        <v>6.8166666666666673</v>
      </c>
      <c r="F4428">
        <f t="shared" si="69"/>
        <v>6.8166666666666673</v>
      </c>
    </row>
    <row r="4429" spans="1:6" x14ac:dyDescent="0.3">
      <c r="A4429" t="s">
        <v>993</v>
      </c>
      <c r="B4429" t="s">
        <v>2135</v>
      </c>
      <c r="C4429">
        <v>5</v>
      </c>
      <c r="D4429">
        <v>133</v>
      </c>
      <c r="E4429">
        <f>IF(OR(B4429="vi",B4429="ii",B4429="pod"),(((D4429/100)*(C4429*VLOOKUP(B4429,'Poids des runes'!A:B,2,FALSE)))+1),(((D4429/100)*(C4429*VLOOKUP(B4429,'Poids des runes'!A:B,2,FALSE)))+1)/VLOOKUP(B4429,'Poids des runes'!A:B,2,FALSE))</f>
        <v>6.8166666666666673</v>
      </c>
      <c r="F4429">
        <f t="shared" si="69"/>
        <v>6.8166666666666673</v>
      </c>
    </row>
    <row r="4430" spans="1:6" x14ac:dyDescent="0.3">
      <c r="A4430" t="s">
        <v>994</v>
      </c>
      <c r="B4430" t="s">
        <v>2128</v>
      </c>
      <c r="C4430">
        <v>175.5</v>
      </c>
      <c r="D4430">
        <v>133</v>
      </c>
      <c r="E4430">
        <f>IF(OR(B4430="vi",B4430="ii",B4430="pod"),(((D4430/100)*(C4430*VLOOKUP(B4430,'Poids des runes'!A:B,2,FALSE)))+1),(((D4430/100)*(C4430*VLOOKUP(B4430,'Poids des runes'!A:B,2,FALSE)))+1)/VLOOKUP(B4430,'Poids des runes'!A:B,2,FALSE))</f>
        <v>47.683000000000007</v>
      </c>
      <c r="F4430">
        <f t="shared" si="69"/>
        <v>47.683000000000007</v>
      </c>
    </row>
    <row r="4431" spans="1:6" x14ac:dyDescent="0.3">
      <c r="A4431" t="s">
        <v>994</v>
      </c>
      <c r="B4431" t="s">
        <v>2126</v>
      </c>
      <c r="C4431">
        <v>25.5</v>
      </c>
      <c r="D4431">
        <v>133</v>
      </c>
      <c r="E4431">
        <f>IF(OR(B4431="vi",B4431="ii",B4431="pod"),(((D4431/100)*(C4431*VLOOKUP(B4431,'Poids des runes'!A:B,2,FALSE)))+1),(((D4431/100)*(C4431*VLOOKUP(B4431,'Poids des runes'!A:B,2,FALSE)))+1)/VLOOKUP(B4431,'Poids des runes'!A:B,2,FALSE))</f>
        <v>34.914999999999999</v>
      </c>
      <c r="F4431">
        <f t="shared" si="69"/>
        <v>34.914999999999999</v>
      </c>
    </row>
    <row r="4432" spans="1:6" x14ac:dyDescent="0.3">
      <c r="A4432" t="s">
        <v>994</v>
      </c>
      <c r="B4432" t="s">
        <v>2127</v>
      </c>
      <c r="C4432">
        <v>40.5</v>
      </c>
      <c r="D4432">
        <v>133</v>
      </c>
      <c r="E4432">
        <f>IF(OR(B4432="vi",B4432="ii",B4432="pod"),(((D4432/100)*(C4432*VLOOKUP(B4432,'Poids des runes'!A:B,2,FALSE)))+1),(((D4432/100)*(C4432*VLOOKUP(B4432,'Poids des runes'!A:B,2,FALSE)))+1)/VLOOKUP(B4432,'Poids des runes'!A:B,2,FALSE))</f>
        <v>54.865000000000002</v>
      </c>
      <c r="F4432">
        <f t="shared" si="69"/>
        <v>54.865000000000002</v>
      </c>
    </row>
    <row r="4433" spans="1:6" x14ac:dyDescent="0.3">
      <c r="A4433" t="s">
        <v>994</v>
      </c>
      <c r="B4433" t="s">
        <v>2129</v>
      </c>
      <c r="C4433">
        <v>15.5</v>
      </c>
      <c r="D4433">
        <v>133</v>
      </c>
      <c r="E4433">
        <f>IF(OR(B4433="vi",B4433="ii",B4433="pod"),(((D4433/100)*(C4433*VLOOKUP(B4433,'Poids des runes'!A:B,2,FALSE)))+1),(((D4433/100)*(C4433*VLOOKUP(B4433,'Poids des runes'!A:B,2,FALSE)))+1)/VLOOKUP(B4433,'Poids des runes'!A:B,2,FALSE))</f>
        <v>21.615000000000002</v>
      </c>
      <c r="F4433">
        <f t="shared" si="69"/>
        <v>21.615000000000002</v>
      </c>
    </row>
    <row r="4434" spans="1:6" x14ac:dyDescent="0.3">
      <c r="A4434" t="s">
        <v>994</v>
      </c>
      <c r="B4434" t="s">
        <v>2139</v>
      </c>
      <c r="C4434">
        <v>13</v>
      </c>
      <c r="D4434">
        <v>133</v>
      </c>
      <c r="E4434">
        <f>IF(OR(B4434="vi",B4434="ii",B4434="pod"),(((D4434/100)*(C4434*VLOOKUP(B4434,'Poids des runes'!A:B,2,FALSE)))+1),(((D4434/100)*(C4434*VLOOKUP(B4434,'Poids des runes'!A:B,2,FALSE)))+1)/VLOOKUP(B4434,'Poids des runes'!A:B,2,FALSE))</f>
        <v>17.79</v>
      </c>
      <c r="F4434">
        <f t="shared" si="69"/>
        <v>17.79</v>
      </c>
    </row>
    <row r="4435" spans="1:6" x14ac:dyDescent="0.3">
      <c r="A4435" t="s">
        <v>994</v>
      </c>
      <c r="B4435" t="s">
        <v>2134</v>
      </c>
      <c r="C4435">
        <v>5</v>
      </c>
      <c r="D4435">
        <v>133</v>
      </c>
      <c r="E4435">
        <f>IF(OR(B4435="vi",B4435="ii",B4435="pod"),(((D4435/100)*(C4435*VLOOKUP(B4435,'Poids des runes'!A:B,2,FALSE)))+1),(((D4435/100)*(C4435*VLOOKUP(B4435,'Poids des runes'!A:B,2,FALSE)))+1)/VLOOKUP(B4435,'Poids des runes'!A:B,2,FALSE))</f>
        <v>6.7</v>
      </c>
      <c r="F4435">
        <f t="shared" si="69"/>
        <v>6.7</v>
      </c>
    </row>
    <row r="4436" spans="1:6" x14ac:dyDescent="0.3">
      <c r="A4436" t="s">
        <v>994</v>
      </c>
      <c r="B4436" t="s">
        <v>2149</v>
      </c>
      <c r="C4436">
        <v>6</v>
      </c>
      <c r="D4436">
        <v>133</v>
      </c>
      <c r="E4436">
        <f>IF(OR(B4436="vi",B4436="ii",B4436="pod"),(((D4436/100)*(C4436*VLOOKUP(B4436,'Poids des runes'!A:B,2,FALSE)))+1),(((D4436/100)*(C4436*VLOOKUP(B4436,'Poids des runes'!A:B,2,FALSE)))+1)/VLOOKUP(B4436,'Poids des runes'!A:B,2,FALSE))</f>
        <v>8.0800000000000018</v>
      </c>
      <c r="F4436">
        <f t="shared" si="69"/>
        <v>8.0800000000000018</v>
      </c>
    </row>
    <row r="4437" spans="1:6" x14ac:dyDescent="0.3">
      <c r="A4437" t="s">
        <v>994</v>
      </c>
      <c r="B4437" t="s">
        <v>2161</v>
      </c>
      <c r="C4437">
        <v>8</v>
      </c>
      <c r="D4437">
        <v>133</v>
      </c>
      <c r="E4437">
        <f>IF(OR(B4437="vi",B4437="ii",B4437="pod"),(((D4437/100)*(C4437*VLOOKUP(B4437,'Poids des runes'!A:B,2,FALSE)))+1),(((D4437/100)*(C4437*VLOOKUP(B4437,'Poids des runes'!A:B,2,FALSE)))+1)/VLOOKUP(B4437,'Poids des runes'!A:B,2,FALSE))</f>
        <v>10.973333333333334</v>
      </c>
      <c r="F4437">
        <f t="shared" si="69"/>
        <v>10.973333333333334</v>
      </c>
    </row>
    <row r="4438" spans="1:6" x14ac:dyDescent="0.3">
      <c r="A4438" t="s">
        <v>994</v>
      </c>
      <c r="B4438" t="s">
        <v>2148</v>
      </c>
      <c r="C4438">
        <v>6</v>
      </c>
      <c r="D4438">
        <v>133</v>
      </c>
      <c r="E4438">
        <f>IF(OR(B4438="vi",B4438="ii",B4438="pod"),(((D4438/100)*(C4438*VLOOKUP(B4438,'Poids des runes'!A:B,2,FALSE)))+1),(((D4438/100)*(C4438*VLOOKUP(B4438,'Poids des runes'!A:B,2,FALSE)))+1)/VLOOKUP(B4438,'Poids des runes'!A:B,2,FALSE))</f>
        <v>8.1466666666666665</v>
      </c>
      <c r="F4438">
        <f t="shared" si="69"/>
        <v>8.1466666666666665</v>
      </c>
    </row>
    <row r="4439" spans="1:6" x14ac:dyDescent="0.3">
      <c r="A4439" t="s">
        <v>994</v>
      </c>
      <c r="B4439" t="s">
        <v>2135</v>
      </c>
      <c r="C4439">
        <v>6</v>
      </c>
      <c r="D4439">
        <v>133</v>
      </c>
      <c r="E4439">
        <f>IF(OR(B4439="vi",B4439="ii",B4439="pod"),(((D4439/100)*(C4439*VLOOKUP(B4439,'Poids des runes'!A:B,2,FALSE)))+1),(((D4439/100)*(C4439*VLOOKUP(B4439,'Poids des runes'!A:B,2,FALSE)))+1)/VLOOKUP(B4439,'Poids des runes'!A:B,2,FALSE))</f>
        <v>8.1466666666666665</v>
      </c>
      <c r="F4439">
        <f t="shared" si="69"/>
        <v>8.1466666666666665</v>
      </c>
    </row>
    <row r="4440" spans="1:6" x14ac:dyDescent="0.3">
      <c r="A4440" t="s">
        <v>994</v>
      </c>
      <c r="B4440" t="s">
        <v>2137</v>
      </c>
      <c r="C4440">
        <v>5</v>
      </c>
      <c r="D4440">
        <v>133</v>
      </c>
      <c r="E4440">
        <f>IF(OR(B4440="vi",B4440="ii",B4440="pod"),(((D4440/100)*(C4440*VLOOKUP(B4440,'Poids des runes'!A:B,2,FALSE)))+1),(((D4440/100)*(C4440*VLOOKUP(B4440,'Poids des runes'!A:B,2,FALSE)))+1)/VLOOKUP(B4440,'Poids des runes'!A:B,2,FALSE))</f>
        <v>7.15</v>
      </c>
      <c r="F4440">
        <f t="shared" si="69"/>
        <v>7.15</v>
      </c>
    </row>
    <row r="4441" spans="1:6" x14ac:dyDescent="0.3">
      <c r="A4441" t="s">
        <v>994</v>
      </c>
      <c r="B4441" t="s">
        <v>2145</v>
      </c>
      <c r="C4441">
        <v>5</v>
      </c>
      <c r="D4441">
        <v>133</v>
      </c>
      <c r="E4441">
        <f>IF(OR(B4441="vi",B4441="ii",B4441="pod"),(((D4441/100)*(C4441*VLOOKUP(B4441,'Poids des runes'!A:B,2,FALSE)))+1),(((D4441/100)*(C4441*VLOOKUP(B4441,'Poids des runes'!A:B,2,FALSE)))+1)/VLOOKUP(B4441,'Poids des runes'!A:B,2,FALSE))</f>
        <v>7.15</v>
      </c>
      <c r="F4441">
        <f t="shared" si="69"/>
        <v>7.15</v>
      </c>
    </row>
    <row r="4442" spans="1:6" x14ac:dyDescent="0.3">
      <c r="A4442" t="s">
        <v>995</v>
      </c>
      <c r="B4442" t="s">
        <v>2128</v>
      </c>
      <c r="C4442">
        <v>175.5</v>
      </c>
      <c r="D4442">
        <v>133</v>
      </c>
      <c r="E4442">
        <f>IF(OR(B4442="vi",B4442="ii",B4442="pod"),(((D4442/100)*(C4442*VLOOKUP(B4442,'Poids des runes'!A:B,2,FALSE)))+1),(((D4442/100)*(C4442*VLOOKUP(B4442,'Poids des runes'!A:B,2,FALSE)))+1)/VLOOKUP(B4442,'Poids des runes'!A:B,2,FALSE))</f>
        <v>47.683000000000007</v>
      </c>
      <c r="F4442">
        <f t="shared" si="69"/>
        <v>47.683000000000007</v>
      </c>
    </row>
    <row r="4443" spans="1:6" x14ac:dyDescent="0.3">
      <c r="A4443" t="s">
        <v>995</v>
      </c>
      <c r="B4443" t="s">
        <v>2126</v>
      </c>
      <c r="C4443">
        <v>23</v>
      </c>
      <c r="D4443">
        <v>133</v>
      </c>
      <c r="E4443">
        <f>IF(OR(B4443="vi",B4443="ii",B4443="pod"),(((D4443/100)*(C4443*VLOOKUP(B4443,'Poids des runes'!A:B,2,FALSE)))+1),(((D4443/100)*(C4443*VLOOKUP(B4443,'Poids des runes'!A:B,2,FALSE)))+1)/VLOOKUP(B4443,'Poids des runes'!A:B,2,FALSE))</f>
        <v>31.590000000000003</v>
      </c>
      <c r="F4443">
        <f t="shared" si="69"/>
        <v>31.590000000000003</v>
      </c>
    </row>
    <row r="4444" spans="1:6" x14ac:dyDescent="0.3">
      <c r="A4444" t="s">
        <v>995</v>
      </c>
      <c r="B4444" t="s">
        <v>2127</v>
      </c>
      <c r="C4444">
        <v>40.5</v>
      </c>
      <c r="D4444">
        <v>133</v>
      </c>
      <c r="E4444">
        <f>IF(OR(B4444="vi",B4444="ii",B4444="pod"),(((D4444/100)*(C4444*VLOOKUP(B4444,'Poids des runes'!A:B,2,FALSE)))+1),(((D4444/100)*(C4444*VLOOKUP(B4444,'Poids des runes'!A:B,2,FALSE)))+1)/VLOOKUP(B4444,'Poids des runes'!A:B,2,FALSE))</f>
        <v>54.865000000000002</v>
      </c>
      <c r="F4444">
        <f t="shared" si="69"/>
        <v>54.865000000000002</v>
      </c>
    </row>
    <row r="4445" spans="1:6" x14ac:dyDescent="0.3">
      <c r="A4445" t="s">
        <v>995</v>
      </c>
      <c r="B4445" t="s">
        <v>2129</v>
      </c>
      <c r="C4445">
        <v>20.5</v>
      </c>
      <c r="D4445">
        <v>133</v>
      </c>
      <c r="E4445">
        <f>IF(OR(B4445="vi",B4445="ii",B4445="pod"),(((D4445/100)*(C4445*VLOOKUP(B4445,'Poids des runes'!A:B,2,FALSE)))+1),(((D4445/100)*(C4445*VLOOKUP(B4445,'Poids des runes'!A:B,2,FALSE)))+1)/VLOOKUP(B4445,'Poids des runes'!A:B,2,FALSE))</f>
        <v>28.265000000000001</v>
      </c>
      <c r="F4445">
        <f t="shared" si="69"/>
        <v>28.265000000000001</v>
      </c>
    </row>
    <row r="4446" spans="1:6" x14ac:dyDescent="0.3">
      <c r="A4446" t="s">
        <v>995</v>
      </c>
      <c r="B4446" t="s">
        <v>2139</v>
      </c>
      <c r="C4446">
        <v>8</v>
      </c>
      <c r="D4446">
        <v>133</v>
      </c>
      <c r="E4446">
        <f>IF(OR(B4446="vi",B4446="ii",B4446="pod"),(((D4446/100)*(C4446*VLOOKUP(B4446,'Poids des runes'!A:B,2,FALSE)))+1),(((D4446/100)*(C4446*VLOOKUP(B4446,'Poids des runes'!A:B,2,FALSE)))+1)/VLOOKUP(B4446,'Poids des runes'!A:B,2,FALSE))</f>
        <v>11.14</v>
      </c>
      <c r="F4446">
        <f t="shared" si="69"/>
        <v>11.14</v>
      </c>
    </row>
    <row r="4447" spans="1:6" x14ac:dyDescent="0.3">
      <c r="A4447" t="s">
        <v>995</v>
      </c>
      <c r="B4447" t="s">
        <v>2150</v>
      </c>
      <c r="C4447">
        <v>1</v>
      </c>
      <c r="D4447">
        <v>133</v>
      </c>
      <c r="E4447">
        <f>IF(OR(B4447="vi",B4447="ii",B4447="pod"),(((D4447/100)*(C4447*VLOOKUP(B4447,'Poids des runes'!A:B,2,FALSE)))+1),(((D4447/100)*(C4447*VLOOKUP(B4447,'Poids des runes'!A:B,2,FALSE)))+1)/VLOOKUP(B4447,'Poids des runes'!A:B,2,FALSE))</f>
        <v>1.3633333333333335</v>
      </c>
      <c r="F4447">
        <f t="shared" si="69"/>
        <v>1.3633333333333335</v>
      </c>
    </row>
    <row r="4448" spans="1:6" x14ac:dyDescent="0.3">
      <c r="A4448" t="s">
        <v>995</v>
      </c>
      <c r="B4448" t="s">
        <v>2134</v>
      </c>
      <c r="C4448">
        <v>8</v>
      </c>
      <c r="D4448">
        <v>133</v>
      </c>
      <c r="E4448">
        <f>IF(OR(B4448="vi",B4448="ii",B4448="pod"),(((D4448/100)*(C4448*VLOOKUP(B4448,'Poids des runes'!A:B,2,FALSE)))+1),(((D4448/100)*(C4448*VLOOKUP(B4448,'Poids des runes'!A:B,2,FALSE)))+1)/VLOOKUP(B4448,'Poids des runes'!A:B,2,FALSE))</f>
        <v>10.690000000000001</v>
      </c>
      <c r="F4448">
        <f t="shared" si="69"/>
        <v>10.690000000000001</v>
      </c>
    </row>
    <row r="4449" spans="1:6" x14ac:dyDescent="0.3">
      <c r="A4449" t="s">
        <v>995</v>
      </c>
      <c r="B4449" t="s">
        <v>2161</v>
      </c>
      <c r="C4449">
        <v>13</v>
      </c>
      <c r="D4449">
        <v>133</v>
      </c>
      <c r="E4449">
        <f>IF(OR(B4449="vi",B4449="ii",B4449="pod"),(((D4449/100)*(C4449*VLOOKUP(B4449,'Poids des runes'!A:B,2,FALSE)))+1),(((D4449/100)*(C4449*VLOOKUP(B4449,'Poids des runes'!A:B,2,FALSE)))+1)/VLOOKUP(B4449,'Poids des runes'!A:B,2,FALSE))</f>
        <v>17.623333333333335</v>
      </c>
      <c r="F4449">
        <f t="shared" si="69"/>
        <v>17.623333333333335</v>
      </c>
    </row>
    <row r="4450" spans="1:6" x14ac:dyDescent="0.3">
      <c r="A4450" t="s">
        <v>995</v>
      </c>
      <c r="B4450" t="s">
        <v>2135</v>
      </c>
      <c r="C4450">
        <v>6.5</v>
      </c>
      <c r="D4450">
        <v>133</v>
      </c>
      <c r="E4450">
        <f>IF(OR(B4450="vi",B4450="ii",B4450="pod"),(((D4450/100)*(C4450*VLOOKUP(B4450,'Poids des runes'!A:B,2,FALSE)))+1),(((D4450/100)*(C4450*VLOOKUP(B4450,'Poids des runes'!A:B,2,FALSE)))+1)/VLOOKUP(B4450,'Poids des runes'!A:B,2,FALSE))</f>
        <v>8.8116666666666674</v>
      </c>
      <c r="F4450">
        <f t="shared" si="69"/>
        <v>8.8116666666666674</v>
      </c>
    </row>
    <row r="4451" spans="1:6" x14ac:dyDescent="0.3">
      <c r="A4451" t="s">
        <v>995</v>
      </c>
      <c r="B4451" t="s">
        <v>2136</v>
      </c>
      <c r="C4451">
        <v>8</v>
      </c>
      <c r="D4451">
        <v>133</v>
      </c>
      <c r="E4451">
        <f>IF(OR(B4451="vi",B4451="ii",B4451="pod"),(((D4451/100)*(C4451*VLOOKUP(B4451,'Poids des runes'!A:B,2,FALSE)))+1),(((D4451/100)*(C4451*VLOOKUP(B4451,'Poids des runes'!A:B,2,FALSE)))+1)/VLOOKUP(B4451,'Poids des runes'!A:B,2,FALSE))</f>
        <v>11.14</v>
      </c>
      <c r="F4451">
        <f t="shared" si="69"/>
        <v>11.14</v>
      </c>
    </row>
    <row r="4452" spans="1:6" x14ac:dyDescent="0.3">
      <c r="A4452" t="s">
        <v>995</v>
      </c>
      <c r="B4452" t="s">
        <v>2145</v>
      </c>
      <c r="C4452">
        <v>8</v>
      </c>
      <c r="D4452">
        <v>133</v>
      </c>
      <c r="E4452">
        <f>IF(OR(B4452="vi",B4452="ii",B4452="pod"),(((D4452/100)*(C4452*VLOOKUP(B4452,'Poids des runes'!A:B,2,FALSE)))+1),(((D4452/100)*(C4452*VLOOKUP(B4452,'Poids des runes'!A:B,2,FALSE)))+1)/VLOOKUP(B4452,'Poids des runes'!A:B,2,FALSE))</f>
        <v>11.14</v>
      </c>
      <c r="F4452">
        <f t="shared" si="69"/>
        <v>11.14</v>
      </c>
    </row>
    <row r="4453" spans="1:6" x14ac:dyDescent="0.3">
      <c r="A4453" t="s">
        <v>996</v>
      </c>
      <c r="B4453" t="s">
        <v>2128</v>
      </c>
      <c r="C4453">
        <v>175.5</v>
      </c>
      <c r="D4453">
        <v>134</v>
      </c>
      <c r="E4453">
        <f>IF(OR(B4453="vi",B4453="ii",B4453="pod"),(((D4453/100)*(C4453*VLOOKUP(B4453,'Poids des runes'!A:B,2,FALSE)))+1),(((D4453/100)*(C4453*VLOOKUP(B4453,'Poids des runes'!A:B,2,FALSE)))+1)/VLOOKUP(B4453,'Poids des runes'!A:B,2,FALSE))</f>
        <v>48.034000000000006</v>
      </c>
      <c r="F4453">
        <f t="shared" si="69"/>
        <v>48.034000000000006</v>
      </c>
    </row>
    <row r="4454" spans="1:6" x14ac:dyDescent="0.3">
      <c r="A4454" t="s">
        <v>996</v>
      </c>
      <c r="B4454" t="s">
        <v>2130</v>
      </c>
      <c r="C4454">
        <v>33</v>
      </c>
      <c r="D4454">
        <v>134</v>
      </c>
      <c r="E4454">
        <f>IF(OR(B4454="vi",B4454="ii",B4454="pod"),(((D4454/100)*(C4454*VLOOKUP(B4454,'Poids des runes'!A:B,2,FALSE)))+1),(((D4454/100)*(C4454*VLOOKUP(B4454,'Poids des runes'!A:B,2,FALSE)))+1)/VLOOKUP(B4454,'Poids des runes'!A:B,2,FALSE))</f>
        <v>45.220000000000006</v>
      </c>
      <c r="F4454">
        <f t="shared" si="69"/>
        <v>45.220000000000006</v>
      </c>
    </row>
    <row r="4455" spans="1:6" x14ac:dyDescent="0.3">
      <c r="A4455" t="s">
        <v>996</v>
      </c>
      <c r="B4455" t="s">
        <v>2127</v>
      </c>
      <c r="C4455">
        <v>33</v>
      </c>
      <c r="D4455">
        <v>134</v>
      </c>
      <c r="E4455">
        <f>IF(OR(B4455="vi",B4455="ii",B4455="pod"),(((D4455/100)*(C4455*VLOOKUP(B4455,'Poids des runes'!A:B,2,FALSE)))+1),(((D4455/100)*(C4455*VLOOKUP(B4455,'Poids des runes'!A:B,2,FALSE)))+1)/VLOOKUP(B4455,'Poids des runes'!A:B,2,FALSE))</f>
        <v>45.220000000000006</v>
      </c>
      <c r="F4455">
        <f t="shared" si="69"/>
        <v>45.220000000000006</v>
      </c>
    </row>
    <row r="4456" spans="1:6" x14ac:dyDescent="0.3">
      <c r="A4456" t="s">
        <v>996</v>
      </c>
      <c r="B4456" t="s">
        <v>2129</v>
      </c>
      <c r="C4456">
        <v>25.5</v>
      </c>
      <c r="D4456">
        <v>134</v>
      </c>
      <c r="E4456">
        <f>IF(OR(B4456="vi",B4456="ii",B4456="pod"),(((D4456/100)*(C4456*VLOOKUP(B4456,'Poids des runes'!A:B,2,FALSE)))+1),(((D4456/100)*(C4456*VLOOKUP(B4456,'Poids des runes'!A:B,2,FALSE)))+1)/VLOOKUP(B4456,'Poids des runes'!A:B,2,FALSE))</f>
        <v>35.17</v>
      </c>
      <c r="F4456">
        <f t="shared" si="69"/>
        <v>35.17</v>
      </c>
    </row>
    <row r="4457" spans="1:6" x14ac:dyDescent="0.3">
      <c r="A4457" t="s">
        <v>996</v>
      </c>
      <c r="B4457" t="s">
        <v>2139</v>
      </c>
      <c r="C4457">
        <v>13</v>
      </c>
      <c r="D4457">
        <v>134</v>
      </c>
      <c r="E4457">
        <f>IF(OR(B4457="vi",B4457="ii",B4457="pod"),(((D4457/100)*(C4457*VLOOKUP(B4457,'Poids des runes'!A:B,2,FALSE)))+1),(((D4457/100)*(C4457*VLOOKUP(B4457,'Poids des runes'!A:B,2,FALSE)))+1)/VLOOKUP(B4457,'Poids des runes'!A:B,2,FALSE))</f>
        <v>17.920000000000002</v>
      </c>
      <c r="F4457">
        <f t="shared" si="69"/>
        <v>17.920000000000002</v>
      </c>
    </row>
    <row r="4458" spans="1:6" x14ac:dyDescent="0.3">
      <c r="A4458" t="s">
        <v>996</v>
      </c>
      <c r="B4458" t="s">
        <v>2134</v>
      </c>
      <c r="C4458">
        <v>7</v>
      </c>
      <c r="D4458">
        <v>134</v>
      </c>
      <c r="E4458">
        <f>IF(OR(B4458="vi",B4458="ii",B4458="pod"),(((D4458/100)*(C4458*VLOOKUP(B4458,'Poids des runes'!A:B,2,FALSE)))+1),(((D4458/100)*(C4458*VLOOKUP(B4458,'Poids des runes'!A:B,2,FALSE)))+1)/VLOOKUP(B4458,'Poids des runes'!A:B,2,FALSE))</f>
        <v>9.4300000000000015</v>
      </c>
      <c r="F4458">
        <f t="shared" si="69"/>
        <v>9.4300000000000015</v>
      </c>
    </row>
    <row r="4459" spans="1:6" x14ac:dyDescent="0.3">
      <c r="A4459" t="s">
        <v>996</v>
      </c>
      <c r="B4459" t="s">
        <v>2161</v>
      </c>
      <c r="C4459">
        <v>13</v>
      </c>
      <c r="D4459">
        <v>134</v>
      </c>
      <c r="E4459">
        <f>IF(OR(B4459="vi",B4459="ii",B4459="pod"),(((D4459/100)*(C4459*VLOOKUP(B4459,'Poids des runes'!A:B,2,FALSE)))+1),(((D4459/100)*(C4459*VLOOKUP(B4459,'Poids des runes'!A:B,2,FALSE)))+1)/VLOOKUP(B4459,'Poids des runes'!A:B,2,FALSE))</f>
        <v>17.753333333333334</v>
      </c>
      <c r="F4459">
        <f t="shared" si="69"/>
        <v>17.753333333333334</v>
      </c>
    </row>
    <row r="4460" spans="1:6" x14ac:dyDescent="0.3">
      <c r="A4460" t="s">
        <v>996</v>
      </c>
      <c r="B4460" t="s">
        <v>2148</v>
      </c>
      <c r="C4460">
        <v>8</v>
      </c>
      <c r="D4460">
        <v>134</v>
      </c>
      <c r="E4460">
        <f>IF(OR(B4460="vi",B4460="ii",B4460="pod"),(((D4460/100)*(C4460*VLOOKUP(B4460,'Poids des runes'!A:B,2,FALSE)))+1),(((D4460/100)*(C4460*VLOOKUP(B4460,'Poids des runes'!A:B,2,FALSE)))+1)/VLOOKUP(B4460,'Poids des runes'!A:B,2,FALSE))</f>
        <v>10.886666666666668</v>
      </c>
      <c r="F4460">
        <f t="shared" si="69"/>
        <v>10.886666666666668</v>
      </c>
    </row>
    <row r="4461" spans="1:6" x14ac:dyDescent="0.3">
      <c r="A4461" t="s">
        <v>996</v>
      </c>
      <c r="B4461" t="s">
        <v>2157</v>
      </c>
      <c r="C4461">
        <v>8</v>
      </c>
      <c r="D4461">
        <v>134</v>
      </c>
      <c r="E4461">
        <f>IF(OR(B4461="vi",B4461="ii",B4461="pod"),(((D4461/100)*(C4461*VLOOKUP(B4461,'Poids des runes'!A:B,2,FALSE)))+1),(((D4461/100)*(C4461*VLOOKUP(B4461,'Poids des runes'!A:B,2,FALSE)))+1)/VLOOKUP(B4461,'Poids des runes'!A:B,2,FALSE))</f>
        <v>10.886666666666668</v>
      </c>
      <c r="F4461">
        <f t="shared" si="69"/>
        <v>10.886666666666668</v>
      </c>
    </row>
    <row r="4462" spans="1:6" x14ac:dyDescent="0.3">
      <c r="A4462" t="s">
        <v>997</v>
      </c>
      <c r="B4462" t="s">
        <v>2128</v>
      </c>
      <c r="C4462">
        <v>350.5</v>
      </c>
      <c r="D4462">
        <v>134</v>
      </c>
      <c r="E4462">
        <f>IF(OR(B4462="vi",B4462="ii",B4462="pod"),(((D4462/100)*(C4462*VLOOKUP(B4462,'Poids des runes'!A:B,2,FALSE)))+1),(((D4462/100)*(C4462*VLOOKUP(B4462,'Poids des runes'!A:B,2,FALSE)))+1)/VLOOKUP(B4462,'Poids des runes'!A:B,2,FALSE))</f>
        <v>94.934000000000012</v>
      </c>
      <c r="F4462">
        <f t="shared" si="69"/>
        <v>94.934000000000012</v>
      </c>
    </row>
    <row r="4463" spans="1:6" x14ac:dyDescent="0.3">
      <c r="A4463" t="s">
        <v>997</v>
      </c>
      <c r="B4463" t="s">
        <v>2130</v>
      </c>
      <c r="C4463">
        <v>70.5</v>
      </c>
      <c r="D4463">
        <v>134</v>
      </c>
      <c r="E4463">
        <f>IF(OR(B4463="vi",B4463="ii",B4463="pod"),(((D4463/100)*(C4463*VLOOKUP(B4463,'Poids des runes'!A:B,2,FALSE)))+1),(((D4463/100)*(C4463*VLOOKUP(B4463,'Poids des runes'!A:B,2,FALSE)))+1)/VLOOKUP(B4463,'Poids des runes'!A:B,2,FALSE))</f>
        <v>95.47</v>
      </c>
      <c r="F4463">
        <f t="shared" si="69"/>
        <v>95.47</v>
      </c>
    </row>
    <row r="4464" spans="1:6" x14ac:dyDescent="0.3">
      <c r="A4464" t="s">
        <v>997</v>
      </c>
      <c r="B4464" t="s">
        <v>2134</v>
      </c>
      <c r="C4464">
        <v>8</v>
      </c>
      <c r="D4464">
        <v>134</v>
      </c>
      <c r="E4464">
        <f>IF(OR(B4464="vi",B4464="ii",B4464="pod"),(((D4464/100)*(C4464*VLOOKUP(B4464,'Poids des runes'!A:B,2,FALSE)))+1),(((D4464/100)*(C4464*VLOOKUP(B4464,'Poids des runes'!A:B,2,FALSE)))+1)/VLOOKUP(B4464,'Poids des runes'!A:B,2,FALSE))</f>
        <v>10.77</v>
      </c>
      <c r="F4464">
        <f t="shared" si="69"/>
        <v>10.77</v>
      </c>
    </row>
    <row r="4465" spans="1:6" x14ac:dyDescent="0.3">
      <c r="A4465" t="s">
        <v>997</v>
      </c>
      <c r="B4465" t="s">
        <v>2161</v>
      </c>
      <c r="C4465">
        <v>8</v>
      </c>
      <c r="D4465">
        <v>134</v>
      </c>
      <c r="E4465">
        <f>IF(OR(B4465="vi",B4465="ii",B4465="pod"),(((D4465/100)*(C4465*VLOOKUP(B4465,'Poids des runes'!A:B,2,FALSE)))+1),(((D4465/100)*(C4465*VLOOKUP(B4465,'Poids des runes'!A:B,2,FALSE)))+1)/VLOOKUP(B4465,'Poids des runes'!A:B,2,FALSE))</f>
        <v>11.053333333333335</v>
      </c>
      <c r="F4465">
        <f t="shared" si="69"/>
        <v>11.053333333333335</v>
      </c>
    </row>
    <row r="4466" spans="1:6" x14ac:dyDescent="0.3">
      <c r="A4466" t="s">
        <v>997</v>
      </c>
      <c r="B4466" t="s">
        <v>2148</v>
      </c>
      <c r="C4466">
        <v>8</v>
      </c>
      <c r="D4466">
        <v>134</v>
      </c>
      <c r="E4466">
        <f>IF(OR(B4466="vi",B4466="ii",B4466="pod"),(((D4466/100)*(C4466*VLOOKUP(B4466,'Poids des runes'!A:B,2,FALSE)))+1),(((D4466/100)*(C4466*VLOOKUP(B4466,'Poids des runes'!A:B,2,FALSE)))+1)/VLOOKUP(B4466,'Poids des runes'!A:B,2,FALSE))</f>
        <v>10.886666666666668</v>
      </c>
      <c r="F4466">
        <f t="shared" si="69"/>
        <v>10.886666666666668</v>
      </c>
    </row>
    <row r="4467" spans="1:6" x14ac:dyDescent="0.3">
      <c r="A4467" t="s">
        <v>997</v>
      </c>
      <c r="B4467" t="s">
        <v>2137</v>
      </c>
      <c r="C4467">
        <v>8</v>
      </c>
      <c r="D4467">
        <v>134</v>
      </c>
      <c r="E4467">
        <f>IF(OR(B4467="vi",B4467="ii",B4467="pod"),(((D4467/100)*(C4467*VLOOKUP(B4467,'Poids des runes'!A:B,2,FALSE)))+1),(((D4467/100)*(C4467*VLOOKUP(B4467,'Poids des runes'!A:B,2,FALSE)))+1)/VLOOKUP(B4467,'Poids des runes'!A:B,2,FALSE))</f>
        <v>11.22</v>
      </c>
      <c r="F4467">
        <f t="shared" si="69"/>
        <v>11.22</v>
      </c>
    </row>
    <row r="4468" spans="1:6" x14ac:dyDescent="0.3">
      <c r="A4468" t="s">
        <v>998</v>
      </c>
      <c r="B4468" t="s">
        <v>2128</v>
      </c>
      <c r="C4468">
        <v>125.5</v>
      </c>
      <c r="D4468">
        <v>134</v>
      </c>
      <c r="E4468">
        <f>IF(OR(B4468="vi",B4468="ii",B4468="pod"),(((D4468/100)*(C4468*VLOOKUP(B4468,'Poids des runes'!A:B,2,FALSE)))+1),(((D4468/100)*(C4468*VLOOKUP(B4468,'Poids des runes'!A:B,2,FALSE)))+1)/VLOOKUP(B4468,'Poids des runes'!A:B,2,FALSE))</f>
        <v>34.634000000000007</v>
      </c>
      <c r="F4468">
        <f t="shared" si="69"/>
        <v>34.634000000000007</v>
      </c>
    </row>
    <row r="4469" spans="1:6" x14ac:dyDescent="0.3">
      <c r="A4469" t="s">
        <v>998</v>
      </c>
      <c r="B4469" t="s">
        <v>2126</v>
      </c>
      <c r="C4469">
        <v>23</v>
      </c>
      <c r="D4469">
        <v>134</v>
      </c>
      <c r="E4469">
        <f>IF(OR(B4469="vi",B4469="ii",B4469="pod"),(((D4469/100)*(C4469*VLOOKUP(B4469,'Poids des runes'!A:B,2,FALSE)))+1),(((D4469/100)*(C4469*VLOOKUP(B4469,'Poids des runes'!A:B,2,FALSE)))+1)/VLOOKUP(B4469,'Poids des runes'!A:B,2,FALSE))</f>
        <v>31.82</v>
      </c>
      <c r="F4469">
        <f t="shared" si="69"/>
        <v>31.82</v>
      </c>
    </row>
    <row r="4470" spans="1:6" x14ac:dyDescent="0.3">
      <c r="A4470" t="s">
        <v>998</v>
      </c>
      <c r="B4470" t="s">
        <v>2127</v>
      </c>
      <c r="C4470">
        <v>33</v>
      </c>
      <c r="D4470">
        <v>134</v>
      </c>
      <c r="E4470">
        <f>IF(OR(B4470="vi",B4470="ii",B4470="pod"),(((D4470/100)*(C4470*VLOOKUP(B4470,'Poids des runes'!A:B,2,FALSE)))+1),(((D4470/100)*(C4470*VLOOKUP(B4470,'Poids des runes'!A:B,2,FALSE)))+1)/VLOOKUP(B4470,'Poids des runes'!A:B,2,FALSE))</f>
        <v>45.220000000000006</v>
      </c>
      <c r="F4470">
        <f t="shared" si="69"/>
        <v>45.220000000000006</v>
      </c>
    </row>
    <row r="4471" spans="1:6" x14ac:dyDescent="0.3">
      <c r="A4471" t="s">
        <v>998</v>
      </c>
      <c r="B4471" t="s">
        <v>2129</v>
      </c>
      <c r="C4471">
        <v>20.5</v>
      </c>
      <c r="D4471">
        <v>134</v>
      </c>
      <c r="E4471">
        <f>IF(OR(B4471="vi",B4471="ii",B4471="pod"),(((D4471/100)*(C4471*VLOOKUP(B4471,'Poids des runes'!A:B,2,FALSE)))+1),(((D4471/100)*(C4471*VLOOKUP(B4471,'Poids des runes'!A:B,2,FALSE)))+1)/VLOOKUP(B4471,'Poids des runes'!A:B,2,FALSE))</f>
        <v>28.470000000000002</v>
      </c>
      <c r="F4471">
        <f t="shared" si="69"/>
        <v>28.470000000000002</v>
      </c>
    </row>
    <row r="4472" spans="1:6" x14ac:dyDescent="0.3">
      <c r="A4472" t="s">
        <v>998</v>
      </c>
      <c r="B4472" t="s">
        <v>2152</v>
      </c>
      <c r="C4472">
        <v>1</v>
      </c>
      <c r="D4472">
        <v>134</v>
      </c>
      <c r="E4472">
        <f>IF(OR(B4472="vi",B4472="ii",B4472="pod"),(((D4472/100)*(C4472*VLOOKUP(B4472,'Poids des runes'!A:B,2,FALSE)))+1),(((D4472/100)*(C4472*VLOOKUP(B4472,'Poids des runes'!A:B,2,FALSE)))+1)/VLOOKUP(B4472,'Poids des runes'!A:B,2,FALSE))</f>
        <v>1.35</v>
      </c>
      <c r="F4472">
        <f t="shared" si="69"/>
        <v>1.35</v>
      </c>
    </row>
    <row r="4473" spans="1:6" x14ac:dyDescent="0.3">
      <c r="A4473" t="s">
        <v>998</v>
      </c>
      <c r="B4473" t="s">
        <v>2134</v>
      </c>
      <c r="C4473">
        <v>8</v>
      </c>
      <c r="D4473">
        <v>134</v>
      </c>
      <c r="E4473">
        <f>IF(OR(B4473="vi",B4473="ii",B4473="pod"),(((D4473/100)*(C4473*VLOOKUP(B4473,'Poids des runes'!A:B,2,FALSE)))+1),(((D4473/100)*(C4473*VLOOKUP(B4473,'Poids des runes'!A:B,2,FALSE)))+1)/VLOOKUP(B4473,'Poids des runes'!A:B,2,FALSE))</f>
        <v>10.77</v>
      </c>
      <c r="F4473">
        <f t="shared" si="69"/>
        <v>10.77</v>
      </c>
    </row>
    <row r="4474" spans="1:6" x14ac:dyDescent="0.3">
      <c r="A4474" t="s">
        <v>998</v>
      </c>
      <c r="B4474" t="s">
        <v>2161</v>
      </c>
      <c r="C4474">
        <v>13</v>
      </c>
      <c r="D4474">
        <v>134</v>
      </c>
      <c r="E4474">
        <f>IF(OR(B4474="vi",B4474="ii",B4474="pod"),(((D4474/100)*(C4474*VLOOKUP(B4474,'Poids des runes'!A:B,2,FALSE)))+1),(((D4474/100)*(C4474*VLOOKUP(B4474,'Poids des runes'!A:B,2,FALSE)))+1)/VLOOKUP(B4474,'Poids des runes'!A:B,2,FALSE))</f>
        <v>17.753333333333334</v>
      </c>
      <c r="F4474">
        <f t="shared" si="69"/>
        <v>17.753333333333334</v>
      </c>
    </row>
    <row r="4475" spans="1:6" x14ac:dyDescent="0.3">
      <c r="A4475" t="s">
        <v>998</v>
      </c>
      <c r="B4475" t="s">
        <v>2132</v>
      </c>
      <c r="C4475">
        <v>300.5</v>
      </c>
      <c r="D4475">
        <v>134</v>
      </c>
      <c r="E4475">
        <f>IF(OR(B4475="vi",B4475="ii",B4475="pod"),(((D4475/100)*(C4475*VLOOKUP(B4475,'Poids des runes'!A:B,2,FALSE)))+1),(((D4475/100)*(C4475*VLOOKUP(B4475,'Poids des runes'!A:B,2,FALSE)))+1)/VLOOKUP(B4475,'Poids des runes'!A:B,2,FALSE))</f>
        <v>41.267000000000003</v>
      </c>
      <c r="F4475">
        <f t="shared" si="69"/>
        <v>41.267000000000003</v>
      </c>
    </row>
    <row r="4476" spans="1:6" x14ac:dyDescent="0.3">
      <c r="A4476" t="s">
        <v>998</v>
      </c>
      <c r="B4476" t="s">
        <v>2156</v>
      </c>
      <c r="C4476">
        <v>8</v>
      </c>
      <c r="D4476">
        <v>134</v>
      </c>
      <c r="E4476">
        <f>IF(OR(B4476="vi",B4476="ii",B4476="pod"),(((D4476/100)*(C4476*VLOOKUP(B4476,'Poids des runes'!A:B,2,FALSE)))+1),(((D4476/100)*(C4476*VLOOKUP(B4476,'Poids des runes'!A:B,2,FALSE)))+1)/VLOOKUP(B4476,'Poids des runes'!A:B,2,FALSE))</f>
        <v>10.886666666666668</v>
      </c>
      <c r="F4476">
        <f t="shared" si="69"/>
        <v>10.886666666666668</v>
      </c>
    </row>
    <row r="4477" spans="1:6" x14ac:dyDescent="0.3">
      <c r="A4477" t="s">
        <v>999</v>
      </c>
      <c r="B4477" t="s">
        <v>2128</v>
      </c>
      <c r="C4477">
        <v>145.5</v>
      </c>
      <c r="D4477">
        <v>134</v>
      </c>
      <c r="E4477">
        <f>IF(OR(B4477="vi",B4477="ii",B4477="pod"),(((D4477/100)*(C4477*VLOOKUP(B4477,'Poids des runes'!A:B,2,FALSE)))+1),(((D4477/100)*(C4477*VLOOKUP(B4477,'Poids des runes'!A:B,2,FALSE)))+1)/VLOOKUP(B4477,'Poids des runes'!A:B,2,FALSE))</f>
        <v>39.994000000000007</v>
      </c>
      <c r="F4477">
        <f t="shared" si="69"/>
        <v>39.994000000000007</v>
      </c>
    </row>
    <row r="4478" spans="1:6" x14ac:dyDescent="0.3">
      <c r="A4478" t="s">
        <v>999</v>
      </c>
      <c r="B4478" t="s">
        <v>2126</v>
      </c>
      <c r="C4478">
        <v>28</v>
      </c>
      <c r="D4478">
        <v>134</v>
      </c>
      <c r="E4478">
        <f>IF(OR(B4478="vi",B4478="ii",B4478="pod"),(((D4478/100)*(C4478*VLOOKUP(B4478,'Poids des runes'!A:B,2,FALSE)))+1),(((D4478/100)*(C4478*VLOOKUP(B4478,'Poids des runes'!A:B,2,FALSE)))+1)/VLOOKUP(B4478,'Poids des runes'!A:B,2,FALSE))</f>
        <v>38.520000000000003</v>
      </c>
      <c r="F4478">
        <f t="shared" si="69"/>
        <v>38.520000000000003</v>
      </c>
    </row>
    <row r="4479" spans="1:6" x14ac:dyDescent="0.3">
      <c r="A4479" t="s">
        <v>999</v>
      </c>
      <c r="B4479" t="s">
        <v>2127</v>
      </c>
      <c r="C4479">
        <v>33</v>
      </c>
      <c r="D4479">
        <v>134</v>
      </c>
      <c r="E4479">
        <f>IF(OR(B4479="vi",B4479="ii",B4479="pod"),(((D4479/100)*(C4479*VLOOKUP(B4479,'Poids des runes'!A:B,2,FALSE)))+1),(((D4479/100)*(C4479*VLOOKUP(B4479,'Poids des runes'!A:B,2,FALSE)))+1)/VLOOKUP(B4479,'Poids des runes'!A:B,2,FALSE))</f>
        <v>45.220000000000006</v>
      </c>
      <c r="F4479">
        <f t="shared" si="69"/>
        <v>45.220000000000006</v>
      </c>
    </row>
    <row r="4480" spans="1:6" x14ac:dyDescent="0.3">
      <c r="A4480" t="s">
        <v>999</v>
      </c>
      <c r="B4480" t="s">
        <v>2129</v>
      </c>
      <c r="C4480">
        <v>20.5</v>
      </c>
      <c r="D4480">
        <v>134</v>
      </c>
      <c r="E4480">
        <f>IF(OR(B4480="vi",B4480="ii",B4480="pod"),(((D4480/100)*(C4480*VLOOKUP(B4480,'Poids des runes'!A:B,2,FALSE)))+1),(((D4480/100)*(C4480*VLOOKUP(B4480,'Poids des runes'!A:B,2,FALSE)))+1)/VLOOKUP(B4480,'Poids des runes'!A:B,2,FALSE))</f>
        <v>28.470000000000002</v>
      </c>
      <c r="F4480">
        <f t="shared" si="69"/>
        <v>28.470000000000002</v>
      </c>
    </row>
    <row r="4481" spans="1:6" x14ac:dyDescent="0.3">
      <c r="A4481" t="s">
        <v>999</v>
      </c>
      <c r="B4481" t="s">
        <v>2154</v>
      </c>
      <c r="C4481">
        <v>1</v>
      </c>
      <c r="D4481">
        <v>134</v>
      </c>
      <c r="E4481">
        <f>IF(OR(B4481="vi",B4481="ii",B4481="pod"),(((D4481/100)*(C4481*VLOOKUP(B4481,'Poids des runes'!A:B,2,FALSE)))+1),(((D4481/100)*(C4481*VLOOKUP(B4481,'Poids des runes'!A:B,2,FALSE)))+1)/VLOOKUP(B4481,'Poids des runes'!A:B,2,FALSE))</f>
        <v>1.3511111111111112</v>
      </c>
      <c r="F4481">
        <f t="shared" si="69"/>
        <v>1.3511111111111112</v>
      </c>
    </row>
    <row r="4482" spans="1:6" x14ac:dyDescent="0.3">
      <c r="A4482" t="s">
        <v>999</v>
      </c>
      <c r="B4482" t="s">
        <v>2134</v>
      </c>
      <c r="C4482">
        <v>6</v>
      </c>
      <c r="D4482">
        <v>134</v>
      </c>
      <c r="E4482">
        <f>IF(OR(B4482="vi",B4482="ii",B4482="pod"),(((D4482/100)*(C4482*VLOOKUP(B4482,'Poids des runes'!A:B,2,FALSE)))+1),(((D4482/100)*(C4482*VLOOKUP(B4482,'Poids des runes'!A:B,2,FALSE)))+1)/VLOOKUP(B4482,'Poids des runes'!A:B,2,FALSE))</f>
        <v>8.09</v>
      </c>
      <c r="F4482">
        <f t="shared" si="69"/>
        <v>8.09</v>
      </c>
    </row>
    <row r="4483" spans="1:6" x14ac:dyDescent="0.3">
      <c r="A4483" t="s">
        <v>999</v>
      </c>
      <c r="B4483" t="s">
        <v>2149</v>
      </c>
      <c r="C4483">
        <v>6</v>
      </c>
      <c r="D4483">
        <v>134</v>
      </c>
      <c r="E4483">
        <f>IF(OR(B4483="vi",B4483="ii",B4483="pod"),(((D4483/100)*(C4483*VLOOKUP(B4483,'Poids des runes'!A:B,2,FALSE)))+1),(((D4483/100)*(C4483*VLOOKUP(B4483,'Poids des runes'!A:B,2,FALSE)))+1)/VLOOKUP(B4483,'Poids des runes'!A:B,2,FALSE))</f>
        <v>8.14</v>
      </c>
      <c r="F4483">
        <f t="shared" ref="F4483:F4546" si="70">E4483</f>
        <v>8.14</v>
      </c>
    </row>
    <row r="4484" spans="1:6" x14ac:dyDescent="0.3">
      <c r="A4484" t="s">
        <v>999</v>
      </c>
      <c r="B4484" t="s">
        <v>2161</v>
      </c>
      <c r="C4484">
        <v>8</v>
      </c>
      <c r="D4484">
        <v>134</v>
      </c>
      <c r="E4484">
        <f>IF(OR(B4484="vi",B4484="ii",B4484="pod"),(((D4484/100)*(C4484*VLOOKUP(B4484,'Poids des runes'!A:B,2,FALSE)))+1),(((D4484/100)*(C4484*VLOOKUP(B4484,'Poids des runes'!A:B,2,FALSE)))+1)/VLOOKUP(B4484,'Poids des runes'!A:B,2,FALSE))</f>
        <v>11.053333333333335</v>
      </c>
      <c r="F4484">
        <f t="shared" si="70"/>
        <v>11.053333333333335</v>
      </c>
    </row>
    <row r="4485" spans="1:6" x14ac:dyDescent="0.3">
      <c r="A4485" t="s">
        <v>999</v>
      </c>
      <c r="B4485" t="s">
        <v>2156</v>
      </c>
      <c r="C4485">
        <v>5</v>
      </c>
      <c r="D4485">
        <v>134</v>
      </c>
      <c r="E4485">
        <f>IF(OR(B4485="vi",B4485="ii",B4485="pod"),(((D4485/100)*(C4485*VLOOKUP(B4485,'Poids des runes'!A:B,2,FALSE)))+1),(((D4485/100)*(C4485*VLOOKUP(B4485,'Poids des runes'!A:B,2,FALSE)))+1)/VLOOKUP(B4485,'Poids des runes'!A:B,2,FALSE))</f>
        <v>6.8666666666666671</v>
      </c>
      <c r="F4485">
        <f t="shared" si="70"/>
        <v>6.8666666666666671</v>
      </c>
    </row>
    <row r="4486" spans="1:6" x14ac:dyDescent="0.3">
      <c r="A4486" t="s">
        <v>999</v>
      </c>
      <c r="B4486" t="s">
        <v>2148</v>
      </c>
      <c r="C4486">
        <v>5</v>
      </c>
      <c r="D4486">
        <v>134</v>
      </c>
      <c r="E4486">
        <f>IF(OR(B4486="vi",B4486="ii",B4486="pod"),(((D4486/100)*(C4486*VLOOKUP(B4486,'Poids des runes'!A:B,2,FALSE)))+1),(((D4486/100)*(C4486*VLOOKUP(B4486,'Poids des runes'!A:B,2,FALSE)))+1)/VLOOKUP(B4486,'Poids des runes'!A:B,2,FALSE))</f>
        <v>6.8666666666666671</v>
      </c>
      <c r="F4486">
        <f t="shared" si="70"/>
        <v>6.8666666666666671</v>
      </c>
    </row>
    <row r="4487" spans="1:6" x14ac:dyDescent="0.3">
      <c r="A4487" t="s">
        <v>999</v>
      </c>
      <c r="B4487" t="s">
        <v>2136</v>
      </c>
      <c r="C4487">
        <v>5</v>
      </c>
      <c r="D4487">
        <v>134</v>
      </c>
      <c r="E4487">
        <f>IF(OR(B4487="vi",B4487="ii",B4487="pod"),(((D4487/100)*(C4487*VLOOKUP(B4487,'Poids des runes'!A:B,2,FALSE)))+1),(((D4487/100)*(C4487*VLOOKUP(B4487,'Poids des runes'!A:B,2,FALSE)))+1)/VLOOKUP(B4487,'Poids des runes'!A:B,2,FALSE))</f>
        <v>7.2</v>
      </c>
      <c r="F4487">
        <f t="shared" si="70"/>
        <v>7.2</v>
      </c>
    </row>
    <row r="4488" spans="1:6" x14ac:dyDescent="0.3">
      <c r="A4488" t="s">
        <v>1000</v>
      </c>
      <c r="B4488" t="s">
        <v>2128</v>
      </c>
      <c r="C4488">
        <v>125.5</v>
      </c>
      <c r="D4488">
        <v>135</v>
      </c>
      <c r="E4488">
        <f>IF(OR(B4488="vi",B4488="ii",B4488="pod"),(((D4488/100)*(C4488*VLOOKUP(B4488,'Poids des runes'!A:B,2,FALSE)))+1),(((D4488/100)*(C4488*VLOOKUP(B4488,'Poids des runes'!A:B,2,FALSE)))+1)/VLOOKUP(B4488,'Poids des runes'!A:B,2,FALSE))</f>
        <v>34.885000000000005</v>
      </c>
      <c r="F4488">
        <f t="shared" si="70"/>
        <v>34.885000000000005</v>
      </c>
    </row>
    <row r="4489" spans="1:6" x14ac:dyDescent="0.3">
      <c r="A4489" t="s">
        <v>1000</v>
      </c>
      <c r="B4489" t="s">
        <v>2130</v>
      </c>
      <c r="C4489">
        <v>25.5</v>
      </c>
      <c r="D4489">
        <v>135</v>
      </c>
      <c r="E4489">
        <f>IF(OR(B4489="vi",B4489="ii",B4489="pod"),(((D4489/100)*(C4489*VLOOKUP(B4489,'Poids des runes'!A:B,2,FALSE)))+1),(((D4489/100)*(C4489*VLOOKUP(B4489,'Poids des runes'!A:B,2,FALSE)))+1)/VLOOKUP(B4489,'Poids des runes'!A:B,2,FALSE))</f>
        <v>35.425000000000004</v>
      </c>
      <c r="F4489">
        <f t="shared" si="70"/>
        <v>35.425000000000004</v>
      </c>
    </row>
    <row r="4490" spans="1:6" x14ac:dyDescent="0.3">
      <c r="A4490" t="s">
        <v>1000</v>
      </c>
      <c r="B4490" t="s">
        <v>2127</v>
      </c>
      <c r="C4490">
        <v>25.5</v>
      </c>
      <c r="D4490">
        <v>135</v>
      </c>
      <c r="E4490">
        <f>IF(OR(B4490="vi",B4490="ii",B4490="pod"),(((D4490/100)*(C4490*VLOOKUP(B4490,'Poids des runes'!A:B,2,FALSE)))+1),(((D4490/100)*(C4490*VLOOKUP(B4490,'Poids des runes'!A:B,2,FALSE)))+1)/VLOOKUP(B4490,'Poids des runes'!A:B,2,FALSE))</f>
        <v>35.425000000000004</v>
      </c>
      <c r="F4490">
        <f t="shared" si="70"/>
        <v>35.425000000000004</v>
      </c>
    </row>
    <row r="4491" spans="1:6" x14ac:dyDescent="0.3">
      <c r="A4491" t="s">
        <v>1000</v>
      </c>
      <c r="B4491" t="s">
        <v>2151</v>
      </c>
      <c r="C4491">
        <v>3.5</v>
      </c>
      <c r="D4491">
        <v>135</v>
      </c>
      <c r="E4491">
        <f>IF(OR(B4491="vi",B4491="ii",B4491="pod"),(((D4491/100)*(C4491*VLOOKUP(B4491,'Poids des runes'!A:B,2,FALSE)))+1),(((D4491/100)*(C4491*VLOOKUP(B4491,'Poids des runes'!A:B,2,FALSE)))+1)/VLOOKUP(B4491,'Poids des runes'!A:B,2,FALSE))</f>
        <v>4.8250000000000002</v>
      </c>
      <c r="F4491">
        <f t="shared" si="70"/>
        <v>4.8250000000000002</v>
      </c>
    </row>
    <row r="4492" spans="1:6" x14ac:dyDescent="0.3">
      <c r="A4492" t="s">
        <v>1000</v>
      </c>
      <c r="B4492" t="s">
        <v>2143</v>
      </c>
      <c r="C4492">
        <v>4</v>
      </c>
      <c r="D4492">
        <v>135</v>
      </c>
      <c r="E4492">
        <f>IF(OR(B4492="vi",B4492="ii",B4492="pod"),(((D4492/100)*(C4492*VLOOKUP(B4492,'Poids des runes'!A:B,2,FALSE)))+1),(((D4492/100)*(C4492*VLOOKUP(B4492,'Poids des runes'!A:B,2,FALSE)))+1)/VLOOKUP(B4492,'Poids des runes'!A:B,2,FALSE))</f>
        <v>5.6</v>
      </c>
      <c r="F4492">
        <f t="shared" si="70"/>
        <v>5.6</v>
      </c>
    </row>
    <row r="4493" spans="1:6" x14ac:dyDescent="0.3">
      <c r="A4493" t="s">
        <v>1000</v>
      </c>
      <c r="B4493" t="s">
        <v>2153</v>
      </c>
      <c r="C4493">
        <v>4</v>
      </c>
      <c r="D4493">
        <v>135</v>
      </c>
      <c r="E4493">
        <f>IF(OR(B4493="vi",B4493="ii",B4493="pod"),(((D4493/100)*(C4493*VLOOKUP(B4493,'Poids des runes'!A:B,2,FALSE)))+1),(((D4493/100)*(C4493*VLOOKUP(B4493,'Poids des runes'!A:B,2,FALSE)))+1)/VLOOKUP(B4493,'Poids des runes'!A:B,2,FALSE))</f>
        <v>5.6</v>
      </c>
      <c r="F4493">
        <f t="shared" si="70"/>
        <v>5.6</v>
      </c>
    </row>
    <row r="4494" spans="1:6" x14ac:dyDescent="0.3">
      <c r="A4494" t="s">
        <v>1000</v>
      </c>
      <c r="B4494" t="s">
        <v>2132</v>
      </c>
      <c r="C4494">
        <v>150.5</v>
      </c>
      <c r="D4494">
        <v>135</v>
      </c>
      <c r="E4494">
        <f>IF(OR(B4494="vi",B4494="ii",B4494="pod"),(((D4494/100)*(C4494*VLOOKUP(B4494,'Poids des runes'!A:B,2,FALSE)))+1),(((D4494/100)*(C4494*VLOOKUP(B4494,'Poids des runes'!A:B,2,FALSE)))+1)/VLOOKUP(B4494,'Poids des runes'!A:B,2,FALSE))</f>
        <v>21.317500000000003</v>
      </c>
      <c r="F4494">
        <f t="shared" si="70"/>
        <v>21.317500000000003</v>
      </c>
    </row>
    <row r="4495" spans="1:6" x14ac:dyDescent="0.3">
      <c r="A4495" t="s">
        <v>1000</v>
      </c>
      <c r="B4495" t="s">
        <v>2135</v>
      </c>
      <c r="C4495">
        <v>5</v>
      </c>
      <c r="D4495">
        <v>135</v>
      </c>
      <c r="E4495">
        <f>IF(OR(B4495="vi",B4495="ii",B4495="pod"),(((D4495/100)*(C4495*VLOOKUP(B4495,'Poids des runes'!A:B,2,FALSE)))+1),(((D4495/100)*(C4495*VLOOKUP(B4495,'Poids des runes'!A:B,2,FALSE)))+1)/VLOOKUP(B4495,'Poids des runes'!A:B,2,FALSE))</f>
        <v>6.916666666666667</v>
      </c>
      <c r="F4495">
        <f t="shared" si="70"/>
        <v>6.916666666666667</v>
      </c>
    </row>
    <row r="4496" spans="1:6" x14ac:dyDescent="0.3">
      <c r="A4496" t="s">
        <v>1001</v>
      </c>
      <c r="B4496" t="s">
        <v>2128</v>
      </c>
      <c r="C4496">
        <v>175.5</v>
      </c>
      <c r="D4496">
        <v>136</v>
      </c>
      <c r="E4496">
        <f>IF(OR(B4496="vi",B4496="ii",B4496="pod"),(((D4496/100)*(C4496*VLOOKUP(B4496,'Poids des runes'!A:B,2,FALSE)))+1),(((D4496/100)*(C4496*VLOOKUP(B4496,'Poids des runes'!A:B,2,FALSE)))+1)/VLOOKUP(B4496,'Poids des runes'!A:B,2,FALSE))</f>
        <v>48.736000000000004</v>
      </c>
      <c r="F4496">
        <f t="shared" si="70"/>
        <v>48.736000000000004</v>
      </c>
    </row>
    <row r="4497" spans="1:6" x14ac:dyDescent="0.3">
      <c r="A4497" t="s">
        <v>1001</v>
      </c>
      <c r="B4497" t="s">
        <v>2130</v>
      </c>
      <c r="C4497">
        <v>35.5</v>
      </c>
      <c r="D4497">
        <v>136</v>
      </c>
      <c r="E4497">
        <f>IF(OR(B4497="vi",B4497="ii",B4497="pod"),(((D4497/100)*(C4497*VLOOKUP(B4497,'Poids des runes'!A:B,2,FALSE)))+1),(((D4497/100)*(C4497*VLOOKUP(B4497,'Poids des runes'!A:B,2,FALSE)))+1)/VLOOKUP(B4497,'Poids des runes'!A:B,2,FALSE))</f>
        <v>49.28</v>
      </c>
      <c r="F4497">
        <f t="shared" si="70"/>
        <v>49.28</v>
      </c>
    </row>
    <row r="4498" spans="1:6" x14ac:dyDescent="0.3">
      <c r="A4498" t="s">
        <v>1001</v>
      </c>
      <c r="B4498" t="s">
        <v>2126</v>
      </c>
      <c r="C4498">
        <v>35.5</v>
      </c>
      <c r="D4498">
        <v>136</v>
      </c>
      <c r="E4498">
        <f>IF(OR(B4498="vi",B4498="ii",B4498="pod"),(((D4498/100)*(C4498*VLOOKUP(B4498,'Poids des runes'!A:B,2,FALSE)))+1),(((D4498/100)*(C4498*VLOOKUP(B4498,'Poids des runes'!A:B,2,FALSE)))+1)/VLOOKUP(B4498,'Poids des runes'!A:B,2,FALSE))</f>
        <v>49.28</v>
      </c>
      <c r="F4498">
        <f t="shared" si="70"/>
        <v>49.28</v>
      </c>
    </row>
    <row r="4499" spans="1:6" x14ac:dyDescent="0.3">
      <c r="A4499" t="s">
        <v>1001</v>
      </c>
      <c r="B4499" t="s">
        <v>2129</v>
      </c>
      <c r="C4499">
        <v>25.5</v>
      </c>
      <c r="D4499">
        <v>136</v>
      </c>
      <c r="E4499">
        <f>IF(OR(B4499="vi",B4499="ii",B4499="pod"),(((D4499/100)*(C4499*VLOOKUP(B4499,'Poids des runes'!A:B,2,FALSE)))+1),(((D4499/100)*(C4499*VLOOKUP(B4499,'Poids des runes'!A:B,2,FALSE)))+1)/VLOOKUP(B4499,'Poids des runes'!A:B,2,FALSE))</f>
        <v>35.68</v>
      </c>
      <c r="F4499">
        <f t="shared" si="70"/>
        <v>35.68</v>
      </c>
    </row>
    <row r="4500" spans="1:6" x14ac:dyDescent="0.3">
      <c r="A4500" t="s">
        <v>1001</v>
      </c>
      <c r="B4500" t="s">
        <v>2139</v>
      </c>
      <c r="C4500">
        <v>8</v>
      </c>
      <c r="D4500">
        <v>136</v>
      </c>
      <c r="E4500">
        <f>IF(OR(B4500="vi",B4500="ii",B4500="pod"),(((D4500/100)*(C4500*VLOOKUP(B4500,'Poids des runes'!A:B,2,FALSE)))+1),(((D4500/100)*(C4500*VLOOKUP(B4500,'Poids des runes'!A:B,2,FALSE)))+1)/VLOOKUP(B4500,'Poids des runes'!A:B,2,FALSE))</f>
        <v>11.38</v>
      </c>
      <c r="F4500">
        <f t="shared" si="70"/>
        <v>11.38</v>
      </c>
    </row>
    <row r="4501" spans="1:6" x14ac:dyDescent="0.3">
      <c r="A4501" t="s">
        <v>1001</v>
      </c>
      <c r="B4501" t="s">
        <v>2154</v>
      </c>
      <c r="C4501">
        <v>1</v>
      </c>
      <c r="D4501">
        <v>136</v>
      </c>
      <c r="E4501">
        <f>IF(OR(B4501="vi",B4501="ii",B4501="pod"),(((D4501/100)*(C4501*VLOOKUP(B4501,'Poids des runes'!A:B,2,FALSE)))+1),(((D4501/100)*(C4501*VLOOKUP(B4501,'Poids des runes'!A:B,2,FALSE)))+1)/VLOOKUP(B4501,'Poids des runes'!A:B,2,FALSE))</f>
        <v>1.3711111111111112</v>
      </c>
      <c r="F4501">
        <f t="shared" si="70"/>
        <v>1.3711111111111112</v>
      </c>
    </row>
    <row r="4502" spans="1:6" x14ac:dyDescent="0.3">
      <c r="A4502" t="s">
        <v>1001</v>
      </c>
      <c r="B4502" t="s">
        <v>2134</v>
      </c>
      <c r="C4502">
        <v>8</v>
      </c>
      <c r="D4502">
        <v>136</v>
      </c>
      <c r="E4502">
        <f>IF(OR(B4502="vi",B4502="ii",B4502="pod"),(((D4502/100)*(C4502*VLOOKUP(B4502,'Poids des runes'!A:B,2,FALSE)))+1),(((D4502/100)*(C4502*VLOOKUP(B4502,'Poids des runes'!A:B,2,FALSE)))+1)/VLOOKUP(B4502,'Poids des runes'!A:B,2,FALSE))</f>
        <v>10.930000000000001</v>
      </c>
      <c r="F4502">
        <f t="shared" si="70"/>
        <v>10.930000000000001</v>
      </c>
    </row>
    <row r="4503" spans="1:6" x14ac:dyDescent="0.3">
      <c r="A4503" t="s">
        <v>1001</v>
      </c>
      <c r="B4503" t="s">
        <v>2161</v>
      </c>
      <c r="C4503">
        <v>8</v>
      </c>
      <c r="D4503">
        <v>136</v>
      </c>
      <c r="E4503">
        <f>IF(OR(B4503="vi",B4503="ii",B4503="pod"),(((D4503/100)*(C4503*VLOOKUP(B4503,'Poids des runes'!A:B,2,FALSE)))+1),(((D4503/100)*(C4503*VLOOKUP(B4503,'Poids des runes'!A:B,2,FALSE)))+1)/VLOOKUP(B4503,'Poids des runes'!A:B,2,FALSE))</f>
        <v>11.213333333333333</v>
      </c>
      <c r="F4503">
        <f t="shared" si="70"/>
        <v>11.213333333333333</v>
      </c>
    </row>
    <row r="4504" spans="1:6" x14ac:dyDescent="0.3">
      <c r="A4504" t="s">
        <v>1001</v>
      </c>
      <c r="B4504" t="s">
        <v>2148</v>
      </c>
      <c r="C4504">
        <v>5</v>
      </c>
      <c r="D4504">
        <v>136</v>
      </c>
      <c r="E4504">
        <f>IF(OR(B4504="vi",B4504="ii",B4504="pod"),(((D4504/100)*(C4504*VLOOKUP(B4504,'Poids des runes'!A:B,2,FALSE)))+1),(((D4504/100)*(C4504*VLOOKUP(B4504,'Poids des runes'!A:B,2,FALSE)))+1)/VLOOKUP(B4504,'Poids des runes'!A:B,2,FALSE))</f>
        <v>6.9666666666666677</v>
      </c>
      <c r="F4504">
        <f t="shared" si="70"/>
        <v>6.9666666666666677</v>
      </c>
    </row>
    <row r="4505" spans="1:6" x14ac:dyDescent="0.3">
      <c r="A4505" t="s">
        <v>1001</v>
      </c>
      <c r="B4505" t="s">
        <v>2147</v>
      </c>
      <c r="C4505">
        <v>5</v>
      </c>
      <c r="D4505">
        <v>136</v>
      </c>
      <c r="E4505">
        <f>IF(OR(B4505="vi",B4505="ii",B4505="pod"),(((D4505/100)*(C4505*VLOOKUP(B4505,'Poids des runes'!A:B,2,FALSE)))+1),(((D4505/100)*(C4505*VLOOKUP(B4505,'Poids des runes'!A:B,2,FALSE)))+1)/VLOOKUP(B4505,'Poids des runes'!A:B,2,FALSE))</f>
        <v>6.9666666666666677</v>
      </c>
      <c r="F4505">
        <f t="shared" si="70"/>
        <v>6.9666666666666677</v>
      </c>
    </row>
    <row r="4506" spans="1:6" x14ac:dyDescent="0.3">
      <c r="A4506" t="s">
        <v>1001</v>
      </c>
      <c r="B4506" t="s">
        <v>2136</v>
      </c>
      <c r="C4506">
        <v>8</v>
      </c>
      <c r="D4506">
        <v>136</v>
      </c>
      <c r="E4506">
        <f>IF(OR(B4506="vi",B4506="ii",B4506="pod"),(((D4506/100)*(C4506*VLOOKUP(B4506,'Poids des runes'!A:B,2,FALSE)))+1),(((D4506/100)*(C4506*VLOOKUP(B4506,'Poids des runes'!A:B,2,FALSE)))+1)/VLOOKUP(B4506,'Poids des runes'!A:B,2,FALSE))</f>
        <v>11.38</v>
      </c>
      <c r="F4506">
        <f t="shared" si="70"/>
        <v>11.38</v>
      </c>
    </row>
    <row r="4507" spans="1:6" x14ac:dyDescent="0.3">
      <c r="A4507" t="s">
        <v>1002</v>
      </c>
      <c r="B4507" t="s">
        <v>2128</v>
      </c>
      <c r="C4507">
        <v>125.5</v>
      </c>
      <c r="D4507">
        <v>136</v>
      </c>
      <c r="E4507">
        <f>IF(OR(B4507="vi",B4507="ii",B4507="pod"),(((D4507/100)*(C4507*VLOOKUP(B4507,'Poids des runes'!A:B,2,FALSE)))+1),(((D4507/100)*(C4507*VLOOKUP(B4507,'Poids des runes'!A:B,2,FALSE)))+1)/VLOOKUP(B4507,'Poids des runes'!A:B,2,FALSE))</f>
        <v>35.136000000000003</v>
      </c>
      <c r="F4507">
        <f t="shared" si="70"/>
        <v>35.136000000000003</v>
      </c>
    </row>
    <row r="4508" spans="1:6" x14ac:dyDescent="0.3">
      <c r="A4508" t="s">
        <v>1002</v>
      </c>
      <c r="B4508" t="s">
        <v>2130</v>
      </c>
      <c r="C4508">
        <v>33</v>
      </c>
      <c r="D4508">
        <v>136</v>
      </c>
      <c r="E4508">
        <f>IF(OR(B4508="vi",B4508="ii",B4508="pod"),(((D4508/100)*(C4508*VLOOKUP(B4508,'Poids des runes'!A:B,2,FALSE)))+1),(((D4508/100)*(C4508*VLOOKUP(B4508,'Poids des runes'!A:B,2,FALSE)))+1)/VLOOKUP(B4508,'Poids des runes'!A:B,2,FALSE))</f>
        <v>45.88</v>
      </c>
      <c r="F4508">
        <f t="shared" si="70"/>
        <v>45.88</v>
      </c>
    </row>
    <row r="4509" spans="1:6" x14ac:dyDescent="0.3">
      <c r="A4509" t="s">
        <v>1002</v>
      </c>
      <c r="B4509" t="s">
        <v>2127</v>
      </c>
      <c r="C4509">
        <v>33</v>
      </c>
      <c r="D4509">
        <v>136</v>
      </c>
      <c r="E4509">
        <f>IF(OR(B4509="vi",B4509="ii",B4509="pod"),(((D4509/100)*(C4509*VLOOKUP(B4509,'Poids des runes'!A:B,2,FALSE)))+1),(((D4509/100)*(C4509*VLOOKUP(B4509,'Poids des runes'!A:B,2,FALSE)))+1)/VLOOKUP(B4509,'Poids des runes'!A:B,2,FALSE))</f>
        <v>45.88</v>
      </c>
      <c r="F4509">
        <f t="shared" si="70"/>
        <v>45.88</v>
      </c>
    </row>
    <row r="4510" spans="1:6" x14ac:dyDescent="0.3">
      <c r="A4510" t="s">
        <v>1002</v>
      </c>
      <c r="B4510" t="s">
        <v>2129</v>
      </c>
      <c r="C4510">
        <v>30.5</v>
      </c>
      <c r="D4510">
        <v>136</v>
      </c>
      <c r="E4510">
        <f>IF(OR(B4510="vi",B4510="ii",B4510="pod"),(((D4510/100)*(C4510*VLOOKUP(B4510,'Poids des runes'!A:B,2,FALSE)))+1),(((D4510/100)*(C4510*VLOOKUP(B4510,'Poids des runes'!A:B,2,FALSE)))+1)/VLOOKUP(B4510,'Poids des runes'!A:B,2,FALSE))</f>
        <v>42.480000000000004</v>
      </c>
      <c r="F4510">
        <f t="shared" si="70"/>
        <v>42.480000000000004</v>
      </c>
    </row>
    <row r="4511" spans="1:6" x14ac:dyDescent="0.3">
      <c r="A4511" t="s">
        <v>1002</v>
      </c>
      <c r="B4511" t="s">
        <v>2154</v>
      </c>
      <c r="C4511">
        <v>1</v>
      </c>
      <c r="D4511">
        <v>136</v>
      </c>
      <c r="E4511">
        <f>IF(OR(B4511="vi",B4511="ii",B4511="pod"),(((D4511/100)*(C4511*VLOOKUP(B4511,'Poids des runes'!A:B,2,FALSE)))+1),(((D4511/100)*(C4511*VLOOKUP(B4511,'Poids des runes'!A:B,2,FALSE)))+1)/VLOOKUP(B4511,'Poids des runes'!A:B,2,FALSE))</f>
        <v>1.3711111111111112</v>
      </c>
      <c r="F4511">
        <f t="shared" si="70"/>
        <v>1.3711111111111112</v>
      </c>
    </row>
    <row r="4512" spans="1:6" x14ac:dyDescent="0.3">
      <c r="A4512" t="s">
        <v>1002</v>
      </c>
      <c r="B4512" t="s">
        <v>2134</v>
      </c>
      <c r="C4512">
        <v>7</v>
      </c>
      <c r="D4512">
        <v>136</v>
      </c>
      <c r="E4512">
        <f>IF(OR(B4512="vi",B4512="ii",B4512="pod"),(((D4512/100)*(C4512*VLOOKUP(B4512,'Poids des runes'!A:B,2,FALSE)))+1),(((D4512/100)*(C4512*VLOOKUP(B4512,'Poids des runes'!A:B,2,FALSE)))+1)/VLOOKUP(B4512,'Poids des runes'!A:B,2,FALSE))</f>
        <v>9.57</v>
      </c>
      <c r="F4512">
        <f t="shared" si="70"/>
        <v>9.57</v>
      </c>
    </row>
    <row r="4513" spans="1:6" x14ac:dyDescent="0.3">
      <c r="A4513" t="s">
        <v>1002</v>
      </c>
      <c r="B4513" t="s">
        <v>2135</v>
      </c>
      <c r="C4513">
        <v>8</v>
      </c>
      <c r="D4513">
        <v>136</v>
      </c>
      <c r="E4513">
        <f>IF(OR(B4513="vi",B4513="ii",B4513="pod"),(((D4513/100)*(C4513*VLOOKUP(B4513,'Poids des runes'!A:B,2,FALSE)))+1),(((D4513/100)*(C4513*VLOOKUP(B4513,'Poids des runes'!A:B,2,FALSE)))+1)/VLOOKUP(B4513,'Poids des runes'!A:B,2,FALSE))</f>
        <v>11.046666666666667</v>
      </c>
      <c r="F4513">
        <f t="shared" si="70"/>
        <v>11.046666666666667</v>
      </c>
    </row>
    <row r="4514" spans="1:6" x14ac:dyDescent="0.3">
      <c r="A4514" t="s">
        <v>1002</v>
      </c>
      <c r="B4514" t="s">
        <v>2136</v>
      </c>
      <c r="C4514">
        <v>8</v>
      </c>
      <c r="D4514">
        <v>136</v>
      </c>
      <c r="E4514">
        <f>IF(OR(B4514="vi",B4514="ii",B4514="pod"),(((D4514/100)*(C4514*VLOOKUP(B4514,'Poids des runes'!A:B,2,FALSE)))+1),(((D4514/100)*(C4514*VLOOKUP(B4514,'Poids des runes'!A:B,2,FALSE)))+1)/VLOOKUP(B4514,'Poids des runes'!A:B,2,FALSE))</f>
        <v>11.38</v>
      </c>
      <c r="F4514">
        <f t="shared" si="70"/>
        <v>11.38</v>
      </c>
    </row>
    <row r="4515" spans="1:6" x14ac:dyDescent="0.3">
      <c r="A4515" t="s">
        <v>1002</v>
      </c>
      <c r="B4515" t="s">
        <v>2145</v>
      </c>
      <c r="C4515">
        <v>8</v>
      </c>
      <c r="D4515">
        <v>136</v>
      </c>
      <c r="E4515">
        <f>IF(OR(B4515="vi",B4515="ii",B4515="pod"),(((D4515/100)*(C4515*VLOOKUP(B4515,'Poids des runes'!A:B,2,FALSE)))+1),(((D4515/100)*(C4515*VLOOKUP(B4515,'Poids des runes'!A:B,2,FALSE)))+1)/VLOOKUP(B4515,'Poids des runes'!A:B,2,FALSE))</f>
        <v>11.38</v>
      </c>
      <c r="F4515">
        <f t="shared" si="70"/>
        <v>11.38</v>
      </c>
    </row>
    <row r="4516" spans="1:6" x14ac:dyDescent="0.3">
      <c r="A4516" t="s">
        <v>1003</v>
      </c>
      <c r="B4516" t="s">
        <v>2128</v>
      </c>
      <c r="C4516">
        <v>125.5</v>
      </c>
      <c r="D4516">
        <v>137</v>
      </c>
      <c r="E4516">
        <f>IF(OR(B4516="vi",B4516="ii",B4516="pod"),(((D4516/100)*(C4516*VLOOKUP(B4516,'Poids des runes'!A:B,2,FALSE)))+1),(((D4516/100)*(C4516*VLOOKUP(B4516,'Poids des runes'!A:B,2,FALSE)))+1)/VLOOKUP(B4516,'Poids des runes'!A:B,2,FALSE))</f>
        <v>35.387000000000008</v>
      </c>
      <c r="F4516">
        <f t="shared" si="70"/>
        <v>35.387000000000008</v>
      </c>
    </row>
    <row r="4517" spans="1:6" x14ac:dyDescent="0.3">
      <c r="A4517" t="s">
        <v>1003</v>
      </c>
      <c r="B4517" t="s">
        <v>2130</v>
      </c>
      <c r="C4517">
        <v>35.5</v>
      </c>
      <c r="D4517">
        <v>137</v>
      </c>
      <c r="E4517">
        <f>IF(OR(B4517="vi",B4517="ii",B4517="pod"),(((D4517/100)*(C4517*VLOOKUP(B4517,'Poids des runes'!A:B,2,FALSE)))+1),(((D4517/100)*(C4517*VLOOKUP(B4517,'Poids des runes'!A:B,2,FALSE)))+1)/VLOOKUP(B4517,'Poids des runes'!A:B,2,FALSE))</f>
        <v>49.635000000000005</v>
      </c>
      <c r="F4517">
        <f t="shared" si="70"/>
        <v>49.635000000000005</v>
      </c>
    </row>
    <row r="4518" spans="1:6" x14ac:dyDescent="0.3">
      <c r="A4518" t="s">
        <v>1003</v>
      </c>
      <c r="B4518" t="s">
        <v>2127</v>
      </c>
      <c r="C4518">
        <v>35.5</v>
      </c>
      <c r="D4518">
        <v>137</v>
      </c>
      <c r="E4518">
        <f>IF(OR(B4518="vi",B4518="ii",B4518="pod"),(((D4518/100)*(C4518*VLOOKUP(B4518,'Poids des runes'!A:B,2,FALSE)))+1),(((D4518/100)*(C4518*VLOOKUP(B4518,'Poids des runes'!A:B,2,FALSE)))+1)/VLOOKUP(B4518,'Poids des runes'!A:B,2,FALSE))</f>
        <v>49.635000000000005</v>
      </c>
      <c r="F4518">
        <f t="shared" si="70"/>
        <v>49.635000000000005</v>
      </c>
    </row>
    <row r="4519" spans="1:6" x14ac:dyDescent="0.3">
      <c r="A4519" t="s">
        <v>1003</v>
      </c>
      <c r="B4519" t="s">
        <v>2129</v>
      </c>
      <c r="C4519">
        <v>18</v>
      </c>
      <c r="D4519">
        <v>137</v>
      </c>
      <c r="E4519">
        <f>IF(OR(B4519="vi",B4519="ii",B4519="pod"),(((D4519/100)*(C4519*VLOOKUP(B4519,'Poids des runes'!A:B,2,FALSE)))+1),(((D4519/100)*(C4519*VLOOKUP(B4519,'Poids des runes'!A:B,2,FALSE)))+1)/VLOOKUP(B4519,'Poids des runes'!A:B,2,FALSE))</f>
        <v>25.660000000000004</v>
      </c>
      <c r="F4519">
        <f t="shared" si="70"/>
        <v>25.660000000000004</v>
      </c>
    </row>
    <row r="4520" spans="1:6" x14ac:dyDescent="0.3">
      <c r="A4520" t="s">
        <v>1003</v>
      </c>
      <c r="B4520" t="s">
        <v>2152</v>
      </c>
      <c r="C4520">
        <v>1</v>
      </c>
      <c r="D4520">
        <v>137</v>
      </c>
      <c r="E4520">
        <f>IF(OR(B4520="vi",B4520="ii",B4520="pod"),(((D4520/100)*(C4520*VLOOKUP(B4520,'Poids des runes'!A:B,2,FALSE)))+1),(((D4520/100)*(C4520*VLOOKUP(B4520,'Poids des runes'!A:B,2,FALSE)))+1)/VLOOKUP(B4520,'Poids des runes'!A:B,2,FALSE))</f>
        <v>1.38</v>
      </c>
      <c r="F4520">
        <f t="shared" si="70"/>
        <v>1.38</v>
      </c>
    </row>
    <row r="4521" spans="1:6" x14ac:dyDescent="0.3">
      <c r="A4521" t="s">
        <v>1003</v>
      </c>
      <c r="B4521" t="s">
        <v>2143</v>
      </c>
      <c r="C4521">
        <v>7</v>
      </c>
      <c r="D4521">
        <v>137</v>
      </c>
      <c r="E4521">
        <f>IF(OR(B4521="vi",B4521="ii",B4521="pod"),(((D4521/100)*(C4521*VLOOKUP(B4521,'Poids des runes'!A:B,2,FALSE)))+1),(((D4521/100)*(C4521*VLOOKUP(B4521,'Poids des runes'!A:B,2,FALSE)))+1)/VLOOKUP(B4521,'Poids des runes'!A:B,2,FALSE))</f>
        <v>9.7900000000000009</v>
      </c>
      <c r="F4521">
        <f t="shared" si="70"/>
        <v>9.7900000000000009</v>
      </c>
    </row>
    <row r="4522" spans="1:6" x14ac:dyDescent="0.3">
      <c r="A4522" t="s">
        <v>1003</v>
      </c>
      <c r="B4522" t="s">
        <v>2153</v>
      </c>
      <c r="C4522">
        <v>7</v>
      </c>
      <c r="D4522">
        <v>137</v>
      </c>
      <c r="E4522">
        <f>IF(OR(B4522="vi",B4522="ii",B4522="pod"),(((D4522/100)*(C4522*VLOOKUP(B4522,'Poids des runes'!A:B,2,FALSE)))+1),(((D4522/100)*(C4522*VLOOKUP(B4522,'Poids des runes'!A:B,2,FALSE)))+1)/VLOOKUP(B4522,'Poids des runes'!A:B,2,FALSE))</f>
        <v>9.7900000000000009</v>
      </c>
      <c r="F4522">
        <f t="shared" si="70"/>
        <v>9.7900000000000009</v>
      </c>
    </row>
    <row r="4523" spans="1:6" x14ac:dyDescent="0.3">
      <c r="A4523" t="s">
        <v>1003</v>
      </c>
      <c r="B4523" t="s">
        <v>2161</v>
      </c>
      <c r="C4523">
        <v>15.5</v>
      </c>
      <c r="D4523">
        <v>137</v>
      </c>
      <c r="E4523">
        <f>IF(OR(B4523="vi",B4523="ii",B4523="pod"),(((D4523/100)*(C4523*VLOOKUP(B4523,'Poids des runes'!A:B,2,FALSE)))+1),(((D4523/100)*(C4523*VLOOKUP(B4523,'Poids des runes'!A:B,2,FALSE)))+1)/VLOOKUP(B4523,'Poids des runes'!A:B,2,FALSE))</f>
        <v>21.568333333333339</v>
      </c>
      <c r="F4523">
        <f t="shared" si="70"/>
        <v>21.568333333333339</v>
      </c>
    </row>
    <row r="4524" spans="1:6" x14ac:dyDescent="0.3">
      <c r="A4524" t="s">
        <v>1003</v>
      </c>
      <c r="B4524" t="s">
        <v>2163</v>
      </c>
      <c r="C4524">
        <v>8.5</v>
      </c>
      <c r="D4524">
        <v>137</v>
      </c>
      <c r="E4524">
        <f>IF(OR(B4524="vi",B4524="ii",B4524="pod"),(((D4524/100)*(C4524*VLOOKUP(B4524,'Poids des runes'!A:B,2,FALSE)))+1),(((D4524/100)*(C4524*VLOOKUP(B4524,'Poids des runes'!A:B,2,FALSE)))+1)/VLOOKUP(B4524,'Poids des runes'!A:B,2,FALSE))</f>
        <v>12.145000000000001</v>
      </c>
      <c r="F4524">
        <f t="shared" si="70"/>
        <v>12.145000000000001</v>
      </c>
    </row>
    <row r="4525" spans="1:6" x14ac:dyDescent="0.3">
      <c r="A4525" t="s">
        <v>1003</v>
      </c>
      <c r="B4525" t="s">
        <v>2148</v>
      </c>
      <c r="C4525">
        <v>8.5</v>
      </c>
      <c r="D4525">
        <v>137</v>
      </c>
      <c r="E4525">
        <f>IF(OR(B4525="vi",B4525="ii",B4525="pod"),(((D4525/100)*(C4525*VLOOKUP(B4525,'Poids des runes'!A:B,2,FALSE)))+1),(((D4525/100)*(C4525*VLOOKUP(B4525,'Poids des runes'!A:B,2,FALSE)))+1)/VLOOKUP(B4525,'Poids des runes'!A:B,2,FALSE))</f>
        <v>11.811666666666667</v>
      </c>
      <c r="F4525">
        <f t="shared" si="70"/>
        <v>11.811666666666667</v>
      </c>
    </row>
    <row r="4526" spans="1:6" x14ac:dyDescent="0.3">
      <c r="A4526" t="s">
        <v>1003</v>
      </c>
      <c r="B4526" t="s">
        <v>2144</v>
      </c>
      <c r="C4526">
        <v>8.5</v>
      </c>
      <c r="D4526">
        <v>137</v>
      </c>
      <c r="E4526">
        <f>IF(OR(B4526="vi",B4526="ii",B4526="pod"),(((D4526/100)*(C4526*VLOOKUP(B4526,'Poids des runes'!A:B,2,FALSE)))+1),(((D4526/100)*(C4526*VLOOKUP(B4526,'Poids des runes'!A:B,2,FALSE)))+1)/VLOOKUP(B4526,'Poids des runes'!A:B,2,FALSE))</f>
        <v>12.145000000000001</v>
      </c>
      <c r="F4526">
        <f t="shared" si="70"/>
        <v>12.145000000000001</v>
      </c>
    </row>
    <row r="4527" spans="1:6" x14ac:dyDescent="0.3">
      <c r="A4527" t="s">
        <v>1004</v>
      </c>
      <c r="B4527" t="s">
        <v>2128</v>
      </c>
      <c r="C4527">
        <v>135.5</v>
      </c>
      <c r="D4527">
        <v>138</v>
      </c>
      <c r="E4527">
        <f>IF(OR(B4527="vi",B4527="ii",B4527="pod"),(((D4527/100)*(C4527*VLOOKUP(B4527,'Poids des runes'!A:B,2,FALSE)))+1),(((D4527/100)*(C4527*VLOOKUP(B4527,'Poids des runes'!A:B,2,FALSE)))+1)/VLOOKUP(B4527,'Poids des runes'!A:B,2,FALSE))</f>
        <v>38.397999999999996</v>
      </c>
      <c r="F4527">
        <f t="shared" si="70"/>
        <v>38.397999999999996</v>
      </c>
    </row>
    <row r="4528" spans="1:6" x14ac:dyDescent="0.3">
      <c r="A4528" t="s">
        <v>1004</v>
      </c>
      <c r="B4528" t="s">
        <v>2131</v>
      </c>
      <c r="C4528">
        <v>40.5</v>
      </c>
      <c r="D4528">
        <v>138</v>
      </c>
      <c r="E4528">
        <f>IF(OR(B4528="vi",B4528="ii",B4528="pod"),(((D4528/100)*(C4528*VLOOKUP(B4528,'Poids des runes'!A:B,2,FALSE)))+1),(((D4528/100)*(C4528*VLOOKUP(B4528,'Poids des runes'!A:B,2,FALSE)))+1)/VLOOKUP(B4528,'Poids des runes'!A:B,2,FALSE))</f>
        <v>56.889999999999993</v>
      </c>
      <c r="F4528">
        <f t="shared" si="70"/>
        <v>56.889999999999993</v>
      </c>
    </row>
    <row r="4529" spans="1:6" x14ac:dyDescent="0.3">
      <c r="A4529" t="s">
        <v>1004</v>
      </c>
      <c r="B4529" t="s">
        <v>2129</v>
      </c>
      <c r="C4529">
        <v>25.5</v>
      </c>
      <c r="D4529">
        <v>138</v>
      </c>
      <c r="E4529">
        <f>IF(OR(B4529="vi",B4529="ii",B4529="pod"),(((D4529/100)*(C4529*VLOOKUP(B4529,'Poids des runes'!A:B,2,FALSE)))+1),(((D4529/100)*(C4529*VLOOKUP(B4529,'Poids des runes'!A:B,2,FALSE)))+1)/VLOOKUP(B4529,'Poids des runes'!A:B,2,FALSE))</f>
        <v>36.19</v>
      </c>
      <c r="F4529">
        <f t="shared" si="70"/>
        <v>36.19</v>
      </c>
    </row>
    <row r="4530" spans="1:6" x14ac:dyDescent="0.3">
      <c r="A4530" t="s">
        <v>1004</v>
      </c>
      <c r="B4530" t="s">
        <v>2154</v>
      </c>
      <c r="C4530">
        <v>1</v>
      </c>
      <c r="D4530">
        <v>138</v>
      </c>
      <c r="E4530">
        <f>IF(OR(B4530="vi",B4530="ii",B4530="pod"),(((D4530/100)*(C4530*VLOOKUP(B4530,'Poids des runes'!A:B,2,FALSE)))+1),(((D4530/100)*(C4530*VLOOKUP(B4530,'Poids des runes'!A:B,2,FALSE)))+1)/VLOOKUP(B4530,'Poids des runes'!A:B,2,FALSE))</f>
        <v>1.391111111111111</v>
      </c>
      <c r="F4530">
        <f t="shared" si="70"/>
        <v>1.391111111111111</v>
      </c>
    </row>
    <row r="4531" spans="1:6" x14ac:dyDescent="0.3">
      <c r="A4531" t="s">
        <v>1004</v>
      </c>
      <c r="B4531" t="s">
        <v>2155</v>
      </c>
      <c r="C4531">
        <v>1</v>
      </c>
      <c r="D4531">
        <v>138</v>
      </c>
      <c r="E4531">
        <f>IF(OR(B4531="vi",B4531="ii",B4531="pod"),(((D4531/100)*(C4531*VLOOKUP(B4531,'Poids des runes'!A:B,2,FALSE)))+1),(((D4531/100)*(C4531*VLOOKUP(B4531,'Poids des runes'!A:B,2,FALSE)))+1)/VLOOKUP(B4531,'Poids des runes'!A:B,2,FALSE))</f>
        <v>1.3996078431372547</v>
      </c>
      <c r="F4531">
        <f t="shared" si="70"/>
        <v>1.3996078431372547</v>
      </c>
    </row>
    <row r="4532" spans="1:6" x14ac:dyDescent="0.3">
      <c r="A4532" t="s">
        <v>1004</v>
      </c>
      <c r="B4532" t="s">
        <v>2143</v>
      </c>
      <c r="C4532">
        <v>8.5</v>
      </c>
      <c r="D4532">
        <v>138</v>
      </c>
      <c r="E4532">
        <f>IF(OR(B4532="vi",B4532="ii",B4532="pod"),(((D4532/100)*(C4532*VLOOKUP(B4532,'Poids des runes'!A:B,2,FALSE)))+1),(((D4532/100)*(C4532*VLOOKUP(B4532,'Poids des runes'!A:B,2,FALSE)))+1)/VLOOKUP(B4532,'Poids des runes'!A:B,2,FALSE))</f>
        <v>11.93</v>
      </c>
      <c r="F4532">
        <f t="shared" si="70"/>
        <v>11.93</v>
      </c>
    </row>
    <row r="4533" spans="1:6" x14ac:dyDescent="0.3">
      <c r="A4533" t="s">
        <v>1004</v>
      </c>
      <c r="B4533" t="s">
        <v>2133</v>
      </c>
      <c r="C4533">
        <v>8.5</v>
      </c>
      <c r="D4533">
        <v>138</v>
      </c>
      <c r="E4533">
        <f>IF(OR(B4533="vi",B4533="ii",B4533="pod"),(((D4533/100)*(C4533*VLOOKUP(B4533,'Poids des runes'!A:B,2,FALSE)))+1),(((D4533/100)*(C4533*VLOOKUP(B4533,'Poids des runes'!A:B,2,FALSE)))+1)/VLOOKUP(B4533,'Poids des runes'!A:B,2,FALSE))</f>
        <v>11.93</v>
      </c>
      <c r="F4533">
        <f t="shared" si="70"/>
        <v>11.93</v>
      </c>
    </row>
    <row r="4534" spans="1:6" x14ac:dyDescent="0.3">
      <c r="A4534" t="s">
        <v>1004</v>
      </c>
      <c r="B4534" t="s">
        <v>2161</v>
      </c>
      <c r="C4534">
        <v>15.5</v>
      </c>
      <c r="D4534">
        <v>138</v>
      </c>
      <c r="E4534">
        <f>IF(OR(B4534="vi",B4534="ii",B4534="pod"),(((D4534/100)*(C4534*VLOOKUP(B4534,'Poids des runes'!A:B,2,FALSE)))+1),(((D4534/100)*(C4534*VLOOKUP(B4534,'Poids des runes'!A:B,2,FALSE)))+1)/VLOOKUP(B4534,'Poids des runes'!A:B,2,FALSE))</f>
        <v>21.723333333333333</v>
      </c>
      <c r="F4534">
        <f t="shared" si="70"/>
        <v>21.723333333333333</v>
      </c>
    </row>
    <row r="4535" spans="1:6" x14ac:dyDescent="0.3">
      <c r="A4535" t="s">
        <v>1004</v>
      </c>
      <c r="B4535" t="s">
        <v>2163</v>
      </c>
      <c r="C4535">
        <v>8.5</v>
      </c>
      <c r="D4535">
        <v>138</v>
      </c>
      <c r="E4535">
        <f>IF(OR(B4535="vi",B4535="ii",B4535="pod"),(((D4535/100)*(C4535*VLOOKUP(B4535,'Poids des runes'!A:B,2,FALSE)))+1),(((D4535/100)*(C4535*VLOOKUP(B4535,'Poids des runes'!A:B,2,FALSE)))+1)/VLOOKUP(B4535,'Poids des runes'!A:B,2,FALSE))</f>
        <v>12.229999999999999</v>
      </c>
      <c r="F4535">
        <f t="shared" si="70"/>
        <v>12.229999999999999</v>
      </c>
    </row>
    <row r="4536" spans="1:6" x14ac:dyDescent="0.3">
      <c r="A4536" t="s">
        <v>1004</v>
      </c>
      <c r="B4536" t="s">
        <v>2157</v>
      </c>
      <c r="C4536">
        <v>8.5</v>
      </c>
      <c r="D4536">
        <v>138</v>
      </c>
      <c r="E4536">
        <f>IF(OR(B4536="vi",B4536="ii",B4536="pod"),(((D4536/100)*(C4536*VLOOKUP(B4536,'Poids des runes'!A:B,2,FALSE)))+1),(((D4536/100)*(C4536*VLOOKUP(B4536,'Poids des runes'!A:B,2,FALSE)))+1)/VLOOKUP(B4536,'Poids des runes'!A:B,2,FALSE))</f>
        <v>11.896666666666667</v>
      </c>
      <c r="F4536">
        <f t="shared" si="70"/>
        <v>11.896666666666667</v>
      </c>
    </row>
    <row r="4537" spans="1:6" x14ac:dyDescent="0.3">
      <c r="A4537" t="s">
        <v>1004</v>
      </c>
      <c r="B4537" t="s">
        <v>2144</v>
      </c>
      <c r="C4537">
        <v>8.5</v>
      </c>
      <c r="D4537">
        <v>138</v>
      </c>
      <c r="E4537">
        <f>IF(OR(B4537="vi",B4537="ii",B4537="pod"),(((D4537/100)*(C4537*VLOOKUP(B4537,'Poids des runes'!A:B,2,FALSE)))+1),(((D4537/100)*(C4537*VLOOKUP(B4537,'Poids des runes'!A:B,2,FALSE)))+1)/VLOOKUP(B4537,'Poids des runes'!A:B,2,FALSE))</f>
        <v>12.229999999999999</v>
      </c>
      <c r="F4537">
        <f t="shared" si="70"/>
        <v>12.229999999999999</v>
      </c>
    </row>
    <row r="4538" spans="1:6" x14ac:dyDescent="0.3">
      <c r="A4538" t="s">
        <v>1004</v>
      </c>
      <c r="B4538" t="s">
        <v>2145</v>
      </c>
      <c r="C4538">
        <v>8.5</v>
      </c>
      <c r="D4538">
        <v>138</v>
      </c>
      <c r="E4538">
        <f>IF(OR(B4538="vi",B4538="ii",B4538="pod"),(((D4538/100)*(C4538*VLOOKUP(B4538,'Poids des runes'!A:B,2,FALSE)))+1),(((D4538/100)*(C4538*VLOOKUP(B4538,'Poids des runes'!A:B,2,FALSE)))+1)/VLOOKUP(B4538,'Poids des runes'!A:B,2,FALSE))</f>
        <v>12.229999999999999</v>
      </c>
      <c r="F4538">
        <f t="shared" si="70"/>
        <v>12.229999999999999</v>
      </c>
    </row>
    <row r="4539" spans="1:6" x14ac:dyDescent="0.3">
      <c r="A4539" t="s">
        <v>1005</v>
      </c>
      <c r="B4539" t="s">
        <v>2128</v>
      </c>
      <c r="C4539">
        <v>175.5</v>
      </c>
      <c r="D4539">
        <v>138</v>
      </c>
      <c r="E4539">
        <f>IF(OR(B4539="vi",B4539="ii",B4539="pod"),(((D4539/100)*(C4539*VLOOKUP(B4539,'Poids des runes'!A:B,2,FALSE)))+1),(((D4539/100)*(C4539*VLOOKUP(B4539,'Poids des runes'!A:B,2,FALSE)))+1)/VLOOKUP(B4539,'Poids des runes'!A:B,2,FALSE))</f>
        <v>49.437999999999995</v>
      </c>
      <c r="F4539">
        <f t="shared" si="70"/>
        <v>49.437999999999995</v>
      </c>
    </row>
    <row r="4540" spans="1:6" x14ac:dyDescent="0.3">
      <c r="A4540" t="s">
        <v>1005</v>
      </c>
      <c r="B4540" t="s">
        <v>2131</v>
      </c>
      <c r="C4540">
        <v>38</v>
      </c>
      <c r="D4540">
        <v>138</v>
      </c>
      <c r="E4540">
        <f>IF(OR(B4540="vi",B4540="ii",B4540="pod"),(((D4540/100)*(C4540*VLOOKUP(B4540,'Poids des runes'!A:B,2,FALSE)))+1),(((D4540/100)*(C4540*VLOOKUP(B4540,'Poids des runes'!A:B,2,FALSE)))+1)/VLOOKUP(B4540,'Poids des runes'!A:B,2,FALSE))</f>
        <v>53.44</v>
      </c>
      <c r="F4540">
        <f t="shared" si="70"/>
        <v>53.44</v>
      </c>
    </row>
    <row r="4541" spans="1:6" x14ac:dyDescent="0.3">
      <c r="A4541" t="s">
        <v>1005</v>
      </c>
      <c r="B4541" t="s">
        <v>2129</v>
      </c>
      <c r="C4541">
        <v>35.5</v>
      </c>
      <c r="D4541">
        <v>138</v>
      </c>
      <c r="E4541">
        <f>IF(OR(B4541="vi",B4541="ii",B4541="pod"),(((D4541/100)*(C4541*VLOOKUP(B4541,'Poids des runes'!A:B,2,FALSE)))+1),(((D4541/100)*(C4541*VLOOKUP(B4541,'Poids des runes'!A:B,2,FALSE)))+1)/VLOOKUP(B4541,'Poids des runes'!A:B,2,FALSE))</f>
        <v>49.989999999999995</v>
      </c>
      <c r="F4541">
        <f t="shared" si="70"/>
        <v>49.989999999999995</v>
      </c>
    </row>
    <row r="4542" spans="1:6" x14ac:dyDescent="0.3">
      <c r="A4542" t="s">
        <v>1005</v>
      </c>
      <c r="B4542" t="s">
        <v>2139</v>
      </c>
      <c r="C4542">
        <v>13</v>
      </c>
      <c r="D4542">
        <v>138</v>
      </c>
      <c r="E4542">
        <f>IF(OR(B4542="vi",B4542="ii",B4542="pod"),(((D4542/100)*(C4542*VLOOKUP(B4542,'Poids des runes'!A:B,2,FALSE)))+1),(((D4542/100)*(C4542*VLOOKUP(B4542,'Poids des runes'!A:B,2,FALSE)))+1)/VLOOKUP(B4542,'Poids des runes'!A:B,2,FALSE))</f>
        <v>18.439999999999998</v>
      </c>
      <c r="F4542">
        <f t="shared" si="70"/>
        <v>18.439999999999998</v>
      </c>
    </row>
    <row r="4543" spans="1:6" x14ac:dyDescent="0.3">
      <c r="A4543" t="s">
        <v>1005</v>
      </c>
      <c r="B4543" t="s">
        <v>2155</v>
      </c>
      <c r="C4543">
        <v>1</v>
      </c>
      <c r="D4543">
        <v>138</v>
      </c>
      <c r="E4543">
        <f>IF(OR(B4543="vi",B4543="ii",B4543="pod"),(((D4543/100)*(C4543*VLOOKUP(B4543,'Poids des runes'!A:B,2,FALSE)))+1),(((D4543/100)*(C4543*VLOOKUP(B4543,'Poids des runes'!A:B,2,FALSE)))+1)/VLOOKUP(B4543,'Poids des runes'!A:B,2,FALSE))</f>
        <v>1.3996078431372547</v>
      </c>
      <c r="F4543">
        <f t="shared" si="70"/>
        <v>1.3996078431372547</v>
      </c>
    </row>
    <row r="4544" spans="1:6" x14ac:dyDescent="0.3">
      <c r="A4544" t="s">
        <v>1005</v>
      </c>
      <c r="B4544" t="s">
        <v>2133</v>
      </c>
      <c r="C4544">
        <v>8.5</v>
      </c>
      <c r="D4544">
        <v>138</v>
      </c>
      <c r="E4544">
        <f>IF(OR(B4544="vi",B4544="ii",B4544="pod"),(((D4544/100)*(C4544*VLOOKUP(B4544,'Poids des runes'!A:B,2,FALSE)))+1),(((D4544/100)*(C4544*VLOOKUP(B4544,'Poids des runes'!A:B,2,FALSE)))+1)/VLOOKUP(B4544,'Poids des runes'!A:B,2,FALSE))</f>
        <v>11.93</v>
      </c>
      <c r="F4544">
        <f t="shared" si="70"/>
        <v>11.93</v>
      </c>
    </row>
    <row r="4545" spans="1:6" x14ac:dyDescent="0.3">
      <c r="A4545" t="s">
        <v>1005</v>
      </c>
      <c r="B4545" t="s">
        <v>2161</v>
      </c>
      <c r="C4545">
        <v>18</v>
      </c>
      <c r="D4545">
        <v>138</v>
      </c>
      <c r="E4545">
        <f>IF(OR(B4545="vi",B4545="ii",B4545="pod"),(((D4545/100)*(C4545*VLOOKUP(B4545,'Poids des runes'!A:B,2,FALSE)))+1),(((D4545/100)*(C4545*VLOOKUP(B4545,'Poids des runes'!A:B,2,FALSE)))+1)/VLOOKUP(B4545,'Poids des runes'!A:B,2,FALSE))</f>
        <v>25.173333333333332</v>
      </c>
      <c r="F4545">
        <f t="shared" si="70"/>
        <v>25.173333333333332</v>
      </c>
    </row>
    <row r="4546" spans="1:6" x14ac:dyDescent="0.3">
      <c r="A4546" t="s">
        <v>1005</v>
      </c>
      <c r="B4546" t="s">
        <v>2141</v>
      </c>
      <c r="C4546">
        <v>4.5</v>
      </c>
      <c r="D4546">
        <v>138</v>
      </c>
      <c r="E4546">
        <f>IF(OR(B4546="vi",B4546="ii",B4546="pod"),(((D4546/100)*(C4546*VLOOKUP(B4546,'Poids des runes'!A:B,2,FALSE)))+1),(((D4546/100)*(C4546*VLOOKUP(B4546,'Poids des runes'!A:B,2,FALSE)))+1)/VLOOKUP(B4546,'Poids des runes'!A:B,2,FALSE))</f>
        <v>6.4599999999999991</v>
      </c>
      <c r="F4546">
        <f t="shared" si="70"/>
        <v>6.4599999999999991</v>
      </c>
    </row>
    <row r="4547" spans="1:6" x14ac:dyDescent="0.3">
      <c r="A4547" t="s">
        <v>1005</v>
      </c>
      <c r="B4547" t="s">
        <v>2147</v>
      </c>
      <c r="C4547">
        <v>6</v>
      </c>
      <c r="D4547">
        <v>138</v>
      </c>
      <c r="E4547">
        <f>IF(OR(B4547="vi",B4547="ii",B4547="pod"),(((D4547/100)*(C4547*VLOOKUP(B4547,'Poids des runes'!A:B,2,FALSE)))+1),(((D4547/100)*(C4547*VLOOKUP(B4547,'Poids des runes'!A:B,2,FALSE)))+1)/VLOOKUP(B4547,'Poids des runes'!A:B,2,FALSE))</f>
        <v>8.4466666666666654</v>
      </c>
      <c r="F4547">
        <f t="shared" ref="F4547:F4610" si="71">E4547</f>
        <v>8.4466666666666654</v>
      </c>
    </row>
    <row r="4548" spans="1:6" x14ac:dyDescent="0.3">
      <c r="A4548" t="s">
        <v>1005</v>
      </c>
      <c r="B4548" t="s">
        <v>2157</v>
      </c>
      <c r="C4548">
        <v>6</v>
      </c>
      <c r="D4548">
        <v>138</v>
      </c>
      <c r="E4548">
        <f>IF(OR(B4548="vi",B4548="ii",B4548="pod"),(((D4548/100)*(C4548*VLOOKUP(B4548,'Poids des runes'!A:B,2,FALSE)))+1),(((D4548/100)*(C4548*VLOOKUP(B4548,'Poids des runes'!A:B,2,FALSE)))+1)/VLOOKUP(B4548,'Poids des runes'!A:B,2,FALSE))</f>
        <v>8.4466666666666654</v>
      </c>
      <c r="F4548">
        <f t="shared" si="71"/>
        <v>8.4466666666666654</v>
      </c>
    </row>
    <row r="4549" spans="1:6" x14ac:dyDescent="0.3">
      <c r="A4549" t="s">
        <v>1005</v>
      </c>
      <c r="B4549" t="s">
        <v>2145</v>
      </c>
      <c r="C4549">
        <v>8.5</v>
      </c>
      <c r="D4549">
        <v>138</v>
      </c>
      <c r="E4549">
        <f>IF(OR(B4549="vi",B4549="ii",B4549="pod"),(((D4549/100)*(C4549*VLOOKUP(B4549,'Poids des runes'!A:B,2,FALSE)))+1),(((D4549/100)*(C4549*VLOOKUP(B4549,'Poids des runes'!A:B,2,FALSE)))+1)/VLOOKUP(B4549,'Poids des runes'!A:B,2,FALSE))</f>
        <v>12.229999999999999</v>
      </c>
      <c r="F4549">
        <f t="shared" si="71"/>
        <v>12.229999999999999</v>
      </c>
    </row>
    <row r="4550" spans="1:6" x14ac:dyDescent="0.3">
      <c r="A4550" t="s">
        <v>1006</v>
      </c>
      <c r="B4550" t="s">
        <v>2128</v>
      </c>
      <c r="C4550">
        <v>175.5</v>
      </c>
      <c r="D4550">
        <v>138</v>
      </c>
      <c r="E4550">
        <f>IF(OR(B4550="vi",B4550="ii",B4550="pod"),(((D4550/100)*(C4550*VLOOKUP(B4550,'Poids des runes'!A:B,2,FALSE)))+1),(((D4550/100)*(C4550*VLOOKUP(B4550,'Poids des runes'!A:B,2,FALSE)))+1)/VLOOKUP(B4550,'Poids des runes'!A:B,2,FALSE))</f>
        <v>49.437999999999995</v>
      </c>
      <c r="F4550">
        <f t="shared" si="71"/>
        <v>49.437999999999995</v>
      </c>
    </row>
    <row r="4551" spans="1:6" x14ac:dyDescent="0.3">
      <c r="A4551" t="s">
        <v>1006</v>
      </c>
      <c r="B4551" t="s">
        <v>2130</v>
      </c>
      <c r="C4551">
        <v>33</v>
      </c>
      <c r="D4551">
        <v>138</v>
      </c>
      <c r="E4551">
        <f>IF(OR(B4551="vi",B4551="ii",B4551="pod"),(((D4551/100)*(C4551*VLOOKUP(B4551,'Poids des runes'!A:B,2,FALSE)))+1),(((D4551/100)*(C4551*VLOOKUP(B4551,'Poids des runes'!A:B,2,FALSE)))+1)/VLOOKUP(B4551,'Poids des runes'!A:B,2,FALSE))</f>
        <v>46.54</v>
      </c>
      <c r="F4551">
        <f t="shared" si="71"/>
        <v>46.54</v>
      </c>
    </row>
    <row r="4552" spans="1:6" x14ac:dyDescent="0.3">
      <c r="A4552" t="s">
        <v>1006</v>
      </c>
      <c r="B4552" t="s">
        <v>2126</v>
      </c>
      <c r="C4552">
        <v>33</v>
      </c>
      <c r="D4552">
        <v>138</v>
      </c>
      <c r="E4552">
        <f>IF(OR(B4552="vi",B4552="ii",B4552="pod"),(((D4552/100)*(C4552*VLOOKUP(B4552,'Poids des runes'!A:B,2,FALSE)))+1),(((D4552/100)*(C4552*VLOOKUP(B4552,'Poids des runes'!A:B,2,FALSE)))+1)/VLOOKUP(B4552,'Poids des runes'!A:B,2,FALSE))</f>
        <v>46.54</v>
      </c>
      <c r="F4552">
        <f t="shared" si="71"/>
        <v>46.54</v>
      </c>
    </row>
    <row r="4553" spans="1:6" x14ac:dyDescent="0.3">
      <c r="A4553" t="s">
        <v>1006</v>
      </c>
      <c r="B4553" t="s">
        <v>2129</v>
      </c>
      <c r="C4553">
        <v>20.5</v>
      </c>
      <c r="D4553">
        <v>138</v>
      </c>
      <c r="E4553">
        <f>IF(OR(B4553="vi",B4553="ii",B4553="pod"),(((D4553/100)*(C4553*VLOOKUP(B4553,'Poids des runes'!A:B,2,FALSE)))+1),(((D4553/100)*(C4553*VLOOKUP(B4553,'Poids des runes'!A:B,2,FALSE)))+1)/VLOOKUP(B4553,'Poids des runes'!A:B,2,FALSE))</f>
        <v>29.29</v>
      </c>
      <c r="F4553">
        <f t="shared" si="71"/>
        <v>29.29</v>
      </c>
    </row>
    <row r="4554" spans="1:6" x14ac:dyDescent="0.3">
      <c r="A4554" t="s">
        <v>1006</v>
      </c>
      <c r="B4554" t="s">
        <v>2152</v>
      </c>
      <c r="C4554">
        <v>1</v>
      </c>
      <c r="D4554">
        <v>138</v>
      </c>
      <c r="E4554">
        <f>IF(OR(B4554="vi",B4554="ii",B4554="pod"),(((D4554/100)*(C4554*VLOOKUP(B4554,'Poids des runes'!A:B,2,FALSE)))+1),(((D4554/100)*(C4554*VLOOKUP(B4554,'Poids des runes'!A:B,2,FALSE)))+1)/VLOOKUP(B4554,'Poids des runes'!A:B,2,FALSE))</f>
        <v>1.39</v>
      </c>
      <c r="F4554">
        <f t="shared" si="71"/>
        <v>1.39</v>
      </c>
    </row>
    <row r="4555" spans="1:6" x14ac:dyDescent="0.3">
      <c r="A4555" t="s">
        <v>1006</v>
      </c>
      <c r="B4555" t="s">
        <v>2134</v>
      </c>
      <c r="C4555">
        <v>8</v>
      </c>
      <c r="D4555">
        <v>138</v>
      </c>
      <c r="E4555">
        <f>IF(OR(B4555="vi",B4555="ii",B4555="pod"),(((D4555/100)*(C4555*VLOOKUP(B4555,'Poids des runes'!A:B,2,FALSE)))+1),(((D4555/100)*(C4555*VLOOKUP(B4555,'Poids des runes'!A:B,2,FALSE)))+1)/VLOOKUP(B4555,'Poids des runes'!A:B,2,FALSE))</f>
        <v>11.09</v>
      </c>
      <c r="F4555">
        <f t="shared" si="71"/>
        <v>11.09</v>
      </c>
    </row>
    <row r="4556" spans="1:6" x14ac:dyDescent="0.3">
      <c r="A4556" t="s">
        <v>1006</v>
      </c>
      <c r="B4556" t="s">
        <v>2149</v>
      </c>
      <c r="C4556">
        <v>7</v>
      </c>
      <c r="D4556">
        <v>138</v>
      </c>
      <c r="E4556">
        <f>IF(OR(B4556="vi",B4556="ii",B4556="pod"),(((D4556/100)*(C4556*VLOOKUP(B4556,'Poids des runes'!A:B,2,FALSE)))+1),(((D4556/100)*(C4556*VLOOKUP(B4556,'Poids des runes'!A:B,2,FALSE)))+1)/VLOOKUP(B4556,'Poids des runes'!A:B,2,FALSE))</f>
        <v>9.76</v>
      </c>
      <c r="F4556">
        <f t="shared" si="71"/>
        <v>9.76</v>
      </c>
    </row>
    <row r="4557" spans="1:6" x14ac:dyDescent="0.3">
      <c r="A4557" t="s">
        <v>1006</v>
      </c>
      <c r="B4557" t="s">
        <v>2161</v>
      </c>
      <c r="C4557">
        <v>13</v>
      </c>
      <c r="D4557">
        <v>138</v>
      </c>
      <c r="E4557">
        <f>IF(OR(B4557="vi",B4557="ii",B4557="pod"),(((D4557/100)*(C4557*VLOOKUP(B4557,'Poids des runes'!A:B,2,FALSE)))+1),(((D4557/100)*(C4557*VLOOKUP(B4557,'Poids des runes'!A:B,2,FALSE)))+1)/VLOOKUP(B4557,'Poids des runes'!A:B,2,FALSE))</f>
        <v>18.27333333333333</v>
      </c>
      <c r="F4557">
        <f t="shared" si="71"/>
        <v>18.27333333333333</v>
      </c>
    </row>
    <row r="4558" spans="1:6" x14ac:dyDescent="0.3">
      <c r="A4558" t="s">
        <v>1006</v>
      </c>
      <c r="B4558" t="s">
        <v>2132</v>
      </c>
      <c r="C4558">
        <v>250.5</v>
      </c>
      <c r="D4558">
        <v>138</v>
      </c>
      <c r="E4558">
        <f>IF(OR(B4558="vi",B4558="ii",B4558="pod"),(((D4558/100)*(C4558*VLOOKUP(B4558,'Poids des runes'!A:B,2,FALSE)))+1),(((D4558/100)*(C4558*VLOOKUP(B4558,'Poids des runes'!A:B,2,FALSE)))+1)/VLOOKUP(B4558,'Poids des runes'!A:B,2,FALSE))</f>
        <v>35.568999999999996</v>
      </c>
      <c r="F4558">
        <f t="shared" si="71"/>
        <v>35.568999999999996</v>
      </c>
    </row>
    <row r="4559" spans="1:6" x14ac:dyDescent="0.3">
      <c r="A4559" t="s">
        <v>1007</v>
      </c>
      <c r="B4559" t="s">
        <v>2128</v>
      </c>
      <c r="C4559">
        <v>175.5</v>
      </c>
      <c r="D4559">
        <v>139</v>
      </c>
      <c r="E4559">
        <f>IF(OR(B4559="vi",B4559="ii",B4559="pod"),(((D4559/100)*(C4559*VLOOKUP(B4559,'Poids des runes'!A:B,2,FALSE)))+1),(((D4559/100)*(C4559*VLOOKUP(B4559,'Poids des runes'!A:B,2,FALSE)))+1)/VLOOKUP(B4559,'Poids des runes'!A:B,2,FALSE))</f>
        <v>49.789000000000001</v>
      </c>
      <c r="F4559">
        <f t="shared" si="71"/>
        <v>49.789000000000001</v>
      </c>
    </row>
    <row r="4560" spans="1:6" x14ac:dyDescent="0.3">
      <c r="A4560" t="s">
        <v>1007</v>
      </c>
      <c r="B4560" t="s">
        <v>2130</v>
      </c>
      <c r="C4560">
        <v>40.5</v>
      </c>
      <c r="D4560">
        <v>139</v>
      </c>
      <c r="E4560">
        <f>IF(OR(B4560="vi",B4560="ii",B4560="pod"),(((D4560/100)*(C4560*VLOOKUP(B4560,'Poids des runes'!A:B,2,FALSE)))+1),(((D4560/100)*(C4560*VLOOKUP(B4560,'Poids des runes'!A:B,2,FALSE)))+1)/VLOOKUP(B4560,'Poids des runes'!A:B,2,FALSE))</f>
        <v>57.294999999999995</v>
      </c>
      <c r="F4560">
        <f t="shared" si="71"/>
        <v>57.294999999999995</v>
      </c>
    </row>
    <row r="4561" spans="1:6" x14ac:dyDescent="0.3">
      <c r="A4561" t="s">
        <v>1007</v>
      </c>
      <c r="B4561" t="s">
        <v>2129</v>
      </c>
      <c r="C4561">
        <v>25.5</v>
      </c>
      <c r="D4561">
        <v>139</v>
      </c>
      <c r="E4561">
        <f>IF(OR(B4561="vi",B4561="ii",B4561="pod"),(((D4561/100)*(C4561*VLOOKUP(B4561,'Poids des runes'!A:B,2,FALSE)))+1),(((D4561/100)*(C4561*VLOOKUP(B4561,'Poids des runes'!A:B,2,FALSE)))+1)/VLOOKUP(B4561,'Poids des runes'!A:B,2,FALSE))</f>
        <v>36.445</v>
      </c>
      <c r="F4561">
        <f t="shared" si="71"/>
        <v>36.445</v>
      </c>
    </row>
    <row r="4562" spans="1:6" x14ac:dyDescent="0.3">
      <c r="A4562" t="s">
        <v>1007</v>
      </c>
      <c r="B4562" t="s">
        <v>2139</v>
      </c>
      <c r="C4562">
        <v>13</v>
      </c>
      <c r="D4562">
        <v>139</v>
      </c>
      <c r="E4562">
        <f>IF(OR(B4562="vi",B4562="ii",B4562="pod"),(((D4562/100)*(C4562*VLOOKUP(B4562,'Poids des runes'!A:B,2,FALSE)))+1),(((D4562/100)*(C4562*VLOOKUP(B4562,'Poids des runes'!A:B,2,FALSE)))+1)/VLOOKUP(B4562,'Poids des runes'!A:B,2,FALSE))</f>
        <v>18.57</v>
      </c>
      <c r="F4562">
        <f t="shared" si="71"/>
        <v>18.57</v>
      </c>
    </row>
    <row r="4563" spans="1:6" x14ac:dyDescent="0.3">
      <c r="A4563" t="s">
        <v>1007</v>
      </c>
      <c r="B4563" t="s">
        <v>2151</v>
      </c>
      <c r="C4563">
        <v>2.5</v>
      </c>
      <c r="D4563">
        <v>139</v>
      </c>
      <c r="E4563">
        <f>IF(OR(B4563="vi",B4563="ii",B4563="pod"),(((D4563/100)*(C4563*VLOOKUP(B4563,'Poids des runes'!A:B,2,FALSE)))+1),(((D4563/100)*(C4563*VLOOKUP(B4563,'Poids des runes'!A:B,2,FALSE)))+1)/VLOOKUP(B4563,'Poids des runes'!A:B,2,FALSE))</f>
        <v>3.5750000000000002</v>
      </c>
      <c r="F4563">
        <f t="shared" si="71"/>
        <v>3.5750000000000002</v>
      </c>
    </row>
    <row r="4564" spans="1:6" x14ac:dyDescent="0.3">
      <c r="A4564" t="s">
        <v>1007</v>
      </c>
      <c r="B4564" t="s">
        <v>2134</v>
      </c>
      <c r="C4564">
        <v>6</v>
      </c>
      <c r="D4564">
        <v>139</v>
      </c>
      <c r="E4564">
        <f>IF(OR(B4564="vi",B4564="ii",B4564="pod"),(((D4564/100)*(C4564*VLOOKUP(B4564,'Poids des runes'!A:B,2,FALSE)))+1),(((D4564/100)*(C4564*VLOOKUP(B4564,'Poids des runes'!A:B,2,FALSE)))+1)/VLOOKUP(B4564,'Poids des runes'!A:B,2,FALSE))</f>
        <v>8.3899999999999988</v>
      </c>
      <c r="F4564">
        <f t="shared" si="71"/>
        <v>8.3899999999999988</v>
      </c>
    </row>
    <row r="4565" spans="1:6" x14ac:dyDescent="0.3">
      <c r="A4565" t="s">
        <v>1007</v>
      </c>
      <c r="B4565" t="s">
        <v>2161</v>
      </c>
      <c r="C4565">
        <v>15.5</v>
      </c>
      <c r="D4565">
        <v>139</v>
      </c>
      <c r="E4565">
        <f>IF(OR(B4565="vi",B4565="ii",B4565="pod"),(((D4565/100)*(C4565*VLOOKUP(B4565,'Poids des runes'!A:B,2,FALSE)))+1),(((D4565/100)*(C4565*VLOOKUP(B4565,'Poids des runes'!A:B,2,FALSE)))+1)/VLOOKUP(B4565,'Poids des runes'!A:B,2,FALSE))</f>
        <v>21.87833333333333</v>
      </c>
      <c r="F4565">
        <f t="shared" si="71"/>
        <v>21.87833333333333</v>
      </c>
    </row>
    <row r="4566" spans="1:6" x14ac:dyDescent="0.3">
      <c r="A4566" t="s">
        <v>1007</v>
      </c>
      <c r="B4566" t="s">
        <v>2132</v>
      </c>
      <c r="C4566">
        <v>300.5</v>
      </c>
      <c r="D4566">
        <v>139</v>
      </c>
      <c r="E4566">
        <f>IF(OR(B4566="vi",B4566="ii",B4566="pod"),(((D4566/100)*(C4566*VLOOKUP(B4566,'Poids des runes'!A:B,2,FALSE)))+1),(((D4566/100)*(C4566*VLOOKUP(B4566,'Poids des runes'!A:B,2,FALSE)))+1)/VLOOKUP(B4566,'Poids des runes'!A:B,2,FALSE))</f>
        <v>42.769500000000001</v>
      </c>
      <c r="F4566">
        <f t="shared" si="71"/>
        <v>42.769500000000001</v>
      </c>
    </row>
    <row r="4567" spans="1:6" x14ac:dyDescent="0.3">
      <c r="A4567" t="s">
        <v>1007</v>
      </c>
      <c r="B4567" t="s">
        <v>2156</v>
      </c>
      <c r="C4567">
        <v>6</v>
      </c>
      <c r="D4567">
        <v>139</v>
      </c>
      <c r="E4567">
        <f>IF(OR(B4567="vi",B4567="ii",B4567="pod"),(((D4567/100)*(C4567*VLOOKUP(B4567,'Poids des runes'!A:B,2,FALSE)))+1),(((D4567/100)*(C4567*VLOOKUP(B4567,'Poids des runes'!A:B,2,FALSE)))+1)/VLOOKUP(B4567,'Poids des runes'!A:B,2,FALSE))</f>
        <v>8.5066666666666659</v>
      </c>
      <c r="F4567">
        <f t="shared" si="71"/>
        <v>8.5066666666666659</v>
      </c>
    </row>
    <row r="4568" spans="1:6" x14ac:dyDescent="0.3">
      <c r="A4568" t="s">
        <v>1007</v>
      </c>
      <c r="B4568" t="s">
        <v>2147</v>
      </c>
      <c r="C4568">
        <v>8</v>
      </c>
      <c r="D4568">
        <v>139</v>
      </c>
      <c r="E4568">
        <f>IF(OR(B4568="vi",B4568="ii",B4568="pod"),(((D4568/100)*(C4568*VLOOKUP(B4568,'Poids des runes'!A:B,2,FALSE)))+1),(((D4568/100)*(C4568*VLOOKUP(B4568,'Poids des runes'!A:B,2,FALSE)))+1)/VLOOKUP(B4568,'Poids des runes'!A:B,2,FALSE))</f>
        <v>11.286666666666667</v>
      </c>
      <c r="F4568">
        <f t="shared" si="71"/>
        <v>11.286666666666667</v>
      </c>
    </row>
    <row r="4569" spans="1:6" x14ac:dyDescent="0.3">
      <c r="A4569" t="s">
        <v>1008</v>
      </c>
      <c r="B4569" t="s">
        <v>2128</v>
      </c>
      <c r="C4569">
        <v>125.5</v>
      </c>
      <c r="D4569">
        <v>139</v>
      </c>
      <c r="E4569">
        <f>IF(OR(B4569="vi",B4569="ii",B4569="pod"),(((D4569/100)*(C4569*VLOOKUP(B4569,'Poids des runes'!A:B,2,FALSE)))+1),(((D4569/100)*(C4569*VLOOKUP(B4569,'Poids des runes'!A:B,2,FALSE)))+1)/VLOOKUP(B4569,'Poids des runes'!A:B,2,FALSE))</f>
        <v>35.889000000000003</v>
      </c>
      <c r="F4569">
        <f t="shared" si="71"/>
        <v>35.889000000000003</v>
      </c>
    </row>
    <row r="4570" spans="1:6" x14ac:dyDescent="0.3">
      <c r="A4570" t="s">
        <v>1008</v>
      </c>
      <c r="B4570" t="s">
        <v>2130</v>
      </c>
      <c r="C4570">
        <v>25.5</v>
      </c>
      <c r="D4570">
        <v>139</v>
      </c>
      <c r="E4570">
        <f>IF(OR(B4570="vi",B4570="ii",B4570="pod"),(((D4570/100)*(C4570*VLOOKUP(B4570,'Poids des runes'!A:B,2,FALSE)))+1),(((D4570/100)*(C4570*VLOOKUP(B4570,'Poids des runes'!A:B,2,FALSE)))+1)/VLOOKUP(B4570,'Poids des runes'!A:B,2,FALSE))</f>
        <v>36.445</v>
      </c>
      <c r="F4570">
        <f t="shared" si="71"/>
        <v>36.445</v>
      </c>
    </row>
    <row r="4571" spans="1:6" x14ac:dyDescent="0.3">
      <c r="A4571" t="s">
        <v>1008</v>
      </c>
      <c r="B4571" t="s">
        <v>2126</v>
      </c>
      <c r="C4571">
        <v>25.5</v>
      </c>
      <c r="D4571">
        <v>139</v>
      </c>
      <c r="E4571">
        <f>IF(OR(B4571="vi",B4571="ii",B4571="pod"),(((D4571/100)*(C4571*VLOOKUP(B4571,'Poids des runes'!A:B,2,FALSE)))+1),(((D4571/100)*(C4571*VLOOKUP(B4571,'Poids des runes'!A:B,2,FALSE)))+1)/VLOOKUP(B4571,'Poids des runes'!A:B,2,FALSE))</f>
        <v>36.445</v>
      </c>
      <c r="F4571">
        <f t="shared" si="71"/>
        <v>36.445</v>
      </c>
    </row>
    <row r="4572" spans="1:6" x14ac:dyDescent="0.3">
      <c r="A4572" t="s">
        <v>1008</v>
      </c>
      <c r="B4572" t="s">
        <v>2129</v>
      </c>
      <c r="C4572">
        <v>20.5</v>
      </c>
      <c r="D4572">
        <v>139</v>
      </c>
      <c r="E4572">
        <f>IF(OR(B4572="vi",B4572="ii",B4572="pod"),(((D4572/100)*(C4572*VLOOKUP(B4572,'Poids des runes'!A:B,2,FALSE)))+1),(((D4572/100)*(C4572*VLOOKUP(B4572,'Poids des runes'!A:B,2,FALSE)))+1)/VLOOKUP(B4572,'Poids des runes'!A:B,2,FALSE))</f>
        <v>29.494999999999997</v>
      </c>
      <c r="F4572">
        <f t="shared" si="71"/>
        <v>29.494999999999997</v>
      </c>
    </row>
    <row r="4573" spans="1:6" x14ac:dyDescent="0.3">
      <c r="A4573" t="s">
        <v>1008</v>
      </c>
      <c r="B4573" t="s">
        <v>2151</v>
      </c>
      <c r="C4573">
        <v>1.5</v>
      </c>
      <c r="D4573">
        <v>139</v>
      </c>
      <c r="E4573">
        <f>IF(OR(B4573="vi",B4573="ii",B4573="pod"),(((D4573/100)*(C4573*VLOOKUP(B4573,'Poids des runes'!A:B,2,FALSE)))+1),(((D4573/100)*(C4573*VLOOKUP(B4573,'Poids des runes'!A:B,2,FALSE)))+1)/VLOOKUP(B4573,'Poids des runes'!A:B,2,FALSE))</f>
        <v>2.1849999999999996</v>
      </c>
      <c r="F4573">
        <f t="shared" si="71"/>
        <v>2.1849999999999996</v>
      </c>
    </row>
    <row r="4574" spans="1:6" x14ac:dyDescent="0.3">
      <c r="A4574" t="s">
        <v>1008</v>
      </c>
      <c r="B4574" t="s">
        <v>2134</v>
      </c>
      <c r="C4574">
        <v>5</v>
      </c>
      <c r="D4574">
        <v>139</v>
      </c>
      <c r="E4574">
        <f>IF(OR(B4574="vi",B4574="ii",B4574="pod"),(((D4574/100)*(C4574*VLOOKUP(B4574,'Poids des runes'!A:B,2,FALSE)))+1),(((D4574/100)*(C4574*VLOOKUP(B4574,'Poids des runes'!A:B,2,FALSE)))+1)/VLOOKUP(B4574,'Poids des runes'!A:B,2,FALSE))</f>
        <v>7</v>
      </c>
      <c r="F4574">
        <f t="shared" si="71"/>
        <v>7</v>
      </c>
    </row>
    <row r="4575" spans="1:6" x14ac:dyDescent="0.3">
      <c r="A4575" t="s">
        <v>1008</v>
      </c>
      <c r="B4575" t="s">
        <v>2161</v>
      </c>
      <c r="C4575">
        <v>8</v>
      </c>
      <c r="D4575">
        <v>139</v>
      </c>
      <c r="E4575">
        <f>IF(OR(B4575="vi",B4575="ii",B4575="pod"),(((D4575/100)*(C4575*VLOOKUP(B4575,'Poids des runes'!A:B,2,FALSE)))+1),(((D4575/100)*(C4575*VLOOKUP(B4575,'Poids des runes'!A:B,2,FALSE)))+1)/VLOOKUP(B4575,'Poids des runes'!A:B,2,FALSE))</f>
        <v>11.453333333333333</v>
      </c>
      <c r="F4575">
        <f t="shared" si="71"/>
        <v>11.453333333333333</v>
      </c>
    </row>
    <row r="4576" spans="1:6" x14ac:dyDescent="0.3">
      <c r="A4576" t="s">
        <v>1008</v>
      </c>
      <c r="B4576" t="s">
        <v>2156</v>
      </c>
      <c r="C4576">
        <v>5</v>
      </c>
      <c r="D4576">
        <v>139</v>
      </c>
      <c r="E4576">
        <f>IF(OR(B4576="vi",B4576="ii",B4576="pod"),(((D4576/100)*(C4576*VLOOKUP(B4576,'Poids des runes'!A:B,2,FALSE)))+1),(((D4576/100)*(C4576*VLOOKUP(B4576,'Poids des runes'!A:B,2,FALSE)))+1)/VLOOKUP(B4576,'Poids des runes'!A:B,2,FALSE))</f>
        <v>7.1166666666666663</v>
      </c>
      <c r="F4576">
        <f t="shared" si="71"/>
        <v>7.1166666666666663</v>
      </c>
    </row>
    <row r="4577" spans="1:6" x14ac:dyDescent="0.3">
      <c r="A4577" t="s">
        <v>1008</v>
      </c>
      <c r="B4577" t="s">
        <v>2148</v>
      </c>
      <c r="C4577">
        <v>5</v>
      </c>
      <c r="D4577">
        <v>139</v>
      </c>
      <c r="E4577">
        <f>IF(OR(B4577="vi",B4577="ii",B4577="pod"),(((D4577/100)*(C4577*VLOOKUP(B4577,'Poids des runes'!A:B,2,FALSE)))+1),(((D4577/100)*(C4577*VLOOKUP(B4577,'Poids des runes'!A:B,2,FALSE)))+1)/VLOOKUP(B4577,'Poids des runes'!A:B,2,FALSE))</f>
        <v>7.1166666666666663</v>
      </c>
      <c r="F4577">
        <f t="shared" si="71"/>
        <v>7.1166666666666663</v>
      </c>
    </row>
    <row r="4578" spans="1:6" x14ac:dyDescent="0.3">
      <c r="A4578" t="s">
        <v>1008</v>
      </c>
      <c r="B4578" t="s">
        <v>2147</v>
      </c>
      <c r="C4578">
        <v>5</v>
      </c>
      <c r="D4578">
        <v>139</v>
      </c>
      <c r="E4578">
        <f>IF(OR(B4578="vi",B4578="ii",B4578="pod"),(((D4578/100)*(C4578*VLOOKUP(B4578,'Poids des runes'!A:B,2,FALSE)))+1),(((D4578/100)*(C4578*VLOOKUP(B4578,'Poids des runes'!A:B,2,FALSE)))+1)/VLOOKUP(B4578,'Poids des runes'!A:B,2,FALSE))</f>
        <v>7.1166666666666663</v>
      </c>
      <c r="F4578">
        <f t="shared" si="71"/>
        <v>7.1166666666666663</v>
      </c>
    </row>
    <row r="4579" spans="1:6" x14ac:dyDescent="0.3">
      <c r="A4579" t="s">
        <v>1009</v>
      </c>
      <c r="B4579" t="s">
        <v>2128</v>
      </c>
      <c r="C4579">
        <v>200.5</v>
      </c>
      <c r="D4579">
        <v>140</v>
      </c>
      <c r="E4579">
        <f>IF(OR(B4579="vi",B4579="ii",B4579="pod"),(((D4579/100)*(C4579*VLOOKUP(B4579,'Poids des runes'!A:B,2,FALSE)))+1),(((D4579/100)*(C4579*VLOOKUP(B4579,'Poids des runes'!A:B,2,FALSE)))+1)/VLOOKUP(B4579,'Poids des runes'!A:B,2,FALSE))</f>
        <v>57.14</v>
      </c>
      <c r="F4579">
        <f t="shared" si="71"/>
        <v>57.14</v>
      </c>
    </row>
    <row r="4580" spans="1:6" x14ac:dyDescent="0.3">
      <c r="A4580" t="s">
        <v>1009</v>
      </c>
      <c r="B4580" t="s">
        <v>2127</v>
      </c>
      <c r="C4580">
        <v>50.5</v>
      </c>
      <c r="D4580">
        <v>140</v>
      </c>
      <c r="E4580">
        <f>IF(OR(B4580="vi",B4580="ii",B4580="pod"),(((D4580/100)*(C4580*VLOOKUP(B4580,'Poids des runes'!A:B,2,FALSE)))+1),(((D4580/100)*(C4580*VLOOKUP(B4580,'Poids des runes'!A:B,2,FALSE)))+1)/VLOOKUP(B4580,'Poids des runes'!A:B,2,FALSE))</f>
        <v>71.699999999999989</v>
      </c>
      <c r="F4580">
        <f t="shared" si="71"/>
        <v>71.699999999999989</v>
      </c>
    </row>
    <row r="4581" spans="1:6" x14ac:dyDescent="0.3">
      <c r="A4581" t="s">
        <v>1009</v>
      </c>
      <c r="B4581" t="s">
        <v>2129</v>
      </c>
      <c r="C4581">
        <v>20.5</v>
      </c>
      <c r="D4581">
        <v>140</v>
      </c>
      <c r="E4581">
        <f>IF(OR(B4581="vi",B4581="ii",B4581="pod"),(((D4581/100)*(C4581*VLOOKUP(B4581,'Poids des runes'!A:B,2,FALSE)))+1),(((D4581/100)*(C4581*VLOOKUP(B4581,'Poids des runes'!A:B,2,FALSE)))+1)/VLOOKUP(B4581,'Poids des runes'!A:B,2,FALSE))</f>
        <v>29.7</v>
      </c>
      <c r="F4581">
        <f t="shared" si="71"/>
        <v>29.7</v>
      </c>
    </row>
    <row r="4582" spans="1:6" x14ac:dyDescent="0.3">
      <c r="A4582" t="s">
        <v>1009</v>
      </c>
      <c r="B4582" t="s">
        <v>2151</v>
      </c>
      <c r="C4582">
        <v>3.5</v>
      </c>
      <c r="D4582">
        <v>140</v>
      </c>
      <c r="E4582">
        <f>IF(OR(B4582="vi",B4582="ii",B4582="pod"),(((D4582/100)*(C4582*VLOOKUP(B4582,'Poids des runes'!A:B,2,FALSE)))+1),(((D4582/100)*(C4582*VLOOKUP(B4582,'Poids des runes'!A:B,2,FALSE)))+1)/VLOOKUP(B4582,'Poids des runes'!A:B,2,FALSE))</f>
        <v>5</v>
      </c>
      <c r="F4582">
        <f t="shared" si="71"/>
        <v>5</v>
      </c>
    </row>
    <row r="4583" spans="1:6" x14ac:dyDescent="0.3">
      <c r="A4583" t="s">
        <v>1009</v>
      </c>
      <c r="B4583" t="s">
        <v>2153</v>
      </c>
      <c r="C4583">
        <v>10</v>
      </c>
      <c r="D4583">
        <v>140</v>
      </c>
      <c r="E4583">
        <f>IF(OR(B4583="vi",B4583="ii",B4583="pod"),(((D4583/100)*(C4583*VLOOKUP(B4583,'Poids des runes'!A:B,2,FALSE)))+1),(((D4583/100)*(C4583*VLOOKUP(B4583,'Poids des runes'!A:B,2,FALSE)))+1)/VLOOKUP(B4583,'Poids des runes'!A:B,2,FALSE))</f>
        <v>14.2</v>
      </c>
      <c r="F4583">
        <f t="shared" si="71"/>
        <v>14.2</v>
      </c>
    </row>
    <row r="4584" spans="1:6" x14ac:dyDescent="0.3">
      <c r="A4584" t="s">
        <v>1009</v>
      </c>
      <c r="B4584" t="s">
        <v>2161</v>
      </c>
      <c r="C4584">
        <v>13</v>
      </c>
      <c r="D4584">
        <v>140</v>
      </c>
      <c r="E4584">
        <f>IF(OR(B4584="vi",B4584="ii",B4584="pod"),(((D4584/100)*(C4584*VLOOKUP(B4584,'Poids des runes'!A:B,2,FALSE)))+1),(((D4584/100)*(C4584*VLOOKUP(B4584,'Poids des runes'!A:B,2,FALSE)))+1)/VLOOKUP(B4584,'Poids des runes'!A:B,2,FALSE))</f>
        <v>18.533333333333331</v>
      </c>
      <c r="F4584">
        <f t="shared" si="71"/>
        <v>18.533333333333331</v>
      </c>
    </row>
    <row r="4585" spans="1:6" x14ac:dyDescent="0.3">
      <c r="A4585" t="s">
        <v>1009</v>
      </c>
      <c r="B4585" t="s">
        <v>2142</v>
      </c>
      <c r="C4585">
        <v>13</v>
      </c>
      <c r="D4585">
        <v>140</v>
      </c>
      <c r="E4585">
        <f>IF(OR(B4585="vi",B4585="ii",B4585="pod"),(((D4585/100)*(C4585*VLOOKUP(B4585,'Poids des runes'!A:B,2,FALSE)))+1),(((D4585/100)*(C4585*VLOOKUP(B4585,'Poids des runes'!A:B,2,FALSE)))+1)/VLOOKUP(B4585,'Poids des runes'!A:B,2,FALSE))</f>
        <v>18.399999999999999</v>
      </c>
      <c r="F4585">
        <f t="shared" si="71"/>
        <v>18.399999999999999</v>
      </c>
    </row>
    <row r="4586" spans="1:6" x14ac:dyDescent="0.3">
      <c r="A4586" t="s">
        <v>1009</v>
      </c>
      <c r="B4586" t="s">
        <v>2163</v>
      </c>
      <c r="C4586">
        <v>8.5</v>
      </c>
      <c r="D4586">
        <v>140</v>
      </c>
      <c r="E4586">
        <f>IF(OR(B4586="vi",B4586="ii",B4586="pod"),(((D4586/100)*(C4586*VLOOKUP(B4586,'Poids des runes'!A:B,2,FALSE)))+1),(((D4586/100)*(C4586*VLOOKUP(B4586,'Poids des runes'!A:B,2,FALSE)))+1)/VLOOKUP(B4586,'Poids des runes'!A:B,2,FALSE))</f>
        <v>12.399999999999999</v>
      </c>
      <c r="F4586">
        <f t="shared" si="71"/>
        <v>12.399999999999999</v>
      </c>
    </row>
    <row r="4587" spans="1:6" x14ac:dyDescent="0.3">
      <c r="A4587" t="s">
        <v>1009</v>
      </c>
      <c r="B4587" t="s">
        <v>2148</v>
      </c>
      <c r="C4587">
        <v>8.5</v>
      </c>
      <c r="D4587">
        <v>140</v>
      </c>
      <c r="E4587">
        <f>IF(OR(B4587="vi",B4587="ii",B4587="pod"),(((D4587/100)*(C4587*VLOOKUP(B4587,'Poids des runes'!A:B,2,FALSE)))+1),(((D4587/100)*(C4587*VLOOKUP(B4587,'Poids des runes'!A:B,2,FALSE)))+1)/VLOOKUP(B4587,'Poids des runes'!A:B,2,FALSE))</f>
        <v>12.066666666666665</v>
      </c>
      <c r="F4587">
        <f t="shared" si="71"/>
        <v>12.066666666666665</v>
      </c>
    </row>
    <row r="4588" spans="1:6" x14ac:dyDescent="0.3">
      <c r="A4588" t="s">
        <v>1009</v>
      </c>
      <c r="B4588" t="s">
        <v>2146</v>
      </c>
      <c r="C4588">
        <v>13</v>
      </c>
      <c r="D4588">
        <v>140</v>
      </c>
      <c r="E4588">
        <f>IF(OR(B4588="vi",B4588="ii",B4588="pod"),(((D4588/100)*(C4588*VLOOKUP(B4588,'Poids des runes'!A:B,2,FALSE)))+1),(((D4588/100)*(C4588*VLOOKUP(B4588,'Poids des runes'!A:B,2,FALSE)))+1)/VLOOKUP(B4588,'Poids des runes'!A:B,2,FALSE))</f>
        <v>18.7</v>
      </c>
      <c r="F4588">
        <f t="shared" si="71"/>
        <v>18.7</v>
      </c>
    </row>
    <row r="4589" spans="1:6" x14ac:dyDescent="0.3">
      <c r="A4589" t="s">
        <v>1010</v>
      </c>
      <c r="B4589" t="s">
        <v>2128</v>
      </c>
      <c r="C4589">
        <v>125.5</v>
      </c>
      <c r="D4589">
        <v>141</v>
      </c>
      <c r="E4589">
        <f>IF(OR(B4589="vi",B4589="ii",B4589="pod"),(((D4589/100)*(C4589*VLOOKUP(B4589,'Poids des runes'!A:B,2,FALSE)))+1),(((D4589/100)*(C4589*VLOOKUP(B4589,'Poids des runes'!A:B,2,FALSE)))+1)/VLOOKUP(B4589,'Poids des runes'!A:B,2,FALSE))</f>
        <v>36.390999999999998</v>
      </c>
      <c r="F4589">
        <f t="shared" si="71"/>
        <v>36.390999999999998</v>
      </c>
    </row>
    <row r="4590" spans="1:6" x14ac:dyDescent="0.3">
      <c r="A4590" t="s">
        <v>1010</v>
      </c>
      <c r="B4590" t="s">
        <v>2127</v>
      </c>
      <c r="C4590">
        <v>35.5</v>
      </c>
      <c r="D4590">
        <v>141</v>
      </c>
      <c r="E4590">
        <f>IF(OR(B4590="vi",B4590="ii",B4590="pod"),(((D4590/100)*(C4590*VLOOKUP(B4590,'Poids des runes'!A:B,2,FALSE)))+1),(((D4590/100)*(C4590*VLOOKUP(B4590,'Poids des runes'!A:B,2,FALSE)))+1)/VLOOKUP(B4590,'Poids des runes'!A:B,2,FALSE))</f>
        <v>51.055</v>
      </c>
      <c r="F4590">
        <f t="shared" si="71"/>
        <v>51.055</v>
      </c>
    </row>
    <row r="4591" spans="1:6" x14ac:dyDescent="0.3">
      <c r="A4591" t="s">
        <v>1010</v>
      </c>
      <c r="B4591" t="s">
        <v>2129</v>
      </c>
      <c r="C4591">
        <v>25.5</v>
      </c>
      <c r="D4591">
        <v>141</v>
      </c>
      <c r="E4591">
        <f>IF(OR(B4591="vi",B4591="ii",B4591="pod"),(((D4591/100)*(C4591*VLOOKUP(B4591,'Poids des runes'!A:B,2,FALSE)))+1),(((D4591/100)*(C4591*VLOOKUP(B4591,'Poids des runes'!A:B,2,FALSE)))+1)/VLOOKUP(B4591,'Poids des runes'!A:B,2,FALSE))</f>
        <v>36.954999999999998</v>
      </c>
      <c r="F4591">
        <f t="shared" si="71"/>
        <v>36.954999999999998</v>
      </c>
    </row>
    <row r="4592" spans="1:6" x14ac:dyDescent="0.3">
      <c r="A4592" t="s">
        <v>1010</v>
      </c>
      <c r="B4592" t="s">
        <v>2151</v>
      </c>
      <c r="C4592">
        <v>3.5</v>
      </c>
      <c r="D4592">
        <v>141</v>
      </c>
      <c r="E4592">
        <f>IF(OR(B4592="vi",B4592="ii",B4592="pod"),(((D4592/100)*(C4592*VLOOKUP(B4592,'Poids des runes'!A:B,2,FALSE)))+1),(((D4592/100)*(C4592*VLOOKUP(B4592,'Poids des runes'!A:B,2,FALSE)))+1)/VLOOKUP(B4592,'Poids des runes'!A:B,2,FALSE))</f>
        <v>5.0349999999999993</v>
      </c>
      <c r="F4592">
        <f t="shared" si="71"/>
        <v>5.0349999999999993</v>
      </c>
    </row>
    <row r="4593" spans="1:6" x14ac:dyDescent="0.3">
      <c r="A4593" t="s">
        <v>1010</v>
      </c>
      <c r="B4593" t="s">
        <v>2153</v>
      </c>
      <c r="C4593">
        <v>6</v>
      </c>
      <c r="D4593">
        <v>141</v>
      </c>
      <c r="E4593">
        <f>IF(OR(B4593="vi",B4593="ii",B4593="pod"),(((D4593/100)*(C4593*VLOOKUP(B4593,'Poids des runes'!A:B,2,FALSE)))+1),(((D4593/100)*(C4593*VLOOKUP(B4593,'Poids des runes'!A:B,2,FALSE)))+1)/VLOOKUP(B4593,'Poids des runes'!A:B,2,FALSE))</f>
        <v>8.66</v>
      </c>
      <c r="F4593">
        <f t="shared" si="71"/>
        <v>8.66</v>
      </c>
    </row>
    <row r="4594" spans="1:6" x14ac:dyDescent="0.3">
      <c r="A4594" t="s">
        <v>1010</v>
      </c>
      <c r="B4594" t="s">
        <v>2149</v>
      </c>
      <c r="C4594">
        <v>6</v>
      </c>
      <c r="D4594">
        <v>141</v>
      </c>
      <c r="E4594">
        <f>IF(OR(B4594="vi",B4594="ii",B4594="pod"),(((D4594/100)*(C4594*VLOOKUP(B4594,'Poids des runes'!A:B,2,FALSE)))+1),(((D4594/100)*(C4594*VLOOKUP(B4594,'Poids des runes'!A:B,2,FALSE)))+1)/VLOOKUP(B4594,'Poids des runes'!A:B,2,FALSE))</f>
        <v>8.5599999999999987</v>
      </c>
      <c r="F4594">
        <f t="shared" si="71"/>
        <v>8.5599999999999987</v>
      </c>
    </row>
    <row r="4595" spans="1:6" x14ac:dyDescent="0.3">
      <c r="A4595" t="s">
        <v>1010</v>
      </c>
      <c r="B4595" t="s">
        <v>2161</v>
      </c>
      <c r="C4595">
        <v>8.5</v>
      </c>
      <c r="D4595">
        <v>141</v>
      </c>
      <c r="E4595">
        <f>IF(OR(B4595="vi",B4595="ii",B4595="pod"),(((D4595/100)*(C4595*VLOOKUP(B4595,'Poids des runes'!A:B,2,FALSE)))+1),(((D4595/100)*(C4595*VLOOKUP(B4595,'Poids des runes'!A:B,2,FALSE)))+1)/VLOOKUP(B4595,'Poids des runes'!A:B,2,FALSE))</f>
        <v>12.318333333333333</v>
      </c>
      <c r="F4595">
        <f t="shared" si="71"/>
        <v>12.318333333333333</v>
      </c>
    </row>
    <row r="4596" spans="1:6" x14ac:dyDescent="0.3">
      <c r="A4596" t="s">
        <v>1010</v>
      </c>
      <c r="B4596" t="s">
        <v>2132</v>
      </c>
      <c r="C4596">
        <v>150.5</v>
      </c>
      <c r="D4596">
        <v>141</v>
      </c>
      <c r="E4596">
        <f>IF(OR(B4596="vi",B4596="ii",B4596="pod"),(((D4596/100)*(C4596*VLOOKUP(B4596,'Poids des runes'!A:B,2,FALSE)))+1),(((D4596/100)*(C4596*VLOOKUP(B4596,'Poids des runes'!A:B,2,FALSE)))+1)/VLOOKUP(B4596,'Poids des runes'!A:B,2,FALSE))</f>
        <v>22.220500000000001</v>
      </c>
      <c r="F4596">
        <f t="shared" si="71"/>
        <v>22.220500000000001</v>
      </c>
    </row>
    <row r="4597" spans="1:6" x14ac:dyDescent="0.3">
      <c r="A4597" t="s">
        <v>1010</v>
      </c>
      <c r="B4597" t="s">
        <v>2142</v>
      </c>
      <c r="C4597">
        <v>8.5</v>
      </c>
      <c r="D4597">
        <v>141</v>
      </c>
      <c r="E4597">
        <f>IF(OR(B4597="vi",B4597="ii",B4597="pod"),(((D4597/100)*(C4597*VLOOKUP(B4597,'Poids des runes'!A:B,2,FALSE)))+1),(((D4597/100)*(C4597*VLOOKUP(B4597,'Poids des runes'!A:B,2,FALSE)))+1)/VLOOKUP(B4597,'Poids des runes'!A:B,2,FALSE))</f>
        <v>12.184999999999999</v>
      </c>
      <c r="F4597">
        <f t="shared" si="71"/>
        <v>12.184999999999999</v>
      </c>
    </row>
    <row r="4598" spans="1:6" x14ac:dyDescent="0.3">
      <c r="A4598" t="s">
        <v>1010</v>
      </c>
      <c r="B4598" t="s">
        <v>2136</v>
      </c>
      <c r="C4598">
        <v>6</v>
      </c>
      <c r="D4598">
        <v>141</v>
      </c>
      <c r="E4598">
        <f>IF(OR(B4598="vi",B4598="ii",B4598="pod"),(((D4598/100)*(C4598*VLOOKUP(B4598,'Poids des runes'!A:B,2,FALSE)))+1),(((D4598/100)*(C4598*VLOOKUP(B4598,'Poids des runes'!A:B,2,FALSE)))+1)/VLOOKUP(B4598,'Poids des runes'!A:B,2,FALSE))</f>
        <v>8.9599999999999991</v>
      </c>
      <c r="F4598">
        <f t="shared" si="71"/>
        <v>8.9599999999999991</v>
      </c>
    </row>
    <row r="4599" spans="1:6" x14ac:dyDescent="0.3">
      <c r="A4599" t="s">
        <v>1011</v>
      </c>
      <c r="B4599" t="s">
        <v>2128</v>
      </c>
      <c r="C4599">
        <v>235.5</v>
      </c>
      <c r="D4599">
        <v>141</v>
      </c>
      <c r="E4599">
        <f>IF(OR(B4599="vi",B4599="ii",B4599="pod"),(((D4599/100)*(C4599*VLOOKUP(B4599,'Poids des runes'!A:B,2,FALSE)))+1),(((D4599/100)*(C4599*VLOOKUP(B4599,'Poids des runes'!A:B,2,FALSE)))+1)/VLOOKUP(B4599,'Poids des runes'!A:B,2,FALSE))</f>
        <v>67.411000000000001</v>
      </c>
      <c r="F4599">
        <f t="shared" si="71"/>
        <v>67.411000000000001</v>
      </c>
    </row>
    <row r="4600" spans="1:6" x14ac:dyDescent="0.3">
      <c r="A4600" t="s">
        <v>1011</v>
      </c>
      <c r="B4600" t="s">
        <v>2130</v>
      </c>
      <c r="C4600">
        <v>43</v>
      </c>
      <c r="D4600">
        <v>141</v>
      </c>
      <c r="E4600">
        <f>IF(OR(B4600="vi",B4600="ii",B4600="pod"),(((D4600/100)*(C4600*VLOOKUP(B4600,'Poids des runes'!A:B,2,FALSE)))+1),(((D4600/100)*(C4600*VLOOKUP(B4600,'Poids des runes'!A:B,2,FALSE)))+1)/VLOOKUP(B4600,'Poids des runes'!A:B,2,FALSE))</f>
        <v>61.629999999999995</v>
      </c>
      <c r="F4600">
        <f t="shared" si="71"/>
        <v>61.629999999999995</v>
      </c>
    </row>
    <row r="4601" spans="1:6" x14ac:dyDescent="0.3">
      <c r="A4601" t="s">
        <v>1011</v>
      </c>
      <c r="B4601" t="s">
        <v>2126</v>
      </c>
      <c r="C4601">
        <v>20.5</v>
      </c>
      <c r="D4601">
        <v>141</v>
      </c>
      <c r="E4601">
        <f>IF(OR(B4601="vi",B4601="ii",B4601="pod"),(((D4601/100)*(C4601*VLOOKUP(B4601,'Poids des runes'!A:B,2,FALSE)))+1),(((D4601/100)*(C4601*VLOOKUP(B4601,'Poids des runes'!A:B,2,FALSE)))+1)/VLOOKUP(B4601,'Poids des runes'!A:B,2,FALSE))</f>
        <v>29.904999999999998</v>
      </c>
      <c r="F4601">
        <f t="shared" si="71"/>
        <v>29.904999999999998</v>
      </c>
    </row>
    <row r="4602" spans="1:6" x14ac:dyDescent="0.3">
      <c r="A4602" t="s">
        <v>1011</v>
      </c>
      <c r="B4602" t="s">
        <v>2127</v>
      </c>
      <c r="C4602">
        <v>20.5</v>
      </c>
      <c r="D4602">
        <v>141</v>
      </c>
      <c r="E4602">
        <f>IF(OR(B4602="vi",B4602="ii",B4602="pod"),(((D4602/100)*(C4602*VLOOKUP(B4602,'Poids des runes'!A:B,2,FALSE)))+1),(((D4602/100)*(C4602*VLOOKUP(B4602,'Poids des runes'!A:B,2,FALSE)))+1)/VLOOKUP(B4602,'Poids des runes'!A:B,2,FALSE))</f>
        <v>29.904999999999998</v>
      </c>
      <c r="F4602">
        <f t="shared" si="71"/>
        <v>29.904999999999998</v>
      </c>
    </row>
    <row r="4603" spans="1:6" x14ac:dyDescent="0.3">
      <c r="A4603" t="s">
        <v>1011</v>
      </c>
      <c r="B4603" t="s">
        <v>2129</v>
      </c>
      <c r="C4603">
        <v>30.5</v>
      </c>
      <c r="D4603">
        <v>141</v>
      </c>
      <c r="E4603">
        <f>IF(OR(B4603="vi",B4603="ii",B4603="pod"),(((D4603/100)*(C4603*VLOOKUP(B4603,'Poids des runes'!A:B,2,FALSE)))+1),(((D4603/100)*(C4603*VLOOKUP(B4603,'Poids des runes'!A:B,2,FALSE)))+1)/VLOOKUP(B4603,'Poids des runes'!A:B,2,FALSE))</f>
        <v>44.004999999999995</v>
      </c>
      <c r="F4603">
        <f t="shared" si="71"/>
        <v>44.004999999999995</v>
      </c>
    </row>
    <row r="4604" spans="1:6" x14ac:dyDescent="0.3">
      <c r="A4604" t="s">
        <v>1011</v>
      </c>
      <c r="B4604" t="s">
        <v>2139</v>
      </c>
      <c r="C4604">
        <v>15.5</v>
      </c>
      <c r="D4604">
        <v>141</v>
      </c>
      <c r="E4604">
        <f>IF(OR(B4604="vi",B4604="ii",B4604="pod"),(((D4604/100)*(C4604*VLOOKUP(B4604,'Poids des runes'!A:B,2,FALSE)))+1),(((D4604/100)*(C4604*VLOOKUP(B4604,'Poids des runes'!A:B,2,FALSE)))+1)/VLOOKUP(B4604,'Poids des runes'!A:B,2,FALSE))</f>
        <v>22.355</v>
      </c>
      <c r="F4604">
        <f t="shared" si="71"/>
        <v>22.355</v>
      </c>
    </row>
    <row r="4605" spans="1:6" x14ac:dyDescent="0.3">
      <c r="A4605" t="s">
        <v>1011</v>
      </c>
      <c r="B4605" t="s">
        <v>2151</v>
      </c>
      <c r="C4605">
        <v>3.5</v>
      </c>
      <c r="D4605">
        <v>141</v>
      </c>
      <c r="E4605">
        <f>IF(OR(B4605="vi",B4605="ii",B4605="pod"),(((D4605/100)*(C4605*VLOOKUP(B4605,'Poids des runes'!A:B,2,FALSE)))+1),(((D4605/100)*(C4605*VLOOKUP(B4605,'Poids des runes'!A:B,2,FALSE)))+1)/VLOOKUP(B4605,'Poids des runes'!A:B,2,FALSE))</f>
        <v>5.0349999999999993</v>
      </c>
      <c r="F4605">
        <f t="shared" si="71"/>
        <v>5.0349999999999993</v>
      </c>
    </row>
    <row r="4606" spans="1:6" x14ac:dyDescent="0.3">
      <c r="A4606" t="s">
        <v>1011</v>
      </c>
      <c r="B4606" t="s">
        <v>2134</v>
      </c>
      <c r="C4606">
        <v>8</v>
      </c>
      <c r="D4606">
        <v>141</v>
      </c>
      <c r="E4606">
        <f>IF(OR(B4606="vi",B4606="ii",B4606="pod"),(((D4606/100)*(C4606*VLOOKUP(B4606,'Poids des runes'!A:B,2,FALSE)))+1),(((D4606/100)*(C4606*VLOOKUP(B4606,'Poids des runes'!A:B,2,FALSE)))+1)/VLOOKUP(B4606,'Poids des runes'!A:B,2,FALSE))</f>
        <v>11.33</v>
      </c>
      <c r="F4606">
        <f t="shared" si="71"/>
        <v>11.33</v>
      </c>
    </row>
    <row r="4607" spans="1:6" x14ac:dyDescent="0.3">
      <c r="A4607" t="s">
        <v>1011</v>
      </c>
      <c r="B4607" t="s">
        <v>2161</v>
      </c>
      <c r="C4607">
        <v>15.5</v>
      </c>
      <c r="D4607">
        <v>141</v>
      </c>
      <c r="E4607">
        <f>IF(OR(B4607="vi",B4607="ii",B4607="pod"),(((D4607/100)*(C4607*VLOOKUP(B4607,'Poids des runes'!A:B,2,FALSE)))+1),(((D4607/100)*(C4607*VLOOKUP(B4607,'Poids des runes'!A:B,2,FALSE)))+1)/VLOOKUP(B4607,'Poids des runes'!A:B,2,FALSE))</f>
        <v>22.188333333333333</v>
      </c>
      <c r="F4607">
        <f t="shared" si="71"/>
        <v>22.188333333333333</v>
      </c>
    </row>
    <row r="4608" spans="1:6" x14ac:dyDescent="0.3">
      <c r="A4608" t="s">
        <v>1011</v>
      </c>
      <c r="B4608" t="s">
        <v>2156</v>
      </c>
      <c r="C4608">
        <v>3.5</v>
      </c>
      <c r="D4608">
        <v>141</v>
      </c>
      <c r="E4608">
        <f>IF(OR(B4608="vi",B4608="ii",B4608="pod"),(((D4608/100)*(C4608*VLOOKUP(B4608,'Poids des runes'!A:B,2,FALSE)))+1),(((D4608/100)*(C4608*VLOOKUP(B4608,'Poids des runes'!A:B,2,FALSE)))+1)/VLOOKUP(B4608,'Poids des runes'!A:B,2,FALSE))</f>
        <v>5.1016666666666666</v>
      </c>
      <c r="F4608">
        <f t="shared" si="71"/>
        <v>5.1016666666666666</v>
      </c>
    </row>
    <row r="4609" spans="1:6" x14ac:dyDescent="0.3">
      <c r="A4609" t="s">
        <v>1012</v>
      </c>
      <c r="B4609" t="s">
        <v>2128</v>
      </c>
      <c r="C4609">
        <v>175.5</v>
      </c>
      <c r="D4609">
        <v>141</v>
      </c>
      <c r="E4609">
        <f>IF(OR(B4609="vi",B4609="ii",B4609="pod"),(((D4609/100)*(C4609*VLOOKUP(B4609,'Poids des runes'!A:B,2,FALSE)))+1),(((D4609/100)*(C4609*VLOOKUP(B4609,'Poids des runes'!A:B,2,FALSE)))+1)/VLOOKUP(B4609,'Poids des runes'!A:B,2,FALSE))</f>
        <v>50.491</v>
      </c>
      <c r="F4609">
        <f t="shared" si="71"/>
        <v>50.491</v>
      </c>
    </row>
    <row r="4610" spans="1:6" x14ac:dyDescent="0.3">
      <c r="A4610" t="s">
        <v>1012</v>
      </c>
      <c r="B4610" t="s">
        <v>2130</v>
      </c>
      <c r="C4610">
        <v>33</v>
      </c>
      <c r="D4610">
        <v>141</v>
      </c>
      <c r="E4610">
        <f>IF(OR(B4610="vi",B4610="ii",B4610="pod"),(((D4610/100)*(C4610*VLOOKUP(B4610,'Poids des runes'!A:B,2,FALSE)))+1),(((D4610/100)*(C4610*VLOOKUP(B4610,'Poids des runes'!A:B,2,FALSE)))+1)/VLOOKUP(B4610,'Poids des runes'!A:B,2,FALSE))</f>
        <v>47.529999999999994</v>
      </c>
      <c r="F4610">
        <f t="shared" si="71"/>
        <v>47.529999999999994</v>
      </c>
    </row>
    <row r="4611" spans="1:6" x14ac:dyDescent="0.3">
      <c r="A4611" t="s">
        <v>1012</v>
      </c>
      <c r="B4611" t="s">
        <v>2126</v>
      </c>
      <c r="C4611">
        <v>33</v>
      </c>
      <c r="D4611">
        <v>141</v>
      </c>
      <c r="E4611">
        <f>IF(OR(B4611="vi",B4611="ii",B4611="pod"),(((D4611/100)*(C4611*VLOOKUP(B4611,'Poids des runes'!A:B,2,FALSE)))+1),(((D4611/100)*(C4611*VLOOKUP(B4611,'Poids des runes'!A:B,2,FALSE)))+1)/VLOOKUP(B4611,'Poids des runes'!A:B,2,FALSE))</f>
        <v>47.529999999999994</v>
      </c>
      <c r="F4611">
        <f t="shared" ref="F4611:F4674" si="72">E4611</f>
        <v>47.529999999999994</v>
      </c>
    </row>
    <row r="4612" spans="1:6" x14ac:dyDescent="0.3">
      <c r="A4612" t="s">
        <v>1012</v>
      </c>
      <c r="B4612" t="s">
        <v>2129</v>
      </c>
      <c r="C4612">
        <v>15.5</v>
      </c>
      <c r="D4612">
        <v>141</v>
      </c>
      <c r="E4612">
        <f>IF(OR(B4612="vi",B4612="ii",B4612="pod"),(((D4612/100)*(C4612*VLOOKUP(B4612,'Poids des runes'!A:B,2,FALSE)))+1),(((D4612/100)*(C4612*VLOOKUP(B4612,'Poids des runes'!A:B,2,FALSE)))+1)/VLOOKUP(B4612,'Poids des runes'!A:B,2,FALSE))</f>
        <v>22.855</v>
      </c>
      <c r="F4612">
        <f t="shared" si="72"/>
        <v>22.855</v>
      </c>
    </row>
    <row r="4613" spans="1:6" x14ac:dyDescent="0.3">
      <c r="A4613" t="s">
        <v>1012</v>
      </c>
      <c r="B4613" t="s">
        <v>2151</v>
      </c>
      <c r="C4613">
        <v>3.5</v>
      </c>
      <c r="D4613">
        <v>141</v>
      </c>
      <c r="E4613">
        <f>IF(OR(B4613="vi",B4613="ii",B4613="pod"),(((D4613/100)*(C4613*VLOOKUP(B4613,'Poids des runes'!A:B,2,FALSE)))+1),(((D4613/100)*(C4613*VLOOKUP(B4613,'Poids des runes'!A:B,2,FALSE)))+1)/VLOOKUP(B4613,'Poids des runes'!A:B,2,FALSE))</f>
        <v>5.0349999999999993</v>
      </c>
      <c r="F4613">
        <f t="shared" si="72"/>
        <v>5.0349999999999993</v>
      </c>
    </row>
    <row r="4614" spans="1:6" x14ac:dyDescent="0.3">
      <c r="A4614" t="s">
        <v>1012</v>
      </c>
      <c r="B4614" t="s">
        <v>2155</v>
      </c>
      <c r="C4614">
        <v>1</v>
      </c>
      <c r="D4614">
        <v>141</v>
      </c>
      <c r="E4614">
        <f>IF(OR(B4614="vi",B4614="ii",B4614="pod"),(((D4614/100)*(C4614*VLOOKUP(B4614,'Poids des runes'!A:B,2,FALSE)))+1),(((D4614/100)*(C4614*VLOOKUP(B4614,'Poids des runes'!A:B,2,FALSE)))+1)/VLOOKUP(B4614,'Poids des runes'!A:B,2,FALSE))</f>
        <v>1.4296078431372548</v>
      </c>
      <c r="F4614">
        <f t="shared" si="72"/>
        <v>1.4296078431372548</v>
      </c>
    </row>
    <row r="4615" spans="1:6" x14ac:dyDescent="0.3">
      <c r="A4615" t="s">
        <v>1012</v>
      </c>
      <c r="B4615" t="s">
        <v>2134</v>
      </c>
      <c r="C4615">
        <v>8</v>
      </c>
      <c r="D4615">
        <v>141</v>
      </c>
      <c r="E4615">
        <f>IF(OR(B4615="vi",B4615="ii",B4615="pod"),(((D4615/100)*(C4615*VLOOKUP(B4615,'Poids des runes'!A:B,2,FALSE)))+1),(((D4615/100)*(C4615*VLOOKUP(B4615,'Poids des runes'!A:B,2,FALSE)))+1)/VLOOKUP(B4615,'Poids des runes'!A:B,2,FALSE))</f>
        <v>11.33</v>
      </c>
      <c r="F4615">
        <f t="shared" si="72"/>
        <v>11.33</v>
      </c>
    </row>
    <row r="4616" spans="1:6" x14ac:dyDescent="0.3">
      <c r="A4616" t="s">
        <v>1012</v>
      </c>
      <c r="B4616" t="s">
        <v>2149</v>
      </c>
      <c r="C4616">
        <v>3.5</v>
      </c>
      <c r="D4616">
        <v>141</v>
      </c>
      <c r="E4616">
        <f>IF(OR(B4616="vi",B4616="ii",B4616="pod"),(((D4616/100)*(C4616*VLOOKUP(B4616,'Poids des runes'!A:B,2,FALSE)))+1),(((D4616/100)*(C4616*VLOOKUP(B4616,'Poids des runes'!A:B,2,FALSE)))+1)/VLOOKUP(B4616,'Poids des runes'!A:B,2,FALSE))</f>
        <v>5.0349999999999993</v>
      </c>
      <c r="F4616">
        <f t="shared" si="72"/>
        <v>5.0349999999999993</v>
      </c>
    </row>
    <row r="4617" spans="1:6" x14ac:dyDescent="0.3">
      <c r="A4617" t="s">
        <v>1012</v>
      </c>
      <c r="B4617" t="s">
        <v>2161</v>
      </c>
      <c r="C4617">
        <v>13</v>
      </c>
      <c r="D4617">
        <v>141</v>
      </c>
      <c r="E4617">
        <f>IF(OR(B4617="vi",B4617="ii",B4617="pod"),(((D4617/100)*(C4617*VLOOKUP(B4617,'Poids des runes'!A:B,2,FALSE)))+1),(((D4617/100)*(C4617*VLOOKUP(B4617,'Poids des runes'!A:B,2,FALSE)))+1)/VLOOKUP(B4617,'Poids des runes'!A:B,2,FALSE))</f>
        <v>18.66333333333333</v>
      </c>
      <c r="F4617">
        <f t="shared" si="72"/>
        <v>18.66333333333333</v>
      </c>
    </row>
    <row r="4618" spans="1:6" x14ac:dyDescent="0.3">
      <c r="A4618" t="s">
        <v>1012</v>
      </c>
      <c r="B4618" t="s">
        <v>2132</v>
      </c>
      <c r="C4618">
        <v>150.5</v>
      </c>
      <c r="D4618">
        <v>141</v>
      </c>
      <c r="E4618">
        <f>IF(OR(B4618="vi",B4618="ii",B4618="pod"),(((D4618/100)*(C4618*VLOOKUP(B4618,'Poids des runes'!A:B,2,FALSE)))+1),(((D4618/100)*(C4618*VLOOKUP(B4618,'Poids des runes'!A:B,2,FALSE)))+1)/VLOOKUP(B4618,'Poids des runes'!A:B,2,FALSE))</f>
        <v>22.220500000000001</v>
      </c>
      <c r="F4618">
        <f t="shared" si="72"/>
        <v>22.220500000000001</v>
      </c>
    </row>
    <row r="4619" spans="1:6" x14ac:dyDescent="0.3">
      <c r="A4619" t="s">
        <v>1012</v>
      </c>
      <c r="B4619" t="s">
        <v>2136</v>
      </c>
      <c r="C4619">
        <v>8</v>
      </c>
      <c r="D4619">
        <v>141</v>
      </c>
      <c r="E4619">
        <f>IF(OR(B4619="vi",B4619="ii",B4619="pod"),(((D4619/100)*(C4619*VLOOKUP(B4619,'Poids des runes'!A:B,2,FALSE)))+1),(((D4619/100)*(C4619*VLOOKUP(B4619,'Poids des runes'!A:B,2,FALSE)))+1)/VLOOKUP(B4619,'Poids des runes'!A:B,2,FALSE))</f>
        <v>11.78</v>
      </c>
      <c r="F4619">
        <f t="shared" si="72"/>
        <v>11.78</v>
      </c>
    </row>
    <row r="4620" spans="1:6" x14ac:dyDescent="0.3">
      <c r="A4620" t="s">
        <v>1012</v>
      </c>
      <c r="B4620" t="s">
        <v>2146</v>
      </c>
      <c r="C4620">
        <v>8</v>
      </c>
      <c r="D4620">
        <v>141</v>
      </c>
      <c r="E4620">
        <f>IF(OR(B4620="vi",B4620="ii",B4620="pod"),(((D4620/100)*(C4620*VLOOKUP(B4620,'Poids des runes'!A:B,2,FALSE)))+1),(((D4620/100)*(C4620*VLOOKUP(B4620,'Poids des runes'!A:B,2,FALSE)))+1)/VLOOKUP(B4620,'Poids des runes'!A:B,2,FALSE))</f>
        <v>11.78</v>
      </c>
      <c r="F4620">
        <f t="shared" si="72"/>
        <v>11.78</v>
      </c>
    </row>
    <row r="4621" spans="1:6" x14ac:dyDescent="0.3">
      <c r="A4621" t="s">
        <v>1013</v>
      </c>
      <c r="B4621" t="s">
        <v>2128</v>
      </c>
      <c r="C4621">
        <v>225.5</v>
      </c>
      <c r="D4621">
        <v>142</v>
      </c>
      <c r="E4621">
        <f>IF(OR(B4621="vi",B4621="ii",B4621="pod"),(((D4621/100)*(C4621*VLOOKUP(B4621,'Poids des runes'!A:B,2,FALSE)))+1),(((D4621/100)*(C4621*VLOOKUP(B4621,'Poids des runes'!A:B,2,FALSE)))+1)/VLOOKUP(B4621,'Poids des runes'!A:B,2,FALSE))</f>
        <v>65.042000000000002</v>
      </c>
      <c r="F4621">
        <f t="shared" si="72"/>
        <v>65.042000000000002</v>
      </c>
    </row>
    <row r="4622" spans="1:6" x14ac:dyDescent="0.3">
      <c r="A4622" t="s">
        <v>1013</v>
      </c>
      <c r="B4622" t="s">
        <v>2131</v>
      </c>
      <c r="C4622">
        <v>35.5</v>
      </c>
      <c r="D4622">
        <v>142</v>
      </c>
      <c r="E4622">
        <f>IF(OR(B4622="vi",B4622="ii",B4622="pod"),(((D4622/100)*(C4622*VLOOKUP(B4622,'Poids des runes'!A:B,2,FALSE)))+1),(((D4622/100)*(C4622*VLOOKUP(B4622,'Poids des runes'!A:B,2,FALSE)))+1)/VLOOKUP(B4622,'Poids des runes'!A:B,2,FALSE))</f>
        <v>51.41</v>
      </c>
      <c r="F4622">
        <f t="shared" si="72"/>
        <v>51.41</v>
      </c>
    </row>
    <row r="4623" spans="1:6" x14ac:dyDescent="0.3">
      <c r="A4623" t="s">
        <v>1013</v>
      </c>
      <c r="B4623" t="s">
        <v>2129</v>
      </c>
      <c r="C4623">
        <v>35.5</v>
      </c>
      <c r="D4623">
        <v>142</v>
      </c>
      <c r="E4623">
        <f>IF(OR(B4623="vi",B4623="ii",B4623="pod"),(((D4623/100)*(C4623*VLOOKUP(B4623,'Poids des runes'!A:B,2,FALSE)))+1),(((D4623/100)*(C4623*VLOOKUP(B4623,'Poids des runes'!A:B,2,FALSE)))+1)/VLOOKUP(B4623,'Poids des runes'!A:B,2,FALSE))</f>
        <v>51.41</v>
      </c>
      <c r="F4623">
        <f t="shared" si="72"/>
        <v>51.41</v>
      </c>
    </row>
    <row r="4624" spans="1:6" x14ac:dyDescent="0.3">
      <c r="A4624" t="s">
        <v>1013</v>
      </c>
      <c r="B4624" t="s">
        <v>2139</v>
      </c>
      <c r="C4624">
        <v>20.5</v>
      </c>
      <c r="D4624">
        <v>142</v>
      </c>
      <c r="E4624">
        <f>IF(OR(B4624="vi",B4624="ii",B4624="pod"),(((D4624/100)*(C4624*VLOOKUP(B4624,'Poids des runes'!A:B,2,FALSE)))+1),(((D4624/100)*(C4624*VLOOKUP(B4624,'Poids des runes'!A:B,2,FALSE)))+1)/VLOOKUP(B4624,'Poids des runes'!A:B,2,FALSE))</f>
        <v>29.61</v>
      </c>
      <c r="F4624">
        <f t="shared" si="72"/>
        <v>29.61</v>
      </c>
    </row>
    <row r="4625" spans="1:6" x14ac:dyDescent="0.3">
      <c r="A4625" t="s">
        <v>1013</v>
      </c>
      <c r="B4625" t="s">
        <v>2151</v>
      </c>
      <c r="C4625">
        <v>2.5</v>
      </c>
      <c r="D4625">
        <v>142</v>
      </c>
      <c r="E4625">
        <f>IF(OR(B4625="vi",B4625="ii",B4625="pod"),(((D4625/100)*(C4625*VLOOKUP(B4625,'Poids des runes'!A:B,2,FALSE)))+1),(((D4625/100)*(C4625*VLOOKUP(B4625,'Poids des runes'!A:B,2,FALSE)))+1)/VLOOKUP(B4625,'Poids des runes'!A:B,2,FALSE))</f>
        <v>3.65</v>
      </c>
      <c r="F4625">
        <f t="shared" si="72"/>
        <v>3.65</v>
      </c>
    </row>
    <row r="4626" spans="1:6" x14ac:dyDescent="0.3">
      <c r="A4626" t="s">
        <v>1013</v>
      </c>
      <c r="B4626" t="s">
        <v>2150</v>
      </c>
      <c r="C4626">
        <v>1</v>
      </c>
      <c r="D4626">
        <v>142</v>
      </c>
      <c r="E4626">
        <f>IF(OR(B4626="vi",B4626="ii",B4626="pod"),(((D4626/100)*(C4626*VLOOKUP(B4626,'Poids des runes'!A:B,2,FALSE)))+1),(((D4626/100)*(C4626*VLOOKUP(B4626,'Poids des runes'!A:B,2,FALSE)))+1)/VLOOKUP(B4626,'Poids des runes'!A:B,2,FALSE))</f>
        <v>1.4533333333333331</v>
      </c>
      <c r="F4626">
        <f t="shared" si="72"/>
        <v>1.4533333333333331</v>
      </c>
    </row>
    <row r="4627" spans="1:6" x14ac:dyDescent="0.3">
      <c r="A4627" t="s">
        <v>1013</v>
      </c>
      <c r="B4627" t="s">
        <v>2143</v>
      </c>
      <c r="C4627">
        <v>8.5</v>
      </c>
      <c r="D4627">
        <v>142</v>
      </c>
      <c r="E4627">
        <f>IF(OR(B4627="vi",B4627="ii",B4627="pod"),(((D4627/100)*(C4627*VLOOKUP(B4627,'Poids des runes'!A:B,2,FALSE)))+1),(((D4627/100)*(C4627*VLOOKUP(B4627,'Poids des runes'!A:B,2,FALSE)))+1)/VLOOKUP(B4627,'Poids des runes'!A:B,2,FALSE))</f>
        <v>12.27</v>
      </c>
      <c r="F4627">
        <f t="shared" si="72"/>
        <v>12.27</v>
      </c>
    </row>
    <row r="4628" spans="1:6" x14ac:dyDescent="0.3">
      <c r="A4628" t="s">
        <v>1013</v>
      </c>
      <c r="B4628" t="s">
        <v>2133</v>
      </c>
      <c r="C4628">
        <v>8.5</v>
      </c>
      <c r="D4628">
        <v>142</v>
      </c>
      <c r="E4628">
        <f>IF(OR(B4628="vi",B4628="ii",B4628="pod"),(((D4628/100)*(C4628*VLOOKUP(B4628,'Poids des runes'!A:B,2,FALSE)))+1),(((D4628/100)*(C4628*VLOOKUP(B4628,'Poids des runes'!A:B,2,FALSE)))+1)/VLOOKUP(B4628,'Poids des runes'!A:B,2,FALSE))</f>
        <v>12.27</v>
      </c>
      <c r="F4628">
        <f t="shared" si="72"/>
        <v>12.27</v>
      </c>
    </row>
    <row r="4629" spans="1:6" x14ac:dyDescent="0.3">
      <c r="A4629" t="s">
        <v>1013</v>
      </c>
      <c r="B4629" t="s">
        <v>2161</v>
      </c>
      <c r="C4629">
        <v>8.5</v>
      </c>
      <c r="D4629">
        <v>142</v>
      </c>
      <c r="E4629">
        <f>IF(OR(B4629="vi",B4629="ii",B4629="pod"),(((D4629/100)*(C4629*VLOOKUP(B4629,'Poids des runes'!A:B,2,FALSE)))+1),(((D4629/100)*(C4629*VLOOKUP(B4629,'Poids des runes'!A:B,2,FALSE)))+1)/VLOOKUP(B4629,'Poids des runes'!A:B,2,FALSE))</f>
        <v>12.403333333333334</v>
      </c>
      <c r="F4629">
        <f t="shared" si="72"/>
        <v>12.403333333333334</v>
      </c>
    </row>
    <row r="4630" spans="1:6" x14ac:dyDescent="0.3">
      <c r="A4630" t="s">
        <v>1013</v>
      </c>
      <c r="B4630" t="s">
        <v>2138</v>
      </c>
      <c r="C4630">
        <v>4.5</v>
      </c>
      <c r="D4630">
        <v>142</v>
      </c>
      <c r="E4630">
        <f>IF(OR(B4630="vi",B4630="ii",B4630="pod"),(((D4630/100)*(C4630*VLOOKUP(B4630,'Poids des runes'!A:B,2,FALSE)))+1),(((D4630/100)*(C4630*VLOOKUP(B4630,'Poids des runes'!A:B,2,FALSE)))+1)/VLOOKUP(B4630,'Poids des runes'!A:B,2,FALSE))</f>
        <v>6.64</v>
      </c>
      <c r="F4630">
        <f t="shared" si="72"/>
        <v>6.64</v>
      </c>
    </row>
    <row r="4631" spans="1:6" x14ac:dyDescent="0.3">
      <c r="A4631" t="s">
        <v>1013</v>
      </c>
      <c r="B4631" t="s">
        <v>2164</v>
      </c>
      <c r="C4631">
        <v>8.5</v>
      </c>
      <c r="D4631">
        <v>142</v>
      </c>
      <c r="E4631">
        <f>IF(OR(B4631="vi",B4631="ii",B4631="pod"),(((D4631/100)*(C4631*VLOOKUP(B4631,'Poids des runes'!A:B,2,FALSE)))+1),(((D4631/100)*(C4631*VLOOKUP(B4631,'Poids des runes'!A:B,2,FALSE)))+1)/VLOOKUP(B4631,'Poids des runes'!A:B,2,FALSE))</f>
        <v>12.57</v>
      </c>
      <c r="F4631">
        <f t="shared" si="72"/>
        <v>12.57</v>
      </c>
    </row>
    <row r="4632" spans="1:6" x14ac:dyDescent="0.3">
      <c r="A4632" t="s">
        <v>1013</v>
      </c>
      <c r="B4632" t="s">
        <v>2157</v>
      </c>
      <c r="C4632">
        <v>6</v>
      </c>
      <c r="D4632">
        <v>142</v>
      </c>
      <c r="E4632">
        <f>IF(OR(B4632="vi",B4632="ii",B4632="pod"),(((D4632/100)*(C4632*VLOOKUP(B4632,'Poids des runes'!A:B,2,FALSE)))+1),(((D4632/100)*(C4632*VLOOKUP(B4632,'Poids des runes'!A:B,2,FALSE)))+1)/VLOOKUP(B4632,'Poids des runes'!A:B,2,FALSE))</f>
        <v>8.6866666666666656</v>
      </c>
      <c r="F4632">
        <f t="shared" si="72"/>
        <v>8.6866666666666656</v>
      </c>
    </row>
    <row r="4633" spans="1:6" x14ac:dyDescent="0.3">
      <c r="A4633" t="s">
        <v>1013</v>
      </c>
      <c r="B4633" t="s">
        <v>2145</v>
      </c>
      <c r="C4633">
        <v>8.5</v>
      </c>
      <c r="D4633">
        <v>142</v>
      </c>
      <c r="E4633">
        <f>IF(OR(B4633="vi",B4633="ii",B4633="pod"),(((D4633/100)*(C4633*VLOOKUP(B4633,'Poids des runes'!A:B,2,FALSE)))+1),(((D4633/100)*(C4633*VLOOKUP(B4633,'Poids des runes'!A:B,2,FALSE)))+1)/VLOOKUP(B4633,'Poids des runes'!A:B,2,FALSE))</f>
        <v>12.57</v>
      </c>
      <c r="F4633">
        <f t="shared" si="72"/>
        <v>12.57</v>
      </c>
    </row>
    <row r="4634" spans="1:6" x14ac:dyDescent="0.3">
      <c r="A4634" t="s">
        <v>1014</v>
      </c>
      <c r="B4634" t="s">
        <v>2128</v>
      </c>
      <c r="C4634">
        <v>225.5</v>
      </c>
      <c r="D4634">
        <v>142</v>
      </c>
      <c r="E4634">
        <f>IF(OR(B4634="vi",B4634="ii",B4634="pod"),(((D4634/100)*(C4634*VLOOKUP(B4634,'Poids des runes'!A:B,2,FALSE)))+1),(((D4634/100)*(C4634*VLOOKUP(B4634,'Poids des runes'!A:B,2,FALSE)))+1)/VLOOKUP(B4634,'Poids des runes'!A:B,2,FALSE))</f>
        <v>65.042000000000002</v>
      </c>
      <c r="F4634">
        <f t="shared" si="72"/>
        <v>65.042000000000002</v>
      </c>
    </row>
    <row r="4635" spans="1:6" x14ac:dyDescent="0.3">
      <c r="A4635" t="s">
        <v>1014</v>
      </c>
      <c r="B4635" t="s">
        <v>2130</v>
      </c>
      <c r="C4635">
        <v>33</v>
      </c>
      <c r="D4635">
        <v>142</v>
      </c>
      <c r="E4635">
        <f>IF(OR(B4635="vi",B4635="ii",B4635="pod"),(((D4635/100)*(C4635*VLOOKUP(B4635,'Poids des runes'!A:B,2,FALSE)))+1),(((D4635/100)*(C4635*VLOOKUP(B4635,'Poids des runes'!A:B,2,FALSE)))+1)/VLOOKUP(B4635,'Poids des runes'!A:B,2,FALSE))</f>
        <v>47.86</v>
      </c>
      <c r="F4635">
        <f t="shared" si="72"/>
        <v>47.86</v>
      </c>
    </row>
    <row r="4636" spans="1:6" x14ac:dyDescent="0.3">
      <c r="A4636" t="s">
        <v>1014</v>
      </c>
      <c r="B4636" t="s">
        <v>2126</v>
      </c>
      <c r="C4636">
        <v>33</v>
      </c>
      <c r="D4636">
        <v>142</v>
      </c>
      <c r="E4636">
        <f>IF(OR(B4636="vi",B4636="ii",B4636="pod"),(((D4636/100)*(C4636*VLOOKUP(B4636,'Poids des runes'!A:B,2,FALSE)))+1),(((D4636/100)*(C4636*VLOOKUP(B4636,'Poids des runes'!A:B,2,FALSE)))+1)/VLOOKUP(B4636,'Poids des runes'!A:B,2,FALSE))</f>
        <v>47.86</v>
      </c>
      <c r="F4636">
        <f t="shared" si="72"/>
        <v>47.86</v>
      </c>
    </row>
    <row r="4637" spans="1:6" x14ac:dyDescent="0.3">
      <c r="A4637" t="s">
        <v>1014</v>
      </c>
      <c r="B4637" t="s">
        <v>2129</v>
      </c>
      <c r="C4637">
        <v>20.5</v>
      </c>
      <c r="D4637">
        <v>142</v>
      </c>
      <c r="E4637">
        <f>IF(OR(B4637="vi",B4637="ii",B4637="pod"),(((D4637/100)*(C4637*VLOOKUP(B4637,'Poids des runes'!A:B,2,FALSE)))+1),(((D4637/100)*(C4637*VLOOKUP(B4637,'Poids des runes'!A:B,2,FALSE)))+1)/VLOOKUP(B4637,'Poids des runes'!A:B,2,FALSE))</f>
        <v>30.11</v>
      </c>
      <c r="F4637">
        <f t="shared" si="72"/>
        <v>30.11</v>
      </c>
    </row>
    <row r="4638" spans="1:6" x14ac:dyDescent="0.3">
      <c r="A4638" t="s">
        <v>1014</v>
      </c>
      <c r="B4638" t="s">
        <v>2134</v>
      </c>
      <c r="C4638">
        <v>5</v>
      </c>
      <c r="D4638">
        <v>142</v>
      </c>
      <c r="E4638">
        <f>IF(OR(B4638="vi",B4638="ii",B4638="pod"),(((D4638/100)*(C4638*VLOOKUP(B4638,'Poids des runes'!A:B,2,FALSE)))+1),(((D4638/100)*(C4638*VLOOKUP(B4638,'Poids des runes'!A:B,2,FALSE)))+1)/VLOOKUP(B4638,'Poids des runes'!A:B,2,FALSE))</f>
        <v>7.15</v>
      </c>
      <c r="F4638">
        <f t="shared" si="72"/>
        <v>7.15</v>
      </c>
    </row>
    <row r="4639" spans="1:6" x14ac:dyDescent="0.3">
      <c r="A4639" t="s">
        <v>1014</v>
      </c>
      <c r="B4639" t="s">
        <v>2161</v>
      </c>
      <c r="C4639">
        <v>13</v>
      </c>
      <c r="D4639">
        <v>142</v>
      </c>
      <c r="E4639">
        <f>IF(OR(B4639="vi",B4639="ii",B4639="pod"),(((D4639/100)*(C4639*VLOOKUP(B4639,'Poids des runes'!A:B,2,FALSE)))+1),(((D4639/100)*(C4639*VLOOKUP(B4639,'Poids des runes'!A:B,2,FALSE)))+1)/VLOOKUP(B4639,'Poids des runes'!A:B,2,FALSE))</f>
        <v>18.793333333333333</v>
      </c>
      <c r="F4639">
        <f t="shared" si="72"/>
        <v>18.793333333333333</v>
      </c>
    </row>
    <row r="4640" spans="1:6" x14ac:dyDescent="0.3">
      <c r="A4640" t="s">
        <v>1014</v>
      </c>
      <c r="B4640" t="s">
        <v>2156</v>
      </c>
      <c r="C4640">
        <v>5</v>
      </c>
      <c r="D4640">
        <v>142</v>
      </c>
      <c r="E4640">
        <f>IF(OR(B4640="vi",B4640="ii",B4640="pod"),(((D4640/100)*(C4640*VLOOKUP(B4640,'Poids des runes'!A:B,2,FALSE)))+1),(((D4640/100)*(C4640*VLOOKUP(B4640,'Poids des runes'!A:B,2,FALSE)))+1)/VLOOKUP(B4640,'Poids des runes'!A:B,2,FALSE))</f>
        <v>7.2666666666666657</v>
      </c>
      <c r="F4640">
        <f t="shared" si="72"/>
        <v>7.2666666666666657</v>
      </c>
    </row>
    <row r="4641" spans="1:6" x14ac:dyDescent="0.3">
      <c r="A4641" t="s">
        <v>1014</v>
      </c>
      <c r="B4641" t="s">
        <v>2135</v>
      </c>
      <c r="C4641">
        <v>5</v>
      </c>
      <c r="D4641">
        <v>142</v>
      </c>
      <c r="E4641">
        <f>IF(OR(B4641="vi",B4641="ii",B4641="pod"),(((D4641/100)*(C4641*VLOOKUP(B4641,'Poids des runes'!A:B,2,FALSE)))+1),(((D4641/100)*(C4641*VLOOKUP(B4641,'Poids des runes'!A:B,2,FALSE)))+1)/VLOOKUP(B4641,'Poids des runes'!A:B,2,FALSE))</f>
        <v>7.2666666666666657</v>
      </c>
      <c r="F4641">
        <f t="shared" si="72"/>
        <v>7.2666666666666657</v>
      </c>
    </row>
    <row r="4642" spans="1:6" x14ac:dyDescent="0.3">
      <c r="A4642" t="s">
        <v>1014</v>
      </c>
      <c r="B4642" t="s">
        <v>2157</v>
      </c>
      <c r="C4642">
        <v>5</v>
      </c>
      <c r="D4642">
        <v>142</v>
      </c>
      <c r="E4642">
        <f>IF(OR(B4642="vi",B4642="ii",B4642="pod"),(((D4642/100)*(C4642*VLOOKUP(B4642,'Poids des runes'!A:B,2,FALSE)))+1),(((D4642/100)*(C4642*VLOOKUP(B4642,'Poids des runes'!A:B,2,FALSE)))+1)/VLOOKUP(B4642,'Poids des runes'!A:B,2,FALSE))</f>
        <v>7.2666666666666657</v>
      </c>
      <c r="F4642">
        <f t="shared" si="72"/>
        <v>7.2666666666666657</v>
      </c>
    </row>
    <row r="4643" spans="1:6" x14ac:dyDescent="0.3">
      <c r="A4643" t="s">
        <v>1014</v>
      </c>
      <c r="B4643" t="s">
        <v>2137</v>
      </c>
      <c r="C4643">
        <v>6</v>
      </c>
      <c r="D4643">
        <v>142</v>
      </c>
      <c r="E4643">
        <f>IF(OR(B4643="vi",B4643="ii",B4643="pod"),(((D4643/100)*(C4643*VLOOKUP(B4643,'Poids des runes'!A:B,2,FALSE)))+1),(((D4643/100)*(C4643*VLOOKUP(B4643,'Poids des runes'!A:B,2,FALSE)))+1)/VLOOKUP(B4643,'Poids des runes'!A:B,2,FALSE))</f>
        <v>9.02</v>
      </c>
      <c r="F4643">
        <f t="shared" si="72"/>
        <v>9.02</v>
      </c>
    </row>
    <row r="4644" spans="1:6" x14ac:dyDescent="0.3">
      <c r="A4644" t="s">
        <v>1014</v>
      </c>
      <c r="B4644" t="s">
        <v>2144</v>
      </c>
      <c r="C4644">
        <v>6</v>
      </c>
      <c r="D4644">
        <v>142</v>
      </c>
      <c r="E4644">
        <f>IF(OR(B4644="vi",B4644="ii",B4644="pod"),(((D4644/100)*(C4644*VLOOKUP(B4644,'Poids des runes'!A:B,2,FALSE)))+1),(((D4644/100)*(C4644*VLOOKUP(B4644,'Poids des runes'!A:B,2,FALSE)))+1)/VLOOKUP(B4644,'Poids des runes'!A:B,2,FALSE))</f>
        <v>9.02</v>
      </c>
      <c r="F4644">
        <f t="shared" si="72"/>
        <v>9.02</v>
      </c>
    </row>
    <row r="4645" spans="1:6" x14ac:dyDescent="0.3">
      <c r="A4645" t="s">
        <v>1015</v>
      </c>
      <c r="B4645" t="s">
        <v>2128</v>
      </c>
      <c r="C4645">
        <v>125.5</v>
      </c>
      <c r="D4645">
        <v>142</v>
      </c>
      <c r="E4645">
        <f>IF(OR(B4645="vi",B4645="ii",B4645="pod"),(((D4645/100)*(C4645*VLOOKUP(B4645,'Poids des runes'!A:B,2,FALSE)))+1),(((D4645/100)*(C4645*VLOOKUP(B4645,'Poids des runes'!A:B,2,FALSE)))+1)/VLOOKUP(B4645,'Poids des runes'!A:B,2,FALSE))</f>
        <v>36.642000000000003</v>
      </c>
      <c r="F4645">
        <f t="shared" si="72"/>
        <v>36.642000000000003</v>
      </c>
    </row>
    <row r="4646" spans="1:6" x14ac:dyDescent="0.3">
      <c r="A4646" t="s">
        <v>1015</v>
      </c>
      <c r="B4646" t="s">
        <v>2131</v>
      </c>
      <c r="C4646">
        <v>35.5</v>
      </c>
      <c r="D4646">
        <v>142</v>
      </c>
      <c r="E4646">
        <f>IF(OR(B4646="vi",B4646="ii",B4646="pod"),(((D4646/100)*(C4646*VLOOKUP(B4646,'Poids des runes'!A:B,2,FALSE)))+1),(((D4646/100)*(C4646*VLOOKUP(B4646,'Poids des runes'!A:B,2,FALSE)))+1)/VLOOKUP(B4646,'Poids des runes'!A:B,2,FALSE))</f>
        <v>51.41</v>
      </c>
      <c r="F4646">
        <f t="shared" si="72"/>
        <v>51.41</v>
      </c>
    </row>
    <row r="4647" spans="1:6" x14ac:dyDescent="0.3">
      <c r="A4647" t="s">
        <v>1015</v>
      </c>
      <c r="B4647" t="s">
        <v>2127</v>
      </c>
      <c r="C4647">
        <v>35.5</v>
      </c>
      <c r="D4647">
        <v>142</v>
      </c>
      <c r="E4647">
        <f>IF(OR(B4647="vi",B4647="ii",B4647="pod"),(((D4647/100)*(C4647*VLOOKUP(B4647,'Poids des runes'!A:B,2,FALSE)))+1),(((D4647/100)*(C4647*VLOOKUP(B4647,'Poids des runes'!A:B,2,FALSE)))+1)/VLOOKUP(B4647,'Poids des runes'!A:B,2,FALSE))</f>
        <v>51.41</v>
      </c>
      <c r="F4647">
        <f t="shared" si="72"/>
        <v>51.41</v>
      </c>
    </row>
    <row r="4648" spans="1:6" x14ac:dyDescent="0.3">
      <c r="A4648" t="s">
        <v>1015</v>
      </c>
      <c r="B4648" t="s">
        <v>2152</v>
      </c>
      <c r="C4648">
        <v>1</v>
      </c>
      <c r="D4648">
        <v>142</v>
      </c>
      <c r="E4648">
        <f>IF(OR(B4648="vi",B4648="ii",B4648="pod"),(((D4648/100)*(C4648*VLOOKUP(B4648,'Poids des runes'!A:B,2,FALSE)))+1),(((D4648/100)*(C4648*VLOOKUP(B4648,'Poids des runes'!A:B,2,FALSE)))+1)/VLOOKUP(B4648,'Poids des runes'!A:B,2,FALSE))</f>
        <v>1.43</v>
      </c>
      <c r="F4648">
        <f t="shared" si="72"/>
        <v>1.43</v>
      </c>
    </row>
    <row r="4649" spans="1:6" x14ac:dyDescent="0.3">
      <c r="A4649" t="s">
        <v>1015</v>
      </c>
      <c r="B4649" t="s">
        <v>2155</v>
      </c>
      <c r="C4649">
        <v>1</v>
      </c>
      <c r="D4649">
        <v>142</v>
      </c>
      <c r="E4649">
        <f>IF(OR(B4649="vi",B4649="ii",B4649="pod"),(((D4649/100)*(C4649*VLOOKUP(B4649,'Poids des runes'!A:B,2,FALSE)))+1),(((D4649/100)*(C4649*VLOOKUP(B4649,'Poids des runes'!A:B,2,FALSE)))+1)/VLOOKUP(B4649,'Poids des runes'!A:B,2,FALSE))</f>
        <v>1.439607843137255</v>
      </c>
      <c r="F4649">
        <f t="shared" si="72"/>
        <v>1.439607843137255</v>
      </c>
    </row>
    <row r="4650" spans="1:6" x14ac:dyDescent="0.3">
      <c r="A4650" t="s">
        <v>1015</v>
      </c>
      <c r="B4650" t="s">
        <v>2133</v>
      </c>
      <c r="C4650">
        <v>3.5</v>
      </c>
      <c r="D4650">
        <v>142</v>
      </c>
      <c r="E4650">
        <f>IF(OR(B4650="vi",B4650="ii",B4650="pod"),(((D4650/100)*(C4650*VLOOKUP(B4650,'Poids des runes'!A:B,2,FALSE)))+1),(((D4650/100)*(C4650*VLOOKUP(B4650,'Poids des runes'!A:B,2,FALSE)))+1)/VLOOKUP(B4650,'Poids des runes'!A:B,2,FALSE))</f>
        <v>5.17</v>
      </c>
      <c r="F4650">
        <f t="shared" si="72"/>
        <v>5.17</v>
      </c>
    </row>
    <row r="4651" spans="1:6" x14ac:dyDescent="0.3">
      <c r="A4651" t="s">
        <v>1015</v>
      </c>
      <c r="B4651" t="s">
        <v>2153</v>
      </c>
      <c r="C4651">
        <v>3.5</v>
      </c>
      <c r="D4651">
        <v>142</v>
      </c>
      <c r="E4651">
        <f>IF(OR(B4651="vi",B4651="ii",B4651="pod"),(((D4651/100)*(C4651*VLOOKUP(B4651,'Poids des runes'!A:B,2,FALSE)))+1),(((D4651/100)*(C4651*VLOOKUP(B4651,'Poids des runes'!A:B,2,FALSE)))+1)/VLOOKUP(B4651,'Poids des runes'!A:B,2,FALSE))</f>
        <v>5.17</v>
      </c>
      <c r="F4651">
        <f t="shared" si="72"/>
        <v>5.17</v>
      </c>
    </row>
    <row r="4652" spans="1:6" x14ac:dyDescent="0.3">
      <c r="A4652" t="s">
        <v>1015</v>
      </c>
      <c r="B4652" t="s">
        <v>2159</v>
      </c>
      <c r="C4652">
        <v>5</v>
      </c>
      <c r="D4652">
        <v>142</v>
      </c>
      <c r="E4652">
        <f>IF(OR(B4652="vi",B4652="ii",B4652="pod"),(((D4652/100)*(C4652*VLOOKUP(B4652,'Poids des runes'!A:B,2,FALSE)))+1),(((D4652/100)*(C4652*VLOOKUP(B4652,'Poids des runes'!A:B,2,FALSE)))+1)/VLOOKUP(B4652,'Poids des runes'!A:B,2,FALSE))</f>
        <v>7.242857142857142</v>
      </c>
      <c r="F4652">
        <f t="shared" si="72"/>
        <v>7.242857142857142</v>
      </c>
    </row>
    <row r="4653" spans="1:6" x14ac:dyDescent="0.3">
      <c r="A4653" t="s">
        <v>1015</v>
      </c>
      <c r="B4653" t="s">
        <v>2156</v>
      </c>
      <c r="C4653">
        <v>5</v>
      </c>
      <c r="D4653">
        <v>142</v>
      </c>
      <c r="E4653">
        <f>IF(OR(B4653="vi",B4653="ii",B4653="pod"),(((D4653/100)*(C4653*VLOOKUP(B4653,'Poids des runes'!A:B,2,FALSE)))+1),(((D4653/100)*(C4653*VLOOKUP(B4653,'Poids des runes'!A:B,2,FALSE)))+1)/VLOOKUP(B4653,'Poids des runes'!A:B,2,FALSE))</f>
        <v>7.2666666666666657</v>
      </c>
      <c r="F4653">
        <f t="shared" si="72"/>
        <v>7.2666666666666657</v>
      </c>
    </row>
    <row r="4654" spans="1:6" x14ac:dyDescent="0.3">
      <c r="A4654" t="s">
        <v>1015</v>
      </c>
      <c r="B4654" t="s">
        <v>2148</v>
      </c>
      <c r="C4654">
        <v>5</v>
      </c>
      <c r="D4654">
        <v>142</v>
      </c>
      <c r="E4654">
        <f>IF(OR(B4654="vi",B4654="ii",B4654="pod"),(((D4654/100)*(C4654*VLOOKUP(B4654,'Poids des runes'!A:B,2,FALSE)))+1),(((D4654/100)*(C4654*VLOOKUP(B4654,'Poids des runes'!A:B,2,FALSE)))+1)/VLOOKUP(B4654,'Poids des runes'!A:B,2,FALSE))</f>
        <v>7.2666666666666657</v>
      </c>
      <c r="F4654">
        <f t="shared" si="72"/>
        <v>7.2666666666666657</v>
      </c>
    </row>
    <row r="4655" spans="1:6" x14ac:dyDescent="0.3">
      <c r="A4655" t="s">
        <v>1016</v>
      </c>
      <c r="B4655" t="s">
        <v>2128</v>
      </c>
      <c r="C4655">
        <v>150.5</v>
      </c>
      <c r="D4655">
        <v>142</v>
      </c>
      <c r="E4655">
        <f>IF(OR(B4655="vi",B4655="ii",B4655="pod"),(((D4655/100)*(C4655*VLOOKUP(B4655,'Poids des runes'!A:B,2,FALSE)))+1),(((D4655/100)*(C4655*VLOOKUP(B4655,'Poids des runes'!A:B,2,FALSE)))+1)/VLOOKUP(B4655,'Poids des runes'!A:B,2,FALSE))</f>
        <v>43.741999999999997</v>
      </c>
      <c r="F4655">
        <f t="shared" si="72"/>
        <v>43.741999999999997</v>
      </c>
    </row>
    <row r="4656" spans="1:6" x14ac:dyDescent="0.3">
      <c r="A4656" t="s">
        <v>1016</v>
      </c>
      <c r="B4656" t="s">
        <v>2131</v>
      </c>
      <c r="C4656">
        <v>40.5</v>
      </c>
      <c r="D4656">
        <v>142</v>
      </c>
      <c r="E4656">
        <f>IF(OR(B4656="vi",B4656="ii",B4656="pod"),(((D4656/100)*(C4656*VLOOKUP(B4656,'Poids des runes'!A:B,2,FALSE)))+1),(((D4656/100)*(C4656*VLOOKUP(B4656,'Poids des runes'!A:B,2,FALSE)))+1)/VLOOKUP(B4656,'Poids des runes'!A:B,2,FALSE))</f>
        <v>58.51</v>
      </c>
      <c r="F4656">
        <f t="shared" si="72"/>
        <v>58.51</v>
      </c>
    </row>
    <row r="4657" spans="1:6" x14ac:dyDescent="0.3">
      <c r="A4657" t="s">
        <v>1016</v>
      </c>
      <c r="B4657" t="s">
        <v>2127</v>
      </c>
      <c r="C4657">
        <v>35.5</v>
      </c>
      <c r="D4657">
        <v>142</v>
      </c>
      <c r="E4657">
        <f>IF(OR(B4657="vi",B4657="ii",B4657="pod"),(((D4657/100)*(C4657*VLOOKUP(B4657,'Poids des runes'!A:B,2,FALSE)))+1),(((D4657/100)*(C4657*VLOOKUP(B4657,'Poids des runes'!A:B,2,FALSE)))+1)/VLOOKUP(B4657,'Poids des runes'!A:B,2,FALSE))</f>
        <v>51.41</v>
      </c>
      <c r="F4657">
        <f t="shared" si="72"/>
        <v>51.41</v>
      </c>
    </row>
    <row r="4658" spans="1:6" x14ac:dyDescent="0.3">
      <c r="A4658" t="s">
        <v>1016</v>
      </c>
      <c r="B4658" t="s">
        <v>2129</v>
      </c>
      <c r="C4658">
        <v>18</v>
      </c>
      <c r="D4658">
        <v>142</v>
      </c>
      <c r="E4658">
        <f>IF(OR(B4658="vi",B4658="ii",B4658="pod"),(((D4658/100)*(C4658*VLOOKUP(B4658,'Poids des runes'!A:B,2,FALSE)))+1),(((D4658/100)*(C4658*VLOOKUP(B4658,'Poids des runes'!A:B,2,FALSE)))+1)/VLOOKUP(B4658,'Poids des runes'!A:B,2,FALSE))</f>
        <v>26.56</v>
      </c>
      <c r="F4658">
        <f t="shared" si="72"/>
        <v>26.56</v>
      </c>
    </row>
    <row r="4659" spans="1:6" x14ac:dyDescent="0.3">
      <c r="A4659" t="s">
        <v>1016</v>
      </c>
      <c r="B4659" t="s">
        <v>2151</v>
      </c>
      <c r="C4659">
        <v>1.5</v>
      </c>
      <c r="D4659">
        <v>142</v>
      </c>
      <c r="E4659">
        <f>IF(OR(B4659="vi",B4659="ii",B4659="pod"),(((D4659/100)*(C4659*VLOOKUP(B4659,'Poids des runes'!A:B,2,FALSE)))+1),(((D4659/100)*(C4659*VLOOKUP(B4659,'Poids des runes'!A:B,2,FALSE)))+1)/VLOOKUP(B4659,'Poids des runes'!A:B,2,FALSE))</f>
        <v>2.2299999999999995</v>
      </c>
      <c r="F4659">
        <f t="shared" si="72"/>
        <v>2.2299999999999995</v>
      </c>
    </row>
    <row r="4660" spans="1:6" x14ac:dyDescent="0.3">
      <c r="A4660" t="s">
        <v>1016</v>
      </c>
      <c r="B4660" t="s">
        <v>2154</v>
      </c>
      <c r="C4660">
        <v>1</v>
      </c>
      <c r="D4660">
        <v>142</v>
      </c>
      <c r="E4660">
        <f>IF(OR(B4660="vi",B4660="ii",B4660="pod"),(((D4660/100)*(C4660*VLOOKUP(B4660,'Poids des runes'!A:B,2,FALSE)))+1),(((D4660/100)*(C4660*VLOOKUP(B4660,'Poids des runes'!A:B,2,FALSE)))+1)/VLOOKUP(B4660,'Poids des runes'!A:B,2,FALSE))</f>
        <v>1.4311111111111112</v>
      </c>
      <c r="F4660">
        <f t="shared" si="72"/>
        <v>1.4311111111111112</v>
      </c>
    </row>
    <row r="4661" spans="1:6" x14ac:dyDescent="0.3">
      <c r="A4661" t="s">
        <v>1016</v>
      </c>
      <c r="B4661" t="s">
        <v>2150</v>
      </c>
      <c r="C4661">
        <v>1</v>
      </c>
      <c r="D4661">
        <v>142</v>
      </c>
      <c r="E4661">
        <f>IF(OR(B4661="vi",B4661="ii",B4661="pod"),(((D4661/100)*(C4661*VLOOKUP(B4661,'Poids des runes'!A:B,2,FALSE)))+1),(((D4661/100)*(C4661*VLOOKUP(B4661,'Poids des runes'!A:B,2,FALSE)))+1)/VLOOKUP(B4661,'Poids des runes'!A:B,2,FALSE))</f>
        <v>1.4533333333333331</v>
      </c>
      <c r="F4661">
        <f t="shared" si="72"/>
        <v>1.4533333333333331</v>
      </c>
    </row>
    <row r="4662" spans="1:6" x14ac:dyDescent="0.3">
      <c r="A4662" t="s">
        <v>1016</v>
      </c>
      <c r="B4662" t="s">
        <v>2133</v>
      </c>
      <c r="C4662">
        <v>8.5</v>
      </c>
      <c r="D4662">
        <v>142</v>
      </c>
      <c r="E4662">
        <f>IF(OR(B4662="vi",B4662="ii",B4662="pod"),(((D4662/100)*(C4662*VLOOKUP(B4662,'Poids des runes'!A:B,2,FALSE)))+1),(((D4662/100)*(C4662*VLOOKUP(B4662,'Poids des runes'!A:B,2,FALSE)))+1)/VLOOKUP(B4662,'Poids des runes'!A:B,2,FALSE))</f>
        <v>12.27</v>
      </c>
      <c r="F4662">
        <f t="shared" si="72"/>
        <v>12.27</v>
      </c>
    </row>
    <row r="4663" spans="1:6" x14ac:dyDescent="0.3">
      <c r="A4663" t="s">
        <v>1016</v>
      </c>
      <c r="B4663" t="s">
        <v>2153</v>
      </c>
      <c r="C4663">
        <v>8.5</v>
      </c>
      <c r="D4663">
        <v>142</v>
      </c>
      <c r="E4663">
        <f>IF(OR(B4663="vi",B4663="ii",B4663="pod"),(((D4663/100)*(C4663*VLOOKUP(B4663,'Poids des runes'!A:B,2,FALSE)))+1),(((D4663/100)*(C4663*VLOOKUP(B4663,'Poids des runes'!A:B,2,FALSE)))+1)/VLOOKUP(B4663,'Poids des runes'!A:B,2,FALSE))</f>
        <v>12.27</v>
      </c>
      <c r="F4663">
        <f t="shared" si="72"/>
        <v>12.27</v>
      </c>
    </row>
    <row r="4664" spans="1:6" x14ac:dyDescent="0.3">
      <c r="A4664" t="s">
        <v>1016</v>
      </c>
      <c r="B4664" t="s">
        <v>2161</v>
      </c>
      <c r="C4664">
        <v>15.5</v>
      </c>
      <c r="D4664">
        <v>142</v>
      </c>
      <c r="E4664">
        <f>IF(OR(B4664="vi",B4664="ii",B4664="pod"),(((D4664/100)*(C4664*VLOOKUP(B4664,'Poids des runes'!A:B,2,FALSE)))+1),(((D4664/100)*(C4664*VLOOKUP(B4664,'Poids des runes'!A:B,2,FALSE)))+1)/VLOOKUP(B4664,'Poids des runes'!A:B,2,FALSE))</f>
        <v>22.343333333333334</v>
      </c>
      <c r="F4664">
        <f t="shared" si="72"/>
        <v>22.343333333333334</v>
      </c>
    </row>
    <row r="4665" spans="1:6" x14ac:dyDescent="0.3">
      <c r="A4665" t="s">
        <v>1016</v>
      </c>
      <c r="B4665" t="s">
        <v>2141</v>
      </c>
      <c r="C4665">
        <v>4.5</v>
      </c>
      <c r="D4665">
        <v>142</v>
      </c>
      <c r="E4665">
        <f>IF(OR(B4665="vi",B4665="ii",B4665="pod"),(((D4665/100)*(C4665*VLOOKUP(B4665,'Poids des runes'!A:B,2,FALSE)))+1),(((D4665/100)*(C4665*VLOOKUP(B4665,'Poids des runes'!A:B,2,FALSE)))+1)/VLOOKUP(B4665,'Poids des runes'!A:B,2,FALSE))</f>
        <v>6.64</v>
      </c>
      <c r="F4665">
        <f t="shared" si="72"/>
        <v>6.64</v>
      </c>
    </row>
    <row r="4666" spans="1:6" x14ac:dyDescent="0.3">
      <c r="A4666" t="s">
        <v>1016</v>
      </c>
      <c r="B4666" t="s">
        <v>2164</v>
      </c>
      <c r="C4666">
        <v>8.5</v>
      </c>
      <c r="D4666">
        <v>142</v>
      </c>
      <c r="E4666">
        <f>IF(OR(B4666="vi",B4666="ii",B4666="pod"),(((D4666/100)*(C4666*VLOOKUP(B4666,'Poids des runes'!A:B,2,FALSE)))+1),(((D4666/100)*(C4666*VLOOKUP(B4666,'Poids des runes'!A:B,2,FALSE)))+1)/VLOOKUP(B4666,'Poids des runes'!A:B,2,FALSE))</f>
        <v>12.57</v>
      </c>
      <c r="F4666">
        <f t="shared" si="72"/>
        <v>12.57</v>
      </c>
    </row>
    <row r="4667" spans="1:6" x14ac:dyDescent="0.3">
      <c r="A4667" t="s">
        <v>1016</v>
      </c>
      <c r="B4667" t="s">
        <v>2144</v>
      </c>
      <c r="C4667">
        <v>8.5</v>
      </c>
      <c r="D4667">
        <v>142</v>
      </c>
      <c r="E4667">
        <f>IF(OR(B4667="vi",B4667="ii",B4667="pod"),(((D4667/100)*(C4667*VLOOKUP(B4667,'Poids des runes'!A:B,2,FALSE)))+1),(((D4667/100)*(C4667*VLOOKUP(B4667,'Poids des runes'!A:B,2,FALSE)))+1)/VLOOKUP(B4667,'Poids des runes'!A:B,2,FALSE))</f>
        <v>12.57</v>
      </c>
      <c r="F4667">
        <f t="shared" si="72"/>
        <v>12.57</v>
      </c>
    </row>
    <row r="4668" spans="1:6" x14ac:dyDescent="0.3">
      <c r="A4668" t="s">
        <v>1016</v>
      </c>
      <c r="B4668" t="s">
        <v>2145</v>
      </c>
      <c r="C4668">
        <v>8.5</v>
      </c>
      <c r="D4668">
        <v>142</v>
      </c>
      <c r="E4668">
        <f>IF(OR(B4668="vi",B4668="ii",B4668="pod"),(((D4668/100)*(C4668*VLOOKUP(B4668,'Poids des runes'!A:B,2,FALSE)))+1),(((D4668/100)*(C4668*VLOOKUP(B4668,'Poids des runes'!A:B,2,FALSE)))+1)/VLOOKUP(B4668,'Poids des runes'!A:B,2,FALSE))</f>
        <v>12.57</v>
      </c>
      <c r="F4668">
        <f t="shared" si="72"/>
        <v>12.57</v>
      </c>
    </row>
    <row r="4669" spans="1:6" x14ac:dyDescent="0.3">
      <c r="A4669" t="s">
        <v>1017</v>
      </c>
      <c r="B4669" t="s">
        <v>2128</v>
      </c>
      <c r="C4669">
        <v>125.5</v>
      </c>
      <c r="D4669">
        <v>143</v>
      </c>
      <c r="E4669">
        <f>IF(OR(B4669="vi",B4669="ii",B4669="pod"),(((D4669/100)*(C4669*VLOOKUP(B4669,'Poids des runes'!A:B,2,FALSE)))+1),(((D4669/100)*(C4669*VLOOKUP(B4669,'Poids des runes'!A:B,2,FALSE)))+1)/VLOOKUP(B4669,'Poids des runes'!A:B,2,FALSE))</f>
        <v>36.893000000000001</v>
      </c>
      <c r="F4669">
        <f t="shared" si="72"/>
        <v>36.893000000000001</v>
      </c>
    </row>
    <row r="4670" spans="1:6" x14ac:dyDescent="0.3">
      <c r="A4670" t="s">
        <v>1017</v>
      </c>
      <c r="B4670" t="s">
        <v>2127</v>
      </c>
      <c r="C4670">
        <v>40.5</v>
      </c>
      <c r="D4670">
        <v>143</v>
      </c>
      <c r="E4670">
        <f>IF(OR(B4670="vi",B4670="ii",B4670="pod"),(((D4670/100)*(C4670*VLOOKUP(B4670,'Poids des runes'!A:B,2,FALSE)))+1),(((D4670/100)*(C4670*VLOOKUP(B4670,'Poids des runes'!A:B,2,FALSE)))+1)/VLOOKUP(B4670,'Poids des runes'!A:B,2,FALSE))</f>
        <v>58.914999999999999</v>
      </c>
      <c r="F4670">
        <f t="shared" si="72"/>
        <v>58.914999999999999</v>
      </c>
    </row>
    <row r="4671" spans="1:6" x14ac:dyDescent="0.3">
      <c r="A4671" t="s">
        <v>1017</v>
      </c>
      <c r="B4671" t="s">
        <v>2129</v>
      </c>
      <c r="C4671">
        <v>25.5</v>
      </c>
      <c r="D4671">
        <v>143</v>
      </c>
      <c r="E4671">
        <f>IF(OR(B4671="vi",B4671="ii",B4671="pod"),(((D4671/100)*(C4671*VLOOKUP(B4671,'Poids des runes'!A:B,2,FALSE)))+1),(((D4671/100)*(C4671*VLOOKUP(B4671,'Poids des runes'!A:B,2,FALSE)))+1)/VLOOKUP(B4671,'Poids des runes'!A:B,2,FALSE))</f>
        <v>37.464999999999996</v>
      </c>
      <c r="F4671">
        <f t="shared" si="72"/>
        <v>37.464999999999996</v>
      </c>
    </row>
    <row r="4672" spans="1:6" x14ac:dyDescent="0.3">
      <c r="A4672" t="s">
        <v>1017</v>
      </c>
      <c r="B4672" t="s">
        <v>2151</v>
      </c>
      <c r="C4672">
        <v>3.5</v>
      </c>
      <c r="D4672">
        <v>143</v>
      </c>
      <c r="E4672">
        <f>IF(OR(B4672="vi",B4672="ii",B4672="pod"),(((D4672/100)*(C4672*VLOOKUP(B4672,'Poids des runes'!A:B,2,FALSE)))+1),(((D4672/100)*(C4672*VLOOKUP(B4672,'Poids des runes'!A:B,2,FALSE)))+1)/VLOOKUP(B4672,'Poids des runes'!A:B,2,FALSE))</f>
        <v>5.1049999999999995</v>
      </c>
      <c r="F4672">
        <f t="shared" si="72"/>
        <v>5.1049999999999995</v>
      </c>
    </row>
    <row r="4673" spans="1:6" x14ac:dyDescent="0.3">
      <c r="A4673" t="s">
        <v>1017</v>
      </c>
      <c r="B4673" t="s">
        <v>2150</v>
      </c>
      <c r="C4673">
        <v>1</v>
      </c>
      <c r="D4673">
        <v>143</v>
      </c>
      <c r="E4673">
        <f>IF(OR(B4673="vi",B4673="ii",B4673="pod"),(((D4673/100)*(C4673*VLOOKUP(B4673,'Poids des runes'!A:B,2,FALSE)))+1),(((D4673/100)*(C4673*VLOOKUP(B4673,'Poids des runes'!A:B,2,FALSE)))+1)/VLOOKUP(B4673,'Poids des runes'!A:B,2,FALSE))</f>
        <v>1.4633333333333334</v>
      </c>
      <c r="F4673">
        <f t="shared" si="72"/>
        <v>1.4633333333333334</v>
      </c>
    </row>
    <row r="4674" spans="1:6" x14ac:dyDescent="0.3">
      <c r="A4674" t="s">
        <v>1017</v>
      </c>
      <c r="B4674" t="s">
        <v>2153</v>
      </c>
      <c r="C4674">
        <v>6</v>
      </c>
      <c r="D4674">
        <v>143</v>
      </c>
      <c r="E4674">
        <f>IF(OR(B4674="vi",B4674="ii",B4674="pod"),(((D4674/100)*(C4674*VLOOKUP(B4674,'Poids des runes'!A:B,2,FALSE)))+1),(((D4674/100)*(C4674*VLOOKUP(B4674,'Poids des runes'!A:B,2,FALSE)))+1)/VLOOKUP(B4674,'Poids des runes'!A:B,2,FALSE))</f>
        <v>8.7799999999999994</v>
      </c>
      <c r="F4674">
        <f t="shared" si="72"/>
        <v>8.7799999999999994</v>
      </c>
    </row>
    <row r="4675" spans="1:6" x14ac:dyDescent="0.3">
      <c r="A4675" t="s">
        <v>1017</v>
      </c>
      <c r="B4675" t="s">
        <v>2161</v>
      </c>
      <c r="C4675">
        <v>13</v>
      </c>
      <c r="D4675">
        <v>143</v>
      </c>
      <c r="E4675">
        <f>IF(OR(B4675="vi",B4675="ii",B4675="pod"),(((D4675/100)*(C4675*VLOOKUP(B4675,'Poids des runes'!A:B,2,FALSE)))+1),(((D4675/100)*(C4675*VLOOKUP(B4675,'Poids des runes'!A:B,2,FALSE)))+1)/VLOOKUP(B4675,'Poids des runes'!A:B,2,FALSE))</f>
        <v>18.923333333333332</v>
      </c>
      <c r="F4675">
        <f t="shared" ref="F4675:F4738" si="73">E4675</f>
        <v>18.923333333333332</v>
      </c>
    </row>
    <row r="4676" spans="1:6" x14ac:dyDescent="0.3">
      <c r="A4676" t="s">
        <v>1017</v>
      </c>
      <c r="B4676" t="s">
        <v>2141</v>
      </c>
      <c r="C4676">
        <v>4.5</v>
      </c>
      <c r="D4676">
        <v>143</v>
      </c>
      <c r="E4676">
        <f>IF(OR(B4676="vi",B4676="ii",B4676="pod"),(((D4676/100)*(C4676*VLOOKUP(B4676,'Poids des runes'!A:B,2,FALSE)))+1),(((D4676/100)*(C4676*VLOOKUP(B4676,'Poids des runes'!A:B,2,FALSE)))+1)/VLOOKUP(B4676,'Poids des runes'!A:B,2,FALSE))</f>
        <v>6.6849999999999996</v>
      </c>
      <c r="F4676">
        <f t="shared" si="73"/>
        <v>6.6849999999999996</v>
      </c>
    </row>
    <row r="4677" spans="1:6" x14ac:dyDescent="0.3">
      <c r="A4677" t="s">
        <v>1017</v>
      </c>
      <c r="B4677" t="s">
        <v>2165</v>
      </c>
      <c r="C4677">
        <v>6</v>
      </c>
      <c r="D4677">
        <v>143</v>
      </c>
      <c r="E4677">
        <f>IF(OR(B4677="vi",B4677="ii",B4677="pod"),(((D4677/100)*(C4677*VLOOKUP(B4677,'Poids des runes'!A:B,2,FALSE)))+1),(((D4677/100)*(C4677*VLOOKUP(B4677,'Poids des runes'!A:B,2,FALSE)))+1)/VLOOKUP(B4677,'Poids des runes'!A:B,2,FALSE))</f>
        <v>8.7228571428571424</v>
      </c>
      <c r="F4677">
        <f t="shared" si="73"/>
        <v>8.7228571428571424</v>
      </c>
    </row>
    <row r="4678" spans="1:6" x14ac:dyDescent="0.3">
      <c r="A4678" t="s">
        <v>1017</v>
      </c>
      <c r="B4678" t="s">
        <v>2147</v>
      </c>
      <c r="C4678">
        <v>8.5</v>
      </c>
      <c r="D4678">
        <v>143</v>
      </c>
      <c r="E4678">
        <f>IF(OR(B4678="vi",B4678="ii",B4678="pod"),(((D4678/100)*(C4678*VLOOKUP(B4678,'Poids des runes'!A:B,2,FALSE)))+1),(((D4678/100)*(C4678*VLOOKUP(B4678,'Poids des runes'!A:B,2,FALSE)))+1)/VLOOKUP(B4678,'Poids des runes'!A:B,2,FALSE))</f>
        <v>12.321666666666665</v>
      </c>
      <c r="F4678">
        <f t="shared" si="73"/>
        <v>12.321666666666665</v>
      </c>
    </row>
    <row r="4679" spans="1:6" x14ac:dyDescent="0.3">
      <c r="A4679" t="s">
        <v>1018</v>
      </c>
      <c r="B4679" t="s">
        <v>2128</v>
      </c>
      <c r="C4679">
        <v>175.5</v>
      </c>
      <c r="D4679">
        <v>143</v>
      </c>
      <c r="E4679">
        <f>IF(OR(B4679="vi",B4679="ii",B4679="pod"),(((D4679/100)*(C4679*VLOOKUP(B4679,'Poids des runes'!A:B,2,FALSE)))+1),(((D4679/100)*(C4679*VLOOKUP(B4679,'Poids des runes'!A:B,2,FALSE)))+1)/VLOOKUP(B4679,'Poids des runes'!A:B,2,FALSE))</f>
        <v>51.192999999999998</v>
      </c>
      <c r="F4679">
        <f t="shared" si="73"/>
        <v>51.192999999999998</v>
      </c>
    </row>
    <row r="4680" spans="1:6" x14ac:dyDescent="0.3">
      <c r="A4680" t="s">
        <v>1018</v>
      </c>
      <c r="B4680" t="s">
        <v>2130</v>
      </c>
      <c r="C4680">
        <v>40.5</v>
      </c>
      <c r="D4680">
        <v>143</v>
      </c>
      <c r="E4680">
        <f>IF(OR(B4680="vi",B4680="ii",B4680="pod"),(((D4680/100)*(C4680*VLOOKUP(B4680,'Poids des runes'!A:B,2,FALSE)))+1),(((D4680/100)*(C4680*VLOOKUP(B4680,'Poids des runes'!A:B,2,FALSE)))+1)/VLOOKUP(B4680,'Poids des runes'!A:B,2,FALSE))</f>
        <v>58.914999999999999</v>
      </c>
      <c r="F4680">
        <f t="shared" si="73"/>
        <v>58.914999999999999</v>
      </c>
    </row>
    <row r="4681" spans="1:6" x14ac:dyDescent="0.3">
      <c r="A4681" t="s">
        <v>1018</v>
      </c>
      <c r="B4681" t="s">
        <v>2129</v>
      </c>
      <c r="C4681">
        <v>25.5</v>
      </c>
      <c r="D4681">
        <v>143</v>
      </c>
      <c r="E4681">
        <f>IF(OR(B4681="vi",B4681="ii",B4681="pod"),(((D4681/100)*(C4681*VLOOKUP(B4681,'Poids des runes'!A:B,2,FALSE)))+1),(((D4681/100)*(C4681*VLOOKUP(B4681,'Poids des runes'!A:B,2,FALSE)))+1)/VLOOKUP(B4681,'Poids des runes'!A:B,2,FALSE))</f>
        <v>37.464999999999996</v>
      </c>
      <c r="F4681">
        <f t="shared" si="73"/>
        <v>37.464999999999996</v>
      </c>
    </row>
    <row r="4682" spans="1:6" x14ac:dyDescent="0.3">
      <c r="A4682" t="s">
        <v>1018</v>
      </c>
      <c r="B4682" t="s">
        <v>2139</v>
      </c>
      <c r="C4682">
        <v>10.5</v>
      </c>
      <c r="D4682">
        <v>143</v>
      </c>
      <c r="E4682">
        <f>IF(OR(B4682="vi",B4682="ii",B4682="pod"),(((D4682/100)*(C4682*VLOOKUP(B4682,'Poids des runes'!A:B,2,FALSE)))+1),(((D4682/100)*(C4682*VLOOKUP(B4682,'Poids des runes'!A:B,2,FALSE)))+1)/VLOOKUP(B4682,'Poids des runes'!A:B,2,FALSE))</f>
        <v>15.514999999999999</v>
      </c>
      <c r="F4682">
        <f t="shared" si="73"/>
        <v>15.514999999999999</v>
      </c>
    </row>
    <row r="4683" spans="1:6" x14ac:dyDescent="0.3">
      <c r="A4683" t="s">
        <v>1018</v>
      </c>
      <c r="B4683" t="s">
        <v>2151</v>
      </c>
      <c r="C4683">
        <v>2.5</v>
      </c>
      <c r="D4683">
        <v>143</v>
      </c>
      <c r="E4683">
        <f>IF(OR(B4683="vi",B4683="ii",B4683="pod"),(((D4683/100)*(C4683*VLOOKUP(B4683,'Poids des runes'!A:B,2,FALSE)))+1),(((D4683/100)*(C4683*VLOOKUP(B4683,'Poids des runes'!A:B,2,FALSE)))+1)/VLOOKUP(B4683,'Poids des runes'!A:B,2,FALSE))</f>
        <v>3.6749999999999998</v>
      </c>
      <c r="F4683">
        <f t="shared" si="73"/>
        <v>3.6749999999999998</v>
      </c>
    </row>
    <row r="4684" spans="1:6" x14ac:dyDescent="0.3">
      <c r="A4684" t="s">
        <v>1018</v>
      </c>
      <c r="B4684" t="s">
        <v>2152</v>
      </c>
      <c r="C4684">
        <v>1</v>
      </c>
      <c r="D4684">
        <v>143</v>
      </c>
      <c r="E4684">
        <f>IF(OR(B4684="vi",B4684="ii",B4684="pod"),(((D4684/100)*(C4684*VLOOKUP(B4684,'Poids des runes'!A:B,2,FALSE)))+1),(((D4684/100)*(C4684*VLOOKUP(B4684,'Poids des runes'!A:B,2,FALSE)))+1)/VLOOKUP(B4684,'Poids des runes'!A:B,2,FALSE))</f>
        <v>1.44</v>
      </c>
      <c r="F4684">
        <f t="shared" si="73"/>
        <v>1.44</v>
      </c>
    </row>
    <row r="4685" spans="1:6" x14ac:dyDescent="0.3">
      <c r="A4685" t="s">
        <v>1018</v>
      </c>
      <c r="B4685" t="s">
        <v>2134</v>
      </c>
      <c r="C4685">
        <v>3</v>
      </c>
      <c r="D4685">
        <v>143</v>
      </c>
      <c r="E4685">
        <f>IF(OR(B4685="vi",B4685="ii",B4685="pod"),(((D4685/100)*(C4685*VLOOKUP(B4685,'Poids des runes'!A:B,2,FALSE)))+1),(((D4685/100)*(C4685*VLOOKUP(B4685,'Poids des runes'!A:B,2,FALSE)))+1)/VLOOKUP(B4685,'Poids des runes'!A:B,2,FALSE))</f>
        <v>4.34</v>
      </c>
      <c r="F4685">
        <f t="shared" si="73"/>
        <v>4.34</v>
      </c>
    </row>
    <row r="4686" spans="1:6" x14ac:dyDescent="0.3">
      <c r="A4686" t="s">
        <v>1018</v>
      </c>
      <c r="B4686" t="s">
        <v>2161</v>
      </c>
      <c r="C4686">
        <v>15.5</v>
      </c>
      <c r="D4686">
        <v>143</v>
      </c>
      <c r="E4686">
        <f>IF(OR(B4686="vi",B4686="ii",B4686="pod"),(((D4686/100)*(C4686*VLOOKUP(B4686,'Poids des runes'!A:B,2,FALSE)))+1),(((D4686/100)*(C4686*VLOOKUP(B4686,'Poids des runes'!A:B,2,FALSE)))+1)/VLOOKUP(B4686,'Poids des runes'!A:B,2,FALSE))</f>
        <v>22.498333333333331</v>
      </c>
      <c r="F4686">
        <f t="shared" si="73"/>
        <v>22.498333333333331</v>
      </c>
    </row>
    <row r="4687" spans="1:6" x14ac:dyDescent="0.3">
      <c r="A4687" t="s">
        <v>1018</v>
      </c>
      <c r="B4687" t="s">
        <v>2135</v>
      </c>
      <c r="C4687">
        <v>8</v>
      </c>
      <c r="D4687">
        <v>143</v>
      </c>
      <c r="E4687">
        <f>IF(OR(B4687="vi",B4687="ii",B4687="pod"),(((D4687/100)*(C4687*VLOOKUP(B4687,'Poids des runes'!A:B,2,FALSE)))+1),(((D4687/100)*(C4687*VLOOKUP(B4687,'Poids des runes'!A:B,2,FALSE)))+1)/VLOOKUP(B4687,'Poids des runes'!A:B,2,FALSE))</f>
        <v>11.606666666666667</v>
      </c>
      <c r="F4687">
        <f t="shared" si="73"/>
        <v>11.606666666666667</v>
      </c>
    </row>
    <row r="4688" spans="1:6" x14ac:dyDescent="0.3">
      <c r="A4688" t="s">
        <v>1018</v>
      </c>
      <c r="B4688" t="s">
        <v>2157</v>
      </c>
      <c r="C4688">
        <v>8</v>
      </c>
      <c r="D4688">
        <v>143</v>
      </c>
      <c r="E4688">
        <f>IF(OR(B4688="vi",B4688="ii",B4688="pod"),(((D4688/100)*(C4688*VLOOKUP(B4688,'Poids des runes'!A:B,2,FALSE)))+1),(((D4688/100)*(C4688*VLOOKUP(B4688,'Poids des runes'!A:B,2,FALSE)))+1)/VLOOKUP(B4688,'Poids des runes'!A:B,2,FALSE))</f>
        <v>11.606666666666667</v>
      </c>
      <c r="F4688">
        <f t="shared" si="73"/>
        <v>11.606666666666667</v>
      </c>
    </row>
    <row r="4689" spans="1:6" x14ac:dyDescent="0.3">
      <c r="A4689" t="s">
        <v>1019</v>
      </c>
      <c r="B4689" t="s">
        <v>2128</v>
      </c>
      <c r="C4689">
        <v>175.5</v>
      </c>
      <c r="D4689">
        <v>143</v>
      </c>
      <c r="E4689">
        <f>IF(OR(B4689="vi",B4689="ii",B4689="pod"),(((D4689/100)*(C4689*VLOOKUP(B4689,'Poids des runes'!A:B,2,FALSE)))+1),(((D4689/100)*(C4689*VLOOKUP(B4689,'Poids des runes'!A:B,2,FALSE)))+1)/VLOOKUP(B4689,'Poids des runes'!A:B,2,FALSE))</f>
        <v>51.192999999999998</v>
      </c>
      <c r="F4689">
        <f t="shared" si="73"/>
        <v>51.192999999999998</v>
      </c>
    </row>
    <row r="4690" spans="1:6" x14ac:dyDescent="0.3">
      <c r="A4690" t="s">
        <v>1019</v>
      </c>
      <c r="B4690" t="s">
        <v>2131</v>
      </c>
      <c r="C4690">
        <v>40.5</v>
      </c>
      <c r="D4690">
        <v>143</v>
      </c>
      <c r="E4690">
        <f>IF(OR(B4690="vi",B4690="ii",B4690="pod"),(((D4690/100)*(C4690*VLOOKUP(B4690,'Poids des runes'!A:B,2,FALSE)))+1),(((D4690/100)*(C4690*VLOOKUP(B4690,'Poids des runes'!A:B,2,FALSE)))+1)/VLOOKUP(B4690,'Poids des runes'!A:B,2,FALSE))</f>
        <v>58.914999999999999</v>
      </c>
      <c r="F4690">
        <f t="shared" si="73"/>
        <v>58.914999999999999</v>
      </c>
    </row>
    <row r="4691" spans="1:6" x14ac:dyDescent="0.3">
      <c r="A4691" t="s">
        <v>1019</v>
      </c>
      <c r="B4691" t="s">
        <v>2127</v>
      </c>
      <c r="C4691">
        <v>40.5</v>
      </c>
      <c r="D4691">
        <v>143</v>
      </c>
      <c r="E4691">
        <f>IF(OR(B4691="vi",B4691="ii",B4691="pod"),(((D4691/100)*(C4691*VLOOKUP(B4691,'Poids des runes'!A:B,2,FALSE)))+1),(((D4691/100)*(C4691*VLOOKUP(B4691,'Poids des runes'!A:B,2,FALSE)))+1)/VLOOKUP(B4691,'Poids des runes'!A:B,2,FALSE))</f>
        <v>58.914999999999999</v>
      </c>
      <c r="F4691">
        <f t="shared" si="73"/>
        <v>58.914999999999999</v>
      </c>
    </row>
    <row r="4692" spans="1:6" x14ac:dyDescent="0.3">
      <c r="A4692" t="s">
        <v>1019</v>
      </c>
      <c r="B4692" t="s">
        <v>2129</v>
      </c>
      <c r="C4692">
        <v>25.5</v>
      </c>
      <c r="D4692">
        <v>143</v>
      </c>
      <c r="E4692">
        <f>IF(OR(B4692="vi",B4692="ii",B4692="pod"),(((D4692/100)*(C4692*VLOOKUP(B4692,'Poids des runes'!A:B,2,FALSE)))+1),(((D4692/100)*(C4692*VLOOKUP(B4692,'Poids des runes'!A:B,2,FALSE)))+1)/VLOOKUP(B4692,'Poids des runes'!A:B,2,FALSE))</f>
        <v>37.464999999999996</v>
      </c>
      <c r="F4692">
        <f t="shared" si="73"/>
        <v>37.464999999999996</v>
      </c>
    </row>
    <row r="4693" spans="1:6" x14ac:dyDescent="0.3">
      <c r="A4693" t="s">
        <v>1019</v>
      </c>
      <c r="B4693" t="s">
        <v>2161</v>
      </c>
      <c r="C4693">
        <v>8</v>
      </c>
      <c r="D4693">
        <v>143</v>
      </c>
      <c r="E4693">
        <f>IF(OR(B4693="vi",B4693="ii",B4693="pod"),(((D4693/100)*(C4693*VLOOKUP(B4693,'Poids des runes'!A:B,2,FALSE)))+1),(((D4693/100)*(C4693*VLOOKUP(B4693,'Poids des runes'!A:B,2,FALSE)))+1)/VLOOKUP(B4693,'Poids des runes'!A:B,2,FALSE))</f>
        <v>11.773333333333333</v>
      </c>
      <c r="F4693">
        <f t="shared" si="73"/>
        <v>11.773333333333333</v>
      </c>
    </row>
    <row r="4694" spans="1:6" x14ac:dyDescent="0.3">
      <c r="A4694" t="s">
        <v>1019</v>
      </c>
      <c r="B4694" t="s">
        <v>2132</v>
      </c>
      <c r="C4694">
        <v>250.5</v>
      </c>
      <c r="D4694">
        <v>143</v>
      </c>
      <c r="E4694">
        <f>IF(OR(B4694="vi",B4694="ii",B4694="pod"),(((D4694/100)*(C4694*VLOOKUP(B4694,'Poids des runes'!A:B,2,FALSE)))+1),(((D4694/100)*(C4694*VLOOKUP(B4694,'Poids des runes'!A:B,2,FALSE)))+1)/VLOOKUP(B4694,'Poids des runes'!A:B,2,FALSE))</f>
        <v>36.8215</v>
      </c>
      <c r="F4694">
        <f t="shared" si="73"/>
        <v>36.8215</v>
      </c>
    </row>
    <row r="4695" spans="1:6" x14ac:dyDescent="0.3">
      <c r="A4695" t="s">
        <v>1019</v>
      </c>
      <c r="B4695" t="s">
        <v>2141</v>
      </c>
      <c r="C4695">
        <v>6.5</v>
      </c>
      <c r="D4695">
        <v>143</v>
      </c>
      <c r="E4695">
        <f>IF(OR(B4695="vi",B4695="ii",B4695="pod"),(((D4695/100)*(C4695*VLOOKUP(B4695,'Poids des runes'!A:B,2,FALSE)))+1),(((D4695/100)*(C4695*VLOOKUP(B4695,'Poids des runes'!A:B,2,FALSE)))+1)/VLOOKUP(B4695,'Poids des runes'!A:B,2,FALSE))</f>
        <v>9.5449999999999999</v>
      </c>
      <c r="F4695">
        <f t="shared" si="73"/>
        <v>9.5449999999999999</v>
      </c>
    </row>
    <row r="4696" spans="1:6" x14ac:dyDescent="0.3">
      <c r="A4696" t="s">
        <v>1019</v>
      </c>
      <c r="B4696" t="s">
        <v>2159</v>
      </c>
      <c r="C4696">
        <v>6.5</v>
      </c>
      <c r="D4696">
        <v>143</v>
      </c>
      <c r="E4696">
        <f>IF(OR(B4696="vi",B4696="ii",B4696="pod"),(((D4696/100)*(C4696*VLOOKUP(B4696,'Poids des runes'!A:B,2,FALSE)))+1),(((D4696/100)*(C4696*VLOOKUP(B4696,'Poids des runes'!A:B,2,FALSE)))+1)/VLOOKUP(B4696,'Poids des runes'!A:B,2,FALSE))</f>
        <v>9.4378571428571423</v>
      </c>
      <c r="F4696">
        <f t="shared" si="73"/>
        <v>9.4378571428571423</v>
      </c>
    </row>
    <row r="4697" spans="1:6" x14ac:dyDescent="0.3">
      <c r="A4697" t="s">
        <v>1019</v>
      </c>
      <c r="B4697" t="s">
        <v>2148</v>
      </c>
      <c r="C4697">
        <v>5</v>
      </c>
      <c r="D4697">
        <v>143</v>
      </c>
      <c r="E4697">
        <f>IF(OR(B4697="vi",B4697="ii",B4697="pod"),(((D4697/100)*(C4697*VLOOKUP(B4697,'Poids des runes'!A:B,2,FALSE)))+1),(((D4697/100)*(C4697*VLOOKUP(B4697,'Poids des runes'!A:B,2,FALSE)))+1)/VLOOKUP(B4697,'Poids des runes'!A:B,2,FALSE))</f>
        <v>7.3166666666666664</v>
      </c>
      <c r="F4697">
        <f t="shared" si="73"/>
        <v>7.3166666666666664</v>
      </c>
    </row>
    <row r="4698" spans="1:6" x14ac:dyDescent="0.3">
      <c r="A4698" t="s">
        <v>1019</v>
      </c>
      <c r="B4698" t="s">
        <v>2147</v>
      </c>
      <c r="C4698">
        <v>5</v>
      </c>
      <c r="D4698">
        <v>143</v>
      </c>
      <c r="E4698">
        <f>IF(OR(B4698="vi",B4698="ii",B4698="pod"),(((D4698/100)*(C4698*VLOOKUP(B4698,'Poids des runes'!A:B,2,FALSE)))+1),(((D4698/100)*(C4698*VLOOKUP(B4698,'Poids des runes'!A:B,2,FALSE)))+1)/VLOOKUP(B4698,'Poids des runes'!A:B,2,FALSE))</f>
        <v>7.3166666666666664</v>
      </c>
      <c r="F4698">
        <f t="shared" si="73"/>
        <v>7.3166666666666664</v>
      </c>
    </row>
    <row r="4699" spans="1:6" x14ac:dyDescent="0.3">
      <c r="A4699" t="s">
        <v>1020</v>
      </c>
      <c r="B4699" t="s">
        <v>2128</v>
      </c>
      <c r="C4699">
        <v>175.5</v>
      </c>
      <c r="D4699">
        <v>144</v>
      </c>
      <c r="E4699">
        <f>IF(OR(B4699="vi",B4699="ii",B4699="pod"),(((D4699/100)*(C4699*VLOOKUP(B4699,'Poids des runes'!A:B,2,FALSE)))+1),(((D4699/100)*(C4699*VLOOKUP(B4699,'Poids des runes'!A:B,2,FALSE)))+1)/VLOOKUP(B4699,'Poids des runes'!A:B,2,FALSE))</f>
        <v>51.543999999999997</v>
      </c>
      <c r="F4699">
        <f t="shared" si="73"/>
        <v>51.543999999999997</v>
      </c>
    </row>
    <row r="4700" spans="1:6" x14ac:dyDescent="0.3">
      <c r="A4700" t="s">
        <v>1020</v>
      </c>
      <c r="B4700" t="s">
        <v>2126</v>
      </c>
      <c r="C4700">
        <v>40.5</v>
      </c>
      <c r="D4700">
        <v>144</v>
      </c>
      <c r="E4700">
        <f>IF(OR(B4700="vi",B4700="ii",B4700="pod"),(((D4700/100)*(C4700*VLOOKUP(B4700,'Poids des runes'!A:B,2,FALSE)))+1),(((D4700/100)*(C4700*VLOOKUP(B4700,'Poids des runes'!A:B,2,FALSE)))+1)/VLOOKUP(B4700,'Poids des runes'!A:B,2,FALSE))</f>
        <v>59.32</v>
      </c>
      <c r="F4700">
        <f t="shared" si="73"/>
        <v>59.32</v>
      </c>
    </row>
    <row r="4701" spans="1:6" x14ac:dyDescent="0.3">
      <c r="A4701" t="s">
        <v>1020</v>
      </c>
      <c r="B4701" t="s">
        <v>2131</v>
      </c>
      <c r="C4701">
        <v>40.5</v>
      </c>
      <c r="D4701">
        <v>144</v>
      </c>
      <c r="E4701">
        <f>IF(OR(B4701="vi",B4701="ii",B4701="pod"),(((D4701/100)*(C4701*VLOOKUP(B4701,'Poids des runes'!A:B,2,FALSE)))+1),(((D4701/100)*(C4701*VLOOKUP(B4701,'Poids des runes'!A:B,2,FALSE)))+1)/VLOOKUP(B4701,'Poids des runes'!A:B,2,FALSE))</f>
        <v>59.32</v>
      </c>
      <c r="F4701">
        <f t="shared" si="73"/>
        <v>59.32</v>
      </c>
    </row>
    <row r="4702" spans="1:6" x14ac:dyDescent="0.3">
      <c r="A4702" t="s">
        <v>1020</v>
      </c>
      <c r="B4702" t="s">
        <v>2129</v>
      </c>
      <c r="C4702">
        <v>33</v>
      </c>
      <c r="D4702">
        <v>144</v>
      </c>
      <c r="E4702">
        <f>IF(OR(B4702="vi",B4702="ii",B4702="pod"),(((D4702/100)*(C4702*VLOOKUP(B4702,'Poids des runes'!A:B,2,FALSE)))+1),(((D4702/100)*(C4702*VLOOKUP(B4702,'Poids des runes'!A:B,2,FALSE)))+1)/VLOOKUP(B4702,'Poids des runes'!A:B,2,FALSE))</f>
        <v>48.519999999999996</v>
      </c>
      <c r="F4702">
        <f t="shared" si="73"/>
        <v>48.519999999999996</v>
      </c>
    </row>
    <row r="4703" spans="1:6" x14ac:dyDescent="0.3">
      <c r="A4703" t="s">
        <v>1020</v>
      </c>
      <c r="B4703" t="s">
        <v>2161</v>
      </c>
      <c r="C4703">
        <v>20.5</v>
      </c>
      <c r="D4703">
        <v>144</v>
      </c>
      <c r="E4703">
        <f>IF(OR(B4703="vi",B4703="ii",B4703="pod"),(((D4703/100)*(C4703*VLOOKUP(B4703,'Poids des runes'!A:B,2,FALSE)))+1),(((D4703/100)*(C4703*VLOOKUP(B4703,'Poids des runes'!A:B,2,FALSE)))+1)/VLOOKUP(B4703,'Poids des runes'!A:B,2,FALSE))</f>
        <v>29.853333333333335</v>
      </c>
      <c r="F4703">
        <f t="shared" si="73"/>
        <v>29.853333333333335</v>
      </c>
    </row>
    <row r="4704" spans="1:6" x14ac:dyDescent="0.3">
      <c r="A4704" t="s">
        <v>1020</v>
      </c>
      <c r="B4704" t="s">
        <v>2132</v>
      </c>
      <c r="C4704">
        <v>300</v>
      </c>
      <c r="D4704">
        <v>144</v>
      </c>
      <c r="E4704">
        <f>IF(OR(B4704="vi",B4704="ii",B4704="pod"),(((D4704/100)*(C4704*VLOOKUP(B4704,'Poids des runes'!A:B,2,FALSE)))+1),(((D4704/100)*(C4704*VLOOKUP(B4704,'Poids des runes'!A:B,2,FALSE)))+1)/VLOOKUP(B4704,'Poids des runes'!A:B,2,FALSE))</f>
        <v>44.199999999999996</v>
      </c>
      <c r="F4704">
        <f t="shared" si="73"/>
        <v>44.199999999999996</v>
      </c>
    </row>
    <row r="4705" spans="1:6" x14ac:dyDescent="0.3">
      <c r="A4705" t="s">
        <v>1020</v>
      </c>
      <c r="B4705" t="s">
        <v>2136</v>
      </c>
      <c r="C4705">
        <v>18</v>
      </c>
      <c r="D4705">
        <v>144</v>
      </c>
      <c r="E4705">
        <f>IF(OR(B4705="vi",B4705="ii",B4705="pod"),(((D4705/100)*(C4705*VLOOKUP(B4705,'Poids des runes'!A:B,2,FALSE)))+1),(((D4705/100)*(C4705*VLOOKUP(B4705,'Poids des runes'!A:B,2,FALSE)))+1)/VLOOKUP(B4705,'Poids des runes'!A:B,2,FALSE))</f>
        <v>26.419999999999998</v>
      </c>
      <c r="F4705">
        <f t="shared" si="73"/>
        <v>26.419999999999998</v>
      </c>
    </row>
    <row r="4706" spans="1:6" x14ac:dyDescent="0.3">
      <c r="A4706" t="s">
        <v>1020</v>
      </c>
      <c r="B4706" t="s">
        <v>2144</v>
      </c>
      <c r="C4706">
        <v>18</v>
      </c>
      <c r="D4706">
        <v>144</v>
      </c>
      <c r="E4706">
        <f>IF(OR(B4706="vi",B4706="ii",B4706="pod"),(((D4706/100)*(C4706*VLOOKUP(B4706,'Poids des runes'!A:B,2,FALSE)))+1),(((D4706/100)*(C4706*VLOOKUP(B4706,'Poids des runes'!A:B,2,FALSE)))+1)/VLOOKUP(B4706,'Poids des runes'!A:B,2,FALSE))</f>
        <v>26.419999999999998</v>
      </c>
      <c r="F4706">
        <f t="shared" si="73"/>
        <v>26.419999999999998</v>
      </c>
    </row>
    <row r="4707" spans="1:6" x14ac:dyDescent="0.3">
      <c r="A4707" t="s">
        <v>1021</v>
      </c>
      <c r="B4707" t="s">
        <v>2128</v>
      </c>
      <c r="C4707">
        <v>175.5</v>
      </c>
      <c r="D4707">
        <v>144</v>
      </c>
      <c r="E4707">
        <f>IF(OR(B4707="vi",B4707="ii",B4707="pod"),(((D4707/100)*(C4707*VLOOKUP(B4707,'Poids des runes'!A:B,2,FALSE)))+1),(((D4707/100)*(C4707*VLOOKUP(B4707,'Poids des runes'!A:B,2,FALSE)))+1)/VLOOKUP(B4707,'Poids des runes'!A:B,2,FALSE))</f>
        <v>51.543999999999997</v>
      </c>
      <c r="F4707">
        <f t="shared" si="73"/>
        <v>51.543999999999997</v>
      </c>
    </row>
    <row r="4708" spans="1:6" x14ac:dyDescent="0.3">
      <c r="A4708" t="s">
        <v>1021</v>
      </c>
      <c r="B4708" t="s">
        <v>2130</v>
      </c>
      <c r="C4708">
        <v>38</v>
      </c>
      <c r="D4708">
        <v>144</v>
      </c>
      <c r="E4708">
        <f>IF(OR(B4708="vi",B4708="ii",B4708="pod"),(((D4708/100)*(C4708*VLOOKUP(B4708,'Poids des runes'!A:B,2,FALSE)))+1),(((D4708/100)*(C4708*VLOOKUP(B4708,'Poids des runes'!A:B,2,FALSE)))+1)/VLOOKUP(B4708,'Poids des runes'!A:B,2,FALSE))</f>
        <v>55.72</v>
      </c>
      <c r="F4708">
        <f t="shared" si="73"/>
        <v>55.72</v>
      </c>
    </row>
    <row r="4709" spans="1:6" x14ac:dyDescent="0.3">
      <c r="A4709" t="s">
        <v>1021</v>
      </c>
      <c r="B4709" t="s">
        <v>2131</v>
      </c>
      <c r="C4709">
        <v>38</v>
      </c>
      <c r="D4709">
        <v>144</v>
      </c>
      <c r="E4709">
        <f>IF(OR(B4709="vi",B4709="ii",B4709="pod"),(((D4709/100)*(C4709*VLOOKUP(B4709,'Poids des runes'!A:B,2,FALSE)))+1),(((D4709/100)*(C4709*VLOOKUP(B4709,'Poids des runes'!A:B,2,FALSE)))+1)/VLOOKUP(B4709,'Poids des runes'!A:B,2,FALSE))</f>
        <v>55.72</v>
      </c>
      <c r="F4709">
        <f t="shared" si="73"/>
        <v>55.72</v>
      </c>
    </row>
    <row r="4710" spans="1:6" x14ac:dyDescent="0.3">
      <c r="A4710" t="s">
        <v>1021</v>
      </c>
      <c r="B4710" t="s">
        <v>2129</v>
      </c>
      <c r="C4710">
        <v>28</v>
      </c>
      <c r="D4710">
        <v>144</v>
      </c>
      <c r="E4710">
        <f>IF(OR(B4710="vi",B4710="ii",B4710="pod"),(((D4710/100)*(C4710*VLOOKUP(B4710,'Poids des runes'!A:B,2,FALSE)))+1),(((D4710/100)*(C4710*VLOOKUP(B4710,'Poids des runes'!A:B,2,FALSE)))+1)/VLOOKUP(B4710,'Poids des runes'!A:B,2,FALSE))</f>
        <v>41.32</v>
      </c>
      <c r="F4710">
        <f t="shared" si="73"/>
        <v>41.32</v>
      </c>
    </row>
    <row r="4711" spans="1:6" x14ac:dyDescent="0.3">
      <c r="A4711" t="s">
        <v>1021</v>
      </c>
      <c r="B4711" t="s">
        <v>2155</v>
      </c>
      <c r="C4711">
        <v>1</v>
      </c>
      <c r="D4711">
        <v>144</v>
      </c>
      <c r="E4711">
        <f>IF(OR(B4711="vi",B4711="ii",B4711="pod"),(((D4711/100)*(C4711*VLOOKUP(B4711,'Poids des runes'!A:B,2,FALSE)))+1),(((D4711/100)*(C4711*VLOOKUP(B4711,'Poids des runes'!A:B,2,FALSE)))+1)/VLOOKUP(B4711,'Poids des runes'!A:B,2,FALSE))</f>
        <v>1.4596078431372548</v>
      </c>
      <c r="F4711">
        <f t="shared" si="73"/>
        <v>1.4596078431372548</v>
      </c>
    </row>
    <row r="4712" spans="1:6" x14ac:dyDescent="0.3">
      <c r="A4712" t="s">
        <v>1021</v>
      </c>
      <c r="B4712" t="s">
        <v>2143</v>
      </c>
      <c r="C4712">
        <v>8.5</v>
      </c>
      <c r="D4712">
        <v>144</v>
      </c>
      <c r="E4712">
        <f>IF(OR(B4712="vi",B4712="ii",B4712="pod"),(((D4712/100)*(C4712*VLOOKUP(B4712,'Poids des runes'!A:B,2,FALSE)))+1),(((D4712/100)*(C4712*VLOOKUP(B4712,'Poids des runes'!A:B,2,FALSE)))+1)/VLOOKUP(B4712,'Poids des runes'!A:B,2,FALSE))</f>
        <v>12.44</v>
      </c>
      <c r="F4712">
        <f t="shared" si="73"/>
        <v>12.44</v>
      </c>
    </row>
    <row r="4713" spans="1:6" x14ac:dyDescent="0.3">
      <c r="A4713" t="s">
        <v>1021</v>
      </c>
      <c r="B4713" t="s">
        <v>2133</v>
      </c>
      <c r="C4713">
        <v>8.5</v>
      </c>
      <c r="D4713">
        <v>144</v>
      </c>
      <c r="E4713">
        <f>IF(OR(B4713="vi",B4713="ii",B4713="pod"),(((D4713/100)*(C4713*VLOOKUP(B4713,'Poids des runes'!A:B,2,FALSE)))+1),(((D4713/100)*(C4713*VLOOKUP(B4713,'Poids des runes'!A:B,2,FALSE)))+1)/VLOOKUP(B4713,'Poids des runes'!A:B,2,FALSE))</f>
        <v>12.44</v>
      </c>
      <c r="F4713">
        <f t="shared" si="73"/>
        <v>12.44</v>
      </c>
    </row>
    <row r="4714" spans="1:6" x14ac:dyDescent="0.3">
      <c r="A4714" t="s">
        <v>1021</v>
      </c>
      <c r="B4714" t="s">
        <v>2161</v>
      </c>
      <c r="C4714">
        <v>8.5</v>
      </c>
      <c r="D4714">
        <v>144</v>
      </c>
      <c r="E4714">
        <f>IF(OR(B4714="vi",B4714="ii",B4714="pod"),(((D4714/100)*(C4714*VLOOKUP(B4714,'Poids des runes'!A:B,2,FALSE)))+1),(((D4714/100)*(C4714*VLOOKUP(B4714,'Poids des runes'!A:B,2,FALSE)))+1)/VLOOKUP(B4714,'Poids des runes'!A:B,2,FALSE))</f>
        <v>12.573333333333332</v>
      </c>
      <c r="F4714">
        <f t="shared" si="73"/>
        <v>12.573333333333332</v>
      </c>
    </row>
    <row r="4715" spans="1:6" x14ac:dyDescent="0.3">
      <c r="A4715" t="s">
        <v>1021</v>
      </c>
      <c r="B4715" t="s">
        <v>2138</v>
      </c>
      <c r="C4715">
        <v>4.5</v>
      </c>
      <c r="D4715">
        <v>144</v>
      </c>
      <c r="E4715">
        <f>IF(OR(B4715="vi",B4715="ii",B4715="pod"),(((D4715/100)*(C4715*VLOOKUP(B4715,'Poids des runes'!A:B,2,FALSE)))+1),(((D4715/100)*(C4715*VLOOKUP(B4715,'Poids des runes'!A:B,2,FALSE)))+1)/VLOOKUP(B4715,'Poids des runes'!A:B,2,FALSE))</f>
        <v>6.7299999999999995</v>
      </c>
      <c r="F4715">
        <f t="shared" si="73"/>
        <v>6.7299999999999995</v>
      </c>
    </row>
    <row r="4716" spans="1:6" x14ac:dyDescent="0.3">
      <c r="A4716" t="s">
        <v>1021</v>
      </c>
      <c r="B4716" t="s">
        <v>2164</v>
      </c>
      <c r="C4716">
        <v>8.5</v>
      </c>
      <c r="D4716">
        <v>144</v>
      </c>
      <c r="E4716">
        <f>IF(OR(B4716="vi",B4716="ii",B4716="pod"),(((D4716/100)*(C4716*VLOOKUP(B4716,'Poids des runes'!A:B,2,FALSE)))+1),(((D4716/100)*(C4716*VLOOKUP(B4716,'Poids des runes'!A:B,2,FALSE)))+1)/VLOOKUP(B4716,'Poids des runes'!A:B,2,FALSE))</f>
        <v>12.74</v>
      </c>
      <c r="F4716">
        <f t="shared" si="73"/>
        <v>12.74</v>
      </c>
    </row>
    <row r="4717" spans="1:6" x14ac:dyDescent="0.3">
      <c r="A4717" t="s">
        <v>1021</v>
      </c>
      <c r="B4717" t="s">
        <v>2147</v>
      </c>
      <c r="C4717">
        <v>6</v>
      </c>
      <c r="D4717">
        <v>144</v>
      </c>
      <c r="E4717">
        <f>IF(OR(B4717="vi",B4717="ii",B4717="pod"),(((D4717/100)*(C4717*VLOOKUP(B4717,'Poids des runes'!A:B,2,FALSE)))+1),(((D4717/100)*(C4717*VLOOKUP(B4717,'Poids des runes'!A:B,2,FALSE)))+1)/VLOOKUP(B4717,'Poids des runes'!A:B,2,FALSE))</f>
        <v>8.8066666666666666</v>
      </c>
      <c r="F4717">
        <f t="shared" si="73"/>
        <v>8.8066666666666666</v>
      </c>
    </row>
    <row r="4718" spans="1:6" x14ac:dyDescent="0.3">
      <c r="A4718" t="s">
        <v>1021</v>
      </c>
      <c r="B4718" t="s">
        <v>2137</v>
      </c>
      <c r="C4718">
        <v>8.5</v>
      </c>
      <c r="D4718">
        <v>144</v>
      </c>
      <c r="E4718">
        <f>IF(OR(B4718="vi",B4718="ii",B4718="pod"),(((D4718/100)*(C4718*VLOOKUP(B4718,'Poids des runes'!A:B,2,FALSE)))+1),(((D4718/100)*(C4718*VLOOKUP(B4718,'Poids des runes'!A:B,2,FALSE)))+1)/VLOOKUP(B4718,'Poids des runes'!A:B,2,FALSE))</f>
        <v>12.74</v>
      </c>
      <c r="F4718">
        <f t="shared" si="73"/>
        <v>12.74</v>
      </c>
    </row>
    <row r="4719" spans="1:6" x14ac:dyDescent="0.3">
      <c r="A4719" t="s">
        <v>1021</v>
      </c>
      <c r="B4719" t="s">
        <v>2146</v>
      </c>
      <c r="C4719">
        <v>8.5</v>
      </c>
      <c r="D4719">
        <v>144</v>
      </c>
      <c r="E4719">
        <f>IF(OR(B4719="vi",B4719="ii",B4719="pod"),(((D4719/100)*(C4719*VLOOKUP(B4719,'Poids des runes'!A:B,2,FALSE)))+1),(((D4719/100)*(C4719*VLOOKUP(B4719,'Poids des runes'!A:B,2,FALSE)))+1)/VLOOKUP(B4719,'Poids des runes'!A:B,2,FALSE))</f>
        <v>12.74</v>
      </c>
      <c r="F4719">
        <f t="shared" si="73"/>
        <v>12.74</v>
      </c>
    </row>
    <row r="4720" spans="1:6" x14ac:dyDescent="0.3">
      <c r="A4720" t="s">
        <v>1022</v>
      </c>
      <c r="B4720" t="s">
        <v>2128</v>
      </c>
      <c r="C4720">
        <v>120.5</v>
      </c>
      <c r="D4720">
        <v>144</v>
      </c>
      <c r="E4720">
        <f>IF(OR(B4720="vi",B4720="ii",B4720="pod"),(((D4720/100)*(C4720*VLOOKUP(B4720,'Poids des runes'!A:B,2,FALSE)))+1),(((D4720/100)*(C4720*VLOOKUP(B4720,'Poids des runes'!A:B,2,FALSE)))+1)/VLOOKUP(B4720,'Poids des runes'!A:B,2,FALSE))</f>
        <v>35.704000000000001</v>
      </c>
      <c r="F4720">
        <f t="shared" si="73"/>
        <v>35.704000000000001</v>
      </c>
    </row>
    <row r="4721" spans="1:6" x14ac:dyDescent="0.3">
      <c r="A4721" t="s">
        <v>1022</v>
      </c>
      <c r="B4721" t="s">
        <v>2130</v>
      </c>
      <c r="C4721">
        <v>35.5</v>
      </c>
      <c r="D4721">
        <v>144</v>
      </c>
      <c r="E4721">
        <f>IF(OR(B4721="vi",B4721="ii",B4721="pod"),(((D4721/100)*(C4721*VLOOKUP(B4721,'Poids des runes'!A:B,2,FALSE)))+1),(((D4721/100)*(C4721*VLOOKUP(B4721,'Poids des runes'!A:B,2,FALSE)))+1)/VLOOKUP(B4721,'Poids des runes'!A:B,2,FALSE))</f>
        <v>52.12</v>
      </c>
      <c r="F4721">
        <f t="shared" si="73"/>
        <v>52.12</v>
      </c>
    </row>
    <row r="4722" spans="1:6" x14ac:dyDescent="0.3">
      <c r="A4722" t="s">
        <v>1022</v>
      </c>
      <c r="B4722" t="s">
        <v>2129</v>
      </c>
      <c r="C4722">
        <v>20.5</v>
      </c>
      <c r="D4722">
        <v>144</v>
      </c>
      <c r="E4722">
        <f>IF(OR(B4722="vi",B4722="ii",B4722="pod"),(((D4722/100)*(C4722*VLOOKUP(B4722,'Poids des runes'!A:B,2,FALSE)))+1),(((D4722/100)*(C4722*VLOOKUP(B4722,'Poids des runes'!A:B,2,FALSE)))+1)/VLOOKUP(B4722,'Poids des runes'!A:B,2,FALSE))</f>
        <v>30.52</v>
      </c>
      <c r="F4722">
        <f t="shared" si="73"/>
        <v>30.52</v>
      </c>
    </row>
    <row r="4723" spans="1:6" x14ac:dyDescent="0.3">
      <c r="A4723" t="s">
        <v>1022</v>
      </c>
      <c r="B4723" t="s">
        <v>2151</v>
      </c>
      <c r="C4723">
        <v>2.5</v>
      </c>
      <c r="D4723">
        <v>144</v>
      </c>
      <c r="E4723">
        <f>IF(OR(B4723="vi",B4723="ii",B4723="pod"),(((D4723/100)*(C4723*VLOOKUP(B4723,'Poids des runes'!A:B,2,FALSE)))+1),(((D4723/100)*(C4723*VLOOKUP(B4723,'Poids des runes'!A:B,2,FALSE)))+1)/VLOOKUP(B4723,'Poids des runes'!A:B,2,FALSE))</f>
        <v>3.7</v>
      </c>
      <c r="F4723">
        <f t="shared" si="73"/>
        <v>3.7</v>
      </c>
    </row>
    <row r="4724" spans="1:6" x14ac:dyDescent="0.3">
      <c r="A4724" t="s">
        <v>1022</v>
      </c>
      <c r="B4724" t="s">
        <v>2155</v>
      </c>
      <c r="C4724">
        <v>1</v>
      </c>
      <c r="D4724">
        <v>144</v>
      </c>
      <c r="E4724">
        <f>IF(OR(B4724="vi",B4724="ii",B4724="pod"),(((D4724/100)*(C4724*VLOOKUP(B4724,'Poids des runes'!A:B,2,FALSE)))+1),(((D4724/100)*(C4724*VLOOKUP(B4724,'Poids des runes'!A:B,2,FALSE)))+1)/VLOOKUP(B4724,'Poids des runes'!A:B,2,FALSE))</f>
        <v>1.4596078431372548</v>
      </c>
      <c r="F4724">
        <f t="shared" si="73"/>
        <v>1.4596078431372548</v>
      </c>
    </row>
    <row r="4725" spans="1:6" x14ac:dyDescent="0.3">
      <c r="A4725" t="s">
        <v>1022</v>
      </c>
      <c r="B4725" t="s">
        <v>2143</v>
      </c>
      <c r="C4725">
        <v>4.5</v>
      </c>
      <c r="D4725">
        <v>144</v>
      </c>
      <c r="E4725">
        <f>IF(OR(B4725="vi",B4725="ii",B4725="pod"),(((D4725/100)*(C4725*VLOOKUP(B4725,'Poids des runes'!A:B,2,FALSE)))+1),(((D4725/100)*(C4725*VLOOKUP(B4725,'Poids des runes'!A:B,2,FALSE)))+1)/VLOOKUP(B4725,'Poids des runes'!A:B,2,FALSE))</f>
        <v>6.68</v>
      </c>
      <c r="F4725">
        <f t="shared" si="73"/>
        <v>6.68</v>
      </c>
    </row>
    <row r="4726" spans="1:6" x14ac:dyDescent="0.3">
      <c r="A4726" t="s">
        <v>1022</v>
      </c>
      <c r="B4726" t="s">
        <v>2153</v>
      </c>
      <c r="C4726">
        <v>8.5</v>
      </c>
      <c r="D4726">
        <v>144</v>
      </c>
      <c r="E4726">
        <f>IF(OR(B4726="vi",B4726="ii",B4726="pod"),(((D4726/100)*(C4726*VLOOKUP(B4726,'Poids des runes'!A:B,2,FALSE)))+1),(((D4726/100)*(C4726*VLOOKUP(B4726,'Poids des runes'!A:B,2,FALSE)))+1)/VLOOKUP(B4726,'Poids des runes'!A:B,2,FALSE))</f>
        <v>12.44</v>
      </c>
      <c r="F4726">
        <f t="shared" si="73"/>
        <v>12.44</v>
      </c>
    </row>
    <row r="4727" spans="1:6" x14ac:dyDescent="0.3">
      <c r="A4727" t="s">
        <v>1022</v>
      </c>
      <c r="B4727" t="s">
        <v>2161</v>
      </c>
      <c r="C4727">
        <v>8.5</v>
      </c>
      <c r="D4727">
        <v>144</v>
      </c>
      <c r="E4727">
        <f>IF(OR(B4727="vi",B4727="ii",B4727="pod"),(((D4727/100)*(C4727*VLOOKUP(B4727,'Poids des runes'!A:B,2,FALSE)))+1),(((D4727/100)*(C4727*VLOOKUP(B4727,'Poids des runes'!A:B,2,FALSE)))+1)/VLOOKUP(B4727,'Poids des runes'!A:B,2,FALSE))</f>
        <v>12.573333333333332</v>
      </c>
      <c r="F4727">
        <f t="shared" si="73"/>
        <v>12.573333333333332</v>
      </c>
    </row>
    <row r="4728" spans="1:6" x14ac:dyDescent="0.3">
      <c r="A4728" t="s">
        <v>1022</v>
      </c>
      <c r="B4728" t="s">
        <v>2141</v>
      </c>
      <c r="C4728">
        <v>5</v>
      </c>
      <c r="D4728">
        <v>144</v>
      </c>
      <c r="E4728">
        <f>IF(OR(B4728="vi",B4728="ii",B4728="pod"),(((D4728/100)*(C4728*VLOOKUP(B4728,'Poids des runes'!A:B,2,FALSE)))+1),(((D4728/100)*(C4728*VLOOKUP(B4728,'Poids des runes'!A:B,2,FALSE)))+1)/VLOOKUP(B4728,'Poids des runes'!A:B,2,FALSE))</f>
        <v>7.4499999999999993</v>
      </c>
      <c r="F4728">
        <f t="shared" si="73"/>
        <v>7.4499999999999993</v>
      </c>
    </row>
    <row r="4729" spans="1:6" x14ac:dyDescent="0.3">
      <c r="A4729" t="s">
        <v>1022</v>
      </c>
      <c r="B4729" t="s">
        <v>2135</v>
      </c>
      <c r="C4729">
        <v>4.5</v>
      </c>
      <c r="D4729">
        <v>144</v>
      </c>
      <c r="E4729">
        <f>IF(OR(B4729="vi",B4729="ii",B4729="pod"),(((D4729/100)*(C4729*VLOOKUP(B4729,'Poids des runes'!A:B,2,FALSE)))+1),(((D4729/100)*(C4729*VLOOKUP(B4729,'Poids des runes'!A:B,2,FALSE)))+1)/VLOOKUP(B4729,'Poids des runes'!A:B,2,FALSE))</f>
        <v>6.6466666666666656</v>
      </c>
      <c r="F4729">
        <f t="shared" si="73"/>
        <v>6.6466666666666656</v>
      </c>
    </row>
    <row r="4730" spans="1:6" x14ac:dyDescent="0.3">
      <c r="A4730" t="s">
        <v>1022</v>
      </c>
      <c r="B4730" t="s">
        <v>2136</v>
      </c>
      <c r="C4730">
        <v>8.5</v>
      </c>
      <c r="D4730">
        <v>144</v>
      </c>
      <c r="E4730">
        <f>IF(OR(B4730="vi",B4730="ii",B4730="pod"),(((D4730/100)*(C4730*VLOOKUP(B4730,'Poids des runes'!A:B,2,FALSE)))+1),(((D4730/100)*(C4730*VLOOKUP(B4730,'Poids des runes'!A:B,2,FALSE)))+1)/VLOOKUP(B4730,'Poids des runes'!A:B,2,FALSE))</f>
        <v>12.74</v>
      </c>
      <c r="F4730">
        <f t="shared" si="73"/>
        <v>12.74</v>
      </c>
    </row>
    <row r="4731" spans="1:6" x14ac:dyDescent="0.3">
      <c r="A4731" t="s">
        <v>1023</v>
      </c>
      <c r="B4731" t="s">
        <v>2128</v>
      </c>
      <c r="C4731">
        <v>275.5</v>
      </c>
      <c r="D4731">
        <v>145</v>
      </c>
      <c r="E4731">
        <f>IF(OR(B4731="vi",B4731="ii",B4731="pod"),(((D4731/100)*(C4731*VLOOKUP(B4731,'Poids des runes'!A:B,2,FALSE)))+1),(((D4731/100)*(C4731*VLOOKUP(B4731,'Poids des runes'!A:B,2,FALSE)))+1)/VLOOKUP(B4731,'Poids des runes'!A:B,2,FALSE))</f>
        <v>80.894999999999996</v>
      </c>
      <c r="F4731">
        <f t="shared" si="73"/>
        <v>80.894999999999996</v>
      </c>
    </row>
    <row r="4732" spans="1:6" x14ac:dyDescent="0.3">
      <c r="A4732" t="s">
        <v>1023</v>
      </c>
      <c r="B4732" t="s">
        <v>2126</v>
      </c>
      <c r="C4732">
        <v>40.5</v>
      </c>
      <c r="D4732">
        <v>145</v>
      </c>
      <c r="E4732">
        <f>IF(OR(B4732="vi",B4732="ii",B4732="pod"),(((D4732/100)*(C4732*VLOOKUP(B4732,'Poids des runes'!A:B,2,FALSE)))+1),(((D4732/100)*(C4732*VLOOKUP(B4732,'Poids des runes'!A:B,2,FALSE)))+1)/VLOOKUP(B4732,'Poids des runes'!A:B,2,FALSE))</f>
        <v>59.725000000000001</v>
      </c>
      <c r="F4732">
        <f t="shared" si="73"/>
        <v>59.725000000000001</v>
      </c>
    </row>
    <row r="4733" spans="1:6" x14ac:dyDescent="0.3">
      <c r="A4733" t="s">
        <v>1023</v>
      </c>
      <c r="B4733" t="s">
        <v>2129</v>
      </c>
      <c r="C4733">
        <v>30.5</v>
      </c>
      <c r="D4733">
        <v>145</v>
      </c>
      <c r="E4733">
        <f>IF(OR(B4733="vi",B4733="ii",B4733="pod"),(((D4733/100)*(C4733*VLOOKUP(B4733,'Poids des runes'!A:B,2,FALSE)))+1),(((D4733/100)*(C4733*VLOOKUP(B4733,'Poids des runes'!A:B,2,FALSE)))+1)/VLOOKUP(B4733,'Poids des runes'!A:B,2,FALSE))</f>
        <v>45.225000000000001</v>
      </c>
      <c r="F4733">
        <f t="shared" si="73"/>
        <v>45.225000000000001</v>
      </c>
    </row>
    <row r="4734" spans="1:6" x14ac:dyDescent="0.3">
      <c r="A4734" t="s">
        <v>1023</v>
      </c>
      <c r="B4734" t="s">
        <v>2161</v>
      </c>
      <c r="C4734">
        <v>8</v>
      </c>
      <c r="D4734">
        <v>145</v>
      </c>
      <c r="E4734">
        <f>IF(OR(B4734="vi",B4734="ii",B4734="pod"),(((D4734/100)*(C4734*VLOOKUP(B4734,'Poids des runes'!A:B,2,FALSE)))+1),(((D4734/100)*(C4734*VLOOKUP(B4734,'Poids des runes'!A:B,2,FALSE)))+1)/VLOOKUP(B4734,'Poids des runes'!A:B,2,FALSE))</f>
        <v>11.933333333333332</v>
      </c>
      <c r="F4734">
        <f t="shared" si="73"/>
        <v>11.933333333333332</v>
      </c>
    </row>
    <row r="4735" spans="1:6" x14ac:dyDescent="0.3">
      <c r="A4735" t="s">
        <v>1023</v>
      </c>
      <c r="B4735" t="s">
        <v>2132</v>
      </c>
      <c r="C4735">
        <v>500.5</v>
      </c>
      <c r="D4735">
        <v>145</v>
      </c>
      <c r="E4735">
        <f>IF(OR(B4735="vi",B4735="ii",B4735="pod"),(((D4735/100)*(C4735*VLOOKUP(B4735,'Poids des runes'!A:B,2,FALSE)))+1),(((D4735/100)*(C4735*VLOOKUP(B4735,'Poids des runes'!A:B,2,FALSE)))+1)/VLOOKUP(B4735,'Poids des runes'!A:B,2,FALSE))</f>
        <v>73.572500000000005</v>
      </c>
      <c r="F4735">
        <f t="shared" si="73"/>
        <v>73.572500000000005</v>
      </c>
    </row>
    <row r="4736" spans="1:6" x14ac:dyDescent="0.3">
      <c r="A4736" t="s">
        <v>1023</v>
      </c>
      <c r="B4736" t="s">
        <v>2148</v>
      </c>
      <c r="C4736">
        <v>8</v>
      </c>
      <c r="D4736">
        <v>145</v>
      </c>
      <c r="E4736">
        <f>IF(OR(B4736="vi",B4736="ii",B4736="pod"),(((D4736/100)*(C4736*VLOOKUP(B4736,'Poids des runes'!A:B,2,FALSE)))+1),(((D4736/100)*(C4736*VLOOKUP(B4736,'Poids des runes'!A:B,2,FALSE)))+1)/VLOOKUP(B4736,'Poids des runes'!A:B,2,FALSE))</f>
        <v>11.766666666666666</v>
      </c>
      <c r="F4736">
        <f t="shared" si="73"/>
        <v>11.766666666666666</v>
      </c>
    </row>
    <row r="4737" spans="1:6" x14ac:dyDescent="0.3">
      <c r="A4737" t="s">
        <v>1023</v>
      </c>
      <c r="B4737" t="s">
        <v>2135</v>
      </c>
      <c r="C4737">
        <v>8</v>
      </c>
      <c r="D4737">
        <v>145</v>
      </c>
      <c r="E4737">
        <f>IF(OR(B4737="vi",B4737="ii",B4737="pod"),(((D4737/100)*(C4737*VLOOKUP(B4737,'Poids des runes'!A:B,2,FALSE)))+1),(((D4737/100)*(C4737*VLOOKUP(B4737,'Poids des runes'!A:B,2,FALSE)))+1)/VLOOKUP(B4737,'Poids des runes'!A:B,2,FALSE))</f>
        <v>11.766666666666666</v>
      </c>
      <c r="F4737">
        <f t="shared" si="73"/>
        <v>11.766666666666666</v>
      </c>
    </row>
    <row r="4738" spans="1:6" x14ac:dyDescent="0.3">
      <c r="A4738" t="s">
        <v>1023</v>
      </c>
      <c r="B4738" t="s">
        <v>2144</v>
      </c>
      <c r="C4738">
        <v>8</v>
      </c>
      <c r="D4738">
        <v>145</v>
      </c>
      <c r="E4738">
        <f>IF(OR(B4738="vi",B4738="ii",B4738="pod"),(((D4738/100)*(C4738*VLOOKUP(B4738,'Poids des runes'!A:B,2,FALSE)))+1),(((D4738/100)*(C4738*VLOOKUP(B4738,'Poids des runes'!A:B,2,FALSE)))+1)/VLOOKUP(B4738,'Poids des runes'!A:B,2,FALSE))</f>
        <v>12.1</v>
      </c>
      <c r="F4738">
        <f t="shared" si="73"/>
        <v>12.1</v>
      </c>
    </row>
    <row r="4739" spans="1:6" x14ac:dyDescent="0.3">
      <c r="A4739" t="s">
        <v>1023</v>
      </c>
      <c r="B4739" t="s">
        <v>2146</v>
      </c>
      <c r="C4739">
        <v>8</v>
      </c>
      <c r="D4739">
        <v>145</v>
      </c>
      <c r="E4739">
        <f>IF(OR(B4739="vi",B4739="ii",B4739="pod"),(((D4739/100)*(C4739*VLOOKUP(B4739,'Poids des runes'!A:B,2,FALSE)))+1),(((D4739/100)*(C4739*VLOOKUP(B4739,'Poids des runes'!A:B,2,FALSE)))+1)/VLOOKUP(B4739,'Poids des runes'!A:B,2,FALSE))</f>
        <v>12.1</v>
      </c>
      <c r="F4739">
        <f t="shared" ref="F4739:F4802" si="74">E4739</f>
        <v>12.1</v>
      </c>
    </row>
    <row r="4740" spans="1:6" x14ac:dyDescent="0.3">
      <c r="A4740" t="s">
        <v>1024</v>
      </c>
      <c r="B4740" t="s">
        <v>2128</v>
      </c>
      <c r="C4740">
        <v>225.5</v>
      </c>
      <c r="D4740">
        <v>145</v>
      </c>
      <c r="E4740">
        <f>IF(OR(B4740="vi",B4740="ii",B4740="pod"),(((D4740/100)*(C4740*VLOOKUP(B4740,'Poids des runes'!A:B,2,FALSE)))+1),(((D4740/100)*(C4740*VLOOKUP(B4740,'Poids des runes'!A:B,2,FALSE)))+1)/VLOOKUP(B4740,'Poids des runes'!A:B,2,FALSE))</f>
        <v>66.394999999999996</v>
      </c>
      <c r="F4740">
        <f t="shared" si="74"/>
        <v>66.394999999999996</v>
      </c>
    </row>
    <row r="4741" spans="1:6" x14ac:dyDescent="0.3">
      <c r="A4741" t="s">
        <v>1024</v>
      </c>
      <c r="B4741" t="s">
        <v>2130</v>
      </c>
      <c r="C4741">
        <v>40.5</v>
      </c>
      <c r="D4741">
        <v>145</v>
      </c>
      <c r="E4741">
        <f>IF(OR(B4741="vi",B4741="ii",B4741="pod"),(((D4741/100)*(C4741*VLOOKUP(B4741,'Poids des runes'!A:B,2,FALSE)))+1),(((D4741/100)*(C4741*VLOOKUP(B4741,'Poids des runes'!A:B,2,FALSE)))+1)/VLOOKUP(B4741,'Poids des runes'!A:B,2,FALSE))</f>
        <v>59.725000000000001</v>
      </c>
      <c r="F4741">
        <f t="shared" si="74"/>
        <v>59.725000000000001</v>
      </c>
    </row>
    <row r="4742" spans="1:6" x14ac:dyDescent="0.3">
      <c r="A4742" t="s">
        <v>1024</v>
      </c>
      <c r="B4742" t="s">
        <v>2126</v>
      </c>
      <c r="C4742">
        <v>40.5</v>
      </c>
      <c r="D4742">
        <v>145</v>
      </c>
      <c r="E4742">
        <f>IF(OR(B4742="vi",B4742="ii",B4742="pod"),(((D4742/100)*(C4742*VLOOKUP(B4742,'Poids des runes'!A:B,2,FALSE)))+1),(((D4742/100)*(C4742*VLOOKUP(B4742,'Poids des runes'!A:B,2,FALSE)))+1)/VLOOKUP(B4742,'Poids des runes'!A:B,2,FALSE))</f>
        <v>59.725000000000001</v>
      </c>
      <c r="F4742">
        <f t="shared" si="74"/>
        <v>59.725000000000001</v>
      </c>
    </row>
    <row r="4743" spans="1:6" x14ac:dyDescent="0.3">
      <c r="A4743" t="s">
        <v>1024</v>
      </c>
      <c r="B4743" t="s">
        <v>2129</v>
      </c>
      <c r="C4743">
        <v>25.5</v>
      </c>
      <c r="D4743">
        <v>145</v>
      </c>
      <c r="E4743">
        <f>IF(OR(B4743="vi",B4743="ii",B4743="pod"),(((D4743/100)*(C4743*VLOOKUP(B4743,'Poids des runes'!A:B,2,FALSE)))+1),(((D4743/100)*(C4743*VLOOKUP(B4743,'Poids des runes'!A:B,2,FALSE)))+1)/VLOOKUP(B4743,'Poids des runes'!A:B,2,FALSE))</f>
        <v>37.975000000000001</v>
      </c>
      <c r="F4743">
        <f t="shared" si="74"/>
        <v>37.975000000000001</v>
      </c>
    </row>
    <row r="4744" spans="1:6" x14ac:dyDescent="0.3">
      <c r="A4744" t="s">
        <v>1024</v>
      </c>
      <c r="B4744" t="s">
        <v>2139</v>
      </c>
      <c r="C4744">
        <v>15.5</v>
      </c>
      <c r="D4744">
        <v>145</v>
      </c>
      <c r="E4744">
        <f>IF(OR(B4744="vi",B4744="ii",B4744="pod"),(((D4744/100)*(C4744*VLOOKUP(B4744,'Poids des runes'!A:B,2,FALSE)))+1),(((D4744/100)*(C4744*VLOOKUP(B4744,'Poids des runes'!A:B,2,FALSE)))+1)/VLOOKUP(B4744,'Poids des runes'!A:B,2,FALSE))</f>
        <v>22.974999999999998</v>
      </c>
      <c r="F4744">
        <f t="shared" si="74"/>
        <v>22.974999999999998</v>
      </c>
    </row>
    <row r="4745" spans="1:6" x14ac:dyDescent="0.3">
      <c r="A4745" t="s">
        <v>1024</v>
      </c>
      <c r="B4745" t="s">
        <v>2151</v>
      </c>
      <c r="C4745">
        <v>4.5</v>
      </c>
      <c r="D4745">
        <v>145</v>
      </c>
      <c r="E4745">
        <f>IF(OR(B4745="vi",B4745="ii",B4745="pod"),(((D4745/100)*(C4745*VLOOKUP(B4745,'Poids des runes'!A:B,2,FALSE)))+1),(((D4745/100)*(C4745*VLOOKUP(B4745,'Poids des runes'!A:B,2,FALSE)))+1)/VLOOKUP(B4745,'Poids des runes'!A:B,2,FALSE))</f>
        <v>6.625</v>
      </c>
      <c r="F4745">
        <f t="shared" si="74"/>
        <v>6.625</v>
      </c>
    </row>
    <row r="4746" spans="1:6" x14ac:dyDescent="0.3">
      <c r="A4746" t="s">
        <v>1024</v>
      </c>
      <c r="B4746" t="s">
        <v>2134</v>
      </c>
      <c r="C4746">
        <v>7</v>
      </c>
      <c r="D4746">
        <v>145</v>
      </c>
      <c r="E4746">
        <f>IF(OR(B4746="vi",B4746="ii",B4746="pod"),(((D4746/100)*(C4746*VLOOKUP(B4746,'Poids des runes'!A:B,2,FALSE)))+1),(((D4746/100)*(C4746*VLOOKUP(B4746,'Poids des runes'!A:B,2,FALSE)))+1)/VLOOKUP(B4746,'Poids des runes'!A:B,2,FALSE))</f>
        <v>10.199999999999999</v>
      </c>
      <c r="F4746">
        <f t="shared" si="74"/>
        <v>10.199999999999999</v>
      </c>
    </row>
    <row r="4747" spans="1:6" x14ac:dyDescent="0.3">
      <c r="A4747" t="s">
        <v>1024</v>
      </c>
      <c r="B4747" t="s">
        <v>2149</v>
      </c>
      <c r="C4747">
        <v>4.5</v>
      </c>
      <c r="D4747">
        <v>145</v>
      </c>
      <c r="E4747">
        <f>IF(OR(B4747="vi",B4747="ii",B4747="pod"),(((D4747/100)*(C4747*VLOOKUP(B4747,'Poids des runes'!A:B,2,FALSE)))+1),(((D4747/100)*(C4747*VLOOKUP(B4747,'Poids des runes'!A:B,2,FALSE)))+1)/VLOOKUP(B4747,'Poids des runes'!A:B,2,FALSE))</f>
        <v>6.625</v>
      </c>
      <c r="F4747">
        <f t="shared" si="74"/>
        <v>6.625</v>
      </c>
    </row>
    <row r="4748" spans="1:6" x14ac:dyDescent="0.3">
      <c r="A4748" t="s">
        <v>1024</v>
      </c>
      <c r="B4748" t="s">
        <v>2161</v>
      </c>
      <c r="C4748">
        <v>8</v>
      </c>
      <c r="D4748">
        <v>145</v>
      </c>
      <c r="E4748">
        <f>IF(OR(B4748="vi",B4748="ii",B4748="pod"),(((D4748/100)*(C4748*VLOOKUP(B4748,'Poids des runes'!A:B,2,FALSE)))+1),(((D4748/100)*(C4748*VLOOKUP(B4748,'Poids des runes'!A:B,2,FALSE)))+1)/VLOOKUP(B4748,'Poids des runes'!A:B,2,FALSE))</f>
        <v>11.933333333333332</v>
      </c>
      <c r="F4748">
        <f t="shared" si="74"/>
        <v>11.933333333333332</v>
      </c>
    </row>
    <row r="4749" spans="1:6" x14ac:dyDescent="0.3">
      <c r="A4749" t="s">
        <v>1024</v>
      </c>
      <c r="B4749" t="s">
        <v>2148</v>
      </c>
      <c r="C4749">
        <v>4.5</v>
      </c>
      <c r="D4749">
        <v>145</v>
      </c>
      <c r="E4749">
        <f>IF(OR(B4749="vi",B4749="ii",B4749="pod"),(((D4749/100)*(C4749*VLOOKUP(B4749,'Poids des runes'!A:B,2,FALSE)))+1),(((D4749/100)*(C4749*VLOOKUP(B4749,'Poids des runes'!A:B,2,FALSE)))+1)/VLOOKUP(B4749,'Poids des runes'!A:B,2,FALSE))</f>
        <v>6.6916666666666664</v>
      </c>
      <c r="F4749">
        <f t="shared" si="74"/>
        <v>6.6916666666666664</v>
      </c>
    </row>
    <row r="4750" spans="1:6" x14ac:dyDescent="0.3">
      <c r="A4750" t="s">
        <v>1024</v>
      </c>
      <c r="B4750" t="s">
        <v>2147</v>
      </c>
      <c r="C4750">
        <v>4.5</v>
      </c>
      <c r="D4750">
        <v>145</v>
      </c>
      <c r="E4750">
        <f>IF(OR(B4750="vi",B4750="ii",B4750="pod"),(((D4750/100)*(C4750*VLOOKUP(B4750,'Poids des runes'!A:B,2,FALSE)))+1),(((D4750/100)*(C4750*VLOOKUP(B4750,'Poids des runes'!A:B,2,FALSE)))+1)/VLOOKUP(B4750,'Poids des runes'!A:B,2,FALSE))</f>
        <v>6.6916666666666664</v>
      </c>
      <c r="F4750">
        <f t="shared" si="74"/>
        <v>6.6916666666666664</v>
      </c>
    </row>
    <row r="4751" spans="1:6" x14ac:dyDescent="0.3">
      <c r="A4751" t="s">
        <v>1025</v>
      </c>
      <c r="B4751" t="s">
        <v>2128</v>
      </c>
      <c r="C4751">
        <v>175.5</v>
      </c>
      <c r="D4751">
        <v>145</v>
      </c>
      <c r="E4751">
        <f>IF(OR(B4751="vi",B4751="ii",B4751="pod"),(((D4751/100)*(C4751*VLOOKUP(B4751,'Poids des runes'!A:B,2,FALSE)))+1),(((D4751/100)*(C4751*VLOOKUP(B4751,'Poids des runes'!A:B,2,FALSE)))+1)/VLOOKUP(B4751,'Poids des runes'!A:B,2,FALSE))</f>
        <v>51.895000000000003</v>
      </c>
      <c r="F4751">
        <f t="shared" si="74"/>
        <v>51.895000000000003</v>
      </c>
    </row>
    <row r="4752" spans="1:6" x14ac:dyDescent="0.3">
      <c r="A4752" t="s">
        <v>1025</v>
      </c>
      <c r="B4752" t="s">
        <v>2131</v>
      </c>
      <c r="C4752">
        <v>35.5</v>
      </c>
      <c r="D4752">
        <v>145</v>
      </c>
      <c r="E4752">
        <f>IF(OR(B4752="vi",B4752="ii",B4752="pod"),(((D4752/100)*(C4752*VLOOKUP(B4752,'Poids des runes'!A:B,2,FALSE)))+1),(((D4752/100)*(C4752*VLOOKUP(B4752,'Poids des runes'!A:B,2,FALSE)))+1)/VLOOKUP(B4752,'Poids des runes'!A:B,2,FALSE))</f>
        <v>52.475000000000001</v>
      </c>
      <c r="F4752">
        <f t="shared" si="74"/>
        <v>52.475000000000001</v>
      </c>
    </row>
    <row r="4753" spans="1:6" x14ac:dyDescent="0.3">
      <c r="A4753" t="s">
        <v>1025</v>
      </c>
      <c r="B4753" t="s">
        <v>2127</v>
      </c>
      <c r="C4753">
        <v>35.5</v>
      </c>
      <c r="D4753">
        <v>145</v>
      </c>
      <c r="E4753">
        <f>IF(OR(B4753="vi",B4753="ii",B4753="pod"),(((D4753/100)*(C4753*VLOOKUP(B4753,'Poids des runes'!A:B,2,FALSE)))+1),(((D4753/100)*(C4753*VLOOKUP(B4753,'Poids des runes'!A:B,2,FALSE)))+1)/VLOOKUP(B4753,'Poids des runes'!A:B,2,FALSE))</f>
        <v>52.475000000000001</v>
      </c>
      <c r="F4753">
        <f t="shared" si="74"/>
        <v>52.475000000000001</v>
      </c>
    </row>
    <row r="4754" spans="1:6" x14ac:dyDescent="0.3">
      <c r="A4754" t="s">
        <v>1025</v>
      </c>
      <c r="B4754" t="s">
        <v>2129</v>
      </c>
      <c r="C4754">
        <v>25.5</v>
      </c>
      <c r="D4754">
        <v>145</v>
      </c>
      <c r="E4754">
        <f>IF(OR(B4754="vi",B4754="ii",B4754="pod"),(((D4754/100)*(C4754*VLOOKUP(B4754,'Poids des runes'!A:B,2,FALSE)))+1),(((D4754/100)*(C4754*VLOOKUP(B4754,'Poids des runes'!A:B,2,FALSE)))+1)/VLOOKUP(B4754,'Poids des runes'!A:B,2,FALSE))</f>
        <v>37.975000000000001</v>
      </c>
      <c r="F4754">
        <f t="shared" si="74"/>
        <v>37.975000000000001</v>
      </c>
    </row>
    <row r="4755" spans="1:6" x14ac:dyDescent="0.3">
      <c r="A4755" t="s">
        <v>1025</v>
      </c>
      <c r="B4755" t="s">
        <v>2155</v>
      </c>
      <c r="C4755">
        <v>1</v>
      </c>
      <c r="D4755">
        <v>145</v>
      </c>
      <c r="E4755">
        <f>IF(OR(B4755="vi",B4755="ii",B4755="pod"),(((D4755/100)*(C4755*VLOOKUP(B4755,'Poids des runes'!A:B,2,FALSE)))+1),(((D4755/100)*(C4755*VLOOKUP(B4755,'Poids des runes'!A:B,2,FALSE)))+1)/VLOOKUP(B4755,'Poids des runes'!A:B,2,FALSE))</f>
        <v>1.469607843137255</v>
      </c>
      <c r="F4755">
        <f t="shared" si="74"/>
        <v>1.469607843137255</v>
      </c>
    </row>
    <row r="4756" spans="1:6" x14ac:dyDescent="0.3">
      <c r="A4756" t="s">
        <v>1025</v>
      </c>
      <c r="B4756" t="s">
        <v>2150</v>
      </c>
      <c r="C4756">
        <v>1.5</v>
      </c>
      <c r="D4756">
        <v>145</v>
      </c>
      <c r="E4756">
        <f>IF(OR(B4756="vi",B4756="ii",B4756="pod"),(((D4756/100)*(C4756*VLOOKUP(B4756,'Poids des runes'!A:B,2,FALSE)))+1),(((D4756/100)*(C4756*VLOOKUP(B4756,'Poids des runes'!A:B,2,FALSE)))+1)/VLOOKUP(B4756,'Poids des runes'!A:B,2,FALSE))</f>
        <v>2.2083333333333335</v>
      </c>
      <c r="F4756">
        <f t="shared" si="74"/>
        <v>2.2083333333333335</v>
      </c>
    </row>
    <row r="4757" spans="1:6" x14ac:dyDescent="0.3">
      <c r="A4757" t="s">
        <v>1025</v>
      </c>
      <c r="B4757" t="s">
        <v>2133</v>
      </c>
      <c r="C4757">
        <v>6.5</v>
      </c>
      <c r="D4757">
        <v>145</v>
      </c>
      <c r="E4757">
        <f>IF(OR(B4757="vi",B4757="ii",B4757="pod"),(((D4757/100)*(C4757*VLOOKUP(B4757,'Poids des runes'!A:B,2,FALSE)))+1),(((D4757/100)*(C4757*VLOOKUP(B4757,'Poids des runes'!A:B,2,FALSE)))+1)/VLOOKUP(B4757,'Poids des runes'!A:B,2,FALSE))</f>
        <v>9.625</v>
      </c>
      <c r="F4757">
        <f t="shared" si="74"/>
        <v>9.625</v>
      </c>
    </row>
    <row r="4758" spans="1:6" x14ac:dyDescent="0.3">
      <c r="A4758" t="s">
        <v>1025</v>
      </c>
      <c r="B4758" t="s">
        <v>2153</v>
      </c>
      <c r="C4758">
        <v>6.5</v>
      </c>
      <c r="D4758">
        <v>145</v>
      </c>
      <c r="E4758">
        <f>IF(OR(B4758="vi",B4758="ii",B4758="pod"),(((D4758/100)*(C4758*VLOOKUP(B4758,'Poids des runes'!A:B,2,FALSE)))+1),(((D4758/100)*(C4758*VLOOKUP(B4758,'Poids des runes'!A:B,2,FALSE)))+1)/VLOOKUP(B4758,'Poids des runes'!A:B,2,FALSE))</f>
        <v>9.625</v>
      </c>
      <c r="F4758">
        <f t="shared" si="74"/>
        <v>9.625</v>
      </c>
    </row>
    <row r="4759" spans="1:6" x14ac:dyDescent="0.3">
      <c r="A4759" t="s">
        <v>1025</v>
      </c>
      <c r="B4759" t="s">
        <v>2161</v>
      </c>
      <c r="C4759">
        <v>13</v>
      </c>
      <c r="D4759">
        <v>145</v>
      </c>
      <c r="E4759">
        <f>IF(OR(B4759="vi",B4759="ii",B4759="pod"),(((D4759/100)*(C4759*VLOOKUP(B4759,'Poids des runes'!A:B,2,FALSE)))+1),(((D4759/100)*(C4759*VLOOKUP(B4759,'Poids des runes'!A:B,2,FALSE)))+1)/VLOOKUP(B4759,'Poids des runes'!A:B,2,FALSE))</f>
        <v>19.183333333333334</v>
      </c>
      <c r="F4759">
        <f t="shared" si="74"/>
        <v>19.183333333333334</v>
      </c>
    </row>
    <row r="4760" spans="1:6" x14ac:dyDescent="0.3">
      <c r="A4760" t="s">
        <v>1025</v>
      </c>
      <c r="B4760" t="s">
        <v>2148</v>
      </c>
      <c r="C4760">
        <v>4</v>
      </c>
      <c r="D4760">
        <v>145</v>
      </c>
      <c r="E4760">
        <f>IF(OR(B4760="vi",B4760="ii",B4760="pod"),(((D4760/100)*(C4760*VLOOKUP(B4760,'Poids des runes'!A:B,2,FALSE)))+1),(((D4760/100)*(C4760*VLOOKUP(B4760,'Poids des runes'!A:B,2,FALSE)))+1)/VLOOKUP(B4760,'Poids des runes'!A:B,2,FALSE))</f>
        <v>5.9666666666666659</v>
      </c>
      <c r="F4760">
        <f t="shared" si="74"/>
        <v>5.9666666666666659</v>
      </c>
    </row>
    <row r="4761" spans="1:6" x14ac:dyDescent="0.3">
      <c r="A4761" t="s">
        <v>1025</v>
      </c>
      <c r="B4761" t="s">
        <v>2144</v>
      </c>
      <c r="C4761">
        <v>8</v>
      </c>
      <c r="D4761">
        <v>145</v>
      </c>
      <c r="E4761">
        <f>IF(OR(B4761="vi",B4761="ii",B4761="pod"),(((D4761/100)*(C4761*VLOOKUP(B4761,'Poids des runes'!A:B,2,FALSE)))+1),(((D4761/100)*(C4761*VLOOKUP(B4761,'Poids des runes'!A:B,2,FALSE)))+1)/VLOOKUP(B4761,'Poids des runes'!A:B,2,FALSE))</f>
        <v>12.1</v>
      </c>
      <c r="F4761">
        <f t="shared" si="74"/>
        <v>12.1</v>
      </c>
    </row>
    <row r="4762" spans="1:6" x14ac:dyDescent="0.3">
      <c r="A4762" t="s">
        <v>1026</v>
      </c>
      <c r="B4762" t="s">
        <v>2128</v>
      </c>
      <c r="C4762">
        <v>175.5</v>
      </c>
      <c r="D4762">
        <v>145</v>
      </c>
      <c r="E4762">
        <f>IF(OR(B4762="vi",B4762="ii",B4762="pod"),(((D4762/100)*(C4762*VLOOKUP(B4762,'Poids des runes'!A:B,2,FALSE)))+1),(((D4762/100)*(C4762*VLOOKUP(B4762,'Poids des runes'!A:B,2,FALSE)))+1)/VLOOKUP(B4762,'Poids des runes'!A:B,2,FALSE))</f>
        <v>51.895000000000003</v>
      </c>
      <c r="F4762">
        <f t="shared" si="74"/>
        <v>51.895000000000003</v>
      </c>
    </row>
    <row r="4763" spans="1:6" x14ac:dyDescent="0.3">
      <c r="A4763" t="s">
        <v>1026</v>
      </c>
      <c r="B4763" t="s">
        <v>2126</v>
      </c>
      <c r="C4763">
        <v>35.5</v>
      </c>
      <c r="D4763">
        <v>145</v>
      </c>
      <c r="E4763">
        <f>IF(OR(B4763="vi",B4763="ii",B4763="pod"),(((D4763/100)*(C4763*VLOOKUP(B4763,'Poids des runes'!A:B,2,FALSE)))+1),(((D4763/100)*(C4763*VLOOKUP(B4763,'Poids des runes'!A:B,2,FALSE)))+1)/VLOOKUP(B4763,'Poids des runes'!A:B,2,FALSE))</f>
        <v>52.475000000000001</v>
      </c>
      <c r="F4763">
        <f t="shared" si="74"/>
        <v>52.475000000000001</v>
      </c>
    </row>
    <row r="4764" spans="1:6" x14ac:dyDescent="0.3">
      <c r="A4764" t="s">
        <v>1026</v>
      </c>
      <c r="B4764" t="s">
        <v>2131</v>
      </c>
      <c r="C4764">
        <v>35.5</v>
      </c>
      <c r="D4764">
        <v>145</v>
      </c>
      <c r="E4764">
        <f>IF(OR(B4764="vi",B4764="ii",B4764="pod"),(((D4764/100)*(C4764*VLOOKUP(B4764,'Poids des runes'!A:B,2,FALSE)))+1),(((D4764/100)*(C4764*VLOOKUP(B4764,'Poids des runes'!A:B,2,FALSE)))+1)/VLOOKUP(B4764,'Poids des runes'!A:B,2,FALSE))</f>
        <v>52.475000000000001</v>
      </c>
      <c r="F4764">
        <f t="shared" si="74"/>
        <v>52.475000000000001</v>
      </c>
    </row>
    <row r="4765" spans="1:6" x14ac:dyDescent="0.3">
      <c r="A4765" t="s">
        <v>1026</v>
      </c>
      <c r="B4765" t="s">
        <v>2129</v>
      </c>
      <c r="C4765">
        <v>25.5</v>
      </c>
      <c r="D4765">
        <v>145</v>
      </c>
      <c r="E4765">
        <f>IF(OR(B4765="vi",B4765="ii",B4765="pod"),(((D4765/100)*(C4765*VLOOKUP(B4765,'Poids des runes'!A:B,2,FALSE)))+1),(((D4765/100)*(C4765*VLOOKUP(B4765,'Poids des runes'!A:B,2,FALSE)))+1)/VLOOKUP(B4765,'Poids des runes'!A:B,2,FALSE))</f>
        <v>37.975000000000001</v>
      </c>
      <c r="F4765">
        <f t="shared" si="74"/>
        <v>37.975000000000001</v>
      </c>
    </row>
    <row r="4766" spans="1:6" x14ac:dyDescent="0.3">
      <c r="A4766" t="s">
        <v>1026</v>
      </c>
      <c r="B4766" t="s">
        <v>2155</v>
      </c>
      <c r="C4766">
        <v>1</v>
      </c>
      <c r="D4766">
        <v>145</v>
      </c>
      <c r="E4766">
        <f>IF(OR(B4766="vi",B4766="ii",B4766="pod"),(((D4766/100)*(C4766*VLOOKUP(B4766,'Poids des runes'!A:B,2,FALSE)))+1),(((D4766/100)*(C4766*VLOOKUP(B4766,'Poids des runes'!A:B,2,FALSE)))+1)/VLOOKUP(B4766,'Poids des runes'!A:B,2,FALSE))</f>
        <v>1.469607843137255</v>
      </c>
      <c r="F4766">
        <f t="shared" si="74"/>
        <v>1.469607843137255</v>
      </c>
    </row>
    <row r="4767" spans="1:6" x14ac:dyDescent="0.3">
      <c r="A4767" t="s">
        <v>1026</v>
      </c>
      <c r="B4767" t="s">
        <v>2140</v>
      </c>
      <c r="C4767">
        <v>4</v>
      </c>
      <c r="D4767">
        <v>145</v>
      </c>
      <c r="E4767">
        <f>IF(OR(B4767="vi",B4767="ii",B4767="pod"),(((D4767/100)*(C4767*VLOOKUP(B4767,'Poids des runes'!A:B,2,FALSE)))+1),(((D4767/100)*(C4767*VLOOKUP(B4767,'Poids des runes'!A:B,2,FALSE)))+1)/VLOOKUP(B4767,'Poids des runes'!A:B,2,FALSE))</f>
        <v>6</v>
      </c>
      <c r="F4767">
        <f t="shared" si="74"/>
        <v>6</v>
      </c>
    </row>
    <row r="4768" spans="1:6" x14ac:dyDescent="0.3">
      <c r="A4768" t="s">
        <v>1026</v>
      </c>
      <c r="B4768" t="s">
        <v>2133</v>
      </c>
      <c r="C4768">
        <v>4</v>
      </c>
      <c r="D4768">
        <v>145</v>
      </c>
      <c r="E4768">
        <f>IF(OR(B4768="vi",B4768="ii",B4768="pod"),(((D4768/100)*(C4768*VLOOKUP(B4768,'Poids des runes'!A:B,2,FALSE)))+1),(((D4768/100)*(C4768*VLOOKUP(B4768,'Poids des runes'!A:B,2,FALSE)))+1)/VLOOKUP(B4768,'Poids des runes'!A:B,2,FALSE))</f>
        <v>6</v>
      </c>
      <c r="F4768">
        <f t="shared" si="74"/>
        <v>6</v>
      </c>
    </row>
    <row r="4769" spans="1:6" x14ac:dyDescent="0.3">
      <c r="A4769" t="s">
        <v>1026</v>
      </c>
      <c r="B4769" t="s">
        <v>2161</v>
      </c>
      <c r="C4769">
        <v>13</v>
      </c>
      <c r="D4769">
        <v>145</v>
      </c>
      <c r="E4769">
        <f>IF(OR(B4769="vi",B4769="ii",B4769="pod"),(((D4769/100)*(C4769*VLOOKUP(B4769,'Poids des runes'!A:B,2,FALSE)))+1),(((D4769/100)*(C4769*VLOOKUP(B4769,'Poids des runes'!A:B,2,FALSE)))+1)/VLOOKUP(B4769,'Poids des runes'!A:B,2,FALSE))</f>
        <v>19.183333333333334</v>
      </c>
      <c r="F4769">
        <f t="shared" si="74"/>
        <v>19.183333333333334</v>
      </c>
    </row>
    <row r="4770" spans="1:6" x14ac:dyDescent="0.3">
      <c r="A4770" t="s">
        <v>1026</v>
      </c>
      <c r="B4770" t="s">
        <v>2165</v>
      </c>
      <c r="C4770">
        <v>6</v>
      </c>
      <c r="D4770">
        <v>145</v>
      </c>
      <c r="E4770">
        <f>IF(OR(B4770="vi",B4770="ii",B4770="pod"),(((D4770/100)*(C4770*VLOOKUP(B4770,'Poids des runes'!A:B,2,FALSE)))+1),(((D4770/100)*(C4770*VLOOKUP(B4770,'Poids des runes'!A:B,2,FALSE)))+1)/VLOOKUP(B4770,'Poids des runes'!A:B,2,FALSE))</f>
        <v>8.8428571428571434</v>
      </c>
      <c r="F4770">
        <f t="shared" si="74"/>
        <v>8.8428571428571434</v>
      </c>
    </row>
    <row r="4771" spans="1:6" x14ac:dyDescent="0.3">
      <c r="A4771" t="s">
        <v>1026</v>
      </c>
      <c r="B4771" t="s">
        <v>2148</v>
      </c>
      <c r="C4771">
        <v>5</v>
      </c>
      <c r="D4771">
        <v>145</v>
      </c>
      <c r="E4771">
        <f>IF(OR(B4771="vi",B4771="ii",B4771="pod"),(((D4771/100)*(C4771*VLOOKUP(B4771,'Poids des runes'!A:B,2,FALSE)))+1),(((D4771/100)*(C4771*VLOOKUP(B4771,'Poids des runes'!A:B,2,FALSE)))+1)/VLOOKUP(B4771,'Poids des runes'!A:B,2,FALSE))</f>
        <v>7.416666666666667</v>
      </c>
      <c r="F4771">
        <f t="shared" si="74"/>
        <v>7.416666666666667</v>
      </c>
    </row>
    <row r="4772" spans="1:6" x14ac:dyDescent="0.3">
      <c r="A4772" t="s">
        <v>1026</v>
      </c>
      <c r="B4772" t="s">
        <v>2157</v>
      </c>
      <c r="C4772">
        <v>5</v>
      </c>
      <c r="D4772">
        <v>145</v>
      </c>
      <c r="E4772">
        <f>IF(OR(B4772="vi",B4772="ii",B4772="pod"),(((D4772/100)*(C4772*VLOOKUP(B4772,'Poids des runes'!A:B,2,FALSE)))+1),(((D4772/100)*(C4772*VLOOKUP(B4772,'Poids des runes'!A:B,2,FALSE)))+1)/VLOOKUP(B4772,'Poids des runes'!A:B,2,FALSE))</f>
        <v>7.416666666666667</v>
      </c>
      <c r="F4772">
        <f t="shared" si="74"/>
        <v>7.416666666666667</v>
      </c>
    </row>
    <row r="4773" spans="1:6" x14ac:dyDescent="0.3">
      <c r="A4773" t="s">
        <v>1027</v>
      </c>
      <c r="B4773" t="s">
        <v>2128</v>
      </c>
      <c r="C4773">
        <v>175.5</v>
      </c>
      <c r="D4773">
        <v>145</v>
      </c>
      <c r="E4773">
        <f>IF(OR(B4773="vi",B4773="ii",B4773="pod"),(((D4773/100)*(C4773*VLOOKUP(B4773,'Poids des runes'!A:B,2,FALSE)))+1),(((D4773/100)*(C4773*VLOOKUP(B4773,'Poids des runes'!A:B,2,FALSE)))+1)/VLOOKUP(B4773,'Poids des runes'!A:B,2,FALSE))</f>
        <v>51.895000000000003</v>
      </c>
      <c r="F4773">
        <f t="shared" si="74"/>
        <v>51.895000000000003</v>
      </c>
    </row>
    <row r="4774" spans="1:6" x14ac:dyDescent="0.3">
      <c r="A4774" t="s">
        <v>1027</v>
      </c>
      <c r="B4774" t="s">
        <v>2126</v>
      </c>
      <c r="C4774">
        <v>40.5</v>
      </c>
      <c r="D4774">
        <v>145</v>
      </c>
      <c r="E4774">
        <f>IF(OR(B4774="vi",B4774="ii",B4774="pod"),(((D4774/100)*(C4774*VLOOKUP(B4774,'Poids des runes'!A:B,2,FALSE)))+1),(((D4774/100)*(C4774*VLOOKUP(B4774,'Poids des runes'!A:B,2,FALSE)))+1)/VLOOKUP(B4774,'Poids des runes'!A:B,2,FALSE))</f>
        <v>59.725000000000001</v>
      </c>
      <c r="F4774">
        <f t="shared" si="74"/>
        <v>59.725000000000001</v>
      </c>
    </row>
    <row r="4775" spans="1:6" x14ac:dyDescent="0.3">
      <c r="A4775" t="s">
        <v>1027</v>
      </c>
      <c r="B4775" t="s">
        <v>2151</v>
      </c>
      <c r="C4775">
        <v>3.5</v>
      </c>
      <c r="D4775">
        <v>145</v>
      </c>
      <c r="E4775">
        <f>IF(OR(B4775="vi",B4775="ii",B4775="pod"),(((D4775/100)*(C4775*VLOOKUP(B4775,'Poids des runes'!A:B,2,FALSE)))+1),(((D4775/100)*(C4775*VLOOKUP(B4775,'Poids des runes'!A:B,2,FALSE)))+1)/VLOOKUP(B4775,'Poids des runes'!A:B,2,FALSE))</f>
        <v>5.1749999999999998</v>
      </c>
      <c r="F4775">
        <f t="shared" si="74"/>
        <v>5.1749999999999998</v>
      </c>
    </row>
    <row r="4776" spans="1:6" x14ac:dyDescent="0.3">
      <c r="A4776" t="s">
        <v>1027</v>
      </c>
      <c r="B4776" t="s">
        <v>2154</v>
      </c>
      <c r="C4776">
        <v>1</v>
      </c>
      <c r="D4776">
        <v>145</v>
      </c>
      <c r="E4776">
        <f>IF(OR(B4776="vi",B4776="ii",B4776="pod"),(((D4776/100)*(C4776*VLOOKUP(B4776,'Poids des runes'!A:B,2,FALSE)))+1),(((D4776/100)*(C4776*VLOOKUP(B4776,'Poids des runes'!A:B,2,FALSE)))+1)/VLOOKUP(B4776,'Poids des runes'!A:B,2,FALSE))</f>
        <v>1.461111111111111</v>
      </c>
      <c r="F4776">
        <f t="shared" si="74"/>
        <v>1.461111111111111</v>
      </c>
    </row>
    <row r="4777" spans="1:6" x14ac:dyDescent="0.3">
      <c r="A4777" t="s">
        <v>1027</v>
      </c>
      <c r="B4777" t="s">
        <v>2155</v>
      </c>
      <c r="C4777">
        <v>1</v>
      </c>
      <c r="D4777">
        <v>145</v>
      </c>
      <c r="E4777">
        <f>IF(OR(B4777="vi",B4777="ii",B4777="pod"),(((D4777/100)*(C4777*VLOOKUP(B4777,'Poids des runes'!A:B,2,FALSE)))+1),(((D4777/100)*(C4777*VLOOKUP(B4777,'Poids des runes'!A:B,2,FALSE)))+1)/VLOOKUP(B4777,'Poids des runes'!A:B,2,FALSE))</f>
        <v>1.469607843137255</v>
      </c>
      <c r="F4777">
        <f t="shared" si="74"/>
        <v>1.469607843137255</v>
      </c>
    </row>
    <row r="4778" spans="1:6" x14ac:dyDescent="0.3">
      <c r="A4778" t="s">
        <v>1027</v>
      </c>
      <c r="B4778" t="s">
        <v>2140</v>
      </c>
      <c r="C4778">
        <v>8.5</v>
      </c>
      <c r="D4778">
        <v>145</v>
      </c>
      <c r="E4778">
        <f>IF(OR(B4778="vi",B4778="ii",B4778="pod"),(((D4778/100)*(C4778*VLOOKUP(B4778,'Poids des runes'!A:B,2,FALSE)))+1),(((D4778/100)*(C4778*VLOOKUP(B4778,'Poids des runes'!A:B,2,FALSE)))+1)/VLOOKUP(B4778,'Poids des runes'!A:B,2,FALSE))</f>
        <v>12.525</v>
      </c>
      <c r="F4778">
        <f t="shared" si="74"/>
        <v>12.525</v>
      </c>
    </row>
    <row r="4779" spans="1:6" x14ac:dyDescent="0.3">
      <c r="A4779" t="s">
        <v>1027</v>
      </c>
      <c r="B4779" t="s">
        <v>2132</v>
      </c>
      <c r="C4779">
        <v>225.5</v>
      </c>
      <c r="D4779">
        <v>145</v>
      </c>
      <c r="E4779">
        <f>IF(OR(B4779="vi",B4779="ii",B4779="pod"),(((D4779/100)*(C4779*VLOOKUP(B4779,'Poids des runes'!A:B,2,FALSE)))+1),(((D4779/100)*(C4779*VLOOKUP(B4779,'Poids des runes'!A:B,2,FALSE)))+1)/VLOOKUP(B4779,'Poids des runes'!A:B,2,FALSE))</f>
        <v>33.697499999999998</v>
      </c>
      <c r="F4779">
        <f t="shared" si="74"/>
        <v>33.697499999999998</v>
      </c>
    </row>
    <row r="4780" spans="1:6" x14ac:dyDescent="0.3">
      <c r="A4780" t="s">
        <v>1027</v>
      </c>
      <c r="B4780" t="s">
        <v>2160</v>
      </c>
      <c r="C4780">
        <v>2.5</v>
      </c>
      <c r="D4780">
        <v>145</v>
      </c>
      <c r="E4780">
        <f>IF(OR(B4780="vi",B4780="ii",B4780="pod"),(((D4780/100)*(C4780*VLOOKUP(B4780,'Poids des runes'!A:B,2,FALSE)))+1),(((D4780/100)*(C4780*VLOOKUP(B4780,'Poids des runes'!A:B,2,FALSE)))+1)/VLOOKUP(B4780,'Poids des runes'!A:B,2,FALSE))</f>
        <v>3.7678571428571428</v>
      </c>
      <c r="F4780">
        <f t="shared" si="74"/>
        <v>3.7678571428571428</v>
      </c>
    </row>
    <row r="4781" spans="1:6" x14ac:dyDescent="0.3">
      <c r="A4781" t="s">
        <v>1027</v>
      </c>
      <c r="B4781" t="s">
        <v>2157</v>
      </c>
      <c r="C4781">
        <v>4</v>
      </c>
      <c r="D4781">
        <v>145</v>
      </c>
      <c r="E4781">
        <f>IF(OR(B4781="vi",B4781="ii",B4781="pod"),(((D4781/100)*(C4781*VLOOKUP(B4781,'Poids des runes'!A:B,2,FALSE)))+1),(((D4781/100)*(C4781*VLOOKUP(B4781,'Poids des runes'!A:B,2,FALSE)))+1)/VLOOKUP(B4781,'Poids des runes'!A:B,2,FALSE))</f>
        <v>5.9666666666666659</v>
      </c>
      <c r="F4781">
        <f t="shared" si="74"/>
        <v>5.9666666666666659</v>
      </c>
    </row>
    <row r="4782" spans="1:6" x14ac:dyDescent="0.3">
      <c r="A4782" t="s">
        <v>1027</v>
      </c>
      <c r="B4782" t="s">
        <v>2136</v>
      </c>
      <c r="C4782">
        <v>8</v>
      </c>
      <c r="D4782">
        <v>145</v>
      </c>
      <c r="E4782">
        <f>IF(OR(B4782="vi",B4782="ii",B4782="pod"),(((D4782/100)*(C4782*VLOOKUP(B4782,'Poids des runes'!A:B,2,FALSE)))+1),(((D4782/100)*(C4782*VLOOKUP(B4782,'Poids des runes'!A:B,2,FALSE)))+1)/VLOOKUP(B4782,'Poids des runes'!A:B,2,FALSE))</f>
        <v>12.1</v>
      </c>
      <c r="F4782">
        <f t="shared" si="74"/>
        <v>12.1</v>
      </c>
    </row>
    <row r="4783" spans="1:6" x14ac:dyDescent="0.3">
      <c r="A4783" t="s">
        <v>1028</v>
      </c>
      <c r="B4783" t="s">
        <v>2128</v>
      </c>
      <c r="C4783">
        <v>125.5</v>
      </c>
      <c r="D4783">
        <v>145</v>
      </c>
      <c r="E4783">
        <f>IF(OR(B4783="vi",B4783="ii",B4783="pod"),(((D4783/100)*(C4783*VLOOKUP(B4783,'Poids des runes'!A:B,2,FALSE)))+1),(((D4783/100)*(C4783*VLOOKUP(B4783,'Poids des runes'!A:B,2,FALSE)))+1)/VLOOKUP(B4783,'Poids des runes'!A:B,2,FALSE))</f>
        <v>37.395000000000003</v>
      </c>
      <c r="F4783">
        <f t="shared" si="74"/>
        <v>37.395000000000003</v>
      </c>
    </row>
    <row r="4784" spans="1:6" x14ac:dyDescent="0.3">
      <c r="A4784" t="s">
        <v>1028</v>
      </c>
      <c r="B4784" t="s">
        <v>2127</v>
      </c>
      <c r="C4784">
        <v>28</v>
      </c>
      <c r="D4784">
        <v>145</v>
      </c>
      <c r="E4784">
        <f>IF(OR(B4784="vi",B4784="ii",B4784="pod"),(((D4784/100)*(C4784*VLOOKUP(B4784,'Poids des runes'!A:B,2,FALSE)))+1),(((D4784/100)*(C4784*VLOOKUP(B4784,'Poids des runes'!A:B,2,FALSE)))+1)/VLOOKUP(B4784,'Poids des runes'!A:B,2,FALSE))</f>
        <v>41.6</v>
      </c>
      <c r="F4784">
        <f t="shared" si="74"/>
        <v>41.6</v>
      </c>
    </row>
    <row r="4785" spans="1:6" x14ac:dyDescent="0.3">
      <c r="A4785" t="s">
        <v>1028</v>
      </c>
      <c r="B4785" t="s">
        <v>2129</v>
      </c>
      <c r="C4785">
        <v>25.5</v>
      </c>
      <c r="D4785">
        <v>145</v>
      </c>
      <c r="E4785">
        <f>IF(OR(B4785="vi",B4785="ii",B4785="pod"),(((D4785/100)*(C4785*VLOOKUP(B4785,'Poids des runes'!A:B,2,FALSE)))+1),(((D4785/100)*(C4785*VLOOKUP(B4785,'Poids des runes'!A:B,2,FALSE)))+1)/VLOOKUP(B4785,'Poids des runes'!A:B,2,FALSE))</f>
        <v>37.975000000000001</v>
      </c>
      <c r="F4785">
        <f t="shared" si="74"/>
        <v>37.975000000000001</v>
      </c>
    </row>
    <row r="4786" spans="1:6" x14ac:dyDescent="0.3">
      <c r="A4786" t="s">
        <v>1028</v>
      </c>
      <c r="B4786" t="s">
        <v>2151</v>
      </c>
      <c r="C4786">
        <v>3.5</v>
      </c>
      <c r="D4786">
        <v>145</v>
      </c>
      <c r="E4786">
        <f>IF(OR(B4786="vi",B4786="ii",B4786="pod"),(((D4786/100)*(C4786*VLOOKUP(B4786,'Poids des runes'!A:B,2,FALSE)))+1),(((D4786/100)*(C4786*VLOOKUP(B4786,'Poids des runes'!A:B,2,FALSE)))+1)/VLOOKUP(B4786,'Poids des runes'!A:B,2,FALSE))</f>
        <v>5.1749999999999998</v>
      </c>
      <c r="F4786">
        <f t="shared" si="74"/>
        <v>5.1749999999999998</v>
      </c>
    </row>
    <row r="4787" spans="1:6" x14ac:dyDescent="0.3">
      <c r="A4787" t="s">
        <v>1028</v>
      </c>
      <c r="B4787" t="s">
        <v>2155</v>
      </c>
      <c r="C4787">
        <v>1</v>
      </c>
      <c r="D4787">
        <v>145</v>
      </c>
      <c r="E4787">
        <f>IF(OR(B4787="vi",B4787="ii",B4787="pod"),(((D4787/100)*(C4787*VLOOKUP(B4787,'Poids des runes'!A:B,2,FALSE)))+1),(((D4787/100)*(C4787*VLOOKUP(B4787,'Poids des runes'!A:B,2,FALSE)))+1)/VLOOKUP(B4787,'Poids des runes'!A:B,2,FALSE))</f>
        <v>1.469607843137255</v>
      </c>
      <c r="F4787">
        <f t="shared" si="74"/>
        <v>1.469607843137255</v>
      </c>
    </row>
    <row r="4788" spans="1:6" x14ac:dyDescent="0.3">
      <c r="A4788" t="s">
        <v>1028</v>
      </c>
      <c r="B4788" t="s">
        <v>2153</v>
      </c>
      <c r="C4788">
        <v>6</v>
      </c>
      <c r="D4788">
        <v>145</v>
      </c>
      <c r="E4788">
        <f>IF(OR(B4788="vi",B4788="ii",B4788="pod"),(((D4788/100)*(C4788*VLOOKUP(B4788,'Poids des runes'!A:B,2,FALSE)))+1),(((D4788/100)*(C4788*VLOOKUP(B4788,'Poids des runes'!A:B,2,FALSE)))+1)/VLOOKUP(B4788,'Poids des runes'!A:B,2,FALSE))</f>
        <v>8.9</v>
      </c>
      <c r="F4788">
        <f t="shared" si="74"/>
        <v>8.9</v>
      </c>
    </row>
    <row r="4789" spans="1:6" x14ac:dyDescent="0.3">
      <c r="A4789" t="s">
        <v>1028</v>
      </c>
      <c r="B4789" t="s">
        <v>2132</v>
      </c>
      <c r="C4789">
        <v>175.5</v>
      </c>
      <c r="D4789">
        <v>145</v>
      </c>
      <c r="E4789">
        <f>IF(OR(B4789="vi",B4789="ii",B4789="pod"),(((D4789/100)*(C4789*VLOOKUP(B4789,'Poids des runes'!A:B,2,FALSE)))+1),(((D4789/100)*(C4789*VLOOKUP(B4789,'Poids des runes'!A:B,2,FALSE)))+1)/VLOOKUP(B4789,'Poids des runes'!A:B,2,FALSE))</f>
        <v>26.447500000000002</v>
      </c>
      <c r="F4789">
        <f t="shared" si="74"/>
        <v>26.447500000000002</v>
      </c>
    </row>
    <row r="4790" spans="1:6" x14ac:dyDescent="0.3">
      <c r="A4790" t="s">
        <v>1028</v>
      </c>
      <c r="B4790" t="s">
        <v>2141</v>
      </c>
      <c r="C4790">
        <v>3.5</v>
      </c>
      <c r="D4790">
        <v>145</v>
      </c>
      <c r="E4790">
        <f>IF(OR(B4790="vi",B4790="ii",B4790="pod"),(((D4790/100)*(C4790*VLOOKUP(B4790,'Poids des runes'!A:B,2,FALSE)))+1),(((D4790/100)*(C4790*VLOOKUP(B4790,'Poids des runes'!A:B,2,FALSE)))+1)/VLOOKUP(B4790,'Poids des runes'!A:B,2,FALSE))</f>
        <v>5.3250000000000002</v>
      </c>
      <c r="F4790">
        <f t="shared" si="74"/>
        <v>5.3250000000000002</v>
      </c>
    </row>
    <row r="4791" spans="1:6" x14ac:dyDescent="0.3">
      <c r="A4791" t="s">
        <v>1028</v>
      </c>
      <c r="B4791" t="s">
        <v>2156</v>
      </c>
      <c r="C4791">
        <v>4</v>
      </c>
      <c r="D4791">
        <v>145</v>
      </c>
      <c r="E4791">
        <f>IF(OR(B4791="vi",B4791="ii",B4791="pod"),(((D4791/100)*(C4791*VLOOKUP(B4791,'Poids des runes'!A:B,2,FALSE)))+1),(((D4791/100)*(C4791*VLOOKUP(B4791,'Poids des runes'!A:B,2,FALSE)))+1)/VLOOKUP(B4791,'Poids des runes'!A:B,2,FALSE))</f>
        <v>5.9666666666666659</v>
      </c>
      <c r="F4791">
        <f t="shared" si="74"/>
        <v>5.9666666666666659</v>
      </c>
    </row>
    <row r="4792" spans="1:6" x14ac:dyDescent="0.3">
      <c r="A4792" t="s">
        <v>1029</v>
      </c>
      <c r="B4792" t="s">
        <v>2128</v>
      </c>
      <c r="C4792">
        <v>175.5</v>
      </c>
      <c r="D4792">
        <v>146</v>
      </c>
      <c r="E4792">
        <f>IF(OR(B4792="vi",B4792="ii",B4792="pod"),(((D4792/100)*(C4792*VLOOKUP(B4792,'Poids des runes'!A:B,2,FALSE)))+1),(((D4792/100)*(C4792*VLOOKUP(B4792,'Poids des runes'!A:B,2,FALSE)))+1)/VLOOKUP(B4792,'Poids des runes'!A:B,2,FALSE))</f>
        <v>52.246000000000002</v>
      </c>
      <c r="F4792">
        <f t="shared" si="74"/>
        <v>52.246000000000002</v>
      </c>
    </row>
    <row r="4793" spans="1:6" x14ac:dyDescent="0.3">
      <c r="A4793" t="s">
        <v>1029</v>
      </c>
      <c r="B4793" t="s">
        <v>2129</v>
      </c>
      <c r="C4793">
        <v>35.5</v>
      </c>
      <c r="D4793">
        <v>146</v>
      </c>
      <c r="E4793">
        <f>IF(OR(B4793="vi",B4793="ii",B4793="pod"),(((D4793/100)*(C4793*VLOOKUP(B4793,'Poids des runes'!A:B,2,FALSE)))+1),(((D4793/100)*(C4793*VLOOKUP(B4793,'Poids des runes'!A:B,2,FALSE)))+1)/VLOOKUP(B4793,'Poids des runes'!A:B,2,FALSE))</f>
        <v>52.83</v>
      </c>
      <c r="F4793">
        <f t="shared" si="74"/>
        <v>52.83</v>
      </c>
    </row>
    <row r="4794" spans="1:6" x14ac:dyDescent="0.3">
      <c r="A4794" t="s">
        <v>1029</v>
      </c>
      <c r="B4794" t="s">
        <v>2139</v>
      </c>
      <c r="C4794">
        <v>40.5</v>
      </c>
      <c r="D4794">
        <v>146</v>
      </c>
      <c r="E4794">
        <f>IF(OR(B4794="vi",B4794="ii",B4794="pod"),(((D4794/100)*(C4794*VLOOKUP(B4794,'Poids des runes'!A:B,2,FALSE)))+1),(((D4794/100)*(C4794*VLOOKUP(B4794,'Poids des runes'!A:B,2,FALSE)))+1)/VLOOKUP(B4794,'Poids des runes'!A:B,2,FALSE))</f>
        <v>59.629999999999995</v>
      </c>
      <c r="F4794">
        <f t="shared" si="74"/>
        <v>59.629999999999995</v>
      </c>
    </row>
    <row r="4795" spans="1:6" x14ac:dyDescent="0.3">
      <c r="A4795" t="s">
        <v>1029</v>
      </c>
      <c r="B4795" t="s">
        <v>2151</v>
      </c>
      <c r="C4795">
        <v>3.5</v>
      </c>
      <c r="D4795">
        <v>146</v>
      </c>
      <c r="E4795">
        <f>IF(OR(B4795="vi",B4795="ii",B4795="pod"),(((D4795/100)*(C4795*VLOOKUP(B4795,'Poids des runes'!A:B,2,FALSE)))+1),(((D4795/100)*(C4795*VLOOKUP(B4795,'Poids des runes'!A:B,2,FALSE)))+1)/VLOOKUP(B4795,'Poids des runes'!A:B,2,FALSE))</f>
        <v>5.21</v>
      </c>
      <c r="F4795">
        <f t="shared" si="74"/>
        <v>5.21</v>
      </c>
    </row>
    <row r="4796" spans="1:6" x14ac:dyDescent="0.3">
      <c r="A4796" t="s">
        <v>1029</v>
      </c>
      <c r="B4796" t="s">
        <v>2161</v>
      </c>
      <c r="C4796">
        <v>13</v>
      </c>
      <c r="D4796">
        <v>146</v>
      </c>
      <c r="E4796">
        <f>IF(OR(B4796="vi",B4796="ii",B4796="pod"),(((D4796/100)*(C4796*VLOOKUP(B4796,'Poids des runes'!A:B,2,FALSE)))+1),(((D4796/100)*(C4796*VLOOKUP(B4796,'Poids des runes'!A:B,2,FALSE)))+1)/VLOOKUP(B4796,'Poids des runes'!A:B,2,FALSE))</f>
        <v>19.313333333333333</v>
      </c>
      <c r="F4796">
        <f t="shared" si="74"/>
        <v>19.313333333333333</v>
      </c>
    </row>
    <row r="4797" spans="1:6" x14ac:dyDescent="0.3">
      <c r="A4797" t="s">
        <v>1029</v>
      </c>
      <c r="B4797" t="s">
        <v>2164</v>
      </c>
      <c r="C4797">
        <v>8.5</v>
      </c>
      <c r="D4797">
        <v>146</v>
      </c>
      <c r="E4797">
        <f>IF(OR(B4797="vi",B4797="ii",B4797="pod"),(((D4797/100)*(C4797*VLOOKUP(B4797,'Poids des runes'!A:B,2,FALSE)))+1),(((D4797/100)*(C4797*VLOOKUP(B4797,'Poids des runes'!A:B,2,FALSE)))+1)/VLOOKUP(B4797,'Poids des runes'!A:B,2,FALSE))</f>
        <v>12.91</v>
      </c>
      <c r="F4797">
        <f t="shared" si="74"/>
        <v>12.91</v>
      </c>
    </row>
    <row r="4798" spans="1:6" x14ac:dyDescent="0.3">
      <c r="A4798" t="s">
        <v>1030</v>
      </c>
      <c r="B4798" t="s">
        <v>2128</v>
      </c>
      <c r="C4798">
        <v>175.5</v>
      </c>
      <c r="D4798">
        <v>146</v>
      </c>
      <c r="E4798">
        <f>IF(OR(B4798="vi",B4798="ii",B4798="pod"),(((D4798/100)*(C4798*VLOOKUP(B4798,'Poids des runes'!A:B,2,FALSE)))+1),(((D4798/100)*(C4798*VLOOKUP(B4798,'Poids des runes'!A:B,2,FALSE)))+1)/VLOOKUP(B4798,'Poids des runes'!A:B,2,FALSE))</f>
        <v>52.246000000000002</v>
      </c>
      <c r="F4798">
        <f t="shared" si="74"/>
        <v>52.246000000000002</v>
      </c>
    </row>
    <row r="4799" spans="1:6" x14ac:dyDescent="0.3">
      <c r="A4799" t="s">
        <v>1030</v>
      </c>
      <c r="B4799" t="s">
        <v>2131</v>
      </c>
      <c r="C4799">
        <v>40.5</v>
      </c>
      <c r="D4799">
        <v>146</v>
      </c>
      <c r="E4799">
        <f>IF(OR(B4799="vi",B4799="ii",B4799="pod"),(((D4799/100)*(C4799*VLOOKUP(B4799,'Poids des runes'!A:B,2,FALSE)))+1),(((D4799/100)*(C4799*VLOOKUP(B4799,'Poids des runes'!A:B,2,FALSE)))+1)/VLOOKUP(B4799,'Poids des runes'!A:B,2,FALSE))</f>
        <v>60.129999999999995</v>
      </c>
      <c r="F4799">
        <f t="shared" si="74"/>
        <v>60.129999999999995</v>
      </c>
    </row>
    <row r="4800" spans="1:6" x14ac:dyDescent="0.3">
      <c r="A4800" t="s">
        <v>1030</v>
      </c>
      <c r="B4800" t="s">
        <v>2129</v>
      </c>
      <c r="C4800">
        <v>28</v>
      </c>
      <c r="D4800">
        <v>146</v>
      </c>
      <c r="E4800">
        <f>IF(OR(B4800="vi",B4800="ii",B4800="pod"),(((D4800/100)*(C4800*VLOOKUP(B4800,'Poids des runes'!A:B,2,FALSE)))+1),(((D4800/100)*(C4800*VLOOKUP(B4800,'Poids des runes'!A:B,2,FALSE)))+1)/VLOOKUP(B4800,'Poids des runes'!A:B,2,FALSE))</f>
        <v>41.879999999999995</v>
      </c>
      <c r="F4800">
        <f t="shared" si="74"/>
        <v>41.879999999999995</v>
      </c>
    </row>
    <row r="4801" spans="1:6" x14ac:dyDescent="0.3">
      <c r="A4801" t="s">
        <v>1030</v>
      </c>
      <c r="B4801" t="s">
        <v>2151</v>
      </c>
      <c r="C4801">
        <v>2.5</v>
      </c>
      <c r="D4801">
        <v>146</v>
      </c>
      <c r="E4801">
        <f>IF(OR(B4801="vi",B4801="ii",B4801="pod"),(((D4801/100)*(C4801*VLOOKUP(B4801,'Poids des runes'!A:B,2,FALSE)))+1),(((D4801/100)*(C4801*VLOOKUP(B4801,'Poids des runes'!A:B,2,FALSE)))+1)/VLOOKUP(B4801,'Poids des runes'!A:B,2,FALSE))</f>
        <v>3.75</v>
      </c>
      <c r="F4801">
        <f t="shared" si="74"/>
        <v>3.75</v>
      </c>
    </row>
    <row r="4802" spans="1:6" x14ac:dyDescent="0.3">
      <c r="A4802" t="s">
        <v>1030</v>
      </c>
      <c r="B4802" t="s">
        <v>2133</v>
      </c>
      <c r="C4802">
        <v>5.5</v>
      </c>
      <c r="D4802">
        <v>146</v>
      </c>
      <c r="E4802">
        <f>IF(OR(B4802="vi",B4802="ii",B4802="pod"),(((D4802/100)*(C4802*VLOOKUP(B4802,'Poids des runes'!A:B,2,FALSE)))+1),(((D4802/100)*(C4802*VLOOKUP(B4802,'Poids des runes'!A:B,2,FALSE)))+1)/VLOOKUP(B4802,'Poids des runes'!A:B,2,FALSE))</f>
        <v>8.23</v>
      </c>
      <c r="F4802">
        <f t="shared" si="74"/>
        <v>8.23</v>
      </c>
    </row>
    <row r="4803" spans="1:6" x14ac:dyDescent="0.3">
      <c r="A4803" t="s">
        <v>1030</v>
      </c>
      <c r="B4803" t="s">
        <v>2161</v>
      </c>
      <c r="C4803">
        <v>13</v>
      </c>
      <c r="D4803">
        <v>146</v>
      </c>
      <c r="E4803">
        <f>IF(OR(B4803="vi",B4803="ii",B4803="pod"),(((D4803/100)*(C4803*VLOOKUP(B4803,'Poids des runes'!A:B,2,FALSE)))+1),(((D4803/100)*(C4803*VLOOKUP(B4803,'Poids des runes'!A:B,2,FALSE)))+1)/VLOOKUP(B4803,'Poids des runes'!A:B,2,FALSE))</f>
        <v>19.313333333333333</v>
      </c>
      <c r="F4803">
        <f t="shared" ref="F4803:F4866" si="75">E4803</f>
        <v>19.313333333333333</v>
      </c>
    </row>
    <row r="4804" spans="1:6" x14ac:dyDescent="0.3">
      <c r="A4804" t="s">
        <v>1030</v>
      </c>
      <c r="B4804" t="s">
        <v>2132</v>
      </c>
      <c r="C4804">
        <v>150.5</v>
      </c>
      <c r="D4804">
        <v>146</v>
      </c>
      <c r="E4804">
        <f>IF(OR(B4804="vi",B4804="ii",B4804="pod"),(((D4804/100)*(C4804*VLOOKUP(B4804,'Poids des runes'!A:B,2,FALSE)))+1),(((D4804/100)*(C4804*VLOOKUP(B4804,'Poids des runes'!A:B,2,FALSE)))+1)/VLOOKUP(B4804,'Poids des runes'!A:B,2,FALSE))</f>
        <v>22.972999999999999</v>
      </c>
      <c r="F4804">
        <f t="shared" si="75"/>
        <v>22.972999999999999</v>
      </c>
    </row>
    <row r="4805" spans="1:6" x14ac:dyDescent="0.3">
      <c r="A4805" t="s">
        <v>1030</v>
      </c>
      <c r="B4805" t="s">
        <v>2141</v>
      </c>
      <c r="C4805">
        <v>4</v>
      </c>
      <c r="D4805">
        <v>146</v>
      </c>
      <c r="E4805">
        <f>IF(OR(B4805="vi",B4805="ii",B4805="pod"),(((D4805/100)*(C4805*VLOOKUP(B4805,'Poids des runes'!A:B,2,FALSE)))+1),(((D4805/100)*(C4805*VLOOKUP(B4805,'Poids des runes'!A:B,2,FALSE)))+1)/VLOOKUP(B4805,'Poids des runes'!A:B,2,FALSE))</f>
        <v>6.09</v>
      </c>
      <c r="F4805">
        <f t="shared" si="75"/>
        <v>6.09</v>
      </c>
    </row>
    <row r="4806" spans="1:6" x14ac:dyDescent="0.3">
      <c r="A4806" t="s">
        <v>1030</v>
      </c>
      <c r="B4806" t="s">
        <v>2148</v>
      </c>
      <c r="C4806">
        <v>5</v>
      </c>
      <c r="D4806">
        <v>146</v>
      </c>
      <c r="E4806">
        <f>IF(OR(B4806="vi",B4806="ii",B4806="pod"),(((D4806/100)*(C4806*VLOOKUP(B4806,'Poids des runes'!A:B,2,FALSE)))+1),(((D4806/100)*(C4806*VLOOKUP(B4806,'Poids des runes'!A:B,2,FALSE)))+1)/VLOOKUP(B4806,'Poids des runes'!A:B,2,FALSE))</f>
        <v>7.4666666666666659</v>
      </c>
      <c r="F4806">
        <f t="shared" si="75"/>
        <v>7.4666666666666659</v>
      </c>
    </row>
    <row r="4807" spans="1:6" x14ac:dyDescent="0.3">
      <c r="A4807" t="s">
        <v>1030</v>
      </c>
      <c r="B4807" t="s">
        <v>2157</v>
      </c>
      <c r="C4807">
        <v>5</v>
      </c>
      <c r="D4807">
        <v>146</v>
      </c>
      <c r="E4807">
        <f>IF(OR(B4807="vi",B4807="ii",B4807="pod"),(((D4807/100)*(C4807*VLOOKUP(B4807,'Poids des runes'!A:B,2,FALSE)))+1),(((D4807/100)*(C4807*VLOOKUP(B4807,'Poids des runes'!A:B,2,FALSE)))+1)/VLOOKUP(B4807,'Poids des runes'!A:B,2,FALSE))</f>
        <v>7.4666666666666659</v>
      </c>
      <c r="F4807">
        <f t="shared" si="75"/>
        <v>7.4666666666666659</v>
      </c>
    </row>
    <row r="4808" spans="1:6" x14ac:dyDescent="0.3">
      <c r="A4808" t="s">
        <v>1031</v>
      </c>
      <c r="B4808" t="s">
        <v>2128</v>
      </c>
      <c r="C4808">
        <v>225.5</v>
      </c>
      <c r="D4808">
        <v>146</v>
      </c>
      <c r="E4808">
        <f>IF(OR(B4808="vi",B4808="ii",B4808="pod"),(((D4808/100)*(C4808*VLOOKUP(B4808,'Poids des runes'!A:B,2,FALSE)))+1),(((D4808/100)*(C4808*VLOOKUP(B4808,'Poids des runes'!A:B,2,FALSE)))+1)/VLOOKUP(B4808,'Poids des runes'!A:B,2,FALSE))</f>
        <v>66.846000000000004</v>
      </c>
      <c r="F4808">
        <f t="shared" si="75"/>
        <v>66.846000000000004</v>
      </c>
    </row>
    <row r="4809" spans="1:6" x14ac:dyDescent="0.3">
      <c r="A4809" t="s">
        <v>1031</v>
      </c>
      <c r="B4809" t="s">
        <v>2126</v>
      </c>
      <c r="C4809">
        <v>35.5</v>
      </c>
      <c r="D4809">
        <v>146</v>
      </c>
      <c r="E4809">
        <f>IF(OR(B4809="vi",B4809="ii",B4809="pod"),(((D4809/100)*(C4809*VLOOKUP(B4809,'Poids des runes'!A:B,2,FALSE)))+1),(((D4809/100)*(C4809*VLOOKUP(B4809,'Poids des runes'!A:B,2,FALSE)))+1)/VLOOKUP(B4809,'Poids des runes'!A:B,2,FALSE))</f>
        <v>52.83</v>
      </c>
      <c r="F4809">
        <f t="shared" si="75"/>
        <v>52.83</v>
      </c>
    </row>
    <row r="4810" spans="1:6" x14ac:dyDescent="0.3">
      <c r="A4810" t="s">
        <v>1031</v>
      </c>
      <c r="B4810" t="s">
        <v>2131</v>
      </c>
      <c r="C4810">
        <v>35.5</v>
      </c>
      <c r="D4810">
        <v>146</v>
      </c>
      <c r="E4810">
        <f>IF(OR(B4810="vi",B4810="ii",B4810="pod"),(((D4810/100)*(C4810*VLOOKUP(B4810,'Poids des runes'!A:B,2,FALSE)))+1),(((D4810/100)*(C4810*VLOOKUP(B4810,'Poids des runes'!A:B,2,FALSE)))+1)/VLOOKUP(B4810,'Poids des runes'!A:B,2,FALSE))</f>
        <v>52.83</v>
      </c>
      <c r="F4810">
        <f t="shared" si="75"/>
        <v>52.83</v>
      </c>
    </row>
    <row r="4811" spans="1:6" x14ac:dyDescent="0.3">
      <c r="A4811" t="s">
        <v>1031</v>
      </c>
      <c r="B4811" t="s">
        <v>2129</v>
      </c>
      <c r="C4811">
        <v>25.5</v>
      </c>
      <c r="D4811">
        <v>146</v>
      </c>
      <c r="E4811">
        <f>IF(OR(B4811="vi",B4811="ii",B4811="pod"),(((D4811/100)*(C4811*VLOOKUP(B4811,'Poids des runes'!A:B,2,FALSE)))+1),(((D4811/100)*(C4811*VLOOKUP(B4811,'Poids des runes'!A:B,2,FALSE)))+1)/VLOOKUP(B4811,'Poids des runes'!A:B,2,FALSE))</f>
        <v>38.229999999999997</v>
      </c>
      <c r="F4811">
        <f t="shared" si="75"/>
        <v>38.229999999999997</v>
      </c>
    </row>
    <row r="4812" spans="1:6" x14ac:dyDescent="0.3">
      <c r="A4812" t="s">
        <v>1031</v>
      </c>
      <c r="B4812" t="s">
        <v>2151</v>
      </c>
      <c r="C4812">
        <v>2.5</v>
      </c>
      <c r="D4812">
        <v>146</v>
      </c>
      <c r="E4812">
        <f>IF(OR(B4812="vi",B4812="ii",B4812="pod"),(((D4812/100)*(C4812*VLOOKUP(B4812,'Poids des runes'!A:B,2,FALSE)))+1),(((D4812/100)*(C4812*VLOOKUP(B4812,'Poids des runes'!A:B,2,FALSE)))+1)/VLOOKUP(B4812,'Poids des runes'!A:B,2,FALSE))</f>
        <v>3.75</v>
      </c>
      <c r="F4812">
        <f t="shared" si="75"/>
        <v>3.75</v>
      </c>
    </row>
    <row r="4813" spans="1:6" x14ac:dyDescent="0.3">
      <c r="A4813" t="s">
        <v>1031</v>
      </c>
      <c r="B4813" t="s">
        <v>2150</v>
      </c>
      <c r="C4813">
        <v>1</v>
      </c>
      <c r="D4813">
        <v>146</v>
      </c>
      <c r="E4813">
        <f>IF(OR(B4813="vi",B4813="ii",B4813="pod"),(((D4813/100)*(C4813*VLOOKUP(B4813,'Poids des runes'!A:B,2,FALSE)))+1),(((D4813/100)*(C4813*VLOOKUP(B4813,'Poids des runes'!A:B,2,FALSE)))+1)/VLOOKUP(B4813,'Poids des runes'!A:B,2,FALSE))</f>
        <v>1.4933333333333332</v>
      </c>
      <c r="F4813">
        <f t="shared" si="75"/>
        <v>1.4933333333333332</v>
      </c>
    </row>
    <row r="4814" spans="1:6" x14ac:dyDescent="0.3">
      <c r="A4814" t="s">
        <v>1031</v>
      </c>
      <c r="B4814" t="s">
        <v>2140</v>
      </c>
      <c r="C4814">
        <v>8.5</v>
      </c>
      <c r="D4814">
        <v>146</v>
      </c>
      <c r="E4814">
        <f>IF(OR(B4814="vi",B4814="ii",B4814="pod"),(((D4814/100)*(C4814*VLOOKUP(B4814,'Poids des runes'!A:B,2,FALSE)))+1),(((D4814/100)*(C4814*VLOOKUP(B4814,'Poids des runes'!A:B,2,FALSE)))+1)/VLOOKUP(B4814,'Poids des runes'!A:B,2,FALSE))</f>
        <v>12.61</v>
      </c>
      <c r="F4814">
        <f t="shared" si="75"/>
        <v>12.61</v>
      </c>
    </row>
    <row r="4815" spans="1:6" x14ac:dyDescent="0.3">
      <c r="A4815" t="s">
        <v>1031</v>
      </c>
      <c r="B4815" t="s">
        <v>2133</v>
      </c>
      <c r="C4815">
        <v>8.5</v>
      </c>
      <c r="D4815">
        <v>146</v>
      </c>
      <c r="E4815">
        <f>IF(OR(B4815="vi",B4815="ii",B4815="pod"),(((D4815/100)*(C4815*VLOOKUP(B4815,'Poids des runes'!A:B,2,FALSE)))+1),(((D4815/100)*(C4815*VLOOKUP(B4815,'Poids des runes'!A:B,2,FALSE)))+1)/VLOOKUP(B4815,'Poids des runes'!A:B,2,FALSE))</f>
        <v>12.61</v>
      </c>
      <c r="F4815">
        <f t="shared" si="75"/>
        <v>12.61</v>
      </c>
    </row>
    <row r="4816" spans="1:6" x14ac:dyDescent="0.3">
      <c r="A4816" t="s">
        <v>1031</v>
      </c>
      <c r="B4816" t="s">
        <v>2138</v>
      </c>
      <c r="C4816">
        <v>6</v>
      </c>
      <c r="D4816">
        <v>146</v>
      </c>
      <c r="E4816">
        <f>IF(OR(B4816="vi",B4816="ii",B4816="pod"),(((D4816/100)*(C4816*VLOOKUP(B4816,'Poids des runes'!A:B,2,FALSE)))+1),(((D4816/100)*(C4816*VLOOKUP(B4816,'Poids des runes'!A:B,2,FALSE)))+1)/VLOOKUP(B4816,'Poids des runes'!A:B,2,FALSE))</f>
        <v>9.01</v>
      </c>
      <c r="F4816">
        <f t="shared" si="75"/>
        <v>9.01</v>
      </c>
    </row>
    <row r="4817" spans="1:6" x14ac:dyDescent="0.3">
      <c r="A4817" t="s">
        <v>1031</v>
      </c>
      <c r="B4817" t="s">
        <v>2163</v>
      </c>
      <c r="C4817">
        <v>8.5</v>
      </c>
      <c r="D4817">
        <v>146</v>
      </c>
      <c r="E4817">
        <f>IF(OR(B4817="vi",B4817="ii",B4817="pod"),(((D4817/100)*(C4817*VLOOKUP(B4817,'Poids des runes'!A:B,2,FALSE)))+1),(((D4817/100)*(C4817*VLOOKUP(B4817,'Poids des runes'!A:B,2,FALSE)))+1)/VLOOKUP(B4817,'Poids des runes'!A:B,2,FALSE))</f>
        <v>12.91</v>
      </c>
      <c r="F4817">
        <f t="shared" si="75"/>
        <v>12.91</v>
      </c>
    </row>
    <row r="4818" spans="1:6" x14ac:dyDescent="0.3">
      <c r="A4818" t="s">
        <v>1031</v>
      </c>
      <c r="B4818" t="s">
        <v>2148</v>
      </c>
      <c r="C4818">
        <v>8.5</v>
      </c>
      <c r="D4818">
        <v>146</v>
      </c>
      <c r="E4818">
        <f>IF(OR(B4818="vi",B4818="ii",B4818="pod"),(((D4818/100)*(C4818*VLOOKUP(B4818,'Poids des runes'!A:B,2,FALSE)))+1),(((D4818/100)*(C4818*VLOOKUP(B4818,'Poids des runes'!A:B,2,FALSE)))+1)/VLOOKUP(B4818,'Poids des runes'!A:B,2,FALSE))</f>
        <v>12.576666666666666</v>
      </c>
      <c r="F4818">
        <f t="shared" si="75"/>
        <v>12.576666666666666</v>
      </c>
    </row>
    <row r="4819" spans="1:6" x14ac:dyDescent="0.3">
      <c r="A4819" t="s">
        <v>1032</v>
      </c>
      <c r="B4819" t="s">
        <v>2128</v>
      </c>
      <c r="C4819">
        <v>125.5</v>
      </c>
      <c r="D4819">
        <v>146</v>
      </c>
      <c r="E4819">
        <f>IF(OR(B4819="vi",B4819="ii",B4819="pod"),(((D4819/100)*(C4819*VLOOKUP(B4819,'Poids des runes'!A:B,2,FALSE)))+1),(((D4819/100)*(C4819*VLOOKUP(B4819,'Poids des runes'!A:B,2,FALSE)))+1)/VLOOKUP(B4819,'Poids des runes'!A:B,2,FALSE))</f>
        <v>37.646000000000001</v>
      </c>
      <c r="F4819">
        <f t="shared" si="75"/>
        <v>37.646000000000001</v>
      </c>
    </row>
    <row r="4820" spans="1:6" x14ac:dyDescent="0.3">
      <c r="A4820" t="s">
        <v>1032</v>
      </c>
      <c r="B4820" t="s">
        <v>2126</v>
      </c>
      <c r="C4820">
        <v>35.5</v>
      </c>
      <c r="D4820">
        <v>146</v>
      </c>
      <c r="E4820">
        <f>IF(OR(B4820="vi",B4820="ii",B4820="pod"),(((D4820/100)*(C4820*VLOOKUP(B4820,'Poids des runes'!A:B,2,FALSE)))+1),(((D4820/100)*(C4820*VLOOKUP(B4820,'Poids des runes'!A:B,2,FALSE)))+1)/VLOOKUP(B4820,'Poids des runes'!A:B,2,FALSE))</f>
        <v>52.83</v>
      </c>
      <c r="F4820">
        <f t="shared" si="75"/>
        <v>52.83</v>
      </c>
    </row>
    <row r="4821" spans="1:6" x14ac:dyDescent="0.3">
      <c r="A4821" t="s">
        <v>1032</v>
      </c>
      <c r="B4821" t="s">
        <v>2131</v>
      </c>
      <c r="C4821">
        <v>35.5</v>
      </c>
      <c r="D4821">
        <v>146</v>
      </c>
      <c r="E4821">
        <f>IF(OR(B4821="vi",B4821="ii",B4821="pod"),(((D4821/100)*(C4821*VLOOKUP(B4821,'Poids des runes'!A:B,2,FALSE)))+1),(((D4821/100)*(C4821*VLOOKUP(B4821,'Poids des runes'!A:B,2,FALSE)))+1)/VLOOKUP(B4821,'Poids des runes'!A:B,2,FALSE))</f>
        <v>52.83</v>
      </c>
      <c r="F4821">
        <f t="shared" si="75"/>
        <v>52.83</v>
      </c>
    </row>
    <row r="4822" spans="1:6" x14ac:dyDescent="0.3">
      <c r="A4822" t="s">
        <v>1032</v>
      </c>
      <c r="B4822" t="s">
        <v>2129</v>
      </c>
      <c r="C4822">
        <v>25.5</v>
      </c>
      <c r="D4822">
        <v>146</v>
      </c>
      <c r="E4822">
        <f>IF(OR(B4822="vi",B4822="ii",B4822="pod"),(((D4822/100)*(C4822*VLOOKUP(B4822,'Poids des runes'!A:B,2,FALSE)))+1),(((D4822/100)*(C4822*VLOOKUP(B4822,'Poids des runes'!A:B,2,FALSE)))+1)/VLOOKUP(B4822,'Poids des runes'!A:B,2,FALSE))</f>
        <v>38.229999999999997</v>
      </c>
      <c r="F4822">
        <f t="shared" si="75"/>
        <v>38.229999999999997</v>
      </c>
    </row>
    <row r="4823" spans="1:6" x14ac:dyDescent="0.3">
      <c r="A4823" t="s">
        <v>1032</v>
      </c>
      <c r="B4823" t="s">
        <v>2154</v>
      </c>
      <c r="C4823">
        <v>1</v>
      </c>
      <c r="D4823">
        <v>146</v>
      </c>
      <c r="E4823">
        <f>IF(OR(B4823="vi",B4823="ii",B4823="pod"),(((D4823/100)*(C4823*VLOOKUP(B4823,'Poids des runes'!A:B,2,FALSE)))+1),(((D4823/100)*(C4823*VLOOKUP(B4823,'Poids des runes'!A:B,2,FALSE)))+1)/VLOOKUP(B4823,'Poids des runes'!A:B,2,FALSE))</f>
        <v>1.4711111111111113</v>
      </c>
      <c r="F4823">
        <f t="shared" si="75"/>
        <v>1.4711111111111113</v>
      </c>
    </row>
    <row r="4824" spans="1:6" x14ac:dyDescent="0.3">
      <c r="A4824" t="s">
        <v>1032</v>
      </c>
      <c r="B4824" t="s">
        <v>2140</v>
      </c>
      <c r="C4824">
        <v>6.5</v>
      </c>
      <c r="D4824">
        <v>146</v>
      </c>
      <c r="E4824">
        <f>IF(OR(B4824="vi",B4824="ii",B4824="pod"),(((D4824/100)*(C4824*VLOOKUP(B4824,'Poids des runes'!A:B,2,FALSE)))+1),(((D4824/100)*(C4824*VLOOKUP(B4824,'Poids des runes'!A:B,2,FALSE)))+1)/VLOOKUP(B4824,'Poids des runes'!A:B,2,FALSE))</f>
        <v>9.69</v>
      </c>
      <c r="F4824">
        <f t="shared" si="75"/>
        <v>9.69</v>
      </c>
    </row>
    <row r="4825" spans="1:6" x14ac:dyDescent="0.3">
      <c r="A4825" t="s">
        <v>1032</v>
      </c>
      <c r="B4825" t="s">
        <v>2133</v>
      </c>
      <c r="C4825">
        <v>6.5</v>
      </c>
      <c r="D4825">
        <v>146</v>
      </c>
      <c r="E4825">
        <f>IF(OR(B4825="vi",B4825="ii",B4825="pod"),(((D4825/100)*(C4825*VLOOKUP(B4825,'Poids des runes'!A:B,2,FALSE)))+1),(((D4825/100)*(C4825*VLOOKUP(B4825,'Poids des runes'!A:B,2,FALSE)))+1)/VLOOKUP(B4825,'Poids des runes'!A:B,2,FALSE))</f>
        <v>9.69</v>
      </c>
      <c r="F4825">
        <f t="shared" si="75"/>
        <v>9.69</v>
      </c>
    </row>
    <row r="4826" spans="1:6" x14ac:dyDescent="0.3">
      <c r="A4826" t="s">
        <v>1032</v>
      </c>
      <c r="B4826" t="s">
        <v>2149</v>
      </c>
      <c r="C4826">
        <v>10.5</v>
      </c>
      <c r="D4826">
        <v>146</v>
      </c>
      <c r="E4826">
        <f>IF(OR(B4826="vi",B4826="ii",B4826="pod"),(((D4826/100)*(C4826*VLOOKUP(B4826,'Poids des runes'!A:B,2,FALSE)))+1),(((D4826/100)*(C4826*VLOOKUP(B4826,'Poids des runes'!A:B,2,FALSE)))+1)/VLOOKUP(B4826,'Poids des runes'!A:B,2,FALSE))</f>
        <v>15.429999999999998</v>
      </c>
      <c r="F4826">
        <f t="shared" si="75"/>
        <v>15.429999999999998</v>
      </c>
    </row>
    <row r="4827" spans="1:6" x14ac:dyDescent="0.3">
      <c r="A4827" t="s">
        <v>1032</v>
      </c>
      <c r="B4827" t="s">
        <v>2161</v>
      </c>
      <c r="C4827">
        <v>8</v>
      </c>
      <c r="D4827">
        <v>146</v>
      </c>
      <c r="E4827">
        <f>IF(OR(B4827="vi",B4827="ii",B4827="pod"),(((D4827/100)*(C4827*VLOOKUP(B4827,'Poids des runes'!A:B,2,FALSE)))+1),(((D4827/100)*(C4827*VLOOKUP(B4827,'Poids des runes'!A:B,2,FALSE)))+1)/VLOOKUP(B4827,'Poids des runes'!A:B,2,FALSE))</f>
        <v>12.013333333333334</v>
      </c>
      <c r="F4827">
        <f t="shared" si="75"/>
        <v>12.013333333333334</v>
      </c>
    </row>
    <row r="4828" spans="1:6" x14ac:dyDescent="0.3">
      <c r="A4828" t="s">
        <v>1032</v>
      </c>
      <c r="B4828" t="s">
        <v>2148</v>
      </c>
      <c r="C4828">
        <v>6</v>
      </c>
      <c r="D4828">
        <v>146</v>
      </c>
      <c r="E4828">
        <f>IF(OR(B4828="vi",B4828="ii",B4828="pod"),(((D4828/100)*(C4828*VLOOKUP(B4828,'Poids des runes'!A:B,2,FALSE)))+1),(((D4828/100)*(C4828*VLOOKUP(B4828,'Poids des runes'!A:B,2,FALSE)))+1)/VLOOKUP(B4828,'Poids des runes'!A:B,2,FALSE))</f>
        <v>8.9266666666666676</v>
      </c>
      <c r="F4828">
        <f t="shared" si="75"/>
        <v>8.9266666666666676</v>
      </c>
    </row>
    <row r="4829" spans="1:6" x14ac:dyDescent="0.3">
      <c r="A4829" t="s">
        <v>1032</v>
      </c>
      <c r="B4829" t="s">
        <v>2146</v>
      </c>
      <c r="C4829">
        <v>7</v>
      </c>
      <c r="D4829">
        <v>146</v>
      </c>
      <c r="E4829">
        <f>IF(OR(B4829="vi",B4829="ii",B4829="pod"),(((D4829/100)*(C4829*VLOOKUP(B4829,'Poids des runes'!A:B,2,FALSE)))+1),(((D4829/100)*(C4829*VLOOKUP(B4829,'Poids des runes'!A:B,2,FALSE)))+1)/VLOOKUP(B4829,'Poids des runes'!A:B,2,FALSE))</f>
        <v>10.719999999999999</v>
      </c>
      <c r="F4829">
        <f t="shared" si="75"/>
        <v>10.719999999999999</v>
      </c>
    </row>
    <row r="4830" spans="1:6" x14ac:dyDescent="0.3">
      <c r="A4830" t="s">
        <v>1033</v>
      </c>
      <c r="B4830" t="s">
        <v>2128</v>
      </c>
      <c r="C4830">
        <v>110.5</v>
      </c>
      <c r="D4830">
        <v>146</v>
      </c>
      <c r="E4830">
        <f>IF(OR(B4830="vi",B4830="ii",B4830="pod"),(((D4830/100)*(C4830*VLOOKUP(B4830,'Poids des runes'!A:B,2,FALSE)))+1),(((D4830/100)*(C4830*VLOOKUP(B4830,'Poids des runes'!A:B,2,FALSE)))+1)/VLOOKUP(B4830,'Poids des runes'!A:B,2,FALSE))</f>
        <v>33.265999999999998</v>
      </c>
      <c r="F4830">
        <f t="shared" si="75"/>
        <v>33.265999999999998</v>
      </c>
    </row>
    <row r="4831" spans="1:6" x14ac:dyDescent="0.3">
      <c r="A4831" t="s">
        <v>1033</v>
      </c>
      <c r="B4831" t="s">
        <v>2130</v>
      </c>
      <c r="C4831">
        <v>25.5</v>
      </c>
      <c r="D4831">
        <v>146</v>
      </c>
      <c r="E4831">
        <f>IF(OR(B4831="vi",B4831="ii",B4831="pod"),(((D4831/100)*(C4831*VLOOKUP(B4831,'Poids des runes'!A:B,2,FALSE)))+1),(((D4831/100)*(C4831*VLOOKUP(B4831,'Poids des runes'!A:B,2,FALSE)))+1)/VLOOKUP(B4831,'Poids des runes'!A:B,2,FALSE))</f>
        <v>38.229999999999997</v>
      </c>
      <c r="F4831">
        <f t="shared" si="75"/>
        <v>38.229999999999997</v>
      </c>
    </row>
    <row r="4832" spans="1:6" x14ac:dyDescent="0.3">
      <c r="A4832" t="s">
        <v>1033</v>
      </c>
      <c r="B4832" t="s">
        <v>2129</v>
      </c>
      <c r="C4832">
        <v>25.5</v>
      </c>
      <c r="D4832">
        <v>146</v>
      </c>
      <c r="E4832">
        <f>IF(OR(B4832="vi",B4832="ii",B4832="pod"),(((D4832/100)*(C4832*VLOOKUP(B4832,'Poids des runes'!A:B,2,FALSE)))+1),(((D4832/100)*(C4832*VLOOKUP(B4832,'Poids des runes'!A:B,2,FALSE)))+1)/VLOOKUP(B4832,'Poids des runes'!A:B,2,FALSE))</f>
        <v>38.229999999999997</v>
      </c>
      <c r="F4832">
        <f t="shared" si="75"/>
        <v>38.229999999999997</v>
      </c>
    </row>
    <row r="4833" spans="1:6" x14ac:dyDescent="0.3">
      <c r="A4833" t="s">
        <v>1033</v>
      </c>
      <c r="B4833" t="s">
        <v>2139</v>
      </c>
      <c r="C4833">
        <v>18</v>
      </c>
      <c r="D4833">
        <v>146</v>
      </c>
      <c r="E4833">
        <f>IF(OR(B4833="vi",B4833="ii",B4833="pod"),(((D4833/100)*(C4833*VLOOKUP(B4833,'Poids des runes'!A:B,2,FALSE)))+1),(((D4833/100)*(C4833*VLOOKUP(B4833,'Poids des runes'!A:B,2,FALSE)))+1)/VLOOKUP(B4833,'Poids des runes'!A:B,2,FALSE))</f>
        <v>26.78</v>
      </c>
      <c r="F4833">
        <f t="shared" si="75"/>
        <v>26.78</v>
      </c>
    </row>
    <row r="4834" spans="1:6" x14ac:dyDescent="0.3">
      <c r="A4834" t="s">
        <v>1033</v>
      </c>
      <c r="B4834" t="s">
        <v>2151</v>
      </c>
      <c r="C4834">
        <v>2.5</v>
      </c>
      <c r="D4834">
        <v>146</v>
      </c>
      <c r="E4834">
        <f>IF(OR(B4834="vi",B4834="ii",B4834="pod"),(((D4834/100)*(C4834*VLOOKUP(B4834,'Poids des runes'!A:B,2,FALSE)))+1),(((D4834/100)*(C4834*VLOOKUP(B4834,'Poids des runes'!A:B,2,FALSE)))+1)/VLOOKUP(B4834,'Poids des runes'!A:B,2,FALSE))</f>
        <v>3.75</v>
      </c>
      <c r="F4834">
        <f t="shared" si="75"/>
        <v>3.75</v>
      </c>
    </row>
    <row r="4835" spans="1:6" x14ac:dyDescent="0.3">
      <c r="A4835" t="s">
        <v>1033</v>
      </c>
      <c r="B4835" t="s">
        <v>2143</v>
      </c>
      <c r="C4835">
        <v>8.5</v>
      </c>
      <c r="D4835">
        <v>146</v>
      </c>
      <c r="E4835">
        <f>IF(OR(B4835="vi",B4835="ii",B4835="pod"),(((D4835/100)*(C4835*VLOOKUP(B4835,'Poids des runes'!A:B,2,FALSE)))+1),(((D4835/100)*(C4835*VLOOKUP(B4835,'Poids des runes'!A:B,2,FALSE)))+1)/VLOOKUP(B4835,'Poids des runes'!A:B,2,FALSE))</f>
        <v>12.61</v>
      </c>
      <c r="F4835">
        <f t="shared" si="75"/>
        <v>12.61</v>
      </c>
    </row>
    <row r="4836" spans="1:6" x14ac:dyDescent="0.3">
      <c r="A4836" t="s">
        <v>1033</v>
      </c>
      <c r="B4836" t="s">
        <v>2133</v>
      </c>
      <c r="C4836">
        <v>8.5</v>
      </c>
      <c r="D4836">
        <v>146</v>
      </c>
      <c r="E4836">
        <f>IF(OR(B4836="vi",B4836="ii",B4836="pod"),(((D4836/100)*(C4836*VLOOKUP(B4836,'Poids des runes'!A:B,2,FALSE)))+1),(((D4836/100)*(C4836*VLOOKUP(B4836,'Poids des runes'!A:B,2,FALSE)))+1)/VLOOKUP(B4836,'Poids des runes'!A:B,2,FALSE))</f>
        <v>12.61</v>
      </c>
      <c r="F4836">
        <f t="shared" si="75"/>
        <v>12.61</v>
      </c>
    </row>
    <row r="4837" spans="1:6" x14ac:dyDescent="0.3">
      <c r="A4837" t="s">
        <v>1033</v>
      </c>
      <c r="B4837" t="s">
        <v>2138</v>
      </c>
      <c r="C4837">
        <v>4.5</v>
      </c>
      <c r="D4837">
        <v>146</v>
      </c>
      <c r="E4837">
        <f>IF(OR(B4837="vi",B4837="ii",B4837="pod"),(((D4837/100)*(C4837*VLOOKUP(B4837,'Poids des runes'!A:B,2,FALSE)))+1),(((D4837/100)*(C4837*VLOOKUP(B4837,'Poids des runes'!A:B,2,FALSE)))+1)/VLOOKUP(B4837,'Poids des runes'!A:B,2,FALSE))</f>
        <v>6.82</v>
      </c>
      <c r="F4837">
        <f t="shared" si="75"/>
        <v>6.82</v>
      </c>
    </row>
    <row r="4838" spans="1:6" x14ac:dyDescent="0.3">
      <c r="A4838" t="s">
        <v>1033</v>
      </c>
      <c r="B4838" t="s">
        <v>2164</v>
      </c>
      <c r="C4838">
        <v>8.5</v>
      </c>
      <c r="D4838">
        <v>146</v>
      </c>
      <c r="E4838">
        <f>IF(OR(B4838="vi",B4838="ii",B4838="pod"),(((D4838/100)*(C4838*VLOOKUP(B4838,'Poids des runes'!A:B,2,FALSE)))+1),(((D4838/100)*(C4838*VLOOKUP(B4838,'Poids des runes'!A:B,2,FALSE)))+1)/VLOOKUP(B4838,'Poids des runes'!A:B,2,FALSE))</f>
        <v>12.91</v>
      </c>
      <c r="F4838">
        <f t="shared" si="75"/>
        <v>12.91</v>
      </c>
    </row>
    <row r="4839" spans="1:6" x14ac:dyDescent="0.3">
      <c r="A4839" t="s">
        <v>1033</v>
      </c>
      <c r="B4839" t="s">
        <v>2136</v>
      </c>
      <c r="C4839">
        <v>6</v>
      </c>
      <c r="D4839">
        <v>146</v>
      </c>
      <c r="E4839">
        <f>IF(OR(B4839="vi",B4839="ii",B4839="pod"),(((D4839/100)*(C4839*VLOOKUP(B4839,'Poids des runes'!A:B,2,FALSE)))+1),(((D4839/100)*(C4839*VLOOKUP(B4839,'Poids des runes'!A:B,2,FALSE)))+1)/VLOOKUP(B4839,'Poids des runes'!A:B,2,FALSE))</f>
        <v>9.26</v>
      </c>
      <c r="F4839">
        <f t="shared" si="75"/>
        <v>9.26</v>
      </c>
    </row>
    <row r="4840" spans="1:6" x14ac:dyDescent="0.3">
      <c r="A4840" t="s">
        <v>1033</v>
      </c>
      <c r="B4840" t="s">
        <v>2144</v>
      </c>
      <c r="C4840">
        <v>6</v>
      </c>
      <c r="D4840">
        <v>146</v>
      </c>
      <c r="E4840">
        <f>IF(OR(B4840="vi",B4840="ii",B4840="pod"),(((D4840/100)*(C4840*VLOOKUP(B4840,'Poids des runes'!A:B,2,FALSE)))+1),(((D4840/100)*(C4840*VLOOKUP(B4840,'Poids des runes'!A:B,2,FALSE)))+1)/VLOOKUP(B4840,'Poids des runes'!A:B,2,FALSE))</f>
        <v>9.26</v>
      </c>
      <c r="F4840">
        <f t="shared" si="75"/>
        <v>9.26</v>
      </c>
    </row>
    <row r="4841" spans="1:6" x14ac:dyDescent="0.3">
      <c r="A4841" t="s">
        <v>1033</v>
      </c>
      <c r="B4841" t="s">
        <v>2146</v>
      </c>
      <c r="C4841">
        <v>6</v>
      </c>
      <c r="D4841">
        <v>146</v>
      </c>
      <c r="E4841">
        <f>IF(OR(B4841="vi",B4841="ii",B4841="pod"),(((D4841/100)*(C4841*VLOOKUP(B4841,'Poids des runes'!A:B,2,FALSE)))+1),(((D4841/100)*(C4841*VLOOKUP(B4841,'Poids des runes'!A:B,2,FALSE)))+1)/VLOOKUP(B4841,'Poids des runes'!A:B,2,FALSE))</f>
        <v>9.26</v>
      </c>
      <c r="F4841">
        <f t="shared" si="75"/>
        <v>9.26</v>
      </c>
    </row>
    <row r="4842" spans="1:6" x14ac:dyDescent="0.3">
      <c r="A4842" t="s">
        <v>1034</v>
      </c>
      <c r="B4842" t="s">
        <v>2128</v>
      </c>
      <c r="C4842">
        <v>175.5</v>
      </c>
      <c r="D4842">
        <v>146</v>
      </c>
      <c r="E4842">
        <f>IF(OR(B4842="vi",B4842="ii",B4842="pod"),(((D4842/100)*(C4842*VLOOKUP(B4842,'Poids des runes'!A:B,2,FALSE)))+1),(((D4842/100)*(C4842*VLOOKUP(B4842,'Poids des runes'!A:B,2,FALSE)))+1)/VLOOKUP(B4842,'Poids des runes'!A:B,2,FALSE))</f>
        <v>52.246000000000002</v>
      </c>
      <c r="F4842">
        <f t="shared" si="75"/>
        <v>52.246000000000002</v>
      </c>
    </row>
    <row r="4843" spans="1:6" x14ac:dyDescent="0.3">
      <c r="A4843" t="s">
        <v>1034</v>
      </c>
      <c r="B4843" t="s">
        <v>2127</v>
      </c>
      <c r="C4843">
        <v>40.5</v>
      </c>
      <c r="D4843">
        <v>146</v>
      </c>
      <c r="E4843">
        <f>IF(OR(B4843="vi",B4843="ii",B4843="pod"),(((D4843/100)*(C4843*VLOOKUP(B4843,'Poids des runes'!A:B,2,FALSE)))+1),(((D4843/100)*(C4843*VLOOKUP(B4843,'Poids des runes'!A:B,2,FALSE)))+1)/VLOOKUP(B4843,'Poids des runes'!A:B,2,FALSE))</f>
        <v>60.129999999999995</v>
      </c>
      <c r="F4843">
        <f t="shared" si="75"/>
        <v>60.129999999999995</v>
      </c>
    </row>
    <row r="4844" spans="1:6" x14ac:dyDescent="0.3">
      <c r="A4844" t="s">
        <v>1034</v>
      </c>
      <c r="B4844" t="s">
        <v>2129</v>
      </c>
      <c r="C4844">
        <v>25.5</v>
      </c>
      <c r="D4844">
        <v>146</v>
      </c>
      <c r="E4844">
        <f>IF(OR(B4844="vi",B4844="ii",B4844="pod"),(((D4844/100)*(C4844*VLOOKUP(B4844,'Poids des runes'!A:B,2,FALSE)))+1),(((D4844/100)*(C4844*VLOOKUP(B4844,'Poids des runes'!A:B,2,FALSE)))+1)/VLOOKUP(B4844,'Poids des runes'!A:B,2,FALSE))</f>
        <v>38.229999999999997</v>
      </c>
      <c r="F4844">
        <f t="shared" si="75"/>
        <v>38.229999999999997</v>
      </c>
    </row>
    <row r="4845" spans="1:6" x14ac:dyDescent="0.3">
      <c r="A4845" t="s">
        <v>1034</v>
      </c>
      <c r="B4845" t="s">
        <v>2139</v>
      </c>
      <c r="C4845">
        <v>18</v>
      </c>
      <c r="D4845">
        <v>146</v>
      </c>
      <c r="E4845">
        <f>IF(OR(B4845="vi",B4845="ii",B4845="pod"),(((D4845/100)*(C4845*VLOOKUP(B4845,'Poids des runes'!A:B,2,FALSE)))+1),(((D4845/100)*(C4845*VLOOKUP(B4845,'Poids des runes'!A:B,2,FALSE)))+1)/VLOOKUP(B4845,'Poids des runes'!A:B,2,FALSE))</f>
        <v>26.78</v>
      </c>
      <c r="F4845">
        <f t="shared" si="75"/>
        <v>26.78</v>
      </c>
    </row>
    <row r="4846" spans="1:6" x14ac:dyDescent="0.3">
      <c r="A4846" t="s">
        <v>1034</v>
      </c>
      <c r="B4846" t="s">
        <v>2151</v>
      </c>
      <c r="C4846">
        <v>2.5</v>
      </c>
      <c r="D4846">
        <v>146</v>
      </c>
      <c r="E4846">
        <f>IF(OR(B4846="vi",B4846="ii",B4846="pod"),(((D4846/100)*(C4846*VLOOKUP(B4846,'Poids des runes'!A:B,2,FALSE)))+1),(((D4846/100)*(C4846*VLOOKUP(B4846,'Poids des runes'!A:B,2,FALSE)))+1)/VLOOKUP(B4846,'Poids des runes'!A:B,2,FALSE))</f>
        <v>3.75</v>
      </c>
      <c r="F4846">
        <f t="shared" si="75"/>
        <v>3.75</v>
      </c>
    </row>
    <row r="4847" spans="1:6" x14ac:dyDescent="0.3">
      <c r="A4847" t="s">
        <v>1034</v>
      </c>
      <c r="B4847" t="s">
        <v>2155</v>
      </c>
      <c r="C4847">
        <v>1</v>
      </c>
      <c r="D4847">
        <v>146</v>
      </c>
      <c r="E4847">
        <f>IF(OR(B4847="vi",B4847="ii",B4847="pod"),(((D4847/100)*(C4847*VLOOKUP(B4847,'Poids des runes'!A:B,2,FALSE)))+1),(((D4847/100)*(C4847*VLOOKUP(B4847,'Poids des runes'!A:B,2,FALSE)))+1)/VLOOKUP(B4847,'Poids des runes'!A:B,2,FALSE))</f>
        <v>1.4796078431372548</v>
      </c>
      <c r="F4847">
        <f t="shared" si="75"/>
        <v>1.4796078431372548</v>
      </c>
    </row>
    <row r="4848" spans="1:6" x14ac:dyDescent="0.3">
      <c r="A4848" t="s">
        <v>1034</v>
      </c>
      <c r="B4848" t="s">
        <v>2153</v>
      </c>
      <c r="C4848">
        <v>8.5</v>
      </c>
      <c r="D4848">
        <v>146</v>
      </c>
      <c r="E4848">
        <f>IF(OR(B4848="vi",B4848="ii",B4848="pod"),(((D4848/100)*(C4848*VLOOKUP(B4848,'Poids des runes'!A:B,2,FALSE)))+1),(((D4848/100)*(C4848*VLOOKUP(B4848,'Poids des runes'!A:B,2,FALSE)))+1)/VLOOKUP(B4848,'Poids des runes'!A:B,2,FALSE))</f>
        <v>12.61</v>
      </c>
      <c r="F4848">
        <f t="shared" si="75"/>
        <v>12.61</v>
      </c>
    </row>
    <row r="4849" spans="1:6" x14ac:dyDescent="0.3">
      <c r="A4849" t="s">
        <v>1034</v>
      </c>
      <c r="B4849" t="s">
        <v>2161</v>
      </c>
      <c r="C4849">
        <v>13</v>
      </c>
      <c r="D4849">
        <v>146</v>
      </c>
      <c r="E4849">
        <f>IF(OR(B4849="vi",B4849="ii",B4849="pod"),(((D4849/100)*(C4849*VLOOKUP(B4849,'Poids des runes'!A:B,2,FALSE)))+1),(((D4849/100)*(C4849*VLOOKUP(B4849,'Poids des runes'!A:B,2,FALSE)))+1)/VLOOKUP(B4849,'Poids des runes'!A:B,2,FALSE))</f>
        <v>19.313333333333333</v>
      </c>
      <c r="F4849">
        <f t="shared" si="75"/>
        <v>19.313333333333333</v>
      </c>
    </row>
    <row r="4850" spans="1:6" x14ac:dyDescent="0.3">
      <c r="A4850" t="s">
        <v>1034</v>
      </c>
      <c r="B4850" t="s">
        <v>2141</v>
      </c>
      <c r="C4850">
        <v>5</v>
      </c>
      <c r="D4850">
        <v>146</v>
      </c>
      <c r="E4850">
        <f>IF(OR(B4850="vi",B4850="ii",B4850="pod"),(((D4850/100)*(C4850*VLOOKUP(B4850,'Poids des runes'!A:B,2,FALSE)))+1),(((D4850/100)*(C4850*VLOOKUP(B4850,'Poids des runes'!A:B,2,FALSE)))+1)/VLOOKUP(B4850,'Poids des runes'!A:B,2,FALSE))</f>
        <v>7.55</v>
      </c>
      <c r="F4850">
        <f t="shared" si="75"/>
        <v>7.55</v>
      </c>
    </row>
    <row r="4851" spans="1:6" x14ac:dyDescent="0.3">
      <c r="A4851" t="s">
        <v>1034</v>
      </c>
      <c r="B4851" t="s">
        <v>2135</v>
      </c>
      <c r="C4851">
        <v>8.5</v>
      </c>
      <c r="D4851">
        <v>146</v>
      </c>
      <c r="E4851">
        <f>IF(OR(B4851="vi",B4851="ii",B4851="pod"),(((D4851/100)*(C4851*VLOOKUP(B4851,'Poids des runes'!A:B,2,FALSE)))+1),(((D4851/100)*(C4851*VLOOKUP(B4851,'Poids des runes'!A:B,2,FALSE)))+1)/VLOOKUP(B4851,'Poids des runes'!A:B,2,FALSE))</f>
        <v>12.576666666666666</v>
      </c>
      <c r="F4851">
        <f t="shared" si="75"/>
        <v>12.576666666666666</v>
      </c>
    </row>
    <row r="4852" spans="1:6" x14ac:dyDescent="0.3">
      <c r="A4852" t="s">
        <v>1035</v>
      </c>
      <c r="B4852" t="s">
        <v>2128</v>
      </c>
      <c r="C4852">
        <v>225.5</v>
      </c>
      <c r="D4852">
        <v>147</v>
      </c>
      <c r="E4852">
        <f>IF(OR(B4852="vi",B4852="ii",B4852="pod"),(((D4852/100)*(C4852*VLOOKUP(B4852,'Poids des runes'!A:B,2,FALSE)))+1),(((D4852/100)*(C4852*VLOOKUP(B4852,'Poids des runes'!A:B,2,FALSE)))+1)/VLOOKUP(B4852,'Poids des runes'!A:B,2,FALSE))</f>
        <v>67.296999999999997</v>
      </c>
      <c r="F4852">
        <f t="shared" si="75"/>
        <v>67.296999999999997</v>
      </c>
    </row>
    <row r="4853" spans="1:6" x14ac:dyDescent="0.3">
      <c r="A4853" t="s">
        <v>1035</v>
      </c>
      <c r="B4853" t="s">
        <v>2130</v>
      </c>
      <c r="C4853">
        <v>40.5</v>
      </c>
      <c r="D4853">
        <v>147</v>
      </c>
      <c r="E4853">
        <f>IF(OR(B4853="vi",B4853="ii",B4853="pod"),(((D4853/100)*(C4853*VLOOKUP(B4853,'Poids des runes'!A:B,2,FALSE)))+1),(((D4853/100)*(C4853*VLOOKUP(B4853,'Poids des runes'!A:B,2,FALSE)))+1)/VLOOKUP(B4853,'Poids des runes'!A:B,2,FALSE))</f>
        <v>60.534999999999997</v>
      </c>
      <c r="F4853">
        <f t="shared" si="75"/>
        <v>60.534999999999997</v>
      </c>
    </row>
    <row r="4854" spans="1:6" x14ac:dyDescent="0.3">
      <c r="A4854" t="s">
        <v>1035</v>
      </c>
      <c r="B4854" t="s">
        <v>2127</v>
      </c>
      <c r="C4854">
        <v>40.5</v>
      </c>
      <c r="D4854">
        <v>147</v>
      </c>
      <c r="E4854">
        <f>IF(OR(B4854="vi",B4854="ii",B4854="pod"),(((D4854/100)*(C4854*VLOOKUP(B4854,'Poids des runes'!A:B,2,FALSE)))+1),(((D4854/100)*(C4854*VLOOKUP(B4854,'Poids des runes'!A:B,2,FALSE)))+1)/VLOOKUP(B4854,'Poids des runes'!A:B,2,FALSE))</f>
        <v>60.534999999999997</v>
      </c>
      <c r="F4854">
        <f t="shared" si="75"/>
        <v>60.534999999999997</v>
      </c>
    </row>
    <row r="4855" spans="1:6" x14ac:dyDescent="0.3">
      <c r="A4855" t="s">
        <v>1035</v>
      </c>
      <c r="B4855" t="s">
        <v>2151</v>
      </c>
      <c r="C4855">
        <v>2.5</v>
      </c>
      <c r="D4855">
        <v>147</v>
      </c>
      <c r="E4855">
        <f>IF(OR(B4855="vi",B4855="ii",B4855="pod"),(((D4855/100)*(C4855*VLOOKUP(B4855,'Poids des runes'!A:B,2,FALSE)))+1),(((D4855/100)*(C4855*VLOOKUP(B4855,'Poids des runes'!A:B,2,FALSE)))+1)/VLOOKUP(B4855,'Poids des runes'!A:B,2,FALSE))</f>
        <v>3.7749999999999999</v>
      </c>
      <c r="F4855">
        <f t="shared" si="75"/>
        <v>3.7749999999999999</v>
      </c>
    </row>
    <row r="4856" spans="1:6" x14ac:dyDescent="0.3">
      <c r="A4856" t="s">
        <v>1035</v>
      </c>
      <c r="B4856" t="s">
        <v>2154</v>
      </c>
      <c r="C4856">
        <v>1</v>
      </c>
      <c r="D4856">
        <v>147</v>
      </c>
      <c r="E4856">
        <f>IF(OR(B4856="vi",B4856="ii",B4856="pod"),(((D4856/100)*(C4856*VLOOKUP(B4856,'Poids des runes'!A:B,2,FALSE)))+1),(((D4856/100)*(C4856*VLOOKUP(B4856,'Poids des runes'!A:B,2,FALSE)))+1)/VLOOKUP(B4856,'Poids des runes'!A:B,2,FALSE))</f>
        <v>1.4811111111111113</v>
      </c>
      <c r="F4856">
        <f t="shared" si="75"/>
        <v>1.4811111111111113</v>
      </c>
    </row>
    <row r="4857" spans="1:6" x14ac:dyDescent="0.3">
      <c r="A4857" t="s">
        <v>1035</v>
      </c>
      <c r="B4857" t="s">
        <v>2143</v>
      </c>
      <c r="C4857">
        <v>6</v>
      </c>
      <c r="D4857">
        <v>147</v>
      </c>
      <c r="E4857">
        <f>IF(OR(B4857="vi",B4857="ii",B4857="pod"),(((D4857/100)*(C4857*VLOOKUP(B4857,'Poids des runes'!A:B,2,FALSE)))+1),(((D4857/100)*(C4857*VLOOKUP(B4857,'Poids des runes'!A:B,2,FALSE)))+1)/VLOOKUP(B4857,'Poids des runes'!A:B,2,FALSE))</f>
        <v>9.02</v>
      </c>
      <c r="F4857">
        <f t="shared" si="75"/>
        <v>9.02</v>
      </c>
    </row>
    <row r="4858" spans="1:6" x14ac:dyDescent="0.3">
      <c r="A4858" t="s">
        <v>1035</v>
      </c>
      <c r="B4858" t="s">
        <v>2153</v>
      </c>
      <c r="C4858">
        <v>6</v>
      </c>
      <c r="D4858">
        <v>147</v>
      </c>
      <c r="E4858">
        <f>IF(OR(B4858="vi",B4858="ii",B4858="pod"),(((D4858/100)*(C4858*VLOOKUP(B4858,'Poids des runes'!A:B,2,FALSE)))+1),(((D4858/100)*(C4858*VLOOKUP(B4858,'Poids des runes'!A:B,2,FALSE)))+1)/VLOOKUP(B4858,'Poids des runes'!A:B,2,FALSE))</f>
        <v>9.02</v>
      </c>
      <c r="F4858">
        <f t="shared" si="75"/>
        <v>9.02</v>
      </c>
    </row>
    <row r="4859" spans="1:6" x14ac:dyDescent="0.3">
      <c r="A4859" t="s">
        <v>1035</v>
      </c>
      <c r="B4859" t="s">
        <v>2161</v>
      </c>
      <c r="C4859">
        <v>8.5</v>
      </c>
      <c r="D4859">
        <v>147</v>
      </c>
      <c r="E4859">
        <f>IF(OR(B4859="vi",B4859="ii",B4859="pod"),(((D4859/100)*(C4859*VLOOKUP(B4859,'Poids des runes'!A:B,2,FALSE)))+1),(((D4859/100)*(C4859*VLOOKUP(B4859,'Poids des runes'!A:B,2,FALSE)))+1)/VLOOKUP(B4859,'Poids des runes'!A:B,2,FALSE))</f>
        <v>12.828333333333333</v>
      </c>
      <c r="F4859">
        <f t="shared" si="75"/>
        <v>12.828333333333333</v>
      </c>
    </row>
    <row r="4860" spans="1:6" x14ac:dyDescent="0.3">
      <c r="A4860" t="s">
        <v>1035</v>
      </c>
      <c r="B4860" t="s">
        <v>2132</v>
      </c>
      <c r="C4860">
        <v>250.5</v>
      </c>
      <c r="D4860">
        <v>147</v>
      </c>
      <c r="E4860">
        <f>IF(OR(B4860="vi",B4860="ii",B4860="pod"),(((D4860/100)*(C4860*VLOOKUP(B4860,'Poids des runes'!A:B,2,FALSE)))+1),(((D4860/100)*(C4860*VLOOKUP(B4860,'Poids des runes'!A:B,2,FALSE)))+1)/VLOOKUP(B4860,'Poids des runes'!A:B,2,FALSE))</f>
        <v>37.823500000000003</v>
      </c>
      <c r="F4860">
        <f t="shared" si="75"/>
        <v>37.823500000000003</v>
      </c>
    </row>
    <row r="4861" spans="1:6" x14ac:dyDescent="0.3">
      <c r="A4861" t="s">
        <v>1035</v>
      </c>
      <c r="B4861" t="s">
        <v>2141</v>
      </c>
      <c r="C4861">
        <v>4.5</v>
      </c>
      <c r="D4861">
        <v>147</v>
      </c>
      <c r="E4861">
        <f>IF(OR(B4861="vi",B4861="ii",B4861="pod"),(((D4861/100)*(C4861*VLOOKUP(B4861,'Poids des runes'!A:B,2,FALSE)))+1),(((D4861/100)*(C4861*VLOOKUP(B4861,'Poids des runes'!A:B,2,FALSE)))+1)/VLOOKUP(B4861,'Poids des runes'!A:B,2,FALSE))</f>
        <v>6.8650000000000002</v>
      </c>
      <c r="F4861">
        <f t="shared" si="75"/>
        <v>6.8650000000000002</v>
      </c>
    </row>
    <row r="4862" spans="1:6" x14ac:dyDescent="0.3">
      <c r="A4862" t="s">
        <v>1035</v>
      </c>
      <c r="B4862" t="s">
        <v>2156</v>
      </c>
      <c r="C4862">
        <v>6</v>
      </c>
      <c r="D4862">
        <v>147</v>
      </c>
      <c r="E4862">
        <f>IF(OR(B4862="vi",B4862="ii",B4862="pod"),(((D4862/100)*(C4862*VLOOKUP(B4862,'Poids des runes'!A:B,2,FALSE)))+1),(((D4862/100)*(C4862*VLOOKUP(B4862,'Poids des runes'!A:B,2,FALSE)))+1)/VLOOKUP(B4862,'Poids des runes'!A:B,2,FALSE))</f>
        <v>8.9866666666666664</v>
      </c>
      <c r="F4862">
        <f t="shared" si="75"/>
        <v>8.9866666666666664</v>
      </c>
    </row>
    <row r="4863" spans="1:6" x14ac:dyDescent="0.3">
      <c r="A4863" t="s">
        <v>1035</v>
      </c>
      <c r="B4863" t="s">
        <v>2148</v>
      </c>
      <c r="C4863">
        <v>6</v>
      </c>
      <c r="D4863">
        <v>147</v>
      </c>
      <c r="E4863">
        <f>IF(OR(B4863="vi",B4863="ii",B4863="pod"),(((D4863/100)*(C4863*VLOOKUP(B4863,'Poids des runes'!A:B,2,FALSE)))+1),(((D4863/100)*(C4863*VLOOKUP(B4863,'Poids des runes'!A:B,2,FALSE)))+1)/VLOOKUP(B4863,'Poids des runes'!A:B,2,FALSE))</f>
        <v>8.9866666666666664</v>
      </c>
      <c r="F4863">
        <f t="shared" si="75"/>
        <v>8.9866666666666664</v>
      </c>
    </row>
    <row r="4864" spans="1:6" x14ac:dyDescent="0.3">
      <c r="A4864" t="s">
        <v>1035</v>
      </c>
      <c r="B4864" t="s">
        <v>2137</v>
      </c>
      <c r="C4864">
        <v>8.5</v>
      </c>
      <c r="D4864">
        <v>147</v>
      </c>
      <c r="E4864">
        <f>IF(OR(B4864="vi",B4864="ii",B4864="pod"),(((D4864/100)*(C4864*VLOOKUP(B4864,'Poids des runes'!A:B,2,FALSE)))+1),(((D4864/100)*(C4864*VLOOKUP(B4864,'Poids des runes'!A:B,2,FALSE)))+1)/VLOOKUP(B4864,'Poids des runes'!A:B,2,FALSE))</f>
        <v>12.994999999999999</v>
      </c>
      <c r="F4864">
        <f t="shared" si="75"/>
        <v>12.994999999999999</v>
      </c>
    </row>
    <row r="4865" spans="1:6" x14ac:dyDescent="0.3">
      <c r="A4865" t="s">
        <v>1036</v>
      </c>
      <c r="B4865" t="s">
        <v>2128</v>
      </c>
      <c r="C4865">
        <v>175.5</v>
      </c>
      <c r="D4865">
        <v>147</v>
      </c>
      <c r="E4865">
        <f>IF(OR(B4865="vi",B4865="ii",B4865="pod"),(((D4865/100)*(C4865*VLOOKUP(B4865,'Poids des runes'!A:B,2,FALSE)))+1),(((D4865/100)*(C4865*VLOOKUP(B4865,'Poids des runes'!A:B,2,FALSE)))+1)/VLOOKUP(B4865,'Poids des runes'!A:B,2,FALSE))</f>
        <v>52.597000000000001</v>
      </c>
      <c r="F4865">
        <f t="shared" si="75"/>
        <v>52.597000000000001</v>
      </c>
    </row>
    <row r="4866" spans="1:6" x14ac:dyDescent="0.3">
      <c r="A4866" t="s">
        <v>1036</v>
      </c>
      <c r="B4866" t="s">
        <v>2127</v>
      </c>
      <c r="C4866">
        <v>35.5</v>
      </c>
      <c r="D4866">
        <v>147</v>
      </c>
      <c r="E4866">
        <f>IF(OR(B4866="vi",B4866="ii",B4866="pod"),(((D4866/100)*(C4866*VLOOKUP(B4866,'Poids des runes'!A:B,2,FALSE)))+1),(((D4866/100)*(C4866*VLOOKUP(B4866,'Poids des runes'!A:B,2,FALSE)))+1)/VLOOKUP(B4866,'Poids des runes'!A:B,2,FALSE))</f>
        <v>53.185000000000002</v>
      </c>
      <c r="F4866">
        <f t="shared" si="75"/>
        <v>53.185000000000002</v>
      </c>
    </row>
    <row r="4867" spans="1:6" x14ac:dyDescent="0.3">
      <c r="A4867" t="s">
        <v>1036</v>
      </c>
      <c r="B4867" t="s">
        <v>2129</v>
      </c>
      <c r="C4867">
        <v>25.5</v>
      </c>
      <c r="D4867">
        <v>147</v>
      </c>
      <c r="E4867">
        <f>IF(OR(B4867="vi",B4867="ii",B4867="pod"),(((D4867/100)*(C4867*VLOOKUP(B4867,'Poids des runes'!A:B,2,FALSE)))+1),(((D4867/100)*(C4867*VLOOKUP(B4867,'Poids des runes'!A:B,2,FALSE)))+1)/VLOOKUP(B4867,'Poids des runes'!A:B,2,FALSE))</f>
        <v>38.484999999999999</v>
      </c>
      <c r="F4867">
        <f t="shared" ref="F4867:F4930" si="76">E4867</f>
        <v>38.484999999999999</v>
      </c>
    </row>
    <row r="4868" spans="1:6" x14ac:dyDescent="0.3">
      <c r="A4868" t="s">
        <v>1036</v>
      </c>
      <c r="B4868" t="s">
        <v>2139</v>
      </c>
      <c r="C4868">
        <v>20.5</v>
      </c>
      <c r="D4868">
        <v>147</v>
      </c>
      <c r="E4868">
        <f>IF(OR(B4868="vi",B4868="ii",B4868="pod"),(((D4868/100)*(C4868*VLOOKUP(B4868,'Poids des runes'!A:B,2,FALSE)))+1),(((D4868/100)*(C4868*VLOOKUP(B4868,'Poids des runes'!A:B,2,FALSE)))+1)/VLOOKUP(B4868,'Poids des runes'!A:B,2,FALSE))</f>
        <v>30.634999999999998</v>
      </c>
      <c r="F4868">
        <f t="shared" si="76"/>
        <v>30.634999999999998</v>
      </c>
    </row>
    <row r="4869" spans="1:6" x14ac:dyDescent="0.3">
      <c r="A4869" t="s">
        <v>1036</v>
      </c>
      <c r="B4869" t="s">
        <v>2151</v>
      </c>
      <c r="C4869">
        <v>2.5</v>
      </c>
      <c r="D4869">
        <v>147</v>
      </c>
      <c r="E4869">
        <f>IF(OR(B4869="vi",B4869="ii",B4869="pod"),(((D4869/100)*(C4869*VLOOKUP(B4869,'Poids des runes'!A:B,2,FALSE)))+1),(((D4869/100)*(C4869*VLOOKUP(B4869,'Poids des runes'!A:B,2,FALSE)))+1)/VLOOKUP(B4869,'Poids des runes'!A:B,2,FALSE))</f>
        <v>3.7749999999999999</v>
      </c>
      <c r="F4869">
        <f t="shared" si="76"/>
        <v>3.7749999999999999</v>
      </c>
    </row>
    <row r="4870" spans="1:6" x14ac:dyDescent="0.3">
      <c r="A4870" t="s">
        <v>1036</v>
      </c>
      <c r="B4870" t="s">
        <v>2152</v>
      </c>
      <c r="C4870">
        <v>1</v>
      </c>
      <c r="D4870">
        <v>147</v>
      </c>
      <c r="E4870">
        <f>IF(OR(B4870="vi",B4870="ii",B4870="pod"),(((D4870/100)*(C4870*VLOOKUP(B4870,'Poids des runes'!A:B,2,FALSE)))+1),(((D4870/100)*(C4870*VLOOKUP(B4870,'Poids des runes'!A:B,2,FALSE)))+1)/VLOOKUP(B4870,'Poids des runes'!A:B,2,FALSE))</f>
        <v>1.48</v>
      </c>
      <c r="F4870">
        <f t="shared" si="76"/>
        <v>1.48</v>
      </c>
    </row>
    <row r="4871" spans="1:6" x14ac:dyDescent="0.3">
      <c r="A4871" t="s">
        <v>1036</v>
      </c>
      <c r="B4871" t="s">
        <v>2140</v>
      </c>
      <c r="C4871">
        <v>13</v>
      </c>
      <c r="D4871">
        <v>147</v>
      </c>
      <c r="E4871">
        <f>IF(OR(B4871="vi",B4871="ii",B4871="pod"),(((D4871/100)*(C4871*VLOOKUP(B4871,'Poids des runes'!A:B,2,FALSE)))+1),(((D4871/100)*(C4871*VLOOKUP(B4871,'Poids des runes'!A:B,2,FALSE)))+1)/VLOOKUP(B4871,'Poids des runes'!A:B,2,FALSE))</f>
        <v>19.309999999999999</v>
      </c>
      <c r="F4871">
        <f t="shared" si="76"/>
        <v>19.309999999999999</v>
      </c>
    </row>
    <row r="4872" spans="1:6" x14ac:dyDescent="0.3">
      <c r="A4872" t="s">
        <v>1036</v>
      </c>
      <c r="B4872" t="s">
        <v>2133</v>
      </c>
      <c r="C4872">
        <v>13</v>
      </c>
      <c r="D4872">
        <v>147</v>
      </c>
      <c r="E4872">
        <f>IF(OR(B4872="vi",B4872="ii",B4872="pod"),(((D4872/100)*(C4872*VLOOKUP(B4872,'Poids des runes'!A:B,2,FALSE)))+1),(((D4872/100)*(C4872*VLOOKUP(B4872,'Poids des runes'!A:B,2,FALSE)))+1)/VLOOKUP(B4872,'Poids des runes'!A:B,2,FALSE))</f>
        <v>19.309999999999999</v>
      </c>
      <c r="F4872">
        <f t="shared" si="76"/>
        <v>19.309999999999999</v>
      </c>
    </row>
    <row r="4873" spans="1:6" x14ac:dyDescent="0.3">
      <c r="A4873" t="s">
        <v>1036</v>
      </c>
      <c r="B4873" t="s">
        <v>2153</v>
      </c>
      <c r="C4873">
        <v>8.5</v>
      </c>
      <c r="D4873">
        <v>147</v>
      </c>
      <c r="E4873">
        <f>IF(OR(B4873="vi",B4873="ii",B4873="pod"),(((D4873/100)*(C4873*VLOOKUP(B4873,'Poids des runes'!A:B,2,FALSE)))+1),(((D4873/100)*(C4873*VLOOKUP(B4873,'Poids des runes'!A:B,2,FALSE)))+1)/VLOOKUP(B4873,'Poids des runes'!A:B,2,FALSE))</f>
        <v>12.695</v>
      </c>
      <c r="F4873">
        <f t="shared" si="76"/>
        <v>12.695</v>
      </c>
    </row>
    <row r="4874" spans="1:6" x14ac:dyDescent="0.3">
      <c r="A4874" t="s">
        <v>1036</v>
      </c>
      <c r="B4874" t="s">
        <v>2161</v>
      </c>
      <c r="C4874">
        <v>15.5</v>
      </c>
      <c r="D4874">
        <v>147</v>
      </c>
      <c r="E4874">
        <f>IF(OR(B4874="vi",B4874="ii",B4874="pod"),(((D4874/100)*(C4874*VLOOKUP(B4874,'Poids des runes'!A:B,2,FALSE)))+1),(((D4874/100)*(C4874*VLOOKUP(B4874,'Poids des runes'!A:B,2,FALSE)))+1)/VLOOKUP(B4874,'Poids des runes'!A:B,2,FALSE))</f>
        <v>23.118333333333336</v>
      </c>
      <c r="F4874">
        <f t="shared" si="76"/>
        <v>23.118333333333336</v>
      </c>
    </row>
    <row r="4875" spans="1:6" x14ac:dyDescent="0.3">
      <c r="A4875" t="s">
        <v>1036</v>
      </c>
      <c r="B4875" t="s">
        <v>2141</v>
      </c>
      <c r="C4875">
        <v>4.5</v>
      </c>
      <c r="D4875">
        <v>147</v>
      </c>
      <c r="E4875">
        <f>IF(OR(B4875="vi",B4875="ii",B4875="pod"),(((D4875/100)*(C4875*VLOOKUP(B4875,'Poids des runes'!A:B,2,FALSE)))+1),(((D4875/100)*(C4875*VLOOKUP(B4875,'Poids des runes'!A:B,2,FALSE)))+1)/VLOOKUP(B4875,'Poids des runes'!A:B,2,FALSE))</f>
        <v>6.8650000000000002</v>
      </c>
      <c r="F4875">
        <f t="shared" si="76"/>
        <v>6.8650000000000002</v>
      </c>
    </row>
    <row r="4876" spans="1:6" x14ac:dyDescent="0.3">
      <c r="A4876" t="s">
        <v>1036</v>
      </c>
      <c r="B4876" t="s">
        <v>2156</v>
      </c>
      <c r="C4876">
        <v>6</v>
      </c>
      <c r="D4876">
        <v>147</v>
      </c>
      <c r="E4876">
        <f>IF(OR(B4876="vi",B4876="ii",B4876="pod"),(((D4876/100)*(C4876*VLOOKUP(B4876,'Poids des runes'!A:B,2,FALSE)))+1),(((D4876/100)*(C4876*VLOOKUP(B4876,'Poids des runes'!A:B,2,FALSE)))+1)/VLOOKUP(B4876,'Poids des runes'!A:B,2,FALSE))</f>
        <v>8.9866666666666664</v>
      </c>
      <c r="F4876">
        <f t="shared" si="76"/>
        <v>8.9866666666666664</v>
      </c>
    </row>
    <row r="4877" spans="1:6" x14ac:dyDescent="0.3">
      <c r="A4877" t="s">
        <v>1036</v>
      </c>
      <c r="B4877" t="s">
        <v>2137</v>
      </c>
      <c r="C4877">
        <v>10</v>
      </c>
      <c r="D4877">
        <v>147</v>
      </c>
      <c r="E4877">
        <f>IF(OR(B4877="vi",B4877="ii",B4877="pod"),(((D4877/100)*(C4877*VLOOKUP(B4877,'Poids des runes'!A:B,2,FALSE)))+1),(((D4877/100)*(C4877*VLOOKUP(B4877,'Poids des runes'!A:B,2,FALSE)))+1)/VLOOKUP(B4877,'Poids des runes'!A:B,2,FALSE))</f>
        <v>15.2</v>
      </c>
      <c r="F4877">
        <f t="shared" si="76"/>
        <v>15.2</v>
      </c>
    </row>
    <row r="4878" spans="1:6" x14ac:dyDescent="0.3">
      <c r="A4878" t="s">
        <v>1037</v>
      </c>
      <c r="B4878" t="s">
        <v>2128</v>
      </c>
      <c r="C4878">
        <v>225.5</v>
      </c>
      <c r="D4878">
        <v>147</v>
      </c>
      <c r="E4878">
        <f>IF(OR(B4878="vi",B4878="ii",B4878="pod"),(((D4878/100)*(C4878*VLOOKUP(B4878,'Poids des runes'!A:B,2,FALSE)))+1),(((D4878/100)*(C4878*VLOOKUP(B4878,'Poids des runes'!A:B,2,FALSE)))+1)/VLOOKUP(B4878,'Poids des runes'!A:B,2,FALSE))</f>
        <v>67.296999999999997</v>
      </c>
      <c r="F4878">
        <f t="shared" si="76"/>
        <v>67.296999999999997</v>
      </c>
    </row>
    <row r="4879" spans="1:6" x14ac:dyDescent="0.3">
      <c r="A4879" t="s">
        <v>1037</v>
      </c>
      <c r="B4879" t="s">
        <v>2126</v>
      </c>
      <c r="C4879">
        <v>35.5</v>
      </c>
      <c r="D4879">
        <v>147</v>
      </c>
      <c r="E4879">
        <f>IF(OR(B4879="vi",B4879="ii",B4879="pod"),(((D4879/100)*(C4879*VLOOKUP(B4879,'Poids des runes'!A:B,2,FALSE)))+1),(((D4879/100)*(C4879*VLOOKUP(B4879,'Poids des runes'!A:B,2,FALSE)))+1)/VLOOKUP(B4879,'Poids des runes'!A:B,2,FALSE))</f>
        <v>53.185000000000002</v>
      </c>
      <c r="F4879">
        <f t="shared" si="76"/>
        <v>53.185000000000002</v>
      </c>
    </row>
    <row r="4880" spans="1:6" x14ac:dyDescent="0.3">
      <c r="A4880" t="s">
        <v>1037</v>
      </c>
      <c r="B4880" t="s">
        <v>2129</v>
      </c>
      <c r="C4880">
        <v>35.5</v>
      </c>
      <c r="D4880">
        <v>147</v>
      </c>
      <c r="E4880">
        <f>IF(OR(B4880="vi",B4880="ii",B4880="pod"),(((D4880/100)*(C4880*VLOOKUP(B4880,'Poids des runes'!A:B,2,FALSE)))+1),(((D4880/100)*(C4880*VLOOKUP(B4880,'Poids des runes'!A:B,2,FALSE)))+1)/VLOOKUP(B4880,'Poids des runes'!A:B,2,FALSE))</f>
        <v>53.185000000000002</v>
      </c>
      <c r="F4880">
        <f t="shared" si="76"/>
        <v>53.185000000000002</v>
      </c>
    </row>
    <row r="4881" spans="1:6" x14ac:dyDescent="0.3">
      <c r="A4881" t="s">
        <v>1037</v>
      </c>
      <c r="B4881" t="s">
        <v>2151</v>
      </c>
      <c r="C4881">
        <v>4</v>
      </c>
      <c r="D4881">
        <v>147</v>
      </c>
      <c r="E4881">
        <f>IF(OR(B4881="vi",B4881="ii",B4881="pod"),(((D4881/100)*(C4881*VLOOKUP(B4881,'Poids des runes'!A:B,2,FALSE)))+1),(((D4881/100)*(C4881*VLOOKUP(B4881,'Poids des runes'!A:B,2,FALSE)))+1)/VLOOKUP(B4881,'Poids des runes'!A:B,2,FALSE))</f>
        <v>5.9799999999999995</v>
      </c>
      <c r="F4881">
        <f t="shared" si="76"/>
        <v>5.9799999999999995</v>
      </c>
    </row>
    <row r="4882" spans="1:6" x14ac:dyDescent="0.3">
      <c r="A4882" t="s">
        <v>1037</v>
      </c>
      <c r="B4882" t="s">
        <v>2155</v>
      </c>
      <c r="C4882">
        <v>1</v>
      </c>
      <c r="D4882">
        <v>147</v>
      </c>
      <c r="E4882">
        <f>IF(OR(B4882="vi",B4882="ii",B4882="pod"),(((D4882/100)*(C4882*VLOOKUP(B4882,'Poids des runes'!A:B,2,FALSE)))+1),(((D4882/100)*(C4882*VLOOKUP(B4882,'Poids des runes'!A:B,2,FALSE)))+1)/VLOOKUP(B4882,'Poids des runes'!A:B,2,FALSE))</f>
        <v>1.4896078431372548</v>
      </c>
      <c r="F4882">
        <f t="shared" si="76"/>
        <v>1.4896078431372548</v>
      </c>
    </row>
    <row r="4883" spans="1:6" x14ac:dyDescent="0.3">
      <c r="A4883" t="s">
        <v>1037</v>
      </c>
      <c r="B4883" t="s">
        <v>2140</v>
      </c>
      <c r="C4883">
        <v>10.5</v>
      </c>
      <c r="D4883">
        <v>147</v>
      </c>
      <c r="E4883">
        <f>IF(OR(B4883="vi",B4883="ii",B4883="pod"),(((D4883/100)*(C4883*VLOOKUP(B4883,'Poids des runes'!A:B,2,FALSE)))+1),(((D4883/100)*(C4883*VLOOKUP(B4883,'Poids des runes'!A:B,2,FALSE)))+1)/VLOOKUP(B4883,'Poids des runes'!A:B,2,FALSE))</f>
        <v>15.635</v>
      </c>
      <c r="F4883">
        <f t="shared" si="76"/>
        <v>15.635</v>
      </c>
    </row>
    <row r="4884" spans="1:6" x14ac:dyDescent="0.3">
      <c r="A4884" t="s">
        <v>1037</v>
      </c>
      <c r="B4884" t="s">
        <v>2161</v>
      </c>
      <c r="C4884">
        <v>8</v>
      </c>
      <c r="D4884">
        <v>147</v>
      </c>
      <c r="E4884">
        <f>IF(OR(B4884="vi",B4884="ii",B4884="pod"),(((D4884/100)*(C4884*VLOOKUP(B4884,'Poids des runes'!A:B,2,FALSE)))+1),(((D4884/100)*(C4884*VLOOKUP(B4884,'Poids des runes'!A:B,2,FALSE)))+1)/VLOOKUP(B4884,'Poids des runes'!A:B,2,FALSE))</f>
        <v>12.093333333333334</v>
      </c>
      <c r="F4884">
        <f t="shared" si="76"/>
        <v>12.093333333333334</v>
      </c>
    </row>
    <row r="4885" spans="1:6" x14ac:dyDescent="0.3">
      <c r="A4885" t="s">
        <v>1037</v>
      </c>
      <c r="B4885" t="s">
        <v>2132</v>
      </c>
      <c r="C4885">
        <v>250.5</v>
      </c>
      <c r="D4885">
        <v>147</v>
      </c>
      <c r="E4885">
        <f>IF(OR(B4885="vi",B4885="ii",B4885="pod"),(((D4885/100)*(C4885*VLOOKUP(B4885,'Poids des runes'!A:B,2,FALSE)))+1),(((D4885/100)*(C4885*VLOOKUP(B4885,'Poids des runes'!A:B,2,FALSE)))+1)/VLOOKUP(B4885,'Poids des runes'!A:B,2,FALSE))</f>
        <v>37.823500000000003</v>
      </c>
      <c r="F4885">
        <f t="shared" si="76"/>
        <v>37.823500000000003</v>
      </c>
    </row>
    <row r="4886" spans="1:6" x14ac:dyDescent="0.3">
      <c r="A4886" t="s">
        <v>1037</v>
      </c>
      <c r="B4886" t="s">
        <v>2156</v>
      </c>
      <c r="C4886">
        <v>4</v>
      </c>
      <c r="D4886">
        <v>147</v>
      </c>
      <c r="E4886">
        <f>IF(OR(B4886="vi",B4886="ii",B4886="pod"),(((D4886/100)*(C4886*VLOOKUP(B4886,'Poids des runes'!A:B,2,FALSE)))+1),(((D4886/100)*(C4886*VLOOKUP(B4886,'Poids des runes'!A:B,2,FALSE)))+1)/VLOOKUP(B4886,'Poids des runes'!A:B,2,FALSE))</f>
        <v>6.0466666666666669</v>
      </c>
      <c r="F4886">
        <f t="shared" si="76"/>
        <v>6.0466666666666669</v>
      </c>
    </row>
    <row r="4887" spans="1:6" x14ac:dyDescent="0.3">
      <c r="A4887" t="s">
        <v>1037</v>
      </c>
      <c r="B4887" t="s">
        <v>2148</v>
      </c>
      <c r="C4887">
        <v>4</v>
      </c>
      <c r="D4887">
        <v>147</v>
      </c>
      <c r="E4887">
        <f>IF(OR(B4887="vi",B4887="ii",B4887="pod"),(((D4887/100)*(C4887*VLOOKUP(B4887,'Poids des runes'!A:B,2,FALSE)))+1),(((D4887/100)*(C4887*VLOOKUP(B4887,'Poids des runes'!A:B,2,FALSE)))+1)/VLOOKUP(B4887,'Poids des runes'!A:B,2,FALSE))</f>
        <v>6.0466666666666669</v>
      </c>
      <c r="F4887">
        <f t="shared" si="76"/>
        <v>6.0466666666666669</v>
      </c>
    </row>
    <row r="4888" spans="1:6" x14ac:dyDescent="0.3">
      <c r="A4888" t="s">
        <v>1038</v>
      </c>
      <c r="B4888" t="s">
        <v>2128</v>
      </c>
      <c r="C4888">
        <v>175.5</v>
      </c>
      <c r="D4888">
        <v>147</v>
      </c>
      <c r="E4888">
        <f>IF(OR(B4888="vi",B4888="ii",B4888="pod"),(((D4888/100)*(C4888*VLOOKUP(B4888,'Poids des runes'!A:B,2,FALSE)))+1),(((D4888/100)*(C4888*VLOOKUP(B4888,'Poids des runes'!A:B,2,FALSE)))+1)/VLOOKUP(B4888,'Poids des runes'!A:B,2,FALSE))</f>
        <v>52.597000000000001</v>
      </c>
      <c r="F4888">
        <f t="shared" si="76"/>
        <v>52.597000000000001</v>
      </c>
    </row>
    <row r="4889" spans="1:6" x14ac:dyDescent="0.3">
      <c r="A4889" t="s">
        <v>1038</v>
      </c>
      <c r="B4889" t="s">
        <v>2130</v>
      </c>
      <c r="C4889">
        <v>60.5</v>
      </c>
      <c r="D4889">
        <v>147</v>
      </c>
      <c r="E4889">
        <f>IF(OR(B4889="vi",B4889="ii",B4889="pod"),(((D4889/100)*(C4889*VLOOKUP(B4889,'Poids des runes'!A:B,2,FALSE)))+1),(((D4889/100)*(C4889*VLOOKUP(B4889,'Poids des runes'!A:B,2,FALSE)))+1)/VLOOKUP(B4889,'Poids des runes'!A:B,2,FALSE))</f>
        <v>89.935000000000002</v>
      </c>
      <c r="F4889">
        <f t="shared" si="76"/>
        <v>89.935000000000002</v>
      </c>
    </row>
    <row r="4890" spans="1:6" x14ac:dyDescent="0.3">
      <c r="A4890" t="s">
        <v>1038</v>
      </c>
      <c r="B4890" t="s">
        <v>2129</v>
      </c>
      <c r="C4890">
        <v>25.5</v>
      </c>
      <c r="D4890">
        <v>147</v>
      </c>
      <c r="E4890">
        <f>IF(OR(B4890="vi",B4890="ii",B4890="pod"),(((D4890/100)*(C4890*VLOOKUP(B4890,'Poids des runes'!A:B,2,FALSE)))+1),(((D4890/100)*(C4890*VLOOKUP(B4890,'Poids des runes'!A:B,2,FALSE)))+1)/VLOOKUP(B4890,'Poids des runes'!A:B,2,FALSE))</f>
        <v>38.484999999999999</v>
      </c>
      <c r="F4890">
        <f t="shared" si="76"/>
        <v>38.484999999999999</v>
      </c>
    </row>
    <row r="4891" spans="1:6" x14ac:dyDescent="0.3">
      <c r="A4891" t="s">
        <v>1038</v>
      </c>
      <c r="B4891" t="s">
        <v>2152</v>
      </c>
      <c r="C4891">
        <v>1</v>
      </c>
      <c r="D4891">
        <v>147</v>
      </c>
      <c r="E4891">
        <f>IF(OR(B4891="vi",B4891="ii",B4891="pod"),(((D4891/100)*(C4891*VLOOKUP(B4891,'Poids des runes'!A:B,2,FALSE)))+1),(((D4891/100)*(C4891*VLOOKUP(B4891,'Poids des runes'!A:B,2,FALSE)))+1)/VLOOKUP(B4891,'Poids des runes'!A:B,2,FALSE))</f>
        <v>1.48</v>
      </c>
      <c r="F4891">
        <f t="shared" si="76"/>
        <v>1.48</v>
      </c>
    </row>
    <row r="4892" spans="1:6" x14ac:dyDescent="0.3">
      <c r="A4892" t="s">
        <v>1038</v>
      </c>
      <c r="B4892" t="s">
        <v>2143</v>
      </c>
      <c r="C4892">
        <v>6</v>
      </c>
      <c r="D4892">
        <v>147</v>
      </c>
      <c r="E4892">
        <f>IF(OR(B4892="vi",B4892="ii",B4892="pod"),(((D4892/100)*(C4892*VLOOKUP(B4892,'Poids des runes'!A:B,2,FALSE)))+1),(((D4892/100)*(C4892*VLOOKUP(B4892,'Poids des runes'!A:B,2,FALSE)))+1)/VLOOKUP(B4892,'Poids des runes'!A:B,2,FALSE))</f>
        <v>9.02</v>
      </c>
      <c r="F4892">
        <f t="shared" si="76"/>
        <v>9.02</v>
      </c>
    </row>
    <row r="4893" spans="1:6" x14ac:dyDescent="0.3">
      <c r="A4893" t="s">
        <v>1038</v>
      </c>
      <c r="B4893" t="s">
        <v>2161</v>
      </c>
      <c r="C4893">
        <v>15.5</v>
      </c>
      <c r="D4893">
        <v>147</v>
      </c>
      <c r="E4893">
        <f>IF(OR(B4893="vi",B4893="ii",B4893="pod"),(((D4893/100)*(C4893*VLOOKUP(B4893,'Poids des runes'!A:B,2,FALSE)))+1),(((D4893/100)*(C4893*VLOOKUP(B4893,'Poids des runes'!A:B,2,FALSE)))+1)/VLOOKUP(B4893,'Poids des runes'!A:B,2,FALSE))</f>
        <v>23.118333333333336</v>
      </c>
      <c r="F4893">
        <f t="shared" si="76"/>
        <v>23.118333333333336</v>
      </c>
    </row>
    <row r="4894" spans="1:6" x14ac:dyDescent="0.3">
      <c r="A4894" t="s">
        <v>1038</v>
      </c>
      <c r="B4894" t="s">
        <v>2138</v>
      </c>
      <c r="C4894">
        <v>4</v>
      </c>
      <c r="D4894">
        <v>147</v>
      </c>
      <c r="E4894">
        <f>IF(OR(B4894="vi",B4894="ii",B4894="pod"),(((D4894/100)*(C4894*VLOOKUP(B4894,'Poids des runes'!A:B,2,FALSE)))+1),(((D4894/100)*(C4894*VLOOKUP(B4894,'Poids des runes'!A:B,2,FALSE)))+1)/VLOOKUP(B4894,'Poids des runes'!A:B,2,FALSE))</f>
        <v>6.13</v>
      </c>
      <c r="F4894">
        <f t="shared" si="76"/>
        <v>6.13</v>
      </c>
    </row>
    <row r="4895" spans="1:6" x14ac:dyDescent="0.3">
      <c r="A4895" t="s">
        <v>1038</v>
      </c>
      <c r="B4895" t="s">
        <v>2148</v>
      </c>
      <c r="C4895">
        <v>4</v>
      </c>
      <c r="D4895">
        <v>147</v>
      </c>
      <c r="E4895">
        <f>IF(OR(B4895="vi",B4895="ii",B4895="pod"),(((D4895/100)*(C4895*VLOOKUP(B4895,'Poids des runes'!A:B,2,FALSE)))+1),(((D4895/100)*(C4895*VLOOKUP(B4895,'Poids des runes'!A:B,2,FALSE)))+1)/VLOOKUP(B4895,'Poids des runes'!A:B,2,FALSE))</f>
        <v>6.0466666666666669</v>
      </c>
      <c r="F4895">
        <f t="shared" si="76"/>
        <v>6.0466666666666669</v>
      </c>
    </row>
    <row r="4896" spans="1:6" x14ac:dyDescent="0.3">
      <c r="A4896" t="s">
        <v>1038</v>
      </c>
      <c r="B4896" t="s">
        <v>2157</v>
      </c>
      <c r="C4896">
        <v>3</v>
      </c>
      <c r="D4896">
        <v>147</v>
      </c>
      <c r="E4896">
        <f>IF(OR(B4896="vi",B4896="ii",B4896="pod"),(((D4896/100)*(C4896*VLOOKUP(B4896,'Poids des runes'!A:B,2,FALSE)))+1),(((D4896/100)*(C4896*VLOOKUP(B4896,'Poids des runes'!A:B,2,FALSE)))+1)/VLOOKUP(B4896,'Poids des runes'!A:B,2,FALSE))</f>
        <v>4.5766666666666671</v>
      </c>
      <c r="F4896">
        <f t="shared" si="76"/>
        <v>4.5766666666666671</v>
      </c>
    </row>
    <row r="4897" spans="1:6" x14ac:dyDescent="0.3">
      <c r="A4897" t="s">
        <v>1039</v>
      </c>
      <c r="B4897" t="s">
        <v>2128</v>
      </c>
      <c r="C4897">
        <v>175.5</v>
      </c>
      <c r="D4897">
        <v>148</v>
      </c>
      <c r="E4897">
        <f>IF(OR(B4897="vi",B4897="ii",B4897="pod"),(((D4897/100)*(C4897*VLOOKUP(B4897,'Poids des runes'!A:B,2,FALSE)))+1),(((D4897/100)*(C4897*VLOOKUP(B4897,'Poids des runes'!A:B,2,FALSE)))+1)/VLOOKUP(B4897,'Poids des runes'!A:B,2,FALSE))</f>
        <v>52.948</v>
      </c>
      <c r="F4897">
        <f t="shared" si="76"/>
        <v>52.948</v>
      </c>
    </row>
    <row r="4898" spans="1:6" x14ac:dyDescent="0.3">
      <c r="A4898" t="s">
        <v>1039</v>
      </c>
      <c r="B4898" t="s">
        <v>2127</v>
      </c>
      <c r="C4898">
        <v>40.5</v>
      </c>
      <c r="D4898">
        <v>148</v>
      </c>
      <c r="E4898">
        <f>IF(OR(B4898="vi",B4898="ii",B4898="pod"),(((D4898/100)*(C4898*VLOOKUP(B4898,'Poids des runes'!A:B,2,FALSE)))+1),(((D4898/100)*(C4898*VLOOKUP(B4898,'Poids des runes'!A:B,2,FALSE)))+1)/VLOOKUP(B4898,'Poids des runes'!A:B,2,FALSE))</f>
        <v>60.94</v>
      </c>
      <c r="F4898">
        <f t="shared" si="76"/>
        <v>60.94</v>
      </c>
    </row>
    <row r="4899" spans="1:6" x14ac:dyDescent="0.3">
      <c r="A4899" t="s">
        <v>1039</v>
      </c>
      <c r="B4899" t="s">
        <v>2129</v>
      </c>
      <c r="C4899">
        <v>23</v>
      </c>
      <c r="D4899">
        <v>148</v>
      </c>
      <c r="E4899">
        <f>IF(OR(B4899="vi",B4899="ii",B4899="pod"),(((D4899/100)*(C4899*VLOOKUP(B4899,'Poids des runes'!A:B,2,FALSE)))+1),(((D4899/100)*(C4899*VLOOKUP(B4899,'Poids des runes'!A:B,2,FALSE)))+1)/VLOOKUP(B4899,'Poids des runes'!A:B,2,FALSE))</f>
        <v>35.04</v>
      </c>
      <c r="F4899">
        <f t="shared" si="76"/>
        <v>35.04</v>
      </c>
    </row>
    <row r="4900" spans="1:6" x14ac:dyDescent="0.3">
      <c r="A4900" t="s">
        <v>1039</v>
      </c>
      <c r="B4900" t="s">
        <v>2139</v>
      </c>
      <c r="C4900">
        <v>13</v>
      </c>
      <c r="D4900">
        <v>148</v>
      </c>
      <c r="E4900">
        <f>IF(OR(B4900="vi",B4900="ii",B4900="pod"),(((D4900/100)*(C4900*VLOOKUP(B4900,'Poids des runes'!A:B,2,FALSE)))+1),(((D4900/100)*(C4900*VLOOKUP(B4900,'Poids des runes'!A:B,2,FALSE)))+1)/VLOOKUP(B4900,'Poids des runes'!A:B,2,FALSE))</f>
        <v>19.739999999999998</v>
      </c>
      <c r="F4900">
        <f t="shared" si="76"/>
        <v>19.739999999999998</v>
      </c>
    </row>
    <row r="4901" spans="1:6" x14ac:dyDescent="0.3">
      <c r="A4901" t="s">
        <v>1039</v>
      </c>
      <c r="B4901" t="s">
        <v>2151</v>
      </c>
      <c r="C4901">
        <v>2.5</v>
      </c>
      <c r="D4901">
        <v>148</v>
      </c>
      <c r="E4901">
        <f>IF(OR(B4901="vi",B4901="ii",B4901="pod"),(((D4901/100)*(C4901*VLOOKUP(B4901,'Poids des runes'!A:B,2,FALSE)))+1),(((D4901/100)*(C4901*VLOOKUP(B4901,'Poids des runes'!A:B,2,FALSE)))+1)/VLOOKUP(B4901,'Poids des runes'!A:B,2,FALSE))</f>
        <v>3.8</v>
      </c>
      <c r="F4901">
        <f t="shared" si="76"/>
        <v>3.8</v>
      </c>
    </row>
    <row r="4902" spans="1:6" x14ac:dyDescent="0.3">
      <c r="A4902" t="s">
        <v>1039</v>
      </c>
      <c r="B4902" t="s">
        <v>2161</v>
      </c>
      <c r="C4902">
        <v>18</v>
      </c>
      <c r="D4902">
        <v>148</v>
      </c>
      <c r="E4902">
        <f>IF(OR(B4902="vi",B4902="ii",B4902="pod"),(((D4902/100)*(C4902*VLOOKUP(B4902,'Poids des runes'!A:B,2,FALSE)))+1),(((D4902/100)*(C4902*VLOOKUP(B4902,'Poids des runes'!A:B,2,FALSE)))+1)/VLOOKUP(B4902,'Poids des runes'!A:B,2,FALSE))</f>
        <v>26.973333333333333</v>
      </c>
      <c r="F4902">
        <f t="shared" si="76"/>
        <v>26.973333333333333</v>
      </c>
    </row>
    <row r="4903" spans="1:6" x14ac:dyDescent="0.3">
      <c r="A4903" t="s">
        <v>1039</v>
      </c>
      <c r="B4903" t="s">
        <v>2132</v>
      </c>
      <c r="C4903">
        <v>225.5</v>
      </c>
      <c r="D4903">
        <v>148</v>
      </c>
      <c r="E4903">
        <f>IF(OR(B4903="vi",B4903="ii",B4903="pod"),(((D4903/100)*(C4903*VLOOKUP(B4903,'Poids des runes'!A:B,2,FALSE)))+1),(((D4903/100)*(C4903*VLOOKUP(B4903,'Poids des runes'!A:B,2,FALSE)))+1)/VLOOKUP(B4903,'Poids des runes'!A:B,2,FALSE))</f>
        <v>34.374000000000002</v>
      </c>
      <c r="F4903">
        <f t="shared" si="76"/>
        <v>34.374000000000002</v>
      </c>
    </row>
    <row r="4904" spans="1:6" x14ac:dyDescent="0.3">
      <c r="A4904" t="s">
        <v>1039</v>
      </c>
      <c r="B4904" t="s">
        <v>2158</v>
      </c>
      <c r="C4904">
        <v>10</v>
      </c>
      <c r="D4904">
        <v>148</v>
      </c>
      <c r="E4904">
        <f>IF(OR(B4904="vi",B4904="ii",B4904="pod"),(((D4904/100)*(C4904*VLOOKUP(B4904,'Poids des runes'!A:B,2,FALSE)))+1),(((D4904/100)*(C4904*VLOOKUP(B4904,'Poids des runes'!A:B,2,FALSE)))+1)/VLOOKUP(B4904,'Poids des runes'!A:B,2,FALSE))</f>
        <v>15</v>
      </c>
      <c r="F4904">
        <f t="shared" si="76"/>
        <v>15</v>
      </c>
    </row>
    <row r="4905" spans="1:6" x14ac:dyDescent="0.3">
      <c r="A4905" t="s">
        <v>1039</v>
      </c>
      <c r="B4905" t="s">
        <v>2147</v>
      </c>
      <c r="C4905">
        <v>8</v>
      </c>
      <c r="D4905">
        <v>148</v>
      </c>
      <c r="E4905">
        <f>IF(OR(B4905="vi",B4905="ii",B4905="pod"),(((D4905/100)*(C4905*VLOOKUP(B4905,'Poids des runes'!A:B,2,FALSE)))+1),(((D4905/100)*(C4905*VLOOKUP(B4905,'Poids des runes'!A:B,2,FALSE)))+1)/VLOOKUP(B4905,'Poids des runes'!A:B,2,FALSE))</f>
        <v>12.006666666666666</v>
      </c>
      <c r="F4905">
        <f t="shared" si="76"/>
        <v>12.006666666666666</v>
      </c>
    </row>
    <row r="4906" spans="1:6" x14ac:dyDescent="0.3">
      <c r="A4906" t="s">
        <v>1039</v>
      </c>
      <c r="B4906" t="s">
        <v>2157</v>
      </c>
      <c r="C4906">
        <v>8</v>
      </c>
      <c r="D4906">
        <v>148</v>
      </c>
      <c r="E4906">
        <f>IF(OR(B4906="vi",B4906="ii",B4906="pod"),(((D4906/100)*(C4906*VLOOKUP(B4906,'Poids des runes'!A:B,2,FALSE)))+1),(((D4906/100)*(C4906*VLOOKUP(B4906,'Poids des runes'!A:B,2,FALSE)))+1)/VLOOKUP(B4906,'Poids des runes'!A:B,2,FALSE))</f>
        <v>12.006666666666666</v>
      </c>
      <c r="F4906">
        <f t="shared" si="76"/>
        <v>12.006666666666666</v>
      </c>
    </row>
    <row r="4907" spans="1:6" x14ac:dyDescent="0.3">
      <c r="A4907" t="s">
        <v>1039</v>
      </c>
      <c r="B4907" t="s">
        <v>2136</v>
      </c>
      <c r="C4907">
        <v>8</v>
      </c>
      <c r="D4907">
        <v>148</v>
      </c>
      <c r="E4907">
        <f>IF(OR(B4907="vi",B4907="ii",B4907="pod"),(((D4907/100)*(C4907*VLOOKUP(B4907,'Poids des runes'!A:B,2,FALSE)))+1),(((D4907/100)*(C4907*VLOOKUP(B4907,'Poids des runes'!A:B,2,FALSE)))+1)/VLOOKUP(B4907,'Poids des runes'!A:B,2,FALSE))</f>
        <v>12.34</v>
      </c>
      <c r="F4907">
        <f t="shared" si="76"/>
        <v>12.34</v>
      </c>
    </row>
    <row r="4908" spans="1:6" x14ac:dyDescent="0.3">
      <c r="A4908" t="s">
        <v>1039</v>
      </c>
      <c r="B4908" t="s">
        <v>2144</v>
      </c>
      <c r="C4908">
        <v>8</v>
      </c>
      <c r="D4908">
        <v>148</v>
      </c>
      <c r="E4908">
        <f>IF(OR(B4908="vi",B4908="ii",B4908="pod"),(((D4908/100)*(C4908*VLOOKUP(B4908,'Poids des runes'!A:B,2,FALSE)))+1),(((D4908/100)*(C4908*VLOOKUP(B4908,'Poids des runes'!A:B,2,FALSE)))+1)/VLOOKUP(B4908,'Poids des runes'!A:B,2,FALSE))</f>
        <v>12.34</v>
      </c>
      <c r="F4908">
        <f t="shared" si="76"/>
        <v>12.34</v>
      </c>
    </row>
    <row r="4909" spans="1:6" x14ac:dyDescent="0.3">
      <c r="A4909" t="s">
        <v>1040</v>
      </c>
      <c r="B4909" t="s">
        <v>2130</v>
      </c>
      <c r="C4909">
        <v>40.5</v>
      </c>
      <c r="D4909">
        <v>148</v>
      </c>
      <c r="E4909">
        <f>IF(OR(B4909="vi",B4909="ii",B4909="pod"),(((D4909/100)*(C4909*VLOOKUP(B4909,'Poids des runes'!A:B,2,FALSE)))+1),(((D4909/100)*(C4909*VLOOKUP(B4909,'Poids des runes'!A:B,2,FALSE)))+1)/VLOOKUP(B4909,'Poids des runes'!A:B,2,FALSE))</f>
        <v>60.94</v>
      </c>
      <c r="F4909">
        <f t="shared" si="76"/>
        <v>60.94</v>
      </c>
    </row>
    <row r="4910" spans="1:6" x14ac:dyDescent="0.3">
      <c r="A4910" t="s">
        <v>1040</v>
      </c>
      <c r="B4910" t="s">
        <v>2127</v>
      </c>
      <c r="C4910">
        <v>40.5</v>
      </c>
      <c r="D4910">
        <v>148</v>
      </c>
      <c r="E4910">
        <f>IF(OR(B4910="vi",B4910="ii",B4910="pod"),(((D4910/100)*(C4910*VLOOKUP(B4910,'Poids des runes'!A:B,2,FALSE)))+1),(((D4910/100)*(C4910*VLOOKUP(B4910,'Poids des runes'!A:B,2,FALSE)))+1)/VLOOKUP(B4910,'Poids des runes'!A:B,2,FALSE))</f>
        <v>60.94</v>
      </c>
      <c r="F4910">
        <f t="shared" si="76"/>
        <v>60.94</v>
      </c>
    </row>
    <row r="4911" spans="1:6" x14ac:dyDescent="0.3">
      <c r="A4911" t="s">
        <v>1040</v>
      </c>
      <c r="B4911" t="s">
        <v>2129</v>
      </c>
      <c r="C4911">
        <v>40.5</v>
      </c>
      <c r="D4911">
        <v>148</v>
      </c>
      <c r="E4911">
        <f>IF(OR(B4911="vi",B4911="ii",B4911="pod"),(((D4911/100)*(C4911*VLOOKUP(B4911,'Poids des runes'!A:B,2,FALSE)))+1),(((D4911/100)*(C4911*VLOOKUP(B4911,'Poids des runes'!A:B,2,FALSE)))+1)/VLOOKUP(B4911,'Poids des runes'!A:B,2,FALSE))</f>
        <v>60.94</v>
      </c>
      <c r="F4911">
        <f t="shared" si="76"/>
        <v>60.94</v>
      </c>
    </row>
    <row r="4912" spans="1:6" x14ac:dyDescent="0.3">
      <c r="A4912" t="s">
        <v>1040</v>
      </c>
      <c r="B4912" t="s">
        <v>2151</v>
      </c>
      <c r="C4912">
        <v>1.5</v>
      </c>
      <c r="D4912">
        <v>148</v>
      </c>
      <c r="E4912">
        <f>IF(OR(B4912="vi",B4912="ii",B4912="pod"),(((D4912/100)*(C4912*VLOOKUP(B4912,'Poids des runes'!A:B,2,FALSE)))+1),(((D4912/100)*(C4912*VLOOKUP(B4912,'Poids des runes'!A:B,2,FALSE)))+1)/VLOOKUP(B4912,'Poids des runes'!A:B,2,FALSE))</f>
        <v>2.3199999999999998</v>
      </c>
      <c r="F4912">
        <f t="shared" si="76"/>
        <v>2.3199999999999998</v>
      </c>
    </row>
    <row r="4913" spans="1:6" x14ac:dyDescent="0.3">
      <c r="A4913" t="s">
        <v>1040</v>
      </c>
      <c r="B4913" t="s">
        <v>2134</v>
      </c>
      <c r="C4913">
        <v>4.5</v>
      </c>
      <c r="D4913">
        <v>148</v>
      </c>
      <c r="E4913">
        <f>IF(OR(B4913="vi",B4913="ii",B4913="pod"),(((D4913/100)*(C4913*VLOOKUP(B4913,'Poids des runes'!A:B,2,FALSE)))+1),(((D4913/100)*(C4913*VLOOKUP(B4913,'Poids des runes'!A:B,2,FALSE)))+1)/VLOOKUP(B4913,'Poids des runes'!A:B,2,FALSE))</f>
        <v>6.7099999999999991</v>
      </c>
      <c r="F4913">
        <f t="shared" si="76"/>
        <v>6.7099999999999991</v>
      </c>
    </row>
    <row r="4914" spans="1:6" x14ac:dyDescent="0.3">
      <c r="A4914" t="s">
        <v>1040</v>
      </c>
      <c r="B4914" t="s">
        <v>2149</v>
      </c>
      <c r="C4914">
        <v>4.5</v>
      </c>
      <c r="D4914">
        <v>148</v>
      </c>
      <c r="E4914">
        <f>IF(OR(B4914="vi",B4914="ii",B4914="pod"),(((D4914/100)*(C4914*VLOOKUP(B4914,'Poids des runes'!A:B,2,FALSE)))+1),(((D4914/100)*(C4914*VLOOKUP(B4914,'Poids des runes'!A:B,2,FALSE)))+1)/VLOOKUP(B4914,'Poids des runes'!A:B,2,FALSE))</f>
        <v>6.76</v>
      </c>
      <c r="F4914">
        <f t="shared" si="76"/>
        <v>6.76</v>
      </c>
    </row>
    <row r="4915" spans="1:6" x14ac:dyDescent="0.3">
      <c r="A4915" t="s">
        <v>1040</v>
      </c>
      <c r="B4915" t="s">
        <v>2161</v>
      </c>
      <c r="C4915">
        <v>15.5</v>
      </c>
      <c r="D4915">
        <v>148</v>
      </c>
      <c r="E4915">
        <f>IF(OR(B4915="vi",B4915="ii",B4915="pod"),(((D4915/100)*(C4915*VLOOKUP(B4915,'Poids des runes'!A:B,2,FALSE)))+1),(((D4915/100)*(C4915*VLOOKUP(B4915,'Poids des runes'!A:B,2,FALSE)))+1)/VLOOKUP(B4915,'Poids des runes'!A:B,2,FALSE))</f>
        <v>23.27333333333333</v>
      </c>
      <c r="F4915">
        <f t="shared" si="76"/>
        <v>23.27333333333333</v>
      </c>
    </row>
    <row r="4916" spans="1:6" x14ac:dyDescent="0.3">
      <c r="A4916" t="s">
        <v>1040</v>
      </c>
      <c r="B4916" t="s">
        <v>2132</v>
      </c>
      <c r="C4916">
        <v>250.5</v>
      </c>
      <c r="D4916">
        <v>148</v>
      </c>
      <c r="E4916">
        <f>IF(OR(B4916="vi",B4916="ii",B4916="pod"),(((D4916/100)*(C4916*VLOOKUP(B4916,'Poids des runes'!A:B,2,FALSE)))+1),(((D4916/100)*(C4916*VLOOKUP(B4916,'Poids des runes'!A:B,2,FALSE)))+1)/VLOOKUP(B4916,'Poids des runes'!A:B,2,FALSE))</f>
        <v>38.073999999999998</v>
      </c>
      <c r="F4916">
        <f t="shared" si="76"/>
        <v>38.073999999999998</v>
      </c>
    </row>
    <row r="4917" spans="1:6" x14ac:dyDescent="0.3">
      <c r="A4917" t="s">
        <v>1040</v>
      </c>
      <c r="B4917" t="s">
        <v>2156</v>
      </c>
      <c r="C4917">
        <v>8</v>
      </c>
      <c r="D4917">
        <v>148</v>
      </c>
      <c r="E4917">
        <f>IF(OR(B4917="vi",B4917="ii",B4917="pod"),(((D4917/100)*(C4917*VLOOKUP(B4917,'Poids des runes'!A:B,2,FALSE)))+1),(((D4917/100)*(C4917*VLOOKUP(B4917,'Poids des runes'!A:B,2,FALSE)))+1)/VLOOKUP(B4917,'Poids des runes'!A:B,2,FALSE))</f>
        <v>12.006666666666666</v>
      </c>
      <c r="F4917">
        <f t="shared" si="76"/>
        <v>12.006666666666666</v>
      </c>
    </row>
    <row r="4918" spans="1:6" x14ac:dyDescent="0.3">
      <c r="A4918" t="s">
        <v>1040</v>
      </c>
      <c r="B4918" t="s">
        <v>2148</v>
      </c>
      <c r="C4918">
        <v>8</v>
      </c>
      <c r="D4918">
        <v>148</v>
      </c>
      <c r="E4918">
        <f>IF(OR(B4918="vi",B4918="ii",B4918="pod"),(((D4918/100)*(C4918*VLOOKUP(B4918,'Poids des runes'!A:B,2,FALSE)))+1),(((D4918/100)*(C4918*VLOOKUP(B4918,'Poids des runes'!A:B,2,FALSE)))+1)/VLOOKUP(B4918,'Poids des runes'!A:B,2,FALSE))</f>
        <v>12.006666666666666</v>
      </c>
      <c r="F4918">
        <f t="shared" si="76"/>
        <v>12.006666666666666</v>
      </c>
    </row>
    <row r="4919" spans="1:6" x14ac:dyDescent="0.3">
      <c r="A4919" t="s">
        <v>1040</v>
      </c>
      <c r="B4919" t="s">
        <v>2157</v>
      </c>
      <c r="C4919">
        <v>8</v>
      </c>
      <c r="D4919">
        <v>148</v>
      </c>
      <c r="E4919">
        <f>IF(OR(B4919="vi",B4919="ii",B4919="pod"),(((D4919/100)*(C4919*VLOOKUP(B4919,'Poids des runes'!A:B,2,FALSE)))+1),(((D4919/100)*(C4919*VLOOKUP(B4919,'Poids des runes'!A:B,2,FALSE)))+1)/VLOOKUP(B4919,'Poids des runes'!A:B,2,FALSE))</f>
        <v>12.006666666666666</v>
      </c>
      <c r="F4919">
        <f t="shared" si="76"/>
        <v>12.006666666666666</v>
      </c>
    </row>
    <row r="4920" spans="1:6" x14ac:dyDescent="0.3">
      <c r="A4920" t="s">
        <v>1041</v>
      </c>
      <c r="B4920" t="s">
        <v>2128</v>
      </c>
      <c r="C4920">
        <v>125.5</v>
      </c>
      <c r="D4920">
        <v>148</v>
      </c>
      <c r="E4920">
        <f>IF(OR(B4920="vi",B4920="ii",B4920="pod"),(((D4920/100)*(C4920*VLOOKUP(B4920,'Poids des runes'!A:B,2,FALSE)))+1),(((D4920/100)*(C4920*VLOOKUP(B4920,'Poids des runes'!A:B,2,FALSE)))+1)/VLOOKUP(B4920,'Poids des runes'!A:B,2,FALSE))</f>
        <v>38.148000000000003</v>
      </c>
      <c r="F4920">
        <f t="shared" si="76"/>
        <v>38.148000000000003</v>
      </c>
    </row>
    <row r="4921" spans="1:6" x14ac:dyDescent="0.3">
      <c r="A4921" t="s">
        <v>1041</v>
      </c>
      <c r="B4921" t="s">
        <v>2126</v>
      </c>
      <c r="C4921">
        <v>35.5</v>
      </c>
      <c r="D4921">
        <v>148</v>
      </c>
      <c r="E4921">
        <f>IF(OR(B4921="vi",B4921="ii",B4921="pod"),(((D4921/100)*(C4921*VLOOKUP(B4921,'Poids des runes'!A:B,2,FALSE)))+1),(((D4921/100)*(C4921*VLOOKUP(B4921,'Poids des runes'!A:B,2,FALSE)))+1)/VLOOKUP(B4921,'Poids des runes'!A:B,2,FALSE))</f>
        <v>53.54</v>
      </c>
      <c r="F4921">
        <f t="shared" si="76"/>
        <v>53.54</v>
      </c>
    </row>
    <row r="4922" spans="1:6" x14ac:dyDescent="0.3">
      <c r="A4922" t="s">
        <v>1041</v>
      </c>
      <c r="B4922" t="s">
        <v>2131</v>
      </c>
      <c r="C4922">
        <v>35.5</v>
      </c>
      <c r="D4922">
        <v>148</v>
      </c>
      <c r="E4922">
        <f>IF(OR(B4922="vi",B4922="ii",B4922="pod"),(((D4922/100)*(C4922*VLOOKUP(B4922,'Poids des runes'!A:B,2,FALSE)))+1),(((D4922/100)*(C4922*VLOOKUP(B4922,'Poids des runes'!A:B,2,FALSE)))+1)/VLOOKUP(B4922,'Poids des runes'!A:B,2,FALSE))</f>
        <v>53.54</v>
      </c>
      <c r="F4922">
        <f t="shared" si="76"/>
        <v>53.54</v>
      </c>
    </row>
    <row r="4923" spans="1:6" x14ac:dyDescent="0.3">
      <c r="A4923" t="s">
        <v>1041</v>
      </c>
      <c r="B4923" t="s">
        <v>2127</v>
      </c>
      <c r="C4923">
        <v>35.5</v>
      </c>
      <c r="D4923">
        <v>148</v>
      </c>
      <c r="E4923">
        <f>IF(OR(B4923="vi",B4923="ii",B4923="pod"),(((D4923/100)*(C4923*VLOOKUP(B4923,'Poids des runes'!A:B,2,FALSE)))+1),(((D4923/100)*(C4923*VLOOKUP(B4923,'Poids des runes'!A:B,2,FALSE)))+1)/VLOOKUP(B4923,'Poids des runes'!A:B,2,FALSE))</f>
        <v>53.54</v>
      </c>
      <c r="F4923">
        <f t="shared" si="76"/>
        <v>53.54</v>
      </c>
    </row>
    <row r="4924" spans="1:6" x14ac:dyDescent="0.3">
      <c r="A4924" t="s">
        <v>1041</v>
      </c>
      <c r="B4924" t="s">
        <v>2129</v>
      </c>
      <c r="C4924">
        <v>25.5</v>
      </c>
      <c r="D4924">
        <v>148</v>
      </c>
      <c r="E4924">
        <f>IF(OR(B4924="vi",B4924="ii",B4924="pod"),(((D4924/100)*(C4924*VLOOKUP(B4924,'Poids des runes'!A:B,2,FALSE)))+1),(((D4924/100)*(C4924*VLOOKUP(B4924,'Poids des runes'!A:B,2,FALSE)))+1)/VLOOKUP(B4924,'Poids des runes'!A:B,2,FALSE))</f>
        <v>38.74</v>
      </c>
      <c r="F4924">
        <f t="shared" si="76"/>
        <v>38.74</v>
      </c>
    </row>
    <row r="4925" spans="1:6" x14ac:dyDescent="0.3">
      <c r="A4925" t="s">
        <v>1041</v>
      </c>
      <c r="B4925" t="s">
        <v>2150</v>
      </c>
      <c r="C4925">
        <v>1</v>
      </c>
      <c r="D4925">
        <v>148</v>
      </c>
      <c r="E4925">
        <f>IF(OR(B4925="vi",B4925="ii",B4925="pod"),(((D4925/100)*(C4925*VLOOKUP(B4925,'Poids des runes'!A:B,2,FALSE)))+1),(((D4925/100)*(C4925*VLOOKUP(B4925,'Poids des runes'!A:B,2,FALSE)))+1)/VLOOKUP(B4925,'Poids des runes'!A:B,2,FALSE))</f>
        <v>1.5133333333333332</v>
      </c>
      <c r="F4925">
        <f t="shared" si="76"/>
        <v>1.5133333333333332</v>
      </c>
    </row>
    <row r="4926" spans="1:6" x14ac:dyDescent="0.3">
      <c r="A4926" t="s">
        <v>1041</v>
      </c>
      <c r="B4926" t="s">
        <v>2149</v>
      </c>
      <c r="C4926">
        <v>8.5</v>
      </c>
      <c r="D4926">
        <v>148</v>
      </c>
      <c r="E4926">
        <f>IF(OR(B4926="vi",B4926="ii",B4926="pod"),(((D4926/100)*(C4926*VLOOKUP(B4926,'Poids des runes'!A:B,2,FALSE)))+1),(((D4926/100)*(C4926*VLOOKUP(B4926,'Poids des runes'!A:B,2,FALSE)))+1)/VLOOKUP(B4926,'Poids des runes'!A:B,2,FALSE))</f>
        <v>12.68</v>
      </c>
      <c r="F4926">
        <f t="shared" si="76"/>
        <v>12.68</v>
      </c>
    </row>
    <row r="4927" spans="1:6" x14ac:dyDescent="0.3">
      <c r="A4927" t="s">
        <v>1041</v>
      </c>
      <c r="B4927" t="s">
        <v>2132</v>
      </c>
      <c r="C4927">
        <v>250.5</v>
      </c>
      <c r="D4927">
        <v>148</v>
      </c>
      <c r="E4927">
        <f>IF(OR(B4927="vi",B4927="ii",B4927="pod"),(((D4927/100)*(C4927*VLOOKUP(B4927,'Poids des runes'!A:B,2,FALSE)))+1),(((D4927/100)*(C4927*VLOOKUP(B4927,'Poids des runes'!A:B,2,FALSE)))+1)/VLOOKUP(B4927,'Poids des runes'!A:B,2,FALSE))</f>
        <v>38.073999999999998</v>
      </c>
      <c r="F4927">
        <f t="shared" si="76"/>
        <v>38.073999999999998</v>
      </c>
    </row>
    <row r="4928" spans="1:6" x14ac:dyDescent="0.3">
      <c r="A4928" t="s">
        <v>1041</v>
      </c>
      <c r="B4928" t="s">
        <v>2141</v>
      </c>
      <c r="C4928">
        <v>4.5</v>
      </c>
      <c r="D4928">
        <v>148</v>
      </c>
      <c r="E4928">
        <f>IF(OR(B4928="vi",B4928="ii",B4928="pod"),(((D4928/100)*(C4928*VLOOKUP(B4928,'Poids des runes'!A:B,2,FALSE)))+1),(((D4928/100)*(C4928*VLOOKUP(B4928,'Poids des runes'!A:B,2,FALSE)))+1)/VLOOKUP(B4928,'Poids des runes'!A:B,2,FALSE))</f>
        <v>6.91</v>
      </c>
      <c r="F4928">
        <f t="shared" si="76"/>
        <v>6.91</v>
      </c>
    </row>
    <row r="4929" spans="1:6" x14ac:dyDescent="0.3">
      <c r="A4929" t="s">
        <v>1041</v>
      </c>
      <c r="B4929" t="s">
        <v>2136</v>
      </c>
      <c r="C4929">
        <v>6</v>
      </c>
      <c r="D4929">
        <v>148</v>
      </c>
      <c r="E4929">
        <f>IF(OR(B4929="vi",B4929="ii",B4929="pod"),(((D4929/100)*(C4929*VLOOKUP(B4929,'Poids des runes'!A:B,2,FALSE)))+1),(((D4929/100)*(C4929*VLOOKUP(B4929,'Poids des runes'!A:B,2,FALSE)))+1)/VLOOKUP(B4929,'Poids des runes'!A:B,2,FALSE))</f>
        <v>9.379999999999999</v>
      </c>
      <c r="F4929">
        <f t="shared" si="76"/>
        <v>9.379999999999999</v>
      </c>
    </row>
    <row r="4930" spans="1:6" x14ac:dyDescent="0.3">
      <c r="A4930" t="s">
        <v>1041</v>
      </c>
      <c r="B4930" t="s">
        <v>2137</v>
      </c>
      <c r="C4930">
        <v>6</v>
      </c>
      <c r="D4930">
        <v>148</v>
      </c>
      <c r="E4930">
        <f>IF(OR(B4930="vi",B4930="ii",B4930="pod"),(((D4930/100)*(C4930*VLOOKUP(B4930,'Poids des runes'!A:B,2,FALSE)))+1),(((D4930/100)*(C4930*VLOOKUP(B4930,'Poids des runes'!A:B,2,FALSE)))+1)/VLOOKUP(B4930,'Poids des runes'!A:B,2,FALSE))</f>
        <v>9.379999999999999</v>
      </c>
      <c r="F4930">
        <f t="shared" si="76"/>
        <v>9.379999999999999</v>
      </c>
    </row>
    <row r="4931" spans="1:6" x14ac:dyDescent="0.3">
      <c r="A4931" t="s">
        <v>1042</v>
      </c>
      <c r="B4931" t="s">
        <v>2128</v>
      </c>
      <c r="C4931">
        <v>175.5</v>
      </c>
      <c r="D4931">
        <v>148</v>
      </c>
      <c r="E4931">
        <f>IF(OR(B4931="vi",B4931="ii",B4931="pod"),(((D4931/100)*(C4931*VLOOKUP(B4931,'Poids des runes'!A:B,2,FALSE)))+1),(((D4931/100)*(C4931*VLOOKUP(B4931,'Poids des runes'!A:B,2,FALSE)))+1)/VLOOKUP(B4931,'Poids des runes'!A:B,2,FALSE))</f>
        <v>52.948</v>
      </c>
      <c r="F4931">
        <f t="shared" ref="F4931:F4994" si="77">E4931</f>
        <v>52.948</v>
      </c>
    </row>
    <row r="4932" spans="1:6" x14ac:dyDescent="0.3">
      <c r="A4932" t="s">
        <v>1042</v>
      </c>
      <c r="B4932" t="s">
        <v>2126</v>
      </c>
      <c r="C4932">
        <v>50.5</v>
      </c>
      <c r="D4932">
        <v>148</v>
      </c>
      <c r="E4932">
        <f>IF(OR(B4932="vi",B4932="ii",B4932="pod"),(((D4932/100)*(C4932*VLOOKUP(B4932,'Poids des runes'!A:B,2,FALSE)))+1),(((D4932/100)*(C4932*VLOOKUP(B4932,'Poids des runes'!A:B,2,FALSE)))+1)/VLOOKUP(B4932,'Poids des runes'!A:B,2,FALSE))</f>
        <v>75.739999999999995</v>
      </c>
      <c r="F4932">
        <f t="shared" si="77"/>
        <v>75.739999999999995</v>
      </c>
    </row>
    <row r="4933" spans="1:6" x14ac:dyDescent="0.3">
      <c r="A4933" t="s">
        <v>1042</v>
      </c>
      <c r="B4933" t="s">
        <v>2129</v>
      </c>
      <c r="C4933">
        <v>35.5</v>
      </c>
      <c r="D4933">
        <v>148</v>
      </c>
      <c r="E4933">
        <f>IF(OR(B4933="vi",B4933="ii",B4933="pod"),(((D4933/100)*(C4933*VLOOKUP(B4933,'Poids des runes'!A:B,2,FALSE)))+1),(((D4933/100)*(C4933*VLOOKUP(B4933,'Poids des runes'!A:B,2,FALSE)))+1)/VLOOKUP(B4933,'Poids des runes'!A:B,2,FALSE))</f>
        <v>53.54</v>
      </c>
      <c r="F4933">
        <f t="shared" si="77"/>
        <v>53.54</v>
      </c>
    </row>
    <row r="4934" spans="1:6" x14ac:dyDescent="0.3">
      <c r="A4934" t="s">
        <v>1042</v>
      </c>
      <c r="B4934" t="s">
        <v>2151</v>
      </c>
      <c r="C4934">
        <v>2.5</v>
      </c>
      <c r="D4934">
        <v>148</v>
      </c>
      <c r="E4934">
        <f>IF(OR(B4934="vi",B4934="ii",B4934="pod"),(((D4934/100)*(C4934*VLOOKUP(B4934,'Poids des runes'!A:B,2,FALSE)))+1),(((D4934/100)*(C4934*VLOOKUP(B4934,'Poids des runes'!A:B,2,FALSE)))+1)/VLOOKUP(B4934,'Poids des runes'!A:B,2,FALSE))</f>
        <v>3.8</v>
      </c>
      <c r="F4934">
        <f t="shared" si="77"/>
        <v>3.8</v>
      </c>
    </row>
    <row r="4935" spans="1:6" x14ac:dyDescent="0.3">
      <c r="A4935" t="s">
        <v>1042</v>
      </c>
      <c r="B4935" t="s">
        <v>2140</v>
      </c>
      <c r="C4935">
        <v>8.5</v>
      </c>
      <c r="D4935">
        <v>148</v>
      </c>
      <c r="E4935">
        <f>IF(OR(B4935="vi",B4935="ii",B4935="pod"),(((D4935/100)*(C4935*VLOOKUP(B4935,'Poids des runes'!A:B,2,FALSE)))+1),(((D4935/100)*(C4935*VLOOKUP(B4935,'Poids des runes'!A:B,2,FALSE)))+1)/VLOOKUP(B4935,'Poids des runes'!A:B,2,FALSE))</f>
        <v>12.78</v>
      </c>
      <c r="F4935">
        <f t="shared" si="77"/>
        <v>12.78</v>
      </c>
    </row>
    <row r="4936" spans="1:6" x14ac:dyDescent="0.3">
      <c r="A4936" t="s">
        <v>1042</v>
      </c>
      <c r="B4936" t="s">
        <v>2161</v>
      </c>
      <c r="C4936">
        <v>8</v>
      </c>
      <c r="D4936">
        <v>148</v>
      </c>
      <c r="E4936">
        <f>IF(OR(B4936="vi",B4936="ii",B4936="pod"),(((D4936/100)*(C4936*VLOOKUP(B4936,'Poids des runes'!A:B,2,FALSE)))+1),(((D4936/100)*(C4936*VLOOKUP(B4936,'Poids des runes'!A:B,2,FALSE)))+1)/VLOOKUP(B4936,'Poids des runes'!A:B,2,FALSE))</f>
        <v>12.173333333333332</v>
      </c>
      <c r="F4936">
        <f t="shared" si="77"/>
        <v>12.173333333333332</v>
      </c>
    </row>
    <row r="4937" spans="1:6" x14ac:dyDescent="0.3">
      <c r="A4937" t="s">
        <v>1042</v>
      </c>
      <c r="B4937" t="s">
        <v>2138</v>
      </c>
      <c r="C4937">
        <v>4</v>
      </c>
      <c r="D4937">
        <v>148</v>
      </c>
      <c r="E4937">
        <f>IF(OR(B4937="vi",B4937="ii",B4937="pod"),(((D4937/100)*(C4937*VLOOKUP(B4937,'Poids des runes'!A:B,2,FALSE)))+1),(((D4937/100)*(C4937*VLOOKUP(B4937,'Poids des runes'!A:B,2,FALSE)))+1)/VLOOKUP(B4937,'Poids des runes'!A:B,2,FALSE))</f>
        <v>6.17</v>
      </c>
      <c r="F4937">
        <f t="shared" si="77"/>
        <v>6.17</v>
      </c>
    </row>
    <row r="4938" spans="1:6" x14ac:dyDescent="0.3">
      <c r="A4938" t="s">
        <v>1042</v>
      </c>
      <c r="B4938" t="s">
        <v>2160</v>
      </c>
      <c r="C4938">
        <v>6.5</v>
      </c>
      <c r="D4938">
        <v>148</v>
      </c>
      <c r="E4938">
        <f>IF(OR(B4938="vi",B4938="ii",B4938="pod"),(((D4938/100)*(C4938*VLOOKUP(B4938,'Poids des runes'!A:B,2,FALSE)))+1),(((D4938/100)*(C4938*VLOOKUP(B4938,'Poids des runes'!A:B,2,FALSE)))+1)/VLOOKUP(B4938,'Poids des runes'!A:B,2,FALSE))</f>
        <v>9.7628571428571433</v>
      </c>
      <c r="F4938">
        <f t="shared" si="77"/>
        <v>9.7628571428571433</v>
      </c>
    </row>
    <row r="4939" spans="1:6" x14ac:dyDescent="0.3">
      <c r="A4939" t="s">
        <v>1042</v>
      </c>
      <c r="B4939" t="s">
        <v>2148</v>
      </c>
      <c r="C4939">
        <v>5</v>
      </c>
      <c r="D4939">
        <v>148</v>
      </c>
      <c r="E4939">
        <f>IF(OR(B4939="vi",B4939="ii",B4939="pod"),(((D4939/100)*(C4939*VLOOKUP(B4939,'Poids des runes'!A:B,2,FALSE)))+1),(((D4939/100)*(C4939*VLOOKUP(B4939,'Poids des runes'!A:B,2,FALSE)))+1)/VLOOKUP(B4939,'Poids des runes'!A:B,2,FALSE))</f>
        <v>7.5666666666666664</v>
      </c>
      <c r="F4939">
        <f t="shared" si="77"/>
        <v>7.5666666666666664</v>
      </c>
    </row>
    <row r="4940" spans="1:6" x14ac:dyDescent="0.3">
      <c r="A4940" t="s">
        <v>1042</v>
      </c>
      <c r="B4940" t="s">
        <v>2157</v>
      </c>
      <c r="C4940">
        <v>5</v>
      </c>
      <c r="D4940">
        <v>148</v>
      </c>
      <c r="E4940">
        <f>IF(OR(B4940="vi",B4940="ii",B4940="pod"),(((D4940/100)*(C4940*VLOOKUP(B4940,'Poids des runes'!A:B,2,FALSE)))+1),(((D4940/100)*(C4940*VLOOKUP(B4940,'Poids des runes'!A:B,2,FALSE)))+1)/VLOOKUP(B4940,'Poids des runes'!A:B,2,FALSE))</f>
        <v>7.5666666666666664</v>
      </c>
      <c r="F4940">
        <f t="shared" si="77"/>
        <v>7.5666666666666664</v>
      </c>
    </row>
    <row r="4941" spans="1:6" x14ac:dyDescent="0.3">
      <c r="A4941" t="s">
        <v>1043</v>
      </c>
      <c r="B4941" t="s">
        <v>2128</v>
      </c>
      <c r="C4941">
        <v>175.5</v>
      </c>
      <c r="D4941">
        <v>148</v>
      </c>
      <c r="E4941">
        <f>IF(OR(B4941="vi",B4941="ii",B4941="pod"),(((D4941/100)*(C4941*VLOOKUP(B4941,'Poids des runes'!A:B,2,FALSE)))+1),(((D4941/100)*(C4941*VLOOKUP(B4941,'Poids des runes'!A:B,2,FALSE)))+1)/VLOOKUP(B4941,'Poids des runes'!A:B,2,FALSE))</f>
        <v>52.948</v>
      </c>
      <c r="F4941">
        <f t="shared" si="77"/>
        <v>52.948</v>
      </c>
    </row>
    <row r="4942" spans="1:6" x14ac:dyDescent="0.3">
      <c r="A4942" t="s">
        <v>1043</v>
      </c>
      <c r="B4942" t="s">
        <v>2126</v>
      </c>
      <c r="C4942">
        <v>40.5</v>
      </c>
      <c r="D4942">
        <v>148</v>
      </c>
      <c r="E4942">
        <f>IF(OR(B4942="vi",B4942="ii",B4942="pod"),(((D4942/100)*(C4942*VLOOKUP(B4942,'Poids des runes'!A:B,2,FALSE)))+1),(((D4942/100)*(C4942*VLOOKUP(B4942,'Poids des runes'!A:B,2,FALSE)))+1)/VLOOKUP(B4942,'Poids des runes'!A:B,2,FALSE))</f>
        <v>60.94</v>
      </c>
      <c r="F4942">
        <f t="shared" si="77"/>
        <v>60.94</v>
      </c>
    </row>
    <row r="4943" spans="1:6" x14ac:dyDescent="0.3">
      <c r="A4943" t="s">
        <v>1043</v>
      </c>
      <c r="B4943" t="s">
        <v>2131</v>
      </c>
      <c r="C4943">
        <v>40.5</v>
      </c>
      <c r="D4943">
        <v>148</v>
      </c>
      <c r="E4943">
        <f>IF(OR(B4943="vi",B4943="ii",B4943="pod"),(((D4943/100)*(C4943*VLOOKUP(B4943,'Poids des runes'!A:B,2,FALSE)))+1),(((D4943/100)*(C4943*VLOOKUP(B4943,'Poids des runes'!A:B,2,FALSE)))+1)/VLOOKUP(B4943,'Poids des runes'!A:B,2,FALSE))</f>
        <v>60.94</v>
      </c>
      <c r="F4943">
        <f t="shared" si="77"/>
        <v>60.94</v>
      </c>
    </row>
    <row r="4944" spans="1:6" x14ac:dyDescent="0.3">
      <c r="A4944" t="s">
        <v>1043</v>
      </c>
      <c r="B4944" t="s">
        <v>2129</v>
      </c>
      <c r="C4944">
        <v>25.5</v>
      </c>
      <c r="D4944">
        <v>148</v>
      </c>
      <c r="E4944">
        <f>IF(OR(B4944="vi",B4944="ii",B4944="pod"),(((D4944/100)*(C4944*VLOOKUP(B4944,'Poids des runes'!A:B,2,FALSE)))+1),(((D4944/100)*(C4944*VLOOKUP(B4944,'Poids des runes'!A:B,2,FALSE)))+1)/VLOOKUP(B4944,'Poids des runes'!A:B,2,FALSE))</f>
        <v>38.74</v>
      </c>
      <c r="F4944">
        <f t="shared" si="77"/>
        <v>38.74</v>
      </c>
    </row>
    <row r="4945" spans="1:6" x14ac:dyDescent="0.3">
      <c r="A4945" t="s">
        <v>1043</v>
      </c>
      <c r="B4945" t="s">
        <v>2151</v>
      </c>
      <c r="C4945">
        <v>2.5</v>
      </c>
      <c r="D4945">
        <v>148</v>
      </c>
      <c r="E4945">
        <f>IF(OR(B4945="vi",B4945="ii",B4945="pod"),(((D4945/100)*(C4945*VLOOKUP(B4945,'Poids des runes'!A:B,2,FALSE)))+1),(((D4945/100)*(C4945*VLOOKUP(B4945,'Poids des runes'!A:B,2,FALSE)))+1)/VLOOKUP(B4945,'Poids des runes'!A:B,2,FALSE))</f>
        <v>3.8</v>
      </c>
      <c r="F4945">
        <f t="shared" si="77"/>
        <v>3.8</v>
      </c>
    </row>
    <row r="4946" spans="1:6" x14ac:dyDescent="0.3">
      <c r="A4946" t="s">
        <v>1043</v>
      </c>
      <c r="B4946" t="s">
        <v>2150</v>
      </c>
      <c r="C4946">
        <v>1</v>
      </c>
      <c r="D4946">
        <v>148</v>
      </c>
      <c r="E4946">
        <f>IF(OR(B4946="vi",B4946="ii",B4946="pod"),(((D4946/100)*(C4946*VLOOKUP(B4946,'Poids des runes'!A:B,2,FALSE)))+1),(((D4946/100)*(C4946*VLOOKUP(B4946,'Poids des runes'!A:B,2,FALSE)))+1)/VLOOKUP(B4946,'Poids des runes'!A:B,2,FALSE))</f>
        <v>1.5133333333333332</v>
      </c>
      <c r="F4946">
        <f t="shared" si="77"/>
        <v>1.5133333333333332</v>
      </c>
    </row>
    <row r="4947" spans="1:6" x14ac:dyDescent="0.3">
      <c r="A4947" t="s">
        <v>1043</v>
      </c>
      <c r="B4947" t="s">
        <v>2140</v>
      </c>
      <c r="C4947">
        <v>6</v>
      </c>
      <c r="D4947">
        <v>148</v>
      </c>
      <c r="E4947">
        <f>IF(OR(B4947="vi",B4947="ii",B4947="pod"),(((D4947/100)*(C4947*VLOOKUP(B4947,'Poids des runes'!A:B,2,FALSE)))+1),(((D4947/100)*(C4947*VLOOKUP(B4947,'Poids des runes'!A:B,2,FALSE)))+1)/VLOOKUP(B4947,'Poids des runes'!A:B,2,FALSE))</f>
        <v>9.08</v>
      </c>
      <c r="F4947">
        <f t="shared" si="77"/>
        <v>9.08</v>
      </c>
    </row>
    <row r="4948" spans="1:6" x14ac:dyDescent="0.3">
      <c r="A4948" t="s">
        <v>1043</v>
      </c>
      <c r="B4948" t="s">
        <v>2133</v>
      </c>
      <c r="C4948">
        <v>6</v>
      </c>
      <c r="D4948">
        <v>148</v>
      </c>
      <c r="E4948">
        <f>IF(OR(B4948="vi",B4948="ii",B4948="pod"),(((D4948/100)*(C4948*VLOOKUP(B4948,'Poids des runes'!A:B,2,FALSE)))+1),(((D4948/100)*(C4948*VLOOKUP(B4948,'Poids des runes'!A:B,2,FALSE)))+1)/VLOOKUP(B4948,'Poids des runes'!A:B,2,FALSE))</f>
        <v>9.08</v>
      </c>
      <c r="F4948">
        <f t="shared" si="77"/>
        <v>9.08</v>
      </c>
    </row>
    <row r="4949" spans="1:6" x14ac:dyDescent="0.3">
      <c r="A4949" t="s">
        <v>1043</v>
      </c>
      <c r="B4949" t="s">
        <v>2161</v>
      </c>
      <c r="C4949">
        <v>13</v>
      </c>
      <c r="D4949">
        <v>148</v>
      </c>
      <c r="E4949">
        <f>IF(OR(B4949="vi",B4949="ii",B4949="pod"),(((D4949/100)*(C4949*VLOOKUP(B4949,'Poids des runes'!A:B,2,FALSE)))+1),(((D4949/100)*(C4949*VLOOKUP(B4949,'Poids des runes'!A:B,2,FALSE)))+1)/VLOOKUP(B4949,'Poids des runes'!A:B,2,FALSE))</f>
        <v>19.573333333333334</v>
      </c>
      <c r="F4949">
        <f t="shared" si="77"/>
        <v>19.573333333333334</v>
      </c>
    </row>
    <row r="4950" spans="1:6" x14ac:dyDescent="0.3">
      <c r="A4950" t="s">
        <v>1043</v>
      </c>
      <c r="B4950" t="s">
        <v>2147</v>
      </c>
      <c r="C4950">
        <v>8.5</v>
      </c>
      <c r="D4950">
        <v>148</v>
      </c>
      <c r="E4950">
        <f>IF(OR(B4950="vi",B4950="ii",B4950="pod"),(((D4950/100)*(C4950*VLOOKUP(B4950,'Poids des runes'!A:B,2,FALSE)))+1),(((D4950/100)*(C4950*VLOOKUP(B4950,'Poids des runes'!A:B,2,FALSE)))+1)/VLOOKUP(B4950,'Poids des runes'!A:B,2,FALSE))</f>
        <v>12.746666666666668</v>
      </c>
      <c r="F4950">
        <f t="shared" si="77"/>
        <v>12.746666666666668</v>
      </c>
    </row>
    <row r="4951" spans="1:6" x14ac:dyDescent="0.3">
      <c r="A4951" t="s">
        <v>1043</v>
      </c>
      <c r="B4951" t="s">
        <v>2137</v>
      </c>
      <c r="C4951">
        <v>10.5</v>
      </c>
      <c r="D4951">
        <v>148</v>
      </c>
      <c r="E4951">
        <f>IF(OR(B4951="vi",B4951="ii",B4951="pod"),(((D4951/100)*(C4951*VLOOKUP(B4951,'Poids des runes'!A:B,2,FALSE)))+1),(((D4951/100)*(C4951*VLOOKUP(B4951,'Poids des runes'!A:B,2,FALSE)))+1)/VLOOKUP(B4951,'Poids des runes'!A:B,2,FALSE))</f>
        <v>16.04</v>
      </c>
      <c r="F4951">
        <f t="shared" si="77"/>
        <v>16.04</v>
      </c>
    </row>
    <row r="4952" spans="1:6" x14ac:dyDescent="0.3">
      <c r="A4952" t="s">
        <v>1044</v>
      </c>
      <c r="B4952" t="s">
        <v>2128</v>
      </c>
      <c r="C4952">
        <v>175.5</v>
      </c>
      <c r="D4952">
        <v>148</v>
      </c>
      <c r="E4952">
        <f>IF(OR(B4952="vi",B4952="ii",B4952="pod"),(((D4952/100)*(C4952*VLOOKUP(B4952,'Poids des runes'!A:B,2,FALSE)))+1),(((D4952/100)*(C4952*VLOOKUP(B4952,'Poids des runes'!A:B,2,FALSE)))+1)/VLOOKUP(B4952,'Poids des runes'!A:B,2,FALSE))</f>
        <v>52.948</v>
      </c>
      <c r="F4952">
        <f t="shared" si="77"/>
        <v>52.948</v>
      </c>
    </row>
    <row r="4953" spans="1:6" x14ac:dyDescent="0.3">
      <c r="A4953" t="s">
        <v>1044</v>
      </c>
      <c r="B4953" t="s">
        <v>2130</v>
      </c>
      <c r="C4953">
        <v>70.5</v>
      </c>
      <c r="D4953">
        <v>148</v>
      </c>
      <c r="E4953">
        <f>IF(OR(B4953="vi",B4953="ii",B4953="pod"),(((D4953/100)*(C4953*VLOOKUP(B4953,'Poids des runes'!A:B,2,FALSE)))+1),(((D4953/100)*(C4953*VLOOKUP(B4953,'Poids des runes'!A:B,2,FALSE)))+1)/VLOOKUP(B4953,'Poids des runes'!A:B,2,FALSE))</f>
        <v>105.34</v>
      </c>
      <c r="F4953">
        <f t="shared" si="77"/>
        <v>105.34</v>
      </c>
    </row>
    <row r="4954" spans="1:6" x14ac:dyDescent="0.3">
      <c r="A4954" t="s">
        <v>1044</v>
      </c>
      <c r="B4954" t="s">
        <v>2129</v>
      </c>
      <c r="C4954">
        <v>40.5</v>
      </c>
      <c r="D4954">
        <v>148</v>
      </c>
      <c r="E4954">
        <f>IF(OR(B4954="vi",B4954="ii",B4954="pod"),(((D4954/100)*(C4954*VLOOKUP(B4954,'Poids des runes'!A:B,2,FALSE)))+1),(((D4954/100)*(C4954*VLOOKUP(B4954,'Poids des runes'!A:B,2,FALSE)))+1)/VLOOKUP(B4954,'Poids des runes'!A:B,2,FALSE))</f>
        <v>60.94</v>
      </c>
      <c r="F4954">
        <f t="shared" si="77"/>
        <v>60.94</v>
      </c>
    </row>
    <row r="4955" spans="1:6" x14ac:dyDescent="0.3">
      <c r="A4955" t="s">
        <v>1044</v>
      </c>
      <c r="B4955" t="s">
        <v>2151</v>
      </c>
      <c r="C4955">
        <v>3</v>
      </c>
      <c r="D4955">
        <v>148</v>
      </c>
      <c r="E4955">
        <f>IF(OR(B4955="vi",B4955="ii",B4955="pod"),(((D4955/100)*(C4955*VLOOKUP(B4955,'Poids des runes'!A:B,2,FALSE)))+1),(((D4955/100)*(C4955*VLOOKUP(B4955,'Poids des runes'!A:B,2,FALSE)))+1)/VLOOKUP(B4955,'Poids des runes'!A:B,2,FALSE))</f>
        <v>4.54</v>
      </c>
      <c r="F4955">
        <f t="shared" si="77"/>
        <v>4.54</v>
      </c>
    </row>
    <row r="4956" spans="1:6" x14ac:dyDescent="0.3">
      <c r="A4956" t="s">
        <v>1044</v>
      </c>
      <c r="B4956" t="s">
        <v>2143</v>
      </c>
      <c r="C4956">
        <v>7</v>
      </c>
      <c r="D4956">
        <v>148</v>
      </c>
      <c r="E4956">
        <f>IF(OR(B4956="vi",B4956="ii",B4956="pod"),(((D4956/100)*(C4956*VLOOKUP(B4956,'Poids des runes'!A:B,2,FALSE)))+1),(((D4956/100)*(C4956*VLOOKUP(B4956,'Poids des runes'!A:B,2,FALSE)))+1)/VLOOKUP(B4956,'Poids des runes'!A:B,2,FALSE))</f>
        <v>10.559999999999999</v>
      </c>
      <c r="F4956">
        <f t="shared" si="77"/>
        <v>10.559999999999999</v>
      </c>
    </row>
    <row r="4957" spans="1:6" x14ac:dyDescent="0.3">
      <c r="A4957" t="s">
        <v>1044</v>
      </c>
      <c r="B4957" t="s">
        <v>2161</v>
      </c>
      <c r="C4957">
        <v>15.5</v>
      </c>
      <c r="D4957">
        <v>148</v>
      </c>
      <c r="E4957">
        <f>IF(OR(B4957="vi",B4957="ii",B4957="pod"),(((D4957/100)*(C4957*VLOOKUP(B4957,'Poids des runes'!A:B,2,FALSE)))+1),(((D4957/100)*(C4957*VLOOKUP(B4957,'Poids des runes'!A:B,2,FALSE)))+1)/VLOOKUP(B4957,'Poids des runes'!A:B,2,FALSE))</f>
        <v>23.27333333333333</v>
      </c>
      <c r="F4957">
        <f t="shared" si="77"/>
        <v>23.27333333333333</v>
      </c>
    </row>
    <row r="4958" spans="1:6" x14ac:dyDescent="0.3">
      <c r="A4958" t="s">
        <v>1044</v>
      </c>
      <c r="B4958" t="s">
        <v>2138</v>
      </c>
      <c r="C4958">
        <v>5</v>
      </c>
      <c r="D4958">
        <v>148</v>
      </c>
      <c r="E4958">
        <f>IF(OR(B4958="vi",B4958="ii",B4958="pod"),(((D4958/100)*(C4958*VLOOKUP(B4958,'Poids des runes'!A:B,2,FALSE)))+1),(((D4958/100)*(C4958*VLOOKUP(B4958,'Poids des runes'!A:B,2,FALSE)))+1)/VLOOKUP(B4958,'Poids des runes'!A:B,2,FALSE))</f>
        <v>7.65</v>
      </c>
      <c r="F4958">
        <f t="shared" si="77"/>
        <v>7.65</v>
      </c>
    </row>
    <row r="4959" spans="1:6" x14ac:dyDescent="0.3">
      <c r="A4959" t="s">
        <v>1044</v>
      </c>
      <c r="B4959" t="s">
        <v>2147</v>
      </c>
      <c r="C4959">
        <v>6</v>
      </c>
      <c r="D4959">
        <v>148</v>
      </c>
      <c r="E4959">
        <f>IF(OR(B4959="vi",B4959="ii",B4959="pod"),(((D4959/100)*(C4959*VLOOKUP(B4959,'Poids des runes'!A:B,2,FALSE)))+1),(((D4959/100)*(C4959*VLOOKUP(B4959,'Poids des runes'!A:B,2,FALSE)))+1)/VLOOKUP(B4959,'Poids des runes'!A:B,2,FALSE))</f>
        <v>9.0466666666666669</v>
      </c>
      <c r="F4959">
        <f t="shared" si="77"/>
        <v>9.0466666666666669</v>
      </c>
    </row>
    <row r="4960" spans="1:6" x14ac:dyDescent="0.3">
      <c r="A4960" t="s">
        <v>1044</v>
      </c>
      <c r="B4960" t="s">
        <v>2157</v>
      </c>
      <c r="C4960">
        <v>2.5</v>
      </c>
      <c r="D4960">
        <v>148</v>
      </c>
      <c r="E4960">
        <f>IF(OR(B4960="vi",B4960="ii",B4960="pod"),(((D4960/100)*(C4960*VLOOKUP(B4960,'Poids des runes'!A:B,2,FALSE)))+1),(((D4960/100)*(C4960*VLOOKUP(B4960,'Poids des runes'!A:B,2,FALSE)))+1)/VLOOKUP(B4960,'Poids des runes'!A:B,2,FALSE))</f>
        <v>3.8666666666666667</v>
      </c>
      <c r="F4960">
        <f t="shared" si="77"/>
        <v>3.8666666666666667</v>
      </c>
    </row>
    <row r="4961" spans="1:6" x14ac:dyDescent="0.3">
      <c r="A4961" t="s">
        <v>1045</v>
      </c>
      <c r="B4961" t="s">
        <v>2128</v>
      </c>
      <c r="C4961">
        <v>225.5</v>
      </c>
      <c r="D4961">
        <v>148</v>
      </c>
      <c r="E4961">
        <f>IF(OR(B4961="vi",B4961="ii",B4961="pod"),(((D4961/100)*(C4961*VLOOKUP(B4961,'Poids des runes'!A:B,2,FALSE)))+1),(((D4961/100)*(C4961*VLOOKUP(B4961,'Poids des runes'!A:B,2,FALSE)))+1)/VLOOKUP(B4961,'Poids des runes'!A:B,2,FALSE))</f>
        <v>67.748000000000005</v>
      </c>
      <c r="F4961">
        <f t="shared" si="77"/>
        <v>67.748000000000005</v>
      </c>
    </row>
    <row r="4962" spans="1:6" x14ac:dyDescent="0.3">
      <c r="A4962" t="s">
        <v>1045</v>
      </c>
      <c r="B4962" t="s">
        <v>2127</v>
      </c>
      <c r="C4962">
        <v>50.5</v>
      </c>
      <c r="D4962">
        <v>148</v>
      </c>
      <c r="E4962">
        <f>IF(OR(B4962="vi",B4962="ii",B4962="pod"),(((D4962/100)*(C4962*VLOOKUP(B4962,'Poids des runes'!A:B,2,FALSE)))+1),(((D4962/100)*(C4962*VLOOKUP(B4962,'Poids des runes'!A:B,2,FALSE)))+1)/VLOOKUP(B4962,'Poids des runes'!A:B,2,FALSE))</f>
        <v>75.739999999999995</v>
      </c>
      <c r="F4962">
        <f t="shared" si="77"/>
        <v>75.739999999999995</v>
      </c>
    </row>
    <row r="4963" spans="1:6" x14ac:dyDescent="0.3">
      <c r="A4963" t="s">
        <v>1045</v>
      </c>
      <c r="B4963" t="s">
        <v>2129</v>
      </c>
      <c r="C4963">
        <v>40.5</v>
      </c>
      <c r="D4963">
        <v>148</v>
      </c>
      <c r="E4963">
        <f>IF(OR(B4963="vi",B4963="ii",B4963="pod"),(((D4963/100)*(C4963*VLOOKUP(B4963,'Poids des runes'!A:B,2,FALSE)))+1),(((D4963/100)*(C4963*VLOOKUP(B4963,'Poids des runes'!A:B,2,FALSE)))+1)/VLOOKUP(B4963,'Poids des runes'!A:B,2,FALSE))</f>
        <v>60.94</v>
      </c>
      <c r="F4963">
        <f t="shared" si="77"/>
        <v>60.94</v>
      </c>
    </row>
    <row r="4964" spans="1:6" x14ac:dyDescent="0.3">
      <c r="A4964" t="s">
        <v>1045</v>
      </c>
      <c r="B4964" t="s">
        <v>2154</v>
      </c>
      <c r="C4964">
        <v>1</v>
      </c>
      <c r="D4964">
        <v>148</v>
      </c>
      <c r="E4964">
        <f>IF(OR(B4964="vi",B4964="ii",B4964="pod"),(((D4964/100)*(C4964*VLOOKUP(B4964,'Poids des runes'!A:B,2,FALSE)))+1),(((D4964/100)*(C4964*VLOOKUP(B4964,'Poids des runes'!A:B,2,FALSE)))+1)/VLOOKUP(B4964,'Poids des runes'!A:B,2,FALSE))</f>
        <v>1.4911111111111111</v>
      </c>
      <c r="F4964">
        <f t="shared" si="77"/>
        <v>1.4911111111111111</v>
      </c>
    </row>
    <row r="4965" spans="1:6" x14ac:dyDescent="0.3">
      <c r="A4965" t="s">
        <v>1045</v>
      </c>
      <c r="B4965" t="s">
        <v>2153</v>
      </c>
      <c r="C4965">
        <v>6</v>
      </c>
      <c r="D4965">
        <v>148</v>
      </c>
      <c r="E4965">
        <f>IF(OR(B4965="vi",B4965="ii",B4965="pod"),(((D4965/100)*(C4965*VLOOKUP(B4965,'Poids des runes'!A:B,2,FALSE)))+1),(((D4965/100)*(C4965*VLOOKUP(B4965,'Poids des runes'!A:B,2,FALSE)))+1)/VLOOKUP(B4965,'Poids des runes'!A:B,2,FALSE))</f>
        <v>9.08</v>
      </c>
      <c r="F4965">
        <f t="shared" si="77"/>
        <v>9.08</v>
      </c>
    </row>
    <row r="4966" spans="1:6" x14ac:dyDescent="0.3">
      <c r="A4966" t="s">
        <v>1045</v>
      </c>
      <c r="B4966" t="s">
        <v>2161</v>
      </c>
      <c r="C4966">
        <v>15.5</v>
      </c>
      <c r="D4966">
        <v>148</v>
      </c>
      <c r="E4966">
        <f>IF(OR(B4966="vi",B4966="ii",B4966="pod"),(((D4966/100)*(C4966*VLOOKUP(B4966,'Poids des runes'!A:B,2,FALSE)))+1),(((D4966/100)*(C4966*VLOOKUP(B4966,'Poids des runes'!A:B,2,FALSE)))+1)/VLOOKUP(B4966,'Poids des runes'!A:B,2,FALSE))</f>
        <v>23.27333333333333</v>
      </c>
      <c r="F4966">
        <f t="shared" si="77"/>
        <v>23.27333333333333</v>
      </c>
    </row>
    <row r="4967" spans="1:6" x14ac:dyDescent="0.3">
      <c r="A4967" t="s">
        <v>1045</v>
      </c>
      <c r="B4967" t="s">
        <v>2160</v>
      </c>
      <c r="C4967">
        <v>5</v>
      </c>
      <c r="D4967">
        <v>148</v>
      </c>
      <c r="E4967">
        <f>IF(OR(B4967="vi",B4967="ii",B4967="pod"),(((D4967/100)*(C4967*VLOOKUP(B4967,'Poids des runes'!A:B,2,FALSE)))+1),(((D4967/100)*(C4967*VLOOKUP(B4967,'Poids des runes'!A:B,2,FALSE)))+1)/VLOOKUP(B4967,'Poids des runes'!A:B,2,FALSE))</f>
        <v>7.5428571428571427</v>
      </c>
      <c r="F4967">
        <f t="shared" si="77"/>
        <v>7.5428571428571427</v>
      </c>
    </row>
    <row r="4968" spans="1:6" x14ac:dyDescent="0.3">
      <c r="A4968" t="s">
        <v>1045</v>
      </c>
      <c r="B4968" t="s">
        <v>2142</v>
      </c>
      <c r="C4968">
        <v>13</v>
      </c>
      <c r="D4968">
        <v>148</v>
      </c>
      <c r="E4968">
        <f>IF(OR(B4968="vi",B4968="ii",B4968="pod"),(((D4968/100)*(C4968*VLOOKUP(B4968,'Poids des runes'!A:B,2,FALSE)))+1),(((D4968/100)*(C4968*VLOOKUP(B4968,'Poids des runes'!A:B,2,FALSE)))+1)/VLOOKUP(B4968,'Poids des runes'!A:B,2,FALSE))</f>
        <v>19.440000000000001</v>
      </c>
      <c r="F4968">
        <f t="shared" si="77"/>
        <v>19.440000000000001</v>
      </c>
    </row>
    <row r="4969" spans="1:6" x14ac:dyDescent="0.3">
      <c r="A4969" t="s">
        <v>1045</v>
      </c>
      <c r="B4969" t="s">
        <v>2148</v>
      </c>
      <c r="C4969">
        <v>5</v>
      </c>
      <c r="D4969">
        <v>148</v>
      </c>
      <c r="E4969">
        <f>IF(OR(B4969="vi",B4969="ii",B4969="pod"),(((D4969/100)*(C4969*VLOOKUP(B4969,'Poids des runes'!A:B,2,FALSE)))+1),(((D4969/100)*(C4969*VLOOKUP(B4969,'Poids des runes'!A:B,2,FALSE)))+1)/VLOOKUP(B4969,'Poids des runes'!A:B,2,FALSE))</f>
        <v>7.5666666666666664</v>
      </c>
      <c r="F4969">
        <f t="shared" si="77"/>
        <v>7.5666666666666664</v>
      </c>
    </row>
    <row r="4970" spans="1:6" x14ac:dyDescent="0.3">
      <c r="A4970" t="s">
        <v>1046</v>
      </c>
      <c r="B4970" t="s">
        <v>2128</v>
      </c>
      <c r="C4970">
        <v>250.5</v>
      </c>
      <c r="D4970">
        <v>149</v>
      </c>
      <c r="E4970">
        <f>IF(OR(B4970="vi",B4970="ii",B4970="pod"),(((D4970/100)*(C4970*VLOOKUP(B4970,'Poids des runes'!A:B,2,FALSE)))+1),(((D4970/100)*(C4970*VLOOKUP(B4970,'Poids des runes'!A:B,2,FALSE)))+1)/VLOOKUP(B4970,'Poids des runes'!A:B,2,FALSE))</f>
        <v>75.649000000000001</v>
      </c>
      <c r="F4970">
        <f t="shared" si="77"/>
        <v>75.649000000000001</v>
      </c>
    </row>
    <row r="4971" spans="1:6" x14ac:dyDescent="0.3">
      <c r="A4971" t="s">
        <v>1046</v>
      </c>
      <c r="B4971" t="s">
        <v>2127</v>
      </c>
      <c r="C4971">
        <v>40.5</v>
      </c>
      <c r="D4971">
        <v>149</v>
      </c>
      <c r="E4971">
        <f>IF(OR(B4971="vi",B4971="ii",B4971="pod"),(((D4971/100)*(C4971*VLOOKUP(B4971,'Poids des runes'!A:B,2,FALSE)))+1),(((D4971/100)*(C4971*VLOOKUP(B4971,'Poids des runes'!A:B,2,FALSE)))+1)/VLOOKUP(B4971,'Poids des runes'!A:B,2,FALSE))</f>
        <v>61.344999999999999</v>
      </c>
      <c r="F4971">
        <f t="shared" si="77"/>
        <v>61.344999999999999</v>
      </c>
    </row>
    <row r="4972" spans="1:6" x14ac:dyDescent="0.3">
      <c r="A4972" t="s">
        <v>1046</v>
      </c>
      <c r="B4972" t="s">
        <v>2129</v>
      </c>
      <c r="C4972">
        <v>35.5</v>
      </c>
      <c r="D4972">
        <v>149</v>
      </c>
      <c r="E4972">
        <f>IF(OR(B4972="vi",B4972="ii",B4972="pod"),(((D4972/100)*(C4972*VLOOKUP(B4972,'Poids des runes'!A:B,2,FALSE)))+1),(((D4972/100)*(C4972*VLOOKUP(B4972,'Poids des runes'!A:B,2,FALSE)))+1)/VLOOKUP(B4972,'Poids des runes'!A:B,2,FALSE))</f>
        <v>53.895000000000003</v>
      </c>
      <c r="F4972">
        <f t="shared" si="77"/>
        <v>53.895000000000003</v>
      </c>
    </row>
    <row r="4973" spans="1:6" x14ac:dyDescent="0.3">
      <c r="A4973" t="s">
        <v>1046</v>
      </c>
      <c r="B4973" t="s">
        <v>2153</v>
      </c>
      <c r="C4973">
        <v>5</v>
      </c>
      <c r="D4973">
        <v>149</v>
      </c>
      <c r="E4973">
        <f>IF(OR(B4973="vi",B4973="ii",B4973="pod"),(((D4973/100)*(C4973*VLOOKUP(B4973,'Poids des runes'!A:B,2,FALSE)))+1),(((D4973/100)*(C4973*VLOOKUP(B4973,'Poids des runes'!A:B,2,FALSE)))+1)/VLOOKUP(B4973,'Poids des runes'!A:B,2,FALSE))</f>
        <v>7.65</v>
      </c>
      <c r="F4973">
        <f t="shared" si="77"/>
        <v>7.65</v>
      </c>
    </row>
    <row r="4974" spans="1:6" x14ac:dyDescent="0.3">
      <c r="A4974" t="s">
        <v>1046</v>
      </c>
      <c r="B4974" t="s">
        <v>2161</v>
      </c>
      <c r="C4974">
        <v>23</v>
      </c>
      <c r="D4974">
        <v>149</v>
      </c>
      <c r="E4974">
        <f>IF(OR(B4974="vi",B4974="ii",B4974="pod"),(((D4974/100)*(C4974*VLOOKUP(B4974,'Poids des runes'!A:B,2,FALSE)))+1),(((D4974/100)*(C4974*VLOOKUP(B4974,'Poids des runes'!A:B,2,FALSE)))+1)/VLOOKUP(B4974,'Poids des runes'!A:B,2,FALSE))</f>
        <v>34.603333333333332</v>
      </c>
      <c r="F4974">
        <f t="shared" si="77"/>
        <v>34.603333333333332</v>
      </c>
    </row>
    <row r="4975" spans="1:6" x14ac:dyDescent="0.3">
      <c r="A4975" t="s">
        <v>1046</v>
      </c>
      <c r="B4975" t="s">
        <v>2147</v>
      </c>
      <c r="C4975">
        <v>7</v>
      </c>
      <c r="D4975">
        <v>149</v>
      </c>
      <c r="E4975">
        <f>IF(OR(B4975="vi",B4975="ii",B4975="pod"),(((D4975/100)*(C4975*VLOOKUP(B4975,'Poids des runes'!A:B,2,FALSE)))+1),(((D4975/100)*(C4975*VLOOKUP(B4975,'Poids des runes'!A:B,2,FALSE)))+1)/VLOOKUP(B4975,'Poids des runes'!A:B,2,FALSE))</f>
        <v>10.596666666666666</v>
      </c>
      <c r="F4975">
        <f t="shared" si="77"/>
        <v>10.596666666666666</v>
      </c>
    </row>
    <row r="4976" spans="1:6" x14ac:dyDescent="0.3">
      <c r="A4976" t="s">
        <v>1046</v>
      </c>
      <c r="B4976" t="s">
        <v>2157</v>
      </c>
      <c r="C4976">
        <v>7</v>
      </c>
      <c r="D4976">
        <v>149</v>
      </c>
      <c r="E4976">
        <f>IF(OR(B4976="vi",B4976="ii",B4976="pod"),(((D4976/100)*(C4976*VLOOKUP(B4976,'Poids des runes'!A:B,2,FALSE)))+1),(((D4976/100)*(C4976*VLOOKUP(B4976,'Poids des runes'!A:B,2,FALSE)))+1)/VLOOKUP(B4976,'Poids des runes'!A:B,2,FALSE))</f>
        <v>10.596666666666666</v>
      </c>
      <c r="F4976">
        <f t="shared" si="77"/>
        <v>10.596666666666666</v>
      </c>
    </row>
    <row r="4977" spans="1:6" x14ac:dyDescent="0.3">
      <c r="A4977" t="s">
        <v>1046</v>
      </c>
      <c r="B4977" t="s">
        <v>2144</v>
      </c>
      <c r="C4977">
        <v>13</v>
      </c>
      <c r="D4977">
        <v>149</v>
      </c>
      <c r="E4977">
        <f>IF(OR(B4977="vi",B4977="ii",B4977="pod"),(((D4977/100)*(C4977*VLOOKUP(B4977,'Poids des runes'!A:B,2,FALSE)))+1),(((D4977/100)*(C4977*VLOOKUP(B4977,'Poids des runes'!A:B,2,FALSE)))+1)/VLOOKUP(B4977,'Poids des runes'!A:B,2,FALSE))</f>
        <v>19.87</v>
      </c>
      <c r="F4977">
        <f t="shared" si="77"/>
        <v>19.87</v>
      </c>
    </row>
    <row r="4978" spans="1:6" x14ac:dyDescent="0.3">
      <c r="A4978" t="s">
        <v>1046</v>
      </c>
      <c r="B4978" t="s">
        <v>2146</v>
      </c>
      <c r="C4978">
        <v>13</v>
      </c>
      <c r="D4978">
        <v>149</v>
      </c>
      <c r="E4978">
        <f>IF(OR(B4978="vi",B4978="ii",B4978="pod"),(((D4978/100)*(C4978*VLOOKUP(B4978,'Poids des runes'!A:B,2,FALSE)))+1),(((D4978/100)*(C4978*VLOOKUP(B4978,'Poids des runes'!A:B,2,FALSE)))+1)/VLOOKUP(B4978,'Poids des runes'!A:B,2,FALSE))</f>
        <v>19.87</v>
      </c>
      <c r="F4978">
        <f t="shared" si="77"/>
        <v>19.87</v>
      </c>
    </row>
    <row r="4979" spans="1:6" x14ac:dyDescent="0.3">
      <c r="A4979" t="s">
        <v>1047</v>
      </c>
      <c r="B4979" t="s">
        <v>2128</v>
      </c>
      <c r="C4979">
        <v>225.5</v>
      </c>
      <c r="D4979">
        <v>149</v>
      </c>
      <c r="E4979">
        <f>IF(OR(B4979="vi",B4979="ii",B4979="pod"),(((D4979/100)*(C4979*VLOOKUP(B4979,'Poids des runes'!A:B,2,FALSE)))+1),(((D4979/100)*(C4979*VLOOKUP(B4979,'Poids des runes'!A:B,2,FALSE)))+1)/VLOOKUP(B4979,'Poids des runes'!A:B,2,FALSE))</f>
        <v>68.198999999999998</v>
      </c>
      <c r="F4979">
        <f t="shared" si="77"/>
        <v>68.198999999999998</v>
      </c>
    </row>
    <row r="4980" spans="1:6" x14ac:dyDescent="0.3">
      <c r="A4980" t="s">
        <v>1047</v>
      </c>
      <c r="B4980" t="s">
        <v>2131</v>
      </c>
      <c r="C4980">
        <v>40.5</v>
      </c>
      <c r="D4980">
        <v>149</v>
      </c>
      <c r="E4980">
        <f>IF(OR(B4980="vi",B4980="ii",B4980="pod"),(((D4980/100)*(C4980*VLOOKUP(B4980,'Poids des runes'!A:B,2,FALSE)))+1),(((D4980/100)*(C4980*VLOOKUP(B4980,'Poids des runes'!A:B,2,FALSE)))+1)/VLOOKUP(B4980,'Poids des runes'!A:B,2,FALSE))</f>
        <v>61.344999999999999</v>
      </c>
      <c r="F4980">
        <f t="shared" si="77"/>
        <v>61.344999999999999</v>
      </c>
    </row>
    <row r="4981" spans="1:6" x14ac:dyDescent="0.3">
      <c r="A4981" t="s">
        <v>1047</v>
      </c>
      <c r="B4981" t="s">
        <v>2129</v>
      </c>
      <c r="C4981">
        <v>25.5</v>
      </c>
      <c r="D4981">
        <v>149</v>
      </c>
      <c r="E4981">
        <f>IF(OR(B4981="vi",B4981="ii",B4981="pod"),(((D4981/100)*(C4981*VLOOKUP(B4981,'Poids des runes'!A:B,2,FALSE)))+1),(((D4981/100)*(C4981*VLOOKUP(B4981,'Poids des runes'!A:B,2,FALSE)))+1)/VLOOKUP(B4981,'Poids des runes'!A:B,2,FALSE))</f>
        <v>38.994999999999997</v>
      </c>
      <c r="F4981">
        <f t="shared" si="77"/>
        <v>38.994999999999997</v>
      </c>
    </row>
    <row r="4982" spans="1:6" x14ac:dyDescent="0.3">
      <c r="A4982" t="s">
        <v>1047</v>
      </c>
      <c r="B4982" t="s">
        <v>2139</v>
      </c>
      <c r="C4982">
        <v>15.5</v>
      </c>
      <c r="D4982">
        <v>149</v>
      </c>
      <c r="E4982">
        <f>IF(OR(B4982="vi",B4982="ii",B4982="pod"),(((D4982/100)*(C4982*VLOOKUP(B4982,'Poids des runes'!A:B,2,FALSE)))+1),(((D4982/100)*(C4982*VLOOKUP(B4982,'Poids des runes'!A:B,2,FALSE)))+1)/VLOOKUP(B4982,'Poids des runes'!A:B,2,FALSE))</f>
        <v>23.594999999999999</v>
      </c>
      <c r="F4982">
        <f t="shared" si="77"/>
        <v>23.594999999999999</v>
      </c>
    </row>
    <row r="4983" spans="1:6" x14ac:dyDescent="0.3">
      <c r="A4983" t="s">
        <v>1047</v>
      </c>
      <c r="B4983" t="s">
        <v>2151</v>
      </c>
      <c r="C4983">
        <v>3.5</v>
      </c>
      <c r="D4983">
        <v>149</v>
      </c>
      <c r="E4983">
        <f>IF(OR(B4983="vi",B4983="ii",B4983="pod"),(((D4983/100)*(C4983*VLOOKUP(B4983,'Poids des runes'!A:B,2,FALSE)))+1),(((D4983/100)*(C4983*VLOOKUP(B4983,'Poids des runes'!A:B,2,FALSE)))+1)/VLOOKUP(B4983,'Poids des runes'!A:B,2,FALSE))</f>
        <v>5.3149999999999995</v>
      </c>
      <c r="F4983">
        <f t="shared" si="77"/>
        <v>5.3149999999999995</v>
      </c>
    </row>
    <row r="4984" spans="1:6" x14ac:dyDescent="0.3">
      <c r="A4984" t="s">
        <v>1047</v>
      </c>
      <c r="B4984" t="s">
        <v>2155</v>
      </c>
      <c r="C4984">
        <v>1</v>
      </c>
      <c r="D4984">
        <v>149</v>
      </c>
      <c r="E4984">
        <f>IF(OR(B4984="vi",B4984="ii",B4984="pod"),(((D4984/100)*(C4984*VLOOKUP(B4984,'Poids des runes'!A:B,2,FALSE)))+1),(((D4984/100)*(C4984*VLOOKUP(B4984,'Poids des runes'!A:B,2,FALSE)))+1)/VLOOKUP(B4984,'Poids des runes'!A:B,2,FALSE))</f>
        <v>1.5096078431372548</v>
      </c>
      <c r="F4984">
        <f t="shared" si="77"/>
        <v>1.5096078431372548</v>
      </c>
    </row>
    <row r="4985" spans="1:6" x14ac:dyDescent="0.3">
      <c r="A4985" t="s">
        <v>1047</v>
      </c>
      <c r="B4985" t="s">
        <v>2133</v>
      </c>
      <c r="C4985">
        <v>4</v>
      </c>
      <c r="D4985">
        <v>149</v>
      </c>
      <c r="E4985">
        <f>IF(OR(B4985="vi",B4985="ii",B4985="pod"),(((D4985/100)*(C4985*VLOOKUP(B4985,'Poids des runes'!A:B,2,FALSE)))+1),(((D4985/100)*(C4985*VLOOKUP(B4985,'Poids des runes'!A:B,2,FALSE)))+1)/VLOOKUP(B4985,'Poids des runes'!A:B,2,FALSE))</f>
        <v>6.16</v>
      </c>
      <c r="F4985">
        <f t="shared" si="77"/>
        <v>6.16</v>
      </c>
    </row>
    <row r="4986" spans="1:6" x14ac:dyDescent="0.3">
      <c r="A4986" t="s">
        <v>1047</v>
      </c>
      <c r="B4986" t="s">
        <v>2161</v>
      </c>
      <c r="C4986">
        <v>8.5</v>
      </c>
      <c r="D4986">
        <v>149</v>
      </c>
      <c r="E4986">
        <f>IF(OR(B4986="vi",B4986="ii",B4986="pod"),(((D4986/100)*(C4986*VLOOKUP(B4986,'Poids des runes'!A:B,2,FALSE)))+1),(((D4986/100)*(C4986*VLOOKUP(B4986,'Poids des runes'!A:B,2,FALSE)))+1)/VLOOKUP(B4986,'Poids des runes'!A:B,2,FALSE))</f>
        <v>12.998333333333333</v>
      </c>
      <c r="F4986">
        <f t="shared" si="77"/>
        <v>12.998333333333333</v>
      </c>
    </row>
    <row r="4987" spans="1:6" x14ac:dyDescent="0.3">
      <c r="A4987" t="s">
        <v>1047</v>
      </c>
      <c r="B4987" t="s">
        <v>2141</v>
      </c>
      <c r="C4987">
        <v>4</v>
      </c>
      <c r="D4987">
        <v>149</v>
      </c>
      <c r="E4987">
        <f>IF(OR(B4987="vi",B4987="ii",B4987="pod"),(((D4987/100)*(C4987*VLOOKUP(B4987,'Poids des runes'!A:B,2,FALSE)))+1),(((D4987/100)*(C4987*VLOOKUP(B4987,'Poids des runes'!A:B,2,FALSE)))+1)/VLOOKUP(B4987,'Poids des runes'!A:B,2,FALSE))</f>
        <v>6.21</v>
      </c>
      <c r="F4987">
        <f t="shared" si="77"/>
        <v>6.21</v>
      </c>
    </row>
    <row r="4988" spans="1:6" x14ac:dyDescent="0.3">
      <c r="A4988" t="s">
        <v>1047</v>
      </c>
      <c r="B4988" t="s">
        <v>2156</v>
      </c>
      <c r="C4988">
        <v>2.5</v>
      </c>
      <c r="D4988">
        <v>149</v>
      </c>
      <c r="E4988">
        <f>IF(OR(B4988="vi",B4988="ii",B4988="pod"),(((D4988/100)*(C4988*VLOOKUP(B4988,'Poids des runes'!A:B,2,FALSE)))+1),(((D4988/100)*(C4988*VLOOKUP(B4988,'Poids des runes'!A:B,2,FALSE)))+1)/VLOOKUP(B4988,'Poids des runes'!A:B,2,FALSE))</f>
        <v>3.8916666666666671</v>
      </c>
      <c r="F4988">
        <f t="shared" si="77"/>
        <v>3.8916666666666671</v>
      </c>
    </row>
    <row r="4989" spans="1:6" x14ac:dyDescent="0.3">
      <c r="A4989" t="s">
        <v>1047</v>
      </c>
      <c r="B4989" t="s">
        <v>2147</v>
      </c>
      <c r="C4989">
        <v>2.5</v>
      </c>
      <c r="D4989">
        <v>149</v>
      </c>
      <c r="E4989">
        <f>IF(OR(B4989="vi",B4989="ii",B4989="pod"),(((D4989/100)*(C4989*VLOOKUP(B4989,'Poids des runes'!A:B,2,FALSE)))+1),(((D4989/100)*(C4989*VLOOKUP(B4989,'Poids des runes'!A:B,2,FALSE)))+1)/VLOOKUP(B4989,'Poids des runes'!A:B,2,FALSE))</f>
        <v>3.8916666666666671</v>
      </c>
      <c r="F4989">
        <f t="shared" si="77"/>
        <v>3.8916666666666671</v>
      </c>
    </row>
    <row r="4990" spans="1:6" x14ac:dyDescent="0.3">
      <c r="A4990" t="s">
        <v>1048</v>
      </c>
      <c r="B4990" t="s">
        <v>2128</v>
      </c>
      <c r="C4990">
        <v>215.5</v>
      </c>
      <c r="D4990">
        <v>149</v>
      </c>
      <c r="E4990">
        <f>IF(OR(B4990="vi",B4990="ii",B4990="pod"),(((D4990/100)*(C4990*VLOOKUP(B4990,'Poids des runes'!A:B,2,FALSE)))+1),(((D4990/100)*(C4990*VLOOKUP(B4990,'Poids des runes'!A:B,2,FALSE)))+1)/VLOOKUP(B4990,'Poids des runes'!A:B,2,FALSE))</f>
        <v>65.219000000000008</v>
      </c>
      <c r="F4990">
        <f t="shared" si="77"/>
        <v>65.219000000000008</v>
      </c>
    </row>
    <row r="4991" spans="1:6" x14ac:dyDescent="0.3">
      <c r="A4991" t="s">
        <v>1048</v>
      </c>
      <c r="B4991" t="s">
        <v>2126</v>
      </c>
      <c r="C4991">
        <v>40.5</v>
      </c>
      <c r="D4991">
        <v>149</v>
      </c>
      <c r="E4991">
        <f>IF(OR(B4991="vi",B4991="ii",B4991="pod"),(((D4991/100)*(C4991*VLOOKUP(B4991,'Poids des runes'!A:B,2,FALSE)))+1),(((D4991/100)*(C4991*VLOOKUP(B4991,'Poids des runes'!A:B,2,FALSE)))+1)/VLOOKUP(B4991,'Poids des runes'!A:B,2,FALSE))</f>
        <v>61.344999999999999</v>
      </c>
      <c r="F4991">
        <f t="shared" si="77"/>
        <v>61.344999999999999</v>
      </c>
    </row>
    <row r="4992" spans="1:6" x14ac:dyDescent="0.3">
      <c r="A4992" t="s">
        <v>1048</v>
      </c>
      <c r="B4992" t="s">
        <v>2131</v>
      </c>
      <c r="C4992">
        <v>40.5</v>
      </c>
      <c r="D4992">
        <v>149</v>
      </c>
      <c r="E4992">
        <f>IF(OR(B4992="vi",B4992="ii",B4992="pod"),(((D4992/100)*(C4992*VLOOKUP(B4992,'Poids des runes'!A:B,2,FALSE)))+1),(((D4992/100)*(C4992*VLOOKUP(B4992,'Poids des runes'!A:B,2,FALSE)))+1)/VLOOKUP(B4992,'Poids des runes'!A:B,2,FALSE))</f>
        <v>61.344999999999999</v>
      </c>
      <c r="F4992">
        <f t="shared" si="77"/>
        <v>61.344999999999999</v>
      </c>
    </row>
    <row r="4993" spans="1:6" x14ac:dyDescent="0.3">
      <c r="A4993" t="s">
        <v>1048</v>
      </c>
      <c r="B4993" t="s">
        <v>2129</v>
      </c>
      <c r="C4993">
        <v>30.5</v>
      </c>
      <c r="D4993">
        <v>149</v>
      </c>
      <c r="E4993">
        <f>IF(OR(B4993="vi",B4993="ii",B4993="pod"),(((D4993/100)*(C4993*VLOOKUP(B4993,'Poids des runes'!A:B,2,FALSE)))+1),(((D4993/100)*(C4993*VLOOKUP(B4993,'Poids des runes'!A:B,2,FALSE)))+1)/VLOOKUP(B4993,'Poids des runes'!A:B,2,FALSE))</f>
        <v>46.445</v>
      </c>
      <c r="F4993">
        <f t="shared" si="77"/>
        <v>46.445</v>
      </c>
    </row>
    <row r="4994" spans="1:6" x14ac:dyDescent="0.3">
      <c r="A4994" t="s">
        <v>1048</v>
      </c>
      <c r="B4994" t="s">
        <v>2139</v>
      </c>
      <c r="C4994">
        <v>13</v>
      </c>
      <c r="D4994">
        <v>149</v>
      </c>
      <c r="E4994">
        <f>IF(OR(B4994="vi",B4994="ii",B4994="pod"),(((D4994/100)*(C4994*VLOOKUP(B4994,'Poids des runes'!A:B,2,FALSE)))+1),(((D4994/100)*(C4994*VLOOKUP(B4994,'Poids des runes'!A:B,2,FALSE)))+1)/VLOOKUP(B4994,'Poids des runes'!A:B,2,FALSE))</f>
        <v>19.87</v>
      </c>
      <c r="F4994">
        <f t="shared" si="77"/>
        <v>19.87</v>
      </c>
    </row>
    <row r="4995" spans="1:6" x14ac:dyDescent="0.3">
      <c r="A4995" t="s">
        <v>1048</v>
      </c>
      <c r="B4995" t="s">
        <v>2150</v>
      </c>
      <c r="C4995">
        <v>1</v>
      </c>
      <c r="D4995">
        <v>149</v>
      </c>
      <c r="E4995">
        <f>IF(OR(B4995="vi",B4995="ii",B4995="pod"),(((D4995/100)*(C4995*VLOOKUP(B4995,'Poids des runes'!A:B,2,FALSE)))+1),(((D4995/100)*(C4995*VLOOKUP(B4995,'Poids des runes'!A:B,2,FALSE)))+1)/VLOOKUP(B4995,'Poids des runes'!A:B,2,FALSE))</f>
        <v>1.5233333333333334</v>
      </c>
      <c r="F4995">
        <f t="shared" ref="F4995:F5058" si="78">E4995</f>
        <v>1.5233333333333334</v>
      </c>
    </row>
    <row r="4996" spans="1:6" x14ac:dyDescent="0.3">
      <c r="A4996" t="s">
        <v>1048</v>
      </c>
      <c r="B4996" t="s">
        <v>2149</v>
      </c>
      <c r="C4996">
        <v>6.5</v>
      </c>
      <c r="D4996">
        <v>149</v>
      </c>
      <c r="E4996">
        <f>IF(OR(B4996="vi",B4996="ii",B4996="pod"),(((D4996/100)*(C4996*VLOOKUP(B4996,'Poids des runes'!A:B,2,FALSE)))+1),(((D4996/100)*(C4996*VLOOKUP(B4996,'Poids des runes'!A:B,2,FALSE)))+1)/VLOOKUP(B4996,'Poids des runes'!A:B,2,FALSE))</f>
        <v>9.7850000000000001</v>
      </c>
      <c r="F4996">
        <f t="shared" si="78"/>
        <v>9.7850000000000001</v>
      </c>
    </row>
    <row r="4997" spans="1:6" x14ac:dyDescent="0.3">
      <c r="A4997" t="s">
        <v>1048</v>
      </c>
      <c r="B4997" t="s">
        <v>2161</v>
      </c>
      <c r="C4997">
        <v>20.5</v>
      </c>
      <c r="D4997">
        <v>149</v>
      </c>
      <c r="E4997">
        <f>IF(OR(B4997="vi",B4997="ii",B4997="pod"),(((D4997/100)*(C4997*VLOOKUP(B4997,'Poids des runes'!A:B,2,FALSE)))+1),(((D4997/100)*(C4997*VLOOKUP(B4997,'Poids des runes'!A:B,2,FALSE)))+1)/VLOOKUP(B4997,'Poids des runes'!A:B,2,FALSE))</f>
        <v>30.878333333333334</v>
      </c>
      <c r="F4997">
        <f t="shared" si="78"/>
        <v>30.878333333333334</v>
      </c>
    </row>
    <row r="4998" spans="1:6" x14ac:dyDescent="0.3">
      <c r="A4998" t="s">
        <v>1048</v>
      </c>
      <c r="B4998" t="s">
        <v>2136</v>
      </c>
      <c r="C4998">
        <v>5</v>
      </c>
      <c r="D4998">
        <v>149</v>
      </c>
      <c r="E4998">
        <f>IF(OR(B4998="vi",B4998="ii",B4998="pod"),(((D4998/100)*(C4998*VLOOKUP(B4998,'Poids des runes'!A:B,2,FALSE)))+1),(((D4998/100)*(C4998*VLOOKUP(B4998,'Poids des runes'!A:B,2,FALSE)))+1)/VLOOKUP(B4998,'Poids des runes'!A:B,2,FALSE))</f>
        <v>7.95</v>
      </c>
      <c r="F4998">
        <f t="shared" si="78"/>
        <v>7.95</v>
      </c>
    </row>
    <row r="4999" spans="1:6" x14ac:dyDescent="0.3">
      <c r="A4999" t="s">
        <v>1048</v>
      </c>
      <c r="B4999" t="s">
        <v>2137</v>
      </c>
      <c r="C4999">
        <v>5</v>
      </c>
      <c r="D4999">
        <v>149</v>
      </c>
      <c r="E4999">
        <f>IF(OR(B4999="vi",B4999="ii",B4999="pod"),(((D4999/100)*(C4999*VLOOKUP(B4999,'Poids des runes'!A:B,2,FALSE)))+1),(((D4999/100)*(C4999*VLOOKUP(B4999,'Poids des runes'!A:B,2,FALSE)))+1)/VLOOKUP(B4999,'Poids des runes'!A:B,2,FALSE))</f>
        <v>7.95</v>
      </c>
      <c r="F4999">
        <f t="shared" si="78"/>
        <v>7.95</v>
      </c>
    </row>
    <row r="5000" spans="1:6" x14ac:dyDescent="0.3">
      <c r="A5000" t="s">
        <v>1048</v>
      </c>
      <c r="B5000" t="s">
        <v>2146</v>
      </c>
      <c r="C5000">
        <v>5</v>
      </c>
      <c r="D5000">
        <v>149</v>
      </c>
      <c r="E5000">
        <f>IF(OR(B5000="vi",B5000="ii",B5000="pod"),(((D5000/100)*(C5000*VLOOKUP(B5000,'Poids des runes'!A:B,2,FALSE)))+1),(((D5000/100)*(C5000*VLOOKUP(B5000,'Poids des runes'!A:B,2,FALSE)))+1)/VLOOKUP(B5000,'Poids des runes'!A:B,2,FALSE))</f>
        <v>7.95</v>
      </c>
      <c r="F5000">
        <f t="shared" si="78"/>
        <v>7.95</v>
      </c>
    </row>
    <row r="5001" spans="1:6" x14ac:dyDescent="0.3">
      <c r="A5001" t="s">
        <v>1049</v>
      </c>
      <c r="B5001" t="s">
        <v>2128</v>
      </c>
      <c r="C5001">
        <v>175.5</v>
      </c>
      <c r="D5001">
        <v>149</v>
      </c>
      <c r="E5001">
        <f>IF(OR(B5001="vi",B5001="ii",B5001="pod"),(((D5001/100)*(C5001*VLOOKUP(B5001,'Poids des runes'!A:B,2,FALSE)))+1),(((D5001/100)*(C5001*VLOOKUP(B5001,'Poids des runes'!A:B,2,FALSE)))+1)/VLOOKUP(B5001,'Poids des runes'!A:B,2,FALSE))</f>
        <v>53.298999999999999</v>
      </c>
      <c r="F5001">
        <f t="shared" si="78"/>
        <v>53.298999999999999</v>
      </c>
    </row>
    <row r="5002" spans="1:6" x14ac:dyDescent="0.3">
      <c r="A5002" t="s">
        <v>1049</v>
      </c>
      <c r="B5002" t="s">
        <v>2127</v>
      </c>
      <c r="C5002">
        <v>40.5</v>
      </c>
      <c r="D5002">
        <v>149</v>
      </c>
      <c r="E5002">
        <f>IF(OR(B5002="vi",B5002="ii",B5002="pod"),(((D5002/100)*(C5002*VLOOKUP(B5002,'Poids des runes'!A:B,2,FALSE)))+1),(((D5002/100)*(C5002*VLOOKUP(B5002,'Poids des runes'!A:B,2,FALSE)))+1)/VLOOKUP(B5002,'Poids des runes'!A:B,2,FALSE))</f>
        <v>61.344999999999999</v>
      </c>
      <c r="F5002">
        <f t="shared" si="78"/>
        <v>61.344999999999999</v>
      </c>
    </row>
    <row r="5003" spans="1:6" x14ac:dyDescent="0.3">
      <c r="A5003" t="s">
        <v>1049</v>
      </c>
      <c r="B5003" t="s">
        <v>2129</v>
      </c>
      <c r="C5003">
        <v>25.5</v>
      </c>
      <c r="D5003">
        <v>149</v>
      </c>
      <c r="E5003">
        <f>IF(OR(B5003="vi",B5003="ii",B5003="pod"),(((D5003/100)*(C5003*VLOOKUP(B5003,'Poids des runes'!A:B,2,FALSE)))+1),(((D5003/100)*(C5003*VLOOKUP(B5003,'Poids des runes'!A:B,2,FALSE)))+1)/VLOOKUP(B5003,'Poids des runes'!A:B,2,FALSE))</f>
        <v>38.994999999999997</v>
      </c>
      <c r="F5003">
        <f t="shared" si="78"/>
        <v>38.994999999999997</v>
      </c>
    </row>
    <row r="5004" spans="1:6" x14ac:dyDescent="0.3">
      <c r="A5004" t="s">
        <v>1049</v>
      </c>
      <c r="B5004" t="s">
        <v>2151</v>
      </c>
      <c r="C5004">
        <v>4</v>
      </c>
      <c r="D5004">
        <v>149</v>
      </c>
      <c r="E5004">
        <f>IF(OR(B5004="vi",B5004="ii",B5004="pod"),(((D5004/100)*(C5004*VLOOKUP(B5004,'Poids des runes'!A:B,2,FALSE)))+1),(((D5004/100)*(C5004*VLOOKUP(B5004,'Poids des runes'!A:B,2,FALSE)))+1)/VLOOKUP(B5004,'Poids des runes'!A:B,2,FALSE))</f>
        <v>6.0600000000000005</v>
      </c>
      <c r="F5004">
        <f t="shared" si="78"/>
        <v>6.0600000000000005</v>
      </c>
    </row>
    <row r="5005" spans="1:6" x14ac:dyDescent="0.3">
      <c r="A5005" t="s">
        <v>1049</v>
      </c>
      <c r="B5005" t="s">
        <v>2153</v>
      </c>
      <c r="C5005">
        <v>4</v>
      </c>
      <c r="D5005">
        <v>149</v>
      </c>
      <c r="E5005">
        <f>IF(OR(B5005="vi",B5005="ii",B5005="pod"),(((D5005/100)*(C5005*VLOOKUP(B5005,'Poids des runes'!A:B,2,FALSE)))+1),(((D5005/100)*(C5005*VLOOKUP(B5005,'Poids des runes'!A:B,2,FALSE)))+1)/VLOOKUP(B5005,'Poids des runes'!A:B,2,FALSE))</f>
        <v>6.16</v>
      </c>
      <c r="F5005">
        <f t="shared" si="78"/>
        <v>6.16</v>
      </c>
    </row>
    <row r="5006" spans="1:6" x14ac:dyDescent="0.3">
      <c r="A5006" t="s">
        <v>1049</v>
      </c>
      <c r="B5006" t="s">
        <v>2161</v>
      </c>
      <c r="C5006">
        <v>15.5</v>
      </c>
      <c r="D5006">
        <v>149</v>
      </c>
      <c r="E5006">
        <f>IF(OR(B5006="vi",B5006="ii",B5006="pod"),(((D5006/100)*(C5006*VLOOKUP(B5006,'Poids des runes'!A:B,2,FALSE)))+1),(((D5006/100)*(C5006*VLOOKUP(B5006,'Poids des runes'!A:B,2,FALSE)))+1)/VLOOKUP(B5006,'Poids des runes'!A:B,2,FALSE))</f>
        <v>23.428333333333331</v>
      </c>
      <c r="F5006">
        <f t="shared" si="78"/>
        <v>23.428333333333331</v>
      </c>
    </row>
    <row r="5007" spans="1:6" x14ac:dyDescent="0.3">
      <c r="A5007" t="s">
        <v>1049</v>
      </c>
      <c r="B5007" t="s">
        <v>2142</v>
      </c>
      <c r="C5007">
        <v>8</v>
      </c>
      <c r="D5007">
        <v>149</v>
      </c>
      <c r="E5007">
        <f>IF(OR(B5007="vi",B5007="ii",B5007="pod"),(((D5007/100)*(C5007*VLOOKUP(B5007,'Poids des runes'!A:B,2,FALSE)))+1),(((D5007/100)*(C5007*VLOOKUP(B5007,'Poids des runes'!A:B,2,FALSE)))+1)/VLOOKUP(B5007,'Poids des runes'!A:B,2,FALSE))</f>
        <v>12.120000000000001</v>
      </c>
      <c r="F5007">
        <f t="shared" si="78"/>
        <v>12.120000000000001</v>
      </c>
    </row>
    <row r="5008" spans="1:6" x14ac:dyDescent="0.3">
      <c r="A5008" t="s">
        <v>1049</v>
      </c>
      <c r="B5008" t="s">
        <v>2147</v>
      </c>
      <c r="C5008">
        <v>4</v>
      </c>
      <c r="D5008">
        <v>149</v>
      </c>
      <c r="E5008">
        <f>IF(OR(B5008="vi",B5008="ii",B5008="pod"),(((D5008/100)*(C5008*VLOOKUP(B5008,'Poids des runes'!A:B,2,FALSE)))+1),(((D5008/100)*(C5008*VLOOKUP(B5008,'Poids des runes'!A:B,2,FALSE)))+1)/VLOOKUP(B5008,'Poids des runes'!A:B,2,FALSE))</f>
        <v>6.126666666666666</v>
      </c>
      <c r="F5008">
        <f t="shared" si="78"/>
        <v>6.126666666666666</v>
      </c>
    </row>
    <row r="5009" spans="1:6" x14ac:dyDescent="0.3">
      <c r="A5009" t="s">
        <v>1050</v>
      </c>
      <c r="B5009" t="s">
        <v>2138</v>
      </c>
      <c r="C5009">
        <v>16</v>
      </c>
      <c r="D5009">
        <v>150</v>
      </c>
      <c r="E5009">
        <f>IF(OR(B5009="vi",B5009="ii",B5009="pod"),(((D5009/100)*(C5009*VLOOKUP(B5009,'Poids des runes'!A:B,2,FALSE)))+1),(((D5009/100)*(C5009*VLOOKUP(B5009,'Poids des runes'!A:B,2,FALSE)))+1)/VLOOKUP(B5009,'Poids des runes'!A:B,2,FALSE))</f>
        <v>24.25</v>
      </c>
      <c r="F5009">
        <f t="shared" si="78"/>
        <v>24.25</v>
      </c>
    </row>
    <row r="5010" spans="1:6" x14ac:dyDescent="0.3">
      <c r="A5010" t="s">
        <v>1051</v>
      </c>
      <c r="B5010" t="s">
        <v>2141</v>
      </c>
      <c r="C5010">
        <v>16</v>
      </c>
      <c r="D5010">
        <v>150</v>
      </c>
      <c r="E5010">
        <f>IF(OR(B5010="vi",B5010="ii",B5010="pod"),(((D5010/100)*(C5010*VLOOKUP(B5010,'Poids des runes'!A:B,2,FALSE)))+1),(((D5010/100)*(C5010*VLOOKUP(B5010,'Poids des runes'!A:B,2,FALSE)))+1)/VLOOKUP(B5010,'Poids des runes'!A:B,2,FALSE))</f>
        <v>24.25</v>
      </c>
      <c r="F5010">
        <f t="shared" si="78"/>
        <v>24.25</v>
      </c>
    </row>
    <row r="5011" spans="1:6" x14ac:dyDescent="0.3">
      <c r="A5011" t="s">
        <v>1052</v>
      </c>
      <c r="B5011" t="s">
        <v>2160</v>
      </c>
      <c r="C5011">
        <v>12</v>
      </c>
      <c r="D5011">
        <v>150</v>
      </c>
      <c r="E5011">
        <f>IF(OR(B5011="vi",B5011="ii",B5011="pod"),(((D5011/100)*(C5011*VLOOKUP(B5011,'Poids des runes'!A:B,2,FALSE)))+1),(((D5011/100)*(C5011*VLOOKUP(B5011,'Poids des runes'!A:B,2,FALSE)))+1)/VLOOKUP(B5011,'Poids des runes'!A:B,2,FALSE))</f>
        <v>18.142857142857142</v>
      </c>
      <c r="F5011">
        <f t="shared" si="78"/>
        <v>18.142857142857142</v>
      </c>
    </row>
    <row r="5012" spans="1:6" x14ac:dyDescent="0.3">
      <c r="A5012" t="s">
        <v>1053</v>
      </c>
      <c r="B5012" t="s">
        <v>2159</v>
      </c>
      <c r="C5012">
        <v>12</v>
      </c>
      <c r="D5012">
        <v>150</v>
      </c>
      <c r="E5012">
        <f>IF(OR(B5012="vi",B5012="ii",B5012="pod"),(((D5012/100)*(C5012*VLOOKUP(B5012,'Poids des runes'!A:B,2,FALSE)))+1),(((D5012/100)*(C5012*VLOOKUP(B5012,'Poids des runes'!A:B,2,FALSE)))+1)/VLOOKUP(B5012,'Poids des runes'!A:B,2,FALSE))</f>
        <v>18.142857142857142</v>
      </c>
      <c r="F5012">
        <f t="shared" si="78"/>
        <v>18.142857142857142</v>
      </c>
    </row>
    <row r="5013" spans="1:6" x14ac:dyDescent="0.3">
      <c r="A5013" t="s">
        <v>1054</v>
      </c>
      <c r="B5013" t="s">
        <v>2162</v>
      </c>
      <c r="C5013">
        <v>16</v>
      </c>
      <c r="D5013">
        <v>150</v>
      </c>
      <c r="E5013">
        <f>IF(OR(B5013="vi",B5013="ii",B5013="pod"),(((D5013/100)*(C5013*VLOOKUP(B5013,'Poids des runes'!A:B,2,FALSE)))+1),(((D5013/100)*(C5013*VLOOKUP(B5013,'Poids des runes'!A:B,2,FALSE)))+1)/VLOOKUP(B5013,'Poids des runes'!A:B,2,FALSE))</f>
        <v>24.142857142857142</v>
      </c>
      <c r="F5013">
        <f t="shared" si="78"/>
        <v>24.142857142857142</v>
      </c>
    </row>
    <row r="5014" spans="1:6" x14ac:dyDescent="0.3">
      <c r="A5014" t="s">
        <v>1055</v>
      </c>
      <c r="B5014" t="s">
        <v>2165</v>
      </c>
      <c r="C5014">
        <v>16</v>
      </c>
      <c r="D5014">
        <v>150</v>
      </c>
      <c r="E5014">
        <f>IF(OR(B5014="vi",B5014="ii",B5014="pod"),(((D5014/100)*(C5014*VLOOKUP(B5014,'Poids des runes'!A:B,2,FALSE)))+1),(((D5014/100)*(C5014*VLOOKUP(B5014,'Poids des runes'!A:B,2,FALSE)))+1)/VLOOKUP(B5014,'Poids des runes'!A:B,2,FALSE))</f>
        <v>24.142857142857142</v>
      </c>
      <c r="F5014">
        <f t="shared" si="78"/>
        <v>24.142857142857142</v>
      </c>
    </row>
    <row r="5015" spans="1:6" x14ac:dyDescent="0.3">
      <c r="A5015" t="s">
        <v>1056</v>
      </c>
      <c r="B5015" t="s">
        <v>2142</v>
      </c>
      <c r="C5015">
        <v>32</v>
      </c>
      <c r="D5015">
        <v>150</v>
      </c>
      <c r="E5015">
        <f>IF(OR(B5015="vi",B5015="ii",B5015="pod"),(((D5015/100)*(C5015*VLOOKUP(B5015,'Poids des runes'!A:B,2,FALSE)))+1),(((D5015/100)*(C5015*VLOOKUP(B5015,'Poids des runes'!A:B,2,FALSE)))+1)/VLOOKUP(B5015,'Poids des runes'!A:B,2,FALSE))</f>
        <v>48.2</v>
      </c>
      <c r="F5015">
        <f t="shared" si="78"/>
        <v>48.2</v>
      </c>
    </row>
    <row r="5016" spans="1:6" x14ac:dyDescent="0.3">
      <c r="A5016" t="s">
        <v>1057</v>
      </c>
      <c r="B5016" t="s">
        <v>2164</v>
      </c>
      <c r="C5016">
        <v>48</v>
      </c>
      <c r="D5016">
        <v>150</v>
      </c>
      <c r="E5016">
        <f>IF(OR(B5016="vi",B5016="ii",B5016="pod"),(((D5016/100)*(C5016*VLOOKUP(B5016,'Poids des runes'!A:B,2,FALSE)))+1),(((D5016/100)*(C5016*VLOOKUP(B5016,'Poids des runes'!A:B,2,FALSE)))+1)/VLOOKUP(B5016,'Poids des runes'!A:B,2,FALSE))</f>
        <v>72.5</v>
      </c>
      <c r="F5016">
        <f t="shared" si="78"/>
        <v>72.5</v>
      </c>
    </row>
    <row r="5017" spans="1:6" x14ac:dyDescent="0.3">
      <c r="A5017" t="s">
        <v>1058</v>
      </c>
      <c r="B5017" t="s">
        <v>2163</v>
      </c>
      <c r="C5017">
        <v>12</v>
      </c>
      <c r="D5017">
        <v>150</v>
      </c>
      <c r="E5017">
        <f>IF(OR(B5017="vi",B5017="ii",B5017="pod"),(((D5017/100)*(C5017*VLOOKUP(B5017,'Poids des runes'!A:B,2,FALSE)))+1),(((D5017/100)*(C5017*VLOOKUP(B5017,'Poids des runes'!A:B,2,FALSE)))+1)/VLOOKUP(B5017,'Poids des runes'!A:B,2,FALSE))</f>
        <v>18.5</v>
      </c>
      <c r="F5017">
        <f t="shared" si="78"/>
        <v>18.5</v>
      </c>
    </row>
    <row r="5018" spans="1:6" x14ac:dyDescent="0.3">
      <c r="A5018" t="s">
        <v>1059</v>
      </c>
      <c r="B5018" t="s">
        <v>2146</v>
      </c>
      <c r="C5018">
        <v>24</v>
      </c>
      <c r="D5018">
        <v>150</v>
      </c>
      <c r="E5018">
        <f>IF(OR(B5018="vi",B5018="ii",B5018="pod"),(((D5018/100)*(C5018*VLOOKUP(B5018,'Poids des runes'!A:B,2,FALSE)))+1),(((D5018/100)*(C5018*VLOOKUP(B5018,'Poids des runes'!A:B,2,FALSE)))+1)/VLOOKUP(B5018,'Poids des runes'!A:B,2,FALSE))</f>
        <v>36.5</v>
      </c>
      <c r="F5018">
        <f t="shared" si="78"/>
        <v>36.5</v>
      </c>
    </row>
    <row r="5019" spans="1:6" x14ac:dyDescent="0.3">
      <c r="A5019" t="s">
        <v>1060</v>
      </c>
      <c r="B5019" t="s">
        <v>2145</v>
      </c>
      <c r="C5019">
        <v>24</v>
      </c>
      <c r="D5019">
        <v>150</v>
      </c>
      <c r="E5019">
        <f>IF(OR(B5019="vi",B5019="ii",B5019="pod"),(((D5019/100)*(C5019*VLOOKUP(B5019,'Poids des runes'!A:B,2,FALSE)))+1),(((D5019/100)*(C5019*VLOOKUP(B5019,'Poids des runes'!A:B,2,FALSE)))+1)/VLOOKUP(B5019,'Poids des runes'!A:B,2,FALSE))</f>
        <v>36.5</v>
      </c>
      <c r="F5019">
        <f t="shared" si="78"/>
        <v>36.5</v>
      </c>
    </row>
    <row r="5020" spans="1:6" x14ac:dyDescent="0.3">
      <c r="A5020" t="s">
        <v>1061</v>
      </c>
      <c r="B5020" t="s">
        <v>2144</v>
      </c>
      <c r="C5020">
        <v>24</v>
      </c>
      <c r="D5020">
        <v>150</v>
      </c>
      <c r="E5020">
        <f>IF(OR(B5020="vi",B5020="ii",B5020="pod"),(((D5020/100)*(C5020*VLOOKUP(B5020,'Poids des runes'!A:B,2,FALSE)))+1),(((D5020/100)*(C5020*VLOOKUP(B5020,'Poids des runes'!A:B,2,FALSE)))+1)/VLOOKUP(B5020,'Poids des runes'!A:B,2,FALSE))</f>
        <v>36.5</v>
      </c>
      <c r="F5020">
        <f t="shared" si="78"/>
        <v>36.5</v>
      </c>
    </row>
    <row r="5021" spans="1:6" x14ac:dyDescent="0.3">
      <c r="A5021" t="s">
        <v>1062</v>
      </c>
      <c r="B5021" t="s">
        <v>2137</v>
      </c>
      <c r="C5021">
        <v>24</v>
      </c>
      <c r="D5021">
        <v>150</v>
      </c>
      <c r="E5021">
        <f>IF(OR(B5021="vi",B5021="ii",B5021="pod"),(((D5021/100)*(C5021*VLOOKUP(B5021,'Poids des runes'!A:B,2,FALSE)))+1),(((D5021/100)*(C5021*VLOOKUP(B5021,'Poids des runes'!A:B,2,FALSE)))+1)/VLOOKUP(B5021,'Poids des runes'!A:B,2,FALSE))</f>
        <v>36.5</v>
      </c>
      <c r="F5021">
        <f t="shared" si="78"/>
        <v>36.5</v>
      </c>
    </row>
    <row r="5022" spans="1:6" x14ac:dyDescent="0.3">
      <c r="A5022" t="s">
        <v>1063</v>
      </c>
      <c r="B5022" t="s">
        <v>2136</v>
      </c>
      <c r="C5022">
        <v>24</v>
      </c>
      <c r="D5022">
        <v>150</v>
      </c>
      <c r="E5022">
        <f>IF(OR(B5022="vi",B5022="ii",B5022="pod"),(((D5022/100)*(C5022*VLOOKUP(B5022,'Poids des runes'!A:B,2,FALSE)))+1),(((D5022/100)*(C5022*VLOOKUP(B5022,'Poids des runes'!A:B,2,FALSE)))+1)/VLOOKUP(B5022,'Poids des runes'!A:B,2,FALSE))</f>
        <v>36.5</v>
      </c>
      <c r="F5022">
        <f t="shared" si="78"/>
        <v>36.5</v>
      </c>
    </row>
    <row r="5023" spans="1:6" x14ac:dyDescent="0.3">
      <c r="A5023" t="s">
        <v>1064</v>
      </c>
      <c r="B5023" t="s">
        <v>2153</v>
      </c>
      <c r="C5023">
        <v>12</v>
      </c>
      <c r="D5023">
        <v>150</v>
      </c>
      <c r="E5023">
        <f>IF(OR(B5023="vi",B5023="ii",B5023="pod"),(((D5023/100)*(C5023*VLOOKUP(B5023,'Poids des runes'!A:B,2,FALSE)))+1),(((D5023/100)*(C5023*VLOOKUP(B5023,'Poids des runes'!A:B,2,FALSE)))+1)/VLOOKUP(B5023,'Poids des runes'!A:B,2,FALSE))</f>
        <v>18.2</v>
      </c>
      <c r="F5023">
        <f t="shared" si="78"/>
        <v>18.2</v>
      </c>
    </row>
    <row r="5024" spans="1:6" x14ac:dyDescent="0.3">
      <c r="A5024" t="s">
        <v>1065</v>
      </c>
      <c r="B5024" t="s">
        <v>2133</v>
      </c>
      <c r="C5024">
        <v>12</v>
      </c>
      <c r="D5024">
        <v>150</v>
      </c>
      <c r="E5024">
        <f>IF(OR(B5024="vi",B5024="ii",B5024="pod"),(((D5024/100)*(C5024*VLOOKUP(B5024,'Poids des runes'!A:B,2,FALSE)))+1),(((D5024/100)*(C5024*VLOOKUP(B5024,'Poids des runes'!A:B,2,FALSE)))+1)/VLOOKUP(B5024,'Poids des runes'!A:B,2,FALSE))</f>
        <v>18.2</v>
      </c>
      <c r="F5024">
        <f t="shared" si="78"/>
        <v>18.2</v>
      </c>
    </row>
    <row r="5025" spans="1:6" x14ac:dyDescent="0.3">
      <c r="A5025" t="s">
        <v>1066</v>
      </c>
      <c r="B5025" t="s">
        <v>2140</v>
      </c>
      <c r="C5025">
        <v>12</v>
      </c>
      <c r="D5025">
        <v>150</v>
      </c>
      <c r="E5025">
        <f>IF(OR(B5025="vi",B5025="ii",B5025="pod"),(((D5025/100)*(C5025*VLOOKUP(B5025,'Poids des runes'!A:B,2,FALSE)))+1),(((D5025/100)*(C5025*VLOOKUP(B5025,'Poids des runes'!A:B,2,FALSE)))+1)/VLOOKUP(B5025,'Poids des runes'!A:B,2,FALSE))</f>
        <v>18.2</v>
      </c>
      <c r="F5025">
        <f t="shared" si="78"/>
        <v>18.2</v>
      </c>
    </row>
    <row r="5026" spans="1:6" x14ac:dyDescent="0.3">
      <c r="A5026" t="s">
        <v>1067</v>
      </c>
      <c r="B5026" t="s">
        <v>2132</v>
      </c>
      <c r="C5026">
        <v>400</v>
      </c>
      <c r="D5026">
        <v>150</v>
      </c>
      <c r="E5026">
        <f>IF(OR(B5026="vi",B5026="ii",B5026="pod"),(((D5026/100)*(C5026*VLOOKUP(B5026,'Poids des runes'!A:B,2,FALSE)))+1),(((D5026/100)*(C5026*VLOOKUP(B5026,'Poids des runes'!A:B,2,FALSE)))+1)/VLOOKUP(B5026,'Poids des runes'!A:B,2,FALSE))</f>
        <v>61</v>
      </c>
      <c r="F5026">
        <f t="shared" si="78"/>
        <v>61</v>
      </c>
    </row>
    <row r="5027" spans="1:6" x14ac:dyDescent="0.3">
      <c r="A5027" t="s">
        <v>1068</v>
      </c>
      <c r="B5027" t="s">
        <v>2149</v>
      </c>
      <c r="C5027">
        <v>16</v>
      </c>
      <c r="D5027">
        <v>150</v>
      </c>
      <c r="E5027">
        <f>IF(OR(B5027="vi",B5027="ii",B5027="pod"),(((D5027/100)*(C5027*VLOOKUP(B5027,'Poids des runes'!A:B,2,FALSE)))+1),(((D5027/100)*(C5027*VLOOKUP(B5027,'Poids des runes'!A:B,2,FALSE)))+1)/VLOOKUP(B5027,'Poids des runes'!A:B,2,FALSE))</f>
        <v>24.1</v>
      </c>
      <c r="F5027">
        <f t="shared" si="78"/>
        <v>24.1</v>
      </c>
    </row>
    <row r="5028" spans="1:6" x14ac:dyDescent="0.3">
      <c r="A5028" t="s">
        <v>1069</v>
      </c>
      <c r="B5028" t="s">
        <v>2127</v>
      </c>
      <c r="C5028">
        <v>60</v>
      </c>
      <c r="D5028">
        <v>150</v>
      </c>
      <c r="E5028">
        <f>IF(OR(B5028="vi",B5028="ii",B5028="pod"),(((D5028/100)*(C5028*VLOOKUP(B5028,'Poids des runes'!A:B,2,FALSE)))+1),(((D5028/100)*(C5028*VLOOKUP(B5028,'Poids des runes'!A:B,2,FALSE)))+1)/VLOOKUP(B5028,'Poids des runes'!A:B,2,FALSE))</f>
        <v>91</v>
      </c>
      <c r="F5028">
        <f t="shared" si="78"/>
        <v>91</v>
      </c>
    </row>
    <row r="5029" spans="1:6" x14ac:dyDescent="0.3">
      <c r="A5029" t="s">
        <v>1070</v>
      </c>
      <c r="B5029" t="s">
        <v>2131</v>
      </c>
      <c r="C5029">
        <v>60</v>
      </c>
      <c r="D5029">
        <v>150</v>
      </c>
      <c r="E5029">
        <f>IF(OR(B5029="vi",B5029="ii",B5029="pod"),(((D5029/100)*(C5029*VLOOKUP(B5029,'Poids des runes'!A:B,2,FALSE)))+1),(((D5029/100)*(C5029*VLOOKUP(B5029,'Poids des runes'!A:B,2,FALSE)))+1)/VLOOKUP(B5029,'Poids des runes'!A:B,2,FALSE))</f>
        <v>91</v>
      </c>
      <c r="F5029">
        <f t="shared" si="78"/>
        <v>91</v>
      </c>
    </row>
    <row r="5030" spans="1:6" x14ac:dyDescent="0.3">
      <c r="A5030" t="s">
        <v>1071</v>
      </c>
      <c r="B5030" t="s">
        <v>2126</v>
      </c>
      <c r="C5030">
        <v>60</v>
      </c>
      <c r="D5030">
        <v>150</v>
      </c>
      <c r="E5030">
        <f>IF(OR(B5030="vi",B5030="ii",B5030="pod"),(((D5030/100)*(C5030*VLOOKUP(B5030,'Poids des runes'!A:B,2,FALSE)))+1),(((D5030/100)*(C5030*VLOOKUP(B5030,'Poids des runes'!A:B,2,FALSE)))+1)/VLOOKUP(B5030,'Poids des runes'!A:B,2,FALSE))</f>
        <v>91</v>
      </c>
      <c r="F5030">
        <f t="shared" si="78"/>
        <v>91</v>
      </c>
    </row>
    <row r="5031" spans="1:6" x14ac:dyDescent="0.3">
      <c r="A5031" t="s">
        <v>1072</v>
      </c>
      <c r="B5031" t="s">
        <v>2130</v>
      </c>
      <c r="C5031">
        <v>60</v>
      </c>
      <c r="D5031">
        <v>150</v>
      </c>
      <c r="E5031">
        <f>IF(OR(B5031="vi",B5031="ii",B5031="pod"),(((D5031/100)*(C5031*VLOOKUP(B5031,'Poids des runes'!A:B,2,FALSE)))+1),(((D5031/100)*(C5031*VLOOKUP(B5031,'Poids des runes'!A:B,2,FALSE)))+1)/VLOOKUP(B5031,'Poids des runes'!A:B,2,FALSE))</f>
        <v>91</v>
      </c>
      <c r="F5031">
        <f t="shared" si="78"/>
        <v>91</v>
      </c>
    </row>
    <row r="5032" spans="1:6" x14ac:dyDescent="0.3">
      <c r="A5032" t="s">
        <v>1073</v>
      </c>
      <c r="B5032" t="s">
        <v>2128</v>
      </c>
      <c r="C5032">
        <v>120</v>
      </c>
      <c r="D5032">
        <v>150</v>
      </c>
      <c r="E5032">
        <f>IF(OR(B5032="vi",B5032="ii",B5032="pod"),(((D5032/100)*(C5032*VLOOKUP(B5032,'Poids des runes'!A:B,2,FALSE)))+1),(((D5032/100)*(C5032*VLOOKUP(B5032,'Poids des runes'!A:B,2,FALSE)))+1)/VLOOKUP(B5032,'Poids des runes'!A:B,2,FALSE))</f>
        <v>37</v>
      </c>
      <c r="F5032">
        <f t="shared" si="78"/>
        <v>37</v>
      </c>
    </row>
    <row r="5033" spans="1:6" x14ac:dyDescent="0.3">
      <c r="A5033" t="s">
        <v>1074</v>
      </c>
      <c r="B5033" t="s">
        <v>2143</v>
      </c>
      <c r="C5033">
        <v>12</v>
      </c>
      <c r="D5033">
        <v>150</v>
      </c>
      <c r="E5033">
        <f>IF(OR(B5033="vi",B5033="ii",B5033="pod"),(((D5033/100)*(C5033*VLOOKUP(B5033,'Poids des runes'!A:B,2,FALSE)))+1),(((D5033/100)*(C5033*VLOOKUP(B5033,'Poids des runes'!A:B,2,FALSE)))+1)/VLOOKUP(B5033,'Poids des runes'!A:B,2,FALSE))</f>
        <v>18.2</v>
      </c>
      <c r="F5033">
        <f t="shared" si="78"/>
        <v>18.2</v>
      </c>
    </row>
    <row r="5034" spans="1:6" x14ac:dyDescent="0.3">
      <c r="A5034" t="s">
        <v>1075</v>
      </c>
      <c r="B5034" t="s">
        <v>2138</v>
      </c>
      <c r="C5034">
        <v>32</v>
      </c>
      <c r="D5034">
        <v>150</v>
      </c>
      <c r="E5034">
        <f>IF(OR(B5034="vi",B5034="ii",B5034="pod"),(((D5034/100)*(C5034*VLOOKUP(B5034,'Poids des runes'!A:B,2,FALSE)))+1),(((D5034/100)*(C5034*VLOOKUP(B5034,'Poids des runes'!A:B,2,FALSE)))+1)/VLOOKUP(B5034,'Poids des runes'!A:B,2,FALSE))</f>
        <v>48.25</v>
      </c>
      <c r="F5034">
        <f t="shared" si="78"/>
        <v>48.25</v>
      </c>
    </row>
    <row r="5035" spans="1:6" x14ac:dyDescent="0.3">
      <c r="A5035" t="s">
        <v>1076</v>
      </c>
      <c r="B5035" t="s">
        <v>2141</v>
      </c>
      <c r="C5035">
        <v>32</v>
      </c>
      <c r="D5035">
        <v>150</v>
      </c>
      <c r="E5035">
        <f>IF(OR(B5035="vi",B5035="ii",B5035="pod"),(((D5035/100)*(C5035*VLOOKUP(B5035,'Poids des runes'!A:B,2,FALSE)))+1),(((D5035/100)*(C5035*VLOOKUP(B5035,'Poids des runes'!A:B,2,FALSE)))+1)/VLOOKUP(B5035,'Poids des runes'!A:B,2,FALSE))</f>
        <v>48.25</v>
      </c>
      <c r="F5035">
        <f t="shared" si="78"/>
        <v>48.25</v>
      </c>
    </row>
    <row r="5036" spans="1:6" x14ac:dyDescent="0.3">
      <c r="A5036" t="s">
        <v>1077</v>
      </c>
      <c r="B5036" t="s">
        <v>2149</v>
      </c>
      <c r="C5036">
        <v>32</v>
      </c>
      <c r="D5036">
        <v>150</v>
      </c>
      <c r="E5036">
        <f>IF(OR(B5036="vi",B5036="ii",B5036="pod"),(((D5036/100)*(C5036*VLOOKUP(B5036,'Poids des runes'!A:B,2,FALSE)))+1),(((D5036/100)*(C5036*VLOOKUP(B5036,'Poids des runes'!A:B,2,FALSE)))+1)/VLOOKUP(B5036,'Poids des runes'!A:B,2,FALSE))</f>
        <v>48.1</v>
      </c>
      <c r="F5036">
        <f t="shared" si="78"/>
        <v>48.1</v>
      </c>
    </row>
    <row r="5037" spans="1:6" x14ac:dyDescent="0.3">
      <c r="A5037" t="s">
        <v>1078</v>
      </c>
      <c r="B5037" t="s">
        <v>2130</v>
      </c>
      <c r="C5037">
        <v>100</v>
      </c>
      <c r="D5037">
        <v>150</v>
      </c>
      <c r="E5037">
        <f>IF(OR(B5037="vi",B5037="ii",B5037="pod"),(((D5037/100)*(C5037*VLOOKUP(B5037,'Poids des runes'!A:B,2,FALSE)))+1),(((D5037/100)*(C5037*VLOOKUP(B5037,'Poids des runes'!A:B,2,FALSE)))+1)/VLOOKUP(B5037,'Poids des runes'!A:B,2,FALSE))</f>
        <v>151</v>
      </c>
      <c r="F5037">
        <f t="shared" si="78"/>
        <v>151</v>
      </c>
    </row>
    <row r="5038" spans="1:6" x14ac:dyDescent="0.3">
      <c r="A5038" t="s">
        <v>1079</v>
      </c>
      <c r="B5038" t="s">
        <v>2126</v>
      </c>
      <c r="C5038">
        <v>100</v>
      </c>
      <c r="D5038">
        <v>150</v>
      </c>
      <c r="E5038">
        <f>IF(OR(B5038="vi",B5038="ii",B5038="pod"),(((D5038/100)*(C5038*VLOOKUP(B5038,'Poids des runes'!A:B,2,FALSE)))+1),(((D5038/100)*(C5038*VLOOKUP(B5038,'Poids des runes'!A:B,2,FALSE)))+1)/VLOOKUP(B5038,'Poids des runes'!A:B,2,FALSE))</f>
        <v>151</v>
      </c>
      <c r="F5038">
        <f t="shared" si="78"/>
        <v>151</v>
      </c>
    </row>
    <row r="5039" spans="1:6" x14ac:dyDescent="0.3">
      <c r="A5039" t="s">
        <v>1080</v>
      </c>
      <c r="B5039" t="s">
        <v>2127</v>
      </c>
      <c r="C5039">
        <v>100</v>
      </c>
      <c r="D5039">
        <v>150</v>
      </c>
      <c r="E5039">
        <f>IF(OR(B5039="vi",B5039="ii",B5039="pod"),(((D5039/100)*(C5039*VLOOKUP(B5039,'Poids des runes'!A:B,2,FALSE)))+1),(((D5039/100)*(C5039*VLOOKUP(B5039,'Poids des runes'!A:B,2,FALSE)))+1)/VLOOKUP(B5039,'Poids des runes'!A:B,2,FALSE))</f>
        <v>151</v>
      </c>
      <c r="F5039">
        <f t="shared" si="78"/>
        <v>151</v>
      </c>
    </row>
    <row r="5040" spans="1:6" x14ac:dyDescent="0.3">
      <c r="A5040" t="s">
        <v>1081</v>
      </c>
      <c r="B5040" t="s">
        <v>2131</v>
      </c>
      <c r="C5040">
        <v>100</v>
      </c>
      <c r="D5040">
        <v>150</v>
      </c>
      <c r="E5040">
        <f>IF(OR(B5040="vi",B5040="ii",B5040="pod"),(((D5040/100)*(C5040*VLOOKUP(B5040,'Poids des runes'!A:B,2,FALSE)))+1),(((D5040/100)*(C5040*VLOOKUP(B5040,'Poids des runes'!A:B,2,FALSE)))+1)/VLOOKUP(B5040,'Poids des runes'!A:B,2,FALSE))</f>
        <v>151</v>
      </c>
      <c r="F5040">
        <f t="shared" si="78"/>
        <v>151</v>
      </c>
    </row>
    <row r="5041" spans="1:6" x14ac:dyDescent="0.3">
      <c r="A5041" t="s">
        <v>1082</v>
      </c>
      <c r="B5041" t="s">
        <v>2163</v>
      </c>
      <c r="C5041">
        <v>32</v>
      </c>
      <c r="D5041">
        <v>150</v>
      </c>
      <c r="E5041">
        <f>IF(OR(B5041="vi",B5041="ii",B5041="pod"),(((D5041/100)*(C5041*VLOOKUP(B5041,'Poids des runes'!A:B,2,FALSE)))+1),(((D5041/100)*(C5041*VLOOKUP(B5041,'Poids des runes'!A:B,2,FALSE)))+1)/VLOOKUP(B5041,'Poids des runes'!A:B,2,FALSE))</f>
        <v>48.5</v>
      </c>
      <c r="F5041">
        <f t="shared" si="78"/>
        <v>48.5</v>
      </c>
    </row>
    <row r="5042" spans="1:6" x14ac:dyDescent="0.3">
      <c r="A5042" t="s">
        <v>1083</v>
      </c>
      <c r="B5042" t="s">
        <v>2143</v>
      </c>
      <c r="C5042">
        <v>20</v>
      </c>
      <c r="D5042">
        <v>150</v>
      </c>
      <c r="E5042">
        <f>IF(OR(B5042="vi",B5042="ii",B5042="pod"),(((D5042/100)*(C5042*VLOOKUP(B5042,'Poids des runes'!A:B,2,FALSE)))+1),(((D5042/100)*(C5042*VLOOKUP(B5042,'Poids des runes'!A:B,2,FALSE)))+1)/VLOOKUP(B5042,'Poids des runes'!A:B,2,FALSE))</f>
        <v>30.2</v>
      </c>
      <c r="F5042">
        <f t="shared" si="78"/>
        <v>30.2</v>
      </c>
    </row>
    <row r="5043" spans="1:6" x14ac:dyDescent="0.3">
      <c r="A5043" t="s">
        <v>1084</v>
      </c>
      <c r="B5043" t="s">
        <v>2140</v>
      </c>
      <c r="C5043">
        <v>20</v>
      </c>
      <c r="D5043">
        <v>150</v>
      </c>
      <c r="E5043">
        <f>IF(OR(B5043="vi",B5043="ii",B5043="pod"),(((D5043/100)*(C5043*VLOOKUP(B5043,'Poids des runes'!A:B,2,FALSE)))+1),(((D5043/100)*(C5043*VLOOKUP(B5043,'Poids des runes'!A:B,2,FALSE)))+1)/VLOOKUP(B5043,'Poids des runes'!A:B,2,FALSE))</f>
        <v>30.2</v>
      </c>
      <c r="F5043">
        <f t="shared" si="78"/>
        <v>30.2</v>
      </c>
    </row>
    <row r="5044" spans="1:6" x14ac:dyDescent="0.3">
      <c r="A5044" t="s">
        <v>1085</v>
      </c>
      <c r="B5044" t="s">
        <v>2133</v>
      </c>
      <c r="C5044">
        <v>20</v>
      </c>
      <c r="D5044">
        <v>150</v>
      </c>
      <c r="E5044">
        <f>IF(OR(B5044="vi",B5044="ii",B5044="pod"),(((D5044/100)*(C5044*VLOOKUP(B5044,'Poids des runes'!A:B,2,FALSE)))+1),(((D5044/100)*(C5044*VLOOKUP(B5044,'Poids des runes'!A:B,2,FALSE)))+1)/VLOOKUP(B5044,'Poids des runes'!A:B,2,FALSE))</f>
        <v>30.2</v>
      </c>
      <c r="F5044">
        <f t="shared" si="78"/>
        <v>30.2</v>
      </c>
    </row>
    <row r="5045" spans="1:6" x14ac:dyDescent="0.3">
      <c r="A5045" t="s">
        <v>1086</v>
      </c>
      <c r="B5045" t="s">
        <v>2153</v>
      </c>
      <c r="C5045">
        <v>20</v>
      </c>
      <c r="D5045">
        <v>150</v>
      </c>
      <c r="E5045">
        <f>IF(OR(B5045="vi",B5045="ii",B5045="pod"),(((D5045/100)*(C5045*VLOOKUP(B5045,'Poids des runes'!A:B,2,FALSE)))+1),(((D5045/100)*(C5045*VLOOKUP(B5045,'Poids des runes'!A:B,2,FALSE)))+1)/VLOOKUP(B5045,'Poids des runes'!A:B,2,FALSE))</f>
        <v>30.2</v>
      </c>
      <c r="F5045">
        <f t="shared" si="78"/>
        <v>30.2</v>
      </c>
    </row>
    <row r="5046" spans="1:6" x14ac:dyDescent="0.3">
      <c r="A5046" t="s">
        <v>1087</v>
      </c>
      <c r="B5046" t="s">
        <v>2160</v>
      </c>
      <c r="C5046">
        <v>24</v>
      </c>
      <c r="D5046">
        <v>150</v>
      </c>
      <c r="E5046">
        <f>IF(OR(B5046="vi",B5046="ii",B5046="pod"),(((D5046/100)*(C5046*VLOOKUP(B5046,'Poids des runes'!A:B,2,FALSE)))+1),(((D5046/100)*(C5046*VLOOKUP(B5046,'Poids des runes'!A:B,2,FALSE)))+1)/VLOOKUP(B5046,'Poids des runes'!A:B,2,FALSE))</f>
        <v>36.142857142857146</v>
      </c>
      <c r="F5046">
        <f t="shared" si="78"/>
        <v>36.142857142857146</v>
      </c>
    </row>
    <row r="5047" spans="1:6" x14ac:dyDescent="0.3">
      <c r="A5047" t="s">
        <v>1088</v>
      </c>
      <c r="B5047" t="s">
        <v>2159</v>
      </c>
      <c r="C5047">
        <v>24</v>
      </c>
      <c r="D5047">
        <v>150</v>
      </c>
      <c r="E5047">
        <f>IF(OR(B5047="vi",B5047="ii",B5047="pod"),(((D5047/100)*(C5047*VLOOKUP(B5047,'Poids des runes'!A:B,2,FALSE)))+1),(((D5047/100)*(C5047*VLOOKUP(B5047,'Poids des runes'!A:B,2,FALSE)))+1)/VLOOKUP(B5047,'Poids des runes'!A:B,2,FALSE))</f>
        <v>36.142857142857146</v>
      </c>
      <c r="F5047">
        <f t="shared" si="78"/>
        <v>36.142857142857146</v>
      </c>
    </row>
    <row r="5048" spans="1:6" x14ac:dyDescent="0.3">
      <c r="A5048" t="s">
        <v>1089</v>
      </c>
      <c r="B5048" t="s">
        <v>2165</v>
      </c>
      <c r="C5048">
        <v>32</v>
      </c>
      <c r="D5048">
        <v>150</v>
      </c>
      <c r="E5048">
        <f>IF(OR(B5048="vi",B5048="ii",B5048="pod"),(((D5048/100)*(C5048*VLOOKUP(B5048,'Poids des runes'!A:B,2,FALSE)))+1),(((D5048/100)*(C5048*VLOOKUP(B5048,'Poids des runes'!A:B,2,FALSE)))+1)/VLOOKUP(B5048,'Poids des runes'!A:B,2,FALSE))</f>
        <v>48.142857142857146</v>
      </c>
      <c r="F5048">
        <f t="shared" si="78"/>
        <v>48.142857142857146</v>
      </c>
    </row>
    <row r="5049" spans="1:6" x14ac:dyDescent="0.3">
      <c r="A5049" t="s">
        <v>1090</v>
      </c>
      <c r="B5049" t="s">
        <v>2162</v>
      </c>
      <c r="C5049">
        <v>32</v>
      </c>
      <c r="D5049">
        <v>150</v>
      </c>
      <c r="E5049">
        <f>IF(OR(B5049="vi",B5049="ii",B5049="pod"),(((D5049/100)*(C5049*VLOOKUP(B5049,'Poids des runes'!A:B,2,FALSE)))+1),(((D5049/100)*(C5049*VLOOKUP(B5049,'Poids des runes'!A:B,2,FALSE)))+1)/VLOOKUP(B5049,'Poids des runes'!A:B,2,FALSE))</f>
        <v>48.142857142857146</v>
      </c>
      <c r="F5049">
        <f t="shared" si="78"/>
        <v>48.142857142857146</v>
      </c>
    </row>
    <row r="5050" spans="1:6" x14ac:dyDescent="0.3">
      <c r="A5050" t="s">
        <v>1091</v>
      </c>
      <c r="B5050" t="s">
        <v>2142</v>
      </c>
      <c r="C5050">
        <v>64</v>
      </c>
      <c r="D5050">
        <v>150</v>
      </c>
      <c r="E5050">
        <f>IF(OR(B5050="vi",B5050="ii",B5050="pod"),(((D5050/100)*(C5050*VLOOKUP(B5050,'Poids des runes'!A:B,2,FALSE)))+1),(((D5050/100)*(C5050*VLOOKUP(B5050,'Poids des runes'!A:B,2,FALSE)))+1)/VLOOKUP(B5050,'Poids des runes'!A:B,2,FALSE))</f>
        <v>96.2</v>
      </c>
      <c r="F5050">
        <f t="shared" si="78"/>
        <v>96.2</v>
      </c>
    </row>
    <row r="5051" spans="1:6" x14ac:dyDescent="0.3">
      <c r="A5051" t="s">
        <v>1092</v>
      </c>
      <c r="B5051" t="s">
        <v>2164</v>
      </c>
      <c r="C5051">
        <v>96</v>
      </c>
      <c r="D5051">
        <v>150</v>
      </c>
      <c r="E5051">
        <f>IF(OR(B5051="vi",B5051="ii",B5051="pod"),(((D5051/100)*(C5051*VLOOKUP(B5051,'Poids des runes'!A:B,2,FALSE)))+1),(((D5051/100)*(C5051*VLOOKUP(B5051,'Poids des runes'!A:B,2,FALSE)))+1)/VLOOKUP(B5051,'Poids des runes'!A:B,2,FALSE))</f>
        <v>144.5</v>
      </c>
      <c r="F5051">
        <f t="shared" si="78"/>
        <v>144.5</v>
      </c>
    </row>
    <row r="5052" spans="1:6" x14ac:dyDescent="0.3">
      <c r="A5052" t="s">
        <v>1093</v>
      </c>
      <c r="B5052" t="s">
        <v>2132</v>
      </c>
      <c r="C5052">
        <v>800</v>
      </c>
      <c r="D5052">
        <v>150</v>
      </c>
      <c r="E5052">
        <f>IF(OR(B5052="vi",B5052="ii",B5052="pod"),(((D5052/100)*(C5052*VLOOKUP(B5052,'Poids des runes'!A:B,2,FALSE)))+1),(((D5052/100)*(C5052*VLOOKUP(B5052,'Poids des runes'!A:B,2,FALSE)))+1)/VLOOKUP(B5052,'Poids des runes'!A:B,2,FALSE))</f>
        <v>121</v>
      </c>
      <c r="F5052">
        <f t="shared" si="78"/>
        <v>121</v>
      </c>
    </row>
    <row r="5053" spans="1:6" x14ac:dyDescent="0.3">
      <c r="A5053" t="s">
        <v>1094</v>
      </c>
      <c r="B5053" t="s">
        <v>2137</v>
      </c>
      <c r="C5053">
        <v>40</v>
      </c>
      <c r="D5053">
        <v>150</v>
      </c>
      <c r="E5053">
        <f>IF(OR(B5053="vi",B5053="ii",B5053="pod"),(((D5053/100)*(C5053*VLOOKUP(B5053,'Poids des runes'!A:B,2,FALSE)))+1),(((D5053/100)*(C5053*VLOOKUP(B5053,'Poids des runes'!A:B,2,FALSE)))+1)/VLOOKUP(B5053,'Poids des runes'!A:B,2,FALSE))</f>
        <v>60.5</v>
      </c>
      <c r="F5053">
        <f t="shared" si="78"/>
        <v>60.5</v>
      </c>
    </row>
    <row r="5054" spans="1:6" x14ac:dyDescent="0.3">
      <c r="A5054" t="s">
        <v>1095</v>
      </c>
      <c r="B5054" t="s">
        <v>2136</v>
      </c>
      <c r="C5054">
        <v>40</v>
      </c>
      <c r="D5054">
        <v>150</v>
      </c>
      <c r="E5054">
        <f>IF(OR(B5054="vi",B5054="ii",B5054="pod"),(((D5054/100)*(C5054*VLOOKUP(B5054,'Poids des runes'!A:B,2,FALSE)))+1),(((D5054/100)*(C5054*VLOOKUP(B5054,'Poids des runes'!A:B,2,FALSE)))+1)/VLOOKUP(B5054,'Poids des runes'!A:B,2,FALSE))</f>
        <v>60.5</v>
      </c>
      <c r="F5054">
        <f t="shared" si="78"/>
        <v>60.5</v>
      </c>
    </row>
    <row r="5055" spans="1:6" x14ac:dyDescent="0.3">
      <c r="A5055" t="s">
        <v>1096</v>
      </c>
      <c r="B5055" t="s">
        <v>2144</v>
      </c>
      <c r="C5055">
        <v>40</v>
      </c>
      <c r="D5055">
        <v>150</v>
      </c>
      <c r="E5055">
        <f>IF(OR(B5055="vi",B5055="ii",B5055="pod"),(((D5055/100)*(C5055*VLOOKUP(B5055,'Poids des runes'!A:B,2,FALSE)))+1),(((D5055/100)*(C5055*VLOOKUP(B5055,'Poids des runes'!A:B,2,FALSE)))+1)/VLOOKUP(B5055,'Poids des runes'!A:B,2,FALSE))</f>
        <v>60.5</v>
      </c>
      <c r="F5055">
        <f t="shared" si="78"/>
        <v>60.5</v>
      </c>
    </row>
    <row r="5056" spans="1:6" x14ac:dyDescent="0.3">
      <c r="A5056" t="s">
        <v>1097</v>
      </c>
      <c r="B5056" t="s">
        <v>2145</v>
      </c>
      <c r="C5056">
        <v>40</v>
      </c>
      <c r="D5056">
        <v>150</v>
      </c>
      <c r="E5056">
        <f>IF(OR(B5056="vi",B5056="ii",B5056="pod"),(((D5056/100)*(C5056*VLOOKUP(B5056,'Poids des runes'!A:B,2,FALSE)))+1),(((D5056/100)*(C5056*VLOOKUP(B5056,'Poids des runes'!A:B,2,FALSE)))+1)/VLOOKUP(B5056,'Poids des runes'!A:B,2,FALSE))</f>
        <v>60.5</v>
      </c>
      <c r="F5056">
        <f t="shared" si="78"/>
        <v>60.5</v>
      </c>
    </row>
    <row r="5057" spans="1:6" x14ac:dyDescent="0.3">
      <c r="A5057" t="s">
        <v>1098</v>
      </c>
      <c r="B5057" t="s">
        <v>2146</v>
      </c>
      <c r="C5057">
        <v>40</v>
      </c>
      <c r="D5057">
        <v>150</v>
      </c>
      <c r="E5057">
        <f>IF(OR(B5057="vi",B5057="ii",B5057="pod"),(((D5057/100)*(C5057*VLOOKUP(B5057,'Poids des runes'!A:B,2,FALSE)))+1),(((D5057/100)*(C5057*VLOOKUP(B5057,'Poids des runes'!A:B,2,FALSE)))+1)/VLOOKUP(B5057,'Poids des runes'!A:B,2,FALSE))</f>
        <v>60.5</v>
      </c>
      <c r="F5057">
        <f t="shared" si="78"/>
        <v>60.5</v>
      </c>
    </row>
    <row r="5058" spans="1:6" x14ac:dyDescent="0.3">
      <c r="A5058" t="s">
        <v>1099</v>
      </c>
      <c r="B5058" t="s">
        <v>2139</v>
      </c>
      <c r="C5058">
        <v>80</v>
      </c>
      <c r="D5058">
        <v>150</v>
      </c>
      <c r="E5058">
        <f>IF(OR(B5058="vi",B5058="ii",B5058="pod"),(((D5058/100)*(C5058*VLOOKUP(B5058,'Poids des runes'!A:B,2,FALSE)))+1),(((D5058/100)*(C5058*VLOOKUP(B5058,'Poids des runes'!A:B,2,FALSE)))+1)/VLOOKUP(B5058,'Poids des runes'!A:B,2,FALSE))</f>
        <v>120.5</v>
      </c>
      <c r="F5058">
        <f t="shared" si="78"/>
        <v>120.5</v>
      </c>
    </row>
    <row r="5059" spans="1:6" x14ac:dyDescent="0.3">
      <c r="A5059" t="s">
        <v>1100</v>
      </c>
      <c r="B5059" t="s">
        <v>2143</v>
      </c>
      <c r="C5059">
        <v>12</v>
      </c>
      <c r="D5059">
        <v>150</v>
      </c>
      <c r="E5059">
        <f>IF(OR(B5059="vi",B5059="ii",B5059="pod"),(((D5059/100)*(C5059*VLOOKUP(B5059,'Poids des runes'!A:B,2,FALSE)))+1),(((D5059/100)*(C5059*VLOOKUP(B5059,'Poids des runes'!A:B,2,FALSE)))+1)/VLOOKUP(B5059,'Poids des runes'!A:B,2,FALSE))</f>
        <v>18.2</v>
      </c>
      <c r="F5059">
        <f t="shared" ref="F5059:F5122" si="79">E5059</f>
        <v>18.2</v>
      </c>
    </row>
    <row r="5060" spans="1:6" x14ac:dyDescent="0.3">
      <c r="A5060" t="s">
        <v>1100</v>
      </c>
      <c r="B5060" t="s">
        <v>2140</v>
      </c>
      <c r="C5060">
        <v>12</v>
      </c>
      <c r="D5060">
        <v>150</v>
      </c>
      <c r="E5060">
        <f>IF(OR(B5060="vi",B5060="ii",B5060="pod"),(((D5060/100)*(C5060*VLOOKUP(B5060,'Poids des runes'!A:B,2,FALSE)))+1),(((D5060/100)*(C5060*VLOOKUP(B5060,'Poids des runes'!A:B,2,FALSE)))+1)/VLOOKUP(B5060,'Poids des runes'!A:B,2,FALSE))</f>
        <v>18.2</v>
      </c>
      <c r="F5060">
        <f t="shared" si="79"/>
        <v>18.2</v>
      </c>
    </row>
    <row r="5061" spans="1:6" x14ac:dyDescent="0.3">
      <c r="A5061" t="s">
        <v>1100</v>
      </c>
      <c r="B5061" t="s">
        <v>2133</v>
      </c>
      <c r="C5061">
        <v>12</v>
      </c>
      <c r="D5061">
        <v>150</v>
      </c>
      <c r="E5061">
        <f>IF(OR(B5061="vi",B5061="ii",B5061="pod"),(((D5061/100)*(C5061*VLOOKUP(B5061,'Poids des runes'!A:B,2,FALSE)))+1),(((D5061/100)*(C5061*VLOOKUP(B5061,'Poids des runes'!A:B,2,FALSE)))+1)/VLOOKUP(B5061,'Poids des runes'!A:B,2,FALSE))</f>
        <v>18.2</v>
      </c>
      <c r="F5061">
        <f t="shared" si="79"/>
        <v>18.2</v>
      </c>
    </row>
    <row r="5062" spans="1:6" x14ac:dyDescent="0.3">
      <c r="A5062" t="s">
        <v>1100</v>
      </c>
      <c r="B5062" t="s">
        <v>2153</v>
      </c>
      <c r="C5062">
        <v>12</v>
      </c>
      <c r="D5062">
        <v>150</v>
      </c>
      <c r="E5062">
        <f>IF(OR(B5062="vi",B5062="ii",B5062="pod"),(((D5062/100)*(C5062*VLOOKUP(B5062,'Poids des runes'!A:B,2,FALSE)))+1),(((D5062/100)*(C5062*VLOOKUP(B5062,'Poids des runes'!A:B,2,FALSE)))+1)/VLOOKUP(B5062,'Poids des runes'!A:B,2,FALSE))</f>
        <v>18.2</v>
      </c>
      <c r="F5062">
        <f t="shared" si="79"/>
        <v>18.2</v>
      </c>
    </row>
    <row r="5063" spans="1:6" x14ac:dyDescent="0.3">
      <c r="A5063" t="s">
        <v>1101</v>
      </c>
      <c r="B5063" t="s">
        <v>2128</v>
      </c>
      <c r="C5063">
        <v>225.5</v>
      </c>
      <c r="D5063">
        <v>150</v>
      </c>
      <c r="E5063">
        <f>IF(OR(B5063="vi",B5063="ii",B5063="pod"),(((D5063/100)*(C5063*VLOOKUP(B5063,'Poids des runes'!A:B,2,FALSE)))+1),(((D5063/100)*(C5063*VLOOKUP(B5063,'Poids des runes'!A:B,2,FALSE)))+1)/VLOOKUP(B5063,'Poids des runes'!A:B,2,FALSE))</f>
        <v>68.650000000000006</v>
      </c>
      <c r="F5063">
        <f t="shared" si="79"/>
        <v>68.650000000000006</v>
      </c>
    </row>
    <row r="5064" spans="1:6" x14ac:dyDescent="0.3">
      <c r="A5064" t="s">
        <v>1101</v>
      </c>
      <c r="B5064" t="s">
        <v>2130</v>
      </c>
      <c r="C5064">
        <v>40.5</v>
      </c>
      <c r="D5064">
        <v>150</v>
      </c>
      <c r="E5064">
        <f>IF(OR(B5064="vi",B5064="ii",B5064="pod"),(((D5064/100)*(C5064*VLOOKUP(B5064,'Poids des runes'!A:B,2,FALSE)))+1),(((D5064/100)*(C5064*VLOOKUP(B5064,'Poids des runes'!A:B,2,FALSE)))+1)/VLOOKUP(B5064,'Poids des runes'!A:B,2,FALSE))</f>
        <v>61.75</v>
      </c>
      <c r="F5064">
        <f t="shared" si="79"/>
        <v>61.75</v>
      </c>
    </row>
    <row r="5065" spans="1:6" x14ac:dyDescent="0.3">
      <c r="A5065" t="s">
        <v>1101</v>
      </c>
      <c r="B5065" t="s">
        <v>2129</v>
      </c>
      <c r="C5065">
        <v>25.5</v>
      </c>
      <c r="D5065">
        <v>150</v>
      </c>
      <c r="E5065">
        <f>IF(OR(B5065="vi",B5065="ii",B5065="pod"),(((D5065/100)*(C5065*VLOOKUP(B5065,'Poids des runes'!A:B,2,FALSE)))+1),(((D5065/100)*(C5065*VLOOKUP(B5065,'Poids des runes'!A:B,2,FALSE)))+1)/VLOOKUP(B5065,'Poids des runes'!A:B,2,FALSE))</f>
        <v>39.25</v>
      </c>
      <c r="F5065">
        <f t="shared" si="79"/>
        <v>39.25</v>
      </c>
    </row>
    <row r="5066" spans="1:6" x14ac:dyDescent="0.3">
      <c r="A5066" t="s">
        <v>1101</v>
      </c>
      <c r="B5066" t="s">
        <v>2151</v>
      </c>
      <c r="C5066">
        <v>4.5</v>
      </c>
      <c r="D5066">
        <v>150</v>
      </c>
      <c r="E5066">
        <f>IF(OR(B5066="vi",B5066="ii",B5066="pod"),(((D5066/100)*(C5066*VLOOKUP(B5066,'Poids des runes'!A:B,2,FALSE)))+1),(((D5066/100)*(C5066*VLOOKUP(B5066,'Poids des runes'!A:B,2,FALSE)))+1)/VLOOKUP(B5066,'Poids des runes'!A:B,2,FALSE))</f>
        <v>6.85</v>
      </c>
      <c r="F5066">
        <f t="shared" si="79"/>
        <v>6.85</v>
      </c>
    </row>
    <row r="5067" spans="1:6" x14ac:dyDescent="0.3">
      <c r="A5067" t="s">
        <v>1101</v>
      </c>
      <c r="B5067" t="s">
        <v>2133</v>
      </c>
      <c r="C5067">
        <v>13</v>
      </c>
      <c r="D5067">
        <v>150</v>
      </c>
      <c r="E5067">
        <f>IF(OR(B5067="vi",B5067="ii",B5067="pod"),(((D5067/100)*(C5067*VLOOKUP(B5067,'Poids des runes'!A:B,2,FALSE)))+1),(((D5067/100)*(C5067*VLOOKUP(B5067,'Poids des runes'!A:B,2,FALSE)))+1)/VLOOKUP(B5067,'Poids des runes'!A:B,2,FALSE))</f>
        <v>19.7</v>
      </c>
      <c r="F5067">
        <f t="shared" si="79"/>
        <v>19.7</v>
      </c>
    </row>
    <row r="5068" spans="1:6" x14ac:dyDescent="0.3">
      <c r="A5068" t="s">
        <v>1101</v>
      </c>
      <c r="B5068" t="s">
        <v>2161</v>
      </c>
      <c r="C5068">
        <v>13</v>
      </c>
      <c r="D5068">
        <v>150</v>
      </c>
      <c r="E5068">
        <f>IF(OR(B5068="vi",B5068="ii",B5068="pod"),(((D5068/100)*(C5068*VLOOKUP(B5068,'Poids des runes'!A:B,2,FALSE)))+1),(((D5068/100)*(C5068*VLOOKUP(B5068,'Poids des runes'!A:B,2,FALSE)))+1)/VLOOKUP(B5068,'Poids des runes'!A:B,2,FALSE))</f>
        <v>19.833333333333332</v>
      </c>
      <c r="F5068">
        <f t="shared" si="79"/>
        <v>19.833333333333332</v>
      </c>
    </row>
    <row r="5069" spans="1:6" x14ac:dyDescent="0.3">
      <c r="A5069" t="s">
        <v>1101</v>
      </c>
      <c r="B5069" t="s">
        <v>2132</v>
      </c>
      <c r="C5069">
        <v>350.5</v>
      </c>
      <c r="D5069">
        <v>150</v>
      </c>
      <c r="E5069">
        <f>IF(OR(B5069="vi",B5069="ii",B5069="pod"),(((D5069/100)*(C5069*VLOOKUP(B5069,'Poids des runes'!A:B,2,FALSE)))+1),(((D5069/100)*(C5069*VLOOKUP(B5069,'Poids des runes'!A:B,2,FALSE)))+1)/VLOOKUP(B5069,'Poids des runes'!A:B,2,FALSE))</f>
        <v>53.575000000000003</v>
      </c>
      <c r="F5069">
        <f t="shared" si="79"/>
        <v>53.575000000000003</v>
      </c>
    </row>
    <row r="5070" spans="1:6" x14ac:dyDescent="0.3">
      <c r="A5070" t="s">
        <v>1101</v>
      </c>
      <c r="B5070" t="s">
        <v>2164</v>
      </c>
      <c r="C5070">
        <v>8.5</v>
      </c>
      <c r="D5070">
        <v>150</v>
      </c>
      <c r="E5070">
        <f>IF(OR(B5070="vi",B5070="ii",B5070="pod"),(((D5070/100)*(C5070*VLOOKUP(B5070,'Poids des runes'!A:B,2,FALSE)))+1),(((D5070/100)*(C5070*VLOOKUP(B5070,'Poids des runes'!A:B,2,FALSE)))+1)/VLOOKUP(B5070,'Poids des runes'!A:B,2,FALSE))</f>
        <v>13.25</v>
      </c>
      <c r="F5070">
        <f t="shared" si="79"/>
        <v>13.25</v>
      </c>
    </row>
    <row r="5071" spans="1:6" x14ac:dyDescent="0.3">
      <c r="A5071" t="s">
        <v>1101</v>
      </c>
      <c r="B5071" t="s">
        <v>2157</v>
      </c>
      <c r="C5071">
        <v>8.5</v>
      </c>
      <c r="D5071">
        <v>150</v>
      </c>
      <c r="E5071">
        <f>IF(OR(B5071="vi",B5071="ii",B5071="pod"),(((D5071/100)*(C5071*VLOOKUP(B5071,'Poids des runes'!A:B,2,FALSE)))+1),(((D5071/100)*(C5071*VLOOKUP(B5071,'Poids des runes'!A:B,2,FALSE)))+1)/VLOOKUP(B5071,'Poids des runes'!A:B,2,FALSE))</f>
        <v>12.916666666666666</v>
      </c>
      <c r="F5071">
        <f t="shared" si="79"/>
        <v>12.916666666666666</v>
      </c>
    </row>
    <row r="5072" spans="1:6" x14ac:dyDescent="0.3">
      <c r="A5072" t="s">
        <v>1101</v>
      </c>
      <c r="B5072" t="s">
        <v>2144</v>
      </c>
      <c r="C5072">
        <v>17</v>
      </c>
      <c r="D5072">
        <v>150</v>
      </c>
      <c r="E5072">
        <f>IF(OR(B5072="vi",B5072="ii",B5072="pod"),(((D5072/100)*(C5072*VLOOKUP(B5072,'Poids des runes'!A:B,2,FALSE)))+1),(((D5072/100)*(C5072*VLOOKUP(B5072,'Poids des runes'!A:B,2,FALSE)))+1)/VLOOKUP(B5072,'Poids des runes'!A:B,2,FALSE))</f>
        <v>26</v>
      </c>
      <c r="F5072">
        <f t="shared" si="79"/>
        <v>26</v>
      </c>
    </row>
    <row r="5073" spans="1:6" x14ac:dyDescent="0.3">
      <c r="A5073" t="s">
        <v>1102</v>
      </c>
      <c r="B5073" t="s">
        <v>2128</v>
      </c>
      <c r="C5073">
        <v>175.5</v>
      </c>
      <c r="D5073">
        <v>150</v>
      </c>
      <c r="E5073">
        <f>IF(OR(B5073="vi",B5073="ii",B5073="pod"),(((D5073/100)*(C5073*VLOOKUP(B5073,'Poids des runes'!A:B,2,FALSE)))+1),(((D5073/100)*(C5073*VLOOKUP(B5073,'Poids des runes'!A:B,2,FALSE)))+1)/VLOOKUP(B5073,'Poids des runes'!A:B,2,FALSE))</f>
        <v>53.650000000000006</v>
      </c>
      <c r="F5073">
        <f t="shared" si="79"/>
        <v>53.650000000000006</v>
      </c>
    </row>
    <row r="5074" spans="1:6" x14ac:dyDescent="0.3">
      <c r="A5074" t="s">
        <v>1102</v>
      </c>
      <c r="B5074" t="s">
        <v>2127</v>
      </c>
      <c r="C5074">
        <v>40.5</v>
      </c>
      <c r="D5074">
        <v>150</v>
      </c>
      <c r="E5074">
        <f>IF(OR(B5074="vi",B5074="ii",B5074="pod"),(((D5074/100)*(C5074*VLOOKUP(B5074,'Poids des runes'!A:B,2,FALSE)))+1),(((D5074/100)*(C5074*VLOOKUP(B5074,'Poids des runes'!A:B,2,FALSE)))+1)/VLOOKUP(B5074,'Poids des runes'!A:B,2,FALSE))</f>
        <v>61.75</v>
      </c>
      <c r="F5074">
        <f t="shared" si="79"/>
        <v>61.75</v>
      </c>
    </row>
    <row r="5075" spans="1:6" x14ac:dyDescent="0.3">
      <c r="A5075" t="s">
        <v>1102</v>
      </c>
      <c r="B5075" t="s">
        <v>2129</v>
      </c>
      <c r="C5075">
        <v>25.5</v>
      </c>
      <c r="D5075">
        <v>150</v>
      </c>
      <c r="E5075">
        <f>IF(OR(B5075="vi",B5075="ii",B5075="pod"),(((D5075/100)*(C5075*VLOOKUP(B5075,'Poids des runes'!A:B,2,FALSE)))+1),(((D5075/100)*(C5075*VLOOKUP(B5075,'Poids des runes'!A:B,2,FALSE)))+1)/VLOOKUP(B5075,'Poids des runes'!A:B,2,FALSE))</f>
        <v>39.25</v>
      </c>
      <c r="F5075">
        <f t="shared" si="79"/>
        <v>39.25</v>
      </c>
    </row>
    <row r="5076" spans="1:6" x14ac:dyDescent="0.3">
      <c r="A5076" t="s">
        <v>1102</v>
      </c>
      <c r="B5076" t="s">
        <v>2152</v>
      </c>
      <c r="C5076">
        <v>1</v>
      </c>
      <c r="D5076">
        <v>150</v>
      </c>
      <c r="E5076">
        <f>IF(OR(B5076="vi",B5076="ii",B5076="pod"),(((D5076/100)*(C5076*VLOOKUP(B5076,'Poids des runes'!A:B,2,FALSE)))+1),(((D5076/100)*(C5076*VLOOKUP(B5076,'Poids des runes'!A:B,2,FALSE)))+1)/VLOOKUP(B5076,'Poids des runes'!A:B,2,FALSE))</f>
        <v>1.51</v>
      </c>
      <c r="F5076">
        <f t="shared" si="79"/>
        <v>1.51</v>
      </c>
    </row>
    <row r="5077" spans="1:6" x14ac:dyDescent="0.3">
      <c r="A5077" t="s">
        <v>1102</v>
      </c>
      <c r="B5077" t="s">
        <v>2150</v>
      </c>
      <c r="C5077">
        <v>1.5</v>
      </c>
      <c r="D5077">
        <v>150</v>
      </c>
      <c r="E5077">
        <f>IF(OR(B5077="vi",B5077="ii",B5077="pod"),(((D5077/100)*(C5077*VLOOKUP(B5077,'Poids des runes'!A:B,2,FALSE)))+1),(((D5077/100)*(C5077*VLOOKUP(B5077,'Poids des runes'!A:B,2,FALSE)))+1)/VLOOKUP(B5077,'Poids des runes'!A:B,2,FALSE))</f>
        <v>2.2833333333333332</v>
      </c>
      <c r="F5077">
        <f t="shared" si="79"/>
        <v>2.2833333333333332</v>
      </c>
    </row>
    <row r="5078" spans="1:6" x14ac:dyDescent="0.3">
      <c r="A5078" t="s">
        <v>1102</v>
      </c>
      <c r="B5078" t="s">
        <v>2143</v>
      </c>
      <c r="C5078">
        <v>13</v>
      </c>
      <c r="D5078">
        <v>150</v>
      </c>
      <c r="E5078">
        <f>IF(OR(B5078="vi",B5078="ii",B5078="pod"),(((D5078/100)*(C5078*VLOOKUP(B5078,'Poids des runes'!A:B,2,FALSE)))+1),(((D5078/100)*(C5078*VLOOKUP(B5078,'Poids des runes'!A:B,2,FALSE)))+1)/VLOOKUP(B5078,'Poids des runes'!A:B,2,FALSE))</f>
        <v>19.7</v>
      </c>
      <c r="F5078">
        <f t="shared" si="79"/>
        <v>19.7</v>
      </c>
    </row>
    <row r="5079" spans="1:6" x14ac:dyDescent="0.3">
      <c r="A5079" t="s">
        <v>1102</v>
      </c>
      <c r="B5079" t="s">
        <v>2161</v>
      </c>
      <c r="C5079">
        <v>13</v>
      </c>
      <c r="D5079">
        <v>150</v>
      </c>
      <c r="E5079">
        <f>IF(OR(B5079="vi",B5079="ii",B5079="pod"),(((D5079/100)*(C5079*VLOOKUP(B5079,'Poids des runes'!A:B,2,FALSE)))+1),(((D5079/100)*(C5079*VLOOKUP(B5079,'Poids des runes'!A:B,2,FALSE)))+1)/VLOOKUP(B5079,'Poids des runes'!A:B,2,FALSE))</f>
        <v>19.833333333333332</v>
      </c>
      <c r="F5079">
        <f t="shared" si="79"/>
        <v>19.833333333333332</v>
      </c>
    </row>
    <row r="5080" spans="1:6" x14ac:dyDescent="0.3">
      <c r="A5080" t="s">
        <v>1102</v>
      </c>
      <c r="B5080" t="s">
        <v>2165</v>
      </c>
      <c r="C5080">
        <v>4.5</v>
      </c>
      <c r="D5080">
        <v>150</v>
      </c>
      <c r="E5080">
        <f>IF(OR(B5080="vi",B5080="ii",B5080="pod"),(((D5080/100)*(C5080*VLOOKUP(B5080,'Poids des runes'!A:B,2,FALSE)))+1),(((D5080/100)*(C5080*VLOOKUP(B5080,'Poids des runes'!A:B,2,FALSE)))+1)/VLOOKUP(B5080,'Poids des runes'!A:B,2,FALSE))</f>
        <v>6.8928571428571432</v>
      </c>
      <c r="F5080">
        <f t="shared" si="79"/>
        <v>6.8928571428571432</v>
      </c>
    </row>
    <row r="5081" spans="1:6" x14ac:dyDescent="0.3">
      <c r="A5081" t="s">
        <v>1102</v>
      </c>
      <c r="B5081" t="s">
        <v>2142</v>
      </c>
      <c r="C5081">
        <v>8.5</v>
      </c>
      <c r="D5081">
        <v>150</v>
      </c>
      <c r="E5081">
        <f>IF(OR(B5081="vi",B5081="ii",B5081="pod"),(((D5081/100)*(C5081*VLOOKUP(B5081,'Poids des runes'!A:B,2,FALSE)))+1),(((D5081/100)*(C5081*VLOOKUP(B5081,'Poids des runes'!A:B,2,FALSE)))+1)/VLOOKUP(B5081,'Poids des runes'!A:B,2,FALSE))</f>
        <v>12.95</v>
      </c>
      <c r="F5081">
        <f t="shared" si="79"/>
        <v>12.95</v>
      </c>
    </row>
    <row r="5082" spans="1:6" x14ac:dyDescent="0.3">
      <c r="A5082" t="s">
        <v>1102</v>
      </c>
      <c r="B5082" t="s">
        <v>2147</v>
      </c>
      <c r="C5082">
        <v>8.5</v>
      </c>
      <c r="D5082">
        <v>150</v>
      </c>
      <c r="E5082">
        <f>IF(OR(B5082="vi",B5082="ii",B5082="pod"),(((D5082/100)*(C5082*VLOOKUP(B5082,'Poids des runes'!A:B,2,FALSE)))+1),(((D5082/100)*(C5082*VLOOKUP(B5082,'Poids des runes'!A:B,2,FALSE)))+1)/VLOOKUP(B5082,'Poids des runes'!A:B,2,FALSE))</f>
        <v>12.916666666666666</v>
      </c>
      <c r="F5082">
        <f t="shared" si="79"/>
        <v>12.916666666666666</v>
      </c>
    </row>
    <row r="5083" spans="1:6" x14ac:dyDescent="0.3">
      <c r="A5083" t="s">
        <v>1102</v>
      </c>
      <c r="B5083" t="s">
        <v>2145</v>
      </c>
      <c r="C5083">
        <v>17</v>
      </c>
      <c r="D5083">
        <v>150</v>
      </c>
      <c r="E5083">
        <f>IF(OR(B5083="vi",B5083="ii",B5083="pod"),(((D5083/100)*(C5083*VLOOKUP(B5083,'Poids des runes'!A:B,2,FALSE)))+1),(((D5083/100)*(C5083*VLOOKUP(B5083,'Poids des runes'!A:B,2,FALSE)))+1)/VLOOKUP(B5083,'Poids des runes'!A:B,2,FALSE))</f>
        <v>26</v>
      </c>
      <c r="F5083">
        <f t="shared" si="79"/>
        <v>26</v>
      </c>
    </row>
    <row r="5084" spans="1:6" x14ac:dyDescent="0.3">
      <c r="A5084" t="s">
        <v>1103</v>
      </c>
      <c r="B5084" t="s">
        <v>2128</v>
      </c>
      <c r="C5084">
        <v>175.5</v>
      </c>
      <c r="D5084">
        <v>150</v>
      </c>
      <c r="E5084">
        <f>IF(OR(B5084="vi",B5084="ii",B5084="pod"),(((D5084/100)*(C5084*VLOOKUP(B5084,'Poids des runes'!A:B,2,FALSE)))+1),(((D5084/100)*(C5084*VLOOKUP(B5084,'Poids des runes'!A:B,2,FALSE)))+1)/VLOOKUP(B5084,'Poids des runes'!A:B,2,FALSE))</f>
        <v>53.650000000000006</v>
      </c>
      <c r="F5084">
        <f t="shared" si="79"/>
        <v>53.650000000000006</v>
      </c>
    </row>
    <row r="5085" spans="1:6" x14ac:dyDescent="0.3">
      <c r="A5085" t="s">
        <v>1103</v>
      </c>
      <c r="B5085" t="s">
        <v>2131</v>
      </c>
      <c r="C5085">
        <v>40.5</v>
      </c>
      <c r="D5085">
        <v>150</v>
      </c>
      <c r="E5085">
        <f>IF(OR(B5085="vi",B5085="ii",B5085="pod"),(((D5085/100)*(C5085*VLOOKUP(B5085,'Poids des runes'!A:B,2,FALSE)))+1),(((D5085/100)*(C5085*VLOOKUP(B5085,'Poids des runes'!A:B,2,FALSE)))+1)/VLOOKUP(B5085,'Poids des runes'!A:B,2,FALSE))</f>
        <v>61.75</v>
      </c>
      <c r="F5085">
        <f t="shared" si="79"/>
        <v>61.75</v>
      </c>
    </row>
    <row r="5086" spans="1:6" x14ac:dyDescent="0.3">
      <c r="A5086" t="s">
        <v>1103</v>
      </c>
      <c r="B5086" t="s">
        <v>2129</v>
      </c>
      <c r="C5086">
        <v>25.5</v>
      </c>
      <c r="D5086">
        <v>150</v>
      </c>
      <c r="E5086">
        <f>IF(OR(B5086="vi",B5086="ii",B5086="pod"),(((D5086/100)*(C5086*VLOOKUP(B5086,'Poids des runes'!A:B,2,FALSE)))+1),(((D5086/100)*(C5086*VLOOKUP(B5086,'Poids des runes'!A:B,2,FALSE)))+1)/VLOOKUP(B5086,'Poids des runes'!A:B,2,FALSE))</f>
        <v>39.25</v>
      </c>
      <c r="F5086">
        <f t="shared" si="79"/>
        <v>39.25</v>
      </c>
    </row>
    <row r="5087" spans="1:6" x14ac:dyDescent="0.3">
      <c r="A5087" t="s">
        <v>1103</v>
      </c>
      <c r="B5087" t="s">
        <v>2154</v>
      </c>
      <c r="C5087">
        <v>1</v>
      </c>
      <c r="D5087">
        <v>150</v>
      </c>
      <c r="E5087">
        <f>IF(OR(B5087="vi",B5087="ii",B5087="pod"),(((D5087/100)*(C5087*VLOOKUP(B5087,'Poids des runes'!A:B,2,FALSE)))+1),(((D5087/100)*(C5087*VLOOKUP(B5087,'Poids des runes'!A:B,2,FALSE)))+1)/VLOOKUP(B5087,'Poids des runes'!A:B,2,FALSE))</f>
        <v>1.5111111111111111</v>
      </c>
      <c r="F5087">
        <f t="shared" si="79"/>
        <v>1.5111111111111111</v>
      </c>
    </row>
    <row r="5088" spans="1:6" x14ac:dyDescent="0.3">
      <c r="A5088" t="s">
        <v>1103</v>
      </c>
      <c r="B5088" t="s">
        <v>2155</v>
      </c>
      <c r="C5088">
        <v>1</v>
      </c>
      <c r="D5088">
        <v>150</v>
      </c>
      <c r="E5088">
        <f>IF(OR(B5088="vi",B5088="ii",B5088="pod"),(((D5088/100)*(C5088*VLOOKUP(B5088,'Poids des runes'!A:B,2,FALSE)))+1),(((D5088/100)*(C5088*VLOOKUP(B5088,'Poids des runes'!A:B,2,FALSE)))+1)/VLOOKUP(B5088,'Poids des runes'!A:B,2,FALSE))</f>
        <v>1.5196078431372548</v>
      </c>
      <c r="F5088">
        <f t="shared" si="79"/>
        <v>1.5196078431372548</v>
      </c>
    </row>
    <row r="5089" spans="1:6" x14ac:dyDescent="0.3">
      <c r="A5089" t="s">
        <v>1103</v>
      </c>
      <c r="B5089" t="s">
        <v>2140</v>
      </c>
      <c r="C5089">
        <v>13</v>
      </c>
      <c r="D5089">
        <v>150</v>
      </c>
      <c r="E5089">
        <f>IF(OR(B5089="vi",B5089="ii",B5089="pod"),(((D5089/100)*(C5089*VLOOKUP(B5089,'Poids des runes'!A:B,2,FALSE)))+1),(((D5089/100)*(C5089*VLOOKUP(B5089,'Poids des runes'!A:B,2,FALSE)))+1)/VLOOKUP(B5089,'Poids des runes'!A:B,2,FALSE))</f>
        <v>19.7</v>
      </c>
      <c r="F5089">
        <f t="shared" si="79"/>
        <v>19.7</v>
      </c>
    </row>
    <row r="5090" spans="1:6" x14ac:dyDescent="0.3">
      <c r="A5090" t="s">
        <v>1103</v>
      </c>
      <c r="B5090" t="s">
        <v>2161</v>
      </c>
      <c r="C5090">
        <v>13</v>
      </c>
      <c r="D5090">
        <v>150</v>
      </c>
      <c r="E5090">
        <f>IF(OR(B5090="vi",B5090="ii",B5090="pod"),(((D5090/100)*(C5090*VLOOKUP(B5090,'Poids des runes'!A:B,2,FALSE)))+1),(((D5090/100)*(C5090*VLOOKUP(B5090,'Poids des runes'!A:B,2,FALSE)))+1)/VLOOKUP(B5090,'Poids des runes'!A:B,2,FALSE))</f>
        <v>19.833333333333332</v>
      </c>
      <c r="F5090">
        <f t="shared" si="79"/>
        <v>19.833333333333332</v>
      </c>
    </row>
    <row r="5091" spans="1:6" x14ac:dyDescent="0.3">
      <c r="A5091" t="s">
        <v>1103</v>
      </c>
      <c r="B5091" t="s">
        <v>2138</v>
      </c>
      <c r="C5091">
        <v>4.5</v>
      </c>
      <c r="D5091">
        <v>150</v>
      </c>
      <c r="E5091">
        <f>IF(OR(B5091="vi",B5091="ii",B5091="pod"),(((D5091/100)*(C5091*VLOOKUP(B5091,'Poids des runes'!A:B,2,FALSE)))+1),(((D5091/100)*(C5091*VLOOKUP(B5091,'Poids des runes'!A:B,2,FALSE)))+1)/VLOOKUP(B5091,'Poids des runes'!A:B,2,FALSE))</f>
        <v>7</v>
      </c>
      <c r="F5091">
        <f t="shared" si="79"/>
        <v>7</v>
      </c>
    </row>
    <row r="5092" spans="1:6" x14ac:dyDescent="0.3">
      <c r="A5092" t="s">
        <v>1103</v>
      </c>
      <c r="B5092" t="s">
        <v>2160</v>
      </c>
      <c r="C5092">
        <v>4.5</v>
      </c>
      <c r="D5092">
        <v>150</v>
      </c>
      <c r="E5092">
        <f>IF(OR(B5092="vi",B5092="ii",B5092="pod"),(((D5092/100)*(C5092*VLOOKUP(B5092,'Poids des runes'!A:B,2,FALSE)))+1),(((D5092/100)*(C5092*VLOOKUP(B5092,'Poids des runes'!A:B,2,FALSE)))+1)/VLOOKUP(B5092,'Poids des runes'!A:B,2,FALSE))</f>
        <v>6.8928571428571432</v>
      </c>
      <c r="F5092">
        <f t="shared" si="79"/>
        <v>6.8928571428571432</v>
      </c>
    </row>
    <row r="5093" spans="1:6" x14ac:dyDescent="0.3">
      <c r="A5093" t="s">
        <v>1103</v>
      </c>
      <c r="B5093" t="s">
        <v>2148</v>
      </c>
      <c r="C5093">
        <v>8.5</v>
      </c>
      <c r="D5093">
        <v>150</v>
      </c>
      <c r="E5093">
        <f>IF(OR(B5093="vi",B5093="ii",B5093="pod"),(((D5093/100)*(C5093*VLOOKUP(B5093,'Poids des runes'!A:B,2,FALSE)))+1),(((D5093/100)*(C5093*VLOOKUP(B5093,'Poids des runes'!A:B,2,FALSE)))+1)/VLOOKUP(B5093,'Poids des runes'!A:B,2,FALSE))</f>
        <v>12.916666666666666</v>
      </c>
      <c r="F5093">
        <f t="shared" si="79"/>
        <v>12.916666666666666</v>
      </c>
    </row>
    <row r="5094" spans="1:6" x14ac:dyDescent="0.3">
      <c r="A5094" t="s">
        <v>1103</v>
      </c>
      <c r="B5094" t="s">
        <v>2146</v>
      </c>
      <c r="C5094">
        <v>17</v>
      </c>
      <c r="D5094">
        <v>150</v>
      </c>
      <c r="E5094">
        <f>IF(OR(B5094="vi",B5094="ii",B5094="pod"),(((D5094/100)*(C5094*VLOOKUP(B5094,'Poids des runes'!A:B,2,FALSE)))+1),(((D5094/100)*(C5094*VLOOKUP(B5094,'Poids des runes'!A:B,2,FALSE)))+1)/VLOOKUP(B5094,'Poids des runes'!A:B,2,FALSE))</f>
        <v>26</v>
      </c>
      <c r="F5094">
        <f t="shared" si="79"/>
        <v>26</v>
      </c>
    </row>
    <row r="5095" spans="1:6" x14ac:dyDescent="0.3">
      <c r="A5095" t="s">
        <v>1104</v>
      </c>
      <c r="B5095" t="s">
        <v>2128</v>
      </c>
      <c r="C5095">
        <v>175.5</v>
      </c>
      <c r="D5095">
        <v>150</v>
      </c>
      <c r="E5095">
        <f>IF(OR(B5095="vi",B5095="ii",B5095="pod"),(((D5095/100)*(C5095*VLOOKUP(B5095,'Poids des runes'!A:B,2,FALSE)))+1),(((D5095/100)*(C5095*VLOOKUP(B5095,'Poids des runes'!A:B,2,FALSE)))+1)/VLOOKUP(B5095,'Poids des runes'!A:B,2,FALSE))</f>
        <v>53.650000000000006</v>
      </c>
      <c r="F5095">
        <f t="shared" si="79"/>
        <v>53.650000000000006</v>
      </c>
    </row>
    <row r="5096" spans="1:6" x14ac:dyDescent="0.3">
      <c r="A5096" t="s">
        <v>1104</v>
      </c>
      <c r="B5096" t="s">
        <v>2126</v>
      </c>
      <c r="C5096">
        <v>50.5</v>
      </c>
      <c r="D5096">
        <v>150</v>
      </c>
      <c r="E5096">
        <f>IF(OR(B5096="vi",B5096="ii",B5096="pod"),(((D5096/100)*(C5096*VLOOKUP(B5096,'Poids des runes'!A:B,2,FALSE)))+1),(((D5096/100)*(C5096*VLOOKUP(B5096,'Poids des runes'!A:B,2,FALSE)))+1)/VLOOKUP(B5096,'Poids des runes'!A:B,2,FALSE))</f>
        <v>76.75</v>
      </c>
      <c r="F5096">
        <f t="shared" si="79"/>
        <v>76.75</v>
      </c>
    </row>
    <row r="5097" spans="1:6" x14ac:dyDescent="0.3">
      <c r="A5097" t="s">
        <v>1104</v>
      </c>
      <c r="B5097" t="s">
        <v>2129</v>
      </c>
      <c r="C5097">
        <v>35.5</v>
      </c>
      <c r="D5097">
        <v>150</v>
      </c>
      <c r="E5097">
        <f>IF(OR(B5097="vi",B5097="ii",B5097="pod"),(((D5097/100)*(C5097*VLOOKUP(B5097,'Poids des runes'!A:B,2,FALSE)))+1),(((D5097/100)*(C5097*VLOOKUP(B5097,'Poids des runes'!A:B,2,FALSE)))+1)/VLOOKUP(B5097,'Poids des runes'!A:B,2,FALSE))</f>
        <v>54.25</v>
      </c>
      <c r="F5097">
        <f t="shared" si="79"/>
        <v>54.25</v>
      </c>
    </row>
    <row r="5098" spans="1:6" x14ac:dyDescent="0.3">
      <c r="A5098" t="s">
        <v>1104</v>
      </c>
      <c r="B5098" t="s">
        <v>2151</v>
      </c>
      <c r="C5098">
        <v>2.5</v>
      </c>
      <c r="D5098">
        <v>150</v>
      </c>
      <c r="E5098">
        <f>IF(OR(B5098="vi",B5098="ii",B5098="pod"),(((D5098/100)*(C5098*VLOOKUP(B5098,'Poids des runes'!A:B,2,FALSE)))+1),(((D5098/100)*(C5098*VLOOKUP(B5098,'Poids des runes'!A:B,2,FALSE)))+1)/VLOOKUP(B5098,'Poids des runes'!A:B,2,FALSE))</f>
        <v>3.85</v>
      </c>
      <c r="F5098">
        <f t="shared" si="79"/>
        <v>3.85</v>
      </c>
    </row>
    <row r="5099" spans="1:6" x14ac:dyDescent="0.3">
      <c r="A5099" t="s">
        <v>1104</v>
      </c>
      <c r="B5099" t="s">
        <v>2140</v>
      </c>
      <c r="C5099">
        <v>8.5</v>
      </c>
      <c r="D5099">
        <v>150</v>
      </c>
      <c r="E5099">
        <f>IF(OR(B5099="vi",B5099="ii",B5099="pod"),(((D5099/100)*(C5099*VLOOKUP(B5099,'Poids des runes'!A:B,2,FALSE)))+1),(((D5099/100)*(C5099*VLOOKUP(B5099,'Poids des runes'!A:B,2,FALSE)))+1)/VLOOKUP(B5099,'Poids des runes'!A:B,2,FALSE))</f>
        <v>12.95</v>
      </c>
      <c r="F5099">
        <f t="shared" si="79"/>
        <v>12.95</v>
      </c>
    </row>
    <row r="5100" spans="1:6" x14ac:dyDescent="0.3">
      <c r="A5100" t="s">
        <v>1104</v>
      </c>
      <c r="B5100" t="s">
        <v>2132</v>
      </c>
      <c r="C5100">
        <v>300.5</v>
      </c>
      <c r="D5100">
        <v>150</v>
      </c>
      <c r="E5100">
        <f>IF(OR(B5100="vi",B5100="ii",B5100="pod"),(((D5100/100)*(C5100*VLOOKUP(B5100,'Poids des runes'!A:B,2,FALSE)))+1),(((D5100/100)*(C5100*VLOOKUP(B5100,'Poids des runes'!A:B,2,FALSE)))+1)/VLOOKUP(B5100,'Poids des runes'!A:B,2,FALSE))</f>
        <v>46.075000000000003</v>
      </c>
      <c r="F5100">
        <f t="shared" si="79"/>
        <v>46.075000000000003</v>
      </c>
    </row>
    <row r="5101" spans="1:6" x14ac:dyDescent="0.3">
      <c r="A5101" t="s">
        <v>1104</v>
      </c>
      <c r="B5101" t="s">
        <v>2147</v>
      </c>
      <c r="C5101">
        <v>8.5</v>
      </c>
      <c r="D5101">
        <v>150</v>
      </c>
      <c r="E5101">
        <f>IF(OR(B5101="vi",B5101="ii",B5101="pod"),(((D5101/100)*(C5101*VLOOKUP(B5101,'Poids des runes'!A:B,2,FALSE)))+1),(((D5101/100)*(C5101*VLOOKUP(B5101,'Poids des runes'!A:B,2,FALSE)))+1)/VLOOKUP(B5101,'Poids des runes'!A:B,2,FALSE))</f>
        <v>12.916666666666666</v>
      </c>
      <c r="F5101">
        <f t="shared" si="79"/>
        <v>12.916666666666666</v>
      </c>
    </row>
    <row r="5102" spans="1:6" x14ac:dyDescent="0.3">
      <c r="A5102" t="s">
        <v>1104</v>
      </c>
      <c r="B5102" t="s">
        <v>2144</v>
      </c>
      <c r="C5102">
        <v>13</v>
      </c>
      <c r="D5102">
        <v>150</v>
      </c>
      <c r="E5102">
        <f>IF(OR(B5102="vi",B5102="ii",B5102="pod"),(((D5102/100)*(C5102*VLOOKUP(B5102,'Poids des runes'!A:B,2,FALSE)))+1),(((D5102/100)*(C5102*VLOOKUP(B5102,'Poids des runes'!A:B,2,FALSE)))+1)/VLOOKUP(B5102,'Poids des runes'!A:B,2,FALSE))</f>
        <v>20</v>
      </c>
      <c r="F5102">
        <f t="shared" si="79"/>
        <v>20</v>
      </c>
    </row>
    <row r="5103" spans="1:6" x14ac:dyDescent="0.3">
      <c r="A5103" t="s">
        <v>1105</v>
      </c>
      <c r="B5103" t="s">
        <v>2128</v>
      </c>
      <c r="C5103">
        <v>175.5</v>
      </c>
      <c r="D5103">
        <v>150</v>
      </c>
      <c r="E5103">
        <f>IF(OR(B5103="vi",B5103="ii",B5103="pod"),(((D5103/100)*(C5103*VLOOKUP(B5103,'Poids des runes'!A:B,2,FALSE)))+1),(((D5103/100)*(C5103*VLOOKUP(B5103,'Poids des runes'!A:B,2,FALSE)))+1)/VLOOKUP(B5103,'Poids des runes'!A:B,2,FALSE))</f>
        <v>53.650000000000006</v>
      </c>
      <c r="F5103">
        <f t="shared" si="79"/>
        <v>53.650000000000006</v>
      </c>
    </row>
    <row r="5104" spans="1:6" x14ac:dyDescent="0.3">
      <c r="A5104" t="s">
        <v>1105</v>
      </c>
      <c r="B5104" t="s">
        <v>2131</v>
      </c>
      <c r="C5104">
        <v>50.5</v>
      </c>
      <c r="D5104">
        <v>150</v>
      </c>
      <c r="E5104">
        <f>IF(OR(B5104="vi",B5104="ii",B5104="pod"),(((D5104/100)*(C5104*VLOOKUP(B5104,'Poids des runes'!A:B,2,FALSE)))+1),(((D5104/100)*(C5104*VLOOKUP(B5104,'Poids des runes'!A:B,2,FALSE)))+1)/VLOOKUP(B5104,'Poids des runes'!A:B,2,FALSE))</f>
        <v>76.75</v>
      </c>
      <c r="F5104">
        <f t="shared" si="79"/>
        <v>76.75</v>
      </c>
    </row>
    <row r="5105" spans="1:6" x14ac:dyDescent="0.3">
      <c r="A5105" t="s">
        <v>1105</v>
      </c>
      <c r="B5105" t="s">
        <v>2129</v>
      </c>
      <c r="C5105">
        <v>35.5</v>
      </c>
      <c r="D5105">
        <v>150</v>
      </c>
      <c r="E5105">
        <f>IF(OR(B5105="vi",B5105="ii",B5105="pod"),(((D5105/100)*(C5105*VLOOKUP(B5105,'Poids des runes'!A:B,2,FALSE)))+1),(((D5105/100)*(C5105*VLOOKUP(B5105,'Poids des runes'!A:B,2,FALSE)))+1)/VLOOKUP(B5105,'Poids des runes'!A:B,2,FALSE))</f>
        <v>54.25</v>
      </c>
      <c r="F5105">
        <f t="shared" si="79"/>
        <v>54.25</v>
      </c>
    </row>
    <row r="5106" spans="1:6" x14ac:dyDescent="0.3">
      <c r="A5106" t="s">
        <v>1105</v>
      </c>
      <c r="B5106" t="s">
        <v>2151</v>
      </c>
      <c r="C5106">
        <v>2.5</v>
      </c>
      <c r="D5106">
        <v>150</v>
      </c>
      <c r="E5106">
        <f>IF(OR(B5106="vi",B5106="ii",B5106="pod"),(((D5106/100)*(C5106*VLOOKUP(B5106,'Poids des runes'!A:B,2,FALSE)))+1),(((D5106/100)*(C5106*VLOOKUP(B5106,'Poids des runes'!A:B,2,FALSE)))+1)/VLOOKUP(B5106,'Poids des runes'!A:B,2,FALSE))</f>
        <v>3.85</v>
      </c>
      <c r="F5106">
        <f t="shared" si="79"/>
        <v>3.85</v>
      </c>
    </row>
    <row r="5107" spans="1:6" x14ac:dyDescent="0.3">
      <c r="A5107" t="s">
        <v>1105</v>
      </c>
      <c r="B5107" t="s">
        <v>2133</v>
      </c>
      <c r="C5107">
        <v>8.5</v>
      </c>
      <c r="D5107">
        <v>150</v>
      </c>
      <c r="E5107">
        <f>IF(OR(B5107="vi",B5107="ii",B5107="pod"),(((D5107/100)*(C5107*VLOOKUP(B5107,'Poids des runes'!A:B,2,FALSE)))+1),(((D5107/100)*(C5107*VLOOKUP(B5107,'Poids des runes'!A:B,2,FALSE)))+1)/VLOOKUP(B5107,'Poids des runes'!A:B,2,FALSE))</f>
        <v>12.95</v>
      </c>
      <c r="F5107">
        <f t="shared" si="79"/>
        <v>12.95</v>
      </c>
    </row>
    <row r="5108" spans="1:6" x14ac:dyDescent="0.3">
      <c r="A5108" t="s">
        <v>1105</v>
      </c>
      <c r="B5108" t="s">
        <v>2132</v>
      </c>
      <c r="C5108">
        <v>300.5</v>
      </c>
      <c r="D5108">
        <v>150</v>
      </c>
      <c r="E5108">
        <f>IF(OR(B5108="vi",B5108="ii",B5108="pod"),(((D5108/100)*(C5108*VLOOKUP(B5108,'Poids des runes'!A:B,2,FALSE)))+1),(((D5108/100)*(C5108*VLOOKUP(B5108,'Poids des runes'!A:B,2,FALSE)))+1)/VLOOKUP(B5108,'Poids des runes'!A:B,2,FALSE))</f>
        <v>46.075000000000003</v>
      </c>
      <c r="F5108">
        <f t="shared" si="79"/>
        <v>46.075000000000003</v>
      </c>
    </row>
    <row r="5109" spans="1:6" x14ac:dyDescent="0.3">
      <c r="A5109" t="s">
        <v>1105</v>
      </c>
      <c r="B5109" t="s">
        <v>2135</v>
      </c>
      <c r="C5109">
        <v>8.5</v>
      </c>
      <c r="D5109">
        <v>150</v>
      </c>
      <c r="E5109">
        <f>IF(OR(B5109="vi",B5109="ii",B5109="pod"),(((D5109/100)*(C5109*VLOOKUP(B5109,'Poids des runes'!A:B,2,FALSE)))+1),(((D5109/100)*(C5109*VLOOKUP(B5109,'Poids des runes'!A:B,2,FALSE)))+1)/VLOOKUP(B5109,'Poids des runes'!A:B,2,FALSE))</f>
        <v>12.916666666666666</v>
      </c>
      <c r="F5109">
        <f t="shared" si="79"/>
        <v>12.916666666666666</v>
      </c>
    </row>
    <row r="5110" spans="1:6" x14ac:dyDescent="0.3">
      <c r="A5110" t="s">
        <v>1105</v>
      </c>
      <c r="B5110" t="s">
        <v>2145</v>
      </c>
      <c r="C5110">
        <v>13</v>
      </c>
      <c r="D5110">
        <v>150</v>
      </c>
      <c r="E5110">
        <f>IF(OR(B5110="vi",B5110="ii",B5110="pod"),(((D5110/100)*(C5110*VLOOKUP(B5110,'Poids des runes'!A:B,2,FALSE)))+1),(((D5110/100)*(C5110*VLOOKUP(B5110,'Poids des runes'!A:B,2,FALSE)))+1)/VLOOKUP(B5110,'Poids des runes'!A:B,2,FALSE))</f>
        <v>20</v>
      </c>
      <c r="F5110">
        <f t="shared" si="79"/>
        <v>20</v>
      </c>
    </row>
    <row r="5111" spans="1:6" x14ac:dyDescent="0.3">
      <c r="A5111" t="s">
        <v>1106</v>
      </c>
      <c r="B5111" t="s">
        <v>2128</v>
      </c>
      <c r="C5111">
        <v>175.5</v>
      </c>
      <c r="D5111">
        <v>150</v>
      </c>
      <c r="E5111">
        <f>IF(OR(B5111="vi",B5111="ii",B5111="pod"),(((D5111/100)*(C5111*VLOOKUP(B5111,'Poids des runes'!A:B,2,FALSE)))+1),(((D5111/100)*(C5111*VLOOKUP(B5111,'Poids des runes'!A:B,2,FALSE)))+1)/VLOOKUP(B5111,'Poids des runes'!A:B,2,FALSE))</f>
        <v>53.650000000000006</v>
      </c>
      <c r="F5111">
        <f t="shared" si="79"/>
        <v>53.650000000000006</v>
      </c>
    </row>
    <row r="5112" spans="1:6" x14ac:dyDescent="0.3">
      <c r="A5112" t="s">
        <v>1106</v>
      </c>
      <c r="B5112" t="s">
        <v>2130</v>
      </c>
      <c r="C5112">
        <v>50.5</v>
      </c>
      <c r="D5112">
        <v>150</v>
      </c>
      <c r="E5112">
        <f>IF(OR(B5112="vi",B5112="ii",B5112="pod"),(((D5112/100)*(C5112*VLOOKUP(B5112,'Poids des runes'!A:B,2,FALSE)))+1),(((D5112/100)*(C5112*VLOOKUP(B5112,'Poids des runes'!A:B,2,FALSE)))+1)/VLOOKUP(B5112,'Poids des runes'!A:B,2,FALSE))</f>
        <v>76.75</v>
      </c>
      <c r="F5112">
        <f t="shared" si="79"/>
        <v>76.75</v>
      </c>
    </row>
    <row r="5113" spans="1:6" x14ac:dyDescent="0.3">
      <c r="A5113" t="s">
        <v>1106</v>
      </c>
      <c r="B5113" t="s">
        <v>2129</v>
      </c>
      <c r="C5113">
        <v>35.5</v>
      </c>
      <c r="D5113">
        <v>150</v>
      </c>
      <c r="E5113">
        <f>IF(OR(B5113="vi",B5113="ii",B5113="pod"),(((D5113/100)*(C5113*VLOOKUP(B5113,'Poids des runes'!A:B,2,FALSE)))+1),(((D5113/100)*(C5113*VLOOKUP(B5113,'Poids des runes'!A:B,2,FALSE)))+1)/VLOOKUP(B5113,'Poids des runes'!A:B,2,FALSE))</f>
        <v>54.25</v>
      </c>
      <c r="F5113">
        <f t="shared" si="79"/>
        <v>54.25</v>
      </c>
    </row>
    <row r="5114" spans="1:6" x14ac:dyDescent="0.3">
      <c r="A5114" t="s">
        <v>1106</v>
      </c>
      <c r="B5114" t="s">
        <v>2151</v>
      </c>
      <c r="C5114">
        <v>2.5</v>
      </c>
      <c r="D5114">
        <v>150</v>
      </c>
      <c r="E5114">
        <f>IF(OR(B5114="vi",B5114="ii",B5114="pod"),(((D5114/100)*(C5114*VLOOKUP(B5114,'Poids des runes'!A:B,2,FALSE)))+1),(((D5114/100)*(C5114*VLOOKUP(B5114,'Poids des runes'!A:B,2,FALSE)))+1)/VLOOKUP(B5114,'Poids des runes'!A:B,2,FALSE))</f>
        <v>3.85</v>
      </c>
      <c r="F5114">
        <f t="shared" si="79"/>
        <v>3.85</v>
      </c>
    </row>
    <row r="5115" spans="1:6" x14ac:dyDescent="0.3">
      <c r="A5115" t="s">
        <v>1106</v>
      </c>
      <c r="B5115" t="s">
        <v>2143</v>
      </c>
      <c r="C5115">
        <v>8.5</v>
      </c>
      <c r="D5115">
        <v>150</v>
      </c>
      <c r="E5115">
        <f>IF(OR(B5115="vi",B5115="ii",B5115="pod"),(((D5115/100)*(C5115*VLOOKUP(B5115,'Poids des runes'!A:B,2,FALSE)))+1),(((D5115/100)*(C5115*VLOOKUP(B5115,'Poids des runes'!A:B,2,FALSE)))+1)/VLOOKUP(B5115,'Poids des runes'!A:B,2,FALSE))</f>
        <v>12.95</v>
      </c>
      <c r="F5115">
        <f t="shared" si="79"/>
        <v>12.95</v>
      </c>
    </row>
    <row r="5116" spans="1:6" x14ac:dyDescent="0.3">
      <c r="A5116" t="s">
        <v>1106</v>
      </c>
      <c r="B5116" t="s">
        <v>2132</v>
      </c>
      <c r="C5116">
        <v>300.5</v>
      </c>
      <c r="D5116">
        <v>150</v>
      </c>
      <c r="E5116">
        <f>IF(OR(B5116="vi",B5116="ii",B5116="pod"),(((D5116/100)*(C5116*VLOOKUP(B5116,'Poids des runes'!A:B,2,FALSE)))+1),(((D5116/100)*(C5116*VLOOKUP(B5116,'Poids des runes'!A:B,2,FALSE)))+1)/VLOOKUP(B5116,'Poids des runes'!A:B,2,FALSE))</f>
        <v>46.075000000000003</v>
      </c>
      <c r="F5116">
        <f t="shared" si="79"/>
        <v>46.075000000000003</v>
      </c>
    </row>
    <row r="5117" spans="1:6" x14ac:dyDescent="0.3">
      <c r="A5117" t="s">
        <v>1106</v>
      </c>
      <c r="B5117" t="s">
        <v>2148</v>
      </c>
      <c r="C5117">
        <v>8.5</v>
      </c>
      <c r="D5117">
        <v>150</v>
      </c>
      <c r="E5117">
        <f>IF(OR(B5117="vi",B5117="ii",B5117="pod"),(((D5117/100)*(C5117*VLOOKUP(B5117,'Poids des runes'!A:B,2,FALSE)))+1),(((D5117/100)*(C5117*VLOOKUP(B5117,'Poids des runes'!A:B,2,FALSE)))+1)/VLOOKUP(B5117,'Poids des runes'!A:B,2,FALSE))</f>
        <v>12.916666666666666</v>
      </c>
      <c r="F5117">
        <f t="shared" si="79"/>
        <v>12.916666666666666</v>
      </c>
    </row>
    <row r="5118" spans="1:6" x14ac:dyDescent="0.3">
      <c r="A5118" t="s">
        <v>1106</v>
      </c>
      <c r="B5118" t="s">
        <v>2137</v>
      </c>
      <c r="C5118">
        <v>13</v>
      </c>
      <c r="D5118">
        <v>150</v>
      </c>
      <c r="E5118">
        <f>IF(OR(B5118="vi",B5118="ii",B5118="pod"),(((D5118/100)*(C5118*VLOOKUP(B5118,'Poids des runes'!A:B,2,FALSE)))+1),(((D5118/100)*(C5118*VLOOKUP(B5118,'Poids des runes'!A:B,2,FALSE)))+1)/VLOOKUP(B5118,'Poids des runes'!A:B,2,FALSE))</f>
        <v>20</v>
      </c>
      <c r="F5118">
        <f t="shared" si="79"/>
        <v>20</v>
      </c>
    </row>
    <row r="5119" spans="1:6" x14ac:dyDescent="0.3">
      <c r="A5119" t="s">
        <v>1107</v>
      </c>
      <c r="B5119" t="s">
        <v>2128</v>
      </c>
      <c r="C5119">
        <v>175.5</v>
      </c>
      <c r="D5119">
        <v>150</v>
      </c>
      <c r="E5119">
        <f>IF(OR(B5119="vi",B5119="ii",B5119="pod"),(((D5119/100)*(C5119*VLOOKUP(B5119,'Poids des runes'!A:B,2,FALSE)))+1),(((D5119/100)*(C5119*VLOOKUP(B5119,'Poids des runes'!A:B,2,FALSE)))+1)/VLOOKUP(B5119,'Poids des runes'!A:B,2,FALSE))</f>
        <v>53.650000000000006</v>
      </c>
      <c r="F5119">
        <f t="shared" si="79"/>
        <v>53.650000000000006</v>
      </c>
    </row>
    <row r="5120" spans="1:6" x14ac:dyDescent="0.3">
      <c r="A5120" t="s">
        <v>1107</v>
      </c>
      <c r="B5120" t="s">
        <v>2127</v>
      </c>
      <c r="C5120">
        <v>50.5</v>
      </c>
      <c r="D5120">
        <v>150</v>
      </c>
      <c r="E5120">
        <f>IF(OR(B5120="vi",B5120="ii",B5120="pod"),(((D5120/100)*(C5120*VLOOKUP(B5120,'Poids des runes'!A:B,2,FALSE)))+1),(((D5120/100)*(C5120*VLOOKUP(B5120,'Poids des runes'!A:B,2,FALSE)))+1)/VLOOKUP(B5120,'Poids des runes'!A:B,2,FALSE))</f>
        <v>76.75</v>
      </c>
      <c r="F5120">
        <f t="shared" si="79"/>
        <v>76.75</v>
      </c>
    </row>
    <row r="5121" spans="1:6" x14ac:dyDescent="0.3">
      <c r="A5121" t="s">
        <v>1107</v>
      </c>
      <c r="B5121" t="s">
        <v>2129</v>
      </c>
      <c r="C5121">
        <v>35.5</v>
      </c>
      <c r="D5121">
        <v>150</v>
      </c>
      <c r="E5121">
        <f>IF(OR(B5121="vi",B5121="ii",B5121="pod"),(((D5121/100)*(C5121*VLOOKUP(B5121,'Poids des runes'!A:B,2,FALSE)))+1),(((D5121/100)*(C5121*VLOOKUP(B5121,'Poids des runes'!A:B,2,FALSE)))+1)/VLOOKUP(B5121,'Poids des runes'!A:B,2,FALSE))</f>
        <v>54.25</v>
      </c>
      <c r="F5121">
        <f t="shared" si="79"/>
        <v>54.25</v>
      </c>
    </row>
    <row r="5122" spans="1:6" x14ac:dyDescent="0.3">
      <c r="A5122" t="s">
        <v>1107</v>
      </c>
      <c r="B5122" t="s">
        <v>2151</v>
      </c>
      <c r="C5122">
        <v>2.5</v>
      </c>
      <c r="D5122">
        <v>150</v>
      </c>
      <c r="E5122">
        <f>IF(OR(B5122="vi",B5122="ii",B5122="pod"),(((D5122/100)*(C5122*VLOOKUP(B5122,'Poids des runes'!A:B,2,FALSE)))+1),(((D5122/100)*(C5122*VLOOKUP(B5122,'Poids des runes'!A:B,2,FALSE)))+1)/VLOOKUP(B5122,'Poids des runes'!A:B,2,FALSE))</f>
        <v>3.85</v>
      </c>
      <c r="F5122">
        <f t="shared" si="79"/>
        <v>3.85</v>
      </c>
    </row>
    <row r="5123" spans="1:6" x14ac:dyDescent="0.3">
      <c r="A5123" t="s">
        <v>1107</v>
      </c>
      <c r="B5123" t="s">
        <v>2153</v>
      </c>
      <c r="C5123">
        <v>8.5</v>
      </c>
      <c r="D5123">
        <v>150</v>
      </c>
      <c r="E5123">
        <f>IF(OR(B5123="vi",B5123="ii",B5123="pod"),(((D5123/100)*(C5123*VLOOKUP(B5123,'Poids des runes'!A:B,2,FALSE)))+1),(((D5123/100)*(C5123*VLOOKUP(B5123,'Poids des runes'!A:B,2,FALSE)))+1)/VLOOKUP(B5123,'Poids des runes'!A:B,2,FALSE))</f>
        <v>12.95</v>
      </c>
      <c r="F5123">
        <f t="shared" ref="F5123:F5186" si="80">E5123</f>
        <v>12.95</v>
      </c>
    </row>
    <row r="5124" spans="1:6" x14ac:dyDescent="0.3">
      <c r="A5124" t="s">
        <v>1107</v>
      </c>
      <c r="B5124" t="s">
        <v>2132</v>
      </c>
      <c r="C5124">
        <v>300.5</v>
      </c>
      <c r="D5124">
        <v>150</v>
      </c>
      <c r="E5124">
        <f>IF(OR(B5124="vi",B5124="ii",B5124="pod"),(((D5124/100)*(C5124*VLOOKUP(B5124,'Poids des runes'!A:B,2,FALSE)))+1),(((D5124/100)*(C5124*VLOOKUP(B5124,'Poids des runes'!A:B,2,FALSE)))+1)/VLOOKUP(B5124,'Poids des runes'!A:B,2,FALSE))</f>
        <v>46.075000000000003</v>
      </c>
      <c r="F5124">
        <f t="shared" si="80"/>
        <v>46.075000000000003</v>
      </c>
    </row>
    <row r="5125" spans="1:6" x14ac:dyDescent="0.3">
      <c r="A5125" t="s">
        <v>1107</v>
      </c>
      <c r="B5125" t="s">
        <v>2157</v>
      </c>
      <c r="C5125">
        <v>8.5</v>
      </c>
      <c r="D5125">
        <v>150</v>
      </c>
      <c r="E5125">
        <f>IF(OR(B5125="vi",B5125="ii",B5125="pod"),(((D5125/100)*(C5125*VLOOKUP(B5125,'Poids des runes'!A:B,2,FALSE)))+1),(((D5125/100)*(C5125*VLOOKUP(B5125,'Poids des runes'!A:B,2,FALSE)))+1)/VLOOKUP(B5125,'Poids des runes'!A:B,2,FALSE))</f>
        <v>12.916666666666666</v>
      </c>
      <c r="F5125">
        <f t="shared" si="80"/>
        <v>12.916666666666666</v>
      </c>
    </row>
    <row r="5126" spans="1:6" x14ac:dyDescent="0.3">
      <c r="A5126" t="s">
        <v>1107</v>
      </c>
      <c r="B5126" t="s">
        <v>2146</v>
      </c>
      <c r="C5126">
        <v>13</v>
      </c>
      <c r="D5126">
        <v>150</v>
      </c>
      <c r="E5126">
        <f>IF(OR(B5126="vi",B5126="ii",B5126="pod"),(((D5126/100)*(C5126*VLOOKUP(B5126,'Poids des runes'!A:B,2,FALSE)))+1),(((D5126/100)*(C5126*VLOOKUP(B5126,'Poids des runes'!A:B,2,FALSE)))+1)/VLOOKUP(B5126,'Poids des runes'!A:B,2,FALSE))</f>
        <v>20</v>
      </c>
      <c r="F5126">
        <f t="shared" si="80"/>
        <v>20</v>
      </c>
    </row>
    <row r="5127" spans="1:6" x14ac:dyDescent="0.3">
      <c r="A5127" t="s">
        <v>1108</v>
      </c>
      <c r="B5127" t="s">
        <v>2128</v>
      </c>
      <c r="C5127">
        <v>225.5</v>
      </c>
      <c r="D5127">
        <v>150</v>
      </c>
      <c r="E5127">
        <f>IF(OR(B5127="vi",B5127="ii",B5127="pod"),(((D5127/100)*(C5127*VLOOKUP(B5127,'Poids des runes'!A:B,2,FALSE)))+1),(((D5127/100)*(C5127*VLOOKUP(B5127,'Poids des runes'!A:B,2,FALSE)))+1)/VLOOKUP(B5127,'Poids des runes'!A:B,2,FALSE))</f>
        <v>68.650000000000006</v>
      </c>
      <c r="F5127">
        <f t="shared" si="80"/>
        <v>68.650000000000006</v>
      </c>
    </row>
    <row r="5128" spans="1:6" x14ac:dyDescent="0.3">
      <c r="A5128" t="s">
        <v>1108</v>
      </c>
      <c r="B5128" t="s">
        <v>2126</v>
      </c>
      <c r="C5128">
        <v>40.5</v>
      </c>
      <c r="D5128">
        <v>150</v>
      </c>
      <c r="E5128">
        <f>IF(OR(B5128="vi",B5128="ii",B5128="pod"),(((D5128/100)*(C5128*VLOOKUP(B5128,'Poids des runes'!A:B,2,FALSE)))+1),(((D5128/100)*(C5128*VLOOKUP(B5128,'Poids des runes'!A:B,2,FALSE)))+1)/VLOOKUP(B5128,'Poids des runes'!A:B,2,FALSE))</f>
        <v>61.75</v>
      </c>
      <c r="F5128">
        <f t="shared" si="80"/>
        <v>61.75</v>
      </c>
    </row>
    <row r="5129" spans="1:6" x14ac:dyDescent="0.3">
      <c r="A5129" t="s">
        <v>1108</v>
      </c>
      <c r="B5129" t="s">
        <v>2129</v>
      </c>
      <c r="C5129">
        <v>25.5</v>
      </c>
      <c r="D5129">
        <v>150</v>
      </c>
      <c r="E5129">
        <f>IF(OR(B5129="vi",B5129="ii",B5129="pod"),(((D5129/100)*(C5129*VLOOKUP(B5129,'Poids des runes'!A:B,2,FALSE)))+1),(((D5129/100)*(C5129*VLOOKUP(B5129,'Poids des runes'!A:B,2,FALSE)))+1)/VLOOKUP(B5129,'Poids des runes'!A:B,2,FALSE))</f>
        <v>39.25</v>
      </c>
      <c r="F5129">
        <f t="shared" si="80"/>
        <v>39.25</v>
      </c>
    </row>
    <row r="5130" spans="1:6" x14ac:dyDescent="0.3">
      <c r="A5130" t="s">
        <v>1108</v>
      </c>
      <c r="B5130" t="s">
        <v>2153</v>
      </c>
      <c r="C5130">
        <v>13</v>
      </c>
      <c r="D5130">
        <v>150</v>
      </c>
      <c r="E5130">
        <f>IF(OR(B5130="vi",B5130="ii",B5130="pod"),(((D5130/100)*(C5130*VLOOKUP(B5130,'Poids des runes'!A:B,2,FALSE)))+1),(((D5130/100)*(C5130*VLOOKUP(B5130,'Poids des runes'!A:B,2,FALSE)))+1)/VLOOKUP(B5130,'Poids des runes'!A:B,2,FALSE))</f>
        <v>19.7</v>
      </c>
      <c r="F5130">
        <f t="shared" si="80"/>
        <v>19.7</v>
      </c>
    </row>
    <row r="5131" spans="1:6" x14ac:dyDescent="0.3">
      <c r="A5131" t="s">
        <v>1108</v>
      </c>
      <c r="B5131" t="s">
        <v>2149</v>
      </c>
      <c r="C5131">
        <v>5</v>
      </c>
      <c r="D5131">
        <v>150</v>
      </c>
      <c r="E5131">
        <f>IF(OR(B5131="vi",B5131="ii",B5131="pod"),(((D5131/100)*(C5131*VLOOKUP(B5131,'Poids des runes'!A:B,2,FALSE)))+1),(((D5131/100)*(C5131*VLOOKUP(B5131,'Poids des runes'!A:B,2,FALSE)))+1)/VLOOKUP(B5131,'Poids des runes'!A:B,2,FALSE))</f>
        <v>7.6</v>
      </c>
      <c r="F5131">
        <f t="shared" si="80"/>
        <v>7.6</v>
      </c>
    </row>
    <row r="5132" spans="1:6" x14ac:dyDescent="0.3">
      <c r="A5132" t="s">
        <v>1108</v>
      </c>
      <c r="B5132" t="s">
        <v>2161</v>
      </c>
      <c r="C5132">
        <v>13</v>
      </c>
      <c r="D5132">
        <v>150</v>
      </c>
      <c r="E5132">
        <f>IF(OR(B5132="vi",B5132="ii",B5132="pod"),(((D5132/100)*(C5132*VLOOKUP(B5132,'Poids des runes'!A:B,2,FALSE)))+1),(((D5132/100)*(C5132*VLOOKUP(B5132,'Poids des runes'!A:B,2,FALSE)))+1)/VLOOKUP(B5132,'Poids des runes'!A:B,2,FALSE))</f>
        <v>19.833333333333332</v>
      </c>
      <c r="F5132">
        <f t="shared" si="80"/>
        <v>19.833333333333332</v>
      </c>
    </row>
    <row r="5133" spans="1:6" x14ac:dyDescent="0.3">
      <c r="A5133" t="s">
        <v>1108</v>
      </c>
      <c r="B5133" t="s">
        <v>2163</v>
      </c>
      <c r="C5133">
        <v>8.5</v>
      </c>
      <c r="D5133">
        <v>150</v>
      </c>
      <c r="E5133">
        <f>IF(OR(B5133="vi",B5133="ii",B5133="pod"),(((D5133/100)*(C5133*VLOOKUP(B5133,'Poids des runes'!A:B,2,FALSE)))+1),(((D5133/100)*(C5133*VLOOKUP(B5133,'Poids des runes'!A:B,2,FALSE)))+1)/VLOOKUP(B5133,'Poids des runes'!A:B,2,FALSE))</f>
        <v>13.25</v>
      </c>
      <c r="F5133">
        <f t="shared" si="80"/>
        <v>13.25</v>
      </c>
    </row>
    <row r="5134" spans="1:6" x14ac:dyDescent="0.3">
      <c r="A5134" t="s">
        <v>1108</v>
      </c>
      <c r="B5134" t="s">
        <v>2135</v>
      </c>
      <c r="C5134">
        <v>8.5</v>
      </c>
      <c r="D5134">
        <v>150</v>
      </c>
      <c r="E5134">
        <f>IF(OR(B5134="vi",B5134="ii",B5134="pod"),(((D5134/100)*(C5134*VLOOKUP(B5134,'Poids des runes'!A:B,2,FALSE)))+1),(((D5134/100)*(C5134*VLOOKUP(B5134,'Poids des runes'!A:B,2,FALSE)))+1)/VLOOKUP(B5134,'Poids des runes'!A:B,2,FALSE))</f>
        <v>12.916666666666666</v>
      </c>
      <c r="F5134">
        <f t="shared" si="80"/>
        <v>12.916666666666666</v>
      </c>
    </row>
    <row r="5135" spans="1:6" x14ac:dyDescent="0.3">
      <c r="A5135" t="s">
        <v>1108</v>
      </c>
      <c r="B5135" t="s">
        <v>2137</v>
      </c>
      <c r="C5135">
        <v>17</v>
      </c>
      <c r="D5135">
        <v>150</v>
      </c>
      <c r="E5135">
        <f>IF(OR(B5135="vi",B5135="ii",B5135="pod"),(((D5135/100)*(C5135*VLOOKUP(B5135,'Poids des runes'!A:B,2,FALSE)))+1),(((D5135/100)*(C5135*VLOOKUP(B5135,'Poids des runes'!A:B,2,FALSE)))+1)/VLOOKUP(B5135,'Poids des runes'!A:B,2,FALSE))</f>
        <v>26</v>
      </c>
      <c r="F5135">
        <f t="shared" si="80"/>
        <v>26</v>
      </c>
    </row>
    <row r="5136" spans="1:6" x14ac:dyDescent="0.3">
      <c r="A5136" t="s">
        <v>1109</v>
      </c>
      <c r="B5136" t="s">
        <v>2139</v>
      </c>
      <c r="C5136">
        <v>40</v>
      </c>
      <c r="D5136">
        <v>150</v>
      </c>
      <c r="E5136">
        <f>IF(OR(B5136="vi",B5136="ii",B5136="pod"),(((D5136/100)*(C5136*VLOOKUP(B5136,'Poids des runes'!A:B,2,FALSE)))+1),(((D5136/100)*(C5136*VLOOKUP(B5136,'Poids des runes'!A:B,2,FALSE)))+1)/VLOOKUP(B5136,'Poids des runes'!A:B,2,FALSE))</f>
        <v>60.5</v>
      </c>
      <c r="F5136">
        <f t="shared" si="80"/>
        <v>60.5</v>
      </c>
    </row>
    <row r="5137" spans="1:6" x14ac:dyDescent="0.3">
      <c r="A5137" t="s">
        <v>1110</v>
      </c>
      <c r="B5137" t="s">
        <v>2128</v>
      </c>
      <c r="C5137">
        <v>225.5</v>
      </c>
      <c r="D5137">
        <v>150</v>
      </c>
      <c r="E5137">
        <f>IF(OR(B5137="vi",B5137="ii",B5137="pod"),(((D5137/100)*(C5137*VLOOKUP(B5137,'Poids des runes'!A:B,2,FALSE)))+1),(((D5137/100)*(C5137*VLOOKUP(B5137,'Poids des runes'!A:B,2,FALSE)))+1)/VLOOKUP(B5137,'Poids des runes'!A:B,2,FALSE))</f>
        <v>68.650000000000006</v>
      </c>
      <c r="F5137">
        <f t="shared" si="80"/>
        <v>68.650000000000006</v>
      </c>
    </row>
    <row r="5138" spans="1:6" x14ac:dyDescent="0.3">
      <c r="A5138" t="s">
        <v>1110</v>
      </c>
      <c r="B5138" t="s">
        <v>2130</v>
      </c>
      <c r="C5138">
        <v>50.5</v>
      </c>
      <c r="D5138">
        <v>150</v>
      </c>
      <c r="E5138">
        <f>IF(OR(B5138="vi",B5138="ii",B5138="pod"),(((D5138/100)*(C5138*VLOOKUP(B5138,'Poids des runes'!A:B,2,FALSE)))+1),(((D5138/100)*(C5138*VLOOKUP(B5138,'Poids des runes'!A:B,2,FALSE)))+1)/VLOOKUP(B5138,'Poids des runes'!A:B,2,FALSE))</f>
        <v>76.75</v>
      </c>
      <c r="F5138">
        <f t="shared" si="80"/>
        <v>76.75</v>
      </c>
    </row>
    <row r="5139" spans="1:6" x14ac:dyDescent="0.3">
      <c r="A5139" t="s">
        <v>1110</v>
      </c>
      <c r="B5139" t="s">
        <v>2129</v>
      </c>
      <c r="C5139">
        <v>25.5</v>
      </c>
      <c r="D5139">
        <v>150</v>
      </c>
      <c r="E5139">
        <f>IF(OR(B5139="vi",B5139="ii",B5139="pod"),(((D5139/100)*(C5139*VLOOKUP(B5139,'Poids des runes'!A:B,2,FALSE)))+1),(((D5139/100)*(C5139*VLOOKUP(B5139,'Poids des runes'!A:B,2,FALSE)))+1)/VLOOKUP(B5139,'Poids des runes'!A:B,2,FALSE))</f>
        <v>39.25</v>
      </c>
      <c r="F5139">
        <f t="shared" si="80"/>
        <v>39.25</v>
      </c>
    </row>
    <row r="5140" spans="1:6" x14ac:dyDescent="0.3">
      <c r="A5140" t="s">
        <v>1110</v>
      </c>
      <c r="B5140" t="s">
        <v>2155</v>
      </c>
      <c r="C5140">
        <v>1</v>
      </c>
      <c r="D5140">
        <v>150</v>
      </c>
      <c r="E5140">
        <f>IF(OR(B5140="vi",B5140="ii",B5140="pod"),(((D5140/100)*(C5140*VLOOKUP(B5140,'Poids des runes'!A:B,2,FALSE)))+1),(((D5140/100)*(C5140*VLOOKUP(B5140,'Poids des runes'!A:B,2,FALSE)))+1)/VLOOKUP(B5140,'Poids des runes'!A:B,2,FALSE))</f>
        <v>1.5196078431372548</v>
      </c>
      <c r="F5140">
        <f t="shared" si="80"/>
        <v>1.5196078431372548</v>
      </c>
    </row>
    <row r="5141" spans="1:6" x14ac:dyDescent="0.3">
      <c r="A5141" t="s">
        <v>1110</v>
      </c>
      <c r="B5141" t="s">
        <v>2143</v>
      </c>
      <c r="C5141">
        <v>5</v>
      </c>
      <c r="D5141">
        <v>150</v>
      </c>
      <c r="E5141">
        <f>IF(OR(B5141="vi",B5141="ii",B5141="pod"),(((D5141/100)*(C5141*VLOOKUP(B5141,'Poids des runes'!A:B,2,FALSE)))+1),(((D5141/100)*(C5141*VLOOKUP(B5141,'Poids des runes'!A:B,2,FALSE)))+1)/VLOOKUP(B5141,'Poids des runes'!A:B,2,FALSE))</f>
        <v>7.7</v>
      </c>
      <c r="F5141">
        <f t="shared" si="80"/>
        <v>7.7</v>
      </c>
    </row>
    <row r="5142" spans="1:6" x14ac:dyDescent="0.3">
      <c r="A5142" t="s">
        <v>1110</v>
      </c>
      <c r="B5142" t="s">
        <v>2161</v>
      </c>
      <c r="C5142">
        <v>13</v>
      </c>
      <c r="D5142">
        <v>150</v>
      </c>
      <c r="E5142">
        <f>IF(OR(B5142="vi",B5142="ii",B5142="pod"),(((D5142/100)*(C5142*VLOOKUP(B5142,'Poids des runes'!A:B,2,FALSE)))+1),(((D5142/100)*(C5142*VLOOKUP(B5142,'Poids des runes'!A:B,2,FALSE)))+1)/VLOOKUP(B5142,'Poids des runes'!A:B,2,FALSE))</f>
        <v>19.833333333333332</v>
      </c>
      <c r="F5142">
        <f t="shared" si="80"/>
        <v>19.833333333333332</v>
      </c>
    </row>
    <row r="5143" spans="1:6" x14ac:dyDescent="0.3">
      <c r="A5143" t="s">
        <v>1110</v>
      </c>
      <c r="B5143" t="s">
        <v>2132</v>
      </c>
      <c r="C5143">
        <v>250.5</v>
      </c>
      <c r="D5143">
        <v>150</v>
      </c>
      <c r="E5143">
        <f>IF(OR(B5143="vi",B5143="ii",B5143="pod"),(((D5143/100)*(C5143*VLOOKUP(B5143,'Poids des runes'!A:B,2,FALSE)))+1),(((D5143/100)*(C5143*VLOOKUP(B5143,'Poids des runes'!A:B,2,FALSE)))+1)/VLOOKUP(B5143,'Poids des runes'!A:B,2,FALSE))</f>
        <v>38.575000000000003</v>
      </c>
      <c r="F5143">
        <f t="shared" si="80"/>
        <v>38.575000000000003</v>
      </c>
    </row>
    <row r="5144" spans="1:6" x14ac:dyDescent="0.3">
      <c r="A5144" t="s">
        <v>1110</v>
      </c>
      <c r="B5144" t="s">
        <v>2138</v>
      </c>
      <c r="C5144">
        <v>3</v>
      </c>
      <c r="D5144">
        <v>150</v>
      </c>
      <c r="E5144">
        <f>IF(OR(B5144="vi",B5144="ii",B5144="pod"),(((D5144/100)*(C5144*VLOOKUP(B5144,'Poids des runes'!A:B,2,FALSE)))+1),(((D5144/100)*(C5144*VLOOKUP(B5144,'Poids des runes'!A:B,2,FALSE)))+1)/VLOOKUP(B5144,'Poids des runes'!A:B,2,FALSE))</f>
        <v>4.75</v>
      </c>
      <c r="F5144">
        <f t="shared" si="80"/>
        <v>4.75</v>
      </c>
    </row>
    <row r="5145" spans="1:6" x14ac:dyDescent="0.3">
      <c r="A5145" t="s">
        <v>1110</v>
      </c>
      <c r="B5145" t="s">
        <v>2156</v>
      </c>
      <c r="C5145">
        <v>4</v>
      </c>
      <c r="D5145">
        <v>150</v>
      </c>
      <c r="E5145">
        <f>IF(OR(B5145="vi",B5145="ii",B5145="pod"),(((D5145/100)*(C5145*VLOOKUP(B5145,'Poids des runes'!A:B,2,FALSE)))+1),(((D5145/100)*(C5145*VLOOKUP(B5145,'Poids des runes'!A:B,2,FALSE)))+1)/VLOOKUP(B5145,'Poids des runes'!A:B,2,FALSE))</f>
        <v>6.166666666666667</v>
      </c>
      <c r="F5145">
        <f t="shared" si="80"/>
        <v>6.166666666666667</v>
      </c>
    </row>
    <row r="5146" spans="1:6" x14ac:dyDescent="0.3">
      <c r="A5146" t="s">
        <v>1110</v>
      </c>
      <c r="B5146" t="s">
        <v>2147</v>
      </c>
      <c r="C5146">
        <v>2.5</v>
      </c>
      <c r="D5146">
        <v>150</v>
      </c>
      <c r="E5146">
        <f>IF(OR(B5146="vi",B5146="ii",B5146="pod"),(((D5146/100)*(C5146*VLOOKUP(B5146,'Poids des runes'!A:B,2,FALSE)))+1),(((D5146/100)*(C5146*VLOOKUP(B5146,'Poids des runes'!A:B,2,FALSE)))+1)/VLOOKUP(B5146,'Poids des runes'!A:B,2,FALSE))</f>
        <v>3.9166666666666665</v>
      </c>
      <c r="F5146">
        <f t="shared" si="80"/>
        <v>3.9166666666666665</v>
      </c>
    </row>
    <row r="5147" spans="1:6" x14ac:dyDescent="0.3">
      <c r="A5147" t="s">
        <v>1111</v>
      </c>
      <c r="B5147" t="s">
        <v>2128</v>
      </c>
      <c r="C5147">
        <v>175.5</v>
      </c>
      <c r="D5147">
        <v>150</v>
      </c>
      <c r="E5147">
        <f>IF(OR(B5147="vi",B5147="ii",B5147="pod"),(((D5147/100)*(C5147*VLOOKUP(B5147,'Poids des runes'!A:B,2,FALSE)))+1),(((D5147/100)*(C5147*VLOOKUP(B5147,'Poids des runes'!A:B,2,FALSE)))+1)/VLOOKUP(B5147,'Poids des runes'!A:B,2,FALSE))</f>
        <v>53.650000000000006</v>
      </c>
      <c r="F5147">
        <f t="shared" si="80"/>
        <v>53.650000000000006</v>
      </c>
    </row>
    <row r="5148" spans="1:6" x14ac:dyDescent="0.3">
      <c r="A5148" t="s">
        <v>1111</v>
      </c>
      <c r="B5148" t="s">
        <v>2127</v>
      </c>
      <c r="C5148">
        <v>60.5</v>
      </c>
      <c r="D5148">
        <v>150</v>
      </c>
      <c r="E5148">
        <f>IF(OR(B5148="vi",B5148="ii",B5148="pod"),(((D5148/100)*(C5148*VLOOKUP(B5148,'Poids des runes'!A:B,2,FALSE)))+1),(((D5148/100)*(C5148*VLOOKUP(B5148,'Poids des runes'!A:B,2,FALSE)))+1)/VLOOKUP(B5148,'Poids des runes'!A:B,2,FALSE))</f>
        <v>91.75</v>
      </c>
      <c r="F5148">
        <f t="shared" si="80"/>
        <v>91.75</v>
      </c>
    </row>
    <row r="5149" spans="1:6" x14ac:dyDescent="0.3">
      <c r="A5149" t="s">
        <v>1111</v>
      </c>
      <c r="B5149" t="s">
        <v>2129</v>
      </c>
      <c r="C5149">
        <v>30.5</v>
      </c>
      <c r="D5149">
        <v>150</v>
      </c>
      <c r="E5149">
        <f>IF(OR(B5149="vi",B5149="ii",B5149="pod"),(((D5149/100)*(C5149*VLOOKUP(B5149,'Poids des runes'!A:B,2,FALSE)))+1),(((D5149/100)*(C5149*VLOOKUP(B5149,'Poids des runes'!A:B,2,FALSE)))+1)/VLOOKUP(B5149,'Poids des runes'!A:B,2,FALSE))</f>
        <v>46.75</v>
      </c>
      <c r="F5149">
        <f t="shared" si="80"/>
        <v>46.75</v>
      </c>
    </row>
    <row r="5150" spans="1:6" x14ac:dyDescent="0.3">
      <c r="A5150" t="s">
        <v>1111</v>
      </c>
      <c r="B5150" t="s">
        <v>2151</v>
      </c>
      <c r="C5150">
        <v>2.5</v>
      </c>
      <c r="D5150">
        <v>150</v>
      </c>
      <c r="E5150">
        <f>IF(OR(B5150="vi",B5150="ii",B5150="pod"),(((D5150/100)*(C5150*VLOOKUP(B5150,'Poids des runes'!A:B,2,FALSE)))+1),(((D5150/100)*(C5150*VLOOKUP(B5150,'Poids des runes'!A:B,2,FALSE)))+1)/VLOOKUP(B5150,'Poids des runes'!A:B,2,FALSE))</f>
        <v>3.85</v>
      </c>
      <c r="F5150">
        <f t="shared" si="80"/>
        <v>3.85</v>
      </c>
    </row>
    <row r="5151" spans="1:6" x14ac:dyDescent="0.3">
      <c r="A5151" t="s">
        <v>1111</v>
      </c>
      <c r="B5151" t="s">
        <v>2150</v>
      </c>
      <c r="C5151">
        <v>1</v>
      </c>
      <c r="D5151">
        <v>150</v>
      </c>
      <c r="E5151">
        <f>IF(OR(B5151="vi",B5151="ii",B5151="pod"),(((D5151/100)*(C5151*VLOOKUP(B5151,'Poids des runes'!A:B,2,FALSE)))+1),(((D5151/100)*(C5151*VLOOKUP(B5151,'Poids des runes'!A:B,2,FALSE)))+1)/VLOOKUP(B5151,'Poids des runes'!A:B,2,FALSE))</f>
        <v>1.5333333333333334</v>
      </c>
      <c r="F5151">
        <f t="shared" si="80"/>
        <v>1.5333333333333334</v>
      </c>
    </row>
    <row r="5152" spans="1:6" x14ac:dyDescent="0.3">
      <c r="A5152" t="s">
        <v>1111</v>
      </c>
      <c r="B5152" t="s">
        <v>2153</v>
      </c>
      <c r="C5152">
        <v>8.5</v>
      </c>
      <c r="D5152">
        <v>150</v>
      </c>
      <c r="E5152">
        <f>IF(OR(B5152="vi",B5152="ii",B5152="pod"),(((D5152/100)*(C5152*VLOOKUP(B5152,'Poids des runes'!A:B,2,FALSE)))+1),(((D5152/100)*(C5152*VLOOKUP(B5152,'Poids des runes'!A:B,2,FALSE)))+1)/VLOOKUP(B5152,'Poids des runes'!A:B,2,FALSE))</f>
        <v>12.95</v>
      </c>
      <c r="F5152">
        <f t="shared" si="80"/>
        <v>12.95</v>
      </c>
    </row>
    <row r="5153" spans="1:6" x14ac:dyDescent="0.3">
      <c r="A5153" t="s">
        <v>1111</v>
      </c>
      <c r="B5153" t="s">
        <v>2132</v>
      </c>
      <c r="C5153">
        <v>250.5</v>
      </c>
      <c r="D5153">
        <v>150</v>
      </c>
      <c r="E5153">
        <f>IF(OR(B5153="vi",B5153="ii",B5153="pod"),(((D5153/100)*(C5153*VLOOKUP(B5153,'Poids des runes'!A:B,2,FALSE)))+1),(((D5153/100)*(C5153*VLOOKUP(B5153,'Poids des runes'!A:B,2,FALSE)))+1)/VLOOKUP(B5153,'Poids des runes'!A:B,2,FALSE))</f>
        <v>38.575000000000003</v>
      </c>
      <c r="F5153">
        <f t="shared" si="80"/>
        <v>38.575000000000003</v>
      </c>
    </row>
    <row r="5154" spans="1:6" x14ac:dyDescent="0.3">
      <c r="A5154" t="s">
        <v>1111</v>
      </c>
      <c r="B5154" t="s">
        <v>2141</v>
      </c>
      <c r="C5154">
        <v>4</v>
      </c>
      <c r="D5154">
        <v>150</v>
      </c>
      <c r="E5154">
        <f>IF(OR(B5154="vi",B5154="ii",B5154="pod"),(((D5154/100)*(C5154*VLOOKUP(B5154,'Poids des runes'!A:B,2,FALSE)))+1),(((D5154/100)*(C5154*VLOOKUP(B5154,'Poids des runes'!A:B,2,FALSE)))+1)/VLOOKUP(B5154,'Poids des runes'!A:B,2,FALSE))</f>
        <v>6.25</v>
      </c>
      <c r="F5154">
        <f t="shared" si="80"/>
        <v>6.25</v>
      </c>
    </row>
    <row r="5155" spans="1:6" x14ac:dyDescent="0.3">
      <c r="A5155" t="s">
        <v>1111</v>
      </c>
      <c r="B5155" t="s">
        <v>2142</v>
      </c>
      <c r="C5155">
        <v>18</v>
      </c>
      <c r="D5155">
        <v>150</v>
      </c>
      <c r="E5155">
        <f>IF(OR(B5155="vi",B5155="ii",B5155="pod"),(((D5155/100)*(C5155*VLOOKUP(B5155,'Poids des runes'!A:B,2,FALSE)))+1),(((D5155/100)*(C5155*VLOOKUP(B5155,'Poids des runes'!A:B,2,FALSE)))+1)/VLOOKUP(B5155,'Poids des runes'!A:B,2,FALSE))</f>
        <v>27.2</v>
      </c>
      <c r="F5155">
        <f t="shared" si="80"/>
        <v>27.2</v>
      </c>
    </row>
    <row r="5156" spans="1:6" x14ac:dyDescent="0.3">
      <c r="A5156" t="s">
        <v>1111</v>
      </c>
      <c r="B5156" t="s">
        <v>2135</v>
      </c>
      <c r="C5156">
        <v>5</v>
      </c>
      <c r="D5156">
        <v>150</v>
      </c>
      <c r="E5156">
        <f>IF(OR(B5156="vi",B5156="ii",B5156="pod"),(((D5156/100)*(C5156*VLOOKUP(B5156,'Poids des runes'!A:B,2,FALSE)))+1),(((D5156/100)*(C5156*VLOOKUP(B5156,'Poids des runes'!A:B,2,FALSE)))+1)/VLOOKUP(B5156,'Poids des runes'!A:B,2,FALSE))</f>
        <v>7.666666666666667</v>
      </c>
      <c r="F5156">
        <f t="shared" si="80"/>
        <v>7.666666666666667</v>
      </c>
    </row>
    <row r="5157" spans="1:6" x14ac:dyDescent="0.3">
      <c r="A5157" t="s">
        <v>1112</v>
      </c>
      <c r="B5157" t="s">
        <v>2128</v>
      </c>
      <c r="C5157">
        <v>250.5</v>
      </c>
      <c r="D5157">
        <v>151</v>
      </c>
      <c r="E5157">
        <f>IF(OR(B5157="vi",B5157="ii",B5157="pod"),(((D5157/100)*(C5157*VLOOKUP(B5157,'Poids des runes'!A:B,2,FALSE)))+1),(((D5157/100)*(C5157*VLOOKUP(B5157,'Poids des runes'!A:B,2,FALSE)))+1)/VLOOKUP(B5157,'Poids des runes'!A:B,2,FALSE))</f>
        <v>76.650999999999996</v>
      </c>
      <c r="F5157">
        <f t="shared" si="80"/>
        <v>76.650999999999996</v>
      </c>
    </row>
    <row r="5158" spans="1:6" x14ac:dyDescent="0.3">
      <c r="A5158" t="s">
        <v>1112</v>
      </c>
      <c r="B5158" t="s">
        <v>2129</v>
      </c>
      <c r="C5158">
        <v>38</v>
      </c>
      <c r="D5158">
        <v>151</v>
      </c>
      <c r="E5158">
        <f>IF(OR(B5158="vi",B5158="ii",B5158="pod"),(((D5158/100)*(C5158*VLOOKUP(B5158,'Poids des runes'!A:B,2,FALSE)))+1),(((D5158/100)*(C5158*VLOOKUP(B5158,'Poids des runes'!A:B,2,FALSE)))+1)/VLOOKUP(B5158,'Poids des runes'!A:B,2,FALSE))</f>
        <v>58.38</v>
      </c>
      <c r="F5158">
        <f t="shared" si="80"/>
        <v>58.38</v>
      </c>
    </row>
    <row r="5159" spans="1:6" x14ac:dyDescent="0.3">
      <c r="A5159" t="s">
        <v>1112</v>
      </c>
      <c r="B5159" t="s">
        <v>2151</v>
      </c>
      <c r="C5159">
        <v>3</v>
      </c>
      <c r="D5159">
        <v>151</v>
      </c>
      <c r="E5159">
        <f>IF(OR(B5159="vi",B5159="ii",B5159="pod"),(((D5159/100)*(C5159*VLOOKUP(B5159,'Poids des runes'!A:B,2,FALSE)))+1),(((D5159/100)*(C5159*VLOOKUP(B5159,'Poids des runes'!A:B,2,FALSE)))+1)/VLOOKUP(B5159,'Poids des runes'!A:B,2,FALSE))</f>
        <v>4.63</v>
      </c>
      <c r="F5159">
        <f t="shared" si="80"/>
        <v>4.63</v>
      </c>
    </row>
    <row r="5160" spans="1:6" x14ac:dyDescent="0.3">
      <c r="A5160" t="s">
        <v>1112</v>
      </c>
      <c r="B5160" t="s">
        <v>2150</v>
      </c>
      <c r="C5160">
        <v>4.5</v>
      </c>
      <c r="D5160">
        <v>151</v>
      </c>
      <c r="E5160">
        <f>IF(OR(B5160="vi",B5160="ii",B5160="pod"),(((D5160/100)*(C5160*VLOOKUP(B5160,'Poids des runes'!A:B,2,FALSE)))+1),(((D5160/100)*(C5160*VLOOKUP(B5160,'Poids des runes'!A:B,2,FALSE)))+1)/VLOOKUP(B5160,'Poids des runes'!A:B,2,FALSE))</f>
        <v>6.8283333333333331</v>
      </c>
      <c r="F5160">
        <f t="shared" si="80"/>
        <v>6.8283333333333331</v>
      </c>
    </row>
    <row r="5161" spans="1:6" x14ac:dyDescent="0.3">
      <c r="A5161" t="s">
        <v>1112</v>
      </c>
      <c r="B5161" t="s">
        <v>2134</v>
      </c>
      <c r="C5161">
        <v>6</v>
      </c>
      <c r="D5161">
        <v>151</v>
      </c>
      <c r="E5161">
        <f>IF(OR(B5161="vi",B5161="ii",B5161="pod"),(((D5161/100)*(C5161*VLOOKUP(B5161,'Poids des runes'!A:B,2,FALSE)))+1),(((D5161/100)*(C5161*VLOOKUP(B5161,'Poids des runes'!A:B,2,FALSE)))+1)/VLOOKUP(B5161,'Poids des runes'!A:B,2,FALSE))</f>
        <v>9.11</v>
      </c>
      <c r="F5161">
        <f t="shared" si="80"/>
        <v>9.11</v>
      </c>
    </row>
    <row r="5162" spans="1:6" x14ac:dyDescent="0.3">
      <c r="A5162" t="s">
        <v>1112</v>
      </c>
      <c r="B5162" t="s">
        <v>2149</v>
      </c>
      <c r="C5162">
        <v>6</v>
      </c>
      <c r="D5162">
        <v>151</v>
      </c>
      <c r="E5162">
        <f>IF(OR(B5162="vi",B5162="ii",B5162="pod"),(((D5162/100)*(C5162*VLOOKUP(B5162,'Poids des runes'!A:B,2,FALSE)))+1),(((D5162/100)*(C5162*VLOOKUP(B5162,'Poids des runes'!A:B,2,FALSE)))+1)/VLOOKUP(B5162,'Poids des runes'!A:B,2,FALSE))</f>
        <v>9.16</v>
      </c>
      <c r="F5162">
        <f t="shared" si="80"/>
        <v>9.16</v>
      </c>
    </row>
    <row r="5163" spans="1:6" x14ac:dyDescent="0.3">
      <c r="A5163" t="s">
        <v>1112</v>
      </c>
      <c r="B5163" t="s">
        <v>2132</v>
      </c>
      <c r="C5163">
        <v>50.5</v>
      </c>
      <c r="D5163">
        <v>151</v>
      </c>
      <c r="E5163">
        <f>IF(OR(B5163="vi",B5163="ii",B5163="pod"),(((D5163/100)*(C5163*VLOOKUP(B5163,'Poids des runes'!A:B,2,FALSE)))+1),(((D5163/100)*(C5163*VLOOKUP(B5163,'Poids des runes'!A:B,2,FALSE)))+1)/VLOOKUP(B5163,'Poids des runes'!A:B,2,FALSE))</f>
        <v>8.6255000000000024</v>
      </c>
      <c r="F5163">
        <f t="shared" si="80"/>
        <v>8.6255000000000024</v>
      </c>
    </row>
    <row r="5164" spans="1:6" x14ac:dyDescent="0.3">
      <c r="A5164" t="s">
        <v>1112</v>
      </c>
      <c r="B5164" t="s">
        <v>2156</v>
      </c>
      <c r="C5164">
        <v>8</v>
      </c>
      <c r="D5164">
        <v>151</v>
      </c>
      <c r="E5164">
        <f>IF(OR(B5164="vi",B5164="ii",B5164="pod"),(((D5164/100)*(C5164*VLOOKUP(B5164,'Poids des runes'!A:B,2,FALSE)))+1),(((D5164/100)*(C5164*VLOOKUP(B5164,'Poids des runes'!A:B,2,FALSE)))+1)/VLOOKUP(B5164,'Poids des runes'!A:B,2,FALSE))</f>
        <v>12.246666666666668</v>
      </c>
      <c r="F5164">
        <f t="shared" si="80"/>
        <v>12.246666666666668</v>
      </c>
    </row>
    <row r="5165" spans="1:6" x14ac:dyDescent="0.3">
      <c r="A5165" t="s">
        <v>1112</v>
      </c>
      <c r="B5165" t="s">
        <v>2148</v>
      </c>
      <c r="C5165">
        <v>8</v>
      </c>
      <c r="D5165">
        <v>151</v>
      </c>
      <c r="E5165">
        <f>IF(OR(B5165="vi",B5165="ii",B5165="pod"),(((D5165/100)*(C5165*VLOOKUP(B5165,'Poids des runes'!A:B,2,FALSE)))+1),(((D5165/100)*(C5165*VLOOKUP(B5165,'Poids des runes'!A:B,2,FALSE)))+1)/VLOOKUP(B5165,'Poids des runes'!A:B,2,FALSE))</f>
        <v>12.246666666666668</v>
      </c>
      <c r="F5165">
        <f t="shared" si="80"/>
        <v>12.246666666666668</v>
      </c>
    </row>
    <row r="5166" spans="1:6" x14ac:dyDescent="0.3">
      <c r="A5166" t="s">
        <v>1113</v>
      </c>
      <c r="B5166" t="s">
        <v>2128</v>
      </c>
      <c r="C5166">
        <v>275.5</v>
      </c>
      <c r="D5166">
        <v>151</v>
      </c>
      <c r="E5166">
        <f>IF(OR(B5166="vi",B5166="ii",B5166="pod"),(((D5166/100)*(C5166*VLOOKUP(B5166,'Poids des runes'!A:B,2,FALSE)))+1),(((D5166/100)*(C5166*VLOOKUP(B5166,'Poids des runes'!A:B,2,FALSE)))+1)/VLOOKUP(B5166,'Poids des runes'!A:B,2,FALSE))</f>
        <v>84.201000000000008</v>
      </c>
      <c r="F5166">
        <f t="shared" si="80"/>
        <v>84.201000000000008</v>
      </c>
    </row>
    <row r="5167" spans="1:6" x14ac:dyDescent="0.3">
      <c r="A5167" t="s">
        <v>1113</v>
      </c>
      <c r="B5167" t="s">
        <v>2129</v>
      </c>
      <c r="C5167">
        <v>35.5</v>
      </c>
      <c r="D5167">
        <v>151</v>
      </c>
      <c r="E5167">
        <f>IF(OR(B5167="vi",B5167="ii",B5167="pod"),(((D5167/100)*(C5167*VLOOKUP(B5167,'Poids des runes'!A:B,2,FALSE)))+1),(((D5167/100)*(C5167*VLOOKUP(B5167,'Poids des runes'!A:B,2,FALSE)))+1)/VLOOKUP(B5167,'Poids des runes'!A:B,2,FALSE))</f>
        <v>54.604999999999997</v>
      </c>
      <c r="F5167">
        <f t="shared" si="80"/>
        <v>54.604999999999997</v>
      </c>
    </row>
    <row r="5168" spans="1:6" x14ac:dyDescent="0.3">
      <c r="A5168" t="s">
        <v>1113</v>
      </c>
      <c r="B5168" t="s">
        <v>2139</v>
      </c>
      <c r="C5168">
        <v>40.5</v>
      </c>
      <c r="D5168">
        <v>151</v>
      </c>
      <c r="E5168">
        <f>IF(OR(B5168="vi",B5168="ii",B5168="pod"),(((D5168/100)*(C5168*VLOOKUP(B5168,'Poids des runes'!A:B,2,FALSE)))+1),(((D5168/100)*(C5168*VLOOKUP(B5168,'Poids des runes'!A:B,2,FALSE)))+1)/VLOOKUP(B5168,'Poids des runes'!A:B,2,FALSE))</f>
        <v>61.655000000000001</v>
      </c>
      <c r="F5168">
        <f t="shared" si="80"/>
        <v>61.655000000000001</v>
      </c>
    </row>
    <row r="5169" spans="1:6" x14ac:dyDescent="0.3">
      <c r="A5169" t="s">
        <v>1113</v>
      </c>
      <c r="B5169" t="s">
        <v>2152</v>
      </c>
      <c r="C5169">
        <v>1</v>
      </c>
      <c r="D5169">
        <v>151</v>
      </c>
      <c r="E5169">
        <f>IF(OR(B5169="vi",B5169="ii",B5169="pod"),(((D5169/100)*(C5169*VLOOKUP(B5169,'Poids des runes'!A:B,2,FALSE)))+1),(((D5169/100)*(C5169*VLOOKUP(B5169,'Poids des runes'!A:B,2,FALSE)))+1)/VLOOKUP(B5169,'Poids des runes'!A:B,2,FALSE))</f>
        <v>1.52</v>
      </c>
      <c r="F5169">
        <f t="shared" si="80"/>
        <v>1.52</v>
      </c>
    </row>
    <row r="5170" spans="1:6" x14ac:dyDescent="0.3">
      <c r="A5170" t="s">
        <v>1113</v>
      </c>
      <c r="B5170" t="s">
        <v>2132</v>
      </c>
      <c r="C5170">
        <v>350.5</v>
      </c>
      <c r="D5170">
        <v>151</v>
      </c>
      <c r="E5170">
        <f>IF(OR(B5170="vi",B5170="ii",B5170="pod"),(((D5170/100)*(C5170*VLOOKUP(B5170,'Poids des runes'!A:B,2,FALSE)))+1),(((D5170/100)*(C5170*VLOOKUP(B5170,'Poids des runes'!A:B,2,FALSE)))+1)/VLOOKUP(B5170,'Poids des runes'!A:B,2,FALSE))</f>
        <v>53.925500000000007</v>
      </c>
      <c r="F5170">
        <f t="shared" si="80"/>
        <v>53.925500000000007</v>
      </c>
    </row>
    <row r="5171" spans="1:6" x14ac:dyDescent="0.3">
      <c r="A5171" t="s">
        <v>1113</v>
      </c>
      <c r="B5171" t="s">
        <v>2138</v>
      </c>
      <c r="C5171">
        <v>8.5</v>
      </c>
      <c r="D5171">
        <v>151</v>
      </c>
      <c r="E5171">
        <f>IF(OR(B5171="vi",B5171="ii",B5171="pod"),(((D5171/100)*(C5171*VLOOKUP(B5171,'Poids des runes'!A:B,2,FALSE)))+1),(((D5171/100)*(C5171*VLOOKUP(B5171,'Poids des runes'!A:B,2,FALSE)))+1)/VLOOKUP(B5171,'Poids des runes'!A:B,2,FALSE))</f>
        <v>13.085000000000001</v>
      </c>
      <c r="F5171">
        <f t="shared" si="80"/>
        <v>13.085000000000001</v>
      </c>
    </row>
    <row r="5172" spans="1:6" x14ac:dyDescent="0.3">
      <c r="A5172" t="s">
        <v>1113</v>
      </c>
      <c r="B5172" t="s">
        <v>2165</v>
      </c>
      <c r="C5172">
        <v>5</v>
      </c>
      <c r="D5172">
        <v>151</v>
      </c>
      <c r="E5172">
        <f>IF(OR(B5172="vi",B5172="ii",B5172="pod"),(((D5172/100)*(C5172*VLOOKUP(B5172,'Poids des runes'!A:B,2,FALSE)))+1),(((D5172/100)*(C5172*VLOOKUP(B5172,'Poids des runes'!A:B,2,FALSE)))+1)/VLOOKUP(B5172,'Poids des runes'!A:B,2,FALSE))</f>
        <v>7.6928571428571431</v>
      </c>
      <c r="F5172">
        <f t="shared" si="80"/>
        <v>7.6928571428571431</v>
      </c>
    </row>
    <row r="5173" spans="1:6" x14ac:dyDescent="0.3">
      <c r="A5173" t="s">
        <v>1113</v>
      </c>
      <c r="B5173" t="s">
        <v>2163</v>
      </c>
      <c r="C5173">
        <v>8.5</v>
      </c>
      <c r="D5173">
        <v>151</v>
      </c>
      <c r="E5173">
        <f>IF(OR(B5173="vi",B5173="ii",B5173="pod"),(((D5173/100)*(C5173*VLOOKUP(B5173,'Poids des runes'!A:B,2,FALSE)))+1),(((D5173/100)*(C5173*VLOOKUP(B5173,'Poids des runes'!A:B,2,FALSE)))+1)/VLOOKUP(B5173,'Poids des runes'!A:B,2,FALSE))</f>
        <v>13.335000000000001</v>
      </c>
      <c r="F5173">
        <f t="shared" si="80"/>
        <v>13.335000000000001</v>
      </c>
    </row>
    <row r="5174" spans="1:6" x14ac:dyDescent="0.3">
      <c r="A5174" t="s">
        <v>1113</v>
      </c>
      <c r="B5174" t="s">
        <v>2147</v>
      </c>
      <c r="C5174">
        <v>8.5</v>
      </c>
      <c r="D5174">
        <v>151</v>
      </c>
      <c r="E5174">
        <f>IF(OR(B5174="vi",B5174="ii",B5174="pod"),(((D5174/100)*(C5174*VLOOKUP(B5174,'Poids des runes'!A:B,2,FALSE)))+1),(((D5174/100)*(C5174*VLOOKUP(B5174,'Poids des runes'!A:B,2,FALSE)))+1)/VLOOKUP(B5174,'Poids des runes'!A:B,2,FALSE))</f>
        <v>13.001666666666667</v>
      </c>
      <c r="F5174">
        <f t="shared" si="80"/>
        <v>13.001666666666667</v>
      </c>
    </row>
    <row r="5175" spans="1:6" x14ac:dyDescent="0.3">
      <c r="A5175" t="s">
        <v>1113</v>
      </c>
      <c r="B5175" t="s">
        <v>2144</v>
      </c>
      <c r="C5175">
        <v>8.5</v>
      </c>
      <c r="D5175">
        <v>151</v>
      </c>
      <c r="E5175">
        <f>IF(OR(B5175="vi",B5175="ii",B5175="pod"),(((D5175/100)*(C5175*VLOOKUP(B5175,'Poids des runes'!A:B,2,FALSE)))+1),(((D5175/100)*(C5175*VLOOKUP(B5175,'Poids des runes'!A:B,2,FALSE)))+1)/VLOOKUP(B5175,'Poids des runes'!A:B,2,FALSE))</f>
        <v>13.335000000000001</v>
      </c>
      <c r="F5175">
        <f t="shared" si="80"/>
        <v>13.335000000000001</v>
      </c>
    </row>
    <row r="5176" spans="1:6" x14ac:dyDescent="0.3">
      <c r="A5176" t="s">
        <v>1114</v>
      </c>
      <c r="B5176" t="s">
        <v>2128</v>
      </c>
      <c r="C5176">
        <v>275.5</v>
      </c>
      <c r="D5176">
        <v>151</v>
      </c>
      <c r="E5176">
        <f>IF(OR(B5176="vi",B5176="ii",B5176="pod"),(((D5176/100)*(C5176*VLOOKUP(B5176,'Poids des runes'!A:B,2,FALSE)))+1),(((D5176/100)*(C5176*VLOOKUP(B5176,'Poids des runes'!A:B,2,FALSE)))+1)/VLOOKUP(B5176,'Poids des runes'!A:B,2,FALSE))</f>
        <v>84.201000000000008</v>
      </c>
      <c r="F5176">
        <f t="shared" si="80"/>
        <v>84.201000000000008</v>
      </c>
    </row>
    <row r="5177" spans="1:6" x14ac:dyDescent="0.3">
      <c r="A5177" t="s">
        <v>1114</v>
      </c>
      <c r="B5177" t="s">
        <v>2129</v>
      </c>
      <c r="C5177">
        <v>35.5</v>
      </c>
      <c r="D5177">
        <v>151</v>
      </c>
      <c r="E5177">
        <f>IF(OR(B5177="vi",B5177="ii",B5177="pod"),(((D5177/100)*(C5177*VLOOKUP(B5177,'Poids des runes'!A:B,2,FALSE)))+1),(((D5177/100)*(C5177*VLOOKUP(B5177,'Poids des runes'!A:B,2,FALSE)))+1)/VLOOKUP(B5177,'Poids des runes'!A:B,2,FALSE))</f>
        <v>54.604999999999997</v>
      </c>
      <c r="F5177">
        <f t="shared" si="80"/>
        <v>54.604999999999997</v>
      </c>
    </row>
    <row r="5178" spans="1:6" x14ac:dyDescent="0.3">
      <c r="A5178" t="s">
        <v>1114</v>
      </c>
      <c r="B5178" t="s">
        <v>2139</v>
      </c>
      <c r="C5178">
        <v>40.5</v>
      </c>
      <c r="D5178">
        <v>151</v>
      </c>
      <c r="E5178">
        <f>IF(OR(B5178="vi",B5178="ii",B5178="pod"),(((D5178/100)*(C5178*VLOOKUP(B5178,'Poids des runes'!A:B,2,FALSE)))+1),(((D5178/100)*(C5178*VLOOKUP(B5178,'Poids des runes'!A:B,2,FALSE)))+1)/VLOOKUP(B5178,'Poids des runes'!A:B,2,FALSE))</f>
        <v>61.655000000000001</v>
      </c>
      <c r="F5178">
        <f t="shared" si="80"/>
        <v>61.655000000000001</v>
      </c>
    </row>
    <row r="5179" spans="1:6" x14ac:dyDescent="0.3">
      <c r="A5179" t="s">
        <v>1114</v>
      </c>
      <c r="B5179" t="s">
        <v>2151</v>
      </c>
      <c r="C5179">
        <v>6</v>
      </c>
      <c r="D5179">
        <v>151</v>
      </c>
      <c r="E5179">
        <f>IF(OR(B5179="vi",B5179="ii",B5179="pod"),(((D5179/100)*(C5179*VLOOKUP(B5179,'Poids des runes'!A:B,2,FALSE)))+1),(((D5179/100)*(C5179*VLOOKUP(B5179,'Poids des runes'!A:B,2,FALSE)))+1)/VLOOKUP(B5179,'Poids des runes'!A:B,2,FALSE))</f>
        <v>9.16</v>
      </c>
      <c r="F5179">
        <f t="shared" si="80"/>
        <v>9.16</v>
      </c>
    </row>
    <row r="5180" spans="1:6" x14ac:dyDescent="0.3">
      <c r="A5180" t="s">
        <v>1114</v>
      </c>
      <c r="B5180" t="s">
        <v>2154</v>
      </c>
      <c r="C5180">
        <v>1</v>
      </c>
      <c r="D5180">
        <v>151</v>
      </c>
      <c r="E5180">
        <f>IF(OR(B5180="vi",B5180="ii",B5180="pod"),(((D5180/100)*(C5180*VLOOKUP(B5180,'Poids des runes'!A:B,2,FALSE)))+1),(((D5180/100)*(C5180*VLOOKUP(B5180,'Poids des runes'!A:B,2,FALSE)))+1)/VLOOKUP(B5180,'Poids des runes'!A:B,2,FALSE))</f>
        <v>1.5211111111111111</v>
      </c>
      <c r="F5180">
        <f t="shared" si="80"/>
        <v>1.5211111111111111</v>
      </c>
    </row>
    <row r="5181" spans="1:6" x14ac:dyDescent="0.3">
      <c r="A5181" t="s">
        <v>1114</v>
      </c>
      <c r="B5181" t="s">
        <v>2155</v>
      </c>
      <c r="C5181">
        <v>1</v>
      </c>
      <c r="D5181">
        <v>151</v>
      </c>
      <c r="E5181">
        <f>IF(OR(B5181="vi",B5181="ii",B5181="pod"),(((D5181/100)*(C5181*VLOOKUP(B5181,'Poids des runes'!A:B,2,FALSE)))+1),(((D5181/100)*(C5181*VLOOKUP(B5181,'Poids des runes'!A:B,2,FALSE)))+1)/VLOOKUP(B5181,'Poids des runes'!A:B,2,FALSE))</f>
        <v>1.5296078431372551</v>
      </c>
      <c r="F5181">
        <f t="shared" si="80"/>
        <v>1.5296078431372551</v>
      </c>
    </row>
    <row r="5182" spans="1:6" x14ac:dyDescent="0.3">
      <c r="A5182" t="s">
        <v>1114</v>
      </c>
      <c r="B5182" t="s">
        <v>2141</v>
      </c>
      <c r="C5182">
        <v>8.5</v>
      </c>
      <c r="D5182">
        <v>151</v>
      </c>
      <c r="E5182">
        <f>IF(OR(B5182="vi",B5182="ii",B5182="pod"),(((D5182/100)*(C5182*VLOOKUP(B5182,'Poids des runes'!A:B,2,FALSE)))+1),(((D5182/100)*(C5182*VLOOKUP(B5182,'Poids des runes'!A:B,2,FALSE)))+1)/VLOOKUP(B5182,'Poids des runes'!A:B,2,FALSE))</f>
        <v>13.085000000000001</v>
      </c>
      <c r="F5182">
        <f t="shared" si="80"/>
        <v>13.085000000000001</v>
      </c>
    </row>
    <row r="5183" spans="1:6" x14ac:dyDescent="0.3">
      <c r="A5183" t="s">
        <v>1114</v>
      </c>
      <c r="B5183" t="s">
        <v>2162</v>
      </c>
      <c r="C5183">
        <v>5</v>
      </c>
      <c r="D5183">
        <v>151</v>
      </c>
      <c r="E5183">
        <f>IF(OR(B5183="vi",B5183="ii",B5183="pod"),(((D5183/100)*(C5183*VLOOKUP(B5183,'Poids des runes'!A:B,2,FALSE)))+1),(((D5183/100)*(C5183*VLOOKUP(B5183,'Poids des runes'!A:B,2,FALSE)))+1)/VLOOKUP(B5183,'Poids des runes'!A:B,2,FALSE))</f>
        <v>7.6928571428571431</v>
      </c>
      <c r="F5183">
        <f t="shared" si="80"/>
        <v>7.6928571428571431</v>
      </c>
    </row>
    <row r="5184" spans="1:6" x14ac:dyDescent="0.3">
      <c r="A5184" t="s">
        <v>1114</v>
      </c>
      <c r="B5184" t="s">
        <v>2158</v>
      </c>
      <c r="C5184">
        <v>8.5</v>
      </c>
      <c r="D5184">
        <v>151</v>
      </c>
      <c r="E5184">
        <f>IF(OR(B5184="vi",B5184="ii",B5184="pod"),(((D5184/100)*(C5184*VLOOKUP(B5184,'Poids des runes'!A:B,2,FALSE)))+1),(((D5184/100)*(C5184*VLOOKUP(B5184,'Poids des runes'!A:B,2,FALSE)))+1)/VLOOKUP(B5184,'Poids des runes'!A:B,2,FALSE))</f>
        <v>13.035</v>
      </c>
      <c r="F5184">
        <f t="shared" si="80"/>
        <v>13.035</v>
      </c>
    </row>
    <row r="5185" spans="1:6" x14ac:dyDescent="0.3">
      <c r="A5185" t="s">
        <v>1114</v>
      </c>
      <c r="B5185" t="s">
        <v>2135</v>
      </c>
      <c r="C5185">
        <v>8.5</v>
      </c>
      <c r="D5185">
        <v>151</v>
      </c>
      <c r="E5185">
        <f>IF(OR(B5185="vi",B5185="ii",B5185="pod"),(((D5185/100)*(C5185*VLOOKUP(B5185,'Poids des runes'!A:B,2,FALSE)))+1),(((D5185/100)*(C5185*VLOOKUP(B5185,'Poids des runes'!A:B,2,FALSE)))+1)/VLOOKUP(B5185,'Poids des runes'!A:B,2,FALSE))</f>
        <v>13.001666666666667</v>
      </c>
      <c r="F5185">
        <f t="shared" si="80"/>
        <v>13.001666666666667</v>
      </c>
    </row>
    <row r="5186" spans="1:6" x14ac:dyDescent="0.3">
      <c r="A5186" t="s">
        <v>1114</v>
      </c>
      <c r="B5186" t="s">
        <v>2145</v>
      </c>
      <c r="C5186">
        <v>8.5</v>
      </c>
      <c r="D5186">
        <v>151</v>
      </c>
      <c r="E5186">
        <f>IF(OR(B5186="vi",B5186="ii",B5186="pod"),(((D5186/100)*(C5186*VLOOKUP(B5186,'Poids des runes'!A:B,2,FALSE)))+1),(((D5186/100)*(C5186*VLOOKUP(B5186,'Poids des runes'!A:B,2,FALSE)))+1)/VLOOKUP(B5186,'Poids des runes'!A:B,2,FALSE))</f>
        <v>13.335000000000001</v>
      </c>
      <c r="F5186">
        <f t="shared" si="80"/>
        <v>13.335000000000001</v>
      </c>
    </row>
    <row r="5187" spans="1:6" x14ac:dyDescent="0.3">
      <c r="A5187" t="s">
        <v>1115</v>
      </c>
      <c r="B5187" t="s">
        <v>2128</v>
      </c>
      <c r="C5187">
        <v>225.5</v>
      </c>
      <c r="D5187">
        <v>151</v>
      </c>
      <c r="E5187">
        <f>IF(OR(B5187="vi",B5187="ii",B5187="pod"),(((D5187/100)*(C5187*VLOOKUP(B5187,'Poids des runes'!A:B,2,FALSE)))+1),(((D5187/100)*(C5187*VLOOKUP(B5187,'Poids des runes'!A:B,2,FALSE)))+1)/VLOOKUP(B5187,'Poids des runes'!A:B,2,FALSE))</f>
        <v>69.100999999999999</v>
      </c>
      <c r="F5187">
        <f t="shared" ref="F5187:F5250" si="81">E5187</f>
        <v>69.100999999999999</v>
      </c>
    </row>
    <row r="5188" spans="1:6" x14ac:dyDescent="0.3">
      <c r="A5188" t="s">
        <v>1115</v>
      </c>
      <c r="B5188" t="s">
        <v>2131</v>
      </c>
      <c r="C5188">
        <v>35.5</v>
      </c>
      <c r="D5188">
        <v>151</v>
      </c>
      <c r="E5188">
        <f>IF(OR(B5188="vi",B5188="ii",B5188="pod"),(((D5188/100)*(C5188*VLOOKUP(B5188,'Poids des runes'!A:B,2,FALSE)))+1),(((D5188/100)*(C5188*VLOOKUP(B5188,'Poids des runes'!A:B,2,FALSE)))+1)/VLOOKUP(B5188,'Poids des runes'!A:B,2,FALSE))</f>
        <v>54.604999999999997</v>
      </c>
      <c r="F5188">
        <f t="shared" si="81"/>
        <v>54.604999999999997</v>
      </c>
    </row>
    <row r="5189" spans="1:6" x14ac:dyDescent="0.3">
      <c r="A5189" t="s">
        <v>1115</v>
      </c>
      <c r="B5189" t="s">
        <v>2127</v>
      </c>
      <c r="C5189">
        <v>35.5</v>
      </c>
      <c r="D5189">
        <v>151</v>
      </c>
      <c r="E5189">
        <f>IF(OR(B5189="vi",B5189="ii",B5189="pod"),(((D5189/100)*(C5189*VLOOKUP(B5189,'Poids des runes'!A:B,2,FALSE)))+1),(((D5189/100)*(C5189*VLOOKUP(B5189,'Poids des runes'!A:B,2,FALSE)))+1)/VLOOKUP(B5189,'Poids des runes'!A:B,2,FALSE))</f>
        <v>54.604999999999997</v>
      </c>
      <c r="F5189">
        <f t="shared" si="81"/>
        <v>54.604999999999997</v>
      </c>
    </row>
    <row r="5190" spans="1:6" x14ac:dyDescent="0.3">
      <c r="A5190" t="s">
        <v>1115</v>
      </c>
      <c r="B5190" t="s">
        <v>2129</v>
      </c>
      <c r="C5190">
        <v>20.5</v>
      </c>
      <c r="D5190">
        <v>151</v>
      </c>
      <c r="E5190">
        <f>IF(OR(B5190="vi",B5190="ii",B5190="pod"),(((D5190/100)*(C5190*VLOOKUP(B5190,'Poids des runes'!A:B,2,FALSE)))+1),(((D5190/100)*(C5190*VLOOKUP(B5190,'Poids des runes'!A:B,2,FALSE)))+1)/VLOOKUP(B5190,'Poids des runes'!A:B,2,FALSE))</f>
        <v>31.955000000000002</v>
      </c>
      <c r="F5190">
        <f t="shared" si="81"/>
        <v>31.955000000000002</v>
      </c>
    </row>
    <row r="5191" spans="1:6" x14ac:dyDescent="0.3">
      <c r="A5191" t="s">
        <v>1115</v>
      </c>
      <c r="B5191" t="s">
        <v>2152</v>
      </c>
      <c r="C5191">
        <v>1</v>
      </c>
      <c r="D5191">
        <v>151</v>
      </c>
      <c r="E5191">
        <f>IF(OR(B5191="vi",B5191="ii",B5191="pod"),(((D5191/100)*(C5191*VLOOKUP(B5191,'Poids des runes'!A:B,2,FALSE)))+1),(((D5191/100)*(C5191*VLOOKUP(B5191,'Poids des runes'!A:B,2,FALSE)))+1)/VLOOKUP(B5191,'Poids des runes'!A:B,2,FALSE))</f>
        <v>1.52</v>
      </c>
      <c r="F5191">
        <f t="shared" si="81"/>
        <v>1.52</v>
      </c>
    </row>
    <row r="5192" spans="1:6" x14ac:dyDescent="0.3">
      <c r="A5192" t="s">
        <v>1115</v>
      </c>
      <c r="B5192" t="s">
        <v>2155</v>
      </c>
      <c r="C5192">
        <v>1</v>
      </c>
      <c r="D5192">
        <v>151</v>
      </c>
      <c r="E5192">
        <f>IF(OR(B5192="vi",B5192="ii",B5192="pod"),(((D5192/100)*(C5192*VLOOKUP(B5192,'Poids des runes'!A:B,2,FALSE)))+1),(((D5192/100)*(C5192*VLOOKUP(B5192,'Poids des runes'!A:B,2,FALSE)))+1)/VLOOKUP(B5192,'Poids des runes'!A:B,2,FALSE))</f>
        <v>1.5296078431372551</v>
      </c>
      <c r="F5192">
        <f t="shared" si="81"/>
        <v>1.5296078431372551</v>
      </c>
    </row>
    <row r="5193" spans="1:6" x14ac:dyDescent="0.3">
      <c r="A5193" t="s">
        <v>1115</v>
      </c>
      <c r="B5193" t="s">
        <v>2133</v>
      </c>
      <c r="C5193">
        <v>10</v>
      </c>
      <c r="D5193">
        <v>151</v>
      </c>
      <c r="E5193">
        <f>IF(OR(B5193="vi",B5193="ii",B5193="pod"),(((D5193/100)*(C5193*VLOOKUP(B5193,'Poids des runes'!A:B,2,FALSE)))+1),(((D5193/100)*(C5193*VLOOKUP(B5193,'Poids des runes'!A:B,2,FALSE)))+1)/VLOOKUP(B5193,'Poids des runes'!A:B,2,FALSE))</f>
        <v>15.3</v>
      </c>
      <c r="F5193">
        <f t="shared" si="81"/>
        <v>15.3</v>
      </c>
    </row>
    <row r="5194" spans="1:6" x14ac:dyDescent="0.3">
      <c r="A5194" t="s">
        <v>1115</v>
      </c>
      <c r="B5194" t="s">
        <v>2153</v>
      </c>
      <c r="C5194">
        <v>10</v>
      </c>
      <c r="D5194">
        <v>151</v>
      </c>
      <c r="E5194">
        <f>IF(OR(B5194="vi",B5194="ii",B5194="pod"),(((D5194/100)*(C5194*VLOOKUP(B5194,'Poids des runes'!A:B,2,FALSE)))+1),(((D5194/100)*(C5194*VLOOKUP(B5194,'Poids des runes'!A:B,2,FALSE)))+1)/VLOOKUP(B5194,'Poids des runes'!A:B,2,FALSE))</f>
        <v>15.3</v>
      </c>
      <c r="F5194">
        <f t="shared" si="81"/>
        <v>15.3</v>
      </c>
    </row>
    <row r="5195" spans="1:6" x14ac:dyDescent="0.3">
      <c r="A5195" t="s">
        <v>1115</v>
      </c>
      <c r="B5195" t="s">
        <v>2161</v>
      </c>
      <c r="C5195">
        <v>8.5</v>
      </c>
      <c r="D5195">
        <v>151</v>
      </c>
      <c r="E5195">
        <f>IF(OR(B5195="vi",B5195="ii",B5195="pod"),(((D5195/100)*(C5195*VLOOKUP(B5195,'Poids des runes'!A:B,2,FALSE)))+1),(((D5195/100)*(C5195*VLOOKUP(B5195,'Poids des runes'!A:B,2,FALSE)))+1)/VLOOKUP(B5195,'Poids des runes'!A:B,2,FALSE))</f>
        <v>13.168333333333335</v>
      </c>
      <c r="F5195">
        <f t="shared" si="81"/>
        <v>13.168333333333335</v>
      </c>
    </row>
    <row r="5196" spans="1:6" x14ac:dyDescent="0.3">
      <c r="A5196" t="s">
        <v>1115</v>
      </c>
      <c r="B5196" t="s">
        <v>2160</v>
      </c>
      <c r="C5196">
        <v>2.5</v>
      </c>
      <c r="D5196">
        <v>151</v>
      </c>
      <c r="E5196">
        <f>IF(OR(B5196="vi",B5196="ii",B5196="pod"),(((D5196/100)*(C5196*VLOOKUP(B5196,'Poids des runes'!A:B,2,FALSE)))+1),(((D5196/100)*(C5196*VLOOKUP(B5196,'Poids des runes'!A:B,2,FALSE)))+1)/VLOOKUP(B5196,'Poids des runes'!A:B,2,FALSE))</f>
        <v>3.9178571428571431</v>
      </c>
      <c r="F5196">
        <f t="shared" si="81"/>
        <v>3.9178571428571431</v>
      </c>
    </row>
    <row r="5197" spans="1:6" x14ac:dyDescent="0.3">
      <c r="A5197" t="s">
        <v>1115</v>
      </c>
      <c r="B5197" t="s">
        <v>2165</v>
      </c>
      <c r="C5197">
        <v>2.5</v>
      </c>
      <c r="D5197">
        <v>151</v>
      </c>
      <c r="E5197">
        <f>IF(OR(B5197="vi",B5197="ii",B5197="pod"),(((D5197/100)*(C5197*VLOOKUP(B5197,'Poids des runes'!A:B,2,FALSE)))+1),(((D5197/100)*(C5197*VLOOKUP(B5197,'Poids des runes'!A:B,2,FALSE)))+1)/VLOOKUP(B5197,'Poids des runes'!A:B,2,FALSE))</f>
        <v>3.9178571428571431</v>
      </c>
      <c r="F5197">
        <f t="shared" si="81"/>
        <v>3.9178571428571431</v>
      </c>
    </row>
    <row r="5198" spans="1:6" x14ac:dyDescent="0.3">
      <c r="A5198" t="s">
        <v>1115</v>
      </c>
      <c r="B5198" t="s">
        <v>2163</v>
      </c>
      <c r="C5198">
        <v>8.5</v>
      </c>
      <c r="D5198">
        <v>151</v>
      </c>
      <c r="E5198">
        <f>IF(OR(B5198="vi",B5198="ii",B5198="pod"),(((D5198/100)*(C5198*VLOOKUP(B5198,'Poids des runes'!A:B,2,FALSE)))+1),(((D5198/100)*(C5198*VLOOKUP(B5198,'Poids des runes'!A:B,2,FALSE)))+1)/VLOOKUP(B5198,'Poids des runes'!A:B,2,FALSE))</f>
        <v>13.335000000000001</v>
      </c>
      <c r="F5198">
        <f t="shared" si="81"/>
        <v>13.335000000000001</v>
      </c>
    </row>
    <row r="5199" spans="1:6" x14ac:dyDescent="0.3">
      <c r="A5199" t="s">
        <v>1115</v>
      </c>
      <c r="B5199" t="s">
        <v>2137</v>
      </c>
      <c r="C5199">
        <v>13</v>
      </c>
      <c r="D5199">
        <v>151</v>
      </c>
      <c r="E5199">
        <f>IF(OR(B5199="vi",B5199="ii",B5199="pod"),(((D5199/100)*(C5199*VLOOKUP(B5199,'Poids des runes'!A:B,2,FALSE)))+1),(((D5199/100)*(C5199*VLOOKUP(B5199,'Poids des runes'!A:B,2,FALSE)))+1)/VLOOKUP(B5199,'Poids des runes'!A:B,2,FALSE))</f>
        <v>20.13</v>
      </c>
      <c r="F5199">
        <f t="shared" si="81"/>
        <v>20.13</v>
      </c>
    </row>
    <row r="5200" spans="1:6" x14ac:dyDescent="0.3">
      <c r="A5200" t="s">
        <v>1115</v>
      </c>
      <c r="B5200" t="s">
        <v>2144</v>
      </c>
      <c r="C5200">
        <v>13</v>
      </c>
      <c r="D5200">
        <v>151</v>
      </c>
      <c r="E5200">
        <f>IF(OR(B5200="vi",B5200="ii",B5200="pod"),(((D5200/100)*(C5200*VLOOKUP(B5200,'Poids des runes'!A:B,2,FALSE)))+1),(((D5200/100)*(C5200*VLOOKUP(B5200,'Poids des runes'!A:B,2,FALSE)))+1)/VLOOKUP(B5200,'Poids des runes'!A:B,2,FALSE))</f>
        <v>20.13</v>
      </c>
      <c r="F5200">
        <f t="shared" si="81"/>
        <v>20.13</v>
      </c>
    </row>
    <row r="5201" spans="1:6" x14ac:dyDescent="0.3">
      <c r="A5201" t="s">
        <v>1116</v>
      </c>
      <c r="B5201" t="s">
        <v>2128</v>
      </c>
      <c r="C5201">
        <v>115.5</v>
      </c>
      <c r="D5201">
        <v>151</v>
      </c>
      <c r="E5201">
        <f>IF(OR(B5201="vi",B5201="ii",B5201="pod"),(((D5201/100)*(C5201*VLOOKUP(B5201,'Poids des runes'!A:B,2,FALSE)))+1),(((D5201/100)*(C5201*VLOOKUP(B5201,'Poids des runes'!A:B,2,FALSE)))+1)/VLOOKUP(B5201,'Poids des runes'!A:B,2,FALSE))</f>
        <v>35.881</v>
      </c>
      <c r="F5201">
        <f t="shared" si="81"/>
        <v>35.881</v>
      </c>
    </row>
    <row r="5202" spans="1:6" x14ac:dyDescent="0.3">
      <c r="A5202" t="s">
        <v>1116</v>
      </c>
      <c r="B5202" t="s">
        <v>2131</v>
      </c>
      <c r="C5202">
        <v>33</v>
      </c>
      <c r="D5202">
        <v>151</v>
      </c>
      <c r="E5202">
        <f>IF(OR(B5202="vi",B5202="ii",B5202="pod"),(((D5202/100)*(C5202*VLOOKUP(B5202,'Poids des runes'!A:B,2,FALSE)))+1),(((D5202/100)*(C5202*VLOOKUP(B5202,'Poids des runes'!A:B,2,FALSE)))+1)/VLOOKUP(B5202,'Poids des runes'!A:B,2,FALSE))</f>
        <v>50.83</v>
      </c>
      <c r="F5202">
        <f t="shared" si="81"/>
        <v>50.83</v>
      </c>
    </row>
    <row r="5203" spans="1:6" x14ac:dyDescent="0.3">
      <c r="A5203" t="s">
        <v>1116</v>
      </c>
      <c r="B5203" t="s">
        <v>2129</v>
      </c>
      <c r="C5203">
        <v>23</v>
      </c>
      <c r="D5203">
        <v>151</v>
      </c>
      <c r="E5203">
        <f>IF(OR(B5203="vi",B5203="ii",B5203="pod"),(((D5203/100)*(C5203*VLOOKUP(B5203,'Poids des runes'!A:B,2,FALSE)))+1),(((D5203/100)*(C5203*VLOOKUP(B5203,'Poids des runes'!A:B,2,FALSE)))+1)/VLOOKUP(B5203,'Poids des runes'!A:B,2,FALSE))</f>
        <v>35.729999999999997</v>
      </c>
      <c r="F5203">
        <f t="shared" si="81"/>
        <v>35.729999999999997</v>
      </c>
    </row>
    <row r="5204" spans="1:6" x14ac:dyDescent="0.3">
      <c r="A5204" t="s">
        <v>1116</v>
      </c>
      <c r="B5204" t="s">
        <v>2139</v>
      </c>
      <c r="C5204">
        <v>8</v>
      </c>
      <c r="D5204">
        <v>151</v>
      </c>
      <c r="E5204">
        <f>IF(OR(B5204="vi",B5204="ii",B5204="pod"),(((D5204/100)*(C5204*VLOOKUP(B5204,'Poids des runes'!A:B,2,FALSE)))+1),(((D5204/100)*(C5204*VLOOKUP(B5204,'Poids des runes'!A:B,2,FALSE)))+1)/VLOOKUP(B5204,'Poids des runes'!A:B,2,FALSE))</f>
        <v>12.58</v>
      </c>
      <c r="F5204">
        <f t="shared" si="81"/>
        <v>12.58</v>
      </c>
    </row>
    <row r="5205" spans="1:6" x14ac:dyDescent="0.3">
      <c r="A5205" t="s">
        <v>1116</v>
      </c>
      <c r="B5205" t="s">
        <v>2134</v>
      </c>
      <c r="C5205">
        <v>5</v>
      </c>
      <c r="D5205">
        <v>151</v>
      </c>
      <c r="E5205">
        <f>IF(OR(B5205="vi",B5205="ii",B5205="pod"),(((D5205/100)*(C5205*VLOOKUP(B5205,'Poids des runes'!A:B,2,FALSE)))+1),(((D5205/100)*(C5205*VLOOKUP(B5205,'Poids des runes'!A:B,2,FALSE)))+1)/VLOOKUP(B5205,'Poids des runes'!A:B,2,FALSE))</f>
        <v>7.6</v>
      </c>
      <c r="F5205">
        <f t="shared" si="81"/>
        <v>7.6</v>
      </c>
    </row>
    <row r="5206" spans="1:6" x14ac:dyDescent="0.3">
      <c r="A5206" t="s">
        <v>1116</v>
      </c>
      <c r="B5206" t="s">
        <v>2149</v>
      </c>
      <c r="C5206">
        <v>5</v>
      </c>
      <c r="D5206">
        <v>151</v>
      </c>
      <c r="E5206">
        <f>IF(OR(B5206="vi",B5206="ii",B5206="pod"),(((D5206/100)*(C5206*VLOOKUP(B5206,'Poids des runes'!A:B,2,FALSE)))+1),(((D5206/100)*(C5206*VLOOKUP(B5206,'Poids des runes'!A:B,2,FALSE)))+1)/VLOOKUP(B5206,'Poids des runes'!A:B,2,FALSE))</f>
        <v>7.65</v>
      </c>
      <c r="F5206">
        <f t="shared" si="81"/>
        <v>7.65</v>
      </c>
    </row>
    <row r="5207" spans="1:6" x14ac:dyDescent="0.3">
      <c r="A5207" t="s">
        <v>1116</v>
      </c>
      <c r="B5207" t="s">
        <v>2161</v>
      </c>
      <c r="C5207">
        <v>15.5</v>
      </c>
      <c r="D5207">
        <v>151</v>
      </c>
      <c r="E5207">
        <f>IF(OR(B5207="vi",B5207="ii",B5207="pod"),(((D5207/100)*(C5207*VLOOKUP(B5207,'Poids des runes'!A:B,2,FALSE)))+1),(((D5207/100)*(C5207*VLOOKUP(B5207,'Poids des runes'!A:B,2,FALSE)))+1)/VLOOKUP(B5207,'Poids des runes'!A:B,2,FALSE))</f>
        <v>23.738333333333333</v>
      </c>
      <c r="F5207">
        <f t="shared" si="81"/>
        <v>23.738333333333333</v>
      </c>
    </row>
    <row r="5208" spans="1:6" x14ac:dyDescent="0.3">
      <c r="A5208" t="s">
        <v>1116</v>
      </c>
      <c r="B5208" t="s">
        <v>2132</v>
      </c>
      <c r="C5208">
        <v>150.5</v>
      </c>
      <c r="D5208">
        <v>151</v>
      </c>
      <c r="E5208">
        <f>IF(OR(B5208="vi",B5208="ii",B5208="pod"),(((D5208/100)*(C5208*VLOOKUP(B5208,'Poids des runes'!A:B,2,FALSE)))+1),(((D5208/100)*(C5208*VLOOKUP(B5208,'Poids des runes'!A:B,2,FALSE)))+1)/VLOOKUP(B5208,'Poids des runes'!A:B,2,FALSE))</f>
        <v>23.7255</v>
      </c>
      <c r="F5208">
        <f t="shared" si="81"/>
        <v>23.7255</v>
      </c>
    </row>
    <row r="5209" spans="1:6" x14ac:dyDescent="0.3">
      <c r="A5209" t="s">
        <v>1116</v>
      </c>
      <c r="B5209" t="s">
        <v>2135</v>
      </c>
      <c r="C5209">
        <v>5</v>
      </c>
      <c r="D5209">
        <v>151</v>
      </c>
      <c r="E5209">
        <f>IF(OR(B5209="vi",B5209="ii",B5209="pod"),(((D5209/100)*(C5209*VLOOKUP(B5209,'Poids des runes'!A:B,2,FALSE)))+1),(((D5209/100)*(C5209*VLOOKUP(B5209,'Poids des runes'!A:B,2,FALSE)))+1)/VLOOKUP(B5209,'Poids des runes'!A:B,2,FALSE))</f>
        <v>7.7166666666666659</v>
      </c>
      <c r="F5209">
        <f t="shared" si="81"/>
        <v>7.7166666666666659</v>
      </c>
    </row>
    <row r="5210" spans="1:6" x14ac:dyDescent="0.3">
      <c r="A5210" t="s">
        <v>1116</v>
      </c>
      <c r="B5210" t="s">
        <v>2137</v>
      </c>
      <c r="C5210">
        <v>5.5</v>
      </c>
      <c r="D5210">
        <v>151</v>
      </c>
      <c r="E5210">
        <f>IF(OR(B5210="vi",B5210="ii",B5210="pod"),(((D5210/100)*(C5210*VLOOKUP(B5210,'Poids des runes'!A:B,2,FALSE)))+1),(((D5210/100)*(C5210*VLOOKUP(B5210,'Poids des runes'!A:B,2,FALSE)))+1)/VLOOKUP(B5210,'Poids des runes'!A:B,2,FALSE))</f>
        <v>8.8049999999999997</v>
      </c>
      <c r="F5210">
        <f t="shared" si="81"/>
        <v>8.8049999999999997</v>
      </c>
    </row>
    <row r="5211" spans="1:6" x14ac:dyDescent="0.3">
      <c r="A5211" t="s">
        <v>1116</v>
      </c>
      <c r="B5211" t="s">
        <v>2144</v>
      </c>
      <c r="C5211">
        <v>5.5</v>
      </c>
      <c r="D5211">
        <v>151</v>
      </c>
      <c r="E5211">
        <f>IF(OR(B5211="vi",B5211="ii",B5211="pod"),(((D5211/100)*(C5211*VLOOKUP(B5211,'Poids des runes'!A:B,2,FALSE)))+1),(((D5211/100)*(C5211*VLOOKUP(B5211,'Poids des runes'!A:B,2,FALSE)))+1)/VLOOKUP(B5211,'Poids des runes'!A:B,2,FALSE))</f>
        <v>8.8049999999999997</v>
      </c>
      <c r="F5211">
        <f t="shared" si="81"/>
        <v>8.8049999999999997</v>
      </c>
    </row>
    <row r="5212" spans="1:6" x14ac:dyDescent="0.3">
      <c r="A5212" t="s">
        <v>1117</v>
      </c>
      <c r="B5212" t="s">
        <v>2128</v>
      </c>
      <c r="C5212">
        <v>225.5</v>
      </c>
      <c r="D5212">
        <v>152</v>
      </c>
      <c r="E5212">
        <f>IF(OR(B5212="vi",B5212="ii",B5212="pod"),(((D5212/100)*(C5212*VLOOKUP(B5212,'Poids des runes'!A:B,2,FALSE)))+1),(((D5212/100)*(C5212*VLOOKUP(B5212,'Poids des runes'!A:B,2,FALSE)))+1)/VLOOKUP(B5212,'Poids des runes'!A:B,2,FALSE))</f>
        <v>69.552000000000007</v>
      </c>
      <c r="F5212">
        <f t="shared" si="81"/>
        <v>69.552000000000007</v>
      </c>
    </row>
    <row r="5213" spans="1:6" x14ac:dyDescent="0.3">
      <c r="A5213" t="s">
        <v>1117</v>
      </c>
      <c r="B5213" t="s">
        <v>2127</v>
      </c>
      <c r="C5213">
        <v>40.5</v>
      </c>
      <c r="D5213">
        <v>152</v>
      </c>
      <c r="E5213">
        <f>IF(OR(B5213="vi",B5213="ii",B5213="pod"),(((D5213/100)*(C5213*VLOOKUP(B5213,'Poids des runes'!A:B,2,FALSE)))+1),(((D5213/100)*(C5213*VLOOKUP(B5213,'Poids des runes'!A:B,2,FALSE)))+1)/VLOOKUP(B5213,'Poids des runes'!A:B,2,FALSE))</f>
        <v>62.56</v>
      </c>
      <c r="F5213">
        <f t="shared" si="81"/>
        <v>62.56</v>
      </c>
    </row>
    <row r="5214" spans="1:6" x14ac:dyDescent="0.3">
      <c r="A5214" t="s">
        <v>1117</v>
      </c>
      <c r="B5214" t="s">
        <v>2129</v>
      </c>
      <c r="C5214">
        <v>33</v>
      </c>
      <c r="D5214">
        <v>152</v>
      </c>
      <c r="E5214">
        <f>IF(OR(B5214="vi",B5214="ii",B5214="pod"),(((D5214/100)*(C5214*VLOOKUP(B5214,'Poids des runes'!A:B,2,FALSE)))+1),(((D5214/100)*(C5214*VLOOKUP(B5214,'Poids des runes'!A:B,2,FALSE)))+1)/VLOOKUP(B5214,'Poids des runes'!A:B,2,FALSE))</f>
        <v>51.160000000000004</v>
      </c>
      <c r="F5214">
        <f t="shared" si="81"/>
        <v>51.160000000000004</v>
      </c>
    </row>
    <row r="5215" spans="1:6" x14ac:dyDescent="0.3">
      <c r="A5215" t="s">
        <v>1117</v>
      </c>
      <c r="B5215" t="s">
        <v>2152</v>
      </c>
      <c r="C5215">
        <v>1</v>
      </c>
      <c r="D5215">
        <v>152</v>
      </c>
      <c r="E5215">
        <f>IF(OR(B5215="vi",B5215="ii",B5215="pod"),(((D5215/100)*(C5215*VLOOKUP(B5215,'Poids des runes'!A:B,2,FALSE)))+1),(((D5215/100)*(C5215*VLOOKUP(B5215,'Poids des runes'!A:B,2,FALSE)))+1)/VLOOKUP(B5215,'Poids des runes'!A:B,2,FALSE))</f>
        <v>1.53</v>
      </c>
      <c r="F5215">
        <f t="shared" si="81"/>
        <v>1.53</v>
      </c>
    </row>
    <row r="5216" spans="1:6" x14ac:dyDescent="0.3">
      <c r="A5216" t="s">
        <v>1117</v>
      </c>
      <c r="B5216" t="s">
        <v>2134</v>
      </c>
      <c r="C5216">
        <v>8</v>
      </c>
      <c r="D5216">
        <v>152</v>
      </c>
      <c r="E5216">
        <f>IF(OR(B5216="vi",B5216="ii",B5216="pod"),(((D5216/100)*(C5216*VLOOKUP(B5216,'Poids des runes'!A:B,2,FALSE)))+1),(((D5216/100)*(C5216*VLOOKUP(B5216,'Poids des runes'!A:B,2,FALSE)))+1)/VLOOKUP(B5216,'Poids des runes'!A:B,2,FALSE))</f>
        <v>12.209999999999999</v>
      </c>
      <c r="F5216">
        <f t="shared" si="81"/>
        <v>12.209999999999999</v>
      </c>
    </row>
    <row r="5217" spans="1:6" x14ac:dyDescent="0.3">
      <c r="A5217" t="s">
        <v>1117</v>
      </c>
      <c r="B5217" t="s">
        <v>2149</v>
      </c>
      <c r="C5217">
        <v>8</v>
      </c>
      <c r="D5217">
        <v>152</v>
      </c>
      <c r="E5217">
        <f>IF(OR(B5217="vi",B5217="ii",B5217="pod"),(((D5217/100)*(C5217*VLOOKUP(B5217,'Poids des runes'!A:B,2,FALSE)))+1),(((D5217/100)*(C5217*VLOOKUP(B5217,'Poids des runes'!A:B,2,FALSE)))+1)/VLOOKUP(B5217,'Poids des runes'!A:B,2,FALSE))</f>
        <v>12.26</v>
      </c>
      <c r="F5217">
        <f t="shared" si="81"/>
        <v>12.26</v>
      </c>
    </row>
    <row r="5218" spans="1:6" x14ac:dyDescent="0.3">
      <c r="A5218" t="s">
        <v>1117</v>
      </c>
      <c r="B5218" t="s">
        <v>2132</v>
      </c>
      <c r="C5218">
        <v>550.5</v>
      </c>
      <c r="D5218">
        <v>152</v>
      </c>
      <c r="E5218">
        <f>IF(OR(B5218="vi",B5218="ii",B5218="pod"),(((D5218/100)*(C5218*VLOOKUP(B5218,'Poids des runes'!A:B,2,FALSE)))+1),(((D5218/100)*(C5218*VLOOKUP(B5218,'Poids des runes'!A:B,2,FALSE)))+1)/VLOOKUP(B5218,'Poids des runes'!A:B,2,FALSE))</f>
        <v>84.676000000000002</v>
      </c>
      <c r="F5218">
        <f t="shared" si="81"/>
        <v>84.676000000000002</v>
      </c>
    </row>
    <row r="5219" spans="1:6" x14ac:dyDescent="0.3">
      <c r="A5219" t="s">
        <v>1117</v>
      </c>
      <c r="B5219" t="s">
        <v>2156</v>
      </c>
      <c r="C5219">
        <v>9</v>
      </c>
      <c r="D5219">
        <v>152</v>
      </c>
      <c r="E5219">
        <f>IF(OR(B5219="vi",B5219="ii",B5219="pod"),(((D5219/100)*(C5219*VLOOKUP(B5219,'Poids des runes'!A:B,2,FALSE)))+1),(((D5219/100)*(C5219*VLOOKUP(B5219,'Poids des runes'!A:B,2,FALSE)))+1)/VLOOKUP(B5219,'Poids des runes'!A:B,2,FALSE))</f>
        <v>13.846666666666666</v>
      </c>
      <c r="F5219">
        <f t="shared" si="81"/>
        <v>13.846666666666666</v>
      </c>
    </row>
    <row r="5220" spans="1:6" x14ac:dyDescent="0.3">
      <c r="A5220" t="s">
        <v>1117</v>
      </c>
      <c r="B5220" t="s">
        <v>2136</v>
      </c>
      <c r="C5220">
        <v>9</v>
      </c>
      <c r="D5220">
        <v>152</v>
      </c>
      <c r="E5220">
        <f>IF(OR(B5220="vi",B5220="ii",B5220="pod"),(((D5220/100)*(C5220*VLOOKUP(B5220,'Poids des runes'!A:B,2,FALSE)))+1),(((D5220/100)*(C5220*VLOOKUP(B5220,'Poids des runes'!A:B,2,FALSE)))+1)/VLOOKUP(B5220,'Poids des runes'!A:B,2,FALSE))</f>
        <v>14.18</v>
      </c>
      <c r="F5220">
        <f t="shared" si="81"/>
        <v>14.18</v>
      </c>
    </row>
    <row r="5221" spans="1:6" x14ac:dyDescent="0.3">
      <c r="A5221" t="s">
        <v>1118</v>
      </c>
      <c r="B5221" t="s">
        <v>2128</v>
      </c>
      <c r="C5221">
        <v>175.5</v>
      </c>
      <c r="D5221">
        <v>152</v>
      </c>
      <c r="E5221">
        <f>IF(OR(B5221="vi",B5221="ii",B5221="pod"),(((D5221/100)*(C5221*VLOOKUP(B5221,'Poids des runes'!A:B,2,FALSE)))+1),(((D5221/100)*(C5221*VLOOKUP(B5221,'Poids des runes'!A:B,2,FALSE)))+1)/VLOOKUP(B5221,'Poids des runes'!A:B,2,FALSE))</f>
        <v>54.352000000000004</v>
      </c>
      <c r="F5221">
        <f t="shared" si="81"/>
        <v>54.352000000000004</v>
      </c>
    </row>
    <row r="5222" spans="1:6" x14ac:dyDescent="0.3">
      <c r="A5222" t="s">
        <v>1118</v>
      </c>
      <c r="B5222" t="s">
        <v>2130</v>
      </c>
      <c r="C5222">
        <v>50.5</v>
      </c>
      <c r="D5222">
        <v>152</v>
      </c>
      <c r="E5222">
        <f>IF(OR(B5222="vi",B5222="ii",B5222="pod"),(((D5222/100)*(C5222*VLOOKUP(B5222,'Poids des runes'!A:B,2,FALSE)))+1),(((D5222/100)*(C5222*VLOOKUP(B5222,'Poids des runes'!A:B,2,FALSE)))+1)/VLOOKUP(B5222,'Poids des runes'!A:B,2,FALSE))</f>
        <v>77.760000000000005</v>
      </c>
      <c r="F5222">
        <f t="shared" si="81"/>
        <v>77.760000000000005</v>
      </c>
    </row>
    <row r="5223" spans="1:6" x14ac:dyDescent="0.3">
      <c r="A5223" t="s">
        <v>1118</v>
      </c>
      <c r="B5223" t="s">
        <v>2129</v>
      </c>
      <c r="C5223">
        <v>35.5</v>
      </c>
      <c r="D5223">
        <v>152</v>
      </c>
      <c r="E5223">
        <f>IF(OR(B5223="vi",B5223="ii",B5223="pod"),(((D5223/100)*(C5223*VLOOKUP(B5223,'Poids des runes'!A:B,2,FALSE)))+1),(((D5223/100)*(C5223*VLOOKUP(B5223,'Poids des runes'!A:B,2,FALSE)))+1)/VLOOKUP(B5223,'Poids des runes'!A:B,2,FALSE))</f>
        <v>54.96</v>
      </c>
      <c r="F5223">
        <f t="shared" si="81"/>
        <v>54.96</v>
      </c>
    </row>
    <row r="5224" spans="1:6" x14ac:dyDescent="0.3">
      <c r="A5224" t="s">
        <v>1118</v>
      </c>
      <c r="B5224" t="s">
        <v>2155</v>
      </c>
      <c r="C5224">
        <v>1</v>
      </c>
      <c r="D5224">
        <v>152</v>
      </c>
      <c r="E5224">
        <f>IF(OR(B5224="vi",B5224="ii",B5224="pod"),(((D5224/100)*(C5224*VLOOKUP(B5224,'Poids des runes'!A:B,2,FALSE)))+1),(((D5224/100)*(C5224*VLOOKUP(B5224,'Poids des runes'!A:B,2,FALSE)))+1)/VLOOKUP(B5224,'Poids des runes'!A:B,2,FALSE))</f>
        <v>1.5396078431372549</v>
      </c>
      <c r="F5224">
        <f t="shared" si="81"/>
        <v>1.5396078431372549</v>
      </c>
    </row>
    <row r="5225" spans="1:6" x14ac:dyDescent="0.3">
      <c r="A5225" t="s">
        <v>1118</v>
      </c>
      <c r="B5225" t="s">
        <v>2134</v>
      </c>
      <c r="C5225">
        <v>8</v>
      </c>
      <c r="D5225">
        <v>152</v>
      </c>
      <c r="E5225">
        <f>IF(OR(B5225="vi",B5225="ii",B5225="pod"),(((D5225/100)*(C5225*VLOOKUP(B5225,'Poids des runes'!A:B,2,FALSE)))+1),(((D5225/100)*(C5225*VLOOKUP(B5225,'Poids des runes'!A:B,2,FALSE)))+1)/VLOOKUP(B5225,'Poids des runes'!A:B,2,FALSE))</f>
        <v>12.209999999999999</v>
      </c>
      <c r="F5225">
        <f t="shared" si="81"/>
        <v>12.209999999999999</v>
      </c>
    </row>
    <row r="5226" spans="1:6" x14ac:dyDescent="0.3">
      <c r="A5226" t="s">
        <v>1118</v>
      </c>
      <c r="B5226" t="s">
        <v>2161</v>
      </c>
      <c r="C5226">
        <v>15.5</v>
      </c>
      <c r="D5226">
        <v>152</v>
      </c>
      <c r="E5226">
        <f>IF(OR(B5226="vi",B5226="ii",B5226="pod"),(((D5226/100)*(C5226*VLOOKUP(B5226,'Poids des runes'!A:B,2,FALSE)))+1),(((D5226/100)*(C5226*VLOOKUP(B5226,'Poids des runes'!A:B,2,FALSE)))+1)/VLOOKUP(B5226,'Poids des runes'!A:B,2,FALSE))</f>
        <v>23.893333333333334</v>
      </c>
      <c r="F5226">
        <f t="shared" si="81"/>
        <v>23.893333333333334</v>
      </c>
    </row>
    <row r="5227" spans="1:6" x14ac:dyDescent="0.3">
      <c r="A5227" t="s">
        <v>1118</v>
      </c>
      <c r="B5227" t="s">
        <v>2132</v>
      </c>
      <c r="C5227">
        <v>250.5</v>
      </c>
      <c r="D5227">
        <v>152</v>
      </c>
      <c r="E5227">
        <f>IF(OR(B5227="vi",B5227="ii",B5227="pod"),(((D5227/100)*(C5227*VLOOKUP(B5227,'Poids des runes'!A:B,2,FALSE)))+1),(((D5227/100)*(C5227*VLOOKUP(B5227,'Poids des runes'!A:B,2,FALSE)))+1)/VLOOKUP(B5227,'Poids des runes'!A:B,2,FALSE))</f>
        <v>39.076000000000001</v>
      </c>
      <c r="F5227">
        <f t="shared" si="81"/>
        <v>39.076000000000001</v>
      </c>
    </row>
    <row r="5228" spans="1:6" x14ac:dyDescent="0.3">
      <c r="A5228" t="s">
        <v>1118</v>
      </c>
      <c r="B5228" t="s">
        <v>2142</v>
      </c>
      <c r="C5228">
        <v>13</v>
      </c>
      <c r="D5228">
        <v>152</v>
      </c>
      <c r="E5228">
        <f>IF(OR(B5228="vi",B5228="ii",B5228="pod"),(((D5228/100)*(C5228*VLOOKUP(B5228,'Poids des runes'!A:B,2,FALSE)))+1),(((D5228/100)*(C5228*VLOOKUP(B5228,'Poids des runes'!A:B,2,FALSE)))+1)/VLOOKUP(B5228,'Poids des runes'!A:B,2,FALSE))</f>
        <v>19.96</v>
      </c>
      <c r="F5228">
        <f t="shared" si="81"/>
        <v>19.96</v>
      </c>
    </row>
    <row r="5229" spans="1:6" x14ac:dyDescent="0.3">
      <c r="A5229" t="s">
        <v>1118</v>
      </c>
      <c r="B5229" t="s">
        <v>2147</v>
      </c>
      <c r="C5229">
        <v>6</v>
      </c>
      <c r="D5229">
        <v>152</v>
      </c>
      <c r="E5229">
        <f>IF(OR(B5229="vi",B5229="ii",B5229="pod"),(((D5229/100)*(C5229*VLOOKUP(B5229,'Poids des runes'!A:B,2,FALSE)))+1),(((D5229/100)*(C5229*VLOOKUP(B5229,'Poids des runes'!A:B,2,FALSE)))+1)/VLOOKUP(B5229,'Poids des runes'!A:B,2,FALSE))</f>
        <v>9.2866666666666671</v>
      </c>
      <c r="F5229">
        <f t="shared" si="81"/>
        <v>9.2866666666666671</v>
      </c>
    </row>
    <row r="5230" spans="1:6" x14ac:dyDescent="0.3">
      <c r="A5230" t="s">
        <v>1118</v>
      </c>
      <c r="B5230" t="s">
        <v>2144</v>
      </c>
      <c r="C5230">
        <v>8</v>
      </c>
      <c r="D5230">
        <v>152</v>
      </c>
      <c r="E5230">
        <f>IF(OR(B5230="vi",B5230="ii",B5230="pod"),(((D5230/100)*(C5230*VLOOKUP(B5230,'Poids des runes'!A:B,2,FALSE)))+1),(((D5230/100)*(C5230*VLOOKUP(B5230,'Poids des runes'!A:B,2,FALSE)))+1)/VLOOKUP(B5230,'Poids des runes'!A:B,2,FALSE))</f>
        <v>12.66</v>
      </c>
      <c r="F5230">
        <f t="shared" si="81"/>
        <v>12.66</v>
      </c>
    </row>
    <row r="5231" spans="1:6" x14ac:dyDescent="0.3">
      <c r="A5231" t="s">
        <v>1119</v>
      </c>
      <c r="B5231" t="s">
        <v>2128</v>
      </c>
      <c r="C5231">
        <v>175.5</v>
      </c>
      <c r="D5231">
        <v>152</v>
      </c>
      <c r="E5231">
        <f>IF(OR(B5231="vi",B5231="ii",B5231="pod"),(((D5231/100)*(C5231*VLOOKUP(B5231,'Poids des runes'!A:B,2,FALSE)))+1),(((D5231/100)*(C5231*VLOOKUP(B5231,'Poids des runes'!A:B,2,FALSE)))+1)/VLOOKUP(B5231,'Poids des runes'!A:B,2,FALSE))</f>
        <v>54.352000000000004</v>
      </c>
      <c r="F5231">
        <f t="shared" si="81"/>
        <v>54.352000000000004</v>
      </c>
    </row>
    <row r="5232" spans="1:6" x14ac:dyDescent="0.3">
      <c r="A5232" t="s">
        <v>1119</v>
      </c>
      <c r="B5232" t="s">
        <v>2126</v>
      </c>
      <c r="C5232">
        <v>33</v>
      </c>
      <c r="D5232">
        <v>152</v>
      </c>
      <c r="E5232">
        <f>IF(OR(B5232="vi",B5232="ii",B5232="pod"),(((D5232/100)*(C5232*VLOOKUP(B5232,'Poids des runes'!A:B,2,FALSE)))+1),(((D5232/100)*(C5232*VLOOKUP(B5232,'Poids des runes'!A:B,2,FALSE)))+1)/VLOOKUP(B5232,'Poids des runes'!A:B,2,FALSE))</f>
        <v>51.160000000000004</v>
      </c>
      <c r="F5232">
        <f t="shared" si="81"/>
        <v>51.160000000000004</v>
      </c>
    </row>
    <row r="5233" spans="1:6" x14ac:dyDescent="0.3">
      <c r="A5233" t="s">
        <v>1119</v>
      </c>
      <c r="B5233" t="s">
        <v>2131</v>
      </c>
      <c r="C5233">
        <v>50.5</v>
      </c>
      <c r="D5233">
        <v>152</v>
      </c>
      <c r="E5233">
        <f>IF(OR(B5233="vi",B5233="ii",B5233="pod"),(((D5233/100)*(C5233*VLOOKUP(B5233,'Poids des runes'!A:B,2,FALSE)))+1),(((D5233/100)*(C5233*VLOOKUP(B5233,'Poids des runes'!A:B,2,FALSE)))+1)/VLOOKUP(B5233,'Poids des runes'!A:B,2,FALSE))</f>
        <v>77.760000000000005</v>
      </c>
      <c r="F5233">
        <f t="shared" si="81"/>
        <v>77.760000000000005</v>
      </c>
    </row>
    <row r="5234" spans="1:6" x14ac:dyDescent="0.3">
      <c r="A5234" t="s">
        <v>1119</v>
      </c>
      <c r="B5234" t="s">
        <v>2127</v>
      </c>
      <c r="C5234">
        <v>50.5</v>
      </c>
      <c r="D5234">
        <v>152</v>
      </c>
      <c r="E5234">
        <f>IF(OR(B5234="vi",B5234="ii",B5234="pod"),(((D5234/100)*(C5234*VLOOKUP(B5234,'Poids des runes'!A:B,2,FALSE)))+1),(((D5234/100)*(C5234*VLOOKUP(B5234,'Poids des runes'!A:B,2,FALSE)))+1)/VLOOKUP(B5234,'Poids des runes'!A:B,2,FALSE))</f>
        <v>77.760000000000005</v>
      </c>
      <c r="F5234">
        <f t="shared" si="81"/>
        <v>77.760000000000005</v>
      </c>
    </row>
    <row r="5235" spans="1:6" x14ac:dyDescent="0.3">
      <c r="A5235" t="s">
        <v>1119</v>
      </c>
      <c r="B5235" t="s">
        <v>2129</v>
      </c>
      <c r="C5235">
        <v>33</v>
      </c>
      <c r="D5235">
        <v>152</v>
      </c>
      <c r="E5235">
        <f>IF(OR(B5235="vi",B5235="ii",B5235="pod"),(((D5235/100)*(C5235*VLOOKUP(B5235,'Poids des runes'!A:B,2,FALSE)))+1),(((D5235/100)*(C5235*VLOOKUP(B5235,'Poids des runes'!A:B,2,FALSE)))+1)/VLOOKUP(B5235,'Poids des runes'!A:B,2,FALSE))</f>
        <v>51.160000000000004</v>
      </c>
      <c r="F5235">
        <f t="shared" si="81"/>
        <v>51.160000000000004</v>
      </c>
    </row>
    <row r="5236" spans="1:6" x14ac:dyDescent="0.3">
      <c r="A5236" t="s">
        <v>1119</v>
      </c>
      <c r="B5236" t="s">
        <v>2151</v>
      </c>
      <c r="C5236">
        <v>1</v>
      </c>
      <c r="D5236">
        <v>152</v>
      </c>
      <c r="E5236">
        <f>IF(OR(B5236="vi",B5236="ii",B5236="pod"),(((D5236/100)*(C5236*VLOOKUP(B5236,'Poids des runes'!A:B,2,FALSE)))+1),(((D5236/100)*(C5236*VLOOKUP(B5236,'Poids des runes'!A:B,2,FALSE)))+1)/VLOOKUP(B5236,'Poids des runes'!A:B,2,FALSE))</f>
        <v>1.6199999999999999</v>
      </c>
      <c r="F5236">
        <f t="shared" si="81"/>
        <v>1.6199999999999999</v>
      </c>
    </row>
    <row r="5237" spans="1:6" x14ac:dyDescent="0.3">
      <c r="A5237" t="s">
        <v>1119</v>
      </c>
      <c r="B5237" t="s">
        <v>2134</v>
      </c>
      <c r="C5237">
        <v>6</v>
      </c>
      <c r="D5237">
        <v>152</v>
      </c>
      <c r="E5237">
        <f>IF(OR(B5237="vi",B5237="ii",B5237="pod"),(((D5237/100)*(C5237*VLOOKUP(B5237,'Poids des runes'!A:B,2,FALSE)))+1),(((D5237/100)*(C5237*VLOOKUP(B5237,'Poids des runes'!A:B,2,FALSE)))+1)/VLOOKUP(B5237,'Poids des runes'!A:B,2,FALSE))</f>
        <v>9.17</v>
      </c>
      <c r="F5237">
        <f t="shared" si="81"/>
        <v>9.17</v>
      </c>
    </row>
    <row r="5238" spans="1:6" x14ac:dyDescent="0.3">
      <c r="A5238" t="s">
        <v>1119</v>
      </c>
      <c r="B5238" t="s">
        <v>2161</v>
      </c>
      <c r="C5238">
        <v>13</v>
      </c>
      <c r="D5238">
        <v>152</v>
      </c>
      <c r="E5238">
        <f>IF(OR(B5238="vi",B5238="ii",B5238="pod"),(((D5238/100)*(C5238*VLOOKUP(B5238,'Poids des runes'!A:B,2,FALSE)))+1),(((D5238/100)*(C5238*VLOOKUP(B5238,'Poids des runes'!A:B,2,FALSE)))+1)/VLOOKUP(B5238,'Poids des runes'!A:B,2,FALSE))</f>
        <v>20.093333333333334</v>
      </c>
      <c r="F5238">
        <f t="shared" si="81"/>
        <v>20.093333333333334</v>
      </c>
    </row>
    <row r="5239" spans="1:6" x14ac:dyDescent="0.3">
      <c r="A5239" t="s">
        <v>1119</v>
      </c>
      <c r="B5239" t="s">
        <v>2156</v>
      </c>
      <c r="C5239">
        <v>8</v>
      </c>
      <c r="D5239">
        <v>152</v>
      </c>
      <c r="E5239">
        <f>IF(OR(B5239="vi",B5239="ii",B5239="pod"),(((D5239/100)*(C5239*VLOOKUP(B5239,'Poids des runes'!A:B,2,FALSE)))+1),(((D5239/100)*(C5239*VLOOKUP(B5239,'Poids des runes'!A:B,2,FALSE)))+1)/VLOOKUP(B5239,'Poids des runes'!A:B,2,FALSE))</f>
        <v>12.326666666666668</v>
      </c>
      <c r="F5239">
        <f t="shared" si="81"/>
        <v>12.326666666666668</v>
      </c>
    </row>
    <row r="5240" spans="1:6" x14ac:dyDescent="0.3">
      <c r="A5240" t="s">
        <v>1119</v>
      </c>
      <c r="B5240" t="s">
        <v>2147</v>
      </c>
      <c r="C5240">
        <v>8</v>
      </c>
      <c r="D5240">
        <v>152</v>
      </c>
      <c r="E5240">
        <f>IF(OR(B5240="vi",B5240="ii",B5240="pod"),(((D5240/100)*(C5240*VLOOKUP(B5240,'Poids des runes'!A:B,2,FALSE)))+1),(((D5240/100)*(C5240*VLOOKUP(B5240,'Poids des runes'!A:B,2,FALSE)))+1)/VLOOKUP(B5240,'Poids des runes'!A:B,2,FALSE))</f>
        <v>12.326666666666668</v>
      </c>
      <c r="F5240">
        <f t="shared" si="81"/>
        <v>12.326666666666668</v>
      </c>
    </row>
    <row r="5241" spans="1:6" x14ac:dyDescent="0.3">
      <c r="A5241" t="s">
        <v>1119</v>
      </c>
      <c r="B5241" t="s">
        <v>2145</v>
      </c>
      <c r="C5241">
        <v>8</v>
      </c>
      <c r="D5241">
        <v>152</v>
      </c>
      <c r="E5241">
        <f>IF(OR(B5241="vi",B5241="ii",B5241="pod"),(((D5241/100)*(C5241*VLOOKUP(B5241,'Poids des runes'!A:B,2,FALSE)))+1),(((D5241/100)*(C5241*VLOOKUP(B5241,'Poids des runes'!A:B,2,FALSE)))+1)/VLOOKUP(B5241,'Poids des runes'!A:B,2,FALSE))</f>
        <v>12.66</v>
      </c>
      <c r="F5241">
        <f t="shared" si="81"/>
        <v>12.66</v>
      </c>
    </row>
    <row r="5242" spans="1:6" x14ac:dyDescent="0.3">
      <c r="A5242" t="s">
        <v>1120</v>
      </c>
      <c r="B5242" t="s">
        <v>2128</v>
      </c>
      <c r="C5242">
        <v>175.5</v>
      </c>
      <c r="D5242">
        <v>152</v>
      </c>
      <c r="E5242">
        <f>IF(OR(B5242="vi",B5242="ii",B5242="pod"),(((D5242/100)*(C5242*VLOOKUP(B5242,'Poids des runes'!A:B,2,FALSE)))+1),(((D5242/100)*(C5242*VLOOKUP(B5242,'Poids des runes'!A:B,2,FALSE)))+1)/VLOOKUP(B5242,'Poids des runes'!A:B,2,FALSE))</f>
        <v>54.352000000000004</v>
      </c>
      <c r="F5242">
        <f t="shared" si="81"/>
        <v>54.352000000000004</v>
      </c>
    </row>
    <row r="5243" spans="1:6" x14ac:dyDescent="0.3">
      <c r="A5243" t="s">
        <v>1120</v>
      </c>
      <c r="B5243" t="s">
        <v>2126</v>
      </c>
      <c r="C5243">
        <v>35.5</v>
      </c>
      <c r="D5243">
        <v>152</v>
      </c>
      <c r="E5243">
        <f>IF(OR(B5243="vi",B5243="ii",B5243="pod"),(((D5243/100)*(C5243*VLOOKUP(B5243,'Poids des runes'!A:B,2,FALSE)))+1),(((D5243/100)*(C5243*VLOOKUP(B5243,'Poids des runes'!A:B,2,FALSE)))+1)/VLOOKUP(B5243,'Poids des runes'!A:B,2,FALSE))</f>
        <v>54.96</v>
      </c>
      <c r="F5243">
        <f t="shared" si="81"/>
        <v>54.96</v>
      </c>
    </row>
    <row r="5244" spans="1:6" x14ac:dyDescent="0.3">
      <c r="A5244" t="s">
        <v>1120</v>
      </c>
      <c r="B5244" t="s">
        <v>2131</v>
      </c>
      <c r="C5244">
        <v>35.5</v>
      </c>
      <c r="D5244">
        <v>152</v>
      </c>
      <c r="E5244">
        <f>IF(OR(B5244="vi",B5244="ii",B5244="pod"),(((D5244/100)*(C5244*VLOOKUP(B5244,'Poids des runes'!A:B,2,FALSE)))+1),(((D5244/100)*(C5244*VLOOKUP(B5244,'Poids des runes'!A:B,2,FALSE)))+1)/VLOOKUP(B5244,'Poids des runes'!A:B,2,FALSE))</f>
        <v>54.96</v>
      </c>
      <c r="F5244">
        <f t="shared" si="81"/>
        <v>54.96</v>
      </c>
    </row>
    <row r="5245" spans="1:6" x14ac:dyDescent="0.3">
      <c r="A5245" t="s">
        <v>1120</v>
      </c>
      <c r="B5245" t="s">
        <v>2129</v>
      </c>
      <c r="C5245">
        <v>25.5</v>
      </c>
      <c r="D5245">
        <v>152</v>
      </c>
      <c r="E5245">
        <f>IF(OR(B5245="vi",B5245="ii",B5245="pod"),(((D5245/100)*(C5245*VLOOKUP(B5245,'Poids des runes'!A:B,2,FALSE)))+1),(((D5245/100)*(C5245*VLOOKUP(B5245,'Poids des runes'!A:B,2,FALSE)))+1)/VLOOKUP(B5245,'Poids des runes'!A:B,2,FALSE))</f>
        <v>39.76</v>
      </c>
      <c r="F5245">
        <f t="shared" si="81"/>
        <v>39.76</v>
      </c>
    </row>
    <row r="5246" spans="1:6" x14ac:dyDescent="0.3">
      <c r="A5246" t="s">
        <v>1120</v>
      </c>
      <c r="B5246" t="s">
        <v>2151</v>
      </c>
      <c r="C5246">
        <v>2.5</v>
      </c>
      <c r="D5246">
        <v>152</v>
      </c>
      <c r="E5246">
        <f>IF(OR(B5246="vi",B5246="ii",B5246="pod"),(((D5246/100)*(C5246*VLOOKUP(B5246,'Poids des runes'!A:B,2,FALSE)))+1),(((D5246/100)*(C5246*VLOOKUP(B5246,'Poids des runes'!A:B,2,FALSE)))+1)/VLOOKUP(B5246,'Poids des runes'!A:B,2,FALSE))</f>
        <v>3.9</v>
      </c>
      <c r="F5246">
        <f t="shared" si="81"/>
        <v>3.9</v>
      </c>
    </row>
    <row r="5247" spans="1:6" x14ac:dyDescent="0.3">
      <c r="A5247" t="s">
        <v>1120</v>
      </c>
      <c r="B5247" t="s">
        <v>2152</v>
      </c>
      <c r="C5247">
        <v>1</v>
      </c>
      <c r="D5247">
        <v>152</v>
      </c>
      <c r="E5247">
        <f>IF(OR(B5247="vi",B5247="ii",B5247="pod"),(((D5247/100)*(C5247*VLOOKUP(B5247,'Poids des runes'!A:B,2,FALSE)))+1),(((D5247/100)*(C5247*VLOOKUP(B5247,'Poids des runes'!A:B,2,FALSE)))+1)/VLOOKUP(B5247,'Poids des runes'!A:B,2,FALSE))</f>
        <v>1.53</v>
      </c>
      <c r="F5247">
        <f t="shared" si="81"/>
        <v>1.53</v>
      </c>
    </row>
    <row r="5248" spans="1:6" x14ac:dyDescent="0.3">
      <c r="A5248" t="s">
        <v>1120</v>
      </c>
      <c r="B5248" t="s">
        <v>2140</v>
      </c>
      <c r="C5248">
        <v>8.5</v>
      </c>
      <c r="D5248">
        <v>152</v>
      </c>
      <c r="E5248">
        <f>IF(OR(B5248="vi",B5248="ii",B5248="pod"),(((D5248/100)*(C5248*VLOOKUP(B5248,'Poids des runes'!A:B,2,FALSE)))+1),(((D5248/100)*(C5248*VLOOKUP(B5248,'Poids des runes'!A:B,2,FALSE)))+1)/VLOOKUP(B5248,'Poids des runes'!A:B,2,FALSE))</f>
        <v>13.12</v>
      </c>
      <c r="F5248">
        <f t="shared" si="81"/>
        <v>13.12</v>
      </c>
    </row>
    <row r="5249" spans="1:6" x14ac:dyDescent="0.3">
      <c r="A5249" t="s">
        <v>1120</v>
      </c>
      <c r="B5249" t="s">
        <v>2133</v>
      </c>
      <c r="C5249">
        <v>8.5</v>
      </c>
      <c r="D5249">
        <v>152</v>
      </c>
      <c r="E5249">
        <f>IF(OR(B5249="vi",B5249="ii",B5249="pod"),(((D5249/100)*(C5249*VLOOKUP(B5249,'Poids des runes'!A:B,2,FALSE)))+1),(((D5249/100)*(C5249*VLOOKUP(B5249,'Poids des runes'!A:B,2,FALSE)))+1)/VLOOKUP(B5249,'Poids des runes'!A:B,2,FALSE))</f>
        <v>13.12</v>
      </c>
      <c r="F5249">
        <f t="shared" si="81"/>
        <v>13.12</v>
      </c>
    </row>
    <row r="5250" spans="1:6" x14ac:dyDescent="0.3">
      <c r="A5250" t="s">
        <v>1120</v>
      </c>
      <c r="B5250" t="s">
        <v>2161</v>
      </c>
      <c r="C5250">
        <v>18</v>
      </c>
      <c r="D5250">
        <v>152</v>
      </c>
      <c r="E5250">
        <f>IF(OR(B5250="vi",B5250="ii",B5250="pod"),(((D5250/100)*(C5250*VLOOKUP(B5250,'Poids des runes'!A:B,2,FALSE)))+1),(((D5250/100)*(C5250*VLOOKUP(B5250,'Poids des runes'!A:B,2,FALSE)))+1)/VLOOKUP(B5250,'Poids des runes'!A:B,2,FALSE))</f>
        <v>27.693333333333332</v>
      </c>
      <c r="F5250">
        <f t="shared" si="81"/>
        <v>27.693333333333332</v>
      </c>
    </row>
    <row r="5251" spans="1:6" x14ac:dyDescent="0.3">
      <c r="A5251" t="s">
        <v>1120</v>
      </c>
      <c r="B5251" t="s">
        <v>2138</v>
      </c>
      <c r="C5251">
        <v>8.5</v>
      </c>
      <c r="D5251">
        <v>152</v>
      </c>
      <c r="E5251">
        <f>IF(OR(B5251="vi",B5251="ii",B5251="pod"),(((D5251/100)*(C5251*VLOOKUP(B5251,'Poids des runes'!A:B,2,FALSE)))+1),(((D5251/100)*(C5251*VLOOKUP(B5251,'Poids des runes'!A:B,2,FALSE)))+1)/VLOOKUP(B5251,'Poids des runes'!A:B,2,FALSE))</f>
        <v>13.17</v>
      </c>
      <c r="F5251">
        <f t="shared" ref="F5251:F5314" si="82">E5251</f>
        <v>13.17</v>
      </c>
    </row>
    <row r="5252" spans="1:6" x14ac:dyDescent="0.3">
      <c r="A5252" t="s">
        <v>1120</v>
      </c>
      <c r="B5252" t="s">
        <v>2147</v>
      </c>
      <c r="C5252">
        <v>6</v>
      </c>
      <c r="D5252">
        <v>152</v>
      </c>
      <c r="E5252">
        <f>IF(OR(B5252="vi",B5252="ii",B5252="pod"),(((D5252/100)*(C5252*VLOOKUP(B5252,'Poids des runes'!A:B,2,FALSE)))+1),(((D5252/100)*(C5252*VLOOKUP(B5252,'Poids des runes'!A:B,2,FALSE)))+1)/VLOOKUP(B5252,'Poids des runes'!A:B,2,FALSE))</f>
        <v>9.2866666666666671</v>
      </c>
      <c r="F5252">
        <f t="shared" si="82"/>
        <v>9.2866666666666671</v>
      </c>
    </row>
    <row r="5253" spans="1:6" x14ac:dyDescent="0.3">
      <c r="A5253" t="s">
        <v>1121</v>
      </c>
      <c r="B5253" t="s">
        <v>2128</v>
      </c>
      <c r="C5253">
        <v>175.5</v>
      </c>
      <c r="D5253">
        <v>152</v>
      </c>
      <c r="E5253">
        <f>IF(OR(B5253="vi",B5253="ii",B5253="pod"),(((D5253/100)*(C5253*VLOOKUP(B5253,'Poids des runes'!A:B,2,FALSE)))+1),(((D5253/100)*(C5253*VLOOKUP(B5253,'Poids des runes'!A:B,2,FALSE)))+1)/VLOOKUP(B5253,'Poids des runes'!A:B,2,FALSE))</f>
        <v>54.352000000000004</v>
      </c>
      <c r="F5253">
        <f t="shared" si="82"/>
        <v>54.352000000000004</v>
      </c>
    </row>
    <row r="5254" spans="1:6" x14ac:dyDescent="0.3">
      <c r="A5254" t="s">
        <v>1121</v>
      </c>
      <c r="B5254" t="s">
        <v>2126</v>
      </c>
      <c r="C5254">
        <v>35.5</v>
      </c>
      <c r="D5254">
        <v>152</v>
      </c>
      <c r="E5254">
        <f>IF(OR(B5254="vi",B5254="ii",B5254="pod"),(((D5254/100)*(C5254*VLOOKUP(B5254,'Poids des runes'!A:B,2,FALSE)))+1),(((D5254/100)*(C5254*VLOOKUP(B5254,'Poids des runes'!A:B,2,FALSE)))+1)/VLOOKUP(B5254,'Poids des runes'!A:B,2,FALSE))</f>
        <v>54.96</v>
      </c>
      <c r="F5254">
        <f t="shared" si="82"/>
        <v>54.96</v>
      </c>
    </row>
    <row r="5255" spans="1:6" x14ac:dyDescent="0.3">
      <c r="A5255" t="s">
        <v>1121</v>
      </c>
      <c r="B5255" t="s">
        <v>2127</v>
      </c>
      <c r="C5255">
        <v>35.5</v>
      </c>
      <c r="D5255">
        <v>152</v>
      </c>
      <c r="E5255">
        <f>IF(OR(B5255="vi",B5255="ii",B5255="pod"),(((D5255/100)*(C5255*VLOOKUP(B5255,'Poids des runes'!A:B,2,FALSE)))+1),(((D5255/100)*(C5255*VLOOKUP(B5255,'Poids des runes'!A:B,2,FALSE)))+1)/VLOOKUP(B5255,'Poids des runes'!A:B,2,FALSE))</f>
        <v>54.96</v>
      </c>
      <c r="F5255">
        <f t="shared" si="82"/>
        <v>54.96</v>
      </c>
    </row>
    <row r="5256" spans="1:6" x14ac:dyDescent="0.3">
      <c r="A5256" t="s">
        <v>1121</v>
      </c>
      <c r="B5256" t="s">
        <v>2139</v>
      </c>
      <c r="C5256">
        <v>13</v>
      </c>
      <c r="D5256">
        <v>152</v>
      </c>
      <c r="E5256">
        <f>IF(OR(B5256="vi",B5256="ii",B5256="pod"),(((D5256/100)*(C5256*VLOOKUP(B5256,'Poids des runes'!A:B,2,FALSE)))+1),(((D5256/100)*(C5256*VLOOKUP(B5256,'Poids des runes'!A:B,2,FALSE)))+1)/VLOOKUP(B5256,'Poids des runes'!A:B,2,FALSE))</f>
        <v>20.260000000000002</v>
      </c>
      <c r="F5256">
        <f t="shared" si="82"/>
        <v>20.260000000000002</v>
      </c>
    </row>
    <row r="5257" spans="1:6" x14ac:dyDescent="0.3">
      <c r="A5257" t="s">
        <v>1121</v>
      </c>
      <c r="B5257" t="s">
        <v>2155</v>
      </c>
      <c r="C5257">
        <v>1</v>
      </c>
      <c r="D5257">
        <v>152</v>
      </c>
      <c r="E5257">
        <f>IF(OR(B5257="vi",B5257="ii",B5257="pod"),(((D5257/100)*(C5257*VLOOKUP(B5257,'Poids des runes'!A:B,2,FALSE)))+1),(((D5257/100)*(C5257*VLOOKUP(B5257,'Poids des runes'!A:B,2,FALSE)))+1)/VLOOKUP(B5257,'Poids des runes'!A:B,2,FALSE))</f>
        <v>1.5396078431372549</v>
      </c>
      <c r="F5257">
        <f t="shared" si="82"/>
        <v>1.5396078431372549</v>
      </c>
    </row>
    <row r="5258" spans="1:6" x14ac:dyDescent="0.3">
      <c r="A5258" t="s">
        <v>1121</v>
      </c>
      <c r="B5258" t="s">
        <v>2140</v>
      </c>
      <c r="C5258">
        <v>5</v>
      </c>
      <c r="D5258">
        <v>152</v>
      </c>
      <c r="E5258">
        <f>IF(OR(B5258="vi",B5258="ii",B5258="pod"),(((D5258/100)*(C5258*VLOOKUP(B5258,'Poids des runes'!A:B,2,FALSE)))+1),(((D5258/100)*(C5258*VLOOKUP(B5258,'Poids des runes'!A:B,2,FALSE)))+1)/VLOOKUP(B5258,'Poids des runes'!A:B,2,FALSE))</f>
        <v>7.8</v>
      </c>
      <c r="F5258">
        <f t="shared" si="82"/>
        <v>7.8</v>
      </c>
    </row>
    <row r="5259" spans="1:6" x14ac:dyDescent="0.3">
      <c r="A5259" t="s">
        <v>1121</v>
      </c>
      <c r="B5259" t="s">
        <v>2153</v>
      </c>
      <c r="C5259">
        <v>5</v>
      </c>
      <c r="D5259">
        <v>152</v>
      </c>
      <c r="E5259">
        <f>IF(OR(B5259="vi",B5259="ii",B5259="pod"),(((D5259/100)*(C5259*VLOOKUP(B5259,'Poids des runes'!A:B,2,FALSE)))+1),(((D5259/100)*(C5259*VLOOKUP(B5259,'Poids des runes'!A:B,2,FALSE)))+1)/VLOOKUP(B5259,'Poids des runes'!A:B,2,FALSE))</f>
        <v>7.8</v>
      </c>
      <c r="F5259">
        <f t="shared" si="82"/>
        <v>7.8</v>
      </c>
    </row>
    <row r="5260" spans="1:6" x14ac:dyDescent="0.3">
      <c r="A5260" t="s">
        <v>1121</v>
      </c>
      <c r="B5260" t="s">
        <v>2156</v>
      </c>
      <c r="C5260">
        <v>3.5</v>
      </c>
      <c r="D5260">
        <v>152</v>
      </c>
      <c r="E5260">
        <f>IF(OR(B5260="vi",B5260="ii",B5260="pod"),(((D5260/100)*(C5260*VLOOKUP(B5260,'Poids des runes'!A:B,2,FALSE)))+1),(((D5260/100)*(C5260*VLOOKUP(B5260,'Poids des runes'!A:B,2,FALSE)))+1)/VLOOKUP(B5260,'Poids des runes'!A:B,2,FALSE))</f>
        <v>5.4866666666666672</v>
      </c>
      <c r="F5260">
        <f t="shared" si="82"/>
        <v>5.4866666666666672</v>
      </c>
    </row>
    <row r="5261" spans="1:6" x14ac:dyDescent="0.3">
      <c r="A5261" t="s">
        <v>1121</v>
      </c>
      <c r="B5261" t="s">
        <v>2135</v>
      </c>
      <c r="C5261">
        <v>3.5</v>
      </c>
      <c r="D5261">
        <v>152</v>
      </c>
      <c r="E5261">
        <f>IF(OR(B5261="vi",B5261="ii",B5261="pod"),(((D5261/100)*(C5261*VLOOKUP(B5261,'Poids des runes'!A:B,2,FALSE)))+1),(((D5261/100)*(C5261*VLOOKUP(B5261,'Poids des runes'!A:B,2,FALSE)))+1)/VLOOKUP(B5261,'Poids des runes'!A:B,2,FALSE))</f>
        <v>5.4866666666666672</v>
      </c>
      <c r="F5261">
        <f t="shared" si="82"/>
        <v>5.4866666666666672</v>
      </c>
    </row>
    <row r="5262" spans="1:6" x14ac:dyDescent="0.3">
      <c r="A5262" t="s">
        <v>1122</v>
      </c>
      <c r="B5262" t="s">
        <v>2128</v>
      </c>
      <c r="C5262">
        <v>225.5</v>
      </c>
      <c r="D5262">
        <v>153</v>
      </c>
      <c r="E5262">
        <f>IF(OR(B5262="vi",B5262="ii",B5262="pod"),(((D5262/100)*(C5262*VLOOKUP(B5262,'Poids des runes'!A:B,2,FALSE)))+1),(((D5262/100)*(C5262*VLOOKUP(B5262,'Poids des runes'!A:B,2,FALSE)))+1)/VLOOKUP(B5262,'Poids des runes'!A:B,2,FALSE))</f>
        <v>70.003</v>
      </c>
      <c r="F5262">
        <f t="shared" si="82"/>
        <v>70.003</v>
      </c>
    </row>
    <row r="5263" spans="1:6" x14ac:dyDescent="0.3">
      <c r="A5263" t="s">
        <v>1122</v>
      </c>
      <c r="B5263" t="s">
        <v>2131</v>
      </c>
      <c r="C5263">
        <v>35.5</v>
      </c>
      <c r="D5263">
        <v>153</v>
      </c>
      <c r="E5263">
        <f>IF(OR(B5263="vi",B5263="ii",B5263="pod"),(((D5263/100)*(C5263*VLOOKUP(B5263,'Poids des runes'!A:B,2,FALSE)))+1),(((D5263/100)*(C5263*VLOOKUP(B5263,'Poids des runes'!A:B,2,FALSE)))+1)/VLOOKUP(B5263,'Poids des runes'!A:B,2,FALSE))</f>
        <v>55.314999999999998</v>
      </c>
      <c r="F5263">
        <f t="shared" si="82"/>
        <v>55.314999999999998</v>
      </c>
    </row>
    <row r="5264" spans="1:6" x14ac:dyDescent="0.3">
      <c r="A5264" t="s">
        <v>1122</v>
      </c>
      <c r="B5264" t="s">
        <v>2127</v>
      </c>
      <c r="C5264">
        <v>35.5</v>
      </c>
      <c r="D5264">
        <v>153</v>
      </c>
      <c r="E5264">
        <f>IF(OR(B5264="vi",B5264="ii",B5264="pod"),(((D5264/100)*(C5264*VLOOKUP(B5264,'Poids des runes'!A:B,2,FALSE)))+1),(((D5264/100)*(C5264*VLOOKUP(B5264,'Poids des runes'!A:B,2,FALSE)))+1)/VLOOKUP(B5264,'Poids des runes'!A:B,2,FALSE))</f>
        <v>55.314999999999998</v>
      </c>
      <c r="F5264">
        <f t="shared" si="82"/>
        <v>55.314999999999998</v>
      </c>
    </row>
    <row r="5265" spans="1:6" x14ac:dyDescent="0.3">
      <c r="A5265" t="s">
        <v>1122</v>
      </c>
      <c r="B5265" t="s">
        <v>2139</v>
      </c>
      <c r="C5265">
        <v>13</v>
      </c>
      <c r="D5265">
        <v>153</v>
      </c>
      <c r="E5265">
        <f>IF(OR(B5265="vi",B5265="ii",B5265="pod"),(((D5265/100)*(C5265*VLOOKUP(B5265,'Poids des runes'!A:B,2,FALSE)))+1),(((D5265/100)*(C5265*VLOOKUP(B5265,'Poids des runes'!A:B,2,FALSE)))+1)/VLOOKUP(B5265,'Poids des runes'!A:B,2,FALSE))</f>
        <v>20.39</v>
      </c>
      <c r="F5265">
        <f t="shared" si="82"/>
        <v>20.39</v>
      </c>
    </row>
    <row r="5266" spans="1:6" x14ac:dyDescent="0.3">
      <c r="A5266" t="s">
        <v>1122</v>
      </c>
      <c r="B5266" t="s">
        <v>2151</v>
      </c>
      <c r="C5266">
        <v>2.5</v>
      </c>
      <c r="D5266">
        <v>153</v>
      </c>
      <c r="E5266">
        <f>IF(OR(B5266="vi",B5266="ii",B5266="pod"),(((D5266/100)*(C5266*VLOOKUP(B5266,'Poids des runes'!A:B,2,FALSE)))+1),(((D5266/100)*(C5266*VLOOKUP(B5266,'Poids des runes'!A:B,2,FALSE)))+1)/VLOOKUP(B5266,'Poids des runes'!A:B,2,FALSE))</f>
        <v>3.9249999999999998</v>
      </c>
      <c r="F5266">
        <f t="shared" si="82"/>
        <v>3.9249999999999998</v>
      </c>
    </row>
    <row r="5267" spans="1:6" x14ac:dyDescent="0.3">
      <c r="A5267" t="s">
        <v>1122</v>
      </c>
      <c r="B5267" t="s">
        <v>2133</v>
      </c>
      <c r="C5267">
        <v>6</v>
      </c>
      <c r="D5267">
        <v>153</v>
      </c>
      <c r="E5267">
        <f>IF(OR(B5267="vi",B5267="ii",B5267="pod"),(((D5267/100)*(C5267*VLOOKUP(B5267,'Poids des runes'!A:B,2,FALSE)))+1),(((D5267/100)*(C5267*VLOOKUP(B5267,'Poids des runes'!A:B,2,FALSE)))+1)/VLOOKUP(B5267,'Poids des runes'!A:B,2,FALSE))</f>
        <v>9.379999999999999</v>
      </c>
      <c r="F5267">
        <f t="shared" si="82"/>
        <v>9.379999999999999</v>
      </c>
    </row>
    <row r="5268" spans="1:6" x14ac:dyDescent="0.3">
      <c r="A5268" t="s">
        <v>1122</v>
      </c>
      <c r="B5268" t="s">
        <v>2153</v>
      </c>
      <c r="C5268">
        <v>6</v>
      </c>
      <c r="D5268">
        <v>153</v>
      </c>
      <c r="E5268">
        <f>IF(OR(B5268="vi",B5268="ii",B5268="pod"),(((D5268/100)*(C5268*VLOOKUP(B5268,'Poids des runes'!A:B,2,FALSE)))+1),(((D5268/100)*(C5268*VLOOKUP(B5268,'Poids des runes'!A:B,2,FALSE)))+1)/VLOOKUP(B5268,'Poids des runes'!A:B,2,FALSE))</f>
        <v>9.379999999999999</v>
      </c>
      <c r="F5268">
        <f t="shared" si="82"/>
        <v>9.379999999999999</v>
      </c>
    </row>
    <row r="5269" spans="1:6" x14ac:dyDescent="0.3">
      <c r="A5269" t="s">
        <v>1122</v>
      </c>
      <c r="B5269" t="s">
        <v>2161</v>
      </c>
      <c r="C5269">
        <v>15.5</v>
      </c>
      <c r="D5269">
        <v>153</v>
      </c>
      <c r="E5269">
        <f>IF(OR(B5269="vi",B5269="ii",B5269="pod"),(((D5269/100)*(C5269*VLOOKUP(B5269,'Poids des runes'!A:B,2,FALSE)))+1),(((D5269/100)*(C5269*VLOOKUP(B5269,'Poids des runes'!A:B,2,FALSE)))+1)/VLOOKUP(B5269,'Poids des runes'!A:B,2,FALSE))</f>
        <v>24.048333333333332</v>
      </c>
      <c r="F5269">
        <f t="shared" si="82"/>
        <v>24.048333333333332</v>
      </c>
    </row>
    <row r="5270" spans="1:6" x14ac:dyDescent="0.3">
      <c r="A5270" t="s">
        <v>1122</v>
      </c>
      <c r="B5270" t="s">
        <v>2132</v>
      </c>
      <c r="C5270">
        <v>350.5</v>
      </c>
      <c r="D5270">
        <v>153</v>
      </c>
      <c r="E5270">
        <f>IF(OR(B5270="vi",B5270="ii",B5270="pod"),(((D5270/100)*(C5270*VLOOKUP(B5270,'Poids des runes'!A:B,2,FALSE)))+1),(((D5270/100)*(C5270*VLOOKUP(B5270,'Poids des runes'!A:B,2,FALSE)))+1)/VLOOKUP(B5270,'Poids des runes'!A:B,2,FALSE))</f>
        <v>54.626500000000007</v>
      </c>
      <c r="F5270">
        <f t="shared" si="82"/>
        <v>54.626500000000007</v>
      </c>
    </row>
    <row r="5271" spans="1:6" x14ac:dyDescent="0.3">
      <c r="A5271" t="s">
        <v>1122</v>
      </c>
      <c r="B5271" t="s">
        <v>2138</v>
      </c>
      <c r="C5271">
        <v>4.5</v>
      </c>
      <c r="D5271">
        <v>153</v>
      </c>
      <c r="E5271">
        <f>IF(OR(B5271="vi",B5271="ii",B5271="pod"),(((D5271/100)*(C5271*VLOOKUP(B5271,'Poids des runes'!A:B,2,FALSE)))+1),(((D5271/100)*(C5271*VLOOKUP(B5271,'Poids des runes'!A:B,2,FALSE)))+1)/VLOOKUP(B5271,'Poids des runes'!A:B,2,FALSE))</f>
        <v>7.1349999999999998</v>
      </c>
      <c r="F5271">
        <f t="shared" si="82"/>
        <v>7.1349999999999998</v>
      </c>
    </row>
    <row r="5272" spans="1:6" x14ac:dyDescent="0.3">
      <c r="A5272" t="s">
        <v>1122</v>
      </c>
      <c r="B5272" t="s">
        <v>2147</v>
      </c>
      <c r="C5272">
        <v>6</v>
      </c>
      <c r="D5272">
        <v>153</v>
      </c>
      <c r="E5272">
        <f>IF(OR(B5272="vi",B5272="ii",B5272="pod"),(((D5272/100)*(C5272*VLOOKUP(B5272,'Poids des runes'!A:B,2,FALSE)))+1),(((D5272/100)*(C5272*VLOOKUP(B5272,'Poids des runes'!A:B,2,FALSE)))+1)/VLOOKUP(B5272,'Poids des runes'!A:B,2,FALSE))</f>
        <v>9.3466666666666658</v>
      </c>
      <c r="F5272">
        <f t="shared" si="82"/>
        <v>9.3466666666666658</v>
      </c>
    </row>
    <row r="5273" spans="1:6" x14ac:dyDescent="0.3">
      <c r="A5273" t="s">
        <v>1122</v>
      </c>
      <c r="B5273" t="s">
        <v>2135</v>
      </c>
      <c r="C5273">
        <v>6</v>
      </c>
      <c r="D5273">
        <v>153</v>
      </c>
      <c r="E5273">
        <f>IF(OR(B5273="vi",B5273="ii",B5273="pod"),(((D5273/100)*(C5273*VLOOKUP(B5273,'Poids des runes'!A:B,2,FALSE)))+1),(((D5273/100)*(C5273*VLOOKUP(B5273,'Poids des runes'!A:B,2,FALSE)))+1)/VLOOKUP(B5273,'Poids des runes'!A:B,2,FALSE))</f>
        <v>9.3466666666666658</v>
      </c>
      <c r="F5273">
        <f t="shared" si="82"/>
        <v>9.3466666666666658</v>
      </c>
    </row>
    <row r="5274" spans="1:6" x14ac:dyDescent="0.3">
      <c r="A5274" t="s">
        <v>1123</v>
      </c>
      <c r="B5274" t="s">
        <v>2128</v>
      </c>
      <c r="C5274">
        <v>175.5</v>
      </c>
      <c r="D5274">
        <v>153</v>
      </c>
      <c r="E5274">
        <f>IF(OR(B5274="vi",B5274="ii",B5274="pod"),(((D5274/100)*(C5274*VLOOKUP(B5274,'Poids des runes'!A:B,2,FALSE)))+1),(((D5274/100)*(C5274*VLOOKUP(B5274,'Poids des runes'!A:B,2,FALSE)))+1)/VLOOKUP(B5274,'Poids des runes'!A:B,2,FALSE))</f>
        <v>54.703000000000003</v>
      </c>
      <c r="F5274">
        <f t="shared" si="82"/>
        <v>54.703000000000003</v>
      </c>
    </row>
    <row r="5275" spans="1:6" x14ac:dyDescent="0.3">
      <c r="A5275" t="s">
        <v>1123</v>
      </c>
      <c r="B5275" t="s">
        <v>2130</v>
      </c>
      <c r="C5275">
        <v>35.5</v>
      </c>
      <c r="D5275">
        <v>153</v>
      </c>
      <c r="E5275">
        <f>IF(OR(B5275="vi",B5275="ii",B5275="pod"),(((D5275/100)*(C5275*VLOOKUP(B5275,'Poids des runes'!A:B,2,FALSE)))+1),(((D5275/100)*(C5275*VLOOKUP(B5275,'Poids des runes'!A:B,2,FALSE)))+1)/VLOOKUP(B5275,'Poids des runes'!A:B,2,FALSE))</f>
        <v>55.314999999999998</v>
      </c>
      <c r="F5275">
        <f t="shared" si="82"/>
        <v>55.314999999999998</v>
      </c>
    </row>
    <row r="5276" spans="1:6" x14ac:dyDescent="0.3">
      <c r="A5276" t="s">
        <v>1123</v>
      </c>
      <c r="B5276" t="s">
        <v>2131</v>
      </c>
      <c r="C5276">
        <v>35.5</v>
      </c>
      <c r="D5276">
        <v>153</v>
      </c>
      <c r="E5276">
        <f>IF(OR(B5276="vi",B5276="ii",B5276="pod"),(((D5276/100)*(C5276*VLOOKUP(B5276,'Poids des runes'!A:B,2,FALSE)))+1),(((D5276/100)*(C5276*VLOOKUP(B5276,'Poids des runes'!A:B,2,FALSE)))+1)/VLOOKUP(B5276,'Poids des runes'!A:B,2,FALSE))</f>
        <v>55.314999999999998</v>
      </c>
      <c r="F5276">
        <f t="shared" si="82"/>
        <v>55.314999999999998</v>
      </c>
    </row>
    <row r="5277" spans="1:6" x14ac:dyDescent="0.3">
      <c r="A5277" t="s">
        <v>1123</v>
      </c>
      <c r="B5277" t="s">
        <v>2129</v>
      </c>
      <c r="C5277">
        <v>35.5</v>
      </c>
      <c r="D5277">
        <v>153</v>
      </c>
      <c r="E5277">
        <f>IF(OR(B5277="vi",B5277="ii",B5277="pod"),(((D5277/100)*(C5277*VLOOKUP(B5277,'Poids des runes'!A:B,2,FALSE)))+1),(((D5277/100)*(C5277*VLOOKUP(B5277,'Poids des runes'!A:B,2,FALSE)))+1)/VLOOKUP(B5277,'Poids des runes'!A:B,2,FALSE))</f>
        <v>55.314999999999998</v>
      </c>
      <c r="F5277">
        <f t="shared" si="82"/>
        <v>55.314999999999998</v>
      </c>
    </row>
    <row r="5278" spans="1:6" x14ac:dyDescent="0.3">
      <c r="A5278" t="s">
        <v>1123</v>
      </c>
      <c r="B5278" t="s">
        <v>2151</v>
      </c>
      <c r="C5278">
        <v>2.5</v>
      </c>
      <c r="D5278">
        <v>153</v>
      </c>
      <c r="E5278">
        <f>IF(OR(B5278="vi",B5278="ii",B5278="pod"),(((D5278/100)*(C5278*VLOOKUP(B5278,'Poids des runes'!A:B,2,FALSE)))+1),(((D5278/100)*(C5278*VLOOKUP(B5278,'Poids des runes'!A:B,2,FALSE)))+1)/VLOOKUP(B5278,'Poids des runes'!A:B,2,FALSE))</f>
        <v>3.9249999999999998</v>
      </c>
      <c r="F5278">
        <f t="shared" si="82"/>
        <v>3.9249999999999998</v>
      </c>
    </row>
    <row r="5279" spans="1:6" x14ac:dyDescent="0.3">
      <c r="A5279" t="s">
        <v>1123</v>
      </c>
      <c r="B5279" t="s">
        <v>2155</v>
      </c>
      <c r="C5279">
        <v>1</v>
      </c>
      <c r="D5279">
        <v>153</v>
      </c>
      <c r="E5279">
        <f>IF(OR(B5279="vi",B5279="ii",B5279="pod"),(((D5279/100)*(C5279*VLOOKUP(B5279,'Poids des runes'!A:B,2,FALSE)))+1),(((D5279/100)*(C5279*VLOOKUP(B5279,'Poids des runes'!A:B,2,FALSE)))+1)/VLOOKUP(B5279,'Poids des runes'!A:B,2,FALSE))</f>
        <v>1.5496078431372549</v>
      </c>
      <c r="F5279">
        <f t="shared" si="82"/>
        <v>1.5496078431372549</v>
      </c>
    </row>
    <row r="5280" spans="1:6" x14ac:dyDescent="0.3">
      <c r="A5280" t="s">
        <v>1123</v>
      </c>
      <c r="B5280" t="s">
        <v>2150</v>
      </c>
      <c r="C5280">
        <v>1</v>
      </c>
      <c r="D5280">
        <v>153</v>
      </c>
      <c r="E5280">
        <f>IF(OR(B5280="vi",B5280="ii",B5280="pod"),(((D5280/100)*(C5280*VLOOKUP(B5280,'Poids des runes'!A:B,2,FALSE)))+1),(((D5280/100)*(C5280*VLOOKUP(B5280,'Poids des runes'!A:B,2,FALSE)))+1)/VLOOKUP(B5280,'Poids des runes'!A:B,2,FALSE))</f>
        <v>1.5633333333333332</v>
      </c>
      <c r="F5280">
        <f t="shared" si="82"/>
        <v>1.5633333333333332</v>
      </c>
    </row>
    <row r="5281" spans="1:6" x14ac:dyDescent="0.3">
      <c r="A5281" t="s">
        <v>1123</v>
      </c>
      <c r="B5281" t="s">
        <v>2143</v>
      </c>
      <c r="C5281">
        <v>4</v>
      </c>
      <c r="D5281">
        <v>153</v>
      </c>
      <c r="E5281">
        <f>IF(OR(B5281="vi",B5281="ii",B5281="pod"),(((D5281/100)*(C5281*VLOOKUP(B5281,'Poids des runes'!A:B,2,FALSE)))+1),(((D5281/100)*(C5281*VLOOKUP(B5281,'Poids des runes'!A:B,2,FALSE)))+1)/VLOOKUP(B5281,'Poids des runes'!A:B,2,FALSE))</f>
        <v>6.32</v>
      </c>
      <c r="F5281">
        <f t="shared" si="82"/>
        <v>6.32</v>
      </c>
    </row>
    <row r="5282" spans="1:6" x14ac:dyDescent="0.3">
      <c r="A5282" t="s">
        <v>1123</v>
      </c>
      <c r="B5282" t="s">
        <v>2133</v>
      </c>
      <c r="C5282">
        <v>4</v>
      </c>
      <c r="D5282">
        <v>153</v>
      </c>
      <c r="E5282">
        <f>IF(OR(B5282="vi",B5282="ii",B5282="pod"),(((D5282/100)*(C5282*VLOOKUP(B5282,'Poids des runes'!A:B,2,FALSE)))+1),(((D5282/100)*(C5282*VLOOKUP(B5282,'Poids des runes'!A:B,2,FALSE)))+1)/VLOOKUP(B5282,'Poids des runes'!A:B,2,FALSE))</f>
        <v>6.32</v>
      </c>
      <c r="F5282">
        <f t="shared" si="82"/>
        <v>6.32</v>
      </c>
    </row>
    <row r="5283" spans="1:6" x14ac:dyDescent="0.3">
      <c r="A5283" t="s">
        <v>1123</v>
      </c>
      <c r="B5283" t="s">
        <v>2161</v>
      </c>
      <c r="C5283">
        <v>13</v>
      </c>
      <c r="D5283">
        <v>153</v>
      </c>
      <c r="E5283">
        <f>IF(OR(B5283="vi",B5283="ii",B5283="pod"),(((D5283/100)*(C5283*VLOOKUP(B5283,'Poids des runes'!A:B,2,FALSE)))+1),(((D5283/100)*(C5283*VLOOKUP(B5283,'Poids des runes'!A:B,2,FALSE)))+1)/VLOOKUP(B5283,'Poids des runes'!A:B,2,FALSE))</f>
        <v>20.223333333333333</v>
      </c>
      <c r="F5283">
        <f t="shared" si="82"/>
        <v>20.223333333333333</v>
      </c>
    </row>
    <row r="5284" spans="1:6" x14ac:dyDescent="0.3">
      <c r="A5284" t="s">
        <v>1123</v>
      </c>
      <c r="B5284" t="s">
        <v>2160</v>
      </c>
      <c r="C5284">
        <v>6</v>
      </c>
      <c r="D5284">
        <v>153</v>
      </c>
      <c r="E5284">
        <f>IF(OR(B5284="vi",B5284="ii",B5284="pod"),(((D5284/100)*(C5284*VLOOKUP(B5284,'Poids des runes'!A:B,2,FALSE)))+1),(((D5284/100)*(C5284*VLOOKUP(B5284,'Poids des runes'!A:B,2,FALSE)))+1)/VLOOKUP(B5284,'Poids des runes'!A:B,2,FALSE))</f>
        <v>9.3228571428571438</v>
      </c>
      <c r="F5284">
        <f t="shared" si="82"/>
        <v>9.3228571428571438</v>
      </c>
    </row>
    <row r="5285" spans="1:6" x14ac:dyDescent="0.3">
      <c r="A5285" t="s">
        <v>1123</v>
      </c>
      <c r="B5285" t="s">
        <v>2157</v>
      </c>
      <c r="C5285">
        <v>4</v>
      </c>
      <c r="D5285">
        <v>153</v>
      </c>
      <c r="E5285">
        <f>IF(OR(B5285="vi",B5285="ii",B5285="pod"),(((D5285/100)*(C5285*VLOOKUP(B5285,'Poids des runes'!A:B,2,FALSE)))+1),(((D5285/100)*(C5285*VLOOKUP(B5285,'Poids des runes'!A:B,2,FALSE)))+1)/VLOOKUP(B5285,'Poids des runes'!A:B,2,FALSE))</f>
        <v>6.2866666666666662</v>
      </c>
      <c r="F5285">
        <f t="shared" si="82"/>
        <v>6.2866666666666662</v>
      </c>
    </row>
    <row r="5286" spans="1:6" x14ac:dyDescent="0.3">
      <c r="A5286" t="s">
        <v>1123</v>
      </c>
      <c r="B5286" t="s">
        <v>2136</v>
      </c>
      <c r="C5286">
        <v>6</v>
      </c>
      <c r="D5286">
        <v>153</v>
      </c>
      <c r="E5286">
        <f>IF(OR(B5286="vi",B5286="ii",B5286="pod"),(((D5286/100)*(C5286*VLOOKUP(B5286,'Poids des runes'!A:B,2,FALSE)))+1),(((D5286/100)*(C5286*VLOOKUP(B5286,'Poids des runes'!A:B,2,FALSE)))+1)/VLOOKUP(B5286,'Poids des runes'!A:B,2,FALSE))</f>
        <v>9.68</v>
      </c>
      <c r="F5286">
        <f t="shared" si="82"/>
        <v>9.68</v>
      </c>
    </row>
    <row r="5287" spans="1:6" x14ac:dyDescent="0.3">
      <c r="A5287" t="s">
        <v>1123</v>
      </c>
      <c r="B5287" t="s">
        <v>2144</v>
      </c>
      <c r="C5287">
        <v>3.5</v>
      </c>
      <c r="D5287">
        <v>153</v>
      </c>
      <c r="E5287">
        <f>IF(OR(B5287="vi",B5287="ii",B5287="pod"),(((D5287/100)*(C5287*VLOOKUP(B5287,'Poids des runes'!A:B,2,FALSE)))+1),(((D5287/100)*(C5287*VLOOKUP(B5287,'Poids des runes'!A:B,2,FALSE)))+1)/VLOOKUP(B5287,'Poids des runes'!A:B,2,FALSE))</f>
        <v>5.8550000000000004</v>
      </c>
      <c r="F5287">
        <f t="shared" si="82"/>
        <v>5.8550000000000004</v>
      </c>
    </row>
    <row r="5288" spans="1:6" x14ac:dyDescent="0.3">
      <c r="A5288" t="s">
        <v>1124</v>
      </c>
      <c r="B5288" t="s">
        <v>2128</v>
      </c>
      <c r="C5288">
        <v>175.5</v>
      </c>
      <c r="D5288">
        <v>153</v>
      </c>
      <c r="E5288">
        <f>IF(OR(B5288="vi",B5288="ii",B5288="pod"),(((D5288/100)*(C5288*VLOOKUP(B5288,'Poids des runes'!A:B,2,FALSE)))+1),(((D5288/100)*(C5288*VLOOKUP(B5288,'Poids des runes'!A:B,2,FALSE)))+1)/VLOOKUP(B5288,'Poids des runes'!A:B,2,FALSE))</f>
        <v>54.703000000000003</v>
      </c>
      <c r="F5288">
        <f t="shared" si="82"/>
        <v>54.703000000000003</v>
      </c>
    </row>
    <row r="5289" spans="1:6" x14ac:dyDescent="0.3">
      <c r="A5289" t="s">
        <v>1124</v>
      </c>
      <c r="B5289" t="s">
        <v>2130</v>
      </c>
      <c r="C5289">
        <v>40.5</v>
      </c>
      <c r="D5289">
        <v>153</v>
      </c>
      <c r="E5289">
        <f>IF(OR(B5289="vi",B5289="ii",B5289="pod"),(((D5289/100)*(C5289*VLOOKUP(B5289,'Poids des runes'!A:B,2,FALSE)))+1),(((D5289/100)*(C5289*VLOOKUP(B5289,'Poids des runes'!A:B,2,FALSE)))+1)/VLOOKUP(B5289,'Poids des runes'!A:B,2,FALSE))</f>
        <v>62.965000000000003</v>
      </c>
      <c r="F5289">
        <f t="shared" si="82"/>
        <v>62.965000000000003</v>
      </c>
    </row>
    <row r="5290" spans="1:6" x14ac:dyDescent="0.3">
      <c r="A5290" t="s">
        <v>1124</v>
      </c>
      <c r="B5290" t="s">
        <v>2127</v>
      </c>
      <c r="C5290">
        <v>40.5</v>
      </c>
      <c r="D5290">
        <v>153</v>
      </c>
      <c r="E5290">
        <f>IF(OR(B5290="vi",B5290="ii",B5290="pod"),(((D5290/100)*(C5290*VLOOKUP(B5290,'Poids des runes'!A:B,2,FALSE)))+1),(((D5290/100)*(C5290*VLOOKUP(B5290,'Poids des runes'!A:B,2,FALSE)))+1)/VLOOKUP(B5290,'Poids des runes'!A:B,2,FALSE))</f>
        <v>62.965000000000003</v>
      </c>
      <c r="F5290">
        <f t="shared" si="82"/>
        <v>62.965000000000003</v>
      </c>
    </row>
    <row r="5291" spans="1:6" x14ac:dyDescent="0.3">
      <c r="A5291" t="s">
        <v>1124</v>
      </c>
      <c r="B5291" t="s">
        <v>2129</v>
      </c>
      <c r="C5291">
        <v>25.5</v>
      </c>
      <c r="D5291">
        <v>153</v>
      </c>
      <c r="E5291">
        <f>IF(OR(B5291="vi",B5291="ii",B5291="pod"),(((D5291/100)*(C5291*VLOOKUP(B5291,'Poids des runes'!A:B,2,FALSE)))+1),(((D5291/100)*(C5291*VLOOKUP(B5291,'Poids des runes'!A:B,2,FALSE)))+1)/VLOOKUP(B5291,'Poids des runes'!A:B,2,FALSE))</f>
        <v>40.015000000000001</v>
      </c>
      <c r="F5291">
        <f t="shared" si="82"/>
        <v>40.015000000000001</v>
      </c>
    </row>
    <row r="5292" spans="1:6" x14ac:dyDescent="0.3">
      <c r="A5292" t="s">
        <v>1124</v>
      </c>
      <c r="B5292" t="s">
        <v>2151</v>
      </c>
      <c r="C5292">
        <v>1</v>
      </c>
      <c r="D5292">
        <v>153</v>
      </c>
      <c r="E5292">
        <f>IF(OR(B5292="vi",B5292="ii",B5292="pod"),(((D5292/100)*(C5292*VLOOKUP(B5292,'Poids des runes'!A:B,2,FALSE)))+1),(((D5292/100)*(C5292*VLOOKUP(B5292,'Poids des runes'!A:B,2,FALSE)))+1)/VLOOKUP(B5292,'Poids des runes'!A:B,2,FALSE))</f>
        <v>1.6300000000000001</v>
      </c>
      <c r="F5292">
        <f t="shared" si="82"/>
        <v>1.6300000000000001</v>
      </c>
    </row>
    <row r="5293" spans="1:6" x14ac:dyDescent="0.3">
      <c r="A5293" t="s">
        <v>1124</v>
      </c>
      <c r="B5293" t="s">
        <v>2150</v>
      </c>
      <c r="C5293">
        <v>1.5</v>
      </c>
      <c r="D5293">
        <v>153</v>
      </c>
      <c r="E5293">
        <f>IF(OR(B5293="vi",B5293="ii",B5293="pod"),(((D5293/100)*(C5293*VLOOKUP(B5293,'Poids des runes'!A:B,2,FALSE)))+1),(((D5293/100)*(C5293*VLOOKUP(B5293,'Poids des runes'!A:B,2,FALSE)))+1)/VLOOKUP(B5293,'Poids des runes'!A:B,2,FALSE))</f>
        <v>2.3283333333333331</v>
      </c>
      <c r="F5293">
        <f t="shared" si="82"/>
        <v>2.3283333333333331</v>
      </c>
    </row>
    <row r="5294" spans="1:6" x14ac:dyDescent="0.3">
      <c r="A5294" t="s">
        <v>1124</v>
      </c>
      <c r="B5294" t="s">
        <v>2143</v>
      </c>
      <c r="C5294">
        <v>8.5</v>
      </c>
      <c r="D5294">
        <v>153</v>
      </c>
      <c r="E5294">
        <f>IF(OR(B5294="vi",B5294="ii",B5294="pod"),(((D5294/100)*(C5294*VLOOKUP(B5294,'Poids des runes'!A:B,2,FALSE)))+1),(((D5294/100)*(C5294*VLOOKUP(B5294,'Poids des runes'!A:B,2,FALSE)))+1)/VLOOKUP(B5294,'Poids des runes'!A:B,2,FALSE))</f>
        <v>13.205000000000002</v>
      </c>
      <c r="F5294">
        <f t="shared" si="82"/>
        <v>13.205000000000002</v>
      </c>
    </row>
    <row r="5295" spans="1:6" x14ac:dyDescent="0.3">
      <c r="A5295" t="s">
        <v>1124</v>
      </c>
      <c r="B5295" t="s">
        <v>2153</v>
      </c>
      <c r="C5295">
        <v>8.5</v>
      </c>
      <c r="D5295">
        <v>153</v>
      </c>
      <c r="E5295">
        <f>IF(OR(B5295="vi",B5295="ii",B5295="pod"),(((D5295/100)*(C5295*VLOOKUP(B5295,'Poids des runes'!A:B,2,FALSE)))+1),(((D5295/100)*(C5295*VLOOKUP(B5295,'Poids des runes'!A:B,2,FALSE)))+1)/VLOOKUP(B5295,'Poids des runes'!A:B,2,FALSE))</f>
        <v>13.205000000000002</v>
      </c>
      <c r="F5295">
        <f t="shared" si="82"/>
        <v>13.205000000000002</v>
      </c>
    </row>
    <row r="5296" spans="1:6" x14ac:dyDescent="0.3">
      <c r="A5296" t="s">
        <v>1124</v>
      </c>
      <c r="B5296" t="s">
        <v>2161</v>
      </c>
      <c r="C5296">
        <v>13</v>
      </c>
      <c r="D5296">
        <v>153</v>
      </c>
      <c r="E5296">
        <f>IF(OR(B5296="vi",B5296="ii",B5296="pod"),(((D5296/100)*(C5296*VLOOKUP(B5296,'Poids des runes'!A:B,2,FALSE)))+1),(((D5296/100)*(C5296*VLOOKUP(B5296,'Poids des runes'!A:B,2,FALSE)))+1)/VLOOKUP(B5296,'Poids des runes'!A:B,2,FALSE))</f>
        <v>20.223333333333333</v>
      </c>
      <c r="F5296">
        <f t="shared" si="82"/>
        <v>20.223333333333333</v>
      </c>
    </row>
    <row r="5297" spans="1:6" x14ac:dyDescent="0.3">
      <c r="A5297" t="s">
        <v>1124</v>
      </c>
      <c r="B5297" t="s">
        <v>2138</v>
      </c>
      <c r="C5297">
        <v>4.5</v>
      </c>
      <c r="D5297">
        <v>153</v>
      </c>
      <c r="E5297">
        <f>IF(OR(B5297="vi",B5297="ii",B5297="pod"),(((D5297/100)*(C5297*VLOOKUP(B5297,'Poids des runes'!A:B,2,FALSE)))+1),(((D5297/100)*(C5297*VLOOKUP(B5297,'Poids des runes'!A:B,2,FALSE)))+1)/VLOOKUP(B5297,'Poids des runes'!A:B,2,FALSE))</f>
        <v>7.1349999999999998</v>
      </c>
      <c r="F5297">
        <f t="shared" si="82"/>
        <v>7.1349999999999998</v>
      </c>
    </row>
    <row r="5298" spans="1:6" x14ac:dyDescent="0.3">
      <c r="A5298" t="s">
        <v>1124</v>
      </c>
      <c r="B5298" t="s">
        <v>2165</v>
      </c>
      <c r="C5298">
        <v>3.5</v>
      </c>
      <c r="D5298">
        <v>153</v>
      </c>
      <c r="E5298">
        <f>IF(OR(B5298="vi",B5298="ii",B5298="pod"),(((D5298/100)*(C5298*VLOOKUP(B5298,'Poids des runes'!A:B,2,FALSE)))+1),(((D5298/100)*(C5298*VLOOKUP(B5298,'Poids des runes'!A:B,2,FALSE)))+1)/VLOOKUP(B5298,'Poids des runes'!A:B,2,FALSE))</f>
        <v>5.4978571428571428</v>
      </c>
      <c r="F5298">
        <f t="shared" si="82"/>
        <v>5.4978571428571428</v>
      </c>
    </row>
    <row r="5299" spans="1:6" x14ac:dyDescent="0.3">
      <c r="A5299" t="s">
        <v>1124</v>
      </c>
      <c r="B5299" t="s">
        <v>2137</v>
      </c>
      <c r="C5299">
        <v>8.5</v>
      </c>
      <c r="D5299">
        <v>153</v>
      </c>
      <c r="E5299">
        <f>IF(OR(B5299="vi",B5299="ii",B5299="pod"),(((D5299/100)*(C5299*VLOOKUP(B5299,'Poids des runes'!A:B,2,FALSE)))+1),(((D5299/100)*(C5299*VLOOKUP(B5299,'Poids des runes'!A:B,2,FALSE)))+1)/VLOOKUP(B5299,'Poids des runes'!A:B,2,FALSE))</f>
        <v>13.505000000000001</v>
      </c>
      <c r="F5299">
        <f t="shared" si="82"/>
        <v>13.505000000000001</v>
      </c>
    </row>
    <row r="5300" spans="1:6" x14ac:dyDescent="0.3">
      <c r="A5300" t="s">
        <v>1124</v>
      </c>
      <c r="B5300" t="s">
        <v>2144</v>
      </c>
      <c r="C5300">
        <v>8.5</v>
      </c>
      <c r="D5300">
        <v>153</v>
      </c>
      <c r="E5300">
        <f>IF(OR(B5300="vi",B5300="ii",B5300="pod"),(((D5300/100)*(C5300*VLOOKUP(B5300,'Poids des runes'!A:B,2,FALSE)))+1),(((D5300/100)*(C5300*VLOOKUP(B5300,'Poids des runes'!A:B,2,FALSE)))+1)/VLOOKUP(B5300,'Poids des runes'!A:B,2,FALSE))</f>
        <v>13.505000000000001</v>
      </c>
      <c r="F5300">
        <f t="shared" si="82"/>
        <v>13.505000000000001</v>
      </c>
    </row>
    <row r="5301" spans="1:6" x14ac:dyDescent="0.3">
      <c r="A5301" t="s">
        <v>1124</v>
      </c>
      <c r="B5301" t="s">
        <v>2145</v>
      </c>
      <c r="C5301">
        <v>8.5</v>
      </c>
      <c r="D5301">
        <v>153</v>
      </c>
      <c r="E5301">
        <f>IF(OR(B5301="vi",B5301="ii",B5301="pod"),(((D5301/100)*(C5301*VLOOKUP(B5301,'Poids des runes'!A:B,2,FALSE)))+1),(((D5301/100)*(C5301*VLOOKUP(B5301,'Poids des runes'!A:B,2,FALSE)))+1)/VLOOKUP(B5301,'Poids des runes'!A:B,2,FALSE))</f>
        <v>13.505000000000001</v>
      </c>
      <c r="F5301">
        <f t="shared" si="82"/>
        <v>13.505000000000001</v>
      </c>
    </row>
    <row r="5302" spans="1:6" x14ac:dyDescent="0.3">
      <c r="A5302" t="s">
        <v>1125</v>
      </c>
      <c r="B5302" t="s">
        <v>2128</v>
      </c>
      <c r="C5302">
        <v>225.5</v>
      </c>
      <c r="D5302">
        <v>153</v>
      </c>
      <c r="E5302">
        <f>IF(OR(B5302="vi",B5302="ii",B5302="pod"),(((D5302/100)*(C5302*VLOOKUP(B5302,'Poids des runes'!A:B,2,FALSE)))+1),(((D5302/100)*(C5302*VLOOKUP(B5302,'Poids des runes'!A:B,2,FALSE)))+1)/VLOOKUP(B5302,'Poids des runes'!A:B,2,FALSE))</f>
        <v>70.003</v>
      </c>
      <c r="F5302">
        <f t="shared" si="82"/>
        <v>70.003</v>
      </c>
    </row>
    <row r="5303" spans="1:6" x14ac:dyDescent="0.3">
      <c r="A5303" t="s">
        <v>1125</v>
      </c>
      <c r="B5303" t="s">
        <v>2130</v>
      </c>
      <c r="C5303">
        <v>35.5</v>
      </c>
      <c r="D5303">
        <v>153</v>
      </c>
      <c r="E5303">
        <f>IF(OR(B5303="vi",B5303="ii",B5303="pod"),(((D5303/100)*(C5303*VLOOKUP(B5303,'Poids des runes'!A:B,2,FALSE)))+1),(((D5303/100)*(C5303*VLOOKUP(B5303,'Poids des runes'!A:B,2,FALSE)))+1)/VLOOKUP(B5303,'Poids des runes'!A:B,2,FALSE))</f>
        <v>55.314999999999998</v>
      </c>
      <c r="F5303">
        <f t="shared" si="82"/>
        <v>55.314999999999998</v>
      </c>
    </row>
    <row r="5304" spans="1:6" x14ac:dyDescent="0.3">
      <c r="A5304" t="s">
        <v>1125</v>
      </c>
      <c r="B5304" t="s">
        <v>2127</v>
      </c>
      <c r="C5304">
        <v>35.5</v>
      </c>
      <c r="D5304">
        <v>153</v>
      </c>
      <c r="E5304">
        <f>IF(OR(B5304="vi",B5304="ii",B5304="pod"),(((D5304/100)*(C5304*VLOOKUP(B5304,'Poids des runes'!A:B,2,FALSE)))+1),(((D5304/100)*(C5304*VLOOKUP(B5304,'Poids des runes'!A:B,2,FALSE)))+1)/VLOOKUP(B5304,'Poids des runes'!A:B,2,FALSE))</f>
        <v>55.314999999999998</v>
      </c>
      <c r="F5304">
        <f t="shared" si="82"/>
        <v>55.314999999999998</v>
      </c>
    </row>
    <row r="5305" spans="1:6" x14ac:dyDescent="0.3">
      <c r="A5305" t="s">
        <v>1125</v>
      </c>
      <c r="B5305" t="s">
        <v>2129</v>
      </c>
      <c r="C5305">
        <v>25.5</v>
      </c>
      <c r="D5305">
        <v>153</v>
      </c>
      <c r="E5305">
        <f>IF(OR(B5305="vi",B5305="ii",B5305="pod"),(((D5305/100)*(C5305*VLOOKUP(B5305,'Poids des runes'!A:B,2,FALSE)))+1),(((D5305/100)*(C5305*VLOOKUP(B5305,'Poids des runes'!A:B,2,FALSE)))+1)/VLOOKUP(B5305,'Poids des runes'!A:B,2,FALSE))</f>
        <v>40.015000000000001</v>
      </c>
      <c r="F5305">
        <f t="shared" si="82"/>
        <v>40.015000000000001</v>
      </c>
    </row>
    <row r="5306" spans="1:6" x14ac:dyDescent="0.3">
      <c r="A5306" t="s">
        <v>1125</v>
      </c>
      <c r="B5306" t="s">
        <v>2151</v>
      </c>
      <c r="C5306">
        <v>4.5</v>
      </c>
      <c r="D5306">
        <v>153</v>
      </c>
      <c r="E5306">
        <f>IF(OR(B5306="vi",B5306="ii",B5306="pod"),(((D5306/100)*(C5306*VLOOKUP(B5306,'Poids des runes'!A:B,2,FALSE)))+1),(((D5306/100)*(C5306*VLOOKUP(B5306,'Poids des runes'!A:B,2,FALSE)))+1)/VLOOKUP(B5306,'Poids des runes'!A:B,2,FALSE))</f>
        <v>6.9849999999999994</v>
      </c>
      <c r="F5306">
        <f t="shared" si="82"/>
        <v>6.9849999999999994</v>
      </c>
    </row>
    <row r="5307" spans="1:6" x14ac:dyDescent="0.3">
      <c r="A5307" t="s">
        <v>1125</v>
      </c>
      <c r="B5307" t="s">
        <v>2143</v>
      </c>
      <c r="C5307">
        <v>7</v>
      </c>
      <c r="D5307">
        <v>153</v>
      </c>
      <c r="E5307">
        <f>IF(OR(B5307="vi",B5307="ii",B5307="pod"),(((D5307/100)*(C5307*VLOOKUP(B5307,'Poids des runes'!A:B,2,FALSE)))+1),(((D5307/100)*(C5307*VLOOKUP(B5307,'Poids des runes'!A:B,2,FALSE)))+1)/VLOOKUP(B5307,'Poids des runes'!A:B,2,FALSE))</f>
        <v>10.91</v>
      </c>
      <c r="F5307">
        <f t="shared" si="82"/>
        <v>10.91</v>
      </c>
    </row>
    <row r="5308" spans="1:6" x14ac:dyDescent="0.3">
      <c r="A5308" t="s">
        <v>1125</v>
      </c>
      <c r="B5308" t="s">
        <v>2153</v>
      </c>
      <c r="C5308">
        <v>7</v>
      </c>
      <c r="D5308">
        <v>153</v>
      </c>
      <c r="E5308">
        <f>IF(OR(B5308="vi",B5308="ii",B5308="pod"),(((D5308/100)*(C5308*VLOOKUP(B5308,'Poids des runes'!A:B,2,FALSE)))+1),(((D5308/100)*(C5308*VLOOKUP(B5308,'Poids des runes'!A:B,2,FALSE)))+1)/VLOOKUP(B5308,'Poids des runes'!A:B,2,FALSE))</f>
        <v>10.91</v>
      </c>
      <c r="F5308">
        <f t="shared" si="82"/>
        <v>10.91</v>
      </c>
    </row>
    <row r="5309" spans="1:6" x14ac:dyDescent="0.3">
      <c r="A5309" t="s">
        <v>1125</v>
      </c>
      <c r="B5309" t="s">
        <v>2161</v>
      </c>
      <c r="C5309">
        <v>13</v>
      </c>
      <c r="D5309">
        <v>153</v>
      </c>
      <c r="E5309">
        <f>IF(OR(B5309="vi",B5309="ii",B5309="pod"),(((D5309/100)*(C5309*VLOOKUP(B5309,'Poids des runes'!A:B,2,FALSE)))+1),(((D5309/100)*(C5309*VLOOKUP(B5309,'Poids des runes'!A:B,2,FALSE)))+1)/VLOOKUP(B5309,'Poids des runes'!A:B,2,FALSE))</f>
        <v>20.223333333333333</v>
      </c>
      <c r="F5309">
        <f t="shared" si="82"/>
        <v>20.223333333333333</v>
      </c>
    </row>
    <row r="5310" spans="1:6" x14ac:dyDescent="0.3">
      <c r="A5310" t="s">
        <v>1125</v>
      </c>
      <c r="B5310" t="s">
        <v>2141</v>
      </c>
      <c r="C5310">
        <v>5</v>
      </c>
      <c r="D5310">
        <v>153</v>
      </c>
      <c r="E5310">
        <f>IF(OR(B5310="vi",B5310="ii",B5310="pod"),(((D5310/100)*(C5310*VLOOKUP(B5310,'Poids des runes'!A:B,2,FALSE)))+1),(((D5310/100)*(C5310*VLOOKUP(B5310,'Poids des runes'!A:B,2,FALSE)))+1)/VLOOKUP(B5310,'Poids des runes'!A:B,2,FALSE))</f>
        <v>7.9</v>
      </c>
      <c r="F5310">
        <f t="shared" si="82"/>
        <v>7.9</v>
      </c>
    </row>
    <row r="5311" spans="1:6" x14ac:dyDescent="0.3">
      <c r="A5311" t="s">
        <v>1125</v>
      </c>
      <c r="B5311" t="s">
        <v>2162</v>
      </c>
      <c r="C5311">
        <v>3.5</v>
      </c>
      <c r="D5311">
        <v>153</v>
      </c>
      <c r="E5311">
        <f>IF(OR(B5311="vi",B5311="ii",B5311="pod"),(((D5311/100)*(C5311*VLOOKUP(B5311,'Poids des runes'!A:B,2,FALSE)))+1),(((D5311/100)*(C5311*VLOOKUP(B5311,'Poids des runes'!A:B,2,FALSE)))+1)/VLOOKUP(B5311,'Poids des runes'!A:B,2,FALSE))</f>
        <v>5.4978571428571428</v>
      </c>
      <c r="F5311">
        <f t="shared" si="82"/>
        <v>5.4978571428571428</v>
      </c>
    </row>
    <row r="5312" spans="1:6" x14ac:dyDescent="0.3">
      <c r="A5312" t="s">
        <v>1125</v>
      </c>
      <c r="B5312" t="s">
        <v>2147</v>
      </c>
      <c r="C5312">
        <v>6</v>
      </c>
      <c r="D5312">
        <v>153</v>
      </c>
      <c r="E5312">
        <f>IF(OR(B5312="vi",B5312="ii",B5312="pod"),(((D5312/100)*(C5312*VLOOKUP(B5312,'Poids des runes'!A:B,2,FALSE)))+1),(((D5312/100)*(C5312*VLOOKUP(B5312,'Poids des runes'!A:B,2,FALSE)))+1)/VLOOKUP(B5312,'Poids des runes'!A:B,2,FALSE))</f>
        <v>9.3466666666666658</v>
      </c>
      <c r="F5312">
        <f t="shared" si="82"/>
        <v>9.3466666666666658</v>
      </c>
    </row>
    <row r="5313" spans="1:6" x14ac:dyDescent="0.3">
      <c r="A5313" t="s">
        <v>1125</v>
      </c>
      <c r="B5313" t="s">
        <v>2157</v>
      </c>
      <c r="C5313">
        <v>6</v>
      </c>
      <c r="D5313">
        <v>153</v>
      </c>
      <c r="E5313">
        <f>IF(OR(B5313="vi",B5313="ii",B5313="pod"),(((D5313/100)*(C5313*VLOOKUP(B5313,'Poids des runes'!A:B,2,FALSE)))+1),(((D5313/100)*(C5313*VLOOKUP(B5313,'Poids des runes'!A:B,2,FALSE)))+1)/VLOOKUP(B5313,'Poids des runes'!A:B,2,FALSE))</f>
        <v>9.3466666666666658</v>
      </c>
      <c r="F5313">
        <f t="shared" si="82"/>
        <v>9.3466666666666658</v>
      </c>
    </row>
    <row r="5314" spans="1:6" x14ac:dyDescent="0.3">
      <c r="A5314" t="s">
        <v>1126</v>
      </c>
      <c r="B5314" t="s">
        <v>2128</v>
      </c>
      <c r="C5314">
        <v>225.5</v>
      </c>
      <c r="D5314">
        <v>153</v>
      </c>
      <c r="E5314">
        <f>IF(OR(B5314="vi",B5314="ii",B5314="pod"),(((D5314/100)*(C5314*VLOOKUP(B5314,'Poids des runes'!A:B,2,FALSE)))+1),(((D5314/100)*(C5314*VLOOKUP(B5314,'Poids des runes'!A:B,2,FALSE)))+1)/VLOOKUP(B5314,'Poids des runes'!A:B,2,FALSE))</f>
        <v>70.003</v>
      </c>
      <c r="F5314">
        <f t="shared" si="82"/>
        <v>70.003</v>
      </c>
    </row>
    <row r="5315" spans="1:6" x14ac:dyDescent="0.3">
      <c r="A5315" t="s">
        <v>1126</v>
      </c>
      <c r="B5315" t="s">
        <v>2126</v>
      </c>
      <c r="C5315">
        <v>35.5</v>
      </c>
      <c r="D5315">
        <v>153</v>
      </c>
      <c r="E5315">
        <f>IF(OR(B5315="vi",B5315="ii",B5315="pod"),(((D5315/100)*(C5315*VLOOKUP(B5315,'Poids des runes'!A:B,2,FALSE)))+1),(((D5315/100)*(C5315*VLOOKUP(B5315,'Poids des runes'!A:B,2,FALSE)))+1)/VLOOKUP(B5315,'Poids des runes'!A:B,2,FALSE))</f>
        <v>55.314999999999998</v>
      </c>
      <c r="F5315">
        <f t="shared" ref="F5315:F5378" si="83">E5315</f>
        <v>55.314999999999998</v>
      </c>
    </row>
    <row r="5316" spans="1:6" x14ac:dyDescent="0.3">
      <c r="A5316" t="s">
        <v>1126</v>
      </c>
      <c r="B5316" t="s">
        <v>2127</v>
      </c>
      <c r="C5316">
        <v>35.5</v>
      </c>
      <c r="D5316">
        <v>153</v>
      </c>
      <c r="E5316">
        <f>IF(OR(B5316="vi",B5316="ii",B5316="pod"),(((D5316/100)*(C5316*VLOOKUP(B5316,'Poids des runes'!A:B,2,FALSE)))+1),(((D5316/100)*(C5316*VLOOKUP(B5316,'Poids des runes'!A:B,2,FALSE)))+1)/VLOOKUP(B5316,'Poids des runes'!A:B,2,FALSE))</f>
        <v>55.314999999999998</v>
      </c>
      <c r="F5316">
        <f t="shared" si="83"/>
        <v>55.314999999999998</v>
      </c>
    </row>
    <row r="5317" spans="1:6" x14ac:dyDescent="0.3">
      <c r="A5317" t="s">
        <v>1126</v>
      </c>
      <c r="B5317" t="s">
        <v>2129</v>
      </c>
      <c r="C5317">
        <v>35.5</v>
      </c>
      <c r="D5317">
        <v>153</v>
      </c>
      <c r="E5317">
        <f>IF(OR(B5317="vi",B5317="ii",B5317="pod"),(((D5317/100)*(C5317*VLOOKUP(B5317,'Poids des runes'!A:B,2,FALSE)))+1),(((D5317/100)*(C5317*VLOOKUP(B5317,'Poids des runes'!A:B,2,FALSE)))+1)/VLOOKUP(B5317,'Poids des runes'!A:B,2,FALSE))</f>
        <v>55.314999999999998</v>
      </c>
      <c r="F5317">
        <f t="shared" si="83"/>
        <v>55.314999999999998</v>
      </c>
    </row>
    <row r="5318" spans="1:6" x14ac:dyDescent="0.3">
      <c r="A5318" t="s">
        <v>1126</v>
      </c>
      <c r="B5318" t="s">
        <v>2152</v>
      </c>
      <c r="C5318">
        <v>1</v>
      </c>
      <c r="D5318">
        <v>153</v>
      </c>
      <c r="E5318">
        <f>IF(OR(B5318="vi",B5318="ii",B5318="pod"),(((D5318/100)*(C5318*VLOOKUP(B5318,'Poids des runes'!A:B,2,FALSE)))+1),(((D5318/100)*(C5318*VLOOKUP(B5318,'Poids des runes'!A:B,2,FALSE)))+1)/VLOOKUP(B5318,'Poids des runes'!A:B,2,FALSE))</f>
        <v>1.54</v>
      </c>
      <c r="F5318">
        <f t="shared" si="83"/>
        <v>1.54</v>
      </c>
    </row>
    <row r="5319" spans="1:6" x14ac:dyDescent="0.3">
      <c r="A5319" t="s">
        <v>1126</v>
      </c>
      <c r="B5319" t="s">
        <v>2140</v>
      </c>
      <c r="C5319">
        <v>10.5</v>
      </c>
      <c r="D5319">
        <v>153</v>
      </c>
      <c r="E5319">
        <f>IF(OR(B5319="vi",B5319="ii",B5319="pod"),(((D5319/100)*(C5319*VLOOKUP(B5319,'Poids des runes'!A:B,2,FALSE)))+1),(((D5319/100)*(C5319*VLOOKUP(B5319,'Poids des runes'!A:B,2,FALSE)))+1)/VLOOKUP(B5319,'Poids des runes'!A:B,2,FALSE))</f>
        <v>16.265000000000001</v>
      </c>
      <c r="F5319">
        <f t="shared" si="83"/>
        <v>16.265000000000001</v>
      </c>
    </row>
    <row r="5320" spans="1:6" x14ac:dyDescent="0.3">
      <c r="A5320" t="s">
        <v>1126</v>
      </c>
      <c r="B5320" t="s">
        <v>2153</v>
      </c>
      <c r="C5320">
        <v>10.5</v>
      </c>
      <c r="D5320">
        <v>153</v>
      </c>
      <c r="E5320">
        <f>IF(OR(B5320="vi",B5320="ii",B5320="pod"),(((D5320/100)*(C5320*VLOOKUP(B5320,'Poids des runes'!A:B,2,FALSE)))+1),(((D5320/100)*(C5320*VLOOKUP(B5320,'Poids des runes'!A:B,2,FALSE)))+1)/VLOOKUP(B5320,'Poids des runes'!A:B,2,FALSE))</f>
        <v>16.265000000000001</v>
      </c>
      <c r="F5320">
        <f t="shared" si="83"/>
        <v>16.265000000000001</v>
      </c>
    </row>
    <row r="5321" spans="1:6" x14ac:dyDescent="0.3">
      <c r="A5321" t="s">
        <v>1126</v>
      </c>
      <c r="B5321" t="s">
        <v>2149</v>
      </c>
      <c r="C5321">
        <v>6</v>
      </c>
      <c r="D5321">
        <v>153</v>
      </c>
      <c r="E5321">
        <f>IF(OR(B5321="vi",B5321="ii",B5321="pod"),(((D5321/100)*(C5321*VLOOKUP(B5321,'Poids des runes'!A:B,2,FALSE)))+1),(((D5321/100)*(C5321*VLOOKUP(B5321,'Poids des runes'!A:B,2,FALSE)))+1)/VLOOKUP(B5321,'Poids des runes'!A:B,2,FALSE))</f>
        <v>9.2799999999999994</v>
      </c>
      <c r="F5321">
        <f t="shared" si="83"/>
        <v>9.2799999999999994</v>
      </c>
    </row>
    <row r="5322" spans="1:6" x14ac:dyDescent="0.3">
      <c r="A5322" t="s">
        <v>1126</v>
      </c>
      <c r="B5322" t="s">
        <v>2161</v>
      </c>
      <c r="C5322">
        <v>13</v>
      </c>
      <c r="D5322">
        <v>153</v>
      </c>
      <c r="E5322">
        <f>IF(OR(B5322="vi",B5322="ii",B5322="pod"),(((D5322/100)*(C5322*VLOOKUP(B5322,'Poids des runes'!A:B,2,FALSE)))+1),(((D5322/100)*(C5322*VLOOKUP(B5322,'Poids des runes'!A:B,2,FALSE)))+1)/VLOOKUP(B5322,'Poids des runes'!A:B,2,FALSE))</f>
        <v>20.223333333333333</v>
      </c>
      <c r="F5322">
        <f t="shared" si="83"/>
        <v>20.223333333333333</v>
      </c>
    </row>
    <row r="5323" spans="1:6" x14ac:dyDescent="0.3">
      <c r="A5323" t="s">
        <v>1126</v>
      </c>
      <c r="B5323" t="s">
        <v>2141</v>
      </c>
      <c r="C5323">
        <v>3.5</v>
      </c>
      <c r="D5323">
        <v>153</v>
      </c>
      <c r="E5323">
        <f>IF(OR(B5323="vi",B5323="ii",B5323="pod"),(((D5323/100)*(C5323*VLOOKUP(B5323,'Poids des runes'!A:B,2,FALSE)))+1),(((D5323/100)*(C5323*VLOOKUP(B5323,'Poids des runes'!A:B,2,FALSE)))+1)/VLOOKUP(B5323,'Poids des runes'!A:B,2,FALSE))</f>
        <v>5.6050000000000004</v>
      </c>
      <c r="F5323">
        <f t="shared" si="83"/>
        <v>5.6050000000000004</v>
      </c>
    </row>
    <row r="5324" spans="1:6" x14ac:dyDescent="0.3">
      <c r="A5324" t="s">
        <v>1126</v>
      </c>
      <c r="B5324" t="s">
        <v>2137</v>
      </c>
      <c r="C5324">
        <v>8.5</v>
      </c>
      <c r="D5324">
        <v>153</v>
      </c>
      <c r="E5324">
        <f>IF(OR(B5324="vi",B5324="ii",B5324="pod"),(((D5324/100)*(C5324*VLOOKUP(B5324,'Poids des runes'!A:B,2,FALSE)))+1),(((D5324/100)*(C5324*VLOOKUP(B5324,'Poids des runes'!A:B,2,FALSE)))+1)/VLOOKUP(B5324,'Poids des runes'!A:B,2,FALSE))</f>
        <v>13.505000000000001</v>
      </c>
      <c r="F5324">
        <f t="shared" si="83"/>
        <v>13.505000000000001</v>
      </c>
    </row>
    <row r="5325" spans="1:6" x14ac:dyDescent="0.3">
      <c r="A5325" t="s">
        <v>1126</v>
      </c>
      <c r="B5325" t="s">
        <v>2145</v>
      </c>
      <c r="C5325">
        <v>8.5</v>
      </c>
      <c r="D5325">
        <v>153</v>
      </c>
      <c r="E5325">
        <f>IF(OR(B5325="vi",B5325="ii",B5325="pod"),(((D5325/100)*(C5325*VLOOKUP(B5325,'Poids des runes'!A:B,2,FALSE)))+1),(((D5325/100)*(C5325*VLOOKUP(B5325,'Poids des runes'!A:B,2,FALSE)))+1)/VLOOKUP(B5325,'Poids des runes'!A:B,2,FALSE))</f>
        <v>13.505000000000001</v>
      </c>
      <c r="F5325">
        <f t="shared" si="83"/>
        <v>13.505000000000001</v>
      </c>
    </row>
    <row r="5326" spans="1:6" x14ac:dyDescent="0.3">
      <c r="A5326" t="s">
        <v>1127</v>
      </c>
      <c r="B5326" t="s">
        <v>2128</v>
      </c>
      <c r="C5326">
        <v>225.5</v>
      </c>
      <c r="D5326">
        <v>153</v>
      </c>
      <c r="E5326">
        <f>IF(OR(B5326="vi",B5326="ii",B5326="pod"),(((D5326/100)*(C5326*VLOOKUP(B5326,'Poids des runes'!A:B,2,FALSE)))+1),(((D5326/100)*(C5326*VLOOKUP(B5326,'Poids des runes'!A:B,2,FALSE)))+1)/VLOOKUP(B5326,'Poids des runes'!A:B,2,FALSE))</f>
        <v>70.003</v>
      </c>
      <c r="F5326">
        <f t="shared" si="83"/>
        <v>70.003</v>
      </c>
    </row>
    <row r="5327" spans="1:6" x14ac:dyDescent="0.3">
      <c r="A5327" t="s">
        <v>1127</v>
      </c>
      <c r="B5327" t="s">
        <v>2126</v>
      </c>
      <c r="C5327">
        <v>40.5</v>
      </c>
      <c r="D5327">
        <v>153</v>
      </c>
      <c r="E5327">
        <f>IF(OR(B5327="vi",B5327="ii",B5327="pod"),(((D5327/100)*(C5327*VLOOKUP(B5327,'Poids des runes'!A:B,2,FALSE)))+1),(((D5327/100)*(C5327*VLOOKUP(B5327,'Poids des runes'!A:B,2,FALSE)))+1)/VLOOKUP(B5327,'Poids des runes'!A:B,2,FALSE))</f>
        <v>62.965000000000003</v>
      </c>
      <c r="F5327">
        <f t="shared" si="83"/>
        <v>62.965000000000003</v>
      </c>
    </row>
    <row r="5328" spans="1:6" x14ac:dyDescent="0.3">
      <c r="A5328" t="s">
        <v>1127</v>
      </c>
      <c r="B5328" t="s">
        <v>2127</v>
      </c>
      <c r="C5328">
        <v>40.5</v>
      </c>
      <c r="D5328">
        <v>153</v>
      </c>
      <c r="E5328">
        <f>IF(OR(B5328="vi",B5328="ii",B5328="pod"),(((D5328/100)*(C5328*VLOOKUP(B5328,'Poids des runes'!A:B,2,FALSE)))+1),(((D5328/100)*(C5328*VLOOKUP(B5328,'Poids des runes'!A:B,2,FALSE)))+1)/VLOOKUP(B5328,'Poids des runes'!A:B,2,FALSE))</f>
        <v>62.965000000000003</v>
      </c>
      <c r="F5328">
        <f t="shared" si="83"/>
        <v>62.965000000000003</v>
      </c>
    </row>
    <row r="5329" spans="1:6" x14ac:dyDescent="0.3">
      <c r="A5329" t="s">
        <v>1127</v>
      </c>
      <c r="B5329" t="s">
        <v>2129</v>
      </c>
      <c r="C5329">
        <v>35.5</v>
      </c>
      <c r="D5329">
        <v>153</v>
      </c>
      <c r="E5329">
        <f>IF(OR(B5329="vi",B5329="ii",B5329="pod"),(((D5329/100)*(C5329*VLOOKUP(B5329,'Poids des runes'!A:B,2,FALSE)))+1),(((D5329/100)*(C5329*VLOOKUP(B5329,'Poids des runes'!A:B,2,FALSE)))+1)/VLOOKUP(B5329,'Poids des runes'!A:B,2,FALSE))</f>
        <v>55.314999999999998</v>
      </c>
      <c r="F5329">
        <f t="shared" si="83"/>
        <v>55.314999999999998</v>
      </c>
    </row>
    <row r="5330" spans="1:6" x14ac:dyDescent="0.3">
      <c r="A5330" t="s">
        <v>1127</v>
      </c>
      <c r="B5330" t="s">
        <v>2154</v>
      </c>
      <c r="C5330">
        <v>1</v>
      </c>
      <c r="D5330">
        <v>153</v>
      </c>
      <c r="E5330">
        <f>IF(OR(B5330="vi",B5330="ii",B5330="pod"),(((D5330/100)*(C5330*VLOOKUP(B5330,'Poids des runes'!A:B,2,FALSE)))+1),(((D5330/100)*(C5330*VLOOKUP(B5330,'Poids des runes'!A:B,2,FALSE)))+1)/VLOOKUP(B5330,'Poids des runes'!A:B,2,FALSE))</f>
        <v>1.5411111111111109</v>
      </c>
      <c r="F5330">
        <f t="shared" si="83"/>
        <v>1.5411111111111109</v>
      </c>
    </row>
    <row r="5331" spans="1:6" x14ac:dyDescent="0.3">
      <c r="A5331" t="s">
        <v>1127</v>
      </c>
      <c r="B5331" t="s">
        <v>2140</v>
      </c>
      <c r="C5331">
        <v>6</v>
      </c>
      <c r="D5331">
        <v>153</v>
      </c>
      <c r="E5331">
        <f>IF(OR(B5331="vi",B5331="ii",B5331="pod"),(((D5331/100)*(C5331*VLOOKUP(B5331,'Poids des runes'!A:B,2,FALSE)))+1),(((D5331/100)*(C5331*VLOOKUP(B5331,'Poids des runes'!A:B,2,FALSE)))+1)/VLOOKUP(B5331,'Poids des runes'!A:B,2,FALSE))</f>
        <v>9.379999999999999</v>
      </c>
      <c r="F5331">
        <f t="shared" si="83"/>
        <v>9.379999999999999</v>
      </c>
    </row>
    <row r="5332" spans="1:6" x14ac:dyDescent="0.3">
      <c r="A5332" t="s">
        <v>1127</v>
      </c>
      <c r="B5332" t="s">
        <v>2153</v>
      </c>
      <c r="C5332">
        <v>6</v>
      </c>
      <c r="D5332">
        <v>153</v>
      </c>
      <c r="E5332">
        <f>IF(OR(B5332="vi",B5332="ii",B5332="pod"),(((D5332/100)*(C5332*VLOOKUP(B5332,'Poids des runes'!A:B,2,FALSE)))+1),(((D5332/100)*(C5332*VLOOKUP(B5332,'Poids des runes'!A:B,2,FALSE)))+1)/VLOOKUP(B5332,'Poids des runes'!A:B,2,FALSE))</f>
        <v>9.379999999999999</v>
      </c>
      <c r="F5332">
        <f t="shared" si="83"/>
        <v>9.379999999999999</v>
      </c>
    </row>
    <row r="5333" spans="1:6" x14ac:dyDescent="0.3">
      <c r="A5333" t="s">
        <v>1127</v>
      </c>
      <c r="B5333" t="s">
        <v>2149</v>
      </c>
      <c r="C5333">
        <v>8.5</v>
      </c>
      <c r="D5333">
        <v>153</v>
      </c>
      <c r="E5333">
        <f>IF(OR(B5333="vi",B5333="ii",B5333="pod"),(((D5333/100)*(C5333*VLOOKUP(B5333,'Poids des runes'!A:B,2,FALSE)))+1),(((D5333/100)*(C5333*VLOOKUP(B5333,'Poids des runes'!A:B,2,FALSE)))+1)/VLOOKUP(B5333,'Poids des runes'!A:B,2,FALSE))</f>
        <v>13.105</v>
      </c>
      <c r="F5333">
        <f t="shared" si="83"/>
        <v>13.105</v>
      </c>
    </row>
    <row r="5334" spans="1:6" x14ac:dyDescent="0.3">
      <c r="A5334" t="s">
        <v>1127</v>
      </c>
      <c r="B5334" t="s">
        <v>2161</v>
      </c>
      <c r="C5334">
        <v>10.5</v>
      </c>
      <c r="D5334">
        <v>153</v>
      </c>
      <c r="E5334">
        <f>IF(OR(B5334="vi",B5334="ii",B5334="pod"),(((D5334/100)*(C5334*VLOOKUP(B5334,'Poids des runes'!A:B,2,FALSE)))+1),(((D5334/100)*(C5334*VLOOKUP(B5334,'Poids des runes'!A:B,2,FALSE)))+1)/VLOOKUP(B5334,'Poids des runes'!A:B,2,FALSE))</f>
        <v>16.398333333333333</v>
      </c>
      <c r="F5334">
        <f t="shared" si="83"/>
        <v>16.398333333333333</v>
      </c>
    </row>
    <row r="5335" spans="1:6" x14ac:dyDescent="0.3">
      <c r="A5335" t="s">
        <v>1127</v>
      </c>
      <c r="B5335" t="s">
        <v>2141</v>
      </c>
      <c r="C5335">
        <v>3.5</v>
      </c>
      <c r="D5335">
        <v>153</v>
      </c>
      <c r="E5335">
        <f>IF(OR(B5335="vi",B5335="ii",B5335="pod"),(((D5335/100)*(C5335*VLOOKUP(B5335,'Poids des runes'!A:B,2,FALSE)))+1),(((D5335/100)*(C5335*VLOOKUP(B5335,'Poids des runes'!A:B,2,FALSE)))+1)/VLOOKUP(B5335,'Poids des runes'!A:B,2,FALSE))</f>
        <v>5.6050000000000004</v>
      </c>
      <c r="F5335">
        <f t="shared" si="83"/>
        <v>5.6050000000000004</v>
      </c>
    </row>
    <row r="5336" spans="1:6" x14ac:dyDescent="0.3">
      <c r="A5336" t="s">
        <v>1127</v>
      </c>
      <c r="B5336" t="s">
        <v>2157</v>
      </c>
      <c r="C5336">
        <v>5</v>
      </c>
      <c r="D5336">
        <v>153</v>
      </c>
      <c r="E5336">
        <f>IF(OR(B5336="vi",B5336="ii",B5336="pod"),(((D5336/100)*(C5336*VLOOKUP(B5336,'Poids des runes'!A:B,2,FALSE)))+1),(((D5336/100)*(C5336*VLOOKUP(B5336,'Poids des runes'!A:B,2,FALSE)))+1)/VLOOKUP(B5336,'Poids des runes'!A:B,2,FALSE))</f>
        <v>7.8166666666666664</v>
      </c>
      <c r="F5336">
        <f t="shared" si="83"/>
        <v>7.8166666666666664</v>
      </c>
    </row>
    <row r="5337" spans="1:6" x14ac:dyDescent="0.3">
      <c r="A5337" t="s">
        <v>1128</v>
      </c>
      <c r="B5337" t="s">
        <v>2128</v>
      </c>
      <c r="C5337">
        <v>175.5</v>
      </c>
      <c r="D5337">
        <v>154</v>
      </c>
      <c r="E5337">
        <f>IF(OR(B5337="vi",B5337="ii",B5337="pod"),(((D5337/100)*(C5337*VLOOKUP(B5337,'Poids des runes'!A:B,2,FALSE)))+1),(((D5337/100)*(C5337*VLOOKUP(B5337,'Poids des runes'!A:B,2,FALSE)))+1)/VLOOKUP(B5337,'Poids des runes'!A:B,2,FALSE))</f>
        <v>55.054000000000002</v>
      </c>
      <c r="F5337">
        <f t="shared" si="83"/>
        <v>55.054000000000002</v>
      </c>
    </row>
    <row r="5338" spans="1:6" x14ac:dyDescent="0.3">
      <c r="A5338" t="s">
        <v>1128</v>
      </c>
      <c r="B5338" t="s">
        <v>2127</v>
      </c>
      <c r="C5338">
        <v>50.5</v>
      </c>
      <c r="D5338">
        <v>154</v>
      </c>
      <c r="E5338">
        <f>IF(OR(B5338="vi",B5338="ii",B5338="pod"),(((D5338/100)*(C5338*VLOOKUP(B5338,'Poids des runes'!A:B,2,FALSE)))+1),(((D5338/100)*(C5338*VLOOKUP(B5338,'Poids des runes'!A:B,2,FALSE)))+1)/VLOOKUP(B5338,'Poids des runes'!A:B,2,FALSE))</f>
        <v>78.77</v>
      </c>
      <c r="F5338">
        <f t="shared" si="83"/>
        <v>78.77</v>
      </c>
    </row>
    <row r="5339" spans="1:6" x14ac:dyDescent="0.3">
      <c r="A5339" t="s">
        <v>1128</v>
      </c>
      <c r="B5339" t="s">
        <v>2129</v>
      </c>
      <c r="C5339">
        <v>20.5</v>
      </c>
      <c r="D5339">
        <v>154</v>
      </c>
      <c r="E5339">
        <f>IF(OR(B5339="vi",B5339="ii",B5339="pod"),(((D5339/100)*(C5339*VLOOKUP(B5339,'Poids des runes'!A:B,2,FALSE)))+1),(((D5339/100)*(C5339*VLOOKUP(B5339,'Poids des runes'!A:B,2,FALSE)))+1)/VLOOKUP(B5339,'Poids des runes'!A:B,2,FALSE))</f>
        <v>32.57</v>
      </c>
      <c r="F5339">
        <f t="shared" si="83"/>
        <v>32.57</v>
      </c>
    </row>
    <row r="5340" spans="1:6" x14ac:dyDescent="0.3">
      <c r="A5340" t="s">
        <v>1128</v>
      </c>
      <c r="B5340" t="s">
        <v>2151</v>
      </c>
      <c r="C5340">
        <v>4</v>
      </c>
      <c r="D5340">
        <v>154</v>
      </c>
      <c r="E5340">
        <f>IF(OR(B5340="vi",B5340="ii",B5340="pod"),(((D5340/100)*(C5340*VLOOKUP(B5340,'Poids des runes'!A:B,2,FALSE)))+1),(((D5340/100)*(C5340*VLOOKUP(B5340,'Poids des runes'!A:B,2,FALSE)))+1)/VLOOKUP(B5340,'Poids des runes'!A:B,2,FALSE))</f>
        <v>6.26</v>
      </c>
      <c r="F5340">
        <f t="shared" si="83"/>
        <v>6.26</v>
      </c>
    </row>
    <row r="5341" spans="1:6" x14ac:dyDescent="0.3">
      <c r="A5341" t="s">
        <v>1128</v>
      </c>
      <c r="B5341" t="s">
        <v>2153</v>
      </c>
      <c r="C5341">
        <v>10.5</v>
      </c>
      <c r="D5341">
        <v>154</v>
      </c>
      <c r="E5341">
        <f>IF(OR(B5341="vi",B5341="ii",B5341="pod"),(((D5341/100)*(C5341*VLOOKUP(B5341,'Poids des runes'!A:B,2,FALSE)))+1),(((D5341/100)*(C5341*VLOOKUP(B5341,'Poids des runes'!A:B,2,FALSE)))+1)/VLOOKUP(B5341,'Poids des runes'!A:B,2,FALSE))</f>
        <v>16.37</v>
      </c>
      <c r="F5341">
        <f t="shared" si="83"/>
        <v>16.37</v>
      </c>
    </row>
    <row r="5342" spans="1:6" x14ac:dyDescent="0.3">
      <c r="A5342" t="s">
        <v>1128</v>
      </c>
      <c r="B5342" t="s">
        <v>2138</v>
      </c>
      <c r="C5342">
        <v>6.5</v>
      </c>
      <c r="D5342">
        <v>154</v>
      </c>
      <c r="E5342">
        <f>IF(OR(B5342="vi",B5342="ii",B5342="pod"),(((D5342/100)*(C5342*VLOOKUP(B5342,'Poids des runes'!A:B,2,FALSE)))+1),(((D5342/100)*(C5342*VLOOKUP(B5342,'Poids des runes'!A:B,2,FALSE)))+1)/VLOOKUP(B5342,'Poids des runes'!A:B,2,FALSE))</f>
        <v>10.26</v>
      </c>
      <c r="F5342">
        <f t="shared" si="83"/>
        <v>10.26</v>
      </c>
    </row>
    <row r="5343" spans="1:6" x14ac:dyDescent="0.3">
      <c r="A5343" t="s">
        <v>1128</v>
      </c>
      <c r="B5343" t="s">
        <v>2162</v>
      </c>
      <c r="C5343">
        <v>6.5</v>
      </c>
      <c r="D5343">
        <v>154</v>
      </c>
      <c r="E5343">
        <f>IF(OR(B5343="vi",B5343="ii",B5343="pod"),(((D5343/100)*(C5343*VLOOKUP(B5343,'Poids des runes'!A:B,2,FALSE)))+1),(((D5343/100)*(C5343*VLOOKUP(B5343,'Poids des runes'!A:B,2,FALSE)))+1)/VLOOKUP(B5343,'Poids des runes'!A:B,2,FALSE))</f>
        <v>10.152857142857144</v>
      </c>
      <c r="F5343">
        <f t="shared" si="83"/>
        <v>10.152857142857144</v>
      </c>
    </row>
    <row r="5344" spans="1:6" x14ac:dyDescent="0.3">
      <c r="A5344" t="s">
        <v>1128</v>
      </c>
      <c r="B5344" t="s">
        <v>2158</v>
      </c>
      <c r="C5344">
        <v>8</v>
      </c>
      <c r="D5344">
        <v>154</v>
      </c>
      <c r="E5344">
        <f>IF(OR(B5344="vi",B5344="ii",B5344="pod"),(((D5344/100)*(C5344*VLOOKUP(B5344,'Poids des runes'!A:B,2,FALSE)))+1),(((D5344/100)*(C5344*VLOOKUP(B5344,'Poids des runes'!A:B,2,FALSE)))+1)/VLOOKUP(B5344,'Poids des runes'!A:B,2,FALSE))</f>
        <v>12.52</v>
      </c>
      <c r="F5344">
        <f t="shared" si="83"/>
        <v>12.52</v>
      </c>
    </row>
    <row r="5345" spans="1:6" x14ac:dyDescent="0.3">
      <c r="A5345" t="s">
        <v>1128</v>
      </c>
      <c r="B5345" t="s">
        <v>2156</v>
      </c>
      <c r="C5345">
        <v>5</v>
      </c>
      <c r="D5345">
        <v>154</v>
      </c>
      <c r="E5345">
        <f>IF(OR(B5345="vi",B5345="ii",B5345="pod"),(((D5345/100)*(C5345*VLOOKUP(B5345,'Poids des runes'!A:B,2,FALSE)))+1),(((D5345/100)*(C5345*VLOOKUP(B5345,'Poids des runes'!A:B,2,FALSE)))+1)/VLOOKUP(B5345,'Poids des runes'!A:B,2,FALSE))</f>
        <v>7.8666666666666671</v>
      </c>
      <c r="F5345">
        <f t="shared" si="83"/>
        <v>7.8666666666666671</v>
      </c>
    </row>
    <row r="5346" spans="1:6" x14ac:dyDescent="0.3">
      <c r="A5346" t="s">
        <v>1128</v>
      </c>
      <c r="B5346" t="s">
        <v>2147</v>
      </c>
      <c r="C5346">
        <v>5</v>
      </c>
      <c r="D5346">
        <v>154</v>
      </c>
      <c r="E5346">
        <f>IF(OR(B5346="vi",B5346="ii",B5346="pod"),(((D5346/100)*(C5346*VLOOKUP(B5346,'Poids des runes'!A:B,2,FALSE)))+1),(((D5346/100)*(C5346*VLOOKUP(B5346,'Poids des runes'!A:B,2,FALSE)))+1)/VLOOKUP(B5346,'Poids des runes'!A:B,2,FALSE))</f>
        <v>7.8666666666666671</v>
      </c>
      <c r="F5346">
        <f t="shared" si="83"/>
        <v>7.8666666666666671</v>
      </c>
    </row>
    <row r="5347" spans="1:6" x14ac:dyDescent="0.3">
      <c r="A5347" t="s">
        <v>1129</v>
      </c>
      <c r="B5347" t="s">
        <v>2128</v>
      </c>
      <c r="C5347">
        <v>225.5</v>
      </c>
      <c r="D5347">
        <v>154</v>
      </c>
      <c r="E5347">
        <f>IF(OR(B5347="vi",B5347="ii",B5347="pod"),(((D5347/100)*(C5347*VLOOKUP(B5347,'Poids des runes'!A:B,2,FALSE)))+1),(((D5347/100)*(C5347*VLOOKUP(B5347,'Poids des runes'!A:B,2,FALSE)))+1)/VLOOKUP(B5347,'Poids des runes'!A:B,2,FALSE))</f>
        <v>70.454000000000008</v>
      </c>
      <c r="F5347">
        <f t="shared" si="83"/>
        <v>70.454000000000008</v>
      </c>
    </row>
    <row r="5348" spans="1:6" x14ac:dyDescent="0.3">
      <c r="A5348" t="s">
        <v>1129</v>
      </c>
      <c r="B5348" t="s">
        <v>2126</v>
      </c>
      <c r="C5348">
        <v>38</v>
      </c>
      <c r="D5348">
        <v>154</v>
      </c>
      <c r="E5348">
        <f>IF(OR(B5348="vi",B5348="ii",B5348="pod"),(((D5348/100)*(C5348*VLOOKUP(B5348,'Poids des runes'!A:B,2,FALSE)))+1),(((D5348/100)*(C5348*VLOOKUP(B5348,'Poids des runes'!A:B,2,FALSE)))+1)/VLOOKUP(B5348,'Poids des runes'!A:B,2,FALSE))</f>
        <v>59.52</v>
      </c>
      <c r="F5348">
        <f t="shared" si="83"/>
        <v>59.52</v>
      </c>
    </row>
    <row r="5349" spans="1:6" x14ac:dyDescent="0.3">
      <c r="A5349" t="s">
        <v>1129</v>
      </c>
      <c r="B5349" t="s">
        <v>2127</v>
      </c>
      <c r="C5349">
        <v>38</v>
      </c>
      <c r="D5349">
        <v>154</v>
      </c>
      <c r="E5349">
        <f>IF(OR(B5349="vi",B5349="ii",B5349="pod"),(((D5349/100)*(C5349*VLOOKUP(B5349,'Poids des runes'!A:B,2,FALSE)))+1),(((D5349/100)*(C5349*VLOOKUP(B5349,'Poids des runes'!A:B,2,FALSE)))+1)/VLOOKUP(B5349,'Poids des runes'!A:B,2,FALSE))</f>
        <v>59.52</v>
      </c>
      <c r="F5349">
        <f t="shared" si="83"/>
        <v>59.52</v>
      </c>
    </row>
    <row r="5350" spans="1:6" x14ac:dyDescent="0.3">
      <c r="A5350" t="s">
        <v>1129</v>
      </c>
      <c r="B5350" t="s">
        <v>2129</v>
      </c>
      <c r="C5350">
        <v>30.5</v>
      </c>
      <c r="D5350">
        <v>154</v>
      </c>
      <c r="E5350">
        <f>IF(OR(B5350="vi",B5350="ii",B5350="pod"),(((D5350/100)*(C5350*VLOOKUP(B5350,'Poids des runes'!A:B,2,FALSE)))+1),(((D5350/100)*(C5350*VLOOKUP(B5350,'Poids des runes'!A:B,2,FALSE)))+1)/VLOOKUP(B5350,'Poids des runes'!A:B,2,FALSE))</f>
        <v>47.97</v>
      </c>
      <c r="F5350">
        <f t="shared" si="83"/>
        <v>47.97</v>
      </c>
    </row>
    <row r="5351" spans="1:6" x14ac:dyDescent="0.3">
      <c r="A5351" t="s">
        <v>1129</v>
      </c>
      <c r="B5351" t="s">
        <v>2152</v>
      </c>
      <c r="C5351">
        <v>1</v>
      </c>
      <c r="D5351">
        <v>154</v>
      </c>
      <c r="E5351">
        <f>IF(OR(B5351="vi",B5351="ii",B5351="pod"),(((D5351/100)*(C5351*VLOOKUP(B5351,'Poids des runes'!A:B,2,FALSE)))+1),(((D5351/100)*(C5351*VLOOKUP(B5351,'Poids des runes'!A:B,2,FALSE)))+1)/VLOOKUP(B5351,'Poids des runes'!A:B,2,FALSE))</f>
        <v>1.55</v>
      </c>
      <c r="F5351">
        <f t="shared" si="83"/>
        <v>1.55</v>
      </c>
    </row>
    <row r="5352" spans="1:6" x14ac:dyDescent="0.3">
      <c r="A5352" t="s">
        <v>1129</v>
      </c>
      <c r="B5352" t="s">
        <v>2155</v>
      </c>
      <c r="C5352">
        <v>1</v>
      </c>
      <c r="D5352">
        <v>154</v>
      </c>
      <c r="E5352">
        <f>IF(OR(B5352="vi",B5352="ii",B5352="pod"),(((D5352/100)*(C5352*VLOOKUP(B5352,'Poids des runes'!A:B,2,FALSE)))+1),(((D5352/100)*(C5352*VLOOKUP(B5352,'Poids des runes'!A:B,2,FALSE)))+1)/VLOOKUP(B5352,'Poids des runes'!A:B,2,FALSE))</f>
        <v>1.5596078431372551</v>
      </c>
      <c r="F5352">
        <f t="shared" si="83"/>
        <v>1.5596078431372551</v>
      </c>
    </row>
    <row r="5353" spans="1:6" x14ac:dyDescent="0.3">
      <c r="A5353" t="s">
        <v>1129</v>
      </c>
      <c r="B5353" t="s">
        <v>2150</v>
      </c>
      <c r="C5353">
        <v>1</v>
      </c>
      <c r="D5353">
        <v>154</v>
      </c>
      <c r="E5353">
        <f>IF(OR(B5353="vi",B5353="ii",B5353="pod"),(((D5353/100)*(C5353*VLOOKUP(B5353,'Poids des runes'!A:B,2,FALSE)))+1),(((D5353/100)*(C5353*VLOOKUP(B5353,'Poids des runes'!A:B,2,FALSE)))+1)/VLOOKUP(B5353,'Poids des runes'!A:B,2,FALSE))</f>
        <v>1.5733333333333335</v>
      </c>
      <c r="F5353">
        <f t="shared" si="83"/>
        <v>1.5733333333333335</v>
      </c>
    </row>
    <row r="5354" spans="1:6" x14ac:dyDescent="0.3">
      <c r="A5354" t="s">
        <v>1129</v>
      </c>
      <c r="B5354" t="s">
        <v>2140</v>
      </c>
      <c r="C5354">
        <v>8.5</v>
      </c>
      <c r="D5354">
        <v>154</v>
      </c>
      <c r="E5354">
        <f>IF(OR(B5354="vi",B5354="ii",B5354="pod"),(((D5354/100)*(C5354*VLOOKUP(B5354,'Poids des runes'!A:B,2,FALSE)))+1),(((D5354/100)*(C5354*VLOOKUP(B5354,'Poids des runes'!A:B,2,FALSE)))+1)/VLOOKUP(B5354,'Poids des runes'!A:B,2,FALSE))</f>
        <v>13.290000000000001</v>
      </c>
      <c r="F5354">
        <f t="shared" si="83"/>
        <v>13.290000000000001</v>
      </c>
    </row>
    <row r="5355" spans="1:6" x14ac:dyDescent="0.3">
      <c r="A5355" t="s">
        <v>1129</v>
      </c>
      <c r="B5355" t="s">
        <v>2153</v>
      </c>
      <c r="C5355">
        <v>8.5</v>
      </c>
      <c r="D5355">
        <v>154</v>
      </c>
      <c r="E5355">
        <f>IF(OR(B5355="vi",B5355="ii",B5355="pod"),(((D5355/100)*(C5355*VLOOKUP(B5355,'Poids des runes'!A:B,2,FALSE)))+1),(((D5355/100)*(C5355*VLOOKUP(B5355,'Poids des runes'!A:B,2,FALSE)))+1)/VLOOKUP(B5355,'Poids des runes'!A:B,2,FALSE))</f>
        <v>13.290000000000001</v>
      </c>
      <c r="F5355">
        <f t="shared" si="83"/>
        <v>13.290000000000001</v>
      </c>
    </row>
    <row r="5356" spans="1:6" x14ac:dyDescent="0.3">
      <c r="A5356" t="s">
        <v>1129</v>
      </c>
      <c r="B5356" t="s">
        <v>2161</v>
      </c>
      <c r="C5356">
        <v>15.5</v>
      </c>
      <c r="D5356">
        <v>154</v>
      </c>
      <c r="E5356">
        <f>IF(OR(B5356="vi",B5356="ii",B5356="pod"),(((D5356/100)*(C5356*VLOOKUP(B5356,'Poids des runes'!A:B,2,FALSE)))+1),(((D5356/100)*(C5356*VLOOKUP(B5356,'Poids des runes'!A:B,2,FALSE)))+1)/VLOOKUP(B5356,'Poids des runes'!A:B,2,FALSE))</f>
        <v>24.203333333333333</v>
      </c>
      <c r="F5356">
        <f t="shared" si="83"/>
        <v>24.203333333333333</v>
      </c>
    </row>
    <row r="5357" spans="1:6" x14ac:dyDescent="0.3">
      <c r="A5357" t="s">
        <v>1129</v>
      </c>
      <c r="B5357" t="s">
        <v>2164</v>
      </c>
      <c r="C5357">
        <v>8.5</v>
      </c>
      <c r="D5357">
        <v>154</v>
      </c>
      <c r="E5357">
        <f>IF(OR(B5357="vi",B5357="ii",B5357="pod"),(((D5357/100)*(C5357*VLOOKUP(B5357,'Poids des runes'!A:B,2,FALSE)))+1),(((D5357/100)*(C5357*VLOOKUP(B5357,'Poids des runes'!A:B,2,FALSE)))+1)/VLOOKUP(B5357,'Poids des runes'!A:B,2,FALSE))</f>
        <v>13.59</v>
      </c>
      <c r="F5357">
        <f t="shared" si="83"/>
        <v>13.59</v>
      </c>
    </row>
    <row r="5358" spans="1:6" x14ac:dyDescent="0.3">
      <c r="A5358" t="s">
        <v>1129</v>
      </c>
      <c r="B5358" t="s">
        <v>2137</v>
      </c>
      <c r="C5358">
        <v>8.5</v>
      </c>
      <c r="D5358">
        <v>154</v>
      </c>
      <c r="E5358">
        <f>IF(OR(B5358="vi",B5358="ii",B5358="pod"),(((D5358/100)*(C5358*VLOOKUP(B5358,'Poids des runes'!A:B,2,FALSE)))+1),(((D5358/100)*(C5358*VLOOKUP(B5358,'Poids des runes'!A:B,2,FALSE)))+1)/VLOOKUP(B5358,'Poids des runes'!A:B,2,FALSE))</f>
        <v>13.59</v>
      </c>
      <c r="F5358">
        <f t="shared" si="83"/>
        <v>13.59</v>
      </c>
    </row>
    <row r="5359" spans="1:6" x14ac:dyDescent="0.3">
      <c r="A5359" t="s">
        <v>1129</v>
      </c>
      <c r="B5359" t="s">
        <v>2146</v>
      </c>
      <c r="C5359">
        <v>8.5</v>
      </c>
      <c r="D5359">
        <v>154</v>
      </c>
      <c r="E5359">
        <f>IF(OR(B5359="vi",B5359="ii",B5359="pod"),(((D5359/100)*(C5359*VLOOKUP(B5359,'Poids des runes'!A:B,2,FALSE)))+1),(((D5359/100)*(C5359*VLOOKUP(B5359,'Poids des runes'!A:B,2,FALSE)))+1)/VLOOKUP(B5359,'Poids des runes'!A:B,2,FALSE))</f>
        <v>13.59</v>
      </c>
      <c r="F5359">
        <f t="shared" si="83"/>
        <v>13.59</v>
      </c>
    </row>
    <row r="5360" spans="1:6" x14ac:dyDescent="0.3">
      <c r="A5360" t="s">
        <v>1130</v>
      </c>
      <c r="B5360" t="s">
        <v>2128</v>
      </c>
      <c r="C5360">
        <v>225.5</v>
      </c>
      <c r="D5360">
        <v>154</v>
      </c>
      <c r="E5360">
        <f>IF(OR(B5360="vi",B5360="ii",B5360="pod"),(((D5360/100)*(C5360*VLOOKUP(B5360,'Poids des runes'!A:B,2,FALSE)))+1),(((D5360/100)*(C5360*VLOOKUP(B5360,'Poids des runes'!A:B,2,FALSE)))+1)/VLOOKUP(B5360,'Poids des runes'!A:B,2,FALSE))</f>
        <v>70.454000000000008</v>
      </c>
      <c r="F5360">
        <f t="shared" si="83"/>
        <v>70.454000000000008</v>
      </c>
    </row>
    <row r="5361" spans="1:6" x14ac:dyDescent="0.3">
      <c r="A5361" t="s">
        <v>1130</v>
      </c>
      <c r="B5361" t="s">
        <v>2126</v>
      </c>
      <c r="C5361">
        <v>50.5</v>
      </c>
      <c r="D5361">
        <v>154</v>
      </c>
      <c r="E5361">
        <f>IF(OR(B5361="vi",B5361="ii",B5361="pod"),(((D5361/100)*(C5361*VLOOKUP(B5361,'Poids des runes'!A:B,2,FALSE)))+1),(((D5361/100)*(C5361*VLOOKUP(B5361,'Poids des runes'!A:B,2,FALSE)))+1)/VLOOKUP(B5361,'Poids des runes'!A:B,2,FALSE))</f>
        <v>78.77</v>
      </c>
      <c r="F5361">
        <f t="shared" si="83"/>
        <v>78.77</v>
      </c>
    </row>
    <row r="5362" spans="1:6" x14ac:dyDescent="0.3">
      <c r="A5362" t="s">
        <v>1130</v>
      </c>
      <c r="B5362" t="s">
        <v>2127</v>
      </c>
      <c r="C5362">
        <v>50.5</v>
      </c>
      <c r="D5362">
        <v>154</v>
      </c>
      <c r="E5362">
        <f>IF(OR(B5362="vi",B5362="ii",B5362="pod"),(((D5362/100)*(C5362*VLOOKUP(B5362,'Poids des runes'!A:B,2,FALSE)))+1),(((D5362/100)*(C5362*VLOOKUP(B5362,'Poids des runes'!A:B,2,FALSE)))+1)/VLOOKUP(B5362,'Poids des runes'!A:B,2,FALSE))</f>
        <v>78.77</v>
      </c>
      <c r="F5362">
        <f t="shared" si="83"/>
        <v>78.77</v>
      </c>
    </row>
    <row r="5363" spans="1:6" x14ac:dyDescent="0.3">
      <c r="A5363" t="s">
        <v>1130</v>
      </c>
      <c r="B5363" t="s">
        <v>2139</v>
      </c>
      <c r="C5363">
        <v>18</v>
      </c>
      <c r="D5363">
        <v>154</v>
      </c>
      <c r="E5363">
        <f>IF(OR(B5363="vi",B5363="ii",B5363="pod"),(((D5363/100)*(C5363*VLOOKUP(B5363,'Poids des runes'!A:B,2,FALSE)))+1),(((D5363/100)*(C5363*VLOOKUP(B5363,'Poids des runes'!A:B,2,FALSE)))+1)/VLOOKUP(B5363,'Poids des runes'!A:B,2,FALSE))</f>
        <v>28.22</v>
      </c>
      <c r="F5363">
        <f t="shared" si="83"/>
        <v>28.22</v>
      </c>
    </row>
    <row r="5364" spans="1:6" x14ac:dyDescent="0.3">
      <c r="A5364" t="s">
        <v>1130</v>
      </c>
      <c r="B5364" t="s">
        <v>2151</v>
      </c>
      <c r="C5364">
        <v>3.5</v>
      </c>
      <c r="D5364">
        <v>154</v>
      </c>
      <c r="E5364">
        <f>IF(OR(B5364="vi",B5364="ii",B5364="pod"),(((D5364/100)*(C5364*VLOOKUP(B5364,'Poids des runes'!A:B,2,FALSE)))+1),(((D5364/100)*(C5364*VLOOKUP(B5364,'Poids des runes'!A:B,2,FALSE)))+1)/VLOOKUP(B5364,'Poids des runes'!A:B,2,FALSE))</f>
        <v>5.49</v>
      </c>
      <c r="F5364">
        <f t="shared" si="83"/>
        <v>5.49</v>
      </c>
    </row>
    <row r="5365" spans="1:6" x14ac:dyDescent="0.3">
      <c r="A5365" t="s">
        <v>1130</v>
      </c>
      <c r="B5365" t="s">
        <v>2140</v>
      </c>
      <c r="C5365">
        <v>8.5</v>
      </c>
      <c r="D5365">
        <v>154</v>
      </c>
      <c r="E5365">
        <f>IF(OR(B5365="vi",B5365="ii",B5365="pod"),(((D5365/100)*(C5365*VLOOKUP(B5365,'Poids des runes'!A:B,2,FALSE)))+1),(((D5365/100)*(C5365*VLOOKUP(B5365,'Poids des runes'!A:B,2,FALSE)))+1)/VLOOKUP(B5365,'Poids des runes'!A:B,2,FALSE))</f>
        <v>13.290000000000001</v>
      </c>
      <c r="F5365">
        <f t="shared" si="83"/>
        <v>13.290000000000001</v>
      </c>
    </row>
    <row r="5366" spans="1:6" x14ac:dyDescent="0.3">
      <c r="A5366" t="s">
        <v>1130</v>
      </c>
      <c r="B5366" t="s">
        <v>2153</v>
      </c>
      <c r="C5366">
        <v>8.5</v>
      </c>
      <c r="D5366">
        <v>154</v>
      </c>
      <c r="E5366">
        <f>IF(OR(B5366="vi",B5366="ii",B5366="pod"),(((D5366/100)*(C5366*VLOOKUP(B5366,'Poids des runes'!A:B,2,FALSE)))+1),(((D5366/100)*(C5366*VLOOKUP(B5366,'Poids des runes'!A:B,2,FALSE)))+1)/VLOOKUP(B5366,'Poids des runes'!A:B,2,FALSE))</f>
        <v>13.290000000000001</v>
      </c>
      <c r="F5366">
        <f t="shared" si="83"/>
        <v>13.290000000000001</v>
      </c>
    </row>
    <row r="5367" spans="1:6" x14ac:dyDescent="0.3">
      <c r="A5367" t="s">
        <v>1130</v>
      </c>
      <c r="B5367" t="s">
        <v>2149</v>
      </c>
      <c r="C5367">
        <v>6</v>
      </c>
      <c r="D5367">
        <v>154</v>
      </c>
      <c r="E5367">
        <f>IF(OR(B5367="vi",B5367="ii",B5367="pod"),(((D5367/100)*(C5367*VLOOKUP(B5367,'Poids des runes'!A:B,2,FALSE)))+1),(((D5367/100)*(C5367*VLOOKUP(B5367,'Poids des runes'!A:B,2,FALSE)))+1)/VLOOKUP(B5367,'Poids des runes'!A:B,2,FALSE))</f>
        <v>9.34</v>
      </c>
      <c r="F5367">
        <f t="shared" si="83"/>
        <v>9.34</v>
      </c>
    </row>
    <row r="5368" spans="1:6" x14ac:dyDescent="0.3">
      <c r="A5368" t="s">
        <v>1130</v>
      </c>
      <c r="B5368" t="s">
        <v>2138</v>
      </c>
      <c r="C5368">
        <v>4.5</v>
      </c>
      <c r="D5368">
        <v>154</v>
      </c>
      <c r="E5368">
        <f>IF(OR(B5368="vi",B5368="ii",B5368="pod"),(((D5368/100)*(C5368*VLOOKUP(B5368,'Poids des runes'!A:B,2,FALSE)))+1),(((D5368/100)*(C5368*VLOOKUP(B5368,'Poids des runes'!A:B,2,FALSE)))+1)/VLOOKUP(B5368,'Poids des runes'!A:B,2,FALSE))</f>
        <v>7.18</v>
      </c>
      <c r="F5368">
        <f t="shared" si="83"/>
        <v>7.18</v>
      </c>
    </row>
    <row r="5369" spans="1:6" x14ac:dyDescent="0.3">
      <c r="A5369" t="s">
        <v>1130</v>
      </c>
      <c r="B5369" t="s">
        <v>2163</v>
      </c>
      <c r="C5369">
        <v>8.5</v>
      </c>
      <c r="D5369">
        <v>154</v>
      </c>
      <c r="E5369">
        <f>IF(OR(B5369="vi",B5369="ii",B5369="pod"),(((D5369/100)*(C5369*VLOOKUP(B5369,'Poids des runes'!A:B,2,FALSE)))+1),(((D5369/100)*(C5369*VLOOKUP(B5369,'Poids des runes'!A:B,2,FALSE)))+1)/VLOOKUP(B5369,'Poids des runes'!A:B,2,FALSE))</f>
        <v>13.59</v>
      </c>
      <c r="F5369">
        <f t="shared" si="83"/>
        <v>13.59</v>
      </c>
    </row>
    <row r="5370" spans="1:6" x14ac:dyDescent="0.3">
      <c r="A5370" t="s">
        <v>1130</v>
      </c>
      <c r="B5370" t="s">
        <v>2148</v>
      </c>
      <c r="C5370">
        <v>8.5</v>
      </c>
      <c r="D5370">
        <v>154</v>
      </c>
      <c r="E5370">
        <f>IF(OR(B5370="vi",B5370="ii",B5370="pod"),(((D5370/100)*(C5370*VLOOKUP(B5370,'Poids des runes'!A:B,2,FALSE)))+1),(((D5370/100)*(C5370*VLOOKUP(B5370,'Poids des runes'!A:B,2,FALSE)))+1)/VLOOKUP(B5370,'Poids des runes'!A:B,2,FALSE))</f>
        <v>13.256666666666668</v>
      </c>
      <c r="F5370">
        <f t="shared" si="83"/>
        <v>13.256666666666668</v>
      </c>
    </row>
    <row r="5371" spans="1:6" x14ac:dyDescent="0.3">
      <c r="A5371" t="s">
        <v>1130</v>
      </c>
      <c r="B5371" t="s">
        <v>2136</v>
      </c>
      <c r="C5371">
        <v>8.5</v>
      </c>
      <c r="D5371">
        <v>154</v>
      </c>
      <c r="E5371">
        <f>IF(OR(B5371="vi",B5371="ii",B5371="pod"),(((D5371/100)*(C5371*VLOOKUP(B5371,'Poids des runes'!A:B,2,FALSE)))+1),(((D5371/100)*(C5371*VLOOKUP(B5371,'Poids des runes'!A:B,2,FALSE)))+1)/VLOOKUP(B5371,'Poids des runes'!A:B,2,FALSE))</f>
        <v>13.59</v>
      </c>
      <c r="F5371">
        <f t="shared" si="83"/>
        <v>13.59</v>
      </c>
    </row>
    <row r="5372" spans="1:6" x14ac:dyDescent="0.3">
      <c r="A5372" t="s">
        <v>1130</v>
      </c>
      <c r="B5372" t="s">
        <v>2145</v>
      </c>
      <c r="C5372">
        <v>8.5</v>
      </c>
      <c r="D5372">
        <v>154</v>
      </c>
      <c r="E5372">
        <f>IF(OR(B5372="vi",B5372="ii",B5372="pod"),(((D5372/100)*(C5372*VLOOKUP(B5372,'Poids des runes'!A:B,2,FALSE)))+1),(((D5372/100)*(C5372*VLOOKUP(B5372,'Poids des runes'!A:B,2,FALSE)))+1)/VLOOKUP(B5372,'Poids des runes'!A:B,2,FALSE))</f>
        <v>13.59</v>
      </c>
      <c r="F5372">
        <f t="shared" si="83"/>
        <v>13.59</v>
      </c>
    </row>
    <row r="5373" spans="1:6" x14ac:dyDescent="0.3">
      <c r="A5373" t="s">
        <v>1131</v>
      </c>
      <c r="B5373" t="s">
        <v>2128</v>
      </c>
      <c r="C5373">
        <v>175.5</v>
      </c>
      <c r="D5373">
        <v>154</v>
      </c>
      <c r="E5373">
        <f>IF(OR(B5373="vi",B5373="ii",B5373="pod"),(((D5373/100)*(C5373*VLOOKUP(B5373,'Poids des runes'!A:B,2,FALSE)))+1),(((D5373/100)*(C5373*VLOOKUP(B5373,'Poids des runes'!A:B,2,FALSE)))+1)/VLOOKUP(B5373,'Poids des runes'!A:B,2,FALSE))</f>
        <v>55.054000000000002</v>
      </c>
      <c r="F5373">
        <f t="shared" si="83"/>
        <v>55.054000000000002</v>
      </c>
    </row>
    <row r="5374" spans="1:6" x14ac:dyDescent="0.3">
      <c r="A5374" t="s">
        <v>1131</v>
      </c>
      <c r="B5374" t="s">
        <v>2131</v>
      </c>
      <c r="C5374">
        <v>40.5</v>
      </c>
      <c r="D5374">
        <v>154</v>
      </c>
      <c r="E5374">
        <f>IF(OR(B5374="vi",B5374="ii",B5374="pod"),(((D5374/100)*(C5374*VLOOKUP(B5374,'Poids des runes'!A:B,2,FALSE)))+1),(((D5374/100)*(C5374*VLOOKUP(B5374,'Poids des runes'!A:B,2,FALSE)))+1)/VLOOKUP(B5374,'Poids des runes'!A:B,2,FALSE))</f>
        <v>63.370000000000005</v>
      </c>
      <c r="F5374">
        <f t="shared" si="83"/>
        <v>63.370000000000005</v>
      </c>
    </row>
    <row r="5375" spans="1:6" x14ac:dyDescent="0.3">
      <c r="A5375" t="s">
        <v>1131</v>
      </c>
      <c r="B5375" t="s">
        <v>2127</v>
      </c>
      <c r="C5375">
        <v>40.5</v>
      </c>
      <c r="D5375">
        <v>154</v>
      </c>
      <c r="E5375">
        <f>IF(OR(B5375="vi",B5375="ii",B5375="pod"),(((D5375/100)*(C5375*VLOOKUP(B5375,'Poids des runes'!A:B,2,FALSE)))+1),(((D5375/100)*(C5375*VLOOKUP(B5375,'Poids des runes'!A:B,2,FALSE)))+1)/VLOOKUP(B5375,'Poids des runes'!A:B,2,FALSE))</f>
        <v>63.370000000000005</v>
      </c>
      <c r="F5375">
        <f t="shared" si="83"/>
        <v>63.370000000000005</v>
      </c>
    </row>
    <row r="5376" spans="1:6" x14ac:dyDescent="0.3">
      <c r="A5376" t="s">
        <v>1131</v>
      </c>
      <c r="B5376" t="s">
        <v>2129</v>
      </c>
      <c r="C5376">
        <v>35.5</v>
      </c>
      <c r="D5376">
        <v>154</v>
      </c>
      <c r="E5376">
        <f>IF(OR(B5376="vi",B5376="ii",B5376="pod"),(((D5376/100)*(C5376*VLOOKUP(B5376,'Poids des runes'!A:B,2,FALSE)))+1),(((D5376/100)*(C5376*VLOOKUP(B5376,'Poids des runes'!A:B,2,FALSE)))+1)/VLOOKUP(B5376,'Poids des runes'!A:B,2,FALSE))</f>
        <v>55.67</v>
      </c>
      <c r="F5376">
        <f t="shared" si="83"/>
        <v>55.67</v>
      </c>
    </row>
    <row r="5377" spans="1:6" x14ac:dyDescent="0.3">
      <c r="A5377" t="s">
        <v>1131</v>
      </c>
      <c r="B5377" t="s">
        <v>2151</v>
      </c>
      <c r="C5377">
        <v>1.5</v>
      </c>
      <c r="D5377">
        <v>154</v>
      </c>
      <c r="E5377">
        <f>IF(OR(B5377="vi",B5377="ii",B5377="pod"),(((D5377/100)*(C5377*VLOOKUP(B5377,'Poids des runes'!A:B,2,FALSE)))+1),(((D5377/100)*(C5377*VLOOKUP(B5377,'Poids des runes'!A:B,2,FALSE)))+1)/VLOOKUP(B5377,'Poids des runes'!A:B,2,FALSE))</f>
        <v>2.41</v>
      </c>
      <c r="F5377">
        <f t="shared" si="83"/>
        <v>2.41</v>
      </c>
    </row>
    <row r="5378" spans="1:6" x14ac:dyDescent="0.3">
      <c r="A5378" t="s">
        <v>1131</v>
      </c>
      <c r="B5378" t="s">
        <v>2155</v>
      </c>
      <c r="C5378">
        <v>1</v>
      </c>
      <c r="D5378">
        <v>154</v>
      </c>
      <c r="E5378">
        <f>IF(OR(B5378="vi",B5378="ii",B5378="pod"),(((D5378/100)*(C5378*VLOOKUP(B5378,'Poids des runes'!A:B,2,FALSE)))+1),(((D5378/100)*(C5378*VLOOKUP(B5378,'Poids des runes'!A:B,2,FALSE)))+1)/VLOOKUP(B5378,'Poids des runes'!A:B,2,FALSE))</f>
        <v>1.5596078431372551</v>
      </c>
      <c r="F5378">
        <f t="shared" si="83"/>
        <v>1.5596078431372551</v>
      </c>
    </row>
    <row r="5379" spans="1:6" x14ac:dyDescent="0.3">
      <c r="A5379" t="s">
        <v>1131</v>
      </c>
      <c r="B5379" t="s">
        <v>2133</v>
      </c>
      <c r="C5379">
        <v>7</v>
      </c>
      <c r="D5379">
        <v>154</v>
      </c>
      <c r="E5379">
        <f>IF(OR(B5379="vi",B5379="ii",B5379="pod"),(((D5379/100)*(C5379*VLOOKUP(B5379,'Poids des runes'!A:B,2,FALSE)))+1),(((D5379/100)*(C5379*VLOOKUP(B5379,'Poids des runes'!A:B,2,FALSE)))+1)/VLOOKUP(B5379,'Poids des runes'!A:B,2,FALSE))</f>
        <v>10.98</v>
      </c>
      <c r="F5379">
        <f t="shared" ref="F5379:F5442" si="84">E5379</f>
        <v>10.98</v>
      </c>
    </row>
    <row r="5380" spans="1:6" x14ac:dyDescent="0.3">
      <c r="A5380" t="s">
        <v>1131</v>
      </c>
      <c r="B5380" t="s">
        <v>2153</v>
      </c>
      <c r="C5380">
        <v>7</v>
      </c>
      <c r="D5380">
        <v>154</v>
      </c>
      <c r="E5380">
        <f>IF(OR(B5380="vi",B5380="ii",B5380="pod"),(((D5380/100)*(C5380*VLOOKUP(B5380,'Poids des runes'!A:B,2,FALSE)))+1),(((D5380/100)*(C5380*VLOOKUP(B5380,'Poids des runes'!A:B,2,FALSE)))+1)/VLOOKUP(B5380,'Poids des runes'!A:B,2,FALSE))</f>
        <v>10.98</v>
      </c>
      <c r="F5380">
        <f t="shared" si="84"/>
        <v>10.98</v>
      </c>
    </row>
    <row r="5381" spans="1:6" x14ac:dyDescent="0.3">
      <c r="A5381" t="s">
        <v>1131</v>
      </c>
      <c r="B5381" t="s">
        <v>2161</v>
      </c>
      <c r="C5381">
        <v>18</v>
      </c>
      <c r="D5381">
        <v>154</v>
      </c>
      <c r="E5381">
        <f>IF(OR(B5381="vi",B5381="ii",B5381="pod"),(((D5381/100)*(C5381*VLOOKUP(B5381,'Poids des runes'!A:B,2,FALSE)))+1),(((D5381/100)*(C5381*VLOOKUP(B5381,'Poids des runes'!A:B,2,FALSE)))+1)/VLOOKUP(B5381,'Poids des runes'!A:B,2,FALSE))</f>
        <v>28.053333333333331</v>
      </c>
      <c r="F5381">
        <f t="shared" si="84"/>
        <v>28.053333333333331</v>
      </c>
    </row>
    <row r="5382" spans="1:6" x14ac:dyDescent="0.3">
      <c r="A5382" t="s">
        <v>1131</v>
      </c>
      <c r="B5382" t="s">
        <v>2141</v>
      </c>
      <c r="C5382">
        <v>3.5</v>
      </c>
      <c r="D5382">
        <v>154</v>
      </c>
      <c r="E5382">
        <f>IF(OR(B5382="vi",B5382="ii",B5382="pod"),(((D5382/100)*(C5382*VLOOKUP(B5382,'Poids des runes'!A:B,2,FALSE)))+1),(((D5382/100)*(C5382*VLOOKUP(B5382,'Poids des runes'!A:B,2,FALSE)))+1)/VLOOKUP(B5382,'Poids des runes'!A:B,2,FALSE))</f>
        <v>5.6400000000000006</v>
      </c>
      <c r="F5382">
        <f t="shared" si="84"/>
        <v>5.6400000000000006</v>
      </c>
    </row>
    <row r="5383" spans="1:6" x14ac:dyDescent="0.3">
      <c r="A5383" t="s">
        <v>1131</v>
      </c>
      <c r="B5383" t="s">
        <v>2142</v>
      </c>
      <c r="C5383">
        <v>13</v>
      </c>
      <c r="D5383">
        <v>154</v>
      </c>
      <c r="E5383">
        <f>IF(OR(B5383="vi",B5383="ii",B5383="pod"),(((D5383/100)*(C5383*VLOOKUP(B5383,'Poids des runes'!A:B,2,FALSE)))+1),(((D5383/100)*(C5383*VLOOKUP(B5383,'Poids des runes'!A:B,2,FALSE)))+1)/VLOOKUP(B5383,'Poids des runes'!A:B,2,FALSE))</f>
        <v>20.220000000000002</v>
      </c>
      <c r="F5383">
        <f t="shared" si="84"/>
        <v>20.220000000000002</v>
      </c>
    </row>
    <row r="5384" spans="1:6" x14ac:dyDescent="0.3">
      <c r="A5384" t="s">
        <v>1131</v>
      </c>
      <c r="B5384" t="s">
        <v>2156</v>
      </c>
      <c r="C5384">
        <v>8.5</v>
      </c>
      <c r="D5384">
        <v>154</v>
      </c>
      <c r="E5384">
        <f>IF(OR(B5384="vi",B5384="ii",B5384="pod"),(((D5384/100)*(C5384*VLOOKUP(B5384,'Poids des runes'!A:B,2,FALSE)))+1),(((D5384/100)*(C5384*VLOOKUP(B5384,'Poids des runes'!A:B,2,FALSE)))+1)/VLOOKUP(B5384,'Poids des runes'!A:B,2,FALSE))</f>
        <v>13.256666666666668</v>
      </c>
      <c r="F5384">
        <f t="shared" si="84"/>
        <v>13.256666666666668</v>
      </c>
    </row>
    <row r="5385" spans="1:6" x14ac:dyDescent="0.3">
      <c r="A5385" t="s">
        <v>1131</v>
      </c>
      <c r="B5385" t="s">
        <v>2137</v>
      </c>
      <c r="C5385">
        <v>13</v>
      </c>
      <c r="D5385">
        <v>154</v>
      </c>
      <c r="E5385">
        <f>IF(OR(B5385="vi",B5385="ii",B5385="pod"),(((D5385/100)*(C5385*VLOOKUP(B5385,'Poids des runes'!A:B,2,FALSE)))+1),(((D5385/100)*(C5385*VLOOKUP(B5385,'Poids des runes'!A:B,2,FALSE)))+1)/VLOOKUP(B5385,'Poids des runes'!A:B,2,FALSE))</f>
        <v>20.52</v>
      </c>
      <c r="F5385">
        <f t="shared" si="84"/>
        <v>20.52</v>
      </c>
    </row>
    <row r="5386" spans="1:6" x14ac:dyDescent="0.3">
      <c r="A5386" t="s">
        <v>1132</v>
      </c>
      <c r="B5386" t="s">
        <v>2128</v>
      </c>
      <c r="C5386">
        <v>125.5</v>
      </c>
      <c r="D5386">
        <v>154</v>
      </c>
      <c r="E5386">
        <f>IF(OR(B5386="vi",B5386="ii",B5386="pod"),(((D5386/100)*(C5386*VLOOKUP(B5386,'Poids des runes'!A:B,2,FALSE)))+1),(((D5386/100)*(C5386*VLOOKUP(B5386,'Poids des runes'!A:B,2,FALSE)))+1)/VLOOKUP(B5386,'Poids des runes'!A:B,2,FALSE))</f>
        <v>39.654000000000003</v>
      </c>
      <c r="F5386">
        <f t="shared" si="84"/>
        <v>39.654000000000003</v>
      </c>
    </row>
    <row r="5387" spans="1:6" x14ac:dyDescent="0.3">
      <c r="A5387" t="s">
        <v>1132</v>
      </c>
      <c r="B5387" t="s">
        <v>2130</v>
      </c>
      <c r="C5387">
        <v>25.5</v>
      </c>
      <c r="D5387">
        <v>154</v>
      </c>
      <c r="E5387">
        <f>IF(OR(B5387="vi",B5387="ii",B5387="pod"),(((D5387/100)*(C5387*VLOOKUP(B5387,'Poids des runes'!A:B,2,FALSE)))+1),(((D5387/100)*(C5387*VLOOKUP(B5387,'Poids des runes'!A:B,2,FALSE)))+1)/VLOOKUP(B5387,'Poids des runes'!A:B,2,FALSE))</f>
        <v>40.270000000000003</v>
      </c>
      <c r="F5387">
        <f t="shared" si="84"/>
        <v>40.270000000000003</v>
      </c>
    </row>
    <row r="5388" spans="1:6" x14ac:dyDescent="0.3">
      <c r="A5388" t="s">
        <v>1132</v>
      </c>
      <c r="B5388" t="s">
        <v>2131</v>
      </c>
      <c r="C5388">
        <v>25.5</v>
      </c>
      <c r="D5388">
        <v>154</v>
      </c>
      <c r="E5388">
        <f>IF(OR(B5388="vi",B5388="ii",B5388="pod"),(((D5388/100)*(C5388*VLOOKUP(B5388,'Poids des runes'!A:B,2,FALSE)))+1),(((D5388/100)*(C5388*VLOOKUP(B5388,'Poids des runes'!A:B,2,FALSE)))+1)/VLOOKUP(B5388,'Poids des runes'!A:B,2,FALSE))</f>
        <v>40.270000000000003</v>
      </c>
      <c r="F5388">
        <f t="shared" si="84"/>
        <v>40.270000000000003</v>
      </c>
    </row>
    <row r="5389" spans="1:6" x14ac:dyDescent="0.3">
      <c r="A5389" t="s">
        <v>1132</v>
      </c>
      <c r="B5389" t="s">
        <v>2129</v>
      </c>
      <c r="C5389">
        <v>15.5</v>
      </c>
      <c r="D5389">
        <v>154</v>
      </c>
      <c r="E5389">
        <f>IF(OR(B5389="vi",B5389="ii",B5389="pod"),(((D5389/100)*(C5389*VLOOKUP(B5389,'Poids des runes'!A:B,2,FALSE)))+1),(((D5389/100)*(C5389*VLOOKUP(B5389,'Poids des runes'!A:B,2,FALSE)))+1)/VLOOKUP(B5389,'Poids des runes'!A:B,2,FALSE))</f>
        <v>24.87</v>
      </c>
      <c r="F5389">
        <f t="shared" si="84"/>
        <v>24.87</v>
      </c>
    </row>
    <row r="5390" spans="1:6" x14ac:dyDescent="0.3">
      <c r="A5390" t="s">
        <v>1132</v>
      </c>
      <c r="B5390" t="s">
        <v>2154</v>
      </c>
      <c r="C5390">
        <v>1</v>
      </c>
      <c r="D5390">
        <v>154</v>
      </c>
      <c r="E5390">
        <f>IF(OR(B5390="vi",B5390="ii",B5390="pod"),(((D5390/100)*(C5390*VLOOKUP(B5390,'Poids des runes'!A:B,2,FALSE)))+1),(((D5390/100)*(C5390*VLOOKUP(B5390,'Poids des runes'!A:B,2,FALSE)))+1)/VLOOKUP(B5390,'Poids des runes'!A:B,2,FALSE))</f>
        <v>1.5511111111111111</v>
      </c>
      <c r="F5390">
        <f t="shared" si="84"/>
        <v>1.5511111111111111</v>
      </c>
    </row>
    <row r="5391" spans="1:6" x14ac:dyDescent="0.3">
      <c r="A5391" t="s">
        <v>1132</v>
      </c>
      <c r="B5391" t="s">
        <v>2155</v>
      </c>
      <c r="C5391">
        <v>1</v>
      </c>
      <c r="D5391">
        <v>154</v>
      </c>
      <c r="E5391">
        <f>IF(OR(B5391="vi",B5391="ii",B5391="pod"),(((D5391/100)*(C5391*VLOOKUP(B5391,'Poids des runes'!A:B,2,FALSE)))+1),(((D5391/100)*(C5391*VLOOKUP(B5391,'Poids des runes'!A:B,2,FALSE)))+1)/VLOOKUP(B5391,'Poids des runes'!A:B,2,FALSE))</f>
        <v>1.5596078431372551</v>
      </c>
      <c r="F5391">
        <f t="shared" si="84"/>
        <v>1.5596078431372551</v>
      </c>
    </row>
    <row r="5392" spans="1:6" x14ac:dyDescent="0.3">
      <c r="A5392" t="s">
        <v>1132</v>
      </c>
      <c r="B5392" t="s">
        <v>2150</v>
      </c>
      <c r="C5392">
        <v>1.5</v>
      </c>
      <c r="D5392">
        <v>154</v>
      </c>
      <c r="E5392">
        <f>IF(OR(B5392="vi",B5392="ii",B5392="pod"),(((D5392/100)*(C5392*VLOOKUP(B5392,'Poids des runes'!A:B,2,FALSE)))+1),(((D5392/100)*(C5392*VLOOKUP(B5392,'Poids des runes'!A:B,2,FALSE)))+1)/VLOOKUP(B5392,'Poids des runes'!A:B,2,FALSE))</f>
        <v>2.3433333333333333</v>
      </c>
      <c r="F5392">
        <f t="shared" si="84"/>
        <v>2.3433333333333333</v>
      </c>
    </row>
    <row r="5393" spans="1:6" x14ac:dyDescent="0.3">
      <c r="A5393" t="s">
        <v>1132</v>
      </c>
      <c r="B5393" t="s">
        <v>2161</v>
      </c>
      <c r="C5393">
        <v>18</v>
      </c>
      <c r="D5393">
        <v>154</v>
      </c>
      <c r="E5393">
        <f>IF(OR(B5393="vi",B5393="ii",B5393="pod"),(((D5393/100)*(C5393*VLOOKUP(B5393,'Poids des runes'!A:B,2,FALSE)))+1),(((D5393/100)*(C5393*VLOOKUP(B5393,'Poids des runes'!A:B,2,FALSE)))+1)/VLOOKUP(B5393,'Poids des runes'!A:B,2,FALSE))</f>
        <v>28.053333333333331</v>
      </c>
      <c r="F5393">
        <f t="shared" si="84"/>
        <v>28.053333333333331</v>
      </c>
    </row>
    <row r="5394" spans="1:6" x14ac:dyDescent="0.3">
      <c r="A5394" t="s">
        <v>1132</v>
      </c>
      <c r="B5394" t="s">
        <v>2141</v>
      </c>
      <c r="C5394">
        <v>3.5</v>
      </c>
      <c r="D5394">
        <v>154</v>
      </c>
      <c r="E5394">
        <f>IF(OR(B5394="vi",B5394="ii",B5394="pod"),(((D5394/100)*(C5394*VLOOKUP(B5394,'Poids des runes'!A:B,2,FALSE)))+1),(((D5394/100)*(C5394*VLOOKUP(B5394,'Poids des runes'!A:B,2,FALSE)))+1)/VLOOKUP(B5394,'Poids des runes'!A:B,2,FALSE))</f>
        <v>5.6400000000000006</v>
      </c>
      <c r="F5394">
        <f t="shared" si="84"/>
        <v>5.6400000000000006</v>
      </c>
    </row>
    <row r="5395" spans="1:6" x14ac:dyDescent="0.3">
      <c r="A5395" t="s">
        <v>1132</v>
      </c>
      <c r="B5395" t="s">
        <v>2159</v>
      </c>
      <c r="C5395">
        <v>3.5</v>
      </c>
      <c r="D5395">
        <v>154</v>
      </c>
      <c r="E5395">
        <f>IF(OR(B5395="vi",B5395="ii",B5395="pod"),(((D5395/100)*(C5395*VLOOKUP(B5395,'Poids des runes'!A:B,2,FALSE)))+1),(((D5395/100)*(C5395*VLOOKUP(B5395,'Poids des runes'!A:B,2,FALSE)))+1)/VLOOKUP(B5395,'Poids des runes'!A:B,2,FALSE))</f>
        <v>5.5328571428571438</v>
      </c>
      <c r="F5395">
        <f t="shared" si="84"/>
        <v>5.5328571428571438</v>
      </c>
    </row>
    <row r="5396" spans="1:6" x14ac:dyDescent="0.3">
      <c r="A5396" t="s">
        <v>1132</v>
      </c>
      <c r="B5396" t="s">
        <v>2147</v>
      </c>
      <c r="C5396">
        <v>5</v>
      </c>
      <c r="D5396">
        <v>154</v>
      </c>
      <c r="E5396">
        <f>IF(OR(B5396="vi",B5396="ii",B5396="pod"),(((D5396/100)*(C5396*VLOOKUP(B5396,'Poids des runes'!A:B,2,FALSE)))+1),(((D5396/100)*(C5396*VLOOKUP(B5396,'Poids des runes'!A:B,2,FALSE)))+1)/VLOOKUP(B5396,'Poids des runes'!A:B,2,FALSE))</f>
        <v>7.8666666666666671</v>
      </c>
      <c r="F5396">
        <f t="shared" si="84"/>
        <v>7.8666666666666671</v>
      </c>
    </row>
    <row r="5397" spans="1:6" x14ac:dyDescent="0.3">
      <c r="A5397" t="s">
        <v>1132</v>
      </c>
      <c r="B5397" t="s">
        <v>2146</v>
      </c>
      <c r="C5397">
        <v>5.5</v>
      </c>
      <c r="D5397">
        <v>154</v>
      </c>
      <c r="E5397">
        <f>IF(OR(B5397="vi",B5397="ii",B5397="pod"),(((D5397/100)*(C5397*VLOOKUP(B5397,'Poids des runes'!A:B,2,FALSE)))+1),(((D5397/100)*(C5397*VLOOKUP(B5397,'Poids des runes'!A:B,2,FALSE)))+1)/VLOOKUP(B5397,'Poids des runes'!A:B,2,FALSE))</f>
        <v>8.9700000000000006</v>
      </c>
      <c r="F5397">
        <f t="shared" si="84"/>
        <v>8.9700000000000006</v>
      </c>
    </row>
    <row r="5398" spans="1:6" x14ac:dyDescent="0.3">
      <c r="A5398" t="s">
        <v>1133</v>
      </c>
      <c r="B5398" t="s">
        <v>2128</v>
      </c>
      <c r="C5398">
        <v>175.5</v>
      </c>
      <c r="D5398">
        <v>154</v>
      </c>
      <c r="E5398">
        <f>IF(OR(B5398="vi",B5398="ii",B5398="pod"),(((D5398/100)*(C5398*VLOOKUP(B5398,'Poids des runes'!A:B,2,FALSE)))+1),(((D5398/100)*(C5398*VLOOKUP(B5398,'Poids des runes'!A:B,2,FALSE)))+1)/VLOOKUP(B5398,'Poids des runes'!A:B,2,FALSE))</f>
        <v>55.054000000000002</v>
      </c>
      <c r="F5398">
        <f t="shared" si="84"/>
        <v>55.054000000000002</v>
      </c>
    </row>
    <row r="5399" spans="1:6" x14ac:dyDescent="0.3">
      <c r="A5399" t="s">
        <v>1133</v>
      </c>
      <c r="B5399" t="s">
        <v>2126</v>
      </c>
      <c r="C5399">
        <v>40.5</v>
      </c>
      <c r="D5399">
        <v>154</v>
      </c>
      <c r="E5399">
        <f>IF(OR(B5399="vi",B5399="ii",B5399="pod"),(((D5399/100)*(C5399*VLOOKUP(B5399,'Poids des runes'!A:B,2,FALSE)))+1),(((D5399/100)*(C5399*VLOOKUP(B5399,'Poids des runes'!A:B,2,FALSE)))+1)/VLOOKUP(B5399,'Poids des runes'!A:B,2,FALSE))</f>
        <v>63.370000000000005</v>
      </c>
      <c r="F5399">
        <f t="shared" si="84"/>
        <v>63.370000000000005</v>
      </c>
    </row>
    <row r="5400" spans="1:6" x14ac:dyDescent="0.3">
      <c r="A5400" t="s">
        <v>1133</v>
      </c>
      <c r="B5400" t="s">
        <v>2131</v>
      </c>
      <c r="C5400">
        <v>40.5</v>
      </c>
      <c r="D5400">
        <v>154</v>
      </c>
      <c r="E5400">
        <f>IF(OR(B5400="vi",B5400="ii",B5400="pod"),(((D5400/100)*(C5400*VLOOKUP(B5400,'Poids des runes'!A:B,2,FALSE)))+1),(((D5400/100)*(C5400*VLOOKUP(B5400,'Poids des runes'!A:B,2,FALSE)))+1)/VLOOKUP(B5400,'Poids des runes'!A:B,2,FALSE))</f>
        <v>63.370000000000005</v>
      </c>
      <c r="F5400">
        <f t="shared" si="84"/>
        <v>63.370000000000005</v>
      </c>
    </row>
    <row r="5401" spans="1:6" x14ac:dyDescent="0.3">
      <c r="A5401" t="s">
        <v>1133</v>
      </c>
      <c r="B5401" t="s">
        <v>2129</v>
      </c>
      <c r="C5401">
        <v>35.5</v>
      </c>
      <c r="D5401">
        <v>154</v>
      </c>
      <c r="E5401">
        <f>IF(OR(B5401="vi",B5401="ii",B5401="pod"),(((D5401/100)*(C5401*VLOOKUP(B5401,'Poids des runes'!A:B,2,FALSE)))+1),(((D5401/100)*(C5401*VLOOKUP(B5401,'Poids des runes'!A:B,2,FALSE)))+1)/VLOOKUP(B5401,'Poids des runes'!A:B,2,FALSE))</f>
        <v>55.67</v>
      </c>
      <c r="F5401">
        <f t="shared" si="84"/>
        <v>55.67</v>
      </c>
    </row>
    <row r="5402" spans="1:6" x14ac:dyDescent="0.3">
      <c r="A5402" t="s">
        <v>1133</v>
      </c>
      <c r="B5402" t="s">
        <v>2151</v>
      </c>
      <c r="C5402">
        <v>2.5</v>
      </c>
      <c r="D5402">
        <v>154</v>
      </c>
      <c r="E5402">
        <f>IF(OR(B5402="vi",B5402="ii",B5402="pod"),(((D5402/100)*(C5402*VLOOKUP(B5402,'Poids des runes'!A:B,2,FALSE)))+1),(((D5402/100)*(C5402*VLOOKUP(B5402,'Poids des runes'!A:B,2,FALSE)))+1)/VLOOKUP(B5402,'Poids des runes'!A:B,2,FALSE))</f>
        <v>3.95</v>
      </c>
      <c r="F5402">
        <f t="shared" si="84"/>
        <v>3.95</v>
      </c>
    </row>
    <row r="5403" spans="1:6" x14ac:dyDescent="0.3">
      <c r="A5403" t="s">
        <v>1133</v>
      </c>
      <c r="B5403" t="s">
        <v>2155</v>
      </c>
      <c r="C5403">
        <v>1</v>
      </c>
      <c r="D5403">
        <v>154</v>
      </c>
      <c r="E5403">
        <f>IF(OR(B5403="vi",B5403="ii",B5403="pod"),(((D5403/100)*(C5403*VLOOKUP(B5403,'Poids des runes'!A:B,2,FALSE)))+1),(((D5403/100)*(C5403*VLOOKUP(B5403,'Poids des runes'!A:B,2,FALSE)))+1)/VLOOKUP(B5403,'Poids des runes'!A:B,2,FALSE))</f>
        <v>1.5596078431372551</v>
      </c>
      <c r="F5403">
        <f t="shared" si="84"/>
        <v>1.5596078431372551</v>
      </c>
    </row>
    <row r="5404" spans="1:6" x14ac:dyDescent="0.3">
      <c r="A5404" t="s">
        <v>1133</v>
      </c>
      <c r="B5404" t="s">
        <v>2140</v>
      </c>
      <c r="C5404">
        <v>8.5</v>
      </c>
      <c r="D5404">
        <v>154</v>
      </c>
      <c r="E5404">
        <f>IF(OR(B5404="vi",B5404="ii",B5404="pod"),(((D5404/100)*(C5404*VLOOKUP(B5404,'Poids des runes'!A:B,2,FALSE)))+1),(((D5404/100)*(C5404*VLOOKUP(B5404,'Poids des runes'!A:B,2,FALSE)))+1)/VLOOKUP(B5404,'Poids des runes'!A:B,2,FALSE))</f>
        <v>13.290000000000001</v>
      </c>
      <c r="F5404">
        <f t="shared" si="84"/>
        <v>13.290000000000001</v>
      </c>
    </row>
    <row r="5405" spans="1:6" x14ac:dyDescent="0.3">
      <c r="A5405" t="s">
        <v>1133</v>
      </c>
      <c r="B5405" t="s">
        <v>2133</v>
      </c>
      <c r="C5405">
        <v>8.5</v>
      </c>
      <c r="D5405">
        <v>154</v>
      </c>
      <c r="E5405">
        <f>IF(OR(B5405="vi",B5405="ii",B5405="pod"),(((D5405/100)*(C5405*VLOOKUP(B5405,'Poids des runes'!A:B,2,FALSE)))+1),(((D5405/100)*(C5405*VLOOKUP(B5405,'Poids des runes'!A:B,2,FALSE)))+1)/VLOOKUP(B5405,'Poids des runes'!A:B,2,FALSE))</f>
        <v>13.290000000000001</v>
      </c>
      <c r="F5405">
        <f t="shared" si="84"/>
        <v>13.290000000000001</v>
      </c>
    </row>
    <row r="5406" spans="1:6" x14ac:dyDescent="0.3">
      <c r="A5406" t="s">
        <v>1133</v>
      </c>
      <c r="B5406" t="s">
        <v>2138</v>
      </c>
      <c r="C5406">
        <v>8.5</v>
      </c>
      <c r="D5406">
        <v>154</v>
      </c>
      <c r="E5406">
        <f>IF(OR(B5406="vi",B5406="ii",B5406="pod"),(((D5406/100)*(C5406*VLOOKUP(B5406,'Poids des runes'!A:B,2,FALSE)))+1),(((D5406/100)*(C5406*VLOOKUP(B5406,'Poids des runes'!A:B,2,FALSE)))+1)/VLOOKUP(B5406,'Poids des runes'!A:B,2,FALSE))</f>
        <v>13.34</v>
      </c>
      <c r="F5406">
        <f t="shared" si="84"/>
        <v>13.34</v>
      </c>
    </row>
    <row r="5407" spans="1:6" x14ac:dyDescent="0.3">
      <c r="A5407" t="s">
        <v>1133</v>
      </c>
      <c r="B5407" t="s">
        <v>2157</v>
      </c>
      <c r="C5407">
        <v>6</v>
      </c>
      <c r="D5407">
        <v>154</v>
      </c>
      <c r="E5407">
        <f>IF(OR(B5407="vi",B5407="ii",B5407="pod"),(((D5407/100)*(C5407*VLOOKUP(B5407,'Poids des runes'!A:B,2,FALSE)))+1),(((D5407/100)*(C5407*VLOOKUP(B5407,'Poids des runes'!A:B,2,FALSE)))+1)/VLOOKUP(B5407,'Poids des runes'!A:B,2,FALSE))</f>
        <v>9.4066666666666663</v>
      </c>
      <c r="F5407">
        <f t="shared" si="84"/>
        <v>9.4066666666666663</v>
      </c>
    </row>
    <row r="5408" spans="1:6" x14ac:dyDescent="0.3">
      <c r="A5408" t="s">
        <v>1133</v>
      </c>
      <c r="B5408" t="s">
        <v>2137</v>
      </c>
      <c r="C5408">
        <v>8.5</v>
      </c>
      <c r="D5408">
        <v>154</v>
      </c>
      <c r="E5408">
        <f>IF(OR(B5408="vi",B5408="ii",B5408="pod"),(((D5408/100)*(C5408*VLOOKUP(B5408,'Poids des runes'!A:B,2,FALSE)))+1),(((D5408/100)*(C5408*VLOOKUP(B5408,'Poids des runes'!A:B,2,FALSE)))+1)/VLOOKUP(B5408,'Poids des runes'!A:B,2,FALSE))</f>
        <v>13.59</v>
      </c>
      <c r="F5408">
        <f t="shared" si="84"/>
        <v>13.59</v>
      </c>
    </row>
    <row r="5409" spans="1:6" x14ac:dyDescent="0.3">
      <c r="A5409" t="s">
        <v>1134</v>
      </c>
      <c r="B5409" t="s">
        <v>2128</v>
      </c>
      <c r="C5409">
        <v>175.5</v>
      </c>
      <c r="D5409">
        <v>154</v>
      </c>
      <c r="E5409">
        <f>IF(OR(B5409="vi",B5409="ii",B5409="pod"),(((D5409/100)*(C5409*VLOOKUP(B5409,'Poids des runes'!A:B,2,FALSE)))+1),(((D5409/100)*(C5409*VLOOKUP(B5409,'Poids des runes'!A:B,2,FALSE)))+1)/VLOOKUP(B5409,'Poids des runes'!A:B,2,FALSE))</f>
        <v>55.054000000000002</v>
      </c>
      <c r="F5409">
        <f t="shared" si="84"/>
        <v>55.054000000000002</v>
      </c>
    </row>
    <row r="5410" spans="1:6" x14ac:dyDescent="0.3">
      <c r="A5410" t="s">
        <v>1134</v>
      </c>
      <c r="B5410" t="s">
        <v>2129</v>
      </c>
      <c r="C5410">
        <v>25.5</v>
      </c>
      <c r="D5410">
        <v>154</v>
      </c>
      <c r="E5410">
        <f>IF(OR(B5410="vi",B5410="ii",B5410="pod"),(((D5410/100)*(C5410*VLOOKUP(B5410,'Poids des runes'!A:B,2,FALSE)))+1),(((D5410/100)*(C5410*VLOOKUP(B5410,'Poids des runes'!A:B,2,FALSE)))+1)/VLOOKUP(B5410,'Poids des runes'!A:B,2,FALSE))</f>
        <v>40.270000000000003</v>
      </c>
      <c r="F5410">
        <f t="shared" si="84"/>
        <v>40.270000000000003</v>
      </c>
    </row>
    <row r="5411" spans="1:6" x14ac:dyDescent="0.3">
      <c r="A5411" t="s">
        <v>1134</v>
      </c>
      <c r="B5411" t="s">
        <v>2139</v>
      </c>
      <c r="C5411">
        <v>35.5</v>
      </c>
      <c r="D5411">
        <v>154</v>
      </c>
      <c r="E5411">
        <f>IF(OR(B5411="vi",B5411="ii",B5411="pod"),(((D5411/100)*(C5411*VLOOKUP(B5411,'Poids des runes'!A:B,2,FALSE)))+1),(((D5411/100)*(C5411*VLOOKUP(B5411,'Poids des runes'!A:B,2,FALSE)))+1)/VLOOKUP(B5411,'Poids des runes'!A:B,2,FALSE))</f>
        <v>55.17</v>
      </c>
      <c r="F5411">
        <f t="shared" si="84"/>
        <v>55.17</v>
      </c>
    </row>
    <row r="5412" spans="1:6" x14ac:dyDescent="0.3">
      <c r="A5412" t="s">
        <v>1134</v>
      </c>
      <c r="B5412" t="s">
        <v>2151</v>
      </c>
      <c r="C5412">
        <v>2.5</v>
      </c>
      <c r="D5412">
        <v>154</v>
      </c>
      <c r="E5412">
        <f>IF(OR(B5412="vi",B5412="ii",B5412="pod"),(((D5412/100)*(C5412*VLOOKUP(B5412,'Poids des runes'!A:B,2,FALSE)))+1),(((D5412/100)*(C5412*VLOOKUP(B5412,'Poids des runes'!A:B,2,FALSE)))+1)/VLOOKUP(B5412,'Poids des runes'!A:B,2,FALSE))</f>
        <v>3.95</v>
      </c>
      <c r="F5412">
        <f t="shared" si="84"/>
        <v>3.95</v>
      </c>
    </row>
    <row r="5413" spans="1:6" x14ac:dyDescent="0.3">
      <c r="A5413" t="s">
        <v>1134</v>
      </c>
      <c r="B5413" t="s">
        <v>2134</v>
      </c>
      <c r="C5413">
        <v>5</v>
      </c>
      <c r="D5413">
        <v>154</v>
      </c>
      <c r="E5413">
        <f>IF(OR(B5413="vi",B5413="ii",B5413="pod"),(((D5413/100)*(C5413*VLOOKUP(B5413,'Poids des runes'!A:B,2,FALSE)))+1),(((D5413/100)*(C5413*VLOOKUP(B5413,'Poids des runes'!A:B,2,FALSE)))+1)/VLOOKUP(B5413,'Poids des runes'!A:B,2,FALSE))</f>
        <v>7.75</v>
      </c>
      <c r="F5413">
        <f t="shared" si="84"/>
        <v>7.75</v>
      </c>
    </row>
    <row r="5414" spans="1:6" x14ac:dyDescent="0.3">
      <c r="A5414" t="s">
        <v>1134</v>
      </c>
      <c r="B5414" t="s">
        <v>2161</v>
      </c>
      <c r="C5414">
        <v>8</v>
      </c>
      <c r="D5414">
        <v>154</v>
      </c>
      <c r="E5414">
        <f>IF(OR(B5414="vi",B5414="ii",B5414="pod"),(((D5414/100)*(C5414*VLOOKUP(B5414,'Poids des runes'!A:B,2,FALSE)))+1),(((D5414/100)*(C5414*VLOOKUP(B5414,'Poids des runes'!A:B,2,FALSE)))+1)/VLOOKUP(B5414,'Poids des runes'!A:B,2,FALSE))</f>
        <v>12.653333333333334</v>
      </c>
      <c r="F5414">
        <f t="shared" si="84"/>
        <v>12.653333333333334</v>
      </c>
    </row>
    <row r="5415" spans="1:6" x14ac:dyDescent="0.3">
      <c r="A5415" t="s">
        <v>1134</v>
      </c>
      <c r="B5415" t="s">
        <v>2132</v>
      </c>
      <c r="C5415">
        <v>175.5</v>
      </c>
      <c r="D5415">
        <v>154</v>
      </c>
      <c r="E5415">
        <f>IF(OR(B5415="vi",B5415="ii",B5415="pod"),(((D5415/100)*(C5415*VLOOKUP(B5415,'Poids des runes'!A:B,2,FALSE)))+1),(((D5415/100)*(C5415*VLOOKUP(B5415,'Poids des runes'!A:B,2,FALSE)))+1)/VLOOKUP(B5415,'Poids des runes'!A:B,2,FALSE))</f>
        <v>28.027000000000001</v>
      </c>
      <c r="F5415">
        <f t="shared" si="84"/>
        <v>28.027000000000001</v>
      </c>
    </row>
    <row r="5416" spans="1:6" x14ac:dyDescent="0.3">
      <c r="A5416" t="s">
        <v>1134</v>
      </c>
      <c r="B5416" t="s">
        <v>2162</v>
      </c>
      <c r="C5416">
        <v>4</v>
      </c>
      <c r="D5416">
        <v>154</v>
      </c>
      <c r="E5416">
        <f>IF(OR(B5416="vi",B5416="ii",B5416="pod"),(((D5416/100)*(C5416*VLOOKUP(B5416,'Poids des runes'!A:B,2,FALSE)))+1),(((D5416/100)*(C5416*VLOOKUP(B5416,'Poids des runes'!A:B,2,FALSE)))+1)/VLOOKUP(B5416,'Poids des runes'!A:B,2,FALSE))</f>
        <v>6.3028571428571434</v>
      </c>
      <c r="F5416">
        <f t="shared" si="84"/>
        <v>6.3028571428571434</v>
      </c>
    </row>
    <row r="5417" spans="1:6" x14ac:dyDescent="0.3">
      <c r="A5417" t="s">
        <v>1134</v>
      </c>
      <c r="B5417" t="s">
        <v>2135</v>
      </c>
      <c r="C5417">
        <v>1.5</v>
      </c>
      <c r="D5417">
        <v>154</v>
      </c>
      <c r="E5417">
        <f>IF(OR(B5417="vi",B5417="ii",B5417="pod"),(((D5417/100)*(C5417*VLOOKUP(B5417,'Poids des runes'!A:B,2,FALSE)))+1),(((D5417/100)*(C5417*VLOOKUP(B5417,'Poids des runes'!A:B,2,FALSE)))+1)/VLOOKUP(B5417,'Poids des runes'!A:B,2,FALSE))</f>
        <v>2.4766666666666666</v>
      </c>
      <c r="F5417">
        <f t="shared" si="84"/>
        <v>2.4766666666666666</v>
      </c>
    </row>
    <row r="5418" spans="1:6" x14ac:dyDescent="0.3">
      <c r="A5418" t="s">
        <v>1135</v>
      </c>
      <c r="B5418" t="s">
        <v>2128</v>
      </c>
      <c r="C5418">
        <v>175.5</v>
      </c>
      <c r="D5418">
        <v>155</v>
      </c>
      <c r="E5418">
        <f>IF(OR(B5418="vi",B5418="ii",B5418="pod"),(((D5418/100)*(C5418*VLOOKUP(B5418,'Poids des runes'!A:B,2,FALSE)))+1),(((D5418/100)*(C5418*VLOOKUP(B5418,'Poids des runes'!A:B,2,FALSE)))+1)/VLOOKUP(B5418,'Poids des runes'!A:B,2,FALSE))</f>
        <v>55.405000000000001</v>
      </c>
      <c r="F5418">
        <f t="shared" si="84"/>
        <v>55.405000000000001</v>
      </c>
    </row>
    <row r="5419" spans="1:6" x14ac:dyDescent="0.3">
      <c r="A5419" t="s">
        <v>1135</v>
      </c>
      <c r="B5419" t="s">
        <v>2130</v>
      </c>
      <c r="C5419">
        <v>38</v>
      </c>
      <c r="D5419">
        <v>155</v>
      </c>
      <c r="E5419">
        <f>IF(OR(B5419="vi",B5419="ii",B5419="pod"),(((D5419/100)*(C5419*VLOOKUP(B5419,'Poids des runes'!A:B,2,FALSE)))+1),(((D5419/100)*(C5419*VLOOKUP(B5419,'Poids des runes'!A:B,2,FALSE)))+1)/VLOOKUP(B5419,'Poids des runes'!A:B,2,FALSE))</f>
        <v>59.9</v>
      </c>
      <c r="F5419">
        <f t="shared" si="84"/>
        <v>59.9</v>
      </c>
    </row>
    <row r="5420" spans="1:6" x14ac:dyDescent="0.3">
      <c r="A5420" t="s">
        <v>1135</v>
      </c>
      <c r="B5420" t="s">
        <v>2126</v>
      </c>
      <c r="C5420">
        <v>38</v>
      </c>
      <c r="D5420">
        <v>155</v>
      </c>
      <c r="E5420">
        <f>IF(OR(B5420="vi",B5420="ii",B5420="pod"),(((D5420/100)*(C5420*VLOOKUP(B5420,'Poids des runes'!A:B,2,FALSE)))+1),(((D5420/100)*(C5420*VLOOKUP(B5420,'Poids des runes'!A:B,2,FALSE)))+1)/VLOOKUP(B5420,'Poids des runes'!A:B,2,FALSE))</f>
        <v>59.9</v>
      </c>
      <c r="F5420">
        <f t="shared" si="84"/>
        <v>59.9</v>
      </c>
    </row>
    <row r="5421" spans="1:6" x14ac:dyDescent="0.3">
      <c r="A5421" t="s">
        <v>1135</v>
      </c>
      <c r="B5421" t="s">
        <v>2127</v>
      </c>
      <c r="C5421">
        <v>38</v>
      </c>
      <c r="D5421">
        <v>155</v>
      </c>
      <c r="E5421">
        <f>IF(OR(B5421="vi",B5421="ii",B5421="pod"),(((D5421/100)*(C5421*VLOOKUP(B5421,'Poids des runes'!A:B,2,FALSE)))+1),(((D5421/100)*(C5421*VLOOKUP(B5421,'Poids des runes'!A:B,2,FALSE)))+1)/VLOOKUP(B5421,'Poids des runes'!A:B,2,FALSE))</f>
        <v>59.9</v>
      </c>
      <c r="F5421">
        <f t="shared" si="84"/>
        <v>59.9</v>
      </c>
    </row>
    <row r="5422" spans="1:6" x14ac:dyDescent="0.3">
      <c r="A5422" t="s">
        <v>1135</v>
      </c>
      <c r="B5422" t="s">
        <v>2129</v>
      </c>
      <c r="C5422">
        <v>15.5</v>
      </c>
      <c r="D5422">
        <v>155</v>
      </c>
      <c r="E5422">
        <f>IF(OR(B5422="vi",B5422="ii",B5422="pod"),(((D5422/100)*(C5422*VLOOKUP(B5422,'Poids des runes'!A:B,2,FALSE)))+1),(((D5422/100)*(C5422*VLOOKUP(B5422,'Poids des runes'!A:B,2,FALSE)))+1)/VLOOKUP(B5422,'Poids des runes'!A:B,2,FALSE))</f>
        <v>25.025000000000002</v>
      </c>
      <c r="F5422">
        <f t="shared" si="84"/>
        <v>25.025000000000002</v>
      </c>
    </row>
    <row r="5423" spans="1:6" x14ac:dyDescent="0.3">
      <c r="A5423" t="s">
        <v>1135</v>
      </c>
      <c r="B5423" t="s">
        <v>2139</v>
      </c>
      <c r="C5423">
        <v>25.5</v>
      </c>
      <c r="D5423">
        <v>155</v>
      </c>
      <c r="E5423">
        <f>IF(OR(B5423="vi",B5423="ii",B5423="pod"),(((D5423/100)*(C5423*VLOOKUP(B5423,'Poids des runes'!A:B,2,FALSE)))+1),(((D5423/100)*(C5423*VLOOKUP(B5423,'Poids des runes'!A:B,2,FALSE)))+1)/VLOOKUP(B5423,'Poids des runes'!A:B,2,FALSE))</f>
        <v>40.024999999999999</v>
      </c>
      <c r="F5423">
        <f t="shared" si="84"/>
        <v>40.024999999999999</v>
      </c>
    </row>
    <row r="5424" spans="1:6" x14ac:dyDescent="0.3">
      <c r="A5424" t="s">
        <v>1135</v>
      </c>
      <c r="B5424" t="s">
        <v>2151</v>
      </c>
      <c r="C5424">
        <v>2.5</v>
      </c>
      <c r="D5424">
        <v>155</v>
      </c>
      <c r="E5424">
        <f>IF(OR(B5424="vi",B5424="ii",B5424="pod"),(((D5424/100)*(C5424*VLOOKUP(B5424,'Poids des runes'!A:B,2,FALSE)))+1),(((D5424/100)*(C5424*VLOOKUP(B5424,'Poids des runes'!A:B,2,FALSE)))+1)/VLOOKUP(B5424,'Poids des runes'!A:B,2,FALSE))</f>
        <v>3.9750000000000001</v>
      </c>
      <c r="F5424">
        <f t="shared" si="84"/>
        <v>3.9750000000000001</v>
      </c>
    </row>
    <row r="5425" spans="1:6" x14ac:dyDescent="0.3">
      <c r="A5425" t="s">
        <v>1135</v>
      </c>
      <c r="B5425" t="s">
        <v>2155</v>
      </c>
      <c r="C5425">
        <v>1</v>
      </c>
      <c r="D5425">
        <v>155</v>
      </c>
      <c r="E5425">
        <f>IF(OR(B5425="vi",B5425="ii",B5425="pod"),(((D5425/100)*(C5425*VLOOKUP(B5425,'Poids des runes'!A:B,2,FALSE)))+1),(((D5425/100)*(C5425*VLOOKUP(B5425,'Poids des runes'!A:B,2,FALSE)))+1)/VLOOKUP(B5425,'Poids des runes'!A:B,2,FALSE))</f>
        <v>1.5696078431372549</v>
      </c>
      <c r="F5425">
        <f t="shared" si="84"/>
        <v>1.5696078431372549</v>
      </c>
    </row>
    <row r="5426" spans="1:6" x14ac:dyDescent="0.3">
      <c r="A5426" t="s">
        <v>1135</v>
      </c>
      <c r="B5426" t="s">
        <v>2134</v>
      </c>
      <c r="C5426">
        <v>8.5</v>
      </c>
      <c r="D5426">
        <v>155</v>
      </c>
      <c r="E5426">
        <f>IF(OR(B5426="vi",B5426="ii",B5426="pod"),(((D5426/100)*(C5426*VLOOKUP(B5426,'Poids des runes'!A:B,2,FALSE)))+1),(((D5426/100)*(C5426*VLOOKUP(B5426,'Poids des runes'!A:B,2,FALSE)))+1)/VLOOKUP(B5426,'Poids des runes'!A:B,2,FALSE))</f>
        <v>13.225</v>
      </c>
      <c r="F5426">
        <f t="shared" si="84"/>
        <v>13.225</v>
      </c>
    </row>
    <row r="5427" spans="1:6" x14ac:dyDescent="0.3">
      <c r="A5427" t="s">
        <v>1135</v>
      </c>
      <c r="B5427" t="s">
        <v>2141</v>
      </c>
      <c r="C5427">
        <v>2.5</v>
      </c>
      <c r="D5427">
        <v>155</v>
      </c>
      <c r="E5427">
        <f>IF(OR(B5427="vi",B5427="ii",B5427="pod"),(((D5427/100)*(C5427*VLOOKUP(B5427,'Poids des runes'!A:B,2,FALSE)))+1),(((D5427/100)*(C5427*VLOOKUP(B5427,'Poids des runes'!A:B,2,FALSE)))+1)/VLOOKUP(B5427,'Poids des runes'!A:B,2,FALSE))</f>
        <v>4.125</v>
      </c>
      <c r="F5427">
        <f t="shared" si="84"/>
        <v>4.125</v>
      </c>
    </row>
    <row r="5428" spans="1:6" x14ac:dyDescent="0.3">
      <c r="A5428" t="s">
        <v>1135</v>
      </c>
      <c r="B5428" t="s">
        <v>2160</v>
      </c>
      <c r="C5428">
        <v>3.5</v>
      </c>
      <c r="D5428">
        <v>155</v>
      </c>
      <c r="E5428">
        <f>IF(OR(B5428="vi",B5428="ii",B5428="pod"),(((D5428/100)*(C5428*VLOOKUP(B5428,'Poids des runes'!A:B,2,FALSE)))+1),(((D5428/100)*(C5428*VLOOKUP(B5428,'Poids des runes'!A:B,2,FALSE)))+1)/VLOOKUP(B5428,'Poids des runes'!A:B,2,FALSE))</f>
        <v>5.5678571428571431</v>
      </c>
      <c r="F5428">
        <f t="shared" si="84"/>
        <v>5.5678571428571431</v>
      </c>
    </row>
    <row r="5429" spans="1:6" x14ac:dyDescent="0.3">
      <c r="A5429" t="s">
        <v>1135</v>
      </c>
      <c r="B5429" t="s">
        <v>2135</v>
      </c>
      <c r="C5429">
        <v>6</v>
      </c>
      <c r="D5429">
        <v>155</v>
      </c>
      <c r="E5429">
        <f>IF(OR(B5429="vi",B5429="ii",B5429="pod"),(((D5429/100)*(C5429*VLOOKUP(B5429,'Poids des runes'!A:B,2,FALSE)))+1),(((D5429/100)*(C5429*VLOOKUP(B5429,'Poids des runes'!A:B,2,FALSE)))+1)/VLOOKUP(B5429,'Poids des runes'!A:B,2,FALSE))</f>
        <v>9.4666666666666668</v>
      </c>
      <c r="F5429">
        <f t="shared" si="84"/>
        <v>9.4666666666666668</v>
      </c>
    </row>
    <row r="5430" spans="1:6" x14ac:dyDescent="0.3">
      <c r="A5430" t="s">
        <v>1136</v>
      </c>
      <c r="B5430" t="s">
        <v>2128</v>
      </c>
      <c r="C5430">
        <v>175.5</v>
      </c>
      <c r="D5430">
        <v>155</v>
      </c>
      <c r="E5430">
        <f>IF(OR(B5430="vi",B5430="ii",B5430="pod"),(((D5430/100)*(C5430*VLOOKUP(B5430,'Poids des runes'!A:B,2,FALSE)))+1),(((D5430/100)*(C5430*VLOOKUP(B5430,'Poids des runes'!A:B,2,FALSE)))+1)/VLOOKUP(B5430,'Poids des runes'!A:B,2,FALSE))</f>
        <v>55.405000000000001</v>
      </c>
      <c r="F5430">
        <f t="shared" si="84"/>
        <v>55.405000000000001</v>
      </c>
    </row>
    <row r="5431" spans="1:6" x14ac:dyDescent="0.3">
      <c r="A5431" t="s">
        <v>1136</v>
      </c>
      <c r="B5431" t="s">
        <v>2130</v>
      </c>
      <c r="C5431">
        <v>40.5</v>
      </c>
      <c r="D5431">
        <v>155</v>
      </c>
      <c r="E5431">
        <f>IF(OR(B5431="vi",B5431="ii",B5431="pod"),(((D5431/100)*(C5431*VLOOKUP(B5431,'Poids des runes'!A:B,2,FALSE)))+1),(((D5431/100)*(C5431*VLOOKUP(B5431,'Poids des runes'!A:B,2,FALSE)))+1)/VLOOKUP(B5431,'Poids des runes'!A:B,2,FALSE))</f>
        <v>63.774999999999999</v>
      </c>
      <c r="F5431">
        <f t="shared" si="84"/>
        <v>63.774999999999999</v>
      </c>
    </row>
    <row r="5432" spans="1:6" x14ac:dyDescent="0.3">
      <c r="A5432" t="s">
        <v>1136</v>
      </c>
      <c r="B5432" t="s">
        <v>2131</v>
      </c>
      <c r="C5432">
        <v>40.5</v>
      </c>
      <c r="D5432">
        <v>155</v>
      </c>
      <c r="E5432">
        <f>IF(OR(B5432="vi",B5432="ii",B5432="pod"),(((D5432/100)*(C5432*VLOOKUP(B5432,'Poids des runes'!A:B,2,FALSE)))+1),(((D5432/100)*(C5432*VLOOKUP(B5432,'Poids des runes'!A:B,2,FALSE)))+1)/VLOOKUP(B5432,'Poids des runes'!A:B,2,FALSE))</f>
        <v>63.774999999999999</v>
      </c>
      <c r="F5432">
        <f t="shared" si="84"/>
        <v>63.774999999999999</v>
      </c>
    </row>
    <row r="5433" spans="1:6" x14ac:dyDescent="0.3">
      <c r="A5433" t="s">
        <v>1136</v>
      </c>
      <c r="B5433" t="s">
        <v>2129</v>
      </c>
      <c r="C5433">
        <v>25.5</v>
      </c>
      <c r="D5433">
        <v>155</v>
      </c>
      <c r="E5433">
        <f>IF(OR(B5433="vi",B5433="ii",B5433="pod"),(((D5433/100)*(C5433*VLOOKUP(B5433,'Poids des runes'!A:B,2,FALSE)))+1),(((D5433/100)*(C5433*VLOOKUP(B5433,'Poids des runes'!A:B,2,FALSE)))+1)/VLOOKUP(B5433,'Poids des runes'!A:B,2,FALSE))</f>
        <v>40.524999999999999</v>
      </c>
      <c r="F5433">
        <f t="shared" si="84"/>
        <v>40.524999999999999</v>
      </c>
    </row>
    <row r="5434" spans="1:6" x14ac:dyDescent="0.3">
      <c r="A5434" t="s">
        <v>1136</v>
      </c>
      <c r="B5434" t="s">
        <v>2139</v>
      </c>
      <c r="C5434">
        <v>13</v>
      </c>
      <c r="D5434">
        <v>155</v>
      </c>
      <c r="E5434">
        <f>IF(OR(B5434="vi",B5434="ii",B5434="pod"),(((D5434/100)*(C5434*VLOOKUP(B5434,'Poids des runes'!A:B,2,FALSE)))+1),(((D5434/100)*(C5434*VLOOKUP(B5434,'Poids des runes'!A:B,2,FALSE)))+1)/VLOOKUP(B5434,'Poids des runes'!A:B,2,FALSE))</f>
        <v>20.650000000000002</v>
      </c>
      <c r="F5434">
        <f t="shared" si="84"/>
        <v>20.650000000000002</v>
      </c>
    </row>
    <row r="5435" spans="1:6" x14ac:dyDescent="0.3">
      <c r="A5435" t="s">
        <v>1136</v>
      </c>
      <c r="B5435" t="s">
        <v>2151</v>
      </c>
      <c r="C5435">
        <v>1.5</v>
      </c>
      <c r="D5435">
        <v>155</v>
      </c>
      <c r="E5435">
        <f>IF(OR(B5435="vi",B5435="ii",B5435="pod"),(((D5435/100)*(C5435*VLOOKUP(B5435,'Poids des runes'!A:B,2,FALSE)))+1),(((D5435/100)*(C5435*VLOOKUP(B5435,'Poids des runes'!A:B,2,FALSE)))+1)/VLOOKUP(B5435,'Poids des runes'!A:B,2,FALSE))</f>
        <v>2.4249999999999998</v>
      </c>
      <c r="F5435">
        <f t="shared" si="84"/>
        <v>2.4249999999999998</v>
      </c>
    </row>
    <row r="5436" spans="1:6" x14ac:dyDescent="0.3">
      <c r="A5436" t="s">
        <v>1136</v>
      </c>
      <c r="B5436" t="s">
        <v>2150</v>
      </c>
      <c r="C5436">
        <v>1</v>
      </c>
      <c r="D5436">
        <v>155</v>
      </c>
      <c r="E5436">
        <f>IF(OR(B5436="vi",B5436="ii",B5436="pod"),(((D5436/100)*(C5436*VLOOKUP(B5436,'Poids des runes'!A:B,2,FALSE)))+1),(((D5436/100)*(C5436*VLOOKUP(B5436,'Poids des runes'!A:B,2,FALSE)))+1)/VLOOKUP(B5436,'Poids des runes'!A:B,2,FALSE))</f>
        <v>1.5833333333333333</v>
      </c>
      <c r="F5436">
        <f t="shared" si="84"/>
        <v>1.5833333333333333</v>
      </c>
    </row>
    <row r="5437" spans="1:6" x14ac:dyDescent="0.3">
      <c r="A5437" t="s">
        <v>1136</v>
      </c>
      <c r="B5437" t="s">
        <v>2143</v>
      </c>
      <c r="C5437">
        <v>6</v>
      </c>
      <c r="D5437">
        <v>155</v>
      </c>
      <c r="E5437">
        <f>IF(OR(B5437="vi",B5437="ii",B5437="pod"),(((D5437/100)*(C5437*VLOOKUP(B5437,'Poids des runes'!A:B,2,FALSE)))+1),(((D5437/100)*(C5437*VLOOKUP(B5437,'Poids des runes'!A:B,2,FALSE)))+1)/VLOOKUP(B5437,'Poids des runes'!A:B,2,FALSE))</f>
        <v>9.5</v>
      </c>
      <c r="F5437">
        <f t="shared" si="84"/>
        <v>9.5</v>
      </c>
    </row>
    <row r="5438" spans="1:6" x14ac:dyDescent="0.3">
      <c r="A5438" t="s">
        <v>1136</v>
      </c>
      <c r="B5438" t="s">
        <v>2133</v>
      </c>
      <c r="C5438">
        <v>6</v>
      </c>
      <c r="D5438">
        <v>155</v>
      </c>
      <c r="E5438">
        <f>IF(OR(B5438="vi",B5438="ii",B5438="pod"),(((D5438/100)*(C5438*VLOOKUP(B5438,'Poids des runes'!A:B,2,FALSE)))+1),(((D5438/100)*(C5438*VLOOKUP(B5438,'Poids des runes'!A:B,2,FALSE)))+1)/VLOOKUP(B5438,'Poids des runes'!A:B,2,FALSE))</f>
        <v>9.5</v>
      </c>
      <c r="F5438">
        <f t="shared" si="84"/>
        <v>9.5</v>
      </c>
    </row>
    <row r="5439" spans="1:6" x14ac:dyDescent="0.3">
      <c r="A5439" t="s">
        <v>1136</v>
      </c>
      <c r="B5439" t="s">
        <v>2132</v>
      </c>
      <c r="C5439">
        <v>175.5</v>
      </c>
      <c r="D5439">
        <v>155</v>
      </c>
      <c r="E5439">
        <f>IF(OR(B5439="vi",B5439="ii",B5439="pod"),(((D5439/100)*(C5439*VLOOKUP(B5439,'Poids des runes'!A:B,2,FALSE)))+1),(((D5439/100)*(C5439*VLOOKUP(B5439,'Poids des runes'!A:B,2,FALSE)))+1)/VLOOKUP(B5439,'Poids des runes'!A:B,2,FALSE))</f>
        <v>28.202500000000001</v>
      </c>
      <c r="F5439">
        <f t="shared" si="84"/>
        <v>28.202500000000001</v>
      </c>
    </row>
    <row r="5440" spans="1:6" x14ac:dyDescent="0.3">
      <c r="A5440" t="s">
        <v>1136</v>
      </c>
      <c r="B5440" t="s">
        <v>2141</v>
      </c>
      <c r="C5440">
        <v>4</v>
      </c>
      <c r="D5440">
        <v>155</v>
      </c>
      <c r="E5440">
        <f>IF(OR(B5440="vi",B5440="ii",B5440="pod"),(((D5440/100)*(C5440*VLOOKUP(B5440,'Poids des runes'!A:B,2,FALSE)))+1),(((D5440/100)*(C5440*VLOOKUP(B5440,'Poids des runes'!A:B,2,FALSE)))+1)/VLOOKUP(B5440,'Poids des runes'!A:B,2,FALSE))</f>
        <v>6.45</v>
      </c>
      <c r="F5440">
        <f t="shared" si="84"/>
        <v>6.45</v>
      </c>
    </row>
    <row r="5441" spans="1:6" x14ac:dyDescent="0.3">
      <c r="A5441" t="s">
        <v>1136</v>
      </c>
      <c r="B5441" t="s">
        <v>2147</v>
      </c>
      <c r="C5441">
        <v>4</v>
      </c>
      <c r="D5441">
        <v>155</v>
      </c>
      <c r="E5441">
        <f>IF(OR(B5441="vi",B5441="ii",B5441="pod"),(((D5441/100)*(C5441*VLOOKUP(B5441,'Poids des runes'!A:B,2,FALSE)))+1),(((D5441/100)*(C5441*VLOOKUP(B5441,'Poids des runes'!A:B,2,FALSE)))+1)/VLOOKUP(B5441,'Poids des runes'!A:B,2,FALSE))</f>
        <v>6.3666666666666671</v>
      </c>
      <c r="F5441">
        <f t="shared" si="84"/>
        <v>6.3666666666666671</v>
      </c>
    </row>
    <row r="5442" spans="1:6" x14ac:dyDescent="0.3">
      <c r="A5442" t="s">
        <v>1136</v>
      </c>
      <c r="B5442" t="s">
        <v>2157</v>
      </c>
      <c r="C5442">
        <v>4</v>
      </c>
      <c r="D5442">
        <v>155</v>
      </c>
      <c r="E5442">
        <f>IF(OR(B5442="vi",B5442="ii",B5442="pod"),(((D5442/100)*(C5442*VLOOKUP(B5442,'Poids des runes'!A:B,2,FALSE)))+1),(((D5442/100)*(C5442*VLOOKUP(B5442,'Poids des runes'!A:B,2,FALSE)))+1)/VLOOKUP(B5442,'Poids des runes'!A:B,2,FALSE))</f>
        <v>6.3666666666666671</v>
      </c>
      <c r="F5442">
        <f t="shared" si="84"/>
        <v>6.3666666666666671</v>
      </c>
    </row>
    <row r="5443" spans="1:6" x14ac:dyDescent="0.3">
      <c r="A5443" t="s">
        <v>1137</v>
      </c>
      <c r="B5443" t="s">
        <v>2128</v>
      </c>
      <c r="C5443">
        <v>175.5</v>
      </c>
      <c r="D5443">
        <v>155</v>
      </c>
      <c r="E5443">
        <f>IF(OR(B5443="vi",B5443="ii",B5443="pod"),(((D5443/100)*(C5443*VLOOKUP(B5443,'Poids des runes'!A:B,2,FALSE)))+1),(((D5443/100)*(C5443*VLOOKUP(B5443,'Poids des runes'!A:B,2,FALSE)))+1)/VLOOKUP(B5443,'Poids des runes'!A:B,2,FALSE))</f>
        <v>55.405000000000001</v>
      </c>
      <c r="F5443">
        <f t="shared" ref="F5443:F5506" si="85">E5443</f>
        <v>55.405000000000001</v>
      </c>
    </row>
    <row r="5444" spans="1:6" x14ac:dyDescent="0.3">
      <c r="A5444" t="s">
        <v>1137</v>
      </c>
      <c r="B5444" t="s">
        <v>2131</v>
      </c>
      <c r="C5444">
        <v>40.5</v>
      </c>
      <c r="D5444">
        <v>155</v>
      </c>
      <c r="E5444">
        <f>IF(OR(B5444="vi",B5444="ii",B5444="pod"),(((D5444/100)*(C5444*VLOOKUP(B5444,'Poids des runes'!A:B,2,FALSE)))+1),(((D5444/100)*(C5444*VLOOKUP(B5444,'Poids des runes'!A:B,2,FALSE)))+1)/VLOOKUP(B5444,'Poids des runes'!A:B,2,FALSE))</f>
        <v>63.774999999999999</v>
      </c>
      <c r="F5444">
        <f t="shared" si="85"/>
        <v>63.774999999999999</v>
      </c>
    </row>
    <row r="5445" spans="1:6" x14ac:dyDescent="0.3">
      <c r="A5445" t="s">
        <v>1137</v>
      </c>
      <c r="B5445" t="s">
        <v>2127</v>
      </c>
      <c r="C5445">
        <v>40.5</v>
      </c>
      <c r="D5445">
        <v>155</v>
      </c>
      <c r="E5445">
        <f>IF(OR(B5445="vi",B5445="ii",B5445="pod"),(((D5445/100)*(C5445*VLOOKUP(B5445,'Poids des runes'!A:B,2,FALSE)))+1),(((D5445/100)*(C5445*VLOOKUP(B5445,'Poids des runes'!A:B,2,FALSE)))+1)/VLOOKUP(B5445,'Poids des runes'!A:B,2,FALSE))</f>
        <v>63.774999999999999</v>
      </c>
      <c r="F5445">
        <f t="shared" si="85"/>
        <v>63.774999999999999</v>
      </c>
    </row>
    <row r="5446" spans="1:6" x14ac:dyDescent="0.3">
      <c r="A5446" t="s">
        <v>1137</v>
      </c>
      <c r="B5446" t="s">
        <v>2129</v>
      </c>
      <c r="C5446">
        <v>25.5</v>
      </c>
      <c r="D5446">
        <v>155</v>
      </c>
      <c r="E5446">
        <f>IF(OR(B5446="vi",B5446="ii",B5446="pod"),(((D5446/100)*(C5446*VLOOKUP(B5446,'Poids des runes'!A:B,2,FALSE)))+1),(((D5446/100)*(C5446*VLOOKUP(B5446,'Poids des runes'!A:B,2,FALSE)))+1)/VLOOKUP(B5446,'Poids des runes'!A:B,2,FALSE))</f>
        <v>40.524999999999999</v>
      </c>
      <c r="F5446">
        <f t="shared" si="85"/>
        <v>40.524999999999999</v>
      </c>
    </row>
    <row r="5447" spans="1:6" x14ac:dyDescent="0.3">
      <c r="A5447" t="s">
        <v>1137</v>
      </c>
      <c r="B5447" t="s">
        <v>2151</v>
      </c>
      <c r="C5447">
        <v>2.5</v>
      </c>
      <c r="D5447">
        <v>155</v>
      </c>
      <c r="E5447">
        <f>IF(OR(B5447="vi",B5447="ii",B5447="pod"),(((D5447/100)*(C5447*VLOOKUP(B5447,'Poids des runes'!A:B,2,FALSE)))+1),(((D5447/100)*(C5447*VLOOKUP(B5447,'Poids des runes'!A:B,2,FALSE)))+1)/VLOOKUP(B5447,'Poids des runes'!A:B,2,FALSE))</f>
        <v>3.9750000000000001</v>
      </c>
      <c r="F5447">
        <f t="shared" si="85"/>
        <v>3.9750000000000001</v>
      </c>
    </row>
    <row r="5448" spans="1:6" x14ac:dyDescent="0.3">
      <c r="A5448" t="s">
        <v>1137</v>
      </c>
      <c r="B5448" t="s">
        <v>2154</v>
      </c>
      <c r="C5448">
        <v>1</v>
      </c>
      <c r="D5448">
        <v>155</v>
      </c>
      <c r="E5448">
        <f>IF(OR(B5448="vi",B5448="ii",B5448="pod"),(((D5448/100)*(C5448*VLOOKUP(B5448,'Poids des runes'!A:B,2,FALSE)))+1),(((D5448/100)*(C5448*VLOOKUP(B5448,'Poids des runes'!A:B,2,FALSE)))+1)/VLOOKUP(B5448,'Poids des runes'!A:B,2,FALSE))</f>
        <v>1.5611111111111111</v>
      </c>
      <c r="F5448">
        <f t="shared" si="85"/>
        <v>1.5611111111111111</v>
      </c>
    </row>
    <row r="5449" spans="1:6" x14ac:dyDescent="0.3">
      <c r="A5449" t="s">
        <v>1137</v>
      </c>
      <c r="B5449" t="s">
        <v>2133</v>
      </c>
      <c r="C5449">
        <v>8.5</v>
      </c>
      <c r="D5449">
        <v>155</v>
      </c>
      <c r="E5449">
        <f>IF(OR(B5449="vi",B5449="ii",B5449="pod"),(((D5449/100)*(C5449*VLOOKUP(B5449,'Poids des runes'!A:B,2,FALSE)))+1),(((D5449/100)*(C5449*VLOOKUP(B5449,'Poids des runes'!A:B,2,FALSE)))+1)/VLOOKUP(B5449,'Poids des runes'!A:B,2,FALSE))</f>
        <v>13.375</v>
      </c>
      <c r="F5449">
        <f t="shared" si="85"/>
        <v>13.375</v>
      </c>
    </row>
    <row r="5450" spans="1:6" x14ac:dyDescent="0.3">
      <c r="A5450" t="s">
        <v>1137</v>
      </c>
      <c r="B5450" t="s">
        <v>2153</v>
      </c>
      <c r="C5450">
        <v>8.5</v>
      </c>
      <c r="D5450">
        <v>155</v>
      </c>
      <c r="E5450">
        <f>IF(OR(B5450="vi",B5450="ii",B5450="pod"),(((D5450/100)*(C5450*VLOOKUP(B5450,'Poids des runes'!A:B,2,FALSE)))+1),(((D5450/100)*(C5450*VLOOKUP(B5450,'Poids des runes'!A:B,2,FALSE)))+1)/VLOOKUP(B5450,'Poids des runes'!A:B,2,FALSE))</f>
        <v>13.375</v>
      </c>
      <c r="F5450">
        <f t="shared" si="85"/>
        <v>13.375</v>
      </c>
    </row>
    <row r="5451" spans="1:6" x14ac:dyDescent="0.3">
      <c r="A5451" t="s">
        <v>1137</v>
      </c>
      <c r="B5451" t="s">
        <v>2161</v>
      </c>
      <c r="C5451">
        <v>13</v>
      </c>
      <c r="D5451">
        <v>155</v>
      </c>
      <c r="E5451">
        <f>IF(OR(B5451="vi",B5451="ii",B5451="pod"),(((D5451/100)*(C5451*VLOOKUP(B5451,'Poids des runes'!A:B,2,FALSE)))+1),(((D5451/100)*(C5451*VLOOKUP(B5451,'Poids des runes'!A:B,2,FALSE)))+1)/VLOOKUP(B5451,'Poids des runes'!A:B,2,FALSE))</f>
        <v>20.483333333333334</v>
      </c>
      <c r="F5451">
        <f t="shared" si="85"/>
        <v>20.483333333333334</v>
      </c>
    </row>
    <row r="5452" spans="1:6" x14ac:dyDescent="0.3">
      <c r="A5452" t="s">
        <v>1137</v>
      </c>
      <c r="B5452" t="s">
        <v>2141</v>
      </c>
      <c r="C5452">
        <v>4.5</v>
      </c>
      <c r="D5452">
        <v>155</v>
      </c>
      <c r="E5452">
        <f>IF(OR(B5452="vi",B5452="ii",B5452="pod"),(((D5452/100)*(C5452*VLOOKUP(B5452,'Poids des runes'!A:B,2,FALSE)))+1),(((D5452/100)*(C5452*VLOOKUP(B5452,'Poids des runes'!A:B,2,FALSE)))+1)/VLOOKUP(B5452,'Poids des runes'!A:B,2,FALSE))</f>
        <v>7.2250000000000005</v>
      </c>
      <c r="F5452">
        <f t="shared" si="85"/>
        <v>7.2250000000000005</v>
      </c>
    </row>
    <row r="5453" spans="1:6" x14ac:dyDescent="0.3">
      <c r="A5453" t="s">
        <v>1137</v>
      </c>
      <c r="B5453" t="s">
        <v>2165</v>
      </c>
      <c r="C5453">
        <v>2.5</v>
      </c>
      <c r="D5453">
        <v>155</v>
      </c>
      <c r="E5453">
        <f>IF(OR(B5453="vi",B5453="ii",B5453="pod"),(((D5453/100)*(C5453*VLOOKUP(B5453,'Poids des runes'!A:B,2,FALSE)))+1),(((D5453/100)*(C5453*VLOOKUP(B5453,'Poids des runes'!A:B,2,FALSE)))+1)/VLOOKUP(B5453,'Poids des runes'!A:B,2,FALSE))</f>
        <v>4.0178571428571432</v>
      </c>
      <c r="F5453">
        <f t="shared" si="85"/>
        <v>4.0178571428571432</v>
      </c>
    </row>
    <row r="5454" spans="1:6" x14ac:dyDescent="0.3">
      <c r="A5454" t="s">
        <v>1137</v>
      </c>
      <c r="B5454" t="s">
        <v>2164</v>
      </c>
      <c r="C5454">
        <v>13</v>
      </c>
      <c r="D5454">
        <v>155</v>
      </c>
      <c r="E5454">
        <f>IF(OR(B5454="vi",B5454="ii",B5454="pod"),(((D5454/100)*(C5454*VLOOKUP(B5454,'Poids des runes'!A:B,2,FALSE)))+1),(((D5454/100)*(C5454*VLOOKUP(B5454,'Poids des runes'!A:B,2,FALSE)))+1)/VLOOKUP(B5454,'Poids des runes'!A:B,2,FALSE))</f>
        <v>20.650000000000002</v>
      </c>
      <c r="F5454">
        <f t="shared" si="85"/>
        <v>20.650000000000002</v>
      </c>
    </row>
    <row r="5455" spans="1:6" x14ac:dyDescent="0.3">
      <c r="A5455" t="s">
        <v>1137</v>
      </c>
      <c r="B5455" t="s">
        <v>2135</v>
      </c>
      <c r="C5455">
        <v>5</v>
      </c>
      <c r="D5455">
        <v>155</v>
      </c>
      <c r="E5455">
        <f>IF(OR(B5455="vi",B5455="ii",B5455="pod"),(((D5455/100)*(C5455*VLOOKUP(B5455,'Poids des runes'!A:B,2,FALSE)))+1),(((D5455/100)*(C5455*VLOOKUP(B5455,'Poids des runes'!A:B,2,FALSE)))+1)/VLOOKUP(B5455,'Poids des runes'!A:B,2,FALSE))</f>
        <v>7.916666666666667</v>
      </c>
      <c r="F5455">
        <f t="shared" si="85"/>
        <v>7.916666666666667</v>
      </c>
    </row>
    <row r="5456" spans="1:6" x14ac:dyDescent="0.3">
      <c r="A5456" t="s">
        <v>1137</v>
      </c>
      <c r="B5456" t="s">
        <v>2157</v>
      </c>
      <c r="C5456">
        <v>5</v>
      </c>
      <c r="D5456">
        <v>155</v>
      </c>
      <c r="E5456">
        <f>IF(OR(B5456="vi",B5456="ii",B5456="pod"),(((D5456/100)*(C5456*VLOOKUP(B5456,'Poids des runes'!A:B,2,FALSE)))+1),(((D5456/100)*(C5456*VLOOKUP(B5456,'Poids des runes'!A:B,2,FALSE)))+1)/VLOOKUP(B5456,'Poids des runes'!A:B,2,FALSE))</f>
        <v>7.916666666666667</v>
      </c>
      <c r="F5456">
        <f t="shared" si="85"/>
        <v>7.916666666666667</v>
      </c>
    </row>
    <row r="5457" spans="1:6" x14ac:dyDescent="0.3">
      <c r="A5457" t="s">
        <v>1138</v>
      </c>
      <c r="B5457" t="s">
        <v>2128</v>
      </c>
      <c r="C5457">
        <v>125.5</v>
      </c>
      <c r="D5457">
        <v>155</v>
      </c>
      <c r="E5457">
        <f>IF(OR(B5457="vi",B5457="ii",B5457="pod"),(((D5457/100)*(C5457*VLOOKUP(B5457,'Poids des runes'!A:B,2,FALSE)))+1),(((D5457/100)*(C5457*VLOOKUP(B5457,'Poids des runes'!A:B,2,FALSE)))+1)/VLOOKUP(B5457,'Poids des runes'!A:B,2,FALSE))</f>
        <v>39.905000000000001</v>
      </c>
      <c r="F5457">
        <f t="shared" si="85"/>
        <v>39.905000000000001</v>
      </c>
    </row>
    <row r="5458" spans="1:6" x14ac:dyDescent="0.3">
      <c r="A5458" t="s">
        <v>1138</v>
      </c>
      <c r="B5458" t="s">
        <v>2126</v>
      </c>
      <c r="C5458">
        <v>33</v>
      </c>
      <c r="D5458">
        <v>155</v>
      </c>
      <c r="E5458">
        <f>IF(OR(B5458="vi",B5458="ii",B5458="pod"),(((D5458/100)*(C5458*VLOOKUP(B5458,'Poids des runes'!A:B,2,FALSE)))+1),(((D5458/100)*(C5458*VLOOKUP(B5458,'Poids des runes'!A:B,2,FALSE)))+1)/VLOOKUP(B5458,'Poids des runes'!A:B,2,FALSE))</f>
        <v>52.15</v>
      </c>
      <c r="F5458">
        <f t="shared" si="85"/>
        <v>52.15</v>
      </c>
    </row>
    <row r="5459" spans="1:6" x14ac:dyDescent="0.3">
      <c r="A5459" t="s">
        <v>1138</v>
      </c>
      <c r="B5459" t="s">
        <v>2127</v>
      </c>
      <c r="C5459">
        <v>33</v>
      </c>
      <c r="D5459">
        <v>155</v>
      </c>
      <c r="E5459">
        <f>IF(OR(B5459="vi",B5459="ii",B5459="pod"),(((D5459/100)*(C5459*VLOOKUP(B5459,'Poids des runes'!A:B,2,FALSE)))+1),(((D5459/100)*(C5459*VLOOKUP(B5459,'Poids des runes'!A:B,2,FALSE)))+1)/VLOOKUP(B5459,'Poids des runes'!A:B,2,FALSE))</f>
        <v>52.15</v>
      </c>
      <c r="F5459">
        <f t="shared" si="85"/>
        <v>52.15</v>
      </c>
    </row>
    <row r="5460" spans="1:6" x14ac:dyDescent="0.3">
      <c r="A5460" t="s">
        <v>1138</v>
      </c>
      <c r="B5460" t="s">
        <v>2129</v>
      </c>
      <c r="C5460">
        <v>25.5</v>
      </c>
      <c r="D5460">
        <v>155</v>
      </c>
      <c r="E5460">
        <f>IF(OR(B5460="vi",B5460="ii",B5460="pod"),(((D5460/100)*(C5460*VLOOKUP(B5460,'Poids des runes'!A:B,2,FALSE)))+1),(((D5460/100)*(C5460*VLOOKUP(B5460,'Poids des runes'!A:B,2,FALSE)))+1)/VLOOKUP(B5460,'Poids des runes'!A:B,2,FALSE))</f>
        <v>40.524999999999999</v>
      </c>
      <c r="F5460">
        <f t="shared" si="85"/>
        <v>40.524999999999999</v>
      </c>
    </row>
    <row r="5461" spans="1:6" x14ac:dyDescent="0.3">
      <c r="A5461" t="s">
        <v>1138</v>
      </c>
      <c r="B5461" t="s">
        <v>2151</v>
      </c>
      <c r="C5461">
        <v>3.5</v>
      </c>
      <c r="D5461">
        <v>155</v>
      </c>
      <c r="E5461">
        <f>IF(OR(B5461="vi",B5461="ii",B5461="pod"),(((D5461/100)*(C5461*VLOOKUP(B5461,'Poids des runes'!A:B,2,FALSE)))+1),(((D5461/100)*(C5461*VLOOKUP(B5461,'Poids des runes'!A:B,2,FALSE)))+1)/VLOOKUP(B5461,'Poids des runes'!A:B,2,FALSE))</f>
        <v>5.5250000000000004</v>
      </c>
      <c r="F5461">
        <f t="shared" si="85"/>
        <v>5.5250000000000004</v>
      </c>
    </row>
    <row r="5462" spans="1:6" x14ac:dyDescent="0.3">
      <c r="A5462" t="s">
        <v>1138</v>
      </c>
      <c r="B5462" t="s">
        <v>2150</v>
      </c>
      <c r="C5462">
        <v>1</v>
      </c>
      <c r="D5462">
        <v>155</v>
      </c>
      <c r="E5462">
        <f>IF(OR(B5462="vi",B5462="ii",B5462="pod"),(((D5462/100)*(C5462*VLOOKUP(B5462,'Poids des runes'!A:B,2,FALSE)))+1),(((D5462/100)*(C5462*VLOOKUP(B5462,'Poids des runes'!A:B,2,FALSE)))+1)/VLOOKUP(B5462,'Poids des runes'!A:B,2,FALSE))</f>
        <v>1.5833333333333333</v>
      </c>
      <c r="F5462">
        <f t="shared" si="85"/>
        <v>1.5833333333333333</v>
      </c>
    </row>
    <row r="5463" spans="1:6" x14ac:dyDescent="0.3">
      <c r="A5463" t="s">
        <v>1138</v>
      </c>
      <c r="B5463" t="s">
        <v>2140</v>
      </c>
      <c r="C5463">
        <v>6</v>
      </c>
      <c r="D5463">
        <v>155</v>
      </c>
      <c r="E5463">
        <f>IF(OR(B5463="vi",B5463="ii",B5463="pod"),(((D5463/100)*(C5463*VLOOKUP(B5463,'Poids des runes'!A:B,2,FALSE)))+1),(((D5463/100)*(C5463*VLOOKUP(B5463,'Poids des runes'!A:B,2,FALSE)))+1)/VLOOKUP(B5463,'Poids des runes'!A:B,2,FALSE))</f>
        <v>9.5</v>
      </c>
      <c r="F5463">
        <f t="shared" si="85"/>
        <v>9.5</v>
      </c>
    </row>
    <row r="5464" spans="1:6" x14ac:dyDescent="0.3">
      <c r="A5464" t="s">
        <v>1138</v>
      </c>
      <c r="B5464" t="s">
        <v>2153</v>
      </c>
      <c r="C5464">
        <v>6</v>
      </c>
      <c r="D5464">
        <v>155</v>
      </c>
      <c r="E5464">
        <f>IF(OR(B5464="vi",B5464="ii",B5464="pod"),(((D5464/100)*(C5464*VLOOKUP(B5464,'Poids des runes'!A:B,2,FALSE)))+1),(((D5464/100)*(C5464*VLOOKUP(B5464,'Poids des runes'!A:B,2,FALSE)))+1)/VLOOKUP(B5464,'Poids des runes'!A:B,2,FALSE))</f>
        <v>9.5</v>
      </c>
      <c r="F5464">
        <f t="shared" si="85"/>
        <v>9.5</v>
      </c>
    </row>
    <row r="5465" spans="1:6" x14ac:dyDescent="0.3">
      <c r="A5465" t="s">
        <v>1138</v>
      </c>
      <c r="B5465" t="s">
        <v>2161</v>
      </c>
      <c r="C5465">
        <v>8.5</v>
      </c>
      <c r="D5465">
        <v>155</v>
      </c>
      <c r="E5465">
        <f>IF(OR(B5465="vi",B5465="ii",B5465="pod"),(((D5465/100)*(C5465*VLOOKUP(B5465,'Poids des runes'!A:B,2,FALSE)))+1),(((D5465/100)*(C5465*VLOOKUP(B5465,'Poids des runes'!A:B,2,FALSE)))+1)/VLOOKUP(B5465,'Poids des runes'!A:B,2,FALSE))</f>
        <v>13.508333333333333</v>
      </c>
      <c r="F5465">
        <f t="shared" si="85"/>
        <v>13.508333333333333</v>
      </c>
    </row>
    <row r="5466" spans="1:6" x14ac:dyDescent="0.3">
      <c r="A5466" t="s">
        <v>1138</v>
      </c>
      <c r="B5466" t="s">
        <v>2138</v>
      </c>
      <c r="C5466">
        <v>4.5</v>
      </c>
      <c r="D5466">
        <v>155</v>
      </c>
      <c r="E5466">
        <f>IF(OR(B5466="vi",B5466="ii",B5466="pod"),(((D5466/100)*(C5466*VLOOKUP(B5466,'Poids des runes'!A:B,2,FALSE)))+1),(((D5466/100)*(C5466*VLOOKUP(B5466,'Poids des runes'!A:B,2,FALSE)))+1)/VLOOKUP(B5466,'Poids des runes'!A:B,2,FALSE))</f>
        <v>7.2250000000000005</v>
      </c>
      <c r="F5466">
        <f t="shared" si="85"/>
        <v>7.2250000000000005</v>
      </c>
    </row>
    <row r="5467" spans="1:6" x14ac:dyDescent="0.3">
      <c r="A5467" t="s">
        <v>1138</v>
      </c>
      <c r="B5467" t="s">
        <v>2163</v>
      </c>
      <c r="C5467">
        <v>8.5</v>
      </c>
      <c r="D5467">
        <v>155</v>
      </c>
      <c r="E5467">
        <f>IF(OR(B5467="vi",B5467="ii",B5467="pod"),(((D5467/100)*(C5467*VLOOKUP(B5467,'Poids des runes'!A:B,2,FALSE)))+1),(((D5467/100)*(C5467*VLOOKUP(B5467,'Poids des runes'!A:B,2,FALSE)))+1)/VLOOKUP(B5467,'Poids des runes'!A:B,2,FALSE))</f>
        <v>13.675000000000001</v>
      </c>
      <c r="F5467">
        <f t="shared" si="85"/>
        <v>13.675000000000001</v>
      </c>
    </row>
    <row r="5468" spans="1:6" x14ac:dyDescent="0.3">
      <c r="A5468" t="s">
        <v>1138</v>
      </c>
      <c r="B5468" t="s">
        <v>2136</v>
      </c>
      <c r="C5468">
        <v>8.5</v>
      </c>
      <c r="D5468">
        <v>155</v>
      </c>
      <c r="E5468">
        <f>IF(OR(B5468="vi",B5468="ii",B5468="pod"),(((D5468/100)*(C5468*VLOOKUP(B5468,'Poids des runes'!A:B,2,FALSE)))+1),(((D5468/100)*(C5468*VLOOKUP(B5468,'Poids des runes'!A:B,2,FALSE)))+1)/VLOOKUP(B5468,'Poids des runes'!A:B,2,FALSE))</f>
        <v>13.675000000000001</v>
      </c>
      <c r="F5468">
        <f t="shared" si="85"/>
        <v>13.675000000000001</v>
      </c>
    </row>
    <row r="5469" spans="1:6" x14ac:dyDescent="0.3">
      <c r="A5469" t="s">
        <v>1138</v>
      </c>
      <c r="B5469" t="s">
        <v>2144</v>
      </c>
      <c r="C5469">
        <v>8.5</v>
      </c>
      <c r="D5469">
        <v>155</v>
      </c>
      <c r="E5469">
        <f>IF(OR(B5469="vi",B5469="ii",B5469="pod"),(((D5469/100)*(C5469*VLOOKUP(B5469,'Poids des runes'!A:B,2,FALSE)))+1),(((D5469/100)*(C5469*VLOOKUP(B5469,'Poids des runes'!A:B,2,FALSE)))+1)/VLOOKUP(B5469,'Poids des runes'!A:B,2,FALSE))</f>
        <v>13.675000000000001</v>
      </c>
      <c r="F5469">
        <f t="shared" si="85"/>
        <v>13.675000000000001</v>
      </c>
    </row>
    <row r="5470" spans="1:6" x14ac:dyDescent="0.3">
      <c r="A5470" t="s">
        <v>1139</v>
      </c>
      <c r="B5470" t="s">
        <v>2128</v>
      </c>
      <c r="C5470">
        <v>125.5</v>
      </c>
      <c r="D5470">
        <v>155</v>
      </c>
      <c r="E5470">
        <f>IF(OR(B5470="vi",B5470="ii",B5470="pod"),(((D5470/100)*(C5470*VLOOKUP(B5470,'Poids des runes'!A:B,2,FALSE)))+1),(((D5470/100)*(C5470*VLOOKUP(B5470,'Poids des runes'!A:B,2,FALSE)))+1)/VLOOKUP(B5470,'Poids des runes'!A:B,2,FALSE))</f>
        <v>39.905000000000001</v>
      </c>
      <c r="F5470">
        <f t="shared" si="85"/>
        <v>39.905000000000001</v>
      </c>
    </row>
    <row r="5471" spans="1:6" x14ac:dyDescent="0.3">
      <c r="A5471" t="s">
        <v>1139</v>
      </c>
      <c r="B5471" t="s">
        <v>2130</v>
      </c>
      <c r="C5471">
        <v>35.5</v>
      </c>
      <c r="D5471">
        <v>155</v>
      </c>
      <c r="E5471">
        <f>IF(OR(B5471="vi",B5471="ii",B5471="pod"),(((D5471/100)*(C5471*VLOOKUP(B5471,'Poids des runes'!A:B,2,FALSE)))+1),(((D5471/100)*(C5471*VLOOKUP(B5471,'Poids des runes'!A:B,2,FALSE)))+1)/VLOOKUP(B5471,'Poids des runes'!A:B,2,FALSE))</f>
        <v>56.024999999999999</v>
      </c>
      <c r="F5471">
        <f t="shared" si="85"/>
        <v>56.024999999999999</v>
      </c>
    </row>
    <row r="5472" spans="1:6" x14ac:dyDescent="0.3">
      <c r="A5472" t="s">
        <v>1139</v>
      </c>
      <c r="B5472" t="s">
        <v>2127</v>
      </c>
      <c r="C5472">
        <v>25.5</v>
      </c>
      <c r="D5472">
        <v>155</v>
      </c>
      <c r="E5472">
        <f>IF(OR(B5472="vi",B5472="ii",B5472="pod"),(((D5472/100)*(C5472*VLOOKUP(B5472,'Poids des runes'!A:B,2,FALSE)))+1),(((D5472/100)*(C5472*VLOOKUP(B5472,'Poids des runes'!A:B,2,FALSE)))+1)/VLOOKUP(B5472,'Poids des runes'!A:B,2,FALSE))</f>
        <v>40.524999999999999</v>
      </c>
      <c r="F5472">
        <f t="shared" si="85"/>
        <v>40.524999999999999</v>
      </c>
    </row>
    <row r="5473" spans="1:6" x14ac:dyDescent="0.3">
      <c r="A5473" t="s">
        <v>1139</v>
      </c>
      <c r="B5473" t="s">
        <v>2129</v>
      </c>
      <c r="C5473">
        <v>25.5</v>
      </c>
      <c r="D5473">
        <v>155</v>
      </c>
      <c r="E5473">
        <f>IF(OR(B5473="vi",B5473="ii",B5473="pod"),(((D5473/100)*(C5473*VLOOKUP(B5473,'Poids des runes'!A:B,2,FALSE)))+1),(((D5473/100)*(C5473*VLOOKUP(B5473,'Poids des runes'!A:B,2,FALSE)))+1)/VLOOKUP(B5473,'Poids des runes'!A:B,2,FALSE))</f>
        <v>40.524999999999999</v>
      </c>
      <c r="F5473">
        <f t="shared" si="85"/>
        <v>40.524999999999999</v>
      </c>
    </row>
    <row r="5474" spans="1:6" x14ac:dyDescent="0.3">
      <c r="A5474" t="s">
        <v>1139</v>
      </c>
      <c r="B5474" t="s">
        <v>2151</v>
      </c>
      <c r="C5474">
        <v>2.5</v>
      </c>
      <c r="D5474">
        <v>155</v>
      </c>
      <c r="E5474">
        <f>IF(OR(B5474="vi",B5474="ii",B5474="pod"),(((D5474/100)*(C5474*VLOOKUP(B5474,'Poids des runes'!A:B,2,FALSE)))+1),(((D5474/100)*(C5474*VLOOKUP(B5474,'Poids des runes'!A:B,2,FALSE)))+1)/VLOOKUP(B5474,'Poids des runes'!A:B,2,FALSE))</f>
        <v>3.9750000000000001</v>
      </c>
      <c r="F5474">
        <f t="shared" si="85"/>
        <v>3.9750000000000001</v>
      </c>
    </row>
    <row r="5475" spans="1:6" x14ac:dyDescent="0.3">
      <c r="A5475" t="s">
        <v>1139</v>
      </c>
      <c r="B5475" t="s">
        <v>2143</v>
      </c>
      <c r="C5475">
        <v>6</v>
      </c>
      <c r="D5475">
        <v>155</v>
      </c>
      <c r="E5475">
        <f>IF(OR(B5475="vi",B5475="ii",B5475="pod"),(((D5475/100)*(C5475*VLOOKUP(B5475,'Poids des runes'!A:B,2,FALSE)))+1),(((D5475/100)*(C5475*VLOOKUP(B5475,'Poids des runes'!A:B,2,FALSE)))+1)/VLOOKUP(B5475,'Poids des runes'!A:B,2,FALSE))</f>
        <v>9.5</v>
      </c>
      <c r="F5475">
        <f t="shared" si="85"/>
        <v>9.5</v>
      </c>
    </row>
    <row r="5476" spans="1:6" x14ac:dyDescent="0.3">
      <c r="A5476" t="s">
        <v>1139</v>
      </c>
      <c r="B5476" t="s">
        <v>2153</v>
      </c>
      <c r="C5476">
        <v>6</v>
      </c>
      <c r="D5476">
        <v>155</v>
      </c>
      <c r="E5476">
        <f>IF(OR(B5476="vi",B5476="ii",B5476="pod"),(((D5476/100)*(C5476*VLOOKUP(B5476,'Poids des runes'!A:B,2,FALSE)))+1),(((D5476/100)*(C5476*VLOOKUP(B5476,'Poids des runes'!A:B,2,FALSE)))+1)/VLOOKUP(B5476,'Poids des runes'!A:B,2,FALSE))</f>
        <v>9.5</v>
      </c>
      <c r="F5476">
        <f t="shared" si="85"/>
        <v>9.5</v>
      </c>
    </row>
    <row r="5477" spans="1:6" x14ac:dyDescent="0.3">
      <c r="A5477" t="s">
        <v>1139</v>
      </c>
      <c r="B5477" t="s">
        <v>2161</v>
      </c>
      <c r="C5477">
        <v>8.5</v>
      </c>
      <c r="D5477">
        <v>155</v>
      </c>
      <c r="E5477">
        <f>IF(OR(B5477="vi",B5477="ii",B5477="pod"),(((D5477/100)*(C5477*VLOOKUP(B5477,'Poids des runes'!A:B,2,FALSE)))+1),(((D5477/100)*(C5477*VLOOKUP(B5477,'Poids des runes'!A:B,2,FALSE)))+1)/VLOOKUP(B5477,'Poids des runes'!A:B,2,FALSE))</f>
        <v>13.508333333333333</v>
      </c>
      <c r="F5477">
        <f t="shared" si="85"/>
        <v>13.508333333333333</v>
      </c>
    </row>
    <row r="5478" spans="1:6" x14ac:dyDescent="0.3">
      <c r="A5478" t="s">
        <v>1139</v>
      </c>
      <c r="B5478" t="s">
        <v>2132</v>
      </c>
      <c r="C5478">
        <v>150.5</v>
      </c>
      <c r="D5478">
        <v>155</v>
      </c>
      <c r="E5478">
        <f>IF(OR(B5478="vi",B5478="ii",B5478="pod"),(((D5478/100)*(C5478*VLOOKUP(B5478,'Poids des runes'!A:B,2,FALSE)))+1),(((D5478/100)*(C5478*VLOOKUP(B5478,'Poids des runes'!A:B,2,FALSE)))+1)/VLOOKUP(B5478,'Poids des runes'!A:B,2,FALSE))</f>
        <v>24.327500000000001</v>
      </c>
      <c r="F5478">
        <f t="shared" si="85"/>
        <v>24.327500000000001</v>
      </c>
    </row>
    <row r="5479" spans="1:6" x14ac:dyDescent="0.3">
      <c r="A5479" t="s">
        <v>1139</v>
      </c>
      <c r="B5479" t="s">
        <v>2138</v>
      </c>
      <c r="C5479">
        <v>2.5</v>
      </c>
      <c r="D5479">
        <v>155</v>
      </c>
      <c r="E5479">
        <f>IF(OR(B5479="vi",B5479="ii",B5479="pod"),(((D5479/100)*(C5479*VLOOKUP(B5479,'Poids des runes'!A:B,2,FALSE)))+1),(((D5479/100)*(C5479*VLOOKUP(B5479,'Poids des runes'!A:B,2,FALSE)))+1)/VLOOKUP(B5479,'Poids des runes'!A:B,2,FALSE))</f>
        <v>4.125</v>
      </c>
      <c r="F5479">
        <f t="shared" si="85"/>
        <v>4.125</v>
      </c>
    </row>
    <row r="5480" spans="1:6" x14ac:dyDescent="0.3">
      <c r="A5480" t="s">
        <v>1139</v>
      </c>
      <c r="B5480" t="s">
        <v>2163</v>
      </c>
      <c r="C5480">
        <v>10</v>
      </c>
      <c r="D5480">
        <v>155</v>
      </c>
      <c r="E5480">
        <f>IF(OR(B5480="vi",B5480="ii",B5480="pod"),(((D5480/100)*(C5480*VLOOKUP(B5480,'Poids des runes'!A:B,2,FALSE)))+1),(((D5480/100)*(C5480*VLOOKUP(B5480,'Poids des runes'!A:B,2,FALSE)))+1)/VLOOKUP(B5480,'Poids des runes'!A:B,2,FALSE))</f>
        <v>16</v>
      </c>
      <c r="F5480">
        <f t="shared" si="85"/>
        <v>16</v>
      </c>
    </row>
    <row r="5481" spans="1:6" x14ac:dyDescent="0.3">
      <c r="A5481" t="s">
        <v>1140</v>
      </c>
      <c r="B5481" t="s">
        <v>2128</v>
      </c>
      <c r="C5481">
        <v>175.5</v>
      </c>
      <c r="D5481">
        <v>156</v>
      </c>
      <c r="E5481">
        <f>IF(OR(B5481="vi",B5481="ii",B5481="pod"),(((D5481/100)*(C5481*VLOOKUP(B5481,'Poids des runes'!A:B,2,FALSE)))+1),(((D5481/100)*(C5481*VLOOKUP(B5481,'Poids des runes'!A:B,2,FALSE)))+1)/VLOOKUP(B5481,'Poids des runes'!A:B,2,FALSE))</f>
        <v>55.756000000000007</v>
      </c>
      <c r="F5481">
        <f t="shared" si="85"/>
        <v>55.756000000000007</v>
      </c>
    </row>
    <row r="5482" spans="1:6" x14ac:dyDescent="0.3">
      <c r="A5482" t="s">
        <v>1140</v>
      </c>
      <c r="B5482" t="s">
        <v>2130</v>
      </c>
      <c r="C5482">
        <v>35.5</v>
      </c>
      <c r="D5482">
        <v>156</v>
      </c>
      <c r="E5482">
        <f>IF(OR(B5482="vi",B5482="ii",B5482="pod"),(((D5482/100)*(C5482*VLOOKUP(B5482,'Poids des runes'!A:B,2,FALSE)))+1),(((D5482/100)*(C5482*VLOOKUP(B5482,'Poids des runes'!A:B,2,FALSE)))+1)/VLOOKUP(B5482,'Poids des runes'!A:B,2,FALSE))</f>
        <v>56.38</v>
      </c>
      <c r="F5482">
        <f t="shared" si="85"/>
        <v>56.38</v>
      </c>
    </row>
    <row r="5483" spans="1:6" x14ac:dyDescent="0.3">
      <c r="A5483" t="s">
        <v>1140</v>
      </c>
      <c r="B5483" t="s">
        <v>2131</v>
      </c>
      <c r="C5483">
        <v>35.5</v>
      </c>
      <c r="D5483">
        <v>156</v>
      </c>
      <c r="E5483">
        <f>IF(OR(B5483="vi",B5483="ii",B5483="pod"),(((D5483/100)*(C5483*VLOOKUP(B5483,'Poids des runes'!A:B,2,FALSE)))+1),(((D5483/100)*(C5483*VLOOKUP(B5483,'Poids des runes'!A:B,2,FALSE)))+1)/VLOOKUP(B5483,'Poids des runes'!A:B,2,FALSE))</f>
        <v>56.38</v>
      </c>
      <c r="F5483">
        <f t="shared" si="85"/>
        <v>56.38</v>
      </c>
    </row>
    <row r="5484" spans="1:6" x14ac:dyDescent="0.3">
      <c r="A5484" t="s">
        <v>1140</v>
      </c>
      <c r="B5484" t="s">
        <v>2127</v>
      </c>
      <c r="C5484">
        <v>35.5</v>
      </c>
      <c r="D5484">
        <v>156</v>
      </c>
      <c r="E5484">
        <f>IF(OR(B5484="vi",B5484="ii",B5484="pod"),(((D5484/100)*(C5484*VLOOKUP(B5484,'Poids des runes'!A:B,2,FALSE)))+1),(((D5484/100)*(C5484*VLOOKUP(B5484,'Poids des runes'!A:B,2,FALSE)))+1)/VLOOKUP(B5484,'Poids des runes'!A:B,2,FALSE))</f>
        <v>56.38</v>
      </c>
      <c r="F5484">
        <f t="shared" si="85"/>
        <v>56.38</v>
      </c>
    </row>
    <row r="5485" spans="1:6" x14ac:dyDescent="0.3">
      <c r="A5485" t="s">
        <v>1140</v>
      </c>
      <c r="B5485" t="s">
        <v>2129</v>
      </c>
      <c r="C5485">
        <v>25.5</v>
      </c>
      <c r="D5485">
        <v>156</v>
      </c>
      <c r="E5485">
        <f>IF(OR(B5485="vi",B5485="ii",B5485="pod"),(((D5485/100)*(C5485*VLOOKUP(B5485,'Poids des runes'!A:B,2,FALSE)))+1),(((D5485/100)*(C5485*VLOOKUP(B5485,'Poids des runes'!A:B,2,FALSE)))+1)/VLOOKUP(B5485,'Poids des runes'!A:B,2,FALSE))</f>
        <v>40.78</v>
      </c>
      <c r="F5485">
        <f t="shared" si="85"/>
        <v>40.78</v>
      </c>
    </row>
    <row r="5486" spans="1:6" x14ac:dyDescent="0.3">
      <c r="A5486" t="s">
        <v>1140</v>
      </c>
      <c r="B5486" t="s">
        <v>2139</v>
      </c>
      <c r="C5486">
        <v>25.5</v>
      </c>
      <c r="D5486">
        <v>156</v>
      </c>
      <c r="E5486">
        <f>IF(OR(B5486="vi",B5486="ii",B5486="pod"),(((D5486/100)*(C5486*VLOOKUP(B5486,'Poids des runes'!A:B,2,FALSE)))+1),(((D5486/100)*(C5486*VLOOKUP(B5486,'Poids des runes'!A:B,2,FALSE)))+1)/VLOOKUP(B5486,'Poids des runes'!A:B,2,FALSE))</f>
        <v>40.28</v>
      </c>
      <c r="F5486">
        <f t="shared" si="85"/>
        <v>40.28</v>
      </c>
    </row>
    <row r="5487" spans="1:6" x14ac:dyDescent="0.3">
      <c r="A5487" t="s">
        <v>1140</v>
      </c>
      <c r="B5487" t="s">
        <v>2151</v>
      </c>
      <c r="C5487">
        <v>4</v>
      </c>
      <c r="D5487">
        <v>156</v>
      </c>
      <c r="E5487">
        <f>IF(OR(B5487="vi",B5487="ii",B5487="pod"),(((D5487/100)*(C5487*VLOOKUP(B5487,'Poids des runes'!A:B,2,FALSE)))+1),(((D5487/100)*(C5487*VLOOKUP(B5487,'Poids des runes'!A:B,2,FALSE)))+1)/VLOOKUP(B5487,'Poids des runes'!A:B,2,FALSE))</f>
        <v>6.3400000000000007</v>
      </c>
      <c r="F5487">
        <f t="shared" si="85"/>
        <v>6.3400000000000007</v>
      </c>
    </row>
    <row r="5488" spans="1:6" x14ac:dyDescent="0.3">
      <c r="A5488" t="s">
        <v>1140</v>
      </c>
      <c r="B5488" t="s">
        <v>2134</v>
      </c>
      <c r="C5488">
        <v>8.5</v>
      </c>
      <c r="D5488">
        <v>156</v>
      </c>
      <c r="E5488">
        <f>IF(OR(B5488="vi",B5488="ii",B5488="pod"),(((D5488/100)*(C5488*VLOOKUP(B5488,'Poids des runes'!A:B,2,FALSE)))+1),(((D5488/100)*(C5488*VLOOKUP(B5488,'Poids des runes'!A:B,2,FALSE)))+1)/VLOOKUP(B5488,'Poids des runes'!A:B,2,FALSE))</f>
        <v>13.309999999999999</v>
      </c>
      <c r="F5488">
        <f t="shared" si="85"/>
        <v>13.309999999999999</v>
      </c>
    </row>
    <row r="5489" spans="1:6" x14ac:dyDescent="0.3">
      <c r="A5489" t="s">
        <v>1140</v>
      </c>
      <c r="B5489" t="s">
        <v>2161</v>
      </c>
      <c r="C5489">
        <v>13</v>
      </c>
      <c r="D5489">
        <v>156</v>
      </c>
      <c r="E5489">
        <f>IF(OR(B5489="vi",B5489="ii",B5489="pod"),(((D5489/100)*(C5489*VLOOKUP(B5489,'Poids des runes'!A:B,2,FALSE)))+1),(((D5489/100)*(C5489*VLOOKUP(B5489,'Poids des runes'!A:B,2,FALSE)))+1)/VLOOKUP(B5489,'Poids des runes'!A:B,2,FALSE))</f>
        <v>20.613333333333333</v>
      </c>
      <c r="F5489">
        <f t="shared" si="85"/>
        <v>20.613333333333333</v>
      </c>
    </row>
    <row r="5490" spans="1:6" x14ac:dyDescent="0.3">
      <c r="A5490" t="s">
        <v>1140</v>
      </c>
      <c r="B5490" t="s">
        <v>2141</v>
      </c>
      <c r="C5490">
        <v>5</v>
      </c>
      <c r="D5490">
        <v>156</v>
      </c>
      <c r="E5490">
        <f>IF(OR(B5490="vi",B5490="ii",B5490="pod"),(((D5490/100)*(C5490*VLOOKUP(B5490,'Poids des runes'!A:B,2,FALSE)))+1),(((D5490/100)*(C5490*VLOOKUP(B5490,'Poids des runes'!A:B,2,FALSE)))+1)/VLOOKUP(B5490,'Poids des runes'!A:B,2,FALSE))</f>
        <v>8.0500000000000007</v>
      </c>
      <c r="F5490">
        <f t="shared" si="85"/>
        <v>8.0500000000000007</v>
      </c>
    </row>
    <row r="5491" spans="1:6" x14ac:dyDescent="0.3">
      <c r="A5491" t="s">
        <v>1140</v>
      </c>
      <c r="B5491" t="s">
        <v>2157</v>
      </c>
      <c r="C5491">
        <v>6</v>
      </c>
      <c r="D5491">
        <v>156</v>
      </c>
      <c r="E5491">
        <f>IF(OR(B5491="vi",B5491="ii",B5491="pod"),(((D5491/100)*(C5491*VLOOKUP(B5491,'Poids des runes'!A:B,2,FALSE)))+1),(((D5491/100)*(C5491*VLOOKUP(B5491,'Poids des runes'!A:B,2,FALSE)))+1)/VLOOKUP(B5491,'Poids des runes'!A:B,2,FALSE))</f>
        <v>9.5266666666666673</v>
      </c>
      <c r="F5491">
        <f t="shared" si="85"/>
        <v>9.5266666666666673</v>
      </c>
    </row>
    <row r="5492" spans="1:6" x14ac:dyDescent="0.3">
      <c r="A5492" t="s">
        <v>1141</v>
      </c>
      <c r="B5492" t="s">
        <v>2128</v>
      </c>
      <c r="C5492">
        <v>175.5</v>
      </c>
      <c r="D5492">
        <v>156</v>
      </c>
      <c r="E5492">
        <f>IF(OR(B5492="vi",B5492="ii",B5492="pod"),(((D5492/100)*(C5492*VLOOKUP(B5492,'Poids des runes'!A:B,2,FALSE)))+1),(((D5492/100)*(C5492*VLOOKUP(B5492,'Poids des runes'!A:B,2,FALSE)))+1)/VLOOKUP(B5492,'Poids des runes'!A:B,2,FALSE))</f>
        <v>55.756000000000007</v>
      </c>
      <c r="F5492">
        <f t="shared" si="85"/>
        <v>55.756000000000007</v>
      </c>
    </row>
    <row r="5493" spans="1:6" x14ac:dyDescent="0.3">
      <c r="A5493" t="s">
        <v>1141</v>
      </c>
      <c r="B5493" t="s">
        <v>2129</v>
      </c>
      <c r="C5493">
        <v>35.5</v>
      </c>
      <c r="D5493">
        <v>156</v>
      </c>
      <c r="E5493">
        <f>IF(OR(B5493="vi",B5493="ii",B5493="pod"),(((D5493/100)*(C5493*VLOOKUP(B5493,'Poids des runes'!A:B,2,FALSE)))+1),(((D5493/100)*(C5493*VLOOKUP(B5493,'Poids des runes'!A:B,2,FALSE)))+1)/VLOOKUP(B5493,'Poids des runes'!A:B,2,FALSE))</f>
        <v>56.38</v>
      </c>
      <c r="F5493">
        <f t="shared" si="85"/>
        <v>56.38</v>
      </c>
    </row>
    <row r="5494" spans="1:6" x14ac:dyDescent="0.3">
      <c r="A5494" t="s">
        <v>1141</v>
      </c>
      <c r="B5494" t="s">
        <v>2139</v>
      </c>
      <c r="C5494">
        <v>30.5</v>
      </c>
      <c r="D5494">
        <v>156</v>
      </c>
      <c r="E5494">
        <f>IF(OR(B5494="vi",B5494="ii",B5494="pod"),(((D5494/100)*(C5494*VLOOKUP(B5494,'Poids des runes'!A:B,2,FALSE)))+1),(((D5494/100)*(C5494*VLOOKUP(B5494,'Poids des runes'!A:B,2,FALSE)))+1)/VLOOKUP(B5494,'Poids des runes'!A:B,2,FALSE))</f>
        <v>48.08</v>
      </c>
      <c r="F5494">
        <f t="shared" si="85"/>
        <v>48.08</v>
      </c>
    </row>
    <row r="5495" spans="1:6" x14ac:dyDescent="0.3">
      <c r="A5495" t="s">
        <v>1141</v>
      </c>
      <c r="B5495" t="s">
        <v>2151</v>
      </c>
      <c r="C5495">
        <v>4.5</v>
      </c>
      <c r="D5495">
        <v>156</v>
      </c>
      <c r="E5495">
        <f>IF(OR(B5495="vi",B5495="ii",B5495="pod"),(((D5495/100)*(C5495*VLOOKUP(B5495,'Poids des runes'!A:B,2,FALSE)))+1),(((D5495/100)*(C5495*VLOOKUP(B5495,'Poids des runes'!A:B,2,FALSE)))+1)/VLOOKUP(B5495,'Poids des runes'!A:B,2,FALSE))</f>
        <v>7.12</v>
      </c>
      <c r="F5495">
        <f t="shared" si="85"/>
        <v>7.12</v>
      </c>
    </row>
    <row r="5496" spans="1:6" x14ac:dyDescent="0.3">
      <c r="A5496" t="s">
        <v>1141</v>
      </c>
      <c r="B5496" t="s">
        <v>2155</v>
      </c>
      <c r="C5496">
        <v>2</v>
      </c>
      <c r="D5496">
        <v>156</v>
      </c>
      <c r="E5496">
        <f>IF(OR(B5496="vi",B5496="ii",B5496="pod"),(((D5496/100)*(C5496*VLOOKUP(B5496,'Poids des runes'!A:B,2,FALSE)))+1),(((D5496/100)*(C5496*VLOOKUP(B5496,'Poids des runes'!A:B,2,FALSE)))+1)/VLOOKUP(B5496,'Poids des runes'!A:B,2,FALSE))</f>
        <v>3.1396078431372549</v>
      </c>
      <c r="F5496">
        <f t="shared" si="85"/>
        <v>3.1396078431372549</v>
      </c>
    </row>
    <row r="5497" spans="1:6" x14ac:dyDescent="0.3">
      <c r="A5497" t="s">
        <v>1141</v>
      </c>
      <c r="B5497" t="s">
        <v>2140</v>
      </c>
      <c r="C5497">
        <v>6.5</v>
      </c>
      <c r="D5497">
        <v>156</v>
      </c>
      <c r="E5497">
        <f>IF(OR(B5497="vi",B5497="ii",B5497="pod"),(((D5497/100)*(C5497*VLOOKUP(B5497,'Poids des runes'!A:B,2,FALSE)))+1),(((D5497/100)*(C5497*VLOOKUP(B5497,'Poids des runes'!A:B,2,FALSE)))+1)/VLOOKUP(B5497,'Poids des runes'!A:B,2,FALSE))</f>
        <v>10.34</v>
      </c>
      <c r="F5497">
        <f t="shared" si="85"/>
        <v>10.34</v>
      </c>
    </row>
    <row r="5498" spans="1:6" x14ac:dyDescent="0.3">
      <c r="A5498" t="s">
        <v>1141</v>
      </c>
      <c r="B5498" t="s">
        <v>2149</v>
      </c>
      <c r="C5498">
        <v>10.5</v>
      </c>
      <c r="D5498">
        <v>156</v>
      </c>
      <c r="E5498">
        <f>IF(OR(B5498="vi",B5498="ii",B5498="pod"),(((D5498/100)*(C5498*VLOOKUP(B5498,'Poids des runes'!A:B,2,FALSE)))+1),(((D5498/100)*(C5498*VLOOKUP(B5498,'Poids des runes'!A:B,2,FALSE)))+1)/VLOOKUP(B5498,'Poids des runes'!A:B,2,FALSE))</f>
        <v>16.48</v>
      </c>
      <c r="F5498">
        <f t="shared" si="85"/>
        <v>16.48</v>
      </c>
    </row>
    <row r="5499" spans="1:6" x14ac:dyDescent="0.3">
      <c r="A5499" t="s">
        <v>1141</v>
      </c>
      <c r="B5499" t="s">
        <v>2161</v>
      </c>
      <c r="C5499">
        <v>13</v>
      </c>
      <c r="D5499">
        <v>156</v>
      </c>
      <c r="E5499">
        <f>IF(OR(B5499="vi",B5499="ii",B5499="pod"),(((D5499/100)*(C5499*VLOOKUP(B5499,'Poids des runes'!A:B,2,FALSE)))+1),(((D5499/100)*(C5499*VLOOKUP(B5499,'Poids des runes'!A:B,2,FALSE)))+1)/VLOOKUP(B5499,'Poids des runes'!A:B,2,FALSE))</f>
        <v>20.613333333333333</v>
      </c>
      <c r="F5499">
        <f t="shared" si="85"/>
        <v>20.613333333333333</v>
      </c>
    </row>
    <row r="5500" spans="1:6" x14ac:dyDescent="0.3">
      <c r="A5500" t="s">
        <v>1141</v>
      </c>
      <c r="B5500" t="s">
        <v>2164</v>
      </c>
      <c r="C5500">
        <v>8.5</v>
      </c>
      <c r="D5500">
        <v>156</v>
      </c>
      <c r="E5500">
        <f>IF(OR(B5500="vi",B5500="ii",B5500="pod"),(((D5500/100)*(C5500*VLOOKUP(B5500,'Poids des runes'!A:B,2,FALSE)))+1),(((D5500/100)*(C5500*VLOOKUP(B5500,'Poids des runes'!A:B,2,FALSE)))+1)/VLOOKUP(B5500,'Poids des runes'!A:B,2,FALSE))</f>
        <v>13.76</v>
      </c>
      <c r="F5500">
        <f t="shared" si="85"/>
        <v>13.76</v>
      </c>
    </row>
    <row r="5501" spans="1:6" x14ac:dyDescent="0.3">
      <c r="A5501" t="s">
        <v>1141</v>
      </c>
      <c r="B5501" t="s">
        <v>2157</v>
      </c>
      <c r="C5501">
        <v>6</v>
      </c>
      <c r="D5501">
        <v>156</v>
      </c>
      <c r="E5501">
        <f>IF(OR(B5501="vi",B5501="ii",B5501="pod"),(((D5501/100)*(C5501*VLOOKUP(B5501,'Poids des runes'!A:B,2,FALSE)))+1),(((D5501/100)*(C5501*VLOOKUP(B5501,'Poids des runes'!A:B,2,FALSE)))+1)/VLOOKUP(B5501,'Poids des runes'!A:B,2,FALSE))</f>
        <v>9.5266666666666673</v>
      </c>
      <c r="F5501">
        <f t="shared" si="85"/>
        <v>9.5266666666666673</v>
      </c>
    </row>
    <row r="5502" spans="1:6" x14ac:dyDescent="0.3">
      <c r="A5502" t="s">
        <v>1142</v>
      </c>
      <c r="B5502" t="s">
        <v>2128</v>
      </c>
      <c r="C5502">
        <v>175.5</v>
      </c>
      <c r="D5502">
        <v>156</v>
      </c>
      <c r="E5502">
        <f>IF(OR(B5502="vi",B5502="ii",B5502="pod"),(((D5502/100)*(C5502*VLOOKUP(B5502,'Poids des runes'!A:B,2,FALSE)))+1),(((D5502/100)*(C5502*VLOOKUP(B5502,'Poids des runes'!A:B,2,FALSE)))+1)/VLOOKUP(B5502,'Poids des runes'!A:B,2,FALSE))</f>
        <v>55.756000000000007</v>
      </c>
      <c r="F5502">
        <f t="shared" si="85"/>
        <v>55.756000000000007</v>
      </c>
    </row>
    <row r="5503" spans="1:6" x14ac:dyDescent="0.3">
      <c r="A5503" t="s">
        <v>1142</v>
      </c>
      <c r="B5503" t="s">
        <v>2130</v>
      </c>
      <c r="C5503">
        <v>40.5</v>
      </c>
      <c r="D5503">
        <v>156</v>
      </c>
      <c r="E5503">
        <f>IF(OR(B5503="vi",B5503="ii",B5503="pod"),(((D5503/100)*(C5503*VLOOKUP(B5503,'Poids des runes'!A:B,2,FALSE)))+1),(((D5503/100)*(C5503*VLOOKUP(B5503,'Poids des runes'!A:B,2,FALSE)))+1)/VLOOKUP(B5503,'Poids des runes'!A:B,2,FALSE))</f>
        <v>64.180000000000007</v>
      </c>
      <c r="F5503">
        <f t="shared" si="85"/>
        <v>64.180000000000007</v>
      </c>
    </row>
    <row r="5504" spans="1:6" x14ac:dyDescent="0.3">
      <c r="A5504" t="s">
        <v>1142</v>
      </c>
      <c r="B5504" t="s">
        <v>2127</v>
      </c>
      <c r="C5504">
        <v>40.5</v>
      </c>
      <c r="D5504">
        <v>156</v>
      </c>
      <c r="E5504">
        <f>IF(OR(B5504="vi",B5504="ii",B5504="pod"),(((D5504/100)*(C5504*VLOOKUP(B5504,'Poids des runes'!A:B,2,FALSE)))+1),(((D5504/100)*(C5504*VLOOKUP(B5504,'Poids des runes'!A:B,2,FALSE)))+1)/VLOOKUP(B5504,'Poids des runes'!A:B,2,FALSE))</f>
        <v>64.180000000000007</v>
      </c>
      <c r="F5504">
        <f t="shared" si="85"/>
        <v>64.180000000000007</v>
      </c>
    </row>
    <row r="5505" spans="1:6" x14ac:dyDescent="0.3">
      <c r="A5505" t="s">
        <v>1142</v>
      </c>
      <c r="B5505" t="s">
        <v>2129</v>
      </c>
      <c r="C5505">
        <v>35.5</v>
      </c>
      <c r="D5505">
        <v>156</v>
      </c>
      <c r="E5505">
        <f>IF(OR(B5505="vi",B5505="ii",B5505="pod"),(((D5505/100)*(C5505*VLOOKUP(B5505,'Poids des runes'!A:B,2,FALSE)))+1),(((D5505/100)*(C5505*VLOOKUP(B5505,'Poids des runes'!A:B,2,FALSE)))+1)/VLOOKUP(B5505,'Poids des runes'!A:B,2,FALSE))</f>
        <v>56.38</v>
      </c>
      <c r="F5505">
        <f t="shared" si="85"/>
        <v>56.38</v>
      </c>
    </row>
    <row r="5506" spans="1:6" x14ac:dyDescent="0.3">
      <c r="A5506" t="s">
        <v>1142</v>
      </c>
      <c r="B5506" t="s">
        <v>2143</v>
      </c>
      <c r="C5506">
        <v>8.5</v>
      </c>
      <c r="D5506">
        <v>156</v>
      </c>
      <c r="E5506">
        <f>IF(OR(B5506="vi",B5506="ii",B5506="pod"),(((D5506/100)*(C5506*VLOOKUP(B5506,'Poids des runes'!A:B,2,FALSE)))+1),(((D5506/100)*(C5506*VLOOKUP(B5506,'Poids des runes'!A:B,2,FALSE)))+1)/VLOOKUP(B5506,'Poids des runes'!A:B,2,FALSE))</f>
        <v>13.459999999999999</v>
      </c>
      <c r="F5506">
        <f t="shared" si="85"/>
        <v>13.459999999999999</v>
      </c>
    </row>
    <row r="5507" spans="1:6" x14ac:dyDescent="0.3">
      <c r="A5507" t="s">
        <v>1142</v>
      </c>
      <c r="B5507" t="s">
        <v>2153</v>
      </c>
      <c r="C5507">
        <v>8.5</v>
      </c>
      <c r="D5507">
        <v>156</v>
      </c>
      <c r="E5507">
        <f>IF(OR(B5507="vi",B5507="ii",B5507="pod"),(((D5507/100)*(C5507*VLOOKUP(B5507,'Poids des runes'!A:B,2,FALSE)))+1),(((D5507/100)*(C5507*VLOOKUP(B5507,'Poids des runes'!A:B,2,FALSE)))+1)/VLOOKUP(B5507,'Poids des runes'!A:B,2,FALSE))</f>
        <v>13.459999999999999</v>
      </c>
      <c r="F5507">
        <f t="shared" ref="F5507:F5570" si="86">E5507</f>
        <v>13.459999999999999</v>
      </c>
    </row>
    <row r="5508" spans="1:6" x14ac:dyDescent="0.3">
      <c r="A5508" t="s">
        <v>1142</v>
      </c>
      <c r="B5508" t="s">
        <v>2161</v>
      </c>
      <c r="C5508">
        <v>18</v>
      </c>
      <c r="D5508">
        <v>156</v>
      </c>
      <c r="E5508">
        <f>IF(OR(B5508="vi",B5508="ii",B5508="pod"),(((D5508/100)*(C5508*VLOOKUP(B5508,'Poids des runes'!A:B,2,FALSE)))+1),(((D5508/100)*(C5508*VLOOKUP(B5508,'Poids des runes'!A:B,2,FALSE)))+1)/VLOOKUP(B5508,'Poids des runes'!A:B,2,FALSE))</f>
        <v>28.413333333333338</v>
      </c>
      <c r="F5508">
        <f t="shared" si="86"/>
        <v>28.413333333333338</v>
      </c>
    </row>
    <row r="5509" spans="1:6" x14ac:dyDescent="0.3">
      <c r="A5509" t="s">
        <v>1142</v>
      </c>
      <c r="B5509" t="s">
        <v>2132</v>
      </c>
      <c r="C5509">
        <v>350.5</v>
      </c>
      <c r="D5509">
        <v>156</v>
      </c>
      <c r="E5509">
        <f>IF(OR(B5509="vi",B5509="ii",B5509="pod"),(((D5509/100)*(C5509*VLOOKUP(B5509,'Poids des runes'!A:B,2,FALSE)))+1),(((D5509/100)*(C5509*VLOOKUP(B5509,'Poids des runes'!A:B,2,FALSE)))+1)/VLOOKUP(B5509,'Poids des runes'!A:B,2,FALSE))</f>
        <v>55.678000000000011</v>
      </c>
      <c r="F5509">
        <f t="shared" si="86"/>
        <v>55.678000000000011</v>
      </c>
    </row>
    <row r="5510" spans="1:6" x14ac:dyDescent="0.3">
      <c r="A5510" t="s">
        <v>1142</v>
      </c>
      <c r="B5510" t="s">
        <v>2141</v>
      </c>
      <c r="C5510">
        <v>4.5</v>
      </c>
      <c r="D5510">
        <v>156</v>
      </c>
      <c r="E5510">
        <f>IF(OR(B5510="vi",B5510="ii",B5510="pod"),(((D5510/100)*(C5510*VLOOKUP(B5510,'Poids des runes'!A:B,2,FALSE)))+1),(((D5510/100)*(C5510*VLOOKUP(B5510,'Poids des runes'!A:B,2,FALSE)))+1)/VLOOKUP(B5510,'Poids des runes'!A:B,2,FALSE))</f>
        <v>7.2700000000000005</v>
      </c>
      <c r="F5510">
        <f t="shared" si="86"/>
        <v>7.2700000000000005</v>
      </c>
    </row>
    <row r="5511" spans="1:6" x14ac:dyDescent="0.3">
      <c r="A5511" t="s">
        <v>1142</v>
      </c>
      <c r="B5511" t="s">
        <v>2163</v>
      </c>
      <c r="C5511">
        <v>13</v>
      </c>
      <c r="D5511">
        <v>156</v>
      </c>
      <c r="E5511">
        <f>IF(OR(B5511="vi",B5511="ii",B5511="pod"),(((D5511/100)*(C5511*VLOOKUP(B5511,'Poids des runes'!A:B,2,FALSE)))+1),(((D5511/100)*(C5511*VLOOKUP(B5511,'Poids des runes'!A:B,2,FALSE)))+1)/VLOOKUP(B5511,'Poids des runes'!A:B,2,FALSE))</f>
        <v>20.78</v>
      </c>
      <c r="F5511">
        <f t="shared" si="86"/>
        <v>20.78</v>
      </c>
    </row>
    <row r="5512" spans="1:6" x14ac:dyDescent="0.3">
      <c r="A5512" t="s">
        <v>1142</v>
      </c>
      <c r="B5512" t="s">
        <v>2135</v>
      </c>
      <c r="C5512">
        <v>7</v>
      </c>
      <c r="D5512">
        <v>156</v>
      </c>
      <c r="E5512">
        <f>IF(OR(B5512="vi",B5512="ii",B5512="pod"),(((D5512/100)*(C5512*VLOOKUP(B5512,'Poids des runes'!A:B,2,FALSE)))+1),(((D5512/100)*(C5512*VLOOKUP(B5512,'Poids des runes'!A:B,2,FALSE)))+1)/VLOOKUP(B5512,'Poids des runes'!A:B,2,FALSE))</f>
        <v>11.086666666666666</v>
      </c>
      <c r="F5512">
        <f t="shared" si="86"/>
        <v>11.086666666666666</v>
      </c>
    </row>
    <row r="5513" spans="1:6" x14ac:dyDescent="0.3">
      <c r="A5513" t="s">
        <v>1143</v>
      </c>
      <c r="B5513" t="s">
        <v>2128</v>
      </c>
      <c r="C5513">
        <v>225.5</v>
      </c>
      <c r="D5513">
        <v>156</v>
      </c>
      <c r="E5513">
        <f>IF(OR(B5513="vi",B5513="ii",B5513="pod"),(((D5513/100)*(C5513*VLOOKUP(B5513,'Poids des runes'!A:B,2,FALSE)))+1),(((D5513/100)*(C5513*VLOOKUP(B5513,'Poids des runes'!A:B,2,FALSE)))+1)/VLOOKUP(B5513,'Poids des runes'!A:B,2,FALSE))</f>
        <v>71.356000000000009</v>
      </c>
      <c r="F5513">
        <f t="shared" si="86"/>
        <v>71.356000000000009</v>
      </c>
    </row>
    <row r="5514" spans="1:6" x14ac:dyDescent="0.3">
      <c r="A5514" t="s">
        <v>1143</v>
      </c>
      <c r="B5514" t="s">
        <v>2126</v>
      </c>
      <c r="C5514">
        <v>40.5</v>
      </c>
      <c r="D5514">
        <v>156</v>
      </c>
      <c r="E5514">
        <f>IF(OR(B5514="vi",B5514="ii",B5514="pod"),(((D5514/100)*(C5514*VLOOKUP(B5514,'Poids des runes'!A:B,2,FALSE)))+1),(((D5514/100)*(C5514*VLOOKUP(B5514,'Poids des runes'!A:B,2,FALSE)))+1)/VLOOKUP(B5514,'Poids des runes'!A:B,2,FALSE))</f>
        <v>64.180000000000007</v>
      </c>
      <c r="F5514">
        <f t="shared" si="86"/>
        <v>64.180000000000007</v>
      </c>
    </row>
    <row r="5515" spans="1:6" x14ac:dyDescent="0.3">
      <c r="A5515" t="s">
        <v>1143</v>
      </c>
      <c r="B5515" t="s">
        <v>2131</v>
      </c>
      <c r="C5515">
        <v>40.5</v>
      </c>
      <c r="D5515">
        <v>156</v>
      </c>
      <c r="E5515">
        <f>IF(OR(B5515="vi",B5515="ii",B5515="pod"),(((D5515/100)*(C5515*VLOOKUP(B5515,'Poids des runes'!A:B,2,FALSE)))+1),(((D5515/100)*(C5515*VLOOKUP(B5515,'Poids des runes'!A:B,2,FALSE)))+1)/VLOOKUP(B5515,'Poids des runes'!A:B,2,FALSE))</f>
        <v>64.180000000000007</v>
      </c>
      <c r="F5515">
        <f t="shared" si="86"/>
        <v>64.180000000000007</v>
      </c>
    </row>
    <row r="5516" spans="1:6" x14ac:dyDescent="0.3">
      <c r="A5516" t="s">
        <v>1143</v>
      </c>
      <c r="B5516" t="s">
        <v>2129</v>
      </c>
      <c r="C5516">
        <v>20.5</v>
      </c>
      <c r="D5516">
        <v>156</v>
      </c>
      <c r="E5516">
        <f>IF(OR(B5516="vi",B5516="ii",B5516="pod"),(((D5516/100)*(C5516*VLOOKUP(B5516,'Poids des runes'!A:B,2,FALSE)))+1),(((D5516/100)*(C5516*VLOOKUP(B5516,'Poids des runes'!A:B,2,FALSE)))+1)/VLOOKUP(B5516,'Poids des runes'!A:B,2,FALSE))</f>
        <v>32.980000000000004</v>
      </c>
      <c r="F5516">
        <f t="shared" si="86"/>
        <v>32.980000000000004</v>
      </c>
    </row>
    <row r="5517" spans="1:6" x14ac:dyDescent="0.3">
      <c r="A5517" t="s">
        <v>1143</v>
      </c>
      <c r="B5517" t="s">
        <v>2151</v>
      </c>
      <c r="C5517">
        <v>3.5</v>
      </c>
      <c r="D5517">
        <v>156</v>
      </c>
      <c r="E5517">
        <f>IF(OR(B5517="vi",B5517="ii",B5517="pod"),(((D5517/100)*(C5517*VLOOKUP(B5517,'Poids des runes'!A:B,2,FALSE)))+1),(((D5517/100)*(C5517*VLOOKUP(B5517,'Poids des runes'!A:B,2,FALSE)))+1)/VLOOKUP(B5517,'Poids des runes'!A:B,2,FALSE))</f>
        <v>5.5600000000000005</v>
      </c>
      <c r="F5517">
        <f t="shared" si="86"/>
        <v>5.5600000000000005</v>
      </c>
    </row>
    <row r="5518" spans="1:6" x14ac:dyDescent="0.3">
      <c r="A5518" t="s">
        <v>1143</v>
      </c>
      <c r="B5518" t="s">
        <v>2134</v>
      </c>
      <c r="C5518">
        <v>8</v>
      </c>
      <c r="D5518">
        <v>156</v>
      </c>
      <c r="E5518">
        <f>IF(OR(B5518="vi",B5518="ii",B5518="pod"),(((D5518/100)*(C5518*VLOOKUP(B5518,'Poids des runes'!A:B,2,FALSE)))+1),(((D5518/100)*(C5518*VLOOKUP(B5518,'Poids des runes'!A:B,2,FALSE)))+1)/VLOOKUP(B5518,'Poids des runes'!A:B,2,FALSE))</f>
        <v>12.530000000000001</v>
      </c>
      <c r="F5518">
        <f t="shared" si="86"/>
        <v>12.530000000000001</v>
      </c>
    </row>
    <row r="5519" spans="1:6" x14ac:dyDescent="0.3">
      <c r="A5519" t="s">
        <v>1143</v>
      </c>
      <c r="B5519" t="s">
        <v>2161</v>
      </c>
      <c r="C5519">
        <v>23</v>
      </c>
      <c r="D5519">
        <v>156</v>
      </c>
      <c r="E5519">
        <f>IF(OR(B5519="vi",B5519="ii",B5519="pod"),(((D5519/100)*(C5519*VLOOKUP(B5519,'Poids des runes'!A:B,2,FALSE)))+1),(((D5519/100)*(C5519*VLOOKUP(B5519,'Poids des runes'!A:B,2,FALSE)))+1)/VLOOKUP(B5519,'Poids des runes'!A:B,2,FALSE))</f>
        <v>36.213333333333331</v>
      </c>
      <c r="F5519">
        <f t="shared" si="86"/>
        <v>36.213333333333331</v>
      </c>
    </row>
    <row r="5520" spans="1:6" x14ac:dyDescent="0.3">
      <c r="A5520" t="s">
        <v>1144</v>
      </c>
      <c r="B5520" t="s">
        <v>2128</v>
      </c>
      <c r="C5520">
        <v>175.5</v>
      </c>
      <c r="D5520">
        <v>156</v>
      </c>
      <c r="E5520">
        <f>IF(OR(B5520="vi",B5520="ii",B5520="pod"),(((D5520/100)*(C5520*VLOOKUP(B5520,'Poids des runes'!A:B,2,FALSE)))+1),(((D5520/100)*(C5520*VLOOKUP(B5520,'Poids des runes'!A:B,2,FALSE)))+1)/VLOOKUP(B5520,'Poids des runes'!A:B,2,FALSE))</f>
        <v>55.756000000000007</v>
      </c>
      <c r="F5520">
        <f t="shared" si="86"/>
        <v>55.756000000000007</v>
      </c>
    </row>
    <row r="5521" spans="1:6" x14ac:dyDescent="0.3">
      <c r="A5521" t="s">
        <v>1144</v>
      </c>
      <c r="B5521" t="s">
        <v>2130</v>
      </c>
      <c r="C5521">
        <v>25.5</v>
      </c>
      <c r="D5521">
        <v>156</v>
      </c>
      <c r="E5521">
        <f>IF(OR(B5521="vi",B5521="ii",B5521="pod"),(((D5521/100)*(C5521*VLOOKUP(B5521,'Poids des runes'!A:B,2,FALSE)))+1),(((D5521/100)*(C5521*VLOOKUP(B5521,'Poids des runes'!A:B,2,FALSE)))+1)/VLOOKUP(B5521,'Poids des runes'!A:B,2,FALSE))</f>
        <v>40.78</v>
      </c>
      <c r="F5521">
        <f t="shared" si="86"/>
        <v>40.78</v>
      </c>
    </row>
    <row r="5522" spans="1:6" x14ac:dyDescent="0.3">
      <c r="A5522" t="s">
        <v>1144</v>
      </c>
      <c r="B5522" t="s">
        <v>2129</v>
      </c>
      <c r="C5522">
        <v>35.5</v>
      </c>
      <c r="D5522">
        <v>156</v>
      </c>
      <c r="E5522">
        <f>IF(OR(B5522="vi",B5522="ii",B5522="pod"),(((D5522/100)*(C5522*VLOOKUP(B5522,'Poids des runes'!A:B,2,FALSE)))+1),(((D5522/100)*(C5522*VLOOKUP(B5522,'Poids des runes'!A:B,2,FALSE)))+1)/VLOOKUP(B5522,'Poids des runes'!A:B,2,FALSE))</f>
        <v>56.38</v>
      </c>
      <c r="F5522">
        <f t="shared" si="86"/>
        <v>56.38</v>
      </c>
    </row>
    <row r="5523" spans="1:6" x14ac:dyDescent="0.3">
      <c r="A5523" t="s">
        <v>1144</v>
      </c>
      <c r="B5523" t="s">
        <v>2139</v>
      </c>
      <c r="C5523">
        <v>25.5</v>
      </c>
      <c r="D5523">
        <v>156</v>
      </c>
      <c r="E5523">
        <f>IF(OR(B5523="vi",B5523="ii",B5523="pod"),(((D5523/100)*(C5523*VLOOKUP(B5523,'Poids des runes'!A:B,2,FALSE)))+1),(((D5523/100)*(C5523*VLOOKUP(B5523,'Poids des runes'!A:B,2,FALSE)))+1)/VLOOKUP(B5523,'Poids des runes'!A:B,2,FALSE))</f>
        <v>40.28</v>
      </c>
      <c r="F5523">
        <f t="shared" si="86"/>
        <v>40.28</v>
      </c>
    </row>
    <row r="5524" spans="1:6" x14ac:dyDescent="0.3">
      <c r="A5524" t="s">
        <v>1144</v>
      </c>
      <c r="B5524" t="s">
        <v>2154</v>
      </c>
      <c r="C5524">
        <v>1</v>
      </c>
      <c r="D5524">
        <v>156</v>
      </c>
      <c r="E5524">
        <f>IF(OR(B5524="vi",B5524="ii",B5524="pod"),(((D5524/100)*(C5524*VLOOKUP(B5524,'Poids des runes'!A:B,2,FALSE)))+1),(((D5524/100)*(C5524*VLOOKUP(B5524,'Poids des runes'!A:B,2,FALSE)))+1)/VLOOKUP(B5524,'Poids des runes'!A:B,2,FALSE))</f>
        <v>1.5711111111111111</v>
      </c>
      <c r="F5524">
        <f t="shared" si="86"/>
        <v>1.5711111111111111</v>
      </c>
    </row>
    <row r="5525" spans="1:6" x14ac:dyDescent="0.3">
      <c r="A5525" t="s">
        <v>1144</v>
      </c>
      <c r="B5525" t="s">
        <v>2155</v>
      </c>
      <c r="C5525">
        <v>1</v>
      </c>
      <c r="D5525">
        <v>156</v>
      </c>
      <c r="E5525">
        <f>IF(OR(B5525="vi",B5525="ii",B5525="pod"),(((D5525/100)*(C5525*VLOOKUP(B5525,'Poids des runes'!A:B,2,FALSE)))+1),(((D5525/100)*(C5525*VLOOKUP(B5525,'Poids des runes'!A:B,2,FALSE)))+1)/VLOOKUP(B5525,'Poids des runes'!A:B,2,FALSE))</f>
        <v>1.5796078431372549</v>
      </c>
      <c r="F5525">
        <f t="shared" si="86"/>
        <v>1.5796078431372549</v>
      </c>
    </row>
    <row r="5526" spans="1:6" x14ac:dyDescent="0.3">
      <c r="A5526" t="s">
        <v>1144</v>
      </c>
      <c r="B5526" t="s">
        <v>2143</v>
      </c>
      <c r="C5526">
        <v>8.5</v>
      </c>
      <c r="D5526">
        <v>156</v>
      </c>
      <c r="E5526">
        <f>IF(OR(B5526="vi",B5526="ii",B5526="pod"),(((D5526/100)*(C5526*VLOOKUP(B5526,'Poids des runes'!A:B,2,FALSE)))+1),(((D5526/100)*(C5526*VLOOKUP(B5526,'Poids des runes'!A:B,2,FALSE)))+1)/VLOOKUP(B5526,'Poids des runes'!A:B,2,FALSE))</f>
        <v>13.459999999999999</v>
      </c>
      <c r="F5526">
        <f t="shared" si="86"/>
        <v>13.459999999999999</v>
      </c>
    </row>
    <row r="5527" spans="1:6" x14ac:dyDescent="0.3">
      <c r="A5527" t="s">
        <v>1144</v>
      </c>
      <c r="B5527" t="s">
        <v>2153</v>
      </c>
      <c r="C5527">
        <v>8.5</v>
      </c>
      <c r="D5527">
        <v>156</v>
      </c>
      <c r="E5527">
        <f>IF(OR(B5527="vi",B5527="ii",B5527="pod"),(((D5527/100)*(C5527*VLOOKUP(B5527,'Poids des runes'!A:B,2,FALSE)))+1),(((D5527/100)*(C5527*VLOOKUP(B5527,'Poids des runes'!A:B,2,FALSE)))+1)/VLOOKUP(B5527,'Poids des runes'!A:B,2,FALSE))</f>
        <v>13.459999999999999</v>
      </c>
      <c r="F5527">
        <f t="shared" si="86"/>
        <v>13.459999999999999</v>
      </c>
    </row>
    <row r="5528" spans="1:6" x14ac:dyDescent="0.3">
      <c r="A5528" t="s">
        <v>1144</v>
      </c>
      <c r="B5528" t="s">
        <v>2161</v>
      </c>
      <c r="C5528">
        <v>13</v>
      </c>
      <c r="D5528">
        <v>156</v>
      </c>
      <c r="E5528">
        <f>IF(OR(B5528="vi",B5528="ii",B5528="pod"),(((D5528/100)*(C5528*VLOOKUP(B5528,'Poids des runes'!A:B,2,FALSE)))+1),(((D5528/100)*(C5528*VLOOKUP(B5528,'Poids des runes'!A:B,2,FALSE)))+1)/VLOOKUP(B5528,'Poids des runes'!A:B,2,FALSE))</f>
        <v>20.613333333333333</v>
      </c>
      <c r="F5528">
        <f t="shared" si="86"/>
        <v>20.613333333333333</v>
      </c>
    </row>
    <row r="5529" spans="1:6" x14ac:dyDescent="0.3">
      <c r="A5529" t="s">
        <v>1144</v>
      </c>
      <c r="B5529" t="s">
        <v>2138</v>
      </c>
      <c r="C5529">
        <v>4.5</v>
      </c>
      <c r="D5529">
        <v>156</v>
      </c>
      <c r="E5529">
        <f>IF(OR(B5529="vi",B5529="ii",B5529="pod"),(((D5529/100)*(C5529*VLOOKUP(B5529,'Poids des runes'!A:B,2,FALSE)))+1),(((D5529/100)*(C5529*VLOOKUP(B5529,'Poids des runes'!A:B,2,FALSE)))+1)/VLOOKUP(B5529,'Poids des runes'!A:B,2,FALSE))</f>
        <v>7.2700000000000005</v>
      </c>
      <c r="F5529">
        <f t="shared" si="86"/>
        <v>7.2700000000000005</v>
      </c>
    </row>
    <row r="5530" spans="1:6" x14ac:dyDescent="0.3">
      <c r="A5530" t="s">
        <v>1144</v>
      </c>
      <c r="B5530" t="s">
        <v>2165</v>
      </c>
      <c r="C5530">
        <v>3.5</v>
      </c>
      <c r="D5530">
        <v>156</v>
      </c>
      <c r="E5530">
        <f>IF(OR(B5530="vi",B5530="ii",B5530="pod"),(((D5530/100)*(C5530*VLOOKUP(B5530,'Poids des runes'!A:B,2,FALSE)))+1),(((D5530/100)*(C5530*VLOOKUP(B5530,'Poids des runes'!A:B,2,FALSE)))+1)/VLOOKUP(B5530,'Poids des runes'!A:B,2,FALSE))</f>
        <v>5.6028571428571423</v>
      </c>
      <c r="F5530">
        <f t="shared" si="86"/>
        <v>5.6028571428571423</v>
      </c>
    </row>
    <row r="5531" spans="1:6" x14ac:dyDescent="0.3">
      <c r="A5531" t="s">
        <v>1144</v>
      </c>
      <c r="B5531" t="s">
        <v>2145</v>
      </c>
      <c r="C5531">
        <v>8.5</v>
      </c>
      <c r="D5531">
        <v>156</v>
      </c>
      <c r="E5531">
        <f>IF(OR(B5531="vi",B5531="ii",B5531="pod"),(((D5531/100)*(C5531*VLOOKUP(B5531,'Poids des runes'!A:B,2,FALSE)))+1),(((D5531/100)*(C5531*VLOOKUP(B5531,'Poids des runes'!A:B,2,FALSE)))+1)/VLOOKUP(B5531,'Poids des runes'!A:B,2,FALSE))</f>
        <v>13.76</v>
      </c>
      <c r="F5531">
        <f t="shared" si="86"/>
        <v>13.76</v>
      </c>
    </row>
    <row r="5532" spans="1:6" x14ac:dyDescent="0.3">
      <c r="A5532" t="s">
        <v>1144</v>
      </c>
      <c r="B5532" t="s">
        <v>2146</v>
      </c>
      <c r="C5532">
        <v>8.5</v>
      </c>
      <c r="D5532">
        <v>156</v>
      </c>
      <c r="E5532">
        <f>IF(OR(B5532="vi",B5532="ii",B5532="pod"),(((D5532/100)*(C5532*VLOOKUP(B5532,'Poids des runes'!A:B,2,FALSE)))+1),(((D5532/100)*(C5532*VLOOKUP(B5532,'Poids des runes'!A:B,2,FALSE)))+1)/VLOOKUP(B5532,'Poids des runes'!A:B,2,FALSE))</f>
        <v>13.76</v>
      </c>
      <c r="F5532">
        <f t="shared" si="86"/>
        <v>13.76</v>
      </c>
    </row>
    <row r="5533" spans="1:6" x14ac:dyDescent="0.3">
      <c r="A5533" t="s">
        <v>1145</v>
      </c>
      <c r="B5533" t="s">
        <v>2128</v>
      </c>
      <c r="C5533">
        <v>225.5</v>
      </c>
      <c r="D5533">
        <v>156</v>
      </c>
      <c r="E5533">
        <f>IF(OR(B5533="vi",B5533="ii",B5533="pod"),(((D5533/100)*(C5533*VLOOKUP(B5533,'Poids des runes'!A:B,2,FALSE)))+1),(((D5533/100)*(C5533*VLOOKUP(B5533,'Poids des runes'!A:B,2,FALSE)))+1)/VLOOKUP(B5533,'Poids des runes'!A:B,2,FALSE))</f>
        <v>71.356000000000009</v>
      </c>
      <c r="F5533">
        <f t="shared" si="86"/>
        <v>71.356000000000009</v>
      </c>
    </row>
    <row r="5534" spans="1:6" x14ac:dyDescent="0.3">
      <c r="A5534" t="s">
        <v>1145</v>
      </c>
      <c r="B5534" t="s">
        <v>2129</v>
      </c>
      <c r="C5534">
        <v>35.5</v>
      </c>
      <c r="D5534">
        <v>156</v>
      </c>
      <c r="E5534">
        <f>IF(OR(B5534="vi",B5534="ii",B5534="pod"),(((D5534/100)*(C5534*VLOOKUP(B5534,'Poids des runes'!A:B,2,FALSE)))+1),(((D5534/100)*(C5534*VLOOKUP(B5534,'Poids des runes'!A:B,2,FALSE)))+1)/VLOOKUP(B5534,'Poids des runes'!A:B,2,FALSE))</f>
        <v>56.38</v>
      </c>
      <c r="F5534">
        <f t="shared" si="86"/>
        <v>56.38</v>
      </c>
    </row>
    <row r="5535" spans="1:6" x14ac:dyDescent="0.3">
      <c r="A5535" t="s">
        <v>1145</v>
      </c>
      <c r="B5535" t="s">
        <v>2139</v>
      </c>
      <c r="C5535">
        <v>40.5</v>
      </c>
      <c r="D5535">
        <v>156</v>
      </c>
      <c r="E5535">
        <f>IF(OR(B5535="vi",B5535="ii",B5535="pod"),(((D5535/100)*(C5535*VLOOKUP(B5535,'Poids des runes'!A:B,2,FALSE)))+1),(((D5535/100)*(C5535*VLOOKUP(B5535,'Poids des runes'!A:B,2,FALSE)))+1)/VLOOKUP(B5535,'Poids des runes'!A:B,2,FALSE))</f>
        <v>63.68</v>
      </c>
      <c r="F5535">
        <f t="shared" si="86"/>
        <v>63.68</v>
      </c>
    </row>
    <row r="5536" spans="1:6" x14ac:dyDescent="0.3">
      <c r="A5536" t="s">
        <v>1145</v>
      </c>
      <c r="B5536" t="s">
        <v>2151</v>
      </c>
      <c r="C5536">
        <v>3.5</v>
      </c>
      <c r="D5536">
        <v>156</v>
      </c>
      <c r="E5536">
        <f>IF(OR(B5536="vi",B5536="ii",B5536="pod"),(((D5536/100)*(C5536*VLOOKUP(B5536,'Poids des runes'!A:B,2,FALSE)))+1),(((D5536/100)*(C5536*VLOOKUP(B5536,'Poids des runes'!A:B,2,FALSE)))+1)/VLOOKUP(B5536,'Poids des runes'!A:B,2,FALSE))</f>
        <v>5.5600000000000005</v>
      </c>
      <c r="F5536">
        <f t="shared" si="86"/>
        <v>5.5600000000000005</v>
      </c>
    </row>
    <row r="5537" spans="1:6" x14ac:dyDescent="0.3">
      <c r="A5537" t="s">
        <v>1145</v>
      </c>
      <c r="B5537" t="s">
        <v>2155</v>
      </c>
      <c r="C5537">
        <v>1</v>
      </c>
      <c r="D5537">
        <v>156</v>
      </c>
      <c r="E5537">
        <f>IF(OR(B5537="vi",B5537="ii",B5537="pod"),(((D5537/100)*(C5537*VLOOKUP(B5537,'Poids des runes'!A:B,2,FALSE)))+1),(((D5537/100)*(C5537*VLOOKUP(B5537,'Poids des runes'!A:B,2,FALSE)))+1)/VLOOKUP(B5537,'Poids des runes'!A:B,2,FALSE))</f>
        <v>1.5796078431372549</v>
      </c>
      <c r="F5537">
        <f t="shared" si="86"/>
        <v>1.5796078431372549</v>
      </c>
    </row>
    <row r="5538" spans="1:6" x14ac:dyDescent="0.3">
      <c r="A5538" t="s">
        <v>1145</v>
      </c>
      <c r="B5538" t="s">
        <v>2134</v>
      </c>
      <c r="C5538">
        <v>4</v>
      </c>
      <c r="D5538">
        <v>156</v>
      </c>
      <c r="E5538">
        <f>IF(OR(B5538="vi",B5538="ii",B5538="pod"),(((D5538/100)*(C5538*VLOOKUP(B5538,'Poids des runes'!A:B,2,FALSE)))+1),(((D5538/100)*(C5538*VLOOKUP(B5538,'Poids des runes'!A:B,2,FALSE)))+1)/VLOOKUP(B5538,'Poids des runes'!A:B,2,FALSE))</f>
        <v>6.2900000000000009</v>
      </c>
      <c r="F5538">
        <f t="shared" si="86"/>
        <v>6.2900000000000009</v>
      </c>
    </row>
    <row r="5539" spans="1:6" x14ac:dyDescent="0.3">
      <c r="A5539" t="s">
        <v>1145</v>
      </c>
      <c r="B5539" t="s">
        <v>2161</v>
      </c>
      <c r="C5539">
        <v>8.5</v>
      </c>
      <c r="D5539">
        <v>156</v>
      </c>
      <c r="E5539">
        <f>IF(OR(B5539="vi",B5539="ii",B5539="pod"),(((D5539/100)*(C5539*VLOOKUP(B5539,'Poids des runes'!A:B,2,FALSE)))+1),(((D5539/100)*(C5539*VLOOKUP(B5539,'Poids des runes'!A:B,2,FALSE)))+1)/VLOOKUP(B5539,'Poids des runes'!A:B,2,FALSE))</f>
        <v>13.593333333333334</v>
      </c>
      <c r="F5539">
        <f t="shared" si="86"/>
        <v>13.593333333333334</v>
      </c>
    </row>
    <row r="5540" spans="1:6" x14ac:dyDescent="0.3">
      <c r="A5540" t="s">
        <v>1145</v>
      </c>
      <c r="B5540" t="s">
        <v>2132</v>
      </c>
      <c r="C5540">
        <v>350.5</v>
      </c>
      <c r="D5540">
        <v>156</v>
      </c>
      <c r="E5540">
        <f>IF(OR(B5540="vi",B5540="ii",B5540="pod"),(((D5540/100)*(C5540*VLOOKUP(B5540,'Poids des runes'!A:B,2,FALSE)))+1),(((D5540/100)*(C5540*VLOOKUP(B5540,'Poids des runes'!A:B,2,FALSE)))+1)/VLOOKUP(B5540,'Poids des runes'!A:B,2,FALSE))</f>
        <v>55.678000000000011</v>
      </c>
      <c r="F5540">
        <f t="shared" si="86"/>
        <v>55.678000000000011</v>
      </c>
    </row>
    <row r="5541" spans="1:6" x14ac:dyDescent="0.3">
      <c r="A5541" t="s">
        <v>1145</v>
      </c>
      <c r="B5541" t="s">
        <v>2138</v>
      </c>
      <c r="C5541">
        <v>6</v>
      </c>
      <c r="D5541">
        <v>156</v>
      </c>
      <c r="E5541">
        <f>IF(OR(B5541="vi",B5541="ii",B5541="pod"),(((D5541/100)*(C5541*VLOOKUP(B5541,'Poids des runes'!A:B,2,FALSE)))+1),(((D5541/100)*(C5541*VLOOKUP(B5541,'Poids des runes'!A:B,2,FALSE)))+1)/VLOOKUP(B5541,'Poids des runes'!A:B,2,FALSE))</f>
        <v>9.61</v>
      </c>
      <c r="F5541">
        <f t="shared" si="86"/>
        <v>9.61</v>
      </c>
    </row>
    <row r="5542" spans="1:6" x14ac:dyDescent="0.3">
      <c r="A5542" t="s">
        <v>1145</v>
      </c>
      <c r="B5542" t="s">
        <v>2147</v>
      </c>
      <c r="C5542">
        <v>4</v>
      </c>
      <c r="D5542">
        <v>156</v>
      </c>
      <c r="E5542">
        <f>IF(OR(B5542="vi",B5542="ii",B5542="pod"),(((D5542/100)*(C5542*VLOOKUP(B5542,'Poids des runes'!A:B,2,FALSE)))+1),(((D5542/100)*(C5542*VLOOKUP(B5542,'Poids des runes'!A:B,2,FALSE)))+1)/VLOOKUP(B5542,'Poids des runes'!A:B,2,FALSE))</f>
        <v>6.4066666666666663</v>
      </c>
      <c r="F5542">
        <f t="shared" si="86"/>
        <v>6.4066666666666663</v>
      </c>
    </row>
    <row r="5543" spans="1:6" x14ac:dyDescent="0.3">
      <c r="A5543" t="s">
        <v>1145</v>
      </c>
      <c r="B5543" t="s">
        <v>2135</v>
      </c>
      <c r="C5543">
        <v>2.5</v>
      </c>
      <c r="D5543">
        <v>156</v>
      </c>
      <c r="E5543">
        <f>IF(OR(B5543="vi",B5543="ii",B5543="pod"),(((D5543/100)*(C5543*VLOOKUP(B5543,'Poids des runes'!A:B,2,FALSE)))+1),(((D5543/100)*(C5543*VLOOKUP(B5543,'Poids des runes'!A:B,2,FALSE)))+1)/VLOOKUP(B5543,'Poids des runes'!A:B,2,FALSE))</f>
        <v>4.0666666666666673</v>
      </c>
      <c r="F5543">
        <f t="shared" si="86"/>
        <v>4.0666666666666673</v>
      </c>
    </row>
    <row r="5544" spans="1:6" x14ac:dyDescent="0.3">
      <c r="A5544" t="s">
        <v>1146</v>
      </c>
      <c r="B5544" t="s">
        <v>2128</v>
      </c>
      <c r="C5544">
        <v>235.5</v>
      </c>
      <c r="D5544">
        <v>157</v>
      </c>
      <c r="E5544">
        <f>IF(OR(B5544="vi",B5544="ii",B5544="pod"),(((D5544/100)*(C5544*VLOOKUP(B5544,'Poids des runes'!A:B,2,FALSE)))+1),(((D5544/100)*(C5544*VLOOKUP(B5544,'Poids des runes'!A:B,2,FALSE)))+1)/VLOOKUP(B5544,'Poids des runes'!A:B,2,FALSE))</f>
        <v>74.947000000000003</v>
      </c>
      <c r="F5544">
        <f t="shared" si="86"/>
        <v>74.947000000000003</v>
      </c>
    </row>
    <row r="5545" spans="1:6" x14ac:dyDescent="0.3">
      <c r="A5545" t="s">
        <v>1146</v>
      </c>
      <c r="B5545" t="s">
        <v>2126</v>
      </c>
      <c r="C5545">
        <v>40.5</v>
      </c>
      <c r="D5545">
        <v>157</v>
      </c>
      <c r="E5545">
        <f>IF(OR(B5545="vi",B5545="ii",B5545="pod"),(((D5545/100)*(C5545*VLOOKUP(B5545,'Poids des runes'!A:B,2,FALSE)))+1),(((D5545/100)*(C5545*VLOOKUP(B5545,'Poids des runes'!A:B,2,FALSE)))+1)/VLOOKUP(B5545,'Poids des runes'!A:B,2,FALSE))</f>
        <v>64.585000000000008</v>
      </c>
      <c r="F5545">
        <f t="shared" si="86"/>
        <v>64.585000000000008</v>
      </c>
    </row>
    <row r="5546" spans="1:6" x14ac:dyDescent="0.3">
      <c r="A5546" t="s">
        <v>1146</v>
      </c>
      <c r="B5546" t="s">
        <v>2131</v>
      </c>
      <c r="C5546">
        <v>40.5</v>
      </c>
      <c r="D5546">
        <v>157</v>
      </c>
      <c r="E5546">
        <f>IF(OR(B5546="vi",B5546="ii",B5546="pod"),(((D5546/100)*(C5546*VLOOKUP(B5546,'Poids des runes'!A:B,2,FALSE)))+1),(((D5546/100)*(C5546*VLOOKUP(B5546,'Poids des runes'!A:B,2,FALSE)))+1)/VLOOKUP(B5546,'Poids des runes'!A:B,2,FALSE))</f>
        <v>64.585000000000008</v>
      </c>
      <c r="F5546">
        <f t="shared" si="86"/>
        <v>64.585000000000008</v>
      </c>
    </row>
    <row r="5547" spans="1:6" x14ac:dyDescent="0.3">
      <c r="A5547" t="s">
        <v>1146</v>
      </c>
      <c r="B5547" t="s">
        <v>2129</v>
      </c>
      <c r="C5547">
        <v>28</v>
      </c>
      <c r="D5547">
        <v>157</v>
      </c>
      <c r="E5547">
        <f>IF(OR(B5547="vi",B5547="ii",B5547="pod"),(((D5547/100)*(C5547*VLOOKUP(B5547,'Poids des runes'!A:B,2,FALSE)))+1),(((D5547/100)*(C5547*VLOOKUP(B5547,'Poids des runes'!A:B,2,FALSE)))+1)/VLOOKUP(B5547,'Poids des runes'!A:B,2,FALSE))</f>
        <v>44.96</v>
      </c>
      <c r="F5547">
        <f t="shared" si="86"/>
        <v>44.96</v>
      </c>
    </row>
    <row r="5548" spans="1:6" x14ac:dyDescent="0.3">
      <c r="A5548" t="s">
        <v>1146</v>
      </c>
      <c r="B5548" t="s">
        <v>2139</v>
      </c>
      <c r="C5548">
        <v>20.5</v>
      </c>
      <c r="D5548">
        <v>157</v>
      </c>
      <c r="E5548">
        <f>IF(OR(B5548="vi",B5548="ii",B5548="pod"),(((D5548/100)*(C5548*VLOOKUP(B5548,'Poids des runes'!A:B,2,FALSE)))+1),(((D5548/100)*(C5548*VLOOKUP(B5548,'Poids des runes'!A:B,2,FALSE)))+1)/VLOOKUP(B5548,'Poids des runes'!A:B,2,FALSE))</f>
        <v>32.685000000000002</v>
      </c>
      <c r="F5548">
        <f t="shared" si="86"/>
        <v>32.685000000000002</v>
      </c>
    </row>
    <row r="5549" spans="1:6" x14ac:dyDescent="0.3">
      <c r="A5549" t="s">
        <v>1146</v>
      </c>
      <c r="B5549" t="s">
        <v>2151</v>
      </c>
      <c r="C5549">
        <v>4</v>
      </c>
      <c r="D5549">
        <v>157</v>
      </c>
      <c r="E5549">
        <f>IF(OR(B5549="vi",B5549="ii",B5549="pod"),(((D5549/100)*(C5549*VLOOKUP(B5549,'Poids des runes'!A:B,2,FALSE)))+1),(((D5549/100)*(C5549*VLOOKUP(B5549,'Poids des runes'!A:B,2,FALSE)))+1)/VLOOKUP(B5549,'Poids des runes'!A:B,2,FALSE))</f>
        <v>6.3800000000000008</v>
      </c>
      <c r="F5549">
        <f t="shared" si="86"/>
        <v>6.3800000000000008</v>
      </c>
    </row>
    <row r="5550" spans="1:6" x14ac:dyDescent="0.3">
      <c r="A5550" t="s">
        <v>1146</v>
      </c>
      <c r="B5550" t="s">
        <v>2149</v>
      </c>
      <c r="C5550">
        <v>6.5</v>
      </c>
      <c r="D5550">
        <v>157</v>
      </c>
      <c r="E5550">
        <f>IF(OR(B5550="vi",B5550="ii",B5550="pod"),(((D5550/100)*(C5550*VLOOKUP(B5550,'Poids des runes'!A:B,2,FALSE)))+1),(((D5550/100)*(C5550*VLOOKUP(B5550,'Poids des runes'!A:B,2,FALSE)))+1)/VLOOKUP(B5550,'Poids des runes'!A:B,2,FALSE))</f>
        <v>10.305</v>
      </c>
      <c r="F5550">
        <f t="shared" si="86"/>
        <v>10.305</v>
      </c>
    </row>
    <row r="5551" spans="1:6" x14ac:dyDescent="0.3">
      <c r="A5551" t="s">
        <v>1146</v>
      </c>
      <c r="B5551" t="s">
        <v>2161</v>
      </c>
      <c r="C5551">
        <v>20.5</v>
      </c>
      <c r="D5551">
        <v>157</v>
      </c>
      <c r="E5551">
        <f>IF(OR(B5551="vi",B5551="ii",B5551="pod"),(((D5551/100)*(C5551*VLOOKUP(B5551,'Poids des runes'!A:B,2,FALSE)))+1),(((D5551/100)*(C5551*VLOOKUP(B5551,'Poids des runes'!A:B,2,FALSE)))+1)/VLOOKUP(B5551,'Poids des runes'!A:B,2,FALSE))</f>
        <v>32.518333333333338</v>
      </c>
      <c r="F5551">
        <f t="shared" si="86"/>
        <v>32.518333333333338</v>
      </c>
    </row>
    <row r="5552" spans="1:6" x14ac:dyDescent="0.3">
      <c r="A5552" t="s">
        <v>1146</v>
      </c>
      <c r="B5552" t="s">
        <v>2132</v>
      </c>
      <c r="C5552">
        <v>150.5</v>
      </c>
      <c r="D5552">
        <v>157</v>
      </c>
      <c r="E5552">
        <f>IF(OR(B5552="vi",B5552="ii",B5552="pod"),(((D5552/100)*(C5552*VLOOKUP(B5552,'Poids des runes'!A:B,2,FALSE)))+1),(((D5552/100)*(C5552*VLOOKUP(B5552,'Poids des runes'!A:B,2,FALSE)))+1)/VLOOKUP(B5552,'Poids des runes'!A:B,2,FALSE))</f>
        <v>24.628500000000003</v>
      </c>
      <c r="F5552">
        <f t="shared" si="86"/>
        <v>24.628500000000003</v>
      </c>
    </row>
    <row r="5553" spans="1:6" x14ac:dyDescent="0.3">
      <c r="A5553" t="s">
        <v>1146</v>
      </c>
      <c r="B5553" t="s">
        <v>2147</v>
      </c>
      <c r="C5553">
        <v>5</v>
      </c>
      <c r="D5553">
        <v>157</v>
      </c>
      <c r="E5553">
        <f>IF(OR(B5553="vi",B5553="ii",B5553="pod"),(((D5553/100)*(C5553*VLOOKUP(B5553,'Poids des runes'!A:B,2,FALSE)))+1),(((D5553/100)*(C5553*VLOOKUP(B5553,'Poids des runes'!A:B,2,FALSE)))+1)/VLOOKUP(B5553,'Poids des runes'!A:B,2,FALSE))</f>
        <v>8.0166666666666675</v>
      </c>
      <c r="F5553">
        <f t="shared" si="86"/>
        <v>8.0166666666666675</v>
      </c>
    </row>
    <row r="5554" spans="1:6" x14ac:dyDescent="0.3">
      <c r="A5554" t="s">
        <v>1147</v>
      </c>
      <c r="B5554" t="s">
        <v>2128</v>
      </c>
      <c r="C5554">
        <v>175.5</v>
      </c>
      <c r="D5554">
        <v>157</v>
      </c>
      <c r="E5554">
        <f>IF(OR(B5554="vi",B5554="ii",B5554="pod"),(((D5554/100)*(C5554*VLOOKUP(B5554,'Poids des runes'!A:B,2,FALSE)))+1),(((D5554/100)*(C5554*VLOOKUP(B5554,'Poids des runes'!A:B,2,FALSE)))+1)/VLOOKUP(B5554,'Poids des runes'!A:B,2,FALSE))</f>
        <v>56.107000000000006</v>
      </c>
      <c r="F5554">
        <f t="shared" si="86"/>
        <v>56.107000000000006</v>
      </c>
    </row>
    <row r="5555" spans="1:6" x14ac:dyDescent="0.3">
      <c r="A5555" t="s">
        <v>1147</v>
      </c>
      <c r="B5555" t="s">
        <v>2130</v>
      </c>
      <c r="C5555">
        <v>35.5</v>
      </c>
      <c r="D5555">
        <v>157</v>
      </c>
      <c r="E5555">
        <f>IF(OR(B5555="vi",B5555="ii",B5555="pod"),(((D5555/100)*(C5555*VLOOKUP(B5555,'Poids des runes'!A:B,2,FALSE)))+1),(((D5555/100)*(C5555*VLOOKUP(B5555,'Poids des runes'!A:B,2,FALSE)))+1)/VLOOKUP(B5555,'Poids des runes'!A:B,2,FALSE))</f>
        <v>56.734999999999999</v>
      </c>
      <c r="F5555">
        <f t="shared" si="86"/>
        <v>56.734999999999999</v>
      </c>
    </row>
    <row r="5556" spans="1:6" x14ac:dyDescent="0.3">
      <c r="A5556" t="s">
        <v>1147</v>
      </c>
      <c r="B5556" t="s">
        <v>2127</v>
      </c>
      <c r="C5556">
        <v>35.5</v>
      </c>
      <c r="D5556">
        <v>157</v>
      </c>
      <c r="E5556">
        <f>IF(OR(B5556="vi",B5556="ii",B5556="pod"),(((D5556/100)*(C5556*VLOOKUP(B5556,'Poids des runes'!A:B,2,FALSE)))+1),(((D5556/100)*(C5556*VLOOKUP(B5556,'Poids des runes'!A:B,2,FALSE)))+1)/VLOOKUP(B5556,'Poids des runes'!A:B,2,FALSE))</f>
        <v>56.734999999999999</v>
      </c>
      <c r="F5556">
        <f t="shared" si="86"/>
        <v>56.734999999999999</v>
      </c>
    </row>
    <row r="5557" spans="1:6" x14ac:dyDescent="0.3">
      <c r="A5557" t="s">
        <v>1147</v>
      </c>
      <c r="B5557" t="s">
        <v>2129</v>
      </c>
      <c r="C5557">
        <v>18</v>
      </c>
      <c r="D5557">
        <v>157</v>
      </c>
      <c r="E5557">
        <f>IF(OR(B5557="vi",B5557="ii",B5557="pod"),(((D5557/100)*(C5557*VLOOKUP(B5557,'Poids des runes'!A:B,2,FALSE)))+1),(((D5557/100)*(C5557*VLOOKUP(B5557,'Poids des runes'!A:B,2,FALSE)))+1)/VLOOKUP(B5557,'Poids des runes'!A:B,2,FALSE))</f>
        <v>29.26</v>
      </c>
      <c r="F5557">
        <f t="shared" si="86"/>
        <v>29.26</v>
      </c>
    </row>
    <row r="5558" spans="1:6" x14ac:dyDescent="0.3">
      <c r="A5558" t="s">
        <v>1147</v>
      </c>
      <c r="B5558" t="s">
        <v>2151</v>
      </c>
      <c r="C5558">
        <v>1.5</v>
      </c>
      <c r="D5558">
        <v>157</v>
      </c>
      <c r="E5558">
        <f>IF(OR(B5558="vi",B5558="ii",B5558="pod"),(((D5558/100)*(C5558*VLOOKUP(B5558,'Poids des runes'!A:B,2,FALSE)))+1),(((D5558/100)*(C5558*VLOOKUP(B5558,'Poids des runes'!A:B,2,FALSE)))+1)/VLOOKUP(B5558,'Poids des runes'!A:B,2,FALSE))</f>
        <v>2.4550000000000001</v>
      </c>
      <c r="F5558">
        <f t="shared" si="86"/>
        <v>2.4550000000000001</v>
      </c>
    </row>
    <row r="5559" spans="1:6" x14ac:dyDescent="0.3">
      <c r="A5559" t="s">
        <v>1147</v>
      </c>
      <c r="B5559" t="s">
        <v>2152</v>
      </c>
      <c r="C5559">
        <v>1</v>
      </c>
      <c r="D5559">
        <v>157</v>
      </c>
      <c r="E5559">
        <f>IF(OR(B5559="vi",B5559="ii",B5559="pod"),(((D5559/100)*(C5559*VLOOKUP(B5559,'Poids des runes'!A:B,2,FALSE)))+1),(((D5559/100)*(C5559*VLOOKUP(B5559,'Poids des runes'!A:B,2,FALSE)))+1)/VLOOKUP(B5559,'Poids des runes'!A:B,2,FALSE))</f>
        <v>1.58</v>
      </c>
      <c r="F5559">
        <f t="shared" si="86"/>
        <v>1.58</v>
      </c>
    </row>
    <row r="5560" spans="1:6" x14ac:dyDescent="0.3">
      <c r="A5560" t="s">
        <v>1147</v>
      </c>
      <c r="B5560" t="s">
        <v>2155</v>
      </c>
      <c r="C5560">
        <v>1</v>
      </c>
      <c r="D5560">
        <v>157</v>
      </c>
      <c r="E5560">
        <f>IF(OR(B5560="vi",B5560="ii",B5560="pod"),(((D5560/100)*(C5560*VLOOKUP(B5560,'Poids des runes'!A:B,2,FALSE)))+1),(((D5560/100)*(C5560*VLOOKUP(B5560,'Poids des runes'!A:B,2,FALSE)))+1)/VLOOKUP(B5560,'Poids des runes'!A:B,2,FALSE))</f>
        <v>1.5896078431372551</v>
      </c>
      <c r="F5560">
        <f t="shared" si="86"/>
        <v>1.5896078431372551</v>
      </c>
    </row>
    <row r="5561" spans="1:6" x14ac:dyDescent="0.3">
      <c r="A5561" t="s">
        <v>1147</v>
      </c>
      <c r="B5561" t="s">
        <v>2143</v>
      </c>
      <c r="C5561">
        <v>10</v>
      </c>
      <c r="D5561">
        <v>157</v>
      </c>
      <c r="E5561">
        <f>IF(OR(B5561="vi",B5561="ii",B5561="pod"),(((D5561/100)*(C5561*VLOOKUP(B5561,'Poids des runes'!A:B,2,FALSE)))+1),(((D5561/100)*(C5561*VLOOKUP(B5561,'Poids des runes'!A:B,2,FALSE)))+1)/VLOOKUP(B5561,'Poids des runes'!A:B,2,FALSE))</f>
        <v>15.9</v>
      </c>
      <c r="F5561">
        <f t="shared" si="86"/>
        <v>15.9</v>
      </c>
    </row>
    <row r="5562" spans="1:6" x14ac:dyDescent="0.3">
      <c r="A5562" t="s">
        <v>1147</v>
      </c>
      <c r="B5562" t="s">
        <v>2153</v>
      </c>
      <c r="C5562">
        <v>10</v>
      </c>
      <c r="D5562">
        <v>157</v>
      </c>
      <c r="E5562">
        <f>IF(OR(B5562="vi",B5562="ii",B5562="pod"),(((D5562/100)*(C5562*VLOOKUP(B5562,'Poids des runes'!A:B,2,FALSE)))+1),(((D5562/100)*(C5562*VLOOKUP(B5562,'Poids des runes'!A:B,2,FALSE)))+1)/VLOOKUP(B5562,'Poids des runes'!A:B,2,FALSE))</f>
        <v>15.9</v>
      </c>
      <c r="F5562">
        <f t="shared" si="86"/>
        <v>15.9</v>
      </c>
    </row>
    <row r="5563" spans="1:6" x14ac:dyDescent="0.3">
      <c r="A5563" t="s">
        <v>1147</v>
      </c>
      <c r="B5563" t="s">
        <v>2161</v>
      </c>
      <c r="C5563">
        <v>13</v>
      </c>
      <c r="D5563">
        <v>157</v>
      </c>
      <c r="E5563">
        <f>IF(OR(B5563="vi",B5563="ii",B5563="pod"),(((D5563/100)*(C5563*VLOOKUP(B5563,'Poids des runes'!A:B,2,FALSE)))+1),(((D5563/100)*(C5563*VLOOKUP(B5563,'Poids des runes'!A:B,2,FALSE)))+1)/VLOOKUP(B5563,'Poids des runes'!A:B,2,FALSE))</f>
        <v>20.743333333333336</v>
      </c>
      <c r="F5563">
        <f t="shared" si="86"/>
        <v>20.743333333333336</v>
      </c>
    </row>
    <row r="5564" spans="1:6" x14ac:dyDescent="0.3">
      <c r="A5564" t="s">
        <v>1147</v>
      </c>
      <c r="B5564" t="s">
        <v>2138</v>
      </c>
      <c r="C5564">
        <v>3.5</v>
      </c>
      <c r="D5564">
        <v>157</v>
      </c>
      <c r="E5564">
        <f>IF(OR(B5564="vi",B5564="ii",B5564="pod"),(((D5564/100)*(C5564*VLOOKUP(B5564,'Poids des runes'!A:B,2,FALSE)))+1),(((D5564/100)*(C5564*VLOOKUP(B5564,'Poids des runes'!A:B,2,FALSE)))+1)/VLOOKUP(B5564,'Poids des runes'!A:B,2,FALSE))</f>
        <v>5.7450000000000001</v>
      </c>
      <c r="F5564">
        <f t="shared" si="86"/>
        <v>5.7450000000000001</v>
      </c>
    </row>
    <row r="5565" spans="1:6" x14ac:dyDescent="0.3">
      <c r="A5565" t="s">
        <v>1147</v>
      </c>
      <c r="B5565" t="s">
        <v>2165</v>
      </c>
      <c r="C5565">
        <v>4.5</v>
      </c>
      <c r="D5565">
        <v>157</v>
      </c>
      <c r="E5565">
        <f>IF(OR(B5565="vi",B5565="ii",B5565="pod"),(((D5565/100)*(C5565*VLOOKUP(B5565,'Poids des runes'!A:B,2,FALSE)))+1),(((D5565/100)*(C5565*VLOOKUP(B5565,'Poids des runes'!A:B,2,FALSE)))+1)/VLOOKUP(B5565,'Poids des runes'!A:B,2,FALSE))</f>
        <v>7.2078571428571436</v>
      </c>
      <c r="F5565">
        <f t="shared" si="86"/>
        <v>7.2078571428571436</v>
      </c>
    </row>
    <row r="5566" spans="1:6" x14ac:dyDescent="0.3">
      <c r="A5566" t="s">
        <v>1147</v>
      </c>
      <c r="B5566" t="s">
        <v>2136</v>
      </c>
      <c r="C5566">
        <v>13</v>
      </c>
      <c r="D5566">
        <v>157</v>
      </c>
      <c r="E5566">
        <f>IF(OR(B5566="vi",B5566="ii",B5566="pod"),(((D5566/100)*(C5566*VLOOKUP(B5566,'Poids des runes'!A:B,2,FALSE)))+1),(((D5566/100)*(C5566*VLOOKUP(B5566,'Poids des runes'!A:B,2,FALSE)))+1)/VLOOKUP(B5566,'Poids des runes'!A:B,2,FALSE))</f>
        <v>20.91</v>
      </c>
      <c r="F5566">
        <f t="shared" si="86"/>
        <v>20.91</v>
      </c>
    </row>
    <row r="5567" spans="1:6" x14ac:dyDescent="0.3">
      <c r="A5567" t="s">
        <v>1148</v>
      </c>
      <c r="B5567" t="s">
        <v>2128</v>
      </c>
      <c r="C5567">
        <v>205.5</v>
      </c>
      <c r="D5567">
        <v>157</v>
      </c>
      <c r="E5567">
        <f>IF(OR(B5567="vi",B5567="ii",B5567="pod"),(((D5567/100)*(C5567*VLOOKUP(B5567,'Poids des runes'!A:B,2,FALSE)))+1),(((D5567/100)*(C5567*VLOOKUP(B5567,'Poids des runes'!A:B,2,FALSE)))+1)/VLOOKUP(B5567,'Poids des runes'!A:B,2,FALSE))</f>
        <v>65.527000000000001</v>
      </c>
      <c r="F5567">
        <f t="shared" si="86"/>
        <v>65.527000000000001</v>
      </c>
    </row>
    <row r="5568" spans="1:6" x14ac:dyDescent="0.3">
      <c r="A5568" t="s">
        <v>1148</v>
      </c>
      <c r="B5568" t="s">
        <v>2127</v>
      </c>
      <c r="C5568">
        <v>40.5</v>
      </c>
      <c r="D5568">
        <v>157</v>
      </c>
      <c r="E5568">
        <f>IF(OR(B5568="vi",B5568="ii",B5568="pod"),(((D5568/100)*(C5568*VLOOKUP(B5568,'Poids des runes'!A:B,2,FALSE)))+1),(((D5568/100)*(C5568*VLOOKUP(B5568,'Poids des runes'!A:B,2,FALSE)))+1)/VLOOKUP(B5568,'Poids des runes'!A:B,2,FALSE))</f>
        <v>64.585000000000008</v>
      </c>
      <c r="F5568">
        <f t="shared" si="86"/>
        <v>64.585000000000008</v>
      </c>
    </row>
    <row r="5569" spans="1:6" x14ac:dyDescent="0.3">
      <c r="A5569" t="s">
        <v>1148</v>
      </c>
      <c r="B5569" t="s">
        <v>2129</v>
      </c>
      <c r="C5569">
        <v>25.5</v>
      </c>
      <c r="D5569">
        <v>157</v>
      </c>
      <c r="E5569">
        <f>IF(OR(B5569="vi",B5569="ii",B5569="pod"),(((D5569/100)*(C5569*VLOOKUP(B5569,'Poids des runes'!A:B,2,FALSE)))+1),(((D5569/100)*(C5569*VLOOKUP(B5569,'Poids des runes'!A:B,2,FALSE)))+1)/VLOOKUP(B5569,'Poids des runes'!A:B,2,FALSE))</f>
        <v>41.035000000000004</v>
      </c>
      <c r="F5569">
        <f t="shared" si="86"/>
        <v>41.035000000000004</v>
      </c>
    </row>
    <row r="5570" spans="1:6" x14ac:dyDescent="0.3">
      <c r="A5570" t="s">
        <v>1148</v>
      </c>
      <c r="B5570" t="s">
        <v>2151</v>
      </c>
      <c r="C5570">
        <v>3.5</v>
      </c>
      <c r="D5570">
        <v>157</v>
      </c>
      <c r="E5570">
        <f>IF(OR(B5570="vi",B5570="ii",B5570="pod"),(((D5570/100)*(C5570*VLOOKUP(B5570,'Poids des runes'!A:B,2,FALSE)))+1),(((D5570/100)*(C5570*VLOOKUP(B5570,'Poids des runes'!A:B,2,FALSE)))+1)/VLOOKUP(B5570,'Poids des runes'!A:B,2,FALSE))</f>
        <v>5.5950000000000006</v>
      </c>
      <c r="F5570">
        <f t="shared" si="86"/>
        <v>5.5950000000000006</v>
      </c>
    </row>
    <row r="5571" spans="1:6" x14ac:dyDescent="0.3">
      <c r="A5571" t="s">
        <v>1148</v>
      </c>
      <c r="B5571" t="s">
        <v>2140</v>
      </c>
      <c r="C5571">
        <v>8.5</v>
      </c>
      <c r="D5571">
        <v>157</v>
      </c>
      <c r="E5571">
        <f>IF(OR(B5571="vi",B5571="ii",B5571="pod"),(((D5571/100)*(C5571*VLOOKUP(B5571,'Poids des runes'!A:B,2,FALSE)))+1),(((D5571/100)*(C5571*VLOOKUP(B5571,'Poids des runes'!A:B,2,FALSE)))+1)/VLOOKUP(B5571,'Poids des runes'!A:B,2,FALSE))</f>
        <v>13.545000000000002</v>
      </c>
      <c r="F5571">
        <f t="shared" ref="F5571:F5634" si="87">E5571</f>
        <v>13.545000000000002</v>
      </c>
    </row>
    <row r="5572" spans="1:6" x14ac:dyDescent="0.3">
      <c r="A5572" t="s">
        <v>1148</v>
      </c>
      <c r="B5572" t="s">
        <v>2153</v>
      </c>
      <c r="C5572">
        <v>8.5</v>
      </c>
      <c r="D5572">
        <v>157</v>
      </c>
      <c r="E5572">
        <f>IF(OR(B5572="vi",B5572="ii",B5572="pod"),(((D5572/100)*(C5572*VLOOKUP(B5572,'Poids des runes'!A:B,2,FALSE)))+1),(((D5572/100)*(C5572*VLOOKUP(B5572,'Poids des runes'!A:B,2,FALSE)))+1)/VLOOKUP(B5572,'Poids des runes'!A:B,2,FALSE))</f>
        <v>13.545000000000002</v>
      </c>
      <c r="F5572">
        <f t="shared" si="87"/>
        <v>13.545000000000002</v>
      </c>
    </row>
    <row r="5573" spans="1:6" x14ac:dyDescent="0.3">
      <c r="A5573" t="s">
        <v>1148</v>
      </c>
      <c r="B5573" t="s">
        <v>2149</v>
      </c>
      <c r="C5573">
        <v>8.5</v>
      </c>
      <c r="D5573">
        <v>157</v>
      </c>
      <c r="E5573">
        <f>IF(OR(B5573="vi",B5573="ii",B5573="pod"),(((D5573/100)*(C5573*VLOOKUP(B5573,'Poids des runes'!A:B,2,FALSE)))+1),(((D5573/100)*(C5573*VLOOKUP(B5573,'Poids des runes'!A:B,2,FALSE)))+1)/VLOOKUP(B5573,'Poids des runes'!A:B,2,FALSE))</f>
        <v>13.445000000000002</v>
      </c>
      <c r="F5573">
        <f t="shared" si="87"/>
        <v>13.445000000000002</v>
      </c>
    </row>
    <row r="5574" spans="1:6" x14ac:dyDescent="0.3">
      <c r="A5574" t="s">
        <v>1148</v>
      </c>
      <c r="B5574" t="s">
        <v>2161</v>
      </c>
      <c r="C5574">
        <v>13</v>
      </c>
      <c r="D5574">
        <v>157</v>
      </c>
      <c r="E5574">
        <f>IF(OR(B5574="vi",B5574="ii",B5574="pod"),(((D5574/100)*(C5574*VLOOKUP(B5574,'Poids des runes'!A:B,2,FALSE)))+1),(((D5574/100)*(C5574*VLOOKUP(B5574,'Poids des runes'!A:B,2,FALSE)))+1)/VLOOKUP(B5574,'Poids des runes'!A:B,2,FALSE))</f>
        <v>20.743333333333336</v>
      </c>
      <c r="F5574">
        <f t="shared" si="87"/>
        <v>20.743333333333336</v>
      </c>
    </row>
    <row r="5575" spans="1:6" x14ac:dyDescent="0.3">
      <c r="A5575" t="s">
        <v>1148</v>
      </c>
      <c r="B5575" t="s">
        <v>2138</v>
      </c>
      <c r="C5575">
        <v>4.5</v>
      </c>
      <c r="D5575">
        <v>157</v>
      </c>
      <c r="E5575">
        <f>IF(OR(B5575="vi",B5575="ii",B5575="pod"),(((D5575/100)*(C5575*VLOOKUP(B5575,'Poids des runes'!A:B,2,FALSE)))+1),(((D5575/100)*(C5575*VLOOKUP(B5575,'Poids des runes'!A:B,2,FALSE)))+1)/VLOOKUP(B5575,'Poids des runes'!A:B,2,FALSE))</f>
        <v>7.3150000000000004</v>
      </c>
      <c r="F5575">
        <f t="shared" si="87"/>
        <v>7.3150000000000004</v>
      </c>
    </row>
    <row r="5576" spans="1:6" x14ac:dyDescent="0.3">
      <c r="A5576" t="s">
        <v>1148</v>
      </c>
      <c r="B5576" t="s">
        <v>2163</v>
      </c>
      <c r="C5576">
        <v>8.5</v>
      </c>
      <c r="D5576">
        <v>157</v>
      </c>
      <c r="E5576">
        <f>IF(OR(B5576="vi",B5576="ii",B5576="pod"),(((D5576/100)*(C5576*VLOOKUP(B5576,'Poids des runes'!A:B,2,FALSE)))+1),(((D5576/100)*(C5576*VLOOKUP(B5576,'Poids des runes'!A:B,2,FALSE)))+1)/VLOOKUP(B5576,'Poids des runes'!A:B,2,FALSE))</f>
        <v>13.845000000000001</v>
      </c>
      <c r="F5576">
        <f t="shared" si="87"/>
        <v>13.845000000000001</v>
      </c>
    </row>
    <row r="5577" spans="1:6" x14ac:dyDescent="0.3">
      <c r="A5577" t="s">
        <v>1148</v>
      </c>
      <c r="B5577" t="s">
        <v>2144</v>
      </c>
      <c r="C5577">
        <v>8.5</v>
      </c>
      <c r="D5577">
        <v>157</v>
      </c>
      <c r="E5577">
        <f>IF(OR(B5577="vi",B5577="ii",B5577="pod"),(((D5577/100)*(C5577*VLOOKUP(B5577,'Poids des runes'!A:B,2,FALSE)))+1),(((D5577/100)*(C5577*VLOOKUP(B5577,'Poids des runes'!A:B,2,FALSE)))+1)/VLOOKUP(B5577,'Poids des runes'!A:B,2,FALSE))</f>
        <v>13.845000000000001</v>
      </c>
      <c r="F5577">
        <f t="shared" si="87"/>
        <v>13.845000000000001</v>
      </c>
    </row>
    <row r="5578" spans="1:6" x14ac:dyDescent="0.3">
      <c r="A5578" t="s">
        <v>1148</v>
      </c>
      <c r="B5578" t="s">
        <v>2145</v>
      </c>
      <c r="C5578">
        <v>8.5</v>
      </c>
      <c r="D5578">
        <v>157</v>
      </c>
      <c r="E5578">
        <f>IF(OR(B5578="vi",B5578="ii",B5578="pod"),(((D5578/100)*(C5578*VLOOKUP(B5578,'Poids des runes'!A:B,2,FALSE)))+1),(((D5578/100)*(C5578*VLOOKUP(B5578,'Poids des runes'!A:B,2,FALSE)))+1)/VLOOKUP(B5578,'Poids des runes'!A:B,2,FALSE))</f>
        <v>13.845000000000001</v>
      </c>
      <c r="F5578">
        <f t="shared" si="87"/>
        <v>13.845000000000001</v>
      </c>
    </row>
    <row r="5579" spans="1:6" x14ac:dyDescent="0.3">
      <c r="A5579" t="s">
        <v>1149</v>
      </c>
      <c r="B5579" t="s">
        <v>2128</v>
      </c>
      <c r="C5579">
        <v>225.5</v>
      </c>
      <c r="D5579">
        <v>157</v>
      </c>
      <c r="E5579">
        <f>IF(OR(B5579="vi",B5579="ii",B5579="pod"),(((D5579/100)*(C5579*VLOOKUP(B5579,'Poids des runes'!A:B,2,FALSE)))+1),(((D5579/100)*(C5579*VLOOKUP(B5579,'Poids des runes'!A:B,2,FALSE)))+1)/VLOOKUP(B5579,'Poids des runes'!A:B,2,FALSE))</f>
        <v>71.807000000000002</v>
      </c>
      <c r="F5579">
        <f t="shared" si="87"/>
        <v>71.807000000000002</v>
      </c>
    </row>
    <row r="5580" spans="1:6" x14ac:dyDescent="0.3">
      <c r="A5580" t="s">
        <v>1149</v>
      </c>
      <c r="B5580" t="s">
        <v>2129</v>
      </c>
      <c r="C5580">
        <v>35.5</v>
      </c>
      <c r="D5580">
        <v>157</v>
      </c>
      <c r="E5580">
        <f>IF(OR(B5580="vi",B5580="ii",B5580="pod"),(((D5580/100)*(C5580*VLOOKUP(B5580,'Poids des runes'!A:B,2,FALSE)))+1),(((D5580/100)*(C5580*VLOOKUP(B5580,'Poids des runes'!A:B,2,FALSE)))+1)/VLOOKUP(B5580,'Poids des runes'!A:B,2,FALSE))</f>
        <v>56.734999999999999</v>
      </c>
      <c r="F5580">
        <f t="shared" si="87"/>
        <v>56.734999999999999</v>
      </c>
    </row>
    <row r="5581" spans="1:6" x14ac:dyDescent="0.3">
      <c r="A5581" t="s">
        <v>1149</v>
      </c>
      <c r="B5581" t="s">
        <v>2139</v>
      </c>
      <c r="C5581">
        <v>40.5</v>
      </c>
      <c r="D5581">
        <v>157</v>
      </c>
      <c r="E5581">
        <f>IF(OR(B5581="vi",B5581="ii",B5581="pod"),(((D5581/100)*(C5581*VLOOKUP(B5581,'Poids des runes'!A:B,2,FALSE)))+1),(((D5581/100)*(C5581*VLOOKUP(B5581,'Poids des runes'!A:B,2,FALSE)))+1)/VLOOKUP(B5581,'Poids des runes'!A:B,2,FALSE))</f>
        <v>64.085000000000008</v>
      </c>
      <c r="F5581">
        <f t="shared" si="87"/>
        <v>64.085000000000008</v>
      </c>
    </row>
    <row r="5582" spans="1:6" x14ac:dyDescent="0.3">
      <c r="A5582" t="s">
        <v>1149</v>
      </c>
      <c r="B5582" t="s">
        <v>2151</v>
      </c>
      <c r="C5582">
        <v>4</v>
      </c>
      <c r="D5582">
        <v>157</v>
      </c>
      <c r="E5582">
        <f>IF(OR(B5582="vi",B5582="ii",B5582="pod"),(((D5582/100)*(C5582*VLOOKUP(B5582,'Poids des runes'!A:B,2,FALSE)))+1),(((D5582/100)*(C5582*VLOOKUP(B5582,'Poids des runes'!A:B,2,FALSE)))+1)/VLOOKUP(B5582,'Poids des runes'!A:B,2,FALSE))</f>
        <v>6.3800000000000008</v>
      </c>
      <c r="F5582">
        <f t="shared" si="87"/>
        <v>6.3800000000000008</v>
      </c>
    </row>
    <row r="5583" spans="1:6" x14ac:dyDescent="0.3">
      <c r="A5583" t="s">
        <v>1149</v>
      </c>
      <c r="B5583" t="s">
        <v>2134</v>
      </c>
      <c r="C5583">
        <v>8.5</v>
      </c>
      <c r="D5583">
        <v>157</v>
      </c>
      <c r="E5583">
        <f>IF(OR(B5583="vi",B5583="ii",B5583="pod"),(((D5583/100)*(C5583*VLOOKUP(B5583,'Poids des runes'!A:B,2,FALSE)))+1),(((D5583/100)*(C5583*VLOOKUP(B5583,'Poids des runes'!A:B,2,FALSE)))+1)/VLOOKUP(B5583,'Poids des runes'!A:B,2,FALSE))</f>
        <v>13.395000000000001</v>
      </c>
      <c r="F5583">
        <f t="shared" si="87"/>
        <v>13.395000000000001</v>
      </c>
    </row>
    <row r="5584" spans="1:6" x14ac:dyDescent="0.3">
      <c r="A5584" t="s">
        <v>1149</v>
      </c>
      <c r="B5584" t="s">
        <v>2161</v>
      </c>
      <c r="C5584">
        <v>8</v>
      </c>
      <c r="D5584">
        <v>157</v>
      </c>
      <c r="E5584">
        <f>IF(OR(B5584="vi",B5584="ii",B5584="pod"),(((D5584/100)*(C5584*VLOOKUP(B5584,'Poids des runes'!A:B,2,FALSE)))+1),(((D5584/100)*(C5584*VLOOKUP(B5584,'Poids des runes'!A:B,2,FALSE)))+1)/VLOOKUP(B5584,'Poids des runes'!A:B,2,FALSE))</f>
        <v>12.893333333333333</v>
      </c>
      <c r="F5584">
        <f t="shared" si="87"/>
        <v>12.893333333333333</v>
      </c>
    </row>
    <row r="5585" spans="1:6" x14ac:dyDescent="0.3">
      <c r="A5585" t="s">
        <v>1149</v>
      </c>
      <c r="B5585" t="s">
        <v>2132</v>
      </c>
      <c r="C5585">
        <v>350.5</v>
      </c>
      <c r="D5585">
        <v>157</v>
      </c>
      <c r="E5585">
        <f>IF(OR(B5585="vi",B5585="ii",B5585="pod"),(((D5585/100)*(C5585*VLOOKUP(B5585,'Poids des runes'!A:B,2,FALSE)))+1),(((D5585/100)*(C5585*VLOOKUP(B5585,'Poids des runes'!A:B,2,FALSE)))+1)/VLOOKUP(B5585,'Poids des runes'!A:B,2,FALSE))</f>
        <v>56.028500000000008</v>
      </c>
      <c r="F5585">
        <f t="shared" si="87"/>
        <v>56.028500000000008</v>
      </c>
    </row>
    <row r="5586" spans="1:6" x14ac:dyDescent="0.3">
      <c r="A5586" t="s">
        <v>1149</v>
      </c>
      <c r="B5586" t="s">
        <v>2164</v>
      </c>
      <c r="C5586">
        <v>8.5</v>
      </c>
      <c r="D5586">
        <v>157</v>
      </c>
      <c r="E5586">
        <f>IF(OR(B5586="vi",B5586="ii",B5586="pod"),(((D5586/100)*(C5586*VLOOKUP(B5586,'Poids des runes'!A:B,2,FALSE)))+1),(((D5586/100)*(C5586*VLOOKUP(B5586,'Poids des runes'!A:B,2,FALSE)))+1)/VLOOKUP(B5586,'Poids des runes'!A:B,2,FALSE))</f>
        <v>13.845000000000001</v>
      </c>
      <c r="F5586">
        <f t="shared" si="87"/>
        <v>13.845000000000001</v>
      </c>
    </row>
    <row r="5587" spans="1:6" x14ac:dyDescent="0.3">
      <c r="A5587" t="s">
        <v>1149</v>
      </c>
      <c r="B5587" t="s">
        <v>2156</v>
      </c>
      <c r="C5587">
        <v>6</v>
      </c>
      <c r="D5587">
        <v>157</v>
      </c>
      <c r="E5587">
        <f>IF(OR(B5587="vi",B5587="ii",B5587="pod"),(((D5587/100)*(C5587*VLOOKUP(B5587,'Poids des runes'!A:B,2,FALSE)))+1),(((D5587/100)*(C5587*VLOOKUP(B5587,'Poids des runes'!A:B,2,FALSE)))+1)/VLOOKUP(B5587,'Poids des runes'!A:B,2,FALSE))</f>
        <v>9.5866666666666678</v>
      </c>
      <c r="F5587">
        <f t="shared" si="87"/>
        <v>9.5866666666666678</v>
      </c>
    </row>
    <row r="5588" spans="1:6" x14ac:dyDescent="0.3">
      <c r="A5588" t="s">
        <v>1149</v>
      </c>
      <c r="B5588" t="s">
        <v>2144</v>
      </c>
      <c r="C5588">
        <v>6.5</v>
      </c>
      <c r="D5588">
        <v>157</v>
      </c>
      <c r="E5588">
        <f>IF(OR(B5588="vi",B5588="ii",B5588="pod"),(((D5588/100)*(C5588*VLOOKUP(B5588,'Poids des runes'!A:B,2,FALSE)))+1),(((D5588/100)*(C5588*VLOOKUP(B5588,'Poids des runes'!A:B,2,FALSE)))+1)/VLOOKUP(B5588,'Poids des runes'!A:B,2,FALSE))</f>
        <v>10.705</v>
      </c>
      <c r="F5588">
        <f t="shared" si="87"/>
        <v>10.705</v>
      </c>
    </row>
    <row r="5589" spans="1:6" x14ac:dyDescent="0.3">
      <c r="A5589" t="s">
        <v>1149</v>
      </c>
      <c r="B5589" t="s">
        <v>2145</v>
      </c>
      <c r="C5589">
        <v>6.5</v>
      </c>
      <c r="D5589">
        <v>157</v>
      </c>
      <c r="E5589">
        <f>IF(OR(B5589="vi",B5589="ii",B5589="pod"),(((D5589/100)*(C5589*VLOOKUP(B5589,'Poids des runes'!A:B,2,FALSE)))+1),(((D5589/100)*(C5589*VLOOKUP(B5589,'Poids des runes'!A:B,2,FALSE)))+1)/VLOOKUP(B5589,'Poids des runes'!A:B,2,FALSE))</f>
        <v>10.705</v>
      </c>
      <c r="F5589">
        <f t="shared" si="87"/>
        <v>10.705</v>
      </c>
    </row>
    <row r="5590" spans="1:6" x14ac:dyDescent="0.3">
      <c r="A5590" t="s">
        <v>1150</v>
      </c>
      <c r="B5590" t="s">
        <v>2130</v>
      </c>
      <c r="C5590">
        <v>70.5</v>
      </c>
      <c r="D5590">
        <v>158</v>
      </c>
      <c r="E5590">
        <f>IF(OR(B5590="vi",B5590="ii",B5590="pod"),(((D5590/100)*(C5590*VLOOKUP(B5590,'Poids des runes'!A:B,2,FALSE)))+1),(((D5590/100)*(C5590*VLOOKUP(B5590,'Poids des runes'!A:B,2,FALSE)))+1)/VLOOKUP(B5590,'Poids des runes'!A:B,2,FALSE))</f>
        <v>112.39</v>
      </c>
      <c r="F5590">
        <f t="shared" si="87"/>
        <v>112.39</v>
      </c>
    </row>
    <row r="5591" spans="1:6" x14ac:dyDescent="0.3">
      <c r="A5591" t="s">
        <v>1150</v>
      </c>
      <c r="B5591" t="s">
        <v>2129</v>
      </c>
      <c r="C5591">
        <v>40.5</v>
      </c>
      <c r="D5591">
        <v>158</v>
      </c>
      <c r="E5591">
        <f>IF(OR(B5591="vi",B5591="ii",B5591="pod"),(((D5591/100)*(C5591*VLOOKUP(B5591,'Poids des runes'!A:B,2,FALSE)))+1),(((D5591/100)*(C5591*VLOOKUP(B5591,'Poids des runes'!A:B,2,FALSE)))+1)/VLOOKUP(B5591,'Poids des runes'!A:B,2,FALSE))</f>
        <v>64.990000000000009</v>
      </c>
      <c r="F5591">
        <f t="shared" si="87"/>
        <v>64.990000000000009</v>
      </c>
    </row>
    <row r="5592" spans="1:6" x14ac:dyDescent="0.3">
      <c r="A5592" t="s">
        <v>1150</v>
      </c>
      <c r="B5592" t="s">
        <v>2139</v>
      </c>
      <c r="C5592">
        <v>13</v>
      </c>
      <c r="D5592">
        <v>158</v>
      </c>
      <c r="E5592">
        <f>IF(OR(B5592="vi",B5592="ii",B5592="pod"),(((D5592/100)*(C5592*VLOOKUP(B5592,'Poids des runes'!A:B,2,FALSE)))+1),(((D5592/100)*(C5592*VLOOKUP(B5592,'Poids des runes'!A:B,2,FALSE)))+1)/VLOOKUP(B5592,'Poids des runes'!A:B,2,FALSE))</f>
        <v>21.04</v>
      </c>
      <c r="F5592">
        <f t="shared" si="87"/>
        <v>21.04</v>
      </c>
    </row>
    <row r="5593" spans="1:6" x14ac:dyDescent="0.3">
      <c r="A5593" t="s">
        <v>1150</v>
      </c>
      <c r="B5593" t="s">
        <v>2151</v>
      </c>
      <c r="C5593">
        <v>4.5</v>
      </c>
      <c r="D5593">
        <v>158</v>
      </c>
      <c r="E5593">
        <f>IF(OR(B5593="vi",B5593="ii",B5593="pod"),(((D5593/100)*(C5593*VLOOKUP(B5593,'Poids des runes'!A:B,2,FALSE)))+1),(((D5593/100)*(C5593*VLOOKUP(B5593,'Poids des runes'!A:B,2,FALSE)))+1)/VLOOKUP(B5593,'Poids des runes'!A:B,2,FALSE))</f>
        <v>7.2100000000000009</v>
      </c>
      <c r="F5593">
        <f t="shared" si="87"/>
        <v>7.2100000000000009</v>
      </c>
    </row>
    <row r="5594" spans="1:6" x14ac:dyDescent="0.3">
      <c r="A5594" t="s">
        <v>1150</v>
      </c>
      <c r="B5594" t="s">
        <v>2155</v>
      </c>
      <c r="C5594">
        <v>1</v>
      </c>
      <c r="D5594">
        <v>158</v>
      </c>
      <c r="E5594">
        <f>IF(OR(B5594="vi",B5594="ii",B5594="pod"),(((D5594/100)*(C5594*VLOOKUP(B5594,'Poids des runes'!A:B,2,FALSE)))+1),(((D5594/100)*(C5594*VLOOKUP(B5594,'Poids des runes'!A:B,2,FALSE)))+1)/VLOOKUP(B5594,'Poids des runes'!A:B,2,FALSE))</f>
        <v>1.5996078431372549</v>
      </c>
      <c r="F5594">
        <f t="shared" si="87"/>
        <v>1.5996078431372549</v>
      </c>
    </row>
    <row r="5595" spans="1:6" x14ac:dyDescent="0.3">
      <c r="A5595" t="s">
        <v>1150</v>
      </c>
      <c r="B5595" t="s">
        <v>2134</v>
      </c>
      <c r="C5595">
        <v>13</v>
      </c>
      <c r="D5595">
        <v>158</v>
      </c>
      <c r="E5595">
        <f>IF(OR(B5595="vi",B5595="ii",B5595="pod"),(((D5595/100)*(C5595*VLOOKUP(B5595,'Poids des runes'!A:B,2,FALSE)))+1),(((D5595/100)*(C5595*VLOOKUP(B5595,'Poids des runes'!A:B,2,FALSE)))+1)/VLOOKUP(B5595,'Poids des runes'!A:B,2,FALSE))</f>
        <v>20.59</v>
      </c>
      <c r="F5595">
        <f t="shared" si="87"/>
        <v>20.59</v>
      </c>
    </row>
    <row r="5596" spans="1:6" x14ac:dyDescent="0.3">
      <c r="A5596" t="s">
        <v>1150</v>
      </c>
      <c r="B5596" t="s">
        <v>2161</v>
      </c>
      <c r="C5596">
        <v>15.5</v>
      </c>
      <c r="D5596">
        <v>158</v>
      </c>
      <c r="E5596">
        <f>IF(OR(B5596="vi",B5596="ii",B5596="pod"),(((D5596/100)*(C5596*VLOOKUP(B5596,'Poids des runes'!A:B,2,FALSE)))+1),(((D5596/100)*(C5596*VLOOKUP(B5596,'Poids des runes'!A:B,2,FALSE)))+1)/VLOOKUP(B5596,'Poids des runes'!A:B,2,FALSE))</f>
        <v>24.823333333333334</v>
      </c>
      <c r="F5596">
        <f t="shared" si="87"/>
        <v>24.823333333333334</v>
      </c>
    </row>
    <row r="5597" spans="1:6" x14ac:dyDescent="0.3">
      <c r="A5597" t="s">
        <v>1150</v>
      </c>
      <c r="B5597" t="s">
        <v>2132</v>
      </c>
      <c r="C5597">
        <v>400.5</v>
      </c>
      <c r="D5597">
        <v>158</v>
      </c>
      <c r="E5597">
        <f>IF(OR(B5597="vi",B5597="ii",B5597="pod"),(((D5597/100)*(C5597*VLOOKUP(B5597,'Poids des runes'!A:B,2,FALSE)))+1),(((D5597/100)*(C5597*VLOOKUP(B5597,'Poids des runes'!A:B,2,FALSE)))+1)/VLOOKUP(B5597,'Poids des runes'!A:B,2,FALSE))</f>
        <v>64.279000000000011</v>
      </c>
      <c r="F5597">
        <f t="shared" si="87"/>
        <v>64.279000000000011</v>
      </c>
    </row>
    <row r="5598" spans="1:6" x14ac:dyDescent="0.3">
      <c r="A5598" t="s">
        <v>1150</v>
      </c>
      <c r="B5598" t="s">
        <v>2148</v>
      </c>
      <c r="C5598">
        <v>11.5</v>
      </c>
      <c r="D5598">
        <v>158</v>
      </c>
      <c r="E5598">
        <f>IF(OR(B5598="vi",B5598="ii",B5598="pod"),(((D5598/100)*(C5598*VLOOKUP(B5598,'Poids des runes'!A:B,2,FALSE)))+1),(((D5598/100)*(C5598*VLOOKUP(B5598,'Poids des runes'!A:B,2,FALSE)))+1)/VLOOKUP(B5598,'Poids des runes'!A:B,2,FALSE))</f>
        <v>18.33666666666667</v>
      </c>
      <c r="F5598">
        <f t="shared" si="87"/>
        <v>18.33666666666667</v>
      </c>
    </row>
    <row r="5599" spans="1:6" x14ac:dyDescent="0.3">
      <c r="A5599" t="s">
        <v>1150</v>
      </c>
      <c r="B5599" t="s">
        <v>2137</v>
      </c>
      <c r="C5599">
        <v>11.5</v>
      </c>
      <c r="D5599">
        <v>158</v>
      </c>
      <c r="E5599">
        <f>IF(OR(B5599="vi",B5599="ii",B5599="pod"),(((D5599/100)*(C5599*VLOOKUP(B5599,'Poids des runes'!A:B,2,FALSE)))+1),(((D5599/100)*(C5599*VLOOKUP(B5599,'Poids des runes'!A:B,2,FALSE)))+1)/VLOOKUP(B5599,'Poids des runes'!A:B,2,FALSE))</f>
        <v>18.670000000000002</v>
      </c>
      <c r="F5599">
        <f t="shared" si="87"/>
        <v>18.670000000000002</v>
      </c>
    </row>
    <row r="5600" spans="1:6" x14ac:dyDescent="0.3">
      <c r="A5600" t="s">
        <v>1151</v>
      </c>
      <c r="B5600" t="s">
        <v>2131</v>
      </c>
      <c r="C5600">
        <v>70.5</v>
      </c>
      <c r="D5600">
        <v>158</v>
      </c>
      <c r="E5600">
        <f>IF(OR(B5600="vi",B5600="ii",B5600="pod"),(((D5600/100)*(C5600*VLOOKUP(B5600,'Poids des runes'!A:B,2,FALSE)))+1),(((D5600/100)*(C5600*VLOOKUP(B5600,'Poids des runes'!A:B,2,FALSE)))+1)/VLOOKUP(B5600,'Poids des runes'!A:B,2,FALSE))</f>
        <v>112.39</v>
      </c>
      <c r="F5600">
        <f t="shared" si="87"/>
        <v>112.39</v>
      </c>
    </row>
    <row r="5601" spans="1:6" x14ac:dyDescent="0.3">
      <c r="A5601" t="s">
        <v>1151</v>
      </c>
      <c r="B5601" t="s">
        <v>2129</v>
      </c>
      <c r="C5601">
        <v>40.5</v>
      </c>
      <c r="D5601">
        <v>158</v>
      </c>
      <c r="E5601">
        <f>IF(OR(B5601="vi",B5601="ii",B5601="pod"),(((D5601/100)*(C5601*VLOOKUP(B5601,'Poids des runes'!A:B,2,FALSE)))+1),(((D5601/100)*(C5601*VLOOKUP(B5601,'Poids des runes'!A:B,2,FALSE)))+1)/VLOOKUP(B5601,'Poids des runes'!A:B,2,FALSE))</f>
        <v>64.990000000000009</v>
      </c>
      <c r="F5601">
        <f t="shared" si="87"/>
        <v>64.990000000000009</v>
      </c>
    </row>
    <row r="5602" spans="1:6" x14ac:dyDescent="0.3">
      <c r="A5602" t="s">
        <v>1151</v>
      </c>
      <c r="B5602" t="s">
        <v>2139</v>
      </c>
      <c r="C5602">
        <v>13</v>
      </c>
      <c r="D5602">
        <v>158</v>
      </c>
      <c r="E5602">
        <f>IF(OR(B5602="vi",B5602="ii",B5602="pod"),(((D5602/100)*(C5602*VLOOKUP(B5602,'Poids des runes'!A:B,2,FALSE)))+1),(((D5602/100)*(C5602*VLOOKUP(B5602,'Poids des runes'!A:B,2,FALSE)))+1)/VLOOKUP(B5602,'Poids des runes'!A:B,2,FALSE))</f>
        <v>21.04</v>
      </c>
      <c r="F5602">
        <f t="shared" si="87"/>
        <v>21.04</v>
      </c>
    </row>
    <row r="5603" spans="1:6" x14ac:dyDescent="0.3">
      <c r="A5603" t="s">
        <v>1151</v>
      </c>
      <c r="B5603" t="s">
        <v>2151</v>
      </c>
      <c r="C5603">
        <v>4.5</v>
      </c>
      <c r="D5603">
        <v>158</v>
      </c>
      <c r="E5603">
        <f>IF(OR(B5603="vi",B5603="ii",B5603="pod"),(((D5603/100)*(C5603*VLOOKUP(B5603,'Poids des runes'!A:B,2,FALSE)))+1),(((D5603/100)*(C5603*VLOOKUP(B5603,'Poids des runes'!A:B,2,FALSE)))+1)/VLOOKUP(B5603,'Poids des runes'!A:B,2,FALSE))</f>
        <v>7.2100000000000009</v>
      </c>
      <c r="F5603">
        <f t="shared" si="87"/>
        <v>7.2100000000000009</v>
      </c>
    </row>
    <row r="5604" spans="1:6" x14ac:dyDescent="0.3">
      <c r="A5604" t="s">
        <v>1151</v>
      </c>
      <c r="B5604" t="s">
        <v>2155</v>
      </c>
      <c r="C5604">
        <v>1</v>
      </c>
      <c r="D5604">
        <v>158</v>
      </c>
      <c r="E5604">
        <f>IF(OR(B5604="vi",B5604="ii",B5604="pod"),(((D5604/100)*(C5604*VLOOKUP(B5604,'Poids des runes'!A:B,2,FALSE)))+1),(((D5604/100)*(C5604*VLOOKUP(B5604,'Poids des runes'!A:B,2,FALSE)))+1)/VLOOKUP(B5604,'Poids des runes'!A:B,2,FALSE))</f>
        <v>1.5996078431372549</v>
      </c>
      <c r="F5604">
        <f t="shared" si="87"/>
        <v>1.5996078431372549</v>
      </c>
    </row>
    <row r="5605" spans="1:6" x14ac:dyDescent="0.3">
      <c r="A5605" t="s">
        <v>1151</v>
      </c>
      <c r="B5605" t="s">
        <v>2134</v>
      </c>
      <c r="C5605">
        <v>13</v>
      </c>
      <c r="D5605">
        <v>158</v>
      </c>
      <c r="E5605">
        <f>IF(OR(B5605="vi",B5605="ii",B5605="pod"),(((D5605/100)*(C5605*VLOOKUP(B5605,'Poids des runes'!A:B,2,FALSE)))+1),(((D5605/100)*(C5605*VLOOKUP(B5605,'Poids des runes'!A:B,2,FALSE)))+1)/VLOOKUP(B5605,'Poids des runes'!A:B,2,FALSE))</f>
        <v>20.59</v>
      </c>
      <c r="F5605">
        <f t="shared" si="87"/>
        <v>20.59</v>
      </c>
    </row>
    <row r="5606" spans="1:6" x14ac:dyDescent="0.3">
      <c r="A5606" t="s">
        <v>1151</v>
      </c>
      <c r="B5606" t="s">
        <v>2161</v>
      </c>
      <c r="C5606">
        <v>15.5</v>
      </c>
      <c r="D5606">
        <v>158</v>
      </c>
      <c r="E5606">
        <f>IF(OR(B5606="vi",B5606="ii",B5606="pod"),(((D5606/100)*(C5606*VLOOKUP(B5606,'Poids des runes'!A:B,2,FALSE)))+1),(((D5606/100)*(C5606*VLOOKUP(B5606,'Poids des runes'!A:B,2,FALSE)))+1)/VLOOKUP(B5606,'Poids des runes'!A:B,2,FALSE))</f>
        <v>24.823333333333334</v>
      </c>
      <c r="F5606">
        <f t="shared" si="87"/>
        <v>24.823333333333334</v>
      </c>
    </row>
    <row r="5607" spans="1:6" x14ac:dyDescent="0.3">
      <c r="A5607" t="s">
        <v>1151</v>
      </c>
      <c r="B5607" t="s">
        <v>2132</v>
      </c>
      <c r="C5607">
        <v>400.5</v>
      </c>
      <c r="D5607">
        <v>158</v>
      </c>
      <c r="E5607">
        <f>IF(OR(B5607="vi",B5607="ii",B5607="pod"),(((D5607/100)*(C5607*VLOOKUP(B5607,'Poids des runes'!A:B,2,FALSE)))+1),(((D5607/100)*(C5607*VLOOKUP(B5607,'Poids des runes'!A:B,2,FALSE)))+1)/VLOOKUP(B5607,'Poids des runes'!A:B,2,FALSE))</f>
        <v>64.279000000000011</v>
      </c>
      <c r="F5607">
        <f t="shared" si="87"/>
        <v>64.279000000000011</v>
      </c>
    </row>
    <row r="5608" spans="1:6" x14ac:dyDescent="0.3">
      <c r="A5608" t="s">
        <v>1151</v>
      </c>
      <c r="B5608" t="s">
        <v>2135</v>
      </c>
      <c r="C5608">
        <v>11.5</v>
      </c>
      <c r="D5608">
        <v>158</v>
      </c>
      <c r="E5608">
        <f>IF(OR(B5608="vi",B5608="ii",B5608="pod"),(((D5608/100)*(C5608*VLOOKUP(B5608,'Poids des runes'!A:B,2,FALSE)))+1),(((D5608/100)*(C5608*VLOOKUP(B5608,'Poids des runes'!A:B,2,FALSE)))+1)/VLOOKUP(B5608,'Poids des runes'!A:B,2,FALSE))</f>
        <v>18.33666666666667</v>
      </c>
      <c r="F5608">
        <f t="shared" si="87"/>
        <v>18.33666666666667</v>
      </c>
    </row>
    <row r="5609" spans="1:6" x14ac:dyDescent="0.3">
      <c r="A5609" t="s">
        <v>1151</v>
      </c>
      <c r="B5609" t="s">
        <v>2145</v>
      </c>
      <c r="C5609">
        <v>11.5</v>
      </c>
      <c r="D5609">
        <v>158</v>
      </c>
      <c r="E5609">
        <f>IF(OR(B5609="vi",B5609="ii",B5609="pod"),(((D5609/100)*(C5609*VLOOKUP(B5609,'Poids des runes'!A:B,2,FALSE)))+1),(((D5609/100)*(C5609*VLOOKUP(B5609,'Poids des runes'!A:B,2,FALSE)))+1)/VLOOKUP(B5609,'Poids des runes'!A:B,2,FALSE))</f>
        <v>18.670000000000002</v>
      </c>
      <c r="F5609">
        <f t="shared" si="87"/>
        <v>18.670000000000002</v>
      </c>
    </row>
    <row r="5610" spans="1:6" x14ac:dyDescent="0.3">
      <c r="A5610" t="s">
        <v>1152</v>
      </c>
      <c r="B5610" t="s">
        <v>2127</v>
      </c>
      <c r="C5610">
        <v>70.5</v>
      </c>
      <c r="D5610">
        <v>158</v>
      </c>
      <c r="E5610">
        <f>IF(OR(B5610="vi",B5610="ii",B5610="pod"),(((D5610/100)*(C5610*VLOOKUP(B5610,'Poids des runes'!A:B,2,FALSE)))+1),(((D5610/100)*(C5610*VLOOKUP(B5610,'Poids des runes'!A:B,2,FALSE)))+1)/VLOOKUP(B5610,'Poids des runes'!A:B,2,FALSE))</f>
        <v>112.39</v>
      </c>
      <c r="F5610">
        <f t="shared" si="87"/>
        <v>112.39</v>
      </c>
    </row>
    <row r="5611" spans="1:6" x14ac:dyDescent="0.3">
      <c r="A5611" t="s">
        <v>1152</v>
      </c>
      <c r="B5611" t="s">
        <v>2129</v>
      </c>
      <c r="C5611">
        <v>40.5</v>
      </c>
      <c r="D5611">
        <v>158</v>
      </c>
      <c r="E5611">
        <f>IF(OR(B5611="vi",B5611="ii",B5611="pod"),(((D5611/100)*(C5611*VLOOKUP(B5611,'Poids des runes'!A:B,2,FALSE)))+1),(((D5611/100)*(C5611*VLOOKUP(B5611,'Poids des runes'!A:B,2,FALSE)))+1)/VLOOKUP(B5611,'Poids des runes'!A:B,2,FALSE))</f>
        <v>64.990000000000009</v>
      </c>
      <c r="F5611">
        <f t="shared" si="87"/>
        <v>64.990000000000009</v>
      </c>
    </row>
    <row r="5612" spans="1:6" x14ac:dyDescent="0.3">
      <c r="A5612" t="s">
        <v>1152</v>
      </c>
      <c r="B5612" t="s">
        <v>2139</v>
      </c>
      <c r="C5612">
        <v>13</v>
      </c>
      <c r="D5612">
        <v>158</v>
      </c>
      <c r="E5612">
        <f>IF(OR(B5612="vi",B5612="ii",B5612="pod"),(((D5612/100)*(C5612*VLOOKUP(B5612,'Poids des runes'!A:B,2,FALSE)))+1),(((D5612/100)*(C5612*VLOOKUP(B5612,'Poids des runes'!A:B,2,FALSE)))+1)/VLOOKUP(B5612,'Poids des runes'!A:B,2,FALSE))</f>
        <v>21.04</v>
      </c>
      <c r="F5612">
        <f t="shared" si="87"/>
        <v>21.04</v>
      </c>
    </row>
    <row r="5613" spans="1:6" x14ac:dyDescent="0.3">
      <c r="A5613" t="s">
        <v>1152</v>
      </c>
      <c r="B5613" t="s">
        <v>2151</v>
      </c>
      <c r="C5613">
        <v>4.5</v>
      </c>
      <c r="D5613">
        <v>158</v>
      </c>
      <c r="E5613">
        <f>IF(OR(B5613="vi",B5613="ii",B5613="pod"),(((D5613/100)*(C5613*VLOOKUP(B5613,'Poids des runes'!A:B,2,FALSE)))+1),(((D5613/100)*(C5613*VLOOKUP(B5613,'Poids des runes'!A:B,2,FALSE)))+1)/VLOOKUP(B5613,'Poids des runes'!A:B,2,FALSE))</f>
        <v>7.2100000000000009</v>
      </c>
      <c r="F5613">
        <f t="shared" si="87"/>
        <v>7.2100000000000009</v>
      </c>
    </row>
    <row r="5614" spans="1:6" x14ac:dyDescent="0.3">
      <c r="A5614" t="s">
        <v>1152</v>
      </c>
      <c r="B5614" t="s">
        <v>2155</v>
      </c>
      <c r="C5614">
        <v>1</v>
      </c>
      <c r="D5614">
        <v>158</v>
      </c>
      <c r="E5614">
        <f>IF(OR(B5614="vi",B5614="ii",B5614="pod"),(((D5614/100)*(C5614*VLOOKUP(B5614,'Poids des runes'!A:B,2,FALSE)))+1),(((D5614/100)*(C5614*VLOOKUP(B5614,'Poids des runes'!A:B,2,FALSE)))+1)/VLOOKUP(B5614,'Poids des runes'!A:B,2,FALSE))</f>
        <v>1.5996078431372549</v>
      </c>
      <c r="F5614">
        <f t="shared" si="87"/>
        <v>1.5996078431372549</v>
      </c>
    </row>
    <row r="5615" spans="1:6" x14ac:dyDescent="0.3">
      <c r="A5615" t="s">
        <v>1152</v>
      </c>
      <c r="B5615" t="s">
        <v>2134</v>
      </c>
      <c r="C5615">
        <v>13</v>
      </c>
      <c r="D5615">
        <v>158</v>
      </c>
      <c r="E5615">
        <f>IF(OR(B5615="vi",B5615="ii",B5615="pod"),(((D5615/100)*(C5615*VLOOKUP(B5615,'Poids des runes'!A:B,2,FALSE)))+1),(((D5615/100)*(C5615*VLOOKUP(B5615,'Poids des runes'!A:B,2,FALSE)))+1)/VLOOKUP(B5615,'Poids des runes'!A:B,2,FALSE))</f>
        <v>20.59</v>
      </c>
      <c r="F5615">
        <f t="shared" si="87"/>
        <v>20.59</v>
      </c>
    </row>
    <row r="5616" spans="1:6" x14ac:dyDescent="0.3">
      <c r="A5616" t="s">
        <v>1152</v>
      </c>
      <c r="B5616" t="s">
        <v>2161</v>
      </c>
      <c r="C5616">
        <v>15.5</v>
      </c>
      <c r="D5616">
        <v>158</v>
      </c>
      <c r="E5616">
        <f>IF(OR(B5616="vi",B5616="ii",B5616="pod"),(((D5616/100)*(C5616*VLOOKUP(B5616,'Poids des runes'!A:B,2,FALSE)))+1),(((D5616/100)*(C5616*VLOOKUP(B5616,'Poids des runes'!A:B,2,FALSE)))+1)/VLOOKUP(B5616,'Poids des runes'!A:B,2,FALSE))</f>
        <v>24.823333333333334</v>
      </c>
      <c r="F5616">
        <f t="shared" si="87"/>
        <v>24.823333333333334</v>
      </c>
    </row>
    <row r="5617" spans="1:6" x14ac:dyDescent="0.3">
      <c r="A5617" t="s">
        <v>1152</v>
      </c>
      <c r="B5617" t="s">
        <v>2132</v>
      </c>
      <c r="C5617">
        <v>400.5</v>
      </c>
      <c r="D5617">
        <v>158</v>
      </c>
      <c r="E5617">
        <f>IF(OR(B5617="vi",B5617="ii",B5617="pod"),(((D5617/100)*(C5617*VLOOKUP(B5617,'Poids des runes'!A:B,2,FALSE)))+1),(((D5617/100)*(C5617*VLOOKUP(B5617,'Poids des runes'!A:B,2,FALSE)))+1)/VLOOKUP(B5617,'Poids des runes'!A:B,2,FALSE))</f>
        <v>64.279000000000011</v>
      </c>
      <c r="F5617">
        <f t="shared" si="87"/>
        <v>64.279000000000011</v>
      </c>
    </row>
    <row r="5618" spans="1:6" x14ac:dyDescent="0.3">
      <c r="A5618" t="s">
        <v>1152</v>
      </c>
      <c r="B5618" t="s">
        <v>2157</v>
      </c>
      <c r="C5618">
        <v>11.5</v>
      </c>
      <c r="D5618">
        <v>158</v>
      </c>
      <c r="E5618">
        <f>IF(OR(B5618="vi",B5618="ii",B5618="pod"),(((D5618/100)*(C5618*VLOOKUP(B5618,'Poids des runes'!A:B,2,FALSE)))+1),(((D5618/100)*(C5618*VLOOKUP(B5618,'Poids des runes'!A:B,2,FALSE)))+1)/VLOOKUP(B5618,'Poids des runes'!A:B,2,FALSE))</f>
        <v>18.33666666666667</v>
      </c>
      <c r="F5618">
        <f t="shared" si="87"/>
        <v>18.33666666666667</v>
      </c>
    </row>
    <row r="5619" spans="1:6" x14ac:dyDescent="0.3">
      <c r="A5619" t="s">
        <v>1152</v>
      </c>
      <c r="B5619" t="s">
        <v>2146</v>
      </c>
      <c r="C5619">
        <v>11.5</v>
      </c>
      <c r="D5619">
        <v>158</v>
      </c>
      <c r="E5619">
        <f>IF(OR(B5619="vi",B5619="ii",B5619="pod"),(((D5619/100)*(C5619*VLOOKUP(B5619,'Poids des runes'!A:B,2,FALSE)))+1),(((D5619/100)*(C5619*VLOOKUP(B5619,'Poids des runes'!A:B,2,FALSE)))+1)/VLOOKUP(B5619,'Poids des runes'!A:B,2,FALSE))</f>
        <v>18.670000000000002</v>
      </c>
      <c r="F5619">
        <f t="shared" si="87"/>
        <v>18.670000000000002</v>
      </c>
    </row>
    <row r="5620" spans="1:6" x14ac:dyDescent="0.3">
      <c r="A5620" t="s">
        <v>1153</v>
      </c>
      <c r="B5620" t="s">
        <v>2126</v>
      </c>
      <c r="C5620">
        <v>70.5</v>
      </c>
      <c r="D5620">
        <v>158</v>
      </c>
      <c r="E5620">
        <f>IF(OR(B5620="vi",B5620="ii",B5620="pod"),(((D5620/100)*(C5620*VLOOKUP(B5620,'Poids des runes'!A:B,2,FALSE)))+1),(((D5620/100)*(C5620*VLOOKUP(B5620,'Poids des runes'!A:B,2,FALSE)))+1)/VLOOKUP(B5620,'Poids des runes'!A:B,2,FALSE))</f>
        <v>112.39</v>
      </c>
      <c r="F5620">
        <f t="shared" si="87"/>
        <v>112.39</v>
      </c>
    </row>
    <row r="5621" spans="1:6" x14ac:dyDescent="0.3">
      <c r="A5621" t="s">
        <v>1153</v>
      </c>
      <c r="B5621" t="s">
        <v>2129</v>
      </c>
      <c r="C5621">
        <v>40.5</v>
      </c>
      <c r="D5621">
        <v>158</v>
      </c>
      <c r="E5621">
        <f>IF(OR(B5621="vi",B5621="ii",B5621="pod"),(((D5621/100)*(C5621*VLOOKUP(B5621,'Poids des runes'!A:B,2,FALSE)))+1),(((D5621/100)*(C5621*VLOOKUP(B5621,'Poids des runes'!A:B,2,FALSE)))+1)/VLOOKUP(B5621,'Poids des runes'!A:B,2,FALSE))</f>
        <v>64.990000000000009</v>
      </c>
      <c r="F5621">
        <f t="shared" si="87"/>
        <v>64.990000000000009</v>
      </c>
    </row>
    <row r="5622" spans="1:6" x14ac:dyDescent="0.3">
      <c r="A5622" t="s">
        <v>1153</v>
      </c>
      <c r="B5622" t="s">
        <v>2139</v>
      </c>
      <c r="C5622">
        <v>13</v>
      </c>
      <c r="D5622">
        <v>158</v>
      </c>
      <c r="E5622">
        <f>IF(OR(B5622="vi",B5622="ii",B5622="pod"),(((D5622/100)*(C5622*VLOOKUP(B5622,'Poids des runes'!A:B,2,FALSE)))+1),(((D5622/100)*(C5622*VLOOKUP(B5622,'Poids des runes'!A:B,2,FALSE)))+1)/VLOOKUP(B5622,'Poids des runes'!A:B,2,FALSE))</f>
        <v>21.04</v>
      </c>
      <c r="F5622">
        <f t="shared" si="87"/>
        <v>21.04</v>
      </c>
    </row>
    <row r="5623" spans="1:6" x14ac:dyDescent="0.3">
      <c r="A5623" t="s">
        <v>1153</v>
      </c>
      <c r="B5623" t="s">
        <v>2151</v>
      </c>
      <c r="C5623">
        <v>4.5</v>
      </c>
      <c r="D5623">
        <v>158</v>
      </c>
      <c r="E5623">
        <f>IF(OR(B5623="vi",B5623="ii",B5623="pod"),(((D5623/100)*(C5623*VLOOKUP(B5623,'Poids des runes'!A:B,2,FALSE)))+1),(((D5623/100)*(C5623*VLOOKUP(B5623,'Poids des runes'!A:B,2,FALSE)))+1)/VLOOKUP(B5623,'Poids des runes'!A:B,2,FALSE))</f>
        <v>7.2100000000000009</v>
      </c>
      <c r="F5623">
        <f t="shared" si="87"/>
        <v>7.2100000000000009</v>
      </c>
    </row>
    <row r="5624" spans="1:6" x14ac:dyDescent="0.3">
      <c r="A5624" t="s">
        <v>1153</v>
      </c>
      <c r="B5624" t="s">
        <v>2155</v>
      </c>
      <c r="C5624">
        <v>1</v>
      </c>
      <c r="D5624">
        <v>158</v>
      </c>
      <c r="E5624">
        <f>IF(OR(B5624="vi",B5624="ii",B5624="pod"),(((D5624/100)*(C5624*VLOOKUP(B5624,'Poids des runes'!A:B,2,FALSE)))+1),(((D5624/100)*(C5624*VLOOKUP(B5624,'Poids des runes'!A:B,2,FALSE)))+1)/VLOOKUP(B5624,'Poids des runes'!A:B,2,FALSE))</f>
        <v>1.5996078431372549</v>
      </c>
      <c r="F5624">
        <f t="shared" si="87"/>
        <v>1.5996078431372549</v>
      </c>
    </row>
    <row r="5625" spans="1:6" x14ac:dyDescent="0.3">
      <c r="A5625" t="s">
        <v>1153</v>
      </c>
      <c r="B5625" t="s">
        <v>2134</v>
      </c>
      <c r="C5625">
        <v>13</v>
      </c>
      <c r="D5625">
        <v>158</v>
      </c>
      <c r="E5625">
        <f>IF(OR(B5625="vi",B5625="ii",B5625="pod"),(((D5625/100)*(C5625*VLOOKUP(B5625,'Poids des runes'!A:B,2,FALSE)))+1),(((D5625/100)*(C5625*VLOOKUP(B5625,'Poids des runes'!A:B,2,FALSE)))+1)/VLOOKUP(B5625,'Poids des runes'!A:B,2,FALSE))</f>
        <v>20.59</v>
      </c>
      <c r="F5625">
        <f t="shared" si="87"/>
        <v>20.59</v>
      </c>
    </row>
    <row r="5626" spans="1:6" x14ac:dyDescent="0.3">
      <c r="A5626" t="s">
        <v>1153</v>
      </c>
      <c r="B5626" t="s">
        <v>2161</v>
      </c>
      <c r="C5626">
        <v>15.5</v>
      </c>
      <c r="D5626">
        <v>158</v>
      </c>
      <c r="E5626">
        <f>IF(OR(B5626="vi",B5626="ii",B5626="pod"),(((D5626/100)*(C5626*VLOOKUP(B5626,'Poids des runes'!A:B,2,FALSE)))+1),(((D5626/100)*(C5626*VLOOKUP(B5626,'Poids des runes'!A:B,2,FALSE)))+1)/VLOOKUP(B5626,'Poids des runes'!A:B,2,FALSE))</f>
        <v>24.823333333333334</v>
      </c>
      <c r="F5626">
        <f t="shared" si="87"/>
        <v>24.823333333333334</v>
      </c>
    </row>
    <row r="5627" spans="1:6" x14ac:dyDescent="0.3">
      <c r="A5627" t="s">
        <v>1153</v>
      </c>
      <c r="B5627" t="s">
        <v>2132</v>
      </c>
      <c r="C5627">
        <v>400.5</v>
      </c>
      <c r="D5627">
        <v>158</v>
      </c>
      <c r="E5627">
        <f>IF(OR(B5627="vi",B5627="ii",B5627="pod"),(((D5627/100)*(C5627*VLOOKUP(B5627,'Poids des runes'!A:B,2,FALSE)))+1),(((D5627/100)*(C5627*VLOOKUP(B5627,'Poids des runes'!A:B,2,FALSE)))+1)/VLOOKUP(B5627,'Poids des runes'!A:B,2,FALSE))</f>
        <v>64.279000000000011</v>
      </c>
      <c r="F5627">
        <f t="shared" si="87"/>
        <v>64.279000000000011</v>
      </c>
    </row>
    <row r="5628" spans="1:6" x14ac:dyDescent="0.3">
      <c r="A5628" t="s">
        <v>1153</v>
      </c>
      <c r="B5628" t="s">
        <v>2147</v>
      </c>
      <c r="C5628">
        <v>11.5</v>
      </c>
      <c r="D5628">
        <v>158</v>
      </c>
      <c r="E5628">
        <f>IF(OR(B5628="vi",B5628="ii",B5628="pod"),(((D5628/100)*(C5628*VLOOKUP(B5628,'Poids des runes'!A:B,2,FALSE)))+1),(((D5628/100)*(C5628*VLOOKUP(B5628,'Poids des runes'!A:B,2,FALSE)))+1)/VLOOKUP(B5628,'Poids des runes'!A:B,2,FALSE))</f>
        <v>18.33666666666667</v>
      </c>
      <c r="F5628">
        <f t="shared" si="87"/>
        <v>18.33666666666667</v>
      </c>
    </row>
    <row r="5629" spans="1:6" x14ac:dyDescent="0.3">
      <c r="A5629" t="s">
        <v>1153</v>
      </c>
      <c r="B5629" t="s">
        <v>2144</v>
      </c>
      <c r="C5629">
        <v>11.5</v>
      </c>
      <c r="D5629">
        <v>158</v>
      </c>
      <c r="E5629">
        <f>IF(OR(B5629="vi",B5629="ii",B5629="pod"),(((D5629/100)*(C5629*VLOOKUP(B5629,'Poids des runes'!A:B,2,FALSE)))+1),(((D5629/100)*(C5629*VLOOKUP(B5629,'Poids des runes'!A:B,2,FALSE)))+1)/VLOOKUP(B5629,'Poids des runes'!A:B,2,FALSE))</f>
        <v>18.670000000000002</v>
      </c>
      <c r="F5629">
        <f t="shared" si="87"/>
        <v>18.670000000000002</v>
      </c>
    </row>
    <row r="5630" spans="1:6" x14ac:dyDescent="0.3">
      <c r="A5630" t="s">
        <v>1154</v>
      </c>
      <c r="B5630" t="s">
        <v>2128</v>
      </c>
      <c r="C5630">
        <v>205.5</v>
      </c>
      <c r="D5630">
        <v>158</v>
      </c>
      <c r="E5630">
        <f>IF(OR(B5630="vi",B5630="ii",B5630="pod"),(((D5630/100)*(C5630*VLOOKUP(B5630,'Poids des runes'!A:B,2,FALSE)))+1),(((D5630/100)*(C5630*VLOOKUP(B5630,'Poids des runes'!A:B,2,FALSE)))+1)/VLOOKUP(B5630,'Poids des runes'!A:B,2,FALSE))</f>
        <v>65.938000000000002</v>
      </c>
      <c r="F5630">
        <f t="shared" si="87"/>
        <v>65.938000000000002</v>
      </c>
    </row>
    <row r="5631" spans="1:6" x14ac:dyDescent="0.3">
      <c r="A5631" t="s">
        <v>1154</v>
      </c>
      <c r="B5631" t="s">
        <v>2126</v>
      </c>
      <c r="C5631">
        <v>33</v>
      </c>
      <c r="D5631">
        <v>158</v>
      </c>
      <c r="E5631">
        <f>IF(OR(B5631="vi",B5631="ii",B5631="pod"),(((D5631/100)*(C5631*VLOOKUP(B5631,'Poids des runes'!A:B,2,FALSE)))+1),(((D5631/100)*(C5631*VLOOKUP(B5631,'Poids des runes'!A:B,2,FALSE)))+1)/VLOOKUP(B5631,'Poids des runes'!A:B,2,FALSE))</f>
        <v>53.14</v>
      </c>
      <c r="F5631">
        <f t="shared" si="87"/>
        <v>53.14</v>
      </c>
    </row>
    <row r="5632" spans="1:6" x14ac:dyDescent="0.3">
      <c r="A5632" t="s">
        <v>1154</v>
      </c>
      <c r="B5632" t="s">
        <v>2131</v>
      </c>
      <c r="C5632">
        <v>33</v>
      </c>
      <c r="D5632">
        <v>158</v>
      </c>
      <c r="E5632">
        <f>IF(OR(B5632="vi",B5632="ii",B5632="pod"),(((D5632/100)*(C5632*VLOOKUP(B5632,'Poids des runes'!A:B,2,FALSE)))+1),(((D5632/100)*(C5632*VLOOKUP(B5632,'Poids des runes'!A:B,2,FALSE)))+1)/VLOOKUP(B5632,'Poids des runes'!A:B,2,FALSE))</f>
        <v>53.14</v>
      </c>
      <c r="F5632">
        <f t="shared" si="87"/>
        <v>53.14</v>
      </c>
    </row>
    <row r="5633" spans="1:6" x14ac:dyDescent="0.3">
      <c r="A5633" t="s">
        <v>1154</v>
      </c>
      <c r="B5633" t="s">
        <v>2129</v>
      </c>
      <c r="C5633">
        <v>33</v>
      </c>
      <c r="D5633">
        <v>158</v>
      </c>
      <c r="E5633">
        <f>IF(OR(B5633="vi",B5633="ii",B5633="pod"),(((D5633/100)*(C5633*VLOOKUP(B5633,'Poids des runes'!A:B,2,FALSE)))+1),(((D5633/100)*(C5633*VLOOKUP(B5633,'Poids des runes'!A:B,2,FALSE)))+1)/VLOOKUP(B5633,'Poids des runes'!A:B,2,FALSE))</f>
        <v>53.14</v>
      </c>
      <c r="F5633">
        <f t="shared" si="87"/>
        <v>53.14</v>
      </c>
    </row>
    <row r="5634" spans="1:6" x14ac:dyDescent="0.3">
      <c r="A5634" t="s">
        <v>1154</v>
      </c>
      <c r="B5634" t="s">
        <v>2139</v>
      </c>
      <c r="C5634">
        <v>13</v>
      </c>
      <c r="D5634">
        <v>158</v>
      </c>
      <c r="E5634">
        <f>IF(OR(B5634="vi",B5634="ii",B5634="pod"),(((D5634/100)*(C5634*VLOOKUP(B5634,'Poids des runes'!A:B,2,FALSE)))+1),(((D5634/100)*(C5634*VLOOKUP(B5634,'Poids des runes'!A:B,2,FALSE)))+1)/VLOOKUP(B5634,'Poids des runes'!A:B,2,FALSE))</f>
        <v>21.04</v>
      </c>
      <c r="F5634">
        <f t="shared" si="87"/>
        <v>21.04</v>
      </c>
    </row>
    <row r="5635" spans="1:6" x14ac:dyDescent="0.3">
      <c r="A5635" t="s">
        <v>1154</v>
      </c>
      <c r="B5635" t="s">
        <v>2151</v>
      </c>
      <c r="C5635">
        <v>3.5</v>
      </c>
      <c r="D5635">
        <v>158</v>
      </c>
      <c r="E5635">
        <f>IF(OR(B5635="vi",B5635="ii",B5635="pod"),(((D5635/100)*(C5635*VLOOKUP(B5635,'Poids des runes'!A:B,2,FALSE)))+1),(((D5635/100)*(C5635*VLOOKUP(B5635,'Poids des runes'!A:B,2,FALSE)))+1)/VLOOKUP(B5635,'Poids des runes'!A:B,2,FALSE))</f>
        <v>5.6300000000000008</v>
      </c>
      <c r="F5635">
        <f t="shared" ref="F5635:F5698" si="88">E5635</f>
        <v>5.6300000000000008</v>
      </c>
    </row>
    <row r="5636" spans="1:6" x14ac:dyDescent="0.3">
      <c r="A5636" t="s">
        <v>1154</v>
      </c>
      <c r="B5636" t="s">
        <v>2152</v>
      </c>
      <c r="C5636">
        <v>1</v>
      </c>
      <c r="D5636">
        <v>158</v>
      </c>
      <c r="E5636">
        <f>IF(OR(B5636="vi",B5636="ii",B5636="pod"),(((D5636/100)*(C5636*VLOOKUP(B5636,'Poids des runes'!A:B,2,FALSE)))+1),(((D5636/100)*(C5636*VLOOKUP(B5636,'Poids des runes'!A:B,2,FALSE)))+1)/VLOOKUP(B5636,'Poids des runes'!A:B,2,FALSE))</f>
        <v>1.59</v>
      </c>
      <c r="F5636">
        <f t="shared" si="88"/>
        <v>1.59</v>
      </c>
    </row>
    <row r="5637" spans="1:6" x14ac:dyDescent="0.3">
      <c r="A5637" t="s">
        <v>1154</v>
      </c>
      <c r="B5637" t="s">
        <v>2155</v>
      </c>
      <c r="C5637">
        <v>1</v>
      </c>
      <c r="D5637">
        <v>158</v>
      </c>
      <c r="E5637">
        <f>IF(OR(B5637="vi",B5637="ii",B5637="pod"),(((D5637/100)*(C5637*VLOOKUP(B5637,'Poids des runes'!A:B,2,FALSE)))+1),(((D5637/100)*(C5637*VLOOKUP(B5637,'Poids des runes'!A:B,2,FALSE)))+1)/VLOOKUP(B5637,'Poids des runes'!A:B,2,FALSE))</f>
        <v>1.5996078431372549</v>
      </c>
      <c r="F5637">
        <f t="shared" si="88"/>
        <v>1.5996078431372549</v>
      </c>
    </row>
    <row r="5638" spans="1:6" x14ac:dyDescent="0.3">
      <c r="A5638" t="s">
        <v>1154</v>
      </c>
      <c r="B5638" t="s">
        <v>2134</v>
      </c>
      <c r="C5638">
        <v>8</v>
      </c>
      <c r="D5638">
        <v>158</v>
      </c>
      <c r="E5638">
        <f>IF(OR(B5638="vi",B5638="ii",B5638="pod"),(((D5638/100)*(C5638*VLOOKUP(B5638,'Poids des runes'!A:B,2,FALSE)))+1),(((D5638/100)*(C5638*VLOOKUP(B5638,'Poids des runes'!A:B,2,FALSE)))+1)/VLOOKUP(B5638,'Poids des runes'!A:B,2,FALSE))</f>
        <v>12.690000000000001</v>
      </c>
      <c r="F5638">
        <f t="shared" si="88"/>
        <v>12.690000000000001</v>
      </c>
    </row>
    <row r="5639" spans="1:6" x14ac:dyDescent="0.3">
      <c r="A5639" t="s">
        <v>1154</v>
      </c>
      <c r="B5639" t="s">
        <v>2161</v>
      </c>
      <c r="C5639">
        <v>20.5</v>
      </c>
      <c r="D5639">
        <v>158</v>
      </c>
      <c r="E5639">
        <f>IF(OR(B5639="vi",B5639="ii",B5639="pod"),(((D5639/100)*(C5639*VLOOKUP(B5639,'Poids des runes'!A:B,2,FALSE)))+1),(((D5639/100)*(C5639*VLOOKUP(B5639,'Poids des runes'!A:B,2,FALSE)))+1)/VLOOKUP(B5639,'Poids des runes'!A:B,2,FALSE))</f>
        <v>32.723333333333336</v>
      </c>
      <c r="F5639">
        <f t="shared" si="88"/>
        <v>32.723333333333336</v>
      </c>
    </row>
    <row r="5640" spans="1:6" x14ac:dyDescent="0.3">
      <c r="A5640" t="s">
        <v>1155</v>
      </c>
      <c r="B5640" t="s">
        <v>2128</v>
      </c>
      <c r="C5640">
        <v>125.5</v>
      </c>
      <c r="D5640">
        <v>158</v>
      </c>
      <c r="E5640">
        <f>IF(OR(B5640="vi",B5640="ii",B5640="pod"),(((D5640/100)*(C5640*VLOOKUP(B5640,'Poids des runes'!A:B,2,FALSE)))+1),(((D5640/100)*(C5640*VLOOKUP(B5640,'Poids des runes'!A:B,2,FALSE)))+1)/VLOOKUP(B5640,'Poids des runes'!A:B,2,FALSE))</f>
        <v>40.658000000000001</v>
      </c>
      <c r="F5640">
        <f t="shared" si="88"/>
        <v>40.658000000000001</v>
      </c>
    </row>
    <row r="5641" spans="1:6" x14ac:dyDescent="0.3">
      <c r="A5641" t="s">
        <v>1155</v>
      </c>
      <c r="B5641" t="s">
        <v>2131</v>
      </c>
      <c r="C5641">
        <v>33</v>
      </c>
      <c r="D5641">
        <v>158</v>
      </c>
      <c r="E5641">
        <f>IF(OR(B5641="vi",B5641="ii",B5641="pod"),(((D5641/100)*(C5641*VLOOKUP(B5641,'Poids des runes'!A:B,2,FALSE)))+1),(((D5641/100)*(C5641*VLOOKUP(B5641,'Poids des runes'!A:B,2,FALSE)))+1)/VLOOKUP(B5641,'Poids des runes'!A:B,2,FALSE))</f>
        <v>53.14</v>
      </c>
      <c r="F5641">
        <f t="shared" si="88"/>
        <v>53.14</v>
      </c>
    </row>
    <row r="5642" spans="1:6" x14ac:dyDescent="0.3">
      <c r="A5642" t="s">
        <v>1155</v>
      </c>
      <c r="B5642" t="s">
        <v>2127</v>
      </c>
      <c r="C5642">
        <v>33</v>
      </c>
      <c r="D5642">
        <v>158</v>
      </c>
      <c r="E5642">
        <f>IF(OR(B5642="vi",B5642="ii",B5642="pod"),(((D5642/100)*(C5642*VLOOKUP(B5642,'Poids des runes'!A:B,2,FALSE)))+1),(((D5642/100)*(C5642*VLOOKUP(B5642,'Poids des runes'!A:B,2,FALSE)))+1)/VLOOKUP(B5642,'Poids des runes'!A:B,2,FALSE))</f>
        <v>53.14</v>
      </c>
      <c r="F5642">
        <f t="shared" si="88"/>
        <v>53.14</v>
      </c>
    </row>
    <row r="5643" spans="1:6" x14ac:dyDescent="0.3">
      <c r="A5643" t="s">
        <v>1155</v>
      </c>
      <c r="B5643" t="s">
        <v>2129</v>
      </c>
      <c r="C5643">
        <v>28</v>
      </c>
      <c r="D5643">
        <v>158</v>
      </c>
      <c r="E5643">
        <f>IF(OR(B5643="vi",B5643="ii",B5643="pod"),(((D5643/100)*(C5643*VLOOKUP(B5643,'Poids des runes'!A:B,2,FALSE)))+1),(((D5643/100)*(C5643*VLOOKUP(B5643,'Poids des runes'!A:B,2,FALSE)))+1)/VLOOKUP(B5643,'Poids des runes'!A:B,2,FALSE))</f>
        <v>45.24</v>
      </c>
      <c r="F5643">
        <f t="shared" si="88"/>
        <v>45.24</v>
      </c>
    </row>
    <row r="5644" spans="1:6" x14ac:dyDescent="0.3">
      <c r="A5644" t="s">
        <v>1155</v>
      </c>
      <c r="B5644" t="s">
        <v>2155</v>
      </c>
      <c r="C5644">
        <v>1</v>
      </c>
      <c r="D5644">
        <v>158</v>
      </c>
      <c r="E5644">
        <f>IF(OR(B5644="vi",B5644="ii",B5644="pod"),(((D5644/100)*(C5644*VLOOKUP(B5644,'Poids des runes'!A:B,2,FALSE)))+1),(((D5644/100)*(C5644*VLOOKUP(B5644,'Poids des runes'!A:B,2,FALSE)))+1)/VLOOKUP(B5644,'Poids des runes'!A:B,2,FALSE))</f>
        <v>1.5996078431372549</v>
      </c>
      <c r="F5644">
        <f t="shared" si="88"/>
        <v>1.5996078431372549</v>
      </c>
    </row>
    <row r="5645" spans="1:6" x14ac:dyDescent="0.3">
      <c r="A5645" t="s">
        <v>1155</v>
      </c>
      <c r="B5645" t="s">
        <v>2134</v>
      </c>
      <c r="C5645">
        <v>6</v>
      </c>
      <c r="D5645">
        <v>158</v>
      </c>
      <c r="E5645">
        <f>IF(OR(B5645="vi",B5645="ii",B5645="pod"),(((D5645/100)*(C5645*VLOOKUP(B5645,'Poids des runes'!A:B,2,FALSE)))+1),(((D5645/100)*(C5645*VLOOKUP(B5645,'Poids des runes'!A:B,2,FALSE)))+1)/VLOOKUP(B5645,'Poids des runes'!A:B,2,FALSE))</f>
        <v>9.5300000000000011</v>
      </c>
      <c r="F5645">
        <f t="shared" si="88"/>
        <v>9.5300000000000011</v>
      </c>
    </row>
    <row r="5646" spans="1:6" x14ac:dyDescent="0.3">
      <c r="A5646" t="s">
        <v>1155</v>
      </c>
      <c r="B5646" t="s">
        <v>2161</v>
      </c>
      <c r="C5646">
        <v>13</v>
      </c>
      <c r="D5646">
        <v>158</v>
      </c>
      <c r="E5646">
        <f>IF(OR(B5646="vi",B5646="ii",B5646="pod"),(((D5646/100)*(C5646*VLOOKUP(B5646,'Poids des runes'!A:B,2,FALSE)))+1),(((D5646/100)*(C5646*VLOOKUP(B5646,'Poids des runes'!A:B,2,FALSE)))+1)/VLOOKUP(B5646,'Poids des runes'!A:B,2,FALSE))</f>
        <v>20.873333333333335</v>
      </c>
      <c r="F5646">
        <f t="shared" si="88"/>
        <v>20.873333333333335</v>
      </c>
    </row>
    <row r="5647" spans="1:6" x14ac:dyDescent="0.3">
      <c r="A5647" t="s">
        <v>1155</v>
      </c>
      <c r="B5647" t="s">
        <v>2148</v>
      </c>
      <c r="C5647">
        <v>6</v>
      </c>
      <c r="D5647">
        <v>158</v>
      </c>
      <c r="E5647">
        <f>IF(OR(B5647="vi",B5647="ii",B5647="pod"),(((D5647/100)*(C5647*VLOOKUP(B5647,'Poids des runes'!A:B,2,FALSE)))+1),(((D5647/100)*(C5647*VLOOKUP(B5647,'Poids des runes'!A:B,2,FALSE)))+1)/VLOOKUP(B5647,'Poids des runes'!A:B,2,FALSE))</f>
        <v>9.6466666666666665</v>
      </c>
      <c r="F5647">
        <f t="shared" si="88"/>
        <v>9.6466666666666665</v>
      </c>
    </row>
    <row r="5648" spans="1:6" x14ac:dyDescent="0.3">
      <c r="A5648" t="s">
        <v>1155</v>
      </c>
      <c r="B5648" t="s">
        <v>2137</v>
      </c>
      <c r="C5648">
        <v>8</v>
      </c>
      <c r="D5648">
        <v>158</v>
      </c>
      <c r="E5648">
        <f>IF(OR(B5648="vi",B5648="ii",B5648="pod"),(((D5648/100)*(C5648*VLOOKUP(B5648,'Poids des runes'!A:B,2,FALSE)))+1),(((D5648/100)*(C5648*VLOOKUP(B5648,'Poids des runes'!A:B,2,FALSE)))+1)/VLOOKUP(B5648,'Poids des runes'!A:B,2,FALSE))</f>
        <v>13.14</v>
      </c>
      <c r="F5648">
        <f t="shared" si="88"/>
        <v>13.14</v>
      </c>
    </row>
    <row r="5649" spans="1:6" x14ac:dyDescent="0.3">
      <c r="A5649" t="s">
        <v>1155</v>
      </c>
      <c r="B5649" t="s">
        <v>2145</v>
      </c>
      <c r="C5649">
        <v>8</v>
      </c>
      <c r="D5649">
        <v>158</v>
      </c>
      <c r="E5649">
        <f>IF(OR(B5649="vi",B5649="ii",B5649="pod"),(((D5649/100)*(C5649*VLOOKUP(B5649,'Poids des runes'!A:B,2,FALSE)))+1),(((D5649/100)*(C5649*VLOOKUP(B5649,'Poids des runes'!A:B,2,FALSE)))+1)/VLOOKUP(B5649,'Poids des runes'!A:B,2,FALSE))</f>
        <v>13.14</v>
      </c>
      <c r="F5649">
        <f t="shared" si="88"/>
        <v>13.14</v>
      </c>
    </row>
    <row r="5650" spans="1:6" x14ac:dyDescent="0.3">
      <c r="A5650" t="s">
        <v>1156</v>
      </c>
      <c r="B5650" t="s">
        <v>2128</v>
      </c>
      <c r="C5650">
        <v>195.5</v>
      </c>
      <c r="D5650">
        <v>158</v>
      </c>
      <c r="E5650">
        <f>IF(OR(B5650="vi",B5650="ii",B5650="pod"),(((D5650/100)*(C5650*VLOOKUP(B5650,'Poids des runes'!A:B,2,FALSE)))+1),(((D5650/100)*(C5650*VLOOKUP(B5650,'Poids des runes'!A:B,2,FALSE)))+1)/VLOOKUP(B5650,'Poids des runes'!A:B,2,FALSE))</f>
        <v>62.778000000000006</v>
      </c>
      <c r="F5650">
        <f t="shared" si="88"/>
        <v>62.778000000000006</v>
      </c>
    </row>
    <row r="5651" spans="1:6" x14ac:dyDescent="0.3">
      <c r="A5651" t="s">
        <v>1156</v>
      </c>
      <c r="B5651" t="s">
        <v>2131</v>
      </c>
      <c r="C5651">
        <v>35.5</v>
      </c>
      <c r="D5651">
        <v>158</v>
      </c>
      <c r="E5651">
        <f>IF(OR(B5651="vi",B5651="ii",B5651="pod"),(((D5651/100)*(C5651*VLOOKUP(B5651,'Poids des runes'!A:B,2,FALSE)))+1),(((D5651/100)*(C5651*VLOOKUP(B5651,'Poids des runes'!A:B,2,FALSE)))+1)/VLOOKUP(B5651,'Poids des runes'!A:B,2,FALSE))</f>
        <v>57.09</v>
      </c>
      <c r="F5651">
        <f t="shared" si="88"/>
        <v>57.09</v>
      </c>
    </row>
    <row r="5652" spans="1:6" x14ac:dyDescent="0.3">
      <c r="A5652" t="s">
        <v>1156</v>
      </c>
      <c r="B5652" t="s">
        <v>2127</v>
      </c>
      <c r="C5652">
        <v>35.5</v>
      </c>
      <c r="D5652">
        <v>158</v>
      </c>
      <c r="E5652">
        <f>IF(OR(B5652="vi",B5652="ii",B5652="pod"),(((D5652/100)*(C5652*VLOOKUP(B5652,'Poids des runes'!A:B,2,FALSE)))+1),(((D5652/100)*(C5652*VLOOKUP(B5652,'Poids des runes'!A:B,2,FALSE)))+1)/VLOOKUP(B5652,'Poids des runes'!A:B,2,FALSE))</f>
        <v>57.09</v>
      </c>
      <c r="F5652">
        <f t="shared" si="88"/>
        <v>57.09</v>
      </c>
    </row>
    <row r="5653" spans="1:6" x14ac:dyDescent="0.3">
      <c r="A5653" t="s">
        <v>1156</v>
      </c>
      <c r="B5653" t="s">
        <v>2129</v>
      </c>
      <c r="C5653">
        <v>35.5</v>
      </c>
      <c r="D5653">
        <v>158</v>
      </c>
      <c r="E5653">
        <f>IF(OR(B5653="vi",B5653="ii",B5653="pod"),(((D5653/100)*(C5653*VLOOKUP(B5653,'Poids des runes'!A:B,2,FALSE)))+1),(((D5653/100)*(C5653*VLOOKUP(B5653,'Poids des runes'!A:B,2,FALSE)))+1)/VLOOKUP(B5653,'Poids des runes'!A:B,2,FALSE))</f>
        <v>57.09</v>
      </c>
      <c r="F5653">
        <f t="shared" si="88"/>
        <v>57.09</v>
      </c>
    </row>
    <row r="5654" spans="1:6" x14ac:dyDescent="0.3">
      <c r="A5654" t="s">
        <v>1156</v>
      </c>
      <c r="B5654" t="s">
        <v>2150</v>
      </c>
      <c r="C5654">
        <v>1</v>
      </c>
      <c r="D5654">
        <v>158</v>
      </c>
      <c r="E5654">
        <f>IF(OR(B5654="vi",B5654="ii",B5654="pod"),(((D5654/100)*(C5654*VLOOKUP(B5654,'Poids des runes'!A:B,2,FALSE)))+1),(((D5654/100)*(C5654*VLOOKUP(B5654,'Poids des runes'!A:B,2,FALSE)))+1)/VLOOKUP(B5654,'Poids des runes'!A:B,2,FALSE))</f>
        <v>1.6133333333333335</v>
      </c>
      <c r="F5654">
        <f t="shared" si="88"/>
        <v>1.6133333333333335</v>
      </c>
    </row>
    <row r="5655" spans="1:6" x14ac:dyDescent="0.3">
      <c r="A5655" t="s">
        <v>1156</v>
      </c>
      <c r="B5655" t="s">
        <v>2133</v>
      </c>
      <c r="C5655">
        <v>10</v>
      </c>
      <c r="D5655">
        <v>158</v>
      </c>
      <c r="E5655">
        <f>IF(OR(B5655="vi",B5655="ii",B5655="pod"),(((D5655/100)*(C5655*VLOOKUP(B5655,'Poids des runes'!A:B,2,FALSE)))+1),(((D5655/100)*(C5655*VLOOKUP(B5655,'Poids des runes'!A:B,2,FALSE)))+1)/VLOOKUP(B5655,'Poids des runes'!A:B,2,FALSE))</f>
        <v>16</v>
      </c>
      <c r="F5655">
        <f t="shared" si="88"/>
        <v>16</v>
      </c>
    </row>
    <row r="5656" spans="1:6" x14ac:dyDescent="0.3">
      <c r="A5656" t="s">
        <v>1156</v>
      </c>
      <c r="B5656" t="s">
        <v>2153</v>
      </c>
      <c r="C5656">
        <v>10</v>
      </c>
      <c r="D5656">
        <v>158</v>
      </c>
      <c r="E5656">
        <f>IF(OR(B5656="vi",B5656="ii",B5656="pod"),(((D5656/100)*(C5656*VLOOKUP(B5656,'Poids des runes'!A:B,2,FALSE)))+1),(((D5656/100)*(C5656*VLOOKUP(B5656,'Poids des runes'!A:B,2,FALSE)))+1)/VLOOKUP(B5656,'Poids des runes'!A:B,2,FALSE))</f>
        <v>16</v>
      </c>
      <c r="F5656">
        <f t="shared" si="88"/>
        <v>16</v>
      </c>
    </row>
    <row r="5657" spans="1:6" x14ac:dyDescent="0.3">
      <c r="A5657" t="s">
        <v>1156</v>
      </c>
      <c r="B5657" t="s">
        <v>2161</v>
      </c>
      <c r="C5657">
        <v>15.5</v>
      </c>
      <c r="D5657">
        <v>158</v>
      </c>
      <c r="E5657">
        <f>IF(OR(B5657="vi",B5657="ii",B5657="pod"),(((D5657/100)*(C5657*VLOOKUP(B5657,'Poids des runes'!A:B,2,FALSE)))+1),(((D5657/100)*(C5657*VLOOKUP(B5657,'Poids des runes'!A:B,2,FALSE)))+1)/VLOOKUP(B5657,'Poids des runes'!A:B,2,FALSE))</f>
        <v>24.823333333333334</v>
      </c>
      <c r="F5657">
        <f t="shared" si="88"/>
        <v>24.823333333333334</v>
      </c>
    </row>
    <row r="5658" spans="1:6" x14ac:dyDescent="0.3">
      <c r="A5658" t="s">
        <v>1156</v>
      </c>
      <c r="B5658" t="s">
        <v>2160</v>
      </c>
      <c r="C5658">
        <v>5</v>
      </c>
      <c r="D5658">
        <v>158</v>
      </c>
      <c r="E5658">
        <f>IF(OR(B5658="vi",B5658="ii",B5658="pod"),(((D5658/100)*(C5658*VLOOKUP(B5658,'Poids des runes'!A:B,2,FALSE)))+1),(((D5658/100)*(C5658*VLOOKUP(B5658,'Poids des runes'!A:B,2,FALSE)))+1)/VLOOKUP(B5658,'Poids des runes'!A:B,2,FALSE))</f>
        <v>8.0428571428571427</v>
      </c>
      <c r="F5658">
        <f t="shared" si="88"/>
        <v>8.0428571428571427</v>
      </c>
    </row>
    <row r="5659" spans="1:6" x14ac:dyDescent="0.3">
      <c r="A5659" t="s">
        <v>1156</v>
      </c>
      <c r="B5659" t="s">
        <v>2136</v>
      </c>
      <c r="C5659">
        <v>13</v>
      </c>
      <c r="D5659">
        <v>158</v>
      </c>
      <c r="E5659">
        <f>IF(OR(B5659="vi",B5659="ii",B5659="pod"),(((D5659/100)*(C5659*VLOOKUP(B5659,'Poids des runes'!A:B,2,FALSE)))+1),(((D5659/100)*(C5659*VLOOKUP(B5659,'Poids des runes'!A:B,2,FALSE)))+1)/VLOOKUP(B5659,'Poids des runes'!A:B,2,FALSE))</f>
        <v>21.04</v>
      </c>
      <c r="F5659">
        <f t="shared" si="88"/>
        <v>21.04</v>
      </c>
    </row>
    <row r="5660" spans="1:6" x14ac:dyDescent="0.3">
      <c r="A5660" t="s">
        <v>1156</v>
      </c>
      <c r="B5660" t="s">
        <v>2137</v>
      </c>
      <c r="C5660">
        <v>13</v>
      </c>
      <c r="D5660">
        <v>158</v>
      </c>
      <c r="E5660">
        <f>IF(OR(B5660="vi",B5660="ii",B5660="pod"),(((D5660/100)*(C5660*VLOOKUP(B5660,'Poids des runes'!A:B,2,FALSE)))+1),(((D5660/100)*(C5660*VLOOKUP(B5660,'Poids des runes'!A:B,2,FALSE)))+1)/VLOOKUP(B5660,'Poids des runes'!A:B,2,FALSE))</f>
        <v>21.04</v>
      </c>
      <c r="F5660">
        <f t="shared" si="88"/>
        <v>21.04</v>
      </c>
    </row>
    <row r="5661" spans="1:6" x14ac:dyDescent="0.3">
      <c r="A5661" t="s">
        <v>1156</v>
      </c>
      <c r="B5661" t="s">
        <v>2146</v>
      </c>
      <c r="C5661">
        <v>13</v>
      </c>
      <c r="D5661">
        <v>158</v>
      </c>
      <c r="E5661">
        <f>IF(OR(B5661="vi",B5661="ii",B5661="pod"),(((D5661/100)*(C5661*VLOOKUP(B5661,'Poids des runes'!A:B,2,FALSE)))+1),(((D5661/100)*(C5661*VLOOKUP(B5661,'Poids des runes'!A:B,2,FALSE)))+1)/VLOOKUP(B5661,'Poids des runes'!A:B,2,FALSE))</f>
        <v>21.04</v>
      </c>
      <c r="F5661">
        <f t="shared" si="88"/>
        <v>21.04</v>
      </c>
    </row>
    <row r="5662" spans="1:6" x14ac:dyDescent="0.3">
      <c r="A5662" t="s">
        <v>1157</v>
      </c>
      <c r="B5662" t="s">
        <v>2128</v>
      </c>
      <c r="C5662">
        <v>225.5</v>
      </c>
      <c r="D5662">
        <v>159</v>
      </c>
      <c r="E5662">
        <f>IF(OR(B5662="vi",B5662="ii",B5662="pod"),(((D5662/100)*(C5662*VLOOKUP(B5662,'Poids des runes'!A:B,2,FALSE)))+1),(((D5662/100)*(C5662*VLOOKUP(B5662,'Poids des runes'!A:B,2,FALSE)))+1)/VLOOKUP(B5662,'Poids des runes'!A:B,2,FALSE))</f>
        <v>72.709000000000003</v>
      </c>
      <c r="F5662">
        <f t="shared" si="88"/>
        <v>72.709000000000003</v>
      </c>
    </row>
    <row r="5663" spans="1:6" x14ac:dyDescent="0.3">
      <c r="A5663" t="s">
        <v>1157</v>
      </c>
      <c r="B5663" t="s">
        <v>2126</v>
      </c>
      <c r="C5663">
        <v>50.5</v>
      </c>
      <c r="D5663">
        <v>159</v>
      </c>
      <c r="E5663">
        <f>IF(OR(B5663="vi",B5663="ii",B5663="pod"),(((D5663/100)*(C5663*VLOOKUP(B5663,'Poids des runes'!A:B,2,FALSE)))+1),(((D5663/100)*(C5663*VLOOKUP(B5663,'Poids des runes'!A:B,2,FALSE)))+1)/VLOOKUP(B5663,'Poids des runes'!A:B,2,FALSE))</f>
        <v>81.295000000000002</v>
      </c>
      <c r="F5663">
        <f t="shared" si="88"/>
        <v>81.295000000000002</v>
      </c>
    </row>
    <row r="5664" spans="1:6" x14ac:dyDescent="0.3">
      <c r="A5664" t="s">
        <v>1157</v>
      </c>
      <c r="B5664" t="s">
        <v>2127</v>
      </c>
      <c r="C5664">
        <v>33</v>
      </c>
      <c r="D5664">
        <v>159</v>
      </c>
      <c r="E5664">
        <f>IF(OR(B5664="vi",B5664="ii",B5664="pod"),(((D5664/100)*(C5664*VLOOKUP(B5664,'Poids des runes'!A:B,2,FALSE)))+1),(((D5664/100)*(C5664*VLOOKUP(B5664,'Poids des runes'!A:B,2,FALSE)))+1)/VLOOKUP(B5664,'Poids des runes'!A:B,2,FALSE))</f>
        <v>53.470000000000006</v>
      </c>
      <c r="F5664">
        <f t="shared" si="88"/>
        <v>53.470000000000006</v>
      </c>
    </row>
    <row r="5665" spans="1:6" x14ac:dyDescent="0.3">
      <c r="A5665" t="s">
        <v>1157</v>
      </c>
      <c r="B5665" t="s">
        <v>2129</v>
      </c>
      <c r="C5665">
        <v>28</v>
      </c>
      <c r="D5665">
        <v>159</v>
      </c>
      <c r="E5665">
        <f>IF(OR(B5665="vi",B5665="ii",B5665="pod"),(((D5665/100)*(C5665*VLOOKUP(B5665,'Poids des runes'!A:B,2,FALSE)))+1),(((D5665/100)*(C5665*VLOOKUP(B5665,'Poids des runes'!A:B,2,FALSE)))+1)/VLOOKUP(B5665,'Poids des runes'!A:B,2,FALSE))</f>
        <v>45.52</v>
      </c>
      <c r="F5665">
        <f t="shared" si="88"/>
        <v>45.52</v>
      </c>
    </row>
    <row r="5666" spans="1:6" x14ac:dyDescent="0.3">
      <c r="A5666" t="s">
        <v>1157</v>
      </c>
      <c r="B5666" t="s">
        <v>2154</v>
      </c>
      <c r="C5666">
        <v>1</v>
      </c>
      <c r="D5666">
        <v>159</v>
      </c>
      <c r="E5666">
        <f>IF(OR(B5666="vi",B5666="ii",B5666="pod"),(((D5666/100)*(C5666*VLOOKUP(B5666,'Poids des runes'!A:B,2,FALSE)))+1),(((D5666/100)*(C5666*VLOOKUP(B5666,'Poids des runes'!A:B,2,FALSE)))+1)/VLOOKUP(B5666,'Poids des runes'!A:B,2,FALSE))</f>
        <v>1.6011111111111112</v>
      </c>
      <c r="F5666">
        <f t="shared" si="88"/>
        <v>1.6011111111111112</v>
      </c>
    </row>
    <row r="5667" spans="1:6" x14ac:dyDescent="0.3">
      <c r="A5667" t="s">
        <v>1157</v>
      </c>
      <c r="B5667" t="s">
        <v>2134</v>
      </c>
      <c r="C5667">
        <v>6</v>
      </c>
      <c r="D5667">
        <v>159</v>
      </c>
      <c r="E5667">
        <f>IF(OR(B5667="vi",B5667="ii",B5667="pod"),(((D5667/100)*(C5667*VLOOKUP(B5667,'Poids des runes'!A:B,2,FALSE)))+1),(((D5667/100)*(C5667*VLOOKUP(B5667,'Poids des runes'!A:B,2,FALSE)))+1)/VLOOKUP(B5667,'Poids des runes'!A:B,2,FALSE))</f>
        <v>9.59</v>
      </c>
      <c r="F5667">
        <f t="shared" si="88"/>
        <v>9.59</v>
      </c>
    </row>
    <row r="5668" spans="1:6" x14ac:dyDescent="0.3">
      <c r="A5668" t="s">
        <v>1157</v>
      </c>
      <c r="B5668" t="s">
        <v>2149</v>
      </c>
      <c r="C5668">
        <v>6.5</v>
      </c>
      <c r="D5668">
        <v>159</v>
      </c>
      <c r="E5668">
        <f>IF(OR(B5668="vi",B5668="ii",B5668="pod"),(((D5668/100)*(C5668*VLOOKUP(B5668,'Poids des runes'!A:B,2,FALSE)))+1),(((D5668/100)*(C5668*VLOOKUP(B5668,'Poids des runes'!A:B,2,FALSE)))+1)/VLOOKUP(B5668,'Poids des runes'!A:B,2,FALSE))</f>
        <v>10.435</v>
      </c>
      <c r="F5668">
        <f t="shared" si="88"/>
        <v>10.435</v>
      </c>
    </row>
    <row r="5669" spans="1:6" x14ac:dyDescent="0.3">
      <c r="A5669" t="s">
        <v>1157</v>
      </c>
      <c r="B5669" t="s">
        <v>2161</v>
      </c>
      <c r="C5669">
        <v>18</v>
      </c>
      <c r="D5669">
        <v>159</v>
      </c>
      <c r="E5669">
        <f>IF(OR(B5669="vi",B5669="ii",B5669="pod"),(((D5669/100)*(C5669*VLOOKUP(B5669,'Poids des runes'!A:B,2,FALSE)))+1),(((D5669/100)*(C5669*VLOOKUP(B5669,'Poids des runes'!A:B,2,FALSE)))+1)/VLOOKUP(B5669,'Poids des runes'!A:B,2,FALSE))</f>
        <v>28.953333333333333</v>
      </c>
      <c r="F5669">
        <f t="shared" si="88"/>
        <v>28.953333333333333</v>
      </c>
    </row>
    <row r="5670" spans="1:6" x14ac:dyDescent="0.3">
      <c r="A5670" t="s">
        <v>1157</v>
      </c>
      <c r="B5670" t="s">
        <v>2164</v>
      </c>
      <c r="C5670">
        <v>18</v>
      </c>
      <c r="D5670">
        <v>159</v>
      </c>
      <c r="E5670">
        <f>IF(OR(B5670="vi",B5670="ii",B5670="pod"),(((D5670/100)*(C5670*VLOOKUP(B5670,'Poids des runes'!A:B,2,FALSE)))+1),(((D5670/100)*(C5670*VLOOKUP(B5670,'Poids des runes'!A:B,2,FALSE)))+1)/VLOOKUP(B5670,'Poids des runes'!A:B,2,FALSE))</f>
        <v>29.12</v>
      </c>
      <c r="F5670">
        <f t="shared" si="88"/>
        <v>29.12</v>
      </c>
    </row>
    <row r="5671" spans="1:6" x14ac:dyDescent="0.3">
      <c r="A5671" t="s">
        <v>1157</v>
      </c>
      <c r="B5671" t="s">
        <v>2147</v>
      </c>
      <c r="C5671">
        <v>4.5</v>
      </c>
      <c r="D5671">
        <v>159</v>
      </c>
      <c r="E5671">
        <f>IF(OR(B5671="vi",B5671="ii",B5671="pod"),(((D5671/100)*(C5671*VLOOKUP(B5671,'Poids des runes'!A:B,2,FALSE)))+1),(((D5671/100)*(C5671*VLOOKUP(B5671,'Poids des runes'!A:B,2,FALSE)))+1)/VLOOKUP(B5671,'Poids des runes'!A:B,2,FALSE))</f>
        <v>7.3216666666666663</v>
      </c>
      <c r="F5671">
        <f t="shared" si="88"/>
        <v>7.3216666666666663</v>
      </c>
    </row>
    <row r="5672" spans="1:6" x14ac:dyDescent="0.3">
      <c r="A5672" t="s">
        <v>1158</v>
      </c>
      <c r="B5672" t="s">
        <v>2126</v>
      </c>
      <c r="C5672">
        <v>50.5</v>
      </c>
      <c r="D5672">
        <v>160</v>
      </c>
      <c r="E5672">
        <f>IF(OR(B5672="vi",B5672="ii",B5672="pod"),(((D5672/100)*(C5672*VLOOKUP(B5672,'Poids des runes'!A:B,2,FALSE)))+1),(((D5672/100)*(C5672*VLOOKUP(B5672,'Poids des runes'!A:B,2,FALSE)))+1)/VLOOKUP(B5672,'Poids des runes'!A:B,2,FALSE))</f>
        <v>81.800000000000011</v>
      </c>
      <c r="F5672">
        <f t="shared" si="88"/>
        <v>81.800000000000011</v>
      </c>
    </row>
    <row r="5673" spans="1:6" x14ac:dyDescent="0.3">
      <c r="A5673" t="s">
        <v>1158</v>
      </c>
      <c r="B5673" t="s">
        <v>2127</v>
      </c>
      <c r="C5673">
        <v>50.5</v>
      </c>
      <c r="D5673">
        <v>160</v>
      </c>
      <c r="E5673">
        <f>IF(OR(B5673="vi",B5673="ii",B5673="pod"),(((D5673/100)*(C5673*VLOOKUP(B5673,'Poids des runes'!A:B,2,FALSE)))+1),(((D5673/100)*(C5673*VLOOKUP(B5673,'Poids des runes'!A:B,2,FALSE)))+1)/VLOOKUP(B5673,'Poids des runes'!A:B,2,FALSE))</f>
        <v>81.800000000000011</v>
      </c>
      <c r="F5673">
        <f t="shared" si="88"/>
        <v>81.800000000000011</v>
      </c>
    </row>
    <row r="5674" spans="1:6" x14ac:dyDescent="0.3">
      <c r="A5674" t="s">
        <v>1158</v>
      </c>
      <c r="B5674" t="s">
        <v>2129</v>
      </c>
      <c r="C5674">
        <v>40.5</v>
      </c>
      <c r="D5674">
        <v>160</v>
      </c>
      <c r="E5674">
        <f>IF(OR(B5674="vi",B5674="ii",B5674="pod"),(((D5674/100)*(C5674*VLOOKUP(B5674,'Poids des runes'!A:B,2,FALSE)))+1),(((D5674/100)*(C5674*VLOOKUP(B5674,'Poids des runes'!A:B,2,FALSE)))+1)/VLOOKUP(B5674,'Poids des runes'!A:B,2,FALSE))</f>
        <v>65.8</v>
      </c>
      <c r="F5674">
        <f t="shared" si="88"/>
        <v>65.8</v>
      </c>
    </row>
    <row r="5675" spans="1:6" x14ac:dyDescent="0.3">
      <c r="A5675" t="s">
        <v>1158</v>
      </c>
      <c r="B5675" t="s">
        <v>2155</v>
      </c>
      <c r="C5675">
        <v>1</v>
      </c>
      <c r="D5675">
        <v>160</v>
      </c>
      <c r="E5675">
        <f>IF(OR(B5675="vi",B5675="ii",B5675="pod"),(((D5675/100)*(C5675*VLOOKUP(B5675,'Poids des runes'!A:B,2,FALSE)))+1),(((D5675/100)*(C5675*VLOOKUP(B5675,'Poids des runes'!A:B,2,FALSE)))+1)/VLOOKUP(B5675,'Poids des runes'!A:B,2,FALSE))</f>
        <v>1.6196078431372551</v>
      </c>
      <c r="F5675">
        <f t="shared" si="88"/>
        <v>1.6196078431372551</v>
      </c>
    </row>
    <row r="5676" spans="1:6" x14ac:dyDescent="0.3">
      <c r="A5676" t="s">
        <v>1158</v>
      </c>
      <c r="B5676" t="s">
        <v>2140</v>
      </c>
      <c r="C5676">
        <v>8.5</v>
      </c>
      <c r="D5676">
        <v>160</v>
      </c>
      <c r="E5676">
        <f>IF(OR(B5676="vi",B5676="ii",B5676="pod"),(((D5676/100)*(C5676*VLOOKUP(B5676,'Poids des runes'!A:B,2,FALSE)))+1),(((D5676/100)*(C5676*VLOOKUP(B5676,'Poids des runes'!A:B,2,FALSE)))+1)/VLOOKUP(B5676,'Poids des runes'!A:B,2,FALSE))</f>
        <v>13.8</v>
      </c>
      <c r="F5676">
        <f t="shared" si="88"/>
        <v>13.8</v>
      </c>
    </row>
    <row r="5677" spans="1:6" x14ac:dyDescent="0.3">
      <c r="A5677" t="s">
        <v>1158</v>
      </c>
      <c r="B5677" t="s">
        <v>2153</v>
      </c>
      <c r="C5677">
        <v>8.5</v>
      </c>
      <c r="D5677">
        <v>160</v>
      </c>
      <c r="E5677">
        <f>IF(OR(B5677="vi",B5677="ii",B5677="pod"),(((D5677/100)*(C5677*VLOOKUP(B5677,'Poids des runes'!A:B,2,FALSE)))+1),(((D5677/100)*(C5677*VLOOKUP(B5677,'Poids des runes'!A:B,2,FALSE)))+1)/VLOOKUP(B5677,'Poids des runes'!A:B,2,FALSE))</f>
        <v>13.8</v>
      </c>
      <c r="F5677">
        <f t="shared" si="88"/>
        <v>13.8</v>
      </c>
    </row>
    <row r="5678" spans="1:6" x14ac:dyDescent="0.3">
      <c r="A5678" t="s">
        <v>1158</v>
      </c>
      <c r="B5678" t="s">
        <v>2161</v>
      </c>
      <c r="C5678">
        <v>8</v>
      </c>
      <c r="D5678">
        <v>160</v>
      </c>
      <c r="E5678">
        <f>IF(OR(B5678="vi",B5678="ii",B5678="pod"),(((D5678/100)*(C5678*VLOOKUP(B5678,'Poids des runes'!A:B,2,FALSE)))+1),(((D5678/100)*(C5678*VLOOKUP(B5678,'Poids des runes'!A:B,2,FALSE)))+1)/VLOOKUP(B5678,'Poids des runes'!A:B,2,FALSE))</f>
        <v>13.133333333333335</v>
      </c>
      <c r="F5678">
        <f t="shared" si="88"/>
        <v>13.133333333333335</v>
      </c>
    </row>
    <row r="5679" spans="1:6" x14ac:dyDescent="0.3">
      <c r="A5679" t="s">
        <v>1158</v>
      </c>
      <c r="B5679" t="s">
        <v>2160</v>
      </c>
      <c r="C5679">
        <v>10.5</v>
      </c>
      <c r="D5679">
        <v>160</v>
      </c>
      <c r="E5679">
        <f>IF(OR(B5679="vi",B5679="ii",B5679="pod"),(((D5679/100)*(C5679*VLOOKUP(B5679,'Poids des runes'!A:B,2,FALSE)))+1),(((D5679/100)*(C5679*VLOOKUP(B5679,'Poids des runes'!A:B,2,FALSE)))+1)/VLOOKUP(B5679,'Poids des runes'!A:B,2,FALSE))</f>
        <v>16.942857142857143</v>
      </c>
      <c r="F5679">
        <f t="shared" si="88"/>
        <v>16.942857142857143</v>
      </c>
    </row>
    <row r="5680" spans="1:6" x14ac:dyDescent="0.3">
      <c r="A5680" t="s">
        <v>1158</v>
      </c>
      <c r="B5680" t="s">
        <v>2147</v>
      </c>
      <c r="C5680">
        <v>4</v>
      </c>
      <c r="D5680">
        <v>160</v>
      </c>
      <c r="E5680">
        <f>IF(OR(B5680="vi",B5680="ii",B5680="pod"),(((D5680/100)*(C5680*VLOOKUP(B5680,'Poids des runes'!A:B,2,FALSE)))+1),(((D5680/100)*(C5680*VLOOKUP(B5680,'Poids des runes'!A:B,2,FALSE)))+1)/VLOOKUP(B5680,'Poids des runes'!A:B,2,FALSE))</f>
        <v>6.5666666666666673</v>
      </c>
      <c r="F5680">
        <f t="shared" si="88"/>
        <v>6.5666666666666673</v>
      </c>
    </row>
    <row r="5681" spans="1:6" x14ac:dyDescent="0.3">
      <c r="A5681" t="s">
        <v>1158</v>
      </c>
      <c r="B5681" t="s">
        <v>2157</v>
      </c>
      <c r="C5681">
        <v>4</v>
      </c>
      <c r="D5681">
        <v>160</v>
      </c>
      <c r="E5681">
        <f>IF(OR(B5681="vi",B5681="ii",B5681="pod"),(((D5681/100)*(C5681*VLOOKUP(B5681,'Poids des runes'!A:B,2,FALSE)))+1),(((D5681/100)*(C5681*VLOOKUP(B5681,'Poids des runes'!A:B,2,FALSE)))+1)/VLOOKUP(B5681,'Poids des runes'!A:B,2,FALSE))</f>
        <v>6.5666666666666673</v>
      </c>
      <c r="F5681">
        <f t="shared" si="88"/>
        <v>6.5666666666666673</v>
      </c>
    </row>
    <row r="5682" spans="1:6" x14ac:dyDescent="0.3">
      <c r="A5682" t="s">
        <v>1159</v>
      </c>
      <c r="B5682" t="s">
        <v>2128</v>
      </c>
      <c r="C5682">
        <v>225.5</v>
      </c>
      <c r="D5682">
        <v>160</v>
      </c>
      <c r="E5682">
        <f>IF(OR(B5682="vi",B5682="ii",B5682="pod"),(((D5682/100)*(C5682*VLOOKUP(B5682,'Poids des runes'!A:B,2,FALSE)))+1),(((D5682/100)*(C5682*VLOOKUP(B5682,'Poids des runes'!A:B,2,FALSE)))+1)/VLOOKUP(B5682,'Poids des runes'!A:B,2,FALSE))</f>
        <v>73.160000000000011</v>
      </c>
      <c r="F5682">
        <f t="shared" si="88"/>
        <v>73.160000000000011</v>
      </c>
    </row>
    <row r="5683" spans="1:6" x14ac:dyDescent="0.3">
      <c r="A5683" t="s">
        <v>1159</v>
      </c>
      <c r="B5683" t="s">
        <v>2129</v>
      </c>
      <c r="C5683">
        <v>40.5</v>
      </c>
      <c r="D5683">
        <v>160</v>
      </c>
      <c r="E5683">
        <f>IF(OR(B5683="vi",B5683="ii",B5683="pod"),(((D5683/100)*(C5683*VLOOKUP(B5683,'Poids des runes'!A:B,2,FALSE)))+1),(((D5683/100)*(C5683*VLOOKUP(B5683,'Poids des runes'!A:B,2,FALSE)))+1)/VLOOKUP(B5683,'Poids des runes'!A:B,2,FALSE))</f>
        <v>65.8</v>
      </c>
      <c r="F5683">
        <f t="shared" si="88"/>
        <v>65.8</v>
      </c>
    </row>
    <row r="5684" spans="1:6" x14ac:dyDescent="0.3">
      <c r="A5684" t="s">
        <v>1159</v>
      </c>
      <c r="B5684" t="s">
        <v>2139</v>
      </c>
      <c r="C5684">
        <v>40.5</v>
      </c>
      <c r="D5684">
        <v>160</v>
      </c>
      <c r="E5684">
        <f>IF(OR(B5684="vi",B5684="ii",B5684="pod"),(((D5684/100)*(C5684*VLOOKUP(B5684,'Poids des runes'!A:B,2,FALSE)))+1),(((D5684/100)*(C5684*VLOOKUP(B5684,'Poids des runes'!A:B,2,FALSE)))+1)/VLOOKUP(B5684,'Poids des runes'!A:B,2,FALSE))</f>
        <v>65.3</v>
      </c>
      <c r="F5684">
        <f t="shared" si="88"/>
        <v>65.3</v>
      </c>
    </row>
    <row r="5685" spans="1:6" x14ac:dyDescent="0.3">
      <c r="A5685" t="s">
        <v>1159</v>
      </c>
      <c r="B5685" t="s">
        <v>2151</v>
      </c>
      <c r="C5685">
        <v>4.5</v>
      </c>
      <c r="D5685">
        <v>160</v>
      </c>
      <c r="E5685">
        <f>IF(OR(B5685="vi",B5685="ii",B5685="pod"),(((D5685/100)*(C5685*VLOOKUP(B5685,'Poids des runes'!A:B,2,FALSE)))+1),(((D5685/100)*(C5685*VLOOKUP(B5685,'Poids des runes'!A:B,2,FALSE)))+1)/VLOOKUP(B5685,'Poids des runes'!A:B,2,FALSE))</f>
        <v>7.3</v>
      </c>
      <c r="F5685">
        <f t="shared" si="88"/>
        <v>7.3</v>
      </c>
    </row>
    <row r="5686" spans="1:6" x14ac:dyDescent="0.3">
      <c r="A5686" t="s">
        <v>1159</v>
      </c>
      <c r="B5686" t="s">
        <v>2134</v>
      </c>
      <c r="C5686">
        <v>3.5</v>
      </c>
      <c r="D5686">
        <v>160</v>
      </c>
      <c r="E5686">
        <f>IF(OR(B5686="vi",B5686="ii",B5686="pod"),(((D5686/100)*(C5686*VLOOKUP(B5686,'Poids des runes'!A:B,2,FALSE)))+1),(((D5686/100)*(C5686*VLOOKUP(B5686,'Poids des runes'!A:B,2,FALSE)))+1)/VLOOKUP(B5686,'Poids des runes'!A:B,2,FALSE))</f>
        <v>5.65</v>
      </c>
      <c r="F5686">
        <f t="shared" si="88"/>
        <v>5.65</v>
      </c>
    </row>
    <row r="5687" spans="1:6" x14ac:dyDescent="0.3">
      <c r="A5687" t="s">
        <v>1159</v>
      </c>
      <c r="B5687" t="s">
        <v>2161</v>
      </c>
      <c r="C5687">
        <v>13</v>
      </c>
      <c r="D5687">
        <v>160</v>
      </c>
      <c r="E5687">
        <f>IF(OR(B5687="vi",B5687="ii",B5687="pod"),(((D5687/100)*(C5687*VLOOKUP(B5687,'Poids des runes'!A:B,2,FALSE)))+1),(((D5687/100)*(C5687*VLOOKUP(B5687,'Poids des runes'!A:B,2,FALSE)))+1)/VLOOKUP(B5687,'Poids des runes'!A:B,2,FALSE))</f>
        <v>21.133333333333336</v>
      </c>
      <c r="F5687">
        <f t="shared" si="88"/>
        <v>21.133333333333336</v>
      </c>
    </row>
    <row r="5688" spans="1:6" x14ac:dyDescent="0.3">
      <c r="A5688" t="s">
        <v>1159</v>
      </c>
      <c r="B5688" t="s">
        <v>2132</v>
      </c>
      <c r="C5688">
        <v>450.5</v>
      </c>
      <c r="D5688">
        <v>160</v>
      </c>
      <c r="E5688">
        <f>IF(OR(B5688="vi",B5688="ii",B5688="pod"),(((D5688/100)*(C5688*VLOOKUP(B5688,'Poids des runes'!A:B,2,FALSE)))+1),(((D5688/100)*(C5688*VLOOKUP(B5688,'Poids des runes'!A:B,2,FALSE)))+1)/VLOOKUP(B5688,'Poids des runes'!A:B,2,FALSE))</f>
        <v>73.080000000000013</v>
      </c>
      <c r="F5688">
        <f t="shared" si="88"/>
        <v>73.080000000000013</v>
      </c>
    </row>
    <row r="5689" spans="1:6" x14ac:dyDescent="0.3">
      <c r="A5689" t="s">
        <v>1159</v>
      </c>
      <c r="B5689" t="s">
        <v>2138</v>
      </c>
      <c r="C5689">
        <v>7</v>
      </c>
      <c r="D5689">
        <v>160</v>
      </c>
      <c r="E5689">
        <f>IF(OR(B5689="vi",B5689="ii",B5689="pod"),(((D5689/100)*(C5689*VLOOKUP(B5689,'Poids des runes'!A:B,2,FALSE)))+1),(((D5689/100)*(C5689*VLOOKUP(B5689,'Poids des runes'!A:B,2,FALSE)))+1)/VLOOKUP(B5689,'Poids des runes'!A:B,2,FALSE))</f>
        <v>11.450000000000001</v>
      </c>
      <c r="F5689">
        <f t="shared" si="88"/>
        <v>11.450000000000001</v>
      </c>
    </row>
    <row r="5690" spans="1:6" x14ac:dyDescent="0.3">
      <c r="A5690" t="s">
        <v>1159</v>
      </c>
      <c r="B5690" t="s">
        <v>2163</v>
      </c>
      <c r="C5690">
        <v>8.5</v>
      </c>
      <c r="D5690">
        <v>160</v>
      </c>
      <c r="E5690">
        <f>IF(OR(B5690="vi",B5690="ii",B5690="pod"),(((D5690/100)*(C5690*VLOOKUP(B5690,'Poids des runes'!A:B,2,FALSE)))+1),(((D5690/100)*(C5690*VLOOKUP(B5690,'Poids des runes'!A:B,2,FALSE)))+1)/VLOOKUP(B5690,'Poids des runes'!A:B,2,FALSE))</f>
        <v>14.100000000000001</v>
      </c>
      <c r="F5690">
        <f t="shared" si="88"/>
        <v>14.100000000000001</v>
      </c>
    </row>
    <row r="5691" spans="1:6" x14ac:dyDescent="0.3">
      <c r="A5691" t="s">
        <v>1159</v>
      </c>
      <c r="B5691" t="s">
        <v>2156</v>
      </c>
      <c r="C5691">
        <v>4</v>
      </c>
      <c r="D5691">
        <v>160</v>
      </c>
      <c r="E5691">
        <f>IF(OR(B5691="vi",B5691="ii",B5691="pod"),(((D5691/100)*(C5691*VLOOKUP(B5691,'Poids des runes'!A:B,2,FALSE)))+1),(((D5691/100)*(C5691*VLOOKUP(B5691,'Poids des runes'!A:B,2,FALSE)))+1)/VLOOKUP(B5691,'Poids des runes'!A:B,2,FALSE))</f>
        <v>6.5666666666666673</v>
      </c>
      <c r="F5691">
        <f t="shared" si="88"/>
        <v>6.5666666666666673</v>
      </c>
    </row>
    <row r="5692" spans="1:6" x14ac:dyDescent="0.3">
      <c r="A5692" t="s">
        <v>1159</v>
      </c>
      <c r="B5692" t="s">
        <v>2157</v>
      </c>
      <c r="C5692">
        <v>4</v>
      </c>
      <c r="D5692">
        <v>160</v>
      </c>
      <c r="E5692">
        <f>IF(OR(B5692="vi",B5692="ii",B5692="pod"),(((D5692/100)*(C5692*VLOOKUP(B5692,'Poids des runes'!A:B,2,FALSE)))+1),(((D5692/100)*(C5692*VLOOKUP(B5692,'Poids des runes'!A:B,2,FALSE)))+1)/VLOOKUP(B5692,'Poids des runes'!A:B,2,FALSE))</f>
        <v>6.5666666666666673</v>
      </c>
      <c r="F5692">
        <f t="shared" si="88"/>
        <v>6.5666666666666673</v>
      </c>
    </row>
    <row r="5693" spans="1:6" x14ac:dyDescent="0.3">
      <c r="A5693" t="s">
        <v>1160</v>
      </c>
      <c r="B5693" t="s">
        <v>2128</v>
      </c>
      <c r="C5693">
        <v>225.5</v>
      </c>
      <c r="D5693">
        <v>160</v>
      </c>
      <c r="E5693">
        <f>IF(OR(B5693="vi",B5693="ii",B5693="pod"),(((D5693/100)*(C5693*VLOOKUP(B5693,'Poids des runes'!A:B,2,FALSE)))+1),(((D5693/100)*(C5693*VLOOKUP(B5693,'Poids des runes'!A:B,2,FALSE)))+1)/VLOOKUP(B5693,'Poids des runes'!A:B,2,FALSE))</f>
        <v>73.160000000000011</v>
      </c>
      <c r="F5693">
        <f t="shared" si="88"/>
        <v>73.160000000000011</v>
      </c>
    </row>
    <row r="5694" spans="1:6" x14ac:dyDescent="0.3">
      <c r="A5694" t="s">
        <v>1160</v>
      </c>
      <c r="B5694" t="s">
        <v>2127</v>
      </c>
      <c r="C5694">
        <v>40.5</v>
      </c>
      <c r="D5694">
        <v>160</v>
      </c>
      <c r="E5694">
        <f>IF(OR(B5694="vi",B5694="ii",B5694="pod"),(((D5694/100)*(C5694*VLOOKUP(B5694,'Poids des runes'!A:B,2,FALSE)))+1),(((D5694/100)*(C5694*VLOOKUP(B5694,'Poids des runes'!A:B,2,FALSE)))+1)/VLOOKUP(B5694,'Poids des runes'!A:B,2,FALSE))</f>
        <v>65.8</v>
      </c>
      <c r="F5694">
        <f t="shared" si="88"/>
        <v>65.8</v>
      </c>
    </row>
    <row r="5695" spans="1:6" x14ac:dyDescent="0.3">
      <c r="A5695" t="s">
        <v>1160</v>
      </c>
      <c r="B5695" t="s">
        <v>2129</v>
      </c>
      <c r="C5695">
        <v>25.5</v>
      </c>
      <c r="D5695">
        <v>160</v>
      </c>
      <c r="E5695">
        <f>IF(OR(B5695="vi",B5695="ii",B5695="pod"),(((D5695/100)*(C5695*VLOOKUP(B5695,'Poids des runes'!A:B,2,FALSE)))+1),(((D5695/100)*(C5695*VLOOKUP(B5695,'Poids des runes'!A:B,2,FALSE)))+1)/VLOOKUP(B5695,'Poids des runes'!A:B,2,FALSE))</f>
        <v>41.800000000000004</v>
      </c>
      <c r="F5695">
        <f t="shared" si="88"/>
        <v>41.800000000000004</v>
      </c>
    </row>
    <row r="5696" spans="1:6" x14ac:dyDescent="0.3">
      <c r="A5696" t="s">
        <v>1160</v>
      </c>
      <c r="B5696" t="s">
        <v>2151</v>
      </c>
      <c r="C5696">
        <v>3.5</v>
      </c>
      <c r="D5696">
        <v>160</v>
      </c>
      <c r="E5696">
        <f>IF(OR(B5696="vi",B5696="ii",B5696="pod"),(((D5696/100)*(C5696*VLOOKUP(B5696,'Poids des runes'!A:B,2,FALSE)))+1),(((D5696/100)*(C5696*VLOOKUP(B5696,'Poids des runes'!A:B,2,FALSE)))+1)/VLOOKUP(B5696,'Poids des runes'!A:B,2,FALSE))</f>
        <v>5.7</v>
      </c>
      <c r="F5696">
        <f t="shared" si="88"/>
        <v>5.7</v>
      </c>
    </row>
    <row r="5697" spans="1:6" x14ac:dyDescent="0.3">
      <c r="A5697" t="s">
        <v>1160</v>
      </c>
      <c r="B5697" t="s">
        <v>2150</v>
      </c>
      <c r="C5697">
        <v>1</v>
      </c>
      <c r="D5697">
        <v>160</v>
      </c>
      <c r="E5697">
        <f>IF(OR(B5697="vi",B5697="ii",B5697="pod"),(((D5697/100)*(C5697*VLOOKUP(B5697,'Poids des runes'!A:B,2,FALSE)))+1),(((D5697/100)*(C5697*VLOOKUP(B5697,'Poids des runes'!A:B,2,FALSE)))+1)/VLOOKUP(B5697,'Poids des runes'!A:B,2,FALSE))</f>
        <v>1.6333333333333333</v>
      </c>
      <c r="F5697">
        <f t="shared" si="88"/>
        <v>1.6333333333333333</v>
      </c>
    </row>
    <row r="5698" spans="1:6" x14ac:dyDescent="0.3">
      <c r="A5698" t="s">
        <v>1160</v>
      </c>
      <c r="B5698" t="s">
        <v>2153</v>
      </c>
      <c r="C5698">
        <v>8.5</v>
      </c>
      <c r="D5698">
        <v>160</v>
      </c>
      <c r="E5698">
        <f>IF(OR(B5698="vi",B5698="ii",B5698="pod"),(((D5698/100)*(C5698*VLOOKUP(B5698,'Poids des runes'!A:B,2,FALSE)))+1),(((D5698/100)*(C5698*VLOOKUP(B5698,'Poids des runes'!A:B,2,FALSE)))+1)/VLOOKUP(B5698,'Poids des runes'!A:B,2,FALSE))</f>
        <v>13.8</v>
      </c>
      <c r="F5698">
        <f t="shared" si="88"/>
        <v>13.8</v>
      </c>
    </row>
    <row r="5699" spans="1:6" x14ac:dyDescent="0.3">
      <c r="A5699" t="s">
        <v>1160</v>
      </c>
      <c r="B5699" t="s">
        <v>2161</v>
      </c>
      <c r="C5699">
        <v>8</v>
      </c>
      <c r="D5699">
        <v>160</v>
      </c>
      <c r="E5699">
        <f>IF(OR(B5699="vi",B5699="ii",B5699="pod"),(((D5699/100)*(C5699*VLOOKUP(B5699,'Poids des runes'!A:B,2,FALSE)))+1),(((D5699/100)*(C5699*VLOOKUP(B5699,'Poids des runes'!A:B,2,FALSE)))+1)/VLOOKUP(B5699,'Poids des runes'!A:B,2,FALSE))</f>
        <v>13.133333333333335</v>
      </c>
      <c r="F5699">
        <f t="shared" ref="F5699:F5762" si="89">E5699</f>
        <v>13.133333333333335</v>
      </c>
    </row>
    <row r="5700" spans="1:6" x14ac:dyDescent="0.3">
      <c r="A5700" t="s">
        <v>1160</v>
      </c>
      <c r="B5700" t="s">
        <v>2141</v>
      </c>
      <c r="C5700">
        <v>4</v>
      </c>
      <c r="D5700">
        <v>160</v>
      </c>
      <c r="E5700">
        <f>IF(OR(B5700="vi",B5700="ii",B5700="pod"),(((D5700/100)*(C5700*VLOOKUP(B5700,'Poids des runes'!A:B,2,FALSE)))+1),(((D5700/100)*(C5700*VLOOKUP(B5700,'Poids des runes'!A:B,2,FALSE)))+1)/VLOOKUP(B5700,'Poids des runes'!A:B,2,FALSE))</f>
        <v>6.65</v>
      </c>
      <c r="F5700">
        <f t="shared" si="89"/>
        <v>6.65</v>
      </c>
    </row>
    <row r="5701" spans="1:6" x14ac:dyDescent="0.3">
      <c r="A5701" t="s">
        <v>1160</v>
      </c>
      <c r="B5701" t="s">
        <v>2147</v>
      </c>
      <c r="C5701">
        <v>6.5</v>
      </c>
      <c r="D5701">
        <v>160</v>
      </c>
      <c r="E5701">
        <f>IF(OR(B5701="vi",B5701="ii",B5701="pod"),(((D5701/100)*(C5701*VLOOKUP(B5701,'Poids des runes'!A:B,2,FALSE)))+1),(((D5701/100)*(C5701*VLOOKUP(B5701,'Poids des runes'!A:B,2,FALSE)))+1)/VLOOKUP(B5701,'Poids des runes'!A:B,2,FALSE))</f>
        <v>10.566666666666668</v>
      </c>
      <c r="F5701">
        <f t="shared" si="89"/>
        <v>10.566666666666668</v>
      </c>
    </row>
    <row r="5702" spans="1:6" x14ac:dyDescent="0.3">
      <c r="A5702" t="s">
        <v>1160</v>
      </c>
      <c r="B5702" t="s">
        <v>2135</v>
      </c>
      <c r="C5702">
        <v>6.5</v>
      </c>
      <c r="D5702">
        <v>160</v>
      </c>
      <c r="E5702">
        <f>IF(OR(B5702="vi",B5702="ii",B5702="pod"),(((D5702/100)*(C5702*VLOOKUP(B5702,'Poids des runes'!A:B,2,FALSE)))+1),(((D5702/100)*(C5702*VLOOKUP(B5702,'Poids des runes'!A:B,2,FALSE)))+1)/VLOOKUP(B5702,'Poids des runes'!A:B,2,FALSE))</f>
        <v>10.566666666666668</v>
      </c>
      <c r="F5702">
        <f t="shared" si="89"/>
        <v>10.566666666666668</v>
      </c>
    </row>
    <row r="5703" spans="1:6" x14ac:dyDescent="0.3">
      <c r="A5703" t="s">
        <v>1160</v>
      </c>
      <c r="B5703" t="s">
        <v>2137</v>
      </c>
      <c r="C5703">
        <v>6.5</v>
      </c>
      <c r="D5703">
        <v>160</v>
      </c>
      <c r="E5703">
        <f>IF(OR(B5703="vi",B5703="ii",B5703="pod"),(((D5703/100)*(C5703*VLOOKUP(B5703,'Poids des runes'!A:B,2,FALSE)))+1),(((D5703/100)*(C5703*VLOOKUP(B5703,'Poids des runes'!A:B,2,FALSE)))+1)/VLOOKUP(B5703,'Poids des runes'!A:B,2,FALSE))</f>
        <v>10.9</v>
      </c>
      <c r="F5703">
        <f t="shared" si="89"/>
        <v>10.9</v>
      </c>
    </row>
    <row r="5704" spans="1:6" x14ac:dyDescent="0.3">
      <c r="A5704" t="s">
        <v>1160</v>
      </c>
      <c r="B5704" t="s">
        <v>2146</v>
      </c>
      <c r="C5704">
        <v>6.5</v>
      </c>
      <c r="D5704">
        <v>160</v>
      </c>
      <c r="E5704">
        <f>IF(OR(B5704="vi",B5704="ii",B5704="pod"),(((D5704/100)*(C5704*VLOOKUP(B5704,'Poids des runes'!A:B,2,FALSE)))+1),(((D5704/100)*(C5704*VLOOKUP(B5704,'Poids des runes'!A:B,2,FALSE)))+1)/VLOOKUP(B5704,'Poids des runes'!A:B,2,FALSE))</f>
        <v>10.9</v>
      </c>
      <c r="F5704">
        <f t="shared" si="89"/>
        <v>10.9</v>
      </c>
    </row>
    <row r="5705" spans="1:6" x14ac:dyDescent="0.3">
      <c r="A5705" t="s">
        <v>1161</v>
      </c>
      <c r="B5705" t="s">
        <v>2128</v>
      </c>
      <c r="C5705">
        <v>225.5</v>
      </c>
      <c r="D5705">
        <v>161</v>
      </c>
      <c r="E5705">
        <f>IF(OR(B5705="vi",B5705="ii",B5705="pod"),(((D5705/100)*(C5705*VLOOKUP(B5705,'Poids des runes'!A:B,2,FALSE)))+1),(((D5705/100)*(C5705*VLOOKUP(B5705,'Poids des runes'!A:B,2,FALSE)))+1)/VLOOKUP(B5705,'Poids des runes'!A:B,2,FALSE))</f>
        <v>73.611000000000004</v>
      </c>
      <c r="F5705">
        <f t="shared" si="89"/>
        <v>73.611000000000004</v>
      </c>
    </row>
    <row r="5706" spans="1:6" x14ac:dyDescent="0.3">
      <c r="A5706" t="s">
        <v>1161</v>
      </c>
      <c r="B5706" t="s">
        <v>2130</v>
      </c>
      <c r="C5706">
        <v>50.5</v>
      </c>
      <c r="D5706">
        <v>161</v>
      </c>
      <c r="E5706">
        <f>IF(OR(B5706="vi",B5706="ii",B5706="pod"),(((D5706/100)*(C5706*VLOOKUP(B5706,'Poids des runes'!A:B,2,FALSE)))+1),(((D5706/100)*(C5706*VLOOKUP(B5706,'Poids des runes'!A:B,2,FALSE)))+1)/VLOOKUP(B5706,'Poids des runes'!A:B,2,FALSE))</f>
        <v>82.305000000000007</v>
      </c>
      <c r="F5706">
        <f t="shared" si="89"/>
        <v>82.305000000000007</v>
      </c>
    </row>
    <row r="5707" spans="1:6" x14ac:dyDescent="0.3">
      <c r="A5707" t="s">
        <v>1161</v>
      </c>
      <c r="B5707" t="s">
        <v>2126</v>
      </c>
      <c r="C5707">
        <v>50.5</v>
      </c>
      <c r="D5707">
        <v>161</v>
      </c>
      <c r="E5707">
        <f>IF(OR(B5707="vi",B5707="ii",B5707="pod"),(((D5707/100)*(C5707*VLOOKUP(B5707,'Poids des runes'!A:B,2,FALSE)))+1),(((D5707/100)*(C5707*VLOOKUP(B5707,'Poids des runes'!A:B,2,FALSE)))+1)/VLOOKUP(B5707,'Poids des runes'!A:B,2,FALSE))</f>
        <v>82.305000000000007</v>
      </c>
      <c r="F5707">
        <f t="shared" si="89"/>
        <v>82.305000000000007</v>
      </c>
    </row>
    <row r="5708" spans="1:6" x14ac:dyDescent="0.3">
      <c r="A5708" t="s">
        <v>1161</v>
      </c>
      <c r="B5708" t="s">
        <v>2129</v>
      </c>
      <c r="C5708">
        <v>25.5</v>
      </c>
      <c r="D5708">
        <v>161</v>
      </c>
      <c r="E5708">
        <f>IF(OR(B5708="vi",B5708="ii",B5708="pod"),(((D5708/100)*(C5708*VLOOKUP(B5708,'Poids des runes'!A:B,2,FALSE)))+1),(((D5708/100)*(C5708*VLOOKUP(B5708,'Poids des runes'!A:B,2,FALSE)))+1)/VLOOKUP(B5708,'Poids des runes'!A:B,2,FALSE))</f>
        <v>42.055</v>
      </c>
      <c r="F5708">
        <f t="shared" si="89"/>
        <v>42.055</v>
      </c>
    </row>
    <row r="5709" spans="1:6" x14ac:dyDescent="0.3">
      <c r="A5709" t="s">
        <v>1161</v>
      </c>
      <c r="B5709" t="s">
        <v>2150</v>
      </c>
      <c r="C5709">
        <v>1</v>
      </c>
      <c r="D5709">
        <v>161</v>
      </c>
      <c r="E5709">
        <f>IF(OR(B5709="vi",B5709="ii",B5709="pod"),(((D5709/100)*(C5709*VLOOKUP(B5709,'Poids des runes'!A:B,2,FALSE)))+1),(((D5709/100)*(C5709*VLOOKUP(B5709,'Poids des runes'!A:B,2,FALSE)))+1)/VLOOKUP(B5709,'Poids des runes'!A:B,2,FALSE))</f>
        <v>1.6433333333333335</v>
      </c>
      <c r="F5709">
        <f t="shared" si="89"/>
        <v>1.6433333333333335</v>
      </c>
    </row>
    <row r="5710" spans="1:6" x14ac:dyDescent="0.3">
      <c r="A5710" t="s">
        <v>1161</v>
      </c>
      <c r="B5710" t="s">
        <v>2134</v>
      </c>
      <c r="C5710">
        <v>13</v>
      </c>
      <c r="D5710">
        <v>161</v>
      </c>
      <c r="E5710">
        <f>IF(OR(B5710="vi",B5710="ii",B5710="pod"),(((D5710/100)*(C5710*VLOOKUP(B5710,'Poids des runes'!A:B,2,FALSE)))+1),(((D5710/100)*(C5710*VLOOKUP(B5710,'Poids des runes'!A:B,2,FALSE)))+1)/VLOOKUP(B5710,'Poids des runes'!A:B,2,FALSE))</f>
        <v>20.98</v>
      </c>
      <c r="F5710">
        <f t="shared" si="89"/>
        <v>20.98</v>
      </c>
    </row>
    <row r="5711" spans="1:6" x14ac:dyDescent="0.3">
      <c r="A5711" t="s">
        <v>1161</v>
      </c>
      <c r="B5711" t="s">
        <v>2149</v>
      </c>
      <c r="C5711">
        <v>6</v>
      </c>
      <c r="D5711">
        <v>161</v>
      </c>
      <c r="E5711">
        <f>IF(OR(B5711="vi",B5711="ii",B5711="pod"),(((D5711/100)*(C5711*VLOOKUP(B5711,'Poids des runes'!A:B,2,FALSE)))+1),(((D5711/100)*(C5711*VLOOKUP(B5711,'Poids des runes'!A:B,2,FALSE)))+1)/VLOOKUP(B5711,'Poids des runes'!A:B,2,FALSE))</f>
        <v>9.7600000000000016</v>
      </c>
      <c r="F5711">
        <f t="shared" si="89"/>
        <v>9.7600000000000016</v>
      </c>
    </row>
    <row r="5712" spans="1:6" x14ac:dyDescent="0.3">
      <c r="A5712" t="s">
        <v>1161</v>
      </c>
      <c r="B5712" t="s">
        <v>2161</v>
      </c>
      <c r="C5712">
        <v>13</v>
      </c>
      <c r="D5712">
        <v>161</v>
      </c>
      <c r="E5712">
        <f>IF(OR(B5712="vi",B5712="ii",B5712="pod"),(((D5712/100)*(C5712*VLOOKUP(B5712,'Poids des runes'!A:B,2,FALSE)))+1),(((D5712/100)*(C5712*VLOOKUP(B5712,'Poids des runes'!A:B,2,FALSE)))+1)/VLOOKUP(B5712,'Poids des runes'!A:B,2,FALSE))</f>
        <v>21.263333333333335</v>
      </c>
      <c r="F5712">
        <f t="shared" si="89"/>
        <v>21.263333333333335</v>
      </c>
    </row>
    <row r="5713" spans="1:6" x14ac:dyDescent="0.3">
      <c r="A5713" t="s">
        <v>1161</v>
      </c>
      <c r="B5713" t="s">
        <v>2135</v>
      </c>
      <c r="C5713">
        <v>6</v>
      </c>
      <c r="D5713">
        <v>161</v>
      </c>
      <c r="E5713">
        <f>IF(OR(B5713="vi",B5713="ii",B5713="pod"),(((D5713/100)*(C5713*VLOOKUP(B5713,'Poids des runes'!A:B,2,FALSE)))+1),(((D5713/100)*(C5713*VLOOKUP(B5713,'Poids des runes'!A:B,2,FALSE)))+1)/VLOOKUP(B5713,'Poids des runes'!A:B,2,FALSE))</f>
        <v>9.8266666666666662</v>
      </c>
      <c r="F5713">
        <f t="shared" si="89"/>
        <v>9.8266666666666662</v>
      </c>
    </row>
    <row r="5714" spans="1:6" x14ac:dyDescent="0.3">
      <c r="A5714" t="s">
        <v>1161</v>
      </c>
      <c r="B5714" t="s">
        <v>2157</v>
      </c>
      <c r="C5714">
        <v>6</v>
      </c>
      <c r="D5714">
        <v>161</v>
      </c>
      <c r="E5714">
        <f>IF(OR(B5714="vi",B5714="ii",B5714="pod"),(((D5714/100)*(C5714*VLOOKUP(B5714,'Poids des runes'!A:B,2,FALSE)))+1),(((D5714/100)*(C5714*VLOOKUP(B5714,'Poids des runes'!A:B,2,FALSE)))+1)/VLOOKUP(B5714,'Poids des runes'!A:B,2,FALSE))</f>
        <v>9.8266666666666662</v>
      </c>
      <c r="F5714">
        <f t="shared" si="89"/>
        <v>9.8266666666666662</v>
      </c>
    </row>
    <row r="5715" spans="1:6" x14ac:dyDescent="0.3">
      <c r="A5715" t="s">
        <v>1162</v>
      </c>
      <c r="B5715" t="s">
        <v>2128</v>
      </c>
      <c r="C5715">
        <v>175.5</v>
      </c>
      <c r="D5715">
        <v>161</v>
      </c>
      <c r="E5715">
        <f>IF(OR(B5715="vi",B5715="ii",B5715="pod"),(((D5715/100)*(C5715*VLOOKUP(B5715,'Poids des runes'!A:B,2,FALSE)))+1),(((D5715/100)*(C5715*VLOOKUP(B5715,'Poids des runes'!A:B,2,FALSE)))+1)/VLOOKUP(B5715,'Poids des runes'!A:B,2,FALSE))</f>
        <v>57.511000000000003</v>
      </c>
      <c r="F5715">
        <f t="shared" si="89"/>
        <v>57.511000000000003</v>
      </c>
    </row>
    <row r="5716" spans="1:6" x14ac:dyDescent="0.3">
      <c r="A5716" t="s">
        <v>1162</v>
      </c>
      <c r="B5716" t="s">
        <v>2131</v>
      </c>
      <c r="C5716">
        <v>50.5</v>
      </c>
      <c r="D5716">
        <v>161</v>
      </c>
      <c r="E5716">
        <f>IF(OR(B5716="vi",B5716="ii",B5716="pod"),(((D5716/100)*(C5716*VLOOKUP(B5716,'Poids des runes'!A:B,2,FALSE)))+1),(((D5716/100)*(C5716*VLOOKUP(B5716,'Poids des runes'!A:B,2,FALSE)))+1)/VLOOKUP(B5716,'Poids des runes'!A:B,2,FALSE))</f>
        <v>82.305000000000007</v>
      </c>
      <c r="F5716">
        <f t="shared" si="89"/>
        <v>82.305000000000007</v>
      </c>
    </row>
    <row r="5717" spans="1:6" x14ac:dyDescent="0.3">
      <c r="A5717" t="s">
        <v>1162</v>
      </c>
      <c r="B5717" t="s">
        <v>2129</v>
      </c>
      <c r="C5717">
        <v>45.5</v>
      </c>
      <c r="D5717">
        <v>161</v>
      </c>
      <c r="E5717">
        <f>IF(OR(B5717="vi",B5717="ii",B5717="pod"),(((D5717/100)*(C5717*VLOOKUP(B5717,'Poids des runes'!A:B,2,FALSE)))+1),(((D5717/100)*(C5717*VLOOKUP(B5717,'Poids des runes'!A:B,2,FALSE)))+1)/VLOOKUP(B5717,'Poids des runes'!A:B,2,FALSE))</f>
        <v>74.25500000000001</v>
      </c>
      <c r="F5717">
        <f t="shared" si="89"/>
        <v>74.25500000000001</v>
      </c>
    </row>
    <row r="5718" spans="1:6" x14ac:dyDescent="0.3">
      <c r="A5718" t="s">
        <v>1162</v>
      </c>
      <c r="B5718" t="s">
        <v>2151</v>
      </c>
      <c r="C5718">
        <v>2.5</v>
      </c>
      <c r="D5718">
        <v>161</v>
      </c>
      <c r="E5718">
        <f>IF(OR(B5718="vi",B5718="ii",B5718="pod"),(((D5718/100)*(C5718*VLOOKUP(B5718,'Poids des runes'!A:B,2,FALSE)))+1),(((D5718/100)*(C5718*VLOOKUP(B5718,'Poids des runes'!A:B,2,FALSE)))+1)/VLOOKUP(B5718,'Poids des runes'!A:B,2,FALSE))</f>
        <v>4.125</v>
      </c>
      <c r="F5718">
        <f t="shared" si="89"/>
        <v>4.125</v>
      </c>
    </row>
    <row r="5719" spans="1:6" x14ac:dyDescent="0.3">
      <c r="A5719" t="s">
        <v>1162</v>
      </c>
      <c r="B5719" t="s">
        <v>2154</v>
      </c>
      <c r="C5719">
        <v>1</v>
      </c>
      <c r="D5719">
        <v>161</v>
      </c>
      <c r="E5719">
        <f>IF(OR(B5719="vi",B5719="ii",B5719="pod"),(((D5719/100)*(C5719*VLOOKUP(B5719,'Poids des runes'!A:B,2,FALSE)))+1),(((D5719/100)*(C5719*VLOOKUP(B5719,'Poids des runes'!A:B,2,FALSE)))+1)/VLOOKUP(B5719,'Poids des runes'!A:B,2,FALSE))</f>
        <v>1.6211111111111112</v>
      </c>
      <c r="F5719">
        <f t="shared" si="89"/>
        <v>1.6211111111111112</v>
      </c>
    </row>
    <row r="5720" spans="1:6" x14ac:dyDescent="0.3">
      <c r="A5720" t="s">
        <v>1162</v>
      </c>
      <c r="B5720" t="s">
        <v>2150</v>
      </c>
      <c r="C5720">
        <v>1</v>
      </c>
      <c r="D5720">
        <v>161</v>
      </c>
      <c r="E5720">
        <f>IF(OR(B5720="vi",B5720="ii",B5720="pod"),(((D5720/100)*(C5720*VLOOKUP(B5720,'Poids des runes'!A:B,2,FALSE)))+1),(((D5720/100)*(C5720*VLOOKUP(B5720,'Poids des runes'!A:B,2,FALSE)))+1)/VLOOKUP(B5720,'Poids des runes'!A:B,2,FALSE))</f>
        <v>1.6433333333333335</v>
      </c>
      <c r="F5720">
        <f t="shared" si="89"/>
        <v>1.6433333333333335</v>
      </c>
    </row>
    <row r="5721" spans="1:6" x14ac:dyDescent="0.3">
      <c r="A5721" t="s">
        <v>1162</v>
      </c>
      <c r="B5721" t="s">
        <v>2133</v>
      </c>
      <c r="C5721">
        <v>8.5</v>
      </c>
      <c r="D5721">
        <v>161</v>
      </c>
      <c r="E5721">
        <f>IF(OR(B5721="vi",B5721="ii",B5721="pod"),(((D5721/100)*(C5721*VLOOKUP(B5721,'Poids des runes'!A:B,2,FALSE)))+1),(((D5721/100)*(C5721*VLOOKUP(B5721,'Poids des runes'!A:B,2,FALSE)))+1)/VLOOKUP(B5721,'Poids des runes'!A:B,2,FALSE))</f>
        <v>13.885</v>
      </c>
      <c r="F5721">
        <f t="shared" si="89"/>
        <v>13.885</v>
      </c>
    </row>
    <row r="5722" spans="1:6" x14ac:dyDescent="0.3">
      <c r="A5722" t="s">
        <v>1162</v>
      </c>
      <c r="B5722" t="s">
        <v>2153</v>
      </c>
      <c r="C5722">
        <v>8.5</v>
      </c>
      <c r="D5722">
        <v>161</v>
      </c>
      <c r="E5722">
        <f>IF(OR(B5722="vi",B5722="ii",B5722="pod"),(((D5722/100)*(C5722*VLOOKUP(B5722,'Poids des runes'!A:B,2,FALSE)))+1),(((D5722/100)*(C5722*VLOOKUP(B5722,'Poids des runes'!A:B,2,FALSE)))+1)/VLOOKUP(B5722,'Poids des runes'!A:B,2,FALSE))</f>
        <v>13.885</v>
      </c>
      <c r="F5722">
        <f t="shared" si="89"/>
        <v>13.885</v>
      </c>
    </row>
    <row r="5723" spans="1:6" x14ac:dyDescent="0.3">
      <c r="A5723" t="s">
        <v>1162</v>
      </c>
      <c r="B5723" t="s">
        <v>2161</v>
      </c>
      <c r="C5723">
        <v>15.5</v>
      </c>
      <c r="D5723">
        <v>161</v>
      </c>
      <c r="E5723">
        <f>IF(OR(B5723="vi",B5723="ii",B5723="pod"),(((D5723/100)*(C5723*VLOOKUP(B5723,'Poids des runes'!A:B,2,FALSE)))+1),(((D5723/100)*(C5723*VLOOKUP(B5723,'Poids des runes'!A:B,2,FALSE)))+1)/VLOOKUP(B5723,'Poids des runes'!A:B,2,FALSE))</f>
        <v>25.288333333333338</v>
      </c>
      <c r="F5723">
        <f t="shared" si="89"/>
        <v>25.288333333333338</v>
      </c>
    </row>
    <row r="5724" spans="1:6" x14ac:dyDescent="0.3">
      <c r="A5724" t="s">
        <v>1162</v>
      </c>
      <c r="B5724" t="s">
        <v>2132</v>
      </c>
      <c r="C5724">
        <v>250.5</v>
      </c>
      <c r="D5724">
        <v>161</v>
      </c>
      <c r="E5724">
        <f>IF(OR(B5724="vi",B5724="ii",B5724="pod"),(((D5724/100)*(C5724*VLOOKUP(B5724,'Poids des runes'!A:B,2,FALSE)))+1),(((D5724/100)*(C5724*VLOOKUP(B5724,'Poids des runes'!A:B,2,FALSE)))+1)/VLOOKUP(B5724,'Poids des runes'!A:B,2,FALSE))</f>
        <v>41.330500000000001</v>
      </c>
      <c r="F5724">
        <f t="shared" si="89"/>
        <v>41.330500000000001</v>
      </c>
    </row>
    <row r="5725" spans="1:6" x14ac:dyDescent="0.3">
      <c r="A5725" t="s">
        <v>1162</v>
      </c>
      <c r="B5725" t="s">
        <v>2163</v>
      </c>
      <c r="C5725">
        <v>8.5</v>
      </c>
      <c r="D5725">
        <v>161</v>
      </c>
      <c r="E5725">
        <f>IF(OR(B5725="vi",B5725="ii",B5725="pod"),(((D5725/100)*(C5725*VLOOKUP(B5725,'Poids des runes'!A:B,2,FALSE)))+1),(((D5725/100)*(C5725*VLOOKUP(B5725,'Poids des runes'!A:B,2,FALSE)))+1)/VLOOKUP(B5725,'Poids des runes'!A:B,2,FALSE))</f>
        <v>14.185</v>
      </c>
      <c r="F5725">
        <f t="shared" si="89"/>
        <v>14.185</v>
      </c>
    </row>
    <row r="5726" spans="1:6" x14ac:dyDescent="0.3">
      <c r="A5726" t="s">
        <v>1162</v>
      </c>
      <c r="B5726" t="s">
        <v>2144</v>
      </c>
      <c r="C5726">
        <v>6</v>
      </c>
      <c r="D5726">
        <v>161</v>
      </c>
      <c r="E5726">
        <f>IF(OR(B5726="vi",B5726="ii",B5726="pod"),(((D5726/100)*(C5726*VLOOKUP(B5726,'Poids des runes'!A:B,2,FALSE)))+1),(((D5726/100)*(C5726*VLOOKUP(B5726,'Poids des runes'!A:B,2,FALSE)))+1)/VLOOKUP(B5726,'Poids des runes'!A:B,2,FALSE))</f>
        <v>10.16</v>
      </c>
      <c r="F5726">
        <f t="shared" si="89"/>
        <v>10.16</v>
      </c>
    </row>
    <row r="5727" spans="1:6" x14ac:dyDescent="0.3">
      <c r="A5727" t="s">
        <v>1162</v>
      </c>
      <c r="B5727" t="s">
        <v>2146</v>
      </c>
      <c r="C5727">
        <v>6</v>
      </c>
      <c r="D5727">
        <v>161</v>
      </c>
      <c r="E5727">
        <f>IF(OR(B5727="vi",B5727="ii",B5727="pod"),(((D5727/100)*(C5727*VLOOKUP(B5727,'Poids des runes'!A:B,2,FALSE)))+1),(((D5727/100)*(C5727*VLOOKUP(B5727,'Poids des runes'!A:B,2,FALSE)))+1)/VLOOKUP(B5727,'Poids des runes'!A:B,2,FALSE))</f>
        <v>10.16</v>
      </c>
      <c r="F5727">
        <f t="shared" si="89"/>
        <v>10.16</v>
      </c>
    </row>
    <row r="5728" spans="1:6" x14ac:dyDescent="0.3">
      <c r="A5728" t="s">
        <v>1163</v>
      </c>
      <c r="B5728" t="s">
        <v>2128</v>
      </c>
      <c r="C5728">
        <v>125.5</v>
      </c>
      <c r="D5728">
        <v>161</v>
      </c>
      <c r="E5728">
        <f>IF(OR(B5728="vi",B5728="ii",B5728="pod"),(((D5728/100)*(C5728*VLOOKUP(B5728,'Poids des runes'!A:B,2,FALSE)))+1),(((D5728/100)*(C5728*VLOOKUP(B5728,'Poids des runes'!A:B,2,FALSE)))+1)/VLOOKUP(B5728,'Poids des runes'!A:B,2,FALSE))</f>
        <v>41.411000000000001</v>
      </c>
      <c r="F5728">
        <f t="shared" si="89"/>
        <v>41.411000000000001</v>
      </c>
    </row>
    <row r="5729" spans="1:6" x14ac:dyDescent="0.3">
      <c r="A5729" t="s">
        <v>1163</v>
      </c>
      <c r="B5729" t="s">
        <v>2131</v>
      </c>
      <c r="C5729">
        <v>50.5</v>
      </c>
      <c r="D5729">
        <v>161</v>
      </c>
      <c r="E5729">
        <f>IF(OR(B5729="vi",B5729="ii",B5729="pod"),(((D5729/100)*(C5729*VLOOKUP(B5729,'Poids des runes'!A:B,2,FALSE)))+1),(((D5729/100)*(C5729*VLOOKUP(B5729,'Poids des runes'!A:B,2,FALSE)))+1)/VLOOKUP(B5729,'Poids des runes'!A:B,2,FALSE))</f>
        <v>82.305000000000007</v>
      </c>
      <c r="F5729">
        <f t="shared" si="89"/>
        <v>82.305000000000007</v>
      </c>
    </row>
    <row r="5730" spans="1:6" x14ac:dyDescent="0.3">
      <c r="A5730" t="s">
        <v>1163</v>
      </c>
      <c r="B5730" t="s">
        <v>2129</v>
      </c>
      <c r="C5730">
        <v>38</v>
      </c>
      <c r="D5730">
        <v>161</v>
      </c>
      <c r="E5730">
        <f>IF(OR(B5730="vi",B5730="ii",B5730="pod"),(((D5730/100)*(C5730*VLOOKUP(B5730,'Poids des runes'!A:B,2,FALSE)))+1),(((D5730/100)*(C5730*VLOOKUP(B5730,'Poids des runes'!A:B,2,FALSE)))+1)/VLOOKUP(B5730,'Poids des runes'!A:B,2,FALSE))</f>
        <v>62.180000000000007</v>
      </c>
      <c r="F5730">
        <f t="shared" si="89"/>
        <v>62.180000000000007</v>
      </c>
    </row>
    <row r="5731" spans="1:6" x14ac:dyDescent="0.3">
      <c r="A5731" t="s">
        <v>1163</v>
      </c>
      <c r="B5731" t="s">
        <v>2155</v>
      </c>
      <c r="C5731">
        <v>1</v>
      </c>
      <c r="D5731">
        <v>161</v>
      </c>
      <c r="E5731">
        <f>IF(OR(B5731="vi",B5731="ii",B5731="pod"),(((D5731/100)*(C5731*VLOOKUP(B5731,'Poids des runes'!A:B,2,FALSE)))+1),(((D5731/100)*(C5731*VLOOKUP(B5731,'Poids des runes'!A:B,2,FALSE)))+1)/VLOOKUP(B5731,'Poids des runes'!A:B,2,FALSE))</f>
        <v>1.6296078431372549</v>
      </c>
      <c r="F5731">
        <f t="shared" si="89"/>
        <v>1.6296078431372549</v>
      </c>
    </row>
    <row r="5732" spans="1:6" x14ac:dyDescent="0.3">
      <c r="A5732" t="s">
        <v>1163</v>
      </c>
      <c r="B5732" t="s">
        <v>2133</v>
      </c>
      <c r="C5732">
        <v>8.5</v>
      </c>
      <c r="D5732">
        <v>161</v>
      </c>
      <c r="E5732">
        <f>IF(OR(B5732="vi",B5732="ii",B5732="pod"),(((D5732/100)*(C5732*VLOOKUP(B5732,'Poids des runes'!A:B,2,FALSE)))+1),(((D5732/100)*(C5732*VLOOKUP(B5732,'Poids des runes'!A:B,2,FALSE)))+1)/VLOOKUP(B5732,'Poids des runes'!A:B,2,FALSE))</f>
        <v>13.885</v>
      </c>
      <c r="F5732">
        <f t="shared" si="89"/>
        <v>13.885</v>
      </c>
    </row>
    <row r="5733" spans="1:6" x14ac:dyDescent="0.3">
      <c r="A5733" t="s">
        <v>1163</v>
      </c>
      <c r="B5733" t="s">
        <v>2153</v>
      </c>
      <c r="C5733">
        <v>10</v>
      </c>
      <c r="D5733">
        <v>161</v>
      </c>
      <c r="E5733">
        <f>IF(OR(B5733="vi",B5733="ii",B5733="pod"),(((D5733/100)*(C5733*VLOOKUP(B5733,'Poids des runes'!A:B,2,FALSE)))+1),(((D5733/100)*(C5733*VLOOKUP(B5733,'Poids des runes'!A:B,2,FALSE)))+1)/VLOOKUP(B5733,'Poids des runes'!A:B,2,FALSE))</f>
        <v>16.3</v>
      </c>
      <c r="F5733">
        <f t="shared" si="89"/>
        <v>16.3</v>
      </c>
    </row>
    <row r="5734" spans="1:6" x14ac:dyDescent="0.3">
      <c r="A5734" t="s">
        <v>1163</v>
      </c>
      <c r="B5734" t="s">
        <v>2161</v>
      </c>
      <c r="C5734">
        <v>20.5</v>
      </c>
      <c r="D5734">
        <v>161</v>
      </c>
      <c r="E5734">
        <f>IF(OR(B5734="vi",B5734="ii",B5734="pod"),(((D5734/100)*(C5734*VLOOKUP(B5734,'Poids des runes'!A:B,2,FALSE)))+1),(((D5734/100)*(C5734*VLOOKUP(B5734,'Poids des runes'!A:B,2,FALSE)))+1)/VLOOKUP(B5734,'Poids des runes'!A:B,2,FALSE))</f>
        <v>33.338333333333331</v>
      </c>
      <c r="F5734">
        <f t="shared" si="89"/>
        <v>33.338333333333331</v>
      </c>
    </row>
    <row r="5735" spans="1:6" x14ac:dyDescent="0.3">
      <c r="A5735" t="s">
        <v>1163</v>
      </c>
      <c r="B5735" t="s">
        <v>2138</v>
      </c>
      <c r="C5735">
        <v>5.5</v>
      </c>
      <c r="D5735">
        <v>161</v>
      </c>
      <c r="E5735">
        <f>IF(OR(B5735="vi",B5735="ii",B5735="pod"),(((D5735/100)*(C5735*VLOOKUP(B5735,'Poids des runes'!A:B,2,FALSE)))+1),(((D5735/100)*(C5735*VLOOKUP(B5735,'Poids des runes'!A:B,2,FALSE)))+1)/VLOOKUP(B5735,'Poids des runes'!A:B,2,FALSE))</f>
        <v>9.1050000000000004</v>
      </c>
      <c r="F5735">
        <f t="shared" si="89"/>
        <v>9.1050000000000004</v>
      </c>
    </row>
    <row r="5736" spans="1:6" x14ac:dyDescent="0.3">
      <c r="A5736" t="s">
        <v>1163</v>
      </c>
      <c r="B5736" t="s">
        <v>2142</v>
      </c>
      <c r="C5736">
        <v>8.5</v>
      </c>
      <c r="D5736">
        <v>161</v>
      </c>
      <c r="E5736">
        <f>IF(OR(B5736="vi",B5736="ii",B5736="pod"),(((D5736/100)*(C5736*VLOOKUP(B5736,'Poids des runes'!A:B,2,FALSE)))+1),(((D5736/100)*(C5736*VLOOKUP(B5736,'Poids des runes'!A:B,2,FALSE)))+1)/VLOOKUP(B5736,'Poids des runes'!A:B,2,FALSE))</f>
        <v>13.885</v>
      </c>
      <c r="F5736">
        <f t="shared" si="89"/>
        <v>13.885</v>
      </c>
    </row>
    <row r="5737" spans="1:6" x14ac:dyDescent="0.3">
      <c r="A5737" t="s">
        <v>1163</v>
      </c>
      <c r="B5737" t="s">
        <v>2157</v>
      </c>
      <c r="C5737">
        <v>6</v>
      </c>
      <c r="D5737">
        <v>161</v>
      </c>
      <c r="E5737">
        <f>IF(OR(B5737="vi",B5737="ii",B5737="pod"),(((D5737/100)*(C5737*VLOOKUP(B5737,'Poids des runes'!A:B,2,FALSE)))+1),(((D5737/100)*(C5737*VLOOKUP(B5737,'Poids des runes'!A:B,2,FALSE)))+1)/VLOOKUP(B5737,'Poids des runes'!A:B,2,FALSE))</f>
        <v>9.8266666666666662</v>
      </c>
      <c r="F5737">
        <f t="shared" si="89"/>
        <v>9.8266666666666662</v>
      </c>
    </row>
    <row r="5738" spans="1:6" x14ac:dyDescent="0.3">
      <c r="A5738" t="s">
        <v>1163</v>
      </c>
      <c r="B5738" t="s">
        <v>2136</v>
      </c>
      <c r="C5738">
        <v>8.5</v>
      </c>
      <c r="D5738">
        <v>161</v>
      </c>
      <c r="E5738">
        <f>IF(OR(B5738="vi",B5738="ii",B5738="pod"),(((D5738/100)*(C5738*VLOOKUP(B5738,'Poids des runes'!A:B,2,FALSE)))+1),(((D5738/100)*(C5738*VLOOKUP(B5738,'Poids des runes'!A:B,2,FALSE)))+1)/VLOOKUP(B5738,'Poids des runes'!A:B,2,FALSE))</f>
        <v>14.185</v>
      </c>
      <c r="F5738">
        <f t="shared" si="89"/>
        <v>14.185</v>
      </c>
    </row>
    <row r="5739" spans="1:6" x14ac:dyDescent="0.3">
      <c r="A5739" t="s">
        <v>1163</v>
      </c>
      <c r="B5739" t="s">
        <v>2137</v>
      </c>
      <c r="C5739">
        <v>8.5</v>
      </c>
      <c r="D5739">
        <v>161</v>
      </c>
      <c r="E5739">
        <f>IF(OR(B5739="vi",B5739="ii",B5739="pod"),(((D5739/100)*(C5739*VLOOKUP(B5739,'Poids des runes'!A:B,2,FALSE)))+1),(((D5739/100)*(C5739*VLOOKUP(B5739,'Poids des runes'!A:B,2,FALSE)))+1)/VLOOKUP(B5739,'Poids des runes'!A:B,2,FALSE))</f>
        <v>14.185</v>
      </c>
      <c r="F5739">
        <f t="shared" si="89"/>
        <v>14.185</v>
      </c>
    </row>
    <row r="5740" spans="1:6" x14ac:dyDescent="0.3">
      <c r="A5740" t="s">
        <v>1164</v>
      </c>
      <c r="B5740" t="s">
        <v>2128</v>
      </c>
      <c r="C5740">
        <v>225.5</v>
      </c>
      <c r="D5740">
        <v>161</v>
      </c>
      <c r="E5740">
        <f>IF(OR(B5740="vi",B5740="ii",B5740="pod"),(((D5740/100)*(C5740*VLOOKUP(B5740,'Poids des runes'!A:B,2,FALSE)))+1),(((D5740/100)*(C5740*VLOOKUP(B5740,'Poids des runes'!A:B,2,FALSE)))+1)/VLOOKUP(B5740,'Poids des runes'!A:B,2,FALSE))</f>
        <v>73.611000000000004</v>
      </c>
      <c r="F5740">
        <f t="shared" si="89"/>
        <v>73.611000000000004</v>
      </c>
    </row>
    <row r="5741" spans="1:6" x14ac:dyDescent="0.3">
      <c r="A5741" t="s">
        <v>1164</v>
      </c>
      <c r="B5741" t="s">
        <v>2130</v>
      </c>
      <c r="C5741">
        <v>50.5</v>
      </c>
      <c r="D5741">
        <v>161</v>
      </c>
      <c r="E5741">
        <f>IF(OR(B5741="vi",B5741="ii",B5741="pod"),(((D5741/100)*(C5741*VLOOKUP(B5741,'Poids des runes'!A:B,2,FALSE)))+1),(((D5741/100)*(C5741*VLOOKUP(B5741,'Poids des runes'!A:B,2,FALSE)))+1)/VLOOKUP(B5741,'Poids des runes'!A:B,2,FALSE))</f>
        <v>82.305000000000007</v>
      </c>
      <c r="F5741">
        <f t="shared" si="89"/>
        <v>82.305000000000007</v>
      </c>
    </row>
    <row r="5742" spans="1:6" x14ac:dyDescent="0.3">
      <c r="A5742" t="s">
        <v>1164</v>
      </c>
      <c r="B5742" t="s">
        <v>2129</v>
      </c>
      <c r="C5742">
        <v>35.5</v>
      </c>
      <c r="D5742">
        <v>161</v>
      </c>
      <c r="E5742">
        <f>IF(OR(B5742="vi",B5742="ii",B5742="pod"),(((D5742/100)*(C5742*VLOOKUP(B5742,'Poids des runes'!A:B,2,FALSE)))+1),(((D5742/100)*(C5742*VLOOKUP(B5742,'Poids des runes'!A:B,2,FALSE)))+1)/VLOOKUP(B5742,'Poids des runes'!A:B,2,FALSE))</f>
        <v>58.155000000000001</v>
      </c>
      <c r="F5742">
        <f t="shared" si="89"/>
        <v>58.155000000000001</v>
      </c>
    </row>
    <row r="5743" spans="1:6" x14ac:dyDescent="0.3">
      <c r="A5743" t="s">
        <v>1164</v>
      </c>
      <c r="B5743" t="s">
        <v>2151</v>
      </c>
      <c r="C5743">
        <v>2.5</v>
      </c>
      <c r="D5743">
        <v>161</v>
      </c>
      <c r="E5743">
        <f>IF(OR(B5743="vi",B5743="ii",B5743="pod"),(((D5743/100)*(C5743*VLOOKUP(B5743,'Poids des runes'!A:B,2,FALSE)))+1),(((D5743/100)*(C5743*VLOOKUP(B5743,'Poids des runes'!A:B,2,FALSE)))+1)/VLOOKUP(B5743,'Poids des runes'!A:B,2,FALSE))</f>
        <v>4.125</v>
      </c>
      <c r="F5743">
        <f t="shared" si="89"/>
        <v>4.125</v>
      </c>
    </row>
    <row r="5744" spans="1:6" x14ac:dyDescent="0.3">
      <c r="A5744" t="s">
        <v>1164</v>
      </c>
      <c r="B5744" t="s">
        <v>2143</v>
      </c>
      <c r="C5744">
        <v>5</v>
      </c>
      <c r="D5744">
        <v>161</v>
      </c>
      <c r="E5744">
        <f>IF(OR(B5744="vi",B5744="ii",B5744="pod"),(((D5744/100)*(C5744*VLOOKUP(B5744,'Poids des runes'!A:B,2,FALSE)))+1),(((D5744/100)*(C5744*VLOOKUP(B5744,'Poids des runes'!A:B,2,FALSE)))+1)/VLOOKUP(B5744,'Poids des runes'!A:B,2,FALSE))</f>
        <v>8.25</v>
      </c>
      <c r="F5744">
        <f t="shared" si="89"/>
        <v>8.25</v>
      </c>
    </row>
    <row r="5745" spans="1:6" x14ac:dyDescent="0.3">
      <c r="A5745" t="s">
        <v>1164</v>
      </c>
      <c r="B5745" t="s">
        <v>2161</v>
      </c>
      <c r="C5745">
        <v>13</v>
      </c>
      <c r="D5745">
        <v>161</v>
      </c>
      <c r="E5745">
        <f>IF(OR(B5745="vi",B5745="ii",B5745="pod"),(((D5745/100)*(C5745*VLOOKUP(B5745,'Poids des runes'!A:B,2,FALSE)))+1),(((D5745/100)*(C5745*VLOOKUP(B5745,'Poids des runes'!A:B,2,FALSE)))+1)/VLOOKUP(B5745,'Poids des runes'!A:B,2,FALSE))</f>
        <v>21.263333333333335</v>
      </c>
      <c r="F5745">
        <f t="shared" si="89"/>
        <v>21.263333333333335</v>
      </c>
    </row>
    <row r="5746" spans="1:6" x14ac:dyDescent="0.3">
      <c r="A5746" t="s">
        <v>1164</v>
      </c>
      <c r="B5746" t="s">
        <v>2138</v>
      </c>
      <c r="C5746">
        <v>6.5</v>
      </c>
      <c r="D5746">
        <v>161</v>
      </c>
      <c r="E5746">
        <f>IF(OR(B5746="vi",B5746="ii",B5746="pod"),(((D5746/100)*(C5746*VLOOKUP(B5746,'Poids des runes'!A:B,2,FALSE)))+1),(((D5746/100)*(C5746*VLOOKUP(B5746,'Poids des runes'!A:B,2,FALSE)))+1)/VLOOKUP(B5746,'Poids des runes'!A:B,2,FALSE))</f>
        <v>10.715</v>
      </c>
      <c r="F5746">
        <f t="shared" si="89"/>
        <v>10.715</v>
      </c>
    </row>
    <row r="5747" spans="1:6" x14ac:dyDescent="0.3">
      <c r="A5747" t="s">
        <v>1164</v>
      </c>
      <c r="B5747" t="s">
        <v>2163</v>
      </c>
      <c r="C5747">
        <v>13</v>
      </c>
      <c r="D5747">
        <v>161</v>
      </c>
      <c r="E5747">
        <f>IF(OR(B5747="vi",B5747="ii",B5747="pod"),(((D5747/100)*(C5747*VLOOKUP(B5747,'Poids des runes'!A:B,2,FALSE)))+1),(((D5747/100)*(C5747*VLOOKUP(B5747,'Poids des runes'!A:B,2,FALSE)))+1)/VLOOKUP(B5747,'Poids des runes'!A:B,2,FALSE))</f>
        <v>21.43</v>
      </c>
      <c r="F5747">
        <f t="shared" si="89"/>
        <v>21.43</v>
      </c>
    </row>
    <row r="5748" spans="1:6" x14ac:dyDescent="0.3">
      <c r="A5748" t="s">
        <v>1164</v>
      </c>
      <c r="B5748" t="s">
        <v>2156</v>
      </c>
      <c r="C5748">
        <v>6</v>
      </c>
      <c r="D5748">
        <v>161</v>
      </c>
      <c r="E5748">
        <f>IF(OR(B5748="vi",B5748="ii",B5748="pod"),(((D5748/100)*(C5748*VLOOKUP(B5748,'Poids des runes'!A:B,2,FALSE)))+1),(((D5748/100)*(C5748*VLOOKUP(B5748,'Poids des runes'!A:B,2,FALSE)))+1)/VLOOKUP(B5748,'Poids des runes'!A:B,2,FALSE))</f>
        <v>9.8266666666666662</v>
      </c>
      <c r="F5748">
        <f t="shared" si="89"/>
        <v>9.8266666666666662</v>
      </c>
    </row>
    <row r="5749" spans="1:6" x14ac:dyDescent="0.3">
      <c r="A5749" t="s">
        <v>1164</v>
      </c>
      <c r="B5749" t="s">
        <v>2147</v>
      </c>
      <c r="C5749">
        <v>6</v>
      </c>
      <c r="D5749">
        <v>161</v>
      </c>
      <c r="E5749">
        <f>IF(OR(B5749="vi",B5749="ii",B5749="pod"),(((D5749/100)*(C5749*VLOOKUP(B5749,'Poids des runes'!A:B,2,FALSE)))+1),(((D5749/100)*(C5749*VLOOKUP(B5749,'Poids des runes'!A:B,2,FALSE)))+1)/VLOOKUP(B5749,'Poids des runes'!A:B,2,FALSE))</f>
        <v>9.8266666666666662</v>
      </c>
      <c r="F5749">
        <f t="shared" si="89"/>
        <v>9.8266666666666662</v>
      </c>
    </row>
    <row r="5750" spans="1:6" x14ac:dyDescent="0.3">
      <c r="A5750" t="s">
        <v>1165</v>
      </c>
      <c r="B5750" t="s">
        <v>2128</v>
      </c>
      <c r="C5750">
        <v>145.5</v>
      </c>
      <c r="D5750">
        <v>161</v>
      </c>
      <c r="E5750">
        <f>IF(OR(B5750="vi",B5750="ii",B5750="pod"),(((D5750/100)*(C5750*VLOOKUP(B5750,'Poids des runes'!A:B,2,FALSE)))+1),(((D5750/100)*(C5750*VLOOKUP(B5750,'Poids des runes'!A:B,2,FALSE)))+1)/VLOOKUP(B5750,'Poids des runes'!A:B,2,FALSE))</f>
        <v>47.851000000000006</v>
      </c>
      <c r="F5750">
        <f t="shared" si="89"/>
        <v>47.851000000000006</v>
      </c>
    </row>
    <row r="5751" spans="1:6" x14ac:dyDescent="0.3">
      <c r="A5751" t="s">
        <v>1165</v>
      </c>
      <c r="B5751" t="s">
        <v>2130</v>
      </c>
      <c r="C5751">
        <v>35.5</v>
      </c>
      <c r="D5751">
        <v>161</v>
      </c>
      <c r="E5751">
        <f>IF(OR(B5751="vi",B5751="ii",B5751="pod"),(((D5751/100)*(C5751*VLOOKUP(B5751,'Poids des runes'!A:B,2,FALSE)))+1),(((D5751/100)*(C5751*VLOOKUP(B5751,'Poids des runes'!A:B,2,FALSE)))+1)/VLOOKUP(B5751,'Poids des runes'!A:B,2,FALSE))</f>
        <v>58.155000000000001</v>
      </c>
      <c r="F5751">
        <f t="shared" si="89"/>
        <v>58.155000000000001</v>
      </c>
    </row>
    <row r="5752" spans="1:6" x14ac:dyDescent="0.3">
      <c r="A5752" t="s">
        <v>1165</v>
      </c>
      <c r="B5752" t="s">
        <v>2126</v>
      </c>
      <c r="C5752">
        <v>35.5</v>
      </c>
      <c r="D5752">
        <v>161</v>
      </c>
      <c r="E5752">
        <f>IF(OR(B5752="vi",B5752="ii",B5752="pod"),(((D5752/100)*(C5752*VLOOKUP(B5752,'Poids des runes'!A:B,2,FALSE)))+1),(((D5752/100)*(C5752*VLOOKUP(B5752,'Poids des runes'!A:B,2,FALSE)))+1)/VLOOKUP(B5752,'Poids des runes'!A:B,2,FALSE))</f>
        <v>58.155000000000001</v>
      </c>
      <c r="F5752">
        <f t="shared" si="89"/>
        <v>58.155000000000001</v>
      </c>
    </row>
    <row r="5753" spans="1:6" x14ac:dyDescent="0.3">
      <c r="A5753" t="s">
        <v>1165</v>
      </c>
      <c r="B5753" t="s">
        <v>2129</v>
      </c>
      <c r="C5753">
        <v>25.5</v>
      </c>
      <c r="D5753">
        <v>161</v>
      </c>
      <c r="E5753">
        <f>IF(OR(B5753="vi",B5753="ii",B5753="pod"),(((D5753/100)*(C5753*VLOOKUP(B5753,'Poids des runes'!A:B,2,FALSE)))+1),(((D5753/100)*(C5753*VLOOKUP(B5753,'Poids des runes'!A:B,2,FALSE)))+1)/VLOOKUP(B5753,'Poids des runes'!A:B,2,FALSE))</f>
        <v>42.055</v>
      </c>
      <c r="F5753">
        <f t="shared" si="89"/>
        <v>42.055</v>
      </c>
    </row>
    <row r="5754" spans="1:6" x14ac:dyDescent="0.3">
      <c r="A5754" t="s">
        <v>1165</v>
      </c>
      <c r="B5754" t="s">
        <v>2151</v>
      </c>
      <c r="C5754">
        <v>2.5</v>
      </c>
      <c r="D5754">
        <v>161</v>
      </c>
      <c r="E5754">
        <f>IF(OR(B5754="vi",B5754="ii",B5754="pod"),(((D5754/100)*(C5754*VLOOKUP(B5754,'Poids des runes'!A:B,2,FALSE)))+1),(((D5754/100)*(C5754*VLOOKUP(B5754,'Poids des runes'!A:B,2,FALSE)))+1)/VLOOKUP(B5754,'Poids des runes'!A:B,2,FALSE))</f>
        <v>4.125</v>
      </c>
      <c r="F5754">
        <f t="shared" si="89"/>
        <v>4.125</v>
      </c>
    </row>
    <row r="5755" spans="1:6" x14ac:dyDescent="0.3">
      <c r="A5755" t="s">
        <v>1165</v>
      </c>
      <c r="B5755" t="s">
        <v>2143</v>
      </c>
      <c r="C5755">
        <v>6</v>
      </c>
      <c r="D5755">
        <v>161</v>
      </c>
      <c r="E5755">
        <f>IF(OR(B5755="vi",B5755="ii",B5755="pod"),(((D5755/100)*(C5755*VLOOKUP(B5755,'Poids des runes'!A:B,2,FALSE)))+1),(((D5755/100)*(C5755*VLOOKUP(B5755,'Poids des runes'!A:B,2,FALSE)))+1)/VLOOKUP(B5755,'Poids des runes'!A:B,2,FALSE))</f>
        <v>9.8600000000000012</v>
      </c>
      <c r="F5755">
        <f t="shared" si="89"/>
        <v>9.8600000000000012</v>
      </c>
    </row>
    <row r="5756" spans="1:6" x14ac:dyDescent="0.3">
      <c r="A5756" t="s">
        <v>1165</v>
      </c>
      <c r="B5756" t="s">
        <v>2140</v>
      </c>
      <c r="C5756">
        <v>6</v>
      </c>
      <c r="D5756">
        <v>161</v>
      </c>
      <c r="E5756">
        <f>IF(OR(B5756="vi",B5756="ii",B5756="pod"),(((D5756/100)*(C5756*VLOOKUP(B5756,'Poids des runes'!A:B,2,FALSE)))+1),(((D5756/100)*(C5756*VLOOKUP(B5756,'Poids des runes'!A:B,2,FALSE)))+1)/VLOOKUP(B5756,'Poids des runes'!A:B,2,FALSE))</f>
        <v>9.8600000000000012</v>
      </c>
      <c r="F5756">
        <f t="shared" si="89"/>
        <v>9.8600000000000012</v>
      </c>
    </row>
    <row r="5757" spans="1:6" x14ac:dyDescent="0.3">
      <c r="A5757" t="s">
        <v>1165</v>
      </c>
      <c r="B5757" t="s">
        <v>2149</v>
      </c>
      <c r="C5757">
        <v>6</v>
      </c>
      <c r="D5757">
        <v>161</v>
      </c>
      <c r="E5757">
        <f>IF(OR(B5757="vi",B5757="ii",B5757="pod"),(((D5757/100)*(C5757*VLOOKUP(B5757,'Poids des runes'!A:B,2,FALSE)))+1),(((D5757/100)*(C5757*VLOOKUP(B5757,'Poids des runes'!A:B,2,FALSE)))+1)/VLOOKUP(B5757,'Poids des runes'!A:B,2,FALSE))</f>
        <v>9.7600000000000016</v>
      </c>
      <c r="F5757">
        <f t="shared" si="89"/>
        <v>9.7600000000000016</v>
      </c>
    </row>
    <row r="5758" spans="1:6" x14ac:dyDescent="0.3">
      <c r="A5758" t="s">
        <v>1165</v>
      </c>
      <c r="B5758" t="s">
        <v>2141</v>
      </c>
      <c r="C5758">
        <v>4.5</v>
      </c>
      <c r="D5758">
        <v>161</v>
      </c>
      <c r="E5758">
        <f>IF(OR(B5758="vi",B5758="ii",B5758="pod"),(((D5758/100)*(C5758*VLOOKUP(B5758,'Poids des runes'!A:B,2,FALSE)))+1),(((D5758/100)*(C5758*VLOOKUP(B5758,'Poids des runes'!A:B,2,FALSE)))+1)/VLOOKUP(B5758,'Poids des runes'!A:B,2,FALSE))</f>
        <v>7.4950000000000001</v>
      </c>
      <c r="F5758">
        <f t="shared" si="89"/>
        <v>7.4950000000000001</v>
      </c>
    </row>
    <row r="5759" spans="1:6" x14ac:dyDescent="0.3">
      <c r="A5759" t="s">
        <v>1165</v>
      </c>
      <c r="B5759" t="s">
        <v>2164</v>
      </c>
      <c r="C5759">
        <v>8.5</v>
      </c>
      <c r="D5759">
        <v>161</v>
      </c>
      <c r="E5759">
        <f>IF(OR(B5759="vi",B5759="ii",B5759="pod"),(((D5759/100)*(C5759*VLOOKUP(B5759,'Poids des runes'!A:B,2,FALSE)))+1),(((D5759/100)*(C5759*VLOOKUP(B5759,'Poids des runes'!A:B,2,FALSE)))+1)/VLOOKUP(B5759,'Poids des runes'!A:B,2,FALSE))</f>
        <v>14.185</v>
      </c>
      <c r="F5759">
        <f t="shared" si="89"/>
        <v>14.185</v>
      </c>
    </row>
    <row r="5760" spans="1:6" x14ac:dyDescent="0.3">
      <c r="A5760" t="s">
        <v>1166</v>
      </c>
      <c r="B5760" t="s">
        <v>2128</v>
      </c>
      <c r="C5760">
        <v>275.5</v>
      </c>
      <c r="D5760">
        <v>162</v>
      </c>
      <c r="E5760">
        <f>IF(OR(B5760="vi",B5760="ii",B5760="pod"),(((D5760/100)*(C5760*VLOOKUP(B5760,'Poids des runes'!A:B,2,FALSE)))+1),(((D5760/100)*(C5760*VLOOKUP(B5760,'Poids des runes'!A:B,2,FALSE)))+1)/VLOOKUP(B5760,'Poids des runes'!A:B,2,FALSE))</f>
        <v>90.262000000000015</v>
      </c>
      <c r="F5760">
        <f t="shared" si="89"/>
        <v>90.262000000000015</v>
      </c>
    </row>
    <row r="5761" spans="1:6" x14ac:dyDescent="0.3">
      <c r="A5761" t="s">
        <v>1166</v>
      </c>
      <c r="B5761" t="s">
        <v>2129</v>
      </c>
      <c r="C5761">
        <v>40.5</v>
      </c>
      <c r="D5761">
        <v>162</v>
      </c>
      <c r="E5761">
        <f>IF(OR(B5761="vi",B5761="ii",B5761="pod"),(((D5761/100)*(C5761*VLOOKUP(B5761,'Poids des runes'!A:B,2,FALSE)))+1),(((D5761/100)*(C5761*VLOOKUP(B5761,'Poids des runes'!A:B,2,FALSE)))+1)/VLOOKUP(B5761,'Poids des runes'!A:B,2,FALSE))</f>
        <v>66.61</v>
      </c>
      <c r="F5761">
        <f t="shared" si="89"/>
        <v>66.61</v>
      </c>
    </row>
    <row r="5762" spans="1:6" x14ac:dyDescent="0.3">
      <c r="A5762" t="s">
        <v>1166</v>
      </c>
      <c r="B5762" t="s">
        <v>2139</v>
      </c>
      <c r="C5762">
        <v>40.5</v>
      </c>
      <c r="D5762">
        <v>162</v>
      </c>
      <c r="E5762">
        <f>IF(OR(B5762="vi",B5762="ii",B5762="pod"),(((D5762/100)*(C5762*VLOOKUP(B5762,'Poids des runes'!A:B,2,FALSE)))+1),(((D5762/100)*(C5762*VLOOKUP(B5762,'Poids des runes'!A:B,2,FALSE)))+1)/VLOOKUP(B5762,'Poids des runes'!A:B,2,FALSE))</f>
        <v>66.11</v>
      </c>
      <c r="F5762">
        <f t="shared" si="89"/>
        <v>66.11</v>
      </c>
    </row>
    <row r="5763" spans="1:6" x14ac:dyDescent="0.3">
      <c r="A5763" t="s">
        <v>1166</v>
      </c>
      <c r="B5763" t="s">
        <v>2151</v>
      </c>
      <c r="C5763">
        <v>4.5</v>
      </c>
      <c r="D5763">
        <v>162</v>
      </c>
      <c r="E5763">
        <f>IF(OR(B5763="vi",B5763="ii",B5763="pod"),(((D5763/100)*(C5763*VLOOKUP(B5763,'Poids des runes'!A:B,2,FALSE)))+1),(((D5763/100)*(C5763*VLOOKUP(B5763,'Poids des runes'!A:B,2,FALSE)))+1)/VLOOKUP(B5763,'Poids des runes'!A:B,2,FALSE))</f>
        <v>7.3900000000000006</v>
      </c>
      <c r="F5763">
        <f t="shared" ref="F5763:F5826" si="90">E5763</f>
        <v>7.3900000000000006</v>
      </c>
    </row>
    <row r="5764" spans="1:6" x14ac:dyDescent="0.3">
      <c r="A5764" t="s">
        <v>1166</v>
      </c>
      <c r="B5764" t="s">
        <v>2155</v>
      </c>
      <c r="C5764">
        <v>1</v>
      </c>
      <c r="D5764">
        <v>162</v>
      </c>
      <c r="E5764">
        <f>IF(OR(B5764="vi",B5764="ii",B5764="pod"),(((D5764/100)*(C5764*VLOOKUP(B5764,'Poids des runes'!A:B,2,FALSE)))+1),(((D5764/100)*(C5764*VLOOKUP(B5764,'Poids des runes'!A:B,2,FALSE)))+1)/VLOOKUP(B5764,'Poids des runes'!A:B,2,FALSE))</f>
        <v>1.6396078431372549</v>
      </c>
      <c r="F5764">
        <f t="shared" si="90"/>
        <v>1.6396078431372549</v>
      </c>
    </row>
    <row r="5765" spans="1:6" x14ac:dyDescent="0.3">
      <c r="A5765" t="s">
        <v>1166</v>
      </c>
      <c r="B5765" t="s">
        <v>2134</v>
      </c>
      <c r="C5765">
        <v>8</v>
      </c>
      <c r="D5765">
        <v>162</v>
      </c>
      <c r="E5765">
        <f>IF(OR(B5765="vi",B5765="ii",B5765="pod"),(((D5765/100)*(C5765*VLOOKUP(B5765,'Poids des runes'!A:B,2,FALSE)))+1),(((D5765/100)*(C5765*VLOOKUP(B5765,'Poids des runes'!A:B,2,FALSE)))+1)/VLOOKUP(B5765,'Poids des runes'!A:B,2,FALSE))</f>
        <v>13.010000000000002</v>
      </c>
      <c r="F5765">
        <f t="shared" si="90"/>
        <v>13.010000000000002</v>
      </c>
    </row>
    <row r="5766" spans="1:6" x14ac:dyDescent="0.3">
      <c r="A5766" t="s">
        <v>1166</v>
      </c>
      <c r="B5766" t="s">
        <v>2149</v>
      </c>
      <c r="C5766">
        <v>8</v>
      </c>
      <c r="D5766">
        <v>162</v>
      </c>
      <c r="E5766">
        <f>IF(OR(B5766="vi",B5766="ii",B5766="pod"),(((D5766/100)*(C5766*VLOOKUP(B5766,'Poids des runes'!A:B,2,FALSE)))+1),(((D5766/100)*(C5766*VLOOKUP(B5766,'Poids des runes'!A:B,2,FALSE)))+1)/VLOOKUP(B5766,'Poids des runes'!A:B,2,FALSE))</f>
        <v>13.060000000000002</v>
      </c>
      <c r="F5766">
        <f t="shared" si="90"/>
        <v>13.060000000000002</v>
      </c>
    </row>
    <row r="5767" spans="1:6" x14ac:dyDescent="0.3">
      <c r="A5767" t="s">
        <v>1166</v>
      </c>
      <c r="B5767" t="s">
        <v>2161</v>
      </c>
      <c r="C5767">
        <v>15.5</v>
      </c>
      <c r="D5767">
        <v>162</v>
      </c>
      <c r="E5767">
        <f>IF(OR(B5767="vi",B5767="ii",B5767="pod"),(((D5767/100)*(C5767*VLOOKUP(B5767,'Poids des runes'!A:B,2,FALSE)))+1),(((D5767/100)*(C5767*VLOOKUP(B5767,'Poids des runes'!A:B,2,FALSE)))+1)/VLOOKUP(B5767,'Poids des runes'!A:B,2,FALSE))</f>
        <v>25.443333333333332</v>
      </c>
      <c r="F5767">
        <f t="shared" si="90"/>
        <v>25.443333333333332</v>
      </c>
    </row>
    <row r="5768" spans="1:6" x14ac:dyDescent="0.3">
      <c r="A5768" t="s">
        <v>1166</v>
      </c>
      <c r="B5768" t="s">
        <v>2156</v>
      </c>
      <c r="C5768">
        <v>8</v>
      </c>
      <c r="D5768">
        <v>162</v>
      </c>
      <c r="E5768">
        <f>IF(OR(B5768="vi",B5768="ii",B5768="pod"),(((D5768/100)*(C5768*VLOOKUP(B5768,'Poids des runes'!A:B,2,FALSE)))+1),(((D5768/100)*(C5768*VLOOKUP(B5768,'Poids des runes'!A:B,2,FALSE)))+1)/VLOOKUP(B5768,'Poids des runes'!A:B,2,FALSE))</f>
        <v>13.126666666666667</v>
      </c>
      <c r="F5768">
        <f t="shared" si="90"/>
        <v>13.126666666666667</v>
      </c>
    </row>
    <row r="5769" spans="1:6" x14ac:dyDescent="0.3">
      <c r="A5769" t="s">
        <v>1166</v>
      </c>
      <c r="B5769" t="s">
        <v>2147</v>
      </c>
      <c r="C5769">
        <v>8</v>
      </c>
      <c r="D5769">
        <v>162</v>
      </c>
      <c r="E5769">
        <f>IF(OR(B5769="vi",B5769="ii",B5769="pod"),(((D5769/100)*(C5769*VLOOKUP(B5769,'Poids des runes'!A:B,2,FALSE)))+1),(((D5769/100)*(C5769*VLOOKUP(B5769,'Poids des runes'!A:B,2,FALSE)))+1)/VLOOKUP(B5769,'Poids des runes'!A:B,2,FALSE))</f>
        <v>13.126666666666667</v>
      </c>
      <c r="F5769">
        <f t="shared" si="90"/>
        <v>13.126666666666667</v>
      </c>
    </row>
    <row r="5770" spans="1:6" x14ac:dyDescent="0.3">
      <c r="A5770" t="s">
        <v>1167</v>
      </c>
      <c r="B5770" t="s">
        <v>2128</v>
      </c>
      <c r="C5770">
        <v>225.5</v>
      </c>
      <c r="D5770">
        <v>162</v>
      </c>
      <c r="E5770">
        <f>IF(OR(B5770="vi",B5770="ii",B5770="pod"),(((D5770/100)*(C5770*VLOOKUP(B5770,'Poids des runes'!A:B,2,FALSE)))+1),(((D5770/100)*(C5770*VLOOKUP(B5770,'Poids des runes'!A:B,2,FALSE)))+1)/VLOOKUP(B5770,'Poids des runes'!A:B,2,FALSE))</f>
        <v>74.062000000000012</v>
      </c>
      <c r="F5770">
        <f t="shared" si="90"/>
        <v>74.062000000000012</v>
      </c>
    </row>
    <row r="5771" spans="1:6" x14ac:dyDescent="0.3">
      <c r="A5771" t="s">
        <v>1167</v>
      </c>
      <c r="B5771" t="s">
        <v>2126</v>
      </c>
      <c r="C5771">
        <v>50.5</v>
      </c>
      <c r="D5771">
        <v>162</v>
      </c>
      <c r="E5771">
        <f>IF(OR(B5771="vi",B5771="ii",B5771="pod"),(((D5771/100)*(C5771*VLOOKUP(B5771,'Poids des runes'!A:B,2,FALSE)))+1),(((D5771/100)*(C5771*VLOOKUP(B5771,'Poids des runes'!A:B,2,FALSE)))+1)/VLOOKUP(B5771,'Poids des runes'!A:B,2,FALSE))</f>
        <v>82.81</v>
      </c>
      <c r="F5771">
        <f t="shared" si="90"/>
        <v>82.81</v>
      </c>
    </row>
    <row r="5772" spans="1:6" x14ac:dyDescent="0.3">
      <c r="A5772" t="s">
        <v>1167</v>
      </c>
      <c r="B5772" t="s">
        <v>2151</v>
      </c>
      <c r="C5772">
        <v>4.5</v>
      </c>
      <c r="D5772">
        <v>162</v>
      </c>
      <c r="E5772">
        <f>IF(OR(B5772="vi",B5772="ii",B5772="pod"),(((D5772/100)*(C5772*VLOOKUP(B5772,'Poids des runes'!A:B,2,FALSE)))+1),(((D5772/100)*(C5772*VLOOKUP(B5772,'Poids des runes'!A:B,2,FALSE)))+1)/VLOOKUP(B5772,'Poids des runes'!A:B,2,FALSE))</f>
        <v>7.3900000000000006</v>
      </c>
      <c r="F5772">
        <f t="shared" si="90"/>
        <v>7.3900000000000006</v>
      </c>
    </row>
    <row r="5773" spans="1:6" x14ac:dyDescent="0.3">
      <c r="A5773" t="s">
        <v>1167</v>
      </c>
      <c r="B5773" t="s">
        <v>2143</v>
      </c>
      <c r="C5773">
        <v>10</v>
      </c>
      <c r="D5773">
        <v>162</v>
      </c>
      <c r="E5773">
        <f>IF(OR(B5773="vi",B5773="ii",B5773="pod"),(((D5773/100)*(C5773*VLOOKUP(B5773,'Poids des runes'!A:B,2,FALSE)))+1),(((D5773/100)*(C5773*VLOOKUP(B5773,'Poids des runes'!A:B,2,FALSE)))+1)/VLOOKUP(B5773,'Poids des runes'!A:B,2,FALSE))</f>
        <v>16.399999999999999</v>
      </c>
      <c r="F5773">
        <f t="shared" si="90"/>
        <v>16.399999999999999</v>
      </c>
    </row>
    <row r="5774" spans="1:6" x14ac:dyDescent="0.3">
      <c r="A5774" t="s">
        <v>1167</v>
      </c>
      <c r="B5774" t="s">
        <v>2140</v>
      </c>
      <c r="C5774">
        <v>10</v>
      </c>
      <c r="D5774">
        <v>162</v>
      </c>
      <c r="E5774">
        <f>IF(OR(B5774="vi",B5774="ii",B5774="pod"),(((D5774/100)*(C5774*VLOOKUP(B5774,'Poids des runes'!A:B,2,FALSE)))+1),(((D5774/100)*(C5774*VLOOKUP(B5774,'Poids des runes'!A:B,2,FALSE)))+1)/VLOOKUP(B5774,'Poids des runes'!A:B,2,FALSE))</f>
        <v>16.399999999999999</v>
      </c>
      <c r="F5774">
        <f t="shared" si="90"/>
        <v>16.399999999999999</v>
      </c>
    </row>
    <row r="5775" spans="1:6" x14ac:dyDescent="0.3">
      <c r="A5775" t="s">
        <v>1167</v>
      </c>
      <c r="B5775" t="s">
        <v>2161</v>
      </c>
      <c r="C5775">
        <v>15.5</v>
      </c>
      <c r="D5775">
        <v>162</v>
      </c>
      <c r="E5775">
        <f>IF(OR(B5775="vi",B5775="ii",B5775="pod"),(((D5775/100)*(C5775*VLOOKUP(B5775,'Poids des runes'!A:B,2,FALSE)))+1),(((D5775/100)*(C5775*VLOOKUP(B5775,'Poids des runes'!A:B,2,FALSE)))+1)/VLOOKUP(B5775,'Poids des runes'!A:B,2,FALSE))</f>
        <v>25.443333333333332</v>
      </c>
      <c r="F5775">
        <f t="shared" si="90"/>
        <v>25.443333333333332</v>
      </c>
    </row>
    <row r="5776" spans="1:6" x14ac:dyDescent="0.3">
      <c r="A5776" t="s">
        <v>1167</v>
      </c>
      <c r="B5776" t="s">
        <v>2132</v>
      </c>
      <c r="C5776">
        <v>250.5</v>
      </c>
      <c r="D5776">
        <v>162</v>
      </c>
      <c r="E5776">
        <f>IF(OR(B5776="vi",B5776="ii",B5776="pod"),(((D5776/100)*(C5776*VLOOKUP(B5776,'Poids des runes'!A:B,2,FALSE)))+1),(((D5776/100)*(C5776*VLOOKUP(B5776,'Poids des runes'!A:B,2,FALSE)))+1)/VLOOKUP(B5776,'Poids des runes'!A:B,2,FALSE))</f>
        <v>41.581000000000003</v>
      </c>
      <c r="F5776">
        <f t="shared" si="90"/>
        <v>41.581000000000003</v>
      </c>
    </row>
    <row r="5777" spans="1:6" x14ac:dyDescent="0.3">
      <c r="A5777" t="s">
        <v>1167</v>
      </c>
      <c r="B5777" t="s">
        <v>2135</v>
      </c>
      <c r="C5777">
        <v>6</v>
      </c>
      <c r="D5777">
        <v>162</v>
      </c>
      <c r="E5777">
        <f>IF(OR(B5777="vi",B5777="ii",B5777="pod"),(((D5777/100)*(C5777*VLOOKUP(B5777,'Poids des runes'!A:B,2,FALSE)))+1),(((D5777/100)*(C5777*VLOOKUP(B5777,'Poids des runes'!A:B,2,FALSE)))+1)/VLOOKUP(B5777,'Poids des runes'!A:B,2,FALSE))</f>
        <v>9.8866666666666685</v>
      </c>
      <c r="F5777">
        <f t="shared" si="90"/>
        <v>9.8866666666666685</v>
      </c>
    </row>
    <row r="5778" spans="1:6" x14ac:dyDescent="0.3">
      <c r="A5778" t="s">
        <v>1167</v>
      </c>
      <c r="B5778" t="s">
        <v>2137</v>
      </c>
      <c r="C5778">
        <v>8.5</v>
      </c>
      <c r="D5778">
        <v>162</v>
      </c>
      <c r="E5778">
        <f>IF(OR(B5778="vi",B5778="ii",B5778="pod"),(((D5778/100)*(C5778*VLOOKUP(B5778,'Poids des runes'!A:B,2,FALSE)))+1),(((D5778/100)*(C5778*VLOOKUP(B5778,'Poids des runes'!A:B,2,FALSE)))+1)/VLOOKUP(B5778,'Poids des runes'!A:B,2,FALSE))</f>
        <v>14.270000000000001</v>
      </c>
      <c r="F5778">
        <f t="shared" si="90"/>
        <v>14.270000000000001</v>
      </c>
    </row>
    <row r="5779" spans="1:6" x14ac:dyDescent="0.3">
      <c r="A5779" t="s">
        <v>1167</v>
      </c>
      <c r="B5779" t="s">
        <v>2144</v>
      </c>
      <c r="C5779">
        <v>8.5</v>
      </c>
      <c r="D5779">
        <v>162</v>
      </c>
      <c r="E5779">
        <f>IF(OR(B5779="vi",B5779="ii",B5779="pod"),(((D5779/100)*(C5779*VLOOKUP(B5779,'Poids des runes'!A:B,2,FALSE)))+1),(((D5779/100)*(C5779*VLOOKUP(B5779,'Poids des runes'!A:B,2,FALSE)))+1)/VLOOKUP(B5779,'Poids des runes'!A:B,2,FALSE))</f>
        <v>14.270000000000001</v>
      </c>
      <c r="F5779">
        <f t="shared" si="90"/>
        <v>14.270000000000001</v>
      </c>
    </row>
    <row r="5780" spans="1:6" x14ac:dyDescent="0.3">
      <c r="A5780" t="s">
        <v>1168</v>
      </c>
      <c r="B5780" t="s">
        <v>2128</v>
      </c>
      <c r="C5780">
        <v>125.5</v>
      </c>
      <c r="D5780">
        <v>162</v>
      </c>
      <c r="E5780">
        <f>IF(OR(B5780="vi",B5780="ii",B5780="pod"),(((D5780/100)*(C5780*VLOOKUP(B5780,'Poids des runes'!A:B,2,FALSE)))+1),(((D5780/100)*(C5780*VLOOKUP(B5780,'Poids des runes'!A:B,2,FALSE)))+1)/VLOOKUP(B5780,'Poids des runes'!A:B,2,FALSE))</f>
        <v>41.662000000000006</v>
      </c>
      <c r="F5780">
        <f t="shared" si="90"/>
        <v>41.662000000000006</v>
      </c>
    </row>
    <row r="5781" spans="1:6" x14ac:dyDescent="0.3">
      <c r="A5781" t="s">
        <v>1168</v>
      </c>
      <c r="B5781" t="s">
        <v>2130</v>
      </c>
      <c r="C5781">
        <v>40.5</v>
      </c>
      <c r="D5781">
        <v>162</v>
      </c>
      <c r="E5781">
        <f>IF(OR(B5781="vi",B5781="ii",B5781="pod"),(((D5781/100)*(C5781*VLOOKUP(B5781,'Poids des runes'!A:B,2,FALSE)))+1),(((D5781/100)*(C5781*VLOOKUP(B5781,'Poids des runes'!A:B,2,FALSE)))+1)/VLOOKUP(B5781,'Poids des runes'!A:B,2,FALSE))</f>
        <v>66.61</v>
      </c>
      <c r="F5781">
        <f t="shared" si="90"/>
        <v>66.61</v>
      </c>
    </row>
    <row r="5782" spans="1:6" x14ac:dyDescent="0.3">
      <c r="A5782" t="s">
        <v>1168</v>
      </c>
      <c r="B5782" t="s">
        <v>2127</v>
      </c>
      <c r="C5782">
        <v>20.5</v>
      </c>
      <c r="D5782">
        <v>162</v>
      </c>
      <c r="E5782">
        <f>IF(OR(B5782="vi",B5782="ii",B5782="pod"),(((D5782/100)*(C5782*VLOOKUP(B5782,'Poids des runes'!A:B,2,FALSE)))+1),(((D5782/100)*(C5782*VLOOKUP(B5782,'Poids des runes'!A:B,2,FALSE)))+1)/VLOOKUP(B5782,'Poids des runes'!A:B,2,FALSE))</f>
        <v>34.21</v>
      </c>
      <c r="F5782">
        <f t="shared" si="90"/>
        <v>34.21</v>
      </c>
    </row>
    <row r="5783" spans="1:6" x14ac:dyDescent="0.3">
      <c r="A5783" t="s">
        <v>1168</v>
      </c>
      <c r="B5783" t="s">
        <v>2129</v>
      </c>
      <c r="C5783">
        <v>25.5</v>
      </c>
      <c r="D5783">
        <v>162</v>
      </c>
      <c r="E5783">
        <f>IF(OR(B5783="vi",B5783="ii",B5783="pod"),(((D5783/100)*(C5783*VLOOKUP(B5783,'Poids des runes'!A:B,2,FALSE)))+1),(((D5783/100)*(C5783*VLOOKUP(B5783,'Poids des runes'!A:B,2,FALSE)))+1)/VLOOKUP(B5783,'Poids des runes'!A:B,2,FALSE))</f>
        <v>42.31</v>
      </c>
      <c r="F5783">
        <f t="shared" si="90"/>
        <v>42.31</v>
      </c>
    </row>
    <row r="5784" spans="1:6" x14ac:dyDescent="0.3">
      <c r="A5784" t="s">
        <v>1168</v>
      </c>
      <c r="B5784" t="s">
        <v>2151</v>
      </c>
      <c r="C5784">
        <v>3.5</v>
      </c>
      <c r="D5784">
        <v>162</v>
      </c>
      <c r="E5784">
        <f>IF(OR(B5784="vi",B5784="ii",B5784="pod"),(((D5784/100)*(C5784*VLOOKUP(B5784,'Poids des runes'!A:B,2,FALSE)))+1),(((D5784/100)*(C5784*VLOOKUP(B5784,'Poids des runes'!A:B,2,FALSE)))+1)/VLOOKUP(B5784,'Poids des runes'!A:B,2,FALSE))</f>
        <v>5.7700000000000005</v>
      </c>
      <c r="F5784">
        <f t="shared" si="90"/>
        <v>5.7700000000000005</v>
      </c>
    </row>
    <row r="5785" spans="1:6" x14ac:dyDescent="0.3">
      <c r="A5785" t="s">
        <v>1168</v>
      </c>
      <c r="B5785" t="s">
        <v>2155</v>
      </c>
      <c r="C5785">
        <v>1</v>
      </c>
      <c r="D5785">
        <v>162</v>
      </c>
      <c r="E5785">
        <f>IF(OR(B5785="vi",B5785="ii",B5785="pod"),(((D5785/100)*(C5785*VLOOKUP(B5785,'Poids des runes'!A:B,2,FALSE)))+1),(((D5785/100)*(C5785*VLOOKUP(B5785,'Poids des runes'!A:B,2,FALSE)))+1)/VLOOKUP(B5785,'Poids des runes'!A:B,2,FALSE))</f>
        <v>1.6396078431372549</v>
      </c>
      <c r="F5785">
        <f t="shared" si="90"/>
        <v>1.6396078431372549</v>
      </c>
    </row>
    <row r="5786" spans="1:6" x14ac:dyDescent="0.3">
      <c r="A5786" t="s">
        <v>1168</v>
      </c>
      <c r="B5786" t="s">
        <v>2143</v>
      </c>
      <c r="C5786">
        <v>4</v>
      </c>
      <c r="D5786">
        <v>162</v>
      </c>
      <c r="E5786">
        <f>IF(OR(B5786="vi",B5786="ii",B5786="pod"),(((D5786/100)*(C5786*VLOOKUP(B5786,'Poids des runes'!A:B,2,FALSE)))+1),(((D5786/100)*(C5786*VLOOKUP(B5786,'Poids des runes'!A:B,2,FALSE)))+1)/VLOOKUP(B5786,'Poids des runes'!A:B,2,FALSE))</f>
        <v>6.6800000000000015</v>
      </c>
      <c r="F5786">
        <f t="shared" si="90"/>
        <v>6.6800000000000015</v>
      </c>
    </row>
    <row r="5787" spans="1:6" x14ac:dyDescent="0.3">
      <c r="A5787" t="s">
        <v>1168</v>
      </c>
      <c r="B5787" t="s">
        <v>2138</v>
      </c>
      <c r="C5787">
        <v>5</v>
      </c>
      <c r="D5787">
        <v>162</v>
      </c>
      <c r="E5787">
        <f>IF(OR(B5787="vi",B5787="ii",B5787="pod"),(((D5787/100)*(C5787*VLOOKUP(B5787,'Poids des runes'!A:B,2,FALSE)))+1),(((D5787/100)*(C5787*VLOOKUP(B5787,'Poids des runes'!A:B,2,FALSE)))+1)/VLOOKUP(B5787,'Poids des runes'!A:B,2,FALSE))</f>
        <v>8.3500000000000014</v>
      </c>
      <c r="F5787">
        <f t="shared" si="90"/>
        <v>8.3500000000000014</v>
      </c>
    </row>
    <row r="5788" spans="1:6" x14ac:dyDescent="0.3">
      <c r="A5788" t="s">
        <v>1168</v>
      </c>
      <c r="B5788" t="s">
        <v>2157</v>
      </c>
      <c r="C5788">
        <v>5</v>
      </c>
      <c r="D5788">
        <v>162</v>
      </c>
      <c r="E5788">
        <f>IF(OR(B5788="vi",B5788="ii",B5788="pod"),(((D5788/100)*(C5788*VLOOKUP(B5788,'Poids des runes'!A:B,2,FALSE)))+1),(((D5788/100)*(C5788*VLOOKUP(B5788,'Poids des runes'!A:B,2,FALSE)))+1)/VLOOKUP(B5788,'Poids des runes'!A:B,2,FALSE))</f>
        <v>8.2666666666666675</v>
      </c>
      <c r="F5788">
        <f t="shared" si="90"/>
        <v>8.2666666666666675</v>
      </c>
    </row>
    <row r="5789" spans="1:6" x14ac:dyDescent="0.3">
      <c r="A5789" t="s">
        <v>1168</v>
      </c>
      <c r="B5789" t="s">
        <v>2145</v>
      </c>
      <c r="C5789">
        <v>8</v>
      </c>
      <c r="D5789">
        <v>162</v>
      </c>
      <c r="E5789">
        <f>IF(OR(B5789="vi",B5789="ii",B5789="pod"),(((D5789/100)*(C5789*VLOOKUP(B5789,'Poids des runes'!A:B,2,FALSE)))+1),(((D5789/100)*(C5789*VLOOKUP(B5789,'Poids des runes'!A:B,2,FALSE)))+1)/VLOOKUP(B5789,'Poids des runes'!A:B,2,FALSE))</f>
        <v>13.46</v>
      </c>
      <c r="F5789">
        <f t="shared" si="90"/>
        <v>13.46</v>
      </c>
    </row>
    <row r="5790" spans="1:6" x14ac:dyDescent="0.3">
      <c r="A5790" t="s">
        <v>1169</v>
      </c>
      <c r="B5790" t="s">
        <v>2131</v>
      </c>
      <c r="C5790">
        <v>40.5</v>
      </c>
      <c r="D5790">
        <v>163</v>
      </c>
      <c r="E5790">
        <f>IF(OR(B5790="vi",B5790="ii",B5790="pod"),(((D5790/100)*(C5790*VLOOKUP(B5790,'Poids des runes'!A:B,2,FALSE)))+1),(((D5790/100)*(C5790*VLOOKUP(B5790,'Poids des runes'!A:B,2,FALSE)))+1)/VLOOKUP(B5790,'Poids des runes'!A:B,2,FALSE))</f>
        <v>67.015000000000001</v>
      </c>
      <c r="F5790">
        <f t="shared" si="90"/>
        <v>67.015000000000001</v>
      </c>
    </row>
    <row r="5791" spans="1:6" x14ac:dyDescent="0.3">
      <c r="A5791" t="s">
        <v>1169</v>
      </c>
      <c r="B5791" t="s">
        <v>2127</v>
      </c>
      <c r="C5791">
        <v>40.5</v>
      </c>
      <c r="D5791">
        <v>163</v>
      </c>
      <c r="E5791">
        <f>IF(OR(B5791="vi",B5791="ii",B5791="pod"),(((D5791/100)*(C5791*VLOOKUP(B5791,'Poids des runes'!A:B,2,FALSE)))+1),(((D5791/100)*(C5791*VLOOKUP(B5791,'Poids des runes'!A:B,2,FALSE)))+1)/VLOOKUP(B5791,'Poids des runes'!A:B,2,FALSE))</f>
        <v>67.015000000000001</v>
      </c>
      <c r="F5791">
        <f t="shared" si="90"/>
        <v>67.015000000000001</v>
      </c>
    </row>
    <row r="5792" spans="1:6" x14ac:dyDescent="0.3">
      <c r="A5792" t="s">
        <v>1169</v>
      </c>
      <c r="B5792" t="s">
        <v>2129</v>
      </c>
      <c r="C5792">
        <v>35.5</v>
      </c>
      <c r="D5792">
        <v>163</v>
      </c>
      <c r="E5792">
        <f>IF(OR(B5792="vi",B5792="ii",B5792="pod"),(((D5792/100)*(C5792*VLOOKUP(B5792,'Poids des runes'!A:B,2,FALSE)))+1),(((D5792/100)*(C5792*VLOOKUP(B5792,'Poids des runes'!A:B,2,FALSE)))+1)/VLOOKUP(B5792,'Poids des runes'!A:B,2,FALSE))</f>
        <v>58.864999999999995</v>
      </c>
      <c r="F5792">
        <f t="shared" si="90"/>
        <v>58.864999999999995</v>
      </c>
    </row>
    <row r="5793" spans="1:6" x14ac:dyDescent="0.3">
      <c r="A5793" t="s">
        <v>1169</v>
      </c>
      <c r="B5793" t="s">
        <v>2151</v>
      </c>
      <c r="C5793">
        <v>4.5</v>
      </c>
      <c r="D5793">
        <v>163</v>
      </c>
      <c r="E5793">
        <f>IF(OR(B5793="vi",B5793="ii",B5793="pod"),(((D5793/100)*(C5793*VLOOKUP(B5793,'Poids des runes'!A:B,2,FALSE)))+1),(((D5793/100)*(C5793*VLOOKUP(B5793,'Poids des runes'!A:B,2,FALSE)))+1)/VLOOKUP(B5793,'Poids des runes'!A:B,2,FALSE))</f>
        <v>7.4349999999999996</v>
      </c>
      <c r="F5793">
        <f t="shared" si="90"/>
        <v>7.4349999999999996</v>
      </c>
    </row>
    <row r="5794" spans="1:6" x14ac:dyDescent="0.3">
      <c r="A5794" t="s">
        <v>1169</v>
      </c>
      <c r="B5794" t="s">
        <v>2152</v>
      </c>
      <c r="C5794">
        <v>1</v>
      </c>
      <c r="D5794">
        <v>163</v>
      </c>
      <c r="E5794">
        <f>IF(OR(B5794="vi",B5794="ii",B5794="pod"),(((D5794/100)*(C5794*VLOOKUP(B5794,'Poids des runes'!A:B,2,FALSE)))+1),(((D5794/100)*(C5794*VLOOKUP(B5794,'Poids des runes'!A:B,2,FALSE)))+1)/VLOOKUP(B5794,'Poids des runes'!A:B,2,FALSE))</f>
        <v>1.64</v>
      </c>
      <c r="F5794">
        <f t="shared" si="90"/>
        <v>1.64</v>
      </c>
    </row>
    <row r="5795" spans="1:6" x14ac:dyDescent="0.3">
      <c r="A5795" t="s">
        <v>1169</v>
      </c>
      <c r="B5795" t="s">
        <v>2150</v>
      </c>
      <c r="C5795">
        <v>1</v>
      </c>
      <c r="D5795">
        <v>163</v>
      </c>
      <c r="E5795">
        <f>IF(OR(B5795="vi",B5795="ii",B5795="pod"),(((D5795/100)*(C5795*VLOOKUP(B5795,'Poids des runes'!A:B,2,FALSE)))+1),(((D5795/100)*(C5795*VLOOKUP(B5795,'Poids des runes'!A:B,2,FALSE)))+1)/VLOOKUP(B5795,'Poids des runes'!A:B,2,FALSE))</f>
        <v>1.6633333333333333</v>
      </c>
      <c r="F5795">
        <f t="shared" si="90"/>
        <v>1.6633333333333333</v>
      </c>
    </row>
    <row r="5796" spans="1:6" x14ac:dyDescent="0.3">
      <c r="A5796" t="s">
        <v>1169</v>
      </c>
      <c r="B5796" t="s">
        <v>2133</v>
      </c>
      <c r="C5796">
        <v>8.5</v>
      </c>
      <c r="D5796">
        <v>163</v>
      </c>
      <c r="E5796">
        <f>IF(OR(B5796="vi",B5796="ii",B5796="pod"),(((D5796/100)*(C5796*VLOOKUP(B5796,'Poids des runes'!A:B,2,FALSE)))+1),(((D5796/100)*(C5796*VLOOKUP(B5796,'Poids des runes'!A:B,2,FALSE)))+1)/VLOOKUP(B5796,'Poids des runes'!A:B,2,FALSE))</f>
        <v>14.054999999999998</v>
      </c>
      <c r="F5796">
        <f t="shared" si="90"/>
        <v>14.054999999999998</v>
      </c>
    </row>
    <row r="5797" spans="1:6" x14ac:dyDescent="0.3">
      <c r="A5797" t="s">
        <v>1169</v>
      </c>
      <c r="B5797" t="s">
        <v>2153</v>
      </c>
      <c r="C5797">
        <v>8.5</v>
      </c>
      <c r="D5797">
        <v>163</v>
      </c>
      <c r="E5797">
        <f>IF(OR(B5797="vi",B5797="ii",B5797="pod"),(((D5797/100)*(C5797*VLOOKUP(B5797,'Poids des runes'!A:B,2,FALSE)))+1),(((D5797/100)*(C5797*VLOOKUP(B5797,'Poids des runes'!A:B,2,FALSE)))+1)/VLOOKUP(B5797,'Poids des runes'!A:B,2,FALSE))</f>
        <v>14.054999999999998</v>
      </c>
      <c r="F5797">
        <f t="shared" si="90"/>
        <v>14.054999999999998</v>
      </c>
    </row>
    <row r="5798" spans="1:6" x14ac:dyDescent="0.3">
      <c r="A5798" t="s">
        <v>1169</v>
      </c>
      <c r="B5798" t="s">
        <v>2161</v>
      </c>
      <c r="C5798">
        <v>13</v>
      </c>
      <c r="D5798">
        <v>163</v>
      </c>
      <c r="E5798">
        <f>IF(OR(B5798="vi",B5798="ii",B5798="pod"),(((D5798/100)*(C5798*VLOOKUP(B5798,'Poids des runes'!A:B,2,FALSE)))+1),(((D5798/100)*(C5798*VLOOKUP(B5798,'Poids des runes'!A:B,2,FALSE)))+1)/VLOOKUP(B5798,'Poids des runes'!A:B,2,FALSE))</f>
        <v>21.52333333333333</v>
      </c>
      <c r="F5798">
        <f t="shared" si="90"/>
        <v>21.52333333333333</v>
      </c>
    </row>
    <row r="5799" spans="1:6" x14ac:dyDescent="0.3">
      <c r="A5799" t="s">
        <v>1169</v>
      </c>
      <c r="B5799" t="s">
        <v>2132</v>
      </c>
      <c r="C5799">
        <v>150.5</v>
      </c>
      <c r="D5799">
        <v>163</v>
      </c>
      <c r="E5799">
        <f>IF(OR(B5799="vi",B5799="ii",B5799="pod"),(((D5799/100)*(C5799*VLOOKUP(B5799,'Poids des runes'!A:B,2,FALSE)))+1),(((D5799/100)*(C5799*VLOOKUP(B5799,'Poids des runes'!A:B,2,FALSE)))+1)/VLOOKUP(B5799,'Poids des runes'!A:B,2,FALSE))</f>
        <v>25.531500000000001</v>
      </c>
      <c r="F5799">
        <f t="shared" si="90"/>
        <v>25.531500000000001</v>
      </c>
    </row>
    <row r="5800" spans="1:6" x14ac:dyDescent="0.3">
      <c r="A5800" t="s">
        <v>1169</v>
      </c>
      <c r="B5800" t="s">
        <v>2142</v>
      </c>
      <c r="C5800">
        <v>8.5</v>
      </c>
      <c r="D5800">
        <v>163</v>
      </c>
      <c r="E5800">
        <f>IF(OR(B5800="vi",B5800="ii",B5800="pod"),(((D5800/100)*(C5800*VLOOKUP(B5800,'Poids des runes'!A:B,2,FALSE)))+1),(((D5800/100)*(C5800*VLOOKUP(B5800,'Poids des runes'!A:B,2,FALSE)))+1)/VLOOKUP(B5800,'Poids des runes'!A:B,2,FALSE))</f>
        <v>14.054999999999998</v>
      </c>
      <c r="F5800">
        <f t="shared" si="90"/>
        <v>14.054999999999998</v>
      </c>
    </row>
    <row r="5801" spans="1:6" x14ac:dyDescent="0.3">
      <c r="A5801" t="s">
        <v>1169</v>
      </c>
      <c r="B5801" t="s">
        <v>2135</v>
      </c>
      <c r="C5801">
        <v>8.5</v>
      </c>
      <c r="D5801">
        <v>163</v>
      </c>
      <c r="E5801">
        <f>IF(OR(B5801="vi",B5801="ii",B5801="pod"),(((D5801/100)*(C5801*VLOOKUP(B5801,'Poids des runes'!A:B,2,FALSE)))+1),(((D5801/100)*(C5801*VLOOKUP(B5801,'Poids des runes'!A:B,2,FALSE)))+1)/VLOOKUP(B5801,'Poids des runes'!A:B,2,FALSE))</f>
        <v>14.021666666666667</v>
      </c>
      <c r="F5801">
        <f t="shared" si="90"/>
        <v>14.021666666666667</v>
      </c>
    </row>
    <row r="5802" spans="1:6" x14ac:dyDescent="0.3">
      <c r="A5802" t="s">
        <v>1169</v>
      </c>
      <c r="B5802" t="s">
        <v>2157</v>
      </c>
      <c r="C5802">
        <v>8.5</v>
      </c>
      <c r="D5802">
        <v>163</v>
      </c>
      <c r="E5802">
        <f>IF(OR(B5802="vi",B5802="ii",B5802="pod"),(((D5802/100)*(C5802*VLOOKUP(B5802,'Poids des runes'!A:B,2,FALSE)))+1),(((D5802/100)*(C5802*VLOOKUP(B5802,'Poids des runes'!A:B,2,FALSE)))+1)/VLOOKUP(B5802,'Poids des runes'!A:B,2,FALSE))</f>
        <v>14.021666666666667</v>
      </c>
      <c r="F5802">
        <f t="shared" si="90"/>
        <v>14.021666666666667</v>
      </c>
    </row>
    <row r="5803" spans="1:6" x14ac:dyDescent="0.3">
      <c r="A5803" t="s">
        <v>1169</v>
      </c>
      <c r="B5803" t="s">
        <v>2144</v>
      </c>
      <c r="C5803">
        <v>8.5</v>
      </c>
      <c r="D5803">
        <v>163</v>
      </c>
      <c r="E5803">
        <f>IF(OR(B5803="vi",B5803="ii",B5803="pod"),(((D5803/100)*(C5803*VLOOKUP(B5803,'Poids des runes'!A:B,2,FALSE)))+1),(((D5803/100)*(C5803*VLOOKUP(B5803,'Poids des runes'!A:B,2,FALSE)))+1)/VLOOKUP(B5803,'Poids des runes'!A:B,2,FALSE))</f>
        <v>14.354999999999999</v>
      </c>
      <c r="F5803">
        <f t="shared" si="90"/>
        <v>14.354999999999999</v>
      </c>
    </row>
    <row r="5804" spans="1:6" x14ac:dyDescent="0.3">
      <c r="A5804" t="s">
        <v>1170</v>
      </c>
      <c r="B5804" t="s">
        <v>2128</v>
      </c>
      <c r="C5804">
        <v>225.5</v>
      </c>
      <c r="D5804">
        <v>163</v>
      </c>
      <c r="E5804">
        <f>IF(OR(B5804="vi",B5804="ii",B5804="pod"),(((D5804/100)*(C5804*VLOOKUP(B5804,'Poids des runes'!A:B,2,FALSE)))+1),(((D5804/100)*(C5804*VLOOKUP(B5804,'Poids des runes'!A:B,2,FALSE)))+1)/VLOOKUP(B5804,'Poids des runes'!A:B,2,FALSE))</f>
        <v>74.512999999999991</v>
      </c>
      <c r="F5804">
        <f t="shared" si="90"/>
        <v>74.512999999999991</v>
      </c>
    </row>
    <row r="5805" spans="1:6" x14ac:dyDescent="0.3">
      <c r="A5805" t="s">
        <v>1170</v>
      </c>
      <c r="B5805" t="s">
        <v>2130</v>
      </c>
      <c r="C5805">
        <v>40.5</v>
      </c>
      <c r="D5805">
        <v>163</v>
      </c>
      <c r="E5805">
        <f>IF(OR(B5805="vi",B5805="ii",B5805="pod"),(((D5805/100)*(C5805*VLOOKUP(B5805,'Poids des runes'!A:B,2,FALSE)))+1),(((D5805/100)*(C5805*VLOOKUP(B5805,'Poids des runes'!A:B,2,FALSE)))+1)/VLOOKUP(B5805,'Poids des runes'!A:B,2,FALSE))</f>
        <v>67.015000000000001</v>
      </c>
      <c r="F5805">
        <f t="shared" si="90"/>
        <v>67.015000000000001</v>
      </c>
    </row>
    <row r="5806" spans="1:6" x14ac:dyDescent="0.3">
      <c r="A5806" t="s">
        <v>1170</v>
      </c>
      <c r="B5806" t="s">
        <v>2131</v>
      </c>
      <c r="C5806">
        <v>40.5</v>
      </c>
      <c r="D5806">
        <v>163</v>
      </c>
      <c r="E5806">
        <f>IF(OR(B5806="vi",B5806="ii",B5806="pod"),(((D5806/100)*(C5806*VLOOKUP(B5806,'Poids des runes'!A:B,2,FALSE)))+1),(((D5806/100)*(C5806*VLOOKUP(B5806,'Poids des runes'!A:B,2,FALSE)))+1)/VLOOKUP(B5806,'Poids des runes'!A:B,2,FALSE))</f>
        <v>67.015000000000001</v>
      </c>
      <c r="F5806">
        <f t="shared" si="90"/>
        <v>67.015000000000001</v>
      </c>
    </row>
    <row r="5807" spans="1:6" x14ac:dyDescent="0.3">
      <c r="A5807" t="s">
        <v>1170</v>
      </c>
      <c r="B5807" t="s">
        <v>2129</v>
      </c>
      <c r="C5807">
        <v>30.5</v>
      </c>
      <c r="D5807">
        <v>163</v>
      </c>
      <c r="E5807">
        <f>IF(OR(B5807="vi",B5807="ii",B5807="pod"),(((D5807/100)*(C5807*VLOOKUP(B5807,'Poids des runes'!A:B,2,FALSE)))+1),(((D5807/100)*(C5807*VLOOKUP(B5807,'Poids des runes'!A:B,2,FALSE)))+1)/VLOOKUP(B5807,'Poids des runes'!A:B,2,FALSE))</f>
        <v>50.714999999999996</v>
      </c>
      <c r="F5807">
        <f t="shared" si="90"/>
        <v>50.714999999999996</v>
      </c>
    </row>
    <row r="5808" spans="1:6" x14ac:dyDescent="0.3">
      <c r="A5808" t="s">
        <v>1170</v>
      </c>
      <c r="B5808" t="s">
        <v>2151</v>
      </c>
      <c r="C5808">
        <v>4.5</v>
      </c>
      <c r="D5808">
        <v>163</v>
      </c>
      <c r="E5808">
        <f>IF(OR(B5808="vi",B5808="ii",B5808="pod"),(((D5808/100)*(C5808*VLOOKUP(B5808,'Poids des runes'!A:B,2,FALSE)))+1),(((D5808/100)*(C5808*VLOOKUP(B5808,'Poids des runes'!A:B,2,FALSE)))+1)/VLOOKUP(B5808,'Poids des runes'!A:B,2,FALSE))</f>
        <v>7.4349999999999996</v>
      </c>
      <c r="F5808">
        <f t="shared" si="90"/>
        <v>7.4349999999999996</v>
      </c>
    </row>
    <row r="5809" spans="1:6" x14ac:dyDescent="0.3">
      <c r="A5809" t="s">
        <v>1170</v>
      </c>
      <c r="B5809" t="s">
        <v>2155</v>
      </c>
      <c r="C5809">
        <v>1</v>
      </c>
      <c r="D5809">
        <v>163</v>
      </c>
      <c r="E5809">
        <f>IF(OR(B5809="vi",B5809="ii",B5809="pod"),(((D5809/100)*(C5809*VLOOKUP(B5809,'Poids des runes'!A:B,2,FALSE)))+1),(((D5809/100)*(C5809*VLOOKUP(B5809,'Poids des runes'!A:B,2,FALSE)))+1)/VLOOKUP(B5809,'Poids des runes'!A:B,2,FALSE))</f>
        <v>1.6496078431372547</v>
      </c>
      <c r="F5809">
        <f t="shared" si="90"/>
        <v>1.6496078431372547</v>
      </c>
    </row>
    <row r="5810" spans="1:6" x14ac:dyDescent="0.3">
      <c r="A5810" t="s">
        <v>1170</v>
      </c>
      <c r="B5810" t="s">
        <v>2143</v>
      </c>
      <c r="C5810">
        <v>8.5</v>
      </c>
      <c r="D5810">
        <v>163</v>
      </c>
      <c r="E5810">
        <f>IF(OR(B5810="vi",B5810="ii",B5810="pod"),(((D5810/100)*(C5810*VLOOKUP(B5810,'Poids des runes'!A:B,2,FALSE)))+1),(((D5810/100)*(C5810*VLOOKUP(B5810,'Poids des runes'!A:B,2,FALSE)))+1)/VLOOKUP(B5810,'Poids des runes'!A:B,2,FALSE))</f>
        <v>14.054999999999998</v>
      </c>
      <c r="F5810">
        <f t="shared" si="90"/>
        <v>14.054999999999998</v>
      </c>
    </row>
    <row r="5811" spans="1:6" x14ac:dyDescent="0.3">
      <c r="A5811" t="s">
        <v>1170</v>
      </c>
      <c r="B5811" t="s">
        <v>2133</v>
      </c>
      <c r="C5811">
        <v>8.5</v>
      </c>
      <c r="D5811">
        <v>163</v>
      </c>
      <c r="E5811">
        <f>IF(OR(B5811="vi",B5811="ii",B5811="pod"),(((D5811/100)*(C5811*VLOOKUP(B5811,'Poids des runes'!A:B,2,FALSE)))+1),(((D5811/100)*(C5811*VLOOKUP(B5811,'Poids des runes'!A:B,2,FALSE)))+1)/VLOOKUP(B5811,'Poids des runes'!A:B,2,FALSE))</f>
        <v>14.054999999999998</v>
      </c>
      <c r="F5811">
        <f t="shared" si="90"/>
        <v>14.054999999999998</v>
      </c>
    </row>
    <row r="5812" spans="1:6" x14ac:dyDescent="0.3">
      <c r="A5812" t="s">
        <v>1170</v>
      </c>
      <c r="B5812" t="s">
        <v>2161</v>
      </c>
      <c r="C5812">
        <v>13</v>
      </c>
      <c r="D5812">
        <v>163</v>
      </c>
      <c r="E5812">
        <f>IF(OR(B5812="vi",B5812="ii",B5812="pod"),(((D5812/100)*(C5812*VLOOKUP(B5812,'Poids des runes'!A:B,2,FALSE)))+1),(((D5812/100)*(C5812*VLOOKUP(B5812,'Poids des runes'!A:B,2,FALSE)))+1)/VLOOKUP(B5812,'Poids des runes'!A:B,2,FALSE))</f>
        <v>21.52333333333333</v>
      </c>
      <c r="F5812">
        <f t="shared" si="90"/>
        <v>21.52333333333333</v>
      </c>
    </row>
    <row r="5813" spans="1:6" x14ac:dyDescent="0.3">
      <c r="A5813" t="s">
        <v>1170</v>
      </c>
      <c r="B5813" t="s">
        <v>2141</v>
      </c>
      <c r="C5813">
        <v>3.5</v>
      </c>
      <c r="D5813">
        <v>163</v>
      </c>
      <c r="E5813">
        <f>IF(OR(B5813="vi",B5813="ii",B5813="pod"),(((D5813/100)*(C5813*VLOOKUP(B5813,'Poids des runes'!A:B,2,FALSE)))+1),(((D5813/100)*(C5813*VLOOKUP(B5813,'Poids des runes'!A:B,2,FALSE)))+1)/VLOOKUP(B5813,'Poids des runes'!A:B,2,FALSE))</f>
        <v>5.9550000000000001</v>
      </c>
      <c r="F5813">
        <f t="shared" si="90"/>
        <v>5.9550000000000001</v>
      </c>
    </row>
    <row r="5814" spans="1:6" x14ac:dyDescent="0.3">
      <c r="A5814" t="s">
        <v>1170</v>
      </c>
      <c r="B5814" t="s">
        <v>2165</v>
      </c>
      <c r="C5814">
        <v>3.5</v>
      </c>
      <c r="D5814">
        <v>163</v>
      </c>
      <c r="E5814">
        <f>IF(OR(B5814="vi",B5814="ii",B5814="pod"),(((D5814/100)*(C5814*VLOOKUP(B5814,'Poids des runes'!A:B,2,FALSE)))+1),(((D5814/100)*(C5814*VLOOKUP(B5814,'Poids des runes'!A:B,2,FALSE)))+1)/VLOOKUP(B5814,'Poids des runes'!A:B,2,FALSE))</f>
        <v>5.8478571428571424</v>
      </c>
      <c r="F5814">
        <f t="shared" si="90"/>
        <v>5.8478571428571424</v>
      </c>
    </row>
    <row r="5815" spans="1:6" x14ac:dyDescent="0.3">
      <c r="A5815" t="s">
        <v>1170</v>
      </c>
      <c r="B5815" t="s">
        <v>2164</v>
      </c>
      <c r="C5815">
        <v>13</v>
      </c>
      <c r="D5815">
        <v>163</v>
      </c>
      <c r="E5815">
        <f>IF(OR(B5815="vi",B5815="ii",B5815="pod"),(((D5815/100)*(C5815*VLOOKUP(B5815,'Poids des runes'!A:B,2,FALSE)))+1),(((D5815/100)*(C5815*VLOOKUP(B5815,'Poids des runes'!A:B,2,FALSE)))+1)/VLOOKUP(B5815,'Poids des runes'!A:B,2,FALSE))</f>
        <v>21.689999999999998</v>
      </c>
      <c r="F5815">
        <f t="shared" si="90"/>
        <v>21.689999999999998</v>
      </c>
    </row>
    <row r="5816" spans="1:6" x14ac:dyDescent="0.3">
      <c r="A5816" t="s">
        <v>1170</v>
      </c>
      <c r="B5816" t="s">
        <v>2157</v>
      </c>
      <c r="C5816">
        <v>6</v>
      </c>
      <c r="D5816">
        <v>163</v>
      </c>
      <c r="E5816">
        <f>IF(OR(B5816="vi",B5816="ii",B5816="pod"),(((D5816/100)*(C5816*VLOOKUP(B5816,'Poids des runes'!A:B,2,FALSE)))+1),(((D5816/100)*(C5816*VLOOKUP(B5816,'Poids des runes'!A:B,2,FALSE)))+1)/VLOOKUP(B5816,'Poids des runes'!A:B,2,FALSE))</f>
        <v>9.9466666666666654</v>
      </c>
      <c r="F5816">
        <f t="shared" si="90"/>
        <v>9.9466666666666654</v>
      </c>
    </row>
    <row r="5817" spans="1:6" x14ac:dyDescent="0.3">
      <c r="A5817" t="s">
        <v>1171</v>
      </c>
      <c r="B5817" t="s">
        <v>2128</v>
      </c>
      <c r="C5817">
        <v>225.5</v>
      </c>
      <c r="D5817">
        <v>163</v>
      </c>
      <c r="E5817">
        <f>IF(OR(B5817="vi",B5817="ii",B5817="pod"),(((D5817/100)*(C5817*VLOOKUP(B5817,'Poids des runes'!A:B,2,FALSE)))+1),(((D5817/100)*(C5817*VLOOKUP(B5817,'Poids des runes'!A:B,2,FALSE)))+1)/VLOOKUP(B5817,'Poids des runes'!A:B,2,FALSE))</f>
        <v>74.512999999999991</v>
      </c>
      <c r="F5817">
        <f t="shared" si="90"/>
        <v>74.512999999999991</v>
      </c>
    </row>
    <row r="5818" spans="1:6" x14ac:dyDescent="0.3">
      <c r="A5818" t="s">
        <v>1171</v>
      </c>
      <c r="B5818" t="s">
        <v>2130</v>
      </c>
      <c r="C5818">
        <v>50.5</v>
      </c>
      <c r="D5818">
        <v>163</v>
      </c>
      <c r="E5818">
        <f>IF(OR(B5818="vi",B5818="ii",B5818="pod"),(((D5818/100)*(C5818*VLOOKUP(B5818,'Poids des runes'!A:B,2,FALSE)))+1),(((D5818/100)*(C5818*VLOOKUP(B5818,'Poids des runes'!A:B,2,FALSE)))+1)/VLOOKUP(B5818,'Poids des runes'!A:B,2,FALSE))</f>
        <v>83.314999999999998</v>
      </c>
      <c r="F5818">
        <f t="shared" si="90"/>
        <v>83.314999999999998</v>
      </c>
    </row>
    <row r="5819" spans="1:6" x14ac:dyDescent="0.3">
      <c r="A5819" t="s">
        <v>1171</v>
      </c>
      <c r="B5819" t="s">
        <v>2126</v>
      </c>
      <c r="C5819">
        <v>50.5</v>
      </c>
      <c r="D5819">
        <v>163</v>
      </c>
      <c r="E5819">
        <f>IF(OR(B5819="vi",B5819="ii",B5819="pod"),(((D5819/100)*(C5819*VLOOKUP(B5819,'Poids des runes'!A:B,2,FALSE)))+1),(((D5819/100)*(C5819*VLOOKUP(B5819,'Poids des runes'!A:B,2,FALSE)))+1)/VLOOKUP(B5819,'Poids des runes'!A:B,2,FALSE))</f>
        <v>83.314999999999998</v>
      </c>
      <c r="F5819">
        <f t="shared" si="90"/>
        <v>83.314999999999998</v>
      </c>
    </row>
    <row r="5820" spans="1:6" x14ac:dyDescent="0.3">
      <c r="A5820" t="s">
        <v>1171</v>
      </c>
      <c r="B5820" t="s">
        <v>2129</v>
      </c>
      <c r="C5820">
        <v>35.5</v>
      </c>
      <c r="D5820">
        <v>163</v>
      </c>
      <c r="E5820">
        <f>IF(OR(B5820="vi",B5820="ii",B5820="pod"),(((D5820/100)*(C5820*VLOOKUP(B5820,'Poids des runes'!A:B,2,FALSE)))+1),(((D5820/100)*(C5820*VLOOKUP(B5820,'Poids des runes'!A:B,2,FALSE)))+1)/VLOOKUP(B5820,'Poids des runes'!A:B,2,FALSE))</f>
        <v>58.864999999999995</v>
      </c>
      <c r="F5820">
        <f t="shared" si="90"/>
        <v>58.864999999999995</v>
      </c>
    </row>
    <row r="5821" spans="1:6" x14ac:dyDescent="0.3">
      <c r="A5821" t="s">
        <v>1171</v>
      </c>
      <c r="B5821" t="s">
        <v>2155</v>
      </c>
      <c r="C5821">
        <v>1</v>
      </c>
      <c r="D5821">
        <v>163</v>
      </c>
      <c r="E5821">
        <f>IF(OR(B5821="vi",B5821="ii",B5821="pod"),(((D5821/100)*(C5821*VLOOKUP(B5821,'Poids des runes'!A:B,2,FALSE)))+1),(((D5821/100)*(C5821*VLOOKUP(B5821,'Poids des runes'!A:B,2,FALSE)))+1)/VLOOKUP(B5821,'Poids des runes'!A:B,2,FALSE))</f>
        <v>1.6496078431372547</v>
      </c>
      <c r="F5821">
        <f t="shared" si="90"/>
        <v>1.6496078431372547</v>
      </c>
    </row>
    <row r="5822" spans="1:6" x14ac:dyDescent="0.3">
      <c r="A5822" t="s">
        <v>1171</v>
      </c>
      <c r="B5822" t="s">
        <v>2150</v>
      </c>
      <c r="C5822">
        <v>1.5</v>
      </c>
      <c r="D5822">
        <v>163</v>
      </c>
      <c r="E5822">
        <f>IF(OR(B5822="vi",B5822="ii",B5822="pod"),(((D5822/100)*(C5822*VLOOKUP(B5822,'Poids des runes'!A:B,2,FALSE)))+1),(((D5822/100)*(C5822*VLOOKUP(B5822,'Poids des runes'!A:B,2,FALSE)))+1)/VLOOKUP(B5822,'Poids des runes'!A:B,2,FALSE))</f>
        <v>2.4783333333333331</v>
      </c>
      <c r="F5822">
        <f t="shared" si="90"/>
        <v>2.4783333333333331</v>
      </c>
    </row>
    <row r="5823" spans="1:6" x14ac:dyDescent="0.3">
      <c r="A5823" t="s">
        <v>1171</v>
      </c>
      <c r="B5823" t="s">
        <v>2143</v>
      </c>
      <c r="C5823">
        <v>7</v>
      </c>
      <c r="D5823">
        <v>163</v>
      </c>
      <c r="E5823">
        <f>IF(OR(B5823="vi",B5823="ii",B5823="pod"),(((D5823/100)*(C5823*VLOOKUP(B5823,'Poids des runes'!A:B,2,FALSE)))+1),(((D5823/100)*(C5823*VLOOKUP(B5823,'Poids des runes'!A:B,2,FALSE)))+1)/VLOOKUP(B5823,'Poids des runes'!A:B,2,FALSE))</f>
        <v>11.61</v>
      </c>
      <c r="F5823">
        <f t="shared" si="90"/>
        <v>11.61</v>
      </c>
    </row>
    <row r="5824" spans="1:6" x14ac:dyDescent="0.3">
      <c r="A5824" t="s">
        <v>1171</v>
      </c>
      <c r="B5824" t="s">
        <v>2140</v>
      </c>
      <c r="C5824">
        <v>7</v>
      </c>
      <c r="D5824">
        <v>163</v>
      </c>
      <c r="E5824">
        <f>IF(OR(B5824="vi",B5824="ii",B5824="pod"),(((D5824/100)*(C5824*VLOOKUP(B5824,'Poids des runes'!A:B,2,FALSE)))+1),(((D5824/100)*(C5824*VLOOKUP(B5824,'Poids des runes'!A:B,2,FALSE)))+1)/VLOOKUP(B5824,'Poids des runes'!A:B,2,FALSE))</f>
        <v>11.61</v>
      </c>
      <c r="F5824">
        <f t="shared" si="90"/>
        <v>11.61</v>
      </c>
    </row>
    <row r="5825" spans="1:6" x14ac:dyDescent="0.3">
      <c r="A5825" t="s">
        <v>1171</v>
      </c>
      <c r="B5825" t="s">
        <v>2132</v>
      </c>
      <c r="C5825">
        <v>250.5</v>
      </c>
      <c r="D5825">
        <v>163</v>
      </c>
      <c r="E5825">
        <f>IF(OR(B5825="vi",B5825="ii",B5825="pod"),(((D5825/100)*(C5825*VLOOKUP(B5825,'Poids des runes'!A:B,2,FALSE)))+1),(((D5825/100)*(C5825*VLOOKUP(B5825,'Poids des runes'!A:B,2,FALSE)))+1)/VLOOKUP(B5825,'Poids des runes'!A:B,2,FALSE))</f>
        <v>41.831499999999998</v>
      </c>
      <c r="F5825">
        <f t="shared" si="90"/>
        <v>41.831499999999998</v>
      </c>
    </row>
    <row r="5826" spans="1:6" x14ac:dyDescent="0.3">
      <c r="A5826" t="s">
        <v>1171</v>
      </c>
      <c r="B5826" t="s">
        <v>2141</v>
      </c>
      <c r="C5826">
        <v>4.5</v>
      </c>
      <c r="D5826">
        <v>163</v>
      </c>
      <c r="E5826">
        <f>IF(OR(B5826="vi",B5826="ii",B5826="pod"),(((D5826/100)*(C5826*VLOOKUP(B5826,'Poids des runes'!A:B,2,FALSE)))+1),(((D5826/100)*(C5826*VLOOKUP(B5826,'Poids des runes'!A:B,2,FALSE)))+1)/VLOOKUP(B5826,'Poids des runes'!A:B,2,FALSE))</f>
        <v>7.5849999999999991</v>
      </c>
      <c r="F5826">
        <f t="shared" si="90"/>
        <v>7.5849999999999991</v>
      </c>
    </row>
    <row r="5827" spans="1:6" x14ac:dyDescent="0.3">
      <c r="A5827" t="s">
        <v>1171</v>
      </c>
      <c r="B5827" t="s">
        <v>2164</v>
      </c>
      <c r="C5827">
        <v>8.5</v>
      </c>
      <c r="D5827">
        <v>163</v>
      </c>
      <c r="E5827">
        <f>IF(OR(B5827="vi",B5827="ii",B5827="pod"),(((D5827/100)*(C5827*VLOOKUP(B5827,'Poids des runes'!A:B,2,FALSE)))+1),(((D5827/100)*(C5827*VLOOKUP(B5827,'Poids des runes'!A:B,2,FALSE)))+1)/VLOOKUP(B5827,'Poids des runes'!A:B,2,FALSE))</f>
        <v>14.354999999999999</v>
      </c>
      <c r="F5827">
        <f t="shared" ref="F5827:F5890" si="91">E5827</f>
        <v>14.354999999999999</v>
      </c>
    </row>
    <row r="5828" spans="1:6" x14ac:dyDescent="0.3">
      <c r="A5828" t="s">
        <v>1171</v>
      </c>
      <c r="B5828" t="s">
        <v>2157</v>
      </c>
      <c r="C5828">
        <v>8.5</v>
      </c>
      <c r="D5828">
        <v>163</v>
      </c>
      <c r="E5828">
        <f>IF(OR(B5828="vi",B5828="ii",B5828="pod"),(((D5828/100)*(C5828*VLOOKUP(B5828,'Poids des runes'!A:B,2,FALSE)))+1),(((D5828/100)*(C5828*VLOOKUP(B5828,'Poids des runes'!A:B,2,FALSE)))+1)/VLOOKUP(B5828,'Poids des runes'!A:B,2,FALSE))</f>
        <v>14.021666666666667</v>
      </c>
      <c r="F5828">
        <f t="shared" si="91"/>
        <v>14.021666666666667</v>
      </c>
    </row>
    <row r="5829" spans="1:6" x14ac:dyDescent="0.3">
      <c r="A5829" t="s">
        <v>1171</v>
      </c>
      <c r="B5829" t="s">
        <v>2137</v>
      </c>
      <c r="C5829">
        <v>8.5</v>
      </c>
      <c r="D5829">
        <v>163</v>
      </c>
      <c r="E5829">
        <f>IF(OR(B5829="vi",B5829="ii",B5829="pod"),(((D5829/100)*(C5829*VLOOKUP(B5829,'Poids des runes'!A:B,2,FALSE)))+1),(((D5829/100)*(C5829*VLOOKUP(B5829,'Poids des runes'!A:B,2,FALSE)))+1)/VLOOKUP(B5829,'Poids des runes'!A:B,2,FALSE))</f>
        <v>14.354999999999999</v>
      </c>
      <c r="F5829">
        <f t="shared" si="91"/>
        <v>14.354999999999999</v>
      </c>
    </row>
    <row r="5830" spans="1:6" x14ac:dyDescent="0.3">
      <c r="A5830" t="s">
        <v>1171</v>
      </c>
      <c r="B5830" t="s">
        <v>2145</v>
      </c>
      <c r="C5830">
        <v>8.5</v>
      </c>
      <c r="D5830">
        <v>163</v>
      </c>
      <c r="E5830">
        <f>IF(OR(B5830="vi",B5830="ii",B5830="pod"),(((D5830/100)*(C5830*VLOOKUP(B5830,'Poids des runes'!A:B,2,FALSE)))+1),(((D5830/100)*(C5830*VLOOKUP(B5830,'Poids des runes'!A:B,2,FALSE)))+1)/VLOOKUP(B5830,'Poids des runes'!A:B,2,FALSE))</f>
        <v>14.354999999999999</v>
      </c>
      <c r="F5830">
        <f t="shared" si="91"/>
        <v>14.354999999999999</v>
      </c>
    </row>
    <row r="5831" spans="1:6" x14ac:dyDescent="0.3">
      <c r="A5831" t="s">
        <v>1172</v>
      </c>
      <c r="B5831" t="s">
        <v>2128</v>
      </c>
      <c r="C5831">
        <v>225.5</v>
      </c>
      <c r="D5831">
        <v>163</v>
      </c>
      <c r="E5831">
        <f>IF(OR(B5831="vi",B5831="ii",B5831="pod"),(((D5831/100)*(C5831*VLOOKUP(B5831,'Poids des runes'!A:B,2,FALSE)))+1),(((D5831/100)*(C5831*VLOOKUP(B5831,'Poids des runes'!A:B,2,FALSE)))+1)/VLOOKUP(B5831,'Poids des runes'!A:B,2,FALSE))</f>
        <v>74.512999999999991</v>
      </c>
      <c r="F5831">
        <f t="shared" si="91"/>
        <v>74.512999999999991</v>
      </c>
    </row>
    <row r="5832" spans="1:6" x14ac:dyDescent="0.3">
      <c r="A5832" t="s">
        <v>1172</v>
      </c>
      <c r="B5832" t="s">
        <v>2127</v>
      </c>
      <c r="C5832">
        <v>50.5</v>
      </c>
      <c r="D5832">
        <v>163</v>
      </c>
      <c r="E5832">
        <f>IF(OR(B5832="vi",B5832="ii",B5832="pod"),(((D5832/100)*(C5832*VLOOKUP(B5832,'Poids des runes'!A:B,2,FALSE)))+1),(((D5832/100)*(C5832*VLOOKUP(B5832,'Poids des runes'!A:B,2,FALSE)))+1)/VLOOKUP(B5832,'Poids des runes'!A:B,2,FALSE))</f>
        <v>83.314999999999998</v>
      </c>
      <c r="F5832">
        <f t="shared" si="91"/>
        <v>83.314999999999998</v>
      </c>
    </row>
    <row r="5833" spans="1:6" x14ac:dyDescent="0.3">
      <c r="A5833" t="s">
        <v>1172</v>
      </c>
      <c r="B5833" t="s">
        <v>2129</v>
      </c>
      <c r="C5833">
        <v>25.5</v>
      </c>
      <c r="D5833">
        <v>163</v>
      </c>
      <c r="E5833">
        <f>IF(OR(B5833="vi",B5833="ii",B5833="pod"),(((D5833/100)*(C5833*VLOOKUP(B5833,'Poids des runes'!A:B,2,FALSE)))+1),(((D5833/100)*(C5833*VLOOKUP(B5833,'Poids des runes'!A:B,2,FALSE)))+1)/VLOOKUP(B5833,'Poids des runes'!A:B,2,FALSE))</f>
        <v>42.564999999999998</v>
      </c>
      <c r="F5833">
        <f t="shared" si="91"/>
        <v>42.564999999999998</v>
      </c>
    </row>
    <row r="5834" spans="1:6" x14ac:dyDescent="0.3">
      <c r="A5834" t="s">
        <v>1172</v>
      </c>
      <c r="B5834" t="s">
        <v>2151</v>
      </c>
      <c r="C5834">
        <v>3.5</v>
      </c>
      <c r="D5834">
        <v>163</v>
      </c>
      <c r="E5834">
        <f>IF(OR(B5834="vi",B5834="ii",B5834="pod"),(((D5834/100)*(C5834*VLOOKUP(B5834,'Poids des runes'!A:B,2,FALSE)))+1),(((D5834/100)*(C5834*VLOOKUP(B5834,'Poids des runes'!A:B,2,FALSE)))+1)/VLOOKUP(B5834,'Poids des runes'!A:B,2,FALSE))</f>
        <v>5.8049999999999997</v>
      </c>
      <c r="F5834">
        <f t="shared" si="91"/>
        <v>5.8049999999999997</v>
      </c>
    </row>
    <row r="5835" spans="1:6" x14ac:dyDescent="0.3">
      <c r="A5835" t="s">
        <v>1172</v>
      </c>
      <c r="B5835" t="s">
        <v>2153</v>
      </c>
      <c r="C5835">
        <v>8.5</v>
      </c>
      <c r="D5835">
        <v>163</v>
      </c>
      <c r="E5835">
        <f>IF(OR(B5835="vi",B5835="ii",B5835="pod"),(((D5835/100)*(C5835*VLOOKUP(B5835,'Poids des runes'!A:B,2,FALSE)))+1),(((D5835/100)*(C5835*VLOOKUP(B5835,'Poids des runes'!A:B,2,FALSE)))+1)/VLOOKUP(B5835,'Poids des runes'!A:B,2,FALSE))</f>
        <v>14.054999999999998</v>
      </c>
      <c r="F5835">
        <f t="shared" si="91"/>
        <v>14.054999999999998</v>
      </c>
    </row>
    <row r="5836" spans="1:6" x14ac:dyDescent="0.3">
      <c r="A5836" t="s">
        <v>1172</v>
      </c>
      <c r="B5836" t="s">
        <v>2161</v>
      </c>
      <c r="C5836">
        <v>13</v>
      </c>
      <c r="D5836">
        <v>163</v>
      </c>
      <c r="E5836">
        <f>IF(OR(B5836="vi",B5836="ii",B5836="pod"),(((D5836/100)*(C5836*VLOOKUP(B5836,'Poids des runes'!A:B,2,FALSE)))+1),(((D5836/100)*(C5836*VLOOKUP(B5836,'Poids des runes'!A:B,2,FALSE)))+1)/VLOOKUP(B5836,'Poids des runes'!A:B,2,FALSE))</f>
        <v>21.52333333333333</v>
      </c>
      <c r="F5836">
        <f t="shared" si="91"/>
        <v>21.52333333333333</v>
      </c>
    </row>
    <row r="5837" spans="1:6" x14ac:dyDescent="0.3">
      <c r="A5837" t="s">
        <v>1172</v>
      </c>
      <c r="B5837" t="s">
        <v>2132</v>
      </c>
      <c r="C5837">
        <v>250.5</v>
      </c>
      <c r="D5837">
        <v>163</v>
      </c>
      <c r="E5837">
        <f>IF(OR(B5837="vi",B5837="ii",B5837="pod"),(((D5837/100)*(C5837*VLOOKUP(B5837,'Poids des runes'!A:B,2,FALSE)))+1),(((D5837/100)*(C5837*VLOOKUP(B5837,'Poids des runes'!A:B,2,FALSE)))+1)/VLOOKUP(B5837,'Poids des runes'!A:B,2,FALSE))</f>
        <v>41.831499999999998</v>
      </c>
      <c r="F5837">
        <f t="shared" si="91"/>
        <v>41.831499999999998</v>
      </c>
    </row>
    <row r="5838" spans="1:6" x14ac:dyDescent="0.3">
      <c r="A5838" t="s">
        <v>1172</v>
      </c>
      <c r="B5838" t="s">
        <v>2141</v>
      </c>
      <c r="C5838">
        <v>4</v>
      </c>
      <c r="D5838">
        <v>163</v>
      </c>
      <c r="E5838">
        <f>IF(OR(B5838="vi",B5838="ii",B5838="pod"),(((D5838/100)*(C5838*VLOOKUP(B5838,'Poids des runes'!A:B,2,FALSE)))+1),(((D5838/100)*(C5838*VLOOKUP(B5838,'Poids des runes'!A:B,2,FALSE)))+1)/VLOOKUP(B5838,'Poids des runes'!A:B,2,FALSE))</f>
        <v>6.77</v>
      </c>
      <c r="F5838">
        <f t="shared" si="91"/>
        <v>6.77</v>
      </c>
    </row>
    <row r="5839" spans="1:6" x14ac:dyDescent="0.3">
      <c r="A5839" t="s">
        <v>1172</v>
      </c>
      <c r="B5839" t="s">
        <v>2147</v>
      </c>
      <c r="C5839">
        <v>6.5</v>
      </c>
      <c r="D5839">
        <v>163</v>
      </c>
      <c r="E5839">
        <f>IF(OR(B5839="vi",B5839="ii",B5839="pod"),(((D5839/100)*(C5839*VLOOKUP(B5839,'Poids des runes'!A:B,2,FALSE)))+1),(((D5839/100)*(C5839*VLOOKUP(B5839,'Poids des runes'!A:B,2,FALSE)))+1)/VLOOKUP(B5839,'Poids des runes'!A:B,2,FALSE))</f>
        <v>10.761666666666665</v>
      </c>
      <c r="F5839">
        <f t="shared" si="91"/>
        <v>10.761666666666665</v>
      </c>
    </row>
    <row r="5840" spans="1:6" x14ac:dyDescent="0.3">
      <c r="A5840" t="s">
        <v>1172</v>
      </c>
      <c r="B5840" t="s">
        <v>2157</v>
      </c>
      <c r="C5840">
        <v>6.5</v>
      </c>
      <c r="D5840">
        <v>163</v>
      </c>
      <c r="E5840">
        <f>IF(OR(B5840="vi",B5840="ii",B5840="pod"),(((D5840/100)*(C5840*VLOOKUP(B5840,'Poids des runes'!A:B,2,FALSE)))+1),(((D5840/100)*(C5840*VLOOKUP(B5840,'Poids des runes'!A:B,2,FALSE)))+1)/VLOOKUP(B5840,'Poids des runes'!A:B,2,FALSE))</f>
        <v>10.761666666666665</v>
      </c>
      <c r="F5840">
        <f t="shared" si="91"/>
        <v>10.761666666666665</v>
      </c>
    </row>
    <row r="5841" spans="1:6" x14ac:dyDescent="0.3">
      <c r="A5841" t="s">
        <v>1172</v>
      </c>
      <c r="B5841" t="s">
        <v>2136</v>
      </c>
      <c r="C5841">
        <v>13</v>
      </c>
      <c r="D5841">
        <v>163</v>
      </c>
      <c r="E5841">
        <f>IF(OR(B5841="vi",B5841="ii",B5841="pod"),(((D5841/100)*(C5841*VLOOKUP(B5841,'Poids des runes'!A:B,2,FALSE)))+1),(((D5841/100)*(C5841*VLOOKUP(B5841,'Poids des runes'!A:B,2,FALSE)))+1)/VLOOKUP(B5841,'Poids des runes'!A:B,2,FALSE))</f>
        <v>21.689999999999998</v>
      </c>
      <c r="F5841">
        <f t="shared" si="91"/>
        <v>21.689999999999998</v>
      </c>
    </row>
    <row r="5842" spans="1:6" x14ac:dyDescent="0.3">
      <c r="A5842" t="s">
        <v>1173</v>
      </c>
      <c r="B5842" t="s">
        <v>2128</v>
      </c>
      <c r="C5842">
        <v>175.5</v>
      </c>
      <c r="D5842">
        <v>163</v>
      </c>
      <c r="E5842">
        <f>IF(OR(B5842="vi",B5842="ii",B5842="pod"),(((D5842/100)*(C5842*VLOOKUP(B5842,'Poids des runes'!A:B,2,FALSE)))+1),(((D5842/100)*(C5842*VLOOKUP(B5842,'Poids des runes'!A:B,2,FALSE)))+1)/VLOOKUP(B5842,'Poids des runes'!A:B,2,FALSE))</f>
        <v>58.213000000000001</v>
      </c>
      <c r="F5842">
        <f t="shared" si="91"/>
        <v>58.213000000000001</v>
      </c>
    </row>
    <row r="5843" spans="1:6" x14ac:dyDescent="0.3">
      <c r="A5843" t="s">
        <v>1173</v>
      </c>
      <c r="B5843" t="s">
        <v>2126</v>
      </c>
      <c r="C5843">
        <v>40.5</v>
      </c>
      <c r="D5843">
        <v>163</v>
      </c>
      <c r="E5843">
        <f>IF(OR(B5843="vi",B5843="ii",B5843="pod"),(((D5843/100)*(C5843*VLOOKUP(B5843,'Poids des runes'!A:B,2,FALSE)))+1),(((D5843/100)*(C5843*VLOOKUP(B5843,'Poids des runes'!A:B,2,FALSE)))+1)/VLOOKUP(B5843,'Poids des runes'!A:B,2,FALSE))</f>
        <v>67.015000000000001</v>
      </c>
      <c r="F5843">
        <f t="shared" si="91"/>
        <v>67.015000000000001</v>
      </c>
    </row>
    <row r="5844" spans="1:6" x14ac:dyDescent="0.3">
      <c r="A5844" t="s">
        <v>1173</v>
      </c>
      <c r="B5844" t="s">
        <v>2127</v>
      </c>
      <c r="C5844">
        <v>23</v>
      </c>
      <c r="D5844">
        <v>163</v>
      </c>
      <c r="E5844">
        <f>IF(OR(B5844="vi",B5844="ii",B5844="pod"),(((D5844/100)*(C5844*VLOOKUP(B5844,'Poids des runes'!A:B,2,FALSE)))+1),(((D5844/100)*(C5844*VLOOKUP(B5844,'Poids des runes'!A:B,2,FALSE)))+1)/VLOOKUP(B5844,'Poids des runes'!A:B,2,FALSE))</f>
        <v>38.489999999999995</v>
      </c>
      <c r="F5844">
        <f t="shared" si="91"/>
        <v>38.489999999999995</v>
      </c>
    </row>
    <row r="5845" spans="1:6" x14ac:dyDescent="0.3">
      <c r="A5845" t="s">
        <v>1173</v>
      </c>
      <c r="B5845" t="s">
        <v>2129</v>
      </c>
      <c r="C5845">
        <v>15.5</v>
      </c>
      <c r="D5845">
        <v>163</v>
      </c>
      <c r="E5845">
        <f>IF(OR(B5845="vi",B5845="ii",B5845="pod"),(((D5845/100)*(C5845*VLOOKUP(B5845,'Poids des runes'!A:B,2,FALSE)))+1),(((D5845/100)*(C5845*VLOOKUP(B5845,'Poids des runes'!A:B,2,FALSE)))+1)/VLOOKUP(B5845,'Poids des runes'!A:B,2,FALSE))</f>
        <v>26.264999999999997</v>
      </c>
      <c r="F5845">
        <f t="shared" si="91"/>
        <v>26.264999999999997</v>
      </c>
    </row>
    <row r="5846" spans="1:6" x14ac:dyDescent="0.3">
      <c r="A5846" t="s">
        <v>1173</v>
      </c>
      <c r="B5846" t="s">
        <v>2154</v>
      </c>
      <c r="C5846">
        <v>1</v>
      </c>
      <c r="D5846">
        <v>163</v>
      </c>
      <c r="E5846">
        <f>IF(OR(B5846="vi",B5846="ii",B5846="pod"),(((D5846/100)*(C5846*VLOOKUP(B5846,'Poids des runes'!A:B,2,FALSE)))+1),(((D5846/100)*(C5846*VLOOKUP(B5846,'Poids des runes'!A:B,2,FALSE)))+1)/VLOOKUP(B5846,'Poids des runes'!A:B,2,FALSE))</f>
        <v>1.641111111111111</v>
      </c>
      <c r="F5846">
        <f t="shared" si="91"/>
        <v>1.641111111111111</v>
      </c>
    </row>
    <row r="5847" spans="1:6" x14ac:dyDescent="0.3">
      <c r="A5847" t="s">
        <v>1173</v>
      </c>
      <c r="B5847" t="s">
        <v>2155</v>
      </c>
      <c r="C5847">
        <v>1</v>
      </c>
      <c r="D5847">
        <v>163</v>
      </c>
      <c r="E5847">
        <f>IF(OR(B5847="vi",B5847="ii",B5847="pod"),(((D5847/100)*(C5847*VLOOKUP(B5847,'Poids des runes'!A:B,2,FALSE)))+1),(((D5847/100)*(C5847*VLOOKUP(B5847,'Poids des runes'!A:B,2,FALSE)))+1)/VLOOKUP(B5847,'Poids des runes'!A:B,2,FALSE))</f>
        <v>1.6496078431372547</v>
      </c>
      <c r="F5847">
        <f t="shared" si="91"/>
        <v>1.6496078431372547</v>
      </c>
    </row>
    <row r="5848" spans="1:6" x14ac:dyDescent="0.3">
      <c r="A5848" t="s">
        <v>1173</v>
      </c>
      <c r="B5848" t="s">
        <v>2134</v>
      </c>
      <c r="C5848">
        <v>8</v>
      </c>
      <c r="D5848">
        <v>163</v>
      </c>
      <c r="E5848">
        <f>IF(OR(B5848="vi",B5848="ii",B5848="pod"),(((D5848/100)*(C5848*VLOOKUP(B5848,'Poids des runes'!A:B,2,FALSE)))+1),(((D5848/100)*(C5848*VLOOKUP(B5848,'Poids des runes'!A:B,2,FALSE)))+1)/VLOOKUP(B5848,'Poids des runes'!A:B,2,FALSE))</f>
        <v>13.089999999999998</v>
      </c>
      <c r="F5848">
        <f t="shared" si="91"/>
        <v>13.089999999999998</v>
      </c>
    </row>
    <row r="5849" spans="1:6" x14ac:dyDescent="0.3">
      <c r="A5849" t="s">
        <v>1173</v>
      </c>
      <c r="B5849" t="s">
        <v>2149</v>
      </c>
      <c r="C5849">
        <v>5</v>
      </c>
      <c r="D5849">
        <v>163</v>
      </c>
      <c r="E5849">
        <f>IF(OR(B5849="vi",B5849="ii",B5849="pod"),(((D5849/100)*(C5849*VLOOKUP(B5849,'Poids des runes'!A:B,2,FALSE)))+1),(((D5849/100)*(C5849*VLOOKUP(B5849,'Poids des runes'!A:B,2,FALSE)))+1)/VLOOKUP(B5849,'Poids des runes'!A:B,2,FALSE))</f>
        <v>8.25</v>
      </c>
      <c r="F5849">
        <f t="shared" si="91"/>
        <v>8.25</v>
      </c>
    </row>
    <row r="5850" spans="1:6" x14ac:dyDescent="0.3">
      <c r="A5850" t="s">
        <v>1173</v>
      </c>
      <c r="B5850" t="s">
        <v>2161</v>
      </c>
      <c r="C5850">
        <v>15.5</v>
      </c>
      <c r="D5850">
        <v>163</v>
      </c>
      <c r="E5850">
        <f>IF(OR(B5850="vi",B5850="ii",B5850="pod"),(((D5850/100)*(C5850*VLOOKUP(B5850,'Poids des runes'!A:B,2,FALSE)))+1),(((D5850/100)*(C5850*VLOOKUP(B5850,'Poids des runes'!A:B,2,FALSE)))+1)/VLOOKUP(B5850,'Poids des runes'!A:B,2,FALSE))</f>
        <v>25.598333333333333</v>
      </c>
      <c r="F5850">
        <f t="shared" si="91"/>
        <v>25.598333333333333</v>
      </c>
    </row>
    <row r="5851" spans="1:6" x14ac:dyDescent="0.3">
      <c r="A5851" t="s">
        <v>1174</v>
      </c>
      <c r="B5851" t="s">
        <v>2128</v>
      </c>
      <c r="C5851">
        <v>205.5</v>
      </c>
      <c r="D5851">
        <v>163</v>
      </c>
      <c r="E5851">
        <f>IF(OR(B5851="vi",B5851="ii",B5851="pod"),(((D5851/100)*(C5851*VLOOKUP(B5851,'Poids des runes'!A:B,2,FALSE)))+1),(((D5851/100)*(C5851*VLOOKUP(B5851,'Poids des runes'!A:B,2,FALSE)))+1)/VLOOKUP(B5851,'Poids des runes'!A:B,2,FALSE))</f>
        <v>67.992999999999995</v>
      </c>
      <c r="F5851">
        <f t="shared" si="91"/>
        <v>67.992999999999995</v>
      </c>
    </row>
    <row r="5852" spans="1:6" x14ac:dyDescent="0.3">
      <c r="A5852" t="s">
        <v>1174</v>
      </c>
      <c r="B5852" t="s">
        <v>2126</v>
      </c>
      <c r="C5852">
        <v>25.5</v>
      </c>
      <c r="D5852">
        <v>163</v>
      </c>
      <c r="E5852">
        <f>IF(OR(B5852="vi",B5852="ii",B5852="pod"),(((D5852/100)*(C5852*VLOOKUP(B5852,'Poids des runes'!A:B,2,FALSE)))+1),(((D5852/100)*(C5852*VLOOKUP(B5852,'Poids des runes'!A:B,2,FALSE)))+1)/VLOOKUP(B5852,'Poids des runes'!A:B,2,FALSE))</f>
        <v>42.564999999999998</v>
      </c>
      <c r="F5852">
        <f t="shared" si="91"/>
        <v>42.564999999999998</v>
      </c>
    </row>
    <row r="5853" spans="1:6" x14ac:dyDescent="0.3">
      <c r="A5853" t="s">
        <v>1174</v>
      </c>
      <c r="B5853" t="s">
        <v>2131</v>
      </c>
      <c r="C5853">
        <v>25.5</v>
      </c>
      <c r="D5853">
        <v>163</v>
      </c>
      <c r="E5853">
        <f>IF(OR(B5853="vi",B5853="ii",B5853="pod"),(((D5853/100)*(C5853*VLOOKUP(B5853,'Poids des runes'!A:B,2,FALSE)))+1),(((D5853/100)*(C5853*VLOOKUP(B5853,'Poids des runes'!A:B,2,FALSE)))+1)/VLOOKUP(B5853,'Poids des runes'!A:B,2,FALSE))</f>
        <v>42.564999999999998</v>
      </c>
      <c r="F5853">
        <f t="shared" si="91"/>
        <v>42.564999999999998</v>
      </c>
    </row>
    <row r="5854" spans="1:6" x14ac:dyDescent="0.3">
      <c r="A5854" t="s">
        <v>1174</v>
      </c>
      <c r="B5854" t="s">
        <v>2129</v>
      </c>
      <c r="C5854">
        <v>35.5</v>
      </c>
      <c r="D5854">
        <v>163</v>
      </c>
      <c r="E5854">
        <f>IF(OR(B5854="vi",B5854="ii",B5854="pod"),(((D5854/100)*(C5854*VLOOKUP(B5854,'Poids des runes'!A:B,2,FALSE)))+1),(((D5854/100)*(C5854*VLOOKUP(B5854,'Poids des runes'!A:B,2,FALSE)))+1)/VLOOKUP(B5854,'Poids des runes'!A:B,2,FALSE))</f>
        <v>58.864999999999995</v>
      </c>
      <c r="F5854">
        <f t="shared" si="91"/>
        <v>58.864999999999995</v>
      </c>
    </row>
    <row r="5855" spans="1:6" x14ac:dyDescent="0.3">
      <c r="A5855" t="s">
        <v>1174</v>
      </c>
      <c r="B5855" t="s">
        <v>2151</v>
      </c>
      <c r="C5855">
        <v>3.5</v>
      </c>
      <c r="D5855">
        <v>163</v>
      </c>
      <c r="E5855">
        <f>IF(OR(B5855="vi",B5855="ii",B5855="pod"),(((D5855/100)*(C5855*VLOOKUP(B5855,'Poids des runes'!A:B,2,FALSE)))+1),(((D5855/100)*(C5855*VLOOKUP(B5855,'Poids des runes'!A:B,2,FALSE)))+1)/VLOOKUP(B5855,'Poids des runes'!A:B,2,FALSE))</f>
        <v>5.8049999999999997</v>
      </c>
      <c r="F5855">
        <f t="shared" si="91"/>
        <v>5.8049999999999997</v>
      </c>
    </row>
    <row r="5856" spans="1:6" x14ac:dyDescent="0.3">
      <c r="A5856" t="s">
        <v>1174</v>
      </c>
      <c r="B5856" t="s">
        <v>2140</v>
      </c>
      <c r="C5856">
        <v>13</v>
      </c>
      <c r="D5856">
        <v>163</v>
      </c>
      <c r="E5856">
        <f>IF(OR(B5856="vi",B5856="ii",B5856="pod"),(((D5856/100)*(C5856*VLOOKUP(B5856,'Poids des runes'!A:B,2,FALSE)))+1),(((D5856/100)*(C5856*VLOOKUP(B5856,'Poids des runes'!A:B,2,FALSE)))+1)/VLOOKUP(B5856,'Poids des runes'!A:B,2,FALSE))</f>
        <v>21.389999999999997</v>
      </c>
      <c r="F5856">
        <f t="shared" si="91"/>
        <v>21.389999999999997</v>
      </c>
    </row>
    <row r="5857" spans="1:6" x14ac:dyDescent="0.3">
      <c r="A5857" t="s">
        <v>1174</v>
      </c>
      <c r="B5857" t="s">
        <v>2133</v>
      </c>
      <c r="C5857">
        <v>13</v>
      </c>
      <c r="D5857">
        <v>163</v>
      </c>
      <c r="E5857">
        <f>IF(OR(B5857="vi",B5857="ii",B5857="pod"),(((D5857/100)*(C5857*VLOOKUP(B5857,'Poids des runes'!A:B,2,FALSE)))+1),(((D5857/100)*(C5857*VLOOKUP(B5857,'Poids des runes'!A:B,2,FALSE)))+1)/VLOOKUP(B5857,'Poids des runes'!A:B,2,FALSE))</f>
        <v>21.389999999999997</v>
      </c>
      <c r="F5857">
        <f t="shared" si="91"/>
        <v>21.389999999999997</v>
      </c>
    </row>
    <row r="5858" spans="1:6" x14ac:dyDescent="0.3">
      <c r="A5858" t="s">
        <v>1174</v>
      </c>
      <c r="B5858" t="s">
        <v>2161</v>
      </c>
      <c r="C5858">
        <v>15.5</v>
      </c>
      <c r="D5858">
        <v>163</v>
      </c>
      <c r="E5858">
        <f>IF(OR(B5858="vi",B5858="ii",B5858="pod"),(((D5858/100)*(C5858*VLOOKUP(B5858,'Poids des runes'!A:B,2,FALSE)))+1),(((D5858/100)*(C5858*VLOOKUP(B5858,'Poids des runes'!A:B,2,FALSE)))+1)/VLOOKUP(B5858,'Poids des runes'!A:B,2,FALSE))</f>
        <v>25.598333333333333</v>
      </c>
      <c r="F5858">
        <f t="shared" si="91"/>
        <v>25.598333333333333</v>
      </c>
    </row>
    <row r="5859" spans="1:6" x14ac:dyDescent="0.3">
      <c r="A5859" t="s">
        <v>1174</v>
      </c>
      <c r="B5859" t="s">
        <v>2141</v>
      </c>
      <c r="C5859">
        <v>4.5</v>
      </c>
      <c r="D5859">
        <v>163</v>
      </c>
      <c r="E5859">
        <f>IF(OR(B5859="vi",B5859="ii",B5859="pod"),(((D5859/100)*(C5859*VLOOKUP(B5859,'Poids des runes'!A:B,2,FALSE)))+1),(((D5859/100)*(C5859*VLOOKUP(B5859,'Poids des runes'!A:B,2,FALSE)))+1)/VLOOKUP(B5859,'Poids des runes'!A:B,2,FALSE))</f>
        <v>7.5849999999999991</v>
      </c>
      <c r="F5859">
        <f t="shared" si="91"/>
        <v>7.5849999999999991</v>
      </c>
    </row>
    <row r="5860" spans="1:6" x14ac:dyDescent="0.3">
      <c r="A5860" t="s">
        <v>1174</v>
      </c>
      <c r="B5860" t="s">
        <v>2160</v>
      </c>
      <c r="C5860">
        <v>3.5</v>
      </c>
      <c r="D5860">
        <v>163</v>
      </c>
      <c r="E5860">
        <f>IF(OR(B5860="vi",B5860="ii",B5860="pod"),(((D5860/100)*(C5860*VLOOKUP(B5860,'Poids des runes'!A:B,2,FALSE)))+1),(((D5860/100)*(C5860*VLOOKUP(B5860,'Poids des runes'!A:B,2,FALSE)))+1)/VLOOKUP(B5860,'Poids des runes'!A:B,2,FALSE))</f>
        <v>5.8478571428571424</v>
      </c>
      <c r="F5860">
        <f t="shared" si="91"/>
        <v>5.8478571428571424</v>
      </c>
    </row>
    <row r="5861" spans="1:6" x14ac:dyDescent="0.3">
      <c r="A5861" t="s">
        <v>1174</v>
      </c>
      <c r="B5861" t="s">
        <v>2164</v>
      </c>
      <c r="C5861">
        <v>8</v>
      </c>
      <c r="D5861">
        <v>163</v>
      </c>
      <c r="E5861">
        <f>IF(OR(B5861="vi",B5861="ii",B5861="pod"),(((D5861/100)*(C5861*VLOOKUP(B5861,'Poids des runes'!A:B,2,FALSE)))+1),(((D5861/100)*(C5861*VLOOKUP(B5861,'Poids des runes'!A:B,2,FALSE)))+1)/VLOOKUP(B5861,'Poids des runes'!A:B,2,FALSE))</f>
        <v>13.54</v>
      </c>
      <c r="F5861">
        <f t="shared" si="91"/>
        <v>13.54</v>
      </c>
    </row>
    <row r="5862" spans="1:6" x14ac:dyDescent="0.3">
      <c r="A5862" t="s">
        <v>1174</v>
      </c>
      <c r="B5862" t="s">
        <v>2137</v>
      </c>
      <c r="C5862">
        <v>13</v>
      </c>
      <c r="D5862">
        <v>163</v>
      </c>
      <c r="E5862">
        <f>IF(OR(B5862="vi",B5862="ii",B5862="pod"),(((D5862/100)*(C5862*VLOOKUP(B5862,'Poids des runes'!A:B,2,FALSE)))+1),(((D5862/100)*(C5862*VLOOKUP(B5862,'Poids des runes'!A:B,2,FALSE)))+1)/VLOOKUP(B5862,'Poids des runes'!A:B,2,FALSE))</f>
        <v>21.689999999999998</v>
      </c>
      <c r="F5862">
        <f t="shared" si="91"/>
        <v>21.689999999999998</v>
      </c>
    </row>
    <row r="5863" spans="1:6" x14ac:dyDescent="0.3">
      <c r="A5863" t="s">
        <v>1174</v>
      </c>
      <c r="B5863" t="s">
        <v>2146</v>
      </c>
      <c r="C5863">
        <v>13</v>
      </c>
      <c r="D5863">
        <v>163</v>
      </c>
      <c r="E5863">
        <f>IF(OR(B5863="vi",B5863="ii",B5863="pod"),(((D5863/100)*(C5863*VLOOKUP(B5863,'Poids des runes'!A:B,2,FALSE)))+1),(((D5863/100)*(C5863*VLOOKUP(B5863,'Poids des runes'!A:B,2,FALSE)))+1)/VLOOKUP(B5863,'Poids des runes'!A:B,2,FALSE))</f>
        <v>21.689999999999998</v>
      </c>
      <c r="F5863">
        <f t="shared" si="91"/>
        <v>21.689999999999998</v>
      </c>
    </row>
    <row r="5864" spans="1:6" x14ac:dyDescent="0.3">
      <c r="A5864" t="s">
        <v>1175</v>
      </c>
      <c r="B5864" t="s">
        <v>2128</v>
      </c>
      <c r="C5864">
        <v>225.5</v>
      </c>
      <c r="D5864">
        <v>164</v>
      </c>
      <c r="E5864">
        <f>IF(OR(B5864="vi",B5864="ii",B5864="pod"),(((D5864/100)*(C5864*VLOOKUP(B5864,'Poids des runes'!A:B,2,FALSE)))+1),(((D5864/100)*(C5864*VLOOKUP(B5864,'Poids des runes'!A:B,2,FALSE)))+1)/VLOOKUP(B5864,'Poids des runes'!A:B,2,FALSE))</f>
        <v>74.963999999999999</v>
      </c>
      <c r="F5864">
        <f t="shared" si="91"/>
        <v>74.963999999999999</v>
      </c>
    </row>
    <row r="5865" spans="1:6" x14ac:dyDescent="0.3">
      <c r="A5865" t="s">
        <v>1175</v>
      </c>
      <c r="B5865" t="s">
        <v>2129</v>
      </c>
      <c r="C5865">
        <v>40.5</v>
      </c>
      <c r="D5865">
        <v>164</v>
      </c>
      <c r="E5865">
        <f>IF(OR(B5865="vi",B5865="ii",B5865="pod"),(((D5865/100)*(C5865*VLOOKUP(B5865,'Poids des runes'!A:B,2,FALSE)))+1),(((D5865/100)*(C5865*VLOOKUP(B5865,'Poids des runes'!A:B,2,FALSE)))+1)/VLOOKUP(B5865,'Poids des runes'!A:B,2,FALSE))</f>
        <v>67.42</v>
      </c>
      <c r="F5865">
        <f t="shared" si="91"/>
        <v>67.42</v>
      </c>
    </row>
    <row r="5866" spans="1:6" x14ac:dyDescent="0.3">
      <c r="A5866" t="s">
        <v>1175</v>
      </c>
      <c r="B5866" t="s">
        <v>2139</v>
      </c>
      <c r="C5866">
        <v>20.5</v>
      </c>
      <c r="D5866">
        <v>164</v>
      </c>
      <c r="E5866">
        <f>IF(OR(B5866="vi",B5866="ii",B5866="pod"),(((D5866/100)*(C5866*VLOOKUP(B5866,'Poids des runes'!A:B,2,FALSE)))+1),(((D5866/100)*(C5866*VLOOKUP(B5866,'Poids des runes'!A:B,2,FALSE)))+1)/VLOOKUP(B5866,'Poids des runes'!A:B,2,FALSE))</f>
        <v>34.119999999999997</v>
      </c>
      <c r="F5866">
        <f t="shared" si="91"/>
        <v>34.119999999999997</v>
      </c>
    </row>
    <row r="5867" spans="1:6" x14ac:dyDescent="0.3">
      <c r="A5867" t="s">
        <v>1175</v>
      </c>
      <c r="B5867" t="s">
        <v>2151</v>
      </c>
      <c r="C5867">
        <v>3.5</v>
      </c>
      <c r="D5867">
        <v>164</v>
      </c>
      <c r="E5867">
        <f>IF(OR(B5867="vi",B5867="ii",B5867="pod"),(((D5867/100)*(C5867*VLOOKUP(B5867,'Poids des runes'!A:B,2,FALSE)))+1),(((D5867/100)*(C5867*VLOOKUP(B5867,'Poids des runes'!A:B,2,FALSE)))+1)/VLOOKUP(B5867,'Poids des runes'!A:B,2,FALSE))</f>
        <v>5.84</v>
      </c>
      <c r="F5867">
        <f t="shared" si="91"/>
        <v>5.84</v>
      </c>
    </row>
    <row r="5868" spans="1:6" x14ac:dyDescent="0.3">
      <c r="A5868" t="s">
        <v>1175</v>
      </c>
      <c r="B5868" t="s">
        <v>2150</v>
      </c>
      <c r="C5868">
        <v>1.5</v>
      </c>
      <c r="D5868">
        <v>164</v>
      </c>
      <c r="E5868">
        <f>IF(OR(B5868="vi",B5868="ii",B5868="pod"),(((D5868/100)*(C5868*VLOOKUP(B5868,'Poids des runes'!A:B,2,FALSE)))+1),(((D5868/100)*(C5868*VLOOKUP(B5868,'Poids des runes'!A:B,2,FALSE)))+1)/VLOOKUP(B5868,'Poids des runes'!A:B,2,FALSE))</f>
        <v>2.4933333333333332</v>
      </c>
      <c r="F5868">
        <f t="shared" si="91"/>
        <v>2.4933333333333332</v>
      </c>
    </row>
    <row r="5869" spans="1:6" x14ac:dyDescent="0.3">
      <c r="A5869" t="s">
        <v>1175</v>
      </c>
      <c r="B5869" t="s">
        <v>2134</v>
      </c>
      <c r="C5869">
        <v>8</v>
      </c>
      <c r="D5869">
        <v>164</v>
      </c>
      <c r="E5869">
        <f>IF(OR(B5869="vi",B5869="ii",B5869="pod"),(((D5869/100)*(C5869*VLOOKUP(B5869,'Poids des runes'!A:B,2,FALSE)))+1),(((D5869/100)*(C5869*VLOOKUP(B5869,'Poids des runes'!A:B,2,FALSE)))+1)/VLOOKUP(B5869,'Poids des runes'!A:B,2,FALSE))</f>
        <v>13.169999999999998</v>
      </c>
      <c r="F5869">
        <f t="shared" si="91"/>
        <v>13.169999999999998</v>
      </c>
    </row>
    <row r="5870" spans="1:6" x14ac:dyDescent="0.3">
      <c r="A5870" t="s">
        <v>1175</v>
      </c>
      <c r="B5870" t="s">
        <v>2161</v>
      </c>
      <c r="C5870">
        <v>15.5</v>
      </c>
      <c r="D5870">
        <v>164</v>
      </c>
      <c r="E5870">
        <f>IF(OR(B5870="vi",B5870="ii",B5870="pod"),(((D5870/100)*(C5870*VLOOKUP(B5870,'Poids des runes'!A:B,2,FALSE)))+1),(((D5870/100)*(C5870*VLOOKUP(B5870,'Poids des runes'!A:B,2,FALSE)))+1)/VLOOKUP(B5870,'Poids des runes'!A:B,2,FALSE))</f>
        <v>25.75333333333333</v>
      </c>
      <c r="F5870">
        <f t="shared" si="91"/>
        <v>25.75333333333333</v>
      </c>
    </row>
    <row r="5871" spans="1:6" x14ac:dyDescent="0.3">
      <c r="A5871" t="s">
        <v>1175</v>
      </c>
      <c r="B5871" t="s">
        <v>2136</v>
      </c>
      <c r="C5871">
        <v>8</v>
      </c>
      <c r="D5871">
        <v>164</v>
      </c>
      <c r="E5871">
        <f>IF(OR(B5871="vi",B5871="ii",B5871="pod"),(((D5871/100)*(C5871*VLOOKUP(B5871,'Poids des runes'!A:B,2,FALSE)))+1),(((D5871/100)*(C5871*VLOOKUP(B5871,'Poids des runes'!A:B,2,FALSE)))+1)/VLOOKUP(B5871,'Poids des runes'!A:B,2,FALSE))</f>
        <v>13.62</v>
      </c>
      <c r="F5871">
        <f t="shared" si="91"/>
        <v>13.62</v>
      </c>
    </row>
    <row r="5872" spans="1:6" x14ac:dyDescent="0.3">
      <c r="A5872" t="s">
        <v>1176</v>
      </c>
      <c r="B5872" t="s">
        <v>2128</v>
      </c>
      <c r="C5872">
        <v>225.5</v>
      </c>
      <c r="D5872">
        <v>164</v>
      </c>
      <c r="E5872">
        <f>IF(OR(B5872="vi",B5872="ii",B5872="pod"),(((D5872/100)*(C5872*VLOOKUP(B5872,'Poids des runes'!A:B,2,FALSE)))+1),(((D5872/100)*(C5872*VLOOKUP(B5872,'Poids des runes'!A:B,2,FALSE)))+1)/VLOOKUP(B5872,'Poids des runes'!A:B,2,FALSE))</f>
        <v>74.963999999999999</v>
      </c>
      <c r="F5872">
        <f t="shared" si="91"/>
        <v>74.963999999999999</v>
      </c>
    </row>
    <row r="5873" spans="1:6" x14ac:dyDescent="0.3">
      <c r="A5873" t="s">
        <v>1176</v>
      </c>
      <c r="B5873" t="s">
        <v>2129</v>
      </c>
      <c r="C5873">
        <v>33</v>
      </c>
      <c r="D5873">
        <v>164</v>
      </c>
      <c r="E5873">
        <f>IF(OR(B5873="vi",B5873="ii",B5873="pod"),(((D5873/100)*(C5873*VLOOKUP(B5873,'Poids des runes'!A:B,2,FALSE)))+1),(((D5873/100)*(C5873*VLOOKUP(B5873,'Poids des runes'!A:B,2,FALSE)))+1)/VLOOKUP(B5873,'Poids des runes'!A:B,2,FALSE))</f>
        <v>55.12</v>
      </c>
      <c r="F5873">
        <f t="shared" si="91"/>
        <v>55.12</v>
      </c>
    </row>
    <row r="5874" spans="1:6" x14ac:dyDescent="0.3">
      <c r="A5874" t="s">
        <v>1176</v>
      </c>
      <c r="B5874" t="s">
        <v>2139</v>
      </c>
      <c r="C5874">
        <v>25.5</v>
      </c>
      <c r="D5874">
        <v>164</v>
      </c>
      <c r="E5874">
        <f>IF(OR(B5874="vi",B5874="ii",B5874="pod"),(((D5874/100)*(C5874*VLOOKUP(B5874,'Poids des runes'!A:B,2,FALSE)))+1),(((D5874/100)*(C5874*VLOOKUP(B5874,'Poids des runes'!A:B,2,FALSE)))+1)/VLOOKUP(B5874,'Poids des runes'!A:B,2,FALSE))</f>
        <v>42.32</v>
      </c>
      <c r="F5874">
        <f t="shared" si="91"/>
        <v>42.32</v>
      </c>
    </row>
    <row r="5875" spans="1:6" x14ac:dyDescent="0.3">
      <c r="A5875" t="s">
        <v>1176</v>
      </c>
      <c r="B5875" t="s">
        <v>2152</v>
      </c>
      <c r="C5875">
        <v>1</v>
      </c>
      <c r="D5875">
        <v>164</v>
      </c>
      <c r="E5875">
        <f>IF(OR(B5875="vi",B5875="ii",B5875="pod"),(((D5875/100)*(C5875*VLOOKUP(B5875,'Poids des runes'!A:B,2,FALSE)))+1),(((D5875/100)*(C5875*VLOOKUP(B5875,'Poids des runes'!A:B,2,FALSE)))+1)/VLOOKUP(B5875,'Poids des runes'!A:B,2,FALSE))</f>
        <v>1.65</v>
      </c>
      <c r="F5875">
        <f t="shared" si="91"/>
        <v>1.65</v>
      </c>
    </row>
    <row r="5876" spans="1:6" x14ac:dyDescent="0.3">
      <c r="A5876" t="s">
        <v>1176</v>
      </c>
      <c r="B5876" t="s">
        <v>2155</v>
      </c>
      <c r="C5876">
        <v>1</v>
      </c>
      <c r="D5876">
        <v>164</v>
      </c>
      <c r="E5876">
        <f>IF(OR(B5876="vi",B5876="ii",B5876="pod"),(((D5876/100)*(C5876*VLOOKUP(B5876,'Poids des runes'!A:B,2,FALSE)))+1),(((D5876/100)*(C5876*VLOOKUP(B5876,'Poids des runes'!A:B,2,FALSE)))+1)/VLOOKUP(B5876,'Poids des runes'!A:B,2,FALSE))</f>
        <v>1.659607843137255</v>
      </c>
      <c r="F5876">
        <f t="shared" si="91"/>
        <v>1.659607843137255</v>
      </c>
    </row>
    <row r="5877" spans="1:6" x14ac:dyDescent="0.3">
      <c r="A5877" t="s">
        <v>1176</v>
      </c>
      <c r="B5877" t="s">
        <v>2134</v>
      </c>
      <c r="C5877">
        <v>8.5</v>
      </c>
      <c r="D5877">
        <v>164</v>
      </c>
      <c r="E5877">
        <f>IF(OR(B5877="vi",B5877="ii",B5877="pod"),(((D5877/100)*(C5877*VLOOKUP(B5877,'Poids des runes'!A:B,2,FALSE)))+1),(((D5877/100)*(C5877*VLOOKUP(B5877,'Poids des runes'!A:B,2,FALSE)))+1)/VLOOKUP(B5877,'Poids des runes'!A:B,2,FALSE))</f>
        <v>13.99</v>
      </c>
      <c r="F5877">
        <f t="shared" si="91"/>
        <v>13.99</v>
      </c>
    </row>
    <row r="5878" spans="1:6" x14ac:dyDescent="0.3">
      <c r="A5878" t="s">
        <v>1176</v>
      </c>
      <c r="B5878" t="s">
        <v>2161</v>
      </c>
      <c r="C5878">
        <v>25.5</v>
      </c>
      <c r="D5878">
        <v>164</v>
      </c>
      <c r="E5878">
        <f>IF(OR(B5878="vi",B5878="ii",B5878="pod"),(((D5878/100)*(C5878*VLOOKUP(B5878,'Poids des runes'!A:B,2,FALSE)))+1),(((D5878/100)*(C5878*VLOOKUP(B5878,'Poids des runes'!A:B,2,FALSE)))+1)/VLOOKUP(B5878,'Poids des runes'!A:B,2,FALSE))</f>
        <v>42.153333333333329</v>
      </c>
      <c r="F5878">
        <f t="shared" si="91"/>
        <v>42.153333333333329</v>
      </c>
    </row>
    <row r="5879" spans="1:6" x14ac:dyDescent="0.3">
      <c r="A5879" t="s">
        <v>1176</v>
      </c>
      <c r="B5879" t="s">
        <v>2132</v>
      </c>
      <c r="C5879">
        <v>700.5</v>
      </c>
      <c r="D5879">
        <v>164</v>
      </c>
      <c r="E5879">
        <f>IF(OR(B5879="vi",B5879="ii",B5879="pod"),(((D5879/100)*(C5879*VLOOKUP(B5879,'Poids des runes'!A:B,2,FALSE)))+1),(((D5879/100)*(C5879*VLOOKUP(B5879,'Poids des runes'!A:B,2,FALSE)))+1)/VLOOKUP(B5879,'Poids des runes'!A:B,2,FALSE))</f>
        <v>115.88199999999999</v>
      </c>
      <c r="F5879">
        <f t="shared" si="91"/>
        <v>115.88199999999999</v>
      </c>
    </row>
    <row r="5880" spans="1:6" x14ac:dyDescent="0.3">
      <c r="A5880" t="s">
        <v>1176</v>
      </c>
      <c r="B5880" t="s">
        <v>2136</v>
      </c>
      <c r="C5880">
        <v>7</v>
      </c>
      <c r="D5880">
        <v>164</v>
      </c>
      <c r="E5880">
        <f>IF(OR(B5880="vi",B5880="ii",B5880="pod"),(((D5880/100)*(C5880*VLOOKUP(B5880,'Poids des runes'!A:B,2,FALSE)))+1),(((D5880/100)*(C5880*VLOOKUP(B5880,'Poids des runes'!A:B,2,FALSE)))+1)/VLOOKUP(B5880,'Poids des runes'!A:B,2,FALSE))</f>
        <v>11.979999999999999</v>
      </c>
      <c r="F5880">
        <f t="shared" si="91"/>
        <v>11.979999999999999</v>
      </c>
    </row>
    <row r="5881" spans="1:6" x14ac:dyDescent="0.3">
      <c r="A5881" t="s">
        <v>1176</v>
      </c>
      <c r="B5881" t="s">
        <v>2137</v>
      </c>
      <c r="C5881">
        <v>7</v>
      </c>
      <c r="D5881">
        <v>164</v>
      </c>
      <c r="E5881">
        <f>IF(OR(B5881="vi",B5881="ii",B5881="pod"),(((D5881/100)*(C5881*VLOOKUP(B5881,'Poids des runes'!A:B,2,FALSE)))+1),(((D5881/100)*(C5881*VLOOKUP(B5881,'Poids des runes'!A:B,2,FALSE)))+1)/VLOOKUP(B5881,'Poids des runes'!A:B,2,FALSE))</f>
        <v>11.979999999999999</v>
      </c>
      <c r="F5881">
        <f t="shared" si="91"/>
        <v>11.979999999999999</v>
      </c>
    </row>
    <row r="5882" spans="1:6" x14ac:dyDescent="0.3">
      <c r="A5882" t="s">
        <v>1176</v>
      </c>
      <c r="B5882" t="s">
        <v>2144</v>
      </c>
      <c r="C5882">
        <v>7</v>
      </c>
      <c r="D5882">
        <v>164</v>
      </c>
      <c r="E5882">
        <f>IF(OR(B5882="vi",B5882="ii",B5882="pod"),(((D5882/100)*(C5882*VLOOKUP(B5882,'Poids des runes'!A:B,2,FALSE)))+1),(((D5882/100)*(C5882*VLOOKUP(B5882,'Poids des runes'!A:B,2,FALSE)))+1)/VLOOKUP(B5882,'Poids des runes'!A:B,2,FALSE))</f>
        <v>11.979999999999999</v>
      </c>
      <c r="F5882">
        <f t="shared" si="91"/>
        <v>11.979999999999999</v>
      </c>
    </row>
    <row r="5883" spans="1:6" x14ac:dyDescent="0.3">
      <c r="A5883" t="s">
        <v>1176</v>
      </c>
      <c r="B5883" t="s">
        <v>2145</v>
      </c>
      <c r="C5883">
        <v>7</v>
      </c>
      <c r="D5883">
        <v>164</v>
      </c>
      <c r="E5883">
        <f>IF(OR(B5883="vi",B5883="ii",B5883="pod"),(((D5883/100)*(C5883*VLOOKUP(B5883,'Poids des runes'!A:B,2,FALSE)))+1),(((D5883/100)*(C5883*VLOOKUP(B5883,'Poids des runes'!A:B,2,FALSE)))+1)/VLOOKUP(B5883,'Poids des runes'!A:B,2,FALSE))</f>
        <v>11.979999999999999</v>
      </c>
      <c r="F5883">
        <f t="shared" si="91"/>
        <v>11.979999999999999</v>
      </c>
    </row>
    <row r="5884" spans="1:6" x14ac:dyDescent="0.3">
      <c r="A5884" t="s">
        <v>1176</v>
      </c>
      <c r="B5884" t="s">
        <v>2146</v>
      </c>
      <c r="C5884">
        <v>7</v>
      </c>
      <c r="D5884">
        <v>164</v>
      </c>
      <c r="E5884">
        <f>IF(OR(B5884="vi",B5884="ii",B5884="pod"),(((D5884/100)*(C5884*VLOOKUP(B5884,'Poids des runes'!A:B,2,FALSE)))+1),(((D5884/100)*(C5884*VLOOKUP(B5884,'Poids des runes'!A:B,2,FALSE)))+1)/VLOOKUP(B5884,'Poids des runes'!A:B,2,FALSE))</f>
        <v>11.979999999999999</v>
      </c>
      <c r="F5884">
        <f t="shared" si="91"/>
        <v>11.979999999999999</v>
      </c>
    </row>
    <row r="5885" spans="1:6" x14ac:dyDescent="0.3">
      <c r="A5885" t="s">
        <v>1177</v>
      </c>
      <c r="B5885" t="s">
        <v>2128</v>
      </c>
      <c r="C5885">
        <v>225.5</v>
      </c>
      <c r="D5885">
        <v>164</v>
      </c>
      <c r="E5885">
        <f>IF(OR(B5885="vi",B5885="ii",B5885="pod"),(((D5885/100)*(C5885*VLOOKUP(B5885,'Poids des runes'!A:B,2,FALSE)))+1),(((D5885/100)*(C5885*VLOOKUP(B5885,'Poids des runes'!A:B,2,FALSE)))+1)/VLOOKUP(B5885,'Poids des runes'!A:B,2,FALSE))</f>
        <v>74.963999999999999</v>
      </c>
      <c r="F5885">
        <f t="shared" si="91"/>
        <v>74.963999999999999</v>
      </c>
    </row>
    <row r="5886" spans="1:6" x14ac:dyDescent="0.3">
      <c r="A5886" t="s">
        <v>1177</v>
      </c>
      <c r="B5886" t="s">
        <v>2130</v>
      </c>
      <c r="C5886">
        <v>50.5</v>
      </c>
      <c r="D5886">
        <v>164</v>
      </c>
      <c r="E5886">
        <f>IF(OR(B5886="vi",B5886="ii",B5886="pod"),(((D5886/100)*(C5886*VLOOKUP(B5886,'Poids des runes'!A:B,2,FALSE)))+1),(((D5886/100)*(C5886*VLOOKUP(B5886,'Poids des runes'!A:B,2,FALSE)))+1)/VLOOKUP(B5886,'Poids des runes'!A:B,2,FALSE))</f>
        <v>83.82</v>
      </c>
      <c r="F5886">
        <f t="shared" si="91"/>
        <v>83.82</v>
      </c>
    </row>
    <row r="5887" spans="1:6" x14ac:dyDescent="0.3">
      <c r="A5887" t="s">
        <v>1177</v>
      </c>
      <c r="B5887" t="s">
        <v>2126</v>
      </c>
      <c r="C5887">
        <v>50.5</v>
      </c>
      <c r="D5887">
        <v>164</v>
      </c>
      <c r="E5887">
        <f>IF(OR(B5887="vi",B5887="ii",B5887="pod"),(((D5887/100)*(C5887*VLOOKUP(B5887,'Poids des runes'!A:B,2,FALSE)))+1),(((D5887/100)*(C5887*VLOOKUP(B5887,'Poids des runes'!A:B,2,FALSE)))+1)/VLOOKUP(B5887,'Poids des runes'!A:B,2,FALSE))</f>
        <v>83.82</v>
      </c>
      <c r="F5887">
        <f t="shared" si="91"/>
        <v>83.82</v>
      </c>
    </row>
    <row r="5888" spans="1:6" x14ac:dyDescent="0.3">
      <c r="A5888" t="s">
        <v>1177</v>
      </c>
      <c r="B5888" t="s">
        <v>2129</v>
      </c>
      <c r="C5888">
        <v>45.5</v>
      </c>
      <c r="D5888">
        <v>164</v>
      </c>
      <c r="E5888">
        <f>IF(OR(B5888="vi",B5888="ii",B5888="pod"),(((D5888/100)*(C5888*VLOOKUP(B5888,'Poids des runes'!A:B,2,FALSE)))+1),(((D5888/100)*(C5888*VLOOKUP(B5888,'Poids des runes'!A:B,2,FALSE)))+1)/VLOOKUP(B5888,'Poids des runes'!A:B,2,FALSE))</f>
        <v>75.61999999999999</v>
      </c>
      <c r="F5888">
        <f t="shared" si="91"/>
        <v>75.61999999999999</v>
      </c>
    </row>
    <row r="5889" spans="1:6" x14ac:dyDescent="0.3">
      <c r="A5889" t="s">
        <v>1177</v>
      </c>
      <c r="B5889" t="s">
        <v>2152</v>
      </c>
      <c r="C5889">
        <v>1</v>
      </c>
      <c r="D5889">
        <v>164</v>
      </c>
      <c r="E5889">
        <f>IF(OR(B5889="vi",B5889="ii",B5889="pod"),(((D5889/100)*(C5889*VLOOKUP(B5889,'Poids des runes'!A:B,2,FALSE)))+1),(((D5889/100)*(C5889*VLOOKUP(B5889,'Poids des runes'!A:B,2,FALSE)))+1)/VLOOKUP(B5889,'Poids des runes'!A:B,2,FALSE))</f>
        <v>1.65</v>
      </c>
      <c r="F5889">
        <f t="shared" si="91"/>
        <v>1.65</v>
      </c>
    </row>
    <row r="5890" spans="1:6" x14ac:dyDescent="0.3">
      <c r="A5890" t="s">
        <v>1177</v>
      </c>
      <c r="B5890" t="s">
        <v>2143</v>
      </c>
      <c r="C5890">
        <v>6</v>
      </c>
      <c r="D5890">
        <v>164</v>
      </c>
      <c r="E5890">
        <f>IF(OR(B5890="vi",B5890="ii",B5890="pod"),(((D5890/100)*(C5890*VLOOKUP(B5890,'Poids des runes'!A:B,2,FALSE)))+1),(((D5890/100)*(C5890*VLOOKUP(B5890,'Poids des runes'!A:B,2,FALSE)))+1)/VLOOKUP(B5890,'Poids des runes'!A:B,2,FALSE))</f>
        <v>10.039999999999999</v>
      </c>
      <c r="F5890">
        <f t="shared" si="91"/>
        <v>10.039999999999999</v>
      </c>
    </row>
    <row r="5891" spans="1:6" x14ac:dyDescent="0.3">
      <c r="A5891" t="s">
        <v>1177</v>
      </c>
      <c r="B5891" t="s">
        <v>2140</v>
      </c>
      <c r="C5891">
        <v>6</v>
      </c>
      <c r="D5891">
        <v>164</v>
      </c>
      <c r="E5891">
        <f>IF(OR(B5891="vi",B5891="ii",B5891="pod"),(((D5891/100)*(C5891*VLOOKUP(B5891,'Poids des runes'!A:B,2,FALSE)))+1),(((D5891/100)*(C5891*VLOOKUP(B5891,'Poids des runes'!A:B,2,FALSE)))+1)/VLOOKUP(B5891,'Poids des runes'!A:B,2,FALSE))</f>
        <v>10.039999999999999</v>
      </c>
      <c r="F5891">
        <f t="shared" ref="F5891:F5954" si="92">E5891</f>
        <v>10.039999999999999</v>
      </c>
    </row>
    <row r="5892" spans="1:6" x14ac:dyDescent="0.3">
      <c r="A5892" t="s">
        <v>1177</v>
      </c>
      <c r="B5892" t="s">
        <v>2149</v>
      </c>
      <c r="C5892">
        <v>6</v>
      </c>
      <c r="D5892">
        <v>164</v>
      </c>
      <c r="E5892">
        <f>IF(OR(B5892="vi",B5892="ii",B5892="pod"),(((D5892/100)*(C5892*VLOOKUP(B5892,'Poids des runes'!A:B,2,FALSE)))+1),(((D5892/100)*(C5892*VLOOKUP(B5892,'Poids des runes'!A:B,2,FALSE)))+1)/VLOOKUP(B5892,'Poids des runes'!A:B,2,FALSE))</f>
        <v>9.94</v>
      </c>
      <c r="F5892">
        <f t="shared" si="92"/>
        <v>9.94</v>
      </c>
    </row>
    <row r="5893" spans="1:6" x14ac:dyDescent="0.3">
      <c r="A5893" t="s">
        <v>1177</v>
      </c>
      <c r="B5893" t="s">
        <v>2141</v>
      </c>
      <c r="C5893">
        <v>4.5</v>
      </c>
      <c r="D5893">
        <v>164</v>
      </c>
      <c r="E5893">
        <f>IF(OR(B5893="vi",B5893="ii",B5893="pod"),(((D5893/100)*(C5893*VLOOKUP(B5893,'Poids des runes'!A:B,2,FALSE)))+1),(((D5893/100)*(C5893*VLOOKUP(B5893,'Poids des runes'!A:B,2,FALSE)))+1)/VLOOKUP(B5893,'Poids des runes'!A:B,2,FALSE))</f>
        <v>7.63</v>
      </c>
      <c r="F5893">
        <f t="shared" si="92"/>
        <v>7.63</v>
      </c>
    </row>
    <row r="5894" spans="1:6" x14ac:dyDescent="0.3">
      <c r="A5894" t="s">
        <v>1177</v>
      </c>
      <c r="B5894" t="s">
        <v>2164</v>
      </c>
      <c r="C5894">
        <v>8.5</v>
      </c>
      <c r="D5894">
        <v>164</v>
      </c>
      <c r="E5894">
        <f>IF(OR(B5894="vi",B5894="ii",B5894="pod"),(((D5894/100)*(C5894*VLOOKUP(B5894,'Poids des runes'!A:B,2,FALSE)))+1),(((D5894/100)*(C5894*VLOOKUP(B5894,'Poids des runes'!A:B,2,FALSE)))+1)/VLOOKUP(B5894,'Poids des runes'!A:B,2,FALSE))</f>
        <v>14.44</v>
      </c>
      <c r="F5894">
        <f t="shared" si="92"/>
        <v>14.44</v>
      </c>
    </row>
    <row r="5895" spans="1:6" x14ac:dyDescent="0.3">
      <c r="A5895" t="s">
        <v>1177</v>
      </c>
      <c r="B5895" t="s">
        <v>2136</v>
      </c>
      <c r="C5895">
        <v>6</v>
      </c>
      <c r="D5895">
        <v>164</v>
      </c>
      <c r="E5895">
        <f>IF(OR(B5895="vi",B5895="ii",B5895="pod"),(((D5895/100)*(C5895*VLOOKUP(B5895,'Poids des runes'!A:B,2,FALSE)))+1),(((D5895/100)*(C5895*VLOOKUP(B5895,'Poids des runes'!A:B,2,FALSE)))+1)/VLOOKUP(B5895,'Poids des runes'!A:B,2,FALSE))</f>
        <v>10.34</v>
      </c>
      <c r="F5895">
        <f t="shared" si="92"/>
        <v>10.34</v>
      </c>
    </row>
    <row r="5896" spans="1:6" x14ac:dyDescent="0.3">
      <c r="A5896" t="s">
        <v>1177</v>
      </c>
      <c r="B5896" t="s">
        <v>2137</v>
      </c>
      <c r="C5896">
        <v>6</v>
      </c>
      <c r="D5896">
        <v>164</v>
      </c>
      <c r="E5896">
        <f>IF(OR(B5896="vi",B5896="ii",B5896="pod"),(((D5896/100)*(C5896*VLOOKUP(B5896,'Poids des runes'!A:B,2,FALSE)))+1),(((D5896/100)*(C5896*VLOOKUP(B5896,'Poids des runes'!A:B,2,FALSE)))+1)/VLOOKUP(B5896,'Poids des runes'!A:B,2,FALSE))</f>
        <v>10.34</v>
      </c>
      <c r="F5896">
        <f t="shared" si="92"/>
        <v>10.34</v>
      </c>
    </row>
    <row r="5897" spans="1:6" x14ac:dyDescent="0.3">
      <c r="A5897" t="s">
        <v>1177</v>
      </c>
      <c r="B5897" t="s">
        <v>2144</v>
      </c>
      <c r="C5897">
        <v>6</v>
      </c>
      <c r="D5897">
        <v>164</v>
      </c>
      <c r="E5897">
        <f>IF(OR(B5897="vi",B5897="ii",B5897="pod"),(((D5897/100)*(C5897*VLOOKUP(B5897,'Poids des runes'!A:B,2,FALSE)))+1),(((D5897/100)*(C5897*VLOOKUP(B5897,'Poids des runes'!A:B,2,FALSE)))+1)/VLOOKUP(B5897,'Poids des runes'!A:B,2,FALSE))</f>
        <v>10.34</v>
      </c>
      <c r="F5897">
        <f t="shared" si="92"/>
        <v>10.34</v>
      </c>
    </row>
    <row r="5898" spans="1:6" x14ac:dyDescent="0.3">
      <c r="A5898" t="s">
        <v>1178</v>
      </c>
      <c r="B5898" t="s">
        <v>2128</v>
      </c>
      <c r="C5898">
        <v>175.5</v>
      </c>
      <c r="D5898">
        <v>164</v>
      </c>
      <c r="E5898">
        <f>IF(OR(B5898="vi",B5898="ii",B5898="pod"),(((D5898/100)*(C5898*VLOOKUP(B5898,'Poids des runes'!A:B,2,FALSE)))+1),(((D5898/100)*(C5898*VLOOKUP(B5898,'Poids des runes'!A:B,2,FALSE)))+1)/VLOOKUP(B5898,'Poids des runes'!A:B,2,FALSE))</f>
        <v>58.564</v>
      </c>
      <c r="F5898">
        <f t="shared" si="92"/>
        <v>58.564</v>
      </c>
    </row>
    <row r="5899" spans="1:6" x14ac:dyDescent="0.3">
      <c r="A5899" t="s">
        <v>1178</v>
      </c>
      <c r="B5899" t="s">
        <v>2127</v>
      </c>
      <c r="C5899">
        <v>50.5</v>
      </c>
      <c r="D5899">
        <v>164</v>
      </c>
      <c r="E5899">
        <f>IF(OR(B5899="vi",B5899="ii",B5899="pod"),(((D5899/100)*(C5899*VLOOKUP(B5899,'Poids des runes'!A:B,2,FALSE)))+1),(((D5899/100)*(C5899*VLOOKUP(B5899,'Poids des runes'!A:B,2,FALSE)))+1)/VLOOKUP(B5899,'Poids des runes'!A:B,2,FALSE))</f>
        <v>83.82</v>
      </c>
      <c r="F5899">
        <f t="shared" si="92"/>
        <v>83.82</v>
      </c>
    </row>
    <row r="5900" spans="1:6" x14ac:dyDescent="0.3">
      <c r="A5900" t="s">
        <v>1178</v>
      </c>
      <c r="B5900" t="s">
        <v>2129</v>
      </c>
      <c r="C5900">
        <v>30.5</v>
      </c>
      <c r="D5900">
        <v>164</v>
      </c>
      <c r="E5900">
        <f>IF(OR(B5900="vi",B5900="ii",B5900="pod"),(((D5900/100)*(C5900*VLOOKUP(B5900,'Poids des runes'!A:B,2,FALSE)))+1),(((D5900/100)*(C5900*VLOOKUP(B5900,'Poids des runes'!A:B,2,FALSE)))+1)/VLOOKUP(B5900,'Poids des runes'!A:B,2,FALSE))</f>
        <v>51.019999999999996</v>
      </c>
      <c r="F5900">
        <f t="shared" si="92"/>
        <v>51.019999999999996</v>
      </c>
    </row>
    <row r="5901" spans="1:6" x14ac:dyDescent="0.3">
      <c r="A5901" t="s">
        <v>1178</v>
      </c>
      <c r="B5901" t="s">
        <v>2139</v>
      </c>
      <c r="C5901">
        <v>18</v>
      </c>
      <c r="D5901">
        <v>164</v>
      </c>
      <c r="E5901">
        <f>IF(OR(B5901="vi",B5901="ii",B5901="pod"),(((D5901/100)*(C5901*VLOOKUP(B5901,'Poids des runes'!A:B,2,FALSE)))+1),(((D5901/100)*(C5901*VLOOKUP(B5901,'Poids des runes'!A:B,2,FALSE)))+1)/VLOOKUP(B5901,'Poids des runes'!A:B,2,FALSE))</f>
        <v>30.02</v>
      </c>
      <c r="F5901">
        <f t="shared" si="92"/>
        <v>30.02</v>
      </c>
    </row>
    <row r="5902" spans="1:6" x14ac:dyDescent="0.3">
      <c r="A5902" t="s">
        <v>1178</v>
      </c>
      <c r="B5902" t="s">
        <v>2151</v>
      </c>
      <c r="C5902">
        <v>4</v>
      </c>
      <c r="D5902">
        <v>164</v>
      </c>
      <c r="E5902">
        <f>IF(OR(B5902="vi",B5902="ii",B5902="pod"),(((D5902/100)*(C5902*VLOOKUP(B5902,'Poids des runes'!A:B,2,FALSE)))+1),(((D5902/100)*(C5902*VLOOKUP(B5902,'Poids des runes'!A:B,2,FALSE)))+1)/VLOOKUP(B5902,'Poids des runes'!A:B,2,FALSE))</f>
        <v>6.6599999999999993</v>
      </c>
      <c r="F5902">
        <f t="shared" si="92"/>
        <v>6.6599999999999993</v>
      </c>
    </row>
    <row r="5903" spans="1:6" x14ac:dyDescent="0.3">
      <c r="A5903" t="s">
        <v>1178</v>
      </c>
      <c r="B5903" t="s">
        <v>2155</v>
      </c>
      <c r="C5903">
        <v>1</v>
      </c>
      <c r="D5903">
        <v>164</v>
      </c>
      <c r="E5903">
        <f>IF(OR(B5903="vi",B5903="ii",B5903="pod"),(((D5903/100)*(C5903*VLOOKUP(B5903,'Poids des runes'!A:B,2,FALSE)))+1),(((D5903/100)*(C5903*VLOOKUP(B5903,'Poids des runes'!A:B,2,FALSE)))+1)/VLOOKUP(B5903,'Poids des runes'!A:B,2,FALSE))</f>
        <v>1.659607843137255</v>
      </c>
      <c r="F5903">
        <f t="shared" si="92"/>
        <v>1.659607843137255</v>
      </c>
    </row>
    <row r="5904" spans="1:6" x14ac:dyDescent="0.3">
      <c r="A5904" t="s">
        <v>1178</v>
      </c>
      <c r="B5904" t="s">
        <v>2153</v>
      </c>
      <c r="C5904">
        <v>8.5</v>
      </c>
      <c r="D5904">
        <v>164</v>
      </c>
      <c r="E5904">
        <f>IF(OR(B5904="vi",B5904="ii",B5904="pod"),(((D5904/100)*(C5904*VLOOKUP(B5904,'Poids des runes'!A:B,2,FALSE)))+1),(((D5904/100)*(C5904*VLOOKUP(B5904,'Poids des runes'!A:B,2,FALSE)))+1)/VLOOKUP(B5904,'Poids des runes'!A:B,2,FALSE))</f>
        <v>14.14</v>
      </c>
      <c r="F5904">
        <f t="shared" si="92"/>
        <v>14.14</v>
      </c>
    </row>
    <row r="5905" spans="1:6" x14ac:dyDescent="0.3">
      <c r="A5905" t="s">
        <v>1178</v>
      </c>
      <c r="B5905" t="s">
        <v>2132</v>
      </c>
      <c r="C5905">
        <v>175.5</v>
      </c>
      <c r="D5905">
        <v>164</v>
      </c>
      <c r="E5905">
        <f>IF(OR(B5905="vi",B5905="ii",B5905="pod"),(((D5905/100)*(C5905*VLOOKUP(B5905,'Poids des runes'!A:B,2,FALSE)))+1),(((D5905/100)*(C5905*VLOOKUP(B5905,'Poids des runes'!A:B,2,FALSE)))+1)/VLOOKUP(B5905,'Poids des runes'!A:B,2,FALSE))</f>
        <v>29.782</v>
      </c>
      <c r="F5905">
        <f t="shared" si="92"/>
        <v>29.782</v>
      </c>
    </row>
    <row r="5906" spans="1:6" x14ac:dyDescent="0.3">
      <c r="A5906" t="s">
        <v>1178</v>
      </c>
      <c r="B5906" t="s">
        <v>2141</v>
      </c>
      <c r="C5906">
        <v>5</v>
      </c>
      <c r="D5906">
        <v>164</v>
      </c>
      <c r="E5906">
        <f>IF(OR(B5906="vi",B5906="ii",B5906="pod"),(((D5906/100)*(C5906*VLOOKUP(B5906,'Poids des runes'!A:B,2,FALSE)))+1),(((D5906/100)*(C5906*VLOOKUP(B5906,'Poids des runes'!A:B,2,FALSE)))+1)/VLOOKUP(B5906,'Poids des runes'!A:B,2,FALSE))</f>
        <v>8.4499999999999993</v>
      </c>
      <c r="F5906">
        <f t="shared" si="92"/>
        <v>8.4499999999999993</v>
      </c>
    </row>
    <row r="5907" spans="1:6" x14ac:dyDescent="0.3">
      <c r="A5907" t="s">
        <v>1178</v>
      </c>
      <c r="B5907" t="s">
        <v>2164</v>
      </c>
      <c r="C5907">
        <v>13</v>
      </c>
      <c r="D5907">
        <v>164</v>
      </c>
      <c r="E5907">
        <f>IF(OR(B5907="vi",B5907="ii",B5907="pod"),(((D5907/100)*(C5907*VLOOKUP(B5907,'Poids des runes'!A:B,2,FALSE)))+1),(((D5907/100)*(C5907*VLOOKUP(B5907,'Poids des runes'!A:B,2,FALSE)))+1)/VLOOKUP(B5907,'Poids des runes'!A:B,2,FALSE))</f>
        <v>21.82</v>
      </c>
      <c r="F5907">
        <f t="shared" si="92"/>
        <v>21.82</v>
      </c>
    </row>
    <row r="5908" spans="1:6" x14ac:dyDescent="0.3">
      <c r="A5908" t="s">
        <v>1178</v>
      </c>
      <c r="B5908" t="s">
        <v>2147</v>
      </c>
      <c r="C5908">
        <v>6</v>
      </c>
      <c r="D5908">
        <v>164</v>
      </c>
      <c r="E5908">
        <f>IF(OR(B5908="vi",B5908="ii",B5908="pod"),(((D5908/100)*(C5908*VLOOKUP(B5908,'Poids des runes'!A:B,2,FALSE)))+1),(((D5908/100)*(C5908*VLOOKUP(B5908,'Poids des runes'!A:B,2,FALSE)))+1)/VLOOKUP(B5908,'Poids des runes'!A:B,2,FALSE))</f>
        <v>10.006666666666666</v>
      </c>
      <c r="F5908">
        <f t="shared" si="92"/>
        <v>10.006666666666666</v>
      </c>
    </row>
    <row r="5909" spans="1:6" x14ac:dyDescent="0.3">
      <c r="A5909" t="s">
        <v>1178</v>
      </c>
      <c r="B5909" t="s">
        <v>2135</v>
      </c>
      <c r="C5909">
        <v>6</v>
      </c>
      <c r="D5909">
        <v>164</v>
      </c>
      <c r="E5909">
        <f>IF(OR(B5909="vi",B5909="ii",B5909="pod"),(((D5909/100)*(C5909*VLOOKUP(B5909,'Poids des runes'!A:B,2,FALSE)))+1),(((D5909/100)*(C5909*VLOOKUP(B5909,'Poids des runes'!A:B,2,FALSE)))+1)/VLOOKUP(B5909,'Poids des runes'!A:B,2,FALSE))</f>
        <v>10.006666666666666</v>
      </c>
      <c r="F5909">
        <f t="shared" si="92"/>
        <v>10.006666666666666</v>
      </c>
    </row>
    <row r="5910" spans="1:6" x14ac:dyDescent="0.3">
      <c r="A5910" t="s">
        <v>1178</v>
      </c>
      <c r="B5910" t="s">
        <v>2145</v>
      </c>
      <c r="C5910">
        <v>6.5</v>
      </c>
      <c r="D5910">
        <v>164</v>
      </c>
      <c r="E5910">
        <f>IF(OR(B5910="vi",B5910="ii",B5910="pod"),(((D5910/100)*(C5910*VLOOKUP(B5910,'Poids des runes'!A:B,2,FALSE)))+1),(((D5910/100)*(C5910*VLOOKUP(B5910,'Poids des runes'!A:B,2,FALSE)))+1)/VLOOKUP(B5910,'Poids des runes'!A:B,2,FALSE))</f>
        <v>11.16</v>
      </c>
      <c r="F5910">
        <f t="shared" si="92"/>
        <v>11.16</v>
      </c>
    </row>
    <row r="5911" spans="1:6" x14ac:dyDescent="0.3">
      <c r="A5911" t="s">
        <v>1179</v>
      </c>
      <c r="B5911" t="s">
        <v>2128</v>
      </c>
      <c r="C5911">
        <v>225.5</v>
      </c>
      <c r="D5911">
        <v>164</v>
      </c>
      <c r="E5911">
        <f>IF(OR(B5911="vi",B5911="ii",B5911="pod"),(((D5911/100)*(C5911*VLOOKUP(B5911,'Poids des runes'!A:B,2,FALSE)))+1),(((D5911/100)*(C5911*VLOOKUP(B5911,'Poids des runes'!A:B,2,FALSE)))+1)/VLOOKUP(B5911,'Poids des runes'!A:B,2,FALSE))</f>
        <v>74.963999999999999</v>
      </c>
      <c r="F5911">
        <f t="shared" si="92"/>
        <v>74.963999999999999</v>
      </c>
    </row>
    <row r="5912" spans="1:6" x14ac:dyDescent="0.3">
      <c r="A5912" t="s">
        <v>1179</v>
      </c>
      <c r="B5912" t="s">
        <v>2130</v>
      </c>
      <c r="C5912">
        <v>50.5</v>
      </c>
      <c r="D5912">
        <v>164</v>
      </c>
      <c r="E5912">
        <f>IF(OR(B5912="vi",B5912="ii",B5912="pod"),(((D5912/100)*(C5912*VLOOKUP(B5912,'Poids des runes'!A:B,2,FALSE)))+1),(((D5912/100)*(C5912*VLOOKUP(B5912,'Poids des runes'!A:B,2,FALSE)))+1)/VLOOKUP(B5912,'Poids des runes'!A:B,2,FALSE))</f>
        <v>83.82</v>
      </c>
      <c r="F5912">
        <f t="shared" si="92"/>
        <v>83.82</v>
      </c>
    </row>
    <row r="5913" spans="1:6" x14ac:dyDescent="0.3">
      <c r="A5913" t="s">
        <v>1179</v>
      </c>
      <c r="B5913" t="s">
        <v>2129</v>
      </c>
      <c r="C5913">
        <v>35.5</v>
      </c>
      <c r="D5913">
        <v>164</v>
      </c>
      <c r="E5913">
        <f>IF(OR(B5913="vi",B5913="ii",B5913="pod"),(((D5913/100)*(C5913*VLOOKUP(B5913,'Poids des runes'!A:B,2,FALSE)))+1),(((D5913/100)*(C5913*VLOOKUP(B5913,'Poids des runes'!A:B,2,FALSE)))+1)/VLOOKUP(B5913,'Poids des runes'!A:B,2,FALSE))</f>
        <v>59.22</v>
      </c>
      <c r="F5913">
        <f t="shared" si="92"/>
        <v>59.22</v>
      </c>
    </row>
    <row r="5914" spans="1:6" x14ac:dyDescent="0.3">
      <c r="A5914" t="s">
        <v>1179</v>
      </c>
      <c r="B5914" t="s">
        <v>2151</v>
      </c>
      <c r="C5914">
        <v>2.5</v>
      </c>
      <c r="D5914">
        <v>164</v>
      </c>
      <c r="E5914">
        <f>IF(OR(B5914="vi",B5914="ii",B5914="pod"),(((D5914/100)*(C5914*VLOOKUP(B5914,'Poids des runes'!A:B,2,FALSE)))+1),(((D5914/100)*(C5914*VLOOKUP(B5914,'Poids des runes'!A:B,2,FALSE)))+1)/VLOOKUP(B5914,'Poids des runes'!A:B,2,FALSE))</f>
        <v>4.2</v>
      </c>
      <c r="F5914">
        <f t="shared" si="92"/>
        <v>4.2</v>
      </c>
    </row>
    <row r="5915" spans="1:6" x14ac:dyDescent="0.3">
      <c r="A5915" t="s">
        <v>1179</v>
      </c>
      <c r="B5915" t="s">
        <v>2155</v>
      </c>
      <c r="C5915">
        <v>1</v>
      </c>
      <c r="D5915">
        <v>164</v>
      </c>
      <c r="E5915">
        <f>IF(OR(B5915="vi",B5915="ii",B5915="pod"),(((D5915/100)*(C5915*VLOOKUP(B5915,'Poids des runes'!A:B,2,FALSE)))+1),(((D5915/100)*(C5915*VLOOKUP(B5915,'Poids des runes'!A:B,2,FALSE)))+1)/VLOOKUP(B5915,'Poids des runes'!A:B,2,FALSE))</f>
        <v>1.659607843137255</v>
      </c>
      <c r="F5915">
        <f t="shared" si="92"/>
        <v>1.659607843137255</v>
      </c>
    </row>
    <row r="5916" spans="1:6" x14ac:dyDescent="0.3">
      <c r="A5916" t="s">
        <v>1179</v>
      </c>
      <c r="B5916" t="s">
        <v>2143</v>
      </c>
      <c r="C5916">
        <v>6</v>
      </c>
      <c r="D5916">
        <v>164</v>
      </c>
      <c r="E5916">
        <f>IF(OR(B5916="vi",B5916="ii",B5916="pod"),(((D5916/100)*(C5916*VLOOKUP(B5916,'Poids des runes'!A:B,2,FALSE)))+1),(((D5916/100)*(C5916*VLOOKUP(B5916,'Poids des runes'!A:B,2,FALSE)))+1)/VLOOKUP(B5916,'Poids des runes'!A:B,2,FALSE))</f>
        <v>10.039999999999999</v>
      </c>
      <c r="F5916">
        <f t="shared" si="92"/>
        <v>10.039999999999999</v>
      </c>
    </row>
    <row r="5917" spans="1:6" x14ac:dyDescent="0.3">
      <c r="A5917" t="s">
        <v>1179</v>
      </c>
      <c r="B5917" t="s">
        <v>2138</v>
      </c>
      <c r="C5917">
        <v>6.5</v>
      </c>
      <c r="D5917">
        <v>164</v>
      </c>
      <c r="E5917">
        <f>IF(OR(B5917="vi",B5917="ii",B5917="pod"),(((D5917/100)*(C5917*VLOOKUP(B5917,'Poids des runes'!A:B,2,FALSE)))+1),(((D5917/100)*(C5917*VLOOKUP(B5917,'Poids des runes'!A:B,2,FALSE)))+1)/VLOOKUP(B5917,'Poids des runes'!A:B,2,FALSE))</f>
        <v>10.91</v>
      </c>
      <c r="F5917">
        <f t="shared" si="92"/>
        <v>10.91</v>
      </c>
    </row>
    <row r="5918" spans="1:6" x14ac:dyDescent="0.3">
      <c r="A5918" t="s">
        <v>1179</v>
      </c>
      <c r="B5918" t="s">
        <v>2165</v>
      </c>
      <c r="C5918">
        <v>5</v>
      </c>
      <c r="D5918">
        <v>164</v>
      </c>
      <c r="E5918">
        <f>IF(OR(B5918="vi",B5918="ii",B5918="pod"),(((D5918/100)*(C5918*VLOOKUP(B5918,'Poids des runes'!A:B,2,FALSE)))+1),(((D5918/100)*(C5918*VLOOKUP(B5918,'Poids des runes'!A:B,2,FALSE)))+1)/VLOOKUP(B5918,'Poids des runes'!A:B,2,FALSE))</f>
        <v>8.3428571428571434</v>
      </c>
      <c r="F5918">
        <f t="shared" si="92"/>
        <v>8.3428571428571434</v>
      </c>
    </row>
    <row r="5919" spans="1:6" x14ac:dyDescent="0.3">
      <c r="A5919" t="s">
        <v>1179</v>
      </c>
      <c r="B5919" t="s">
        <v>2142</v>
      </c>
      <c r="C5919">
        <v>5</v>
      </c>
      <c r="D5919">
        <v>164</v>
      </c>
      <c r="E5919">
        <f>IF(OR(B5919="vi",B5919="ii",B5919="pod"),(((D5919/100)*(C5919*VLOOKUP(B5919,'Poids des runes'!A:B,2,FALSE)))+1),(((D5919/100)*(C5919*VLOOKUP(B5919,'Poids des runes'!A:B,2,FALSE)))+1)/VLOOKUP(B5919,'Poids des runes'!A:B,2,FALSE))</f>
        <v>8.4</v>
      </c>
      <c r="F5919">
        <f t="shared" si="92"/>
        <v>8.4</v>
      </c>
    </row>
    <row r="5920" spans="1:6" x14ac:dyDescent="0.3">
      <c r="A5920" t="s">
        <v>1179</v>
      </c>
      <c r="B5920" t="s">
        <v>2147</v>
      </c>
      <c r="C5920">
        <v>3.5</v>
      </c>
      <c r="D5920">
        <v>164</v>
      </c>
      <c r="E5920">
        <f>IF(OR(B5920="vi",B5920="ii",B5920="pod"),(((D5920/100)*(C5920*VLOOKUP(B5920,'Poids des runes'!A:B,2,FALSE)))+1),(((D5920/100)*(C5920*VLOOKUP(B5920,'Poids des runes'!A:B,2,FALSE)))+1)/VLOOKUP(B5920,'Poids des runes'!A:B,2,FALSE))</f>
        <v>5.9066666666666663</v>
      </c>
      <c r="F5920">
        <f t="shared" si="92"/>
        <v>5.9066666666666663</v>
      </c>
    </row>
    <row r="5921" spans="1:6" x14ac:dyDescent="0.3">
      <c r="A5921" t="s">
        <v>1179</v>
      </c>
      <c r="B5921" t="s">
        <v>2157</v>
      </c>
      <c r="C5921">
        <v>6</v>
      </c>
      <c r="D5921">
        <v>164</v>
      </c>
      <c r="E5921">
        <f>IF(OR(B5921="vi",B5921="ii",B5921="pod"),(((D5921/100)*(C5921*VLOOKUP(B5921,'Poids des runes'!A:B,2,FALSE)))+1),(((D5921/100)*(C5921*VLOOKUP(B5921,'Poids des runes'!A:B,2,FALSE)))+1)/VLOOKUP(B5921,'Poids des runes'!A:B,2,FALSE))</f>
        <v>10.006666666666666</v>
      </c>
      <c r="F5921">
        <f t="shared" si="92"/>
        <v>10.006666666666666</v>
      </c>
    </row>
    <row r="5922" spans="1:6" x14ac:dyDescent="0.3">
      <c r="A5922" t="s">
        <v>1179</v>
      </c>
      <c r="B5922" t="s">
        <v>2146</v>
      </c>
      <c r="C5922">
        <v>8</v>
      </c>
      <c r="D5922">
        <v>164</v>
      </c>
      <c r="E5922">
        <f>IF(OR(B5922="vi",B5922="ii",B5922="pod"),(((D5922/100)*(C5922*VLOOKUP(B5922,'Poids des runes'!A:B,2,FALSE)))+1),(((D5922/100)*(C5922*VLOOKUP(B5922,'Poids des runes'!A:B,2,FALSE)))+1)/VLOOKUP(B5922,'Poids des runes'!A:B,2,FALSE))</f>
        <v>13.62</v>
      </c>
      <c r="F5922">
        <f t="shared" si="92"/>
        <v>13.62</v>
      </c>
    </row>
    <row r="5923" spans="1:6" x14ac:dyDescent="0.3">
      <c r="A5923" t="s">
        <v>1180</v>
      </c>
      <c r="B5923" t="s">
        <v>2128</v>
      </c>
      <c r="C5923">
        <v>175.5</v>
      </c>
      <c r="D5923">
        <v>164</v>
      </c>
      <c r="E5923">
        <f>IF(OR(B5923="vi",B5923="ii",B5923="pod"),(((D5923/100)*(C5923*VLOOKUP(B5923,'Poids des runes'!A:B,2,FALSE)))+1),(((D5923/100)*(C5923*VLOOKUP(B5923,'Poids des runes'!A:B,2,FALSE)))+1)/VLOOKUP(B5923,'Poids des runes'!A:B,2,FALSE))</f>
        <v>58.564</v>
      </c>
      <c r="F5923">
        <f t="shared" si="92"/>
        <v>58.564</v>
      </c>
    </row>
    <row r="5924" spans="1:6" x14ac:dyDescent="0.3">
      <c r="A5924" t="s">
        <v>1180</v>
      </c>
      <c r="B5924" t="s">
        <v>2126</v>
      </c>
      <c r="C5924">
        <v>40.5</v>
      </c>
      <c r="D5924">
        <v>164</v>
      </c>
      <c r="E5924">
        <f>IF(OR(B5924="vi",B5924="ii",B5924="pod"),(((D5924/100)*(C5924*VLOOKUP(B5924,'Poids des runes'!A:B,2,FALSE)))+1),(((D5924/100)*(C5924*VLOOKUP(B5924,'Poids des runes'!A:B,2,FALSE)))+1)/VLOOKUP(B5924,'Poids des runes'!A:B,2,FALSE))</f>
        <v>67.42</v>
      </c>
      <c r="F5924">
        <f t="shared" si="92"/>
        <v>67.42</v>
      </c>
    </row>
    <row r="5925" spans="1:6" x14ac:dyDescent="0.3">
      <c r="A5925" t="s">
        <v>1180</v>
      </c>
      <c r="B5925" t="s">
        <v>2127</v>
      </c>
      <c r="C5925">
        <v>40.5</v>
      </c>
      <c r="D5925">
        <v>164</v>
      </c>
      <c r="E5925">
        <f>IF(OR(B5925="vi",B5925="ii",B5925="pod"),(((D5925/100)*(C5925*VLOOKUP(B5925,'Poids des runes'!A:B,2,FALSE)))+1),(((D5925/100)*(C5925*VLOOKUP(B5925,'Poids des runes'!A:B,2,FALSE)))+1)/VLOOKUP(B5925,'Poids des runes'!A:B,2,FALSE))</f>
        <v>67.42</v>
      </c>
      <c r="F5925">
        <f t="shared" si="92"/>
        <v>67.42</v>
      </c>
    </row>
    <row r="5926" spans="1:6" x14ac:dyDescent="0.3">
      <c r="A5926" t="s">
        <v>1180</v>
      </c>
      <c r="B5926" t="s">
        <v>2129</v>
      </c>
      <c r="C5926">
        <v>20.5</v>
      </c>
      <c r="D5926">
        <v>164</v>
      </c>
      <c r="E5926">
        <f>IF(OR(B5926="vi",B5926="ii",B5926="pod"),(((D5926/100)*(C5926*VLOOKUP(B5926,'Poids des runes'!A:B,2,FALSE)))+1),(((D5926/100)*(C5926*VLOOKUP(B5926,'Poids des runes'!A:B,2,FALSE)))+1)/VLOOKUP(B5926,'Poids des runes'!A:B,2,FALSE))</f>
        <v>34.619999999999997</v>
      </c>
      <c r="F5926">
        <f t="shared" si="92"/>
        <v>34.619999999999997</v>
      </c>
    </row>
    <row r="5927" spans="1:6" x14ac:dyDescent="0.3">
      <c r="A5927" t="s">
        <v>1180</v>
      </c>
      <c r="B5927" t="s">
        <v>2151</v>
      </c>
      <c r="C5927">
        <v>2.5</v>
      </c>
      <c r="D5927">
        <v>164</v>
      </c>
      <c r="E5927">
        <f>IF(OR(B5927="vi",B5927="ii",B5927="pod"),(((D5927/100)*(C5927*VLOOKUP(B5927,'Poids des runes'!A:B,2,FALSE)))+1),(((D5927/100)*(C5927*VLOOKUP(B5927,'Poids des runes'!A:B,2,FALSE)))+1)/VLOOKUP(B5927,'Poids des runes'!A:B,2,FALSE))</f>
        <v>4.2</v>
      </c>
      <c r="F5927">
        <f t="shared" si="92"/>
        <v>4.2</v>
      </c>
    </row>
    <row r="5928" spans="1:6" x14ac:dyDescent="0.3">
      <c r="A5928" t="s">
        <v>1180</v>
      </c>
      <c r="B5928" t="s">
        <v>2152</v>
      </c>
      <c r="C5928">
        <v>1</v>
      </c>
      <c r="D5928">
        <v>164</v>
      </c>
      <c r="E5928">
        <f>IF(OR(B5928="vi",B5928="ii",B5928="pod"),(((D5928/100)*(C5928*VLOOKUP(B5928,'Poids des runes'!A:B,2,FALSE)))+1),(((D5928/100)*(C5928*VLOOKUP(B5928,'Poids des runes'!A:B,2,FALSE)))+1)/VLOOKUP(B5928,'Poids des runes'!A:B,2,FALSE))</f>
        <v>1.65</v>
      </c>
      <c r="F5928">
        <f t="shared" si="92"/>
        <v>1.65</v>
      </c>
    </row>
    <row r="5929" spans="1:6" x14ac:dyDescent="0.3">
      <c r="A5929" t="s">
        <v>1180</v>
      </c>
      <c r="B5929" t="s">
        <v>2140</v>
      </c>
      <c r="C5929">
        <v>8.5</v>
      </c>
      <c r="D5929">
        <v>164</v>
      </c>
      <c r="E5929">
        <f>IF(OR(B5929="vi",B5929="ii",B5929="pod"),(((D5929/100)*(C5929*VLOOKUP(B5929,'Poids des runes'!A:B,2,FALSE)))+1),(((D5929/100)*(C5929*VLOOKUP(B5929,'Poids des runes'!A:B,2,FALSE)))+1)/VLOOKUP(B5929,'Poids des runes'!A:B,2,FALSE))</f>
        <v>14.14</v>
      </c>
      <c r="F5929">
        <f t="shared" si="92"/>
        <v>14.14</v>
      </c>
    </row>
    <row r="5930" spans="1:6" x14ac:dyDescent="0.3">
      <c r="A5930" t="s">
        <v>1180</v>
      </c>
      <c r="B5930" t="s">
        <v>2153</v>
      </c>
      <c r="C5930">
        <v>8.5</v>
      </c>
      <c r="D5930">
        <v>164</v>
      </c>
      <c r="E5930">
        <f>IF(OR(B5930="vi",B5930="ii",B5930="pod"),(((D5930/100)*(C5930*VLOOKUP(B5930,'Poids des runes'!A:B,2,FALSE)))+1),(((D5930/100)*(C5930*VLOOKUP(B5930,'Poids des runes'!A:B,2,FALSE)))+1)/VLOOKUP(B5930,'Poids des runes'!A:B,2,FALSE))</f>
        <v>14.14</v>
      </c>
      <c r="F5930">
        <f t="shared" si="92"/>
        <v>14.14</v>
      </c>
    </row>
    <row r="5931" spans="1:6" x14ac:dyDescent="0.3">
      <c r="A5931" t="s">
        <v>1180</v>
      </c>
      <c r="B5931" t="s">
        <v>2165</v>
      </c>
      <c r="C5931">
        <v>4.5</v>
      </c>
      <c r="D5931">
        <v>164</v>
      </c>
      <c r="E5931">
        <f>IF(OR(B5931="vi",B5931="ii",B5931="pod"),(((D5931/100)*(C5931*VLOOKUP(B5931,'Poids des runes'!A:B,2,FALSE)))+1),(((D5931/100)*(C5931*VLOOKUP(B5931,'Poids des runes'!A:B,2,FALSE)))+1)/VLOOKUP(B5931,'Poids des runes'!A:B,2,FALSE))</f>
        <v>7.5228571428571422</v>
      </c>
      <c r="F5931">
        <f t="shared" si="92"/>
        <v>7.5228571428571422</v>
      </c>
    </row>
    <row r="5932" spans="1:6" x14ac:dyDescent="0.3">
      <c r="A5932" t="s">
        <v>1180</v>
      </c>
      <c r="B5932" t="s">
        <v>2142</v>
      </c>
      <c r="C5932">
        <v>10.5</v>
      </c>
      <c r="D5932">
        <v>164</v>
      </c>
      <c r="E5932">
        <f>IF(OR(B5932="vi",B5932="ii",B5932="pod"),(((D5932/100)*(C5932*VLOOKUP(B5932,'Poids des runes'!A:B,2,FALSE)))+1),(((D5932/100)*(C5932*VLOOKUP(B5932,'Poids des runes'!A:B,2,FALSE)))+1)/VLOOKUP(B5932,'Poids des runes'!A:B,2,FALSE))</f>
        <v>17.419999999999998</v>
      </c>
      <c r="F5932">
        <f t="shared" si="92"/>
        <v>17.419999999999998</v>
      </c>
    </row>
    <row r="5933" spans="1:6" x14ac:dyDescent="0.3">
      <c r="A5933" t="s">
        <v>1180</v>
      </c>
      <c r="B5933" t="s">
        <v>2135</v>
      </c>
      <c r="C5933">
        <v>6</v>
      </c>
      <c r="D5933">
        <v>164</v>
      </c>
      <c r="E5933">
        <f>IF(OR(B5933="vi",B5933="ii",B5933="pod"),(((D5933/100)*(C5933*VLOOKUP(B5933,'Poids des runes'!A:B,2,FALSE)))+1),(((D5933/100)*(C5933*VLOOKUP(B5933,'Poids des runes'!A:B,2,FALSE)))+1)/VLOOKUP(B5933,'Poids des runes'!A:B,2,FALSE))</f>
        <v>10.006666666666666</v>
      </c>
      <c r="F5933">
        <f t="shared" si="92"/>
        <v>10.006666666666666</v>
      </c>
    </row>
    <row r="5934" spans="1:6" x14ac:dyDescent="0.3">
      <c r="A5934" t="s">
        <v>1181</v>
      </c>
      <c r="B5934" t="s">
        <v>2128</v>
      </c>
      <c r="C5934">
        <v>225.5</v>
      </c>
      <c r="D5934">
        <v>166</v>
      </c>
      <c r="E5934">
        <f>IF(OR(B5934="vi",B5934="ii",B5934="pod"),(((D5934/100)*(C5934*VLOOKUP(B5934,'Poids des runes'!A:B,2,FALSE)))+1),(((D5934/100)*(C5934*VLOOKUP(B5934,'Poids des runes'!A:B,2,FALSE)))+1)/VLOOKUP(B5934,'Poids des runes'!A:B,2,FALSE))</f>
        <v>75.866</v>
      </c>
      <c r="F5934">
        <f t="shared" si="92"/>
        <v>75.866</v>
      </c>
    </row>
    <row r="5935" spans="1:6" x14ac:dyDescent="0.3">
      <c r="A5935" t="s">
        <v>1181</v>
      </c>
      <c r="B5935" t="s">
        <v>2130</v>
      </c>
      <c r="C5935">
        <v>35.5</v>
      </c>
      <c r="D5935">
        <v>166</v>
      </c>
      <c r="E5935">
        <f>IF(OR(B5935="vi",B5935="ii",B5935="pod"),(((D5935/100)*(C5935*VLOOKUP(B5935,'Poids des runes'!A:B,2,FALSE)))+1),(((D5935/100)*(C5935*VLOOKUP(B5935,'Poids des runes'!A:B,2,FALSE)))+1)/VLOOKUP(B5935,'Poids des runes'!A:B,2,FALSE))</f>
        <v>59.93</v>
      </c>
      <c r="F5935">
        <f t="shared" si="92"/>
        <v>59.93</v>
      </c>
    </row>
    <row r="5936" spans="1:6" x14ac:dyDescent="0.3">
      <c r="A5936" t="s">
        <v>1181</v>
      </c>
      <c r="B5936" t="s">
        <v>2129</v>
      </c>
      <c r="C5936">
        <v>35.5</v>
      </c>
      <c r="D5936">
        <v>166</v>
      </c>
      <c r="E5936">
        <f>IF(OR(B5936="vi",B5936="ii",B5936="pod"),(((D5936/100)*(C5936*VLOOKUP(B5936,'Poids des runes'!A:B,2,FALSE)))+1),(((D5936/100)*(C5936*VLOOKUP(B5936,'Poids des runes'!A:B,2,FALSE)))+1)/VLOOKUP(B5936,'Poids des runes'!A:B,2,FALSE))</f>
        <v>59.93</v>
      </c>
      <c r="F5936">
        <f t="shared" si="92"/>
        <v>59.93</v>
      </c>
    </row>
    <row r="5937" spans="1:6" x14ac:dyDescent="0.3">
      <c r="A5937" t="s">
        <v>1181</v>
      </c>
      <c r="B5937" t="s">
        <v>2139</v>
      </c>
      <c r="C5937">
        <v>18</v>
      </c>
      <c r="D5937">
        <v>166</v>
      </c>
      <c r="E5937">
        <f>IF(OR(B5937="vi",B5937="ii",B5937="pod"),(((D5937/100)*(C5937*VLOOKUP(B5937,'Poids des runes'!A:B,2,FALSE)))+1),(((D5937/100)*(C5937*VLOOKUP(B5937,'Poids des runes'!A:B,2,FALSE)))+1)/VLOOKUP(B5937,'Poids des runes'!A:B,2,FALSE))</f>
        <v>30.38</v>
      </c>
      <c r="F5937">
        <f t="shared" si="92"/>
        <v>30.38</v>
      </c>
    </row>
    <row r="5938" spans="1:6" x14ac:dyDescent="0.3">
      <c r="A5938" t="s">
        <v>1181</v>
      </c>
      <c r="B5938" t="s">
        <v>2151</v>
      </c>
      <c r="C5938">
        <v>4.5</v>
      </c>
      <c r="D5938">
        <v>166</v>
      </c>
      <c r="E5938">
        <f>IF(OR(B5938="vi",B5938="ii",B5938="pod"),(((D5938/100)*(C5938*VLOOKUP(B5938,'Poids des runes'!A:B,2,FALSE)))+1),(((D5938/100)*(C5938*VLOOKUP(B5938,'Poids des runes'!A:B,2,FALSE)))+1)/VLOOKUP(B5938,'Poids des runes'!A:B,2,FALSE))</f>
        <v>7.57</v>
      </c>
      <c r="F5938">
        <f t="shared" si="92"/>
        <v>7.57</v>
      </c>
    </row>
    <row r="5939" spans="1:6" x14ac:dyDescent="0.3">
      <c r="A5939" t="s">
        <v>1181</v>
      </c>
      <c r="B5939" t="s">
        <v>2143</v>
      </c>
      <c r="C5939">
        <v>8.5</v>
      </c>
      <c r="D5939">
        <v>166</v>
      </c>
      <c r="E5939">
        <f>IF(OR(B5939="vi",B5939="ii",B5939="pod"),(((D5939/100)*(C5939*VLOOKUP(B5939,'Poids des runes'!A:B,2,FALSE)))+1),(((D5939/100)*(C5939*VLOOKUP(B5939,'Poids des runes'!A:B,2,FALSE)))+1)/VLOOKUP(B5939,'Poids des runes'!A:B,2,FALSE))</f>
        <v>14.309999999999999</v>
      </c>
      <c r="F5939">
        <f t="shared" si="92"/>
        <v>14.309999999999999</v>
      </c>
    </row>
    <row r="5940" spans="1:6" x14ac:dyDescent="0.3">
      <c r="A5940" t="s">
        <v>1181</v>
      </c>
      <c r="B5940" t="s">
        <v>2140</v>
      </c>
      <c r="C5940">
        <v>10</v>
      </c>
      <c r="D5940">
        <v>166</v>
      </c>
      <c r="E5940">
        <f>IF(OR(B5940="vi",B5940="ii",B5940="pod"),(((D5940/100)*(C5940*VLOOKUP(B5940,'Poids des runes'!A:B,2,FALSE)))+1),(((D5940/100)*(C5940*VLOOKUP(B5940,'Poids des runes'!A:B,2,FALSE)))+1)/VLOOKUP(B5940,'Poids des runes'!A:B,2,FALSE))</f>
        <v>16.8</v>
      </c>
      <c r="F5940">
        <f t="shared" si="92"/>
        <v>16.8</v>
      </c>
    </row>
    <row r="5941" spans="1:6" x14ac:dyDescent="0.3">
      <c r="A5941" t="s">
        <v>1181</v>
      </c>
      <c r="B5941" t="s">
        <v>2149</v>
      </c>
      <c r="C5941">
        <v>7</v>
      </c>
      <c r="D5941">
        <v>166</v>
      </c>
      <c r="E5941">
        <f>IF(OR(B5941="vi",B5941="ii",B5941="pod"),(((D5941/100)*(C5941*VLOOKUP(B5941,'Poids des runes'!A:B,2,FALSE)))+1),(((D5941/100)*(C5941*VLOOKUP(B5941,'Poids des runes'!A:B,2,FALSE)))+1)/VLOOKUP(B5941,'Poids des runes'!A:B,2,FALSE))</f>
        <v>11.719999999999999</v>
      </c>
      <c r="F5941">
        <f t="shared" si="92"/>
        <v>11.719999999999999</v>
      </c>
    </row>
    <row r="5942" spans="1:6" x14ac:dyDescent="0.3">
      <c r="A5942" t="s">
        <v>1181</v>
      </c>
      <c r="B5942" t="s">
        <v>2141</v>
      </c>
      <c r="C5942">
        <v>4.5</v>
      </c>
      <c r="D5942">
        <v>166</v>
      </c>
      <c r="E5942">
        <f>IF(OR(B5942="vi",B5942="ii",B5942="pod"),(((D5942/100)*(C5942*VLOOKUP(B5942,'Poids des runes'!A:B,2,FALSE)))+1),(((D5942/100)*(C5942*VLOOKUP(B5942,'Poids des runes'!A:B,2,FALSE)))+1)/VLOOKUP(B5942,'Poids des runes'!A:B,2,FALSE))</f>
        <v>7.72</v>
      </c>
      <c r="F5942">
        <f t="shared" si="92"/>
        <v>7.72</v>
      </c>
    </row>
    <row r="5943" spans="1:6" x14ac:dyDescent="0.3">
      <c r="A5943" t="s">
        <v>1181</v>
      </c>
      <c r="B5943" t="s">
        <v>2164</v>
      </c>
      <c r="C5943">
        <v>8.5</v>
      </c>
      <c r="D5943">
        <v>166</v>
      </c>
      <c r="E5943">
        <f>IF(OR(B5943="vi",B5943="ii",B5943="pod"),(((D5943/100)*(C5943*VLOOKUP(B5943,'Poids des runes'!A:B,2,FALSE)))+1),(((D5943/100)*(C5943*VLOOKUP(B5943,'Poids des runes'!A:B,2,FALSE)))+1)/VLOOKUP(B5943,'Poids des runes'!A:B,2,FALSE))</f>
        <v>14.61</v>
      </c>
      <c r="F5943">
        <f t="shared" si="92"/>
        <v>14.61</v>
      </c>
    </row>
    <row r="5944" spans="1:6" x14ac:dyDescent="0.3">
      <c r="A5944" t="s">
        <v>1181</v>
      </c>
      <c r="B5944" t="s">
        <v>2148</v>
      </c>
      <c r="C5944">
        <v>8.5</v>
      </c>
      <c r="D5944">
        <v>166</v>
      </c>
      <c r="E5944">
        <f>IF(OR(B5944="vi",B5944="ii",B5944="pod"),(((D5944/100)*(C5944*VLOOKUP(B5944,'Poids des runes'!A:B,2,FALSE)))+1),(((D5944/100)*(C5944*VLOOKUP(B5944,'Poids des runes'!A:B,2,FALSE)))+1)/VLOOKUP(B5944,'Poids des runes'!A:B,2,FALSE))</f>
        <v>14.276666666666666</v>
      </c>
      <c r="F5944">
        <f t="shared" si="92"/>
        <v>14.276666666666666</v>
      </c>
    </row>
    <row r="5945" spans="1:6" x14ac:dyDescent="0.3">
      <c r="A5945" t="s">
        <v>1181</v>
      </c>
      <c r="B5945" t="s">
        <v>2136</v>
      </c>
      <c r="C5945">
        <v>8.5</v>
      </c>
      <c r="D5945">
        <v>166</v>
      </c>
      <c r="E5945">
        <f>IF(OR(B5945="vi",B5945="ii",B5945="pod"),(((D5945/100)*(C5945*VLOOKUP(B5945,'Poids des runes'!A:B,2,FALSE)))+1),(((D5945/100)*(C5945*VLOOKUP(B5945,'Poids des runes'!A:B,2,FALSE)))+1)/VLOOKUP(B5945,'Poids des runes'!A:B,2,FALSE))</f>
        <v>14.61</v>
      </c>
      <c r="F5945">
        <f t="shared" si="92"/>
        <v>14.61</v>
      </c>
    </row>
    <row r="5946" spans="1:6" x14ac:dyDescent="0.3">
      <c r="A5946" t="s">
        <v>1182</v>
      </c>
      <c r="B5946" t="s">
        <v>2128</v>
      </c>
      <c r="C5946">
        <v>225.5</v>
      </c>
      <c r="D5946">
        <v>166</v>
      </c>
      <c r="E5946">
        <f>IF(OR(B5946="vi",B5946="ii",B5946="pod"),(((D5946/100)*(C5946*VLOOKUP(B5946,'Poids des runes'!A:B,2,FALSE)))+1),(((D5946/100)*(C5946*VLOOKUP(B5946,'Poids des runes'!A:B,2,FALSE)))+1)/VLOOKUP(B5946,'Poids des runes'!A:B,2,FALSE))</f>
        <v>75.866</v>
      </c>
      <c r="F5946">
        <f t="shared" si="92"/>
        <v>75.866</v>
      </c>
    </row>
    <row r="5947" spans="1:6" x14ac:dyDescent="0.3">
      <c r="A5947" t="s">
        <v>1182</v>
      </c>
      <c r="B5947" t="s">
        <v>2126</v>
      </c>
      <c r="C5947">
        <v>55.5</v>
      </c>
      <c r="D5947">
        <v>166</v>
      </c>
      <c r="E5947">
        <f>IF(OR(B5947="vi",B5947="ii",B5947="pod"),(((D5947/100)*(C5947*VLOOKUP(B5947,'Poids des runes'!A:B,2,FALSE)))+1),(((D5947/100)*(C5947*VLOOKUP(B5947,'Poids des runes'!A:B,2,FALSE)))+1)/VLOOKUP(B5947,'Poids des runes'!A:B,2,FALSE))</f>
        <v>93.13</v>
      </c>
      <c r="F5947">
        <f t="shared" si="92"/>
        <v>93.13</v>
      </c>
    </row>
    <row r="5948" spans="1:6" x14ac:dyDescent="0.3">
      <c r="A5948" t="s">
        <v>1182</v>
      </c>
      <c r="B5948" t="s">
        <v>2129</v>
      </c>
      <c r="C5948">
        <v>35.5</v>
      </c>
      <c r="D5948">
        <v>166</v>
      </c>
      <c r="E5948">
        <f>IF(OR(B5948="vi",B5948="ii",B5948="pod"),(((D5948/100)*(C5948*VLOOKUP(B5948,'Poids des runes'!A:B,2,FALSE)))+1),(((D5948/100)*(C5948*VLOOKUP(B5948,'Poids des runes'!A:B,2,FALSE)))+1)/VLOOKUP(B5948,'Poids des runes'!A:B,2,FALSE))</f>
        <v>59.93</v>
      </c>
      <c r="F5948">
        <f t="shared" si="92"/>
        <v>59.93</v>
      </c>
    </row>
    <row r="5949" spans="1:6" x14ac:dyDescent="0.3">
      <c r="A5949" t="s">
        <v>1182</v>
      </c>
      <c r="B5949" t="s">
        <v>2151</v>
      </c>
      <c r="C5949">
        <v>2.5</v>
      </c>
      <c r="D5949">
        <v>166</v>
      </c>
      <c r="E5949">
        <f>IF(OR(B5949="vi",B5949="ii",B5949="pod"),(((D5949/100)*(C5949*VLOOKUP(B5949,'Poids des runes'!A:B,2,FALSE)))+1),(((D5949/100)*(C5949*VLOOKUP(B5949,'Poids des runes'!A:B,2,FALSE)))+1)/VLOOKUP(B5949,'Poids des runes'!A:B,2,FALSE))</f>
        <v>4.25</v>
      </c>
      <c r="F5949">
        <f t="shared" si="92"/>
        <v>4.25</v>
      </c>
    </row>
    <row r="5950" spans="1:6" x14ac:dyDescent="0.3">
      <c r="A5950" t="s">
        <v>1182</v>
      </c>
      <c r="B5950" t="s">
        <v>2140</v>
      </c>
      <c r="C5950">
        <v>9.5</v>
      </c>
      <c r="D5950">
        <v>166</v>
      </c>
      <c r="E5950">
        <f>IF(OR(B5950="vi",B5950="ii",B5950="pod"),(((D5950/100)*(C5950*VLOOKUP(B5950,'Poids des runes'!A:B,2,FALSE)))+1),(((D5950/100)*(C5950*VLOOKUP(B5950,'Poids des runes'!A:B,2,FALSE)))+1)/VLOOKUP(B5950,'Poids des runes'!A:B,2,FALSE))</f>
        <v>15.969999999999999</v>
      </c>
      <c r="F5950">
        <f t="shared" si="92"/>
        <v>15.969999999999999</v>
      </c>
    </row>
    <row r="5951" spans="1:6" x14ac:dyDescent="0.3">
      <c r="A5951" t="s">
        <v>1182</v>
      </c>
      <c r="B5951" t="s">
        <v>2161</v>
      </c>
      <c r="C5951">
        <v>15.5</v>
      </c>
      <c r="D5951">
        <v>166</v>
      </c>
      <c r="E5951">
        <f>IF(OR(B5951="vi",B5951="ii",B5951="pod"),(((D5951/100)*(C5951*VLOOKUP(B5951,'Poids des runes'!A:B,2,FALSE)))+1),(((D5951/100)*(C5951*VLOOKUP(B5951,'Poids des runes'!A:B,2,FALSE)))+1)/VLOOKUP(B5951,'Poids des runes'!A:B,2,FALSE))</f>
        <v>26.063333333333333</v>
      </c>
      <c r="F5951">
        <f t="shared" si="92"/>
        <v>26.063333333333333</v>
      </c>
    </row>
    <row r="5952" spans="1:6" x14ac:dyDescent="0.3">
      <c r="A5952" t="s">
        <v>1182</v>
      </c>
      <c r="B5952" t="s">
        <v>2132</v>
      </c>
      <c r="C5952">
        <v>200.5</v>
      </c>
      <c r="D5952">
        <v>166</v>
      </c>
      <c r="E5952">
        <f>IF(OR(B5952="vi",B5952="ii",B5952="pod"),(((D5952/100)*(C5952*VLOOKUP(B5952,'Poids des runes'!A:B,2,FALSE)))+1),(((D5952/100)*(C5952*VLOOKUP(B5952,'Poids des runes'!A:B,2,FALSE)))+1)/VLOOKUP(B5952,'Poids des runes'!A:B,2,FALSE))</f>
        <v>34.283000000000001</v>
      </c>
      <c r="F5952">
        <f t="shared" si="92"/>
        <v>34.283000000000001</v>
      </c>
    </row>
    <row r="5953" spans="1:6" x14ac:dyDescent="0.3">
      <c r="A5953" t="s">
        <v>1182</v>
      </c>
      <c r="B5953" t="s">
        <v>2141</v>
      </c>
      <c r="C5953">
        <v>4</v>
      </c>
      <c r="D5953">
        <v>166</v>
      </c>
      <c r="E5953">
        <f>IF(OR(B5953="vi",B5953="ii",B5953="pod"),(((D5953/100)*(C5953*VLOOKUP(B5953,'Poids des runes'!A:B,2,FALSE)))+1),(((D5953/100)*(C5953*VLOOKUP(B5953,'Poids des runes'!A:B,2,FALSE)))+1)/VLOOKUP(B5953,'Poids des runes'!A:B,2,FALSE))</f>
        <v>6.89</v>
      </c>
      <c r="F5953">
        <f t="shared" si="92"/>
        <v>6.89</v>
      </c>
    </row>
    <row r="5954" spans="1:6" x14ac:dyDescent="0.3">
      <c r="A5954" t="s">
        <v>1182</v>
      </c>
      <c r="B5954" t="s">
        <v>2157</v>
      </c>
      <c r="C5954">
        <v>6</v>
      </c>
      <c r="D5954">
        <v>166</v>
      </c>
      <c r="E5954">
        <f>IF(OR(B5954="vi",B5954="ii",B5954="pod"),(((D5954/100)*(C5954*VLOOKUP(B5954,'Poids des runes'!A:B,2,FALSE)))+1),(((D5954/100)*(C5954*VLOOKUP(B5954,'Poids des runes'!A:B,2,FALSE)))+1)/VLOOKUP(B5954,'Poids des runes'!A:B,2,FALSE))</f>
        <v>10.126666666666667</v>
      </c>
      <c r="F5954">
        <f t="shared" si="92"/>
        <v>10.126666666666667</v>
      </c>
    </row>
    <row r="5955" spans="1:6" x14ac:dyDescent="0.3">
      <c r="A5955" t="s">
        <v>1182</v>
      </c>
      <c r="B5955" t="s">
        <v>2137</v>
      </c>
      <c r="C5955">
        <v>8.5</v>
      </c>
      <c r="D5955">
        <v>166</v>
      </c>
      <c r="E5955">
        <f>IF(OR(B5955="vi",B5955="ii",B5955="pod"),(((D5955/100)*(C5955*VLOOKUP(B5955,'Poids des runes'!A:B,2,FALSE)))+1),(((D5955/100)*(C5955*VLOOKUP(B5955,'Poids des runes'!A:B,2,FALSE)))+1)/VLOOKUP(B5955,'Poids des runes'!A:B,2,FALSE))</f>
        <v>14.61</v>
      </c>
      <c r="F5955">
        <f t="shared" ref="F5955:F6018" si="93">E5955</f>
        <v>14.61</v>
      </c>
    </row>
    <row r="5956" spans="1:6" x14ac:dyDescent="0.3">
      <c r="A5956" t="s">
        <v>1182</v>
      </c>
      <c r="B5956" t="s">
        <v>2145</v>
      </c>
      <c r="C5956">
        <v>8.5</v>
      </c>
      <c r="D5956">
        <v>166</v>
      </c>
      <c r="E5956">
        <f>IF(OR(B5956="vi",B5956="ii",B5956="pod"),(((D5956/100)*(C5956*VLOOKUP(B5956,'Poids des runes'!A:B,2,FALSE)))+1),(((D5956/100)*(C5956*VLOOKUP(B5956,'Poids des runes'!A:B,2,FALSE)))+1)/VLOOKUP(B5956,'Poids des runes'!A:B,2,FALSE))</f>
        <v>14.61</v>
      </c>
      <c r="F5956">
        <f t="shared" si="93"/>
        <v>14.61</v>
      </c>
    </row>
    <row r="5957" spans="1:6" x14ac:dyDescent="0.3">
      <c r="A5957" t="s">
        <v>1183</v>
      </c>
      <c r="B5957" t="s">
        <v>2128</v>
      </c>
      <c r="C5957">
        <v>225.5</v>
      </c>
      <c r="D5957">
        <v>167</v>
      </c>
      <c r="E5957">
        <f>IF(OR(B5957="vi",B5957="ii",B5957="pod"),(((D5957/100)*(C5957*VLOOKUP(B5957,'Poids des runes'!A:B,2,FALSE)))+1),(((D5957/100)*(C5957*VLOOKUP(B5957,'Poids des runes'!A:B,2,FALSE)))+1)/VLOOKUP(B5957,'Poids des runes'!A:B,2,FALSE))</f>
        <v>76.316999999999993</v>
      </c>
      <c r="F5957">
        <f t="shared" si="93"/>
        <v>76.316999999999993</v>
      </c>
    </row>
    <row r="5958" spans="1:6" x14ac:dyDescent="0.3">
      <c r="A5958" t="s">
        <v>1183</v>
      </c>
      <c r="B5958" t="s">
        <v>2127</v>
      </c>
      <c r="C5958">
        <v>40.5</v>
      </c>
      <c r="D5958">
        <v>167</v>
      </c>
      <c r="E5958">
        <f>IF(OR(B5958="vi",B5958="ii",B5958="pod"),(((D5958/100)*(C5958*VLOOKUP(B5958,'Poids des runes'!A:B,2,FALSE)))+1),(((D5958/100)*(C5958*VLOOKUP(B5958,'Poids des runes'!A:B,2,FALSE)))+1)/VLOOKUP(B5958,'Poids des runes'!A:B,2,FALSE))</f>
        <v>68.634999999999991</v>
      </c>
      <c r="F5958">
        <f t="shared" si="93"/>
        <v>68.634999999999991</v>
      </c>
    </row>
    <row r="5959" spans="1:6" x14ac:dyDescent="0.3">
      <c r="A5959" t="s">
        <v>1183</v>
      </c>
      <c r="B5959" t="s">
        <v>2129</v>
      </c>
      <c r="C5959">
        <v>35.5</v>
      </c>
      <c r="D5959">
        <v>167</v>
      </c>
      <c r="E5959">
        <f>IF(OR(B5959="vi",B5959="ii",B5959="pod"),(((D5959/100)*(C5959*VLOOKUP(B5959,'Poids des runes'!A:B,2,FALSE)))+1),(((D5959/100)*(C5959*VLOOKUP(B5959,'Poids des runes'!A:B,2,FALSE)))+1)/VLOOKUP(B5959,'Poids des runes'!A:B,2,FALSE))</f>
        <v>60.284999999999997</v>
      </c>
      <c r="F5959">
        <f t="shared" si="93"/>
        <v>60.284999999999997</v>
      </c>
    </row>
    <row r="5960" spans="1:6" x14ac:dyDescent="0.3">
      <c r="A5960" t="s">
        <v>1183</v>
      </c>
      <c r="B5960" t="s">
        <v>2151</v>
      </c>
      <c r="C5960">
        <v>3.5</v>
      </c>
      <c r="D5960">
        <v>167</v>
      </c>
      <c r="E5960">
        <f>IF(OR(B5960="vi",B5960="ii",B5960="pod"),(((D5960/100)*(C5960*VLOOKUP(B5960,'Poids des runes'!A:B,2,FALSE)))+1),(((D5960/100)*(C5960*VLOOKUP(B5960,'Poids des runes'!A:B,2,FALSE)))+1)/VLOOKUP(B5960,'Poids des runes'!A:B,2,FALSE))</f>
        <v>5.9449999999999994</v>
      </c>
      <c r="F5960">
        <f t="shared" si="93"/>
        <v>5.9449999999999994</v>
      </c>
    </row>
    <row r="5961" spans="1:6" x14ac:dyDescent="0.3">
      <c r="A5961" t="s">
        <v>1183</v>
      </c>
      <c r="B5961" t="s">
        <v>2154</v>
      </c>
      <c r="C5961">
        <v>1</v>
      </c>
      <c r="D5961">
        <v>167</v>
      </c>
      <c r="E5961">
        <f>IF(OR(B5961="vi",B5961="ii",B5961="pod"),(((D5961/100)*(C5961*VLOOKUP(B5961,'Poids des runes'!A:B,2,FALSE)))+1),(((D5961/100)*(C5961*VLOOKUP(B5961,'Poids des runes'!A:B,2,FALSE)))+1)/VLOOKUP(B5961,'Poids des runes'!A:B,2,FALSE))</f>
        <v>1.681111111111111</v>
      </c>
      <c r="F5961">
        <f t="shared" si="93"/>
        <v>1.681111111111111</v>
      </c>
    </row>
    <row r="5962" spans="1:6" x14ac:dyDescent="0.3">
      <c r="A5962" t="s">
        <v>1183</v>
      </c>
      <c r="B5962" t="s">
        <v>2155</v>
      </c>
      <c r="C5962">
        <v>1</v>
      </c>
      <c r="D5962">
        <v>167</v>
      </c>
      <c r="E5962">
        <f>IF(OR(B5962="vi",B5962="ii",B5962="pod"),(((D5962/100)*(C5962*VLOOKUP(B5962,'Poids des runes'!A:B,2,FALSE)))+1),(((D5962/100)*(C5962*VLOOKUP(B5962,'Poids des runes'!A:B,2,FALSE)))+1)/VLOOKUP(B5962,'Poids des runes'!A:B,2,FALSE))</f>
        <v>1.689607843137255</v>
      </c>
      <c r="F5962">
        <f t="shared" si="93"/>
        <v>1.689607843137255</v>
      </c>
    </row>
    <row r="5963" spans="1:6" x14ac:dyDescent="0.3">
      <c r="A5963" t="s">
        <v>1183</v>
      </c>
      <c r="B5963" t="s">
        <v>2153</v>
      </c>
      <c r="C5963">
        <v>8.5</v>
      </c>
      <c r="D5963">
        <v>167</v>
      </c>
      <c r="E5963">
        <f>IF(OR(B5963="vi",B5963="ii",B5963="pod"),(((D5963/100)*(C5963*VLOOKUP(B5963,'Poids des runes'!A:B,2,FALSE)))+1),(((D5963/100)*(C5963*VLOOKUP(B5963,'Poids des runes'!A:B,2,FALSE)))+1)/VLOOKUP(B5963,'Poids des runes'!A:B,2,FALSE))</f>
        <v>14.395</v>
      </c>
      <c r="F5963">
        <f t="shared" si="93"/>
        <v>14.395</v>
      </c>
    </row>
    <row r="5964" spans="1:6" x14ac:dyDescent="0.3">
      <c r="A5964" t="s">
        <v>1183</v>
      </c>
      <c r="B5964" t="s">
        <v>2161</v>
      </c>
      <c r="C5964">
        <v>15.5</v>
      </c>
      <c r="D5964">
        <v>167</v>
      </c>
      <c r="E5964">
        <f>IF(OR(B5964="vi",B5964="ii",B5964="pod"),(((D5964/100)*(C5964*VLOOKUP(B5964,'Poids des runes'!A:B,2,FALSE)))+1),(((D5964/100)*(C5964*VLOOKUP(B5964,'Poids des runes'!A:B,2,FALSE)))+1)/VLOOKUP(B5964,'Poids des runes'!A:B,2,FALSE))</f>
        <v>26.218333333333334</v>
      </c>
      <c r="F5964">
        <f t="shared" si="93"/>
        <v>26.218333333333334</v>
      </c>
    </row>
    <row r="5965" spans="1:6" x14ac:dyDescent="0.3">
      <c r="A5965" t="s">
        <v>1183</v>
      </c>
      <c r="B5965" t="s">
        <v>2132</v>
      </c>
      <c r="C5965">
        <v>250.5</v>
      </c>
      <c r="D5965">
        <v>167</v>
      </c>
      <c r="E5965">
        <f>IF(OR(B5965="vi",B5965="ii",B5965="pod"),(((D5965/100)*(C5965*VLOOKUP(B5965,'Poids des runes'!A:B,2,FALSE)))+1),(((D5965/100)*(C5965*VLOOKUP(B5965,'Poids des runes'!A:B,2,FALSE)))+1)/VLOOKUP(B5965,'Poids des runes'!A:B,2,FALSE))</f>
        <v>42.833500000000001</v>
      </c>
      <c r="F5965">
        <f t="shared" si="93"/>
        <v>42.833500000000001</v>
      </c>
    </row>
    <row r="5966" spans="1:6" x14ac:dyDescent="0.3">
      <c r="A5966" t="s">
        <v>1183</v>
      </c>
      <c r="B5966" t="s">
        <v>2148</v>
      </c>
      <c r="C5966">
        <v>6</v>
      </c>
      <c r="D5966">
        <v>167</v>
      </c>
      <c r="E5966">
        <f>IF(OR(B5966="vi",B5966="ii",B5966="pod"),(((D5966/100)*(C5966*VLOOKUP(B5966,'Poids des runes'!A:B,2,FALSE)))+1),(((D5966/100)*(C5966*VLOOKUP(B5966,'Poids des runes'!A:B,2,FALSE)))+1)/VLOOKUP(B5966,'Poids des runes'!A:B,2,FALSE))</f>
        <v>10.186666666666666</v>
      </c>
      <c r="F5966">
        <f t="shared" si="93"/>
        <v>10.186666666666666</v>
      </c>
    </row>
    <row r="5967" spans="1:6" x14ac:dyDescent="0.3">
      <c r="A5967" t="s">
        <v>1183</v>
      </c>
      <c r="B5967" t="s">
        <v>2135</v>
      </c>
      <c r="C5967">
        <v>6</v>
      </c>
      <c r="D5967">
        <v>167</v>
      </c>
      <c r="E5967">
        <f>IF(OR(B5967="vi",B5967="ii",B5967="pod"),(((D5967/100)*(C5967*VLOOKUP(B5967,'Poids des runes'!A:B,2,FALSE)))+1),(((D5967/100)*(C5967*VLOOKUP(B5967,'Poids des runes'!A:B,2,FALSE)))+1)/VLOOKUP(B5967,'Poids des runes'!A:B,2,FALSE))</f>
        <v>10.186666666666666</v>
      </c>
      <c r="F5967">
        <f t="shared" si="93"/>
        <v>10.186666666666666</v>
      </c>
    </row>
    <row r="5968" spans="1:6" x14ac:dyDescent="0.3">
      <c r="A5968" t="s">
        <v>1183</v>
      </c>
      <c r="B5968" t="s">
        <v>2146</v>
      </c>
      <c r="C5968">
        <v>8.5</v>
      </c>
      <c r="D5968">
        <v>167</v>
      </c>
      <c r="E5968">
        <f>IF(OR(B5968="vi",B5968="ii",B5968="pod"),(((D5968/100)*(C5968*VLOOKUP(B5968,'Poids des runes'!A:B,2,FALSE)))+1),(((D5968/100)*(C5968*VLOOKUP(B5968,'Poids des runes'!A:B,2,FALSE)))+1)/VLOOKUP(B5968,'Poids des runes'!A:B,2,FALSE))</f>
        <v>14.695</v>
      </c>
      <c r="F5968">
        <f t="shared" si="93"/>
        <v>14.695</v>
      </c>
    </row>
    <row r="5969" spans="1:6" x14ac:dyDescent="0.3">
      <c r="A5969" t="s">
        <v>1184</v>
      </c>
      <c r="B5969" t="s">
        <v>2128</v>
      </c>
      <c r="C5969">
        <v>175.5</v>
      </c>
      <c r="D5969">
        <v>167</v>
      </c>
      <c r="E5969">
        <f>IF(OR(B5969="vi",B5969="ii",B5969="pod"),(((D5969/100)*(C5969*VLOOKUP(B5969,'Poids des runes'!A:B,2,FALSE)))+1),(((D5969/100)*(C5969*VLOOKUP(B5969,'Poids des runes'!A:B,2,FALSE)))+1)/VLOOKUP(B5969,'Poids des runes'!A:B,2,FALSE))</f>
        <v>59.616999999999997</v>
      </c>
      <c r="F5969">
        <f t="shared" si="93"/>
        <v>59.616999999999997</v>
      </c>
    </row>
    <row r="5970" spans="1:6" x14ac:dyDescent="0.3">
      <c r="A5970" t="s">
        <v>1184</v>
      </c>
      <c r="B5970" t="s">
        <v>2130</v>
      </c>
      <c r="C5970">
        <v>35.5</v>
      </c>
      <c r="D5970">
        <v>167</v>
      </c>
      <c r="E5970">
        <f>IF(OR(B5970="vi",B5970="ii",B5970="pod"),(((D5970/100)*(C5970*VLOOKUP(B5970,'Poids des runes'!A:B,2,FALSE)))+1),(((D5970/100)*(C5970*VLOOKUP(B5970,'Poids des runes'!A:B,2,FALSE)))+1)/VLOOKUP(B5970,'Poids des runes'!A:B,2,FALSE))</f>
        <v>60.284999999999997</v>
      </c>
      <c r="F5970">
        <f t="shared" si="93"/>
        <v>60.284999999999997</v>
      </c>
    </row>
    <row r="5971" spans="1:6" x14ac:dyDescent="0.3">
      <c r="A5971" t="s">
        <v>1184</v>
      </c>
      <c r="B5971" t="s">
        <v>2126</v>
      </c>
      <c r="C5971">
        <v>35.5</v>
      </c>
      <c r="D5971">
        <v>167</v>
      </c>
      <c r="E5971">
        <f>IF(OR(B5971="vi",B5971="ii",B5971="pod"),(((D5971/100)*(C5971*VLOOKUP(B5971,'Poids des runes'!A:B,2,FALSE)))+1),(((D5971/100)*(C5971*VLOOKUP(B5971,'Poids des runes'!A:B,2,FALSE)))+1)/VLOOKUP(B5971,'Poids des runes'!A:B,2,FALSE))</f>
        <v>60.284999999999997</v>
      </c>
      <c r="F5971">
        <f t="shared" si="93"/>
        <v>60.284999999999997</v>
      </c>
    </row>
    <row r="5972" spans="1:6" x14ac:dyDescent="0.3">
      <c r="A5972" t="s">
        <v>1184</v>
      </c>
      <c r="B5972" t="s">
        <v>2129</v>
      </c>
      <c r="C5972">
        <v>35.5</v>
      </c>
      <c r="D5972">
        <v>167</v>
      </c>
      <c r="E5972">
        <f>IF(OR(B5972="vi",B5972="ii",B5972="pod"),(((D5972/100)*(C5972*VLOOKUP(B5972,'Poids des runes'!A:B,2,FALSE)))+1),(((D5972/100)*(C5972*VLOOKUP(B5972,'Poids des runes'!A:B,2,FALSE)))+1)/VLOOKUP(B5972,'Poids des runes'!A:B,2,FALSE))</f>
        <v>60.284999999999997</v>
      </c>
      <c r="F5972">
        <f t="shared" si="93"/>
        <v>60.284999999999997</v>
      </c>
    </row>
    <row r="5973" spans="1:6" x14ac:dyDescent="0.3">
      <c r="A5973" t="s">
        <v>1184</v>
      </c>
      <c r="B5973" t="s">
        <v>2151</v>
      </c>
      <c r="C5973">
        <v>3.5</v>
      </c>
      <c r="D5973">
        <v>167</v>
      </c>
      <c r="E5973">
        <f>IF(OR(B5973="vi",B5973="ii",B5973="pod"),(((D5973/100)*(C5973*VLOOKUP(B5973,'Poids des runes'!A:B,2,FALSE)))+1),(((D5973/100)*(C5973*VLOOKUP(B5973,'Poids des runes'!A:B,2,FALSE)))+1)/VLOOKUP(B5973,'Poids des runes'!A:B,2,FALSE))</f>
        <v>5.9449999999999994</v>
      </c>
      <c r="F5973">
        <f t="shared" si="93"/>
        <v>5.9449999999999994</v>
      </c>
    </row>
    <row r="5974" spans="1:6" x14ac:dyDescent="0.3">
      <c r="A5974" t="s">
        <v>1184</v>
      </c>
      <c r="B5974" t="s">
        <v>2154</v>
      </c>
      <c r="C5974">
        <v>1</v>
      </c>
      <c r="D5974">
        <v>167</v>
      </c>
      <c r="E5974">
        <f>IF(OR(B5974="vi",B5974="ii",B5974="pod"),(((D5974/100)*(C5974*VLOOKUP(B5974,'Poids des runes'!A:B,2,FALSE)))+1),(((D5974/100)*(C5974*VLOOKUP(B5974,'Poids des runes'!A:B,2,FALSE)))+1)/VLOOKUP(B5974,'Poids des runes'!A:B,2,FALSE))</f>
        <v>1.681111111111111</v>
      </c>
      <c r="F5974">
        <f t="shared" si="93"/>
        <v>1.681111111111111</v>
      </c>
    </row>
    <row r="5975" spans="1:6" x14ac:dyDescent="0.3">
      <c r="A5975" t="s">
        <v>1184</v>
      </c>
      <c r="B5975" t="s">
        <v>2143</v>
      </c>
      <c r="C5975">
        <v>8.5</v>
      </c>
      <c r="D5975">
        <v>167</v>
      </c>
      <c r="E5975">
        <f>IF(OR(B5975="vi",B5975="ii",B5975="pod"),(((D5975/100)*(C5975*VLOOKUP(B5975,'Poids des runes'!A:B,2,FALSE)))+1),(((D5975/100)*(C5975*VLOOKUP(B5975,'Poids des runes'!A:B,2,FALSE)))+1)/VLOOKUP(B5975,'Poids des runes'!A:B,2,FALSE))</f>
        <v>14.395</v>
      </c>
      <c r="F5975">
        <f t="shared" si="93"/>
        <v>14.395</v>
      </c>
    </row>
    <row r="5976" spans="1:6" x14ac:dyDescent="0.3">
      <c r="A5976" t="s">
        <v>1184</v>
      </c>
      <c r="B5976" t="s">
        <v>2140</v>
      </c>
      <c r="C5976">
        <v>8.5</v>
      </c>
      <c r="D5976">
        <v>167</v>
      </c>
      <c r="E5976">
        <f>IF(OR(B5976="vi",B5976="ii",B5976="pod"),(((D5976/100)*(C5976*VLOOKUP(B5976,'Poids des runes'!A:B,2,FALSE)))+1),(((D5976/100)*(C5976*VLOOKUP(B5976,'Poids des runes'!A:B,2,FALSE)))+1)/VLOOKUP(B5976,'Poids des runes'!A:B,2,FALSE))</f>
        <v>14.395</v>
      </c>
      <c r="F5976">
        <f t="shared" si="93"/>
        <v>14.395</v>
      </c>
    </row>
    <row r="5977" spans="1:6" x14ac:dyDescent="0.3">
      <c r="A5977" t="s">
        <v>1184</v>
      </c>
      <c r="B5977" t="s">
        <v>2161</v>
      </c>
      <c r="C5977">
        <v>15.5</v>
      </c>
      <c r="D5977">
        <v>167</v>
      </c>
      <c r="E5977">
        <f>IF(OR(B5977="vi",B5977="ii",B5977="pod"),(((D5977/100)*(C5977*VLOOKUP(B5977,'Poids des runes'!A:B,2,FALSE)))+1),(((D5977/100)*(C5977*VLOOKUP(B5977,'Poids des runes'!A:B,2,FALSE)))+1)/VLOOKUP(B5977,'Poids des runes'!A:B,2,FALSE))</f>
        <v>26.218333333333334</v>
      </c>
      <c r="F5977">
        <f t="shared" si="93"/>
        <v>26.218333333333334</v>
      </c>
    </row>
    <row r="5978" spans="1:6" x14ac:dyDescent="0.3">
      <c r="A5978" t="s">
        <v>1184</v>
      </c>
      <c r="B5978" t="s">
        <v>2141</v>
      </c>
      <c r="C5978">
        <v>4.5</v>
      </c>
      <c r="D5978">
        <v>167</v>
      </c>
      <c r="E5978">
        <f>IF(OR(B5978="vi",B5978="ii",B5978="pod"),(((D5978/100)*(C5978*VLOOKUP(B5978,'Poids des runes'!A:B,2,FALSE)))+1),(((D5978/100)*(C5978*VLOOKUP(B5978,'Poids des runes'!A:B,2,FALSE)))+1)/VLOOKUP(B5978,'Poids des runes'!A:B,2,FALSE))</f>
        <v>7.7649999999999997</v>
      </c>
      <c r="F5978">
        <f t="shared" si="93"/>
        <v>7.7649999999999997</v>
      </c>
    </row>
    <row r="5979" spans="1:6" x14ac:dyDescent="0.3">
      <c r="A5979" t="s">
        <v>1184</v>
      </c>
      <c r="B5979" t="s">
        <v>2164</v>
      </c>
      <c r="C5979">
        <v>8.5</v>
      </c>
      <c r="D5979">
        <v>167</v>
      </c>
      <c r="E5979">
        <f>IF(OR(B5979="vi",B5979="ii",B5979="pod"),(((D5979/100)*(C5979*VLOOKUP(B5979,'Poids des runes'!A:B,2,FALSE)))+1),(((D5979/100)*(C5979*VLOOKUP(B5979,'Poids des runes'!A:B,2,FALSE)))+1)/VLOOKUP(B5979,'Poids des runes'!A:B,2,FALSE))</f>
        <v>14.695</v>
      </c>
      <c r="F5979">
        <f t="shared" si="93"/>
        <v>14.695</v>
      </c>
    </row>
    <row r="5980" spans="1:6" x14ac:dyDescent="0.3">
      <c r="A5980" t="s">
        <v>1184</v>
      </c>
      <c r="B5980" t="s">
        <v>2157</v>
      </c>
      <c r="C5980">
        <v>5</v>
      </c>
      <c r="D5980">
        <v>167</v>
      </c>
      <c r="E5980">
        <f>IF(OR(B5980="vi",B5980="ii",B5980="pod"),(((D5980/100)*(C5980*VLOOKUP(B5980,'Poids des runes'!A:B,2,FALSE)))+1),(((D5980/100)*(C5980*VLOOKUP(B5980,'Poids des runes'!A:B,2,FALSE)))+1)/VLOOKUP(B5980,'Poids des runes'!A:B,2,FALSE))</f>
        <v>8.5166666666666657</v>
      </c>
      <c r="F5980">
        <f t="shared" si="93"/>
        <v>8.5166666666666657</v>
      </c>
    </row>
    <row r="5981" spans="1:6" x14ac:dyDescent="0.3">
      <c r="A5981" t="s">
        <v>1184</v>
      </c>
      <c r="B5981" t="s">
        <v>2137</v>
      </c>
      <c r="C5981">
        <v>5</v>
      </c>
      <c r="D5981">
        <v>167</v>
      </c>
      <c r="E5981">
        <f>IF(OR(B5981="vi",B5981="ii",B5981="pod"),(((D5981/100)*(C5981*VLOOKUP(B5981,'Poids des runes'!A:B,2,FALSE)))+1),(((D5981/100)*(C5981*VLOOKUP(B5981,'Poids des runes'!A:B,2,FALSE)))+1)/VLOOKUP(B5981,'Poids des runes'!A:B,2,FALSE))</f>
        <v>8.85</v>
      </c>
      <c r="F5981">
        <f t="shared" si="93"/>
        <v>8.85</v>
      </c>
    </row>
    <row r="5982" spans="1:6" x14ac:dyDescent="0.3">
      <c r="A5982" t="s">
        <v>1184</v>
      </c>
      <c r="B5982" t="s">
        <v>2144</v>
      </c>
      <c r="C5982">
        <v>5</v>
      </c>
      <c r="D5982">
        <v>167</v>
      </c>
      <c r="E5982">
        <f>IF(OR(B5982="vi",B5982="ii",B5982="pod"),(((D5982/100)*(C5982*VLOOKUP(B5982,'Poids des runes'!A:B,2,FALSE)))+1),(((D5982/100)*(C5982*VLOOKUP(B5982,'Poids des runes'!A:B,2,FALSE)))+1)/VLOOKUP(B5982,'Poids des runes'!A:B,2,FALSE))</f>
        <v>8.85</v>
      </c>
      <c r="F5982">
        <f t="shared" si="93"/>
        <v>8.85</v>
      </c>
    </row>
    <row r="5983" spans="1:6" x14ac:dyDescent="0.3">
      <c r="A5983" t="s">
        <v>1185</v>
      </c>
      <c r="B5983" t="s">
        <v>2128</v>
      </c>
      <c r="C5983">
        <v>175.5</v>
      </c>
      <c r="D5983">
        <v>168</v>
      </c>
      <c r="E5983">
        <f>IF(OR(B5983="vi",B5983="ii",B5983="pod"),(((D5983/100)*(C5983*VLOOKUP(B5983,'Poids des runes'!A:B,2,FALSE)))+1),(((D5983/100)*(C5983*VLOOKUP(B5983,'Poids des runes'!A:B,2,FALSE)))+1)/VLOOKUP(B5983,'Poids des runes'!A:B,2,FALSE))</f>
        <v>59.968000000000004</v>
      </c>
      <c r="F5983">
        <f t="shared" si="93"/>
        <v>59.968000000000004</v>
      </c>
    </row>
    <row r="5984" spans="1:6" x14ac:dyDescent="0.3">
      <c r="A5984" t="s">
        <v>1185</v>
      </c>
      <c r="B5984" t="s">
        <v>2131</v>
      </c>
      <c r="C5984">
        <v>60.5</v>
      </c>
      <c r="D5984">
        <v>168</v>
      </c>
      <c r="E5984">
        <f>IF(OR(B5984="vi",B5984="ii",B5984="pod"),(((D5984/100)*(C5984*VLOOKUP(B5984,'Poids des runes'!A:B,2,FALSE)))+1),(((D5984/100)*(C5984*VLOOKUP(B5984,'Poids des runes'!A:B,2,FALSE)))+1)/VLOOKUP(B5984,'Poids des runes'!A:B,2,FALSE))</f>
        <v>102.64</v>
      </c>
      <c r="F5984">
        <f t="shared" si="93"/>
        <v>102.64</v>
      </c>
    </row>
    <row r="5985" spans="1:6" x14ac:dyDescent="0.3">
      <c r="A5985" t="s">
        <v>1185</v>
      </c>
      <c r="B5985" t="s">
        <v>2127</v>
      </c>
      <c r="C5985">
        <v>60.5</v>
      </c>
      <c r="D5985">
        <v>168</v>
      </c>
      <c r="E5985">
        <f>IF(OR(B5985="vi",B5985="ii",B5985="pod"),(((D5985/100)*(C5985*VLOOKUP(B5985,'Poids des runes'!A:B,2,FALSE)))+1),(((D5985/100)*(C5985*VLOOKUP(B5985,'Poids des runes'!A:B,2,FALSE)))+1)/VLOOKUP(B5985,'Poids des runes'!A:B,2,FALSE))</f>
        <v>102.64</v>
      </c>
      <c r="F5985">
        <f t="shared" si="93"/>
        <v>102.64</v>
      </c>
    </row>
    <row r="5986" spans="1:6" x14ac:dyDescent="0.3">
      <c r="A5986" t="s">
        <v>1185</v>
      </c>
      <c r="B5986" t="s">
        <v>2129</v>
      </c>
      <c r="C5986">
        <v>50.5</v>
      </c>
      <c r="D5986">
        <v>168</v>
      </c>
      <c r="E5986">
        <f>IF(OR(B5986="vi",B5986="ii",B5986="pod"),(((D5986/100)*(C5986*VLOOKUP(B5986,'Poids des runes'!A:B,2,FALSE)))+1),(((D5986/100)*(C5986*VLOOKUP(B5986,'Poids des runes'!A:B,2,FALSE)))+1)/VLOOKUP(B5986,'Poids des runes'!A:B,2,FALSE))</f>
        <v>85.84</v>
      </c>
      <c r="F5986">
        <f t="shared" si="93"/>
        <v>85.84</v>
      </c>
    </row>
    <row r="5987" spans="1:6" x14ac:dyDescent="0.3">
      <c r="A5987" t="s">
        <v>1185</v>
      </c>
      <c r="B5987" t="s">
        <v>2161</v>
      </c>
      <c r="C5987">
        <v>18</v>
      </c>
      <c r="D5987">
        <v>168</v>
      </c>
      <c r="E5987">
        <f>IF(OR(B5987="vi",B5987="ii",B5987="pod"),(((D5987/100)*(C5987*VLOOKUP(B5987,'Poids des runes'!A:B,2,FALSE)))+1),(((D5987/100)*(C5987*VLOOKUP(B5987,'Poids des runes'!A:B,2,FALSE)))+1)/VLOOKUP(B5987,'Poids des runes'!A:B,2,FALSE))</f>
        <v>30.573333333333334</v>
      </c>
      <c r="F5987">
        <f t="shared" si="93"/>
        <v>30.573333333333334</v>
      </c>
    </row>
    <row r="5988" spans="1:6" x14ac:dyDescent="0.3">
      <c r="A5988" t="s">
        <v>1185</v>
      </c>
      <c r="B5988" t="s">
        <v>2132</v>
      </c>
      <c r="C5988">
        <v>300.5</v>
      </c>
      <c r="D5988">
        <v>168</v>
      </c>
      <c r="E5988">
        <f>IF(OR(B5988="vi",B5988="ii",B5988="pod"),(((D5988/100)*(C5988*VLOOKUP(B5988,'Poids des runes'!A:B,2,FALSE)))+1),(((D5988/100)*(C5988*VLOOKUP(B5988,'Poids des runes'!A:B,2,FALSE)))+1)/VLOOKUP(B5988,'Poids des runes'!A:B,2,FALSE))</f>
        <v>51.484000000000002</v>
      </c>
      <c r="F5988">
        <f t="shared" si="93"/>
        <v>51.484000000000002</v>
      </c>
    </row>
    <row r="5989" spans="1:6" x14ac:dyDescent="0.3">
      <c r="A5989" t="s">
        <v>1185</v>
      </c>
      <c r="B5989" t="s">
        <v>2135</v>
      </c>
      <c r="C5989">
        <v>6</v>
      </c>
      <c r="D5989">
        <v>168</v>
      </c>
      <c r="E5989">
        <f>IF(OR(B5989="vi",B5989="ii",B5989="pod"),(((D5989/100)*(C5989*VLOOKUP(B5989,'Poids des runes'!A:B,2,FALSE)))+1),(((D5989/100)*(C5989*VLOOKUP(B5989,'Poids des runes'!A:B,2,FALSE)))+1)/VLOOKUP(B5989,'Poids des runes'!A:B,2,FALSE))</f>
        <v>10.246666666666666</v>
      </c>
      <c r="F5989">
        <f t="shared" si="93"/>
        <v>10.246666666666666</v>
      </c>
    </row>
    <row r="5990" spans="1:6" x14ac:dyDescent="0.3">
      <c r="A5990" t="s">
        <v>1185</v>
      </c>
      <c r="B5990" t="s">
        <v>2157</v>
      </c>
      <c r="C5990">
        <v>6</v>
      </c>
      <c r="D5990">
        <v>168</v>
      </c>
      <c r="E5990">
        <f>IF(OR(B5990="vi",B5990="ii",B5990="pod"),(((D5990/100)*(C5990*VLOOKUP(B5990,'Poids des runes'!A:B,2,FALSE)))+1),(((D5990/100)*(C5990*VLOOKUP(B5990,'Poids des runes'!A:B,2,FALSE)))+1)/VLOOKUP(B5990,'Poids des runes'!A:B,2,FALSE))</f>
        <v>10.246666666666666</v>
      </c>
      <c r="F5990">
        <f t="shared" si="93"/>
        <v>10.246666666666666</v>
      </c>
    </row>
    <row r="5991" spans="1:6" x14ac:dyDescent="0.3">
      <c r="A5991" t="s">
        <v>1185</v>
      </c>
      <c r="B5991" t="s">
        <v>2144</v>
      </c>
      <c r="C5991">
        <v>8</v>
      </c>
      <c r="D5991">
        <v>168</v>
      </c>
      <c r="E5991">
        <f>IF(OR(B5991="vi",B5991="ii",B5991="pod"),(((D5991/100)*(C5991*VLOOKUP(B5991,'Poids des runes'!A:B,2,FALSE)))+1),(((D5991/100)*(C5991*VLOOKUP(B5991,'Poids des runes'!A:B,2,FALSE)))+1)/VLOOKUP(B5991,'Poids des runes'!A:B,2,FALSE))</f>
        <v>13.94</v>
      </c>
      <c r="F5991">
        <f t="shared" si="93"/>
        <v>13.94</v>
      </c>
    </row>
    <row r="5992" spans="1:6" x14ac:dyDescent="0.3">
      <c r="A5992" t="s">
        <v>1185</v>
      </c>
      <c r="B5992" t="s">
        <v>2146</v>
      </c>
      <c r="C5992">
        <v>8</v>
      </c>
      <c r="D5992">
        <v>168</v>
      </c>
      <c r="E5992">
        <f>IF(OR(B5992="vi",B5992="ii",B5992="pod"),(((D5992/100)*(C5992*VLOOKUP(B5992,'Poids des runes'!A:B,2,FALSE)))+1),(((D5992/100)*(C5992*VLOOKUP(B5992,'Poids des runes'!A:B,2,FALSE)))+1)/VLOOKUP(B5992,'Poids des runes'!A:B,2,FALSE))</f>
        <v>13.94</v>
      </c>
      <c r="F5992">
        <f t="shared" si="93"/>
        <v>13.94</v>
      </c>
    </row>
    <row r="5993" spans="1:6" x14ac:dyDescent="0.3">
      <c r="A5993" t="s">
        <v>1186</v>
      </c>
      <c r="B5993" t="s">
        <v>2128</v>
      </c>
      <c r="C5993">
        <v>175.5</v>
      </c>
      <c r="D5993">
        <v>168</v>
      </c>
      <c r="E5993">
        <f>IF(OR(B5993="vi",B5993="ii",B5993="pod"),(((D5993/100)*(C5993*VLOOKUP(B5993,'Poids des runes'!A:B,2,FALSE)))+1),(((D5993/100)*(C5993*VLOOKUP(B5993,'Poids des runes'!A:B,2,FALSE)))+1)/VLOOKUP(B5993,'Poids des runes'!A:B,2,FALSE))</f>
        <v>59.968000000000004</v>
      </c>
      <c r="F5993">
        <f t="shared" si="93"/>
        <v>59.968000000000004</v>
      </c>
    </row>
    <row r="5994" spans="1:6" x14ac:dyDescent="0.3">
      <c r="A5994" t="s">
        <v>1186</v>
      </c>
      <c r="B5994" t="s">
        <v>2126</v>
      </c>
      <c r="C5994">
        <v>30.5</v>
      </c>
      <c r="D5994">
        <v>168</v>
      </c>
      <c r="E5994">
        <f>IF(OR(B5994="vi",B5994="ii",B5994="pod"),(((D5994/100)*(C5994*VLOOKUP(B5994,'Poids des runes'!A:B,2,FALSE)))+1),(((D5994/100)*(C5994*VLOOKUP(B5994,'Poids des runes'!A:B,2,FALSE)))+1)/VLOOKUP(B5994,'Poids des runes'!A:B,2,FALSE))</f>
        <v>52.239999999999995</v>
      </c>
      <c r="F5994">
        <f t="shared" si="93"/>
        <v>52.239999999999995</v>
      </c>
    </row>
    <row r="5995" spans="1:6" x14ac:dyDescent="0.3">
      <c r="A5995" t="s">
        <v>1186</v>
      </c>
      <c r="B5995" t="s">
        <v>2131</v>
      </c>
      <c r="C5995">
        <v>30.5</v>
      </c>
      <c r="D5995">
        <v>168</v>
      </c>
      <c r="E5995">
        <f>IF(OR(B5995="vi",B5995="ii",B5995="pod"),(((D5995/100)*(C5995*VLOOKUP(B5995,'Poids des runes'!A:B,2,FALSE)))+1),(((D5995/100)*(C5995*VLOOKUP(B5995,'Poids des runes'!A:B,2,FALSE)))+1)/VLOOKUP(B5995,'Poids des runes'!A:B,2,FALSE))</f>
        <v>52.239999999999995</v>
      </c>
      <c r="F5995">
        <f t="shared" si="93"/>
        <v>52.239999999999995</v>
      </c>
    </row>
    <row r="5996" spans="1:6" x14ac:dyDescent="0.3">
      <c r="A5996" t="s">
        <v>1186</v>
      </c>
      <c r="B5996" t="s">
        <v>2129</v>
      </c>
      <c r="C5996">
        <v>30.5</v>
      </c>
      <c r="D5996">
        <v>168</v>
      </c>
      <c r="E5996">
        <f>IF(OR(B5996="vi",B5996="ii",B5996="pod"),(((D5996/100)*(C5996*VLOOKUP(B5996,'Poids des runes'!A:B,2,FALSE)))+1),(((D5996/100)*(C5996*VLOOKUP(B5996,'Poids des runes'!A:B,2,FALSE)))+1)/VLOOKUP(B5996,'Poids des runes'!A:B,2,FALSE))</f>
        <v>52.239999999999995</v>
      </c>
      <c r="F5996">
        <f t="shared" si="93"/>
        <v>52.239999999999995</v>
      </c>
    </row>
    <row r="5997" spans="1:6" x14ac:dyDescent="0.3">
      <c r="A5997" t="s">
        <v>1186</v>
      </c>
      <c r="B5997" t="s">
        <v>2155</v>
      </c>
      <c r="C5997">
        <v>1</v>
      </c>
      <c r="D5997">
        <v>168</v>
      </c>
      <c r="E5997">
        <f>IF(OR(B5997="vi",B5997="ii",B5997="pod"),(((D5997/100)*(C5997*VLOOKUP(B5997,'Poids des runes'!A:B,2,FALSE)))+1),(((D5997/100)*(C5997*VLOOKUP(B5997,'Poids des runes'!A:B,2,FALSE)))+1)/VLOOKUP(B5997,'Poids des runes'!A:B,2,FALSE))</f>
        <v>1.6996078431372548</v>
      </c>
      <c r="F5997">
        <f t="shared" si="93"/>
        <v>1.6996078431372548</v>
      </c>
    </row>
    <row r="5998" spans="1:6" x14ac:dyDescent="0.3">
      <c r="A5998" t="s">
        <v>1186</v>
      </c>
      <c r="B5998" t="s">
        <v>2150</v>
      </c>
      <c r="C5998">
        <v>1</v>
      </c>
      <c r="D5998">
        <v>168</v>
      </c>
      <c r="E5998">
        <f>IF(OR(B5998="vi",B5998="ii",B5998="pod"),(((D5998/100)*(C5998*VLOOKUP(B5998,'Poids des runes'!A:B,2,FALSE)))+1),(((D5998/100)*(C5998*VLOOKUP(B5998,'Poids des runes'!A:B,2,FALSE)))+1)/VLOOKUP(B5998,'Poids des runes'!A:B,2,FALSE))</f>
        <v>1.7133333333333334</v>
      </c>
      <c r="F5998">
        <f t="shared" si="93"/>
        <v>1.7133333333333334</v>
      </c>
    </row>
    <row r="5999" spans="1:6" x14ac:dyDescent="0.3">
      <c r="A5999" t="s">
        <v>1186</v>
      </c>
      <c r="B5999" t="s">
        <v>2140</v>
      </c>
      <c r="C5999">
        <v>8.5</v>
      </c>
      <c r="D5999">
        <v>168</v>
      </c>
      <c r="E5999">
        <f>IF(OR(B5999="vi",B5999="ii",B5999="pod"),(((D5999/100)*(C5999*VLOOKUP(B5999,'Poids des runes'!A:B,2,FALSE)))+1),(((D5999/100)*(C5999*VLOOKUP(B5999,'Poids des runes'!A:B,2,FALSE)))+1)/VLOOKUP(B5999,'Poids des runes'!A:B,2,FALSE))</f>
        <v>14.479999999999999</v>
      </c>
      <c r="F5999">
        <f t="shared" si="93"/>
        <v>14.479999999999999</v>
      </c>
    </row>
    <row r="6000" spans="1:6" x14ac:dyDescent="0.3">
      <c r="A6000" t="s">
        <v>1186</v>
      </c>
      <c r="B6000" t="s">
        <v>2133</v>
      </c>
      <c r="C6000">
        <v>8.5</v>
      </c>
      <c r="D6000">
        <v>168</v>
      </c>
      <c r="E6000">
        <f>IF(OR(B6000="vi",B6000="ii",B6000="pod"),(((D6000/100)*(C6000*VLOOKUP(B6000,'Poids des runes'!A:B,2,FALSE)))+1),(((D6000/100)*(C6000*VLOOKUP(B6000,'Poids des runes'!A:B,2,FALSE)))+1)/VLOOKUP(B6000,'Poids des runes'!A:B,2,FALSE))</f>
        <v>14.479999999999999</v>
      </c>
      <c r="F6000">
        <f t="shared" si="93"/>
        <v>14.479999999999999</v>
      </c>
    </row>
    <row r="6001" spans="1:6" x14ac:dyDescent="0.3">
      <c r="A6001" t="s">
        <v>1186</v>
      </c>
      <c r="B6001" t="s">
        <v>2161</v>
      </c>
      <c r="C6001">
        <v>8.5</v>
      </c>
      <c r="D6001">
        <v>168</v>
      </c>
      <c r="E6001">
        <f>IF(OR(B6001="vi",B6001="ii",B6001="pod"),(((D6001/100)*(C6001*VLOOKUP(B6001,'Poids des runes'!A:B,2,FALSE)))+1),(((D6001/100)*(C6001*VLOOKUP(B6001,'Poids des runes'!A:B,2,FALSE)))+1)/VLOOKUP(B6001,'Poids des runes'!A:B,2,FALSE))</f>
        <v>14.613333333333332</v>
      </c>
      <c r="F6001">
        <f t="shared" si="93"/>
        <v>14.613333333333332</v>
      </c>
    </row>
    <row r="6002" spans="1:6" x14ac:dyDescent="0.3">
      <c r="A6002" t="s">
        <v>1186</v>
      </c>
      <c r="B6002" t="s">
        <v>2141</v>
      </c>
      <c r="C6002">
        <v>3.5</v>
      </c>
      <c r="D6002">
        <v>168</v>
      </c>
      <c r="E6002">
        <f>IF(OR(B6002="vi",B6002="ii",B6002="pod"),(((D6002/100)*(C6002*VLOOKUP(B6002,'Poids des runes'!A:B,2,FALSE)))+1),(((D6002/100)*(C6002*VLOOKUP(B6002,'Poids des runes'!A:B,2,FALSE)))+1)/VLOOKUP(B6002,'Poids des runes'!A:B,2,FALSE))</f>
        <v>6.13</v>
      </c>
      <c r="F6002">
        <f t="shared" si="93"/>
        <v>6.13</v>
      </c>
    </row>
    <row r="6003" spans="1:6" x14ac:dyDescent="0.3">
      <c r="A6003" t="s">
        <v>1186</v>
      </c>
      <c r="B6003" t="s">
        <v>2160</v>
      </c>
      <c r="C6003">
        <v>3.5</v>
      </c>
      <c r="D6003">
        <v>168</v>
      </c>
      <c r="E6003">
        <f>IF(OR(B6003="vi",B6003="ii",B6003="pod"),(((D6003/100)*(C6003*VLOOKUP(B6003,'Poids des runes'!A:B,2,FALSE)))+1),(((D6003/100)*(C6003*VLOOKUP(B6003,'Poids des runes'!A:B,2,FALSE)))+1)/VLOOKUP(B6003,'Poids des runes'!A:B,2,FALSE))</f>
        <v>6.0228571428571422</v>
      </c>
      <c r="F6003">
        <f t="shared" si="93"/>
        <v>6.0228571428571422</v>
      </c>
    </row>
    <row r="6004" spans="1:6" x14ac:dyDescent="0.3">
      <c r="A6004" t="s">
        <v>1186</v>
      </c>
      <c r="B6004" t="s">
        <v>2136</v>
      </c>
      <c r="C6004">
        <v>8.5</v>
      </c>
      <c r="D6004">
        <v>168</v>
      </c>
      <c r="E6004">
        <f>IF(OR(B6004="vi",B6004="ii",B6004="pod"),(((D6004/100)*(C6004*VLOOKUP(B6004,'Poids des runes'!A:B,2,FALSE)))+1),(((D6004/100)*(C6004*VLOOKUP(B6004,'Poids des runes'!A:B,2,FALSE)))+1)/VLOOKUP(B6004,'Poids des runes'!A:B,2,FALSE))</f>
        <v>14.78</v>
      </c>
      <c r="F6004">
        <f t="shared" si="93"/>
        <v>14.78</v>
      </c>
    </row>
    <row r="6005" spans="1:6" x14ac:dyDescent="0.3">
      <c r="A6005" t="s">
        <v>1187</v>
      </c>
      <c r="B6005" t="s">
        <v>2128</v>
      </c>
      <c r="C6005">
        <v>225.5</v>
      </c>
      <c r="D6005">
        <v>169</v>
      </c>
      <c r="E6005">
        <f>IF(OR(B6005="vi",B6005="ii",B6005="pod"),(((D6005/100)*(C6005*VLOOKUP(B6005,'Poids des runes'!A:B,2,FALSE)))+1),(((D6005/100)*(C6005*VLOOKUP(B6005,'Poids des runes'!A:B,2,FALSE)))+1)/VLOOKUP(B6005,'Poids des runes'!A:B,2,FALSE))</f>
        <v>77.218999999999994</v>
      </c>
      <c r="F6005">
        <f t="shared" si="93"/>
        <v>77.218999999999994</v>
      </c>
    </row>
    <row r="6006" spans="1:6" x14ac:dyDescent="0.3">
      <c r="A6006" t="s">
        <v>1187</v>
      </c>
      <c r="B6006" t="s">
        <v>2126</v>
      </c>
      <c r="C6006">
        <v>40.5</v>
      </c>
      <c r="D6006">
        <v>169</v>
      </c>
      <c r="E6006">
        <f>IF(OR(B6006="vi",B6006="ii",B6006="pod"),(((D6006/100)*(C6006*VLOOKUP(B6006,'Poids des runes'!A:B,2,FALSE)))+1),(((D6006/100)*(C6006*VLOOKUP(B6006,'Poids des runes'!A:B,2,FALSE)))+1)/VLOOKUP(B6006,'Poids des runes'!A:B,2,FALSE))</f>
        <v>69.444999999999993</v>
      </c>
      <c r="F6006">
        <f t="shared" si="93"/>
        <v>69.444999999999993</v>
      </c>
    </row>
    <row r="6007" spans="1:6" x14ac:dyDescent="0.3">
      <c r="A6007" t="s">
        <v>1187</v>
      </c>
      <c r="B6007" t="s">
        <v>2131</v>
      </c>
      <c r="C6007">
        <v>40.5</v>
      </c>
      <c r="D6007">
        <v>169</v>
      </c>
      <c r="E6007">
        <f>IF(OR(B6007="vi",B6007="ii",B6007="pod"),(((D6007/100)*(C6007*VLOOKUP(B6007,'Poids des runes'!A:B,2,FALSE)))+1),(((D6007/100)*(C6007*VLOOKUP(B6007,'Poids des runes'!A:B,2,FALSE)))+1)/VLOOKUP(B6007,'Poids des runes'!A:B,2,FALSE))</f>
        <v>69.444999999999993</v>
      </c>
      <c r="F6007">
        <f t="shared" si="93"/>
        <v>69.444999999999993</v>
      </c>
    </row>
    <row r="6008" spans="1:6" x14ac:dyDescent="0.3">
      <c r="A6008" t="s">
        <v>1187</v>
      </c>
      <c r="B6008" t="s">
        <v>2129</v>
      </c>
      <c r="C6008">
        <v>25.5</v>
      </c>
      <c r="D6008">
        <v>169</v>
      </c>
      <c r="E6008">
        <f>IF(OR(B6008="vi",B6008="ii",B6008="pod"),(((D6008/100)*(C6008*VLOOKUP(B6008,'Poids des runes'!A:B,2,FALSE)))+1),(((D6008/100)*(C6008*VLOOKUP(B6008,'Poids des runes'!A:B,2,FALSE)))+1)/VLOOKUP(B6008,'Poids des runes'!A:B,2,FALSE))</f>
        <v>44.094999999999999</v>
      </c>
      <c r="F6008">
        <f t="shared" si="93"/>
        <v>44.094999999999999</v>
      </c>
    </row>
    <row r="6009" spans="1:6" x14ac:dyDescent="0.3">
      <c r="A6009" t="s">
        <v>1187</v>
      </c>
      <c r="B6009" t="s">
        <v>2155</v>
      </c>
      <c r="C6009">
        <v>1</v>
      </c>
      <c r="D6009">
        <v>169</v>
      </c>
      <c r="E6009">
        <f>IF(OR(B6009="vi",B6009="ii",B6009="pod"),(((D6009/100)*(C6009*VLOOKUP(B6009,'Poids des runes'!A:B,2,FALSE)))+1),(((D6009/100)*(C6009*VLOOKUP(B6009,'Poids des runes'!A:B,2,FALSE)))+1)/VLOOKUP(B6009,'Poids des runes'!A:B,2,FALSE))</f>
        <v>1.7096078431372548</v>
      </c>
      <c r="F6009">
        <f t="shared" si="93"/>
        <v>1.7096078431372548</v>
      </c>
    </row>
    <row r="6010" spans="1:6" x14ac:dyDescent="0.3">
      <c r="A6010" t="s">
        <v>1187</v>
      </c>
      <c r="B6010" t="s">
        <v>2150</v>
      </c>
      <c r="C6010">
        <v>1</v>
      </c>
      <c r="D6010">
        <v>169</v>
      </c>
      <c r="E6010">
        <f>IF(OR(B6010="vi",B6010="ii",B6010="pod"),(((D6010/100)*(C6010*VLOOKUP(B6010,'Poids des runes'!A:B,2,FALSE)))+1),(((D6010/100)*(C6010*VLOOKUP(B6010,'Poids des runes'!A:B,2,FALSE)))+1)/VLOOKUP(B6010,'Poids des runes'!A:B,2,FALSE))</f>
        <v>1.7233333333333332</v>
      </c>
      <c r="F6010">
        <f t="shared" si="93"/>
        <v>1.7233333333333332</v>
      </c>
    </row>
    <row r="6011" spans="1:6" x14ac:dyDescent="0.3">
      <c r="A6011" t="s">
        <v>1187</v>
      </c>
      <c r="B6011" t="s">
        <v>2140</v>
      </c>
      <c r="C6011">
        <v>8.5</v>
      </c>
      <c r="D6011">
        <v>169</v>
      </c>
      <c r="E6011">
        <f>IF(OR(B6011="vi",B6011="ii",B6011="pod"),(((D6011/100)*(C6011*VLOOKUP(B6011,'Poids des runes'!A:B,2,FALSE)))+1),(((D6011/100)*(C6011*VLOOKUP(B6011,'Poids des runes'!A:B,2,FALSE)))+1)/VLOOKUP(B6011,'Poids des runes'!A:B,2,FALSE))</f>
        <v>14.565000000000001</v>
      </c>
      <c r="F6011">
        <f t="shared" si="93"/>
        <v>14.565000000000001</v>
      </c>
    </row>
    <row r="6012" spans="1:6" x14ac:dyDescent="0.3">
      <c r="A6012" t="s">
        <v>1187</v>
      </c>
      <c r="B6012" t="s">
        <v>2133</v>
      </c>
      <c r="C6012">
        <v>8.5</v>
      </c>
      <c r="D6012">
        <v>169</v>
      </c>
      <c r="E6012">
        <f>IF(OR(B6012="vi",B6012="ii",B6012="pod"),(((D6012/100)*(C6012*VLOOKUP(B6012,'Poids des runes'!A:B,2,FALSE)))+1),(((D6012/100)*(C6012*VLOOKUP(B6012,'Poids des runes'!A:B,2,FALSE)))+1)/VLOOKUP(B6012,'Poids des runes'!A:B,2,FALSE))</f>
        <v>14.565000000000001</v>
      </c>
      <c r="F6012">
        <f t="shared" si="93"/>
        <v>14.565000000000001</v>
      </c>
    </row>
    <row r="6013" spans="1:6" x14ac:dyDescent="0.3">
      <c r="A6013" t="s">
        <v>1187</v>
      </c>
      <c r="B6013" t="s">
        <v>2149</v>
      </c>
      <c r="C6013">
        <v>8.5</v>
      </c>
      <c r="D6013">
        <v>169</v>
      </c>
      <c r="E6013">
        <f>IF(OR(B6013="vi",B6013="ii",B6013="pod"),(((D6013/100)*(C6013*VLOOKUP(B6013,'Poids des runes'!A:B,2,FALSE)))+1),(((D6013/100)*(C6013*VLOOKUP(B6013,'Poids des runes'!A:B,2,FALSE)))+1)/VLOOKUP(B6013,'Poids des runes'!A:B,2,FALSE))</f>
        <v>14.465</v>
      </c>
      <c r="F6013">
        <f t="shared" si="93"/>
        <v>14.465</v>
      </c>
    </row>
    <row r="6014" spans="1:6" x14ac:dyDescent="0.3">
      <c r="A6014" t="s">
        <v>1187</v>
      </c>
      <c r="B6014" t="s">
        <v>2161</v>
      </c>
      <c r="C6014">
        <v>15.5</v>
      </c>
      <c r="D6014">
        <v>169</v>
      </c>
      <c r="E6014">
        <f>IF(OR(B6014="vi",B6014="ii",B6014="pod"),(((D6014/100)*(C6014*VLOOKUP(B6014,'Poids des runes'!A:B,2,FALSE)))+1),(((D6014/100)*(C6014*VLOOKUP(B6014,'Poids des runes'!A:B,2,FALSE)))+1)/VLOOKUP(B6014,'Poids des runes'!A:B,2,FALSE))</f>
        <v>26.528333333333332</v>
      </c>
      <c r="F6014">
        <f t="shared" si="93"/>
        <v>26.528333333333332</v>
      </c>
    </row>
    <row r="6015" spans="1:6" x14ac:dyDescent="0.3">
      <c r="A6015" t="s">
        <v>1187</v>
      </c>
      <c r="B6015" t="s">
        <v>2163</v>
      </c>
      <c r="C6015">
        <v>8.5</v>
      </c>
      <c r="D6015">
        <v>169</v>
      </c>
      <c r="E6015">
        <f>IF(OR(B6015="vi",B6015="ii",B6015="pod"),(((D6015/100)*(C6015*VLOOKUP(B6015,'Poids des runes'!A:B,2,FALSE)))+1),(((D6015/100)*(C6015*VLOOKUP(B6015,'Poids des runes'!A:B,2,FALSE)))+1)/VLOOKUP(B6015,'Poids des runes'!A:B,2,FALSE))</f>
        <v>14.865</v>
      </c>
      <c r="F6015">
        <f t="shared" si="93"/>
        <v>14.865</v>
      </c>
    </row>
    <row r="6016" spans="1:6" x14ac:dyDescent="0.3">
      <c r="A6016" t="s">
        <v>1187</v>
      </c>
      <c r="B6016" t="s">
        <v>2135</v>
      </c>
      <c r="C6016">
        <v>6</v>
      </c>
      <c r="D6016">
        <v>169</v>
      </c>
      <c r="E6016">
        <f>IF(OR(B6016="vi",B6016="ii",B6016="pod"),(((D6016/100)*(C6016*VLOOKUP(B6016,'Poids des runes'!A:B,2,FALSE)))+1),(((D6016/100)*(C6016*VLOOKUP(B6016,'Poids des runes'!A:B,2,FALSE)))+1)/VLOOKUP(B6016,'Poids des runes'!A:B,2,FALSE))</f>
        <v>10.306666666666667</v>
      </c>
      <c r="F6016">
        <f t="shared" si="93"/>
        <v>10.306666666666667</v>
      </c>
    </row>
    <row r="6017" spans="1:6" x14ac:dyDescent="0.3">
      <c r="A6017" t="s">
        <v>1187</v>
      </c>
      <c r="B6017" t="s">
        <v>2136</v>
      </c>
      <c r="C6017">
        <v>8.5</v>
      </c>
      <c r="D6017">
        <v>169</v>
      </c>
      <c r="E6017">
        <f>IF(OR(B6017="vi",B6017="ii",B6017="pod"),(((D6017/100)*(C6017*VLOOKUP(B6017,'Poids des runes'!A:B,2,FALSE)))+1),(((D6017/100)*(C6017*VLOOKUP(B6017,'Poids des runes'!A:B,2,FALSE)))+1)/VLOOKUP(B6017,'Poids des runes'!A:B,2,FALSE))</f>
        <v>14.865</v>
      </c>
      <c r="F6017">
        <f t="shared" si="93"/>
        <v>14.865</v>
      </c>
    </row>
    <row r="6018" spans="1:6" x14ac:dyDescent="0.3">
      <c r="A6018" t="s">
        <v>1188</v>
      </c>
      <c r="B6018" t="s">
        <v>2128</v>
      </c>
      <c r="C6018">
        <v>225.5</v>
      </c>
      <c r="D6018">
        <v>169</v>
      </c>
      <c r="E6018">
        <f>IF(OR(B6018="vi",B6018="ii",B6018="pod"),(((D6018/100)*(C6018*VLOOKUP(B6018,'Poids des runes'!A:B,2,FALSE)))+1),(((D6018/100)*(C6018*VLOOKUP(B6018,'Poids des runes'!A:B,2,FALSE)))+1)/VLOOKUP(B6018,'Poids des runes'!A:B,2,FALSE))</f>
        <v>77.218999999999994</v>
      </c>
      <c r="F6018">
        <f t="shared" si="93"/>
        <v>77.218999999999994</v>
      </c>
    </row>
    <row r="6019" spans="1:6" x14ac:dyDescent="0.3">
      <c r="A6019" t="s">
        <v>1188</v>
      </c>
      <c r="B6019" t="s">
        <v>2131</v>
      </c>
      <c r="C6019">
        <v>35.5</v>
      </c>
      <c r="D6019">
        <v>169</v>
      </c>
      <c r="E6019">
        <f>IF(OR(B6019="vi",B6019="ii",B6019="pod"),(((D6019/100)*(C6019*VLOOKUP(B6019,'Poids des runes'!A:B,2,FALSE)))+1),(((D6019/100)*(C6019*VLOOKUP(B6019,'Poids des runes'!A:B,2,FALSE)))+1)/VLOOKUP(B6019,'Poids des runes'!A:B,2,FALSE))</f>
        <v>60.994999999999997</v>
      </c>
      <c r="F6019">
        <f t="shared" ref="F6019:F6082" si="94">E6019</f>
        <v>60.994999999999997</v>
      </c>
    </row>
    <row r="6020" spans="1:6" x14ac:dyDescent="0.3">
      <c r="A6020" t="s">
        <v>1188</v>
      </c>
      <c r="B6020" t="s">
        <v>2127</v>
      </c>
      <c r="C6020">
        <v>35.5</v>
      </c>
      <c r="D6020">
        <v>169</v>
      </c>
      <c r="E6020">
        <f>IF(OR(B6020="vi",B6020="ii",B6020="pod"),(((D6020/100)*(C6020*VLOOKUP(B6020,'Poids des runes'!A:B,2,FALSE)))+1),(((D6020/100)*(C6020*VLOOKUP(B6020,'Poids des runes'!A:B,2,FALSE)))+1)/VLOOKUP(B6020,'Poids des runes'!A:B,2,FALSE))</f>
        <v>60.994999999999997</v>
      </c>
      <c r="F6020">
        <f t="shared" si="94"/>
        <v>60.994999999999997</v>
      </c>
    </row>
    <row r="6021" spans="1:6" x14ac:dyDescent="0.3">
      <c r="A6021" t="s">
        <v>1188</v>
      </c>
      <c r="B6021" t="s">
        <v>2129</v>
      </c>
      <c r="C6021">
        <v>25.5</v>
      </c>
      <c r="D6021">
        <v>169</v>
      </c>
      <c r="E6021">
        <f>IF(OR(B6021="vi",B6021="ii",B6021="pod"),(((D6021/100)*(C6021*VLOOKUP(B6021,'Poids des runes'!A:B,2,FALSE)))+1),(((D6021/100)*(C6021*VLOOKUP(B6021,'Poids des runes'!A:B,2,FALSE)))+1)/VLOOKUP(B6021,'Poids des runes'!A:B,2,FALSE))</f>
        <v>44.094999999999999</v>
      </c>
      <c r="F6021">
        <f t="shared" si="94"/>
        <v>44.094999999999999</v>
      </c>
    </row>
    <row r="6022" spans="1:6" x14ac:dyDescent="0.3">
      <c r="A6022" t="s">
        <v>1188</v>
      </c>
      <c r="B6022" t="s">
        <v>2151</v>
      </c>
      <c r="C6022">
        <v>2</v>
      </c>
      <c r="D6022">
        <v>169</v>
      </c>
      <c r="E6022">
        <f>IF(OR(B6022="vi",B6022="ii",B6022="pod"),(((D6022/100)*(C6022*VLOOKUP(B6022,'Poids des runes'!A:B,2,FALSE)))+1),(((D6022/100)*(C6022*VLOOKUP(B6022,'Poids des runes'!A:B,2,FALSE)))+1)/VLOOKUP(B6022,'Poids des runes'!A:B,2,FALSE))</f>
        <v>3.4799999999999995</v>
      </c>
      <c r="F6022">
        <f t="shared" si="94"/>
        <v>3.4799999999999995</v>
      </c>
    </row>
    <row r="6023" spans="1:6" x14ac:dyDescent="0.3">
      <c r="A6023" t="s">
        <v>1188</v>
      </c>
      <c r="B6023" t="s">
        <v>2152</v>
      </c>
      <c r="C6023">
        <v>1</v>
      </c>
      <c r="D6023">
        <v>169</v>
      </c>
      <c r="E6023">
        <f>IF(OR(B6023="vi",B6023="ii",B6023="pod"),(((D6023/100)*(C6023*VLOOKUP(B6023,'Poids des runes'!A:B,2,FALSE)))+1),(((D6023/100)*(C6023*VLOOKUP(B6023,'Poids des runes'!A:B,2,FALSE)))+1)/VLOOKUP(B6023,'Poids des runes'!A:B,2,FALSE))</f>
        <v>1.7</v>
      </c>
      <c r="F6023">
        <f t="shared" si="94"/>
        <v>1.7</v>
      </c>
    </row>
    <row r="6024" spans="1:6" x14ac:dyDescent="0.3">
      <c r="A6024" t="s">
        <v>1188</v>
      </c>
      <c r="B6024" t="s">
        <v>2133</v>
      </c>
      <c r="C6024">
        <v>10.5</v>
      </c>
      <c r="D6024">
        <v>169</v>
      </c>
      <c r="E6024">
        <f>IF(OR(B6024="vi",B6024="ii",B6024="pod"),(((D6024/100)*(C6024*VLOOKUP(B6024,'Poids des runes'!A:B,2,FALSE)))+1),(((D6024/100)*(C6024*VLOOKUP(B6024,'Poids des runes'!A:B,2,FALSE)))+1)/VLOOKUP(B6024,'Poids des runes'!A:B,2,FALSE))</f>
        <v>17.945</v>
      </c>
      <c r="F6024">
        <f t="shared" si="94"/>
        <v>17.945</v>
      </c>
    </row>
    <row r="6025" spans="1:6" x14ac:dyDescent="0.3">
      <c r="A6025" t="s">
        <v>1188</v>
      </c>
      <c r="B6025" t="s">
        <v>2153</v>
      </c>
      <c r="C6025">
        <v>10.5</v>
      </c>
      <c r="D6025">
        <v>169</v>
      </c>
      <c r="E6025">
        <f>IF(OR(B6025="vi",B6025="ii",B6025="pod"),(((D6025/100)*(C6025*VLOOKUP(B6025,'Poids des runes'!A:B,2,FALSE)))+1),(((D6025/100)*(C6025*VLOOKUP(B6025,'Poids des runes'!A:B,2,FALSE)))+1)/VLOOKUP(B6025,'Poids des runes'!A:B,2,FALSE))</f>
        <v>17.945</v>
      </c>
      <c r="F6025">
        <f t="shared" si="94"/>
        <v>17.945</v>
      </c>
    </row>
    <row r="6026" spans="1:6" x14ac:dyDescent="0.3">
      <c r="A6026" t="s">
        <v>1188</v>
      </c>
      <c r="B6026" t="s">
        <v>2149</v>
      </c>
      <c r="C6026">
        <v>13</v>
      </c>
      <c r="D6026">
        <v>169</v>
      </c>
      <c r="E6026">
        <f>IF(OR(B6026="vi",B6026="ii",B6026="pod"),(((D6026/100)*(C6026*VLOOKUP(B6026,'Poids des runes'!A:B,2,FALSE)))+1),(((D6026/100)*(C6026*VLOOKUP(B6026,'Poids des runes'!A:B,2,FALSE)))+1)/VLOOKUP(B6026,'Poids des runes'!A:B,2,FALSE))</f>
        <v>22.07</v>
      </c>
      <c r="F6026">
        <f t="shared" si="94"/>
        <v>22.07</v>
      </c>
    </row>
    <row r="6027" spans="1:6" x14ac:dyDescent="0.3">
      <c r="A6027" t="s">
        <v>1188</v>
      </c>
      <c r="B6027" t="s">
        <v>2160</v>
      </c>
      <c r="C6027">
        <v>5</v>
      </c>
      <c r="D6027">
        <v>169</v>
      </c>
      <c r="E6027">
        <f>IF(OR(B6027="vi",B6027="ii",B6027="pod"),(((D6027/100)*(C6027*VLOOKUP(B6027,'Poids des runes'!A:B,2,FALSE)))+1),(((D6027/100)*(C6027*VLOOKUP(B6027,'Poids des runes'!A:B,2,FALSE)))+1)/VLOOKUP(B6027,'Poids des runes'!A:B,2,FALSE))</f>
        <v>8.5928571428571434</v>
      </c>
      <c r="F6027">
        <f t="shared" si="94"/>
        <v>8.5928571428571434</v>
      </c>
    </row>
    <row r="6028" spans="1:6" x14ac:dyDescent="0.3">
      <c r="A6028" t="s">
        <v>1188</v>
      </c>
      <c r="B6028" t="s">
        <v>2147</v>
      </c>
      <c r="C6028">
        <v>6</v>
      </c>
      <c r="D6028">
        <v>169</v>
      </c>
      <c r="E6028">
        <f>IF(OR(B6028="vi",B6028="ii",B6028="pod"),(((D6028/100)*(C6028*VLOOKUP(B6028,'Poids des runes'!A:B,2,FALSE)))+1),(((D6028/100)*(C6028*VLOOKUP(B6028,'Poids des runes'!A:B,2,FALSE)))+1)/VLOOKUP(B6028,'Poids des runes'!A:B,2,FALSE))</f>
        <v>10.306666666666667</v>
      </c>
      <c r="F6028">
        <f t="shared" si="94"/>
        <v>10.306666666666667</v>
      </c>
    </row>
    <row r="6029" spans="1:6" x14ac:dyDescent="0.3">
      <c r="A6029" t="s">
        <v>1188</v>
      </c>
      <c r="B6029" t="s">
        <v>2157</v>
      </c>
      <c r="C6029">
        <v>6</v>
      </c>
      <c r="D6029">
        <v>169</v>
      </c>
      <c r="E6029">
        <f>IF(OR(B6029="vi",B6029="ii",B6029="pod"),(((D6029/100)*(C6029*VLOOKUP(B6029,'Poids des runes'!A:B,2,FALSE)))+1),(((D6029/100)*(C6029*VLOOKUP(B6029,'Poids des runes'!A:B,2,FALSE)))+1)/VLOOKUP(B6029,'Poids des runes'!A:B,2,FALSE))</f>
        <v>10.306666666666667</v>
      </c>
      <c r="F6029">
        <f t="shared" si="94"/>
        <v>10.306666666666667</v>
      </c>
    </row>
    <row r="6030" spans="1:6" x14ac:dyDescent="0.3">
      <c r="A6030" t="s">
        <v>1189</v>
      </c>
      <c r="B6030" t="s">
        <v>2128</v>
      </c>
      <c r="C6030">
        <v>225.5</v>
      </c>
      <c r="D6030">
        <v>169</v>
      </c>
      <c r="E6030">
        <f>IF(OR(B6030="vi",B6030="ii",B6030="pod"),(((D6030/100)*(C6030*VLOOKUP(B6030,'Poids des runes'!A:B,2,FALSE)))+1),(((D6030/100)*(C6030*VLOOKUP(B6030,'Poids des runes'!A:B,2,FALSE)))+1)/VLOOKUP(B6030,'Poids des runes'!A:B,2,FALSE))</f>
        <v>77.218999999999994</v>
      </c>
      <c r="F6030">
        <f t="shared" si="94"/>
        <v>77.218999999999994</v>
      </c>
    </row>
    <row r="6031" spans="1:6" x14ac:dyDescent="0.3">
      <c r="A6031" t="s">
        <v>1189</v>
      </c>
      <c r="B6031" t="s">
        <v>2130</v>
      </c>
      <c r="C6031">
        <v>50.5</v>
      </c>
      <c r="D6031">
        <v>169</v>
      </c>
      <c r="E6031">
        <f>IF(OR(B6031="vi",B6031="ii",B6031="pod"),(((D6031/100)*(C6031*VLOOKUP(B6031,'Poids des runes'!A:B,2,FALSE)))+1),(((D6031/100)*(C6031*VLOOKUP(B6031,'Poids des runes'!A:B,2,FALSE)))+1)/VLOOKUP(B6031,'Poids des runes'!A:B,2,FALSE))</f>
        <v>86.344999999999999</v>
      </c>
      <c r="F6031">
        <f t="shared" si="94"/>
        <v>86.344999999999999</v>
      </c>
    </row>
    <row r="6032" spans="1:6" x14ac:dyDescent="0.3">
      <c r="A6032" t="s">
        <v>1189</v>
      </c>
      <c r="B6032" t="s">
        <v>2129</v>
      </c>
      <c r="C6032">
        <v>25.5</v>
      </c>
      <c r="D6032">
        <v>169</v>
      </c>
      <c r="E6032">
        <f>IF(OR(B6032="vi",B6032="ii",B6032="pod"),(((D6032/100)*(C6032*VLOOKUP(B6032,'Poids des runes'!A:B,2,FALSE)))+1),(((D6032/100)*(C6032*VLOOKUP(B6032,'Poids des runes'!A:B,2,FALSE)))+1)/VLOOKUP(B6032,'Poids des runes'!A:B,2,FALSE))</f>
        <v>44.094999999999999</v>
      </c>
      <c r="F6032">
        <f t="shared" si="94"/>
        <v>44.094999999999999</v>
      </c>
    </row>
    <row r="6033" spans="1:6" x14ac:dyDescent="0.3">
      <c r="A6033" t="s">
        <v>1189</v>
      </c>
      <c r="B6033" t="s">
        <v>2151</v>
      </c>
      <c r="C6033">
        <v>2</v>
      </c>
      <c r="D6033">
        <v>169</v>
      </c>
      <c r="E6033">
        <f>IF(OR(B6033="vi",B6033="ii",B6033="pod"),(((D6033/100)*(C6033*VLOOKUP(B6033,'Poids des runes'!A:B,2,FALSE)))+1),(((D6033/100)*(C6033*VLOOKUP(B6033,'Poids des runes'!A:B,2,FALSE)))+1)/VLOOKUP(B6033,'Poids des runes'!A:B,2,FALSE))</f>
        <v>3.4799999999999995</v>
      </c>
      <c r="F6033">
        <f t="shared" si="94"/>
        <v>3.4799999999999995</v>
      </c>
    </row>
    <row r="6034" spans="1:6" x14ac:dyDescent="0.3">
      <c r="A6034" t="s">
        <v>1189</v>
      </c>
      <c r="B6034" t="s">
        <v>2150</v>
      </c>
      <c r="C6034">
        <v>1</v>
      </c>
      <c r="D6034">
        <v>169</v>
      </c>
      <c r="E6034">
        <f>IF(OR(B6034="vi",B6034="ii",B6034="pod"),(((D6034/100)*(C6034*VLOOKUP(B6034,'Poids des runes'!A:B,2,FALSE)))+1),(((D6034/100)*(C6034*VLOOKUP(B6034,'Poids des runes'!A:B,2,FALSE)))+1)/VLOOKUP(B6034,'Poids des runes'!A:B,2,FALSE))</f>
        <v>1.7233333333333332</v>
      </c>
      <c r="F6034">
        <f t="shared" si="94"/>
        <v>1.7233333333333332</v>
      </c>
    </row>
    <row r="6035" spans="1:6" x14ac:dyDescent="0.3">
      <c r="A6035" t="s">
        <v>1189</v>
      </c>
      <c r="B6035" t="s">
        <v>2143</v>
      </c>
      <c r="C6035">
        <v>8.5</v>
      </c>
      <c r="D6035">
        <v>169</v>
      </c>
      <c r="E6035">
        <f>IF(OR(B6035="vi",B6035="ii",B6035="pod"),(((D6035/100)*(C6035*VLOOKUP(B6035,'Poids des runes'!A:B,2,FALSE)))+1),(((D6035/100)*(C6035*VLOOKUP(B6035,'Poids des runes'!A:B,2,FALSE)))+1)/VLOOKUP(B6035,'Poids des runes'!A:B,2,FALSE))</f>
        <v>14.565000000000001</v>
      </c>
      <c r="F6035">
        <f t="shared" si="94"/>
        <v>14.565000000000001</v>
      </c>
    </row>
    <row r="6036" spans="1:6" x14ac:dyDescent="0.3">
      <c r="A6036" t="s">
        <v>1189</v>
      </c>
      <c r="B6036" t="s">
        <v>2141</v>
      </c>
      <c r="C6036">
        <v>4.5</v>
      </c>
      <c r="D6036">
        <v>169</v>
      </c>
      <c r="E6036">
        <f>IF(OR(B6036="vi",B6036="ii",B6036="pod"),(((D6036/100)*(C6036*VLOOKUP(B6036,'Poids des runes'!A:B,2,FALSE)))+1),(((D6036/100)*(C6036*VLOOKUP(B6036,'Poids des runes'!A:B,2,FALSE)))+1)/VLOOKUP(B6036,'Poids des runes'!A:B,2,FALSE))</f>
        <v>7.8549999999999995</v>
      </c>
      <c r="F6036">
        <f t="shared" si="94"/>
        <v>7.8549999999999995</v>
      </c>
    </row>
    <row r="6037" spans="1:6" x14ac:dyDescent="0.3">
      <c r="A6037" t="s">
        <v>1189</v>
      </c>
      <c r="B6037" t="s">
        <v>2165</v>
      </c>
      <c r="C6037">
        <v>4.5</v>
      </c>
      <c r="D6037">
        <v>169</v>
      </c>
      <c r="E6037">
        <f>IF(OR(B6037="vi",B6037="ii",B6037="pod"),(((D6037/100)*(C6037*VLOOKUP(B6037,'Poids des runes'!A:B,2,FALSE)))+1),(((D6037/100)*(C6037*VLOOKUP(B6037,'Poids des runes'!A:B,2,FALSE)))+1)/VLOOKUP(B6037,'Poids des runes'!A:B,2,FALSE))</f>
        <v>7.7478571428571428</v>
      </c>
      <c r="F6037">
        <f t="shared" si="94"/>
        <v>7.7478571428571428</v>
      </c>
    </row>
    <row r="6038" spans="1:6" x14ac:dyDescent="0.3">
      <c r="A6038" t="s">
        <v>1189</v>
      </c>
      <c r="B6038" t="s">
        <v>2163</v>
      </c>
      <c r="C6038">
        <v>13</v>
      </c>
      <c r="D6038">
        <v>169</v>
      </c>
      <c r="E6038">
        <f>IF(OR(B6038="vi",B6038="ii",B6038="pod"),(((D6038/100)*(C6038*VLOOKUP(B6038,'Poids des runes'!A:B,2,FALSE)))+1),(((D6038/100)*(C6038*VLOOKUP(B6038,'Poids des runes'!A:B,2,FALSE)))+1)/VLOOKUP(B6038,'Poids des runes'!A:B,2,FALSE))</f>
        <v>22.47</v>
      </c>
      <c r="F6038">
        <f t="shared" si="94"/>
        <v>22.47</v>
      </c>
    </row>
    <row r="6039" spans="1:6" x14ac:dyDescent="0.3">
      <c r="A6039" t="s">
        <v>1190</v>
      </c>
      <c r="B6039" t="s">
        <v>2128</v>
      </c>
      <c r="C6039">
        <v>225.5</v>
      </c>
      <c r="D6039">
        <v>170</v>
      </c>
      <c r="E6039">
        <f>IF(OR(B6039="vi",B6039="ii",B6039="pod"),(((D6039/100)*(C6039*VLOOKUP(B6039,'Poids des runes'!A:B,2,FALSE)))+1),(((D6039/100)*(C6039*VLOOKUP(B6039,'Poids des runes'!A:B,2,FALSE)))+1)/VLOOKUP(B6039,'Poids des runes'!A:B,2,FALSE))</f>
        <v>77.67</v>
      </c>
      <c r="F6039">
        <f t="shared" si="94"/>
        <v>77.67</v>
      </c>
    </row>
    <row r="6040" spans="1:6" x14ac:dyDescent="0.3">
      <c r="A6040" t="s">
        <v>1190</v>
      </c>
      <c r="B6040" t="s">
        <v>2126</v>
      </c>
      <c r="C6040">
        <v>70.5</v>
      </c>
      <c r="D6040">
        <v>170</v>
      </c>
      <c r="E6040">
        <f>IF(OR(B6040="vi",B6040="ii",B6040="pod"),(((D6040/100)*(C6040*VLOOKUP(B6040,'Poids des runes'!A:B,2,FALSE)))+1),(((D6040/100)*(C6040*VLOOKUP(B6040,'Poids des runes'!A:B,2,FALSE)))+1)/VLOOKUP(B6040,'Poids des runes'!A:B,2,FALSE))</f>
        <v>120.85</v>
      </c>
      <c r="F6040">
        <f t="shared" si="94"/>
        <v>120.85</v>
      </c>
    </row>
    <row r="6041" spans="1:6" x14ac:dyDescent="0.3">
      <c r="A6041" t="s">
        <v>1190</v>
      </c>
      <c r="B6041" t="s">
        <v>2129</v>
      </c>
      <c r="C6041">
        <v>35.5</v>
      </c>
      <c r="D6041">
        <v>170</v>
      </c>
      <c r="E6041">
        <f>IF(OR(B6041="vi",B6041="ii",B6041="pod"),(((D6041/100)*(C6041*VLOOKUP(B6041,'Poids des runes'!A:B,2,FALSE)))+1),(((D6041/100)*(C6041*VLOOKUP(B6041,'Poids des runes'!A:B,2,FALSE)))+1)/VLOOKUP(B6041,'Poids des runes'!A:B,2,FALSE))</f>
        <v>61.35</v>
      </c>
      <c r="F6041">
        <f t="shared" si="94"/>
        <v>61.35</v>
      </c>
    </row>
    <row r="6042" spans="1:6" x14ac:dyDescent="0.3">
      <c r="A6042" t="s">
        <v>1190</v>
      </c>
      <c r="B6042" t="s">
        <v>2139</v>
      </c>
      <c r="C6042">
        <v>15.5</v>
      </c>
      <c r="D6042">
        <v>170</v>
      </c>
      <c r="E6042">
        <f>IF(OR(B6042="vi",B6042="ii",B6042="pod"),(((D6042/100)*(C6042*VLOOKUP(B6042,'Poids des runes'!A:B,2,FALSE)))+1),(((D6042/100)*(C6042*VLOOKUP(B6042,'Poids des runes'!A:B,2,FALSE)))+1)/VLOOKUP(B6042,'Poids des runes'!A:B,2,FALSE))</f>
        <v>26.849999999999998</v>
      </c>
      <c r="F6042">
        <f t="shared" si="94"/>
        <v>26.849999999999998</v>
      </c>
    </row>
    <row r="6043" spans="1:6" x14ac:dyDescent="0.3">
      <c r="A6043" t="s">
        <v>1190</v>
      </c>
      <c r="B6043" t="s">
        <v>2154</v>
      </c>
      <c r="C6043">
        <v>1</v>
      </c>
      <c r="D6043">
        <v>170</v>
      </c>
      <c r="E6043">
        <f>IF(OR(B6043="vi",B6043="ii",B6043="pod"),(((D6043/100)*(C6043*VLOOKUP(B6043,'Poids des runes'!A:B,2,FALSE)))+1),(((D6043/100)*(C6043*VLOOKUP(B6043,'Poids des runes'!A:B,2,FALSE)))+1)/VLOOKUP(B6043,'Poids des runes'!A:B,2,FALSE))</f>
        <v>1.711111111111111</v>
      </c>
      <c r="F6043">
        <f t="shared" si="94"/>
        <v>1.711111111111111</v>
      </c>
    </row>
    <row r="6044" spans="1:6" x14ac:dyDescent="0.3">
      <c r="A6044" t="s">
        <v>1190</v>
      </c>
      <c r="B6044" t="s">
        <v>2140</v>
      </c>
      <c r="C6044">
        <v>10</v>
      </c>
      <c r="D6044">
        <v>170</v>
      </c>
      <c r="E6044">
        <f>IF(OR(B6044="vi",B6044="ii",B6044="pod"),(((D6044/100)*(C6044*VLOOKUP(B6044,'Poids des runes'!A:B,2,FALSE)))+1),(((D6044/100)*(C6044*VLOOKUP(B6044,'Poids des runes'!A:B,2,FALSE)))+1)/VLOOKUP(B6044,'Poids des runes'!A:B,2,FALSE))</f>
        <v>17.2</v>
      </c>
      <c r="F6044">
        <f t="shared" si="94"/>
        <v>17.2</v>
      </c>
    </row>
    <row r="6045" spans="1:6" x14ac:dyDescent="0.3">
      <c r="A6045" t="s">
        <v>1190</v>
      </c>
      <c r="B6045" t="s">
        <v>2149</v>
      </c>
      <c r="C6045">
        <v>6</v>
      </c>
      <c r="D6045">
        <v>170</v>
      </c>
      <c r="E6045">
        <f>IF(OR(B6045="vi",B6045="ii",B6045="pod"),(((D6045/100)*(C6045*VLOOKUP(B6045,'Poids des runes'!A:B,2,FALSE)))+1),(((D6045/100)*(C6045*VLOOKUP(B6045,'Poids des runes'!A:B,2,FALSE)))+1)/VLOOKUP(B6045,'Poids des runes'!A:B,2,FALSE))</f>
        <v>10.3</v>
      </c>
      <c r="F6045">
        <f t="shared" si="94"/>
        <v>10.3</v>
      </c>
    </row>
    <row r="6046" spans="1:6" x14ac:dyDescent="0.3">
      <c r="A6046" t="s">
        <v>1190</v>
      </c>
      <c r="B6046" t="s">
        <v>2165</v>
      </c>
      <c r="C6046">
        <v>4</v>
      </c>
      <c r="D6046">
        <v>170</v>
      </c>
      <c r="E6046">
        <f>IF(OR(B6046="vi",B6046="ii",B6046="pod"),(((D6046/100)*(C6046*VLOOKUP(B6046,'Poids des runes'!A:B,2,FALSE)))+1),(((D6046/100)*(C6046*VLOOKUP(B6046,'Poids des runes'!A:B,2,FALSE)))+1)/VLOOKUP(B6046,'Poids des runes'!A:B,2,FALSE))</f>
        <v>6.9428571428571431</v>
      </c>
      <c r="F6046">
        <f t="shared" si="94"/>
        <v>6.9428571428571431</v>
      </c>
    </row>
    <row r="6047" spans="1:6" x14ac:dyDescent="0.3">
      <c r="A6047" t="s">
        <v>1190</v>
      </c>
      <c r="B6047" t="s">
        <v>2135</v>
      </c>
      <c r="C6047">
        <v>6</v>
      </c>
      <c r="D6047">
        <v>170</v>
      </c>
      <c r="E6047">
        <f>IF(OR(B6047="vi",B6047="ii",B6047="pod"),(((D6047/100)*(C6047*VLOOKUP(B6047,'Poids des runes'!A:B,2,FALSE)))+1),(((D6047/100)*(C6047*VLOOKUP(B6047,'Poids des runes'!A:B,2,FALSE)))+1)/VLOOKUP(B6047,'Poids des runes'!A:B,2,FALSE))</f>
        <v>10.366666666666665</v>
      </c>
      <c r="F6047">
        <f t="shared" si="94"/>
        <v>10.366666666666665</v>
      </c>
    </row>
    <row r="6048" spans="1:6" x14ac:dyDescent="0.3">
      <c r="A6048" t="s">
        <v>1190</v>
      </c>
      <c r="B6048" t="s">
        <v>2136</v>
      </c>
      <c r="C6048">
        <v>8.5</v>
      </c>
      <c r="D6048">
        <v>170</v>
      </c>
      <c r="E6048">
        <f>IF(OR(B6048="vi",B6048="ii",B6048="pod"),(((D6048/100)*(C6048*VLOOKUP(B6048,'Poids des runes'!A:B,2,FALSE)))+1),(((D6048/100)*(C6048*VLOOKUP(B6048,'Poids des runes'!A:B,2,FALSE)))+1)/VLOOKUP(B6048,'Poids des runes'!A:B,2,FALSE))</f>
        <v>14.95</v>
      </c>
      <c r="F6048">
        <f t="shared" si="94"/>
        <v>14.95</v>
      </c>
    </row>
    <row r="6049" spans="1:6" x14ac:dyDescent="0.3">
      <c r="A6049" t="s">
        <v>1191</v>
      </c>
      <c r="B6049" t="s">
        <v>2128</v>
      </c>
      <c r="C6049">
        <v>175.5</v>
      </c>
      <c r="D6049">
        <v>170</v>
      </c>
      <c r="E6049">
        <f>IF(OR(B6049="vi",B6049="ii",B6049="pod"),(((D6049/100)*(C6049*VLOOKUP(B6049,'Poids des runes'!A:B,2,FALSE)))+1),(((D6049/100)*(C6049*VLOOKUP(B6049,'Poids des runes'!A:B,2,FALSE)))+1)/VLOOKUP(B6049,'Poids des runes'!A:B,2,FALSE))</f>
        <v>60.67</v>
      </c>
      <c r="F6049">
        <f t="shared" si="94"/>
        <v>60.67</v>
      </c>
    </row>
    <row r="6050" spans="1:6" x14ac:dyDescent="0.3">
      <c r="A6050" t="s">
        <v>1191</v>
      </c>
      <c r="B6050" t="s">
        <v>2131</v>
      </c>
      <c r="C6050">
        <v>35.5</v>
      </c>
      <c r="D6050">
        <v>170</v>
      </c>
      <c r="E6050">
        <f>IF(OR(B6050="vi",B6050="ii",B6050="pod"),(((D6050/100)*(C6050*VLOOKUP(B6050,'Poids des runes'!A:B,2,FALSE)))+1),(((D6050/100)*(C6050*VLOOKUP(B6050,'Poids des runes'!A:B,2,FALSE)))+1)/VLOOKUP(B6050,'Poids des runes'!A:B,2,FALSE))</f>
        <v>61.35</v>
      </c>
      <c r="F6050">
        <f t="shared" si="94"/>
        <v>61.35</v>
      </c>
    </row>
    <row r="6051" spans="1:6" x14ac:dyDescent="0.3">
      <c r="A6051" t="s">
        <v>1191</v>
      </c>
      <c r="B6051" t="s">
        <v>2127</v>
      </c>
      <c r="C6051">
        <v>35.5</v>
      </c>
      <c r="D6051">
        <v>170</v>
      </c>
      <c r="E6051">
        <f>IF(OR(B6051="vi",B6051="ii",B6051="pod"),(((D6051/100)*(C6051*VLOOKUP(B6051,'Poids des runes'!A:B,2,FALSE)))+1),(((D6051/100)*(C6051*VLOOKUP(B6051,'Poids des runes'!A:B,2,FALSE)))+1)/VLOOKUP(B6051,'Poids des runes'!A:B,2,FALSE))</f>
        <v>61.35</v>
      </c>
      <c r="F6051">
        <f t="shared" si="94"/>
        <v>61.35</v>
      </c>
    </row>
    <row r="6052" spans="1:6" x14ac:dyDescent="0.3">
      <c r="A6052" t="s">
        <v>1191</v>
      </c>
      <c r="B6052" t="s">
        <v>2129</v>
      </c>
      <c r="C6052">
        <v>25.5</v>
      </c>
      <c r="D6052">
        <v>170</v>
      </c>
      <c r="E6052">
        <f>IF(OR(B6052="vi",B6052="ii",B6052="pod"),(((D6052/100)*(C6052*VLOOKUP(B6052,'Poids des runes'!A:B,2,FALSE)))+1),(((D6052/100)*(C6052*VLOOKUP(B6052,'Poids des runes'!A:B,2,FALSE)))+1)/VLOOKUP(B6052,'Poids des runes'!A:B,2,FALSE))</f>
        <v>44.35</v>
      </c>
      <c r="F6052">
        <f t="shared" si="94"/>
        <v>44.35</v>
      </c>
    </row>
    <row r="6053" spans="1:6" x14ac:dyDescent="0.3">
      <c r="A6053" t="s">
        <v>1191</v>
      </c>
      <c r="B6053" t="s">
        <v>2151</v>
      </c>
      <c r="C6053">
        <v>2.5</v>
      </c>
      <c r="D6053">
        <v>170</v>
      </c>
      <c r="E6053">
        <f>IF(OR(B6053="vi",B6053="ii",B6053="pod"),(((D6053/100)*(C6053*VLOOKUP(B6053,'Poids des runes'!A:B,2,FALSE)))+1),(((D6053/100)*(C6053*VLOOKUP(B6053,'Poids des runes'!A:B,2,FALSE)))+1)/VLOOKUP(B6053,'Poids des runes'!A:B,2,FALSE))</f>
        <v>4.3499999999999996</v>
      </c>
      <c r="F6053">
        <f t="shared" si="94"/>
        <v>4.3499999999999996</v>
      </c>
    </row>
    <row r="6054" spans="1:6" x14ac:dyDescent="0.3">
      <c r="A6054" t="s">
        <v>1191</v>
      </c>
      <c r="B6054" t="s">
        <v>2133</v>
      </c>
      <c r="C6054">
        <v>6</v>
      </c>
      <c r="D6054">
        <v>170</v>
      </c>
      <c r="E6054">
        <f>IF(OR(B6054="vi",B6054="ii",B6054="pod"),(((D6054/100)*(C6054*VLOOKUP(B6054,'Poids des runes'!A:B,2,FALSE)))+1),(((D6054/100)*(C6054*VLOOKUP(B6054,'Poids des runes'!A:B,2,FALSE)))+1)/VLOOKUP(B6054,'Poids des runes'!A:B,2,FALSE))</f>
        <v>10.4</v>
      </c>
      <c r="F6054">
        <f t="shared" si="94"/>
        <v>10.4</v>
      </c>
    </row>
    <row r="6055" spans="1:6" x14ac:dyDescent="0.3">
      <c r="A6055" t="s">
        <v>1191</v>
      </c>
      <c r="B6055" t="s">
        <v>2153</v>
      </c>
      <c r="C6055">
        <v>6</v>
      </c>
      <c r="D6055">
        <v>170</v>
      </c>
      <c r="E6055">
        <f>IF(OR(B6055="vi",B6055="ii",B6055="pod"),(((D6055/100)*(C6055*VLOOKUP(B6055,'Poids des runes'!A:B,2,FALSE)))+1),(((D6055/100)*(C6055*VLOOKUP(B6055,'Poids des runes'!A:B,2,FALSE)))+1)/VLOOKUP(B6055,'Poids des runes'!A:B,2,FALSE))</f>
        <v>10.4</v>
      </c>
      <c r="F6055">
        <f t="shared" si="94"/>
        <v>10.4</v>
      </c>
    </row>
    <row r="6056" spans="1:6" x14ac:dyDescent="0.3">
      <c r="A6056" t="s">
        <v>1191</v>
      </c>
      <c r="B6056" t="s">
        <v>2149</v>
      </c>
      <c r="C6056">
        <v>13</v>
      </c>
      <c r="D6056">
        <v>170</v>
      </c>
      <c r="E6056">
        <f>IF(OR(B6056="vi",B6056="ii",B6056="pod"),(((D6056/100)*(C6056*VLOOKUP(B6056,'Poids des runes'!A:B,2,FALSE)))+1),(((D6056/100)*(C6056*VLOOKUP(B6056,'Poids des runes'!A:B,2,FALSE)))+1)/VLOOKUP(B6056,'Poids des runes'!A:B,2,FALSE))</f>
        <v>22.2</v>
      </c>
      <c r="F6056">
        <f t="shared" si="94"/>
        <v>22.2</v>
      </c>
    </row>
    <row r="6057" spans="1:6" x14ac:dyDescent="0.3">
      <c r="A6057" t="s">
        <v>1191</v>
      </c>
      <c r="B6057" t="s">
        <v>2160</v>
      </c>
      <c r="C6057">
        <v>5</v>
      </c>
      <c r="D6057">
        <v>170</v>
      </c>
      <c r="E6057">
        <f>IF(OR(B6057="vi",B6057="ii",B6057="pod"),(((D6057/100)*(C6057*VLOOKUP(B6057,'Poids des runes'!A:B,2,FALSE)))+1),(((D6057/100)*(C6057*VLOOKUP(B6057,'Poids des runes'!A:B,2,FALSE)))+1)/VLOOKUP(B6057,'Poids des runes'!A:B,2,FALSE))</f>
        <v>8.6428571428571423</v>
      </c>
      <c r="F6057">
        <f t="shared" si="94"/>
        <v>8.6428571428571423</v>
      </c>
    </row>
    <row r="6058" spans="1:6" x14ac:dyDescent="0.3">
      <c r="A6058" t="s">
        <v>1191</v>
      </c>
      <c r="B6058" t="s">
        <v>2164</v>
      </c>
      <c r="C6058">
        <v>10.5</v>
      </c>
      <c r="D6058">
        <v>170</v>
      </c>
      <c r="E6058">
        <f>IF(OR(B6058="vi",B6058="ii",B6058="pod"),(((D6058/100)*(C6058*VLOOKUP(B6058,'Poids des runes'!A:B,2,FALSE)))+1),(((D6058/100)*(C6058*VLOOKUP(B6058,'Poids des runes'!A:B,2,FALSE)))+1)/VLOOKUP(B6058,'Poids des runes'!A:B,2,FALSE))</f>
        <v>18.349999999999998</v>
      </c>
      <c r="F6058">
        <f t="shared" si="94"/>
        <v>18.349999999999998</v>
      </c>
    </row>
    <row r="6059" spans="1:6" x14ac:dyDescent="0.3">
      <c r="A6059" t="s">
        <v>1191</v>
      </c>
      <c r="B6059" t="s">
        <v>2156</v>
      </c>
      <c r="C6059">
        <v>8.5</v>
      </c>
      <c r="D6059">
        <v>170</v>
      </c>
      <c r="E6059">
        <f>IF(OR(B6059="vi",B6059="ii",B6059="pod"),(((D6059/100)*(C6059*VLOOKUP(B6059,'Poids des runes'!A:B,2,FALSE)))+1),(((D6059/100)*(C6059*VLOOKUP(B6059,'Poids des runes'!A:B,2,FALSE)))+1)/VLOOKUP(B6059,'Poids des runes'!A:B,2,FALSE))</f>
        <v>14.616666666666667</v>
      </c>
      <c r="F6059">
        <f t="shared" si="94"/>
        <v>14.616666666666667</v>
      </c>
    </row>
    <row r="6060" spans="1:6" x14ac:dyDescent="0.3">
      <c r="A6060" t="s">
        <v>1191</v>
      </c>
      <c r="B6060" t="s">
        <v>2148</v>
      </c>
      <c r="C6060">
        <v>8.5</v>
      </c>
      <c r="D6060">
        <v>170</v>
      </c>
      <c r="E6060">
        <f>IF(OR(B6060="vi",B6060="ii",B6060="pod"),(((D6060/100)*(C6060*VLOOKUP(B6060,'Poids des runes'!A:B,2,FALSE)))+1),(((D6060/100)*(C6060*VLOOKUP(B6060,'Poids des runes'!A:B,2,FALSE)))+1)/VLOOKUP(B6060,'Poids des runes'!A:B,2,FALSE))</f>
        <v>14.616666666666667</v>
      </c>
      <c r="F6060">
        <f t="shared" si="94"/>
        <v>14.616666666666667</v>
      </c>
    </row>
    <row r="6061" spans="1:6" x14ac:dyDescent="0.3">
      <c r="A6061" t="s">
        <v>1192</v>
      </c>
      <c r="B6061" t="s">
        <v>2128</v>
      </c>
      <c r="C6061">
        <v>325.5</v>
      </c>
      <c r="D6061">
        <v>170</v>
      </c>
      <c r="E6061">
        <f>IF(OR(B6061="vi",B6061="ii",B6061="pod"),(((D6061/100)*(C6061*VLOOKUP(B6061,'Poids des runes'!A:B,2,FALSE)))+1),(((D6061/100)*(C6061*VLOOKUP(B6061,'Poids des runes'!A:B,2,FALSE)))+1)/VLOOKUP(B6061,'Poids des runes'!A:B,2,FALSE))</f>
        <v>111.67000000000002</v>
      </c>
      <c r="F6061">
        <f t="shared" si="94"/>
        <v>111.67000000000002</v>
      </c>
    </row>
    <row r="6062" spans="1:6" x14ac:dyDescent="0.3">
      <c r="A6062" t="s">
        <v>1192</v>
      </c>
      <c r="B6062" t="s">
        <v>2130</v>
      </c>
      <c r="C6062">
        <v>50.5</v>
      </c>
      <c r="D6062">
        <v>170</v>
      </c>
      <c r="E6062">
        <f>IF(OR(B6062="vi",B6062="ii",B6062="pod"),(((D6062/100)*(C6062*VLOOKUP(B6062,'Poids des runes'!A:B,2,FALSE)))+1),(((D6062/100)*(C6062*VLOOKUP(B6062,'Poids des runes'!A:B,2,FALSE)))+1)/VLOOKUP(B6062,'Poids des runes'!A:B,2,FALSE))</f>
        <v>86.85</v>
      </c>
      <c r="F6062">
        <f t="shared" si="94"/>
        <v>86.85</v>
      </c>
    </row>
    <row r="6063" spans="1:6" x14ac:dyDescent="0.3">
      <c r="A6063" t="s">
        <v>1192</v>
      </c>
      <c r="B6063" t="s">
        <v>2126</v>
      </c>
      <c r="C6063">
        <v>50.5</v>
      </c>
      <c r="D6063">
        <v>170</v>
      </c>
      <c r="E6063">
        <f>IF(OR(B6063="vi",B6063="ii",B6063="pod"),(((D6063/100)*(C6063*VLOOKUP(B6063,'Poids des runes'!A:B,2,FALSE)))+1),(((D6063/100)*(C6063*VLOOKUP(B6063,'Poids des runes'!A:B,2,FALSE)))+1)/VLOOKUP(B6063,'Poids des runes'!A:B,2,FALSE))</f>
        <v>86.85</v>
      </c>
      <c r="F6063">
        <f t="shared" si="94"/>
        <v>86.85</v>
      </c>
    </row>
    <row r="6064" spans="1:6" x14ac:dyDescent="0.3">
      <c r="A6064" t="s">
        <v>1192</v>
      </c>
      <c r="B6064" t="s">
        <v>2129</v>
      </c>
      <c r="C6064">
        <v>40.5</v>
      </c>
      <c r="D6064">
        <v>170</v>
      </c>
      <c r="E6064">
        <f>IF(OR(B6064="vi",B6064="ii",B6064="pod"),(((D6064/100)*(C6064*VLOOKUP(B6064,'Poids des runes'!A:B,2,FALSE)))+1),(((D6064/100)*(C6064*VLOOKUP(B6064,'Poids des runes'!A:B,2,FALSE)))+1)/VLOOKUP(B6064,'Poids des runes'!A:B,2,FALSE))</f>
        <v>69.849999999999994</v>
      </c>
      <c r="F6064">
        <f t="shared" si="94"/>
        <v>69.849999999999994</v>
      </c>
    </row>
    <row r="6065" spans="1:6" x14ac:dyDescent="0.3">
      <c r="A6065" t="s">
        <v>1192</v>
      </c>
      <c r="B6065" t="s">
        <v>2151</v>
      </c>
      <c r="C6065">
        <v>4</v>
      </c>
      <c r="D6065">
        <v>170</v>
      </c>
      <c r="E6065">
        <f>IF(OR(B6065="vi",B6065="ii",B6065="pod"),(((D6065/100)*(C6065*VLOOKUP(B6065,'Poids des runes'!A:B,2,FALSE)))+1),(((D6065/100)*(C6065*VLOOKUP(B6065,'Poids des runes'!A:B,2,FALSE)))+1)/VLOOKUP(B6065,'Poids des runes'!A:B,2,FALSE))</f>
        <v>6.9</v>
      </c>
      <c r="F6065">
        <f t="shared" si="94"/>
        <v>6.9</v>
      </c>
    </row>
    <row r="6066" spans="1:6" x14ac:dyDescent="0.3">
      <c r="A6066" t="s">
        <v>1192</v>
      </c>
      <c r="B6066" t="s">
        <v>2143</v>
      </c>
      <c r="C6066">
        <v>8.5</v>
      </c>
      <c r="D6066">
        <v>170</v>
      </c>
      <c r="E6066">
        <f>IF(OR(B6066="vi",B6066="ii",B6066="pod"),(((D6066/100)*(C6066*VLOOKUP(B6066,'Poids des runes'!A:B,2,FALSE)))+1),(((D6066/100)*(C6066*VLOOKUP(B6066,'Poids des runes'!A:B,2,FALSE)))+1)/VLOOKUP(B6066,'Poids des runes'!A:B,2,FALSE))</f>
        <v>14.65</v>
      </c>
      <c r="F6066">
        <f t="shared" si="94"/>
        <v>14.65</v>
      </c>
    </row>
    <row r="6067" spans="1:6" x14ac:dyDescent="0.3">
      <c r="A6067" t="s">
        <v>1192</v>
      </c>
      <c r="B6067" t="s">
        <v>2140</v>
      </c>
      <c r="C6067">
        <v>8.5</v>
      </c>
      <c r="D6067">
        <v>170</v>
      </c>
      <c r="E6067">
        <f>IF(OR(B6067="vi",B6067="ii",B6067="pod"),(((D6067/100)*(C6067*VLOOKUP(B6067,'Poids des runes'!A:B,2,FALSE)))+1),(((D6067/100)*(C6067*VLOOKUP(B6067,'Poids des runes'!A:B,2,FALSE)))+1)/VLOOKUP(B6067,'Poids des runes'!A:B,2,FALSE))</f>
        <v>14.65</v>
      </c>
      <c r="F6067">
        <f t="shared" si="94"/>
        <v>14.65</v>
      </c>
    </row>
    <row r="6068" spans="1:6" x14ac:dyDescent="0.3">
      <c r="A6068" t="s">
        <v>1192</v>
      </c>
      <c r="B6068" t="s">
        <v>2162</v>
      </c>
      <c r="C6068">
        <v>4</v>
      </c>
      <c r="D6068">
        <v>170</v>
      </c>
      <c r="E6068">
        <f>IF(OR(B6068="vi",B6068="ii",B6068="pod"),(((D6068/100)*(C6068*VLOOKUP(B6068,'Poids des runes'!A:B,2,FALSE)))+1),(((D6068/100)*(C6068*VLOOKUP(B6068,'Poids des runes'!A:B,2,FALSE)))+1)/VLOOKUP(B6068,'Poids des runes'!A:B,2,FALSE))</f>
        <v>6.9428571428571431</v>
      </c>
      <c r="F6068">
        <f t="shared" si="94"/>
        <v>6.9428571428571431</v>
      </c>
    </row>
    <row r="6069" spans="1:6" x14ac:dyDescent="0.3">
      <c r="A6069" t="s">
        <v>1192</v>
      </c>
      <c r="B6069" t="s">
        <v>2142</v>
      </c>
      <c r="C6069">
        <v>18</v>
      </c>
      <c r="D6069">
        <v>170</v>
      </c>
      <c r="E6069">
        <f>IF(OR(B6069="vi",B6069="ii",B6069="pod"),(((D6069/100)*(C6069*VLOOKUP(B6069,'Poids des runes'!A:B,2,FALSE)))+1),(((D6069/100)*(C6069*VLOOKUP(B6069,'Poids des runes'!A:B,2,FALSE)))+1)/VLOOKUP(B6069,'Poids des runes'!A:B,2,FALSE))</f>
        <v>30.8</v>
      </c>
      <c r="F6069">
        <f t="shared" si="94"/>
        <v>30.8</v>
      </c>
    </row>
    <row r="6070" spans="1:6" x14ac:dyDescent="0.3">
      <c r="A6070" t="s">
        <v>1192</v>
      </c>
      <c r="B6070" t="s">
        <v>2135</v>
      </c>
      <c r="C6070">
        <v>4</v>
      </c>
      <c r="D6070">
        <v>170</v>
      </c>
      <c r="E6070">
        <f>IF(OR(B6070="vi",B6070="ii",B6070="pod"),(((D6070/100)*(C6070*VLOOKUP(B6070,'Poids des runes'!A:B,2,FALSE)))+1),(((D6070/100)*(C6070*VLOOKUP(B6070,'Poids des runes'!A:B,2,FALSE)))+1)/VLOOKUP(B6070,'Poids des runes'!A:B,2,FALSE))</f>
        <v>6.9666666666666659</v>
      </c>
      <c r="F6070">
        <f t="shared" si="94"/>
        <v>6.9666666666666659</v>
      </c>
    </row>
    <row r="6071" spans="1:6" x14ac:dyDescent="0.3">
      <c r="A6071" t="s">
        <v>1193</v>
      </c>
      <c r="B6071" t="s">
        <v>2126</v>
      </c>
      <c r="C6071">
        <v>60.5</v>
      </c>
      <c r="D6071">
        <v>171</v>
      </c>
      <c r="E6071">
        <f>IF(OR(B6071="vi",B6071="ii",B6071="pod"),(((D6071/100)*(C6071*VLOOKUP(B6071,'Poids des runes'!A:B,2,FALSE)))+1),(((D6071/100)*(C6071*VLOOKUP(B6071,'Poids des runes'!A:B,2,FALSE)))+1)/VLOOKUP(B6071,'Poids des runes'!A:B,2,FALSE))</f>
        <v>104.455</v>
      </c>
      <c r="F6071">
        <f t="shared" si="94"/>
        <v>104.455</v>
      </c>
    </row>
    <row r="6072" spans="1:6" x14ac:dyDescent="0.3">
      <c r="A6072" t="s">
        <v>1193</v>
      </c>
      <c r="B6072" t="s">
        <v>2129</v>
      </c>
      <c r="C6072">
        <v>40.5</v>
      </c>
      <c r="D6072">
        <v>171</v>
      </c>
      <c r="E6072">
        <f>IF(OR(B6072="vi",B6072="ii",B6072="pod"),(((D6072/100)*(C6072*VLOOKUP(B6072,'Poids des runes'!A:B,2,FALSE)))+1),(((D6072/100)*(C6072*VLOOKUP(B6072,'Poids des runes'!A:B,2,FALSE)))+1)/VLOOKUP(B6072,'Poids des runes'!A:B,2,FALSE))</f>
        <v>70.254999999999995</v>
      </c>
      <c r="F6072">
        <f t="shared" si="94"/>
        <v>70.254999999999995</v>
      </c>
    </row>
    <row r="6073" spans="1:6" x14ac:dyDescent="0.3">
      <c r="A6073" t="s">
        <v>1193</v>
      </c>
      <c r="B6073" t="s">
        <v>2139</v>
      </c>
      <c r="C6073">
        <v>8</v>
      </c>
      <c r="D6073">
        <v>171</v>
      </c>
      <c r="E6073">
        <f>IF(OR(B6073="vi",B6073="ii",B6073="pod"),(((D6073/100)*(C6073*VLOOKUP(B6073,'Poids des runes'!A:B,2,FALSE)))+1),(((D6073/100)*(C6073*VLOOKUP(B6073,'Poids des runes'!A:B,2,FALSE)))+1)/VLOOKUP(B6073,'Poids des runes'!A:B,2,FALSE))</f>
        <v>14.18</v>
      </c>
      <c r="F6073">
        <f t="shared" si="94"/>
        <v>14.18</v>
      </c>
    </row>
    <row r="6074" spans="1:6" x14ac:dyDescent="0.3">
      <c r="A6074" t="s">
        <v>1193</v>
      </c>
      <c r="B6074" t="s">
        <v>2134</v>
      </c>
      <c r="C6074">
        <v>8</v>
      </c>
      <c r="D6074">
        <v>171</v>
      </c>
      <c r="E6074">
        <f>IF(OR(B6074="vi",B6074="ii",B6074="pod"),(((D6074/100)*(C6074*VLOOKUP(B6074,'Poids des runes'!A:B,2,FALSE)))+1),(((D6074/100)*(C6074*VLOOKUP(B6074,'Poids des runes'!A:B,2,FALSE)))+1)/VLOOKUP(B6074,'Poids des runes'!A:B,2,FALSE))</f>
        <v>13.73</v>
      </c>
      <c r="F6074">
        <f t="shared" si="94"/>
        <v>13.73</v>
      </c>
    </row>
    <row r="6075" spans="1:6" x14ac:dyDescent="0.3">
      <c r="A6075" t="s">
        <v>1193</v>
      </c>
      <c r="B6075" t="s">
        <v>2149</v>
      </c>
      <c r="C6075">
        <v>8</v>
      </c>
      <c r="D6075">
        <v>171</v>
      </c>
      <c r="E6075">
        <f>IF(OR(B6075="vi",B6075="ii",B6075="pod"),(((D6075/100)*(C6075*VLOOKUP(B6075,'Poids des runes'!A:B,2,FALSE)))+1),(((D6075/100)*(C6075*VLOOKUP(B6075,'Poids des runes'!A:B,2,FALSE)))+1)/VLOOKUP(B6075,'Poids des runes'!A:B,2,FALSE))</f>
        <v>13.780000000000001</v>
      </c>
      <c r="F6075">
        <f t="shared" si="94"/>
        <v>13.780000000000001</v>
      </c>
    </row>
    <row r="6076" spans="1:6" x14ac:dyDescent="0.3">
      <c r="A6076" t="s">
        <v>1193</v>
      </c>
      <c r="B6076" t="s">
        <v>2161</v>
      </c>
      <c r="C6076">
        <v>13</v>
      </c>
      <c r="D6076">
        <v>171</v>
      </c>
      <c r="E6076">
        <f>IF(OR(B6076="vi",B6076="ii",B6076="pod"),(((D6076/100)*(C6076*VLOOKUP(B6076,'Poids des runes'!A:B,2,FALSE)))+1),(((D6076/100)*(C6076*VLOOKUP(B6076,'Poids des runes'!A:B,2,FALSE)))+1)/VLOOKUP(B6076,'Poids des runes'!A:B,2,FALSE))</f>
        <v>22.563333333333333</v>
      </c>
      <c r="F6076">
        <f t="shared" si="94"/>
        <v>22.563333333333333</v>
      </c>
    </row>
    <row r="6077" spans="1:6" x14ac:dyDescent="0.3">
      <c r="A6077" t="s">
        <v>1193</v>
      </c>
      <c r="B6077" t="s">
        <v>2147</v>
      </c>
      <c r="C6077">
        <v>8</v>
      </c>
      <c r="D6077">
        <v>171</v>
      </c>
      <c r="E6077">
        <f>IF(OR(B6077="vi",B6077="ii",B6077="pod"),(((D6077/100)*(C6077*VLOOKUP(B6077,'Poids des runes'!A:B,2,FALSE)))+1),(((D6077/100)*(C6077*VLOOKUP(B6077,'Poids des runes'!A:B,2,FALSE)))+1)/VLOOKUP(B6077,'Poids des runes'!A:B,2,FALSE))</f>
        <v>13.846666666666666</v>
      </c>
      <c r="F6077">
        <f t="shared" si="94"/>
        <v>13.846666666666666</v>
      </c>
    </row>
    <row r="6078" spans="1:6" x14ac:dyDescent="0.3">
      <c r="A6078" t="s">
        <v>1193</v>
      </c>
      <c r="B6078" t="s">
        <v>2144</v>
      </c>
      <c r="C6078">
        <v>8</v>
      </c>
      <c r="D6078">
        <v>171</v>
      </c>
      <c r="E6078">
        <f>IF(OR(B6078="vi",B6078="ii",B6078="pod"),(((D6078/100)*(C6078*VLOOKUP(B6078,'Poids des runes'!A:B,2,FALSE)))+1),(((D6078/100)*(C6078*VLOOKUP(B6078,'Poids des runes'!A:B,2,FALSE)))+1)/VLOOKUP(B6078,'Poids des runes'!A:B,2,FALSE))</f>
        <v>14.18</v>
      </c>
      <c r="F6078">
        <f t="shared" si="94"/>
        <v>14.18</v>
      </c>
    </row>
    <row r="6079" spans="1:6" x14ac:dyDescent="0.3">
      <c r="A6079" t="s">
        <v>1194</v>
      </c>
      <c r="B6079" t="s">
        <v>2128</v>
      </c>
      <c r="C6079">
        <v>275.5</v>
      </c>
      <c r="D6079">
        <v>171</v>
      </c>
      <c r="E6079">
        <f>IF(OR(B6079="vi",B6079="ii",B6079="pod"),(((D6079/100)*(C6079*VLOOKUP(B6079,'Poids des runes'!A:B,2,FALSE)))+1),(((D6079/100)*(C6079*VLOOKUP(B6079,'Poids des runes'!A:B,2,FALSE)))+1)/VLOOKUP(B6079,'Poids des runes'!A:B,2,FALSE))</f>
        <v>95.221000000000004</v>
      </c>
      <c r="F6079">
        <f t="shared" si="94"/>
        <v>95.221000000000004</v>
      </c>
    </row>
    <row r="6080" spans="1:6" x14ac:dyDescent="0.3">
      <c r="A6080" t="s">
        <v>1194</v>
      </c>
      <c r="B6080" t="s">
        <v>2131</v>
      </c>
      <c r="C6080">
        <v>60.5</v>
      </c>
      <c r="D6080">
        <v>171</v>
      </c>
      <c r="E6080">
        <f>IF(OR(B6080="vi",B6080="ii",B6080="pod"),(((D6080/100)*(C6080*VLOOKUP(B6080,'Poids des runes'!A:B,2,FALSE)))+1),(((D6080/100)*(C6080*VLOOKUP(B6080,'Poids des runes'!A:B,2,FALSE)))+1)/VLOOKUP(B6080,'Poids des runes'!A:B,2,FALSE))</f>
        <v>104.455</v>
      </c>
      <c r="F6080">
        <f t="shared" si="94"/>
        <v>104.455</v>
      </c>
    </row>
    <row r="6081" spans="1:6" x14ac:dyDescent="0.3">
      <c r="A6081" t="s">
        <v>1194</v>
      </c>
      <c r="B6081" t="s">
        <v>2127</v>
      </c>
      <c r="C6081">
        <v>60.5</v>
      </c>
      <c r="D6081">
        <v>171</v>
      </c>
      <c r="E6081">
        <f>IF(OR(B6081="vi",B6081="ii",B6081="pod"),(((D6081/100)*(C6081*VLOOKUP(B6081,'Poids des runes'!A:B,2,FALSE)))+1),(((D6081/100)*(C6081*VLOOKUP(B6081,'Poids des runes'!A:B,2,FALSE)))+1)/VLOOKUP(B6081,'Poids des runes'!A:B,2,FALSE))</f>
        <v>104.455</v>
      </c>
      <c r="F6081">
        <f t="shared" si="94"/>
        <v>104.455</v>
      </c>
    </row>
    <row r="6082" spans="1:6" x14ac:dyDescent="0.3">
      <c r="A6082" t="s">
        <v>1194</v>
      </c>
      <c r="B6082" t="s">
        <v>2129</v>
      </c>
      <c r="C6082">
        <v>20.5</v>
      </c>
      <c r="D6082">
        <v>171</v>
      </c>
      <c r="E6082">
        <f>IF(OR(B6082="vi",B6082="ii",B6082="pod"),(((D6082/100)*(C6082*VLOOKUP(B6082,'Poids des runes'!A:B,2,FALSE)))+1),(((D6082/100)*(C6082*VLOOKUP(B6082,'Poids des runes'!A:B,2,FALSE)))+1)/VLOOKUP(B6082,'Poids des runes'!A:B,2,FALSE))</f>
        <v>36.055</v>
      </c>
      <c r="F6082">
        <f t="shared" si="94"/>
        <v>36.055</v>
      </c>
    </row>
    <row r="6083" spans="1:6" x14ac:dyDescent="0.3">
      <c r="A6083" t="s">
        <v>1194</v>
      </c>
      <c r="B6083" t="s">
        <v>2151</v>
      </c>
      <c r="C6083">
        <v>3.5</v>
      </c>
      <c r="D6083">
        <v>171</v>
      </c>
      <c r="E6083">
        <f>IF(OR(B6083="vi",B6083="ii",B6083="pod"),(((D6083/100)*(C6083*VLOOKUP(B6083,'Poids des runes'!A:B,2,FALSE)))+1),(((D6083/100)*(C6083*VLOOKUP(B6083,'Poids des runes'!A:B,2,FALSE)))+1)/VLOOKUP(B6083,'Poids des runes'!A:B,2,FALSE))</f>
        <v>6.085</v>
      </c>
      <c r="F6083">
        <f t="shared" ref="F6083:F6146" si="95">E6083</f>
        <v>6.085</v>
      </c>
    </row>
    <row r="6084" spans="1:6" x14ac:dyDescent="0.3">
      <c r="A6084" t="s">
        <v>1194</v>
      </c>
      <c r="B6084" t="s">
        <v>2150</v>
      </c>
      <c r="C6084">
        <v>1</v>
      </c>
      <c r="D6084">
        <v>171</v>
      </c>
      <c r="E6084">
        <f>IF(OR(B6084="vi",B6084="ii",B6084="pod"),(((D6084/100)*(C6084*VLOOKUP(B6084,'Poids des runes'!A:B,2,FALSE)))+1),(((D6084/100)*(C6084*VLOOKUP(B6084,'Poids des runes'!A:B,2,FALSE)))+1)/VLOOKUP(B6084,'Poids des runes'!A:B,2,FALSE))</f>
        <v>1.7433333333333332</v>
      </c>
      <c r="F6084">
        <f t="shared" si="95"/>
        <v>1.7433333333333332</v>
      </c>
    </row>
    <row r="6085" spans="1:6" x14ac:dyDescent="0.3">
      <c r="A6085" t="s">
        <v>1194</v>
      </c>
      <c r="B6085" t="s">
        <v>2133</v>
      </c>
      <c r="C6085">
        <v>8.5</v>
      </c>
      <c r="D6085">
        <v>171</v>
      </c>
      <c r="E6085">
        <f>IF(OR(B6085="vi",B6085="ii",B6085="pod"),(((D6085/100)*(C6085*VLOOKUP(B6085,'Poids des runes'!A:B,2,FALSE)))+1),(((D6085/100)*(C6085*VLOOKUP(B6085,'Poids des runes'!A:B,2,FALSE)))+1)/VLOOKUP(B6085,'Poids des runes'!A:B,2,FALSE))</f>
        <v>14.734999999999999</v>
      </c>
      <c r="F6085">
        <f t="shared" si="95"/>
        <v>14.734999999999999</v>
      </c>
    </row>
    <row r="6086" spans="1:6" x14ac:dyDescent="0.3">
      <c r="A6086" t="s">
        <v>1194</v>
      </c>
      <c r="B6086" t="s">
        <v>2153</v>
      </c>
      <c r="C6086">
        <v>8.5</v>
      </c>
      <c r="D6086">
        <v>171</v>
      </c>
      <c r="E6086">
        <f>IF(OR(B6086="vi",B6086="ii",B6086="pod"),(((D6086/100)*(C6086*VLOOKUP(B6086,'Poids des runes'!A:B,2,FALSE)))+1),(((D6086/100)*(C6086*VLOOKUP(B6086,'Poids des runes'!A:B,2,FALSE)))+1)/VLOOKUP(B6086,'Poids des runes'!A:B,2,FALSE))</f>
        <v>14.734999999999999</v>
      </c>
      <c r="F6086">
        <f t="shared" si="95"/>
        <v>14.734999999999999</v>
      </c>
    </row>
    <row r="6087" spans="1:6" x14ac:dyDescent="0.3">
      <c r="A6087" t="s">
        <v>1194</v>
      </c>
      <c r="B6087" t="s">
        <v>2161</v>
      </c>
      <c r="C6087">
        <v>13</v>
      </c>
      <c r="D6087">
        <v>171</v>
      </c>
      <c r="E6087">
        <f>IF(OR(B6087="vi",B6087="ii",B6087="pod"),(((D6087/100)*(C6087*VLOOKUP(B6087,'Poids des runes'!A:B,2,FALSE)))+1),(((D6087/100)*(C6087*VLOOKUP(B6087,'Poids des runes'!A:B,2,FALSE)))+1)/VLOOKUP(B6087,'Poids des runes'!A:B,2,FALSE))</f>
        <v>22.563333333333333</v>
      </c>
      <c r="F6087">
        <f t="shared" si="95"/>
        <v>22.563333333333333</v>
      </c>
    </row>
    <row r="6088" spans="1:6" x14ac:dyDescent="0.3">
      <c r="A6088" t="s">
        <v>1194</v>
      </c>
      <c r="B6088" t="s">
        <v>2138</v>
      </c>
      <c r="C6088">
        <v>6</v>
      </c>
      <c r="D6088">
        <v>171</v>
      </c>
      <c r="E6088">
        <f>IF(OR(B6088="vi",B6088="ii",B6088="pod"),(((D6088/100)*(C6088*VLOOKUP(B6088,'Poids des runes'!A:B,2,FALSE)))+1),(((D6088/100)*(C6088*VLOOKUP(B6088,'Poids des runes'!A:B,2,FALSE)))+1)/VLOOKUP(B6088,'Poids des runes'!A:B,2,FALSE))</f>
        <v>10.51</v>
      </c>
      <c r="F6088">
        <f t="shared" si="95"/>
        <v>10.51</v>
      </c>
    </row>
    <row r="6089" spans="1:6" x14ac:dyDescent="0.3">
      <c r="A6089" t="s">
        <v>1194</v>
      </c>
      <c r="B6089" t="s">
        <v>2160</v>
      </c>
      <c r="C6089">
        <v>5</v>
      </c>
      <c r="D6089">
        <v>171</v>
      </c>
      <c r="E6089">
        <f>IF(OR(B6089="vi",B6089="ii",B6089="pod"),(((D6089/100)*(C6089*VLOOKUP(B6089,'Poids des runes'!A:B,2,FALSE)))+1),(((D6089/100)*(C6089*VLOOKUP(B6089,'Poids des runes'!A:B,2,FALSE)))+1)/VLOOKUP(B6089,'Poids des runes'!A:B,2,FALSE))</f>
        <v>8.6928571428571431</v>
      </c>
      <c r="F6089">
        <f t="shared" si="95"/>
        <v>8.6928571428571431</v>
      </c>
    </row>
    <row r="6090" spans="1:6" x14ac:dyDescent="0.3">
      <c r="A6090" t="s">
        <v>1194</v>
      </c>
      <c r="B6090" t="s">
        <v>2147</v>
      </c>
      <c r="C6090">
        <v>8.5</v>
      </c>
      <c r="D6090">
        <v>171</v>
      </c>
      <c r="E6090">
        <f>IF(OR(B6090="vi",B6090="ii",B6090="pod"),(((D6090/100)*(C6090*VLOOKUP(B6090,'Poids des runes'!A:B,2,FALSE)))+1),(((D6090/100)*(C6090*VLOOKUP(B6090,'Poids des runes'!A:B,2,FALSE)))+1)/VLOOKUP(B6090,'Poids des runes'!A:B,2,FALSE))</f>
        <v>14.701666666666666</v>
      </c>
      <c r="F6090">
        <f t="shared" si="95"/>
        <v>14.701666666666666</v>
      </c>
    </row>
    <row r="6091" spans="1:6" x14ac:dyDescent="0.3">
      <c r="A6091" t="s">
        <v>1195</v>
      </c>
      <c r="B6091" t="s">
        <v>2128</v>
      </c>
      <c r="C6091">
        <v>175.5</v>
      </c>
      <c r="D6091">
        <v>171</v>
      </c>
      <c r="E6091">
        <f>IF(OR(B6091="vi",B6091="ii",B6091="pod"),(((D6091/100)*(C6091*VLOOKUP(B6091,'Poids des runes'!A:B,2,FALSE)))+1),(((D6091/100)*(C6091*VLOOKUP(B6091,'Poids des runes'!A:B,2,FALSE)))+1)/VLOOKUP(B6091,'Poids des runes'!A:B,2,FALSE))</f>
        <v>61.021000000000001</v>
      </c>
      <c r="F6091">
        <f t="shared" si="95"/>
        <v>61.021000000000001</v>
      </c>
    </row>
    <row r="6092" spans="1:6" x14ac:dyDescent="0.3">
      <c r="A6092" t="s">
        <v>1195</v>
      </c>
      <c r="B6092" t="s">
        <v>2130</v>
      </c>
      <c r="C6092">
        <v>50.5</v>
      </c>
      <c r="D6092">
        <v>171</v>
      </c>
      <c r="E6092">
        <f>IF(OR(B6092="vi",B6092="ii",B6092="pod"),(((D6092/100)*(C6092*VLOOKUP(B6092,'Poids des runes'!A:B,2,FALSE)))+1),(((D6092/100)*(C6092*VLOOKUP(B6092,'Poids des runes'!A:B,2,FALSE)))+1)/VLOOKUP(B6092,'Poids des runes'!A:B,2,FALSE))</f>
        <v>87.355000000000004</v>
      </c>
      <c r="F6092">
        <f t="shared" si="95"/>
        <v>87.355000000000004</v>
      </c>
    </row>
    <row r="6093" spans="1:6" x14ac:dyDescent="0.3">
      <c r="A6093" t="s">
        <v>1195</v>
      </c>
      <c r="B6093" t="s">
        <v>2129</v>
      </c>
      <c r="C6093">
        <v>35.5</v>
      </c>
      <c r="D6093">
        <v>171</v>
      </c>
      <c r="E6093">
        <f>IF(OR(B6093="vi",B6093="ii",B6093="pod"),(((D6093/100)*(C6093*VLOOKUP(B6093,'Poids des runes'!A:B,2,FALSE)))+1),(((D6093/100)*(C6093*VLOOKUP(B6093,'Poids des runes'!A:B,2,FALSE)))+1)/VLOOKUP(B6093,'Poids des runes'!A:B,2,FALSE))</f>
        <v>61.704999999999998</v>
      </c>
      <c r="F6093">
        <f t="shared" si="95"/>
        <v>61.704999999999998</v>
      </c>
    </row>
    <row r="6094" spans="1:6" x14ac:dyDescent="0.3">
      <c r="A6094" t="s">
        <v>1195</v>
      </c>
      <c r="B6094" t="s">
        <v>2151</v>
      </c>
      <c r="C6094">
        <v>2</v>
      </c>
      <c r="D6094">
        <v>171</v>
      </c>
      <c r="E6094">
        <f>IF(OR(B6094="vi",B6094="ii",B6094="pod"),(((D6094/100)*(C6094*VLOOKUP(B6094,'Poids des runes'!A:B,2,FALSE)))+1),(((D6094/100)*(C6094*VLOOKUP(B6094,'Poids des runes'!A:B,2,FALSE)))+1)/VLOOKUP(B6094,'Poids des runes'!A:B,2,FALSE))</f>
        <v>3.5200000000000005</v>
      </c>
      <c r="F6094">
        <f t="shared" si="95"/>
        <v>3.5200000000000005</v>
      </c>
    </row>
    <row r="6095" spans="1:6" x14ac:dyDescent="0.3">
      <c r="A6095" t="s">
        <v>1195</v>
      </c>
      <c r="B6095" t="s">
        <v>2155</v>
      </c>
      <c r="C6095">
        <v>1</v>
      </c>
      <c r="D6095">
        <v>171</v>
      </c>
      <c r="E6095">
        <f>IF(OR(B6095="vi",B6095="ii",B6095="pod"),(((D6095/100)*(C6095*VLOOKUP(B6095,'Poids des runes'!A:B,2,FALSE)))+1),(((D6095/100)*(C6095*VLOOKUP(B6095,'Poids des runes'!A:B,2,FALSE)))+1)/VLOOKUP(B6095,'Poids des runes'!A:B,2,FALSE))</f>
        <v>1.7296078431372548</v>
      </c>
      <c r="F6095">
        <f t="shared" si="95"/>
        <v>1.7296078431372548</v>
      </c>
    </row>
    <row r="6096" spans="1:6" x14ac:dyDescent="0.3">
      <c r="A6096" t="s">
        <v>1195</v>
      </c>
      <c r="B6096" t="s">
        <v>2143</v>
      </c>
      <c r="C6096">
        <v>6</v>
      </c>
      <c r="D6096">
        <v>171</v>
      </c>
      <c r="E6096">
        <f>IF(OR(B6096="vi",B6096="ii",B6096="pod"),(((D6096/100)*(C6096*VLOOKUP(B6096,'Poids des runes'!A:B,2,FALSE)))+1),(((D6096/100)*(C6096*VLOOKUP(B6096,'Poids des runes'!A:B,2,FALSE)))+1)/VLOOKUP(B6096,'Poids des runes'!A:B,2,FALSE))</f>
        <v>10.459999999999999</v>
      </c>
      <c r="F6096">
        <f t="shared" si="95"/>
        <v>10.459999999999999</v>
      </c>
    </row>
    <row r="6097" spans="1:6" x14ac:dyDescent="0.3">
      <c r="A6097" t="s">
        <v>1195</v>
      </c>
      <c r="B6097" t="s">
        <v>2161</v>
      </c>
      <c r="C6097">
        <v>13</v>
      </c>
      <c r="D6097">
        <v>171</v>
      </c>
      <c r="E6097">
        <f>IF(OR(B6097="vi",B6097="ii",B6097="pod"),(((D6097/100)*(C6097*VLOOKUP(B6097,'Poids des runes'!A:B,2,FALSE)))+1),(((D6097/100)*(C6097*VLOOKUP(B6097,'Poids des runes'!A:B,2,FALSE)))+1)/VLOOKUP(B6097,'Poids des runes'!A:B,2,FALSE))</f>
        <v>22.563333333333333</v>
      </c>
      <c r="F6097">
        <f t="shared" si="95"/>
        <v>22.563333333333333</v>
      </c>
    </row>
    <row r="6098" spans="1:6" x14ac:dyDescent="0.3">
      <c r="A6098" t="s">
        <v>1195</v>
      </c>
      <c r="B6098" t="s">
        <v>2141</v>
      </c>
      <c r="C6098">
        <v>4.5</v>
      </c>
      <c r="D6098">
        <v>171</v>
      </c>
      <c r="E6098">
        <f>IF(OR(B6098="vi",B6098="ii",B6098="pod"),(((D6098/100)*(C6098*VLOOKUP(B6098,'Poids des runes'!A:B,2,FALSE)))+1),(((D6098/100)*(C6098*VLOOKUP(B6098,'Poids des runes'!A:B,2,FALSE)))+1)/VLOOKUP(B6098,'Poids des runes'!A:B,2,FALSE))</f>
        <v>7.9450000000000003</v>
      </c>
      <c r="F6098">
        <f t="shared" si="95"/>
        <v>7.9450000000000003</v>
      </c>
    </row>
    <row r="6099" spans="1:6" x14ac:dyDescent="0.3">
      <c r="A6099" t="s">
        <v>1195</v>
      </c>
      <c r="B6099" t="s">
        <v>2165</v>
      </c>
      <c r="C6099">
        <v>6</v>
      </c>
      <c r="D6099">
        <v>171</v>
      </c>
      <c r="E6099">
        <f>IF(OR(B6099="vi",B6099="ii",B6099="pod"),(((D6099/100)*(C6099*VLOOKUP(B6099,'Poids des runes'!A:B,2,FALSE)))+1),(((D6099/100)*(C6099*VLOOKUP(B6099,'Poids des runes'!A:B,2,FALSE)))+1)/VLOOKUP(B6099,'Poids des runes'!A:B,2,FALSE))</f>
        <v>10.402857142857142</v>
      </c>
      <c r="F6099">
        <f t="shared" si="95"/>
        <v>10.402857142857142</v>
      </c>
    </row>
    <row r="6100" spans="1:6" x14ac:dyDescent="0.3">
      <c r="A6100" t="s">
        <v>1195</v>
      </c>
      <c r="B6100" t="s">
        <v>2163</v>
      </c>
      <c r="C6100">
        <v>13</v>
      </c>
      <c r="D6100">
        <v>171</v>
      </c>
      <c r="E6100">
        <f>IF(OR(B6100="vi",B6100="ii",B6100="pod"),(((D6100/100)*(C6100*VLOOKUP(B6100,'Poids des runes'!A:B,2,FALSE)))+1),(((D6100/100)*(C6100*VLOOKUP(B6100,'Poids des runes'!A:B,2,FALSE)))+1)/VLOOKUP(B6100,'Poids des runes'!A:B,2,FALSE))</f>
        <v>22.73</v>
      </c>
      <c r="F6100">
        <f t="shared" si="95"/>
        <v>22.73</v>
      </c>
    </row>
    <row r="6101" spans="1:6" x14ac:dyDescent="0.3">
      <c r="A6101" t="s">
        <v>1195</v>
      </c>
      <c r="B6101" t="s">
        <v>2135</v>
      </c>
      <c r="C6101">
        <v>6</v>
      </c>
      <c r="D6101">
        <v>171</v>
      </c>
      <c r="E6101">
        <f>IF(OR(B6101="vi",B6101="ii",B6101="pod"),(((D6101/100)*(C6101*VLOOKUP(B6101,'Poids des runes'!A:B,2,FALSE)))+1),(((D6101/100)*(C6101*VLOOKUP(B6101,'Poids des runes'!A:B,2,FALSE)))+1)/VLOOKUP(B6101,'Poids des runes'!A:B,2,FALSE))</f>
        <v>10.426666666666668</v>
      </c>
      <c r="F6101">
        <f t="shared" si="95"/>
        <v>10.426666666666668</v>
      </c>
    </row>
    <row r="6102" spans="1:6" x14ac:dyDescent="0.3">
      <c r="A6102" t="s">
        <v>1195</v>
      </c>
      <c r="B6102" t="s">
        <v>2157</v>
      </c>
      <c r="C6102">
        <v>6</v>
      </c>
      <c r="D6102">
        <v>171</v>
      </c>
      <c r="E6102">
        <f>IF(OR(B6102="vi",B6102="ii",B6102="pod"),(((D6102/100)*(C6102*VLOOKUP(B6102,'Poids des runes'!A:B,2,FALSE)))+1),(((D6102/100)*(C6102*VLOOKUP(B6102,'Poids des runes'!A:B,2,FALSE)))+1)/VLOOKUP(B6102,'Poids des runes'!A:B,2,FALSE))</f>
        <v>10.426666666666668</v>
      </c>
      <c r="F6102">
        <f t="shared" si="95"/>
        <v>10.426666666666668</v>
      </c>
    </row>
    <row r="6103" spans="1:6" x14ac:dyDescent="0.3">
      <c r="A6103" t="s">
        <v>1196</v>
      </c>
      <c r="B6103" t="s">
        <v>2128</v>
      </c>
      <c r="C6103">
        <v>225.5</v>
      </c>
      <c r="D6103">
        <v>171</v>
      </c>
      <c r="E6103">
        <f>IF(OR(B6103="vi",B6103="ii",B6103="pod"),(((D6103/100)*(C6103*VLOOKUP(B6103,'Poids des runes'!A:B,2,FALSE)))+1),(((D6103/100)*(C6103*VLOOKUP(B6103,'Poids des runes'!A:B,2,FALSE)))+1)/VLOOKUP(B6103,'Poids des runes'!A:B,2,FALSE))</f>
        <v>78.120999999999995</v>
      </c>
      <c r="F6103">
        <f t="shared" si="95"/>
        <v>78.120999999999995</v>
      </c>
    </row>
    <row r="6104" spans="1:6" x14ac:dyDescent="0.3">
      <c r="A6104" t="s">
        <v>1196</v>
      </c>
      <c r="B6104" t="s">
        <v>2130</v>
      </c>
      <c r="C6104">
        <v>25.5</v>
      </c>
      <c r="D6104">
        <v>171</v>
      </c>
      <c r="E6104">
        <f>IF(OR(B6104="vi",B6104="ii",B6104="pod"),(((D6104/100)*(C6104*VLOOKUP(B6104,'Poids des runes'!A:B,2,FALSE)))+1),(((D6104/100)*(C6104*VLOOKUP(B6104,'Poids des runes'!A:B,2,FALSE)))+1)/VLOOKUP(B6104,'Poids des runes'!A:B,2,FALSE))</f>
        <v>44.604999999999997</v>
      </c>
      <c r="F6104">
        <f t="shared" si="95"/>
        <v>44.604999999999997</v>
      </c>
    </row>
    <row r="6105" spans="1:6" x14ac:dyDescent="0.3">
      <c r="A6105" t="s">
        <v>1196</v>
      </c>
      <c r="B6105" t="s">
        <v>2126</v>
      </c>
      <c r="C6105">
        <v>25.5</v>
      </c>
      <c r="D6105">
        <v>171</v>
      </c>
      <c r="E6105">
        <f>IF(OR(B6105="vi",B6105="ii",B6105="pod"),(((D6105/100)*(C6105*VLOOKUP(B6105,'Poids des runes'!A:B,2,FALSE)))+1),(((D6105/100)*(C6105*VLOOKUP(B6105,'Poids des runes'!A:B,2,FALSE)))+1)/VLOOKUP(B6105,'Poids des runes'!A:B,2,FALSE))</f>
        <v>44.604999999999997</v>
      </c>
      <c r="F6105">
        <f t="shared" si="95"/>
        <v>44.604999999999997</v>
      </c>
    </row>
    <row r="6106" spans="1:6" x14ac:dyDescent="0.3">
      <c r="A6106" t="s">
        <v>1196</v>
      </c>
      <c r="B6106" t="s">
        <v>2139</v>
      </c>
      <c r="C6106">
        <v>15.5</v>
      </c>
      <c r="D6106">
        <v>171</v>
      </c>
      <c r="E6106">
        <f>IF(OR(B6106="vi",B6106="ii",B6106="pod"),(((D6106/100)*(C6106*VLOOKUP(B6106,'Poids des runes'!A:B,2,FALSE)))+1),(((D6106/100)*(C6106*VLOOKUP(B6106,'Poids des runes'!A:B,2,FALSE)))+1)/VLOOKUP(B6106,'Poids des runes'!A:B,2,FALSE))</f>
        <v>27.004999999999999</v>
      </c>
      <c r="F6106">
        <f t="shared" si="95"/>
        <v>27.004999999999999</v>
      </c>
    </row>
    <row r="6107" spans="1:6" x14ac:dyDescent="0.3">
      <c r="A6107" t="s">
        <v>1196</v>
      </c>
      <c r="B6107" t="s">
        <v>2155</v>
      </c>
      <c r="C6107">
        <v>1</v>
      </c>
      <c r="D6107">
        <v>171</v>
      </c>
      <c r="E6107">
        <f>IF(OR(B6107="vi",B6107="ii",B6107="pod"),(((D6107/100)*(C6107*VLOOKUP(B6107,'Poids des runes'!A:B,2,FALSE)))+1),(((D6107/100)*(C6107*VLOOKUP(B6107,'Poids des runes'!A:B,2,FALSE)))+1)/VLOOKUP(B6107,'Poids des runes'!A:B,2,FALSE))</f>
        <v>1.7296078431372548</v>
      </c>
      <c r="F6107">
        <f t="shared" si="95"/>
        <v>1.7296078431372548</v>
      </c>
    </row>
    <row r="6108" spans="1:6" x14ac:dyDescent="0.3">
      <c r="A6108" t="s">
        <v>1196</v>
      </c>
      <c r="B6108" t="s">
        <v>2143</v>
      </c>
      <c r="C6108">
        <v>8.5</v>
      </c>
      <c r="D6108">
        <v>171</v>
      </c>
      <c r="E6108">
        <f>IF(OR(B6108="vi",B6108="ii",B6108="pod"),(((D6108/100)*(C6108*VLOOKUP(B6108,'Poids des runes'!A:B,2,FALSE)))+1),(((D6108/100)*(C6108*VLOOKUP(B6108,'Poids des runes'!A:B,2,FALSE)))+1)/VLOOKUP(B6108,'Poids des runes'!A:B,2,FALSE))</f>
        <v>14.734999999999999</v>
      </c>
      <c r="F6108">
        <f t="shared" si="95"/>
        <v>14.734999999999999</v>
      </c>
    </row>
    <row r="6109" spans="1:6" x14ac:dyDescent="0.3">
      <c r="A6109" t="s">
        <v>1196</v>
      </c>
      <c r="B6109" t="s">
        <v>2140</v>
      </c>
      <c r="C6109">
        <v>8.5</v>
      </c>
      <c r="D6109">
        <v>171</v>
      </c>
      <c r="E6109">
        <f>IF(OR(B6109="vi",B6109="ii",B6109="pod"),(((D6109/100)*(C6109*VLOOKUP(B6109,'Poids des runes'!A:B,2,FALSE)))+1),(((D6109/100)*(C6109*VLOOKUP(B6109,'Poids des runes'!A:B,2,FALSE)))+1)/VLOOKUP(B6109,'Poids des runes'!A:B,2,FALSE))</f>
        <v>14.734999999999999</v>
      </c>
      <c r="F6109">
        <f t="shared" si="95"/>
        <v>14.734999999999999</v>
      </c>
    </row>
    <row r="6110" spans="1:6" x14ac:dyDescent="0.3">
      <c r="A6110" t="s">
        <v>1196</v>
      </c>
      <c r="B6110" t="s">
        <v>2162</v>
      </c>
      <c r="C6110">
        <v>6</v>
      </c>
      <c r="D6110">
        <v>171</v>
      </c>
      <c r="E6110">
        <f>IF(OR(B6110="vi",B6110="ii",B6110="pod"),(((D6110/100)*(C6110*VLOOKUP(B6110,'Poids des runes'!A:B,2,FALSE)))+1),(((D6110/100)*(C6110*VLOOKUP(B6110,'Poids des runes'!A:B,2,FALSE)))+1)/VLOOKUP(B6110,'Poids des runes'!A:B,2,FALSE))</f>
        <v>10.402857142857142</v>
      </c>
      <c r="F6110">
        <f t="shared" si="95"/>
        <v>10.402857142857142</v>
      </c>
    </row>
    <row r="6111" spans="1:6" x14ac:dyDescent="0.3">
      <c r="A6111" t="s">
        <v>1196</v>
      </c>
      <c r="B6111" t="s">
        <v>2142</v>
      </c>
      <c r="C6111">
        <v>8.5</v>
      </c>
      <c r="D6111">
        <v>171</v>
      </c>
      <c r="E6111">
        <f>IF(OR(B6111="vi",B6111="ii",B6111="pod"),(((D6111/100)*(C6111*VLOOKUP(B6111,'Poids des runes'!A:B,2,FALSE)))+1),(((D6111/100)*(C6111*VLOOKUP(B6111,'Poids des runes'!A:B,2,FALSE)))+1)/VLOOKUP(B6111,'Poids des runes'!A:B,2,FALSE))</f>
        <v>14.734999999999999</v>
      </c>
      <c r="F6111">
        <f t="shared" si="95"/>
        <v>14.734999999999999</v>
      </c>
    </row>
    <row r="6112" spans="1:6" x14ac:dyDescent="0.3">
      <c r="A6112" t="s">
        <v>1197</v>
      </c>
      <c r="B6112" t="s">
        <v>2128</v>
      </c>
      <c r="C6112">
        <v>275.5</v>
      </c>
      <c r="D6112">
        <v>172</v>
      </c>
      <c r="E6112">
        <f>IF(OR(B6112="vi",B6112="ii",B6112="pod"),(((D6112/100)*(C6112*VLOOKUP(B6112,'Poids des runes'!A:B,2,FALSE)))+1),(((D6112/100)*(C6112*VLOOKUP(B6112,'Poids des runes'!A:B,2,FALSE)))+1)/VLOOKUP(B6112,'Poids des runes'!A:B,2,FALSE))</f>
        <v>95.772000000000006</v>
      </c>
      <c r="F6112">
        <f t="shared" si="95"/>
        <v>95.772000000000006</v>
      </c>
    </row>
    <row r="6113" spans="1:6" x14ac:dyDescent="0.3">
      <c r="A6113" t="s">
        <v>1197</v>
      </c>
      <c r="B6113" t="s">
        <v>2131</v>
      </c>
      <c r="C6113">
        <v>50.5</v>
      </c>
      <c r="D6113">
        <v>172</v>
      </c>
      <c r="E6113">
        <f>IF(OR(B6113="vi",B6113="ii",B6113="pod"),(((D6113/100)*(C6113*VLOOKUP(B6113,'Poids des runes'!A:B,2,FALSE)))+1),(((D6113/100)*(C6113*VLOOKUP(B6113,'Poids des runes'!A:B,2,FALSE)))+1)/VLOOKUP(B6113,'Poids des runes'!A:B,2,FALSE))</f>
        <v>87.86</v>
      </c>
      <c r="F6113">
        <f t="shared" si="95"/>
        <v>87.86</v>
      </c>
    </row>
    <row r="6114" spans="1:6" x14ac:dyDescent="0.3">
      <c r="A6114" t="s">
        <v>1197</v>
      </c>
      <c r="B6114" t="s">
        <v>2129</v>
      </c>
      <c r="C6114">
        <v>45.5</v>
      </c>
      <c r="D6114">
        <v>172</v>
      </c>
      <c r="E6114">
        <f>IF(OR(B6114="vi",B6114="ii",B6114="pod"),(((D6114/100)*(C6114*VLOOKUP(B6114,'Poids des runes'!A:B,2,FALSE)))+1),(((D6114/100)*(C6114*VLOOKUP(B6114,'Poids des runes'!A:B,2,FALSE)))+1)/VLOOKUP(B6114,'Poids des runes'!A:B,2,FALSE))</f>
        <v>79.260000000000005</v>
      </c>
      <c r="F6114">
        <f t="shared" si="95"/>
        <v>79.260000000000005</v>
      </c>
    </row>
    <row r="6115" spans="1:6" x14ac:dyDescent="0.3">
      <c r="A6115" t="s">
        <v>1197</v>
      </c>
      <c r="B6115" t="s">
        <v>2151</v>
      </c>
      <c r="C6115">
        <v>5</v>
      </c>
      <c r="D6115">
        <v>172</v>
      </c>
      <c r="E6115">
        <f>IF(OR(B6115="vi",B6115="ii",B6115="pod"),(((D6115/100)*(C6115*VLOOKUP(B6115,'Poids des runes'!A:B,2,FALSE)))+1),(((D6115/100)*(C6115*VLOOKUP(B6115,'Poids des runes'!A:B,2,FALSE)))+1)/VLOOKUP(B6115,'Poids des runes'!A:B,2,FALSE))</f>
        <v>8.6999999999999993</v>
      </c>
      <c r="F6115">
        <f t="shared" si="95"/>
        <v>8.6999999999999993</v>
      </c>
    </row>
    <row r="6116" spans="1:6" x14ac:dyDescent="0.3">
      <c r="A6116" t="s">
        <v>1197</v>
      </c>
      <c r="B6116" t="s">
        <v>2155</v>
      </c>
      <c r="C6116">
        <v>1</v>
      </c>
      <c r="D6116">
        <v>172</v>
      </c>
      <c r="E6116">
        <f>IF(OR(B6116="vi",B6116="ii",B6116="pod"),(((D6116/100)*(C6116*VLOOKUP(B6116,'Poids des runes'!A:B,2,FALSE)))+1),(((D6116/100)*(C6116*VLOOKUP(B6116,'Poids des runes'!A:B,2,FALSE)))+1)/VLOOKUP(B6116,'Poids des runes'!A:B,2,FALSE))</f>
        <v>1.7396078431372548</v>
      </c>
      <c r="F6116">
        <f t="shared" si="95"/>
        <v>1.7396078431372548</v>
      </c>
    </row>
    <row r="6117" spans="1:6" x14ac:dyDescent="0.3">
      <c r="A6117" t="s">
        <v>1197</v>
      </c>
      <c r="B6117" t="s">
        <v>2133</v>
      </c>
      <c r="C6117">
        <v>6.5</v>
      </c>
      <c r="D6117">
        <v>172</v>
      </c>
      <c r="E6117">
        <f>IF(OR(B6117="vi",B6117="ii",B6117="pod"),(((D6117/100)*(C6117*VLOOKUP(B6117,'Poids des runes'!A:B,2,FALSE)))+1),(((D6117/100)*(C6117*VLOOKUP(B6117,'Poids des runes'!A:B,2,FALSE)))+1)/VLOOKUP(B6117,'Poids des runes'!A:B,2,FALSE))</f>
        <v>11.379999999999999</v>
      </c>
      <c r="F6117">
        <f t="shared" si="95"/>
        <v>11.379999999999999</v>
      </c>
    </row>
    <row r="6118" spans="1:6" x14ac:dyDescent="0.3">
      <c r="A6118" t="s">
        <v>1197</v>
      </c>
      <c r="B6118" t="s">
        <v>2132</v>
      </c>
      <c r="C6118">
        <v>250.5</v>
      </c>
      <c r="D6118">
        <v>172</v>
      </c>
      <c r="E6118">
        <f>IF(OR(B6118="vi",B6118="ii",B6118="pod"),(((D6118/100)*(C6118*VLOOKUP(B6118,'Poids des runes'!A:B,2,FALSE)))+1),(((D6118/100)*(C6118*VLOOKUP(B6118,'Poids des runes'!A:B,2,FALSE)))+1)/VLOOKUP(B6118,'Poids des runes'!A:B,2,FALSE))</f>
        <v>44.085999999999999</v>
      </c>
      <c r="F6118">
        <f t="shared" si="95"/>
        <v>44.085999999999999</v>
      </c>
    </row>
    <row r="6119" spans="1:6" x14ac:dyDescent="0.3">
      <c r="A6119" t="s">
        <v>1197</v>
      </c>
      <c r="B6119" t="s">
        <v>2159</v>
      </c>
      <c r="C6119">
        <v>4</v>
      </c>
      <c r="D6119">
        <v>172</v>
      </c>
      <c r="E6119">
        <f>IF(OR(B6119="vi",B6119="ii",B6119="pod"),(((D6119/100)*(C6119*VLOOKUP(B6119,'Poids des runes'!A:B,2,FALSE)))+1),(((D6119/100)*(C6119*VLOOKUP(B6119,'Poids des runes'!A:B,2,FALSE)))+1)/VLOOKUP(B6119,'Poids des runes'!A:B,2,FALSE))</f>
        <v>7.0228571428571422</v>
      </c>
      <c r="F6119">
        <f t="shared" si="95"/>
        <v>7.0228571428571422</v>
      </c>
    </row>
    <row r="6120" spans="1:6" x14ac:dyDescent="0.3">
      <c r="A6120" t="s">
        <v>1197</v>
      </c>
      <c r="B6120" t="s">
        <v>2147</v>
      </c>
      <c r="C6120">
        <v>6</v>
      </c>
      <c r="D6120">
        <v>172</v>
      </c>
      <c r="E6120">
        <f>IF(OR(B6120="vi",B6120="ii",B6120="pod"),(((D6120/100)*(C6120*VLOOKUP(B6120,'Poids des runes'!A:B,2,FALSE)))+1),(((D6120/100)*(C6120*VLOOKUP(B6120,'Poids des runes'!A:B,2,FALSE)))+1)/VLOOKUP(B6120,'Poids des runes'!A:B,2,FALSE))</f>
        <v>10.486666666666666</v>
      </c>
      <c r="F6120">
        <f t="shared" si="95"/>
        <v>10.486666666666666</v>
      </c>
    </row>
    <row r="6121" spans="1:6" x14ac:dyDescent="0.3">
      <c r="A6121" t="s">
        <v>1197</v>
      </c>
      <c r="B6121" t="s">
        <v>2157</v>
      </c>
      <c r="C6121">
        <v>6</v>
      </c>
      <c r="D6121">
        <v>172</v>
      </c>
      <c r="E6121">
        <f>IF(OR(B6121="vi",B6121="ii",B6121="pod"),(((D6121/100)*(C6121*VLOOKUP(B6121,'Poids des runes'!A:B,2,FALSE)))+1),(((D6121/100)*(C6121*VLOOKUP(B6121,'Poids des runes'!A:B,2,FALSE)))+1)/VLOOKUP(B6121,'Poids des runes'!A:B,2,FALSE))</f>
        <v>10.486666666666666</v>
      </c>
      <c r="F6121">
        <f t="shared" si="95"/>
        <v>10.486666666666666</v>
      </c>
    </row>
    <row r="6122" spans="1:6" x14ac:dyDescent="0.3">
      <c r="A6122" t="s">
        <v>1197</v>
      </c>
      <c r="B6122" t="s">
        <v>2137</v>
      </c>
      <c r="C6122">
        <v>8</v>
      </c>
      <c r="D6122">
        <v>172</v>
      </c>
      <c r="E6122">
        <f>IF(OR(B6122="vi",B6122="ii",B6122="pod"),(((D6122/100)*(C6122*VLOOKUP(B6122,'Poids des runes'!A:B,2,FALSE)))+1),(((D6122/100)*(C6122*VLOOKUP(B6122,'Poids des runes'!A:B,2,FALSE)))+1)/VLOOKUP(B6122,'Poids des runes'!A:B,2,FALSE))</f>
        <v>14.26</v>
      </c>
      <c r="F6122">
        <f t="shared" si="95"/>
        <v>14.26</v>
      </c>
    </row>
    <row r="6123" spans="1:6" x14ac:dyDescent="0.3">
      <c r="A6123" t="s">
        <v>1198</v>
      </c>
      <c r="B6123" t="s">
        <v>2128</v>
      </c>
      <c r="C6123">
        <v>275.5</v>
      </c>
      <c r="D6123">
        <v>172</v>
      </c>
      <c r="E6123">
        <f>IF(OR(B6123="vi",B6123="ii",B6123="pod"),(((D6123/100)*(C6123*VLOOKUP(B6123,'Poids des runes'!A:B,2,FALSE)))+1),(((D6123/100)*(C6123*VLOOKUP(B6123,'Poids des runes'!A:B,2,FALSE)))+1)/VLOOKUP(B6123,'Poids des runes'!A:B,2,FALSE))</f>
        <v>95.772000000000006</v>
      </c>
      <c r="F6123">
        <f t="shared" si="95"/>
        <v>95.772000000000006</v>
      </c>
    </row>
    <row r="6124" spans="1:6" x14ac:dyDescent="0.3">
      <c r="A6124" t="s">
        <v>1198</v>
      </c>
      <c r="B6124" t="s">
        <v>2130</v>
      </c>
      <c r="C6124">
        <v>40.5</v>
      </c>
      <c r="D6124">
        <v>172</v>
      </c>
      <c r="E6124">
        <f>IF(OR(B6124="vi",B6124="ii",B6124="pod"),(((D6124/100)*(C6124*VLOOKUP(B6124,'Poids des runes'!A:B,2,FALSE)))+1),(((D6124/100)*(C6124*VLOOKUP(B6124,'Poids des runes'!A:B,2,FALSE)))+1)/VLOOKUP(B6124,'Poids des runes'!A:B,2,FALSE))</f>
        <v>70.66</v>
      </c>
      <c r="F6124">
        <f t="shared" si="95"/>
        <v>70.66</v>
      </c>
    </row>
    <row r="6125" spans="1:6" x14ac:dyDescent="0.3">
      <c r="A6125" t="s">
        <v>1198</v>
      </c>
      <c r="B6125" t="s">
        <v>2127</v>
      </c>
      <c r="C6125">
        <v>40.5</v>
      </c>
      <c r="D6125">
        <v>172</v>
      </c>
      <c r="E6125">
        <f>IF(OR(B6125="vi",B6125="ii",B6125="pod"),(((D6125/100)*(C6125*VLOOKUP(B6125,'Poids des runes'!A:B,2,FALSE)))+1),(((D6125/100)*(C6125*VLOOKUP(B6125,'Poids des runes'!A:B,2,FALSE)))+1)/VLOOKUP(B6125,'Poids des runes'!A:B,2,FALSE))</f>
        <v>70.66</v>
      </c>
      <c r="F6125">
        <f t="shared" si="95"/>
        <v>70.66</v>
      </c>
    </row>
    <row r="6126" spans="1:6" x14ac:dyDescent="0.3">
      <c r="A6126" t="s">
        <v>1198</v>
      </c>
      <c r="B6126" t="s">
        <v>2129</v>
      </c>
      <c r="C6126">
        <v>35.5</v>
      </c>
      <c r="D6126">
        <v>172</v>
      </c>
      <c r="E6126">
        <f>IF(OR(B6126="vi",B6126="ii",B6126="pod"),(((D6126/100)*(C6126*VLOOKUP(B6126,'Poids des runes'!A:B,2,FALSE)))+1),(((D6126/100)*(C6126*VLOOKUP(B6126,'Poids des runes'!A:B,2,FALSE)))+1)/VLOOKUP(B6126,'Poids des runes'!A:B,2,FALSE))</f>
        <v>62.06</v>
      </c>
      <c r="F6126">
        <f t="shared" si="95"/>
        <v>62.06</v>
      </c>
    </row>
    <row r="6127" spans="1:6" x14ac:dyDescent="0.3">
      <c r="A6127" t="s">
        <v>1198</v>
      </c>
      <c r="B6127" t="s">
        <v>2151</v>
      </c>
      <c r="C6127">
        <v>5</v>
      </c>
      <c r="D6127">
        <v>172</v>
      </c>
      <c r="E6127">
        <f>IF(OR(B6127="vi",B6127="ii",B6127="pod"),(((D6127/100)*(C6127*VLOOKUP(B6127,'Poids des runes'!A:B,2,FALSE)))+1),(((D6127/100)*(C6127*VLOOKUP(B6127,'Poids des runes'!A:B,2,FALSE)))+1)/VLOOKUP(B6127,'Poids des runes'!A:B,2,FALSE))</f>
        <v>8.6999999999999993</v>
      </c>
      <c r="F6127">
        <f t="shared" si="95"/>
        <v>8.6999999999999993</v>
      </c>
    </row>
    <row r="6128" spans="1:6" x14ac:dyDescent="0.3">
      <c r="A6128" t="s">
        <v>1198</v>
      </c>
      <c r="B6128" t="s">
        <v>2150</v>
      </c>
      <c r="C6128">
        <v>1</v>
      </c>
      <c r="D6128">
        <v>172</v>
      </c>
      <c r="E6128">
        <f>IF(OR(B6128="vi",B6128="ii",B6128="pod"),(((D6128/100)*(C6128*VLOOKUP(B6128,'Poids des runes'!A:B,2,FALSE)))+1),(((D6128/100)*(C6128*VLOOKUP(B6128,'Poids des runes'!A:B,2,FALSE)))+1)/VLOOKUP(B6128,'Poids des runes'!A:B,2,FALSE))</f>
        <v>1.7533333333333334</v>
      </c>
      <c r="F6128">
        <f t="shared" si="95"/>
        <v>1.7533333333333334</v>
      </c>
    </row>
    <row r="6129" spans="1:6" x14ac:dyDescent="0.3">
      <c r="A6129" t="s">
        <v>1198</v>
      </c>
      <c r="B6129" t="s">
        <v>2143</v>
      </c>
      <c r="C6129">
        <v>10</v>
      </c>
      <c r="D6129">
        <v>172</v>
      </c>
      <c r="E6129">
        <f>IF(OR(B6129="vi",B6129="ii",B6129="pod"),(((D6129/100)*(C6129*VLOOKUP(B6129,'Poids des runes'!A:B,2,FALSE)))+1),(((D6129/100)*(C6129*VLOOKUP(B6129,'Poids des runes'!A:B,2,FALSE)))+1)/VLOOKUP(B6129,'Poids des runes'!A:B,2,FALSE))</f>
        <v>17.399999999999999</v>
      </c>
      <c r="F6129">
        <f t="shared" si="95"/>
        <v>17.399999999999999</v>
      </c>
    </row>
    <row r="6130" spans="1:6" x14ac:dyDescent="0.3">
      <c r="A6130" t="s">
        <v>1198</v>
      </c>
      <c r="B6130" t="s">
        <v>2153</v>
      </c>
      <c r="C6130">
        <v>10</v>
      </c>
      <c r="D6130">
        <v>172</v>
      </c>
      <c r="E6130">
        <f>IF(OR(B6130="vi",B6130="ii",B6130="pod"),(((D6130/100)*(C6130*VLOOKUP(B6130,'Poids des runes'!A:B,2,FALSE)))+1),(((D6130/100)*(C6130*VLOOKUP(B6130,'Poids des runes'!A:B,2,FALSE)))+1)/VLOOKUP(B6130,'Poids des runes'!A:B,2,FALSE))</f>
        <v>17.399999999999999</v>
      </c>
      <c r="F6130">
        <f t="shared" si="95"/>
        <v>17.399999999999999</v>
      </c>
    </row>
    <row r="6131" spans="1:6" x14ac:dyDescent="0.3">
      <c r="A6131" t="s">
        <v>1198</v>
      </c>
      <c r="B6131" t="s">
        <v>2161</v>
      </c>
      <c r="C6131">
        <v>13</v>
      </c>
      <c r="D6131">
        <v>172</v>
      </c>
      <c r="E6131">
        <f>IF(OR(B6131="vi",B6131="ii",B6131="pod"),(((D6131/100)*(C6131*VLOOKUP(B6131,'Poids des runes'!A:B,2,FALSE)))+1),(((D6131/100)*(C6131*VLOOKUP(B6131,'Poids des runes'!A:B,2,FALSE)))+1)/VLOOKUP(B6131,'Poids des runes'!A:B,2,FALSE))</f>
        <v>22.693333333333332</v>
      </c>
      <c r="F6131">
        <f t="shared" si="95"/>
        <v>22.693333333333332</v>
      </c>
    </row>
    <row r="6132" spans="1:6" x14ac:dyDescent="0.3">
      <c r="A6132" t="s">
        <v>1198</v>
      </c>
      <c r="B6132" t="s">
        <v>2132</v>
      </c>
      <c r="C6132">
        <v>450.5</v>
      </c>
      <c r="D6132">
        <v>172</v>
      </c>
      <c r="E6132">
        <f>IF(OR(B6132="vi",B6132="ii",B6132="pod"),(((D6132/100)*(C6132*VLOOKUP(B6132,'Poids des runes'!A:B,2,FALSE)))+1),(((D6132/100)*(C6132*VLOOKUP(B6132,'Poids des runes'!A:B,2,FALSE)))+1)/VLOOKUP(B6132,'Poids des runes'!A:B,2,FALSE))</f>
        <v>78.486000000000004</v>
      </c>
      <c r="F6132">
        <f t="shared" si="95"/>
        <v>78.486000000000004</v>
      </c>
    </row>
    <row r="6133" spans="1:6" x14ac:dyDescent="0.3">
      <c r="A6133" t="s">
        <v>1198</v>
      </c>
      <c r="B6133" t="s">
        <v>2138</v>
      </c>
      <c r="C6133">
        <v>4.5</v>
      </c>
      <c r="D6133">
        <v>172</v>
      </c>
      <c r="E6133">
        <f>IF(OR(B6133="vi",B6133="ii",B6133="pod"),(((D6133/100)*(C6133*VLOOKUP(B6133,'Poids des runes'!A:B,2,FALSE)))+1),(((D6133/100)*(C6133*VLOOKUP(B6133,'Poids des runes'!A:B,2,FALSE)))+1)/VLOOKUP(B6133,'Poids des runes'!A:B,2,FALSE))</f>
        <v>7.99</v>
      </c>
      <c r="F6133">
        <f t="shared" si="95"/>
        <v>7.99</v>
      </c>
    </row>
    <row r="6134" spans="1:6" x14ac:dyDescent="0.3">
      <c r="A6134" t="s">
        <v>1198</v>
      </c>
      <c r="B6134" t="s">
        <v>2163</v>
      </c>
      <c r="C6134">
        <v>8.5</v>
      </c>
      <c r="D6134">
        <v>172</v>
      </c>
      <c r="E6134">
        <f>IF(OR(B6134="vi",B6134="ii",B6134="pod"),(((D6134/100)*(C6134*VLOOKUP(B6134,'Poids des runes'!A:B,2,FALSE)))+1),(((D6134/100)*(C6134*VLOOKUP(B6134,'Poids des runes'!A:B,2,FALSE)))+1)/VLOOKUP(B6134,'Poids des runes'!A:B,2,FALSE))</f>
        <v>15.12</v>
      </c>
      <c r="F6134">
        <f t="shared" si="95"/>
        <v>15.12</v>
      </c>
    </row>
    <row r="6135" spans="1:6" x14ac:dyDescent="0.3">
      <c r="A6135" t="s">
        <v>1199</v>
      </c>
      <c r="B6135" t="s">
        <v>2128</v>
      </c>
      <c r="C6135">
        <v>225.5</v>
      </c>
      <c r="D6135">
        <v>172</v>
      </c>
      <c r="E6135">
        <f>IF(OR(B6135="vi",B6135="ii",B6135="pod"),(((D6135/100)*(C6135*VLOOKUP(B6135,'Poids des runes'!A:B,2,FALSE)))+1),(((D6135/100)*(C6135*VLOOKUP(B6135,'Poids des runes'!A:B,2,FALSE)))+1)/VLOOKUP(B6135,'Poids des runes'!A:B,2,FALSE))</f>
        <v>78.572000000000003</v>
      </c>
      <c r="F6135">
        <f t="shared" si="95"/>
        <v>78.572000000000003</v>
      </c>
    </row>
    <row r="6136" spans="1:6" x14ac:dyDescent="0.3">
      <c r="A6136" t="s">
        <v>1199</v>
      </c>
      <c r="B6136" t="s">
        <v>2126</v>
      </c>
      <c r="C6136">
        <v>45.5</v>
      </c>
      <c r="D6136">
        <v>172</v>
      </c>
      <c r="E6136">
        <f>IF(OR(B6136="vi",B6136="ii",B6136="pod"),(((D6136/100)*(C6136*VLOOKUP(B6136,'Poids des runes'!A:B,2,FALSE)))+1),(((D6136/100)*(C6136*VLOOKUP(B6136,'Poids des runes'!A:B,2,FALSE)))+1)/VLOOKUP(B6136,'Poids des runes'!A:B,2,FALSE))</f>
        <v>79.260000000000005</v>
      </c>
      <c r="F6136">
        <f t="shared" si="95"/>
        <v>79.260000000000005</v>
      </c>
    </row>
    <row r="6137" spans="1:6" x14ac:dyDescent="0.3">
      <c r="A6137" t="s">
        <v>1199</v>
      </c>
      <c r="B6137" t="s">
        <v>2129</v>
      </c>
      <c r="C6137">
        <v>35.5</v>
      </c>
      <c r="D6137">
        <v>172</v>
      </c>
      <c r="E6137">
        <f>IF(OR(B6137="vi",B6137="ii",B6137="pod"),(((D6137/100)*(C6137*VLOOKUP(B6137,'Poids des runes'!A:B,2,FALSE)))+1),(((D6137/100)*(C6137*VLOOKUP(B6137,'Poids des runes'!A:B,2,FALSE)))+1)/VLOOKUP(B6137,'Poids des runes'!A:B,2,FALSE))</f>
        <v>62.06</v>
      </c>
      <c r="F6137">
        <f t="shared" si="95"/>
        <v>62.06</v>
      </c>
    </row>
    <row r="6138" spans="1:6" x14ac:dyDescent="0.3">
      <c r="A6138" t="s">
        <v>1199</v>
      </c>
      <c r="B6138" t="s">
        <v>2155</v>
      </c>
      <c r="C6138">
        <v>1</v>
      </c>
      <c r="D6138">
        <v>172</v>
      </c>
      <c r="E6138">
        <f>IF(OR(B6138="vi",B6138="ii",B6138="pod"),(((D6138/100)*(C6138*VLOOKUP(B6138,'Poids des runes'!A:B,2,FALSE)))+1),(((D6138/100)*(C6138*VLOOKUP(B6138,'Poids des runes'!A:B,2,FALSE)))+1)/VLOOKUP(B6138,'Poids des runes'!A:B,2,FALSE))</f>
        <v>1.7396078431372548</v>
      </c>
      <c r="F6138">
        <f t="shared" si="95"/>
        <v>1.7396078431372548</v>
      </c>
    </row>
    <row r="6139" spans="1:6" x14ac:dyDescent="0.3">
      <c r="A6139" t="s">
        <v>1199</v>
      </c>
      <c r="B6139" t="s">
        <v>2140</v>
      </c>
      <c r="C6139">
        <v>8.5</v>
      </c>
      <c r="D6139">
        <v>172</v>
      </c>
      <c r="E6139">
        <f>IF(OR(B6139="vi",B6139="ii",B6139="pod"),(((D6139/100)*(C6139*VLOOKUP(B6139,'Poids des runes'!A:B,2,FALSE)))+1),(((D6139/100)*(C6139*VLOOKUP(B6139,'Poids des runes'!A:B,2,FALSE)))+1)/VLOOKUP(B6139,'Poids des runes'!A:B,2,FALSE))</f>
        <v>14.819999999999999</v>
      </c>
      <c r="F6139">
        <f t="shared" si="95"/>
        <v>14.819999999999999</v>
      </c>
    </row>
    <row r="6140" spans="1:6" x14ac:dyDescent="0.3">
      <c r="A6140" t="s">
        <v>1199</v>
      </c>
      <c r="B6140" t="s">
        <v>2149</v>
      </c>
      <c r="C6140">
        <v>4</v>
      </c>
      <c r="D6140">
        <v>172</v>
      </c>
      <c r="E6140">
        <f>IF(OR(B6140="vi",B6140="ii",B6140="pod"),(((D6140/100)*(C6140*VLOOKUP(B6140,'Poids des runes'!A:B,2,FALSE)))+1),(((D6140/100)*(C6140*VLOOKUP(B6140,'Poids des runes'!A:B,2,FALSE)))+1)/VLOOKUP(B6140,'Poids des runes'!A:B,2,FALSE))</f>
        <v>6.9799999999999995</v>
      </c>
      <c r="F6140">
        <f t="shared" si="95"/>
        <v>6.9799999999999995</v>
      </c>
    </row>
    <row r="6141" spans="1:6" x14ac:dyDescent="0.3">
      <c r="A6141" t="s">
        <v>1199</v>
      </c>
      <c r="B6141" t="s">
        <v>2162</v>
      </c>
      <c r="C6141">
        <v>4</v>
      </c>
      <c r="D6141">
        <v>172</v>
      </c>
      <c r="E6141">
        <f>IF(OR(B6141="vi",B6141="ii",B6141="pod"),(((D6141/100)*(C6141*VLOOKUP(B6141,'Poids des runes'!A:B,2,FALSE)))+1),(((D6141/100)*(C6141*VLOOKUP(B6141,'Poids des runes'!A:B,2,FALSE)))+1)/VLOOKUP(B6141,'Poids des runes'!A:B,2,FALSE))</f>
        <v>7.0228571428571422</v>
      </c>
      <c r="F6141">
        <f t="shared" si="95"/>
        <v>7.0228571428571422</v>
      </c>
    </row>
    <row r="6142" spans="1:6" x14ac:dyDescent="0.3">
      <c r="A6142" t="s">
        <v>1199</v>
      </c>
      <c r="B6142" t="s">
        <v>2164</v>
      </c>
      <c r="C6142">
        <v>8</v>
      </c>
      <c r="D6142">
        <v>172</v>
      </c>
      <c r="E6142">
        <f>IF(OR(B6142="vi",B6142="ii",B6142="pod"),(((D6142/100)*(C6142*VLOOKUP(B6142,'Poids des runes'!A:B,2,FALSE)))+1),(((D6142/100)*(C6142*VLOOKUP(B6142,'Poids des runes'!A:B,2,FALSE)))+1)/VLOOKUP(B6142,'Poids des runes'!A:B,2,FALSE))</f>
        <v>14.26</v>
      </c>
      <c r="F6142">
        <f t="shared" si="95"/>
        <v>14.26</v>
      </c>
    </row>
    <row r="6143" spans="1:6" x14ac:dyDescent="0.3">
      <c r="A6143" t="s">
        <v>1199</v>
      </c>
      <c r="B6143" t="s">
        <v>2148</v>
      </c>
      <c r="C6143">
        <v>2.5</v>
      </c>
      <c r="D6143">
        <v>172</v>
      </c>
      <c r="E6143">
        <f>IF(OR(B6143="vi",B6143="ii",B6143="pod"),(((D6143/100)*(C6143*VLOOKUP(B6143,'Poids des runes'!A:B,2,FALSE)))+1),(((D6143/100)*(C6143*VLOOKUP(B6143,'Poids des runes'!A:B,2,FALSE)))+1)/VLOOKUP(B6143,'Poids des runes'!A:B,2,FALSE))</f>
        <v>4.4666666666666668</v>
      </c>
      <c r="F6143">
        <f t="shared" si="95"/>
        <v>4.4666666666666668</v>
      </c>
    </row>
    <row r="6144" spans="1:6" x14ac:dyDescent="0.3">
      <c r="A6144" t="s">
        <v>1200</v>
      </c>
      <c r="B6144" t="s">
        <v>2128</v>
      </c>
      <c r="C6144">
        <v>225.5</v>
      </c>
      <c r="D6144">
        <v>172</v>
      </c>
      <c r="E6144">
        <f>IF(OR(B6144="vi",B6144="ii",B6144="pod"),(((D6144/100)*(C6144*VLOOKUP(B6144,'Poids des runes'!A:B,2,FALSE)))+1),(((D6144/100)*(C6144*VLOOKUP(B6144,'Poids des runes'!A:B,2,FALSE)))+1)/VLOOKUP(B6144,'Poids des runes'!A:B,2,FALSE))</f>
        <v>78.572000000000003</v>
      </c>
      <c r="F6144">
        <f t="shared" si="95"/>
        <v>78.572000000000003</v>
      </c>
    </row>
    <row r="6145" spans="1:6" x14ac:dyDescent="0.3">
      <c r="A6145" t="s">
        <v>1200</v>
      </c>
      <c r="B6145" t="s">
        <v>2130</v>
      </c>
      <c r="C6145">
        <v>60.5</v>
      </c>
      <c r="D6145">
        <v>172</v>
      </c>
      <c r="E6145">
        <f>IF(OR(B6145="vi",B6145="ii",B6145="pod"),(((D6145/100)*(C6145*VLOOKUP(B6145,'Poids des runes'!A:B,2,FALSE)))+1),(((D6145/100)*(C6145*VLOOKUP(B6145,'Poids des runes'!A:B,2,FALSE)))+1)/VLOOKUP(B6145,'Poids des runes'!A:B,2,FALSE))</f>
        <v>105.06</v>
      </c>
      <c r="F6145">
        <f t="shared" si="95"/>
        <v>105.06</v>
      </c>
    </row>
    <row r="6146" spans="1:6" x14ac:dyDescent="0.3">
      <c r="A6146" t="s">
        <v>1200</v>
      </c>
      <c r="B6146" t="s">
        <v>2126</v>
      </c>
      <c r="C6146">
        <v>60.5</v>
      </c>
      <c r="D6146">
        <v>172</v>
      </c>
      <c r="E6146">
        <f>IF(OR(B6146="vi",B6146="ii",B6146="pod"),(((D6146/100)*(C6146*VLOOKUP(B6146,'Poids des runes'!A:B,2,FALSE)))+1),(((D6146/100)*(C6146*VLOOKUP(B6146,'Poids des runes'!A:B,2,FALSE)))+1)/VLOOKUP(B6146,'Poids des runes'!A:B,2,FALSE))</f>
        <v>105.06</v>
      </c>
      <c r="F6146">
        <f t="shared" si="95"/>
        <v>105.06</v>
      </c>
    </row>
    <row r="6147" spans="1:6" x14ac:dyDescent="0.3">
      <c r="A6147" t="s">
        <v>1200</v>
      </c>
      <c r="B6147" t="s">
        <v>2129</v>
      </c>
      <c r="C6147">
        <v>40.5</v>
      </c>
      <c r="D6147">
        <v>172</v>
      </c>
      <c r="E6147">
        <f>IF(OR(B6147="vi",B6147="ii",B6147="pod"),(((D6147/100)*(C6147*VLOOKUP(B6147,'Poids des runes'!A:B,2,FALSE)))+1),(((D6147/100)*(C6147*VLOOKUP(B6147,'Poids des runes'!A:B,2,FALSE)))+1)/VLOOKUP(B6147,'Poids des runes'!A:B,2,FALSE))</f>
        <v>70.66</v>
      </c>
      <c r="F6147">
        <f t="shared" ref="F6147:F6210" si="96">E6147</f>
        <v>70.66</v>
      </c>
    </row>
    <row r="6148" spans="1:6" x14ac:dyDescent="0.3">
      <c r="A6148" t="s">
        <v>1200</v>
      </c>
      <c r="B6148" t="s">
        <v>2151</v>
      </c>
      <c r="C6148">
        <v>3.5</v>
      </c>
      <c r="D6148">
        <v>172</v>
      </c>
      <c r="E6148">
        <f>IF(OR(B6148="vi",B6148="ii",B6148="pod"),(((D6148/100)*(C6148*VLOOKUP(B6148,'Poids des runes'!A:B,2,FALSE)))+1),(((D6148/100)*(C6148*VLOOKUP(B6148,'Poids des runes'!A:B,2,FALSE)))+1)/VLOOKUP(B6148,'Poids des runes'!A:B,2,FALSE))</f>
        <v>6.1199999999999992</v>
      </c>
      <c r="F6148">
        <f t="shared" si="96"/>
        <v>6.1199999999999992</v>
      </c>
    </row>
    <row r="6149" spans="1:6" x14ac:dyDescent="0.3">
      <c r="A6149" t="s">
        <v>1200</v>
      </c>
      <c r="B6149" t="s">
        <v>2143</v>
      </c>
      <c r="C6149">
        <v>8.5</v>
      </c>
      <c r="D6149">
        <v>172</v>
      </c>
      <c r="E6149">
        <f>IF(OR(B6149="vi",B6149="ii",B6149="pod"),(((D6149/100)*(C6149*VLOOKUP(B6149,'Poids des runes'!A:B,2,FALSE)))+1),(((D6149/100)*(C6149*VLOOKUP(B6149,'Poids des runes'!A:B,2,FALSE)))+1)/VLOOKUP(B6149,'Poids des runes'!A:B,2,FALSE))</f>
        <v>14.819999999999999</v>
      </c>
      <c r="F6149">
        <f t="shared" si="96"/>
        <v>14.819999999999999</v>
      </c>
    </row>
    <row r="6150" spans="1:6" x14ac:dyDescent="0.3">
      <c r="A6150" t="s">
        <v>1200</v>
      </c>
      <c r="B6150" t="s">
        <v>2140</v>
      </c>
      <c r="C6150">
        <v>8.5</v>
      </c>
      <c r="D6150">
        <v>172</v>
      </c>
      <c r="E6150">
        <f>IF(OR(B6150="vi",B6150="ii",B6150="pod"),(((D6150/100)*(C6150*VLOOKUP(B6150,'Poids des runes'!A:B,2,FALSE)))+1),(((D6150/100)*(C6150*VLOOKUP(B6150,'Poids des runes'!A:B,2,FALSE)))+1)/VLOOKUP(B6150,'Poids des runes'!A:B,2,FALSE))</f>
        <v>14.819999999999999</v>
      </c>
      <c r="F6150">
        <f t="shared" si="96"/>
        <v>14.819999999999999</v>
      </c>
    </row>
    <row r="6151" spans="1:6" x14ac:dyDescent="0.3">
      <c r="A6151" t="s">
        <v>1200</v>
      </c>
      <c r="B6151" t="s">
        <v>2138</v>
      </c>
      <c r="C6151">
        <v>7</v>
      </c>
      <c r="D6151">
        <v>172</v>
      </c>
      <c r="E6151">
        <f>IF(OR(B6151="vi",B6151="ii",B6151="pod"),(((D6151/100)*(C6151*VLOOKUP(B6151,'Poids des runes'!A:B,2,FALSE)))+1),(((D6151/100)*(C6151*VLOOKUP(B6151,'Poids des runes'!A:B,2,FALSE)))+1)/VLOOKUP(B6151,'Poids des runes'!A:B,2,FALSE))</f>
        <v>12.29</v>
      </c>
      <c r="F6151">
        <f t="shared" si="96"/>
        <v>12.29</v>
      </c>
    </row>
    <row r="6152" spans="1:6" x14ac:dyDescent="0.3">
      <c r="A6152" t="s">
        <v>1200</v>
      </c>
      <c r="B6152" t="s">
        <v>2142</v>
      </c>
      <c r="C6152">
        <v>13</v>
      </c>
      <c r="D6152">
        <v>172</v>
      </c>
      <c r="E6152">
        <f>IF(OR(B6152="vi",B6152="ii",B6152="pod"),(((D6152/100)*(C6152*VLOOKUP(B6152,'Poids des runes'!A:B,2,FALSE)))+1),(((D6152/100)*(C6152*VLOOKUP(B6152,'Poids des runes'!A:B,2,FALSE)))+1)/VLOOKUP(B6152,'Poids des runes'!A:B,2,FALSE))</f>
        <v>22.56</v>
      </c>
      <c r="F6152">
        <f t="shared" si="96"/>
        <v>22.56</v>
      </c>
    </row>
    <row r="6153" spans="1:6" x14ac:dyDescent="0.3">
      <c r="A6153" t="s">
        <v>1200</v>
      </c>
      <c r="B6153" t="s">
        <v>2157</v>
      </c>
      <c r="C6153">
        <v>6</v>
      </c>
      <c r="D6153">
        <v>172</v>
      </c>
      <c r="E6153">
        <f>IF(OR(B6153="vi",B6153="ii",B6153="pod"),(((D6153/100)*(C6153*VLOOKUP(B6153,'Poids des runes'!A:B,2,FALSE)))+1),(((D6153/100)*(C6153*VLOOKUP(B6153,'Poids des runes'!A:B,2,FALSE)))+1)/VLOOKUP(B6153,'Poids des runes'!A:B,2,FALSE))</f>
        <v>10.486666666666666</v>
      </c>
      <c r="F6153">
        <f t="shared" si="96"/>
        <v>10.486666666666666</v>
      </c>
    </row>
    <row r="6154" spans="1:6" x14ac:dyDescent="0.3">
      <c r="A6154" t="s">
        <v>1201</v>
      </c>
      <c r="B6154" t="s">
        <v>2128</v>
      </c>
      <c r="C6154">
        <v>175.5</v>
      </c>
      <c r="D6154">
        <v>173</v>
      </c>
      <c r="E6154">
        <f>IF(OR(B6154="vi",B6154="ii",B6154="pod"),(((D6154/100)*(C6154*VLOOKUP(B6154,'Poids des runes'!A:B,2,FALSE)))+1),(((D6154/100)*(C6154*VLOOKUP(B6154,'Poids des runes'!A:B,2,FALSE)))+1)/VLOOKUP(B6154,'Poids des runes'!A:B,2,FALSE))</f>
        <v>61.722999999999999</v>
      </c>
      <c r="F6154">
        <f t="shared" si="96"/>
        <v>61.722999999999999</v>
      </c>
    </row>
    <row r="6155" spans="1:6" x14ac:dyDescent="0.3">
      <c r="A6155" t="s">
        <v>1201</v>
      </c>
      <c r="B6155" t="s">
        <v>2130</v>
      </c>
      <c r="C6155">
        <v>35.5</v>
      </c>
      <c r="D6155">
        <v>173</v>
      </c>
      <c r="E6155">
        <f>IF(OR(B6155="vi",B6155="ii",B6155="pod"),(((D6155/100)*(C6155*VLOOKUP(B6155,'Poids des runes'!A:B,2,FALSE)))+1),(((D6155/100)*(C6155*VLOOKUP(B6155,'Poids des runes'!A:B,2,FALSE)))+1)/VLOOKUP(B6155,'Poids des runes'!A:B,2,FALSE))</f>
        <v>62.414999999999999</v>
      </c>
      <c r="F6155">
        <f t="shared" si="96"/>
        <v>62.414999999999999</v>
      </c>
    </row>
    <row r="6156" spans="1:6" x14ac:dyDescent="0.3">
      <c r="A6156" t="s">
        <v>1201</v>
      </c>
      <c r="B6156" t="s">
        <v>2131</v>
      </c>
      <c r="C6156">
        <v>35.5</v>
      </c>
      <c r="D6156">
        <v>173</v>
      </c>
      <c r="E6156">
        <f>IF(OR(B6156="vi",B6156="ii",B6156="pod"),(((D6156/100)*(C6156*VLOOKUP(B6156,'Poids des runes'!A:B,2,FALSE)))+1),(((D6156/100)*(C6156*VLOOKUP(B6156,'Poids des runes'!A:B,2,FALSE)))+1)/VLOOKUP(B6156,'Poids des runes'!A:B,2,FALSE))</f>
        <v>62.414999999999999</v>
      </c>
      <c r="F6156">
        <f t="shared" si="96"/>
        <v>62.414999999999999</v>
      </c>
    </row>
    <row r="6157" spans="1:6" x14ac:dyDescent="0.3">
      <c r="A6157" t="s">
        <v>1201</v>
      </c>
      <c r="B6157" t="s">
        <v>2129</v>
      </c>
      <c r="C6157">
        <v>25.5</v>
      </c>
      <c r="D6157">
        <v>173</v>
      </c>
      <c r="E6157">
        <f>IF(OR(B6157="vi",B6157="ii",B6157="pod"),(((D6157/100)*(C6157*VLOOKUP(B6157,'Poids des runes'!A:B,2,FALSE)))+1),(((D6157/100)*(C6157*VLOOKUP(B6157,'Poids des runes'!A:B,2,FALSE)))+1)/VLOOKUP(B6157,'Poids des runes'!A:B,2,FALSE))</f>
        <v>45.115000000000002</v>
      </c>
      <c r="F6157">
        <f t="shared" si="96"/>
        <v>45.115000000000002</v>
      </c>
    </row>
    <row r="6158" spans="1:6" x14ac:dyDescent="0.3">
      <c r="A6158" t="s">
        <v>1201</v>
      </c>
      <c r="B6158" t="s">
        <v>2155</v>
      </c>
      <c r="C6158">
        <v>1</v>
      </c>
      <c r="D6158">
        <v>173</v>
      </c>
      <c r="E6158">
        <f>IF(OR(B6158="vi",B6158="ii",B6158="pod"),(((D6158/100)*(C6158*VLOOKUP(B6158,'Poids des runes'!A:B,2,FALSE)))+1),(((D6158/100)*(C6158*VLOOKUP(B6158,'Poids des runes'!A:B,2,FALSE)))+1)/VLOOKUP(B6158,'Poids des runes'!A:B,2,FALSE))</f>
        <v>1.749607843137255</v>
      </c>
      <c r="F6158">
        <f t="shared" si="96"/>
        <v>1.749607843137255</v>
      </c>
    </row>
    <row r="6159" spans="1:6" x14ac:dyDescent="0.3">
      <c r="A6159" t="s">
        <v>1201</v>
      </c>
      <c r="B6159" t="s">
        <v>2143</v>
      </c>
      <c r="C6159">
        <v>7.5</v>
      </c>
      <c r="D6159">
        <v>173</v>
      </c>
      <c r="E6159">
        <f>IF(OR(B6159="vi",B6159="ii",B6159="pod"),(((D6159/100)*(C6159*VLOOKUP(B6159,'Poids des runes'!A:B,2,FALSE)))+1),(((D6159/100)*(C6159*VLOOKUP(B6159,'Poids des runes'!A:B,2,FALSE)))+1)/VLOOKUP(B6159,'Poids des runes'!A:B,2,FALSE))</f>
        <v>13.175000000000001</v>
      </c>
      <c r="F6159">
        <f t="shared" si="96"/>
        <v>13.175000000000001</v>
      </c>
    </row>
    <row r="6160" spans="1:6" x14ac:dyDescent="0.3">
      <c r="A6160" t="s">
        <v>1201</v>
      </c>
      <c r="B6160" t="s">
        <v>2133</v>
      </c>
      <c r="C6160">
        <v>7.5</v>
      </c>
      <c r="D6160">
        <v>173</v>
      </c>
      <c r="E6160">
        <f>IF(OR(B6160="vi",B6160="ii",B6160="pod"),(((D6160/100)*(C6160*VLOOKUP(B6160,'Poids des runes'!A:B,2,FALSE)))+1),(((D6160/100)*(C6160*VLOOKUP(B6160,'Poids des runes'!A:B,2,FALSE)))+1)/VLOOKUP(B6160,'Poids des runes'!A:B,2,FALSE))</f>
        <v>13.175000000000001</v>
      </c>
      <c r="F6160">
        <f t="shared" si="96"/>
        <v>13.175000000000001</v>
      </c>
    </row>
    <row r="6161" spans="1:6" x14ac:dyDescent="0.3">
      <c r="A6161" t="s">
        <v>1201</v>
      </c>
      <c r="B6161" t="s">
        <v>2163</v>
      </c>
      <c r="C6161">
        <v>4.5</v>
      </c>
      <c r="D6161">
        <v>173</v>
      </c>
      <c r="E6161">
        <f>IF(OR(B6161="vi",B6161="ii",B6161="pod"),(((D6161/100)*(C6161*VLOOKUP(B6161,'Poids des runes'!A:B,2,FALSE)))+1),(((D6161/100)*(C6161*VLOOKUP(B6161,'Poids des runes'!A:B,2,FALSE)))+1)/VLOOKUP(B6161,'Poids des runes'!A:B,2,FALSE))</f>
        <v>8.2850000000000001</v>
      </c>
      <c r="F6161">
        <f t="shared" si="96"/>
        <v>8.2850000000000001</v>
      </c>
    </row>
    <row r="6162" spans="1:6" x14ac:dyDescent="0.3">
      <c r="A6162" t="s">
        <v>1201</v>
      </c>
      <c r="B6162" t="s">
        <v>2157</v>
      </c>
      <c r="C6162">
        <v>6</v>
      </c>
      <c r="D6162">
        <v>173</v>
      </c>
      <c r="E6162">
        <f>IF(OR(B6162="vi",B6162="ii",B6162="pod"),(((D6162/100)*(C6162*VLOOKUP(B6162,'Poids des runes'!A:B,2,FALSE)))+1),(((D6162/100)*(C6162*VLOOKUP(B6162,'Poids des runes'!A:B,2,FALSE)))+1)/VLOOKUP(B6162,'Poids des runes'!A:B,2,FALSE))</f>
        <v>10.546666666666667</v>
      </c>
      <c r="F6162">
        <f t="shared" si="96"/>
        <v>10.546666666666667</v>
      </c>
    </row>
    <row r="6163" spans="1:6" x14ac:dyDescent="0.3">
      <c r="A6163" t="s">
        <v>1201</v>
      </c>
      <c r="B6163" t="s">
        <v>2136</v>
      </c>
      <c r="C6163">
        <v>8.5</v>
      </c>
      <c r="D6163">
        <v>173</v>
      </c>
      <c r="E6163">
        <f>IF(OR(B6163="vi",B6163="ii",B6163="pod"),(((D6163/100)*(C6163*VLOOKUP(B6163,'Poids des runes'!A:B,2,FALSE)))+1),(((D6163/100)*(C6163*VLOOKUP(B6163,'Poids des runes'!A:B,2,FALSE)))+1)/VLOOKUP(B6163,'Poids des runes'!A:B,2,FALSE))</f>
        <v>15.205</v>
      </c>
      <c r="F6163">
        <f t="shared" si="96"/>
        <v>15.205</v>
      </c>
    </row>
    <row r="6164" spans="1:6" x14ac:dyDescent="0.3">
      <c r="A6164" t="s">
        <v>1201</v>
      </c>
      <c r="B6164" t="s">
        <v>2145</v>
      </c>
      <c r="C6164">
        <v>8.5</v>
      </c>
      <c r="D6164">
        <v>173</v>
      </c>
      <c r="E6164">
        <f>IF(OR(B6164="vi",B6164="ii",B6164="pod"),(((D6164/100)*(C6164*VLOOKUP(B6164,'Poids des runes'!A:B,2,FALSE)))+1),(((D6164/100)*(C6164*VLOOKUP(B6164,'Poids des runes'!A:B,2,FALSE)))+1)/VLOOKUP(B6164,'Poids des runes'!A:B,2,FALSE))</f>
        <v>15.205</v>
      </c>
      <c r="F6164">
        <f t="shared" si="96"/>
        <v>15.205</v>
      </c>
    </row>
    <row r="6165" spans="1:6" x14ac:dyDescent="0.3">
      <c r="A6165" t="s">
        <v>1202</v>
      </c>
      <c r="B6165" t="s">
        <v>2128</v>
      </c>
      <c r="C6165">
        <v>225.5</v>
      </c>
      <c r="D6165">
        <v>173</v>
      </c>
      <c r="E6165">
        <f>IF(OR(B6165="vi",B6165="ii",B6165="pod"),(((D6165/100)*(C6165*VLOOKUP(B6165,'Poids des runes'!A:B,2,FALSE)))+1),(((D6165/100)*(C6165*VLOOKUP(B6165,'Poids des runes'!A:B,2,FALSE)))+1)/VLOOKUP(B6165,'Poids des runes'!A:B,2,FALSE))</f>
        <v>79.022999999999996</v>
      </c>
      <c r="F6165">
        <f t="shared" si="96"/>
        <v>79.022999999999996</v>
      </c>
    </row>
    <row r="6166" spans="1:6" x14ac:dyDescent="0.3">
      <c r="A6166" t="s">
        <v>1202</v>
      </c>
      <c r="B6166" t="s">
        <v>2130</v>
      </c>
      <c r="C6166">
        <v>40.5</v>
      </c>
      <c r="D6166">
        <v>173</v>
      </c>
      <c r="E6166">
        <f>IF(OR(B6166="vi",B6166="ii",B6166="pod"),(((D6166/100)*(C6166*VLOOKUP(B6166,'Poids des runes'!A:B,2,FALSE)))+1),(((D6166/100)*(C6166*VLOOKUP(B6166,'Poids des runes'!A:B,2,FALSE)))+1)/VLOOKUP(B6166,'Poids des runes'!A:B,2,FALSE))</f>
        <v>71.064999999999998</v>
      </c>
      <c r="F6166">
        <f t="shared" si="96"/>
        <v>71.064999999999998</v>
      </c>
    </row>
    <row r="6167" spans="1:6" x14ac:dyDescent="0.3">
      <c r="A6167" t="s">
        <v>1202</v>
      </c>
      <c r="B6167" t="s">
        <v>2131</v>
      </c>
      <c r="C6167">
        <v>40.5</v>
      </c>
      <c r="D6167">
        <v>173</v>
      </c>
      <c r="E6167">
        <f>IF(OR(B6167="vi",B6167="ii",B6167="pod"),(((D6167/100)*(C6167*VLOOKUP(B6167,'Poids des runes'!A:B,2,FALSE)))+1),(((D6167/100)*(C6167*VLOOKUP(B6167,'Poids des runes'!A:B,2,FALSE)))+1)/VLOOKUP(B6167,'Poids des runes'!A:B,2,FALSE))</f>
        <v>71.064999999999998</v>
      </c>
      <c r="F6167">
        <f t="shared" si="96"/>
        <v>71.064999999999998</v>
      </c>
    </row>
    <row r="6168" spans="1:6" x14ac:dyDescent="0.3">
      <c r="A6168" t="s">
        <v>1202</v>
      </c>
      <c r="B6168" t="s">
        <v>2129</v>
      </c>
      <c r="C6168">
        <v>35.5</v>
      </c>
      <c r="D6168">
        <v>173</v>
      </c>
      <c r="E6168">
        <f>IF(OR(B6168="vi",B6168="ii",B6168="pod"),(((D6168/100)*(C6168*VLOOKUP(B6168,'Poids des runes'!A:B,2,FALSE)))+1),(((D6168/100)*(C6168*VLOOKUP(B6168,'Poids des runes'!A:B,2,FALSE)))+1)/VLOOKUP(B6168,'Poids des runes'!A:B,2,FALSE))</f>
        <v>62.414999999999999</v>
      </c>
      <c r="F6168">
        <f t="shared" si="96"/>
        <v>62.414999999999999</v>
      </c>
    </row>
    <row r="6169" spans="1:6" x14ac:dyDescent="0.3">
      <c r="A6169" t="s">
        <v>1202</v>
      </c>
      <c r="B6169" t="s">
        <v>2139</v>
      </c>
      <c r="C6169">
        <v>20.5</v>
      </c>
      <c r="D6169">
        <v>173</v>
      </c>
      <c r="E6169">
        <f>IF(OR(B6169="vi",B6169="ii",B6169="pod"),(((D6169/100)*(C6169*VLOOKUP(B6169,'Poids des runes'!A:B,2,FALSE)))+1),(((D6169/100)*(C6169*VLOOKUP(B6169,'Poids des runes'!A:B,2,FALSE)))+1)/VLOOKUP(B6169,'Poids des runes'!A:B,2,FALSE))</f>
        <v>35.964999999999996</v>
      </c>
      <c r="F6169">
        <f t="shared" si="96"/>
        <v>35.964999999999996</v>
      </c>
    </row>
    <row r="6170" spans="1:6" x14ac:dyDescent="0.3">
      <c r="A6170" t="s">
        <v>1202</v>
      </c>
      <c r="B6170" t="s">
        <v>2152</v>
      </c>
      <c r="C6170">
        <v>1</v>
      </c>
      <c r="D6170">
        <v>173</v>
      </c>
      <c r="E6170">
        <f>IF(OR(B6170="vi",B6170="ii",B6170="pod"),(((D6170/100)*(C6170*VLOOKUP(B6170,'Poids des runes'!A:B,2,FALSE)))+1),(((D6170/100)*(C6170*VLOOKUP(B6170,'Poids des runes'!A:B,2,FALSE)))+1)/VLOOKUP(B6170,'Poids des runes'!A:B,2,FALSE))</f>
        <v>1.74</v>
      </c>
      <c r="F6170">
        <f t="shared" si="96"/>
        <v>1.74</v>
      </c>
    </row>
    <row r="6171" spans="1:6" x14ac:dyDescent="0.3">
      <c r="A6171" t="s">
        <v>1202</v>
      </c>
      <c r="B6171" t="s">
        <v>2155</v>
      </c>
      <c r="C6171">
        <v>1</v>
      </c>
      <c r="D6171">
        <v>173</v>
      </c>
      <c r="E6171">
        <f>IF(OR(B6171="vi",B6171="ii",B6171="pod"),(((D6171/100)*(C6171*VLOOKUP(B6171,'Poids des runes'!A:B,2,FALSE)))+1),(((D6171/100)*(C6171*VLOOKUP(B6171,'Poids des runes'!A:B,2,FALSE)))+1)/VLOOKUP(B6171,'Poids des runes'!A:B,2,FALSE))</f>
        <v>1.749607843137255</v>
      </c>
      <c r="F6171">
        <f t="shared" si="96"/>
        <v>1.749607843137255</v>
      </c>
    </row>
    <row r="6172" spans="1:6" x14ac:dyDescent="0.3">
      <c r="A6172" t="s">
        <v>1202</v>
      </c>
      <c r="B6172" t="s">
        <v>2143</v>
      </c>
      <c r="C6172">
        <v>8.5</v>
      </c>
      <c r="D6172">
        <v>173</v>
      </c>
      <c r="E6172">
        <f>IF(OR(B6172="vi",B6172="ii",B6172="pod"),(((D6172/100)*(C6172*VLOOKUP(B6172,'Poids des runes'!A:B,2,FALSE)))+1),(((D6172/100)*(C6172*VLOOKUP(B6172,'Poids des runes'!A:B,2,FALSE)))+1)/VLOOKUP(B6172,'Poids des runes'!A:B,2,FALSE))</f>
        <v>14.905000000000001</v>
      </c>
      <c r="F6172">
        <f t="shared" si="96"/>
        <v>14.905000000000001</v>
      </c>
    </row>
    <row r="6173" spans="1:6" x14ac:dyDescent="0.3">
      <c r="A6173" t="s">
        <v>1202</v>
      </c>
      <c r="B6173" t="s">
        <v>2140</v>
      </c>
      <c r="C6173">
        <v>8.5</v>
      </c>
      <c r="D6173">
        <v>173</v>
      </c>
      <c r="E6173">
        <f>IF(OR(B6173="vi",B6173="ii",B6173="pod"),(((D6173/100)*(C6173*VLOOKUP(B6173,'Poids des runes'!A:B,2,FALSE)))+1),(((D6173/100)*(C6173*VLOOKUP(B6173,'Poids des runes'!A:B,2,FALSE)))+1)/VLOOKUP(B6173,'Poids des runes'!A:B,2,FALSE))</f>
        <v>14.905000000000001</v>
      </c>
      <c r="F6173">
        <f t="shared" si="96"/>
        <v>14.905000000000001</v>
      </c>
    </row>
    <row r="6174" spans="1:6" x14ac:dyDescent="0.3">
      <c r="A6174" t="s">
        <v>1202</v>
      </c>
      <c r="B6174" t="s">
        <v>2133</v>
      </c>
      <c r="C6174">
        <v>8.5</v>
      </c>
      <c r="D6174">
        <v>173</v>
      </c>
      <c r="E6174">
        <f>IF(OR(B6174="vi",B6174="ii",B6174="pod"),(((D6174/100)*(C6174*VLOOKUP(B6174,'Poids des runes'!A:B,2,FALSE)))+1),(((D6174/100)*(C6174*VLOOKUP(B6174,'Poids des runes'!A:B,2,FALSE)))+1)/VLOOKUP(B6174,'Poids des runes'!A:B,2,FALSE))</f>
        <v>14.905000000000001</v>
      </c>
      <c r="F6174">
        <f t="shared" si="96"/>
        <v>14.905000000000001</v>
      </c>
    </row>
    <row r="6175" spans="1:6" x14ac:dyDescent="0.3">
      <c r="A6175" t="s">
        <v>1202</v>
      </c>
      <c r="B6175" t="s">
        <v>2161</v>
      </c>
      <c r="C6175">
        <v>20.5</v>
      </c>
      <c r="D6175">
        <v>173</v>
      </c>
      <c r="E6175">
        <f>IF(OR(B6175="vi",B6175="ii",B6175="pod"),(((D6175/100)*(C6175*VLOOKUP(B6175,'Poids des runes'!A:B,2,FALSE)))+1),(((D6175/100)*(C6175*VLOOKUP(B6175,'Poids des runes'!A:B,2,FALSE)))+1)/VLOOKUP(B6175,'Poids des runes'!A:B,2,FALSE))</f>
        <v>35.798333333333332</v>
      </c>
      <c r="F6175">
        <f t="shared" si="96"/>
        <v>35.798333333333332</v>
      </c>
    </row>
    <row r="6176" spans="1:6" x14ac:dyDescent="0.3">
      <c r="A6176" t="s">
        <v>1202</v>
      </c>
      <c r="B6176" t="s">
        <v>2141</v>
      </c>
      <c r="C6176">
        <v>4.5</v>
      </c>
      <c r="D6176">
        <v>173</v>
      </c>
      <c r="E6176">
        <f>IF(OR(B6176="vi",B6176="ii",B6176="pod"),(((D6176/100)*(C6176*VLOOKUP(B6176,'Poids des runes'!A:B,2,FALSE)))+1),(((D6176/100)*(C6176*VLOOKUP(B6176,'Poids des runes'!A:B,2,FALSE)))+1)/VLOOKUP(B6176,'Poids des runes'!A:B,2,FALSE))</f>
        <v>8.0350000000000001</v>
      </c>
      <c r="F6176">
        <f t="shared" si="96"/>
        <v>8.0350000000000001</v>
      </c>
    </row>
    <row r="6177" spans="1:6" x14ac:dyDescent="0.3">
      <c r="A6177" t="s">
        <v>1202</v>
      </c>
      <c r="B6177" t="s">
        <v>2159</v>
      </c>
      <c r="C6177">
        <v>4.5</v>
      </c>
      <c r="D6177">
        <v>173</v>
      </c>
      <c r="E6177">
        <f>IF(OR(B6177="vi",B6177="ii",B6177="pod"),(((D6177/100)*(C6177*VLOOKUP(B6177,'Poids des runes'!A:B,2,FALSE)))+1),(((D6177/100)*(C6177*VLOOKUP(B6177,'Poids des runes'!A:B,2,FALSE)))+1)/VLOOKUP(B6177,'Poids des runes'!A:B,2,FALSE))</f>
        <v>7.9278571428571425</v>
      </c>
      <c r="F6177">
        <f t="shared" si="96"/>
        <v>7.9278571428571425</v>
      </c>
    </row>
    <row r="6178" spans="1:6" x14ac:dyDescent="0.3">
      <c r="A6178" t="s">
        <v>1203</v>
      </c>
      <c r="B6178" t="s">
        <v>2128</v>
      </c>
      <c r="C6178">
        <v>175.5</v>
      </c>
      <c r="D6178">
        <v>173</v>
      </c>
      <c r="E6178">
        <f>IF(OR(B6178="vi",B6178="ii",B6178="pod"),(((D6178/100)*(C6178*VLOOKUP(B6178,'Poids des runes'!A:B,2,FALSE)))+1),(((D6178/100)*(C6178*VLOOKUP(B6178,'Poids des runes'!A:B,2,FALSE)))+1)/VLOOKUP(B6178,'Poids des runes'!A:B,2,FALSE))</f>
        <v>61.722999999999999</v>
      </c>
      <c r="F6178">
        <f t="shared" si="96"/>
        <v>61.722999999999999</v>
      </c>
    </row>
    <row r="6179" spans="1:6" x14ac:dyDescent="0.3">
      <c r="A6179" t="s">
        <v>1203</v>
      </c>
      <c r="B6179" t="s">
        <v>2126</v>
      </c>
      <c r="C6179">
        <v>30.5</v>
      </c>
      <c r="D6179">
        <v>173</v>
      </c>
      <c r="E6179">
        <f>IF(OR(B6179="vi",B6179="ii",B6179="pod"),(((D6179/100)*(C6179*VLOOKUP(B6179,'Poids des runes'!A:B,2,FALSE)))+1),(((D6179/100)*(C6179*VLOOKUP(B6179,'Poids des runes'!A:B,2,FALSE)))+1)/VLOOKUP(B6179,'Poids des runes'!A:B,2,FALSE))</f>
        <v>53.765000000000001</v>
      </c>
      <c r="F6179">
        <f t="shared" si="96"/>
        <v>53.765000000000001</v>
      </c>
    </row>
    <row r="6180" spans="1:6" x14ac:dyDescent="0.3">
      <c r="A6180" t="s">
        <v>1203</v>
      </c>
      <c r="B6180" t="s">
        <v>2127</v>
      </c>
      <c r="C6180">
        <v>20.5</v>
      </c>
      <c r="D6180">
        <v>173</v>
      </c>
      <c r="E6180">
        <f>IF(OR(B6180="vi",B6180="ii",B6180="pod"),(((D6180/100)*(C6180*VLOOKUP(B6180,'Poids des runes'!A:B,2,FALSE)))+1),(((D6180/100)*(C6180*VLOOKUP(B6180,'Poids des runes'!A:B,2,FALSE)))+1)/VLOOKUP(B6180,'Poids des runes'!A:B,2,FALSE))</f>
        <v>36.464999999999996</v>
      </c>
      <c r="F6180">
        <f t="shared" si="96"/>
        <v>36.464999999999996</v>
      </c>
    </row>
    <row r="6181" spans="1:6" x14ac:dyDescent="0.3">
      <c r="A6181" t="s">
        <v>1203</v>
      </c>
      <c r="B6181" t="s">
        <v>2129</v>
      </c>
      <c r="C6181">
        <v>30.5</v>
      </c>
      <c r="D6181">
        <v>173</v>
      </c>
      <c r="E6181">
        <f>IF(OR(B6181="vi",B6181="ii",B6181="pod"),(((D6181/100)*(C6181*VLOOKUP(B6181,'Poids des runes'!A:B,2,FALSE)))+1),(((D6181/100)*(C6181*VLOOKUP(B6181,'Poids des runes'!A:B,2,FALSE)))+1)/VLOOKUP(B6181,'Poids des runes'!A:B,2,FALSE))</f>
        <v>53.765000000000001</v>
      </c>
      <c r="F6181">
        <f t="shared" si="96"/>
        <v>53.765000000000001</v>
      </c>
    </row>
    <row r="6182" spans="1:6" x14ac:dyDescent="0.3">
      <c r="A6182" t="s">
        <v>1203</v>
      </c>
      <c r="B6182" t="s">
        <v>2139</v>
      </c>
      <c r="C6182">
        <v>13</v>
      </c>
      <c r="D6182">
        <v>173</v>
      </c>
      <c r="E6182">
        <f>IF(OR(B6182="vi",B6182="ii",B6182="pod"),(((D6182/100)*(C6182*VLOOKUP(B6182,'Poids des runes'!A:B,2,FALSE)))+1),(((D6182/100)*(C6182*VLOOKUP(B6182,'Poids des runes'!A:B,2,FALSE)))+1)/VLOOKUP(B6182,'Poids des runes'!A:B,2,FALSE))</f>
        <v>22.99</v>
      </c>
      <c r="F6182">
        <f t="shared" si="96"/>
        <v>22.99</v>
      </c>
    </row>
    <row r="6183" spans="1:6" x14ac:dyDescent="0.3">
      <c r="A6183" t="s">
        <v>1203</v>
      </c>
      <c r="B6183" t="s">
        <v>2140</v>
      </c>
      <c r="C6183">
        <v>8.5</v>
      </c>
      <c r="D6183">
        <v>173</v>
      </c>
      <c r="E6183">
        <f>IF(OR(B6183="vi",B6183="ii",B6183="pod"),(((D6183/100)*(C6183*VLOOKUP(B6183,'Poids des runes'!A:B,2,FALSE)))+1),(((D6183/100)*(C6183*VLOOKUP(B6183,'Poids des runes'!A:B,2,FALSE)))+1)/VLOOKUP(B6183,'Poids des runes'!A:B,2,FALSE))</f>
        <v>14.905000000000001</v>
      </c>
      <c r="F6183">
        <f t="shared" si="96"/>
        <v>14.905000000000001</v>
      </c>
    </row>
    <row r="6184" spans="1:6" x14ac:dyDescent="0.3">
      <c r="A6184" t="s">
        <v>1203</v>
      </c>
      <c r="B6184" t="s">
        <v>2153</v>
      </c>
      <c r="C6184">
        <v>8.5</v>
      </c>
      <c r="D6184">
        <v>173</v>
      </c>
      <c r="E6184">
        <f>IF(OR(B6184="vi",B6184="ii",B6184="pod"),(((D6184/100)*(C6184*VLOOKUP(B6184,'Poids des runes'!A:B,2,FALSE)))+1),(((D6184/100)*(C6184*VLOOKUP(B6184,'Poids des runes'!A:B,2,FALSE)))+1)/VLOOKUP(B6184,'Poids des runes'!A:B,2,FALSE))</f>
        <v>14.905000000000001</v>
      </c>
      <c r="F6184">
        <f t="shared" si="96"/>
        <v>14.905000000000001</v>
      </c>
    </row>
    <row r="6185" spans="1:6" x14ac:dyDescent="0.3">
      <c r="A6185" t="s">
        <v>1203</v>
      </c>
      <c r="B6185" t="s">
        <v>2149</v>
      </c>
      <c r="C6185">
        <v>4.5</v>
      </c>
      <c r="D6185">
        <v>173</v>
      </c>
      <c r="E6185">
        <f>IF(OR(B6185="vi",B6185="ii",B6185="pod"),(((D6185/100)*(C6185*VLOOKUP(B6185,'Poids des runes'!A:B,2,FALSE)))+1),(((D6185/100)*(C6185*VLOOKUP(B6185,'Poids des runes'!A:B,2,FALSE)))+1)/VLOOKUP(B6185,'Poids des runes'!A:B,2,FALSE))</f>
        <v>7.8849999999999998</v>
      </c>
      <c r="F6185">
        <f t="shared" si="96"/>
        <v>7.8849999999999998</v>
      </c>
    </row>
    <row r="6186" spans="1:6" x14ac:dyDescent="0.3">
      <c r="A6186" t="s">
        <v>1203</v>
      </c>
      <c r="B6186" t="s">
        <v>2132</v>
      </c>
      <c r="C6186">
        <v>250.5</v>
      </c>
      <c r="D6186">
        <v>173</v>
      </c>
      <c r="E6186">
        <f>IF(OR(B6186="vi",B6186="ii",B6186="pod"),(((D6186/100)*(C6186*VLOOKUP(B6186,'Poids des runes'!A:B,2,FALSE)))+1),(((D6186/100)*(C6186*VLOOKUP(B6186,'Poids des runes'!A:B,2,FALSE)))+1)/VLOOKUP(B6186,'Poids des runes'!A:B,2,FALSE))</f>
        <v>44.336500000000001</v>
      </c>
      <c r="F6186">
        <f t="shared" si="96"/>
        <v>44.336500000000001</v>
      </c>
    </row>
    <row r="6187" spans="1:6" x14ac:dyDescent="0.3">
      <c r="A6187" t="s">
        <v>1203</v>
      </c>
      <c r="B6187" t="s">
        <v>2162</v>
      </c>
      <c r="C6187">
        <v>4.5</v>
      </c>
      <c r="D6187">
        <v>173</v>
      </c>
      <c r="E6187">
        <f>IF(OR(B6187="vi",B6187="ii",B6187="pod"),(((D6187/100)*(C6187*VLOOKUP(B6187,'Poids des runes'!A:B,2,FALSE)))+1),(((D6187/100)*(C6187*VLOOKUP(B6187,'Poids des runes'!A:B,2,FALSE)))+1)/VLOOKUP(B6187,'Poids des runes'!A:B,2,FALSE))</f>
        <v>7.9278571428571425</v>
      </c>
      <c r="F6187">
        <f t="shared" si="96"/>
        <v>7.9278571428571425</v>
      </c>
    </row>
    <row r="6188" spans="1:6" x14ac:dyDescent="0.3">
      <c r="A6188" t="s">
        <v>1203</v>
      </c>
      <c r="B6188" t="s">
        <v>2137</v>
      </c>
      <c r="C6188">
        <v>6</v>
      </c>
      <c r="D6188">
        <v>173</v>
      </c>
      <c r="E6188">
        <f>IF(OR(B6188="vi",B6188="ii",B6188="pod"),(((D6188/100)*(C6188*VLOOKUP(B6188,'Poids des runes'!A:B,2,FALSE)))+1),(((D6188/100)*(C6188*VLOOKUP(B6188,'Poids des runes'!A:B,2,FALSE)))+1)/VLOOKUP(B6188,'Poids des runes'!A:B,2,FALSE))</f>
        <v>10.879999999999999</v>
      </c>
      <c r="F6188">
        <f t="shared" si="96"/>
        <v>10.879999999999999</v>
      </c>
    </row>
    <row r="6189" spans="1:6" x14ac:dyDescent="0.3">
      <c r="A6189" t="s">
        <v>1203</v>
      </c>
      <c r="B6189" t="s">
        <v>2145</v>
      </c>
      <c r="C6189">
        <v>6</v>
      </c>
      <c r="D6189">
        <v>173</v>
      </c>
      <c r="E6189">
        <f>IF(OR(B6189="vi",B6189="ii",B6189="pod"),(((D6189/100)*(C6189*VLOOKUP(B6189,'Poids des runes'!A:B,2,FALSE)))+1),(((D6189/100)*(C6189*VLOOKUP(B6189,'Poids des runes'!A:B,2,FALSE)))+1)/VLOOKUP(B6189,'Poids des runes'!A:B,2,FALSE))</f>
        <v>10.879999999999999</v>
      </c>
      <c r="F6189">
        <f t="shared" si="96"/>
        <v>10.879999999999999</v>
      </c>
    </row>
    <row r="6190" spans="1:6" x14ac:dyDescent="0.3">
      <c r="A6190" t="s">
        <v>1204</v>
      </c>
      <c r="B6190" t="s">
        <v>2128</v>
      </c>
      <c r="C6190">
        <v>225.5</v>
      </c>
      <c r="D6190">
        <v>173</v>
      </c>
      <c r="E6190">
        <f>IF(OR(B6190="vi",B6190="ii",B6190="pod"),(((D6190/100)*(C6190*VLOOKUP(B6190,'Poids des runes'!A:B,2,FALSE)))+1),(((D6190/100)*(C6190*VLOOKUP(B6190,'Poids des runes'!A:B,2,FALSE)))+1)/VLOOKUP(B6190,'Poids des runes'!A:B,2,FALSE))</f>
        <v>79.022999999999996</v>
      </c>
      <c r="F6190">
        <f t="shared" si="96"/>
        <v>79.022999999999996</v>
      </c>
    </row>
    <row r="6191" spans="1:6" x14ac:dyDescent="0.3">
      <c r="A6191" t="s">
        <v>1204</v>
      </c>
      <c r="B6191" t="s">
        <v>2130</v>
      </c>
      <c r="C6191">
        <v>35.5</v>
      </c>
      <c r="D6191">
        <v>173</v>
      </c>
      <c r="E6191">
        <f>IF(OR(B6191="vi",B6191="ii",B6191="pod"),(((D6191/100)*(C6191*VLOOKUP(B6191,'Poids des runes'!A:B,2,FALSE)))+1),(((D6191/100)*(C6191*VLOOKUP(B6191,'Poids des runes'!A:B,2,FALSE)))+1)/VLOOKUP(B6191,'Poids des runes'!A:B,2,FALSE))</f>
        <v>62.414999999999999</v>
      </c>
      <c r="F6191">
        <f t="shared" si="96"/>
        <v>62.414999999999999</v>
      </c>
    </row>
    <row r="6192" spans="1:6" x14ac:dyDescent="0.3">
      <c r="A6192" t="s">
        <v>1204</v>
      </c>
      <c r="B6192" t="s">
        <v>2127</v>
      </c>
      <c r="C6192">
        <v>35.5</v>
      </c>
      <c r="D6192">
        <v>173</v>
      </c>
      <c r="E6192">
        <f>IF(OR(B6192="vi",B6192="ii",B6192="pod"),(((D6192/100)*(C6192*VLOOKUP(B6192,'Poids des runes'!A:B,2,FALSE)))+1),(((D6192/100)*(C6192*VLOOKUP(B6192,'Poids des runes'!A:B,2,FALSE)))+1)/VLOOKUP(B6192,'Poids des runes'!A:B,2,FALSE))</f>
        <v>62.414999999999999</v>
      </c>
      <c r="F6192">
        <f t="shared" si="96"/>
        <v>62.414999999999999</v>
      </c>
    </row>
    <row r="6193" spans="1:6" x14ac:dyDescent="0.3">
      <c r="A6193" t="s">
        <v>1204</v>
      </c>
      <c r="B6193" t="s">
        <v>2129</v>
      </c>
      <c r="C6193">
        <v>25.5</v>
      </c>
      <c r="D6193">
        <v>173</v>
      </c>
      <c r="E6193">
        <f>IF(OR(B6193="vi",B6193="ii",B6193="pod"),(((D6193/100)*(C6193*VLOOKUP(B6193,'Poids des runes'!A:B,2,FALSE)))+1),(((D6193/100)*(C6193*VLOOKUP(B6193,'Poids des runes'!A:B,2,FALSE)))+1)/VLOOKUP(B6193,'Poids des runes'!A:B,2,FALSE))</f>
        <v>45.115000000000002</v>
      </c>
      <c r="F6193">
        <f t="shared" si="96"/>
        <v>45.115000000000002</v>
      </c>
    </row>
    <row r="6194" spans="1:6" x14ac:dyDescent="0.3">
      <c r="A6194" t="s">
        <v>1204</v>
      </c>
      <c r="B6194" t="s">
        <v>2152</v>
      </c>
      <c r="C6194">
        <v>1</v>
      </c>
      <c r="D6194">
        <v>173</v>
      </c>
      <c r="E6194">
        <f>IF(OR(B6194="vi",B6194="ii",B6194="pod"),(((D6194/100)*(C6194*VLOOKUP(B6194,'Poids des runes'!A:B,2,FALSE)))+1),(((D6194/100)*(C6194*VLOOKUP(B6194,'Poids des runes'!A:B,2,FALSE)))+1)/VLOOKUP(B6194,'Poids des runes'!A:B,2,FALSE))</f>
        <v>1.74</v>
      </c>
      <c r="F6194">
        <f t="shared" si="96"/>
        <v>1.74</v>
      </c>
    </row>
    <row r="6195" spans="1:6" x14ac:dyDescent="0.3">
      <c r="A6195" t="s">
        <v>1204</v>
      </c>
      <c r="B6195" t="s">
        <v>2155</v>
      </c>
      <c r="C6195">
        <v>1</v>
      </c>
      <c r="D6195">
        <v>173</v>
      </c>
      <c r="E6195">
        <f>IF(OR(B6195="vi",B6195="ii",B6195="pod"),(((D6195/100)*(C6195*VLOOKUP(B6195,'Poids des runes'!A:B,2,FALSE)))+1),(((D6195/100)*(C6195*VLOOKUP(B6195,'Poids des runes'!A:B,2,FALSE)))+1)/VLOOKUP(B6195,'Poids des runes'!A:B,2,FALSE))</f>
        <v>1.749607843137255</v>
      </c>
      <c r="F6195">
        <f t="shared" si="96"/>
        <v>1.749607843137255</v>
      </c>
    </row>
    <row r="6196" spans="1:6" x14ac:dyDescent="0.3">
      <c r="A6196" t="s">
        <v>1204</v>
      </c>
      <c r="B6196" t="s">
        <v>2143</v>
      </c>
      <c r="C6196">
        <v>8.5</v>
      </c>
      <c r="D6196">
        <v>173</v>
      </c>
      <c r="E6196">
        <f>IF(OR(B6196="vi",B6196="ii",B6196="pod"),(((D6196/100)*(C6196*VLOOKUP(B6196,'Poids des runes'!A:B,2,FALSE)))+1),(((D6196/100)*(C6196*VLOOKUP(B6196,'Poids des runes'!A:B,2,FALSE)))+1)/VLOOKUP(B6196,'Poids des runes'!A:B,2,FALSE))</f>
        <v>14.905000000000001</v>
      </c>
      <c r="F6196">
        <f t="shared" si="96"/>
        <v>14.905000000000001</v>
      </c>
    </row>
    <row r="6197" spans="1:6" x14ac:dyDescent="0.3">
      <c r="A6197" t="s">
        <v>1204</v>
      </c>
      <c r="B6197" t="s">
        <v>2153</v>
      </c>
      <c r="C6197">
        <v>8.5</v>
      </c>
      <c r="D6197">
        <v>173</v>
      </c>
      <c r="E6197">
        <f>IF(OR(B6197="vi",B6197="ii",B6197="pod"),(((D6197/100)*(C6197*VLOOKUP(B6197,'Poids des runes'!A:B,2,FALSE)))+1),(((D6197/100)*(C6197*VLOOKUP(B6197,'Poids des runes'!A:B,2,FALSE)))+1)/VLOOKUP(B6197,'Poids des runes'!A:B,2,FALSE))</f>
        <v>14.905000000000001</v>
      </c>
      <c r="F6197">
        <f t="shared" si="96"/>
        <v>14.905000000000001</v>
      </c>
    </row>
    <row r="6198" spans="1:6" x14ac:dyDescent="0.3">
      <c r="A6198" t="s">
        <v>1204</v>
      </c>
      <c r="B6198" t="s">
        <v>2161</v>
      </c>
      <c r="C6198">
        <v>13</v>
      </c>
      <c r="D6198">
        <v>173</v>
      </c>
      <c r="E6198">
        <f>IF(OR(B6198="vi",B6198="ii",B6198="pod"),(((D6198/100)*(C6198*VLOOKUP(B6198,'Poids des runes'!A:B,2,FALSE)))+1),(((D6198/100)*(C6198*VLOOKUP(B6198,'Poids des runes'!A:B,2,FALSE)))+1)/VLOOKUP(B6198,'Poids des runes'!A:B,2,FALSE))</f>
        <v>22.823333333333334</v>
      </c>
      <c r="F6198">
        <f t="shared" si="96"/>
        <v>22.823333333333334</v>
      </c>
    </row>
    <row r="6199" spans="1:6" x14ac:dyDescent="0.3">
      <c r="A6199" t="s">
        <v>1204</v>
      </c>
      <c r="B6199" t="s">
        <v>2147</v>
      </c>
      <c r="C6199">
        <v>8.5</v>
      </c>
      <c r="D6199">
        <v>173</v>
      </c>
      <c r="E6199">
        <f>IF(OR(B6199="vi",B6199="ii",B6199="pod"),(((D6199/100)*(C6199*VLOOKUP(B6199,'Poids des runes'!A:B,2,FALSE)))+1),(((D6199/100)*(C6199*VLOOKUP(B6199,'Poids des runes'!A:B,2,FALSE)))+1)/VLOOKUP(B6199,'Poids des runes'!A:B,2,FALSE))</f>
        <v>14.871666666666668</v>
      </c>
      <c r="F6199">
        <f t="shared" si="96"/>
        <v>14.871666666666668</v>
      </c>
    </row>
    <row r="6200" spans="1:6" x14ac:dyDescent="0.3">
      <c r="A6200" t="s">
        <v>1205</v>
      </c>
      <c r="B6200" t="s">
        <v>2128</v>
      </c>
      <c r="C6200">
        <v>225.5</v>
      </c>
      <c r="D6200">
        <v>173</v>
      </c>
      <c r="E6200">
        <f>IF(OR(B6200="vi",B6200="ii",B6200="pod"),(((D6200/100)*(C6200*VLOOKUP(B6200,'Poids des runes'!A:B,2,FALSE)))+1),(((D6200/100)*(C6200*VLOOKUP(B6200,'Poids des runes'!A:B,2,FALSE)))+1)/VLOOKUP(B6200,'Poids des runes'!A:B,2,FALSE))</f>
        <v>79.022999999999996</v>
      </c>
      <c r="F6200">
        <f t="shared" si="96"/>
        <v>79.022999999999996</v>
      </c>
    </row>
    <row r="6201" spans="1:6" x14ac:dyDescent="0.3">
      <c r="A6201" t="s">
        <v>1205</v>
      </c>
      <c r="B6201" t="s">
        <v>2126</v>
      </c>
      <c r="C6201">
        <v>50.5</v>
      </c>
      <c r="D6201">
        <v>173</v>
      </c>
      <c r="E6201">
        <f>IF(OR(B6201="vi",B6201="ii",B6201="pod"),(((D6201/100)*(C6201*VLOOKUP(B6201,'Poids des runes'!A:B,2,FALSE)))+1),(((D6201/100)*(C6201*VLOOKUP(B6201,'Poids des runes'!A:B,2,FALSE)))+1)/VLOOKUP(B6201,'Poids des runes'!A:B,2,FALSE))</f>
        <v>88.364999999999995</v>
      </c>
      <c r="F6201">
        <f t="shared" si="96"/>
        <v>88.364999999999995</v>
      </c>
    </row>
    <row r="6202" spans="1:6" x14ac:dyDescent="0.3">
      <c r="A6202" t="s">
        <v>1205</v>
      </c>
      <c r="B6202" t="s">
        <v>2127</v>
      </c>
      <c r="C6202">
        <v>35.5</v>
      </c>
      <c r="D6202">
        <v>173</v>
      </c>
      <c r="E6202">
        <f>IF(OR(B6202="vi",B6202="ii",B6202="pod"),(((D6202/100)*(C6202*VLOOKUP(B6202,'Poids des runes'!A:B,2,FALSE)))+1),(((D6202/100)*(C6202*VLOOKUP(B6202,'Poids des runes'!A:B,2,FALSE)))+1)/VLOOKUP(B6202,'Poids des runes'!A:B,2,FALSE))</f>
        <v>62.414999999999999</v>
      </c>
      <c r="F6202">
        <f t="shared" si="96"/>
        <v>62.414999999999999</v>
      </c>
    </row>
    <row r="6203" spans="1:6" x14ac:dyDescent="0.3">
      <c r="A6203" t="s">
        <v>1205</v>
      </c>
      <c r="B6203" t="s">
        <v>2129</v>
      </c>
      <c r="C6203">
        <v>35.5</v>
      </c>
      <c r="D6203">
        <v>173</v>
      </c>
      <c r="E6203">
        <f>IF(OR(B6203="vi",B6203="ii",B6203="pod"),(((D6203/100)*(C6203*VLOOKUP(B6203,'Poids des runes'!A:B,2,FALSE)))+1),(((D6203/100)*(C6203*VLOOKUP(B6203,'Poids des runes'!A:B,2,FALSE)))+1)/VLOOKUP(B6203,'Poids des runes'!A:B,2,FALSE))</f>
        <v>62.414999999999999</v>
      </c>
      <c r="F6203">
        <f t="shared" si="96"/>
        <v>62.414999999999999</v>
      </c>
    </row>
    <row r="6204" spans="1:6" x14ac:dyDescent="0.3">
      <c r="A6204" t="s">
        <v>1205</v>
      </c>
      <c r="B6204" t="s">
        <v>2151</v>
      </c>
      <c r="C6204">
        <v>2.5</v>
      </c>
      <c r="D6204">
        <v>173</v>
      </c>
      <c r="E6204">
        <f>IF(OR(B6204="vi",B6204="ii",B6204="pod"),(((D6204/100)*(C6204*VLOOKUP(B6204,'Poids des runes'!A:B,2,FALSE)))+1),(((D6204/100)*(C6204*VLOOKUP(B6204,'Poids des runes'!A:B,2,FALSE)))+1)/VLOOKUP(B6204,'Poids des runes'!A:B,2,FALSE))</f>
        <v>4.4249999999999998</v>
      </c>
      <c r="F6204">
        <f t="shared" si="96"/>
        <v>4.4249999999999998</v>
      </c>
    </row>
    <row r="6205" spans="1:6" x14ac:dyDescent="0.3">
      <c r="A6205" t="s">
        <v>1205</v>
      </c>
      <c r="B6205" t="s">
        <v>2154</v>
      </c>
      <c r="C6205">
        <v>1</v>
      </c>
      <c r="D6205">
        <v>173</v>
      </c>
      <c r="E6205">
        <f>IF(OR(B6205="vi",B6205="ii",B6205="pod"),(((D6205/100)*(C6205*VLOOKUP(B6205,'Poids des runes'!A:B,2,FALSE)))+1),(((D6205/100)*(C6205*VLOOKUP(B6205,'Poids des runes'!A:B,2,FALSE)))+1)/VLOOKUP(B6205,'Poids des runes'!A:B,2,FALSE))</f>
        <v>1.7411111111111111</v>
      </c>
      <c r="F6205">
        <f t="shared" si="96"/>
        <v>1.7411111111111111</v>
      </c>
    </row>
    <row r="6206" spans="1:6" x14ac:dyDescent="0.3">
      <c r="A6206" t="s">
        <v>1205</v>
      </c>
      <c r="B6206" t="s">
        <v>2140</v>
      </c>
      <c r="C6206">
        <v>8.5</v>
      </c>
      <c r="D6206">
        <v>173</v>
      </c>
      <c r="E6206">
        <f>IF(OR(B6206="vi",B6206="ii",B6206="pod"),(((D6206/100)*(C6206*VLOOKUP(B6206,'Poids des runes'!A:B,2,FALSE)))+1),(((D6206/100)*(C6206*VLOOKUP(B6206,'Poids des runes'!A:B,2,FALSE)))+1)/VLOOKUP(B6206,'Poids des runes'!A:B,2,FALSE))</f>
        <v>14.905000000000001</v>
      </c>
      <c r="F6206">
        <f t="shared" si="96"/>
        <v>14.905000000000001</v>
      </c>
    </row>
    <row r="6207" spans="1:6" x14ac:dyDescent="0.3">
      <c r="A6207" t="s">
        <v>1205</v>
      </c>
      <c r="B6207" t="s">
        <v>2153</v>
      </c>
      <c r="C6207">
        <v>8.5</v>
      </c>
      <c r="D6207">
        <v>173</v>
      </c>
      <c r="E6207">
        <f>IF(OR(B6207="vi",B6207="ii",B6207="pod"),(((D6207/100)*(C6207*VLOOKUP(B6207,'Poids des runes'!A:B,2,FALSE)))+1),(((D6207/100)*(C6207*VLOOKUP(B6207,'Poids des runes'!A:B,2,FALSE)))+1)/VLOOKUP(B6207,'Poids des runes'!A:B,2,FALSE))</f>
        <v>14.905000000000001</v>
      </c>
      <c r="F6207">
        <f t="shared" si="96"/>
        <v>14.905000000000001</v>
      </c>
    </row>
    <row r="6208" spans="1:6" x14ac:dyDescent="0.3">
      <c r="A6208" t="s">
        <v>1205</v>
      </c>
      <c r="B6208" t="s">
        <v>2149</v>
      </c>
      <c r="C6208">
        <v>6</v>
      </c>
      <c r="D6208">
        <v>173</v>
      </c>
      <c r="E6208">
        <f>IF(OR(B6208="vi",B6208="ii",B6208="pod"),(((D6208/100)*(C6208*VLOOKUP(B6208,'Poids des runes'!A:B,2,FALSE)))+1),(((D6208/100)*(C6208*VLOOKUP(B6208,'Poids des runes'!A:B,2,FALSE)))+1)/VLOOKUP(B6208,'Poids des runes'!A:B,2,FALSE))</f>
        <v>10.48</v>
      </c>
      <c r="F6208">
        <f t="shared" si="96"/>
        <v>10.48</v>
      </c>
    </row>
    <row r="6209" spans="1:6" x14ac:dyDescent="0.3">
      <c r="A6209" t="s">
        <v>1205</v>
      </c>
      <c r="B6209" t="s">
        <v>2161</v>
      </c>
      <c r="C6209">
        <v>15.5</v>
      </c>
      <c r="D6209">
        <v>173</v>
      </c>
      <c r="E6209">
        <f>IF(OR(B6209="vi",B6209="ii",B6209="pod"),(((D6209/100)*(C6209*VLOOKUP(B6209,'Poids des runes'!A:B,2,FALSE)))+1),(((D6209/100)*(C6209*VLOOKUP(B6209,'Poids des runes'!A:B,2,FALSE)))+1)/VLOOKUP(B6209,'Poids des runes'!A:B,2,FALSE))</f>
        <v>27.14833333333333</v>
      </c>
      <c r="F6209">
        <f t="shared" si="96"/>
        <v>27.14833333333333</v>
      </c>
    </row>
    <row r="6210" spans="1:6" x14ac:dyDescent="0.3">
      <c r="A6210" t="s">
        <v>1205</v>
      </c>
      <c r="B6210" t="s">
        <v>2141</v>
      </c>
      <c r="C6210">
        <v>4.5</v>
      </c>
      <c r="D6210">
        <v>173</v>
      </c>
      <c r="E6210">
        <f>IF(OR(B6210="vi",B6210="ii",B6210="pod"),(((D6210/100)*(C6210*VLOOKUP(B6210,'Poids des runes'!A:B,2,FALSE)))+1),(((D6210/100)*(C6210*VLOOKUP(B6210,'Poids des runes'!A:B,2,FALSE)))+1)/VLOOKUP(B6210,'Poids des runes'!A:B,2,FALSE))</f>
        <v>8.0350000000000001</v>
      </c>
      <c r="F6210">
        <f t="shared" si="96"/>
        <v>8.0350000000000001</v>
      </c>
    </row>
    <row r="6211" spans="1:6" x14ac:dyDescent="0.3">
      <c r="A6211" t="s">
        <v>1205</v>
      </c>
      <c r="B6211" t="s">
        <v>2162</v>
      </c>
      <c r="C6211">
        <v>4.5</v>
      </c>
      <c r="D6211">
        <v>173</v>
      </c>
      <c r="E6211">
        <f>IF(OR(B6211="vi",B6211="ii",B6211="pod"),(((D6211/100)*(C6211*VLOOKUP(B6211,'Poids des runes'!A:B,2,FALSE)))+1),(((D6211/100)*(C6211*VLOOKUP(B6211,'Poids des runes'!A:B,2,FALSE)))+1)/VLOOKUP(B6211,'Poids des runes'!A:B,2,FALSE))</f>
        <v>7.9278571428571425</v>
      </c>
      <c r="F6211">
        <f t="shared" ref="F6211:F6274" si="97">E6211</f>
        <v>7.9278571428571425</v>
      </c>
    </row>
    <row r="6212" spans="1:6" x14ac:dyDescent="0.3">
      <c r="A6212" t="s">
        <v>1205</v>
      </c>
      <c r="B6212" t="s">
        <v>2144</v>
      </c>
      <c r="C6212">
        <v>10</v>
      </c>
      <c r="D6212">
        <v>173</v>
      </c>
      <c r="E6212">
        <f>IF(OR(B6212="vi",B6212="ii",B6212="pod"),(((D6212/100)*(C6212*VLOOKUP(B6212,'Poids des runes'!A:B,2,FALSE)))+1),(((D6212/100)*(C6212*VLOOKUP(B6212,'Poids des runes'!A:B,2,FALSE)))+1)/VLOOKUP(B6212,'Poids des runes'!A:B,2,FALSE))</f>
        <v>17.8</v>
      </c>
      <c r="F6212">
        <f t="shared" si="97"/>
        <v>17.8</v>
      </c>
    </row>
    <row r="6213" spans="1:6" x14ac:dyDescent="0.3">
      <c r="A6213" t="s">
        <v>1206</v>
      </c>
      <c r="B6213" t="s">
        <v>2128</v>
      </c>
      <c r="C6213">
        <v>225.5</v>
      </c>
      <c r="D6213">
        <v>173</v>
      </c>
      <c r="E6213">
        <f>IF(OR(B6213="vi",B6213="ii",B6213="pod"),(((D6213/100)*(C6213*VLOOKUP(B6213,'Poids des runes'!A:B,2,FALSE)))+1),(((D6213/100)*(C6213*VLOOKUP(B6213,'Poids des runes'!A:B,2,FALSE)))+1)/VLOOKUP(B6213,'Poids des runes'!A:B,2,FALSE))</f>
        <v>79.022999999999996</v>
      </c>
      <c r="F6213">
        <f t="shared" si="97"/>
        <v>79.022999999999996</v>
      </c>
    </row>
    <row r="6214" spans="1:6" x14ac:dyDescent="0.3">
      <c r="A6214" t="s">
        <v>1206</v>
      </c>
      <c r="B6214" t="s">
        <v>2130</v>
      </c>
      <c r="C6214">
        <v>50.5</v>
      </c>
      <c r="D6214">
        <v>173</v>
      </c>
      <c r="E6214">
        <f>IF(OR(B6214="vi",B6214="ii",B6214="pod"),(((D6214/100)*(C6214*VLOOKUP(B6214,'Poids des runes'!A:B,2,FALSE)))+1),(((D6214/100)*(C6214*VLOOKUP(B6214,'Poids des runes'!A:B,2,FALSE)))+1)/VLOOKUP(B6214,'Poids des runes'!A:B,2,FALSE))</f>
        <v>88.364999999999995</v>
      </c>
      <c r="F6214">
        <f t="shared" si="97"/>
        <v>88.364999999999995</v>
      </c>
    </row>
    <row r="6215" spans="1:6" x14ac:dyDescent="0.3">
      <c r="A6215" t="s">
        <v>1206</v>
      </c>
      <c r="B6215" t="s">
        <v>2129</v>
      </c>
      <c r="C6215">
        <v>35.5</v>
      </c>
      <c r="D6215">
        <v>173</v>
      </c>
      <c r="E6215">
        <f>IF(OR(B6215="vi",B6215="ii",B6215="pod"),(((D6215/100)*(C6215*VLOOKUP(B6215,'Poids des runes'!A:B,2,FALSE)))+1),(((D6215/100)*(C6215*VLOOKUP(B6215,'Poids des runes'!A:B,2,FALSE)))+1)/VLOOKUP(B6215,'Poids des runes'!A:B,2,FALSE))</f>
        <v>62.414999999999999</v>
      </c>
      <c r="F6215">
        <f t="shared" si="97"/>
        <v>62.414999999999999</v>
      </c>
    </row>
    <row r="6216" spans="1:6" x14ac:dyDescent="0.3">
      <c r="A6216" t="s">
        <v>1206</v>
      </c>
      <c r="B6216" t="s">
        <v>2151</v>
      </c>
      <c r="C6216">
        <v>4.5</v>
      </c>
      <c r="D6216">
        <v>173</v>
      </c>
      <c r="E6216">
        <f>IF(OR(B6216="vi",B6216="ii",B6216="pod"),(((D6216/100)*(C6216*VLOOKUP(B6216,'Poids des runes'!A:B,2,FALSE)))+1),(((D6216/100)*(C6216*VLOOKUP(B6216,'Poids des runes'!A:B,2,FALSE)))+1)/VLOOKUP(B6216,'Poids des runes'!A:B,2,FALSE))</f>
        <v>7.8849999999999998</v>
      </c>
      <c r="F6216">
        <f t="shared" si="97"/>
        <v>7.8849999999999998</v>
      </c>
    </row>
    <row r="6217" spans="1:6" x14ac:dyDescent="0.3">
      <c r="A6217" t="s">
        <v>1206</v>
      </c>
      <c r="B6217" t="s">
        <v>2154</v>
      </c>
      <c r="C6217">
        <v>1</v>
      </c>
      <c r="D6217">
        <v>173</v>
      </c>
      <c r="E6217">
        <f>IF(OR(B6217="vi",B6217="ii",B6217="pod"),(((D6217/100)*(C6217*VLOOKUP(B6217,'Poids des runes'!A:B,2,FALSE)))+1),(((D6217/100)*(C6217*VLOOKUP(B6217,'Poids des runes'!A:B,2,FALSE)))+1)/VLOOKUP(B6217,'Poids des runes'!A:B,2,FALSE))</f>
        <v>1.7411111111111111</v>
      </c>
      <c r="F6217">
        <f t="shared" si="97"/>
        <v>1.7411111111111111</v>
      </c>
    </row>
    <row r="6218" spans="1:6" x14ac:dyDescent="0.3">
      <c r="A6218" t="s">
        <v>1206</v>
      </c>
      <c r="B6218" t="s">
        <v>2143</v>
      </c>
      <c r="C6218">
        <v>13</v>
      </c>
      <c r="D6218">
        <v>173</v>
      </c>
      <c r="E6218">
        <f>IF(OR(B6218="vi",B6218="ii",B6218="pod"),(((D6218/100)*(C6218*VLOOKUP(B6218,'Poids des runes'!A:B,2,FALSE)))+1),(((D6218/100)*(C6218*VLOOKUP(B6218,'Poids des runes'!A:B,2,FALSE)))+1)/VLOOKUP(B6218,'Poids des runes'!A:B,2,FALSE))</f>
        <v>22.69</v>
      </c>
      <c r="F6218">
        <f t="shared" si="97"/>
        <v>22.69</v>
      </c>
    </row>
    <row r="6219" spans="1:6" x14ac:dyDescent="0.3">
      <c r="A6219" t="s">
        <v>1206</v>
      </c>
      <c r="B6219" t="s">
        <v>2141</v>
      </c>
      <c r="C6219">
        <v>4.5</v>
      </c>
      <c r="D6219">
        <v>173</v>
      </c>
      <c r="E6219">
        <f>IF(OR(B6219="vi",B6219="ii",B6219="pod"),(((D6219/100)*(C6219*VLOOKUP(B6219,'Poids des runes'!A:B,2,FALSE)))+1),(((D6219/100)*(C6219*VLOOKUP(B6219,'Poids des runes'!A:B,2,FALSE)))+1)/VLOOKUP(B6219,'Poids des runes'!A:B,2,FALSE))</f>
        <v>8.0350000000000001</v>
      </c>
      <c r="F6219">
        <f t="shared" si="97"/>
        <v>8.0350000000000001</v>
      </c>
    </row>
    <row r="6220" spans="1:6" x14ac:dyDescent="0.3">
      <c r="A6220" t="s">
        <v>1206</v>
      </c>
      <c r="B6220" t="s">
        <v>2165</v>
      </c>
      <c r="C6220">
        <v>4.5</v>
      </c>
      <c r="D6220">
        <v>173</v>
      </c>
      <c r="E6220">
        <f>IF(OR(B6220="vi",B6220="ii",B6220="pod"),(((D6220/100)*(C6220*VLOOKUP(B6220,'Poids des runes'!A:B,2,FALSE)))+1),(((D6220/100)*(C6220*VLOOKUP(B6220,'Poids des runes'!A:B,2,FALSE)))+1)/VLOOKUP(B6220,'Poids des runes'!A:B,2,FALSE))</f>
        <v>7.9278571428571425</v>
      </c>
      <c r="F6220">
        <f t="shared" si="97"/>
        <v>7.9278571428571425</v>
      </c>
    </row>
    <row r="6221" spans="1:6" x14ac:dyDescent="0.3">
      <c r="A6221" t="s">
        <v>1206</v>
      </c>
      <c r="B6221" t="s">
        <v>2163</v>
      </c>
      <c r="C6221">
        <v>13</v>
      </c>
      <c r="D6221">
        <v>173</v>
      </c>
      <c r="E6221">
        <f>IF(OR(B6221="vi",B6221="ii",B6221="pod"),(((D6221/100)*(C6221*VLOOKUP(B6221,'Poids des runes'!A:B,2,FALSE)))+1),(((D6221/100)*(C6221*VLOOKUP(B6221,'Poids des runes'!A:B,2,FALSE)))+1)/VLOOKUP(B6221,'Poids des runes'!A:B,2,FALSE))</f>
        <v>22.99</v>
      </c>
      <c r="F6221">
        <f t="shared" si="97"/>
        <v>22.99</v>
      </c>
    </row>
    <row r="6222" spans="1:6" x14ac:dyDescent="0.3">
      <c r="A6222" t="s">
        <v>1206</v>
      </c>
      <c r="B6222" t="s">
        <v>2157</v>
      </c>
      <c r="C6222">
        <v>6</v>
      </c>
      <c r="D6222">
        <v>173</v>
      </c>
      <c r="E6222">
        <f>IF(OR(B6222="vi",B6222="ii",B6222="pod"),(((D6222/100)*(C6222*VLOOKUP(B6222,'Poids des runes'!A:B,2,FALSE)))+1),(((D6222/100)*(C6222*VLOOKUP(B6222,'Poids des runes'!A:B,2,FALSE)))+1)/VLOOKUP(B6222,'Poids des runes'!A:B,2,FALSE))</f>
        <v>10.546666666666667</v>
      </c>
      <c r="F6222">
        <f t="shared" si="97"/>
        <v>10.546666666666667</v>
      </c>
    </row>
    <row r="6223" spans="1:6" x14ac:dyDescent="0.3">
      <c r="A6223" t="s">
        <v>1207</v>
      </c>
      <c r="B6223" t="s">
        <v>2128</v>
      </c>
      <c r="C6223">
        <v>325.5</v>
      </c>
      <c r="D6223">
        <v>173</v>
      </c>
      <c r="E6223">
        <f>IF(OR(B6223="vi",B6223="ii",B6223="pod"),(((D6223/100)*(C6223*VLOOKUP(B6223,'Poids des runes'!A:B,2,FALSE)))+1),(((D6223/100)*(C6223*VLOOKUP(B6223,'Poids des runes'!A:B,2,FALSE)))+1)/VLOOKUP(B6223,'Poids des runes'!A:B,2,FALSE))</f>
        <v>113.62300000000002</v>
      </c>
      <c r="F6223">
        <f t="shared" si="97"/>
        <v>113.62300000000002</v>
      </c>
    </row>
    <row r="6224" spans="1:6" x14ac:dyDescent="0.3">
      <c r="A6224" t="s">
        <v>1207</v>
      </c>
      <c r="B6224" t="s">
        <v>2129</v>
      </c>
      <c r="C6224">
        <v>25.5</v>
      </c>
      <c r="D6224">
        <v>173</v>
      </c>
      <c r="E6224">
        <f>IF(OR(B6224="vi",B6224="ii",B6224="pod"),(((D6224/100)*(C6224*VLOOKUP(B6224,'Poids des runes'!A:B,2,FALSE)))+1),(((D6224/100)*(C6224*VLOOKUP(B6224,'Poids des runes'!A:B,2,FALSE)))+1)/VLOOKUP(B6224,'Poids des runes'!A:B,2,FALSE))</f>
        <v>45.115000000000002</v>
      </c>
      <c r="F6224">
        <f t="shared" si="97"/>
        <v>45.115000000000002</v>
      </c>
    </row>
    <row r="6225" spans="1:6" x14ac:dyDescent="0.3">
      <c r="A6225" t="s">
        <v>1207</v>
      </c>
      <c r="B6225" t="s">
        <v>2155</v>
      </c>
      <c r="C6225">
        <v>1</v>
      </c>
      <c r="D6225">
        <v>173</v>
      </c>
      <c r="E6225">
        <f>IF(OR(B6225="vi",B6225="ii",B6225="pod"),(((D6225/100)*(C6225*VLOOKUP(B6225,'Poids des runes'!A:B,2,FALSE)))+1),(((D6225/100)*(C6225*VLOOKUP(B6225,'Poids des runes'!A:B,2,FALSE)))+1)/VLOOKUP(B6225,'Poids des runes'!A:B,2,FALSE))</f>
        <v>1.749607843137255</v>
      </c>
      <c r="F6225">
        <f t="shared" si="97"/>
        <v>1.749607843137255</v>
      </c>
    </row>
    <row r="6226" spans="1:6" x14ac:dyDescent="0.3">
      <c r="A6226" t="s">
        <v>1207</v>
      </c>
      <c r="B6226" t="s">
        <v>2161</v>
      </c>
      <c r="C6226">
        <v>8.5</v>
      </c>
      <c r="D6226">
        <v>173</v>
      </c>
      <c r="E6226">
        <f>IF(OR(B6226="vi",B6226="ii",B6226="pod"),(((D6226/100)*(C6226*VLOOKUP(B6226,'Poids des runes'!A:B,2,FALSE)))+1),(((D6226/100)*(C6226*VLOOKUP(B6226,'Poids des runes'!A:B,2,FALSE)))+1)/VLOOKUP(B6226,'Poids des runes'!A:B,2,FALSE))</f>
        <v>15.038333333333334</v>
      </c>
      <c r="F6226">
        <f t="shared" si="97"/>
        <v>15.038333333333334</v>
      </c>
    </row>
    <row r="6227" spans="1:6" x14ac:dyDescent="0.3">
      <c r="A6227" t="s">
        <v>1207</v>
      </c>
      <c r="B6227" t="s">
        <v>2141</v>
      </c>
      <c r="C6227">
        <v>8.5</v>
      </c>
      <c r="D6227">
        <v>173</v>
      </c>
      <c r="E6227">
        <f>IF(OR(B6227="vi",B6227="ii",B6227="pod"),(((D6227/100)*(C6227*VLOOKUP(B6227,'Poids des runes'!A:B,2,FALSE)))+1),(((D6227/100)*(C6227*VLOOKUP(B6227,'Poids des runes'!A:B,2,FALSE)))+1)/VLOOKUP(B6227,'Poids des runes'!A:B,2,FALSE))</f>
        <v>14.955</v>
      </c>
      <c r="F6227">
        <f t="shared" si="97"/>
        <v>14.955</v>
      </c>
    </row>
    <row r="6228" spans="1:6" x14ac:dyDescent="0.3">
      <c r="A6228" t="s">
        <v>1207</v>
      </c>
      <c r="B6228" t="s">
        <v>2164</v>
      </c>
      <c r="C6228">
        <v>13</v>
      </c>
      <c r="D6228">
        <v>173</v>
      </c>
      <c r="E6228">
        <f>IF(OR(B6228="vi",B6228="ii",B6228="pod"),(((D6228/100)*(C6228*VLOOKUP(B6228,'Poids des runes'!A:B,2,FALSE)))+1),(((D6228/100)*(C6228*VLOOKUP(B6228,'Poids des runes'!A:B,2,FALSE)))+1)/VLOOKUP(B6228,'Poids des runes'!A:B,2,FALSE))</f>
        <v>22.99</v>
      </c>
      <c r="F6228">
        <f t="shared" si="97"/>
        <v>22.99</v>
      </c>
    </row>
    <row r="6229" spans="1:6" x14ac:dyDescent="0.3">
      <c r="A6229" t="s">
        <v>1207</v>
      </c>
      <c r="B6229" t="s">
        <v>2148</v>
      </c>
      <c r="C6229">
        <v>6</v>
      </c>
      <c r="D6229">
        <v>173</v>
      </c>
      <c r="E6229">
        <f>IF(OR(B6229="vi",B6229="ii",B6229="pod"),(((D6229/100)*(C6229*VLOOKUP(B6229,'Poids des runes'!A:B,2,FALSE)))+1),(((D6229/100)*(C6229*VLOOKUP(B6229,'Poids des runes'!A:B,2,FALSE)))+1)/VLOOKUP(B6229,'Poids des runes'!A:B,2,FALSE))</f>
        <v>10.546666666666667</v>
      </c>
      <c r="F6229">
        <f t="shared" si="97"/>
        <v>10.546666666666667</v>
      </c>
    </row>
    <row r="6230" spans="1:6" x14ac:dyDescent="0.3">
      <c r="A6230" t="s">
        <v>1207</v>
      </c>
      <c r="B6230" t="s">
        <v>2135</v>
      </c>
      <c r="C6230">
        <v>6</v>
      </c>
      <c r="D6230">
        <v>173</v>
      </c>
      <c r="E6230">
        <f>IF(OR(B6230="vi",B6230="ii",B6230="pod"),(((D6230/100)*(C6230*VLOOKUP(B6230,'Poids des runes'!A:B,2,FALSE)))+1),(((D6230/100)*(C6230*VLOOKUP(B6230,'Poids des runes'!A:B,2,FALSE)))+1)/VLOOKUP(B6230,'Poids des runes'!A:B,2,FALSE))</f>
        <v>10.546666666666667</v>
      </c>
      <c r="F6230">
        <f t="shared" si="97"/>
        <v>10.546666666666667</v>
      </c>
    </row>
    <row r="6231" spans="1:6" x14ac:dyDescent="0.3">
      <c r="A6231" t="s">
        <v>1207</v>
      </c>
      <c r="B6231" t="s">
        <v>2144</v>
      </c>
      <c r="C6231">
        <v>18</v>
      </c>
      <c r="D6231">
        <v>173</v>
      </c>
      <c r="E6231">
        <f>IF(OR(B6231="vi",B6231="ii",B6231="pod"),(((D6231/100)*(C6231*VLOOKUP(B6231,'Poids des runes'!A:B,2,FALSE)))+1),(((D6231/100)*(C6231*VLOOKUP(B6231,'Poids des runes'!A:B,2,FALSE)))+1)/VLOOKUP(B6231,'Poids des runes'!A:B,2,FALSE))</f>
        <v>31.64</v>
      </c>
      <c r="F6231">
        <f t="shared" si="97"/>
        <v>31.64</v>
      </c>
    </row>
    <row r="6232" spans="1:6" x14ac:dyDescent="0.3">
      <c r="A6232" t="s">
        <v>1207</v>
      </c>
      <c r="B6232" t="s">
        <v>2146</v>
      </c>
      <c r="C6232">
        <v>18</v>
      </c>
      <c r="D6232">
        <v>173</v>
      </c>
      <c r="E6232">
        <f>IF(OR(B6232="vi",B6232="ii",B6232="pod"),(((D6232/100)*(C6232*VLOOKUP(B6232,'Poids des runes'!A:B,2,FALSE)))+1),(((D6232/100)*(C6232*VLOOKUP(B6232,'Poids des runes'!A:B,2,FALSE)))+1)/VLOOKUP(B6232,'Poids des runes'!A:B,2,FALSE))</f>
        <v>31.64</v>
      </c>
      <c r="F6232">
        <f t="shared" si="97"/>
        <v>31.64</v>
      </c>
    </row>
    <row r="6233" spans="1:6" x14ac:dyDescent="0.3">
      <c r="A6233" t="s">
        <v>1208</v>
      </c>
      <c r="B6233" t="s">
        <v>2128</v>
      </c>
      <c r="C6233">
        <v>275.5</v>
      </c>
      <c r="D6233">
        <v>174</v>
      </c>
      <c r="E6233">
        <f>IF(OR(B6233="vi",B6233="ii",B6233="pod"),(((D6233/100)*(C6233*VLOOKUP(B6233,'Poids des runes'!A:B,2,FALSE)))+1),(((D6233/100)*(C6233*VLOOKUP(B6233,'Poids des runes'!A:B,2,FALSE)))+1)/VLOOKUP(B6233,'Poids des runes'!A:B,2,FALSE))</f>
        <v>96.873999999999995</v>
      </c>
      <c r="F6233">
        <f t="shared" si="97"/>
        <v>96.873999999999995</v>
      </c>
    </row>
    <row r="6234" spans="1:6" x14ac:dyDescent="0.3">
      <c r="A6234" t="s">
        <v>1208</v>
      </c>
      <c r="B6234" t="s">
        <v>2131</v>
      </c>
      <c r="C6234">
        <v>40.5</v>
      </c>
      <c r="D6234">
        <v>174</v>
      </c>
      <c r="E6234">
        <f>IF(OR(B6234="vi",B6234="ii",B6234="pod"),(((D6234/100)*(C6234*VLOOKUP(B6234,'Poids des runes'!A:B,2,FALSE)))+1),(((D6234/100)*(C6234*VLOOKUP(B6234,'Poids des runes'!A:B,2,FALSE)))+1)/VLOOKUP(B6234,'Poids des runes'!A:B,2,FALSE))</f>
        <v>71.47</v>
      </c>
      <c r="F6234">
        <f t="shared" si="97"/>
        <v>71.47</v>
      </c>
    </row>
    <row r="6235" spans="1:6" x14ac:dyDescent="0.3">
      <c r="A6235" t="s">
        <v>1208</v>
      </c>
      <c r="B6235" t="s">
        <v>2127</v>
      </c>
      <c r="C6235">
        <v>40.5</v>
      </c>
      <c r="D6235">
        <v>174</v>
      </c>
      <c r="E6235">
        <f>IF(OR(B6235="vi",B6235="ii",B6235="pod"),(((D6235/100)*(C6235*VLOOKUP(B6235,'Poids des runes'!A:B,2,FALSE)))+1),(((D6235/100)*(C6235*VLOOKUP(B6235,'Poids des runes'!A:B,2,FALSE)))+1)/VLOOKUP(B6235,'Poids des runes'!A:B,2,FALSE))</f>
        <v>71.47</v>
      </c>
      <c r="F6235">
        <f t="shared" si="97"/>
        <v>71.47</v>
      </c>
    </row>
    <row r="6236" spans="1:6" x14ac:dyDescent="0.3">
      <c r="A6236" t="s">
        <v>1208</v>
      </c>
      <c r="B6236" t="s">
        <v>2139</v>
      </c>
      <c r="C6236">
        <v>20.5</v>
      </c>
      <c r="D6236">
        <v>174</v>
      </c>
      <c r="E6236">
        <f>IF(OR(B6236="vi",B6236="ii",B6236="pod"),(((D6236/100)*(C6236*VLOOKUP(B6236,'Poids des runes'!A:B,2,FALSE)))+1),(((D6236/100)*(C6236*VLOOKUP(B6236,'Poids des runes'!A:B,2,FALSE)))+1)/VLOOKUP(B6236,'Poids des runes'!A:B,2,FALSE))</f>
        <v>36.17</v>
      </c>
      <c r="F6236">
        <f t="shared" si="97"/>
        <v>36.17</v>
      </c>
    </row>
    <row r="6237" spans="1:6" x14ac:dyDescent="0.3">
      <c r="A6237" t="s">
        <v>1208</v>
      </c>
      <c r="B6237" t="s">
        <v>2151</v>
      </c>
      <c r="C6237">
        <v>4.5</v>
      </c>
      <c r="D6237">
        <v>174</v>
      </c>
      <c r="E6237">
        <f>IF(OR(B6237="vi",B6237="ii",B6237="pod"),(((D6237/100)*(C6237*VLOOKUP(B6237,'Poids des runes'!A:B,2,FALSE)))+1),(((D6237/100)*(C6237*VLOOKUP(B6237,'Poids des runes'!A:B,2,FALSE)))+1)/VLOOKUP(B6237,'Poids des runes'!A:B,2,FALSE))</f>
        <v>7.93</v>
      </c>
      <c r="F6237">
        <f t="shared" si="97"/>
        <v>7.93</v>
      </c>
    </row>
    <row r="6238" spans="1:6" x14ac:dyDescent="0.3">
      <c r="A6238" t="s">
        <v>1208</v>
      </c>
      <c r="B6238" t="s">
        <v>2150</v>
      </c>
      <c r="C6238">
        <v>1</v>
      </c>
      <c r="D6238">
        <v>174</v>
      </c>
      <c r="E6238">
        <f>IF(OR(B6238="vi",B6238="ii",B6238="pod"),(((D6238/100)*(C6238*VLOOKUP(B6238,'Poids des runes'!A:B,2,FALSE)))+1),(((D6238/100)*(C6238*VLOOKUP(B6238,'Poids des runes'!A:B,2,FALSE)))+1)/VLOOKUP(B6238,'Poids des runes'!A:B,2,FALSE))</f>
        <v>1.7733333333333334</v>
      </c>
      <c r="F6238">
        <f t="shared" si="97"/>
        <v>1.7733333333333334</v>
      </c>
    </row>
    <row r="6239" spans="1:6" x14ac:dyDescent="0.3">
      <c r="A6239" t="s">
        <v>1208</v>
      </c>
      <c r="B6239" t="s">
        <v>2133</v>
      </c>
      <c r="C6239">
        <v>8.5</v>
      </c>
      <c r="D6239">
        <v>174</v>
      </c>
      <c r="E6239">
        <f>IF(OR(B6239="vi",B6239="ii",B6239="pod"),(((D6239/100)*(C6239*VLOOKUP(B6239,'Poids des runes'!A:B,2,FALSE)))+1),(((D6239/100)*(C6239*VLOOKUP(B6239,'Poids des runes'!A:B,2,FALSE)))+1)/VLOOKUP(B6239,'Poids des runes'!A:B,2,FALSE))</f>
        <v>14.99</v>
      </c>
      <c r="F6239">
        <f t="shared" si="97"/>
        <v>14.99</v>
      </c>
    </row>
    <row r="6240" spans="1:6" x14ac:dyDescent="0.3">
      <c r="A6240" t="s">
        <v>1208</v>
      </c>
      <c r="B6240" t="s">
        <v>2153</v>
      </c>
      <c r="C6240">
        <v>8.5</v>
      </c>
      <c r="D6240">
        <v>174</v>
      </c>
      <c r="E6240">
        <f>IF(OR(B6240="vi",B6240="ii",B6240="pod"),(((D6240/100)*(C6240*VLOOKUP(B6240,'Poids des runes'!A:B,2,FALSE)))+1),(((D6240/100)*(C6240*VLOOKUP(B6240,'Poids des runes'!A:B,2,FALSE)))+1)/VLOOKUP(B6240,'Poids des runes'!A:B,2,FALSE))</f>
        <v>14.99</v>
      </c>
      <c r="F6240">
        <f t="shared" si="97"/>
        <v>14.99</v>
      </c>
    </row>
    <row r="6241" spans="1:6" x14ac:dyDescent="0.3">
      <c r="A6241" t="s">
        <v>1208</v>
      </c>
      <c r="B6241" t="s">
        <v>2161</v>
      </c>
      <c r="C6241">
        <v>20.5</v>
      </c>
      <c r="D6241">
        <v>174</v>
      </c>
      <c r="E6241">
        <f>IF(OR(B6241="vi",B6241="ii",B6241="pod"),(((D6241/100)*(C6241*VLOOKUP(B6241,'Poids des runes'!A:B,2,FALSE)))+1),(((D6241/100)*(C6241*VLOOKUP(B6241,'Poids des runes'!A:B,2,FALSE)))+1)/VLOOKUP(B6241,'Poids des runes'!A:B,2,FALSE))</f>
        <v>36.003333333333337</v>
      </c>
      <c r="F6241">
        <f t="shared" si="97"/>
        <v>36.003333333333337</v>
      </c>
    </row>
    <row r="6242" spans="1:6" x14ac:dyDescent="0.3">
      <c r="A6242" t="s">
        <v>1208</v>
      </c>
      <c r="B6242" t="s">
        <v>2163</v>
      </c>
      <c r="C6242">
        <v>8.5</v>
      </c>
      <c r="D6242">
        <v>174</v>
      </c>
      <c r="E6242">
        <f>IF(OR(B6242="vi",B6242="ii",B6242="pod"),(((D6242/100)*(C6242*VLOOKUP(B6242,'Poids des runes'!A:B,2,FALSE)))+1),(((D6242/100)*(C6242*VLOOKUP(B6242,'Poids des runes'!A:B,2,FALSE)))+1)/VLOOKUP(B6242,'Poids des runes'!A:B,2,FALSE))</f>
        <v>15.29</v>
      </c>
      <c r="F6242">
        <f t="shared" si="97"/>
        <v>15.29</v>
      </c>
    </row>
    <row r="6243" spans="1:6" x14ac:dyDescent="0.3">
      <c r="A6243" t="s">
        <v>1208</v>
      </c>
      <c r="B6243" t="s">
        <v>2148</v>
      </c>
      <c r="C6243">
        <v>8.5</v>
      </c>
      <c r="D6243">
        <v>174</v>
      </c>
      <c r="E6243">
        <f>IF(OR(B6243="vi",B6243="ii",B6243="pod"),(((D6243/100)*(C6243*VLOOKUP(B6243,'Poids des runes'!A:B,2,FALSE)))+1),(((D6243/100)*(C6243*VLOOKUP(B6243,'Poids des runes'!A:B,2,FALSE)))+1)/VLOOKUP(B6243,'Poids des runes'!A:B,2,FALSE))</f>
        <v>14.956666666666665</v>
      </c>
      <c r="F6243">
        <f t="shared" si="97"/>
        <v>14.956666666666665</v>
      </c>
    </row>
    <row r="6244" spans="1:6" x14ac:dyDescent="0.3">
      <c r="A6244" t="s">
        <v>1208</v>
      </c>
      <c r="B6244" t="s">
        <v>2144</v>
      </c>
      <c r="C6244">
        <v>8.5</v>
      </c>
      <c r="D6244">
        <v>174</v>
      </c>
      <c r="E6244">
        <f>IF(OR(B6244="vi",B6244="ii",B6244="pod"),(((D6244/100)*(C6244*VLOOKUP(B6244,'Poids des runes'!A:B,2,FALSE)))+1),(((D6244/100)*(C6244*VLOOKUP(B6244,'Poids des runes'!A:B,2,FALSE)))+1)/VLOOKUP(B6244,'Poids des runes'!A:B,2,FALSE))</f>
        <v>15.29</v>
      </c>
      <c r="F6244">
        <f t="shared" si="97"/>
        <v>15.29</v>
      </c>
    </row>
    <row r="6245" spans="1:6" x14ac:dyDescent="0.3">
      <c r="A6245" t="s">
        <v>1209</v>
      </c>
      <c r="B6245" t="s">
        <v>2128</v>
      </c>
      <c r="C6245">
        <v>225.5</v>
      </c>
      <c r="D6245">
        <v>174</v>
      </c>
      <c r="E6245">
        <f>IF(OR(B6245="vi",B6245="ii",B6245="pod"),(((D6245/100)*(C6245*VLOOKUP(B6245,'Poids des runes'!A:B,2,FALSE)))+1),(((D6245/100)*(C6245*VLOOKUP(B6245,'Poids des runes'!A:B,2,FALSE)))+1)/VLOOKUP(B6245,'Poids des runes'!A:B,2,FALSE))</f>
        <v>79.474000000000004</v>
      </c>
      <c r="F6245">
        <f t="shared" si="97"/>
        <v>79.474000000000004</v>
      </c>
    </row>
    <row r="6246" spans="1:6" x14ac:dyDescent="0.3">
      <c r="A6246" t="s">
        <v>1209</v>
      </c>
      <c r="B6246" t="s">
        <v>2130</v>
      </c>
      <c r="C6246">
        <v>35.5</v>
      </c>
      <c r="D6246">
        <v>174</v>
      </c>
      <c r="E6246">
        <f>IF(OR(B6246="vi",B6246="ii",B6246="pod"),(((D6246/100)*(C6246*VLOOKUP(B6246,'Poids des runes'!A:B,2,FALSE)))+1),(((D6246/100)*(C6246*VLOOKUP(B6246,'Poids des runes'!A:B,2,FALSE)))+1)/VLOOKUP(B6246,'Poids des runes'!A:B,2,FALSE))</f>
        <v>62.77</v>
      </c>
      <c r="F6246">
        <f t="shared" si="97"/>
        <v>62.77</v>
      </c>
    </row>
    <row r="6247" spans="1:6" x14ac:dyDescent="0.3">
      <c r="A6247" t="s">
        <v>1209</v>
      </c>
      <c r="B6247" t="s">
        <v>2126</v>
      </c>
      <c r="C6247">
        <v>35.5</v>
      </c>
      <c r="D6247">
        <v>174</v>
      </c>
      <c r="E6247">
        <f>IF(OR(B6247="vi",B6247="ii",B6247="pod"),(((D6247/100)*(C6247*VLOOKUP(B6247,'Poids des runes'!A:B,2,FALSE)))+1),(((D6247/100)*(C6247*VLOOKUP(B6247,'Poids des runes'!A:B,2,FALSE)))+1)/VLOOKUP(B6247,'Poids des runes'!A:B,2,FALSE))</f>
        <v>62.77</v>
      </c>
      <c r="F6247">
        <f t="shared" si="97"/>
        <v>62.77</v>
      </c>
    </row>
    <row r="6248" spans="1:6" x14ac:dyDescent="0.3">
      <c r="A6248" t="s">
        <v>1209</v>
      </c>
      <c r="B6248" t="s">
        <v>2127</v>
      </c>
      <c r="C6248">
        <v>35.5</v>
      </c>
      <c r="D6248">
        <v>174</v>
      </c>
      <c r="E6248">
        <f>IF(OR(B6248="vi",B6248="ii",B6248="pod"),(((D6248/100)*(C6248*VLOOKUP(B6248,'Poids des runes'!A:B,2,FALSE)))+1),(((D6248/100)*(C6248*VLOOKUP(B6248,'Poids des runes'!A:B,2,FALSE)))+1)/VLOOKUP(B6248,'Poids des runes'!A:B,2,FALSE))</f>
        <v>62.77</v>
      </c>
      <c r="F6248">
        <f t="shared" si="97"/>
        <v>62.77</v>
      </c>
    </row>
    <row r="6249" spans="1:6" x14ac:dyDescent="0.3">
      <c r="A6249" t="s">
        <v>1209</v>
      </c>
      <c r="B6249" t="s">
        <v>2129</v>
      </c>
      <c r="C6249">
        <v>35.5</v>
      </c>
      <c r="D6249">
        <v>174</v>
      </c>
      <c r="E6249">
        <f>IF(OR(B6249="vi",B6249="ii",B6249="pod"),(((D6249/100)*(C6249*VLOOKUP(B6249,'Poids des runes'!A:B,2,FALSE)))+1),(((D6249/100)*(C6249*VLOOKUP(B6249,'Poids des runes'!A:B,2,FALSE)))+1)/VLOOKUP(B6249,'Poids des runes'!A:B,2,FALSE))</f>
        <v>62.77</v>
      </c>
      <c r="F6249">
        <f t="shared" si="97"/>
        <v>62.77</v>
      </c>
    </row>
    <row r="6250" spans="1:6" x14ac:dyDescent="0.3">
      <c r="A6250" t="s">
        <v>1209</v>
      </c>
      <c r="B6250" t="s">
        <v>2139</v>
      </c>
      <c r="C6250">
        <v>15.5</v>
      </c>
      <c r="D6250">
        <v>174</v>
      </c>
      <c r="E6250">
        <f>IF(OR(B6250="vi",B6250="ii",B6250="pod"),(((D6250/100)*(C6250*VLOOKUP(B6250,'Poids des runes'!A:B,2,FALSE)))+1),(((D6250/100)*(C6250*VLOOKUP(B6250,'Poids des runes'!A:B,2,FALSE)))+1)/VLOOKUP(B6250,'Poids des runes'!A:B,2,FALSE))</f>
        <v>27.47</v>
      </c>
      <c r="F6250">
        <f t="shared" si="97"/>
        <v>27.47</v>
      </c>
    </row>
    <row r="6251" spans="1:6" x14ac:dyDescent="0.3">
      <c r="A6251" t="s">
        <v>1209</v>
      </c>
      <c r="B6251" t="s">
        <v>2151</v>
      </c>
      <c r="C6251">
        <v>3.5</v>
      </c>
      <c r="D6251">
        <v>174</v>
      </c>
      <c r="E6251">
        <f>IF(OR(B6251="vi",B6251="ii",B6251="pod"),(((D6251/100)*(C6251*VLOOKUP(B6251,'Poids des runes'!A:B,2,FALSE)))+1),(((D6251/100)*(C6251*VLOOKUP(B6251,'Poids des runes'!A:B,2,FALSE)))+1)/VLOOKUP(B6251,'Poids des runes'!A:B,2,FALSE))</f>
        <v>6.1899999999999995</v>
      </c>
      <c r="F6251">
        <f t="shared" si="97"/>
        <v>6.1899999999999995</v>
      </c>
    </row>
    <row r="6252" spans="1:6" x14ac:dyDescent="0.3">
      <c r="A6252" t="s">
        <v>1209</v>
      </c>
      <c r="B6252" t="s">
        <v>2155</v>
      </c>
      <c r="C6252">
        <v>1</v>
      </c>
      <c r="D6252">
        <v>174</v>
      </c>
      <c r="E6252">
        <f>IF(OR(B6252="vi",B6252="ii",B6252="pod"),(((D6252/100)*(C6252*VLOOKUP(B6252,'Poids des runes'!A:B,2,FALSE)))+1),(((D6252/100)*(C6252*VLOOKUP(B6252,'Poids des runes'!A:B,2,FALSE)))+1)/VLOOKUP(B6252,'Poids des runes'!A:B,2,FALSE))</f>
        <v>1.7596078431372548</v>
      </c>
      <c r="F6252">
        <f t="shared" si="97"/>
        <v>1.7596078431372548</v>
      </c>
    </row>
    <row r="6253" spans="1:6" x14ac:dyDescent="0.3">
      <c r="A6253" t="s">
        <v>1209</v>
      </c>
      <c r="B6253" t="s">
        <v>2134</v>
      </c>
      <c r="C6253">
        <v>8.5</v>
      </c>
      <c r="D6253">
        <v>174</v>
      </c>
      <c r="E6253">
        <f>IF(OR(B6253="vi",B6253="ii",B6253="pod"),(((D6253/100)*(C6253*VLOOKUP(B6253,'Poids des runes'!A:B,2,FALSE)))+1),(((D6253/100)*(C6253*VLOOKUP(B6253,'Poids des runes'!A:B,2,FALSE)))+1)/VLOOKUP(B6253,'Poids des runes'!A:B,2,FALSE))</f>
        <v>14.84</v>
      </c>
      <c r="F6253">
        <f t="shared" si="97"/>
        <v>14.84</v>
      </c>
    </row>
    <row r="6254" spans="1:6" x14ac:dyDescent="0.3">
      <c r="A6254" t="s">
        <v>1209</v>
      </c>
      <c r="B6254" t="s">
        <v>2161</v>
      </c>
      <c r="C6254">
        <v>8.5</v>
      </c>
      <c r="D6254">
        <v>174</v>
      </c>
      <c r="E6254">
        <f>IF(OR(B6254="vi",B6254="ii",B6254="pod"),(((D6254/100)*(C6254*VLOOKUP(B6254,'Poids des runes'!A:B,2,FALSE)))+1),(((D6254/100)*(C6254*VLOOKUP(B6254,'Poids des runes'!A:B,2,FALSE)))+1)/VLOOKUP(B6254,'Poids des runes'!A:B,2,FALSE))</f>
        <v>15.123333333333333</v>
      </c>
      <c r="F6254">
        <f t="shared" si="97"/>
        <v>15.123333333333333</v>
      </c>
    </row>
    <row r="6255" spans="1:6" x14ac:dyDescent="0.3">
      <c r="A6255" t="s">
        <v>1209</v>
      </c>
      <c r="B6255" t="s">
        <v>2132</v>
      </c>
      <c r="C6255">
        <v>250.5</v>
      </c>
      <c r="D6255">
        <v>174</v>
      </c>
      <c r="E6255">
        <f>IF(OR(B6255="vi",B6255="ii",B6255="pod"),(((D6255/100)*(C6255*VLOOKUP(B6255,'Poids des runes'!A:B,2,FALSE)))+1),(((D6255/100)*(C6255*VLOOKUP(B6255,'Poids des runes'!A:B,2,FALSE)))+1)/VLOOKUP(B6255,'Poids des runes'!A:B,2,FALSE))</f>
        <v>44.587000000000003</v>
      </c>
      <c r="F6255">
        <f t="shared" si="97"/>
        <v>44.587000000000003</v>
      </c>
    </row>
    <row r="6256" spans="1:6" x14ac:dyDescent="0.3">
      <c r="A6256" t="s">
        <v>1209</v>
      </c>
      <c r="B6256" t="s">
        <v>2141</v>
      </c>
      <c r="C6256">
        <v>4.5</v>
      </c>
      <c r="D6256">
        <v>174</v>
      </c>
      <c r="E6256">
        <f>IF(OR(B6256="vi",B6256="ii",B6256="pod"),(((D6256/100)*(C6256*VLOOKUP(B6256,'Poids des runes'!A:B,2,FALSE)))+1),(((D6256/100)*(C6256*VLOOKUP(B6256,'Poids des runes'!A:B,2,FALSE)))+1)/VLOOKUP(B6256,'Poids des runes'!A:B,2,FALSE))</f>
        <v>8.08</v>
      </c>
      <c r="F6256">
        <f t="shared" si="97"/>
        <v>8.08</v>
      </c>
    </row>
    <row r="6257" spans="1:6" x14ac:dyDescent="0.3">
      <c r="A6257" t="s">
        <v>1209</v>
      </c>
      <c r="B6257" t="s">
        <v>2148</v>
      </c>
      <c r="C6257">
        <v>8.5</v>
      </c>
      <c r="D6257">
        <v>174</v>
      </c>
      <c r="E6257">
        <f>IF(OR(B6257="vi",B6257="ii",B6257="pod"),(((D6257/100)*(C6257*VLOOKUP(B6257,'Poids des runes'!A:B,2,FALSE)))+1),(((D6257/100)*(C6257*VLOOKUP(B6257,'Poids des runes'!A:B,2,FALSE)))+1)/VLOOKUP(B6257,'Poids des runes'!A:B,2,FALSE))</f>
        <v>14.956666666666665</v>
      </c>
      <c r="F6257">
        <f t="shared" si="97"/>
        <v>14.956666666666665</v>
      </c>
    </row>
    <row r="6258" spans="1:6" x14ac:dyDescent="0.3">
      <c r="A6258" t="s">
        <v>1209</v>
      </c>
      <c r="B6258" t="s">
        <v>2145</v>
      </c>
      <c r="C6258">
        <v>8.5</v>
      </c>
      <c r="D6258">
        <v>174</v>
      </c>
      <c r="E6258">
        <f>IF(OR(B6258="vi",B6258="ii",B6258="pod"),(((D6258/100)*(C6258*VLOOKUP(B6258,'Poids des runes'!A:B,2,FALSE)))+1),(((D6258/100)*(C6258*VLOOKUP(B6258,'Poids des runes'!A:B,2,FALSE)))+1)/VLOOKUP(B6258,'Poids des runes'!A:B,2,FALSE))</f>
        <v>15.29</v>
      </c>
      <c r="F6258">
        <f t="shared" si="97"/>
        <v>15.29</v>
      </c>
    </row>
    <row r="6259" spans="1:6" x14ac:dyDescent="0.3">
      <c r="A6259" t="s">
        <v>1210</v>
      </c>
      <c r="B6259" t="s">
        <v>2128</v>
      </c>
      <c r="C6259">
        <v>225.5</v>
      </c>
      <c r="D6259">
        <v>174</v>
      </c>
      <c r="E6259">
        <f>IF(OR(B6259="vi",B6259="ii",B6259="pod"),(((D6259/100)*(C6259*VLOOKUP(B6259,'Poids des runes'!A:B,2,FALSE)))+1),(((D6259/100)*(C6259*VLOOKUP(B6259,'Poids des runes'!A:B,2,FALSE)))+1)/VLOOKUP(B6259,'Poids des runes'!A:B,2,FALSE))</f>
        <v>79.474000000000004</v>
      </c>
      <c r="F6259">
        <f t="shared" si="97"/>
        <v>79.474000000000004</v>
      </c>
    </row>
    <row r="6260" spans="1:6" x14ac:dyDescent="0.3">
      <c r="A6260" t="s">
        <v>1210</v>
      </c>
      <c r="B6260" t="s">
        <v>2130</v>
      </c>
      <c r="C6260">
        <v>38</v>
      </c>
      <c r="D6260">
        <v>174</v>
      </c>
      <c r="E6260">
        <f>IF(OR(B6260="vi",B6260="ii",B6260="pod"),(((D6260/100)*(C6260*VLOOKUP(B6260,'Poids des runes'!A:B,2,FALSE)))+1),(((D6260/100)*(C6260*VLOOKUP(B6260,'Poids des runes'!A:B,2,FALSE)))+1)/VLOOKUP(B6260,'Poids des runes'!A:B,2,FALSE))</f>
        <v>67.12</v>
      </c>
      <c r="F6260">
        <f t="shared" si="97"/>
        <v>67.12</v>
      </c>
    </row>
    <row r="6261" spans="1:6" x14ac:dyDescent="0.3">
      <c r="A6261" t="s">
        <v>1210</v>
      </c>
      <c r="B6261" t="s">
        <v>2127</v>
      </c>
      <c r="C6261">
        <v>38</v>
      </c>
      <c r="D6261">
        <v>174</v>
      </c>
      <c r="E6261">
        <f>IF(OR(B6261="vi",B6261="ii",B6261="pod"),(((D6261/100)*(C6261*VLOOKUP(B6261,'Poids des runes'!A:B,2,FALSE)))+1),(((D6261/100)*(C6261*VLOOKUP(B6261,'Poids des runes'!A:B,2,FALSE)))+1)/VLOOKUP(B6261,'Poids des runes'!A:B,2,FALSE))</f>
        <v>67.12</v>
      </c>
      <c r="F6261">
        <f t="shared" si="97"/>
        <v>67.12</v>
      </c>
    </row>
    <row r="6262" spans="1:6" x14ac:dyDescent="0.3">
      <c r="A6262" t="s">
        <v>1210</v>
      </c>
      <c r="B6262" t="s">
        <v>2129</v>
      </c>
      <c r="C6262">
        <v>30.5</v>
      </c>
      <c r="D6262">
        <v>174</v>
      </c>
      <c r="E6262">
        <f>IF(OR(B6262="vi",B6262="ii",B6262="pod"),(((D6262/100)*(C6262*VLOOKUP(B6262,'Poids des runes'!A:B,2,FALSE)))+1),(((D6262/100)*(C6262*VLOOKUP(B6262,'Poids des runes'!A:B,2,FALSE)))+1)/VLOOKUP(B6262,'Poids des runes'!A:B,2,FALSE))</f>
        <v>54.07</v>
      </c>
      <c r="F6262">
        <f t="shared" si="97"/>
        <v>54.07</v>
      </c>
    </row>
    <row r="6263" spans="1:6" x14ac:dyDescent="0.3">
      <c r="A6263" t="s">
        <v>1210</v>
      </c>
      <c r="B6263" t="s">
        <v>2139</v>
      </c>
      <c r="C6263">
        <v>13</v>
      </c>
      <c r="D6263">
        <v>174</v>
      </c>
      <c r="E6263">
        <f>IF(OR(B6263="vi",B6263="ii",B6263="pod"),(((D6263/100)*(C6263*VLOOKUP(B6263,'Poids des runes'!A:B,2,FALSE)))+1),(((D6263/100)*(C6263*VLOOKUP(B6263,'Poids des runes'!A:B,2,FALSE)))+1)/VLOOKUP(B6263,'Poids des runes'!A:B,2,FALSE))</f>
        <v>23.12</v>
      </c>
      <c r="F6263">
        <f t="shared" si="97"/>
        <v>23.12</v>
      </c>
    </row>
    <row r="6264" spans="1:6" x14ac:dyDescent="0.3">
      <c r="A6264" t="s">
        <v>1210</v>
      </c>
      <c r="B6264" t="s">
        <v>2151</v>
      </c>
      <c r="C6264">
        <v>1.5</v>
      </c>
      <c r="D6264">
        <v>174</v>
      </c>
      <c r="E6264">
        <f>IF(OR(B6264="vi",B6264="ii",B6264="pod"),(((D6264/100)*(C6264*VLOOKUP(B6264,'Poids des runes'!A:B,2,FALSE)))+1),(((D6264/100)*(C6264*VLOOKUP(B6264,'Poids des runes'!A:B,2,FALSE)))+1)/VLOOKUP(B6264,'Poids des runes'!A:B,2,FALSE))</f>
        <v>2.71</v>
      </c>
      <c r="F6264">
        <f t="shared" si="97"/>
        <v>2.71</v>
      </c>
    </row>
    <row r="6265" spans="1:6" x14ac:dyDescent="0.3">
      <c r="A6265" t="s">
        <v>1210</v>
      </c>
      <c r="B6265" t="s">
        <v>2154</v>
      </c>
      <c r="C6265">
        <v>1</v>
      </c>
      <c r="D6265">
        <v>174</v>
      </c>
      <c r="E6265">
        <f>IF(OR(B6265="vi",B6265="ii",B6265="pod"),(((D6265/100)*(C6265*VLOOKUP(B6265,'Poids des runes'!A:B,2,FALSE)))+1),(((D6265/100)*(C6265*VLOOKUP(B6265,'Poids des runes'!A:B,2,FALSE)))+1)/VLOOKUP(B6265,'Poids des runes'!A:B,2,FALSE))</f>
        <v>1.7511111111111111</v>
      </c>
      <c r="F6265">
        <f t="shared" si="97"/>
        <v>1.7511111111111111</v>
      </c>
    </row>
    <row r="6266" spans="1:6" x14ac:dyDescent="0.3">
      <c r="A6266" t="s">
        <v>1210</v>
      </c>
      <c r="B6266" t="s">
        <v>2150</v>
      </c>
      <c r="C6266">
        <v>1</v>
      </c>
      <c r="D6266">
        <v>174</v>
      </c>
      <c r="E6266">
        <f>IF(OR(B6266="vi",B6266="ii",B6266="pod"),(((D6266/100)*(C6266*VLOOKUP(B6266,'Poids des runes'!A:B,2,FALSE)))+1),(((D6266/100)*(C6266*VLOOKUP(B6266,'Poids des runes'!A:B,2,FALSE)))+1)/VLOOKUP(B6266,'Poids des runes'!A:B,2,FALSE))</f>
        <v>1.7733333333333334</v>
      </c>
      <c r="F6266">
        <f t="shared" si="97"/>
        <v>1.7733333333333334</v>
      </c>
    </row>
    <row r="6267" spans="1:6" x14ac:dyDescent="0.3">
      <c r="A6267" t="s">
        <v>1210</v>
      </c>
      <c r="B6267" t="s">
        <v>2143</v>
      </c>
      <c r="C6267">
        <v>10</v>
      </c>
      <c r="D6267">
        <v>174</v>
      </c>
      <c r="E6267">
        <f>IF(OR(B6267="vi",B6267="ii",B6267="pod"),(((D6267/100)*(C6267*VLOOKUP(B6267,'Poids des runes'!A:B,2,FALSE)))+1),(((D6267/100)*(C6267*VLOOKUP(B6267,'Poids des runes'!A:B,2,FALSE)))+1)/VLOOKUP(B6267,'Poids des runes'!A:B,2,FALSE))</f>
        <v>17.600000000000001</v>
      </c>
      <c r="F6267">
        <f t="shared" si="97"/>
        <v>17.600000000000001</v>
      </c>
    </row>
    <row r="6268" spans="1:6" x14ac:dyDescent="0.3">
      <c r="A6268" t="s">
        <v>1210</v>
      </c>
      <c r="B6268" t="s">
        <v>2153</v>
      </c>
      <c r="C6268">
        <v>10</v>
      </c>
      <c r="D6268">
        <v>174</v>
      </c>
      <c r="E6268">
        <f>IF(OR(B6268="vi",B6268="ii",B6268="pod"),(((D6268/100)*(C6268*VLOOKUP(B6268,'Poids des runes'!A:B,2,FALSE)))+1),(((D6268/100)*(C6268*VLOOKUP(B6268,'Poids des runes'!A:B,2,FALSE)))+1)/VLOOKUP(B6268,'Poids des runes'!A:B,2,FALSE))</f>
        <v>17.600000000000001</v>
      </c>
      <c r="F6268">
        <f t="shared" si="97"/>
        <v>17.600000000000001</v>
      </c>
    </row>
    <row r="6269" spans="1:6" x14ac:dyDescent="0.3">
      <c r="A6269" t="s">
        <v>1210</v>
      </c>
      <c r="B6269" t="s">
        <v>2161</v>
      </c>
      <c r="C6269">
        <v>15.5</v>
      </c>
      <c r="D6269">
        <v>174</v>
      </c>
      <c r="E6269">
        <f>IF(OR(B6269="vi",B6269="ii",B6269="pod"),(((D6269/100)*(C6269*VLOOKUP(B6269,'Poids des runes'!A:B,2,FALSE)))+1),(((D6269/100)*(C6269*VLOOKUP(B6269,'Poids des runes'!A:B,2,FALSE)))+1)/VLOOKUP(B6269,'Poids des runes'!A:B,2,FALSE))</f>
        <v>27.303333333333331</v>
      </c>
      <c r="F6269">
        <f t="shared" si="97"/>
        <v>27.303333333333331</v>
      </c>
    </row>
    <row r="6270" spans="1:6" x14ac:dyDescent="0.3">
      <c r="A6270" t="s">
        <v>1210</v>
      </c>
      <c r="B6270" t="s">
        <v>2138</v>
      </c>
      <c r="C6270">
        <v>4.5</v>
      </c>
      <c r="D6270">
        <v>174</v>
      </c>
      <c r="E6270">
        <f>IF(OR(B6270="vi",B6270="ii",B6270="pod"),(((D6270/100)*(C6270*VLOOKUP(B6270,'Poids des runes'!A:B,2,FALSE)))+1),(((D6270/100)*(C6270*VLOOKUP(B6270,'Poids des runes'!A:B,2,FALSE)))+1)/VLOOKUP(B6270,'Poids des runes'!A:B,2,FALSE))</f>
        <v>8.08</v>
      </c>
      <c r="F6270">
        <f t="shared" si="97"/>
        <v>8.08</v>
      </c>
    </row>
    <row r="6271" spans="1:6" x14ac:dyDescent="0.3">
      <c r="A6271" t="s">
        <v>1210</v>
      </c>
      <c r="B6271" t="s">
        <v>2162</v>
      </c>
      <c r="C6271">
        <v>4.5</v>
      </c>
      <c r="D6271">
        <v>174</v>
      </c>
      <c r="E6271">
        <f>IF(OR(B6271="vi",B6271="ii",B6271="pod"),(((D6271/100)*(C6271*VLOOKUP(B6271,'Poids des runes'!A:B,2,FALSE)))+1),(((D6271/100)*(C6271*VLOOKUP(B6271,'Poids des runes'!A:B,2,FALSE)))+1)/VLOOKUP(B6271,'Poids des runes'!A:B,2,FALSE))</f>
        <v>7.9728571428571433</v>
      </c>
      <c r="F6271">
        <f t="shared" si="97"/>
        <v>7.9728571428571433</v>
      </c>
    </row>
    <row r="6272" spans="1:6" x14ac:dyDescent="0.3">
      <c r="A6272" t="s">
        <v>1210</v>
      </c>
      <c r="B6272" t="s">
        <v>2144</v>
      </c>
      <c r="C6272">
        <v>8.5</v>
      </c>
      <c r="D6272">
        <v>174</v>
      </c>
      <c r="E6272">
        <f>IF(OR(B6272="vi",B6272="ii",B6272="pod"),(((D6272/100)*(C6272*VLOOKUP(B6272,'Poids des runes'!A:B,2,FALSE)))+1),(((D6272/100)*(C6272*VLOOKUP(B6272,'Poids des runes'!A:B,2,FALSE)))+1)/VLOOKUP(B6272,'Poids des runes'!A:B,2,FALSE))</f>
        <v>15.29</v>
      </c>
      <c r="F6272">
        <f t="shared" si="97"/>
        <v>15.29</v>
      </c>
    </row>
    <row r="6273" spans="1:6" x14ac:dyDescent="0.3">
      <c r="A6273" t="s">
        <v>1210</v>
      </c>
      <c r="B6273" t="s">
        <v>2146</v>
      </c>
      <c r="C6273">
        <v>8.5</v>
      </c>
      <c r="D6273">
        <v>174</v>
      </c>
      <c r="E6273">
        <f>IF(OR(B6273="vi",B6273="ii",B6273="pod"),(((D6273/100)*(C6273*VLOOKUP(B6273,'Poids des runes'!A:B,2,FALSE)))+1),(((D6273/100)*(C6273*VLOOKUP(B6273,'Poids des runes'!A:B,2,FALSE)))+1)/VLOOKUP(B6273,'Poids des runes'!A:B,2,FALSE))</f>
        <v>15.29</v>
      </c>
      <c r="F6273">
        <f t="shared" si="97"/>
        <v>15.29</v>
      </c>
    </row>
    <row r="6274" spans="1:6" x14ac:dyDescent="0.3">
      <c r="A6274" t="s">
        <v>1211</v>
      </c>
      <c r="B6274" t="s">
        <v>2128</v>
      </c>
      <c r="C6274">
        <v>275.5</v>
      </c>
      <c r="D6274">
        <v>174</v>
      </c>
      <c r="E6274">
        <f>IF(OR(B6274="vi",B6274="ii",B6274="pod"),(((D6274/100)*(C6274*VLOOKUP(B6274,'Poids des runes'!A:B,2,FALSE)))+1),(((D6274/100)*(C6274*VLOOKUP(B6274,'Poids des runes'!A:B,2,FALSE)))+1)/VLOOKUP(B6274,'Poids des runes'!A:B,2,FALSE))</f>
        <v>96.873999999999995</v>
      </c>
      <c r="F6274">
        <f t="shared" si="97"/>
        <v>96.873999999999995</v>
      </c>
    </row>
    <row r="6275" spans="1:6" x14ac:dyDescent="0.3">
      <c r="A6275" t="s">
        <v>1211</v>
      </c>
      <c r="B6275" t="s">
        <v>2130</v>
      </c>
      <c r="C6275">
        <v>40.5</v>
      </c>
      <c r="D6275">
        <v>174</v>
      </c>
      <c r="E6275">
        <f>IF(OR(B6275="vi",B6275="ii",B6275="pod"),(((D6275/100)*(C6275*VLOOKUP(B6275,'Poids des runes'!A:B,2,FALSE)))+1),(((D6275/100)*(C6275*VLOOKUP(B6275,'Poids des runes'!A:B,2,FALSE)))+1)/VLOOKUP(B6275,'Poids des runes'!A:B,2,FALSE))</f>
        <v>71.47</v>
      </c>
      <c r="F6275">
        <f t="shared" ref="F6275:F6338" si="98">E6275</f>
        <v>71.47</v>
      </c>
    </row>
    <row r="6276" spans="1:6" x14ac:dyDescent="0.3">
      <c r="A6276" t="s">
        <v>1211</v>
      </c>
      <c r="B6276" t="s">
        <v>2127</v>
      </c>
      <c r="C6276">
        <v>40.5</v>
      </c>
      <c r="D6276">
        <v>174</v>
      </c>
      <c r="E6276">
        <f>IF(OR(B6276="vi",B6276="ii",B6276="pod"),(((D6276/100)*(C6276*VLOOKUP(B6276,'Poids des runes'!A:B,2,FALSE)))+1),(((D6276/100)*(C6276*VLOOKUP(B6276,'Poids des runes'!A:B,2,FALSE)))+1)/VLOOKUP(B6276,'Poids des runes'!A:B,2,FALSE))</f>
        <v>71.47</v>
      </c>
      <c r="F6276">
        <f t="shared" si="98"/>
        <v>71.47</v>
      </c>
    </row>
    <row r="6277" spans="1:6" x14ac:dyDescent="0.3">
      <c r="A6277" t="s">
        <v>1211</v>
      </c>
      <c r="B6277" t="s">
        <v>2129</v>
      </c>
      <c r="C6277">
        <v>25.5</v>
      </c>
      <c r="D6277">
        <v>174</v>
      </c>
      <c r="E6277">
        <f>IF(OR(B6277="vi",B6277="ii",B6277="pod"),(((D6277/100)*(C6277*VLOOKUP(B6277,'Poids des runes'!A:B,2,FALSE)))+1),(((D6277/100)*(C6277*VLOOKUP(B6277,'Poids des runes'!A:B,2,FALSE)))+1)/VLOOKUP(B6277,'Poids des runes'!A:B,2,FALSE))</f>
        <v>45.37</v>
      </c>
      <c r="F6277">
        <f t="shared" si="98"/>
        <v>45.37</v>
      </c>
    </row>
    <row r="6278" spans="1:6" x14ac:dyDescent="0.3">
      <c r="A6278" t="s">
        <v>1211</v>
      </c>
      <c r="B6278" t="s">
        <v>2151</v>
      </c>
      <c r="C6278">
        <v>6</v>
      </c>
      <c r="D6278">
        <v>174</v>
      </c>
      <c r="E6278">
        <f>IF(OR(B6278="vi",B6278="ii",B6278="pod"),(((D6278/100)*(C6278*VLOOKUP(B6278,'Poids des runes'!A:B,2,FALSE)))+1),(((D6278/100)*(C6278*VLOOKUP(B6278,'Poids des runes'!A:B,2,FALSE)))+1)/VLOOKUP(B6278,'Poids des runes'!A:B,2,FALSE))</f>
        <v>10.540000000000001</v>
      </c>
      <c r="F6278">
        <f t="shared" si="98"/>
        <v>10.540000000000001</v>
      </c>
    </row>
    <row r="6279" spans="1:6" x14ac:dyDescent="0.3">
      <c r="A6279" t="s">
        <v>1211</v>
      </c>
      <c r="B6279" t="s">
        <v>2143</v>
      </c>
      <c r="C6279">
        <v>8</v>
      </c>
      <c r="D6279">
        <v>174</v>
      </c>
      <c r="E6279">
        <f>IF(OR(B6279="vi",B6279="ii",B6279="pod"),(((D6279/100)*(C6279*VLOOKUP(B6279,'Poids des runes'!A:B,2,FALSE)))+1),(((D6279/100)*(C6279*VLOOKUP(B6279,'Poids des runes'!A:B,2,FALSE)))+1)/VLOOKUP(B6279,'Poids des runes'!A:B,2,FALSE))</f>
        <v>14.12</v>
      </c>
      <c r="F6279">
        <f t="shared" si="98"/>
        <v>14.12</v>
      </c>
    </row>
    <row r="6280" spans="1:6" x14ac:dyDescent="0.3">
      <c r="A6280" t="s">
        <v>1211</v>
      </c>
      <c r="B6280" t="s">
        <v>2153</v>
      </c>
      <c r="C6280">
        <v>8</v>
      </c>
      <c r="D6280">
        <v>174</v>
      </c>
      <c r="E6280">
        <f>IF(OR(B6280="vi",B6280="ii",B6280="pod"),(((D6280/100)*(C6280*VLOOKUP(B6280,'Poids des runes'!A:B,2,FALSE)))+1),(((D6280/100)*(C6280*VLOOKUP(B6280,'Poids des runes'!A:B,2,FALSE)))+1)/VLOOKUP(B6280,'Poids des runes'!A:B,2,FALSE))</f>
        <v>14.12</v>
      </c>
      <c r="F6280">
        <f t="shared" si="98"/>
        <v>14.12</v>
      </c>
    </row>
    <row r="6281" spans="1:6" x14ac:dyDescent="0.3">
      <c r="A6281" t="s">
        <v>1211</v>
      </c>
      <c r="B6281" t="s">
        <v>2161</v>
      </c>
      <c r="C6281">
        <v>13</v>
      </c>
      <c r="D6281">
        <v>174</v>
      </c>
      <c r="E6281">
        <f>IF(OR(B6281="vi",B6281="ii",B6281="pod"),(((D6281/100)*(C6281*VLOOKUP(B6281,'Poids des runes'!A:B,2,FALSE)))+1),(((D6281/100)*(C6281*VLOOKUP(B6281,'Poids des runes'!A:B,2,FALSE)))+1)/VLOOKUP(B6281,'Poids des runes'!A:B,2,FALSE))</f>
        <v>22.953333333333333</v>
      </c>
      <c r="F6281">
        <f t="shared" si="98"/>
        <v>22.953333333333333</v>
      </c>
    </row>
    <row r="6282" spans="1:6" x14ac:dyDescent="0.3">
      <c r="A6282" t="s">
        <v>1211</v>
      </c>
      <c r="B6282" t="s">
        <v>2138</v>
      </c>
      <c r="C6282">
        <v>5</v>
      </c>
      <c r="D6282">
        <v>174</v>
      </c>
      <c r="E6282">
        <f>IF(OR(B6282="vi",B6282="ii",B6282="pod"),(((D6282/100)*(C6282*VLOOKUP(B6282,'Poids des runes'!A:B,2,FALSE)))+1),(((D6282/100)*(C6282*VLOOKUP(B6282,'Poids des runes'!A:B,2,FALSE)))+1)/VLOOKUP(B6282,'Poids des runes'!A:B,2,FALSE))</f>
        <v>8.9499999999999993</v>
      </c>
      <c r="F6282">
        <f t="shared" si="98"/>
        <v>8.9499999999999993</v>
      </c>
    </row>
    <row r="6283" spans="1:6" x14ac:dyDescent="0.3">
      <c r="A6283" t="s">
        <v>1211</v>
      </c>
      <c r="B6283" t="s">
        <v>2162</v>
      </c>
      <c r="C6283">
        <v>4.5</v>
      </c>
      <c r="D6283">
        <v>174</v>
      </c>
      <c r="E6283">
        <f>IF(OR(B6283="vi",B6283="ii",B6283="pod"),(((D6283/100)*(C6283*VLOOKUP(B6283,'Poids des runes'!A:B,2,FALSE)))+1),(((D6283/100)*(C6283*VLOOKUP(B6283,'Poids des runes'!A:B,2,FALSE)))+1)/VLOOKUP(B6283,'Poids des runes'!A:B,2,FALSE))</f>
        <v>7.9728571428571433</v>
      </c>
      <c r="F6283">
        <f t="shared" si="98"/>
        <v>7.9728571428571433</v>
      </c>
    </row>
    <row r="6284" spans="1:6" x14ac:dyDescent="0.3">
      <c r="A6284" t="s">
        <v>1211</v>
      </c>
      <c r="B6284" t="s">
        <v>2164</v>
      </c>
      <c r="C6284">
        <v>25.5</v>
      </c>
      <c r="D6284">
        <v>174</v>
      </c>
      <c r="E6284">
        <f>IF(OR(B6284="vi",B6284="ii",B6284="pod"),(((D6284/100)*(C6284*VLOOKUP(B6284,'Poids des runes'!A:B,2,FALSE)))+1),(((D6284/100)*(C6284*VLOOKUP(B6284,'Poids des runes'!A:B,2,FALSE)))+1)/VLOOKUP(B6284,'Poids des runes'!A:B,2,FALSE))</f>
        <v>44.87</v>
      </c>
      <c r="F6284">
        <f t="shared" si="98"/>
        <v>44.87</v>
      </c>
    </row>
    <row r="6285" spans="1:6" x14ac:dyDescent="0.3">
      <c r="A6285" t="s">
        <v>1212</v>
      </c>
      <c r="B6285" t="s">
        <v>2128</v>
      </c>
      <c r="C6285">
        <v>225.5</v>
      </c>
      <c r="D6285">
        <v>175</v>
      </c>
      <c r="E6285">
        <f>IF(OR(B6285="vi",B6285="ii",B6285="pod"),(((D6285/100)*(C6285*VLOOKUP(B6285,'Poids des runes'!A:B,2,FALSE)))+1),(((D6285/100)*(C6285*VLOOKUP(B6285,'Poids des runes'!A:B,2,FALSE)))+1)/VLOOKUP(B6285,'Poids des runes'!A:B,2,FALSE))</f>
        <v>79.924999999999997</v>
      </c>
      <c r="F6285">
        <f t="shared" si="98"/>
        <v>79.924999999999997</v>
      </c>
    </row>
    <row r="6286" spans="1:6" x14ac:dyDescent="0.3">
      <c r="A6286" t="s">
        <v>1212</v>
      </c>
      <c r="B6286" t="s">
        <v>2131</v>
      </c>
      <c r="C6286">
        <v>50.5</v>
      </c>
      <c r="D6286">
        <v>175</v>
      </c>
      <c r="E6286">
        <f>IF(OR(B6286="vi",B6286="ii",B6286="pod"),(((D6286/100)*(C6286*VLOOKUP(B6286,'Poids des runes'!A:B,2,FALSE)))+1),(((D6286/100)*(C6286*VLOOKUP(B6286,'Poids des runes'!A:B,2,FALSE)))+1)/VLOOKUP(B6286,'Poids des runes'!A:B,2,FALSE))</f>
        <v>89.375</v>
      </c>
      <c r="F6286">
        <f t="shared" si="98"/>
        <v>89.375</v>
      </c>
    </row>
    <row r="6287" spans="1:6" x14ac:dyDescent="0.3">
      <c r="A6287" t="s">
        <v>1212</v>
      </c>
      <c r="B6287" t="s">
        <v>2127</v>
      </c>
      <c r="C6287">
        <v>50.5</v>
      </c>
      <c r="D6287">
        <v>175</v>
      </c>
      <c r="E6287">
        <f>IF(OR(B6287="vi",B6287="ii",B6287="pod"),(((D6287/100)*(C6287*VLOOKUP(B6287,'Poids des runes'!A:B,2,FALSE)))+1),(((D6287/100)*(C6287*VLOOKUP(B6287,'Poids des runes'!A:B,2,FALSE)))+1)/VLOOKUP(B6287,'Poids des runes'!A:B,2,FALSE))</f>
        <v>89.375</v>
      </c>
      <c r="F6287">
        <f t="shared" si="98"/>
        <v>89.375</v>
      </c>
    </row>
    <row r="6288" spans="1:6" x14ac:dyDescent="0.3">
      <c r="A6288" t="s">
        <v>1212</v>
      </c>
      <c r="B6288" t="s">
        <v>2129</v>
      </c>
      <c r="C6288">
        <v>35.5</v>
      </c>
      <c r="D6288">
        <v>175</v>
      </c>
      <c r="E6288">
        <f>IF(OR(B6288="vi",B6288="ii",B6288="pod"),(((D6288/100)*(C6288*VLOOKUP(B6288,'Poids des runes'!A:B,2,FALSE)))+1),(((D6288/100)*(C6288*VLOOKUP(B6288,'Poids des runes'!A:B,2,FALSE)))+1)/VLOOKUP(B6288,'Poids des runes'!A:B,2,FALSE))</f>
        <v>63.125</v>
      </c>
      <c r="F6288">
        <f t="shared" si="98"/>
        <v>63.125</v>
      </c>
    </row>
    <row r="6289" spans="1:6" x14ac:dyDescent="0.3">
      <c r="A6289" t="s">
        <v>1212</v>
      </c>
      <c r="B6289" t="s">
        <v>2155</v>
      </c>
      <c r="C6289">
        <v>1.5</v>
      </c>
      <c r="D6289">
        <v>175</v>
      </c>
      <c r="E6289">
        <f>IF(OR(B6289="vi",B6289="ii",B6289="pod"),(((D6289/100)*(C6289*VLOOKUP(B6289,'Poids des runes'!A:B,2,FALSE)))+1),(((D6289/100)*(C6289*VLOOKUP(B6289,'Poids des runes'!A:B,2,FALSE)))+1)/VLOOKUP(B6289,'Poids des runes'!A:B,2,FALSE))</f>
        <v>2.6446078431372548</v>
      </c>
      <c r="F6289">
        <f t="shared" si="98"/>
        <v>2.6446078431372548</v>
      </c>
    </row>
    <row r="6290" spans="1:6" x14ac:dyDescent="0.3">
      <c r="A6290" t="s">
        <v>1212</v>
      </c>
      <c r="B6290" t="s">
        <v>2133</v>
      </c>
      <c r="C6290">
        <v>8.5</v>
      </c>
      <c r="D6290">
        <v>175</v>
      </c>
      <c r="E6290">
        <f>IF(OR(B6290="vi",B6290="ii",B6290="pod"),(((D6290/100)*(C6290*VLOOKUP(B6290,'Poids des runes'!A:B,2,FALSE)))+1),(((D6290/100)*(C6290*VLOOKUP(B6290,'Poids des runes'!A:B,2,FALSE)))+1)/VLOOKUP(B6290,'Poids des runes'!A:B,2,FALSE))</f>
        <v>15.074999999999999</v>
      </c>
      <c r="F6290">
        <f t="shared" si="98"/>
        <v>15.074999999999999</v>
      </c>
    </row>
    <row r="6291" spans="1:6" x14ac:dyDescent="0.3">
      <c r="A6291" t="s">
        <v>1212</v>
      </c>
      <c r="B6291" t="s">
        <v>2153</v>
      </c>
      <c r="C6291">
        <v>8.5</v>
      </c>
      <c r="D6291">
        <v>175</v>
      </c>
      <c r="E6291">
        <f>IF(OR(B6291="vi",B6291="ii",B6291="pod"),(((D6291/100)*(C6291*VLOOKUP(B6291,'Poids des runes'!A:B,2,FALSE)))+1),(((D6291/100)*(C6291*VLOOKUP(B6291,'Poids des runes'!A:B,2,FALSE)))+1)/VLOOKUP(B6291,'Poids des runes'!A:B,2,FALSE))</f>
        <v>15.074999999999999</v>
      </c>
      <c r="F6291">
        <f t="shared" si="98"/>
        <v>15.074999999999999</v>
      </c>
    </row>
    <row r="6292" spans="1:6" x14ac:dyDescent="0.3">
      <c r="A6292" t="s">
        <v>1212</v>
      </c>
      <c r="B6292" t="s">
        <v>2161</v>
      </c>
      <c r="C6292">
        <v>20.5</v>
      </c>
      <c r="D6292">
        <v>175</v>
      </c>
      <c r="E6292">
        <f>IF(OR(B6292="vi",B6292="ii",B6292="pod"),(((D6292/100)*(C6292*VLOOKUP(B6292,'Poids des runes'!A:B,2,FALSE)))+1),(((D6292/100)*(C6292*VLOOKUP(B6292,'Poids des runes'!A:B,2,FALSE)))+1)/VLOOKUP(B6292,'Poids des runes'!A:B,2,FALSE))</f>
        <v>36.208333333333336</v>
      </c>
      <c r="F6292">
        <f t="shared" si="98"/>
        <v>36.208333333333336</v>
      </c>
    </row>
    <row r="6293" spans="1:6" x14ac:dyDescent="0.3">
      <c r="A6293" t="s">
        <v>1212</v>
      </c>
      <c r="B6293" t="s">
        <v>2159</v>
      </c>
      <c r="C6293">
        <v>3.5</v>
      </c>
      <c r="D6293">
        <v>175</v>
      </c>
      <c r="E6293">
        <f>IF(OR(B6293="vi",B6293="ii",B6293="pod"),(((D6293/100)*(C6293*VLOOKUP(B6293,'Poids des runes'!A:B,2,FALSE)))+1),(((D6293/100)*(C6293*VLOOKUP(B6293,'Poids des runes'!A:B,2,FALSE)))+1)/VLOOKUP(B6293,'Poids des runes'!A:B,2,FALSE))</f>
        <v>6.2678571428571432</v>
      </c>
      <c r="F6293">
        <f t="shared" si="98"/>
        <v>6.2678571428571432</v>
      </c>
    </row>
    <row r="6294" spans="1:6" x14ac:dyDescent="0.3">
      <c r="A6294" t="s">
        <v>1212</v>
      </c>
      <c r="B6294" t="s">
        <v>2142</v>
      </c>
      <c r="C6294">
        <v>8.5</v>
      </c>
      <c r="D6294">
        <v>175</v>
      </c>
      <c r="E6294">
        <f>IF(OR(B6294="vi",B6294="ii",B6294="pod"),(((D6294/100)*(C6294*VLOOKUP(B6294,'Poids des runes'!A:B,2,FALSE)))+1),(((D6294/100)*(C6294*VLOOKUP(B6294,'Poids des runes'!A:B,2,FALSE)))+1)/VLOOKUP(B6294,'Poids des runes'!A:B,2,FALSE))</f>
        <v>15.074999999999999</v>
      </c>
      <c r="F6294">
        <f t="shared" si="98"/>
        <v>15.074999999999999</v>
      </c>
    </row>
    <row r="6295" spans="1:6" x14ac:dyDescent="0.3">
      <c r="A6295" t="s">
        <v>1212</v>
      </c>
      <c r="B6295" t="s">
        <v>2147</v>
      </c>
      <c r="C6295">
        <v>6</v>
      </c>
      <c r="D6295">
        <v>175</v>
      </c>
      <c r="E6295">
        <f>IF(OR(B6295="vi",B6295="ii",B6295="pod"),(((D6295/100)*(C6295*VLOOKUP(B6295,'Poids des runes'!A:B,2,FALSE)))+1),(((D6295/100)*(C6295*VLOOKUP(B6295,'Poids des runes'!A:B,2,FALSE)))+1)/VLOOKUP(B6295,'Poids des runes'!A:B,2,FALSE))</f>
        <v>10.666666666666666</v>
      </c>
      <c r="F6295">
        <f t="shared" si="98"/>
        <v>10.666666666666666</v>
      </c>
    </row>
    <row r="6296" spans="1:6" x14ac:dyDescent="0.3">
      <c r="A6296" t="s">
        <v>1213</v>
      </c>
      <c r="B6296" t="s">
        <v>2128</v>
      </c>
      <c r="C6296">
        <v>225.5</v>
      </c>
      <c r="D6296">
        <v>175</v>
      </c>
      <c r="E6296">
        <f>IF(OR(B6296="vi",B6296="ii",B6296="pod"),(((D6296/100)*(C6296*VLOOKUP(B6296,'Poids des runes'!A:B,2,FALSE)))+1),(((D6296/100)*(C6296*VLOOKUP(B6296,'Poids des runes'!A:B,2,FALSE)))+1)/VLOOKUP(B6296,'Poids des runes'!A:B,2,FALSE))</f>
        <v>79.924999999999997</v>
      </c>
      <c r="F6296">
        <f t="shared" si="98"/>
        <v>79.924999999999997</v>
      </c>
    </row>
    <row r="6297" spans="1:6" x14ac:dyDescent="0.3">
      <c r="A6297" t="s">
        <v>1213</v>
      </c>
      <c r="B6297" t="s">
        <v>2126</v>
      </c>
      <c r="C6297">
        <v>40.5</v>
      </c>
      <c r="D6297">
        <v>175</v>
      </c>
      <c r="E6297">
        <f>IF(OR(B6297="vi",B6297="ii",B6297="pod"),(((D6297/100)*(C6297*VLOOKUP(B6297,'Poids des runes'!A:B,2,FALSE)))+1),(((D6297/100)*(C6297*VLOOKUP(B6297,'Poids des runes'!A:B,2,FALSE)))+1)/VLOOKUP(B6297,'Poids des runes'!A:B,2,FALSE))</f>
        <v>71.875</v>
      </c>
      <c r="F6297">
        <f t="shared" si="98"/>
        <v>71.875</v>
      </c>
    </row>
    <row r="6298" spans="1:6" x14ac:dyDescent="0.3">
      <c r="A6298" t="s">
        <v>1213</v>
      </c>
      <c r="B6298" t="s">
        <v>2127</v>
      </c>
      <c r="C6298">
        <v>40.5</v>
      </c>
      <c r="D6298">
        <v>175</v>
      </c>
      <c r="E6298">
        <f>IF(OR(B6298="vi",B6298="ii",B6298="pod"),(((D6298/100)*(C6298*VLOOKUP(B6298,'Poids des runes'!A:B,2,FALSE)))+1),(((D6298/100)*(C6298*VLOOKUP(B6298,'Poids des runes'!A:B,2,FALSE)))+1)/VLOOKUP(B6298,'Poids des runes'!A:B,2,FALSE))</f>
        <v>71.875</v>
      </c>
      <c r="F6298">
        <f t="shared" si="98"/>
        <v>71.875</v>
      </c>
    </row>
    <row r="6299" spans="1:6" x14ac:dyDescent="0.3">
      <c r="A6299" t="s">
        <v>1213</v>
      </c>
      <c r="B6299" t="s">
        <v>2129</v>
      </c>
      <c r="C6299">
        <v>35.5</v>
      </c>
      <c r="D6299">
        <v>175</v>
      </c>
      <c r="E6299">
        <f>IF(OR(B6299="vi",B6299="ii",B6299="pod"),(((D6299/100)*(C6299*VLOOKUP(B6299,'Poids des runes'!A:B,2,FALSE)))+1),(((D6299/100)*(C6299*VLOOKUP(B6299,'Poids des runes'!A:B,2,FALSE)))+1)/VLOOKUP(B6299,'Poids des runes'!A:B,2,FALSE))</f>
        <v>63.125</v>
      </c>
      <c r="F6299">
        <f t="shared" si="98"/>
        <v>63.125</v>
      </c>
    </row>
    <row r="6300" spans="1:6" x14ac:dyDescent="0.3">
      <c r="A6300" t="s">
        <v>1213</v>
      </c>
      <c r="B6300" t="s">
        <v>2139</v>
      </c>
      <c r="C6300">
        <v>20.5</v>
      </c>
      <c r="D6300">
        <v>175</v>
      </c>
      <c r="E6300">
        <f>IF(OR(B6300="vi",B6300="ii",B6300="pod"),(((D6300/100)*(C6300*VLOOKUP(B6300,'Poids des runes'!A:B,2,FALSE)))+1),(((D6300/100)*(C6300*VLOOKUP(B6300,'Poids des runes'!A:B,2,FALSE)))+1)/VLOOKUP(B6300,'Poids des runes'!A:B,2,FALSE))</f>
        <v>36.375</v>
      </c>
      <c r="F6300">
        <f t="shared" si="98"/>
        <v>36.375</v>
      </c>
    </row>
    <row r="6301" spans="1:6" x14ac:dyDescent="0.3">
      <c r="A6301" t="s">
        <v>1213</v>
      </c>
      <c r="B6301" t="s">
        <v>2155</v>
      </c>
      <c r="C6301">
        <v>1</v>
      </c>
      <c r="D6301">
        <v>175</v>
      </c>
      <c r="E6301">
        <f>IF(OR(B6301="vi",B6301="ii",B6301="pod"),(((D6301/100)*(C6301*VLOOKUP(B6301,'Poids des runes'!A:B,2,FALSE)))+1),(((D6301/100)*(C6301*VLOOKUP(B6301,'Poids des runes'!A:B,2,FALSE)))+1)/VLOOKUP(B6301,'Poids des runes'!A:B,2,FALSE))</f>
        <v>1.7696078431372548</v>
      </c>
      <c r="F6301">
        <f t="shared" si="98"/>
        <v>1.7696078431372548</v>
      </c>
    </row>
    <row r="6302" spans="1:6" x14ac:dyDescent="0.3">
      <c r="A6302" t="s">
        <v>1213</v>
      </c>
      <c r="B6302" t="s">
        <v>2140</v>
      </c>
      <c r="C6302">
        <v>8.5</v>
      </c>
      <c r="D6302">
        <v>175</v>
      </c>
      <c r="E6302">
        <f>IF(OR(B6302="vi",B6302="ii",B6302="pod"),(((D6302/100)*(C6302*VLOOKUP(B6302,'Poids des runes'!A:B,2,FALSE)))+1),(((D6302/100)*(C6302*VLOOKUP(B6302,'Poids des runes'!A:B,2,FALSE)))+1)/VLOOKUP(B6302,'Poids des runes'!A:B,2,FALSE))</f>
        <v>15.074999999999999</v>
      </c>
      <c r="F6302">
        <f t="shared" si="98"/>
        <v>15.074999999999999</v>
      </c>
    </row>
    <row r="6303" spans="1:6" x14ac:dyDescent="0.3">
      <c r="A6303" t="s">
        <v>1213</v>
      </c>
      <c r="B6303" t="s">
        <v>2153</v>
      </c>
      <c r="C6303">
        <v>8.5</v>
      </c>
      <c r="D6303">
        <v>175</v>
      </c>
      <c r="E6303">
        <f>IF(OR(B6303="vi",B6303="ii",B6303="pod"),(((D6303/100)*(C6303*VLOOKUP(B6303,'Poids des runes'!A:B,2,FALSE)))+1),(((D6303/100)*(C6303*VLOOKUP(B6303,'Poids des runes'!A:B,2,FALSE)))+1)/VLOOKUP(B6303,'Poids des runes'!A:B,2,FALSE))</f>
        <v>15.074999999999999</v>
      </c>
      <c r="F6303">
        <f t="shared" si="98"/>
        <v>15.074999999999999</v>
      </c>
    </row>
    <row r="6304" spans="1:6" x14ac:dyDescent="0.3">
      <c r="A6304" t="s">
        <v>1213</v>
      </c>
      <c r="B6304" t="s">
        <v>2161</v>
      </c>
      <c r="C6304">
        <v>15.5</v>
      </c>
      <c r="D6304">
        <v>175</v>
      </c>
      <c r="E6304">
        <f>IF(OR(B6304="vi",B6304="ii",B6304="pod"),(((D6304/100)*(C6304*VLOOKUP(B6304,'Poids des runes'!A:B,2,FALSE)))+1),(((D6304/100)*(C6304*VLOOKUP(B6304,'Poids des runes'!A:B,2,FALSE)))+1)/VLOOKUP(B6304,'Poids des runes'!A:B,2,FALSE))</f>
        <v>27.458333333333332</v>
      </c>
      <c r="F6304">
        <f t="shared" si="98"/>
        <v>27.458333333333332</v>
      </c>
    </row>
    <row r="6305" spans="1:6" x14ac:dyDescent="0.3">
      <c r="A6305" t="s">
        <v>1213</v>
      </c>
      <c r="B6305" t="s">
        <v>2132</v>
      </c>
      <c r="C6305">
        <v>250.5</v>
      </c>
      <c r="D6305">
        <v>175</v>
      </c>
      <c r="E6305">
        <f>IF(OR(B6305="vi",B6305="ii",B6305="pod"),(((D6305/100)*(C6305*VLOOKUP(B6305,'Poids des runes'!A:B,2,FALSE)))+1),(((D6305/100)*(C6305*VLOOKUP(B6305,'Poids des runes'!A:B,2,FALSE)))+1)/VLOOKUP(B6305,'Poids des runes'!A:B,2,FALSE))</f>
        <v>44.837499999999999</v>
      </c>
      <c r="F6305">
        <f t="shared" si="98"/>
        <v>44.837499999999999</v>
      </c>
    </row>
    <row r="6306" spans="1:6" x14ac:dyDescent="0.3">
      <c r="A6306" t="s">
        <v>1213</v>
      </c>
      <c r="B6306" t="s">
        <v>2141</v>
      </c>
      <c r="C6306">
        <v>4.5</v>
      </c>
      <c r="D6306">
        <v>175</v>
      </c>
      <c r="E6306">
        <f>IF(OR(B6306="vi",B6306="ii",B6306="pod"),(((D6306/100)*(C6306*VLOOKUP(B6306,'Poids des runes'!A:B,2,FALSE)))+1),(((D6306/100)*(C6306*VLOOKUP(B6306,'Poids des runes'!A:B,2,FALSE)))+1)/VLOOKUP(B6306,'Poids des runes'!A:B,2,FALSE))</f>
        <v>8.125</v>
      </c>
      <c r="F6306">
        <f t="shared" si="98"/>
        <v>8.125</v>
      </c>
    </row>
    <row r="6307" spans="1:6" x14ac:dyDescent="0.3">
      <c r="A6307" t="s">
        <v>1213</v>
      </c>
      <c r="B6307" t="s">
        <v>2162</v>
      </c>
      <c r="C6307">
        <v>4.5</v>
      </c>
      <c r="D6307">
        <v>175</v>
      </c>
      <c r="E6307">
        <f>IF(OR(B6307="vi",B6307="ii",B6307="pod"),(((D6307/100)*(C6307*VLOOKUP(B6307,'Poids des runes'!A:B,2,FALSE)))+1),(((D6307/100)*(C6307*VLOOKUP(B6307,'Poids des runes'!A:B,2,FALSE)))+1)/VLOOKUP(B6307,'Poids des runes'!A:B,2,FALSE))</f>
        <v>8.0178571428571423</v>
      </c>
      <c r="F6307">
        <f t="shared" si="98"/>
        <v>8.0178571428571423</v>
      </c>
    </row>
    <row r="6308" spans="1:6" x14ac:dyDescent="0.3">
      <c r="A6308" t="s">
        <v>1213</v>
      </c>
      <c r="B6308" t="s">
        <v>2137</v>
      </c>
      <c r="C6308">
        <v>8.5</v>
      </c>
      <c r="D6308">
        <v>175</v>
      </c>
      <c r="E6308">
        <f>IF(OR(B6308="vi",B6308="ii",B6308="pod"),(((D6308/100)*(C6308*VLOOKUP(B6308,'Poids des runes'!A:B,2,FALSE)))+1),(((D6308/100)*(C6308*VLOOKUP(B6308,'Poids des runes'!A:B,2,FALSE)))+1)/VLOOKUP(B6308,'Poids des runes'!A:B,2,FALSE))</f>
        <v>15.375</v>
      </c>
      <c r="F6308">
        <f t="shared" si="98"/>
        <v>15.375</v>
      </c>
    </row>
    <row r="6309" spans="1:6" x14ac:dyDescent="0.3">
      <c r="A6309" t="s">
        <v>1213</v>
      </c>
      <c r="B6309" t="s">
        <v>2145</v>
      </c>
      <c r="C6309">
        <v>8.5</v>
      </c>
      <c r="D6309">
        <v>175</v>
      </c>
      <c r="E6309">
        <f>IF(OR(B6309="vi",B6309="ii",B6309="pod"),(((D6309/100)*(C6309*VLOOKUP(B6309,'Poids des runes'!A:B,2,FALSE)))+1),(((D6309/100)*(C6309*VLOOKUP(B6309,'Poids des runes'!A:B,2,FALSE)))+1)/VLOOKUP(B6309,'Poids des runes'!A:B,2,FALSE))</f>
        <v>15.375</v>
      </c>
      <c r="F6309">
        <f t="shared" si="98"/>
        <v>15.375</v>
      </c>
    </row>
    <row r="6310" spans="1:6" x14ac:dyDescent="0.3">
      <c r="A6310" t="s">
        <v>1214</v>
      </c>
      <c r="B6310" t="s">
        <v>2128</v>
      </c>
      <c r="C6310">
        <v>225.5</v>
      </c>
      <c r="D6310">
        <v>175</v>
      </c>
      <c r="E6310">
        <f>IF(OR(B6310="vi",B6310="ii",B6310="pod"),(((D6310/100)*(C6310*VLOOKUP(B6310,'Poids des runes'!A:B,2,FALSE)))+1),(((D6310/100)*(C6310*VLOOKUP(B6310,'Poids des runes'!A:B,2,FALSE)))+1)/VLOOKUP(B6310,'Poids des runes'!A:B,2,FALSE))</f>
        <v>79.924999999999997</v>
      </c>
      <c r="F6310">
        <f t="shared" si="98"/>
        <v>79.924999999999997</v>
      </c>
    </row>
    <row r="6311" spans="1:6" x14ac:dyDescent="0.3">
      <c r="A6311" t="s">
        <v>1214</v>
      </c>
      <c r="B6311" t="s">
        <v>2131</v>
      </c>
      <c r="C6311">
        <v>40.5</v>
      </c>
      <c r="D6311">
        <v>175</v>
      </c>
      <c r="E6311">
        <f>IF(OR(B6311="vi",B6311="ii",B6311="pod"),(((D6311/100)*(C6311*VLOOKUP(B6311,'Poids des runes'!A:B,2,FALSE)))+1),(((D6311/100)*(C6311*VLOOKUP(B6311,'Poids des runes'!A:B,2,FALSE)))+1)/VLOOKUP(B6311,'Poids des runes'!A:B,2,FALSE))</f>
        <v>71.875</v>
      </c>
      <c r="F6311">
        <f t="shared" si="98"/>
        <v>71.875</v>
      </c>
    </row>
    <row r="6312" spans="1:6" x14ac:dyDescent="0.3">
      <c r="A6312" t="s">
        <v>1214</v>
      </c>
      <c r="B6312" t="s">
        <v>2129</v>
      </c>
      <c r="C6312">
        <v>35.5</v>
      </c>
      <c r="D6312">
        <v>175</v>
      </c>
      <c r="E6312">
        <f>IF(OR(B6312="vi",B6312="ii",B6312="pod"),(((D6312/100)*(C6312*VLOOKUP(B6312,'Poids des runes'!A:B,2,FALSE)))+1),(((D6312/100)*(C6312*VLOOKUP(B6312,'Poids des runes'!A:B,2,FALSE)))+1)/VLOOKUP(B6312,'Poids des runes'!A:B,2,FALSE))</f>
        <v>63.125</v>
      </c>
      <c r="F6312">
        <f t="shared" si="98"/>
        <v>63.125</v>
      </c>
    </row>
    <row r="6313" spans="1:6" x14ac:dyDescent="0.3">
      <c r="A6313" t="s">
        <v>1214</v>
      </c>
      <c r="B6313" t="s">
        <v>2139</v>
      </c>
      <c r="C6313">
        <v>8</v>
      </c>
      <c r="D6313">
        <v>175</v>
      </c>
      <c r="E6313">
        <f>IF(OR(B6313="vi",B6313="ii",B6313="pod"),(((D6313/100)*(C6313*VLOOKUP(B6313,'Poids des runes'!A:B,2,FALSE)))+1),(((D6313/100)*(C6313*VLOOKUP(B6313,'Poids des runes'!A:B,2,FALSE)))+1)/VLOOKUP(B6313,'Poids des runes'!A:B,2,FALSE))</f>
        <v>14.5</v>
      </c>
      <c r="F6313">
        <f t="shared" si="98"/>
        <v>14.5</v>
      </c>
    </row>
    <row r="6314" spans="1:6" x14ac:dyDescent="0.3">
      <c r="A6314" t="s">
        <v>1214</v>
      </c>
      <c r="B6314" t="s">
        <v>2154</v>
      </c>
      <c r="C6314">
        <v>1</v>
      </c>
      <c r="D6314">
        <v>175</v>
      </c>
      <c r="E6314">
        <f>IF(OR(B6314="vi",B6314="ii",B6314="pod"),(((D6314/100)*(C6314*VLOOKUP(B6314,'Poids des runes'!A:B,2,FALSE)))+1),(((D6314/100)*(C6314*VLOOKUP(B6314,'Poids des runes'!A:B,2,FALSE)))+1)/VLOOKUP(B6314,'Poids des runes'!A:B,2,FALSE))</f>
        <v>1.7611111111111111</v>
      </c>
      <c r="F6314">
        <f t="shared" si="98"/>
        <v>1.7611111111111111</v>
      </c>
    </row>
    <row r="6315" spans="1:6" x14ac:dyDescent="0.3">
      <c r="A6315" t="s">
        <v>1214</v>
      </c>
      <c r="B6315" t="s">
        <v>2155</v>
      </c>
      <c r="C6315">
        <v>1</v>
      </c>
      <c r="D6315">
        <v>175</v>
      </c>
      <c r="E6315">
        <f>IF(OR(B6315="vi",B6315="ii",B6315="pod"),(((D6315/100)*(C6315*VLOOKUP(B6315,'Poids des runes'!A:B,2,FALSE)))+1),(((D6315/100)*(C6315*VLOOKUP(B6315,'Poids des runes'!A:B,2,FALSE)))+1)/VLOOKUP(B6315,'Poids des runes'!A:B,2,FALSE))</f>
        <v>1.7696078431372548</v>
      </c>
      <c r="F6315">
        <f t="shared" si="98"/>
        <v>1.7696078431372548</v>
      </c>
    </row>
    <row r="6316" spans="1:6" x14ac:dyDescent="0.3">
      <c r="A6316" t="s">
        <v>1214</v>
      </c>
      <c r="B6316" t="s">
        <v>2134</v>
      </c>
      <c r="C6316">
        <v>6</v>
      </c>
      <c r="D6316">
        <v>175</v>
      </c>
      <c r="E6316">
        <f>IF(OR(B6316="vi",B6316="ii",B6316="pod"),(((D6316/100)*(C6316*VLOOKUP(B6316,'Poids des runes'!A:B,2,FALSE)))+1),(((D6316/100)*(C6316*VLOOKUP(B6316,'Poids des runes'!A:B,2,FALSE)))+1)/VLOOKUP(B6316,'Poids des runes'!A:B,2,FALSE))</f>
        <v>10.55</v>
      </c>
      <c r="F6316">
        <f t="shared" si="98"/>
        <v>10.55</v>
      </c>
    </row>
    <row r="6317" spans="1:6" x14ac:dyDescent="0.3">
      <c r="A6317" t="s">
        <v>1214</v>
      </c>
      <c r="B6317" t="s">
        <v>2161</v>
      </c>
      <c r="C6317">
        <v>25.5</v>
      </c>
      <c r="D6317">
        <v>175</v>
      </c>
      <c r="E6317">
        <f>IF(OR(B6317="vi",B6317="ii",B6317="pod"),(((D6317/100)*(C6317*VLOOKUP(B6317,'Poids des runes'!A:B,2,FALSE)))+1),(((D6317/100)*(C6317*VLOOKUP(B6317,'Poids des runes'!A:B,2,FALSE)))+1)/VLOOKUP(B6317,'Poids des runes'!A:B,2,FALSE))</f>
        <v>44.958333333333336</v>
      </c>
      <c r="F6317">
        <f t="shared" si="98"/>
        <v>44.958333333333336</v>
      </c>
    </row>
    <row r="6318" spans="1:6" x14ac:dyDescent="0.3">
      <c r="A6318" t="s">
        <v>1214</v>
      </c>
      <c r="B6318" t="s">
        <v>2132</v>
      </c>
      <c r="C6318">
        <v>550.5</v>
      </c>
      <c r="D6318">
        <v>175</v>
      </c>
      <c r="E6318">
        <f>IF(OR(B6318="vi",B6318="ii",B6318="pod"),(((D6318/100)*(C6318*VLOOKUP(B6318,'Poids des runes'!A:B,2,FALSE)))+1),(((D6318/100)*(C6318*VLOOKUP(B6318,'Poids des runes'!A:B,2,FALSE)))+1)/VLOOKUP(B6318,'Poids des runes'!A:B,2,FALSE))</f>
        <v>97.337500000000006</v>
      </c>
      <c r="F6318">
        <f t="shared" si="98"/>
        <v>97.337500000000006</v>
      </c>
    </row>
    <row r="6319" spans="1:6" x14ac:dyDescent="0.3">
      <c r="A6319" t="s">
        <v>1214</v>
      </c>
      <c r="B6319" t="s">
        <v>2156</v>
      </c>
      <c r="C6319">
        <v>8</v>
      </c>
      <c r="D6319">
        <v>175</v>
      </c>
      <c r="E6319">
        <f>IF(OR(B6319="vi",B6319="ii",B6319="pod"),(((D6319/100)*(C6319*VLOOKUP(B6319,'Poids des runes'!A:B,2,FALSE)))+1),(((D6319/100)*(C6319*VLOOKUP(B6319,'Poids des runes'!A:B,2,FALSE)))+1)/VLOOKUP(B6319,'Poids des runes'!A:B,2,FALSE))</f>
        <v>14.166666666666666</v>
      </c>
      <c r="F6319">
        <f t="shared" si="98"/>
        <v>14.166666666666666</v>
      </c>
    </row>
    <row r="6320" spans="1:6" x14ac:dyDescent="0.3">
      <c r="A6320" t="s">
        <v>1215</v>
      </c>
      <c r="B6320" t="s">
        <v>2130</v>
      </c>
      <c r="C6320">
        <v>50.5</v>
      </c>
      <c r="D6320">
        <v>175</v>
      </c>
      <c r="E6320">
        <f>IF(OR(B6320="vi",B6320="ii",B6320="pod"),(((D6320/100)*(C6320*VLOOKUP(B6320,'Poids des runes'!A:B,2,FALSE)))+1),(((D6320/100)*(C6320*VLOOKUP(B6320,'Poids des runes'!A:B,2,FALSE)))+1)/VLOOKUP(B6320,'Poids des runes'!A:B,2,FALSE))</f>
        <v>89.375</v>
      </c>
      <c r="F6320">
        <f t="shared" si="98"/>
        <v>89.375</v>
      </c>
    </row>
    <row r="6321" spans="1:6" x14ac:dyDescent="0.3">
      <c r="A6321" t="s">
        <v>1215</v>
      </c>
      <c r="B6321" t="s">
        <v>2131</v>
      </c>
      <c r="C6321">
        <v>50.5</v>
      </c>
      <c r="D6321">
        <v>175</v>
      </c>
      <c r="E6321">
        <f>IF(OR(B6321="vi",B6321="ii",B6321="pod"),(((D6321/100)*(C6321*VLOOKUP(B6321,'Poids des runes'!A:B,2,FALSE)))+1),(((D6321/100)*(C6321*VLOOKUP(B6321,'Poids des runes'!A:B,2,FALSE)))+1)/VLOOKUP(B6321,'Poids des runes'!A:B,2,FALSE))</f>
        <v>89.375</v>
      </c>
      <c r="F6321">
        <f t="shared" si="98"/>
        <v>89.375</v>
      </c>
    </row>
    <row r="6322" spans="1:6" x14ac:dyDescent="0.3">
      <c r="A6322" t="s">
        <v>1215</v>
      </c>
      <c r="B6322" t="s">
        <v>2129</v>
      </c>
      <c r="C6322">
        <v>25.5</v>
      </c>
      <c r="D6322">
        <v>175</v>
      </c>
      <c r="E6322">
        <f>IF(OR(B6322="vi",B6322="ii",B6322="pod"),(((D6322/100)*(C6322*VLOOKUP(B6322,'Poids des runes'!A:B,2,FALSE)))+1),(((D6322/100)*(C6322*VLOOKUP(B6322,'Poids des runes'!A:B,2,FALSE)))+1)/VLOOKUP(B6322,'Poids des runes'!A:B,2,FALSE))</f>
        <v>45.625</v>
      </c>
      <c r="F6322">
        <f t="shared" si="98"/>
        <v>45.625</v>
      </c>
    </row>
    <row r="6323" spans="1:6" x14ac:dyDescent="0.3">
      <c r="A6323" t="s">
        <v>1215</v>
      </c>
      <c r="B6323" t="s">
        <v>2151</v>
      </c>
      <c r="C6323">
        <v>4.5</v>
      </c>
      <c r="D6323">
        <v>175</v>
      </c>
      <c r="E6323">
        <f>IF(OR(B6323="vi",B6323="ii",B6323="pod"),(((D6323/100)*(C6323*VLOOKUP(B6323,'Poids des runes'!A:B,2,FALSE)))+1),(((D6323/100)*(C6323*VLOOKUP(B6323,'Poids des runes'!A:B,2,FALSE)))+1)/VLOOKUP(B6323,'Poids des runes'!A:B,2,FALSE))</f>
        <v>7.9749999999999996</v>
      </c>
      <c r="F6323">
        <f t="shared" si="98"/>
        <v>7.9749999999999996</v>
      </c>
    </row>
    <row r="6324" spans="1:6" x14ac:dyDescent="0.3">
      <c r="A6324" t="s">
        <v>1215</v>
      </c>
      <c r="B6324" t="s">
        <v>2150</v>
      </c>
      <c r="C6324">
        <v>1.5</v>
      </c>
      <c r="D6324">
        <v>175</v>
      </c>
      <c r="E6324">
        <f>IF(OR(B6324="vi",B6324="ii",B6324="pod"),(((D6324/100)*(C6324*VLOOKUP(B6324,'Poids des runes'!A:B,2,FALSE)))+1),(((D6324/100)*(C6324*VLOOKUP(B6324,'Poids des runes'!A:B,2,FALSE)))+1)/VLOOKUP(B6324,'Poids des runes'!A:B,2,FALSE))</f>
        <v>2.6583333333333332</v>
      </c>
      <c r="F6324">
        <f t="shared" si="98"/>
        <v>2.6583333333333332</v>
      </c>
    </row>
    <row r="6325" spans="1:6" x14ac:dyDescent="0.3">
      <c r="A6325" t="s">
        <v>1215</v>
      </c>
      <c r="B6325" t="s">
        <v>2143</v>
      </c>
      <c r="C6325">
        <v>13</v>
      </c>
      <c r="D6325">
        <v>175</v>
      </c>
      <c r="E6325">
        <f>IF(OR(B6325="vi",B6325="ii",B6325="pod"),(((D6325/100)*(C6325*VLOOKUP(B6325,'Poids des runes'!A:B,2,FALSE)))+1),(((D6325/100)*(C6325*VLOOKUP(B6325,'Poids des runes'!A:B,2,FALSE)))+1)/VLOOKUP(B6325,'Poids des runes'!A:B,2,FALSE))</f>
        <v>22.95</v>
      </c>
      <c r="F6325">
        <f t="shared" si="98"/>
        <v>22.95</v>
      </c>
    </row>
    <row r="6326" spans="1:6" x14ac:dyDescent="0.3">
      <c r="A6326" t="s">
        <v>1215</v>
      </c>
      <c r="B6326" t="s">
        <v>2133</v>
      </c>
      <c r="C6326">
        <v>13</v>
      </c>
      <c r="D6326">
        <v>175</v>
      </c>
      <c r="E6326">
        <f>IF(OR(B6326="vi",B6326="ii",B6326="pod"),(((D6326/100)*(C6326*VLOOKUP(B6326,'Poids des runes'!A:B,2,FALSE)))+1),(((D6326/100)*(C6326*VLOOKUP(B6326,'Poids des runes'!A:B,2,FALSE)))+1)/VLOOKUP(B6326,'Poids des runes'!A:B,2,FALSE))</f>
        <v>22.95</v>
      </c>
      <c r="F6326">
        <f t="shared" si="98"/>
        <v>22.95</v>
      </c>
    </row>
    <row r="6327" spans="1:6" x14ac:dyDescent="0.3">
      <c r="A6327" t="s">
        <v>1215</v>
      </c>
      <c r="B6327" t="s">
        <v>2161</v>
      </c>
      <c r="C6327">
        <v>8.5</v>
      </c>
      <c r="D6327">
        <v>175</v>
      </c>
      <c r="E6327">
        <f>IF(OR(B6327="vi",B6327="ii",B6327="pod"),(((D6327/100)*(C6327*VLOOKUP(B6327,'Poids des runes'!A:B,2,FALSE)))+1),(((D6327/100)*(C6327*VLOOKUP(B6327,'Poids des runes'!A:B,2,FALSE)))+1)/VLOOKUP(B6327,'Poids des runes'!A:B,2,FALSE))</f>
        <v>15.208333333333334</v>
      </c>
      <c r="F6327">
        <f t="shared" si="98"/>
        <v>15.208333333333334</v>
      </c>
    </row>
    <row r="6328" spans="1:6" x14ac:dyDescent="0.3">
      <c r="A6328" t="s">
        <v>1215</v>
      </c>
      <c r="B6328" t="s">
        <v>2132</v>
      </c>
      <c r="C6328">
        <v>350.5</v>
      </c>
      <c r="D6328">
        <v>175</v>
      </c>
      <c r="E6328">
        <f>IF(OR(B6328="vi",B6328="ii",B6328="pod"),(((D6328/100)*(C6328*VLOOKUP(B6328,'Poids des runes'!A:B,2,FALSE)))+1),(((D6328/100)*(C6328*VLOOKUP(B6328,'Poids des runes'!A:B,2,FALSE)))+1)/VLOOKUP(B6328,'Poids des runes'!A:B,2,FALSE))</f>
        <v>62.337500000000006</v>
      </c>
      <c r="F6328">
        <f t="shared" si="98"/>
        <v>62.337500000000006</v>
      </c>
    </row>
    <row r="6329" spans="1:6" x14ac:dyDescent="0.3">
      <c r="A6329" t="s">
        <v>1215</v>
      </c>
      <c r="B6329" t="s">
        <v>2159</v>
      </c>
      <c r="C6329">
        <v>8.5</v>
      </c>
      <c r="D6329">
        <v>175</v>
      </c>
      <c r="E6329">
        <f>IF(OR(B6329="vi",B6329="ii",B6329="pod"),(((D6329/100)*(C6329*VLOOKUP(B6329,'Poids des runes'!A:B,2,FALSE)))+1),(((D6329/100)*(C6329*VLOOKUP(B6329,'Poids des runes'!A:B,2,FALSE)))+1)/VLOOKUP(B6329,'Poids des runes'!A:B,2,FALSE))</f>
        <v>15.017857142857142</v>
      </c>
      <c r="F6329">
        <f t="shared" si="98"/>
        <v>15.017857142857142</v>
      </c>
    </row>
    <row r="6330" spans="1:6" x14ac:dyDescent="0.3">
      <c r="A6330" t="s">
        <v>1215</v>
      </c>
      <c r="B6330" t="s">
        <v>2142</v>
      </c>
      <c r="C6330">
        <v>13</v>
      </c>
      <c r="D6330">
        <v>175</v>
      </c>
      <c r="E6330">
        <f>IF(OR(B6330="vi",B6330="ii",B6330="pod"),(((D6330/100)*(C6330*VLOOKUP(B6330,'Poids des runes'!A:B,2,FALSE)))+1),(((D6330/100)*(C6330*VLOOKUP(B6330,'Poids des runes'!A:B,2,FALSE)))+1)/VLOOKUP(B6330,'Poids des runes'!A:B,2,FALSE))</f>
        <v>22.95</v>
      </c>
      <c r="F6330">
        <f t="shared" si="98"/>
        <v>22.95</v>
      </c>
    </row>
    <row r="6331" spans="1:6" x14ac:dyDescent="0.3">
      <c r="A6331" t="s">
        <v>1216</v>
      </c>
      <c r="B6331" t="s">
        <v>2128</v>
      </c>
      <c r="C6331">
        <v>325.5</v>
      </c>
      <c r="D6331">
        <v>175</v>
      </c>
      <c r="E6331">
        <f>IF(OR(B6331="vi",B6331="ii",B6331="pod"),(((D6331/100)*(C6331*VLOOKUP(B6331,'Poids des runes'!A:B,2,FALSE)))+1),(((D6331/100)*(C6331*VLOOKUP(B6331,'Poids des runes'!A:B,2,FALSE)))+1)/VLOOKUP(B6331,'Poids des runes'!A:B,2,FALSE))</f>
        <v>114.92500000000001</v>
      </c>
      <c r="F6331">
        <f t="shared" si="98"/>
        <v>114.92500000000001</v>
      </c>
    </row>
    <row r="6332" spans="1:6" x14ac:dyDescent="0.3">
      <c r="A6332" t="s">
        <v>1216</v>
      </c>
      <c r="B6332" t="s">
        <v>2127</v>
      </c>
      <c r="C6332">
        <v>40.5</v>
      </c>
      <c r="D6332">
        <v>175</v>
      </c>
      <c r="E6332">
        <f>IF(OR(B6332="vi",B6332="ii",B6332="pod"),(((D6332/100)*(C6332*VLOOKUP(B6332,'Poids des runes'!A:B,2,FALSE)))+1),(((D6332/100)*(C6332*VLOOKUP(B6332,'Poids des runes'!A:B,2,FALSE)))+1)/VLOOKUP(B6332,'Poids des runes'!A:B,2,FALSE))</f>
        <v>71.875</v>
      </c>
      <c r="F6332">
        <f t="shared" si="98"/>
        <v>71.875</v>
      </c>
    </row>
    <row r="6333" spans="1:6" x14ac:dyDescent="0.3">
      <c r="A6333" t="s">
        <v>1216</v>
      </c>
      <c r="B6333" t="s">
        <v>2129</v>
      </c>
      <c r="C6333">
        <v>30.5</v>
      </c>
      <c r="D6333">
        <v>175</v>
      </c>
      <c r="E6333">
        <f>IF(OR(B6333="vi",B6333="ii",B6333="pod"),(((D6333/100)*(C6333*VLOOKUP(B6333,'Poids des runes'!A:B,2,FALSE)))+1),(((D6333/100)*(C6333*VLOOKUP(B6333,'Poids des runes'!A:B,2,FALSE)))+1)/VLOOKUP(B6333,'Poids des runes'!A:B,2,FALSE))</f>
        <v>54.375</v>
      </c>
      <c r="F6333">
        <f t="shared" si="98"/>
        <v>54.375</v>
      </c>
    </row>
    <row r="6334" spans="1:6" x14ac:dyDescent="0.3">
      <c r="A6334" t="s">
        <v>1216</v>
      </c>
      <c r="B6334" t="s">
        <v>2151</v>
      </c>
      <c r="C6334">
        <v>2.5</v>
      </c>
      <c r="D6334">
        <v>175</v>
      </c>
      <c r="E6334">
        <f>IF(OR(B6334="vi",B6334="ii",B6334="pod"),(((D6334/100)*(C6334*VLOOKUP(B6334,'Poids des runes'!A:B,2,FALSE)))+1),(((D6334/100)*(C6334*VLOOKUP(B6334,'Poids des runes'!A:B,2,FALSE)))+1)/VLOOKUP(B6334,'Poids des runes'!A:B,2,FALSE))</f>
        <v>4.4749999999999996</v>
      </c>
      <c r="F6334">
        <f t="shared" si="98"/>
        <v>4.4749999999999996</v>
      </c>
    </row>
    <row r="6335" spans="1:6" x14ac:dyDescent="0.3">
      <c r="A6335" t="s">
        <v>1216</v>
      </c>
      <c r="B6335" t="s">
        <v>2153</v>
      </c>
      <c r="C6335">
        <v>6</v>
      </c>
      <c r="D6335">
        <v>175</v>
      </c>
      <c r="E6335">
        <f>IF(OR(B6335="vi",B6335="ii",B6335="pod"),(((D6335/100)*(C6335*VLOOKUP(B6335,'Poids des runes'!A:B,2,FALSE)))+1),(((D6335/100)*(C6335*VLOOKUP(B6335,'Poids des runes'!A:B,2,FALSE)))+1)/VLOOKUP(B6335,'Poids des runes'!A:B,2,FALSE))</f>
        <v>10.7</v>
      </c>
      <c r="F6335">
        <f t="shared" si="98"/>
        <v>10.7</v>
      </c>
    </row>
    <row r="6336" spans="1:6" x14ac:dyDescent="0.3">
      <c r="A6336" t="s">
        <v>1216</v>
      </c>
      <c r="B6336" t="s">
        <v>2161</v>
      </c>
      <c r="C6336">
        <v>13</v>
      </c>
      <c r="D6336">
        <v>175</v>
      </c>
      <c r="E6336">
        <f>IF(OR(B6336="vi",B6336="ii",B6336="pod"),(((D6336/100)*(C6336*VLOOKUP(B6336,'Poids des runes'!A:B,2,FALSE)))+1),(((D6336/100)*(C6336*VLOOKUP(B6336,'Poids des runes'!A:B,2,FALSE)))+1)/VLOOKUP(B6336,'Poids des runes'!A:B,2,FALSE))</f>
        <v>23.083333333333332</v>
      </c>
      <c r="F6336">
        <f t="shared" si="98"/>
        <v>23.083333333333332</v>
      </c>
    </row>
    <row r="6337" spans="1:6" x14ac:dyDescent="0.3">
      <c r="A6337" t="s">
        <v>1216</v>
      </c>
      <c r="B6337" t="s">
        <v>2141</v>
      </c>
      <c r="C6337">
        <v>3.5</v>
      </c>
      <c r="D6337">
        <v>175</v>
      </c>
      <c r="E6337">
        <f>IF(OR(B6337="vi",B6337="ii",B6337="pod"),(((D6337/100)*(C6337*VLOOKUP(B6337,'Poids des runes'!A:B,2,FALSE)))+1),(((D6337/100)*(C6337*VLOOKUP(B6337,'Poids des runes'!A:B,2,FALSE)))+1)/VLOOKUP(B6337,'Poids des runes'!A:B,2,FALSE))</f>
        <v>6.375</v>
      </c>
      <c r="F6337">
        <f t="shared" si="98"/>
        <v>6.375</v>
      </c>
    </row>
    <row r="6338" spans="1:6" x14ac:dyDescent="0.3">
      <c r="A6338" t="s">
        <v>1216</v>
      </c>
      <c r="B6338" t="s">
        <v>2159</v>
      </c>
      <c r="C6338">
        <v>5</v>
      </c>
      <c r="D6338">
        <v>175</v>
      </c>
      <c r="E6338">
        <f>IF(OR(B6338="vi",B6338="ii",B6338="pod"),(((D6338/100)*(C6338*VLOOKUP(B6338,'Poids des runes'!A:B,2,FALSE)))+1),(((D6338/100)*(C6338*VLOOKUP(B6338,'Poids des runes'!A:B,2,FALSE)))+1)/VLOOKUP(B6338,'Poids des runes'!A:B,2,FALSE))</f>
        <v>8.8928571428571423</v>
      </c>
      <c r="F6338">
        <f t="shared" si="98"/>
        <v>8.8928571428571423</v>
      </c>
    </row>
    <row r="6339" spans="1:6" x14ac:dyDescent="0.3">
      <c r="A6339" t="s">
        <v>1216</v>
      </c>
      <c r="B6339" t="s">
        <v>2156</v>
      </c>
      <c r="C6339">
        <v>8.5</v>
      </c>
      <c r="D6339">
        <v>175</v>
      </c>
      <c r="E6339">
        <f>IF(OR(B6339="vi",B6339="ii",B6339="pod"),(((D6339/100)*(C6339*VLOOKUP(B6339,'Poids des runes'!A:B,2,FALSE)))+1),(((D6339/100)*(C6339*VLOOKUP(B6339,'Poids des runes'!A:B,2,FALSE)))+1)/VLOOKUP(B6339,'Poids des runes'!A:B,2,FALSE))</f>
        <v>15.041666666666666</v>
      </c>
      <c r="F6339">
        <f t="shared" ref="F6339:F6402" si="99">E6339</f>
        <v>15.041666666666666</v>
      </c>
    </row>
    <row r="6340" spans="1:6" x14ac:dyDescent="0.3">
      <c r="A6340" t="s">
        <v>1216</v>
      </c>
      <c r="B6340" t="s">
        <v>2135</v>
      </c>
      <c r="C6340">
        <v>8.5</v>
      </c>
      <c r="D6340">
        <v>175</v>
      </c>
      <c r="E6340">
        <f>IF(OR(B6340="vi",B6340="ii",B6340="pod"),(((D6340/100)*(C6340*VLOOKUP(B6340,'Poids des runes'!A:B,2,FALSE)))+1),(((D6340/100)*(C6340*VLOOKUP(B6340,'Poids des runes'!A:B,2,FALSE)))+1)/VLOOKUP(B6340,'Poids des runes'!A:B,2,FALSE))</f>
        <v>15.041666666666666</v>
      </c>
      <c r="F6340">
        <f t="shared" si="99"/>
        <v>15.041666666666666</v>
      </c>
    </row>
    <row r="6341" spans="1:6" x14ac:dyDescent="0.3">
      <c r="A6341" t="s">
        <v>1216</v>
      </c>
      <c r="B6341" t="s">
        <v>2145</v>
      </c>
      <c r="C6341">
        <v>13</v>
      </c>
      <c r="D6341">
        <v>175</v>
      </c>
      <c r="E6341">
        <f>IF(OR(B6341="vi",B6341="ii",B6341="pod"),(((D6341/100)*(C6341*VLOOKUP(B6341,'Poids des runes'!A:B,2,FALSE)))+1),(((D6341/100)*(C6341*VLOOKUP(B6341,'Poids des runes'!A:B,2,FALSE)))+1)/VLOOKUP(B6341,'Poids des runes'!A:B,2,FALSE))</f>
        <v>23.25</v>
      </c>
      <c r="F6341">
        <f t="shared" si="99"/>
        <v>23.25</v>
      </c>
    </row>
    <row r="6342" spans="1:6" x14ac:dyDescent="0.3">
      <c r="A6342" t="s">
        <v>1217</v>
      </c>
      <c r="B6342" t="s">
        <v>2127</v>
      </c>
      <c r="C6342">
        <v>100</v>
      </c>
      <c r="D6342">
        <v>175</v>
      </c>
      <c r="E6342">
        <f>IF(OR(B6342="vi",B6342="ii",B6342="pod"),(((D6342/100)*(C6342*VLOOKUP(B6342,'Poids des runes'!A:B,2,FALSE)))+1),(((D6342/100)*(C6342*VLOOKUP(B6342,'Poids des runes'!A:B,2,FALSE)))+1)/VLOOKUP(B6342,'Poids des runes'!A:B,2,FALSE))</f>
        <v>176</v>
      </c>
      <c r="F6342">
        <f t="shared" si="99"/>
        <v>176</v>
      </c>
    </row>
    <row r="6343" spans="1:6" x14ac:dyDescent="0.3">
      <c r="A6343" t="s">
        <v>1218</v>
      </c>
      <c r="B6343" t="s">
        <v>2130</v>
      </c>
      <c r="C6343">
        <v>100</v>
      </c>
      <c r="D6343">
        <v>175</v>
      </c>
      <c r="E6343">
        <f>IF(OR(B6343="vi",B6343="ii",B6343="pod"),(((D6343/100)*(C6343*VLOOKUP(B6343,'Poids des runes'!A:B,2,FALSE)))+1),(((D6343/100)*(C6343*VLOOKUP(B6343,'Poids des runes'!A:B,2,FALSE)))+1)/VLOOKUP(B6343,'Poids des runes'!A:B,2,FALSE))</f>
        <v>176</v>
      </c>
      <c r="F6343">
        <f t="shared" si="99"/>
        <v>176</v>
      </c>
    </row>
    <row r="6344" spans="1:6" x14ac:dyDescent="0.3">
      <c r="A6344" t="s">
        <v>1219</v>
      </c>
      <c r="B6344" t="s">
        <v>2131</v>
      </c>
      <c r="C6344">
        <v>100</v>
      </c>
      <c r="D6344">
        <v>175</v>
      </c>
      <c r="E6344">
        <f>IF(OR(B6344="vi",B6344="ii",B6344="pod"),(((D6344/100)*(C6344*VLOOKUP(B6344,'Poids des runes'!A:B,2,FALSE)))+1),(((D6344/100)*(C6344*VLOOKUP(B6344,'Poids des runes'!A:B,2,FALSE)))+1)/VLOOKUP(B6344,'Poids des runes'!A:B,2,FALSE))</f>
        <v>176</v>
      </c>
      <c r="F6344">
        <f t="shared" si="99"/>
        <v>176</v>
      </c>
    </row>
    <row r="6345" spans="1:6" x14ac:dyDescent="0.3">
      <c r="A6345" t="s">
        <v>1220</v>
      </c>
      <c r="B6345" t="s">
        <v>2126</v>
      </c>
      <c r="C6345">
        <v>100</v>
      </c>
      <c r="D6345">
        <v>175</v>
      </c>
      <c r="E6345">
        <f>IF(OR(B6345="vi",B6345="ii",B6345="pod"),(((D6345/100)*(C6345*VLOOKUP(B6345,'Poids des runes'!A:B,2,FALSE)))+1),(((D6345/100)*(C6345*VLOOKUP(B6345,'Poids des runes'!A:B,2,FALSE)))+1)/VLOOKUP(B6345,'Poids des runes'!A:B,2,FALSE))</f>
        <v>176</v>
      </c>
      <c r="F6345">
        <f t="shared" si="99"/>
        <v>176</v>
      </c>
    </row>
    <row r="6346" spans="1:6" x14ac:dyDescent="0.3">
      <c r="A6346" t="s">
        <v>1221</v>
      </c>
      <c r="B6346" t="s">
        <v>2143</v>
      </c>
      <c r="C6346">
        <v>20</v>
      </c>
      <c r="D6346">
        <v>175</v>
      </c>
      <c r="E6346">
        <f>IF(OR(B6346="vi",B6346="ii",B6346="pod"),(((D6346/100)*(C6346*VLOOKUP(B6346,'Poids des runes'!A:B,2,FALSE)))+1),(((D6346/100)*(C6346*VLOOKUP(B6346,'Poids des runes'!A:B,2,FALSE)))+1)/VLOOKUP(B6346,'Poids des runes'!A:B,2,FALSE))</f>
        <v>35.200000000000003</v>
      </c>
      <c r="F6346">
        <f t="shared" si="99"/>
        <v>35.200000000000003</v>
      </c>
    </row>
    <row r="6347" spans="1:6" x14ac:dyDescent="0.3">
      <c r="A6347" t="s">
        <v>1222</v>
      </c>
      <c r="B6347" t="s">
        <v>2153</v>
      </c>
      <c r="C6347">
        <v>20</v>
      </c>
      <c r="D6347">
        <v>175</v>
      </c>
      <c r="E6347">
        <f>IF(OR(B6347="vi",B6347="ii",B6347="pod"),(((D6347/100)*(C6347*VLOOKUP(B6347,'Poids des runes'!A:B,2,FALSE)))+1),(((D6347/100)*(C6347*VLOOKUP(B6347,'Poids des runes'!A:B,2,FALSE)))+1)/VLOOKUP(B6347,'Poids des runes'!A:B,2,FALSE))</f>
        <v>35.200000000000003</v>
      </c>
      <c r="F6347">
        <f t="shared" si="99"/>
        <v>35.200000000000003</v>
      </c>
    </row>
    <row r="6348" spans="1:6" x14ac:dyDescent="0.3">
      <c r="A6348" t="s">
        <v>1223</v>
      </c>
      <c r="B6348" t="s">
        <v>2133</v>
      </c>
      <c r="C6348">
        <v>20</v>
      </c>
      <c r="D6348">
        <v>175</v>
      </c>
      <c r="E6348">
        <f>IF(OR(B6348="vi",B6348="ii",B6348="pod"),(((D6348/100)*(C6348*VLOOKUP(B6348,'Poids des runes'!A:B,2,FALSE)))+1),(((D6348/100)*(C6348*VLOOKUP(B6348,'Poids des runes'!A:B,2,FALSE)))+1)/VLOOKUP(B6348,'Poids des runes'!A:B,2,FALSE))</f>
        <v>35.200000000000003</v>
      </c>
      <c r="F6348">
        <f t="shared" si="99"/>
        <v>35.200000000000003</v>
      </c>
    </row>
    <row r="6349" spans="1:6" x14ac:dyDescent="0.3">
      <c r="A6349" t="s">
        <v>1224</v>
      </c>
      <c r="B6349" t="s">
        <v>2140</v>
      </c>
      <c r="C6349">
        <v>20</v>
      </c>
      <c r="D6349">
        <v>175</v>
      </c>
      <c r="E6349">
        <f>IF(OR(B6349="vi",B6349="ii",B6349="pod"),(((D6349/100)*(C6349*VLOOKUP(B6349,'Poids des runes'!A:B,2,FALSE)))+1),(((D6349/100)*(C6349*VLOOKUP(B6349,'Poids des runes'!A:B,2,FALSE)))+1)/VLOOKUP(B6349,'Poids des runes'!A:B,2,FALSE))</f>
        <v>35.200000000000003</v>
      </c>
      <c r="F6349">
        <f t="shared" si="99"/>
        <v>35.200000000000003</v>
      </c>
    </row>
    <row r="6350" spans="1:6" x14ac:dyDescent="0.3">
      <c r="A6350" t="s">
        <v>1225</v>
      </c>
      <c r="B6350" t="s">
        <v>2142</v>
      </c>
      <c r="C6350">
        <v>64</v>
      </c>
      <c r="D6350">
        <v>175</v>
      </c>
      <c r="E6350">
        <f>IF(OR(B6350="vi",B6350="ii",B6350="pod"),(((D6350/100)*(C6350*VLOOKUP(B6350,'Poids des runes'!A:B,2,FALSE)))+1),(((D6350/100)*(C6350*VLOOKUP(B6350,'Poids des runes'!A:B,2,FALSE)))+1)/VLOOKUP(B6350,'Poids des runes'!A:B,2,FALSE))</f>
        <v>112.2</v>
      </c>
      <c r="F6350">
        <f t="shared" si="99"/>
        <v>112.2</v>
      </c>
    </row>
    <row r="6351" spans="1:6" x14ac:dyDescent="0.3">
      <c r="A6351" t="s">
        <v>1226</v>
      </c>
      <c r="B6351" t="s">
        <v>2164</v>
      </c>
      <c r="C6351">
        <v>96</v>
      </c>
      <c r="D6351">
        <v>175</v>
      </c>
      <c r="E6351">
        <f>IF(OR(B6351="vi",B6351="ii",B6351="pod"),(((D6351/100)*(C6351*VLOOKUP(B6351,'Poids des runes'!A:B,2,FALSE)))+1),(((D6351/100)*(C6351*VLOOKUP(B6351,'Poids des runes'!A:B,2,FALSE)))+1)/VLOOKUP(B6351,'Poids des runes'!A:B,2,FALSE))</f>
        <v>168.5</v>
      </c>
      <c r="F6351">
        <f t="shared" si="99"/>
        <v>168.5</v>
      </c>
    </row>
    <row r="6352" spans="1:6" x14ac:dyDescent="0.3">
      <c r="A6352" t="s">
        <v>1227</v>
      </c>
      <c r="B6352" t="s">
        <v>2138</v>
      </c>
      <c r="C6352">
        <v>32</v>
      </c>
      <c r="D6352">
        <v>175</v>
      </c>
      <c r="E6352">
        <f>IF(OR(B6352="vi",B6352="ii",B6352="pod"),(((D6352/100)*(C6352*VLOOKUP(B6352,'Poids des runes'!A:B,2,FALSE)))+1),(((D6352/100)*(C6352*VLOOKUP(B6352,'Poids des runes'!A:B,2,FALSE)))+1)/VLOOKUP(B6352,'Poids des runes'!A:B,2,FALSE))</f>
        <v>56.25</v>
      </c>
      <c r="F6352">
        <f t="shared" si="99"/>
        <v>56.25</v>
      </c>
    </row>
    <row r="6353" spans="1:6" x14ac:dyDescent="0.3">
      <c r="A6353" t="s">
        <v>1228</v>
      </c>
      <c r="B6353" t="s">
        <v>2141</v>
      </c>
      <c r="C6353">
        <v>32</v>
      </c>
      <c r="D6353">
        <v>175</v>
      </c>
      <c r="E6353">
        <f>IF(OR(B6353="vi",B6353="ii",B6353="pod"),(((D6353/100)*(C6353*VLOOKUP(B6353,'Poids des runes'!A:B,2,FALSE)))+1),(((D6353/100)*(C6353*VLOOKUP(B6353,'Poids des runes'!A:B,2,FALSE)))+1)/VLOOKUP(B6353,'Poids des runes'!A:B,2,FALSE))</f>
        <v>56.25</v>
      </c>
      <c r="F6353">
        <f t="shared" si="99"/>
        <v>56.25</v>
      </c>
    </row>
    <row r="6354" spans="1:6" x14ac:dyDescent="0.3">
      <c r="A6354" t="s">
        <v>1229</v>
      </c>
      <c r="B6354" t="s">
        <v>2162</v>
      </c>
      <c r="C6354">
        <v>32</v>
      </c>
      <c r="D6354">
        <v>175</v>
      </c>
      <c r="E6354">
        <f>IF(OR(B6354="vi",B6354="ii",B6354="pod"),(((D6354/100)*(C6354*VLOOKUP(B6354,'Poids des runes'!A:B,2,FALSE)))+1),(((D6354/100)*(C6354*VLOOKUP(B6354,'Poids des runes'!A:B,2,FALSE)))+1)/VLOOKUP(B6354,'Poids des runes'!A:B,2,FALSE))</f>
        <v>56.142857142857146</v>
      </c>
      <c r="F6354">
        <f t="shared" si="99"/>
        <v>56.142857142857146</v>
      </c>
    </row>
    <row r="6355" spans="1:6" x14ac:dyDescent="0.3">
      <c r="A6355" t="s">
        <v>1230</v>
      </c>
      <c r="B6355" t="s">
        <v>2160</v>
      </c>
      <c r="C6355">
        <v>24</v>
      </c>
      <c r="D6355">
        <v>175</v>
      </c>
      <c r="E6355">
        <f>IF(OR(B6355="vi",B6355="ii",B6355="pod"),(((D6355/100)*(C6355*VLOOKUP(B6355,'Poids des runes'!A:B,2,FALSE)))+1),(((D6355/100)*(C6355*VLOOKUP(B6355,'Poids des runes'!A:B,2,FALSE)))+1)/VLOOKUP(B6355,'Poids des runes'!A:B,2,FALSE))</f>
        <v>42.142857142857146</v>
      </c>
      <c r="F6355">
        <f t="shared" si="99"/>
        <v>42.142857142857146</v>
      </c>
    </row>
    <row r="6356" spans="1:6" x14ac:dyDescent="0.3">
      <c r="A6356" t="s">
        <v>1231</v>
      </c>
      <c r="B6356" t="s">
        <v>2165</v>
      </c>
      <c r="C6356">
        <v>32</v>
      </c>
      <c r="D6356">
        <v>175</v>
      </c>
      <c r="E6356">
        <f>IF(OR(B6356="vi",B6356="ii",B6356="pod"),(((D6356/100)*(C6356*VLOOKUP(B6356,'Poids des runes'!A:B,2,FALSE)))+1),(((D6356/100)*(C6356*VLOOKUP(B6356,'Poids des runes'!A:B,2,FALSE)))+1)/VLOOKUP(B6356,'Poids des runes'!A:B,2,FALSE))</f>
        <v>56.142857142857146</v>
      </c>
      <c r="F6356">
        <f t="shared" si="99"/>
        <v>56.142857142857146</v>
      </c>
    </row>
    <row r="6357" spans="1:6" x14ac:dyDescent="0.3">
      <c r="A6357" t="s">
        <v>1232</v>
      </c>
      <c r="B6357" t="s">
        <v>2159</v>
      </c>
      <c r="C6357">
        <v>24</v>
      </c>
      <c r="D6357">
        <v>175</v>
      </c>
      <c r="E6357">
        <f>IF(OR(B6357="vi",B6357="ii",B6357="pod"),(((D6357/100)*(C6357*VLOOKUP(B6357,'Poids des runes'!A:B,2,FALSE)))+1),(((D6357/100)*(C6357*VLOOKUP(B6357,'Poids des runes'!A:B,2,FALSE)))+1)/VLOOKUP(B6357,'Poids des runes'!A:B,2,FALSE))</f>
        <v>42.142857142857146</v>
      </c>
      <c r="F6357">
        <f t="shared" si="99"/>
        <v>42.142857142857146</v>
      </c>
    </row>
    <row r="6358" spans="1:6" x14ac:dyDescent="0.3">
      <c r="A6358" t="s">
        <v>1233</v>
      </c>
      <c r="B6358" t="s">
        <v>2149</v>
      </c>
      <c r="C6358">
        <v>32</v>
      </c>
      <c r="D6358">
        <v>175</v>
      </c>
      <c r="E6358">
        <f>IF(OR(B6358="vi",B6358="ii",B6358="pod"),(((D6358/100)*(C6358*VLOOKUP(B6358,'Poids des runes'!A:B,2,FALSE)))+1),(((D6358/100)*(C6358*VLOOKUP(B6358,'Poids des runes'!A:B,2,FALSE)))+1)/VLOOKUP(B6358,'Poids des runes'!A:B,2,FALSE))</f>
        <v>56.1</v>
      </c>
      <c r="F6358">
        <f t="shared" si="99"/>
        <v>56.1</v>
      </c>
    </row>
    <row r="6359" spans="1:6" x14ac:dyDescent="0.3">
      <c r="A6359" t="s">
        <v>1234</v>
      </c>
      <c r="B6359" t="s">
        <v>2132</v>
      </c>
      <c r="C6359">
        <v>800</v>
      </c>
      <c r="D6359">
        <v>175</v>
      </c>
      <c r="E6359">
        <f>IF(OR(B6359="vi",B6359="ii",B6359="pod"),(((D6359/100)*(C6359*VLOOKUP(B6359,'Poids des runes'!A:B,2,FALSE)))+1),(((D6359/100)*(C6359*VLOOKUP(B6359,'Poids des runes'!A:B,2,FALSE)))+1)/VLOOKUP(B6359,'Poids des runes'!A:B,2,FALSE))</f>
        <v>141</v>
      </c>
      <c r="F6359">
        <f t="shared" si="99"/>
        <v>141</v>
      </c>
    </row>
    <row r="6360" spans="1:6" x14ac:dyDescent="0.3">
      <c r="A6360" t="s">
        <v>1235</v>
      </c>
      <c r="B6360" t="s">
        <v>2163</v>
      </c>
      <c r="C6360">
        <v>32</v>
      </c>
      <c r="D6360">
        <v>175</v>
      </c>
      <c r="E6360">
        <f>IF(OR(B6360="vi",B6360="ii",B6360="pod"),(((D6360/100)*(C6360*VLOOKUP(B6360,'Poids des runes'!A:B,2,FALSE)))+1),(((D6360/100)*(C6360*VLOOKUP(B6360,'Poids des runes'!A:B,2,FALSE)))+1)/VLOOKUP(B6360,'Poids des runes'!A:B,2,FALSE))</f>
        <v>56.5</v>
      </c>
      <c r="F6360">
        <f t="shared" si="99"/>
        <v>56.5</v>
      </c>
    </row>
    <row r="6361" spans="1:6" x14ac:dyDescent="0.3">
      <c r="A6361" t="s">
        <v>1236</v>
      </c>
      <c r="B6361" t="s">
        <v>2134</v>
      </c>
      <c r="C6361">
        <v>12</v>
      </c>
      <c r="D6361">
        <v>175</v>
      </c>
      <c r="E6361">
        <f>IF(OR(B6361="vi",B6361="ii",B6361="pod"),(((D6361/100)*(C6361*VLOOKUP(B6361,'Poids des runes'!A:B,2,FALSE)))+1),(((D6361/100)*(C6361*VLOOKUP(B6361,'Poids des runes'!A:B,2,FALSE)))+1)/VLOOKUP(B6361,'Poids des runes'!A:B,2,FALSE))</f>
        <v>21.05</v>
      </c>
      <c r="F6361">
        <f t="shared" si="99"/>
        <v>21.05</v>
      </c>
    </row>
    <row r="6362" spans="1:6" x14ac:dyDescent="0.3">
      <c r="A6362" t="s">
        <v>1237</v>
      </c>
      <c r="B6362" t="s">
        <v>2139</v>
      </c>
      <c r="C6362">
        <v>80</v>
      </c>
      <c r="D6362">
        <v>175</v>
      </c>
      <c r="E6362">
        <f>IF(OR(B6362="vi",B6362="ii",B6362="pod"),(((D6362/100)*(C6362*VLOOKUP(B6362,'Poids des runes'!A:B,2,FALSE)))+1),(((D6362/100)*(C6362*VLOOKUP(B6362,'Poids des runes'!A:B,2,FALSE)))+1)/VLOOKUP(B6362,'Poids des runes'!A:B,2,FALSE))</f>
        <v>140.5</v>
      </c>
      <c r="F6362">
        <f t="shared" si="99"/>
        <v>140.5</v>
      </c>
    </row>
    <row r="6363" spans="1:6" x14ac:dyDescent="0.3">
      <c r="A6363" t="s">
        <v>1238</v>
      </c>
      <c r="B6363" t="s">
        <v>2128</v>
      </c>
      <c r="C6363">
        <v>240</v>
      </c>
      <c r="D6363">
        <v>175</v>
      </c>
      <c r="E6363">
        <f>IF(OR(B6363="vi",B6363="ii",B6363="pod"),(((D6363/100)*(C6363*VLOOKUP(B6363,'Poids des runes'!A:B,2,FALSE)))+1),(((D6363/100)*(C6363*VLOOKUP(B6363,'Poids des runes'!A:B,2,FALSE)))+1)/VLOOKUP(B6363,'Poids des runes'!A:B,2,FALSE))</f>
        <v>85</v>
      </c>
      <c r="F6363">
        <f t="shared" si="99"/>
        <v>85</v>
      </c>
    </row>
    <row r="6364" spans="1:6" x14ac:dyDescent="0.3">
      <c r="A6364" t="s">
        <v>1239</v>
      </c>
      <c r="B6364" t="s">
        <v>2128</v>
      </c>
      <c r="C6364">
        <v>225.5</v>
      </c>
      <c r="D6364">
        <v>176</v>
      </c>
      <c r="E6364">
        <f>IF(OR(B6364="vi",B6364="ii",B6364="pod"),(((D6364/100)*(C6364*VLOOKUP(B6364,'Poids des runes'!A:B,2,FALSE)))+1),(((D6364/100)*(C6364*VLOOKUP(B6364,'Poids des runes'!A:B,2,FALSE)))+1)/VLOOKUP(B6364,'Poids des runes'!A:B,2,FALSE))</f>
        <v>80.376000000000005</v>
      </c>
      <c r="F6364">
        <f t="shared" si="99"/>
        <v>80.376000000000005</v>
      </c>
    </row>
    <row r="6365" spans="1:6" x14ac:dyDescent="0.3">
      <c r="A6365" t="s">
        <v>1239</v>
      </c>
      <c r="B6365" t="s">
        <v>2130</v>
      </c>
      <c r="C6365">
        <v>50.5</v>
      </c>
      <c r="D6365">
        <v>176</v>
      </c>
      <c r="E6365">
        <f>IF(OR(B6365="vi",B6365="ii",B6365="pod"),(((D6365/100)*(C6365*VLOOKUP(B6365,'Poids des runes'!A:B,2,FALSE)))+1),(((D6365/100)*(C6365*VLOOKUP(B6365,'Poids des runes'!A:B,2,FALSE)))+1)/VLOOKUP(B6365,'Poids des runes'!A:B,2,FALSE))</f>
        <v>89.88</v>
      </c>
      <c r="F6365">
        <f t="shared" si="99"/>
        <v>89.88</v>
      </c>
    </row>
    <row r="6366" spans="1:6" x14ac:dyDescent="0.3">
      <c r="A6366" t="s">
        <v>1239</v>
      </c>
      <c r="B6366" t="s">
        <v>2129</v>
      </c>
      <c r="C6366">
        <v>20.5</v>
      </c>
      <c r="D6366">
        <v>176</v>
      </c>
      <c r="E6366">
        <f>IF(OR(B6366="vi",B6366="ii",B6366="pod"),(((D6366/100)*(C6366*VLOOKUP(B6366,'Poids des runes'!A:B,2,FALSE)))+1),(((D6366/100)*(C6366*VLOOKUP(B6366,'Poids des runes'!A:B,2,FALSE)))+1)/VLOOKUP(B6366,'Poids des runes'!A:B,2,FALSE))</f>
        <v>37.08</v>
      </c>
      <c r="F6366">
        <f t="shared" si="99"/>
        <v>37.08</v>
      </c>
    </row>
    <row r="6367" spans="1:6" x14ac:dyDescent="0.3">
      <c r="A6367" t="s">
        <v>1239</v>
      </c>
      <c r="B6367" t="s">
        <v>2139</v>
      </c>
      <c r="C6367">
        <v>15.5</v>
      </c>
      <c r="D6367">
        <v>176</v>
      </c>
      <c r="E6367">
        <f>IF(OR(B6367="vi",B6367="ii",B6367="pod"),(((D6367/100)*(C6367*VLOOKUP(B6367,'Poids des runes'!A:B,2,FALSE)))+1),(((D6367/100)*(C6367*VLOOKUP(B6367,'Poids des runes'!A:B,2,FALSE)))+1)/VLOOKUP(B6367,'Poids des runes'!A:B,2,FALSE))</f>
        <v>27.78</v>
      </c>
      <c r="F6367">
        <f t="shared" si="99"/>
        <v>27.78</v>
      </c>
    </row>
    <row r="6368" spans="1:6" x14ac:dyDescent="0.3">
      <c r="A6368" t="s">
        <v>1239</v>
      </c>
      <c r="B6368" t="s">
        <v>2151</v>
      </c>
      <c r="C6368">
        <v>5</v>
      </c>
      <c r="D6368">
        <v>176</v>
      </c>
      <c r="E6368">
        <f>IF(OR(B6368="vi",B6368="ii",B6368="pod"),(((D6368/100)*(C6368*VLOOKUP(B6368,'Poids des runes'!A:B,2,FALSE)))+1),(((D6368/100)*(C6368*VLOOKUP(B6368,'Poids des runes'!A:B,2,FALSE)))+1)/VLOOKUP(B6368,'Poids des runes'!A:B,2,FALSE))</f>
        <v>8.9</v>
      </c>
      <c r="F6368">
        <f t="shared" si="99"/>
        <v>8.9</v>
      </c>
    </row>
    <row r="6369" spans="1:6" x14ac:dyDescent="0.3">
      <c r="A6369" t="s">
        <v>1239</v>
      </c>
      <c r="B6369" t="s">
        <v>2143</v>
      </c>
      <c r="C6369">
        <v>8.5</v>
      </c>
      <c r="D6369">
        <v>176</v>
      </c>
      <c r="E6369">
        <f>IF(OR(B6369="vi",B6369="ii",B6369="pod"),(((D6369/100)*(C6369*VLOOKUP(B6369,'Poids des runes'!A:B,2,FALSE)))+1),(((D6369/100)*(C6369*VLOOKUP(B6369,'Poids des runes'!A:B,2,FALSE)))+1)/VLOOKUP(B6369,'Poids des runes'!A:B,2,FALSE))</f>
        <v>15.16</v>
      </c>
      <c r="F6369">
        <f t="shared" si="99"/>
        <v>15.16</v>
      </c>
    </row>
    <row r="6370" spans="1:6" x14ac:dyDescent="0.3">
      <c r="A6370" t="s">
        <v>1239</v>
      </c>
      <c r="B6370" t="s">
        <v>2161</v>
      </c>
      <c r="C6370">
        <v>20.5</v>
      </c>
      <c r="D6370">
        <v>176</v>
      </c>
      <c r="E6370">
        <f>IF(OR(B6370="vi",B6370="ii",B6370="pod"),(((D6370/100)*(C6370*VLOOKUP(B6370,'Poids des runes'!A:B,2,FALSE)))+1),(((D6370/100)*(C6370*VLOOKUP(B6370,'Poids des runes'!A:B,2,FALSE)))+1)/VLOOKUP(B6370,'Poids des runes'!A:B,2,FALSE))</f>
        <v>36.413333333333334</v>
      </c>
      <c r="F6370">
        <f t="shared" si="99"/>
        <v>36.413333333333334</v>
      </c>
    </row>
    <row r="6371" spans="1:6" x14ac:dyDescent="0.3">
      <c r="A6371" t="s">
        <v>1239</v>
      </c>
      <c r="B6371" t="s">
        <v>2132</v>
      </c>
      <c r="C6371">
        <v>350.5</v>
      </c>
      <c r="D6371">
        <v>176</v>
      </c>
      <c r="E6371">
        <f>IF(OR(B6371="vi",B6371="ii",B6371="pod"),(((D6371/100)*(C6371*VLOOKUP(B6371,'Poids des runes'!A:B,2,FALSE)))+1),(((D6371/100)*(C6371*VLOOKUP(B6371,'Poids des runes'!A:B,2,FALSE)))+1)/VLOOKUP(B6371,'Poids des runes'!A:B,2,FALSE))</f>
        <v>62.688000000000009</v>
      </c>
      <c r="F6371">
        <f t="shared" si="99"/>
        <v>62.688000000000009</v>
      </c>
    </row>
    <row r="6372" spans="1:6" x14ac:dyDescent="0.3">
      <c r="A6372" t="s">
        <v>1239</v>
      </c>
      <c r="B6372" t="s">
        <v>2141</v>
      </c>
      <c r="C6372">
        <v>4.5</v>
      </c>
      <c r="D6372">
        <v>176</v>
      </c>
      <c r="E6372">
        <f>IF(OR(B6372="vi",B6372="ii",B6372="pod"),(((D6372/100)*(C6372*VLOOKUP(B6372,'Poids des runes'!A:B,2,FALSE)))+1),(((D6372/100)*(C6372*VLOOKUP(B6372,'Poids des runes'!A:B,2,FALSE)))+1)/VLOOKUP(B6372,'Poids des runes'!A:B,2,FALSE))</f>
        <v>8.17</v>
      </c>
      <c r="F6372">
        <f t="shared" si="99"/>
        <v>8.17</v>
      </c>
    </row>
    <row r="6373" spans="1:6" x14ac:dyDescent="0.3">
      <c r="A6373" t="s">
        <v>1239</v>
      </c>
      <c r="B6373" t="s">
        <v>2159</v>
      </c>
      <c r="C6373">
        <v>4.5</v>
      </c>
      <c r="D6373">
        <v>176</v>
      </c>
      <c r="E6373">
        <f>IF(OR(B6373="vi",B6373="ii",B6373="pod"),(((D6373/100)*(C6373*VLOOKUP(B6373,'Poids des runes'!A:B,2,FALSE)))+1),(((D6373/100)*(C6373*VLOOKUP(B6373,'Poids des runes'!A:B,2,FALSE)))+1)/VLOOKUP(B6373,'Poids des runes'!A:B,2,FALSE))</f>
        <v>8.0628571428571423</v>
      </c>
      <c r="F6373">
        <f t="shared" si="99"/>
        <v>8.0628571428571423</v>
      </c>
    </row>
    <row r="6374" spans="1:6" x14ac:dyDescent="0.3">
      <c r="A6374" t="s">
        <v>1239</v>
      </c>
      <c r="B6374" t="s">
        <v>2147</v>
      </c>
      <c r="C6374">
        <v>8.5</v>
      </c>
      <c r="D6374">
        <v>176</v>
      </c>
      <c r="E6374">
        <f>IF(OR(B6374="vi",B6374="ii",B6374="pod"),(((D6374/100)*(C6374*VLOOKUP(B6374,'Poids des runes'!A:B,2,FALSE)))+1),(((D6374/100)*(C6374*VLOOKUP(B6374,'Poids des runes'!A:B,2,FALSE)))+1)/VLOOKUP(B6374,'Poids des runes'!A:B,2,FALSE))</f>
        <v>15.126666666666667</v>
      </c>
      <c r="F6374">
        <f t="shared" si="99"/>
        <v>15.126666666666667</v>
      </c>
    </row>
    <row r="6375" spans="1:6" x14ac:dyDescent="0.3">
      <c r="A6375" t="s">
        <v>1239</v>
      </c>
      <c r="B6375" t="s">
        <v>2137</v>
      </c>
      <c r="C6375">
        <v>8.5</v>
      </c>
      <c r="D6375">
        <v>176</v>
      </c>
      <c r="E6375">
        <f>IF(OR(B6375="vi",B6375="ii",B6375="pod"),(((D6375/100)*(C6375*VLOOKUP(B6375,'Poids des runes'!A:B,2,FALSE)))+1),(((D6375/100)*(C6375*VLOOKUP(B6375,'Poids des runes'!A:B,2,FALSE)))+1)/VLOOKUP(B6375,'Poids des runes'!A:B,2,FALSE))</f>
        <v>15.46</v>
      </c>
      <c r="F6375">
        <f t="shared" si="99"/>
        <v>15.46</v>
      </c>
    </row>
    <row r="6376" spans="1:6" x14ac:dyDescent="0.3">
      <c r="A6376" t="s">
        <v>1240</v>
      </c>
      <c r="B6376" t="s">
        <v>2128</v>
      </c>
      <c r="C6376">
        <v>225.5</v>
      </c>
      <c r="D6376">
        <v>176</v>
      </c>
      <c r="E6376">
        <f>IF(OR(B6376="vi",B6376="ii",B6376="pod"),(((D6376/100)*(C6376*VLOOKUP(B6376,'Poids des runes'!A:B,2,FALSE)))+1),(((D6376/100)*(C6376*VLOOKUP(B6376,'Poids des runes'!A:B,2,FALSE)))+1)/VLOOKUP(B6376,'Poids des runes'!A:B,2,FALSE))</f>
        <v>80.376000000000005</v>
      </c>
      <c r="F6376">
        <f t="shared" si="99"/>
        <v>80.376000000000005</v>
      </c>
    </row>
    <row r="6377" spans="1:6" x14ac:dyDescent="0.3">
      <c r="A6377" t="s">
        <v>1240</v>
      </c>
      <c r="B6377" t="s">
        <v>2130</v>
      </c>
      <c r="C6377">
        <v>35.5</v>
      </c>
      <c r="D6377">
        <v>176</v>
      </c>
      <c r="E6377">
        <f>IF(OR(B6377="vi",B6377="ii",B6377="pod"),(((D6377/100)*(C6377*VLOOKUP(B6377,'Poids des runes'!A:B,2,FALSE)))+1),(((D6377/100)*(C6377*VLOOKUP(B6377,'Poids des runes'!A:B,2,FALSE)))+1)/VLOOKUP(B6377,'Poids des runes'!A:B,2,FALSE))</f>
        <v>63.48</v>
      </c>
      <c r="F6377">
        <f t="shared" si="99"/>
        <v>63.48</v>
      </c>
    </row>
    <row r="6378" spans="1:6" x14ac:dyDescent="0.3">
      <c r="A6378" t="s">
        <v>1240</v>
      </c>
      <c r="B6378" t="s">
        <v>2127</v>
      </c>
      <c r="C6378">
        <v>35.5</v>
      </c>
      <c r="D6378">
        <v>176</v>
      </c>
      <c r="E6378">
        <f>IF(OR(B6378="vi",B6378="ii",B6378="pod"),(((D6378/100)*(C6378*VLOOKUP(B6378,'Poids des runes'!A:B,2,FALSE)))+1),(((D6378/100)*(C6378*VLOOKUP(B6378,'Poids des runes'!A:B,2,FALSE)))+1)/VLOOKUP(B6378,'Poids des runes'!A:B,2,FALSE))</f>
        <v>63.48</v>
      </c>
      <c r="F6378">
        <f t="shared" si="99"/>
        <v>63.48</v>
      </c>
    </row>
    <row r="6379" spans="1:6" x14ac:dyDescent="0.3">
      <c r="A6379" t="s">
        <v>1240</v>
      </c>
      <c r="B6379" t="s">
        <v>2129</v>
      </c>
      <c r="C6379">
        <v>40.5</v>
      </c>
      <c r="D6379">
        <v>176</v>
      </c>
      <c r="E6379">
        <f>IF(OR(B6379="vi",B6379="ii",B6379="pod"),(((D6379/100)*(C6379*VLOOKUP(B6379,'Poids des runes'!A:B,2,FALSE)))+1),(((D6379/100)*(C6379*VLOOKUP(B6379,'Poids des runes'!A:B,2,FALSE)))+1)/VLOOKUP(B6379,'Poids des runes'!A:B,2,FALSE))</f>
        <v>72.28</v>
      </c>
      <c r="F6379">
        <f t="shared" si="99"/>
        <v>72.28</v>
      </c>
    </row>
    <row r="6380" spans="1:6" x14ac:dyDescent="0.3">
      <c r="A6380" t="s">
        <v>1240</v>
      </c>
      <c r="B6380" t="s">
        <v>2151</v>
      </c>
      <c r="C6380">
        <v>3.5</v>
      </c>
      <c r="D6380">
        <v>176</v>
      </c>
      <c r="E6380">
        <f>IF(OR(B6380="vi",B6380="ii",B6380="pod"),(((D6380/100)*(C6380*VLOOKUP(B6380,'Poids des runes'!A:B,2,FALSE)))+1),(((D6380/100)*(C6380*VLOOKUP(B6380,'Poids des runes'!A:B,2,FALSE)))+1)/VLOOKUP(B6380,'Poids des runes'!A:B,2,FALSE))</f>
        <v>6.26</v>
      </c>
      <c r="F6380">
        <f t="shared" si="99"/>
        <v>6.26</v>
      </c>
    </row>
    <row r="6381" spans="1:6" x14ac:dyDescent="0.3">
      <c r="A6381" t="s">
        <v>1240</v>
      </c>
      <c r="B6381" t="s">
        <v>2150</v>
      </c>
      <c r="C6381">
        <v>1</v>
      </c>
      <c r="D6381">
        <v>176</v>
      </c>
      <c r="E6381">
        <f>IF(OR(B6381="vi",B6381="ii",B6381="pod"),(((D6381/100)*(C6381*VLOOKUP(B6381,'Poids des runes'!A:B,2,FALSE)))+1),(((D6381/100)*(C6381*VLOOKUP(B6381,'Poids des runes'!A:B,2,FALSE)))+1)/VLOOKUP(B6381,'Poids des runes'!A:B,2,FALSE))</f>
        <v>1.7933333333333332</v>
      </c>
      <c r="F6381">
        <f t="shared" si="99"/>
        <v>1.7933333333333332</v>
      </c>
    </row>
    <row r="6382" spans="1:6" x14ac:dyDescent="0.3">
      <c r="A6382" t="s">
        <v>1240</v>
      </c>
      <c r="B6382" t="s">
        <v>2143</v>
      </c>
      <c r="C6382">
        <v>8</v>
      </c>
      <c r="D6382">
        <v>176</v>
      </c>
      <c r="E6382">
        <f>IF(OR(B6382="vi",B6382="ii",B6382="pod"),(((D6382/100)*(C6382*VLOOKUP(B6382,'Poids des runes'!A:B,2,FALSE)))+1),(((D6382/100)*(C6382*VLOOKUP(B6382,'Poids des runes'!A:B,2,FALSE)))+1)/VLOOKUP(B6382,'Poids des runes'!A:B,2,FALSE))</f>
        <v>14.280000000000001</v>
      </c>
      <c r="F6382">
        <f t="shared" si="99"/>
        <v>14.280000000000001</v>
      </c>
    </row>
    <row r="6383" spans="1:6" x14ac:dyDescent="0.3">
      <c r="A6383" t="s">
        <v>1240</v>
      </c>
      <c r="B6383" t="s">
        <v>2153</v>
      </c>
      <c r="C6383">
        <v>8</v>
      </c>
      <c r="D6383">
        <v>176</v>
      </c>
      <c r="E6383">
        <f>IF(OR(B6383="vi",B6383="ii",B6383="pod"),(((D6383/100)*(C6383*VLOOKUP(B6383,'Poids des runes'!A:B,2,FALSE)))+1),(((D6383/100)*(C6383*VLOOKUP(B6383,'Poids des runes'!A:B,2,FALSE)))+1)/VLOOKUP(B6383,'Poids des runes'!A:B,2,FALSE))</f>
        <v>14.280000000000001</v>
      </c>
      <c r="F6383">
        <f t="shared" si="99"/>
        <v>14.280000000000001</v>
      </c>
    </row>
    <row r="6384" spans="1:6" x14ac:dyDescent="0.3">
      <c r="A6384" t="s">
        <v>1240</v>
      </c>
      <c r="B6384" t="s">
        <v>2132</v>
      </c>
      <c r="C6384">
        <v>225.5</v>
      </c>
      <c r="D6384">
        <v>176</v>
      </c>
      <c r="E6384">
        <f>IF(OR(B6384="vi",B6384="ii",B6384="pod"),(((D6384/100)*(C6384*VLOOKUP(B6384,'Poids des runes'!A:B,2,FALSE)))+1),(((D6384/100)*(C6384*VLOOKUP(B6384,'Poids des runes'!A:B,2,FALSE)))+1)/VLOOKUP(B6384,'Poids des runes'!A:B,2,FALSE))</f>
        <v>40.688000000000002</v>
      </c>
      <c r="F6384">
        <f t="shared" si="99"/>
        <v>40.688000000000002</v>
      </c>
    </row>
    <row r="6385" spans="1:6" x14ac:dyDescent="0.3">
      <c r="A6385" t="s">
        <v>1240</v>
      </c>
      <c r="B6385" t="s">
        <v>2141</v>
      </c>
      <c r="C6385">
        <v>6</v>
      </c>
      <c r="D6385">
        <v>176</v>
      </c>
      <c r="E6385">
        <f>IF(OR(B6385="vi",B6385="ii",B6385="pod"),(((D6385/100)*(C6385*VLOOKUP(B6385,'Poids des runes'!A:B,2,FALSE)))+1),(((D6385/100)*(C6385*VLOOKUP(B6385,'Poids des runes'!A:B,2,FALSE)))+1)/VLOOKUP(B6385,'Poids des runes'!A:B,2,FALSE))</f>
        <v>10.81</v>
      </c>
      <c r="F6385">
        <f t="shared" si="99"/>
        <v>10.81</v>
      </c>
    </row>
    <row r="6386" spans="1:6" x14ac:dyDescent="0.3">
      <c r="A6386" t="s">
        <v>1240</v>
      </c>
      <c r="B6386" t="s">
        <v>2159</v>
      </c>
      <c r="C6386">
        <v>4.5</v>
      </c>
      <c r="D6386">
        <v>176</v>
      </c>
      <c r="E6386">
        <f>IF(OR(B6386="vi",B6386="ii",B6386="pod"),(((D6386/100)*(C6386*VLOOKUP(B6386,'Poids des runes'!A:B,2,FALSE)))+1),(((D6386/100)*(C6386*VLOOKUP(B6386,'Poids des runes'!A:B,2,FALSE)))+1)/VLOOKUP(B6386,'Poids des runes'!A:B,2,FALSE))</f>
        <v>8.0628571428571423</v>
      </c>
      <c r="F6386">
        <f t="shared" si="99"/>
        <v>8.0628571428571423</v>
      </c>
    </row>
    <row r="6387" spans="1:6" x14ac:dyDescent="0.3">
      <c r="A6387" t="s">
        <v>1240</v>
      </c>
      <c r="B6387" t="s">
        <v>2135</v>
      </c>
      <c r="C6387">
        <v>8.5</v>
      </c>
      <c r="D6387">
        <v>176</v>
      </c>
      <c r="E6387">
        <f>IF(OR(B6387="vi",B6387="ii",B6387="pod"),(((D6387/100)*(C6387*VLOOKUP(B6387,'Poids des runes'!A:B,2,FALSE)))+1),(((D6387/100)*(C6387*VLOOKUP(B6387,'Poids des runes'!A:B,2,FALSE)))+1)/VLOOKUP(B6387,'Poids des runes'!A:B,2,FALSE))</f>
        <v>15.126666666666667</v>
      </c>
      <c r="F6387">
        <f t="shared" si="99"/>
        <v>15.126666666666667</v>
      </c>
    </row>
    <row r="6388" spans="1:6" x14ac:dyDescent="0.3">
      <c r="A6388" t="s">
        <v>1241</v>
      </c>
      <c r="B6388" t="s">
        <v>2128</v>
      </c>
      <c r="C6388">
        <v>275.5</v>
      </c>
      <c r="D6388">
        <v>176</v>
      </c>
      <c r="E6388">
        <f>IF(OR(B6388="vi",B6388="ii",B6388="pod"),(((D6388/100)*(C6388*VLOOKUP(B6388,'Poids des runes'!A:B,2,FALSE)))+1),(((D6388/100)*(C6388*VLOOKUP(B6388,'Poids des runes'!A:B,2,FALSE)))+1)/VLOOKUP(B6388,'Poids des runes'!A:B,2,FALSE))</f>
        <v>97.975999999999999</v>
      </c>
      <c r="F6388">
        <f t="shared" si="99"/>
        <v>97.975999999999999</v>
      </c>
    </row>
    <row r="6389" spans="1:6" x14ac:dyDescent="0.3">
      <c r="A6389" t="s">
        <v>1241</v>
      </c>
      <c r="B6389" t="s">
        <v>2127</v>
      </c>
      <c r="C6389">
        <v>60.5</v>
      </c>
      <c r="D6389">
        <v>176</v>
      </c>
      <c r="E6389">
        <f>IF(OR(B6389="vi",B6389="ii",B6389="pod"),(((D6389/100)*(C6389*VLOOKUP(B6389,'Poids des runes'!A:B,2,FALSE)))+1),(((D6389/100)*(C6389*VLOOKUP(B6389,'Poids des runes'!A:B,2,FALSE)))+1)/VLOOKUP(B6389,'Poids des runes'!A:B,2,FALSE))</f>
        <v>107.48</v>
      </c>
      <c r="F6389">
        <f t="shared" si="99"/>
        <v>107.48</v>
      </c>
    </row>
    <row r="6390" spans="1:6" x14ac:dyDescent="0.3">
      <c r="A6390" t="s">
        <v>1241</v>
      </c>
      <c r="B6390" t="s">
        <v>2129</v>
      </c>
      <c r="C6390">
        <v>35.5</v>
      </c>
      <c r="D6390">
        <v>176</v>
      </c>
      <c r="E6390">
        <f>IF(OR(B6390="vi",B6390="ii",B6390="pod"),(((D6390/100)*(C6390*VLOOKUP(B6390,'Poids des runes'!A:B,2,FALSE)))+1),(((D6390/100)*(C6390*VLOOKUP(B6390,'Poids des runes'!A:B,2,FALSE)))+1)/VLOOKUP(B6390,'Poids des runes'!A:B,2,FALSE))</f>
        <v>63.48</v>
      </c>
      <c r="F6390">
        <f t="shared" si="99"/>
        <v>63.48</v>
      </c>
    </row>
    <row r="6391" spans="1:6" x14ac:dyDescent="0.3">
      <c r="A6391" t="s">
        <v>1241</v>
      </c>
      <c r="B6391" t="s">
        <v>2139</v>
      </c>
      <c r="C6391">
        <v>15.5</v>
      </c>
      <c r="D6391">
        <v>176</v>
      </c>
      <c r="E6391">
        <f>IF(OR(B6391="vi",B6391="ii",B6391="pod"),(((D6391/100)*(C6391*VLOOKUP(B6391,'Poids des runes'!A:B,2,FALSE)))+1),(((D6391/100)*(C6391*VLOOKUP(B6391,'Poids des runes'!A:B,2,FALSE)))+1)/VLOOKUP(B6391,'Poids des runes'!A:B,2,FALSE))</f>
        <v>27.78</v>
      </c>
      <c r="F6391">
        <f t="shared" si="99"/>
        <v>27.78</v>
      </c>
    </row>
    <row r="6392" spans="1:6" x14ac:dyDescent="0.3">
      <c r="A6392" t="s">
        <v>1241</v>
      </c>
      <c r="B6392" t="s">
        <v>2151</v>
      </c>
      <c r="C6392">
        <v>3.5</v>
      </c>
      <c r="D6392">
        <v>176</v>
      </c>
      <c r="E6392">
        <f>IF(OR(B6392="vi",B6392="ii",B6392="pod"),(((D6392/100)*(C6392*VLOOKUP(B6392,'Poids des runes'!A:B,2,FALSE)))+1),(((D6392/100)*(C6392*VLOOKUP(B6392,'Poids des runes'!A:B,2,FALSE)))+1)/VLOOKUP(B6392,'Poids des runes'!A:B,2,FALSE))</f>
        <v>6.26</v>
      </c>
      <c r="F6392">
        <f t="shared" si="99"/>
        <v>6.26</v>
      </c>
    </row>
    <row r="6393" spans="1:6" x14ac:dyDescent="0.3">
      <c r="A6393" t="s">
        <v>1241</v>
      </c>
      <c r="B6393" t="s">
        <v>2155</v>
      </c>
      <c r="C6393">
        <v>1</v>
      </c>
      <c r="D6393">
        <v>176</v>
      </c>
      <c r="E6393">
        <f>IF(OR(B6393="vi",B6393="ii",B6393="pod"),(((D6393/100)*(C6393*VLOOKUP(B6393,'Poids des runes'!A:B,2,FALSE)))+1),(((D6393/100)*(C6393*VLOOKUP(B6393,'Poids des runes'!A:B,2,FALSE)))+1)/VLOOKUP(B6393,'Poids des runes'!A:B,2,FALSE))</f>
        <v>1.7796078431372551</v>
      </c>
      <c r="F6393">
        <f t="shared" si="99"/>
        <v>1.7796078431372551</v>
      </c>
    </row>
    <row r="6394" spans="1:6" x14ac:dyDescent="0.3">
      <c r="A6394" t="s">
        <v>1241</v>
      </c>
      <c r="B6394" t="s">
        <v>2153</v>
      </c>
      <c r="C6394">
        <v>8.5</v>
      </c>
      <c r="D6394">
        <v>176</v>
      </c>
      <c r="E6394">
        <f>IF(OR(B6394="vi",B6394="ii",B6394="pod"),(((D6394/100)*(C6394*VLOOKUP(B6394,'Poids des runes'!A:B,2,FALSE)))+1),(((D6394/100)*(C6394*VLOOKUP(B6394,'Poids des runes'!A:B,2,FALSE)))+1)/VLOOKUP(B6394,'Poids des runes'!A:B,2,FALSE))</f>
        <v>15.16</v>
      </c>
      <c r="F6394">
        <f t="shared" si="99"/>
        <v>15.16</v>
      </c>
    </row>
    <row r="6395" spans="1:6" x14ac:dyDescent="0.3">
      <c r="A6395" t="s">
        <v>1241</v>
      </c>
      <c r="B6395" t="s">
        <v>2141</v>
      </c>
      <c r="C6395">
        <v>4.5</v>
      </c>
      <c r="D6395">
        <v>176</v>
      </c>
      <c r="E6395">
        <f>IF(OR(B6395="vi",B6395="ii",B6395="pod"),(((D6395/100)*(C6395*VLOOKUP(B6395,'Poids des runes'!A:B,2,FALSE)))+1),(((D6395/100)*(C6395*VLOOKUP(B6395,'Poids des runes'!A:B,2,FALSE)))+1)/VLOOKUP(B6395,'Poids des runes'!A:B,2,FALSE))</f>
        <v>8.17</v>
      </c>
      <c r="F6395">
        <f t="shared" si="99"/>
        <v>8.17</v>
      </c>
    </row>
    <row r="6396" spans="1:6" x14ac:dyDescent="0.3">
      <c r="A6396" t="s">
        <v>1241</v>
      </c>
      <c r="B6396" t="s">
        <v>2159</v>
      </c>
      <c r="C6396">
        <v>4</v>
      </c>
      <c r="D6396">
        <v>176</v>
      </c>
      <c r="E6396">
        <f>IF(OR(B6396="vi",B6396="ii",B6396="pod"),(((D6396/100)*(C6396*VLOOKUP(B6396,'Poids des runes'!A:B,2,FALSE)))+1),(((D6396/100)*(C6396*VLOOKUP(B6396,'Poids des runes'!A:B,2,FALSE)))+1)/VLOOKUP(B6396,'Poids des runes'!A:B,2,FALSE))</f>
        <v>7.1828571428571433</v>
      </c>
      <c r="F6396">
        <f t="shared" si="99"/>
        <v>7.1828571428571433</v>
      </c>
    </row>
    <row r="6397" spans="1:6" x14ac:dyDescent="0.3">
      <c r="A6397" t="s">
        <v>1241</v>
      </c>
      <c r="B6397" t="s">
        <v>2164</v>
      </c>
      <c r="C6397">
        <v>13</v>
      </c>
      <c r="D6397">
        <v>176</v>
      </c>
      <c r="E6397">
        <f>IF(OR(B6397="vi",B6397="ii",B6397="pod"),(((D6397/100)*(C6397*VLOOKUP(B6397,'Poids des runes'!A:B,2,FALSE)))+1),(((D6397/100)*(C6397*VLOOKUP(B6397,'Poids des runes'!A:B,2,FALSE)))+1)/VLOOKUP(B6397,'Poids des runes'!A:B,2,FALSE))</f>
        <v>23.38</v>
      </c>
      <c r="F6397">
        <f t="shared" si="99"/>
        <v>23.38</v>
      </c>
    </row>
    <row r="6398" spans="1:6" x14ac:dyDescent="0.3">
      <c r="A6398" t="s">
        <v>1241</v>
      </c>
      <c r="B6398" t="s">
        <v>2156</v>
      </c>
      <c r="C6398">
        <v>3.5</v>
      </c>
      <c r="D6398">
        <v>176</v>
      </c>
      <c r="E6398">
        <f>IF(OR(B6398="vi",B6398="ii",B6398="pod"),(((D6398/100)*(C6398*VLOOKUP(B6398,'Poids des runes'!A:B,2,FALSE)))+1),(((D6398/100)*(C6398*VLOOKUP(B6398,'Poids des runes'!A:B,2,FALSE)))+1)/VLOOKUP(B6398,'Poids des runes'!A:B,2,FALSE))</f>
        <v>6.3266666666666671</v>
      </c>
      <c r="F6398">
        <f t="shared" si="99"/>
        <v>6.3266666666666671</v>
      </c>
    </row>
    <row r="6399" spans="1:6" x14ac:dyDescent="0.3">
      <c r="A6399" t="s">
        <v>1241</v>
      </c>
      <c r="B6399" t="s">
        <v>2135</v>
      </c>
      <c r="C6399">
        <v>5</v>
      </c>
      <c r="D6399">
        <v>176</v>
      </c>
      <c r="E6399">
        <f>IF(OR(B6399="vi",B6399="ii",B6399="pod"),(((D6399/100)*(C6399*VLOOKUP(B6399,'Poids des runes'!A:B,2,FALSE)))+1),(((D6399/100)*(C6399*VLOOKUP(B6399,'Poids des runes'!A:B,2,FALSE)))+1)/VLOOKUP(B6399,'Poids des runes'!A:B,2,FALSE))</f>
        <v>8.9666666666666668</v>
      </c>
      <c r="F6399">
        <f t="shared" si="99"/>
        <v>8.9666666666666668</v>
      </c>
    </row>
    <row r="6400" spans="1:6" x14ac:dyDescent="0.3">
      <c r="A6400" t="s">
        <v>1241</v>
      </c>
      <c r="B6400" t="s">
        <v>2144</v>
      </c>
      <c r="C6400">
        <v>8</v>
      </c>
      <c r="D6400">
        <v>176</v>
      </c>
      <c r="E6400">
        <f>IF(OR(B6400="vi",B6400="ii",B6400="pod"),(((D6400/100)*(C6400*VLOOKUP(B6400,'Poids des runes'!A:B,2,FALSE)))+1),(((D6400/100)*(C6400*VLOOKUP(B6400,'Poids des runes'!A:B,2,FALSE)))+1)/VLOOKUP(B6400,'Poids des runes'!A:B,2,FALSE))</f>
        <v>14.58</v>
      </c>
      <c r="F6400">
        <f t="shared" si="99"/>
        <v>14.58</v>
      </c>
    </row>
    <row r="6401" spans="1:6" x14ac:dyDescent="0.3">
      <c r="A6401" t="s">
        <v>1241</v>
      </c>
      <c r="B6401" t="s">
        <v>2145</v>
      </c>
      <c r="C6401">
        <v>8</v>
      </c>
      <c r="D6401">
        <v>176</v>
      </c>
      <c r="E6401">
        <f>IF(OR(B6401="vi",B6401="ii",B6401="pod"),(((D6401/100)*(C6401*VLOOKUP(B6401,'Poids des runes'!A:B,2,FALSE)))+1),(((D6401/100)*(C6401*VLOOKUP(B6401,'Poids des runes'!A:B,2,FALSE)))+1)/VLOOKUP(B6401,'Poids des runes'!A:B,2,FALSE))</f>
        <v>14.58</v>
      </c>
      <c r="F6401">
        <f t="shared" si="99"/>
        <v>14.58</v>
      </c>
    </row>
    <row r="6402" spans="1:6" x14ac:dyDescent="0.3">
      <c r="A6402" t="s">
        <v>1242</v>
      </c>
      <c r="B6402" t="s">
        <v>2128</v>
      </c>
      <c r="C6402">
        <v>225.5</v>
      </c>
      <c r="D6402">
        <v>177</v>
      </c>
      <c r="E6402">
        <f>IF(OR(B6402="vi",B6402="ii",B6402="pod"),(((D6402/100)*(C6402*VLOOKUP(B6402,'Poids des runes'!A:B,2,FALSE)))+1),(((D6402/100)*(C6402*VLOOKUP(B6402,'Poids des runes'!A:B,2,FALSE)))+1)/VLOOKUP(B6402,'Poids des runes'!A:B,2,FALSE))</f>
        <v>80.826999999999998</v>
      </c>
      <c r="F6402">
        <f t="shared" si="99"/>
        <v>80.826999999999998</v>
      </c>
    </row>
    <row r="6403" spans="1:6" x14ac:dyDescent="0.3">
      <c r="A6403" t="s">
        <v>1242</v>
      </c>
      <c r="B6403" t="s">
        <v>2126</v>
      </c>
      <c r="C6403">
        <v>50.5</v>
      </c>
      <c r="D6403">
        <v>177</v>
      </c>
      <c r="E6403">
        <f>IF(OR(B6403="vi",B6403="ii",B6403="pod"),(((D6403/100)*(C6403*VLOOKUP(B6403,'Poids des runes'!A:B,2,FALSE)))+1),(((D6403/100)*(C6403*VLOOKUP(B6403,'Poids des runes'!A:B,2,FALSE)))+1)/VLOOKUP(B6403,'Poids des runes'!A:B,2,FALSE))</f>
        <v>90.385000000000005</v>
      </c>
      <c r="F6403">
        <f t="shared" ref="F6403:F6466" si="100">E6403</f>
        <v>90.385000000000005</v>
      </c>
    </row>
    <row r="6404" spans="1:6" x14ac:dyDescent="0.3">
      <c r="A6404" t="s">
        <v>1242</v>
      </c>
      <c r="B6404" t="s">
        <v>2129</v>
      </c>
      <c r="C6404">
        <v>25.5</v>
      </c>
      <c r="D6404">
        <v>177</v>
      </c>
      <c r="E6404">
        <f>IF(OR(B6404="vi",B6404="ii",B6404="pod"),(((D6404/100)*(C6404*VLOOKUP(B6404,'Poids des runes'!A:B,2,FALSE)))+1),(((D6404/100)*(C6404*VLOOKUP(B6404,'Poids des runes'!A:B,2,FALSE)))+1)/VLOOKUP(B6404,'Poids des runes'!A:B,2,FALSE))</f>
        <v>46.134999999999998</v>
      </c>
      <c r="F6404">
        <f t="shared" si="100"/>
        <v>46.134999999999998</v>
      </c>
    </row>
    <row r="6405" spans="1:6" x14ac:dyDescent="0.3">
      <c r="A6405" t="s">
        <v>1242</v>
      </c>
      <c r="B6405" t="s">
        <v>2152</v>
      </c>
      <c r="C6405">
        <v>1</v>
      </c>
      <c r="D6405">
        <v>177</v>
      </c>
      <c r="E6405">
        <f>IF(OR(B6405="vi",B6405="ii",B6405="pod"),(((D6405/100)*(C6405*VLOOKUP(B6405,'Poids des runes'!A:B,2,FALSE)))+1),(((D6405/100)*(C6405*VLOOKUP(B6405,'Poids des runes'!A:B,2,FALSE)))+1)/VLOOKUP(B6405,'Poids des runes'!A:B,2,FALSE))</f>
        <v>1.78</v>
      </c>
      <c r="F6405">
        <f t="shared" si="100"/>
        <v>1.78</v>
      </c>
    </row>
    <row r="6406" spans="1:6" x14ac:dyDescent="0.3">
      <c r="A6406" t="s">
        <v>1242</v>
      </c>
      <c r="B6406" t="s">
        <v>2155</v>
      </c>
      <c r="C6406">
        <v>1</v>
      </c>
      <c r="D6406">
        <v>177</v>
      </c>
      <c r="E6406">
        <f>IF(OR(B6406="vi",B6406="ii",B6406="pod"),(((D6406/100)*(C6406*VLOOKUP(B6406,'Poids des runes'!A:B,2,FALSE)))+1),(((D6406/100)*(C6406*VLOOKUP(B6406,'Poids des runes'!A:B,2,FALSE)))+1)/VLOOKUP(B6406,'Poids des runes'!A:B,2,FALSE))</f>
        <v>1.7896078431372549</v>
      </c>
      <c r="F6406">
        <f t="shared" si="100"/>
        <v>1.7896078431372549</v>
      </c>
    </row>
    <row r="6407" spans="1:6" x14ac:dyDescent="0.3">
      <c r="A6407" t="s">
        <v>1242</v>
      </c>
      <c r="B6407" t="s">
        <v>2140</v>
      </c>
      <c r="C6407">
        <v>8.5</v>
      </c>
      <c r="D6407">
        <v>177</v>
      </c>
      <c r="E6407">
        <f>IF(OR(B6407="vi",B6407="ii",B6407="pod"),(((D6407/100)*(C6407*VLOOKUP(B6407,'Poids des runes'!A:B,2,FALSE)))+1),(((D6407/100)*(C6407*VLOOKUP(B6407,'Poids des runes'!A:B,2,FALSE)))+1)/VLOOKUP(B6407,'Poids des runes'!A:B,2,FALSE))</f>
        <v>15.244999999999999</v>
      </c>
      <c r="F6407">
        <f t="shared" si="100"/>
        <v>15.244999999999999</v>
      </c>
    </row>
    <row r="6408" spans="1:6" x14ac:dyDescent="0.3">
      <c r="A6408" t="s">
        <v>1242</v>
      </c>
      <c r="B6408" t="s">
        <v>2149</v>
      </c>
      <c r="C6408">
        <v>8.5</v>
      </c>
      <c r="D6408">
        <v>177</v>
      </c>
      <c r="E6408">
        <f>IF(OR(B6408="vi",B6408="ii",B6408="pod"),(((D6408/100)*(C6408*VLOOKUP(B6408,'Poids des runes'!A:B,2,FALSE)))+1),(((D6408/100)*(C6408*VLOOKUP(B6408,'Poids des runes'!A:B,2,FALSE)))+1)/VLOOKUP(B6408,'Poids des runes'!A:B,2,FALSE))</f>
        <v>15.145</v>
      </c>
      <c r="F6408">
        <f t="shared" si="100"/>
        <v>15.145</v>
      </c>
    </row>
    <row r="6409" spans="1:6" x14ac:dyDescent="0.3">
      <c r="A6409" t="s">
        <v>1242</v>
      </c>
      <c r="B6409" t="s">
        <v>2141</v>
      </c>
      <c r="C6409">
        <v>4</v>
      </c>
      <c r="D6409">
        <v>177</v>
      </c>
      <c r="E6409">
        <f>IF(OR(B6409="vi",B6409="ii",B6409="pod"),(((D6409/100)*(C6409*VLOOKUP(B6409,'Poids des runes'!A:B,2,FALSE)))+1),(((D6409/100)*(C6409*VLOOKUP(B6409,'Poids des runes'!A:B,2,FALSE)))+1)/VLOOKUP(B6409,'Poids des runes'!A:B,2,FALSE))</f>
        <v>7.33</v>
      </c>
      <c r="F6409">
        <f t="shared" si="100"/>
        <v>7.33</v>
      </c>
    </row>
    <row r="6410" spans="1:6" x14ac:dyDescent="0.3">
      <c r="A6410" t="s">
        <v>1242</v>
      </c>
      <c r="B6410" t="s">
        <v>2165</v>
      </c>
      <c r="C6410">
        <v>4</v>
      </c>
      <c r="D6410">
        <v>177</v>
      </c>
      <c r="E6410">
        <f>IF(OR(B6410="vi",B6410="ii",B6410="pod"),(((D6410/100)*(C6410*VLOOKUP(B6410,'Poids des runes'!A:B,2,FALSE)))+1),(((D6410/100)*(C6410*VLOOKUP(B6410,'Poids des runes'!A:B,2,FALSE)))+1)/VLOOKUP(B6410,'Poids des runes'!A:B,2,FALSE))</f>
        <v>7.2228571428571433</v>
      </c>
      <c r="F6410">
        <f t="shared" si="100"/>
        <v>7.2228571428571433</v>
      </c>
    </row>
    <row r="6411" spans="1:6" x14ac:dyDescent="0.3">
      <c r="A6411" t="s">
        <v>1242</v>
      </c>
      <c r="B6411" t="s">
        <v>2148</v>
      </c>
      <c r="C6411">
        <v>6.5</v>
      </c>
      <c r="D6411">
        <v>177</v>
      </c>
      <c r="E6411">
        <f>IF(OR(B6411="vi",B6411="ii",B6411="pod"),(((D6411/100)*(C6411*VLOOKUP(B6411,'Poids des runes'!A:B,2,FALSE)))+1),(((D6411/100)*(C6411*VLOOKUP(B6411,'Poids des runes'!A:B,2,FALSE)))+1)/VLOOKUP(B6411,'Poids des runes'!A:B,2,FALSE))</f>
        <v>11.671666666666667</v>
      </c>
      <c r="F6411">
        <f t="shared" si="100"/>
        <v>11.671666666666667</v>
      </c>
    </row>
    <row r="6412" spans="1:6" x14ac:dyDescent="0.3">
      <c r="A6412" t="s">
        <v>1242</v>
      </c>
      <c r="B6412" t="s">
        <v>2157</v>
      </c>
      <c r="C6412">
        <v>6.5</v>
      </c>
      <c r="D6412">
        <v>177</v>
      </c>
      <c r="E6412">
        <f>IF(OR(B6412="vi",B6412="ii",B6412="pod"),(((D6412/100)*(C6412*VLOOKUP(B6412,'Poids des runes'!A:B,2,FALSE)))+1),(((D6412/100)*(C6412*VLOOKUP(B6412,'Poids des runes'!A:B,2,FALSE)))+1)/VLOOKUP(B6412,'Poids des runes'!A:B,2,FALSE))</f>
        <v>11.671666666666667</v>
      </c>
      <c r="F6412">
        <f t="shared" si="100"/>
        <v>11.671666666666667</v>
      </c>
    </row>
    <row r="6413" spans="1:6" x14ac:dyDescent="0.3">
      <c r="A6413" t="s">
        <v>1243</v>
      </c>
      <c r="B6413" t="s">
        <v>2128</v>
      </c>
      <c r="C6413">
        <v>225.5</v>
      </c>
      <c r="D6413">
        <v>177</v>
      </c>
      <c r="E6413">
        <f>IF(OR(B6413="vi",B6413="ii",B6413="pod"),(((D6413/100)*(C6413*VLOOKUP(B6413,'Poids des runes'!A:B,2,FALSE)))+1),(((D6413/100)*(C6413*VLOOKUP(B6413,'Poids des runes'!A:B,2,FALSE)))+1)/VLOOKUP(B6413,'Poids des runes'!A:B,2,FALSE))</f>
        <v>80.826999999999998</v>
      </c>
      <c r="F6413">
        <f t="shared" si="100"/>
        <v>80.826999999999998</v>
      </c>
    </row>
    <row r="6414" spans="1:6" x14ac:dyDescent="0.3">
      <c r="A6414" t="s">
        <v>1243</v>
      </c>
      <c r="B6414" t="s">
        <v>2130</v>
      </c>
      <c r="C6414">
        <v>35.5</v>
      </c>
      <c r="D6414">
        <v>177</v>
      </c>
      <c r="E6414">
        <f>IF(OR(B6414="vi",B6414="ii",B6414="pod"),(((D6414/100)*(C6414*VLOOKUP(B6414,'Poids des runes'!A:B,2,FALSE)))+1),(((D6414/100)*(C6414*VLOOKUP(B6414,'Poids des runes'!A:B,2,FALSE)))+1)/VLOOKUP(B6414,'Poids des runes'!A:B,2,FALSE))</f>
        <v>63.835000000000001</v>
      </c>
      <c r="F6414">
        <f t="shared" si="100"/>
        <v>63.835000000000001</v>
      </c>
    </row>
    <row r="6415" spans="1:6" x14ac:dyDescent="0.3">
      <c r="A6415" t="s">
        <v>1243</v>
      </c>
      <c r="B6415" t="s">
        <v>2131</v>
      </c>
      <c r="C6415">
        <v>35.5</v>
      </c>
      <c r="D6415">
        <v>177</v>
      </c>
      <c r="E6415">
        <f>IF(OR(B6415="vi",B6415="ii",B6415="pod"),(((D6415/100)*(C6415*VLOOKUP(B6415,'Poids des runes'!A:B,2,FALSE)))+1),(((D6415/100)*(C6415*VLOOKUP(B6415,'Poids des runes'!A:B,2,FALSE)))+1)/VLOOKUP(B6415,'Poids des runes'!A:B,2,FALSE))</f>
        <v>63.835000000000001</v>
      </c>
      <c r="F6415">
        <f t="shared" si="100"/>
        <v>63.835000000000001</v>
      </c>
    </row>
    <row r="6416" spans="1:6" x14ac:dyDescent="0.3">
      <c r="A6416" t="s">
        <v>1243</v>
      </c>
      <c r="B6416" t="s">
        <v>2129</v>
      </c>
      <c r="C6416">
        <v>25.5</v>
      </c>
      <c r="D6416">
        <v>177</v>
      </c>
      <c r="E6416">
        <f>IF(OR(B6416="vi",B6416="ii",B6416="pod"),(((D6416/100)*(C6416*VLOOKUP(B6416,'Poids des runes'!A:B,2,FALSE)))+1),(((D6416/100)*(C6416*VLOOKUP(B6416,'Poids des runes'!A:B,2,FALSE)))+1)/VLOOKUP(B6416,'Poids des runes'!A:B,2,FALSE))</f>
        <v>46.134999999999998</v>
      </c>
      <c r="F6416">
        <f t="shared" si="100"/>
        <v>46.134999999999998</v>
      </c>
    </row>
    <row r="6417" spans="1:6" x14ac:dyDescent="0.3">
      <c r="A6417" t="s">
        <v>1243</v>
      </c>
      <c r="B6417" t="s">
        <v>2139</v>
      </c>
      <c r="C6417">
        <v>25.5</v>
      </c>
      <c r="D6417">
        <v>177</v>
      </c>
      <c r="E6417">
        <f>IF(OR(B6417="vi",B6417="ii",B6417="pod"),(((D6417/100)*(C6417*VLOOKUP(B6417,'Poids des runes'!A:B,2,FALSE)))+1),(((D6417/100)*(C6417*VLOOKUP(B6417,'Poids des runes'!A:B,2,FALSE)))+1)/VLOOKUP(B6417,'Poids des runes'!A:B,2,FALSE))</f>
        <v>45.634999999999998</v>
      </c>
      <c r="F6417">
        <f t="shared" si="100"/>
        <v>45.634999999999998</v>
      </c>
    </row>
    <row r="6418" spans="1:6" x14ac:dyDescent="0.3">
      <c r="A6418" t="s">
        <v>1243</v>
      </c>
      <c r="B6418" t="s">
        <v>2152</v>
      </c>
      <c r="C6418">
        <v>1</v>
      </c>
      <c r="D6418">
        <v>177</v>
      </c>
      <c r="E6418">
        <f>IF(OR(B6418="vi",B6418="ii",B6418="pod"),(((D6418/100)*(C6418*VLOOKUP(B6418,'Poids des runes'!A:B,2,FALSE)))+1),(((D6418/100)*(C6418*VLOOKUP(B6418,'Poids des runes'!A:B,2,FALSE)))+1)/VLOOKUP(B6418,'Poids des runes'!A:B,2,FALSE))</f>
        <v>1.78</v>
      </c>
      <c r="F6418">
        <f t="shared" si="100"/>
        <v>1.78</v>
      </c>
    </row>
    <row r="6419" spans="1:6" x14ac:dyDescent="0.3">
      <c r="A6419" t="s">
        <v>1243</v>
      </c>
      <c r="B6419" t="s">
        <v>2143</v>
      </c>
      <c r="C6419">
        <v>10</v>
      </c>
      <c r="D6419">
        <v>177</v>
      </c>
      <c r="E6419">
        <f>IF(OR(B6419="vi",B6419="ii",B6419="pod"),(((D6419/100)*(C6419*VLOOKUP(B6419,'Poids des runes'!A:B,2,FALSE)))+1),(((D6419/100)*(C6419*VLOOKUP(B6419,'Poids des runes'!A:B,2,FALSE)))+1)/VLOOKUP(B6419,'Poids des runes'!A:B,2,FALSE))</f>
        <v>17.899999999999999</v>
      </c>
      <c r="F6419">
        <f t="shared" si="100"/>
        <v>17.899999999999999</v>
      </c>
    </row>
    <row r="6420" spans="1:6" x14ac:dyDescent="0.3">
      <c r="A6420" t="s">
        <v>1243</v>
      </c>
      <c r="B6420" t="s">
        <v>2133</v>
      </c>
      <c r="C6420">
        <v>10</v>
      </c>
      <c r="D6420">
        <v>177</v>
      </c>
      <c r="E6420">
        <f>IF(OR(B6420="vi",B6420="ii",B6420="pod"),(((D6420/100)*(C6420*VLOOKUP(B6420,'Poids des runes'!A:B,2,FALSE)))+1),(((D6420/100)*(C6420*VLOOKUP(B6420,'Poids des runes'!A:B,2,FALSE)))+1)/VLOOKUP(B6420,'Poids des runes'!A:B,2,FALSE))</f>
        <v>17.899999999999999</v>
      </c>
      <c r="F6420">
        <f t="shared" si="100"/>
        <v>17.899999999999999</v>
      </c>
    </row>
    <row r="6421" spans="1:6" x14ac:dyDescent="0.3">
      <c r="A6421" t="s">
        <v>1243</v>
      </c>
      <c r="B6421" t="s">
        <v>2161</v>
      </c>
      <c r="C6421">
        <v>13</v>
      </c>
      <c r="D6421">
        <v>177</v>
      </c>
      <c r="E6421">
        <f>IF(OR(B6421="vi",B6421="ii",B6421="pod"),(((D6421/100)*(C6421*VLOOKUP(B6421,'Poids des runes'!A:B,2,FALSE)))+1),(((D6421/100)*(C6421*VLOOKUP(B6421,'Poids des runes'!A:B,2,FALSE)))+1)/VLOOKUP(B6421,'Poids des runes'!A:B,2,FALSE))</f>
        <v>23.343333333333334</v>
      </c>
      <c r="F6421">
        <f t="shared" si="100"/>
        <v>23.343333333333334</v>
      </c>
    </row>
    <row r="6422" spans="1:6" x14ac:dyDescent="0.3">
      <c r="A6422" t="s">
        <v>1243</v>
      </c>
      <c r="B6422" t="s">
        <v>2132</v>
      </c>
      <c r="C6422">
        <v>250.5</v>
      </c>
      <c r="D6422">
        <v>177</v>
      </c>
      <c r="E6422">
        <f>IF(OR(B6422="vi",B6422="ii",B6422="pod"),(((D6422/100)*(C6422*VLOOKUP(B6422,'Poids des runes'!A:B,2,FALSE)))+1),(((D6422/100)*(C6422*VLOOKUP(B6422,'Poids des runes'!A:B,2,FALSE)))+1)/VLOOKUP(B6422,'Poids des runes'!A:B,2,FALSE))</f>
        <v>45.338500000000003</v>
      </c>
      <c r="F6422">
        <f t="shared" si="100"/>
        <v>45.338500000000003</v>
      </c>
    </row>
    <row r="6423" spans="1:6" x14ac:dyDescent="0.3">
      <c r="A6423" t="s">
        <v>1243</v>
      </c>
      <c r="B6423" t="s">
        <v>2159</v>
      </c>
      <c r="C6423">
        <v>4.5</v>
      </c>
      <c r="D6423">
        <v>177</v>
      </c>
      <c r="E6423">
        <f>IF(OR(B6423="vi",B6423="ii",B6423="pod"),(((D6423/100)*(C6423*VLOOKUP(B6423,'Poids des runes'!A:B,2,FALSE)))+1),(((D6423/100)*(C6423*VLOOKUP(B6423,'Poids des runes'!A:B,2,FALSE)))+1)/VLOOKUP(B6423,'Poids des runes'!A:B,2,FALSE))</f>
        <v>8.107857142857144</v>
      </c>
      <c r="F6423">
        <f t="shared" si="100"/>
        <v>8.107857142857144</v>
      </c>
    </row>
    <row r="6424" spans="1:6" x14ac:dyDescent="0.3">
      <c r="A6424" t="s">
        <v>1243</v>
      </c>
      <c r="B6424" t="s">
        <v>2147</v>
      </c>
      <c r="C6424">
        <v>3.5</v>
      </c>
      <c r="D6424">
        <v>177</v>
      </c>
      <c r="E6424">
        <f>IF(OR(B6424="vi",B6424="ii",B6424="pod"),(((D6424/100)*(C6424*VLOOKUP(B6424,'Poids des runes'!A:B,2,FALSE)))+1),(((D6424/100)*(C6424*VLOOKUP(B6424,'Poids des runes'!A:B,2,FALSE)))+1)/VLOOKUP(B6424,'Poids des runes'!A:B,2,FALSE))</f>
        <v>6.3616666666666672</v>
      </c>
      <c r="F6424">
        <f t="shared" si="100"/>
        <v>6.3616666666666672</v>
      </c>
    </row>
    <row r="6425" spans="1:6" x14ac:dyDescent="0.3">
      <c r="A6425" t="s">
        <v>1243</v>
      </c>
      <c r="B6425" t="s">
        <v>2136</v>
      </c>
      <c r="C6425">
        <v>13</v>
      </c>
      <c r="D6425">
        <v>177</v>
      </c>
      <c r="E6425">
        <f>IF(OR(B6425="vi",B6425="ii",B6425="pod"),(((D6425/100)*(C6425*VLOOKUP(B6425,'Poids des runes'!A:B,2,FALSE)))+1),(((D6425/100)*(C6425*VLOOKUP(B6425,'Poids des runes'!A:B,2,FALSE)))+1)/VLOOKUP(B6425,'Poids des runes'!A:B,2,FALSE))</f>
        <v>23.51</v>
      </c>
      <c r="F6425">
        <f t="shared" si="100"/>
        <v>23.51</v>
      </c>
    </row>
    <row r="6426" spans="1:6" x14ac:dyDescent="0.3">
      <c r="A6426" t="s">
        <v>1244</v>
      </c>
      <c r="B6426" t="s">
        <v>2128</v>
      </c>
      <c r="C6426">
        <v>325.5</v>
      </c>
      <c r="D6426">
        <v>177</v>
      </c>
      <c r="E6426">
        <f>IF(OR(B6426="vi",B6426="ii",B6426="pod"),(((D6426/100)*(C6426*VLOOKUP(B6426,'Poids des runes'!A:B,2,FALSE)))+1),(((D6426/100)*(C6426*VLOOKUP(B6426,'Poids des runes'!A:B,2,FALSE)))+1)/VLOOKUP(B6426,'Poids des runes'!A:B,2,FALSE))</f>
        <v>116.22700000000002</v>
      </c>
      <c r="F6426">
        <f t="shared" si="100"/>
        <v>116.22700000000002</v>
      </c>
    </row>
    <row r="6427" spans="1:6" x14ac:dyDescent="0.3">
      <c r="A6427" t="s">
        <v>1244</v>
      </c>
      <c r="B6427" t="s">
        <v>2130</v>
      </c>
      <c r="C6427">
        <v>50.5</v>
      </c>
      <c r="D6427">
        <v>177</v>
      </c>
      <c r="E6427">
        <f>IF(OR(B6427="vi",B6427="ii",B6427="pod"),(((D6427/100)*(C6427*VLOOKUP(B6427,'Poids des runes'!A:B,2,FALSE)))+1),(((D6427/100)*(C6427*VLOOKUP(B6427,'Poids des runes'!A:B,2,FALSE)))+1)/VLOOKUP(B6427,'Poids des runes'!A:B,2,FALSE))</f>
        <v>90.385000000000005</v>
      </c>
      <c r="F6427">
        <f t="shared" si="100"/>
        <v>90.385000000000005</v>
      </c>
    </row>
    <row r="6428" spans="1:6" x14ac:dyDescent="0.3">
      <c r="A6428" t="s">
        <v>1244</v>
      </c>
      <c r="B6428" t="s">
        <v>2129</v>
      </c>
      <c r="C6428">
        <v>25.5</v>
      </c>
      <c r="D6428">
        <v>177</v>
      </c>
      <c r="E6428">
        <f>IF(OR(B6428="vi",B6428="ii",B6428="pod"),(((D6428/100)*(C6428*VLOOKUP(B6428,'Poids des runes'!A:B,2,FALSE)))+1),(((D6428/100)*(C6428*VLOOKUP(B6428,'Poids des runes'!A:B,2,FALSE)))+1)/VLOOKUP(B6428,'Poids des runes'!A:B,2,FALSE))</f>
        <v>46.134999999999998</v>
      </c>
      <c r="F6428">
        <f t="shared" si="100"/>
        <v>46.134999999999998</v>
      </c>
    </row>
    <row r="6429" spans="1:6" x14ac:dyDescent="0.3">
      <c r="A6429" t="s">
        <v>1244</v>
      </c>
      <c r="B6429" t="s">
        <v>2151</v>
      </c>
      <c r="C6429">
        <v>3.5</v>
      </c>
      <c r="D6429">
        <v>177</v>
      </c>
      <c r="E6429">
        <f>IF(OR(B6429="vi",B6429="ii",B6429="pod"),(((D6429/100)*(C6429*VLOOKUP(B6429,'Poids des runes'!A:B,2,FALSE)))+1),(((D6429/100)*(C6429*VLOOKUP(B6429,'Poids des runes'!A:B,2,FALSE)))+1)/VLOOKUP(B6429,'Poids des runes'!A:B,2,FALSE))</f>
        <v>6.2949999999999999</v>
      </c>
      <c r="F6429">
        <f t="shared" si="100"/>
        <v>6.2949999999999999</v>
      </c>
    </row>
    <row r="6430" spans="1:6" x14ac:dyDescent="0.3">
      <c r="A6430" t="s">
        <v>1244</v>
      </c>
      <c r="B6430" t="s">
        <v>2150</v>
      </c>
      <c r="C6430">
        <v>1</v>
      </c>
      <c r="D6430">
        <v>177</v>
      </c>
      <c r="E6430">
        <f>IF(OR(B6430="vi",B6430="ii",B6430="pod"),(((D6430/100)*(C6430*VLOOKUP(B6430,'Poids des runes'!A:B,2,FALSE)))+1),(((D6430/100)*(C6430*VLOOKUP(B6430,'Poids des runes'!A:B,2,FALSE)))+1)/VLOOKUP(B6430,'Poids des runes'!A:B,2,FALSE))</f>
        <v>1.8033333333333335</v>
      </c>
      <c r="F6430">
        <f t="shared" si="100"/>
        <v>1.8033333333333335</v>
      </c>
    </row>
    <row r="6431" spans="1:6" x14ac:dyDescent="0.3">
      <c r="A6431" t="s">
        <v>1244</v>
      </c>
      <c r="B6431" t="s">
        <v>2134</v>
      </c>
      <c r="C6431">
        <v>4.5</v>
      </c>
      <c r="D6431">
        <v>177</v>
      </c>
      <c r="E6431">
        <f>IF(OR(B6431="vi",B6431="ii",B6431="pod"),(((D6431/100)*(C6431*VLOOKUP(B6431,'Poids des runes'!A:B,2,FALSE)))+1),(((D6431/100)*(C6431*VLOOKUP(B6431,'Poids des runes'!A:B,2,FALSE)))+1)/VLOOKUP(B6431,'Poids des runes'!A:B,2,FALSE))</f>
        <v>8.0150000000000006</v>
      </c>
      <c r="F6431">
        <f t="shared" si="100"/>
        <v>8.0150000000000006</v>
      </c>
    </row>
    <row r="6432" spans="1:6" x14ac:dyDescent="0.3">
      <c r="A6432" t="s">
        <v>1244</v>
      </c>
      <c r="B6432" t="s">
        <v>2161</v>
      </c>
      <c r="C6432">
        <v>15.5</v>
      </c>
      <c r="D6432">
        <v>177</v>
      </c>
      <c r="E6432">
        <f>IF(OR(B6432="vi",B6432="ii",B6432="pod"),(((D6432/100)*(C6432*VLOOKUP(B6432,'Poids des runes'!A:B,2,FALSE)))+1),(((D6432/100)*(C6432*VLOOKUP(B6432,'Poids des runes'!A:B,2,FALSE)))+1)/VLOOKUP(B6432,'Poids des runes'!A:B,2,FALSE))</f>
        <v>27.768333333333334</v>
      </c>
      <c r="F6432">
        <f t="shared" si="100"/>
        <v>27.768333333333334</v>
      </c>
    </row>
    <row r="6433" spans="1:6" x14ac:dyDescent="0.3">
      <c r="A6433" t="s">
        <v>1244</v>
      </c>
      <c r="B6433" t="s">
        <v>2132</v>
      </c>
      <c r="C6433">
        <v>400.5</v>
      </c>
      <c r="D6433">
        <v>177</v>
      </c>
      <c r="E6433">
        <f>IF(OR(B6433="vi",B6433="ii",B6433="pod"),(((D6433/100)*(C6433*VLOOKUP(B6433,'Poids des runes'!A:B,2,FALSE)))+1),(((D6433/100)*(C6433*VLOOKUP(B6433,'Poids des runes'!A:B,2,FALSE)))+1)/VLOOKUP(B6433,'Poids des runes'!A:B,2,FALSE))</f>
        <v>71.888500000000008</v>
      </c>
      <c r="F6433">
        <f t="shared" si="100"/>
        <v>71.888500000000008</v>
      </c>
    </row>
    <row r="6434" spans="1:6" x14ac:dyDescent="0.3">
      <c r="A6434" t="s">
        <v>1244</v>
      </c>
      <c r="B6434" t="s">
        <v>2147</v>
      </c>
      <c r="C6434">
        <v>8</v>
      </c>
      <c r="D6434">
        <v>177</v>
      </c>
      <c r="E6434">
        <f>IF(OR(B6434="vi",B6434="ii",B6434="pod"),(((D6434/100)*(C6434*VLOOKUP(B6434,'Poids des runes'!A:B,2,FALSE)))+1),(((D6434/100)*(C6434*VLOOKUP(B6434,'Poids des runes'!A:B,2,FALSE)))+1)/VLOOKUP(B6434,'Poids des runes'!A:B,2,FALSE))</f>
        <v>14.326666666666668</v>
      </c>
      <c r="F6434">
        <f t="shared" si="100"/>
        <v>14.326666666666668</v>
      </c>
    </row>
    <row r="6435" spans="1:6" x14ac:dyDescent="0.3">
      <c r="A6435" t="s">
        <v>1244</v>
      </c>
      <c r="B6435" t="s">
        <v>2137</v>
      </c>
      <c r="C6435">
        <v>8</v>
      </c>
      <c r="D6435">
        <v>177</v>
      </c>
      <c r="E6435">
        <f>IF(OR(B6435="vi",B6435="ii",B6435="pod"),(((D6435/100)*(C6435*VLOOKUP(B6435,'Poids des runes'!A:B,2,FALSE)))+1),(((D6435/100)*(C6435*VLOOKUP(B6435,'Poids des runes'!A:B,2,FALSE)))+1)/VLOOKUP(B6435,'Poids des runes'!A:B,2,FALSE))</f>
        <v>14.66</v>
      </c>
      <c r="F6435">
        <f t="shared" si="100"/>
        <v>14.66</v>
      </c>
    </row>
    <row r="6436" spans="1:6" x14ac:dyDescent="0.3">
      <c r="A6436" t="s">
        <v>1244</v>
      </c>
      <c r="B6436" t="s">
        <v>2145</v>
      </c>
      <c r="C6436">
        <v>8</v>
      </c>
      <c r="D6436">
        <v>177</v>
      </c>
      <c r="E6436">
        <f>IF(OR(B6436="vi",B6436="ii",B6436="pod"),(((D6436/100)*(C6436*VLOOKUP(B6436,'Poids des runes'!A:B,2,FALSE)))+1),(((D6436/100)*(C6436*VLOOKUP(B6436,'Poids des runes'!A:B,2,FALSE)))+1)/VLOOKUP(B6436,'Poids des runes'!A:B,2,FALSE))</f>
        <v>14.66</v>
      </c>
      <c r="F6436">
        <f t="shared" si="100"/>
        <v>14.66</v>
      </c>
    </row>
    <row r="6437" spans="1:6" x14ac:dyDescent="0.3">
      <c r="A6437" t="s">
        <v>1245</v>
      </c>
      <c r="B6437" t="s">
        <v>2128</v>
      </c>
      <c r="C6437">
        <v>225.5</v>
      </c>
      <c r="D6437">
        <v>177</v>
      </c>
      <c r="E6437">
        <f>IF(OR(B6437="vi",B6437="ii",B6437="pod"),(((D6437/100)*(C6437*VLOOKUP(B6437,'Poids des runes'!A:B,2,FALSE)))+1),(((D6437/100)*(C6437*VLOOKUP(B6437,'Poids des runes'!A:B,2,FALSE)))+1)/VLOOKUP(B6437,'Poids des runes'!A:B,2,FALSE))</f>
        <v>80.826999999999998</v>
      </c>
      <c r="F6437">
        <f t="shared" si="100"/>
        <v>80.826999999999998</v>
      </c>
    </row>
    <row r="6438" spans="1:6" x14ac:dyDescent="0.3">
      <c r="A6438" t="s">
        <v>1245</v>
      </c>
      <c r="B6438" t="s">
        <v>2126</v>
      </c>
      <c r="C6438">
        <v>40.5</v>
      </c>
      <c r="D6438">
        <v>177</v>
      </c>
      <c r="E6438">
        <f>IF(OR(B6438="vi",B6438="ii",B6438="pod"),(((D6438/100)*(C6438*VLOOKUP(B6438,'Poids des runes'!A:B,2,FALSE)))+1),(((D6438/100)*(C6438*VLOOKUP(B6438,'Poids des runes'!A:B,2,FALSE)))+1)/VLOOKUP(B6438,'Poids des runes'!A:B,2,FALSE))</f>
        <v>72.685000000000002</v>
      </c>
      <c r="F6438">
        <f t="shared" si="100"/>
        <v>72.685000000000002</v>
      </c>
    </row>
    <row r="6439" spans="1:6" x14ac:dyDescent="0.3">
      <c r="A6439" t="s">
        <v>1245</v>
      </c>
      <c r="B6439" t="s">
        <v>2127</v>
      </c>
      <c r="C6439">
        <v>40.5</v>
      </c>
      <c r="D6439">
        <v>177</v>
      </c>
      <c r="E6439">
        <f>IF(OR(B6439="vi",B6439="ii",B6439="pod"),(((D6439/100)*(C6439*VLOOKUP(B6439,'Poids des runes'!A:B,2,FALSE)))+1),(((D6439/100)*(C6439*VLOOKUP(B6439,'Poids des runes'!A:B,2,FALSE)))+1)/VLOOKUP(B6439,'Poids des runes'!A:B,2,FALSE))</f>
        <v>72.685000000000002</v>
      </c>
      <c r="F6439">
        <f t="shared" si="100"/>
        <v>72.685000000000002</v>
      </c>
    </row>
    <row r="6440" spans="1:6" x14ac:dyDescent="0.3">
      <c r="A6440" t="s">
        <v>1245</v>
      </c>
      <c r="B6440" t="s">
        <v>2129</v>
      </c>
      <c r="C6440">
        <v>35.5</v>
      </c>
      <c r="D6440">
        <v>177</v>
      </c>
      <c r="E6440">
        <f>IF(OR(B6440="vi",B6440="ii",B6440="pod"),(((D6440/100)*(C6440*VLOOKUP(B6440,'Poids des runes'!A:B,2,FALSE)))+1),(((D6440/100)*(C6440*VLOOKUP(B6440,'Poids des runes'!A:B,2,FALSE)))+1)/VLOOKUP(B6440,'Poids des runes'!A:B,2,FALSE))</f>
        <v>63.835000000000001</v>
      </c>
      <c r="F6440">
        <f t="shared" si="100"/>
        <v>63.835000000000001</v>
      </c>
    </row>
    <row r="6441" spans="1:6" x14ac:dyDescent="0.3">
      <c r="A6441" t="s">
        <v>1245</v>
      </c>
      <c r="B6441" t="s">
        <v>2151</v>
      </c>
      <c r="C6441">
        <v>4.5</v>
      </c>
      <c r="D6441">
        <v>177</v>
      </c>
      <c r="E6441">
        <f>IF(OR(B6441="vi",B6441="ii",B6441="pod"),(((D6441/100)*(C6441*VLOOKUP(B6441,'Poids des runes'!A:B,2,FALSE)))+1),(((D6441/100)*(C6441*VLOOKUP(B6441,'Poids des runes'!A:B,2,FALSE)))+1)/VLOOKUP(B6441,'Poids des runes'!A:B,2,FALSE))</f>
        <v>8.0650000000000013</v>
      </c>
      <c r="F6441">
        <f t="shared" si="100"/>
        <v>8.0650000000000013</v>
      </c>
    </row>
    <row r="6442" spans="1:6" x14ac:dyDescent="0.3">
      <c r="A6442" t="s">
        <v>1245</v>
      </c>
      <c r="B6442" t="s">
        <v>2140</v>
      </c>
      <c r="C6442">
        <v>10</v>
      </c>
      <c r="D6442">
        <v>177</v>
      </c>
      <c r="E6442">
        <f>IF(OR(B6442="vi",B6442="ii",B6442="pod"),(((D6442/100)*(C6442*VLOOKUP(B6442,'Poids des runes'!A:B,2,FALSE)))+1),(((D6442/100)*(C6442*VLOOKUP(B6442,'Poids des runes'!A:B,2,FALSE)))+1)/VLOOKUP(B6442,'Poids des runes'!A:B,2,FALSE))</f>
        <v>17.899999999999999</v>
      </c>
      <c r="F6442">
        <f t="shared" si="100"/>
        <v>17.899999999999999</v>
      </c>
    </row>
    <row r="6443" spans="1:6" x14ac:dyDescent="0.3">
      <c r="A6443" t="s">
        <v>1245</v>
      </c>
      <c r="B6443" t="s">
        <v>2153</v>
      </c>
      <c r="C6443">
        <v>10</v>
      </c>
      <c r="D6443">
        <v>177</v>
      </c>
      <c r="E6443">
        <f>IF(OR(B6443="vi",B6443="ii",B6443="pod"),(((D6443/100)*(C6443*VLOOKUP(B6443,'Poids des runes'!A:B,2,FALSE)))+1),(((D6443/100)*(C6443*VLOOKUP(B6443,'Poids des runes'!A:B,2,FALSE)))+1)/VLOOKUP(B6443,'Poids des runes'!A:B,2,FALSE))</f>
        <v>17.899999999999999</v>
      </c>
      <c r="F6443">
        <f t="shared" si="100"/>
        <v>17.899999999999999</v>
      </c>
    </row>
    <row r="6444" spans="1:6" x14ac:dyDescent="0.3">
      <c r="A6444" t="s">
        <v>1245</v>
      </c>
      <c r="B6444" t="s">
        <v>2161</v>
      </c>
      <c r="C6444">
        <v>15.5</v>
      </c>
      <c r="D6444">
        <v>177</v>
      </c>
      <c r="E6444">
        <f>IF(OR(B6444="vi",B6444="ii",B6444="pod"),(((D6444/100)*(C6444*VLOOKUP(B6444,'Poids des runes'!A:B,2,FALSE)))+1),(((D6444/100)*(C6444*VLOOKUP(B6444,'Poids des runes'!A:B,2,FALSE)))+1)/VLOOKUP(B6444,'Poids des runes'!A:B,2,FALSE))</f>
        <v>27.768333333333334</v>
      </c>
      <c r="F6444">
        <f t="shared" si="100"/>
        <v>27.768333333333334</v>
      </c>
    </row>
    <row r="6445" spans="1:6" x14ac:dyDescent="0.3">
      <c r="A6445" t="s">
        <v>1245</v>
      </c>
      <c r="B6445" t="s">
        <v>2132</v>
      </c>
      <c r="C6445">
        <v>250.5</v>
      </c>
      <c r="D6445">
        <v>177</v>
      </c>
      <c r="E6445">
        <f>IF(OR(B6445="vi",B6445="ii",B6445="pod"),(((D6445/100)*(C6445*VLOOKUP(B6445,'Poids des runes'!A:B,2,FALSE)))+1),(((D6445/100)*(C6445*VLOOKUP(B6445,'Poids des runes'!A:B,2,FALSE)))+1)/VLOOKUP(B6445,'Poids des runes'!A:B,2,FALSE))</f>
        <v>45.338500000000003</v>
      </c>
      <c r="F6445">
        <f t="shared" si="100"/>
        <v>45.338500000000003</v>
      </c>
    </row>
    <row r="6446" spans="1:6" x14ac:dyDescent="0.3">
      <c r="A6446" t="s">
        <v>1245</v>
      </c>
      <c r="B6446" t="s">
        <v>2141</v>
      </c>
      <c r="C6446">
        <v>4.5</v>
      </c>
      <c r="D6446">
        <v>177</v>
      </c>
      <c r="E6446">
        <f>IF(OR(B6446="vi",B6446="ii",B6446="pod"),(((D6446/100)*(C6446*VLOOKUP(B6446,'Poids des runes'!A:B,2,FALSE)))+1),(((D6446/100)*(C6446*VLOOKUP(B6446,'Poids des runes'!A:B,2,FALSE)))+1)/VLOOKUP(B6446,'Poids des runes'!A:B,2,FALSE))</f>
        <v>8.2149999999999999</v>
      </c>
      <c r="F6446">
        <f t="shared" si="100"/>
        <v>8.2149999999999999</v>
      </c>
    </row>
    <row r="6447" spans="1:6" x14ac:dyDescent="0.3">
      <c r="A6447" t="s">
        <v>1245</v>
      </c>
      <c r="B6447" t="s">
        <v>2162</v>
      </c>
      <c r="C6447">
        <v>4.5</v>
      </c>
      <c r="D6447">
        <v>177</v>
      </c>
      <c r="E6447">
        <f>IF(OR(B6447="vi",B6447="ii",B6447="pod"),(((D6447/100)*(C6447*VLOOKUP(B6447,'Poids des runes'!A:B,2,FALSE)))+1),(((D6447/100)*(C6447*VLOOKUP(B6447,'Poids des runes'!A:B,2,FALSE)))+1)/VLOOKUP(B6447,'Poids des runes'!A:B,2,FALSE))</f>
        <v>8.107857142857144</v>
      </c>
      <c r="F6447">
        <f t="shared" si="100"/>
        <v>8.107857142857144</v>
      </c>
    </row>
    <row r="6448" spans="1:6" x14ac:dyDescent="0.3">
      <c r="A6448" t="s">
        <v>1245</v>
      </c>
      <c r="B6448" t="s">
        <v>2157</v>
      </c>
      <c r="C6448">
        <v>6</v>
      </c>
      <c r="D6448">
        <v>177</v>
      </c>
      <c r="E6448">
        <f>IF(OR(B6448="vi",B6448="ii",B6448="pod"),(((D6448/100)*(C6448*VLOOKUP(B6448,'Poids des runes'!A:B,2,FALSE)))+1),(((D6448/100)*(C6448*VLOOKUP(B6448,'Poids des runes'!A:B,2,FALSE)))+1)/VLOOKUP(B6448,'Poids des runes'!A:B,2,FALSE))</f>
        <v>10.786666666666667</v>
      </c>
      <c r="F6448">
        <f t="shared" si="100"/>
        <v>10.786666666666667</v>
      </c>
    </row>
    <row r="6449" spans="1:6" x14ac:dyDescent="0.3">
      <c r="A6449" t="s">
        <v>1245</v>
      </c>
      <c r="B6449" t="s">
        <v>2136</v>
      </c>
      <c r="C6449">
        <v>6</v>
      </c>
      <c r="D6449">
        <v>177</v>
      </c>
      <c r="E6449">
        <f>IF(OR(B6449="vi",B6449="ii",B6449="pod"),(((D6449/100)*(C6449*VLOOKUP(B6449,'Poids des runes'!A:B,2,FALSE)))+1),(((D6449/100)*(C6449*VLOOKUP(B6449,'Poids des runes'!A:B,2,FALSE)))+1)/VLOOKUP(B6449,'Poids des runes'!A:B,2,FALSE))</f>
        <v>11.120000000000001</v>
      </c>
      <c r="F6449">
        <f t="shared" si="100"/>
        <v>11.120000000000001</v>
      </c>
    </row>
    <row r="6450" spans="1:6" x14ac:dyDescent="0.3">
      <c r="A6450" t="s">
        <v>1245</v>
      </c>
      <c r="B6450" t="s">
        <v>2145</v>
      </c>
      <c r="C6450">
        <v>6</v>
      </c>
      <c r="D6450">
        <v>177</v>
      </c>
      <c r="E6450">
        <f>IF(OR(B6450="vi",B6450="ii",B6450="pod"),(((D6450/100)*(C6450*VLOOKUP(B6450,'Poids des runes'!A:B,2,FALSE)))+1),(((D6450/100)*(C6450*VLOOKUP(B6450,'Poids des runes'!A:B,2,FALSE)))+1)/VLOOKUP(B6450,'Poids des runes'!A:B,2,FALSE))</f>
        <v>11.120000000000001</v>
      </c>
      <c r="F6450">
        <f t="shared" si="100"/>
        <v>11.120000000000001</v>
      </c>
    </row>
    <row r="6451" spans="1:6" x14ac:dyDescent="0.3">
      <c r="A6451" t="s">
        <v>1246</v>
      </c>
      <c r="B6451" t="s">
        <v>2128</v>
      </c>
      <c r="C6451">
        <v>350.5</v>
      </c>
      <c r="D6451">
        <v>178</v>
      </c>
      <c r="E6451">
        <f>IF(OR(B6451="vi",B6451="ii",B6451="pod"),(((D6451/100)*(C6451*VLOOKUP(B6451,'Poids des runes'!A:B,2,FALSE)))+1),(((D6451/100)*(C6451*VLOOKUP(B6451,'Poids des runes'!A:B,2,FALSE)))+1)/VLOOKUP(B6451,'Poids des runes'!A:B,2,FALSE))</f>
        <v>125.77800000000002</v>
      </c>
      <c r="F6451">
        <f t="shared" si="100"/>
        <v>125.77800000000002</v>
      </c>
    </row>
    <row r="6452" spans="1:6" x14ac:dyDescent="0.3">
      <c r="A6452" t="s">
        <v>1246</v>
      </c>
      <c r="B6452" t="s">
        <v>2129</v>
      </c>
      <c r="C6452">
        <v>45.5</v>
      </c>
      <c r="D6452">
        <v>178</v>
      </c>
      <c r="E6452">
        <f>IF(OR(B6452="vi",B6452="ii",B6452="pod"),(((D6452/100)*(C6452*VLOOKUP(B6452,'Poids des runes'!A:B,2,FALSE)))+1),(((D6452/100)*(C6452*VLOOKUP(B6452,'Poids des runes'!A:B,2,FALSE)))+1)/VLOOKUP(B6452,'Poids des runes'!A:B,2,FALSE))</f>
        <v>81.99</v>
      </c>
      <c r="F6452">
        <f t="shared" si="100"/>
        <v>81.99</v>
      </c>
    </row>
    <row r="6453" spans="1:6" x14ac:dyDescent="0.3">
      <c r="A6453" t="s">
        <v>1246</v>
      </c>
      <c r="B6453" t="s">
        <v>2139</v>
      </c>
      <c r="C6453">
        <v>45.5</v>
      </c>
      <c r="D6453">
        <v>178</v>
      </c>
      <c r="E6453">
        <f>IF(OR(B6453="vi",B6453="ii",B6453="pod"),(((D6453/100)*(C6453*VLOOKUP(B6453,'Poids des runes'!A:B,2,FALSE)))+1),(((D6453/100)*(C6453*VLOOKUP(B6453,'Poids des runes'!A:B,2,FALSE)))+1)/VLOOKUP(B6453,'Poids des runes'!A:B,2,FALSE))</f>
        <v>81.489999999999995</v>
      </c>
      <c r="F6453">
        <f t="shared" si="100"/>
        <v>81.489999999999995</v>
      </c>
    </row>
    <row r="6454" spans="1:6" x14ac:dyDescent="0.3">
      <c r="A6454" t="s">
        <v>1246</v>
      </c>
      <c r="B6454" t="s">
        <v>2134</v>
      </c>
      <c r="C6454">
        <v>9</v>
      </c>
      <c r="D6454">
        <v>178</v>
      </c>
      <c r="E6454">
        <f>IF(OR(B6454="vi",B6454="ii",B6454="pod"),(((D6454/100)*(C6454*VLOOKUP(B6454,'Poids des runes'!A:B,2,FALSE)))+1),(((D6454/100)*(C6454*VLOOKUP(B6454,'Poids des runes'!A:B,2,FALSE)))+1)/VLOOKUP(B6454,'Poids des runes'!A:B,2,FALSE))</f>
        <v>16.07</v>
      </c>
      <c r="F6454">
        <f t="shared" si="100"/>
        <v>16.07</v>
      </c>
    </row>
    <row r="6455" spans="1:6" x14ac:dyDescent="0.3">
      <c r="A6455" t="s">
        <v>1246</v>
      </c>
      <c r="B6455" t="s">
        <v>2161</v>
      </c>
      <c r="C6455">
        <v>25.5</v>
      </c>
      <c r="D6455">
        <v>178</v>
      </c>
      <c r="E6455">
        <f>IF(OR(B6455="vi",B6455="ii",B6455="pod"),(((D6455/100)*(C6455*VLOOKUP(B6455,'Poids des runes'!A:B,2,FALSE)))+1),(((D6455/100)*(C6455*VLOOKUP(B6455,'Poids des runes'!A:B,2,FALSE)))+1)/VLOOKUP(B6455,'Poids des runes'!A:B,2,FALSE))</f>
        <v>45.723333333333336</v>
      </c>
      <c r="F6455">
        <f t="shared" si="100"/>
        <v>45.723333333333336</v>
      </c>
    </row>
    <row r="6456" spans="1:6" x14ac:dyDescent="0.3">
      <c r="A6456" t="s">
        <v>1246</v>
      </c>
      <c r="B6456" t="s">
        <v>2156</v>
      </c>
      <c r="C6456">
        <v>9</v>
      </c>
      <c r="D6456">
        <v>178</v>
      </c>
      <c r="E6456">
        <f>IF(OR(B6456="vi",B6456="ii",B6456="pod"),(((D6456/100)*(C6456*VLOOKUP(B6456,'Poids des runes'!A:B,2,FALSE)))+1),(((D6456/100)*(C6456*VLOOKUP(B6456,'Poids des runes'!A:B,2,FALSE)))+1)/VLOOKUP(B6456,'Poids des runes'!A:B,2,FALSE))</f>
        <v>16.186666666666667</v>
      </c>
      <c r="F6456">
        <f t="shared" si="100"/>
        <v>16.186666666666667</v>
      </c>
    </row>
    <row r="6457" spans="1:6" x14ac:dyDescent="0.3">
      <c r="A6457" t="s">
        <v>1247</v>
      </c>
      <c r="B6457" t="s">
        <v>2128</v>
      </c>
      <c r="C6457">
        <v>175.5</v>
      </c>
      <c r="D6457">
        <v>178</v>
      </c>
      <c r="E6457">
        <f>IF(OR(B6457="vi",B6457="ii",B6457="pod"),(((D6457/100)*(C6457*VLOOKUP(B6457,'Poids des runes'!A:B,2,FALSE)))+1),(((D6457/100)*(C6457*VLOOKUP(B6457,'Poids des runes'!A:B,2,FALSE)))+1)/VLOOKUP(B6457,'Poids des runes'!A:B,2,FALSE))</f>
        <v>63.478000000000002</v>
      </c>
      <c r="F6457">
        <f t="shared" si="100"/>
        <v>63.478000000000002</v>
      </c>
    </row>
    <row r="6458" spans="1:6" x14ac:dyDescent="0.3">
      <c r="A6458" t="s">
        <v>1247</v>
      </c>
      <c r="B6458" t="s">
        <v>2126</v>
      </c>
      <c r="C6458">
        <v>50.5</v>
      </c>
      <c r="D6458">
        <v>178</v>
      </c>
      <c r="E6458">
        <f>IF(OR(B6458="vi",B6458="ii",B6458="pod"),(((D6458/100)*(C6458*VLOOKUP(B6458,'Poids des runes'!A:B,2,FALSE)))+1),(((D6458/100)*(C6458*VLOOKUP(B6458,'Poids des runes'!A:B,2,FALSE)))+1)/VLOOKUP(B6458,'Poids des runes'!A:B,2,FALSE))</f>
        <v>90.89</v>
      </c>
      <c r="F6458">
        <f t="shared" si="100"/>
        <v>90.89</v>
      </c>
    </row>
    <row r="6459" spans="1:6" x14ac:dyDescent="0.3">
      <c r="A6459" t="s">
        <v>1247</v>
      </c>
      <c r="B6459" t="s">
        <v>2127</v>
      </c>
      <c r="C6459">
        <v>50.5</v>
      </c>
      <c r="D6459">
        <v>178</v>
      </c>
      <c r="E6459">
        <f>IF(OR(B6459="vi",B6459="ii",B6459="pod"),(((D6459/100)*(C6459*VLOOKUP(B6459,'Poids des runes'!A:B,2,FALSE)))+1),(((D6459/100)*(C6459*VLOOKUP(B6459,'Poids des runes'!A:B,2,FALSE)))+1)/VLOOKUP(B6459,'Poids des runes'!A:B,2,FALSE))</f>
        <v>90.89</v>
      </c>
      <c r="F6459">
        <f t="shared" si="100"/>
        <v>90.89</v>
      </c>
    </row>
    <row r="6460" spans="1:6" x14ac:dyDescent="0.3">
      <c r="A6460" t="s">
        <v>1247</v>
      </c>
      <c r="B6460" t="s">
        <v>2129</v>
      </c>
      <c r="C6460">
        <v>35.5</v>
      </c>
      <c r="D6460">
        <v>178</v>
      </c>
      <c r="E6460">
        <f>IF(OR(B6460="vi",B6460="ii",B6460="pod"),(((D6460/100)*(C6460*VLOOKUP(B6460,'Poids des runes'!A:B,2,FALSE)))+1),(((D6460/100)*(C6460*VLOOKUP(B6460,'Poids des runes'!A:B,2,FALSE)))+1)/VLOOKUP(B6460,'Poids des runes'!A:B,2,FALSE))</f>
        <v>64.19</v>
      </c>
      <c r="F6460">
        <f t="shared" si="100"/>
        <v>64.19</v>
      </c>
    </row>
    <row r="6461" spans="1:6" x14ac:dyDescent="0.3">
      <c r="A6461" t="s">
        <v>1247</v>
      </c>
      <c r="B6461" t="s">
        <v>2151</v>
      </c>
      <c r="C6461">
        <v>3.5</v>
      </c>
      <c r="D6461">
        <v>178</v>
      </c>
      <c r="E6461">
        <f>IF(OR(B6461="vi",B6461="ii",B6461="pod"),(((D6461/100)*(C6461*VLOOKUP(B6461,'Poids des runes'!A:B,2,FALSE)))+1),(((D6461/100)*(C6461*VLOOKUP(B6461,'Poids des runes'!A:B,2,FALSE)))+1)/VLOOKUP(B6461,'Poids des runes'!A:B,2,FALSE))</f>
        <v>6.33</v>
      </c>
      <c r="F6461">
        <f t="shared" si="100"/>
        <v>6.33</v>
      </c>
    </row>
    <row r="6462" spans="1:6" x14ac:dyDescent="0.3">
      <c r="A6462" t="s">
        <v>1247</v>
      </c>
      <c r="B6462" t="s">
        <v>2150</v>
      </c>
      <c r="C6462">
        <v>1</v>
      </c>
      <c r="D6462">
        <v>178</v>
      </c>
      <c r="E6462">
        <f>IF(OR(B6462="vi",B6462="ii",B6462="pod"),(((D6462/100)*(C6462*VLOOKUP(B6462,'Poids des runes'!A:B,2,FALSE)))+1),(((D6462/100)*(C6462*VLOOKUP(B6462,'Poids des runes'!A:B,2,FALSE)))+1)/VLOOKUP(B6462,'Poids des runes'!A:B,2,FALSE))</f>
        <v>1.8133333333333332</v>
      </c>
      <c r="F6462">
        <f t="shared" si="100"/>
        <v>1.8133333333333332</v>
      </c>
    </row>
    <row r="6463" spans="1:6" x14ac:dyDescent="0.3">
      <c r="A6463" t="s">
        <v>1247</v>
      </c>
      <c r="B6463" t="s">
        <v>2140</v>
      </c>
      <c r="C6463">
        <v>8.5</v>
      </c>
      <c r="D6463">
        <v>178</v>
      </c>
      <c r="E6463">
        <f>IF(OR(B6463="vi",B6463="ii",B6463="pod"),(((D6463/100)*(C6463*VLOOKUP(B6463,'Poids des runes'!A:B,2,FALSE)))+1),(((D6463/100)*(C6463*VLOOKUP(B6463,'Poids des runes'!A:B,2,FALSE)))+1)/VLOOKUP(B6463,'Poids des runes'!A:B,2,FALSE))</f>
        <v>15.330000000000002</v>
      </c>
      <c r="F6463">
        <f t="shared" si="100"/>
        <v>15.330000000000002</v>
      </c>
    </row>
    <row r="6464" spans="1:6" x14ac:dyDescent="0.3">
      <c r="A6464" t="s">
        <v>1247</v>
      </c>
      <c r="B6464" t="s">
        <v>2153</v>
      </c>
      <c r="C6464">
        <v>8.5</v>
      </c>
      <c r="D6464">
        <v>178</v>
      </c>
      <c r="E6464">
        <f>IF(OR(B6464="vi",B6464="ii",B6464="pod"),(((D6464/100)*(C6464*VLOOKUP(B6464,'Poids des runes'!A:B,2,FALSE)))+1),(((D6464/100)*(C6464*VLOOKUP(B6464,'Poids des runes'!A:B,2,FALSE)))+1)/VLOOKUP(B6464,'Poids des runes'!A:B,2,FALSE))</f>
        <v>15.330000000000002</v>
      </c>
      <c r="F6464">
        <f t="shared" si="100"/>
        <v>15.330000000000002</v>
      </c>
    </row>
    <row r="6465" spans="1:6" x14ac:dyDescent="0.3">
      <c r="A6465" t="s">
        <v>1247</v>
      </c>
      <c r="B6465" t="s">
        <v>2149</v>
      </c>
      <c r="C6465">
        <v>6</v>
      </c>
      <c r="D6465">
        <v>178</v>
      </c>
      <c r="E6465">
        <f>IF(OR(B6465="vi",B6465="ii",B6465="pod"),(((D6465/100)*(C6465*VLOOKUP(B6465,'Poids des runes'!A:B,2,FALSE)))+1),(((D6465/100)*(C6465*VLOOKUP(B6465,'Poids des runes'!A:B,2,FALSE)))+1)/VLOOKUP(B6465,'Poids des runes'!A:B,2,FALSE))</f>
        <v>10.78</v>
      </c>
      <c r="F6465">
        <f t="shared" si="100"/>
        <v>10.78</v>
      </c>
    </row>
    <row r="6466" spans="1:6" x14ac:dyDescent="0.3">
      <c r="A6466" t="s">
        <v>1247</v>
      </c>
      <c r="B6466" t="s">
        <v>2161</v>
      </c>
      <c r="C6466">
        <v>20.5</v>
      </c>
      <c r="D6466">
        <v>178</v>
      </c>
      <c r="E6466">
        <f>IF(OR(B6466="vi",B6466="ii",B6466="pod"),(((D6466/100)*(C6466*VLOOKUP(B6466,'Poids des runes'!A:B,2,FALSE)))+1),(((D6466/100)*(C6466*VLOOKUP(B6466,'Poids des runes'!A:B,2,FALSE)))+1)/VLOOKUP(B6466,'Poids des runes'!A:B,2,FALSE))</f>
        <v>36.823333333333331</v>
      </c>
      <c r="F6466">
        <f t="shared" si="100"/>
        <v>36.823333333333331</v>
      </c>
    </row>
    <row r="6467" spans="1:6" x14ac:dyDescent="0.3">
      <c r="A6467" t="s">
        <v>1247</v>
      </c>
      <c r="B6467" t="s">
        <v>2141</v>
      </c>
      <c r="C6467">
        <v>3.5</v>
      </c>
      <c r="D6467">
        <v>178</v>
      </c>
      <c r="E6467">
        <f>IF(OR(B6467="vi",B6467="ii",B6467="pod"),(((D6467/100)*(C6467*VLOOKUP(B6467,'Poids des runes'!A:B,2,FALSE)))+1),(((D6467/100)*(C6467*VLOOKUP(B6467,'Poids des runes'!A:B,2,FALSE)))+1)/VLOOKUP(B6467,'Poids des runes'!A:B,2,FALSE))</f>
        <v>6.48</v>
      </c>
      <c r="F6467">
        <f t="shared" ref="F6467:F6530" si="101">E6467</f>
        <v>6.48</v>
      </c>
    </row>
    <row r="6468" spans="1:6" x14ac:dyDescent="0.3">
      <c r="A6468" t="s">
        <v>1247</v>
      </c>
      <c r="B6468" t="s">
        <v>2162</v>
      </c>
      <c r="C6468">
        <v>4.5</v>
      </c>
      <c r="D6468">
        <v>178</v>
      </c>
      <c r="E6468">
        <f>IF(OR(B6468="vi",B6468="ii",B6468="pod"),(((D6468/100)*(C6468*VLOOKUP(B6468,'Poids des runes'!A:B,2,FALSE)))+1),(((D6468/100)*(C6468*VLOOKUP(B6468,'Poids des runes'!A:B,2,FALSE)))+1)/VLOOKUP(B6468,'Poids des runes'!A:B,2,FALSE))</f>
        <v>8.1528571428571421</v>
      </c>
      <c r="F6468">
        <f t="shared" si="101"/>
        <v>8.1528571428571421</v>
      </c>
    </row>
    <row r="6469" spans="1:6" x14ac:dyDescent="0.3">
      <c r="A6469" t="s">
        <v>1247</v>
      </c>
      <c r="B6469" t="s">
        <v>2157</v>
      </c>
      <c r="C6469">
        <v>8.5</v>
      </c>
      <c r="D6469">
        <v>178</v>
      </c>
      <c r="E6469">
        <f>IF(OR(B6469="vi",B6469="ii",B6469="pod"),(((D6469/100)*(C6469*VLOOKUP(B6469,'Poids des runes'!A:B,2,FALSE)))+1),(((D6469/100)*(C6469*VLOOKUP(B6469,'Poids des runes'!A:B,2,FALSE)))+1)/VLOOKUP(B6469,'Poids des runes'!A:B,2,FALSE))</f>
        <v>15.296666666666667</v>
      </c>
      <c r="F6469">
        <f t="shared" si="101"/>
        <v>15.296666666666667</v>
      </c>
    </row>
    <row r="6470" spans="1:6" x14ac:dyDescent="0.3">
      <c r="A6470" t="s">
        <v>1248</v>
      </c>
      <c r="B6470" t="s">
        <v>2128</v>
      </c>
      <c r="C6470">
        <v>175.5</v>
      </c>
      <c r="D6470">
        <v>179</v>
      </c>
      <c r="E6470">
        <f>IF(OR(B6470="vi",B6470="ii",B6470="pod"),(((D6470/100)*(C6470*VLOOKUP(B6470,'Poids des runes'!A:B,2,FALSE)))+1),(((D6470/100)*(C6470*VLOOKUP(B6470,'Poids des runes'!A:B,2,FALSE)))+1)/VLOOKUP(B6470,'Poids des runes'!A:B,2,FALSE))</f>
        <v>63.829000000000001</v>
      </c>
      <c r="F6470">
        <f t="shared" si="101"/>
        <v>63.829000000000001</v>
      </c>
    </row>
    <row r="6471" spans="1:6" x14ac:dyDescent="0.3">
      <c r="A6471" t="s">
        <v>1248</v>
      </c>
      <c r="B6471" t="s">
        <v>2130</v>
      </c>
      <c r="C6471">
        <v>33</v>
      </c>
      <c r="D6471">
        <v>179</v>
      </c>
      <c r="E6471">
        <f>IF(OR(B6471="vi",B6471="ii",B6471="pod"),(((D6471/100)*(C6471*VLOOKUP(B6471,'Poids des runes'!A:B,2,FALSE)))+1),(((D6471/100)*(C6471*VLOOKUP(B6471,'Poids des runes'!A:B,2,FALSE)))+1)/VLOOKUP(B6471,'Poids des runes'!A:B,2,FALSE))</f>
        <v>60.07</v>
      </c>
      <c r="F6471">
        <f t="shared" si="101"/>
        <v>60.07</v>
      </c>
    </row>
    <row r="6472" spans="1:6" x14ac:dyDescent="0.3">
      <c r="A6472" t="s">
        <v>1248</v>
      </c>
      <c r="B6472" t="s">
        <v>2127</v>
      </c>
      <c r="C6472">
        <v>33</v>
      </c>
      <c r="D6472">
        <v>179</v>
      </c>
      <c r="E6472">
        <f>IF(OR(B6472="vi",B6472="ii",B6472="pod"),(((D6472/100)*(C6472*VLOOKUP(B6472,'Poids des runes'!A:B,2,FALSE)))+1),(((D6472/100)*(C6472*VLOOKUP(B6472,'Poids des runes'!A:B,2,FALSE)))+1)/VLOOKUP(B6472,'Poids des runes'!A:B,2,FALSE))</f>
        <v>60.07</v>
      </c>
      <c r="F6472">
        <f t="shared" si="101"/>
        <v>60.07</v>
      </c>
    </row>
    <row r="6473" spans="1:6" x14ac:dyDescent="0.3">
      <c r="A6473" t="s">
        <v>1248</v>
      </c>
      <c r="B6473" t="s">
        <v>2129</v>
      </c>
      <c r="C6473">
        <v>25.5</v>
      </c>
      <c r="D6473">
        <v>179</v>
      </c>
      <c r="E6473">
        <f>IF(OR(B6473="vi",B6473="ii",B6473="pod"),(((D6473/100)*(C6473*VLOOKUP(B6473,'Poids des runes'!A:B,2,FALSE)))+1),(((D6473/100)*(C6473*VLOOKUP(B6473,'Poids des runes'!A:B,2,FALSE)))+1)/VLOOKUP(B6473,'Poids des runes'!A:B,2,FALSE))</f>
        <v>46.645000000000003</v>
      </c>
      <c r="F6473">
        <f t="shared" si="101"/>
        <v>46.645000000000003</v>
      </c>
    </row>
    <row r="6474" spans="1:6" x14ac:dyDescent="0.3">
      <c r="A6474" t="s">
        <v>1248</v>
      </c>
      <c r="B6474" t="s">
        <v>2151</v>
      </c>
      <c r="C6474">
        <v>2.5</v>
      </c>
      <c r="D6474">
        <v>179</v>
      </c>
      <c r="E6474">
        <f>IF(OR(B6474="vi",B6474="ii",B6474="pod"),(((D6474/100)*(C6474*VLOOKUP(B6474,'Poids des runes'!A:B,2,FALSE)))+1),(((D6474/100)*(C6474*VLOOKUP(B6474,'Poids des runes'!A:B,2,FALSE)))+1)/VLOOKUP(B6474,'Poids des runes'!A:B,2,FALSE))</f>
        <v>4.5750000000000002</v>
      </c>
      <c r="F6474">
        <f t="shared" si="101"/>
        <v>4.5750000000000002</v>
      </c>
    </row>
    <row r="6475" spans="1:6" x14ac:dyDescent="0.3">
      <c r="A6475" t="s">
        <v>1248</v>
      </c>
      <c r="B6475" t="s">
        <v>2134</v>
      </c>
      <c r="C6475">
        <v>8</v>
      </c>
      <c r="D6475">
        <v>179</v>
      </c>
      <c r="E6475">
        <f>IF(OR(B6475="vi",B6475="ii",B6475="pod"),(((D6475/100)*(C6475*VLOOKUP(B6475,'Poids des runes'!A:B,2,FALSE)))+1),(((D6475/100)*(C6475*VLOOKUP(B6475,'Poids des runes'!A:B,2,FALSE)))+1)/VLOOKUP(B6475,'Poids des runes'!A:B,2,FALSE))</f>
        <v>14.37</v>
      </c>
      <c r="F6475">
        <f t="shared" si="101"/>
        <v>14.37</v>
      </c>
    </row>
    <row r="6476" spans="1:6" x14ac:dyDescent="0.3">
      <c r="A6476" t="s">
        <v>1248</v>
      </c>
      <c r="B6476" t="s">
        <v>2161</v>
      </c>
      <c r="C6476">
        <v>15.5</v>
      </c>
      <c r="D6476">
        <v>179</v>
      </c>
      <c r="E6476">
        <f>IF(OR(B6476="vi",B6476="ii",B6476="pod"),(((D6476/100)*(C6476*VLOOKUP(B6476,'Poids des runes'!A:B,2,FALSE)))+1),(((D6476/100)*(C6476*VLOOKUP(B6476,'Poids des runes'!A:B,2,FALSE)))+1)/VLOOKUP(B6476,'Poids des runes'!A:B,2,FALSE))</f>
        <v>28.078333333333333</v>
      </c>
      <c r="F6476">
        <f t="shared" si="101"/>
        <v>28.078333333333333</v>
      </c>
    </row>
    <row r="6477" spans="1:6" x14ac:dyDescent="0.3">
      <c r="A6477" t="s">
        <v>1248</v>
      </c>
      <c r="B6477" t="s">
        <v>2132</v>
      </c>
      <c r="C6477">
        <v>350.5</v>
      </c>
      <c r="D6477">
        <v>179</v>
      </c>
      <c r="E6477">
        <f>IF(OR(B6477="vi",B6477="ii",B6477="pod"),(((D6477/100)*(C6477*VLOOKUP(B6477,'Poids des runes'!A:B,2,FALSE)))+1),(((D6477/100)*(C6477*VLOOKUP(B6477,'Poids des runes'!A:B,2,FALSE)))+1)/VLOOKUP(B6477,'Poids des runes'!A:B,2,FALSE))</f>
        <v>63.739500000000007</v>
      </c>
      <c r="F6477">
        <f t="shared" si="101"/>
        <v>63.739500000000007</v>
      </c>
    </row>
    <row r="6478" spans="1:6" x14ac:dyDescent="0.3">
      <c r="A6478" t="s">
        <v>1248</v>
      </c>
      <c r="B6478" t="s">
        <v>2147</v>
      </c>
      <c r="C6478">
        <v>8</v>
      </c>
      <c r="D6478">
        <v>179</v>
      </c>
      <c r="E6478">
        <f>IF(OR(B6478="vi",B6478="ii",B6478="pod"),(((D6478/100)*(C6478*VLOOKUP(B6478,'Poids des runes'!A:B,2,FALSE)))+1),(((D6478/100)*(C6478*VLOOKUP(B6478,'Poids des runes'!A:B,2,FALSE)))+1)/VLOOKUP(B6478,'Poids des runes'!A:B,2,FALSE))</f>
        <v>14.486666666666666</v>
      </c>
      <c r="F6478">
        <f t="shared" si="101"/>
        <v>14.486666666666666</v>
      </c>
    </row>
    <row r="6479" spans="1:6" x14ac:dyDescent="0.3">
      <c r="A6479" t="s">
        <v>1248</v>
      </c>
      <c r="B6479" t="s">
        <v>2144</v>
      </c>
      <c r="C6479">
        <v>8</v>
      </c>
      <c r="D6479">
        <v>179</v>
      </c>
      <c r="E6479">
        <f>IF(OR(B6479="vi",B6479="ii",B6479="pod"),(((D6479/100)*(C6479*VLOOKUP(B6479,'Poids des runes'!A:B,2,FALSE)))+1),(((D6479/100)*(C6479*VLOOKUP(B6479,'Poids des runes'!A:B,2,FALSE)))+1)/VLOOKUP(B6479,'Poids des runes'!A:B,2,FALSE))</f>
        <v>14.82</v>
      </c>
      <c r="F6479">
        <f t="shared" si="101"/>
        <v>14.82</v>
      </c>
    </row>
    <row r="6480" spans="1:6" x14ac:dyDescent="0.3">
      <c r="A6480" t="s">
        <v>1249</v>
      </c>
      <c r="B6480" t="s">
        <v>2128</v>
      </c>
      <c r="C6480">
        <v>175.5</v>
      </c>
      <c r="D6480">
        <v>179</v>
      </c>
      <c r="E6480">
        <f>IF(OR(B6480="vi",B6480="ii",B6480="pod"),(((D6480/100)*(C6480*VLOOKUP(B6480,'Poids des runes'!A:B,2,FALSE)))+1),(((D6480/100)*(C6480*VLOOKUP(B6480,'Poids des runes'!A:B,2,FALSE)))+1)/VLOOKUP(B6480,'Poids des runes'!A:B,2,FALSE))</f>
        <v>63.829000000000001</v>
      </c>
      <c r="F6480">
        <f t="shared" si="101"/>
        <v>63.829000000000001</v>
      </c>
    </row>
    <row r="6481" spans="1:6" x14ac:dyDescent="0.3">
      <c r="A6481" t="s">
        <v>1249</v>
      </c>
      <c r="B6481" t="s">
        <v>2126</v>
      </c>
      <c r="C6481">
        <v>33</v>
      </c>
      <c r="D6481">
        <v>179</v>
      </c>
      <c r="E6481">
        <f>IF(OR(B6481="vi",B6481="ii",B6481="pod"),(((D6481/100)*(C6481*VLOOKUP(B6481,'Poids des runes'!A:B,2,FALSE)))+1),(((D6481/100)*(C6481*VLOOKUP(B6481,'Poids des runes'!A:B,2,FALSE)))+1)/VLOOKUP(B6481,'Poids des runes'!A:B,2,FALSE))</f>
        <v>60.07</v>
      </c>
      <c r="F6481">
        <f t="shared" si="101"/>
        <v>60.07</v>
      </c>
    </row>
    <row r="6482" spans="1:6" x14ac:dyDescent="0.3">
      <c r="A6482" t="s">
        <v>1249</v>
      </c>
      <c r="B6482" t="s">
        <v>2131</v>
      </c>
      <c r="C6482">
        <v>33</v>
      </c>
      <c r="D6482">
        <v>179</v>
      </c>
      <c r="E6482">
        <f>IF(OR(B6482="vi",B6482="ii",B6482="pod"),(((D6482/100)*(C6482*VLOOKUP(B6482,'Poids des runes'!A:B,2,FALSE)))+1),(((D6482/100)*(C6482*VLOOKUP(B6482,'Poids des runes'!A:B,2,FALSE)))+1)/VLOOKUP(B6482,'Poids des runes'!A:B,2,FALSE))</f>
        <v>60.07</v>
      </c>
      <c r="F6482">
        <f t="shared" si="101"/>
        <v>60.07</v>
      </c>
    </row>
    <row r="6483" spans="1:6" x14ac:dyDescent="0.3">
      <c r="A6483" t="s">
        <v>1249</v>
      </c>
      <c r="B6483" t="s">
        <v>2129</v>
      </c>
      <c r="C6483">
        <v>25.5</v>
      </c>
      <c r="D6483">
        <v>179</v>
      </c>
      <c r="E6483">
        <f>IF(OR(B6483="vi",B6483="ii",B6483="pod"),(((D6483/100)*(C6483*VLOOKUP(B6483,'Poids des runes'!A:B,2,FALSE)))+1),(((D6483/100)*(C6483*VLOOKUP(B6483,'Poids des runes'!A:B,2,FALSE)))+1)/VLOOKUP(B6483,'Poids des runes'!A:B,2,FALSE))</f>
        <v>46.645000000000003</v>
      </c>
      <c r="F6483">
        <f t="shared" si="101"/>
        <v>46.645000000000003</v>
      </c>
    </row>
    <row r="6484" spans="1:6" x14ac:dyDescent="0.3">
      <c r="A6484" t="s">
        <v>1249</v>
      </c>
      <c r="B6484" t="s">
        <v>2151</v>
      </c>
      <c r="C6484">
        <v>2.5</v>
      </c>
      <c r="D6484">
        <v>179</v>
      </c>
      <c r="E6484">
        <f>IF(OR(B6484="vi",B6484="ii",B6484="pod"),(((D6484/100)*(C6484*VLOOKUP(B6484,'Poids des runes'!A:B,2,FALSE)))+1),(((D6484/100)*(C6484*VLOOKUP(B6484,'Poids des runes'!A:B,2,FALSE)))+1)/VLOOKUP(B6484,'Poids des runes'!A:B,2,FALSE))</f>
        <v>4.5750000000000002</v>
      </c>
      <c r="F6484">
        <f t="shared" si="101"/>
        <v>4.5750000000000002</v>
      </c>
    </row>
    <row r="6485" spans="1:6" x14ac:dyDescent="0.3">
      <c r="A6485" t="s">
        <v>1249</v>
      </c>
      <c r="B6485" t="s">
        <v>2134</v>
      </c>
      <c r="C6485">
        <v>8</v>
      </c>
      <c r="D6485">
        <v>179</v>
      </c>
      <c r="E6485">
        <f>IF(OR(B6485="vi",B6485="ii",B6485="pod"),(((D6485/100)*(C6485*VLOOKUP(B6485,'Poids des runes'!A:B,2,FALSE)))+1),(((D6485/100)*(C6485*VLOOKUP(B6485,'Poids des runes'!A:B,2,FALSE)))+1)/VLOOKUP(B6485,'Poids des runes'!A:B,2,FALSE))</f>
        <v>14.37</v>
      </c>
      <c r="F6485">
        <f t="shared" si="101"/>
        <v>14.37</v>
      </c>
    </row>
    <row r="6486" spans="1:6" x14ac:dyDescent="0.3">
      <c r="A6486" t="s">
        <v>1249</v>
      </c>
      <c r="B6486" t="s">
        <v>2161</v>
      </c>
      <c r="C6486">
        <v>15.5</v>
      </c>
      <c r="D6486">
        <v>179</v>
      </c>
      <c r="E6486">
        <f>IF(OR(B6486="vi",B6486="ii",B6486="pod"),(((D6486/100)*(C6486*VLOOKUP(B6486,'Poids des runes'!A:B,2,FALSE)))+1),(((D6486/100)*(C6486*VLOOKUP(B6486,'Poids des runes'!A:B,2,FALSE)))+1)/VLOOKUP(B6486,'Poids des runes'!A:B,2,FALSE))</f>
        <v>28.078333333333333</v>
      </c>
      <c r="F6486">
        <f t="shared" si="101"/>
        <v>28.078333333333333</v>
      </c>
    </row>
    <row r="6487" spans="1:6" x14ac:dyDescent="0.3">
      <c r="A6487" t="s">
        <v>1249</v>
      </c>
      <c r="B6487" t="s">
        <v>2132</v>
      </c>
      <c r="C6487">
        <v>350.5</v>
      </c>
      <c r="D6487">
        <v>179</v>
      </c>
      <c r="E6487">
        <f>IF(OR(B6487="vi",B6487="ii",B6487="pod"),(((D6487/100)*(C6487*VLOOKUP(B6487,'Poids des runes'!A:B,2,FALSE)))+1),(((D6487/100)*(C6487*VLOOKUP(B6487,'Poids des runes'!A:B,2,FALSE)))+1)/VLOOKUP(B6487,'Poids des runes'!A:B,2,FALSE))</f>
        <v>63.739500000000007</v>
      </c>
      <c r="F6487">
        <f t="shared" si="101"/>
        <v>63.739500000000007</v>
      </c>
    </row>
    <row r="6488" spans="1:6" x14ac:dyDescent="0.3">
      <c r="A6488" t="s">
        <v>1249</v>
      </c>
      <c r="B6488" t="s">
        <v>2148</v>
      </c>
      <c r="C6488">
        <v>8</v>
      </c>
      <c r="D6488">
        <v>179</v>
      </c>
      <c r="E6488">
        <f>IF(OR(B6488="vi",B6488="ii",B6488="pod"),(((D6488/100)*(C6488*VLOOKUP(B6488,'Poids des runes'!A:B,2,FALSE)))+1),(((D6488/100)*(C6488*VLOOKUP(B6488,'Poids des runes'!A:B,2,FALSE)))+1)/VLOOKUP(B6488,'Poids des runes'!A:B,2,FALSE))</f>
        <v>14.486666666666666</v>
      </c>
      <c r="F6488">
        <f t="shared" si="101"/>
        <v>14.486666666666666</v>
      </c>
    </row>
    <row r="6489" spans="1:6" x14ac:dyDescent="0.3">
      <c r="A6489" t="s">
        <v>1249</v>
      </c>
      <c r="B6489" t="s">
        <v>2137</v>
      </c>
      <c r="C6489">
        <v>8</v>
      </c>
      <c r="D6489">
        <v>179</v>
      </c>
      <c r="E6489">
        <f>IF(OR(B6489="vi",B6489="ii",B6489="pod"),(((D6489/100)*(C6489*VLOOKUP(B6489,'Poids des runes'!A:B,2,FALSE)))+1),(((D6489/100)*(C6489*VLOOKUP(B6489,'Poids des runes'!A:B,2,FALSE)))+1)/VLOOKUP(B6489,'Poids des runes'!A:B,2,FALSE))</f>
        <v>14.82</v>
      </c>
      <c r="F6489">
        <f t="shared" si="101"/>
        <v>14.82</v>
      </c>
    </row>
    <row r="6490" spans="1:6" x14ac:dyDescent="0.3">
      <c r="A6490" t="s">
        <v>1250</v>
      </c>
      <c r="B6490" t="s">
        <v>2128</v>
      </c>
      <c r="C6490">
        <v>375.5</v>
      </c>
      <c r="D6490">
        <v>179</v>
      </c>
      <c r="E6490">
        <f>IF(OR(B6490="vi",B6490="ii",B6490="pod"),(((D6490/100)*(C6490*VLOOKUP(B6490,'Poids des runes'!A:B,2,FALSE)))+1),(((D6490/100)*(C6490*VLOOKUP(B6490,'Poids des runes'!A:B,2,FALSE)))+1)/VLOOKUP(B6490,'Poids des runes'!A:B,2,FALSE))</f>
        <v>135.42900000000003</v>
      </c>
      <c r="F6490">
        <f t="shared" si="101"/>
        <v>135.42900000000003</v>
      </c>
    </row>
    <row r="6491" spans="1:6" x14ac:dyDescent="0.3">
      <c r="A6491" t="s">
        <v>1250</v>
      </c>
      <c r="B6491" t="s">
        <v>2131</v>
      </c>
      <c r="C6491">
        <v>40.5</v>
      </c>
      <c r="D6491">
        <v>179</v>
      </c>
      <c r="E6491">
        <f>IF(OR(B6491="vi",B6491="ii",B6491="pod"),(((D6491/100)*(C6491*VLOOKUP(B6491,'Poids des runes'!A:B,2,FALSE)))+1),(((D6491/100)*(C6491*VLOOKUP(B6491,'Poids des runes'!A:B,2,FALSE)))+1)/VLOOKUP(B6491,'Poids des runes'!A:B,2,FALSE))</f>
        <v>73.495000000000005</v>
      </c>
      <c r="F6491">
        <f t="shared" si="101"/>
        <v>73.495000000000005</v>
      </c>
    </row>
    <row r="6492" spans="1:6" x14ac:dyDescent="0.3">
      <c r="A6492" t="s">
        <v>1250</v>
      </c>
      <c r="B6492" t="s">
        <v>2129</v>
      </c>
      <c r="C6492">
        <v>40.5</v>
      </c>
      <c r="D6492">
        <v>179</v>
      </c>
      <c r="E6492">
        <f>IF(OR(B6492="vi",B6492="ii",B6492="pod"),(((D6492/100)*(C6492*VLOOKUP(B6492,'Poids des runes'!A:B,2,FALSE)))+1),(((D6492/100)*(C6492*VLOOKUP(B6492,'Poids des runes'!A:B,2,FALSE)))+1)/VLOOKUP(B6492,'Poids des runes'!A:B,2,FALSE))</f>
        <v>73.495000000000005</v>
      </c>
      <c r="F6492">
        <f t="shared" si="101"/>
        <v>73.495000000000005</v>
      </c>
    </row>
    <row r="6493" spans="1:6" x14ac:dyDescent="0.3">
      <c r="A6493" t="s">
        <v>1250</v>
      </c>
      <c r="B6493" t="s">
        <v>2151</v>
      </c>
      <c r="C6493">
        <v>2.5</v>
      </c>
      <c r="D6493">
        <v>179</v>
      </c>
      <c r="E6493">
        <f>IF(OR(B6493="vi",B6493="ii",B6493="pod"),(((D6493/100)*(C6493*VLOOKUP(B6493,'Poids des runes'!A:B,2,FALSE)))+1),(((D6493/100)*(C6493*VLOOKUP(B6493,'Poids des runes'!A:B,2,FALSE)))+1)/VLOOKUP(B6493,'Poids des runes'!A:B,2,FALSE))</f>
        <v>4.5750000000000002</v>
      </c>
      <c r="F6493">
        <f t="shared" si="101"/>
        <v>4.5750000000000002</v>
      </c>
    </row>
    <row r="6494" spans="1:6" x14ac:dyDescent="0.3">
      <c r="A6494" t="s">
        <v>1250</v>
      </c>
      <c r="B6494" t="s">
        <v>2150</v>
      </c>
      <c r="C6494">
        <v>1</v>
      </c>
      <c r="D6494">
        <v>179</v>
      </c>
      <c r="E6494">
        <f>IF(OR(B6494="vi",B6494="ii",B6494="pod"),(((D6494/100)*(C6494*VLOOKUP(B6494,'Poids des runes'!A:B,2,FALSE)))+1),(((D6494/100)*(C6494*VLOOKUP(B6494,'Poids des runes'!A:B,2,FALSE)))+1)/VLOOKUP(B6494,'Poids des runes'!A:B,2,FALSE))</f>
        <v>1.8233333333333335</v>
      </c>
      <c r="F6494">
        <f t="shared" si="101"/>
        <v>1.8233333333333335</v>
      </c>
    </row>
    <row r="6495" spans="1:6" x14ac:dyDescent="0.3">
      <c r="A6495" t="s">
        <v>1250</v>
      </c>
      <c r="B6495" t="s">
        <v>2134</v>
      </c>
      <c r="C6495">
        <v>8</v>
      </c>
      <c r="D6495">
        <v>179</v>
      </c>
      <c r="E6495">
        <f>IF(OR(B6495="vi",B6495="ii",B6495="pod"),(((D6495/100)*(C6495*VLOOKUP(B6495,'Poids des runes'!A:B,2,FALSE)))+1),(((D6495/100)*(C6495*VLOOKUP(B6495,'Poids des runes'!A:B,2,FALSE)))+1)/VLOOKUP(B6495,'Poids des runes'!A:B,2,FALSE))</f>
        <v>14.37</v>
      </c>
      <c r="F6495">
        <f t="shared" si="101"/>
        <v>14.37</v>
      </c>
    </row>
    <row r="6496" spans="1:6" x14ac:dyDescent="0.3">
      <c r="A6496" t="s">
        <v>1250</v>
      </c>
      <c r="B6496" t="s">
        <v>2161</v>
      </c>
      <c r="C6496">
        <v>25.5</v>
      </c>
      <c r="D6496">
        <v>179</v>
      </c>
      <c r="E6496">
        <f>IF(OR(B6496="vi",B6496="ii",B6496="pod"),(((D6496/100)*(C6496*VLOOKUP(B6496,'Poids des runes'!A:B,2,FALSE)))+1),(((D6496/100)*(C6496*VLOOKUP(B6496,'Poids des runes'!A:B,2,FALSE)))+1)/VLOOKUP(B6496,'Poids des runes'!A:B,2,FALSE))</f>
        <v>45.978333333333332</v>
      </c>
      <c r="F6496">
        <f t="shared" si="101"/>
        <v>45.978333333333332</v>
      </c>
    </row>
    <row r="6497" spans="1:6" x14ac:dyDescent="0.3">
      <c r="A6497" t="s">
        <v>1250</v>
      </c>
      <c r="B6497" t="s">
        <v>2148</v>
      </c>
      <c r="C6497">
        <v>8</v>
      </c>
      <c r="D6497">
        <v>179</v>
      </c>
      <c r="E6497">
        <f>IF(OR(B6497="vi",B6497="ii",B6497="pod"),(((D6497/100)*(C6497*VLOOKUP(B6497,'Poids des runes'!A:B,2,FALSE)))+1),(((D6497/100)*(C6497*VLOOKUP(B6497,'Poids des runes'!A:B,2,FALSE)))+1)/VLOOKUP(B6497,'Poids des runes'!A:B,2,FALSE))</f>
        <v>14.486666666666666</v>
      </c>
      <c r="F6497">
        <f t="shared" si="101"/>
        <v>14.486666666666666</v>
      </c>
    </row>
    <row r="6498" spans="1:6" x14ac:dyDescent="0.3">
      <c r="A6498" t="s">
        <v>1251</v>
      </c>
      <c r="B6498" t="s">
        <v>2128</v>
      </c>
      <c r="C6498">
        <v>275.5</v>
      </c>
      <c r="D6498">
        <v>180</v>
      </c>
      <c r="E6498">
        <f>IF(OR(B6498="vi",B6498="ii",B6498="pod"),(((D6498/100)*(C6498*VLOOKUP(B6498,'Poids des runes'!A:B,2,FALSE)))+1),(((D6498/100)*(C6498*VLOOKUP(B6498,'Poids des runes'!A:B,2,FALSE)))+1)/VLOOKUP(B6498,'Poids des runes'!A:B,2,FALSE))</f>
        <v>100.18</v>
      </c>
      <c r="F6498">
        <f t="shared" si="101"/>
        <v>100.18</v>
      </c>
    </row>
    <row r="6499" spans="1:6" x14ac:dyDescent="0.3">
      <c r="A6499" t="s">
        <v>1251</v>
      </c>
      <c r="B6499" t="s">
        <v>2130</v>
      </c>
      <c r="C6499">
        <v>50.5</v>
      </c>
      <c r="D6499">
        <v>180</v>
      </c>
      <c r="E6499">
        <f>IF(OR(B6499="vi",B6499="ii",B6499="pod"),(((D6499/100)*(C6499*VLOOKUP(B6499,'Poids des runes'!A:B,2,FALSE)))+1),(((D6499/100)*(C6499*VLOOKUP(B6499,'Poids des runes'!A:B,2,FALSE)))+1)/VLOOKUP(B6499,'Poids des runes'!A:B,2,FALSE))</f>
        <v>91.9</v>
      </c>
      <c r="F6499">
        <f t="shared" si="101"/>
        <v>91.9</v>
      </c>
    </row>
    <row r="6500" spans="1:6" x14ac:dyDescent="0.3">
      <c r="A6500" t="s">
        <v>1251</v>
      </c>
      <c r="B6500" t="s">
        <v>2131</v>
      </c>
      <c r="C6500">
        <v>50.5</v>
      </c>
      <c r="D6500">
        <v>180</v>
      </c>
      <c r="E6500">
        <f>IF(OR(B6500="vi",B6500="ii",B6500="pod"),(((D6500/100)*(C6500*VLOOKUP(B6500,'Poids des runes'!A:B,2,FALSE)))+1),(((D6500/100)*(C6500*VLOOKUP(B6500,'Poids des runes'!A:B,2,FALSE)))+1)/VLOOKUP(B6500,'Poids des runes'!A:B,2,FALSE))</f>
        <v>91.9</v>
      </c>
      <c r="F6500">
        <f t="shared" si="101"/>
        <v>91.9</v>
      </c>
    </row>
    <row r="6501" spans="1:6" x14ac:dyDescent="0.3">
      <c r="A6501" t="s">
        <v>1251</v>
      </c>
      <c r="B6501" t="s">
        <v>2129</v>
      </c>
      <c r="C6501">
        <v>40.5</v>
      </c>
      <c r="D6501">
        <v>180</v>
      </c>
      <c r="E6501">
        <f>IF(OR(B6501="vi",B6501="ii",B6501="pod"),(((D6501/100)*(C6501*VLOOKUP(B6501,'Poids des runes'!A:B,2,FALSE)))+1),(((D6501/100)*(C6501*VLOOKUP(B6501,'Poids des runes'!A:B,2,FALSE)))+1)/VLOOKUP(B6501,'Poids des runes'!A:B,2,FALSE))</f>
        <v>73.900000000000006</v>
      </c>
      <c r="F6501">
        <f t="shared" si="101"/>
        <v>73.900000000000006</v>
      </c>
    </row>
    <row r="6502" spans="1:6" x14ac:dyDescent="0.3">
      <c r="A6502" t="s">
        <v>1251</v>
      </c>
      <c r="B6502" t="s">
        <v>2139</v>
      </c>
      <c r="C6502">
        <v>18</v>
      </c>
      <c r="D6502">
        <v>180</v>
      </c>
      <c r="E6502">
        <f>IF(OR(B6502="vi",B6502="ii",B6502="pod"),(((D6502/100)*(C6502*VLOOKUP(B6502,'Poids des runes'!A:B,2,FALSE)))+1),(((D6502/100)*(C6502*VLOOKUP(B6502,'Poids des runes'!A:B,2,FALSE)))+1)/VLOOKUP(B6502,'Poids des runes'!A:B,2,FALSE))</f>
        <v>32.9</v>
      </c>
      <c r="F6502">
        <f t="shared" si="101"/>
        <v>32.9</v>
      </c>
    </row>
    <row r="6503" spans="1:6" x14ac:dyDescent="0.3">
      <c r="A6503" t="s">
        <v>1251</v>
      </c>
      <c r="B6503" t="s">
        <v>2134</v>
      </c>
      <c r="C6503">
        <v>8</v>
      </c>
      <c r="D6503">
        <v>180</v>
      </c>
      <c r="E6503">
        <f>IF(OR(B6503="vi",B6503="ii",B6503="pod"),(((D6503/100)*(C6503*VLOOKUP(B6503,'Poids des runes'!A:B,2,FALSE)))+1),(((D6503/100)*(C6503*VLOOKUP(B6503,'Poids des runes'!A:B,2,FALSE)))+1)/VLOOKUP(B6503,'Poids des runes'!A:B,2,FALSE))</f>
        <v>14.45</v>
      </c>
      <c r="F6503">
        <f t="shared" si="101"/>
        <v>14.45</v>
      </c>
    </row>
    <row r="6504" spans="1:6" x14ac:dyDescent="0.3">
      <c r="A6504" t="s">
        <v>1251</v>
      </c>
      <c r="B6504" t="s">
        <v>2161</v>
      </c>
      <c r="C6504">
        <v>20.5</v>
      </c>
      <c r="D6504">
        <v>180</v>
      </c>
      <c r="E6504">
        <f>IF(OR(B6504="vi",B6504="ii",B6504="pod"),(((D6504/100)*(C6504*VLOOKUP(B6504,'Poids des runes'!A:B,2,FALSE)))+1),(((D6504/100)*(C6504*VLOOKUP(B6504,'Poids des runes'!A:B,2,FALSE)))+1)/VLOOKUP(B6504,'Poids des runes'!A:B,2,FALSE))</f>
        <v>37.233333333333334</v>
      </c>
      <c r="F6504">
        <f t="shared" si="101"/>
        <v>37.233333333333334</v>
      </c>
    </row>
    <row r="6505" spans="1:6" x14ac:dyDescent="0.3">
      <c r="A6505" t="s">
        <v>1251</v>
      </c>
      <c r="B6505" t="s">
        <v>2156</v>
      </c>
      <c r="C6505">
        <v>8</v>
      </c>
      <c r="D6505">
        <v>180</v>
      </c>
      <c r="E6505">
        <f>IF(OR(B6505="vi",B6505="ii",B6505="pod"),(((D6505/100)*(C6505*VLOOKUP(B6505,'Poids des runes'!A:B,2,FALSE)))+1),(((D6505/100)*(C6505*VLOOKUP(B6505,'Poids des runes'!A:B,2,FALSE)))+1)/VLOOKUP(B6505,'Poids des runes'!A:B,2,FALSE))</f>
        <v>14.566666666666668</v>
      </c>
      <c r="F6505">
        <f t="shared" si="101"/>
        <v>14.566666666666668</v>
      </c>
    </row>
    <row r="6506" spans="1:6" x14ac:dyDescent="0.3">
      <c r="A6506" t="s">
        <v>1251</v>
      </c>
      <c r="B6506" t="s">
        <v>2136</v>
      </c>
      <c r="C6506">
        <v>8</v>
      </c>
      <c r="D6506">
        <v>180</v>
      </c>
      <c r="E6506">
        <f>IF(OR(B6506="vi",B6506="ii",B6506="pod"),(((D6506/100)*(C6506*VLOOKUP(B6506,'Poids des runes'!A:B,2,FALSE)))+1),(((D6506/100)*(C6506*VLOOKUP(B6506,'Poids des runes'!A:B,2,FALSE)))+1)/VLOOKUP(B6506,'Poids des runes'!A:B,2,FALSE))</f>
        <v>14.9</v>
      </c>
      <c r="F6506">
        <f t="shared" si="101"/>
        <v>14.9</v>
      </c>
    </row>
    <row r="6507" spans="1:6" x14ac:dyDescent="0.3">
      <c r="A6507" t="s">
        <v>1252</v>
      </c>
      <c r="B6507" t="s">
        <v>2128</v>
      </c>
      <c r="C6507">
        <v>225.5</v>
      </c>
      <c r="D6507">
        <v>180</v>
      </c>
      <c r="E6507">
        <f>IF(OR(B6507="vi",B6507="ii",B6507="pod"),(((D6507/100)*(C6507*VLOOKUP(B6507,'Poids des runes'!A:B,2,FALSE)))+1),(((D6507/100)*(C6507*VLOOKUP(B6507,'Poids des runes'!A:B,2,FALSE)))+1)/VLOOKUP(B6507,'Poids des runes'!A:B,2,FALSE))</f>
        <v>82.18</v>
      </c>
      <c r="F6507">
        <f t="shared" si="101"/>
        <v>82.18</v>
      </c>
    </row>
    <row r="6508" spans="1:6" x14ac:dyDescent="0.3">
      <c r="A6508" t="s">
        <v>1252</v>
      </c>
      <c r="B6508" t="s">
        <v>2130</v>
      </c>
      <c r="C6508">
        <v>50.5</v>
      </c>
      <c r="D6508">
        <v>180</v>
      </c>
      <c r="E6508">
        <f>IF(OR(B6508="vi",B6508="ii",B6508="pod"),(((D6508/100)*(C6508*VLOOKUP(B6508,'Poids des runes'!A:B,2,FALSE)))+1),(((D6508/100)*(C6508*VLOOKUP(B6508,'Poids des runes'!A:B,2,FALSE)))+1)/VLOOKUP(B6508,'Poids des runes'!A:B,2,FALSE))</f>
        <v>91.9</v>
      </c>
      <c r="F6508">
        <f t="shared" si="101"/>
        <v>91.9</v>
      </c>
    </row>
    <row r="6509" spans="1:6" x14ac:dyDescent="0.3">
      <c r="A6509" t="s">
        <v>1252</v>
      </c>
      <c r="B6509" t="s">
        <v>2126</v>
      </c>
      <c r="C6509">
        <v>50.5</v>
      </c>
      <c r="D6509">
        <v>180</v>
      </c>
      <c r="E6509">
        <f>IF(OR(B6509="vi",B6509="ii",B6509="pod"),(((D6509/100)*(C6509*VLOOKUP(B6509,'Poids des runes'!A:B,2,FALSE)))+1),(((D6509/100)*(C6509*VLOOKUP(B6509,'Poids des runes'!A:B,2,FALSE)))+1)/VLOOKUP(B6509,'Poids des runes'!A:B,2,FALSE))</f>
        <v>91.9</v>
      </c>
      <c r="F6509">
        <f t="shared" si="101"/>
        <v>91.9</v>
      </c>
    </row>
    <row r="6510" spans="1:6" x14ac:dyDescent="0.3">
      <c r="A6510" t="s">
        <v>1252</v>
      </c>
      <c r="B6510" t="s">
        <v>2129</v>
      </c>
      <c r="C6510">
        <v>20.5</v>
      </c>
      <c r="D6510">
        <v>180</v>
      </c>
      <c r="E6510">
        <f>IF(OR(B6510="vi",B6510="ii",B6510="pod"),(((D6510/100)*(C6510*VLOOKUP(B6510,'Poids des runes'!A:B,2,FALSE)))+1),(((D6510/100)*(C6510*VLOOKUP(B6510,'Poids des runes'!A:B,2,FALSE)))+1)/VLOOKUP(B6510,'Poids des runes'!A:B,2,FALSE))</f>
        <v>37.9</v>
      </c>
      <c r="F6510">
        <f t="shared" si="101"/>
        <v>37.9</v>
      </c>
    </row>
    <row r="6511" spans="1:6" x14ac:dyDescent="0.3">
      <c r="A6511" t="s">
        <v>1252</v>
      </c>
      <c r="B6511" t="s">
        <v>2151</v>
      </c>
      <c r="C6511">
        <v>3.5</v>
      </c>
      <c r="D6511">
        <v>180</v>
      </c>
      <c r="E6511">
        <f>IF(OR(B6511="vi",B6511="ii",B6511="pod"),(((D6511/100)*(C6511*VLOOKUP(B6511,'Poids des runes'!A:B,2,FALSE)))+1),(((D6511/100)*(C6511*VLOOKUP(B6511,'Poids des runes'!A:B,2,FALSE)))+1)/VLOOKUP(B6511,'Poids des runes'!A:B,2,FALSE))</f>
        <v>6.4</v>
      </c>
      <c r="F6511">
        <f t="shared" si="101"/>
        <v>6.4</v>
      </c>
    </row>
    <row r="6512" spans="1:6" x14ac:dyDescent="0.3">
      <c r="A6512" t="s">
        <v>1252</v>
      </c>
      <c r="B6512" t="s">
        <v>2154</v>
      </c>
      <c r="C6512">
        <v>1</v>
      </c>
      <c r="D6512">
        <v>180</v>
      </c>
      <c r="E6512">
        <f>IF(OR(B6512="vi",B6512="ii",B6512="pod"),(((D6512/100)*(C6512*VLOOKUP(B6512,'Poids des runes'!A:B,2,FALSE)))+1),(((D6512/100)*(C6512*VLOOKUP(B6512,'Poids des runes'!A:B,2,FALSE)))+1)/VLOOKUP(B6512,'Poids des runes'!A:B,2,FALSE))</f>
        <v>1.8111111111111111</v>
      </c>
      <c r="F6512">
        <f t="shared" si="101"/>
        <v>1.8111111111111111</v>
      </c>
    </row>
    <row r="6513" spans="1:6" x14ac:dyDescent="0.3">
      <c r="A6513" t="s">
        <v>1252</v>
      </c>
      <c r="B6513" t="s">
        <v>2143</v>
      </c>
      <c r="C6513">
        <v>8.5</v>
      </c>
      <c r="D6513">
        <v>180</v>
      </c>
      <c r="E6513">
        <f>IF(OR(B6513="vi",B6513="ii",B6513="pod"),(((D6513/100)*(C6513*VLOOKUP(B6513,'Poids des runes'!A:B,2,FALSE)))+1),(((D6513/100)*(C6513*VLOOKUP(B6513,'Poids des runes'!A:B,2,FALSE)))+1)/VLOOKUP(B6513,'Poids des runes'!A:B,2,FALSE))</f>
        <v>15.5</v>
      </c>
      <c r="F6513">
        <f t="shared" si="101"/>
        <v>15.5</v>
      </c>
    </row>
    <row r="6514" spans="1:6" x14ac:dyDescent="0.3">
      <c r="A6514" t="s">
        <v>1252</v>
      </c>
      <c r="B6514" t="s">
        <v>2140</v>
      </c>
      <c r="C6514">
        <v>8.5</v>
      </c>
      <c r="D6514">
        <v>180</v>
      </c>
      <c r="E6514">
        <f>IF(OR(B6514="vi",B6514="ii",B6514="pod"),(((D6514/100)*(C6514*VLOOKUP(B6514,'Poids des runes'!A:B,2,FALSE)))+1),(((D6514/100)*(C6514*VLOOKUP(B6514,'Poids des runes'!A:B,2,FALSE)))+1)/VLOOKUP(B6514,'Poids des runes'!A:B,2,FALSE))</f>
        <v>15.5</v>
      </c>
      <c r="F6514">
        <f t="shared" si="101"/>
        <v>15.5</v>
      </c>
    </row>
    <row r="6515" spans="1:6" x14ac:dyDescent="0.3">
      <c r="A6515" t="s">
        <v>1252</v>
      </c>
      <c r="B6515" t="s">
        <v>2141</v>
      </c>
      <c r="C6515">
        <v>3.5</v>
      </c>
      <c r="D6515">
        <v>180</v>
      </c>
      <c r="E6515">
        <f>IF(OR(B6515="vi",B6515="ii",B6515="pod"),(((D6515/100)*(C6515*VLOOKUP(B6515,'Poids des runes'!A:B,2,FALSE)))+1),(((D6515/100)*(C6515*VLOOKUP(B6515,'Poids des runes'!A:B,2,FALSE)))+1)/VLOOKUP(B6515,'Poids des runes'!A:B,2,FALSE))</f>
        <v>6.55</v>
      </c>
      <c r="F6515">
        <f t="shared" si="101"/>
        <v>6.55</v>
      </c>
    </row>
    <row r="6516" spans="1:6" x14ac:dyDescent="0.3">
      <c r="A6516" t="s">
        <v>1252</v>
      </c>
      <c r="B6516" t="s">
        <v>2135</v>
      </c>
      <c r="C6516">
        <v>8.5</v>
      </c>
      <c r="D6516">
        <v>180</v>
      </c>
      <c r="E6516">
        <f>IF(OR(B6516="vi",B6516="ii",B6516="pod"),(((D6516/100)*(C6516*VLOOKUP(B6516,'Poids des runes'!A:B,2,FALSE)))+1),(((D6516/100)*(C6516*VLOOKUP(B6516,'Poids des runes'!A:B,2,FALSE)))+1)/VLOOKUP(B6516,'Poids des runes'!A:B,2,FALSE))</f>
        <v>15.466666666666667</v>
      </c>
      <c r="F6516">
        <f t="shared" si="101"/>
        <v>15.466666666666667</v>
      </c>
    </row>
    <row r="6517" spans="1:6" x14ac:dyDescent="0.3">
      <c r="A6517" t="s">
        <v>1252</v>
      </c>
      <c r="B6517" t="s">
        <v>2145</v>
      </c>
      <c r="C6517">
        <v>8.5</v>
      </c>
      <c r="D6517">
        <v>180</v>
      </c>
      <c r="E6517">
        <f>IF(OR(B6517="vi",B6517="ii",B6517="pod"),(((D6517/100)*(C6517*VLOOKUP(B6517,'Poids des runes'!A:B,2,FALSE)))+1),(((D6517/100)*(C6517*VLOOKUP(B6517,'Poids des runes'!A:B,2,FALSE)))+1)/VLOOKUP(B6517,'Poids des runes'!A:B,2,FALSE))</f>
        <v>15.8</v>
      </c>
      <c r="F6517">
        <f t="shared" si="101"/>
        <v>15.8</v>
      </c>
    </row>
    <row r="6518" spans="1:6" x14ac:dyDescent="0.3">
      <c r="A6518" t="s">
        <v>1252</v>
      </c>
      <c r="B6518" t="s">
        <v>2146</v>
      </c>
      <c r="C6518">
        <v>8.5</v>
      </c>
      <c r="D6518">
        <v>180</v>
      </c>
      <c r="E6518">
        <f>IF(OR(B6518="vi",B6518="ii",B6518="pod"),(((D6518/100)*(C6518*VLOOKUP(B6518,'Poids des runes'!A:B,2,FALSE)))+1),(((D6518/100)*(C6518*VLOOKUP(B6518,'Poids des runes'!A:B,2,FALSE)))+1)/VLOOKUP(B6518,'Poids des runes'!A:B,2,FALSE))</f>
        <v>15.8</v>
      </c>
      <c r="F6518">
        <f t="shared" si="101"/>
        <v>15.8</v>
      </c>
    </row>
    <row r="6519" spans="1:6" x14ac:dyDescent="0.3">
      <c r="A6519" t="s">
        <v>1253</v>
      </c>
      <c r="B6519" t="s">
        <v>2128</v>
      </c>
      <c r="C6519">
        <v>175.5</v>
      </c>
      <c r="D6519">
        <v>180</v>
      </c>
      <c r="E6519">
        <f>IF(OR(B6519="vi",B6519="ii",B6519="pod"),(((D6519/100)*(C6519*VLOOKUP(B6519,'Poids des runes'!A:B,2,FALSE)))+1),(((D6519/100)*(C6519*VLOOKUP(B6519,'Poids des runes'!A:B,2,FALSE)))+1)/VLOOKUP(B6519,'Poids des runes'!A:B,2,FALSE))</f>
        <v>64.180000000000007</v>
      </c>
      <c r="F6519">
        <f t="shared" si="101"/>
        <v>64.180000000000007</v>
      </c>
    </row>
    <row r="6520" spans="1:6" x14ac:dyDescent="0.3">
      <c r="A6520" t="s">
        <v>1253</v>
      </c>
      <c r="B6520" t="s">
        <v>2130</v>
      </c>
      <c r="C6520">
        <v>40.5</v>
      </c>
      <c r="D6520">
        <v>180</v>
      </c>
      <c r="E6520">
        <f>IF(OR(B6520="vi",B6520="ii",B6520="pod"),(((D6520/100)*(C6520*VLOOKUP(B6520,'Poids des runes'!A:B,2,FALSE)))+1),(((D6520/100)*(C6520*VLOOKUP(B6520,'Poids des runes'!A:B,2,FALSE)))+1)/VLOOKUP(B6520,'Poids des runes'!A:B,2,FALSE))</f>
        <v>73.900000000000006</v>
      </c>
      <c r="F6520">
        <f t="shared" si="101"/>
        <v>73.900000000000006</v>
      </c>
    </row>
    <row r="6521" spans="1:6" x14ac:dyDescent="0.3">
      <c r="A6521" t="s">
        <v>1253</v>
      </c>
      <c r="B6521" t="s">
        <v>2129</v>
      </c>
      <c r="C6521">
        <v>20.5</v>
      </c>
      <c r="D6521">
        <v>180</v>
      </c>
      <c r="E6521">
        <f>IF(OR(B6521="vi",B6521="ii",B6521="pod"),(((D6521/100)*(C6521*VLOOKUP(B6521,'Poids des runes'!A:B,2,FALSE)))+1),(((D6521/100)*(C6521*VLOOKUP(B6521,'Poids des runes'!A:B,2,FALSE)))+1)/VLOOKUP(B6521,'Poids des runes'!A:B,2,FALSE))</f>
        <v>37.9</v>
      </c>
      <c r="F6521">
        <f t="shared" si="101"/>
        <v>37.9</v>
      </c>
    </row>
    <row r="6522" spans="1:6" x14ac:dyDescent="0.3">
      <c r="A6522" t="s">
        <v>1253</v>
      </c>
      <c r="B6522" t="s">
        <v>2151</v>
      </c>
      <c r="C6522">
        <v>3.5</v>
      </c>
      <c r="D6522">
        <v>180</v>
      </c>
      <c r="E6522">
        <f>IF(OR(B6522="vi",B6522="ii",B6522="pod"),(((D6522/100)*(C6522*VLOOKUP(B6522,'Poids des runes'!A:B,2,FALSE)))+1),(((D6522/100)*(C6522*VLOOKUP(B6522,'Poids des runes'!A:B,2,FALSE)))+1)/VLOOKUP(B6522,'Poids des runes'!A:B,2,FALSE))</f>
        <v>6.4</v>
      </c>
      <c r="F6522">
        <f t="shared" si="101"/>
        <v>6.4</v>
      </c>
    </row>
    <row r="6523" spans="1:6" x14ac:dyDescent="0.3">
      <c r="A6523" t="s">
        <v>1253</v>
      </c>
      <c r="B6523" t="s">
        <v>2134</v>
      </c>
      <c r="C6523">
        <v>4.5</v>
      </c>
      <c r="D6523">
        <v>180</v>
      </c>
      <c r="E6523">
        <f>IF(OR(B6523="vi",B6523="ii",B6523="pod"),(((D6523/100)*(C6523*VLOOKUP(B6523,'Poids des runes'!A:B,2,FALSE)))+1),(((D6523/100)*(C6523*VLOOKUP(B6523,'Poids des runes'!A:B,2,FALSE)))+1)/VLOOKUP(B6523,'Poids des runes'!A:B,2,FALSE))</f>
        <v>8.15</v>
      </c>
      <c r="F6523">
        <f t="shared" si="101"/>
        <v>8.15</v>
      </c>
    </row>
    <row r="6524" spans="1:6" x14ac:dyDescent="0.3">
      <c r="A6524" t="s">
        <v>1253</v>
      </c>
      <c r="B6524" t="s">
        <v>2161</v>
      </c>
      <c r="C6524">
        <v>15.5</v>
      </c>
      <c r="D6524">
        <v>180</v>
      </c>
      <c r="E6524">
        <f>IF(OR(B6524="vi",B6524="ii",B6524="pod"),(((D6524/100)*(C6524*VLOOKUP(B6524,'Poids des runes'!A:B,2,FALSE)))+1),(((D6524/100)*(C6524*VLOOKUP(B6524,'Poids des runes'!A:B,2,FALSE)))+1)/VLOOKUP(B6524,'Poids des runes'!A:B,2,FALSE))</f>
        <v>28.233333333333334</v>
      </c>
      <c r="F6524">
        <f t="shared" si="101"/>
        <v>28.233333333333334</v>
      </c>
    </row>
    <row r="6525" spans="1:6" x14ac:dyDescent="0.3">
      <c r="A6525" t="s">
        <v>1253</v>
      </c>
      <c r="B6525" t="s">
        <v>2156</v>
      </c>
      <c r="C6525">
        <v>8</v>
      </c>
      <c r="D6525">
        <v>180</v>
      </c>
      <c r="E6525">
        <f>IF(OR(B6525="vi",B6525="ii",B6525="pod"),(((D6525/100)*(C6525*VLOOKUP(B6525,'Poids des runes'!A:B,2,FALSE)))+1),(((D6525/100)*(C6525*VLOOKUP(B6525,'Poids des runes'!A:B,2,FALSE)))+1)/VLOOKUP(B6525,'Poids des runes'!A:B,2,FALSE))</f>
        <v>14.566666666666668</v>
      </c>
      <c r="F6525">
        <f t="shared" si="101"/>
        <v>14.566666666666668</v>
      </c>
    </row>
    <row r="6526" spans="1:6" x14ac:dyDescent="0.3">
      <c r="A6526" t="s">
        <v>1253</v>
      </c>
      <c r="B6526" t="s">
        <v>2148</v>
      </c>
      <c r="C6526">
        <v>8</v>
      </c>
      <c r="D6526">
        <v>180</v>
      </c>
      <c r="E6526">
        <f>IF(OR(B6526="vi",B6526="ii",B6526="pod"),(((D6526/100)*(C6526*VLOOKUP(B6526,'Poids des runes'!A:B,2,FALSE)))+1),(((D6526/100)*(C6526*VLOOKUP(B6526,'Poids des runes'!A:B,2,FALSE)))+1)/VLOOKUP(B6526,'Poids des runes'!A:B,2,FALSE))</f>
        <v>14.566666666666668</v>
      </c>
      <c r="F6526">
        <f t="shared" si="101"/>
        <v>14.566666666666668</v>
      </c>
    </row>
    <row r="6527" spans="1:6" x14ac:dyDescent="0.3">
      <c r="A6527" t="s">
        <v>1253</v>
      </c>
      <c r="B6527" t="s">
        <v>2137</v>
      </c>
      <c r="C6527">
        <v>8</v>
      </c>
      <c r="D6527">
        <v>180</v>
      </c>
      <c r="E6527">
        <f>IF(OR(B6527="vi",B6527="ii",B6527="pod"),(((D6527/100)*(C6527*VLOOKUP(B6527,'Poids des runes'!A:B,2,FALSE)))+1),(((D6527/100)*(C6527*VLOOKUP(B6527,'Poids des runes'!A:B,2,FALSE)))+1)/VLOOKUP(B6527,'Poids des runes'!A:B,2,FALSE))</f>
        <v>14.9</v>
      </c>
      <c r="F6527">
        <f t="shared" si="101"/>
        <v>14.9</v>
      </c>
    </row>
    <row r="6528" spans="1:6" x14ac:dyDescent="0.3">
      <c r="A6528" t="s">
        <v>1253</v>
      </c>
      <c r="B6528" t="s">
        <v>2145</v>
      </c>
      <c r="C6528">
        <v>8</v>
      </c>
      <c r="D6528">
        <v>180</v>
      </c>
      <c r="E6528">
        <f>IF(OR(B6528="vi",B6528="ii",B6528="pod"),(((D6528/100)*(C6528*VLOOKUP(B6528,'Poids des runes'!A:B,2,FALSE)))+1),(((D6528/100)*(C6528*VLOOKUP(B6528,'Poids des runes'!A:B,2,FALSE)))+1)/VLOOKUP(B6528,'Poids des runes'!A:B,2,FALSE))</f>
        <v>14.9</v>
      </c>
      <c r="F6528">
        <f t="shared" si="101"/>
        <v>14.9</v>
      </c>
    </row>
    <row r="6529" spans="1:6" x14ac:dyDescent="0.3">
      <c r="A6529" t="s">
        <v>1254</v>
      </c>
      <c r="B6529" t="s">
        <v>2128</v>
      </c>
      <c r="C6529">
        <v>175.5</v>
      </c>
      <c r="D6529">
        <v>180</v>
      </c>
      <c r="E6529">
        <f>IF(OR(B6529="vi",B6529="ii",B6529="pod"),(((D6529/100)*(C6529*VLOOKUP(B6529,'Poids des runes'!A:B,2,FALSE)))+1),(((D6529/100)*(C6529*VLOOKUP(B6529,'Poids des runes'!A:B,2,FALSE)))+1)/VLOOKUP(B6529,'Poids des runes'!A:B,2,FALSE))</f>
        <v>64.180000000000007</v>
      </c>
      <c r="F6529">
        <f t="shared" si="101"/>
        <v>64.180000000000007</v>
      </c>
    </row>
    <row r="6530" spans="1:6" x14ac:dyDescent="0.3">
      <c r="A6530" t="s">
        <v>1254</v>
      </c>
      <c r="B6530" t="s">
        <v>2131</v>
      </c>
      <c r="C6530">
        <v>25.5</v>
      </c>
      <c r="D6530">
        <v>180</v>
      </c>
      <c r="E6530">
        <f>IF(OR(B6530="vi",B6530="ii",B6530="pod"),(((D6530/100)*(C6530*VLOOKUP(B6530,'Poids des runes'!A:B,2,FALSE)))+1),(((D6530/100)*(C6530*VLOOKUP(B6530,'Poids des runes'!A:B,2,FALSE)))+1)/VLOOKUP(B6530,'Poids des runes'!A:B,2,FALSE))</f>
        <v>46.9</v>
      </c>
      <c r="F6530">
        <f t="shared" si="101"/>
        <v>46.9</v>
      </c>
    </row>
    <row r="6531" spans="1:6" x14ac:dyDescent="0.3">
      <c r="A6531" t="s">
        <v>1254</v>
      </c>
      <c r="B6531" t="s">
        <v>2127</v>
      </c>
      <c r="C6531">
        <v>25.5</v>
      </c>
      <c r="D6531">
        <v>180</v>
      </c>
      <c r="E6531">
        <f>IF(OR(B6531="vi",B6531="ii",B6531="pod"),(((D6531/100)*(C6531*VLOOKUP(B6531,'Poids des runes'!A:B,2,FALSE)))+1),(((D6531/100)*(C6531*VLOOKUP(B6531,'Poids des runes'!A:B,2,FALSE)))+1)/VLOOKUP(B6531,'Poids des runes'!A:B,2,FALSE))</f>
        <v>46.9</v>
      </c>
      <c r="F6531">
        <f t="shared" ref="F6531:F6594" si="102">E6531</f>
        <v>46.9</v>
      </c>
    </row>
    <row r="6532" spans="1:6" x14ac:dyDescent="0.3">
      <c r="A6532" t="s">
        <v>1254</v>
      </c>
      <c r="B6532" t="s">
        <v>2129</v>
      </c>
      <c r="C6532">
        <v>35.5</v>
      </c>
      <c r="D6532">
        <v>180</v>
      </c>
      <c r="E6532">
        <f>IF(OR(B6532="vi",B6532="ii",B6532="pod"),(((D6532/100)*(C6532*VLOOKUP(B6532,'Poids des runes'!A:B,2,FALSE)))+1),(((D6532/100)*(C6532*VLOOKUP(B6532,'Poids des runes'!A:B,2,FALSE)))+1)/VLOOKUP(B6532,'Poids des runes'!A:B,2,FALSE))</f>
        <v>64.900000000000006</v>
      </c>
      <c r="F6532">
        <f t="shared" si="102"/>
        <v>64.900000000000006</v>
      </c>
    </row>
    <row r="6533" spans="1:6" x14ac:dyDescent="0.3">
      <c r="A6533" t="s">
        <v>1254</v>
      </c>
      <c r="B6533" t="s">
        <v>2151</v>
      </c>
      <c r="C6533">
        <v>3.5</v>
      </c>
      <c r="D6533">
        <v>180</v>
      </c>
      <c r="E6533">
        <f>IF(OR(B6533="vi",B6533="ii",B6533="pod"),(((D6533/100)*(C6533*VLOOKUP(B6533,'Poids des runes'!A:B,2,FALSE)))+1),(((D6533/100)*(C6533*VLOOKUP(B6533,'Poids des runes'!A:B,2,FALSE)))+1)/VLOOKUP(B6533,'Poids des runes'!A:B,2,FALSE))</f>
        <v>6.4</v>
      </c>
      <c r="F6533">
        <f t="shared" si="102"/>
        <v>6.4</v>
      </c>
    </row>
    <row r="6534" spans="1:6" x14ac:dyDescent="0.3">
      <c r="A6534" t="s">
        <v>1254</v>
      </c>
      <c r="B6534" t="s">
        <v>2133</v>
      </c>
      <c r="C6534">
        <v>10</v>
      </c>
      <c r="D6534">
        <v>180</v>
      </c>
      <c r="E6534">
        <f>IF(OR(B6534="vi",B6534="ii",B6534="pod"),(((D6534/100)*(C6534*VLOOKUP(B6534,'Poids des runes'!A:B,2,FALSE)))+1),(((D6534/100)*(C6534*VLOOKUP(B6534,'Poids des runes'!A:B,2,FALSE)))+1)/VLOOKUP(B6534,'Poids des runes'!A:B,2,FALSE))</f>
        <v>18.2</v>
      </c>
      <c r="F6534">
        <f t="shared" si="102"/>
        <v>18.2</v>
      </c>
    </row>
    <row r="6535" spans="1:6" x14ac:dyDescent="0.3">
      <c r="A6535" t="s">
        <v>1254</v>
      </c>
      <c r="B6535" t="s">
        <v>2153</v>
      </c>
      <c r="C6535">
        <v>10</v>
      </c>
      <c r="D6535">
        <v>180</v>
      </c>
      <c r="E6535">
        <f>IF(OR(B6535="vi",B6535="ii",B6535="pod"),(((D6535/100)*(C6535*VLOOKUP(B6535,'Poids des runes'!A:B,2,FALSE)))+1),(((D6535/100)*(C6535*VLOOKUP(B6535,'Poids des runes'!A:B,2,FALSE)))+1)/VLOOKUP(B6535,'Poids des runes'!A:B,2,FALSE))</f>
        <v>18.2</v>
      </c>
      <c r="F6535">
        <f t="shared" si="102"/>
        <v>18.2</v>
      </c>
    </row>
    <row r="6536" spans="1:6" x14ac:dyDescent="0.3">
      <c r="A6536" t="s">
        <v>1254</v>
      </c>
      <c r="B6536" t="s">
        <v>2159</v>
      </c>
      <c r="C6536">
        <v>3.5</v>
      </c>
      <c r="D6536">
        <v>180</v>
      </c>
      <c r="E6536">
        <f>IF(OR(B6536="vi",B6536="ii",B6536="pod"),(((D6536/100)*(C6536*VLOOKUP(B6536,'Poids des runes'!A:B,2,FALSE)))+1),(((D6536/100)*(C6536*VLOOKUP(B6536,'Poids des runes'!A:B,2,FALSE)))+1)/VLOOKUP(B6536,'Poids des runes'!A:B,2,FALSE))</f>
        <v>6.4428571428571431</v>
      </c>
      <c r="F6536">
        <f t="shared" si="102"/>
        <v>6.4428571428571431</v>
      </c>
    </row>
    <row r="6537" spans="1:6" x14ac:dyDescent="0.3">
      <c r="A6537" t="s">
        <v>1254</v>
      </c>
      <c r="B6537" t="s">
        <v>2163</v>
      </c>
      <c r="C6537">
        <v>5.5</v>
      </c>
      <c r="D6537">
        <v>180</v>
      </c>
      <c r="E6537">
        <f>IF(OR(B6537="vi",B6537="ii",B6537="pod"),(((D6537/100)*(C6537*VLOOKUP(B6537,'Poids des runes'!A:B,2,FALSE)))+1),(((D6537/100)*(C6537*VLOOKUP(B6537,'Poids des runes'!A:B,2,FALSE)))+1)/VLOOKUP(B6537,'Poids des runes'!A:B,2,FALSE))</f>
        <v>10.4</v>
      </c>
      <c r="F6537">
        <f t="shared" si="102"/>
        <v>10.4</v>
      </c>
    </row>
    <row r="6538" spans="1:6" x14ac:dyDescent="0.3">
      <c r="A6538" t="s">
        <v>1254</v>
      </c>
      <c r="B6538" t="s">
        <v>2144</v>
      </c>
      <c r="C6538">
        <v>8.5</v>
      </c>
      <c r="D6538">
        <v>180</v>
      </c>
      <c r="E6538">
        <f>IF(OR(B6538="vi",B6538="ii",B6538="pod"),(((D6538/100)*(C6538*VLOOKUP(B6538,'Poids des runes'!A:B,2,FALSE)))+1),(((D6538/100)*(C6538*VLOOKUP(B6538,'Poids des runes'!A:B,2,FALSE)))+1)/VLOOKUP(B6538,'Poids des runes'!A:B,2,FALSE))</f>
        <v>15.8</v>
      </c>
      <c r="F6538">
        <f t="shared" si="102"/>
        <v>15.8</v>
      </c>
    </row>
    <row r="6539" spans="1:6" x14ac:dyDescent="0.3">
      <c r="A6539" t="s">
        <v>1254</v>
      </c>
      <c r="B6539" t="s">
        <v>2146</v>
      </c>
      <c r="C6539">
        <v>8.5</v>
      </c>
      <c r="D6539">
        <v>180</v>
      </c>
      <c r="E6539">
        <f>IF(OR(B6539="vi",B6539="ii",B6539="pod"),(((D6539/100)*(C6539*VLOOKUP(B6539,'Poids des runes'!A:B,2,FALSE)))+1),(((D6539/100)*(C6539*VLOOKUP(B6539,'Poids des runes'!A:B,2,FALSE)))+1)/VLOOKUP(B6539,'Poids des runes'!A:B,2,FALSE))</f>
        <v>15.8</v>
      </c>
      <c r="F6539">
        <f t="shared" si="102"/>
        <v>15.8</v>
      </c>
    </row>
    <row r="6540" spans="1:6" x14ac:dyDescent="0.3">
      <c r="A6540" t="s">
        <v>1255</v>
      </c>
      <c r="B6540" t="s">
        <v>2128</v>
      </c>
      <c r="C6540">
        <v>275.5</v>
      </c>
      <c r="D6540">
        <v>181</v>
      </c>
      <c r="E6540">
        <f>IF(OR(B6540="vi",B6540="ii",B6540="pod"),(((D6540/100)*(C6540*VLOOKUP(B6540,'Poids des runes'!A:B,2,FALSE)))+1),(((D6540/100)*(C6540*VLOOKUP(B6540,'Poids des runes'!A:B,2,FALSE)))+1)/VLOOKUP(B6540,'Poids des runes'!A:B,2,FALSE))</f>
        <v>100.73100000000001</v>
      </c>
      <c r="F6540">
        <f t="shared" si="102"/>
        <v>100.73100000000001</v>
      </c>
    </row>
    <row r="6541" spans="1:6" x14ac:dyDescent="0.3">
      <c r="A6541" t="s">
        <v>1255</v>
      </c>
      <c r="B6541" t="s">
        <v>2131</v>
      </c>
      <c r="C6541">
        <v>50.5</v>
      </c>
      <c r="D6541">
        <v>181</v>
      </c>
      <c r="E6541">
        <f>IF(OR(B6541="vi",B6541="ii",B6541="pod"),(((D6541/100)*(C6541*VLOOKUP(B6541,'Poids des runes'!A:B,2,FALSE)))+1),(((D6541/100)*(C6541*VLOOKUP(B6541,'Poids des runes'!A:B,2,FALSE)))+1)/VLOOKUP(B6541,'Poids des runes'!A:B,2,FALSE))</f>
        <v>92.405000000000001</v>
      </c>
      <c r="F6541">
        <f t="shared" si="102"/>
        <v>92.405000000000001</v>
      </c>
    </row>
    <row r="6542" spans="1:6" x14ac:dyDescent="0.3">
      <c r="A6542" t="s">
        <v>1255</v>
      </c>
      <c r="B6542" t="s">
        <v>2129</v>
      </c>
      <c r="C6542">
        <v>35.5</v>
      </c>
      <c r="D6542">
        <v>181</v>
      </c>
      <c r="E6542">
        <f>IF(OR(B6542="vi",B6542="ii",B6542="pod"),(((D6542/100)*(C6542*VLOOKUP(B6542,'Poids des runes'!A:B,2,FALSE)))+1),(((D6542/100)*(C6542*VLOOKUP(B6542,'Poids des runes'!A:B,2,FALSE)))+1)/VLOOKUP(B6542,'Poids des runes'!A:B,2,FALSE))</f>
        <v>65.254999999999995</v>
      </c>
      <c r="F6542">
        <f t="shared" si="102"/>
        <v>65.254999999999995</v>
      </c>
    </row>
    <row r="6543" spans="1:6" x14ac:dyDescent="0.3">
      <c r="A6543" t="s">
        <v>1255</v>
      </c>
      <c r="B6543" t="s">
        <v>2155</v>
      </c>
      <c r="C6543">
        <v>1</v>
      </c>
      <c r="D6543">
        <v>181</v>
      </c>
      <c r="E6543">
        <f>IF(OR(B6543="vi",B6543="ii",B6543="pod"),(((D6543/100)*(C6543*VLOOKUP(B6543,'Poids des runes'!A:B,2,FALSE)))+1),(((D6543/100)*(C6543*VLOOKUP(B6543,'Poids des runes'!A:B,2,FALSE)))+1)/VLOOKUP(B6543,'Poids des runes'!A:B,2,FALSE))</f>
        <v>1.8296078431372549</v>
      </c>
      <c r="F6543">
        <f t="shared" si="102"/>
        <v>1.8296078431372549</v>
      </c>
    </row>
    <row r="6544" spans="1:6" x14ac:dyDescent="0.3">
      <c r="A6544" t="s">
        <v>1255</v>
      </c>
      <c r="B6544" t="s">
        <v>2133</v>
      </c>
      <c r="C6544">
        <v>11</v>
      </c>
      <c r="D6544">
        <v>181</v>
      </c>
      <c r="E6544">
        <f>IF(OR(B6544="vi",B6544="ii",B6544="pod"),(((D6544/100)*(C6544*VLOOKUP(B6544,'Poids des runes'!A:B,2,FALSE)))+1),(((D6544/100)*(C6544*VLOOKUP(B6544,'Poids des runes'!A:B,2,FALSE)))+1)/VLOOKUP(B6544,'Poids des runes'!A:B,2,FALSE))</f>
        <v>20.11</v>
      </c>
      <c r="F6544">
        <f t="shared" si="102"/>
        <v>20.11</v>
      </c>
    </row>
    <row r="6545" spans="1:6" x14ac:dyDescent="0.3">
      <c r="A6545" t="s">
        <v>1255</v>
      </c>
      <c r="B6545" t="s">
        <v>2161</v>
      </c>
      <c r="C6545">
        <v>13</v>
      </c>
      <c r="D6545">
        <v>181</v>
      </c>
      <c r="E6545">
        <f>IF(OR(B6545="vi",B6545="ii",B6545="pod"),(((D6545/100)*(C6545*VLOOKUP(B6545,'Poids des runes'!A:B,2,FALSE)))+1),(((D6545/100)*(C6545*VLOOKUP(B6545,'Poids des runes'!A:B,2,FALSE)))+1)/VLOOKUP(B6545,'Poids des runes'!A:B,2,FALSE))</f>
        <v>23.863333333333333</v>
      </c>
      <c r="F6545">
        <f t="shared" si="102"/>
        <v>23.863333333333333</v>
      </c>
    </row>
    <row r="6546" spans="1:6" x14ac:dyDescent="0.3">
      <c r="A6546" t="s">
        <v>1255</v>
      </c>
      <c r="B6546" t="s">
        <v>2132</v>
      </c>
      <c r="C6546">
        <v>225.5</v>
      </c>
      <c r="D6546">
        <v>181</v>
      </c>
      <c r="E6546">
        <f>IF(OR(B6546="vi",B6546="ii",B6546="pod"),(((D6546/100)*(C6546*VLOOKUP(B6546,'Poids des runes'!A:B,2,FALSE)))+1),(((D6546/100)*(C6546*VLOOKUP(B6546,'Poids des runes'!A:B,2,FALSE)))+1)/VLOOKUP(B6546,'Poids des runes'!A:B,2,FALSE))</f>
        <v>41.8155</v>
      </c>
      <c r="F6546">
        <f t="shared" si="102"/>
        <v>41.8155</v>
      </c>
    </row>
    <row r="6547" spans="1:6" x14ac:dyDescent="0.3">
      <c r="A6547" t="s">
        <v>1255</v>
      </c>
      <c r="B6547" t="s">
        <v>2141</v>
      </c>
      <c r="C6547">
        <v>5</v>
      </c>
      <c r="D6547">
        <v>181</v>
      </c>
      <c r="E6547">
        <f>IF(OR(B6547="vi",B6547="ii",B6547="pod"),(((D6547/100)*(C6547*VLOOKUP(B6547,'Poids des runes'!A:B,2,FALSE)))+1),(((D6547/100)*(C6547*VLOOKUP(B6547,'Poids des runes'!A:B,2,FALSE)))+1)/VLOOKUP(B6547,'Poids des runes'!A:B,2,FALSE))</f>
        <v>9.3000000000000007</v>
      </c>
      <c r="F6547">
        <f t="shared" si="102"/>
        <v>9.3000000000000007</v>
      </c>
    </row>
    <row r="6548" spans="1:6" x14ac:dyDescent="0.3">
      <c r="A6548" t="s">
        <v>1255</v>
      </c>
      <c r="B6548" t="s">
        <v>2160</v>
      </c>
      <c r="C6548">
        <v>6</v>
      </c>
      <c r="D6548">
        <v>181</v>
      </c>
      <c r="E6548">
        <f>IF(OR(B6548="vi",B6548="ii",B6548="pod"),(((D6548/100)*(C6548*VLOOKUP(B6548,'Poids des runes'!A:B,2,FALSE)))+1),(((D6548/100)*(C6548*VLOOKUP(B6548,'Poids des runes'!A:B,2,FALSE)))+1)/VLOOKUP(B6548,'Poids des runes'!A:B,2,FALSE))</f>
        <v>11.002857142857142</v>
      </c>
      <c r="F6548">
        <f t="shared" si="102"/>
        <v>11.002857142857142</v>
      </c>
    </row>
    <row r="6549" spans="1:6" x14ac:dyDescent="0.3">
      <c r="A6549" t="s">
        <v>1255</v>
      </c>
      <c r="B6549" t="s">
        <v>2148</v>
      </c>
      <c r="C6549">
        <v>7</v>
      </c>
      <c r="D6549">
        <v>181</v>
      </c>
      <c r="E6549">
        <f>IF(OR(B6549="vi",B6549="ii",B6549="pod"),(((D6549/100)*(C6549*VLOOKUP(B6549,'Poids des runes'!A:B,2,FALSE)))+1),(((D6549/100)*(C6549*VLOOKUP(B6549,'Poids des runes'!A:B,2,FALSE)))+1)/VLOOKUP(B6549,'Poids des runes'!A:B,2,FALSE))</f>
        <v>12.836666666666666</v>
      </c>
      <c r="F6549">
        <f t="shared" si="102"/>
        <v>12.836666666666666</v>
      </c>
    </row>
    <row r="6550" spans="1:6" x14ac:dyDescent="0.3">
      <c r="A6550" t="s">
        <v>1255</v>
      </c>
      <c r="B6550" t="s">
        <v>2157</v>
      </c>
      <c r="C6550">
        <v>7</v>
      </c>
      <c r="D6550">
        <v>181</v>
      </c>
      <c r="E6550">
        <f>IF(OR(B6550="vi",B6550="ii",B6550="pod"),(((D6550/100)*(C6550*VLOOKUP(B6550,'Poids des runes'!A:B,2,FALSE)))+1),(((D6550/100)*(C6550*VLOOKUP(B6550,'Poids des runes'!A:B,2,FALSE)))+1)/VLOOKUP(B6550,'Poids des runes'!A:B,2,FALSE))</f>
        <v>12.836666666666666</v>
      </c>
      <c r="F6550">
        <f t="shared" si="102"/>
        <v>12.836666666666666</v>
      </c>
    </row>
    <row r="6551" spans="1:6" x14ac:dyDescent="0.3">
      <c r="A6551" t="s">
        <v>1255</v>
      </c>
      <c r="B6551" t="s">
        <v>2144</v>
      </c>
      <c r="C6551">
        <v>8</v>
      </c>
      <c r="D6551">
        <v>181</v>
      </c>
      <c r="E6551">
        <f>IF(OR(B6551="vi",B6551="ii",B6551="pod"),(((D6551/100)*(C6551*VLOOKUP(B6551,'Poids des runes'!A:B,2,FALSE)))+1),(((D6551/100)*(C6551*VLOOKUP(B6551,'Poids des runes'!A:B,2,FALSE)))+1)/VLOOKUP(B6551,'Poids des runes'!A:B,2,FALSE))</f>
        <v>14.98</v>
      </c>
      <c r="F6551">
        <f t="shared" si="102"/>
        <v>14.98</v>
      </c>
    </row>
    <row r="6552" spans="1:6" x14ac:dyDescent="0.3">
      <c r="A6552" t="s">
        <v>1256</v>
      </c>
      <c r="B6552" t="s">
        <v>2128</v>
      </c>
      <c r="C6552">
        <v>225.5</v>
      </c>
      <c r="D6552">
        <v>181</v>
      </c>
      <c r="E6552">
        <f>IF(OR(B6552="vi",B6552="ii",B6552="pod"),(((D6552/100)*(C6552*VLOOKUP(B6552,'Poids des runes'!A:B,2,FALSE)))+1),(((D6552/100)*(C6552*VLOOKUP(B6552,'Poids des runes'!A:B,2,FALSE)))+1)/VLOOKUP(B6552,'Poids des runes'!A:B,2,FALSE))</f>
        <v>82.631</v>
      </c>
      <c r="F6552">
        <f t="shared" si="102"/>
        <v>82.631</v>
      </c>
    </row>
    <row r="6553" spans="1:6" x14ac:dyDescent="0.3">
      <c r="A6553" t="s">
        <v>1256</v>
      </c>
      <c r="B6553" t="s">
        <v>2127</v>
      </c>
      <c r="C6553">
        <v>50.5</v>
      </c>
      <c r="D6553">
        <v>181</v>
      </c>
      <c r="E6553">
        <f>IF(OR(B6553="vi",B6553="ii",B6553="pod"),(((D6553/100)*(C6553*VLOOKUP(B6553,'Poids des runes'!A:B,2,FALSE)))+1),(((D6553/100)*(C6553*VLOOKUP(B6553,'Poids des runes'!A:B,2,FALSE)))+1)/VLOOKUP(B6553,'Poids des runes'!A:B,2,FALSE))</f>
        <v>92.405000000000001</v>
      </c>
      <c r="F6553">
        <f t="shared" si="102"/>
        <v>92.405000000000001</v>
      </c>
    </row>
    <row r="6554" spans="1:6" x14ac:dyDescent="0.3">
      <c r="A6554" t="s">
        <v>1256</v>
      </c>
      <c r="B6554" t="s">
        <v>2129</v>
      </c>
      <c r="C6554">
        <v>35.5</v>
      </c>
      <c r="D6554">
        <v>181</v>
      </c>
      <c r="E6554">
        <f>IF(OR(B6554="vi",B6554="ii",B6554="pod"),(((D6554/100)*(C6554*VLOOKUP(B6554,'Poids des runes'!A:B,2,FALSE)))+1),(((D6554/100)*(C6554*VLOOKUP(B6554,'Poids des runes'!A:B,2,FALSE)))+1)/VLOOKUP(B6554,'Poids des runes'!A:B,2,FALSE))</f>
        <v>65.254999999999995</v>
      </c>
      <c r="F6554">
        <f t="shared" si="102"/>
        <v>65.254999999999995</v>
      </c>
    </row>
    <row r="6555" spans="1:6" x14ac:dyDescent="0.3">
      <c r="A6555" t="s">
        <v>1256</v>
      </c>
      <c r="B6555" t="s">
        <v>2151</v>
      </c>
      <c r="C6555">
        <v>2.5</v>
      </c>
      <c r="D6555">
        <v>181</v>
      </c>
      <c r="E6555">
        <f>IF(OR(B6555="vi",B6555="ii",B6555="pod"),(((D6555/100)*(C6555*VLOOKUP(B6555,'Poids des runes'!A:B,2,FALSE)))+1),(((D6555/100)*(C6555*VLOOKUP(B6555,'Poids des runes'!A:B,2,FALSE)))+1)/VLOOKUP(B6555,'Poids des runes'!A:B,2,FALSE))</f>
        <v>4.625</v>
      </c>
      <c r="F6555">
        <f t="shared" si="102"/>
        <v>4.625</v>
      </c>
    </row>
    <row r="6556" spans="1:6" x14ac:dyDescent="0.3">
      <c r="A6556" t="s">
        <v>1256</v>
      </c>
      <c r="B6556" t="s">
        <v>2134</v>
      </c>
      <c r="C6556">
        <v>8</v>
      </c>
      <c r="D6556">
        <v>181</v>
      </c>
      <c r="E6556">
        <f>IF(OR(B6556="vi",B6556="ii",B6556="pod"),(((D6556/100)*(C6556*VLOOKUP(B6556,'Poids des runes'!A:B,2,FALSE)))+1),(((D6556/100)*(C6556*VLOOKUP(B6556,'Poids des runes'!A:B,2,FALSE)))+1)/VLOOKUP(B6556,'Poids des runes'!A:B,2,FALSE))</f>
        <v>14.530000000000001</v>
      </c>
      <c r="F6556">
        <f t="shared" si="102"/>
        <v>14.530000000000001</v>
      </c>
    </row>
    <row r="6557" spans="1:6" x14ac:dyDescent="0.3">
      <c r="A6557" t="s">
        <v>1256</v>
      </c>
      <c r="B6557" t="s">
        <v>2161</v>
      </c>
      <c r="C6557">
        <v>25.5</v>
      </c>
      <c r="D6557">
        <v>181</v>
      </c>
      <c r="E6557">
        <f>IF(OR(B6557="vi",B6557="ii",B6557="pod"),(((D6557/100)*(C6557*VLOOKUP(B6557,'Poids des runes'!A:B,2,FALSE)))+1),(((D6557/100)*(C6557*VLOOKUP(B6557,'Poids des runes'!A:B,2,FALSE)))+1)/VLOOKUP(B6557,'Poids des runes'!A:B,2,FALSE))</f>
        <v>46.488333333333337</v>
      </c>
      <c r="F6557">
        <f t="shared" si="102"/>
        <v>46.488333333333337</v>
      </c>
    </row>
    <row r="6558" spans="1:6" x14ac:dyDescent="0.3">
      <c r="A6558" t="s">
        <v>1256</v>
      </c>
      <c r="B6558" t="s">
        <v>2158</v>
      </c>
      <c r="C6558">
        <v>10.5</v>
      </c>
      <c r="D6558">
        <v>181</v>
      </c>
      <c r="E6558">
        <f>IF(OR(B6558="vi",B6558="ii",B6558="pod"),(((D6558/100)*(C6558*VLOOKUP(B6558,'Poids des runes'!A:B,2,FALSE)))+1),(((D6558/100)*(C6558*VLOOKUP(B6558,'Poids des runes'!A:B,2,FALSE)))+1)/VLOOKUP(B6558,'Poids des runes'!A:B,2,FALSE))</f>
        <v>19.205000000000002</v>
      </c>
      <c r="F6558">
        <f t="shared" si="102"/>
        <v>19.205000000000002</v>
      </c>
    </row>
    <row r="6559" spans="1:6" x14ac:dyDescent="0.3">
      <c r="A6559" t="s">
        <v>1256</v>
      </c>
      <c r="B6559" t="s">
        <v>2148</v>
      </c>
      <c r="C6559">
        <v>8</v>
      </c>
      <c r="D6559">
        <v>181</v>
      </c>
      <c r="E6559">
        <f>IF(OR(B6559="vi",B6559="ii",B6559="pod"),(((D6559/100)*(C6559*VLOOKUP(B6559,'Poids des runes'!A:B,2,FALSE)))+1),(((D6559/100)*(C6559*VLOOKUP(B6559,'Poids des runes'!A:B,2,FALSE)))+1)/VLOOKUP(B6559,'Poids des runes'!A:B,2,FALSE))</f>
        <v>14.646666666666667</v>
      </c>
      <c r="F6559">
        <f t="shared" si="102"/>
        <v>14.646666666666667</v>
      </c>
    </row>
    <row r="6560" spans="1:6" x14ac:dyDescent="0.3">
      <c r="A6560" t="s">
        <v>1256</v>
      </c>
      <c r="B6560" t="s">
        <v>2147</v>
      </c>
      <c r="C6560">
        <v>4</v>
      </c>
      <c r="D6560">
        <v>181</v>
      </c>
      <c r="E6560">
        <f>IF(OR(B6560="vi",B6560="ii",B6560="pod"),(((D6560/100)*(C6560*VLOOKUP(B6560,'Poids des runes'!A:B,2,FALSE)))+1),(((D6560/100)*(C6560*VLOOKUP(B6560,'Poids des runes'!A:B,2,FALSE)))+1)/VLOOKUP(B6560,'Poids des runes'!A:B,2,FALSE))</f>
        <v>7.4066666666666663</v>
      </c>
      <c r="F6560">
        <f t="shared" si="102"/>
        <v>7.4066666666666663</v>
      </c>
    </row>
    <row r="6561" spans="1:6" x14ac:dyDescent="0.3">
      <c r="A6561" t="s">
        <v>1256</v>
      </c>
      <c r="B6561" t="s">
        <v>2136</v>
      </c>
      <c r="C6561">
        <v>8</v>
      </c>
      <c r="D6561">
        <v>181</v>
      </c>
      <c r="E6561">
        <f>IF(OR(B6561="vi",B6561="ii",B6561="pod"),(((D6561/100)*(C6561*VLOOKUP(B6561,'Poids des runes'!A:B,2,FALSE)))+1),(((D6561/100)*(C6561*VLOOKUP(B6561,'Poids des runes'!A:B,2,FALSE)))+1)/VLOOKUP(B6561,'Poids des runes'!A:B,2,FALSE))</f>
        <v>14.98</v>
      </c>
      <c r="F6561">
        <f t="shared" si="102"/>
        <v>14.98</v>
      </c>
    </row>
    <row r="6562" spans="1:6" x14ac:dyDescent="0.3">
      <c r="A6562" t="s">
        <v>1256</v>
      </c>
      <c r="B6562" t="s">
        <v>2144</v>
      </c>
      <c r="C6562">
        <v>8</v>
      </c>
      <c r="D6562">
        <v>181</v>
      </c>
      <c r="E6562">
        <f>IF(OR(B6562="vi",B6562="ii",B6562="pod"),(((D6562/100)*(C6562*VLOOKUP(B6562,'Poids des runes'!A:B,2,FALSE)))+1),(((D6562/100)*(C6562*VLOOKUP(B6562,'Poids des runes'!A:B,2,FALSE)))+1)/VLOOKUP(B6562,'Poids des runes'!A:B,2,FALSE))</f>
        <v>14.98</v>
      </c>
      <c r="F6562">
        <f t="shared" si="102"/>
        <v>14.98</v>
      </c>
    </row>
    <row r="6563" spans="1:6" x14ac:dyDescent="0.3">
      <c r="A6563" t="s">
        <v>1257</v>
      </c>
      <c r="B6563" t="s">
        <v>2128</v>
      </c>
      <c r="C6563">
        <v>275.5</v>
      </c>
      <c r="D6563">
        <v>181</v>
      </c>
      <c r="E6563">
        <f>IF(OR(B6563="vi",B6563="ii",B6563="pod"),(((D6563/100)*(C6563*VLOOKUP(B6563,'Poids des runes'!A:B,2,FALSE)))+1),(((D6563/100)*(C6563*VLOOKUP(B6563,'Poids des runes'!A:B,2,FALSE)))+1)/VLOOKUP(B6563,'Poids des runes'!A:B,2,FALSE))</f>
        <v>100.73100000000001</v>
      </c>
      <c r="F6563">
        <f t="shared" si="102"/>
        <v>100.73100000000001</v>
      </c>
    </row>
    <row r="6564" spans="1:6" x14ac:dyDescent="0.3">
      <c r="A6564" t="s">
        <v>1257</v>
      </c>
      <c r="B6564" t="s">
        <v>2129</v>
      </c>
      <c r="C6564">
        <v>45.5</v>
      </c>
      <c r="D6564">
        <v>181</v>
      </c>
      <c r="E6564">
        <f>IF(OR(B6564="vi",B6564="ii",B6564="pod"),(((D6564/100)*(C6564*VLOOKUP(B6564,'Poids des runes'!A:B,2,FALSE)))+1),(((D6564/100)*(C6564*VLOOKUP(B6564,'Poids des runes'!A:B,2,FALSE)))+1)/VLOOKUP(B6564,'Poids des runes'!A:B,2,FALSE))</f>
        <v>83.355000000000004</v>
      </c>
      <c r="F6564">
        <f t="shared" si="102"/>
        <v>83.355000000000004</v>
      </c>
    </row>
    <row r="6565" spans="1:6" x14ac:dyDescent="0.3">
      <c r="A6565" t="s">
        <v>1257</v>
      </c>
      <c r="B6565" t="s">
        <v>2139</v>
      </c>
      <c r="C6565">
        <v>35.5</v>
      </c>
      <c r="D6565">
        <v>181</v>
      </c>
      <c r="E6565">
        <f>IF(OR(B6565="vi",B6565="ii",B6565="pod"),(((D6565/100)*(C6565*VLOOKUP(B6565,'Poids des runes'!A:B,2,FALSE)))+1),(((D6565/100)*(C6565*VLOOKUP(B6565,'Poids des runes'!A:B,2,FALSE)))+1)/VLOOKUP(B6565,'Poids des runes'!A:B,2,FALSE))</f>
        <v>64.754999999999995</v>
      </c>
      <c r="F6565">
        <f t="shared" si="102"/>
        <v>64.754999999999995</v>
      </c>
    </row>
    <row r="6566" spans="1:6" x14ac:dyDescent="0.3">
      <c r="A6566" t="s">
        <v>1257</v>
      </c>
      <c r="B6566" t="s">
        <v>2152</v>
      </c>
      <c r="C6566">
        <v>1</v>
      </c>
      <c r="D6566">
        <v>181</v>
      </c>
      <c r="E6566">
        <f>IF(OR(B6566="vi",B6566="ii",B6566="pod"),(((D6566/100)*(C6566*VLOOKUP(B6566,'Poids des runes'!A:B,2,FALSE)))+1),(((D6566/100)*(C6566*VLOOKUP(B6566,'Poids des runes'!A:B,2,FALSE)))+1)/VLOOKUP(B6566,'Poids des runes'!A:B,2,FALSE))</f>
        <v>1.82</v>
      </c>
      <c r="F6566">
        <f t="shared" si="102"/>
        <v>1.82</v>
      </c>
    </row>
    <row r="6567" spans="1:6" x14ac:dyDescent="0.3">
      <c r="A6567" t="s">
        <v>1257</v>
      </c>
      <c r="B6567" t="s">
        <v>2134</v>
      </c>
      <c r="C6567">
        <v>6</v>
      </c>
      <c r="D6567">
        <v>181</v>
      </c>
      <c r="E6567">
        <f>IF(OR(B6567="vi",B6567="ii",B6567="pod"),(((D6567/100)*(C6567*VLOOKUP(B6567,'Poids des runes'!A:B,2,FALSE)))+1),(((D6567/100)*(C6567*VLOOKUP(B6567,'Poids des runes'!A:B,2,FALSE)))+1)/VLOOKUP(B6567,'Poids des runes'!A:B,2,FALSE))</f>
        <v>10.91</v>
      </c>
      <c r="F6567">
        <f t="shared" si="102"/>
        <v>10.91</v>
      </c>
    </row>
    <row r="6568" spans="1:6" x14ac:dyDescent="0.3">
      <c r="A6568" t="s">
        <v>1257</v>
      </c>
      <c r="B6568" t="s">
        <v>2161</v>
      </c>
      <c r="C6568">
        <v>15.5</v>
      </c>
      <c r="D6568">
        <v>181</v>
      </c>
      <c r="E6568">
        <f>IF(OR(B6568="vi",B6568="ii",B6568="pod"),(((D6568/100)*(C6568*VLOOKUP(B6568,'Poids des runes'!A:B,2,FALSE)))+1),(((D6568/100)*(C6568*VLOOKUP(B6568,'Poids des runes'!A:B,2,FALSE)))+1)/VLOOKUP(B6568,'Poids des runes'!A:B,2,FALSE))</f>
        <v>28.388333333333335</v>
      </c>
      <c r="F6568">
        <f t="shared" si="102"/>
        <v>28.388333333333335</v>
      </c>
    </row>
    <row r="6569" spans="1:6" x14ac:dyDescent="0.3">
      <c r="A6569" t="s">
        <v>1257</v>
      </c>
      <c r="B6569" t="s">
        <v>2132</v>
      </c>
      <c r="C6569">
        <v>550.5</v>
      </c>
      <c r="D6569">
        <v>181</v>
      </c>
      <c r="E6569">
        <f>IF(OR(B6569="vi",B6569="ii",B6569="pod"),(((D6569/100)*(C6569*VLOOKUP(B6569,'Poids des runes'!A:B,2,FALSE)))+1),(((D6569/100)*(C6569*VLOOKUP(B6569,'Poids des runes'!A:B,2,FALSE)))+1)/VLOOKUP(B6569,'Poids des runes'!A:B,2,FALSE))</f>
        <v>100.64050000000002</v>
      </c>
      <c r="F6569">
        <f t="shared" si="102"/>
        <v>100.64050000000002</v>
      </c>
    </row>
    <row r="6570" spans="1:6" x14ac:dyDescent="0.3">
      <c r="A6570" t="s">
        <v>1257</v>
      </c>
      <c r="B6570" t="s">
        <v>2135</v>
      </c>
      <c r="C6570">
        <v>8</v>
      </c>
      <c r="D6570">
        <v>181</v>
      </c>
      <c r="E6570">
        <f>IF(OR(B6570="vi",B6570="ii",B6570="pod"),(((D6570/100)*(C6570*VLOOKUP(B6570,'Poids des runes'!A:B,2,FALSE)))+1),(((D6570/100)*(C6570*VLOOKUP(B6570,'Poids des runes'!A:B,2,FALSE)))+1)/VLOOKUP(B6570,'Poids des runes'!A:B,2,FALSE))</f>
        <v>14.646666666666667</v>
      </c>
      <c r="F6570">
        <f t="shared" si="102"/>
        <v>14.646666666666667</v>
      </c>
    </row>
    <row r="6571" spans="1:6" x14ac:dyDescent="0.3">
      <c r="A6571" t="s">
        <v>1258</v>
      </c>
      <c r="B6571" t="s">
        <v>2128</v>
      </c>
      <c r="C6571">
        <v>275.5</v>
      </c>
      <c r="D6571">
        <v>181</v>
      </c>
      <c r="E6571">
        <f>IF(OR(B6571="vi",B6571="ii",B6571="pod"),(((D6571/100)*(C6571*VLOOKUP(B6571,'Poids des runes'!A:B,2,FALSE)))+1),(((D6571/100)*(C6571*VLOOKUP(B6571,'Poids des runes'!A:B,2,FALSE)))+1)/VLOOKUP(B6571,'Poids des runes'!A:B,2,FALSE))</f>
        <v>100.73100000000001</v>
      </c>
      <c r="F6571">
        <f t="shared" si="102"/>
        <v>100.73100000000001</v>
      </c>
    </row>
    <row r="6572" spans="1:6" x14ac:dyDescent="0.3">
      <c r="A6572" t="s">
        <v>1258</v>
      </c>
      <c r="B6572" t="s">
        <v>2126</v>
      </c>
      <c r="C6572">
        <v>25.5</v>
      </c>
      <c r="D6572">
        <v>181</v>
      </c>
      <c r="E6572">
        <f>IF(OR(B6572="vi",B6572="ii",B6572="pod"),(((D6572/100)*(C6572*VLOOKUP(B6572,'Poids des runes'!A:B,2,FALSE)))+1),(((D6572/100)*(C6572*VLOOKUP(B6572,'Poids des runes'!A:B,2,FALSE)))+1)/VLOOKUP(B6572,'Poids des runes'!A:B,2,FALSE))</f>
        <v>47.155000000000001</v>
      </c>
      <c r="F6572">
        <f t="shared" si="102"/>
        <v>47.155000000000001</v>
      </c>
    </row>
    <row r="6573" spans="1:6" x14ac:dyDescent="0.3">
      <c r="A6573" t="s">
        <v>1258</v>
      </c>
      <c r="B6573" t="s">
        <v>2131</v>
      </c>
      <c r="C6573">
        <v>25.5</v>
      </c>
      <c r="D6573">
        <v>181</v>
      </c>
      <c r="E6573">
        <f>IF(OR(B6573="vi",B6573="ii",B6573="pod"),(((D6573/100)*(C6573*VLOOKUP(B6573,'Poids des runes'!A:B,2,FALSE)))+1),(((D6573/100)*(C6573*VLOOKUP(B6573,'Poids des runes'!A:B,2,FALSE)))+1)/VLOOKUP(B6573,'Poids des runes'!A:B,2,FALSE))</f>
        <v>47.155000000000001</v>
      </c>
      <c r="F6573">
        <f t="shared" si="102"/>
        <v>47.155000000000001</v>
      </c>
    </row>
    <row r="6574" spans="1:6" x14ac:dyDescent="0.3">
      <c r="A6574" t="s">
        <v>1258</v>
      </c>
      <c r="B6574" t="s">
        <v>2127</v>
      </c>
      <c r="C6574">
        <v>25.5</v>
      </c>
      <c r="D6574">
        <v>181</v>
      </c>
      <c r="E6574">
        <f>IF(OR(B6574="vi",B6574="ii",B6574="pod"),(((D6574/100)*(C6574*VLOOKUP(B6574,'Poids des runes'!A:B,2,FALSE)))+1),(((D6574/100)*(C6574*VLOOKUP(B6574,'Poids des runes'!A:B,2,FALSE)))+1)/VLOOKUP(B6574,'Poids des runes'!A:B,2,FALSE))</f>
        <v>47.155000000000001</v>
      </c>
      <c r="F6574">
        <f t="shared" si="102"/>
        <v>47.155000000000001</v>
      </c>
    </row>
    <row r="6575" spans="1:6" x14ac:dyDescent="0.3">
      <c r="A6575" t="s">
        <v>1258</v>
      </c>
      <c r="B6575" t="s">
        <v>2129</v>
      </c>
      <c r="C6575">
        <v>25.5</v>
      </c>
      <c r="D6575">
        <v>181</v>
      </c>
      <c r="E6575">
        <f>IF(OR(B6575="vi",B6575="ii",B6575="pod"),(((D6575/100)*(C6575*VLOOKUP(B6575,'Poids des runes'!A:B,2,FALSE)))+1),(((D6575/100)*(C6575*VLOOKUP(B6575,'Poids des runes'!A:B,2,FALSE)))+1)/VLOOKUP(B6575,'Poids des runes'!A:B,2,FALSE))</f>
        <v>47.155000000000001</v>
      </c>
      <c r="F6575">
        <f t="shared" si="102"/>
        <v>47.155000000000001</v>
      </c>
    </row>
    <row r="6576" spans="1:6" x14ac:dyDescent="0.3">
      <c r="A6576" t="s">
        <v>1258</v>
      </c>
      <c r="B6576" t="s">
        <v>2151</v>
      </c>
      <c r="C6576">
        <v>5</v>
      </c>
      <c r="D6576">
        <v>181</v>
      </c>
      <c r="E6576">
        <f>IF(OR(B6576="vi",B6576="ii",B6576="pod"),(((D6576/100)*(C6576*VLOOKUP(B6576,'Poids des runes'!A:B,2,FALSE)))+1),(((D6576/100)*(C6576*VLOOKUP(B6576,'Poids des runes'!A:B,2,FALSE)))+1)/VLOOKUP(B6576,'Poids des runes'!A:B,2,FALSE))</f>
        <v>9.15</v>
      </c>
      <c r="F6576">
        <f t="shared" si="102"/>
        <v>9.15</v>
      </c>
    </row>
    <row r="6577" spans="1:6" x14ac:dyDescent="0.3">
      <c r="A6577" t="s">
        <v>1258</v>
      </c>
      <c r="B6577" t="s">
        <v>2152</v>
      </c>
      <c r="C6577">
        <v>1</v>
      </c>
      <c r="D6577">
        <v>181</v>
      </c>
      <c r="E6577">
        <f>IF(OR(B6577="vi",B6577="ii",B6577="pod"),(((D6577/100)*(C6577*VLOOKUP(B6577,'Poids des runes'!A:B,2,FALSE)))+1),(((D6577/100)*(C6577*VLOOKUP(B6577,'Poids des runes'!A:B,2,FALSE)))+1)/VLOOKUP(B6577,'Poids des runes'!A:B,2,FALSE))</f>
        <v>1.82</v>
      </c>
      <c r="F6577">
        <f t="shared" si="102"/>
        <v>1.82</v>
      </c>
    </row>
    <row r="6578" spans="1:6" x14ac:dyDescent="0.3">
      <c r="A6578" t="s">
        <v>1258</v>
      </c>
      <c r="B6578" t="s">
        <v>2140</v>
      </c>
      <c r="C6578">
        <v>8.5</v>
      </c>
      <c r="D6578">
        <v>181</v>
      </c>
      <c r="E6578">
        <f>IF(OR(B6578="vi",B6578="ii",B6578="pod"),(((D6578/100)*(C6578*VLOOKUP(B6578,'Poids des runes'!A:B,2,FALSE)))+1),(((D6578/100)*(C6578*VLOOKUP(B6578,'Poids des runes'!A:B,2,FALSE)))+1)/VLOOKUP(B6578,'Poids des runes'!A:B,2,FALSE))</f>
        <v>15.584999999999999</v>
      </c>
      <c r="F6578">
        <f t="shared" si="102"/>
        <v>15.584999999999999</v>
      </c>
    </row>
    <row r="6579" spans="1:6" x14ac:dyDescent="0.3">
      <c r="A6579" t="s">
        <v>1258</v>
      </c>
      <c r="B6579" t="s">
        <v>2133</v>
      </c>
      <c r="C6579">
        <v>8.5</v>
      </c>
      <c r="D6579">
        <v>181</v>
      </c>
      <c r="E6579">
        <f>IF(OR(B6579="vi",B6579="ii",B6579="pod"),(((D6579/100)*(C6579*VLOOKUP(B6579,'Poids des runes'!A:B,2,FALSE)))+1),(((D6579/100)*(C6579*VLOOKUP(B6579,'Poids des runes'!A:B,2,FALSE)))+1)/VLOOKUP(B6579,'Poids des runes'!A:B,2,FALSE))</f>
        <v>15.584999999999999</v>
      </c>
      <c r="F6579">
        <f t="shared" si="102"/>
        <v>15.584999999999999</v>
      </c>
    </row>
    <row r="6580" spans="1:6" x14ac:dyDescent="0.3">
      <c r="A6580" t="s">
        <v>1258</v>
      </c>
      <c r="B6580" t="s">
        <v>2153</v>
      </c>
      <c r="C6580">
        <v>8.5</v>
      </c>
      <c r="D6580">
        <v>181</v>
      </c>
      <c r="E6580">
        <f>IF(OR(B6580="vi",B6580="ii",B6580="pod"),(((D6580/100)*(C6580*VLOOKUP(B6580,'Poids des runes'!A:B,2,FALSE)))+1),(((D6580/100)*(C6580*VLOOKUP(B6580,'Poids des runes'!A:B,2,FALSE)))+1)/VLOOKUP(B6580,'Poids des runes'!A:B,2,FALSE))</f>
        <v>15.584999999999999</v>
      </c>
      <c r="F6580">
        <f t="shared" si="102"/>
        <v>15.584999999999999</v>
      </c>
    </row>
    <row r="6581" spans="1:6" x14ac:dyDescent="0.3">
      <c r="A6581" t="s">
        <v>1258</v>
      </c>
      <c r="B6581" t="s">
        <v>2138</v>
      </c>
      <c r="C6581">
        <v>8.5</v>
      </c>
      <c r="D6581">
        <v>181</v>
      </c>
      <c r="E6581">
        <f>IF(OR(B6581="vi",B6581="ii",B6581="pod"),(((D6581/100)*(C6581*VLOOKUP(B6581,'Poids des runes'!A:B,2,FALSE)))+1),(((D6581/100)*(C6581*VLOOKUP(B6581,'Poids des runes'!A:B,2,FALSE)))+1)/VLOOKUP(B6581,'Poids des runes'!A:B,2,FALSE))</f>
        <v>15.635</v>
      </c>
      <c r="F6581">
        <f t="shared" si="102"/>
        <v>15.635</v>
      </c>
    </row>
    <row r="6582" spans="1:6" x14ac:dyDescent="0.3">
      <c r="A6582" t="s">
        <v>1258</v>
      </c>
      <c r="B6582" t="s">
        <v>2165</v>
      </c>
      <c r="C6582">
        <v>6</v>
      </c>
      <c r="D6582">
        <v>181</v>
      </c>
      <c r="E6582">
        <f>IF(OR(B6582="vi",B6582="ii",B6582="pod"),(((D6582/100)*(C6582*VLOOKUP(B6582,'Poids des runes'!A:B,2,FALSE)))+1),(((D6582/100)*(C6582*VLOOKUP(B6582,'Poids des runes'!A:B,2,FALSE)))+1)/VLOOKUP(B6582,'Poids des runes'!A:B,2,FALSE))</f>
        <v>11.002857142857142</v>
      </c>
      <c r="F6582">
        <f t="shared" si="102"/>
        <v>11.002857142857142</v>
      </c>
    </row>
    <row r="6583" spans="1:6" x14ac:dyDescent="0.3">
      <c r="A6583" t="s">
        <v>1258</v>
      </c>
      <c r="B6583" t="s">
        <v>2148</v>
      </c>
      <c r="C6583">
        <v>4.5</v>
      </c>
      <c r="D6583">
        <v>181</v>
      </c>
      <c r="E6583">
        <f>IF(OR(B6583="vi",B6583="ii",B6583="pod"),(((D6583/100)*(C6583*VLOOKUP(B6583,'Poids des runes'!A:B,2,FALSE)))+1),(((D6583/100)*(C6583*VLOOKUP(B6583,'Poids des runes'!A:B,2,FALSE)))+1)/VLOOKUP(B6583,'Poids des runes'!A:B,2,FALSE))</f>
        <v>8.3116666666666674</v>
      </c>
      <c r="F6583">
        <f t="shared" si="102"/>
        <v>8.3116666666666674</v>
      </c>
    </row>
    <row r="6584" spans="1:6" x14ac:dyDescent="0.3">
      <c r="A6584" t="s">
        <v>1258</v>
      </c>
      <c r="B6584" t="s">
        <v>2144</v>
      </c>
      <c r="C6584">
        <v>13</v>
      </c>
      <c r="D6584">
        <v>181</v>
      </c>
      <c r="E6584">
        <f>IF(OR(B6584="vi",B6584="ii",B6584="pod"),(((D6584/100)*(C6584*VLOOKUP(B6584,'Poids des runes'!A:B,2,FALSE)))+1),(((D6584/100)*(C6584*VLOOKUP(B6584,'Poids des runes'!A:B,2,FALSE)))+1)/VLOOKUP(B6584,'Poids des runes'!A:B,2,FALSE))</f>
        <v>24.03</v>
      </c>
      <c r="F6584">
        <f t="shared" si="102"/>
        <v>24.03</v>
      </c>
    </row>
    <row r="6585" spans="1:6" x14ac:dyDescent="0.3">
      <c r="A6585" t="s">
        <v>1258</v>
      </c>
      <c r="B6585" t="s">
        <v>2146</v>
      </c>
      <c r="C6585">
        <v>13</v>
      </c>
      <c r="D6585">
        <v>181</v>
      </c>
      <c r="E6585">
        <f>IF(OR(B6585="vi",B6585="ii",B6585="pod"),(((D6585/100)*(C6585*VLOOKUP(B6585,'Poids des runes'!A:B,2,FALSE)))+1),(((D6585/100)*(C6585*VLOOKUP(B6585,'Poids des runes'!A:B,2,FALSE)))+1)/VLOOKUP(B6585,'Poids des runes'!A:B,2,FALSE))</f>
        <v>24.03</v>
      </c>
      <c r="F6585">
        <f t="shared" si="102"/>
        <v>24.03</v>
      </c>
    </row>
    <row r="6586" spans="1:6" x14ac:dyDescent="0.3">
      <c r="A6586" t="s">
        <v>1259</v>
      </c>
      <c r="B6586" t="s">
        <v>2128</v>
      </c>
      <c r="C6586">
        <v>275.5</v>
      </c>
      <c r="D6586">
        <v>181</v>
      </c>
      <c r="E6586">
        <f>IF(OR(B6586="vi",B6586="ii",B6586="pod"),(((D6586/100)*(C6586*VLOOKUP(B6586,'Poids des runes'!A:B,2,FALSE)))+1),(((D6586/100)*(C6586*VLOOKUP(B6586,'Poids des runes'!A:B,2,FALSE)))+1)/VLOOKUP(B6586,'Poids des runes'!A:B,2,FALSE))</f>
        <v>100.73100000000001</v>
      </c>
      <c r="F6586">
        <f t="shared" si="102"/>
        <v>100.73100000000001</v>
      </c>
    </row>
    <row r="6587" spans="1:6" x14ac:dyDescent="0.3">
      <c r="A6587" t="s">
        <v>1259</v>
      </c>
      <c r="B6587" t="s">
        <v>2130</v>
      </c>
      <c r="C6587">
        <v>60.5</v>
      </c>
      <c r="D6587">
        <v>181</v>
      </c>
      <c r="E6587">
        <f>IF(OR(B6587="vi",B6587="ii",B6587="pod"),(((D6587/100)*(C6587*VLOOKUP(B6587,'Poids des runes'!A:B,2,FALSE)))+1),(((D6587/100)*(C6587*VLOOKUP(B6587,'Poids des runes'!A:B,2,FALSE)))+1)/VLOOKUP(B6587,'Poids des runes'!A:B,2,FALSE))</f>
        <v>110.50500000000001</v>
      </c>
      <c r="F6587">
        <f t="shared" si="102"/>
        <v>110.50500000000001</v>
      </c>
    </row>
    <row r="6588" spans="1:6" x14ac:dyDescent="0.3">
      <c r="A6588" t="s">
        <v>1259</v>
      </c>
      <c r="B6588" t="s">
        <v>2129</v>
      </c>
      <c r="C6588">
        <v>40.5</v>
      </c>
      <c r="D6588">
        <v>181</v>
      </c>
      <c r="E6588">
        <f>IF(OR(B6588="vi",B6588="ii",B6588="pod"),(((D6588/100)*(C6588*VLOOKUP(B6588,'Poids des runes'!A:B,2,FALSE)))+1),(((D6588/100)*(C6588*VLOOKUP(B6588,'Poids des runes'!A:B,2,FALSE)))+1)/VLOOKUP(B6588,'Poids des runes'!A:B,2,FALSE))</f>
        <v>74.305000000000007</v>
      </c>
      <c r="F6588">
        <f t="shared" si="102"/>
        <v>74.305000000000007</v>
      </c>
    </row>
    <row r="6589" spans="1:6" x14ac:dyDescent="0.3">
      <c r="A6589" t="s">
        <v>1259</v>
      </c>
      <c r="B6589" t="s">
        <v>2154</v>
      </c>
      <c r="C6589">
        <v>1</v>
      </c>
      <c r="D6589">
        <v>181</v>
      </c>
      <c r="E6589">
        <f>IF(OR(B6589="vi",B6589="ii",B6589="pod"),(((D6589/100)*(C6589*VLOOKUP(B6589,'Poids des runes'!A:B,2,FALSE)))+1),(((D6589/100)*(C6589*VLOOKUP(B6589,'Poids des runes'!A:B,2,FALSE)))+1)/VLOOKUP(B6589,'Poids des runes'!A:B,2,FALSE))</f>
        <v>1.8211111111111111</v>
      </c>
      <c r="F6589">
        <f t="shared" si="102"/>
        <v>1.8211111111111111</v>
      </c>
    </row>
    <row r="6590" spans="1:6" x14ac:dyDescent="0.3">
      <c r="A6590" t="s">
        <v>1259</v>
      </c>
      <c r="B6590" t="s">
        <v>2134</v>
      </c>
      <c r="C6590">
        <v>8</v>
      </c>
      <c r="D6590">
        <v>181</v>
      </c>
      <c r="E6590">
        <f>IF(OR(B6590="vi",B6590="ii",B6590="pod"),(((D6590/100)*(C6590*VLOOKUP(B6590,'Poids des runes'!A:B,2,FALSE)))+1),(((D6590/100)*(C6590*VLOOKUP(B6590,'Poids des runes'!A:B,2,FALSE)))+1)/VLOOKUP(B6590,'Poids des runes'!A:B,2,FALSE))</f>
        <v>14.530000000000001</v>
      </c>
      <c r="F6590">
        <f t="shared" si="102"/>
        <v>14.530000000000001</v>
      </c>
    </row>
    <row r="6591" spans="1:6" x14ac:dyDescent="0.3">
      <c r="A6591" t="s">
        <v>1259</v>
      </c>
      <c r="B6591" t="s">
        <v>2161</v>
      </c>
      <c r="C6591">
        <v>8</v>
      </c>
      <c r="D6591">
        <v>181</v>
      </c>
      <c r="E6591">
        <f>IF(OR(B6591="vi",B6591="ii",B6591="pod"),(((D6591/100)*(C6591*VLOOKUP(B6591,'Poids des runes'!A:B,2,FALSE)))+1),(((D6591/100)*(C6591*VLOOKUP(B6591,'Poids des runes'!A:B,2,FALSE)))+1)/VLOOKUP(B6591,'Poids des runes'!A:B,2,FALSE))</f>
        <v>14.813333333333333</v>
      </c>
      <c r="F6591">
        <f t="shared" si="102"/>
        <v>14.813333333333333</v>
      </c>
    </row>
    <row r="6592" spans="1:6" x14ac:dyDescent="0.3">
      <c r="A6592" t="s">
        <v>1259</v>
      </c>
      <c r="B6592" t="s">
        <v>2148</v>
      </c>
      <c r="C6592">
        <v>8</v>
      </c>
      <c r="D6592">
        <v>181</v>
      </c>
      <c r="E6592">
        <f>IF(OR(B6592="vi",B6592="ii",B6592="pod"),(((D6592/100)*(C6592*VLOOKUP(B6592,'Poids des runes'!A:B,2,FALSE)))+1),(((D6592/100)*(C6592*VLOOKUP(B6592,'Poids des runes'!A:B,2,FALSE)))+1)/VLOOKUP(B6592,'Poids des runes'!A:B,2,FALSE))</f>
        <v>14.646666666666667</v>
      </c>
      <c r="F6592">
        <f t="shared" si="102"/>
        <v>14.646666666666667</v>
      </c>
    </row>
    <row r="6593" spans="1:6" x14ac:dyDescent="0.3">
      <c r="A6593" t="s">
        <v>1259</v>
      </c>
      <c r="B6593" t="s">
        <v>2144</v>
      </c>
      <c r="C6593">
        <v>8</v>
      </c>
      <c r="D6593">
        <v>181</v>
      </c>
      <c r="E6593">
        <f>IF(OR(B6593="vi",B6593="ii",B6593="pod"),(((D6593/100)*(C6593*VLOOKUP(B6593,'Poids des runes'!A:B,2,FALSE)))+1),(((D6593/100)*(C6593*VLOOKUP(B6593,'Poids des runes'!A:B,2,FALSE)))+1)/VLOOKUP(B6593,'Poids des runes'!A:B,2,FALSE))</f>
        <v>14.98</v>
      </c>
      <c r="F6593">
        <f t="shared" si="102"/>
        <v>14.98</v>
      </c>
    </row>
    <row r="6594" spans="1:6" x14ac:dyDescent="0.3">
      <c r="A6594" t="s">
        <v>1259</v>
      </c>
      <c r="B6594" t="s">
        <v>2146</v>
      </c>
      <c r="C6594">
        <v>8</v>
      </c>
      <c r="D6594">
        <v>181</v>
      </c>
      <c r="E6594">
        <f>IF(OR(B6594="vi",B6594="ii",B6594="pod"),(((D6594/100)*(C6594*VLOOKUP(B6594,'Poids des runes'!A:B,2,FALSE)))+1),(((D6594/100)*(C6594*VLOOKUP(B6594,'Poids des runes'!A:B,2,FALSE)))+1)/VLOOKUP(B6594,'Poids des runes'!A:B,2,FALSE))</f>
        <v>14.98</v>
      </c>
      <c r="F6594">
        <f t="shared" si="102"/>
        <v>14.98</v>
      </c>
    </row>
    <row r="6595" spans="1:6" x14ac:dyDescent="0.3">
      <c r="A6595" t="s">
        <v>1260</v>
      </c>
      <c r="B6595" t="s">
        <v>2128</v>
      </c>
      <c r="C6595">
        <v>275.5</v>
      </c>
      <c r="D6595">
        <v>181</v>
      </c>
      <c r="E6595">
        <f>IF(OR(B6595="vi",B6595="ii",B6595="pod"),(((D6595/100)*(C6595*VLOOKUP(B6595,'Poids des runes'!A:B,2,FALSE)))+1),(((D6595/100)*(C6595*VLOOKUP(B6595,'Poids des runes'!A:B,2,FALSE)))+1)/VLOOKUP(B6595,'Poids des runes'!A:B,2,FALSE))</f>
        <v>100.73100000000001</v>
      </c>
      <c r="F6595">
        <f t="shared" ref="F6595:F6658" si="103">E6595</f>
        <v>100.73100000000001</v>
      </c>
    </row>
    <row r="6596" spans="1:6" x14ac:dyDescent="0.3">
      <c r="A6596" t="s">
        <v>1260</v>
      </c>
      <c r="B6596" t="s">
        <v>2126</v>
      </c>
      <c r="C6596">
        <v>40.5</v>
      </c>
      <c r="D6596">
        <v>181</v>
      </c>
      <c r="E6596">
        <f>IF(OR(B6596="vi",B6596="ii",B6596="pod"),(((D6596/100)*(C6596*VLOOKUP(B6596,'Poids des runes'!A:B,2,FALSE)))+1),(((D6596/100)*(C6596*VLOOKUP(B6596,'Poids des runes'!A:B,2,FALSE)))+1)/VLOOKUP(B6596,'Poids des runes'!A:B,2,FALSE))</f>
        <v>74.305000000000007</v>
      </c>
      <c r="F6596">
        <f t="shared" si="103"/>
        <v>74.305000000000007</v>
      </c>
    </row>
    <row r="6597" spans="1:6" x14ac:dyDescent="0.3">
      <c r="A6597" t="s">
        <v>1260</v>
      </c>
      <c r="B6597" t="s">
        <v>2131</v>
      </c>
      <c r="C6597">
        <v>40.5</v>
      </c>
      <c r="D6597">
        <v>181</v>
      </c>
      <c r="E6597">
        <f>IF(OR(B6597="vi",B6597="ii",B6597="pod"),(((D6597/100)*(C6597*VLOOKUP(B6597,'Poids des runes'!A:B,2,FALSE)))+1),(((D6597/100)*(C6597*VLOOKUP(B6597,'Poids des runes'!A:B,2,FALSE)))+1)/VLOOKUP(B6597,'Poids des runes'!A:B,2,FALSE))</f>
        <v>74.305000000000007</v>
      </c>
      <c r="F6597">
        <f t="shared" si="103"/>
        <v>74.305000000000007</v>
      </c>
    </row>
    <row r="6598" spans="1:6" x14ac:dyDescent="0.3">
      <c r="A6598" t="s">
        <v>1260</v>
      </c>
      <c r="B6598" t="s">
        <v>2129</v>
      </c>
      <c r="C6598">
        <v>25.5</v>
      </c>
      <c r="D6598">
        <v>181</v>
      </c>
      <c r="E6598">
        <f>IF(OR(B6598="vi",B6598="ii",B6598="pod"),(((D6598/100)*(C6598*VLOOKUP(B6598,'Poids des runes'!A:B,2,FALSE)))+1),(((D6598/100)*(C6598*VLOOKUP(B6598,'Poids des runes'!A:B,2,FALSE)))+1)/VLOOKUP(B6598,'Poids des runes'!A:B,2,FALSE))</f>
        <v>47.155000000000001</v>
      </c>
      <c r="F6598">
        <f t="shared" si="103"/>
        <v>47.155000000000001</v>
      </c>
    </row>
    <row r="6599" spans="1:6" x14ac:dyDescent="0.3">
      <c r="A6599" t="s">
        <v>1260</v>
      </c>
      <c r="B6599" t="s">
        <v>2139</v>
      </c>
      <c r="C6599">
        <v>8</v>
      </c>
      <c r="D6599">
        <v>181</v>
      </c>
      <c r="E6599">
        <f>IF(OR(B6599="vi",B6599="ii",B6599="pod"),(((D6599/100)*(C6599*VLOOKUP(B6599,'Poids des runes'!A:B,2,FALSE)))+1),(((D6599/100)*(C6599*VLOOKUP(B6599,'Poids des runes'!A:B,2,FALSE)))+1)/VLOOKUP(B6599,'Poids des runes'!A:B,2,FALSE))</f>
        <v>14.98</v>
      </c>
      <c r="F6599">
        <f t="shared" si="103"/>
        <v>14.98</v>
      </c>
    </row>
    <row r="6600" spans="1:6" x14ac:dyDescent="0.3">
      <c r="A6600" t="s">
        <v>1260</v>
      </c>
      <c r="B6600" t="s">
        <v>2151</v>
      </c>
      <c r="C6600">
        <v>1.5</v>
      </c>
      <c r="D6600">
        <v>181</v>
      </c>
      <c r="E6600">
        <f>IF(OR(B6600="vi",B6600="ii",B6600="pod"),(((D6600/100)*(C6600*VLOOKUP(B6600,'Poids des runes'!A:B,2,FALSE)))+1),(((D6600/100)*(C6600*VLOOKUP(B6600,'Poids des runes'!A:B,2,FALSE)))+1)/VLOOKUP(B6600,'Poids des runes'!A:B,2,FALSE))</f>
        <v>2.8150000000000004</v>
      </c>
      <c r="F6600">
        <f t="shared" si="103"/>
        <v>2.8150000000000004</v>
      </c>
    </row>
    <row r="6601" spans="1:6" x14ac:dyDescent="0.3">
      <c r="A6601" t="s">
        <v>1260</v>
      </c>
      <c r="B6601" t="s">
        <v>2155</v>
      </c>
      <c r="C6601">
        <v>1</v>
      </c>
      <c r="D6601">
        <v>181</v>
      </c>
      <c r="E6601">
        <f>IF(OR(B6601="vi",B6601="ii",B6601="pod"),(((D6601/100)*(C6601*VLOOKUP(B6601,'Poids des runes'!A:B,2,FALSE)))+1),(((D6601/100)*(C6601*VLOOKUP(B6601,'Poids des runes'!A:B,2,FALSE)))+1)/VLOOKUP(B6601,'Poids des runes'!A:B,2,FALSE))</f>
        <v>1.8296078431372549</v>
      </c>
      <c r="F6601">
        <f t="shared" si="103"/>
        <v>1.8296078431372549</v>
      </c>
    </row>
    <row r="6602" spans="1:6" x14ac:dyDescent="0.3">
      <c r="A6602" t="s">
        <v>1260</v>
      </c>
      <c r="B6602" t="s">
        <v>2134</v>
      </c>
      <c r="C6602">
        <v>4.5</v>
      </c>
      <c r="D6602">
        <v>181</v>
      </c>
      <c r="E6602">
        <f>IF(OR(B6602="vi",B6602="ii",B6602="pod"),(((D6602/100)*(C6602*VLOOKUP(B6602,'Poids des runes'!A:B,2,FALSE)))+1),(((D6602/100)*(C6602*VLOOKUP(B6602,'Poids des runes'!A:B,2,FALSE)))+1)/VLOOKUP(B6602,'Poids des runes'!A:B,2,FALSE))</f>
        <v>8.1950000000000003</v>
      </c>
      <c r="F6602">
        <f t="shared" si="103"/>
        <v>8.1950000000000003</v>
      </c>
    </row>
    <row r="6603" spans="1:6" x14ac:dyDescent="0.3">
      <c r="A6603" t="s">
        <v>1260</v>
      </c>
      <c r="B6603" t="s">
        <v>2149</v>
      </c>
      <c r="C6603">
        <v>4.5</v>
      </c>
      <c r="D6603">
        <v>181</v>
      </c>
      <c r="E6603">
        <f>IF(OR(B6603="vi",B6603="ii",B6603="pod"),(((D6603/100)*(C6603*VLOOKUP(B6603,'Poids des runes'!A:B,2,FALSE)))+1),(((D6603/100)*(C6603*VLOOKUP(B6603,'Poids des runes'!A:B,2,FALSE)))+1)/VLOOKUP(B6603,'Poids des runes'!A:B,2,FALSE))</f>
        <v>8.245000000000001</v>
      </c>
      <c r="F6603">
        <f t="shared" si="103"/>
        <v>8.245000000000001</v>
      </c>
    </row>
    <row r="6604" spans="1:6" x14ac:dyDescent="0.3">
      <c r="A6604" t="s">
        <v>1260</v>
      </c>
      <c r="B6604" t="s">
        <v>2161</v>
      </c>
      <c r="C6604">
        <v>15.5</v>
      </c>
      <c r="D6604">
        <v>181</v>
      </c>
      <c r="E6604">
        <f>IF(OR(B6604="vi",B6604="ii",B6604="pod"),(((D6604/100)*(C6604*VLOOKUP(B6604,'Poids des runes'!A:B,2,FALSE)))+1),(((D6604/100)*(C6604*VLOOKUP(B6604,'Poids des runes'!A:B,2,FALSE)))+1)/VLOOKUP(B6604,'Poids des runes'!A:B,2,FALSE))</f>
        <v>28.388333333333335</v>
      </c>
      <c r="F6604">
        <f t="shared" si="103"/>
        <v>28.388333333333335</v>
      </c>
    </row>
    <row r="6605" spans="1:6" x14ac:dyDescent="0.3">
      <c r="A6605" t="s">
        <v>1260</v>
      </c>
      <c r="B6605" t="s">
        <v>2156</v>
      </c>
      <c r="C6605">
        <v>8</v>
      </c>
      <c r="D6605">
        <v>181</v>
      </c>
      <c r="E6605">
        <f>IF(OR(B6605="vi",B6605="ii",B6605="pod"),(((D6605/100)*(C6605*VLOOKUP(B6605,'Poids des runes'!A:B,2,FALSE)))+1),(((D6605/100)*(C6605*VLOOKUP(B6605,'Poids des runes'!A:B,2,FALSE)))+1)/VLOOKUP(B6605,'Poids des runes'!A:B,2,FALSE))</f>
        <v>14.646666666666667</v>
      </c>
      <c r="F6605">
        <f t="shared" si="103"/>
        <v>14.646666666666667</v>
      </c>
    </row>
    <row r="6606" spans="1:6" x14ac:dyDescent="0.3">
      <c r="A6606" t="s">
        <v>1260</v>
      </c>
      <c r="B6606" t="s">
        <v>2136</v>
      </c>
      <c r="C6606">
        <v>8</v>
      </c>
      <c r="D6606">
        <v>181</v>
      </c>
      <c r="E6606">
        <f>IF(OR(B6606="vi",B6606="ii",B6606="pod"),(((D6606/100)*(C6606*VLOOKUP(B6606,'Poids des runes'!A:B,2,FALSE)))+1),(((D6606/100)*(C6606*VLOOKUP(B6606,'Poids des runes'!A:B,2,FALSE)))+1)/VLOOKUP(B6606,'Poids des runes'!A:B,2,FALSE))</f>
        <v>14.98</v>
      </c>
      <c r="F6606">
        <f t="shared" si="103"/>
        <v>14.98</v>
      </c>
    </row>
    <row r="6607" spans="1:6" x14ac:dyDescent="0.3">
      <c r="A6607" t="s">
        <v>1261</v>
      </c>
      <c r="B6607" t="s">
        <v>2128</v>
      </c>
      <c r="C6607">
        <v>275.5</v>
      </c>
      <c r="D6607">
        <v>182</v>
      </c>
      <c r="E6607">
        <f>IF(OR(B6607="vi",B6607="ii",B6607="pod"),(((D6607/100)*(C6607*VLOOKUP(B6607,'Poids des runes'!A:B,2,FALSE)))+1),(((D6607/100)*(C6607*VLOOKUP(B6607,'Poids des runes'!A:B,2,FALSE)))+1)/VLOOKUP(B6607,'Poids des runes'!A:B,2,FALSE))</f>
        <v>101.28200000000001</v>
      </c>
      <c r="F6607">
        <f t="shared" si="103"/>
        <v>101.28200000000001</v>
      </c>
    </row>
    <row r="6608" spans="1:6" x14ac:dyDescent="0.3">
      <c r="A6608" t="s">
        <v>1261</v>
      </c>
      <c r="B6608" t="s">
        <v>2127</v>
      </c>
      <c r="C6608">
        <v>50.5</v>
      </c>
      <c r="D6608">
        <v>182</v>
      </c>
      <c r="E6608">
        <f>IF(OR(B6608="vi",B6608="ii",B6608="pod"),(((D6608/100)*(C6608*VLOOKUP(B6608,'Poids des runes'!A:B,2,FALSE)))+1),(((D6608/100)*(C6608*VLOOKUP(B6608,'Poids des runes'!A:B,2,FALSE)))+1)/VLOOKUP(B6608,'Poids des runes'!A:B,2,FALSE))</f>
        <v>92.91</v>
      </c>
      <c r="F6608">
        <f t="shared" si="103"/>
        <v>92.91</v>
      </c>
    </row>
    <row r="6609" spans="1:6" x14ac:dyDescent="0.3">
      <c r="A6609" t="s">
        <v>1261</v>
      </c>
      <c r="B6609" t="s">
        <v>2129</v>
      </c>
      <c r="C6609">
        <v>35.5</v>
      </c>
      <c r="D6609">
        <v>182</v>
      </c>
      <c r="E6609">
        <f>IF(OR(B6609="vi",B6609="ii",B6609="pod"),(((D6609/100)*(C6609*VLOOKUP(B6609,'Poids des runes'!A:B,2,FALSE)))+1),(((D6609/100)*(C6609*VLOOKUP(B6609,'Poids des runes'!A:B,2,FALSE)))+1)/VLOOKUP(B6609,'Poids des runes'!A:B,2,FALSE))</f>
        <v>65.61</v>
      </c>
      <c r="F6609">
        <f t="shared" si="103"/>
        <v>65.61</v>
      </c>
    </row>
    <row r="6610" spans="1:6" x14ac:dyDescent="0.3">
      <c r="A6610" t="s">
        <v>1261</v>
      </c>
      <c r="B6610" t="s">
        <v>2139</v>
      </c>
      <c r="C6610">
        <v>13</v>
      </c>
      <c r="D6610">
        <v>182</v>
      </c>
      <c r="E6610">
        <f>IF(OR(B6610="vi",B6610="ii",B6610="pod"),(((D6610/100)*(C6610*VLOOKUP(B6610,'Poids des runes'!A:B,2,FALSE)))+1),(((D6610/100)*(C6610*VLOOKUP(B6610,'Poids des runes'!A:B,2,FALSE)))+1)/VLOOKUP(B6610,'Poids des runes'!A:B,2,FALSE))</f>
        <v>24.16</v>
      </c>
      <c r="F6610">
        <f t="shared" si="103"/>
        <v>24.16</v>
      </c>
    </row>
    <row r="6611" spans="1:6" x14ac:dyDescent="0.3">
      <c r="A6611" t="s">
        <v>1261</v>
      </c>
      <c r="B6611" t="s">
        <v>2151</v>
      </c>
      <c r="C6611">
        <v>5</v>
      </c>
      <c r="D6611">
        <v>182</v>
      </c>
      <c r="E6611">
        <f>IF(OR(B6611="vi",B6611="ii",B6611="pod"),(((D6611/100)*(C6611*VLOOKUP(B6611,'Poids des runes'!A:B,2,FALSE)))+1),(((D6611/100)*(C6611*VLOOKUP(B6611,'Poids des runes'!A:B,2,FALSE)))+1)/VLOOKUP(B6611,'Poids des runes'!A:B,2,FALSE))</f>
        <v>9.1999999999999993</v>
      </c>
      <c r="F6611">
        <f t="shared" si="103"/>
        <v>9.1999999999999993</v>
      </c>
    </row>
    <row r="6612" spans="1:6" x14ac:dyDescent="0.3">
      <c r="A6612" t="s">
        <v>1261</v>
      </c>
      <c r="B6612" t="s">
        <v>2155</v>
      </c>
      <c r="C6612">
        <v>1</v>
      </c>
      <c r="D6612">
        <v>182</v>
      </c>
      <c r="E6612">
        <f>IF(OR(B6612="vi",B6612="ii",B6612="pod"),(((D6612/100)*(C6612*VLOOKUP(B6612,'Poids des runes'!A:B,2,FALSE)))+1),(((D6612/100)*(C6612*VLOOKUP(B6612,'Poids des runes'!A:B,2,FALSE)))+1)/VLOOKUP(B6612,'Poids des runes'!A:B,2,FALSE))</f>
        <v>1.8396078431372551</v>
      </c>
      <c r="F6612">
        <f t="shared" si="103"/>
        <v>1.8396078431372551</v>
      </c>
    </row>
    <row r="6613" spans="1:6" x14ac:dyDescent="0.3">
      <c r="A6613" t="s">
        <v>1261</v>
      </c>
      <c r="B6613" t="s">
        <v>2134</v>
      </c>
      <c r="C6613">
        <v>6</v>
      </c>
      <c r="D6613">
        <v>182</v>
      </c>
      <c r="E6613">
        <f>IF(OR(B6613="vi",B6613="ii",B6613="pod"),(((D6613/100)*(C6613*VLOOKUP(B6613,'Poids des runes'!A:B,2,FALSE)))+1),(((D6613/100)*(C6613*VLOOKUP(B6613,'Poids des runes'!A:B,2,FALSE)))+1)/VLOOKUP(B6613,'Poids des runes'!A:B,2,FALSE))</f>
        <v>10.97</v>
      </c>
      <c r="F6613">
        <f t="shared" si="103"/>
        <v>10.97</v>
      </c>
    </row>
    <row r="6614" spans="1:6" x14ac:dyDescent="0.3">
      <c r="A6614" t="s">
        <v>1261</v>
      </c>
      <c r="B6614" t="s">
        <v>2161</v>
      </c>
      <c r="C6614">
        <v>13</v>
      </c>
      <c r="D6614">
        <v>182</v>
      </c>
      <c r="E6614">
        <f>IF(OR(B6614="vi",B6614="ii",B6614="pod"),(((D6614/100)*(C6614*VLOOKUP(B6614,'Poids des runes'!A:B,2,FALSE)))+1),(((D6614/100)*(C6614*VLOOKUP(B6614,'Poids des runes'!A:B,2,FALSE)))+1)/VLOOKUP(B6614,'Poids des runes'!A:B,2,FALSE))</f>
        <v>23.993333333333336</v>
      </c>
      <c r="F6614">
        <f t="shared" si="103"/>
        <v>23.993333333333336</v>
      </c>
    </row>
    <row r="6615" spans="1:6" x14ac:dyDescent="0.3">
      <c r="A6615" t="s">
        <v>1261</v>
      </c>
      <c r="B6615" t="s">
        <v>2148</v>
      </c>
      <c r="C6615">
        <v>8</v>
      </c>
      <c r="D6615">
        <v>182</v>
      </c>
      <c r="E6615">
        <f>IF(OR(B6615="vi",B6615="ii",B6615="pod"),(((D6615/100)*(C6615*VLOOKUP(B6615,'Poids des runes'!A:B,2,FALSE)))+1),(((D6615/100)*(C6615*VLOOKUP(B6615,'Poids des runes'!A:B,2,FALSE)))+1)/VLOOKUP(B6615,'Poids des runes'!A:B,2,FALSE))</f>
        <v>14.726666666666667</v>
      </c>
      <c r="F6615">
        <f t="shared" si="103"/>
        <v>14.726666666666667</v>
      </c>
    </row>
    <row r="6616" spans="1:6" x14ac:dyDescent="0.3">
      <c r="A6616" t="s">
        <v>1261</v>
      </c>
      <c r="B6616" t="s">
        <v>2135</v>
      </c>
      <c r="C6616">
        <v>8</v>
      </c>
      <c r="D6616">
        <v>182</v>
      </c>
      <c r="E6616">
        <f>IF(OR(B6616="vi",B6616="ii",B6616="pod"),(((D6616/100)*(C6616*VLOOKUP(B6616,'Poids des runes'!A:B,2,FALSE)))+1),(((D6616/100)*(C6616*VLOOKUP(B6616,'Poids des runes'!A:B,2,FALSE)))+1)/VLOOKUP(B6616,'Poids des runes'!A:B,2,FALSE))</f>
        <v>14.726666666666667</v>
      </c>
      <c r="F6616">
        <f t="shared" si="103"/>
        <v>14.726666666666667</v>
      </c>
    </row>
    <row r="6617" spans="1:6" x14ac:dyDescent="0.3">
      <c r="A6617" t="s">
        <v>1262</v>
      </c>
      <c r="B6617" t="s">
        <v>2128</v>
      </c>
      <c r="C6617">
        <v>175.5</v>
      </c>
      <c r="D6617">
        <v>182</v>
      </c>
      <c r="E6617">
        <f>IF(OR(B6617="vi",B6617="ii",B6617="pod"),(((D6617/100)*(C6617*VLOOKUP(B6617,'Poids des runes'!A:B,2,FALSE)))+1),(((D6617/100)*(C6617*VLOOKUP(B6617,'Poids des runes'!A:B,2,FALSE)))+1)/VLOOKUP(B6617,'Poids des runes'!A:B,2,FALSE))</f>
        <v>64.882000000000005</v>
      </c>
      <c r="F6617">
        <f t="shared" si="103"/>
        <v>64.882000000000005</v>
      </c>
    </row>
    <row r="6618" spans="1:6" x14ac:dyDescent="0.3">
      <c r="A6618" t="s">
        <v>1262</v>
      </c>
      <c r="B6618" t="s">
        <v>2129</v>
      </c>
      <c r="C6618">
        <v>40.5</v>
      </c>
      <c r="D6618">
        <v>182</v>
      </c>
      <c r="E6618">
        <f>IF(OR(B6618="vi",B6618="ii",B6618="pod"),(((D6618/100)*(C6618*VLOOKUP(B6618,'Poids des runes'!A:B,2,FALSE)))+1),(((D6618/100)*(C6618*VLOOKUP(B6618,'Poids des runes'!A:B,2,FALSE)))+1)/VLOOKUP(B6618,'Poids des runes'!A:B,2,FALSE))</f>
        <v>74.710000000000008</v>
      </c>
      <c r="F6618">
        <f t="shared" si="103"/>
        <v>74.710000000000008</v>
      </c>
    </row>
    <row r="6619" spans="1:6" x14ac:dyDescent="0.3">
      <c r="A6619" t="s">
        <v>1262</v>
      </c>
      <c r="B6619" t="s">
        <v>2139</v>
      </c>
      <c r="C6619">
        <v>40.5</v>
      </c>
      <c r="D6619">
        <v>182</v>
      </c>
      <c r="E6619">
        <f>IF(OR(B6619="vi",B6619="ii",B6619="pod"),(((D6619/100)*(C6619*VLOOKUP(B6619,'Poids des runes'!A:B,2,FALSE)))+1),(((D6619/100)*(C6619*VLOOKUP(B6619,'Poids des runes'!A:B,2,FALSE)))+1)/VLOOKUP(B6619,'Poids des runes'!A:B,2,FALSE))</f>
        <v>74.210000000000008</v>
      </c>
      <c r="F6619">
        <f t="shared" si="103"/>
        <v>74.210000000000008</v>
      </c>
    </row>
    <row r="6620" spans="1:6" x14ac:dyDescent="0.3">
      <c r="A6620" t="s">
        <v>1262</v>
      </c>
      <c r="B6620" t="s">
        <v>2151</v>
      </c>
      <c r="C6620">
        <v>1.5</v>
      </c>
      <c r="D6620">
        <v>182</v>
      </c>
      <c r="E6620">
        <f>IF(OR(B6620="vi",B6620="ii",B6620="pod"),(((D6620/100)*(C6620*VLOOKUP(B6620,'Poids des runes'!A:B,2,FALSE)))+1),(((D6620/100)*(C6620*VLOOKUP(B6620,'Poids des runes'!A:B,2,FALSE)))+1)/VLOOKUP(B6620,'Poids des runes'!A:B,2,FALSE))</f>
        <v>2.83</v>
      </c>
      <c r="F6620">
        <f t="shared" si="103"/>
        <v>2.83</v>
      </c>
    </row>
    <row r="6621" spans="1:6" x14ac:dyDescent="0.3">
      <c r="A6621" t="s">
        <v>1262</v>
      </c>
      <c r="B6621" t="s">
        <v>2155</v>
      </c>
      <c r="C6621">
        <v>1.5</v>
      </c>
      <c r="D6621">
        <v>182</v>
      </c>
      <c r="E6621">
        <f>IF(OR(B6621="vi",B6621="ii",B6621="pod"),(((D6621/100)*(C6621*VLOOKUP(B6621,'Poids des runes'!A:B,2,FALSE)))+1),(((D6621/100)*(C6621*VLOOKUP(B6621,'Poids des runes'!A:B,2,FALSE)))+1)/VLOOKUP(B6621,'Poids des runes'!A:B,2,FALSE))</f>
        <v>2.7496078431372553</v>
      </c>
      <c r="F6621">
        <f t="shared" si="103"/>
        <v>2.7496078431372553</v>
      </c>
    </row>
    <row r="6622" spans="1:6" x14ac:dyDescent="0.3">
      <c r="A6622" t="s">
        <v>1262</v>
      </c>
      <c r="B6622" t="s">
        <v>2143</v>
      </c>
      <c r="C6622">
        <v>6</v>
      </c>
      <c r="D6622">
        <v>182</v>
      </c>
      <c r="E6622">
        <f>IF(OR(B6622="vi",B6622="ii",B6622="pod"),(((D6622/100)*(C6622*VLOOKUP(B6622,'Poids des runes'!A:B,2,FALSE)))+1),(((D6622/100)*(C6622*VLOOKUP(B6622,'Poids des runes'!A:B,2,FALSE)))+1)/VLOOKUP(B6622,'Poids des runes'!A:B,2,FALSE))</f>
        <v>11.120000000000001</v>
      </c>
      <c r="F6622">
        <f t="shared" si="103"/>
        <v>11.120000000000001</v>
      </c>
    </row>
    <row r="6623" spans="1:6" x14ac:dyDescent="0.3">
      <c r="A6623" t="s">
        <v>1262</v>
      </c>
      <c r="B6623" t="s">
        <v>2140</v>
      </c>
      <c r="C6623">
        <v>6</v>
      </c>
      <c r="D6623">
        <v>182</v>
      </c>
      <c r="E6623">
        <f>IF(OR(B6623="vi",B6623="ii",B6623="pod"),(((D6623/100)*(C6623*VLOOKUP(B6623,'Poids des runes'!A:B,2,FALSE)))+1),(((D6623/100)*(C6623*VLOOKUP(B6623,'Poids des runes'!A:B,2,FALSE)))+1)/VLOOKUP(B6623,'Poids des runes'!A:B,2,FALSE))</f>
        <v>11.120000000000001</v>
      </c>
      <c r="F6623">
        <f t="shared" si="103"/>
        <v>11.120000000000001</v>
      </c>
    </row>
    <row r="6624" spans="1:6" x14ac:dyDescent="0.3">
      <c r="A6624" t="s">
        <v>1262</v>
      </c>
      <c r="B6624" t="s">
        <v>2133</v>
      </c>
      <c r="C6624">
        <v>6</v>
      </c>
      <c r="D6624">
        <v>182</v>
      </c>
      <c r="E6624">
        <f>IF(OR(B6624="vi",B6624="ii",B6624="pod"),(((D6624/100)*(C6624*VLOOKUP(B6624,'Poids des runes'!A:B,2,FALSE)))+1),(((D6624/100)*(C6624*VLOOKUP(B6624,'Poids des runes'!A:B,2,FALSE)))+1)/VLOOKUP(B6624,'Poids des runes'!A:B,2,FALSE))</f>
        <v>11.120000000000001</v>
      </c>
      <c r="F6624">
        <f t="shared" si="103"/>
        <v>11.120000000000001</v>
      </c>
    </row>
    <row r="6625" spans="1:6" x14ac:dyDescent="0.3">
      <c r="A6625" t="s">
        <v>1262</v>
      </c>
      <c r="B6625" t="s">
        <v>2153</v>
      </c>
      <c r="C6625">
        <v>6</v>
      </c>
      <c r="D6625">
        <v>182</v>
      </c>
      <c r="E6625">
        <f>IF(OR(B6625="vi",B6625="ii",B6625="pod"),(((D6625/100)*(C6625*VLOOKUP(B6625,'Poids des runes'!A:B,2,FALSE)))+1),(((D6625/100)*(C6625*VLOOKUP(B6625,'Poids des runes'!A:B,2,FALSE)))+1)/VLOOKUP(B6625,'Poids des runes'!A:B,2,FALSE))</f>
        <v>11.120000000000001</v>
      </c>
      <c r="F6625">
        <f t="shared" si="103"/>
        <v>11.120000000000001</v>
      </c>
    </row>
    <row r="6626" spans="1:6" x14ac:dyDescent="0.3">
      <c r="A6626" t="s">
        <v>1262</v>
      </c>
      <c r="B6626" t="s">
        <v>2161</v>
      </c>
      <c r="C6626">
        <v>20.5</v>
      </c>
      <c r="D6626">
        <v>182</v>
      </c>
      <c r="E6626">
        <f>IF(OR(B6626="vi",B6626="ii",B6626="pod"),(((D6626/100)*(C6626*VLOOKUP(B6626,'Poids des runes'!A:B,2,FALSE)))+1),(((D6626/100)*(C6626*VLOOKUP(B6626,'Poids des runes'!A:B,2,FALSE)))+1)/VLOOKUP(B6626,'Poids des runes'!A:B,2,FALSE))</f>
        <v>37.643333333333338</v>
      </c>
      <c r="F6626">
        <f t="shared" si="103"/>
        <v>37.643333333333338</v>
      </c>
    </row>
    <row r="6627" spans="1:6" x14ac:dyDescent="0.3">
      <c r="A6627" t="s">
        <v>1262</v>
      </c>
      <c r="B6627" t="s">
        <v>2132</v>
      </c>
      <c r="C6627">
        <v>200.5</v>
      </c>
      <c r="D6627">
        <v>182</v>
      </c>
      <c r="E6627">
        <f>IF(OR(B6627="vi",B6627="ii",B6627="pod"),(((D6627/100)*(C6627*VLOOKUP(B6627,'Poids des runes'!A:B,2,FALSE)))+1),(((D6627/100)*(C6627*VLOOKUP(B6627,'Poids des runes'!A:B,2,FALSE)))+1)/VLOOKUP(B6627,'Poids des runes'!A:B,2,FALSE))</f>
        <v>37.491</v>
      </c>
      <c r="F6627">
        <f t="shared" si="103"/>
        <v>37.491</v>
      </c>
    </row>
    <row r="6628" spans="1:6" x14ac:dyDescent="0.3">
      <c r="A6628" t="s">
        <v>1262</v>
      </c>
      <c r="B6628" t="s">
        <v>2159</v>
      </c>
      <c r="C6628">
        <v>6</v>
      </c>
      <c r="D6628">
        <v>182</v>
      </c>
      <c r="E6628">
        <f>IF(OR(B6628="vi",B6628="ii",B6628="pod"),(((D6628/100)*(C6628*VLOOKUP(B6628,'Poids des runes'!A:B,2,FALSE)))+1),(((D6628/100)*(C6628*VLOOKUP(B6628,'Poids des runes'!A:B,2,FALSE)))+1)/VLOOKUP(B6628,'Poids des runes'!A:B,2,FALSE))</f>
        <v>11.062857142857142</v>
      </c>
      <c r="F6628">
        <f t="shared" si="103"/>
        <v>11.062857142857142</v>
      </c>
    </row>
    <row r="6629" spans="1:6" x14ac:dyDescent="0.3">
      <c r="A6629" t="s">
        <v>1262</v>
      </c>
      <c r="B6629" t="s">
        <v>2160</v>
      </c>
      <c r="C6629">
        <v>6</v>
      </c>
      <c r="D6629">
        <v>182</v>
      </c>
      <c r="E6629">
        <f>IF(OR(B6629="vi",B6629="ii",B6629="pod"),(((D6629/100)*(C6629*VLOOKUP(B6629,'Poids des runes'!A:B,2,FALSE)))+1),(((D6629/100)*(C6629*VLOOKUP(B6629,'Poids des runes'!A:B,2,FALSE)))+1)/VLOOKUP(B6629,'Poids des runes'!A:B,2,FALSE))</f>
        <v>11.062857142857142</v>
      </c>
      <c r="F6629">
        <f t="shared" si="103"/>
        <v>11.062857142857142</v>
      </c>
    </row>
    <row r="6630" spans="1:6" x14ac:dyDescent="0.3">
      <c r="A6630" t="s">
        <v>1262</v>
      </c>
      <c r="B6630" t="s">
        <v>2156</v>
      </c>
      <c r="C6630">
        <v>6</v>
      </c>
      <c r="D6630">
        <v>182</v>
      </c>
      <c r="E6630">
        <f>IF(OR(B6630="vi",B6630="ii",B6630="pod"),(((D6630/100)*(C6630*VLOOKUP(B6630,'Poids des runes'!A:B,2,FALSE)))+1),(((D6630/100)*(C6630*VLOOKUP(B6630,'Poids des runes'!A:B,2,FALSE)))+1)/VLOOKUP(B6630,'Poids des runes'!A:B,2,FALSE))</f>
        <v>11.086666666666666</v>
      </c>
      <c r="F6630">
        <f t="shared" si="103"/>
        <v>11.086666666666666</v>
      </c>
    </row>
    <row r="6631" spans="1:6" x14ac:dyDescent="0.3">
      <c r="A6631" t="s">
        <v>1262</v>
      </c>
      <c r="B6631" t="s">
        <v>2136</v>
      </c>
      <c r="C6631">
        <v>6</v>
      </c>
      <c r="D6631">
        <v>182</v>
      </c>
      <c r="E6631">
        <f>IF(OR(B6631="vi",B6631="ii",B6631="pod"),(((D6631/100)*(C6631*VLOOKUP(B6631,'Poids des runes'!A:B,2,FALSE)))+1),(((D6631/100)*(C6631*VLOOKUP(B6631,'Poids des runes'!A:B,2,FALSE)))+1)/VLOOKUP(B6631,'Poids des runes'!A:B,2,FALSE))</f>
        <v>11.42</v>
      </c>
      <c r="F6631">
        <f t="shared" si="103"/>
        <v>11.42</v>
      </c>
    </row>
    <row r="6632" spans="1:6" x14ac:dyDescent="0.3">
      <c r="A6632" t="s">
        <v>1263</v>
      </c>
      <c r="B6632" t="s">
        <v>2128</v>
      </c>
      <c r="C6632">
        <v>225.5</v>
      </c>
      <c r="D6632">
        <v>182</v>
      </c>
      <c r="E6632">
        <f>IF(OR(B6632="vi",B6632="ii",B6632="pod"),(((D6632/100)*(C6632*VLOOKUP(B6632,'Poids des runes'!A:B,2,FALSE)))+1),(((D6632/100)*(C6632*VLOOKUP(B6632,'Poids des runes'!A:B,2,FALSE)))+1)/VLOOKUP(B6632,'Poids des runes'!A:B,2,FALSE))</f>
        <v>83.082000000000008</v>
      </c>
      <c r="F6632">
        <f t="shared" si="103"/>
        <v>83.082000000000008</v>
      </c>
    </row>
    <row r="6633" spans="1:6" x14ac:dyDescent="0.3">
      <c r="A6633" t="s">
        <v>1263</v>
      </c>
      <c r="B6633" t="s">
        <v>2130</v>
      </c>
      <c r="C6633">
        <v>50.5</v>
      </c>
      <c r="D6633">
        <v>182</v>
      </c>
      <c r="E6633">
        <f>IF(OR(B6633="vi",B6633="ii",B6633="pod"),(((D6633/100)*(C6633*VLOOKUP(B6633,'Poids des runes'!A:B,2,FALSE)))+1),(((D6633/100)*(C6633*VLOOKUP(B6633,'Poids des runes'!A:B,2,FALSE)))+1)/VLOOKUP(B6633,'Poids des runes'!A:B,2,FALSE))</f>
        <v>92.91</v>
      </c>
      <c r="F6633">
        <f t="shared" si="103"/>
        <v>92.91</v>
      </c>
    </row>
    <row r="6634" spans="1:6" x14ac:dyDescent="0.3">
      <c r="A6634" t="s">
        <v>1263</v>
      </c>
      <c r="B6634" t="s">
        <v>2131</v>
      </c>
      <c r="C6634">
        <v>50.5</v>
      </c>
      <c r="D6634">
        <v>182</v>
      </c>
      <c r="E6634">
        <f>IF(OR(B6634="vi",B6634="ii",B6634="pod"),(((D6634/100)*(C6634*VLOOKUP(B6634,'Poids des runes'!A:B,2,FALSE)))+1),(((D6634/100)*(C6634*VLOOKUP(B6634,'Poids des runes'!A:B,2,FALSE)))+1)/VLOOKUP(B6634,'Poids des runes'!A:B,2,FALSE))</f>
        <v>92.91</v>
      </c>
      <c r="F6634">
        <f t="shared" si="103"/>
        <v>92.91</v>
      </c>
    </row>
    <row r="6635" spans="1:6" x14ac:dyDescent="0.3">
      <c r="A6635" t="s">
        <v>1263</v>
      </c>
      <c r="B6635" t="s">
        <v>2129</v>
      </c>
      <c r="C6635">
        <v>35.5</v>
      </c>
      <c r="D6635">
        <v>182</v>
      </c>
      <c r="E6635">
        <f>IF(OR(B6635="vi",B6635="ii",B6635="pod"),(((D6635/100)*(C6635*VLOOKUP(B6635,'Poids des runes'!A:B,2,FALSE)))+1),(((D6635/100)*(C6635*VLOOKUP(B6635,'Poids des runes'!A:B,2,FALSE)))+1)/VLOOKUP(B6635,'Poids des runes'!A:B,2,FALSE))</f>
        <v>65.61</v>
      </c>
      <c r="F6635">
        <f t="shared" si="103"/>
        <v>65.61</v>
      </c>
    </row>
    <row r="6636" spans="1:6" x14ac:dyDescent="0.3">
      <c r="A6636" t="s">
        <v>1263</v>
      </c>
      <c r="B6636" t="s">
        <v>2155</v>
      </c>
      <c r="C6636">
        <v>1</v>
      </c>
      <c r="D6636">
        <v>182</v>
      </c>
      <c r="E6636">
        <f>IF(OR(B6636="vi",B6636="ii",B6636="pod"),(((D6636/100)*(C6636*VLOOKUP(B6636,'Poids des runes'!A:B,2,FALSE)))+1),(((D6636/100)*(C6636*VLOOKUP(B6636,'Poids des runes'!A:B,2,FALSE)))+1)/VLOOKUP(B6636,'Poids des runes'!A:B,2,FALSE))</f>
        <v>1.8396078431372551</v>
      </c>
      <c r="F6636">
        <f t="shared" si="103"/>
        <v>1.8396078431372551</v>
      </c>
    </row>
    <row r="6637" spans="1:6" x14ac:dyDescent="0.3">
      <c r="A6637" t="s">
        <v>1263</v>
      </c>
      <c r="B6637" t="s">
        <v>2150</v>
      </c>
      <c r="C6637">
        <v>1</v>
      </c>
      <c r="D6637">
        <v>182</v>
      </c>
      <c r="E6637">
        <f>IF(OR(B6637="vi",B6637="ii",B6637="pod"),(((D6637/100)*(C6637*VLOOKUP(B6637,'Poids des runes'!A:B,2,FALSE)))+1),(((D6637/100)*(C6637*VLOOKUP(B6637,'Poids des runes'!A:B,2,FALSE)))+1)/VLOOKUP(B6637,'Poids des runes'!A:B,2,FALSE))</f>
        <v>1.8533333333333333</v>
      </c>
      <c r="F6637">
        <f t="shared" si="103"/>
        <v>1.8533333333333333</v>
      </c>
    </row>
    <row r="6638" spans="1:6" x14ac:dyDescent="0.3">
      <c r="A6638" t="s">
        <v>1263</v>
      </c>
      <c r="B6638" t="s">
        <v>2143</v>
      </c>
      <c r="C6638">
        <v>8.5</v>
      </c>
      <c r="D6638">
        <v>182</v>
      </c>
      <c r="E6638">
        <f>IF(OR(B6638="vi",B6638="ii",B6638="pod"),(((D6638/100)*(C6638*VLOOKUP(B6638,'Poids des runes'!A:B,2,FALSE)))+1),(((D6638/100)*(C6638*VLOOKUP(B6638,'Poids des runes'!A:B,2,FALSE)))+1)/VLOOKUP(B6638,'Poids des runes'!A:B,2,FALSE))</f>
        <v>15.670000000000002</v>
      </c>
      <c r="F6638">
        <f t="shared" si="103"/>
        <v>15.670000000000002</v>
      </c>
    </row>
    <row r="6639" spans="1:6" x14ac:dyDescent="0.3">
      <c r="A6639" t="s">
        <v>1263</v>
      </c>
      <c r="B6639" t="s">
        <v>2133</v>
      </c>
      <c r="C6639">
        <v>8.5</v>
      </c>
      <c r="D6639">
        <v>182</v>
      </c>
      <c r="E6639">
        <f>IF(OR(B6639="vi",B6639="ii",B6639="pod"),(((D6639/100)*(C6639*VLOOKUP(B6639,'Poids des runes'!A:B,2,FALSE)))+1),(((D6639/100)*(C6639*VLOOKUP(B6639,'Poids des runes'!A:B,2,FALSE)))+1)/VLOOKUP(B6639,'Poids des runes'!A:B,2,FALSE))</f>
        <v>15.670000000000002</v>
      </c>
      <c r="F6639">
        <f t="shared" si="103"/>
        <v>15.670000000000002</v>
      </c>
    </row>
    <row r="6640" spans="1:6" x14ac:dyDescent="0.3">
      <c r="A6640" t="s">
        <v>1263</v>
      </c>
      <c r="B6640" t="s">
        <v>2161</v>
      </c>
      <c r="C6640">
        <v>13</v>
      </c>
      <c r="D6640">
        <v>182</v>
      </c>
      <c r="E6640">
        <f>IF(OR(B6640="vi",B6640="ii",B6640="pod"),(((D6640/100)*(C6640*VLOOKUP(B6640,'Poids des runes'!A:B,2,FALSE)))+1),(((D6640/100)*(C6640*VLOOKUP(B6640,'Poids des runes'!A:B,2,FALSE)))+1)/VLOOKUP(B6640,'Poids des runes'!A:B,2,FALSE))</f>
        <v>23.993333333333336</v>
      </c>
      <c r="F6640">
        <f t="shared" si="103"/>
        <v>23.993333333333336</v>
      </c>
    </row>
    <row r="6641" spans="1:6" x14ac:dyDescent="0.3">
      <c r="A6641" t="s">
        <v>1263</v>
      </c>
      <c r="B6641" t="s">
        <v>2147</v>
      </c>
      <c r="C6641">
        <v>8.5</v>
      </c>
      <c r="D6641">
        <v>182</v>
      </c>
      <c r="E6641">
        <f>IF(OR(B6641="vi",B6641="ii",B6641="pod"),(((D6641/100)*(C6641*VLOOKUP(B6641,'Poids des runes'!A:B,2,FALSE)))+1),(((D6641/100)*(C6641*VLOOKUP(B6641,'Poids des runes'!A:B,2,FALSE)))+1)/VLOOKUP(B6641,'Poids des runes'!A:B,2,FALSE))</f>
        <v>15.636666666666668</v>
      </c>
      <c r="F6641">
        <f t="shared" si="103"/>
        <v>15.636666666666668</v>
      </c>
    </row>
    <row r="6642" spans="1:6" x14ac:dyDescent="0.3">
      <c r="A6642" t="s">
        <v>1263</v>
      </c>
      <c r="B6642" t="s">
        <v>2144</v>
      </c>
      <c r="C6642">
        <v>8.5</v>
      </c>
      <c r="D6642">
        <v>182</v>
      </c>
      <c r="E6642">
        <f>IF(OR(B6642="vi",B6642="ii",B6642="pod"),(((D6642/100)*(C6642*VLOOKUP(B6642,'Poids des runes'!A:B,2,FALSE)))+1),(((D6642/100)*(C6642*VLOOKUP(B6642,'Poids des runes'!A:B,2,FALSE)))+1)/VLOOKUP(B6642,'Poids des runes'!A:B,2,FALSE))</f>
        <v>15.97</v>
      </c>
      <c r="F6642">
        <f t="shared" si="103"/>
        <v>15.97</v>
      </c>
    </row>
    <row r="6643" spans="1:6" x14ac:dyDescent="0.3">
      <c r="A6643" t="s">
        <v>1263</v>
      </c>
      <c r="B6643" t="s">
        <v>2146</v>
      </c>
      <c r="C6643">
        <v>8.5</v>
      </c>
      <c r="D6643">
        <v>182</v>
      </c>
      <c r="E6643">
        <f>IF(OR(B6643="vi",B6643="ii",B6643="pod"),(((D6643/100)*(C6643*VLOOKUP(B6643,'Poids des runes'!A:B,2,FALSE)))+1),(((D6643/100)*(C6643*VLOOKUP(B6643,'Poids des runes'!A:B,2,FALSE)))+1)/VLOOKUP(B6643,'Poids des runes'!A:B,2,FALSE))</f>
        <v>15.97</v>
      </c>
      <c r="F6643">
        <f t="shared" si="103"/>
        <v>15.97</v>
      </c>
    </row>
    <row r="6644" spans="1:6" x14ac:dyDescent="0.3">
      <c r="A6644" t="s">
        <v>1264</v>
      </c>
      <c r="B6644" t="s">
        <v>2128</v>
      </c>
      <c r="C6644">
        <v>225.5</v>
      </c>
      <c r="D6644">
        <v>182</v>
      </c>
      <c r="E6644">
        <f>IF(OR(B6644="vi",B6644="ii",B6644="pod"),(((D6644/100)*(C6644*VLOOKUP(B6644,'Poids des runes'!A:B,2,FALSE)))+1),(((D6644/100)*(C6644*VLOOKUP(B6644,'Poids des runes'!A:B,2,FALSE)))+1)/VLOOKUP(B6644,'Poids des runes'!A:B,2,FALSE))</f>
        <v>83.082000000000008</v>
      </c>
      <c r="F6644">
        <f t="shared" si="103"/>
        <v>83.082000000000008</v>
      </c>
    </row>
    <row r="6645" spans="1:6" x14ac:dyDescent="0.3">
      <c r="A6645" t="s">
        <v>1264</v>
      </c>
      <c r="B6645" t="s">
        <v>2131</v>
      </c>
      <c r="C6645">
        <v>38</v>
      </c>
      <c r="D6645">
        <v>182</v>
      </c>
      <c r="E6645">
        <f>IF(OR(B6645="vi",B6645="ii",B6645="pod"),(((D6645/100)*(C6645*VLOOKUP(B6645,'Poids des runes'!A:B,2,FALSE)))+1),(((D6645/100)*(C6645*VLOOKUP(B6645,'Poids des runes'!A:B,2,FALSE)))+1)/VLOOKUP(B6645,'Poids des runes'!A:B,2,FALSE))</f>
        <v>70.16</v>
      </c>
      <c r="F6645">
        <f t="shared" si="103"/>
        <v>70.16</v>
      </c>
    </row>
    <row r="6646" spans="1:6" x14ac:dyDescent="0.3">
      <c r="A6646" t="s">
        <v>1264</v>
      </c>
      <c r="B6646" t="s">
        <v>2127</v>
      </c>
      <c r="C6646">
        <v>38</v>
      </c>
      <c r="D6646">
        <v>182</v>
      </c>
      <c r="E6646">
        <f>IF(OR(B6646="vi",B6646="ii",B6646="pod"),(((D6646/100)*(C6646*VLOOKUP(B6646,'Poids des runes'!A:B,2,FALSE)))+1),(((D6646/100)*(C6646*VLOOKUP(B6646,'Poids des runes'!A:B,2,FALSE)))+1)/VLOOKUP(B6646,'Poids des runes'!A:B,2,FALSE))</f>
        <v>70.16</v>
      </c>
      <c r="F6646">
        <f t="shared" si="103"/>
        <v>70.16</v>
      </c>
    </row>
    <row r="6647" spans="1:6" x14ac:dyDescent="0.3">
      <c r="A6647" t="s">
        <v>1264</v>
      </c>
      <c r="B6647" t="s">
        <v>2129</v>
      </c>
      <c r="C6647">
        <v>30.5</v>
      </c>
      <c r="D6647">
        <v>182</v>
      </c>
      <c r="E6647">
        <f>IF(OR(B6647="vi",B6647="ii",B6647="pod"),(((D6647/100)*(C6647*VLOOKUP(B6647,'Poids des runes'!A:B,2,FALSE)))+1),(((D6647/100)*(C6647*VLOOKUP(B6647,'Poids des runes'!A:B,2,FALSE)))+1)/VLOOKUP(B6647,'Poids des runes'!A:B,2,FALSE))</f>
        <v>56.510000000000005</v>
      </c>
      <c r="F6647">
        <f t="shared" si="103"/>
        <v>56.510000000000005</v>
      </c>
    </row>
    <row r="6648" spans="1:6" x14ac:dyDescent="0.3">
      <c r="A6648" t="s">
        <v>1264</v>
      </c>
      <c r="B6648" t="s">
        <v>2139</v>
      </c>
      <c r="C6648">
        <v>13</v>
      </c>
      <c r="D6648">
        <v>182</v>
      </c>
      <c r="E6648">
        <f>IF(OR(B6648="vi",B6648="ii",B6648="pod"),(((D6648/100)*(C6648*VLOOKUP(B6648,'Poids des runes'!A:B,2,FALSE)))+1),(((D6648/100)*(C6648*VLOOKUP(B6648,'Poids des runes'!A:B,2,FALSE)))+1)/VLOOKUP(B6648,'Poids des runes'!A:B,2,FALSE))</f>
        <v>24.16</v>
      </c>
      <c r="F6648">
        <f t="shared" si="103"/>
        <v>24.16</v>
      </c>
    </row>
    <row r="6649" spans="1:6" x14ac:dyDescent="0.3">
      <c r="A6649" t="s">
        <v>1264</v>
      </c>
      <c r="B6649" t="s">
        <v>2151</v>
      </c>
      <c r="C6649">
        <v>4.5</v>
      </c>
      <c r="D6649">
        <v>182</v>
      </c>
      <c r="E6649">
        <f>IF(OR(B6649="vi",B6649="ii",B6649="pod"),(((D6649/100)*(C6649*VLOOKUP(B6649,'Poids des runes'!A:B,2,FALSE)))+1),(((D6649/100)*(C6649*VLOOKUP(B6649,'Poids des runes'!A:B,2,FALSE)))+1)/VLOOKUP(B6649,'Poids des runes'!A:B,2,FALSE))</f>
        <v>8.2900000000000009</v>
      </c>
      <c r="F6649">
        <f t="shared" si="103"/>
        <v>8.2900000000000009</v>
      </c>
    </row>
    <row r="6650" spans="1:6" x14ac:dyDescent="0.3">
      <c r="A6650" t="s">
        <v>1264</v>
      </c>
      <c r="B6650" t="s">
        <v>2150</v>
      </c>
      <c r="C6650">
        <v>1</v>
      </c>
      <c r="D6650">
        <v>182</v>
      </c>
      <c r="E6650">
        <f>IF(OR(B6650="vi",B6650="ii",B6650="pod"),(((D6650/100)*(C6650*VLOOKUP(B6650,'Poids des runes'!A:B,2,FALSE)))+1),(((D6650/100)*(C6650*VLOOKUP(B6650,'Poids des runes'!A:B,2,FALSE)))+1)/VLOOKUP(B6650,'Poids des runes'!A:B,2,FALSE))</f>
        <v>1.8533333333333333</v>
      </c>
      <c r="F6650">
        <f t="shared" si="103"/>
        <v>1.8533333333333333</v>
      </c>
    </row>
    <row r="6651" spans="1:6" x14ac:dyDescent="0.3">
      <c r="A6651" t="s">
        <v>1264</v>
      </c>
      <c r="B6651" t="s">
        <v>2133</v>
      </c>
      <c r="C6651">
        <v>8.5</v>
      </c>
      <c r="D6651">
        <v>182</v>
      </c>
      <c r="E6651">
        <f>IF(OR(B6651="vi",B6651="ii",B6651="pod"),(((D6651/100)*(C6651*VLOOKUP(B6651,'Poids des runes'!A:B,2,FALSE)))+1),(((D6651/100)*(C6651*VLOOKUP(B6651,'Poids des runes'!A:B,2,FALSE)))+1)/VLOOKUP(B6651,'Poids des runes'!A:B,2,FALSE))</f>
        <v>15.670000000000002</v>
      </c>
      <c r="F6651">
        <f t="shared" si="103"/>
        <v>15.670000000000002</v>
      </c>
    </row>
    <row r="6652" spans="1:6" x14ac:dyDescent="0.3">
      <c r="A6652" t="s">
        <v>1264</v>
      </c>
      <c r="B6652" t="s">
        <v>2153</v>
      </c>
      <c r="C6652">
        <v>8.5</v>
      </c>
      <c r="D6652">
        <v>182</v>
      </c>
      <c r="E6652">
        <f>IF(OR(B6652="vi",B6652="ii",B6652="pod"),(((D6652/100)*(C6652*VLOOKUP(B6652,'Poids des runes'!A:B,2,FALSE)))+1),(((D6652/100)*(C6652*VLOOKUP(B6652,'Poids des runes'!A:B,2,FALSE)))+1)/VLOOKUP(B6652,'Poids des runes'!A:B,2,FALSE))</f>
        <v>15.670000000000002</v>
      </c>
      <c r="F6652">
        <f t="shared" si="103"/>
        <v>15.670000000000002</v>
      </c>
    </row>
    <row r="6653" spans="1:6" x14ac:dyDescent="0.3">
      <c r="A6653" t="s">
        <v>1264</v>
      </c>
      <c r="B6653" t="s">
        <v>2161</v>
      </c>
      <c r="C6653">
        <v>13</v>
      </c>
      <c r="D6653">
        <v>182</v>
      </c>
      <c r="E6653">
        <f>IF(OR(B6653="vi",B6653="ii",B6653="pod"),(((D6653/100)*(C6653*VLOOKUP(B6653,'Poids des runes'!A:B,2,FALSE)))+1),(((D6653/100)*(C6653*VLOOKUP(B6653,'Poids des runes'!A:B,2,FALSE)))+1)/VLOOKUP(B6653,'Poids des runes'!A:B,2,FALSE))</f>
        <v>23.993333333333336</v>
      </c>
      <c r="F6653">
        <f t="shared" si="103"/>
        <v>23.993333333333336</v>
      </c>
    </row>
    <row r="6654" spans="1:6" x14ac:dyDescent="0.3">
      <c r="A6654" t="s">
        <v>1264</v>
      </c>
      <c r="B6654" t="s">
        <v>2159</v>
      </c>
      <c r="C6654">
        <v>4.5</v>
      </c>
      <c r="D6654">
        <v>182</v>
      </c>
      <c r="E6654">
        <f>IF(OR(B6654="vi",B6654="ii",B6654="pod"),(((D6654/100)*(C6654*VLOOKUP(B6654,'Poids des runes'!A:B,2,FALSE)))+1),(((D6654/100)*(C6654*VLOOKUP(B6654,'Poids des runes'!A:B,2,FALSE)))+1)/VLOOKUP(B6654,'Poids des runes'!A:B,2,FALSE))</f>
        <v>8.3328571428571436</v>
      </c>
      <c r="F6654">
        <f t="shared" si="103"/>
        <v>8.3328571428571436</v>
      </c>
    </row>
    <row r="6655" spans="1:6" x14ac:dyDescent="0.3">
      <c r="A6655" t="s">
        <v>1264</v>
      </c>
      <c r="B6655" t="s">
        <v>2163</v>
      </c>
      <c r="C6655">
        <v>8.5</v>
      </c>
      <c r="D6655">
        <v>182</v>
      </c>
      <c r="E6655">
        <f>IF(OR(B6655="vi",B6655="ii",B6655="pod"),(((D6655/100)*(C6655*VLOOKUP(B6655,'Poids des runes'!A:B,2,FALSE)))+1),(((D6655/100)*(C6655*VLOOKUP(B6655,'Poids des runes'!A:B,2,FALSE)))+1)/VLOOKUP(B6655,'Poids des runes'!A:B,2,FALSE))</f>
        <v>15.97</v>
      </c>
      <c r="F6655">
        <f t="shared" si="103"/>
        <v>15.97</v>
      </c>
    </row>
    <row r="6656" spans="1:6" x14ac:dyDescent="0.3">
      <c r="A6656" t="s">
        <v>1264</v>
      </c>
      <c r="B6656" t="s">
        <v>2135</v>
      </c>
      <c r="C6656">
        <v>8.5</v>
      </c>
      <c r="D6656">
        <v>182</v>
      </c>
      <c r="E6656">
        <f>IF(OR(B6656="vi",B6656="ii",B6656="pod"),(((D6656/100)*(C6656*VLOOKUP(B6656,'Poids des runes'!A:B,2,FALSE)))+1),(((D6656/100)*(C6656*VLOOKUP(B6656,'Poids des runes'!A:B,2,FALSE)))+1)/VLOOKUP(B6656,'Poids des runes'!A:B,2,FALSE))</f>
        <v>15.636666666666668</v>
      </c>
      <c r="F6656">
        <f t="shared" si="103"/>
        <v>15.636666666666668</v>
      </c>
    </row>
    <row r="6657" spans="1:6" x14ac:dyDescent="0.3">
      <c r="A6657" t="s">
        <v>1264</v>
      </c>
      <c r="B6657" t="s">
        <v>2136</v>
      </c>
      <c r="C6657">
        <v>10</v>
      </c>
      <c r="D6657">
        <v>182</v>
      </c>
      <c r="E6657">
        <f>IF(OR(B6657="vi",B6657="ii",B6657="pod"),(((D6657/100)*(C6657*VLOOKUP(B6657,'Poids des runes'!A:B,2,FALSE)))+1),(((D6657/100)*(C6657*VLOOKUP(B6657,'Poids des runes'!A:B,2,FALSE)))+1)/VLOOKUP(B6657,'Poids des runes'!A:B,2,FALSE))</f>
        <v>18.7</v>
      </c>
      <c r="F6657">
        <f t="shared" si="103"/>
        <v>18.7</v>
      </c>
    </row>
    <row r="6658" spans="1:6" x14ac:dyDescent="0.3">
      <c r="A6658" t="s">
        <v>1265</v>
      </c>
      <c r="B6658" t="s">
        <v>2128</v>
      </c>
      <c r="C6658">
        <v>275.5</v>
      </c>
      <c r="D6658">
        <v>182</v>
      </c>
      <c r="E6658">
        <f>IF(OR(B6658="vi",B6658="ii",B6658="pod"),(((D6658/100)*(C6658*VLOOKUP(B6658,'Poids des runes'!A:B,2,FALSE)))+1),(((D6658/100)*(C6658*VLOOKUP(B6658,'Poids des runes'!A:B,2,FALSE)))+1)/VLOOKUP(B6658,'Poids des runes'!A:B,2,FALSE))</f>
        <v>101.28200000000001</v>
      </c>
      <c r="F6658">
        <f t="shared" si="103"/>
        <v>101.28200000000001</v>
      </c>
    </row>
    <row r="6659" spans="1:6" x14ac:dyDescent="0.3">
      <c r="A6659" t="s">
        <v>1265</v>
      </c>
      <c r="B6659" t="s">
        <v>2131</v>
      </c>
      <c r="C6659">
        <v>50.5</v>
      </c>
      <c r="D6659">
        <v>182</v>
      </c>
      <c r="E6659">
        <f>IF(OR(B6659="vi",B6659="ii",B6659="pod"),(((D6659/100)*(C6659*VLOOKUP(B6659,'Poids des runes'!A:B,2,FALSE)))+1),(((D6659/100)*(C6659*VLOOKUP(B6659,'Poids des runes'!A:B,2,FALSE)))+1)/VLOOKUP(B6659,'Poids des runes'!A:B,2,FALSE))</f>
        <v>92.91</v>
      </c>
      <c r="F6659">
        <f t="shared" ref="F6659:F6722" si="104">E6659</f>
        <v>92.91</v>
      </c>
    </row>
    <row r="6660" spans="1:6" x14ac:dyDescent="0.3">
      <c r="A6660" t="s">
        <v>1265</v>
      </c>
      <c r="B6660" t="s">
        <v>2129</v>
      </c>
      <c r="C6660">
        <v>35.5</v>
      </c>
      <c r="D6660">
        <v>182</v>
      </c>
      <c r="E6660">
        <f>IF(OR(B6660="vi",B6660="ii",B6660="pod"),(((D6660/100)*(C6660*VLOOKUP(B6660,'Poids des runes'!A:B,2,FALSE)))+1),(((D6660/100)*(C6660*VLOOKUP(B6660,'Poids des runes'!A:B,2,FALSE)))+1)/VLOOKUP(B6660,'Poids des runes'!A:B,2,FALSE))</f>
        <v>65.61</v>
      </c>
      <c r="F6660">
        <f t="shared" si="104"/>
        <v>65.61</v>
      </c>
    </row>
    <row r="6661" spans="1:6" x14ac:dyDescent="0.3">
      <c r="A6661" t="s">
        <v>1265</v>
      </c>
      <c r="B6661" t="s">
        <v>2151</v>
      </c>
      <c r="C6661">
        <v>2.5</v>
      </c>
      <c r="D6661">
        <v>182</v>
      </c>
      <c r="E6661">
        <f>IF(OR(B6661="vi",B6661="ii",B6661="pod"),(((D6661/100)*(C6661*VLOOKUP(B6661,'Poids des runes'!A:B,2,FALSE)))+1),(((D6661/100)*(C6661*VLOOKUP(B6661,'Poids des runes'!A:B,2,FALSE)))+1)/VLOOKUP(B6661,'Poids des runes'!A:B,2,FALSE))</f>
        <v>4.6500000000000004</v>
      </c>
      <c r="F6661">
        <f t="shared" si="104"/>
        <v>4.6500000000000004</v>
      </c>
    </row>
    <row r="6662" spans="1:6" x14ac:dyDescent="0.3">
      <c r="A6662" t="s">
        <v>1265</v>
      </c>
      <c r="B6662" t="s">
        <v>2155</v>
      </c>
      <c r="C6662">
        <v>1</v>
      </c>
      <c r="D6662">
        <v>182</v>
      </c>
      <c r="E6662">
        <f>IF(OR(B6662="vi",B6662="ii",B6662="pod"),(((D6662/100)*(C6662*VLOOKUP(B6662,'Poids des runes'!A:B,2,FALSE)))+1),(((D6662/100)*(C6662*VLOOKUP(B6662,'Poids des runes'!A:B,2,FALSE)))+1)/VLOOKUP(B6662,'Poids des runes'!A:B,2,FALSE))</f>
        <v>1.8396078431372551</v>
      </c>
      <c r="F6662">
        <f t="shared" si="104"/>
        <v>1.8396078431372551</v>
      </c>
    </row>
    <row r="6663" spans="1:6" x14ac:dyDescent="0.3">
      <c r="A6663" t="s">
        <v>1265</v>
      </c>
      <c r="B6663" t="s">
        <v>2133</v>
      </c>
      <c r="C6663">
        <v>12.5</v>
      </c>
      <c r="D6663">
        <v>182</v>
      </c>
      <c r="E6663">
        <f>IF(OR(B6663="vi",B6663="ii",B6663="pod"),(((D6663/100)*(C6663*VLOOKUP(B6663,'Poids des runes'!A:B,2,FALSE)))+1),(((D6663/100)*(C6663*VLOOKUP(B6663,'Poids des runes'!A:B,2,FALSE)))+1)/VLOOKUP(B6663,'Poids des runes'!A:B,2,FALSE))</f>
        <v>22.95</v>
      </c>
      <c r="F6663">
        <f t="shared" si="104"/>
        <v>22.95</v>
      </c>
    </row>
    <row r="6664" spans="1:6" x14ac:dyDescent="0.3">
      <c r="A6664" t="s">
        <v>1265</v>
      </c>
      <c r="B6664" t="s">
        <v>2161</v>
      </c>
      <c r="C6664">
        <v>18</v>
      </c>
      <c r="D6664">
        <v>182</v>
      </c>
      <c r="E6664">
        <f>IF(OR(B6664="vi",B6664="ii",B6664="pod"),(((D6664/100)*(C6664*VLOOKUP(B6664,'Poids des runes'!A:B,2,FALSE)))+1),(((D6664/100)*(C6664*VLOOKUP(B6664,'Poids des runes'!A:B,2,FALSE)))+1)/VLOOKUP(B6664,'Poids des runes'!A:B,2,FALSE))</f>
        <v>33.093333333333334</v>
      </c>
      <c r="F6664">
        <f t="shared" si="104"/>
        <v>33.093333333333334</v>
      </c>
    </row>
    <row r="6665" spans="1:6" x14ac:dyDescent="0.3">
      <c r="A6665" t="s">
        <v>1265</v>
      </c>
      <c r="B6665" t="s">
        <v>2138</v>
      </c>
      <c r="C6665">
        <v>5</v>
      </c>
      <c r="D6665">
        <v>182</v>
      </c>
      <c r="E6665">
        <f>IF(OR(B6665="vi",B6665="ii",B6665="pod"),(((D6665/100)*(C6665*VLOOKUP(B6665,'Poids des runes'!A:B,2,FALSE)))+1),(((D6665/100)*(C6665*VLOOKUP(B6665,'Poids des runes'!A:B,2,FALSE)))+1)/VLOOKUP(B6665,'Poids des runes'!A:B,2,FALSE))</f>
        <v>9.35</v>
      </c>
      <c r="F6665">
        <f t="shared" si="104"/>
        <v>9.35</v>
      </c>
    </row>
    <row r="6666" spans="1:6" x14ac:dyDescent="0.3">
      <c r="A6666" t="s">
        <v>1265</v>
      </c>
      <c r="B6666" t="s">
        <v>2165</v>
      </c>
      <c r="C6666">
        <v>4.5</v>
      </c>
      <c r="D6666">
        <v>182</v>
      </c>
      <c r="E6666">
        <f>IF(OR(B6666="vi",B6666="ii",B6666="pod"),(((D6666/100)*(C6666*VLOOKUP(B6666,'Poids des runes'!A:B,2,FALSE)))+1),(((D6666/100)*(C6666*VLOOKUP(B6666,'Poids des runes'!A:B,2,FALSE)))+1)/VLOOKUP(B6666,'Poids des runes'!A:B,2,FALSE))</f>
        <v>8.3328571428571436</v>
      </c>
      <c r="F6666">
        <f t="shared" si="104"/>
        <v>8.3328571428571436</v>
      </c>
    </row>
    <row r="6667" spans="1:6" x14ac:dyDescent="0.3">
      <c r="A6667" t="s">
        <v>1265</v>
      </c>
      <c r="B6667" t="s">
        <v>2147</v>
      </c>
      <c r="C6667">
        <v>6</v>
      </c>
      <c r="D6667">
        <v>182</v>
      </c>
      <c r="E6667">
        <f>IF(OR(B6667="vi",B6667="ii",B6667="pod"),(((D6667/100)*(C6667*VLOOKUP(B6667,'Poids des runes'!A:B,2,FALSE)))+1),(((D6667/100)*(C6667*VLOOKUP(B6667,'Poids des runes'!A:B,2,FALSE)))+1)/VLOOKUP(B6667,'Poids des runes'!A:B,2,FALSE))</f>
        <v>11.086666666666666</v>
      </c>
      <c r="F6667">
        <f t="shared" si="104"/>
        <v>11.086666666666666</v>
      </c>
    </row>
    <row r="6668" spans="1:6" x14ac:dyDescent="0.3">
      <c r="A6668" t="s">
        <v>1265</v>
      </c>
      <c r="B6668" t="s">
        <v>2157</v>
      </c>
      <c r="C6668">
        <v>6</v>
      </c>
      <c r="D6668">
        <v>182</v>
      </c>
      <c r="E6668">
        <f>IF(OR(B6668="vi",B6668="ii",B6668="pod"),(((D6668/100)*(C6668*VLOOKUP(B6668,'Poids des runes'!A:B,2,FALSE)))+1),(((D6668/100)*(C6668*VLOOKUP(B6668,'Poids des runes'!A:B,2,FALSE)))+1)/VLOOKUP(B6668,'Poids des runes'!A:B,2,FALSE))</f>
        <v>11.086666666666666</v>
      </c>
      <c r="F6668">
        <f t="shared" si="104"/>
        <v>11.086666666666666</v>
      </c>
    </row>
    <row r="6669" spans="1:6" x14ac:dyDescent="0.3">
      <c r="A6669" t="s">
        <v>1265</v>
      </c>
      <c r="B6669" t="s">
        <v>2136</v>
      </c>
      <c r="C6669">
        <v>8.5</v>
      </c>
      <c r="D6669">
        <v>182</v>
      </c>
      <c r="E6669">
        <f>IF(OR(B6669="vi",B6669="ii",B6669="pod"),(((D6669/100)*(C6669*VLOOKUP(B6669,'Poids des runes'!A:B,2,FALSE)))+1),(((D6669/100)*(C6669*VLOOKUP(B6669,'Poids des runes'!A:B,2,FALSE)))+1)/VLOOKUP(B6669,'Poids des runes'!A:B,2,FALSE))</f>
        <v>15.97</v>
      </c>
      <c r="F6669">
        <f t="shared" si="104"/>
        <v>15.97</v>
      </c>
    </row>
    <row r="6670" spans="1:6" x14ac:dyDescent="0.3">
      <c r="A6670" t="s">
        <v>1265</v>
      </c>
      <c r="B6670" t="s">
        <v>2145</v>
      </c>
      <c r="C6670">
        <v>8.5</v>
      </c>
      <c r="D6670">
        <v>182</v>
      </c>
      <c r="E6670">
        <f>IF(OR(B6670="vi",B6670="ii",B6670="pod"),(((D6670/100)*(C6670*VLOOKUP(B6670,'Poids des runes'!A:B,2,FALSE)))+1),(((D6670/100)*(C6670*VLOOKUP(B6670,'Poids des runes'!A:B,2,FALSE)))+1)/VLOOKUP(B6670,'Poids des runes'!A:B,2,FALSE))</f>
        <v>15.97</v>
      </c>
      <c r="F6670">
        <f t="shared" si="104"/>
        <v>15.97</v>
      </c>
    </row>
    <row r="6671" spans="1:6" x14ac:dyDescent="0.3">
      <c r="A6671" t="s">
        <v>1266</v>
      </c>
      <c r="B6671" t="s">
        <v>2128</v>
      </c>
      <c r="C6671">
        <v>275.5</v>
      </c>
      <c r="D6671">
        <v>183</v>
      </c>
      <c r="E6671">
        <f>IF(OR(B6671="vi",B6671="ii",B6671="pod"),(((D6671/100)*(C6671*VLOOKUP(B6671,'Poids des runes'!A:B,2,FALSE)))+1),(((D6671/100)*(C6671*VLOOKUP(B6671,'Poids des runes'!A:B,2,FALSE)))+1)/VLOOKUP(B6671,'Poids des runes'!A:B,2,FALSE))</f>
        <v>101.83300000000001</v>
      </c>
      <c r="F6671">
        <f t="shared" si="104"/>
        <v>101.83300000000001</v>
      </c>
    </row>
    <row r="6672" spans="1:6" x14ac:dyDescent="0.3">
      <c r="A6672" t="s">
        <v>1266</v>
      </c>
      <c r="B6672" t="s">
        <v>2130</v>
      </c>
      <c r="C6672">
        <v>40.5</v>
      </c>
      <c r="D6672">
        <v>183</v>
      </c>
      <c r="E6672">
        <f>IF(OR(B6672="vi",B6672="ii",B6672="pod"),(((D6672/100)*(C6672*VLOOKUP(B6672,'Poids des runes'!A:B,2,FALSE)))+1),(((D6672/100)*(C6672*VLOOKUP(B6672,'Poids des runes'!A:B,2,FALSE)))+1)/VLOOKUP(B6672,'Poids des runes'!A:B,2,FALSE))</f>
        <v>75.115000000000009</v>
      </c>
      <c r="F6672">
        <f t="shared" si="104"/>
        <v>75.115000000000009</v>
      </c>
    </row>
    <row r="6673" spans="1:6" x14ac:dyDescent="0.3">
      <c r="A6673" t="s">
        <v>1266</v>
      </c>
      <c r="B6673" t="s">
        <v>2131</v>
      </c>
      <c r="C6673">
        <v>40.5</v>
      </c>
      <c r="D6673">
        <v>183</v>
      </c>
      <c r="E6673">
        <f>IF(OR(B6673="vi",B6673="ii",B6673="pod"),(((D6673/100)*(C6673*VLOOKUP(B6673,'Poids des runes'!A:B,2,FALSE)))+1),(((D6673/100)*(C6673*VLOOKUP(B6673,'Poids des runes'!A:B,2,FALSE)))+1)/VLOOKUP(B6673,'Poids des runes'!A:B,2,FALSE))</f>
        <v>75.115000000000009</v>
      </c>
      <c r="F6673">
        <f t="shared" si="104"/>
        <v>75.115000000000009</v>
      </c>
    </row>
    <row r="6674" spans="1:6" x14ac:dyDescent="0.3">
      <c r="A6674" t="s">
        <v>1266</v>
      </c>
      <c r="B6674" t="s">
        <v>2129</v>
      </c>
      <c r="C6674">
        <v>40.5</v>
      </c>
      <c r="D6674">
        <v>183</v>
      </c>
      <c r="E6674">
        <f>IF(OR(B6674="vi",B6674="ii",B6674="pod"),(((D6674/100)*(C6674*VLOOKUP(B6674,'Poids des runes'!A:B,2,FALSE)))+1),(((D6674/100)*(C6674*VLOOKUP(B6674,'Poids des runes'!A:B,2,FALSE)))+1)/VLOOKUP(B6674,'Poids des runes'!A:B,2,FALSE))</f>
        <v>75.115000000000009</v>
      </c>
      <c r="F6674">
        <f t="shared" si="104"/>
        <v>75.115000000000009</v>
      </c>
    </row>
    <row r="6675" spans="1:6" x14ac:dyDescent="0.3">
      <c r="A6675" t="s">
        <v>1266</v>
      </c>
      <c r="B6675" t="s">
        <v>2151</v>
      </c>
      <c r="C6675">
        <v>2.5</v>
      </c>
      <c r="D6675">
        <v>183</v>
      </c>
      <c r="E6675">
        <f>IF(OR(B6675="vi",B6675="ii",B6675="pod"),(((D6675/100)*(C6675*VLOOKUP(B6675,'Poids des runes'!A:B,2,FALSE)))+1),(((D6675/100)*(C6675*VLOOKUP(B6675,'Poids des runes'!A:B,2,FALSE)))+1)/VLOOKUP(B6675,'Poids des runes'!A:B,2,FALSE))</f>
        <v>4.6749999999999998</v>
      </c>
      <c r="F6675">
        <f t="shared" si="104"/>
        <v>4.6749999999999998</v>
      </c>
    </row>
    <row r="6676" spans="1:6" x14ac:dyDescent="0.3">
      <c r="A6676" t="s">
        <v>1266</v>
      </c>
      <c r="B6676" t="s">
        <v>2155</v>
      </c>
      <c r="C6676">
        <v>1</v>
      </c>
      <c r="D6676">
        <v>183</v>
      </c>
      <c r="E6676">
        <f>IF(OR(B6676="vi",B6676="ii",B6676="pod"),(((D6676/100)*(C6676*VLOOKUP(B6676,'Poids des runes'!A:B,2,FALSE)))+1),(((D6676/100)*(C6676*VLOOKUP(B6676,'Poids des runes'!A:B,2,FALSE)))+1)/VLOOKUP(B6676,'Poids des runes'!A:B,2,FALSE))</f>
        <v>1.8496078431372549</v>
      </c>
      <c r="F6676">
        <f t="shared" si="104"/>
        <v>1.8496078431372549</v>
      </c>
    </row>
    <row r="6677" spans="1:6" x14ac:dyDescent="0.3">
      <c r="A6677" t="s">
        <v>1266</v>
      </c>
      <c r="B6677" t="s">
        <v>2143</v>
      </c>
      <c r="C6677">
        <v>8.5</v>
      </c>
      <c r="D6677">
        <v>183</v>
      </c>
      <c r="E6677">
        <f>IF(OR(B6677="vi",B6677="ii",B6677="pod"),(((D6677/100)*(C6677*VLOOKUP(B6677,'Poids des runes'!A:B,2,FALSE)))+1),(((D6677/100)*(C6677*VLOOKUP(B6677,'Poids des runes'!A:B,2,FALSE)))+1)/VLOOKUP(B6677,'Poids des runes'!A:B,2,FALSE))</f>
        <v>15.755000000000001</v>
      </c>
      <c r="F6677">
        <f t="shared" si="104"/>
        <v>15.755000000000001</v>
      </c>
    </row>
    <row r="6678" spans="1:6" x14ac:dyDescent="0.3">
      <c r="A6678" t="s">
        <v>1266</v>
      </c>
      <c r="B6678" t="s">
        <v>2133</v>
      </c>
      <c r="C6678">
        <v>8.5</v>
      </c>
      <c r="D6678">
        <v>183</v>
      </c>
      <c r="E6678">
        <f>IF(OR(B6678="vi",B6678="ii",B6678="pod"),(((D6678/100)*(C6678*VLOOKUP(B6678,'Poids des runes'!A:B,2,FALSE)))+1),(((D6678/100)*(C6678*VLOOKUP(B6678,'Poids des runes'!A:B,2,FALSE)))+1)/VLOOKUP(B6678,'Poids des runes'!A:B,2,FALSE))</f>
        <v>15.755000000000001</v>
      </c>
      <c r="F6678">
        <f t="shared" si="104"/>
        <v>15.755000000000001</v>
      </c>
    </row>
    <row r="6679" spans="1:6" x14ac:dyDescent="0.3">
      <c r="A6679" t="s">
        <v>1266</v>
      </c>
      <c r="B6679" t="s">
        <v>2161</v>
      </c>
      <c r="C6679">
        <v>20.5</v>
      </c>
      <c r="D6679">
        <v>183</v>
      </c>
      <c r="E6679">
        <f>IF(OR(B6679="vi",B6679="ii",B6679="pod"),(((D6679/100)*(C6679*VLOOKUP(B6679,'Poids des runes'!A:B,2,FALSE)))+1),(((D6679/100)*(C6679*VLOOKUP(B6679,'Poids des runes'!A:B,2,FALSE)))+1)/VLOOKUP(B6679,'Poids des runes'!A:B,2,FALSE))</f>
        <v>37.848333333333336</v>
      </c>
      <c r="F6679">
        <f t="shared" si="104"/>
        <v>37.848333333333336</v>
      </c>
    </row>
    <row r="6680" spans="1:6" x14ac:dyDescent="0.3">
      <c r="A6680" t="s">
        <v>1266</v>
      </c>
      <c r="B6680" t="s">
        <v>2141</v>
      </c>
      <c r="C6680">
        <v>4.5</v>
      </c>
      <c r="D6680">
        <v>183</v>
      </c>
      <c r="E6680">
        <f>IF(OR(B6680="vi",B6680="ii",B6680="pod"),(((D6680/100)*(C6680*VLOOKUP(B6680,'Poids des runes'!A:B,2,FALSE)))+1),(((D6680/100)*(C6680*VLOOKUP(B6680,'Poids des runes'!A:B,2,FALSE)))+1)/VLOOKUP(B6680,'Poids des runes'!A:B,2,FALSE))</f>
        <v>8.4849999999999994</v>
      </c>
      <c r="F6680">
        <f t="shared" si="104"/>
        <v>8.4849999999999994</v>
      </c>
    </row>
    <row r="6681" spans="1:6" x14ac:dyDescent="0.3">
      <c r="A6681" t="s">
        <v>1266</v>
      </c>
      <c r="B6681" t="s">
        <v>2162</v>
      </c>
      <c r="C6681">
        <v>4.5</v>
      </c>
      <c r="D6681">
        <v>183</v>
      </c>
      <c r="E6681">
        <f>IF(OR(B6681="vi",B6681="ii",B6681="pod"),(((D6681/100)*(C6681*VLOOKUP(B6681,'Poids des runes'!A:B,2,FALSE)))+1),(((D6681/100)*(C6681*VLOOKUP(B6681,'Poids des runes'!A:B,2,FALSE)))+1)/VLOOKUP(B6681,'Poids des runes'!A:B,2,FALSE))</f>
        <v>8.3778571428571436</v>
      </c>
      <c r="F6681">
        <f t="shared" si="104"/>
        <v>8.3778571428571436</v>
      </c>
    </row>
    <row r="6682" spans="1:6" x14ac:dyDescent="0.3">
      <c r="A6682" t="s">
        <v>1266</v>
      </c>
      <c r="B6682" t="s">
        <v>2145</v>
      </c>
      <c r="C6682">
        <v>10</v>
      </c>
      <c r="D6682">
        <v>183</v>
      </c>
      <c r="E6682">
        <f>IF(OR(B6682="vi",B6682="ii",B6682="pod"),(((D6682/100)*(C6682*VLOOKUP(B6682,'Poids des runes'!A:B,2,FALSE)))+1),(((D6682/100)*(C6682*VLOOKUP(B6682,'Poids des runes'!A:B,2,FALSE)))+1)/VLOOKUP(B6682,'Poids des runes'!A:B,2,FALSE))</f>
        <v>18.8</v>
      </c>
      <c r="F6682">
        <f t="shared" si="104"/>
        <v>18.8</v>
      </c>
    </row>
    <row r="6683" spans="1:6" x14ac:dyDescent="0.3">
      <c r="A6683" t="s">
        <v>1266</v>
      </c>
      <c r="B6683" t="s">
        <v>2146</v>
      </c>
      <c r="C6683">
        <v>10</v>
      </c>
      <c r="D6683">
        <v>183</v>
      </c>
      <c r="E6683">
        <f>IF(OR(B6683="vi",B6683="ii",B6683="pod"),(((D6683/100)*(C6683*VLOOKUP(B6683,'Poids des runes'!A:B,2,FALSE)))+1),(((D6683/100)*(C6683*VLOOKUP(B6683,'Poids des runes'!A:B,2,FALSE)))+1)/VLOOKUP(B6683,'Poids des runes'!A:B,2,FALSE))</f>
        <v>18.8</v>
      </c>
      <c r="F6683">
        <f t="shared" si="104"/>
        <v>18.8</v>
      </c>
    </row>
    <row r="6684" spans="1:6" x14ac:dyDescent="0.3">
      <c r="A6684" t="s">
        <v>1267</v>
      </c>
      <c r="B6684" t="s">
        <v>2128</v>
      </c>
      <c r="C6684">
        <v>275.5</v>
      </c>
      <c r="D6684">
        <v>183</v>
      </c>
      <c r="E6684">
        <f>IF(OR(B6684="vi",B6684="ii",B6684="pod"),(((D6684/100)*(C6684*VLOOKUP(B6684,'Poids des runes'!A:B,2,FALSE)))+1),(((D6684/100)*(C6684*VLOOKUP(B6684,'Poids des runes'!A:B,2,FALSE)))+1)/VLOOKUP(B6684,'Poids des runes'!A:B,2,FALSE))</f>
        <v>101.83300000000001</v>
      </c>
      <c r="F6684">
        <f t="shared" si="104"/>
        <v>101.83300000000001</v>
      </c>
    </row>
    <row r="6685" spans="1:6" x14ac:dyDescent="0.3">
      <c r="A6685" t="s">
        <v>1267</v>
      </c>
      <c r="B6685" t="s">
        <v>2126</v>
      </c>
      <c r="C6685">
        <v>35.5</v>
      </c>
      <c r="D6685">
        <v>183</v>
      </c>
      <c r="E6685">
        <f>IF(OR(B6685="vi",B6685="ii",B6685="pod"),(((D6685/100)*(C6685*VLOOKUP(B6685,'Poids des runes'!A:B,2,FALSE)))+1),(((D6685/100)*(C6685*VLOOKUP(B6685,'Poids des runes'!A:B,2,FALSE)))+1)/VLOOKUP(B6685,'Poids des runes'!A:B,2,FALSE))</f>
        <v>65.965000000000003</v>
      </c>
      <c r="F6685">
        <f t="shared" si="104"/>
        <v>65.965000000000003</v>
      </c>
    </row>
    <row r="6686" spans="1:6" x14ac:dyDescent="0.3">
      <c r="A6686" t="s">
        <v>1267</v>
      </c>
      <c r="B6686" t="s">
        <v>2131</v>
      </c>
      <c r="C6686">
        <v>35.5</v>
      </c>
      <c r="D6686">
        <v>183</v>
      </c>
      <c r="E6686">
        <f>IF(OR(B6686="vi",B6686="ii",B6686="pod"),(((D6686/100)*(C6686*VLOOKUP(B6686,'Poids des runes'!A:B,2,FALSE)))+1),(((D6686/100)*(C6686*VLOOKUP(B6686,'Poids des runes'!A:B,2,FALSE)))+1)/VLOOKUP(B6686,'Poids des runes'!A:B,2,FALSE))</f>
        <v>65.965000000000003</v>
      </c>
      <c r="F6686">
        <f t="shared" si="104"/>
        <v>65.965000000000003</v>
      </c>
    </row>
    <row r="6687" spans="1:6" x14ac:dyDescent="0.3">
      <c r="A6687" t="s">
        <v>1267</v>
      </c>
      <c r="B6687" t="s">
        <v>2127</v>
      </c>
      <c r="C6687">
        <v>35.5</v>
      </c>
      <c r="D6687">
        <v>183</v>
      </c>
      <c r="E6687">
        <f>IF(OR(B6687="vi",B6687="ii",B6687="pod"),(((D6687/100)*(C6687*VLOOKUP(B6687,'Poids des runes'!A:B,2,FALSE)))+1),(((D6687/100)*(C6687*VLOOKUP(B6687,'Poids des runes'!A:B,2,FALSE)))+1)/VLOOKUP(B6687,'Poids des runes'!A:B,2,FALSE))</f>
        <v>65.965000000000003</v>
      </c>
      <c r="F6687">
        <f t="shared" si="104"/>
        <v>65.965000000000003</v>
      </c>
    </row>
    <row r="6688" spans="1:6" x14ac:dyDescent="0.3">
      <c r="A6688" t="s">
        <v>1267</v>
      </c>
      <c r="B6688" t="s">
        <v>2129</v>
      </c>
      <c r="C6688">
        <v>40.5</v>
      </c>
      <c r="D6688">
        <v>183</v>
      </c>
      <c r="E6688">
        <f>IF(OR(B6688="vi",B6688="ii",B6688="pod"),(((D6688/100)*(C6688*VLOOKUP(B6688,'Poids des runes'!A:B,2,FALSE)))+1),(((D6688/100)*(C6688*VLOOKUP(B6688,'Poids des runes'!A:B,2,FALSE)))+1)/VLOOKUP(B6688,'Poids des runes'!A:B,2,FALSE))</f>
        <v>75.115000000000009</v>
      </c>
      <c r="F6688">
        <f t="shared" si="104"/>
        <v>75.115000000000009</v>
      </c>
    </row>
    <row r="6689" spans="1:6" x14ac:dyDescent="0.3">
      <c r="A6689" t="s">
        <v>1267</v>
      </c>
      <c r="B6689" t="s">
        <v>2151</v>
      </c>
      <c r="C6689">
        <v>4.5</v>
      </c>
      <c r="D6689">
        <v>183</v>
      </c>
      <c r="E6689">
        <f>IF(OR(B6689="vi",B6689="ii",B6689="pod"),(((D6689/100)*(C6689*VLOOKUP(B6689,'Poids des runes'!A:B,2,FALSE)))+1),(((D6689/100)*(C6689*VLOOKUP(B6689,'Poids des runes'!A:B,2,FALSE)))+1)/VLOOKUP(B6689,'Poids des runes'!A:B,2,FALSE))</f>
        <v>8.3350000000000009</v>
      </c>
      <c r="F6689">
        <f t="shared" si="104"/>
        <v>8.3350000000000009</v>
      </c>
    </row>
    <row r="6690" spans="1:6" x14ac:dyDescent="0.3">
      <c r="A6690" t="s">
        <v>1267</v>
      </c>
      <c r="B6690" t="s">
        <v>2140</v>
      </c>
      <c r="C6690">
        <v>7</v>
      </c>
      <c r="D6690">
        <v>183</v>
      </c>
      <c r="E6690">
        <f>IF(OR(B6690="vi",B6690="ii",B6690="pod"),(((D6690/100)*(C6690*VLOOKUP(B6690,'Poids des runes'!A:B,2,FALSE)))+1),(((D6690/100)*(C6690*VLOOKUP(B6690,'Poids des runes'!A:B,2,FALSE)))+1)/VLOOKUP(B6690,'Poids des runes'!A:B,2,FALSE))</f>
        <v>13.01</v>
      </c>
      <c r="F6690">
        <f t="shared" si="104"/>
        <v>13.01</v>
      </c>
    </row>
    <row r="6691" spans="1:6" x14ac:dyDescent="0.3">
      <c r="A6691" t="s">
        <v>1267</v>
      </c>
      <c r="B6691" t="s">
        <v>2133</v>
      </c>
      <c r="C6691">
        <v>7</v>
      </c>
      <c r="D6691">
        <v>183</v>
      </c>
      <c r="E6691">
        <f>IF(OR(B6691="vi",B6691="ii",B6691="pod"),(((D6691/100)*(C6691*VLOOKUP(B6691,'Poids des runes'!A:B,2,FALSE)))+1),(((D6691/100)*(C6691*VLOOKUP(B6691,'Poids des runes'!A:B,2,FALSE)))+1)/VLOOKUP(B6691,'Poids des runes'!A:B,2,FALSE))</f>
        <v>13.01</v>
      </c>
      <c r="F6691">
        <f t="shared" si="104"/>
        <v>13.01</v>
      </c>
    </row>
    <row r="6692" spans="1:6" x14ac:dyDescent="0.3">
      <c r="A6692" t="s">
        <v>1267</v>
      </c>
      <c r="B6692" t="s">
        <v>2153</v>
      </c>
      <c r="C6692">
        <v>7</v>
      </c>
      <c r="D6692">
        <v>183</v>
      </c>
      <c r="E6692">
        <f>IF(OR(B6692="vi",B6692="ii",B6692="pod"),(((D6692/100)*(C6692*VLOOKUP(B6692,'Poids des runes'!A:B,2,FALSE)))+1),(((D6692/100)*(C6692*VLOOKUP(B6692,'Poids des runes'!A:B,2,FALSE)))+1)/VLOOKUP(B6692,'Poids des runes'!A:B,2,FALSE))</f>
        <v>13.01</v>
      </c>
      <c r="F6692">
        <f t="shared" si="104"/>
        <v>13.01</v>
      </c>
    </row>
    <row r="6693" spans="1:6" x14ac:dyDescent="0.3">
      <c r="A6693" t="s">
        <v>1267</v>
      </c>
      <c r="B6693" t="s">
        <v>2149</v>
      </c>
      <c r="C6693">
        <v>8.5</v>
      </c>
      <c r="D6693">
        <v>183</v>
      </c>
      <c r="E6693">
        <f>IF(OR(B6693="vi",B6693="ii",B6693="pod"),(((D6693/100)*(C6693*VLOOKUP(B6693,'Poids des runes'!A:B,2,FALSE)))+1),(((D6693/100)*(C6693*VLOOKUP(B6693,'Poids des runes'!A:B,2,FALSE)))+1)/VLOOKUP(B6693,'Poids des runes'!A:B,2,FALSE))</f>
        <v>15.655000000000001</v>
      </c>
      <c r="F6693">
        <f t="shared" si="104"/>
        <v>15.655000000000001</v>
      </c>
    </row>
    <row r="6694" spans="1:6" x14ac:dyDescent="0.3">
      <c r="A6694" t="s">
        <v>1267</v>
      </c>
      <c r="B6694" t="s">
        <v>2161</v>
      </c>
      <c r="C6694">
        <v>18</v>
      </c>
      <c r="D6694">
        <v>183</v>
      </c>
      <c r="E6694">
        <f>IF(OR(B6694="vi",B6694="ii",B6694="pod"),(((D6694/100)*(C6694*VLOOKUP(B6694,'Poids des runes'!A:B,2,FALSE)))+1),(((D6694/100)*(C6694*VLOOKUP(B6694,'Poids des runes'!A:B,2,FALSE)))+1)/VLOOKUP(B6694,'Poids des runes'!A:B,2,FALSE))</f>
        <v>33.273333333333333</v>
      </c>
      <c r="F6694">
        <f t="shared" si="104"/>
        <v>33.273333333333333</v>
      </c>
    </row>
    <row r="6695" spans="1:6" x14ac:dyDescent="0.3">
      <c r="A6695" t="s">
        <v>1267</v>
      </c>
      <c r="B6695" t="s">
        <v>2138</v>
      </c>
      <c r="C6695">
        <v>6</v>
      </c>
      <c r="D6695">
        <v>183</v>
      </c>
      <c r="E6695">
        <f>IF(OR(B6695="vi",B6695="ii",B6695="pod"),(((D6695/100)*(C6695*VLOOKUP(B6695,'Poids des runes'!A:B,2,FALSE)))+1),(((D6695/100)*(C6695*VLOOKUP(B6695,'Poids des runes'!A:B,2,FALSE)))+1)/VLOOKUP(B6695,'Poids des runes'!A:B,2,FALSE))</f>
        <v>11.23</v>
      </c>
      <c r="F6695">
        <f t="shared" si="104"/>
        <v>11.23</v>
      </c>
    </row>
    <row r="6696" spans="1:6" x14ac:dyDescent="0.3">
      <c r="A6696" t="s">
        <v>1267</v>
      </c>
      <c r="B6696" t="s">
        <v>2158</v>
      </c>
      <c r="C6696">
        <v>10</v>
      </c>
      <c r="D6696">
        <v>183</v>
      </c>
      <c r="E6696">
        <f>IF(OR(B6696="vi",B6696="ii",B6696="pod"),(((D6696/100)*(C6696*VLOOKUP(B6696,'Poids des runes'!A:B,2,FALSE)))+1),(((D6696/100)*(C6696*VLOOKUP(B6696,'Poids des runes'!A:B,2,FALSE)))+1)/VLOOKUP(B6696,'Poids des runes'!A:B,2,FALSE))</f>
        <v>18.5</v>
      </c>
      <c r="F6696">
        <f t="shared" si="104"/>
        <v>18.5</v>
      </c>
    </row>
    <row r="6697" spans="1:6" x14ac:dyDescent="0.3">
      <c r="A6697" t="s">
        <v>1267</v>
      </c>
      <c r="B6697" t="s">
        <v>2135</v>
      </c>
      <c r="C6697">
        <v>6</v>
      </c>
      <c r="D6697">
        <v>183</v>
      </c>
      <c r="E6697">
        <f>IF(OR(B6697="vi",B6697="ii",B6697="pod"),(((D6697/100)*(C6697*VLOOKUP(B6697,'Poids des runes'!A:B,2,FALSE)))+1),(((D6697/100)*(C6697*VLOOKUP(B6697,'Poids des runes'!A:B,2,FALSE)))+1)/VLOOKUP(B6697,'Poids des runes'!A:B,2,FALSE))</f>
        <v>11.146666666666667</v>
      </c>
      <c r="F6697">
        <f t="shared" si="104"/>
        <v>11.146666666666667</v>
      </c>
    </row>
    <row r="6698" spans="1:6" x14ac:dyDescent="0.3">
      <c r="A6698" t="s">
        <v>1268</v>
      </c>
      <c r="B6698" t="s">
        <v>2128</v>
      </c>
      <c r="C6698">
        <v>225.5</v>
      </c>
      <c r="D6698">
        <v>183</v>
      </c>
      <c r="E6698">
        <f>IF(OR(B6698="vi",B6698="ii",B6698="pod"),(((D6698/100)*(C6698*VLOOKUP(B6698,'Poids des runes'!A:B,2,FALSE)))+1),(((D6698/100)*(C6698*VLOOKUP(B6698,'Poids des runes'!A:B,2,FALSE)))+1)/VLOOKUP(B6698,'Poids des runes'!A:B,2,FALSE))</f>
        <v>83.533000000000001</v>
      </c>
      <c r="F6698">
        <f t="shared" si="104"/>
        <v>83.533000000000001</v>
      </c>
    </row>
    <row r="6699" spans="1:6" x14ac:dyDescent="0.3">
      <c r="A6699" t="s">
        <v>1268</v>
      </c>
      <c r="B6699" t="s">
        <v>2126</v>
      </c>
      <c r="C6699">
        <v>50.5</v>
      </c>
      <c r="D6699">
        <v>183</v>
      </c>
      <c r="E6699">
        <f>IF(OR(B6699="vi",B6699="ii",B6699="pod"),(((D6699/100)*(C6699*VLOOKUP(B6699,'Poids des runes'!A:B,2,FALSE)))+1),(((D6699/100)*(C6699*VLOOKUP(B6699,'Poids des runes'!A:B,2,FALSE)))+1)/VLOOKUP(B6699,'Poids des runes'!A:B,2,FALSE))</f>
        <v>93.415000000000006</v>
      </c>
      <c r="F6699">
        <f t="shared" si="104"/>
        <v>93.415000000000006</v>
      </c>
    </row>
    <row r="6700" spans="1:6" x14ac:dyDescent="0.3">
      <c r="A6700" t="s">
        <v>1268</v>
      </c>
      <c r="B6700" t="s">
        <v>2131</v>
      </c>
      <c r="C6700">
        <v>50.5</v>
      </c>
      <c r="D6700">
        <v>183</v>
      </c>
      <c r="E6700">
        <f>IF(OR(B6700="vi",B6700="ii",B6700="pod"),(((D6700/100)*(C6700*VLOOKUP(B6700,'Poids des runes'!A:B,2,FALSE)))+1),(((D6700/100)*(C6700*VLOOKUP(B6700,'Poids des runes'!A:B,2,FALSE)))+1)/VLOOKUP(B6700,'Poids des runes'!A:B,2,FALSE))</f>
        <v>93.415000000000006</v>
      </c>
      <c r="F6700">
        <f t="shared" si="104"/>
        <v>93.415000000000006</v>
      </c>
    </row>
    <row r="6701" spans="1:6" x14ac:dyDescent="0.3">
      <c r="A6701" t="s">
        <v>1268</v>
      </c>
      <c r="B6701" t="s">
        <v>2129</v>
      </c>
      <c r="C6701">
        <v>35.5</v>
      </c>
      <c r="D6701">
        <v>183</v>
      </c>
      <c r="E6701">
        <f>IF(OR(B6701="vi",B6701="ii",B6701="pod"),(((D6701/100)*(C6701*VLOOKUP(B6701,'Poids des runes'!A:B,2,FALSE)))+1),(((D6701/100)*(C6701*VLOOKUP(B6701,'Poids des runes'!A:B,2,FALSE)))+1)/VLOOKUP(B6701,'Poids des runes'!A:B,2,FALSE))</f>
        <v>65.965000000000003</v>
      </c>
      <c r="F6701">
        <f t="shared" si="104"/>
        <v>65.965000000000003</v>
      </c>
    </row>
    <row r="6702" spans="1:6" x14ac:dyDescent="0.3">
      <c r="A6702" t="s">
        <v>1268</v>
      </c>
      <c r="B6702" t="s">
        <v>2151</v>
      </c>
      <c r="C6702">
        <v>2.5</v>
      </c>
      <c r="D6702">
        <v>183</v>
      </c>
      <c r="E6702">
        <f>IF(OR(B6702="vi",B6702="ii",B6702="pod"),(((D6702/100)*(C6702*VLOOKUP(B6702,'Poids des runes'!A:B,2,FALSE)))+1),(((D6702/100)*(C6702*VLOOKUP(B6702,'Poids des runes'!A:B,2,FALSE)))+1)/VLOOKUP(B6702,'Poids des runes'!A:B,2,FALSE))</f>
        <v>4.6749999999999998</v>
      </c>
      <c r="F6702">
        <f t="shared" si="104"/>
        <v>4.6749999999999998</v>
      </c>
    </row>
    <row r="6703" spans="1:6" x14ac:dyDescent="0.3">
      <c r="A6703" t="s">
        <v>1268</v>
      </c>
      <c r="B6703" t="s">
        <v>2150</v>
      </c>
      <c r="C6703">
        <v>1.5</v>
      </c>
      <c r="D6703">
        <v>183</v>
      </c>
      <c r="E6703">
        <f>IF(OR(B6703="vi",B6703="ii",B6703="pod"),(((D6703/100)*(C6703*VLOOKUP(B6703,'Poids des runes'!A:B,2,FALSE)))+1),(((D6703/100)*(C6703*VLOOKUP(B6703,'Poids des runes'!A:B,2,FALSE)))+1)/VLOOKUP(B6703,'Poids des runes'!A:B,2,FALSE))</f>
        <v>2.7783333333333338</v>
      </c>
      <c r="F6703">
        <f t="shared" si="104"/>
        <v>2.7783333333333338</v>
      </c>
    </row>
    <row r="6704" spans="1:6" x14ac:dyDescent="0.3">
      <c r="A6704" t="s">
        <v>1268</v>
      </c>
      <c r="B6704" t="s">
        <v>2140</v>
      </c>
      <c r="C6704">
        <v>8.5</v>
      </c>
      <c r="D6704">
        <v>183</v>
      </c>
      <c r="E6704">
        <f>IF(OR(B6704="vi",B6704="ii",B6704="pod"),(((D6704/100)*(C6704*VLOOKUP(B6704,'Poids des runes'!A:B,2,FALSE)))+1),(((D6704/100)*(C6704*VLOOKUP(B6704,'Poids des runes'!A:B,2,FALSE)))+1)/VLOOKUP(B6704,'Poids des runes'!A:B,2,FALSE))</f>
        <v>15.755000000000001</v>
      </c>
      <c r="F6704">
        <f t="shared" si="104"/>
        <v>15.755000000000001</v>
      </c>
    </row>
    <row r="6705" spans="1:6" x14ac:dyDescent="0.3">
      <c r="A6705" t="s">
        <v>1268</v>
      </c>
      <c r="B6705" t="s">
        <v>2133</v>
      </c>
      <c r="C6705">
        <v>8.5</v>
      </c>
      <c r="D6705">
        <v>183</v>
      </c>
      <c r="E6705">
        <f>IF(OR(B6705="vi",B6705="ii",B6705="pod"),(((D6705/100)*(C6705*VLOOKUP(B6705,'Poids des runes'!A:B,2,FALSE)))+1),(((D6705/100)*(C6705*VLOOKUP(B6705,'Poids des runes'!A:B,2,FALSE)))+1)/VLOOKUP(B6705,'Poids des runes'!A:B,2,FALSE))</f>
        <v>15.755000000000001</v>
      </c>
      <c r="F6705">
        <f t="shared" si="104"/>
        <v>15.755000000000001</v>
      </c>
    </row>
    <row r="6706" spans="1:6" x14ac:dyDescent="0.3">
      <c r="A6706" t="s">
        <v>1268</v>
      </c>
      <c r="B6706" t="s">
        <v>2161</v>
      </c>
      <c r="C6706">
        <v>13</v>
      </c>
      <c r="D6706">
        <v>183</v>
      </c>
      <c r="E6706">
        <f>IF(OR(B6706="vi",B6706="ii",B6706="pod"),(((D6706/100)*(C6706*VLOOKUP(B6706,'Poids des runes'!A:B,2,FALSE)))+1),(((D6706/100)*(C6706*VLOOKUP(B6706,'Poids des runes'!A:B,2,FALSE)))+1)/VLOOKUP(B6706,'Poids des runes'!A:B,2,FALSE))</f>
        <v>24.123333333333335</v>
      </c>
      <c r="F6706">
        <f t="shared" si="104"/>
        <v>24.123333333333335</v>
      </c>
    </row>
    <row r="6707" spans="1:6" x14ac:dyDescent="0.3">
      <c r="A6707" t="s">
        <v>1268</v>
      </c>
      <c r="B6707" t="s">
        <v>2148</v>
      </c>
      <c r="C6707">
        <v>8.5</v>
      </c>
      <c r="D6707">
        <v>183</v>
      </c>
      <c r="E6707">
        <f>IF(OR(B6707="vi",B6707="ii",B6707="pod"),(((D6707/100)*(C6707*VLOOKUP(B6707,'Poids des runes'!A:B,2,FALSE)))+1),(((D6707/100)*(C6707*VLOOKUP(B6707,'Poids des runes'!A:B,2,FALSE)))+1)/VLOOKUP(B6707,'Poids des runes'!A:B,2,FALSE))</f>
        <v>15.721666666666666</v>
      </c>
      <c r="F6707">
        <f t="shared" si="104"/>
        <v>15.721666666666666</v>
      </c>
    </row>
    <row r="6708" spans="1:6" x14ac:dyDescent="0.3">
      <c r="A6708" t="s">
        <v>1268</v>
      </c>
      <c r="B6708" t="s">
        <v>2136</v>
      </c>
      <c r="C6708">
        <v>8.5</v>
      </c>
      <c r="D6708">
        <v>183</v>
      </c>
      <c r="E6708">
        <f>IF(OR(B6708="vi",B6708="ii",B6708="pod"),(((D6708/100)*(C6708*VLOOKUP(B6708,'Poids des runes'!A:B,2,FALSE)))+1),(((D6708/100)*(C6708*VLOOKUP(B6708,'Poids des runes'!A:B,2,FALSE)))+1)/VLOOKUP(B6708,'Poids des runes'!A:B,2,FALSE))</f>
        <v>16.055</v>
      </c>
      <c r="F6708">
        <f t="shared" si="104"/>
        <v>16.055</v>
      </c>
    </row>
    <row r="6709" spans="1:6" x14ac:dyDescent="0.3">
      <c r="A6709" t="s">
        <v>1268</v>
      </c>
      <c r="B6709" t="s">
        <v>2137</v>
      </c>
      <c r="C6709">
        <v>8.5</v>
      </c>
      <c r="D6709">
        <v>183</v>
      </c>
      <c r="E6709">
        <f>IF(OR(B6709="vi",B6709="ii",B6709="pod"),(((D6709/100)*(C6709*VLOOKUP(B6709,'Poids des runes'!A:B,2,FALSE)))+1),(((D6709/100)*(C6709*VLOOKUP(B6709,'Poids des runes'!A:B,2,FALSE)))+1)/VLOOKUP(B6709,'Poids des runes'!A:B,2,FALSE))</f>
        <v>16.055</v>
      </c>
      <c r="F6709">
        <f t="shared" si="104"/>
        <v>16.055</v>
      </c>
    </row>
    <row r="6710" spans="1:6" x14ac:dyDescent="0.3">
      <c r="A6710" t="s">
        <v>1268</v>
      </c>
      <c r="B6710" t="s">
        <v>2145</v>
      </c>
      <c r="C6710">
        <v>8.5</v>
      </c>
      <c r="D6710">
        <v>183</v>
      </c>
      <c r="E6710">
        <f>IF(OR(B6710="vi",B6710="ii",B6710="pod"),(((D6710/100)*(C6710*VLOOKUP(B6710,'Poids des runes'!A:B,2,FALSE)))+1),(((D6710/100)*(C6710*VLOOKUP(B6710,'Poids des runes'!A:B,2,FALSE)))+1)/VLOOKUP(B6710,'Poids des runes'!A:B,2,FALSE))</f>
        <v>16.055</v>
      </c>
      <c r="F6710">
        <f t="shared" si="104"/>
        <v>16.055</v>
      </c>
    </row>
    <row r="6711" spans="1:6" x14ac:dyDescent="0.3">
      <c r="A6711" t="s">
        <v>1269</v>
      </c>
      <c r="B6711" t="s">
        <v>2128</v>
      </c>
      <c r="C6711">
        <v>275.5</v>
      </c>
      <c r="D6711">
        <v>183</v>
      </c>
      <c r="E6711">
        <f>IF(OR(B6711="vi",B6711="ii",B6711="pod"),(((D6711/100)*(C6711*VLOOKUP(B6711,'Poids des runes'!A:B,2,FALSE)))+1),(((D6711/100)*(C6711*VLOOKUP(B6711,'Poids des runes'!A:B,2,FALSE)))+1)/VLOOKUP(B6711,'Poids des runes'!A:B,2,FALSE))</f>
        <v>101.83300000000001</v>
      </c>
      <c r="F6711">
        <f t="shared" si="104"/>
        <v>101.83300000000001</v>
      </c>
    </row>
    <row r="6712" spans="1:6" x14ac:dyDescent="0.3">
      <c r="A6712" t="s">
        <v>1269</v>
      </c>
      <c r="B6712" t="s">
        <v>2131</v>
      </c>
      <c r="C6712">
        <v>70.5</v>
      </c>
      <c r="D6712">
        <v>183</v>
      </c>
      <c r="E6712">
        <f>IF(OR(B6712="vi",B6712="ii",B6712="pod"),(((D6712/100)*(C6712*VLOOKUP(B6712,'Poids des runes'!A:B,2,FALSE)))+1),(((D6712/100)*(C6712*VLOOKUP(B6712,'Poids des runes'!A:B,2,FALSE)))+1)/VLOOKUP(B6712,'Poids des runes'!A:B,2,FALSE))</f>
        <v>130.01500000000001</v>
      </c>
      <c r="F6712">
        <f t="shared" si="104"/>
        <v>130.01500000000001</v>
      </c>
    </row>
    <row r="6713" spans="1:6" x14ac:dyDescent="0.3">
      <c r="A6713" t="s">
        <v>1269</v>
      </c>
      <c r="B6713" t="s">
        <v>2129</v>
      </c>
      <c r="C6713">
        <v>35.5</v>
      </c>
      <c r="D6713">
        <v>183</v>
      </c>
      <c r="E6713">
        <f>IF(OR(B6713="vi",B6713="ii",B6713="pod"),(((D6713/100)*(C6713*VLOOKUP(B6713,'Poids des runes'!A:B,2,FALSE)))+1),(((D6713/100)*(C6713*VLOOKUP(B6713,'Poids des runes'!A:B,2,FALSE)))+1)/VLOOKUP(B6713,'Poids des runes'!A:B,2,FALSE))</f>
        <v>65.965000000000003</v>
      </c>
      <c r="F6713">
        <f t="shared" si="104"/>
        <v>65.965000000000003</v>
      </c>
    </row>
    <row r="6714" spans="1:6" x14ac:dyDescent="0.3">
      <c r="A6714" t="s">
        <v>1269</v>
      </c>
      <c r="B6714" t="s">
        <v>2151</v>
      </c>
      <c r="C6714">
        <v>2.5</v>
      </c>
      <c r="D6714">
        <v>183</v>
      </c>
      <c r="E6714">
        <f>IF(OR(B6714="vi",B6714="ii",B6714="pod"),(((D6714/100)*(C6714*VLOOKUP(B6714,'Poids des runes'!A:B,2,FALSE)))+1),(((D6714/100)*(C6714*VLOOKUP(B6714,'Poids des runes'!A:B,2,FALSE)))+1)/VLOOKUP(B6714,'Poids des runes'!A:B,2,FALSE))</f>
        <v>4.6749999999999998</v>
      </c>
      <c r="F6714">
        <f t="shared" si="104"/>
        <v>4.6749999999999998</v>
      </c>
    </row>
    <row r="6715" spans="1:6" x14ac:dyDescent="0.3">
      <c r="A6715" t="s">
        <v>1269</v>
      </c>
      <c r="B6715" t="s">
        <v>2154</v>
      </c>
      <c r="C6715">
        <v>1</v>
      </c>
      <c r="D6715">
        <v>183</v>
      </c>
      <c r="E6715">
        <f>IF(OR(B6715="vi",B6715="ii",B6715="pod"),(((D6715/100)*(C6715*VLOOKUP(B6715,'Poids des runes'!A:B,2,FALSE)))+1),(((D6715/100)*(C6715*VLOOKUP(B6715,'Poids des runes'!A:B,2,FALSE)))+1)/VLOOKUP(B6715,'Poids des runes'!A:B,2,FALSE))</f>
        <v>1.8411111111111114</v>
      </c>
      <c r="F6715">
        <f t="shared" si="104"/>
        <v>1.8411111111111114</v>
      </c>
    </row>
    <row r="6716" spans="1:6" x14ac:dyDescent="0.3">
      <c r="A6716" t="s">
        <v>1269</v>
      </c>
      <c r="B6716" t="s">
        <v>2133</v>
      </c>
      <c r="C6716">
        <v>10.5</v>
      </c>
      <c r="D6716">
        <v>183</v>
      </c>
      <c r="E6716">
        <f>IF(OR(B6716="vi",B6716="ii",B6716="pod"),(((D6716/100)*(C6716*VLOOKUP(B6716,'Poids des runes'!A:B,2,FALSE)))+1),(((D6716/100)*(C6716*VLOOKUP(B6716,'Poids des runes'!A:B,2,FALSE)))+1)/VLOOKUP(B6716,'Poids des runes'!A:B,2,FALSE))</f>
        <v>19.414999999999999</v>
      </c>
      <c r="F6716">
        <f t="shared" si="104"/>
        <v>19.414999999999999</v>
      </c>
    </row>
    <row r="6717" spans="1:6" x14ac:dyDescent="0.3">
      <c r="A6717" t="s">
        <v>1269</v>
      </c>
      <c r="B6717" t="s">
        <v>2147</v>
      </c>
      <c r="C6717">
        <v>8.5</v>
      </c>
      <c r="D6717">
        <v>183</v>
      </c>
      <c r="E6717">
        <f>IF(OR(B6717="vi",B6717="ii",B6717="pod"),(((D6717/100)*(C6717*VLOOKUP(B6717,'Poids des runes'!A:B,2,FALSE)))+1),(((D6717/100)*(C6717*VLOOKUP(B6717,'Poids des runes'!A:B,2,FALSE)))+1)/VLOOKUP(B6717,'Poids des runes'!A:B,2,FALSE))</f>
        <v>15.721666666666666</v>
      </c>
      <c r="F6717">
        <f t="shared" si="104"/>
        <v>15.721666666666666</v>
      </c>
    </row>
    <row r="6718" spans="1:6" x14ac:dyDescent="0.3">
      <c r="A6718" t="s">
        <v>1269</v>
      </c>
      <c r="B6718" t="s">
        <v>2136</v>
      </c>
      <c r="C6718">
        <v>5</v>
      </c>
      <c r="D6718">
        <v>183</v>
      </c>
      <c r="E6718">
        <f>IF(OR(B6718="vi",B6718="ii",B6718="pod"),(((D6718/100)*(C6718*VLOOKUP(B6718,'Poids des runes'!A:B,2,FALSE)))+1),(((D6718/100)*(C6718*VLOOKUP(B6718,'Poids des runes'!A:B,2,FALSE)))+1)/VLOOKUP(B6718,'Poids des runes'!A:B,2,FALSE))</f>
        <v>9.65</v>
      </c>
      <c r="F6718">
        <f t="shared" si="104"/>
        <v>9.65</v>
      </c>
    </row>
    <row r="6719" spans="1:6" x14ac:dyDescent="0.3">
      <c r="A6719" t="s">
        <v>1269</v>
      </c>
      <c r="B6719" t="s">
        <v>2146</v>
      </c>
      <c r="C6719">
        <v>5</v>
      </c>
      <c r="D6719">
        <v>183</v>
      </c>
      <c r="E6719">
        <f>IF(OR(B6719="vi",B6719="ii",B6719="pod"),(((D6719/100)*(C6719*VLOOKUP(B6719,'Poids des runes'!A:B,2,FALSE)))+1),(((D6719/100)*(C6719*VLOOKUP(B6719,'Poids des runes'!A:B,2,FALSE)))+1)/VLOOKUP(B6719,'Poids des runes'!A:B,2,FALSE))</f>
        <v>9.65</v>
      </c>
      <c r="F6719">
        <f t="shared" si="104"/>
        <v>9.65</v>
      </c>
    </row>
    <row r="6720" spans="1:6" x14ac:dyDescent="0.3">
      <c r="A6720" t="s">
        <v>1270</v>
      </c>
      <c r="B6720" t="s">
        <v>2128</v>
      </c>
      <c r="C6720">
        <v>225.5</v>
      </c>
      <c r="D6720">
        <v>183</v>
      </c>
      <c r="E6720">
        <f>IF(OR(B6720="vi",B6720="ii",B6720="pod"),(((D6720/100)*(C6720*VLOOKUP(B6720,'Poids des runes'!A:B,2,FALSE)))+1),(((D6720/100)*(C6720*VLOOKUP(B6720,'Poids des runes'!A:B,2,FALSE)))+1)/VLOOKUP(B6720,'Poids des runes'!A:B,2,FALSE))</f>
        <v>83.533000000000001</v>
      </c>
      <c r="F6720">
        <f t="shared" si="104"/>
        <v>83.533000000000001</v>
      </c>
    </row>
    <row r="6721" spans="1:6" x14ac:dyDescent="0.3">
      <c r="A6721" t="s">
        <v>1270</v>
      </c>
      <c r="B6721" t="s">
        <v>2131</v>
      </c>
      <c r="C6721">
        <v>50.5</v>
      </c>
      <c r="D6721">
        <v>183</v>
      </c>
      <c r="E6721">
        <f>IF(OR(B6721="vi",B6721="ii",B6721="pod"),(((D6721/100)*(C6721*VLOOKUP(B6721,'Poids des runes'!A:B,2,FALSE)))+1),(((D6721/100)*(C6721*VLOOKUP(B6721,'Poids des runes'!A:B,2,FALSE)))+1)/VLOOKUP(B6721,'Poids des runes'!A:B,2,FALSE))</f>
        <v>93.415000000000006</v>
      </c>
      <c r="F6721">
        <f t="shared" si="104"/>
        <v>93.415000000000006</v>
      </c>
    </row>
    <row r="6722" spans="1:6" x14ac:dyDescent="0.3">
      <c r="A6722" t="s">
        <v>1270</v>
      </c>
      <c r="B6722" t="s">
        <v>2129</v>
      </c>
      <c r="C6722">
        <v>35.5</v>
      </c>
      <c r="D6722">
        <v>183</v>
      </c>
      <c r="E6722">
        <f>IF(OR(B6722="vi",B6722="ii",B6722="pod"),(((D6722/100)*(C6722*VLOOKUP(B6722,'Poids des runes'!A:B,2,FALSE)))+1),(((D6722/100)*(C6722*VLOOKUP(B6722,'Poids des runes'!A:B,2,FALSE)))+1)/VLOOKUP(B6722,'Poids des runes'!A:B,2,FALSE))</f>
        <v>65.965000000000003</v>
      </c>
      <c r="F6722">
        <f t="shared" si="104"/>
        <v>65.965000000000003</v>
      </c>
    </row>
    <row r="6723" spans="1:6" x14ac:dyDescent="0.3">
      <c r="A6723" t="s">
        <v>1270</v>
      </c>
      <c r="B6723" t="s">
        <v>2150</v>
      </c>
      <c r="C6723">
        <v>2</v>
      </c>
      <c r="D6723">
        <v>183</v>
      </c>
      <c r="E6723">
        <f>IF(OR(B6723="vi",B6723="ii",B6723="pod"),(((D6723/100)*(C6723*VLOOKUP(B6723,'Poids des runes'!A:B,2,FALSE)))+1),(((D6723/100)*(C6723*VLOOKUP(B6723,'Poids des runes'!A:B,2,FALSE)))+1)/VLOOKUP(B6723,'Poids des runes'!A:B,2,FALSE))</f>
        <v>3.6933333333333338</v>
      </c>
      <c r="F6723">
        <f t="shared" ref="F6723:F6786" si="105">E6723</f>
        <v>3.6933333333333338</v>
      </c>
    </row>
    <row r="6724" spans="1:6" x14ac:dyDescent="0.3">
      <c r="A6724" t="s">
        <v>1270</v>
      </c>
      <c r="B6724" t="s">
        <v>2133</v>
      </c>
      <c r="C6724">
        <v>18</v>
      </c>
      <c r="D6724">
        <v>183</v>
      </c>
      <c r="E6724">
        <f>IF(OR(B6724="vi",B6724="ii",B6724="pod"),(((D6724/100)*(C6724*VLOOKUP(B6724,'Poids des runes'!A:B,2,FALSE)))+1),(((D6724/100)*(C6724*VLOOKUP(B6724,'Poids des runes'!A:B,2,FALSE)))+1)/VLOOKUP(B6724,'Poids des runes'!A:B,2,FALSE))</f>
        <v>33.14</v>
      </c>
      <c r="F6724">
        <f t="shared" si="105"/>
        <v>33.14</v>
      </c>
    </row>
    <row r="6725" spans="1:6" x14ac:dyDescent="0.3">
      <c r="A6725" t="s">
        <v>1270</v>
      </c>
      <c r="B6725" t="s">
        <v>2163</v>
      </c>
      <c r="C6725">
        <v>8.5</v>
      </c>
      <c r="D6725">
        <v>183</v>
      </c>
      <c r="E6725">
        <f>IF(OR(B6725="vi",B6725="ii",B6725="pod"),(((D6725/100)*(C6725*VLOOKUP(B6725,'Poids des runes'!A:B,2,FALSE)))+1),(((D6725/100)*(C6725*VLOOKUP(B6725,'Poids des runes'!A:B,2,FALSE)))+1)/VLOOKUP(B6725,'Poids des runes'!A:B,2,FALSE))</f>
        <v>16.055</v>
      </c>
      <c r="F6725">
        <f t="shared" si="105"/>
        <v>16.055</v>
      </c>
    </row>
    <row r="6726" spans="1:6" x14ac:dyDescent="0.3">
      <c r="A6726" t="s">
        <v>1270</v>
      </c>
      <c r="B6726" t="s">
        <v>2144</v>
      </c>
      <c r="C6726">
        <v>20.5</v>
      </c>
      <c r="D6726">
        <v>183</v>
      </c>
      <c r="E6726">
        <f>IF(OR(B6726="vi",B6726="ii",B6726="pod"),(((D6726/100)*(C6726*VLOOKUP(B6726,'Poids des runes'!A:B,2,FALSE)))+1),(((D6726/100)*(C6726*VLOOKUP(B6726,'Poids des runes'!A:B,2,FALSE)))+1)/VLOOKUP(B6726,'Poids des runes'!A:B,2,FALSE))</f>
        <v>38.015000000000001</v>
      </c>
      <c r="F6726">
        <f t="shared" si="105"/>
        <v>38.015000000000001</v>
      </c>
    </row>
    <row r="6727" spans="1:6" x14ac:dyDescent="0.3">
      <c r="A6727" t="s">
        <v>1271</v>
      </c>
      <c r="B6727" t="s">
        <v>2128</v>
      </c>
      <c r="C6727">
        <v>225.5</v>
      </c>
      <c r="D6727">
        <v>184</v>
      </c>
      <c r="E6727">
        <f>IF(OR(B6727="vi",B6727="ii",B6727="pod"),(((D6727/100)*(C6727*VLOOKUP(B6727,'Poids des runes'!A:B,2,FALSE)))+1),(((D6727/100)*(C6727*VLOOKUP(B6727,'Poids des runes'!A:B,2,FALSE)))+1)/VLOOKUP(B6727,'Poids des runes'!A:B,2,FALSE))</f>
        <v>83.984000000000009</v>
      </c>
      <c r="F6727">
        <f t="shared" si="105"/>
        <v>83.984000000000009</v>
      </c>
    </row>
    <row r="6728" spans="1:6" x14ac:dyDescent="0.3">
      <c r="A6728" t="s">
        <v>1271</v>
      </c>
      <c r="B6728" t="s">
        <v>2139</v>
      </c>
      <c r="C6728">
        <v>35.5</v>
      </c>
      <c r="D6728">
        <v>184</v>
      </c>
      <c r="E6728">
        <f>IF(OR(B6728="vi",B6728="ii",B6728="pod"),(((D6728/100)*(C6728*VLOOKUP(B6728,'Poids des runes'!A:B,2,FALSE)))+1),(((D6728/100)*(C6728*VLOOKUP(B6728,'Poids des runes'!A:B,2,FALSE)))+1)/VLOOKUP(B6728,'Poids des runes'!A:B,2,FALSE))</f>
        <v>65.820000000000007</v>
      </c>
      <c r="F6728">
        <f t="shared" si="105"/>
        <v>65.820000000000007</v>
      </c>
    </row>
    <row r="6729" spans="1:6" x14ac:dyDescent="0.3">
      <c r="A6729" t="s">
        <v>1271</v>
      </c>
      <c r="B6729" t="s">
        <v>2151</v>
      </c>
      <c r="C6729">
        <v>4.5</v>
      </c>
      <c r="D6729">
        <v>184</v>
      </c>
      <c r="E6729">
        <f>IF(OR(B6729="vi",B6729="ii",B6729="pod"),(((D6729/100)*(C6729*VLOOKUP(B6729,'Poids des runes'!A:B,2,FALSE)))+1),(((D6729/100)*(C6729*VLOOKUP(B6729,'Poids des runes'!A:B,2,FALSE)))+1)/VLOOKUP(B6729,'Poids des runes'!A:B,2,FALSE))</f>
        <v>8.379999999999999</v>
      </c>
      <c r="F6729">
        <f t="shared" si="105"/>
        <v>8.379999999999999</v>
      </c>
    </row>
    <row r="6730" spans="1:6" x14ac:dyDescent="0.3">
      <c r="A6730" t="s">
        <v>1271</v>
      </c>
      <c r="B6730" t="s">
        <v>2155</v>
      </c>
      <c r="C6730">
        <v>1</v>
      </c>
      <c r="D6730">
        <v>184</v>
      </c>
      <c r="E6730">
        <f>IF(OR(B6730="vi",B6730="ii",B6730="pod"),(((D6730/100)*(C6730*VLOOKUP(B6730,'Poids des runes'!A:B,2,FALSE)))+1),(((D6730/100)*(C6730*VLOOKUP(B6730,'Poids des runes'!A:B,2,FALSE)))+1)/VLOOKUP(B6730,'Poids des runes'!A:B,2,FALSE))</f>
        <v>1.8596078431372549</v>
      </c>
      <c r="F6730">
        <f t="shared" si="105"/>
        <v>1.8596078431372549</v>
      </c>
    </row>
    <row r="6731" spans="1:6" x14ac:dyDescent="0.3">
      <c r="A6731" t="s">
        <v>1271</v>
      </c>
      <c r="B6731" t="s">
        <v>2143</v>
      </c>
      <c r="C6731">
        <v>10</v>
      </c>
      <c r="D6731">
        <v>184</v>
      </c>
      <c r="E6731">
        <f>IF(OR(B6731="vi",B6731="ii",B6731="pod"),(((D6731/100)*(C6731*VLOOKUP(B6731,'Poids des runes'!A:B,2,FALSE)))+1),(((D6731/100)*(C6731*VLOOKUP(B6731,'Poids des runes'!A:B,2,FALSE)))+1)/VLOOKUP(B6731,'Poids des runes'!A:B,2,FALSE))</f>
        <v>18.600000000000001</v>
      </c>
      <c r="F6731">
        <f t="shared" si="105"/>
        <v>18.600000000000001</v>
      </c>
    </row>
    <row r="6732" spans="1:6" x14ac:dyDescent="0.3">
      <c r="A6732" t="s">
        <v>1271</v>
      </c>
      <c r="B6732" t="s">
        <v>2140</v>
      </c>
      <c r="C6732">
        <v>10</v>
      </c>
      <c r="D6732">
        <v>184</v>
      </c>
      <c r="E6732">
        <f>IF(OR(B6732="vi",B6732="ii",B6732="pod"),(((D6732/100)*(C6732*VLOOKUP(B6732,'Poids des runes'!A:B,2,FALSE)))+1),(((D6732/100)*(C6732*VLOOKUP(B6732,'Poids des runes'!A:B,2,FALSE)))+1)/VLOOKUP(B6732,'Poids des runes'!A:B,2,FALSE))</f>
        <v>18.600000000000001</v>
      </c>
      <c r="F6732">
        <f t="shared" si="105"/>
        <v>18.600000000000001</v>
      </c>
    </row>
    <row r="6733" spans="1:6" x14ac:dyDescent="0.3">
      <c r="A6733" t="s">
        <v>1271</v>
      </c>
      <c r="B6733" t="s">
        <v>2133</v>
      </c>
      <c r="C6733">
        <v>10</v>
      </c>
      <c r="D6733">
        <v>184</v>
      </c>
      <c r="E6733">
        <f>IF(OR(B6733="vi",B6733="ii",B6733="pod"),(((D6733/100)*(C6733*VLOOKUP(B6733,'Poids des runes'!A:B,2,FALSE)))+1),(((D6733/100)*(C6733*VLOOKUP(B6733,'Poids des runes'!A:B,2,FALSE)))+1)/VLOOKUP(B6733,'Poids des runes'!A:B,2,FALSE))</f>
        <v>18.600000000000001</v>
      </c>
      <c r="F6733">
        <f t="shared" si="105"/>
        <v>18.600000000000001</v>
      </c>
    </row>
    <row r="6734" spans="1:6" x14ac:dyDescent="0.3">
      <c r="A6734" t="s">
        <v>1271</v>
      </c>
      <c r="B6734" t="s">
        <v>2153</v>
      </c>
      <c r="C6734">
        <v>10</v>
      </c>
      <c r="D6734">
        <v>184</v>
      </c>
      <c r="E6734">
        <f>IF(OR(B6734="vi",B6734="ii",B6734="pod"),(((D6734/100)*(C6734*VLOOKUP(B6734,'Poids des runes'!A:B,2,FALSE)))+1),(((D6734/100)*(C6734*VLOOKUP(B6734,'Poids des runes'!A:B,2,FALSE)))+1)/VLOOKUP(B6734,'Poids des runes'!A:B,2,FALSE))</f>
        <v>18.600000000000001</v>
      </c>
      <c r="F6734">
        <f t="shared" si="105"/>
        <v>18.600000000000001</v>
      </c>
    </row>
    <row r="6735" spans="1:6" x14ac:dyDescent="0.3">
      <c r="A6735" t="s">
        <v>1271</v>
      </c>
      <c r="B6735" t="s">
        <v>2159</v>
      </c>
      <c r="C6735">
        <v>6</v>
      </c>
      <c r="D6735">
        <v>184</v>
      </c>
      <c r="E6735">
        <f>IF(OR(B6735="vi",B6735="ii",B6735="pod"),(((D6735/100)*(C6735*VLOOKUP(B6735,'Poids des runes'!A:B,2,FALSE)))+1),(((D6735/100)*(C6735*VLOOKUP(B6735,'Poids des runes'!A:B,2,FALSE)))+1)/VLOOKUP(B6735,'Poids des runes'!A:B,2,FALSE))</f>
        <v>11.182857142857143</v>
      </c>
      <c r="F6735">
        <f t="shared" si="105"/>
        <v>11.182857142857143</v>
      </c>
    </row>
    <row r="6736" spans="1:6" x14ac:dyDescent="0.3">
      <c r="A6736" t="s">
        <v>1271</v>
      </c>
      <c r="B6736" t="s">
        <v>2160</v>
      </c>
      <c r="C6736">
        <v>6</v>
      </c>
      <c r="D6736">
        <v>184</v>
      </c>
      <c r="E6736">
        <f>IF(OR(B6736="vi",B6736="ii",B6736="pod"),(((D6736/100)*(C6736*VLOOKUP(B6736,'Poids des runes'!A:B,2,FALSE)))+1),(((D6736/100)*(C6736*VLOOKUP(B6736,'Poids des runes'!A:B,2,FALSE)))+1)/VLOOKUP(B6736,'Poids des runes'!A:B,2,FALSE))</f>
        <v>11.182857142857143</v>
      </c>
      <c r="F6736">
        <f t="shared" si="105"/>
        <v>11.182857142857143</v>
      </c>
    </row>
    <row r="6737" spans="1:6" x14ac:dyDescent="0.3">
      <c r="A6737" t="s">
        <v>1271</v>
      </c>
      <c r="B6737" t="s">
        <v>2165</v>
      </c>
      <c r="C6737">
        <v>6</v>
      </c>
      <c r="D6737">
        <v>184</v>
      </c>
      <c r="E6737">
        <f>IF(OR(B6737="vi",B6737="ii",B6737="pod"),(((D6737/100)*(C6737*VLOOKUP(B6737,'Poids des runes'!A:B,2,FALSE)))+1),(((D6737/100)*(C6737*VLOOKUP(B6737,'Poids des runes'!A:B,2,FALSE)))+1)/VLOOKUP(B6737,'Poids des runes'!A:B,2,FALSE))</f>
        <v>11.182857142857143</v>
      </c>
      <c r="F6737">
        <f t="shared" si="105"/>
        <v>11.182857142857143</v>
      </c>
    </row>
    <row r="6738" spans="1:6" x14ac:dyDescent="0.3">
      <c r="A6738" t="s">
        <v>1271</v>
      </c>
      <c r="B6738" t="s">
        <v>2162</v>
      </c>
      <c r="C6738">
        <v>6</v>
      </c>
      <c r="D6738">
        <v>184</v>
      </c>
      <c r="E6738">
        <f>IF(OR(B6738="vi",B6738="ii",B6738="pod"),(((D6738/100)*(C6738*VLOOKUP(B6738,'Poids des runes'!A:B,2,FALSE)))+1),(((D6738/100)*(C6738*VLOOKUP(B6738,'Poids des runes'!A:B,2,FALSE)))+1)/VLOOKUP(B6738,'Poids des runes'!A:B,2,FALSE))</f>
        <v>11.182857142857143</v>
      </c>
      <c r="F6738">
        <f t="shared" si="105"/>
        <v>11.182857142857143</v>
      </c>
    </row>
    <row r="6739" spans="1:6" x14ac:dyDescent="0.3">
      <c r="A6739" t="s">
        <v>1271</v>
      </c>
      <c r="B6739" t="s">
        <v>2148</v>
      </c>
      <c r="C6739">
        <v>4.5</v>
      </c>
      <c r="D6739">
        <v>184</v>
      </c>
      <c r="E6739">
        <f>IF(OR(B6739="vi",B6739="ii",B6739="pod"),(((D6739/100)*(C6739*VLOOKUP(B6739,'Poids des runes'!A:B,2,FALSE)))+1),(((D6739/100)*(C6739*VLOOKUP(B6739,'Poids des runes'!A:B,2,FALSE)))+1)/VLOOKUP(B6739,'Poids des runes'!A:B,2,FALSE))</f>
        <v>8.4466666666666672</v>
      </c>
      <c r="F6739">
        <f t="shared" si="105"/>
        <v>8.4466666666666672</v>
      </c>
    </row>
    <row r="6740" spans="1:6" x14ac:dyDescent="0.3">
      <c r="A6740" t="s">
        <v>1271</v>
      </c>
      <c r="B6740" t="s">
        <v>2147</v>
      </c>
      <c r="C6740">
        <v>4.5</v>
      </c>
      <c r="D6740">
        <v>184</v>
      </c>
      <c r="E6740">
        <f>IF(OR(B6740="vi",B6740="ii",B6740="pod"),(((D6740/100)*(C6740*VLOOKUP(B6740,'Poids des runes'!A:B,2,FALSE)))+1),(((D6740/100)*(C6740*VLOOKUP(B6740,'Poids des runes'!A:B,2,FALSE)))+1)/VLOOKUP(B6740,'Poids des runes'!A:B,2,FALSE))</f>
        <v>8.4466666666666672</v>
      </c>
      <c r="F6740">
        <f t="shared" si="105"/>
        <v>8.4466666666666672</v>
      </c>
    </row>
    <row r="6741" spans="1:6" x14ac:dyDescent="0.3">
      <c r="A6741" t="s">
        <v>1271</v>
      </c>
      <c r="B6741" t="s">
        <v>2135</v>
      </c>
      <c r="C6741">
        <v>4.5</v>
      </c>
      <c r="D6741">
        <v>184</v>
      </c>
      <c r="E6741">
        <f>IF(OR(B6741="vi",B6741="ii",B6741="pod"),(((D6741/100)*(C6741*VLOOKUP(B6741,'Poids des runes'!A:B,2,FALSE)))+1),(((D6741/100)*(C6741*VLOOKUP(B6741,'Poids des runes'!A:B,2,FALSE)))+1)/VLOOKUP(B6741,'Poids des runes'!A:B,2,FALSE))</f>
        <v>8.4466666666666672</v>
      </c>
      <c r="F6741">
        <f t="shared" si="105"/>
        <v>8.4466666666666672</v>
      </c>
    </row>
    <row r="6742" spans="1:6" x14ac:dyDescent="0.3">
      <c r="A6742" t="s">
        <v>1271</v>
      </c>
      <c r="B6742" t="s">
        <v>2157</v>
      </c>
      <c r="C6742">
        <v>4.5</v>
      </c>
      <c r="D6742">
        <v>184</v>
      </c>
      <c r="E6742">
        <f>IF(OR(B6742="vi",B6742="ii",B6742="pod"),(((D6742/100)*(C6742*VLOOKUP(B6742,'Poids des runes'!A:B,2,FALSE)))+1),(((D6742/100)*(C6742*VLOOKUP(B6742,'Poids des runes'!A:B,2,FALSE)))+1)/VLOOKUP(B6742,'Poids des runes'!A:B,2,FALSE))</f>
        <v>8.4466666666666672</v>
      </c>
      <c r="F6742">
        <f t="shared" si="105"/>
        <v>8.4466666666666672</v>
      </c>
    </row>
    <row r="6743" spans="1:6" x14ac:dyDescent="0.3">
      <c r="A6743" t="s">
        <v>1272</v>
      </c>
      <c r="B6743" t="s">
        <v>2128</v>
      </c>
      <c r="C6743">
        <v>325.5</v>
      </c>
      <c r="D6743">
        <v>184</v>
      </c>
      <c r="E6743">
        <f>IF(OR(B6743="vi",B6743="ii",B6743="pod"),(((D6743/100)*(C6743*VLOOKUP(B6743,'Poids des runes'!A:B,2,FALSE)))+1),(((D6743/100)*(C6743*VLOOKUP(B6743,'Poids des runes'!A:B,2,FALSE)))+1)/VLOOKUP(B6743,'Poids des runes'!A:B,2,FALSE))</f>
        <v>120.78400000000002</v>
      </c>
      <c r="F6743">
        <f t="shared" si="105"/>
        <v>120.78400000000002</v>
      </c>
    </row>
    <row r="6744" spans="1:6" x14ac:dyDescent="0.3">
      <c r="A6744" t="s">
        <v>1272</v>
      </c>
      <c r="B6744" t="s">
        <v>2126</v>
      </c>
      <c r="C6744">
        <v>40.5</v>
      </c>
      <c r="D6744">
        <v>184</v>
      </c>
      <c r="E6744">
        <f>IF(OR(B6744="vi",B6744="ii",B6744="pod"),(((D6744/100)*(C6744*VLOOKUP(B6744,'Poids des runes'!A:B,2,FALSE)))+1),(((D6744/100)*(C6744*VLOOKUP(B6744,'Poids des runes'!A:B,2,FALSE)))+1)/VLOOKUP(B6744,'Poids des runes'!A:B,2,FALSE))</f>
        <v>75.52000000000001</v>
      </c>
      <c r="F6744">
        <f t="shared" si="105"/>
        <v>75.52000000000001</v>
      </c>
    </row>
    <row r="6745" spans="1:6" x14ac:dyDescent="0.3">
      <c r="A6745" t="s">
        <v>1272</v>
      </c>
      <c r="B6745" t="s">
        <v>2131</v>
      </c>
      <c r="C6745">
        <v>40.5</v>
      </c>
      <c r="D6745">
        <v>184</v>
      </c>
      <c r="E6745">
        <f>IF(OR(B6745="vi",B6745="ii",B6745="pod"),(((D6745/100)*(C6745*VLOOKUP(B6745,'Poids des runes'!A:B,2,FALSE)))+1),(((D6745/100)*(C6745*VLOOKUP(B6745,'Poids des runes'!A:B,2,FALSE)))+1)/VLOOKUP(B6745,'Poids des runes'!A:B,2,FALSE))</f>
        <v>75.52000000000001</v>
      </c>
      <c r="F6745">
        <f t="shared" si="105"/>
        <v>75.52000000000001</v>
      </c>
    </row>
    <row r="6746" spans="1:6" x14ac:dyDescent="0.3">
      <c r="A6746" t="s">
        <v>1272</v>
      </c>
      <c r="B6746" t="s">
        <v>2127</v>
      </c>
      <c r="C6746">
        <v>40.5</v>
      </c>
      <c r="D6746">
        <v>184</v>
      </c>
      <c r="E6746">
        <f>IF(OR(B6746="vi",B6746="ii",B6746="pod"),(((D6746/100)*(C6746*VLOOKUP(B6746,'Poids des runes'!A:B,2,FALSE)))+1),(((D6746/100)*(C6746*VLOOKUP(B6746,'Poids des runes'!A:B,2,FALSE)))+1)/VLOOKUP(B6746,'Poids des runes'!A:B,2,FALSE))</f>
        <v>75.52000000000001</v>
      </c>
      <c r="F6746">
        <f t="shared" si="105"/>
        <v>75.52000000000001</v>
      </c>
    </row>
    <row r="6747" spans="1:6" x14ac:dyDescent="0.3">
      <c r="A6747" t="s">
        <v>1272</v>
      </c>
      <c r="B6747" t="s">
        <v>2129</v>
      </c>
      <c r="C6747">
        <v>50.5</v>
      </c>
      <c r="D6747">
        <v>184</v>
      </c>
      <c r="E6747">
        <f>IF(OR(B6747="vi",B6747="ii",B6747="pod"),(((D6747/100)*(C6747*VLOOKUP(B6747,'Poids des runes'!A:B,2,FALSE)))+1),(((D6747/100)*(C6747*VLOOKUP(B6747,'Poids des runes'!A:B,2,FALSE)))+1)/VLOOKUP(B6747,'Poids des runes'!A:B,2,FALSE))</f>
        <v>93.92</v>
      </c>
      <c r="F6747">
        <f t="shared" si="105"/>
        <v>93.92</v>
      </c>
    </row>
    <row r="6748" spans="1:6" x14ac:dyDescent="0.3">
      <c r="A6748" t="s">
        <v>1272</v>
      </c>
      <c r="B6748" t="s">
        <v>2155</v>
      </c>
      <c r="C6748">
        <v>1</v>
      </c>
      <c r="D6748">
        <v>184</v>
      </c>
      <c r="E6748">
        <f>IF(OR(B6748="vi",B6748="ii",B6748="pod"),(((D6748/100)*(C6748*VLOOKUP(B6748,'Poids des runes'!A:B,2,FALSE)))+1),(((D6748/100)*(C6748*VLOOKUP(B6748,'Poids des runes'!A:B,2,FALSE)))+1)/VLOOKUP(B6748,'Poids des runes'!A:B,2,FALSE))</f>
        <v>1.8596078431372549</v>
      </c>
      <c r="F6748">
        <f t="shared" si="105"/>
        <v>1.8596078431372549</v>
      </c>
    </row>
    <row r="6749" spans="1:6" x14ac:dyDescent="0.3">
      <c r="A6749" t="s">
        <v>1272</v>
      </c>
      <c r="B6749" t="s">
        <v>2140</v>
      </c>
      <c r="C6749">
        <v>8.5</v>
      </c>
      <c r="D6749">
        <v>184</v>
      </c>
      <c r="E6749">
        <f>IF(OR(B6749="vi",B6749="ii",B6749="pod"),(((D6749/100)*(C6749*VLOOKUP(B6749,'Poids des runes'!A:B,2,FALSE)))+1),(((D6749/100)*(C6749*VLOOKUP(B6749,'Poids des runes'!A:B,2,FALSE)))+1)/VLOOKUP(B6749,'Poids des runes'!A:B,2,FALSE))</f>
        <v>15.84</v>
      </c>
      <c r="F6749">
        <f t="shared" si="105"/>
        <v>15.84</v>
      </c>
    </row>
    <row r="6750" spans="1:6" x14ac:dyDescent="0.3">
      <c r="A6750" t="s">
        <v>1272</v>
      </c>
      <c r="B6750" t="s">
        <v>2133</v>
      </c>
      <c r="C6750">
        <v>8.5</v>
      </c>
      <c r="D6750">
        <v>184</v>
      </c>
      <c r="E6750">
        <f>IF(OR(B6750="vi",B6750="ii",B6750="pod"),(((D6750/100)*(C6750*VLOOKUP(B6750,'Poids des runes'!A:B,2,FALSE)))+1),(((D6750/100)*(C6750*VLOOKUP(B6750,'Poids des runes'!A:B,2,FALSE)))+1)/VLOOKUP(B6750,'Poids des runes'!A:B,2,FALSE))</f>
        <v>15.84</v>
      </c>
      <c r="F6750">
        <f t="shared" si="105"/>
        <v>15.84</v>
      </c>
    </row>
    <row r="6751" spans="1:6" x14ac:dyDescent="0.3">
      <c r="A6751" t="s">
        <v>1272</v>
      </c>
      <c r="B6751" t="s">
        <v>2153</v>
      </c>
      <c r="C6751">
        <v>8.5</v>
      </c>
      <c r="D6751">
        <v>184</v>
      </c>
      <c r="E6751">
        <f>IF(OR(B6751="vi",B6751="ii",B6751="pod"),(((D6751/100)*(C6751*VLOOKUP(B6751,'Poids des runes'!A:B,2,FALSE)))+1),(((D6751/100)*(C6751*VLOOKUP(B6751,'Poids des runes'!A:B,2,FALSE)))+1)/VLOOKUP(B6751,'Poids des runes'!A:B,2,FALSE))</f>
        <v>15.84</v>
      </c>
      <c r="F6751">
        <f t="shared" si="105"/>
        <v>15.84</v>
      </c>
    </row>
    <row r="6752" spans="1:6" x14ac:dyDescent="0.3">
      <c r="A6752" t="s">
        <v>1272</v>
      </c>
      <c r="B6752" t="s">
        <v>2161</v>
      </c>
      <c r="C6752">
        <v>13</v>
      </c>
      <c r="D6752">
        <v>184</v>
      </c>
      <c r="E6752">
        <f>IF(OR(B6752="vi",B6752="ii",B6752="pod"),(((D6752/100)*(C6752*VLOOKUP(B6752,'Poids des runes'!A:B,2,FALSE)))+1),(((D6752/100)*(C6752*VLOOKUP(B6752,'Poids des runes'!A:B,2,FALSE)))+1)/VLOOKUP(B6752,'Poids des runes'!A:B,2,FALSE))</f>
        <v>24.253333333333334</v>
      </c>
      <c r="F6752">
        <f t="shared" si="105"/>
        <v>24.253333333333334</v>
      </c>
    </row>
    <row r="6753" spans="1:6" x14ac:dyDescent="0.3">
      <c r="A6753" t="s">
        <v>1272</v>
      </c>
      <c r="B6753" t="s">
        <v>2156</v>
      </c>
      <c r="C6753">
        <v>5</v>
      </c>
      <c r="D6753">
        <v>184</v>
      </c>
      <c r="E6753">
        <f>IF(OR(B6753="vi",B6753="ii",B6753="pod"),(((D6753/100)*(C6753*VLOOKUP(B6753,'Poids des runes'!A:B,2,FALSE)))+1),(((D6753/100)*(C6753*VLOOKUP(B6753,'Poids des runes'!A:B,2,FALSE)))+1)/VLOOKUP(B6753,'Poids des runes'!A:B,2,FALSE))</f>
        <v>9.3666666666666671</v>
      </c>
      <c r="F6753">
        <f t="shared" si="105"/>
        <v>9.3666666666666671</v>
      </c>
    </row>
    <row r="6754" spans="1:6" x14ac:dyDescent="0.3">
      <c r="A6754" t="s">
        <v>1272</v>
      </c>
      <c r="B6754" t="s">
        <v>2148</v>
      </c>
      <c r="C6754">
        <v>5</v>
      </c>
      <c r="D6754">
        <v>184</v>
      </c>
      <c r="E6754">
        <f>IF(OR(B6754="vi",B6754="ii",B6754="pod"),(((D6754/100)*(C6754*VLOOKUP(B6754,'Poids des runes'!A:B,2,FALSE)))+1),(((D6754/100)*(C6754*VLOOKUP(B6754,'Poids des runes'!A:B,2,FALSE)))+1)/VLOOKUP(B6754,'Poids des runes'!A:B,2,FALSE))</f>
        <v>9.3666666666666671</v>
      </c>
      <c r="F6754">
        <f t="shared" si="105"/>
        <v>9.3666666666666671</v>
      </c>
    </row>
    <row r="6755" spans="1:6" x14ac:dyDescent="0.3">
      <c r="A6755" t="s">
        <v>1273</v>
      </c>
      <c r="B6755" t="s">
        <v>2128</v>
      </c>
      <c r="C6755">
        <v>225.5</v>
      </c>
      <c r="D6755">
        <v>184</v>
      </c>
      <c r="E6755">
        <f>IF(OR(B6755="vi",B6755="ii",B6755="pod"),(((D6755/100)*(C6755*VLOOKUP(B6755,'Poids des runes'!A:B,2,FALSE)))+1),(((D6755/100)*(C6755*VLOOKUP(B6755,'Poids des runes'!A:B,2,FALSE)))+1)/VLOOKUP(B6755,'Poids des runes'!A:B,2,FALSE))</f>
        <v>83.984000000000009</v>
      </c>
      <c r="F6755">
        <f t="shared" si="105"/>
        <v>83.984000000000009</v>
      </c>
    </row>
    <row r="6756" spans="1:6" x14ac:dyDescent="0.3">
      <c r="A6756" t="s">
        <v>1273</v>
      </c>
      <c r="B6756" t="s">
        <v>2130</v>
      </c>
      <c r="C6756">
        <v>40.5</v>
      </c>
      <c r="D6756">
        <v>184</v>
      </c>
      <c r="E6756">
        <f>IF(OR(B6756="vi",B6756="ii",B6756="pod"),(((D6756/100)*(C6756*VLOOKUP(B6756,'Poids des runes'!A:B,2,FALSE)))+1),(((D6756/100)*(C6756*VLOOKUP(B6756,'Poids des runes'!A:B,2,FALSE)))+1)/VLOOKUP(B6756,'Poids des runes'!A:B,2,FALSE))</f>
        <v>75.52000000000001</v>
      </c>
      <c r="F6756">
        <f t="shared" si="105"/>
        <v>75.52000000000001</v>
      </c>
    </row>
    <row r="6757" spans="1:6" x14ac:dyDescent="0.3">
      <c r="A6757" t="s">
        <v>1273</v>
      </c>
      <c r="B6757" t="s">
        <v>2127</v>
      </c>
      <c r="C6757">
        <v>40.5</v>
      </c>
      <c r="D6757">
        <v>184</v>
      </c>
      <c r="E6757">
        <f>IF(OR(B6757="vi",B6757="ii",B6757="pod"),(((D6757/100)*(C6757*VLOOKUP(B6757,'Poids des runes'!A:B,2,FALSE)))+1),(((D6757/100)*(C6757*VLOOKUP(B6757,'Poids des runes'!A:B,2,FALSE)))+1)/VLOOKUP(B6757,'Poids des runes'!A:B,2,FALSE))</f>
        <v>75.52000000000001</v>
      </c>
      <c r="F6757">
        <f t="shared" si="105"/>
        <v>75.52000000000001</v>
      </c>
    </row>
    <row r="6758" spans="1:6" x14ac:dyDescent="0.3">
      <c r="A6758" t="s">
        <v>1273</v>
      </c>
      <c r="B6758" t="s">
        <v>2129</v>
      </c>
      <c r="C6758">
        <v>35.5</v>
      </c>
      <c r="D6758">
        <v>184</v>
      </c>
      <c r="E6758">
        <f>IF(OR(B6758="vi",B6758="ii",B6758="pod"),(((D6758/100)*(C6758*VLOOKUP(B6758,'Poids des runes'!A:B,2,FALSE)))+1),(((D6758/100)*(C6758*VLOOKUP(B6758,'Poids des runes'!A:B,2,FALSE)))+1)/VLOOKUP(B6758,'Poids des runes'!A:B,2,FALSE))</f>
        <v>66.320000000000007</v>
      </c>
      <c r="F6758">
        <f t="shared" si="105"/>
        <v>66.320000000000007</v>
      </c>
    </row>
    <row r="6759" spans="1:6" x14ac:dyDescent="0.3">
      <c r="A6759" t="s">
        <v>1273</v>
      </c>
      <c r="B6759" t="s">
        <v>2151</v>
      </c>
      <c r="C6759">
        <v>1.5</v>
      </c>
      <c r="D6759">
        <v>184</v>
      </c>
      <c r="E6759">
        <f>IF(OR(B6759="vi",B6759="ii",B6759="pod"),(((D6759/100)*(C6759*VLOOKUP(B6759,'Poids des runes'!A:B,2,FALSE)))+1),(((D6759/100)*(C6759*VLOOKUP(B6759,'Poids des runes'!A:B,2,FALSE)))+1)/VLOOKUP(B6759,'Poids des runes'!A:B,2,FALSE))</f>
        <v>2.8600000000000003</v>
      </c>
      <c r="F6759">
        <f t="shared" si="105"/>
        <v>2.8600000000000003</v>
      </c>
    </row>
    <row r="6760" spans="1:6" x14ac:dyDescent="0.3">
      <c r="A6760" t="s">
        <v>1273</v>
      </c>
      <c r="B6760" t="s">
        <v>2152</v>
      </c>
      <c r="C6760">
        <v>1</v>
      </c>
      <c r="D6760">
        <v>184</v>
      </c>
      <c r="E6760">
        <f>IF(OR(B6760="vi",B6760="ii",B6760="pod"),(((D6760/100)*(C6760*VLOOKUP(B6760,'Poids des runes'!A:B,2,FALSE)))+1),(((D6760/100)*(C6760*VLOOKUP(B6760,'Poids des runes'!A:B,2,FALSE)))+1)/VLOOKUP(B6760,'Poids des runes'!A:B,2,FALSE))</f>
        <v>1.85</v>
      </c>
      <c r="F6760">
        <f t="shared" si="105"/>
        <v>1.85</v>
      </c>
    </row>
    <row r="6761" spans="1:6" x14ac:dyDescent="0.3">
      <c r="A6761" t="s">
        <v>1273</v>
      </c>
      <c r="B6761" t="s">
        <v>2134</v>
      </c>
      <c r="C6761">
        <v>8</v>
      </c>
      <c r="D6761">
        <v>184</v>
      </c>
      <c r="E6761">
        <f>IF(OR(B6761="vi",B6761="ii",B6761="pod"),(((D6761/100)*(C6761*VLOOKUP(B6761,'Poids des runes'!A:B,2,FALSE)))+1),(((D6761/100)*(C6761*VLOOKUP(B6761,'Poids des runes'!A:B,2,FALSE)))+1)/VLOOKUP(B6761,'Poids des runes'!A:B,2,FALSE))</f>
        <v>14.770000000000001</v>
      </c>
      <c r="F6761">
        <f t="shared" si="105"/>
        <v>14.770000000000001</v>
      </c>
    </row>
    <row r="6762" spans="1:6" x14ac:dyDescent="0.3">
      <c r="A6762" t="s">
        <v>1273</v>
      </c>
      <c r="B6762" t="s">
        <v>2161</v>
      </c>
      <c r="C6762">
        <v>15.5</v>
      </c>
      <c r="D6762">
        <v>184</v>
      </c>
      <c r="E6762">
        <f>IF(OR(B6762="vi",B6762="ii",B6762="pod"),(((D6762/100)*(C6762*VLOOKUP(B6762,'Poids des runes'!A:B,2,FALSE)))+1),(((D6762/100)*(C6762*VLOOKUP(B6762,'Poids des runes'!A:B,2,FALSE)))+1)/VLOOKUP(B6762,'Poids des runes'!A:B,2,FALSE))</f>
        <v>28.853333333333335</v>
      </c>
      <c r="F6762">
        <f t="shared" si="105"/>
        <v>28.853333333333335</v>
      </c>
    </row>
    <row r="6763" spans="1:6" x14ac:dyDescent="0.3">
      <c r="A6763" t="s">
        <v>1273</v>
      </c>
      <c r="B6763" t="s">
        <v>2132</v>
      </c>
      <c r="C6763">
        <v>350.5</v>
      </c>
      <c r="D6763">
        <v>184</v>
      </c>
      <c r="E6763">
        <f>IF(OR(B6763="vi",B6763="ii",B6763="pod"),(((D6763/100)*(C6763*VLOOKUP(B6763,'Poids des runes'!A:B,2,FALSE)))+1),(((D6763/100)*(C6763*VLOOKUP(B6763,'Poids des runes'!A:B,2,FALSE)))+1)/VLOOKUP(B6763,'Poids des runes'!A:B,2,FALSE))</f>
        <v>65.492000000000004</v>
      </c>
      <c r="F6763">
        <f t="shared" si="105"/>
        <v>65.492000000000004</v>
      </c>
    </row>
    <row r="6764" spans="1:6" x14ac:dyDescent="0.3">
      <c r="A6764" t="s">
        <v>1273</v>
      </c>
      <c r="B6764" t="s">
        <v>2162</v>
      </c>
      <c r="C6764">
        <v>4.5</v>
      </c>
      <c r="D6764">
        <v>184</v>
      </c>
      <c r="E6764">
        <f>IF(OR(B6764="vi",B6764="ii",B6764="pod"),(((D6764/100)*(C6764*VLOOKUP(B6764,'Poids des runes'!A:B,2,FALSE)))+1),(((D6764/100)*(C6764*VLOOKUP(B6764,'Poids des runes'!A:B,2,FALSE)))+1)/VLOOKUP(B6764,'Poids des runes'!A:B,2,FALSE))</f>
        <v>8.4228571428571435</v>
      </c>
      <c r="F6764">
        <f t="shared" si="105"/>
        <v>8.4228571428571435</v>
      </c>
    </row>
    <row r="6765" spans="1:6" x14ac:dyDescent="0.3">
      <c r="A6765" t="s">
        <v>1273</v>
      </c>
      <c r="B6765" t="s">
        <v>2135</v>
      </c>
      <c r="C6765">
        <v>6</v>
      </c>
      <c r="D6765">
        <v>184</v>
      </c>
      <c r="E6765">
        <f>IF(OR(B6765="vi",B6765="ii",B6765="pod"),(((D6765/100)*(C6765*VLOOKUP(B6765,'Poids des runes'!A:B,2,FALSE)))+1),(((D6765/100)*(C6765*VLOOKUP(B6765,'Poids des runes'!A:B,2,FALSE)))+1)/VLOOKUP(B6765,'Poids des runes'!A:B,2,FALSE))</f>
        <v>11.206666666666669</v>
      </c>
      <c r="F6765">
        <f t="shared" si="105"/>
        <v>11.206666666666669</v>
      </c>
    </row>
    <row r="6766" spans="1:6" x14ac:dyDescent="0.3">
      <c r="A6766" t="s">
        <v>1273</v>
      </c>
      <c r="B6766" t="s">
        <v>2144</v>
      </c>
      <c r="C6766">
        <v>8</v>
      </c>
      <c r="D6766">
        <v>184</v>
      </c>
      <c r="E6766">
        <f>IF(OR(B6766="vi",B6766="ii",B6766="pod"),(((D6766/100)*(C6766*VLOOKUP(B6766,'Poids des runes'!A:B,2,FALSE)))+1),(((D6766/100)*(C6766*VLOOKUP(B6766,'Poids des runes'!A:B,2,FALSE)))+1)/VLOOKUP(B6766,'Poids des runes'!A:B,2,FALSE))</f>
        <v>15.22</v>
      </c>
      <c r="F6766">
        <f t="shared" si="105"/>
        <v>15.22</v>
      </c>
    </row>
    <row r="6767" spans="1:6" x14ac:dyDescent="0.3">
      <c r="A6767" t="s">
        <v>1273</v>
      </c>
      <c r="B6767" t="s">
        <v>2145</v>
      </c>
      <c r="C6767">
        <v>8</v>
      </c>
      <c r="D6767">
        <v>184</v>
      </c>
      <c r="E6767">
        <f>IF(OR(B6767="vi",B6767="ii",B6767="pod"),(((D6767/100)*(C6767*VLOOKUP(B6767,'Poids des runes'!A:B,2,FALSE)))+1),(((D6767/100)*(C6767*VLOOKUP(B6767,'Poids des runes'!A:B,2,FALSE)))+1)/VLOOKUP(B6767,'Poids des runes'!A:B,2,FALSE))</f>
        <v>15.22</v>
      </c>
      <c r="F6767">
        <f t="shared" si="105"/>
        <v>15.22</v>
      </c>
    </row>
    <row r="6768" spans="1:6" x14ac:dyDescent="0.3">
      <c r="A6768" t="s">
        <v>1274</v>
      </c>
      <c r="B6768" t="s">
        <v>2128</v>
      </c>
      <c r="C6768">
        <v>225.5</v>
      </c>
      <c r="D6768">
        <v>184</v>
      </c>
      <c r="E6768">
        <f>IF(OR(B6768="vi",B6768="ii",B6768="pod"),(((D6768/100)*(C6768*VLOOKUP(B6768,'Poids des runes'!A:B,2,FALSE)))+1),(((D6768/100)*(C6768*VLOOKUP(B6768,'Poids des runes'!A:B,2,FALSE)))+1)/VLOOKUP(B6768,'Poids des runes'!A:B,2,FALSE))</f>
        <v>83.984000000000009</v>
      </c>
      <c r="F6768">
        <f t="shared" si="105"/>
        <v>83.984000000000009</v>
      </c>
    </row>
    <row r="6769" spans="1:6" x14ac:dyDescent="0.3">
      <c r="A6769" t="s">
        <v>1274</v>
      </c>
      <c r="B6769" t="s">
        <v>2131</v>
      </c>
      <c r="C6769">
        <v>40.5</v>
      </c>
      <c r="D6769">
        <v>184</v>
      </c>
      <c r="E6769">
        <f>IF(OR(B6769="vi",B6769="ii",B6769="pod"),(((D6769/100)*(C6769*VLOOKUP(B6769,'Poids des runes'!A:B,2,FALSE)))+1),(((D6769/100)*(C6769*VLOOKUP(B6769,'Poids des runes'!A:B,2,FALSE)))+1)/VLOOKUP(B6769,'Poids des runes'!A:B,2,FALSE))</f>
        <v>75.52000000000001</v>
      </c>
      <c r="F6769">
        <f t="shared" si="105"/>
        <v>75.52000000000001</v>
      </c>
    </row>
    <row r="6770" spans="1:6" x14ac:dyDescent="0.3">
      <c r="A6770" t="s">
        <v>1274</v>
      </c>
      <c r="B6770" t="s">
        <v>2127</v>
      </c>
      <c r="C6770">
        <v>40.5</v>
      </c>
      <c r="D6770">
        <v>184</v>
      </c>
      <c r="E6770">
        <f>IF(OR(B6770="vi",B6770="ii",B6770="pod"),(((D6770/100)*(C6770*VLOOKUP(B6770,'Poids des runes'!A:B,2,FALSE)))+1),(((D6770/100)*(C6770*VLOOKUP(B6770,'Poids des runes'!A:B,2,FALSE)))+1)/VLOOKUP(B6770,'Poids des runes'!A:B,2,FALSE))</f>
        <v>75.52000000000001</v>
      </c>
      <c r="F6770">
        <f t="shared" si="105"/>
        <v>75.52000000000001</v>
      </c>
    </row>
    <row r="6771" spans="1:6" x14ac:dyDescent="0.3">
      <c r="A6771" t="s">
        <v>1274</v>
      </c>
      <c r="B6771" t="s">
        <v>2129</v>
      </c>
      <c r="C6771">
        <v>35.5</v>
      </c>
      <c r="D6771">
        <v>184</v>
      </c>
      <c r="E6771">
        <f>IF(OR(B6771="vi",B6771="ii",B6771="pod"),(((D6771/100)*(C6771*VLOOKUP(B6771,'Poids des runes'!A:B,2,FALSE)))+1),(((D6771/100)*(C6771*VLOOKUP(B6771,'Poids des runes'!A:B,2,FALSE)))+1)/VLOOKUP(B6771,'Poids des runes'!A:B,2,FALSE))</f>
        <v>66.320000000000007</v>
      </c>
      <c r="F6771">
        <f t="shared" si="105"/>
        <v>66.320000000000007</v>
      </c>
    </row>
    <row r="6772" spans="1:6" x14ac:dyDescent="0.3">
      <c r="A6772" t="s">
        <v>1274</v>
      </c>
      <c r="B6772" t="s">
        <v>2152</v>
      </c>
      <c r="C6772">
        <v>1</v>
      </c>
      <c r="D6772">
        <v>184</v>
      </c>
      <c r="E6772">
        <f>IF(OR(B6772="vi",B6772="ii",B6772="pod"),(((D6772/100)*(C6772*VLOOKUP(B6772,'Poids des runes'!A:B,2,FALSE)))+1),(((D6772/100)*(C6772*VLOOKUP(B6772,'Poids des runes'!A:B,2,FALSE)))+1)/VLOOKUP(B6772,'Poids des runes'!A:B,2,FALSE))</f>
        <v>1.85</v>
      </c>
      <c r="F6772">
        <f t="shared" si="105"/>
        <v>1.85</v>
      </c>
    </row>
    <row r="6773" spans="1:6" x14ac:dyDescent="0.3">
      <c r="A6773" t="s">
        <v>1274</v>
      </c>
      <c r="B6773" t="s">
        <v>2155</v>
      </c>
      <c r="C6773">
        <v>1</v>
      </c>
      <c r="D6773">
        <v>184</v>
      </c>
      <c r="E6773">
        <f>IF(OR(B6773="vi",B6773="ii",B6773="pod"),(((D6773/100)*(C6773*VLOOKUP(B6773,'Poids des runes'!A:B,2,FALSE)))+1),(((D6773/100)*(C6773*VLOOKUP(B6773,'Poids des runes'!A:B,2,FALSE)))+1)/VLOOKUP(B6773,'Poids des runes'!A:B,2,FALSE))</f>
        <v>1.8596078431372549</v>
      </c>
      <c r="F6773">
        <f t="shared" si="105"/>
        <v>1.8596078431372549</v>
      </c>
    </row>
    <row r="6774" spans="1:6" x14ac:dyDescent="0.3">
      <c r="A6774" t="s">
        <v>1274</v>
      </c>
      <c r="B6774" t="s">
        <v>2133</v>
      </c>
      <c r="C6774">
        <v>10</v>
      </c>
      <c r="D6774">
        <v>184</v>
      </c>
      <c r="E6774">
        <f>IF(OR(B6774="vi",B6774="ii",B6774="pod"),(((D6774/100)*(C6774*VLOOKUP(B6774,'Poids des runes'!A:B,2,FALSE)))+1),(((D6774/100)*(C6774*VLOOKUP(B6774,'Poids des runes'!A:B,2,FALSE)))+1)/VLOOKUP(B6774,'Poids des runes'!A:B,2,FALSE))</f>
        <v>18.600000000000001</v>
      </c>
      <c r="F6774">
        <f t="shared" si="105"/>
        <v>18.600000000000001</v>
      </c>
    </row>
    <row r="6775" spans="1:6" x14ac:dyDescent="0.3">
      <c r="A6775" t="s">
        <v>1274</v>
      </c>
      <c r="B6775" t="s">
        <v>2153</v>
      </c>
      <c r="C6775">
        <v>10</v>
      </c>
      <c r="D6775">
        <v>184</v>
      </c>
      <c r="E6775">
        <f>IF(OR(B6775="vi",B6775="ii",B6775="pod"),(((D6775/100)*(C6775*VLOOKUP(B6775,'Poids des runes'!A:B,2,FALSE)))+1),(((D6775/100)*(C6775*VLOOKUP(B6775,'Poids des runes'!A:B,2,FALSE)))+1)/VLOOKUP(B6775,'Poids des runes'!A:B,2,FALSE))</f>
        <v>18.600000000000001</v>
      </c>
      <c r="F6775">
        <f t="shared" si="105"/>
        <v>18.600000000000001</v>
      </c>
    </row>
    <row r="6776" spans="1:6" x14ac:dyDescent="0.3">
      <c r="A6776" t="s">
        <v>1274</v>
      </c>
      <c r="B6776" t="s">
        <v>2161</v>
      </c>
      <c r="C6776">
        <v>13</v>
      </c>
      <c r="D6776">
        <v>184</v>
      </c>
      <c r="E6776">
        <f>IF(OR(B6776="vi",B6776="ii",B6776="pod"),(((D6776/100)*(C6776*VLOOKUP(B6776,'Poids des runes'!A:B,2,FALSE)))+1),(((D6776/100)*(C6776*VLOOKUP(B6776,'Poids des runes'!A:B,2,FALSE)))+1)/VLOOKUP(B6776,'Poids des runes'!A:B,2,FALSE))</f>
        <v>24.253333333333334</v>
      </c>
      <c r="F6776">
        <f t="shared" si="105"/>
        <v>24.253333333333334</v>
      </c>
    </row>
    <row r="6777" spans="1:6" x14ac:dyDescent="0.3">
      <c r="A6777" t="s">
        <v>1274</v>
      </c>
      <c r="B6777" t="s">
        <v>2159</v>
      </c>
      <c r="C6777">
        <v>4.5</v>
      </c>
      <c r="D6777">
        <v>184</v>
      </c>
      <c r="E6777">
        <f>IF(OR(B6777="vi",B6777="ii",B6777="pod"),(((D6777/100)*(C6777*VLOOKUP(B6777,'Poids des runes'!A:B,2,FALSE)))+1),(((D6777/100)*(C6777*VLOOKUP(B6777,'Poids des runes'!A:B,2,FALSE)))+1)/VLOOKUP(B6777,'Poids des runes'!A:B,2,FALSE))</f>
        <v>8.4228571428571435</v>
      </c>
      <c r="F6777">
        <f t="shared" si="105"/>
        <v>8.4228571428571435</v>
      </c>
    </row>
    <row r="6778" spans="1:6" x14ac:dyDescent="0.3">
      <c r="A6778" t="s">
        <v>1274</v>
      </c>
      <c r="B6778" t="s">
        <v>2163</v>
      </c>
      <c r="C6778">
        <v>8.5</v>
      </c>
      <c r="D6778">
        <v>184</v>
      </c>
      <c r="E6778">
        <f>IF(OR(B6778="vi",B6778="ii",B6778="pod"),(((D6778/100)*(C6778*VLOOKUP(B6778,'Poids des runes'!A:B,2,FALSE)))+1),(((D6778/100)*(C6778*VLOOKUP(B6778,'Poids des runes'!A:B,2,FALSE)))+1)/VLOOKUP(B6778,'Poids des runes'!A:B,2,FALSE))</f>
        <v>16.14</v>
      </c>
      <c r="F6778">
        <f t="shared" si="105"/>
        <v>16.14</v>
      </c>
    </row>
    <row r="6779" spans="1:6" x14ac:dyDescent="0.3">
      <c r="A6779" t="s">
        <v>1274</v>
      </c>
      <c r="B6779" t="s">
        <v>2147</v>
      </c>
      <c r="C6779">
        <v>4</v>
      </c>
      <c r="D6779">
        <v>184</v>
      </c>
      <c r="E6779">
        <f>IF(OR(B6779="vi",B6779="ii",B6779="pod"),(((D6779/100)*(C6779*VLOOKUP(B6779,'Poids des runes'!A:B,2,FALSE)))+1),(((D6779/100)*(C6779*VLOOKUP(B6779,'Poids des runes'!A:B,2,FALSE)))+1)/VLOOKUP(B6779,'Poids des runes'!A:B,2,FALSE))</f>
        <v>7.5266666666666673</v>
      </c>
      <c r="F6779">
        <f t="shared" si="105"/>
        <v>7.5266666666666673</v>
      </c>
    </row>
    <row r="6780" spans="1:6" x14ac:dyDescent="0.3">
      <c r="A6780" t="s">
        <v>1274</v>
      </c>
      <c r="B6780" t="s">
        <v>2136</v>
      </c>
      <c r="C6780">
        <v>8.5</v>
      </c>
      <c r="D6780">
        <v>184</v>
      </c>
      <c r="E6780">
        <f>IF(OR(B6780="vi",B6780="ii",B6780="pod"),(((D6780/100)*(C6780*VLOOKUP(B6780,'Poids des runes'!A:B,2,FALSE)))+1),(((D6780/100)*(C6780*VLOOKUP(B6780,'Poids des runes'!A:B,2,FALSE)))+1)/VLOOKUP(B6780,'Poids des runes'!A:B,2,FALSE))</f>
        <v>16.14</v>
      </c>
      <c r="F6780">
        <f t="shared" si="105"/>
        <v>16.14</v>
      </c>
    </row>
    <row r="6781" spans="1:6" x14ac:dyDescent="0.3">
      <c r="A6781" t="s">
        <v>1274</v>
      </c>
      <c r="B6781" t="s">
        <v>2137</v>
      </c>
      <c r="C6781">
        <v>8.5</v>
      </c>
      <c r="D6781">
        <v>184</v>
      </c>
      <c r="E6781">
        <f>IF(OR(B6781="vi",B6781="ii",B6781="pod"),(((D6781/100)*(C6781*VLOOKUP(B6781,'Poids des runes'!A:B,2,FALSE)))+1),(((D6781/100)*(C6781*VLOOKUP(B6781,'Poids des runes'!A:B,2,FALSE)))+1)/VLOOKUP(B6781,'Poids des runes'!A:B,2,FALSE))</f>
        <v>16.14</v>
      </c>
      <c r="F6781">
        <f t="shared" si="105"/>
        <v>16.14</v>
      </c>
    </row>
    <row r="6782" spans="1:6" x14ac:dyDescent="0.3">
      <c r="A6782" t="s">
        <v>1275</v>
      </c>
      <c r="B6782" t="s">
        <v>2128</v>
      </c>
      <c r="C6782">
        <v>225.5</v>
      </c>
      <c r="D6782">
        <v>184</v>
      </c>
      <c r="E6782">
        <f>IF(OR(B6782="vi",B6782="ii",B6782="pod"),(((D6782/100)*(C6782*VLOOKUP(B6782,'Poids des runes'!A:B,2,FALSE)))+1),(((D6782/100)*(C6782*VLOOKUP(B6782,'Poids des runes'!A:B,2,FALSE)))+1)/VLOOKUP(B6782,'Poids des runes'!A:B,2,FALSE))</f>
        <v>83.984000000000009</v>
      </c>
      <c r="F6782">
        <f t="shared" si="105"/>
        <v>83.984000000000009</v>
      </c>
    </row>
    <row r="6783" spans="1:6" x14ac:dyDescent="0.3">
      <c r="A6783" t="s">
        <v>1275</v>
      </c>
      <c r="B6783" t="s">
        <v>2126</v>
      </c>
      <c r="C6783">
        <v>40.5</v>
      </c>
      <c r="D6783">
        <v>184</v>
      </c>
      <c r="E6783">
        <f>IF(OR(B6783="vi",B6783="ii",B6783="pod"),(((D6783/100)*(C6783*VLOOKUP(B6783,'Poids des runes'!A:B,2,FALSE)))+1),(((D6783/100)*(C6783*VLOOKUP(B6783,'Poids des runes'!A:B,2,FALSE)))+1)/VLOOKUP(B6783,'Poids des runes'!A:B,2,FALSE))</f>
        <v>75.52000000000001</v>
      </c>
      <c r="F6783">
        <f t="shared" si="105"/>
        <v>75.52000000000001</v>
      </c>
    </row>
    <row r="6784" spans="1:6" x14ac:dyDescent="0.3">
      <c r="A6784" t="s">
        <v>1275</v>
      </c>
      <c r="B6784" t="s">
        <v>2131</v>
      </c>
      <c r="C6784">
        <v>40.5</v>
      </c>
      <c r="D6784">
        <v>184</v>
      </c>
      <c r="E6784">
        <f>IF(OR(B6784="vi",B6784="ii",B6784="pod"),(((D6784/100)*(C6784*VLOOKUP(B6784,'Poids des runes'!A:B,2,FALSE)))+1),(((D6784/100)*(C6784*VLOOKUP(B6784,'Poids des runes'!A:B,2,FALSE)))+1)/VLOOKUP(B6784,'Poids des runes'!A:B,2,FALSE))</f>
        <v>75.52000000000001</v>
      </c>
      <c r="F6784">
        <f t="shared" si="105"/>
        <v>75.52000000000001</v>
      </c>
    </row>
    <row r="6785" spans="1:6" x14ac:dyDescent="0.3">
      <c r="A6785" t="s">
        <v>1275</v>
      </c>
      <c r="B6785" t="s">
        <v>2129</v>
      </c>
      <c r="C6785">
        <v>25.5</v>
      </c>
      <c r="D6785">
        <v>184</v>
      </c>
      <c r="E6785">
        <f>IF(OR(B6785="vi",B6785="ii",B6785="pod"),(((D6785/100)*(C6785*VLOOKUP(B6785,'Poids des runes'!A:B,2,FALSE)))+1),(((D6785/100)*(C6785*VLOOKUP(B6785,'Poids des runes'!A:B,2,FALSE)))+1)/VLOOKUP(B6785,'Poids des runes'!A:B,2,FALSE))</f>
        <v>47.92</v>
      </c>
      <c r="F6785">
        <f t="shared" si="105"/>
        <v>47.92</v>
      </c>
    </row>
    <row r="6786" spans="1:6" x14ac:dyDescent="0.3">
      <c r="A6786" t="s">
        <v>1275</v>
      </c>
      <c r="B6786" t="s">
        <v>2154</v>
      </c>
      <c r="C6786">
        <v>1</v>
      </c>
      <c r="D6786">
        <v>184</v>
      </c>
      <c r="E6786">
        <f>IF(OR(B6786="vi",B6786="ii",B6786="pod"),(((D6786/100)*(C6786*VLOOKUP(B6786,'Poids des runes'!A:B,2,FALSE)))+1),(((D6786/100)*(C6786*VLOOKUP(B6786,'Poids des runes'!A:B,2,FALSE)))+1)/VLOOKUP(B6786,'Poids des runes'!A:B,2,FALSE))</f>
        <v>1.8511111111111112</v>
      </c>
      <c r="F6786">
        <f t="shared" si="105"/>
        <v>1.8511111111111112</v>
      </c>
    </row>
    <row r="6787" spans="1:6" x14ac:dyDescent="0.3">
      <c r="A6787" t="s">
        <v>1275</v>
      </c>
      <c r="B6787" t="s">
        <v>2150</v>
      </c>
      <c r="C6787">
        <v>2</v>
      </c>
      <c r="D6787">
        <v>184</v>
      </c>
      <c r="E6787">
        <f>IF(OR(B6787="vi",B6787="ii",B6787="pod"),(((D6787/100)*(C6787*VLOOKUP(B6787,'Poids des runes'!A:B,2,FALSE)))+1),(((D6787/100)*(C6787*VLOOKUP(B6787,'Poids des runes'!A:B,2,FALSE)))+1)/VLOOKUP(B6787,'Poids des runes'!A:B,2,FALSE))</f>
        <v>3.7133333333333334</v>
      </c>
      <c r="F6787">
        <f t="shared" ref="F6787:F6850" si="106">E6787</f>
        <v>3.7133333333333334</v>
      </c>
    </row>
    <row r="6788" spans="1:6" x14ac:dyDescent="0.3">
      <c r="A6788" t="s">
        <v>1275</v>
      </c>
      <c r="B6788" t="s">
        <v>2134</v>
      </c>
      <c r="C6788">
        <v>8</v>
      </c>
      <c r="D6788">
        <v>184</v>
      </c>
      <c r="E6788">
        <f>IF(OR(B6788="vi",B6788="ii",B6788="pod"),(((D6788/100)*(C6788*VLOOKUP(B6788,'Poids des runes'!A:B,2,FALSE)))+1),(((D6788/100)*(C6788*VLOOKUP(B6788,'Poids des runes'!A:B,2,FALSE)))+1)/VLOOKUP(B6788,'Poids des runes'!A:B,2,FALSE))</f>
        <v>14.770000000000001</v>
      </c>
      <c r="F6788">
        <f t="shared" si="106"/>
        <v>14.770000000000001</v>
      </c>
    </row>
    <row r="6789" spans="1:6" x14ac:dyDescent="0.3">
      <c r="A6789" t="s">
        <v>1275</v>
      </c>
      <c r="B6789" t="s">
        <v>2149</v>
      </c>
      <c r="C6789">
        <v>8</v>
      </c>
      <c r="D6789">
        <v>184</v>
      </c>
      <c r="E6789">
        <f>IF(OR(B6789="vi",B6789="ii",B6789="pod"),(((D6789/100)*(C6789*VLOOKUP(B6789,'Poids des runes'!A:B,2,FALSE)))+1),(((D6789/100)*(C6789*VLOOKUP(B6789,'Poids des runes'!A:B,2,FALSE)))+1)/VLOOKUP(B6789,'Poids des runes'!A:B,2,FALSE))</f>
        <v>14.820000000000002</v>
      </c>
      <c r="F6789">
        <f t="shared" si="106"/>
        <v>14.820000000000002</v>
      </c>
    </row>
    <row r="6790" spans="1:6" x14ac:dyDescent="0.3">
      <c r="A6790" t="s">
        <v>1275</v>
      </c>
      <c r="B6790" t="s">
        <v>2161</v>
      </c>
      <c r="C6790">
        <v>8</v>
      </c>
      <c r="D6790">
        <v>184</v>
      </c>
      <c r="E6790">
        <f>IF(OR(B6790="vi",B6790="ii",B6790="pod"),(((D6790/100)*(C6790*VLOOKUP(B6790,'Poids des runes'!A:B,2,FALSE)))+1),(((D6790/100)*(C6790*VLOOKUP(B6790,'Poids des runes'!A:B,2,FALSE)))+1)/VLOOKUP(B6790,'Poids des runes'!A:B,2,FALSE))</f>
        <v>15.053333333333335</v>
      </c>
      <c r="F6790">
        <f t="shared" si="106"/>
        <v>15.053333333333335</v>
      </c>
    </row>
    <row r="6791" spans="1:6" x14ac:dyDescent="0.3">
      <c r="A6791" t="s">
        <v>1275</v>
      </c>
      <c r="B6791" t="s">
        <v>2156</v>
      </c>
      <c r="C6791">
        <v>8</v>
      </c>
      <c r="D6791">
        <v>184</v>
      </c>
      <c r="E6791">
        <f>IF(OR(B6791="vi",B6791="ii",B6791="pod"),(((D6791/100)*(C6791*VLOOKUP(B6791,'Poids des runes'!A:B,2,FALSE)))+1),(((D6791/100)*(C6791*VLOOKUP(B6791,'Poids des runes'!A:B,2,FALSE)))+1)/VLOOKUP(B6791,'Poids des runes'!A:B,2,FALSE))</f>
        <v>14.886666666666668</v>
      </c>
      <c r="F6791">
        <f t="shared" si="106"/>
        <v>14.886666666666668</v>
      </c>
    </row>
    <row r="6792" spans="1:6" x14ac:dyDescent="0.3">
      <c r="A6792" t="s">
        <v>1276</v>
      </c>
      <c r="B6792" t="s">
        <v>2128</v>
      </c>
      <c r="C6792">
        <v>275.5</v>
      </c>
      <c r="D6792">
        <v>185</v>
      </c>
      <c r="E6792">
        <f>IF(OR(B6792="vi",B6792="ii",B6792="pod"),(((D6792/100)*(C6792*VLOOKUP(B6792,'Poids des runes'!A:B,2,FALSE)))+1),(((D6792/100)*(C6792*VLOOKUP(B6792,'Poids des runes'!A:B,2,FALSE)))+1)/VLOOKUP(B6792,'Poids des runes'!A:B,2,FALSE))</f>
        <v>102.935</v>
      </c>
      <c r="F6792">
        <f t="shared" si="106"/>
        <v>102.935</v>
      </c>
    </row>
    <row r="6793" spans="1:6" x14ac:dyDescent="0.3">
      <c r="A6793" t="s">
        <v>1276</v>
      </c>
      <c r="B6793" t="s">
        <v>2127</v>
      </c>
      <c r="C6793">
        <v>40.5</v>
      </c>
      <c r="D6793">
        <v>185</v>
      </c>
      <c r="E6793">
        <f>IF(OR(B6793="vi",B6793="ii",B6793="pod"),(((D6793/100)*(C6793*VLOOKUP(B6793,'Poids des runes'!A:B,2,FALSE)))+1),(((D6793/100)*(C6793*VLOOKUP(B6793,'Poids des runes'!A:B,2,FALSE)))+1)/VLOOKUP(B6793,'Poids des runes'!A:B,2,FALSE))</f>
        <v>75.924999999999997</v>
      </c>
      <c r="F6793">
        <f t="shared" si="106"/>
        <v>75.924999999999997</v>
      </c>
    </row>
    <row r="6794" spans="1:6" x14ac:dyDescent="0.3">
      <c r="A6794" t="s">
        <v>1276</v>
      </c>
      <c r="B6794" t="s">
        <v>2129</v>
      </c>
      <c r="C6794">
        <v>25.5</v>
      </c>
      <c r="D6794">
        <v>185</v>
      </c>
      <c r="E6794">
        <f>IF(OR(B6794="vi",B6794="ii",B6794="pod"),(((D6794/100)*(C6794*VLOOKUP(B6794,'Poids des runes'!A:B,2,FALSE)))+1),(((D6794/100)*(C6794*VLOOKUP(B6794,'Poids des runes'!A:B,2,FALSE)))+1)/VLOOKUP(B6794,'Poids des runes'!A:B,2,FALSE))</f>
        <v>48.175000000000004</v>
      </c>
      <c r="F6794">
        <f t="shared" si="106"/>
        <v>48.175000000000004</v>
      </c>
    </row>
    <row r="6795" spans="1:6" x14ac:dyDescent="0.3">
      <c r="A6795" t="s">
        <v>1276</v>
      </c>
      <c r="B6795" t="s">
        <v>2139</v>
      </c>
      <c r="C6795">
        <v>15.5</v>
      </c>
      <c r="D6795">
        <v>185</v>
      </c>
      <c r="E6795">
        <f>IF(OR(B6795="vi",B6795="ii",B6795="pod"),(((D6795/100)*(C6795*VLOOKUP(B6795,'Poids des runes'!A:B,2,FALSE)))+1),(((D6795/100)*(C6795*VLOOKUP(B6795,'Poids des runes'!A:B,2,FALSE)))+1)/VLOOKUP(B6795,'Poids des runes'!A:B,2,FALSE))</f>
        <v>29.175000000000001</v>
      </c>
      <c r="F6795">
        <f t="shared" si="106"/>
        <v>29.175000000000001</v>
      </c>
    </row>
    <row r="6796" spans="1:6" x14ac:dyDescent="0.3">
      <c r="A6796" t="s">
        <v>1276</v>
      </c>
      <c r="B6796" t="s">
        <v>2151</v>
      </c>
      <c r="C6796">
        <v>4</v>
      </c>
      <c r="D6796">
        <v>185</v>
      </c>
      <c r="E6796">
        <f>IF(OR(B6796="vi",B6796="ii",B6796="pod"),(((D6796/100)*(C6796*VLOOKUP(B6796,'Poids des runes'!A:B,2,FALSE)))+1),(((D6796/100)*(C6796*VLOOKUP(B6796,'Poids des runes'!A:B,2,FALSE)))+1)/VLOOKUP(B6796,'Poids des runes'!A:B,2,FALSE))</f>
        <v>7.5</v>
      </c>
      <c r="F6796">
        <f t="shared" si="106"/>
        <v>7.5</v>
      </c>
    </row>
    <row r="6797" spans="1:6" x14ac:dyDescent="0.3">
      <c r="A6797" t="s">
        <v>1276</v>
      </c>
      <c r="B6797" t="s">
        <v>2150</v>
      </c>
      <c r="C6797">
        <v>1</v>
      </c>
      <c r="D6797">
        <v>185</v>
      </c>
      <c r="E6797">
        <f>IF(OR(B6797="vi",B6797="ii",B6797="pod"),(((D6797/100)*(C6797*VLOOKUP(B6797,'Poids des runes'!A:B,2,FALSE)))+1),(((D6797/100)*(C6797*VLOOKUP(B6797,'Poids des runes'!A:B,2,FALSE)))+1)/VLOOKUP(B6797,'Poids des runes'!A:B,2,FALSE))</f>
        <v>1.8833333333333333</v>
      </c>
      <c r="F6797">
        <f t="shared" si="106"/>
        <v>1.8833333333333333</v>
      </c>
    </row>
    <row r="6798" spans="1:6" x14ac:dyDescent="0.3">
      <c r="A6798" t="s">
        <v>1276</v>
      </c>
      <c r="B6798" t="s">
        <v>2134</v>
      </c>
      <c r="C6798">
        <v>8</v>
      </c>
      <c r="D6798">
        <v>185</v>
      </c>
      <c r="E6798">
        <f>IF(OR(B6798="vi",B6798="ii",B6798="pod"),(((D6798/100)*(C6798*VLOOKUP(B6798,'Poids des runes'!A:B,2,FALSE)))+1),(((D6798/100)*(C6798*VLOOKUP(B6798,'Poids des runes'!A:B,2,FALSE)))+1)/VLOOKUP(B6798,'Poids des runes'!A:B,2,FALSE))</f>
        <v>14.85</v>
      </c>
      <c r="F6798">
        <f t="shared" si="106"/>
        <v>14.85</v>
      </c>
    </row>
    <row r="6799" spans="1:6" x14ac:dyDescent="0.3">
      <c r="A6799" t="s">
        <v>1276</v>
      </c>
      <c r="B6799" t="s">
        <v>2161</v>
      </c>
      <c r="C6799">
        <v>13</v>
      </c>
      <c r="D6799">
        <v>185</v>
      </c>
      <c r="E6799">
        <f>IF(OR(B6799="vi",B6799="ii",B6799="pod"),(((D6799/100)*(C6799*VLOOKUP(B6799,'Poids des runes'!A:B,2,FALSE)))+1),(((D6799/100)*(C6799*VLOOKUP(B6799,'Poids des runes'!A:B,2,FALSE)))+1)/VLOOKUP(B6799,'Poids des runes'!A:B,2,FALSE))</f>
        <v>24.383333333333336</v>
      </c>
      <c r="F6799">
        <f t="shared" si="106"/>
        <v>24.383333333333336</v>
      </c>
    </row>
    <row r="6800" spans="1:6" x14ac:dyDescent="0.3">
      <c r="A6800" t="s">
        <v>1276</v>
      </c>
      <c r="B6800" t="s">
        <v>2132</v>
      </c>
      <c r="C6800">
        <v>250.5</v>
      </c>
      <c r="D6800">
        <v>185</v>
      </c>
      <c r="E6800">
        <f>IF(OR(B6800="vi",B6800="ii",B6800="pod"),(((D6800/100)*(C6800*VLOOKUP(B6800,'Poids des runes'!A:B,2,FALSE)))+1),(((D6800/100)*(C6800*VLOOKUP(B6800,'Poids des runes'!A:B,2,FALSE)))+1)/VLOOKUP(B6800,'Poids des runes'!A:B,2,FALSE))</f>
        <v>47.342500000000001</v>
      </c>
      <c r="F6800">
        <f t="shared" si="106"/>
        <v>47.342500000000001</v>
      </c>
    </row>
    <row r="6801" spans="1:6" x14ac:dyDescent="0.3">
      <c r="A6801" t="s">
        <v>1276</v>
      </c>
      <c r="B6801" t="s">
        <v>2147</v>
      </c>
      <c r="C6801">
        <v>8</v>
      </c>
      <c r="D6801">
        <v>185</v>
      </c>
      <c r="E6801">
        <f>IF(OR(B6801="vi",B6801="ii",B6801="pod"),(((D6801/100)*(C6801*VLOOKUP(B6801,'Poids des runes'!A:B,2,FALSE)))+1),(((D6801/100)*(C6801*VLOOKUP(B6801,'Poids des runes'!A:B,2,FALSE)))+1)/VLOOKUP(B6801,'Poids des runes'!A:B,2,FALSE))</f>
        <v>14.966666666666669</v>
      </c>
      <c r="F6801">
        <f t="shared" si="106"/>
        <v>14.966666666666669</v>
      </c>
    </row>
    <row r="6802" spans="1:6" x14ac:dyDescent="0.3">
      <c r="A6802" t="s">
        <v>1276</v>
      </c>
      <c r="B6802" t="s">
        <v>2157</v>
      </c>
      <c r="C6802">
        <v>8</v>
      </c>
      <c r="D6802">
        <v>185</v>
      </c>
      <c r="E6802">
        <f>IF(OR(B6802="vi",B6802="ii",B6802="pod"),(((D6802/100)*(C6802*VLOOKUP(B6802,'Poids des runes'!A:B,2,FALSE)))+1),(((D6802/100)*(C6802*VLOOKUP(B6802,'Poids des runes'!A:B,2,FALSE)))+1)/VLOOKUP(B6802,'Poids des runes'!A:B,2,FALSE))</f>
        <v>14.966666666666669</v>
      </c>
      <c r="F6802">
        <f t="shared" si="106"/>
        <v>14.966666666666669</v>
      </c>
    </row>
    <row r="6803" spans="1:6" x14ac:dyDescent="0.3">
      <c r="A6803" t="s">
        <v>1277</v>
      </c>
      <c r="B6803" t="s">
        <v>2128</v>
      </c>
      <c r="C6803">
        <v>225.5</v>
      </c>
      <c r="D6803">
        <v>185</v>
      </c>
      <c r="E6803">
        <f>IF(OR(B6803="vi",B6803="ii",B6803="pod"),(((D6803/100)*(C6803*VLOOKUP(B6803,'Poids des runes'!A:B,2,FALSE)))+1),(((D6803/100)*(C6803*VLOOKUP(B6803,'Poids des runes'!A:B,2,FALSE)))+1)/VLOOKUP(B6803,'Poids des runes'!A:B,2,FALSE))</f>
        <v>84.435000000000002</v>
      </c>
      <c r="F6803">
        <f t="shared" si="106"/>
        <v>84.435000000000002</v>
      </c>
    </row>
    <row r="6804" spans="1:6" x14ac:dyDescent="0.3">
      <c r="A6804" t="s">
        <v>1277</v>
      </c>
      <c r="B6804" t="s">
        <v>2130</v>
      </c>
      <c r="C6804">
        <v>50.5</v>
      </c>
      <c r="D6804">
        <v>185</v>
      </c>
      <c r="E6804">
        <f>IF(OR(B6804="vi",B6804="ii",B6804="pod"),(((D6804/100)*(C6804*VLOOKUP(B6804,'Poids des runes'!A:B,2,FALSE)))+1),(((D6804/100)*(C6804*VLOOKUP(B6804,'Poids des runes'!A:B,2,FALSE)))+1)/VLOOKUP(B6804,'Poids des runes'!A:B,2,FALSE))</f>
        <v>94.425000000000011</v>
      </c>
      <c r="F6804">
        <f t="shared" si="106"/>
        <v>94.425000000000011</v>
      </c>
    </row>
    <row r="6805" spans="1:6" x14ac:dyDescent="0.3">
      <c r="A6805" t="s">
        <v>1277</v>
      </c>
      <c r="B6805" t="s">
        <v>2127</v>
      </c>
      <c r="C6805">
        <v>50.5</v>
      </c>
      <c r="D6805">
        <v>185</v>
      </c>
      <c r="E6805">
        <f>IF(OR(B6805="vi",B6805="ii",B6805="pod"),(((D6805/100)*(C6805*VLOOKUP(B6805,'Poids des runes'!A:B,2,FALSE)))+1),(((D6805/100)*(C6805*VLOOKUP(B6805,'Poids des runes'!A:B,2,FALSE)))+1)/VLOOKUP(B6805,'Poids des runes'!A:B,2,FALSE))</f>
        <v>94.425000000000011</v>
      </c>
      <c r="F6805">
        <f t="shared" si="106"/>
        <v>94.425000000000011</v>
      </c>
    </row>
    <row r="6806" spans="1:6" x14ac:dyDescent="0.3">
      <c r="A6806" t="s">
        <v>1277</v>
      </c>
      <c r="B6806" t="s">
        <v>2129</v>
      </c>
      <c r="C6806">
        <v>35.5</v>
      </c>
      <c r="D6806">
        <v>185</v>
      </c>
      <c r="E6806">
        <f>IF(OR(B6806="vi",B6806="ii",B6806="pod"),(((D6806/100)*(C6806*VLOOKUP(B6806,'Poids des runes'!A:B,2,FALSE)))+1),(((D6806/100)*(C6806*VLOOKUP(B6806,'Poids des runes'!A:B,2,FALSE)))+1)/VLOOKUP(B6806,'Poids des runes'!A:B,2,FALSE))</f>
        <v>66.674999999999997</v>
      </c>
      <c r="F6806">
        <f t="shared" si="106"/>
        <v>66.674999999999997</v>
      </c>
    </row>
    <row r="6807" spans="1:6" x14ac:dyDescent="0.3">
      <c r="A6807" t="s">
        <v>1277</v>
      </c>
      <c r="B6807" t="s">
        <v>2139</v>
      </c>
      <c r="C6807">
        <v>35.5</v>
      </c>
      <c r="D6807">
        <v>185</v>
      </c>
      <c r="E6807">
        <f>IF(OR(B6807="vi",B6807="ii",B6807="pod"),(((D6807/100)*(C6807*VLOOKUP(B6807,'Poids des runes'!A:B,2,FALSE)))+1),(((D6807/100)*(C6807*VLOOKUP(B6807,'Poids des runes'!A:B,2,FALSE)))+1)/VLOOKUP(B6807,'Poids des runes'!A:B,2,FALSE))</f>
        <v>66.174999999999997</v>
      </c>
      <c r="F6807">
        <f t="shared" si="106"/>
        <v>66.174999999999997</v>
      </c>
    </row>
    <row r="6808" spans="1:6" x14ac:dyDescent="0.3">
      <c r="A6808" t="s">
        <v>1277</v>
      </c>
      <c r="B6808" t="s">
        <v>2155</v>
      </c>
      <c r="C6808">
        <v>1</v>
      </c>
      <c r="D6808">
        <v>185</v>
      </c>
      <c r="E6808">
        <f>IF(OR(B6808="vi",B6808="ii",B6808="pod"),(((D6808/100)*(C6808*VLOOKUP(B6808,'Poids des runes'!A:B,2,FALSE)))+1),(((D6808/100)*(C6808*VLOOKUP(B6808,'Poids des runes'!A:B,2,FALSE)))+1)/VLOOKUP(B6808,'Poids des runes'!A:B,2,FALSE))</f>
        <v>1.8696078431372551</v>
      </c>
      <c r="F6808">
        <f t="shared" si="106"/>
        <v>1.8696078431372551</v>
      </c>
    </row>
    <row r="6809" spans="1:6" x14ac:dyDescent="0.3">
      <c r="A6809" t="s">
        <v>1277</v>
      </c>
      <c r="B6809" t="s">
        <v>2143</v>
      </c>
      <c r="C6809">
        <v>6.5</v>
      </c>
      <c r="D6809">
        <v>185</v>
      </c>
      <c r="E6809">
        <f>IF(OR(B6809="vi",B6809="ii",B6809="pod"),(((D6809/100)*(C6809*VLOOKUP(B6809,'Poids des runes'!A:B,2,FALSE)))+1),(((D6809/100)*(C6809*VLOOKUP(B6809,'Poids des runes'!A:B,2,FALSE)))+1)/VLOOKUP(B6809,'Poids des runes'!A:B,2,FALSE))</f>
        <v>12.225</v>
      </c>
      <c r="F6809">
        <f t="shared" si="106"/>
        <v>12.225</v>
      </c>
    </row>
    <row r="6810" spans="1:6" x14ac:dyDescent="0.3">
      <c r="A6810" t="s">
        <v>1277</v>
      </c>
      <c r="B6810" t="s">
        <v>2153</v>
      </c>
      <c r="C6810">
        <v>6.5</v>
      </c>
      <c r="D6810">
        <v>185</v>
      </c>
      <c r="E6810">
        <f>IF(OR(B6810="vi",B6810="ii",B6810="pod"),(((D6810/100)*(C6810*VLOOKUP(B6810,'Poids des runes'!A:B,2,FALSE)))+1),(((D6810/100)*(C6810*VLOOKUP(B6810,'Poids des runes'!A:B,2,FALSE)))+1)/VLOOKUP(B6810,'Poids des runes'!A:B,2,FALSE))</f>
        <v>12.225</v>
      </c>
      <c r="F6810">
        <f t="shared" si="106"/>
        <v>12.225</v>
      </c>
    </row>
    <row r="6811" spans="1:6" x14ac:dyDescent="0.3">
      <c r="A6811" t="s">
        <v>1277</v>
      </c>
      <c r="B6811" t="s">
        <v>2161</v>
      </c>
      <c r="C6811">
        <v>25.5</v>
      </c>
      <c r="D6811">
        <v>185</v>
      </c>
      <c r="E6811">
        <f>IF(OR(B6811="vi",B6811="ii",B6811="pod"),(((D6811/100)*(C6811*VLOOKUP(B6811,'Poids des runes'!A:B,2,FALSE)))+1),(((D6811/100)*(C6811*VLOOKUP(B6811,'Poids des runes'!A:B,2,FALSE)))+1)/VLOOKUP(B6811,'Poids des runes'!A:B,2,FALSE))</f>
        <v>47.508333333333333</v>
      </c>
      <c r="F6811">
        <f t="shared" si="106"/>
        <v>47.508333333333333</v>
      </c>
    </row>
    <row r="6812" spans="1:6" x14ac:dyDescent="0.3">
      <c r="A6812" t="s">
        <v>1277</v>
      </c>
      <c r="B6812" t="s">
        <v>2135</v>
      </c>
      <c r="C6812">
        <v>8</v>
      </c>
      <c r="D6812">
        <v>185</v>
      </c>
      <c r="E6812">
        <f>IF(OR(B6812="vi",B6812="ii",B6812="pod"),(((D6812/100)*(C6812*VLOOKUP(B6812,'Poids des runes'!A:B,2,FALSE)))+1),(((D6812/100)*(C6812*VLOOKUP(B6812,'Poids des runes'!A:B,2,FALSE)))+1)/VLOOKUP(B6812,'Poids des runes'!A:B,2,FALSE))</f>
        <v>14.966666666666669</v>
      </c>
      <c r="F6812">
        <f t="shared" si="106"/>
        <v>14.966666666666669</v>
      </c>
    </row>
    <row r="6813" spans="1:6" x14ac:dyDescent="0.3">
      <c r="A6813" t="s">
        <v>1278</v>
      </c>
      <c r="B6813" t="s">
        <v>2128</v>
      </c>
      <c r="C6813">
        <v>225.5</v>
      </c>
      <c r="D6813">
        <v>185</v>
      </c>
      <c r="E6813">
        <f>IF(OR(B6813="vi",B6813="ii",B6813="pod"),(((D6813/100)*(C6813*VLOOKUP(B6813,'Poids des runes'!A:B,2,FALSE)))+1),(((D6813/100)*(C6813*VLOOKUP(B6813,'Poids des runes'!A:B,2,FALSE)))+1)/VLOOKUP(B6813,'Poids des runes'!A:B,2,FALSE))</f>
        <v>84.435000000000002</v>
      </c>
      <c r="F6813">
        <f t="shared" si="106"/>
        <v>84.435000000000002</v>
      </c>
    </row>
    <row r="6814" spans="1:6" x14ac:dyDescent="0.3">
      <c r="A6814" t="s">
        <v>1278</v>
      </c>
      <c r="B6814" t="s">
        <v>2130</v>
      </c>
      <c r="C6814">
        <v>45.5</v>
      </c>
      <c r="D6814">
        <v>185</v>
      </c>
      <c r="E6814">
        <f>IF(OR(B6814="vi",B6814="ii",B6814="pod"),(((D6814/100)*(C6814*VLOOKUP(B6814,'Poids des runes'!A:B,2,FALSE)))+1),(((D6814/100)*(C6814*VLOOKUP(B6814,'Poids des runes'!A:B,2,FALSE)))+1)/VLOOKUP(B6814,'Poids des runes'!A:B,2,FALSE))</f>
        <v>85.174999999999997</v>
      </c>
      <c r="F6814">
        <f t="shared" si="106"/>
        <v>85.174999999999997</v>
      </c>
    </row>
    <row r="6815" spans="1:6" x14ac:dyDescent="0.3">
      <c r="A6815" t="s">
        <v>1278</v>
      </c>
      <c r="B6815" t="s">
        <v>2126</v>
      </c>
      <c r="C6815">
        <v>45.5</v>
      </c>
      <c r="D6815">
        <v>185</v>
      </c>
      <c r="E6815">
        <f>IF(OR(B6815="vi",B6815="ii",B6815="pod"),(((D6815/100)*(C6815*VLOOKUP(B6815,'Poids des runes'!A:B,2,FALSE)))+1),(((D6815/100)*(C6815*VLOOKUP(B6815,'Poids des runes'!A:B,2,FALSE)))+1)/VLOOKUP(B6815,'Poids des runes'!A:B,2,FALSE))</f>
        <v>85.174999999999997</v>
      </c>
      <c r="F6815">
        <f t="shared" si="106"/>
        <v>85.174999999999997</v>
      </c>
    </row>
    <row r="6816" spans="1:6" x14ac:dyDescent="0.3">
      <c r="A6816" t="s">
        <v>1278</v>
      </c>
      <c r="B6816" t="s">
        <v>2129</v>
      </c>
      <c r="C6816">
        <v>20.5</v>
      </c>
      <c r="D6816">
        <v>185</v>
      </c>
      <c r="E6816">
        <f>IF(OR(B6816="vi",B6816="ii",B6816="pod"),(((D6816/100)*(C6816*VLOOKUP(B6816,'Poids des runes'!A:B,2,FALSE)))+1),(((D6816/100)*(C6816*VLOOKUP(B6816,'Poids des runes'!A:B,2,FALSE)))+1)/VLOOKUP(B6816,'Poids des runes'!A:B,2,FALSE))</f>
        <v>38.925000000000004</v>
      </c>
      <c r="F6816">
        <f t="shared" si="106"/>
        <v>38.925000000000004</v>
      </c>
    </row>
    <row r="6817" spans="1:6" x14ac:dyDescent="0.3">
      <c r="A6817" t="s">
        <v>1278</v>
      </c>
      <c r="B6817" t="s">
        <v>2151</v>
      </c>
      <c r="C6817">
        <v>3.5</v>
      </c>
      <c r="D6817">
        <v>185</v>
      </c>
      <c r="E6817">
        <f>IF(OR(B6817="vi",B6817="ii",B6817="pod"),(((D6817/100)*(C6817*VLOOKUP(B6817,'Poids des runes'!A:B,2,FALSE)))+1),(((D6817/100)*(C6817*VLOOKUP(B6817,'Poids des runes'!A:B,2,FALSE)))+1)/VLOOKUP(B6817,'Poids des runes'!A:B,2,FALSE))</f>
        <v>6.5750000000000002</v>
      </c>
      <c r="F6817">
        <f t="shared" si="106"/>
        <v>6.5750000000000002</v>
      </c>
    </row>
    <row r="6818" spans="1:6" x14ac:dyDescent="0.3">
      <c r="A6818" t="s">
        <v>1278</v>
      </c>
      <c r="B6818" t="s">
        <v>2152</v>
      </c>
      <c r="C6818">
        <v>1</v>
      </c>
      <c r="D6818">
        <v>185</v>
      </c>
      <c r="E6818">
        <f>IF(OR(B6818="vi",B6818="ii",B6818="pod"),(((D6818/100)*(C6818*VLOOKUP(B6818,'Poids des runes'!A:B,2,FALSE)))+1),(((D6818/100)*(C6818*VLOOKUP(B6818,'Poids des runes'!A:B,2,FALSE)))+1)/VLOOKUP(B6818,'Poids des runes'!A:B,2,FALSE))</f>
        <v>1.86</v>
      </c>
      <c r="F6818">
        <f t="shared" si="106"/>
        <v>1.86</v>
      </c>
    </row>
    <row r="6819" spans="1:6" x14ac:dyDescent="0.3">
      <c r="A6819" t="s">
        <v>1278</v>
      </c>
      <c r="B6819" t="s">
        <v>2143</v>
      </c>
      <c r="C6819">
        <v>8.5</v>
      </c>
      <c r="D6819">
        <v>185</v>
      </c>
      <c r="E6819">
        <f>IF(OR(B6819="vi",B6819="ii",B6819="pod"),(((D6819/100)*(C6819*VLOOKUP(B6819,'Poids des runes'!A:B,2,FALSE)))+1),(((D6819/100)*(C6819*VLOOKUP(B6819,'Poids des runes'!A:B,2,FALSE)))+1)/VLOOKUP(B6819,'Poids des runes'!A:B,2,FALSE))</f>
        <v>15.925000000000001</v>
      </c>
      <c r="F6819">
        <f t="shared" si="106"/>
        <v>15.925000000000001</v>
      </c>
    </row>
    <row r="6820" spans="1:6" x14ac:dyDescent="0.3">
      <c r="A6820" t="s">
        <v>1278</v>
      </c>
      <c r="B6820" t="s">
        <v>2140</v>
      </c>
      <c r="C6820">
        <v>8.5</v>
      </c>
      <c r="D6820">
        <v>185</v>
      </c>
      <c r="E6820">
        <f>IF(OR(B6820="vi",B6820="ii",B6820="pod"),(((D6820/100)*(C6820*VLOOKUP(B6820,'Poids des runes'!A:B,2,FALSE)))+1),(((D6820/100)*(C6820*VLOOKUP(B6820,'Poids des runes'!A:B,2,FALSE)))+1)/VLOOKUP(B6820,'Poids des runes'!A:B,2,FALSE))</f>
        <v>15.925000000000001</v>
      </c>
      <c r="F6820">
        <f t="shared" si="106"/>
        <v>15.925000000000001</v>
      </c>
    </row>
    <row r="6821" spans="1:6" x14ac:dyDescent="0.3">
      <c r="A6821" t="s">
        <v>1278</v>
      </c>
      <c r="B6821" t="s">
        <v>2141</v>
      </c>
      <c r="C6821">
        <v>4.5</v>
      </c>
      <c r="D6821">
        <v>185</v>
      </c>
      <c r="E6821">
        <f>IF(OR(B6821="vi",B6821="ii",B6821="pod"),(((D6821/100)*(C6821*VLOOKUP(B6821,'Poids des runes'!A:B,2,FALSE)))+1),(((D6821/100)*(C6821*VLOOKUP(B6821,'Poids des runes'!A:B,2,FALSE)))+1)/VLOOKUP(B6821,'Poids des runes'!A:B,2,FALSE))</f>
        <v>8.5750000000000011</v>
      </c>
      <c r="F6821">
        <f t="shared" si="106"/>
        <v>8.5750000000000011</v>
      </c>
    </row>
    <row r="6822" spans="1:6" x14ac:dyDescent="0.3">
      <c r="A6822" t="s">
        <v>1278</v>
      </c>
      <c r="B6822" t="s">
        <v>2165</v>
      </c>
      <c r="C6822">
        <v>4.5</v>
      </c>
      <c r="D6822">
        <v>185</v>
      </c>
      <c r="E6822">
        <f>IF(OR(B6822="vi",B6822="ii",B6822="pod"),(((D6822/100)*(C6822*VLOOKUP(B6822,'Poids des runes'!A:B,2,FALSE)))+1),(((D6822/100)*(C6822*VLOOKUP(B6822,'Poids des runes'!A:B,2,FALSE)))+1)/VLOOKUP(B6822,'Poids des runes'!A:B,2,FALSE))</f>
        <v>8.4678571428571434</v>
      </c>
      <c r="F6822">
        <f t="shared" si="106"/>
        <v>8.4678571428571434</v>
      </c>
    </row>
    <row r="6823" spans="1:6" x14ac:dyDescent="0.3">
      <c r="A6823" t="s">
        <v>1278</v>
      </c>
      <c r="B6823" t="s">
        <v>2147</v>
      </c>
      <c r="C6823">
        <v>8.5</v>
      </c>
      <c r="D6823">
        <v>185</v>
      </c>
      <c r="E6823">
        <f>IF(OR(B6823="vi",B6823="ii",B6823="pod"),(((D6823/100)*(C6823*VLOOKUP(B6823,'Poids des runes'!A:B,2,FALSE)))+1),(((D6823/100)*(C6823*VLOOKUP(B6823,'Poids des runes'!A:B,2,FALSE)))+1)/VLOOKUP(B6823,'Poids des runes'!A:B,2,FALSE))</f>
        <v>15.891666666666667</v>
      </c>
      <c r="F6823">
        <f t="shared" si="106"/>
        <v>15.891666666666667</v>
      </c>
    </row>
    <row r="6824" spans="1:6" x14ac:dyDescent="0.3">
      <c r="A6824" t="s">
        <v>1279</v>
      </c>
      <c r="B6824" t="s">
        <v>2128</v>
      </c>
      <c r="C6824">
        <v>275.5</v>
      </c>
      <c r="D6824">
        <v>185</v>
      </c>
      <c r="E6824">
        <f>IF(OR(B6824="vi",B6824="ii",B6824="pod"),(((D6824/100)*(C6824*VLOOKUP(B6824,'Poids des runes'!A:B,2,FALSE)))+1),(((D6824/100)*(C6824*VLOOKUP(B6824,'Poids des runes'!A:B,2,FALSE)))+1)/VLOOKUP(B6824,'Poids des runes'!A:B,2,FALSE))</f>
        <v>102.935</v>
      </c>
      <c r="F6824">
        <f t="shared" si="106"/>
        <v>102.935</v>
      </c>
    </row>
    <row r="6825" spans="1:6" x14ac:dyDescent="0.3">
      <c r="A6825" t="s">
        <v>1279</v>
      </c>
      <c r="B6825" t="s">
        <v>2130</v>
      </c>
      <c r="C6825">
        <v>50.5</v>
      </c>
      <c r="D6825">
        <v>185</v>
      </c>
      <c r="E6825">
        <f>IF(OR(B6825="vi",B6825="ii",B6825="pod"),(((D6825/100)*(C6825*VLOOKUP(B6825,'Poids des runes'!A:B,2,FALSE)))+1),(((D6825/100)*(C6825*VLOOKUP(B6825,'Poids des runes'!A:B,2,FALSE)))+1)/VLOOKUP(B6825,'Poids des runes'!A:B,2,FALSE))</f>
        <v>94.425000000000011</v>
      </c>
      <c r="F6825">
        <f t="shared" si="106"/>
        <v>94.425000000000011</v>
      </c>
    </row>
    <row r="6826" spans="1:6" x14ac:dyDescent="0.3">
      <c r="A6826" t="s">
        <v>1279</v>
      </c>
      <c r="B6826" t="s">
        <v>2126</v>
      </c>
      <c r="C6826">
        <v>50.5</v>
      </c>
      <c r="D6826">
        <v>185</v>
      </c>
      <c r="E6826">
        <f>IF(OR(B6826="vi",B6826="ii",B6826="pod"),(((D6826/100)*(C6826*VLOOKUP(B6826,'Poids des runes'!A:B,2,FALSE)))+1),(((D6826/100)*(C6826*VLOOKUP(B6826,'Poids des runes'!A:B,2,FALSE)))+1)/VLOOKUP(B6826,'Poids des runes'!A:B,2,FALSE))</f>
        <v>94.425000000000011</v>
      </c>
      <c r="F6826">
        <f t="shared" si="106"/>
        <v>94.425000000000011</v>
      </c>
    </row>
    <row r="6827" spans="1:6" x14ac:dyDescent="0.3">
      <c r="A6827" t="s">
        <v>1279</v>
      </c>
      <c r="B6827" t="s">
        <v>2129</v>
      </c>
      <c r="C6827">
        <v>35.5</v>
      </c>
      <c r="D6827">
        <v>185</v>
      </c>
      <c r="E6827">
        <f>IF(OR(B6827="vi",B6827="ii",B6827="pod"),(((D6827/100)*(C6827*VLOOKUP(B6827,'Poids des runes'!A:B,2,FALSE)))+1),(((D6827/100)*(C6827*VLOOKUP(B6827,'Poids des runes'!A:B,2,FALSE)))+1)/VLOOKUP(B6827,'Poids des runes'!A:B,2,FALSE))</f>
        <v>66.674999999999997</v>
      </c>
      <c r="F6827">
        <f t="shared" si="106"/>
        <v>66.674999999999997</v>
      </c>
    </row>
    <row r="6828" spans="1:6" x14ac:dyDescent="0.3">
      <c r="A6828" t="s">
        <v>1279</v>
      </c>
      <c r="B6828" t="s">
        <v>2151</v>
      </c>
      <c r="C6828">
        <v>2.5</v>
      </c>
      <c r="D6828">
        <v>185</v>
      </c>
      <c r="E6828">
        <f>IF(OR(B6828="vi",B6828="ii",B6828="pod"),(((D6828/100)*(C6828*VLOOKUP(B6828,'Poids des runes'!A:B,2,FALSE)))+1),(((D6828/100)*(C6828*VLOOKUP(B6828,'Poids des runes'!A:B,2,FALSE)))+1)/VLOOKUP(B6828,'Poids des runes'!A:B,2,FALSE))</f>
        <v>4.7249999999999996</v>
      </c>
      <c r="F6828">
        <f t="shared" si="106"/>
        <v>4.7249999999999996</v>
      </c>
    </row>
    <row r="6829" spans="1:6" x14ac:dyDescent="0.3">
      <c r="A6829" t="s">
        <v>1279</v>
      </c>
      <c r="B6829" t="s">
        <v>2154</v>
      </c>
      <c r="C6829">
        <v>1</v>
      </c>
      <c r="D6829">
        <v>185</v>
      </c>
      <c r="E6829">
        <f>IF(OR(B6829="vi",B6829="ii",B6829="pod"),(((D6829/100)*(C6829*VLOOKUP(B6829,'Poids des runes'!A:B,2,FALSE)))+1),(((D6829/100)*(C6829*VLOOKUP(B6829,'Poids des runes'!A:B,2,FALSE)))+1)/VLOOKUP(B6829,'Poids des runes'!A:B,2,FALSE))</f>
        <v>1.8611111111111112</v>
      </c>
      <c r="F6829">
        <f t="shared" si="106"/>
        <v>1.8611111111111112</v>
      </c>
    </row>
    <row r="6830" spans="1:6" x14ac:dyDescent="0.3">
      <c r="A6830" t="s">
        <v>1279</v>
      </c>
      <c r="B6830" t="s">
        <v>2150</v>
      </c>
      <c r="C6830">
        <v>1</v>
      </c>
      <c r="D6830">
        <v>185</v>
      </c>
      <c r="E6830">
        <f>IF(OR(B6830="vi",B6830="ii",B6830="pod"),(((D6830/100)*(C6830*VLOOKUP(B6830,'Poids des runes'!A:B,2,FALSE)))+1),(((D6830/100)*(C6830*VLOOKUP(B6830,'Poids des runes'!A:B,2,FALSE)))+1)/VLOOKUP(B6830,'Poids des runes'!A:B,2,FALSE))</f>
        <v>1.8833333333333333</v>
      </c>
      <c r="F6830">
        <f t="shared" si="106"/>
        <v>1.8833333333333333</v>
      </c>
    </row>
    <row r="6831" spans="1:6" x14ac:dyDescent="0.3">
      <c r="A6831" t="s">
        <v>1279</v>
      </c>
      <c r="B6831" t="s">
        <v>2143</v>
      </c>
      <c r="C6831">
        <v>8.5</v>
      </c>
      <c r="D6831">
        <v>185</v>
      </c>
      <c r="E6831">
        <f>IF(OR(B6831="vi",B6831="ii",B6831="pod"),(((D6831/100)*(C6831*VLOOKUP(B6831,'Poids des runes'!A:B,2,FALSE)))+1),(((D6831/100)*(C6831*VLOOKUP(B6831,'Poids des runes'!A:B,2,FALSE)))+1)/VLOOKUP(B6831,'Poids des runes'!A:B,2,FALSE))</f>
        <v>15.925000000000001</v>
      </c>
      <c r="F6831">
        <f t="shared" si="106"/>
        <v>15.925000000000001</v>
      </c>
    </row>
    <row r="6832" spans="1:6" x14ac:dyDescent="0.3">
      <c r="A6832" t="s">
        <v>1279</v>
      </c>
      <c r="B6832" t="s">
        <v>2140</v>
      </c>
      <c r="C6832">
        <v>8.5</v>
      </c>
      <c r="D6832">
        <v>185</v>
      </c>
      <c r="E6832">
        <f>IF(OR(B6832="vi",B6832="ii",B6832="pod"),(((D6832/100)*(C6832*VLOOKUP(B6832,'Poids des runes'!A:B,2,FALSE)))+1),(((D6832/100)*(C6832*VLOOKUP(B6832,'Poids des runes'!A:B,2,FALSE)))+1)/VLOOKUP(B6832,'Poids des runes'!A:B,2,FALSE))</f>
        <v>15.925000000000001</v>
      </c>
      <c r="F6832">
        <f t="shared" si="106"/>
        <v>15.925000000000001</v>
      </c>
    </row>
    <row r="6833" spans="1:6" x14ac:dyDescent="0.3">
      <c r="A6833" t="s">
        <v>1279</v>
      </c>
      <c r="B6833" t="s">
        <v>2141</v>
      </c>
      <c r="C6833">
        <v>6</v>
      </c>
      <c r="D6833">
        <v>185</v>
      </c>
      <c r="E6833">
        <f>IF(OR(B6833="vi",B6833="ii",B6833="pod"),(((D6833/100)*(C6833*VLOOKUP(B6833,'Poids des runes'!A:B,2,FALSE)))+1),(((D6833/100)*(C6833*VLOOKUP(B6833,'Poids des runes'!A:B,2,FALSE)))+1)/VLOOKUP(B6833,'Poids des runes'!A:B,2,FALSE))</f>
        <v>11.350000000000001</v>
      </c>
      <c r="F6833">
        <f t="shared" si="106"/>
        <v>11.350000000000001</v>
      </c>
    </row>
    <row r="6834" spans="1:6" x14ac:dyDescent="0.3">
      <c r="A6834" t="s">
        <v>1279</v>
      </c>
      <c r="B6834" t="s">
        <v>2142</v>
      </c>
      <c r="C6834">
        <v>18</v>
      </c>
      <c r="D6834">
        <v>185</v>
      </c>
      <c r="E6834">
        <f>IF(OR(B6834="vi",B6834="ii",B6834="pod"),(((D6834/100)*(C6834*VLOOKUP(B6834,'Poids des runes'!A:B,2,FALSE)))+1),(((D6834/100)*(C6834*VLOOKUP(B6834,'Poids des runes'!A:B,2,FALSE)))+1)/VLOOKUP(B6834,'Poids des runes'!A:B,2,FALSE))</f>
        <v>33.5</v>
      </c>
      <c r="F6834">
        <f t="shared" si="106"/>
        <v>33.5</v>
      </c>
    </row>
    <row r="6835" spans="1:6" x14ac:dyDescent="0.3">
      <c r="A6835" t="s">
        <v>1279</v>
      </c>
      <c r="B6835" t="s">
        <v>2144</v>
      </c>
      <c r="C6835">
        <v>10</v>
      </c>
      <c r="D6835">
        <v>185</v>
      </c>
      <c r="E6835">
        <f>IF(OR(B6835="vi",B6835="ii",B6835="pod"),(((D6835/100)*(C6835*VLOOKUP(B6835,'Poids des runes'!A:B,2,FALSE)))+1),(((D6835/100)*(C6835*VLOOKUP(B6835,'Poids des runes'!A:B,2,FALSE)))+1)/VLOOKUP(B6835,'Poids des runes'!A:B,2,FALSE))</f>
        <v>19</v>
      </c>
      <c r="F6835">
        <f t="shared" si="106"/>
        <v>19</v>
      </c>
    </row>
    <row r="6836" spans="1:6" x14ac:dyDescent="0.3">
      <c r="A6836" t="s">
        <v>1279</v>
      </c>
      <c r="B6836" t="s">
        <v>2145</v>
      </c>
      <c r="C6836">
        <v>10</v>
      </c>
      <c r="D6836">
        <v>185</v>
      </c>
      <c r="E6836">
        <f>IF(OR(B6836="vi",B6836="ii",B6836="pod"),(((D6836/100)*(C6836*VLOOKUP(B6836,'Poids des runes'!A:B,2,FALSE)))+1),(((D6836/100)*(C6836*VLOOKUP(B6836,'Poids des runes'!A:B,2,FALSE)))+1)/VLOOKUP(B6836,'Poids des runes'!A:B,2,FALSE))</f>
        <v>19</v>
      </c>
      <c r="F6836">
        <f t="shared" si="106"/>
        <v>19</v>
      </c>
    </row>
    <row r="6837" spans="1:6" x14ac:dyDescent="0.3">
      <c r="A6837" t="s">
        <v>1280</v>
      </c>
      <c r="B6837" t="s">
        <v>2128</v>
      </c>
      <c r="C6837">
        <v>175.5</v>
      </c>
      <c r="D6837">
        <v>185</v>
      </c>
      <c r="E6837">
        <f>IF(OR(B6837="vi",B6837="ii",B6837="pod"),(((D6837/100)*(C6837*VLOOKUP(B6837,'Poids des runes'!A:B,2,FALSE)))+1),(((D6837/100)*(C6837*VLOOKUP(B6837,'Poids des runes'!A:B,2,FALSE)))+1)/VLOOKUP(B6837,'Poids des runes'!A:B,2,FALSE))</f>
        <v>65.935000000000002</v>
      </c>
      <c r="F6837">
        <f t="shared" si="106"/>
        <v>65.935000000000002</v>
      </c>
    </row>
    <row r="6838" spans="1:6" x14ac:dyDescent="0.3">
      <c r="A6838" t="s">
        <v>1280</v>
      </c>
      <c r="B6838" t="s">
        <v>2131</v>
      </c>
      <c r="C6838">
        <v>40.5</v>
      </c>
      <c r="D6838">
        <v>185</v>
      </c>
      <c r="E6838">
        <f>IF(OR(B6838="vi",B6838="ii",B6838="pod"),(((D6838/100)*(C6838*VLOOKUP(B6838,'Poids des runes'!A:B,2,FALSE)))+1),(((D6838/100)*(C6838*VLOOKUP(B6838,'Poids des runes'!A:B,2,FALSE)))+1)/VLOOKUP(B6838,'Poids des runes'!A:B,2,FALSE))</f>
        <v>75.924999999999997</v>
      </c>
      <c r="F6838">
        <f t="shared" si="106"/>
        <v>75.924999999999997</v>
      </c>
    </row>
    <row r="6839" spans="1:6" x14ac:dyDescent="0.3">
      <c r="A6839" t="s">
        <v>1280</v>
      </c>
      <c r="B6839" t="s">
        <v>2129</v>
      </c>
      <c r="C6839">
        <v>35.5</v>
      </c>
      <c r="D6839">
        <v>185</v>
      </c>
      <c r="E6839">
        <f>IF(OR(B6839="vi",B6839="ii",B6839="pod"),(((D6839/100)*(C6839*VLOOKUP(B6839,'Poids des runes'!A:B,2,FALSE)))+1),(((D6839/100)*(C6839*VLOOKUP(B6839,'Poids des runes'!A:B,2,FALSE)))+1)/VLOOKUP(B6839,'Poids des runes'!A:B,2,FALSE))</f>
        <v>66.674999999999997</v>
      </c>
      <c r="F6839">
        <f t="shared" si="106"/>
        <v>66.674999999999997</v>
      </c>
    </row>
    <row r="6840" spans="1:6" x14ac:dyDescent="0.3">
      <c r="A6840" t="s">
        <v>1280</v>
      </c>
      <c r="B6840" t="s">
        <v>2150</v>
      </c>
      <c r="C6840">
        <v>1</v>
      </c>
      <c r="D6840">
        <v>185</v>
      </c>
      <c r="E6840">
        <f>IF(OR(B6840="vi",B6840="ii",B6840="pod"),(((D6840/100)*(C6840*VLOOKUP(B6840,'Poids des runes'!A:B,2,FALSE)))+1),(((D6840/100)*(C6840*VLOOKUP(B6840,'Poids des runes'!A:B,2,FALSE)))+1)/VLOOKUP(B6840,'Poids des runes'!A:B,2,FALSE))</f>
        <v>1.8833333333333333</v>
      </c>
      <c r="F6840">
        <f t="shared" si="106"/>
        <v>1.8833333333333333</v>
      </c>
    </row>
    <row r="6841" spans="1:6" x14ac:dyDescent="0.3">
      <c r="A6841" t="s">
        <v>1280</v>
      </c>
      <c r="B6841" t="s">
        <v>2133</v>
      </c>
      <c r="C6841">
        <v>8.5</v>
      </c>
      <c r="D6841">
        <v>185</v>
      </c>
      <c r="E6841">
        <f>IF(OR(B6841="vi",B6841="ii",B6841="pod"),(((D6841/100)*(C6841*VLOOKUP(B6841,'Poids des runes'!A:B,2,FALSE)))+1),(((D6841/100)*(C6841*VLOOKUP(B6841,'Poids des runes'!A:B,2,FALSE)))+1)/VLOOKUP(B6841,'Poids des runes'!A:B,2,FALSE))</f>
        <v>15.925000000000001</v>
      </c>
      <c r="F6841">
        <f t="shared" si="106"/>
        <v>15.925000000000001</v>
      </c>
    </row>
    <row r="6842" spans="1:6" x14ac:dyDescent="0.3">
      <c r="A6842" t="s">
        <v>1280</v>
      </c>
      <c r="B6842" t="s">
        <v>2161</v>
      </c>
      <c r="C6842">
        <v>8</v>
      </c>
      <c r="D6842">
        <v>185</v>
      </c>
      <c r="E6842">
        <f>IF(OR(B6842="vi",B6842="ii",B6842="pod"),(((D6842/100)*(C6842*VLOOKUP(B6842,'Poids des runes'!A:B,2,FALSE)))+1),(((D6842/100)*(C6842*VLOOKUP(B6842,'Poids des runes'!A:B,2,FALSE)))+1)/VLOOKUP(B6842,'Poids des runes'!A:B,2,FALSE))</f>
        <v>15.133333333333335</v>
      </c>
      <c r="F6842">
        <f t="shared" si="106"/>
        <v>15.133333333333335</v>
      </c>
    </row>
    <row r="6843" spans="1:6" x14ac:dyDescent="0.3">
      <c r="A6843" t="s">
        <v>1280</v>
      </c>
      <c r="B6843" t="s">
        <v>2141</v>
      </c>
      <c r="C6843">
        <v>5</v>
      </c>
      <c r="D6843">
        <v>185</v>
      </c>
      <c r="E6843">
        <f>IF(OR(B6843="vi",B6843="ii",B6843="pod"),(((D6843/100)*(C6843*VLOOKUP(B6843,'Poids des runes'!A:B,2,FALSE)))+1),(((D6843/100)*(C6843*VLOOKUP(B6843,'Poids des runes'!A:B,2,FALSE)))+1)/VLOOKUP(B6843,'Poids des runes'!A:B,2,FALSE))</f>
        <v>9.5</v>
      </c>
      <c r="F6843">
        <f t="shared" si="106"/>
        <v>9.5</v>
      </c>
    </row>
    <row r="6844" spans="1:6" x14ac:dyDescent="0.3">
      <c r="A6844" t="s">
        <v>1280</v>
      </c>
      <c r="B6844" t="s">
        <v>2162</v>
      </c>
      <c r="C6844">
        <v>5</v>
      </c>
      <c r="D6844">
        <v>185</v>
      </c>
      <c r="E6844">
        <f>IF(OR(B6844="vi",B6844="ii",B6844="pod"),(((D6844/100)*(C6844*VLOOKUP(B6844,'Poids des runes'!A:B,2,FALSE)))+1),(((D6844/100)*(C6844*VLOOKUP(B6844,'Poids des runes'!A:B,2,FALSE)))+1)/VLOOKUP(B6844,'Poids des runes'!A:B,2,FALSE))</f>
        <v>9.3928571428571423</v>
      </c>
      <c r="F6844">
        <f t="shared" si="106"/>
        <v>9.3928571428571423</v>
      </c>
    </row>
    <row r="6845" spans="1:6" x14ac:dyDescent="0.3">
      <c r="A6845" t="s">
        <v>1280</v>
      </c>
      <c r="B6845" t="s">
        <v>2148</v>
      </c>
      <c r="C6845">
        <v>4</v>
      </c>
      <c r="D6845">
        <v>185</v>
      </c>
      <c r="E6845">
        <f>IF(OR(B6845="vi",B6845="ii",B6845="pod"),(((D6845/100)*(C6845*VLOOKUP(B6845,'Poids des runes'!A:B,2,FALSE)))+1),(((D6845/100)*(C6845*VLOOKUP(B6845,'Poids des runes'!A:B,2,FALSE)))+1)/VLOOKUP(B6845,'Poids des runes'!A:B,2,FALSE))</f>
        <v>7.5666666666666673</v>
      </c>
      <c r="F6845">
        <f t="shared" si="106"/>
        <v>7.5666666666666673</v>
      </c>
    </row>
    <row r="6846" spans="1:6" x14ac:dyDescent="0.3">
      <c r="A6846" t="s">
        <v>1280</v>
      </c>
      <c r="B6846" t="s">
        <v>2145</v>
      </c>
      <c r="C6846">
        <v>8</v>
      </c>
      <c r="D6846">
        <v>185</v>
      </c>
      <c r="E6846">
        <f>IF(OR(B6846="vi",B6846="ii",B6846="pod"),(((D6846/100)*(C6846*VLOOKUP(B6846,'Poids des runes'!A:B,2,FALSE)))+1),(((D6846/100)*(C6846*VLOOKUP(B6846,'Poids des runes'!A:B,2,FALSE)))+1)/VLOOKUP(B6846,'Poids des runes'!A:B,2,FALSE))</f>
        <v>15.3</v>
      </c>
      <c r="F6846">
        <f t="shared" si="106"/>
        <v>15.3</v>
      </c>
    </row>
    <row r="6847" spans="1:6" x14ac:dyDescent="0.3">
      <c r="A6847" t="s">
        <v>1281</v>
      </c>
      <c r="B6847" t="s">
        <v>2128</v>
      </c>
      <c r="C6847">
        <v>325.5</v>
      </c>
      <c r="D6847">
        <v>185</v>
      </c>
      <c r="E6847">
        <f>IF(OR(B6847="vi",B6847="ii",B6847="pod"),(((D6847/100)*(C6847*VLOOKUP(B6847,'Poids des runes'!A:B,2,FALSE)))+1),(((D6847/100)*(C6847*VLOOKUP(B6847,'Poids des runes'!A:B,2,FALSE)))+1)/VLOOKUP(B6847,'Poids des runes'!A:B,2,FALSE))</f>
        <v>121.43500000000002</v>
      </c>
      <c r="F6847">
        <f t="shared" si="106"/>
        <v>121.43500000000002</v>
      </c>
    </row>
    <row r="6848" spans="1:6" x14ac:dyDescent="0.3">
      <c r="A6848" t="s">
        <v>1281</v>
      </c>
      <c r="B6848" t="s">
        <v>2129</v>
      </c>
      <c r="C6848">
        <v>45.5</v>
      </c>
      <c r="D6848">
        <v>185</v>
      </c>
      <c r="E6848">
        <f>IF(OR(B6848="vi",B6848="ii",B6848="pod"),(((D6848/100)*(C6848*VLOOKUP(B6848,'Poids des runes'!A:B,2,FALSE)))+1),(((D6848/100)*(C6848*VLOOKUP(B6848,'Poids des runes'!A:B,2,FALSE)))+1)/VLOOKUP(B6848,'Poids des runes'!A:B,2,FALSE))</f>
        <v>85.174999999999997</v>
      </c>
      <c r="F6848">
        <f t="shared" si="106"/>
        <v>85.174999999999997</v>
      </c>
    </row>
    <row r="6849" spans="1:6" x14ac:dyDescent="0.3">
      <c r="A6849" t="s">
        <v>1281</v>
      </c>
      <c r="B6849" t="s">
        <v>2139</v>
      </c>
      <c r="C6849">
        <v>35.5</v>
      </c>
      <c r="D6849">
        <v>185</v>
      </c>
      <c r="E6849">
        <f>IF(OR(B6849="vi",B6849="ii",B6849="pod"),(((D6849/100)*(C6849*VLOOKUP(B6849,'Poids des runes'!A:B,2,FALSE)))+1),(((D6849/100)*(C6849*VLOOKUP(B6849,'Poids des runes'!A:B,2,FALSE)))+1)/VLOOKUP(B6849,'Poids des runes'!A:B,2,FALSE))</f>
        <v>66.174999999999997</v>
      </c>
      <c r="F6849">
        <f t="shared" si="106"/>
        <v>66.174999999999997</v>
      </c>
    </row>
    <row r="6850" spans="1:6" x14ac:dyDescent="0.3">
      <c r="A6850" t="s">
        <v>1281</v>
      </c>
      <c r="B6850" t="s">
        <v>2155</v>
      </c>
      <c r="C6850">
        <v>1</v>
      </c>
      <c r="D6850">
        <v>185</v>
      </c>
      <c r="E6850">
        <f>IF(OR(B6850="vi",B6850="ii",B6850="pod"),(((D6850/100)*(C6850*VLOOKUP(B6850,'Poids des runes'!A:B,2,FALSE)))+1),(((D6850/100)*(C6850*VLOOKUP(B6850,'Poids des runes'!A:B,2,FALSE)))+1)/VLOOKUP(B6850,'Poids des runes'!A:B,2,FALSE))</f>
        <v>1.8696078431372551</v>
      </c>
      <c r="F6850">
        <f t="shared" si="106"/>
        <v>1.8696078431372551</v>
      </c>
    </row>
    <row r="6851" spans="1:6" x14ac:dyDescent="0.3">
      <c r="A6851" t="s">
        <v>1281</v>
      </c>
      <c r="B6851" t="s">
        <v>2150</v>
      </c>
      <c r="C6851">
        <v>2</v>
      </c>
      <c r="D6851">
        <v>185</v>
      </c>
      <c r="E6851">
        <f>IF(OR(B6851="vi",B6851="ii",B6851="pod"),(((D6851/100)*(C6851*VLOOKUP(B6851,'Poids des runes'!A:B,2,FALSE)))+1),(((D6851/100)*(C6851*VLOOKUP(B6851,'Poids des runes'!A:B,2,FALSE)))+1)/VLOOKUP(B6851,'Poids des runes'!A:B,2,FALSE))</f>
        <v>3.7333333333333334</v>
      </c>
      <c r="F6851">
        <f t="shared" ref="F6851:F6914" si="107">E6851</f>
        <v>3.7333333333333334</v>
      </c>
    </row>
    <row r="6852" spans="1:6" x14ac:dyDescent="0.3">
      <c r="A6852" t="s">
        <v>1281</v>
      </c>
      <c r="B6852" t="s">
        <v>2134</v>
      </c>
      <c r="C6852">
        <v>8</v>
      </c>
      <c r="D6852">
        <v>185</v>
      </c>
      <c r="E6852">
        <f>IF(OR(B6852="vi",B6852="ii",B6852="pod"),(((D6852/100)*(C6852*VLOOKUP(B6852,'Poids des runes'!A:B,2,FALSE)))+1),(((D6852/100)*(C6852*VLOOKUP(B6852,'Poids des runes'!A:B,2,FALSE)))+1)/VLOOKUP(B6852,'Poids des runes'!A:B,2,FALSE))</f>
        <v>14.85</v>
      </c>
      <c r="F6852">
        <f t="shared" si="107"/>
        <v>14.85</v>
      </c>
    </row>
    <row r="6853" spans="1:6" x14ac:dyDescent="0.3">
      <c r="A6853" t="s">
        <v>1281</v>
      </c>
      <c r="B6853" t="s">
        <v>2161</v>
      </c>
      <c r="C6853">
        <v>15.5</v>
      </c>
      <c r="D6853">
        <v>185</v>
      </c>
      <c r="E6853">
        <f>IF(OR(B6853="vi",B6853="ii",B6853="pod"),(((D6853/100)*(C6853*VLOOKUP(B6853,'Poids des runes'!A:B,2,FALSE)))+1),(((D6853/100)*(C6853*VLOOKUP(B6853,'Poids des runes'!A:B,2,FALSE)))+1)/VLOOKUP(B6853,'Poids des runes'!A:B,2,FALSE))</f>
        <v>29.008333333333336</v>
      </c>
      <c r="F6853">
        <f t="shared" si="107"/>
        <v>29.008333333333336</v>
      </c>
    </row>
    <row r="6854" spans="1:6" x14ac:dyDescent="0.3">
      <c r="A6854" t="s">
        <v>1281</v>
      </c>
      <c r="B6854" t="s">
        <v>2148</v>
      </c>
      <c r="C6854">
        <v>8</v>
      </c>
      <c r="D6854">
        <v>185</v>
      </c>
      <c r="E6854">
        <f>IF(OR(B6854="vi",B6854="ii",B6854="pod"),(((D6854/100)*(C6854*VLOOKUP(B6854,'Poids des runes'!A:B,2,FALSE)))+1),(((D6854/100)*(C6854*VLOOKUP(B6854,'Poids des runes'!A:B,2,FALSE)))+1)/VLOOKUP(B6854,'Poids des runes'!A:B,2,FALSE))</f>
        <v>14.966666666666669</v>
      </c>
      <c r="F6854">
        <f t="shared" si="107"/>
        <v>14.966666666666669</v>
      </c>
    </row>
    <row r="6855" spans="1:6" x14ac:dyDescent="0.3">
      <c r="A6855" t="s">
        <v>1282</v>
      </c>
      <c r="B6855" t="s">
        <v>2128</v>
      </c>
      <c r="C6855">
        <v>275.5</v>
      </c>
      <c r="D6855">
        <v>185</v>
      </c>
      <c r="E6855">
        <f>IF(OR(B6855="vi",B6855="ii",B6855="pod"),(((D6855/100)*(C6855*VLOOKUP(B6855,'Poids des runes'!A:B,2,FALSE)))+1),(((D6855/100)*(C6855*VLOOKUP(B6855,'Poids des runes'!A:B,2,FALSE)))+1)/VLOOKUP(B6855,'Poids des runes'!A:B,2,FALSE))</f>
        <v>102.935</v>
      </c>
      <c r="F6855">
        <f t="shared" si="107"/>
        <v>102.935</v>
      </c>
    </row>
    <row r="6856" spans="1:6" x14ac:dyDescent="0.3">
      <c r="A6856" t="s">
        <v>1282</v>
      </c>
      <c r="B6856" t="s">
        <v>2130</v>
      </c>
      <c r="C6856">
        <v>70.5</v>
      </c>
      <c r="D6856">
        <v>185</v>
      </c>
      <c r="E6856">
        <f>IF(OR(B6856="vi",B6856="ii",B6856="pod"),(((D6856/100)*(C6856*VLOOKUP(B6856,'Poids des runes'!A:B,2,FALSE)))+1),(((D6856/100)*(C6856*VLOOKUP(B6856,'Poids des runes'!A:B,2,FALSE)))+1)/VLOOKUP(B6856,'Poids des runes'!A:B,2,FALSE))</f>
        <v>131.42500000000001</v>
      </c>
      <c r="F6856">
        <f t="shared" si="107"/>
        <v>131.42500000000001</v>
      </c>
    </row>
    <row r="6857" spans="1:6" x14ac:dyDescent="0.3">
      <c r="A6857" t="s">
        <v>1282</v>
      </c>
      <c r="B6857" t="s">
        <v>2129</v>
      </c>
      <c r="C6857">
        <v>35.5</v>
      </c>
      <c r="D6857">
        <v>185</v>
      </c>
      <c r="E6857">
        <f>IF(OR(B6857="vi",B6857="ii",B6857="pod"),(((D6857/100)*(C6857*VLOOKUP(B6857,'Poids des runes'!A:B,2,FALSE)))+1),(((D6857/100)*(C6857*VLOOKUP(B6857,'Poids des runes'!A:B,2,FALSE)))+1)/VLOOKUP(B6857,'Poids des runes'!A:B,2,FALSE))</f>
        <v>66.674999999999997</v>
      </c>
      <c r="F6857">
        <f t="shared" si="107"/>
        <v>66.674999999999997</v>
      </c>
    </row>
    <row r="6858" spans="1:6" x14ac:dyDescent="0.3">
      <c r="A6858" t="s">
        <v>1282</v>
      </c>
      <c r="B6858" t="s">
        <v>2143</v>
      </c>
      <c r="C6858">
        <v>18</v>
      </c>
      <c r="D6858">
        <v>185</v>
      </c>
      <c r="E6858">
        <f>IF(OR(B6858="vi",B6858="ii",B6858="pod"),(((D6858/100)*(C6858*VLOOKUP(B6858,'Poids des runes'!A:B,2,FALSE)))+1),(((D6858/100)*(C6858*VLOOKUP(B6858,'Poids des runes'!A:B,2,FALSE)))+1)/VLOOKUP(B6858,'Poids des runes'!A:B,2,FALSE))</f>
        <v>33.5</v>
      </c>
      <c r="F6858">
        <f t="shared" si="107"/>
        <v>33.5</v>
      </c>
    </row>
    <row r="6859" spans="1:6" x14ac:dyDescent="0.3">
      <c r="A6859" t="s">
        <v>1282</v>
      </c>
      <c r="B6859" t="s">
        <v>2161</v>
      </c>
      <c r="C6859">
        <v>20.5</v>
      </c>
      <c r="D6859">
        <v>185</v>
      </c>
      <c r="E6859">
        <f>IF(OR(B6859="vi",B6859="ii",B6859="pod"),(((D6859/100)*(C6859*VLOOKUP(B6859,'Poids des runes'!A:B,2,FALSE)))+1),(((D6859/100)*(C6859*VLOOKUP(B6859,'Poids des runes'!A:B,2,FALSE)))+1)/VLOOKUP(B6859,'Poids des runes'!A:B,2,FALSE))</f>
        <v>38.258333333333333</v>
      </c>
      <c r="F6859">
        <f t="shared" si="107"/>
        <v>38.258333333333333</v>
      </c>
    </row>
    <row r="6860" spans="1:6" x14ac:dyDescent="0.3">
      <c r="A6860" t="s">
        <v>1282</v>
      </c>
      <c r="B6860" t="s">
        <v>2132</v>
      </c>
      <c r="C6860">
        <v>500.5</v>
      </c>
      <c r="D6860">
        <v>185</v>
      </c>
      <c r="E6860">
        <f>IF(OR(B6860="vi",B6860="ii",B6860="pod"),(((D6860/100)*(C6860*VLOOKUP(B6860,'Poids des runes'!A:B,2,FALSE)))+1),(((D6860/100)*(C6860*VLOOKUP(B6860,'Poids des runes'!A:B,2,FALSE)))+1)/VLOOKUP(B6860,'Poids des runes'!A:B,2,FALSE))</f>
        <v>93.592500000000015</v>
      </c>
      <c r="F6860">
        <f t="shared" si="107"/>
        <v>93.592500000000015</v>
      </c>
    </row>
    <row r="6861" spans="1:6" x14ac:dyDescent="0.3">
      <c r="A6861" t="s">
        <v>1282</v>
      </c>
      <c r="B6861" t="s">
        <v>2138</v>
      </c>
      <c r="C6861">
        <v>8.5</v>
      </c>
      <c r="D6861">
        <v>185</v>
      </c>
      <c r="E6861">
        <f>IF(OR(B6861="vi",B6861="ii",B6861="pod"),(((D6861/100)*(C6861*VLOOKUP(B6861,'Poids des runes'!A:B,2,FALSE)))+1),(((D6861/100)*(C6861*VLOOKUP(B6861,'Poids des runes'!A:B,2,FALSE)))+1)/VLOOKUP(B6861,'Poids des runes'!A:B,2,FALSE))</f>
        <v>15.975000000000001</v>
      </c>
      <c r="F6861">
        <f t="shared" si="107"/>
        <v>15.975000000000001</v>
      </c>
    </row>
    <row r="6862" spans="1:6" x14ac:dyDescent="0.3">
      <c r="A6862" t="s">
        <v>1282</v>
      </c>
      <c r="B6862" t="s">
        <v>2146</v>
      </c>
      <c r="C6862">
        <v>20.5</v>
      </c>
      <c r="D6862">
        <v>185</v>
      </c>
      <c r="E6862">
        <f>IF(OR(B6862="vi",B6862="ii",B6862="pod"),(((D6862/100)*(C6862*VLOOKUP(B6862,'Poids des runes'!A:B,2,FALSE)))+1),(((D6862/100)*(C6862*VLOOKUP(B6862,'Poids des runes'!A:B,2,FALSE)))+1)/VLOOKUP(B6862,'Poids des runes'!A:B,2,FALSE))</f>
        <v>38.425000000000004</v>
      </c>
      <c r="F6862">
        <f t="shared" si="107"/>
        <v>38.425000000000004</v>
      </c>
    </row>
    <row r="6863" spans="1:6" x14ac:dyDescent="0.3">
      <c r="A6863" t="s">
        <v>1283</v>
      </c>
      <c r="B6863" t="s">
        <v>2128</v>
      </c>
      <c r="C6863">
        <v>275.5</v>
      </c>
      <c r="D6863">
        <v>186</v>
      </c>
      <c r="E6863">
        <f>IF(OR(B6863="vi",B6863="ii",B6863="pod"),(((D6863/100)*(C6863*VLOOKUP(B6863,'Poids des runes'!A:B,2,FALSE)))+1),(((D6863/100)*(C6863*VLOOKUP(B6863,'Poids des runes'!A:B,2,FALSE)))+1)/VLOOKUP(B6863,'Poids des runes'!A:B,2,FALSE))</f>
        <v>103.486</v>
      </c>
      <c r="F6863">
        <f t="shared" si="107"/>
        <v>103.486</v>
      </c>
    </row>
    <row r="6864" spans="1:6" x14ac:dyDescent="0.3">
      <c r="A6864" t="s">
        <v>1283</v>
      </c>
      <c r="B6864" t="s">
        <v>2130</v>
      </c>
      <c r="C6864">
        <v>40.5</v>
      </c>
      <c r="D6864">
        <v>186</v>
      </c>
      <c r="E6864">
        <f>IF(OR(B6864="vi",B6864="ii",B6864="pod"),(((D6864/100)*(C6864*VLOOKUP(B6864,'Poids des runes'!A:B,2,FALSE)))+1),(((D6864/100)*(C6864*VLOOKUP(B6864,'Poids des runes'!A:B,2,FALSE)))+1)/VLOOKUP(B6864,'Poids des runes'!A:B,2,FALSE))</f>
        <v>76.33</v>
      </c>
      <c r="F6864">
        <f t="shared" si="107"/>
        <v>76.33</v>
      </c>
    </row>
    <row r="6865" spans="1:6" x14ac:dyDescent="0.3">
      <c r="A6865" t="s">
        <v>1283</v>
      </c>
      <c r="B6865" t="s">
        <v>2129</v>
      </c>
      <c r="C6865">
        <v>40.5</v>
      </c>
      <c r="D6865">
        <v>186</v>
      </c>
      <c r="E6865">
        <f>IF(OR(B6865="vi",B6865="ii",B6865="pod"),(((D6865/100)*(C6865*VLOOKUP(B6865,'Poids des runes'!A:B,2,FALSE)))+1),(((D6865/100)*(C6865*VLOOKUP(B6865,'Poids des runes'!A:B,2,FALSE)))+1)/VLOOKUP(B6865,'Poids des runes'!A:B,2,FALSE))</f>
        <v>76.33</v>
      </c>
      <c r="F6865">
        <f t="shared" si="107"/>
        <v>76.33</v>
      </c>
    </row>
    <row r="6866" spans="1:6" x14ac:dyDescent="0.3">
      <c r="A6866" t="s">
        <v>1283</v>
      </c>
      <c r="B6866" t="s">
        <v>2139</v>
      </c>
      <c r="C6866">
        <v>20.5</v>
      </c>
      <c r="D6866">
        <v>186</v>
      </c>
      <c r="E6866">
        <f>IF(OR(B6866="vi",B6866="ii",B6866="pod"),(((D6866/100)*(C6866*VLOOKUP(B6866,'Poids des runes'!A:B,2,FALSE)))+1),(((D6866/100)*(C6866*VLOOKUP(B6866,'Poids des runes'!A:B,2,FALSE)))+1)/VLOOKUP(B6866,'Poids des runes'!A:B,2,FALSE))</f>
        <v>38.630000000000003</v>
      </c>
      <c r="F6866">
        <f t="shared" si="107"/>
        <v>38.630000000000003</v>
      </c>
    </row>
    <row r="6867" spans="1:6" x14ac:dyDescent="0.3">
      <c r="A6867" t="s">
        <v>1283</v>
      </c>
      <c r="B6867" t="s">
        <v>2151</v>
      </c>
      <c r="C6867">
        <v>3.5</v>
      </c>
      <c r="D6867">
        <v>186</v>
      </c>
      <c r="E6867">
        <f>IF(OR(B6867="vi",B6867="ii",B6867="pod"),(((D6867/100)*(C6867*VLOOKUP(B6867,'Poids des runes'!A:B,2,FALSE)))+1),(((D6867/100)*(C6867*VLOOKUP(B6867,'Poids des runes'!A:B,2,FALSE)))+1)/VLOOKUP(B6867,'Poids des runes'!A:B,2,FALSE))</f>
        <v>6.6100000000000012</v>
      </c>
      <c r="F6867">
        <f t="shared" si="107"/>
        <v>6.6100000000000012</v>
      </c>
    </row>
    <row r="6868" spans="1:6" x14ac:dyDescent="0.3">
      <c r="A6868" t="s">
        <v>1283</v>
      </c>
      <c r="B6868" t="s">
        <v>2152</v>
      </c>
      <c r="C6868">
        <v>1</v>
      </c>
      <c r="D6868">
        <v>186</v>
      </c>
      <c r="E6868">
        <f>IF(OR(B6868="vi",B6868="ii",B6868="pod"),(((D6868/100)*(C6868*VLOOKUP(B6868,'Poids des runes'!A:B,2,FALSE)))+1),(((D6868/100)*(C6868*VLOOKUP(B6868,'Poids des runes'!A:B,2,FALSE)))+1)/VLOOKUP(B6868,'Poids des runes'!A:B,2,FALSE))</f>
        <v>1.87</v>
      </c>
      <c r="F6868">
        <f t="shared" si="107"/>
        <v>1.87</v>
      </c>
    </row>
    <row r="6869" spans="1:6" x14ac:dyDescent="0.3">
      <c r="A6869" t="s">
        <v>1283</v>
      </c>
      <c r="B6869" t="s">
        <v>2150</v>
      </c>
      <c r="C6869">
        <v>1.5</v>
      </c>
      <c r="D6869">
        <v>186</v>
      </c>
      <c r="E6869">
        <f>IF(OR(B6869="vi",B6869="ii",B6869="pod"),(((D6869/100)*(C6869*VLOOKUP(B6869,'Poids des runes'!A:B,2,FALSE)))+1),(((D6869/100)*(C6869*VLOOKUP(B6869,'Poids des runes'!A:B,2,FALSE)))+1)/VLOOKUP(B6869,'Poids des runes'!A:B,2,FALSE))</f>
        <v>2.8233333333333333</v>
      </c>
      <c r="F6869">
        <f t="shared" si="107"/>
        <v>2.8233333333333333</v>
      </c>
    </row>
    <row r="6870" spans="1:6" x14ac:dyDescent="0.3">
      <c r="A6870" t="s">
        <v>1283</v>
      </c>
      <c r="B6870" t="s">
        <v>2143</v>
      </c>
      <c r="C6870">
        <v>10</v>
      </c>
      <c r="D6870">
        <v>186</v>
      </c>
      <c r="E6870">
        <f>IF(OR(B6870="vi",B6870="ii",B6870="pod"),(((D6870/100)*(C6870*VLOOKUP(B6870,'Poids des runes'!A:B,2,FALSE)))+1),(((D6870/100)*(C6870*VLOOKUP(B6870,'Poids des runes'!A:B,2,FALSE)))+1)/VLOOKUP(B6870,'Poids des runes'!A:B,2,FALSE))</f>
        <v>18.8</v>
      </c>
      <c r="F6870">
        <f t="shared" si="107"/>
        <v>18.8</v>
      </c>
    </row>
    <row r="6871" spans="1:6" x14ac:dyDescent="0.3">
      <c r="A6871" t="s">
        <v>1283</v>
      </c>
      <c r="B6871" t="s">
        <v>2161</v>
      </c>
      <c r="C6871">
        <v>13</v>
      </c>
      <c r="D6871">
        <v>186</v>
      </c>
      <c r="E6871">
        <f>IF(OR(B6871="vi",B6871="ii",B6871="pod"),(((D6871/100)*(C6871*VLOOKUP(B6871,'Poids des runes'!A:B,2,FALSE)))+1),(((D6871/100)*(C6871*VLOOKUP(B6871,'Poids des runes'!A:B,2,FALSE)))+1)/VLOOKUP(B6871,'Poids des runes'!A:B,2,FALSE))</f>
        <v>24.513333333333335</v>
      </c>
      <c r="F6871">
        <f t="shared" si="107"/>
        <v>24.513333333333335</v>
      </c>
    </row>
    <row r="6872" spans="1:6" x14ac:dyDescent="0.3">
      <c r="A6872" t="s">
        <v>1283</v>
      </c>
      <c r="B6872" t="s">
        <v>2142</v>
      </c>
      <c r="C6872">
        <v>8.5</v>
      </c>
      <c r="D6872">
        <v>186</v>
      </c>
      <c r="E6872">
        <f>IF(OR(B6872="vi",B6872="ii",B6872="pod"),(((D6872/100)*(C6872*VLOOKUP(B6872,'Poids des runes'!A:B,2,FALSE)))+1),(((D6872/100)*(C6872*VLOOKUP(B6872,'Poids des runes'!A:B,2,FALSE)))+1)/VLOOKUP(B6872,'Poids des runes'!A:B,2,FALSE))</f>
        <v>16.009999999999998</v>
      </c>
      <c r="F6872">
        <f t="shared" si="107"/>
        <v>16.009999999999998</v>
      </c>
    </row>
    <row r="6873" spans="1:6" x14ac:dyDescent="0.3">
      <c r="A6873" t="s">
        <v>1283</v>
      </c>
      <c r="B6873" t="s">
        <v>2135</v>
      </c>
      <c r="C6873">
        <v>8.5</v>
      </c>
      <c r="D6873">
        <v>186</v>
      </c>
      <c r="E6873">
        <f>IF(OR(B6873="vi",B6873="ii",B6873="pod"),(((D6873/100)*(C6873*VLOOKUP(B6873,'Poids des runes'!A:B,2,FALSE)))+1),(((D6873/100)*(C6873*VLOOKUP(B6873,'Poids des runes'!A:B,2,FALSE)))+1)/VLOOKUP(B6873,'Poids des runes'!A:B,2,FALSE))</f>
        <v>15.976666666666667</v>
      </c>
      <c r="F6873">
        <f t="shared" si="107"/>
        <v>15.976666666666667</v>
      </c>
    </row>
    <row r="6874" spans="1:6" x14ac:dyDescent="0.3">
      <c r="A6874" t="s">
        <v>1284</v>
      </c>
      <c r="B6874" t="s">
        <v>2128</v>
      </c>
      <c r="C6874">
        <v>175.5</v>
      </c>
      <c r="D6874">
        <v>186</v>
      </c>
      <c r="E6874">
        <f>IF(OR(B6874="vi",B6874="ii",B6874="pod"),(((D6874/100)*(C6874*VLOOKUP(B6874,'Poids des runes'!A:B,2,FALSE)))+1),(((D6874/100)*(C6874*VLOOKUP(B6874,'Poids des runes'!A:B,2,FALSE)))+1)/VLOOKUP(B6874,'Poids des runes'!A:B,2,FALSE))</f>
        <v>66.286000000000001</v>
      </c>
      <c r="F6874">
        <f t="shared" si="107"/>
        <v>66.286000000000001</v>
      </c>
    </row>
    <row r="6875" spans="1:6" x14ac:dyDescent="0.3">
      <c r="A6875" t="s">
        <v>1284</v>
      </c>
      <c r="B6875" t="s">
        <v>2130</v>
      </c>
      <c r="C6875">
        <v>35.5</v>
      </c>
      <c r="D6875">
        <v>186</v>
      </c>
      <c r="E6875">
        <f>IF(OR(B6875="vi",B6875="ii",B6875="pod"),(((D6875/100)*(C6875*VLOOKUP(B6875,'Poids des runes'!A:B,2,FALSE)))+1),(((D6875/100)*(C6875*VLOOKUP(B6875,'Poids des runes'!A:B,2,FALSE)))+1)/VLOOKUP(B6875,'Poids des runes'!A:B,2,FALSE))</f>
        <v>67.03</v>
      </c>
      <c r="F6875">
        <f t="shared" si="107"/>
        <v>67.03</v>
      </c>
    </row>
    <row r="6876" spans="1:6" x14ac:dyDescent="0.3">
      <c r="A6876" t="s">
        <v>1284</v>
      </c>
      <c r="B6876" t="s">
        <v>2131</v>
      </c>
      <c r="C6876">
        <v>35.5</v>
      </c>
      <c r="D6876">
        <v>186</v>
      </c>
      <c r="E6876">
        <f>IF(OR(B6876="vi",B6876="ii",B6876="pod"),(((D6876/100)*(C6876*VLOOKUP(B6876,'Poids des runes'!A:B,2,FALSE)))+1),(((D6876/100)*(C6876*VLOOKUP(B6876,'Poids des runes'!A:B,2,FALSE)))+1)/VLOOKUP(B6876,'Poids des runes'!A:B,2,FALSE))</f>
        <v>67.03</v>
      </c>
      <c r="F6876">
        <f t="shared" si="107"/>
        <v>67.03</v>
      </c>
    </row>
    <row r="6877" spans="1:6" x14ac:dyDescent="0.3">
      <c r="A6877" t="s">
        <v>1284</v>
      </c>
      <c r="B6877" t="s">
        <v>2127</v>
      </c>
      <c r="C6877">
        <v>35.5</v>
      </c>
      <c r="D6877">
        <v>186</v>
      </c>
      <c r="E6877">
        <f>IF(OR(B6877="vi",B6877="ii",B6877="pod"),(((D6877/100)*(C6877*VLOOKUP(B6877,'Poids des runes'!A:B,2,FALSE)))+1),(((D6877/100)*(C6877*VLOOKUP(B6877,'Poids des runes'!A:B,2,FALSE)))+1)/VLOOKUP(B6877,'Poids des runes'!A:B,2,FALSE))</f>
        <v>67.03</v>
      </c>
      <c r="F6877">
        <f t="shared" si="107"/>
        <v>67.03</v>
      </c>
    </row>
    <row r="6878" spans="1:6" x14ac:dyDescent="0.3">
      <c r="A6878" t="s">
        <v>1284</v>
      </c>
      <c r="B6878" t="s">
        <v>2129</v>
      </c>
      <c r="C6878">
        <v>35.5</v>
      </c>
      <c r="D6878">
        <v>186</v>
      </c>
      <c r="E6878">
        <f>IF(OR(B6878="vi",B6878="ii",B6878="pod"),(((D6878/100)*(C6878*VLOOKUP(B6878,'Poids des runes'!A:B,2,FALSE)))+1),(((D6878/100)*(C6878*VLOOKUP(B6878,'Poids des runes'!A:B,2,FALSE)))+1)/VLOOKUP(B6878,'Poids des runes'!A:B,2,FALSE))</f>
        <v>67.03</v>
      </c>
      <c r="F6878">
        <f t="shared" si="107"/>
        <v>67.03</v>
      </c>
    </row>
    <row r="6879" spans="1:6" x14ac:dyDescent="0.3">
      <c r="A6879" t="s">
        <v>1284</v>
      </c>
      <c r="B6879" t="s">
        <v>2154</v>
      </c>
      <c r="C6879">
        <v>1</v>
      </c>
      <c r="D6879">
        <v>186</v>
      </c>
      <c r="E6879">
        <f>IF(OR(B6879="vi",B6879="ii",B6879="pod"),(((D6879/100)*(C6879*VLOOKUP(B6879,'Poids des runes'!A:B,2,FALSE)))+1),(((D6879/100)*(C6879*VLOOKUP(B6879,'Poids des runes'!A:B,2,FALSE)))+1)/VLOOKUP(B6879,'Poids des runes'!A:B,2,FALSE))</f>
        <v>1.8711111111111112</v>
      </c>
      <c r="F6879">
        <f t="shared" si="107"/>
        <v>1.8711111111111112</v>
      </c>
    </row>
    <row r="6880" spans="1:6" x14ac:dyDescent="0.3">
      <c r="A6880" t="s">
        <v>1284</v>
      </c>
      <c r="B6880" t="s">
        <v>2155</v>
      </c>
      <c r="C6880">
        <v>1</v>
      </c>
      <c r="D6880">
        <v>186</v>
      </c>
      <c r="E6880">
        <f>IF(OR(B6880="vi",B6880="ii",B6880="pod"),(((D6880/100)*(C6880*VLOOKUP(B6880,'Poids des runes'!A:B,2,FALSE)))+1),(((D6880/100)*(C6880*VLOOKUP(B6880,'Poids des runes'!A:B,2,FALSE)))+1)/VLOOKUP(B6880,'Poids des runes'!A:B,2,FALSE))</f>
        <v>1.8796078431372549</v>
      </c>
      <c r="F6880">
        <f t="shared" si="107"/>
        <v>1.8796078431372549</v>
      </c>
    </row>
    <row r="6881" spans="1:6" x14ac:dyDescent="0.3">
      <c r="A6881" t="s">
        <v>1284</v>
      </c>
      <c r="B6881" t="s">
        <v>2143</v>
      </c>
      <c r="C6881">
        <v>8.5</v>
      </c>
      <c r="D6881">
        <v>186</v>
      </c>
      <c r="E6881">
        <f>IF(OR(B6881="vi",B6881="ii",B6881="pod"),(((D6881/100)*(C6881*VLOOKUP(B6881,'Poids des runes'!A:B,2,FALSE)))+1),(((D6881/100)*(C6881*VLOOKUP(B6881,'Poids des runes'!A:B,2,FALSE)))+1)/VLOOKUP(B6881,'Poids des runes'!A:B,2,FALSE))</f>
        <v>16.009999999999998</v>
      </c>
      <c r="F6881">
        <f t="shared" si="107"/>
        <v>16.009999999999998</v>
      </c>
    </row>
    <row r="6882" spans="1:6" x14ac:dyDescent="0.3">
      <c r="A6882" t="s">
        <v>1284</v>
      </c>
      <c r="B6882" t="s">
        <v>2133</v>
      </c>
      <c r="C6882">
        <v>8.5</v>
      </c>
      <c r="D6882">
        <v>186</v>
      </c>
      <c r="E6882">
        <f>IF(OR(B6882="vi",B6882="ii",B6882="pod"),(((D6882/100)*(C6882*VLOOKUP(B6882,'Poids des runes'!A:B,2,FALSE)))+1),(((D6882/100)*(C6882*VLOOKUP(B6882,'Poids des runes'!A:B,2,FALSE)))+1)/VLOOKUP(B6882,'Poids des runes'!A:B,2,FALSE))</f>
        <v>16.009999999999998</v>
      </c>
      <c r="F6882">
        <f t="shared" si="107"/>
        <v>16.009999999999998</v>
      </c>
    </row>
    <row r="6883" spans="1:6" x14ac:dyDescent="0.3">
      <c r="A6883" t="s">
        <v>1284</v>
      </c>
      <c r="B6883" t="s">
        <v>2153</v>
      </c>
      <c r="C6883">
        <v>8.5</v>
      </c>
      <c r="D6883">
        <v>186</v>
      </c>
      <c r="E6883">
        <f>IF(OR(B6883="vi",B6883="ii",B6883="pod"),(((D6883/100)*(C6883*VLOOKUP(B6883,'Poids des runes'!A:B,2,FALSE)))+1),(((D6883/100)*(C6883*VLOOKUP(B6883,'Poids des runes'!A:B,2,FALSE)))+1)/VLOOKUP(B6883,'Poids des runes'!A:B,2,FALSE))</f>
        <v>16.009999999999998</v>
      </c>
      <c r="F6883">
        <f t="shared" si="107"/>
        <v>16.009999999999998</v>
      </c>
    </row>
    <row r="6884" spans="1:6" x14ac:dyDescent="0.3">
      <c r="A6884" t="s">
        <v>1284</v>
      </c>
      <c r="B6884" t="s">
        <v>2161</v>
      </c>
      <c r="C6884">
        <v>25.5</v>
      </c>
      <c r="D6884">
        <v>186</v>
      </c>
      <c r="E6884">
        <f>IF(OR(B6884="vi",B6884="ii",B6884="pod"),(((D6884/100)*(C6884*VLOOKUP(B6884,'Poids des runes'!A:B,2,FALSE)))+1),(((D6884/100)*(C6884*VLOOKUP(B6884,'Poids des runes'!A:B,2,FALSE)))+1)/VLOOKUP(B6884,'Poids des runes'!A:B,2,FALSE))</f>
        <v>47.763333333333343</v>
      </c>
      <c r="F6884">
        <f t="shared" si="107"/>
        <v>47.763333333333343</v>
      </c>
    </row>
    <row r="6885" spans="1:6" x14ac:dyDescent="0.3">
      <c r="A6885" t="s">
        <v>1284</v>
      </c>
      <c r="B6885" t="s">
        <v>2159</v>
      </c>
      <c r="C6885">
        <v>4.5</v>
      </c>
      <c r="D6885">
        <v>186</v>
      </c>
      <c r="E6885">
        <f>IF(OR(B6885="vi",B6885="ii",B6885="pod"),(((D6885/100)*(C6885*VLOOKUP(B6885,'Poids des runes'!A:B,2,FALSE)))+1),(((D6885/100)*(C6885*VLOOKUP(B6885,'Poids des runes'!A:B,2,FALSE)))+1)/VLOOKUP(B6885,'Poids des runes'!A:B,2,FALSE))</f>
        <v>8.5128571428571433</v>
      </c>
      <c r="F6885">
        <f t="shared" si="107"/>
        <v>8.5128571428571433</v>
      </c>
    </row>
    <row r="6886" spans="1:6" x14ac:dyDescent="0.3">
      <c r="A6886" t="s">
        <v>1284</v>
      </c>
      <c r="B6886" t="s">
        <v>2136</v>
      </c>
      <c r="C6886">
        <v>8.5</v>
      </c>
      <c r="D6886">
        <v>186</v>
      </c>
      <c r="E6886">
        <f>IF(OR(B6886="vi",B6886="ii",B6886="pod"),(((D6886/100)*(C6886*VLOOKUP(B6886,'Poids des runes'!A:B,2,FALSE)))+1),(((D6886/100)*(C6886*VLOOKUP(B6886,'Poids des runes'!A:B,2,FALSE)))+1)/VLOOKUP(B6886,'Poids des runes'!A:B,2,FALSE))</f>
        <v>16.310000000000002</v>
      </c>
      <c r="F6886">
        <f t="shared" si="107"/>
        <v>16.310000000000002</v>
      </c>
    </row>
    <row r="6887" spans="1:6" x14ac:dyDescent="0.3">
      <c r="A6887" t="s">
        <v>1284</v>
      </c>
      <c r="B6887" t="s">
        <v>2144</v>
      </c>
      <c r="C6887">
        <v>8.5</v>
      </c>
      <c r="D6887">
        <v>186</v>
      </c>
      <c r="E6887">
        <f>IF(OR(B6887="vi",B6887="ii",B6887="pod"),(((D6887/100)*(C6887*VLOOKUP(B6887,'Poids des runes'!A:B,2,FALSE)))+1),(((D6887/100)*(C6887*VLOOKUP(B6887,'Poids des runes'!A:B,2,FALSE)))+1)/VLOOKUP(B6887,'Poids des runes'!A:B,2,FALSE))</f>
        <v>16.310000000000002</v>
      </c>
      <c r="F6887">
        <f t="shared" si="107"/>
        <v>16.310000000000002</v>
      </c>
    </row>
    <row r="6888" spans="1:6" x14ac:dyDescent="0.3">
      <c r="A6888" t="s">
        <v>1284</v>
      </c>
      <c r="B6888" t="s">
        <v>2146</v>
      </c>
      <c r="C6888">
        <v>8.5</v>
      </c>
      <c r="D6888">
        <v>186</v>
      </c>
      <c r="E6888">
        <f>IF(OR(B6888="vi",B6888="ii",B6888="pod"),(((D6888/100)*(C6888*VLOOKUP(B6888,'Poids des runes'!A:B,2,FALSE)))+1),(((D6888/100)*(C6888*VLOOKUP(B6888,'Poids des runes'!A:B,2,FALSE)))+1)/VLOOKUP(B6888,'Poids des runes'!A:B,2,FALSE))</f>
        <v>16.310000000000002</v>
      </c>
      <c r="F6888">
        <f t="shared" si="107"/>
        <v>16.310000000000002</v>
      </c>
    </row>
    <row r="6889" spans="1:6" x14ac:dyDescent="0.3">
      <c r="A6889" t="s">
        <v>1285</v>
      </c>
      <c r="B6889" t="s">
        <v>2128</v>
      </c>
      <c r="C6889">
        <v>225.5</v>
      </c>
      <c r="D6889">
        <v>186</v>
      </c>
      <c r="E6889">
        <f>IF(OR(B6889="vi",B6889="ii",B6889="pod"),(((D6889/100)*(C6889*VLOOKUP(B6889,'Poids des runes'!A:B,2,FALSE)))+1),(((D6889/100)*(C6889*VLOOKUP(B6889,'Poids des runes'!A:B,2,FALSE)))+1)/VLOOKUP(B6889,'Poids des runes'!A:B,2,FALSE))</f>
        <v>84.88600000000001</v>
      </c>
      <c r="F6889">
        <f t="shared" si="107"/>
        <v>84.88600000000001</v>
      </c>
    </row>
    <row r="6890" spans="1:6" x14ac:dyDescent="0.3">
      <c r="A6890" t="s">
        <v>1285</v>
      </c>
      <c r="B6890" t="s">
        <v>2129</v>
      </c>
      <c r="C6890">
        <v>35.5</v>
      </c>
      <c r="D6890">
        <v>186</v>
      </c>
      <c r="E6890">
        <f>IF(OR(B6890="vi",B6890="ii",B6890="pod"),(((D6890/100)*(C6890*VLOOKUP(B6890,'Poids des runes'!A:B,2,FALSE)))+1),(((D6890/100)*(C6890*VLOOKUP(B6890,'Poids des runes'!A:B,2,FALSE)))+1)/VLOOKUP(B6890,'Poids des runes'!A:B,2,FALSE))</f>
        <v>67.03</v>
      </c>
      <c r="F6890">
        <f t="shared" si="107"/>
        <v>67.03</v>
      </c>
    </row>
    <row r="6891" spans="1:6" x14ac:dyDescent="0.3">
      <c r="A6891" t="s">
        <v>1285</v>
      </c>
      <c r="B6891" t="s">
        <v>2139</v>
      </c>
      <c r="C6891">
        <v>40.5</v>
      </c>
      <c r="D6891">
        <v>186</v>
      </c>
      <c r="E6891">
        <f>IF(OR(B6891="vi",B6891="ii",B6891="pod"),(((D6891/100)*(C6891*VLOOKUP(B6891,'Poids des runes'!A:B,2,FALSE)))+1),(((D6891/100)*(C6891*VLOOKUP(B6891,'Poids des runes'!A:B,2,FALSE)))+1)/VLOOKUP(B6891,'Poids des runes'!A:B,2,FALSE))</f>
        <v>75.83</v>
      </c>
      <c r="F6891">
        <f t="shared" si="107"/>
        <v>75.83</v>
      </c>
    </row>
    <row r="6892" spans="1:6" x14ac:dyDescent="0.3">
      <c r="A6892" t="s">
        <v>1285</v>
      </c>
      <c r="B6892" t="s">
        <v>2151</v>
      </c>
      <c r="C6892">
        <v>4.5</v>
      </c>
      <c r="D6892">
        <v>186</v>
      </c>
      <c r="E6892">
        <f>IF(OR(B6892="vi",B6892="ii",B6892="pod"),(((D6892/100)*(C6892*VLOOKUP(B6892,'Poids des runes'!A:B,2,FALSE)))+1),(((D6892/100)*(C6892*VLOOKUP(B6892,'Poids des runes'!A:B,2,FALSE)))+1)/VLOOKUP(B6892,'Poids des runes'!A:B,2,FALSE))</f>
        <v>8.4700000000000006</v>
      </c>
      <c r="F6892">
        <f t="shared" si="107"/>
        <v>8.4700000000000006</v>
      </c>
    </row>
    <row r="6893" spans="1:6" x14ac:dyDescent="0.3">
      <c r="A6893" t="s">
        <v>1285</v>
      </c>
      <c r="B6893" t="s">
        <v>2152</v>
      </c>
      <c r="C6893">
        <v>1</v>
      </c>
      <c r="D6893">
        <v>186</v>
      </c>
      <c r="E6893">
        <f>IF(OR(B6893="vi",B6893="ii",B6893="pod"),(((D6893/100)*(C6893*VLOOKUP(B6893,'Poids des runes'!A:B,2,FALSE)))+1),(((D6893/100)*(C6893*VLOOKUP(B6893,'Poids des runes'!A:B,2,FALSE)))+1)/VLOOKUP(B6893,'Poids des runes'!A:B,2,FALSE))</f>
        <v>1.87</v>
      </c>
      <c r="F6893">
        <f t="shared" si="107"/>
        <v>1.87</v>
      </c>
    </row>
    <row r="6894" spans="1:6" x14ac:dyDescent="0.3">
      <c r="A6894" t="s">
        <v>1285</v>
      </c>
      <c r="B6894" t="s">
        <v>2155</v>
      </c>
      <c r="C6894">
        <v>1</v>
      </c>
      <c r="D6894">
        <v>186</v>
      </c>
      <c r="E6894">
        <f>IF(OR(B6894="vi",B6894="ii",B6894="pod"),(((D6894/100)*(C6894*VLOOKUP(B6894,'Poids des runes'!A:B,2,FALSE)))+1),(((D6894/100)*(C6894*VLOOKUP(B6894,'Poids des runes'!A:B,2,FALSE)))+1)/VLOOKUP(B6894,'Poids des runes'!A:B,2,FALSE))</f>
        <v>1.8796078431372549</v>
      </c>
      <c r="F6894">
        <f t="shared" si="107"/>
        <v>1.8796078431372549</v>
      </c>
    </row>
    <row r="6895" spans="1:6" x14ac:dyDescent="0.3">
      <c r="A6895" t="s">
        <v>1285</v>
      </c>
      <c r="B6895" t="s">
        <v>2143</v>
      </c>
      <c r="C6895">
        <v>8.5</v>
      </c>
      <c r="D6895">
        <v>186</v>
      </c>
      <c r="E6895">
        <f>IF(OR(B6895="vi",B6895="ii",B6895="pod"),(((D6895/100)*(C6895*VLOOKUP(B6895,'Poids des runes'!A:B,2,FALSE)))+1),(((D6895/100)*(C6895*VLOOKUP(B6895,'Poids des runes'!A:B,2,FALSE)))+1)/VLOOKUP(B6895,'Poids des runes'!A:B,2,FALSE))</f>
        <v>16.009999999999998</v>
      </c>
      <c r="F6895">
        <f t="shared" si="107"/>
        <v>16.009999999999998</v>
      </c>
    </row>
    <row r="6896" spans="1:6" x14ac:dyDescent="0.3">
      <c r="A6896" t="s">
        <v>1285</v>
      </c>
      <c r="B6896" t="s">
        <v>2133</v>
      </c>
      <c r="C6896">
        <v>8.5</v>
      </c>
      <c r="D6896">
        <v>186</v>
      </c>
      <c r="E6896">
        <f>IF(OR(B6896="vi",B6896="ii",B6896="pod"),(((D6896/100)*(C6896*VLOOKUP(B6896,'Poids des runes'!A:B,2,FALSE)))+1),(((D6896/100)*(C6896*VLOOKUP(B6896,'Poids des runes'!A:B,2,FALSE)))+1)/VLOOKUP(B6896,'Poids des runes'!A:B,2,FALSE))</f>
        <v>16.009999999999998</v>
      </c>
      <c r="F6896">
        <f t="shared" si="107"/>
        <v>16.009999999999998</v>
      </c>
    </row>
    <row r="6897" spans="1:6" x14ac:dyDescent="0.3">
      <c r="A6897" t="s">
        <v>1285</v>
      </c>
      <c r="B6897" t="s">
        <v>2153</v>
      </c>
      <c r="C6897">
        <v>8.5</v>
      </c>
      <c r="D6897">
        <v>186</v>
      </c>
      <c r="E6897">
        <f>IF(OR(B6897="vi",B6897="ii",B6897="pod"),(((D6897/100)*(C6897*VLOOKUP(B6897,'Poids des runes'!A:B,2,FALSE)))+1),(((D6897/100)*(C6897*VLOOKUP(B6897,'Poids des runes'!A:B,2,FALSE)))+1)/VLOOKUP(B6897,'Poids des runes'!A:B,2,FALSE))</f>
        <v>16.009999999999998</v>
      </c>
      <c r="F6897">
        <f t="shared" si="107"/>
        <v>16.009999999999998</v>
      </c>
    </row>
    <row r="6898" spans="1:6" x14ac:dyDescent="0.3">
      <c r="A6898" t="s">
        <v>1285</v>
      </c>
      <c r="B6898" t="s">
        <v>2161</v>
      </c>
      <c r="C6898">
        <v>8.5</v>
      </c>
      <c r="D6898">
        <v>186</v>
      </c>
      <c r="E6898">
        <f>IF(OR(B6898="vi",B6898="ii",B6898="pod"),(((D6898/100)*(C6898*VLOOKUP(B6898,'Poids des runes'!A:B,2,FALSE)))+1),(((D6898/100)*(C6898*VLOOKUP(B6898,'Poids des runes'!A:B,2,FALSE)))+1)/VLOOKUP(B6898,'Poids des runes'!A:B,2,FALSE))</f>
        <v>16.143333333333334</v>
      </c>
      <c r="F6898">
        <f t="shared" si="107"/>
        <v>16.143333333333334</v>
      </c>
    </row>
    <row r="6899" spans="1:6" x14ac:dyDescent="0.3">
      <c r="A6899" t="s">
        <v>1285</v>
      </c>
      <c r="B6899" t="s">
        <v>2138</v>
      </c>
      <c r="C6899">
        <v>4.5</v>
      </c>
      <c r="D6899">
        <v>186</v>
      </c>
      <c r="E6899">
        <f>IF(OR(B6899="vi",B6899="ii",B6899="pod"),(((D6899/100)*(C6899*VLOOKUP(B6899,'Poids des runes'!A:B,2,FALSE)))+1),(((D6899/100)*(C6899*VLOOKUP(B6899,'Poids des runes'!A:B,2,FALSE)))+1)/VLOOKUP(B6899,'Poids des runes'!A:B,2,FALSE))</f>
        <v>8.620000000000001</v>
      </c>
      <c r="F6899">
        <f t="shared" si="107"/>
        <v>8.620000000000001</v>
      </c>
    </row>
    <row r="6900" spans="1:6" x14ac:dyDescent="0.3">
      <c r="A6900" t="s">
        <v>1285</v>
      </c>
      <c r="B6900" t="s">
        <v>2156</v>
      </c>
      <c r="C6900">
        <v>6</v>
      </c>
      <c r="D6900">
        <v>186</v>
      </c>
      <c r="E6900">
        <f>IF(OR(B6900="vi",B6900="ii",B6900="pod"),(((D6900/100)*(C6900*VLOOKUP(B6900,'Poids des runes'!A:B,2,FALSE)))+1),(((D6900/100)*(C6900*VLOOKUP(B6900,'Poids des runes'!A:B,2,FALSE)))+1)/VLOOKUP(B6900,'Poids des runes'!A:B,2,FALSE))</f>
        <v>11.326666666666668</v>
      </c>
      <c r="F6900">
        <f t="shared" si="107"/>
        <v>11.326666666666668</v>
      </c>
    </row>
    <row r="6901" spans="1:6" x14ac:dyDescent="0.3">
      <c r="A6901" t="s">
        <v>1285</v>
      </c>
      <c r="B6901" t="s">
        <v>2147</v>
      </c>
      <c r="C6901">
        <v>6</v>
      </c>
      <c r="D6901">
        <v>186</v>
      </c>
      <c r="E6901">
        <f>IF(OR(B6901="vi",B6901="ii",B6901="pod"),(((D6901/100)*(C6901*VLOOKUP(B6901,'Poids des runes'!A:B,2,FALSE)))+1),(((D6901/100)*(C6901*VLOOKUP(B6901,'Poids des runes'!A:B,2,FALSE)))+1)/VLOOKUP(B6901,'Poids des runes'!A:B,2,FALSE))</f>
        <v>11.326666666666668</v>
      </c>
      <c r="F6901">
        <f t="shared" si="107"/>
        <v>11.326666666666668</v>
      </c>
    </row>
    <row r="6902" spans="1:6" x14ac:dyDescent="0.3">
      <c r="A6902" t="s">
        <v>1286</v>
      </c>
      <c r="B6902" t="s">
        <v>2128</v>
      </c>
      <c r="C6902">
        <v>275.5</v>
      </c>
      <c r="D6902">
        <v>186</v>
      </c>
      <c r="E6902">
        <f>IF(OR(B6902="vi",B6902="ii",B6902="pod"),(((D6902/100)*(C6902*VLOOKUP(B6902,'Poids des runes'!A:B,2,FALSE)))+1),(((D6902/100)*(C6902*VLOOKUP(B6902,'Poids des runes'!A:B,2,FALSE)))+1)/VLOOKUP(B6902,'Poids des runes'!A:B,2,FALSE))</f>
        <v>103.486</v>
      </c>
      <c r="F6902">
        <f t="shared" si="107"/>
        <v>103.486</v>
      </c>
    </row>
    <row r="6903" spans="1:6" x14ac:dyDescent="0.3">
      <c r="A6903" t="s">
        <v>1286</v>
      </c>
      <c r="B6903" t="s">
        <v>2130</v>
      </c>
      <c r="C6903">
        <v>45.5</v>
      </c>
      <c r="D6903">
        <v>186</v>
      </c>
      <c r="E6903">
        <f>IF(OR(B6903="vi",B6903="ii",B6903="pod"),(((D6903/100)*(C6903*VLOOKUP(B6903,'Poids des runes'!A:B,2,FALSE)))+1),(((D6903/100)*(C6903*VLOOKUP(B6903,'Poids des runes'!A:B,2,FALSE)))+1)/VLOOKUP(B6903,'Poids des runes'!A:B,2,FALSE))</f>
        <v>85.63000000000001</v>
      </c>
      <c r="F6903">
        <f t="shared" si="107"/>
        <v>85.63000000000001</v>
      </c>
    </row>
    <row r="6904" spans="1:6" x14ac:dyDescent="0.3">
      <c r="A6904" t="s">
        <v>1286</v>
      </c>
      <c r="B6904" t="s">
        <v>2126</v>
      </c>
      <c r="C6904">
        <v>45.5</v>
      </c>
      <c r="D6904">
        <v>186</v>
      </c>
      <c r="E6904">
        <f>IF(OR(B6904="vi",B6904="ii",B6904="pod"),(((D6904/100)*(C6904*VLOOKUP(B6904,'Poids des runes'!A:B,2,FALSE)))+1),(((D6904/100)*(C6904*VLOOKUP(B6904,'Poids des runes'!A:B,2,FALSE)))+1)/VLOOKUP(B6904,'Poids des runes'!A:B,2,FALSE))</f>
        <v>85.63000000000001</v>
      </c>
      <c r="F6904">
        <f t="shared" si="107"/>
        <v>85.63000000000001</v>
      </c>
    </row>
    <row r="6905" spans="1:6" x14ac:dyDescent="0.3">
      <c r="A6905" t="s">
        <v>1286</v>
      </c>
      <c r="B6905" t="s">
        <v>2129</v>
      </c>
      <c r="C6905">
        <v>35.5</v>
      </c>
      <c r="D6905">
        <v>186</v>
      </c>
      <c r="E6905">
        <f>IF(OR(B6905="vi",B6905="ii",B6905="pod"),(((D6905/100)*(C6905*VLOOKUP(B6905,'Poids des runes'!A:B,2,FALSE)))+1),(((D6905/100)*(C6905*VLOOKUP(B6905,'Poids des runes'!A:B,2,FALSE)))+1)/VLOOKUP(B6905,'Poids des runes'!A:B,2,FALSE))</f>
        <v>67.03</v>
      </c>
      <c r="F6905">
        <f t="shared" si="107"/>
        <v>67.03</v>
      </c>
    </row>
    <row r="6906" spans="1:6" x14ac:dyDescent="0.3">
      <c r="A6906" t="s">
        <v>1286</v>
      </c>
      <c r="B6906" t="s">
        <v>2151</v>
      </c>
      <c r="C6906">
        <v>3.5</v>
      </c>
      <c r="D6906">
        <v>186</v>
      </c>
      <c r="E6906">
        <f>IF(OR(B6906="vi",B6906="ii",B6906="pod"),(((D6906/100)*(C6906*VLOOKUP(B6906,'Poids des runes'!A:B,2,FALSE)))+1),(((D6906/100)*(C6906*VLOOKUP(B6906,'Poids des runes'!A:B,2,FALSE)))+1)/VLOOKUP(B6906,'Poids des runes'!A:B,2,FALSE))</f>
        <v>6.6100000000000012</v>
      </c>
      <c r="F6906">
        <f t="shared" si="107"/>
        <v>6.6100000000000012</v>
      </c>
    </row>
    <row r="6907" spans="1:6" x14ac:dyDescent="0.3">
      <c r="A6907" t="s">
        <v>1286</v>
      </c>
      <c r="B6907" t="s">
        <v>2155</v>
      </c>
      <c r="C6907">
        <v>1</v>
      </c>
      <c r="D6907">
        <v>186</v>
      </c>
      <c r="E6907">
        <f>IF(OR(B6907="vi",B6907="ii",B6907="pod"),(((D6907/100)*(C6907*VLOOKUP(B6907,'Poids des runes'!A:B,2,FALSE)))+1),(((D6907/100)*(C6907*VLOOKUP(B6907,'Poids des runes'!A:B,2,FALSE)))+1)/VLOOKUP(B6907,'Poids des runes'!A:B,2,FALSE))</f>
        <v>1.8796078431372549</v>
      </c>
      <c r="F6907">
        <f t="shared" si="107"/>
        <v>1.8796078431372549</v>
      </c>
    </row>
    <row r="6908" spans="1:6" x14ac:dyDescent="0.3">
      <c r="A6908" t="s">
        <v>1286</v>
      </c>
      <c r="B6908" t="s">
        <v>2143</v>
      </c>
      <c r="C6908">
        <v>10</v>
      </c>
      <c r="D6908">
        <v>186</v>
      </c>
      <c r="E6908">
        <f>IF(OR(B6908="vi",B6908="ii",B6908="pod"),(((D6908/100)*(C6908*VLOOKUP(B6908,'Poids des runes'!A:B,2,FALSE)))+1),(((D6908/100)*(C6908*VLOOKUP(B6908,'Poids des runes'!A:B,2,FALSE)))+1)/VLOOKUP(B6908,'Poids des runes'!A:B,2,FALSE))</f>
        <v>18.8</v>
      </c>
      <c r="F6908">
        <f t="shared" si="107"/>
        <v>18.8</v>
      </c>
    </row>
    <row r="6909" spans="1:6" x14ac:dyDescent="0.3">
      <c r="A6909" t="s">
        <v>1286</v>
      </c>
      <c r="B6909" t="s">
        <v>2140</v>
      </c>
      <c r="C6909">
        <v>10</v>
      </c>
      <c r="D6909">
        <v>186</v>
      </c>
      <c r="E6909">
        <f>IF(OR(B6909="vi",B6909="ii",B6909="pod"),(((D6909/100)*(C6909*VLOOKUP(B6909,'Poids des runes'!A:B,2,FALSE)))+1),(((D6909/100)*(C6909*VLOOKUP(B6909,'Poids des runes'!A:B,2,FALSE)))+1)/VLOOKUP(B6909,'Poids des runes'!A:B,2,FALSE))</f>
        <v>18.8</v>
      </c>
      <c r="F6909">
        <f t="shared" si="107"/>
        <v>18.8</v>
      </c>
    </row>
    <row r="6910" spans="1:6" x14ac:dyDescent="0.3">
      <c r="A6910" t="s">
        <v>1286</v>
      </c>
      <c r="B6910" t="s">
        <v>2132</v>
      </c>
      <c r="C6910">
        <v>350.5</v>
      </c>
      <c r="D6910">
        <v>186</v>
      </c>
      <c r="E6910">
        <f>IF(OR(B6910="vi",B6910="ii",B6910="pod"),(((D6910/100)*(C6910*VLOOKUP(B6910,'Poids des runes'!A:B,2,FALSE)))+1),(((D6910/100)*(C6910*VLOOKUP(B6910,'Poids des runes'!A:B,2,FALSE)))+1)/VLOOKUP(B6910,'Poids des runes'!A:B,2,FALSE))</f>
        <v>66.193000000000012</v>
      </c>
      <c r="F6910">
        <f t="shared" si="107"/>
        <v>66.193000000000012</v>
      </c>
    </row>
    <row r="6911" spans="1:6" x14ac:dyDescent="0.3">
      <c r="A6911" t="s">
        <v>1286</v>
      </c>
      <c r="B6911" t="s">
        <v>2165</v>
      </c>
      <c r="C6911">
        <v>3.5</v>
      </c>
      <c r="D6911">
        <v>186</v>
      </c>
      <c r="E6911">
        <f>IF(OR(B6911="vi",B6911="ii",B6911="pod"),(((D6911/100)*(C6911*VLOOKUP(B6911,'Poids des runes'!A:B,2,FALSE)))+1),(((D6911/100)*(C6911*VLOOKUP(B6911,'Poids des runes'!A:B,2,FALSE)))+1)/VLOOKUP(B6911,'Poids des runes'!A:B,2,FALSE))</f>
        <v>6.652857142857143</v>
      </c>
      <c r="F6911">
        <f t="shared" si="107"/>
        <v>6.652857142857143</v>
      </c>
    </row>
    <row r="6912" spans="1:6" x14ac:dyDescent="0.3">
      <c r="A6912" t="s">
        <v>1286</v>
      </c>
      <c r="B6912" t="s">
        <v>2135</v>
      </c>
      <c r="C6912">
        <v>8.5</v>
      </c>
      <c r="D6912">
        <v>186</v>
      </c>
      <c r="E6912">
        <f>IF(OR(B6912="vi",B6912="ii",B6912="pod"),(((D6912/100)*(C6912*VLOOKUP(B6912,'Poids des runes'!A:B,2,FALSE)))+1),(((D6912/100)*(C6912*VLOOKUP(B6912,'Poids des runes'!A:B,2,FALSE)))+1)/VLOOKUP(B6912,'Poids des runes'!A:B,2,FALSE))</f>
        <v>15.976666666666667</v>
      </c>
      <c r="F6912">
        <f t="shared" si="107"/>
        <v>15.976666666666667</v>
      </c>
    </row>
    <row r="6913" spans="1:6" x14ac:dyDescent="0.3">
      <c r="A6913" t="s">
        <v>1287</v>
      </c>
      <c r="B6913" t="s">
        <v>2128</v>
      </c>
      <c r="C6913">
        <v>125.5</v>
      </c>
      <c r="D6913">
        <v>186</v>
      </c>
      <c r="E6913">
        <f>IF(OR(B6913="vi",B6913="ii",B6913="pod"),(((D6913/100)*(C6913*VLOOKUP(B6913,'Poids des runes'!A:B,2,FALSE)))+1),(((D6913/100)*(C6913*VLOOKUP(B6913,'Poids des runes'!A:B,2,FALSE)))+1)/VLOOKUP(B6913,'Poids des runes'!A:B,2,FALSE))</f>
        <v>47.686000000000007</v>
      </c>
      <c r="F6913">
        <f t="shared" si="107"/>
        <v>47.686000000000007</v>
      </c>
    </row>
    <row r="6914" spans="1:6" x14ac:dyDescent="0.3">
      <c r="A6914" t="s">
        <v>1287</v>
      </c>
      <c r="B6914" t="s">
        <v>2126</v>
      </c>
      <c r="C6914">
        <v>40.5</v>
      </c>
      <c r="D6914">
        <v>186</v>
      </c>
      <c r="E6914">
        <f>IF(OR(B6914="vi",B6914="ii",B6914="pod"),(((D6914/100)*(C6914*VLOOKUP(B6914,'Poids des runes'!A:B,2,FALSE)))+1),(((D6914/100)*(C6914*VLOOKUP(B6914,'Poids des runes'!A:B,2,FALSE)))+1)/VLOOKUP(B6914,'Poids des runes'!A:B,2,FALSE))</f>
        <v>76.33</v>
      </c>
      <c r="F6914">
        <f t="shared" si="107"/>
        <v>76.33</v>
      </c>
    </row>
    <row r="6915" spans="1:6" x14ac:dyDescent="0.3">
      <c r="A6915" t="s">
        <v>1287</v>
      </c>
      <c r="B6915" t="s">
        <v>2129</v>
      </c>
      <c r="C6915">
        <v>35.5</v>
      </c>
      <c r="D6915">
        <v>186</v>
      </c>
      <c r="E6915">
        <f>IF(OR(B6915="vi",B6915="ii",B6915="pod"),(((D6915/100)*(C6915*VLOOKUP(B6915,'Poids des runes'!A:B,2,FALSE)))+1),(((D6915/100)*(C6915*VLOOKUP(B6915,'Poids des runes'!A:B,2,FALSE)))+1)/VLOOKUP(B6915,'Poids des runes'!A:B,2,FALSE))</f>
        <v>67.03</v>
      </c>
      <c r="F6915">
        <f t="shared" ref="F6915:F6978" si="108">E6915</f>
        <v>67.03</v>
      </c>
    </row>
    <row r="6916" spans="1:6" x14ac:dyDescent="0.3">
      <c r="A6916" t="s">
        <v>1287</v>
      </c>
      <c r="B6916" t="s">
        <v>2150</v>
      </c>
      <c r="C6916">
        <v>2</v>
      </c>
      <c r="D6916">
        <v>186</v>
      </c>
      <c r="E6916">
        <f>IF(OR(B6916="vi",B6916="ii",B6916="pod"),(((D6916/100)*(C6916*VLOOKUP(B6916,'Poids des runes'!A:B,2,FALSE)))+1),(((D6916/100)*(C6916*VLOOKUP(B6916,'Poids des runes'!A:B,2,FALSE)))+1)/VLOOKUP(B6916,'Poids des runes'!A:B,2,FALSE))</f>
        <v>3.7533333333333334</v>
      </c>
      <c r="F6916">
        <f t="shared" si="108"/>
        <v>3.7533333333333334</v>
      </c>
    </row>
    <row r="6917" spans="1:6" x14ac:dyDescent="0.3">
      <c r="A6917" t="s">
        <v>1287</v>
      </c>
      <c r="B6917" t="s">
        <v>2134</v>
      </c>
      <c r="C6917">
        <v>4.5</v>
      </c>
      <c r="D6917">
        <v>186</v>
      </c>
      <c r="E6917">
        <f>IF(OR(B6917="vi",B6917="ii",B6917="pod"),(((D6917/100)*(C6917*VLOOKUP(B6917,'Poids des runes'!A:B,2,FALSE)))+1),(((D6917/100)*(C6917*VLOOKUP(B6917,'Poids des runes'!A:B,2,FALSE)))+1)/VLOOKUP(B6917,'Poids des runes'!A:B,2,FALSE))</f>
        <v>8.42</v>
      </c>
      <c r="F6917">
        <f t="shared" si="108"/>
        <v>8.42</v>
      </c>
    </row>
    <row r="6918" spans="1:6" x14ac:dyDescent="0.3">
      <c r="A6918" t="s">
        <v>1287</v>
      </c>
      <c r="B6918" t="s">
        <v>2149</v>
      </c>
      <c r="C6918">
        <v>8</v>
      </c>
      <c r="D6918">
        <v>186</v>
      </c>
      <c r="E6918">
        <f>IF(OR(B6918="vi",B6918="ii",B6918="pod"),(((D6918/100)*(C6918*VLOOKUP(B6918,'Poids des runes'!A:B,2,FALSE)))+1),(((D6918/100)*(C6918*VLOOKUP(B6918,'Poids des runes'!A:B,2,FALSE)))+1)/VLOOKUP(B6918,'Poids des runes'!A:B,2,FALSE))</f>
        <v>14.98</v>
      </c>
      <c r="F6918">
        <f t="shared" si="108"/>
        <v>14.98</v>
      </c>
    </row>
    <row r="6919" spans="1:6" x14ac:dyDescent="0.3">
      <c r="A6919" t="s">
        <v>1287</v>
      </c>
      <c r="B6919" t="s">
        <v>2161</v>
      </c>
      <c r="C6919">
        <v>13</v>
      </c>
      <c r="D6919">
        <v>186</v>
      </c>
      <c r="E6919">
        <f>IF(OR(B6919="vi",B6919="ii",B6919="pod"),(((D6919/100)*(C6919*VLOOKUP(B6919,'Poids des runes'!A:B,2,FALSE)))+1),(((D6919/100)*(C6919*VLOOKUP(B6919,'Poids des runes'!A:B,2,FALSE)))+1)/VLOOKUP(B6919,'Poids des runes'!A:B,2,FALSE))</f>
        <v>24.513333333333335</v>
      </c>
      <c r="F6919">
        <f t="shared" si="108"/>
        <v>24.513333333333335</v>
      </c>
    </row>
    <row r="6920" spans="1:6" x14ac:dyDescent="0.3">
      <c r="A6920" t="s">
        <v>1287</v>
      </c>
      <c r="B6920" t="s">
        <v>2157</v>
      </c>
      <c r="C6920">
        <v>8</v>
      </c>
      <c r="D6920">
        <v>186</v>
      </c>
      <c r="E6920">
        <f>IF(OR(B6920="vi",B6920="ii",B6920="pod"),(((D6920/100)*(C6920*VLOOKUP(B6920,'Poids des runes'!A:B,2,FALSE)))+1),(((D6920/100)*(C6920*VLOOKUP(B6920,'Poids des runes'!A:B,2,FALSE)))+1)/VLOOKUP(B6920,'Poids des runes'!A:B,2,FALSE))</f>
        <v>15.046666666666667</v>
      </c>
      <c r="F6920">
        <f t="shared" si="108"/>
        <v>15.046666666666667</v>
      </c>
    </row>
    <row r="6921" spans="1:6" x14ac:dyDescent="0.3">
      <c r="A6921" t="s">
        <v>1287</v>
      </c>
      <c r="B6921" t="s">
        <v>2136</v>
      </c>
      <c r="C6921">
        <v>8</v>
      </c>
      <c r="D6921">
        <v>186</v>
      </c>
      <c r="E6921">
        <f>IF(OR(B6921="vi",B6921="ii",B6921="pod"),(((D6921/100)*(C6921*VLOOKUP(B6921,'Poids des runes'!A:B,2,FALSE)))+1),(((D6921/100)*(C6921*VLOOKUP(B6921,'Poids des runes'!A:B,2,FALSE)))+1)/VLOOKUP(B6921,'Poids des runes'!A:B,2,FALSE))</f>
        <v>15.38</v>
      </c>
      <c r="F6921">
        <f t="shared" si="108"/>
        <v>15.38</v>
      </c>
    </row>
    <row r="6922" spans="1:6" x14ac:dyDescent="0.3">
      <c r="A6922" t="s">
        <v>1287</v>
      </c>
      <c r="B6922" t="s">
        <v>2145</v>
      </c>
      <c r="C6922">
        <v>8</v>
      </c>
      <c r="D6922">
        <v>186</v>
      </c>
      <c r="E6922">
        <f>IF(OR(B6922="vi",B6922="ii",B6922="pod"),(((D6922/100)*(C6922*VLOOKUP(B6922,'Poids des runes'!A:B,2,FALSE)))+1),(((D6922/100)*(C6922*VLOOKUP(B6922,'Poids des runes'!A:B,2,FALSE)))+1)/VLOOKUP(B6922,'Poids des runes'!A:B,2,FALSE))</f>
        <v>15.38</v>
      </c>
      <c r="F6922">
        <f t="shared" si="108"/>
        <v>15.38</v>
      </c>
    </row>
    <row r="6923" spans="1:6" x14ac:dyDescent="0.3">
      <c r="A6923" t="s">
        <v>1288</v>
      </c>
      <c r="B6923" t="s">
        <v>2128</v>
      </c>
      <c r="C6923">
        <v>175.5</v>
      </c>
      <c r="D6923">
        <v>187</v>
      </c>
      <c r="E6923">
        <f>IF(OR(B6923="vi",B6923="ii",B6923="pod"),(((D6923/100)*(C6923*VLOOKUP(B6923,'Poids des runes'!A:B,2,FALSE)))+1),(((D6923/100)*(C6923*VLOOKUP(B6923,'Poids des runes'!A:B,2,FALSE)))+1)/VLOOKUP(B6923,'Poids des runes'!A:B,2,FALSE))</f>
        <v>66.637</v>
      </c>
      <c r="F6923">
        <f t="shared" si="108"/>
        <v>66.637</v>
      </c>
    </row>
    <row r="6924" spans="1:6" x14ac:dyDescent="0.3">
      <c r="A6924" t="s">
        <v>1288</v>
      </c>
      <c r="B6924" t="s">
        <v>2130</v>
      </c>
      <c r="C6924">
        <v>40.5</v>
      </c>
      <c r="D6924">
        <v>187</v>
      </c>
      <c r="E6924">
        <f>IF(OR(B6924="vi",B6924="ii",B6924="pod"),(((D6924/100)*(C6924*VLOOKUP(B6924,'Poids des runes'!A:B,2,FALSE)))+1),(((D6924/100)*(C6924*VLOOKUP(B6924,'Poids des runes'!A:B,2,FALSE)))+1)/VLOOKUP(B6924,'Poids des runes'!A:B,2,FALSE))</f>
        <v>76.734999999999999</v>
      </c>
      <c r="F6924">
        <f t="shared" si="108"/>
        <v>76.734999999999999</v>
      </c>
    </row>
    <row r="6925" spans="1:6" x14ac:dyDescent="0.3">
      <c r="A6925" t="s">
        <v>1288</v>
      </c>
      <c r="B6925" t="s">
        <v>2126</v>
      </c>
      <c r="C6925">
        <v>35.5</v>
      </c>
      <c r="D6925">
        <v>187</v>
      </c>
      <c r="E6925">
        <f>IF(OR(B6925="vi",B6925="ii",B6925="pod"),(((D6925/100)*(C6925*VLOOKUP(B6925,'Poids des runes'!A:B,2,FALSE)))+1),(((D6925/100)*(C6925*VLOOKUP(B6925,'Poids des runes'!A:B,2,FALSE)))+1)/VLOOKUP(B6925,'Poids des runes'!A:B,2,FALSE))</f>
        <v>67.385000000000005</v>
      </c>
      <c r="F6925">
        <f t="shared" si="108"/>
        <v>67.385000000000005</v>
      </c>
    </row>
    <row r="6926" spans="1:6" x14ac:dyDescent="0.3">
      <c r="A6926" t="s">
        <v>1288</v>
      </c>
      <c r="B6926" t="s">
        <v>2129</v>
      </c>
      <c r="C6926">
        <v>20.5</v>
      </c>
      <c r="D6926">
        <v>187</v>
      </c>
      <c r="E6926">
        <f>IF(OR(B6926="vi",B6926="ii",B6926="pod"),(((D6926/100)*(C6926*VLOOKUP(B6926,'Poids des runes'!A:B,2,FALSE)))+1),(((D6926/100)*(C6926*VLOOKUP(B6926,'Poids des runes'!A:B,2,FALSE)))+1)/VLOOKUP(B6926,'Poids des runes'!A:B,2,FALSE))</f>
        <v>39.335000000000001</v>
      </c>
      <c r="F6926">
        <f t="shared" si="108"/>
        <v>39.335000000000001</v>
      </c>
    </row>
    <row r="6927" spans="1:6" x14ac:dyDescent="0.3">
      <c r="A6927" t="s">
        <v>1288</v>
      </c>
      <c r="B6927" t="s">
        <v>2155</v>
      </c>
      <c r="C6927">
        <v>1</v>
      </c>
      <c r="D6927">
        <v>187</v>
      </c>
      <c r="E6927">
        <f>IF(OR(B6927="vi",B6927="ii",B6927="pod"),(((D6927/100)*(C6927*VLOOKUP(B6927,'Poids des runes'!A:B,2,FALSE)))+1),(((D6927/100)*(C6927*VLOOKUP(B6927,'Poids des runes'!A:B,2,FALSE)))+1)/VLOOKUP(B6927,'Poids des runes'!A:B,2,FALSE))</f>
        <v>1.8896078431372549</v>
      </c>
      <c r="F6927">
        <f t="shared" si="108"/>
        <v>1.8896078431372549</v>
      </c>
    </row>
    <row r="6928" spans="1:6" x14ac:dyDescent="0.3">
      <c r="A6928" t="s">
        <v>1288</v>
      </c>
      <c r="B6928" t="s">
        <v>2143</v>
      </c>
      <c r="C6928">
        <v>8.5</v>
      </c>
      <c r="D6928">
        <v>187</v>
      </c>
      <c r="E6928">
        <f>IF(OR(B6928="vi",B6928="ii",B6928="pod"),(((D6928/100)*(C6928*VLOOKUP(B6928,'Poids des runes'!A:B,2,FALSE)))+1),(((D6928/100)*(C6928*VLOOKUP(B6928,'Poids des runes'!A:B,2,FALSE)))+1)/VLOOKUP(B6928,'Poids des runes'!A:B,2,FALSE))</f>
        <v>16.095000000000002</v>
      </c>
      <c r="F6928">
        <f t="shared" si="108"/>
        <v>16.095000000000002</v>
      </c>
    </row>
    <row r="6929" spans="1:6" x14ac:dyDescent="0.3">
      <c r="A6929" t="s">
        <v>1288</v>
      </c>
      <c r="B6929" t="s">
        <v>2140</v>
      </c>
      <c r="C6929">
        <v>7</v>
      </c>
      <c r="D6929">
        <v>187</v>
      </c>
      <c r="E6929">
        <f>IF(OR(B6929="vi",B6929="ii",B6929="pod"),(((D6929/100)*(C6929*VLOOKUP(B6929,'Poids des runes'!A:B,2,FALSE)))+1),(((D6929/100)*(C6929*VLOOKUP(B6929,'Poids des runes'!A:B,2,FALSE)))+1)/VLOOKUP(B6929,'Poids des runes'!A:B,2,FALSE))</f>
        <v>13.290000000000001</v>
      </c>
      <c r="F6929">
        <f t="shared" si="108"/>
        <v>13.290000000000001</v>
      </c>
    </row>
    <row r="6930" spans="1:6" x14ac:dyDescent="0.3">
      <c r="A6930" t="s">
        <v>1288</v>
      </c>
      <c r="B6930" t="s">
        <v>2161</v>
      </c>
      <c r="C6930">
        <v>8.5</v>
      </c>
      <c r="D6930">
        <v>187</v>
      </c>
      <c r="E6930">
        <f>IF(OR(B6930="vi",B6930="ii",B6930="pod"),(((D6930/100)*(C6930*VLOOKUP(B6930,'Poids des runes'!A:B,2,FALSE)))+1),(((D6930/100)*(C6930*VLOOKUP(B6930,'Poids des runes'!A:B,2,FALSE)))+1)/VLOOKUP(B6930,'Poids des runes'!A:B,2,FALSE))</f>
        <v>16.228333333333335</v>
      </c>
      <c r="F6930">
        <f t="shared" si="108"/>
        <v>16.228333333333335</v>
      </c>
    </row>
    <row r="6931" spans="1:6" x14ac:dyDescent="0.3">
      <c r="A6931" t="s">
        <v>1288</v>
      </c>
      <c r="B6931" t="s">
        <v>2163</v>
      </c>
      <c r="C6931">
        <v>13</v>
      </c>
      <c r="D6931">
        <v>187</v>
      </c>
      <c r="E6931">
        <f>IF(OR(B6931="vi",B6931="ii",B6931="pod"),(((D6931/100)*(C6931*VLOOKUP(B6931,'Poids des runes'!A:B,2,FALSE)))+1),(((D6931/100)*(C6931*VLOOKUP(B6931,'Poids des runes'!A:B,2,FALSE)))+1)/VLOOKUP(B6931,'Poids des runes'!A:B,2,FALSE))</f>
        <v>24.810000000000002</v>
      </c>
      <c r="F6931">
        <f t="shared" si="108"/>
        <v>24.810000000000002</v>
      </c>
    </row>
    <row r="6932" spans="1:6" x14ac:dyDescent="0.3">
      <c r="A6932" t="s">
        <v>1289</v>
      </c>
      <c r="B6932" t="s">
        <v>2128</v>
      </c>
      <c r="C6932">
        <v>275.5</v>
      </c>
      <c r="D6932">
        <v>187</v>
      </c>
      <c r="E6932">
        <f>IF(OR(B6932="vi",B6932="ii",B6932="pod"),(((D6932/100)*(C6932*VLOOKUP(B6932,'Poids des runes'!A:B,2,FALSE)))+1),(((D6932/100)*(C6932*VLOOKUP(B6932,'Poids des runes'!A:B,2,FALSE)))+1)/VLOOKUP(B6932,'Poids des runes'!A:B,2,FALSE))</f>
        <v>104.03700000000001</v>
      </c>
      <c r="F6932">
        <f t="shared" si="108"/>
        <v>104.03700000000001</v>
      </c>
    </row>
    <row r="6933" spans="1:6" x14ac:dyDescent="0.3">
      <c r="A6933" t="s">
        <v>1289</v>
      </c>
      <c r="B6933" t="s">
        <v>2126</v>
      </c>
      <c r="C6933">
        <v>70.5</v>
      </c>
      <c r="D6933">
        <v>187</v>
      </c>
      <c r="E6933">
        <f>IF(OR(B6933="vi",B6933="ii",B6933="pod"),(((D6933/100)*(C6933*VLOOKUP(B6933,'Poids des runes'!A:B,2,FALSE)))+1),(((D6933/100)*(C6933*VLOOKUP(B6933,'Poids des runes'!A:B,2,FALSE)))+1)/VLOOKUP(B6933,'Poids des runes'!A:B,2,FALSE))</f>
        <v>132.83500000000001</v>
      </c>
      <c r="F6933">
        <f t="shared" si="108"/>
        <v>132.83500000000001</v>
      </c>
    </row>
    <row r="6934" spans="1:6" x14ac:dyDescent="0.3">
      <c r="A6934" t="s">
        <v>1289</v>
      </c>
      <c r="B6934" t="s">
        <v>2129</v>
      </c>
      <c r="C6934">
        <v>45.5</v>
      </c>
      <c r="D6934">
        <v>187</v>
      </c>
      <c r="E6934">
        <f>IF(OR(B6934="vi",B6934="ii",B6934="pod"),(((D6934/100)*(C6934*VLOOKUP(B6934,'Poids des runes'!A:B,2,FALSE)))+1),(((D6934/100)*(C6934*VLOOKUP(B6934,'Poids des runes'!A:B,2,FALSE)))+1)/VLOOKUP(B6934,'Poids des runes'!A:B,2,FALSE))</f>
        <v>86.085000000000008</v>
      </c>
      <c r="F6934">
        <f t="shared" si="108"/>
        <v>86.085000000000008</v>
      </c>
    </row>
    <row r="6935" spans="1:6" x14ac:dyDescent="0.3">
      <c r="A6935" t="s">
        <v>1289</v>
      </c>
      <c r="B6935" t="s">
        <v>2155</v>
      </c>
      <c r="C6935">
        <v>1</v>
      </c>
      <c r="D6935">
        <v>187</v>
      </c>
      <c r="E6935">
        <f>IF(OR(B6935="vi",B6935="ii",B6935="pod"),(((D6935/100)*(C6935*VLOOKUP(B6935,'Poids des runes'!A:B,2,FALSE)))+1),(((D6935/100)*(C6935*VLOOKUP(B6935,'Poids des runes'!A:B,2,FALSE)))+1)/VLOOKUP(B6935,'Poids des runes'!A:B,2,FALSE))</f>
        <v>1.8896078431372549</v>
      </c>
      <c r="F6935">
        <f t="shared" si="108"/>
        <v>1.8896078431372549</v>
      </c>
    </row>
    <row r="6936" spans="1:6" x14ac:dyDescent="0.3">
      <c r="A6936" t="s">
        <v>1289</v>
      </c>
      <c r="B6936" t="s">
        <v>2140</v>
      </c>
      <c r="C6936">
        <v>18</v>
      </c>
      <c r="D6936">
        <v>187</v>
      </c>
      <c r="E6936">
        <f>IF(OR(B6936="vi",B6936="ii",B6936="pod"),(((D6936/100)*(C6936*VLOOKUP(B6936,'Poids des runes'!A:B,2,FALSE)))+1),(((D6936/100)*(C6936*VLOOKUP(B6936,'Poids des runes'!A:B,2,FALSE)))+1)/VLOOKUP(B6936,'Poids des runes'!A:B,2,FALSE))</f>
        <v>33.86</v>
      </c>
      <c r="F6936">
        <f t="shared" si="108"/>
        <v>33.86</v>
      </c>
    </row>
    <row r="6937" spans="1:6" x14ac:dyDescent="0.3">
      <c r="A6937" t="s">
        <v>1289</v>
      </c>
      <c r="B6937" t="s">
        <v>2149</v>
      </c>
      <c r="C6937">
        <v>8.5</v>
      </c>
      <c r="D6937">
        <v>187</v>
      </c>
      <c r="E6937">
        <f>IF(OR(B6937="vi",B6937="ii",B6937="pod"),(((D6937/100)*(C6937*VLOOKUP(B6937,'Poids des runes'!A:B,2,FALSE)))+1),(((D6937/100)*(C6937*VLOOKUP(B6937,'Poids des runes'!A:B,2,FALSE)))+1)/VLOOKUP(B6937,'Poids des runes'!A:B,2,FALSE))</f>
        <v>15.995000000000001</v>
      </c>
      <c r="F6937">
        <f t="shared" si="108"/>
        <v>15.995000000000001</v>
      </c>
    </row>
    <row r="6938" spans="1:6" x14ac:dyDescent="0.3">
      <c r="A6938" t="s">
        <v>1289</v>
      </c>
      <c r="B6938" t="s">
        <v>2161</v>
      </c>
      <c r="C6938">
        <v>20.5</v>
      </c>
      <c r="D6938">
        <v>187</v>
      </c>
      <c r="E6938">
        <f>IF(OR(B6938="vi",B6938="ii",B6938="pod"),(((D6938/100)*(C6938*VLOOKUP(B6938,'Poids des runes'!A:B,2,FALSE)))+1),(((D6938/100)*(C6938*VLOOKUP(B6938,'Poids des runes'!A:B,2,FALSE)))+1)/VLOOKUP(B6938,'Poids des runes'!A:B,2,FALSE))</f>
        <v>38.668333333333337</v>
      </c>
      <c r="F6938">
        <f t="shared" si="108"/>
        <v>38.668333333333337</v>
      </c>
    </row>
    <row r="6939" spans="1:6" x14ac:dyDescent="0.3">
      <c r="A6939" t="s">
        <v>1289</v>
      </c>
      <c r="B6939" t="s">
        <v>2141</v>
      </c>
      <c r="C6939">
        <v>8.5</v>
      </c>
      <c r="D6939">
        <v>187</v>
      </c>
      <c r="E6939">
        <f>IF(OR(B6939="vi",B6939="ii",B6939="pod"),(((D6939/100)*(C6939*VLOOKUP(B6939,'Poids des runes'!A:B,2,FALSE)))+1),(((D6939/100)*(C6939*VLOOKUP(B6939,'Poids des runes'!A:B,2,FALSE)))+1)/VLOOKUP(B6939,'Poids des runes'!A:B,2,FALSE))</f>
        <v>16.145000000000003</v>
      </c>
      <c r="F6939">
        <f t="shared" si="108"/>
        <v>16.145000000000003</v>
      </c>
    </row>
    <row r="6940" spans="1:6" x14ac:dyDescent="0.3">
      <c r="A6940" t="s">
        <v>1289</v>
      </c>
      <c r="B6940" t="s">
        <v>2137</v>
      </c>
      <c r="C6940">
        <v>20.5</v>
      </c>
      <c r="D6940">
        <v>187</v>
      </c>
      <c r="E6940">
        <f>IF(OR(B6940="vi",B6940="ii",B6940="pod"),(((D6940/100)*(C6940*VLOOKUP(B6940,'Poids des runes'!A:B,2,FALSE)))+1),(((D6940/100)*(C6940*VLOOKUP(B6940,'Poids des runes'!A:B,2,FALSE)))+1)/VLOOKUP(B6940,'Poids des runes'!A:B,2,FALSE))</f>
        <v>38.835000000000001</v>
      </c>
      <c r="F6940">
        <f t="shared" si="108"/>
        <v>38.835000000000001</v>
      </c>
    </row>
    <row r="6941" spans="1:6" x14ac:dyDescent="0.3">
      <c r="A6941" t="s">
        <v>1290</v>
      </c>
      <c r="B6941" t="s">
        <v>2128</v>
      </c>
      <c r="C6941">
        <v>125.5</v>
      </c>
      <c r="D6941">
        <v>188</v>
      </c>
      <c r="E6941">
        <f>IF(OR(B6941="vi",B6941="ii",B6941="pod"),(((D6941/100)*(C6941*VLOOKUP(B6941,'Poids des runes'!A:B,2,FALSE)))+1),(((D6941/100)*(C6941*VLOOKUP(B6941,'Poids des runes'!A:B,2,FALSE)))+1)/VLOOKUP(B6941,'Poids des runes'!A:B,2,FALSE))</f>
        <v>48.188000000000002</v>
      </c>
      <c r="F6941">
        <f t="shared" si="108"/>
        <v>48.188000000000002</v>
      </c>
    </row>
    <row r="6942" spans="1:6" x14ac:dyDescent="0.3">
      <c r="A6942" t="s">
        <v>1290</v>
      </c>
      <c r="B6942" t="s">
        <v>2127</v>
      </c>
      <c r="C6942">
        <v>40.5</v>
      </c>
      <c r="D6942">
        <v>188</v>
      </c>
      <c r="E6942">
        <f>IF(OR(B6942="vi",B6942="ii",B6942="pod"),(((D6942/100)*(C6942*VLOOKUP(B6942,'Poids des runes'!A:B,2,FALSE)))+1),(((D6942/100)*(C6942*VLOOKUP(B6942,'Poids des runes'!A:B,2,FALSE)))+1)/VLOOKUP(B6942,'Poids des runes'!A:B,2,FALSE))</f>
        <v>77.14</v>
      </c>
      <c r="F6942">
        <f t="shared" si="108"/>
        <v>77.14</v>
      </c>
    </row>
    <row r="6943" spans="1:6" x14ac:dyDescent="0.3">
      <c r="A6943" t="s">
        <v>1290</v>
      </c>
      <c r="B6943" t="s">
        <v>2129</v>
      </c>
      <c r="C6943">
        <v>35.5</v>
      </c>
      <c r="D6943">
        <v>188</v>
      </c>
      <c r="E6943">
        <f>IF(OR(B6943="vi",B6943="ii",B6943="pod"),(((D6943/100)*(C6943*VLOOKUP(B6943,'Poids des runes'!A:B,2,FALSE)))+1),(((D6943/100)*(C6943*VLOOKUP(B6943,'Poids des runes'!A:B,2,FALSE)))+1)/VLOOKUP(B6943,'Poids des runes'!A:B,2,FALSE))</f>
        <v>67.739999999999995</v>
      </c>
      <c r="F6943">
        <f t="shared" si="108"/>
        <v>67.739999999999995</v>
      </c>
    </row>
    <row r="6944" spans="1:6" x14ac:dyDescent="0.3">
      <c r="A6944" t="s">
        <v>1290</v>
      </c>
      <c r="B6944" t="s">
        <v>2155</v>
      </c>
      <c r="C6944">
        <v>1</v>
      </c>
      <c r="D6944">
        <v>188</v>
      </c>
      <c r="E6944">
        <f>IF(OR(B6944="vi",B6944="ii",B6944="pod"),(((D6944/100)*(C6944*VLOOKUP(B6944,'Poids des runes'!A:B,2,FALSE)))+1),(((D6944/100)*(C6944*VLOOKUP(B6944,'Poids des runes'!A:B,2,FALSE)))+1)/VLOOKUP(B6944,'Poids des runes'!A:B,2,FALSE))</f>
        <v>1.8996078431372547</v>
      </c>
      <c r="F6944">
        <f t="shared" si="108"/>
        <v>1.8996078431372547</v>
      </c>
    </row>
    <row r="6945" spans="1:6" x14ac:dyDescent="0.3">
      <c r="A6945" t="s">
        <v>1290</v>
      </c>
      <c r="B6945" t="s">
        <v>2134</v>
      </c>
      <c r="C6945">
        <v>6</v>
      </c>
      <c r="D6945">
        <v>188</v>
      </c>
      <c r="E6945">
        <f>IF(OR(B6945="vi",B6945="ii",B6945="pod"),(((D6945/100)*(C6945*VLOOKUP(B6945,'Poids des runes'!A:B,2,FALSE)))+1),(((D6945/100)*(C6945*VLOOKUP(B6945,'Poids des runes'!A:B,2,FALSE)))+1)/VLOOKUP(B6945,'Poids des runes'!A:B,2,FALSE))</f>
        <v>11.33</v>
      </c>
      <c r="F6945">
        <f t="shared" si="108"/>
        <v>11.33</v>
      </c>
    </row>
    <row r="6946" spans="1:6" x14ac:dyDescent="0.3">
      <c r="A6946" t="s">
        <v>1290</v>
      </c>
      <c r="B6946" t="s">
        <v>2161</v>
      </c>
      <c r="C6946">
        <v>15.5</v>
      </c>
      <c r="D6946">
        <v>188</v>
      </c>
      <c r="E6946">
        <f>IF(OR(B6946="vi",B6946="ii",B6946="pod"),(((D6946/100)*(C6946*VLOOKUP(B6946,'Poids des runes'!A:B,2,FALSE)))+1),(((D6946/100)*(C6946*VLOOKUP(B6946,'Poids des runes'!A:B,2,FALSE)))+1)/VLOOKUP(B6946,'Poids des runes'!A:B,2,FALSE))</f>
        <v>29.473333333333333</v>
      </c>
      <c r="F6946">
        <f t="shared" si="108"/>
        <v>29.473333333333333</v>
      </c>
    </row>
    <row r="6947" spans="1:6" x14ac:dyDescent="0.3">
      <c r="A6947" t="s">
        <v>1290</v>
      </c>
      <c r="B6947" t="s">
        <v>2132</v>
      </c>
      <c r="C6947">
        <v>250.5</v>
      </c>
      <c r="D6947">
        <v>188</v>
      </c>
      <c r="E6947">
        <f>IF(OR(B6947="vi",B6947="ii",B6947="pod"),(((D6947/100)*(C6947*VLOOKUP(B6947,'Poids des runes'!A:B,2,FALSE)))+1),(((D6947/100)*(C6947*VLOOKUP(B6947,'Poids des runes'!A:B,2,FALSE)))+1)/VLOOKUP(B6947,'Poids des runes'!A:B,2,FALSE))</f>
        <v>48.094000000000001</v>
      </c>
      <c r="F6947">
        <f t="shared" si="108"/>
        <v>48.094000000000001</v>
      </c>
    </row>
    <row r="6948" spans="1:6" x14ac:dyDescent="0.3">
      <c r="A6948" t="s">
        <v>1290</v>
      </c>
      <c r="B6948" t="s">
        <v>2163</v>
      </c>
      <c r="C6948">
        <v>13</v>
      </c>
      <c r="D6948">
        <v>188</v>
      </c>
      <c r="E6948">
        <f>IF(OR(B6948="vi",B6948="ii",B6948="pod"),(((D6948/100)*(C6948*VLOOKUP(B6948,'Poids des runes'!A:B,2,FALSE)))+1),(((D6948/100)*(C6948*VLOOKUP(B6948,'Poids des runes'!A:B,2,FALSE)))+1)/VLOOKUP(B6948,'Poids des runes'!A:B,2,FALSE))</f>
        <v>24.939999999999998</v>
      </c>
      <c r="F6948">
        <f t="shared" si="108"/>
        <v>24.939999999999998</v>
      </c>
    </row>
    <row r="6949" spans="1:6" x14ac:dyDescent="0.3">
      <c r="A6949" t="s">
        <v>1290</v>
      </c>
      <c r="B6949" t="s">
        <v>2135</v>
      </c>
      <c r="C6949">
        <v>8</v>
      </c>
      <c r="D6949">
        <v>188</v>
      </c>
      <c r="E6949">
        <f>IF(OR(B6949="vi",B6949="ii",B6949="pod"),(((D6949/100)*(C6949*VLOOKUP(B6949,'Poids des runes'!A:B,2,FALSE)))+1),(((D6949/100)*(C6949*VLOOKUP(B6949,'Poids des runes'!A:B,2,FALSE)))+1)/VLOOKUP(B6949,'Poids des runes'!A:B,2,FALSE))</f>
        <v>15.206666666666665</v>
      </c>
      <c r="F6949">
        <f t="shared" si="108"/>
        <v>15.206666666666665</v>
      </c>
    </row>
    <row r="6950" spans="1:6" x14ac:dyDescent="0.3">
      <c r="A6950" t="s">
        <v>1290</v>
      </c>
      <c r="B6950" t="s">
        <v>2136</v>
      </c>
      <c r="C6950">
        <v>8</v>
      </c>
      <c r="D6950">
        <v>188</v>
      </c>
      <c r="E6950">
        <f>IF(OR(B6950="vi",B6950="ii",B6950="pod"),(((D6950/100)*(C6950*VLOOKUP(B6950,'Poids des runes'!A:B,2,FALSE)))+1),(((D6950/100)*(C6950*VLOOKUP(B6950,'Poids des runes'!A:B,2,FALSE)))+1)/VLOOKUP(B6950,'Poids des runes'!A:B,2,FALSE))</f>
        <v>15.54</v>
      </c>
      <c r="F6950">
        <f t="shared" si="108"/>
        <v>15.54</v>
      </c>
    </row>
    <row r="6951" spans="1:6" x14ac:dyDescent="0.3">
      <c r="A6951" t="s">
        <v>1290</v>
      </c>
      <c r="B6951" t="s">
        <v>2137</v>
      </c>
      <c r="C6951">
        <v>8</v>
      </c>
      <c r="D6951">
        <v>188</v>
      </c>
      <c r="E6951">
        <f>IF(OR(B6951="vi",B6951="ii",B6951="pod"),(((D6951/100)*(C6951*VLOOKUP(B6951,'Poids des runes'!A:B,2,FALSE)))+1),(((D6951/100)*(C6951*VLOOKUP(B6951,'Poids des runes'!A:B,2,FALSE)))+1)/VLOOKUP(B6951,'Poids des runes'!A:B,2,FALSE))</f>
        <v>15.54</v>
      </c>
      <c r="F6951">
        <f t="shared" si="108"/>
        <v>15.54</v>
      </c>
    </row>
    <row r="6952" spans="1:6" x14ac:dyDescent="0.3">
      <c r="A6952" t="s">
        <v>1290</v>
      </c>
      <c r="B6952" t="s">
        <v>2145</v>
      </c>
      <c r="C6952">
        <v>8</v>
      </c>
      <c r="D6952">
        <v>188</v>
      </c>
      <c r="E6952">
        <f>IF(OR(B6952="vi",B6952="ii",B6952="pod"),(((D6952/100)*(C6952*VLOOKUP(B6952,'Poids des runes'!A:B,2,FALSE)))+1),(((D6952/100)*(C6952*VLOOKUP(B6952,'Poids des runes'!A:B,2,FALSE)))+1)/VLOOKUP(B6952,'Poids des runes'!A:B,2,FALSE))</f>
        <v>15.54</v>
      </c>
      <c r="F6952">
        <f t="shared" si="108"/>
        <v>15.54</v>
      </c>
    </row>
    <row r="6953" spans="1:6" x14ac:dyDescent="0.3">
      <c r="A6953" t="s">
        <v>1291</v>
      </c>
      <c r="B6953" t="s">
        <v>2128</v>
      </c>
      <c r="C6953">
        <v>275.5</v>
      </c>
      <c r="D6953">
        <v>188</v>
      </c>
      <c r="E6953">
        <f>IF(OR(B6953="vi",B6953="ii",B6953="pod"),(((D6953/100)*(C6953*VLOOKUP(B6953,'Poids des runes'!A:B,2,FALSE)))+1),(((D6953/100)*(C6953*VLOOKUP(B6953,'Poids des runes'!A:B,2,FALSE)))+1)/VLOOKUP(B6953,'Poids des runes'!A:B,2,FALSE))</f>
        <v>104.58799999999999</v>
      </c>
      <c r="F6953">
        <f t="shared" si="108"/>
        <v>104.58799999999999</v>
      </c>
    </row>
    <row r="6954" spans="1:6" x14ac:dyDescent="0.3">
      <c r="A6954" t="s">
        <v>1291</v>
      </c>
      <c r="B6954" t="s">
        <v>2126</v>
      </c>
      <c r="C6954">
        <v>50.5</v>
      </c>
      <c r="D6954">
        <v>188</v>
      </c>
      <c r="E6954">
        <f>IF(OR(B6954="vi",B6954="ii",B6954="pod"),(((D6954/100)*(C6954*VLOOKUP(B6954,'Poids des runes'!A:B,2,FALSE)))+1),(((D6954/100)*(C6954*VLOOKUP(B6954,'Poids des runes'!A:B,2,FALSE)))+1)/VLOOKUP(B6954,'Poids des runes'!A:B,2,FALSE))</f>
        <v>95.94</v>
      </c>
      <c r="F6954">
        <f t="shared" si="108"/>
        <v>95.94</v>
      </c>
    </row>
    <row r="6955" spans="1:6" x14ac:dyDescent="0.3">
      <c r="A6955" t="s">
        <v>1291</v>
      </c>
      <c r="B6955" t="s">
        <v>2131</v>
      </c>
      <c r="C6955">
        <v>50.5</v>
      </c>
      <c r="D6955">
        <v>188</v>
      </c>
      <c r="E6955">
        <f>IF(OR(B6955="vi",B6955="ii",B6955="pod"),(((D6955/100)*(C6955*VLOOKUP(B6955,'Poids des runes'!A:B,2,FALSE)))+1),(((D6955/100)*(C6955*VLOOKUP(B6955,'Poids des runes'!A:B,2,FALSE)))+1)/VLOOKUP(B6955,'Poids des runes'!A:B,2,FALSE))</f>
        <v>95.94</v>
      </c>
      <c r="F6955">
        <f t="shared" si="108"/>
        <v>95.94</v>
      </c>
    </row>
    <row r="6956" spans="1:6" x14ac:dyDescent="0.3">
      <c r="A6956" t="s">
        <v>1291</v>
      </c>
      <c r="B6956" t="s">
        <v>2129</v>
      </c>
      <c r="C6956">
        <v>35.5</v>
      </c>
      <c r="D6956">
        <v>188</v>
      </c>
      <c r="E6956">
        <f>IF(OR(B6956="vi",B6956="ii",B6956="pod"),(((D6956/100)*(C6956*VLOOKUP(B6956,'Poids des runes'!A:B,2,FALSE)))+1),(((D6956/100)*(C6956*VLOOKUP(B6956,'Poids des runes'!A:B,2,FALSE)))+1)/VLOOKUP(B6956,'Poids des runes'!A:B,2,FALSE))</f>
        <v>67.739999999999995</v>
      </c>
      <c r="F6956">
        <f t="shared" si="108"/>
        <v>67.739999999999995</v>
      </c>
    </row>
    <row r="6957" spans="1:6" x14ac:dyDescent="0.3">
      <c r="A6957" t="s">
        <v>1291</v>
      </c>
      <c r="B6957" t="s">
        <v>2155</v>
      </c>
      <c r="C6957">
        <v>1</v>
      </c>
      <c r="D6957">
        <v>188</v>
      </c>
      <c r="E6957">
        <f>IF(OR(B6957="vi",B6957="ii",B6957="pod"),(((D6957/100)*(C6957*VLOOKUP(B6957,'Poids des runes'!A:B,2,FALSE)))+1),(((D6957/100)*(C6957*VLOOKUP(B6957,'Poids des runes'!A:B,2,FALSE)))+1)/VLOOKUP(B6957,'Poids des runes'!A:B,2,FALSE))</f>
        <v>1.8996078431372547</v>
      </c>
      <c r="F6957">
        <f t="shared" si="108"/>
        <v>1.8996078431372547</v>
      </c>
    </row>
    <row r="6958" spans="1:6" x14ac:dyDescent="0.3">
      <c r="A6958" t="s">
        <v>1291</v>
      </c>
      <c r="B6958" t="s">
        <v>2150</v>
      </c>
      <c r="C6958">
        <v>1</v>
      </c>
      <c r="D6958">
        <v>188</v>
      </c>
      <c r="E6958">
        <f>IF(OR(B6958="vi",B6958="ii",B6958="pod"),(((D6958/100)*(C6958*VLOOKUP(B6958,'Poids des runes'!A:B,2,FALSE)))+1),(((D6958/100)*(C6958*VLOOKUP(B6958,'Poids des runes'!A:B,2,FALSE)))+1)/VLOOKUP(B6958,'Poids des runes'!A:B,2,FALSE))</f>
        <v>1.9133333333333333</v>
      </c>
      <c r="F6958">
        <f t="shared" si="108"/>
        <v>1.9133333333333333</v>
      </c>
    </row>
    <row r="6959" spans="1:6" x14ac:dyDescent="0.3">
      <c r="A6959" t="s">
        <v>1291</v>
      </c>
      <c r="B6959" t="s">
        <v>2140</v>
      </c>
      <c r="C6959">
        <v>10.5</v>
      </c>
      <c r="D6959">
        <v>188</v>
      </c>
      <c r="E6959">
        <f>IF(OR(B6959="vi",B6959="ii",B6959="pod"),(((D6959/100)*(C6959*VLOOKUP(B6959,'Poids des runes'!A:B,2,FALSE)))+1),(((D6959/100)*(C6959*VLOOKUP(B6959,'Poids des runes'!A:B,2,FALSE)))+1)/VLOOKUP(B6959,'Poids des runes'!A:B,2,FALSE))</f>
        <v>19.939999999999998</v>
      </c>
      <c r="F6959">
        <f t="shared" si="108"/>
        <v>19.939999999999998</v>
      </c>
    </row>
    <row r="6960" spans="1:6" x14ac:dyDescent="0.3">
      <c r="A6960" t="s">
        <v>1291</v>
      </c>
      <c r="B6960" t="s">
        <v>2133</v>
      </c>
      <c r="C6960">
        <v>10.5</v>
      </c>
      <c r="D6960">
        <v>188</v>
      </c>
      <c r="E6960">
        <f>IF(OR(B6960="vi",B6960="ii",B6960="pod"),(((D6960/100)*(C6960*VLOOKUP(B6960,'Poids des runes'!A:B,2,FALSE)))+1),(((D6960/100)*(C6960*VLOOKUP(B6960,'Poids des runes'!A:B,2,FALSE)))+1)/VLOOKUP(B6960,'Poids des runes'!A:B,2,FALSE))</f>
        <v>19.939999999999998</v>
      </c>
      <c r="F6960">
        <f t="shared" si="108"/>
        <v>19.939999999999998</v>
      </c>
    </row>
    <row r="6961" spans="1:6" x14ac:dyDescent="0.3">
      <c r="A6961" t="s">
        <v>1291</v>
      </c>
      <c r="B6961" t="s">
        <v>2149</v>
      </c>
      <c r="C6961">
        <v>13</v>
      </c>
      <c r="D6961">
        <v>188</v>
      </c>
      <c r="E6961">
        <f>IF(OR(B6961="vi",B6961="ii",B6961="pod"),(((D6961/100)*(C6961*VLOOKUP(B6961,'Poids des runes'!A:B,2,FALSE)))+1),(((D6961/100)*(C6961*VLOOKUP(B6961,'Poids des runes'!A:B,2,FALSE)))+1)/VLOOKUP(B6961,'Poids des runes'!A:B,2,FALSE))</f>
        <v>24.54</v>
      </c>
      <c r="F6961">
        <f t="shared" si="108"/>
        <v>24.54</v>
      </c>
    </row>
    <row r="6962" spans="1:6" x14ac:dyDescent="0.3">
      <c r="A6962" t="s">
        <v>1291</v>
      </c>
      <c r="B6962" t="s">
        <v>2141</v>
      </c>
      <c r="C6962">
        <v>4.5</v>
      </c>
      <c r="D6962">
        <v>188</v>
      </c>
      <c r="E6962">
        <f>IF(OR(B6962="vi",B6962="ii",B6962="pod"),(((D6962/100)*(C6962*VLOOKUP(B6962,'Poids des runes'!A:B,2,FALSE)))+1),(((D6962/100)*(C6962*VLOOKUP(B6962,'Poids des runes'!A:B,2,FALSE)))+1)/VLOOKUP(B6962,'Poids des runes'!A:B,2,FALSE))</f>
        <v>8.7099999999999991</v>
      </c>
      <c r="F6962">
        <f t="shared" si="108"/>
        <v>8.7099999999999991</v>
      </c>
    </row>
    <row r="6963" spans="1:6" x14ac:dyDescent="0.3">
      <c r="A6963" t="s">
        <v>1291</v>
      </c>
      <c r="B6963" t="s">
        <v>2156</v>
      </c>
      <c r="C6963">
        <v>6</v>
      </c>
      <c r="D6963">
        <v>188</v>
      </c>
      <c r="E6963">
        <f>IF(OR(B6963="vi",B6963="ii",B6963="pod"),(((D6963/100)*(C6963*VLOOKUP(B6963,'Poids des runes'!A:B,2,FALSE)))+1),(((D6963/100)*(C6963*VLOOKUP(B6963,'Poids des runes'!A:B,2,FALSE)))+1)/VLOOKUP(B6963,'Poids des runes'!A:B,2,FALSE))</f>
        <v>11.446666666666665</v>
      </c>
      <c r="F6963">
        <f t="shared" si="108"/>
        <v>11.446666666666665</v>
      </c>
    </row>
    <row r="6964" spans="1:6" x14ac:dyDescent="0.3">
      <c r="A6964" t="s">
        <v>1291</v>
      </c>
      <c r="B6964" t="s">
        <v>2148</v>
      </c>
      <c r="C6964">
        <v>6</v>
      </c>
      <c r="D6964">
        <v>188</v>
      </c>
      <c r="E6964">
        <f>IF(OR(B6964="vi",B6964="ii",B6964="pod"),(((D6964/100)*(C6964*VLOOKUP(B6964,'Poids des runes'!A:B,2,FALSE)))+1),(((D6964/100)*(C6964*VLOOKUP(B6964,'Poids des runes'!A:B,2,FALSE)))+1)/VLOOKUP(B6964,'Poids des runes'!A:B,2,FALSE))</f>
        <v>11.446666666666665</v>
      </c>
      <c r="F6964">
        <f t="shared" si="108"/>
        <v>11.446666666666665</v>
      </c>
    </row>
    <row r="6965" spans="1:6" x14ac:dyDescent="0.3">
      <c r="A6965" t="s">
        <v>1292</v>
      </c>
      <c r="B6965" t="s">
        <v>2128</v>
      </c>
      <c r="C6965">
        <v>225.5</v>
      </c>
      <c r="D6965">
        <v>189</v>
      </c>
      <c r="E6965">
        <f>IF(OR(B6965="vi",B6965="ii",B6965="pod"),(((D6965/100)*(C6965*VLOOKUP(B6965,'Poids des runes'!A:B,2,FALSE)))+1),(((D6965/100)*(C6965*VLOOKUP(B6965,'Poids des runes'!A:B,2,FALSE)))+1)/VLOOKUP(B6965,'Poids des runes'!A:B,2,FALSE))</f>
        <v>86.239000000000004</v>
      </c>
      <c r="F6965">
        <f t="shared" si="108"/>
        <v>86.239000000000004</v>
      </c>
    </row>
    <row r="6966" spans="1:6" x14ac:dyDescent="0.3">
      <c r="A6966" t="s">
        <v>1292</v>
      </c>
      <c r="B6966" t="s">
        <v>2126</v>
      </c>
      <c r="C6966">
        <v>50.5</v>
      </c>
      <c r="D6966">
        <v>189</v>
      </c>
      <c r="E6966">
        <f>IF(OR(B6966="vi",B6966="ii",B6966="pod"),(((D6966/100)*(C6966*VLOOKUP(B6966,'Poids des runes'!A:B,2,FALSE)))+1),(((D6966/100)*(C6966*VLOOKUP(B6966,'Poids des runes'!A:B,2,FALSE)))+1)/VLOOKUP(B6966,'Poids des runes'!A:B,2,FALSE))</f>
        <v>96.444999999999993</v>
      </c>
      <c r="F6966">
        <f t="shared" si="108"/>
        <v>96.444999999999993</v>
      </c>
    </row>
    <row r="6967" spans="1:6" x14ac:dyDescent="0.3">
      <c r="A6967" t="s">
        <v>1292</v>
      </c>
      <c r="B6967" t="s">
        <v>2131</v>
      </c>
      <c r="C6967">
        <v>50.5</v>
      </c>
      <c r="D6967">
        <v>189</v>
      </c>
      <c r="E6967">
        <f>IF(OR(B6967="vi",B6967="ii",B6967="pod"),(((D6967/100)*(C6967*VLOOKUP(B6967,'Poids des runes'!A:B,2,FALSE)))+1),(((D6967/100)*(C6967*VLOOKUP(B6967,'Poids des runes'!A:B,2,FALSE)))+1)/VLOOKUP(B6967,'Poids des runes'!A:B,2,FALSE))</f>
        <v>96.444999999999993</v>
      </c>
      <c r="F6967">
        <f t="shared" si="108"/>
        <v>96.444999999999993</v>
      </c>
    </row>
    <row r="6968" spans="1:6" x14ac:dyDescent="0.3">
      <c r="A6968" t="s">
        <v>1292</v>
      </c>
      <c r="B6968" t="s">
        <v>2129</v>
      </c>
      <c r="C6968">
        <v>25.5</v>
      </c>
      <c r="D6968">
        <v>189</v>
      </c>
      <c r="E6968">
        <f>IF(OR(B6968="vi",B6968="ii",B6968="pod"),(((D6968/100)*(C6968*VLOOKUP(B6968,'Poids des runes'!A:B,2,FALSE)))+1),(((D6968/100)*(C6968*VLOOKUP(B6968,'Poids des runes'!A:B,2,FALSE)))+1)/VLOOKUP(B6968,'Poids des runes'!A:B,2,FALSE))</f>
        <v>49.195</v>
      </c>
      <c r="F6968">
        <f t="shared" si="108"/>
        <v>49.195</v>
      </c>
    </row>
    <row r="6969" spans="1:6" x14ac:dyDescent="0.3">
      <c r="A6969" t="s">
        <v>1292</v>
      </c>
      <c r="B6969" t="s">
        <v>2151</v>
      </c>
      <c r="C6969">
        <v>3.5</v>
      </c>
      <c r="D6969">
        <v>189</v>
      </c>
      <c r="E6969">
        <f>IF(OR(B6969="vi",B6969="ii",B6969="pod"),(((D6969/100)*(C6969*VLOOKUP(B6969,'Poids des runes'!A:B,2,FALSE)))+1),(((D6969/100)*(C6969*VLOOKUP(B6969,'Poids des runes'!A:B,2,FALSE)))+1)/VLOOKUP(B6969,'Poids des runes'!A:B,2,FALSE))</f>
        <v>6.714999999999999</v>
      </c>
      <c r="F6969">
        <f t="shared" si="108"/>
        <v>6.714999999999999</v>
      </c>
    </row>
    <row r="6970" spans="1:6" x14ac:dyDescent="0.3">
      <c r="A6970" t="s">
        <v>1292</v>
      </c>
      <c r="B6970" t="s">
        <v>2150</v>
      </c>
      <c r="C6970">
        <v>2</v>
      </c>
      <c r="D6970">
        <v>189</v>
      </c>
      <c r="E6970">
        <f>IF(OR(B6970="vi",B6970="ii",B6970="pod"),(((D6970/100)*(C6970*VLOOKUP(B6970,'Poids des runes'!A:B,2,FALSE)))+1),(((D6970/100)*(C6970*VLOOKUP(B6970,'Poids des runes'!A:B,2,FALSE)))+1)/VLOOKUP(B6970,'Poids des runes'!A:B,2,FALSE))</f>
        <v>3.813333333333333</v>
      </c>
      <c r="F6970">
        <f t="shared" si="108"/>
        <v>3.813333333333333</v>
      </c>
    </row>
    <row r="6971" spans="1:6" x14ac:dyDescent="0.3">
      <c r="A6971" t="s">
        <v>1292</v>
      </c>
      <c r="B6971" t="s">
        <v>2134</v>
      </c>
      <c r="C6971">
        <v>8</v>
      </c>
      <c r="D6971">
        <v>189</v>
      </c>
      <c r="E6971">
        <f>IF(OR(B6971="vi",B6971="ii",B6971="pod"),(((D6971/100)*(C6971*VLOOKUP(B6971,'Poids des runes'!A:B,2,FALSE)))+1),(((D6971/100)*(C6971*VLOOKUP(B6971,'Poids des runes'!A:B,2,FALSE)))+1)/VLOOKUP(B6971,'Poids des runes'!A:B,2,FALSE))</f>
        <v>15.169999999999998</v>
      </c>
      <c r="F6971">
        <f t="shared" si="108"/>
        <v>15.169999999999998</v>
      </c>
    </row>
    <row r="6972" spans="1:6" x14ac:dyDescent="0.3">
      <c r="A6972" t="s">
        <v>1292</v>
      </c>
      <c r="B6972" t="s">
        <v>2149</v>
      </c>
      <c r="C6972">
        <v>8</v>
      </c>
      <c r="D6972">
        <v>189</v>
      </c>
      <c r="E6972">
        <f>IF(OR(B6972="vi",B6972="ii",B6972="pod"),(((D6972/100)*(C6972*VLOOKUP(B6972,'Poids des runes'!A:B,2,FALSE)))+1),(((D6972/100)*(C6972*VLOOKUP(B6972,'Poids des runes'!A:B,2,FALSE)))+1)/VLOOKUP(B6972,'Poids des runes'!A:B,2,FALSE))</f>
        <v>15.219999999999999</v>
      </c>
      <c r="F6972">
        <f t="shared" si="108"/>
        <v>15.219999999999999</v>
      </c>
    </row>
    <row r="6973" spans="1:6" x14ac:dyDescent="0.3">
      <c r="A6973" t="s">
        <v>1292</v>
      </c>
      <c r="B6973" t="s">
        <v>2161</v>
      </c>
      <c r="C6973">
        <v>25.5</v>
      </c>
      <c r="D6973">
        <v>189</v>
      </c>
      <c r="E6973">
        <f>IF(OR(B6973="vi",B6973="ii",B6973="pod"),(((D6973/100)*(C6973*VLOOKUP(B6973,'Poids des runes'!A:B,2,FALSE)))+1),(((D6973/100)*(C6973*VLOOKUP(B6973,'Poids des runes'!A:B,2,FALSE)))+1)/VLOOKUP(B6973,'Poids des runes'!A:B,2,FALSE))</f>
        <v>48.528333333333329</v>
      </c>
      <c r="F6973">
        <f t="shared" si="108"/>
        <v>48.528333333333329</v>
      </c>
    </row>
    <row r="6974" spans="1:6" x14ac:dyDescent="0.3">
      <c r="A6974" t="s">
        <v>1292</v>
      </c>
      <c r="B6974" t="s">
        <v>2145</v>
      </c>
      <c r="C6974">
        <v>8</v>
      </c>
      <c r="D6974">
        <v>189</v>
      </c>
      <c r="E6974">
        <f>IF(OR(B6974="vi",B6974="ii",B6974="pod"),(((D6974/100)*(C6974*VLOOKUP(B6974,'Poids des runes'!A:B,2,FALSE)))+1),(((D6974/100)*(C6974*VLOOKUP(B6974,'Poids des runes'!A:B,2,FALSE)))+1)/VLOOKUP(B6974,'Poids des runes'!A:B,2,FALSE))</f>
        <v>15.62</v>
      </c>
      <c r="F6974">
        <f t="shared" si="108"/>
        <v>15.62</v>
      </c>
    </row>
    <row r="6975" spans="1:6" x14ac:dyDescent="0.3">
      <c r="A6975" t="s">
        <v>1293</v>
      </c>
      <c r="B6975" t="s">
        <v>2128</v>
      </c>
      <c r="C6975">
        <v>225.5</v>
      </c>
      <c r="D6975">
        <v>189</v>
      </c>
      <c r="E6975">
        <f>IF(OR(B6975="vi",B6975="ii",B6975="pod"),(((D6975/100)*(C6975*VLOOKUP(B6975,'Poids des runes'!A:B,2,FALSE)))+1),(((D6975/100)*(C6975*VLOOKUP(B6975,'Poids des runes'!A:B,2,FALSE)))+1)/VLOOKUP(B6975,'Poids des runes'!A:B,2,FALSE))</f>
        <v>86.239000000000004</v>
      </c>
      <c r="F6975">
        <f t="shared" si="108"/>
        <v>86.239000000000004</v>
      </c>
    </row>
    <row r="6976" spans="1:6" x14ac:dyDescent="0.3">
      <c r="A6976" t="s">
        <v>1293</v>
      </c>
      <c r="B6976" t="s">
        <v>2126</v>
      </c>
      <c r="C6976">
        <v>40.5</v>
      </c>
      <c r="D6976">
        <v>189</v>
      </c>
      <c r="E6976">
        <f>IF(OR(B6976="vi",B6976="ii",B6976="pod"),(((D6976/100)*(C6976*VLOOKUP(B6976,'Poids des runes'!A:B,2,FALSE)))+1),(((D6976/100)*(C6976*VLOOKUP(B6976,'Poids des runes'!A:B,2,FALSE)))+1)/VLOOKUP(B6976,'Poids des runes'!A:B,2,FALSE))</f>
        <v>77.545000000000002</v>
      </c>
      <c r="F6976">
        <f t="shared" si="108"/>
        <v>77.545000000000002</v>
      </c>
    </row>
    <row r="6977" spans="1:6" x14ac:dyDescent="0.3">
      <c r="A6977" t="s">
        <v>1293</v>
      </c>
      <c r="B6977" t="s">
        <v>2129</v>
      </c>
      <c r="C6977">
        <v>40.5</v>
      </c>
      <c r="D6977">
        <v>189</v>
      </c>
      <c r="E6977">
        <f>IF(OR(B6977="vi",B6977="ii",B6977="pod"),(((D6977/100)*(C6977*VLOOKUP(B6977,'Poids des runes'!A:B,2,FALSE)))+1),(((D6977/100)*(C6977*VLOOKUP(B6977,'Poids des runes'!A:B,2,FALSE)))+1)/VLOOKUP(B6977,'Poids des runes'!A:B,2,FALSE))</f>
        <v>77.545000000000002</v>
      </c>
      <c r="F6977">
        <f t="shared" si="108"/>
        <v>77.545000000000002</v>
      </c>
    </row>
    <row r="6978" spans="1:6" x14ac:dyDescent="0.3">
      <c r="A6978" t="s">
        <v>1293</v>
      </c>
      <c r="B6978" t="s">
        <v>2139</v>
      </c>
      <c r="C6978">
        <v>8</v>
      </c>
      <c r="D6978">
        <v>189</v>
      </c>
      <c r="E6978">
        <f>IF(OR(B6978="vi",B6978="ii",B6978="pod"),(((D6978/100)*(C6978*VLOOKUP(B6978,'Poids des runes'!A:B,2,FALSE)))+1),(((D6978/100)*(C6978*VLOOKUP(B6978,'Poids des runes'!A:B,2,FALSE)))+1)/VLOOKUP(B6978,'Poids des runes'!A:B,2,FALSE))</f>
        <v>15.62</v>
      </c>
      <c r="F6978">
        <f t="shared" si="108"/>
        <v>15.62</v>
      </c>
    </row>
    <row r="6979" spans="1:6" x14ac:dyDescent="0.3">
      <c r="A6979" t="s">
        <v>1293</v>
      </c>
      <c r="B6979" t="s">
        <v>2152</v>
      </c>
      <c r="C6979">
        <v>1</v>
      </c>
      <c r="D6979">
        <v>189</v>
      </c>
      <c r="E6979">
        <f>IF(OR(B6979="vi",B6979="ii",B6979="pod"),(((D6979/100)*(C6979*VLOOKUP(B6979,'Poids des runes'!A:B,2,FALSE)))+1),(((D6979/100)*(C6979*VLOOKUP(B6979,'Poids des runes'!A:B,2,FALSE)))+1)/VLOOKUP(B6979,'Poids des runes'!A:B,2,FALSE))</f>
        <v>1.9</v>
      </c>
      <c r="F6979">
        <f t="shared" ref="F6979:F7042" si="109">E6979</f>
        <v>1.9</v>
      </c>
    </row>
    <row r="6980" spans="1:6" x14ac:dyDescent="0.3">
      <c r="A6980" t="s">
        <v>1293</v>
      </c>
      <c r="B6980" t="s">
        <v>2134</v>
      </c>
      <c r="C6980">
        <v>8</v>
      </c>
      <c r="D6980">
        <v>189</v>
      </c>
      <c r="E6980">
        <f>IF(OR(B6980="vi",B6980="ii",B6980="pod"),(((D6980/100)*(C6980*VLOOKUP(B6980,'Poids des runes'!A:B,2,FALSE)))+1),(((D6980/100)*(C6980*VLOOKUP(B6980,'Poids des runes'!A:B,2,FALSE)))+1)/VLOOKUP(B6980,'Poids des runes'!A:B,2,FALSE))</f>
        <v>15.169999999999998</v>
      </c>
      <c r="F6980">
        <f t="shared" si="109"/>
        <v>15.169999999999998</v>
      </c>
    </row>
    <row r="6981" spans="1:6" x14ac:dyDescent="0.3">
      <c r="A6981" t="s">
        <v>1293</v>
      </c>
      <c r="B6981" t="s">
        <v>2149</v>
      </c>
      <c r="C6981">
        <v>8</v>
      </c>
      <c r="D6981">
        <v>189</v>
      </c>
      <c r="E6981">
        <f>IF(OR(B6981="vi",B6981="ii",B6981="pod"),(((D6981/100)*(C6981*VLOOKUP(B6981,'Poids des runes'!A:B,2,FALSE)))+1),(((D6981/100)*(C6981*VLOOKUP(B6981,'Poids des runes'!A:B,2,FALSE)))+1)/VLOOKUP(B6981,'Poids des runes'!A:B,2,FALSE))</f>
        <v>15.219999999999999</v>
      </c>
      <c r="F6981">
        <f t="shared" si="109"/>
        <v>15.219999999999999</v>
      </c>
    </row>
    <row r="6982" spans="1:6" x14ac:dyDescent="0.3">
      <c r="A6982" t="s">
        <v>1293</v>
      </c>
      <c r="B6982" t="s">
        <v>2161</v>
      </c>
      <c r="C6982">
        <v>15.5</v>
      </c>
      <c r="D6982">
        <v>189</v>
      </c>
      <c r="E6982">
        <f>IF(OR(B6982="vi",B6982="ii",B6982="pod"),(((D6982/100)*(C6982*VLOOKUP(B6982,'Poids des runes'!A:B,2,FALSE)))+1),(((D6982/100)*(C6982*VLOOKUP(B6982,'Poids des runes'!A:B,2,FALSE)))+1)/VLOOKUP(B6982,'Poids des runes'!A:B,2,FALSE))</f>
        <v>29.62833333333333</v>
      </c>
      <c r="F6982">
        <f t="shared" si="109"/>
        <v>29.62833333333333</v>
      </c>
    </row>
    <row r="6983" spans="1:6" x14ac:dyDescent="0.3">
      <c r="A6983" t="s">
        <v>1293</v>
      </c>
      <c r="B6983" t="s">
        <v>2137</v>
      </c>
      <c r="C6983">
        <v>8</v>
      </c>
      <c r="D6983">
        <v>189</v>
      </c>
      <c r="E6983">
        <f>IF(OR(B6983="vi",B6983="ii",B6983="pod"),(((D6983/100)*(C6983*VLOOKUP(B6983,'Poids des runes'!A:B,2,FALSE)))+1),(((D6983/100)*(C6983*VLOOKUP(B6983,'Poids des runes'!A:B,2,FALSE)))+1)/VLOOKUP(B6983,'Poids des runes'!A:B,2,FALSE))</f>
        <v>15.62</v>
      </c>
      <c r="F6983">
        <f t="shared" si="109"/>
        <v>15.62</v>
      </c>
    </row>
    <row r="6984" spans="1:6" x14ac:dyDescent="0.3">
      <c r="A6984" t="s">
        <v>1293</v>
      </c>
      <c r="B6984" t="s">
        <v>2144</v>
      </c>
      <c r="C6984">
        <v>8</v>
      </c>
      <c r="D6984">
        <v>189</v>
      </c>
      <c r="E6984">
        <f>IF(OR(B6984="vi",B6984="ii",B6984="pod"),(((D6984/100)*(C6984*VLOOKUP(B6984,'Poids des runes'!A:B,2,FALSE)))+1),(((D6984/100)*(C6984*VLOOKUP(B6984,'Poids des runes'!A:B,2,FALSE)))+1)/VLOOKUP(B6984,'Poids des runes'!A:B,2,FALSE))</f>
        <v>15.62</v>
      </c>
      <c r="F6984">
        <f t="shared" si="109"/>
        <v>15.62</v>
      </c>
    </row>
    <row r="6985" spans="1:6" x14ac:dyDescent="0.3">
      <c r="A6985" t="s">
        <v>1294</v>
      </c>
      <c r="B6985" t="s">
        <v>2128</v>
      </c>
      <c r="C6985">
        <v>225.5</v>
      </c>
      <c r="D6985">
        <v>189</v>
      </c>
      <c r="E6985">
        <f>IF(OR(B6985="vi",B6985="ii",B6985="pod"),(((D6985/100)*(C6985*VLOOKUP(B6985,'Poids des runes'!A:B,2,FALSE)))+1),(((D6985/100)*(C6985*VLOOKUP(B6985,'Poids des runes'!A:B,2,FALSE)))+1)/VLOOKUP(B6985,'Poids des runes'!A:B,2,FALSE))</f>
        <v>86.239000000000004</v>
      </c>
      <c r="F6985">
        <f t="shared" si="109"/>
        <v>86.239000000000004</v>
      </c>
    </row>
    <row r="6986" spans="1:6" x14ac:dyDescent="0.3">
      <c r="A6986" t="s">
        <v>1294</v>
      </c>
      <c r="B6986" t="s">
        <v>2127</v>
      </c>
      <c r="C6986">
        <v>50.5</v>
      </c>
      <c r="D6986">
        <v>189</v>
      </c>
      <c r="E6986">
        <f>IF(OR(B6986="vi",B6986="ii",B6986="pod"),(((D6986/100)*(C6986*VLOOKUP(B6986,'Poids des runes'!A:B,2,FALSE)))+1),(((D6986/100)*(C6986*VLOOKUP(B6986,'Poids des runes'!A:B,2,FALSE)))+1)/VLOOKUP(B6986,'Poids des runes'!A:B,2,FALSE))</f>
        <v>96.444999999999993</v>
      </c>
      <c r="F6986">
        <f t="shared" si="109"/>
        <v>96.444999999999993</v>
      </c>
    </row>
    <row r="6987" spans="1:6" x14ac:dyDescent="0.3">
      <c r="A6987" t="s">
        <v>1294</v>
      </c>
      <c r="B6987" t="s">
        <v>2129</v>
      </c>
      <c r="C6987">
        <v>45.5</v>
      </c>
      <c r="D6987">
        <v>189</v>
      </c>
      <c r="E6987">
        <f>IF(OR(B6987="vi",B6987="ii",B6987="pod"),(((D6987/100)*(C6987*VLOOKUP(B6987,'Poids des runes'!A:B,2,FALSE)))+1),(((D6987/100)*(C6987*VLOOKUP(B6987,'Poids des runes'!A:B,2,FALSE)))+1)/VLOOKUP(B6987,'Poids des runes'!A:B,2,FALSE))</f>
        <v>86.99499999999999</v>
      </c>
      <c r="F6987">
        <f t="shared" si="109"/>
        <v>86.99499999999999</v>
      </c>
    </row>
    <row r="6988" spans="1:6" x14ac:dyDescent="0.3">
      <c r="A6988" t="s">
        <v>1294</v>
      </c>
      <c r="B6988" t="s">
        <v>2151</v>
      </c>
      <c r="C6988">
        <v>4.5</v>
      </c>
      <c r="D6988">
        <v>189</v>
      </c>
      <c r="E6988">
        <f>IF(OR(B6988="vi",B6988="ii",B6988="pod"),(((D6988/100)*(C6988*VLOOKUP(B6988,'Poids des runes'!A:B,2,FALSE)))+1),(((D6988/100)*(C6988*VLOOKUP(B6988,'Poids des runes'!A:B,2,FALSE)))+1)/VLOOKUP(B6988,'Poids des runes'!A:B,2,FALSE))</f>
        <v>8.6050000000000004</v>
      </c>
      <c r="F6988">
        <f t="shared" si="109"/>
        <v>8.6050000000000004</v>
      </c>
    </row>
    <row r="6989" spans="1:6" x14ac:dyDescent="0.3">
      <c r="A6989" t="s">
        <v>1294</v>
      </c>
      <c r="B6989" t="s">
        <v>2154</v>
      </c>
      <c r="C6989">
        <v>1</v>
      </c>
      <c r="D6989">
        <v>189</v>
      </c>
      <c r="E6989">
        <f>IF(OR(B6989="vi",B6989="ii",B6989="pod"),(((D6989/100)*(C6989*VLOOKUP(B6989,'Poids des runes'!A:B,2,FALSE)))+1),(((D6989/100)*(C6989*VLOOKUP(B6989,'Poids des runes'!A:B,2,FALSE)))+1)/VLOOKUP(B6989,'Poids des runes'!A:B,2,FALSE))</f>
        <v>1.901111111111111</v>
      </c>
      <c r="F6989">
        <f t="shared" si="109"/>
        <v>1.901111111111111</v>
      </c>
    </row>
    <row r="6990" spans="1:6" x14ac:dyDescent="0.3">
      <c r="A6990" t="s">
        <v>1294</v>
      </c>
      <c r="B6990" t="s">
        <v>2153</v>
      </c>
      <c r="C6990">
        <v>18</v>
      </c>
      <c r="D6990">
        <v>189</v>
      </c>
      <c r="E6990">
        <f>IF(OR(B6990="vi",B6990="ii",B6990="pod"),(((D6990/100)*(C6990*VLOOKUP(B6990,'Poids des runes'!A:B,2,FALSE)))+1),(((D6990/100)*(C6990*VLOOKUP(B6990,'Poids des runes'!A:B,2,FALSE)))+1)/VLOOKUP(B6990,'Poids des runes'!A:B,2,FALSE))</f>
        <v>34.22</v>
      </c>
      <c r="F6990">
        <f t="shared" si="109"/>
        <v>34.22</v>
      </c>
    </row>
    <row r="6991" spans="1:6" x14ac:dyDescent="0.3">
      <c r="A6991" t="s">
        <v>1294</v>
      </c>
      <c r="B6991" t="s">
        <v>2161</v>
      </c>
      <c r="C6991">
        <v>20.5</v>
      </c>
      <c r="D6991">
        <v>189</v>
      </c>
      <c r="E6991">
        <f>IF(OR(B6991="vi",B6991="ii",B6991="pod"),(((D6991/100)*(C6991*VLOOKUP(B6991,'Poids des runes'!A:B,2,FALSE)))+1),(((D6991/100)*(C6991*VLOOKUP(B6991,'Poids des runes'!A:B,2,FALSE)))+1)/VLOOKUP(B6991,'Poids des runes'!A:B,2,FALSE))</f>
        <v>39.078333333333333</v>
      </c>
      <c r="F6991">
        <f t="shared" si="109"/>
        <v>39.078333333333333</v>
      </c>
    </row>
    <row r="6992" spans="1:6" x14ac:dyDescent="0.3">
      <c r="A6992" t="s">
        <v>1294</v>
      </c>
      <c r="B6992" t="s">
        <v>2162</v>
      </c>
      <c r="C6992">
        <v>6</v>
      </c>
      <c r="D6992">
        <v>189</v>
      </c>
      <c r="E6992">
        <f>IF(OR(B6992="vi",B6992="ii",B6992="pod"),(((D6992/100)*(C6992*VLOOKUP(B6992,'Poids des runes'!A:B,2,FALSE)))+1),(((D6992/100)*(C6992*VLOOKUP(B6992,'Poids des runes'!A:B,2,FALSE)))+1)/VLOOKUP(B6992,'Poids des runes'!A:B,2,FALSE))</f>
        <v>11.482857142857142</v>
      </c>
      <c r="F6992">
        <f t="shared" si="109"/>
        <v>11.482857142857142</v>
      </c>
    </row>
    <row r="6993" spans="1:6" x14ac:dyDescent="0.3">
      <c r="A6993" t="s">
        <v>1294</v>
      </c>
      <c r="B6993" t="s">
        <v>2145</v>
      </c>
      <c r="C6993">
        <v>20.5</v>
      </c>
      <c r="D6993">
        <v>189</v>
      </c>
      <c r="E6993">
        <f>IF(OR(B6993="vi",B6993="ii",B6993="pod"),(((D6993/100)*(C6993*VLOOKUP(B6993,'Poids des runes'!A:B,2,FALSE)))+1),(((D6993/100)*(C6993*VLOOKUP(B6993,'Poids des runes'!A:B,2,FALSE)))+1)/VLOOKUP(B6993,'Poids des runes'!A:B,2,FALSE))</f>
        <v>39.244999999999997</v>
      </c>
      <c r="F6993">
        <f t="shared" si="109"/>
        <v>39.244999999999997</v>
      </c>
    </row>
    <row r="6994" spans="1:6" x14ac:dyDescent="0.3">
      <c r="A6994" t="s">
        <v>1295</v>
      </c>
      <c r="B6994" t="s">
        <v>2128</v>
      </c>
      <c r="C6994">
        <v>225.5</v>
      </c>
      <c r="D6994">
        <v>189</v>
      </c>
      <c r="E6994">
        <f>IF(OR(B6994="vi",B6994="ii",B6994="pod"),(((D6994/100)*(C6994*VLOOKUP(B6994,'Poids des runes'!A:B,2,FALSE)))+1),(((D6994/100)*(C6994*VLOOKUP(B6994,'Poids des runes'!A:B,2,FALSE)))+1)/VLOOKUP(B6994,'Poids des runes'!A:B,2,FALSE))</f>
        <v>86.239000000000004</v>
      </c>
      <c r="F6994">
        <f t="shared" si="109"/>
        <v>86.239000000000004</v>
      </c>
    </row>
    <row r="6995" spans="1:6" x14ac:dyDescent="0.3">
      <c r="A6995" t="s">
        <v>1295</v>
      </c>
      <c r="B6995" t="s">
        <v>2130</v>
      </c>
      <c r="C6995">
        <v>40.5</v>
      </c>
      <c r="D6995">
        <v>189</v>
      </c>
      <c r="E6995">
        <f>IF(OR(B6995="vi",B6995="ii",B6995="pod"),(((D6995/100)*(C6995*VLOOKUP(B6995,'Poids des runes'!A:B,2,FALSE)))+1),(((D6995/100)*(C6995*VLOOKUP(B6995,'Poids des runes'!A:B,2,FALSE)))+1)/VLOOKUP(B6995,'Poids des runes'!A:B,2,FALSE))</f>
        <v>77.545000000000002</v>
      </c>
      <c r="F6995">
        <f t="shared" si="109"/>
        <v>77.545000000000002</v>
      </c>
    </row>
    <row r="6996" spans="1:6" x14ac:dyDescent="0.3">
      <c r="A6996" t="s">
        <v>1295</v>
      </c>
      <c r="B6996" t="s">
        <v>2131</v>
      </c>
      <c r="C6996">
        <v>40.5</v>
      </c>
      <c r="D6996">
        <v>189</v>
      </c>
      <c r="E6996">
        <f>IF(OR(B6996="vi",B6996="ii",B6996="pod"),(((D6996/100)*(C6996*VLOOKUP(B6996,'Poids des runes'!A:B,2,FALSE)))+1),(((D6996/100)*(C6996*VLOOKUP(B6996,'Poids des runes'!A:B,2,FALSE)))+1)/VLOOKUP(B6996,'Poids des runes'!A:B,2,FALSE))</f>
        <v>77.545000000000002</v>
      </c>
      <c r="F6996">
        <f t="shared" si="109"/>
        <v>77.545000000000002</v>
      </c>
    </row>
    <row r="6997" spans="1:6" x14ac:dyDescent="0.3">
      <c r="A6997" t="s">
        <v>1295</v>
      </c>
      <c r="B6997" t="s">
        <v>2129</v>
      </c>
      <c r="C6997">
        <v>40.5</v>
      </c>
      <c r="D6997">
        <v>189</v>
      </c>
      <c r="E6997">
        <f>IF(OR(B6997="vi",B6997="ii",B6997="pod"),(((D6997/100)*(C6997*VLOOKUP(B6997,'Poids des runes'!A:B,2,FALSE)))+1),(((D6997/100)*(C6997*VLOOKUP(B6997,'Poids des runes'!A:B,2,FALSE)))+1)/VLOOKUP(B6997,'Poids des runes'!A:B,2,FALSE))</f>
        <v>77.545000000000002</v>
      </c>
      <c r="F6997">
        <f t="shared" si="109"/>
        <v>77.545000000000002</v>
      </c>
    </row>
    <row r="6998" spans="1:6" x14ac:dyDescent="0.3">
      <c r="A6998" t="s">
        <v>1295</v>
      </c>
      <c r="B6998" t="s">
        <v>2139</v>
      </c>
      <c r="C6998">
        <v>15.5</v>
      </c>
      <c r="D6998">
        <v>189</v>
      </c>
      <c r="E6998">
        <f>IF(OR(B6998="vi",B6998="ii",B6998="pod"),(((D6998/100)*(C6998*VLOOKUP(B6998,'Poids des runes'!A:B,2,FALSE)))+1),(((D6998/100)*(C6998*VLOOKUP(B6998,'Poids des runes'!A:B,2,FALSE)))+1)/VLOOKUP(B6998,'Poids des runes'!A:B,2,FALSE))</f>
        <v>29.794999999999998</v>
      </c>
      <c r="F6998">
        <f t="shared" si="109"/>
        <v>29.794999999999998</v>
      </c>
    </row>
    <row r="6999" spans="1:6" x14ac:dyDescent="0.3">
      <c r="A6999" t="s">
        <v>1295</v>
      </c>
      <c r="B6999" t="s">
        <v>2134</v>
      </c>
      <c r="C6999">
        <v>8</v>
      </c>
      <c r="D6999">
        <v>189</v>
      </c>
      <c r="E6999">
        <f>IF(OR(B6999="vi",B6999="ii",B6999="pod"),(((D6999/100)*(C6999*VLOOKUP(B6999,'Poids des runes'!A:B,2,FALSE)))+1),(((D6999/100)*(C6999*VLOOKUP(B6999,'Poids des runes'!A:B,2,FALSE)))+1)/VLOOKUP(B6999,'Poids des runes'!A:B,2,FALSE))</f>
        <v>15.169999999999998</v>
      </c>
      <c r="F6999">
        <f t="shared" si="109"/>
        <v>15.169999999999998</v>
      </c>
    </row>
    <row r="7000" spans="1:6" x14ac:dyDescent="0.3">
      <c r="A7000" t="s">
        <v>1295</v>
      </c>
      <c r="B7000" t="s">
        <v>2161</v>
      </c>
      <c r="C7000">
        <v>13</v>
      </c>
      <c r="D7000">
        <v>189</v>
      </c>
      <c r="E7000">
        <f>IF(OR(B7000="vi",B7000="ii",B7000="pod"),(((D7000/100)*(C7000*VLOOKUP(B7000,'Poids des runes'!A:B,2,FALSE)))+1),(((D7000/100)*(C7000*VLOOKUP(B7000,'Poids des runes'!A:B,2,FALSE)))+1)/VLOOKUP(B7000,'Poids des runes'!A:B,2,FALSE))</f>
        <v>24.903333333333332</v>
      </c>
      <c r="F7000">
        <f t="shared" si="109"/>
        <v>24.903333333333332</v>
      </c>
    </row>
    <row r="7001" spans="1:6" x14ac:dyDescent="0.3">
      <c r="A7001" t="s">
        <v>1295</v>
      </c>
      <c r="B7001" t="s">
        <v>2132</v>
      </c>
      <c r="C7001">
        <v>600.5</v>
      </c>
      <c r="D7001">
        <v>189</v>
      </c>
      <c r="E7001">
        <f>IF(OR(B7001="vi",B7001="ii",B7001="pod"),(((D7001/100)*(C7001*VLOOKUP(B7001,'Poids des runes'!A:B,2,FALSE)))+1),(((D7001/100)*(C7001*VLOOKUP(B7001,'Poids des runes'!A:B,2,FALSE)))+1)/VLOOKUP(B7001,'Poids des runes'!A:B,2,FALSE))</f>
        <v>114.4945</v>
      </c>
      <c r="F7001">
        <f t="shared" si="109"/>
        <v>114.4945</v>
      </c>
    </row>
    <row r="7002" spans="1:6" x14ac:dyDescent="0.3">
      <c r="A7002" t="s">
        <v>1295</v>
      </c>
      <c r="B7002" t="s">
        <v>2144</v>
      </c>
      <c r="C7002">
        <v>8</v>
      </c>
      <c r="D7002">
        <v>189</v>
      </c>
      <c r="E7002">
        <f>IF(OR(B7002="vi",B7002="ii",B7002="pod"),(((D7002/100)*(C7002*VLOOKUP(B7002,'Poids des runes'!A:B,2,FALSE)))+1),(((D7002/100)*(C7002*VLOOKUP(B7002,'Poids des runes'!A:B,2,FALSE)))+1)/VLOOKUP(B7002,'Poids des runes'!A:B,2,FALSE))</f>
        <v>15.62</v>
      </c>
      <c r="F7002">
        <f t="shared" si="109"/>
        <v>15.62</v>
      </c>
    </row>
    <row r="7003" spans="1:6" x14ac:dyDescent="0.3">
      <c r="A7003" t="s">
        <v>1295</v>
      </c>
      <c r="B7003" t="s">
        <v>2145</v>
      </c>
      <c r="C7003">
        <v>8</v>
      </c>
      <c r="D7003">
        <v>189</v>
      </c>
      <c r="E7003">
        <f>IF(OR(B7003="vi",B7003="ii",B7003="pod"),(((D7003/100)*(C7003*VLOOKUP(B7003,'Poids des runes'!A:B,2,FALSE)))+1),(((D7003/100)*(C7003*VLOOKUP(B7003,'Poids des runes'!A:B,2,FALSE)))+1)/VLOOKUP(B7003,'Poids des runes'!A:B,2,FALSE))</f>
        <v>15.62</v>
      </c>
      <c r="F7003">
        <f t="shared" si="109"/>
        <v>15.62</v>
      </c>
    </row>
    <row r="7004" spans="1:6" x14ac:dyDescent="0.3">
      <c r="A7004" t="s">
        <v>1296</v>
      </c>
      <c r="B7004" t="s">
        <v>2128</v>
      </c>
      <c r="C7004">
        <v>275.5</v>
      </c>
      <c r="D7004">
        <v>189</v>
      </c>
      <c r="E7004">
        <f>IF(OR(B7004="vi",B7004="ii",B7004="pod"),(((D7004/100)*(C7004*VLOOKUP(B7004,'Poids des runes'!A:B,2,FALSE)))+1),(((D7004/100)*(C7004*VLOOKUP(B7004,'Poids des runes'!A:B,2,FALSE)))+1)/VLOOKUP(B7004,'Poids des runes'!A:B,2,FALSE))</f>
        <v>105.139</v>
      </c>
      <c r="F7004">
        <f t="shared" si="109"/>
        <v>105.139</v>
      </c>
    </row>
    <row r="7005" spans="1:6" x14ac:dyDescent="0.3">
      <c r="A7005" t="s">
        <v>1296</v>
      </c>
      <c r="B7005" t="s">
        <v>2126</v>
      </c>
      <c r="C7005">
        <v>40.5</v>
      </c>
      <c r="D7005">
        <v>189</v>
      </c>
      <c r="E7005">
        <f>IF(OR(B7005="vi",B7005="ii",B7005="pod"),(((D7005/100)*(C7005*VLOOKUP(B7005,'Poids des runes'!A:B,2,FALSE)))+1),(((D7005/100)*(C7005*VLOOKUP(B7005,'Poids des runes'!A:B,2,FALSE)))+1)/VLOOKUP(B7005,'Poids des runes'!A:B,2,FALSE))</f>
        <v>77.545000000000002</v>
      </c>
      <c r="F7005">
        <f t="shared" si="109"/>
        <v>77.545000000000002</v>
      </c>
    </row>
    <row r="7006" spans="1:6" x14ac:dyDescent="0.3">
      <c r="A7006" t="s">
        <v>1296</v>
      </c>
      <c r="B7006" t="s">
        <v>2131</v>
      </c>
      <c r="C7006">
        <v>40.5</v>
      </c>
      <c r="D7006">
        <v>189</v>
      </c>
      <c r="E7006">
        <f>IF(OR(B7006="vi",B7006="ii",B7006="pod"),(((D7006/100)*(C7006*VLOOKUP(B7006,'Poids des runes'!A:B,2,FALSE)))+1),(((D7006/100)*(C7006*VLOOKUP(B7006,'Poids des runes'!A:B,2,FALSE)))+1)/VLOOKUP(B7006,'Poids des runes'!A:B,2,FALSE))</f>
        <v>77.545000000000002</v>
      </c>
      <c r="F7006">
        <f t="shared" si="109"/>
        <v>77.545000000000002</v>
      </c>
    </row>
    <row r="7007" spans="1:6" x14ac:dyDescent="0.3">
      <c r="A7007" t="s">
        <v>1296</v>
      </c>
      <c r="B7007" t="s">
        <v>2140</v>
      </c>
      <c r="C7007">
        <v>13</v>
      </c>
      <c r="D7007">
        <v>189</v>
      </c>
      <c r="E7007">
        <f>IF(OR(B7007="vi",B7007="ii",B7007="pod"),(((D7007/100)*(C7007*VLOOKUP(B7007,'Poids des runes'!A:B,2,FALSE)))+1),(((D7007/100)*(C7007*VLOOKUP(B7007,'Poids des runes'!A:B,2,FALSE)))+1)/VLOOKUP(B7007,'Poids des runes'!A:B,2,FALSE))</f>
        <v>24.77</v>
      </c>
      <c r="F7007">
        <f t="shared" si="109"/>
        <v>24.77</v>
      </c>
    </row>
    <row r="7008" spans="1:6" x14ac:dyDescent="0.3">
      <c r="A7008" t="s">
        <v>1296</v>
      </c>
      <c r="B7008" t="s">
        <v>2133</v>
      </c>
      <c r="C7008">
        <v>13</v>
      </c>
      <c r="D7008">
        <v>189</v>
      </c>
      <c r="E7008">
        <f>IF(OR(B7008="vi",B7008="ii",B7008="pod"),(((D7008/100)*(C7008*VLOOKUP(B7008,'Poids des runes'!A:B,2,FALSE)))+1),(((D7008/100)*(C7008*VLOOKUP(B7008,'Poids des runes'!A:B,2,FALSE)))+1)/VLOOKUP(B7008,'Poids des runes'!A:B,2,FALSE))</f>
        <v>24.77</v>
      </c>
      <c r="F7008">
        <f t="shared" si="109"/>
        <v>24.77</v>
      </c>
    </row>
    <row r="7009" spans="1:6" x14ac:dyDescent="0.3">
      <c r="A7009" t="s">
        <v>1296</v>
      </c>
      <c r="B7009" t="s">
        <v>2149</v>
      </c>
      <c r="C7009">
        <v>13</v>
      </c>
      <c r="D7009">
        <v>189</v>
      </c>
      <c r="E7009">
        <f>IF(OR(B7009="vi",B7009="ii",B7009="pod"),(((D7009/100)*(C7009*VLOOKUP(B7009,'Poids des runes'!A:B,2,FALSE)))+1),(((D7009/100)*(C7009*VLOOKUP(B7009,'Poids des runes'!A:B,2,FALSE)))+1)/VLOOKUP(B7009,'Poids des runes'!A:B,2,FALSE))</f>
        <v>24.669999999999998</v>
      </c>
      <c r="F7009">
        <f t="shared" si="109"/>
        <v>24.669999999999998</v>
      </c>
    </row>
    <row r="7010" spans="1:6" x14ac:dyDescent="0.3">
      <c r="A7010" t="s">
        <v>1296</v>
      </c>
      <c r="B7010" t="s">
        <v>2161</v>
      </c>
      <c r="C7010">
        <v>13</v>
      </c>
      <c r="D7010">
        <v>189</v>
      </c>
      <c r="E7010">
        <f>IF(OR(B7010="vi",B7010="ii",B7010="pod"),(((D7010/100)*(C7010*VLOOKUP(B7010,'Poids des runes'!A:B,2,FALSE)))+1),(((D7010/100)*(C7010*VLOOKUP(B7010,'Poids des runes'!A:B,2,FALSE)))+1)/VLOOKUP(B7010,'Poids des runes'!A:B,2,FALSE))</f>
        <v>24.903333333333332</v>
      </c>
      <c r="F7010">
        <f t="shared" si="109"/>
        <v>24.903333333333332</v>
      </c>
    </row>
    <row r="7011" spans="1:6" x14ac:dyDescent="0.3">
      <c r="A7011" t="s">
        <v>1296</v>
      </c>
      <c r="B7011" t="s">
        <v>2141</v>
      </c>
      <c r="C7011">
        <v>4</v>
      </c>
      <c r="D7011">
        <v>189</v>
      </c>
      <c r="E7011">
        <f>IF(OR(B7011="vi",B7011="ii",B7011="pod"),(((D7011/100)*(C7011*VLOOKUP(B7011,'Poids des runes'!A:B,2,FALSE)))+1),(((D7011/100)*(C7011*VLOOKUP(B7011,'Poids des runes'!A:B,2,FALSE)))+1)/VLOOKUP(B7011,'Poids des runes'!A:B,2,FALSE))</f>
        <v>7.81</v>
      </c>
      <c r="F7011">
        <f t="shared" si="109"/>
        <v>7.81</v>
      </c>
    </row>
    <row r="7012" spans="1:6" x14ac:dyDescent="0.3">
      <c r="A7012" t="s">
        <v>1296</v>
      </c>
      <c r="B7012" t="s">
        <v>2159</v>
      </c>
      <c r="C7012">
        <v>8.5</v>
      </c>
      <c r="D7012">
        <v>189</v>
      </c>
      <c r="E7012">
        <f>IF(OR(B7012="vi",B7012="ii",B7012="pod"),(((D7012/100)*(C7012*VLOOKUP(B7012,'Poids des runes'!A:B,2,FALSE)))+1),(((D7012/100)*(C7012*VLOOKUP(B7012,'Poids des runes'!A:B,2,FALSE)))+1)/VLOOKUP(B7012,'Poids des runes'!A:B,2,FALSE))</f>
        <v>16.207857142857144</v>
      </c>
      <c r="F7012">
        <f t="shared" si="109"/>
        <v>16.207857142857144</v>
      </c>
    </row>
    <row r="7013" spans="1:6" x14ac:dyDescent="0.3">
      <c r="A7013" t="s">
        <v>1296</v>
      </c>
      <c r="B7013" t="s">
        <v>2148</v>
      </c>
      <c r="C7013">
        <v>4</v>
      </c>
      <c r="D7013">
        <v>189</v>
      </c>
      <c r="E7013">
        <f>IF(OR(B7013="vi",B7013="ii",B7013="pod"),(((D7013/100)*(C7013*VLOOKUP(B7013,'Poids des runes'!A:B,2,FALSE)))+1),(((D7013/100)*(C7013*VLOOKUP(B7013,'Poids des runes'!A:B,2,FALSE)))+1)/VLOOKUP(B7013,'Poids des runes'!A:B,2,FALSE))</f>
        <v>7.7266666666666666</v>
      </c>
      <c r="F7013">
        <f t="shared" si="109"/>
        <v>7.7266666666666666</v>
      </c>
    </row>
    <row r="7014" spans="1:6" x14ac:dyDescent="0.3">
      <c r="A7014" t="s">
        <v>1296</v>
      </c>
      <c r="B7014" t="s">
        <v>2147</v>
      </c>
      <c r="C7014">
        <v>4</v>
      </c>
      <c r="D7014">
        <v>189</v>
      </c>
      <c r="E7014">
        <f>IF(OR(B7014="vi",B7014="ii",B7014="pod"),(((D7014/100)*(C7014*VLOOKUP(B7014,'Poids des runes'!A:B,2,FALSE)))+1),(((D7014/100)*(C7014*VLOOKUP(B7014,'Poids des runes'!A:B,2,FALSE)))+1)/VLOOKUP(B7014,'Poids des runes'!A:B,2,FALSE))</f>
        <v>7.7266666666666666</v>
      </c>
      <c r="F7014">
        <f t="shared" si="109"/>
        <v>7.7266666666666666</v>
      </c>
    </row>
    <row r="7015" spans="1:6" x14ac:dyDescent="0.3">
      <c r="A7015" t="s">
        <v>1296</v>
      </c>
      <c r="B7015" t="s">
        <v>2157</v>
      </c>
      <c r="C7015">
        <v>4</v>
      </c>
      <c r="D7015">
        <v>189</v>
      </c>
      <c r="E7015">
        <f>IF(OR(B7015="vi",B7015="ii",B7015="pod"),(((D7015/100)*(C7015*VLOOKUP(B7015,'Poids des runes'!A:B,2,FALSE)))+1),(((D7015/100)*(C7015*VLOOKUP(B7015,'Poids des runes'!A:B,2,FALSE)))+1)/VLOOKUP(B7015,'Poids des runes'!A:B,2,FALSE))</f>
        <v>7.7266666666666666</v>
      </c>
      <c r="F7015">
        <f t="shared" si="109"/>
        <v>7.7266666666666666</v>
      </c>
    </row>
    <row r="7016" spans="1:6" x14ac:dyDescent="0.3">
      <c r="A7016" t="s">
        <v>1297</v>
      </c>
      <c r="B7016" t="s">
        <v>2128</v>
      </c>
      <c r="C7016">
        <v>225.5</v>
      </c>
      <c r="D7016">
        <v>190</v>
      </c>
      <c r="E7016">
        <f>IF(OR(B7016="vi",B7016="ii",B7016="pod"),(((D7016/100)*(C7016*VLOOKUP(B7016,'Poids des runes'!A:B,2,FALSE)))+1),(((D7016/100)*(C7016*VLOOKUP(B7016,'Poids des runes'!A:B,2,FALSE)))+1)/VLOOKUP(B7016,'Poids des runes'!A:B,2,FALSE))</f>
        <v>86.69</v>
      </c>
      <c r="F7016">
        <f t="shared" si="109"/>
        <v>86.69</v>
      </c>
    </row>
    <row r="7017" spans="1:6" x14ac:dyDescent="0.3">
      <c r="A7017" t="s">
        <v>1297</v>
      </c>
      <c r="B7017" t="s">
        <v>2126</v>
      </c>
      <c r="C7017">
        <v>40.5</v>
      </c>
      <c r="D7017">
        <v>190</v>
      </c>
      <c r="E7017">
        <f>IF(OR(B7017="vi",B7017="ii",B7017="pod"),(((D7017/100)*(C7017*VLOOKUP(B7017,'Poids des runes'!A:B,2,FALSE)))+1),(((D7017/100)*(C7017*VLOOKUP(B7017,'Poids des runes'!A:B,2,FALSE)))+1)/VLOOKUP(B7017,'Poids des runes'!A:B,2,FALSE))</f>
        <v>77.95</v>
      </c>
      <c r="F7017">
        <f t="shared" si="109"/>
        <v>77.95</v>
      </c>
    </row>
    <row r="7018" spans="1:6" x14ac:dyDescent="0.3">
      <c r="A7018" t="s">
        <v>1297</v>
      </c>
      <c r="B7018" t="s">
        <v>2129</v>
      </c>
      <c r="C7018">
        <v>35.5</v>
      </c>
      <c r="D7018">
        <v>190</v>
      </c>
      <c r="E7018">
        <f>IF(OR(B7018="vi",B7018="ii",B7018="pod"),(((D7018/100)*(C7018*VLOOKUP(B7018,'Poids des runes'!A:B,2,FALSE)))+1),(((D7018/100)*(C7018*VLOOKUP(B7018,'Poids des runes'!A:B,2,FALSE)))+1)/VLOOKUP(B7018,'Poids des runes'!A:B,2,FALSE))</f>
        <v>68.45</v>
      </c>
      <c r="F7018">
        <f t="shared" si="109"/>
        <v>68.45</v>
      </c>
    </row>
    <row r="7019" spans="1:6" x14ac:dyDescent="0.3">
      <c r="A7019" t="s">
        <v>1297</v>
      </c>
      <c r="B7019" t="s">
        <v>2151</v>
      </c>
      <c r="C7019">
        <v>1.5</v>
      </c>
      <c r="D7019">
        <v>190</v>
      </c>
      <c r="E7019">
        <f>IF(OR(B7019="vi",B7019="ii",B7019="pod"),(((D7019/100)*(C7019*VLOOKUP(B7019,'Poids des runes'!A:B,2,FALSE)))+1),(((D7019/100)*(C7019*VLOOKUP(B7019,'Poids des runes'!A:B,2,FALSE)))+1)/VLOOKUP(B7019,'Poids des runes'!A:B,2,FALSE))</f>
        <v>2.95</v>
      </c>
      <c r="F7019">
        <f t="shared" si="109"/>
        <v>2.95</v>
      </c>
    </row>
    <row r="7020" spans="1:6" x14ac:dyDescent="0.3">
      <c r="A7020" t="s">
        <v>1297</v>
      </c>
      <c r="B7020" t="s">
        <v>2155</v>
      </c>
      <c r="C7020">
        <v>1</v>
      </c>
      <c r="D7020">
        <v>190</v>
      </c>
      <c r="E7020">
        <f>IF(OR(B7020="vi",B7020="ii",B7020="pod"),(((D7020/100)*(C7020*VLOOKUP(B7020,'Poids des runes'!A:B,2,FALSE)))+1),(((D7020/100)*(C7020*VLOOKUP(B7020,'Poids des runes'!A:B,2,FALSE)))+1)/VLOOKUP(B7020,'Poids des runes'!A:B,2,FALSE))</f>
        <v>1.9196078431372547</v>
      </c>
      <c r="F7020">
        <f t="shared" si="109"/>
        <v>1.9196078431372547</v>
      </c>
    </row>
    <row r="7021" spans="1:6" x14ac:dyDescent="0.3">
      <c r="A7021" t="s">
        <v>1297</v>
      </c>
      <c r="B7021" t="s">
        <v>2140</v>
      </c>
      <c r="C7021">
        <v>10.5</v>
      </c>
      <c r="D7021">
        <v>190</v>
      </c>
      <c r="E7021">
        <f>IF(OR(B7021="vi",B7021="ii",B7021="pod"),(((D7021/100)*(C7021*VLOOKUP(B7021,'Poids des runes'!A:B,2,FALSE)))+1),(((D7021/100)*(C7021*VLOOKUP(B7021,'Poids des runes'!A:B,2,FALSE)))+1)/VLOOKUP(B7021,'Poids des runes'!A:B,2,FALSE))</f>
        <v>20.149999999999999</v>
      </c>
      <c r="F7021">
        <f t="shared" si="109"/>
        <v>20.149999999999999</v>
      </c>
    </row>
    <row r="7022" spans="1:6" x14ac:dyDescent="0.3">
      <c r="A7022" t="s">
        <v>1297</v>
      </c>
      <c r="B7022" t="s">
        <v>2149</v>
      </c>
      <c r="C7022">
        <v>13</v>
      </c>
      <c r="D7022">
        <v>190</v>
      </c>
      <c r="E7022">
        <f>IF(OR(B7022="vi",B7022="ii",B7022="pod"),(((D7022/100)*(C7022*VLOOKUP(B7022,'Poids des runes'!A:B,2,FALSE)))+1),(((D7022/100)*(C7022*VLOOKUP(B7022,'Poids des runes'!A:B,2,FALSE)))+1)/VLOOKUP(B7022,'Poids des runes'!A:B,2,FALSE))</f>
        <v>24.8</v>
      </c>
      <c r="F7022">
        <f t="shared" si="109"/>
        <v>24.8</v>
      </c>
    </row>
    <row r="7023" spans="1:6" x14ac:dyDescent="0.3">
      <c r="A7023" t="s">
        <v>1297</v>
      </c>
      <c r="B7023" t="s">
        <v>2161</v>
      </c>
      <c r="C7023">
        <v>15.5</v>
      </c>
      <c r="D7023">
        <v>190</v>
      </c>
      <c r="E7023">
        <f>IF(OR(B7023="vi",B7023="ii",B7023="pod"),(((D7023/100)*(C7023*VLOOKUP(B7023,'Poids des runes'!A:B,2,FALSE)))+1),(((D7023/100)*(C7023*VLOOKUP(B7023,'Poids des runes'!A:B,2,FALSE)))+1)/VLOOKUP(B7023,'Poids des runes'!A:B,2,FALSE))</f>
        <v>29.783333333333331</v>
      </c>
      <c r="F7023">
        <f t="shared" si="109"/>
        <v>29.783333333333331</v>
      </c>
    </row>
    <row r="7024" spans="1:6" x14ac:dyDescent="0.3">
      <c r="A7024" t="s">
        <v>1297</v>
      </c>
      <c r="B7024" t="s">
        <v>2132</v>
      </c>
      <c r="C7024">
        <v>400.5</v>
      </c>
      <c r="D7024">
        <v>190</v>
      </c>
      <c r="E7024">
        <f>IF(OR(B7024="vi",B7024="ii",B7024="pod"),(((D7024/100)*(C7024*VLOOKUP(B7024,'Poids des runes'!A:B,2,FALSE)))+1),(((D7024/100)*(C7024*VLOOKUP(B7024,'Poids des runes'!A:B,2,FALSE)))+1)/VLOOKUP(B7024,'Poids des runes'!A:B,2,FALSE))</f>
        <v>77.094999999999999</v>
      </c>
      <c r="F7024">
        <f t="shared" si="109"/>
        <v>77.094999999999999</v>
      </c>
    </row>
    <row r="7025" spans="1:6" x14ac:dyDescent="0.3">
      <c r="A7025" t="s">
        <v>1297</v>
      </c>
      <c r="B7025" t="s">
        <v>2156</v>
      </c>
      <c r="C7025">
        <v>8</v>
      </c>
      <c r="D7025">
        <v>190</v>
      </c>
      <c r="E7025">
        <f>IF(OR(B7025="vi",B7025="ii",B7025="pod"),(((D7025/100)*(C7025*VLOOKUP(B7025,'Poids des runes'!A:B,2,FALSE)))+1),(((D7025/100)*(C7025*VLOOKUP(B7025,'Poids des runes'!A:B,2,FALSE)))+1)/VLOOKUP(B7025,'Poids des runes'!A:B,2,FALSE))</f>
        <v>15.366666666666665</v>
      </c>
      <c r="F7025">
        <f t="shared" si="109"/>
        <v>15.366666666666665</v>
      </c>
    </row>
    <row r="7026" spans="1:6" x14ac:dyDescent="0.3">
      <c r="A7026" t="s">
        <v>1297</v>
      </c>
      <c r="B7026" t="s">
        <v>2135</v>
      </c>
      <c r="C7026">
        <v>5</v>
      </c>
      <c r="D7026">
        <v>190</v>
      </c>
      <c r="E7026">
        <f>IF(OR(B7026="vi",B7026="ii",B7026="pod"),(((D7026/100)*(C7026*VLOOKUP(B7026,'Poids des runes'!A:B,2,FALSE)))+1),(((D7026/100)*(C7026*VLOOKUP(B7026,'Poids des runes'!A:B,2,FALSE)))+1)/VLOOKUP(B7026,'Poids des runes'!A:B,2,FALSE))</f>
        <v>9.6666666666666661</v>
      </c>
      <c r="F7026">
        <f t="shared" si="109"/>
        <v>9.6666666666666661</v>
      </c>
    </row>
    <row r="7027" spans="1:6" x14ac:dyDescent="0.3">
      <c r="A7027" t="s">
        <v>1297</v>
      </c>
      <c r="B7027" t="s">
        <v>2136</v>
      </c>
      <c r="C7027">
        <v>8</v>
      </c>
      <c r="D7027">
        <v>190</v>
      </c>
      <c r="E7027">
        <f>IF(OR(B7027="vi",B7027="ii",B7027="pod"),(((D7027/100)*(C7027*VLOOKUP(B7027,'Poids des runes'!A:B,2,FALSE)))+1),(((D7027/100)*(C7027*VLOOKUP(B7027,'Poids des runes'!A:B,2,FALSE)))+1)/VLOOKUP(B7027,'Poids des runes'!A:B,2,FALSE))</f>
        <v>15.7</v>
      </c>
      <c r="F7027">
        <f t="shared" si="109"/>
        <v>15.7</v>
      </c>
    </row>
    <row r="7028" spans="1:6" x14ac:dyDescent="0.3">
      <c r="A7028" t="s">
        <v>1298</v>
      </c>
      <c r="B7028" t="s">
        <v>2128</v>
      </c>
      <c r="C7028">
        <v>275.5</v>
      </c>
      <c r="D7028">
        <v>190</v>
      </c>
      <c r="E7028">
        <f>IF(OR(B7028="vi",B7028="ii",B7028="pod"),(((D7028/100)*(C7028*VLOOKUP(B7028,'Poids des runes'!A:B,2,FALSE)))+1),(((D7028/100)*(C7028*VLOOKUP(B7028,'Poids des runes'!A:B,2,FALSE)))+1)/VLOOKUP(B7028,'Poids des runes'!A:B,2,FALSE))</f>
        <v>105.69</v>
      </c>
      <c r="F7028">
        <f t="shared" si="109"/>
        <v>105.69</v>
      </c>
    </row>
    <row r="7029" spans="1:6" x14ac:dyDescent="0.3">
      <c r="A7029" t="s">
        <v>1298</v>
      </c>
      <c r="B7029" t="s">
        <v>2130</v>
      </c>
      <c r="C7029">
        <v>53</v>
      </c>
      <c r="D7029">
        <v>190</v>
      </c>
      <c r="E7029">
        <f>IF(OR(B7029="vi",B7029="ii",B7029="pod"),(((D7029/100)*(C7029*VLOOKUP(B7029,'Poids des runes'!A:B,2,FALSE)))+1),(((D7029/100)*(C7029*VLOOKUP(B7029,'Poids des runes'!A:B,2,FALSE)))+1)/VLOOKUP(B7029,'Poids des runes'!A:B,2,FALSE))</f>
        <v>101.69999999999999</v>
      </c>
      <c r="F7029">
        <f t="shared" si="109"/>
        <v>101.69999999999999</v>
      </c>
    </row>
    <row r="7030" spans="1:6" x14ac:dyDescent="0.3">
      <c r="A7030" t="s">
        <v>1298</v>
      </c>
      <c r="B7030" t="s">
        <v>2131</v>
      </c>
      <c r="C7030">
        <v>53</v>
      </c>
      <c r="D7030">
        <v>190</v>
      </c>
      <c r="E7030">
        <f>IF(OR(B7030="vi",B7030="ii",B7030="pod"),(((D7030/100)*(C7030*VLOOKUP(B7030,'Poids des runes'!A:B,2,FALSE)))+1),(((D7030/100)*(C7030*VLOOKUP(B7030,'Poids des runes'!A:B,2,FALSE)))+1)/VLOOKUP(B7030,'Poids des runes'!A:B,2,FALSE))</f>
        <v>101.69999999999999</v>
      </c>
      <c r="F7030">
        <f t="shared" si="109"/>
        <v>101.69999999999999</v>
      </c>
    </row>
    <row r="7031" spans="1:6" x14ac:dyDescent="0.3">
      <c r="A7031" t="s">
        <v>1298</v>
      </c>
      <c r="B7031" t="s">
        <v>2129</v>
      </c>
      <c r="C7031">
        <v>35.5</v>
      </c>
      <c r="D7031">
        <v>190</v>
      </c>
      <c r="E7031">
        <f>IF(OR(B7031="vi",B7031="ii",B7031="pod"),(((D7031/100)*(C7031*VLOOKUP(B7031,'Poids des runes'!A:B,2,FALSE)))+1),(((D7031/100)*(C7031*VLOOKUP(B7031,'Poids des runes'!A:B,2,FALSE)))+1)/VLOOKUP(B7031,'Poids des runes'!A:B,2,FALSE))</f>
        <v>68.45</v>
      </c>
      <c r="F7031">
        <f t="shared" si="109"/>
        <v>68.45</v>
      </c>
    </row>
    <row r="7032" spans="1:6" x14ac:dyDescent="0.3">
      <c r="A7032" t="s">
        <v>1298</v>
      </c>
      <c r="B7032" t="s">
        <v>2151</v>
      </c>
      <c r="C7032">
        <v>2.5</v>
      </c>
      <c r="D7032">
        <v>190</v>
      </c>
      <c r="E7032">
        <f>IF(OR(B7032="vi",B7032="ii",B7032="pod"),(((D7032/100)*(C7032*VLOOKUP(B7032,'Poids des runes'!A:B,2,FALSE)))+1),(((D7032/100)*(C7032*VLOOKUP(B7032,'Poids des runes'!A:B,2,FALSE)))+1)/VLOOKUP(B7032,'Poids des runes'!A:B,2,FALSE))</f>
        <v>4.8499999999999996</v>
      </c>
      <c r="F7032">
        <f t="shared" si="109"/>
        <v>4.8499999999999996</v>
      </c>
    </row>
    <row r="7033" spans="1:6" x14ac:dyDescent="0.3">
      <c r="A7033" t="s">
        <v>1298</v>
      </c>
      <c r="B7033" t="s">
        <v>2154</v>
      </c>
      <c r="C7033">
        <v>1</v>
      </c>
      <c r="D7033">
        <v>190</v>
      </c>
      <c r="E7033">
        <f>IF(OR(B7033="vi",B7033="ii",B7033="pod"),(((D7033/100)*(C7033*VLOOKUP(B7033,'Poids des runes'!A:B,2,FALSE)))+1),(((D7033/100)*(C7033*VLOOKUP(B7033,'Poids des runes'!A:B,2,FALSE)))+1)/VLOOKUP(B7033,'Poids des runes'!A:B,2,FALSE))</f>
        <v>1.9111111111111112</v>
      </c>
      <c r="F7033">
        <f t="shared" si="109"/>
        <v>1.9111111111111112</v>
      </c>
    </row>
    <row r="7034" spans="1:6" x14ac:dyDescent="0.3">
      <c r="A7034" t="s">
        <v>1298</v>
      </c>
      <c r="B7034" t="s">
        <v>2134</v>
      </c>
      <c r="C7034">
        <v>8.5</v>
      </c>
      <c r="D7034">
        <v>190</v>
      </c>
      <c r="E7034">
        <f>IF(OR(B7034="vi",B7034="ii",B7034="pod"),(((D7034/100)*(C7034*VLOOKUP(B7034,'Poids des runes'!A:B,2,FALSE)))+1),(((D7034/100)*(C7034*VLOOKUP(B7034,'Poids des runes'!A:B,2,FALSE)))+1)/VLOOKUP(B7034,'Poids des runes'!A:B,2,FALSE))</f>
        <v>16.2</v>
      </c>
      <c r="F7034">
        <f t="shared" si="109"/>
        <v>16.2</v>
      </c>
    </row>
    <row r="7035" spans="1:6" x14ac:dyDescent="0.3">
      <c r="A7035" t="s">
        <v>1298</v>
      </c>
      <c r="B7035" t="s">
        <v>2161</v>
      </c>
      <c r="C7035">
        <v>15.5</v>
      </c>
      <c r="D7035">
        <v>190</v>
      </c>
      <c r="E7035">
        <f>IF(OR(B7035="vi",B7035="ii",B7035="pod"),(((D7035/100)*(C7035*VLOOKUP(B7035,'Poids des runes'!A:B,2,FALSE)))+1),(((D7035/100)*(C7035*VLOOKUP(B7035,'Poids des runes'!A:B,2,FALSE)))+1)/VLOOKUP(B7035,'Poids des runes'!A:B,2,FALSE))</f>
        <v>29.783333333333331</v>
      </c>
      <c r="F7035">
        <f t="shared" si="109"/>
        <v>29.783333333333331</v>
      </c>
    </row>
    <row r="7036" spans="1:6" x14ac:dyDescent="0.3">
      <c r="A7036" t="s">
        <v>1298</v>
      </c>
      <c r="B7036" t="s">
        <v>2137</v>
      </c>
      <c r="C7036">
        <v>11</v>
      </c>
      <c r="D7036">
        <v>190</v>
      </c>
      <c r="E7036">
        <f>IF(OR(B7036="vi",B7036="ii",B7036="pod"),(((D7036/100)*(C7036*VLOOKUP(B7036,'Poids des runes'!A:B,2,FALSE)))+1),(((D7036/100)*(C7036*VLOOKUP(B7036,'Poids des runes'!A:B,2,FALSE)))+1)/VLOOKUP(B7036,'Poids des runes'!A:B,2,FALSE))</f>
        <v>21.4</v>
      </c>
      <c r="F7036">
        <f t="shared" si="109"/>
        <v>21.4</v>
      </c>
    </row>
    <row r="7037" spans="1:6" x14ac:dyDescent="0.3">
      <c r="A7037" t="s">
        <v>1298</v>
      </c>
      <c r="B7037" t="s">
        <v>2145</v>
      </c>
      <c r="C7037">
        <v>11</v>
      </c>
      <c r="D7037">
        <v>190</v>
      </c>
      <c r="E7037">
        <f>IF(OR(B7037="vi",B7037="ii",B7037="pod"),(((D7037/100)*(C7037*VLOOKUP(B7037,'Poids des runes'!A:B,2,FALSE)))+1),(((D7037/100)*(C7037*VLOOKUP(B7037,'Poids des runes'!A:B,2,FALSE)))+1)/VLOOKUP(B7037,'Poids des runes'!A:B,2,FALSE))</f>
        <v>21.4</v>
      </c>
      <c r="F7037">
        <f t="shared" si="109"/>
        <v>21.4</v>
      </c>
    </row>
    <row r="7038" spans="1:6" x14ac:dyDescent="0.3">
      <c r="A7038" t="s">
        <v>1299</v>
      </c>
      <c r="B7038" t="s">
        <v>2128</v>
      </c>
      <c r="C7038">
        <v>175.5</v>
      </c>
      <c r="D7038">
        <v>190</v>
      </c>
      <c r="E7038">
        <f>IF(OR(B7038="vi",B7038="ii",B7038="pod"),(((D7038/100)*(C7038*VLOOKUP(B7038,'Poids des runes'!A:B,2,FALSE)))+1),(((D7038/100)*(C7038*VLOOKUP(B7038,'Poids des runes'!A:B,2,FALSE)))+1)/VLOOKUP(B7038,'Poids des runes'!A:B,2,FALSE))</f>
        <v>67.69</v>
      </c>
      <c r="F7038">
        <f t="shared" si="109"/>
        <v>67.69</v>
      </c>
    </row>
    <row r="7039" spans="1:6" x14ac:dyDescent="0.3">
      <c r="A7039" t="s">
        <v>1299</v>
      </c>
      <c r="B7039" t="s">
        <v>2130</v>
      </c>
      <c r="C7039">
        <v>35.5</v>
      </c>
      <c r="D7039">
        <v>190</v>
      </c>
      <c r="E7039">
        <f>IF(OR(B7039="vi",B7039="ii",B7039="pod"),(((D7039/100)*(C7039*VLOOKUP(B7039,'Poids des runes'!A:B,2,FALSE)))+1),(((D7039/100)*(C7039*VLOOKUP(B7039,'Poids des runes'!A:B,2,FALSE)))+1)/VLOOKUP(B7039,'Poids des runes'!A:B,2,FALSE))</f>
        <v>68.45</v>
      </c>
      <c r="F7039">
        <f t="shared" si="109"/>
        <v>68.45</v>
      </c>
    </row>
    <row r="7040" spans="1:6" x14ac:dyDescent="0.3">
      <c r="A7040" t="s">
        <v>1299</v>
      </c>
      <c r="B7040" t="s">
        <v>2126</v>
      </c>
      <c r="C7040">
        <v>35.5</v>
      </c>
      <c r="D7040">
        <v>190</v>
      </c>
      <c r="E7040">
        <f>IF(OR(B7040="vi",B7040="ii",B7040="pod"),(((D7040/100)*(C7040*VLOOKUP(B7040,'Poids des runes'!A:B,2,FALSE)))+1),(((D7040/100)*(C7040*VLOOKUP(B7040,'Poids des runes'!A:B,2,FALSE)))+1)/VLOOKUP(B7040,'Poids des runes'!A:B,2,FALSE))</f>
        <v>68.45</v>
      </c>
      <c r="F7040">
        <f t="shared" si="109"/>
        <v>68.45</v>
      </c>
    </row>
    <row r="7041" spans="1:6" x14ac:dyDescent="0.3">
      <c r="A7041" t="s">
        <v>1299</v>
      </c>
      <c r="B7041" t="s">
        <v>2129</v>
      </c>
      <c r="C7041">
        <v>35.5</v>
      </c>
      <c r="D7041">
        <v>190</v>
      </c>
      <c r="E7041">
        <f>IF(OR(B7041="vi",B7041="ii",B7041="pod"),(((D7041/100)*(C7041*VLOOKUP(B7041,'Poids des runes'!A:B,2,FALSE)))+1),(((D7041/100)*(C7041*VLOOKUP(B7041,'Poids des runes'!A:B,2,FALSE)))+1)/VLOOKUP(B7041,'Poids des runes'!A:B,2,FALSE))</f>
        <v>68.45</v>
      </c>
      <c r="F7041">
        <f t="shared" si="109"/>
        <v>68.45</v>
      </c>
    </row>
    <row r="7042" spans="1:6" x14ac:dyDescent="0.3">
      <c r="A7042" t="s">
        <v>1299</v>
      </c>
      <c r="B7042" t="s">
        <v>2143</v>
      </c>
      <c r="C7042">
        <v>13</v>
      </c>
      <c r="D7042">
        <v>190</v>
      </c>
      <c r="E7042">
        <f>IF(OR(B7042="vi",B7042="ii",B7042="pod"),(((D7042/100)*(C7042*VLOOKUP(B7042,'Poids des runes'!A:B,2,FALSE)))+1),(((D7042/100)*(C7042*VLOOKUP(B7042,'Poids des runes'!A:B,2,FALSE)))+1)/VLOOKUP(B7042,'Poids des runes'!A:B,2,FALSE))</f>
        <v>24.9</v>
      </c>
      <c r="F7042">
        <f t="shared" si="109"/>
        <v>24.9</v>
      </c>
    </row>
    <row r="7043" spans="1:6" x14ac:dyDescent="0.3">
      <c r="A7043" t="s">
        <v>1299</v>
      </c>
      <c r="B7043" t="s">
        <v>2140</v>
      </c>
      <c r="C7043">
        <v>13</v>
      </c>
      <c r="D7043">
        <v>190</v>
      </c>
      <c r="E7043">
        <f>IF(OR(B7043="vi",B7043="ii",B7043="pod"),(((D7043/100)*(C7043*VLOOKUP(B7043,'Poids des runes'!A:B,2,FALSE)))+1),(((D7043/100)*(C7043*VLOOKUP(B7043,'Poids des runes'!A:B,2,FALSE)))+1)/VLOOKUP(B7043,'Poids des runes'!A:B,2,FALSE))</f>
        <v>24.9</v>
      </c>
      <c r="F7043">
        <f t="shared" ref="F7043:F7106" si="110">E7043</f>
        <v>24.9</v>
      </c>
    </row>
    <row r="7044" spans="1:6" x14ac:dyDescent="0.3">
      <c r="A7044" t="s">
        <v>1299</v>
      </c>
      <c r="B7044" t="s">
        <v>2141</v>
      </c>
      <c r="C7044">
        <v>7</v>
      </c>
      <c r="D7044">
        <v>190</v>
      </c>
      <c r="E7044">
        <f>IF(OR(B7044="vi",B7044="ii",B7044="pod"),(((D7044/100)*(C7044*VLOOKUP(B7044,'Poids des runes'!A:B,2,FALSE)))+1),(((D7044/100)*(C7044*VLOOKUP(B7044,'Poids des runes'!A:B,2,FALSE)))+1)/VLOOKUP(B7044,'Poids des runes'!A:B,2,FALSE))</f>
        <v>13.549999999999999</v>
      </c>
      <c r="F7044">
        <f t="shared" si="110"/>
        <v>13.549999999999999</v>
      </c>
    </row>
    <row r="7045" spans="1:6" x14ac:dyDescent="0.3">
      <c r="A7045" t="s">
        <v>1299</v>
      </c>
      <c r="B7045" t="s">
        <v>2136</v>
      </c>
      <c r="C7045">
        <v>10</v>
      </c>
      <c r="D7045">
        <v>190</v>
      </c>
      <c r="E7045">
        <f>IF(OR(B7045="vi",B7045="ii",B7045="pod"),(((D7045/100)*(C7045*VLOOKUP(B7045,'Poids des runes'!A:B,2,FALSE)))+1),(((D7045/100)*(C7045*VLOOKUP(B7045,'Poids des runes'!A:B,2,FALSE)))+1)/VLOOKUP(B7045,'Poids des runes'!A:B,2,FALSE))</f>
        <v>19.5</v>
      </c>
      <c r="F7045">
        <f t="shared" si="110"/>
        <v>19.5</v>
      </c>
    </row>
    <row r="7046" spans="1:6" x14ac:dyDescent="0.3">
      <c r="A7046" t="s">
        <v>1299</v>
      </c>
      <c r="B7046" t="s">
        <v>2137</v>
      </c>
      <c r="C7046">
        <v>10</v>
      </c>
      <c r="D7046">
        <v>190</v>
      </c>
      <c r="E7046">
        <f>IF(OR(B7046="vi",B7046="ii",B7046="pod"),(((D7046/100)*(C7046*VLOOKUP(B7046,'Poids des runes'!A:B,2,FALSE)))+1),(((D7046/100)*(C7046*VLOOKUP(B7046,'Poids des runes'!A:B,2,FALSE)))+1)/VLOOKUP(B7046,'Poids des runes'!A:B,2,FALSE))</f>
        <v>19.5</v>
      </c>
      <c r="F7046">
        <f t="shared" si="110"/>
        <v>19.5</v>
      </c>
    </row>
    <row r="7047" spans="1:6" x14ac:dyDescent="0.3">
      <c r="A7047" t="s">
        <v>1299</v>
      </c>
      <c r="B7047" t="s">
        <v>2144</v>
      </c>
      <c r="C7047">
        <v>10</v>
      </c>
      <c r="D7047">
        <v>190</v>
      </c>
      <c r="E7047">
        <f>IF(OR(B7047="vi",B7047="ii",B7047="pod"),(((D7047/100)*(C7047*VLOOKUP(B7047,'Poids des runes'!A:B,2,FALSE)))+1),(((D7047/100)*(C7047*VLOOKUP(B7047,'Poids des runes'!A:B,2,FALSE)))+1)/VLOOKUP(B7047,'Poids des runes'!A:B,2,FALSE))</f>
        <v>19.5</v>
      </c>
      <c r="F7047">
        <f t="shared" si="110"/>
        <v>19.5</v>
      </c>
    </row>
    <row r="7048" spans="1:6" x14ac:dyDescent="0.3">
      <c r="A7048" t="s">
        <v>1300</v>
      </c>
      <c r="B7048" t="s">
        <v>2128</v>
      </c>
      <c r="C7048">
        <v>325.5</v>
      </c>
      <c r="D7048">
        <v>190</v>
      </c>
      <c r="E7048">
        <f>IF(OR(B7048="vi",B7048="ii",B7048="pod"),(((D7048/100)*(C7048*VLOOKUP(B7048,'Poids des runes'!A:B,2,FALSE)))+1),(((D7048/100)*(C7048*VLOOKUP(B7048,'Poids des runes'!A:B,2,FALSE)))+1)/VLOOKUP(B7048,'Poids des runes'!A:B,2,FALSE))</f>
        <v>124.69000000000001</v>
      </c>
      <c r="F7048">
        <f t="shared" si="110"/>
        <v>124.69000000000001</v>
      </c>
    </row>
    <row r="7049" spans="1:6" x14ac:dyDescent="0.3">
      <c r="A7049" t="s">
        <v>1300</v>
      </c>
      <c r="B7049" t="s">
        <v>2130</v>
      </c>
      <c r="C7049">
        <v>45.5</v>
      </c>
      <c r="D7049">
        <v>190</v>
      </c>
      <c r="E7049">
        <f>IF(OR(B7049="vi",B7049="ii",B7049="pod"),(((D7049/100)*(C7049*VLOOKUP(B7049,'Poids des runes'!A:B,2,FALSE)))+1),(((D7049/100)*(C7049*VLOOKUP(B7049,'Poids des runes'!A:B,2,FALSE)))+1)/VLOOKUP(B7049,'Poids des runes'!A:B,2,FALSE))</f>
        <v>87.45</v>
      </c>
      <c r="F7049">
        <f t="shared" si="110"/>
        <v>87.45</v>
      </c>
    </row>
    <row r="7050" spans="1:6" x14ac:dyDescent="0.3">
      <c r="A7050" t="s">
        <v>1300</v>
      </c>
      <c r="B7050" t="s">
        <v>2129</v>
      </c>
      <c r="C7050">
        <v>35.5</v>
      </c>
      <c r="D7050">
        <v>190</v>
      </c>
      <c r="E7050">
        <f>IF(OR(B7050="vi",B7050="ii",B7050="pod"),(((D7050/100)*(C7050*VLOOKUP(B7050,'Poids des runes'!A:B,2,FALSE)))+1),(((D7050/100)*(C7050*VLOOKUP(B7050,'Poids des runes'!A:B,2,FALSE)))+1)/VLOOKUP(B7050,'Poids des runes'!A:B,2,FALSE))</f>
        <v>68.45</v>
      </c>
      <c r="F7050">
        <f t="shared" si="110"/>
        <v>68.45</v>
      </c>
    </row>
    <row r="7051" spans="1:6" x14ac:dyDescent="0.3">
      <c r="A7051" t="s">
        <v>1300</v>
      </c>
      <c r="B7051" t="s">
        <v>2139</v>
      </c>
      <c r="C7051">
        <v>25.5</v>
      </c>
      <c r="D7051">
        <v>190</v>
      </c>
      <c r="E7051">
        <f>IF(OR(B7051="vi",B7051="ii",B7051="pod"),(((D7051/100)*(C7051*VLOOKUP(B7051,'Poids des runes'!A:B,2,FALSE)))+1),(((D7051/100)*(C7051*VLOOKUP(B7051,'Poids des runes'!A:B,2,FALSE)))+1)/VLOOKUP(B7051,'Poids des runes'!A:B,2,FALSE))</f>
        <v>48.949999999999996</v>
      </c>
      <c r="F7051">
        <f t="shared" si="110"/>
        <v>48.949999999999996</v>
      </c>
    </row>
    <row r="7052" spans="1:6" x14ac:dyDescent="0.3">
      <c r="A7052" t="s">
        <v>1300</v>
      </c>
      <c r="B7052" t="s">
        <v>2155</v>
      </c>
      <c r="C7052">
        <v>1</v>
      </c>
      <c r="D7052">
        <v>190</v>
      </c>
      <c r="E7052">
        <f>IF(OR(B7052="vi",B7052="ii",B7052="pod"),(((D7052/100)*(C7052*VLOOKUP(B7052,'Poids des runes'!A:B,2,FALSE)))+1),(((D7052/100)*(C7052*VLOOKUP(B7052,'Poids des runes'!A:B,2,FALSE)))+1)/VLOOKUP(B7052,'Poids des runes'!A:B,2,FALSE))</f>
        <v>1.9196078431372547</v>
      </c>
      <c r="F7052">
        <f t="shared" si="110"/>
        <v>1.9196078431372547</v>
      </c>
    </row>
    <row r="7053" spans="1:6" x14ac:dyDescent="0.3">
      <c r="A7053" t="s">
        <v>1300</v>
      </c>
      <c r="B7053" t="s">
        <v>2143</v>
      </c>
      <c r="C7053">
        <v>10</v>
      </c>
      <c r="D7053">
        <v>190</v>
      </c>
      <c r="E7053">
        <f>IF(OR(B7053="vi",B7053="ii",B7053="pod"),(((D7053/100)*(C7053*VLOOKUP(B7053,'Poids des runes'!A:B,2,FALSE)))+1),(((D7053/100)*(C7053*VLOOKUP(B7053,'Poids des runes'!A:B,2,FALSE)))+1)/VLOOKUP(B7053,'Poids des runes'!A:B,2,FALSE))</f>
        <v>19.2</v>
      </c>
      <c r="F7053">
        <f t="shared" si="110"/>
        <v>19.2</v>
      </c>
    </row>
    <row r="7054" spans="1:6" x14ac:dyDescent="0.3">
      <c r="A7054" t="s">
        <v>1300</v>
      </c>
      <c r="B7054" t="s">
        <v>2161</v>
      </c>
      <c r="C7054">
        <v>13</v>
      </c>
      <c r="D7054">
        <v>190</v>
      </c>
      <c r="E7054">
        <f>IF(OR(B7054="vi",B7054="ii",B7054="pod"),(((D7054/100)*(C7054*VLOOKUP(B7054,'Poids des runes'!A:B,2,FALSE)))+1),(((D7054/100)*(C7054*VLOOKUP(B7054,'Poids des runes'!A:B,2,FALSE)))+1)/VLOOKUP(B7054,'Poids des runes'!A:B,2,FALSE))</f>
        <v>25.033333333333331</v>
      </c>
      <c r="F7054">
        <f t="shared" si="110"/>
        <v>25.033333333333331</v>
      </c>
    </row>
    <row r="7055" spans="1:6" x14ac:dyDescent="0.3">
      <c r="A7055" t="s">
        <v>1300</v>
      </c>
      <c r="B7055" t="s">
        <v>2138</v>
      </c>
      <c r="C7055">
        <v>6</v>
      </c>
      <c r="D7055">
        <v>190</v>
      </c>
      <c r="E7055">
        <f>IF(OR(B7055="vi",B7055="ii",B7055="pod"),(((D7055/100)*(C7055*VLOOKUP(B7055,'Poids des runes'!A:B,2,FALSE)))+1),(((D7055/100)*(C7055*VLOOKUP(B7055,'Poids des runes'!A:B,2,FALSE)))+1)/VLOOKUP(B7055,'Poids des runes'!A:B,2,FALSE))</f>
        <v>11.649999999999999</v>
      </c>
      <c r="F7055">
        <f t="shared" si="110"/>
        <v>11.649999999999999</v>
      </c>
    </row>
    <row r="7056" spans="1:6" x14ac:dyDescent="0.3">
      <c r="A7056" t="s">
        <v>1300</v>
      </c>
      <c r="B7056" t="s">
        <v>2165</v>
      </c>
      <c r="C7056">
        <v>8.5</v>
      </c>
      <c r="D7056">
        <v>190</v>
      </c>
      <c r="E7056">
        <f>IF(OR(B7056="vi",B7056="ii",B7056="pod"),(((D7056/100)*(C7056*VLOOKUP(B7056,'Poids des runes'!A:B,2,FALSE)))+1),(((D7056/100)*(C7056*VLOOKUP(B7056,'Poids des runes'!A:B,2,FALSE)))+1)/VLOOKUP(B7056,'Poids des runes'!A:B,2,FALSE))</f>
        <v>16.292857142857141</v>
      </c>
      <c r="F7056">
        <f t="shared" si="110"/>
        <v>16.292857142857141</v>
      </c>
    </row>
    <row r="7057" spans="1:6" x14ac:dyDescent="0.3">
      <c r="A7057" t="s">
        <v>1300</v>
      </c>
      <c r="B7057" t="s">
        <v>2148</v>
      </c>
      <c r="C7057">
        <v>3.5</v>
      </c>
      <c r="D7057">
        <v>190</v>
      </c>
      <c r="E7057">
        <f>IF(OR(B7057="vi",B7057="ii",B7057="pod"),(((D7057/100)*(C7057*VLOOKUP(B7057,'Poids des runes'!A:B,2,FALSE)))+1),(((D7057/100)*(C7057*VLOOKUP(B7057,'Poids des runes'!A:B,2,FALSE)))+1)/VLOOKUP(B7057,'Poids des runes'!A:B,2,FALSE))</f>
        <v>6.8166666666666664</v>
      </c>
      <c r="F7057">
        <f t="shared" si="110"/>
        <v>6.8166666666666664</v>
      </c>
    </row>
    <row r="7058" spans="1:6" x14ac:dyDescent="0.3">
      <c r="A7058" t="s">
        <v>1300</v>
      </c>
      <c r="B7058" t="s">
        <v>2147</v>
      </c>
      <c r="C7058">
        <v>6</v>
      </c>
      <c r="D7058">
        <v>190</v>
      </c>
      <c r="E7058">
        <f>IF(OR(B7058="vi",B7058="ii",B7058="pod"),(((D7058/100)*(C7058*VLOOKUP(B7058,'Poids des runes'!A:B,2,FALSE)))+1),(((D7058/100)*(C7058*VLOOKUP(B7058,'Poids des runes'!A:B,2,FALSE)))+1)/VLOOKUP(B7058,'Poids des runes'!A:B,2,FALSE))</f>
        <v>11.566666666666665</v>
      </c>
      <c r="F7058">
        <f t="shared" si="110"/>
        <v>11.566666666666665</v>
      </c>
    </row>
    <row r="7059" spans="1:6" x14ac:dyDescent="0.3">
      <c r="A7059" t="s">
        <v>1300</v>
      </c>
      <c r="B7059" t="s">
        <v>2137</v>
      </c>
      <c r="C7059">
        <v>8.5</v>
      </c>
      <c r="D7059">
        <v>190</v>
      </c>
      <c r="E7059">
        <f>IF(OR(B7059="vi",B7059="ii",B7059="pod"),(((D7059/100)*(C7059*VLOOKUP(B7059,'Poids des runes'!A:B,2,FALSE)))+1),(((D7059/100)*(C7059*VLOOKUP(B7059,'Poids des runes'!A:B,2,FALSE)))+1)/VLOOKUP(B7059,'Poids des runes'!A:B,2,FALSE))</f>
        <v>16.649999999999999</v>
      </c>
      <c r="F7059">
        <f t="shared" si="110"/>
        <v>16.649999999999999</v>
      </c>
    </row>
    <row r="7060" spans="1:6" x14ac:dyDescent="0.3">
      <c r="A7060" t="s">
        <v>1300</v>
      </c>
      <c r="B7060" t="s">
        <v>2146</v>
      </c>
      <c r="C7060">
        <v>8.5</v>
      </c>
      <c r="D7060">
        <v>190</v>
      </c>
      <c r="E7060">
        <f>IF(OR(B7060="vi",B7060="ii",B7060="pod"),(((D7060/100)*(C7060*VLOOKUP(B7060,'Poids des runes'!A:B,2,FALSE)))+1),(((D7060/100)*(C7060*VLOOKUP(B7060,'Poids des runes'!A:B,2,FALSE)))+1)/VLOOKUP(B7060,'Poids des runes'!A:B,2,FALSE))</f>
        <v>16.649999999999999</v>
      </c>
      <c r="F7060">
        <f t="shared" si="110"/>
        <v>16.649999999999999</v>
      </c>
    </row>
    <row r="7061" spans="1:6" x14ac:dyDescent="0.3">
      <c r="A7061" t="s">
        <v>1301</v>
      </c>
      <c r="B7061" t="s">
        <v>2128</v>
      </c>
      <c r="C7061">
        <v>300.5</v>
      </c>
      <c r="D7061">
        <v>191</v>
      </c>
      <c r="E7061">
        <f>IF(OR(B7061="vi",B7061="ii",B7061="pod"),(((D7061/100)*(C7061*VLOOKUP(B7061,'Poids des runes'!A:B,2,FALSE)))+1),(((D7061/100)*(C7061*VLOOKUP(B7061,'Poids des runes'!A:B,2,FALSE)))+1)/VLOOKUP(B7061,'Poids des runes'!A:B,2,FALSE))</f>
        <v>115.791</v>
      </c>
      <c r="F7061">
        <f t="shared" si="110"/>
        <v>115.791</v>
      </c>
    </row>
    <row r="7062" spans="1:6" x14ac:dyDescent="0.3">
      <c r="A7062" t="s">
        <v>1301</v>
      </c>
      <c r="B7062" t="s">
        <v>2130</v>
      </c>
      <c r="C7062">
        <v>60.5</v>
      </c>
      <c r="D7062">
        <v>191</v>
      </c>
      <c r="E7062">
        <f>IF(OR(B7062="vi",B7062="ii",B7062="pod"),(((D7062/100)*(C7062*VLOOKUP(B7062,'Poids des runes'!A:B,2,FALSE)))+1),(((D7062/100)*(C7062*VLOOKUP(B7062,'Poids des runes'!A:B,2,FALSE)))+1)/VLOOKUP(B7062,'Poids des runes'!A:B,2,FALSE))</f>
        <v>116.55499999999999</v>
      </c>
      <c r="F7062">
        <f t="shared" si="110"/>
        <v>116.55499999999999</v>
      </c>
    </row>
    <row r="7063" spans="1:6" x14ac:dyDescent="0.3">
      <c r="A7063" t="s">
        <v>1301</v>
      </c>
      <c r="B7063" t="s">
        <v>2126</v>
      </c>
      <c r="C7063">
        <v>60.5</v>
      </c>
      <c r="D7063">
        <v>191</v>
      </c>
      <c r="E7063">
        <f>IF(OR(B7063="vi",B7063="ii",B7063="pod"),(((D7063/100)*(C7063*VLOOKUP(B7063,'Poids des runes'!A:B,2,FALSE)))+1),(((D7063/100)*(C7063*VLOOKUP(B7063,'Poids des runes'!A:B,2,FALSE)))+1)/VLOOKUP(B7063,'Poids des runes'!A:B,2,FALSE))</f>
        <v>116.55499999999999</v>
      </c>
      <c r="F7063">
        <f t="shared" si="110"/>
        <v>116.55499999999999</v>
      </c>
    </row>
    <row r="7064" spans="1:6" x14ac:dyDescent="0.3">
      <c r="A7064" t="s">
        <v>1301</v>
      </c>
      <c r="B7064" t="s">
        <v>2129</v>
      </c>
      <c r="C7064">
        <v>33</v>
      </c>
      <c r="D7064">
        <v>191</v>
      </c>
      <c r="E7064">
        <f>IF(OR(B7064="vi",B7064="ii",B7064="pod"),(((D7064/100)*(C7064*VLOOKUP(B7064,'Poids des runes'!A:B,2,FALSE)))+1),(((D7064/100)*(C7064*VLOOKUP(B7064,'Poids des runes'!A:B,2,FALSE)))+1)/VLOOKUP(B7064,'Poids des runes'!A:B,2,FALSE))</f>
        <v>64.03</v>
      </c>
      <c r="F7064">
        <f t="shared" si="110"/>
        <v>64.03</v>
      </c>
    </row>
    <row r="7065" spans="1:6" x14ac:dyDescent="0.3">
      <c r="A7065" t="s">
        <v>1301</v>
      </c>
      <c r="B7065" t="s">
        <v>2151</v>
      </c>
      <c r="C7065">
        <v>2.5</v>
      </c>
      <c r="D7065">
        <v>191</v>
      </c>
      <c r="E7065">
        <f>IF(OR(B7065="vi",B7065="ii",B7065="pod"),(((D7065/100)*(C7065*VLOOKUP(B7065,'Poids des runes'!A:B,2,FALSE)))+1),(((D7065/100)*(C7065*VLOOKUP(B7065,'Poids des runes'!A:B,2,FALSE)))+1)/VLOOKUP(B7065,'Poids des runes'!A:B,2,FALSE))</f>
        <v>4.875</v>
      </c>
      <c r="F7065">
        <f t="shared" si="110"/>
        <v>4.875</v>
      </c>
    </row>
    <row r="7066" spans="1:6" x14ac:dyDescent="0.3">
      <c r="A7066" t="s">
        <v>1301</v>
      </c>
      <c r="B7066" t="s">
        <v>2155</v>
      </c>
      <c r="C7066">
        <v>1</v>
      </c>
      <c r="D7066">
        <v>191</v>
      </c>
      <c r="E7066">
        <f>IF(OR(B7066="vi",B7066="ii",B7066="pod"),(((D7066/100)*(C7066*VLOOKUP(B7066,'Poids des runes'!A:B,2,FALSE)))+1),(((D7066/100)*(C7066*VLOOKUP(B7066,'Poids des runes'!A:B,2,FALSE)))+1)/VLOOKUP(B7066,'Poids des runes'!A:B,2,FALSE))</f>
        <v>1.9296078431372548</v>
      </c>
      <c r="F7066">
        <f t="shared" si="110"/>
        <v>1.9296078431372548</v>
      </c>
    </row>
    <row r="7067" spans="1:6" x14ac:dyDescent="0.3">
      <c r="A7067" t="s">
        <v>1301</v>
      </c>
      <c r="B7067" t="s">
        <v>2134</v>
      </c>
      <c r="C7067">
        <v>8</v>
      </c>
      <c r="D7067">
        <v>191</v>
      </c>
      <c r="E7067">
        <f>IF(OR(B7067="vi",B7067="ii",B7067="pod"),(((D7067/100)*(C7067*VLOOKUP(B7067,'Poids des runes'!A:B,2,FALSE)))+1),(((D7067/100)*(C7067*VLOOKUP(B7067,'Poids des runes'!A:B,2,FALSE)))+1)/VLOOKUP(B7067,'Poids des runes'!A:B,2,FALSE))</f>
        <v>15.329999999999998</v>
      </c>
      <c r="F7067">
        <f t="shared" si="110"/>
        <v>15.329999999999998</v>
      </c>
    </row>
    <row r="7068" spans="1:6" x14ac:dyDescent="0.3">
      <c r="A7068" t="s">
        <v>1301</v>
      </c>
      <c r="B7068" t="s">
        <v>2147</v>
      </c>
      <c r="C7068">
        <v>8</v>
      </c>
      <c r="D7068">
        <v>191</v>
      </c>
      <c r="E7068">
        <f>IF(OR(B7068="vi",B7068="ii",B7068="pod"),(((D7068/100)*(C7068*VLOOKUP(B7068,'Poids des runes'!A:B,2,FALSE)))+1),(((D7068/100)*(C7068*VLOOKUP(B7068,'Poids des runes'!A:B,2,FALSE)))+1)/VLOOKUP(B7068,'Poids des runes'!A:B,2,FALSE))</f>
        <v>15.446666666666665</v>
      </c>
      <c r="F7068">
        <f t="shared" si="110"/>
        <v>15.446666666666665</v>
      </c>
    </row>
    <row r="7069" spans="1:6" x14ac:dyDescent="0.3">
      <c r="A7069" t="s">
        <v>1301</v>
      </c>
      <c r="B7069" t="s">
        <v>2135</v>
      </c>
      <c r="C7069">
        <v>8</v>
      </c>
      <c r="D7069">
        <v>191</v>
      </c>
      <c r="E7069">
        <f>IF(OR(B7069="vi",B7069="ii",B7069="pod"),(((D7069/100)*(C7069*VLOOKUP(B7069,'Poids des runes'!A:B,2,FALSE)))+1),(((D7069/100)*(C7069*VLOOKUP(B7069,'Poids des runes'!A:B,2,FALSE)))+1)/VLOOKUP(B7069,'Poids des runes'!A:B,2,FALSE))</f>
        <v>15.446666666666665</v>
      </c>
      <c r="F7069">
        <f t="shared" si="110"/>
        <v>15.446666666666665</v>
      </c>
    </row>
    <row r="7070" spans="1:6" x14ac:dyDescent="0.3">
      <c r="A7070" t="s">
        <v>1301</v>
      </c>
      <c r="B7070" t="s">
        <v>2157</v>
      </c>
      <c r="C7070">
        <v>8</v>
      </c>
      <c r="D7070">
        <v>191</v>
      </c>
      <c r="E7070">
        <f>IF(OR(B7070="vi",B7070="ii",B7070="pod"),(((D7070/100)*(C7070*VLOOKUP(B7070,'Poids des runes'!A:B,2,FALSE)))+1),(((D7070/100)*(C7070*VLOOKUP(B7070,'Poids des runes'!A:B,2,FALSE)))+1)/VLOOKUP(B7070,'Poids des runes'!A:B,2,FALSE))</f>
        <v>15.446666666666665</v>
      </c>
      <c r="F7070">
        <f t="shared" si="110"/>
        <v>15.446666666666665</v>
      </c>
    </row>
    <row r="7071" spans="1:6" x14ac:dyDescent="0.3">
      <c r="A7071" t="s">
        <v>1302</v>
      </c>
      <c r="B7071" t="s">
        <v>2128</v>
      </c>
      <c r="C7071">
        <v>275.5</v>
      </c>
      <c r="D7071">
        <v>191</v>
      </c>
      <c r="E7071">
        <f>IF(OR(B7071="vi",B7071="ii",B7071="pod"),(((D7071/100)*(C7071*VLOOKUP(B7071,'Poids des runes'!A:B,2,FALSE)))+1),(((D7071/100)*(C7071*VLOOKUP(B7071,'Poids des runes'!A:B,2,FALSE)))+1)/VLOOKUP(B7071,'Poids des runes'!A:B,2,FALSE))</f>
        <v>106.241</v>
      </c>
      <c r="F7071">
        <f t="shared" si="110"/>
        <v>106.241</v>
      </c>
    </row>
    <row r="7072" spans="1:6" x14ac:dyDescent="0.3">
      <c r="A7072" t="s">
        <v>1302</v>
      </c>
      <c r="B7072" t="s">
        <v>2127</v>
      </c>
      <c r="C7072">
        <v>70.5</v>
      </c>
      <c r="D7072">
        <v>191</v>
      </c>
      <c r="E7072">
        <f>IF(OR(B7072="vi",B7072="ii",B7072="pod"),(((D7072/100)*(C7072*VLOOKUP(B7072,'Poids des runes'!A:B,2,FALSE)))+1),(((D7072/100)*(C7072*VLOOKUP(B7072,'Poids des runes'!A:B,2,FALSE)))+1)/VLOOKUP(B7072,'Poids des runes'!A:B,2,FALSE))</f>
        <v>135.655</v>
      </c>
      <c r="F7072">
        <f t="shared" si="110"/>
        <v>135.655</v>
      </c>
    </row>
    <row r="7073" spans="1:6" x14ac:dyDescent="0.3">
      <c r="A7073" t="s">
        <v>1302</v>
      </c>
      <c r="B7073" t="s">
        <v>2129</v>
      </c>
      <c r="C7073">
        <v>35.5</v>
      </c>
      <c r="D7073">
        <v>191</v>
      </c>
      <c r="E7073">
        <f>IF(OR(B7073="vi",B7073="ii",B7073="pod"),(((D7073/100)*(C7073*VLOOKUP(B7073,'Poids des runes'!A:B,2,FALSE)))+1),(((D7073/100)*(C7073*VLOOKUP(B7073,'Poids des runes'!A:B,2,FALSE)))+1)/VLOOKUP(B7073,'Poids des runes'!A:B,2,FALSE))</f>
        <v>68.804999999999993</v>
      </c>
      <c r="F7073">
        <f t="shared" si="110"/>
        <v>68.804999999999993</v>
      </c>
    </row>
    <row r="7074" spans="1:6" x14ac:dyDescent="0.3">
      <c r="A7074" t="s">
        <v>1302</v>
      </c>
      <c r="B7074" t="s">
        <v>2151</v>
      </c>
      <c r="C7074">
        <v>5</v>
      </c>
      <c r="D7074">
        <v>191</v>
      </c>
      <c r="E7074">
        <f>IF(OR(B7074="vi",B7074="ii",B7074="pod"),(((D7074/100)*(C7074*VLOOKUP(B7074,'Poids des runes'!A:B,2,FALSE)))+1),(((D7074/100)*(C7074*VLOOKUP(B7074,'Poids des runes'!A:B,2,FALSE)))+1)/VLOOKUP(B7074,'Poids des runes'!A:B,2,FALSE))</f>
        <v>9.65</v>
      </c>
      <c r="F7074">
        <f t="shared" si="110"/>
        <v>9.65</v>
      </c>
    </row>
    <row r="7075" spans="1:6" x14ac:dyDescent="0.3">
      <c r="A7075" t="s">
        <v>1302</v>
      </c>
      <c r="B7075" t="s">
        <v>2154</v>
      </c>
      <c r="C7075">
        <v>1</v>
      </c>
      <c r="D7075">
        <v>191</v>
      </c>
      <c r="E7075">
        <f>IF(OR(B7075="vi",B7075="ii",B7075="pod"),(((D7075/100)*(C7075*VLOOKUP(B7075,'Poids des runes'!A:B,2,FALSE)))+1),(((D7075/100)*(C7075*VLOOKUP(B7075,'Poids des runes'!A:B,2,FALSE)))+1)/VLOOKUP(B7075,'Poids des runes'!A:B,2,FALSE))</f>
        <v>1.9211111111111112</v>
      </c>
      <c r="F7075">
        <f t="shared" si="110"/>
        <v>1.9211111111111112</v>
      </c>
    </row>
    <row r="7076" spans="1:6" x14ac:dyDescent="0.3">
      <c r="A7076" t="s">
        <v>1302</v>
      </c>
      <c r="B7076" t="s">
        <v>2153</v>
      </c>
      <c r="C7076">
        <v>16</v>
      </c>
      <c r="D7076">
        <v>191</v>
      </c>
      <c r="E7076">
        <f>IF(OR(B7076="vi",B7076="ii",B7076="pod"),(((D7076/100)*(C7076*VLOOKUP(B7076,'Poids des runes'!A:B,2,FALSE)))+1),(((D7076/100)*(C7076*VLOOKUP(B7076,'Poids des runes'!A:B,2,FALSE)))+1)/VLOOKUP(B7076,'Poids des runes'!A:B,2,FALSE))</f>
        <v>30.759999999999998</v>
      </c>
      <c r="F7076">
        <f t="shared" si="110"/>
        <v>30.759999999999998</v>
      </c>
    </row>
    <row r="7077" spans="1:6" x14ac:dyDescent="0.3">
      <c r="A7077" t="s">
        <v>1302</v>
      </c>
      <c r="B7077" t="s">
        <v>2161</v>
      </c>
      <c r="C7077">
        <v>13</v>
      </c>
      <c r="D7077">
        <v>191</v>
      </c>
      <c r="E7077">
        <f>IF(OR(B7077="vi",B7077="ii",B7077="pod"),(((D7077/100)*(C7077*VLOOKUP(B7077,'Poids des runes'!A:B,2,FALSE)))+1),(((D7077/100)*(C7077*VLOOKUP(B7077,'Poids des runes'!A:B,2,FALSE)))+1)/VLOOKUP(B7077,'Poids des runes'!A:B,2,FALSE))</f>
        <v>25.16333333333333</v>
      </c>
      <c r="F7077">
        <f t="shared" si="110"/>
        <v>25.16333333333333</v>
      </c>
    </row>
    <row r="7078" spans="1:6" x14ac:dyDescent="0.3">
      <c r="A7078" t="s">
        <v>1302</v>
      </c>
      <c r="B7078" t="s">
        <v>2132</v>
      </c>
      <c r="C7078">
        <v>250.5</v>
      </c>
      <c r="D7078">
        <v>191</v>
      </c>
      <c r="E7078">
        <f>IF(OR(B7078="vi",B7078="ii",B7078="pod"),(((D7078/100)*(C7078*VLOOKUP(B7078,'Poids des runes'!A:B,2,FALSE)))+1),(((D7078/100)*(C7078*VLOOKUP(B7078,'Poids des runes'!A:B,2,FALSE)))+1)/VLOOKUP(B7078,'Poids des runes'!A:B,2,FALSE))</f>
        <v>48.845500000000001</v>
      </c>
      <c r="F7078">
        <f t="shared" si="110"/>
        <v>48.845500000000001</v>
      </c>
    </row>
    <row r="7079" spans="1:6" x14ac:dyDescent="0.3">
      <c r="A7079" t="s">
        <v>1302</v>
      </c>
      <c r="B7079" t="s">
        <v>2165</v>
      </c>
      <c r="C7079">
        <v>4.5</v>
      </c>
      <c r="D7079">
        <v>191</v>
      </c>
      <c r="E7079">
        <f>IF(OR(B7079="vi",B7079="ii",B7079="pod"),(((D7079/100)*(C7079*VLOOKUP(B7079,'Poids des runes'!A:B,2,FALSE)))+1),(((D7079/100)*(C7079*VLOOKUP(B7079,'Poids des runes'!A:B,2,FALSE)))+1)/VLOOKUP(B7079,'Poids des runes'!A:B,2,FALSE))</f>
        <v>8.737857142857143</v>
      </c>
      <c r="F7079">
        <f t="shared" si="110"/>
        <v>8.737857142857143</v>
      </c>
    </row>
    <row r="7080" spans="1:6" x14ac:dyDescent="0.3">
      <c r="A7080" t="s">
        <v>1302</v>
      </c>
      <c r="B7080" t="s">
        <v>2136</v>
      </c>
      <c r="C7080">
        <v>13</v>
      </c>
      <c r="D7080">
        <v>191</v>
      </c>
      <c r="E7080">
        <f>IF(OR(B7080="vi",B7080="ii",B7080="pod"),(((D7080/100)*(C7080*VLOOKUP(B7080,'Poids des runes'!A:B,2,FALSE)))+1),(((D7080/100)*(C7080*VLOOKUP(B7080,'Poids des runes'!A:B,2,FALSE)))+1)/VLOOKUP(B7080,'Poids des runes'!A:B,2,FALSE))</f>
        <v>25.33</v>
      </c>
      <c r="F7080">
        <f t="shared" si="110"/>
        <v>25.33</v>
      </c>
    </row>
    <row r="7081" spans="1:6" x14ac:dyDescent="0.3">
      <c r="A7081" t="s">
        <v>1302</v>
      </c>
      <c r="B7081" t="s">
        <v>2145</v>
      </c>
      <c r="C7081">
        <v>13</v>
      </c>
      <c r="D7081">
        <v>191</v>
      </c>
      <c r="E7081">
        <f>IF(OR(B7081="vi",B7081="ii",B7081="pod"),(((D7081/100)*(C7081*VLOOKUP(B7081,'Poids des runes'!A:B,2,FALSE)))+1),(((D7081/100)*(C7081*VLOOKUP(B7081,'Poids des runes'!A:B,2,FALSE)))+1)/VLOOKUP(B7081,'Poids des runes'!A:B,2,FALSE))</f>
        <v>25.33</v>
      </c>
      <c r="F7081">
        <f t="shared" si="110"/>
        <v>25.33</v>
      </c>
    </row>
    <row r="7082" spans="1:6" x14ac:dyDescent="0.3">
      <c r="A7082" t="s">
        <v>1303</v>
      </c>
      <c r="B7082" t="s">
        <v>2128</v>
      </c>
      <c r="C7082">
        <v>225.5</v>
      </c>
      <c r="D7082">
        <v>191</v>
      </c>
      <c r="E7082">
        <f>IF(OR(B7082="vi",B7082="ii",B7082="pod"),(((D7082/100)*(C7082*VLOOKUP(B7082,'Poids des runes'!A:B,2,FALSE)))+1),(((D7082/100)*(C7082*VLOOKUP(B7082,'Poids des runes'!A:B,2,FALSE)))+1)/VLOOKUP(B7082,'Poids des runes'!A:B,2,FALSE))</f>
        <v>87.141000000000005</v>
      </c>
      <c r="F7082">
        <f t="shared" si="110"/>
        <v>87.141000000000005</v>
      </c>
    </row>
    <row r="7083" spans="1:6" x14ac:dyDescent="0.3">
      <c r="A7083" t="s">
        <v>1303</v>
      </c>
      <c r="B7083" t="s">
        <v>2126</v>
      </c>
      <c r="C7083">
        <v>50.5</v>
      </c>
      <c r="D7083">
        <v>191</v>
      </c>
      <c r="E7083">
        <f>IF(OR(B7083="vi",B7083="ii",B7083="pod"),(((D7083/100)*(C7083*VLOOKUP(B7083,'Poids des runes'!A:B,2,FALSE)))+1),(((D7083/100)*(C7083*VLOOKUP(B7083,'Poids des runes'!A:B,2,FALSE)))+1)/VLOOKUP(B7083,'Poids des runes'!A:B,2,FALSE))</f>
        <v>97.454999999999998</v>
      </c>
      <c r="F7083">
        <f t="shared" si="110"/>
        <v>97.454999999999998</v>
      </c>
    </row>
    <row r="7084" spans="1:6" x14ac:dyDescent="0.3">
      <c r="A7084" t="s">
        <v>1303</v>
      </c>
      <c r="B7084" t="s">
        <v>2127</v>
      </c>
      <c r="C7084">
        <v>50.5</v>
      </c>
      <c r="D7084">
        <v>191</v>
      </c>
      <c r="E7084">
        <f>IF(OR(B7084="vi",B7084="ii",B7084="pod"),(((D7084/100)*(C7084*VLOOKUP(B7084,'Poids des runes'!A:B,2,FALSE)))+1),(((D7084/100)*(C7084*VLOOKUP(B7084,'Poids des runes'!A:B,2,FALSE)))+1)/VLOOKUP(B7084,'Poids des runes'!A:B,2,FALSE))</f>
        <v>97.454999999999998</v>
      </c>
      <c r="F7084">
        <f t="shared" si="110"/>
        <v>97.454999999999998</v>
      </c>
    </row>
    <row r="7085" spans="1:6" x14ac:dyDescent="0.3">
      <c r="A7085" t="s">
        <v>1303</v>
      </c>
      <c r="B7085" t="s">
        <v>2129</v>
      </c>
      <c r="C7085">
        <v>25.5</v>
      </c>
      <c r="D7085">
        <v>191</v>
      </c>
      <c r="E7085">
        <f>IF(OR(B7085="vi",B7085="ii",B7085="pod"),(((D7085/100)*(C7085*VLOOKUP(B7085,'Poids des runes'!A:B,2,FALSE)))+1),(((D7085/100)*(C7085*VLOOKUP(B7085,'Poids des runes'!A:B,2,FALSE)))+1)/VLOOKUP(B7085,'Poids des runes'!A:B,2,FALSE))</f>
        <v>49.704999999999998</v>
      </c>
      <c r="F7085">
        <f t="shared" si="110"/>
        <v>49.704999999999998</v>
      </c>
    </row>
    <row r="7086" spans="1:6" x14ac:dyDescent="0.3">
      <c r="A7086" t="s">
        <v>1303</v>
      </c>
      <c r="B7086" t="s">
        <v>2151</v>
      </c>
      <c r="C7086">
        <v>3.5</v>
      </c>
      <c r="D7086">
        <v>191</v>
      </c>
      <c r="E7086">
        <f>IF(OR(B7086="vi",B7086="ii",B7086="pod"),(((D7086/100)*(C7086*VLOOKUP(B7086,'Poids des runes'!A:B,2,FALSE)))+1),(((D7086/100)*(C7086*VLOOKUP(B7086,'Poids des runes'!A:B,2,FALSE)))+1)/VLOOKUP(B7086,'Poids des runes'!A:B,2,FALSE))</f>
        <v>6.7849999999999993</v>
      </c>
      <c r="F7086">
        <f t="shared" si="110"/>
        <v>6.7849999999999993</v>
      </c>
    </row>
    <row r="7087" spans="1:6" x14ac:dyDescent="0.3">
      <c r="A7087" t="s">
        <v>1303</v>
      </c>
      <c r="B7087" t="s">
        <v>2140</v>
      </c>
      <c r="C7087">
        <v>8.5</v>
      </c>
      <c r="D7087">
        <v>191</v>
      </c>
      <c r="E7087">
        <f>IF(OR(B7087="vi",B7087="ii",B7087="pod"),(((D7087/100)*(C7087*VLOOKUP(B7087,'Poids des runes'!A:B,2,FALSE)))+1),(((D7087/100)*(C7087*VLOOKUP(B7087,'Poids des runes'!A:B,2,FALSE)))+1)/VLOOKUP(B7087,'Poids des runes'!A:B,2,FALSE))</f>
        <v>16.434999999999999</v>
      </c>
      <c r="F7087">
        <f t="shared" si="110"/>
        <v>16.434999999999999</v>
      </c>
    </row>
    <row r="7088" spans="1:6" x14ac:dyDescent="0.3">
      <c r="A7088" t="s">
        <v>1303</v>
      </c>
      <c r="B7088" t="s">
        <v>2153</v>
      </c>
      <c r="C7088">
        <v>8.5</v>
      </c>
      <c r="D7088">
        <v>191</v>
      </c>
      <c r="E7088">
        <f>IF(OR(B7088="vi",B7088="ii",B7088="pod"),(((D7088/100)*(C7088*VLOOKUP(B7088,'Poids des runes'!A:B,2,FALSE)))+1),(((D7088/100)*(C7088*VLOOKUP(B7088,'Poids des runes'!A:B,2,FALSE)))+1)/VLOOKUP(B7088,'Poids des runes'!A:B,2,FALSE))</f>
        <v>16.434999999999999</v>
      </c>
      <c r="F7088">
        <f t="shared" si="110"/>
        <v>16.434999999999999</v>
      </c>
    </row>
    <row r="7089" spans="1:6" x14ac:dyDescent="0.3">
      <c r="A7089" t="s">
        <v>1303</v>
      </c>
      <c r="B7089" t="s">
        <v>2149</v>
      </c>
      <c r="C7089">
        <v>10.5</v>
      </c>
      <c r="D7089">
        <v>191</v>
      </c>
      <c r="E7089">
        <f>IF(OR(B7089="vi",B7089="ii",B7089="pod"),(((D7089/100)*(C7089*VLOOKUP(B7089,'Poids des runes'!A:B,2,FALSE)))+1),(((D7089/100)*(C7089*VLOOKUP(B7089,'Poids des runes'!A:B,2,FALSE)))+1)/VLOOKUP(B7089,'Poids des runes'!A:B,2,FALSE))</f>
        <v>20.154999999999998</v>
      </c>
      <c r="F7089">
        <f t="shared" si="110"/>
        <v>20.154999999999998</v>
      </c>
    </row>
    <row r="7090" spans="1:6" x14ac:dyDescent="0.3">
      <c r="A7090" t="s">
        <v>1303</v>
      </c>
      <c r="B7090" t="s">
        <v>2161</v>
      </c>
      <c r="C7090">
        <v>13</v>
      </c>
      <c r="D7090">
        <v>191</v>
      </c>
      <c r="E7090">
        <f>IF(OR(B7090="vi",B7090="ii",B7090="pod"),(((D7090/100)*(C7090*VLOOKUP(B7090,'Poids des runes'!A:B,2,FALSE)))+1),(((D7090/100)*(C7090*VLOOKUP(B7090,'Poids des runes'!A:B,2,FALSE)))+1)/VLOOKUP(B7090,'Poids des runes'!A:B,2,FALSE))</f>
        <v>25.16333333333333</v>
      </c>
      <c r="F7090">
        <f t="shared" si="110"/>
        <v>25.16333333333333</v>
      </c>
    </row>
    <row r="7091" spans="1:6" x14ac:dyDescent="0.3">
      <c r="A7091" t="s">
        <v>1303</v>
      </c>
      <c r="B7091" t="s">
        <v>2162</v>
      </c>
      <c r="C7091">
        <v>4</v>
      </c>
      <c r="D7091">
        <v>191</v>
      </c>
      <c r="E7091">
        <f>IF(OR(B7091="vi",B7091="ii",B7091="pod"),(((D7091/100)*(C7091*VLOOKUP(B7091,'Poids des runes'!A:B,2,FALSE)))+1),(((D7091/100)*(C7091*VLOOKUP(B7091,'Poids des runes'!A:B,2,FALSE)))+1)/VLOOKUP(B7091,'Poids des runes'!A:B,2,FALSE))</f>
        <v>7.782857142857142</v>
      </c>
      <c r="F7091">
        <f t="shared" si="110"/>
        <v>7.782857142857142</v>
      </c>
    </row>
    <row r="7092" spans="1:6" x14ac:dyDescent="0.3">
      <c r="A7092" t="s">
        <v>1303</v>
      </c>
      <c r="B7092" t="s">
        <v>2148</v>
      </c>
      <c r="C7092">
        <v>6</v>
      </c>
      <c r="D7092">
        <v>191</v>
      </c>
      <c r="E7092">
        <f>IF(OR(B7092="vi",B7092="ii",B7092="pod"),(((D7092/100)*(C7092*VLOOKUP(B7092,'Poids des runes'!A:B,2,FALSE)))+1),(((D7092/100)*(C7092*VLOOKUP(B7092,'Poids des runes'!A:B,2,FALSE)))+1)/VLOOKUP(B7092,'Poids des runes'!A:B,2,FALSE))</f>
        <v>11.626666666666665</v>
      </c>
      <c r="F7092">
        <f t="shared" si="110"/>
        <v>11.626666666666665</v>
      </c>
    </row>
    <row r="7093" spans="1:6" x14ac:dyDescent="0.3">
      <c r="A7093" t="s">
        <v>1303</v>
      </c>
      <c r="B7093" t="s">
        <v>2147</v>
      </c>
      <c r="C7093">
        <v>6</v>
      </c>
      <c r="D7093">
        <v>191</v>
      </c>
      <c r="E7093">
        <f>IF(OR(B7093="vi",B7093="ii",B7093="pod"),(((D7093/100)*(C7093*VLOOKUP(B7093,'Poids des runes'!A:B,2,FALSE)))+1),(((D7093/100)*(C7093*VLOOKUP(B7093,'Poids des runes'!A:B,2,FALSE)))+1)/VLOOKUP(B7093,'Poids des runes'!A:B,2,FALSE))</f>
        <v>11.626666666666665</v>
      </c>
      <c r="F7093">
        <f t="shared" si="110"/>
        <v>11.626666666666665</v>
      </c>
    </row>
    <row r="7094" spans="1:6" x14ac:dyDescent="0.3">
      <c r="A7094" t="s">
        <v>1304</v>
      </c>
      <c r="B7094" t="s">
        <v>2128</v>
      </c>
      <c r="C7094">
        <v>275.5</v>
      </c>
      <c r="D7094">
        <v>191</v>
      </c>
      <c r="E7094">
        <f>IF(OR(B7094="vi",B7094="ii",B7094="pod"),(((D7094/100)*(C7094*VLOOKUP(B7094,'Poids des runes'!A:B,2,FALSE)))+1),(((D7094/100)*(C7094*VLOOKUP(B7094,'Poids des runes'!A:B,2,FALSE)))+1)/VLOOKUP(B7094,'Poids des runes'!A:B,2,FALSE))</f>
        <v>106.241</v>
      </c>
      <c r="F7094">
        <f t="shared" si="110"/>
        <v>106.241</v>
      </c>
    </row>
    <row r="7095" spans="1:6" x14ac:dyDescent="0.3">
      <c r="A7095" t="s">
        <v>1304</v>
      </c>
      <c r="B7095" t="s">
        <v>2131</v>
      </c>
      <c r="C7095">
        <v>60.5</v>
      </c>
      <c r="D7095">
        <v>191</v>
      </c>
      <c r="E7095">
        <f>IF(OR(B7095="vi",B7095="ii",B7095="pod"),(((D7095/100)*(C7095*VLOOKUP(B7095,'Poids des runes'!A:B,2,FALSE)))+1),(((D7095/100)*(C7095*VLOOKUP(B7095,'Poids des runes'!A:B,2,FALSE)))+1)/VLOOKUP(B7095,'Poids des runes'!A:B,2,FALSE))</f>
        <v>116.55499999999999</v>
      </c>
      <c r="F7095">
        <f t="shared" si="110"/>
        <v>116.55499999999999</v>
      </c>
    </row>
    <row r="7096" spans="1:6" x14ac:dyDescent="0.3">
      <c r="A7096" t="s">
        <v>1304</v>
      </c>
      <c r="B7096" t="s">
        <v>2127</v>
      </c>
      <c r="C7096">
        <v>60.5</v>
      </c>
      <c r="D7096">
        <v>191</v>
      </c>
      <c r="E7096">
        <f>IF(OR(B7096="vi",B7096="ii",B7096="pod"),(((D7096/100)*(C7096*VLOOKUP(B7096,'Poids des runes'!A:B,2,FALSE)))+1),(((D7096/100)*(C7096*VLOOKUP(B7096,'Poids des runes'!A:B,2,FALSE)))+1)/VLOOKUP(B7096,'Poids des runes'!A:B,2,FALSE))</f>
        <v>116.55499999999999</v>
      </c>
      <c r="F7096">
        <f t="shared" si="110"/>
        <v>116.55499999999999</v>
      </c>
    </row>
    <row r="7097" spans="1:6" x14ac:dyDescent="0.3">
      <c r="A7097" t="s">
        <v>1304</v>
      </c>
      <c r="B7097" t="s">
        <v>2129</v>
      </c>
      <c r="C7097">
        <v>40.5</v>
      </c>
      <c r="D7097">
        <v>191</v>
      </c>
      <c r="E7097">
        <f>IF(OR(B7097="vi",B7097="ii",B7097="pod"),(((D7097/100)*(C7097*VLOOKUP(B7097,'Poids des runes'!A:B,2,FALSE)))+1),(((D7097/100)*(C7097*VLOOKUP(B7097,'Poids des runes'!A:B,2,FALSE)))+1)/VLOOKUP(B7097,'Poids des runes'!A:B,2,FALSE))</f>
        <v>78.35499999999999</v>
      </c>
      <c r="F7097">
        <f t="shared" si="110"/>
        <v>78.35499999999999</v>
      </c>
    </row>
    <row r="7098" spans="1:6" x14ac:dyDescent="0.3">
      <c r="A7098" t="s">
        <v>1304</v>
      </c>
      <c r="B7098" t="s">
        <v>2151</v>
      </c>
      <c r="C7098">
        <v>4</v>
      </c>
      <c r="D7098">
        <v>191</v>
      </c>
      <c r="E7098">
        <f>IF(OR(B7098="vi",B7098="ii",B7098="pod"),(((D7098/100)*(C7098*VLOOKUP(B7098,'Poids des runes'!A:B,2,FALSE)))+1),(((D7098/100)*(C7098*VLOOKUP(B7098,'Poids des runes'!A:B,2,FALSE)))+1)/VLOOKUP(B7098,'Poids des runes'!A:B,2,FALSE))</f>
        <v>7.7399999999999993</v>
      </c>
      <c r="F7098">
        <f t="shared" si="110"/>
        <v>7.7399999999999993</v>
      </c>
    </row>
    <row r="7099" spans="1:6" x14ac:dyDescent="0.3">
      <c r="A7099" t="s">
        <v>1304</v>
      </c>
      <c r="B7099" t="s">
        <v>2155</v>
      </c>
      <c r="C7099">
        <v>1</v>
      </c>
      <c r="D7099">
        <v>191</v>
      </c>
      <c r="E7099">
        <f>IF(OR(B7099="vi",B7099="ii",B7099="pod"),(((D7099/100)*(C7099*VLOOKUP(B7099,'Poids des runes'!A:B,2,FALSE)))+1),(((D7099/100)*(C7099*VLOOKUP(B7099,'Poids des runes'!A:B,2,FALSE)))+1)/VLOOKUP(B7099,'Poids des runes'!A:B,2,FALSE))</f>
        <v>1.9296078431372548</v>
      </c>
      <c r="F7099">
        <f t="shared" si="110"/>
        <v>1.9296078431372548</v>
      </c>
    </row>
    <row r="7100" spans="1:6" x14ac:dyDescent="0.3">
      <c r="A7100" t="s">
        <v>1304</v>
      </c>
      <c r="B7100" t="s">
        <v>2133</v>
      </c>
      <c r="C7100">
        <v>10.5</v>
      </c>
      <c r="D7100">
        <v>191</v>
      </c>
      <c r="E7100">
        <f>IF(OR(B7100="vi",B7100="ii",B7100="pod"),(((D7100/100)*(C7100*VLOOKUP(B7100,'Poids des runes'!A:B,2,FALSE)))+1),(((D7100/100)*(C7100*VLOOKUP(B7100,'Poids des runes'!A:B,2,FALSE)))+1)/VLOOKUP(B7100,'Poids des runes'!A:B,2,FALSE))</f>
        <v>20.254999999999999</v>
      </c>
      <c r="F7100">
        <f t="shared" si="110"/>
        <v>20.254999999999999</v>
      </c>
    </row>
    <row r="7101" spans="1:6" x14ac:dyDescent="0.3">
      <c r="A7101" t="s">
        <v>1304</v>
      </c>
      <c r="B7101" t="s">
        <v>2153</v>
      </c>
      <c r="C7101">
        <v>10.5</v>
      </c>
      <c r="D7101">
        <v>191</v>
      </c>
      <c r="E7101">
        <f>IF(OR(B7101="vi",B7101="ii",B7101="pod"),(((D7101/100)*(C7101*VLOOKUP(B7101,'Poids des runes'!A:B,2,FALSE)))+1),(((D7101/100)*(C7101*VLOOKUP(B7101,'Poids des runes'!A:B,2,FALSE)))+1)/VLOOKUP(B7101,'Poids des runes'!A:B,2,FALSE))</f>
        <v>20.254999999999999</v>
      </c>
      <c r="F7101">
        <f t="shared" si="110"/>
        <v>20.254999999999999</v>
      </c>
    </row>
    <row r="7102" spans="1:6" x14ac:dyDescent="0.3">
      <c r="A7102" t="s">
        <v>1304</v>
      </c>
      <c r="B7102" t="s">
        <v>2161</v>
      </c>
      <c r="C7102">
        <v>13</v>
      </c>
      <c r="D7102">
        <v>191</v>
      </c>
      <c r="E7102">
        <f>IF(OR(B7102="vi",B7102="ii",B7102="pod"),(((D7102/100)*(C7102*VLOOKUP(B7102,'Poids des runes'!A:B,2,FALSE)))+1),(((D7102/100)*(C7102*VLOOKUP(B7102,'Poids des runes'!A:B,2,FALSE)))+1)/VLOOKUP(B7102,'Poids des runes'!A:B,2,FALSE))</f>
        <v>25.16333333333333</v>
      </c>
      <c r="F7102">
        <f t="shared" si="110"/>
        <v>25.16333333333333</v>
      </c>
    </row>
    <row r="7103" spans="1:6" x14ac:dyDescent="0.3">
      <c r="A7103" t="s">
        <v>1304</v>
      </c>
      <c r="B7103" t="s">
        <v>2158</v>
      </c>
      <c r="C7103">
        <v>10.5</v>
      </c>
      <c r="D7103">
        <v>191</v>
      </c>
      <c r="E7103">
        <f>IF(OR(B7103="vi",B7103="ii",B7103="pod"),(((D7103/100)*(C7103*VLOOKUP(B7103,'Poids des runes'!A:B,2,FALSE)))+1),(((D7103/100)*(C7103*VLOOKUP(B7103,'Poids des runes'!A:B,2,FALSE)))+1)/VLOOKUP(B7103,'Poids des runes'!A:B,2,FALSE))</f>
        <v>20.254999999999999</v>
      </c>
      <c r="F7103">
        <f t="shared" si="110"/>
        <v>20.254999999999999</v>
      </c>
    </row>
    <row r="7104" spans="1:6" x14ac:dyDescent="0.3">
      <c r="A7104" t="s">
        <v>1304</v>
      </c>
      <c r="B7104" t="s">
        <v>2147</v>
      </c>
      <c r="C7104">
        <v>4</v>
      </c>
      <c r="D7104">
        <v>191</v>
      </c>
      <c r="E7104">
        <f>IF(OR(B7104="vi",B7104="ii",B7104="pod"),(((D7104/100)*(C7104*VLOOKUP(B7104,'Poids des runes'!A:B,2,FALSE)))+1),(((D7104/100)*(C7104*VLOOKUP(B7104,'Poids des runes'!A:B,2,FALSE)))+1)/VLOOKUP(B7104,'Poids des runes'!A:B,2,FALSE))</f>
        <v>7.8066666666666658</v>
      </c>
      <c r="F7104">
        <f t="shared" si="110"/>
        <v>7.8066666666666658</v>
      </c>
    </row>
    <row r="7105" spans="1:6" x14ac:dyDescent="0.3">
      <c r="A7105" t="s">
        <v>1304</v>
      </c>
      <c r="B7105" t="s">
        <v>2135</v>
      </c>
      <c r="C7105">
        <v>4</v>
      </c>
      <c r="D7105">
        <v>191</v>
      </c>
      <c r="E7105">
        <f>IF(OR(B7105="vi",B7105="ii",B7105="pod"),(((D7105/100)*(C7105*VLOOKUP(B7105,'Poids des runes'!A:B,2,FALSE)))+1),(((D7105/100)*(C7105*VLOOKUP(B7105,'Poids des runes'!A:B,2,FALSE)))+1)/VLOOKUP(B7105,'Poids des runes'!A:B,2,FALSE))</f>
        <v>7.8066666666666658</v>
      </c>
      <c r="F7105">
        <f t="shared" si="110"/>
        <v>7.8066666666666658</v>
      </c>
    </row>
    <row r="7106" spans="1:6" x14ac:dyDescent="0.3">
      <c r="A7106" t="s">
        <v>1305</v>
      </c>
      <c r="B7106" t="s">
        <v>2128</v>
      </c>
      <c r="C7106">
        <v>225.5</v>
      </c>
      <c r="D7106">
        <v>191</v>
      </c>
      <c r="E7106">
        <f>IF(OR(B7106="vi",B7106="ii",B7106="pod"),(((D7106/100)*(C7106*VLOOKUP(B7106,'Poids des runes'!A:B,2,FALSE)))+1),(((D7106/100)*(C7106*VLOOKUP(B7106,'Poids des runes'!A:B,2,FALSE)))+1)/VLOOKUP(B7106,'Poids des runes'!A:B,2,FALSE))</f>
        <v>87.141000000000005</v>
      </c>
      <c r="F7106">
        <f t="shared" si="110"/>
        <v>87.141000000000005</v>
      </c>
    </row>
    <row r="7107" spans="1:6" x14ac:dyDescent="0.3">
      <c r="A7107" t="s">
        <v>1305</v>
      </c>
      <c r="B7107" t="s">
        <v>2126</v>
      </c>
      <c r="C7107">
        <v>50.5</v>
      </c>
      <c r="D7107">
        <v>191</v>
      </c>
      <c r="E7107">
        <f>IF(OR(B7107="vi",B7107="ii",B7107="pod"),(((D7107/100)*(C7107*VLOOKUP(B7107,'Poids des runes'!A:B,2,FALSE)))+1),(((D7107/100)*(C7107*VLOOKUP(B7107,'Poids des runes'!A:B,2,FALSE)))+1)/VLOOKUP(B7107,'Poids des runes'!A:B,2,FALSE))</f>
        <v>97.454999999999998</v>
      </c>
      <c r="F7107">
        <f t="shared" ref="F7107:F7170" si="111">E7107</f>
        <v>97.454999999999998</v>
      </c>
    </row>
    <row r="7108" spans="1:6" x14ac:dyDescent="0.3">
      <c r="A7108" t="s">
        <v>1305</v>
      </c>
      <c r="B7108" t="s">
        <v>2131</v>
      </c>
      <c r="C7108">
        <v>50.5</v>
      </c>
      <c r="D7108">
        <v>191</v>
      </c>
      <c r="E7108">
        <f>IF(OR(B7108="vi",B7108="ii",B7108="pod"),(((D7108/100)*(C7108*VLOOKUP(B7108,'Poids des runes'!A:B,2,FALSE)))+1),(((D7108/100)*(C7108*VLOOKUP(B7108,'Poids des runes'!A:B,2,FALSE)))+1)/VLOOKUP(B7108,'Poids des runes'!A:B,2,FALSE))</f>
        <v>97.454999999999998</v>
      </c>
      <c r="F7108">
        <f t="shared" si="111"/>
        <v>97.454999999999998</v>
      </c>
    </row>
    <row r="7109" spans="1:6" x14ac:dyDescent="0.3">
      <c r="A7109" t="s">
        <v>1305</v>
      </c>
      <c r="B7109" t="s">
        <v>2129</v>
      </c>
      <c r="C7109">
        <v>25.5</v>
      </c>
      <c r="D7109">
        <v>191</v>
      </c>
      <c r="E7109">
        <f>IF(OR(B7109="vi",B7109="ii",B7109="pod"),(((D7109/100)*(C7109*VLOOKUP(B7109,'Poids des runes'!A:B,2,FALSE)))+1),(((D7109/100)*(C7109*VLOOKUP(B7109,'Poids des runes'!A:B,2,FALSE)))+1)/VLOOKUP(B7109,'Poids des runes'!A:B,2,FALSE))</f>
        <v>49.704999999999998</v>
      </c>
      <c r="F7109">
        <f t="shared" si="111"/>
        <v>49.704999999999998</v>
      </c>
    </row>
    <row r="7110" spans="1:6" x14ac:dyDescent="0.3">
      <c r="A7110" t="s">
        <v>1305</v>
      </c>
      <c r="B7110" t="s">
        <v>2154</v>
      </c>
      <c r="C7110">
        <v>1</v>
      </c>
      <c r="D7110">
        <v>191</v>
      </c>
      <c r="E7110">
        <f>IF(OR(B7110="vi",B7110="ii",B7110="pod"),(((D7110/100)*(C7110*VLOOKUP(B7110,'Poids des runes'!A:B,2,FALSE)))+1),(((D7110/100)*(C7110*VLOOKUP(B7110,'Poids des runes'!A:B,2,FALSE)))+1)/VLOOKUP(B7110,'Poids des runes'!A:B,2,FALSE))</f>
        <v>1.9211111111111112</v>
      </c>
      <c r="F7110">
        <f t="shared" si="111"/>
        <v>1.9211111111111112</v>
      </c>
    </row>
    <row r="7111" spans="1:6" x14ac:dyDescent="0.3">
      <c r="A7111" t="s">
        <v>1305</v>
      </c>
      <c r="B7111" t="s">
        <v>2155</v>
      </c>
      <c r="C7111">
        <v>1</v>
      </c>
      <c r="D7111">
        <v>191</v>
      </c>
      <c r="E7111">
        <f>IF(OR(B7111="vi",B7111="ii",B7111="pod"),(((D7111/100)*(C7111*VLOOKUP(B7111,'Poids des runes'!A:B,2,FALSE)))+1),(((D7111/100)*(C7111*VLOOKUP(B7111,'Poids des runes'!A:B,2,FALSE)))+1)/VLOOKUP(B7111,'Poids des runes'!A:B,2,FALSE))</f>
        <v>1.9296078431372548</v>
      </c>
      <c r="F7111">
        <f t="shared" si="111"/>
        <v>1.9296078431372548</v>
      </c>
    </row>
    <row r="7112" spans="1:6" x14ac:dyDescent="0.3">
      <c r="A7112" t="s">
        <v>1305</v>
      </c>
      <c r="B7112" t="s">
        <v>2140</v>
      </c>
      <c r="C7112">
        <v>10.5</v>
      </c>
      <c r="D7112">
        <v>191</v>
      </c>
      <c r="E7112">
        <f>IF(OR(B7112="vi",B7112="ii",B7112="pod"),(((D7112/100)*(C7112*VLOOKUP(B7112,'Poids des runes'!A:B,2,FALSE)))+1),(((D7112/100)*(C7112*VLOOKUP(B7112,'Poids des runes'!A:B,2,FALSE)))+1)/VLOOKUP(B7112,'Poids des runes'!A:B,2,FALSE))</f>
        <v>20.254999999999999</v>
      </c>
      <c r="F7112">
        <f t="shared" si="111"/>
        <v>20.254999999999999</v>
      </c>
    </row>
    <row r="7113" spans="1:6" x14ac:dyDescent="0.3">
      <c r="A7113" t="s">
        <v>1305</v>
      </c>
      <c r="B7113" t="s">
        <v>2133</v>
      </c>
      <c r="C7113">
        <v>10.5</v>
      </c>
      <c r="D7113">
        <v>191</v>
      </c>
      <c r="E7113">
        <f>IF(OR(B7113="vi",B7113="ii",B7113="pod"),(((D7113/100)*(C7113*VLOOKUP(B7113,'Poids des runes'!A:B,2,FALSE)))+1),(((D7113/100)*(C7113*VLOOKUP(B7113,'Poids des runes'!A:B,2,FALSE)))+1)/VLOOKUP(B7113,'Poids des runes'!A:B,2,FALSE))</f>
        <v>20.254999999999999</v>
      </c>
      <c r="F7113">
        <f t="shared" si="111"/>
        <v>20.254999999999999</v>
      </c>
    </row>
    <row r="7114" spans="1:6" x14ac:dyDescent="0.3">
      <c r="A7114" t="s">
        <v>1305</v>
      </c>
      <c r="B7114" t="s">
        <v>2149</v>
      </c>
      <c r="C7114">
        <v>8.5</v>
      </c>
      <c r="D7114">
        <v>191</v>
      </c>
      <c r="E7114">
        <f>IF(OR(B7114="vi",B7114="ii",B7114="pod"),(((D7114/100)*(C7114*VLOOKUP(B7114,'Poids des runes'!A:B,2,FALSE)))+1),(((D7114/100)*(C7114*VLOOKUP(B7114,'Poids des runes'!A:B,2,FALSE)))+1)/VLOOKUP(B7114,'Poids des runes'!A:B,2,FALSE))</f>
        <v>16.335000000000001</v>
      </c>
      <c r="F7114">
        <f t="shared" si="111"/>
        <v>16.335000000000001</v>
      </c>
    </row>
    <row r="7115" spans="1:6" x14ac:dyDescent="0.3">
      <c r="A7115" t="s">
        <v>1305</v>
      </c>
      <c r="B7115" t="s">
        <v>2141</v>
      </c>
      <c r="C7115">
        <v>4.5</v>
      </c>
      <c r="D7115">
        <v>191</v>
      </c>
      <c r="E7115">
        <f>IF(OR(B7115="vi",B7115="ii",B7115="pod"),(((D7115/100)*(C7115*VLOOKUP(B7115,'Poids des runes'!A:B,2,FALSE)))+1),(((D7115/100)*(C7115*VLOOKUP(B7115,'Poids des runes'!A:B,2,FALSE)))+1)/VLOOKUP(B7115,'Poids des runes'!A:B,2,FALSE))</f>
        <v>8.8449999999999989</v>
      </c>
      <c r="F7115">
        <f t="shared" si="111"/>
        <v>8.8449999999999989</v>
      </c>
    </row>
    <row r="7116" spans="1:6" x14ac:dyDescent="0.3">
      <c r="A7116" t="s">
        <v>1305</v>
      </c>
      <c r="B7116" t="s">
        <v>2159</v>
      </c>
      <c r="C7116">
        <v>5</v>
      </c>
      <c r="D7116">
        <v>191</v>
      </c>
      <c r="E7116">
        <f>IF(OR(B7116="vi",B7116="ii",B7116="pod"),(((D7116/100)*(C7116*VLOOKUP(B7116,'Poids des runes'!A:B,2,FALSE)))+1),(((D7116/100)*(C7116*VLOOKUP(B7116,'Poids des runes'!A:B,2,FALSE)))+1)/VLOOKUP(B7116,'Poids des runes'!A:B,2,FALSE))</f>
        <v>9.6928571428571413</v>
      </c>
      <c r="F7116">
        <f t="shared" si="111"/>
        <v>9.6928571428571413</v>
      </c>
    </row>
    <row r="7117" spans="1:6" x14ac:dyDescent="0.3">
      <c r="A7117" t="s">
        <v>1305</v>
      </c>
      <c r="B7117" t="s">
        <v>2148</v>
      </c>
      <c r="C7117">
        <v>4</v>
      </c>
      <c r="D7117">
        <v>191</v>
      </c>
      <c r="E7117">
        <f>IF(OR(B7117="vi",B7117="ii",B7117="pod"),(((D7117/100)*(C7117*VLOOKUP(B7117,'Poids des runes'!A:B,2,FALSE)))+1),(((D7117/100)*(C7117*VLOOKUP(B7117,'Poids des runes'!A:B,2,FALSE)))+1)/VLOOKUP(B7117,'Poids des runes'!A:B,2,FALSE))</f>
        <v>7.8066666666666658</v>
      </c>
      <c r="F7117">
        <f t="shared" si="111"/>
        <v>7.8066666666666658</v>
      </c>
    </row>
    <row r="7118" spans="1:6" x14ac:dyDescent="0.3">
      <c r="A7118" t="s">
        <v>1305</v>
      </c>
      <c r="B7118" t="s">
        <v>2147</v>
      </c>
      <c r="C7118">
        <v>4</v>
      </c>
      <c r="D7118">
        <v>191</v>
      </c>
      <c r="E7118">
        <f>IF(OR(B7118="vi",B7118="ii",B7118="pod"),(((D7118/100)*(C7118*VLOOKUP(B7118,'Poids des runes'!A:B,2,FALSE)))+1),(((D7118/100)*(C7118*VLOOKUP(B7118,'Poids des runes'!A:B,2,FALSE)))+1)/VLOOKUP(B7118,'Poids des runes'!A:B,2,FALSE))</f>
        <v>7.8066666666666658</v>
      </c>
      <c r="F7118">
        <f t="shared" si="111"/>
        <v>7.8066666666666658</v>
      </c>
    </row>
    <row r="7119" spans="1:6" x14ac:dyDescent="0.3">
      <c r="A7119" t="s">
        <v>1306</v>
      </c>
      <c r="B7119" t="s">
        <v>2128</v>
      </c>
      <c r="C7119">
        <v>275.5</v>
      </c>
      <c r="D7119">
        <v>192</v>
      </c>
      <c r="E7119">
        <f>IF(OR(B7119="vi",B7119="ii",B7119="pod"),(((D7119/100)*(C7119*VLOOKUP(B7119,'Poids des runes'!A:B,2,FALSE)))+1),(((D7119/100)*(C7119*VLOOKUP(B7119,'Poids des runes'!A:B,2,FALSE)))+1)/VLOOKUP(B7119,'Poids des runes'!A:B,2,FALSE))</f>
        <v>106.792</v>
      </c>
      <c r="F7119">
        <f t="shared" si="111"/>
        <v>106.792</v>
      </c>
    </row>
    <row r="7120" spans="1:6" x14ac:dyDescent="0.3">
      <c r="A7120" t="s">
        <v>1306</v>
      </c>
      <c r="B7120" t="s">
        <v>2131</v>
      </c>
      <c r="C7120">
        <v>60.5</v>
      </c>
      <c r="D7120">
        <v>192</v>
      </c>
      <c r="E7120">
        <f>IF(OR(B7120="vi",B7120="ii",B7120="pod"),(((D7120/100)*(C7120*VLOOKUP(B7120,'Poids des runes'!A:B,2,FALSE)))+1),(((D7120/100)*(C7120*VLOOKUP(B7120,'Poids des runes'!A:B,2,FALSE)))+1)/VLOOKUP(B7120,'Poids des runes'!A:B,2,FALSE))</f>
        <v>117.16</v>
      </c>
      <c r="F7120">
        <f t="shared" si="111"/>
        <v>117.16</v>
      </c>
    </row>
    <row r="7121" spans="1:6" x14ac:dyDescent="0.3">
      <c r="A7121" t="s">
        <v>1306</v>
      </c>
      <c r="B7121" t="s">
        <v>2127</v>
      </c>
      <c r="C7121">
        <v>60.5</v>
      </c>
      <c r="D7121">
        <v>192</v>
      </c>
      <c r="E7121">
        <f>IF(OR(B7121="vi",B7121="ii",B7121="pod"),(((D7121/100)*(C7121*VLOOKUP(B7121,'Poids des runes'!A:B,2,FALSE)))+1),(((D7121/100)*(C7121*VLOOKUP(B7121,'Poids des runes'!A:B,2,FALSE)))+1)/VLOOKUP(B7121,'Poids des runes'!A:B,2,FALSE))</f>
        <v>117.16</v>
      </c>
      <c r="F7121">
        <f t="shared" si="111"/>
        <v>117.16</v>
      </c>
    </row>
    <row r="7122" spans="1:6" x14ac:dyDescent="0.3">
      <c r="A7122" t="s">
        <v>1306</v>
      </c>
      <c r="B7122" t="s">
        <v>2129</v>
      </c>
      <c r="C7122">
        <v>25.5</v>
      </c>
      <c r="D7122">
        <v>192</v>
      </c>
      <c r="E7122">
        <f>IF(OR(B7122="vi",B7122="ii",B7122="pod"),(((D7122/100)*(C7122*VLOOKUP(B7122,'Poids des runes'!A:B,2,FALSE)))+1),(((D7122/100)*(C7122*VLOOKUP(B7122,'Poids des runes'!A:B,2,FALSE)))+1)/VLOOKUP(B7122,'Poids des runes'!A:B,2,FALSE))</f>
        <v>49.96</v>
      </c>
      <c r="F7122">
        <f t="shared" si="111"/>
        <v>49.96</v>
      </c>
    </row>
    <row r="7123" spans="1:6" x14ac:dyDescent="0.3">
      <c r="A7123" t="s">
        <v>1306</v>
      </c>
      <c r="B7123" t="s">
        <v>2139</v>
      </c>
      <c r="C7123">
        <v>20.5</v>
      </c>
      <c r="D7123">
        <v>192</v>
      </c>
      <c r="E7123">
        <f>IF(OR(B7123="vi",B7123="ii",B7123="pod"),(((D7123/100)*(C7123*VLOOKUP(B7123,'Poids des runes'!A:B,2,FALSE)))+1),(((D7123/100)*(C7123*VLOOKUP(B7123,'Poids des runes'!A:B,2,FALSE)))+1)/VLOOKUP(B7123,'Poids des runes'!A:B,2,FALSE))</f>
        <v>39.86</v>
      </c>
      <c r="F7123">
        <f t="shared" si="111"/>
        <v>39.86</v>
      </c>
    </row>
    <row r="7124" spans="1:6" x14ac:dyDescent="0.3">
      <c r="A7124" t="s">
        <v>1306</v>
      </c>
      <c r="B7124" t="s">
        <v>2151</v>
      </c>
      <c r="C7124">
        <v>2.5</v>
      </c>
      <c r="D7124">
        <v>192</v>
      </c>
      <c r="E7124">
        <f>IF(OR(B7124="vi",B7124="ii",B7124="pod"),(((D7124/100)*(C7124*VLOOKUP(B7124,'Poids des runes'!A:B,2,FALSE)))+1),(((D7124/100)*(C7124*VLOOKUP(B7124,'Poids des runes'!A:B,2,FALSE)))+1)/VLOOKUP(B7124,'Poids des runes'!A:B,2,FALSE))</f>
        <v>4.9000000000000004</v>
      </c>
      <c r="F7124">
        <f t="shared" si="111"/>
        <v>4.9000000000000004</v>
      </c>
    </row>
    <row r="7125" spans="1:6" x14ac:dyDescent="0.3">
      <c r="A7125" t="s">
        <v>1306</v>
      </c>
      <c r="B7125" t="s">
        <v>2155</v>
      </c>
      <c r="C7125">
        <v>1</v>
      </c>
      <c r="D7125">
        <v>192</v>
      </c>
      <c r="E7125">
        <f>IF(OR(B7125="vi",B7125="ii",B7125="pod"),(((D7125/100)*(C7125*VLOOKUP(B7125,'Poids des runes'!A:B,2,FALSE)))+1),(((D7125/100)*(C7125*VLOOKUP(B7125,'Poids des runes'!A:B,2,FALSE)))+1)/VLOOKUP(B7125,'Poids des runes'!A:B,2,FALSE))</f>
        <v>1.939607843137255</v>
      </c>
      <c r="F7125">
        <f t="shared" si="111"/>
        <v>1.939607843137255</v>
      </c>
    </row>
    <row r="7126" spans="1:6" x14ac:dyDescent="0.3">
      <c r="A7126" t="s">
        <v>1306</v>
      </c>
      <c r="B7126" t="s">
        <v>2133</v>
      </c>
      <c r="C7126">
        <v>10.5</v>
      </c>
      <c r="D7126">
        <v>192</v>
      </c>
      <c r="E7126">
        <f>IF(OR(B7126="vi",B7126="ii",B7126="pod"),(((D7126/100)*(C7126*VLOOKUP(B7126,'Poids des runes'!A:B,2,FALSE)))+1),(((D7126/100)*(C7126*VLOOKUP(B7126,'Poids des runes'!A:B,2,FALSE)))+1)/VLOOKUP(B7126,'Poids des runes'!A:B,2,FALSE))</f>
        <v>20.36</v>
      </c>
      <c r="F7126">
        <f t="shared" si="111"/>
        <v>20.36</v>
      </c>
    </row>
    <row r="7127" spans="1:6" x14ac:dyDescent="0.3">
      <c r="A7127" t="s">
        <v>1306</v>
      </c>
      <c r="B7127" t="s">
        <v>2153</v>
      </c>
      <c r="C7127">
        <v>10.5</v>
      </c>
      <c r="D7127">
        <v>192</v>
      </c>
      <c r="E7127">
        <f>IF(OR(B7127="vi",B7127="ii",B7127="pod"),(((D7127/100)*(C7127*VLOOKUP(B7127,'Poids des runes'!A:B,2,FALSE)))+1),(((D7127/100)*(C7127*VLOOKUP(B7127,'Poids des runes'!A:B,2,FALSE)))+1)/VLOOKUP(B7127,'Poids des runes'!A:B,2,FALSE))</f>
        <v>20.36</v>
      </c>
      <c r="F7127">
        <f t="shared" si="111"/>
        <v>20.36</v>
      </c>
    </row>
    <row r="7128" spans="1:6" x14ac:dyDescent="0.3">
      <c r="A7128" t="s">
        <v>1306</v>
      </c>
      <c r="B7128" t="s">
        <v>2161</v>
      </c>
      <c r="C7128">
        <v>13</v>
      </c>
      <c r="D7128">
        <v>192</v>
      </c>
      <c r="E7128">
        <f>IF(OR(B7128="vi",B7128="ii",B7128="pod"),(((D7128/100)*(C7128*VLOOKUP(B7128,'Poids des runes'!A:B,2,FALSE)))+1),(((D7128/100)*(C7128*VLOOKUP(B7128,'Poids des runes'!A:B,2,FALSE)))+1)/VLOOKUP(B7128,'Poids des runes'!A:B,2,FALSE))</f>
        <v>25.293333333333333</v>
      </c>
      <c r="F7128">
        <f t="shared" si="111"/>
        <v>25.293333333333333</v>
      </c>
    </row>
    <row r="7129" spans="1:6" x14ac:dyDescent="0.3">
      <c r="A7129" t="s">
        <v>1306</v>
      </c>
      <c r="B7129" t="s">
        <v>2160</v>
      </c>
      <c r="C7129">
        <v>6</v>
      </c>
      <c r="D7129">
        <v>192</v>
      </c>
      <c r="E7129">
        <f>IF(OR(B7129="vi",B7129="ii",B7129="pod"),(((D7129/100)*(C7129*VLOOKUP(B7129,'Poids des runes'!A:B,2,FALSE)))+1),(((D7129/100)*(C7129*VLOOKUP(B7129,'Poids des runes'!A:B,2,FALSE)))+1)/VLOOKUP(B7129,'Poids des runes'!A:B,2,FALSE))</f>
        <v>11.662857142857144</v>
      </c>
      <c r="F7129">
        <f t="shared" si="111"/>
        <v>11.662857142857144</v>
      </c>
    </row>
    <row r="7130" spans="1:6" x14ac:dyDescent="0.3">
      <c r="A7130" t="s">
        <v>1306</v>
      </c>
      <c r="B7130" t="s">
        <v>2147</v>
      </c>
      <c r="C7130">
        <v>6</v>
      </c>
      <c r="D7130">
        <v>192</v>
      </c>
      <c r="E7130">
        <f>IF(OR(B7130="vi",B7130="ii",B7130="pod"),(((D7130/100)*(C7130*VLOOKUP(B7130,'Poids des runes'!A:B,2,FALSE)))+1),(((D7130/100)*(C7130*VLOOKUP(B7130,'Poids des runes'!A:B,2,FALSE)))+1)/VLOOKUP(B7130,'Poids des runes'!A:B,2,FALSE))</f>
        <v>11.686666666666667</v>
      </c>
      <c r="F7130">
        <f t="shared" si="111"/>
        <v>11.686666666666667</v>
      </c>
    </row>
    <row r="7131" spans="1:6" x14ac:dyDescent="0.3">
      <c r="A7131" t="s">
        <v>1306</v>
      </c>
      <c r="B7131" t="s">
        <v>2135</v>
      </c>
      <c r="C7131">
        <v>3.5</v>
      </c>
      <c r="D7131">
        <v>192</v>
      </c>
      <c r="E7131">
        <f>IF(OR(B7131="vi",B7131="ii",B7131="pod"),(((D7131/100)*(C7131*VLOOKUP(B7131,'Poids des runes'!A:B,2,FALSE)))+1),(((D7131/100)*(C7131*VLOOKUP(B7131,'Poids des runes'!A:B,2,FALSE)))+1)/VLOOKUP(B7131,'Poids des runes'!A:B,2,FALSE))</f>
        <v>6.8866666666666667</v>
      </c>
      <c r="F7131">
        <f t="shared" si="111"/>
        <v>6.8866666666666667</v>
      </c>
    </row>
    <row r="7132" spans="1:6" x14ac:dyDescent="0.3">
      <c r="A7132" t="s">
        <v>1306</v>
      </c>
      <c r="B7132" t="s">
        <v>2146</v>
      </c>
      <c r="C7132">
        <v>8.5</v>
      </c>
      <c r="D7132">
        <v>192</v>
      </c>
      <c r="E7132">
        <f>IF(OR(B7132="vi",B7132="ii",B7132="pod"),(((D7132/100)*(C7132*VLOOKUP(B7132,'Poids des runes'!A:B,2,FALSE)))+1),(((D7132/100)*(C7132*VLOOKUP(B7132,'Poids des runes'!A:B,2,FALSE)))+1)/VLOOKUP(B7132,'Poids des runes'!A:B,2,FALSE))</f>
        <v>16.82</v>
      </c>
      <c r="F7132">
        <f t="shared" si="111"/>
        <v>16.82</v>
      </c>
    </row>
    <row r="7133" spans="1:6" x14ac:dyDescent="0.3">
      <c r="A7133" t="s">
        <v>1307</v>
      </c>
      <c r="B7133" t="s">
        <v>2128</v>
      </c>
      <c r="C7133">
        <v>325.5</v>
      </c>
      <c r="D7133">
        <v>192</v>
      </c>
      <c r="E7133">
        <f>IF(OR(B7133="vi",B7133="ii",B7133="pod"),(((D7133/100)*(C7133*VLOOKUP(B7133,'Poids des runes'!A:B,2,FALSE)))+1),(((D7133/100)*(C7133*VLOOKUP(B7133,'Poids des runes'!A:B,2,FALSE)))+1)/VLOOKUP(B7133,'Poids des runes'!A:B,2,FALSE))</f>
        <v>125.99200000000002</v>
      </c>
      <c r="F7133">
        <f t="shared" si="111"/>
        <v>125.99200000000002</v>
      </c>
    </row>
    <row r="7134" spans="1:6" x14ac:dyDescent="0.3">
      <c r="A7134" t="s">
        <v>1307</v>
      </c>
      <c r="B7134" t="s">
        <v>2126</v>
      </c>
      <c r="C7134">
        <v>53</v>
      </c>
      <c r="D7134">
        <v>192</v>
      </c>
      <c r="E7134">
        <f>IF(OR(B7134="vi",B7134="ii",B7134="pod"),(((D7134/100)*(C7134*VLOOKUP(B7134,'Poids des runes'!A:B,2,FALSE)))+1),(((D7134/100)*(C7134*VLOOKUP(B7134,'Poids des runes'!A:B,2,FALSE)))+1)/VLOOKUP(B7134,'Poids des runes'!A:B,2,FALSE))</f>
        <v>102.75999999999999</v>
      </c>
      <c r="F7134">
        <f t="shared" si="111"/>
        <v>102.75999999999999</v>
      </c>
    </row>
    <row r="7135" spans="1:6" x14ac:dyDescent="0.3">
      <c r="A7135" t="s">
        <v>1307</v>
      </c>
      <c r="B7135" t="s">
        <v>2127</v>
      </c>
      <c r="C7135">
        <v>53</v>
      </c>
      <c r="D7135">
        <v>192</v>
      </c>
      <c r="E7135">
        <f>IF(OR(B7135="vi",B7135="ii",B7135="pod"),(((D7135/100)*(C7135*VLOOKUP(B7135,'Poids des runes'!A:B,2,FALSE)))+1),(((D7135/100)*(C7135*VLOOKUP(B7135,'Poids des runes'!A:B,2,FALSE)))+1)/VLOOKUP(B7135,'Poids des runes'!A:B,2,FALSE))</f>
        <v>102.75999999999999</v>
      </c>
      <c r="F7135">
        <f t="shared" si="111"/>
        <v>102.75999999999999</v>
      </c>
    </row>
    <row r="7136" spans="1:6" x14ac:dyDescent="0.3">
      <c r="A7136" t="s">
        <v>1307</v>
      </c>
      <c r="B7136" t="s">
        <v>2129</v>
      </c>
      <c r="C7136">
        <v>43</v>
      </c>
      <c r="D7136">
        <v>192</v>
      </c>
      <c r="E7136">
        <f>IF(OR(B7136="vi",B7136="ii",B7136="pod"),(((D7136/100)*(C7136*VLOOKUP(B7136,'Poids des runes'!A:B,2,FALSE)))+1),(((D7136/100)*(C7136*VLOOKUP(B7136,'Poids des runes'!A:B,2,FALSE)))+1)/VLOOKUP(B7136,'Poids des runes'!A:B,2,FALSE))</f>
        <v>83.56</v>
      </c>
      <c r="F7136">
        <f t="shared" si="111"/>
        <v>83.56</v>
      </c>
    </row>
    <row r="7137" spans="1:6" x14ac:dyDescent="0.3">
      <c r="A7137" t="s">
        <v>1307</v>
      </c>
      <c r="B7137" t="s">
        <v>2151</v>
      </c>
      <c r="C7137">
        <v>2.5</v>
      </c>
      <c r="D7137">
        <v>192</v>
      </c>
      <c r="E7137">
        <f>IF(OR(B7137="vi",B7137="ii",B7137="pod"),(((D7137/100)*(C7137*VLOOKUP(B7137,'Poids des runes'!A:B,2,FALSE)))+1),(((D7137/100)*(C7137*VLOOKUP(B7137,'Poids des runes'!A:B,2,FALSE)))+1)/VLOOKUP(B7137,'Poids des runes'!A:B,2,FALSE))</f>
        <v>4.9000000000000004</v>
      </c>
      <c r="F7137">
        <f t="shared" si="111"/>
        <v>4.9000000000000004</v>
      </c>
    </row>
    <row r="7138" spans="1:6" x14ac:dyDescent="0.3">
      <c r="A7138" t="s">
        <v>1307</v>
      </c>
      <c r="B7138" t="s">
        <v>2152</v>
      </c>
      <c r="C7138">
        <v>1</v>
      </c>
      <c r="D7138">
        <v>192</v>
      </c>
      <c r="E7138">
        <f>IF(OR(B7138="vi",B7138="ii",B7138="pod"),(((D7138/100)*(C7138*VLOOKUP(B7138,'Poids des runes'!A:B,2,FALSE)))+1),(((D7138/100)*(C7138*VLOOKUP(B7138,'Poids des runes'!A:B,2,FALSE)))+1)/VLOOKUP(B7138,'Poids des runes'!A:B,2,FALSE))</f>
        <v>1.93</v>
      </c>
      <c r="F7138">
        <f t="shared" si="111"/>
        <v>1.93</v>
      </c>
    </row>
    <row r="7139" spans="1:6" x14ac:dyDescent="0.3">
      <c r="A7139" t="s">
        <v>1307</v>
      </c>
      <c r="B7139" t="s">
        <v>2155</v>
      </c>
      <c r="C7139">
        <v>1</v>
      </c>
      <c r="D7139">
        <v>192</v>
      </c>
      <c r="E7139">
        <f>IF(OR(B7139="vi",B7139="ii",B7139="pod"),(((D7139/100)*(C7139*VLOOKUP(B7139,'Poids des runes'!A:B,2,FALSE)))+1),(((D7139/100)*(C7139*VLOOKUP(B7139,'Poids des runes'!A:B,2,FALSE)))+1)/VLOOKUP(B7139,'Poids des runes'!A:B,2,FALSE))</f>
        <v>1.939607843137255</v>
      </c>
      <c r="F7139">
        <f t="shared" si="111"/>
        <v>1.939607843137255</v>
      </c>
    </row>
    <row r="7140" spans="1:6" x14ac:dyDescent="0.3">
      <c r="A7140" t="s">
        <v>1307</v>
      </c>
      <c r="B7140" t="s">
        <v>2134</v>
      </c>
      <c r="C7140">
        <v>8.5</v>
      </c>
      <c r="D7140">
        <v>192</v>
      </c>
      <c r="E7140">
        <f>IF(OR(B7140="vi",B7140="ii",B7140="pod"),(((D7140/100)*(C7140*VLOOKUP(B7140,'Poids des runes'!A:B,2,FALSE)))+1),(((D7140/100)*(C7140*VLOOKUP(B7140,'Poids des runes'!A:B,2,FALSE)))+1)/VLOOKUP(B7140,'Poids des runes'!A:B,2,FALSE))</f>
        <v>16.369999999999997</v>
      </c>
      <c r="F7140">
        <f t="shared" si="111"/>
        <v>16.369999999999997</v>
      </c>
    </row>
    <row r="7141" spans="1:6" x14ac:dyDescent="0.3">
      <c r="A7141" t="s">
        <v>1307</v>
      </c>
      <c r="B7141" t="s">
        <v>2161</v>
      </c>
      <c r="C7141">
        <v>15.5</v>
      </c>
      <c r="D7141">
        <v>192</v>
      </c>
      <c r="E7141">
        <f>IF(OR(B7141="vi",B7141="ii",B7141="pod"),(((D7141/100)*(C7141*VLOOKUP(B7141,'Poids des runes'!A:B,2,FALSE)))+1),(((D7141/100)*(C7141*VLOOKUP(B7141,'Poids des runes'!A:B,2,FALSE)))+1)/VLOOKUP(B7141,'Poids des runes'!A:B,2,FALSE))</f>
        <v>30.093333333333334</v>
      </c>
      <c r="F7141">
        <f t="shared" si="111"/>
        <v>30.093333333333334</v>
      </c>
    </row>
    <row r="7142" spans="1:6" x14ac:dyDescent="0.3">
      <c r="A7142" t="s">
        <v>1307</v>
      </c>
      <c r="B7142" t="s">
        <v>2132</v>
      </c>
      <c r="C7142">
        <v>175.5</v>
      </c>
      <c r="D7142">
        <v>192</v>
      </c>
      <c r="E7142">
        <f>IF(OR(B7142="vi",B7142="ii",B7142="pod"),(((D7142/100)*(C7142*VLOOKUP(B7142,'Poids des runes'!A:B,2,FALSE)))+1),(((D7142/100)*(C7142*VLOOKUP(B7142,'Poids des runes'!A:B,2,FALSE)))+1)/VLOOKUP(B7142,'Poids des runes'!A:B,2,FALSE))</f>
        <v>34.695999999999998</v>
      </c>
      <c r="F7142">
        <f t="shared" si="111"/>
        <v>34.695999999999998</v>
      </c>
    </row>
    <row r="7143" spans="1:6" x14ac:dyDescent="0.3">
      <c r="A7143" t="s">
        <v>1307</v>
      </c>
      <c r="B7143" t="s">
        <v>2157</v>
      </c>
      <c r="C7143">
        <v>8</v>
      </c>
      <c r="D7143">
        <v>192</v>
      </c>
      <c r="E7143">
        <f>IF(OR(B7143="vi",B7143="ii",B7143="pod"),(((D7143/100)*(C7143*VLOOKUP(B7143,'Poids des runes'!A:B,2,FALSE)))+1),(((D7143/100)*(C7143*VLOOKUP(B7143,'Poids des runes'!A:B,2,FALSE)))+1)/VLOOKUP(B7143,'Poids des runes'!A:B,2,FALSE))</f>
        <v>15.526666666666666</v>
      </c>
      <c r="F7143">
        <f t="shared" si="111"/>
        <v>15.526666666666666</v>
      </c>
    </row>
    <row r="7144" spans="1:6" x14ac:dyDescent="0.3">
      <c r="A7144" t="s">
        <v>1307</v>
      </c>
      <c r="B7144" t="s">
        <v>2145</v>
      </c>
      <c r="C7144">
        <v>8</v>
      </c>
      <c r="D7144">
        <v>192</v>
      </c>
      <c r="E7144">
        <f>IF(OR(B7144="vi",B7144="ii",B7144="pod"),(((D7144/100)*(C7144*VLOOKUP(B7144,'Poids des runes'!A:B,2,FALSE)))+1),(((D7144/100)*(C7144*VLOOKUP(B7144,'Poids des runes'!A:B,2,FALSE)))+1)/VLOOKUP(B7144,'Poids des runes'!A:B,2,FALSE))</f>
        <v>15.86</v>
      </c>
      <c r="F7144">
        <f t="shared" si="111"/>
        <v>15.86</v>
      </c>
    </row>
    <row r="7145" spans="1:6" x14ac:dyDescent="0.3">
      <c r="A7145" t="s">
        <v>1308</v>
      </c>
      <c r="B7145" t="s">
        <v>2128</v>
      </c>
      <c r="C7145">
        <v>275.5</v>
      </c>
      <c r="D7145">
        <v>192</v>
      </c>
      <c r="E7145">
        <f>IF(OR(B7145="vi",B7145="ii",B7145="pod"),(((D7145/100)*(C7145*VLOOKUP(B7145,'Poids des runes'!A:B,2,FALSE)))+1),(((D7145/100)*(C7145*VLOOKUP(B7145,'Poids des runes'!A:B,2,FALSE)))+1)/VLOOKUP(B7145,'Poids des runes'!A:B,2,FALSE))</f>
        <v>106.792</v>
      </c>
      <c r="F7145">
        <f t="shared" si="111"/>
        <v>106.792</v>
      </c>
    </row>
    <row r="7146" spans="1:6" x14ac:dyDescent="0.3">
      <c r="A7146" t="s">
        <v>1308</v>
      </c>
      <c r="B7146" t="s">
        <v>2126</v>
      </c>
      <c r="C7146">
        <v>70.5</v>
      </c>
      <c r="D7146">
        <v>192</v>
      </c>
      <c r="E7146">
        <f>IF(OR(B7146="vi",B7146="ii",B7146="pod"),(((D7146/100)*(C7146*VLOOKUP(B7146,'Poids des runes'!A:B,2,FALSE)))+1),(((D7146/100)*(C7146*VLOOKUP(B7146,'Poids des runes'!A:B,2,FALSE)))+1)/VLOOKUP(B7146,'Poids des runes'!A:B,2,FALSE))</f>
        <v>136.35999999999999</v>
      </c>
      <c r="F7146">
        <f t="shared" si="111"/>
        <v>136.35999999999999</v>
      </c>
    </row>
    <row r="7147" spans="1:6" x14ac:dyDescent="0.3">
      <c r="A7147" t="s">
        <v>1308</v>
      </c>
      <c r="B7147" t="s">
        <v>2129</v>
      </c>
      <c r="C7147">
        <v>38</v>
      </c>
      <c r="D7147">
        <v>192</v>
      </c>
      <c r="E7147">
        <f>IF(OR(B7147="vi",B7147="ii",B7147="pod"),(((D7147/100)*(C7147*VLOOKUP(B7147,'Poids des runes'!A:B,2,FALSE)))+1),(((D7147/100)*(C7147*VLOOKUP(B7147,'Poids des runes'!A:B,2,FALSE)))+1)/VLOOKUP(B7147,'Poids des runes'!A:B,2,FALSE))</f>
        <v>73.959999999999994</v>
      </c>
      <c r="F7147">
        <f t="shared" si="111"/>
        <v>73.959999999999994</v>
      </c>
    </row>
    <row r="7148" spans="1:6" x14ac:dyDescent="0.3">
      <c r="A7148" t="s">
        <v>1308</v>
      </c>
      <c r="B7148" t="s">
        <v>2151</v>
      </c>
      <c r="C7148">
        <v>2.5</v>
      </c>
      <c r="D7148">
        <v>192</v>
      </c>
      <c r="E7148">
        <f>IF(OR(B7148="vi",B7148="ii",B7148="pod"),(((D7148/100)*(C7148*VLOOKUP(B7148,'Poids des runes'!A:B,2,FALSE)))+1),(((D7148/100)*(C7148*VLOOKUP(B7148,'Poids des runes'!A:B,2,FALSE)))+1)/VLOOKUP(B7148,'Poids des runes'!A:B,2,FALSE))</f>
        <v>4.9000000000000004</v>
      </c>
      <c r="F7148">
        <f t="shared" si="111"/>
        <v>4.9000000000000004</v>
      </c>
    </row>
    <row r="7149" spans="1:6" x14ac:dyDescent="0.3">
      <c r="A7149" t="s">
        <v>1308</v>
      </c>
      <c r="B7149" t="s">
        <v>2154</v>
      </c>
      <c r="C7149">
        <v>1</v>
      </c>
      <c r="D7149">
        <v>192</v>
      </c>
      <c r="E7149">
        <f>IF(OR(B7149="vi",B7149="ii",B7149="pod"),(((D7149/100)*(C7149*VLOOKUP(B7149,'Poids des runes'!A:B,2,FALSE)))+1),(((D7149/100)*(C7149*VLOOKUP(B7149,'Poids des runes'!A:B,2,FALSE)))+1)/VLOOKUP(B7149,'Poids des runes'!A:B,2,FALSE))</f>
        <v>1.931111111111111</v>
      </c>
      <c r="F7149">
        <f t="shared" si="111"/>
        <v>1.931111111111111</v>
      </c>
    </row>
    <row r="7150" spans="1:6" x14ac:dyDescent="0.3">
      <c r="A7150" t="s">
        <v>1308</v>
      </c>
      <c r="B7150" t="s">
        <v>2155</v>
      </c>
      <c r="C7150">
        <v>1</v>
      </c>
      <c r="D7150">
        <v>192</v>
      </c>
      <c r="E7150">
        <f>IF(OR(B7150="vi",B7150="ii",B7150="pod"),(((D7150/100)*(C7150*VLOOKUP(B7150,'Poids des runes'!A:B,2,FALSE)))+1),(((D7150/100)*(C7150*VLOOKUP(B7150,'Poids des runes'!A:B,2,FALSE)))+1)/VLOOKUP(B7150,'Poids des runes'!A:B,2,FALSE))</f>
        <v>1.939607843137255</v>
      </c>
      <c r="F7150">
        <f t="shared" si="111"/>
        <v>1.939607843137255</v>
      </c>
    </row>
    <row r="7151" spans="1:6" x14ac:dyDescent="0.3">
      <c r="A7151" t="s">
        <v>1308</v>
      </c>
      <c r="B7151" t="s">
        <v>2140</v>
      </c>
      <c r="C7151">
        <v>14</v>
      </c>
      <c r="D7151">
        <v>192</v>
      </c>
      <c r="E7151">
        <f>IF(OR(B7151="vi",B7151="ii",B7151="pod"),(((D7151/100)*(C7151*VLOOKUP(B7151,'Poids des runes'!A:B,2,FALSE)))+1),(((D7151/100)*(C7151*VLOOKUP(B7151,'Poids des runes'!A:B,2,FALSE)))+1)/VLOOKUP(B7151,'Poids des runes'!A:B,2,FALSE))</f>
        <v>27.080000000000002</v>
      </c>
      <c r="F7151">
        <f t="shared" si="111"/>
        <v>27.080000000000002</v>
      </c>
    </row>
    <row r="7152" spans="1:6" x14ac:dyDescent="0.3">
      <c r="A7152" t="s">
        <v>1308</v>
      </c>
      <c r="B7152" t="s">
        <v>2149</v>
      </c>
      <c r="C7152">
        <v>7</v>
      </c>
      <c r="D7152">
        <v>192</v>
      </c>
      <c r="E7152">
        <f>IF(OR(B7152="vi",B7152="ii",B7152="pod"),(((D7152/100)*(C7152*VLOOKUP(B7152,'Poids des runes'!A:B,2,FALSE)))+1),(((D7152/100)*(C7152*VLOOKUP(B7152,'Poids des runes'!A:B,2,FALSE)))+1)/VLOOKUP(B7152,'Poids des runes'!A:B,2,FALSE))</f>
        <v>13.540000000000001</v>
      </c>
      <c r="F7152">
        <f t="shared" si="111"/>
        <v>13.540000000000001</v>
      </c>
    </row>
    <row r="7153" spans="1:6" x14ac:dyDescent="0.3">
      <c r="A7153" t="s">
        <v>1308</v>
      </c>
      <c r="B7153" t="s">
        <v>2138</v>
      </c>
      <c r="C7153">
        <v>7</v>
      </c>
      <c r="D7153">
        <v>192</v>
      </c>
      <c r="E7153">
        <f>IF(OR(B7153="vi",B7153="ii",B7153="pod"),(((D7153/100)*(C7153*VLOOKUP(B7153,'Poids des runes'!A:B,2,FALSE)))+1),(((D7153/100)*(C7153*VLOOKUP(B7153,'Poids des runes'!A:B,2,FALSE)))+1)/VLOOKUP(B7153,'Poids des runes'!A:B,2,FALSE))</f>
        <v>13.69</v>
      </c>
      <c r="F7153">
        <f t="shared" si="111"/>
        <v>13.69</v>
      </c>
    </row>
    <row r="7154" spans="1:6" x14ac:dyDescent="0.3">
      <c r="A7154" t="s">
        <v>1308</v>
      </c>
      <c r="B7154" t="s">
        <v>2165</v>
      </c>
      <c r="C7154">
        <v>5</v>
      </c>
      <c r="D7154">
        <v>192</v>
      </c>
      <c r="E7154">
        <f>IF(OR(B7154="vi",B7154="ii",B7154="pod"),(((D7154/100)*(C7154*VLOOKUP(B7154,'Poids des runes'!A:B,2,FALSE)))+1),(((D7154/100)*(C7154*VLOOKUP(B7154,'Poids des runes'!A:B,2,FALSE)))+1)/VLOOKUP(B7154,'Poids des runes'!A:B,2,FALSE))</f>
        <v>9.7428571428571438</v>
      </c>
      <c r="F7154">
        <f t="shared" si="111"/>
        <v>9.7428571428571438</v>
      </c>
    </row>
    <row r="7155" spans="1:6" x14ac:dyDescent="0.3">
      <c r="A7155" t="s">
        <v>1308</v>
      </c>
      <c r="B7155" t="s">
        <v>2148</v>
      </c>
      <c r="C7155">
        <v>8.5</v>
      </c>
      <c r="D7155">
        <v>192</v>
      </c>
      <c r="E7155">
        <f>IF(OR(B7155="vi",B7155="ii",B7155="pod"),(((D7155/100)*(C7155*VLOOKUP(B7155,'Poids des runes'!A:B,2,FALSE)))+1),(((D7155/100)*(C7155*VLOOKUP(B7155,'Poids des runes'!A:B,2,FALSE)))+1)/VLOOKUP(B7155,'Poids des runes'!A:B,2,FALSE))</f>
        <v>16.486666666666668</v>
      </c>
      <c r="F7155">
        <f t="shared" si="111"/>
        <v>16.486666666666668</v>
      </c>
    </row>
    <row r="7156" spans="1:6" x14ac:dyDescent="0.3">
      <c r="A7156" t="s">
        <v>1309</v>
      </c>
      <c r="B7156" t="s">
        <v>2128</v>
      </c>
      <c r="C7156">
        <v>225.5</v>
      </c>
      <c r="D7156">
        <v>192</v>
      </c>
      <c r="E7156">
        <f>IF(OR(B7156="vi",B7156="ii",B7156="pod"),(((D7156/100)*(C7156*VLOOKUP(B7156,'Poids des runes'!A:B,2,FALSE)))+1),(((D7156/100)*(C7156*VLOOKUP(B7156,'Poids des runes'!A:B,2,FALSE)))+1)/VLOOKUP(B7156,'Poids des runes'!A:B,2,FALSE))</f>
        <v>87.591999999999999</v>
      </c>
      <c r="F7156">
        <f t="shared" si="111"/>
        <v>87.591999999999999</v>
      </c>
    </row>
    <row r="7157" spans="1:6" x14ac:dyDescent="0.3">
      <c r="A7157" t="s">
        <v>1309</v>
      </c>
      <c r="B7157" t="s">
        <v>2130</v>
      </c>
      <c r="C7157">
        <v>50.5</v>
      </c>
      <c r="D7157">
        <v>192</v>
      </c>
      <c r="E7157">
        <f>IF(OR(B7157="vi",B7157="ii",B7157="pod"),(((D7157/100)*(C7157*VLOOKUP(B7157,'Poids des runes'!A:B,2,FALSE)))+1),(((D7157/100)*(C7157*VLOOKUP(B7157,'Poids des runes'!A:B,2,FALSE)))+1)/VLOOKUP(B7157,'Poids des runes'!A:B,2,FALSE))</f>
        <v>97.96</v>
      </c>
      <c r="F7157">
        <f t="shared" si="111"/>
        <v>97.96</v>
      </c>
    </row>
    <row r="7158" spans="1:6" x14ac:dyDescent="0.3">
      <c r="A7158" t="s">
        <v>1309</v>
      </c>
      <c r="B7158" t="s">
        <v>2139</v>
      </c>
      <c r="C7158">
        <v>25.5</v>
      </c>
      <c r="D7158">
        <v>192</v>
      </c>
      <c r="E7158">
        <f>IF(OR(B7158="vi",B7158="ii",B7158="pod"),(((D7158/100)*(C7158*VLOOKUP(B7158,'Poids des runes'!A:B,2,FALSE)))+1),(((D7158/100)*(C7158*VLOOKUP(B7158,'Poids des runes'!A:B,2,FALSE)))+1)/VLOOKUP(B7158,'Poids des runes'!A:B,2,FALSE))</f>
        <v>49.46</v>
      </c>
      <c r="F7158">
        <f t="shared" si="111"/>
        <v>49.46</v>
      </c>
    </row>
    <row r="7159" spans="1:6" x14ac:dyDescent="0.3">
      <c r="A7159" t="s">
        <v>1309</v>
      </c>
      <c r="B7159" t="s">
        <v>2143</v>
      </c>
      <c r="C7159">
        <v>10</v>
      </c>
      <c r="D7159">
        <v>192</v>
      </c>
      <c r="E7159">
        <f>IF(OR(B7159="vi",B7159="ii",B7159="pod"),(((D7159/100)*(C7159*VLOOKUP(B7159,'Poids des runes'!A:B,2,FALSE)))+1),(((D7159/100)*(C7159*VLOOKUP(B7159,'Poids des runes'!A:B,2,FALSE)))+1)/VLOOKUP(B7159,'Poids des runes'!A:B,2,FALSE))</f>
        <v>19.399999999999999</v>
      </c>
      <c r="F7159">
        <f t="shared" si="111"/>
        <v>19.399999999999999</v>
      </c>
    </row>
    <row r="7160" spans="1:6" x14ac:dyDescent="0.3">
      <c r="A7160" t="s">
        <v>1309</v>
      </c>
      <c r="B7160" t="s">
        <v>2161</v>
      </c>
      <c r="C7160">
        <v>8.5</v>
      </c>
      <c r="D7160">
        <v>192</v>
      </c>
      <c r="E7160">
        <f>IF(OR(B7160="vi",B7160="ii",B7160="pod"),(((D7160/100)*(C7160*VLOOKUP(B7160,'Poids des runes'!A:B,2,FALSE)))+1),(((D7160/100)*(C7160*VLOOKUP(B7160,'Poids des runes'!A:B,2,FALSE)))+1)/VLOOKUP(B7160,'Poids des runes'!A:B,2,FALSE))</f>
        <v>16.653333333333332</v>
      </c>
      <c r="F7160">
        <f t="shared" si="111"/>
        <v>16.653333333333332</v>
      </c>
    </row>
    <row r="7161" spans="1:6" x14ac:dyDescent="0.3">
      <c r="A7161" t="s">
        <v>1309</v>
      </c>
      <c r="B7161" t="s">
        <v>2132</v>
      </c>
      <c r="C7161">
        <v>150.5</v>
      </c>
      <c r="D7161">
        <v>192</v>
      </c>
      <c r="E7161">
        <f>IF(OR(B7161="vi",B7161="ii",B7161="pod"),(((D7161/100)*(C7161*VLOOKUP(B7161,'Poids des runes'!A:B,2,FALSE)))+1),(((D7161/100)*(C7161*VLOOKUP(B7161,'Poids des runes'!A:B,2,FALSE)))+1)/VLOOKUP(B7161,'Poids des runes'!A:B,2,FALSE))</f>
        <v>29.896000000000001</v>
      </c>
      <c r="F7161">
        <f t="shared" si="111"/>
        <v>29.896000000000001</v>
      </c>
    </row>
    <row r="7162" spans="1:6" x14ac:dyDescent="0.3">
      <c r="A7162" t="s">
        <v>1309</v>
      </c>
      <c r="B7162" t="s">
        <v>2138</v>
      </c>
      <c r="C7162">
        <v>5</v>
      </c>
      <c r="D7162">
        <v>192</v>
      </c>
      <c r="E7162">
        <f>IF(OR(B7162="vi",B7162="ii",B7162="pod"),(((D7162/100)*(C7162*VLOOKUP(B7162,'Poids des runes'!A:B,2,FALSE)))+1),(((D7162/100)*(C7162*VLOOKUP(B7162,'Poids des runes'!A:B,2,FALSE)))+1)/VLOOKUP(B7162,'Poids des runes'!A:B,2,FALSE))</f>
        <v>9.85</v>
      </c>
      <c r="F7162">
        <f t="shared" si="111"/>
        <v>9.85</v>
      </c>
    </row>
    <row r="7163" spans="1:6" x14ac:dyDescent="0.3">
      <c r="A7163" t="s">
        <v>1309</v>
      </c>
      <c r="B7163" t="s">
        <v>2165</v>
      </c>
      <c r="C7163">
        <v>5</v>
      </c>
      <c r="D7163">
        <v>192</v>
      </c>
      <c r="E7163">
        <f>IF(OR(B7163="vi",B7163="ii",B7163="pod"),(((D7163/100)*(C7163*VLOOKUP(B7163,'Poids des runes'!A:B,2,FALSE)))+1),(((D7163/100)*(C7163*VLOOKUP(B7163,'Poids des runes'!A:B,2,FALSE)))+1)/VLOOKUP(B7163,'Poids des runes'!A:B,2,FALSE))</f>
        <v>9.7428571428571438</v>
      </c>
      <c r="F7163">
        <f t="shared" si="111"/>
        <v>9.7428571428571438</v>
      </c>
    </row>
    <row r="7164" spans="1:6" x14ac:dyDescent="0.3">
      <c r="A7164" t="s">
        <v>1309</v>
      </c>
      <c r="B7164" t="s">
        <v>2148</v>
      </c>
      <c r="C7164">
        <v>3.5</v>
      </c>
      <c r="D7164">
        <v>192</v>
      </c>
      <c r="E7164">
        <f>IF(OR(B7164="vi",B7164="ii",B7164="pod"),(((D7164/100)*(C7164*VLOOKUP(B7164,'Poids des runes'!A:B,2,FALSE)))+1),(((D7164/100)*(C7164*VLOOKUP(B7164,'Poids des runes'!A:B,2,FALSE)))+1)/VLOOKUP(B7164,'Poids des runes'!A:B,2,FALSE))</f>
        <v>6.8866666666666667</v>
      </c>
      <c r="F7164">
        <f t="shared" si="111"/>
        <v>6.8866666666666667</v>
      </c>
    </row>
    <row r="7165" spans="1:6" x14ac:dyDescent="0.3">
      <c r="A7165" t="s">
        <v>1309</v>
      </c>
      <c r="B7165" t="s">
        <v>2157</v>
      </c>
      <c r="C7165">
        <v>2.5</v>
      </c>
      <c r="D7165">
        <v>192</v>
      </c>
      <c r="E7165">
        <f>IF(OR(B7165="vi",B7165="ii",B7165="pod"),(((D7165/100)*(C7165*VLOOKUP(B7165,'Poids des runes'!A:B,2,FALSE)))+1),(((D7165/100)*(C7165*VLOOKUP(B7165,'Poids des runes'!A:B,2,FALSE)))+1)/VLOOKUP(B7165,'Poids des runes'!A:B,2,FALSE))</f>
        <v>4.9666666666666659</v>
      </c>
      <c r="F7165">
        <f t="shared" si="111"/>
        <v>4.9666666666666659</v>
      </c>
    </row>
    <row r="7166" spans="1:6" x14ac:dyDescent="0.3">
      <c r="A7166" t="s">
        <v>1309</v>
      </c>
      <c r="B7166" t="s">
        <v>2136</v>
      </c>
      <c r="C7166">
        <v>10</v>
      </c>
      <c r="D7166">
        <v>192</v>
      </c>
      <c r="E7166">
        <f>IF(OR(B7166="vi",B7166="ii",B7166="pod"),(((D7166/100)*(C7166*VLOOKUP(B7166,'Poids des runes'!A:B,2,FALSE)))+1),(((D7166/100)*(C7166*VLOOKUP(B7166,'Poids des runes'!A:B,2,FALSE)))+1)/VLOOKUP(B7166,'Poids des runes'!A:B,2,FALSE))</f>
        <v>19.7</v>
      </c>
      <c r="F7166">
        <f t="shared" si="111"/>
        <v>19.7</v>
      </c>
    </row>
    <row r="7167" spans="1:6" x14ac:dyDescent="0.3">
      <c r="A7167" t="s">
        <v>1310</v>
      </c>
      <c r="B7167" t="s">
        <v>2128</v>
      </c>
      <c r="C7167">
        <v>175.5</v>
      </c>
      <c r="D7167">
        <v>192</v>
      </c>
      <c r="E7167">
        <f>IF(OR(B7167="vi",B7167="ii",B7167="pod"),(((D7167/100)*(C7167*VLOOKUP(B7167,'Poids des runes'!A:B,2,FALSE)))+1),(((D7167/100)*(C7167*VLOOKUP(B7167,'Poids des runes'!A:B,2,FALSE)))+1)/VLOOKUP(B7167,'Poids des runes'!A:B,2,FALSE))</f>
        <v>68.391999999999996</v>
      </c>
      <c r="F7167">
        <f t="shared" si="111"/>
        <v>68.391999999999996</v>
      </c>
    </row>
    <row r="7168" spans="1:6" x14ac:dyDescent="0.3">
      <c r="A7168" t="s">
        <v>1310</v>
      </c>
      <c r="B7168" t="s">
        <v>2129</v>
      </c>
      <c r="C7168">
        <v>35.5</v>
      </c>
      <c r="D7168">
        <v>192</v>
      </c>
      <c r="E7168">
        <f>IF(OR(B7168="vi",B7168="ii",B7168="pod"),(((D7168/100)*(C7168*VLOOKUP(B7168,'Poids des runes'!A:B,2,FALSE)))+1),(((D7168/100)*(C7168*VLOOKUP(B7168,'Poids des runes'!A:B,2,FALSE)))+1)/VLOOKUP(B7168,'Poids des runes'!A:B,2,FALSE))</f>
        <v>69.16</v>
      </c>
      <c r="F7168">
        <f t="shared" si="111"/>
        <v>69.16</v>
      </c>
    </row>
    <row r="7169" spans="1:6" x14ac:dyDescent="0.3">
      <c r="A7169" t="s">
        <v>1310</v>
      </c>
      <c r="B7169" t="s">
        <v>2154</v>
      </c>
      <c r="C7169">
        <v>1</v>
      </c>
      <c r="D7169">
        <v>192</v>
      </c>
      <c r="E7169">
        <f>IF(OR(B7169="vi",B7169="ii",B7169="pod"),(((D7169/100)*(C7169*VLOOKUP(B7169,'Poids des runes'!A:B,2,FALSE)))+1),(((D7169/100)*(C7169*VLOOKUP(B7169,'Poids des runes'!A:B,2,FALSE)))+1)/VLOOKUP(B7169,'Poids des runes'!A:B,2,FALSE))</f>
        <v>1.931111111111111</v>
      </c>
      <c r="F7169">
        <f t="shared" si="111"/>
        <v>1.931111111111111</v>
      </c>
    </row>
    <row r="7170" spans="1:6" x14ac:dyDescent="0.3">
      <c r="A7170" t="s">
        <v>1310</v>
      </c>
      <c r="B7170" t="s">
        <v>2155</v>
      </c>
      <c r="C7170">
        <v>1</v>
      </c>
      <c r="D7170">
        <v>192</v>
      </c>
      <c r="E7170">
        <f>IF(OR(B7170="vi",B7170="ii",B7170="pod"),(((D7170/100)*(C7170*VLOOKUP(B7170,'Poids des runes'!A:B,2,FALSE)))+1),(((D7170/100)*(C7170*VLOOKUP(B7170,'Poids des runes'!A:B,2,FALSE)))+1)/VLOOKUP(B7170,'Poids des runes'!A:B,2,FALSE))</f>
        <v>1.939607843137255</v>
      </c>
      <c r="F7170">
        <f t="shared" si="111"/>
        <v>1.939607843137255</v>
      </c>
    </row>
    <row r="7171" spans="1:6" x14ac:dyDescent="0.3">
      <c r="A7171" t="s">
        <v>1310</v>
      </c>
      <c r="B7171" t="s">
        <v>2143</v>
      </c>
      <c r="C7171">
        <v>10</v>
      </c>
      <c r="D7171">
        <v>192</v>
      </c>
      <c r="E7171">
        <f>IF(OR(B7171="vi",B7171="ii",B7171="pod"),(((D7171/100)*(C7171*VLOOKUP(B7171,'Poids des runes'!A:B,2,FALSE)))+1),(((D7171/100)*(C7171*VLOOKUP(B7171,'Poids des runes'!A:B,2,FALSE)))+1)/VLOOKUP(B7171,'Poids des runes'!A:B,2,FALSE))</f>
        <v>19.399999999999999</v>
      </c>
      <c r="F7171">
        <f t="shared" ref="F7171:F7234" si="112">E7171</f>
        <v>19.399999999999999</v>
      </c>
    </row>
    <row r="7172" spans="1:6" x14ac:dyDescent="0.3">
      <c r="A7172" t="s">
        <v>1310</v>
      </c>
      <c r="B7172" t="s">
        <v>2140</v>
      </c>
      <c r="C7172">
        <v>10</v>
      </c>
      <c r="D7172">
        <v>192</v>
      </c>
      <c r="E7172">
        <f>IF(OR(B7172="vi",B7172="ii",B7172="pod"),(((D7172/100)*(C7172*VLOOKUP(B7172,'Poids des runes'!A:B,2,FALSE)))+1),(((D7172/100)*(C7172*VLOOKUP(B7172,'Poids des runes'!A:B,2,FALSE)))+1)/VLOOKUP(B7172,'Poids des runes'!A:B,2,FALSE))</f>
        <v>19.399999999999999</v>
      </c>
      <c r="F7172">
        <f t="shared" si="112"/>
        <v>19.399999999999999</v>
      </c>
    </row>
    <row r="7173" spans="1:6" x14ac:dyDescent="0.3">
      <c r="A7173" t="s">
        <v>1310</v>
      </c>
      <c r="B7173" t="s">
        <v>2133</v>
      </c>
      <c r="C7173">
        <v>10</v>
      </c>
      <c r="D7173">
        <v>192</v>
      </c>
      <c r="E7173">
        <f>IF(OR(B7173="vi",B7173="ii",B7173="pod"),(((D7173/100)*(C7173*VLOOKUP(B7173,'Poids des runes'!A:B,2,FALSE)))+1),(((D7173/100)*(C7173*VLOOKUP(B7173,'Poids des runes'!A:B,2,FALSE)))+1)/VLOOKUP(B7173,'Poids des runes'!A:B,2,FALSE))</f>
        <v>19.399999999999999</v>
      </c>
      <c r="F7173">
        <f t="shared" si="112"/>
        <v>19.399999999999999</v>
      </c>
    </row>
    <row r="7174" spans="1:6" x14ac:dyDescent="0.3">
      <c r="A7174" t="s">
        <v>1310</v>
      </c>
      <c r="B7174" t="s">
        <v>2161</v>
      </c>
      <c r="C7174">
        <v>8.5</v>
      </c>
      <c r="D7174">
        <v>192</v>
      </c>
      <c r="E7174">
        <f>IF(OR(B7174="vi",B7174="ii",B7174="pod"),(((D7174/100)*(C7174*VLOOKUP(B7174,'Poids des runes'!A:B,2,FALSE)))+1),(((D7174/100)*(C7174*VLOOKUP(B7174,'Poids des runes'!A:B,2,FALSE)))+1)/VLOOKUP(B7174,'Poids des runes'!A:B,2,FALSE))</f>
        <v>16.653333333333332</v>
      </c>
      <c r="F7174">
        <f t="shared" si="112"/>
        <v>16.653333333333332</v>
      </c>
    </row>
    <row r="7175" spans="1:6" x14ac:dyDescent="0.3">
      <c r="A7175" t="s">
        <v>1310</v>
      </c>
      <c r="B7175" t="s">
        <v>2141</v>
      </c>
      <c r="C7175">
        <v>4.5</v>
      </c>
      <c r="D7175">
        <v>192</v>
      </c>
      <c r="E7175">
        <f>IF(OR(B7175="vi",B7175="ii",B7175="pod"),(((D7175/100)*(C7175*VLOOKUP(B7175,'Poids des runes'!A:B,2,FALSE)))+1),(((D7175/100)*(C7175*VLOOKUP(B7175,'Poids des runes'!A:B,2,FALSE)))+1)/VLOOKUP(B7175,'Poids des runes'!A:B,2,FALSE))</f>
        <v>8.89</v>
      </c>
      <c r="F7175">
        <f t="shared" si="112"/>
        <v>8.89</v>
      </c>
    </row>
    <row r="7176" spans="1:6" x14ac:dyDescent="0.3">
      <c r="A7176" t="s">
        <v>1310</v>
      </c>
      <c r="B7176" t="s">
        <v>2159</v>
      </c>
      <c r="C7176">
        <v>4.5</v>
      </c>
      <c r="D7176">
        <v>192</v>
      </c>
      <c r="E7176">
        <f>IF(OR(B7176="vi",B7176="ii",B7176="pod"),(((D7176/100)*(C7176*VLOOKUP(B7176,'Poids des runes'!A:B,2,FALSE)))+1),(((D7176/100)*(C7176*VLOOKUP(B7176,'Poids des runes'!A:B,2,FALSE)))+1)/VLOOKUP(B7176,'Poids des runes'!A:B,2,FALSE))</f>
        <v>8.7828571428571429</v>
      </c>
      <c r="F7176">
        <f t="shared" si="112"/>
        <v>8.7828571428571429</v>
      </c>
    </row>
    <row r="7177" spans="1:6" x14ac:dyDescent="0.3">
      <c r="A7177" t="s">
        <v>1310</v>
      </c>
      <c r="B7177" t="s">
        <v>2142</v>
      </c>
      <c r="C7177">
        <v>8.5</v>
      </c>
      <c r="D7177">
        <v>192</v>
      </c>
      <c r="E7177">
        <f>IF(OR(B7177="vi",B7177="ii",B7177="pod"),(((D7177/100)*(C7177*VLOOKUP(B7177,'Poids des runes'!A:B,2,FALSE)))+1),(((D7177/100)*(C7177*VLOOKUP(B7177,'Poids des runes'!A:B,2,FALSE)))+1)/VLOOKUP(B7177,'Poids des runes'!A:B,2,FALSE))</f>
        <v>16.52</v>
      </c>
      <c r="F7177">
        <f t="shared" si="112"/>
        <v>16.52</v>
      </c>
    </row>
    <row r="7178" spans="1:6" x14ac:dyDescent="0.3">
      <c r="A7178" t="s">
        <v>1310</v>
      </c>
      <c r="B7178" t="s">
        <v>2146</v>
      </c>
      <c r="C7178">
        <v>13</v>
      </c>
      <c r="D7178">
        <v>192</v>
      </c>
      <c r="E7178">
        <f>IF(OR(B7178="vi",B7178="ii",B7178="pod"),(((D7178/100)*(C7178*VLOOKUP(B7178,'Poids des runes'!A:B,2,FALSE)))+1),(((D7178/100)*(C7178*VLOOKUP(B7178,'Poids des runes'!A:B,2,FALSE)))+1)/VLOOKUP(B7178,'Poids des runes'!A:B,2,FALSE))</f>
        <v>25.46</v>
      </c>
      <c r="F7178">
        <f t="shared" si="112"/>
        <v>25.46</v>
      </c>
    </row>
    <row r="7179" spans="1:6" x14ac:dyDescent="0.3">
      <c r="A7179" t="s">
        <v>1311</v>
      </c>
      <c r="B7179" t="s">
        <v>2128</v>
      </c>
      <c r="C7179">
        <v>225.5</v>
      </c>
      <c r="D7179">
        <v>192</v>
      </c>
      <c r="E7179">
        <f>IF(OR(B7179="vi",B7179="ii",B7179="pod"),(((D7179/100)*(C7179*VLOOKUP(B7179,'Poids des runes'!A:B,2,FALSE)))+1),(((D7179/100)*(C7179*VLOOKUP(B7179,'Poids des runes'!A:B,2,FALSE)))+1)/VLOOKUP(B7179,'Poids des runes'!A:B,2,FALSE))</f>
        <v>87.591999999999999</v>
      </c>
      <c r="F7179">
        <f t="shared" si="112"/>
        <v>87.591999999999999</v>
      </c>
    </row>
    <row r="7180" spans="1:6" x14ac:dyDescent="0.3">
      <c r="A7180" t="s">
        <v>1311</v>
      </c>
      <c r="B7180" t="s">
        <v>2129</v>
      </c>
      <c r="C7180">
        <v>30.5</v>
      </c>
      <c r="D7180">
        <v>192</v>
      </c>
      <c r="E7180">
        <f>IF(OR(B7180="vi",B7180="ii",B7180="pod"),(((D7180/100)*(C7180*VLOOKUP(B7180,'Poids des runes'!A:B,2,FALSE)))+1),(((D7180/100)*(C7180*VLOOKUP(B7180,'Poids des runes'!A:B,2,FALSE)))+1)/VLOOKUP(B7180,'Poids des runes'!A:B,2,FALSE))</f>
        <v>59.559999999999995</v>
      </c>
      <c r="F7180">
        <f t="shared" si="112"/>
        <v>59.559999999999995</v>
      </c>
    </row>
    <row r="7181" spans="1:6" x14ac:dyDescent="0.3">
      <c r="A7181" t="s">
        <v>1311</v>
      </c>
      <c r="B7181" t="s">
        <v>2139</v>
      </c>
      <c r="C7181">
        <v>35.5</v>
      </c>
      <c r="D7181">
        <v>192</v>
      </c>
      <c r="E7181">
        <f>IF(OR(B7181="vi",B7181="ii",B7181="pod"),(((D7181/100)*(C7181*VLOOKUP(B7181,'Poids des runes'!A:B,2,FALSE)))+1),(((D7181/100)*(C7181*VLOOKUP(B7181,'Poids des runes'!A:B,2,FALSE)))+1)/VLOOKUP(B7181,'Poids des runes'!A:B,2,FALSE))</f>
        <v>68.66</v>
      </c>
      <c r="F7181">
        <f t="shared" si="112"/>
        <v>68.66</v>
      </c>
    </row>
    <row r="7182" spans="1:6" x14ac:dyDescent="0.3">
      <c r="A7182" t="s">
        <v>1311</v>
      </c>
      <c r="B7182" t="s">
        <v>2151</v>
      </c>
      <c r="C7182">
        <v>1.5</v>
      </c>
      <c r="D7182">
        <v>192</v>
      </c>
      <c r="E7182">
        <f>IF(OR(B7182="vi",B7182="ii",B7182="pod"),(((D7182/100)*(C7182*VLOOKUP(B7182,'Poids des runes'!A:B,2,FALSE)))+1),(((D7182/100)*(C7182*VLOOKUP(B7182,'Poids des runes'!A:B,2,FALSE)))+1)/VLOOKUP(B7182,'Poids des runes'!A:B,2,FALSE))</f>
        <v>2.9799999999999995</v>
      </c>
      <c r="F7182">
        <f t="shared" si="112"/>
        <v>2.9799999999999995</v>
      </c>
    </row>
    <row r="7183" spans="1:6" x14ac:dyDescent="0.3">
      <c r="A7183" t="s">
        <v>1311</v>
      </c>
      <c r="B7183" t="s">
        <v>2150</v>
      </c>
      <c r="C7183">
        <v>1.5</v>
      </c>
      <c r="D7183">
        <v>192</v>
      </c>
      <c r="E7183">
        <f>IF(OR(B7183="vi",B7183="ii",B7183="pod"),(((D7183/100)*(C7183*VLOOKUP(B7183,'Poids des runes'!A:B,2,FALSE)))+1),(((D7183/100)*(C7183*VLOOKUP(B7183,'Poids des runes'!A:B,2,FALSE)))+1)/VLOOKUP(B7183,'Poids des runes'!A:B,2,FALSE))</f>
        <v>2.9133333333333331</v>
      </c>
      <c r="F7183">
        <f t="shared" si="112"/>
        <v>2.9133333333333331</v>
      </c>
    </row>
    <row r="7184" spans="1:6" x14ac:dyDescent="0.3">
      <c r="A7184" t="s">
        <v>1311</v>
      </c>
      <c r="B7184" t="s">
        <v>2143</v>
      </c>
      <c r="C7184">
        <v>10</v>
      </c>
      <c r="D7184">
        <v>192</v>
      </c>
      <c r="E7184">
        <f>IF(OR(B7184="vi",B7184="ii",B7184="pod"),(((D7184/100)*(C7184*VLOOKUP(B7184,'Poids des runes'!A:B,2,FALSE)))+1),(((D7184/100)*(C7184*VLOOKUP(B7184,'Poids des runes'!A:B,2,FALSE)))+1)/VLOOKUP(B7184,'Poids des runes'!A:B,2,FALSE))</f>
        <v>19.399999999999999</v>
      </c>
      <c r="F7184">
        <f t="shared" si="112"/>
        <v>19.399999999999999</v>
      </c>
    </row>
    <row r="7185" spans="1:6" x14ac:dyDescent="0.3">
      <c r="A7185" t="s">
        <v>1311</v>
      </c>
      <c r="B7185" t="s">
        <v>2153</v>
      </c>
      <c r="C7185">
        <v>10</v>
      </c>
      <c r="D7185">
        <v>192</v>
      </c>
      <c r="E7185">
        <f>IF(OR(B7185="vi",B7185="ii",B7185="pod"),(((D7185/100)*(C7185*VLOOKUP(B7185,'Poids des runes'!A:B,2,FALSE)))+1),(((D7185/100)*(C7185*VLOOKUP(B7185,'Poids des runes'!A:B,2,FALSE)))+1)/VLOOKUP(B7185,'Poids des runes'!A:B,2,FALSE))</f>
        <v>19.399999999999999</v>
      </c>
      <c r="F7185">
        <f t="shared" si="112"/>
        <v>19.399999999999999</v>
      </c>
    </row>
    <row r="7186" spans="1:6" x14ac:dyDescent="0.3">
      <c r="A7186" t="s">
        <v>1311</v>
      </c>
      <c r="B7186" t="s">
        <v>2161</v>
      </c>
      <c r="C7186">
        <v>13</v>
      </c>
      <c r="D7186">
        <v>192</v>
      </c>
      <c r="E7186">
        <f>IF(OR(B7186="vi",B7186="ii",B7186="pod"),(((D7186/100)*(C7186*VLOOKUP(B7186,'Poids des runes'!A:B,2,FALSE)))+1),(((D7186/100)*(C7186*VLOOKUP(B7186,'Poids des runes'!A:B,2,FALSE)))+1)/VLOOKUP(B7186,'Poids des runes'!A:B,2,FALSE))</f>
        <v>25.293333333333333</v>
      </c>
      <c r="F7186">
        <f t="shared" si="112"/>
        <v>25.293333333333333</v>
      </c>
    </row>
    <row r="7187" spans="1:6" x14ac:dyDescent="0.3">
      <c r="A7187" t="s">
        <v>1311</v>
      </c>
      <c r="B7187" t="s">
        <v>2132</v>
      </c>
      <c r="C7187">
        <v>250.5</v>
      </c>
      <c r="D7187">
        <v>192</v>
      </c>
      <c r="E7187">
        <f>IF(OR(B7187="vi",B7187="ii",B7187="pod"),(((D7187/100)*(C7187*VLOOKUP(B7187,'Poids des runes'!A:B,2,FALSE)))+1),(((D7187/100)*(C7187*VLOOKUP(B7187,'Poids des runes'!A:B,2,FALSE)))+1)/VLOOKUP(B7187,'Poids des runes'!A:B,2,FALSE))</f>
        <v>49.095999999999997</v>
      </c>
      <c r="F7187">
        <f t="shared" si="112"/>
        <v>49.095999999999997</v>
      </c>
    </row>
    <row r="7188" spans="1:6" x14ac:dyDescent="0.3">
      <c r="A7188" t="s">
        <v>1311</v>
      </c>
      <c r="B7188" t="s">
        <v>2138</v>
      </c>
      <c r="C7188">
        <v>4.5</v>
      </c>
      <c r="D7188">
        <v>192</v>
      </c>
      <c r="E7188">
        <f>IF(OR(B7188="vi",B7188="ii",B7188="pod"),(((D7188/100)*(C7188*VLOOKUP(B7188,'Poids des runes'!A:B,2,FALSE)))+1),(((D7188/100)*(C7188*VLOOKUP(B7188,'Poids des runes'!A:B,2,FALSE)))+1)/VLOOKUP(B7188,'Poids des runes'!A:B,2,FALSE))</f>
        <v>8.89</v>
      </c>
      <c r="F7188">
        <f t="shared" si="112"/>
        <v>8.89</v>
      </c>
    </row>
    <row r="7189" spans="1:6" x14ac:dyDescent="0.3">
      <c r="A7189" t="s">
        <v>1311</v>
      </c>
      <c r="B7189" t="s">
        <v>2160</v>
      </c>
      <c r="C7189">
        <v>4.5</v>
      </c>
      <c r="D7189">
        <v>192</v>
      </c>
      <c r="E7189">
        <f>IF(OR(B7189="vi",B7189="ii",B7189="pod"),(((D7189/100)*(C7189*VLOOKUP(B7189,'Poids des runes'!A:B,2,FALSE)))+1),(((D7189/100)*(C7189*VLOOKUP(B7189,'Poids des runes'!A:B,2,FALSE)))+1)/VLOOKUP(B7189,'Poids des runes'!A:B,2,FALSE))</f>
        <v>8.7828571428571429</v>
      </c>
      <c r="F7189">
        <f t="shared" si="112"/>
        <v>8.7828571428571429</v>
      </c>
    </row>
    <row r="7190" spans="1:6" x14ac:dyDescent="0.3">
      <c r="A7190" t="s">
        <v>1311</v>
      </c>
      <c r="B7190" t="s">
        <v>2137</v>
      </c>
      <c r="C7190">
        <v>8.5</v>
      </c>
      <c r="D7190">
        <v>192</v>
      </c>
      <c r="E7190">
        <f>IF(OR(B7190="vi",B7190="ii",B7190="pod"),(((D7190/100)*(C7190*VLOOKUP(B7190,'Poids des runes'!A:B,2,FALSE)))+1),(((D7190/100)*(C7190*VLOOKUP(B7190,'Poids des runes'!A:B,2,FALSE)))+1)/VLOOKUP(B7190,'Poids des runes'!A:B,2,FALSE))</f>
        <v>16.82</v>
      </c>
      <c r="F7190">
        <f t="shared" si="112"/>
        <v>16.82</v>
      </c>
    </row>
    <row r="7191" spans="1:6" x14ac:dyDescent="0.3">
      <c r="A7191" t="s">
        <v>1311</v>
      </c>
      <c r="B7191" t="s">
        <v>2144</v>
      </c>
      <c r="C7191">
        <v>8.5</v>
      </c>
      <c r="D7191">
        <v>192</v>
      </c>
      <c r="E7191">
        <f>IF(OR(B7191="vi",B7191="ii",B7191="pod"),(((D7191/100)*(C7191*VLOOKUP(B7191,'Poids des runes'!A:B,2,FALSE)))+1),(((D7191/100)*(C7191*VLOOKUP(B7191,'Poids des runes'!A:B,2,FALSE)))+1)/VLOOKUP(B7191,'Poids des runes'!A:B,2,FALSE))</f>
        <v>16.82</v>
      </c>
      <c r="F7191">
        <f t="shared" si="112"/>
        <v>16.82</v>
      </c>
    </row>
    <row r="7192" spans="1:6" x14ac:dyDescent="0.3">
      <c r="A7192" t="s">
        <v>1311</v>
      </c>
      <c r="B7192" t="s">
        <v>2146</v>
      </c>
      <c r="C7192">
        <v>8.5</v>
      </c>
      <c r="D7192">
        <v>192</v>
      </c>
      <c r="E7192">
        <f>IF(OR(B7192="vi",B7192="ii",B7192="pod"),(((D7192/100)*(C7192*VLOOKUP(B7192,'Poids des runes'!A:B,2,FALSE)))+1),(((D7192/100)*(C7192*VLOOKUP(B7192,'Poids des runes'!A:B,2,FALSE)))+1)/VLOOKUP(B7192,'Poids des runes'!A:B,2,FALSE))</f>
        <v>16.82</v>
      </c>
      <c r="F7192">
        <f t="shared" si="112"/>
        <v>16.82</v>
      </c>
    </row>
    <row r="7193" spans="1:6" x14ac:dyDescent="0.3">
      <c r="A7193" t="s">
        <v>1312</v>
      </c>
      <c r="B7193" t="s">
        <v>2128</v>
      </c>
      <c r="C7193">
        <v>225.5</v>
      </c>
      <c r="D7193">
        <v>192</v>
      </c>
      <c r="E7193">
        <f>IF(OR(B7193="vi",B7193="ii",B7193="pod"),(((D7193/100)*(C7193*VLOOKUP(B7193,'Poids des runes'!A:B,2,FALSE)))+1),(((D7193/100)*(C7193*VLOOKUP(B7193,'Poids des runes'!A:B,2,FALSE)))+1)/VLOOKUP(B7193,'Poids des runes'!A:B,2,FALSE))</f>
        <v>87.591999999999999</v>
      </c>
      <c r="F7193">
        <f t="shared" si="112"/>
        <v>87.591999999999999</v>
      </c>
    </row>
    <row r="7194" spans="1:6" x14ac:dyDescent="0.3">
      <c r="A7194" t="s">
        <v>1312</v>
      </c>
      <c r="B7194" t="s">
        <v>2126</v>
      </c>
      <c r="C7194">
        <v>50.5</v>
      </c>
      <c r="D7194">
        <v>192</v>
      </c>
      <c r="E7194">
        <f>IF(OR(B7194="vi",B7194="ii",B7194="pod"),(((D7194/100)*(C7194*VLOOKUP(B7194,'Poids des runes'!A:B,2,FALSE)))+1),(((D7194/100)*(C7194*VLOOKUP(B7194,'Poids des runes'!A:B,2,FALSE)))+1)/VLOOKUP(B7194,'Poids des runes'!A:B,2,FALSE))</f>
        <v>97.96</v>
      </c>
      <c r="F7194">
        <f t="shared" si="112"/>
        <v>97.96</v>
      </c>
    </row>
    <row r="7195" spans="1:6" x14ac:dyDescent="0.3">
      <c r="A7195" t="s">
        <v>1312</v>
      </c>
      <c r="B7195" t="s">
        <v>2129</v>
      </c>
      <c r="C7195">
        <v>35.5</v>
      </c>
      <c r="D7195">
        <v>192</v>
      </c>
      <c r="E7195">
        <f>IF(OR(B7195="vi",B7195="ii",B7195="pod"),(((D7195/100)*(C7195*VLOOKUP(B7195,'Poids des runes'!A:B,2,FALSE)))+1),(((D7195/100)*(C7195*VLOOKUP(B7195,'Poids des runes'!A:B,2,FALSE)))+1)/VLOOKUP(B7195,'Poids des runes'!A:B,2,FALSE))</f>
        <v>69.16</v>
      </c>
      <c r="F7195">
        <f t="shared" si="112"/>
        <v>69.16</v>
      </c>
    </row>
    <row r="7196" spans="1:6" x14ac:dyDescent="0.3">
      <c r="A7196" t="s">
        <v>1312</v>
      </c>
      <c r="B7196" t="s">
        <v>2151</v>
      </c>
      <c r="C7196">
        <v>3.5</v>
      </c>
      <c r="D7196">
        <v>192</v>
      </c>
      <c r="E7196">
        <f>IF(OR(B7196="vi",B7196="ii",B7196="pod"),(((D7196/100)*(C7196*VLOOKUP(B7196,'Poids des runes'!A:B,2,FALSE)))+1),(((D7196/100)*(C7196*VLOOKUP(B7196,'Poids des runes'!A:B,2,FALSE)))+1)/VLOOKUP(B7196,'Poids des runes'!A:B,2,FALSE))</f>
        <v>6.82</v>
      </c>
      <c r="F7196">
        <f t="shared" si="112"/>
        <v>6.82</v>
      </c>
    </row>
    <row r="7197" spans="1:6" x14ac:dyDescent="0.3">
      <c r="A7197" t="s">
        <v>1312</v>
      </c>
      <c r="B7197" t="s">
        <v>2140</v>
      </c>
      <c r="C7197">
        <v>8.5</v>
      </c>
      <c r="D7197">
        <v>192</v>
      </c>
      <c r="E7197">
        <f>IF(OR(B7197="vi",B7197="ii",B7197="pod"),(((D7197/100)*(C7197*VLOOKUP(B7197,'Poids des runes'!A:B,2,FALSE)))+1),(((D7197/100)*(C7197*VLOOKUP(B7197,'Poids des runes'!A:B,2,FALSE)))+1)/VLOOKUP(B7197,'Poids des runes'!A:B,2,FALSE))</f>
        <v>16.52</v>
      </c>
      <c r="F7197">
        <f t="shared" si="112"/>
        <v>16.52</v>
      </c>
    </row>
    <row r="7198" spans="1:6" x14ac:dyDescent="0.3">
      <c r="A7198" t="s">
        <v>1312</v>
      </c>
      <c r="B7198" t="s">
        <v>2149</v>
      </c>
      <c r="C7198">
        <v>13</v>
      </c>
      <c r="D7198">
        <v>192</v>
      </c>
      <c r="E7198">
        <f>IF(OR(B7198="vi",B7198="ii",B7198="pod"),(((D7198/100)*(C7198*VLOOKUP(B7198,'Poids des runes'!A:B,2,FALSE)))+1),(((D7198/100)*(C7198*VLOOKUP(B7198,'Poids des runes'!A:B,2,FALSE)))+1)/VLOOKUP(B7198,'Poids des runes'!A:B,2,FALSE))</f>
        <v>25.06</v>
      </c>
      <c r="F7198">
        <f t="shared" si="112"/>
        <v>25.06</v>
      </c>
    </row>
    <row r="7199" spans="1:6" x14ac:dyDescent="0.3">
      <c r="A7199" t="s">
        <v>1312</v>
      </c>
      <c r="B7199" t="s">
        <v>2161</v>
      </c>
      <c r="C7199">
        <v>15.5</v>
      </c>
      <c r="D7199">
        <v>192</v>
      </c>
      <c r="E7199">
        <f>IF(OR(B7199="vi",B7199="ii",B7199="pod"),(((D7199/100)*(C7199*VLOOKUP(B7199,'Poids des runes'!A:B,2,FALSE)))+1),(((D7199/100)*(C7199*VLOOKUP(B7199,'Poids des runes'!A:B,2,FALSE)))+1)/VLOOKUP(B7199,'Poids des runes'!A:B,2,FALSE))</f>
        <v>30.093333333333334</v>
      </c>
      <c r="F7199">
        <f t="shared" si="112"/>
        <v>30.093333333333334</v>
      </c>
    </row>
    <row r="7200" spans="1:6" x14ac:dyDescent="0.3">
      <c r="A7200" t="s">
        <v>1312</v>
      </c>
      <c r="B7200" t="s">
        <v>2132</v>
      </c>
      <c r="C7200">
        <v>350.5</v>
      </c>
      <c r="D7200">
        <v>192</v>
      </c>
      <c r="E7200">
        <f>IF(OR(B7200="vi",B7200="ii",B7200="pod"),(((D7200/100)*(C7200*VLOOKUP(B7200,'Poids des runes'!A:B,2,FALSE)))+1),(((D7200/100)*(C7200*VLOOKUP(B7200,'Poids des runes'!A:B,2,FALSE)))+1)/VLOOKUP(B7200,'Poids des runes'!A:B,2,FALSE))</f>
        <v>68.296000000000006</v>
      </c>
      <c r="F7200">
        <f t="shared" si="112"/>
        <v>68.296000000000006</v>
      </c>
    </row>
    <row r="7201" spans="1:6" x14ac:dyDescent="0.3">
      <c r="A7201" t="s">
        <v>1312</v>
      </c>
      <c r="B7201" t="s">
        <v>2162</v>
      </c>
      <c r="C7201">
        <v>6.5</v>
      </c>
      <c r="D7201">
        <v>192</v>
      </c>
      <c r="E7201">
        <f>IF(OR(B7201="vi",B7201="ii",B7201="pod"),(((D7201/100)*(C7201*VLOOKUP(B7201,'Poids des runes'!A:B,2,FALSE)))+1),(((D7201/100)*(C7201*VLOOKUP(B7201,'Poids des runes'!A:B,2,FALSE)))+1)/VLOOKUP(B7201,'Poids des runes'!A:B,2,FALSE))</f>
        <v>12.622857142857143</v>
      </c>
      <c r="F7201">
        <f t="shared" si="112"/>
        <v>12.622857142857143</v>
      </c>
    </row>
    <row r="7202" spans="1:6" x14ac:dyDescent="0.3">
      <c r="A7202" t="s">
        <v>1312</v>
      </c>
      <c r="B7202" t="s">
        <v>2148</v>
      </c>
      <c r="C7202">
        <v>6</v>
      </c>
      <c r="D7202">
        <v>192</v>
      </c>
      <c r="E7202">
        <f>IF(OR(B7202="vi",B7202="ii",B7202="pod"),(((D7202/100)*(C7202*VLOOKUP(B7202,'Poids des runes'!A:B,2,FALSE)))+1),(((D7202/100)*(C7202*VLOOKUP(B7202,'Poids des runes'!A:B,2,FALSE)))+1)/VLOOKUP(B7202,'Poids des runes'!A:B,2,FALSE))</f>
        <v>11.686666666666667</v>
      </c>
      <c r="F7202">
        <f t="shared" si="112"/>
        <v>11.686666666666667</v>
      </c>
    </row>
    <row r="7203" spans="1:6" x14ac:dyDescent="0.3">
      <c r="A7203" t="s">
        <v>1312</v>
      </c>
      <c r="B7203" t="s">
        <v>2147</v>
      </c>
      <c r="C7203">
        <v>6</v>
      </c>
      <c r="D7203">
        <v>192</v>
      </c>
      <c r="E7203">
        <f>IF(OR(B7203="vi",B7203="ii",B7203="pod"),(((D7203/100)*(C7203*VLOOKUP(B7203,'Poids des runes'!A:B,2,FALSE)))+1),(((D7203/100)*(C7203*VLOOKUP(B7203,'Poids des runes'!A:B,2,FALSE)))+1)/VLOOKUP(B7203,'Poids des runes'!A:B,2,FALSE))</f>
        <v>11.686666666666667</v>
      </c>
      <c r="F7203">
        <f t="shared" si="112"/>
        <v>11.686666666666667</v>
      </c>
    </row>
    <row r="7204" spans="1:6" x14ac:dyDescent="0.3">
      <c r="A7204" t="s">
        <v>1312</v>
      </c>
      <c r="B7204" t="s">
        <v>2136</v>
      </c>
      <c r="C7204">
        <v>13</v>
      </c>
      <c r="D7204">
        <v>192</v>
      </c>
      <c r="E7204">
        <f>IF(OR(B7204="vi",B7204="ii",B7204="pod"),(((D7204/100)*(C7204*VLOOKUP(B7204,'Poids des runes'!A:B,2,FALSE)))+1),(((D7204/100)*(C7204*VLOOKUP(B7204,'Poids des runes'!A:B,2,FALSE)))+1)/VLOOKUP(B7204,'Poids des runes'!A:B,2,FALSE))</f>
        <v>25.46</v>
      </c>
      <c r="F7204">
        <f t="shared" si="112"/>
        <v>25.46</v>
      </c>
    </row>
    <row r="7205" spans="1:6" x14ac:dyDescent="0.3">
      <c r="A7205" t="s">
        <v>1312</v>
      </c>
      <c r="B7205" t="s">
        <v>2145</v>
      </c>
      <c r="C7205">
        <v>13</v>
      </c>
      <c r="D7205">
        <v>192</v>
      </c>
      <c r="E7205">
        <f>IF(OR(B7205="vi",B7205="ii",B7205="pod"),(((D7205/100)*(C7205*VLOOKUP(B7205,'Poids des runes'!A:B,2,FALSE)))+1),(((D7205/100)*(C7205*VLOOKUP(B7205,'Poids des runes'!A:B,2,FALSE)))+1)/VLOOKUP(B7205,'Poids des runes'!A:B,2,FALSE))</f>
        <v>25.46</v>
      </c>
      <c r="F7205">
        <f t="shared" si="112"/>
        <v>25.46</v>
      </c>
    </row>
    <row r="7206" spans="1:6" x14ac:dyDescent="0.3">
      <c r="A7206" t="s">
        <v>1313</v>
      </c>
      <c r="B7206" t="s">
        <v>2128</v>
      </c>
      <c r="C7206">
        <v>325.5</v>
      </c>
      <c r="D7206">
        <v>192</v>
      </c>
      <c r="E7206">
        <f>IF(OR(B7206="vi",B7206="ii",B7206="pod"),(((D7206/100)*(C7206*VLOOKUP(B7206,'Poids des runes'!A:B,2,FALSE)))+1),(((D7206/100)*(C7206*VLOOKUP(B7206,'Poids des runes'!A:B,2,FALSE)))+1)/VLOOKUP(B7206,'Poids des runes'!A:B,2,FALSE))</f>
        <v>125.99200000000002</v>
      </c>
      <c r="F7206">
        <f t="shared" si="112"/>
        <v>125.99200000000002</v>
      </c>
    </row>
    <row r="7207" spans="1:6" x14ac:dyDescent="0.3">
      <c r="A7207" t="s">
        <v>1313</v>
      </c>
      <c r="B7207" t="s">
        <v>2131</v>
      </c>
      <c r="C7207">
        <v>70.5</v>
      </c>
      <c r="D7207">
        <v>192</v>
      </c>
      <c r="E7207">
        <f>IF(OR(B7207="vi",B7207="ii",B7207="pod"),(((D7207/100)*(C7207*VLOOKUP(B7207,'Poids des runes'!A:B,2,FALSE)))+1),(((D7207/100)*(C7207*VLOOKUP(B7207,'Poids des runes'!A:B,2,FALSE)))+1)/VLOOKUP(B7207,'Poids des runes'!A:B,2,FALSE))</f>
        <v>136.35999999999999</v>
      </c>
      <c r="F7207">
        <f t="shared" si="112"/>
        <v>136.35999999999999</v>
      </c>
    </row>
    <row r="7208" spans="1:6" x14ac:dyDescent="0.3">
      <c r="A7208" t="s">
        <v>1313</v>
      </c>
      <c r="B7208" t="s">
        <v>2129</v>
      </c>
      <c r="C7208">
        <v>35.5</v>
      </c>
      <c r="D7208">
        <v>192</v>
      </c>
      <c r="E7208">
        <f>IF(OR(B7208="vi",B7208="ii",B7208="pod"),(((D7208/100)*(C7208*VLOOKUP(B7208,'Poids des runes'!A:B,2,FALSE)))+1),(((D7208/100)*(C7208*VLOOKUP(B7208,'Poids des runes'!A:B,2,FALSE)))+1)/VLOOKUP(B7208,'Poids des runes'!A:B,2,FALSE))</f>
        <v>69.16</v>
      </c>
      <c r="F7208">
        <f t="shared" si="112"/>
        <v>69.16</v>
      </c>
    </row>
    <row r="7209" spans="1:6" x14ac:dyDescent="0.3">
      <c r="A7209" t="s">
        <v>1313</v>
      </c>
      <c r="B7209" t="s">
        <v>2151</v>
      </c>
      <c r="C7209">
        <v>5</v>
      </c>
      <c r="D7209">
        <v>192</v>
      </c>
      <c r="E7209">
        <f>IF(OR(B7209="vi",B7209="ii",B7209="pod"),(((D7209/100)*(C7209*VLOOKUP(B7209,'Poids des runes'!A:B,2,FALSE)))+1),(((D7209/100)*(C7209*VLOOKUP(B7209,'Poids des runes'!A:B,2,FALSE)))+1)/VLOOKUP(B7209,'Poids des runes'!A:B,2,FALSE))</f>
        <v>9.6999999999999993</v>
      </c>
      <c r="F7209">
        <f t="shared" si="112"/>
        <v>9.6999999999999993</v>
      </c>
    </row>
    <row r="7210" spans="1:6" x14ac:dyDescent="0.3">
      <c r="A7210" t="s">
        <v>1313</v>
      </c>
      <c r="B7210" t="s">
        <v>2150</v>
      </c>
      <c r="C7210">
        <v>1</v>
      </c>
      <c r="D7210">
        <v>192</v>
      </c>
      <c r="E7210">
        <f>IF(OR(B7210="vi",B7210="ii",B7210="pod"),(((D7210/100)*(C7210*VLOOKUP(B7210,'Poids des runes'!A:B,2,FALSE)))+1),(((D7210/100)*(C7210*VLOOKUP(B7210,'Poids des runes'!A:B,2,FALSE)))+1)/VLOOKUP(B7210,'Poids des runes'!A:B,2,FALSE))</f>
        <v>1.9533333333333331</v>
      </c>
      <c r="F7210">
        <f t="shared" si="112"/>
        <v>1.9533333333333331</v>
      </c>
    </row>
    <row r="7211" spans="1:6" x14ac:dyDescent="0.3">
      <c r="A7211" t="s">
        <v>1313</v>
      </c>
      <c r="B7211" t="s">
        <v>2133</v>
      </c>
      <c r="C7211">
        <v>16</v>
      </c>
      <c r="D7211">
        <v>192</v>
      </c>
      <c r="E7211">
        <f>IF(OR(B7211="vi",B7211="ii",B7211="pod"),(((D7211/100)*(C7211*VLOOKUP(B7211,'Poids des runes'!A:B,2,FALSE)))+1),(((D7211/100)*(C7211*VLOOKUP(B7211,'Poids des runes'!A:B,2,FALSE)))+1)/VLOOKUP(B7211,'Poids des runes'!A:B,2,FALSE))</f>
        <v>30.919999999999998</v>
      </c>
      <c r="F7211">
        <f t="shared" si="112"/>
        <v>30.919999999999998</v>
      </c>
    </row>
    <row r="7212" spans="1:6" x14ac:dyDescent="0.3">
      <c r="A7212" t="s">
        <v>1313</v>
      </c>
      <c r="B7212" t="s">
        <v>2161</v>
      </c>
      <c r="C7212">
        <v>25.5</v>
      </c>
      <c r="D7212">
        <v>192</v>
      </c>
      <c r="E7212">
        <f>IF(OR(B7212="vi",B7212="ii",B7212="pod"),(((D7212/100)*(C7212*VLOOKUP(B7212,'Poids des runes'!A:B,2,FALSE)))+1),(((D7212/100)*(C7212*VLOOKUP(B7212,'Poids des runes'!A:B,2,FALSE)))+1)/VLOOKUP(B7212,'Poids des runes'!A:B,2,FALSE))</f>
        <v>49.293333333333329</v>
      </c>
      <c r="F7212">
        <f t="shared" si="112"/>
        <v>49.293333333333329</v>
      </c>
    </row>
    <row r="7213" spans="1:6" x14ac:dyDescent="0.3">
      <c r="A7213" t="s">
        <v>1313</v>
      </c>
      <c r="B7213" t="s">
        <v>2159</v>
      </c>
      <c r="C7213">
        <v>6</v>
      </c>
      <c r="D7213">
        <v>192</v>
      </c>
      <c r="E7213">
        <f>IF(OR(B7213="vi",B7213="ii",B7213="pod"),(((D7213/100)*(C7213*VLOOKUP(B7213,'Poids des runes'!A:B,2,FALSE)))+1),(((D7213/100)*(C7213*VLOOKUP(B7213,'Poids des runes'!A:B,2,FALSE)))+1)/VLOOKUP(B7213,'Poids des runes'!A:B,2,FALSE))</f>
        <v>11.662857142857144</v>
      </c>
      <c r="F7213">
        <f t="shared" si="112"/>
        <v>11.662857142857144</v>
      </c>
    </row>
    <row r="7214" spans="1:6" x14ac:dyDescent="0.3">
      <c r="A7214" t="s">
        <v>1313</v>
      </c>
      <c r="B7214" t="s">
        <v>2163</v>
      </c>
      <c r="C7214">
        <v>13</v>
      </c>
      <c r="D7214">
        <v>192</v>
      </c>
      <c r="E7214">
        <f>IF(OR(B7214="vi",B7214="ii",B7214="pod"),(((D7214/100)*(C7214*VLOOKUP(B7214,'Poids des runes'!A:B,2,FALSE)))+1),(((D7214/100)*(C7214*VLOOKUP(B7214,'Poids des runes'!A:B,2,FALSE)))+1)/VLOOKUP(B7214,'Poids des runes'!A:B,2,FALSE))</f>
        <v>25.46</v>
      </c>
      <c r="F7214">
        <f t="shared" si="112"/>
        <v>25.46</v>
      </c>
    </row>
    <row r="7215" spans="1:6" x14ac:dyDescent="0.3">
      <c r="A7215" t="s">
        <v>1314</v>
      </c>
      <c r="B7215" t="s">
        <v>2128</v>
      </c>
      <c r="C7215">
        <v>225.5</v>
      </c>
      <c r="D7215">
        <v>192</v>
      </c>
      <c r="E7215">
        <f>IF(OR(B7215="vi",B7215="ii",B7215="pod"),(((D7215/100)*(C7215*VLOOKUP(B7215,'Poids des runes'!A:B,2,FALSE)))+1),(((D7215/100)*(C7215*VLOOKUP(B7215,'Poids des runes'!A:B,2,FALSE)))+1)/VLOOKUP(B7215,'Poids des runes'!A:B,2,FALSE))</f>
        <v>87.591999999999999</v>
      </c>
      <c r="F7215">
        <f t="shared" si="112"/>
        <v>87.591999999999999</v>
      </c>
    </row>
    <row r="7216" spans="1:6" x14ac:dyDescent="0.3">
      <c r="A7216" t="s">
        <v>1314</v>
      </c>
      <c r="B7216" t="s">
        <v>2131</v>
      </c>
      <c r="C7216">
        <v>60.5</v>
      </c>
      <c r="D7216">
        <v>192</v>
      </c>
      <c r="E7216">
        <f>IF(OR(B7216="vi",B7216="ii",B7216="pod"),(((D7216/100)*(C7216*VLOOKUP(B7216,'Poids des runes'!A:B,2,FALSE)))+1),(((D7216/100)*(C7216*VLOOKUP(B7216,'Poids des runes'!A:B,2,FALSE)))+1)/VLOOKUP(B7216,'Poids des runes'!A:B,2,FALSE))</f>
        <v>117.16</v>
      </c>
      <c r="F7216">
        <f t="shared" si="112"/>
        <v>117.16</v>
      </c>
    </row>
    <row r="7217" spans="1:6" x14ac:dyDescent="0.3">
      <c r="A7217" t="s">
        <v>1314</v>
      </c>
      <c r="B7217" t="s">
        <v>2127</v>
      </c>
      <c r="C7217">
        <v>60.5</v>
      </c>
      <c r="D7217">
        <v>192</v>
      </c>
      <c r="E7217">
        <f>IF(OR(B7217="vi",B7217="ii",B7217="pod"),(((D7217/100)*(C7217*VLOOKUP(B7217,'Poids des runes'!A:B,2,FALSE)))+1),(((D7217/100)*(C7217*VLOOKUP(B7217,'Poids des runes'!A:B,2,FALSE)))+1)/VLOOKUP(B7217,'Poids des runes'!A:B,2,FALSE))</f>
        <v>117.16</v>
      </c>
      <c r="F7217">
        <f t="shared" si="112"/>
        <v>117.16</v>
      </c>
    </row>
    <row r="7218" spans="1:6" x14ac:dyDescent="0.3">
      <c r="A7218" t="s">
        <v>1314</v>
      </c>
      <c r="B7218" t="s">
        <v>2129</v>
      </c>
      <c r="C7218">
        <v>25.5</v>
      </c>
      <c r="D7218">
        <v>192</v>
      </c>
      <c r="E7218">
        <f>IF(OR(B7218="vi",B7218="ii",B7218="pod"),(((D7218/100)*(C7218*VLOOKUP(B7218,'Poids des runes'!A:B,2,FALSE)))+1),(((D7218/100)*(C7218*VLOOKUP(B7218,'Poids des runes'!A:B,2,FALSE)))+1)/VLOOKUP(B7218,'Poids des runes'!A:B,2,FALSE))</f>
        <v>49.96</v>
      </c>
      <c r="F7218">
        <f t="shared" si="112"/>
        <v>49.96</v>
      </c>
    </row>
    <row r="7219" spans="1:6" x14ac:dyDescent="0.3">
      <c r="A7219" t="s">
        <v>1314</v>
      </c>
      <c r="B7219" t="s">
        <v>2151</v>
      </c>
      <c r="C7219">
        <v>4</v>
      </c>
      <c r="D7219">
        <v>192</v>
      </c>
      <c r="E7219">
        <f>IF(OR(B7219="vi",B7219="ii",B7219="pod"),(((D7219/100)*(C7219*VLOOKUP(B7219,'Poids des runes'!A:B,2,FALSE)))+1),(((D7219/100)*(C7219*VLOOKUP(B7219,'Poids des runes'!A:B,2,FALSE)))+1)/VLOOKUP(B7219,'Poids des runes'!A:B,2,FALSE))</f>
        <v>7.7799999999999994</v>
      </c>
      <c r="F7219">
        <f t="shared" si="112"/>
        <v>7.7799999999999994</v>
      </c>
    </row>
    <row r="7220" spans="1:6" x14ac:dyDescent="0.3">
      <c r="A7220" t="s">
        <v>1314</v>
      </c>
      <c r="B7220" t="s">
        <v>2154</v>
      </c>
      <c r="C7220">
        <v>1</v>
      </c>
      <c r="D7220">
        <v>192</v>
      </c>
      <c r="E7220">
        <f>IF(OR(B7220="vi",B7220="ii",B7220="pod"),(((D7220/100)*(C7220*VLOOKUP(B7220,'Poids des runes'!A:B,2,FALSE)))+1),(((D7220/100)*(C7220*VLOOKUP(B7220,'Poids des runes'!A:B,2,FALSE)))+1)/VLOOKUP(B7220,'Poids des runes'!A:B,2,FALSE))</f>
        <v>1.931111111111111</v>
      </c>
      <c r="F7220">
        <f t="shared" si="112"/>
        <v>1.931111111111111</v>
      </c>
    </row>
    <row r="7221" spans="1:6" x14ac:dyDescent="0.3">
      <c r="A7221" t="s">
        <v>1314</v>
      </c>
      <c r="B7221" t="s">
        <v>2133</v>
      </c>
      <c r="C7221">
        <v>10.5</v>
      </c>
      <c r="D7221">
        <v>192</v>
      </c>
      <c r="E7221">
        <f>IF(OR(B7221="vi",B7221="ii",B7221="pod"),(((D7221/100)*(C7221*VLOOKUP(B7221,'Poids des runes'!A:B,2,FALSE)))+1),(((D7221/100)*(C7221*VLOOKUP(B7221,'Poids des runes'!A:B,2,FALSE)))+1)/VLOOKUP(B7221,'Poids des runes'!A:B,2,FALSE))</f>
        <v>20.36</v>
      </c>
      <c r="F7221">
        <f t="shared" si="112"/>
        <v>20.36</v>
      </c>
    </row>
    <row r="7222" spans="1:6" x14ac:dyDescent="0.3">
      <c r="A7222" t="s">
        <v>1314</v>
      </c>
      <c r="B7222" t="s">
        <v>2153</v>
      </c>
      <c r="C7222">
        <v>10.5</v>
      </c>
      <c r="D7222">
        <v>192</v>
      </c>
      <c r="E7222">
        <f>IF(OR(B7222="vi",B7222="ii",B7222="pod"),(((D7222/100)*(C7222*VLOOKUP(B7222,'Poids des runes'!A:B,2,FALSE)))+1),(((D7222/100)*(C7222*VLOOKUP(B7222,'Poids des runes'!A:B,2,FALSE)))+1)/VLOOKUP(B7222,'Poids des runes'!A:B,2,FALSE))</f>
        <v>20.36</v>
      </c>
      <c r="F7222">
        <f t="shared" si="112"/>
        <v>20.36</v>
      </c>
    </row>
    <row r="7223" spans="1:6" x14ac:dyDescent="0.3">
      <c r="A7223" t="s">
        <v>1314</v>
      </c>
      <c r="B7223" t="s">
        <v>2161</v>
      </c>
      <c r="C7223">
        <v>8.5</v>
      </c>
      <c r="D7223">
        <v>192</v>
      </c>
      <c r="E7223">
        <f>IF(OR(B7223="vi",B7223="ii",B7223="pod"),(((D7223/100)*(C7223*VLOOKUP(B7223,'Poids des runes'!A:B,2,FALSE)))+1),(((D7223/100)*(C7223*VLOOKUP(B7223,'Poids des runes'!A:B,2,FALSE)))+1)/VLOOKUP(B7223,'Poids des runes'!A:B,2,FALSE))</f>
        <v>16.653333333333332</v>
      </c>
      <c r="F7223">
        <f t="shared" si="112"/>
        <v>16.653333333333332</v>
      </c>
    </row>
    <row r="7224" spans="1:6" x14ac:dyDescent="0.3">
      <c r="A7224" t="s">
        <v>1314</v>
      </c>
      <c r="B7224" t="s">
        <v>2158</v>
      </c>
      <c r="C7224">
        <v>8.5</v>
      </c>
      <c r="D7224">
        <v>192</v>
      </c>
      <c r="E7224">
        <f>IF(OR(B7224="vi",B7224="ii",B7224="pod"),(((D7224/100)*(C7224*VLOOKUP(B7224,'Poids des runes'!A:B,2,FALSE)))+1),(((D7224/100)*(C7224*VLOOKUP(B7224,'Poids des runes'!A:B,2,FALSE)))+1)/VLOOKUP(B7224,'Poids des runes'!A:B,2,FALSE))</f>
        <v>16.52</v>
      </c>
      <c r="F7224">
        <f t="shared" si="112"/>
        <v>16.52</v>
      </c>
    </row>
    <row r="7225" spans="1:6" x14ac:dyDescent="0.3">
      <c r="A7225" t="s">
        <v>1314</v>
      </c>
      <c r="B7225" t="s">
        <v>2147</v>
      </c>
      <c r="C7225">
        <v>5</v>
      </c>
      <c r="D7225">
        <v>192</v>
      </c>
      <c r="E7225">
        <f>IF(OR(B7225="vi",B7225="ii",B7225="pod"),(((D7225/100)*(C7225*VLOOKUP(B7225,'Poids des runes'!A:B,2,FALSE)))+1),(((D7225/100)*(C7225*VLOOKUP(B7225,'Poids des runes'!A:B,2,FALSE)))+1)/VLOOKUP(B7225,'Poids des runes'!A:B,2,FALSE))</f>
        <v>9.7666666666666657</v>
      </c>
      <c r="F7225">
        <f t="shared" si="112"/>
        <v>9.7666666666666657</v>
      </c>
    </row>
    <row r="7226" spans="1:6" x14ac:dyDescent="0.3">
      <c r="A7226" t="s">
        <v>1314</v>
      </c>
      <c r="B7226" t="s">
        <v>2135</v>
      </c>
      <c r="C7226">
        <v>5</v>
      </c>
      <c r="D7226">
        <v>192</v>
      </c>
      <c r="E7226">
        <f>IF(OR(B7226="vi",B7226="ii",B7226="pod"),(((D7226/100)*(C7226*VLOOKUP(B7226,'Poids des runes'!A:B,2,FALSE)))+1),(((D7226/100)*(C7226*VLOOKUP(B7226,'Poids des runes'!A:B,2,FALSE)))+1)/VLOOKUP(B7226,'Poids des runes'!A:B,2,FALSE))</f>
        <v>9.7666666666666657</v>
      </c>
      <c r="F7226">
        <f t="shared" si="112"/>
        <v>9.7666666666666657</v>
      </c>
    </row>
    <row r="7227" spans="1:6" x14ac:dyDescent="0.3">
      <c r="A7227" t="s">
        <v>1315</v>
      </c>
      <c r="B7227" t="s">
        <v>2128</v>
      </c>
      <c r="C7227">
        <v>275.5</v>
      </c>
      <c r="D7227">
        <v>193</v>
      </c>
      <c r="E7227">
        <f>IF(OR(B7227="vi",B7227="ii",B7227="pod"),(((D7227/100)*(C7227*VLOOKUP(B7227,'Poids des runes'!A:B,2,FALSE)))+1),(((D7227/100)*(C7227*VLOOKUP(B7227,'Poids des runes'!A:B,2,FALSE)))+1)/VLOOKUP(B7227,'Poids des runes'!A:B,2,FALSE))</f>
        <v>107.343</v>
      </c>
      <c r="F7227">
        <f t="shared" si="112"/>
        <v>107.343</v>
      </c>
    </row>
    <row r="7228" spans="1:6" x14ac:dyDescent="0.3">
      <c r="A7228" t="s">
        <v>1315</v>
      </c>
      <c r="B7228" t="s">
        <v>2126</v>
      </c>
      <c r="C7228">
        <v>63</v>
      </c>
      <c r="D7228">
        <v>193</v>
      </c>
      <c r="E7228">
        <f>IF(OR(B7228="vi",B7228="ii",B7228="pod"),(((D7228/100)*(C7228*VLOOKUP(B7228,'Poids des runes'!A:B,2,FALSE)))+1),(((D7228/100)*(C7228*VLOOKUP(B7228,'Poids des runes'!A:B,2,FALSE)))+1)/VLOOKUP(B7228,'Poids des runes'!A:B,2,FALSE))</f>
        <v>122.58999999999999</v>
      </c>
      <c r="F7228">
        <f t="shared" si="112"/>
        <v>122.58999999999999</v>
      </c>
    </row>
    <row r="7229" spans="1:6" x14ac:dyDescent="0.3">
      <c r="A7229" t="s">
        <v>1315</v>
      </c>
      <c r="B7229" t="s">
        <v>2127</v>
      </c>
      <c r="C7229">
        <v>63</v>
      </c>
      <c r="D7229">
        <v>193</v>
      </c>
      <c r="E7229">
        <f>IF(OR(B7229="vi",B7229="ii",B7229="pod"),(((D7229/100)*(C7229*VLOOKUP(B7229,'Poids des runes'!A:B,2,FALSE)))+1),(((D7229/100)*(C7229*VLOOKUP(B7229,'Poids des runes'!A:B,2,FALSE)))+1)/VLOOKUP(B7229,'Poids des runes'!A:B,2,FALSE))</f>
        <v>122.58999999999999</v>
      </c>
      <c r="F7229">
        <f t="shared" si="112"/>
        <v>122.58999999999999</v>
      </c>
    </row>
    <row r="7230" spans="1:6" x14ac:dyDescent="0.3">
      <c r="A7230" t="s">
        <v>1315</v>
      </c>
      <c r="B7230" t="s">
        <v>2129</v>
      </c>
      <c r="C7230">
        <v>43</v>
      </c>
      <c r="D7230">
        <v>193</v>
      </c>
      <c r="E7230">
        <f>IF(OR(B7230="vi",B7230="ii",B7230="pod"),(((D7230/100)*(C7230*VLOOKUP(B7230,'Poids des runes'!A:B,2,FALSE)))+1),(((D7230/100)*(C7230*VLOOKUP(B7230,'Poids des runes'!A:B,2,FALSE)))+1)/VLOOKUP(B7230,'Poids des runes'!A:B,2,FALSE))</f>
        <v>83.99</v>
      </c>
      <c r="F7230">
        <f t="shared" si="112"/>
        <v>83.99</v>
      </c>
    </row>
    <row r="7231" spans="1:6" x14ac:dyDescent="0.3">
      <c r="A7231" t="s">
        <v>1315</v>
      </c>
      <c r="B7231" t="s">
        <v>2151</v>
      </c>
      <c r="C7231">
        <v>5</v>
      </c>
      <c r="D7231">
        <v>193</v>
      </c>
      <c r="E7231">
        <f>IF(OR(B7231="vi",B7231="ii",B7231="pod"),(((D7231/100)*(C7231*VLOOKUP(B7231,'Poids des runes'!A:B,2,FALSE)))+1),(((D7231/100)*(C7231*VLOOKUP(B7231,'Poids des runes'!A:B,2,FALSE)))+1)/VLOOKUP(B7231,'Poids des runes'!A:B,2,FALSE))</f>
        <v>9.75</v>
      </c>
      <c r="F7231">
        <f t="shared" si="112"/>
        <v>9.75</v>
      </c>
    </row>
    <row r="7232" spans="1:6" x14ac:dyDescent="0.3">
      <c r="A7232" t="s">
        <v>1315</v>
      </c>
      <c r="B7232" t="s">
        <v>2134</v>
      </c>
      <c r="C7232">
        <v>8.5</v>
      </c>
      <c r="D7232">
        <v>193</v>
      </c>
      <c r="E7232">
        <f>IF(OR(B7232="vi",B7232="ii",B7232="pod"),(((D7232/100)*(C7232*VLOOKUP(B7232,'Poids des runes'!A:B,2,FALSE)))+1),(((D7232/100)*(C7232*VLOOKUP(B7232,'Poids des runes'!A:B,2,FALSE)))+1)/VLOOKUP(B7232,'Poids des runes'!A:B,2,FALSE))</f>
        <v>16.454999999999998</v>
      </c>
      <c r="F7232">
        <f t="shared" si="112"/>
        <v>16.454999999999998</v>
      </c>
    </row>
    <row r="7233" spans="1:6" x14ac:dyDescent="0.3">
      <c r="A7233" t="s">
        <v>1315</v>
      </c>
      <c r="B7233" t="s">
        <v>2161</v>
      </c>
      <c r="C7233">
        <v>18</v>
      </c>
      <c r="D7233">
        <v>193</v>
      </c>
      <c r="E7233">
        <f>IF(OR(B7233="vi",B7233="ii",B7233="pod"),(((D7233/100)*(C7233*VLOOKUP(B7233,'Poids des runes'!A:B,2,FALSE)))+1),(((D7233/100)*(C7233*VLOOKUP(B7233,'Poids des runes'!A:B,2,FALSE)))+1)/VLOOKUP(B7233,'Poids des runes'!A:B,2,FALSE))</f>
        <v>35.073333333333331</v>
      </c>
      <c r="F7233">
        <f t="shared" si="112"/>
        <v>35.073333333333331</v>
      </c>
    </row>
    <row r="7234" spans="1:6" x14ac:dyDescent="0.3">
      <c r="A7234" t="s">
        <v>1315</v>
      </c>
      <c r="B7234" t="s">
        <v>2156</v>
      </c>
      <c r="C7234">
        <v>2.5</v>
      </c>
      <c r="D7234">
        <v>193</v>
      </c>
      <c r="E7234">
        <f>IF(OR(B7234="vi",B7234="ii",B7234="pod"),(((D7234/100)*(C7234*VLOOKUP(B7234,'Poids des runes'!A:B,2,FALSE)))+1),(((D7234/100)*(C7234*VLOOKUP(B7234,'Poids des runes'!A:B,2,FALSE)))+1)/VLOOKUP(B7234,'Poids des runes'!A:B,2,FALSE))</f>
        <v>4.9916666666666663</v>
      </c>
      <c r="F7234">
        <f t="shared" si="112"/>
        <v>4.9916666666666663</v>
      </c>
    </row>
    <row r="7235" spans="1:6" x14ac:dyDescent="0.3">
      <c r="A7235" t="s">
        <v>1315</v>
      </c>
      <c r="B7235" t="s">
        <v>2147</v>
      </c>
      <c r="C7235">
        <v>8.5</v>
      </c>
      <c r="D7235">
        <v>193</v>
      </c>
      <c r="E7235">
        <f>IF(OR(B7235="vi",B7235="ii",B7235="pod"),(((D7235/100)*(C7235*VLOOKUP(B7235,'Poids des runes'!A:B,2,FALSE)))+1),(((D7235/100)*(C7235*VLOOKUP(B7235,'Poids des runes'!A:B,2,FALSE)))+1)/VLOOKUP(B7235,'Poids des runes'!A:B,2,FALSE))</f>
        <v>16.571666666666665</v>
      </c>
      <c r="F7235">
        <f t="shared" ref="F7235:F7298" si="113">E7235</f>
        <v>16.571666666666665</v>
      </c>
    </row>
    <row r="7236" spans="1:6" x14ac:dyDescent="0.3">
      <c r="A7236" t="s">
        <v>1315</v>
      </c>
      <c r="B7236" t="s">
        <v>2135</v>
      </c>
      <c r="C7236">
        <v>2.5</v>
      </c>
      <c r="D7236">
        <v>193</v>
      </c>
      <c r="E7236">
        <f>IF(OR(B7236="vi",B7236="ii",B7236="pod"),(((D7236/100)*(C7236*VLOOKUP(B7236,'Poids des runes'!A:B,2,FALSE)))+1),(((D7236/100)*(C7236*VLOOKUP(B7236,'Poids des runes'!A:B,2,FALSE)))+1)/VLOOKUP(B7236,'Poids des runes'!A:B,2,FALSE))</f>
        <v>4.9916666666666663</v>
      </c>
      <c r="F7236">
        <f t="shared" si="113"/>
        <v>4.9916666666666663</v>
      </c>
    </row>
    <row r="7237" spans="1:6" x14ac:dyDescent="0.3">
      <c r="A7237" t="s">
        <v>1315</v>
      </c>
      <c r="B7237" t="s">
        <v>2144</v>
      </c>
      <c r="C7237">
        <v>10</v>
      </c>
      <c r="D7237">
        <v>193</v>
      </c>
      <c r="E7237">
        <f>IF(OR(B7237="vi",B7237="ii",B7237="pod"),(((D7237/100)*(C7237*VLOOKUP(B7237,'Poids des runes'!A:B,2,FALSE)))+1),(((D7237/100)*(C7237*VLOOKUP(B7237,'Poids des runes'!A:B,2,FALSE)))+1)/VLOOKUP(B7237,'Poids des runes'!A:B,2,FALSE))</f>
        <v>19.8</v>
      </c>
      <c r="F7237">
        <f t="shared" si="113"/>
        <v>19.8</v>
      </c>
    </row>
    <row r="7238" spans="1:6" x14ac:dyDescent="0.3">
      <c r="A7238" t="s">
        <v>1315</v>
      </c>
      <c r="B7238" t="s">
        <v>2146</v>
      </c>
      <c r="C7238">
        <v>10</v>
      </c>
      <c r="D7238">
        <v>193</v>
      </c>
      <c r="E7238">
        <f>IF(OR(B7238="vi",B7238="ii",B7238="pod"),(((D7238/100)*(C7238*VLOOKUP(B7238,'Poids des runes'!A:B,2,FALSE)))+1),(((D7238/100)*(C7238*VLOOKUP(B7238,'Poids des runes'!A:B,2,FALSE)))+1)/VLOOKUP(B7238,'Poids des runes'!A:B,2,FALSE))</f>
        <v>19.8</v>
      </c>
      <c r="F7238">
        <f t="shared" si="113"/>
        <v>19.8</v>
      </c>
    </row>
    <row r="7239" spans="1:6" x14ac:dyDescent="0.3">
      <c r="A7239" t="s">
        <v>1316</v>
      </c>
      <c r="B7239" t="s">
        <v>2128</v>
      </c>
      <c r="C7239">
        <v>325.5</v>
      </c>
      <c r="D7239">
        <v>193</v>
      </c>
      <c r="E7239">
        <f>IF(OR(B7239="vi",B7239="ii",B7239="pod"),(((D7239/100)*(C7239*VLOOKUP(B7239,'Poids des runes'!A:B,2,FALSE)))+1),(((D7239/100)*(C7239*VLOOKUP(B7239,'Poids des runes'!A:B,2,FALSE)))+1)/VLOOKUP(B7239,'Poids des runes'!A:B,2,FALSE))</f>
        <v>126.64300000000001</v>
      </c>
      <c r="F7239">
        <f t="shared" si="113"/>
        <v>126.64300000000001</v>
      </c>
    </row>
    <row r="7240" spans="1:6" x14ac:dyDescent="0.3">
      <c r="A7240" t="s">
        <v>1316</v>
      </c>
      <c r="B7240" t="s">
        <v>2130</v>
      </c>
      <c r="C7240">
        <v>60.5</v>
      </c>
      <c r="D7240">
        <v>193</v>
      </c>
      <c r="E7240">
        <f>IF(OR(B7240="vi",B7240="ii",B7240="pod"),(((D7240/100)*(C7240*VLOOKUP(B7240,'Poids des runes'!A:B,2,FALSE)))+1),(((D7240/100)*(C7240*VLOOKUP(B7240,'Poids des runes'!A:B,2,FALSE)))+1)/VLOOKUP(B7240,'Poids des runes'!A:B,2,FALSE))</f>
        <v>117.765</v>
      </c>
      <c r="F7240">
        <f t="shared" si="113"/>
        <v>117.765</v>
      </c>
    </row>
    <row r="7241" spans="1:6" x14ac:dyDescent="0.3">
      <c r="A7241" t="s">
        <v>1316</v>
      </c>
      <c r="B7241" t="s">
        <v>2129</v>
      </c>
      <c r="C7241">
        <v>35.5</v>
      </c>
      <c r="D7241">
        <v>193</v>
      </c>
      <c r="E7241">
        <f>IF(OR(B7241="vi",B7241="ii",B7241="pod"),(((D7241/100)*(C7241*VLOOKUP(B7241,'Poids des runes'!A:B,2,FALSE)))+1),(((D7241/100)*(C7241*VLOOKUP(B7241,'Poids des runes'!A:B,2,FALSE)))+1)/VLOOKUP(B7241,'Poids des runes'!A:B,2,FALSE))</f>
        <v>69.515000000000001</v>
      </c>
      <c r="F7241">
        <f t="shared" si="113"/>
        <v>69.515000000000001</v>
      </c>
    </row>
    <row r="7242" spans="1:6" x14ac:dyDescent="0.3">
      <c r="A7242" t="s">
        <v>1316</v>
      </c>
      <c r="B7242" t="s">
        <v>2139</v>
      </c>
      <c r="C7242">
        <v>35.5</v>
      </c>
      <c r="D7242">
        <v>193</v>
      </c>
      <c r="E7242">
        <f>IF(OR(B7242="vi",B7242="ii",B7242="pod"),(((D7242/100)*(C7242*VLOOKUP(B7242,'Poids des runes'!A:B,2,FALSE)))+1),(((D7242/100)*(C7242*VLOOKUP(B7242,'Poids des runes'!A:B,2,FALSE)))+1)/VLOOKUP(B7242,'Poids des runes'!A:B,2,FALSE))</f>
        <v>69.015000000000001</v>
      </c>
      <c r="F7242">
        <f t="shared" si="113"/>
        <v>69.015000000000001</v>
      </c>
    </row>
    <row r="7243" spans="1:6" x14ac:dyDescent="0.3">
      <c r="A7243" t="s">
        <v>1316</v>
      </c>
      <c r="B7243" t="s">
        <v>2155</v>
      </c>
      <c r="C7243">
        <v>1</v>
      </c>
      <c r="D7243">
        <v>193</v>
      </c>
      <c r="E7243">
        <f>IF(OR(B7243="vi",B7243="ii",B7243="pod"),(((D7243/100)*(C7243*VLOOKUP(B7243,'Poids des runes'!A:B,2,FALSE)))+1),(((D7243/100)*(C7243*VLOOKUP(B7243,'Poids des runes'!A:B,2,FALSE)))+1)/VLOOKUP(B7243,'Poids des runes'!A:B,2,FALSE))</f>
        <v>1.9496078431372548</v>
      </c>
      <c r="F7243">
        <f t="shared" si="113"/>
        <v>1.9496078431372548</v>
      </c>
    </row>
    <row r="7244" spans="1:6" x14ac:dyDescent="0.3">
      <c r="A7244" t="s">
        <v>1316</v>
      </c>
      <c r="B7244" t="s">
        <v>2143</v>
      </c>
      <c r="C7244">
        <v>13</v>
      </c>
      <c r="D7244">
        <v>193</v>
      </c>
      <c r="E7244">
        <f>IF(OR(B7244="vi",B7244="ii",B7244="pod"),(((D7244/100)*(C7244*VLOOKUP(B7244,'Poids des runes'!A:B,2,FALSE)))+1),(((D7244/100)*(C7244*VLOOKUP(B7244,'Poids des runes'!A:B,2,FALSE)))+1)/VLOOKUP(B7244,'Poids des runes'!A:B,2,FALSE))</f>
        <v>25.29</v>
      </c>
      <c r="F7244">
        <f t="shared" si="113"/>
        <v>25.29</v>
      </c>
    </row>
    <row r="7245" spans="1:6" x14ac:dyDescent="0.3">
      <c r="A7245" t="s">
        <v>1316</v>
      </c>
      <c r="B7245" t="s">
        <v>2161</v>
      </c>
      <c r="C7245">
        <v>15.5</v>
      </c>
      <c r="D7245">
        <v>193</v>
      </c>
      <c r="E7245">
        <f>IF(OR(B7245="vi",B7245="ii",B7245="pod"),(((D7245/100)*(C7245*VLOOKUP(B7245,'Poids des runes'!A:B,2,FALSE)))+1),(((D7245/100)*(C7245*VLOOKUP(B7245,'Poids des runes'!A:B,2,FALSE)))+1)/VLOOKUP(B7245,'Poids des runes'!A:B,2,FALSE))</f>
        <v>30.248333333333331</v>
      </c>
      <c r="F7245">
        <f t="shared" si="113"/>
        <v>30.248333333333331</v>
      </c>
    </row>
    <row r="7246" spans="1:6" x14ac:dyDescent="0.3">
      <c r="A7246" t="s">
        <v>1316</v>
      </c>
      <c r="B7246" t="s">
        <v>2132</v>
      </c>
      <c r="C7246">
        <v>250.5</v>
      </c>
      <c r="D7246">
        <v>193</v>
      </c>
      <c r="E7246">
        <f>IF(OR(B7246="vi",B7246="ii",B7246="pod"),(((D7246/100)*(C7246*VLOOKUP(B7246,'Poids des runes'!A:B,2,FALSE)))+1),(((D7246/100)*(C7246*VLOOKUP(B7246,'Poids des runes'!A:B,2,FALSE)))+1)/VLOOKUP(B7246,'Poids des runes'!A:B,2,FALSE))</f>
        <v>49.346499999999999</v>
      </c>
      <c r="F7246">
        <f t="shared" si="113"/>
        <v>49.346499999999999</v>
      </c>
    </row>
    <row r="7247" spans="1:6" x14ac:dyDescent="0.3">
      <c r="A7247" t="s">
        <v>1316</v>
      </c>
      <c r="B7247" t="s">
        <v>2138</v>
      </c>
      <c r="C7247">
        <v>5</v>
      </c>
      <c r="D7247">
        <v>193</v>
      </c>
      <c r="E7247">
        <f>IF(OR(B7247="vi",B7247="ii",B7247="pod"),(((D7247/100)*(C7247*VLOOKUP(B7247,'Poids des runes'!A:B,2,FALSE)))+1),(((D7247/100)*(C7247*VLOOKUP(B7247,'Poids des runes'!A:B,2,FALSE)))+1)/VLOOKUP(B7247,'Poids des runes'!A:B,2,FALSE))</f>
        <v>9.9</v>
      </c>
      <c r="F7247">
        <f t="shared" si="113"/>
        <v>9.9</v>
      </c>
    </row>
    <row r="7248" spans="1:6" x14ac:dyDescent="0.3">
      <c r="A7248" t="s">
        <v>1316</v>
      </c>
      <c r="B7248" t="s">
        <v>2165</v>
      </c>
      <c r="C7248">
        <v>6</v>
      </c>
      <c r="D7248">
        <v>193</v>
      </c>
      <c r="E7248">
        <f>IF(OR(B7248="vi",B7248="ii",B7248="pod"),(((D7248/100)*(C7248*VLOOKUP(B7248,'Poids des runes'!A:B,2,FALSE)))+1),(((D7248/100)*(C7248*VLOOKUP(B7248,'Poids des runes'!A:B,2,FALSE)))+1)/VLOOKUP(B7248,'Poids des runes'!A:B,2,FALSE))</f>
        <v>11.722857142857142</v>
      </c>
      <c r="F7248">
        <f t="shared" si="113"/>
        <v>11.722857142857142</v>
      </c>
    </row>
    <row r="7249" spans="1:6" x14ac:dyDescent="0.3">
      <c r="A7249" t="s">
        <v>1316</v>
      </c>
      <c r="B7249" t="s">
        <v>2147</v>
      </c>
      <c r="C7249">
        <v>4</v>
      </c>
      <c r="D7249">
        <v>193</v>
      </c>
      <c r="E7249">
        <f>IF(OR(B7249="vi",B7249="ii",B7249="pod"),(((D7249/100)*(C7249*VLOOKUP(B7249,'Poids des runes'!A:B,2,FALSE)))+1),(((D7249/100)*(C7249*VLOOKUP(B7249,'Poids des runes'!A:B,2,FALSE)))+1)/VLOOKUP(B7249,'Poids des runes'!A:B,2,FALSE))</f>
        <v>7.8866666666666667</v>
      </c>
      <c r="F7249">
        <f t="shared" si="113"/>
        <v>7.8866666666666667</v>
      </c>
    </row>
    <row r="7250" spans="1:6" x14ac:dyDescent="0.3">
      <c r="A7250" t="s">
        <v>1316</v>
      </c>
      <c r="B7250" t="s">
        <v>2157</v>
      </c>
      <c r="C7250">
        <v>4</v>
      </c>
      <c r="D7250">
        <v>193</v>
      </c>
      <c r="E7250">
        <f>IF(OR(B7250="vi",B7250="ii",B7250="pod"),(((D7250/100)*(C7250*VLOOKUP(B7250,'Poids des runes'!A:B,2,FALSE)))+1),(((D7250/100)*(C7250*VLOOKUP(B7250,'Poids des runes'!A:B,2,FALSE)))+1)/VLOOKUP(B7250,'Poids des runes'!A:B,2,FALSE))</f>
        <v>7.8866666666666667</v>
      </c>
      <c r="F7250">
        <f t="shared" si="113"/>
        <v>7.8866666666666667</v>
      </c>
    </row>
    <row r="7251" spans="1:6" x14ac:dyDescent="0.3">
      <c r="A7251" t="s">
        <v>1316</v>
      </c>
      <c r="B7251" t="s">
        <v>2144</v>
      </c>
      <c r="C7251">
        <v>10</v>
      </c>
      <c r="D7251">
        <v>193</v>
      </c>
      <c r="E7251">
        <f>IF(OR(B7251="vi",B7251="ii",B7251="pod"),(((D7251/100)*(C7251*VLOOKUP(B7251,'Poids des runes'!A:B,2,FALSE)))+1),(((D7251/100)*(C7251*VLOOKUP(B7251,'Poids des runes'!A:B,2,FALSE)))+1)/VLOOKUP(B7251,'Poids des runes'!A:B,2,FALSE))</f>
        <v>19.8</v>
      </c>
      <c r="F7251">
        <f t="shared" si="113"/>
        <v>19.8</v>
      </c>
    </row>
    <row r="7252" spans="1:6" x14ac:dyDescent="0.3">
      <c r="A7252" t="s">
        <v>1316</v>
      </c>
      <c r="B7252" t="s">
        <v>2145</v>
      </c>
      <c r="C7252">
        <v>10</v>
      </c>
      <c r="D7252">
        <v>193</v>
      </c>
      <c r="E7252">
        <f>IF(OR(B7252="vi",B7252="ii",B7252="pod"),(((D7252/100)*(C7252*VLOOKUP(B7252,'Poids des runes'!A:B,2,FALSE)))+1),(((D7252/100)*(C7252*VLOOKUP(B7252,'Poids des runes'!A:B,2,FALSE)))+1)/VLOOKUP(B7252,'Poids des runes'!A:B,2,FALSE))</f>
        <v>19.8</v>
      </c>
      <c r="F7252">
        <f t="shared" si="113"/>
        <v>19.8</v>
      </c>
    </row>
    <row r="7253" spans="1:6" x14ac:dyDescent="0.3">
      <c r="A7253" t="s">
        <v>1317</v>
      </c>
      <c r="B7253" t="s">
        <v>2128</v>
      </c>
      <c r="C7253">
        <v>325.5</v>
      </c>
      <c r="D7253">
        <v>193</v>
      </c>
      <c r="E7253">
        <f>IF(OR(B7253="vi",B7253="ii",B7253="pod"),(((D7253/100)*(C7253*VLOOKUP(B7253,'Poids des runes'!A:B,2,FALSE)))+1),(((D7253/100)*(C7253*VLOOKUP(B7253,'Poids des runes'!A:B,2,FALSE)))+1)/VLOOKUP(B7253,'Poids des runes'!A:B,2,FALSE))</f>
        <v>126.64300000000001</v>
      </c>
      <c r="F7253">
        <f t="shared" si="113"/>
        <v>126.64300000000001</v>
      </c>
    </row>
    <row r="7254" spans="1:6" x14ac:dyDescent="0.3">
      <c r="A7254" t="s">
        <v>1317</v>
      </c>
      <c r="B7254" t="s">
        <v>2130</v>
      </c>
      <c r="C7254">
        <v>50.5</v>
      </c>
      <c r="D7254">
        <v>193</v>
      </c>
      <c r="E7254">
        <f>IF(OR(B7254="vi",B7254="ii",B7254="pod"),(((D7254/100)*(C7254*VLOOKUP(B7254,'Poids des runes'!A:B,2,FALSE)))+1),(((D7254/100)*(C7254*VLOOKUP(B7254,'Poids des runes'!A:B,2,FALSE)))+1)/VLOOKUP(B7254,'Poids des runes'!A:B,2,FALSE))</f>
        <v>98.465000000000003</v>
      </c>
      <c r="F7254">
        <f t="shared" si="113"/>
        <v>98.465000000000003</v>
      </c>
    </row>
    <row r="7255" spans="1:6" x14ac:dyDescent="0.3">
      <c r="A7255" t="s">
        <v>1317</v>
      </c>
      <c r="B7255" t="s">
        <v>2131</v>
      </c>
      <c r="C7255">
        <v>50.5</v>
      </c>
      <c r="D7255">
        <v>193</v>
      </c>
      <c r="E7255">
        <f>IF(OR(B7255="vi",B7255="ii",B7255="pod"),(((D7255/100)*(C7255*VLOOKUP(B7255,'Poids des runes'!A:B,2,FALSE)))+1),(((D7255/100)*(C7255*VLOOKUP(B7255,'Poids des runes'!A:B,2,FALSE)))+1)/VLOOKUP(B7255,'Poids des runes'!A:B,2,FALSE))</f>
        <v>98.465000000000003</v>
      </c>
      <c r="F7255">
        <f t="shared" si="113"/>
        <v>98.465000000000003</v>
      </c>
    </row>
    <row r="7256" spans="1:6" x14ac:dyDescent="0.3">
      <c r="A7256" t="s">
        <v>1317</v>
      </c>
      <c r="B7256" t="s">
        <v>2127</v>
      </c>
      <c r="C7256">
        <v>50.5</v>
      </c>
      <c r="D7256">
        <v>193</v>
      </c>
      <c r="E7256">
        <f>IF(OR(B7256="vi",B7256="ii",B7256="pod"),(((D7256/100)*(C7256*VLOOKUP(B7256,'Poids des runes'!A:B,2,FALSE)))+1),(((D7256/100)*(C7256*VLOOKUP(B7256,'Poids des runes'!A:B,2,FALSE)))+1)/VLOOKUP(B7256,'Poids des runes'!A:B,2,FALSE))</f>
        <v>98.465000000000003</v>
      </c>
      <c r="F7256">
        <f t="shared" si="113"/>
        <v>98.465000000000003</v>
      </c>
    </row>
    <row r="7257" spans="1:6" x14ac:dyDescent="0.3">
      <c r="A7257" t="s">
        <v>1317</v>
      </c>
      <c r="B7257" t="s">
        <v>2129</v>
      </c>
      <c r="C7257">
        <v>50.5</v>
      </c>
      <c r="D7257">
        <v>193</v>
      </c>
      <c r="E7257">
        <f>IF(OR(B7257="vi",B7257="ii",B7257="pod"),(((D7257/100)*(C7257*VLOOKUP(B7257,'Poids des runes'!A:B,2,FALSE)))+1),(((D7257/100)*(C7257*VLOOKUP(B7257,'Poids des runes'!A:B,2,FALSE)))+1)/VLOOKUP(B7257,'Poids des runes'!A:B,2,FALSE))</f>
        <v>98.465000000000003</v>
      </c>
      <c r="F7257">
        <f t="shared" si="113"/>
        <v>98.465000000000003</v>
      </c>
    </row>
    <row r="7258" spans="1:6" x14ac:dyDescent="0.3">
      <c r="A7258" t="s">
        <v>1317</v>
      </c>
      <c r="B7258" t="s">
        <v>2151</v>
      </c>
      <c r="C7258">
        <v>5</v>
      </c>
      <c r="D7258">
        <v>193</v>
      </c>
      <c r="E7258">
        <f>IF(OR(B7258="vi",B7258="ii",B7258="pod"),(((D7258/100)*(C7258*VLOOKUP(B7258,'Poids des runes'!A:B,2,FALSE)))+1),(((D7258/100)*(C7258*VLOOKUP(B7258,'Poids des runes'!A:B,2,FALSE)))+1)/VLOOKUP(B7258,'Poids des runes'!A:B,2,FALSE))</f>
        <v>9.75</v>
      </c>
      <c r="F7258">
        <f t="shared" si="113"/>
        <v>9.75</v>
      </c>
    </row>
    <row r="7259" spans="1:6" x14ac:dyDescent="0.3">
      <c r="A7259" t="s">
        <v>1317</v>
      </c>
      <c r="B7259" t="s">
        <v>2150</v>
      </c>
      <c r="C7259">
        <v>1</v>
      </c>
      <c r="D7259">
        <v>193</v>
      </c>
      <c r="E7259">
        <f>IF(OR(B7259="vi",B7259="ii",B7259="pod"),(((D7259/100)*(C7259*VLOOKUP(B7259,'Poids des runes'!A:B,2,FALSE)))+1),(((D7259/100)*(C7259*VLOOKUP(B7259,'Poids des runes'!A:B,2,FALSE)))+1)/VLOOKUP(B7259,'Poids des runes'!A:B,2,FALSE))</f>
        <v>1.9633333333333334</v>
      </c>
      <c r="F7259">
        <f t="shared" si="113"/>
        <v>1.9633333333333334</v>
      </c>
    </row>
    <row r="7260" spans="1:6" x14ac:dyDescent="0.3">
      <c r="A7260" t="s">
        <v>1317</v>
      </c>
      <c r="B7260" t="s">
        <v>2143</v>
      </c>
      <c r="C7260">
        <v>10</v>
      </c>
      <c r="D7260">
        <v>193</v>
      </c>
      <c r="E7260">
        <f>IF(OR(B7260="vi",B7260="ii",B7260="pod"),(((D7260/100)*(C7260*VLOOKUP(B7260,'Poids des runes'!A:B,2,FALSE)))+1),(((D7260/100)*(C7260*VLOOKUP(B7260,'Poids des runes'!A:B,2,FALSE)))+1)/VLOOKUP(B7260,'Poids des runes'!A:B,2,FALSE))</f>
        <v>19.5</v>
      </c>
      <c r="F7260">
        <f t="shared" si="113"/>
        <v>19.5</v>
      </c>
    </row>
    <row r="7261" spans="1:6" x14ac:dyDescent="0.3">
      <c r="A7261" t="s">
        <v>1317</v>
      </c>
      <c r="B7261" t="s">
        <v>2133</v>
      </c>
      <c r="C7261">
        <v>10</v>
      </c>
      <c r="D7261">
        <v>193</v>
      </c>
      <c r="E7261">
        <f>IF(OR(B7261="vi",B7261="ii",B7261="pod"),(((D7261/100)*(C7261*VLOOKUP(B7261,'Poids des runes'!A:B,2,FALSE)))+1),(((D7261/100)*(C7261*VLOOKUP(B7261,'Poids des runes'!A:B,2,FALSE)))+1)/VLOOKUP(B7261,'Poids des runes'!A:B,2,FALSE))</f>
        <v>19.5</v>
      </c>
      <c r="F7261">
        <f t="shared" si="113"/>
        <v>19.5</v>
      </c>
    </row>
    <row r="7262" spans="1:6" x14ac:dyDescent="0.3">
      <c r="A7262" t="s">
        <v>1317</v>
      </c>
      <c r="B7262" t="s">
        <v>2153</v>
      </c>
      <c r="C7262">
        <v>10</v>
      </c>
      <c r="D7262">
        <v>193</v>
      </c>
      <c r="E7262">
        <f>IF(OR(B7262="vi",B7262="ii",B7262="pod"),(((D7262/100)*(C7262*VLOOKUP(B7262,'Poids des runes'!A:B,2,FALSE)))+1),(((D7262/100)*(C7262*VLOOKUP(B7262,'Poids des runes'!A:B,2,FALSE)))+1)/VLOOKUP(B7262,'Poids des runes'!A:B,2,FALSE))</f>
        <v>19.5</v>
      </c>
      <c r="F7262">
        <f t="shared" si="113"/>
        <v>19.5</v>
      </c>
    </row>
    <row r="7263" spans="1:6" x14ac:dyDescent="0.3">
      <c r="A7263" t="s">
        <v>1317</v>
      </c>
      <c r="B7263" t="s">
        <v>2132</v>
      </c>
      <c r="C7263">
        <v>250.5</v>
      </c>
      <c r="D7263">
        <v>193</v>
      </c>
      <c r="E7263">
        <f>IF(OR(B7263="vi",B7263="ii",B7263="pod"),(((D7263/100)*(C7263*VLOOKUP(B7263,'Poids des runes'!A:B,2,FALSE)))+1),(((D7263/100)*(C7263*VLOOKUP(B7263,'Poids des runes'!A:B,2,FALSE)))+1)/VLOOKUP(B7263,'Poids des runes'!A:B,2,FALSE))</f>
        <v>49.346499999999999</v>
      </c>
      <c r="F7263">
        <f t="shared" si="113"/>
        <v>49.346499999999999</v>
      </c>
    </row>
    <row r="7264" spans="1:6" x14ac:dyDescent="0.3">
      <c r="A7264" t="s">
        <v>1317</v>
      </c>
      <c r="B7264" t="s">
        <v>2160</v>
      </c>
      <c r="C7264">
        <v>5</v>
      </c>
      <c r="D7264">
        <v>193</v>
      </c>
      <c r="E7264">
        <f>IF(OR(B7264="vi",B7264="ii",B7264="pod"),(((D7264/100)*(C7264*VLOOKUP(B7264,'Poids des runes'!A:B,2,FALSE)))+1),(((D7264/100)*(C7264*VLOOKUP(B7264,'Poids des runes'!A:B,2,FALSE)))+1)/VLOOKUP(B7264,'Poids des runes'!A:B,2,FALSE))</f>
        <v>9.7928571428571427</v>
      </c>
      <c r="F7264">
        <f t="shared" si="113"/>
        <v>9.7928571428571427</v>
      </c>
    </row>
    <row r="7265" spans="1:6" x14ac:dyDescent="0.3">
      <c r="A7265" t="s">
        <v>1317</v>
      </c>
      <c r="B7265" t="s">
        <v>2135</v>
      </c>
      <c r="C7265">
        <v>8.5</v>
      </c>
      <c r="D7265">
        <v>193</v>
      </c>
      <c r="E7265">
        <f>IF(OR(B7265="vi",B7265="ii",B7265="pod"),(((D7265/100)*(C7265*VLOOKUP(B7265,'Poids des runes'!A:B,2,FALSE)))+1),(((D7265/100)*(C7265*VLOOKUP(B7265,'Poids des runes'!A:B,2,FALSE)))+1)/VLOOKUP(B7265,'Poids des runes'!A:B,2,FALSE))</f>
        <v>16.571666666666665</v>
      </c>
      <c r="F7265">
        <f t="shared" si="113"/>
        <v>16.571666666666665</v>
      </c>
    </row>
    <row r="7266" spans="1:6" x14ac:dyDescent="0.3">
      <c r="A7266" t="s">
        <v>1318</v>
      </c>
      <c r="B7266" t="s">
        <v>2130</v>
      </c>
      <c r="C7266">
        <v>50.5</v>
      </c>
      <c r="D7266">
        <v>193</v>
      </c>
      <c r="E7266">
        <f>IF(OR(B7266="vi",B7266="ii",B7266="pod"),(((D7266/100)*(C7266*VLOOKUP(B7266,'Poids des runes'!A:B,2,FALSE)))+1),(((D7266/100)*(C7266*VLOOKUP(B7266,'Poids des runes'!A:B,2,FALSE)))+1)/VLOOKUP(B7266,'Poids des runes'!A:B,2,FALSE))</f>
        <v>98.465000000000003</v>
      </c>
      <c r="F7266">
        <f t="shared" si="113"/>
        <v>98.465000000000003</v>
      </c>
    </row>
    <row r="7267" spans="1:6" x14ac:dyDescent="0.3">
      <c r="A7267" t="s">
        <v>1318</v>
      </c>
      <c r="B7267" t="s">
        <v>2127</v>
      </c>
      <c r="C7267">
        <v>50.5</v>
      </c>
      <c r="D7267">
        <v>193</v>
      </c>
      <c r="E7267">
        <f>IF(OR(B7267="vi",B7267="ii",B7267="pod"),(((D7267/100)*(C7267*VLOOKUP(B7267,'Poids des runes'!A:B,2,FALSE)))+1),(((D7267/100)*(C7267*VLOOKUP(B7267,'Poids des runes'!A:B,2,FALSE)))+1)/VLOOKUP(B7267,'Poids des runes'!A:B,2,FALSE))</f>
        <v>98.465000000000003</v>
      </c>
      <c r="F7267">
        <f t="shared" si="113"/>
        <v>98.465000000000003</v>
      </c>
    </row>
    <row r="7268" spans="1:6" x14ac:dyDescent="0.3">
      <c r="A7268" t="s">
        <v>1318</v>
      </c>
      <c r="B7268" t="s">
        <v>2129</v>
      </c>
      <c r="C7268">
        <v>35.5</v>
      </c>
      <c r="D7268">
        <v>193</v>
      </c>
      <c r="E7268">
        <f>IF(OR(B7268="vi",B7268="ii",B7268="pod"),(((D7268/100)*(C7268*VLOOKUP(B7268,'Poids des runes'!A:B,2,FALSE)))+1),(((D7268/100)*(C7268*VLOOKUP(B7268,'Poids des runes'!A:B,2,FALSE)))+1)/VLOOKUP(B7268,'Poids des runes'!A:B,2,FALSE))</f>
        <v>69.515000000000001</v>
      </c>
      <c r="F7268">
        <f t="shared" si="113"/>
        <v>69.515000000000001</v>
      </c>
    </row>
    <row r="7269" spans="1:6" x14ac:dyDescent="0.3">
      <c r="A7269" t="s">
        <v>1318</v>
      </c>
      <c r="B7269" t="s">
        <v>2151</v>
      </c>
      <c r="C7269">
        <v>3.5</v>
      </c>
      <c r="D7269">
        <v>193</v>
      </c>
      <c r="E7269">
        <f>IF(OR(B7269="vi",B7269="ii",B7269="pod"),(((D7269/100)*(C7269*VLOOKUP(B7269,'Poids des runes'!A:B,2,FALSE)))+1),(((D7269/100)*(C7269*VLOOKUP(B7269,'Poids des runes'!A:B,2,FALSE)))+1)/VLOOKUP(B7269,'Poids des runes'!A:B,2,FALSE))</f>
        <v>6.8549999999999995</v>
      </c>
      <c r="F7269">
        <f t="shared" si="113"/>
        <v>6.8549999999999995</v>
      </c>
    </row>
    <row r="7270" spans="1:6" x14ac:dyDescent="0.3">
      <c r="A7270" t="s">
        <v>1318</v>
      </c>
      <c r="B7270" t="s">
        <v>2154</v>
      </c>
      <c r="C7270">
        <v>1</v>
      </c>
      <c r="D7270">
        <v>193</v>
      </c>
      <c r="E7270">
        <f>IF(OR(B7270="vi",B7270="ii",B7270="pod"),(((D7270/100)*(C7270*VLOOKUP(B7270,'Poids des runes'!A:B,2,FALSE)))+1),(((D7270/100)*(C7270*VLOOKUP(B7270,'Poids des runes'!A:B,2,FALSE)))+1)/VLOOKUP(B7270,'Poids des runes'!A:B,2,FALSE))</f>
        <v>1.941111111111111</v>
      </c>
      <c r="F7270">
        <f t="shared" si="113"/>
        <v>1.941111111111111</v>
      </c>
    </row>
    <row r="7271" spans="1:6" x14ac:dyDescent="0.3">
      <c r="A7271" t="s">
        <v>1318</v>
      </c>
      <c r="B7271" t="s">
        <v>2143</v>
      </c>
      <c r="C7271">
        <v>13</v>
      </c>
      <c r="D7271">
        <v>193</v>
      </c>
      <c r="E7271">
        <f>IF(OR(B7271="vi",B7271="ii",B7271="pod"),(((D7271/100)*(C7271*VLOOKUP(B7271,'Poids des runes'!A:B,2,FALSE)))+1),(((D7271/100)*(C7271*VLOOKUP(B7271,'Poids des runes'!A:B,2,FALSE)))+1)/VLOOKUP(B7271,'Poids des runes'!A:B,2,FALSE))</f>
        <v>25.29</v>
      </c>
      <c r="F7271">
        <f t="shared" si="113"/>
        <v>25.29</v>
      </c>
    </row>
    <row r="7272" spans="1:6" x14ac:dyDescent="0.3">
      <c r="A7272" t="s">
        <v>1318</v>
      </c>
      <c r="B7272" t="s">
        <v>2153</v>
      </c>
      <c r="C7272">
        <v>13</v>
      </c>
      <c r="D7272">
        <v>193</v>
      </c>
      <c r="E7272">
        <f>IF(OR(B7272="vi",B7272="ii",B7272="pod"),(((D7272/100)*(C7272*VLOOKUP(B7272,'Poids des runes'!A:B,2,FALSE)))+1),(((D7272/100)*(C7272*VLOOKUP(B7272,'Poids des runes'!A:B,2,FALSE)))+1)/VLOOKUP(B7272,'Poids des runes'!A:B,2,FALSE))</f>
        <v>25.29</v>
      </c>
      <c r="F7272">
        <f t="shared" si="113"/>
        <v>25.29</v>
      </c>
    </row>
    <row r="7273" spans="1:6" x14ac:dyDescent="0.3">
      <c r="A7273" t="s">
        <v>1318</v>
      </c>
      <c r="B7273" t="s">
        <v>2161</v>
      </c>
      <c r="C7273">
        <v>15.5</v>
      </c>
      <c r="D7273">
        <v>193</v>
      </c>
      <c r="E7273">
        <f>IF(OR(B7273="vi",B7273="ii",B7273="pod"),(((D7273/100)*(C7273*VLOOKUP(B7273,'Poids des runes'!A:B,2,FALSE)))+1),(((D7273/100)*(C7273*VLOOKUP(B7273,'Poids des runes'!A:B,2,FALSE)))+1)/VLOOKUP(B7273,'Poids des runes'!A:B,2,FALSE))</f>
        <v>30.248333333333331</v>
      </c>
      <c r="F7273">
        <f t="shared" si="113"/>
        <v>30.248333333333331</v>
      </c>
    </row>
    <row r="7274" spans="1:6" x14ac:dyDescent="0.3">
      <c r="A7274" t="s">
        <v>1318</v>
      </c>
      <c r="B7274" t="s">
        <v>2138</v>
      </c>
      <c r="C7274">
        <v>4.5</v>
      </c>
      <c r="D7274">
        <v>193</v>
      </c>
      <c r="E7274">
        <f>IF(OR(B7274="vi",B7274="ii",B7274="pod"),(((D7274/100)*(C7274*VLOOKUP(B7274,'Poids des runes'!A:B,2,FALSE)))+1),(((D7274/100)*(C7274*VLOOKUP(B7274,'Poids des runes'!A:B,2,FALSE)))+1)/VLOOKUP(B7274,'Poids des runes'!A:B,2,FALSE))</f>
        <v>8.9350000000000005</v>
      </c>
      <c r="F7274">
        <f t="shared" si="113"/>
        <v>8.9350000000000005</v>
      </c>
    </row>
    <row r="7275" spans="1:6" x14ac:dyDescent="0.3">
      <c r="A7275" t="s">
        <v>1318</v>
      </c>
      <c r="B7275" t="s">
        <v>2142</v>
      </c>
      <c r="C7275">
        <v>8.5</v>
      </c>
      <c r="D7275">
        <v>193</v>
      </c>
      <c r="E7275">
        <f>IF(OR(B7275="vi",B7275="ii",B7275="pod"),(((D7275/100)*(C7275*VLOOKUP(B7275,'Poids des runes'!A:B,2,FALSE)))+1),(((D7275/100)*(C7275*VLOOKUP(B7275,'Poids des runes'!A:B,2,FALSE)))+1)/VLOOKUP(B7275,'Poids des runes'!A:B,2,FALSE))</f>
        <v>16.604999999999997</v>
      </c>
      <c r="F7275">
        <f t="shared" si="113"/>
        <v>16.604999999999997</v>
      </c>
    </row>
    <row r="7276" spans="1:6" x14ac:dyDescent="0.3">
      <c r="A7276" t="s">
        <v>1318</v>
      </c>
      <c r="B7276" t="s">
        <v>2156</v>
      </c>
      <c r="C7276">
        <v>6</v>
      </c>
      <c r="D7276">
        <v>193</v>
      </c>
      <c r="E7276">
        <f>IF(OR(B7276="vi",B7276="ii",B7276="pod"),(((D7276/100)*(C7276*VLOOKUP(B7276,'Poids des runes'!A:B,2,FALSE)))+1),(((D7276/100)*(C7276*VLOOKUP(B7276,'Poids des runes'!A:B,2,FALSE)))+1)/VLOOKUP(B7276,'Poids des runes'!A:B,2,FALSE))</f>
        <v>11.746666666666668</v>
      </c>
      <c r="F7276">
        <f t="shared" si="113"/>
        <v>11.746666666666668</v>
      </c>
    </row>
    <row r="7277" spans="1:6" x14ac:dyDescent="0.3">
      <c r="A7277" t="s">
        <v>1318</v>
      </c>
      <c r="B7277" t="s">
        <v>2148</v>
      </c>
      <c r="C7277">
        <v>6</v>
      </c>
      <c r="D7277">
        <v>193</v>
      </c>
      <c r="E7277">
        <f>IF(OR(B7277="vi",B7277="ii",B7277="pod"),(((D7277/100)*(C7277*VLOOKUP(B7277,'Poids des runes'!A:B,2,FALSE)))+1),(((D7277/100)*(C7277*VLOOKUP(B7277,'Poids des runes'!A:B,2,FALSE)))+1)/VLOOKUP(B7277,'Poids des runes'!A:B,2,FALSE))</f>
        <v>11.746666666666668</v>
      </c>
      <c r="F7277">
        <f t="shared" si="113"/>
        <v>11.746666666666668</v>
      </c>
    </row>
    <row r="7278" spans="1:6" x14ac:dyDescent="0.3">
      <c r="A7278" t="s">
        <v>1318</v>
      </c>
      <c r="B7278" t="s">
        <v>2157</v>
      </c>
      <c r="C7278">
        <v>6</v>
      </c>
      <c r="D7278">
        <v>193</v>
      </c>
      <c r="E7278">
        <f>IF(OR(B7278="vi",B7278="ii",B7278="pod"),(((D7278/100)*(C7278*VLOOKUP(B7278,'Poids des runes'!A:B,2,FALSE)))+1),(((D7278/100)*(C7278*VLOOKUP(B7278,'Poids des runes'!A:B,2,FALSE)))+1)/VLOOKUP(B7278,'Poids des runes'!A:B,2,FALSE))</f>
        <v>11.746666666666668</v>
      </c>
      <c r="F7278">
        <f t="shared" si="113"/>
        <v>11.746666666666668</v>
      </c>
    </row>
    <row r="7279" spans="1:6" x14ac:dyDescent="0.3">
      <c r="A7279" t="s">
        <v>1319</v>
      </c>
      <c r="B7279" t="s">
        <v>2128</v>
      </c>
      <c r="C7279">
        <v>275.5</v>
      </c>
      <c r="D7279">
        <v>193</v>
      </c>
      <c r="E7279">
        <f>IF(OR(B7279="vi",B7279="ii",B7279="pod"),(((D7279/100)*(C7279*VLOOKUP(B7279,'Poids des runes'!A:B,2,FALSE)))+1),(((D7279/100)*(C7279*VLOOKUP(B7279,'Poids des runes'!A:B,2,FALSE)))+1)/VLOOKUP(B7279,'Poids des runes'!A:B,2,FALSE))</f>
        <v>107.343</v>
      </c>
      <c r="F7279">
        <f t="shared" si="113"/>
        <v>107.343</v>
      </c>
    </row>
    <row r="7280" spans="1:6" x14ac:dyDescent="0.3">
      <c r="A7280" t="s">
        <v>1319</v>
      </c>
      <c r="B7280" t="s">
        <v>2130</v>
      </c>
      <c r="C7280">
        <v>50.5</v>
      </c>
      <c r="D7280">
        <v>193</v>
      </c>
      <c r="E7280">
        <f>IF(OR(B7280="vi",B7280="ii",B7280="pod"),(((D7280/100)*(C7280*VLOOKUP(B7280,'Poids des runes'!A:B,2,FALSE)))+1),(((D7280/100)*(C7280*VLOOKUP(B7280,'Poids des runes'!A:B,2,FALSE)))+1)/VLOOKUP(B7280,'Poids des runes'!A:B,2,FALSE))</f>
        <v>98.465000000000003</v>
      </c>
      <c r="F7280">
        <f t="shared" si="113"/>
        <v>98.465000000000003</v>
      </c>
    </row>
    <row r="7281" spans="1:6" x14ac:dyDescent="0.3">
      <c r="A7281" t="s">
        <v>1319</v>
      </c>
      <c r="B7281" t="s">
        <v>2131</v>
      </c>
      <c r="C7281">
        <v>50.5</v>
      </c>
      <c r="D7281">
        <v>193</v>
      </c>
      <c r="E7281">
        <f>IF(OR(B7281="vi",B7281="ii",B7281="pod"),(((D7281/100)*(C7281*VLOOKUP(B7281,'Poids des runes'!A:B,2,FALSE)))+1),(((D7281/100)*(C7281*VLOOKUP(B7281,'Poids des runes'!A:B,2,FALSE)))+1)/VLOOKUP(B7281,'Poids des runes'!A:B,2,FALSE))</f>
        <v>98.465000000000003</v>
      </c>
      <c r="F7281">
        <f t="shared" si="113"/>
        <v>98.465000000000003</v>
      </c>
    </row>
    <row r="7282" spans="1:6" x14ac:dyDescent="0.3">
      <c r="A7282" t="s">
        <v>1319</v>
      </c>
      <c r="B7282" t="s">
        <v>2127</v>
      </c>
      <c r="C7282">
        <v>50.5</v>
      </c>
      <c r="D7282">
        <v>193</v>
      </c>
      <c r="E7282">
        <f>IF(OR(B7282="vi",B7282="ii",B7282="pod"),(((D7282/100)*(C7282*VLOOKUP(B7282,'Poids des runes'!A:B,2,FALSE)))+1),(((D7282/100)*(C7282*VLOOKUP(B7282,'Poids des runes'!A:B,2,FALSE)))+1)/VLOOKUP(B7282,'Poids des runes'!A:B,2,FALSE))</f>
        <v>98.465000000000003</v>
      </c>
      <c r="F7282">
        <f t="shared" si="113"/>
        <v>98.465000000000003</v>
      </c>
    </row>
    <row r="7283" spans="1:6" x14ac:dyDescent="0.3">
      <c r="A7283" t="s">
        <v>1319</v>
      </c>
      <c r="B7283" t="s">
        <v>2129</v>
      </c>
      <c r="C7283">
        <v>35.5</v>
      </c>
      <c r="D7283">
        <v>193</v>
      </c>
      <c r="E7283">
        <f>IF(OR(B7283="vi",B7283="ii",B7283="pod"),(((D7283/100)*(C7283*VLOOKUP(B7283,'Poids des runes'!A:B,2,FALSE)))+1),(((D7283/100)*(C7283*VLOOKUP(B7283,'Poids des runes'!A:B,2,FALSE)))+1)/VLOOKUP(B7283,'Poids des runes'!A:B,2,FALSE))</f>
        <v>69.515000000000001</v>
      </c>
      <c r="F7283">
        <f t="shared" si="113"/>
        <v>69.515000000000001</v>
      </c>
    </row>
    <row r="7284" spans="1:6" x14ac:dyDescent="0.3">
      <c r="A7284" t="s">
        <v>1319</v>
      </c>
      <c r="B7284" t="s">
        <v>2151</v>
      </c>
      <c r="C7284">
        <v>2.5</v>
      </c>
      <c r="D7284">
        <v>193</v>
      </c>
      <c r="E7284">
        <f>IF(OR(B7284="vi",B7284="ii",B7284="pod"),(((D7284/100)*(C7284*VLOOKUP(B7284,'Poids des runes'!A:B,2,FALSE)))+1),(((D7284/100)*(C7284*VLOOKUP(B7284,'Poids des runes'!A:B,2,FALSE)))+1)/VLOOKUP(B7284,'Poids des runes'!A:B,2,FALSE))</f>
        <v>4.9249999999999998</v>
      </c>
      <c r="F7284">
        <f t="shared" si="113"/>
        <v>4.9249999999999998</v>
      </c>
    </row>
    <row r="7285" spans="1:6" x14ac:dyDescent="0.3">
      <c r="A7285" t="s">
        <v>1319</v>
      </c>
      <c r="B7285" t="s">
        <v>2155</v>
      </c>
      <c r="C7285">
        <v>1</v>
      </c>
      <c r="D7285">
        <v>193</v>
      </c>
      <c r="E7285">
        <f>IF(OR(B7285="vi",B7285="ii",B7285="pod"),(((D7285/100)*(C7285*VLOOKUP(B7285,'Poids des runes'!A:B,2,FALSE)))+1),(((D7285/100)*(C7285*VLOOKUP(B7285,'Poids des runes'!A:B,2,FALSE)))+1)/VLOOKUP(B7285,'Poids des runes'!A:B,2,FALSE))</f>
        <v>1.9496078431372548</v>
      </c>
      <c r="F7285">
        <f t="shared" si="113"/>
        <v>1.9496078431372548</v>
      </c>
    </row>
    <row r="7286" spans="1:6" x14ac:dyDescent="0.3">
      <c r="A7286" t="s">
        <v>1319</v>
      </c>
      <c r="B7286" t="s">
        <v>2143</v>
      </c>
      <c r="C7286">
        <v>7</v>
      </c>
      <c r="D7286">
        <v>193</v>
      </c>
      <c r="E7286">
        <f>IF(OR(B7286="vi",B7286="ii",B7286="pod"),(((D7286/100)*(C7286*VLOOKUP(B7286,'Poids des runes'!A:B,2,FALSE)))+1),(((D7286/100)*(C7286*VLOOKUP(B7286,'Poids des runes'!A:B,2,FALSE)))+1)/VLOOKUP(B7286,'Poids des runes'!A:B,2,FALSE))</f>
        <v>13.709999999999999</v>
      </c>
      <c r="F7286">
        <f t="shared" si="113"/>
        <v>13.709999999999999</v>
      </c>
    </row>
    <row r="7287" spans="1:6" x14ac:dyDescent="0.3">
      <c r="A7287" t="s">
        <v>1319</v>
      </c>
      <c r="B7287" t="s">
        <v>2133</v>
      </c>
      <c r="C7287">
        <v>7</v>
      </c>
      <c r="D7287">
        <v>193</v>
      </c>
      <c r="E7287">
        <f>IF(OR(B7287="vi",B7287="ii",B7287="pod"),(((D7287/100)*(C7287*VLOOKUP(B7287,'Poids des runes'!A:B,2,FALSE)))+1),(((D7287/100)*(C7287*VLOOKUP(B7287,'Poids des runes'!A:B,2,FALSE)))+1)/VLOOKUP(B7287,'Poids des runes'!A:B,2,FALSE))</f>
        <v>13.709999999999999</v>
      </c>
      <c r="F7287">
        <f t="shared" si="113"/>
        <v>13.709999999999999</v>
      </c>
    </row>
    <row r="7288" spans="1:6" x14ac:dyDescent="0.3">
      <c r="A7288" t="s">
        <v>1319</v>
      </c>
      <c r="B7288" t="s">
        <v>2153</v>
      </c>
      <c r="C7288">
        <v>7</v>
      </c>
      <c r="D7288">
        <v>193</v>
      </c>
      <c r="E7288">
        <f>IF(OR(B7288="vi",B7288="ii",B7288="pod"),(((D7288/100)*(C7288*VLOOKUP(B7288,'Poids des runes'!A:B,2,FALSE)))+1),(((D7288/100)*(C7288*VLOOKUP(B7288,'Poids des runes'!A:B,2,FALSE)))+1)/VLOOKUP(B7288,'Poids des runes'!A:B,2,FALSE))</f>
        <v>13.709999999999999</v>
      </c>
      <c r="F7288">
        <f t="shared" si="113"/>
        <v>13.709999999999999</v>
      </c>
    </row>
    <row r="7289" spans="1:6" x14ac:dyDescent="0.3">
      <c r="A7289" t="s">
        <v>1319</v>
      </c>
      <c r="B7289" t="s">
        <v>2161</v>
      </c>
      <c r="C7289">
        <v>18</v>
      </c>
      <c r="D7289">
        <v>193</v>
      </c>
      <c r="E7289">
        <f>IF(OR(B7289="vi",B7289="ii",B7289="pod"),(((D7289/100)*(C7289*VLOOKUP(B7289,'Poids des runes'!A:B,2,FALSE)))+1),(((D7289/100)*(C7289*VLOOKUP(B7289,'Poids des runes'!A:B,2,FALSE)))+1)/VLOOKUP(B7289,'Poids des runes'!A:B,2,FALSE))</f>
        <v>35.073333333333331</v>
      </c>
      <c r="F7289">
        <f t="shared" si="113"/>
        <v>35.073333333333331</v>
      </c>
    </row>
    <row r="7290" spans="1:6" x14ac:dyDescent="0.3">
      <c r="A7290" t="s">
        <v>1319</v>
      </c>
      <c r="B7290" t="s">
        <v>2163</v>
      </c>
      <c r="C7290">
        <v>8.5</v>
      </c>
      <c r="D7290">
        <v>193</v>
      </c>
      <c r="E7290">
        <f>IF(OR(B7290="vi",B7290="ii",B7290="pod"),(((D7290/100)*(C7290*VLOOKUP(B7290,'Poids des runes'!A:B,2,FALSE)))+1),(((D7290/100)*(C7290*VLOOKUP(B7290,'Poids des runes'!A:B,2,FALSE)))+1)/VLOOKUP(B7290,'Poids des runes'!A:B,2,FALSE))</f>
        <v>16.905000000000001</v>
      </c>
      <c r="F7290">
        <f t="shared" si="113"/>
        <v>16.905000000000001</v>
      </c>
    </row>
    <row r="7291" spans="1:6" x14ac:dyDescent="0.3">
      <c r="A7291" t="s">
        <v>1319</v>
      </c>
      <c r="B7291" t="s">
        <v>2147</v>
      </c>
      <c r="C7291">
        <v>5</v>
      </c>
      <c r="D7291">
        <v>193</v>
      </c>
      <c r="E7291">
        <f>IF(OR(B7291="vi",B7291="ii",B7291="pod"),(((D7291/100)*(C7291*VLOOKUP(B7291,'Poids des runes'!A:B,2,FALSE)))+1),(((D7291/100)*(C7291*VLOOKUP(B7291,'Poids des runes'!A:B,2,FALSE)))+1)/VLOOKUP(B7291,'Poids des runes'!A:B,2,FALSE))</f>
        <v>9.8166666666666664</v>
      </c>
      <c r="F7291">
        <f t="shared" si="113"/>
        <v>9.8166666666666664</v>
      </c>
    </row>
    <row r="7292" spans="1:6" x14ac:dyDescent="0.3">
      <c r="A7292" t="s">
        <v>1319</v>
      </c>
      <c r="B7292" t="s">
        <v>2144</v>
      </c>
      <c r="C7292">
        <v>10</v>
      </c>
      <c r="D7292">
        <v>193</v>
      </c>
      <c r="E7292">
        <f>IF(OR(B7292="vi",B7292="ii",B7292="pod"),(((D7292/100)*(C7292*VLOOKUP(B7292,'Poids des runes'!A:B,2,FALSE)))+1),(((D7292/100)*(C7292*VLOOKUP(B7292,'Poids des runes'!A:B,2,FALSE)))+1)/VLOOKUP(B7292,'Poids des runes'!A:B,2,FALSE))</f>
        <v>19.8</v>
      </c>
      <c r="F7292">
        <f t="shared" si="113"/>
        <v>19.8</v>
      </c>
    </row>
    <row r="7293" spans="1:6" x14ac:dyDescent="0.3">
      <c r="A7293" t="s">
        <v>1320</v>
      </c>
      <c r="B7293" t="s">
        <v>2128</v>
      </c>
      <c r="C7293">
        <v>325.5</v>
      </c>
      <c r="D7293">
        <v>193</v>
      </c>
      <c r="E7293">
        <f>IF(OR(B7293="vi",B7293="ii",B7293="pod"),(((D7293/100)*(C7293*VLOOKUP(B7293,'Poids des runes'!A:B,2,FALSE)))+1),(((D7293/100)*(C7293*VLOOKUP(B7293,'Poids des runes'!A:B,2,FALSE)))+1)/VLOOKUP(B7293,'Poids des runes'!A:B,2,FALSE))</f>
        <v>126.64300000000001</v>
      </c>
      <c r="F7293">
        <f t="shared" si="113"/>
        <v>126.64300000000001</v>
      </c>
    </row>
    <row r="7294" spans="1:6" x14ac:dyDescent="0.3">
      <c r="A7294" t="s">
        <v>1320</v>
      </c>
      <c r="B7294" t="s">
        <v>2126</v>
      </c>
      <c r="C7294">
        <v>50.5</v>
      </c>
      <c r="D7294">
        <v>193</v>
      </c>
      <c r="E7294">
        <f>IF(OR(B7294="vi",B7294="ii",B7294="pod"),(((D7294/100)*(C7294*VLOOKUP(B7294,'Poids des runes'!A:B,2,FALSE)))+1),(((D7294/100)*(C7294*VLOOKUP(B7294,'Poids des runes'!A:B,2,FALSE)))+1)/VLOOKUP(B7294,'Poids des runes'!A:B,2,FALSE))</f>
        <v>98.465000000000003</v>
      </c>
      <c r="F7294">
        <f t="shared" si="113"/>
        <v>98.465000000000003</v>
      </c>
    </row>
    <row r="7295" spans="1:6" x14ac:dyDescent="0.3">
      <c r="A7295" t="s">
        <v>1320</v>
      </c>
      <c r="B7295" t="s">
        <v>2131</v>
      </c>
      <c r="C7295">
        <v>50.5</v>
      </c>
      <c r="D7295">
        <v>193</v>
      </c>
      <c r="E7295">
        <f>IF(OR(B7295="vi",B7295="ii",B7295="pod"),(((D7295/100)*(C7295*VLOOKUP(B7295,'Poids des runes'!A:B,2,FALSE)))+1),(((D7295/100)*(C7295*VLOOKUP(B7295,'Poids des runes'!A:B,2,FALSE)))+1)/VLOOKUP(B7295,'Poids des runes'!A:B,2,FALSE))</f>
        <v>98.465000000000003</v>
      </c>
      <c r="F7295">
        <f t="shared" si="113"/>
        <v>98.465000000000003</v>
      </c>
    </row>
    <row r="7296" spans="1:6" x14ac:dyDescent="0.3">
      <c r="A7296" t="s">
        <v>1320</v>
      </c>
      <c r="B7296" t="s">
        <v>2129</v>
      </c>
      <c r="C7296">
        <v>30.5</v>
      </c>
      <c r="D7296">
        <v>193</v>
      </c>
      <c r="E7296">
        <f>IF(OR(B7296="vi",B7296="ii",B7296="pod"),(((D7296/100)*(C7296*VLOOKUP(B7296,'Poids des runes'!A:B,2,FALSE)))+1),(((D7296/100)*(C7296*VLOOKUP(B7296,'Poids des runes'!A:B,2,FALSE)))+1)/VLOOKUP(B7296,'Poids des runes'!A:B,2,FALSE))</f>
        <v>59.864999999999995</v>
      </c>
      <c r="F7296">
        <f t="shared" si="113"/>
        <v>59.864999999999995</v>
      </c>
    </row>
    <row r="7297" spans="1:6" x14ac:dyDescent="0.3">
      <c r="A7297" t="s">
        <v>1320</v>
      </c>
      <c r="B7297" t="s">
        <v>2152</v>
      </c>
      <c r="C7297">
        <v>1</v>
      </c>
      <c r="D7297">
        <v>193</v>
      </c>
      <c r="E7297">
        <f>IF(OR(B7297="vi",B7297="ii",B7297="pod"),(((D7297/100)*(C7297*VLOOKUP(B7297,'Poids des runes'!A:B,2,FALSE)))+1),(((D7297/100)*(C7297*VLOOKUP(B7297,'Poids des runes'!A:B,2,FALSE)))+1)/VLOOKUP(B7297,'Poids des runes'!A:B,2,FALSE))</f>
        <v>1.94</v>
      </c>
      <c r="F7297">
        <f t="shared" si="113"/>
        <v>1.94</v>
      </c>
    </row>
    <row r="7298" spans="1:6" x14ac:dyDescent="0.3">
      <c r="A7298" t="s">
        <v>1320</v>
      </c>
      <c r="B7298" t="s">
        <v>2150</v>
      </c>
      <c r="C7298">
        <v>1</v>
      </c>
      <c r="D7298">
        <v>193</v>
      </c>
      <c r="E7298">
        <f>IF(OR(B7298="vi",B7298="ii",B7298="pod"),(((D7298/100)*(C7298*VLOOKUP(B7298,'Poids des runes'!A:B,2,FALSE)))+1),(((D7298/100)*(C7298*VLOOKUP(B7298,'Poids des runes'!A:B,2,FALSE)))+1)/VLOOKUP(B7298,'Poids des runes'!A:B,2,FALSE))</f>
        <v>1.9633333333333334</v>
      </c>
      <c r="F7298">
        <f t="shared" si="113"/>
        <v>1.9633333333333334</v>
      </c>
    </row>
    <row r="7299" spans="1:6" x14ac:dyDescent="0.3">
      <c r="A7299" t="s">
        <v>1320</v>
      </c>
      <c r="B7299" t="s">
        <v>2140</v>
      </c>
      <c r="C7299">
        <v>10.5</v>
      </c>
      <c r="D7299">
        <v>193</v>
      </c>
      <c r="E7299">
        <f>IF(OR(B7299="vi",B7299="ii",B7299="pod"),(((D7299/100)*(C7299*VLOOKUP(B7299,'Poids des runes'!A:B,2,FALSE)))+1),(((D7299/100)*(C7299*VLOOKUP(B7299,'Poids des runes'!A:B,2,FALSE)))+1)/VLOOKUP(B7299,'Poids des runes'!A:B,2,FALSE))</f>
        <v>20.465</v>
      </c>
      <c r="F7299">
        <f t="shared" ref="F7299:F7362" si="114">E7299</f>
        <v>20.465</v>
      </c>
    </row>
    <row r="7300" spans="1:6" x14ac:dyDescent="0.3">
      <c r="A7300" t="s">
        <v>1320</v>
      </c>
      <c r="B7300" t="s">
        <v>2133</v>
      </c>
      <c r="C7300">
        <v>10.5</v>
      </c>
      <c r="D7300">
        <v>193</v>
      </c>
      <c r="E7300">
        <f>IF(OR(B7300="vi",B7300="ii",B7300="pod"),(((D7300/100)*(C7300*VLOOKUP(B7300,'Poids des runes'!A:B,2,FALSE)))+1),(((D7300/100)*(C7300*VLOOKUP(B7300,'Poids des runes'!A:B,2,FALSE)))+1)/VLOOKUP(B7300,'Poids des runes'!A:B,2,FALSE))</f>
        <v>20.465</v>
      </c>
      <c r="F7300">
        <f t="shared" si="114"/>
        <v>20.465</v>
      </c>
    </row>
    <row r="7301" spans="1:6" x14ac:dyDescent="0.3">
      <c r="A7301" t="s">
        <v>1320</v>
      </c>
      <c r="B7301" t="s">
        <v>2149</v>
      </c>
      <c r="C7301">
        <v>13</v>
      </c>
      <c r="D7301">
        <v>193</v>
      </c>
      <c r="E7301">
        <f>IF(OR(B7301="vi",B7301="ii",B7301="pod"),(((D7301/100)*(C7301*VLOOKUP(B7301,'Poids des runes'!A:B,2,FALSE)))+1),(((D7301/100)*(C7301*VLOOKUP(B7301,'Poids des runes'!A:B,2,FALSE)))+1)/VLOOKUP(B7301,'Poids des runes'!A:B,2,FALSE))</f>
        <v>25.19</v>
      </c>
      <c r="F7301">
        <f t="shared" si="114"/>
        <v>25.19</v>
      </c>
    </row>
    <row r="7302" spans="1:6" x14ac:dyDescent="0.3">
      <c r="A7302" t="s">
        <v>1320</v>
      </c>
      <c r="B7302" t="s">
        <v>2161</v>
      </c>
      <c r="C7302">
        <v>10</v>
      </c>
      <c r="D7302">
        <v>193</v>
      </c>
      <c r="E7302">
        <f>IF(OR(B7302="vi",B7302="ii",B7302="pod"),(((D7302/100)*(C7302*VLOOKUP(B7302,'Poids des runes'!A:B,2,FALSE)))+1),(((D7302/100)*(C7302*VLOOKUP(B7302,'Poids des runes'!A:B,2,FALSE)))+1)/VLOOKUP(B7302,'Poids des runes'!A:B,2,FALSE))</f>
        <v>19.633333333333333</v>
      </c>
      <c r="F7302">
        <f t="shared" si="114"/>
        <v>19.633333333333333</v>
      </c>
    </row>
    <row r="7303" spans="1:6" x14ac:dyDescent="0.3">
      <c r="A7303" t="s">
        <v>1320</v>
      </c>
      <c r="B7303" t="s">
        <v>2141</v>
      </c>
      <c r="C7303">
        <v>5</v>
      </c>
      <c r="D7303">
        <v>193</v>
      </c>
      <c r="E7303">
        <f>IF(OR(B7303="vi",B7303="ii",B7303="pod"),(((D7303/100)*(C7303*VLOOKUP(B7303,'Poids des runes'!A:B,2,FALSE)))+1),(((D7303/100)*(C7303*VLOOKUP(B7303,'Poids des runes'!A:B,2,FALSE)))+1)/VLOOKUP(B7303,'Poids des runes'!A:B,2,FALSE))</f>
        <v>9.9</v>
      </c>
      <c r="F7303">
        <f t="shared" si="114"/>
        <v>9.9</v>
      </c>
    </row>
    <row r="7304" spans="1:6" x14ac:dyDescent="0.3">
      <c r="A7304" t="s">
        <v>1320</v>
      </c>
      <c r="B7304" t="s">
        <v>2148</v>
      </c>
      <c r="C7304">
        <v>5</v>
      </c>
      <c r="D7304">
        <v>193</v>
      </c>
      <c r="E7304">
        <f>IF(OR(B7304="vi",B7304="ii",B7304="pod"),(((D7304/100)*(C7304*VLOOKUP(B7304,'Poids des runes'!A:B,2,FALSE)))+1),(((D7304/100)*(C7304*VLOOKUP(B7304,'Poids des runes'!A:B,2,FALSE)))+1)/VLOOKUP(B7304,'Poids des runes'!A:B,2,FALSE))</f>
        <v>9.8166666666666664</v>
      </c>
      <c r="F7304">
        <f t="shared" si="114"/>
        <v>9.8166666666666664</v>
      </c>
    </row>
    <row r="7305" spans="1:6" x14ac:dyDescent="0.3">
      <c r="A7305" t="s">
        <v>1320</v>
      </c>
      <c r="B7305" t="s">
        <v>2147</v>
      </c>
      <c r="C7305">
        <v>2.5</v>
      </c>
      <c r="D7305">
        <v>193</v>
      </c>
      <c r="E7305">
        <f>IF(OR(B7305="vi",B7305="ii",B7305="pod"),(((D7305/100)*(C7305*VLOOKUP(B7305,'Poids des runes'!A:B,2,FALSE)))+1),(((D7305/100)*(C7305*VLOOKUP(B7305,'Poids des runes'!A:B,2,FALSE)))+1)/VLOOKUP(B7305,'Poids des runes'!A:B,2,FALSE))</f>
        <v>4.9916666666666663</v>
      </c>
      <c r="F7305">
        <f t="shared" si="114"/>
        <v>4.9916666666666663</v>
      </c>
    </row>
    <row r="7306" spans="1:6" x14ac:dyDescent="0.3">
      <c r="A7306" t="s">
        <v>1320</v>
      </c>
      <c r="B7306" t="s">
        <v>2136</v>
      </c>
      <c r="C7306">
        <v>13</v>
      </c>
      <c r="D7306">
        <v>193</v>
      </c>
      <c r="E7306">
        <f>IF(OR(B7306="vi",B7306="ii",B7306="pod"),(((D7306/100)*(C7306*VLOOKUP(B7306,'Poids des runes'!A:B,2,FALSE)))+1),(((D7306/100)*(C7306*VLOOKUP(B7306,'Poids des runes'!A:B,2,FALSE)))+1)/VLOOKUP(B7306,'Poids des runes'!A:B,2,FALSE))</f>
        <v>25.59</v>
      </c>
      <c r="F7306">
        <f t="shared" si="114"/>
        <v>25.59</v>
      </c>
    </row>
    <row r="7307" spans="1:6" x14ac:dyDescent="0.3">
      <c r="A7307" t="s">
        <v>1320</v>
      </c>
      <c r="B7307" t="s">
        <v>2146</v>
      </c>
      <c r="C7307">
        <v>13</v>
      </c>
      <c r="D7307">
        <v>193</v>
      </c>
      <c r="E7307">
        <f>IF(OR(B7307="vi",B7307="ii",B7307="pod"),(((D7307/100)*(C7307*VLOOKUP(B7307,'Poids des runes'!A:B,2,FALSE)))+1),(((D7307/100)*(C7307*VLOOKUP(B7307,'Poids des runes'!A:B,2,FALSE)))+1)/VLOOKUP(B7307,'Poids des runes'!A:B,2,FALSE))</f>
        <v>25.59</v>
      </c>
      <c r="F7307">
        <f t="shared" si="114"/>
        <v>25.59</v>
      </c>
    </row>
    <row r="7308" spans="1:6" x14ac:dyDescent="0.3">
      <c r="A7308" t="s">
        <v>1321</v>
      </c>
      <c r="B7308" t="s">
        <v>2128</v>
      </c>
      <c r="C7308">
        <v>225.5</v>
      </c>
      <c r="D7308">
        <v>193</v>
      </c>
      <c r="E7308">
        <f>IF(OR(B7308="vi",B7308="ii",B7308="pod"),(((D7308/100)*(C7308*VLOOKUP(B7308,'Poids des runes'!A:B,2,FALSE)))+1),(((D7308/100)*(C7308*VLOOKUP(B7308,'Poids des runes'!A:B,2,FALSE)))+1)/VLOOKUP(B7308,'Poids des runes'!A:B,2,FALSE))</f>
        <v>88.043000000000006</v>
      </c>
      <c r="F7308">
        <f t="shared" si="114"/>
        <v>88.043000000000006</v>
      </c>
    </row>
    <row r="7309" spans="1:6" x14ac:dyDescent="0.3">
      <c r="A7309" t="s">
        <v>1321</v>
      </c>
      <c r="B7309" t="s">
        <v>2130</v>
      </c>
      <c r="C7309">
        <v>25.5</v>
      </c>
      <c r="D7309">
        <v>193</v>
      </c>
      <c r="E7309">
        <f>IF(OR(B7309="vi",B7309="ii",B7309="pod"),(((D7309/100)*(C7309*VLOOKUP(B7309,'Poids des runes'!A:B,2,FALSE)))+1),(((D7309/100)*(C7309*VLOOKUP(B7309,'Poids des runes'!A:B,2,FALSE)))+1)/VLOOKUP(B7309,'Poids des runes'!A:B,2,FALSE))</f>
        <v>50.214999999999996</v>
      </c>
      <c r="F7309">
        <f t="shared" si="114"/>
        <v>50.214999999999996</v>
      </c>
    </row>
    <row r="7310" spans="1:6" x14ac:dyDescent="0.3">
      <c r="A7310" t="s">
        <v>1321</v>
      </c>
      <c r="B7310" t="s">
        <v>2126</v>
      </c>
      <c r="C7310">
        <v>25.5</v>
      </c>
      <c r="D7310">
        <v>193</v>
      </c>
      <c r="E7310">
        <f>IF(OR(B7310="vi",B7310="ii",B7310="pod"),(((D7310/100)*(C7310*VLOOKUP(B7310,'Poids des runes'!A:B,2,FALSE)))+1),(((D7310/100)*(C7310*VLOOKUP(B7310,'Poids des runes'!A:B,2,FALSE)))+1)/VLOOKUP(B7310,'Poids des runes'!A:B,2,FALSE))</f>
        <v>50.214999999999996</v>
      </c>
      <c r="F7310">
        <f t="shared" si="114"/>
        <v>50.214999999999996</v>
      </c>
    </row>
    <row r="7311" spans="1:6" x14ac:dyDescent="0.3">
      <c r="A7311" t="s">
        <v>1321</v>
      </c>
      <c r="B7311" t="s">
        <v>2131</v>
      </c>
      <c r="C7311">
        <v>25.5</v>
      </c>
      <c r="D7311">
        <v>193</v>
      </c>
      <c r="E7311">
        <f>IF(OR(B7311="vi",B7311="ii",B7311="pod"),(((D7311/100)*(C7311*VLOOKUP(B7311,'Poids des runes'!A:B,2,FALSE)))+1),(((D7311/100)*(C7311*VLOOKUP(B7311,'Poids des runes'!A:B,2,FALSE)))+1)/VLOOKUP(B7311,'Poids des runes'!A:B,2,FALSE))</f>
        <v>50.214999999999996</v>
      </c>
      <c r="F7311">
        <f t="shared" si="114"/>
        <v>50.214999999999996</v>
      </c>
    </row>
    <row r="7312" spans="1:6" x14ac:dyDescent="0.3">
      <c r="A7312" t="s">
        <v>1321</v>
      </c>
      <c r="B7312" t="s">
        <v>2129</v>
      </c>
      <c r="C7312">
        <v>40.5</v>
      </c>
      <c r="D7312">
        <v>193</v>
      </c>
      <c r="E7312">
        <f>IF(OR(B7312="vi",B7312="ii",B7312="pod"),(((D7312/100)*(C7312*VLOOKUP(B7312,'Poids des runes'!A:B,2,FALSE)))+1),(((D7312/100)*(C7312*VLOOKUP(B7312,'Poids des runes'!A:B,2,FALSE)))+1)/VLOOKUP(B7312,'Poids des runes'!A:B,2,FALSE))</f>
        <v>79.164999999999992</v>
      </c>
      <c r="F7312">
        <f t="shared" si="114"/>
        <v>79.164999999999992</v>
      </c>
    </row>
    <row r="7313" spans="1:6" x14ac:dyDescent="0.3">
      <c r="A7313" t="s">
        <v>1321</v>
      </c>
      <c r="B7313" t="s">
        <v>2151</v>
      </c>
      <c r="C7313">
        <v>1.5</v>
      </c>
      <c r="D7313">
        <v>193</v>
      </c>
      <c r="E7313">
        <f>IF(OR(B7313="vi",B7313="ii",B7313="pod"),(((D7313/100)*(C7313*VLOOKUP(B7313,'Poids des runes'!A:B,2,FALSE)))+1),(((D7313/100)*(C7313*VLOOKUP(B7313,'Poids des runes'!A:B,2,FALSE)))+1)/VLOOKUP(B7313,'Poids des runes'!A:B,2,FALSE))</f>
        <v>2.9950000000000001</v>
      </c>
      <c r="F7313">
        <f t="shared" si="114"/>
        <v>2.9950000000000001</v>
      </c>
    </row>
    <row r="7314" spans="1:6" x14ac:dyDescent="0.3">
      <c r="A7314" t="s">
        <v>1321</v>
      </c>
      <c r="B7314" t="s">
        <v>2152</v>
      </c>
      <c r="C7314">
        <v>1</v>
      </c>
      <c r="D7314">
        <v>193</v>
      </c>
      <c r="E7314">
        <f>IF(OR(B7314="vi",B7314="ii",B7314="pod"),(((D7314/100)*(C7314*VLOOKUP(B7314,'Poids des runes'!A:B,2,FALSE)))+1),(((D7314/100)*(C7314*VLOOKUP(B7314,'Poids des runes'!A:B,2,FALSE)))+1)/VLOOKUP(B7314,'Poids des runes'!A:B,2,FALSE))</f>
        <v>1.94</v>
      </c>
      <c r="F7314">
        <f t="shared" si="114"/>
        <v>1.94</v>
      </c>
    </row>
    <row r="7315" spans="1:6" x14ac:dyDescent="0.3">
      <c r="A7315" t="s">
        <v>1321</v>
      </c>
      <c r="B7315" t="s">
        <v>2150</v>
      </c>
      <c r="C7315">
        <v>1</v>
      </c>
      <c r="D7315">
        <v>193</v>
      </c>
      <c r="E7315">
        <f>IF(OR(B7315="vi",B7315="ii",B7315="pod"),(((D7315/100)*(C7315*VLOOKUP(B7315,'Poids des runes'!A:B,2,FALSE)))+1),(((D7315/100)*(C7315*VLOOKUP(B7315,'Poids des runes'!A:B,2,FALSE)))+1)/VLOOKUP(B7315,'Poids des runes'!A:B,2,FALSE))</f>
        <v>1.9633333333333334</v>
      </c>
      <c r="F7315">
        <f t="shared" si="114"/>
        <v>1.9633333333333334</v>
      </c>
    </row>
    <row r="7316" spans="1:6" x14ac:dyDescent="0.3">
      <c r="A7316" t="s">
        <v>1321</v>
      </c>
      <c r="B7316" t="s">
        <v>2143</v>
      </c>
      <c r="C7316">
        <v>8.5</v>
      </c>
      <c r="D7316">
        <v>193</v>
      </c>
      <c r="E7316">
        <f>IF(OR(B7316="vi",B7316="ii",B7316="pod"),(((D7316/100)*(C7316*VLOOKUP(B7316,'Poids des runes'!A:B,2,FALSE)))+1),(((D7316/100)*(C7316*VLOOKUP(B7316,'Poids des runes'!A:B,2,FALSE)))+1)/VLOOKUP(B7316,'Poids des runes'!A:B,2,FALSE))</f>
        <v>16.604999999999997</v>
      </c>
      <c r="F7316">
        <f t="shared" si="114"/>
        <v>16.604999999999997</v>
      </c>
    </row>
    <row r="7317" spans="1:6" x14ac:dyDescent="0.3">
      <c r="A7317" t="s">
        <v>1321</v>
      </c>
      <c r="B7317" t="s">
        <v>2140</v>
      </c>
      <c r="C7317">
        <v>8.5</v>
      </c>
      <c r="D7317">
        <v>193</v>
      </c>
      <c r="E7317">
        <f>IF(OR(B7317="vi",B7317="ii",B7317="pod"),(((D7317/100)*(C7317*VLOOKUP(B7317,'Poids des runes'!A:B,2,FALSE)))+1),(((D7317/100)*(C7317*VLOOKUP(B7317,'Poids des runes'!A:B,2,FALSE)))+1)/VLOOKUP(B7317,'Poids des runes'!A:B,2,FALSE))</f>
        <v>16.604999999999997</v>
      </c>
      <c r="F7317">
        <f t="shared" si="114"/>
        <v>16.604999999999997</v>
      </c>
    </row>
    <row r="7318" spans="1:6" x14ac:dyDescent="0.3">
      <c r="A7318" t="s">
        <v>1321</v>
      </c>
      <c r="B7318" t="s">
        <v>2133</v>
      </c>
      <c r="C7318">
        <v>8.5</v>
      </c>
      <c r="D7318">
        <v>193</v>
      </c>
      <c r="E7318">
        <f>IF(OR(B7318="vi",B7318="ii",B7318="pod"),(((D7318/100)*(C7318*VLOOKUP(B7318,'Poids des runes'!A:B,2,FALSE)))+1),(((D7318/100)*(C7318*VLOOKUP(B7318,'Poids des runes'!A:B,2,FALSE)))+1)/VLOOKUP(B7318,'Poids des runes'!A:B,2,FALSE))</f>
        <v>16.604999999999997</v>
      </c>
      <c r="F7318">
        <f t="shared" si="114"/>
        <v>16.604999999999997</v>
      </c>
    </row>
    <row r="7319" spans="1:6" x14ac:dyDescent="0.3">
      <c r="A7319" t="s">
        <v>1321</v>
      </c>
      <c r="B7319" t="s">
        <v>2149</v>
      </c>
      <c r="C7319">
        <v>8.5</v>
      </c>
      <c r="D7319">
        <v>193</v>
      </c>
      <c r="E7319">
        <f>IF(OR(B7319="vi",B7319="ii",B7319="pod"),(((D7319/100)*(C7319*VLOOKUP(B7319,'Poids des runes'!A:B,2,FALSE)))+1),(((D7319/100)*(C7319*VLOOKUP(B7319,'Poids des runes'!A:B,2,FALSE)))+1)/VLOOKUP(B7319,'Poids des runes'!A:B,2,FALSE))</f>
        <v>16.504999999999999</v>
      </c>
      <c r="F7319">
        <f t="shared" si="114"/>
        <v>16.504999999999999</v>
      </c>
    </row>
    <row r="7320" spans="1:6" x14ac:dyDescent="0.3">
      <c r="A7320" t="s">
        <v>1321</v>
      </c>
      <c r="B7320" t="s">
        <v>2161</v>
      </c>
      <c r="C7320">
        <v>13</v>
      </c>
      <c r="D7320">
        <v>193</v>
      </c>
      <c r="E7320">
        <f>IF(OR(B7320="vi",B7320="ii",B7320="pod"),(((D7320/100)*(C7320*VLOOKUP(B7320,'Poids des runes'!A:B,2,FALSE)))+1),(((D7320/100)*(C7320*VLOOKUP(B7320,'Poids des runes'!A:B,2,FALSE)))+1)/VLOOKUP(B7320,'Poids des runes'!A:B,2,FALSE))</f>
        <v>25.423333333333332</v>
      </c>
      <c r="F7320">
        <f t="shared" si="114"/>
        <v>25.423333333333332</v>
      </c>
    </row>
    <row r="7321" spans="1:6" x14ac:dyDescent="0.3">
      <c r="A7321" t="s">
        <v>1321</v>
      </c>
      <c r="B7321" t="s">
        <v>2159</v>
      </c>
      <c r="C7321">
        <v>4.5</v>
      </c>
      <c r="D7321">
        <v>193</v>
      </c>
      <c r="E7321">
        <f>IF(OR(B7321="vi",B7321="ii",B7321="pod"),(((D7321/100)*(C7321*VLOOKUP(B7321,'Poids des runes'!A:B,2,FALSE)))+1),(((D7321/100)*(C7321*VLOOKUP(B7321,'Poids des runes'!A:B,2,FALSE)))+1)/VLOOKUP(B7321,'Poids des runes'!A:B,2,FALSE))</f>
        <v>8.8278571428571428</v>
      </c>
      <c r="F7321">
        <f t="shared" si="114"/>
        <v>8.8278571428571428</v>
      </c>
    </row>
    <row r="7322" spans="1:6" x14ac:dyDescent="0.3">
      <c r="A7322" t="s">
        <v>1321</v>
      </c>
      <c r="B7322" t="s">
        <v>2136</v>
      </c>
      <c r="C7322">
        <v>13</v>
      </c>
      <c r="D7322">
        <v>193</v>
      </c>
      <c r="E7322">
        <f>IF(OR(B7322="vi",B7322="ii",B7322="pod"),(((D7322/100)*(C7322*VLOOKUP(B7322,'Poids des runes'!A:B,2,FALSE)))+1),(((D7322/100)*(C7322*VLOOKUP(B7322,'Poids des runes'!A:B,2,FALSE)))+1)/VLOOKUP(B7322,'Poids des runes'!A:B,2,FALSE))</f>
        <v>25.59</v>
      </c>
      <c r="F7322">
        <f t="shared" si="114"/>
        <v>25.59</v>
      </c>
    </row>
    <row r="7323" spans="1:6" x14ac:dyDescent="0.3">
      <c r="A7323" t="s">
        <v>1321</v>
      </c>
      <c r="B7323" t="s">
        <v>2137</v>
      </c>
      <c r="C7323">
        <v>13</v>
      </c>
      <c r="D7323">
        <v>193</v>
      </c>
      <c r="E7323">
        <f>IF(OR(B7323="vi",B7323="ii",B7323="pod"),(((D7323/100)*(C7323*VLOOKUP(B7323,'Poids des runes'!A:B,2,FALSE)))+1),(((D7323/100)*(C7323*VLOOKUP(B7323,'Poids des runes'!A:B,2,FALSE)))+1)/VLOOKUP(B7323,'Poids des runes'!A:B,2,FALSE))</f>
        <v>25.59</v>
      </c>
      <c r="F7323">
        <f t="shared" si="114"/>
        <v>25.59</v>
      </c>
    </row>
    <row r="7324" spans="1:6" x14ac:dyDescent="0.3">
      <c r="A7324" t="s">
        <v>1322</v>
      </c>
      <c r="B7324" t="s">
        <v>2128</v>
      </c>
      <c r="C7324">
        <v>275.5</v>
      </c>
      <c r="D7324">
        <v>193</v>
      </c>
      <c r="E7324">
        <f>IF(OR(B7324="vi",B7324="ii",B7324="pod"),(((D7324/100)*(C7324*VLOOKUP(B7324,'Poids des runes'!A:B,2,FALSE)))+1),(((D7324/100)*(C7324*VLOOKUP(B7324,'Poids des runes'!A:B,2,FALSE)))+1)/VLOOKUP(B7324,'Poids des runes'!A:B,2,FALSE))</f>
        <v>107.343</v>
      </c>
      <c r="F7324">
        <f t="shared" si="114"/>
        <v>107.343</v>
      </c>
    </row>
    <row r="7325" spans="1:6" x14ac:dyDescent="0.3">
      <c r="A7325" t="s">
        <v>1322</v>
      </c>
      <c r="B7325" t="s">
        <v>2130</v>
      </c>
      <c r="C7325">
        <v>40.5</v>
      </c>
      <c r="D7325">
        <v>193</v>
      </c>
      <c r="E7325">
        <f>IF(OR(B7325="vi",B7325="ii",B7325="pod"),(((D7325/100)*(C7325*VLOOKUP(B7325,'Poids des runes'!A:B,2,FALSE)))+1),(((D7325/100)*(C7325*VLOOKUP(B7325,'Poids des runes'!A:B,2,FALSE)))+1)/VLOOKUP(B7325,'Poids des runes'!A:B,2,FALSE))</f>
        <v>79.164999999999992</v>
      </c>
      <c r="F7325">
        <f t="shared" si="114"/>
        <v>79.164999999999992</v>
      </c>
    </row>
    <row r="7326" spans="1:6" x14ac:dyDescent="0.3">
      <c r="A7326" t="s">
        <v>1322</v>
      </c>
      <c r="B7326" t="s">
        <v>2126</v>
      </c>
      <c r="C7326">
        <v>40.5</v>
      </c>
      <c r="D7326">
        <v>193</v>
      </c>
      <c r="E7326">
        <f>IF(OR(B7326="vi",B7326="ii",B7326="pod"),(((D7326/100)*(C7326*VLOOKUP(B7326,'Poids des runes'!A:B,2,FALSE)))+1),(((D7326/100)*(C7326*VLOOKUP(B7326,'Poids des runes'!A:B,2,FALSE)))+1)/VLOOKUP(B7326,'Poids des runes'!A:B,2,FALSE))</f>
        <v>79.164999999999992</v>
      </c>
      <c r="F7326">
        <f t="shared" si="114"/>
        <v>79.164999999999992</v>
      </c>
    </row>
    <row r="7327" spans="1:6" x14ac:dyDescent="0.3">
      <c r="A7327" t="s">
        <v>1322</v>
      </c>
      <c r="B7327" t="s">
        <v>2129</v>
      </c>
      <c r="C7327">
        <v>40.5</v>
      </c>
      <c r="D7327">
        <v>193</v>
      </c>
      <c r="E7327">
        <f>IF(OR(B7327="vi",B7327="ii",B7327="pod"),(((D7327/100)*(C7327*VLOOKUP(B7327,'Poids des runes'!A:B,2,FALSE)))+1),(((D7327/100)*(C7327*VLOOKUP(B7327,'Poids des runes'!A:B,2,FALSE)))+1)/VLOOKUP(B7327,'Poids des runes'!A:B,2,FALSE))</f>
        <v>79.164999999999992</v>
      </c>
      <c r="F7327">
        <f t="shared" si="114"/>
        <v>79.164999999999992</v>
      </c>
    </row>
    <row r="7328" spans="1:6" x14ac:dyDescent="0.3">
      <c r="A7328" t="s">
        <v>1322</v>
      </c>
      <c r="B7328" t="s">
        <v>2151</v>
      </c>
      <c r="C7328">
        <v>2.5</v>
      </c>
      <c r="D7328">
        <v>193</v>
      </c>
      <c r="E7328">
        <f>IF(OR(B7328="vi",B7328="ii",B7328="pod"),(((D7328/100)*(C7328*VLOOKUP(B7328,'Poids des runes'!A:B,2,FALSE)))+1),(((D7328/100)*(C7328*VLOOKUP(B7328,'Poids des runes'!A:B,2,FALSE)))+1)/VLOOKUP(B7328,'Poids des runes'!A:B,2,FALSE))</f>
        <v>4.9249999999999998</v>
      </c>
      <c r="F7328">
        <f t="shared" si="114"/>
        <v>4.9249999999999998</v>
      </c>
    </row>
    <row r="7329" spans="1:6" x14ac:dyDescent="0.3">
      <c r="A7329" t="s">
        <v>1322</v>
      </c>
      <c r="B7329" t="s">
        <v>2155</v>
      </c>
      <c r="C7329">
        <v>1</v>
      </c>
      <c r="D7329">
        <v>193</v>
      </c>
      <c r="E7329">
        <f>IF(OR(B7329="vi",B7329="ii",B7329="pod"),(((D7329/100)*(C7329*VLOOKUP(B7329,'Poids des runes'!A:B,2,FALSE)))+1),(((D7329/100)*(C7329*VLOOKUP(B7329,'Poids des runes'!A:B,2,FALSE)))+1)/VLOOKUP(B7329,'Poids des runes'!A:B,2,FALSE))</f>
        <v>1.9496078431372548</v>
      </c>
      <c r="F7329">
        <f t="shared" si="114"/>
        <v>1.9496078431372548</v>
      </c>
    </row>
    <row r="7330" spans="1:6" x14ac:dyDescent="0.3">
      <c r="A7330" t="s">
        <v>1322</v>
      </c>
      <c r="B7330" t="s">
        <v>2143</v>
      </c>
      <c r="C7330">
        <v>13</v>
      </c>
      <c r="D7330">
        <v>193</v>
      </c>
      <c r="E7330">
        <f>IF(OR(B7330="vi",B7330="ii",B7330="pod"),(((D7330/100)*(C7330*VLOOKUP(B7330,'Poids des runes'!A:B,2,FALSE)))+1),(((D7330/100)*(C7330*VLOOKUP(B7330,'Poids des runes'!A:B,2,FALSE)))+1)/VLOOKUP(B7330,'Poids des runes'!A:B,2,FALSE))</f>
        <v>25.29</v>
      </c>
      <c r="F7330">
        <f t="shared" si="114"/>
        <v>25.29</v>
      </c>
    </row>
    <row r="7331" spans="1:6" x14ac:dyDescent="0.3">
      <c r="A7331" t="s">
        <v>1322</v>
      </c>
      <c r="B7331" t="s">
        <v>2140</v>
      </c>
      <c r="C7331">
        <v>13</v>
      </c>
      <c r="D7331">
        <v>193</v>
      </c>
      <c r="E7331">
        <f>IF(OR(B7331="vi",B7331="ii",B7331="pod"),(((D7331/100)*(C7331*VLOOKUP(B7331,'Poids des runes'!A:B,2,FALSE)))+1),(((D7331/100)*(C7331*VLOOKUP(B7331,'Poids des runes'!A:B,2,FALSE)))+1)/VLOOKUP(B7331,'Poids des runes'!A:B,2,FALSE))</f>
        <v>25.29</v>
      </c>
      <c r="F7331">
        <f t="shared" si="114"/>
        <v>25.29</v>
      </c>
    </row>
    <row r="7332" spans="1:6" x14ac:dyDescent="0.3">
      <c r="A7332" t="s">
        <v>1322</v>
      </c>
      <c r="B7332" t="s">
        <v>2161</v>
      </c>
      <c r="C7332">
        <v>18</v>
      </c>
      <c r="D7332">
        <v>193</v>
      </c>
      <c r="E7332">
        <f>IF(OR(B7332="vi",B7332="ii",B7332="pod"),(((D7332/100)*(C7332*VLOOKUP(B7332,'Poids des runes'!A:B,2,FALSE)))+1),(((D7332/100)*(C7332*VLOOKUP(B7332,'Poids des runes'!A:B,2,FALSE)))+1)/VLOOKUP(B7332,'Poids des runes'!A:B,2,FALSE))</f>
        <v>35.073333333333331</v>
      </c>
      <c r="F7332">
        <f t="shared" si="114"/>
        <v>35.073333333333331</v>
      </c>
    </row>
    <row r="7333" spans="1:6" x14ac:dyDescent="0.3">
      <c r="A7333" t="s">
        <v>1322</v>
      </c>
      <c r="B7333" t="s">
        <v>2141</v>
      </c>
      <c r="C7333">
        <v>8.5</v>
      </c>
      <c r="D7333">
        <v>193</v>
      </c>
      <c r="E7333">
        <f>IF(OR(B7333="vi",B7333="ii",B7333="pod"),(((D7333/100)*(C7333*VLOOKUP(B7333,'Poids des runes'!A:B,2,FALSE)))+1),(((D7333/100)*(C7333*VLOOKUP(B7333,'Poids des runes'!A:B,2,FALSE)))+1)/VLOOKUP(B7333,'Poids des runes'!A:B,2,FALSE))</f>
        <v>16.655000000000001</v>
      </c>
      <c r="F7333">
        <f t="shared" si="114"/>
        <v>16.655000000000001</v>
      </c>
    </row>
    <row r="7334" spans="1:6" x14ac:dyDescent="0.3">
      <c r="A7334" t="s">
        <v>1322</v>
      </c>
      <c r="B7334" t="s">
        <v>2148</v>
      </c>
      <c r="C7334">
        <v>7</v>
      </c>
      <c r="D7334">
        <v>193</v>
      </c>
      <c r="E7334">
        <f>IF(OR(B7334="vi",B7334="ii",B7334="pod"),(((D7334/100)*(C7334*VLOOKUP(B7334,'Poids des runes'!A:B,2,FALSE)))+1),(((D7334/100)*(C7334*VLOOKUP(B7334,'Poids des runes'!A:B,2,FALSE)))+1)/VLOOKUP(B7334,'Poids des runes'!A:B,2,FALSE))</f>
        <v>13.676666666666668</v>
      </c>
      <c r="F7334">
        <f t="shared" si="114"/>
        <v>13.676666666666668</v>
      </c>
    </row>
    <row r="7335" spans="1:6" x14ac:dyDescent="0.3">
      <c r="A7335" t="s">
        <v>1322</v>
      </c>
      <c r="B7335" t="s">
        <v>2136</v>
      </c>
      <c r="C7335">
        <v>7</v>
      </c>
      <c r="D7335">
        <v>193</v>
      </c>
      <c r="E7335">
        <f>IF(OR(B7335="vi",B7335="ii",B7335="pod"),(((D7335/100)*(C7335*VLOOKUP(B7335,'Poids des runes'!A:B,2,FALSE)))+1),(((D7335/100)*(C7335*VLOOKUP(B7335,'Poids des runes'!A:B,2,FALSE)))+1)/VLOOKUP(B7335,'Poids des runes'!A:B,2,FALSE))</f>
        <v>14.01</v>
      </c>
      <c r="F7335">
        <f t="shared" si="114"/>
        <v>14.01</v>
      </c>
    </row>
    <row r="7336" spans="1:6" x14ac:dyDescent="0.3">
      <c r="A7336" t="s">
        <v>1322</v>
      </c>
      <c r="B7336" t="s">
        <v>2145</v>
      </c>
      <c r="C7336">
        <v>7</v>
      </c>
      <c r="D7336">
        <v>193</v>
      </c>
      <c r="E7336">
        <f>IF(OR(B7336="vi",B7336="ii",B7336="pod"),(((D7336/100)*(C7336*VLOOKUP(B7336,'Poids des runes'!A:B,2,FALSE)))+1),(((D7336/100)*(C7336*VLOOKUP(B7336,'Poids des runes'!A:B,2,FALSE)))+1)/VLOOKUP(B7336,'Poids des runes'!A:B,2,FALSE))</f>
        <v>14.01</v>
      </c>
      <c r="F7336">
        <f t="shared" si="114"/>
        <v>14.01</v>
      </c>
    </row>
    <row r="7337" spans="1:6" x14ac:dyDescent="0.3">
      <c r="A7337" t="s">
        <v>1323</v>
      </c>
      <c r="B7337" t="s">
        <v>2128</v>
      </c>
      <c r="C7337">
        <v>175.5</v>
      </c>
      <c r="D7337">
        <v>193</v>
      </c>
      <c r="E7337">
        <f>IF(OR(B7337="vi",B7337="ii",B7337="pod"),(((D7337/100)*(C7337*VLOOKUP(B7337,'Poids des runes'!A:B,2,FALSE)))+1),(((D7337/100)*(C7337*VLOOKUP(B7337,'Poids des runes'!A:B,2,FALSE)))+1)/VLOOKUP(B7337,'Poids des runes'!A:B,2,FALSE))</f>
        <v>68.742999999999995</v>
      </c>
      <c r="F7337">
        <f t="shared" si="114"/>
        <v>68.742999999999995</v>
      </c>
    </row>
    <row r="7338" spans="1:6" x14ac:dyDescent="0.3">
      <c r="A7338" t="s">
        <v>1323</v>
      </c>
      <c r="B7338" t="s">
        <v>2126</v>
      </c>
      <c r="C7338">
        <v>35.5</v>
      </c>
      <c r="D7338">
        <v>193</v>
      </c>
      <c r="E7338">
        <f>IF(OR(B7338="vi",B7338="ii",B7338="pod"),(((D7338/100)*(C7338*VLOOKUP(B7338,'Poids des runes'!A:B,2,FALSE)))+1),(((D7338/100)*(C7338*VLOOKUP(B7338,'Poids des runes'!A:B,2,FALSE)))+1)/VLOOKUP(B7338,'Poids des runes'!A:B,2,FALSE))</f>
        <v>69.515000000000001</v>
      </c>
      <c r="F7338">
        <f t="shared" si="114"/>
        <v>69.515000000000001</v>
      </c>
    </row>
    <row r="7339" spans="1:6" x14ac:dyDescent="0.3">
      <c r="A7339" t="s">
        <v>1323</v>
      </c>
      <c r="B7339" t="s">
        <v>2127</v>
      </c>
      <c r="C7339">
        <v>35.5</v>
      </c>
      <c r="D7339">
        <v>193</v>
      </c>
      <c r="E7339">
        <f>IF(OR(B7339="vi",B7339="ii",B7339="pod"),(((D7339/100)*(C7339*VLOOKUP(B7339,'Poids des runes'!A:B,2,FALSE)))+1),(((D7339/100)*(C7339*VLOOKUP(B7339,'Poids des runes'!A:B,2,FALSE)))+1)/VLOOKUP(B7339,'Poids des runes'!A:B,2,FALSE))</f>
        <v>69.515000000000001</v>
      </c>
      <c r="F7339">
        <f t="shared" si="114"/>
        <v>69.515000000000001</v>
      </c>
    </row>
    <row r="7340" spans="1:6" x14ac:dyDescent="0.3">
      <c r="A7340" t="s">
        <v>1323</v>
      </c>
      <c r="B7340" t="s">
        <v>2129</v>
      </c>
      <c r="C7340">
        <v>20.5</v>
      </c>
      <c r="D7340">
        <v>193</v>
      </c>
      <c r="E7340">
        <f>IF(OR(B7340="vi",B7340="ii",B7340="pod"),(((D7340/100)*(C7340*VLOOKUP(B7340,'Poids des runes'!A:B,2,FALSE)))+1),(((D7340/100)*(C7340*VLOOKUP(B7340,'Poids des runes'!A:B,2,FALSE)))+1)/VLOOKUP(B7340,'Poids des runes'!A:B,2,FALSE))</f>
        <v>40.564999999999998</v>
      </c>
      <c r="F7340">
        <f t="shared" si="114"/>
        <v>40.564999999999998</v>
      </c>
    </row>
    <row r="7341" spans="1:6" x14ac:dyDescent="0.3">
      <c r="A7341" t="s">
        <v>1323</v>
      </c>
      <c r="B7341" t="s">
        <v>2139</v>
      </c>
      <c r="C7341">
        <v>13</v>
      </c>
      <c r="D7341">
        <v>193</v>
      </c>
      <c r="E7341">
        <f>IF(OR(B7341="vi",B7341="ii",B7341="pod"),(((D7341/100)*(C7341*VLOOKUP(B7341,'Poids des runes'!A:B,2,FALSE)))+1),(((D7341/100)*(C7341*VLOOKUP(B7341,'Poids des runes'!A:B,2,FALSE)))+1)/VLOOKUP(B7341,'Poids des runes'!A:B,2,FALSE))</f>
        <v>25.59</v>
      </c>
      <c r="F7341">
        <f t="shared" si="114"/>
        <v>25.59</v>
      </c>
    </row>
    <row r="7342" spans="1:6" x14ac:dyDescent="0.3">
      <c r="A7342" t="s">
        <v>1323</v>
      </c>
      <c r="B7342" t="s">
        <v>2151</v>
      </c>
      <c r="C7342">
        <v>2.5</v>
      </c>
      <c r="D7342">
        <v>193</v>
      </c>
      <c r="E7342">
        <f>IF(OR(B7342="vi",B7342="ii",B7342="pod"),(((D7342/100)*(C7342*VLOOKUP(B7342,'Poids des runes'!A:B,2,FALSE)))+1),(((D7342/100)*(C7342*VLOOKUP(B7342,'Poids des runes'!A:B,2,FALSE)))+1)/VLOOKUP(B7342,'Poids des runes'!A:B,2,FALSE))</f>
        <v>4.9249999999999998</v>
      </c>
      <c r="F7342">
        <f t="shared" si="114"/>
        <v>4.9249999999999998</v>
      </c>
    </row>
    <row r="7343" spans="1:6" x14ac:dyDescent="0.3">
      <c r="A7343" t="s">
        <v>1323</v>
      </c>
      <c r="B7343" t="s">
        <v>2155</v>
      </c>
      <c r="C7343">
        <v>1</v>
      </c>
      <c r="D7343">
        <v>193</v>
      </c>
      <c r="E7343">
        <f>IF(OR(B7343="vi",B7343="ii",B7343="pod"),(((D7343/100)*(C7343*VLOOKUP(B7343,'Poids des runes'!A:B,2,FALSE)))+1),(((D7343/100)*(C7343*VLOOKUP(B7343,'Poids des runes'!A:B,2,FALSE)))+1)/VLOOKUP(B7343,'Poids des runes'!A:B,2,FALSE))</f>
        <v>1.9496078431372548</v>
      </c>
      <c r="F7343">
        <f t="shared" si="114"/>
        <v>1.9496078431372548</v>
      </c>
    </row>
    <row r="7344" spans="1:6" x14ac:dyDescent="0.3">
      <c r="A7344" t="s">
        <v>1323</v>
      </c>
      <c r="B7344" t="s">
        <v>2149</v>
      </c>
      <c r="C7344">
        <v>18</v>
      </c>
      <c r="D7344">
        <v>193</v>
      </c>
      <c r="E7344">
        <f>IF(OR(B7344="vi",B7344="ii",B7344="pod"),(((D7344/100)*(C7344*VLOOKUP(B7344,'Poids des runes'!A:B,2,FALSE)))+1),(((D7344/100)*(C7344*VLOOKUP(B7344,'Poids des runes'!A:B,2,FALSE)))+1)/VLOOKUP(B7344,'Poids des runes'!A:B,2,FALSE))</f>
        <v>34.839999999999996</v>
      </c>
      <c r="F7344">
        <f t="shared" si="114"/>
        <v>34.839999999999996</v>
      </c>
    </row>
    <row r="7345" spans="1:6" x14ac:dyDescent="0.3">
      <c r="A7345" t="s">
        <v>1323</v>
      </c>
      <c r="B7345" t="s">
        <v>2161</v>
      </c>
      <c r="C7345">
        <v>8</v>
      </c>
      <c r="D7345">
        <v>193</v>
      </c>
      <c r="E7345">
        <f>IF(OR(B7345="vi",B7345="ii",B7345="pod"),(((D7345/100)*(C7345*VLOOKUP(B7345,'Poids des runes'!A:B,2,FALSE)))+1),(((D7345/100)*(C7345*VLOOKUP(B7345,'Poids des runes'!A:B,2,FALSE)))+1)/VLOOKUP(B7345,'Poids des runes'!A:B,2,FALSE))</f>
        <v>15.773333333333333</v>
      </c>
      <c r="F7345">
        <f t="shared" si="114"/>
        <v>15.773333333333333</v>
      </c>
    </row>
    <row r="7346" spans="1:6" x14ac:dyDescent="0.3">
      <c r="A7346" t="s">
        <v>1323</v>
      </c>
      <c r="B7346" t="s">
        <v>2141</v>
      </c>
      <c r="C7346">
        <v>4</v>
      </c>
      <c r="D7346">
        <v>193</v>
      </c>
      <c r="E7346">
        <f>IF(OR(B7346="vi",B7346="ii",B7346="pod"),(((D7346/100)*(C7346*VLOOKUP(B7346,'Poids des runes'!A:B,2,FALSE)))+1),(((D7346/100)*(C7346*VLOOKUP(B7346,'Poids des runes'!A:B,2,FALSE)))+1)/VLOOKUP(B7346,'Poids des runes'!A:B,2,FALSE))</f>
        <v>7.97</v>
      </c>
      <c r="F7346">
        <f t="shared" si="114"/>
        <v>7.97</v>
      </c>
    </row>
    <row r="7347" spans="1:6" x14ac:dyDescent="0.3">
      <c r="A7347" t="s">
        <v>1323</v>
      </c>
      <c r="B7347" t="s">
        <v>2148</v>
      </c>
      <c r="C7347">
        <v>3.5</v>
      </c>
      <c r="D7347">
        <v>193</v>
      </c>
      <c r="E7347">
        <f>IF(OR(B7347="vi",B7347="ii",B7347="pod"),(((D7347/100)*(C7347*VLOOKUP(B7347,'Poids des runes'!A:B,2,FALSE)))+1),(((D7347/100)*(C7347*VLOOKUP(B7347,'Poids des runes'!A:B,2,FALSE)))+1)/VLOOKUP(B7347,'Poids des runes'!A:B,2,FALSE))</f>
        <v>6.9216666666666669</v>
      </c>
      <c r="F7347">
        <f t="shared" si="114"/>
        <v>6.9216666666666669</v>
      </c>
    </row>
    <row r="7348" spans="1:6" x14ac:dyDescent="0.3">
      <c r="A7348" t="s">
        <v>1323</v>
      </c>
      <c r="B7348" t="s">
        <v>2147</v>
      </c>
      <c r="C7348">
        <v>3.5</v>
      </c>
      <c r="D7348">
        <v>193</v>
      </c>
      <c r="E7348">
        <f>IF(OR(B7348="vi",B7348="ii",B7348="pod"),(((D7348/100)*(C7348*VLOOKUP(B7348,'Poids des runes'!A:B,2,FALSE)))+1),(((D7348/100)*(C7348*VLOOKUP(B7348,'Poids des runes'!A:B,2,FALSE)))+1)/VLOOKUP(B7348,'Poids des runes'!A:B,2,FALSE))</f>
        <v>6.9216666666666669</v>
      </c>
      <c r="F7348">
        <f t="shared" si="114"/>
        <v>6.9216666666666669</v>
      </c>
    </row>
    <row r="7349" spans="1:6" x14ac:dyDescent="0.3">
      <c r="A7349" t="s">
        <v>1323</v>
      </c>
      <c r="B7349" t="s">
        <v>2137</v>
      </c>
      <c r="C7349">
        <v>6.5</v>
      </c>
      <c r="D7349">
        <v>193</v>
      </c>
      <c r="E7349">
        <f>IF(OR(B7349="vi",B7349="ii",B7349="pod"),(((D7349/100)*(C7349*VLOOKUP(B7349,'Poids des runes'!A:B,2,FALSE)))+1),(((D7349/100)*(C7349*VLOOKUP(B7349,'Poids des runes'!A:B,2,FALSE)))+1)/VLOOKUP(B7349,'Poids des runes'!A:B,2,FALSE))</f>
        <v>13.045</v>
      </c>
      <c r="F7349">
        <f t="shared" si="114"/>
        <v>13.045</v>
      </c>
    </row>
    <row r="7350" spans="1:6" x14ac:dyDescent="0.3">
      <c r="A7350" t="s">
        <v>1324</v>
      </c>
      <c r="B7350" t="s">
        <v>2128</v>
      </c>
      <c r="C7350">
        <v>275.5</v>
      </c>
      <c r="D7350">
        <v>193</v>
      </c>
      <c r="E7350">
        <f>IF(OR(B7350="vi",B7350="ii",B7350="pod"),(((D7350/100)*(C7350*VLOOKUP(B7350,'Poids des runes'!A:B,2,FALSE)))+1),(((D7350/100)*(C7350*VLOOKUP(B7350,'Poids des runes'!A:B,2,FALSE)))+1)/VLOOKUP(B7350,'Poids des runes'!A:B,2,FALSE))</f>
        <v>107.343</v>
      </c>
      <c r="F7350">
        <f t="shared" si="114"/>
        <v>107.343</v>
      </c>
    </row>
    <row r="7351" spans="1:6" x14ac:dyDescent="0.3">
      <c r="A7351" t="s">
        <v>1324</v>
      </c>
      <c r="B7351" t="s">
        <v>2126</v>
      </c>
      <c r="C7351">
        <v>40.5</v>
      </c>
      <c r="D7351">
        <v>193</v>
      </c>
      <c r="E7351">
        <f>IF(OR(B7351="vi",B7351="ii",B7351="pod"),(((D7351/100)*(C7351*VLOOKUP(B7351,'Poids des runes'!A:B,2,FALSE)))+1),(((D7351/100)*(C7351*VLOOKUP(B7351,'Poids des runes'!A:B,2,FALSE)))+1)/VLOOKUP(B7351,'Poids des runes'!A:B,2,FALSE))</f>
        <v>79.164999999999992</v>
      </c>
      <c r="F7351">
        <f t="shared" si="114"/>
        <v>79.164999999999992</v>
      </c>
    </row>
    <row r="7352" spans="1:6" x14ac:dyDescent="0.3">
      <c r="A7352" t="s">
        <v>1324</v>
      </c>
      <c r="B7352" t="s">
        <v>2127</v>
      </c>
      <c r="C7352">
        <v>40.5</v>
      </c>
      <c r="D7352">
        <v>193</v>
      </c>
      <c r="E7352">
        <f>IF(OR(B7352="vi",B7352="ii",B7352="pod"),(((D7352/100)*(C7352*VLOOKUP(B7352,'Poids des runes'!A:B,2,FALSE)))+1),(((D7352/100)*(C7352*VLOOKUP(B7352,'Poids des runes'!A:B,2,FALSE)))+1)/VLOOKUP(B7352,'Poids des runes'!A:B,2,FALSE))</f>
        <v>79.164999999999992</v>
      </c>
      <c r="F7352">
        <f t="shared" si="114"/>
        <v>79.164999999999992</v>
      </c>
    </row>
    <row r="7353" spans="1:6" x14ac:dyDescent="0.3">
      <c r="A7353" t="s">
        <v>1324</v>
      </c>
      <c r="B7353" t="s">
        <v>2129</v>
      </c>
      <c r="C7353">
        <v>35.5</v>
      </c>
      <c r="D7353">
        <v>193</v>
      </c>
      <c r="E7353">
        <f>IF(OR(B7353="vi",B7353="ii",B7353="pod"),(((D7353/100)*(C7353*VLOOKUP(B7353,'Poids des runes'!A:B,2,FALSE)))+1),(((D7353/100)*(C7353*VLOOKUP(B7353,'Poids des runes'!A:B,2,FALSE)))+1)/VLOOKUP(B7353,'Poids des runes'!A:B,2,FALSE))</f>
        <v>69.515000000000001</v>
      </c>
      <c r="F7353">
        <f t="shared" si="114"/>
        <v>69.515000000000001</v>
      </c>
    </row>
    <row r="7354" spans="1:6" x14ac:dyDescent="0.3">
      <c r="A7354" t="s">
        <v>1324</v>
      </c>
      <c r="B7354" t="s">
        <v>2151</v>
      </c>
      <c r="C7354">
        <v>3.5</v>
      </c>
      <c r="D7354">
        <v>193</v>
      </c>
      <c r="E7354">
        <f>IF(OR(B7354="vi",B7354="ii",B7354="pod"),(((D7354/100)*(C7354*VLOOKUP(B7354,'Poids des runes'!A:B,2,FALSE)))+1),(((D7354/100)*(C7354*VLOOKUP(B7354,'Poids des runes'!A:B,2,FALSE)))+1)/VLOOKUP(B7354,'Poids des runes'!A:B,2,FALSE))</f>
        <v>6.8549999999999995</v>
      </c>
      <c r="F7354">
        <f t="shared" si="114"/>
        <v>6.8549999999999995</v>
      </c>
    </row>
    <row r="7355" spans="1:6" x14ac:dyDescent="0.3">
      <c r="A7355" t="s">
        <v>1324</v>
      </c>
      <c r="B7355" t="s">
        <v>2140</v>
      </c>
      <c r="C7355">
        <v>10.5</v>
      </c>
      <c r="D7355">
        <v>193</v>
      </c>
      <c r="E7355">
        <f>IF(OR(B7355="vi",B7355="ii",B7355="pod"),(((D7355/100)*(C7355*VLOOKUP(B7355,'Poids des runes'!A:B,2,FALSE)))+1),(((D7355/100)*(C7355*VLOOKUP(B7355,'Poids des runes'!A:B,2,FALSE)))+1)/VLOOKUP(B7355,'Poids des runes'!A:B,2,FALSE))</f>
        <v>20.465</v>
      </c>
      <c r="F7355">
        <f t="shared" si="114"/>
        <v>20.465</v>
      </c>
    </row>
    <row r="7356" spans="1:6" x14ac:dyDescent="0.3">
      <c r="A7356" t="s">
        <v>1324</v>
      </c>
      <c r="B7356" t="s">
        <v>2153</v>
      </c>
      <c r="C7356">
        <v>10.5</v>
      </c>
      <c r="D7356">
        <v>193</v>
      </c>
      <c r="E7356">
        <f>IF(OR(B7356="vi",B7356="ii",B7356="pod"),(((D7356/100)*(C7356*VLOOKUP(B7356,'Poids des runes'!A:B,2,FALSE)))+1),(((D7356/100)*(C7356*VLOOKUP(B7356,'Poids des runes'!A:B,2,FALSE)))+1)/VLOOKUP(B7356,'Poids des runes'!A:B,2,FALSE))</f>
        <v>20.465</v>
      </c>
      <c r="F7356">
        <f t="shared" si="114"/>
        <v>20.465</v>
      </c>
    </row>
    <row r="7357" spans="1:6" x14ac:dyDescent="0.3">
      <c r="A7357" t="s">
        <v>1324</v>
      </c>
      <c r="B7357" t="s">
        <v>2149</v>
      </c>
      <c r="C7357">
        <v>13</v>
      </c>
      <c r="D7357">
        <v>193</v>
      </c>
      <c r="E7357">
        <f>IF(OR(B7357="vi",B7357="ii",B7357="pod"),(((D7357/100)*(C7357*VLOOKUP(B7357,'Poids des runes'!A:B,2,FALSE)))+1),(((D7357/100)*(C7357*VLOOKUP(B7357,'Poids des runes'!A:B,2,FALSE)))+1)/VLOOKUP(B7357,'Poids des runes'!A:B,2,FALSE))</f>
        <v>25.19</v>
      </c>
      <c r="F7357">
        <f t="shared" si="114"/>
        <v>25.19</v>
      </c>
    </row>
    <row r="7358" spans="1:6" x14ac:dyDescent="0.3">
      <c r="A7358" t="s">
        <v>1324</v>
      </c>
      <c r="B7358" t="s">
        <v>2161</v>
      </c>
      <c r="C7358">
        <v>8</v>
      </c>
      <c r="D7358">
        <v>193</v>
      </c>
      <c r="E7358">
        <f>IF(OR(B7358="vi",B7358="ii",B7358="pod"),(((D7358/100)*(C7358*VLOOKUP(B7358,'Poids des runes'!A:B,2,FALSE)))+1),(((D7358/100)*(C7358*VLOOKUP(B7358,'Poids des runes'!A:B,2,FALSE)))+1)/VLOOKUP(B7358,'Poids des runes'!A:B,2,FALSE))</f>
        <v>15.773333333333333</v>
      </c>
      <c r="F7358">
        <f t="shared" si="114"/>
        <v>15.773333333333333</v>
      </c>
    </row>
    <row r="7359" spans="1:6" x14ac:dyDescent="0.3">
      <c r="A7359" t="s">
        <v>1324</v>
      </c>
      <c r="B7359" t="s">
        <v>2141</v>
      </c>
      <c r="C7359">
        <v>4</v>
      </c>
      <c r="D7359">
        <v>193</v>
      </c>
      <c r="E7359">
        <f>IF(OR(B7359="vi",B7359="ii",B7359="pod"),(((D7359/100)*(C7359*VLOOKUP(B7359,'Poids des runes'!A:B,2,FALSE)))+1),(((D7359/100)*(C7359*VLOOKUP(B7359,'Poids des runes'!A:B,2,FALSE)))+1)/VLOOKUP(B7359,'Poids des runes'!A:B,2,FALSE))</f>
        <v>7.97</v>
      </c>
      <c r="F7359">
        <f t="shared" si="114"/>
        <v>7.97</v>
      </c>
    </row>
    <row r="7360" spans="1:6" x14ac:dyDescent="0.3">
      <c r="A7360" t="s">
        <v>1324</v>
      </c>
      <c r="B7360" t="s">
        <v>2164</v>
      </c>
      <c r="C7360">
        <v>13</v>
      </c>
      <c r="D7360">
        <v>193</v>
      </c>
      <c r="E7360">
        <f>IF(OR(B7360="vi",B7360="ii",B7360="pod"),(((D7360/100)*(C7360*VLOOKUP(B7360,'Poids des runes'!A:B,2,FALSE)))+1),(((D7360/100)*(C7360*VLOOKUP(B7360,'Poids des runes'!A:B,2,FALSE)))+1)/VLOOKUP(B7360,'Poids des runes'!A:B,2,FALSE))</f>
        <v>25.59</v>
      </c>
      <c r="F7360">
        <f t="shared" si="114"/>
        <v>25.59</v>
      </c>
    </row>
    <row r="7361" spans="1:6" x14ac:dyDescent="0.3">
      <c r="A7361" t="s">
        <v>1324</v>
      </c>
      <c r="B7361" t="s">
        <v>2148</v>
      </c>
      <c r="C7361">
        <v>6</v>
      </c>
      <c r="D7361">
        <v>193</v>
      </c>
      <c r="E7361">
        <f>IF(OR(B7361="vi",B7361="ii",B7361="pod"),(((D7361/100)*(C7361*VLOOKUP(B7361,'Poids des runes'!A:B,2,FALSE)))+1),(((D7361/100)*(C7361*VLOOKUP(B7361,'Poids des runes'!A:B,2,FALSE)))+1)/VLOOKUP(B7361,'Poids des runes'!A:B,2,FALSE))</f>
        <v>11.746666666666668</v>
      </c>
      <c r="F7361">
        <f t="shared" si="114"/>
        <v>11.746666666666668</v>
      </c>
    </row>
    <row r="7362" spans="1:6" x14ac:dyDescent="0.3">
      <c r="A7362" t="s">
        <v>1324</v>
      </c>
      <c r="B7362" t="s">
        <v>2147</v>
      </c>
      <c r="C7362">
        <v>6</v>
      </c>
      <c r="D7362">
        <v>193</v>
      </c>
      <c r="E7362">
        <f>IF(OR(B7362="vi",B7362="ii",B7362="pod"),(((D7362/100)*(C7362*VLOOKUP(B7362,'Poids des runes'!A:B,2,FALSE)))+1),(((D7362/100)*(C7362*VLOOKUP(B7362,'Poids des runes'!A:B,2,FALSE)))+1)/VLOOKUP(B7362,'Poids des runes'!A:B,2,FALSE))</f>
        <v>11.746666666666668</v>
      </c>
      <c r="F7362">
        <f t="shared" si="114"/>
        <v>11.746666666666668</v>
      </c>
    </row>
    <row r="7363" spans="1:6" x14ac:dyDescent="0.3">
      <c r="A7363" t="s">
        <v>1325</v>
      </c>
      <c r="B7363" t="s">
        <v>2128</v>
      </c>
      <c r="C7363">
        <v>175.5</v>
      </c>
      <c r="D7363">
        <v>193</v>
      </c>
      <c r="E7363">
        <f>IF(OR(B7363="vi",B7363="ii",B7363="pod"),(((D7363/100)*(C7363*VLOOKUP(B7363,'Poids des runes'!A:B,2,FALSE)))+1),(((D7363/100)*(C7363*VLOOKUP(B7363,'Poids des runes'!A:B,2,FALSE)))+1)/VLOOKUP(B7363,'Poids des runes'!A:B,2,FALSE))</f>
        <v>68.742999999999995</v>
      </c>
      <c r="F7363">
        <f t="shared" ref="F7363:F7426" si="115">E7363</f>
        <v>68.742999999999995</v>
      </c>
    </row>
    <row r="7364" spans="1:6" x14ac:dyDescent="0.3">
      <c r="A7364" t="s">
        <v>1325</v>
      </c>
      <c r="B7364" t="s">
        <v>2131</v>
      </c>
      <c r="C7364">
        <v>60.5</v>
      </c>
      <c r="D7364">
        <v>193</v>
      </c>
      <c r="E7364">
        <f>IF(OR(B7364="vi",B7364="ii",B7364="pod"),(((D7364/100)*(C7364*VLOOKUP(B7364,'Poids des runes'!A:B,2,FALSE)))+1),(((D7364/100)*(C7364*VLOOKUP(B7364,'Poids des runes'!A:B,2,FALSE)))+1)/VLOOKUP(B7364,'Poids des runes'!A:B,2,FALSE))</f>
        <v>117.765</v>
      </c>
      <c r="F7364">
        <f t="shared" si="115"/>
        <v>117.765</v>
      </c>
    </row>
    <row r="7365" spans="1:6" x14ac:dyDescent="0.3">
      <c r="A7365" t="s">
        <v>1325</v>
      </c>
      <c r="B7365" t="s">
        <v>2127</v>
      </c>
      <c r="C7365">
        <v>60.5</v>
      </c>
      <c r="D7365">
        <v>193</v>
      </c>
      <c r="E7365">
        <f>IF(OR(B7365="vi",B7365="ii",B7365="pod"),(((D7365/100)*(C7365*VLOOKUP(B7365,'Poids des runes'!A:B,2,FALSE)))+1),(((D7365/100)*(C7365*VLOOKUP(B7365,'Poids des runes'!A:B,2,FALSE)))+1)/VLOOKUP(B7365,'Poids des runes'!A:B,2,FALSE))</f>
        <v>117.765</v>
      </c>
      <c r="F7365">
        <f t="shared" si="115"/>
        <v>117.765</v>
      </c>
    </row>
    <row r="7366" spans="1:6" x14ac:dyDescent="0.3">
      <c r="A7366" t="s">
        <v>1325</v>
      </c>
      <c r="B7366" t="s">
        <v>2129</v>
      </c>
      <c r="C7366">
        <v>25.5</v>
      </c>
      <c r="D7366">
        <v>193</v>
      </c>
      <c r="E7366">
        <f>IF(OR(B7366="vi",B7366="ii",B7366="pod"),(((D7366/100)*(C7366*VLOOKUP(B7366,'Poids des runes'!A:B,2,FALSE)))+1),(((D7366/100)*(C7366*VLOOKUP(B7366,'Poids des runes'!A:B,2,FALSE)))+1)/VLOOKUP(B7366,'Poids des runes'!A:B,2,FALSE))</f>
        <v>50.214999999999996</v>
      </c>
      <c r="F7366">
        <f t="shared" si="115"/>
        <v>50.214999999999996</v>
      </c>
    </row>
    <row r="7367" spans="1:6" x14ac:dyDescent="0.3">
      <c r="A7367" t="s">
        <v>1325</v>
      </c>
      <c r="B7367" t="s">
        <v>2151</v>
      </c>
      <c r="C7367">
        <v>4</v>
      </c>
      <c r="D7367">
        <v>193</v>
      </c>
      <c r="E7367">
        <f>IF(OR(B7367="vi",B7367="ii",B7367="pod"),(((D7367/100)*(C7367*VLOOKUP(B7367,'Poids des runes'!A:B,2,FALSE)))+1),(((D7367/100)*(C7367*VLOOKUP(B7367,'Poids des runes'!A:B,2,FALSE)))+1)/VLOOKUP(B7367,'Poids des runes'!A:B,2,FALSE))</f>
        <v>7.82</v>
      </c>
      <c r="F7367">
        <f t="shared" si="115"/>
        <v>7.82</v>
      </c>
    </row>
    <row r="7368" spans="1:6" x14ac:dyDescent="0.3">
      <c r="A7368" t="s">
        <v>1325</v>
      </c>
      <c r="B7368" t="s">
        <v>2152</v>
      </c>
      <c r="C7368">
        <v>1</v>
      </c>
      <c r="D7368">
        <v>193</v>
      </c>
      <c r="E7368">
        <f>IF(OR(B7368="vi",B7368="ii",B7368="pod"),(((D7368/100)*(C7368*VLOOKUP(B7368,'Poids des runes'!A:B,2,FALSE)))+1),(((D7368/100)*(C7368*VLOOKUP(B7368,'Poids des runes'!A:B,2,FALSE)))+1)/VLOOKUP(B7368,'Poids des runes'!A:B,2,FALSE))</f>
        <v>1.94</v>
      </c>
      <c r="F7368">
        <f t="shared" si="115"/>
        <v>1.94</v>
      </c>
    </row>
    <row r="7369" spans="1:6" x14ac:dyDescent="0.3">
      <c r="A7369" t="s">
        <v>1325</v>
      </c>
      <c r="B7369" t="s">
        <v>2133</v>
      </c>
      <c r="C7369">
        <v>8.5</v>
      </c>
      <c r="D7369">
        <v>193</v>
      </c>
      <c r="E7369">
        <f>IF(OR(B7369="vi",B7369="ii",B7369="pod"),(((D7369/100)*(C7369*VLOOKUP(B7369,'Poids des runes'!A:B,2,FALSE)))+1),(((D7369/100)*(C7369*VLOOKUP(B7369,'Poids des runes'!A:B,2,FALSE)))+1)/VLOOKUP(B7369,'Poids des runes'!A:B,2,FALSE))</f>
        <v>16.604999999999997</v>
      </c>
      <c r="F7369">
        <f t="shared" si="115"/>
        <v>16.604999999999997</v>
      </c>
    </row>
    <row r="7370" spans="1:6" x14ac:dyDescent="0.3">
      <c r="A7370" t="s">
        <v>1325</v>
      </c>
      <c r="B7370" t="s">
        <v>2153</v>
      </c>
      <c r="C7370">
        <v>8.5</v>
      </c>
      <c r="D7370">
        <v>193</v>
      </c>
      <c r="E7370">
        <f>IF(OR(B7370="vi",B7370="ii",B7370="pod"),(((D7370/100)*(C7370*VLOOKUP(B7370,'Poids des runes'!A:B,2,FALSE)))+1),(((D7370/100)*(C7370*VLOOKUP(B7370,'Poids des runes'!A:B,2,FALSE)))+1)/VLOOKUP(B7370,'Poids des runes'!A:B,2,FALSE))</f>
        <v>16.604999999999997</v>
      </c>
      <c r="F7370">
        <f t="shared" si="115"/>
        <v>16.604999999999997</v>
      </c>
    </row>
    <row r="7371" spans="1:6" x14ac:dyDescent="0.3">
      <c r="A7371" t="s">
        <v>1325</v>
      </c>
      <c r="B7371" t="s">
        <v>2161</v>
      </c>
      <c r="C7371">
        <v>8.5</v>
      </c>
      <c r="D7371">
        <v>193</v>
      </c>
      <c r="E7371">
        <f>IF(OR(B7371="vi",B7371="ii",B7371="pod"),(((D7371/100)*(C7371*VLOOKUP(B7371,'Poids des runes'!A:B,2,FALSE)))+1),(((D7371/100)*(C7371*VLOOKUP(B7371,'Poids des runes'!A:B,2,FALSE)))+1)/VLOOKUP(B7371,'Poids des runes'!A:B,2,FALSE))</f>
        <v>16.738333333333333</v>
      </c>
      <c r="F7371">
        <f t="shared" si="115"/>
        <v>16.738333333333333</v>
      </c>
    </row>
    <row r="7372" spans="1:6" x14ac:dyDescent="0.3">
      <c r="A7372" t="s">
        <v>1325</v>
      </c>
      <c r="B7372" t="s">
        <v>2158</v>
      </c>
      <c r="C7372">
        <v>11</v>
      </c>
      <c r="D7372">
        <v>193</v>
      </c>
      <c r="E7372">
        <f>IF(OR(B7372="vi",B7372="ii",B7372="pod"),(((D7372/100)*(C7372*VLOOKUP(B7372,'Poids des runes'!A:B,2,FALSE)))+1),(((D7372/100)*(C7372*VLOOKUP(B7372,'Poids des runes'!A:B,2,FALSE)))+1)/VLOOKUP(B7372,'Poids des runes'!A:B,2,FALSE))</f>
        <v>21.43</v>
      </c>
      <c r="F7372">
        <f t="shared" si="115"/>
        <v>21.43</v>
      </c>
    </row>
    <row r="7373" spans="1:6" x14ac:dyDescent="0.3">
      <c r="A7373" t="s">
        <v>1325</v>
      </c>
      <c r="B7373" t="s">
        <v>2135</v>
      </c>
      <c r="C7373">
        <v>8.5</v>
      </c>
      <c r="D7373">
        <v>193</v>
      </c>
      <c r="E7373">
        <f>IF(OR(B7373="vi",B7373="ii",B7373="pod"),(((D7373/100)*(C7373*VLOOKUP(B7373,'Poids des runes'!A:B,2,FALSE)))+1),(((D7373/100)*(C7373*VLOOKUP(B7373,'Poids des runes'!A:B,2,FALSE)))+1)/VLOOKUP(B7373,'Poids des runes'!A:B,2,FALSE))</f>
        <v>16.571666666666665</v>
      </c>
      <c r="F7373">
        <f t="shared" si="115"/>
        <v>16.571666666666665</v>
      </c>
    </row>
    <row r="7374" spans="1:6" x14ac:dyDescent="0.3">
      <c r="A7374" t="s">
        <v>1325</v>
      </c>
      <c r="B7374" t="s">
        <v>2144</v>
      </c>
      <c r="C7374">
        <v>8.5</v>
      </c>
      <c r="D7374">
        <v>193</v>
      </c>
      <c r="E7374">
        <f>IF(OR(B7374="vi",B7374="ii",B7374="pod"),(((D7374/100)*(C7374*VLOOKUP(B7374,'Poids des runes'!A:B,2,FALSE)))+1),(((D7374/100)*(C7374*VLOOKUP(B7374,'Poids des runes'!A:B,2,FALSE)))+1)/VLOOKUP(B7374,'Poids des runes'!A:B,2,FALSE))</f>
        <v>16.905000000000001</v>
      </c>
      <c r="F7374">
        <f t="shared" si="115"/>
        <v>16.905000000000001</v>
      </c>
    </row>
    <row r="7375" spans="1:6" x14ac:dyDescent="0.3">
      <c r="A7375" t="s">
        <v>1325</v>
      </c>
      <c r="B7375" t="s">
        <v>2145</v>
      </c>
      <c r="C7375">
        <v>8.5</v>
      </c>
      <c r="D7375">
        <v>193</v>
      </c>
      <c r="E7375">
        <f>IF(OR(B7375="vi",B7375="ii",B7375="pod"),(((D7375/100)*(C7375*VLOOKUP(B7375,'Poids des runes'!A:B,2,FALSE)))+1),(((D7375/100)*(C7375*VLOOKUP(B7375,'Poids des runes'!A:B,2,FALSE)))+1)/VLOOKUP(B7375,'Poids des runes'!A:B,2,FALSE))</f>
        <v>16.905000000000001</v>
      </c>
      <c r="F7375">
        <f t="shared" si="115"/>
        <v>16.905000000000001</v>
      </c>
    </row>
    <row r="7376" spans="1:6" x14ac:dyDescent="0.3">
      <c r="A7376" t="s">
        <v>1326</v>
      </c>
      <c r="B7376" t="s">
        <v>2128</v>
      </c>
      <c r="C7376">
        <v>325.5</v>
      </c>
      <c r="D7376">
        <v>194</v>
      </c>
      <c r="E7376">
        <f>IF(OR(B7376="vi",B7376="ii",B7376="pod"),(((D7376/100)*(C7376*VLOOKUP(B7376,'Poids des runes'!A:B,2,FALSE)))+1),(((D7376/100)*(C7376*VLOOKUP(B7376,'Poids des runes'!A:B,2,FALSE)))+1)/VLOOKUP(B7376,'Poids des runes'!A:B,2,FALSE))</f>
        <v>127.29400000000001</v>
      </c>
      <c r="F7376">
        <f t="shared" si="115"/>
        <v>127.29400000000001</v>
      </c>
    </row>
    <row r="7377" spans="1:6" x14ac:dyDescent="0.3">
      <c r="A7377" t="s">
        <v>1326</v>
      </c>
      <c r="B7377" t="s">
        <v>2130</v>
      </c>
      <c r="C7377">
        <v>50.5</v>
      </c>
      <c r="D7377">
        <v>194</v>
      </c>
      <c r="E7377">
        <f>IF(OR(B7377="vi",B7377="ii",B7377="pod"),(((D7377/100)*(C7377*VLOOKUP(B7377,'Poids des runes'!A:B,2,FALSE)))+1),(((D7377/100)*(C7377*VLOOKUP(B7377,'Poids des runes'!A:B,2,FALSE)))+1)/VLOOKUP(B7377,'Poids des runes'!A:B,2,FALSE))</f>
        <v>98.97</v>
      </c>
      <c r="F7377">
        <f t="shared" si="115"/>
        <v>98.97</v>
      </c>
    </row>
    <row r="7378" spans="1:6" x14ac:dyDescent="0.3">
      <c r="A7378" t="s">
        <v>1326</v>
      </c>
      <c r="B7378" t="s">
        <v>2126</v>
      </c>
      <c r="C7378">
        <v>50.5</v>
      </c>
      <c r="D7378">
        <v>194</v>
      </c>
      <c r="E7378">
        <f>IF(OR(B7378="vi",B7378="ii",B7378="pod"),(((D7378/100)*(C7378*VLOOKUP(B7378,'Poids des runes'!A:B,2,FALSE)))+1),(((D7378/100)*(C7378*VLOOKUP(B7378,'Poids des runes'!A:B,2,FALSE)))+1)/VLOOKUP(B7378,'Poids des runes'!A:B,2,FALSE))</f>
        <v>98.97</v>
      </c>
      <c r="F7378">
        <f t="shared" si="115"/>
        <v>98.97</v>
      </c>
    </row>
    <row r="7379" spans="1:6" x14ac:dyDescent="0.3">
      <c r="A7379" t="s">
        <v>1326</v>
      </c>
      <c r="B7379" t="s">
        <v>2129</v>
      </c>
      <c r="C7379">
        <v>35.5</v>
      </c>
      <c r="D7379">
        <v>194</v>
      </c>
      <c r="E7379">
        <f>IF(OR(B7379="vi",B7379="ii",B7379="pod"),(((D7379/100)*(C7379*VLOOKUP(B7379,'Poids des runes'!A:B,2,FALSE)))+1),(((D7379/100)*(C7379*VLOOKUP(B7379,'Poids des runes'!A:B,2,FALSE)))+1)/VLOOKUP(B7379,'Poids des runes'!A:B,2,FALSE))</f>
        <v>69.87</v>
      </c>
      <c r="F7379">
        <f t="shared" si="115"/>
        <v>69.87</v>
      </c>
    </row>
    <row r="7380" spans="1:6" x14ac:dyDescent="0.3">
      <c r="A7380" t="s">
        <v>1326</v>
      </c>
      <c r="B7380" t="s">
        <v>2151</v>
      </c>
      <c r="C7380">
        <v>5</v>
      </c>
      <c r="D7380">
        <v>194</v>
      </c>
      <c r="E7380">
        <f>IF(OR(B7380="vi",B7380="ii",B7380="pod"),(((D7380/100)*(C7380*VLOOKUP(B7380,'Poids des runes'!A:B,2,FALSE)))+1),(((D7380/100)*(C7380*VLOOKUP(B7380,'Poids des runes'!A:B,2,FALSE)))+1)/VLOOKUP(B7380,'Poids des runes'!A:B,2,FALSE))</f>
        <v>9.8000000000000007</v>
      </c>
      <c r="F7380">
        <f t="shared" si="115"/>
        <v>9.8000000000000007</v>
      </c>
    </row>
    <row r="7381" spans="1:6" x14ac:dyDescent="0.3">
      <c r="A7381" t="s">
        <v>1326</v>
      </c>
      <c r="B7381" t="s">
        <v>2143</v>
      </c>
      <c r="C7381">
        <v>10</v>
      </c>
      <c r="D7381">
        <v>194</v>
      </c>
      <c r="E7381">
        <f>IF(OR(B7381="vi",B7381="ii",B7381="pod"),(((D7381/100)*(C7381*VLOOKUP(B7381,'Poids des runes'!A:B,2,FALSE)))+1),(((D7381/100)*(C7381*VLOOKUP(B7381,'Poids des runes'!A:B,2,FALSE)))+1)/VLOOKUP(B7381,'Poids des runes'!A:B,2,FALSE))</f>
        <v>19.600000000000001</v>
      </c>
      <c r="F7381">
        <f t="shared" si="115"/>
        <v>19.600000000000001</v>
      </c>
    </row>
    <row r="7382" spans="1:6" x14ac:dyDescent="0.3">
      <c r="A7382" t="s">
        <v>1326</v>
      </c>
      <c r="B7382" t="s">
        <v>2140</v>
      </c>
      <c r="C7382">
        <v>10</v>
      </c>
      <c r="D7382">
        <v>194</v>
      </c>
      <c r="E7382">
        <f>IF(OR(B7382="vi",B7382="ii",B7382="pod"),(((D7382/100)*(C7382*VLOOKUP(B7382,'Poids des runes'!A:B,2,FALSE)))+1),(((D7382/100)*(C7382*VLOOKUP(B7382,'Poids des runes'!A:B,2,FALSE)))+1)/VLOOKUP(B7382,'Poids des runes'!A:B,2,FALSE))</f>
        <v>19.600000000000001</v>
      </c>
      <c r="F7382">
        <f t="shared" si="115"/>
        <v>19.600000000000001</v>
      </c>
    </row>
    <row r="7383" spans="1:6" x14ac:dyDescent="0.3">
      <c r="A7383" t="s">
        <v>1326</v>
      </c>
      <c r="B7383" t="s">
        <v>2149</v>
      </c>
      <c r="C7383">
        <v>5</v>
      </c>
      <c r="D7383">
        <v>194</v>
      </c>
      <c r="E7383">
        <f>IF(OR(B7383="vi",B7383="ii",B7383="pod"),(((D7383/100)*(C7383*VLOOKUP(B7383,'Poids des runes'!A:B,2,FALSE)))+1),(((D7383/100)*(C7383*VLOOKUP(B7383,'Poids des runes'!A:B,2,FALSE)))+1)/VLOOKUP(B7383,'Poids des runes'!A:B,2,FALSE))</f>
        <v>9.8000000000000007</v>
      </c>
      <c r="F7383">
        <f t="shared" si="115"/>
        <v>9.8000000000000007</v>
      </c>
    </row>
    <row r="7384" spans="1:6" x14ac:dyDescent="0.3">
      <c r="A7384" t="s">
        <v>1326</v>
      </c>
      <c r="B7384" t="s">
        <v>2161</v>
      </c>
      <c r="C7384">
        <v>15.5</v>
      </c>
      <c r="D7384">
        <v>194</v>
      </c>
      <c r="E7384">
        <f>IF(OR(B7384="vi",B7384="ii",B7384="pod"),(((D7384/100)*(C7384*VLOOKUP(B7384,'Poids des runes'!A:B,2,FALSE)))+1),(((D7384/100)*(C7384*VLOOKUP(B7384,'Poids des runes'!A:B,2,FALSE)))+1)/VLOOKUP(B7384,'Poids des runes'!A:B,2,FALSE))</f>
        <v>30.403333333333332</v>
      </c>
      <c r="F7384">
        <f t="shared" si="115"/>
        <v>30.403333333333332</v>
      </c>
    </row>
    <row r="7385" spans="1:6" x14ac:dyDescent="0.3">
      <c r="A7385" t="s">
        <v>1326</v>
      </c>
      <c r="B7385" t="s">
        <v>2160</v>
      </c>
      <c r="C7385">
        <v>5</v>
      </c>
      <c r="D7385">
        <v>194</v>
      </c>
      <c r="E7385">
        <f>IF(OR(B7385="vi",B7385="ii",B7385="pod"),(((D7385/100)*(C7385*VLOOKUP(B7385,'Poids des runes'!A:B,2,FALSE)))+1),(((D7385/100)*(C7385*VLOOKUP(B7385,'Poids des runes'!A:B,2,FALSE)))+1)/VLOOKUP(B7385,'Poids des runes'!A:B,2,FALSE))</f>
        <v>9.8428571428571416</v>
      </c>
      <c r="F7385">
        <f t="shared" si="115"/>
        <v>9.8428571428571416</v>
      </c>
    </row>
    <row r="7386" spans="1:6" x14ac:dyDescent="0.3">
      <c r="A7386" t="s">
        <v>1326</v>
      </c>
      <c r="B7386" t="s">
        <v>2156</v>
      </c>
      <c r="C7386">
        <v>5</v>
      </c>
      <c r="D7386">
        <v>194</v>
      </c>
      <c r="E7386">
        <f>IF(OR(B7386="vi",B7386="ii",B7386="pod"),(((D7386/100)*(C7386*VLOOKUP(B7386,'Poids des runes'!A:B,2,FALSE)))+1),(((D7386/100)*(C7386*VLOOKUP(B7386,'Poids des runes'!A:B,2,FALSE)))+1)/VLOOKUP(B7386,'Poids des runes'!A:B,2,FALSE))</f>
        <v>9.8666666666666654</v>
      </c>
      <c r="F7386">
        <f t="shared" si="115"/>
        <v>9.8666666666666654</v>
      </c>
    </row>
    <row r="7387" spans="1:6" x14ac:dyDescent="0.3">
      <c r="A7387" t="s">
        <v>1326</v>
      </c>
      <c r="B7387" t="s">
        <v>2135</v>
      </c>
      <c r="C7387">
        <v>5</v>
      </c>
      <c r="D7387">
        <v>194</v>
      </c>
      <c r="E7387">
        <f>IF(OR(B7387="vi",B7387="ii",B7387="pod"),(((D7387/100)*(C7387*VLOOKUP(B7387,'Poids des runes'!A:B,2,FALSE)))+1),(((D7387/100)*(C7387*VLOOKUP(B7387,'Poids des runes'!A:B,2,FALSE)))+1)/VLOOKUP(B7387,'Poids des runes'!A:B,2,FALSE))</f>
        <v>9.8666666666666654</v>
      </c>
      <c r="F7387">
        <f t="shared" si="115"/>
        <v>9.8666666666666654</v>
      </c>
    </row>
    <row r="7388" spans="1:6" x14ac:dyDescent="0.3">
      <c r="A7388" t="s">
        <v>1327</v>
      </c>
      <c r="B7388" t="s">
        <v>2128</v>
      </c>
      <c r="C7388">
        <v>225.5</v>
      </c>
      <c r="D7388">
        <v>194</v>
      </c>
      <c r="E7388">
        <f>IF(OR(B7388="vi",B7388="ii",B7388="pod"),(((D7388/100)*(C7388*VLOOKUP(B7388,'Poids des runes'!A:B,2,FALSE)))+1),(((D7388/100)*(C7388*VLOOKUP(B7388,'Poids des runes'!A:B,2,FALSE)))+1)/VLOOKUP(B7388,'Poids des runes'!A:B,2,FALSE))</f>
        <v>88.494</v>
      </c>
      <c r="F7388">
        <f t="shared" si="115"/>
        <v>88.494</v>
      </c>
    </row>
    <row r="7389" spans="1:6" x14ac:dyDescent="0.3">
      <c r="A7389" t="s">
        <v>1327</v>
      </c>
      <c r="B7389" t="s">
        <v>2129</v>
      </c>
      <c r="C7389">
        <v>35.5</v>
      </c>
      <c r="D7389">
        <v>194</v>
      </c>
      <c r="E7389">
        <f>IF(OR(B7389="vi",B7389="ii",B7389="pod"),(((D7389/100)*(C7389*VLOOKUP(B7389,'Poids des runes'!A:B,2,FALSE)))+1),(((D7389/100)*(C7389*VLOOKUP(B7389,'Poids des runes'!A:B,2,FALSE)))+1)/VLOOKUP(B7389,'Poids des runes'!A:B,2,FALSE))</f>
        <v>69.87</v>
      </c>
      <c r="F7389">
        <f t="shared" si="115"/>
        <v>69.87</v>
      </c>
    </row>
    <row r="7390" spans="1:6" x14ac:dyDescent="0.3">
      <c r="A7390" t="s">
        <v>1327</v>
      </c>
      <c r="B7390" t="s">
        <v>2139</v>
      </c>
      <c r="C7390">
        <v>35.5</v>
      </c>
      <c r="D7390">
        <v>194</v>
      </c>
      <c r="E7390">
        <f>IF(OR(B7390="vi",B7390="ii",B7390="pod"),(((D7390/100)*(C7390*VLOOKUP(B7390,'Poids des runes'!A:B,2,FALSE)))+1),(((D7390/100)*(C7390*VLOOKUP(B7390,'Poids des runes'!A:B,2,FALSE)))+1)/VLOOKUP(B7390,'Poids des runes'!A:B,2,FALSE))</f>
        <v>69.37</v>
      </c>
      <c r="F7390">
        <f t="shared" si="115"/>
        <v>69.37</v>
      </c>
    </row>
    <row r="7391" spans="1:6" x14ac:dyDescent="0.3">
      <c r="A7391" t="s">
        <v>1327</v>
      </c>
      <c r="B7391" t="s">
        <v>2151</v>
      </c>
      <c r="C7391">
        <v>2.5</v>
      </c>
      <c r="D7391">
        <v>194</v>
      </c>
      <c r="E7391">
        <f>IF(OR(B7391="vi",B7391="ii",B7391="pod"),(((D7391/100)*(C7391*VLOOKUP(B7391,'Poids des runes'!A:B,2,FALSE)))+1),(((D7391/100)*(C7391*VLOOKUP(B7391,'Poids des runes'!A:B,2,FALSE)))+1)/VLOOKUP(B7391,'Poids des runes'!A:B,2,FALSE))</f>
        <v>4.95</v>
      </c>
      <c r="F7391">
        <f t="shared" si="115"/>
        <v>4.95</v>
      </c>
    </row>
    <row r="7392" spans="1:6" x14ac:dyDescent="0.3">
      <c r="A7392" t="s">
        <v>1327</v>
      </c>
      <c r="B7392" t="s">
        <v>2152</v>
      </c>
      <c r="C7392">
        <v>1</v>
      </c>
      <c r="D7392">
        <v>194</v>
      </c>
      <c r="E7392">
        <f>IF(OR(B7392="vi",B7392="ii",B7392="pod"),(((D7392/100)*(C7392*VLOOKUP(B7392,'Poids des runes'!A:B,2,FALSE)))+1),(((D7392/100)*(C7392*VLOOKUP(B7392,'Poids des runes'!A:B,2,FALSE)))+1)/VLOOKUP(B7392,'Poids des runes'!A:B,2,FALSE))</f>
        <v>1.95</v>
      </c>
      <c r="F7392">
        <f t="shared" si="115"/>
        <v>1.95</v>
      </c>
    </row>
    <row r="7393" spans="1:6" x14ac:dyDescent="0.3">
      <c r="A7393" t="s">
        <v>1327</v>
      </c>
      <c r="B7393" t="s">
        <v>2143</v>
      </c>
      <c r="C7393">
        <v>6</v>
      </c>
      <c r="D7393">
        <v>194</v>
      </c>
      <c r="E7393">
        <f>IF(OR(B7393="vi",B7393="ii",B7393="pod"),(((D7393/100)*(C7393*VLOOKUP(B7393,'Poids des runes'!A:B,2,FALSE)))+1),(((D7393/100)*(C7393*VLOOKUP(B7393,'Poids des runes'!A:B,2,FALSE)))+1)/VLOOKUP(B7393,'Poids des runes'!A:B,2,FALSE))</f>
        <v>11.84</v>
      </c>
      <c r="F7393">
        <f t="shared" si="115"/>
        <v>11.84</v>
      </c>
    </row>
    <row r="7394" spans="1:6" x14ac:dyDescent="0.3">
      <c r="A7394" t="s">
        <v>1327</v>
      </c>
      <c r="B7394" t="s">
        <v>2140</v>
      </c>
      <c r="C7394">
        <v>6</v>
      </c>
      <c r="D7394">
        <v>194</v>
      </c>
      <c r="E7394">
        <f>IF(OR(B7394="vi",B7394="ii",B7394="pod"),(((D7394/100)*(C7394*VLOOKUP(B7394,'Poids des runes'!A:B,2,FALSE)))+1),(((D7394/100)*(C7394*VLOOKUP(B7394,'Poids des runes'!A:B,2,FALSE)))+1)/VLOOKUP(B7394,'Poids des runes'!A:B,2,FALSE))</f>
        <v>11.84</v>
      </c>
      <c r="F7394">
        <f t="shared" si="115"/>
        <v>11.84</v>
      </c>
    </row>
    <row r="7395" spans="1:6" x14ac:dyDescent="0.3">
      <c r="A7395" t="s">
        <v>1327</v>
      </c>
      <c r="B7395" t="s">
        <v>2133</v>
      </c>
      <c r="C7395">
        <v>6</v>
      </c>
      <c r="D7395">
        <v>194</v>
      </c>
      <c r="E7395">
        <f>IF(OR(B7395="vi",B7395="ii",B7395="pod"),(((D7395/100)*(C7395*VLOOKUP(B7395,'Poids des runes'!A:B,2,FALSE)))+1),(((D7395/100)*(C7395*VLOOKUP(B7395,'Poids des runes'!A:B,2,FALSE)))+1)/VLOOKUP(B7395,'Poids des runes'!A:B,2,FALSE))</f>
        <v>11.84</v>
      </c>
      <c r="F7395">
        <f t="shared" si="115"/>
        <v>11.84</v>
      </c>
    </row>
    <row r="7396" spans="1:6" x14ac:dyDescent="0.3">
      <c r="A7396" t="s">
        <v>1327</v>
      </c>
      <c r="B7396" t="s">
        <v>2153</v>
      </c>
      <c r="C7396">
        <v>6</v>
      </c>
      <c r="D7396">
        <v>194</v>
      </c>
      <c r="E7396">
        <f>IF(OR(B7396="vi",B7396="ii",B7396="pod"),(((D7396/100)*(C7396*VLOOKUP(B7396,'Poids des runes'!A:B,2,FALSE)))+1),(((D7396/100)*(C7396*VLOOKUP(B7396,'Poids des runes'!A:B,2,FALSE)))+1)/VLOOKUP(B7396,'Poids des runes'!A:B,2,FALSE))</f>
        <v>11.84</v>
      </c>
      <c r="F7396">
        <f t="shared" si="115"/>
        <v>11.84</v>
      </c>
    </row>
    <row r="7397" spans="1:6" x14ac:dyDescent="0.3">
      <c r="A7397" t="s">
        <v>1328</v>
      </c>
      <c r="B7397" t="s">
        <v>2128</v>
      </c>
      <c r="C7397">
        <v>275.5</v>
      </c>
      <c r="D7397">
        <v>194</v>
      </c>
      <c r="E7397">
        <f>IF(OR(B7397="vi",B7397="ii",B7397="pod"),(((D7397/100)*(C7397*VLOOKUP(B7397,'Poids des runes'!A:B,2,FALSE)))+1),(((D7397/100)*(C7397*VLOOKUP(B7397,'Poids des runes'!A:B,2,FALSE)))+1)/VLOOKUP(B7397,'Poids des runes'!A:B,2,FALSE))</f>
        <v>107.89400000000001</v>
      </c>
      <c r="F7397">
        <f t="shared" si="115"/>
        <v>107.89400000000001</v>
      </c>
    </row>
    <row r="7398" spans="1:6" x14ac:dyDescent="0.3">
      <c r="A7398" t="s">
        <v>1328</v>
      </c>
      <c r="B7398" t="s">
        <v>2129</v>
      </c>
      <c r="C7398">
        <v>25.5</v>
      </c>
      <c r="D7398">
        <v>194</v>
      </c>
      <c r="E7398">
        <f>IF(OR(B7398="vi",B7398="ii",B7398="pod"),(((D7398/100)*(C7398*VLOOKUP(B7398,'Poids des runes'!A:B,2,FALSE)))+1),(((D7398/100)*(C7398*VLOOKUP(B7398,'Poids des runes'!A:B,2,FALSE)))+1)/VLOOKUP(B7398,'Poids des runes'!A:B,2,FALSE))</f>
        <v>50.47</v>
      </c>
      <c r="F7398">
        <f t="shared" si="115"/>
        <v>50.47</v>
      </c>
    </row>
    <row r="7399" spans="1:6" x14ac:dyDescent="0.3">
      <c r="A7399" t="s">
        <v>1328</v>
      </c>
      <c r="B7399" t="s">
        <v>2139</v>
      </c>
      <c r="C7399">
        <v>50.5</v>
      </c>
      <c r="D7399">
        <v>194</v>
      </c>
      <c r="E7399">
        <f>IF(OR(B7399="vi",B7399="ii",B7399="pod"),(((D7399/100)*(C7399*VLOOKUP(B7399,'Poids des runes'!A:B,2,FALSE)))+1),(((D7399/100)*(C7399*VLOOKUP(B7399,'Poids des runes'!A:B,2,FALSE)))+1)/VLOOKUP(B7399,'Poids des runes'!A:B,2,FALSE))</f>
        <v>98.47</v>
      </c>
      <c r="F7399">
        <f t="shared" si="115"/>
        <v>98.47</v>
      </c>
    </row>
    <row r="7400" spans="1:6" x14ac:dyDescent="0.3">
      <c r="A7400" t="s">
        <v>1328</v>
      </c>
      <c r="B7400" t="s">
        <v>2151</v>
      </c>
      <c r="C7400">
        <v>3.5</v>
      </c>
      <c r="D7400">
        <v>194</v>
      </c>
      <c r="E7400">
        <f>IF(OR(B7400="vi",B7400="ii",B7400="pod"),(((D7400/100)*(C7400*VLOOKUP(B7400,'Poids des runes'!A:B,2,FALSE)))+1),(((D7400/100)*(C7400*VLOOKUP(B7400,'Poids des runes'!A:B,2,FALSE)))+1)/VLOOKUP(B7400,'Poids des runes'!A:B,2,FALSE))</f>
        <v>6.8899999999999988</v>
      </c>
      <c r="F7400">
        <f t="shared" si="115"/>
        <v>6.8899999999999988</v>
      </c>
    </row>
    <row r="7401" spans="1:6" x14ac:dyDescent="0.3">
      <c r="A7401" t="s">
        <v>1328</v>
      </c>
      <c r="B7401" t="s">
        <v>2154</v>
      </c>
      <c r="C7401">
        <v>1</v>
      </c>
      <c r="D7401">
        <v>194</v>
      </c>
      <c r="E7401">
        <f>IF(OR(B7401="vi",B7401="ii",B7401="pod"),(((D7401/100)*(C7401*VLOOKUP(B7401,'Poids des runes'!A:B,2,FALSE)))+1),(((D7401/100)*(C7401*VLOOKUP(B7401,'Poids des runes'!A:B,2,FALSE)))+1)/VLOOKUP(B7401,'Poids des runes'!A:B,2,FALSE))</f>
        <v>1.951111111111111</v>
      </c>
      <c r="F7401">
        <f t="shared" si="115"/>
        <v>1.951111111111111</v>
      </c>
    </row>
    <row r="7402" spans="1:6" x14ac:dyDescent="0.3">
      <c r="A7402" t="s">
        <v>1328</v>
      </c>
      <c r="B7402" t="s">
        <v>2143</v>
      </c>
      <c r="C7402">
        <v>10</v>
      </c>
      <c r="D7402">
        <v>194</v>
      </c>
      <c r="E7402">
        <f>IF(OR(B7402="vi",B7402="ii",B7402="pod"),(((D7402/100)*(C7402*VLOOKUP(B7402,'Poids des runes'!A:B,2,FALSE)))+1),(((D7402/100)*(C7402*VLOOKUP(B7402,'Poids des runes'!A:B,2,FALSE)))+1)/VLOOKUP(B7402,'Poids des runes'!A:B,2,FALSE))</f>
        <v>19.600000000000001</v>
      </c>
      <c r="F7402">
        <f t="shared" si="115"/>
        <v>19.600000000000001</v>
      </c>
    </row>
    <row r="7403" spans="1:6" x14ac:dyDescent="0.3">
      <c r="A7403" t="s">
        <v>1328</v>
      </c>
      <c r="B7403" t="s">
        <v>2140</v>
      </c>
      <c r="C7403">
        <v>10</v>
      </c>
      <c r="D7403">
        <v>194</v>
      </c>
      <c r="E7403">
        <f>IF(OR(B7403="vi",B7403="ii",B7403="pod"),(((D7403/100)*(C7403*VLOOKUP(B7403,'Poids des runes'!A:B,2,FALSE)))+1),(((D7403/100)*(C7403*VLOOKUP(B7403,'Poids des runes'!A:B,2,FALSE)))+1)/VLOOKUP(B7403,'Poids des runes'!A:B,2,FALSE))</f>
        <v>19.600000000000001</v>
      </c>
      <c r="F7403">
        <f t="shared" si="115"/>
        <v>19.600000000000001</v>
      </c>
    </row>
    <row r="7404" spans="1:6" x14ac:dyDescent="0.3">
      <c r="A7404" t="s">
        <v>1328</v>
      </c>
      <c r="B7404" t="s">
        <v>2153</v>
      </c>
      <c r="C7404">
        <v>13</v>
      </c>
      <c r="D7404">
        <v>194</v>
      </c>
      <c r="E7404">
        <f>IF(OR(B7404="vi",B7404="ii",B7404="pod"),(((D7404/100)*(C7404*VLOOKUP(B7404,'Poids des runes'!A:B,2,FALSE)))+1),(((D7404/100)*(C7404*VLOOKUP(B7404,'Poids des runes'!A:B,2,FALSE)))+1)/VLOOKUP(B7404,'Poids des runes'!A:B,2,FALSE))</f>
        <v>25.419999999999998</v>
      </c>
      <c r="F7404">
        <f t="shared" si="115"/>
        <v>25.419999999999998</v>
      </c>
    </row>
    <row r="7405" spans="1:6" x14ac:dyDescent="0.3">
      <c r="A7405" t="s">
        <v>1328</v>
      </c>
      <c r="B7405" t="s">
        <v>2132</v>
      </c>
      <c r="C7405">
        <v>350.5</v>
      </c>
      <c r="D7405">
        <v>194</v>
      </c>
      <c r="E7405">
        <f>IF(OR(B7405="vi",B7405="ii",B7405="pod"),(((D7405/100)*(C7405*VLOOKUP(B7405,'Poids des runes'!A:B,2,FALSE)))+1),(((D7405/100)*(C7405*VLOOKUP(B7405,'Poids des runes'!A:B,2,FALSE)))+1)/VLOOKUP(B7405,'Poids des runes'!A:B,2,FALSE))</f>
        <v>68.997</v>
      </c>
      <c r="F7405">
        <f t="shared" si="115"/>
        <v>68.997</v>
      </c>
    </row>
    <row r="7406" spans="1:6" x14ac:dyDescent="0.3">
      <c r="A7406" t="s">
        <v>1328</v>
      </c>
      <c r="B7406" t="s">
        <v>2138</v>
      </c>
      <c r="C7406">
        <v>6</v>
      </c>
      <c r="D7406">
        <v>194</v>
      </c>
      <c r="E7406">
        <f>IF(OR(B7406="vi",B7406="ii",B7406="pod"),(((D7406/100)*(C7406*VLOOKUP(B7406,'Poids des runes'!A:B,2,FALSE)))+1),(((D7406/100)*(C7406*VLOOKUP(B7406,'Poids des runes'!A:B,2,FALSE)))+1)/VLOOKUP(B7406,'Poids des runes'!A:B,2,FALSE))</f>
        <v>11.89</v>
      </c>
      <c r="F7406">
        <f t="shared" si="115"/>
        <v>11.89</v>
      </c>
    </row>
    <row r="7407" spans="1:6" x14ac:dyDescent="0.3">
      <c r="A7407" t="s">
        <v>1328</v>
      </c>
      <c r="B7407" t="s">
        <v>2162</v>
      </c>
      <c r="C7407">
        <v>3.5</v>
      </c>
      <c r="D7407">
        <v>194</v>
      </c>
      <c r="E7407">
        <f>IF(OR(B7407="vi",B7407="ii",B7407="pod"),(((D7407/100)*(C7407*VLOOKUP(B7407,'Poids des runes'!A:B,2,FALSE)))+1),(((D7407/100)*(C7407*VLOOKUP(B7407,'Poids des runes'!A:B,2,FALSE)))+1)/VLOOKUP(B7407,'Poids des runes'!A:B,2,FALSE))</f>
        <v>6.9328571428571433</v>
      </c>
      <c r="F7407">
        <f t="shared" si="115"/>
        <v>6.9328571428571433</v>
      </c>
    </row>
    <row r="7408" spans="1:6" x14ac:dyDescent="0.3">
      <c r="A7408" t="s">
        <v>1328</v>
      </c>
      <c r="B7408" t="s">
        <v>2142</v>
      </c>
      <c r="C7408">
        <v>8.5</v>
      </c>
      <c r="D7408">
        <v>194</v>
      </c>
      <c r="E7408">
        <f>IF(OR(B7408="vi",B7408="ii",B7408="pod"),(((D7408/100)*(C7408*VLOOKUP(B7408,'Poids des runes'!A:B,2,FALSE)))+1),(((D7408/100)*(C7408*VLOOKUP(B7408,'Poids des runes'!A:B,2,FALSE)))+1)/VLOOKUP(B7408,'Poids des runes'!A:B,2,FALSE))</f>
        <v>16.690000000000001</v>
      </c>
      <c r="F7408">
        <f t="shared" si="115"/>
        <v>16.690000000000001</v>
      </c>
    </row>
    <row r="7409" spans="1:6" x14ac:dyDescent="0.3">
      <c r="A7409" t="s">
        <v>1328</v>
      </c>
      <c r="B7409" t="s">
        <v>2147</v>
      </c>
      <c r="C7409">
        <v>4</v>
      </c>
      <c r="D7409">
        <v>194</v>
      </c>
      <c r="E7409">
        <f>IF(OR(B7409="vi",B7409="ii",B7409="pod"),(((D7409/100)*(C7409*VLOOKUP(B7409,'Poids des runes'!A:B,2,FALSE)))+1),(((D7409/100)*(C7409*VLOOKUP(B7409,'Poids des runes'!A:B,2,FALSE)))+1)/VLOOKUP(B7409,'Poids des runes'!A:B,2,FALSE))</f>
        <v>7.9266666666666667</v>
      </c>
      <c r="F7409">
        <f t="shared" si="115"/>
        <v>7.9266666666666667</v>
      </c>
    </row>
    <row r="7410" spans="1:6" x14ac:dyDescent="0.3">
      <c r="A7410" t="s">
        <v>1328</v>
      </c>
      <c r="B7410" t="s">
        <v>2145</v>
      </c>
      <c r="C7410">
        <v>13</v>
      </c>
      <c r="D7410">
        <v>194</v>
      </c>
      <c r="E7410">
        <f>IF(OR(B7410="vi",B7410="ii",B7410="pod"),(((D7410/100)*(C7410*VLOOKUP(B7410,'Poids des runes'!A:B,2,FALSE)))+1),(((D7410/100)*(C7410*VLOOKUP(B7410,'Poids des runes'!A:B,2,FALSE)))+1)/VLOOKUP(B7410,'Poids des runes'!A:B,2,FALSE))</f>
        <v>25.72</v>
      </c>
      <c r="F7410">
        <f t="shared" si="115"/>
        <v>25.72</v>
      </c>
    </row>
    <row r="7411" spans="1:6" x14ac:dyDescent="0.3">
      <c r="A7411" t="s">
        <v>1329</v>
      </c>
      <c r="B7411" t="s">
        <v>2128</v>
      </c>
      <c r="C7411">
        <v>325.5</v>
      </c>
      <c r="D7411">
        <v>194</v>
      </c>
      <c r="E7411">
        <f>IF(OR(B7411="vi",B7411="ii",B7411="pod"),(((D7411/100)*(C7411*VLOOKUP(B7411,'Poids des runes'!A:B,2,FALSE)))+1),(((D7411/100)*(C7411*VLOOKUP(B7411,'Poids des runes'!A:B,2,FALSE)))+1)/VLOOKUP(B7411,'Poids des runes'!A:B,2,FALSE))</f>
        <v>127.29400000000001</v>
      </c>
      <c r="F7411">
        <f t="shared" si="115"/>
        <v>127.29400000000001</v>
      </c>
    </row>
    <row r="7412" spans="1:6" x14ac:dyDescent="0.3">
      <c r="A7412" t="s">
        <v>1329</v>
      </c>
      <c r="B7412" t="s">
        <v>2130</v>
      </c>
      <c r="C7412">
        <v>53</v>
      </c>
      <c r="D7412">
        <v>194</v>
      </c>
      <c r="E7412">
        <f>IF(OR(B7412="vi",B7412="ii",B7412="pod"),(((D7412/100)*(C7412*VLOOKUP(B7412,'Poids des runes'!A:B,2,FALSE)))+1),(((D7412/100)*(C7412*VLOOKUP(B7412,'Poids des runes'!A:B,2,FALSE)))+1)/VLOOKUP(B7412,'Poids des runes'!A:B,2,FALSE))</f>
        <v>103.82</v>
      </c>
      <c r="F7412">
        <f t="shared" si="115"/>
        <v>103.82</v>
      </c>
    </row>
    <row r="7413" spans="1:6" x14ac:dyDescent="0.3">
      <c r="A7413" t="s">
        <v>1329</v>
      </c>
      <c r="B7413" t="s">
        <v>2131</v>
      </c>
      <c r="C7413">
        <v>53</v>
      </c>
      <c r="D7413">
        <v>194</v>
      </c>
      <c r="E7413">
        <f>IF(OR(B7413="vi",B7413="ii",B7413="pod"),(((D7413/100)*(C7413*VLOOKUP(B7413,'Poids des runes'!A:B,2,FALSE)))+1),(((D7413/100)*(C7413*VLOOKUP(B7413,'Poids des runes'!A:B,2,FALSE)))+1)/VLOOKUP(B7413,'Poids des runes'!A:B,2,FALSE))</f>
        <v>103.82</v>
      </c>
      <c r="F7413">
        <f t="shared" si="115"/>
        <v>103.82</v>
      </c>
    </row>
    <row r="7414" spans="1:6" x14ac:dyDescent="0.3">
      <c r="A7414" t="s">
        <v>1329</v>
      </c>
      <c r="B7414" t="s">
        <v>2129</v>
      </c>
      <c r="C7414">
        <v>50.5</v>
      </c>
      <c r="D7414">
        <v>194</v>
      </c>
      <c r="E7414">
        <f>IF(OR(B7414="vi",B7414="ii",B7414="pod"),(((D7414/100)*(C7414*VLOOKUP(B7414,'Poids des runes'!A:B,2,FALSE)))+1),(((D7414/100)*(C7414*VLOOKUP(B7414,'Poids des runes'!A:B,2,FALSE)))+1)/VLOOKUP(B7414,'Poids des runes'!A:B,2,FALSE))</f>
        <v>98.97</v>
      </c>
      <c r="F7414">
        <f t="shared" si="115"/>
        <v>98.97</v>
      </c>
    </row>
    <row r="7415" spans="1:6" x14ac:dyDescent="0.3">
      <c r="A7415" t="s">
        <v>1329</v>
      </c>
      <c r="B7415" t="s">
        <v>2139</v>
      </c>
      <c r="C7415">
        <v>15.5</v>
      </c>
      <c r="D7415">
        <v>194</v>
      </c>
      <c r="E7415">
        <f>IF(OR(B7415="vi",B7415="ii",B7415="pod"),(((D7415/100)*(C7415*VLOOKUP(B7415,'Poids des runes'!A:B,2,FALSE)))+1),(((D7415/100)*(C7415*VLOOKUP(B7415,'Poids des runes'!A:B,2,FALSE)))+1)/VLOOKUP(B7415,'Poids des runes'!A:B,2,FALSE))</f>
        <v>30.57</v>
      </c>
      <c r="F7415">
        <f t="shared" si="115"/>
        <v>30.57</v>
      </c>
    </row>
    <row r="7416" spans="1:6" x14ac:dyDescent="0.3">
      <c r="A7416" t="s">
        <v>1329</v>
      </c>
      <c r="B7416" t="s">
        <v>2150</v>
      </c>
      <c r="C7416">
        <v>1.5</v>
      </c>
      <c r="D7416">
        <v>194</v>
      </c>
      <c r="E7416">
        <f>IF(OR(B7416="vi",B7416="ii",B7416="pod"),(((D7416/100)*(C7416*VLOOKUP(B7416,'Poids des runes'!A:B,2,FALSE)))+1),(((D7416/100)*(C7416*VLOOKUP(B7416,'Poids des runes'!A:B,2,FALSE)))+1)/VLOOKUP(B7416,'Poids des runes'!A:B,2,FALSE))</f>
        <v>2.9433333333333334</v>
      </c>
      <c r="F7416">
        <f t="shared" si="115"/>
        <v>2.9433333333333334</v>
      </c>
    </row>
    <row r="7417" spans="1:6" x14ac:dyDescent="0.3">
      <c r="A7417" t="s">
        <v>1329</v>
      </c>
      <c r="B7417" t="s">
        <v>2134</v>
      </c>
      <c r="C7417">
        <v>8</v>
      </c>
      <c r="D7417">
        <v>194</v>
      </c>
      <c r="E7417">
        <f>IF(OR(B7417="vi",B7417="ii",B7417="pod"),(((D7417/100)*(C7417*VLOOKUP(B7417,'Poids des runes'!A:B,2,FALSE)))+1),(((D7417/100)*(C7417*VLOOKUP(B7417,'Poids des runes'!A:B,2,FALSE)))+1)/VLOOKUP(B7417,'Poids des runes'!A:B,2,FALSE))</f>
        <v>15.569999999999999</v>
      </c>
      <c r="F7417">
        <f t="shared" si="115"/>
        <v>15.569999999999999</v>
      </c>
    </row>
    <row r="7418" spans="1:6" x14ac:dyDescent="0.3">
      <c r="A7418" t="s">
        <v>1329</v>
      </c>
      <c r="B7418" t="s">
        <v>2161</v>
      </c>
      <c r="C7418">
        <v>13</v>
      </c>
      <c r="D7418">
        <v>194</v>
      </c>
      <c r="E7418">
        <f>IF(OR(B7418="vi",B7418="ii",B7418="pod"),(((D7418/100)*(C7418*VLOOKUP(B7418,'Poids des runes'!A:B,2,FALSE)))+1),(((D7418/100)*(C7418*VLOOKUP(B7418,'Poids des runes'!A:B,2,FALSE)))+1)/VLOOKUP(B7418,'Poids des runes'!A:B,2,FALSE))</f>
        <v>25.553333333333331</v>
      </c>
      <c r="F7418">
        <f t="shared" si="115"/>
        <v>25.553333333333331</v>
      </c>
    </row>
    <row r="7419" spans="1:6" x14ac:dyDescent="0.3">
      <c r="A7419" t="s">
        <v>1329</v>
      </c>
      <c r="B7419" t="s">
        <v>2132</v>
      </c>
      <c r="C7419">
        <v>250.5</v>
      </c>
      <c r="D7419">
        <v>194</v>
      </c>
      <c r="E7419">
        <f>IF(OR(B7419="vi",B7419="ii",B7419="pod"),(((D7419/100)*(C7419*VLOOKUP(B7419,'Poids des runes'!A:B,2,FALSE)))+1),(((D7419/100)*(C7419*VLOOKUP(B7419,'Poids des runes'!A:B,2,FALSE)))+1)/VLOOKUP(B7419,'Poids des runes'!A:B,2,FALSE))</f>
        <v>49.597000000000001</v>
      </c>
      <c r="F7419">
        <f t="shared" si="115"/>
        <v>49.597000000000001</v>
      </c>
    </row>
    <row r="7420" spans="1:6" x14ac:dyDescent="0.3">
      <c r="A7420" t="s">
        <v>1329</v>
      </c>
      <c r="B7420" t="s">
        <v>2156</v>
      </c>
      <c r="C7420">
        <v>8</v>
      </c>
      <c r="D7420">
        <v>194</v>
      </c>
      <c r="E7420">
        <f>IF(OR(B7420="vi",B7420="ii",B7420="pod"),(((D7420/100)*(C7420*VLOOKUP(B7420,'Poids des runes'!A:B,2,FALSE)))+1),(((D7420/100)*(C7420*VLOOKUP(B7420,'Poids des runes'!A:B,2,FALSE)))+1)/VLOOKUP(B7420,'Poids des runes'!A:B,2,FALSE))</f>
        <v>15.686666666666667</v>
      </c>
      <c r="F7420">
        <f t="shared" si="115"/>
        <v>15.686666666666667</v>
      </c>
    </row>
    <row r="7421" spans="1:6" x14ac:dyDescent="0.3">
      <c r="A7421" t="s">
        <v>1329</v>
      </c>
      <c r="B7421" t="s">
        <v>2137</v>
      </c>
      <c r="C7421">
        <v>8</v>
      </c>
      <c r="D7421">
        <v>194</v>
      </c>
      <c r="E7421">
        <f>IF(OR(B7421="vi",B7421="ii",B7421="pod"),(((D7421/100)*(C7421*VLOOKUP(B7421,'Poids des runes'!A:B,2,FALSE)))+1),(((D7421/100)*(C7421*VLOOKUP(B7421,'Poids des runes'!A:B,2,FALSE)))+1)/VLOOKUP(B7421,'Poids des runes'!A:B,2,FALSE))</f>
        <v>16.02</v>
      </c>
      <c r="F7421">
        <f t="shared" si="115"/>
        <v>16.02</v>
      </c>
    </row>
    <row r="7422" spans="1:6" x14ac:dyDescent="0.3">
      <c r="A7422" t="s">
        <v>1329</v>
      </c>
      <c r="B7422" t="s">
        <v>2146</v>
      </c>
      <c r="C7422">
        <v>8</v>
      </c>
      <c r="D7422">
        <v>194</v>
      </c>
      <c r="E7422">
        <f>IF(OR(B7422="vi",B7422="ii",B7422="pod"),(((D7422/100)*(C7422*VLOOKUP(B7422,'Poids des runes'!A:B,2,FALSE)))+1),(((D7422/100)*(C7422*VLOOKUP(B7422,'Poids des runes'!A:B,2,FALSE)))+1)/VLOOKUP(B7422,'Poids des runes'!A:B,2,FALSE))</f>
        <v>16.02</v>
      </c>
      <c r="F7422">
        <f t="shared" si="115"/>
        <v>16.02</v>
      </c>
    </row>
    <row r="7423" spans="1:6" x14ac:dyDescent="0.3">
      <c r="A7423" t="s">
        <v>1330</v>
      </c>
      <c r="B7423" t="s">
        <v>2128</v>
      </c>
      <c r="C7423">
        <v>175.5</v>
      </c>
      <c r="D7423">
        <v>194</v>
      </c>
      <c r="E7423">
        <f>IF(OR(B7423="vi",B7423="ii",B7423="pod"),(((D7423/100)*(C7423*VLOOKUP(B7423,'Poids des runes'!A:B,2,FALSE)))+1),(((D7423/100)*(C7423*VLOOKUP(B7423,'Poids des runes'!A:B,2,FALSE)))+1)/VLOOKUP(B7423,'Poids des runes'!A:B,2,FALSE))</f>
        <v>69.093999999999994</v>
      </c>
      <c r="F7423">
        <f t="shared" si="115"/>
        <v>69.093999999999994</v>
      </c>
    </row>
    <row r="7424" spans="1:6" x14ac:dyDescent="0.3">
      <c r="A7424" t="s">
        <v>1330</v>
      </c>
      <c r="B7424" t="s">
        <v>2130</v>
      </c>
      <c r="C7424">
        <v>25.5</v>
      </c>
      <c r="D7424">
        <v>194</v>
      </c>
      <c r="E7424">
        <f>IF(OR(B7424="vi",B7424="ii",B7424="pod"),(((D7424/100)*(C7424*VLOOKUP(B7424,'Poids des runes'!A:B,2,FALSE)))+1),(((D7424/100)*(C7424*VLOOKUP(B7424,'Poids des runes'!A:B,2,FALSE)))+1)/VLOOKUP(B7424,'Poids des runes'!A:B,2,FALSE))</f>
        <v>50.47</v>
      </c>
      <c r="F7424">
        <f t="shared" si="115"/>
        <v>50.47</v>
      </c>
    </row>
    <row r="7425" spans="1:6" x14ac:dyDescent="0.3">
      <c r="A7425" t="s">
        <v>1330</v>
      </c>
      <c r="B7425" t="s">
        <v>2126</v>
      </c>
      <c r="C7425">
        <v>25.5</v>
      </c>
      <c r="D7425">
        <v>194</v>
      </c>
      <c r="E7425">
        <f>IF(OR(B7425="vi",B7425="ii",B7425="pod"),(((D7425/100)*(C7425*VLOOKUP(B7425,'Poids des runes'!A:B,2,FALSE)))+1),(((D7425/100)*(C7425*VLOOKUP(B7425,'Poids des runes'!A:B,2,FALSE)))+1)/VLOOKUP(B7425,'Poids des runes'!A:B,2,FALSE))</f>
        <v>50.47</v>
      </c>
      <c r="F7425">
        <f t="shared" si="115"/>
        <v>50.47</v>
      </c>
    </row>
    <row r="7426" spans="1:6" x14ac:dyDescent="0.3">
      <c r="A7426" t="s">
        <v>1330</v>
      </c>
      <c r="B7426" t="s">
        <v>2131</v>
      </c>
      <c r="C7426">
        <v>25.5</v>
      </c>
      <c r="D7426">
        <v>194</v>
      </c>
      <c r="E7426">
        <f>IF(OR(B7426="vi",B7426="ii",B7426="pod"),(((D7426/100)*(C7426*VLOOKUP(B7426,'Poids des runes'!A:B,2,FALSE)))+1),(((D7426/100)*(C7426*VLOOKUP(B7426,'Poids des runes'!A:B,2,FALSE)))+1)/VLOOKUP(B7426,'Poids des runes'!A:B,2,FALSE))</f>
        <v>50.47</v>
      </c>
      <c r="F7426">
        <f t="shared" si="115"/>
        <v>50.47</v>
      </c>
    </row>
    <row r="7427" spans="1:6" x14ac:dyDescent="0.3">
      <c r="A7427" t="s">
        <v>1330</v>
      </c>
      <c r="B7427" t="s">
        <v>2129</v>
      </c>
      <c r="C7427">
        <v>25.5</v>
      </c>
      <c r="D7427">
        <v>194</v>
      </c>
      <c r="E7427">
        <f>IF(OR(B7427="vi",B7427="ii",B7427="pod"),(((D7427/100)*(C7427*VLOOKUP(B7427,'Poids des runes'!A:B,2,FALSE)))+1),(((D7427/100)*(C7427*VLOOKUP(B7427,'Poids des runes'!A:B,2,FALSE)))+1)/VLOOKUP(B7427,'Poids des runes'!A:B,2,FALSE))</f>
        <v>50.47</v>
      </c>
      <c r="F7427">
        <f t="shared" ref="F7427:F7490" si="116">E7427</f>
        <v>50.47</v>
      </c>
    </row>
    <row r="7428" spans="1:6" x14ac:dyDescent="0.3">
      <c r="A7428" t="s">
        <v>1330</v>
      </c>
      <c r="B7428" t="s">
        <v>2151</v>
      </c>
      <c r="C7428">
        <v>2.5</v>
      </c>
      <c r="D7428">
        <v>194</v>
      </c>
      <c r="E7428">
        <f>IF(OR(B7428="vi",B7428="ii",B7428="pod"),(((D7428/100)*(C7428*VLOOKUP(B7428,'Poids des runes'!A:B,2,FALSE)))+1),(((D7428/100)*(C7428*VLOOKUP(B7428,'Poids des runes'!A:B,2,FALSE)))+1)/VLOOKUP(B7428,'Poids des runes'!A:B,2,FALSE))</f>
        <v>4.95</v>
      </c>
      <c r="F7428">
        <f t="shared" si="116"/>
        <v>4.95</v>
      </c>
    </row>
    <row r="7429" spans="1:6" x14ac:dyDescent="0.3">
      <c r="A7429" t="s">
        <v>1330</v>
      </c>
      <c r="B7429" t="s">
        <v>2152</v>
      </c>
      <c r="C7429">
        <v>1</v>
      </c>
      <c r="D7429">
        <v>194</v>
      </c>
      <c r="E7429">
        <f>IF(OR(B7429="vi",B7429="ii",B7429="pod"),(((D7429/100)*(C7429*VLOOKUP(B7429,'Poids des runes'!A:B,2,FALSE)))+1),(((D7429/100)*(C7429*VLOOKUP(B7429,'Poids des runes'!A:B,2,FALSE)))+1)/VLOOKUP(B7429,'Poids des runes'!A:B,2,FALSE))</f>
        <v>1.95</v>
      </c>
      <c r="F7429">
        <f t="shared" si="116"/>
        <v>1.95</v>
      </c>
    </row>
    <row r="7430" spans="1:6" x14ac:dyDescent="0.3">
      <c r="A7430" t="s">
        <v>1330</v>
      </c>
      <c r="B7430" t="s">
        <v>2143</v>
      </c>
      <c r="C7430">
        <v>8.5</v>
      </c>
      <c r="D7430">
        <v>194</v>
      </c>
      <c r="E7430">
        <f>IF(OR(B7430="vi",B7430="ii",B7430="pod"),(((D7430/100)*(C7430*VLOOKUP(B7430,'Poids des runes'!A:B,2,FALSE)))+1),(((D7430/100)*(C7430*VLOOKUP(B7430,'Poids des runes'!A:B,2,FALSE)))+1)/VLOOKUP(B7430,'Poids des runes'!A:B,2,FALSE))</f>
        <v>16.690000000000001</v>
      </c>
      <c r="F7430">
        <f t="shared" si="116"/>
        <v>16.690000000000001</v>
      </c>
    </row>
    <row r="7431" spans="1:6" x14ac:dyDescent="0.3">
      <c r="A7431" t="s">
        <v>1330</v>
      </c>
      <c r="B7431" t="s">
        <v>2140</v>
      </c>
      <c r="C7431">
        <v>8.5</v>
      </c>
      <c r="D7431">
        <v>194</v>
      </c>
      <c r="E7431">
        <f>IF(OR(B7431="vi",B7431="ii",B7431="pod"),(((D7431/100)*(C7431*VLOOKUP(B7431,'Poids des runes'!A:B,2,FALSE)))+1),(((D7431/100)*(C7431*VLOOKUP(B7431,'Poids des runes'!A:B,2,FALSE)))+1)/VLOOKUP(B7431,'Poids des runes'!A:B,2,FALSE))</f>
        <v>16.690000000000001</v>
      </c>
      <c r="F7431">
        <f t="shared" si="116"/>
        <v>16.690000000000001</v>
      </c>
    </row>
    <row r="7432" spans="1:6" x14ac:dyDescent="0.3">
      <c r="A7432" t="s">
        <v>1330</v>
      </c>
      <c r="B7432" t="s">
        <v>2133</v>
      </c>
      <c r="C7432">
        <v>8.5</v>
      </c>
      <c r="D7432">
        <v>194</v>
      </c>
      <c r="E7432">
        <f>IF(OR(B7432="vi",B7432="ii",B7432="pod"),(((D7432/100)*(C7432*VLOOKUP(B7432,'Poids des runes'!A:B,2,FALSE)))+1),(((D7432/100)*(C7432*VLOOKUP(B7432,'Poids des runes'!A:B,2,FALSE)))+1)/VLOOKUP(B7432,'Poids des runes'!A:B,2,FALSE))</f>
        <v>16.690000000000001</v>
      </c>
      <c r="F7432">
        <f t="shared" si="116"/>
        <v>16.690000000000001</v>
      </c>
    </row>
    <row r="7433" spans="1:6" x14ac:dyDescent="0.3">
      <c r="A7433" t="s">
        <v>1330</v>
      </c>
      <c r="B7433" t="s">
        <v>2161</v>
      </c>
      <c r="C7433">
        <v>15.5</v>
      </c>
      <c r="D7433">
        <v>194</v>
      </c>
      <c r="E7433">
        <f>IF(OR(B7433="vi",B7433="ii",B7433="pod"),(((D7433/100)*(C7433*VLOOKUP(B7433,'Poids des runes'!A:B,2,FALSE)))+1),(((D7433/100)*(C7433*VLOOKUP(B7433,'Poids des runes'!A:B,2,FALSE)))+1)/VLOOKUP(B7433,'Poids des runes'!A:B,2,FALSE))</f>
        <v>30.403333333333332</v>
      </c>
      <c r="F7433">
        <f t="shared" si="116"/>
        <v>30.403333333333332</v>
      </c>
    </row>
    <row r="7434" spans="1:6" x14ac:dyDescent="0.3">
      <c r="A7434" t="s">
        <v>1330</v>
      </c>
      <c r="B7434" t="s">
        <v>2156</v>
      </c>
      <c r="C7434">
        <v>3.5</v>
      </c>
      <c r="D7434">
        <v>194</v>
      </c>
      <c r="E7434">
        <f>IF(OR(B7434="vi",B7434="ii",B7434="pod"),(((D7434/100)*(C7434*VLOOKUP(B7434,'Poids des runes'!A:B,2,FALSE)))+1),(((D7434/100)*(C7434*VLOOKUP(B7434,'Poids des runes'!A:B,2,FALSE)))+1)/VLOOKUP(B7434,'Poids des runes'!A:B,2,FALSE))</f>
        <v>6.956666666666667</v>
      </c>
      <c r="F7434">
        <f t="shared" si="116"/>
        <v>6.956666666666667</v>
      </c>
    </row>
    <row r="7435" spans="1:6" x14ac:dyDescent="0.3">
      <c r="A7435" t="s">
        <v>1330</v>
      </c>
      <c r="B7435" t="s">
        <v>2148</v>
      </c>
      <c r="C7435">
        <v>3.5</v>
      </c>
      <c r="D7435">
        <v>194</v>
      </c>
      <c r="E7435">
        <f>IF(OR(B7435="vi",B7435="ii",B7435="pod"),(((D7435/100)*(C7435*VLOOKUP(B7435,'Poids des runes'!A:B,2,FALSE)))+1),(((D7435/100)*(C7435*VLOOKUP(B7435,'Poids des runes'!A:B,2,FALSE)))+1)/VLOOKUP(B7435,'Poids des runes'!A:B,2,FALSE))</f>
        <v>6.956666666666667</v>
      </c>
      <c r="F7435">
        <f t="shared" si="116"/>
        <v>6.956666666666667</v>
      </c>
    </row>
    <row r="7436" spans="1:6" x14ac:dyDescent="0.3">
      <c r="A7436" t="s">
        <v>1330</v>
      </c>
      <c r="B7436" t="s">
        <v>2147</v>
      </c>
      <c r="C7436">
        <v>3.5</v>
      </c>
      <c r="D7436">
        <v>194</v>
      </c>
      <c r="E7436">
        <f>IF(OR(B7436="vi",B7436="ii",B7436="pod"),(((D7436/100)*(C7436*VLOOKUP(B7436,'Poids des runes'!A:B,2,FALSE)))+1),(((D7436/100)*(C7436*VLOOKUP(B7436,'Poids des runes'!A:B,2,FALSE)))+1)/VLOOKUP(B7436,'Poids des runes'!A:B,2,FALSE))</f>
        <v>6.956666666666667</v>
      </c>
      <c r="F7436">
        <f t="shared" si="116"/>
        <v>6.956666666666667</v>
      </c>
    </row>
    <row r="7437" spans="1:6" x14ac:dyDescent="0.3">
      <c r="A7437" t="s">
        <v>1330</v>
      </c>
      <c r="B7437" t="s">
        <v>2135</v>
      </c>
      <c r="C7437">
        <v>3.5</v>
      </c>
      <c r="D7437">
        <v>194</v>
      </c>
      <c r="E7437">
        <f>IF(OR(B7437="vi",B7437="ii",B7437="pod"),(((D7437/100)*(C7437*VLOOKUP(B7437,'Poids des runes'!A:B,2,FALSE)))+1),(((D7437/100)*(C7437*VLOOKUP(B7437,'Poids des runes'!A:B,2,FALSE)))+1)/VLOOKUP(B7437,'Poids des runes'!A:B,2,FALSE))</f>
        <v>6.956666666666667</v>
      </c>
      <c r="F7437">
        <f t="shared" si="116"/>
        <v>6.956666666666667</v>
      </c>
    </row>
    <row r="7438" spans="1:6" x14ac:dyDescent="0.3">
      <c r="A7438" t="s">
        <v>1331</v>
      </c>
      <c r="B7438" t="s">
        <v>2128</v>
      </c>
      <c r="C7438">
        <v>350.5</v>
      </c>
      <c r="D7438">
        <v>194</v>
      </c>
      <c r="E7438">
        <f>IF(OR(B7438="vi",B7438="ii",B7438="pod"),(((D7438/100)*(C7438*VLOOKUP(B7438,'Poids des runes'!A:B,2,FALSE)))+1),(((D7438/100)*(C7438*VLOOKUP(B7438,'Poids des runes'!A:B,2,FALSE)))+1)/VLOOKUP(B7438,'Poids des runes'!A:B,2,FALSE))</f>
        <v>136.994</v>
      </c>
      <c r="F7438">
        <f t="shared" si="116"/>
        <v>136.994</v>
      </c>
    </row>
    <row r="7439" spans="1:6" x14ac:dyDescent="0.3">
      <c r="A7439" t="s">
        <v>1331</v>
      </c>
      <c r="B7439" t="s">
        <v>2129</v>
      </c>
      <c r="C7439">
        <v>40.5</v>
      </c>
      <c r="D7439">
        <v>194</v>
      </c>
      <c r="E7439">
        <f>IF(OR(B7439="vi",B7439="ii",B7439="pod"),(((D7439/100)*(C7439*VLOOKUP(B7439,'Poids des runes'!A:B,2,FALSE)))+1),(((D7439/100)*(C7439*VLOOKUP(B7439,'Poids des runes'!A:B,2,FALSE)))+1)/VLOOKUP(B7439,'Poids des runes'!A:B,2,FALSE))</f>
        <v>79.569999999999993</v>
      </c>
      <c r="F7439">
        <f t="shared" si="116"/>
        <v>79.569999999999993</v>
      </c>
    </row>
    <row r="7440" spans="1:6" x14ac:dyDescent="0.3">
      <c r="A7440" t="s">
        <v>1331</v>
      </c>
      <c r="B7440" t="s">
        <v>2154</v>
      </c>
      <c r="C7440">
        <v>1</v>
      </c>
      <c r="D7440">
        <v>194</v>
      </c>
      <c r="E7440">
        <f>IF(OR(B7440="vi",B7440="ii",B7440="pod"),(((D7440/100)*(C7440*VLOOKUP(B7440,'Poids des runes'!A:B,2,FALSE)))+1),(((D7440/100)*(C7440*VLOOKUP(B7440,'Poids des runes'!A:B,2,FALSE)))+1)/VLOOKUP(B7440,'Poids des runes'!A:B,2,FALSE))</f>
        <v>1.951111111111111</v>
      </c>
      <c r="F7440">
        <f t="shared" si="116"/>
        <v>1.951111111111111</v>
      </c>
    </row>
    <row r="7441" spans="1:6" x14ac:dyDescent="0.3">
      <c r="A7441" t="s">
        <v>1331</v>
      </c>
      <c r="B7441" t="s">
        <v>2155</v>
      </c>
      <c r="C7441">
        <v>1</v>
      </c>
      <c r="D7441">
        <v>194</v>
      </c>
      <c r="E7441">
        <f>IF(OR(B7441="vi",B7441="ii",B7441="pod"),(((D7441/100)*(C7441*VLOOKUP(B7441,'Poids des runes'!A:B,2,FALSE)))+1),(((D7441/100)*(C7441*VLOOKUP(B7441,'Poids des runes'!A:B,2,FALSE)))+1)/VLOOKUP(B7441,'Poids des runes'!A:B,2,FALSE))</f>
        <v>1.9596078431372548</v>
      </c>
      <c r="F7441">
        <f t="shared" si="116"/>
        <v>1.9596078431372548</v>
      </c>
    </row>
    <row r="7442" spans="1:6" x14ac:dyDescent="0.3">
      <c r="A7442" t="s">
        <v>1331</v>
      </c>
      <c r="B7442" t="s">
        <v>2150</v>
      </c>
      <c r="C7442">
        <v>1.5</v>
      </c>
      <c r="D7442">
        <v>194</v>
      </c>
      <c r="E7442">
        <f>IF(OR(B7442="vi",B7442="ii",B7442="pod"),(((D7442/100)*(C7442*VLOOKUP(B7442,'Poids des runes'!A:B,2,FALSE)))+1),(((D7442/100)*(C7442*VLOOKUP(B7442,'Poids des runes'!A:B,2,FALSE)))+1)/VLOOKUP(B7442,'Poids des runes'!A:B,2,FALSE))</f>
        <v>2.9433333333333334</v>
      </c>
      <c r="F7442">
        <f t="shared" si="116"/>
        <v>2.9433333333333334</v>
      </c>
    </row>
    <row r="7443" spans="1:6" x14ac:dyDescent="0.3">
      <c r="A7443" t="s">
        <v>1331</v>
      </c>
      <c r="B7443" t="s">
        <v>2141</v>
      </c>
      <c r="C7443">
        <v>8.5</v>
      </c>
      <c r="D7443">
        <v>194</v>
      </c>
      <c r="E7443">
        <f>IF(OR(B7443="vi",B7443="ii",B7443="pod"),(((D7443/100)*(C7443*VLOOKUP(B7443,'Poids des runes'!A:B,2,FALSE)))+1),(((D7443/100)*(C7443*VLOOKUP(B7443,'Poids des runes'!A:B,2,FALSE)))+1)/VLOOKUP(B7443,'Poids des runes'!A:B,2,FALSE))</f>
        <v>16.739999999999998</v>
      </c>
      <c r="F7443">
        <f t="shared" si="116"/>
        <v>16.739999999999998</v>
      </c>
    </row>
    <row r="7444" spans="1:6" x14ac:dyDescent="0.3">
      <c r="A7444" t="s">
        <v>1331</v>
      </c>
      <c r="B7444" t="s">
        <v>2160</v>
      </c>
      <c r="C7444">
        <v>5</v>
      </c>
      <c r="D7444">
        <v>194</v>
      </c>
      <c r="E7444">
        <f>IF(OR(B7444="vi",B7444="ii",B7444="pod"),(((D7444/100)*(C7444*VLOOKUP(B7444,'Poids des runes'!A:B,2,FALSE)))+1),(((D7444/100)*(C7444*VLOOKUP(B7444,'Poids des runes'!A:B,2,FALSE)))+1)/VLOOKUP(B7444,'Poids des runes'!A:B,2,FALSE))</f>
        <v>9.8428571428571416</v>
      </c>
      <c r="F7444">
        <f t="shared" si="116"/>
        <v>9.8428571428571416</v>
      </c>
    </row>
    <row r="7445" spans="1:6" x14ac:dyDescent="0.3">
      <c r="A7445" t="s">
        <v>1331</v>
      </c>
      <c r="B7445" t="s">
        <v>2142</v>
      </c>
      <c r="C7445">
        <v>18</v>
      </c>
      <c r="D7445">
        <v>194</v>
      </c>
      <c r="E7445">
        <f>IF(OR(B7445="vi",B7445="ii",B7445="pod"),(((D7445/100)*(C7445*VLOOKUP(B7445,'Poids des runes'!A:B,2,FALSE)))+1),(((D7445/100)*(C7445*VLOOKUP(B7445,'Poids des runes'!A:B,2,FALSE)))+1)/VLOOKUP(B7445,'Poids des runes'!A:B,2,FALSE))</f>
        <v>35.119999999999997</v>
      </c>
      <c r="F7445">
        <f t="shared" si="116"/>
        <v>35.119999999999997</v>
      </c>
    </row>
    <row r="7446" spans="1:6" x14ac:dyDescent="0.3">
      <c r="A7446" t="s">
        <v>1331</v>
      </c>
      <c r="B7446" t="s">
        <v>2135</v>
      </c>
      <c r="C7446">
        <v>5</v>
      </c>
      <c r="D7446">
        <v>194</v>
      </c>
      <c r="E7446">
        <f>IF(OR(B7446="vi",B7446="ii",B7446="pod"),(((D7446/100)*(C7446*VLOOKUP(B7446,'Poids des runes'!A:B,2,FALSE)))+1),(((D7446/100)*(C7446*VLOOKUP(B7446,'Poids des runes'!A:B,2,FALSE)))+1)/VLOOKUP(B7446,'Poids des runes'!A:B,2,FALSE))</f>
        <v>9.8666666666666654</v>
      </c>
      <c r="F7446">
        <f t="shared" si="116"/>
        <v>9.8666666666666654</v>
      </c>
    </row>
    <row r="7447" spans="1:6" x14ac:dyDescent="0.3">
      <c r="A7447" t="s">
        <v>1331</v>
      </c>
      <c r="B7447" t="s">
        <v>2137</v>
      </c>
      <c r="C7447">
        <v>16</v>
      </c>
      <c r="D7447">
        <v>194</v>
      </c>
      <c r="E7447">
        <f>IF(OR(B7447="vi",B7447="ii",B7447="pod"),(((D7447/100)*(C7447*VLOOKUP(B7447,'Poids des runes'!A:B,2,FALSE)))+1),(((D7447/100)*(C7447*VLOOKUP(B7447,'Poids des runes'!A:B,2,FALSE)))+1)/VLOOKUP(B7447,'Poids des runes'!A:B,2,FALSE))</f>
        <v>31.54</v>
      </c>
      <c r="F7447">
        <f t="shared" si="116"/>
        <v>31.54</v>
      </c>
    </row>
    <row r="7448" spans="1:6" x14ac:dyDescent="0.3">
      <c r="A7448" t="s">
        <v>1331</v>
      </c>
      <c r="B7448" t="s">
        <v>2144</v>
      </c>
      <c r="C7448">
        <v>16</v>
      </c>
      <c r="D7448">
        <v>194</v>
      </c>
      <c r="E7448">
        <f>IF(OR(B7448="vi",B7448="ii",B7448="pod"),(((D7448/100)*(C7448*VLOOKUP(B7448,'Poids des runes'!A:B,2,FALSE)))+1),(((D7448/100)*(C7448*VLOOKUP(B7448,'Poids des runes'!A:B,2,FALSE)))+1)/VLOOKUP(B7448,'Poids des runes'!A:B,2,FALSE))</f>
        <v>31.54</v>
      </c>
      <c r="F7448">
        <f t="shared" si="116"/>
        <v>31.54</v>
      </c>
    </row>
    <row r="7449" spans="1:6" x14ac:dyDescent="0.3">
      <c r="A7449" t="s">
        <v>1331</v>
      </c>
      <c r="B7449" t="s">
        <v>2145</v>
      </c>
      <c r="C7449">
        <v>16</v>
      </c>
      <c r="D7449">
        <v>194</v>
      </c>
      <c r="E7449">
        <f>IF(OR(B7449="vi",B7449="ii",B7449="pod"),(((D7449/100)*(C7449*VLOOKUP(B7449,'Poids des runes'!A:B,2,FALSE)))+1),(((D7449/100)*(C7449*VLOOKUP(B7449,'Poids des runes'!A:B,2,FALSE)))+1)/VLOOKUP(B7449,'Poids des runes'!A:B,2,FALSE))</f>
        <v>31.54</v>
      </c>
      <c r="F7449">
        <f t="shared" si="116"/>
        <v>31.54</v>
      </c>
    </row>
    <row r="7450" spans="1:6" x14ac:dyDescent="0.3">
      <c r="A7450" t="s">
        <v>1331</v>
      </c>
      <c r="B7450" t="s">
        <v>2146</v>
      </c>
      <c r="C7450">
        <v>16</v>
      </c>
      <c r="D7450">
        <v>194</v>
      </c>
      <c r="E7450">
        <f>IF(OR(B7450="vi",B7450="ii",B7450="pod"),(((D7450/100)*(C7450*VLOOKUP(B7450,'Poids des runes'!A:B,2,FALSE)))+1),(((D7450/100)*(C7450*VLOOKUP(B7450,'Poids des runes'!A:B,2,FALSE)))+1)/VLOOKUP(B7450,'Poids des runes'!A:B,2,FALSE))</f>
        <v>31.54</v>
      </c>
      <c r="F7450">
        <f t="shared" si="116"/>
        <v>31.54</v>
      </c>
    </row>
    <row r="7451" spans="1:6" x14ac:dyDescent="0.3">
      <c r="A7451" t="s">
        <v>1332</v>
      </c>
      <c r="B7451" t="s">
        <v>2128</v>
      </c>
      <c r="C7451">
        <v>325.5</v>
      </c>
      <c r="D7451">
        <v>194</v>
      </c>
      <c r="E7451">
        <f>IF(OR(B7451="vi",B7451="ii",B7451="pod"),(((D7451/100)*(C7451*VLOOKUP(B7451,'Poids des runes'!A:B,2,FALSE)))+1),(((D7451/100)*(C7451*VLOOKUP(B7451,'Poids des runes'!A:B,2,FALSE)))+1)/VLOOKUP(B7451,'Poids des runes'!A:B,2,FALSE))</f>
        <v>127.29400000000001</v>
      </c>
      <c r="F7451">
        <f t="shared" si="116"/>
        <v>127.29400000000001</v>
      </c>
    </row>
    <row r="7452" spans="1:6" x14ac:dyDescent="0.3">
      <c r="A7452" t="s">
        <v>1332</v>
      </c>
      <c r="B7452" t="s">
        <v>2131</v>
      </c>
      <c r="C7452">
        <v>70.5</v>
      </c>
      <c r="D7452">
        <v>194</v>
      </c>
      <c r="E7452">
        <f>IF(OR(B7452="vi",B7452="ii",B7452="pod"),(((D7452/100)*(C7452*VLOOKUP(B7452,'Poids des runes'!A:B,2,FALSE)))+1),(((D7452/100)*(C7452*VLOOKUP(B7452,'Poids des runes'!A:B,2,FALSE)))+1)/VLOOKUP(B7452,'Poids des runes'!A:B,2,FALSE))</f>
        <v>137.77000000000001</v>
      </c>
      <c r="F7452">
        <f t="shared" si="116"/>
        <v>137.77000000000001</v>
      </c>
    </row>
    <row r="7453" spans="1:6" x14ac:dyDescent="0.3">
      <c r="A7453" t="s">
        <v>1332</v>
      </c>
      <c r="B7453" t="s">
        <v>2127</v>
      </c>
      <c r="C7453">
        <v>70.5</v>
      </c>
      <c r="D7453">
        <v>194</v>
      </c>
      <c r="E7453">
        <f>IF(OR(B7453="vi",B7453="ii",B7453="pod"),(((D7453/100)*(C7453*VLOOKUP(B7453,'Poids des runes'!A:B,2,FALSE)))+1),(((D7453/100)*(C7453*VLOOKUP(B7453,'Poids des runes'!A:B,2,FALSE)))+1)/VLOOKUP(B7453,'Poids des runes'!A:B,2,FALSE))</f>
        <v>137.77000000000001</v>
      </c>
      <c r="F7453">
        <f t="shared" si="116"/>
        <v>137.77000000000001</v>
      </c>
    </row>
    <row r="7454" spans="1:6" x14ac:dyDescent="0.3">
      <c r="A7454" t="s">
        <v>1332</v>
      </c>
      <c r="B7454" t="s">
        <v>2129</v>
      </c>
      <c r="C7454">
        <v>25.5</v>
      </c>
      <c r="D7454">
        <v>194</v>
      </c>
      <c r="E7454">
        <f>IF(OR(B7454="vi",B7454="ii",B7454="pod"),(((D7454/100)*(C7454*VLOOKUP(B7454,'Poids des runes'!A:B,2,FALSE)))+1),(((D7454/100)*(C7454*VLOOKUP(B7454,'Poids des runes'!A:B,2,FALSE)))+1)/VLOOKUP(B7454,'Poids des runes'!A:B,2,FALSE))</f>
        <v>50.47</v>
      </c>
      <c r="F7454">
        <f t="shared" si="116"/>
        <v>50.47</v>
      </c>
    </row>
    <row r="7455" spans="1:6" x14ac:dyDescent="0.3">
      <c r="A7455" t="s">
        <v>1332</v>
      </c>
      <c r="B7455" t="s">
        <v>2151</v>
      </c>
      <c r="C7455">
        <v>2.5</v>
      </c>
      <c r="D7455">
        <v>194</v>
      </c>
      <c r="E7455">
        <f>IF(OR(B7455="vi",B7455="ii",B7455="pod"),(((D7455/100)*(C7455*VLOOKUP(B7455,'Poids des runes'!A:B,2,FALSE)))+1),(((D7455/100)*(C7455*VLOOKUP(B7455,'Poids des runes'!A:B,2,FALSE)))+1)/VLOOKUP(B7455,'Poids des runes'!A:B,2,FALSE))</f>
        <v>4.95</v>
      </c>
      <c r="F7455">
        <f t="shared" si="116"/>
        <v>4.95</v>
      </c>
    </row>
    <row r="7456" spans="1:6" x14ac:dyDescent="0.3">
      <c r="A7456" t="s">
        <v>1332</v>
      </c>
      <c r="B7456" t="s">
        <v>2155</v>
      </c>
      <c r="C7456">
        <v>1</v>
      </c>
      <c r="D7456">
        <v>194</v>
      </c>
      <c r="E7456">
        <f>IF(OR(B7456="vi",B7456="ii",B7456="pod"),(((D7456/100)*(C7456*VLOOKUP(B7456,'Poids des runes'!A:B,2,FALSE)))+1),(((D7456/100)*(C7456*VLOOKUP(B7456,'Poids des runes'!A:B,2,FALSE)))+1)/VLOOKUP(B7456,'Poids des runes'!A:B,2,FALSE))</f>
        <v>1.9596078431372548</v>
      </c>
      <c r="F7456">
        <f t="shared" si="116"/>
        <v>1.9596078431372548</v>
      </c>
    </row>
    <row r="7457" spans="1:6" x14ac:dyDescent="0.3">
      <c r="A7457" t="s">
        <v>1332</v>
      </c>
      <c r="B7457" t="s">
        <v>2133</v>
      </c>
      <c r="C7457">
        <v>10</v>
      </c>
      <c r="D7457">
        <v>194</v>
      </c>
      <c r="E7457">
        <f>IF(OR(B7457="vi",B7457="ii",B7457="pod"),(((D7457/100)*(C7457*VLOOKUP(B7457,'Poids des runes'!A:B,2,FALSE)))+1),(((D7457/100)*(C7457*VLOOKUP(B7457,'Poids des runes'!A:B,2,FALSE)))+1)/VLOOKUP(B7457,'Poids des runes'!A:B,2,FALSE))</f>
        <v>19.600000000000001</v>
      </c>
      <c r="F7457">
        <f t="shared" si="116"/>
        <v>19.600000000000001</v>
      </c>
    </row>
    <row r="7458" spans="1:6" x14ac:dyDescent="0.3">
      <c r="A7458" t="s">
        <v>1332</v>
      </c>
      <c r="B7458" t="s">
        <v>2153</v>
      </c>
      <c r="C7458">
        <v>10</v>
      </c>
      <c r="D7458">
        <v>194</v>
      </c>
      <c r="E7458">
        <f>IF(OR(B7458="vi",B7458="ii",B7458="pod"),(((D7458/100)*(C7458*VLOOKUP(B7458,'Poids des runes'!A:B,2,FALSE)))+1),(((D7458/100)*(C7458*VLOOKUP(B7458,'Poids des runes'!A:B,2,FALSE)))+1)/VLOOKUP(B7458,'Poids des runes'!A:B,2,FALSE))</f>
        <v>19.600000000000001</v>
      </c>
      <c r="F7458">
        <f t="shared" si="116"/>
        <v>19.600000000000001</v>
      </c>
    </row>
    <row r="7459" spans="1:6" x14ac:dyDescent="0.3">
      <c r="A7459" t="s">
        <v>1332</v>
      </c>
      <c r="B7459" t="s">
        <v>2138</v>
      </c>
      <c r="C7459">
        <v>7</v>
      </c>
      <c r="D7459">
        <v>194</v>
      </c>
      <c r="E7459">
        <f>IF(OR(B7459="vi",B7459="ii",B7459="pod"),(((D7459/100)*(C7459*VLOOKUP(B7459,'Poids des runes'!A:B,2,FALSE)))+1),(((D7459/100)*(C7459*VLOOKUP(B7459,'Poids des runes'!A:B,2,FALSE)))+1)/VLOOKUP(B7459,'Poids des runes'!A:B,2,FALSE))</f>
        <v>13.83</v>
      </c>
      <c r="F7459">
        <f t="shared" si="116"/>
        <v>13.83</v>
      </c>
    </row>
    <row r="7460" spans="1:6" x14ac:dyDescent="0.3">
      <c r="A7460" t="s">
        <v>1332</v>
      </c>
      <c r="B7460" t="s">
        <v>2163</v>
      </c>
      <c r="C7460">
        <v>13</v>
      </c>
      <c r="D7460">
        <v>194</v>
      </c>
      <c r="E7460">
        <f>IF(OR(B7460="vi",B7460="ii",B7460="pod"),(((D7460/100)*(C7460*VLOOKUP(B7460,'Poids des runes'!A:B,2,FALSE)))+1),(((D7460/100)*(C7460*VLOOKUP(B7460,'Poids des runes'!A:B,2,FALSE)))+1)/VLOOKUP(B7460,'Poids des runes'!A:B,2,FALSE))</f>
        <v>25.72</v>
      </c>
      <c r="F7460">
        <f t="shared" si="116"/>
        <v>25.72</v>
      </c>
    </row>
    <row r="7461" spans="1:6" x14ac:dyDescent="0.3">
      <c r="A7461" t="s">
        <v>1332</v>
      </c>
      <c r="B7461" t="s">
        <v>2156</v>
      </c>
      <c r="C7461">
        <v>6</v>
      </c>
      <c r="D7461">
        <v>194</v>
      </c>
      <c r="E7461">
        <f>IF(OR(B7461="vi",B7461="ii",B7461="pod"),(((D7461/100)*(C7461*VLOOKUP(B7461,'Poids des runes'!A:B,2,FALSE)))+1),(((D7461/100)*(C7461*VLOOKUP(B7461,'Poids des runes'!A:B,2,FALSE)))+1)/VLOOKUP(B7461,'Poids des runes'!A:B,2,FALSE))</f>
        <v>11.806666666666667</v>
      </c>
      <c r="F7461">
        <f t="shared" si="116"/>
        <v>11.806666666666667</v>
      </c>
    </row>
    <row r="7462" spans="1:6" x14ac:dyDescent="0.3">
      <c r="A7462" t="s">
        <v>1332</v>
      </c>
      <c r="B7462" t="s">
        <v>2135</v>
      </c>
      <c r="C7462">
        <v>6</v>
      </c>
      <c r="D7462">
        <v>194</v>
      </c>
      <c r="E7462">
        <f>IF(OR(B7462="vi",B7462="ii",B7462="pod"),(((D7462/100)*(C7462*VLOOKUP(B7462,'Poids des runes'!A:B,2,FALSE)))+1),(((D7462/100)*(C7462*VLOOKUP(B7462,'Poids des runes'!A:B,2,FALSE)))+1)/VLOOKUP(B7462,'Poids des runes'!A:B,2,FALSE))</f>
        <v>11.806666666666667</v>
      </c>
      <c r="F7462">
        <f t="shared" si="116"/>
        <v>11.806666666666667</v>
      </c>
    </row>
    <row r="7463" spans="1:6" x14ac:dyDescent="0.3">
      <c r="A7463" t="s">
        <v>1332</v>
      </c>
      <c r="B7463" t="s">
        <v>2157</v>
      </c>
      <c r="C7463">
        <v>6</v>
      </c>
      <c r="D7463">
        <v>194</v>
      </c>
      <c r="E7463">
        <f>IF(OR(B7463="vi",B7463="ii",B7463="pod"),(((D7463/100)*(C7463*VLOOKUP(B7463,'Poids des runes'!A:B,2,FALSE)))+1),(((D7463/100)*(C7463*VLOOKUP(B7463,'Poids des runes'!A:B,2,FALSE)))+1)/VLOOKUP(B7463,'Poids des runes'!A:B,2,FALSE))</f>
        <v>11.806666666666667</v>
      </c>
      <c r="F7463">
        <f t="shared" si="116"/>
        <v>11.806666666666667</v>
      </c>
    </row>
    <row r="7464" spans="1:6" x14ac:dyDescent="0.3">
      <c r="A7464" t="s">
        <v>1333</v>
      </c>
      <c r="B7464" t="s">
        <v>2128</v>
      </c>
      <c r="C7464">
        <v>300.5</v>
      </c>
      <c r="D7464">
        <v>194</v>
      </c>
      <c r="E7464">
        <f>IF(OR(B7464="vi",B7464="ii",B7464="pod"),(((D7464/100)*(C7464*VLOOKUP(B7464,'Poids des runes'!A:B,2,FALSE)))+1),(((D7464/100)*(C7464*VLOOKUP(B7464,'Poids des runes'!A:B,2,FALSE)))+1)/VLOOKUP(B7464,'Poids des runes'!A:B,2,FALSE))</f>
        <v>117.59399999999999</v>
      </c>
      <c r="F7464">
        <f t="shared" si="116"/>
        <v>117.59399999999999</v>
      </c>
    </row>
    <row r="7465" spans="1:6" x14ac:dyDescent="0.3">
      <c r="A7465" t="s">
        <v>1333</v>
      </c>
      <c r="B7465" t="s">
        <v>2129</v>
      </c>
      <c r="C7465">
        <v>35.5</v>
      </c>
      <c r="D7465">
        <v>194</v>
      </c>
      <c r="E7465">
        <f>IF(OR(B7465="vi",B7465="ii",B7465="pod"),(((D7465/100)*(C7465*VLOOKUP(B7465,'Poids des runes'!A:B,2,FALSE)))+1),(((D7465/100)*(C7465*VLOOKUP(B7465,'Poids des runes'!A:B,2,FALSE)))+1)/VLOOKUP(B7465,'Poids des runes'!A:B,2,FALSE))</f>
        <v>69.87</v>
      </c>
      <c r="F7465">
        <f t="shared" si="116"/>
        <v>69.87</v>
      </c>
    </row>
    <row r="7466" spans="1:6" x14ac:dyDescent="0.3">
      <c r="A7466" t="s">
        <v>1333</v>
      </c>
      <c r="B7466" t="s">
        <v>2139</v>
      </c>
      <c r="C7466">
        <v>25.5</v>
      </c>
      <c r="D7466">
        <v>194</v>
      </c>
      <c r="E7466">
        <f>IF(OR(B7466="vi",B7466="ii",B7466="pod"),(((D7466/100)*(C7466*VLOOKUP(B7466,'Poids des runes'!A:B,2,FALSE)))+1),(((D7466/100)*(C7466*VLOOKUP(B7466,'Poids des runes'!A:B,2,FALSE)))+1)/VLOOKUP(B7466,'Poids des runes'!A:B,2,FALSE))</f>
        <v>49.97</v>
      </c>
      <c r="F7466">
        <f t="shared" si="116"/>
        <v>49.97</v>
      </c>
    </row>
    <row r="7467" spans="1:6" x14ac:dyDescent="0.3">
      <c r="A7467" t="s">
        <v>1333</v>
      </c>
      <c r="B7467" t="s">
        <v>2151</v>
      </c>
      <c r="C7467">
        <v>4.5</v>
      </c>
      <c r="D7467">
        <v>194</v>
      </c>
      <c r="E7467">
        <f>IF(OR(B7467="vi",B7467="ii",B7467="pod"),(((D7467/100)*(C7467*VLOOKUP(B7467,'Poids des runes'!A:B,2,FALSE)))+1),(((D7467/100)*(C7467*VLOOKUP(B7467,'Poids des runes'!A:B,2,FALSE)))+1)/VLOOKUP(B7467,'Poids des runes'!A:B,2,FALSE))</f>
        <v>8.83</v>
      </c>
      <c r="F7467">
        <f t="shared" si="116"/>
        <v>8.83</v>
      </c>
    </row>
    <row r="7468" spans="1:6" x14ac:dyDescent="0.3">
      <c r="A7468" t="s">
        <v>1333</v>
      </c>
      <c r="B7468" t="s">
        <v>2152</v>
      </c>
      <c r="C7468">
        <v>1</v>
      </c>
      <c r="D7468">
        <v>194</v>
      </c>
      <c r="E7468">
        <f>IF(OR(B7468="vi",B7468="ii",B7468="pod"),(((D7468/100)*(C7468*VLOOKUP(B7468,'Poids des runes'!A:B,2,FALSE)))+1),(((D7468/100)*(C7468*VLOOKUP(B7468,'Poids des runes'!A:B,2,FALSE)))+1)/VLOOKUP(B7468,'Poids des runes'!A:B,2,FALSE))</f>
        <v>1.95</v>
      </c>
      <c r="F7468">
        <f t="shared" si="116"/>
        <v>1.95</v>
      </c>
    </row>
    <row r="7469" spans="1:6" x14ac:dyDescent="0.3">
      <c r="A7469" t="s">
        <v>1333</v>
      </c>
      <c r="B7469" t="s">
        <v>2155</v>
      </c>
      <c r="C7469">
        <v>2</v>
      </c>
      <c r="D7469">
        <v>194</v>
      </c>
      <c r="E7469">
        <f>IF(OR(B7469="vi",B7469="ii",B7469="pod"),(((D7469/100)*(C7469*VLOOKUP(B7469,'Poids des runes'!A:B,2,FALSE)))+1),(((D7469/100)*(C7469*VLOOKUP(B7469,'Poids des runes'!A:B,2,FALSE)))+1)/VLOOKUP(B7469,'Poids des runes'!A:B,2,FALSE))</f>
        <v>3.8996078431372547</v>
      </c>
      <c r="F7469">
        <f t="shared" si="116"/>
        <v>3.8996078431372547</v>
      </c>
    </row>
    <row r="7470" spans="1:6" x14ac:dyDescent="0.3">
      <c r="A7470" t="s">
        <v>1333</v>
      </c>
      <c r="B7470" t="s">
        <v>2150</v>
      </c>
      <c r="C7470">
        <v>1.5</v>
      </c>
      <c r="D7470">
        <v>194</v>
      </c>
      <c r="E7470">
        <f>IF(OR(B7470="vi",B7470="ii",B7470="pod"),(((D7470/100)*(C7470*VLOOKUP(B7470,'Poids des runes'!A:B,2,FALSE)))+1),(((D7470/100)*(C7470*VLOOKUP(B7470,'Poids des runes'!A:B,2,FALSE)))+1)/VLOOKUP(B7470,'Poids des runes'!A:B,2,FALSE))</f>
        <v>2.9433333333333334</v>
      </c>
      <c r="F7470">
        <f t="shared" si="116"/>
        <v>2.9433333333333334</v>
      </c>
    </row>
    <row r="7471" spans="1:6" x14ac:dyDescent="0.3">
      <c r="A7471" t="s">
        <v>1333</v>
      </c>
      <c r="B7471" t="s">
        <v>2134</v>
      </c>
      <c r="C7471">
        <v>13</v>
      </c>
      <c r="D7471">
        <v>194</v>
      </c>
      <c r="E7471">
        <f>IF(OR(B7471="vi",B7471="ii",B7471="pod"),(((D7471/100)*(C7471*VLOOKUP(B7471,'Poids des runes'!A:B,2,FALSE)))+1),(((D7471/100)*(C7471*VLOOKUP(B7471,'Poids des runes'!A:B,2,FALSE)))+1)/VLOOKUP(B7471,'Poids des runes'!A:B,2,FALSE))</f>
        <v>25.27</v>
      </c>
      <c r="F7471">
        <f t="shared" si="116"/>
        <v>25.27</v>
      </c>
    </row>
    <row r="7472" spans="1:6" x14ac:dyDescent="0.3">
      <c r="A7472" t="s">
        <v>1333</v>
      </c>
      <c r="B7472" t="s">
        <v>2149</v>
      </c>
      <c r="C7472">
        <v>8</v>
      </c>
      <c r="D7472">
        <v>194</v>
      </c>
      <c r="E7472">
        <f>IF(OR(B7472="vi",B7472="ii",B7472="pod"),(((D7472/100)*(C7472*VLOOKUP(B7472,'Poids des runes'!A:B,2,FALSE)))+1),(((D7472/100)*(C7472*VLOOKUP(B7472,'Poids des runes'!A:B,2,FALSE)))+1)/VLOOKUP(B7472,'Poids des runes'!A:B,2,FALSE))</f>
        <v>15.62</v>
      </c>
      <c r="F7472">
        <f t="shared" si="116"/>
        <v>15.62</v>
      </c>
    </row>
    <row r="7473" spans="1:6" x14ac:dyDescent="0.3">
      <c r="A7473" t="s">
        <v>1333</v>
      </c>
      <c r="B7473" t="s">
        <v>2161</v>
      </c>
      <c r="C7473">
        <v>25.5</v>
      </c>
      <c r="D7473">
        <v>194</v>
      </c>
      <c r="E7473">
        <f>IF(OR(B7473="vi",B7473="ii",B7473="pod"),(((D7473/100)*(C7473*VLOOKUP(B7473,'Poids des runes'!A:B,2,FALSE)))+1),(((D7473/100)*(C7473*VLOOKUP(B7473,'Poids des runes'!A:B,2,FALSE)))+1)/VLOOKUP(B7473,'Poids des runes'!A:B,2,FALSE))</f>
        <v>49.803333333333335</v>
      </c>
      <c r="F7473">
        <f t="shared" si="116"/>
        <v>49.803333333333335</v>
      </c>
    </row>
    <row r="7474" spans="1:6" x14ac:dyDescent="0.3">
      <c r="A7474" t="s">
        <v>1334</v>
      </c>
      <c r="B7474" t="s">
        <v>2128</v>
      </c>
      <c r="C7474">
        <v>325.5</v>
      </c>
      <c r="D7474">
        <v>194</v>
      </c>
      <c r="E7474">
        <f>IF(OR(B7474="vi",B7474="ii",B7474="pod"),(((D7474/100)*(C7474*VLOOKUP(B7474,'Poids des runes'!A:B,2,FALSE)))+1),(((D7474/100)*(C7474*VLOOKUP(B7474,'Poids des runes'!A:B,2,FALSE)))+1)/VLOOKUP(B7474,'Poids des runes'!A:B,2,FALSE))</f>
        <v>127.29400000000001</v>
      </c>
      <c r="F7474">
        <f t="shared" si="116"/>
        <v>127.29400000000001</v>
      </c>
    </row>
    <row r="7475" spans="1:6" x14ac:dyDescent="0.3">
      <c r="A7475" t="s">
        <v>1334</v>
      </c>
      <c r="B7475" t="s">
        <v>2131</v>
      </c>
      <c r="C7475">
        <v>63</v>
      </c>
      <c r="D7475">
        <v>194</v>
      </c>
      <c r="E7475">
        <f>IF(OR(B7475="vi",B7475="ii",B7475="pod"),(((D7475/100)*(C7475*VLOOKUP(B7475,'Poids des runes'!A:B,2,FALSE)))+1),(((D7475/100)*(C7475*VLOOKUP(B7475,'Poids des runes'!A:B,2,FALSE)))+1)/VLOOKUP(B7475,'Poids des runes'!A:B,2,FALSE))</f>
        <v>123.22</v>
      </c>
      <c r="F7475">
        <f t="shared" si="116"/>
        <v>123.22</v>
      </c>
    </row>
    <row r="7476" spans="1:6" x14ac:dyDescent="0.3">
      <c r="A7476" t="s">
        <v>1334</v>
      </c>
      <c r="B7476" t="s">
        <v>2129</v>
      </c>
      <c r="C7476">
        <v>40.5</v>
      </c>
      <c r="D7476">
        <v>194</v>
      </c>
      <c r="E7476">
        <f>IF(OR(B7476="vi",B7476="ii",B7476="pod"),(((D7476/100)*(C7476*VLOOKUP(B7476,'Poids des runes'!A:B,2,FALSE)))+1),(((D7476/100)*(C7476*VLOOKUP(B7476,'Poids des runes'!A:B,2,FALSE)))+1)/VLOOKUP(B7476,'Poids des runes'!A:B,2,FALSE))</f>
        <v>79.569999999999993</v>
      </c>
      <c r="F7476">
        <f t="shared" si="116"/>
        <v>79.569999999999993</v>
      </c>
    </row>
    <row r="7477" spans="1:6" x14ac:dyDescent="0.3">
      <c r="A7477" t="s">
        <v>1334</v>
      </c>
      <c r="B7477" t="s">
        <v>2151</v>
      </c>
      <c r="C7477">
        <v>2.5</v>
      </c>
      <c r="D7477">
        <v>194</v>
      </c>
      <c r="E7477">
        <f>IF(OR(B7477="vi",B7477="ii",B7477="pod"),(((D7477/100)*(C7477*VLOOKUP(B7477,'Poids des runes'!A:B,2,FALSE)))+1),(((D7477/100)*(C7477*VLOOKUP(B7477,'Poids des runes'!A:B,2,FALSE)))+1)/VLOOKUP(B7477,'Poids des runes'!A:B,2,FALSE))</f>
        <v>4.95</v>
      </c>
      <c r="F7477">
        <f t="shared" si="116"/>
        <v>4.95</v>
      </c>
    </row>
    <row r="7478" spans="1:6" x14ac:dyDescent="0.3">
      <c r="A7478" t="s">
        <v>1334</v>
      </c>
      <c r="B7478" t="s">
        <v>2152</v>
      </c>
      <c r="C7478">
        <v>1</v>
      </c>
      <c r="D7478">
        <v>194</v>
      </c>
      <c r="E7478">
        <f>IF(OR(B7478="vi",B7478="ii",B7478="pod"),(((D7478/100)*(C7478*VLOOKUP(B7478,'Poids des runes'!A:B,2,FALSE)))+1),(((D7478/100)*(C7478*VLOOKUP(B7478,'Poids des runes'!A:B,2,FALSE)))+1)/VLOOKUP(B7478,'Poids des runes'!A:B,2,FALSE))</f>
        <v>1.95</v>
      </c>
      <c r="F7478">
        <f t="shared" si="116"/>
        <v>1.95</v>
      </c>
    </row>
    <row r="7479" spans="1:6" x14ac:dyDescent="0.3">
      <c r="A7479" t="s">
        <v>1334</v>
      </c>
      <c r="B7479" t="s">
        <v>2155</v>
      </c>
      <c r="C7479">
        <v>1</v>
      </c>
      <c r="D7479">
        <v>194</v>
      </c>
      <c r="E7479">
        <f>IF(OR(B7479="vi",B7479="ii",B7479="pod"),(((D7479/100)*(C7479*VLOOKUP(B7479,'Poids des runes'!A:B,2,FALSE)))+1),(((D7479/100)*(C7479*VLOOKUP(B7479,'Poids des runes'!A:B,2,FALSE)))+1)/VLOOKUP(B7479,'Poids des runes'!A:B,2,FALSE))</f>
        <v>1.9596078431372548</v>
      </c>
      <c r="F7479">
        <f t="shared" si="116"/>
        <v>1.9596078431372548</v>
      </c>
    </row>
    <row r="7480" spans="1:6" x14ac:dyDescent="0.3">
      <c r="A7480" t="s">
        <v>1334</v>
      </c>
      <c r="B7480" t="s">
        <v>2133</v>
      </c>
      <c r="C7480">
        <v>16</v>
      </c>
      <c r="D7480">
        <v>194</v>
      </c>
      <c r="E7480">
        <f>IF(OR(B7480="vi",B7480="ii",B7480="pod"),(((D7480/100)*(C7480*VLOOKUP(B7480,'Poids des runes'!A:B,2,FALSE)))+1),(((D7480/100)*(C7480*VLOOKUP(B7480,'Poids des runes'!A:B,2,FALSE)))+1)/VLOOKUP(B7480,'Poids des runes'!A:B,2,FALSE))</f>
        <v>31.24</v>
      </c>
      <c r="F7480">
        <f t="shared" si="116"/>
        <v>31.24</v>
      </c>
    </row>
    <row r="7481" spans="1:6" x14ac:dyDescent="0.3">
      <c r="A7481" t="s">
        <v>1334</v>
      </c>
      <c r="B7481" t="s">
        <v>2132</v>
      </c>
      <c r="C7481">
        <v>450.5</v>
      </c>
      <c r="D7481">
        <v>194</v>
      </c>
      <c r="E7481">
        <f>IF(OR(B7481="vi",B7481="ii",B7481="pod"),(((D7481/100)*(C7481*VLOOKUP(B7481,'Poids des runes'!A:B,2,FALSE)))+1),(((D7481/100)*(C7481*VLOOKUP(B7481,'Poids des runes'!A:B,2,FALSE)))+1)/VLOOKUP(B7481,'Poids des runes'!A:B,2,FALSE))</f>
        <v>88.397000000000006</v>
      </c>
      <c r="F7481">
        <f t="shared" si="116"/>
        <v>88.397000000000006</v>
      </c>
    </row>
    <row r="7482" spans="1:6" x14ac:dyDescent="0.3">
      <c r="A7482" t="s">
        <v>1334</v>
      </c>
      <c r="B7482" t="s">
        <v>2138</v>
      </c>
      <c r="C7482">
        <v>7</v>
      </c>
      <c r="D7482">
        <v>194</v>
      </c>
      <c r="E7482">
        <f>IF(OR(B7482="vi",B7482="ii",B7482="pod"),(((D7482/100)*(C7482*VLOOKUP(B7482,'Poids des runes'!A:B,2,FALSE)))+1),(((D7482/100)*(C7482*VLOOKUP(B7482,'Poids des runes'!A:B,2,FALSE)))+1)/VLOOKUP(B7482,'Poids des runes'!A:B,2,FALSE))</f>
        <v>13.83</v>
      </c>
      <c r="F7482">
        <f t="shared" si="116"/>
        <v>13.83</v>
      </c>
    </row>
    <row r="7483" spans="1:6" x14ac:dyDescent="0.3">
      <c r="A7483" t="s">
        <v>1334</v>
      </c>
      <c r="B7483" t="s">
        <v>2162</v>
      </c>
      <c r="C7483">
        <v>6</v>
      </c>
      <c r="D7483">
        <v>194</v>
      </c>
      <c r="E7483">
        <f>IF(OR(B7483="vi",B7483="ii",B7483="pod"),(((D7483/100)*(C7483*VLOOKUP(B7483,'Poids des runes'!A:B,2,FALSE)))+1),(((D7483/100)*(C7483*VLOOKUP(B7483,'Poids des runes'!A:B,2,FALSE)))+1)/VLOOKUP(B7483,'Poids des runes'!A:B,2,FALSE))</f>
        <v>11.782857142857143</v>
      </c>
      <c r="F7483">
        <f t="shared" si="116"/>
        <v>11.782857142857143</v>
      </c>
    </row>
    <row r="7484" spans="1:6" x14ac:dyDescent="0.3">
      <c r="A7484" t="s">
        <v>1334</v>
      </c>
      <c r="B7484" t="s">
        <v>2146</v>
      </c>
      <c r="C7484">
        <v>18</v>
      </c>
      <c r="D7484">
        <v>194</v>
      </c>
      <c r="E7484">
        <f>IF(OR(B7484="vi",B7484="ii",B7484="pod"),(((D7484/100)*(C7484*VLOOKUP(B7484,'Poids des runes'!A:B,2,FALSE)))+1),(((D7484/100)*(C7484*VLOOKUP(B7484,'Poids des runes'!A:B,2,FALSE)))+1)/VLOOKUP(B7484,'Poids des runes'!A:B,2,FALSE))</f>
        <v>35.42</v>
      </c>
      <c r="F7484">
        <f t="shared" si="116"/>
        <v>35.42</v>
      </c>
    </row>
    <row r="7485" spans="1:6" x14ac:dyDescent="0.3">
      <c r="A7485" t="s">
        <v>1335</v>
      </c>
      <c r="B7485" t="s">
        <v>2128</v>
      </c>
      <c r="C7485">
        <v>325.5</v>
      </c>
      <c r="D7485">
        <v>194</v>
      </c>
      <c r="E7485">
        <f>IF(OR(B7485="vi",B7485="ii",B7485="pod"),(((D7485/100)*(C7485*VLOOKUP(B7485,'Poids des runes'!A:B,2,FALSE)))+1),(((D7485/100)*(C7485*VLOOKUP(B7485,'Poids des runes'!A:B,2,FALSE)))+1)/VLOOKUP(B7485,'Poids des runes'!A:B,2,FALSE))</f>
        <v>127.29400000000001</v>
      </c>
      <c r="F7485">
        <f t="shared" si="116"/>
        <v>127.29400000000001</v>
      </c>
    </row>
    <row r="7486" spans="1:6" x14ac:dyDescent="0.3">
      <c r="A7486" t="s">
        <v>1335</v>
      </c>
      <c r="B7486" t="s">
        <v>2130</v>
      </c>
      <c r="C7486">
        <v>50.5</v>
      </c>
      <c r="D7486">
        <v>194</v>
      </c>
      <c r="E7486">
        <f>IF(OR(B7486="vi",B7486="ii",B7486="pod"),(((D7486/100)*(C7486*VLOOKUP(B7486,'Poids des runes'!A:B,2,FALSE)))+1),(((D7486/100)*(C7486*VLOOKUP(B7486,'Poids des runes'!A:B,2,FALSE)))+1)/VLOOKUP(B7486,'Poids des runes'!A:B,2,FALSE))</f>
        <v>98.97</v>
      </c>
      <c r="F7486">
        <f t="shared" si="116"/>
        <v>98.97</v>
      </c>
    </row>
    <row r="7487" spans="1:6" x14ac:dyDescent="0.3">
      <c r="A7487" t="s">
        <v>1335</v>
      </c>
      <c r="B7487" t="s">
        <v>2127</v>
      </c>
      <c r="C7487">
        <v>50.5</v>
      </c>
      <c r="D7487">
        <v>194</v>
      </c>
      <c r="E7487">
        <f>IF(OR(B7487="vi",B7487="ii",B7487="pod"),(((D7487/100)*(C7487*VLOOKUP(B7487,'Poids des runes'!A:B,2,FALSE)))+1),(((D7487/100)*(C7487*VLOOKUP(B7487,'Poids des runes'!A:B,2,FALSE)))+1)/VLOOKUP(B7487,'Poids des runes'!A:B,2,FALSE))</f>
        <v>98.97</v>
      </c>
      <c r="F7487">
        <f t="shared" si="116"/>
        <v>98.97</v>
      </c>
    </row>
    <row r="7488" spans="1:6" x14ac:dyDescent="0.3">
      <c r="A7488" t="s">
        <v>1335</v>
      </c>
      <c r="B7488" t="s">
        <v>2129</v>
      </c>
      <c r="C7488">
        <v>25.5</v>
      </c>
      <c r="D7488">
        <v>194</v>
      </c>
      <c r="E7488">
        <f>IF(OR(B7488="vi",B7488="ii",B7488="pod"),(((D7488/100)*(C7488*VLOOKUP(B7488,'Poids des runes'!A:B,2,FALSE)))+1),(((D7488/100)*(C7488*VLOOKUP(B7488,'Poids des runes'!A:B,2,FALSE)))+1)/VLOOKUP(B7488,'Poids des runes'!A:B,2,FALSE))</f>
        <v>50.47</v>
      </c>
      <c r="F7488">
        <f t="shared" si="116"/>
        <v>50.47</v>
      </c>
    </row>
    <row r="7489" spans="1:6" x14ac:dyDescent="0.3">
      <c r="A7489" t="s">
        <v>1335</v>
      </c>
      <c r="B7489" t="s">
        <v>2152</v>
      </c>
      <c r="C7489">
        <v>1</v>
      </c>
      <c r="D7489">
        <v>194</v>
      </c>
      <c r="E7489">
        <f>IF(OR(B7489="vi",B7489="ii",B7489="pod"),(((D7489/100)*(C7489*VLOOKUP(B7489,'Poids des runes'!A:B,2,FALSE)))+1),(((D7489/100)*(C7489*VLOOKUP(B7489,'Poids des runes'!A:B,2,FALSE)))+1)/VLOOKUP(B7489,'Poids des runes'!A:B,2,FALSE))</f>
        <v>1.95</v>
      </c>
      <c r="F7489">
        <f t="shared" si="116"/>
        <v>1.95</v>
      </c>
    </row>
    <row r="7490" spans="1:6" x14ac:dyDescent="0.3">
      <c r="A7490" t="s">
        <v>1335</v>
      </c>
      <c r="B7490" t="s">
        <v>2143</v>
      </c>
      <c r="C7490">
        <v>20.5</v>
      </c>
      <c r="D7490">
        <v>194</v>
      </c>
      <c r="E7490">
        <f>IF(OR(B7490="vi",B7490="ii",B7490="pod"),(((D7490/100)*(C7490*VLOOKUP(B7490,'Poids des runes'!A:B,2,FALSE)))+1),(((D7490/100)*(C7490*VLOOKUP(B7490,'Poids des runes'!A:B,2,FALSE)))+1)/VLOOKUP(B7490,'Poids des runes'!A:B,2,FALSE))</f>
        <v>39.97</v>
      </c>
      <c r="F7490">
        <f t="shared" si="116"/>
        <v>39.97</v>
      </c>
    </row>
    <row r="7491" spans="1:6" x14ac:dyDescent="0.3">
      <c r="A7491" t="s">
        <v>1335</v>
      </c>
      <c r="B7491" t="s">
        <v>2153</v>
      </c>
      <c r="C7491">
        <v>20.5</v>
      </c>
      <c r="D7491">
        <v>194</v>
      </c>
      <c r="E7491">
        <f>IF(OR(B7491="vi",B7491="ii",B7491="pod"),(((D7491/100)*(C7491*VLOOKUP(B7491,'Poids des runes'!A:B,2,FALSE)))+1),(((D7491/100)*(C7491*VLOOKUP(B7491,'Poids des runes'!A:B,2,FALSE)))+1)/VLOOKUP(B7491,'Poids des runes'!A:B,2,FALSE))</f>
        <v>39.97</v>
      </c>
      <c r="F7491">
        <f t="shared" ref="F7491:F7554" si="117">E7491</f>
        <v>39.97</v>
      </c>
    </row>
    <row r="7492" spans="1:6" x14ac:dyDescent="0.3">
      <c r="A7492" t="s">
        <v>1335</v>
      </c>
      <c r="B7492" t="s">
        <v>2161</v>
      </c>
      <c r="C7492">
        <v>13</v>
      </c>
      <c r="D7492">
        <v>194</v>
      </c>
      <c r="E7492">
        <f>IF(OR(B7492="vi",B7492="ii",B7492="pod"),(((D7492/100)*(C7492*VLOOKUP(B7492,'Poids des runes'!A:B,2,FALSE)))+1),(((D7492/100)*(C7492*VLOOKUP(B7492,'Poids des runes'!A:B,2,FALSE)))+1)/VLOOKUP(B7492,'Poids des runes'!A:B,2,FALSE))</f>
        <v>25.553333333333331</v>
      </c>
      <c r="F7492">
        <f t="shared" si="117"/>
        <v>25.553333333333331</v>
      </c>
    </row>
    <row r="7493" spans="1:6" x14ac:dyDescent="0.3">
      <c r="A7493" t="s">
        <v>1335</v>
      </c>
      <c r="B7493" t="s">
        <v>2162</v>
      </c>
      <c r="C7493">
        <v>7</v>
      </c>
      <c r="D7493">
        <v>194</v>
      </c>
      <c r="E7493">
        <f>IF(OR(B7493="vi",B7493="ii",B7493="pod"),(((D7493/100)*(C7493*VLOOKUP(B7493,'Poids des runes'!A:B,2,FALSE)))+1),(((D7493/100)*(C7493*VLOOKUP(B7493,'Poids des runes'!A:B,2,FALSE)))+1)/VLOOKUP(B7493,'Poids des runes'!A:B,2,FALSE))</f>
        <v>13.722857142857142</v>
      </c>
      <c r="F7493">
        <f t="shared" si="117"/>
        <v>13.722857142857142</v>
      </c>
    </row>
    <row r="7494" spans="1:6" x14ac:dyDescent="0.3">
      <c r="A7494" t="s">
        <v>1335</v>
      </c>
      <c r="B7494" t="s">
        <v>2145</v>
      </c>
      <c r="C7494">
        <v>13</v>
      </c>
      <c r="D7494">
        <v>194</v>
      </c>
      <c r="E7494">
        <f>IF(OR(B7494="vi",B7494="ii",B7494="pod"),(((D7494/100)*(C7494*VLOOKUP(B7494,'Poids des runes'!A:B,2,FALSE)))+1),(((D7494/100)*(C7494*VLOOKUP(B7494,'Poids des runes'!A:B,2,FALSE)))+1)/VLOOKUP(B7494,'Poids des runes'!A:B,2,FALSE))</f>
        <v>25.72</v>
      </c>
      <c r="F7494">
        <f t="shared" si="117"/>
        <v>25.72</v>
      </c>
    </row>
    <row r="7495" spans="1:6" x14ac:dyDescent="0.3">
      <c r="A7495" t="s">
        <v>1336</v>
      </c>
      <c r="B7495" t="s">
        <v>2128</v>
      </c>
      <c r="C7495">
        <v>275.5</v>
      </c>
      <c r="D7495">
        <v>194</v>
      </c>
      <c r="E7495">
        <f>IF(OR(B7495="vi",B7495="ii",B7495="pod"),(((D7495/100)*(C7495*VLOOKUP(B7495,'Poids des runes'!A:B,2,FALSE)))+1),(((D7495/100)*(C7495*VLOOKUP(B7495,'Poids des runes'!A:B,2,FALSE)))+1)/VLOOKUP(B7495,'Poids des runes'!A:B,2,FALSE))</f>
        <v>107.89400000000001</v>
      </c>
      <c r="F7495">
        <f t="shared" si="117"/>
        <v>107.89400000000001</v>
      </c>
    </row>
    <row r="7496" spans="1:6" x14ac:dyDescent="0.3">
      <c r="A7496" t="s">
        <v>1336</v>
      </c>
      <c r="B7496" t="s">
        <v>2131</v>
      </c>
      <c r="C7496">
        <v>43</v>
      </c>
      <c r="D7496">
        <v>194</v>
      </c>
      <c r="E7496">
        <f>IF(OR(B7496="vi",B7496="ii",B7496="pod"),(((D7496/100)*(C7496*VLOOKUP(B7496,'Poids des runes'!A:B,2,FALSE)))+1),(((D7496/100)*(C7496*VLOOKUP(B7496,'Poids des runes'!A:B,2,FALSE)))+1)/VLOOKUP(B7496,'Poids des runes'!A:B,2,FALSE))</f>
        <v>84.42</v>
      </c>
      <c r="F7496">
        <f t="shared" si="117"/>
        <v>84.42</v>
      </c>
    </row>
    <row r="7497" spans="1:6" x14ac:dyDescent="0.3">
      <c r="A7497" t="s">
        <v>1336</v>
      </c>
      <c r="B7497" t="s">
        <v>2127</v>
      </c>
      <c r="C7497">
        <v>43</v>
      </c>
      <c r="D7497">
        <v>194</v>
      </c>
      <c r="E7497">
        <f>IF(OR(B7497="vi",B7497="ii",B7497="pod"),(((D7497/100)*(C7497*VLOOKUP(B7497,'Poids des runes'!A:B,2,FALSE)))+1),(((D7497/100)*(C7497*VLOOKUP(B7497,'Poids des runes'!A:B,2,FALSE)))+1)/VLOOKUP(B7497,'Poids des runes'!A:B,2,FALSE))</f>
        <v>84.42</v>
      </c>
      <c r="F7497">
        <f t="shared" si="117"/>
        <v>84.42</v>
      </c>
    </row>
    <row r="7498" spans="1:6" x14ac:dyDescent="0.3">
      <c r="A7498" t="s">
        <v>1336</v>
      </c>
      <c r="B7498" t="s">
        <v>2129</v>
      </c>
      <c r="C7498">
        <v>35.5</v>
      </c>
      <c r="D7498">
        <v>194</v>
      </c>
      <c r="E7498">
        <f>IF(OR(B7498="vi",B7498="ii",B7498="pod"),(((D7498/100)*(C7498*VLOOKUP(B7498,'Poids des runes'!A:B,2,FALSE)))+1),(((D7498/100)*(C7498*VLOOKUP(B7498,'Poids des runes'!A:B,2,FALSE)))+1)/VLOOKUP(B7498,'Poids des runes'!A:B,2,FALSE))</f>
        <v>69.87</v>
      </c>
      <c r="F7498">
        <f t="shared" si="117"/>
        <v>69.87</v>
      </c>
    </row>
    <row r="7499" spans="1:6" x14ac:dyDescent="0.3">
      <c r="A7499" t="s">
        <v>1336</v>
      </c>
      <c r="B7499" t="s">
        <v>2139</v>
      </c>
      <c r="C7499">
        <v>20.5</v>
      </c>
      <c r="D7499">
        <v>194</v>
      </c>
      <c r="E7499">
        <f>IF(OR(B7499="vi",B7499="ii",B7499="pod"),(((D7499/100)*(C7499*VLOOKUP(B7499,'Poids des runes'!A:B,2,FALSE)))+1),(((D7499/100)*(C7499*VLOOKUP(B7499,'Poids des runes'!A:B,2,FALSE)))+1)/VLOOKUP(B7499,'Poids des runes'!A:B,2,FALSE))</f>
        <v>40.269999999999996</v>
      </c>
      <c r="F7499">
        <f t="shared" si="117"/>
        <v>40.269999999999996</v>
      </c>
    </row>
    <row r="7500" spans="1:6" x14ac:dyDescent="0.3">
      <c r="A7500" t="s">
        <v>1336</v>
      </c>
      <c r="B7500" t="s">
        <v>2151</v>
      </c>
      <c r="C7500">
        <v>5</v>
      </c>
      <c r="D7500">
        <v>194</v>
      </c>
      <c r="E7500">
        <f>IF(OR(B7500="vi",B7500="ii",B7500="pod"),(((D7500/100)*(C7500*VLOOKUP(B7500,'Poids des runes'!A:B,2,FALSE)))+1),(((D7500/100)*(C7500*VLOOKUP(B7500,'Poids des runes'!A:B,2,FALSE)))+1)/VLOOKUP(B7500,'Poids des runes'!A:B,2,FALSE))</f>
        <v>9.8000000000000007</v>
      </c>
      <c r="F7500">
        <f t="shared" si="117"/>
        <v>9.8000000000000007</v>
      </c>
    </row>
    <row r="7501" spans="1:6" x14ac:dyDescent="0.3">
      <c r="A7501" t="s">
        <v>1336</v>
      </c>
      <c r="B7501" t="s">
        <v>2152</v>
      </c>
      <c r="C7501">
        <v>1</v>
      </c>
      <c r="D7501">
        <v>194</v>
      </c>
      <c r="E7501">
        <f>IF(OR(B7501="vi",B7501="ii",B7501="pod"),(((D7501/100)*(C7501*VLOOKUP(B7501,'Poids des runes'!A:B,2,FALSE)))+1),(((D7501/100)*(C7501*VLOOKUP(B7501,'Poids des runes'!A:B,2,FALSE)))+1)/VLOOKUP(B7501,'Poids des runes'!A:B,2,FALSE))</f>
        <v>1.95</v>
      </c>
      <c r="F7501">
        <f t="shared" si="117"/>
        <v>1.95</v>
      </c>
    </row>
    <row r="7502" spans="1:6" x14ac:dyDescent="0.3">
      <c r="A7502" t="s">
        <v>1336</v>
      </c>
      <c r="B7502" t="s">
        <v>2155</v>
      </c>
      <c r="C7502">
        <v>1</v>
      </c>
      <c r="D7502">
        <v>194</v>
      </c>
      <c r="E7502">
        <f>IF(OR(B7502="vi",B7502="ii",B7502="pod"),(((D7502/100)*(C7502*VLOOKUP(B7502,'Poids des runes'!A:B,2,FALSE)))+1),(((D7502/100)*(C7502*VLOOKUP(B7502,'Poids des runes'!A:B,2,FALSE)))+1)/VLOOKUP(B7502,'Poids des runes'!A:B,2,FALSE))</f>
        <v>1.9596078431372548</v>
      </c>
      <c r="F7502">
        <f t="shared" si="117"/>
        <v>1.9596078431372548</v>
      </c>
    </row>
    <row r="7503" spans="1:6" x14ac:dyDescent="0.3">
      <c r="A7503" t="s">
        <v>1336</v>
      </c>
      <c r="B7503" t="s">
        <v>2133</v>
      </c>
      <c r="C7503">
        <v>10.5</v>
      </c>
      <c r="D7503">
        <v>194</v>
      </c>
      <c r="E7503">
        <f>IF(OR(B7503="vi",B7503="ii",B7503="pod"),(((D7503/100)*(C7503*VLOOKUP(B7503,'Poids des runes'!A:B,2,FALSE)))+1),(((D7503/100)*(C7503*VLOOKUP(B7503,'Poids des runes'!A:B,2,FALSE)))+1)/VLOOKUP(B7503,'Poids des runes'!A:B,2,FALSE))</f>
        <v>20.57</v>
      </c>
      <c r="F7503">
        <f t="shared" si="117"/>
        <v>20.57</v>
      </c>
    </row>
    <row r="7504" spans="1:6" x14ac:dyDescent="0.3">
      <c r="A7504" t="s">
        <v>1336</v>
      </c>
      <c r="B7504" t="s">
        <v>2153</v>
      </c>
      <c r="C7504">
        <v>10.5</v>
      </c>
      <c r="D7504">
        <v>194</v>
      </c>
      <c r="E7504">
        <f>IF(OR(B7504="vi",B7504="ii",B7504="pod"),(((D7504/100)*(C7504*VLOOKUP(B7504,'Poids des runes'!A:B,2,FALSE)))+1),(((D7504/100)*(C7504*VLOOKUP(B7504,'Poids des runes'!A:B,2,FALSE)))+1)/VLOOKUP(B7504,'Poids des runes'!A:B,2,FALSE))</f>
        <v>20.57</v>
      </c>
      <c r="F7504">
        <f t="shared" si="117"/>
        <v>20.57</v>
      </c>
    </row>
    <row r="7505" spans="1:6" x14ac:dyDescent="0.3">
      <c r="A7505" t="s">
        <v>1336</v>
      </c>
      <c r="B7505" t="s">
        <v>2161</v>
      </c>
      <c r="C7505">
        <v>13</v>
      </c>
      <c r="D7505">
        <v>194</v>
      </c>
      <c r="E7505">
        <f>IF(OR(B7505="vi",B7505="ii",B7505="pod"),(((D7505/100)*(C7505*VLOOKUP(B7505,'Poids des runes'!A:B,2,FALSE)))+1),(((D7505/100)*(C7505*VLOOKUP(B7505,'Poids des runes'!A:B,2,FALSE)))+1)/VLOOKUP(B7505,'Poids des runes'!A:B,2,FALSE))</f>
        <v>25.553333333333331</v>
      </c>
      <c r="F7505">
        <f t="shared" si="117"/>
        <v>25.553333333333331</v>
      </c>
    </row>
    <row r="7506" spans="1:6" x14ac:dyDescent="0.3">
      <c r="A7506" t="s">
        <v>1336</v>
      </c>
      <c r="B7506" t="s">
        <v>2147</v>
      </c>
      <c r="C7506">
        <v>7</v>
      </c>
      <c r="D7506">
        <v>194</v>
      </c>
      <c r="E7506">
        <f>IF(OR(B7506="vi",B7506="ii",B7506="pod"),(((D7506/100)*(C7506*VLOOKUP(B7506,'Poids des runes'!A:B,2,FALSE)))+1),(((D7506/100)*(C7506*VLOOKUP(B7506,'Poids des runes'!A:B,2,FALSE)))+1)/VLOOKUP(B7506,'Poids des runes'!A:B,2,FALSE))</f>
        <v>13.746666666666668</v>
      </c>
      <c r="F7506">
        <f t="shared" si="117"/>
        <v>13.746666666666668</v>
      </c>
    </row>
    <row r="7507" spans="1:6" x14ac:dyDescent="0.3">
      <c r="A7507" t="s">
        <v>1336</v>
      </c>
      <c r="B7507" t="s">
        <v>2157</v>
      </c>
      <c r="C7507">
        <v>3.5</v>
      </c>
      <c r="D7507">
        <v>194</v>
      </c>
      <c r="E7507">
        <f>IF(OR(B7507="vi",B7507="ii",B7507="pod"),(((D7507/100)*(C7507*VLOOKUP(B7507,'Poids des runes'!A:B,2,FALSE)))+1),(((D7507/100)*(C7507*VLOOKUP(B7507,'Poids des runes'!A:B,2,FALSE)))+1)/VLOOKUP(B7507,'Poids des runes'!A:B,2,FALSE))</f>
        <v>6.956666666666667</v>
      </c>
      <c r="F7507">
        <f t="shared" si="117"/>
        <v>6.956666666666667</v>
      </c>
    </row>
    <row r="7508" spans="1:6" x14ac:dyDescent="0.3">
      <c r="A7508" t="s">
        <v>1337</v>
      </c>
      <c r="B7508" t="s">
        <v>2128</v>
      </c>
      <c r="C7508">
        <v>225.5</v>
      </c>
      <c r="D7508">
        <v>194</v>
      </c>
      <c r="E7508">
        <f>IF(OR(B7508="vi",B7508="ii",B7508="pod"),(((D7508/100)*(C7508*VLOOKUP(B7508,'Poids des runes'!A:B,2,FALSE)))+1),(((D7508/100)*(C7508*VLOOKUP(B7508,'Poids des runes'!A:B,2,FALSE)))+1)/VLOOKUP(B7508,'Poids des runes'!A:B,2,FALSE))</f>
        <v>88.494</v>
      </c>
      <c r="F7508">
        <f t="shared" si="117"/>
        <v>88.494</v>
      </c>
    </row>
    <row r="7509" spans="1:6" x14ac:dyDescent="0.3">
      <c r="A7509" t="s">
        <v>1337</v>
      </c>
      <c r="B7509" t="s">
        <v>2130</v>
      </c>
      <c r="C7509">
        <v>40.5</v>
      </c>
      <c r="D7509">
        <v>194</v>
      </c>
      <c r="E7509">
        <f>IF(OR(B7509="vi",B7509="ii",B7509="pod"),(((D7509/100)*(C7509*VLOOKUP(B7509,'Poids des runes'!A:B,2,FALSE)))+1),(((D7509/100)*(C7509*VLOOKUP(B7509,'Poids des runes'!A:B,2,FALSE)))+1)/VLOOKUP(B7509,'Poids des runes'!A:B,2,FALSE))</f>
        <v>79.569999999999993</v>
      </c>
      <c r="F7509">
        <f t="shared" si="117"/>
        <v>79.569999999999993</v>
      </c>
    </row>
    <row r="7510" spans="1:6" x14ac:dyDescent="0.3">
      <c r="A7510" t="s">
        <v>1337</v>
      </c>
      <c r="B7510" t="s">
        <v>2127</v>
      </c>
      <c r="C7510">
        <v>40.5</v>
      </c>
      <c r="D7510">
        <v>194</v>
      </c>
      <c r="E7510">
        <f>IF(OR(B7510="vi",B7510="ii",B7510="pod"),(((D7510/100)*(C7510*VLOOKUP(B7510,'Poids des runes'!A:B,2,FALSE)))+1),(((D7510/100)*(C7510*VLOOKUP(B7510,'Poids des runes'!A:B,2,FALSE)))+1)/VLOOKUP(B7510,'Poids des runes'!A:B,2,FALSE))</f>
        <v>79.569999999999993</v>
      </c>
      <c r="F7510">
        <f t="shared" si="117"/>
        <v>79.569999999999993</v>
      </c>
    </row>
    <row r="7511" spans="1:6" x14ac:dyDescent="0.3">
      <c r="A7511" t="s">
        <v>1337</v>
      </c>
      <c r="B7511" t="s">
        <v>2129</v>
      </c>
      <c r="C7511">
        <v>40.5</v>
      </c>
      <c r="D7511">
        <v>194</v>
      </c>
      <c r="E7511">
        <f>IF(OR(B7511="vi",B7511="ii",B7511="pod"),(((D7511/100)*(C7511*VLOOKUP(B7511,'Poids des runes'!A:B,2,FALSE)))+1),(((D7511/100)*(C7511*VLOOKUP(B7511,'Poids des runes'!A:B,2,FALSE)))+1)/VLOOKUP(B7511,'Poids des runes'!A:B,2,FALSE))</f>
        <v>79.569999999999993</v>
      </c>
      <c r="F7511">
        <f t="shared" si="117"/>
        <v>79.569999999999993</v>
      </c>
    </row>
    <row r="7512" spans="1:6" x14ac:dyDescent="0.3">
      <c r="A7512" t="s">
        <v>1337</v>
      </c>
      <c r="B7512" t="s">
        <v>2151</v>
      </c>
      <c r="C7512">
        <v>2.5</v>
      </c>
      <c r="D7512">
        <v>194</v>
      </c>
      <c r="E7512">
        <f>IF(OR(B7512="vi",B7512="ii",B7512="pod"),(((D7512/100)*(C7512*VLOOKUP(B7512,'Poids des runes'!A:B,2,FALSE)))+1),(((D7512/100)*(C7512*VLOOKUP(B7512,'Poids des runes'!A:B,2,FALSE)))+1)/VLOOKUP(B7512,'Poids des runes'!A:B,2,FALSE))</f>
        <v>4.95</v>
      </c>
      <c r="F7512">
        <f t="shared" si="117"/>
        <v>4.95</v>
      </c>
    </row>
    <row r="7513" spans="1:6" x14ac:dyDescent="0.3">
      <c r="A7513" t="s">
        <v>1337</v>
      </c>
      <c r="B7513" t="s">
        <v>2154</v>
      </c>
      <c r="C7513">
        <v>1</v>
      </c>
      <c r="D7513">
        <v>194</v>
      </c>
      <c r="E7513">
        <f>IF(OR(B7513="vi",B7513="ii",B7513="pod"),(((D7513/100)*(C7513*VLOOKUP(B7513,'Poids des runes'!A:B,2,FALSE)))+1),(((D7513/100)*(C7513*VLOOKUP(B7513,'Poids des runes'!A:B,2,FALSE)))+1)/VLOOKUP(B7513,'Poids des runes'!A:B,2,FALSE))</f>
        <v>1.951111111111111</v>
      </c>
      <c r="F7513">
        <f t="shared" si="117"/>
        <v>1.951111111111111</v>
      </c>
    </row>
    <row r="7514" spans="1:6" x14ac:dyDescent="0.3">
      <c r="A7514" t="s">
        <v>1337</v>
      </c>
      <c r="B7514" t="s">
        <v>2143</v>
      </c>
      <c r="C7514">
        <v>10</v>
      </c>
      <c r="D7514">
        <v>194</v>
      </c>
      <c r="E7514">
        <f>IF(OR(B7514="vi",B7514="ii",B7514="pod"),(((D7514/100)*(C7514*VLOOKUP(B7514,'Poids des runes'!A:B,2,FALSE)))+1),(((D7514/100)*(C7514*VLOOKUP(B7514,'Poids des runes'!A:B,2,FALSE)))+1)/VLOOKUP(B7514,'Poids des runes'!A:B,2,FALSE))</f>
        <v>19.600000000000001</v>
      </c>
      <c r="F7514">
        <f t="shared" si="117"/>
        <v>19.600000000000001</v>
      </c>
    </row>
    <row r="7515" spans="1:6" x14ac:dyDescent="0.3">
      <c r="A7515" t="s">
        <v>1337</v>
      </c>
      <c r="B7515" t="s">
        <v>2153</v>
      </c>
      <c r="C7515">
        <v>10</v>
      </c>
      <c r="D7515">
        <v>194</v>
      </c>
      <c r="E7515">
        <f>IF(OR(B7515="vi",B7515="ii",B7515="pod"),(((D7515/100)*(C7515*VLOOKUP(B7515,'Poids des runes'!A:B,2,FALSE)))+1),(((D7515/100)*(C7515*VLOOKUP(B7515,'Poids des runes'!A:B,2,FALSE)))+1)/VLOOKUP(B7515,'Poids des runes'!A:B,2,FALSE))</f>
        <v>19.600000000000001</v>
      </c>
      <c r="F7515">
        <f t="shared" si="117"/>
        <v>19.600000000000001</v>
      </c>
    </row>
    <row r="7516" spans="1:6" x14ac:dyDescent="0.3">
      <c r="A7516" t="s">
        <v>1337</v>
      </c>
      <c r="B7516" t="s">
        <v>2161</v>
      </c>
      <c r="C7516">
        <v>15.5</v>
      </c>
      <c r="D7516">
        <v>194</v>
      </c>
      <c r="E7516">
        <f>IF(OR(B7516="vi",B7516="ii",B7516="pod"),(((D7516/100)*(C7516*VLOOKUP(B7516,'Poids des runes'!A:B,2,FALSE)))+1),(((D7516/100)*(C7516*VLOOKUP(B7516,'Poids des runes'!A:B,2,FALSE)))+1)/VLOOKUP(B7516,'Poids des runes'!A:B,2,FALSE))</f>
        <v>30.403333333333332</v>
      </c>
      <c r="F7516">
        <f t="shared" si="117"/>
        <v>30.403333333333332</v>
      </c>
    </row>
    <row r="7517" spans="1:6" x14ac:dyDescent="0.3">
      <c r="A7517" t="s">
        <v>1337</v>
      </c>
      <c r="B7517" t="s">
        <v>2138</v>
      </c>
      <c r="C7517">
        <v>4.5</v>
      </c>
      <c r="D7517">
        <v>194</v>
      </c>
      <c r="E7517">
        <f>IF(OR(B7517="vi",B7517="ii",B7517="pod"),(((D7517/100)*(C7517*VLOOKUP(B7517,'Poids des runes'!A:B,2,FALSE)))+1),(((D7517/100)*(C7517*VLOOKUP(B7517,'Poids des runes'!A:B,2,FALSE)))+1)/VLOOKUP(B7517,'Poids des runes'!A:B,2,FALSE))</f>
        <v>8.98</v>
      </c>
      <c r="F7517">
        <f t="shared" si="117"/>
        <v>8.98</v>
      </c>
    </row>
    <row r="7518" spans="1:6" x14ac:dyDescent="0.3">
      <c r="A7518" t="s">
        <v>1337</v>
      </c>
      <c r="B7518" t="s">
        <v>2136</v>
      </c>
      <c r="C7518">
        <v>13</v>
      </c>
      <c r="D7518">
        <v>194</v>
      </c>
      <c r="E7518">
        <f>IF(OR(B7518="vi",B7518="ii",B7518="pod"),(((D7518/100)*(C7518*VLOOKUP(B7518,'Poids des runes'!A:B,2,FALSE)))+1),(((D7518/100)*(C7518*VLOOKUP(B7518,'Poids des runes'!A:B,2,FALSE)))+1)/VLOOKUP(B7518,'Poids des runes'!A:B,2,FALSE))</f>
        <v>25.72</v>
      </c>
      <c r="F7518">
        <f t="shared" si="117"/>
        <v>25.72</v>
      </c>
    </row>
    <row r="7519" spans="1:6" x14ac:dyDescent="0.3">
      <c r="A7519" t="s">
        <v>1337</v>
      </c>
      <c r="B7519" t="s">
        <v>2145</v>
      </c>
      <c r="C7519">
        <v>13</v>
      </c>
      <c r="D7519">
        <v>194</v>
      </c>
      <c r="E7519">
        <f>IF(OR(B7519="vi",B7519="ii",B7519="pod"),(((D7519/100)*(C7519*VLOOKUP(B7519,'Poids des runes'!A:B,2,FALSE)))+1),(((D7519/100)*(C7519*VLOOKUP(B7519,'Poids des runes'!A:B,2,FALSE)))+1)/VLOOKUP(B7519,'Poids des runes'!A:B,2,FALSE))</f>
        <v>25.72</v>
      </c>
      <c r="F7519">
        <f t="shared" si="117"/>
        <v>25.72</v>
      </c>
    </row>
    <row r="7520" spans="1:6" x14ac:dyDescent="0.3">
      <c r="A7520" t="s">
        <v>1338</v>
      </c>
      <c r="B7520" t="s">
        <v>2128</v>
      </c>
      <c r="C7520">
        <v>375.5</v>
      </c>
      <c r="D7520">
        <v>194</v>
      </c>
      <c r="E7520">
        <f>IF(OR(B7520="vi",B7520="ii",B7520="pod"),(((D7520/100)*(C7520*VLOOKUP(B7520,'Poids des runes'!A:B,2,FALSE)))+1),(((D7520/100)*(C7520*VLOOKUP(B7520,'Poids des runes'!A:B,2,FALSE)))+1)/VLOOKUP(B7520,'Poids des runes'!A:B,2,FALSE))</f>
        <v>146.69400000000002</v>
      </c>
      <c r="F7520">
        <f t="shared" si="117"/>
        <v>146.69400000000002</v>
      </c>
    </row>
    <row r="7521" spans="1:6" x14ac:dyDescent="0.3">
      <c r="A7521" t="s">
        <v>1338</v>
      </c>
      <c r="B7521" t="s">
        <v>2130</v>
      </c>
      <c r="C7521">
        <v>85.5</v>
      </c>
      <c r="D7521">
        <v>194</v>
      </c>
      <c r="E7521">
        <f>IF(OR(B7521="vi",B7521="ii",B7521="pod"),(((D7521/100)*(C7521*VLOOKUP(B7521,'Poids des runes'!A:B,2,FALSE)))+1),(((D7521/100)*(C7521*VLOOKUP(B7521,'Poids des runes'!A:B,2,FALSE)))+1)/VLOOKUP(B7521,'Poids des runes'!A:B,2,FALSE))</f>
        <v>166.87</v>
      </c>
      <c r="F7521">
        <f t="shared" si="117"/>
        <v>166.87</v>
      </c>
    </row>
    <row r="7522" spans="1:6" x14ac:dyDescent="0.3">
      <c r="A7522" t="s">
        <v>1338</v>
      </c>
      <c r="B7522" t="s">
        <v>2129</v>
      </c>
      <c r="C7522">
        <v>25.5</v>
      </c>
      <c r="D7522">
        <v>194</v>
      </c>
      <c r="E7522">
        <f>IF(OR(B7522="vi",B7522="ii",B7522="pod"),(((D7522/100)*(C7522*VLOOKUP(B7522,'Poids des runes'!A:B,2,FALSE)))+1),(((D7522/100)*(C7522*VLOOKUP(B7522,'Poids des runes'!A:B,2,FALSE)))+1)/VLOOKUP(B7522,'Poids des runes'!A:B,2,FALSE))</f>
        <v>50.47</v>
      </c>
      <c r="F7522">
        <f t="shared" si="117"/>
        <v>50.47</v>
      </c>
    </row>
    <row r="7523" spans="1:6" x14ac:dyDescent="0.3">
      <c r="A7523" t="s">
        <v>1338</v>
      </c>
      <c r="B7523" t="s">
        <v>2151</v>
      </c>
      <c r="C7523">
        <v>5</v>
      </c>
      <c r="D7523">
        <v>194</v>
      </c>
      <c r="E7523">
        <f>IF(OR(B7523="vi",B7523="ii",B7523="pod"),(((D7523/100)*(C7523*VLOOKUP(B7523,'Poids des runes'!A:B,2,FALSE)))+1),(((D7523/100)*(C7523*VLOOKUP(B7523,'Poids des runes'!A:B,2,FALSE)))+1)/VLOOKUP(B7523,'Poids des runes'!A:B,2,FALSE))</f>
        <v>9.8000000000000007</v>
      </c>
      <c r="F7523">
        <f t="shared" si="117"/>
        <v>9.8000000000000007</v>
      </c>
    </row>
    <row r="7524" spans="1:6" x14ac:dyDescent="0.3">
      <c r="A7524" t="s">
        <v>1338</v>
      </c>
      <c r="B7524" t="s">
        <v>2155</v>
      </c>
      <c r="C7524">
        <v>1.5</v>
      </c>
      <c r="D7524">
        <v>194</v>
      </c>
      <c r="E7524">
        <f>IF(OR(B7524="vi",B7524="ii",B7524="pod"),(((D7524/100)*(C7524*VLOOKUP(B7524,'Poids des runes'!A:B,2,FALSE)))+1),(((D7524/100)*(C7524*VLOOKUP(B7524,'Poids des runes'!A:B,2,FALSE)))+1)/VLOOKUP(B7524,'Poids des runes'!A:B,2,FALSE))</f>
        <v>2.929607843137255</v>
      </c>
      <c r="F7524">
        <f t="shared" si="117"/>
        <v>2.929607843137255</v>
      </c>
    </row>
    <row r="7525" spans="1:6" x14ac:dyDescent="0.3">
      <c r="A7525" t="s">
        <v>1338</v>
      </c>
      <c r="B7525" t="s">
        <v>2143</v>
      </c>
      <c r="C7525">
        <v>16</v>
      </c>
      <c r="D7525">
        <v>194</v>
      </c>
      <c r="E7525">
        <f>IF(OR(B7525="vi",B7525="ii",B7525="pod"),(((D7525/100)*(C7525*VLOOKUP(B7525,'Poids des runes'!A:B,2,FALSE)))+1),(((D7525/100)*(C7525*VLOOKUP(B7525,'Poids des runes'!A:B,2,FALSE)))+1)/VLOOKUP(B7525,'Poids des runes'!A:B,2,FALSE))</f>
        <v>31.24</v>
      </c>
      <c r="F7525">
        <f t="shared" si="117"/>
        <v>31.24</v>
      </c>
    </row>
    <row r="7526" spans="1:6" x14ac:dyDescent="0.3">
      <c r="A7526" t="s">
        <v>1338</v>
      </c>
      <c r="B7526" t="s">
        <v>2162</v>
      </c>
      <c r="C7526">
        <v>6</v>
      </c>
      <c r="D7526">
        <v>194</v>
      </c>
      <c r="E7526">
        <f>IF(OR(B7526="vi",B7526="ii",B7526="pod"),(((D7526/100)*(C7526*VLOOKUP(B7526,'Poids des runes'!A:B,2,FALSE)))+1),(((D7526/100)*(C7526*VLOOKUP(B7526,'Poids des runes'!A:B,2,FALSE)))+1)/VLOOKUP(B7526,'Poids des runes'!A:B,2,FALSE))</f>
        <v>11.782857142857143</v>
      </c>
      <c r="F7526">
        <f t="shared" si="117"/>
        <v>11.782857142857143</v>
      </c>
    </row>
    <row r="7527" spans="1:6" x14ac:dyDescent="0.3">
      <c r="A7527" t="s">
        <v>1338</v>
      </c>
      <c r="B7527" t="s">
        <v>2163</v>
      </c>
      <c r="C7527">
        <v>13</v>
      </c>
      <c r="D7527">
        <v>194</v>
      </c>
      <c r="E7527">
        <f>IF(OR(B7527="vi",B7527="ii",B7527="pod"),(((D7527/100)*(C7527*VLOOKUP(B7527,'Poids des runes'!A:B,2,FALSE)))+1),(((D7527/100)*(C7527*VLOOKUP(B7527,'Poids des runes'!A:B,2,FALSE)))+1)/VLOOKUP(B7527,'Poids des runes'!A:B,2,FALSE))</f>
        <v>25.72</v>
      </c>
      <c r="F7527">
        <f t="shared" si="117"/>
        <v>25.72</v>
      </c>
    </row>
    <row r="7528" spans="1:6" x14ac:dyDescent="0.3">
      <c r="A7528" t="s">
        <v>1338</v>
      </c>
      <c r="B7528" t="s">
        <v>2136</v>
      </c>
      <c r="C7528">
        <v>13</v>
      </c>
      <c r="D7528">
        <v>194</v>
      </c>
      <c r="E7528">
        <f>IF(OR(B7528="vi",B7528="ii",B7528="pod"),(((D7528/100)*(C7528*VLOOKUP(B7528,'Poids des runes'!A:B,2,FALSE)))+1),(((D7528/100)*(C7528*VLOOKUP(B7528,'Poids des runes'!A:B,2,FALSE)))+1)/VLOOKUP(B7528,'Poids des runes'!A:B,2,FALSE))</f>
        <v>25.72</v>
      </c>
      <c r="F7528">
        <f t="shared" si="117"/>
        <v>25.72</v>
      </c>
    </row>
    <row r="7529" spans="1:6" x14ac:dyDescent="0.3">
      <c r="A7529" t="s">
        <v>1339</v>
      </c>
      <c r="B7529" t="s">
        <v>2128</v>
      </c>
      <c r="C7529">
        <v>375.5</v>
      </c>
      <c r="D7529">
        <v>194</v>
      </c>
      <c r="E7529">
        <f>IF(OR(B7529="vi",B7529="ii",B7529="pod"),(((D7529/100)*(C7529*VLOOKUP(B7529,'Poids des runes'!A:B,2,FALSE)))+1),(((D7529/100)*(C7529*VLOOKUP(B7529,'Poids des runes'!A:B,2,FALSE)))+1)/VLOOKUP(B7529,'Poids des runes'!A:B,2,FALSE))</f>
        <v>146.69400000000002</v>
      </c>
      <c r="F7529">
        <f t="shared" si="117"/>
        <v>146.69400000000002</v>
      </c>
    </row>
    <row r="7530" spans="1:6" x14ac:dyDescent="0.3">
      <c r="A7530" t="s">
        <v>1339</v>
      </c>
      <c r="B7530" t="s">
        <v>2129</v>
      </c>
      <c r="C7530">
        <v>40.5</v>
      </c>
      <c r="D7530">
        <v>194</v>
      </c>
      <c r="E7530">
        <f>IF(OR(B7530="vi",B7530="ii",B7530="pod"),(((D7530/100)*(C7530*VLOOKUP(B7530,'Poids des runes'!A:B,2,FALSE)))+1),(((D7530/100)*(C7530*VLOOKUP(B7530,'Poids des runes'!A:B,2,FALSE)))+1)/VLOOKUP(B7530,'Poids des runes'!A:B,2,FALSE))</f>
        <v>79.569999999999993</v>
      </c>
      <c r="F7530">
        <f t="shared" si="117"/>
        <v>79.569999999999993</v>
      </c>
    </row>
    <row r="7531" spans="1:6" x14ac:dyDescent="0.3">
      <c r="A7531" t="s">
        <v>1339</v>
      </c>
      <c r="B7531" t="s">
        <v>2139</v>
      </c>
      <c r="C7531">
        <v>40.5</v>
      </c>
      <c r="D7531">
        <v>194</v>
      </c>
      <c r="E7531">
        <f>IF(OR(B7531="vi",B7531="ii",B7531="pod"),(((D7531/100)*(C7531*VLOOKUP(B7531,'Poids des runes'!A:B,2,FALSE)))+1),(((D7531/100)*(C7531*VLOOKUP(B7531,'Poids des runes'!A:B,2,FALSE)))+1)/VLOOKUP(B7531,'Poids des runes'!A:B,2,FALSE))</f>
        <v>79.069999999999993</v>
      </c>
      <c r="F7531">
        <f t="shared" si="117"/>
        <v>79.069999999999993</v>
      </c>
    </row>
    <row r="7532" spans="1:6" x14ac:dyDescent="0.3">
      <c r="A7532" t="s">
        <v>1339</v>
      </c>
      <c r="B7532" t="s">
        <v>2151</v>
      </c>
      <c r="C7532">
        <v>8</v>
      </c>
      <c r="D7532">
        <v>194</v>
      </c>
      <c r="E7532">
        <f>IF(OR(B7532="vi",B7532="ii",B7532="pod"),(((D7532/100)*(C7532*VLOOKUP(B7532,'Poids des runes'!A:B,2,FALSE)))+1),(((D7532/100)*(C7532*VLOOKUP(B7532,'Poids des runes'!A:B,2,FALSE)))+1)/VLOOKUP(B7532,'Poids des runes'!A:B,2,FALSE))</f>
        <v>15.62</v>
      </c>
      <c r="F7532">
        <f t="shared" si="117"/>
        <v>15.62</v>
      </c>
    </row>
    <row r="7533" spans="1:6" x14ac:dyDescent="0.3">
      <c r="A7533" t="s">
        <v>1339</v>
      </c>
      <c r="B7533" t="s">
        <v>2155</v>
      </c>
      <c r="C7533">
        <v>1</v>
      </c>
      <c r="D7533">
        <v>194</v>
      </c>
      <c r="E7533">
        <f>IF(OR(B7533="vi",B7533="ii",B7533="pod"),(((D7533/100)*(C7533*VLOOKUP(B7533,'Poids des runes'!A:B,2,FALSE)))+1),(((D7533/100)*(C7533*VLOOKUP(B7533,'Poids des runes'!A:B,2,FALSE)))+1)/VLOOKUP(B7533,'Poids des runes'!A:B,2,FALSE))</f>
        <v>1.9596078431372548</v>
      </c>
      <c r="F7533">
        <f t="shared" si="117"/>
        <v>1.9596078431372548</v>
      </c>
    </row>
    <row r="7534" spans="1:6" x14ac:dyDescent="0.3">
      <c r="A7534" t="s">
        <v>1339</v>
      </c>
      <c r="B7534" t="s">
        <v>2161</v>
      </c>
      <c r="C7534">
        <v>10</v>
      </c>
      <c r="D7534">
        <v>194</v>
      </c>
      <c r="E7534">
        <f>IF(OR(B7534="vi",B7534="ii",B7534="pod"),(((D7534/100)*(C7534*VLOOKUP(B7534,'Poids des runes'!A:B,2,FALSE)))+1),(((D7534/100)*(C7534*VLOOKUP(B7534,'Poids des runes'!A:B,2,FALSE)))+1)/VLOOKUP(B7534,'Poids des runes'!A:B,2,FALSE))</f>
        <v>19.733333333333331</v>
      </c>
      <c r="F7534">
        <f t="shared" si="117"/>
        <v>19.733333333333331</v>
      </c>
    </row>
    <row r="7535" spans="1:6" x14ac:dyDescent="0.3">
      <c r="A7535" t="s">
        <v>1339</v>
      </c>
      <c r="B7535" t="s">
        <v>2132</v>
      </c>
      <c r="C7535">
        <v>350.5</v>
      </c>
      <c r="D7535">
        <v>194</v>
      </c>
      <c r="E7535">
        <f>IF(OR(B7535="vi",B7535="ii",B7535="pod"),(((D7535/100)*(C7535*VLOOKUP(B7535,'Poids des runes'!A:B,2,FALSE)))+1),(((D7535/100)*(C7535*VLOOKUP(B7535,'Poids des runes'!A:B,2,FALSE)))+1)/VLOOKUP(B7535,'Poids des runes'!A:B,2,FALSE))</f>
        <v>68.997</v>
      </c>
      <c r="F7535">
        <f t="shared" si="117"/>
        <v>68.997</v>
      </c>
    </row>
    <row r="7536" spans="1:6" x14ac:dyDescent="0.3">
      <c r="A7536" t="s">
        <v>1339</v>
      </c>
      <c r="B7536" t="s">
        <v>2141</v>
      </c>
      <c r="C7536">
        <v>8.5</v>
      </c>
      <c r="D7536">
        <v>194</v>
      </c>
      <c r="E7536">
        <f>IF(OR(B7536="vi",B7536="ii",B7536="pod"),(((D7536/100)*(C7536*VLOOKUP(B7536,'Poids des runes'!A:B,2,FALSE)))+1),(((D7536/100)*(C7536*VLOOKUP(B7536,'Poids des runes'!A:B,2,FALSE)))+1)/VLOOKUP(B7536,'Poids des runes'!A:B,2,FALSE))</f>
        <v>16.739999999999998</v>
      </c>
      <c r="F7536">
        <f t="shared" si="117"/>
        <v>16.739999999999998</v>
      </c>
    </row>
    <row r="7537" spans="1:6" x14ac:dyDescent="0.3">
      <c r="A7537" t="s">
        <v>1339</v>
      </c>
      <c r="B7537" t="s">
        <v>2159</v>
      </c>
      <c r="C7537">
        <v>4.5</v>
      </c>
      <c r="D7537">
        <v>194</v>
      </c>
      <c r="E7537">
        <f>IF(OR(B7537="vi",B7537="ii",B7537="pod"),(((D7537/100)*(C7537*VLOOKUP(B7537,'Poids des runes'!A:B,2,FALSE)))+1),(((D7537/100)*(C7537*VLOOKUP(B7537,'Poids des runes'!A:B,2,FALSE)))+1)/VLOOKUP(B7537,'Poids des runes'!A:B,2,FALSE))</f>
        <v>8.8728571428571428</v>
      </c>
      <c r="F7537">
        <f t="shared" si="117"/>
        <v>8.8728571428571428</v>
      </c>
    </row>
    <row r="7538" spans="1:6" x14ac:dyDescent="0.3">
      <c r="A7538" t="s">
        <v>1339</v>
      </c>
      <c r="B7538" t="s">
        <v>2163</v>
      </c>
      <c r="C7538">
        <v>8</v>
      </c>
      <c r="D7538">
        <v>194</v>
      </c>
      <c r="E7538">
        <f>IF(OR(B7538="vi",B7538="ii",B7538="pod"),(((D7538/100)*(C7538*VLOOKUP(B7538,'Poids des runes'!A:B,2,FALSE)))+1),(((D7538/100)*(C7538*VLOOKUP(B7538,'Poids des runes'!A:B,2,FALSE)))+1)/VLOOKUP(B7538,'Poids des runes'!A:B,2,FALSE))</f>
        <v>16.02</v>
      </c>
      <c r="F7538">
        <f t="shared" si="117"/>
        <v>16.02</v>
      </c>
    </row>
    <row r="7539" spans="1:6" x14ac:dyDescent="0.3">
      <c r="A7539" t="s">
        <v>1339</v>
      </c>
      <c r="B7539" t="s">
        <v>2147</v>
      </c>
      <c r="C7539">
        <v>8.5</v>
      </c>
      <c r="D7539">
        <v>194</v>
      </c>
      <c r="E7539">
        <f>IF(OR(B7539="vi",B7539="ii",B7539="pod"),(((D7539/100)*(C7539*VLOOKUP(B7539,'Poids des runes'!A:B,2,FALSE)))+1),(((D7539/100)*(C7539*VLOOKUP(B7539,'Poids des runes'!A:B,2,FALSE)))+1)/VLOOKUP(B7539,'Poids des runes'!A:B,2,FALSE))</f>
        <v>16.656666666666666</v>
      </c>
      <c r="F7539">
        <f t="shared" si="117"/>
        <v>16.656666666666666</v>
      </c>
    </row>
    <row r="7540" spans="1:6" x14ac:dyDescent="0.3">
      <c r="A7540" t="s">
        <v>1340</v>
      </c>
      <c r="B7540" t="s">
        <v>2128</v>
      </c>
      <c r="C7540">
        <v>275.5</v>
      </c>
      <c r="D7540">
        <v>194</v>
      </c>
      <c r="E7540">
        <f>IF(OR(B7540="vi",B7540="ii",B7540="pod"),(((D7540/100)*(C7540*VLOOKUP(B7540,'Poids des runes'!A:B,2,FALSE)))+1),(((D7540/100)*(C7540*VLOOKUP(B7540,'Poids des runes'!A:B,2,FALSE)))+1)/VLOOKUP(B7540,'Poids des runes'!A:B,2,FALSE))</f>
        <v>107.89400000000001</v>
      </c>
      <c r="F7540">
        <f t="shared" si="117"/>
        <v>107.89400000000001</v>
      </c>
    </row>
    <row r="7541" spans="1:6" x14ac:dyDescent="0.3">
      <c r="A7541" t="s">
        <v>1340</v>
      </c>
      <c r="B7541" t="s">
        <v>2130</v>
      </c>
      <c r="C7541">
        <v>40.5</v>
      </c>
      <c r="D7541">
        <v>194</v>
      </c>
      <c r="E7541">
        <f>IF(OR(B7541="vi",B7541="ii",B7541="pod"),(((D7541/100)*(C7541*VLOOKUP(B7541,'Poids des runes'!A:B,2,FALSE)))+1),(((D7541/100)*(C7541*VLOOKUP(B7541,'Poids des runes'!A:B,2,FALSE)))+1)/VLOOKUP(B7541,'Poids des runes'!A:B,2,FALSE))</f>
        <v>79.569999999999993</v>
      </c>
      <c r="F7541">
        <f t="shared" si="117"/>
        <v>79.569999999999993</v>
      </c>
    </row>
    <row r="7542" spans="1:6" x14ac:dyDescent="0.3">
      <c r="A7542" t="s">
        <v>1340</v>
      </c>
      <c r="B7542" t="s">
        <v>2127</v>
      </c>
      <c r="C7542">
        <v>40.5</v>
      </c>
      <c r="D7542">
        <v>194</v>
      </c>
      <c r="E7542">
        <f>IF(OR(B7542="vi",B7542="ii",B7542="pod"),(((D7542/100)*(C7542*VLOOKUP(B7542,'Poids des runes'!A:B,2,FALSE)))+1),(((D7542/100)*(C7542*VLOOKUP(B7542,'Poids des runes'!A:B,2,FALSE)))+1)/VLOOKUP(B7542,'Poids des runes'!A:B,2,FALSE))</f>
        <v>79.569999999999993</v>
      </c>
      <c r="F7542">
        <f t="shared" si="117"/>
        <v>79.569999999999993</v>
      </c>
    </row>
    <row r="7543" spans="1:6" x14ac:dyDescent="0.3">
      <c r="A7543" t="s">
        <v>1340</v>
      </c>
      <c r="B7543" t="s">
        <v>2129</v>
      </c>
      <c r="C7543">
        <v>25.5</v>
      </c>
      <c r="D7543">
        <v>194</v>
      </c>
      <c r="E7543">
        <f>IF(OR(B7543="vi",B7543="ii",B7543="pod"),(((D7543/100)*(C7543*VLOOKUP(B7543,'Poids des runes'!A:B,2,FALSE)))+1),(((D7543/100)*(C7543*VLOOKUP(B7543,'Poids des runes'!A:B,2,FALSE)))+1)/VLOOKUP(B7543,'Poids des runes'!A:B,2,FALSE))</f>
        <v>50.47</v>
      </c>
      <c r="F7543">
        <f t="shared" si="117"/>
        <v>50.47</v>
      </c>
    </row>
    <row r="7544" spans="1:6" x14ac:dyDescent="0.3">
      <c r="A7544" t="s">
        <v>1340</v>
      </c>
      <c r="B7544" t="s">
        <v>2151</v>
      </c>
      <c r="C7544">
        <v>3.5</v>
      </c>
      <c r="D7544">
        <v>194</v>
      </c>
      <c r="E7544">
        <f>IF(OR(B7544="vi",B7544="ii",B7544="pod"),(((D7544/100)*(C7544*VLOOKUP(B7544,'Poids des runes'!A:B,2,FALSE)))+1),(((D7544/100)*(C7544*VLOOKUP(B7544,'Poids des runes'!A:B,2,FALSE)))+1)/VLOOKUP(B7544,'Poids des runes'!A:B,2,FALSE))</f>
        <v>6.8899999999999988</v>
      </c>
      <c r="F7544">
        <f t="shared" si="117"/>
        <v>6.8899999999999988</v>
      </c>
    </row>
    <row r="7545" spans="1:6" x14ac:dyDescent="0.3">
      <c r="A7545" t="s">
        <v>1340</v>
      </c>
      <c r="B7545" t="s">
        <v>2143</v>
      </c>
      <c r="C7545">
        <v>10.5</v>
      </c>
      <c r="D7545">
        <v>194</v>
      </c>
      <c r="E7545">
        <f>IF(OR(B7545="vi",B7545="ii",B7545="pod"),(((D7545/100)*(C7545*VLOOKUP(B7545,'Poids des runes'!A:B,2,FALSE)))+1),(((D7545/100)*(C7545*VLOOKUP(B7545,'Poids des runes'!A:B,2,FALSE)))+1)/VLOOKUP(B7545,'Poids des runes'!A:B,2,FALSE))</f>
        <v>20.57</v>
      </c>
      <c r="F7545">
        <f t="shared" si="117"/>
        <v>20.57</v>
      </c>
    </row>
    <row r="7546" spans="1:6" x14ac:dyDescent="0.3">
      <c r="A7546" t="s">
        <v>1340</v>
      </c>
      <c r="B7546" t="s">
        <v>2153</v>
      </c>
      <c r="C7546">
        <v>10.5</v>
      </c>
      <c r="D7546">
        <v>194</v>
      </c>
      <c r="E7546">
        <f>IF(OR(B7546="vi",B7546="ii",B7546="pod"),(((D7546/100)*(C7546*VLOOKUP(B7546,'Poids des runes'!A:B,2,FALSE)))+1),(((D7546/100)*(C7546*VLOOKUP(B7546,'Poids des runes'!A:B,2,FALSE)))+1)/VLOOKUP(B7546,'Poids des runes'!A:B,2,FALSE))</f>
        <v>20.57</v>
      </c>
      <c r="F7546">
        <f t="shared" si="117"/>
        <v>20.57</v>
      </c>
    </row>
    <row r="7547" spans="1:6" x14ac:dyDescent="0.3">
      <c r="A7547" t="s">
        <v>1340</v>
      </c>
      <c r="B7547" t="s">
        <v>2161</v>
      </c>
      <c r="C7547">
        <v>8.5</v>
      </c>
      <c r="D7547">
        <v>194</v>
      </c>
      <c r="E7547">
        <f>IF(OR(B7547="vi",B7547="ii",B7547="pod"),(((D7547/100)*(C7547*VLOOKUP(B7547,'Poids des runes'!A:B,2,FALSE)))+1),(((D7547/100)*(C7547*VLOOKUP(B7547,'Poids des runes'!A:B,2,FALSE)))+1)/VLOOKUP(B7547,'Poids des runes'!A:B,2,FALSE))</f>
        <v>16.823333333333334</v>
      </c>
      <c r="F7547">
        <f t="shared" si="117"/>
        <v>16.823333333333334</v>
      </c>
    </row>
    <row r="7548" spans="1:6" x14ac:dyDescent="0.3">
      <c r="A7548" t="s">
        <v>1340</v>
      </c>
      <c r="B7548" t="s">
        <v>2141</v>
      </c>
      <c r="C7548">
        <v>4</v>
      </c>
      <c r="D7548">
        <v>194</v>
      </c>
      <c r="E7548">
        <f>IF(OR(B7548="vi",B7548="ii",B7548="pod"),(((D7548/100)*(C7548*VLOOKUP(B7548,'Poids des runes'!A:B,2,FALSE)))+1),(((D7548/100)*(C7548*VLOOKUP(B7548,'Poids des runes'!A:B,2,FALSE)))+1)/VLOOKUP(B7548,'Poids des runes'!A:B,2,FALSE))</f>
        <v>8.01</v>
      </c>
      <c r="F7548">
        <f t="shared" si="117"/>
        <v>8.01</v>
      </c>
    </row>
    <row r="7549" spans="1:6" x14ac:dyDescent="0.3">
      <c r="A7549" t="s">
        <v>1340</v>
      </c>
      <c r="B7549" t="s">
        <v>2158</v>
      </c>
      <c r="C7549">
        <v>13</v>
      </c>
      <c r="D7549">
        <v>194</v>
      </c>
      <c r="E7549">
        <f>IF(OR(B7549="vi",B7549="ii",B7549="pod"),(((D7549/100)*(C7549*VLOOKUP(B7549,'Poids des runes'!A:B,2,FALSE)))+1),(((D7549/100)*(C7549*VLOOKUP(B7549,'Poids des runes'!A:B,2,FALSE)))+1)/VLOOKUP(B7549,'Poids des runes'!A:B,2,FALSE))</f>
        <v>25.419999999999998</v>
      </c>
      <c r="F7549">
        <f t="shared" si="117"/>
        <v>25.419999999999998</v>
      </c>
    </row>
    <row r="7550" spans="1:6" x14ac:dyDescent="0.3">
      <c r="A7550" t="s">
        <v>1340</v>
      </c>
      <c r="B7550" t="s">
        <v>2148</v>
      </c>
      <c r="C7550">
        <v>6</v>
      </c>
      <c r="D7550">
        <v>194</v>
      </c>
      <c r="E7550">
        <f>IF(OR(B7550="vi",B7550="ii",B7550="pod"),(((D7550/100)*(C7550*VLOOKUP(B7550,'Poids des runes'!A:B,2,FALSE)))+1),(((D7550/100)*(C7550*VLOOKUP(B7550,'Poids des runes'!A:B,2,FALSE)))+1)/VLOOKUP(B7550,'Poids des runes'!A:B,2,FALSE))</f>
        <v>11.806666666666667</v>
      </c>
      <c r="F7550">
        <f t="shared" si="117"/>
        <v>11.806666666666667</v>
      </c>
    </row>
    <row r="7551" spans="1:6" x14ac:dyDescent="0.3">
      <c r="A7551" t="s">
        <v>1340</v>
      </c>
      <c r="B7551" t="s">
        <v>2157</v>
      </c>
      <c r="C7551">
        <v>6</v>
      </c>
      <c r="D7551">
        <v>194</v>
      </c>
      <c r="E7551">
        <f>IF(OR(B7551="vi",B7551="ii",B7551="pod"),(((D7551/100)*(C7551*VLOOKUP(B7551,'Poids des runes'!A:B,2,FALSE)))+1),(((D7551/100)*(C7551*VLOOKUP(B7551,'Poids des runes'!A:B,2,FALSE)))+1)/VLOOKUP(B7551,'Poids des runes'!A:B,2,FALSE))</f>
        <v>11.806666666666667</v>
      </c>
      <c r="F7551">
        <f t="shared" si="117"/>
        <v>11.806666666666667</v>
      </c>
    </row>
    <row r="7552" spans="1:6" x14ac:dyDescent="0.3">
      <c r="A7552" t="s">
        <v>1341</v>
      </c>
      <c r="B7552" t="s">
        <v>2128</v>
      </c>
      <c r="C7552">
        <v>275.5</v>
      </c>
      <c r="D7552">
        <v>195</v>
      </c>
      <c r="E7552">
        <f>IF(OR(B7552="vi",B7552="ii",B7552="pod"),(((D7552/100)*(C7552*VLOOKUP(B7552,'Poids des runes'!A:B,2,FALSE)))+1),(((D7552/100)*(C7552*VLOOKUP(B7552,'Poids des runes'!A:B,2,FALSE)))+1)/VLOOKUP(B7552,'Poids des runes'!A:B,2,FALSE))</f>
        <v>108.44500000000001</v>
      </c>
      <c r="F7552">
        <f t="shared" si="117"/>
        <v>108.44500000000001</v>
      </c>
    </row>
    <row r="7553" spans="1:6" x14ac:dyDescent="0.3">
      <c r="A7553" t="s">
        <v>1341</v>
      </c>
      <c r="B7553" t="s">
        <v>2131</v>
      </c>
      <c r="C7553">
        <v>60.5</v>
      </c>
      <c r="D7553">
        <v>195</v>
      </c>
      <c r="E7553">
        <f>IF(OR(B7553="vi",B7553="ii",B7553="pod"),(((D7553/100)*(C7553*VLOOKUP(B7553,'Poids des runes'!A:B,2,FALSE)))+1),(((D7553/100)*(C7553*VLOOKUP(B7553,'Poids des runes'!A:B,2,FALSE)))+1)/VLOOKUP(B7553,'Poids des runes'!A:B,2,FALSE))</f>
        <v>118.97499999999999</v>
      </c>
      <c r="F7553">
        <f t="shared" si="117"/>
        <v>118.97499999999999</v>
      </c>
    </row>
    <row r="7554" spans="1:6" x14ac:dyDescent="0.3">
      <c r="A7554" t="s">
        <v>1341</v>
      </c>
      <c r="B7554" t="s">
        <v>2129</v>
      </c>
      <c r="C7554">
        <v>40.5</v>
      </c>
      <c r="D7554">
        <v>195</v>
      </c>
      <c r="E7554">
        <f>IF(OR(B7554="vi",B7554="ii",B7554="pod"),(((D7554/100)*(C7554*VLOOKUP(B7554,'Poids des runes'!A:B,2,FALSE)))+1),(((D7554/100)*(C7554*VLOOKUP(B7554,'Poids des runes'!A:B,2,FALSE)))+1)/VLOOKUP(B7554,'Poids des runes'!A:B,2,FALSE))</f>
        <v>79.974999999999994</v>
      </c>
      <c r="F7554">
        <f t="shared" si="117"/>
        <v>79.974999999999994</v>
      </c>
    </row>
    <row r="7555" spans="1:6" x14ac:dyDescent="0.3">
      <c r="A7555" t="s">
        <v>1341</v>
      </c>
      <c r="B7555" t="s">
        <v>2151</v>
      </c>
      <c r="C7555">
        <v>3.5</v>
      </c>
      <c r="D7555">
        <v>195</v>
      </c>
      <c r="E7555">
        <f>IF(OR(B7555="vi",B7555="ii",B7555="pod"),(((D7555/100)*(C7555*VLOOKUP(B7555,'Poids des runes'!A:B,2,FALSE)))+1),(((D7555/100)*(C7555*VLOOKUP(B7555,'Poids des runes'!A:B,2,FALSE)))+1)/VLOOKUP(B7555,'Poids des runes'!A:B,2,FALSE))</f>
        <v>6.9249999999999998</v>
      </c>
      <c r="F7555">
        <f t="shared" ref="F7555:F7618" si="118">E7555</f>
        <v>6.9249999999999998</v>
      </c>
    </row>
    <row r="7556" spans="1:6" x14ac:dyDescent="0.3">
      <c r="A7556" t="s">
        <v>1341</v>
      </c>
      <c r="B7556" t="s">
        <v>2154</v>
      </c>
      <c r="C7556">
        <v>1</v>
      </c>
      <c r="D7556">
        <v>195</v>
      </c>
      <c r="E7556">
        <f>IF(OR(B7556="vi",B7556="ii",B7556="pod"),(((D7556/100)*(C7556*VLOOKUP(B7556,'Poids des runes'!A:B,2,FALSE)))+1),(((D7556/100)*(C7556*VLOOKUP(B7556,'Poids des runes'!A:B,2,FALSE)))+1)/VLOOKUP(B7556,'Poids des runes'!A:B,2,FALSE))</f>
        <v>1.961111111111111</v>
      </c>
      <c r="F7556">
        <f t="shared" si="118"/>
        <v>1.961111111111111</v>
      </c>
    </row>
    <row r="7557" spans="1:6" x14ac:dyDescent="0.3">
      <c r="A7557" t="s">
        <v>1341</v>
      </c>
      <c r="B7557" t="s">
        <v>2134</v>
      </c>
      <c r="C7557">
        <v>8</v>
      </c>
      <c r="D7557">
        <v>195</v>
      </c>
      <c r="E7557">
        <f>IF(OR(B7557="vi",B7557="ii",B7557="pod"),(((D7557/100)*(C7557*VLOOKUP(B7557,'Poids des runes'!A:B,2,FALSE)))+1),(((D7557/100)*(C7557*VLOOKUP(B7557,'Poids des runes'!A:B,2,FALSE)))+1)/VLOOKUP(B7557,'Poids des runes'!A:B,2,FALSE))</f>
        <v>15.65</v>
      </c>
      <c r="F7557">
        <f t="shared" si="118"/>
        <v>15.65</v>
      </c>
    </row>
    <row r="7558" spans="1:6" x14ac:dyDescent="0.3">
      <c r="A7558" t="s">
        <v>1341</v>
      </c>
      <c r="B7558" t="s">
        <v>2161</v>
      </c>
      <c r="C7558">
        <v>15.5</v>
      </c>
      <c r="D7558">
        <v>195</v>
      </c>
      <c r="E7558">
        <f>IF(OR(B7558="vi",B7558="ii",B7558="pod"),(((D7558/100)*(C7558*VLOOKUP(B7558,'Poids des runes'!A:B,2,FALSE)))+1),(((D7558/100)*(C7558*VLOOKUP(B7558,'Poids des runes'!A:B,2,FALSE)))+1)/VLOOKUP(B7558,'Poids des runes'!A:B,2,FALSE))</f>
        <v>30.558333333333334</v>
      </c>
      <c r="F7558">
        <f t="shared" si="118"/>
        <v>30.558333333333334</v>
      </c>
    </row>
    <row r="7559" spans="1:6" x14ac:dyDescent="0.3">
      <c r="A7559" t="s">
        <v>1341</v>
      </c>
      <c r="B7559" t="s">
        <v>2148</v>
      </c>
      <c r="C7559">
        <v>8</v>
      </c>
      <c r="D7559">
        <v>195</v>
      </c>
      <c r="E7559">
        <f>IF(OR(B7559="vi",B7559="ii",B7559="pod"),(((D7559/100)*(C7559*VLOOKUP(B7559,'Poids des runes'!A:B,2,FALSE)))+1),(((D7559/100)*(C7559*VLOOKUP(B7559,'Poids des runes'!A:B,2,FALSE)))+1)/VLOOKUP(B7559,'Poids des runes'!A:B,2,FALSE))</f>
        <v>15.766666666666666</v>
      </c>
      <c r="F7559">
        <f t="shared" si="118"/>
        <v>15.766666666666666</v>
      </c>
    </row>
    <row r="7560" spans="1:6" x14ac:dyDescent="0.3">
      <c r="A7560" t="s">
        <v>1341</v>
      </c>
      <c r="B7560" t="s">
        <v>2135</v>
      </c>
      <c r="C7560">
        <v>8</v>
      </c>
      <c r="D7560">
        <v>195</v>
      </c>
      <c r="E7560">
        <f>IF(OR(B7560="vi",B7560="ii",B7560="pod"),(((D7560/100)*(C7560*VLOOKUP(B7560,'Poids des runes'!A:B,2,FALSE)))+1),(((D7560/100)*(C7560*VLOOKUP(B7560,'Poids des runes'!A:B,2,FALSE)))+1)/VLOOKUP(B7560,'Poids des runes'!A:B,2,FALSE))</f>
        <v>15.766666666666666</v>
      </c>
      <c r="F7560">
        <f t="shared" si="118"/>
        <v>15.766666666666666</v>
      </c>
    </row>
    <row r="7561" spans="1:6" x14ac:dyDescent="0.3">
      <c r="A7561" t="s">
        <v>1342</v>
      </c>
      <c r="B7561" t="s">
        <v>2128</v>
      </c>
      <c r="C7561">
        <v>275.5</v>
      </c>
      <c r="D7561">
        <v>195</v>
      </c>
      <c r="E7561">
        <f>IF(OR(B7561="vi",B7561="ii",B7561="pod"),(((D7561/100)*(C7561*VLOOKUP(B7561,'Poids des runes'!A:B,2,FALSE)))+1),(((D7561/100)*(C7561*VLOOKUP(B7561,'Poids des runes'!A:B,2,FALSE)))+1)/VLOOKUP(B7561,'Poids des runes'!A:B,2,FALSE))</f>
        <v>108.44500000000001</v>
      </c>
      <c r="F7561">
        <f t="shared" si="118"/>
        <v>108.44500000000001</v>
      </c>
    </row>
    <row r="7562" spans="1:6" x14ac:dyDescent="0.3">
      <c r="A7562" t="s">
        <v>1342</v>
      </c>
      <c r="B7562" t="s">
        <v>2130</v>
      </c>
      <c r="C7562">
        <v>50.5</v>
      </c>
      <c r="D7562">
        <v>195</v>
      </c>
      <c r="E7562">
        <f>IF(OR(B7562="vi",B7562="ii",B7562="pod"),(((D7562/100)*(C7562*VLOOKUP(B7562,'Poids des runes'!A:B,2,FALSE)))+1),(((D7562/100)*(C7562*VLOOKUP(B7562,'Poids des runes'!A:B,2,FALSE)))+1)/VLOOKUP(B7562,'Poids des runes'!A:B,2,FALSE))</f>
        <v>99.474999999999994</v>
      </c>
      <c r="F7562">
        <f t="shared" si="118"/>
        <v>99.474999999999994</v>
      </c>
    </row>
    <row r="7563" spans="1:6" x14ac:dyDescent="0.3">
      <c r="A7563" t="s">
        <v>1342</v>
      </c>
      <c r="B7563" t="s">
        <v>2126</v>
      </c>
      <c r="C7563">
        <v>50.5</v>
      </c>
      <c r="D7563">
        <v>195</v>
      </c>
      <c r="E7563">
        <f>IF(OR(B7563="vi",B7563="ii",B7563="pod"),(((D7563/100)*(C7563*VLOOKUP(B7563,'Poids des runes'!A:B,2,FALSE)))+1),(((D7563/100)*(C7563*VLOOKUP(B7563,'Poids des runes'!A:B,2,FALSE)))+1)/VLOOKUP(B7563,'Poids des runes'!A:B,2,FALSE))</f>
        <v>99.474999999999994</v>
      </c>
      <c r="F7563">
        <f t="shared" si="118"/>
        <v>99.474999999999994</v>
      </c>
    </row>
    <row r="7564" spans="1:6" x14ac:dyDescent="0.3">
      <c r="A7564" t="s">
        <v>1342</v>
      </c>
      <c r="B7564" t="s">
        <v>2129</v>
      </c>
      <c r="C7564">
        <v>40.5</v>
      </c>
      <c r="D7564">
        <v>195</v>
      </c>
      <c r="E7564">
        <f>IF(OR(B7564="vi",B7564="ii",B7564="pod"),(((D7564/100)*(C7564*VLOOKUP(B7564,'Poids des runes'!A:B,2,FALSE)))+1),(((D7564/100)*(C7564*VLOOKUP(B7564,'Poids des runes'!A:B,2,FALSE)))+1)/VLOOKUP(B7564,'Poids des runes'!A:B,2,FALSE))</f>
        <v>79.974999999999994</v>
      </c>
      <c r="F7564">
        <f t="shared" si="118"/>
        <v>79.974999999999994</v>
      </c>
    </row>
    <row r="7565" spans="1:6" x14ac:dyDescent="0.3">
      <c r="A7565" t="s">
        <v>1342</v>
      </c>
      <c r="B7565" t="s">
        <v>2151</v>
      </c>
      <c r="C7565">
        <v>3.5</v>
      </c>
      <c r="D7565">
        <v>195</v>
      </c>
      <c r="E7565">
        <f>IF(OR(B7565="vi",B7565="ii",B7565="pod"),(((D7565/100)*(C7565*VLOOKUP(B7565,'Poids des runes'!A:B,2,FALSE)))+1),(((D7565/100)*(C7565*VLOOKUP(B7565,'Poids des runes'!A:B,2,FALSE)))+1)/VLOOKUP(B7565,'Poids des runes'!A:B,2,FALSE))</f>
        <v>6.9249999999999998</v>
      </c>
      <c r="F7565">
        <f t="shared" si="118"/>
        <v>6.9249999999999998</v>
      </c>
    </row>
    <row r="7566" spans="1:6" x14ac:dyDescent="0.3">
      <c r="A7566" t="s">
        <v>1342</v>
      </c>
      <c r="B7566" t="s">
        <v>2143</v>
      </c>
      <c r="C7566">
        <v>10</v>
      </c>
      <c r="D7566">
        <v>195</v>
      </c>
      <c r="E7566">
        <f>IF(OR(B7566="vi",B7566="ii",B7566="pod"),(((D7566/100)*(C7566*VLOOKUP(B7566,'Poids des runes'!A:B,2,FALSE)))+1),(((D7566/100)*(C7566*VLOOKUP(B7566,'Poids des runes'!A:B,2,FALSE)))+1)/VLOOKUP(B7566,'Poids des runes'!A:B,2,FALSE))</f>
        <v>19.7</v>
      </c>
      <c r="F7566">
        <f t="shared" si="118"/>
        <v>19.7</v>
      </c>
    </row>
    <row r="7567" spans="1:6" x14ac:dyDescent="0.3">
      <c r="A7567" t="s">
        <v>1342</v>
      </c>
      <c r="B7567" t="s">
        <v>2140</v>
      </c>
      <c r="C7567">
        <v>10</v>
      </c>
      <c r="D7567">
        <v>195</v>
      </c>
      <c r="E7567">
        <f>IF(OR(B7567="vi",B7567="ii",B7567="pod"),(((D7567/100)*(C7567*VLOOKUP(B7567,'Poids des runes'!A:B,2,FALSE)))+1),(((D7567/100)*(C7567*VLOOKUP(B7567,'Poids des runes'!A:B,2,FALSE)))+1)/VLOOKUP(B7567,'Poids des runes'!A:B,2,FALSE))</f>
        <v>19.7</v>
      </c>
      <c r="F7567">
        <f t="shared" si="118"/>
        <v>19.7</v>
      </c>
    </row>
    <row r="7568" spans="1:6" x14ac:dyDescent="0.3">
      <c r="A7568" t="s">
        <v>1342</v>
      </c>
      <c r="B7568" t="s">
        <v>2149</v>
      </c>
      <c r="C7568">
        <v>10</v>
      </c>
      <c r="D7568">
        <v>195</v>
      </c>
      <c r="E7568">
        <f>IF(OR(B7568="vi",B7568="ii",B7568="pod"),(((D7568/100)*(C7568*VLOOKUP(B7568,'Poids des runes'!A:B,2,FALSE)))+1),(((D7568/100)*(C7568*VLOOKUP(B7568,'Poids des runes'!A:B,2,FALSE)))+1)/VLOOKUP(B7568,'Poids des runes'!A:B,2,FALSE))</f>
        <v>19.600000000000001</v>
      </c>
      <c r="F7568">
        <f t="shared" si="118"/>
        <v>19.600000000000001</v>
      </c>
    </row>
    <row r="7569" spans="1:6" x14ac:dyDescent="0.3">
      <c r="A7569" t="s">
        <v>1342</v>
      </c>
      <c r="B7569" t="s">
        <v>2141</v>
      </c>
      <c r="C7569">
        <v>4.5</v>
      </c>
      <c r="D7569">
        <v>195</v>
      </c>
      <c r="E7569">
        <f>IF(OR(B7569="vi",B7569="ii",B7569="pod"),(((D7569/100)*(C7569*VLOOKUP(B7569,'Poids des runes'!A:B,2,FALSE)))+1),(((D7569/100)*(C7569*VLOOKUP(B7569,'Poids des runes'!A:B,2,FALSE)))+1)/VLOOKUP(B7569,'Poids des runes'!A:B,2,FALSE))</f>
        <v>9.0250000000000004</v>
      </c>
      <c r="F7569">
        <f t="shared" si="118"/>
        <v>9.0250000000000004</v>
      </c>
    </row>
    <row r="7570" spans="1:6" x14ac:dyDescent="0.3">
      <c r="A7570" t="s">
        <v>1342</v>
      </c>
      <c r="B7570" t="s">
        <v>2159</v>
      </c>
      <c r="C7570">
        <v>4.5</v>
      </c>
      <c r="D7570">
        <v>195</v>
      </c>
      <c r="E7570">
        <f>IF(OR(B7570="vi",B7570="ii",B7570="pod"),(((D7570/100)*(C7570*VLOOKUP(B7570,'Poids des runes'!A:B,2,FALSE)))+1),(((D7570/100)*(C7570*VLOOKUP(B7570,'Poids des runes'!A:B,2,FALSE)))+1)/VLOOKUP(B7570,'Poids des runes'!A:B,2,FALSE))</f>
        <v>8.9178571428571427</v>
      </c>
      <c r="F7570">
        <f t="shared" si="118"/>
        <v>8.9178571428571427</v>
      </c>
    </row>
    <row r="7571" spans="1:6" x14ac:dyDescent="0.3">
      <c r="A7571" t="s">
        <v>1342</v>
      </c>
      <c r="B7571" t="s">
        <v>2135</v>
      </c>
      <c r="C7571">
        <v>6</v>
      </c>
      <c r="D7571">
        <v>195</v>
      </c>
      <c r="E7571">
        <f>IF(OR(B7571="vi",B7571="ii",B7571="pod"),(((D7571/100)*(C7571*VLOOKUP(B7571,'Poids des runes'!A:B,2,FALSE)))+1),(((D7571/100)*(C7571*VLOOKUP(B7571,'Poids des runes'!A:B,2,FALSE)))+1)/VLOOKUP(B7571,'Poids des runes'!A:B,2,FALSE))</f>
        <v>11.866666666666667</v>
      </c>
      <c r="F7571">
        <f t="shared" si="118"/>
        <v>11.866666666666667</v>
      </c>
    </row>
    <row r="7572" spans="1:6" x14ac:dyDescent="0.3">
      <c r="A7572" t="s">
        <v>1342</v>
      </c>
      <c r="B7572" t="s">
        <v>2157</v>
      </c>
      <c r="C7572">
        <v>6</v>
      </c>
      <c r="D7572">
        <v>195</v>
      </c>
      <c r="E7572">
        <f>IF(OR(B7572="vi",B7572="ii",B7572="pod"),(((D7572/100)*(C7572*VLOOKUP(B7572,'Poids des runes'!A:B,2,FALSE)))+1),(((D7572/100)*(C7572*VLOOKUP(B7572,'Poids des runes'!A:B,2,FALSE)))+1)/VLOOKUP(B7572,'Poids des runes'!A:B,2,FALSE))</f>
        <v>11.866666666666667</v>
      </c>
      <c r="F7572">
        <f t="shared" si="118"/>
        <v>11.866666666666667</v>
      </c>
    </row>
    <row r="7573" spans="1:6" x14ac:dyDescent="0.3">
      <c r="A7573" t="s">
        <v>1343</v>
      </c>
      <c r="B7573" t="s">
        <v>2128</v>
      </c>
      <c r="C7573">
        <v>325.5</v>
      </c>
      <c r="D7573">
        <v>195</v>
      </c>
      <c r="E7573">
        <f>IF(OR(B7573="vi",B7573="ii",B7573="pod"),(((D7573/100)*(C7573*VLOOKUP(B7573,'Poids des runes'!A:B,2,FALSE)))+1),(((D7573/100)*(C7573*VLOOKUP(B7573,'Poids des runes'!A:B,2,FALSE)))+1)/VLOOKUP(B7573,'Poids des runes'!A:B,2,FALSE))</f>
        <v>127.94500000000001</v>
      </c>
      <c r="F7573">
        <f t="shared" si="118"/>
        <v>127.94500000000001</v>
      </c>
    </row>
    <row r="7574" spans="1:6" x14ac:dyDescent="0.3">
      <c r="A7574" t="s">
        <v>1343</v>
      </c>
      <c r="B7574" t="s">
        <v>2130</v>
      </c>
      <c r="C7574">
        <v>50.5</v>
      </c>
      <c r="D7574">
        <v>195</v>
      </c>
      <c r="E7574">
        <f>IF(OR(B7574="vi",B7574="ii",B7574="pod"),(((D7574/100)*(C7574*VLOOKUP(B7574,'Poids des runes'!A:B,2,FALSE)))+1),(((D7574/100)*(C7574*VLOOKUP(B7574,'Poids des runes'!A:B,2,FALSE)))+1)/VLOOKUP(B7574,'Poids des runes'!A:B,2,FALSE))</f>
        <v>99.474999999999994</v>
      </c>
      <c r="F7574">
        <f t="shared" si="118"/>
        <v>99.474999999999994</v>
      </c>
    </row>
    <row r="7575" spans="1:6" x14ac:dyDescent="0.3">
      <c r="A7575" t="s">
        <v>1343</v>
      </c>
      <c r="B7575" t="s">
        <v>2126</v>
      </c>
      <c r="C7575">
        <v>25.5</v>
      </c>
      <c r="D7575">
        <v>195</v>
      </c>
      <c r="E7575">
        <f>IF(OR(B7575="vi",B7575="ii",B7575="pod"),(((D7575/100)*(C7575*VLOOKUP(B7575,'Poids des runes'!A:B,2,FALSE)))+1),(((D7575/100)*(C7575*VLOOKUP(B7575,'Poids des runes'!A:B,2,FALSE)))+1)/VLOOKUP(B7575,'Poids des runes'!A:B,2,FALSE))</f>
        <v>50.725000000000001</v>
      </c>
      <c r="F7575">
        <f t="shared" si="118"/>
        <v>50.725000000000001</v>
      </c>
    </row>
    <row r="7576" spans="1:6" x14ac:dyDescent="0.3">
      <c r="A7576" t="s">
        <v>1343</v>
      </c>
      <c r="B7576" t="s">
        <v>2131</v>
      </c>
      <c r="C7576">
        <v>35.5</v>
      </c>
      <c r="D7576">
        <v>195</v>
      </c>
      <c r="E7576">
        <f>IF(OR(B7576="vi",B7576="ii",B7576="pod"),(((D7576/100)*(C7576*VLOOKUP(B7576,'Poids des runes'!A:B,2,FALSE)))+1),(((D7576/100)*(C7576*VLOOKUP(B7576,'Poids des runes'!A:B,2,FALSE)))+1)/VLOOKUP(B7576,'Poids des runes'!A:B,2,FALSE))</f>
        <v>70.224999999999994</v>
      </c>
      <c r="F7576">
        <f t="shared" si="118"/>
        <v>70.224999999999994</v>
      </c>
    </row>
    <row r="7577" spans="1:6" x14ac:dyDescent="0.3">
      <c r="A7577" t="s">
        <v>1343</v>
      </c>
      <c r="B7577" t="s">
        <v>2129</v>
      </c>
      <c r="C7577">
        <v>30.5</v>
      </c>
      <c r="D7577">
        <v>195</v>
      </c>
      <c r="E7577">
        <f>IF(OR(B7577="vi",B7577="ii",B7577="pod"),(((D7577/100)*(C7577*VLOOKUP(B7577,'Poids des runes'!A:B,2,FALSE)))+1),(((D7577/100)*(C7577*VLOOKUP(B7577,'Poids des runes'!A:B,2,FALSE)))+1)/VLOOKUP(B7577,'Poids des runes'!A:B,2,FALSE))</f>
        <v>60.475000000000001</v>
      </c>
      <c r="F7577">
        <f t="shared" si="118"/>
        <v>60.475000000000001</v>
      </c>
    </row>
    <row r="7578" spans="1:6" x14ac:dyDescent="0.3">
      <c r="A7578" t="s">
        <v>1343</v>
      </c>
      <c r="B7578" t="s">
        <v>2139</v>
      </c>
      <c r="C7578">
        <v>13</v>
      </c>
      <c r="D7578">
        <v>195</v>
      </c>
      <c r="E7578">
        <f>IF(OR(B7578="vi",B7578="ii",B7578="pod"),(((D7578/100)*(C7578*VLOOKUP(B7578,'Poids des runes'!A:B,2,FALSE)))+1),(((D7578/100)*(C7578*VLOOKUP(B7578,'Poids des runes'!A:B,2,FALSE)))+1)/VLOOKUP(B7578,'Poids des runes'!A:B,2,FALSE))</f>
        <v>25.849999999999998</v>
      </c>
      <c r="F7578">
        <f t="shared" si="118"/>
        <v>25.849999999999998</v>
      </c>
    </row>
    <row r="7579" spans="1:6" x14ac:dyDescent="0.3">
      <c r="A7579" t="s">
        <v>1343</v>
      </c>
      <c r="B7579" t="s">
        <v>2151</v>
      </c>
      <c r="C7579">
        <v>3.5</v>
      </c>
      <c r="D7579">
        <v>195</v>
      </c>
      <c r="E7579">
        <f>IF(OR(B7579="vi",B7579="ii",B7579="pod"),(((D7579/100)*(C7579*VLOOKUP(B7579,'Poids des runes'!A:B,2,FALSE)))+1),(((D7579/100)*(C7579*VLOOKUP(B7579,'Poids des runes'!A:B,2,FALSE)))+1)/VLOOKUP(B7579,'Poids des runes'!A:B,2,FALSE))</f>
        <v>6.9249999999999998</v>
      </c>
      <c r="F7579">
        <f t="shared" si="118"/>
        <v>6.9249999999999998</v>
      </c>
    </row>
    <row r="7580" spans="1:6" x14ac:dyDescent="0.3">
      <c r="A7580" t="s">
        <v>1343</v>
      </c>
      <c r="B7580" t="s">
        <v>2155</v>
      </c>
      <c r="C7580">
        <v>1</v>
      </c>
      <c r="D7580">
        <v>195</v>
      </c>
      <c r="E7580">
        <f>IF(OR(B7580="vi",B7580="ii",B7580="pod"),(((D7580/100)*(C7580*VLOOKUP(B7580,'Poids des runes'!A:B,2,FALSE)))+1),(((D7580/100)*(C7580*VLOOKUP(B7580,'Poids des runes'!A:B,2,FALSE)))+1)/VLOOKUP(B7580,'Poids des runes'!A:B,2,FALSE))</f>
        <v>1.969607843137255</v>
      </c>
      <c r="F7580">
        <f t="shared" si="118"/>
        <v>1.969607843137255</v>
      </c>
    </row>
    <row r="7581" spans="1:6" x14ac:dyDescent="0.3">
      <c r="A7581" t="s">
        <v>1343</v>
      </c>
      <c r="B7581" t="s">
        <v>2143</v>
      </c>
      <c r="C7581">
        <v>13</v>
      </c>
      <c r="D7581">
        <v>195</v>
      </c>
      <c r="E7581">
        <f>IF(OR(B7581="vi",B7581="ii",B7581="pod"),(((D7581/100)*(C7581*VLOOKUP(B7581,'Poids des runes'!A:B,2,FALSE)))+1),(((D7581/100)*(C7581*VLOOKUP(B7581,'Poids des runes'!A:B,2,FALSE)))+1)/VLOOKUP(B7581,'Poids des runes'!A:B,2,FALSE))</f>
        <v>25.55</v>
      </c>
      <c r="F7581">
        <f t="shared" si="118"/>
        <v>25.55</v>
      </c>
    </row>
    <row r="7582" spans="1:6" x14ac:dyDescent="0.3">
      <c r="A7582" t="s">
        <v>1343</v>
      </c>
      <c r="B7582" t="s">
        <v>2140</v>
      </c>
      <c r="C7582">
        <v>8.5</v>
      </c>
      <c r="D7582">
        <v>195</v>
      </c>
      <c r="E7582">
        <f>IF(OR(B7582="vi",B7582="ii",B7582="pod"),(((D7582/100)*(C7582*VLOOKUP(B7582,'Poids des runes'!A:B,2,FALSE)))+1),(((D7582/100)*(C7582*VLOOKUP(B7582,'Poids des runes'!A:B,2,FALSE)))+1)/VLOOKUP(B7582,'Poids des runes'!A:B,2,FALSE))</f>
        <v>16.774999999999999</v>
      </c>
      <c r="F7582">
        <f t="shared" si="118"/>
        <v>16.774999999999999</v>
      </c>
    </row>
    <row r="7583" spans="1:6" x14ac:dyDescent="0.3">
      <c r="A7583" t="s">
        <v>1343</v>
      </c>
      <c r="B7583" t="s">
        <v>2133</v>
      </c>
      <c r="C7583">
        <v>10</v>
      </c>
      <c r="D7583">
        <v>195</v>
      </c>
      <c r="E7583">
        <f>IF(OR(B7583="vi",B7583="ii",B7583="pod"),(((D7583/100)*(C7583*VLOOKUP(B7583,'Poids des runes'!A:B,2,FALSE)))+1),(((D7583/100)*(C7583*VLOOKUP(B7583,'Poids des runes'!A:B,2,FALSE)))+1)/VLOOKUP(B7583,'Poids des runes'!A:B,2,FALSE))</f>
        <v>19.7</v>
      </c>
      <c r="F7583">
        <f t="shared" si="118"/>
        <v>19.7</v>
      </c>
    </row>
    <row r="7584" spans="1:6" x14ac:dyDescent="0.3">
      <c r="A7584" t="s">
        <v>1343</v>
      </c>
      <c r="B7584" t="s">
        <v>2132</v>
      </c>
      <c r="C7584">
        <v>250.5</v>
      </c>
      <c r="D7584">
        <v>195</v>
      </c>
      <c r="E7584">
        <f>IF(OR(B7584="vi",B7584="ii",B7584="pod"),(((D7584/100)*(C7584*VLOOKUP(B7584,'Poids des runes'!A:B,2,FALSE)))+1),(((D7584/100)*(C7584*VLOOKUP(B7584,'Poids des runes'!A:B,2,FALSE)))+1)/VLOOKUP(B7584,'Poids des runes'!A:B,2,FALSE))</f>
        <v>49.847500000000004</v>
      </c>
      <c r="F7584">
        <f t="shared" si="118"/>
        <v>49.847500000000004</v>
      </c>
    </row>
    <row r="7585" spans="1:6" x14ac:dyDescent="0.3">
      <c r="A7585" t="s">
        <v>1343</v>
      </c>
      <c r="B7585" t="s">
        <v>2163</v>
      </c>
      <c r="C7585">
        <v>18</v>
      </c>
      <c r="D7585">
        <v>195</v>
      </c>
      <c r="E7585">
        <f>IF(OR(B7585="vi",B7585="ii",B7585="pod"),(((D7585/100)*(C7585*VLOOKUP(B7585,'Poids des runes'!A:B,2,FALSE)))+1),(((D7585/100)*(C7585*VLOOKUP(B7585,'Poids des runes'!A:B,2,FALSE)))+1)/VLOOKUP(B7585,'Poids des runes'!A:B,2,FALSE))</f>
        <v>35.6</v>
      </c>
      <c r="F7585">
        <f t="shared" si="118"/>
        <v>35.6</v>
      </c>
    </row>
    <row r="7586" spans="1:6" x14ac:dyDescent="0.3">
      <c r="A7586" t="s">
        <v>1343</v>
      </c>
      <c r="B7586" t="s">
        <v>2137</v>
      </c>
      <c r="C7586">
        <v>18</v>
      </c>
      <c r="D7586">
        <v>195</v>
      </c>
      <c r="E7586">
        <f>IF(OR(B7586="vi",B7586="ii",B7586="pod"),(((D7586/100)*(C7586*VLOOKUP(B7586,'Poids des runes'!A:B,2,FALSE)))+1),(((D7586/100)*(C7586*VLOOKUP(B7586,'Poids des runes'!A:B,2,FALSE)))+1)/VLOOKUP(B7586,'Poids des runes'!A:B,2,FALSE))</f>
        <v>35.6</v>
      </c>
      <c r="F7586">
        <f t="shared" si="118"/>
        <v>35.6</v>
      </c>
    </row>
    <row r="7587" spans="1:6" x14ac:dyDescent="0.3">
      <c r="A7587" t="s">
        <v>1343</v>
      </c>
      <c r="B7587" t="s">
        <v>2144</v>
      </c>
      <c r="C7587">
        <v>18</v>
      </c>
      <c r="D7587">
        <v>195</v>
      </c>
      <c r="E7587">
        <f>IF(OR(B7587="vi",B7587="ii",B7587="pod"),(((D7587/100)*(C7587*VLOOKUP(B7587,'Poids des runes'!A:B,2,FALSE)))+1),(((D7587/100)*(C7587*VLOOKUP(B7587,'Poids des runes'!A:B,2,FALSE)))+1)/VLOOKUP(B7587,'Poids des runes'!A:B,2,FALSE))</f>
        <v>35.6</v>
      </c>
      <c r="F7587">
        <f t="shared" si="118"/>
        <v>35.6</v>
      </c>
    </row>
    <row r="7588" spans="1:6" x14ac:dyDescent="0.3">
      <c r="A7588" t="s">
        <v>1343</v>
      </c>
      <c r="B7588" t="s">
        <v>2146</v>
      </c>
      <c r="C7588">
        <v>18</v>
      </c>
      <c r="D7588">
        <v>195</v>
      </c>
      <c r="E7588">
        <f>IF(OR(B7588="vi",B7588="ii",B7588="pod"),(((D7588/100)*(C7588*VLOOKUP(B7588,'Poids des runes'!A:B,2,FALSE)))+1),(((D7588/100)*(C7588*VLOOKUP(B7588,'Poids des runes'!A:B,2,FALSE)))+1)/VLOOKUP(B7588,'Poids des runes'!A:B,2,FALSE))</f>
        <v>35.6</v>
      </c>
      <c r="F7588">
        <f t="shared" si="118"/>
        <v>35.6</v>
      </c>
    </row>
    <row r="7589" spans="1:6" x14ac:dyDescent="0.3">
      <c r="A7589" t="s">
        <v>1344</v>
      </c>
      <c r="B7589" t="s">
        <v>2128</v>
      </c>
      <c r="C7589">
        <v>325.5</v>
      </c>
      <c r="D7589">
        <v>195</v>
      </c>
      <c r="E7589">
        <f>IF(OR(B7589="vi",B7589="ii",B7589="pod"),(((D7589/100)*(C7589*VLOOKUP(B7589,'Poids des runes'!A:B,2,FALSE)))+1),(((D7589/100)*(C7589*VLOOKUP(B7589,'Poids des runes'!A:B,2,FALSE)))+1)/VLOOKUP(B7589,'Poids des runes'!A:B,2,FALSE))</f>
        <v>127.94500000000001</v>
      </c>
      <c r="F7589">
        <f t="shared" si="118"/>
        <v>127.94500000000001</v>
      </c>
    </row>
    <row r="7590" spans="1:6" x14ac:dyDescent="0.3">
      <c r="A7590" t="s">
        <v>1344</v>
      </c>
      <c r="B7590" t="s">
        <v>2131</v>
      </c>
      <c r="C7590">
        <v>35.5</v>
      </c>
      <c r="D7590">
        <v>195</v>
      </c>
      <c r="E7590">
        <f>IF(OR(B7590="vi",B7590="ii",B7590="pod"),(((D7590/100)*(C7590*VLOOKUP(B7590,'Poids des runes'!A:B,2,FALSE)))+1),(((D7590/100)*(C7590*VLOOKUP(B7590,'Poids des runes'!A:B,2,FALSE)))+1)/VLOOKUP(B7590,'Poids des runes'!A:B,2,FALSE))</f>
        <v>70.224999999999994</v>
      </c>
      <c r="F7590">
        <f t="shared" si="118"/>
        <v>70.224999999999994</v>
      </c>
    </row>
    <row r="7591" spans="1:6" x14ac:dyDescent="0.3">
      <c r="A7591" t="s">
        <v>1344</v>
      </c>
      <c r="B7591" t="s">
        <v>2127</v>
      </c>
      <c r="C7591">
        <v>35.5</v>
      </c>
      <c r="D7591">
        <v>195</v>
      </c>
      <c r="E7591">
        <f>IF(OR(B7591="vi",B7591="ii",B7591="pod"),(((D7591/100)*(C7591*VLOOKUP(B7591,'Poids des runes'!A:B,2,FALSE)))+1),(((D7591/100)*(C7591*VLOOKUP(B7591,'Poids des runes'!A:B,2,FALSE)))+1)/VLOOKUP(B7591,'Poids des runes'!A:B,2,FALSE))</f>
        <v>70.224999999999994</v>
      </c>
      <c r="F7591">
        <f t="shared" si="118"/>
        <v>70.224999999999994</v>
      </c>
    </row>
    <row r="7592" spans="1:6" x14ac:dyDescent="0.3">
      <c r="A7592" t="s">
        <v>1344</v>
      </c>
      <c r="B7592" t="s">
        <v>2129</v>
      </c>
      <c r="C7592">
        <v>35.5</v>
      </c>
      <c r="D7592">
        <v>195</v>
      </c>
      <c r="E7592">
        <f>IF(OR(B7592="vi",B7592="ii",B7592="pod"),(((D7592/100)*(C7592*VLOOKUP(B7592,'Poids des runes'!A:B,2,FALSE)))+1),(((D7592/100)*(C7592*VLOOKUP(B7592,'Poids des runes'!A:B,2,FALSE)))+1)/VLOOKUP(B7592,'Poids des runes'!A:B,2,FALSE))</f>
        <v>70.224999999999994</v>
      </c>
      <c r="F7592">
        <f t="shared" si="118"/>
        <v>70.224999999999994</v>
      </c>
    </row>
    <row r="7593" spans="1:6" x14ac:dyDescent="0.3">
      <c r="A7593" t="s">
        <v>1344</v>
      </c>
      <c r="B7593" t="s">
        <v>2151</v>
      </c>
      <c r="C7593">
        <v>5</v>
      </c>
      <c r="D7593">
        <v>195</v>
      </c>
      <c r="E7593">
        <f>IF(OR(B7593="vi",B7593="ii",B7593="pod"),(((D7593/100)*(C7593*VLOOKUP(B7593,'Poids des runes'!A:B,2,FALSE)))+1),(((D7593/100)*(C7593*VLOOKUP(B7593,'Poids des runes'!A:B,2,FALSE)))+1)/VLOOKUP(B7593,'Poids des runes'!A:B,2,FALSE))</f>
        <v>9.85</v>
      </c>
      <c r="F7593">
        <f t="shared" si="118"/>
        <v>9.85</v>
      </c>
    </row>
    <row r="7594" spans="1:6" x14ac:dyDescent="0.3">
      <c r="A7594" t="s">
        <v>1344</v>
      </c>
      <c r="B7594" t="s">
        <v>2154</v>
      </c>
      <c r="C7594">
        <v>1</v>
      </c>
      <c r="D7594">
        <v>195</v>
      </c>
      <c r="E7594">
        <f>IF(OR(B7594="vi",B7594="ii",B7594="pod"),(((D7594/100)*(C7594*VLOOKUP(B7594,'Poids des runes'!A:B,2,FALSE)))+1),(((D7594/100)*(C7594*VLOOKUP(B7594,'Poids des runes'!A:B,2,FALSE)))+1)/VLOOKUP(B7594,'Poids des runes'!A:B,2,FALSE))</f>
        <v>1.961111111111111</v>
      </c>
      <c r="F7594">
        <f t="shared" si="118"/>
        <v>1.961111111111111</v>
      </c>
    </row>
    <row r="7595" spans="1:6" x14ac:dyDescent="0.3">
      <c r="A7595" t="s">
        <v>1344</v>
      </c>
      <c r="B7595" t="s">
        <v>2133</v>
      </c>
      <c r="C7595">
        <v>16</v>
      </c>
      <c r="D7595">
        <v>195</v>
      </c>
      <c r="E7595">
        <f>IF(OR(B7595="vi",B7595="ii",B7595="pod"),(((D7595/100)*(C7595*VLOOKUP(B7595,'Poids des runes'!A:B,2,FALSE)))+1),(((D7595/100)*(C7595*VLOOKUP(B7595,'Poids des runes'!A:B,2,FALSE)))+1)/VLOOKUP(B7595,'Poids des runes'!A:B,2,FALSE))</f>
        <v>31.4</v>
      </c>
      <c r="F7595">
        <f t="shared" si="118"/>
        <v>31.4</v>
      </c>
    </row>
    <row r="7596" spans="1:6" x14ac:dyDescent="0.3">
      <c r="A7596" t="s">
        <v>1344</v>
      </c>
      <c r="B7596" t="s">
        <v>2153</v>
      </c>
      <c r="C7596">
        <v>16</v>
      </c>
      <c r="D7596">
        <v>195</v>
      </c>
      <c r="E7596">
        <f>IF(OR(B7596="vi",B7596="ii",B7596="pod"),(((D7596/100)*(C7596*VLOOKUP(B7596,'Poids des runes'!A:B,2,FALSE)))+1),(((D7596/100)*(C7596*VLOOKUP(B7596,'Poids des runes'!A:B,2,FALSE)))+1)/VLOOKUP(B7596,'Poids des runes'!A:B,2,FALSE))</f>
        <v>31.4</v>
      </c>
      <c r="F7596">
        <f t="shared" si="118"/>
        <v>31.4</v>
      </c>
    </row>
    <row r="7597" spans="1:6" x14ac:dyDescent="0.3">
      <c r="A7597" t="s">
        <v>1344</v>
      </c>
      <c r="B7597" t="s">
        <v>2162</v>
      </c>
      <c r="C7597">
        <v>7</v>
      </c>
      <c r="D7597">
        <v>195</v>
      </c>
      <c r="E7597">
        <f>IF(OR(B7597="vi",B7597="ii",B7597="pod"),(((D7597/100)*(C7597*VLOOKUP(B7597,'Poids des runes'!A:B,2,FALSE)))+1),(((D7597/100)*(C7597*VLOOKUP(B7597,'Poids des runes'!A:B,2,FALSE)))+1)/VLOOKUP(B7597,'Poids des runes'!A:B,2,FALSE))</f>
        <v>13.792857142857143</v>
      </c>
      <c r="F7597">
        <f t="shared" si="118"/>
        <v>13.792857142857143</v>
      </c>
    </row>
    <row r="7598" spans="1:6" x14ac:dyDescent="0.3">
      <c r="A7598" t="s">
        <v>1344</v>
      </c>
      <c r="B7598" t="s">
        <v>2164</v>
      </c>
      <c r="C7598">
        <v>13</v>
      </c>
      <c r="D7598">
        <v>195</v>
      </c>
      <c r="E7598">
        <f>IF(OR(B7598="vi",B7598="ii",B7598="pod"),(((D7598/100)*(C7598*VLOOKUP(B7598,'Poids des runes'!A:B,2,FALSE)))+1),(((D7598/100)*(C7598*VLOOKUP(B7598,'Poids des runes'!A:B,2,FALSE)))+1)/VLOOKUP(B7598,'Poids des runes'!A:B,2,FALSE))</f>
        <v>25.849999999999998</v>
      </c>
      <c r="F7598">
        <f t="shared" si="118"/>
        <v>25.849999999999998</v>
      </c>
    </row>
    <row r="7599" spans="1:6" x14ac:dyDescent="0.3">
      <c r="A7599" t="s">
        <v>1344</v>
      </c>
      <c r="B7599" t="s">
        <v>2135</v>
      </c>
      <c r="C7599">
        <v>6</v>
      </c>
      <c r="D7599">
        <v>195</v>
      </c>
      <c r="E7599">
        <f>IF(OR(B7599="vi",B7599="ii",B7599="pod"),(((D7599/100)*(C7599*VLOOKUP(B7599,'Poids des runes'!A:B,2,FALSE)))+1),(((D7599/100)*(C7599*VLOOKUP(B7599,'Poids des runes'!A:B,2,FALSE)))+1)/VLOOKUP(B7599,'Poids des runes'!A:B,2,FALSE))</f>
        <v>11.866666666666667</v>
      </c>
      <c r="F7599">
        <f t="shared" si="118"/>
        <v>11.866666666666667</v>
      </c>
    </row>
    <row r="7600" spans="1:6" x14ac:dyDescent="0.3">
      <c r="A7600" t="s">
        <v>1344</v>
      </c>
      <c r="B7600" t="s">
        <v>2137</v>
      </c>
      <c r="C7600">
        <v>18</v>
      </c>
      <c r="D7600">
        <v>195</v>
      </c>
      <c r="E7600">
        <f>IF(OR(B7600="vi",B7600="ii",B7600="pod"),(((D7600/100)*(C7600*VLOOKUP(B7600,'Poids des runes'!A:B,2,FALSE)))+1),(((D7600/100)*(C7600*VLOOKUP(B7600,'Poids des runes'!A:B,2,FALSE)))+1)/VLOOKUP(B7600,'Poids des runes'!A:B,2,FALSE))</f>
        <v>35.6</v>
      </c>
      <c r="F7600">
        <f t="shared" si="118"/>
        <v>35.6</v>
      </c>
    </row>
    <row r="7601" spans="1:6" x14ac:dyDescent="0.3">
      <c r="A7601" t="s">
        <v>1344</v>
      </c>
      <c r="B7601" t="s">
        <v>2146</v>
      </c>
      <c r="C7601">
        <v>18</v>
      </c>
      <c r="D7601">
        <v>195</v>
      </c>
      <c r="E7601">
        <f>IF(OR(B7601="vi",B7601="ii",B7601="pod"),(((D7601/100)*(C7601*VLOOKUP(B7601,'Poids des runes'!A:B,2,FALSE)))+1),(((D7601/100)*(C7601*VLOOKUP(B7601,'Poids des runes'!A:B,2,FALSE)))+1)/VLOOKUP(B7601,'Poids des runes'!A:B,2,FALSE))</f>
        <v>35.6</v>
      </c>
      <c r="F7601">
        <f t="shared" si="118"/>
        <v>35.6</v>
      </c>
    </row>
    <row r="7602" spans="1:6" x14ac:dyDescent="0.3">
      <c r="A7602" t="s">
        <v>1345</v>
      </c>
      <c r="B7602" t="s">
        <v>2128</v>
      </c>
      <c r="C7602">
        <v>325.5</v>
      </c>
      <c r="D7602">
        <v>195</v>
      </c>
      <c r="E7602">
        <f>IF(OR(B7602="vi",B7602="ii",B7602="pod"),(((D7602/100)*(C7602*VLOOKUP(B7602,'Poids des runes'!A:B,2,FALSE)))+1),(((D7602/100)*(C7602*VLOOKUP(B7602,'Poids des runes'!A:B,2,FALSE)))+1)/VLOOKUP(B7602,'Poids des runes'!A:B,2,FALSE))</f>
        <v>127.94500000000001</v>
      </c>
      <c r="F7602">
        <f t="shared" si="118"/>
        <v>127.94500000000001</v>
      </c>
    </row>
    <row r="7603" spans="1:6" x14ac:dyDescent="0.3">
      <c r="A7603" t="s">
        <v>1345</v>
      </c>
      <c r="B7603" t="s">
        <v>2129</v>
      </c>
      <c r="C7603">
        <v>25.5</v>
      </c>
      <c r="D7603">
        <v>195</v>
      </c>
      <c r="E7603">
        <f>IF(OR(B7603="vi",B7603="ii",B7603="pod"),(((D7603/100)*(C7603*VLOOKUP(B7603,'Poids des runes'!A:B,2,FALSE)))+1),(((D7603/100)*(C7603*VLOOKUP(B7603,'Poids des runes'!A:B,2,FALSE)))+1)/VLOOKUP(B7603,'Poids des runes'!A:B,2,FALSE))</f>
        <v>50.725000000000001</v>
      </c>
      <c r="F7603">
        <f t="shared" si="118"/>
        <v>50.725000000000001</v>
      </c>
    </row>
    <row r="7604" spans="1:6" x14ac:dyDescent="0.3">
      <c r="A7604" t="s">
        <v>1345</v>
      </c>
      <c r="B7604" t="s">
        <v>2139</v>
      </c>
      <c r="C7604">
        <v>35.5</v>
      </c>
      <c r="D7604">
        <v>195</v>
      </c>
      <c r="E7604">
        <f>IF(OR(B7604="vi",B7604="ii",B7604="pod"),(((D7604/100)*(C7604*VLOOKUP(B7604,'Poids des runes'!A:B,2,FALSE)))+1),(((D7604/100)*(C7604*VLOOKUP(B7604,'Poids des runes'!A:B,2,FALSE)))+1)/VLOOKUP(B7604,'Poids des runes'!A:B,2,FALSE))</f>
        <v>69.724999999999994</v>
      </c>
      <c r="F7604">
        <f t="shared" si="118"/>
        <v>69.724999999999994</v>
      </c>
    </row>
    <row r="7605" spans="1:6" x14ac:dyDescent="0.3">
      <c r="A7605" t="s">
        <v>1345</v>
      </c>
      <c r="B7605" t="s">
        <v>2151</v>
      </c>
      <c r="C7605">
        <v>2.5</v>
      </c>
      <c r="D7605">
        <v>195</v>
      </c>
      <c r="E7605">
        <f>IF(OR(B7605="vi",B7605="ii",B7605="pod"),(((D7605/100)*(C7605*VLOOKUP(B7605,'Poids des runes'!A:B,2,FALSE)))+1),(((D7605/100)*(C7605*VLOOKUP(B7605,'Poids des runes'!A:B,2,FALSE)))+1)/VLOOKUP(B7605,'Poids des runes'!A:B,2,FALSE))</f>
        <v>4.9749999999999996</v>
      </c>
      <c r="F7605">
        <f t="shared" si="118"/>
        <v>4.9749999999999996</v>
      </c>
    </row>
    <row r="7606" spans="1:6" x14ac:dyDescent="0.3">
      <c r="A7606" t="s">
        <v>1345</v>
      </c>
      <c r="B7606" t="s">
        <v>2154</v>
      </c>
      <c r="C7606">
        <v>1</v>
      </c>
      <c r="D7606">
        <v>195</v>
      </c>
      <c r="E7606">
        <f>IF(OR(B7606="vi",B7606="ii",B7606="pod"),(((D7606/100)*(C7606*VLOOKUP(B7606,'Poids des runes'!A:B,2,FALSE)))+1),(((D7606/100)*(C7606*VLOOKUP(B7606,'Poids des runes'!A:B,2,FALSE)))+1)/VLOOKUP(B7606,'Poids des runes'!A:B,2,FALSE))</f>
        <v>1.961111111111111</v>
      </c>
      <c r="F7606">
        <f t="shared" si="118"/>
        <v>1.961111111111111</v>
      </c>
    </row>
    <row r="7607" spans="1:6" x14ac:dyDescent="0.3">
      <c r="A7607" t="s">
        <v>1345</v>
      </c>
      <c r="B7607" t="s">
        <v>2155</v>
      </c>
      <c r="C7607">
        <v>1</v>
      </c>
      <c r="D7607">
        <v>195</v>
      </c>
      <c r="E7607">
        <f>IF(OR(B7607="vi",B7607="ii",B7607="pod"),(((D7607/100)*(C7607*VLOOKUP(B7607,'Poids des runes'!A:B,2,FALSE)))+1),(((D7607/100)*(C7607*VLOOKUP(B7607,'Poids des runes'!A:B,2,FALSE)))+1)/VLOOKUP(B7607,'Poids des runes'!A:B,2,FALSE))</f>
        <v>1.969607843137255</v>
      </c>
      <c r="F7607">
        <f t="shared" si="118"/>
        <v>1.969607843137255</v>
      </c>
    </row>
    <row r="7608" spans="1:6" x14ac:dyDescent="0.3">
      <c r="A7608" t="s">
        <v>1345</v>
      </c>
      <c r="B7608" t="s">
        <v>2134</v>
      </c>
      <c r="C7608">
        <v>6.5</v>
      </c>
      <c r="D7608">
        <v>195</v>
      </c>
      <c r="E7608">
        <f>IF(OR(B7608="vi",B7608="ii",B7608="pod"),(((D7608/100)*(C7608*VLOOKUP(B7608,'Poids des runes'!A:B,2,FALSE)))+1),(((D7608/100)*(C7608*VLOOKUP(B7608,'Poids des runes'!A:B,2,FALSE)))+1)/VLOOKUP(B7608,'Poids des runes'!A:B,2,FALSE))</f>
        <v>12.725</v>
      </c>
      <c r="F7608">
        <f t="shared" si="118"/>
        <v>12.725</v>
      </c>
    </row>
    <row r="7609" spans="1:6" x14ac:dyDescent="0.3">
      <c r="A7609" t="s">
        <v>1345</v>
      </c>
      <c r="B7609" t="s">
        <v>2161</v>
      </c>
      <c r="C7609">
        <v>13</v>
      </c>
      <c r="D7609">
        <v>195</v>
      </c>
      <c r="E7609">
        <f>IF(OR(B7609="vi",B7609="ii",B7609="pod"),(((D7609/100)*(C7609*VLOOKUP(B7609,'Poids des runes'!A:B,2,FALSE)))+1),(((D7609/100)*(C7609*VLOOKUP(B7609,'Poids des runes'!A:B,2,FALSE)))+1)/VLOOKUP(B7609,'Poids des runes'!A:B,2,FALSE))</f>
        <v>25.683333333333334</v>
      </c>
      <c r="F7609">
        <f t="shared" si="118"/>
        <v>25.683333333333334</v>
      </c>
    </row>
    <row r="7610" spans="1:6" x14ac:dyDescent="0.3">
      <c r="A7610" t="s">
        <v>1345</v>
      </c>
      <c r="B7610" t="s">
        <v>2141</v>
      </c>
      <c r="C7610">
        <v>8</v>
      </c>
      <c r="D7610">
        <v>195</v>
      </c>
      <c r="E7610">
        <f>IF(OR(B7610="vi",B7610="ii",B7610="pod"),(((D7610/100)*(C7610*VLOOKUP(B7610,'Poids des runes'!A:B,2,FALSE)))+1),(((D7610/100)*(C7610*VLOOKUP(B7610,'Poids des runes'!A:B,2,FALSE)))+1)/VLOOKUP(B7610,'Poids des runes'!A:B,2,FALSE))</f>
        <v>15.85</v>
      </c>
      <c r="F7610">
        <f t="shared" si="118"/>
        <v>15.85</v>
      </c>
    </row>
    <row r="7611" spans="1:6" x14ac:dyDescent="0.3">
      <c r="A7611" t="s">
        <v>1345</v>
      </c>
      <c r="B7611" t="s">
        <v>2162</v>
      </c>
      <c r="C7611">
        <v>7</v>
      </c>
      <c r="D7611">
        <v>195</v>
      </c>
      <c r="E7611">
        <f>IF(OR(B7611="vi",B7611="ii",B7611="pod"),(((D7611/100)*(C7611*VLOOKUP(B7611,'Poids des runes'!A:B,2,FALSE)))+1),(((D7611/100)*(C7611*VLOOKUP(B7611,'Poids des runes'!A:B,2,FALSE)))+1)/VLOOKUP(B7611,'Poids des runes'!A:B,2,FALSE))</f>
        <v>13.792857142857143</v>
      </c>
      <c r="F7611">
        <f t="shared" si="118"/>
        <v>13.792857142857143</v>
      </c>
    </row>
    <row r="7612" spans="1:6" x14ac:dyDescent="0.3">
      <c r="A7612" t="s">
        <v>1345</v>
      </c>
      <c r="B7612" t="s">
        <v>2147</v>
      </c>
      <c r="C7612">
        <v>6</v>
      </c>
      <c r="D7612">
        <v>195</v>
      </c>
      <c r="E7612">
        <f>IF(OR(B7612="vi",B7612="ii",B7612="pod"),(((D7612/100)*(C7612*VLOOKUP(B7612,'Poids des runes'!A:B,2,FALSE)))+1),(((D7612/100)*(C7612*VLOOKUP(B7612,'Poids des runes'!A:B,2,FALSE)))+1)/VLOOKUP(B7612,'Poids des runes'!A:B,2,FALSE))</f>
        <v>11.866666666666667</v>
      </c>
      <c r="F7612">
        <f t="shared" si="118"/>
        <v>11.866666666666667</v>
      </c>
    </row>
    <row r="7613" spans="1:6" x14ac:dyDescent="0.3">
      <c r="A7613" t="s">
        <v>1345</v>
      </c>
      <c r="B7613" t="s">
        <v>2157</v>
      </c>
      <c r="C7613">
        <v>6</v>
      </c>
      <c r="D7613">
        <v>195</v>
      </c>
      <c r="E7613">
        <f>IF(OR(B7613="vi",B7613="ii",B7613="pod"),(((D7613/100)*(C7613*VLOOKUP(B7613,'Poids des runes'!A:B,2,FALSE)))+1),(((D7613/100)*(C7613*VLOOKUP(B7613,'Poids des runes'!A:B,2,FALSE)))+1)/VLOOKUP(B7613,'Poids des runes'!A:B,2,FALSE))</f>
        <v>11.866666666666667</v>
      </c>
      <c r="F7613">
        <f t="shared" si="118"/>
        <v>11.866666666666667</v>
      </c>
    </row>
    <row r="7614" spans="1:6" x14ac:dyDescent="0.3">
      <c r="A7614" t="s">
        <v>1346</v>
      </c>
      <c r="B7614" t="s">
        <v>2128</v>
      </c>
      <c r="C7614">
        <v>275.5</v>
      </c>
      <c r="D7614">
        <v>195</v>
      </c>
      <c r="E7614">
        <f>IF(OR(B7614="vi",B7614="ii",B7614="pod"),(((D7614/100)*(C7614*VLOOKUP(B7614,'Poids des runes'!A:B,2,FALSE)))+1),(((D7614/100)*(C7614*VLOOKUP(B7614,'Poids des runes'!A:B,2,FALSE)))+1)/VLOOKUP(B7614,'Poids des runes'!A:B,2,FALSE))</f>
        <v>108.44500000000001</v>
      </c>
      <c r="F7614">
        <f t="shared" si="118"/>
        <v>108.44500000000001</v>
      </c>
    </row>
    <row r="7615" spans="1:6" x14ac:dyDescent="0.3">
      <c r="A7615" t="s">
        <v>1346</v>
      </c>
      <c r="B7615" t="s">
        <v>2130</v>
      </c>
      <c r="C7615">
        <v>50.5</v>
      </c>
      <c r="D7615">
        <v>195</v>
      </c>
      <c r="E7615">
        <f>IF(OR(B7615="vi",B7615="ii",B7615="pod"),(((D7615/100)*(C7615*VLOOKUP(B7615,'Poids des runes'!A:B,2,FALSE)))+1),(((D7615/100)*(C7615*VLOOKUP(B7615,'Poids des runes'!A:B,2,FALSE)))+1)/VLOOKUP(B7615,'Poids des runes'!A:B,2,FALSE))</f>
        <v>99.474999999999994</v>
      </c>
      <c r="F7615">
        <f t="shared" si="118"/>
        <v>99.474999999999994</v>
      </c>
    </row>
    <row r="7616" spans="1:6" x14ac:dyDescent="0.3">
      <c r="A7616" t="s">
        <v>1346</v>
      </c>
      <c r="B7616" t="s">
        <v>2127</v>
      </c>
      <c r="C7616">
        <v>50.5</v>
      </c>
      <c r="D7616">
        <v>195</v>
      </c>
      <c r="E7616">
        <f>IF(OR(B7616="vi",B7616="ii",B7616="pod"),(((D7616/100)*(C7616*VLOOKUP(B7616,'Poids des runes'!A:B,2,FALSE)))+1),(((D7616/100)*(C7616*VLOOKUP(B7616,'Poids des runes'!A:B,2,FALSE)))+1)/VLOOKUP(B7616,'Poids des runes'!A:B,2,FALSE))</f>
        <v>99.474999999999994</v>
      </c>
      <c r="F7616">
        <f t="shared" si="118"/>
        <v>99.474999999999994</v>
      </c>
    </row>
    <row r="7617" spans="1:6" x14ac:dyDescent="0.3">
      <c r="A7617" t="s">
        <v>1346</v>
      </c>
      <c r="B7617" t="s">
        <v>2129</v>
      </c>
      <c r="C7617">
        <v>20.5</v>
      </c>
      <c r="D7617">
        <v>195</v>
      </c>
      <c r="E7617">
        <f>IF(OR(B7617="vi",B7617="ii",B7617="pod"),(((D7617/100)*(C7617*VLOOKUP(B7617,'Poids des runes'!A:B,2,FALSE)))+1),(((D7617/100)*(C7617*VLOOKUP(B7617,'Poids des runes'!A:B,2,FALSE)))+1)/VLOOKUP(B7617,'Poids des runes'!A:B,2,FALSE))</f>
        <v>40.975000000000001</v>
      </c>
      <c r="F7617">
        <f t="shared" si="118"/>
        <v>40.975000000000001</v>
      </c>
    </row>
    <row r="7618" spans="1:6" x14ac:dyDescent="0.3">
      <c r="A7618" t="s">
        <v>1346</v>
      </c>
      <c r="B7618" t="s">
        <v>2151</v>
      </c>
      <c r="C7618">
        <v>3.5</v>
      </c>
      <c r="D7618">
        <v>195</v>
      </c>
      <c r="E7618">
        <f>IF(OR(B7618="vi",B7618="ii",B7618="pod"),(((D7618/100)*(C7618*VLOOKUP(B7618,'Poids des runes'!A:B,2,FALSE)))+1),(((D7618/100)*(C7618*VLOOKUP(B7618,'Poids des runes'!A:B,2,FALSE)))+1)/VLOOKUP(B7618,'Poids des runes'!A:B,2,FALSE))</f>
        <v>6.9249999999999998</v>
      </c>
      <c r="F7618">
        <f t="shared" si="118"/>
        <v>6.9249999999999998</v>
      </c>
    </row>
    <row r="7619" spans="1:6" x14ac:dyDescent="0.3">
      <c r="A7619" t="s">
        <v>1346</v>
      </c>
      <c r="B7619" t="s">
        <v>2155</v>
      </c>
      <c r="C7619">
        <v>1</v>
      </c>
      <c r="D7619">
        <v>195</v>
      </c>
      <c r="E7619">
        <f>IF(OR(B7619="vi",B7619="ii",B7619="pod"),(((D7619/100)*(C7619*VLOOKUP(B7619,'Poids des runes'!A:B,2,FALSE)))+1),(((D7619/100)*(C7619*VLOOKUP(B7619,'Poids des runes'!A:B,2,FALSE)))+1)/VLOOKUP(B7619,'Poids des runes'!A:B,2,FALSE))</f>
        <v>1.969607843137255</v>
      </c>
      <c r="F7619">
        <f t="shared" ref="F7619:F7682" si="119">E7619</f>
        <v>1.969607843137255</v>
      </c>
    </row>
    <row r="7620" spans="1:6" x14ac:dyDescent="0.3">
      <c r="A7620" t="s">
        <v>1346</v>
      </c>
      <c r="B7620" t="s">
        <v>2143</v>
      </c>
      <c r="C7620">
        <v>10</v>
      </c>
      <c r="D7620">
        <v>195</v>
      </c>
      <c r="E7620">
        <f>IF(OR(B7620="vi",B7620="ii",B7620="pod"),(((D7620/100)*(C7620*VLOOKUP(B7620,'Poids des runes'!A:B,2,FALSE)))+1),(((D7620/100)*(C7620*VLOOKUP(B7620,'Poids des runes'!A:B,2,FALSE)))+1)/VLOOKUP(B7620,'Poids des runes'!A:B,2,FALSE))</f>
        <v>19.7</v>
      </c>
      <c r="F7620">
        <f t="shared" si="119"/>
        <v>19.7</v>
      </c>
    </row>
    <row r="7621" spans="1:6" x14ac:dyDescent="0.3">
      <c r="A7621" t="s">
        <v>1346</v>
      </c>
      <c r="B7621" t="s">
        <v>2153</v>
      </c>
      <c r="C7621">
        <v>10</v>
      </c>
      <c r="D7621">
        <v>195</v>
      </c>
      <c r="E7621">
        <f>IF(OR(B7621="vi",B7621="ii",B7621="pod"),(((D7621/100)*(C7621*VLOOKUP(B7621,'Poids des runes'!A:B,2,FALSE)))+1),(((D7621/100)*(C7621*VLOOKUP(B7621,'Poids des runes'!A:B,2,FALSE)))+1)/VLOOKUP(B7621,'Poids des runes'!A:B,2,FALSE))</f>
        <v>19.7</v>
      </c>
      <c r="F7621">
        <f t="shared" si="119"/>
        <v>19.7</v>
      </c>
    </row>
    <row r="7622" spans="1:6" x14ac:dyDescent="0.3">
      <c r="A7622" t="s">
        <v>1346</v>
      </c>
      <c r="B7622" t="s">
        <v>2161</v>
      </c>
      <c r="C7622">
        <v>13</v>
      </c>
      <c r="D7622">
        <v>195</v>
      </c>
      <c r="E7622">
        <f>IF(OR(B7622="vi",B7622="ii",B7622="pod"),(((D7622/100)*(C7622*VLOOKUP(B7622,'Poids des runes'!A:B,2,FALSE)))+1),(((D7622/100)*(C7622*VLOOKUP(B7622,'Poids des runes'!A:B,2,FALSE)))+1)/VLOOKUP(B7622,'Poids des runes'!A:B,2,FALSE))</f>
        <v>25.683333333333334</v>
      </c>
      <c r="F7622">
        <f t="shared" si="119"/>
        <v>25.683333333333334</v>
      </c>
    </row>
    <row r="7623" spans="1:6" x14ac:dyDescent="0.3">
      <c r="A7623" t="s">
        <v>1346</v>
      </c>
      <c r="B7623" t="s">
        <v>2132</v>
      </c>
      <c r="C7623">
        <v>400.5</v>
      </c>
      <c r="D7623">
        <v>195</v>
      </c>
      <c r="E7623">
        <f>IF(OR(B7623="vi",B7623="ii",B7623="pod"),(((D7623/100)*(C7623*VLOOKUP(B7623,'Poids des runes'!A:B,2,FALSE)))+1),(((D7623/100)*(C7623*VLOOKUP(B7623,'Poids des runes'!A:B,2,FALSE)))+1)/VLOOKUP(B7623,'Poids des runes'!A:B,2,FALSE))</f>
        <v>79.097500000000011</v>
      </c>
      <c r="F7623">
        <f t="shared" si="119"/>
        <v>79.097500000000011</v>
      </c>
    </row>
    <row r="7624" spans="1:6" x14ac:dyDescent="0.3">
      <c r="A7624" t="s">
        <v>1346</v>
      </c>
      <c r="B7624" t="s">
        <v>2138</v>
      </c>
      <c r="C7624">
        <v>4.5</v>
      </c>
      <c r="D7624">
        <v>195</v>
      </c>
      <c r="E7624">
        <f>IF(OR(B7624="vi",B7624="ii",B7624="pod"),(((D7624/100)*(C7624*VLOOKUP(B7624,'Poids des runes'!A:B,2,FALSE)))+1),(((D7624/100)*(C7624*VLOOKUP(B7624,'Poids des runes'!A:B,2,FALSE)))+1)/VLOOKUP(B7624,'Poids des runes'!A:B,2,FALSE))</f>
        <v>9.0250000000000004</v>
      </c>
      <c r="F7624">
        <f t="shared" si="119"/>
        <v>9.0250000000000004</v>
      </c>
    </row>
    <row r="7625" spans="1:6" x14ac:dyDescent="0.3">
      <c r="A7625" t="s">
        <v>1346</v>
      </c>
      <c r="B7625" t="s">
        <v>2160</v>
      </c>
      <c r="C7625">
        <v>4.5</v>
      </c>
      <c r="D7625">
        <v>195</v>
      </c>
      <c r="E7625">
        <f>IF(OR(B7625="vi",B7625="ii",B7625="pod"),(((D7625/100)*(C7625*VLOOKUP(B7625,'Poids des runes'!A:B,2,FALSE)))+1),(((D7625/100)*(C7625*VLOOKUP(B7625,'Poids des runes'!A:B,2,FALSE)))+1)/VLOOKUP(B7625,'Poids des runes'!A:B,2,FALSE))</f>
        <v>8.9178571428571427</v>
      </c>
      <c r="F7625">
        <f t="shared" si="119"/>
        <v>8.9178571428571427</v>
      </c>
    </row>
    <row r="7626" spans="1:6" x14ac:dyDescent="0.3">
      <c r="A7626" t="s">
        <v>1346</v>
      </c>
      <c r="B7626" t="s">
        <v>2147</v>
      </c>
      <c r="C7626">
        <v>6</v>
      </c>
      <c r="D7626">
        <v>195</v>
      </c>
      <c r="E7626">
        <f>IF(OR(B7626="vi",B7626="ii",B7626="pod"),(((D7626/100)*(C7626*VLOOKUP(B7626,'Poids des runes'!A:B,2,FALSE)))+1),(((D7626/100)*(C7626*VLOOKUP(B7626,'Poids des runes'!A:B,2,FALSE)))+1)/VLOOKUP(B7626,'Poids des runes'!A:B,2,FALSE))</f>
        <v>11.866666666666667</v>
      </c>
      <c r="F7626">
        <f t="shared" si="119"/>
        <v>11.866666666666667</v>
      </c>
    </row>
    <row r="7627" spans="1:6" x14ac:dyDescent="0.3">
      <c r="A7627" t="s">
        <v>1346</v>
      </c>
      <c r="B7627" t="s">
        <v>2135</v>
      </c>
      <c r="C7627">
        <v>6</v>
      </c>
      <c r="D7627">
        <v>195</v>
      </c>
      <c r="E7627">
        <f>IF(OR(B7627="vi",B7627="ii",B7627="pod"),(((D7627/100)*(C7627*VLOOKUP(B7627,'Poids des runes'!A:B,2,FALSE)))+1),(((D7627/100)*(C7627*VLOOKUP(B7627,'Poids des runes'!A:B,2,FALSE)))+1)/VLOOKUP(B7627,'Poids des runes'!A:B,2,FALSE))</f>
        <v>11.866666666666667</v>
      </c>
      <c r="F7627">
        <f t="shared" si="119"/>
        <v>11.866666666666667</v>
      </c>
    </row>
    <row r="7628" spans="1:6" x14ac:dyDescent="0.3">
      <c r="A7628" t="s">
        <v>1347</v>
      </c>
      <c r="B7628" t="s">
        <v>2128</v>
      </c>
      <c r="C7628">
        <v>275.5</v>
      </c>
      <c r="D7628">
        <v>195</v>
      </c>
      <c r="E7628">
        <f>IF(OR(B7628="vi",B7628="ii",B7628="pod"),(((D7628/100)*(C7628*VLOOKUP(B7628,'Poids des runes'!A:B,2,FALSE)))+1),(((D7628/100)*(C7628*VLOOKUP(B7628,'Poids des runes'!A:B,2,FALSE)))+1)/VLOOKUP(B7628,'Poids des runes'!A:B,2,FALSE))</f>
        <v>108.44500000000001</v>
      </c>
      <c r="F7628">
        <f t="shared" si="119"/>
        <v>108.44500000000001</v>
      </c>
    </row>
    <row r="7629" spans="1:6" x14ac:dyDescent="0.3">
      <c r="A7629" t="s">
        <v>1347</v>
      </c>
      <c r="B7629" t="s">
        <v>2130</v>
      </c>
      <c r="C7629">
        <v>25.5</v>
      </c>
      <c r="D7629">
        <v>195</v>
      </c>
      <c r="E7629">
        <f>IF(OR(B7629="vi",B7629="ii",B7629="pod"),(((D7629/100)*(C7629*VLOOKUP(B7629,'Poids des runes'!A:B,2,FALSE)))+1),(((D7629/100)*(C7629*VLOOKUP(B7629,'Poids des runes'!A:B,2,FALSE)))+1)/VLOOKUP(B7629,'Poids des runes'!A:B,2,FALSE))</f>
        <v>50.725000000000001</v>
      </c>
      <c r="F7629">
        <f t="shared" si="119"/>
        <v>50.725000000000001</v>
      </c>
    </row>
    <row r="7630" spans="1:6" x14ac:dyDescent="0.3">
      <c r="A7630" t="s">
        <v>1347</v>
      </c>
      <c r="B7630" t="s">
        <v>2126</v>
      </c>
      <c r="C7630">
        <v>25.5</v>
      </c>
      <c r="D7630">
        <v>195</v>
      </c>
      <c r="E7630">
        <f>IF(OR(B7630="vi",B7630="ii",B7630="pod"),(((D7630/100)*(C7630*VLOOKUP(B7630,'Poids des runes'!A:B,2,FALSE)))+1),(((D7630/100)*(C7630*VLOOKUP(B7630,'Poids des runes'!A:B,2,FALSE)))+1)/VLOOKUP(B7630,'Poids des runes'!A:B,2,FALSE))</f>
        <v>50.725000000000001</v>
      </c>
      <c r="F7630">
        <f t="shared" si="119"/>
        <v>50.725000000000001</v>
      </c>
    </row>
    <row r="7631" spans="1:6" x14ac:dyDescent="0.3">
      <c r="A7631" t="s">
        <v>1347</v>
      </c>
      <c r="B7631" t="s">
        <v>2131</v>
      </c>
      <c r="C7631">
        <v>25.5</v>
      </c>
      <c r="D7631">
        <v>195</v>
      </c>
      <c r="E7631">
        <f>IF(OR(B7631="vi",B7631="ii",B7631="pod"),(((D7631/100)*(C7631*VLOOKUP(B7631,'Poids des runes'!A:B,2,FALSE)))+1),(((D7631/100)*(C7631*VLOOKUP(B7631,'Poids des runes'!A:B,2,FALSE)))+1)/VLOOKUP(B7631,'Poids des runes'!A:B,2,FALSE))</f>
        <v>50.725000000000001</v>
      </c>
      <c r="F7631">
        <f t="shared" si="119"/>
        <v>50.725000000000001</v>
      </c>
    </row>
    <row r="7632" spans="1:6" x14ac:dyDescent="0.3">
      <c r="A7632" t="s">
        <v>1347</v>
      </c>
      <c r="B7632" t="s">
        <v>2129</v>
      </c>
      <c r="C7632">
        <v>35.5</v>
      </c>
      <c r="D7632">
        <v>195</v>
      </c>
      <c r="E7632">
        <f>IF(OR(B7632="vi",B7632="ii",B7632="pod"),(((D7632/100)*(C7632*VLOOKUP(B7632,'Poids des runes'!A:B,2,FALSE)))+1),(((D7632/100)*(C7632*VLOOKUP(B7632,'Poids des runes'!A:B,2,FALSE)))+1)/VLOOKUP(B7632,'Poids des runes'!A:B,2,FALSE))</f>
        <v>70.224999999999994</v>
      </c>
      <c r="F7632">
        <f t="shared" si="119"/>
        <v>70.224999999999994</v>
      </c>
    </row>
    <row r="7633" spans="1:6" x14ac:dyDescent="0.3">
      <c r="A7633" t="s">
        <v>1347</v>
      </c>
      <c r="B7633" t="s">
        <v>2139</v>
      </c>
      <c r="C7633">
        <v>25.5</v>
      </c>
      <c r="D7633">
        <v>195</v>
      </c>
      <c r="E7633">
        <f>IF(OR(B7633="vi",B7633="ii",B7633="pod"),(((D7633/100)*(C7633*VLOOKUP(B7633,'Poids des runes'!A:B,2,FALSE)))+1),(((D7633/100)*(C7633*VLOOKUP(B7633,'Poids des runes'!A:B,2,FALSE)))+1)/VLOOKUP(B7633,'Poids des runes'!A:B,2,FALSE))</f>
        <v>50.225000000000001</v>
      </c>
      <c r="F7633">
        <f t="shared" si="119"/>
        <v>50.225000000000001</v>
      </c>
    </row>
    <row r="7634" spans="1:6" x14ac:dyDescent="0.3">
      <c r="A7634" t="s">
        <v>1347</v>
      </c>
      <c r="B7634" t="s">
        <v>2154</v>
      </c>
      <c r="C7634">
        <v>1</v>
      </c>
      <c r="D7634">
        <v>195</v>
      </c>
      <c r="E7634">
        <f>IF(OR(B7634="vi",B7634="ii",B7634="pod"),(((D7634/100)*(C7634*VLOOKUP(B7634,'Poids des runes'!A:B,2,FALSE)))+1),(((D7634/100)*(C7634*VLOOKUP(B7634,'Poids des runes'!A:B,2,FALSE)))+1)/VLOOKUP(B7634,'Poids des runes'!A:B,2,FALSE))</f>
        <v>1.961111111111111</v>
      </c>
      <c r="F7634">
        <f t="shared" si="119"/>
        <v>1.961111111111111</v>
      </c>
    </row>
    <row r="7635" spans="1:6" x14ac:dyDescent="0.3">
      <c r="A7635" t="s">
        <v>1347</v>
      </c>
      <c r="B7635" t="s">
        <v>2155</v>
      </c>
      <c r="C7635">
        <v>2</v>
      </c>
      <c r="D7635">
        <v>195</v>
      </c>
      <c r="E7635">
        <f>IF(OR(B7635="vi",B7635="ii",B7635="pod"),(((D7635/100)*(C7635*VLOOKUP(B7635,'Poids des runes'!A:B,2,FALSE)))+1),(((D7635/100)*(C7635*VLOOKUP(B7635,'Poids des runes'!A:B,2,FALSE)))+1)/VLOOKUP(B7635,'Poids des runes'!A:B,2,FALSE))</f>
        <v>3.9196078431372552</v>
      </c>
      <c r="F7635">
        <f t="shared" si="119"/>
        <v>3.9196078431372552</v>
      </c>
    </row>
    <row r="7636" spans="1:6" x14ac:dyDescent="0.3">
      <c r="A7636" t="s">
        <v>1347</v>
      </c>
      <c r="B7636" t="s">
        <v>2143</v>
      </c>
      <c r="C7636">
        <v>13</v>
      </c>
      <c r="D7636">
        <v>195</v>
      </c>
      <c r="E7636">
        <f>IF(OR(B7636="vi",B7636="ii",B7636="pod"),(((D7636/100)*(C7636*VLOOKUP(B7636,'Poids des runes'!A:B,2,FALSE)))+1),(((D7636/100)*(C7636*VLOOKUP(B7636,'Poids des runes'!A:B,2,FALSE)))+1)/VLOOKUP(B7636,'Poids des runes'!A:B,2,FALSE))</f>
        <v>25.55</v>
      </c>
      <c r="F7636">
        <f t="shared" si="119"/>
        <v>25.55</v>
      </c>
    </row>
    <row r="7637" spans="1:6" x14ac:dyDescent="0.3">
      <c r="A7637" t="s">
        <v>1347</v>
      </c>
      <c r="B7637" t="s">
        <v>2140</v>
      </c>
      <c r="C7637">
        <v>13</v>
      </c>
      <c r="D7637">
        <v>195</v>
      </c>
      <c r="E7637">
        <f>IF(OR(B7637="vi",B7637="ii",B7637="pod"),(((D7637/100)*(C7637*VLOOKUP(B7637,'Poids des runes'!A:B,2,FALSE)))+1),(((D7637/100)*(C7637*VLOOKUP(B7637,'Poids des runes'!A:B,2,FALSE)))+1)/VLOOKUP(B7637,'Poids des runes'!A:B,2,FALSE))</f>
        <v>25.55</v>
      </c>
      <c r="F7637">
        <f t="shared" si="119"/>
        <v>25.55</v>
      </c>
    </row>
    <row r="7638" spans="1:6" x14ac:dyDescent="0.3">
      <c r="A7638" t="s">
        <v>1347</v>
      </c>
      <c r="B7638" t="s">
        <v>2133</v>
      </c>
      <c r="C7638">
        <v>13</v>
      </c>
      <c r="D7638">
        <v>195</v>
      </c>
      <c r="E7638">
        <f>IF(OR(B7638="vi",B7638="ii",B7638="pod"),(((D7638/100)*(C7638*VLOOKUP(B7638,'Poids des runes'!A:B,2,FALSE)))+1),(((D7638/100)*(C7638*VLOOKUP(B7638,'Poids des runes'!A:B,2,FALSE)))+1)/VLOOKUP(B7638,'Poids des runes'!A:B,2,FALSE))</f>
        <v>25.55</v>
      </c>
      <c r="F7638">
        <f t="shared" si="119"/>
        <v>25.55</v>
      </c>
    </row>
    <row r="7639" spans="1:6" x14ac:dyDescent="0.3">
      <c r="A7639" t="s">
        <v>1347</v>
      </c>
      <c r="B7639" t="s">
        <v>2149</v>
      </c>
      <c r="C7639">
        <v>8.5</v>
      </c>
      <c r="D7639">
        <v>195</v>
      </c>
      <c r="E7639">
        <f>IF(OR(B7639="vi",B7639="ii",B7639="pod"),(((D7639/100)*(C7639*VLOOKUP(B7639,'Poids des runes'!A:B,2,FALSE)))+1),(((D7639/100)*(C7639*VLOOKUP(B7639,'Poids des runes'!A:B,2,FALSE)))+1)/VLOOKUP(B7639,'Poids des runes'!A:B,2,FALSE))</f>
        <v>16.675000000000001</v>
      </c>
      <c r="F7639">
        <f t="shared" si="119"/>
        <v>16.675000000000001</v>
      </c>
    </row>
    <row r="7640" spans="1:6" x14ac:dyDescent="0.3">
      <c r="A7640" t="s">
        <v>1347</v>
      </c>
      <c r="B7640" t="s">
        <v>2161</v>
      </c>
      <c r="C7640">
        <v>15.5</v>
      </c>
      <c r="D7640">
        <v>195</v>
      </c>
      <c r="E7640">
        <f>IF(OR(B7640="vi",B7640="ii",B7640="pod"),(((D7640/100)*(C7640*VLOOKUP(B7640,'Poids des runes'!A:B,2,FALSE)))+1),(((D7640/100)*(C7640*VLOOKUP(B7640,'Poids des runes'!A:B,2,FALSE)))+1)/VLOOKUP(B7640,'Poids des runes'!A:B,2,FALSE))</f>
        <v>30.558333333333334</v>
      </c>
      <c r="F7640">
        <f t="shared" si="119"/>
        <v>30.558333333333334</v>
      </c>
    </row>
    <row r="7641" spans="1:6" x14ac:dyDescent="0.3">
      <c r="A7641" t="s">
        <v>1347</v>
      </c>
      <c r="B7641" t="s">
        <v>2132</v>
      </c>
      <c r="C7641">
        <v>500.5</v>
      </c>
      <c r="D7641">
        <v>195</v>
      </c>
      <c r="E7641">
        <f>IF(OR(B7641="vi",B7641="ii",B7641="pod"),(((D7641/100)*(C7641*VLOOKUP(B7641,'Poids des runes'!A:B,2,FALSE)))+1),(((D7641/100)*(C7641*VLOOKUP(B7641,'Poids des runes'!A:B,2,FALSE)))+1)/VLOOKUP(B7641,'Poids des runes'!A:B,2,FALSE))</f>
        <v>98.597500000000011</v>
      </c>
      <c r="F7641">
        <f t="shared" si="119"/>
        <v>98.597500000000011</v>
      </c>
    </row>
    <row r="7642" spans="1:6" x14ac:dyDescent="0.3">
      <c r="A7642" t="s">
        <v>1347</v>
      </c>
      <c r="B7642" t="s">
        <v>2141</v>
      </c>
      <c r="C7642">
        <v>4.5</v>
      </c>
      <c r="D7642">
        <v>195</v>
      </c>
      <c r="E7642">
        <f>IF(OR(B7642="vi",B7642="ii",B7642="pod"),(((D7642/100)*(C7642*VLOOKUP(B7642,'Poids des runes'!A:B,2,FALSE)))+1),(((D7642/100)*(C7642*VLOOKUP(B7642,'Poids des runes'!A:B,2,FALSE)))+1)/VLOOKUP(B7642,'Poids des runes'!A:B,2,FALSE))</f>
        <v>9.0250000000000004</v>
      </c>
      <c r="F7642">
        <f t="shared" si="119"/>
        <v>9.0250000000000004</v>
      </c>
    </row>
    <row r="7643" spans="1:6" x14ac:dyDescent="0.3">
      <c r="A7643" t="s">
        <v>1347</v>
      </c>
      <c r="B7643" t="s">
        <v>2159</v>
      </c>
      <c r="C7643">
        <v>4.5</v>
      </c>
      <c r="D7643">
        <v>195</v>
      </c>
      <c r="E7643">
        <f>IF(OR(B7643="vi",B7643="ii",B7643="pod"),(((D7643/100)*(C7643*VLOOKUP(B7643,'Poids des runes'!A:B,2,FALSE)))+1),(((D7643/100)*(C7643*VLOOKUP(B7643,'Poids des runes'!A:B,2,FALSE)))+1)/VLOOKUP(B7643,'Poids des runes'!A:B,2,FALSE))</f>
        <v>8.9178571428571427</v>
      </c>
      <c r="F7643">
        <f t="shared" si="119"/>
        <v>8.9178571428571427</v>
      </c>
    </row>
    <row r="7644" spans="1:6" x14ac:dyDescent="0.3">
      <c r="A7644" t="s">
        <v>1347</v>
      </c>
      <c r="B7644" t="s">
        <v>2163</v>
      </c>
      <c r="C7644">
        <v>20.5</v>
      </c>
      <c r="D7644">
        <v>195</v>
      </c>
      <c r="E7644">
        <f>IF(OR(B7644="vi",B7644="ii",B7644="pod"),(((D7644/100)*(C7644*VLOOKUP(B7644,'Poids des runes'!A:B,2,FALSE)))+1),(((D7644/100)*(C7644*VLOOKUP(B7644,'Poids des runes'!A:B,2,FALSE)))+1)/VLOOKUP(B7644,'Poids des runes'!A:B,2,FALSE))</f>
        <v>40.475000000000001</v>
      </c>
      <c r="F7644">
        <f t="shared" si="119"/>
        <v>40.475000000000001</v>
      </c>
    </row>
    <row r="7645" spans="1:6" x14ac:dyDescent="0.3">
      <c r="A7645" t="s">
        <v>1348</v>
      </c>
      <c r="B7645" t="s">
        <v>2128</v>
      </c>
      <c r="C7645">
        <v>275.5</v>
      </c>
      <c r="D7645">
        <v>195</v>
      </c>
      <c r="E7645">
        <f>IF(OR(B7645="vi",B7645="ii",B7645="pod"),(((D7645/100)*(C7645*VLOOKUP(B7645,'Poids des runes'!A:B,2,FALSE)))+1),(((D7645/100)*(C7645*VLOOKUP(B7645,'Poids des runes'!A:B,2,FALSE)))+1)/VLOOKUP(B7645,'Poids des runes'!A:B,2,FALSE))</f>
        <v>108.44500000000001</v>
      </c>
      <c r="F7645">
        <f t="shared" si="119"/>
        <v>108.44500000000001</v>
      </c>
    </row>
    <row r="7646" spans="1:6" x14ac:dyDescent="0.3">
      <c r="A7646" t="s">
        <v>1348</v>
      </c>
      <c r="B7646" t="s">
        <v>2131</v>
      </c>
      <c r="C7646">
        <v>60.5</v>
      </c>
      <c r="D7646">
        <v>195</v>
      </c>
      <c r="E7646">
        <f>IF(OR(B7646="vi",B7646="ii",B7646="pod"),(((D7646/100)*(C7646*VLOOKUP(B7646,'Poids des runes'!A:B,2,FALSE)))+1),(((D7646/100)*(C7646*VLOOKUP(B7646,'Poids des runes'!A:B,2,FALSE)))+1)/VLOOKUP(B7646,'Poids des runes'!A:B,2,FALSE))</f>
        <v>118.97499999999999</v>
      </c>
      <c r="F7646">
        <f t="shared" si="119"/>
        <v>118.97499999999999</v>
      </c>
    </row>
    <row r="7647" spans="1:6" x14ac:dyDescent="0.3">
      <c r="A7647" t="s">
        <v>1348</v>
      </c>
      <c r="B7647" t="s">
        <v>2127</v>
      </c>
      <c r="C7647">
        <v>60.5</v>
      </c>
      <c r="D7647">
        <v>195</v>
      </c>
      <c r="E7647">
        <f>IF(OR(B7647="vi",B7647="ii",B7647="pod"),(((D7647/100)*(C7647*VLOOKUP(B7647,'Poids des runes'!A:B,2,FALSE)))+1),(((D7647/100)*(C7647*VLOOKUP(B7647,'Poids des runes'!A:B,2,FALSE)))+1)/VLOOKUP(B7647,'Poids des runes'!A:B,2,FALSE))</f>
        <v>118.97499999999999</v>
      </c>
      <c r="F7647">
        <f t="shared" si="119"/>
        <v>118.97499999999999</v>
      </c>
    </row>
    <row r="7648" spans="1:6" x14ac:dyDescent="0.3">
      <c r="A7648" t="s">
        <v>1348</v>
      </c>
      <c r="B7648" t="s">
        <v>2129</v>
      </c>
      <c r="C7648">
        <v>40.5</v>
      </c>
      <c r="D7648">
        <v>195</v>
      </c>
      <c r="E7648">
        <f>IF(OR(B7648="vi",B7648="ii",B7648="pod"),(((D7648/100)*(C7648*VLOOKUP(B7648,'Poids des runes'!A:B,2,FALSE)))+1),(((D7648/100)*(C7648*VLOOKUP(B7648,'Poids des runes'!A:B,2,FALSE)))+1)/VLOOKUP(B7648,'Poids des runes'!A:B,2,FALSE))</f>
        <v>79.974999999999994</v>
      </c>
      <c r="F7648">
        <f t="shared" si="119"/>
        <v>79.974999999999994</v>
      </c>
    </row>
    <row r="7649" spans="1:6" x14ac:dyDescent="0.3">
      <c r="A7649" t="s">
        <v>1348</v>
      </c>
      <c r="B7649" t="s">
        <v>2151</v>
      </c>
      <c r="C7649">
        <v>3.5</v>
      </c>
      <c r="D7649">
        <v>195</v>
      </c>
      <c r="E7649">
        <f>IF(OR(B7649="vi",B7649="ii",B7649="pod"),(((D7649/100)*(C7649*VLOOKUP(B7649,'Poids des runes'!A:B,2,FALSE)))+1),(((D7649/100)*(C7649*VLOOKUP(B7649,'Poids des runes'!A:B,2,FALSE)))+1)/VLOOKUP(B7649,'Poids des runes'!A:B,2,FALSE))</f>
        <v>6.9249999999999998</v>
      </c>
      <c r="F7649">
        <f t="shared" si="119"/>
        <v>6.9249999999999998</v>
      </c>
    </row>
    <row r="7650" spans="1:6" x14ac:dyDescent="0.3">
      <c r="A7650" t="s">
        <v>1348</v>
      </c>
      <c r="B7650" t="s">
        <v>2152</v>
      </c>
      <c r="C7650">
        <v>1</v>
      </c>
      <c r="D7650">
        <v>195</v>
      </c>
      <c r="E7650">
        <f>IF(OR(B7650="vi",B7650="ii",B7650="pod"),(((D7650/100)*(C7650*VLOOKUP(B7650,'Poids des runes'!A:B,2,FALSE)))+1),(((D7650/100)*(C7650*VLOOKUP(B7650,'Poids des runes'!A:B,2,FALSE)))+1)/VLOOKUP(B7650,'Poids des runes'!A:B,2,FALSE))</f>
        <v>1.96</v>
      </c>
      <c r="F7650">
        <f t="shared" si="119"/>
        <v>1.96</v>
      </c>
    </row>
    <row r="7651" spans="1:6" x14ac:dyDescent="0.3">
      <c r="A7651" t="s">
        <v>1348</v>
      </c>
      <c r="B7651" t="s">
        <v>2133</v>
      </c>
      <c r="C7651">
        <v>12</v>
      </c>
      <c r="D7651">
        <v>195</v>
      </c>
      <c r="E7651">
        <f>IF(OR(B7651="vi",B7651="ii",B7651="pod"),(((D7651/100)*(C7651*VLOOKUP(B7651,'Poids des runes'!A:B,2,FALSE)))+1),(((D7651/100)*(C7651*VLOOKUP(B7651,'Poids des runes'!A:B,2,FALSE)))+1)/VLOOKUP(B7651,'Poids des runes'!A:B,2,FALSE))</f>
        <v>23.6</v>
      </c>
      <c r="F7651">
        <f t="shared" si="119"/>
        <v>23.6</v>
      </c>
    </row>
    <row r="7652" spans="1:6" x14ac:dyDescent="0.3">
      <c r="A7652" t="s">
        <v>1348</v>
      </c>
      <c r="B7652" t="s">
        <v>2153</v>
      </c>
      <c r="C7652">
        <v>12</v>
      </c>
      <c r="D7652">
        <v>195</v>
      </c>
      <c r="E7652">
        <f>IF(OR(B7652="vi",B7652="ii",B7652="pod"),(((D7652/100)*(C7652*VLOOKUP(B7652,'Poids des runes'!A:B,2,FALSE)))+1),(((D7652/100)*(C7652*VLOOKUP(B7652,'Poids des runes'!A:B,2,FALSE)))+1)/VLOOKUP(B7652,'Poids des runes'!A:B,2,FALSE))</f>
        <v>23.6</v>
      </c>
      <c r="F7652">
        <f t="shared" si="119"/>
        <v>23.6</v>
      </c>
    </row>
    <row r="7653" spans="1:6" x14ac:dyDescent="0.3">
      <c r="A7653" t="s">
        <v>1348</v>
      </c>
      <c r="B7653" t="s">
        <v>2161</v>
      </c>
      <c r="C7653">
        <v>13</v>
      </c>
      <c r="D7653">
        <v>195</v>
      </c>
      <c r="E7653">
        <f>IF(OR(B7653="vi",B7653="ii",B7653="pod"),(((D7653/100)*(C7653*VLOOKUP(B7653,'Poids des runes'!A:B,2,FALSE)))+1),(((D7653/100)*(C7653*VLOOKUP(B7653,'Poids des runes'!A:B,2,FALSE)))+1)/VLOOKUP(B7653,'Poids des runes'!A:B,2,FALSE))</f>
        <v>25.683333333333334</v>
      </c>
      <c r="F7653">
        <f t="shared" si="119"/>
        <v>25.683333333333334</v>
      </c>
    </row>
    <row r="7654" spans="1:6" x14ac:dyDescent="0.3">
      <c r="A7654" t="s">
        <v>1348</v>
      </c>
      <c r="B7654" t="s">
        <v>2163</v>
      </c>
      <c r="C7654">
        <v>13</v>
      </c>
      <c r="D7654">
        <v>195</v>
      </c>
      <c r="E7654">
        <f>IF(OR(B7654="vi",B7654="ii",B7654="pod"),(((D7654/100)*(C7654*VLOOKUP(B7654,'Poids des runes'!A:B,2,FALSE)))+1),(((D7654/100)*(C7654*VLOOKUP(B7654,'Poids des runes'!A:B,2,FALSE)))+1)/VLOOKUP(B7654,'Poids des runes'!A:B,2,FALSE))</f>
        <v>25.849999999999998</v>
      </c>
      <c r="F7654">
        <f t="shared" si="119"/>
        <v>25.849999999999998</v>
      </c>
    </row>
    <row r="7655" spans="1:6" x14ac:dyDescent="0.3">
      <c r="A7655" t="s">
        <v>1348</v>
      </c>
      <c r="B7655" t="s">
        <v>2164</v>
      </c>
      <c r="C7655">
        <v>13</v>
      </c>
      <c r="D7655">
        <v>195</v>
      </c>
      <c r="E7655">
        <f>IF(OR(B7655="vi",B7655="ii",B7655="pod"),(((D7655/100)*(C7655*VLOOKUP(B7655,'Poids des runes'!A:B,2,FALSE)))+1),(((D7655/100)*(C7655*VLOOKUP(B7655,'Poids des runes'!A:B,2,FALSE)))+1)/VLOOKUP(B7655,'Poids des runes'!A:B,2,FALSE))</f>
        <v>25.849999999999998</v>
      </c>
      <c r="F7655">
        <f t="shared" si="119"/>
        <v>25.849999999999998</v>
      </c>
    </row>
    <row r="7656" spans="1:6" x14ac:dyDescent="0.3">
      <c r="A7656" t="s">
        <v>1348</v>
      </c>
      <c r="B7656" t="s">
        <v>2148</v>
      </c>
      <c r="C7656">
        <v>3.5</v>
      </c>
      <c r="D7656">
        <v>195</v>
      </c>
      <c r="E7656">
        <f>IF(OR(B7656="vi",B7656="ii",B7656="pod"),(((D7656/100)*(C7656*VLOOKUP(B7656,'Poids des runes'!A:B,2,FALSE)))+1),(((D7656/100)*(C7656*VLOOKUP(B7656,'Poids des runes'!A:B,2,FALSE)))+1)/VLOOKUP(B7656,'Poids des runes'!A:B,2,FALSE))</f>
        <v>6.9916666666666663</v>
      </c>
      <c r="F7656">
        <f t="shared" si="119"/>
        <v>6.9916666666666663</v>
      </c>
    </row>
    <row r="7657" spans="1:6" x14ac:dyDescent="0.3">
      <c r="A7657" t="s">
        <v>1348</v>
      </c>
      <c r="B7657" t="s">
        <v>2137</v>
      </c>
      <c r="C7657">
        <v>13</v>
      </c>
      <c r="D7657">
        <v>195</v>
      </c>
      <c r="E7657">
        <f>IF(OR(B7657="vi",B7657="ii",B7657="pod"),(((D7657/100)*(C7657*VLOOKUP(B7657,'Poids des runes'!A:B,2,FALSE)))+1),(((D7657/100)*(C7657*VLOOKUP(B7657,'Poids des runes'!A:B,2,FALSE)))+1)/VLOOKUP(B7657,'Poids des runes'!A:B,2,FALSE))</f>
        <v>25.849999999999998</v>
      </c>
      <c r="F7657">
        <f t="shared" si="119"/>
        <v>25.849999999999998</v>
      </c>
    </row>
    <row r="7658" spans="1:6" x14ac:dyDescent="0.3">
      <c r="A7658" t="s">
        <v>1349</v>
      </c>
      <c r="B7658" t="s">
        <v>2128</v>
      </c>
      <c r="C7658">
        <v>325.5</v>
      </c>
      <c r="D7658">
        <v>195</v>
      </c>
      <c r="E7658">
        <f>IF(OR(B7658="vi",B7658="ii",B7658="pod"),(((D7658/100)*(C7658*VLOOKUP(B7658,'Poids des runes'!A:B,2,FALSE)))+1),(((D7658/100)*(C7658*VLOOKUP(B7658,'Poids des runes'!A:B,2,FALSE)))+1)/VLOOKUP(B7658,'Poids des runes'!A:B,2,FALSE))</f>
        <v>127.94500000000001</v>
      </c>
      <c r="F7658">
        <f t="shared" si="119"/>
        <v>127.94500000000001</v>
      </c>
    </row>
    <row r="7659" spans="1:6" x14ac:dyDescent="0.3">
      <c r="A7659" t="s">
        <v>1349</v>
      </c>
      <c r="B7659" t="s">
        <v>2126</v>
      </c>
      <c r="C7659">
        <v>50.5</v>
      </c>
      <c r="D7659">
        <v>195</v>
      </c>
      <c r="E7659">
        <f>IF(OR(B7659="vi",B7659="ii",B7659="pod"),(((D7659/100)*(C7659*VLOOKUP(B7659,'Poids des runes'!A:B,2,FALSE)))+1),(((D7659/100)*(C7659*VLOOKUP(B7659,'Poids des runes'!A:B,2,FALSE)))+1)/VLOOKUP(B7659,'Poids des runes'!A:B,2,FALSE))</f>
        <v>99.474999999999994</v>
      </c>
      <c r="F7659">
        <f t="shared" si="119"/>
        <v>99.474999999999994</v>
      </c>
    </row>
    <row r="7660" spans="1:6" x14ac:dyDescent="0.3">
      <c r="A7660" t="s">
        <v>1349</v>
      </c>
      <c r="B7660" t="s">
        <v>2131</v>
      </c>
      <c r="C7660">
        <v>50.5</v>
      </c>
      <c r="D7660">
        <v>195</v>
      </c>
      <c r="E7660">
        <f>IF(OR(B7660="vi",B7660="ii",B7660="pod"),(((D7660/100)*(C7660*VLOOKUP(B7660,'Poids des runes'!A:B,2,FALSE)))+1),(((D7660/100)*(C7660*VLOOKUP(B7660,'Poids des runes'!A:B,2,FALSE)))+1)/VLOOKUP(B7660,'Poids des runes'!A:B,2,FALSE))</f>
        <v>99.474999999999994</v>
      </c>
      <c r="F7660">
        <f t="shared" si="119"/>
        <v>99.474999999999994</v>
      </c>
    </row>
    <row r="7661" spans="1:6" x14ac:dyDescent="0.3">
      <c r="A7661" t="s">
        <v>1349</v>
      </c>
      <c r="B7661" t="s">
        <v>2129</v>
      </c>
      <c r="C7661">
        <v>40.5</v>
      </c>
      <c r="D7661">
        <v>195</v>
      </c>
      <c r="E7661">
        <f>IF(OR(B7661="vi",B7661="ii",B7661="pod"),(((D7661/100)*(C7661*VLOOKUP(B7661,'Poids des runes'!A:B,2,FALSE)))+1),(((D7661/100)*(C7661*VLOOKUP(B7661,'Poids des runes'!A:B,2,FALSE)))+1)/VLOOKUP(B7661,'Poids des runes'!A:B,2,FALSE))</f>
        <v>79.974999999999994</v>
      </c>
      <c r="F7661">
        <f t="shared" si="119"/>
        <v>79.974999999999994</v>
      </c>
    </row>
    <row r="7662" spans="1:6" x14ac:dyDescent="0.3">
      <c r="A7662" t="s">
        <v>1349</v>
      </c>
      <c r="B7662" t="s">
        <v>2154</v>
      </c>
      <c r="C7662">
        <v>1</v>
      </c>
      <c r="D7662">
        <v>195</v>
      </c>
      <c r="E7662">
        <f>IF(OR(B7662="vi",B7662="ii",B7662="pod"),(((D7662/100)*(C7662*VLOOKUP(B7662,'Poids des runes'!A:B,2,FALSE)))+1),(((D7662/100)*(C7662*VLOOKUP(B7662,'Poids des runes'!A:B,2,FALSE)))+1)/VLOOKUP(B7662,'Poids des runes'!A:B,2,FALSE))</f>
        <v>1.961111111111111</v>
      </c>
      <c r="F7662">
        <f t="shared" si="119"/>
        <v>1.961111111111111</v>
      </c>
    </row>
    <row r="7663" spans="1:6" x14ac:dyDescent="0.3">
      <c r="A7663" t="s">
        <v>1349</v>
      </c>
      <c r="B7663" t="s">
        <v>2140</v>
      </c>
      <c r="C7663">
        <v>15.5</v>
      </c>
      <c r="D7663">
        <v>195</v>
      </c>
      <c r="E7663">
        <f>IF(OR(B7663="vi",B7663="ii",B7663="pod"),(((D7663/100)*(C7663*VLOOKUP(B7663,'Poids des runes'!A:B,2,FALSE)))+1),(((D7663/100)*(C7663*VLOOKUP(B7663,'Poids des runes'!A:B,2,FALSE)))+1)/VLOOKUP(B7663,'Poids des runes'!A:B,2,FALSE))</f>
        <v>30.425000000000001</v>
      </c>
      <c r="F7663">
        <f t="shared" si="119"/>
        <v>30.425000000000001</v>
      </c>
    </row>
    <row r="7664" spans="1:6" x14ac:dyDescent="0.3">
      <c r="A7664" t="s">
        <v>1349</v>
      </c>
      <c r="B7664" t="s">
        <v>2133</v>
      </c>
      <c r="C7664">
        <v>15.5</v>
      </c>
      <c r="D7664">
        <v>195</v>
      </c>
      <c r="E7664">
        <f>IF(OR(B7664="vi",B7664="ii",B7664="pod"),(((D7664/100)*(C7664*VLOOKUP(B7664,'Poids des runes'!A:B,2,FALSE)))+1),(((D7664/100)*(C7664*VLOOKUP(B7664,'Poids des runes'!A:B,2,FALSE)))+1)/VLOOKUP(B7664,'Poids des runes'!A:B,2,FALSE))</f>
        <v>30.425000000000001</v>
      </c>
      <c r="F7664">
        <f t="shared" si="119"/>
        <v>30.425000000000001</v>
      </c>
    </row>
    <row r="7665" spans="1:6" x14ac:dyDescent="0.3">
      <c r="A7665" t="s">
        <v>1349</v>
      </c>
      <c r="B7665" t="s">
        <v>2149</v>
      </c>
      <c r="C7665">
        <v>8.5</v>
      </c>
      <c r="D7665">
        <v>195</v>
      </c>
      <c r="E7665">
        <f>IF(OR(B7665="vi",B7665="ii",B7665="pod"),(((D7665/100)*(C7665*VLOOKUP(B7665,'Poids des runes'!A:B,2,FALSE)))+1),(((D7665/100)*(C7665*VLOOKUP(B7665,'Poids des runes'!A:B,2,FALSE)))+1)/VLOOKUP(B7665,'Poids des runes'!A:B,2,FALSE))</f>
        <v>16.675000000000001</v>
      </c>
      <c r="F7665">
        <f t="shared" si="119"/>
        <v>16.675000000000001</v>
      </c>
    </row>
    <row r="7666" spans="1:6" x14ac:dyDescent="0.3">
      <c r="A7666" t="s">
        <v>1349</v>
      </c>
      <c r="B7666" t="s">
        <v>2161</v>
      </c>
      <c r="C7666">
        <v>13</v>
      </c>
      <c r="D7666">
        <v>195</v>
      </c>
      <c r="E7666">
        <f>IF(OR(B7666="vi",B7666="ii",B7666="pod"),(((D7666/100)*(C7666*VLOOKUP(B7666,'Poids des runes'!A:B,2,FALSE)))+1),(((D7666/100)*(C7666*VLOOKUP(B7666,'Poids des runes'!A:B,2,FALSE)))+1)/VLOOKUP(B7666,'Poids des runes'!A:B,2,FALSE))</f>
        <v>25.683333333333334</v>
      </c>
      <c r="F7666">
        <f t="shared" si="119"/>
        <v>25.683333333333334</v>
      </c>
    </row>
    <row r="7667" spans="1:6" x14ac:dyDescent="0.3">
      <c r="A7667" t="s">
        <v>1349</v>
      </c>
      <c r="B7667" t="s">
        <v>2141</v>
      </c>
      <c r="C7667">
        <v>6</v>
      </c>
      <c r="D7667">
        <v>195</v>
      </c>
      <c r="E7667">
        <f>IF(OR(B7667="vi",B7667="ii",B7667="pod"),(((D7667/100)*(C7667*VLOOKUP(B7667,'Poids des runes'!A:B,2,FALSE)))+1),(((D7667/100)*(C7667*VLOOKUP(B7667,'Poids des runes'!A:B,2,FALSE)))+1)/VLOOKUP(B7667,'Poids des runes'!A:B,2,FALSE))</f>
        <v>11.95</v>
      </c>
      <c r="F7667">
        <f t="shared" si="119"/>
        <v>11.95</v>
      </c>
    </row>
    <row r="7668" spans="1:6" x14ac:dyDescent="0.3">
      <c r="A7668" t="s">
        <v>1349</v>
      </c>
      <c r="B7668" t="s">
        <v>2157</v>
      </c>
      <c r="C7668">
        <v>8.5</v>
      </c>
      <c r="D7668">
        <v>195</v>
      </c>
      <c r="E7668">
        <f>IF(OR(B7668="vi",B7668="ii",B7668="pod"),(((D7668/100)*(C7668*VLOOKUP(B7668,'Poids des runes'!A:B,2,FALSE)))+1),(((D7668/100)*(C7668*VLOOKUP(B7668,'Poids des runes'!A:B,2,FALSE)))+1)/VLOOKUP(B7668,'Poids des runes'!A:B,2,FALSE))</f>
        <v>16.741666666666667</v>
      </c>
      <c r="F7668">
        <f t="shared" si="119"/>
        <v>16.741666666666667</v>
      </c>
    </row>
    <row r="7669" spans="1:6" x14ac:dyDescent="0.3">
      <c r="A7669" t="s">
        <v>1350</v>
      </c>
      <c r="B7669" t="s">
        <v>2128</v>
      </c>
      <c r="C7669">
        <v>225.5</v>
      </c>
      <c r="D7669">
        <v>195</v>
      </c>
      <c r="E7669">
        <f>IF(OR(B7669="vi",B7669="ii",B7669="pod"),(((D7669/100)*(C7669*VLOOKUP(B7669,'Poids des runes'!A:B,2,FALSE)))+1),(((D7669/100)*(C7669*VLOOKUP(B7669,'Poids des runes'!A:B,2,FALSE)))+1)/VLOOKUP(B7669,'Poids des runes'!A:B,2,FALSE))</f>
        <v>88.945000000000007</v>
      </c>
      <c r="F7669">
        <f t="shared" si="119"/>
        <v>88.945000000000007</v>
      </c>
    </row>
    <row r="7670" spans="1:6" x14ac:dyDescent="0.3">
      <c r="A7670" t="s">
        <v>1350</v>
      </c>
      <c r="B7670" t="s">
        <v>2129</v>
      </c>
      <c r="C7670">
        <v>43</v>
      </c>
      <c r="D7670">
        <v>195</v>
      </c>
      <c r="E7670">
        <f>IF(OR(B7670="vi",B7670="ii",B7670="pod"),(((D7670/100)*(C7670*VLOOKUP(B7670,'Poids des runes'!A:B,2,FALSE)))+1),(((D7670/100)*(C7670*VLOOKUP(B7670,'Poids des runes'!A:B,2,FALSE)))+1)/VLOOKUP(B7670,'Poids des runes'!A:B,2,FALSE))</f>
        <v>84.85</v>
      </c>
      <c r="F7670">
        <f t="shared" si="119"/>
        <v>84.85</v>
      </c>
    </row>
    <row r="7671" spans="1:6" x14ac:dyDescent="0.3">
      <c r="A7671" t="s">
        <v>1350</v>
      </c>
      <c r="B7671" t="s">
        <v>2151</v>
      </c>
      <c r="C7671">
        <v>4.5</v>
      </c>
      <c r="D7671">
        <v>195</v>
      </c>
      <c r="E7671">
        <f>IF(OR(B7671="vi",B7671="ii",B7671="pod"),(((D7671/100)*(C7671*VLOOKUP(B7671,'Poids des runes'!A:B,2,FALSE)))+1),(((D7671/100)*(C7671*VLOOKUP(B7671,'Poids des runes'!A:B,2,FALSE)))+1)/VLOOKUP(B7671,'Poids des runes'!A:B,2,FALSE))</f>
        <v>8.875</v>
      </c>
      <c r="F7671">
        <f t="shared" si="119"/>
        <v>8.875</v>
      </c>
    </row>
    <row r="7672" spans="1:6" x14ac:dyDescent="0.3">
      <c r="A7672" t="s">
        <v>1350</v>
      </c>
      <c r="B7672" t="s">
        <v>2134</v>
      </c>
      <c r="C7672">
        <v>10.5</v>
      </c>
      <c r="D7672">
        <v>195</v>
      </c>
      <c r="E7672">
        <f>IF(OR(B7672="vi",B7672="ii",B7672="pod"),(((D7672/100)*(C7672*VLOOKUP(B7672,'Poids des runes'!A:B,2,FALSE)))+1),(((D7672/100)*(C7672*VLOOKUP(B7672,'Poids des runes'!A:B,2,FALSE)))+1)/VLOOKUP(B7672,'Poids des runes'!A:B,2,FALSE))</f>
        <v>20.524999999999999</v>
      </c>
      <c r="F7672">
        <f t="shared" si="119"/>
        <v>20.524999999999999</v>
      </c>
    </row>
    <row r="7673" spans="1:6" x14ac:dyDescent="0.3">
      <c r="A7673" t="s">
        <v>1350</v>
      </c>
      <c r="B7673" t="s">
        <v>2161</v>
      </c>
      <c r="C7673">
        <v>15.5</v>
      </c>
      <c r="D7673">
        <v>195</v>
      </c>
      <c r="E7673">
        <f>IF(OR(B7673="vi",B7673="ii",B7673="pod"),(((D7673/100)*(C7673*VLOOKUP(B7673,'Poids des runes'!A:B,2,FALSE)))+1),(((D7673/100)*(C7673*VLOOKUP(B7673,'Poids des runes'!A:B,2,FALSE)))+1)/VLOOKUP(B7673,'Poids des runes'!A:B,2,FALSE))</f>
        <v>30.558333333333334</v>
      </c>
      <c r="F7673">
        <f t="shared" si="119"/>
        <v>30.558333333333334</v>
      </c>
    </row>
    <row r="7674" spans="1:6" x14ac:dyDescent="0.3">
      <c r="A7674" t="s">
        <v>1350</v>
      </c>
      <c r="B7674" t="s">
        <v>2132</v>
      </c>
      <c r="C7674">
        <v>250.5</v>
      </c>
      <c r="D7674">
        <v>195</v>
      </c>
      <c r="E7674">
        <f>IF(OR(B7674="vi",B7674="ii",B7674="pod"),(((D7674/100)*(C7674*VLOOKUP(B7674,'Poids des runes'!A:B,2,FALSE)))+1),(((D7674/100)*(C7674*VLOOKUP(B7674,'Poids des runes'!A:B,2,FALSE)))+1)/VLOOKUP(B7674,'Poids des runes'!A:B,2,FALSE))</f>
        <v>49.847500000000004</v>
      </c>
      <c r="F7674">
        <f t="shared" si="119"/>
        <v>49.847500000000004</v>
      </c>
    </row>
    <row r="7675" spans="1:6" x14ac:dyDescent="0.3">
      <c r="A7675" t="s">
        <v>1350</v>
      </c>
      <c r="B7675" t="s">
        <v>2148</v>
      </c>
      <c r="C7675">
        <v>8.5</v>
      </c>
      <c r="D7675">
        <v>195</v>
      </c>
      <c r="E7675">
        <f>IF(OR(B7675="vi",B7675="ii",B7675="pod"),(((D7675/100)*(C7675*VLOOKUP(B7675,'Poids des runes'!A:B,2,FALSE)))+1),(((D7675/100)*(C7675*VLOOKUP(B7675,'Poids des runes'!A:B,2,FALSE)))+1)/VLOOKUP(B7675,'Poids des runes'!A:B,2,FALSE))</f>
        <v>16.741666666666667</v>
      </c>
      <c r="F7675">
        <f t="shared" si="119"/>
        <v>16.741666666666667</v>
      </c>
    </row>
    <row r="7676" spans="1:6" x14ac:dyDescent="0.3">
      <c r="A7676" t="s">
        <v>1350</v>
      </c>
      <c r="B7676" t="s">
        <v>2136</v>
      </c>
      <c r="C7676">
        <v>8.5</v>
      </c>
      <c r="D7676">
        <v>195</v>
      </c>
      <c r="E7676">
        <f>IF(OR(B7676="vi",B7676="ii",B7676="pod"),(((D7676/100)*(C7676*VLOOKUP(B7676,'Poids des runes'!A:B,2,FALSE)))+1),(((D7676/100)*(C7676*VLOOKUP(B7676,'Poids des runes'!A:B,2,FALSE)))+1)/VLOOKUP(B7676,'Poids des runes'!A:B,2,FALSE))</f>
        <v>17.074999999999999</v>
      </c>
      <c r="F7676">
        <f t="shared" si="119"/>
        <v>17.074999999999999</v>
      </c>
    </row>
    <row r="7677" spans="1:6" x14ac:dyDescent="0.3">
      <c r="A7677" t="s">
        <v>1350</v>
      </c>
      <c r="B7677" t="s">
        <v>2144</v>
      </c>
      <c r="C7677">
        <v>8.5</v>
      </c>
      <c r="D7677">
        <v>195</v>
      </c>
      <c r="E7677">
        <f>IF(OR(B7677="vi",B7677="ii",B7677="pod"),(((D7677/100)*(C7677*VLOOKUP(B7677,'Poids des runes'!A:B,2,FALSE)))+1),(((D7677/100)*(C7677*VLOOKUP(B7677,'Poids des runes'!A:B,2,FALSE)))+1)/VLOOKUP(B7677,'Poids des runes'!A:B,2,FALSE))</f>
        <v>17.074999999999999</v>
      </c>
      <c r="F7677">
        <f t="shared" si="119"/>
        <v>17.074999999999999</v>
      </c>
    </row>
    <row r="7678" spans="1:6" x14ac:dyDescent="0.3">
      <c r="A7678" t="s">
        <v>1350</v>
      </c>
      <c r="B7678" t="s">
        <v>2145</v>
      </c>
      <c r="C7678">
        <v>8.5</v>
      </c>
      <c r="D7678">
        <v>195</v>
      </c>
      <c r="E7678">
        <f>IF(OR(B7678="vi",B7678="ii",B7678="pod"),(((D7678/100)*(C7678*VLOOKUP(B7678,'Poids des runes'!A:B,2,FALSE)))+1),(((D7678/100)*(C7678*VLOOKUP(B7678,'Poids des runes'!A:B,2,FALSE)))+1)/VLOOKUP(B7678,'Poids des runes'!A:B,2,FALSE))</f>
        <v>17.074999999999999</v>
      </c>
      <c r="F7678">
        <f t="shared" si="119"/>
        <v>17.074999999999999</v>
      </c>
    </row>
    <row r="7679" spans="1:6" x14ac:dyDescent="0.3">
      <c r="A7679" t="s">
        <v>1351</v>
      </c>
      <c r="B7679" t="s">
        <v>2128</v>
      </c>
      <c r="C7679">
        <v>325.5</v>
      </c>
      <c r="D7679">
        <v>195</v>
      </c>
      <c r="E7679">
        <f>IF(OR(B7679="vi",B7679="ii",B7679="pod"),(((D7679/100)*(C7679*VLOOKUP(B7679,'Poids des runes'!A:B,2,FALSE)))+1),(((D7679/100)*(C7679*VLOOKUP(B7679,'Poids des runes'!A:B,2,FALSE)))+1)/VLOOKUP(B7679,'Poids des runes'!A:B,2,FALSE))</f>
        <v>127.94500000000001</v>
      </c>
      <c r="F7679">
        <f t="shared" si="119"/>
        <v>127.94500000000001</v>
      </c>
    </row>
    <row r="7680" spans="1:6" x14ac:dyDescent="0.3">
      <c r="A7680" t="s">
        <v>1351</v>
      </c>
      <c r="B7680" t="s">
        <v>2126</v>
      </c>
      <c r="C7680">
        <v>35.5</v>
      </c>
      <c r="D7680">
        <v>195</v>
      </c>
      <c r="E7680">
        <f>IF(OR(B7680="vi",B7680="ii",B7680="pod"),(((D7680/100)*(C7680*VLOOKUP(B7680,'Poids des runes'!A:B,2,FALSE)))+1),(((D7680/100)*(C7680*VLOOKUP(B7680,'Poids des runes'!A:B,2,FALSE)))+1)/VLOOKUP(B7680,'Poids des runes'!A:B,2,FALSE))</f>
        <v>70.224999999999994</v>
      </c>
      <c r="F7680">
        <f t="shared" si="119"/>
        <v>70.224999999999994</v>
      </c>
    </row>
    <row r="7681" spans="1:6" x14ac:dyDescent="0.3">
      <c r="A7681" t="s">
        <v>1351</v>
      </c>
      <c r="B7681" t="s">
        <v>2131</v>
      </c>
      <c r="C7681">
        <v>35.5</v>
      </c>
      <c r="D7681">
        <v>195</v>
      </c>
      <c r="E7681">
        <f>IF(OR(B7681="vi",B7681="ii",B7681="pod"),(((D7681/100)*(C7681*VLOOKUP(B7681,'Poids des runes'!A:B,2,FALSE)))+1),(((D7681/100)*(C7681*VLOOKUP(B7681,'Poids des runes'!A:B,2,FALSE)))+1)/VLOOKUP(B7681,'Poids des runes'!A:B,2,FALSE))</f>
        <v>70.224999999999994</v>
      </c>
      <c r="F7681">
        <f t="shared" si="119"/>
        <v>70.224999999999994</v>
      </c>
    </row>
    <row r="7682" spans="1:6" x14ac:dyDescent="0.3">
      <c r="A7682" t="s">
        <v>1351</v>
      </c>
      <c r="B7682" t="s">
        <v>2127</v>
      </c>
      <c r="C7682">
        <v>35.5</v>
      </c>
      <c r="D7682">
        <v>195</v>
      </c>
      <c r="E7682">
        <f>IF(OR(B7682="vi",B7682="ii",B7682="pod"),(((D7682/100)*(C7682*VLOOKUP(B7682,'Poids des runes'!A:B,2,FALSE)))+1),(((D7682/100)*(C7682*VLOOKUP(B7682,'Poids des runes'!A:B,2,FALSE)))+1)/VLOOKUP(B7682,'Poids des runes'!A:B,2,FALSE))</f>
        <v>70.224999999999994</v>
      </c>
      <c r="F7682">
        <f t="shared" si="119"/>
        <v>70.224999999999994</v>
      </c>
    </row>
    <row r="7683" spans="1:6" x14ac:dyDescent="0.3">
      <c r="A7683" t="s">
        <v>1351</v>
      </c>
      <c r="B7683" t="s">
        <v>2129</v>
      </c>
      <c r="C7683">
        <v>35.5</v>
      </c>
      <c r="D7683">
        <v>195</v>
      </c>
      <c r="E7683">
        <f>IF(OR(B7683="vi",B7683="ii",B7683="pod"),(((D7683/100)*(C7683*VLOOKUP(B7683,'Poids des runes'!A:B,2,FALSE)))+1),(((D7683/100)*(C7683*VLOOKUP(B7683,'Poids des runes'!A:B,2,FALSE)))+1)/VLOOKUP(B7683,'Poids des runes'!A:B,2,FALSE))</f>
        <v>70.224999999999994</v>
      </c>
      <c r="F7683">
        <f t="shared" ref="F7683:F7746" si="120">E7683</f>
        <v>70.224999999999994</v>
      </c>
    </row>
    <row r="7684" spans="1:6" x14ac:dyDescent="0.3">
      <c r="A7684" t="s">
        <v>1351</v>
      </c>
      <c r="B7684" t="s">
        <v>2151</v>
      </c>
      <c r="C7684">
        <v>3.5</v>
      </c>
      <c r="D7684">
        <v>195</v>
      </c>
      <c r="E7684">
        <f>IF(OR(B7684="vi",B7684="ii",B7684="pod"),(((D7684/100)*(C7684*VLOOKUP(B7684,'Poids des runes'!A:B,2,FALSE)))+1),(((D7684/100)*(C7684*VLOOKUP(B7684,'Poids des runes'!A:B,2,FALSE)))+1)/VLOOKUP(B7684,'Poids des runes'!A:B,2,FALSE))</f>
        <v>6.9249999999999998</v>
      </c>
      <c r="F7684">
        <f t="shared" si="120"/>
        <v>6.9249999999999998</v>
      </c>
    </row>
    <row r="7685" spans="1:6" x14ac:dyDescent="0.3">
      <c r="A7685" t="s">
        <v>1351</v>
      </c>
      <c r="B7685" t="s">
        <v>2155</v>
      </c>
      <c r="C7685">
        <v>2</v>
      </c>
      <c r="D7685">
        <v>195</v>
      </c>
      <c r="E7685">
        <f>IF(OR(B7685="vi",B7685="ii",B7685="pod"),(((D7685/100)*(C7685*VLOOKUP(B7685,'Poids des runes'!A:B,2,FALSE)))+1),(((D7685/100)*(C7685*VLOOKUP(B7685,'Poids des runes'!A:B,2,FALSE)))+1)/VLOOKUP(B7685,'Poids des runes'!A:B,2,FALSE))</f>
        <v>3.9196078431372552</v>
      </c>
      <c r="F7685">
        <f t="shared" si="120"/>
        <v>3.9196078431372552</v>
      </c>
    </row>
    <row r="7686" spans="1:6" x14ac:dyDescent="0.3">
      <c r="A7686" t="s">
        <v>1351</v>
      </c>
      <c r="B7686" t="s">
        <v>2140</v>
      </c>
      <c r="C7686">
        <v>8.5</v>
      </c>
      <c r="D7686">
        <v>195</v>
      </c>
      <c r="E7686">
        <f>IF(OR(B7686="vi",B7686="ii",B7686="pod"),(((D7686/100)*(C7686*VLOOKUP(B7686,'Poids des runes'!A:B,2,FALSE)))+1),(((D7686/100)*(C7686*VLOOKUP(B7686,'Poids des runes'!A:B,2,FALSE)))+1)/VLOOKUP(B7686,'Poids des runes'!A:B,2,FALSE))</f>
        <v>16.774999999999999</v>
      </c>
      <c r="F7686">
        <f t="shared" si="120"/>
        <v>16.774999999999999</v>
      </c>
    </row>
    <row r="7687" spans="1:6" x14ac:dyDescent="0.3">
      <c r="A7687" t="s">
        <v>1351</v>
      </c>
      <c r="B7687" t="s">
        <v>2133</v>
      </c>
      <c r="C7687">
        <v>8.5</v>
      </c>
      <c r="D7687">
        <v>195</v>
      </c>
      <c r="E7687">
        <f>IF(OR(B7687="vi",B7687="ii",B7687="pod"),(((D7687/100)*(C7687*VLOOKUP(B7687,'Poids des runes'!A:B,2,FALSE)))+1),(((D7687/100)*(C7687*VLOOKUP(B7687,'Poids des runes'!A:B,2,FALSE)))+1)/VLOOKUP(B7687,'Poids des runes'!A:B,2,FALSE))</f>
        <v>16.774999999999999</v>
      </c>
      <c r="F7687">
        <f t="shared" si="120"/>
        <v>16.774999999999999</v>
      </c>
    </row>
    <row r="7688" spans="1:6" x14ac:dyDescent="0.3">
      <c r="A7688" t="s">
        <v>1351</v>
      </c>
      <c r="B7688" t="s">
        <v>2153</v>
      </c>
      <c r="C7688">
        <v>8.5</v>
      </c>
      <c r="D7688">
        <v>195</v>
      </c>
      <c r="E7688">
        <f>IF(OR(B7688="vi",B7688="ii",B7688="pod"),(((D7688/100)*(C7688*VLOOKUP(B7688,'Poids des runes'!A:B,2,FALSE)))+1),(((D7688/100)*(C7688*VLOOKUP(B7688,'Poids des runes'!A:B,2,FALSE)))+1)/VLOOKUP(B7688,'Poids des runes'!A:B,2,FALSE))</f>
        <v>16.774999999999999</v>
      </c>
      <c r="F7688">
        <f t="shared" si="120"/>
        <v>16.774999999999999</v>
      </c>
    </row>
    <row r="7689" spans="1:6" x14ac:dyDescent="0.3">
      <c r="A7689" t="s">
        <v>1351</v>
      </c>
      <c r="B7689" t="s">
        <v>2141</v>
      </c>
      <c r="C7689">
        <v>4.5</v>
      </c>
      <c r="D7689">
        <v>195</v>
      </c>
      <c r="E7689">
        <f>IF(OR(B7689="vi",B7689="ii",B7689="pod"),(((D7689/100)*(C7689*VLOOKUP(B7689,'Poids des runes'!A:B,2,FALSE)))+1),(((D7689/100)*(C7689*VLOOKUP(B7689,'Poids des runes'!A:B,2,FALSE)))+1)/VLOOKUP(B7689,'Poids des runes'!A:B,2,FALSE))</f>
        <v>9.0250000000000004</v>
      </c>
      <c r="F7689">
        <f t="shared" si="120"/>
        <v>9.0250000000000004</v>
      </c>
    </row>
    <row r="7690" spans="1:6" x14ac:dyDescent="0.3">
      <c r="A7690" t="s">
        <v>1351</v>
      </c>
      <c r="B7690" t="s">
        <v>2160</v>
      </c>
      <c r="C7690">
        <v>4.5</v>
      </c>
      <c r="D7690">
        <v>195</v>
      </c>
      <c r="E7690">
        <f>IF(OR(B7690="vi",B7690="ii",B7690="pod"),(((D7690/100)*(C7690*VLOOKUP(B7690,'Poids des runes'!A:B,2,FALSE)))+1),(((D7690/100)*(C7690*VLOOKUP(B7690,'Poids des runes'!A:B,2,FALSE)))+1)/VLOOKUP(B7690,'Poids des runes'!A:B,2,FALSE))</f>
        <v>8.9178571428571427</v>
      </c>
      <c r="F7690">
        <f t="shared" si="120"/>
        <v>8.9178571428571427</v>
      </c>
    </row>
    <row r="7691" spans="1:6" x14ac:dyDescent="0.3">
      <c r="A7691" t="s">
        <v>1351</v>
      </c>
      <c r="B7691" t="s">
        <v>2136</v>
      </c>
      <c r="C7691">
        <v>13</v>
      </c>
      <c r="D7691">
        <v>195</v>
      </c>
      <c r="E7691">
        <f>IF(OR(B7691="vi",B7691="ii",B7691="pod"),(((D7691/100)*(C7691*VLOOKUP(B7691,'Poids des runes'!A:B,2,FALSE)))+1),(((D7691/100)*(C7691*VLOOKUP(B7691,'Poids des runes'!A:B,2,FALSE)))+1)/VLOOKUP(B7691,'Poids des runes'!A:B,2,FALSE))</f>
        <v>25.849999999999998</v>
      </c>
      <c r="F7691">
        <f t="shared" si="120"/>
        <v>25.849999999999998</v>
      </c>
    </row>
    <row r="7692" spans="1:6" x14ac:dyDescent="0.3">
      <c r="A7692" t="s">
        <v>1351</v>
      </c>
      <c r="B7692" t="s">
        <v>2137</v>
      </c>
      <c r="C7692">
        <v>13</v>
      </c>
      <c r="D7692">
        <v>195</v>
      </c>
      <c r="E7692">
        <f>IF(OR(B7692="vi",B7692="ii",B7692="pod"),(((D7692/100)*(C7692*VLOOKUP(B7692,'Poids des runes'!A:B,2,FALSE)))+1),(((D7692/100)*(C7692*VLOOKUP(B7692,'Poids des runes'!A:B,2,FALSE)))+1)/VLOOKUP(B7692,'Poids des runes'!A:B,2,FALSE))</f>
        <v>25.849999999999998</v>
      </c>
      <c r="F7692">
        <f t="shared" si="120"/>
        <v>25.849999999999998</v>
      </c>
    </row>
    <row r="7693" spans="1:6" x14ac:dyDescent="0.3">
      <c r="A7693" t="s">
        <v>1351</v>
      </c>
      <c r="B7693" t="s">
        <v>2144</v>
      </c>
      <c r="C7693">
        <v>13</v>
      </c>
      <c r="D7693">
        <v>195</v>
      </c>
      <c r="E7693">
        <f>IF(OR(B7693="vi",B7693="ii",B7693="pod"),(((D7693/100)*(C7693*VLOOKUP(B7693,'Poids des runes'!A:B,2,FALSE)))+1),(((D7693/100)*(C7693*VLOOKUP(B7693,'Poids des runes'!A:B,2,FALSE)))+1)/VLOOKUP(B7693,'Poids des runes'!A:B,2,FALSE))</f>
        <v>25.849999999999998</v>
      </c>
      <c r="F7693">
        <f t="shared" si="120"/>
        <v>25.849999999999998</v>
      </c>
    </row>
    <row r="7694" spans="1:6" x14ac:dyDescent="0.3">
      <c r="A7694" t="s">
        <v>1351</v>
      </c>
      <c r="B7694" t="s">
        <v>2145</v>
      </c>
      <c r="C7694">
        <v>13</v>
      </c>
      <c r="D7694">
        <v>195</v>
      </c>
      <c r="E7694">
        <f>IF(OR(B7694="vi",B7694="ii",B7694="pod"),(((D7694/100)*(C7694*VLOOKUP(B7694,'Poids des runes'!A:B,2,FALSE)))+1),(((D7694/100)*(C7694*VLOOKUP(B7694,'Poids des runes'!A:B,2,FALSE)))+1)/VLOOKUP(B7694,'Poids des runes'!A:B,2,FALSE))</f>
        <v>25.849999999999998</v>
      </c>
      <c r="F7694">
        <f t="shared" si="120"/>
        <v>25.849999999999998</v>
      </c>
    </row>
    <row r="7695" spans="1:6" x14ac:dyDescent="0.3">
      <c r="A7695" t="s">
        <v>1351</v>
      </c>
      <c r="B7695" t="s">
        <v>2146</v>
      </c>
      <c r="C7695">
        <v>13</v>
      </c>
      <c r="D7695">
        <v>195</v>
      </c>
      <c r="E7695">
        <f>IF(OR(B7695="vi",B7695="ii",B7695="pod"),(((D7695/100)*(C7695*VLOOKUP(B7695,'Poids des runes'!A:B,2,FALSE)))+1),(((D7695/100)*(C7695*VLOOKUP(B7695,'Poids des runes'!A:B,2,FALSE)))+1)/VLOOKUP(B7695,'Poids des runes'!A:B,2,FALSE))</f>
        <v>25.849999999999998</v>
      </c>
      <c r="F7695">
        <f t="shared" si="120"/>
        <v>25.849999999999998</v>
      </c>
    </row>
    <row r="7696" spans="1:6" x14ac:dyDescent="0.3">
      <c r="A7696" t="s">
        <v>1352</v>
      </c>
      <c r="B7696" t="s">
        <v>2128</v>
      </c>
      <c r="C7696">
        <v>275.5</v>
      </c>
      <c r="D7696">
        <v>195</v>
      </c>
      <c r="E7696">
        <f>IF(OR(B7696="vi",B7696="ii",B7696="pod"),(((D7696/100)*(C7696*VLOOKUP(B7696,'Poids des runes'!A:B,2,FALSE)))+1),(((D7696/100)*(C7696*VLOOKUP(B7696,'Poids des runes'!A:B,2,FALSE)))+1)/VLOOKUP(B7696,'Poids des runes'!A:B,2,FALSE))</f>
        <v>108.44500000000001</v>
      </c>
      <c r="F7696">
        <f t="shared" si="120"/>
        <v>108.44500000000001</v>
      </c>
    </row>
    <row r="7697" spans="1:6" x14ac:dyDescent="0.3">
      <c r="A7697" t="s">
        <v>1352</v>
      </c>
      <c r="B7697" t="s">
        <v>2130</v>
      </c>
      <c r="C7697">
        <v>40.5</v>
      </c>
      <c r="D7697">
        <v>195</v>
      </c>
      <c r="E7697">
        <f>IF(OR(B7697="vi",B7697="ii",B7697="pod"),(((D7697/100)*(C7697*VLOOKUP(B7697,'Poids des runes'!A:B,2,FALSE)))+1),(((D7697/100)*(C7697*VLOOKUP(B7697,'Poids des runes'!A:B,2,FALSE)))+1)/VLOOKUP(B7697,'Poids des runes'!A:B,2,FALSE))</f>
        <v>79.974999999999994</v>
      </c>
      <c r="F7697">
        <f t="shared" si="120"/>
        <v>79.974999999999994</v>
      </c>
    </row>
    <row r="7698" spans="1:6" x14ac:dyDescent="0.3">
      <c r="A7698" t="s">
        <v>1352</v>
      </c>
      <c r="B7698" t="s">
        <v>2131</v>
      </c>
      <c r="C7698">
        <v>40.5</v>
      </c>
      <c r="D7698">
        <v>195</v>
      </c>
      <c r="E7698">
        <f>IF(OR(B7698="vi",B7698="ii",B7698="pod"),(((D7698/100)*(C7698*VLOOKUP(B7698,'Poids des runes'!A:B,2,FALSE)))+1),(((D7698/100)*(C7698*VLOOKUP(B7698,'Poids des runes'!A:B,2,FALSE)))+1)/VLOOKUP(B7698,'Poids des runes'!A:B,2,FALSE))</f>
        <v>79.974999999999994</v>
      </c>
      <c r="F7698">
        <f t="shared" si="120"/>
        <v>79.974999999999994</v>
      </c>
    </row>
    <row r="7699" spans="1:6" x14ac:dyDescent="0.3">
      <c r="A7699" t="s">
        <v>1352</v>
      </c>
      <c r="B7699" t="s">
        <v>2127</v>
      </c>
      <c r="C7699">
        <v>40.5</v>
      </c>
      <c r="D7699">
        <v>195</v>
      </c>
      <c r="E7699">
        <f>IF(OR(B7699="vi",B7699="ii",B7699="pod"),(((D7699/100)*(C7699*VLOOKUP(B7699,'Poids des runes'!A:B,2,FALSE)))+1),(((D7699/100)*(C7699*VLOOKUP(B7699,'Poids des runes'!A:B,2,FALSE)))+1)/VLOOKUP(B7699,'Poids des runes'!A:B,2,FALSE))</f>
        <v>79.974999999999994</v>
      </c>
      <c r="F7699">
        <f t="shared" si="120"/>
        <v>79.974999999999994</v>
      </c>
    </row>
    <row r="7700" spans="1:6" x14ac:dyDescent="0.3">
      <c r="A7700" t="s">
        <v>1352</v>
      </c>
      <c r="B7700" t="s">
        <v>2129</v>
      </c>
      <c r="C7700">
        <v>35.5</v>
      </c>
      <c r="D7700">
        <v>195</v>
      </c>
      <c r="E7700">
        <f>IF(OR(B7700="vi",B7700="ii",B7700="pod"),(((D7700/100)*(C7700*VLOOKUP(B7700,'Poids des runes'!A:B,2,FALSE)))+1),(((D7700/100)*(C7700*VLOOKUP(B7700,'Poids des runes'!A:B,2,FALSE)))+1)/VLOOKUP(B7700,'Poids des runes'!A:B,2,FALSE))</f>
        <v>70.224999999999994</v>
      </c>
      <c r="F7700">
        <f t="shared" si="120"/>
        <v>70.224999999999994</v>
      </c>
    </row>
    <row r="7701" spans="1:6" x14ac:dyDescent="0.3">
      <c r="A7701" t="s">
        <v>1352</v>
      </c>
      <c r="B7701" t="s">
        <v>2151</v>
      </c>
      <c r="C7701">
        <v>4.5</v>
      </c>
      <c r="D7701">
        <v>195</v>
      </c>
      <c r="E7701">
        <f>IF(OR(B7701="vi",B7701="ii",B7701="pod"),(((D7701/100)*(C7701*VLOOKUP(B7701,'Poids des runes'!A:B,2,FALSE)))+1),(((D7701/100)*(C7701*VLOOKUP(B7701,'Poids des runes'!A:B,2,FALSE)))+1)/VLOOKUP(B7701,'Poids des runes'!A:B,2,FALSE))</f>
        <v>8.875</v>
      </c>
      <c r="F7701">
        <f t="shared" si="120"/>
        <v>8.875</v>
      </c>
    </row>
    <row r="7702" spans="1:6" x14ac:dyDescent="0.3">
      <c r="A7702" t="s">
        <v>1352</v>
      </c>
      <c r="B7702" t="s">
        <v>2143</v>
      </c>
      <c r="C7702">
        <v>8.5</v>
      </c>
      <c r="D7702">
        <v>195</v>
      </c>
      <c r="E7702">
        <f>IF(OR(B7702="vi",B7702="ii",B7702="pod"),(((D7702/100)*(C7702*VLOOKUP(B7702,'Poids des runes'!A:B,2,FALSE)))+1),(((D7702/100)*(C7702*VLOOKUP(B7702,'Poids des runes'!A:B,2,FALSE)))+1)/VLOOKUP(B7702,'Poids des runes'!A:B,2,FALSE))</f>
        <v>16.774999999999999</v>
      </c>
      <c r="F7702">
        <f t="shared" si="120"/>
        <v>16.774999999999999</v>
      </c>
    </row>
    <row r="7703" spans="1:6" x14ac:dyDescent="0.3">
      <c r="A7703" t="s">
        <v>1352</v>
      </c>
      <c r="B7703" t="s">
        <v>2133</v>
      </c>
      <c r="C7703">
        <v>8.5</v>
      </c>
      <c r="D7703">
        <v>195</v>
      </c>
      <c r="E7703">
        <f>IF(OR(B7703="vi",B7703="ii",B7703="pod"),(((D7703/100)*(C7703*VLOOKUP(B7703,'Poids des runes'!A:B,2,FALSE)))+1),(((D7703/100)*(C7703*VLOOKUP(B7703,'Poids des runes'!A:B,2,FALSE)))+1)/VLOOKUP(B7703,'Poids des runes'!A:B,2,FALSE))</f>
        <v>16.774999999999999</v>
      </c>
      <c r="F7703">
        <f t="shared" si="120"/>
        <v>16.774999999999999</v>
      </c>
    </row>
    <row r="7704" spans="1:6" x14ac:dyDescent="0.3">
      <c r="A7704" t="s">
        <v>1352</v>
      </c>
      <c r="B7704" t="s">
        <v>2153</v>
      </c>
      <c r="C7704">
        <v>8.5</v>
      </c>
      <c r="D7704">
        <v>195</v>
      </c>
      <c r="E7704">
        <f>IF(OR(B7704="vi",B7704="ii",B7704="pod"),(((D7704/100)*(C7704*VLOOKUP(B7704,'Poids des runes'!A:B,2,FALSE)))+1),(((D7704/100)*(C7704*VLOOKUP(B7704,'Poids des runes'!A:B,2,FALSE)))+1)/VLOOKUP(B7704,'Poids des runes'!A:B,2,FALSE))</f>
        <v>16.774999999999999</v>
      </c>
      <c r="F7704">
        <f t="shared" si="120"/>
        <v>16.774999999999999</v>
      </c>
    </row>
    <row r="7705" spans="1:6" x14ac:dyDescent="0.3">
      <c r="A7705" t="s">
        <v>1352</v>
      </c>
      <c r="B7705" t="s">
        <v>2161</v>
      </c>
      <c r="C7705">
        <v>8.5</v>
      </c>
      <c r="D7705">
        <v>195</v>
      </c>
      <c r="E7705">
        <f>IF(OR(B7705="vi",B7705="ii",B7705="pod"),(((D7705/100)*(C7705*VLOOKUP(B7705,'Poids des runes'!A:B,2,FALSE)))+1),(((D7705/100)*(C7705*VLOOKUP(B7705,'Poids des runes'!A:B,2,FALSE)))+1)/VLOOKUP(B7705,'Poids des runes'!A:B,2,FALSE))</f>
        <v>16.908333333333335</v>
      </c>
      <c r="F7705">
        <f t="shared" si="120"/>
        <v>16.908333333333335</v>
      </c>
    </row>
    <row r="7706" spans="1:6" x14ac:dyDescent="0.3">
      <c r="A7706" t="s">
        <v>1352</v>
      </c>
      <c r="B7706" t="s">
        <v>2138</v>
      </c>
      <c r="C7706">
        <v>4.5</v>
      </c>
      <c r="D7706">
        <v>195</v>
      </c>
      <c r="E7706">
        <f>IF(OR(B7706="vi",B7706="ii",B7706="pod"),(((D7706/100)*(C7706*VLOOKUP(B7706,'Poids des runes'!A:B,2,FALSE)))+1),(((D7706/100)*(C7706*VLOOKUP(B7706,'Poids des runes'!A:B,2,FALSE)))+1)/VLOOKUP(B7706,'Poids des runes'!A:B,2,FALSE))</f>
        <v>9.0250000000000004</v>
      </c>
      <c r="F7706">
        <f t="shared" si="120"/>
        <v>9.0250000000000004</v>
      </c>
    </row>
    <row r="7707" spans="1:6" x14ac:dyDescent="0.3">
      <c r="A7707" t="s">
        <v>1352</v>
      </c>
      <c r="B7707" t="s">
        <v>2159</v>
      </c>
      <c r="C7707">
        <v>4.5</v>
      </c>
      <c r="D7707">
        <v>195</v>
      </c>
      <c r="E7707">
        <f>IF(OR(B7707="vi",B7707="ii",B7707="pod"),(((D7707/100)*(C7707*VLOOKUP(B7707,'Poids des runes'!A:B,2,FALSE)))+1),(((D7707/100)*(C7707*VLOOKUP(B7707,'Poids des runes'!A:B,2,FALSE)))+1)/VLOOKUP(B7707,'Poids des runes'!A:B,2,FALSE))</f>
        <v>8.9178571428571427</v>
      </c>
      <c r="F7707">
        <f t="shared" si="120"/>
        <v>8.9178571428571427</v>
      </c>
    </row>
    <row r="7708" spans="1:6" x14ac:dyDescent="0.3">
      <c r="A7708" t="s">
        <v>1352</v>
      </c>
      <c r="B7708" t="s">
        <v>2148</v>
      </c>
      <c r="C7708">
        <v>6</v>
      </c>
      <c r="D7708">
        <v>195</v>
      </c>
      <c r="E7708">
        <f>IF(OR(B7708="vi",B7708="ii",B7708="pod"),(((D7708/100)*(C7708*VLOOKUP(B7708,'Poids des runes'!A:B,2,FALSE)))+1),(((D7708/100)*(C7708*VLOOKUP(B7708,'Poids des runes'!A:B,2,FALSE)))+1)/VLOOKUP(B7708,'Poids des runes'!A:B,2,FALSE))</f>
        <v>11.866666666666667</v>
      </c>
      <c r="F7708">
        <f t="shared" si="120"/>
        <v>11.866666666666667</v>
      </c>
    </row>
    <row r="7709" spans="1:6" x14ac:dyDescent="0.3">
      <c r="A7709" t="s">
        <v>1352</v>
      </c>
      <c r="B7709" t="s">
        <v>2146</v>
      </c>
      <c r="C7709">
        <v>13</v>
      </c>
      <c r="D7709">
        <v>195</v>
      </c>
      <c r="E7709">
        <f>IF(OR(B7709="vi",B7709="ii",B7709="pod"),(((D7709/100)*(C7709*VLOOKUP(B7709,'Poids des runes'!A:B,2,FALSE)))+1),(((D7709/100)*(C7709*VLOOKUP(B7709,'Poids des runes'!A:B,2,FALSE)))+1)/VLOOKUP(B7709,'Poids des runes'!A:B,2,FALSE))</f>
        <v>25.849999999999998</v>
      </c>
      <c r="F7709">
        <f t="shared" si="120"/>
        <v>25.849999999999998</v>
      </c>
    </row>
    <row r="7710" spans="1:6" x14ac:dyDescent="0.3">
      <c r="A7710" t="s">
        <v>1353</v>
      </c>
      <c r="B7710" t="s">
        <v>2128</v>
      </c>
      <c r="C7710">
        <v>275.5</v>
      </c>
      <c r="D7710">
        <v>195</v>
      </c>
      <c r="E7710">
        <f>IF(OR(B7710="vi",B7710="ii",B7710="pod"),(((D7710/100)*(C7710*VLOOKUP(B7710,'Poids des runes'!A:B,2,FALSE)))+1),(((D7710/100)*(C7710*VLOOKUP(B7710,'Poids des runes'!A:B,2,FALSE)))+1)/VLOOKUP(B7710,'Poids des runes'!A:B,2,FALSE))</f>
        <v>108.44500000000001</v>
      </c>
      <c r="F7710">
        <f t="shared" si="120"/>
        <v>108.44500000000001</v>
      </c>
    </row>
    <row r="7711" spans="1:6" x14ac:dyDescent="0.3">
      <c r="A7711" t="s">
        <v>1353</v>
      </c>
      <c r="B7711" t="s">
        <v>2130</v>
      </c>
      <c r="C7711">
        <v>40.5</v>
      </c>
      <c r="D7711">
        <v>195</v>
      </c>
      <c r="E7711">
        <f>IF(OR(B7711="vi",B7711="ii",B7711="pod"),(((D7711/100)*(C7711*VLOOKUP(B7711,'Poids des runes'!A:B,2,FALSE)))+1),(((D7711/100)*(C7711*VLOOKUP(B7711,'Poids des runes'!A:B,2,FALSE)))+1)/VLOOKUP(B7711,'Poids des runes'!A:B,2,FALSE))</f>
        <v>79.974999999999994</v>
      </c>
      <c r="F7711">
        <f t="shared" si="120"/>
        <v>79.974999999999994</v>
      </c>
    </row>
    <row r="7712" spans="1:6" x14ac:dyDescent="0.3">
      <c r="A7712" t="s">
        <v>1353</v>
      </c>
      <c r="B7712" t="s">
        <v>2127</v>
      </c>
      <c r="C7712">
        <v>40.5</v>
      </c>
      <c r="D7712">
        <v>195</v>
      </c>
      <c r="E7712">
        <f>IF(OR(B7712="vi",B7712="ii",B7712="pod"),(((D7712/100)*(C7712*VLOOKUP(B7712,'Poids des runes'!A:B,2,FALSE)))+1),(((D7712/100)*(C7712*VLOOKUP(B7712,'Poids des runes'!A:B,2,FALSE)))+1)/VLOOKUP(B7712,'Poids des runes'!A:B,2,FALSE))</f>
        <v>79.974999999999994</v>
      </c>
      <c r="F7712">
        <f t="shared" si="120"/>
        <v>79.974999999999994</v>
      </c>
    </row>
    <row r="7713" spans="1:6" x14ac:dyDescent="0.3">
      <c r="A7713" t="s">
        <v>1353</v>
      </c>
      <c r="B7713" t="s">
        <v>2129</v>
      </c>
      <c r="C7713">
        <v>40.5</v>
      </c>
      <c r="D7713">
        <v>195</v>
      </c>
      <c r="E7713">
        <f>IF(OR(B7713="vi",B7713="ii",B7713="pod"),(((D7713/100)*(C7713*VLOOKUP(B7713,'Poids des runes'!A:B,2,FALSE)))+1),(((D7713/100)*(C7713*VLOOKUP(B7713,'Poids des runes'!A:B,2,FALSE)))+1)/VLOOKUP(B7713,'Poids des runes'!A:B,2,FALSE))</f>
        <v>79.974999999999994</v>
      </c>
      <c r="F7713">
        <f t="shared" si="120"/>
        <v>79.974999999999994</v>
      </c>
    </row>
    <row r="7714" spans="1:6" x14ac:dyDescent="0.3">
      <c r="A7714" t="s">
        <v>1353</v>
      </c>
      <c r="B7714" t="s">
        <v>2155</v>
      </c>
      <c r="C7714">
        <v>1</v>
      </c>
      <c r="D7714">
        <v>195</v>
      </c>
      <c r="E7714">
        <f>IF(OR(B7714="vi",B7714="ii",B7714="pod"),(((D7714/100)*(C7714*VLOOKUP(B7714,'Poids des runes'!A:B,2,FALSE)))+1),(((D7714/100)*(C7714*VLOOKUP(B7714,'Poids des runes'!A:B,2,FALSE)))+1)/VLOOKUP(B7714,'Poids des runes'!A:B,2,FALSE))</f>
        <v>1.969607843137255</v>
      </c>
      <c r="F7714">
        <f t="shared" si="120"/>
        <v>1.969607843137255</v>
      </c>
    </row>
    <row r="7715" spans="1:6" x14ac:dyDescent="0.3">
      <c r="A7715" t="s">
        <v>1353</v>
      </c>
      <c r="B7715" t="s">
        <v>2143</v>
      </c>
      <c r="C7715">
        <v>18</v>
      </c>
      <c r="D7715">
        <v>195</v>
      </c>
      <c r="E7715">
        <f>IF(OR(B7715="vi",B7715="ii",B7715="pod"),(((D7715/100)*(C7715*VLOOKUP(B7715,'Poids des runes'!A:B,2,FALSE)))+1),(((D7715/100)*(C7715*VLOOKUP(B7715,'Poids des runes'!A:B,2,FALSE)))+1)/VLOOKUP(B7715,'Poids des runes'!A:B,2,FALSE))</f>
        <v>35.299999999999997</v>
      </c>
      <c r="F7715">
        <f t="shared" si="120"/>
        <v>35.299999999999997</v>
      </c>
    </row>
    <row r="7716" spans="1:6" x14ac:dyDescent="0.3">
      <c r="A7716" t="s">
        <v>1353</v>
      </c>
      <c r="B7716" t="s">
        <v>2153</v>
      </c>
      <c r="C7716">
        <v>18</v>
      </c>
      <c r="D7716">
        <v>195</v>
      </c>
      <c r="E7716">
        <f>IF(OR(B7716="vi",B7716="ii",B7716="pod"),(((D7716/100)*(C7716*VLOOKUP(B7716,'Poids des runes'!A:B,2,FALSE)))+1),(((D7716/100)*(C7716*VLOOKUP(B7716,'Poids des runes'!A:B,2,FALSE)))+1)/VLOOKUP(B7716,'Poids des runes'!A:B,2,FALSE))</f>
        <v>35.299999999999997</v>
      </c>
      <c r="F7716">
        <f t="shared" si="120"/>
        <v>35.299999999999997</v>
      </c>
    </row>
    <row r="7717" spans="1:6" x14ac:dyDescent="0.3">
      <c r="A7717" t="s">
        <v>1353</v>
      </c>
      <c r="B7717" t="s">
        <v>2141</v>
      </c>
      <c r="C7717">
        <v>13</v>
      </c>
      <c r="D7717">
        <v>195</v>
      </c>
      <c r="E7717">
        <f>IF(OR(B7717="vi",B7717="ii",B7717="pod"),(((D7717/100)*(C7717*VLOOKUP(B7717,'Poids des runes'!A:B,2,FALSE)))+1),(((D7717/100)*(C7717*VLOOKUP(B7717,'Poids des runes'!A:B,2,FALSE)))+1)/VLOOKUP(B7717,'Poids des runes'!A:B,2,FALSE))</f>
        <v>25.599999999999998</v>
      </c>
      <c r="F7717">
        <f t="shared" si="120"/>
        <v>25.599999999999998</v>
      </c>
    </row>
    <row r="7718" spans="1:6" x14ac:dyDescent="0.3">
      <c r="A7718" t="s">
        <v>1353</v>
      </c>
      <c r="B7718" t="s">
        <v>2156</v>
      </c>
      <c r="C7718">
        <v>13</v>
      </c>
      <c r="D7718">
        <v>195</v>
      </c>
      <c r="E7718">
        <f>IF(OR(B7718="vi",B7718="ii",B7718="pod"),(((D7718/100)*(C7718*VLOOKUP(B7718,'Poids des runes'!A:B,2,FALSE)))+1),(((D7718/100)*(C7718*VLOOKUP(B7718,'Poids des runes'!A:B,2,FALSE)))+1)/VLOOKUP(B7718,'Poids des runes'!A:B,2,FALSE))</f>
        <v>25.516666666666666</v>
      </c>
      <c r="F7718">
        <f t="shared" si="120"/>
        <v>25.516666666666666</v>
      </c>
    </row>
    <row r="7719" spans="1:6" x14ac:dyDescent="0.3">
      <c r="A7719" t="s">
        <v>1354</v>
      </c>
      <c r="B7719" t="s">
        <v>2128</v>
      </c>
      <c r="C7719">
        <v>275.5</v>
      </c>
      <c r="D7719">
        <v>195</v>
      </c>
      <c r="E7719">
        <f>IF(OR(B7719="vi",B7719="ii",B7719="pod"),(((D7719/100)*(C7719*VLOOKUP(B7719,'Poids des runes'!A:B,2,FALSE)))+1),(((D7719/100)*(C7719*VLOOKUP(B7719,'Poids des runes'!A:B,2,FALSE)))+1)/VLOOKUP(B7719,'Poids des runes'!A:B,2,FALSE))</f>
        <v>108.44500000000001</v>
      </c>
      <c r="F7719">
        <f t="shared" si="120"/>
        <v>108.44500000000001</v>
      </c>
    </row>
    <row r="7720" spans="1:6" x14ac:dyDescent="0.3">
      <c r="A7720" t="s">
        <v>1354</v>
      </c>
      <c r="B7720" t="s">
        <v>2130</v>
      </c>
      <c r="C7720">
        <v>60.5</v>
      </c>
      <c r="D7720">
        <v>195</v>
      </c>
      <c r="E7720">
        <f>IF(OR(B7720="vi",B7720="ii",B7720="pod"),(((D7720/100)*(C7720*VLOOKUP(B7720,'Poids des runes'!A:B,2,FALSE)))+1),(((D7720/100)*(C7720*VLOOKUP(B7720,'Poids des runes'!A:B,2,FALSE)))+1)/VLOOKUP(B7720,'Poids des runes'!A:B,2,FALSE))</f>
        <v>118.97499999999999</v>
      </c>
      <c r="F7720">
        <f t="shared" si="120"/>
        <v>118.97499999999999</v>
      </c>
    </row>
    <row r="7721" spans="1:6" x14ac:dyDescent="0.3">
      <c r="A7721" t="s">
        <v>1354</v>
      </c>
      <c r="B7721" t="s">
        <v>2129</v>
      </c>
      <c r="C7721">
        <v>35.5</v>
      </c>
      <c r="D7721">
        <v>195</v>
      </c>
      <c r="E7721">
        <f>IF(OR(B7721="vi",B7721="ii",B7721="pod"),(((D7721/100)*(C7721*VLOOKUP(B7721,'Poids des runes'!A:B,2,FALSE)))+1),(((D7721/100)*(C7721*VLOOKUP(B7721,'Poids des runes'!A:B,2,FALSE)))+1)/VLOOKUP(B7721,'Poids des runes'!A:B,2,FALSE))</f>
        <v>70.224999999999994</v>
      </c>
      <c r="F7721">
        <f t="shared" si="120"/>
        <v>70.224999999999994</v>
      </c>
    </row>
    <row r="7722" spans="1:6" x14ac:dyDescent="0.3">
      <c r="A7722" t="s">
        <v>1354</v>
      </c>
      <c r="B7722" t="s">
        <v>2151</v>
      </c>
      <c r="C7722">
        <v>3.5</v>
      </c>
      <c r="D7722">
        <v>195</v>
      </c>
      <c r="E7722">
        <f>IF(OR(B7722="vi",B7722="ii",B7722="pod"),(((D7722/100)*(C7722*VLOOKUP(B7722,'Poids des runes'!A:B,2,FALSE)))+1),(((D7722/100)*(C7722*VLOOKUP(B7722,'Poids des runes'!A:B,2,FALSE)))+1)/VLOOKUP(B7722,'Poids des runes'!A:B,2,FALSE))</f>
        <v>6.9249999999999998</v>
      </c>
      <c r="F7722">
        <f t="shared" si="120"/>
        <v>6.9249999999999998</v>
      </c>
    </row>
    <row r="7723" spans="1:6" x14ac:dyDescent="0.3">
      <c r="A7723" t="s">
        <v>1354</v>
      </c>
      <c r="B7723" t="s">
        <v>2143</v>
      </c>
      <c r="C7723">
        <v>14</v>
      </c>
      <c r="D7723">
        <v>195</v>
      </c>
      <c r="E7723">
        <f>IF(OR(B7723="vi",B7723="ii",B7723="pod"),(((D7723/100)*(C7723*VLOOKUP(B7723,'Poids des runes'!A:B,2,FALSE)))+1),(((D7723/100)*(C7723*VLOOKUP(B7723,'Poids des runes'!A:B,2,FALSE)))+1)/VLOOKUP(B7723,'Poids des runes'!A:B,2,FALSE))</f>
        <v>27.5</v>
      </c>
      <c r="F7723">
        <f t="shared" si="120"/>
        <v>27.5</v>
      </c>
    </row>
    <row r="7724" spans="1:6" x14ac:dyDescent="0.3">
      <c r="A7724" t="s">
        <v>1354</v>
      </c>
      <c r="B7724" t="s">
        <v>2161</v>
      </c>
      <c r="C7724">
        <v>8.5</v>
      </c>
      <c r="D7724">
        <v>195</v>
      </c>
      <c r="E7724">
        <f>IF(OR(B7724="vi",B7724="ii",B7724="pod"),(((D7724/100)*(C7724*VLOOKUP(B7724,'Poids des runes'!A:B,2,FALSE)))+1),(((D7724/100)*(C7724*VLOOKUP(B7724,'Poids des runes'!A:B,2,FALSE)))+1)/VLOOKUP(B7724,'Poids des runes'!A:B,2,FALSE))</f>
        <v>16.908333333333335</v>
      </c>
      <c r="F7724">
        <f t="shared" si="120"/>
        <v>16.908333333333335</v>
      </c>
    </row>
    <row r="7725" spans="1:6" x14ac:dyDescent="0.3">
      <c r="A7725" t="s">
        <v>1354</v>
      </c>
      <c r="B7725" t="s">
        <v>2138</v>
      </c>
      <c r="C7725">
        <v>8.5</v>
      </c>
      <c r="D7725">
        <v>195</v>
      </c>
      <c r="E7725">
        <f>IF(OR(B7725="vi",B7725="ii",B7725="pod"),(((D7725/100)*(C7725*VLOOKUP(B7725,'Poids des runes'!A:B,2,FALSE)))+1),(((D7725/100)*(C7725*VLOOKUP(B7725,'Poids des runes'!A:B,2,FALSE)))+1)/VLOOKUP(B7725,'Poids des runes'!A:B,2,FALSE))</f>
        <v>16.824999999999999</v>
      </c>
      <c r="F7725">
        <f t="shared" si="120"/>
        <v>16.824999999999999</v>
      </c>
    </row>
    <row r="7726" spans="1:6" x14ac:dyDescent="0.3">
      <c r="A7726" t="s">
        <v>1354</v>
      </c>
      <c r="B7726" t="s">
        <v>2158</v>
      </c>
      <c r="C7726">
        <v>8.5</v>
      </c>
      <c r="D7726">
        <v>195</v>
      </c>
      <c r="E7726">
        <f>IF(OR(B7726="vi",B7726="ii",B7726="pod"),(((D7726/100)*(C7726*VLOOKUP(B7726,'Poids des runes'!A:B,2,FALSE)))+1),(((D7726/100)*(C7726*VLOOKUP(B7726,'Poids des runes'!A:B,2,FALSE)))+1)/VLOOKUP(B7726,'Poids des runes'!A:B,2,FALSE))</f>
        <v>16.774999999999999</v>
      </c>
      <c r="F7726">
        <f t="shared" si="120"/>
        <v>16.774999999999999</v>
      </c>
    </row>
    <row r="7727" spans="1:6" x14ac:dyDescent="0.3">
      <c r="A7727" t="s">
        <v>1354</v>
      </c>
      <c r="B7727" t="s">
        <v>2157</v>
      </c>
      <c r="C7727">
        <v>8.5</v>
      </c>
      <c r="D7727">
        <v>195</v>
      </c>
      <c r="E7727">
        <f>IF(OR(B7727="vi",B7727="ii",B7727="pod"),(((D7727/100)*(C7727*VLOOKUP(B7727,'Poids des runes'!A:B,2,FALSE)))+1),(((D7727/100)*(C7727*VLOOKUP(B7727,'Poids des runes'!A:B,2,FALSE)))+1)/VLOOKUP(B7727,'Poids des runes'!A:B,2,FALSE))</f>
        <v>16.741666666666667</v>
      </c>
      <c r="F7727">
        <f t="shared" si="120"/>
        <v>16.741666666666667</v>
      </c>
    </row>
    <row r="7728" spans="1:6" x14ac:dyDescent="0.3">
      <c r="A7728" t="s">
        <v>1354</v>
      </c>
      <c r="B7728" t="s">
        <v>2137</v>
      </c>
      <c r="C7728">
        <v>13</v>
      </c>
      <c r="D7728">
        <v>195</v>
      </c>
      <c r="E7728">
        <f>IF(OR(B7728="vi",B7728="ii",B7728="pod"),(((D7728/100)*(C7728*VLOOKUP(B7728,'Poids des runes'!A:B,2,FALSE)))+1),(((D7728/100)*(C7728*VLOOKUP(B7728,'Poids des runes'!A:B,2,FALSE)))+1)/VLOOKUP(B7728,'Poids des runes'!A:B,2,FALSE))</f>
        <v>25.849999999999998</v>
      </c>
      <c r="F7728">
        <f t="shared" si="120"/>
        <v>25.849999999999998</v>
      </c>
    </row>
    <row r="7729" spans="1:6" x14ac:dyDescent="0.3">
      <c r="A7729" t="s">
        <v>1354</v>
      </c>
      <c r="B7729" t="s">
        <v>2146</v>
      </c>
      <c r="C7729">
        <v>13</v>
      </c>
      <c r="D7729">
        <v>195</v>
      </c>
      <c r="E7729">
        <f>IF(OR(B7729="vi",B7729="ii",B7729="pod"),(((D7729/100)*(C7729*VLOOKUP(B7729,'Poids des runes'!A:B,2,FALSE)))+1),(((D7729/100)*(C7729*VLOOKUP(B7729,'Poids des runes'!A:B,2,FALSE)))+1)/VLOOKUP(B7729,'Poids des runes'!A:B,2,FALSE))</f>
        <v>25.849999999999998</v>
      </c>
      <c r="F7729">
        <f t="shared" si="120"/>
        <v>25.849999999999998</v>
      </c>
    </row>
    <row r="7730" spans="1:6" x14ac:dyDescent="0.3">
      <c r="A7730" t="s">
        <v>1355</v>
      </c>
      <c r="B7730" t="s">
        <v>2128</v>
      </c>
      <c r="C7730">
        <v>275.5</v>
      </c>
      <c r="D7730">
        <v>195</v>
      </c>
      <c r="E7730">
        <f>IF(OR(B7730="vi",B7730="ii",B7730="pod"),(((D7730/100)*(C7730*VLOOKUP(B7730,'Poids des runes'!A:B,2,FALSE)))+1),(((D7730/100)*(C7730*VLOOKUP(B7730,'Poids des runes'!A:B,2,FALSE)))+1)/VLOOKUP(B7730,'Poids des runes'!A:B,2,FALSE))</f>
        <v>108.44500000000001</v>
      </c>
      <c r="F7730">
        <f t="shared" si="120"/>
        <v>108.44500000000001</v>
      </c>
    </row>
    <row r="7731" spans="1:6" x14ac:dyDescent="0.3">
      <c r="A7731" t="s">
        <v>1355</v>
      </c>
      <c r="B7731" t="s">
        <v>2130</v>
      </c>
      <c r="C7731">
        <v>25.5</v>
      </c>
      <c r="D7731">
        <v>195</v>
      </c>
      <c r="E7731">
        <f>IF(OR(B7731="vi",B7731="ii",B7731="pod"),(((D7731/100)*(C7731*VLOOKUP(B7731,'Poids des runes'!A:B,2,FALSE)))+1),(((D7731/100)*(C7731*VLOOKUP(B7731,'Poids des runes'!A:B,2,FALSE)))+1)/VLOOKUP(B7731,'Poids des runes'!A:B,2,FALSE))</f>
        <v>50.725000000000001</v>
      </c>
      <c r="F7731">
        <f t="shared" si="120"/>
        <v>50.725000000000001</v>
      </c>
    </row>
    <row r="7732" spans="1:6" x14ac:dyDescent="0.3">
      <c r="A7732" t="s">
        <v>1355</v>
      </c>
      <c r="B7732" t="s">
        <v>2126</v>
      </c>
      <c r="C7732">
        <v>25.5</v>
      </c>
      <c r="D7732">
        <v>195</v>
      </c>
      <c r="E7732">
        <f>IF(OR(B7732="vi",B7732="ii",B7732="pod"),(((D7732/100)*(C7732*VLOOKUP(B7732,'Poids des runes'!A:B,2,FALSE)))+1),(((D7732/100)*(C7732*VLOOKUP(B7732,'Poids des runes'!A:B,2,FALSE)))+1)/VLOOKUP(B7732,'Poids des runes'!A:B,2,FALSE))</f>
        <v>50.725000000000001</v>
      </c>
      <c r="F7732">
        <f t="shared" si="120"/>
        <v>50.725000000000001</v>
      </c>
    </row>
    <row r="7733" spans="1:6" x14ac:dyDescent="0.3">
      <c r="A7733" t="s">
        <v>1355</v>
      </c>
      <c r="B7733" t="s">
        <v>2129</v>
      </c>
      <c r="C7733">
        <v>25.5</v>
      </c>
      <c r="D7733">
        <v>195</v>
      </c>
      <c r="E7733">
        <f>IF(OR(B7733="vi",B7733="ii",B7733="pod"),(((D7733/100)*(C7733*VLOOKUP(B7733,'Poids des runes'!A:B,2,FALSE)))+1),(((D7733/100)*(C7733*VLOOKUP(B7733,'Poids des runes'!A:B,2,FALSE)))+1)/VLOOKUP(B7733,'Poids des runes'!A:B,2,FALSE))</f>
        <v>50.725000000000001</v>
      </c>
      <c r="F7733">
        <f t="shared" si="120"/>
        <v>50.725000000000001</v>
      </c>
    </row>
    <row r="7734" spans="1:6" x14ac:dyDescent="0.3">
      <c r="A7734" t="s">
        <v>1355</v>
      </c>
      <c r="B7734" t="s">
        <v>2151</v>
      </c>
      <c r="C7734">
        <v>2.5</v>
      </c>
      <c r="D7734">
        <v>195</v>
      </c>
      <c r="E7734">
        <f>IF(OR(B7734="vi",B7734="ii",B7734="pod"),(((D7734/100)*(C7734*VLOOKUP(B7734,'Poids des runes'!A:B,2,FALSE)))+1),(((D7734/100)*(C7734*VLOOKUP(B7734,'Poids des runes'!A:B,2,FALSE)))+1)/VLOOKUP(B7734,'Poids des runes'!A:B,2,FALSE))</f>
        <v>4.9749999999999996</v>
      </c>
      <c r="F7734">
        <f t="shared" si="120"/>
        <v>4.9749999999999996</v>
      </c>
    </row>
    <row r="7735" spans="1:6" x14ac:dyDescent="0.3">
      <c r="A7735" t="s">
        <v>1355</v>
      </c>
      <c r="B7735" t="s">
        <v>2155</v>
      </c>
      <c r="C7735">
        <v>1</v>
      </c>
      <c r="D7735">
        <v>195</v>
      </c>
      <c r="E7735">
        <f>IF(OR(B7735="vi",B7735="ii",B7735="pod"),(((D7735/100)*(C7735*VLOOKUP(B7735,'Poids des runes'!A:B,2,FALSE)))+1),(((D7735/100)*(C7735*VLOOKUP(B7735,'Poids des runes'!A:B,2,FALSE)))+1)/VLOOKUP(B7735,'Poids des runes'!A:B,2,FALSE))</f>
        <v>1.969607843137255</v>
      </c>
      <c r="F7735">
        <f t="shared" si="120"/>
        <v>1.969607843137255</v>
      </c>
    </row>
    <row r="7736" spans="1:6" x14ac:dyDescent="0.3">
      <c r="A7736" t="s">
        <v>1355</v>
      </c>
      <c r="B7736" t="s">
        <v>2150</v>
      </c>
      <c r="C7736">
        <v>1</v>
      </c>
      <c r="D7736">
        <v>195</v>
      </c>
      <c r="E7736">
        <f>IF(OR(B7736="vi",B7736="ii",B7736="pod"),(((D7736/100)*(C7736*VLOOKUP(B7736,'Poids des runes'!A:B,2,FALSE)))+1),(((D7736/100)*(C7736*VLOOKUP(B7736,'Poids des runes'!A:B,2,FALSE)))+1)/VLOOKUP(B7736,'Poids des runes'!A:B,2,FALSE))</f>
        <v>1.9833333333333334</v>
      </c>
      <c r="F7736">
        <f t="shared" si="120"/>
        <v>1.9833333333333334</v>
      </c>
    </row>
    <row r="7737" spans="1:6" x14ac:dyDescent="0.3">
      <c r="A7737" t="s">
        <v>1355</v>
      </c>
      <c r="B7737" t="s">
        <v>2143</v>
      </c>
      <c r="C7737">
        <v>18</v>
      </c>
      <c r="D7737">
        <v>195</v>
      </c>
      <c r="E7737">
        <f>IF(OR(B7737="vi",B7737="ii",B7737="pod"),(((D7737/100)*(C7737*VLOOKUP(B7737,'Poids des runes'!A:B,2,FALSE)))+1),(((D7737/100)*(C7737*VLOOKUP(B7737,'Poids des runes'!A:B,2,FALSE)))+1)/VLOOKUP(B7737,'Poids des runes'!A:B,2,FALSE))</f>
        <v>35.299999999999997</v>
      </c>
      <c r="F7737">
        <f t="shared" si="120"/>
        <v>35.299999999999997</v>
      </c>
    </row>
    <row r="7738" spans="1:6" x14ac:dyDescent="0.3">
      <c r="A7738" t="s">
        <v>1355</v>
      </c>
      <c r="B7738" t="s">
        <v>2140</v>
      </c>
      <c r="C7738">
        <v>18</v>
      </c>
      <c r="D7738">
        <v>195</v>
      </c>
      <c r="E7738">
        <f>IF(OR(B7738="vi",B7738="ii",B7738="pod"),(((D7738/100)*(C7738*VLOOKUP(B7738,'Poids des runes'!A:B,2,FALSE)))+1),(((D7738/100)*(C7738*VLOOKUP(B7738,'Poids des runes'!A:B,2,FALSE)))+1)/VLOOKUP(B7738,'Poids des runes'!A:B,2,FALSE))</f>
        <v>35.299999999999997</v>
      </c>
      <c r="F7738">
        <f t="shared" si="120"/>
        <v>35.299999999999997</v>
      </c>
    </row>
    <row r="7739" spans="1:6" x14ac:dyDescent="0.3">
      <c r="A7739" t="s">
        <v>1355</v>
      </c>
      <c r="B7739" t="s">
        <v>2161</v>
      </c>
      <c r="C7739">
        <v>13</v>
      </c>
      <c r="D7739">
        <v>195</v>
      </c>
      <c r="E7739">
        <f>IF(OR(B7739="vi",B7739="ii",B7739="pod"),(((D7739/100)*(C7739*VLOOKUP(B7739,'Poids des runes'!A:B,2,FALSE)))+1),(((D7739/100)*(C7739*VLOOKUP(B7739,'Poids des runes'!A:B,2,FALSE)))+1)/VLOOKUP(B7739,'Poids des runes'!A:B,2,FALSE))</f>
        <v>25.683333333333334</v>
      </c>
      <c r="F7739">
        <f t="shared" si="120"/>
        <v>25.683333333333334</v>
      </c>
    </row>
    <row r="7740" spans="1:6" x14ac:dyDescent="0.3">
      <c r="A7740" t="s">
        <v>1355</v>
      </c>
      <c r="B7740" t="s">
        <v>2148</v>
      </c>
      <c r="C7740">
        <v>5</v>
      </c>
      <c r="D7740">
        <v>195</v>
      </c>
      <c r="E7740">
        <f>IF(OR(B7740="vi",B7740="ii",B7740="pod"),(((D7740/100)*(C7740*VLOOKUP(B7740,'Poids des runes'!A:B,2,FALSE)))+1),(((D7740/100)*(C7740*VLOOKUP(B7740,'Poids des runes'!A:B,2,FALSE)))+1)/VLOOKUP(B7740,'Poids des runes'!A:B,2,FALSE))</f>
        <v>9.9166666666666661</v>
      </c>
      <c r="F7740">
        <f t="shared" si="120"/>
        <v>9.9166666666666661</v>
      </c>
    </row>
    <row r="7741" spans="1:6" x14ac:dyDescent="0.3">
      <c r="A7741" t="s">
        <v>1355</v>
      </c>
      <c r="B7741" t="s">
        <v>2157</v>
      </c>
      <c r="C7741">
        <v>5</v>
      </c>
      <c r="D7741">
        <v>195</v>
      </c>
      <c r="E7741">
        <f>IF(OR(B7741="vi",B7741="ii",B7741="pod"),(((D7741/100)*(C7741*VLOOKUP(B7741,'Poids des runes'!A:B,2,FALSE)))+1),(((D7741/100)*(C7741*VLOOKUP(B7741,'Poids des runes'!A:B,2,FALSE)))+1)/VLOOKUP(B7741,'Poids des runes'!A:B,2,FALSE))</f>
        <v>9.9166666666666661</v>
      </c>
      <c r="F7741">
        <f t="shared" si="120"/>
        <v>9.9166666666666661</v>
      </c>
    </row>
    <row r="7742" spans="1:6" x14ac:dyDescent="0.3">
      <c r="A7742" t="s">
        <v>1355</v>
      </c>
      <c r="B7742" t="s">
        <v>2145</v>
      </c>
      <c r="C7742">
        <v>8.5</v>
      </c>
      <c r="D7742">
        <v>195</v>
      </c>
      <c r="E7742">
        <f>IF(OR(B7742="vi",B7742="ii",B7742="pod"),(((D7742/100)*(C7742*VLOOKUP(B7742,'Poids des runes'!A:B,2,FALSE)))+1),(((D7742/100)*(C7742*VLOOKUP(B7742,'Poids des runes'!A:B,2,FALSE)))+1)/VLOOKUP(B7742,'Poids des runes'!A:B,2,FALSE))</f>
        <v>17.074999999999999</v>
      </c>
      <c r="F7742">
        <f t="shared" si="120"/>
        <v>17.074999999999999</v>
      </c>
    </row>
    <row r="7743" spans="1:6" x14ac:dyDescent="0.3">
      <c r="A7743" t="s">
        <v>1356</v>
      </c>
      <c r="B7743" t="s">
        <v>2128</v>
      </c>
      <c r="C7743">
        <v>275.5</v>
      </c>
      <c r="D7743">
        <v>195</v>
      </c>
      <c r="E7743">
        <f>IF(OR(B7743="vi",B7743="ii",B7743="pod"),(((D7743/100)*(C7743*VLOOKUP(B7743,'Poids des runes'!A:B,2,FALSE)))+1),(((D7743/100)*(C7743*VLOOKUP(B7743,'Poids des runes'!A:B,2,FALSE)))+1)/VLOOKUP(B7743,'Poids des runes'!A:B,2,FALSE))</f>
        <v>108.44500000000001</v>
      </c>
      <c r="F7743">
        <f t="shared" si="120"/>
        <v>108.44500000000001</v>
      </c>
    </row>
    <row r="7744" spans="1:6" x14ac:dyDescent="0.3">
      <c r="A7744" t="s">
        <v>1356</v>
      </c>
      <c r="B7744" t="s">
        <v>2126</v>
      </c>
      <c r="C7744">
        <v>40.5</v>
      </c>
      <c r="D7744">
        <v>195</v>
      </c>
      <c r="E7744">
        <f>IF(OR(B7744="vi",B7744="ii",B7744="pod"),(((D7744/100)*(C7744*VLOOKUP(B7744,'Poids des runes'!A:B,2,FALSE)))+1),(((D7744/100)*(C7744*VLOOKUP(B7744,'Poids des runes'!A:B,2,FALSE)))+1)/VLOOKUP(B7744,'Poids des runes'!A:B,2,FALSE))</f>
        <v>79.974999999999994</v>
      </c>
      <c r="F7744">
        <f t="shared" si="120"/>
        <v>79.974999999999994</v>
      </c>
    </row>
    <row r="7745" spans="1:6" x14ac:dyDescent="0.3">
      <c r="A7745" t="s">
        <v>1356</v>
      </c>
      <c r="B7745" t="s">
        <v>2127</v>
      </c>
      <c r="C7745">
        <v>40.5</v>
      </c>
      <c r="D7745">
        <v>195</v>
      </c>
      <c r="E7745">
        <f>IF(OR(B7745="vi",B7745="ii",B7745="pod"),(((D7745/100)*(C7745*VLOOKUP(B7745,'Poids des runes'!A:B,2,FALSE)))+1),(((D7745/100)*(C7745*VLOOKUP(B7745,'Poids des runes'!A:B,2,FALSE)))+1)/VLOOKUP(B7745,'Poids des runes'!A:B,2,FALSE))</f>
        <v>79.974999999999994</v>
      </c>
      <c r="F7745">
        <f t="shared" si="120"/>
        <v>79.974999999999994</v>
      </c>
    </row>
    <row r="7746" spans="1:6" x14ac:dyDescent="0.3">
      <c r="A7746" t="s">
        <v>1356</v>
      </c>
      <c r="B7746" t="s">
        <v>2129</v>
      </c>
      <c r="C7746">
        <v>25.5</v>
      </c>
      <c r="D7746">
        <v>195</v>
      </c>
      <c r="E7746">
        <f>IF(OR(B7746="vi",B7746="ii",B7746="pod"),(((D7746/100)*(C7746*VLOOKUP(B7746,'Poids des runes'!A:B,2,FALSE)))+1),(((D7746/100)*(C7746*VLOOKUP(B7746,'Poids des runes'!A:B,2,FALSE)))+1)/VLOOKUP(B7746,'Poids des runes'!A:B,2,FALSE))</f>
        <v>50.725000000000001</v>
      </c>
      <c r="F7746">
        <f t="shared" si="120"/>
        <v>50.725000000000001</v>
      </c>
    </row>
    <row r="7747" spans="1:6" x14ac:dyDescent="0.3">
      <c r="A7747" t="s">
        <v>1356</v>
      </c>
      <c r="B7747" t="s">
        <v>2151</v>
      </c>
      <c r="C7747">
        <v>6.5</v>
      </c>
      <c r="D7747">
        <v>195</v>
      </c>
      <c r="E7747">
        <f>IF(OR(B7747="vi",B7747="ii",B7747="pod"),(((D7747/100)*(C7747*VLOOKUP(B7747,'Poids des runes'!A:B,2,FALSE)))+1),(((D7747/100)*(C7747*VLOOKUP(B7747,'Poids des runes'!A:B,2,FALSE)))+1)/VLOOKUP(B7747,'Poids des runes'!A:B,2,FALSE))</f>
        <v>12.775</v>
      </c>
      <c r="F7747">
        <f t="shared" ref="F7747:F7810" si="121">E7747</f>
        <v>12.775</v>
      </c>
    </row>
    <row r="7748" spans="1:6" x14ac:dyDescent="0.3">
      <c r="A7748" t="s">
        <v>1356</v>
      </c>
      <c r="B7748" t="s">
        <v>2150</v>
      </c>
      <c r="C7748">
        <v>1</v>
      </c>
      <c r="D7748">
        <v>195</v>
      </c>
      <c r="E7748">
        <f>IF(OR(B7748="vi",B7748="ii",B7748="pod"),(((D7748/100)*(C7748*VLOOKUP(B7748,'Poids des runes'!A:B,2,FALSE)))+1),(((D7748/100)*(C7748*VLOOKUP(B7748,'Poids des runes'!A:B,2,FALSE)))+1)/VLOOKUP(B7748,'Poids des runes'!A:B,2,FALSE))</f>
        <v>1.9833333333333334</v>
      </c>
      <c r="F7748">
        <f t="shared" si="121"/>
        <v>1.9833333333333334</v>
      </c>
    </row>
    <row r="7749" spans="1:6" x14ac:dyDescent="0.3">
      <c r="A7749" t="s">
        <v>1356</v>
      </c>
      <c r="B7749" t="s">
        <v>2140</v>
      </c>
      <c r="C7749">
        <v>8.5</v>
      </c>
      <c r="D7749">
        <v>195</v>
      </c>
      <c r="E7749">
        <f>IF(OR(B7749="vi",B7749="ii",B7749="pod"),(((D7749/100)*(C7749*VLOOKUP(B7749,'Poids des runes'!A:B,2,FALSE)))+1),(((D7749/100)*(C7749*VLOOKUP(B7749,'Poids des runes'!A:B,2,FALSE)))+1)/VLOOKUP(B7749,'Poids des runes'!A:B,2,FALSE))</f>
        <v>16.774999999999999</v>
      </c>
      <c r="F7749">
        <f t="shared" si="121"/>
        <v>16.774999999999999</v>
      </c>
    </row>
    <row r="7750" spans="1:6" x14ac:dyDescent="0.3">
      <c r="A7750" t="s">
        <v>1356</v>
      </c>
      <c r="B7750" t="s">
        <v>2153</v>
      </c>
      <c r="C7750">
        <v>8.5</v>
      </c>
      <c r="D7750">
        <v>195</v>
      </c>
      <c r="E7750">
        <f>IF(OR(B7750="vi",B7750="ii",B7750="pod"),(((D7750/100)*(C7750*VLOOKUP(B7750,'Poids des runes'!A:B,2,FALSE)))+1),(((D7750/100)*(C7750*VLOOKUP(B7750,'Poids des runes'!A:B,2,FALSE)))+1)/VLOOKUP(B7750,'Poids des runes'!A:B,2,FALSE))</f>
        <v>16.774999999999999</v>
      </c>
      <c r="F7750">
        <f t="shared" si="121"/>
        <v>16.774999999999999</v>
      </c>
    </row>
    <row r="7751" spans="1:6" x14ac:dyDescent="0.3">
      <c r="A7751" t="s">
        <v>1356</v>
      </c>
      <c r="B7751" t="s">
        <v>2149</v>
      </c>
      <c r="C7751">
        <v>10.5</v>
      </c>
      <c r="D7751">
        <v>195</v>
      </c>
      <c r="E7751">
        <f>IF(OR(B7751="vi",B7751="ii",B7751="pod"),(((D7751/100)*(C7751*VLOOKUP(B7751,'Poids des runes'!A:B,2,FALSE)))+1),(((D7751/100)*(C7751*VLOOKUP(B7751,'Poids des runes'!A:B,2,FALSE)))+1)/VLOOKUP(B7751,'Poids des runes'!A:B,2,FALSE))</f>
        <v>20.574999999999999</v>
      </c>
      <c r="F7751">
        <f t="shared" si="121"/>
        <v>20.574999999999999</v>
      </c>
    </row>
    <row r="7752" spans="1:6" x14ac:dyDescent="0.3">
      <c r="A7752" t="s">
        <v>1356</v>
      </c>
      <c r="B7752" t="s">
        <v>2161</v>
      </c>
      <c r="C7752">
        <v>10.5</v>
      </c>
      <c r="D7752">
        <v>195</v>
      </c>
      <c r="E7752">
        <f>IF(OR(B7752="vi",B7752="ii",B7752="pod"),(((D7752/100)*(C7752*VLOOKUP(B7752,'Poids des runes'!A:B,2,FALSE)))+1),(((D7752/100)*(C7752*VLOOKUP(B7752,'Poids des runes'!A:B,2,FALSE)))+1)/VLOOKUP(B7752,'Poids des runes'!A:B,2,FALSE))</f>
        <v>20.808333333333334</v>
      </c>
      <c r="F7752">
        <f t="shared" si="121"/>
        <v>20.808333333333334</v>
      </c>
    </row>
    <row r="7753" spans="1:6" x14ac:dyDescent="0.3">
      <c r="A7753" t="s">
        <v>1356</v>
      </c>
      <c r="B7753" t="s">
        <v>2141</v>
      </c>
      <c r="C7753">
        <v>6.5</v>
      </c>
      <c r="D7753">
        <v>195</v>
      </c>
      <c r="E7753">
        <f>IF(OR(B7753="vi",B7753="ii",B7753="pod"),(((D7753/100)*(C7753*VLOOKUP(B7753,'Poids des runes'!A:B,2,FALSE)))+1),(((D7753/100)*(C7753*VLOOKUP(B7753,'Poids des runes'!A:B,2,FALSE)))+1)/VLOOKUP(B7753,'Poids des runes'!A:B,2,FALSE))</f>
        <v>12.924999999999999</v>
      </c>
      <c r="F7753">
        <f t="shared" si="121"/>
        <v>12.924999999999999</v>
      </c>
    </row>
    <row r="7754" spans="1:6" x14ac:dyDescent="0.3">
      <c r="A7754" t="s">
        <v>1356</v>
      </c>
      <c r="B7754" t="s">
        <v>2162</v>
      </c>
      <c r="C7754">
        <v>3.5</v>
      </c>
      <c r="D7754">
        <v>195</v>
      </c>
      <c r="E7754">
        <f>IF(OR(B7754="vi",B7754="ii",B7754="pod"),(((D7754/100)*(C7754*VLOOKUP(B7754,'Poids des runes'!A:B,2,FALSE)))+1),(((D7754/100)*(C7754*VLOOKUP(B7754,'Poids des runes'!A:B,2,FALSE)))+1)/VLOOKUP(B7754,'Poids des runes'!A:B,2,FALSE))</f>
        <v>6.9678571428571425</v>
      </c>
      <c r="F7754">
        <f t="shared" si="121"/>
        <v>6.9678571428571425</v>
      </c>
    </row>
    <row r="7755" spans="1:6" x14ac:dyDescent="0.3">
      <c r="A7755" t="s">
        <v>1356</v>
      </c>
      <c r="B7755" t="s">
        <v>2148</v>
      </c>
      <c r="C7755">
        <v>4</v>
      </c>
      <c r="D7755">
        <v>195</v>
      </c>
      <c r="E7755">
        <f>IF(OR(B7755="vi",B7755="ii",B7755="pod"),(((D7755/100)*(C7755*VLOOKUP(B7755,'Poids des runes'!A:B,2,FALSE)))+1),(((D7755/100)*(C7755*VLOOKUP(B7755,'Poids des runes'!A:B,2,FALSE)))+1)/VLOOKUP(B7755,'Poids des runes'!A:B,2,FALSE))</f>
        <v>7.9666666666666659</v>
      </c>
      <c r="F7755">
        <f t="shared" si="121"/>
        <v>7.9666666666666659</v>
      </c>
    </row>
    <row r="7756" spans="1:6" x14ac:dyDescent="0.3">
      <c r="A7756" t="s">
        <v>1356</v>
      </c>
      <c r="B7756" t="s">
        <v>2135</v>
      </c>
      <c r="C7756">
        <v>4</v>
      </c>
      <c r="D7756">
        <v>195</v>
      </c>
      <c r="E7756">
        <f>IF(OR(B7756="vi",B7756="ii",B7756="pod"),(((D7756/100)*(C7756*VLOOKUP(B7756,'Poids des runes'!A:B,2,FALSE)))+1),(((D7756/100)*(C7756*VLOOKUP(B7756,'Poids des runes'!A:B,2,FALSE)))+1)/VLOOKUP(B7756,'Poids des runes'!A:B,2,FALSE))</f>
        <v>7.9666666666666659</v>
      </c>
      <c r="F7756">
        <f t="shared" si="121"/>
        <v>7.9666666666666659</v>
      </c>
    </row>
    <row r="7757" spans="1:6" x14ac:dyDescent="0.3">
      <c r="A7757" t="s">
        <v>1357</v>
      </c>
      <c r="B7757" t="s">
        <v>2128</v>
      </c>
      <c r="C7757">
        <v>350.5</v>
      </c>
      <c r="D7757">
        <v>196</v>
      </c>
      <c r="E7757">
        <f>IF(OR(B7757="vi",B7757="ii",B7757="pod"),(((D7757/100)*(C7757*VLOOKUP(B7757,'Poids des runes'!A:B,2,FALSE)))+1),(((D7757/100)*(C7757*VLOOKUP(B7757,'Poids des runes'!A:B,2,FALSE)))+1)/VLOOKUP(B7757,'Poids des runes'!A:B,2,FALSE))</f>
        <v>138.39600000000002</v>
      </c>
      <c r="F7757">
        <f t="shared" si="121"/>
        <v>138.39600000000002</v>
      </c>
    </row>
    <row r="7758" spans="1:6" x14ac:dyDescent="0.3">
      <c r="A7758" t="s">
        <v>1357</v>
      </c>
      <c r="B7758" t="s">
        <v>2130</v>
      </c>
      <c r="C7758">
        <v>65.5</v>
      </c>
      <c r="D7758">
        <v>196</v>
      </c>
      <c r="E7758">
        <f>IF(OR(B7758="vi",B7758="ii",B7758="pod"),(((D7758/100)*(C7758*VLOOKUP(B7758,'Poids des runes'!A:B,2,FALSE)))+1),(((D7758/100)*(C7758*VLOOKUP(B7758,'Poids des runes'!A:B,2,FALSE)))+1)/VLOOKUP(B7758,'Poids des runes'!A:B,2,FALSE))</f>
        <v>129.38</v>
      </c>
      <c r="F7758">
        <f t="shared" si="121"/>
        <v>129.38</v>
      </c>
    </row>
    <row r="7759" spans="1:6" x14ac:dyDescent="0.3">
      <c r="A7759" t="s">
        <v>1357</v>
      </c>
      <c r="B7759" t="s">
        <v>2129</v>
      </c>
      <c r="C7759">
        <v>40.5</v>
      </c>
      <c r="D7759">
        <v>196</v>
      </c>
      <c r="E7759">
        <f>IF(OR(B7759="vi",B7759="ii",B7759="pod"),(((D7759/100)*(C7759*VLOOKUP(B7759,'Poids des runes'!A:B,2,FALSE)))+1),(((D7759/100)*(C7759*VLOOKUP(B7759,'Poids des runes'!A:B,2,FALSE)))+1)/VLOOKUP(B7759,'Poids des runes'!A:B,2,FALSE))</f>
        <v>80.38</v>
      </c>
      <c r="F7759">
        <f t="shared" si="121"/>
        <v>80.38</v>
      </c>
    </row>
    <row r="7760" spans="1:6" x14ac:dyDescent="0.3">
      <c r="A7760" t="s">
        <v>1357</v>
      </c>
      <c r="B7760" t="s">
        <v>2151</v>
      </c>
      <c r="C7760">
        <v>5.5</v>
      </c>
      <c r="D7760">
        <v>196</v>
      </c>
      <c r="E7760">
        <f>IF(OR(B7760="vi",B7760="ii",B7760="pod"),(((D7760/100)*(C7760*VLOOKUP(B7760,'Poids des runes'!A:B,2,FALSE)))+1),(((D7760/100)*(C7760*VLOOKUP(B7760,'Poids des runes'!A:B,2,FALSE)))+1)/VLOOKUP(B7760,'Poids des runes'!A:B,2,FALSE))</f>
        <v>10.879999999999999</v>
      </c>
      <c r="F7760">
        <f t="shared" si="121"/>
        <v>10.879999999999999</v>
      </c>
    </row>
    <row r="7761" spans="1:6" x14ac:dyDescent="0.3">
      <c r="A7761" t="s">
        <v>1357</v>
      </c>
      <c r="B7761" t="s">
        <v>2150</v>
      </c>
      <c r="C7761">
        <v>1</v>
      </c>
      <c r="D7761">
        <v>196</v>
      </c>
      <c r="E7761">
        <f>IF(OR(B7761="vi",B7761="ii",B7761="pod"),(((D7761/100)*(C7761*VLOOKUP(B7761,'Poids des runes'!A:B,2,FALSE)))+1),(((D7761/100)*(C7761*VLOOKUP(B7761,'Poids des runes'!A:B,2,FALSE)))+1)/VLOOKUP(B7761,'Poids des runes'!A:B,2,FALSE))</f>
        <v>1.9933333333333332</v>
      </c>
      <c r="F7761">
        <f t="shared" si="121"/>
        <v>1.9933333333333332</v>
      </c>
    </row>
    <row r="7762" spans="1:6" x14ac:dyDescent="0.3">
      <c r="A7762" t="s">
        <v>1357</v>
      </c>
      <c r="B7762" t="s">
        <v>2134</v>
      </c>
      <c r="C7762">
        <v>8</v>
      </c>
      <c r="D7762">
        <v>196</v>
      </c>
      <c r="E7762">
        <f>IF(OR(B7762="vi",B7762="ii",B7762="pod"),(((D7762/100)*(C7762*VLOOKUP(B7762,'Poids des runes'!A:B,2,FALSE)))+1),(((D7762/100)*(C7762*VLOOKUP(B7762,'Poids des runes'!A:B,2,FALSE)))+1)/VLOOKUP(B7762,'Poids des runes'!A:B,2,FALSE))</f>
        <v>15.73</v>
      </c>
      <c r="F7762">
        <f t="shared" si="121"/>
        <v>15.73</v>
      </c>
    </row>
    <row r="7763" spans="1:6" x14ac:dyDescent="0.3">
      <c r="A7763" t="s">
        <v>1357</v>
      </c>
      <c r="B7763" t="s">
        <v>2161</v>
      </c>
      <c r="C7763">
        <v>20.5</v>
      </c>
      <c r="D7763">
        <v>196</v>
      </c>
      <c r="E7763">
        <f>IF(OR(B7763="vi",B7763="ii",B7763="pod"),(((D7763/100)*(C7763*VLOOKUP(B7763,'Poids des runes'!A:B,2,FALSE)))+1),(((D7763/100)*(C7763*VLOOKUP(B7763,'Poids des runes'!A:B,2,FALSE)))+1)/VLOOKUP(B7763,'Poids des runes'!A:B,2,FALSE))</f>
        <v>40.513333333333328</v>
      </c>
      <c r="F7763">
        <f t="shared" si="121"/>
        <v>40.513333333333328</v>
      </c>
    </row>
    <row r="7764" spans="1:6" x14ac:dyDescent="0.3">
      <c r="A7764" t="s">
        <v>1357</v>
      </c>
      <c r="B7764" t="s">
        <v>2147</v>
      </c>
      <c r="C7764">
        <v>8</v>
      </c>
      <c r="D7764">
        <v>196</v>
      </c>
      <c r="E7764">
        <f>IF(OR(B7764="vi",B7764="ii",B7764="pod"),(((D7764/100)*(C7764*VLOOKUP(B7764,'Poids des runes'!A:B,2,FALSE)))+1),(((D7764/100)*(C7764*VLOOKUP(B7764,'Poids des runes'!A:B,2,FALSE)))+1)/VLOOKUP(B7764,'Poids des runes'!A:B,2,FALSE))</f>
        <v>15.846666666666666</v>
      </c>
      <c r="F7764">
        <f t="shared" si="121"/>
        <v>15.846666666666666</v>
      </c>
    </row>
    <row r="7765" spans="1:6" x14ac:dyDescent="0.3">
      <c r="A7765" t="s">
        <v>1357</v>
      </c>
      <c r="B7765" t="s">
        <v>2137</v>
      </c>
      <c r="C7765">
        <v>8</v>
      </c>
      <c r="D7765">
        <v>196</v>
      </c>
      <c r="E7765">
        <f>IF(OR(B7765="vi",B7765="ii",B7765="pod"),(((D7765/100)*(C7765*VLOOKUP(B7765,'Poids des runes'!A:B,2,FALSE)))+1),(((D7765/100)*(C7765*VLOOKUP(B7765,'Poids des runes'!A:B,2,FALSE)))+1)/VLOOKUP(B7765,'Poids des runes'!A:B,2,FALSE))</f>
        <v>16.18</v>
      </c>
      <c r="F7765">
        <f t="shared" si="121"/>
        <v>16.18</v>
      </c>
    </row>
    <row r="7766" spans="1:6" x14ac:dyDescent="0.3">
      <c r="A7766" t="s">
        <v>1357</v>
      </c>
      <c r="B7766" t="s">
        <v>2146</v>
      </c>
      <c r="C7766">
        <v>8</v>
      </c>
      <c r="D7766">
        <v>196</v>
      </c>
      <c r="E7766">
        <f>IF(OR(B7766="vi",B7766="ii",B7766="pod"),(((D7766/100)*(C7766*VLOOKUP(B7766,'Poids des runes'!A:B,2,FALSE)))+1),(((D7766/100)*(C7766*VLOOKUP(B7766,'Poids des runes'!A:B,2,FALSE)))+1)/VLOOKUP(B7766,'Poids des runes'!A:B,2,FALSE))</f>
        <v>16.18</v>
      </c>
      <c r="F7766">
        <f t="shared" si="121"/>
        <v>16.18</v>
      </c>
    </row>
    <row r="7767" spans="1:6" x14ac:dyDescent="0.3">
      <c r="A7767" t="s">
        <v>1358</v>
      </c>
      <c r="B7767" t="s">
        <v>2128</v>
      </c>
      <c r="C7767">
        <v>300.5</v>
      </c>
      <c r="D7767">
        <v>196</v>
      </c>
      <c r="E7767">
        <f>IF(OR(B7767="vi",B7767="ii",B7767="pod"),(((D7767/100)*(C7767*VLOOKUP(B7767,'Poids des runes'!A:B,2,FALSE)))+1),(((D7767/100)*(C7767*VLOOKUP(B7767,'Poids des runes'!A:B,2,FALSE)))+1)/VLOOKUP(B7767,'Poids des runes'!A:B,2,FALSE))</f>
        <v>118.79600000000001</v>
      </c>
      <c r="F7767">
        <f t="shared" si="121"/>
        <v>118.79600000000001</v>
      </c>
    </row>
    <row r="7768" spans="1:6" x14ac:dyDescent="0.3">
      <c r="A7768" t="s">
        <v>1358</v>
      </c>
      <c r="B7768" t="s">
        <v>2126</v>
      </c>
      <c r="C7768">
        <v>40.5</v>
      </c>
      <c r="D7768">
        <v>196</v>
      </c>
      <c r="E7768">
        <f>IF(OR(B7768="vi",B7768="ii",B7768="pod"),(((D7768/100)*(C7768*VLOOKUP(B7768,'Poids des runes'!A:B,2,FALSE)))+1),(((D7768/100)*(C7768*VLOOKUP(B7768,'Poids des runes'!A:B,2,FALSE)))+1)/VLOOKUP(B7768,'Poids des runes'!A:B,2,FALSE))</f>
        <v>80.38</v>
      </c>
      <c r="F7768">
        <f t="shared" si="121"/>
        <v>80.38</v>
      </c>
    </row>
    <row r="7769" spans="1:6" x14ac:dyDescent="0.3">
      <c r="A7769" t="s">
        <v>1358</v>
      </c>
      <c r="B7769" t="s">
        <v>2127</v>
      </c>
      <c r="C7769">
        <v>40.5</v>
      </c>
      <c r="D7769">
        <v>196</v>
      </c>
      <c r="E7769">
        <f>IF(OR(B7769="vi",B7769="ii",B7769="pod"),(((D7769/100)*(C7769*VLOOKUP(B7769,'Poids des runes'!A:B,2,FALSE)))+1),(((D7769/100)*(C7769*VLOOKUP(B7769,'Poids des runes'!A:B,2,FALSE)))+1)/VLOOKUP(B7769,'Poids des runes'!A:B,2,FALSE))</f>
        <v>80.38</v>
      </c>
      <c r="F7769">
        <f t="shared" si="121"/>
        <v>80.38</v>
      </c>
    </row>
    <row r="7770" spans="1:6" x14ac:dyDescent="0.3">
      <c r="A7770" t="s">
        <v>1358</v>
      </c>
      <c r="B7770" t="s">
        <v>2129</v>
      </c>
      <c r="C7770">
        <v>40.5</v>
      </c>
      <c r="D7770">
        <v>196</v>
      </c>
      <c r="E7770">
        <f>IF(OR(B7770="vi",B7770="ii",B7770="pod"),(((D7770/100)*(C7770*VLOOKUP(B7770,'Poids des runes'!A:B,2,FALSE)))+1),(((D7770/100)*(C7770*VLOOKUP(B7770,'Poids des runes'!A:B,2,FALSE)))+1)/VLOOKUP(B7770,'Poids des runes'!A:B,2,FALSE))</f>
        <v>80.38</v>
      </c>
      <c r="F7770">
        <f t="shared" si="121"/>
        <v>80.38</v>
      </c>
    </row>
    <row r="7771" spans="1:6" x14ac:dyDescent="0.3">
      <c r="A7771" t="s">
        <v>1358</v>
      </c>
      <c r="B7771" t="s">
        <v>2139</v>
      </c>
      <c r="C7771">
        <v>20.5</v>
      </c>
      <c r="D7771">
        <v>196</v>
      </c>
      <c r="E7771">
        <f>IF(OR(B7771="vi",B7771="ii",B7771="pod"),(((D7771/100)*(C7771*VLOOKUP(B7771,'Poids des runes'!A:B,2,FALSE)))+1),(((D7771/100)*(C7771*VLOOKUP(B7771,'Poids des runes'!A:B,2,FALSE)))+1)/VLOOKUP(B7771,'Poids des runes'!A:B,2,FALSE))</f>
        <v>40.68</v>
      </c>
      <c r="F7771">
        <f t="shared" si="121"/>
        <v>40.68</v>
      </c>
    </row>
    <row r="7772" spans="1:6" x14ac:dyDescent="0.3">
      <c r="A7772" t="s">
        <v>1358</v>
      </c>
      <c r="B7772" t="s">
        <v>2151</v>
      </c>
      <c r="C7772">
        <v>3.5</v>
      </c>
      <c r="D7772">
        <v>196</v>
      </c>
      <c r="E7772">
        <f>IF(OR(B7772="vi",B7772="ii",B7772="pod"),(((D7772/100)*(C7772*VLOOKUP(B7772,'Poids des runes'!A:B,2,FALSE)))+1),(((D7772/100)*(C7772*VLOOKUP(B7772,'Poids des runes'!A:B,2,FALSE)))+1)/VLOOKUP(B7772,'Poids des runes'!A:B,2,FALSE))</f>
        <v>6.9599999999999991</v>
      </c>
      <c r="F7772">
        <f t="shared" si="121"/>
        <v>6.9599999999999991</v>
      </c>
    </row>
    <row r="7773" spans="1:6" x14ac:dyDescent="0.3">
      <c r="A7773" t="s">
        <v>1358</v>
      </c>
      <c r="B7773" t="s">
        <v>2150</v>
      </c>
      <c r="C7773">
        <v>1</v>
      </c>
      <c r="D7773">
        <v>196</v>
      </c>
      <c r="E7773">
        <f>IF(OR(B7773="vi",B7773="ii",B7773="pod"),(((D7773/100)*(C7773*VLOOKUP(B7773,'Poids des runes'!A:B,2,FALSE)))+1),(((D7773/100)*(C7773*VLOOKUP(B7773,'Poids des runes'!A:B,2,FALSE)))+1)/VLOOKUP(B7773,'Poids des runes'!A:B,2,FALSE))</f>
        <v>1.9933333333333332</v>
      </c>
      <c r="F7773">
        <f t="shared" si="121"/>
        <v>1.9933333333333332</v>
      </c>
    </row>
    <row r="7774" spans="1:6" x14ac:dyDescent="0.3">
      <c r="A7774" t="s">
        <v>1358</v>
      </c>
      <c r="B7774" t="s">
        <v>2140</v>
      </c>
      <c r="C7774">
        <v>10</v>
      </c>
      <c r="D7774">
        <v>196</v>
      </c>
      <c r="E7774">
        <f>IF(OR(B7774="vi",B7774="ii",B7774="pod"),(((D7774/100)*(C7774*VLOOKUP(B7774,'Poids des runes'!A:B,2,FALSE)))+1),(((D7774/100)*(C7774*VLOOKUP(B7774,'Poids des runes'!A:B,2,FALSE)))+1)/VLOOKUP(B7774,'Poids des runes'!A:B,2,FALSE))</f>
        <v>19.8</v>
      </c>
      <c r="F7774">
        <f t="shared" si="121"/>
        <v>19.8</v>
      </c>
    </row>
    <row r="7775" spans="1:6" x14ac:dyDescent="0.3">
      <c r="A7775" t="s">
        <v>1358</v>
      </c>
      <c r="B7775" t="s">
        <v>2153</v>
      </c>
      <c r="C7775">
        <v>10</v>
      </c>
      <c r="D7775">
        <v>196</v>
      </c>
      <c r="E7775">
        <f>IF(OR(B7775="vi",B7775="ii",B7775="pod"),(((D7775/100)*(C7775*VLOOKUP(B7775,'Poids des runes'!A:B,2,FALSE)))+1),(((D7775/100)*(C7775*VLOOKUP(B7775,'Poids des runes'!A:B,2,FALSE)))+1)/VLOOKUP(B7775,'Poids des runes'!A:B,2,FALSE))</f>
        <v>19.8</v>
      </c>
      <c r="F7775">
        <f t="shared" si="121"/>
        <v>19.8</v>
      </c>
    </row>
    <row r="7776" spans="1:6" x14ac:dyDescent="0.3">
      <c r="A7776" t="s">
        <v>1358</v>
      </c>
      <c r="B7776" t="s">
        <v>2149</v>
      </c>
      <c r="C7776">
        <v>5</v>
      </c>
      <c r="D7776">
        <v>196</v>
      </c>
      <c r="E7776">
        <f>IF(OR(B7776="vi",B7776="ii",B7776="pod"),(((D7776/100)*(C7776*VLOOKUP(B7776,'Poids des runes'!A:B,2,FALSE)))+1),(((D7776/100)*(C7776*VLOOKUP(B7776,'Poids des runes'!A:B,2,FALSE)))+1)/VLOOKUP(B7776,'Poids des runes'!A:B,2,FALSE))</f>
        <v>9.9</v>
      </c>
      <c r="F7776">
        <f t="shared" si="121"/>
        <v>9.9</v>
      </c>
    </row>
    <row r="7777" spans="1:6" x14ac:dyDescent="0.3">
      <c r="A7777" t="s">
        <v>1358</v>
      </c>
      <c r="B7777" t="s">
        <v>2161</v>
      </c>
      <c r="C7777">
        <v>8.5</v>
      </c>
      <c r="D7777">
        <v>196</v>
      </c>
      <c r="E7777">
        <f>IF(OR(B7777="vi",B7777="ii",B7777="pod"),(((D7777/100)*(C7777*VLOOKUP(B7777,'Poids des runes'!A:B,2,FALSE)))+1),(((D7777/100)*(C7777*VLOOKUP(B7777,'Poids des runes'!A:B,2,FALSE)))+1)/VLOOKUP(B7777,'Poids des runes'!A:B,2,FALSE))</f>
        <v>16.993333333333332</v>
      </c>
      <c r="F7777">
        <f t="shared" si="121"/>
        <v>16.993333333333332</v>
      </c>
    </row>
    <row r="7778" spans="1:6" x14ac:dyDescent="0.3">
      <c r="A7778" t="s">
        <v>1358</v>
      </c>
      <c r="B7778" t="s">
        <v>2165</v>
      </c>
      <c r="C7778">
        <v>4.5</v>
      </c>
      <c r="D7778">
        <v>196</v>
      </c>
      <c r="E7778">
        <f>IF(OR(B7778="vi",B7778="ii",B7778="pod"),(((D7778/100)*(C7778*VLOOKUP(B7778,'Poids des runes'!A:B,2,FALSE)))+1),(((D7778/100)*(C7778*VLOOKUP(B7778,'Poids des runes'!A:B,2,FALSE)))+1)/VLOOKUP(B7778,'Poids des runes'!A:B,2,FALSE))</f>
        <v>8.9628571428571426</v>
      </c>
      <c r="F7778">
        <f t="shared" si="121"/>
        <v>8.9628571428571426</v>
      </c>
    </row>
    <row r="7779" spans="1:6" x14ac:dyDescent="0.3">
      <c r="A7779" t="s">
        <v>1358</v>
      </c>
      <c r="B7779" t="s">
        <v>2162</v>
      </c>
      <c r="C7779">
        <v>4.5</v>
      </c>
      <c r="D7779">
        <v>196</v>
      </c>
      <c r="E7779">
        <f>IF(OR(B7779="vi",B7779="ii",B7779="pod"),(((D7779/100)*(C7779*VLOOKUP(B7779,'Poids des runes'!A:B,2,FALSE)))+1),(((D7779/100)*(C7779*VLOOKUP(B7779,'Poids des runes'!A:B,2,FALSE)))+1)/VLOOKUP(B7779,'Poids des runes'!A:B,2,FALSE))</f>
        <v>8.9628571428571426</v>
      </c>
      <c r="F7779">
        <f t="shared" si="121"/>
        <v>8.9628571428571426</v>
      </c>
    </row>
    <row r="7780" spans="1:6" x14ac:dyDescent="0.3">
      <c r="A7780" t="s">
        <v>1358</v>
      </c>
      <c r="B7780" t="s">
        <v>2148</v>
      </c>
      <c r="C7780">
        <v>8.5</v>
      </c>
      <c r="D7780">
        <v>196</v>
      </c>
      <c r="E7780">
        <f>IF(OR(B7780="vi",B7780="ii",B7780="pod"),(((D7780/100)*(C7780*VLOOKUP(B7780,'Poids des runes'!A:B,2,FALSE)))+1),(((D7780/100)*(C7780*VLOOKUP(B7780,'Poids des runes'!A:B,2,FALSE)))+1)/VLOOKUP(B7780,'Poids des runes'!A:B,2,FALSE))</f>
        <v>16.826666666666664</v>
      </c>
      <c r="F7780">
        <f t="shared" si="121"/>
        <v>16.826666666666664</v>
      </c>
    </row>
    <row r="7781" spans="1:6" x14ac:dyDescent="0.3">
      <c r="A7781" t="s">
        <v>1358</v>
      </c>
      <c r="B7781" t="s">
        <v>2136</v>
      </c>
      <c r="C7781">
        <v>8.5</v>
      </c>
      <c r="D7781">
        <v>196</v>
      </c>
      <c r="E7781">
        <f>IF(OR(B7781="vi",B7781="ii",B7781="pod"),(((D7781/100)*(C7781*VLOOKUP(B7781,'Poids des runes'!A:B,2,FALSE)))+1),(((D7781/100)*(C7781*VLOOKUP(B7781,'Poids des runes'!A:B,2,FALSE)))+1)/VLOOKUP(B7781,'Poids des runes'!A:B,2,FALSE))</f>
        <v>17.16</v>
      </c>
      <c r="F7781">
        <f t="shared" si="121"/>
        <v>17.16</v>
      </c>
    </row>
    <row r="7782" spans="1:6" x14ac:dyDescent="0.3">
      <c r="A7782" t="s">
        <v>1359</v>
      </c>
      <c r="B7782" t="s">
        <v>2128</v>
      </c>
      <c r="C7782">
        <v>275.5</v>
      </c>
      <c r="D7782">
        <v>196</v>
      </c>
      <c r="E7782">
        <f>IF(OR(B7782="vi",B7782="ii",B7782="pod"),(((D7782/100)*(C7782*VLOOKUP(B7782,'Poids des runes'!A:B,2,FALSE)))+1),(((D7782/100)*(C7782*VLOOKUP(B7782,'Poids des runes'!A:B,2,FALSE)))+1)/VLOOKUP(B7782,'Poids des runes'!A:B,2,FALSE))</f>
        <v>108.996</v>
      </c>
      <c r="F7782">
        <f t="shared" si="121"/>
        <v>108.996</v>
      </c>
    </row>
    <row r="7783" spans="1:6" x14ac:dyDescent="0.3">
      <c r="A7783" t="s">
        <v>1359</v>
      </c>
      <c r="B7783" t="s">
        <v>2126</v>
      </c>
      <c r="C7783">
        <v>35.5</v>
      </c>
      <c r="D7783">
        <v>196</v>
      </c>
      <c r="E7783">
        <f>IF(OR(B7783="vi",B7783="ii",B7783="pod"),(((D7783/100)*(C7783*VLOOKUP(B7783,'Poids des runes'!A:B,2,FALSE)))+1),(((D7783/100)*(C7783*VLOOKUP(B7783,'Poids des runes'!A:B,2,FALSE)))+1)/VLOOKUP(B7783,'Poids des runes'!A:B,2,FALSE))</f>
        <v>70.58</v>
      </c>
      <c r="F7783">
        <f t="shared" si="121"/>
        <v>70.58</v>
      </c>
    </row>
    <row r="7784" spans="1:6" x14ac:dyDescent="0.3">
      <c r="A7784" t="s">
        <v>1359</v>
      </c>
      <c r="B7784" t="s">
        <v>2127</v>
      </c>
      <c r="C7784">
        <v>35.5</v>
      </c>
      <c r="D7784">
        <v>196</v>
      </c>
      <c r="E7784">
        <f>IF(OR(B7784="vi",B7784="ii",B7784="pod"),(((D7784/100)*(C7784*VLOOKUP(B7784,'Poids des runes'!A:B,2,FALSE)))+1),(((D7784/100)*(C7784*VLOOKUP(B7784,'Poids des runes'!A:B,2,FALSE)))+1)/VLOOKUP(B7784,'Poids des runes'!A:B,2,FALSE))</f>
        <v>70.58</v>
      </c>
      <c r="F7784">
        <f t="shared" si="121"/>
        <v>70.58</v>
      </c>
    </row>
    <row r="7785" spans="1:6" x14ac:dyDescent="0.3">
      <c r="A7785" t="s">
        <v>1359</v>
      </c>
      <c r="B7785" t="s">
        <v>2129</v>
      </c>
      <c r="C7785">
        <v>35.5</v>
      </c>
      <c r="D7785">
        <v>196</v>
      </c>
      <c r="E7785">
        <f>IF(OR(B7785="vi",B7785="ii",B7785="pod"),(((D7785/100)*(C7785*VLOOKUP(B7785,'Poids des runes'!A:B,2,FALSE)))+1),(((D7785/100)*(C7785*VLOOKUP(B7785,'Poids des runes'!A:B,2,FALSE)))+1)/VLOOKUP(B7785,'Poids des runes'!A:B,2,FALSE))</f>
        <v>70.58</v>
      </c>
      <c r="F7785">
        <f t="shared" si="121"/>
        <v>70.58</v>
      </c>
    </row>
    <row r="7786" spans="1:6" x14ac:dyDescent="0.3">
      <c r="A7786" t="s">
        <v>1359</v>
      </c>
      <c r="B7786" t="s">
        <v>2152</v>
      </c>
      <c r="C7786">
        <v>1</v>
      </c>
      <c r="D7786">
        <v>196</v>
      </c>
      <c r="E7786">
        <f>IF(OR(B7786="vi",B7786="ii",B7786="pod"),(((D7786/100)*(C7786*VLOOKUP(B7786,'Poids des runes'!A:B,2,FALSE)))+1),(((D7786/100)*(C7786*VLOOKUP(B7786,'Poids des runes'!A:B,2,FALSE)))+1)/VLOOKUP(B7786,'Poids des runes'!A:B,2,FALSE))</f>
        <v>1.97</v>
      </c>
      <c r="F7786">
        <f t="shared" si="121"/>
        <v>1.97</v>
      </c>
    </row>
    <row r="7787" spans="1:6" x14ac:dyDescent="0.3">
      <c r="A7787" t="s">
        <v>1359</v>
      </c>
      <c r="B7787" t="s">
        <v>2154</v>
      </c>
      <c r="C7787">
        <v>1</v>
      </c>
      <c r="D7787">
        <v>196</v>
      </c>
      <c r="E7787">
        <f>IF(OR(B7787="vi",B7787="ii",B7787="pod"),(((D7787/100)*(C7787*VLOOKUP(B7787,'Poids des runes'!A:B,2,FALSE)))+1),(((D7787/100)*(C7787*VLOOKUP(B7787,'Poids des runes'!A:B,2,FALSE)))+1)/VLOOKUP(B7787,'Poids des runes'!A:B,2,FALSE))</f>
        <v>1.9711111111111113</v>
      </c>
      <c r="F7787">
        <f t="shared" si="121"/>
        <v>1.9711111111111113</v>
      </c>
    </row>
    <row r="7788" spans="1:6" x14ac:dyDescent="0.3">
      <c r="A7788" t="s">
        <v>1359</v>
      </c>
      <c r="B7788" t="s">
        <v>2140</v>
      </c>
      <c r="C7788">
        <v>8.5</v>
      </c>
      <c r="D7788">
        <v>196</v>
      </c>
      <c r="E7788">
        <f>IF(OR(B7788="vi",B7788="ii",B7788="pod"),(((D7788/100)*(C7788*VLOOKUP(B7788,'Poids des runes'!A:B,2,FALSE)))+1),(((D7788/100)*(C7788*VLOOKUP(B7788,'Poids des runes'!A:B,2,FALSE)))+1)/VLOOKUP(B7788,'Poids des runes'!A:B,2,FALSE))</f>
        <v>16.86</v>
      </c>
      <c r="F7788">
        <f t="shared" si="121"/>
        <v>16.86</v>
      </c>
    </row>
    <row r="7789" spans="1:6" x14ac:dyDescent="0.3">
      <c r="A7789" t="s">
        <v>1359</v>
      </c>
      <c r="B7789" t="s">
        <v>2153</v>
      </c>
      <c r="C7789">
        <v>8.5</v>
      </c>
      <c r="D7789">
        <v>196</v>
      </c>
      <c r="E7789">
        <f>IF(OR(B7789="vi",B7789="ii",B7789="pod"),(((D7789/100)*(C7789*VLOOKUP(B7789,'Poids des runes'!A:B,2,FALSE)))+1),(((D7789/100)*(C7789*VLOOKUP(B7789,'Poids des runes'!A:B,2,FALSE)))+1)/VLOOKUP(B7789,'Poids des runes'!A:B,2,FALSE))</f>
        <v>16.86</v>
      </c>
      <c r="F7789">
        <f t="shared" si="121"/>
        <v>16.86</v>
      </c>
    </row>
    <row r="7790" spans="1:6" x14ac:dyDescent="0.3">
      <c r="A7790" t="s">
        <v>1359</v>
      </c>
      <c r="B7790" t="s">
        <v>2149</v>
      </c>
      <c r="C7790">
        <v>5</v>
      </c>
      <c r="D7790">
        <v>196</v>
      </c>
      <c r="E7790">
        <f>IF(OR(B7790="vi",B7790="ii",B7790="pod"),(((D7790/100)*(C7790*VLOOKUP(B7790,'Poids des runes'!A:B,2,FALSE)))+1),(((D7790/100)*(C7790*VLOOKUP(B7790,'Poids des runes'!A:B,2,FALSE)))+1)/VLOOKUP(B7790,'Poids des runes'!A:B,2,FALSE))</f>
        <v>9.9</v>
      </c>
      <c r="F7790">
        <f t="shared" si="121"/>
        <v>9.9</v>
      </c>
    </row>
    <row r="7791" spans="1:6" x14ac:dyDescent="0.3">
      <c r="A7791" t="s">
        <v>1359</v>
      </c>
      <c r="B7791" t="s">
        <v>2160</v>
      </c>
      <c r="C7791">
        <v>4.5</v>
      </c>
      <c r="D7791">
        <v>196</v>
      </c>
      <c r="E7791">
        <f>IF(OR(B7791="vi",B7791="ii",B7791="pod"),(((D7791/100)*(C7791*VLOOKUP(B7791,'Poids des runes'!A:B,2,FALSE)))+1),(((D7791/100)*(C7791*VLOOKUP(B7791,'Poids des runes'!A:B,2,FALSE)))+1)/VLOOKUP(B7791,'Poids des runes'!A:B,2,FALSE))</f>
        <v>8.9628571428571426</v>
      </c>
      <c r="F7791">
        <f t="shared" si="121"/>
        <v>8.9628571428571426</v>
      </c>
    </row>
    <row r="7792" spans="1:6" x14ac:dyDescent="0.3">
      <c r="A7792" t="s">
        <v>1359</v>
      </c>
      <c r="B7792" t="s">
        <v>2157</v>
      </c>
      <c r="C7792">
        <v>8.5</v>
      </c>
      <c r="D7792">
        <v>196</v>
      </c>
      <c r="E7792">
        <f>IF(OR(B7792="vi",B7792="ii",B7792="pod"),(((D7792/100)*(C7792*VLOOKUP(B7792,'Poids des runes'!A:B,2,FALSE)))+1),(((D7792/100)*(C7792*VLOOKUP(B7792,'Poids des runes'!A:B,2,FALSE)))+1)/VLOOKUP(B7792,'Poids des runes'!A:B,2,FALSE))</f>
        <v>16.826666666666664</v>
      </c>
      <c r="F7792">
        <f t="shared" si="121"/>
        <v>16.826666666666664</v>
      </c>
    </row>
    <row r="7793" spans="1:6" x14ac:dyDescent="0.3">
      <c r="A7793" t="s">
        <v>1360</v>
      </c>
      <c r="B7793" t="s">
        <v>2128</v>
      </c>
      <c r="C7793">
        <v>225.5</v>
      </c>
      <c r="D7793">
        <v>196</v>
      </c>
      <c r="E7793">
        <f>IF(OR(B7793="vi",B7793="ii",B7793="pod"),(((D7793/100)*(C7793*VLOOKUP(B7793,'Poids des runes'!A:B,2,FALSE)))+1),(((D7793/100)*(C7793*VLOOKUP(B7793,'Poids des runes'!A:B,2,FALSE)))+1)/VLOOKUP(B7793,'Poids des runes'!A:B,2,FALSE))</f>
        <v>89.396000000000001</v>
      </c>
      <c r="F7793">
        <f t="shared" si="121"/>
        <v>89.396000000000001</v>
      </c>
    </row>
    <row r="7794" spans="1:6" x14ac:dyDescent="0.3">
      <c r="A7794" t="s">
        <v>1360</v>
      </c>
      <c r="B7794" t="s">
        <v>2131</v>
      </c>
      <c r="C7794">
        <v>38</v>
      </c>
      <c r="D7794">
        <v>196</v>
      </c>
      <c r="E7794">
        <f>IF(OR(B7794="vi",B7794="ii",B7794="pod"),(((D7794/100)*(C7794*VLOOKUP(B7794,'Poids des runes'!A:B,2,FALSE)))+1),(((D7794/100)*(C7794*VLOOKUP(B7794,'Poids des runes'!A:B,2,FALSE)))+1)/VLOOKUP(B7794,'Poids des runes'!A:B,2,FALSE))</f>
        <v>75.48</v>
      </c>
      <c r="F7794">
        <f t="shared" si="121"/>
        <v>75.48</v>
      </c>
    </row>
    <row r="7795" spans="1:6" x14ac:dyDescent="0.3">
      <c r="A7795" t="s">
        <v>1360</v>
      </c>
      <c r="B7795" t="s">
        <v>2127</v>
      </c>
      <c r="C7795">
        <v>38</v>
      </c>
      <c r="D7795">
        <v>196</v>
      </c>
      <c r="E7795">
        <f>IF(OR(B7795="vi",B7795="ii",B7795="pod"),(((D7795/100)*(C7795*VLOOKUP(B7795,'Poids des runes'!A:B,2,FALSE)))+1),(((D7795/100)*(C7795*VLOOKUP(B7795,'Poids des runes'!A:B,2,FALSE)))+1)/VLOOKUP(B7795,'Poids des runes'!A:B,2,FALSE))</f>
        <v>75.48</v>
      </c>
      <c r="F7795">
        <f t="shared" si="121"/>
        <v>75.48</v>
      </c>
    </row>
    <row r="7796" spans="1:6" x14ac:dyDescent="0.3">
      <c r="A7796" t="s">
        <v>1360</v>
      </c>
      <c r="B7796" t="s">
        <v>2129</v>
      </c>
      <c r="C7796">
        <v>35.5</v>
      </c>
      <c r="D7796">
        <v>196</v>
      </c>
      <c r="E7796">
        <f>IF(OR(B7796="vi",B7796="ii",B7796="pod"),(((D7796/100)*(C7796*VLOOKUP(B7796,'Poids des runes'!A:B,2,FALSE)))+1),(((D7796/100)*(C7796*VLOOKUP(B7796,'Poids des runes'!A:B,2,FALSE)))+1)/VLOOKUP(B7796,'Poids des runes'!A:B,2,FALSE))</f>
        <v>70.58</v>
      </c>
      <c r="F7796">
        <f t="shared" si="121"/>
        <v>70.58</v>
      </c>
    </row>
    <row r="7797" spans="1:6" x14ac:dyDescent="0.3">
      <c r="A7797" t="s">
        <v>1360</v>
      </c>
      <c r="B7797" t="s">
        <v>2152</v>
      </c>
      <c r="C7797">
        <v>1</v>
      </c>
      <c r="D7797">
        <v>196</v>
      </c>
      <c r="E7797">
        <f>IF(OR(B7797="vi",B7797="ii",B7797="pod"),(((D7797/100)*(C7797*VLOOKUP(B7797,'Poids des runes'!A:B,2,FALSE)))+1),(((D7797/100)*(C7797*VLOOKUP(B7797,'Poids des runes'!A:B,2,FALSE)))+1)/VLOOKUP(B7797,'Poids des runes'!A:B,2,FALSE))</f>
        <v>1.97</v>
      </c>
      <c r="F7797">
        <f t="shared" si="121"/>
        <v>1.97</v>
      </c>
    </row>
    <row r="7798" spans="1:6" x14ac:dyDescent="0.3">
      <c r="A7798" t="s">
        <v>1360</v>
      </c>
      <c r="B7798" t="s">
        <v>2133</v>
      </c>
      <c r="C7798">
        <v>8.5</v>
      </c>
      <c r="D7798">
        <v>196</v>
      </c>
      <c r="E7798">
        <f>IF(OR(B7798="vi",B7798="ii",B7798="pod"),(((D7798/100)*(C7798*VLOOKUP(B7798,'Poids des runes'!A:B,2,FALSE)))+1),(((D7798/100)*(C7798*VLOOKUP(B7798,'Poids des runes'!A:B,2,FALSE)))+1)/VLOOKUP(B7798,'Poids des runes'!A:B,2,FALSE))</f>
        <v>16.86</v>
      </c>
      <c r="F7798">
        <f t="shared" si="121"/>
        <v>16.86</v>
      </c>
    </row>
    <row r="7799" spans="1:6" x14ac:dyDescent="0.3">
      <c r="A7799" t="s">
        <v>1360</v>
      </c>
      <c r="B7799" t="s">
        <v>2153</v>
      </c>
      <c r="C7799">
        <v>8.5</v>
      </c>
      <c r="D7799">
        <v>196</v>
      </c>
      <c r="E7799">
        <f>IF(OR(B7799="vi",B7799="ii",B7799="pod"),(((D7799/100)*(C7799*VLOOKUP(B7799,'Poids des runes'!A:B,2,FALSE)))+1),(((D7799/100)*(C7799*VLOOKUP(B7799,'Poids des runes'!A:B,2,FALSE)))+1)/VLOOKUP(B7799,'Poids des runes'!A:B,2,FALSE))</f>
        <v>16.86</v>
      </c>
      <c r="F7799">
        <f t="shared" si="121"/>
        <v>16.86</v>
      </c>
    </row>
    <row r="7800" spans="1:6" x14ac:dyDescent="0.3">
      <c r="A7800" t="s">
        <v>1360</v>
      </c>
      <c r="B7800" t="s">
        <v>2161</v>
      </c>
      <c r="C7800">
        <v>13</v>
      </c>
      <c r="D7800">
        <v>196</v>
      </c>
      <c r="E7800">
        <f>IF(OR(B7800="vi",B7800="ii",B7800="pod"),(((D7800/100)*(C7800*VLOOKUP(B7800,'Poids des runes'!A:B,2,FALSE)))+1),(((D7800/100)*(C7800*VLOOKUP(B7800,'Poids des runes'!A:B,2,FALSE)))+1)/VLOOKUP(B7800,'Poids des runes'!A:B,2,FALSE))</f>
        <v>25.813333333333333</v>
      </c>
      <c r="F7800">
        <f t="shared" si="121"/>
        <v>25.813333333333333</v>
      </c>
    </row>
    <row r="7801" spans="1:6" x14ac:dyDescent="0.3">
      <c r="A7801" t="s">
        <v>1360</v>
      </c>
      <c r="B7801" t="s">
        <v>2141</v>
      </c>
      <c r="C7801">
        <v>5</v>
      </c>
      <c r="D7801">
        <v>196</v>
      </c>
      <c r="E7801">
        <f>IF(OR(B7801="vi",B7801="ii",B7801="pod"),(((D7801/100)*(C7801*VLOOKUP(B7801,'Poids des runes'!A:B,2,FALSE)))+1),(((D7801/100)*(C7801*VLOOKUP(B7801,'Poids des runes'!A:B,2,FALSE)))+1)/VLOOKUP(B7801,'Poids des runes'!A:B,2,FALSE))</f>
        <v>10.050000000000001</v>
      </c>
      <c r="F7801">
        <f t="shared" si="121"/>
        <v>10.050000000000001</v>
      </c>
    </row>
    <row r="7802" spans="1:6" x14ac:dyDescent="0.3">
      <c r="A7802" t="s">
        <v>1360</v>
      </c>
      <c r="B7802" t="s">
        <v>2159</v>
      </c>
      <c r="C7802">
        <v>5</v>
      </c>
      <c r="D7802">
        <v>196</v>
      </c>
      <c r="E7802">
        <f>IF(OR(B7802="vi",B7802="ii",B7802="pod"),(((D7802/100)*(C7802*VLOOKUP(B7802,'Poids des runes'!A:B,2,FALSE)))+1),(((D7802/100)*(C7802*VLOOKUP(B7802,'Poids des runes'!A:B,2,FALSE)))+1)/VLOOKUP(B7802,'Poids des runes'!A:B,2,FALSE))</f>
        <v>9.9428571428571413</v>
      </c>
      <c r="F7802">
        <f t="shared" si="121"/>
        <v>9.9428571428571413</v>
      </c>
    </row>
    <row r="7803" spans="1:6" x14ac:dyDescent="0.3">
      <c r="A7803" t="s">
        <v>1360</v>
      </c>
      <c r="B7803" t="s">
        <v>2158</v>
      </c>
      <c r="C7803">
        <v>8.5</v>
      </c>
      <c r="D7803">
        <v>196</v>
      </c>
      <c r="E7803">
        <f>IF(OR(B7803="vi",B7803="ii",B7803="pod"),(((D7803/100)*(C7803*VLOOKUP(B7803,'Poids des runes'!A:B,2,FALSE)))+1),(((D7803/100)*(C7803*VLOOKUP(B7803,'Poids des runes'!A:B,2,FALSE)))+1)/VLOOKUP(B7803,'Poids des runes'!A:B,2,FALSE))</f>
        <v>16.86</v>
      </c>
      <c r="F7803">
        <f t="shared" si="121"/>
        <v>16.86</v>
      </c>
    </row>
    <row r="7804" spans="1:6" x14ac:dyDescent="0.3">
      <c r="A7804" t="s">
        <v>1360</v>
      </c>
      <c r="B7804" t="s">
        <v>2156</v>
      </c>
      <c r="C7804">
        <v>5</v>
      </c>
      <c r="D7804">
        <v>196</v>
      </c>
      <c r="E7804">
        <f>IF(OR(B7804="vi",B7804="ii",B7804="pod"),(((D7804/100)*(C7804*VLOOKUP(B7804,'Poids des runes'!A:B,2,FALSE)))+1),(((D7804/100)*(C7804*VLOOKUP(B7804,'Poids des runes'!A:B,2,FALSE)))+1)/VLOOKUP(B7804,'Poids des runes'!A:B,2,FALSE))</f>
        <v>9.9666666666666668</v>
      </c>
      <c r="F7804">
        <f t="shared" si="121"/>
        <v>9.9666666666666668</v>
      </c>
    </row>
    <row r="7805" spans="1:6" x14ac:dyDescent="0.3">
      <c r="A7805" t="s">
        <v>1360</v>
      </c>
      <c r="B7805" t="s">
        <v>2148</v>
      </c>
      <c r="C7805">
        <v>5</v>
      </c>
      <c r="D7805">
        <v>196</v>
      </c>
      <c r="E7805">
        <f>IF(OR(B7805="vi",B7805="ii",B7805="pod"),(((D7805/100)*(C7805*VLOOKUP(B7805,'Poids des runes'!A:B,2,FALSE)))+1),(((D7805/100)*(C7805*VLOOKUP(B7805,'Poids des runes'!A:B,2,FALSE)))+1)/VLOOKUP(B7805,'Poids des runes'!A:B,2,FALSE))</f>
        <v>9.9666666666666668</v>
      </c>
      <c r="F7805">
        <f t="shared" si="121"/>
        <v>9.9666666666666668</v>
      </c>
    </row>
    <row r="7806" spans="1:6" x14ac:dyDescent="0.3">
      <c r="A7806" t="s">
        <v>1360</v>
      </c>
      <c r="B7806" t="s">
        <v>2147</v>
      </c>
      <c r="C7806">
        <v>5</v>
      </c>
      <c r="D7806">
        <v>196</v>
      </c>
      <c r="E7806">
        <f>IF(OR(B7806="vi",B7806="ii",B7806="pod"),(((D7806/100)*(C7806*VLOOKUP(B7806,'Poids des runes'!A:B,2,FALSE)))+1),(((D7806/100)*(C7806*VLOOKUP(B7806,'Poids des runes'!A:B,2,FALSE)))+1)/VLOOKUP(B7806,'Poids des runes'!A:B,2,FALSE))</f>
        <v>9.9666666666666668</v>
      </c>
      <c r="F7806">
        <f t="shared" si="121"/>
        <v>9.9666666666666668</v>
      </c>
    </row>
    <row r="7807" spans="1:6" x14ac:dyDescent="0.3">
      <c r="A7807" t="s">
        <v>1361</v>
      </c>
      <c r="B7807" t="s">
        <v>2128</v>
      </c>
      <c r="C7807">
        <v>275.5</v>
      </c>
      <c r="D7807">
        <v>196</v>
      </c>
      <c r="E7807">
        <f>IF(OR(B7807="vi",B7807="ii",B7807="pod"),(((D7807/100)*(C7807*VLOOKUP(B7807,'Poids des runes'!A:B,2,FALSE)))+1),(((D7807/100)*(C7807*VLOOKUP(B7807,'Poids des runes'!A:B,2,FALSE)))+1)/VLOOKUP(B7807,'Poids des runes'!A:B,2,FALSE))</f>
        <v>108.996</v>
      </c>
      <c r="F7807">
        <f t="shared" si="121"/>
        <v>108.996</v>
      </c>
    </row>
    <row r="7808" spans="1:6" x14ac:dyDescent="0.3">
      <c r="A7808" t="s">
        <v>1361</v>
      </c>
      <c r="B7808" t="s">
        <v>2130</v>
      </c>
      <c r="C7808">
        <v>50.5</v>
      </c>
      <c r="D7808">
        <v>196</v>
      </c>
      <c r="E7808">
        <f>IF(OR(B7808="vi",B7808="ii",B7808="pod"),(((D7808/100)*(C7808*VLOOKUP(B7808,'Poids des runes'!A:B,2,FALSE)))+1),(((D7808/100)*(C7808*VLOOKUP(B7808,'Poids des runes'!A:B,2,FALSE)))+1)/VLOOKUP(B7808,'Poids des runes'!A:B,2,FALSE))</f>
        <v>99.98</v>
      </c>
      <c r="F7808">
        <f t="shared" si="121"/>
        <v>99.98</v>
      </c>
    </row>
    <row r="7809" spans="1:6" x14ac:dyDescent="0.3">
      <c r="A7809" t="s">
        <v>1361</v>
      </c>
      <c r="B7809" t="s">
        <v>2129</v>
      </c>
      <c r="C7809">
        <v>35.5</v>
      </c>
      <c r="D7809">
        <v>196</v>
      </c>
      <c r="E7809">
        <f>IF(OR(B7809="vi",B7809="ii",B7809="pod"),(((D7809/100)*(C7809*VLOOKUP(B7809,'Poids des runes'!A:B,2,FALSE)))+1),(((D7809/100)*(C7809*VLOOKUP(B7809,'Poids des runes'!A:B,2,FALSE)))+1)/VLOOKUP(B7809,'Poids des runes'!A:B,2,FALSE))</f>
        <v>70.58</v>
      </c>
      <c r="F7809">
        <f t="shared" si="121"/>
        <v>70.58</v>
      </c>
    </row>
    <row r="7810" spans="1:6" x14ac:dyDescent="0.3">
      <c r="A7810" t="s">
        <v>1361</v>
      </c>
      <c r="B7810" t="s">
        <v>2152</v>
      </c>
      <c r="C7810">
        <v>1</v>
      </c>
      <c r="D7810">
        <v>196</v>
      </c>
      <c r="E7810">
        <f>IF(OR(B7810="vi",B7810="ii",B7810="pod"),(((D7810/100)*(C7810*VLOOKUP(B7810,'Poids des runes'!A:B,2,FALSE)))+1),(((D7810/100)*(C7810*VLOOKUP(B7810,'Poids des runes'!A:B,2,FALSE)))+1)/VLOOKUP(B7810,'Poids des runes'!A:B,2,FALSE))</f>
        <v>1.97</v>
      </c>
      <c r="F7810">
        <f t="shared" si="121"/>
        <v>1.97</v>
      </c>
    </row>
    <row r="7811" spans="1:6" x14ac:dyDescent="0.3">
      <c r="A7811" t="s">
        <v>1361</v>
      </c>
      <c r="B7811" t="s">
        <v>2154</v>
      </c>
      <c r="C7811">
        <v>1</v>
      </c>
      <c r="D7811">
        <v>196</v>
      </c>
      <c r="E7811">
        <f>IF(OR(B7811="vi",B7811="ii",B7811="pod"),(((D7811/100)*(C7811*VLOOKUP(B7811,'Poids des runes'!A:B,2,FALSE)))+1),(((D7811/100)*(C7811*VLOOKUP(B7811,'Poids des runes'!A:B,2,FALSE)))+1)/VLOOKUP(B7811,'Poids des runes'!A:B,2,FALSE))</f>
        <v>1.9711111111111113</v>
      </c>
      <c r="F7811">
        <f t="shared" ref="F7811:F7874" si="122">E7811</f>
        <v>1.9711111111111113</v>
      </c>
    </row>
    <row r="7812" spans="1:6" x14ac:dyDescent="0.3">
      <c r="A7812" t="s">
        <v>1361</v>
      </c>
      <c r="B7812" t="s">
        <v>2143</v>
      </c>
      <c r="C7812">
        <v>10</v>
      </c>
      <c r="D7812">
        <v>196</v>
      </c>
      <c r="E7812">
        <f>IF(OR(B7812="vi",B7812="ii",B7812="pod"),(((D7812/100)*(C7812*VLOOKUP(B7812,'Poids des runes'!A:B,2,FALSE)))+1),(((D7812/100)*(C7812*VLOOKUP(B7812,'Poids des runes'!A:B,2,FALSE)))+1)/VLOOKUP(B7812,'Poids des runes'!A:B,2,FALSE))</f>
        <v>19.8</v>
      </c>
      <c r="F7812">
        <f t="shared" si="122"/>
        <v>19.8</v>
      </c>
    </row>
    <row r="7813" spans="1:6" x14ac:dyDescent="0.3">
      <c r="A7813" t="s">
        <v>1361</v>
      </c>
      <c r="B7813" t="s">
        <v>2161</v>
      </c>
      <c r="C7813">
        <v>8.5</v>
      </c>
      <c r="D7813">
        <v>196</v>
      </c>
      <c r="E7813">
        <f>IF(OR(B7813="vi",B7813="ii",B7813="pod"),(((D7813/100)*(C7813*VLOOKUP(B7813,'Poids des runes'!A:B,2,FALSE)))+1),(((D7813/100)*(C7813*VLOOKUP(B7813,'Poids des runes'!A:B,2,FALSE)))+1)/VLOOKUP(B7813,'Poids des runes'!A:B,2,FALSE))</f>
        <v>16.993333333333332</v>
      </c>
      <c r="F7813">
        <f t="shared" si="122"/>
        <v>16.993333333333332</v>
      </c>
    </row>
    <row r="7814" spans="1:6" x14ac:dyDescent="0.3">
      <c r="A7814" t="s">
        <v>1361</v>
      </c>
      <c r="B7814" t="s">
        <v>2141</v>
      </c>
      <c r="C7814">
        <v>7</v>
      </c>
      <c r="D7814">
        <v>196</v>
      </c>
      <c r="E7814">
        <f>IF(OR(B7814="vi",B7814="ii",B7814="pod"),(((D7814/100)*(C7814*VLOOKUP(B7814,'Poids des runes'!A:B,2,FALSE)))+1),(((D7814/100)*(C7814*VLOOKUP(B7814,'Poids des runes'!A:B,2,FALSE)))+1)/VLOOKUP(B7814,'Poids des runes'!A:B,2,FALSE))</f>
        <v>13.969999999999999</v>
      </c>
      <c r="F7814">
        <f t="shared" si="122"/>
        <v>13.969999999999999</v>
      </c>
    </row>
    <row r="7815" spans="1:6" x14ac:dyDescent="0.3">
      <c r="A7815" t="s">
        <v>1361</v>
      </c>
      <c r="B7815" t="s">
        <v>2135</v>
      </c>
      <c r="C7815">
        <v>7</v>
      </c>
      <c r="D7815">
        <v>196</v>
      </c>
      <c r="E7815">
        <f>IF(OR(B7815="vi",B7815="ii",B7815="pod"),(((D7815/100)*(C7815*VLOOKUP(B7815,'Poids des runes'!A:B,2,FALSE)))+1),(((D7815/100)*(C7815*VLOOKUP(B7815,'Poids des runes'!A:B,2,FALSE)))+1)/VLOOKUP(B7815,'Poids des runes'!A:B,2,FALSE))</f>
        <v>13.886666666666665</v>
      </c>
      <c r="F7815">
        <f t="shared" si="122"/>
        <v>13.886666666666665</v>
      </c>
    </row>
    <row r="7816" spans="1:6" x14ac:dyDescent="0.3">
      <c r="A7816" t="s">
        <v>1361</v>
      </c>
      <c r="B7816" t="s">
        <v>2157</v>
      </c>
      <c r="C7816">
        <v>7</v>
      </c>
      <c r="D7816">
        <v>196</v>
      </c>
      <c r="E7816">
        <f>IF(OR(B7816="vi",B7816="ii",B7816="pod"),(((D7816/100)*(C7816*VLOOKUP(B7816,'Poids des runes'!A:B,2,FALSE)))+1),(((D7816/100)*(C7816*VLOOKUP(B7816,'Poids des runes'!A:B,2,FALSE)))+1)/VLOOKUP(B7816,'Poids des runes'!A:B,2,FALSE))</f>
        <v>13.886666666666665</v>
      </c>
      <c r="F7816">
        <f t="shared" si="122"/>
        <v>13.886666666666665</v>
      </c>
    </row>
    <row r="7817" spans="1:6" x14ac:dyDescent="0.3">
      <c r="A7817" t="s">
        <v>1361</v>
      </c>
      <c r="B7817" t="s">
        <v>2137</v>
      </c>
      <c r="C7817">
        <v>10</v>
      </c>
      <c r="D7817">
        <v>196</v>
      </c>
      <c r="E7817">
        <f>IF(OR(B7817="vi",B7817="ii",B7817="pod"),(((D7817/100)*(C7817*VLOOKUP(B7817,'Poids des runes'!A:B,2,FALSE)))+1),(((D7817/100)*(C7817*VLOOKUP(B7817,'Poids des runes'!A:B,2,FALSE)))+1)/VLOOKUP(B7817,'Poids des runes'!A:B,2,FALSE))</f>
        <v>20.100000000000001</v>
      </c>
      <c r="F7817">
        <f t="shared" si="122"/>
        <v>20.100000000000001</v>
      </c>
    </row>
    <row r="7818" spans="1:6" x14ac:dyDescent="0.3">
      <c r="A7818" t="s">
        <v>1362</v>
      </c>
      <c r="B7818" t="s">
        <v>2128</v>
      </c>
      <c r="C7818">
        <v>225.5</v>
      </c>
      <c r="D7818">
        <v>196</v>
      </c>
      <c r="E7818">
        <f>IF(OR(B7818="vi",B7818="ii",B7818="pod"),(((D7818/100)*(C7818*VLOOKUP(B7818,'Poids des runes'!A:B,2,FALSE)))+1),(((D7818/100)*(C7818*VLOOKUP(B7818,'Poids des runes'!A:B,2,FALSE)))+1)/VLOOKUP(B7818,'Poids des runes'!A:B,2,FALSE))</f>
        <v>89.396000000000001</v>
      </c>
      <c r="F7818">
        <f t="shared" si="122"/>
        <v>89.396000000000001</v>
      </c>
    </row>
    <row r="7819" spans="1:6" x14ac:dyDescent="0.3">
      <c r="A7819" t="s">
        <v>1362</v>
      </c>
      <c r="B7819" t="s">
        <v>2126</v>
      </c>
      <c r="C7819">
        <v>40.5</v>
      </c>
      <c r="D7819">
        <v>196</v>
      </c>
      <c r="E7819">
        <f>IF(OR(B7819="vi",B7819="ii",B7819="pod"),(((D7819/100)*(C7819*VLOOKUP(B7819,'Poids des runes'!A:B,2,FALSE)))+1),(((D7819/100)*(C7819*VLOOKUP(B7819,'Poids des runes'!A:B,2,FALSE)))+1)/VLOOKUP(B7819,'Poids des runes'!A:B,2,FALSE))</f>
        <v>80.38</v>
      </c>
      <c r="F7819">
        <f t="shared" si="122"/>
        <v>80.38</v>
      </c>
    </row>
    <row r="7820" spans="1:6" x14ac:dyDescent="0.3">
      <c r="A7820" t="s">
        <v>1362</v>
      </c>
      <c r="B7820" t="s">
        <v>2131</v>
      </c>
      <c r="C7820">
        <v>40.5</v>
      </c>
      <c r="D7820">
        <v>196</v>
      </c>
      <c r="E7820">
        <f>IF(OR(B7820="vi",B7820="ii",B7820="pod"),(((D7820/100)*(C7820*VLOOKUP(B7820,'Poids des runes'!A:B,2,FALSE)))+1),(((D7820/100)*(C7820*VLOOKUP(B7820,'Poids des runes'!A:B,2,FALSE)))+1)/VLOOKUP(B7820,'Poids des runes'!A:B,2,FALSE))</f>
        <v>80.38</v>
      </c>
      <c r="F7820">
        <f t="shared" si="122"/>
        <v>80.38</v>
      </c>
    </row>
    <row r="7821" spans="1:6" x14ac:dyDescent="0.3">
      <c r="A7821" t="s">
        <v>1362</v>
      </c>
      <c r="B7821" t="s">
        <v>2129</v>
      </c>
      <c r="C7821">
        <v>35.5</v>
      </c>
      <c r="D7821">
        <v>196</v>
      </c>
      <c r="E7821">
        <f>IF(OR(B7821="vi",B7821="ii",B7821="pod"),(((D7821/100)*(C7821*VLOOKUP(B7821,'Poids des runes'!A:B,2,FALSE)))+1),(((D7821/100)*(C7821*VLOOKUP(B7821,'Poids des runes'!A:B,2,FALSE)))+1)/VLOOKUP(B7821,'Poids des runes'!A:B,2,FALSE))</f>
        <v>70.58</v>
      </c>
      <c r="F7821">
        <f t="shared" si="122"/>
        <v>70.58</v>
      </c>
    </row>
    <row r="7822" spans="1:6" x14ac:dyDescent="0.3">
      <c r="A7822" t="s">
        <v>1362</v>
      </c>
      <c r="B7822" t="s">
        <v>2151</v>
      </c>
      <c r="C7822">
        <v>4.5</v>
      </c>
      <c r="D7822">
        <v>196</v>
      </c>
      <c r="E7822">
        <f>IF(OR(B7822="vi",B7822="ii",B7822="pod"),(((D7822/100)*(C7822*VLOOKUP(B7822,'Poids des runes'!A:B,2,FALSE)))+1),(((D7822/100)*(C7822*VLOOKUP(B7822,'Poids des runes'!A:B,2,FALSE)))+1)/VLOOKUP(B7822,'Poids des runes'!A:B,2,FALSE))</f>
        <v>8.92</v>
      </c>
      <c r="F7822">
        <f t="shared" si="122"/>
        <v>8.92</v>
      </c>
    </row>
    <row r="7823" spans="1:6" x14ac:dyDescent="0.3">
      <c r="A7823" t="s">
        <v>1362</v>
      </c>
      <c r="B7823" t="s">
        <v>2140</v>
      </c>
      <c r="C7823">
        <v>10</v>
      </c>
      <c r="D7823">
        <v>196</v>
      </c>
      <c r="E7823">
        <f>IF(OR(B7823="vi",B7823="ii",B7823="pod"),(((D7823/100)*(C7823*VLOOKUP(B7823,'Poids des runes'!A:B,2,FALSE)))+1),(((D7823/100)*(C7823*VLOOKUP(B7823,'Poids des runes'!A:B,2,FALSE)))+1)/VLOOKUP(B7823,'Poids des runes'!A:B,2,FALSE))</f>
        <v>19.8</v>
      </c>
      <c r="F7823">
        <f t="shared" si="122"/>
        <v>19.8</v>
      </c>
    </row>
    <row r="7824" spans="1:6" x14ac:dyDescent="0.3">
      <c r="A7824" t="s">
        <v>1362</v>
      </c>
      <c r="B7824" t="s">
        <v>2133</v>
      </c>
      <c r="C7824">
        <v>10</v>
      </c>
      <c r="D7824">
        <v>196</v>
      </c>
      <c r="E7824">
        <f>IF(OR(B7824="vi",B7824="ii",B7824="pod"),(((D7824/100)*(C7824*VLOOKUP(B7824,'Poids des runes'!A:B,2,FALSE)))+1),(((D7824/100)*(C7824*VLOOKUP(B7824,'Poids des runes'!A:B,2,FALSE)))+1)/VLOOKUP(B7824,'Poids des runes'!A:B,2,FALSE))</f>
        <v>19.8</v>
      </c>
      <c r="F7824">
        <f t="shared" si="122"/>
        <v>19.8</v>
      </c>
    </row>
    <row r="7825" spans="1:6" x14ac:dyDescent="0.3">
      <c r="A7825" t="s">
        <v>1362</v>
      </c>
      <c r="B7825" t="s">
        <v>2161</v>
      </c>
      <c r="C7825">
        <v>13</v>
      </c>
      <c r="D7825">
        <v>196</v>
      </c>
      <c r="E7825">
        <f>IF(OR(B7825="vi",B7825="ii",B7825="pod"),(((D7825/100)*(C7825*VLOOKUP(B7825,'Poids des runes'!A:B,2,FALSE)))+1),(((D7825/100)*(C7825*VLOOKUP(B7825,'Poids des runes'!A:B,2,FALSE)))+1)/VLOOKUP(B7825,'Poids des runes'!A:B,2,FALSE))</f>
        <v>25.813333333333333</v>
      </c>
      <c r="F7825">
        <f t="shared" si="122"/>
        <v>25.813333333333333</v>
      </c>
    </row>
    <row r="7826" spans="1:6" x14ac:dyDescent="0.3">
      <c r="A7826" t="s">
        <v>1362</v>
      </c>
      <c r="B7826" t="s">
        <v>2163</v>
      </c>
      <c r="C7826">
        <v>13</v>
      </c>
      <c r="D7826">
        <v>196</v>
      </c>
      <c r="E7826">
        <f>IF(OR(B7826="vi",B7826="ii",B7826="pod"),(((D7826/100)*(C7826*VLOOKUP(B7826,'Poids des runes'!A:B,2,FALSE)))+1),(((D7826/100)*(C7826*VLOOKUP(B7826,'Poids des runes'!A:B,2,FALSE)))+1)/VLOOKUP(B7826,'Poids des runes'!A:B,2,FALSE))</f>
        <v>25.98</v>
      </c>
      <c r="F7826">
        <f t="shared" si="122"/>
        <v>25.98</v>
      </c>
    </row>
    <row r="7827" spans="1:6" x14ac:dyDescent="0.3">
      <c r="A7827" t="s">
        <v>1363</v>
      </c>
      <c r="B7827" t="s">
        <v>2128</v>
      </c>
      <c r="C7827">
        <v>275.5</v>
      </c>
      <c r="D7827">
        <v>196</v>
      </c>
      <c r="E7827">
        <f>IF(OR(B7827="vi",B7827="ii",B7827="pod"),(((D7827/100)*(C7827*VLOOKUP(B7827,'Poids des runes'!A:B,2,FALSE)))+1),(((D7827/100)*(C7827*VLOOKUP(B7827,'Poids des runes'!A:B,2,FALSE)))+1)/VLOOKUP(B7827,'Poids des runes'!A:B,2,FALSE))</f>
        <v>108.996</v>
      </c>
      <c r="F7827">
        <f t="shared" si="122"/>
        <v>108.996</v>
      </c>
    </row>
    <row r="7828" spans="1:6" x14ac:dyDescent="0.3">
      <c r="A7828" t="s">
        <v>1363</v>
      </c>
      <c r="B7828" t="s">
        <v>2126</v>
      </c>
      <c r="C7828">
        <v>40.5</v>
      </c>
      <c r="D7828">
        <v>196</v>
      </c>
      <c r="E7828">
        <f>IF(OR(B7828="vi",B7828="ii",B7828="pod"),(((D7828/100)*(C7828*VLOOKUP(B7828,'Poids des runes'!A:B,2,FALSE)))+1),(((D7828/100)*(C7828*VLOOKUP(B7828,'Poids des runes'!A:B,2,FALSE)))+1)/VLOOKUP(B7828,'Poids des runes'!A:B,2,FALSE))</f>
        <v>80.38</v>
      </c>
      <c r="F7828">
        <f t="shared" si="122"/>
        <v>80.38</v>
      </c>
    </row>
    <row r="7829" spans="1:6" x14ac:dyDescent="0.3">
      <c r="A7829" t="s">
        <v>1363</v>
      </c>
      <c r="B7829" t="s">
        <v>2127</v>
      </c>
      <c r="C7829">
        <v>40.5</v>
      </c>
      <c r="D7829">
        <v>196</v>
      </c>
      <c r="E7829">
        <f>IF(OR(B7829="vi",B7829="ii",B7829="pod"),(((D7829/100)*(C7829*VLOOKUP(B7829,'Poids des runes'!A:B,2,FALSE)))+1),(((D7829/100)*(C7829*VLOOKUP(B7829,'Poids des runes'!A:B,2,FALSE)))+1)/VLOOKUP(B7829,'Poids des runes'!A:B,2,FALSE))</f>
        <v>80.38</v>
      </c>
      <c r="F7829">
        <f t="shared" si="122"/>
        <v>80.38</v>
      </c>
    </row>
    <row r="7830" spans="1:6" x14ac:dyDescent="0.3">
      <c r="A7830" t="s">
        <v>1363</v>
      </c>
      <c r="B7830" t="s">
        <v>2139</v>
      </c>
      <c r="C7830">
        <v>20.5</v>
      </c>
      <c r="D7830">
        <v>196</v>
      </c>
      <c r="E7830">
        <f>IF(OR(B7830="vi",B7830="ii",B7830="pod"),(((D7830/100)*(C7830*VLOOKUP(B7830,'Poids des runes'!A:B,2,FALSE)))+1),(((D7830/100)*(C7830*VLOOKUP(B7830,'Poids des runes'!A:B,2,FALSE)))+1)/VLOOKUP(B7830,'Poids des runes'!A:B,2,FALSE))</f>
        <v>40.68</v>
      </c>
      <c r="F7830">
        <f t="shared" si="122"/>
        <v>40.68</v>
      </c>
    </row>
    <row r="7831" spans="1:6" x14ac:dyDescent="0.3">
      <c r="A7831" t="s">
        <v>1363</v>
      </c>
      <c r="B7831" t="s">
        <v>2151</v>
      </c>
      <c r="C7831">
        <v>5</v>
      </c>
      <c r="D7831">
        <v>196</v>
      </c>
      <c r="E7831">
        <f>IF(OR(B7831="vi",B7831="ii",B7831="pod"),(((D7831/100)*(C7831*VLOOKUP(B7831,'Poids des runes'!A:B,2,FALSE)))+1),(((D7831/100)*(C7831*VLOOKUP(B7831,'Poids des runes'!A:B,2,FALSE)))+1)/VLOOKUP(B7831,'Poids des runes'!A:B,2,FALSE))</f>
        <v>9.9</v>
      </c>
      <c r="F7831">
        <f t="shared" si="122"/>
        <v>9.9</v>
      </c>
    </row>
    <row r="7832" spans="1:6" x14ac:dyDescent="0.3">
      <c r="A7832" t="s">
        <v>1363</v>
      </c>
      <c r="B7832" t="s">
        <v>2152</v>
      </c>
      <c r="C7832">
        <v>1</v>
      </c>
      <c r="D7832">
        <v>196</v>
      </c>
      <c r="E7832">
        <f>IF(OR(B7832="vi",B7832="ii",B7832="pod"),(((D7832/100)*(C7832*VLOOKUP(B7832,'Poids des runes'!A:B,2,FALSE)))+1),(((D7832/100)*(C7832*VLOOKUP(B7832,'Poids des runes'!A:B,2,FALSE)))+1)/VLOOKUP(B7832,'Poids des runes'!A:B,2,FALSE))</f>
        <v>1.97</v>
      </c>
      <c r="F7832">
        <f t="shared" si="122"/>
        <v>1.97</v>
      </c>
    </row>
    <row r="7833" spans="1:6" x14ac:dyDescent="0.3">
      <c r="A7833" t="s">
        <v>1363</v>
      </c>
      <c r="B7833" t="s">
        <v>2140</v>
      </c>
      <c r="C7833">
        <v>10</v>
      </c>
      <c r="D7833">
        <v>196</v>
      </c>
      <c r="E7833">
        <f>IF(OR(B7833="vi",B7833="ii",B7833="pod"),(((D7833/100)*(C7833*VLOOKUP(B7833,'Poids des runes'!A:B,2,FALSE)))+1),(((D7833/100)*(C7833*VLOOKUP(B7833,'Poids des runes'!A:B,2,FALSE)))+1)/VLOOKUP(B7833,'Poids des runes'!A:B,2,FALSE))</f>
        <v>19.8</v>
      </c>
      <c r="F7833">
        <f t="shared" si="122"/>
        <v>19.8</v>
      </c>
    </row>
    <row r="7834" spans="1:6" x14ac:dyDescent="0.3">
      <c r="A7834" t="s">
        <v>1363</v>
      </c>
      <c r="B7834" t="s">
        <v>2153</v>
      </c>
      <c r="C7834">
        <v>10</v>
      </c>
      <c r="D7834">
        <v>196</v>
      </c>
      <c r="E7834">
        <f>IF(OR(B7834="vi",B7834="ii",B7834="pod"),(((D7834/100)*(C7834*VLOOKUP(B7834,'Poids des runes'!A:B,2,FALSE)))+1),(((D7834/100)*(C7834*VLOOKUP(B7834,'Poids des runes'!A:B,2,FALSE)))+1)/VLOOKUP(B7834,'Poids des runes'!A:B,2,FALSE))</f>
        <v>19.8</v>
      </c>
      <c r="F7834">
        <f t="shared" si="122"/>
        <v>19.8</v>
      </c>
    </row>
    <row r="7835" spans="1:6" x14ac:dyDescent="0.3">
      <c r="A7835" t="s">
        <v>1363</v>
      </c>
      <c r="B7835" t="s">
        <v>2149</v>
      </c>
      <c r="C7835">
        <v>8.5</v>
      </c>
      <c r="D7835">
        <v>196</v>
      </c>
      <c r="E7835">
        <f>IF(OR(B7835="vi",B7835="ii",B7835="pod"),(((D7835/100)*(C7835*VLOOKUP(B7835,'Poids des runes'!A:B,2,FALSE)))+1),(((D7835/100)*(C7835*VLOOKUP(B7835,'Poids des runes'!A:B,2,FALSE)))+1)/VLOOKUP(B7835,'Poids des runes'!A:B,2,FALSE))</f>
        <v>16.759999999999998</v>
      </c>
      <c r="F7835">
        <f t="shared" si="122"/>
        <v>16.759999999999998</v>
      </c>
    </row>
    <row r="7836" spans="1:6" x14ac:dyDescent="0.3">
      <c r="A7836" t="s">
        <v>1363</v>
      </c>
      <c r="B7836" t="s">
        <v>2161</v>
      </c>
      <c r="C7836">
        <v>13</v>
      </c>
      <c r="D7836">
        <v>196</v>
      </c>
      <c r="E7836">
        <f>IF(OR(B7836="vi",B7836="ii",B7836="pod"),(((D7836/100)*(C7836*VLOOKUP(B7836,'Poids des runes'!A:B,2,FALSE)))+1),(((D7836/100)*(C7836*VLOOKUP(B7836,'Poids des runes'!A:B,2,FALSE)))+1)/VLOOKUP(B7836,'Poids des runes'!A:B,2,FALSE))</f>
        <v>25.813333333333333</v>
      </c>
      <c r="F7836">
        <f t="shared" si="122"/>
        <v>25.813333333333333</v>
      </c>
    </row>
    <row r="7837" spans="1:6" x14ac:dyDescent="0.3">
      <c r="A7837" t="s">
        <v>1363</v>
      </c>
      <c r="B7837" t="s">
        <v>2138</v>
      </c>
      <c r="C7837">
        <v>5</v>
      </c>
      <c r="D7837">
        <v>196</v>
      </c>
      <c r="E7837">
        <f>IF(OR(B7837="vi",B7837="ii",B7837="pod"),(((D7837/100)*(C7837*VLOOKUP(B7837,'Poids des runes'!A:B,2,FALSE)))+1),(((D7837/100)*(C7837*VLOOKUP(B7837,'Poids des runes'!A:B,2,FALSE)))+1)/VLOOKUP(B7837,'Poids des runes'!A:B,2,FALSE))</f>
        <v>10.050000000000001</v>
      </c>
      <c r="F7837">
        <f t="shared" si="122"/>
        <v>10.050000000000001</v>
      </c>
    </row>
    <row r="7838" spans="1:6" x14ac:dyDescent="0.3">
      <c r="A7838" t="s">
        <v>1363</v>
      </c>
      <c r="B7838" t="s">
        <v>2159</v>
      </c>
      <c r="C7838">
        <v>3.5</v>
      </c>
      <c r="D7838">
        <v>196</v>
      </c>
      <c r="E7838">
        <f>IF(OR(B7838="vi",B7838="ii",B7838="pod"),(((D7838/100)*(C7838*VLOOKUP(B7838,'Poids des runes'!A:B,2,FALSE)))+1),(((D7838/100)*(C7838*VLOOKUP(B7838,'Poids des runes'!A:B,2,FALSE)))+1)/VLOOKUP(B7838,'Poids des runes'!A:B,2,FALSE))</f>
        <v>7.0028571428571427</v>
      </c>
      <c r="F7838">
        <f t="shared" si="122"/>
        <v>7.0028571428571427</v>
      </c>
    </row>
    <row r="7839" spans="1:6" x14ac:dyDescent="0.3">
      <c r="A7839" t="s">
        <v>1363</v>
      </c>
      <c r="B7839" t="s">
        <v>2148</v>
      </c>
      <c r="C7839">
        <v>6</v>
      </c>
      <c r="D7839">
        <v>196</v>
      </c>
      <c r="E7839">
        <f>IF(OR(B7839="vi",B7839="ii",B7839="pod"),(((D7839/100)*(C7839*VLOOKUP(B7839,'Poids des runes'!A:B,2,FALSE)))+1),(((D7839/100)*(C7839*VLOOKUP(B7839,'Poids des runes'!A:B,2,FALSE)))+1)/VLOOKUP(B7839,'Poids des runes'!A:B,2,FALSE))</f>
        <v>11.926666666666668</v>
      </c>
      <c r="F7839">
        <f t="shared" si="122"/>
        <v>11.926666666666668</v>
      </c>
    </row>
    <row r="7840" spans="1:6" x14ac:dyDescent="0.3">
      <c r="A7840" t="s">
        <v>1363</v>
      </c>
      <c r="B7840" t="s">
        <v>2137</v>
      </c>
      <c r="C7840">
        <v>12</v>
      </c>
      <c r="D7840">
        <v>196</v>
      </c>
      <c r="E7840">
        <f>IF(OR(B7840="vi",B7840="ii",B7840="pod"),(((D7840/100)*(C7840*VLOOKUP(B7840,'Poids des runes'!A:B,2,FALSE)))+1),(((D7840/100)*(C7840*VLOOKUP(B7840,'Poids des runes'!A:B,2,FALSE)))+1)/VLOOKUP(B7840,'Poids des runes'!A:B,2,FALSE))</f>
        <v>24.02</v>
      </c>
      <c r="F7840">
        <f t="shared" si="122"/>
        <v>24.02</v>
      </c>
    </row>
    <row r="7841" spans="1:6" x14ac:dyDescent="0.3">
      <c r="A7841" t="s">
        <v>1364</v>
      </c>
      <c r="B7841" t="s">
        <v>2128</v>
      </c>
      <c r="C7841">
        <v>375.5</v>
      </c>
      <c r="D7841">
        <v>196</v>
      </c>
      <c r="E7841">
        <f>IF(OR(B7841="vi",B7841="ii",B7841="pod"),(((D7841/100)*(C7841*VLOOKUP(B7841,'Poids des runes'!A:B,2,FALSE)))+1),(((D7841/100)*(C7841*VLOOKUP(B7841,'Poids des runes'!A:B,2,FALSE)))+1)/VLOOKUP(B7841,'Poids des runes'!A:B,2,FALSE))</f>
        <v>148.19600000000003</v>
      </c>
      <c r="F7841">
        <f t="shared" si="122"/>
        <v>148.19600000000003</v>
      </c>
    </row>
    <row r="7842" spans="1:6" x14ac:dyDescent="0.3">
      <c r="A7842" t="s">
        <v>1364</v>
      </c>
      <c r="B7842" t="s">
        <v>2131</v>
      </c>
      <c r="C7842">
        <v>85.5</v>
      </c>
      <c r="D7842">
        <v>196</v>
      </c>
      <c r="E7842">
        <f>IF(OR(B7842="vi",B7842="ii",B7842="pod"),(((D7842/100)*(C7842*VLOOKUP(B7842,'Poids des runes'!A:B,2,FALSE)))+1),(((D7842/100)*(C7842*VLOOKUP(B7842,'Poids des runes'!A:B,2,FALSE)))+1)/VLOOKUP(B7842,'Poids des runes'!A:B,2,FALSE))</f>
        <v>168.57999999999998</v>
      </c>
      <c r="F7842">
        <f t="shared" si="122"/>
        <v>168.57999999999998</v>
      </c>
    </row>
    <row r="7843" spans="1:6" x14ac:dyDescent="0.3">
      <c r="A7843" t="s">
        <v>1364</v>
      </c>
      <c r="B7843" t="s">
        <v>2129</v>
      </c>
      <c r="C7843">
        <v>40.5</v>
      </c>
      <c r="D7843">
        <v>196</v>
      </c>
      <c r="E7843">
        <f>IF(OR(B7843="vi",B7843="ii",B7843="pod"),(((D7843/100)*(C7843*VLOOKUP(B7843,'Poids des runes'!A:B,2,FALSE)))+1),(((D7843/100)*(C7843*VLOOKUP(B7843,'Poids des runes'!A:B,2,FALSE)))+1)/VLOOKUP(B7843,'Poids des runes'!A:B,2,FALSE))</f>
        <v>80.38</v>
      </c>
      <c r="F7843">
        <f t="shared" si="122"/>
        <v>80.38</v>
      </c>
    </row>
    <row r="7844" spans="1:6" x14ac:dyDescent="0.3">
      <c r="A7844" t="s">
        <v>1364</v>
      </c>
      <c r="B7844" t="s">
        <v>2151</v>
      </c>
      <c r="C7844">
        <v>5</v>
      </c>
      <c r="D7844">
        <v>196</v>
      </c>
      <c r="E7844">
        <f>IF(OR(B7844="vi",B7844="ii",B7844="pod"),(((D7844/100)*(C7844*VLOOKUP(B7844,'Poids des runes'!A:B,2,FALSE)))+1),(((D7844/100)*(C7844*VLOOKUP(B7844,'Poids des runes'!A:B,2,FALSE)))+1)/VLOOKUP(B7844,'Poids des runes'!A:B,2,FALSE))</f>
        <v>9.9</v>
      </c>
      <c r="F7844">
        <f t="shared" si="122"/>
        <v>9.9</v>
      </c>
    </row>
    <row r="7845" spans="1:6" x14ac:dyDescent="0.3">
      <c r="A7845" t="s">
        <v>1364</v>
      </c>
      <c r="B7845" t="s">
        <v>2155</v>
      </c>
      <c r="C7845">
        <v>1</v>
      </c>
      <c r="D7845">
        <v>196</v>
      </c>
      <c r="E7845">
        <f>IF(OR(B7845="vi",B7845="ii",B7845="pod"),(((D7845/100)*(C7845*VLOOKUP(B7845,'Poids des runes'!A:B,2,FALSE)))+1),(((D7845/100)*(C7845*VLOOKUP(B7845,'Poids des runes'!A:B,2,FALSE)))+1)/VLOOKUP(B7845,'Poids des runes'!A:B,2,FALSE))</f>
        <v>1.9796078431372548</v>
      </c>
      <c r="F7845">
        <f t="shared" si="122"/>
        <v>1.9796078431372548</v>
      </c>
    </row>
    <row r="7846" spans="1:6" x14ac:dyDescent="0.3">
      <c r="A7846" t="s">
        <v>1364</v>
      </c>
      <c r="B7846" t="s">
        <v>2133</v>
      </c>
      <c r="C7846">
        <v>16</v>
      </c>
      <c r="D7846">
        <v>196</v>
      </c>
      <c r="E7846">
        <f>IF(OR(B7846="vi",B7846="ii",B7846="pod"),(((D7846/100)*(C7846*VLOOKUP(B7846,'Poids des runes'!A:B,2,FALSE)))+1),(((D7846/100)*(C7846*VLOOKUP(B7846,'Poids des runes'!A:B,2,FALSE)))+1)/VLOOKUP(B7846,'Poids des runes'!A:B,2,FALSE))</f>
        <v>31.560000000000002</v>
      </c>
      <c r="F7846">
        <f t="shared" si="122"/>
        <v>31.560000000000002</v>
      </c>
    </row>
    <row r="7847" spans="1:6" x14ac:dyDescent="0.3">
      <c r="A7847" t="s">
        <v>1364</v>
      </c>
      <c r="B7847" t="s">
        <v>2132</v>
      </c>
      <c r="C7847">
        <v>450.5</v>
      </c>
      <c r="D7847">
        <v>196</v>
      </c>
      <c r="E7847">
        <f>IF(OR(B7847="vi",B7847="ii",B7847="pod"),(((D7847/100)*(C7847*VLOOKUP(B7847,'Poids des runes'!A:B,2,FALSE)))+1),(((D7847/100)*(C7847*VLOOKUP(B7847,'Poids des runes'!A:B,2,FALSE)))+1)/VLOOKUP(B7847,'Poids des runes'!A:B,2,FALSE))</f>
        <v>89.298000000000002</v>
      </c>
      <c r="F7847">
        <f t="shared" si="122"/>
        <v>89.298000000000002</v>
      </c>
    </row>
    <row r="7848" spans="1:6" x14ac:dyDescent="0.3">
      <c r="A7848" t="s">
        <v>1364</v>
      </c>
      <c r="B7848" t="s">
        <v>2138</v>
      </c>
      <c r="C7848">
        <v>7</v>
      </c>
      <c r="D7848">
        <v>196</v>
      </c>
      <c r="E7848">
        <f>IF(OR(B7848="vi",B7848="ii",B7848="pod"),(((D7848/100)*(C7848*VLOOKUP(B7848,'Poids des runes'!A:B,2,FALSE)))+1),(((D7848/100)*(C7848*VLOOKUP(B7848,'Poids des runes'!A:B,2,FALSE)))+1)/VLOOKUP(B7848,'Poids des runes'!A:B,2,FALSE))</f>
        <v>13.969999999999999</v>
      </c>
      <c r="F7848">
        <f t="shared" si="122"/>
        <v>13.969999999999999</v>
      </c>
    </row>
    <row r="7849" spans="1:6" x14ac:dyDescent="0.3">
      <c r="A7849" t="s">
        <v>1364</v>
      </c>
      <c r="B7849" t="s">
        <v>2165</v>
      </c>
      <c r="C7849">
        <v>8.5</v>
      </c>
      <c r="D7849">
        <v>196</v>
      </c>
      <c r="E7849">
        <f>IF(OR(B7849="vi",B7849="ii",B7849="pod"),(((D7849/100)*(C7849*VLOOKUP(B7849,'Poids des runes'!A:B,2,FALSE)))+1),(((D7849/100)*(C7849*VLOOKUP(B7849,'Poids des runes'!A:B,2,FALSE)))+1)/VLOOKUP(B7849,'Poids des runes'!A:B,2,FALSE))</f>
        <v>16.802857142857142</v>
      </c>
      <c r="F7849">
        <f t="shared" si="122"/>
        <v>16.802857142857142</v>
      </c>
    </row>
    <row r="7850" spans="1:6" x14ac:dyDescent="0.3">
      <c r="A7850" t="s">
        <v>1364</v>
      </c>
      <c r="B7850" t="s">
        <v>2136</v>
      </c>
      <c r="C7850">
        <v>13</v>
      </c>
      <c r="D7850">
        <v>196</v>
      </c>
      <c r="E7850">
        <f>IF(OR(B7850="vi",B7850="ii",B7850="pod"),(((D7850/100)*(C7850*VLOOKUP(B7850,'Poids des runes'!A:B,2,FALSE)))+1),(((D7850/100)*(C7850*VLOOKUP(B7850,'Poids des runes'!A:B,2,FALSE)))+1)/VLOOKUP(B7850,'Poids des runes'!A:B,2,FALSE))</f>
        <v>25.98</v>
      </c>
      <c r="F7850">
        <f t="shared" si="122"/>
        <v>25.98</v>
      </c>
    </row>
    <row r="7851" spans="1:6" x14ac:dyDescent="0.3">
      <c r="A7851" t="s">
        <v>1365</v>
      </c>
      <c r="B7851" t="s">
        <v>2128</v>
      </c>
      <c r="C7851">
        <v>375.5</v>
      </c>
      <c r="D7851">
        <v>196</v>
      </c>
      <c r="E7851">
        <f>IF(OR(B7851="vi",B7851="ii",B7851="pod"),(((D7851/100)*(C7851*VLOOKUP(B7851,'Poids des runes'!A:B,2,FALSE)))+1),(((D7851/100)*(C7851*VLOOKUP(B7851,'Poids des runes'!A:B,2,FALSE)))+1)/VLOOKUP(B7851,'Poids des runes'!A:B,2,FALSE))</f>
        <v>148.19600000000003</v>
      </c>
      <c r="F7851">
        <f t="shared" si="122"/>
        <v>148.19600000000003</v>
      </c>
    </row>
    <row r="7852" spans="1:6" x14ac:dyDescent="0.3">
      <c r="A7852" t="s">
        <v>1365</v>
      </c>
      <c r="B7852" t="s">
        <v>2127</v>
      </c>
      <c r="C7852">
        <v>85.5</v>
      </c>
      <c r="D7852">
        <v>196</v>
      </c>
      <c r="E7852">
        <f>IF(OR(B7852="vi",B7852="ii",B7852="pod"),(((D7852/100)*(C7852*VLOOKUP(B7852,'Poids des runes'!A:B,2,FALSE)))+1),(((D7852/100)*(C7852*VLOOKUP(B7852,'Poids des runes'!A:B,2,FALSE)))+1)/VLOOKUP(B7852,'Poids des runes'!A:B,2,FALSE))</f>
        <v>168.57999999999998</v>
      </c>
      <c r="F7852">
        <f t="shared" si="122"/>
        <v>168.57999999999998</v>
      </c>
    </row>
    <row r="7853" spans="1:6" x14ac:dyDescent="0.3">
      <c r="A7853" t="s">
        <v>1365</v>
      </c>
      <c r="B7853" t="s">
        <v>2129</v>
      </c>
      <c r="C7853">
        <v>35.5</v>
      </c>
      <c r="D7853">
        <v>196</v>
      </c>
      <c r="E7853">
        <f>IF(OR(B7853="vi",B7853="ii",B7853="pod"),(((D7853/100)*(C7853*VLOOKUP(B7853,'Poids des runes'!A:B,2,FALSE)))+1),(((D7853/100)*(C7853*VLOOKUP(B7853,'Poids des runes'!A:B,2,FALSE)))+1)/VLOOKUP(B7853,'Poids des runes'!A:B,2,FALSE))</f>
        <v>70.58</v>
      </c>
      <c r="F7853">
        <f t="shared" si="122"/>
        <v>70.58</v>
      </c>
    </row>
    <row r="7854" spans="1:6" x14ac:dyDescent="0.3">
      <c r="A7854" t="s">
        <v>1365</v>
      </c>
      <c r="B7854" t="s">
        <v>2155</v>
      </c>
      <c r="C7854">
        <v>1</v>
      </c>
      <c r="D7854">
        <v>196</v>
      </c>
      <c r="E7854">
        <f>IF(OR(B7854="vi",B7854="ii",B7854="pod"),(((D7854/100)*(C7854*VLOOKUP(B7854,'Poids des runes'!A:B,2,FALSE)))+1),(((D7854/100)*(C7854*VLOOKUP(B7854,'Poids des runes'!A:B,2,FALSE)))+1)/VLOOKUP(B7854,'Poids des runes'!A:B,2,FALSE))</f>
        <v>1.9796078431372548</v>
      </c>
      <c r="F7854">
        <f t="shared" si="122"/>
        <v>1.9796078431372548</v>
      </c>
    </row>
    <row r="7855" spans="1:6" x14ac:dyDescent="0.3">
      <c r="A7855" t="s">
        <v>1365</v>
      </c>
      <c r="B7855" t="s">
        <v>2150</v>
      </c>
      <c r="C7855">
        <v>1.5</v>
      </c>
      <c r="D7855">
        <v>196</v>
      </c>
      <c r="E7855">
        <f>IF(OR(B7855="vi",B7855="ii",B7855="pod"),(((D7855/100)*(C7855*VLOOKUP(B7855,'Poids des runes'!A:B,2,FALSE)))+1),(((D7855/100)*(C7855*VLOOKUP(B7855,'Poids des runes'!A:B,2,FALSE)))+1)/VLOOKUP(B7855,'Poids des runes'!A:B,2,FALSE))</f>
        <v>2.9733333333333336</v>
      </c>
      <c r="F7855">
        <f t="shared" si="122"/>
        <v>2.9733333333333336</v>
      </c>
    </row>
    <row r="7856" spans="1:6" x14ac:dyDescent="0.3">
      <c r="A7856" t="s">
        <v>1365</v>
      </c>
      <c r="B7856" t="s">
        <v>2153</v>
      </c>
      <c r="C7856">
        <v>18</v>
      </c>
      <c r="D7856">
        <v>196</v>
      </c>
      <c r="E7856">
        <f>IF(OR(B7856="vi",B7856="ii",B7856="pod"),(((D7856/100)*(C7856*VLOOKUP(B7856,'Poids des runes'!A:B,2,FALSE)))+1),(((D7856/100)*(C7856*VLOOKUP(B7856,'Poids des runes'!A:B,2,FALSE)))+1)/VLOOKUP(B7856,'Poids des runes'!A:B,2,FALSE))</f>
        <v>35.480000000000004</v>
      </c>
      <c r="F7856">
        <f t="shared" si="122"/>
        <v>35.480000000000004</v>
      </c>
    </row>
    <row r="7857" spans="1:6" x14ac:dyDescent="0.3">
      <c r="A7857" t="s">
        <v>1365</v>
      </c>
      <c r="B7857" t="s">
        <v>2161</v>
      </c>
      <c r="C7857">
        <v>13</v>
      </c>
      <c r="D7857">
        <v>196</v>
      </c>
      <c r="E7857">
        <f>IF(OR(B7857="vi",B7857="ii",B7857="pod"),(((D7857/100)*(C7857*VLOOKUP(B7857,'Poids des runes'!A:B,2,FALSE)))+1),(((D7857/100)*(C7857*VLOOKUP(B7857,'Poids des runes'!A:B,2,FALSE)))+1)/VLOOKUP(B7857,'Poids des runes'!A:B,2,FALSE))</f>
        <v>25.813333333333333</v>
      </c>
      <c r="F7857">
        <f t="shared" si="122"/>
        <v>25.813333333333333</v>
      </c>
    </row>
    <row r="7858" spans="1:6" x14ac:dyDescent="0.3">
      <c r="A7858" t="s">
        <v>1365</v>
      </c>
      <c r="B7858" t="s">
        <v>2138</v>
      </c>
      <c r="C7858">
        <v>7</v>
      </c>
      <c r="D7858">
        <v>196</v>
      </c>
      <c r="E7858">
        <f>IF(OR(B7858="vi",B7858="ii",B7858="pod"),(((D7858/100)*(C7858*VLOOKUP(B7858,'Poids des runes'!A:B,2,FALSE)))+1),(((D7858/100)*(C7858*VLOOKUP(B7858,'Poids des runes'!A:B,2,FALSE)))+1)/VLOOKUP(B7858,'Poids des runes'!A:B,2,FALSE))</f>
        <v>13.969999999999999</v>
      </c>
      <c r="F7858">
        <f t="shared" si="122"/>
        <v>13.969999999999999</v>
      </c>
    </row>
    <row r="7859" spans="1:6" x14ac:dyDescent="0.3">
      <c r="A7859" t="s">
        <v>1365</v>
      </c>
      <c r="B7859" t="s">
        <v>2162</v>
      </c>
      <c r="C7859">
        <v>7</v>
      </c>
      <c r="D7859">
        <v>196</v>
      </c>
      <c r="E7859">
        <f>IF(OR(B7859="vi",B7859="ii",B7859="pod"),(((D7859/100)*(C7859*VLOOKUP(B7859,'Poids des runes'!A:B,2,FALSE)))+1),(((D7859/100)*(C7859*VLOOKUP(B7859,'Poids des runes'!A:B,2,FALSE)))+1)/VLOOKUP(B7859,'Poids des runes'!A:B,2,FALSE))</f>
        <v>13.862857142857141</v>
      </c>
      <c r="F7859">
        <f t="shared" si="122"/>
        <v>13.862857142857141</v>
      </c>
    </row>
    <row r="7860" spans="1:6" x14ac:dyDescent="0.3">
      <c r="A7860" t="s">
        <v>1365</v>
      </c>
      <c r="B7860" t="s">
        <v>2157</v>
      </c>
      <c r="C7860">
        <v>8.5</v>
      </c>
      <c r="D7860">
        <v>196</v>
      </c>
      <c r="E7860">
        <f>IF(OR(B7860="vi",B7860="ii",B7860="pod"),(((D7860/100)*(C7860*VLOOKUP(B7860,'Poids des runes'!A:B,2,FALSE)))+1),(((D7860/100)*(C7860*VLOOKUP(B7860,'Poids des runes'!A:B,2,FALSE)))+1)/VLOOKUP(B7860,'Poids des runes'!A:B,2,FALSE))</f>
        <v>16.826666666666664</v>
      </c>
      <c r="F7860">
        <f t="shared" si="122"/>
        <v>16.826666666666664</v>
      </c>
    </row>
    <row r="7861" spans="1:6" x14ac:dyDescent="0.3">
      <c r="A7861" t="s">
        <v>1366</v>
      </c>
      <c r="B7861" t="s">
        <v>2128</v>
      </c>
      <c r="C7861">
        <v>275.5</v>
      </c>
      <c r="D7861">
        <v>196</v>
      </c>
      <c r="E7861">
        <f>IF(OR(B7861="vi",B7861="ii",B7861="pod"),(((D7861/100)*(C7861*VLOOKUP(B7861,'Poids des runes'!A:B,2,FALSE)))+1),(((D7861/100)*(C7861*VLOOKUP(B7861,'Poids des runes'!A:B,2,FALSE)))+1)/VLOOKUP(B7861,'Poids des runes'!A:B,2,FALSE))</f>
        <v>108.996</v>
      </c>
      <c r="F7861">
        <f t="shared" si="122"/>
        <v>108.996</v>
      </c>
    </row>
    <row r="7862" spans="1:6" x14ac:dyDescent="0.3">
      <c r="A7862" t="s">
        <v>1366</v>
      </c>
      <c r="B7862" t="s">
        <v>2131</v>
      </c>
      <c r="C7862">
        <v>70.5</v>
      </c>
      <c r="D7862">
        <v>196</v>
      </c>
      <c r="E7862">
        <f>IF(OR(B7862="vi",B7862="ii",B7862="pod"),(((D7862/100)*(C7862*VLOOKUP(B7862,'Poids des runes'!A:B,2,FALSE)))+1),(((D7862/100)*(C7862*VLOOKUP(B7862,'Poids des runes'!A:B,2,FALSE)))+1)/VLOOKUP(B7862,'Poids des runes'!A:B,2,FALSE))</f>
        <v>139.18</v>
      </c>
      <c r="F7862">
        <f t="shared" si="122"/>
        <v>139.18</v>
      </c>
    </row>
    <row r="7863" spans="1:6" x14ac:dyDescent="0.3">
      <c r="A7863" t="s">
        <v>1366</v>
      </c>
      <c r="B7863" t="s">
        <v>2127</v>
      </c>
      <c r="C7863">
        <v>70.5</v>
      </c>
      <c r="D7863">
        <v>196</v>
      </c>
      <c r="E7863">
        <f>IF(OR(B7863="vi",B7863="ii",B7863="pod"),(((D7863/100)*(C7863*VLOOKUP(B7863,'Poids des runes'!A:B,2,FALSE)))+1),(((D7863/100)*(C7863*VLOOKUP(B7863,'Poids des runes'!A:B,2,FALSE)))+1)/VLOOKUP(B7863,'Poids des runes'!A:B,2,FALSE))</f>
        <v>139.18</v>
      </c>
      <c r="F7863">
        <f t="shared" si="122"/>
        <v>139.18</v>
      </c>
    </row>
    <row r="7864" spans="1:6" x14ac:dyDescent="0.3">
      <c r="A7864" t="s">
        <v>1366</v>
      </c>
      <c r="B7864" t="s">
        <v>2129</v>
      </c>
      <c r="C7864">
        <v>35.5</v>
      </c>
      <c r="D7864">
        <v>196</v>
      </c>
      <c r="E7864">
        <f>IF(OR(B7864="vi",B7864="ii",B7864="pod"),(((D7864/100)*(C7864*VLOOKUP(B7864,'Poids des runes'!A:B,2,FALSE)))+1),(((D7864/100)*(C7864*VLOOKUP(B7864,'Poids des runes'!A:B,2,FALSE)))+1)/VLOOKUP(B7864,'Poids des runes'!A:B,2,FALSE))</f>
        <v>70.58</v>
      </c>
      <c r="F7864">
        <f t="shared" si="122"/>
        <v>70.58</v>
      </c>
    </row>
    <row r="7865" spans="1:6" x14ac:dyDescent="0.3">
      <c r="A7865" t="s">
        <v>1366</v>
      </c>
      <c r="B7865" t="s">
        <v>2151</v>
      </c>
      <c r="C7865">
        <v>5</v>
      </c>
      <c r="D7865">
        <v>196</v>
      </c>
      <c r="E7865">
        <f>IF(OR(B7865="vi",B7865="ii",B7865="pod"),(((D7865/100)*(C7865*VLOOKUP(B7865,'Poids des runes'!A:B,2,FALSE)))+1),(((D7865/100)*(C7865*VLOOKUP(B7865,'Poids des runes'!A:B,2,FALSE)))+1)/VLOOKUP(B7865,'Poids des runes'!A:B,2,FALSE))</f>
        <v>9.9</v>
      </c>
      <c r="F7865">
        <f t="shared" si="122"/>
        <v>9.9</v>
      </c>
    </row>
    <row r="7866" spans="1:6" x14ac:dyDescent="0.3">
      <c r="A7866" t="s">
        <v>1366</v>
      </c>
      <c r="B7866" t="s">
        <v>2150</v>
      </c>
      <c r="C7866">
        <v>2</v>
      </c>
      <c r="D7866">
        <v>196</v>
      </c>
      <c r="E7866">
        <f>IF(OR(B7866="vi",B7866="ii",B7866="pod"),(((D7866/100)*(C7866*VLOOKUP(B7866,'Poids des runes'!A:B,2,FALSE)))+1),(((D7866/100)*(C7866*VLOOKUP(B7866,'Poids des runes'!A:B,2,FALSE)))+1)/VLOOKUP(B7866,'Poids des runes'!A:B,2,FALSE))</f>
        <v>3.9533333333333331</v>
      </c>
      <c r="F7866">
        <f t="shared" si="122"/>
        <v>3.9533333333333331</v>
      </c>
    </row>
    <row r="7867" spans="1:6" x14ac:dyDescent="0.3">
      <c r="A7867" t="s">
        <v>1366</v>
      </c>
      <c r="B7867" t="s">
        <v>2133</v>
      </c>
      <c r="C7867">
        <v>13</v>
      </c>
      <c r="D7867">
        <v>196</v>
      </c>
      <c r="E7867">
        <f>IF(OR(B7867="vi",B7867="ii",B7867="pod"),(((D7867/100)*(C7867*VLOOKUP(B7867,'Poids des runes'!A:B,2,FALSE)))+1),(((D7867/100)*(C7867*VLOOKUP(B7867,'Poids des runes'!A:B,2,FALSE)))+1)/VLOOKUP(B7867,'Poids des runes'!A:B,2,FALSE))</f>
        <v>25.679999999999996</v>
      </c>
      <c r="F7867">
        <f t="shared" si="122"/>
        <v>25.679999999999996</v>
      </c>
    </row>
    <row r="7868" spans="1:6" x14ac:dyDescent="0.3">
      <c r="A7868" t="s">
        <v>1366</v>
      </c>
      <c r="B7868" t="s">
        <v>2153</v>
      </c>
      <c r="C7868">
        <v>13</v>
      </c>
      <c r="D7868">
        <v>196</v>
      </c>
      <c r="E7868">
        <f>IF(OR(B7868="vi",B7868="ii",B7868="pod"),(((D7868/100)*(C7868*VLOOKUP(B7868,'Poids des runes'!A:B,2,FALSE)))+1),(((D7868/100)*(C7868*VLOOKUP(B7868,'Poids des runes'!A:B,2,FALSE)))+1)/VLOOKUP(B7868,'Poids des runes'!A:B,2,FALSE))</f>
        <v>25.679999999999996</v>
      </c>
      <c r="F7868">
        <f t="shared" si="122"/>
        <v>25.679999999999996</v>
      </c>
    </row>
    <row r="7869" spans="1:6" x14ac:dyDescent="0.3">
      <c r="A7869" t="s">
        <v>1366</v>
      </c>
      <c r="B7869" t="s">
        <v>2161</v>
      </c>
      <c r="C7869">
        <v>13</v>
      </c>
      <c r="D7869">
        <v>196</v>
      </c>
      <c r="E7869">
        <f>IF(OR(B7869="vi",B7869="ii",B7869="pod"),(((D7869/100)*(C7869*VLOOKUP(B7869,'Poids des runes'!A:B,2,FALSE)))+1),(((D7869/100)*(C7869*VLOOKUP(B7869,'Poids des runes'!A:B,2,FALSE)))+1)/VLOOKUP(B7869,'Poids des runes'!A:B,2,FALSE))</f>
        <v>25.813333333333333</v>
      </c>
      <c r="F7869">
        <f t="shared" si="122"/>
        <v>25.813333333333333</v>
      </c>
    </row>
    <row r="7870" spans="1:6" x14ac:dyDescent="0.3">
      <c r="A7870" t="s">
        <v>1366</v>
      </c>
      <c r="B7870" t="s">
        <v>2162</v>
      </c>
      <c r="C7870">
        <v>5</v>
      </c>
      <c r="D7870">
        <v>196</v>
      </c>
      <c r="E7870">
        <f>IF(OR(B7870="vi",B7870="ii",B7870="pod"),(((D7870/100)*(C7870*VLOOKUP(B7870,'Poids des runes'!A:B,2,FALSE)))+1),(((D7870/100)*(C7870*VLOOKUP(B7870,'Poids des runes'!A:B,2,FALSE)))+1)/VLOOKUP(B7870,'Poids des runes'!A:B,2,FALSE))</f>
        <v>9.9428571428571413</v>
      </c>
      <c r="F7870">
        <f t="shared" si="122"/>
        <v>9.9428571428571413</v>
      </c>
    </row>
    <row r="7871" spans="1:6" x14ac:dyDescent="0.3">
      <c r="A7871" t="s">
        <v>1366</v>
      </c>
      <c r="B7871" t="s">
        <v>2142</v>
      </c>
      <c r="C7871">
        <v>13</v>
      </c>
      <c r="D7871">
        <v>196</v>
      </c>
      <c r="E7871">
        <f>IF(OR(B7871="vi",B7871="ii",B7871="pod"),(((D7871/100)*(C7871*VLOOKUP(B7871,'Poids des runes'!A:B,2,FALSE)))+1),(((D7871/100)*(C7871*VLOOKUP(B7871,'Poids des runes'!A:B,2,FALSE)))+1)/VLOOKUP(B7871,'Poids des runes'!A:B,2,FALSE))</f>
        <v>25.679999999999996</v>
      </c>
      <c r="F7871">
        <f t="shared" si="122"/>
        <v>25.679999999999996</v>
      </c>
    </row>
    <row r="7872" spans="1:6" x14ac:dyDescent="0.3">
      <c r="A7872" t="s">
        <v>1366</v>
      </c>
      <c r="B7872" t="s">
        <v>2163</v>
      </c>
      <c r="C7872">
        <v>18</v>
      </c>
      <c r="D7872">
        <v>196</v>
      </c>
      <c r="E7872">
        <f>IF(OR(B7872="vi",B7872="ii",B7872="pod"),(((D7872/100)*(C7872*VLOOKUP(B7872,'Poids des runes'!A:B,2,FALSE)))+1),(((D7872/100)*(C7872*VLOOKUP(B7872,'Poids des runes'!A:B,2,FALSE)))+1)/VLOOKUP(B7872,'Poids des runes'!A:B,2,FALSE))</f>
        <v>35.78</v>
      </c>
      <c r="F7872">
        <f t="shared" si="122"/>
        <v>35.78</v>
      </c>
    </row>
    <row r="7873" spans="1:6" x14ac:dyDescent="0.3">
      <c r="A7873" t="s">
        <v>1366</v>
      </c>
      <c r="B7873" t="s">
        <v>2135</v>
      </c>
      <c r="C7873">
        <v>4</v>
      </c>
      <c r="D7873">
        <v>196</v>
      </c>
      <c r="E7873">
        <f>IF(OR(B7873="vi",B7873="ii",B7873="pod"),(((D7873/100)*(C7873*VLOOKUP(B7873,'Poids des runes'!A:B,2,FALSE)))+1),(((D7873/100)*(C7873*VLOOKUP(B7873,'Poids des runes'!A:B,2,FALSE)))+1)/VLOOKUP(B7873,'Poids des runes'!A:B,2,FALSE))</f>
        <v>8.0066666666666659</v>
      </c>
      <c r="F7873">
        <f t="shared" si="122"/>
        <v>8.0066666666666659</v>
      </c>
    </row>
    <row r="7874" spans="1:6" x14ac:dyDescent="0.3">
      <c r="A7874" t="s">
        <v>1366</v>
      </c>
      <c r="B7874" t="s">
        <v>2144</v>
      </c>
      <c r="C7874">
        <v>13</v>
      </c>
      <c r="D7874">
        <v>196</v>
      </c>
      <c r="E7874">
        <f>IF(OR(B7874="vi",B7874="ii",B7874="pod"),(((D7874/100)*(C7874*VLOOKUP(B7874,'Poids des runes'!A:B,2,FALSE)))+1),(((D7874/100)*(C7874*VLOOKUP(B7874,'Poids des runes'!A:B,2,FALSE)))+1)/VLOOKUP(B7874,'Poids des runes'!A:B,2,FALSE))</f>
        <v>25.98</v>
      </c>
      <c r="F7874">
        <f t="shared" si="122"/>
        <v>25.98</v>
      </c>
    </row>
    <row r="7875" spans="1:6" x14ac:dyDescent="0.3">
      <c r="A7875" t="s">
        <v>1367</v>
      </c>
      <c r="B7875" t="s">
        <v>2128</v>
      </c>
      <c r="C7875">
        <v>275.5</v>
      </c>
      <c r="D7875">
        <v>196</v>
      </c>
      <c r="E7875">
        <f>IF(OR(B7875="vi",B7875="ii",B7875="pod"),(((D7875/100)*(C7875*VLOOKUP(B7875,'Poids des runes'!A:B,2,FALSE)))+1),(((D7875/100)*(C7875*VLOOKUP(B7875,'Poids des runes'!A:B,2,FALSE)))+1)/VLOOKUP(B7875,'Poids des runes'!A:B,2,FALSE))</f>
        <v>108.996</v>
      </c>
      <c r="F7875">
        <f t="shared" ref="F7875:F7938" si="123">E7875</f>
        <v>108.996</v>
      </c>
    </row>
    <row r="7876" spans="1:6" x14ac:dyDescent="0.3">
      <c r="A7876" t="s">
        <v>1367</v>
      </c>
      <c r="B7876" t="s">
        <v>2127</v>
      </c>
      <c r="C7876">
        <v>50.5</v>
      </c>
      <c r="D7876">
        <v>196</v>
      </c>
      <c r="E7876">
        <f>IF(OR(B7876="vi",B7876="ii",B7876="pod"),(((D7876/100)*(C7876*VLOOKUP(B7876,'Poids des runes'!A:B,2,FALSE)))+1),(((D7876/100)*(C7876*VLOOKUP(B7876,'Poids des runes'!A:B,2,FALSE)))+1)/VLOOKUP(B7876,'Poids des runes'!A:B,2,FALSE))</f>
        <v>99.98</v>
      </c>
      <c r="F7876">
        <f t="shared" si="123"/>
        <v>99.98</v>
      </c>
    </row>
    <row r="7877" spans="1:6" x14ac:dyDescent="0.3">
      <c r="A7877" t="s">
        <v>1367</v>
      </c>
      <c r="B7877" t="s">
        <v>2129</v>
      </c>
      <c r="C7877">
        <v>50.5</v>
      </c>
      <c r="D7877">
        <v>196</v>
      </c>
      <c r="E7877">
        <f>IF(OR(B7877="vi",B7877="ii",B7877="pod"),(((D7877/100)*(C7877*VLOOKUP(B7877,'Poids des runes'!A:B,2,FALSE)))+1),(((D7877/100)*(C7877*VLOOKUP(B7877,'Poids des runes'!A:B,2,FALSE)))+1)/VLOOKUP(B7877,'Poids des runes'!A:B,2,FALSE))</f>
        <v>99.98</v>
      </c>
      <c r="F7877">
        <f t="shared" si="123"/>
        <v>99.98</v>
      </c>
    </row>
    <row r="7878" spans="1:6" x14ac:dyDescent="0.3">
      <c r="A7878" t="s">
        <v>1367</v>
      </c>
      <c r="B7878" t="s">
        <v>2151</v>
      </c>
      <c r="C7878">
        <v>2.5</v>
      </c>
      <c r="D7878">
        <v>196</v>
      </c>
      <c r="E7878">
        <f>IF(OR(B7878="vi",B7878="ii",B7878="pod"),(((D7878/100)*(C7878*VLOOKUP(B7878,'Poids des runes'!A:B,2,FALSE)))+1),(((D7878/100)*(C7878*VLOOKUP(B7878,'Poids des runes'!A:B,2,FALSE)))+1)/VLOOKUP(B7878,'Poids des runes'!A:B,2,FALSE))</f>
        <v>5</v>
      </c>
      <c r="F7878">
        <f t="shared" si="123"/>
        <v>5</v>
      </c>
    </row>
    <row r="7879" spans="1:6" x14ac:dyDescent="0.3">
      <c r="A7879" t="s">
        <v>1367</v>
      </c>
      <c r="B7879" t="s">
        <v>2153</v>
      </c>
      <c r="C7879">
        <v>20.5</v>
      </c>
      <c r="D7879">
        <v>196</v>
      </c>
      <c r="E7879">
        <f>IF(OR(B7879="vi",B7879="ii",B7879="pod"),(((D7879/100)*(C7879*VLOOKUP(B7879,'Poids des runes'!A:B,2,FALSE)))+1),(((D7879/100)*(C7879*VLOOKUP(B7879,'Poids des runes'!A:B,2,FALSE)))+1)/VLOOKUP(B7879,'Poids des runes'!A:B,2,FALSE))</f>
        <v>40.380000000000003</v>
      </c>
      <c r="F7879">
        <f t="shared" si="123"/>
        <v>40.380000000000003</v>
      </c>
    </row>
    <row r="7880" spans="1:6" x14ac:dyDescent="0.3">
      <c r="A7880" t="s">
        <v>1367</v>
      </c>
      <c r="B7880" t="s">
        <v>2161</v>
      </c>
      <c r="C7880">
        <v>20.5</v>
      </c>
      <c r="D7880">
        <v>196</v>
      </c>
      <c r="E7880">
        <f>IF(OR(B7880="vi",B7880="ii",B7880="pod"),(((D7880/100)*(C7880*VLOOKUP(B7880,'Poids des runes'!A:B,2,FALSE)))+1),(((D7880/100)*(C7880*VLOOKUP(B7880,'Poids des runes'!A:B,2,FALSE)))+1)/VLOOKUP(B7880,'Poids des runes'!A:B,2,FALSE))</f>
        <v>40.513333333333328</v>
      </c>
      <c r="F7880">
        <f t="shared" si="123"/>
        <v>40.513333333333328</v>
      </c>
    </row>
    <row r="7881" spans="1:6" x14ac:dyDescent="0.3">
      <c r="A7881" t="s">
        <v>1367</v>
      </c>
      <c r="B7881" t="s">
        <v>2141</v>
      </c>
      <c r="C7881">
        <v>8.5</v>
      </c>
      <c r="D7881">
        <v>196</v>
      </c>
      <c r="E7881">
        <f>IF(OR(B7881="vi",B7881="ii",B7881="pod"),(((D7881/100)*(C7881*VLOOKUP(B7881,'Poids des runes'!A:B,2,FALSE)))+1),(((D7881/100)*(C7881*VLOOKUP(B7881,'Poids des runes'!A:B,2,FALSE)))+1)/VLOOKUP(B7881,'Poids des runes'!A:B,2,FALSE))</f>
        <v>16.91</v>
      </c>
      <c r="F7881">
        <f t="shared" si="123"/>
        <v>16.91</v>
      </c>
    </row>
    <row r="7882" spans="1:6" x14ac:dyDescent="0.3">
      <c r="A7882" t="s">
        <v>1367</v>
      </c>
      <c r="B7882" t="s">
        <v>2165</v>
      </c>
      <c r="C7882">
        <v>7</v>
      </c>
      <c r="D7882">
        <v>196</v>
      </c>
      <c r="E7882">
        <f>IF(OR(B7882="vi",B7882="ii",B7882="pod"),(((D7882/100)*(C7882*VLOOKUP(B7882,'Poids des runes'!A:B,2,FALSE)))+1),(((D7882/100)*(C7882*VLOOKUP(B7882,'Poids des runes'!A:B,2,FALSE)))+1)/VLOOKUP(B7882,'Poids des runes'!A:B,2,FALSE))</f>
        <v>13.862857142857141</v>
      </c>
      <c r="F7882">
        <f t="shared" si="123"/>
        <v>13.862857142857141</v>
      </c>
    </row>
    <row r="7883" spans="1:6" x14ac:dyDescent="0.3">
      <c r="A7883" t="s">
        <v>1367</v>
      </c>
      <c r="B7883" t="s">
        <v>2147</v>
      </c>
      <c r="C7883">
        <v>8.5</v>
      </c>
      <c r="D7883">
        <v>196</v>
      </c>
      <c r="E7883">
        <f>IF(OR(B7883="vi",B7883="ii",B7883="pod"),(((D7883/100)*(C7883*VLOOKUP(B7883,'Poids des runes'!A:B,2,FALSE)))+1),(((D7883/100)*(C7883*VLOOKUP(B7883,'Poids des runes'!A:B,2,FALSE)))+1)/VLOOKUP(B7883,'Poids des runes'!A:B,2,FALSE))</f>
        <v>16.826666666666664</v>
      </c>
      <c r="F7883">
        <f t="shared" si="123"/>
        <v>16.826666666666664</v>
      </c>
    </row>
    <row r="7884" spans="1:6" x14ac:dyDescent="0.3">
      <c r="A7884" t="s">
        <v>1367</v>
      </c>
      <c r="B7884" t="s">
        <v>2145</v>
      </c>
      <c r="C7884">
        <v>13</v>
      </c>
      <c r="D7884">
        <v>196</v>
      </c>
      <c r="E7884">
        <f>IF(OR(B7884="vi",B7884="ii",B7884="pod"),(((D7884/100)*(C7884*VLOOKUP(B7884,'Poids des runes'!A:B,2,FALSE)))+1),(((D7884/100)*(C7884*VLOOKUP(B7884,'Poids des runes'!A:B,2,FALSE)))+1)/VLOOKUP(B7884,'Poids des runes'!A:B,2,FALSE))</f>
        <v>25.98</v>
      </c>
      <c r="F7884">
        <f t="shared" si="123"/>
        <v>25.98</v>
      </c>
    </row>
    <row r="7885" spans="1:6" x14ac:dyDescent="0.3">
      <c r="A7885" t="s">
        <v>1368</v>
      </c>
      <c r="B7885" t="s">
        <v>2128</v>
      </c>
      <c r="C7885">
        <v>375.5</v>
      </c>
      <c r="D7885">
        <v>196</v>
      </c>
      <c r="E7885">
        <f>IF(OR(B7885="vi",B7885="ii",B7885="pod"),(((D7885/100)*(C7885*VLOOKUP(B7885,'Poids des runes'!A:B,2,FALSE)))+1),(((D7885/100)*(C7885*VLOOKUP(B7885,'Poids des runes'!A:B,2,FALSE)))+1)/VLOOKUP(B7885,'Poids des runes'!A:B,2,FALSE))</f>
        <v>148.19600000000003</v>
      </c>
      <c r="F7885">
        <f t="shared" si="123"/>
        <v>148.19600000000003</v>
      </c>
    </row>
    <row r="7886" spans="1:6" x14ac:dyDescent="0.3">
      <c r="A7886" t="s">
        <v>1368</v>
      </c>
      <c r="B7886" t="s">
        <v>2130</v>
      </c>
      <c r="C7886">
        <v>35.5</v>
      </c>
      <c r="D7886">
        <v>196</v>
      </c>
      <c r="E7886">
        <f>IF(OR(B7886="vi",B7886="ii",B7886="pod"),(((D7886/100)*(C7886*VLOOKUP(B7886,'Poids des runes'!A:B,2,FALSE)))+1),(((D7886/100)*(C7886*VLOOKUP(B7886,'Poids des runes'!A:B,2,FALSE)))+1)/VLOOKUP(B7886,'Poids des runes'!A:B,2,FALSE))</f>
        <v>70.58</v>
      </c>
      <c r="F7886">
        <f t="shared" si="123"/>
        <v>70.58</v>
      </c>
    </row>
    <row r="7887" spans="1:6" x14ac:dyDescent="0.3">
      <c r="A7887" t="s">
        <v>1368</v>
      </c>
      <c r="B7887" t="s">
        <v>2129</v>
      </c>
      <c r="C7887">
        <v>25.5</v>
      </c>
      <c r="D7887">
        <v>196</v>
      </c>
      <c r="E7887">
        <f>IF(OR(B7887="vi",B7887="ii",B7887="pod"),(((D7887/100)*(C7887*VLOOKUP(B7887,'Poids des runes'!A:B,2,FALSE)))+1),(((D7887/100)*(C7887*VLOOKUP(B7887,'Poids des runes'!A:B,2,FALSE)))+1)/VLOOKUP(B7887,'Poids des runes'!A:B,2,FALSE))</f>
        <v>50.98</v>
      </c>
      <c r="F7887">
        <f t="shared" si="123"/>
        <v>50.98</v>
      </c>
    </row>
    <row r="7888" spans="1:6" x14ac:dyDescent="0.3">
      <c r="A7888" t="s">
        <v>1368</v>
      </c>
      <c r="B7888" t="s">
        <v>2139</v>
      </c>
      <c r="C7888">
        <v>35.5</v>
      </c>
      <c r="D7888">
        <v>196</v>
      </c>
      <c r="E7888">
        <f>IF(OR(B7888="vi",B7888="ii",B7888="pod"),(((D7888/100)*(C7888*VLOOKUP(B7888,'Poids des runes'!A:B,2,FALSE)))+1),(((D7888/100)*(C7888*VLOOKUP(B7888,'Poids des runes'!A:B,2,FALSE)))+1)/VLOOKUP(B7888,'Poids des runes'!A:B,2,FALSE))</f>
        <v>70.08</v>
      </c>
      <c r="F7888">
        <f t="shared" si="123"/>
        <v>70.08</v>
      </c>
    </row>
    <row r="7889" spans="1:6" x14ac:dyDescent="0.3">
      <c r="A7889" t="s">
        <v>1368</v>
      </c>
      <c r="B7889" t="s">
        <v>2151</v>
      </c>
      <c r="C7889">
        <v>5</v>
      </c>
      <c r="D7889">
        <v>196</v>
      </c>
      <c r="E7889">
        <f>IF(OR(B7889="vi",B7889="ii",B7889="pod"),(((D7889/100)*(C7889*VLOOKUP(B7889,'Poids des runes'!A:B,2,FALSE)))+1),(((D7889/100)*(C7889*VLOOKUP(B7889,'Poids des runes'!A:B,2,FALSE)))+1)/VLOOKUP(B7889,'Poids des runes'!A:B,2,FALSE))</f>
        <v>9.9</v>
      </c>
      <c r="F7889">
        <f t="shared" si="123"/>
        <v>9.9</v>
      </c>
    </row>
    <row r="7890" spans="1:6" x14ac:dyDescent="0.3">
      <c r="A7890" t="s">
        <v>1368</v>
      </c>
      <c r="B7890" t="s">
        <v>2143</v>
      </c>
      <c r="C7890">
        <v>8.5</v>
      </c>
      <c r="D7890">
        <v>196</v>
      </c>
      <c r="E7890">
        <f>IF(OR(B7890="vi",B7890="ii",B7890="pod"),(((D7890/100)*(C7890*VLOOKUP(B7890,'Poids des runes'!A:B,2,FALSE)))+1),(((D7890/100)*(C7890*VLOOKUP(B7890,'Poids des runes'!A:B,2,FALSE)))+1)/VLOOKUP(B7890,'Poids des runes'!A:B,2,FALSE))</f>
        <v>16.86</v>
      </c>
      <c r="F7890">
        <f t="shared" si="123"/>
        <v>16.86</v>
      </c>
    </row>
    <row r="7891" spans="1:6" x14ac:dyDescent="0.3">
      <c r="A7891" t="s">
        <v>1368</v>
      </c>
      <c r="B7891" t="s">
        <v>2140</v>
      </c>
      <c r="C7891">
        <v>8.5</v>
      </c>
      <c r="D7891">
        <v>196</v>
      </c>
      <c r="E7891">
        <f>IF(OR(B7891="vi",B7891="ii",B7891="pod"),(((D7891/100)*(C7891*VLOOKUP(B7891,'Poids des runes'!A:B,2,FALSE)))+1),(((D7891/100)*(C7891*VLOOKUP(B7891,'Poids des runes'!A:B,2,FALSE)))+1)/VLOOKUP(B7891,'Poids des runes'!A:B,2,FALSE))</f>
        <v>16.86</v>
      </c>
      <c r="F7891">
        <f t="shared" si="123"/>
        <v>16.86</v>
      </c>
    </row>
    <row r="7892" spans="1:6" x14ac:dyDescent="0.3">
      <c r="A7892" t="s">
        <v>1368</v>
      </c>
      <c r="B7892" t="s">
        <v>2133</v>
      </c>
      <c r="C7892">
        <v>8.5</v>
      </c>
      <c r="D7892">
        <v>196</v>
      </c>
      <c r="E7892">
        <f>IF(OR(B7892="vi",B7892="ii",B7892="pod"),(((D7892/100)*(C7892*VLOOKUP(B7892,'Poids des runes'!A:B,2,FALSE)))+1),(((D7892/100)*(C7892*VLOOKUP(B7892,'Poids des runes'!A:B,2,FALSE)))+1)/VLOOKUP(B7892,'Poids des runes'!A:B,2,FALSE))</f>
        <v>16.86</v>
      </c>
      <c r="F7892">
        <f t="shared" si="123"/>
        <v>16.86</v>
      </c>
    </row>
    <row r="7893" spans="1:6" x14ac:dyDescent="0.3">
      <c r="A7893" t="s">
        <v>1368</v>
      </c>
      <c r="B7893" t="s">
        <v>2161</v>
      </c>
      <c r="C7893">
        <v>13</v>
      </c>
      <c r="D7893">
        <v>196</v>
      </c>
      <c r="E7893">
        <f>IF(OR(B7893="vi",B7893="ii",B7893="pod"),(((D7893/100)*(C7893*VLOOKUP(B7893,'Poids des runes'!A:B,2,FALSE)))+1),(((D7893/100)*(C7893*VLOOKUP(B7893,'Poids des runes'!A:B,2,FALSE)))+1)/VLOOKUP(B7893,'Poids des runes'!A:B,2,FALSE))</f>
        <v>25.813333333333333</v>
      </c>
      <c r="F7893">
        <f t="shared" si="123"/>
        <v>25.813333333333333</v>
      </c>
    </row>
    <row r="7894" spans="1:6" x14ac:dyDescent="0.3">
      <c r="A7894" t="s">
        <v>1368</v>
      </c>
      <c r="B7894" t="s">
        <v>2138</v>
      </c>
      <c r="C7894">
        <v>8.5</v>
      </c>
      <c r="D7894">
        <v>196</v>
      </c>
      <c r="E7894">
        <f>IF(OR(B7894="vi",B7894="ii",B7894="pod"),(((D7894/100)*(C7894*VLOOKUP(B7894,'Poids des runes'!A:B,2,FALSE)))+1),(((D7894/100)*(C7894*VLOOKUP(B7894,'Poids des runes'!A:B,2,FALSE)))+1)/VLOOKUP(B7894,'Poids des runes'!A:B,2,FALSE))</f>
        <v>16.91</v>
      </c>
      <c r="F7894">
        <f t="shared" si="123"/>
        <v>16.91</v>
      </c>
    </row>
    <row r="7895" spans="1:6" x14ac:dyDescent="0.3">
      <c r="A7895" t="s">
        <v>1368</v>
      </c>
      <c r="B7895" t="s">
        <v>2162</v>
      </c>
      <c r="C7895">
        <v>7</v>
      </c>
      <c r="D7895">
        <v>196</v>
      </c>
      <c r="E7895">
        <f>IF(OR(B7895="vi",B7895="ii",B7895="pod"),(((D7895/100)*(C7895*VLOOKUP(B7895,'Poids des runes'!A:B,2,FALSE)))+1),(((D7895/100)*(C7895*VLOOKUP(B7895,'Poids des runes'!A:B,2,FALSE)))+1)/VLOOKUP(B7895,'Poids des runes'!A:B,2,FALSE))</f>
        <v>13.862857142857141</v>
      </c>
      <c r="F7895">
        <f t="shared" si="123"/>
        <v>13.862857142857141</v>
      </c>
    </row>
    <row r="7896" spans="1:6" x14ac:dyDescent="0.3">
      <c r="A7896" t="s">
        <v>1368</v>
      </c>
      <c r="B7896" t="s">
        <v>2147</v>
      </c>
      <c r="C7896">
        <v>6</v>
      </c>
      <c r="D7896">
        <v>196</v>
      </c>
      <c r="E7896">
        <f>IF(OR(B7896="vi",B7896="ii",B7896="pod"),(((D7896/100)*(C7896*VLOOKUP(B7896,'Poids des runes'!A:B,2,FALSE)))+1),(((D7896/100)*(C7896*VLOOKUP(B7896,'Poids des runes'!A:B,2,FALSE)))+1)/VLOOKUP(B7896,'Poids des runes'!A:B,2,FALSE))</f>
        <v>11.926666666666668</v>
      </c>
      <c r="F7896">
        <f t="shared" si="123"/>
        <v>11.926666666666668</v>
      </c>
    </row>
    <row r="7897" spans="1:6" x14ac:dyDescent="0.3">
      <c r="A7897" t="s">
        <v>1368</v>
      </c>
      <c r="B7897" t="s">
        <v>2157</v>
      </c>
      <c r="C7897">
        <v>6</v>
      </c>
      <c r="D7897">
        <v>196</v>
      </c>
      <c r="E7897">
        <f>IF(OR(B7897="vi",B7897="ii",B7897="pod"),(((D7897/100)*(C7897*VLOOKUP(B7897,'Poids des runes'!A:B,2,FALSE)))+1),(((D7897/100)*(C7897*VLOOKUP(B7897,'Poids des runes'!A:B,2,FALSE)))+1)/VLOOKUP(B7897,'Poids des runes'!A:B,2,FALSE))</f>
        <v>11.926666666666668</v>
      </c>
      <c r="F7897">
        <f t="shared" si="123"/>
        <v>11.926666666666668</v>
      </c>
    </row>
    <row r="7898" spans="1:6" x14ac:dyDescent="0.3">
      <c r="A7898" t="s">
        <v>1369</v>
      </c>
      <c r="B7898" t="s">
        <v>2128</v>
      </c>
      <c r="C7898">
        <v>375.5</v>
      </c>
      <c r="D7898">
        <v>196</v>
      </c>
      <c r="E7898">
        <f>IF(OR(B7898="vi",B7898="ii",B7898="pod"),(((D7898/100)*(C7898*VLOOKUP(B7898,'Poids des runes'!A:B,2,FALSE)))+1),(((D7898/100)*(C7898*VLOOKUP(B7898,'Poids des runes'!A:B,2,FALSE)))+1)/VLOOKUP(B7898,'Poids des runes'!A:B,2,FALSE))</f>
        <v>148.19600000000003</v>
      </c>
      <c r="F7898">
        <f t="shared" si="123"/>
        <v>148.19600000000003</v>
      </c>
    </row>
    <row r="7899" spans="1:6" x14ac:dyDescent="0.3">
      <c r="A7899" t="s">
        <v>1369</v>
      </c>
      <c r="B7899" t="s">
        <v>2130</v>
      </c>
      <c r="C7899">
        <v>50.5</v>
      </c>
      <c r="D7899">
        <v>196</v>
      </c>
      <c r="E7899">
        <f>IF(OR(B7899="vi",B7899="ii",B7899="pod"),(((D7899/100)*(C7899*VLOOKUP(B7899,'Poids des runes'!A:B,2,FALSE)))+1),(((D7899/100)*(C7899*VLOOKUP(B7899,'Poids des runes'!A:B,2,FALSE)))+1)/VLOOKUP(B7899,'Poids des runes'!A:B,2,FALSE))</f>
        <v>99.98</v>
      </c>
      <c r="F7899">
        <f t="shared" si="123"/>
        <v>99.98</v>
      </c>
    </row>
    <row r="7900" spans="1:6" x14ac:dyDescent="0.3">
      <c r="A7900" t="s">
        <v>1369</v>
      </c>
      <c r="B7900" t="s">
        <v>2129</v>
      </c>
      <c r="C7900">
        <v>35.5</v>
      </c>
      <c r="D7900">
        <v>196</v>
      </c>
      <c r="E7900">
        <f>IF(OR(B7900="vi",B7900="ii",B7900="pod"),(((D7900/100)*(C7900*VLOOKUP(B7900,'Poids des runes'!A:B,2,FALSE)))+1),(((D7900/100)*(C7900*VLOOKUP(B7900,'Poids des runes'!A:B,2,FALSE)))+1)/VLOOKUP(B7900,'Poids des runes'!A:B,2,FALSE))</f>
        <v>70.58</v>
      </c>
      <c r="F7900">
        <f t="shared" si="123"/>
        <v>70.58</v>
      </c>
    </row>
    <row r="7901" spans="1:6" x14ac:dyDescent="0.3">
      <c r="A7901" t="s">
        <v>1369</v>
      </c>
      <c r="B7901" t="s">
        <v>2151</v>
      </c>
      <c r="C7901">
        <v>3.5</v>
      </c>
      <c r="D7901">
        <v>196</v>
      </c>
      <c r="E7901">
        <f>IF(OR(B7901="vi",B7901="ii",B7901="pod"),(((D7901/100)*(C7901*VLOOKUP(B7901,'Poids des runes'!A:B,2,FALSE)))+1),(((D7901/100)*(C7901*VLOOKUP(B7901,'Poids des runes'!A:B,2,FALSE)))+1)/VLOOKUP(B7901,'Poids des runes'!A:B,2,FALSE))</f>
        <v>6.9599999999999991</v>
      </c>
      <c r="F7901">
        <f t="shared" si="123"/>
        <v>6.9599999999999991</v>
      </c>
    </row>
    <row r="7902" spans="1:6" x14ac:dyDescent="0.3">
      <c r="A7902" t="s">
        <v>1369</v>
      </c>
      <c r="B7902" t="s">
        <v>2143</v>
      </c>
      <c r="C7902">
        <v>14</v>
      </c>
      <c r="D7902">
        <v>196</v>
      </c>
      <c r="E7902">
        <f>IF(OR(B7902="vi",B7902="ii",B7902="pod"),(((D7902/100)*(C7902*VLOOKUP(B7902,'Poids des runes'!A:B,2,FALSE)))+1),(((D7902/100)*(C7902*VLOOKUP(B7902,'Poids des runes'!A:B,2,FALSE)))+1)/VLOOKUP(B7902,'Poids des runes'!A:B,2,FALSE))</f>
        <v>27.639999999999997</v>
      </c>
      <c r="F7902">
        <f t="shared" si="123"/>
        <v>27.639999999999997</v>
      </c>
    </row>
    <row r="7903" spans="1:6" x14ac:dyDescent="0.3">
      <c r="A7903" t="s">
        <v>1369</v>
      </c>
      <c r="B7903" t="s">
        <v>2132</v>
      </c>
      <c r="C7903">
        <v>250.5</v>
      </c>
      <c r="D7903">
        <v>196</v>
      </c>
      <c r="E7903">
        <f>IF(OR(B7903="vi",B7903="ii",B7903="pod"),(((D7903/100)*(C7903*VLOOKUP(B7903,'Poids des runes'!A:B,2,FALSE)))+1),(((D7903/100)*(C7903*VLOOKUP(B7903,'Poids des runes'!A:B,2,FALSE)))+1)/VLOOKUP(B7903,'Poids des runes'!A:B,2,FALSE))</f>
        <v>50.097999999999999</v>
      </c>
      <c r="F7903">
        <f t="shared" si="123"/>
        <v>50.097999999999999</v>
      </c>
    </row>
    <row r="7904" spans="1:6" x14ac:dyDescent="0.3">
      <c r="A7904" t="s">
        <v>1369</v>
      </c>
      <c r="B7904" t="s">
        <v>2138</v>
      </c>
      <c r="C7904">
        <v>8.5</v>
      </c>
      <c r="D7904">
        <v>196</v>
      </c>
      <c r="E7904">
        <f>IF(OR(B7904="vi",B7904="ii",B7904="pod"),(((D7904/100)*(C7904*VLOOKUP(B7904,'Poids des runes'!A:B,2,FALSE)))+1),(((D7904/100)*(C7904*VLOOKUP(B7904,'Poids des runes'!A:B,2,FALSE)))+1)/VLOOKUP(B7904,'Poids des runes'!A:B,2,FALSE))</f>
        <v>16.91</v>
      </c>
      <c r="F7904">
        <f t="shared" si="123"/>
        <v>16.91</v>
      </c>
    </row>
    <row r="7905" spans="1:6" x14ac:dyDescent="0.3">
      <c r="A7905" t="s">
        <v>1369</v>
      </c>
      <c r="B7905" t="s">
        <v>2156</v>
      </c>
      <c r="C7905">
        <v>8.5</v>
      </c>
      <c r="D7905">
        <v>196</v>
      </c>
      <c r="E7905">
        <f>IF(OR(B7905="vi",B7905="ii",B7905="pod"),(((D7905/100)*(C7905*VLOOKUP(B7905,'Poids des runes'!A:B,2,FALSE)))+1),(((D7905/100)*(C7905*VLOOKUP(B7905,'Poids des runes'!A:B,2,FALSE)))+1)/VLOOKUP(B7905,'Poids des runes'!A:B,2,FALSE))</f>
        <v>16.826666666666664</v>
      </c>
      <c r="F7905">
        <f t="shared" si="123"/>
        <v>16.826666666666664</v>
      </c>
    </row>
    <row r="7906" spans="1:6" x14ac:dyDescent="0.3">
      <c r="A7906" t="s">
        <v>1369</v>
      </c>
      <c r="B7906" t="s">
        <v>2144</v>
      </c>
      <c r="C7906">
        <v>12</v>
      </c>
      <c r="D7906">
        <v>196</v>
      </c>
      <c r="E7906">
        <f>IF(OR(B7906="vi",B7906="ii",B7906="pod"),(((D7906/100)*(C7906*VLOOKUP(B7906,'Poids des runes'!A:B,2,FALSE)))+1),(((D7906/100)*(C7906*VLOOKUP(B7906,'Poids des runes'!A:B,2,FALSE)))+1)/VLOOKUP(B7906,'Poids des runes'!A:B,2,FALSE))</f>
        <v>24.02</v>
      </c>
      <c r="F7906">
        <f t="shared" si="123"/>
        <v>24.02</v>
      </c>
    </row>
    <row r="7907" spans="1:6" x14ac:dyDescent="0.3">
      <c r="A7907" t="s">
        <v>1369</v>
      </c>
      <c r="B7907" t="s">
        <v>2146</v>
      </c>
      <c r="C7907">
        <v>12</v>
      </c>
      <c r="D7907">
        <v>196</v>
      </c>
      <c r="E7907">
        <f>IF(OR(B7907="vi",B7907="ii",B7907="pod"),(((D7907/100)*(C7907*VLOOKUP(B7907,'Poids des runes'!A:B,2,FALSE)))+1),(((D7907/100)*(C7907*VLOOKUP(B7907,'Poids des runes'!A:B,2,FALSE)))+1)/VLOOKUP(B7907,'Poids des runes'!A:B,2,FALSE))</f>
        <v>24.02</v>
      </c>
      <c r="F7907">
        <f t="shared" si="123"/>
        <v>24.02</v>
      </c>
    </row>
    <row r="7908" spans="1:6" x14ac:dyDescent="0.3">
      <c r="A7908" t="s">
        <v>1370</v>
      </c>
      <c r="B7908" t="s">
        <v>2128</v>
      </c>
      <c r="C7908">
        <v>325.5</v>
      </c>
      <c r="D7908">
        <v>196</v>
      </c>
      <c r="E7908">
        <f>IF(OR(B7908="vi",B7908="ii",B7908="pod"),(((D7908/100)*(C7908*VLOOKUP(B7908,'Poids des runes'!A:B,2,FALSE)))+1),(((D7908/100)*(C7908*VLOOKUP(B7908,'Poids des runes'!A:B,2,FALSE)))+1)/VLOOKUP(B7908,'Poids des runes'!A:B,2,FALSE))</f>
        <v>128.596</v>
      </c>
      <c r="F7908">
        <f t="shared" si="123"/>
        <v>128.596</v>
      </c>
    </row>
    <row r="7909" spans="1:6" x14ac:dyDescent="0.3">
      <c r="A7909" t="s">
        <v>1370</v>
      </c>
      <c r="B7909" t="s">
        <v>2126</v>
      </c>
      <c r="C7909">
        <v>40.5</v>
      </c>
      <c r="D7909">
        <v>196</v>
      </c>
      <c r="E7909">
        <f>IF(OR(B7909="vi",B7909="ii",B7909="pod"),(((D7909/100)*(C7909*VLOOKUP(B7909,'Poids des runes'!A:B,2,FALSE)))+1),(((D7909/100)*(C7909*VLOOKUP(B7909,'Poids des runes'!A:B,2,FALSE)))+1)/VLOOKUP(B7909,'Poids des runes'!A:B,2,FALSE))</f>
        <v>80.38</v>
      </c>
      <c r="F7909">
        <f t="shared" si="123"/>
        <v>80.38</v>
      </c>
    </row>
    <row r="7910" spans="1:6" x14ac:dyDescent="0.3">
      <c r="A7910" t="s">
        <v>1370</v>
      </c>
      <c r="B7910" t="s">
        <v>2129</v>
      </c>
      <c r="C7910">
        <v>35.5</v>
      </c>
      <c r="D7910">
        <v>196</v>
      </c>
      <c r="E7910">
        <f>IF(OR(B7910="vi",B7910="ii",B7910="pod"),(((D7910/100)*(C7910*VLOOKUP(B7910,'Poids des runes'!A:B,2,FALSE)))+1),(((D7910/100)*(C7910*VLOOKUP(B7910,'Poids des runes'!A:B,2,FALSE)))+1)/VLOOKUP(B7910,'Poids des runes'!A:B,2,FALSE))</f>
        <v>70.58</v>
      </c>
      <c r="F7910">
        <f t="shared" si="123"/>
        <v>70.58</v>
      </c>
    </row>
    <row r="7911" spans="1:6" x14ac:dyDescent="0.3">
      <c r="A7911" t="s">
        <v>1370</v>
      </c>
      <c r="B7911" t="s">
        <v>2151</v>
      </c>
      <c r="C7911">
        <v>2.5</v>
      </c>
      <c r="D7911">
        <v>196</v>
      </c>
      <c r="E7911">
        <f>IF(OR(B7911="vi",B7911="ii",B7911="pod"),(((D7911/100)*(C7911*VLOOKUP(B7911,'Poids des runes'!A:B,2,FALSE)))+1),(((D7911/100)*(C7911*VLOOKUP(B7911,'Poids des runes'!A:B,2,FALSE)))+1)/VLOOKUP(B7911,'Poids des runes'!A:B,2,FALSE))</f>
        <v>5</v>
      </c>
      <c r="F7911">
        <f t="shared" si="123"/>
        <v>5</v>
      </c>
    </row>
    <row r="7912" spans="1:6" x14ac:dyDescent="0.3">
      <c r="A7912" t="s">
        <v>1370</v>
      </c>
      <c r="B7912" t="s">
        <v>2143</v>
      </c>
      <c r="C7912">
        <v>18</v>
      </c>
      <c r="D7912">
        <v>196</v>
      </c>
      <c r="E7912">
        <f>IF(OR(B7912="vi",B7912="ii",B7912="pod"),(((D7912/100)*(C7912*VLOOKUP(B7912,'Poids des runes'!A:B,2,FALSE)))+1),(((D7912/100)*(C7912*VLOOKUP(B7912,'Poids des runes'!A:B,2,FALSE)))+1)/VLOOKUP(B7912,'Poids des runes'!A:B,2,FALSE))</f>
        <v>35.480000000000004</v>
      </c>
      <c r="F7912">
        <f t="shared" si="123"/>
        <v>35.480000000000004</v>
      </c>
    </row>
    <row r="7913" spans="1:6" x14ac:dyDescent="0.3">
      <c r="A7913" t="s">
        <v>1370</v>
      </c>
      <c r="B7913" t="s">
        <v>2140</v>
      </c>
      <c r="C7913">
        <v>18</v>
      </c>
      <c r="D7913">
        <v>196</v>
      </c>
      <c r="E7913">
        <f>IF(OR(B7913="vi",B7913="ii",B7913="pod"),(((D7913/100)*(C7913*VLOOKUP(B7913,'Poids des runes'!A:B,2,FALSE)))+1),(((D7913/100)*(C7913*VLOOKUP(B7913,'Poids des runes'!A:B,2,FALSE)))+1)/VLOOKUP(B7913,'Poids des runes'!A:B,2,FALSE))</f>
        <v>35.480000000000004</v>
      </c>
      <c r="F7913">
        <f t="shared" si="123"/>
        <v>35.480000000000004</v>
      </c>
    </row>
    <row r="7914" spans="1:6" x14ac:dyDescent="0.3">
      <c r="A7914" t="s">
        <v>1370</v>
      </c>
      <c r="B7914" t="s">
        <v>2138</v>
      </c>
      <c r="C7914">
        <v>8.5</v>
      </c>
      <c r="D7914">
        <v>196</v>
      </c>
      <c r="E7914">
        <f>IF(OR(B7914="vi",B7914="ii",B7914="pod"),(((D7914/100)*(C7914*VLOOKUP(B7914,'Poids des runes'!A:B,2,FALSE)))+1),(((D7914/100)*(C7914*VLOOKUP(B7914,'Poids des runes'!A:B,2,FALSE)))+1)/VLOOKUP(B7914,'Poids des runes'!A:B,2,FALSE))</f>
        <v>16.91</v>
      </c>
      <c r="F7914">
        <f t="shared" si="123"/>
        <v>16.91</v>
      </c>
    </row>
    <row r="7915" spans="1:6" x14ac:dyDescent="0.3">
      <c r="A7915" t="s">
        <v>1370</v>
      </c>
      <c r="B7915" t="s">
        <v>2163</v>
      </c>
      <c r="C7915">
        <v>8.5</v>
      </c>
      <c r="D7915">
        <v>196</v>
      </c>
      <c r="E7915">
        <f>IF(OR(B7915="vi",B7915="ii",B7915="pod"),(((D7915/100)*(C7915*VLOOKUP(B7915,'Poids des runes'!A:B,2,FALSE)))+1),(((D7915/100)*(C7915*VLOOKUP(B7915,'Poids des runes'!A:B,2,FALSE)))+1)/VLOOKUP(B7915,'Poids des runes'!A:B,2,FALSE))</f>
        <v>17.16</v>
      </c>
      <c r="F7915">
        <f t="shared" si="123"/>
        <v>17.16</v>
      </c>
    </row>
    <row r="7916" spans="1:6" x14ac:dyDescent="0.3">
      <c r="A7916" t="s">
        <v>1370</v>
      </c>
      <c r="B7916" t="s">
        <v>2135</v>
      </c>
      <c r="C7916">
        <v>5</v>
      </c>
      <c r="D7916">
        <v>196</v>
      </c>
      <c r="E7916">
        <f>IF(OR(B7916="vi",B7916="ii",B7916="pod"),(((D7916/100)*(C7916*VLOOKUP(B7916,'Poids des runes'!A:B,2,FALSE)))+1),(((D7916/100)*(C7916*VLOOKUP(B7916,'Poids des runes'!A:B,2,FALSE)))+1)/VLOOKUP(B7916,'Poids des runes'!A:B,2,FALSE))</f>
        <v>9.9666666666666668</v>
      </c>
      <c r="F7916">
        <f t="shared" si="123"/>
        <v>9.9666666666666668</v>
      </c>
    </row>
    <row r="7917" spans="1:6" x14ac:dyDescent="0.3">
      <c r="A7917" t="s">
        <v>1370</v>
      </c>
      <c r="B7917" t="s">
        <v>2157</v>
      </c>
      <c r="C7917">
        <v>5</v>
      </c>
      <c r="D7917">
        <v>196</v>
      </c>
      <c r="E7917">
        <f>IF(OR(B7917="vi",B7917="ii",B7917="pod"),(((D7917/100)*(C7917*VLOOKUP(B7917,'Poids des runes'!A:B,2,FALSE)))+1),(((D7917/100)*(C7917*VLOOKUP(B7917,'Poids des runes'!A:B,2,FALSE)))+1)/VLOOKUP(B7917,'Poids des runes'!A:B,2,FALSE))</f>
        <v>9.9666666666666668</v>
      </c>
      <c r="F7917">
        <f t="shared" si="123"/>
        <v>9.9666666666666668</v>
      </c>
    </row>
    <row r="7918" spans="1:6" x14ac:dyDescent="0.3">
      <c r="A7918" t="s">
        <v>1371</v>
      </c>
      <c r="B7918" t="s">
        <v>2128</v>
      </c>
      <c r="C7918">
        <v>325.5</v>
      </c>
      <c r="D7918">
        <v>196</v>
      </c>
      <c r="E7918">
        <f>IF(OR(B7918="vi",B7918="ii",B7918="pod"),(((D7918/100)*(C7918*VLOOKUP(B7918,'Poids des runes'!A:B,2,FALSE)))+1),(((D7918/100)*(C7918*VLOOKUP(B7918,'Poids des runes'!A:B,2,FALSE)))+1)/VLOOKUP(B7918,'Poids des runes'!A:B,2,FALSE))</f>
        <v>128.596</v>
      </c>
      <c r="F7918">
        <f t="shared" si="123"/>
        <v>128.596</v>
      </c>
    </row>
    <row r="7919" spans="1:6" x14ac:dyDescent="0.3">
      <c r="A7919" t="s">
        <v>1371</v>
      </c>
      <c r="B7919" t="s">
        <v>2130</v>
      </c>
      <c r="C7919">
        <v>50.5</v>
      </c>
      <c r="D7919">
        <v>196</v>
      </c>
      <c r="E7919">
        <f>IF(OR(B7919="vi",B7919="ii",B7919="pod"),(((D7919/100)*(C7919*VLOOKUP(B7919,'Poids des runes'!A:B,2,FALSE)))+1),(((D7919/100)*(C7919*VLOOKUP(B7919,'Poids des runes'!A:B,2,FALSE)))+1)/VLOOKUP(B7919,'Poids des runes'!A:B,2,FALSE))</f>
        <v>99.98</v>
      </c>
      <c r="F7919">
        <f t="shared" si="123"/>
        <v>99.98</v>
      </c>
    </row>
    <row r="7920" spans="1:6" x14ac:dyDescent="0.3">
      <c r="A7920" t="s">
        <v>1371</v>
      </c>
      <c r="B7920" t="s">
        <v>2127</v>
      </c>
      <c r="C7920">
        <v>50.5</v>
      </c>
      <c r="D7920">
        <v>196</v>
      </c>
      <c r="E7920">
        <f>IF(OR(B7920="vi",B7920="ii",B7920="pod"),(((D7920/100)*(C7920*VLOOKUP(B7920,'Poids des runes'!A:B,2,FALSE)))+1),(((D7920/100)*(C7920*VLOOKUP(B7920,'Poids des runes'!A:B,2,FALSE)))+1)/VLOOKUP(B7920,'Poids des runes'!A:B,2,FALSE))</f>
        <v>99.98</v>
      </c>
      <c r="F7920">
        <f t="shared" si="123"/>
        <v>99.98</v>
      </c>
    </row>
    <row r="7921" spans="1:6" x14ac:dyDescent="0.3">
      <c r="A7921" t="s">
        <v>1371</v>
      </c>
      <c r="B7921" t="s">
        <v>2129</v>
      </c>
      <c r="C7921">
        <v>25.5</v>
      </c>
      <c r="D7921">
        <v>196</v>
      </c>
      <c r="E7921">
        <f>IF(OR(B7921="vi",B7921="ii",B7921="pod"),(((D7921/100)*(C7921*VLOOKUP(B7921,'Poids des runes'!A:B,2,FALSE)))+1),(((D7921/100)*(C7921*VLOOKUP(B7921,'Poids des runes'!A:B,2,FALSE)))+1)/VLOOKUP(B7921,'Poids des runes'!A:B,2,FALSE))</f>
        <v>50.98</v>
      </c>
      <c r="F7921">
        <f t="shared" si="123"/>
        <v>50.98</v>
      </c>
    </row>
    <row r="7922" spans="1:6" x14ac:dyDescent="0.3">
      <c r="A7922" t="s">
        <v>1371</v>
      </c>
      <c r="B7922" t="s">
        <v>2143</v>
      </c>
      <c r="C7922">
        <v>18</v>
      </c>
      <c r="D7922">
        <v>196</v>
      </c>
      <c r="E7922">
        <f>IF(OR(B7922="vi",B7922="ii",B7922="pod"),(((D7922/100)*(C7922*VLOOKUP(B7922,'Poids des runes'!A:B,2,FALSE)))+1),(((D7922/100)*(C7922*VLOOKUP(B7922,'Poids des runes'!A:B,2,FALSE)))+1)/VLOOKUP(B7922,'Poids des runes'!A:B,2,FALSE))</f>
        <v>35.480000000000004</v>
      </c>
      <c r="F7922">
        <f t="shared" si="123"/>
        <v>35.480000000000004</v>
      </c>
    </row>
    <row r="7923" spans="1:6" x14ac:dyDescent="0.3">
      <c r="A7923" t="s">
        <v>1371</v>
      </c>
      <c r="B7923" t="s">
        <v>2153</v>
      </c>
      <c r="C7923">
        <v>18</v>
      </c>
      <c r="D7923">
        <v>196</v>
      </c>
      <c r="E7923">
        <f>IF(OR(B7923="vi",B7923="ii",B7923="pod"),(((D7923/100)*(C7923*VLOOKUP(B7923,'Poids des runes'!A:B,2,FALSE)))+1),(((D7923/100)*(C7923*VLOOKUP(B7923,'Poids des runes'!A:B,2,FALSE)))+1)/VLOOKUP(B7923,'Poids des runes'!A:B,2,FALSE))</f>
        <v>35.480000000000004</v>
      </c>
      <c r="F7923">
        <f t="shared" si="123"/>
        <v>35.480000000000004</v>
      </c>
    </row>
    <row r="7924" spans="1:6" x14ac:dyDescent="0.3">
      <c r="A7924" t="s">
        <v>1371</v>
      </c>
      <c r="B7924" t="s">
        <v>2161</v>
      </c>
      <c r="C7924">
        <v>13</v>
      </c>
      <c r="D7924">
        <v>196</v>
      </c>
      <c r="E7924">
        <f>IF(OR(B7924="vi",B7924="ii",B7924="pod"),(((D7924/100)*(C7924*VLOOKUP(B7924,'Poids des runes'!A:B,2,FALSE)))+1),(((D7924/100)*(C7924*VLOOKUP(B7924,'Poids des runes'!A:B,2,FALSE)))+1)/VLOOKUP(B7924,'Poids des runes'!A:B,2,FALSE))</f>
        <v>25.813333333333333</v>
      </c>
      <c r="F7924">
        <f t="shared" si="123"/>
        <v>25.813333333333333</v>
      </c>
    </row>
    <row r="7925" spans="1:6" x14ac:dyDescent="0.3">
      <c r="A7925" t="s">
        <v>1371</v>
      </c>
      <c r="B7925" t="s">
        <v>2141</v>
      </c>
      <c r="C7925">
        <v>7</v>
      </c>
      <c r="D7925">
        <v>196</v>
      </c>
      <c r="E7925">
        <f>IF(OR(B7925="vi",B7925="ii",B7925="pod"),(((D7925/100)*(C7925*VLOOKUP(B7925,'Poids des runes'!A:B,2,FALSE)))+1),(((D7925/100)*(C7925*VLOOKUP(B7925,'Poids des runes'!A:B,2,FALSE)))+1)/VLOOKUP(B7925,'Poids des runes'!A:B,2,FALSE))</f>
        <v>13.969999999999999</v>
      </c>
      <c r="F7925">
        <f t="shared" si="123"/>
        <v>13.969999999999999</v>
      </c>
    </row>
    <row r="7926" spans="1:6" x14ac:dyDescent="0.3">
      <c r="A7926" t="s">
        <v>1371</v>
      </c>
      <c r="B7926" t="s">
        <v>2162</v>
      </c>
      <c r="C7926">
        <v>5</v>
      </c>
      <c r="D7926">
        <v>196</v>
      </c>
      <c r="E7926">
        <f>IF(OR(B7926="vi",B7926="ii",B7926="pod"),(((D7926/100)*(C7926*VLOOKUP(B7926,'Poids des runes'!A:B,2,FALSE)))+1),(((D7926/100)*(C7926*VLOOKUP(B7926,'Poids des runes'!A:B,2,FALSE)))+1)/VLOOKUP(B7926,'Poids des runes'!A:B,2,FALSE))</f>
        <v>9.9428571428571413</v>
      </c>
      <c r="F7926">
        <f t="shared" si="123"/>
        <v>9.9428571428571413</v>
      </c>
    </row>
    <row r="7927" spans="1:6" x14ac:dyDescent="0.3">
      <c r="A7927" t="s">
        <v>1371</v>
      </c>
      <c r="B7927" t="s">
        <v>2148</v>
      </c>
      <c r="C7927">
        <v>7</v>
      </c>
      <c r="D7927">
        <v>196</v>
      </c>
      <c r="E7927">
        <f>IF(OR(B7927="vi",B7927="ii",B7927="pod"),(((D7927/100)*(C7927*VLOOKUP(B7927,'Poids des runes'!A:B,2,FALSE)))+1),(((D7927/100)*(C7927*VLOOKUP(B7927,'Poids des runes'!A:B,2,FALSE)))+1)/VLOOKUP(B7927,'Poids des runes'!A:B,2,FALSE))</f>
        <v>13.886666666666665</v>
      </c>
      <c r="F7927">
        <f t="shared" si="123"/>
        <v>13.886666666666665</v>
      </c>
    </row>
    <row r="7928" spans="1:6" x14ac:dyDescent="0.3">
      <c r="A7928" t="s">
        <v>1371</v>
      </c>
      <c r="B7928" t="s">
        <v>2147</v>
      </c>
      <c r="C7928">
        <v>7</v>
      </c>
      <c r="D7928">
        <v>196</v>
      </c>
      <c r="E7928">
        <f>IF(OR(B7928="vi",B7928="ii",B7928="pod"),(((D7928/100)*(C7928*VLOOKUP(B7928,'Poids des runes'!A:B,2,FALSE)))+1),(((D7928/100)*(C7928*VLOOKUP(B7928,'Poids des runes'!A:B,2,FALSE)))+1)/VLOOKUP(B7928,'Poids des runes'!A:B,2,FALSE))</f>
        <v>13.886666666666665</v>
      </c>
      <c r="F7928">
        <f t="shared" si="123"/>
        <v>13.886666666666665</v>
      </c>
    </row>
    <row r="7929" spans="1:6" x14ac:dyDescent="0.3">
      <c r="A7929" t="s">
        <v>1372</v>
      </c>
      <c r="B7929" t="s">
        <v>2128</v>
      </c>
      <c r="C7929">
        <v>325.5</v>
      </c>
      <c r="D7929">
        <v>196</v>
      </c>
      <c r="E7929">
        <f>IF(OR(B7929="vi",B7929="ii",B7929="pod"),(((D7929/100)*(C7929*VLOOKUP(B7929,'Poids des runes'!A:B,2,FALSE)))+1),(((D7929/100)*(C7929*VLOOKUP(B7929,'Poids des runes'!A:B,2,FALSE)))+1)/VLOOKUP(B7929,'Poids des runes'!A:B,2,FALSE))</f>
        <v>128.596</v>
      </c>
      <c r="F7929">
        <f t="shared" si="123"/>
        <v>128.596</v>
      </c>
    </row>
    <row r="7930" spans="1:6" x14ac:dyDescent="0.3">
      <c r="A7930" t="s">
        <v>1372</v>
      </c>
      <c r="B7930" t="s">
        <v>2129</v>
      </c>
      <c r="C7930">
        <v>50.5</v>
      </c>
      <c r="D7930">
        <v>196</v>
      </c>
      <c r="E7930">
        <f>IF(OR(B7930="vi",B7930="ii",B7930="pod"),(((D7930/100)*(C7930*VLOOKUP(B7930,'Poids des runes'!A:B,2,FALSE)))+1),(((D7930/100)*(C7930*VLOOKUP(B7930,'Poids des runes'!A:B,2,FALSE)))+1)/VLOOKUP(B7930,'Poids des runes'!A:B,2,FALSE))</f>
        <v>99.98</v>
      </c>
      <c r="F7930">
        <f t="shared" si="123"/>
        <v>99.98</v>
      </c>
    </row>
    <row r="7931" spans="1:6" x14ac:dyDescent="0.3">
      <c r="A7931" t="s">
        <v>1372</v>
      </c>
      <c r="B7931" t="s">
        <v>2150</v>
      </c>
      <c r="C7931">
        <v>2</v>
      </c>
      <c r="D7931">
        <v>196</v>
      </c>
      <c r="E7931">
        <f>IF(OR(B7931="vi",B7931="ii",B7931="pod"),(((D7931/100)*(C7931*VLOOKUP(B7931,'Poids des runes'!A:B,2,FALSE)))+1),(((D7931/100)*(C7931*VLOOKUP(B7931,'Poids des runes'!A:B,2,FALSE)))+1)/VLOOKUP(B7931,'Poids des runes'!A:B,2,FALSE))</f>
        <v>3.9533333333333331</v>
      </c>
      <c r="F7931">
        <f t="shared" si="123"/>
        <v>3.9533333333333331</v>
      </c>
    </row>
    <row r="7932" spans="1:6" x14ac:dyDescent="0.3">
      <c r="A7932" t="s">
        <v>1372</v>
      </c>
      <c r="B7932" t="s">
        <v>2149</v>
      </c>
      <c r="C7932">
        <v>18</v>
      </c>
      <c r="D7932">
        <v>196</v>
      </c>
      <c r="E7932">
        <f>IF(OR(B7932="vi",B7932="ii",B7932="pod"),(((D7932/100)*(C7932*VLOOKUP(B7932,'Poids des runes'!A:B,2,FALSE)))+1),(((D7932/100)*(C7932*VLOOKUP(B7932,'Poids des runes'!A:B,2,FALSE)))+1)/VLOOKUP(B7932,'Poids des runes'!A:B,2,FALSE))</f>
        <v>35.380000000000003</v>
      </c>
      <c r="F7932">
        <f t="shared" si="123"/>
        <v>35.380000000000003</v>
      </c>
    </row>
    <row r="7933" spans="1:6" x14ac:dyDescent="0.3">
      <c r="A7933" t="s">
        <v>1372</v>
      </c>
      <c r="B7933" t="s">
        <v>2132</v>
      </c>
      <c r="C7933">
        <v>450.5</v>
      </c>
      <c r="D7933">
        <v>196</v>
      </c>
      <c r="E7933">
        <f>IF(OR(B7933="vi",B7933="ii",B7933="pod"),(((D7933/100)*(C7933*VLOOKUP(B7933,'Poids des runes'!A:B,2,FALSE)))+1),(((D7933/100)*(C7933*VLOOKUP(B7933,'Poids des runes'!A:B,2,FALSE)))+1)/VLOOKUP(B7933,'Poids des runes'!A:B,2,FALSE))</f>
        <v>89.298000000000002</v>
      </c>
      <c r="F7933">
        <f t="shared" si="123"/>
        <v>89.298000000000002</v>
      </c>
    </row>
    <row r="7934" spans="1:6" x14ac:dyDescent="0.3">
      <c r="A7934" t="s">
        <v>1372</v>
      </c>
      <c r="B7934" t="s">
        <v>2156</v>
      </c>
      <c r="C7934">
        <v>8.5</v>
      </c>
      <c r="D7934">
        <v>196</v>
      </c>
      <c r="E7934">
        <f>IF(OR(B7934="vi",B7934="ii",B7934="pod"),(((D7934/100)*(C7934*VLOOKUP(B7934,'Poids des runes'!A:B,2,FALSE)))+1),(((D7934/100)*(C7934*VLOOKUP(B7934,'Poids des runes'!A:B,2,FALSE)))+1)/VLOOKUP(B7934,'Poids des runes'!A:B,2,FALSE))</f>
        <v>16.826666666666664</v>
      </c>
      <c r="F7934">
        <f t="shared" si="123"/>
        <v>16.826666666666664</v>
      </c>
    </row>
    <row r="7935" spans="1:6" x14ac:dyDescent="0.3">
      <c r="A7935" t="s">
        <v>1372</v>
      </c>
      <c r="B7935" t="s">
        <v>2148</v>
      </c>
      <c r="C7935">
        <v>8.5</v>
      </c>
      <c r="D7935">
        <v>196</v>
      </c>
      <c r="E7935">
        <f>IF(OR(B7935="vi",B7935="ii",B7935="pod"),(((D7935/100)*(C7935*VLOOKUP(B7935,'Poids des runes'!A:B,2,FALSE)))+1),(((D7935/100)*(C7935*VLOOKUP(B7935,'Poids des runes'!A:B,2,FALSE)))+1)/VLOOKUP(B7935,'Poids des runes'!A:B,2,FALSE))</f>
        <v>16.826666666666664</v>
      </c>
      <c r="F7935">
        <f t="shared" si="123"/>
        <v>16.826666666666664</v>
      </c>
    </row>
    <row r="7936" spans="1:6" x14ac:dyDescent="0.3">
      <c r="A7936" t="s">
        <v>1372</v>
      </c>
      <c r="B7936" t="s">
        <v>2135</v>
      </c>
      <c r="C7936">
        <v>8.5</v>
      </c>
      <c r="D7936">
        <v>196</v>
      </c>
      <c r="E7936">
        <f>IF(OR(B7936="vi",B7936="ii",B7936="pod"),(((D7936/100)*(C7936*VLOOKUP(B7936,'Poids des runes'!A:B,2,FALSE)))+1),(((D7936/100)*(C7936*VLOOKUP(B7936,'Poids des runes'!A:B,2,FALSE)))+1)/VLOOKUP(B7936,'Poids des runes'!A:B,2,FALSE))</f>
        <v>16.826666666666664</v>
      </c>
      <c r="F7936">
        <f t="shared" si="123"/>
        <v>16.826666666666664</v>
      </c>
    </row>
    <row r="7937" spans="1:6" x14ac:dyDescent="0.3">
      <c r="A7937" t="s">
        <v>1373</v>
      </c>
      <c r="B7937" t="s">
        <v>2128</v>
      </c>
      <c r="C7937">
        <v>275.5</v>
      </c>
      <c r="D7937">
        <v>196</v>
      </c>
      <c r="E7937">
        <f>IF(OR(B7937="vi",B7937="ii",B7937="pod"),(((D7937/100)*(C7937*VLOOKUP(B7937,'Poids des runes'!A:B,2,FALSE)))+1),(((D7937/100)*(C7937*VLOOKUP(B7937,'Poids des runes'!A:B,2,FALSE)))+1)/VLOOKUP(B7937,'Poids des runes'!A:B,2,FALSE))</f>
        <v>108.996</v>
      </c>
      <c r="F7937">
        <f t="shared" si="123"/>
        <v>108.996</v>
      </c>
    </row>
    <row r="7938" spans="1:6" x14ac:dyDescent="0.3">
      <c r="A7938" t="s">
        <v>1373</v>
      </c>
      <c r="B7938" t="s">
        <v>2130</v>
      </c>
      <c r="C7938">
        <v>40.5</v>
      </c>
      <c r="D7938">
        <v>196</v>
      </c>
      <c r="E7938">
        <f>IF(OR(B7938="vi",B7938="ii",B7938="pod"),(((D7938/100)*(C7938*VLOOKUP(B7938,'Poids des runes'!A:B,2,FALSE)))+1),(((D7938/100)*(C7938*VLOOKUP(B7938,'Poids des runes'!A:B,2,FALSE)))+1)/VLOOKUP(B7938,'Poids des runes'!A:B,2,FALSE))</f>
        <v>80.38</v>
      </c>
      <c r="F7938">
        <f t="shared" si="123"/>
        <v>80.38</v>
      </c>
    </row>
    <row r="7939" spans="1:6" x14ac:dyDescent="0.3">
      <c r="A7939" t="s">
        <v>1373</v>
      </c>
      <c r="B7939" t="s">
        <v>2131</v>
      </c>
      <c r="C7939">
        <v>40.5</v>
      </c>
      <c r="D7939">
        <v>196</v>
      </c>
      <c r="E7939">
        <f>IF(OR(B7939="vi",B7939="ii",B7939="pod"),(((D7939/100)*(C7939*VLOOKUP(B7939,'Poids des runes'!A:B,2,FALSE)))+1),(((D7939/100)*(C7939*VLOOKUP(B7939,'Poids des runes'!A:B,2,FALSE)))+1)/VLOOKUP(B7939,'Poids des runes'!A:B,2,FALSE))</f>
        <v>80.38</v>
      </c>
      <c r="F7939">
        <f t="shared" ref="F7939:F8002" si="124">E7939</f>
        <v>80.38</v>
      </c>
    </row>
    <row r="7940" spans="1:6" x14ac:dyDescent="0.3">
      <c r="A7940" t="s">
        <v>1373</v>
      </c>
      <c r="B7940" t="s">
        <v>2129</v>
      </c>
      <c r="C7940">
        <v>25.5</v>
      </c>
      <c r="D7940">
        <v>196</v>
      </c>
      <c r="E7940">
        <f>IF(OR(B7940="vi",B7940="ii",B7940="pod"),(((D7940/100)*(C7940*VLOOKUP(B7940,'Poids des runes'!A:B,2,FALSE)))+1),(((D7940/100)*(C7940*VLOOKUP(B7940,'Poids des runes'!A:B,2,FALSE)))+1)/VLOOKUP(B7940,'Poids des runes'!A:B,2,FALSE))</f>
        <v>50.98</v>
      </c>
      <c r="F7940">
        <f t="shared" si="124"/>
        <v>50.98</v>
      </c>
    </row>
    <row r="7941" spans="1:6" x14ac:dyDescent="0.3">
      <c r="A7941" t="s">
        <v>1373</v>
      </c>
      <c r="B7941" t="s">
        <v>2151</v>
      </c>
      <c r="C7941">
        <v>5</v>
      </c>
      <c r="D7941">
        <v>196</v>
      </c>
      <c r="E7941">
        <f>IF(OR(B7941="vi",B7941="ii",B7941="pod"),(((D7941/100)*(C7941*VLOOKUP(B7941,'Poids des runes'!A:B,2,FALSE)))+1),(((D7941/100)*(C7941*VLOOKUP(B7941,'Poids des runes'!A:B,2,FALSE)))+1)/VLOOKUP(B7941,'Poids des runes'!A:B,2,FALSE))</f>
        <v>9.9</v>
      </c>
      <c r="F7941">
        <f t="shared" si="124"/>
        <v>9.9</v>
      </c>
    </row>
    <row r="7942" spans="1:6" x14ac:dyDescent="0.3">
      <c r="A7942" t="s">
        <v>1373</v>
      </c>
      <c r="B7942" t="s">
        <v>2152</v>
      </c>
      <c r="C7942">
        <v>1</v>
      </c>
      <c r="D7942">
        <v>196</v>
      </c>
      <c r="E7942">
        <f>IF(OR(B7942="vi",B7942="ii",B7942="pod"),(((D7942/100)*(C7942*VLOOKUP(B7942,'Poids des runes'!A:B,2,FALSE)))+1),(((D7942/100)*(C7942*VLOOKUP(B7942,'Poids des runes'!A:B,2,FALSE)))+1)/VLOOKUP(B7942,'Poids des runes'!A:B,2,FALSE))</f>
        <v>1.97</v>
      </c>
      <c r="F7942">
        <f t="shared" si="124"/>
        <v>1.97</v>
      </c>
    </row>
    <row r="7943" spans="1:6" x14ac:dyDescent="0.3">
      <c r="A7943" t="s">
        <v>1373</v>
      </c>
      <c r="B7943" t="s">
        <v>2143</v>
      </c>
      <c r="C7943">
        <v>10</v>
      </c>
      <c r="D7943">
        <v>196</v>
      </c>
      <c r="E7943">
        <f>IF(OR(B7943="vi",B7943="ii",B7943="pod"),(((D7943/100)*(C7943*VLOOKUP(B7943,'Poids des runes'!A:B,2,FALSE)))+1),(((D7943/100)*(C7943*VLOOKUP(B7943,'Poids des runes'!A:B,2,FALSE)))+1)/VLOOKUP(B7943,'Poids des runes'!A:B,2,FALSE))</f>
        <v>19.8</v>
      </c>
      <c r="F7943">
        <f t="shared" si="124"/>
        <v>19.8</v>
      </c>
    </row>
    <row r="7944" spans="1:6" x14ac:dyDescent="0.3">
      <c r="A7944" t="s">
        <v>1373</v>
      </c>
      <c r="B7944" t="s">
        <v>2133</v>
      </c>
      <c r="C7944">
        <v>10</v>
      </c>
      <c r="D7944">
        <v>196</v>
      </c>
      <c r="E7944">
        <f>IF(OR(B7944="vi",B7944="ii",B7944="pod"),(((D7944/100)*(C7944*VLOOKUP(B7944,'Poids des runes'!A:B,2,FALSE)))+1),(((D7944/100)*(C7944*VLOOKUP(B7944,'Poids des runes'!A:B,2,FALSE)))+1)/VLOOKUP(B7944,'Poids des runes'!A:B,2,FALSE))</f>
        <v>19.8</v>
      </c>
      <c r="F7944">
        <f t="shared" si="124"/>
        <v>19.8</v>
      </c>
    </row>
    <row r="7945" spans="1:6" x14ac:dyDescent="0.3">
      <c r="A7945" t="s">
        <v>1373</v>
      </c>
      <c r="B7945" t="s">
        <v>2161</v>
      </c>
      <c r="C7945">
        <v>8.5</v>
      </c>
      <c r="D7945">
        <v>196</v>
      </c>
      <c r="E7945">
        <f>IF(OR(B7945="vi",B7945="ii",B7945="pod"),(((D7945/100)*(C7945*VLOOKUP(B7945,'Poids des runes'!A:B,2,FALSE)))+1),(((D7945/100)*(C7945*VLOOKUP(B7945,'Poids des runes'!A:B,2,FALSE)))+1)/VLOOKUP(B7945,'Poids des runes'!A:B,2,FALSE))</f>
        <v>16.993333333333332</v>
      </c>
      <c r="F7945">
        <f t="shared" si="124"/>
        <v>16.993333333333332</v>
      </c>
    </row>
    <row r="7946" spans="1:6" x14ac:dyDescent="0.3">
      <c r="A7946" t="s">
        <v>1373</v>
      </c>
      <c r="B7946" t="s">
        <v>2138</v>
      </c>
      <c r="C7946">
        <v>6.5</v>
      </c>
      <c r="D7946">
        <v>196</v>
      </c>
      <c r="E7946">
        <f>IF(OR(B7946="vi",B7946="ii",B7946="pod"),(((D7946/100)*(C7946*VLOOKUP(B7946,'Poids des runes'!A:B,2,FALSE)))+1),(((D7946/100)*(C7946*VLOOKUP(B7946,'Poids des runes'!A:B,2,FALSE)))+1)/VLOOKUP(B7946,'Poids des runes'!A:B,2,FALSE))</f>
        <v>12.99</v>
      </c>
      <c r="F7946">
        <f t="shared" si="124"/>
        <v>12.99</v>
      </c>
    </row>
    <row r="7947" spans="1:6" x14ac:dyDescent="0.3">
      <c r="A7947" t="s">
        <v>1373</v>
      </c>
      <c r="B7947" t="s">
        <v>2142</v>
      </c>
      <c r="C7947">
        <v>18</v>
      </c>
      <c r="D7947">
        <v>196</v>
      </c>
      <c r="E7947">
        <f>IF(OR(B7947="vi",B7947="ii",B7947="pod"),(((D7947/100)*(C7947*VLOOKUP(B7947,'Poids des runes'!A:B,2,FALSE)))+1),(((D7947/100)*(C7947*VLOOKUP(B7947,'Poids des runes'!A:B,2,FALSE)))+1)/VLOOKUP(B7947,'Poids des runes'!A:B,2,FALSE))</f>
        <v>35.480000000000004</v>
      </c>
      <c r="F7947">
        <f t="shared" si="124"/>
        <v>35.480000000000004</v>
      </c>
    </row>
    <row r="7948" spans="1:6" x14ac:dyDescent="0.3">
      <c r="A7948" t="s">
        <v>1373</v>
      </c>
      <c r="B7948" t="s">
        <v>2157</v>
      </c>
      <c r="C7948">
        <v>5</v>
      </c>
      <c r="D7948">
        <v>196</v>
      </c>
      <c r="E7948">
        <f>IF(OR(B7948="vi",B7948="ii",B7948="pod"),(((D7948/100)*(C7948*VLOOKUP(B7948,'Poids des runes'!A:B,2,FALSE)))+1),(((D7948/100)*(C7948*VLOOKUP(B7948,'Poids des runes'!A:B,2,FALSE)))+1)/VLOOKUP(B7948,'Poids des runes'!A:B,2,FALSE))</f>
        <v>9.9666666666666668</v>
      </c>
      <c r="F7948">
        <f t="shared" si="124"/>
        <v>9.9666666666666668</v>
      </c>
    </row>
    <row r="7949" spans="1:6" x14ac:dyDescent="0.3">
      <c r="A7949" t="s">
        <v>1373</v>
      </c>
      <c r="B7949" t="s">
        <v>2136</v>
      </c>
      <c r="C7949">
        <v>13</v>
      </c>
      <c r="D7949">
        <v>196</v>
      </c>
      <c r="E7949">
        <f>IF(OR(B7949="vi",B7949="ii",B7949="pod"),(((D7949/100)*(C7949*VLOOKUP(B7949,'Poids des runes'!A:B,2,FALSE)))+1),(((D7949/100)*(C7949*VLOOKUP(B7949,'Poids des runes'!A:B,2,FALSE)))+1)/VLOOKUP(B7949,'Poids des runes'!A:B,2,FALSE))</f>
        <v>25.98</v>
      </c>
      <c r="F7949">
        <f t="shared" si="124"/>
        <v>25.98</v>
      </c>
    </row>
    <row r="7950" spans="1:6" x14ac:dyDescent="0.3">
      <c r="A7950" t="s">
        <v>1374</v>
      </c>
      <c r="B7950" t="s">
        <v>2128</v>
      </c>
      <c r="C7950">
        <v>275.5</v>
      </c>
      <c r="D7950">
        <v>196</v>
      </c>
      <c r="E7950">
        <f>IF(OR(B7950="vi",B7950="ii",B7950="pod"),(((D7950/100)*(C7950*VLOOKUP(B7950,'Poids des runes'!A:B,2,FALSE)))+1),(((D7950/100)*(C7950*VLOOKUP(B7950,'Poids des runes'!A:B,2,FALSE)))+1)/VLOOKUP(B7950,'Poids des runes'!A:B,2,FALSE))</f>
        <v>108.996</v>
      </c>
      <c r="F7950">
        <f t="shared" si="124"/>
        <v>108.996</v>
      </c>
    </row>
    <row r="7951" spans="1:6" x14ac:dyDescent="0.3">
      <c r="A7951" t="s">
        <v>1374</v>
      </c>
      <c r="B7951" t="s">
        <v>2126</v>
      </c>
      <c r="C7951">
        <v>60.5</v>
      </c>
      <c r="D7951">
        <v>196</v>
      </c>
      <c r="E7951">
        <f>IF(OR(B7951="vi",B7951="ii",B7951="pod"),(((D7951/100)*(C7951*VLOOKUP(B7951,'Poids des runes'!A:B,2,FALSE)))+1),(((D7951/100)*(C7951*VLOOKUP(B7951,'Poids des runes'!A:B,2,FALSE)))+1)/VLOOKUP(B7951,'Poids des runes'!A:B,2,FALSE))</f>
        <v>119.58</v>
      </c>
      <c r="F7951">
        <f t="shared" si="124"/>
        <v>119.58</v>
      </c>
    </row>
    <row r="7952" spans="1:6" x14ac:dyDescent="0.3">
      <c r="A7952" t="s">
        <v>1374</v>
      </c>
      <c r="B7952" t="s">
        <v>2129</v>
      </c>
      <c r="C7952">
        <v>35.5</v>
      </c>
      <c r="D7952">
        <v>196</v>
      </c>
      <c r="E7952">
        <f>IF(OR(B7952="vi",B7952="ii",B7952="pod"),(((D7952/100)*(C7952*VLOOKUP(B7952,'Poids des runes'!A:B,2,FALSE)))+1),(((D7952/100)*(C7952*VLOOKUP(B7952,'Poids des runes'!A:B,2,FALSE)))+1)/VLOOKUP(B7952,'Poids des runes'!A:B,2,FALSE))</f>
        <v>70.58</v>
      </c>
      <c r="F7952">
        <f t="shared" si="124"/>
        <v>70.58</v>
      </c>
    </row>
    <row r="7953" spans="1:6" x14ac:dyDescent="0.3">
      <c r="A7953" t="s">
        <v>1374</v>
      </c>
      <c r="B7953" t="s">
        <v>2152</v>
      </c>
      <c r="C7953">
        <v>1</v>
      </c>
      <c r="D7953">
        <v>196</v>
      </c>
      <c r="E7953">
        <f>IF(OR(B7953="vi",B7953="ii",B7953="pod"),(((D7953/100)*(C7953*VLOOKUP(B7953,'Poids des runes'!A:B,2,FALSE)))+1),(((D7953/100)*(C7953*VLOOKUP(B7953,'Poids des runes'!A:B,2,FALSE)))+1)/VLOOKUP(B7953,'Poids des runes'!A:B,2,FALSE))</f>
        <v>1.97</v>
      </c>
      <c r="F7953">
        <f t="shared" si="124"/>
        <v>1.97</v>
      </c>
    </row>
    <row r="7954" spans="1:6" x14ac:dyDescent="0.3">
      <c r="A7954" t="s">
        <v>1374</v>
      </c>
      <c r="B7954" t="s">
        <v>2155</v>
      </c>
      <c r="C7954">
        <v>1</v>
      </c>
      <c r="D7954">
        <v>196</v>
      </c>
      <c r="E7954">
        <f>IF(OR(B7954="vi",B7954="ii",B7954="pod"),(((D7954/100)*(C7954*VLOOKUP(B7954,'Poids des runes'!A:B,2,FALSE)))+1),(((D7954/100)*(C7954*VLOOKUP(B7954,'Poids des runes'!A:B,2,FALSE)))+1)/VLOOKUP(B7954,'Poids des runes'!A:B,2,FALSE))</f>
        <v>1.9796078431372548</v>
      </c>
      <c r="F7954">
        <f t="shared" si="124"/>
        <v>1.9796078431372548</v>
      </c>
    </row>
    <row r="7955" spans="1:6" x14ac:dyDescent="0.3">
      <c r="A7955" t="s">
        <v>1374</v>
      </c>
      <c r="B7955" t="s">
        <v>2140</v>
      </c>
      <c r="C7955">
        <v>18</v>
      </c>
      <c r="D7955">
        <v>196</v>
      </c>
      <c r="E7955">
        <f>IF(OR(B7955="vi",B7955="ii",B7955="pod"),(((D7955/100)*(C7955*VLOOKUP(B7955,'Poids des runes'!A:B,2,FALSE)))+1),(((D7955/100)*(C7955*VLOOKUP(B7955,'Poids des runes'!A:B,2,FALSE)))+1)/VLOOKUP(B7955,'Poids des runes'!A:B,2,FALSE))</f>
        <v>35.480000000000004</v>
      </c>
      <c r="F7955">
        <f t="shared" si="124"/>
        <v>35.480000000000004</v>
      </c>
    </row>
    <row r="7956" spans="1:6" x14ac:dyDescent="0.3">
      <c r="A7956" t="s">
        <v>1374</v>
      </c>
      <c r="B7956" t="s">
        <v>2161</v>
      </c>
      <c r="C7956">
        <v>8.5</v>
      </c>
      <c r="D7956">
        <v>196</v>
      </c>
      <c r="E7956">
        <f>IF(OR(B7956="vi",B7956="ii",B7956="pod"),(((D7956/100)*(C7956*VLOOKUP(B7956,'Poids des runes'!A:B,2,FALSE)))+1),(((D7956/100)*(C7956*VLOOKUP(B7956,'Poids des runes'!A:B,2,FALSE)))+1)/VLOOKUP(B7956,'Poids des runes'!A:B,2,FALSE))</f>
        <v>16.993333333333332</v>
      </c>
      <c r="F7956">
        <f t="shared" si="124"/>
        <v>16.993333333333332</v>
      </c>
    </row>
    <row r="7957" spans="1:6" x14ac:dyDescent="0.3">
      <c r="A7957" t="s">
        <v>1374</v>
      </c>
      <c r="B7957" t="s">
        <v>2158</v>
      </c>
      <c r="C7957">
        <v>10</v>
      </c>
      <c r="D7957">
        <v>196</v>
      </c>
      <c r="E7957">
        <f>IF(OR(B7957="vi",B7957="ii",B7957="pod"),(((D7957/100)*(C7957*VLOOKUP(B7957,'Poids des runes'!A:B,2,FALSE)))+1),(((D7957/100)*(C7957*VLOOKUP(B7957,'Poids des runes'!A:B,2,FALSE)))+1)/VLOOKUP(B7957,'Poids des runes'!A:B,2,FALSE))</f>
        <v>19.8</v>
      </c>
      <c r="F7957">
        <f t="shared" si="124"/>
        <v>19.8</v>
      </c>
    </row>
    <row r="7958" spans="1:6" x14ac:dyDescent="0.3">
      <c r="A7958" t="s">
        <v>1374</v>
      </c>
      <c r="B7958" t="s">
        <v>2156</v>
      </c>
      <c r="C7958">
        <v>8.5</v>
      </c>
      <c r="D7958">
        <v>196</v>
      </c>
      <c r="E7958">
        <f>IF(OR(B7958="vi",B7958="ii",B7958="pod"),(((D7958/100)*(C7958*VLOOKUP(B7958,'Poids des runes'!A:B,2,FALSE)))+1),(((D7958/100)*(C7958*VLOOKUP(B7958,'Poids des runes'!A:B,2,FALSE)))+1)/VLOOKUP(B7958,'Poids des runes'!A:B,2,FALSE))</f>
        <v>16.826666666666664</v>
      </c>
      <c r="F7958">
        <f t="shared" si="124"/>
        <v>16.826666666666664</v>
      </c>
    </row>
    <row r="7959" spans="1:6" x14ac:dyDescent="0.3">
      <c r="A7959" t="s">
        <v>1374</v>
      </c>
      <c r="B7959" t="s">
        <v>2147</v>
      </c>
      <c r="C7959">
        <v>8.5</v>
      </c>
      <c r="D7959">
        <v>196</v>
      </c>
      <c r="E7959">
        <f>IF(OR(B7959="vi",B7959="ii",B7959="pod"),(((D7959/100)*(C7959*VLOOKUP(B7959,'Poids des runes'!A:B,2,FALSE)))+1),(((D7959/100)*(C7959*VLOOKUP(B7959,'Poids des runes'!A:B,2,FALSE)))+1)/VLOOKUP(B7959,'Poids des runes'!A:B,2,FALSE))</f>
        <v>16.826666666666664</v>
      </c>
      <c r="F7959">
        <f t="shared" si="124"/>
        <v>16.826666666666664</v>
      </c>
    </row>
    <row r="7960" spans="1:6" x14ac:dyDescent="0.3">
      <c r="A7960" t="s">
        <v>1375</v>
      </c>
      <c r="B7960" t="s">
        <v>2128</v>
      </c>
      <c r="C7960">
        <v>275.5</v>
      </c>
      <c r="D7960">
        <v>196</v>
      </c>
      <c r="E7960">
        <f>IF(OR(B7960="vi",B7960="ii",B7960="pod"),(((D7960/100)*(C7960*VLOOKUP(B7960,'Poids des runes'!A:B,2,FALSE)))+1),(((D7960/100)*(C7960*VLOOKUP(B7960,'Poids des runes'!A:B,2,FALSE)))+1)/VLOOKUP(B7960,'Poids des runes'!A:B,2,FALSE))</f>
        <v>108.996</v>
      </c>
      <c r="F7960">
        <f t="shared" si="124"/>
        <v>108.996</v>
      </c>
    </row>
    <row r="7961" spans="1:6" x14ac:dyDescent="0.3">
      <c r="A7961" t="s">
        <v>1375</v>
      </c>
      <c r="B7961" t="s">
        <v>2126</v>
      </c>
      <c r="C7961">
        <v>25.5</v>
      </c>
      <c r="D7961">
        <v>196</v>
      </c>
      <c r="E7961">
        <f>IF(OR(B7961="vi",B7961="ii",B7961="pod"),(((D7961/100)*(C7961*VLOOKUP(B7961,'Poids des runes'!A:B,2,FALSE)))+1),(((D7961/100)*(C7961*VLOOKUP(B7961,'Poids des runes'!A:B,2,FALSE)))+1)/VLOOKUP(B7961,'Poids des runes'!A:B,2,FALSE))</f>
        <v>50.98</v>
      </c>
      <c r="F7961">
        <f t="shared" si="124"/>
        <v>50.98</v>
      </c>
    </row>
    <row r="7962" spans="1:6" x14ac:dyDescent="0.3">
      <c r="A7962" t="s">
        <v>1375</v>
      </c>
      <c r="B7962" t="s">
        <v>2131</v>
      </c>
      <c r="C7962">
        <v>25.5</v>
      </c>
      <c r="D7962">
        <v>196</v>
      </c>
      <c r="E7962">
        <f>IF(OR(B7962="vi",B7962="ii",B7962="pod"),(((D7962/100)*(C7962*VLOOKUP(B7962,'Poids des runes'!A:B,2,FALSE)))+1),(((D7962/100)*(C7962*VLOOKUP(B7962,'Poids des runes'!A:B,2,FALSE)))+1)/VLOOKUP(B7962,'Poids des runes'!A:B,2,FALSE))</f>
        <v>50.98</v>
      </c>
      <c r="F7962">
        <f t="shared" si="124"/>
        <v>50.98</v>
      </c>
    </row>
    <row r="7963" spans="1:6" x14ac:dyDescent="0.3">
      <c r="A7963" t="s">
        <v>1375</v>
      </c>
      <c r="B7963" t="s">
        <v>2127</v>
      </c>
      <c r="C7963">
        <v>25.5</v>
      </c>
      <c r="D7963">
        <v>196</v>
      </c>
      <c r="E7963">
        <f>IF(OR(B7963="vi",B7963="ii",B7963="pod"),(((D7963/100)*(C7963*VLOOKUP(B7963,'Poids des runes'!A:B,2,FALSE)))+1),(((D7963/100)*(C7963*VLOOKUP(B7963,'Poids des runes'!A:B,2,FALSE)))+1)/VLOOKUP(B7963,'Poids des runes'!A:B,2,FALSE))</f>
        <v>50.98</v>
      </c>
      <c r="F7963">
        <f t="shared" si="124"/>
        <v>50.98</v>
      </c>
    </row>
    <row r="7964" spans="1:6" x14ac:dyDescent="0.3">
      <c r="A7964" t="s">
        <v>1375</v>
      </c>
      <c r="B7964" t="s">
        <v>2129</v>
      </c>
      <c r="C7964">
        <v>35.5</v>
      </c>
      <c r="D7964">
        <v>196</v>
      </c>
      <c r="E7964">
        <f>IF(OR(B7964="vi",B7964="ii",B7964="pod"),(((D7964/100)*(C7964*VLOOKUP(B7964,'Poids des runes'!A:B,2,FALSE)))+1),(((D7964/100)*(C7964*VLOOKUP(B7964,'Poids des runes'!A:B,2,FALSE)))+1)/VLOOKUP(B7964,'Poids des runes'!A:B,2,FALSE))</f>
        <v>70.58</v>
      </c>
      <c r="F7964">
        <f t="shared" si="124"/>
        <v>70.58</v>
      </c>
    </row>
    <row r="7965" spans="1:6" x14ac:dyDescent="0.3">
      <c r="A7965" t="s">
        <v>1375</v>
      </c>
      <c r="B7965" t="s">
        <v>2139</v>
      </c>
      <c r="C7965">
        <v>25.5</v>
      </c>
      <c r="D7965">
        <v>196</v>
      </c>
      <c r="E7965">
        <f>IF(OR(B7965="vi",B7965="ii",B7965="pod"),(((D7965/100)*(C7965*VLOOKUP(B7965,'Poids des runes'!A:B,2,FALSE)))+1),(((D7965/100)*(C7965*VLOOKUP(B7965,'Poids des runes'!A:B,2,FALSE)))+1)/VLOOKUP(B7965,'Poids des runes'!A:B,2,FALSE))</f>
        <v>50.48</v>
      </c>
      <c r="F7965">
        <f t="shared" si="124"/>
        <v>50.48</v>
      </c>
    </row>
    <row r="7966" spans="1:6" x14ac:dyDescent="0.3">
      <c r="A7966" t="s">
        <v>1375</v>
      </c>
      <c r="B7966" t="s">
        <v>2151</v>
      </c>
      <c r="C7966">
        <v>2.5</v>
      </c>
      <c r="D7966">
        <v>196</v>
      </c>
      <c r="E7966">
        <f>IF(OR(B7966="vi",B7966="ii",B7966="pod"),(((D7966/100)*(C7966*VLOOKUP(B7966,'Poids des runes'!A:B,2,FALSE)))+1),(((D7966/100)*(C7966*VLOOKUP(B7966,'Poids des runes'!A:B,2,FALSE)))+1)/VLOOKUP(B7966,'Poids des runes'!A:B,2,FALSE))</f>
        <v>5</v>
      </c>
      <c r="F7966">
        <f t="shared" si="124"/>
        <v>5</v>
      </c>
    </row>
    <row r="7967" spans="1:6" x14ac:dyDescent="0.3">
      <c r="A7967" t="s">
        <v>1375</v>
      </c>
      <c r="B7967" t="s">
        <v>2154</v>
      </c>
      <c r="C7967">
        <v>1</v>
      </c>
      <c r="D7967">
        <v>196</v>
      </c>
      <c r="E7967">
        <f>IF(OR(B7967="vi",B7967="ii",B7967="pod"),(((D7967/100)*(C7967*VLOOKUP(B7967,'Poids des runes'!A:B,2,FALSE)))+1),(((D7967/100)*(C7967*VLOOKUP(B7967,'Poids des runes'!A:B,2,FALSE)))+1)/VLOOKUP(B7967,'Poids des runes'!A:B,2,FALSE))</f>
        <v>1.9711111111111113</v>
      </c>
      <c r="F7967">
        <f t="shared" si="124"/>
        <v>1.9711111111111113</v>
      </c>
    </row>
    <row r="7968" spans="1:6" x14ac:dyDescent="0.3">
      <c r="A7968" t="s">
        <v>1375</v>
      </c>
      <c r="B7968" t="s">
        <v>2150</v>
      </c>
      <c r="C7968">
        <v>1</v>
      </c>
      <c r="D7968">
        <v>196</v>
      </c>
      <c r="E7968">
        <f>IF(OR(B7968="vi",B7968="ii",B7968="pod"),(((D7968/100)*(C7968*VLOOKUP(B7968,'Poids des runes'!A:B,2,FALSE)))+1),(((D7968/100)*(C7968*VLOOKUP(B7968,'Poids des runes'!A:B,2,FALSE)))+1)/VLOOKUP(B7968,'Poids des runes'!A:B,2,FALSE))</f>
        <v>1.9933333333333332</v>
      </c>
      <c r="F7968">
        <f t="shared" si="124"/>
        <v>1.9933333333333332</v>
      </c>
    </row>
    <row r="7969" spans="1:6" x14ac:dyDescent="0.3">
      <c r="A7969" t="s">
        <v>1375</v>
      </c>
      <c r="B7969" t="s">
        <v>2140</v>
      </c>
      <c r="C7969">
        <v>10</v>
      </c>
      <c r="D7969">
        <v>196</v>
      </c>
      <c r="E7969">
        <f>IF(OR(B7969="vi",B7969="ii",B7969="pod"),(((D7969/100)*(C7969*VLOOKUP(B7969,'Poids des runes'!A:B,2,FALSE)))+1),(((D7969/100)*(C7969*VLOOKUP(B7969,'Poids des runes'!A:B,2,FALSE)))+1)/VLOOKUP(B7969,'Poids des runes'!A:B,2,FALSE))</f>
        <v>19.8</v>
      </c>
      <c r="F7969">
        <f t="shared" si="124"/>
        <v>19.8</v>
      </c>
    </row>
    <row r="7970" spans="1:6" x14ac:dyDescent="0.3">
      <c r="A7970" t="s">
        <v>1375</v>
      </c>
      <c r="B7970" t="s">
        <v>2133</v>
      </c>
      <c r="C7970">
        <v>10</v>
      </c>
      <c r="D7970">
        <v>196</v>
      </c>
      <c r="E7970">
        <f>IF(OR(B7970="vi",B7970="ii",B7970="pod"),(((D7970/100)*(C7970*VLOOKUP(B7970,'Poids des runes'!A:B,2,FALSE)))+1),(((D7970/100)*(C7970*VLOOKUP(B7970,'Poids des runes'!A:B,2,FALSE)))+1)/VLOOKUP(B7970,'Poids des runes'!A:B,2,FALSE))</f>
        <v>19.8</v>
      </c>
      <c r="F7970">
        <f t="shared" si="124"/>
        <v>19.8</v>
      </c>
    </row>
    <row r="7971" spans="1:6" x14ac:dyDescent="0.3">
      <c r="A7971" t="s">
        <v>1375</v>
      </c>
      <c r="B7971" t="s">
        <v>2153</v>
      </c>
      <c r="C7971">
        <v>10</v>
      </c>
      <c r="D7971">
        <v>196</v>
      </c>
      <c r="E7971">
        <f>IF(OR(B7971="vi",B7971="ii",B7971="pod"),(((D7971/100)*(C7971*VLOOKUP(B7971,'Poids des runes'!A:B,2,FALSE)))+1),(((D7971/100)*(C7971*VLOOKUP(B7971,'Poids des runes'!A:B,2,FALSE)))+1)/VLOOKUP(B7971,'Poids des runes'!A:B,2,FALSE))</f>
        <v>19.8</v>
      </c>
      <c r="F7971">
        <f t="shared" si="124"/>
        <v>19.8</v>
      </c>
    </row>
    <row r="7972" spans="1:6" x14ac:dyDescent="0.3">
      <c r="A7972" t="s">
        <v>1375</v>
      </c>
      <c r="B7972" t="s">
        <v>2132</v>
      </c>
      <c r="C7972">
        <v>350.5</v>
      </c>
      <c r="D7972">
        <v>196</v>
      </c>
      <c r="E7972">
        <f>IF(OR(B7972="vi",B7972="ii",B7972="pod"),(((D7972/100)*(C7972*VLOOKUP(B7972,'Poids des runes'!A:B,2,FALSE)))+1),(((D7972/100)*(C7972*VLOOKUP(B7972,'Poids des runes'!A:B,2,FALSE)))+1)/VLOOKUP(B7972,'Poids des runes'!A:B,2,FALSE))</f>
        <v>69.698000000000008</v>
      </c>
      <c r="F7972">
        <f t="shared" si="124"/>
        <v>69.698000000000008</v>
      </c>
    </row>
    <row r="7973" spans="1:6" x14ac:dyDescent="0.3">
      <c r="A7973" t="s">
        <v>1375</v>
      </c>
      <c r="B7973" t="s">
        <v>2141</v>
      </c>
      <c r="C7973">
        <v>4.5</v>
      </c>
      <c r="D7973">
        <v>196</v>
      </c>
      <c r="E7973">
        <f>IF(OR(B7973="vi",B7973="ii",B7973="pod"),(((D7973/100)*(C7973*VLOOKUP(B7973,'Poids des runes'!A:B,2,FALSE)))+1),(((D7973/100)*(C7973*VLOOKUP(B7973,'Poids des runes'!A:B,2,FALSE)))+1)/VLOOKUP(B7973,'Poids des runes'!A:B,2,FALSE))</f>
        <v>9.07</v>
      </c>
      <c r="F7973">
        <f t="shared" si="124"/>
        <v>9.07</v>
      </c>
    </row>
    <row r="7974" spans="1:6" x14ac:dyDescent="0.3">
      <c r="A7974" t="s">
        <v>1375</v>
      </c>
      <c r="B7974" t="s">
        <v>2160</v>
      </c>
      <c r="C7974">
        <v>4.5</v>
      </c>
      <c r="D7974">
        <v>196</v>
      </c>
      <c r="E7974">
        <f>IF(OR(B7974="vi",B7974="ii",B7974="pod"),(((D7974/100)*(C7974*VLOOKUP(B7974,'Poids des runes'!A:B,2,FALSE)))+1),(((D7974/100)*(C7974*VLOOKUP(B7974,'Poids des runes'!A:B,2,FALSE)))+1)/VLOOKUP(B7974,'Poids des runes'!A:B,2,FALSE))</f>
        <v>8.9628571428571426</v>
      </c>
      <c r="F7974">
        <f t="shared" si="124"/>
        <v>8.9628571428571426</v>
      </c>
    </row>
    <row r="7975" spans="1:6" x14ac:dyDescent="0.3">
      <c r="A7975" t="s">
        <v>1375</v>
      </c>
      <c r="B7975" t="s">
        <v>2136</v>
      </c>
      <c r="C7975">
        <v>10</v>
      </c>
      <c r="D7975">
        <v>196</v>
      </c>
      <c r="E7975">
        <f>IF(OR(B7975="vi",B7975="ii",B7975="pod"),(((D7975/100)*(C7975*VLOOKUP(B7975,'Poids des runes'!A:B,2,FALSE)))+1),(((D7975/100)*(C7975*VLOOKUP(B7975,'Poids des runes'!A:B,2,FALSE)))+1)/VLOOKUP(B7975,'Poids des runes'!A:B,2,FALSE))</f>
        <v>20.100000000000001</v>
      </c>
      <c r="F7975">
        <f t="shared" si="124"/>
        <v>20.100000000000001</v>
      </c>
    </row>
    <row r="7976" spans="1:6" x14ac:dyDescent="0.3">
      <c r="A7976" t="s">
        <v>1375</v>
      </c>
      <c r="B7976" t="s">
        <v>2137</v>
      </c>
      <c r="C7976">
        <v>10</v>
      </c>
      <c r="D7976">
        <v>196</v>
      </c>
      <c r="E7976">
        <f>IF(OR(B7976="vi",B7976="ii",B7976="pod"),(((D7976/100)*(C7976*VLOOKUP(B7976,'Poids des runes'!A:B,2,FALSE)))+1),(((D7976/100)*(C7976*VLOOKUP(B7976,'Poids des runes'!A:B,2,FALSE)))+1)/VLOOKUP(B7976,'Poids des runes'!A:B,2,FALSE))</f>
        <v>20.100000000000001</v>
      </c>
      <c r="F7976">
        <f t="shared" si="124"/>
        <v>20.100000000000001</v>
      </c>
    </row>
    <row r="7977" spans="1:6" x14ac:dyDescent="0.3">
      <c r="A7977" t="s">
        <v>1376</v>
      </c>
      <c r="B7977" t="s">
        <v>2128</v>
      </c>
      <c r="C7977">
        <v>125.5</v>
      </c>
      <c r="D7977">
        <v>196</v>
      </c>
      <c r="E7977">
        <f>IF(OR(B7977="vi",B7977="ii",B7977="pod"),(((D7977/100)*(C7977*VLOOKUP(B7977,'Poids des runes'!A:B,2,FALSE)))+1),(((D7977/100)*(C7977*VLOOKUP(B7977,'Poids des runes'!A:B,2,FALSE)))+1)/VLOOKUP(B7977,'Poids des runes'!A:B,2,FALSE))</f>
        <v>50.196000000000005</v>
      </c>
      <c r="F7977">
        <f t="shared" si="124"/>
        <v>50.196000000000005</v>
      </c>
    </row>
    <row r="7978" spans="1:6" x14ac:dyDescent="0.3">
      <c r="A7978" t="s">
        <v>1376</v>
      </c>
      <c r="B7978" t="s">
        <v>2126</v>
      </c>
      <c r="C7978">
        <v>50.5</v>
      </c>
      <c r="D7978">
        <v>196</v>
      </c>
      <c r="E7978">
        <f>IF(OR(B7978="vi",B7978="ii",B7978="pod"),(((D7978/100)*(C7978*VLOOKUP(B7978,'Poids des runes'!A:B,2,FALSE)))+1),(((D7978/100)*(C7978*VLOOKUP(B7978,'Poids des runes'!A:B,2,FALSE)))+1)/VLOOKUP(B7978,'Poids des runes'!A:B,2,FALSE))</f>
        <v>99.98</v>
      </c>
      <c r="F7978">
        <f t="shared" si="124"/>
        <v>99.98</v>
      </c>
    </row>
    <row r="7979" spans="1:6" x14ac:dyDescent="0.3">
      <c r="A7979" t="s">
        <v>1376</v>
      </c>
      <c r="B7979" t="s">
        <v>2127</v>
      </c>
      <c r="C7979">
        <v>50.5</v>
      </c>
      <c r="D7979">
        <v>196</v>
      </c>
      <c r="E7979">
        <f>IF(OR(B7979="vi",B7979="ii",B7979="pod"),(((D7979/100)*(C7979*VLOOKUP(B7979,'Poids des runes'!A:B,2,FALSE)))+1),(((D7979/100)*(C7979*VLOOKUP(B7979,'Poids des runes'!A:B,2,FALSE)))+1)/VLOOKUP(B7979,'Poids des runes'!A:B,2,FALSE))</f>
        <v>99.98</v>
      </c>
      <c r="F7979">
        <f t="shared" si="124"/>
        <v>99.98</v>
      </c>
    </row>
    <row r="7980" spans="1:6" x14ac:dyDescent="0.3">
      <c r="A7980" t="s">
        <v>1376</v>
      </c>
      <c r="B7980" t="s">
        <v>2129</v>
      </c>
      <c r="C7980">
        <v>40.5</v>
      </c>
      <c r="D7980">
        <v>196</v>
      </c>
      <c r="E7980">
        <f>IF(OR(B7980="vi",B7980="ii",B7980="pod"),(((D7980/100)*(C7980*VLOOKUP(B7980,'Poids des runes'!A:B,2,FALSE)))+1),(((D7980/100)*(C7980*VLOOKUP(B7980,'Poids des runes'!A:B,2,FALSE)))+1)/VLOOKUP(B7980,'Poids des runes'!A:B,2,FALSE))</f>
        <v>80.38</v>
      </c>
      <c r="F7980">
        <f t="shared" si="124"/>
        <v>80.38</v>
      </c>
    </row>
    <row r="7981" spans="1:6" x14ac:dyDescent="0.3">
      <c r="A7981" t="s">
        <v>1376</v>
      </c>
      <c r="B7981" t="s">
        <v>2151</v>
      </c>
      <c r="C7981">
        <v>5</v>
      </c>
      <c r="D7981">
        <v>196</v>
      </c>
      <c r="E7981">
        <f>IF(OR(B7981="vi",B7981="ii",B7981="pod"),(((D7981/100)*(C7981*VLOOKUP(B7981,'Poids des runes'!A:B,2,FALSE)))+1),(((D7981/100)*(C7981*VLOOKUP(B7981,'Poids des runes'!A:B,2,FALSE)))+1)/VLOOKUP(B7981,'Poids des runes'!A:B,2,FALSE))</f>
        <v>9.9</v>
      </c>
      <c r="F7981">
        <f t="shared" si="124"/>
        <v>9.9</v>
      </c>
    </row>
    <row r="7982" spans="1:6" x14ac:dyDescent="0.3">
      <c r="A7982" t="s">
        <v>1376</v>
      </c>
      <c r="B7982" t="s">
        <v>2154</v>
      </c>
      <c r="C7982">
        <v>1</v>
      </c>
      <c r="D7982">
        <v>196</v>
      </c>
      <c r="E7982">
        <f>IF(OR(B7982="vi",B7982="ii",B7982="pod"),(((D7982/100)*(C7982*VLOOKUP(B7982,'Poids des runes'!A:B,2,FALSE)))+1),(((D7982/100)*(C7982*VLOOKUP(B7982,'Poids des runes'!A:B,2,FALSE)))+1)/VLOOKUP(B7982,'Poids des runes'!A:B,2,FALSE))</f>
        <v>1.9711111111111113</v>
      </c>
      <c r="F7982">
        <f t="shared" si="124"/>
        <v>1.9711111111111113</v>
      </c>
    </row>
    <row r="7983" spans="1:6" x14ac:dyDescent="0.3">
      <c r="A7983" t="s">
        <v>1376</v>
      </c>
      <c r="B7983" t="s">
        <v>2140</v>
      </c>
      <c r="C7983">
        <v>7</v>
      </c>
      <c r="D7983">
        <v>196</v>
      </c>
      <c r="E7983">
        <f>IF(OR(B7983="vi",B7983="ii",B7983="pod"),(((D7983/100)*(C7983*VLOOKUP(B7983,'Poids des runes'!A:B,2,FALSE)))+1),(((D7983/100)*(C7983*VLOOKUP(B7983,'Poids des runes'!A:B,2,FALSE)))+1)/VLOOKUP(B7983,'Poids des runes'!A:B,2,FALSE))</f>
        <v>13.919999999999998</v>
      </c>
      <c r="F7983">
        <f t="shared" si="124"/>
        <v>13.919999999999998</v>
      </c>
    </row>
    <row r="7984" spans="1:6" x14ac:dyDescent="0.3">
      <c r="A7984" t="s">
        <v>1376</v>
      </c>
      <c r="B7984" t="s">
        <v>2153</v>
      </c>
      <c r="C7984">
        <v>7</v>
      </c>
      <c r="D7984">
        <v>196</v>
      </c>
      <c r="E7984">
        <f>IF(OR(B7984="vi",B7984="ii",B7984="pod"),(((D7984/100)*(C7984*VLOOKUP(B7984,'Poids des runes'!A:B,2,FALSE)))+1),(((D7984/100)*(C7984*VLOOKUP(B7984,'Poids des runes'!A:B,2,FALSE)))+1)/VLOOKUP(B7984,'Poids des runes'!A:B,2,FALSE))</f>
        <v>13.919999999999998</v>
      </c>
      <c r="F7984">
        <f t="shared" si="124"/>
        <v>13.919999999999998</v>
      </c>
    </row>
    <row r="7985" spans="1:6" x14ac:dyDescent="0.3">
      <c r="A7985" t="s">
        <v>1376</v>
      </c>
      <c r="B7985" t="s">
        <v>2149</v>
      </c>
      <c r="C7985">
        <v>10</v>
      </c>
      <c r="D7985">
        <v>196</v>
      </c>
      <c r="E7985">
        <f>IF(OR(B7985="vi",B7985="ii",B7985="pod"),(((D7985/100)*(C7985*VLOOKUP(B7985,'Poids des runes'!A:B,2,FALSE)))+1),(((D7985/100)*(C7985*VLOOKUP(B7985,'Poids des runes'!A:B,2,FALSE)))+1)/VLOOKUP(B7985,'Poids des runes'!A:B,2,FALSE))</f>
        <v>19.7</v>
      </c>
      <c r="F7985">
        <f t="shared" si="124"/>
        <v>19.7</v>
      </c>
    </row>
    <row r="7986" spans="1:6" x14ac:dyDescent="0.3">
      <c r="A7986" t="s">
        <v>1376</v>
      </c>
      <c r="B7986" t="s">
        <v>2161</v>
      </c>
      <c r="C7986">
        <v>18</v>
      </c>
      <c r="D7986">
        <v>196</v>
      </c>
      <c r="E7986">
        <f>IF(OR(B7986="vi",B7986="ii",B7986="pod"),(((D7986/100)*(C7986*VLOOKUP(B7986,'Poids des runes'!A:B,2,FALSE)))+1),(((D7986/100)*(C7986*VLOOKUP(B7986,'Poids des runes'!A:B,2,FALSE)))+1)/VLOOKUP(B7986,'Poids des runes'!A:B,2,FALSE))</f>
        <v>35.613333333333337</v>
      </c>
      <c r="F7986">
        <f t="shared" si="124"/>
        <v>35.613333333333337</v>
      </c>
    </row>
    <row r="7987" spans="1:6" x14ac:dyDescent="0.3">
      <c r="A7987" t="s">
        <v>1376</v>
      </c>
      <c r="B7987" t="s">
        <v>2158</v>
      </c>
      <c r="C7987">
        <v>18</v>
      </c>
      <c r="D7987">
        <v>196</v>
      </c>
      <c r="E7987">
        <f>IF(OR(B7987="vi",B7987="ii",B7987="pod"),(((D7987/100)*(C7987*VLOOKUP(B7987,'Poids des runes'!A:B,2,FALSE)))+1),(((D7987/100)*(C7987*VLOOKUP(B7987,'Poids des runes'!A:B,2,FALSE)))+1)/VLOOKUP(B7987,'Poids des runes'!A:B,2,FALSE))</f>
        <v>35.480000000000004</v>
      </c>
      <c r="F7987">
        <f t="shared" si="124"/>
        <v>35.480000000000004</v>
      </c>
    </row>
    <row r="7988" spans="1:6" x14ac:dyDescent="0.3">
      <c r="A7988" t="s">
        <v>1376</v>
      </c>
      <c r="B7988" t="s">
        <v>2142</v>
      </c>
      <c r="C7988">
        <v>13</v>
      </c>
      <c r="D7988">
        <v>196</v>
      </c>
      <c r="E7988">
        <f>IF(OR(B7988="vi",B7988="ii",B7988="pod"),(((D7988/100)*(C7988*VLOOKUP(B7988,'Poids des runes'!A:B,2,FALSE)))+1),(((D7988/100)*(C7988*VLOOKUP(B7988,'Poids des runes'!A:B,2,FALSE)))+1)/VLOOKUP(B7988,'Poids des runes'!A:B,2,FALSE))</f>
        <v>25.679999999999996</v>
      </c>
      <c r="F7988">
        <f t="shared" si="124"/>
        <v>25.679999999999996</v>
      </c>
    </row>
    <row r="7989" spans="1:6" x14ac:dyDescent="0.3">
      <c r="A7989" t="s">
        <v>1376</v>
      </c>
      <c r="B7989" t="s">
        <v>2156</v>
      </c>
      <c r="C7989">
        <v>6</v>
      </c>
      <c r="D7989">
        <v>196</v>
      </c>
      <c r="E7989">
        <f>IF(OR(B7989="vi",B7989="ii",B7989="pod"),(((D7989/100)*(C7989*VLOOKUP(B7989,'Poids des runes'!A:B,2,FALSE)))+1),(((D7989/100)*(C7989*VLOOKUP(B7989,'Poids des runes'!A:B,2,FALSE)))+1)/VLOOKUP(B7989,'Poids des runes'!A:B,2,FALSE))</f>
        <v>11.926666666666668</v>
      </c>
      <c r="F7989">
        <f t="shared" si="124"/>
        <v>11.926666666666668</v>
      </c>
    </row>
    <row r="7990" spans="1:6" x14ac:dyDescent="0.3">
      <c r="A7990" t="s">
        <v>1376</v>
      </c>
      <c r="B7990" t="s">
        <v>2147</v>
      </c>
      <c r="C7990">
        <v>6</v>
      </c>
      <c r="D7990">
        <v>196</v>
      </c>
      <c r="E7990">
        <f>IF(OR(B7990="vi",B7990="ii",B7990="pod"),(((D7990/100)*(C7990*VLOOKUP(B7990,'Poids des runes'!A:B,2,FALSE)))+1),(((D7990/100)*(C7990*VLOOKUP(B7990,'Poids des runes'!A:B,2,FALSE)))+1)/VLOOKUP(B7990,'Poids des runes'!A:B,2,FALSE))</f>
        <v>11.926666666666668</v>
      </c>
      <c r="F7990">
        <f t="shared" si="124"/>
        <v>11.926666666666668</v>
      </c>
    </row>
    <row r="7991" spans="1:6" x14ac:dyDescent="0.3">
      <c r="A7991" t="s">
        <v>1377</v>
      </c>
      <c r="B7991" t="s">
        <v>2128</v>
      </c>
      <c r="C7991">
        <v>325.5</v>
      </c>
      <c r="D7991">
        <v>196</v>
      </c>
      <c r="E7991">
        <f>IF(OR(B7991="vi",B7991="ii",B7991="pod"),(((D7991/100)*(C7991*VLOOKUP(B7991,'Poids des runes'!A:B,2,FALSE)))+1),(((D7991/100)*(C7991*VLOOKUP(B7991,'Poids des runes'!A:B,2,FALSE)))+1)/VLOOKUP(B7991,'Poids des runes'!A:B,2,FALSE))</f>
        <v>128.596</v>
      </c>
      <c r="F7991">
        <f t="shared" si="124"/>
        <v>128.596</v>
      </c>
    </row>
    <row r="7992" spans="1:6" x14ac:dyDescent="0.3">
      <c r="A7992" t="s">
        <v>1377</v>
      </c>
      <c r="B7992" t="s">
        <v>2130</v>
      </c>
      <c r="C7992">
        <v>50.5</v>
      </c>
      <c r="D7992">
        <v>196</v>
      </c>
      <c r="E7992">
        <f>IF(OR(B7992="vi",B7992="ii",B7992="pod"),(((D7992/100)*(C7992*VLOOKUP(B7992,'Poids des runes'!A:B,2,FALSE)))+1),(((D7992/100)*(C7992*VLOOKUP(B7992,'Poids des runes'!A:B,2,FALSE)))+1)/VLOOKUP(B7992,'Poids des runes'!A:B,2,FALSE))</f>
        <v>99.98</v>
      </c>
      <c r="F7992">
        <f t="shared" si="124"/>
        <v>99.98</v>
      </c>
    </row>
    <row r="7993" spans="1:6" x14ac:dyDescent="0.3">
      <c r="A7993" t="s">
        <v>1377</v>
      </c>
      <c r="B7993" t="s">
        <v>2126</v>
      </c>
      <c r="C7993">
        <v>25.5</v>
      </c>
      <c r="D7993">
        <v>196</v>
      </c>
      <c r="E7993">
        <f>IF(OR(B7993="vi",B7993="ii",B7993="pod"),(((D7993/100)*(C7993*VLOOKUP(B7993,'Poids des runes'!A:B,2,FALSE)))+1),(((D7993/100)*(C7993*VLOOKUP(B7993,'Poids des runes'!A:B,2,FALSE)))+1)/VLOOKUP(B7993,'Poids des runes'!A:B,2,FALSE))</f>
        <v>50.98</v>
      </c>
      <c r="F7993">
        <f t="shared" si="124"/>
        <v>50.98</v>
      </c>
    </row>
    <row r="7994" spans="1:6" x14ac:dyDescent="0.3">
      <c r="A7994" t="s">
        <v>1377</v>
      </c>
      <c r="B7994" t="s">
        <v>2131</v>
      </c>
      <c r="C7994">
        <v>25.5</v>
      </c>
      <c r="D7994">
        <v>196</v>
      </c>
      <c r="E7994">
        <f>IF(OR(B7994="vi",B7994="ii",B7994="pod"),(((D7994/100)*(C7994*VLOOKUP(B7994,'Poids des runes'!A:B,2,FALSE)))+1),(((D7994/100)*(C7994*VLOOKUP(B7994,'Poids des runes'!A:B,2,FALSE)))+1)/VLOOKUP(B7994,'Poids des runes'!A:B,2,FALSE))</f>
        <v>50.98</v>
      </c>
      <c r="F7994">
        <f t="shared" si="124"/>
        <v>50.98</v>
      </c>
    </row>
    <row r="7995" spans="1:6" x14ac:dyDescent="0.3">
      <c r="A7995" t="s">
        <v>1377</v>
      </c>
      <c r="B7995" t="s">
        <v>2129</v>
      </c>
      <c r="C7995">
        <v>40.5</v>
      </c>
      <c r="D7995">
        <v>196</v>
      </c>
      <c r="E7995">
        <f>IF(OR(B7995="vi",B7995="ii",B7995="pod"),(((D7995/100)*(C7995*VLOOKUP(B7995,'Poids des runes'!A:B,2,FALSE)))+1),(((D7995/100)*(C7995*VLOOKUP(B7995,'Poids des runes'!A:B,2,FALSE)))+1)/VLOOKUP(B7995,'Poids des runes'!A:B,2,FALSE))</f>
        <v>80.38</v>
      </c>
      <c r="F7995">
        <f t="shared" si="124"/>
        <v>80.38</v>
      </c>
    </row>
    <row r="7996" spans="1:6" x14ac:dyDescent="0.3">
      <c r="A7996" t="s">
        <v>1377</v>
      </c>
      <c r="B7996" t="s">
        <v>2154</v>
      </c>
      <c r="C7996">
        <v>1</v>
      </c>
      <c r="D7996">
        <v>196</v>
      </c>
      <c r="E7996">
        <f>IF(OR(B7996="vi",B7996="ii",B7996="pod"),(((D7996/100)*(C7996*VLOOKUP(B7996,'Poids des runes'!A:B,2,FALSE)))+1),(((D7996/100)*(C7996*VLOOKUP(B7996,'Poids des runes'!A:B,2,FALSE)))+1)/VLOOKUP(B7996,'Poids des runes'!A:B,2,FALSE))</f>
        <v>1.9711111111111113</v>
      </c>
      <c r="F7996">
        <f t="shared" si="124"/>
        <v>1.9711111111111113</v>
      </c>
    </row>
    <row r="7997" spans="1:6" x14ac:dyDescent="0.3">
      <c r="A7997" t="s">
        <v>1377</v>
      </c>
      <c r="B7997" t="s">
        <v>2155</v>
      </c>
      <c r="C7997">
        <v>1</v>
      </c>
      <c r="D7997">
        <v>196</v>
      </c>
      <c r="E7997">
        <f>IF(OR(B7997="vi",B7997="ii",B7997="pod"),(((D7997/100)*(C7997*VLOOKUP(B7997,'Poids des runes'!A:B,2,FALSE)))+1),(((D7997/100)*(C7997*VLOOKUP(B7997,'Poids des runes'!A:B,2,FALSE)))+1)/VLOOKUP(B7997,'Poids des runes'!A:B,2,FALSE))</f>
        <v>1.9796078431372548</v>
      </c>
      <c r="F7997">
        <f t="shared" si="124"/>
        <v>1.9796078431372548</v>
      </c>
    </row>
    <row r="7998" spans="1:6" x14ac:dyDescent="0.3">
      <c r="A7998" t="s">
        <v>1377</v>
      </c>
      <c r="B7998" t="s">
        <v>2143</v>
      </c>
      <c r="C7998">
        <v>8.5</v>
      </c>
      <c r="D7998">
        <v>196</v>
      </c>
      <c r="E7998">
        <f>IF(OR(B7998="vi",B7998="ii",B7998="pod"),(((D7998/100)*(C7998*VLOOKUP(B7998,'Poids des runes'!A:B,2,FALSE)))+1),(((D7998/100)*(C7998*VLOOKUP(B7998,'Poids des runes'!A:B,2,FALSE)))+1)/VLOOKUP(B7998,'Poids des runes'!A:B,2,FALSE))</f>
        <v>16.86</v>
      </c>
      <c r="F7998">
        <f t="shared" si="124"/>
        <v>16.86</v>
      </c>
    </row>
    <row r="7999" spans="1:6" x14ac:dyDescent="0.3">
      <c r="A7999" t="s">
        <v>1377</v>
      </c>
      <c r="B7999" t="s">
        <v>2140</v>
      </c>
      <c r="C7999">
        <v>8.5</v>
      </c>
      <c r="D7999">
        <v>196</v>
      </c>
      <c r="E7999">
        <f>IF(OR(B7999="vi",B7999="ii",B7999="pod"),(((D7999/100)*(C7999*VLOOKUP(B7999,'Poids des runes'!A:B,2,FALSE)))+1),(((D7999/100)*(C7999*VLOOKUP(B7999,'Poids des runes'!A:B,2,FALSE)))+1)/VLOOKUP(B7999,'Poids des runes'!A:B,2,FALSE))</f>
        <v>16.86</v>
      </c>
      <c r="F7999">
        <f t="shared" si="124"/>
        <v>16.86</v>
      </c>
    </row>
    <row r="8000" spans="1:6" x14ac:dyDescent="0.3">
      <c r="A8000" t="s">
        <v>1377</v>
      </c>
      <c r="B8000" t="s">
        <v>2133</v>
      </c>
      <c r="C8000">
        <v>8.5</v>
      </c>
      <c r="D8000">
        <v>196</v>
      </c>
      <c r="E8000">
        <f>IF(OR(B8000="vi",B8000="ii",B8000="pod"),(((D8000/100)*(C8000*VLOOKUP(B8000,'Poids des runes'!A:B,2,FALSE)))+1),(((D8000/100)*(C8000*VLOOKUP(B8000,'Poids des runes'!A:B,2,FALSE)))+1)/VLOOKUP(B8000,'Poids des runes'!A:B,2,FALSE))</f>
        <v>16.86</v>
      </c>
      <c r="F8000">
        <f t="shared" si="124"/>
        <v>16.86</v>
      </c>
    </row>
    <row r="8001" spans="1:6" x14ac:dyDescent="0.3">
      <c r="A8001" t="s">
        <v>1377</v>
      </c>
      <c r="B8001" t="s">
        <v>2161</v>
      </c>
      <c r="C8001">
        <v>8.5</v>
      </c>
      <c r="D8001">
        <v>196</v>
      </c>
      <c r="E8001">
        <f>IF(OR(B8001="vi",B8001="ii",B8001="pod"),(((D8001/100)*(C8001*VLOOKUP(B8001,'Poids des runes'!A:B,2,FALSE)))+1),(((D8001/100)*(C8001*VLOOKUP(B8001,'Poids des runes'!A:B,2,FALSE)))+1)/VLOOKUP(B8001,'Poids des runes'!A:B,2,FALSE))</f>
        <v>16.993333333333332</v>
      </c>
      <c r="F8001">
        <f t="shared" si="124"/>
        <v>16.993333333333332</v>
      </c>
    </row>
    <row r="8002" spans="1:6" x14ac:dyDescent="0.3">
      <c r="A8002" t="s">
        <v>1377</v>
      </c>
      <c r="B8002" t="s">
        <v>2165</v>
      </c>
      <c r="C8002">
        <v>5</v>
      </c>
      <c r="D8002">
        <v>196</v>
      </c>
      <c r="E8002">
        <f>IF(OR(B8002="vi",B8002="ii",B8002="pod"),(((D8002/100)*(C8002*VLOOKUP(B8002,'Poids des runes'!A:B,2,FALSE)))+1),(((D8002/100)*(C8002*VLOOKUP(B8002,'Poids des runes'!A:B,2,FALSE)))+1)/VLOOKUP(B8002,'Poids des runes'!A:B,2,FALSE))</f>
        <v>9.9428571428571413</v>
      </c>
      <c r="F8002">
        <f t="shared" si="124"/>
        <v>9.9428571428571413</v>
      </c>
    </row>
    <row r="8003" spans="1:6" x14ac:dyDescent="0.3">
      <c r="A8003" t="s">
        <v>1377</v>
      </c>
      <c r="B8003" t="s">
        <v>2135</v>
      </c>
      <c r="C8003">
        <v>4</v>
      </c>
      <c r="D8003">
        <v>196</v>
      </c>
      <c r="E8003">
        <f>IF(OR(B8003="vi",B8003="ii",B8003="pod"),(((D8003/100)*(C8003*VLOOKUP(B8003,'Poids des runes'!A:B,2,FALSE)))+1),(((D8003/100)*(C8003*VLOOKUP(B8003,'Poids des runes'!A:B,2,FALSE)))+1)/VLOOKUP(B8003,'Poids des runes'!A:B,2,FALSE))</f>
        <v>8.0066666666666659</v>
      </c>
      <c r="F8003">
        <f t="shared" ref="F8003:F8066" si="125">E8003</f>
        <v>8.0066666666666659</v>
      </c>
    </row>
    <row r="8004" spans="1:6" x14ac:dyDescent="0.3">
      <c r="A8004" t="s">
        <v>1377</v>
      </c>
      <c r="B8004" t="s">
        <v>2136</v>
      </c>
      <c r="C8004">
        <v>10</v>
      </c>
      <c r="D8004">
        <v>196</v>
      </c>
      <c r="E8004">
        <f>IF(OR(B8004="vi",B8004="ii",B8004="pod"),(((D8004/100)*(C8004*VLOOKUP(B8004,'Poids des runes'!A:B,2,FALSE)))+1),(((D8004/100)*(C8004*VLOOKUP(B8004,'Poids des runes'!A:B,2,FALSE)))+1)/VLOOKUP(B8004,'Poids des runes'!A:B,2,FALSE))</f>
        <v>20.100000000000001</v>
      </c>
      <c r="F8004">
        <f t="shared" si="125"/>
        <v>20.100000000000001</v>
      </c>
    </row>
    <row r="8005" spans="1:6" x14ac:dyDescent="0.3">
      <c r="A8005" t="s">
        <v>1377</v>
      </c>
      <c r="B8005" t="s">
        <v>2145</v>
      </c>
      <c r="C8005">
        <v>10</v>
      </c>
      <c r="D8005">
        <v>196</v>
      </c>
      <c r="E8005">
        <f>IF(OR(B8005="vi",B8005="ii",B8005="pod"),(((D8005/100)*(C8005*VLOOKUP(B8005,'Poids des runes'!A:B,2,FALSE)))+1),(((D8005/100)*(C8005*VLOOKUP(B8005,'Poids des runes'!A:B,2,FALSE)))+1)/VLOOKUP(B8005,'Poids des runes'!A:B,2,FALSE))</f>
        <v>20.100000000000001</v>
      </c>
      <c r="F8005">
        <f t="shared" si="125"/>
        <v>20.100000000000001</v>
      </c>
    </row>
    <row r="8006" spans="1:6" x14ac:dyDescent="0.3">
      <c r="A8006" t="s">
        <v>1378</v>
      </c>
      <c r="B8006" t="s">
        <v>2128</v>
      </c>
      <c r="C8006">
        <v>225.5</v>
      </c>
      <c r="D8006">
        <v>196</v>
      </c>
      <c r="E8006">
        <f>IF(OR(B8006="vi",B8006="ii",B8006="pod"),(((D8006/100)*(C8006*VLOOKUP(B8006,'Poids des runes'!A:B,2,FALSE)))+1),(((D8006/100)*(C8006*VLOOKUP(B8006,'Poids des runes'!A:B,2,FALSE)))+1)/VLOOKUP(B8006,'Poids des runes'!A:B,2,FALSE))</f>
        <v>89.396000000000001</v>
      </c>
      <c r="F8006">
        <f t="shared" si="125"/>
        <v>89.396000000000001</v>
      </c>
    </row>
    <row r="8007" spans="1:6" x14ac:dyDescent="0.3">
      <c r="A8007" t="s">
        <v>1378</v>
      </c>
      <c r="B8007" t="s">
        <v>2129</v>
      </c>
      <c r="C8007">
        <v>33</v>
      </c>
      <c r="D8007">
        <v>196</v>
      </c>
      <c r="E8007">
        <f>IF(OR(B8007="vi",B8007="ii",B8007="pod"),(((D8007/100)*(C8007*VLOOKUP(B8007,'Poids des runes'!A:B,2,FALSE)))+1),(((D8007/100)*(C8007*VLOOKUP(B8007,'Poids des runes'!A:B,2,FALSE)))+1)/VLOOKUP(B8007,'Poids des runes'!A:B,2,FALSE))</f>
        <v>65.679999999999993</v>
      </c>
      <c r="F8007">
        <f t="shared" si="125"/>
        <v>65.679999999999993</v>
      </c>
    </row>
    <row r="8008" spans="1:6" x14ac:dyDescent="0.3">
      <c r="A8008" t="s">
        <v>1378</v>
      </c>
      <c r="B8008" t="s">
        <v>2139</v>
      </c>
      <c r="C8008">
        <v>33</v>
      </c>
      <c r="D8008">
        <v>196</v>
      </c>
      <c r="E8008">
        <f>IF(OR(B8008="vi",B8008="ii",B8008="pod"),(((D8008/100)*(C8008*VLOOKUP(B8008,'Poids des runes'!A:B,2,FALSE)))+1),(((D8008/100)*(C8008*VLOOKUP(B8008,'Poids des runes'!A:B,2,FALSE)))+1)/VLOOKUP(B8008,'Poids des runes'!A:B,2,FALSE))</f>
        <v>65.179999999999993</v>
      </c>
      <c r="F8008">
        <f t="shared" si="125"/>
        <v>65.179999999999993</v>
      </c>
    </row>
    <row r="8009" spans="1:6" x14ac:dyDescent="0.3">
      <c r="A8009" t="s">
        <v>1378</v>
      </c>
      <c r="B8009" t="s">
        <v>2155</v>
      </c>
      <c r="C8009">
        <v>1</v>
      </c>
      <c r="D8009">
        <v>196</v>
      </c>
      <c r="E8009">
        <f>IF(OR(B8009="vi",B8009="ii",B8009="pod"),(((D8009/100)*(C8009*VLOOKUP(B8009,'Poids des runes'!A:B,2,FALSE)))+1),(((D8009/100)*(C8009*VLOOKUP(B8009,'Poids des runes'!A:B,2,FALSE)))+1)/VLOOKUP(B8009,'Poids des runes'!A:B,2,FALSE))</f>
        <v>1.9796078431372548</v>
      </c>
      <c r="F8009">
        <f t="shared" si="125"/>
        <v>1.9796078431372548</v>
      </c>
    </row>
    <row r="8010" spans="1:6" x14ac:dyDescent="0.3">
      <c r="A8010" t="s">
        <v>1378</v>
      </c>
      <c r="B8010" t="s">
        <v>2134</v>
      </c>
      <c r="C8010">
        <v>8</v>
      </c>
      <c r="D8010">
        <v>196</v>
      </c>
      <c r="E8010">
        <f>IF(OR(B8010="vi",B8010="ii",B8010="pod"),(((D8010/100)*(C8010*VLOOKUP(B8010,'Poids des runes'!A:B,2,FALSE)))+1),(((D8010/100)*(C8010*VLOOKUP(B8010,'Poids des runes'!A:B,2,FALSE)))+1)/VLOOKUP(B8010,'Poids des runes'!A:B,2,FALSE))</f>
        <v>15.73</v>
      </c>
      <c r="F8010">
        <f t="shared" si="125"/>
        <v>15.73</v>
      </c>
    </row>
    <row r="8011" spans="1:6" x14ac:dyDescent="0.3">
      <c r="A8011" t="s">
        <v>1378</v>
      </c>
      <c r="B8011" t="s">
        <v>2161</v>
      </c>
      <c r="C8011">
        <v>15.5</v>
      </c>
      <c r="D8011">
        <v>196</v>
      </c>
      <c r="E8011">
        <f>IF(OR(B8011="vi",B8011="ii",B8011="pod"),(((D8011/100)*(C8011*VLOOKUP(B8011,'Poids des runes'!A:B,2,FALSE)))+1),(((D8011/100)*(C8011*VLOOKUP(B8011,'Poids des runes'!A:B,2,FALSE)))+1)/VLOOKUP(B8011,'Poids des runes'!A:B,2,FALSE))</f>
        <v>30.713333333333335</v>
      </c>
      <c r="F8011">
        <f t="shared" si="125"/>
        <v>30.713333333333335</v>
      </c>
    </row>
    <row r="8012" spans="1:6" x14ac:dyDescent="0.3">
      <c r="A8012" t="s">
        <v>1378</v>
      </c>
      <c r="B8012" t="s">
        <v>2135</v>
      </c>
      <c r="C8012">
        <v>8</v>
      </c>
      <c r="D8012">
        <v>196</v>
      </c>
      <c r="E8012">
        <f>IF(OR(B8012="vi",B8012="ii",B8012="pod"),(((D8012/100)*(C8012*VLOOKUP(B8012,'Poids des runes'!A:B,2,FALSE)))+1),(((D8012/100)*(C8012*VLOOKUP(B8012,'Poids des runes'!A:B,2,FALSE)))+1)/VLOOKUP(B8012,'Poids des runes'!A:B,2,FALSE))</f>
        <v>15.846666666666666</v>
      </c>
      <c r="F8012">
        <f t="shared" si="125"/>
        <v>15.846666666666666</v>
      </c>
    </row>
    <row r="8013" spans="1:6" x14ac:dyDescent="0.3">
      <c r="A8013" t="s">
        <v>1378</v>
      </c>
      <c r="B8013" t="s">
        <v>2144</v>
      </c>
      <c r="C8013">
        <v>8</v>
      </c>
      <c r="D8013">
        <v>196</v>
      </c>
      <c r="E8013">
        <f>IF(OR(B8013="vi",B8013="ii",B8013="pod"),(((D8013/100)*(C8013*VLOOKUP(B8013,'Poids des runes'!A:B,2,FALSE)))+1),(((D8013/100)*(C8013*VLOOKUP(B8013,'Poids des runes'!A:B,2,FALSE)))+1)/VLOOKUP(B8013,'Poids des runes'!A:B,2,FALSE))</f>
        <v>16.18</v>
      </c>
      <c r="F8013">
        <f t="shared" si="125"/>
        <v>16.18</v>
      </c>
    </row>
    <row r="8014" spans="1:6" x14ac:dyDescent="0.3">
      <c r="A8014" t="s">
        <v>1379</v>
      </c>
      <c r="B8014" t="s">
        <v>2128</v>
      </c>
      <c r="C8014">
        <v>325.5</v>
      </c>
      <c r="D8014">
        <v>196</v>
      </c>
      <c r="E8014">
        <f>IF(OR(B8014="vi",B8014="ii",B8014="pod"),(((D8014/100)*(C8014*VLOOKUP(B8014,'Poids des runes'!A:B,2,FALSE)))+1),(((D8014/100)*(C8014*VLOOKUP(B8014,'Poids des runes'!A:B,2,FALSE)))+1)/VLOOKUP(B8014,'Poids des runes'!A:B,2,FALSE))</f>
        <v>128.596</v>
      </c>
      <c r="F8014">
        <f t="shared" si="125"/>
        <v>128.596</v>
      </c>
    </row>
    <row r="8015" spans="1:6" x14ac:dyDescent="0.3">
      <c r="A8015" t="s">
        <v>1379</v>
      </c>
      <c r="B8015" t="s">
        <v>2131</v>
      </c>
      <c r="C8015">
        <v>60.5</v>
      </c>
      <c r="D8015">
        <v>196</v>
      </c>
      <c r="E8015">
        <f>IF(OR(B8015="vi",B8015="ii",B8015="pod"),(((D8015/100)*(C8015*VLOOKUP(B8015,'Poids des runes'!A:B,2,FALSE)))+1),(((D8015/100)*(C8015*VLOOKUP(B8015,'Poids des runes'!A:B,2,FALSE)))+1)/VLOOKUP(B8015,'Poids des runes'!A:B,2,FALSE))</f>
        <v>119.58</v>
      </c>
      <c r="F8015">
        <f t="shared" si="125"/>
        <v>119.58</v>
      </c>
    </row>
    <row r="8016" spans="1:6" x14ac:dyDescent="0.3">
      <c r="A8016" t="s">
        <v>1379</v>
      </c>
      <c r="B8016" t="s">
        <v>2129</v>
      </c>
      <c r="C8016">
        <v>40.5</v>
      </c>
      <c r="D8016">
        <v>196</v>
      </c>
      <c r="E8016">
        <f>IF(OR(B8016="vi",B8016="ii",B8016="pod"),(((D8016/100)*(C8016*VLOOKUP(B8016,'Poids des runes'!A:B,2,FALSE)))+1),(((D8016/100)*(C8016*VLOOKUP(B8016,'Poids des runes'!A:B,2,FALSE)))+1)/VLOOKUP(B8016,'Poids des runes'!A:B,2,FALSE))</f>
        <v>80.38</v>
      </c>
      <c r="F8016">
        <f t="shared" si="125"/>
        <v>80.38</v>
      </c>
    </row>
    <row r="8017" spans="1:6" x14ac:dyDescent="0.3">
      <c r="A8017" t="s">
        <v>1379</v>
      </c>
      <c r="B8017" t="s">
        <v>2133</v>
      </c>
      <c r="C8017">
        <v>18</v>
      </c>
      <c r="D8017">
        <v>196</v>
      </c>
      <c r="E8017">
        <f>IF(OR(B8017="vi",B8017="ii",B8017="pod"),(((D8017/100)*(C8017*VLOOKUP(B8017,'Poids des runes'!A:B,2,FALSE)))+1),(((D8017/100)*(C8017*VLOOKUP(B8017,'Poids des runes'!A:B,2,FALSE)))+1)/VLOOKUP(B8017,'Poids des runes'!A:B,2,FALSE))</f>
        <v>35.480000000000004</v>
      </c>
      <c r="F8017">
        <f t="shared" si="125"/>
        <v>35.480000000000004</v>
      </c>
    </row>
    <row r="8018" spans="1:6" x14ac:dyDescent="0.3">
      <c r="A8018" t="s">
        <v>1379</v>
      </c>
      <c r="B8018" t="s">
        <v>2132</v>
      </c>
      <c r="C8018">
        <v>450.5</v>
      </c>
      <c r="D8018">
        <v>196</v>
      </c>
      <c r="E8018">
        <f>IF(OR(B8018="vi",B8018="ii",B8018="pod"),(((D8018/100)*(C8018*VLOOKUP(B8018,'Poids des runes'!A:B,2,FALSE)))+1),(((D8018/100)*(C8018*VLOOKUP(B8018,'Poids des runes'!A:B,2,FALSE)))+1)/VLOOKUP(B8018,'Poids des runes'!A:B,2,FALSE))</f>
        <v>89.298000000000002</v>
      </c>
      <c r="F8018">
        <f t="shared" si="125"/>
        <v>89.298000000000002</v>
      </c>
    </row>
    <row r="8019" spans="1:6" x14ac:dyDescent="0.3">
      <c r="A8019" t="s">
        <v>1379</v>
      </c>
      <c r="B8019" t="s">
        <v>2160</v>
      </c>
      <c r="C8019">
        <v>6</v>
      </c>
      <c r="D8019">
        <v>196</v>
      </c>
      <c r="E8019">
        <f>IF(OR(B8019="vi",B8019="ii",B8019="pod"),(((D8019/100)*(C8019*VLOOKUP(B8019,'Poids des runes'!A:B,2,FALSE)))+1),(((D8019/100)*(C8019*VLOOKUP(B8019,'Poids des runes'!A:B,2,FALSE)))+1)/VLOOKUP(B8019,'Poids des runes'!A:B,2,FALSE))</f>
        <v>11.902857142857142</v>
      </c>
      <c r="F8019">
        <f t="shared" si="125"/>
        <v>11.902857142857142</v>
      </c>
    </row>
    <row r="8020" spans="1:6" x14ac:dyDescent="0.3">
      <c r="A8020" t="s">
        <v>1379</v>
      </c>
      <c r="B8020" t="s">
        <v>2142</v>
      </c>
      <c r="C8020">
        <v>18</v>
      </c>
      <c r="D8020">
        <v>196</v>
      </c>
      <c r="E8020">
        <f>IF(OR(B8020="vi",B8020="ii",B8020="pod"),(((D8020/100)*(C8020*VLOOKUP(B8020,'Poids des runes'!A:B,2,FALSE)))+1),(((D8020/100)*(C8020*VLOOKUP(B8020,'Poids des runes'!A:B,2,FALSE)))+1)/VLOOKUP(B8020,'Poids des runes'!A:B,2,FALSE))</f>
        <v>35.480000000000004</v>
      </c>
      <c r="F8020">
        <f t="shared" si="125"/>
        <v>35.480000000000004</v>
      </c>
    </row>
    <row r="8021" spans="1:6" x14ac:dyDescent="0.3">
      <c r="A8021" t="s">
        <v>1379</v>
      </c>
      <c r="B8021" t="s">
        <v>2135</v>
      </c>
      <c r="C8021">
        <v>7.5</v>
      </c>
      <c r="D8021">
        <v>196</v>
      </c>
      <c r="E8021">
        <f>IF(OR(B8021="vi",B8021="ii",B8021="pod"),(((D8021/100)*(C8021*VLOOKUP(B8021,'Poids des runes'!A:B,2,FALSE)))+1),(((D8021/100)*(C8021*VLOOKUP(B8021,'Poids des runes'!A:B,2,FALSE)))+1)/VLOOKUP(B8021,'Poids des runes'!A:B,2,FALSE))</f>
        <v>14.866666666666667</v>
      </c>
      <c r="F8021">
        <f t="shared" si="125"/>
        <v>14.866666666666667</v>
      </c>
    </row>
    <row r="8022" spans="1:6" x14ac:dyDescent="0.3">
      <c r="A8022" t="s">
        <v>1379</v>
      </c>
      <c r="B8022" t="s">
        <v>2157</v>
      </c>
      <c r="C8022">
        <v>7.5</v>
      </c>
      <c r="D8022">
        <v>196</v>
      </c>
      <c r="E8022">
        <f>IF(OR(B8022="vi",B8022="ii",B8022="pod"),(((D8022/100)*(C8022*VLOOKUP(B8022,'Poids des runes'!A:B,2,FALSE)))+1),(((D8022/100)*(C8022*VLOOKUP(B8022,'Poids des runes'!A:B,2,FALSE)))+1)/VLOOKUP(B8022,'Poids des runes'!A:B,2,FALSE))</f>
        <v>14.866666666666667</v>
      </c>
      <c r="F8022">
        <f t="shared" si="125"/>
        <v>14.866666666666667</v>
      </c>
    </row>
    <row r="8023" spans="1:6" x14ac:dyDescent="0.3">
      <c r="A8023" t="s">
        <v>1380</v>
      </c>
      <c r="B8023" t="s">
        <v>2128</v>
      </c>
      <c r="C8023">
        <v>275.5</v>
      </c>
      <c r="D8023">
        <v>196</v>
      </c>
      <c r="E8023">
        <f>IF(OR(B8023="vi",B8023="ii",B8023="pod"),(((D8023/100)*(C8023*VLOOKUP(B8023,'Poids des runes'!A:B,2,FALSE)))+1),(((D8023/100)*(C8023*VLOOKUP(B8023,'Poids des runes'!A:B,2,FALSE)))+1)/VLOOKUP(B8023,'Poids des runes'!A:B,2,FALSE))</f>
        <v>108.996</v>
      </c>
      <c r="F8023">
        <f t="shared" si="125"/>
        <v>108.996</v>
      </c>
    </row>
    <row r="8024" spans="1:6" x14ac:dyDescent="0.3">
      <c r="A8024" t="s">
        <v>1380</v>
      </c>
      <c r="B8024" t="s">
        <v>2129</v>
      </c>
      <c r="C8024">
        <v>50.5</v>
      </c>
      <c r="D8024">
        <v>196</v>
      </c>
      <c r="E8024">
        <f>IF(OR(B8024="vi",B8024="ii",B8024="pod"),(((D8024/100)*(C8024*VLOOKUP(B8024,'Poids des runes'!A:B,2,FALSE)))+1),(((D8024/100)*(C8024*VLOOKUP(B8024,'Poids des runes'!A:B,2,FALSE)))+1)/VLOOKUP(B8024,'Poids des runes'!A:B,2,FALSE))</f>
        <v>99.98</v>
      </c>
      <c r="F8024">
        <f t="shared" si="125"/>
        <v>99.98</v>
      </c>
    </row>
    <row r="8025" spans="1:6" x14ac:dyDescent="0.3">
      <c r="A8025" t="s">
        <v>1380</v>
      </c>
      <c r="B8025" t="s">
        <v>2151</v>
      </c>
      <c r="C8025">
        <v>10</v>
      </c>
      <c r="D8025">
        <v>196</v>
      </c>
      <c r="E8025">
        <f>IF(OR(B8025="vi",B8025="ii",B8025="pod"),(((D8025/100)*(C8025*VLOOKUP(B8025,'Poids des runes'!A:B,2,FALSE)))+1),(((D8025/100)*(C8025*VLOOKUP(B8025,'Poids des runes'!A:B,2,FALSE)))+1)/VLOOKUP(B8025,'Poids des runes'!A:B,2,FALSE))</f>
        <v>19.7</v>
      </c>
      <c r="F8025">
        <f t="shared" si="125"/>
        <v>19.7</v>
      </c>
    </row>
    <row r="8026" spans="1:6" x14ac:dyDescent="0.3">
      <c r="A8026" t="s">
        <v>1380</v>
      </c>
      <c r="B8026" t="s">
        <v>2155</v>
      </c>
      <c r="C8026">
        <v>2</v>
      </c>
      <c r="D8026">
        <v>196</v>
      </c>
      <c r="E8026">
        <f>IF(OR(B8026="vi",B8026="ii",B8026="pod"),(((D8026/100)*(C8026*VLOOKUP(B8026,'Poids des runes'!A:B,2,FALSE)))+1),(((D8026/100)*(C8026*VLOOKUP(B8026,'Poids des runes'!A:B,2,FALSE)))+1)/VLOOKUP(B8026,'Poids des runes'!A:B,2,FALSE))</f>
        <v>3.9396078431372548</v>
      </c>
      <c r="F8026">
        <f t="shared" si="125"/>
        <v>3.9396078431372548</v>
      </c>
    </row>
    <row r="8027" spans="1:6" x14ac:dyDescent="0.3">
      <c r="A8027" t="s">
        <v>1380</v>
      </c>
      <c r="B8027" t="s">
        <v>2150</v>
      </c>
      <c r="C8027">
        <v>1</v>
      </c>
      <c r="D8027">
        <v>196</v>
      </c>
      <c r="E8027">
        <f>IF(OR(B8027="vi",B8027="ii",B8027="pod"),(((D8027/100)*(C8027*VLOOKUP(B8027,'Poids des runes'!A:B,2,FALSE)))+1),(((D8027/100)*(C8027*VLOOKUP(B8027,'Poids des runes'!A:B,2,FALSE)))+1)/VLOOKUP(B8027,'Poids des runes'!A:B,2,FALSE))</f>
        <v>1.9933333333333332</v>
      </c>
      <c r="F8027">
        <f t="shared" si="125"/>
        <v>1.9933333333333332</v>
      </c>
    </row>
    <row r="8028" spans="1:6" x14ac:dyDescent="0.3">
      <c r="A8028" t="s">
        <v>1380</v>
      </c>
      <c r="B8028" t="s">
        <v>2149</v>
      </c>
      <c r="C8028">
        <v>10</v>
      </c>
      <c r="D8028">
        <v>196</v>
      </c>
      <c r="E8028">
        <f>IF(OR(B8028="vi",B8028="ii",B8028="pod"),(((D8028/100)*(C8028*VLOOKUP(B8028,'Poids des runes'!A:B,2,FALSE)))+1),(((D8028/100)*(C8028*VLOOKUP(B8028,'Poids des runes'!A:B,2,FALSE)))+1)/VLOOKUP(B8028,'Poids des runes'!A:B,2,FALSE))</f>
        <v>19.7</v>
      </c>
      <c r="F8028">
        <f t="shared" si="125"/>
        <v>19.7</v>
      </c>
    </row>
    <row r="8029" spans="1:6" x14ac:dyDescent="0.3">
      <c r="A8029" t="s">
        <v>1380</v>
      </c>
      <c r="B8029" t="s">
        <v>2161</v>
      </c>
      <c r="C8029">
        <v>18</v>
      </c>
      <c r="D8029">
        <v>196</v>
      </c>
      <c r="E8029">
        <f>IF(OR(B8029="vi",B8029="ii",B8029="pod"),(((D8029/100)*(C8029*VLOOKUP(B8029,'Poids des runes'!A:B,2,FALSE)))+1),(((D8029/100)*(C8029*VLOOKUP(B8029,'Poids des runes'!A:B,2,FALSE)))+1)/VLOOKUP(B8029,'Poids des runes'!A:B,2,FALSE))</f>
        <v>35.613333333333337</v>
      </c>
      <c r="F8029">
        <f t="shared" si="125"/>
        <v>35.613333333333337</v>
      </c>
    </row>
    <row r="8030" spans="1:6" x14ac:dyDescent="0.3">
      <c r="A8030" t="s">
        <v>1380</v>
      </c>
      <c r="B8030" t="s">
        <v>2159</v>
      </c>
      <c r="C8030">
        <v>10</v>
      </c>
      <c r="D8030">
        <v>196</v>
      </c>
      <c r="E8030">
        <f>IF(OR(B8030="vi",B8030="ii",B8030="pod"),(((D8030/100)*(C8030*VLOOKUP(B8030,'Poids des runes'!A:B,2,FALSE)))+1),(((D8030/100)*(C8030*VLOOKUP(B8030,'Poids des runes'!A:B,2,FALSE)))+1)/VLOOKUP(B8030,'Poids des runes'!A:B,2,FALSE))</f>
        <v>19.74285714285714</v>
      </c>
      <c r="F8030">
        <f t="shared" si="125"/>
        <v>19.74285714285714</v>
      </c>
    </row>
    <row r="8031" spans="1:6" x14ac:dyDescent="0.3">
      <c r="A8031" t="s">
        <v>1380</v>
      </c>
      <c r="B8031" t="s">
        <v>2160</v>
      </c>
      <c r="C8031">
        <v>10</v>
      </c>
      <c r="D8031">
        <v>196</v>
      </c>
      <c r="E8031">
        <f>IF(OR(B8031="vi",B8031="ii",B8031="pod"),(((D8031/100)*(C8031*VLOOKUP(B8031,'Poids des runes'!A:B,2,FALSE)))+1),(((D8031/100)*(C8031*VLOOKUP(B8031,'Poids des runes'!A:B,2,FALSE)))+1)/VLOOKUP(B8031,'Poids des runes'!A:B,2,FALSE))</f>
        <v>19.74285714285714</v>
      </c>
      <c r="F8031">
        <f t="shared" si="125"/>
        <v>19.74285714285714</v>
      </c>
    </row>
    <row r="8032" spans="1:6" x14ac:dyDescent="0.3">
      <c r="A8032" t="s">
        <v>1381</v>
      </c>
      <c r="B8032" t="s">
        <v>2128</v>
      </c>
      <c r="C8032">
        <v>275.5</v>
      </c>
      <c r="D8032">
        <v>196</v>
      </c>
      <c r="E8032">
        <f>IF(OR(B8032="vi",B8032="ii",B8032="pod"),(((D8032/100)*(C8032*VLOOKUP(B8032,'Poids des runes'!A:B,2,FALSE)))+1),(((D8032/100)*(C8032*VLOOKUP(B8032,'Poids des runes'!A:B,2,FALSE)))+1)/VLOOKUP(B8032,'Poids des runes'!A:B,2,FALSE))</f>
        <v>108.996</v>
      </c>
      <c r="F8032">
        <f t="shared" si="125"/>
        <v>108.996</v>
      </c>
    </row>
    <row r="8033" spans="1:6" x14ac:dyDescent="0.3">
      <c r="A8033" t="s">
        <v>1381</v>
      </c>
      <c r="B8033" t="s">
        <v>2126</v>
      </c>
      <c r="C8033">
        <v>40.5</v>
      </c>
      <c r="D8033">
        <v>196</v>
      </c>
      <c r="E8033">
        <f>IF(OR(B8033="vi",B8033="ii",B8033="pod"),(((D8033/100)*(C8033*VLOOKUP(B8033,'Poids des runes'!A:B,2,FALSE)))+1),(((D8033/100)*(C8033*VLOOKUP(B8033,'Poids des runes'!A:B,2,FALSE)))+1)/VLOOKUP(B8033,'Poids des runes'!A:B,2,FALSE))</f>
        <v>80.38</v>
      </c>
      <c r="F8033">
        <f t="shared" si="125"/>
        <v>80.38</v>
      </c>
    </row>
    <row r="8034" spans="1:6" x14ac:dyDescent="0.3">
      <c r="A8034" t="s">
        <v>1381</v>
      </c>
      <c r="B8034" t="s">
        <v>2131</v>
      </c>
      <c r="C8034">
        <v>40.5</v>
      </c>
      <c r="D8034">
        <v>196</v>
      </c>
      <c r="E8034">
        <f>IF(OR(B8034="vi",B8034="ii",B8034="pod"),(((D8034/100)*(C8034*VLOOKUP(B8034,'Poids des runes'!A:B,2,FALSE)))+1),(((D8034/100)*(C8034*VLOOKUP(B8034,'Poids des runes'!A:B,2,FALSE)))+1)/VLOOKUP(B8034,'Poids des runes'!A:B,2,FALSE))</f>
        <v>80.38</v>
      </c>
      <c r="F8034">
        <f t="shared" si="125"/>
        <v>80.38</v>
      </c>
    </row>
    <row r="8035" spans="1:6" x14ac:dyDescent="0.3">
      <c r="A8035" t="s">
        <v>1381</v>
      </c>
      <c r="B8035" t="s">
        <v>2129</v>
      </c>
      <c r="C8035">
        <v>25.5</v>
      </c>
      <c r="D8035">
        <v>196</v>
      </c>
      <c r="E8035">
        <f>IF(OR(B8035="vi",B8035="ii",B8035="pod"),(((D8035/100)*(C8035*VLOOKUP(B8035,'Poids des runes'!A:B,2,FALSE)))+1),(((D8035/100)*(C8035*VLOOKUP(B8035,'Poids des runes'!A:B,2,FALSE)))+1)/VLOOKUP(B8035,'Poids des runes'!A:B,2,FALSE))</f>
        <v>50.98</v>
      </c>
      <c r="F8035">
        <f t="shared" si="125"/>
        <v>50.98</v>
      </c>
    </row>
    <row r="8036" spans="1:6" x14ac:dyDescent="0.3">
      <c r="A8036" t="s">
        <v>1381</v>
      </c>
      <c r="B8036" t="s">
        <v>2155</v>
      </c>
      <c r="C8036">
        <v>1</v>
      </c>
      <c r="D8036">
        <v>196</v>
      </c>
      <c r="E8036">
        <f>IF(OR(B8036="vi",B8036="ii",B8036="pod"),(((D8036/100)*(C8036*VLOOKUP(B8036,'Poids des runes'!A:B,2,FALSE)))+1),(((D8036/100)*(C8036*VLOOKUP(B8036,'Poids des runes'!A:B,2,FALSE)))+1)/VLOOKUP(B8036,'Poids des runes'!A:B,2,FALSE))</f>
        <v>1.9796078431372548</v>
      </c>
      <c r="F8036">
        <f t="shared" si="125"/>
        <v>1.9796078431372548</v>
      </c>
    </row>
    <row r="8037" spans="1:6" x14ac:dyDescent="0.3">
      <c r="A8037" t="s">
        <v>1381</v>
      </c>
      <c r="B8037" t="s">
        <v>2140</v>
      </c>
      <c r="C8037">
        <v>10.5</v>
      </c>
      <c r="D8037">
        <v>196</v>
      </c>
      <c r="E8037">
        <f>IF(OR(B8037="vi",B8037="ii",B8037="pod"),(((D8037/100)*(C8037*VLOOKUP(B8037,'Poids des runes'!A:B,2,FALSE)))+1),(((D8037/100)*(C8037*VLOOKUP(B8037,'Poids des runes'!A:B,2,FALSE)))+1)/VLOOKUP(B8037,'Poids des runes'!A:B,2,FALSE))</f>
        <v>20.779999999999998</v>
      </c>
      <c r="F8037">
        <f t="shared" si="125"/>
        <v>20.779999999999998</v>
      </c>
    </row>
    <row r="8038" spans="1:6" x14ac:dyDescent="0.3">
      <c r="A8038" t="s">
        <v>1381</v>
      </c>
      <c r="B8038" t="s">
        <v>2133</v>
      </c>
      <c r="C8038">
        <v>10.5</v>
      </c>
      <c r="D8038">
        <v>196</v>
      </c>
      <c r="E8038">
        <f>IF(OR(B8038="vi",B8038="ii",B8038="pod"),(((D8038/100)*(C8038*VLOOKUP(B8038,'Poids des runes'!A:B,2,FALSE)))+1),(((D8038/100)*(C8038*VLOOKUP(B8038,'Poids des runes'!A:B,2,FALSE)))+1)/VLOOKUP(B8038,'Poids des runes'!A:B,2,FALSE))</f>
        <v>20.779999999999998</v>
      </c>
      <c r="F8038">
        <f t="shared" si="125"/>
        <v>20.779999999999998</v>
      </c>
    </row>
    <row r="8039" spans="1:6" x14ac:dyDescent="0.3">
      <c r="A8039" t="s">
        <v>1381</v>
      </c>
      <c r="B8039" t="s">
        <v>2159</v>
      </c>
      <c r="C8039">
        <v>4</v>
      </c>
      <c r="D8039">
        <v>196</v>
      </c>
      <c r="E8039">
        <f>IF(OR(B8039="vi",B8039="ii",B8039="pod"),(((D8039/100)*(C8039*VLOOKUP(B8039,'Poids des runes'!A:B,2,FALSE)))+1),(((D8039/100)*(C8039*VLOOKUP(B8039,'Poids des runes'!A:B,2,FALSE)))+1)/VLOOKUP(B8039,'Poids des runes'!A:B,2,FALSE))</f>
        <v>7.9828571428571422</v>
      </c>
      <c r="F8039">
        <f t="shared" si="125"/>
        <v>7.9828571428571422</v>
      </c>
    </row>
    <row r="8040" spans="1:6" x14ac:dyDescent="0.3">
      <c r="A8040" t="s">
        <v>1381</v>
      </c>
      <c r="B8040" t="s">
        <v>2164</v>
      </c>
      <c r="C8040">
        <v>18</v>
      </c>
      <c r="D8040">
        <v>196</v>
      </c>
      <c r="E8040">
        <f>IF(OR(B8040="vi",B8040="ii",B8040="pod"),(((D8040/100)*(C8040*VLOOKUP(B8040,'Poids des runes'!A:B,2,FALSE)))+1),(((D8040/100)*(C8040*VLOOKUP(B8040,'Poids des runes'!A:B,2,FALSE)))+1)/VLOOKUP(B8040,'Poids des runes'!A:B,2,FALSE))</f>
        <v>35.78</v>
      </c>
      <c r="F8040">
        <f t="shared" si="125"/>
        <v>35.78</v>
      </c>
    </row>
    <row r="8041" spans="1:6" x14ac:dyDescent="0.3">
      <c r="A8041" t="s">
        <v>1381</v>
      </c>
      <c r="B8041" t="s">
        <v>2157</v>
      </c>
      <c r="C8041">
        <v>6</v>
      </c>
      <c r="D8041">
        <v>196</v>
      </c>
      <c r="E8041">
        <f>IF(OR(B8041="vi",B8041="ii",B8041="pod"),(((D8041/100)*(C8041*VLOOKUP(B8041,'Poids des runes'!A:B,2,FALSE)))+1),(((D8041/100)*(C8041*VLOOKUP(B8041,'Poids des runes'!A:B,2,FALSE)))+1)/VLOOKUP(B8041,'Poids des runes'!A:B,2,FALSE))</f>
        <v>11.926666666666668</v>
      </c>
      <c r="F8041">
        <f t="shared" si="125"/>
        <v>11.926666666666668</v>
      </c>
    </row>
    <row r="8042" spans="1:6" x14ac:dyDescent="0.3">
      <c r="A8042" t="s">
        <v>1382</v>
      </c>
      <c r="B8042" t="s">
        <v>2128</v>
      </c>
      <c r="C8042">
        <v>325.5</v>
      </c>
      <c r="D8042">
        <v>196</v>
      </c>
      <c r="E8042">
        <f>IF(OR(B8042="vi",B8042="ii",B8042="pod"),(((D8042/100)*(C8042*VLOOKUP(B8042,'Poids des runes'!A:B,2,FALSE)))+1),(((D8042/100)*(C8042*VLOOKUP(B8042,'Poids des runes'!A:B,2,FALSE)))+1)/VLOOKUP(B8042,'Poids des runes'!A:B,2,FALSE))</f>
        <v>128.596</v>
      </c>
      <c r="F8042">
        <f t="shared" si="125"/>
        <v>128.596</v>
      </c>
    </row>
    <row r="8043" spans="1:6" x14ac:dyDescent="0.3">
      <c r="A8043" t="s">
        <v>1382</v>
      </c>
      <c r="B8043" t="s">
        <v>2130</v>
      </c>
      <c r="C8043">
        <v>35.5</v>
      </c>
      <c r="D8043">
        <v>196</v>
      </c>
      <c r="E8043">
        <f>IF(OR(B8043="vi",B8043="ii",B8043="pod"),(((D8043/100)*(C8043*VLOOKUP(B8043,'Poids des runes'!A:B,2,FALSE)))+1),(((D8043/100)*(C8043*VLOOKUP(B8043,'Poids des runes'!A:B,2,FALSE)))+1)/VLOOKUP(B8043,'Poids des runes'!A:B,2,FALSE))</f>
        <v>70.58</v>
      </c>
      <c r="F8043">
        <f t="shared" si="125"/>
        <v>70.58</v>
      </c>
    </row>
    <row r="8044" spans="1:6" x14ac:dyDescent="0.3">
      <c r="A8044" t="s">
        <v>1382</v>
      </c>
      <c r="B8044" t="s">
        <v>2127</v>
      </c>
      <c r="C8044">
        <v>35.5</v>
      </c>
      <c r="D8044">
        <v>196</v>
      </c>
      <c r="E8044">
        <f>IF(OR(B8044="vi",B8044="ii",B8044="pod"),(((D8044/100)*(C8044*VLOOKUP(B8044,'Poids des runes'!A:B,2,FALSE)))+1),(((D8044/100)*(C8044*VLOOKUP(B8044,'Poids des runes'!A:B,2,FALSE)))+1)/VLOOKUP(B8044,'Poids des runes'!A:B,2,FALSE))</f>
        <v>70.58</v>
      </c>
      <c r="F8044">
        <f t="shared" si="125"/>
        <v>70.58</v>
      </c>
    </row>
    <row r="8045" spans="1:6" x14ac:dyDescent="0.3">
      <c r="A8045" t="s">
        <v>1382</v>
      </c>
      <c r="B8045" t="s">
        <v>2129</v>
      </c>
      <c r="C8045">
        <v>25.5</v>
      </c>
      <c r="D8045">
        <v>196</v>
      </c>
      <c r="E8045">
        <f>IF(OR(B8045="vi",B8045="ii",B8045="pod"),(((D8045/100)*(C8045*VLOOKUP(B8045,'Poids des runes'!A:B,2,FALSE)))+1),(((D8045/100)*(C8045*VLOOKUP(B8045,'Poids des runes'!A:B,2,FALSE)))+1)/VLOOKUP(B8045,'Poids des runes'!A:B,2,FALSE))</f>
        <v>50.98</v>
      </c>
      <c r="F8045">
        <f t="shared" si="125"/>
        <v>50.98</v>
      </c>
    </row>
    <row r="8046" spans="1:6" x14ac:dyDescent="0.3">
      <c r="A8046" t="s">
        <v>1382</v>
      </c>
      <c r="B8046" t="s">
        <v>2151</v>
      </c>
      <c r="C8046">
        <v>5</v>
      </c>
      <c r="D8046">
        <v>196</v>
      </c>
      <c r="E8046">
        <f>IF(OR(B8046="vi",B8046="ii",B8046="pod"),(((D8046/100)*(C8046*VLOOKUP(B8046,'Poids des runes'!A:B,2,FALSE)))+1),(((D8046/100)*(C8046*VLOOKUP(B8046,'Poids des runes'!A:B,2,FALSE)))+1)/VLOOKUP(B8046,'Poids des runes'!A:B,2,FALSE))</f>
        <v>9.9</v>
      </c>
      <c r="F8046">
        <f t="shared" si="125"/>
        <v>9.9</v>
      </c>
    </row>
    <row r="8047" spans="1:6" x14ac:dyDescent="0.3">
      <c r="A8047" t="s">
        <v>1382</v>
      </c>
      <c r="B8047" t="s">
        <v>2154</v>
      </c>
      <c r="C8047">
        <v>1</v>
      </c>
      <c r="D8047">
        <v>196</v>
      </c>
      <c r="E8047">
        <f>IF(OR(B8047="vi",B8047="ii",B8047="pod"),(((D8047/100)*(C8047*VLOOKUP(B8047,'Poids des runes'!A:B,2,FALSE)))+1),(((D8047/100)*(C8047*VLOOKUP(B8047,'Poids des runes'!A:B,2,FALSE)))+1)/VLOOKUP(B8047,'Poids des runes'!A:B,2,FALSE))</f>
        <v>1.9711111111111113</v>
      </c>
      <c r="F8047">
        <f t="shared" si="125"/>
        <v>1.9711111111111113</v>
      </c>
    </row>
    <row r="8048" spans="1:6" x14ac:dyDescent="0.3">
      <c r="A8048" t="s">
        <v>1382</v>
      </c>
      <c r="B8048" t="s">
        <v>2143</v>
      </c>
      <c r="C8048">
        <v>6.5</v>
      </c>
      <c r="D8048">
        <v>196</v>
      </c>
      <c r="E8048">
        <f>IF(OR(B8048="vi",B8048="ii",B8048="pod"),(((D8048/100)*(C8048*VLOOKUP(B8048,'Poids des runes'!A:B,2,FALSE)))+1),(((D8048/100)*(C8048*VLOOKUP(B8048,'Poids des runes'!A:B,2,FALSE)))+1)/VLOOKUP(B8048,'Poids des runes'!A:B,2,FALSE))</f>
        <v>12.939999999999998</v>
      </c>
      <c r="F8048">
        <f t="shared" si="125"/>
        <v>12.939999999999998</v>
      </c>
    </row>
    <row r="8049" spans="1:6" x14ac:dyDescent="0.3">
      <c r="A8049" t="s">
        <v>1382</v>
      </c>
      <c r="B8049" t="s">
        <v>2153</v>
      </c>
      <c r="C8049">
        <v>6.5</v>
      </c>
      <c r="D8049">
        <v>196</v>
      </c>
      <c r="E8049">
        <f>IF(OR(B8049="vi",B8049="ii",B8049="pod"),(((D8049/100)*(C8049*VLOOKUP(B8049,'Poids des runes'!A:B,2,FALSE)))+1),(((D8049/100)*(C8049*VLOOKUP(B8049,'Poids des runes'!A:B,2,FALSE)))+1)/VLOOKUP(B8049,'Poids des runes'!A:B,2,FALSE))</f>
        <v>12.939999999999998</v>
      </c>
      <c r="F8049">
        <f t="shared" si="125"/>
        <v>12.939999999999998</v>
      </c>
    </row>
    <row r="8050" spans="1:6" x14ac:dyDescent="0.3">
      <c r="A8050" t="s">
        <v>1382</v>
      </c>
      <c r="B8050" t="s">
        <v>2161</v>
      </c>
      <c r="C8050">
        <v>13</v>
      </c>
      <c r="D8050">
        <v>196</v>
      </c>
      <c r="E8050">
        <f>IF(OR(B8050="vi",B8050="ii",B8050="pod"),(((D8050/100)*(C8050*VLOOKUP(B8050,'Poids des runes'!A:B,2,FALSE)))+1),(((D8050/100)*(C8050*VLOOKUP(B8050,'Poids des runes'!A:B,2,FALSE)))+1)/VLOOKUP(B8050,'Poids des runes'!A:B,2,FALSE))</f>
        <v>25.813333333333333</v>
      </c>
      <c r="F8050">
        <f t="shared" si="125"/>
        <v>25.813333333333333</v>
      </c>
    </row>
    <row r="8051" spans="1:6" x14ac:dyDescent="0.3">
      <c r="A8051" t="s">
        <v>1382</v>
      </c>
      <c r="B8051" t="s">
        <v>2141</v>
      </c>
      <c r="C8051">
        <v>8.5</v>
      </c>
      <c r="D8051">
        <v>196</v>
      </c>
      <c r="E8051">
        <f>IF(OR(B8051="vi",B8051="ii",B8051="pod"),(((D8051/100)*(C8051*VLOOKUP(B8051,'Poids des runes'!A:B,2,FALSE)))+1),(((D8051/100)*(C8051*VLOOKUP(B8051,'Poids des runes'!A:B,2,FALSE)))+1)/VLOOKUP(B8051,'Poids des runes'!A:B,2,FALSE))</f>
        <v>16.91</v>
      </c>
      <c r="F8051">
        <f t="shared" si="125"/>
        <v>16.91</v>
      </c>
    </row>
    <row r="8052" spans="1:6" x14ac:dyDescent="0.3">
      <c r="A8052" t="s">
        <v>1382</v>
      </c>
      <c r="B8052" t="s">
        <v>2158</v>
      </c>
      <c r="C8052">
        <v>13</v>
      </c>
      <c r="D8052">
        <v>196</v>
      </c>
      <c r="E8052">
        <f>IF(OR(B8052="vi",B8052="ii",B8052="pod"),(((D8052/100)*(C8052*VLOOKUP(B8052,'Poids des runes'!A:B,2,FALSE)))+1),(((D8052/100)*(C8052*VLOOKUP(B8052,'Poids des runes'!A:B,2,FALSE)))+1)/VLOOKUP(B8052,'Poids des runes'!A:B,2,FALSE))</f>
        <v>25.679999999999996</v>
      </c>
      <c r="F8052">
        <f t="shared" si="125"/>
        <v>25.679999999999996</v>
      </c>
    </row>
    <row r="8053" spans="1:6" x14ac:dyDescent="0.3">
      <c r="A8053" t="s">
        <v>1382</v>
      </c>
      <c r="B8053" t="s">
        <v>2156</v>
      </c>
      <c r="C8053">
        <v>8.5</v>
      </c>
      <c r="D8053">
        <v>196</v>
      </c>
      <c r="E8053">
        <f>IF(OR(B8053="vi",B8053="ii",B8053="pod"),(((D8053/100)*(C8053*VLOOKUP(B8053,'Poids des runes'!A:B,2,FALSE)))+1),(((D8053/100)*(C8053*VLOOKUP(B8053,'Poids des runes'!A:B,2,FALSE)))+1)/VLOOKUP(B8053,'Poids des runes'!A:B,2,FALSE))</f>
        <v>16.826666666666664</v>
      </c>
      <c r="F8053">
        <f t="shared" si="125"/>
        <v>16.826666666666664</v>
      </c>
    </row>
    <row r="8054" spans="1:6" x14ac:dyDescent="0.3">
      <c r="A8054" t="s">
        <v>1383</v>
      </c>
      <c r="B8054" t="s">
        <v>2128</v>
      </c>
      <c r="C8054">
        <v>325.5</v>
      </c>
      <c r="D8054">
        <v>196</v>
      </c>
      <c r="E8054">
        <f>IF(OR(B8054="vi",B8054="ii",B8054="pod"),(((D8054/100)*(C8054*VLOOKUP(B8054,'Poids des runes'!A:B,2,FALSE)))+1),(((D8054/100)*(C8054*VLOOKUP(B8054,'Poids des runes'!A:B,2,FALSE)))+1)/VLOOKUP(B8054,'Poids des runes'!A:B,2,FALSE))</f>
        <v>128.596</v>
      </c>
      <c r="F8054">
        <f t="shared" si="125"/>
        <v>128.596</v>
      </c>
    </row>
    <row r="8055" spans="1:6" x14ac:dyDescent="0.3">
      <c r="A8055" t="s">
        <v>1383</v>
      </c>
      <c r="B8055" t="s">
        <v>2126</v>
      </c>
      <c r="C8055">
        <v>50.5</v>
      </c>
      <c r="D8055">
        <v>196</v>
      </c>
      <c r="E8055">
        <f>IF(OR(B8055="vi",B8055="ii",B8055="pod"),(((D8055/100)*(C8055*VLOOKUP(B8055,'Poids des runes'!A:B,2,FALSE)))+1),(((D8055/100)*(C8055*VLOOKUP(B8055,'Poids des runes'!A:B,2,FALSE)))+1)/VLOOKUP(B8055,'Poids des runes'!A:B,2,FALSE))</f>
        <v>99.98</v>
      </c>
      <c r="F8055">
        <f t="shared" si="125"/>
        <v>99.98</v>
      </c>
    </row>
    <row r="8056" spans="1:6" x14ac:dyDescent="0.3">
      <c r="A8056" t="s">
        <v>1383</v>
      </c>
      <c r="B8056" t="s">
        <v>2127</v>
      </c>
      <c r="C8056">
        <v>50.5</v>
      </c>
      <c r="D8056">
        <v>196</v>
      </c>
      <c r="E8056">
        <f>IF(OR(B8056="vi",B8056="ii",B8056="pod"),(((D8056/100)*(C8056*VLOOKUP(B8056,'Poids des runes'!A:B,2,FALSE)))+1),(((D8056/100)*(C8056*VLOOKUP(B8056,'Poids des runes'!A:B,2,FALSE)))+1)/VLOOKUP(B8056,'Poids des runes'!A:B,2,FALSE))</f>
        <v>99.98</v>
      </c>
      <c r="F8056">
        <f t="shared" si="125"/>
        <v>99.98</v>
      </c>
    </row>
    <row r="8057" spans="1:6" x14ac:dyDescent="0.3">
      <c r="A8057" t="s">
        <v>1383</v>
      </c>
      <c r="B8057" t="s">
        <v>2129</v>
      </c>
      <c r="C8057">
        <v>35.5</v>
      </c>
      <c r="D8057">
        <v>196</v>
      </c>
      <c r="E8057">
        <f>IF(OR(B8057="vi",B8057="ii",B8057="pod"),(((D8057/100)*(C8057*VLOOKUP(B8057,'Poids des runes'!A:B,2,FALSE)))+1),(((D8057/100)*(C8057*VLOOKUP(B8057,'Poids des runes'!A:B,2,FALSE)))+1)/VLOOKUP(B8057,'Poids des runes'!A:B,2,FALSE))</f>
        <v>70.58</v>
      </c>
      <c r="F8057">
        <f t="shared" si="125"/>
        <v>70.58</v>
      </c>
    </row>
    <row r="8058" spans="1:6" x14ac:dyDescent="0.3">
      <c r="A8058" t="s">
        <v>1383</v>
      </c>
      <c r="B8058" t="s">
        <v>2151</v>
      </c>
      <c r="C8058">
        <v>5</v>
      </c>
      <c r="D8058">
        <v>196</v>
      </c>
      <c r="E8058">
        <f>IF(OR(B8058="vi",B8058="ii",B8058="pod"),(((D8058/100)*(C8058*VLOOKUP(B8058,'Poids des runes'!A:B,2,FALSE)))+1),(((D8058/100)*(C8058*VLOOKUP(B8058,'Poids des runes'!A:B,2,FALSE)))+1)/VLOOKUP(B8058,'Poids des runes'!A:B,2,FALSE))</f>
        <v>9.9</v>
      </c>
      <c r="F8058">
        <f t="shared" si="125"/>
        <v>9.9</v>
      </c>
    </row>
    <row r="8059" spans="1:6" x14ac:dyDescent="0.3">
      <c r="A8059" t="s">
        <v>1383</v>
      </c>
      <c r="B8059" t="s">
        <v>2155</v>
      </c>
      <c r="C8059">
        <v>1</v>
      </c>
      <c r="D8059">
        <v>196</v>
      </c>
      <c r="E8059">
        <f>IF(OR(B8059="vi",B8059="ii",B8059="pod"),(((D8059/100)*(C8059*VLOOKUP(B8059,'Poids des runes'!A:B,2,FALSE)))+1),(((D8059/100)*(C8059*VLOOKUP(B8059,'Poids des runes'!A:B,2,FALSE)))+1)/VLOOKUP(B8059,'Poids des runes'!A:B,2,FALSE))</f>
        <v>1.9796078431372548</v>
      </c>
      <c r="F8059">
        <f t="shared" si="125"/>
        <v>1.9796078431372548</v>
      </c>
    </row>
    <row r="8060" spans="1:6" x14ac:dyDescent="0.3">
      <c r="A8060" t="s">
        <v>1383</v>
      </c>
      <c r="B8060" t="s">
        <v>2140</v>
      </c>
      <c r="C8060">
        <v>10.5</v>
      </c>
      <c r="D8060">
        <v>196</v>
      </c>
      <c r="E8060">
        <f>IF(OR(B8060="vi",B8060="ii",B8060="pod"),(((D8060/100)*(C8060*VLOOKUP(B8060,'Poids des runes'!A:B,2,FALSE)))+1),(((D8060/100)*(C8060*VLOOKUP(B8060,'Poids des runes'!A:B,2,FALSE)))+1)/VLOOKUP(B8060,'Poids des runes'!A:B,2,FALSE))</f>
        <v>20.779999999999998</v>
      </c>
      <c r="F8060">
        <f t="shared" si="125"/>
        <v>20.779999999999998</v>
      </c>
    </row>
    <row r="8061" spans="1:6" x14ac:dyDescent="0.3">
      <c r="A8061" t="s">
        <v>1383</v>
      </c>
      <c r="B8061" t="s">
        <v>2153</v>
      </c>
      <c r="C8061">
        <v>10.5</v>
      </c>
      <c r="D8061">
        <v>196</v>
      </c>
      <c r="E8061">
        <f>IF(OR(B8061="vi",B8061="ii",B8061="pod"),(((D8061/100)*(C8061*VLOOKUP(B8061,'Poids des runes'!A:B,2,FALSE)))+1),(((D8061/100)*(C8061*VLOOKUP(B8061,'Poids des runes'!A:B,2,FALSE)))+1)/VLOOKUP(B8061,'Poids des runes'!A:B,2,FALSE))</f>
        <v>20.779999999999998</v>
      </c>
      <c r="F8061">
        <f t="shared" si="125"/>
        <v>20.779999999999998</v>
      </c>
    </row>
    <row r="8062" spans="1:6" x14ac:dyDescent="0.3">
      <c r="A8062" t="s">
        <v>1383</v>
      </c>
      <c r="B8062" t="s">
        <v>2149</v>
      </c>
      <c r="C8062">
        <v>4</v>
      </c>
      <c r="D8062">
        <v>196</v>
      </c>
      <c r="E8062">
        <f>IF(OR(B8062="vi",B8062="ii",B8062="pod"),(((D8062/100)*(C8062*VLOOKUP(B8062,'Poids des runes'!A:B,2,FALSE)))+1),(((D8062/100)*(C8062*VLOOKUP(B8062,'Poids des runes'!A:B,2,FALSE)))+1)/VLOOKUP(B8062,'Poids des runes'!A:B,2,FALSE))</f>
        <v>7.94</v>
      </c>
      <c r="F8062">
        <f t="shared" si="125"/>
        <v>7.94</v>
      </c>
    </row>
    <row r="8063" spans="1:6" x14ac:dyDescent="0.3">
      <c r="A8063" t="s">
        <v>1383</v>
      </c>
      <c r="B8063" t="s">
        <v>2161</v>
      </c>
      <c r="C8063">
        <v>13</v>
      </c>
      <c r="D8063">
        <v>196</v>
      </c>
      <c r="E8063">
        <f>IF(OR(B8063="vi",B8063="ii",B8063="pod"),(((D8063/100)*(C8063*VLOOKUP(B8063,'Poids des runes'!A:B,2,FALSE)))+1),(((D8063/100)*(C8063*VLOOKUP(B8063,'Poids des runes'!A:B,2,FALSE)))+1)/VLOOKUP(B8063,'Poids des runes'!A:B,2,FALSE))</f>
        <v>25.813333333333333</v>
      </c>
      <c r="F8063">
        <f t="shared" si="125"/>
        <v>25.813333333333333</v>
      </c>
    </row>
    <row r="8064" spans="1:6" x14ac:dyDescent="0.3">
      <c r="A8064" t="s">
        <v>1383</v>
      </c>
      <c r="B8064" t="s">
        <v>2141</v>
      </c>
      <c r="C8064">
        <v>5</v>
      </c>
      <c r="D8064">
        <v>196</v>
      </c>
      <c r="E8064">
        <f>IF(OR(B8064="vi",B8064="ii",B8064="pod"),(((D8064/100)*(C8064*VLOOKUP(B8064,'Poids des runes'!A:B,2,FALSE)))+1),(((D8064/100)*(C8064*VLOOKUP(B8064,'Poids des runes'!A:B,2,FALSE)))+1)/VLOOKUP(B8064,'Poids des runes'!A:B,2,FALSE))</f>
        <v>10.050000000000001</v>
      </c>
      <c r="F8064">
        <f t="shared" si="125"/>
        <v>10.050000000000001</v>
      </c>
    </row>
    <row r="8065" spans="1:6" x14ac:dyDescent="0.3">
      <c r="A8065" t="s">
        <v>1383</v>
      </c>
      <c r="B8065" t="s">
        <v>2148</v>
      </c>
      <c r="C8065">
        <v>6</v>
      </c>
      <c r="D8065">
        <v>196</v>
      </c>
      <c r="E8065">
        <f>IF(OR(B8065="vi",B8065="ii",B8065="pod"),(((D8065/100)*(C8065*VLOOKUP(B8065,'Poids des runes'!A:B,2,FALSE)))+1),(((D8065/100)*(C8065*VLOOKUP(B8065,'Poids des runes'!A:B,2,FALSE)))+1)/VLOOKUP(B8065,'Poids des runes'!A:B,2,FALSE))</f>
        <v>11.926666666666668</v>
      </c>
      <c r="F8065">
        <f t="shared" si="125"/>
        <v>11.926666666666668</v>
      </c>
    </row>
    <row r="8066" spans="1:6" x14ac:dyDescent="0.3">
      <c r="A8066" t="s">
        <v>1383</v>
      </c>
      <c r="B8066" t="s">
        <v>2135</v>
      </c>
      <c r="C8066">
        <v>3.5</v>
      </c>
      <c r="D8066">
        <v>196</v>
      </c>
      <c r="E8066">
        <f>IF(OR(B8066="vi",B8066="ii",B8066="pod"),(((D8066/100)*(C8066*VLOOKUP(B8066,'Poids des runes'!A:B,2,FALSE)))+1),(((D8066/100)*(C8066*VLOOKUP(B8066,'Poids des runes'!A:B,2,FALSE)))+1)/VLOOKUP(B8066,'Poids des runes'!A:B,2,FALSE))</f>
        <v>7.0266666666666664</v>
      </c>
      <c r="F8066">
        <f t="shared" si="125"/>
        <v>7.0266666666666664</v>
      </c>
    </row>
    <row r="8067" spans="1:6" x14ac:dyDescent="0.3">
      <c r="A8067" t="s">
        <v>1383</v>
      </c>
      <c r="B8067" t="s">
        <v>2137</v>
      </c>
      <c r="C8067">
        <v>10.5</v>
      </c>
      <c r="D8067">
        <v>196</v>
      </c>
      <c r="E8067">
        <f>IF(OR(B8067="vi",B8067="ii",B8067="pod"),(((D8067/100)*(C8067*VLOOKUP(B8067,'Poids des runes'!A:B,2,FALSE)))+1),(((D8067/100)*(C8067*VLOOKUP(B8067,'Poids des runes'!A:B,2,FALSE)))+1)/VLOOKUP(B8067,'Poids des runes'!A:B,2,FALSE))</f>
        <v>21.08</v>
      </c>
      <c r="F8067">
        <f t="shared" ref="F8067:F8130" si="126">E8067</f>
        <v>21.08</v>
      </c>
    </row>
    <row r="8068" spans="1:6" x14ac:dyDescent="0.3">
      <c r="A8068" t="s">
        <v>1384</v>
      </c>
      <c r="B8068" t="s">
        <v>2128</v>
      </c>
      <c r="C8068">
        <v>325.5</v>
      </c>
      <c r="D8068">
        <v>197</v>
      </c>
      <c r="E8068">
        <f>IF(OR(B8068="vi",B8068="ii",B8068="pod"),(((D8068/100)*(C8068*VLOOKUP(B8068,'Poids des runes'!A:B,2,FALSE)))+1),(((D8068/100)*(C8068*VLOOKUP(B8068,'Poids des runes'!A:B,2,FALSE)))+1)/VLOOKUP(B8068,'Poids des runes'!A:B,2,FALSE))</f>
        <v>129.24700000000001</v>
      </c>
      <c r="F8068">
        <f t="shared" si="126"/>
        <v>129.24700000000001</v>
      </c>
    </row>
    <row r="8069" spans="1:6" x14ac:dyDescent="0.3">
      <c r="A8069" t="s">
        <v>1384</v>
      </c>
      <c r="B8069" t="s">
        <v>2130</v>
      </c>
      <c r="C8069">
        <v>35.5</v>
      </c>
      <c r="D8069">
        <v>197</v>
      </c>
      <c r="E8069">
        <f>IF(OR(B8069="vi",B8069="ii",B8069="pod"),(((D8069/100)*(C8069*VLOOKUP(B8069,'Poids des runes'!A:B,2,FALSE)))+1),(((D8069/100)*(C8069*VLOOKUP(B8069,'Poids des runes'!A:B,2,FALSE)))+1)/VLOOKUP(B8069,'Poids des runes'!A:B,2,FALSE))</f>
        <v>70.935000000000002</v>
      </c>
      <c r="F8069">
        <f t="shared" si="126"/>
        <v>70.935000000000002</v>
      </c>
    </row>
    <row r="8070" spans="1:6" x14ac:dyDescent="0.3">
      <c r="A8070" t="s">
        <v>1384</v>
      </c>
      <c r="B8070" t="s">
        <v>2126</v>
      </c>
      <c r="C8070">
        <v>35.5</v>
      </c>
      <c r="D8070">
        <v>197</v>
      </c>
      <c r="E8070">
        <f>IF(OR(B8070="vi",B8070="ii",B8070="pod"),(((D8070/100)*(C8070*VLOOKUP(B8070,'Poids des runes'!A:B,2,FALSE)))+1),(((D8070/100)*(C8070*VLOOKUP(B8070,'Poids des runes'!A:B,2,FALSE)))+1)/VLOOKUP(B8070,'Poids des runes'!A:B,2,FALSE))</f>
        <v>70.935000000000002</v>
      </c>
      <c r="F8070">
        <f t="shared" si="126"/>
        <v>70.935000000000002</v>
      </c>
    </row>
    <row r="8071" spans="1:6" x14ac:dyDescent="0.3">
      <c r="A8071" t="s">
        <v>1384</v>
      </c>
      <c r="B8071" t="s">
        <v>2127</v>
      </c>
      <c r="C8071">
        <v>35.5</v>
      </c>
      <c r="D8071">
        <v>197</v>
      </c>
      <c r="E8071">
        <f>IF(OR(B8071="vi",B8071="ii",B8071="pod"),(((D8071/100)*(C8071*VLOOKUP(B8071,'Poids des runes'!A:B,2,FALSE)))+1),(((D8071/100)*(C8071*VLOOKUP(B8071,'Poids des runes'!A:B,2,FALSE)))+1)/VLOOKUP(B8071,'Poids des runes'!A:B,2,FALSE))</f>
        <v>70.935000000000002</v>
      </c>
      <c r="F8071">
        <f t="shared" si="126"/>
        <v>70.935000000000002</v>
      </c>
    </row>
    <row r="8072" spans="1:6" x14ac:dyDescent="0.3">
      <c r="A8072" t="s">
        <v>1384</v>
      </c>
      <c r="B8072" t="s">
        <v>2129</v>
      </c>
      <c r="C8072">
        <v>40.5</v>
      </c>
      <c r="D8072">
        <v>197</v>
      </c>
      <c r="E8072">
        <f>IF(OR(B8072="vi",B8072="ii",B8072="pod"),(((D8072/100)*(C8072*VLOOKUP(B8072,'Poids des runes'!A:B,2,FALSE)))+1),(((D8072/100)*(C8072*VLOOKUP(B8072,'Poids des runes'!A:B,2,FALSE)))+1)/VLOOKUP(B8072,'Poids des runes'!A:B,2,FALSE))</f>
        <v>80.784999999999997</v>
      </c>
      <c r="F8072">
        <f t="shared" si="126"/>
        <v>80.784999999999997</v>
      </c>
    </row>
    <row r="8073" spans="1:6" x14ac:dyDescent="0.3">
      <c r="A8073" t="s">
        <v>1384</v>
      </c>
      <c r="B8073" t="s">
        <v>2151</v>
      </c>
      <c r="C8073">
        <v>3.5</v>
      </c>
      <c r="D8073">
        <v>197</v>
      </c>
      <c r="E8073">
        <f>IF(OR(B8073="vi",B8073="ii",B8073="pod"),(((D8073/100)*(C8073*VLOOKUP(B8073,'Poids des runes'!A:B,2,FALSE)))+1),(((D8073/100)*(C8073*VLOOKUP(B8073,'Poids des runes'!A:B,2,FALSE)))+1)/VLOOKUP(B8073,'Poids des runes'!A:B,2,FALSE))</f>
        <v>6.9950000000000001</v>
      </c>
      <c r="F8073">
        <f t="shared" si="126"/>
        <v>6.9950000000000001</v>
      </c>
    </row>
    <row r="8074" spans="1:6" x14ac:dyDescent="0.3">
      <c r="A8074" t="s">
        <v>1384</v>
      </c>
      <c r="B8074" t="s">
        <v>2152</v>
      </c>
      <c r="C8074">
        <v>1</v>
      </c>
      <c r="D8074">
        <v>197</v>
      </c>
      <c r="E8074">
        <f>IF(OR(B8074="vi",B8074="ii",B8074="pod"),(((D8074/100)*(C8074*VLOOKUP(B8074,'Poids des runes'!A:B,2,FALSE)))+1),(((D8074/100)*(C8074*VLOOKUP(B8074,'Poids des runes'!A:B,2,FALSE)))+1)/VLOOKUP(B8074,'Poids des runes'!A:B,2,FALSE))</f>
        <v>1.98</v>
      </c>
      <c r="F8074">
        <f t="shared" si="126"/>
        <v>1.98</v>
      </c>
    </row>
    <row r="8075" spans="1:6" x14ac:dyDescent="0.3">
      <c r="A8075" t="s">
        <v>1384</v>
      </c>
      <c r="B8075" t="s">
        <v>2155</v>
      </c>
      <c r="C8075">
        <v>1</v>
      </c>
      <c r="D8075">
        <v>197</v>
      </c>
      <c r="E8075">
        <f>IF(OR(B8075="vi",B8075="ii",B8075="pod"),(((D8075/100)*(C8075*VLOOKUP(B8075,'Poids des runes'!A:B,2,FALSE)))+1),(((D8075/100)*(C8075*VLOOKUP(B8075,'Poids des runes'!A:B,2,FALSE)))+1)/VLOOKUP(B8075,'Poids des runes'!A:B,2,FALSE))</f>
        <v>1.9896078431372548</v>
      </c>
      <c r="F8075">
        <f t="shared" si="126"/>
        <v>1.9896078431372548</v>
      </c>
    </row>
    <row r="8076" spans="1:6" x14ac:dyDescent="0.3">
      <c r="A8076" t="s">
        <v>1384</v>
      </c>
      <c r="B8076" t="s">
        <v>2143</v>
      </c>
      <c r="C8076">
        <v>10.5</v>
      </c>
      <c r="D8076">
        <v>197</v>
      </c>
      <c r="E8076">
        <f>IF(OR(B8076="vi",B8076="ii",B8076="pod"),(((D8076/100)*(C8076*VLOOKUP(B8076,'Poids des runes'!A:B,2,FALSE)))+1),(((D8076/100)*(C8076*VLOOKUP(B8076,'Poids des runes'!A:B,2,FALSE)))+1)/VLOOKUP(B8076,'Poids des runes'!A:B,2,FALSE))</f>
        <v>20.884999999999998</v>
      </c>
      <c r="F8076">
        <f t="shared" si="126"/>
        <v>20.884999999999998</v>
      </c>
    </row>
    <row r="8077" spans="1:6" x14ac:dyDescent="0.3">
      <c r="A8077" t="s">
        <v>1384</v>
      </c>
      <c r="B8077" t="s">
        <v>2140</v>
      </c>
      <c r="C8077">
        <v>10.5</v>
      </c>
      <c r="D8077">
        <v>197</v>
      </c>
      <c r="E8077">
        <f>IF(OR(B8077="vi",B8077="ii",B8077="pod"),(((D8077/100)*(C8077*VLOOKUP(B8077,'Poids des runes'!A:B,2,FALSE)))+1),(((D8077/100)*(C8077*VLOOKUP(B8077,'Poids des runes'!A:B,2,FALSE)))+1)/VLOOKUP(B8077,'Poids des runes'!A:B,2,FALSE))</f>
        <v>20.884999999999998</v>
      </c>
      <c r="F8077">
        <f t="shared" si="126"/>
        <v>20.884999999999998</v>
      </c>
    </row>
    <row r="8078" spans="1:6" x14ac:dyDescent="0.3">
      <c r="A8078" t="s">
        <v>1384</v>
      </c>
      <c r="B8078" t="s">
        <v>2153</v>
      </c>
      <c r="C8078">
        <v>10.5</v>
      </c>
      <c r="D8078">
        <v>197</v>
      </c>
      <c r="E8078">
        <f>IF(OR(B8078="vi",B8078="ii",B8078="pod"),(((D8078/100)*(C8078*VLOOKUP(B8078,'Poids des runes'!A:B,2,FALSE)))+1),(((D8078/100)*(C8078*VLOOKUP(B8078,'Poids des runes'!A:B,2,FALSE)))+1)/VLOOKUP(B8078,'Poids des runes'!A:B,2,FALSE))</f>
        <v>20.884999999999998</v>
      </c>
      <c r="F8078">
        <f t="shared" si="126"/>
        <v>20.884999999999998</v>
      </c>
    </row>
    <row r="8079" spans="1:6" x14ac:dyDescent="0.3">
      <c r="A8079" t="s">
        <v>1384</v>
      </c>
      <c r="B8079" t="s">
        <v>2132</v>
      </c>
      <c r="C8079">
        <v>350.5</v>
      </c>
      <c r="D8079">
        <v>197</v>
      </c>
      <c r="E8079">
        <f>IF(OR(B8079="vi",B8079="ii",B8079="pod"),(((D8079/100)*(C8079*VLOOKUP(B8079,'Poids des runes'!A:B,2,FALSE)))+1),(((D8079/100)*(C8079*VLOOKUP(B8079,'Poids des runes'!A:B,2,FALSE)))+1)/VLOOKUP(B8079,'Poids des runes'!A:B,2,FALSE))</f>
        <v>70.048500000000004</v>
      </c>
      <c r="F8079">
        <f t="shared" si="126"/>
        <v>70.048500000000004</v>
      </c>
    </row>
    <row r="8080" spans="1:6" x14ac:dyDescent="0.3">
      <c r="A8080" t="s">
        <v>1384</v>
      </c>
      <c r="B8080" t="s">
        <v>2165</v>
      </c>
      <c r="C8080">
        <v>4.5</v>
      </c>
      <c r="D8080">
        <v>197</v>
      </c>
      <c r="E8080">
        <f>IF(OR(B8080="vi",B8080="ii",B8080="pod"),(((D8080/100)*(C8080*VLOOKUP(B8080,'Poids des runes'!A:B,2,FALSE)))+1),(((D8080/100)*(C8080*VLOOKUP(B8080,'Poids des runes'!A:B,2,FALSE)))+1)/VLOOKUP(B8080,'Poids des runes'!A:B,2,FALSE))</f>
        <v>9.0078571428571426</v>
      </c>
      <c r="F8080">
        <f t="shared" si="126"/>
        <v>9.0078571428571426</v>
      </c>
    </row>
    <row r="8081" spans="1:6" x14ac:dyDescent="0.3">
      <c r="A8081" t="s">
        <v>1384</v>
      </c>
      <c r="B8081" t="s">
        <v>2135</v>
      </c>
      <c r="C8081">
        <v>4</v>
      </c>
      <c r="D8081">
        <v>197</v>
      </c>
      <c r="E8081">
        <f>IF(OR(B8081="vi",B8081="ii",B8081="pod"),(((D8081/100)*(C8081*VLOOKUP(B8081,'Poids des runes'!A:B,2,FALSE)))+1),(((D8081/100)*(C8081*VLOOKUP(B8081,'Poids des runes'!A:B,2,FALSE)))+1)/VLOOKUP(B8081,'Poids des runes'!A:B,2,FALSE))</f>
        <v>8.0466666666666669</v>
      </c>
      <c r="F8081">
        <f t="shared" si="126"/>
        <v>8.0466666666666669</v>
      </c>
    </row>
    <row r="8082" spans="1:6" x14ac:dyDescent="0.3">
      <c r="A8082" t="s">
        <v>1385</v>
      </c>
      <c r="B8082" t="s">
        <v>2128</v>
      </c>
      <c r="C8082">
        <v>350.5</v>
      </c>
      <c r="D8082">
        <v>197</v>
      </c>
      <c r="E8082">
        <f>IF(OR(B8082="vi",B8082="ii",B8082="pod"),(((D8082/100)*(C8082*VLOOKUP(B8082,'Poids des runes'!A:B,2,FALSE)))+1),(((D8082/100)*(C8082*VLOOKUP(B8082,'Poids des runes'!A:B,2,FALSE)))+1)/VLOOKUP(B8082,'Poids des runes'!A:B,2,FALSE))</f>
        <v>139.09700000000001</v>
      </c>
      <c r="F8082">
        <f t="shared" si="126"/>
        <v>139.09700000000001</v>
      </c>
    </row>
    <row r="8083" spans="1:6" x14ac:dyDescent="0.3">
      <c r="A8083" t="s">
        <v>1385</v>
      </c>
      <c r="B8083" t="s">
        <v>2129</v>
      </c>
      <c r="C8083">
        <v>40.5</v>
      </c>
      <c r="D8083">
        <v>197</v>
      </c>
      <c r="E8083">
        <f>IF(OR(B8083="vi",B8083="ii",B8083="pod"),(((D8083/100)*(C8083*VLOOKUP(B8083,'Poids des runes'!A:B,2,FALSE)))+1),(((D8083/100)*(C8083*VLOOKUP(B8083,'Poids des runes'!A:B,2,FALSE)))+1)/VLOOKUP(B8083,'Poids des runes'!A:B,2,FALSE))</f>
        <v>80.784999999999997</v>
      </c>
      <c r="F8083">
        <f t="shared" si="126"/>
        <v>80.784999999999997</v>
      </c>
    </row>
    <row r="8084" spans="1:6" x14ac:dyDescent="0.3">
      <c r="A8084" t="s">
        <v>1385</v>
      </c>
      <c r="B8084" t="s">
        <v>2151</v>
      </c>
      <c r="C8084">
        <v>3.5</v>
      </c>
      <c r="D8084">
        <v>197</v>
      </c>
      <c r="E8084">
        <f>IF(OR(B8084="vi",B8084="ii",B8084="pod"),(((D8084/100)*(C8084*VLOOKUP(B8084,'Poids des runes'!A:B,2,FALSE)))+1),(((D8084/100)*(C8084*VLOOKUP(B8084,'Poids des runes'!A:B,2,FALSE)))+1)/VLOOKUP(B8084,'Poids des runes'!A:B,2,FALSE))</f>
        <v>6.9950000000000001</v>
      </c>
      <c r="F8084">
        <f t="shared" si="126"/>
        <v>6.9950000000000001</v>
      </c>
    </row>
    <row r="8085" spans="1:6" x14ac:dyDescent="0.3">
      <c r="A8085" t="s">
        <v>1385</v>
      </c>
      <c r="B8085" t="s">
        <v>2155</v>
      </c>
      <c r="C8085">
        <v>2</v>
      </c>
      <c r="D8085">
        <v>197</v>
      </c>
      <c r="E8085">
        <f>IF(OR(B8085="vi",B8085="ii",B8085="pod"),(((D8085/100)*(C8085*VLOOKUP(B8085,'Poids des runes'!A:B,2,FALSE)))+1),(((D8085/100)*(C8085*VLOOKUP(B8085,'Poids des runes'!A:B,2,FALSE)))+1)/VLOOKUP(B8085,'Poids des runes'!A:B,2,FALSE))</f>
        <v>3.9596078431372548</v>
      </c>
      <c r="F8085">
        <f t="shared" si="126"/>
        <v>3.9596078431372548</v>
      </c>
    </row>
    <row r="8086" spans="1:6" x14ac:dyDescent="0.3">
      <c r="A8086" t="s">
        <v>1385</v>
      </c>
      <c r="B8086" t="s">
        <v>2132</v>
      </c>
      <c r="C8086">
        <v>350.5</v>
      </c>
      <c r="D8086">
        <v>197</v>
      </c>
      <c r="E8086">
        <f>IF(OR(B8086="vi",B8086="ii",B8086="pod"),(((D8086/100)*(C8086*VLOOKUP(B8086,'Poids des runes'!A:B,2,FALSE)))+1),(((D8086/100)*(C8086*VLOOKUP(B8086,'Poids des runes'!A:B,2,FALSE)))+1)/VLOOKUP(B8086,'Poids des runes'!A:B,2,FALSE))</f>
        <v>70.048500000000004</v>
      </c>
      <c r="F8086">
        <f t="shared" si="126"/>
        <v>70.048500000000004</v>
      </c>
    </row>
    <row r="8087" spans="1:6" x14ac:dyDescent="0.3">
      <c r="A8087" t="s">
        <v>1385</v>
      </c>
      <c r="B8087" t="s">
        <v>2138</v>
      </c>
      <c r="C8087">
        <v>7.5</v>
      </c>
      <c r="D8087">
        <v>197</v>
      </c>
      <c r="E8087">
        <f>IF(OR(B8087="vi",B8087="ii",B8087="pod"),(((D8087/100)*(C8087*VLOOKUP(B8087,'Poids des runes'!A:B,2,FALSE)))+1),(((D8087/100)*(C8087*VLOOKUP(B8087,'Poids des runes'!A:B,2,FALSE)))+1)/VLOOKUP(B8087,'Poids des runes'!A:B,2,FALSE))</f>
        <v>15.025</v>
      </c>
      <c r="F8087">
        <f t="shared" si="126"/>
        <v>15.025</v>
      </c>
    </row>
    <row r="8088" spans="1:6" x14ac:dyDescent="0.3">
      <c r="A8088" t="s">
        <v>1385</v>
      </c>
      <c r="B8088" t="s">
        <v>2141</v>
      </c>
      <c r="C8088">
        <v>7.5</v>
      </c>
      <c r="D8088">
        <v>197</v>
      </c>
      <c r="E8088">
        <f>IF(OR(B8088="vi",B8088="ii",B8088="pod"),(((D8088/100)*(C8088*VLOOKUP(B8088,'Poids des runes'!A:B,2,FALSE)))+1),(((D8088/100)*(C8088*VLOOKUP(B8088,'Poids des runes'!A:B,2,FALSE)))+1)/VLOOKUP(B8088,'Poids des runes'!A:B,2,FALSE))</f>
        <v>15.025</v>
      </c>
      <c r="F8088">
        <f t="shared" si="126"/>
        <v>15.025</v>
      </c>
    </row>
    <row r="8089" spans="1:6" x14ac:dyDescent="0.3">
      <c r="A8089" t="s">
        <v>1386</v>
      </c>
      <c r="B8089" t="s">
        <v>2128</v>
      </c>
      <c r="C8089">
        <v>250.5</v>
      </c>
      <c r="D8089">
        <v>197</v>
      </c>
      <c r="E8089">
        <f>IF(OR(B8089="vi",B8089="ii",B8089="pod"),(((D8089/100)*(C8089*VLOOKUP(B8089,'Poids des runes'!A:B,2,FALSE)))+1),(((D8089/100)*(C8089*VLOOKUP(B8089,'Poids des runes'!A:B,2,FALSE)))+1)/VLOOKUP(B8089,'Poids des runes'!A:B,2,FALSE))</f>
        <v>99.697000000000003</v>
      </c>
      <c r="F8089">
        <f t="shared" si="126"/>
        <v>99.697000000000003</v>
      </c>
    </row>
    <row r="8090" spans="1:6" x14ac:dyDescent="0.3">
      <c r="A8090" t="s">
        <v>1386</v>
      </c>
      <c r="B8090" t="s">
        <v>2139</v>
      </c>
      <c r="C8090">
        <v>25.5</v>
      </c>
      <c r="D8090">
        <v>197</v>
      </c>
      <c r="E8090">
        <f>IF(OR(B8090="vi",B8090="ii",B8090="pod"),(((D8090/100)*(C8090*VLOOKUP(B8090,'Poids des runes'!A:B,2,FALSE)))+1),(((D8090/100)*(C8090*VLOOKUP(B8090,'Poids des runes'!A:B,2,FALSE)))+1)/VLOOKUP(B8090,'Poids des runes'!A:B,2,FALSE))</f>
        <v>50.734999999999999</v>
      </c>
      <c r="F8090">
        <f t="shared" si="126"/>
        <v>50.734999999999999</v>
      </c>
    </row>
    <row r="8091" spans="1:6" x14ac:dyDescent="0.3">
      <c r="A8091" t="s">
        <v>1386</v>
      </c>
      <c r="B8091" t="s">
        <v>2151</v>
      </c>
      <c r="C8091">
        <v>5</v>
      </c>
      <c r="D8091">
        <v>197</v>
      </c>
      <c r="E8091">
        <f>IF(OR(B8091="vi",B8091="ii",B8091="pod"),(((D8091/100)*(C8091*VLOOKUP(B8091,'Poids des runes'!A:B,2,FALSE)))+1),(((D8091/100)*(C8091*VLOOKUP(B8091,'Poids des runes'!A:B,2,FALSE)))+1)/VLOOKUP(B8091,'Poids des runes'!A:B,2,FALSE))</f>
        <v>9.9499999999999993</v>
      </c>
      <c r="F8091">
        <f t="shared" si="126"/>
        <v>9.9499999999999993</v>
      </c>
    </row>
    <row r="8092" spans="1:6" x14ac:dyDescent="0.3">
      <c r="A8092" t="s">
        <v>1386</v>
      </c>
      <c r="B8092" t="s">
        <v>2150</v>
      </c>
      <c r="C8092">
        <v>2</v>
      </c>
      <c r="D8092">
        <v>197</v>
      </c>
      <c r="E8092">
        <f>IF(OR(B8092="vi",B8092="ii",B8092="pod"),(((D8092/100)*(C8092*VLOOKUP(B8092,'Poids des runes'!A:B,2,FALSE)))+1),(((D8092/100)*(C8092*VLOOKUP(B8092,'Poids des runes'!A:B,2,FALSE)))+1)/VLOOKUP(B8092,'Poids des runes'!A:B,2,FALSE))</f>
        <v>3.9733333333333336</v>
      </c>
      <c r="F8092">
        <f t="shared" si="126"/>
        <v>3.9733333333333336</v>
      </c>
    </row>
    <row r="8093" spans="1:6" x14ac:dyDescent="0.3">
      <c r="A8093" t="s">
        <v>1386</v>
      </c>
      <c r="B8093" t="s">
        <v>2134</v>
      </c>
      <c r="C8093">
        <v>6</v>
      </c>
      <c r="D8093">
        <v>197</v>
      </c>
      <c r="E8093">
        <f>IF(OR(B8093="vi",B8093="ii",B8093="pod"),(((D8093/100)*(C8093*VLOOKUP(B8093,'Poids des runes'!A:B,2,FALSE)))+1),(((D8093/100)*(C8093*VLOOKUP(B8093,'Poids des runes'!A:B,2,FALSE)))+1)/VLOOKUP(B8093,'Poids des runes'!A:B,2,FALSE))</f>
        <v>11.870000000000001</v>
      </c>
      <c r="F8093">
        <f t="shared" si="126"/>
        <v>11.870000000000001</v>
      </c>
    </row>
    <row r="8094" spans="1:6" x14ac:dyDescent="0.3">
      <c r="A8094" t="s">
        <v>1386</v>
      </c>
      <c r="B8094" t="s">
        <v>2163</v>
      </c>
      <c r="C8094">
        <v>8.5</v>
      </c>
      <c r="D8094">
        <v>197</v>
      </c>
      <c r="E8094">
        <f>IF(OR(B8094="vi",B8094="ii",B8094="pod"),(((D8094/100)*(C8094*VLOOKUP(B8094,'Poids des runes'!A:B,2,FALSE)))+1),(((D8094/100)*(C8094*VLOOKUP(B8094,'Poids des runes'!A:B,2,FALSE)))+1)/VLOOKUP(B8094,'Poids des runes'!A:B,2,FALSE))</f>
        <v>17.245000000000001</v>
      </c>
      <c r="F8094">
        <f t="shared" si="126"/>
        <v>17.245000000000001</v>
      </c>
    </row>
    <row r="8095" spans="1:6" x14ac:dyDescent="0.3">
      <c r="A8095" t="s">
        <v>1386</v>
      </c>
      <c r="B8095" t="s">
        <v>2136</v>
      </c>
      <c r="C8095">
        <v>6.5</v>
      </c>
      <c r="D8095">
        <v>197</v>
      </c>
      <c r="E8095">
        <f>IF(OR(B8095="vi",B8095="ii",B8095="pod"),(((D8095/100)*(C8095*VLOOKUP(B8095,'Poids des runes'!A:B,2,FALSE)))+1),(((D8095/100)*(C8095*VLOOKUP(B8095,'Poids des runes'!A:B,2,FALSE)))+1)/VLOOKUP(B8095,'Poids des runes'!A:B,2,FALSE))</f>
        <v>13.305</v>
      </c>
      <c r="F8095">
        <f t="shared" si="126"/>
        <v>13.305</v>
      </c>
    </row>
    <row r="8096" spans="1:6" x14ac:dyDescent="0.3">
      <c r="A8096" t="s">
        <v>1386</v>
      </c>
      <c r="B8096" t="s">
        <v>2137</v>
      </c>
      <c r="C8096">
        <v>6.5</v>
      </c>
      <c r="D8096">
        <v>197</v>
      </c>
      <c r="E8096">
        <f>IF(OR(B8096="vi",B8096="ii",B8096="pod"),(((D8096/100)*(C8096*VLOOKUP(B8096,'Poids des runes'!A:B,2,FALSE)))+1),(((D8096/100)*(C8096*VLOOKUP(B8096,'Poids des runes'!A:B,2,FALSE)))+1)/VLOOKUP(B8096,'Poids des runes'!A:B,2,FALSE))</f>
        <v>13.305</v>
      </c>
      <c r="F8096">
        <f t="shared" si="126"/>
        <v>13.305</v>
      </c>
    </row>
    <row r="8097" spans="1:6" x14ac:dyDescent="0.3">
      <c r="A8097" t="s">
        <v>1386</v>
      </c>
      <c r="B8097" t="s">
        <v>2144</v>
      </c>
      <c r="C8097">
        <v>6.5</v>
      </c>
      <c r="D8097">
        <v>197</v>
      </c>
      <c r="E8097">
        <f>IF(OR(B8097="vi",B8097="ii",B8097="pod"),(((D8097/100)*(C8097*VLOOKUP(B8097,'Poids des runes'!A:B,2,FALSE)))+1),(((D8097/100)*(C8097*VLOOKUP(B8097,'Poids des runes'!A:B,2,FALSE)))+1)/VLOOKUP(B8097,'Poids des runes'!A:B,2,FALSE))</f>
        <v>13.305</v>
      </c>
      <c r="F8097">
        <f t="shared" si="126"/>
        <v>13.305</v>
      </c>
    </row>
    <row r="8098" spans="1:6" x14ac:dyDescent="0.3">
      <c r="A8098" t="s">
        <v>1386</v>
      </c>
      <c r="B8098" t="s">
        <v>2145</v>
      </c>
      <c r="C8098">
        <v>6.5</v>
      </c>
      <c r="D8098">
        <v>197</v>
      </c>
      <c r="E8098">
        <f>IF(OR(B8098="vi",B8098="ii",B8098="pod"),(((D8098/100)*(C8098*VLOOKUP(B8098,'Poids des runes'!A:B,2,FALSE)))+1),(((D8098/100)*(C8098*VLOOKUP(B8098,'Poids des runes'!A:B,2,FALSE)))+1)/VLOOKUP(B8098,'Poids des runes'!A:B,2,FALSE))</f>
        <v>13.305</v>
      </c>
      <c r="F8098">
        <f t="shared" si="126"/>
        <v>13.305</v>
      </c>
    </row>
    <row r="8099" spans="1:6" x14ac:dyDescent="0.3">
      <c r="A8099" t="s">
        <v>1386</v>
      </c>
      <c r="B8099" t="s">
        <v>2146</v>
      </c>
      <c r="C8099">
        <v>6.5</v>
      </c>
      <c r="D8099">
        <v>197</v>
      </c>
      <c r="E8099">
        <f>IF(OR(B8099="vi",B8099="ii",B8099="pod"),(((D8099/100)*(C8099*VLOOKUP(B8099,'Poids des runes'!A:B,2,FALSE)))+1),(((D8099/100)*(C8099*VLOOKUP(B8099,'Poids des runes'!A:B,2,FALSE)))+1)/VLOOKUP(B8099,'Poids des runes'!A:B,2,FALSE))</f>
        <v>13.305</v>
      </c>
      <c r="F8099">
        <f t="shared" si="126"/>
        <v>13.305</v>
      </c>
    </row>
    <row r="8100" spans="1:6" x14ac:dyDescent="0.3">
      <c r="A8100" t="s">
        <v>1387</v>
      </c>
      <c r="B8100" t="s">
        <v>2128</v>
      </c>
      <c r="C8100">
        <v>325.5</v>
      </c>
      <c r="D8100">
        <v>197</v>
      </c>
      <c r="E8100">
        <f>IF(OR(B8100="vi",B8100="ii",B8100="pod"),(((D8100/100)*(C8100*VLOOKUP(B8100,'Poids des runes'!A:B,2,FALSE)))+1),(((D8100/100)*(C8100*VLOOKUP(B8100,'Poids des runes'!A:B,2,FALSE)))+1)/VLOOKUP(B8100,'Poids des runes'!A:B,2,FALSE))</f>
        <v>129.24700000000001</v>
      </c>
      <c r="F8100">
        <f t="shared" si="126"/>
        <v>129.24700000000001</v>
      </c>
    </row>
    <row r="8101" spans="1:6" x14ac:dyDescent="0.3">
      <c r="A8101" t="s">
        <v>1387</v>
      </c>
      <c r="B8101" t="s">
        <v>2127</v>
      </c>
      <c r="C8101">
        <v>60.5</v>
      </c>
      <c r="D8101">
        <v>197</v>
      </c>
      <c r="E8101">
        <f>IF(OR(B8101="vi",B8101="ii",B8101="pod"),(((D8101/100)*(C8101*VLOOKUP(B8101,'Poids des runes'!A:B,2,FALSE)))+1),(((D8101/100)*(C8101*VLOOKUP(B8101,'Poids des runes'!A:B,2,FALSE)))+1)/VLOOKUP(B8101,'Poids des runes'!A:B,2,FALSE))</f>
        <v>120.185</v>
      </c>
      <c r="F8101">
        <f t="shared" si="126"/>
        <v>120.185</v>
      </c>
    </row>
    <row r="8102" spans="1:6" x14ac:dyDescent="0.3">
      <c r="A8102" t="s">
        <v>1387</v>
      </c>
      <c r="B8102" t="s">
        <v>2129</v>
      </c>
      <c r="C8102">
        <v>40.5</v>
      </c>
      <c r="D8102">
        <v>197</v>
      </c>
      <c r="E8102">
        <f>IF(OR(B8102="vi",B8102="ii",B8102="pod"),(((D8102/100)*(C8102*VLOOKUP(B8102,'Poids des runes'!A:B,2,FALSE)))+1),(((D8102/100)*(C8102*VLOOKUP(B8102,'Poids des runes'!A:B,2,FALSE)))+1)/VLOOKUP(B8102,'Poids des runes'!A:B,2,FALSE))</f>
        <v>80.784999999999997</v>
      </c>
      <c r="F8102">
        <f t="shared" si="126"/>
        <v>80.784999999999997</v>
      </c>
    </row>
    <row r="8103" spans="1:6" x14ac:dyDescent="0.3">
      <c r="A8103" t="s">
        <v>1387</v>
      </c>
      <c r="B8103" t="s">
        <v>2151</v>
      </c>
      <c r="C8103">
        <v>5</v>
      </c>
      <c r="D8103">
        <v>197</v>
      </c>
      <c r="E8103">
        <f>IF(OR(B8103="vi",B8103="ii",B8103="pod"),(((D8103/100)*(C8103*VLOOKUP(B8103,'Poids des runes'!A:B,2,FALSE)))+1),(((D8103/100)*(C8103*VLOOKUP(B8103,'Poids des runes'!A:B,2,FALSE)))+1)/VLOOKUP(B8103,'Poids des runes'!A:B,2,FALSE))</f>
        <v>9.9499999999999993</v>
      </c>
      <c r="F8103">
        <f t="shared" si="126"/>
        <v>9.9499999999999993</v>
      </c>
    </row>
    <row r="8104" spans="1:6" x14ac:dyDescent="0.3">
      <c r="A8104" t="s">
        <v>1387</v>
      </c>
      <c r="B8104" t="s">
        <v>2155</v>
      </c>
      <c r="C8104">
        <v>1</v>
      </c>
      <c r="D8104">
        <v>197</v>
      </c>
      <c r="E8104">
        <f>IF(OR(B8104="vi",B8104="ii",B8104="pod"),(((D8104/100)*(C8104*VLOOKUP(B8104,'Poids des runes'!A:B,2,FALSE)))+1),(((D8104/100)*(C8104*VLOOKUP(B8104,'Poids des runes'!A:B,2,FALSE)))+1)/VLOOKUP(B8104,'Poids des runes'!A:B,2,FALSE))</f>
        <v>1.9896078431372548</v>
      </c>
      <c r="F8104">
        <f t="shared" si="126"/>
        <v>1.9896078431372548</v>
      </c>
    </row>
    <row r="8105" spans="1:6" x14ac:dyDescent="0.3">
      <c r="A8105" t="s">
        <v>1387</v>
      </c>
      <c r="B8105" t="s">
        <v>2153</v>
      </c>
      <c r="C8105">
        <v>16</v>
      </c>
      <c r="D8105">
        <v>197</v>
      </c>
      <c r="E8105">
        <f>IF(OR(B8105="vi",B8105="ii",B8105="pod"),(((D8105/100)*(C8105*VLOOKUP(B8105,'Poids des runes'!A:B,2,FALSE)))+1),(((D8105/100)*(C8105*VLOOKUP(B8105,'Poids des runes'!A:B,2,FALSE)))+1)/VLOOKUP(B8105,'Poids des runes'!A:B,2,FALSE))</f>
        <v>31.72</v>
      </c>
      <c r="F8105">
        <f t="shared" si="126"/>
        <v>31.72</v>
      </c>
    </row>
    <row r="8106" spans="1:6" x14ac:dyDescent="0.3">
      <c r="A8106" t="s">
        <v>1387</v>
      </c>
      <c r="B8106" t="s">
        <v>2161</v>
      </c>
      <c r="C8106">
        <v>13</v>
      </c>
      <c r="D8106">
        <v>197</v>
      </c>
      <c r="E8106">
        <f>IF(OR(B8106="vi",B8106="ii",B8106="pod"),(((D8106/100)*(C8106*VLOOKUP(B8106,'Poids des runes'!A:B,2,FALSE)))+1),(((D8106/100)*(C8106*VLOOKUP(B8106,'Poids des runes'!A:B,2,FALSE)))+1)/VLOOKUP(B8106,'Poids des runes'!A:B,2,FALSE))</f>
        <v>25.943333333333332</v>
      </c>
      <c r="F8106">
        <f t="shared" si="126"/>
        <v>25.943333333333332</v>
      </c>
    </row>
    <row r="8107" spans="1:6" x14ac:dyDescent="0.3">
      <c r="A8107" t="s">
        <v>1387</v>
      </c>
      <c r="B8107" t="s">
        <v>2132</v>
      </c>
      <c r="C8107">
        <v>350.5</v>
      </c>
      <c r="D8107">
        <v>197</v>
      </c>
      <c r="E8107">
        <f>IF(OR(B8107="vi",B8107="ii",B8107="pod"),(((D8107/100)*(C8107*VLOOKUP(B8107,'Poids des runes'!A:B,2,FALSE)))+1),(((D8107/100)*(C8107*VLOOKUP(B8107,'Poids des runes'!A:B,2,FALSE)))+1)/VLOOKUP(B8107,'Poids des runes'!A:B,2,FALSE))</f>
        <v>70.048500000000004</v>
      </c>
      <c r="F8107">
        <f t="shared" si="126"/>
        <v>70.048500000000004</v>
      </c>
    </row>
    <row r="8108" spans="1:6" x14ac:dyDescent="0.3">
      <c r="A8108" t="s">
        <v>1387</v>
      </c>
      <c r="B8108" t="s">
        <v>2164</v>
      </c>
      <c r="C8108">
        <v>25.5</v>
      </c>
      <c r="D8108">
        <v>197</v>
      </c>
      <c r="E8108">
        <f>IF(OR(B8108="vi",B8108="ii",B8108="pod"),(((D8108/100)*(C8108*VLOOKUP(B8108,'Poids des runes'!A:B,2,FALSE)))+1),(((D8108/100)*(C8108*VLOOKUP(B8108,'Poids des runes'!A:B,2,FALSE)))+1)/VLOOKUP(B8108,'Poids des runes'!A:B,2,FALSE))</f>
        <v>50.734999999999999</v>
      </c>
      <c r="F8108">
        <f t="shared" si="126"/>
        <v>50.734999999999999</v>
      </c>
    </row>
    <row r="8109" spans="1:6" x14ac:dyDescent="0.3">
      <c r="A8109" t="s">
        <v>1387</v>
      </c>
      <c r="B8109" t="s">
        <v>2135</v>
      </c>
      <c r="C8109">
        <v>8.5</v>
      </c>
      <c r="D8109">
        <v>197</v>
      </c>
      <c r="E8109">
        <f>IF(OR(B8109="vi",B8109="ii",B8109="pod"),(((D8109/100)*(C8109*VLOOKUP(B8109,'Poids des runes'!A:B,2,FALSE)))+1),(((D8109/100)*(C8109*VLOOKUP(B8109,'Poids des runes'!A:B,2,FALSE)))+1)/VLOOKUP(B8109,'Poids des runes'!A:B,2,FALSE))</f>
        <v>16.911666666666665</v>
      </c>
      <c r="F8109">
        <f t="shared" si="126"/>
        <v>16.911666666666665</v>
      </c>
    </row>
    <row r="8110" spans="1:6" x14ac:dyDescent="0.3">
      <c r="A8110" t="s">
        <v>1388</v>
      </c>
      <c r="B8110" t="s">
        <v>2128</v>
      </c>
      <c r="C8110">
        <v>325.5</v>
      </c>
      <c r="D8110">
        <v>197</v>
      </c>
      <c r="E8110">
        <f>IF(OR(B8110="vi",B8110="ii",B8110="pod"),(((D8110/100)*(C8110*VLOOKUP(B8110,'Poids des runes'!A:B,2,FALSE)))+1),(((D8110/100)*(C8110*VLOOKUP(B8110,'Poids des runes'!A:B,2,FALSE)))+1)/VLOOKUP(B8110,'Poids des runes'!A:B,2,FALSE))</f>
        <v>129.24700000000001</v>
      </c>
      <c r="F8110">
        <f t="shared" si="126"/>
        <v>129.24700000000001</v>
      </c>
    </row>
    <row r="8111" spans="1:6" x14ac:dyDescent="0.3">
      <c r="A8111" t="s">
        <v>1388</v>
      </c>
      <c r="B8111" t="s">
        <v>2131</v>
      </c>
      <c r="C8111">
        <v>70.5</v>
      </c>
      <c r="D8111">
        <v>197</v>
      </c>
      <c r="E8111">
        <f>IF(OR(B8111="vi",B8111="ii",B8111="pod"),(((D8111/100)*(C8111*VLOOKUP(B8111,'Poids des runes'!A:B,2,FALSE)))+1),(((D8111/100)*(C8111*VLOOKUP(B8111,'Poids des runes'!A:B,2,FALSE)))+1)/VLOOKUP(B8111,'Poids des runes'!A:B,2,FALSE))</f>
        <v>139.88499999999999</v>
      </c>
      <c r="F8111">
        <f t="shared" si="126"/>
        <v>139.88499999999999</v>
      </c>
    </row>
    <row r="8112" spans="1:6" x14ac:dyDescent="0.3">
      <c r="A8112" t="s">
        <v>1388</v>
      </c>
      <c r="B8112" t="s">
        <v>2129</v>
      </c>
      <c r="C8112">
        <v>40.5</v>
      </c>
      <c r="D8112">
        <v>197</v>
      </c>
      <c r="E8112">
        <f>IF(OR(B8112="vi",B8112="ii",B8112="pod"),(((D8112/100)*(C8112*VLOOKUP(B8112,'Poids des runes'!A:B,2,FALSE)))+1),(((D8112/100)*(C8112*VLOOKUP(B8112,'Poids des runes'!A:B,2,FALSE)))+1)/VLOOKUP(B8112,'Poids des runes'!A:B,2,FALSE))</f>
        <v>80.784999999999997</v>
      </c>
      <c r="F8112">
        <f t="shared" si="126"/>
        <v>80.784999999999997</v>
      </c>
    </row>
    <row r="8113" spans="1:6" x14ac:dyDescent="0.3">
      <c r="A8113" t="s">
        <v>1388</v>
      </c>
      <c r="B8113" t="s">
        <v>2151</v>
      </c>
      <c r="C8113">
        <v>4.5</v>
      </c>
      <c r="D8113">
        <v>197</v>
      </c>
      <c r="E8113">
        <f>IF(OR(B8113="vi",B8113="ii",B8113="pod"),(((D8113/100)*(C8113*VLOOKUP(B8113,'Poids des runes'!A:B,2,FALSE)))+1),(((D8113/100)*(C8113*VLOOKUP(B8113,'Poids des runes'!A:B,2,FALSE)))+1)/VLOOKUP(B8113,'Poids des runes'!A:B,2,FALSE))</f>
        <v>8.9649999999999999</v>
      </c>
      <c r="F8113">
        <f t="shared" si="126"/>
        <v>8.9649999999999999</v>
      </c>
    </row>
    <row r="8114" spans="1:6" x14ac:dyDescent="0.3">
      <c r="A8114" t="s">
        <v>1388</v>
      </c>
      <c r="B8114" t="s">
        <v>2155</v>
      </c>
      <c r="C8114">
        <v>1</v>
      </c>
      <c r="D8114">
        <v>197</v>
      </c>
      <c r="E8114">
        <f>IF(OR(B8114="vi",B8114="ii",B8114="pod"),(((D8114/100)*(C8114*VLOOKUP(B8114,'Poids des runes'!A:B,2,FALSE)))+1),(((D8114/100)*(C8114*VLOOKUP(B8114,'Poids des runes'!A:B,2,FALSE)))+1)/VLOOKUP(B8114,'Poids des runes'!A:B,2,FALSE))</f>
        <v>1.9896078431372548</v>
      </c>
      <c r="F8114">
        <f t="shared" si="126"/>
        <v>1.9896078431372548</v>
      </c>
    </row>
    <row r="8115" spans="1:6" x14ac:dyDescent="0.3">
      <c r="A8115" t="s">
        <v>1388</v>
      </c>
      <c r="B8115" t="s">
        <v>2133</v>
      </c>
      <c r="C8115">
        <v>14</v>
      </c>
      <c r="D8115">
        <v>197</v>
      </c>
      <c r="E8115">
        <f>IF(OR(B8115="vi",B8115="ii",B8115="pod"),(((D8115/100)*(C8115*VLOOKUP(B8115,'Poids des runes'!A:B,2,FALSE)))+1),(((D8115/100)*(C8115*VLOOKUP(B8115,'Poids des runes'!A:B,2,FALSE)))+1)/VLOOKUP(B8115,'Poids des runes'!A:B,2,FALSE))</f>
        <v>27.78</v>
      </c>
      <c r="F8115">
        <f t="shared" si="126"/>
        <v>27.78</v>
      </c>
    </row>
    <row r="8116" spans="1:6" x14ac:dyDescent="0.3">
      <c r="A8116" t="s">
        <v>1388</v>
      </c>
      <c r="B8116" t="s">
        <v>2161</v>
      </c>
      <c r="C8116">
        <v>13</v>
      </c>
      <c r="D8116">
        <v>197</v>
      </c>
      <c r="E8116">
        <f>IF(OR(B8116="vi",B8116="ii",B8116="pod"),(((D8116/100)*(C8116*VLOOKUP(B8116,'Poids des runes'!A:B,2,FALSE)))+1),(((D8116/100)*(C8116*VLOOKUP(B8116,'Poids des runes'!A:B,2,FALSE)))+1)/VLOOKUP(B8116,'Poids des runes'!A:B,2,FALSE))</f>
        <v>25.943333333333332</v>
      </c>
      <c r="F8116">
        <f t="shared" si="126"/>
        <v>25.943333333333332</v>
      </c>
    </row>
    <row r="8117" spans="1:6" x14ac:dyDescent="0.3">
      <c r="A8117" t="s">
        <v>1388</v>
      </c>
      <c r="B8117" t="s">
        <v>2141</v>
      </c>
      <c r="C8117">
        <v>13</v>
      </c>
      <c r="D8117">
        <v>197</v>
      </c>
      <c r="E8117">
        <f>IF(OR(B8117="vi",B8117="ii",B8117="pod"),(((D8117/100)*(C8117*VLOOKUP(B8117,'Poids des runes'!A:B,2,FALSE)))+1),(((D8117/100)*(C8117*VLOOKUP(B8117,'Poids des runes'!A:B,2,FALSE)))+1)/VLOOKUP(B8117,'Poids des runes'!A:B,2,FALSE))</f>
        <v>25.86</v>
      </c>
      <c r="F8117">
        <f t="shared" si="126"/>
        <v>25.86</v>
      </c>
    </row>
    <row r="8118" spans="1:6" x14ac:dyDescent="0.3">
      <c r="A8118" t="s">
        <v>1388</v>
      </c>
      <c r="B8118" t="s">
        <v>2147</v>
      </c>
      <c r="C8118">
        <v>8.5</v>
      </c>
      <c r="D8118">
        <v>197</v>
      </c>
      <c r="E8118">
        <f>IF(OR(B8118="vi",B8118="ii",B8118="pod"),(((D8118/100)*(C8118*VLOOKUP(B8118,'Poids des runes'!A:B,2,FALSE)))+1),(((D8118/100)*(C8118*VLOOKUP(B8118,'Poids des runes'!A:B,2,FALSE)))+1)/VLOOKUP(B8118,'Poids des runes'!A:B,2,FALSE))</f>
        <v>16.911666666666665</v>
      </c>
      <c r="F8118">
        <f t="shared" si="126"/>
        <v>16.911666666666665</v>
      </c>
    </row>
    <row r="8119" spans="1:6" x14ac:dyDescent="0.3">
      <c r="A8119" t="s">
        <v>1388</v>
      </c>
      <c r="B8119" t="s">
        <v>2137</v>
      </c>
      <c r="C8119">
        <v>20.5</v>
      </c>
      <c r="D8119">
        <v>197</v>
      </c>
      <c r="E8119">
        <f>IF(OR(B8119="vi",B8119="ii",B8119="pod"),(((D8119/100)*(C8119*VLOOKUP(B8119,'Poids des runes'!A:B,2,FALSE)))+1),(((D8119/100)*(C8119*VLOOKUP(B8119,'Poids des runes'!A:B,2,FALSE)))+1)/VLOOKUP(B8119,'Poids des runes'!A:B,2,FALSE))</f>
        <v>40.884999999999998</v>
      </c>
      <c r="F8119">
        <f t="shared" si="126"/>
        <v>40.884999999999998</v>
      </c>
    </row>
    <row r="8120" spans="1:6" x14ac:dyDescent="0.3">
      <c r="A8120" t="s">
        <v>1389</v>
      </c>
      <c r="B8120" t="s">
        <v>2128</v>
      </c>
      <c r="C8120">
        <v>325.5</v>
      </c>
      <c r="D8120">
        <v>197</v>
      </c>
      <c r="E8120">
        <f>IF(OR(B8120="vi",B8120="ii",B8120="pod"),(((D8120/100)*(C8120*VLOOKUP(B8120,'Poids des runes'!A:B,2,FALSE)))+1),(((D8120/100)*(C8120*VLOOKUP(B8120,'Poids des runes'!A:B,2,FALSE)))+1)/VLOOKUP(B8120,'Poids des runes'!A:B,2,FALSE))</f>
        <v>129.24700000000001</v>
      </c>
      <c r="F8120">
        <f t="shared" si="126"/>
        <v>129.24700000000001</v>
      </c>
    </row>
    <row r="8121" spans="1:6" x14ac:dyDescent="0.3">
      <c r="A8121" t="s">
        <v>1389</v>
      </c>
      <c r="B8121" t="s">
        <v>2126</v>
      </c>
      <c r="C8121">
        <v>70.5</v>
      </c>
      <c r="D8121">
        <v>197</v>
      </c>
      <c r="E8121">
        <f>IF(OR(B8121="vi",B8121="ii",B8121="pod"),(((D8121/100)*(C8121*VLOOKUP(B8121,'Poids des runes'!A:B,2,FALSE)))+1),(((D8121/100)*(C8121*VLOOKUP(B8121,'Poids des runes'!A:B,2,FALSE)))+1)/VLOOKUP(B8121,'Poids des runes'!A:B,2,FALSE))</f>
        <v>139.88499999999999</v>
      </c>
      <c r="F8121">
        <f t="shared" si="126"/>
        <v>139.88499999999999</v>
      </c>
    </row>
    <row r="8122" spans="1:6" x14ac:dyDescent="0.3">
      <c r="A8122" t="s">
        <v>1389</v>
      </c>
      <c r="B8122" t="s">
        <v>2129</v>
      </c>
      <c r="C8122">
        <v>40.5</v>
      </c>
      <c r="D8122">
        <v>197</v>
      </c>
      <c r="E8122">
        <f>IF(OR(B8122="vi",B8122="ii",B8122="pod"),(((D8122/100)*(C8122*VLOOKUP(B8122,'Poids des runes'!A:B,2,FALSE)))+1),(((D8122/100)*(C8122*VLOOKUP(B8122,'Poids des runes'!A:B,2,FALSE)))+1)/VLOOKUP(B8122,'Poids des runes'!A:B,2,FALSE))</f>
        <v>80.784999999999997</v>
      </c>
      <c r="F8122">
        <f t="shared" si="126"/>
        <v>80.784999999999997</v>
      </c>
    </row>
    <row r="8123" spans="1:6" x14ac:dyDescent="0.3">
      <c r="A8123" t="s">
        <v>1389</v>
      </c>
      <c r="B8123" t="s">
        <v>2151</v>
      </c>
      <c r="C8123">
        <v>5</v>
      </c>
      <c r="D8123">
        <v>197</v>
      </c>
      <c r="E8123">
        <f>IF(OR(B8123="vi",B8123="ii",B8123="pod"),(((D8123/100)*(C8123*VLOOKUP(B8123,'Poids des runes'!A:B,2,FALSE)))+1),(((D8123/100)*(C8123*VLOOKUP(B8123,'Poids des runes'!A:B,2,FALSE)))+1)/VLOOKUP(B8123,'Poids des runes'!A:B,2,FALSE))</f>
        <v>9.9499999999999993</v>
      </c>
      <c r="F8123">
        <f t="shared" si="126"/>
        <v>9.9499999999999993</v>
      </c>
    </row>
    <row r="8124" spans="1:6" x14ac:dyDescent="0.3">
      <c r="A8124" t="s">
        <v>1389</v>
      </c>
      <c r="B8124" t="s">
        <v>2152</v>
      </c>
      <c r="C8124">
        <v>1</v>
      </c>
      <c r="D8124">
        <v>197</v>
      </c>
      <c r="E8124">
        <f>IF(OR(B8124="vi",B8124="ii",B8124="pod"),(((D8124/100)*(C8124*VLOOKUP(B8124,'Poids des runes'!A:B,2,FALSE)))+1),(((D8124/100)*(C8124*VLOOKUP(B8124,'Poids des runes'!A:B,2,FALSE)))+1)/VLOOKUP(B8124,'Poids des runes'!A:B,2,FALSE))</f>
        <v>1.98</v>
      </c>
      <c r="F8124">
        <f t="shared" si="126"/>
        <v>1.98</v>
      </c>
    </row>
    <row r="8125" spans="1:6" x14ac:dyDescent="0.3">
      <c r="A8125" t="s">
        <v>1389</v>
      </c>
      <c r="B8125" t="s">
        <v>2140</v>
      </c>
      <c r="C8125">
        <v>16</v>
      </c>
      <c r="D8125">
        <v>197</v>
      </c>
      <c r="E8125">
        <f>IF(OR(B8125="vi",B8125="ii",B8125="pod"),(((D8125/100)*(C8125*VLOOKUP(B8125,'Poids des runes'!A:B,2,FALSE)))+1),(((D8125/100)*(C8125*VLOOKUP(B8125,'Poids des runes'!A:B,2,FALSE)))+1)/VLOOKUP(B8125,'Poids des runes'!A:B,2,FALSE))</f>
        <v>31.72</v>
      </c>
      <c r="F8125">
        <f t="shared" si="126"/>
        <v>31.72</v>
      </c>
    </row>
    <row r="8126" spans="1:6" x14ac:dyDescent="0.3">
      <c r="A8126" t="s">
        <v>1389</v>
      </c>
      <c r="B8126" t="s">
        <v>2149</v>
      </c>
      <c r="C8126">
        <v>10</v>
      </c>
      <c r="D8126">
        <v>197</v>
      </c>
      <c r="E8126">
        <f>IF(OR(B8126="vi",B8126="ii",B8126="pod"),(((D8126/100)*(C8126*VLOOKUP(B8126,'Poids des runes'!A:B,2,FALSE)))+1),(((D8126/100)*(C8126*VLOOKUP(B8126,'Poids des runes'!A:B,2,FALSE)))+1)/VLOOKUP(B8126,'Poids des runes'!A:B,2,FALSE))</f>
        <v>19.8</v>
      </c>
      <c r="F8126">
        <f t="shared" si="126"/>
        <v>19.8</v>
      </c>
    </row>
    <row r="8127" spans="1:6" x14ac:dyDescent="0.3">
      <c r="A8127" t="s">
        <v>1389</v>
      </c>
      <c r="B8127" t="s">
        <v>2138</v>
      </c>
      <c r="C8127">
        <v>5</v>
      </c>
      <c r="D8127">
        <v>197</v>
      </c>
      <c r="E8127">
        <f>IF(OR(B8127="vi",B8127="ii",B8127="pod"),(((D8127/100)*(C8127*VLOOKUP(B8127,'Poids des runes'!A:B,2,FALSE)))+1),(((D8127/100)*(C8127*VLOOKUP(B8127,'Poids des runes'!A:B,2,FALSE)))+1)/VLOOKUP(B8127,'Poids des runes'!A:B,2,FALSE))</f>
        <v>10.1</v>
      </c>
      <c r="F8127">
        <f t="shared" si="126"/>
        <v>10.1</v>
      </c>
    </row>
    <row r="8128" spans="1:6" x14ac:dyDescent="0.3">
      <c r="A8128" t="s">
        <v>1389</v>
      </c>
      <c r="B8128" t="s">
        <v>2147</v>
      </c>
      <c r="C8128">
        <v>6</v>
      </c>
      <c r="D8128">
        <v>197</v>
      </c>
      <c r="E8128">
        <f>IF(OR(B8128="vi",B8128="ii",B8128="pod"),(((D8128/100)*(C8128*VLOOKUP(B8128,'Poids des runes'!A:B,2,FALSE)))+1),(((D8128/100)*(C8128*VLOOKUP(B8128,'Poids des runes'!A:B,2,FALSE)))+1)/VLOOKUP(B8128,'Poids des runes'!A:B,2,FALSE))</f>
        <v>11.986666666666666</v>
      </c>
      <c r="F8128">
        <f t="shared" si="126"/>
        <v>11.986666666666666</v>
      </c>
    </row>
    <row r="8129" spans="1:6" x14ac:dyDescent="0.3">
      <c r="A8129" t="s">
        <v>1389</v>
      </c>
      <c r="B8129" t="s">
        <v>2135</v>
      </c>
      <c r="C8129">
        <v>6</v>
      </c>
      <c r="D8129">
        <v>197</v>
      </c>
      <c r="E8129">
        <f>IF(OR(B8129="vi",B8129="ii",B8129="pod"),(((D8129/100)*(C8129*VLOOKUP(B8129,'Poids des runes'!A:B,2,FALSE)))+1),(((D8129/100)*(C8129*VLOOKUP(B8129,'Poids des runes'!A:B,2,FALSE)))+1)/VLOOKUP(B8129,'Poids des runes'!A:B,2,FALSE))</f>
        <v>11.986666666666666</v>
      </c>
      <c r="F8129">
        <f t="shared" si="126"/>
        <v>11.986666666666666</v>
      </c>
    </row>
    <row r="8130" spans="1:6" x14ac:dyDescent="0.3">
      <c r="A8130" t="s">
        <v>1390</v>
      </c>
      <c r="B8130" t="s">
        <v>2128</v>
      </c>
      <c r="C8130">
        <v>325.5</v>
      </c>
      <c r="D8130">
        <v>197</v>
      </c>
      <c r="E8130">
        <f>IF(OR(B8130="vi",B8130="ii",B8130="pod"),(((D8130/100)*(C8130*VLOOKUP(B8130,'Poids des runes'!A:B,2,FALSE)))+1),(((D8130/100)*(C8130*VLOOKUP(B8130,'Poids des runes'!A:B,2,FALSE)))+1)/VLOOKUP(B8130,'Poids des runes'!A:B,2,FALSE))</f>
        <v>129.24700000000001</v>
      </c>
      <c r="F8130">
        <f t="shared" si="126"/>
        <v>129.24700000000001</v>
      </c>
    </row>
    <row r="8131" spans="1:6" x14ac:dyDescent="0.3">
      <c r="A8131" t="s">
        <v>1390</v>
      </c>
      <c r="B8131" t="s">
        <v>2130</v>
      </c>
      <c r="C8131">
        <v>40.5</v>
      </c>
      <c r="D8131">
        <v>197</v>
      </c>
      <c r="E8131">
        <f>IF(OR(B8131="vi",B8131="ii",B8131="pod"),(((D8131/100)*(C8131*VLOOKUP(B8131,'Poids des runes'!A:B,2,FALSE)))+1),(((D8131/100)*(C8131*VLOOKUP(B8131,'Poids des runes'!A:B,2,FALSE)))+1)/VLOOKUP(B8131,'Poids des runes'!A:B,2,FALSE))</f>
        <v>80.784999999999997</v>
      </c>
      <c r="F8131">
        <f t="shared" ref="F8131:F8194" si="127">E8131</f>
        <v>80.784999999999997</v>
      </c>
    </row>
    <row r="8132" spans="1:6" x14ac:dyDescent="0.3">
      <c r="A8132" t="s">
        <v>1390</v>
      </c>
      <c r="B8132" t="s">
        <v>2129</v>
      </c>
      <c r="C8132">
        <v>30.5</v>
      </c>
      <c r="D8132">
        <v>197</v>
      </c>
      <c r="E8132">
        <f>IF(OR(B8132="vi",B8132="ii",B8132="pod"),(((D8132/100)*(C8132*VLOOKUP(B8132,'Poids des runes'!A:B,2,FALSE)))+1),(((D8132/100)*(C8132*VLOOKUP(B8132,'Poids des runes'!A:B,2,FALSE)))+1)/VLOOKUP(B8132,'Poids des runes'!A:B,2,FALSE))</f>
        <v>61.085000000000001</v>
      </c>
      <c r="F8132">
        <f t="shared" si="127"/>
        <v>61.085000000000001</v>
      </c>
    </row>
    <row r="8133" spans="1:6" x14ac:dyDescent="0.3">
      <c r="A8133" t="s">
        <v>1390</v>
      </c>
      <c r="B8133" t="s">
        <v>2151</v>
      </c>
      <c r="C8133">
        <v>2</v>
      </c>
      <c r="D8133">
        <v>197</v>
      </c>
      <c r="E8133">
        <f>IF(OR(B8133="vi",B8133="ii",B8133="pod"),(((D8133/100)*(C8133*VLOOKUP(B8133,'Poids des runes'!A:B,2,FALSE)))+1),(((D8133/100)*(C8133*VLOOKUP(B8133,'Poids des runes'!A:B,2,FALSE)))+1)/VLOOKUP(B8133,'Poids des runes'!A:B,2,FALSE))</f>
        <v>4.04</v>
      </c>
      <c r="F8133">
        <f t="shared" si="127"/>
        <v>4.04</v>
      </c>
    </row>
    <row r="8134" spans="1:6" x14ac:dyDescent="0.3">
      <c r="A8134" t="s">
        <v>1390</v>
      </c>
      <c r="B8134" t="s">
        <v>2152</v>
      </c>
      <c r="C8134">
        <v>1</v>
      </c>
      <c r="D8134">
        <v>197</v>
      </c>
      <c r="E8134">
        <f>IF(OR(B8134="vi",B8134="ii",B8134="pod"),(((D8134/100)*(C8134*VLOOKUP(B8134,'Poids des runes'!A:B,2,FALSE)))+1),(((D8134/100)*(C8134*VLOOKUP(B8134,'Poids des runes'!A:B,2,FALSE)))+1)/VLOOKUP(B8134,'Poids des runes'!A:B,2,FALSE))</f>
        <v>1.98</v>
      </c>
      <c r="F8134">
        <f t="shared" si="127"/>
        <v>1.98</v>
      </c>
    </row>
    <row r="8135" spans="1:6" x14ac:dyDescent="0.3">
      <c r="A8135" t="s">
        <v>1390</v>
      </c>
      <c r="B8135" t="s">
        <v>2143</v>
      </c>
      <c r="C8135">
        <v>16</v>
      </c>
      <c r="D8135">
        <v>197</v>
      </c>
      <c r="E8135">
        <f>IF(OR(B8135="vi",B8135="ii",B8135="pod"),(((D8135/100)*(C8135*VLOOKUP(B8135,'Poids des runes'!A:B,2,FALSE)))+1),(((D8135/100)*(C8135*VLOOKUP(B8135,'Poids des runes'!A:B,2,FALSE)))+1)/VLOOKUP(B8135,'Poids des runes'!A:B,2,FALSE))</f>
        <v>31.72</v>
      </c>
      <c r="F8135">
        <f t="shared" si="127"/>
        <v>31.72</v>
      </c>
    </row>
    <row r="8136" spans="1:6" x14ac:dyDescent="0.3">
      <c r="A8136" t="s">
        <v>1390</v>
      </c>
      <c r="B8136" t="s">
        <v>2140</v>
      </c>
      <c r="C8136">
        <v>16</v>
      </c>
      <c r="D8136">
        <v>197</v>
      </c>
      <c r="E8136">
        <f>IF(OR(B8136="vi",B8136="ii",B8136="pod"),(((D8136/100)*(C8136*VLOOKUP(B8136,'Poids des runes'!A:B,2,FALSE)))+1),(((D8136/100)*(C8136*VLOOKUP(B8136,'Poids des runes'!A:B,2,FALSE)))+1)/VLOOKUP(B8136,'Poids des runes'!A:B,2,FALSE))</f>
        <v>31.72</v>
      </c>
      <c r="F8136">
        <f t="shared" si="127"/>
        <v>31.72</v>
      </c>
    </row>
    <row r="8137" spans="1:6" x14ac:dyDescent="0.3">
      <c r="A8137" t="s">
        <v>1390</v>
      </c>
      <c r="B8137" t="s">
        <v>2161</v>
      </c>
      <c r="C8137">
        <v>13</v>
      </c>
      <c r="D8137">
        <v>197</v>
      </c>
      <c r="E8137">
        <f>IF(OR(B8137="vi",B8137="ii",B8137="pod"),(((D8137/100)*(C8137*VLOOKUP(B8137,'Poids des runes'!A:B,2,FALSE)))+1),(((D8137/100)*(C8137*VLOOKUP(B8137,'Poids des runes'!A:B,2,FALSE)))+1)/VLOOKUP(B8137,'Poids des runes'!A:B,2,FALSE))</f>
        <v>25.943333333333332</v>
      </c>
      <c r="F8137">
        <f t="shared" si="127"/>
        <v>25.943333333333332</v>
      </c>
    </row>
    <row r="8138" spans="1:6" x14ac:dyDescent="0.3">
      <c r="A8138" t="s">
        <v>1390</v>
      </c>
      <c r="B8138" t="s">
        <v>2138</v>
      </c>
      <c r="C8138">
        <v>8.5</v>
      </c>
      <c r="D8138">
        <v>197</v>
      </c>
      <c r="E8138">
        <f>IF(OR(B8138="vi",B8138="ii",B8138="pod"),(((D8138/100)*(C8138*VLOOKUP(B8138,'Poids des runes'!A:B,2,FALSE)))+1),(((D8138/100)*(C8138*VLOOKUP(B8138,'Poids des runes'!A:B,2,FALSE)))+1)/VLOOKUP(B8138,'Poids des runes'!A:B,2,FALSE))</f>
        <v>16.995000000000001</v>
      </c>
      <c r="F8138">
        <f t="shared" si="127"/>
        <v>16.995000000000001</v>
      </c>
    </row>
    <row r="8139" spans="1:6" x14ac:dyDescent="0.3">
      <c r="A8139" t="s">
        <v>1390</v>
      </c>
      <c r="B8139" t="s">
        <v>2163</v>
      </c>
      <c r="C8139">
        <v>8.5</v>
      </c>
      <c r="D8139">
        <v>197</v>
      </c>
      <c r="E8139">
        <f>IF(OR(B8139="vi",B8139="ii",B8139="pod"),(((D8139/100)*(C8139*VLOOKUP(B8139,'Poids des runes'!A:B,2,FALSE)))+1),(((D8139/100)*(C8139*VLOOKUP(B8139,'Poids des runes'!A:B,2,FALSE)))+1)/VLOOKUP(B8139,'Poids des runes'!A:B,2,FALSE))</f>
        <v>17.245000000000001</v>
      </c>
      <c r="F8139">
        <f t="shared" si="127"/>
        <v>17.245000000000001</v>
      </c>
    </row>
    <row r="8140" spans="1:6" x14ac:dyDescent="0.3">
      <c r="A8140" t="s">
        <v>1390</v>
      </c>
      <c r="B8140" t="s">
        <v>2157</v>
      </c>
      <c r="C8140">
        <v>3.5</v>
      </c>
      <c r="D8140">
        <v>197</v>
      </c>
      <c r="E8140">
        <f>IF(OR(B8140="vi",B8140="ii",B8140="pod"),(((D8140/100)*(C8140*VLOOKUP(B8140,'Poids des runes'!A:B,2,FALSE)))+1),(((D8140/100)*(C8140*VLOOKUP(B8140,'Poids des runes'!A:B,2,FALSE)))+1)/VLOOKUP(B8140,'Poids des runes'!A:B,2,FALSE))</f>
        <v>7.0616666666666665</v>
      </c>
      <c r="F8140">
        <f t="shared" si="127"/>
        <v>7.0616666666666665</v>
      </c>
    </row>
    <row r="8141" spans="1:6" x14ac:dyDescent="0.3">
      <c r="A8141" t="s">
        <v>1391</v>
      </c>
      <c r="B8141" t="s">
        <v>2128</v>
      </c>
      <c r="C8141">
        <v>275.5</v>
      </c>
      <c r="D8141">
        <v>197</v>
      </c>
      <c r="E8141">
        <f>IF(OR(B8141="vi",B8141="ii",B8141="pod"),(((D8141/100)*(C8141*VLOOKUP(B8141,'Poids des runes'!A:B,2,FALSE)))+1),(((D8141/100)*(C8141*VLOOKUP(B8141,'Poids des runes'!A:B,2,FALSE)))+1)/VLOOKUP(B8141,'Poids des runes'!A:B,2,FALSE))</f>
        <v>109.547</v>
      </c>
      <c r="F8141">
        <f t="shared" si="127"/>
        <v>109.547</v>
      </c>
    </row>
    <row r="8142" spans="1:6" x14ac:dyDescent="0.3">
      <c r="A8142" t="s">
        <v>1391</v>
      </c>
      <c r="B8142" t="s">
        <v>2130</v>
      </c>
      <c r="C8142">
        <v>75.5</v>
      </c>
      <c r="D8142">
        <v>197</v>
      </c>
      <c r="E8142">
        <f>IF(OR(B8142="vi",B8142="ii",B8142="pod"),(((D8142/100)*(C8142*VLOOKUP(B8142,'Poids des runes'!A:B,2,FALSE)))+1),(((D8142/100)*(C8142*VLOOKUP(B8142,'Poids des runes'!A:B,2,FALSE)))+1)/VLOOKUP(B8142,'Poids des runes'!A:B,2,FALSE))</f>
        <v>149.73499999999999</v>
      </c>
      <c r="F8142">
        <f t="shared" si="127"/>
        <v>149.73499999999999</v>
      </c>
    </row>
    <row r="8143" spans="1:6" x14ac:dyDescent="0.3">
      <c r="A8143" t="s">
        <v>1391</v>
      </c>
      <c r="B8143" t="s">
        <v>2129</v>
      </c>
      <c r="C8143">
        <v>35.5</v>
      </c>
      <c r="D8143">
        <v>197</v>
      </c>
      <c r="E8143">
        <f>IF(OR(B8143="vi",B8143="ii",B8143="pod"),(((D8143/100)*(C8143*VLOOKUP(B8143,'Poids des runes'!A:B,2,FALSE)))+1),(((D8143/100)*(C8143*VLOOKUP(B8143,'Poids des runes'!A:B,2,FALSE)))+1)/VLOOKUP(B8143,'Poids des runes'!A:B,2,FALSE))</f>
        <v>70.935000000000002</v>
      </c>
      <c r="F8143">
        <f t="shared" si="127"/>
        <v>70.935000000000002</v>
      </c>
    </row>
    <row r="8144" spans="1:6" x14ac:dyDescent="0.3">
      <c r="A8144" t="s">
        <v>1391</v>
      </c>
      <c r="B8144" t="s">
        <v>2151</v>
      </c>
      <c r="C8144">
        <v>2.5</v>
      </c>
      <c r="D8144">
        <v>197</v>
      </c>
      <c r="E8144">
        <f>IF(OR(B8144="vi",B8144="ii",B8144="pod"),(((D8144/100)*(C8144*VLOOKUP(B8144,'Poids des runes'!A:B,2,FALSE)))+1),(((D8144/100)*(C8144*VLOOKUP(B8144,'Poids des runes'!A:B,2,FALSE)))+1)/VLOOKUP(B8144,'Poids des runes'!A:B,2,FALSE))</f>
        <v>5.0250000000000004</v>
      </c>
      <c r="F8144">
        <f t="shared" si="127"/>
        <v>5.0250000000000004</v>
      </c>
    </row>
    <row r="8145" spans="1:6" x14ac:dyDescent="0.3">
      <c r="A8145" t="s">
        <v>1391</v>
      </c>
      <c r="B8145" t="s">
        <v>2154</v>
      </c>
      <c r="C8145">
        <v>1</v>
      </c>
      <c r="D8145">
        <v>197</v>
      </c>
      <c r="E8145">
        <f>IF(OR(B8145="vi",B8145="ii",B8145="pod"),(((D8145/100)*(C8145*VLOOKUP(B8145,'Poids des runes'!A:B,2,FALSE)))+1),(((D8145/100)*(C8145*VLOOKUP(B8145,'Poids des runes'!A:B,2,FALSE)))+1)/VLOOKUP(B8145,'Poids des runes'!A:B,2,FALSE))</f>
        <v>1.9811111111111113</v>
      </c>
      <c r="F8145">
        <f t="shared" si="127"/>
        <v>1.9811111111111113</v>
      </c>
    </row>
    <row r="8146" spans="1:6" x14ac:dyDescent="0.3">
      <c r="A8146" t="s">
        <v>1391</v>
      </c>
      <c r="B8146" t="s">
        <v>2143</v>
      </c>
      <c r="C8146">
        <v>16</v>
      </c>
      <c r="D8146">
        <v>197</v>
      </c>
      <c r="E8146">
        <f>IF(OR(B8146="vi",B8146="ii",B8146="pod"),(((D8146/100)*(C8146*VLOOKUP(B8146,'Poids des runes'!A:B,2,FALSE)))+1),(((D8146/100)*(C8146*VLOOKUP(B8146,'Poids des runes'!A:B,2,FALSE)))+1)/VLOOKUP(B8146,'Poids des runes'!A:B,2,FALSE))</f>
        <v>31.72</v>
      </c>
      <c r="F8146">
        <f t="shared" si="127"/>
        <v>31.72</v>
      </c>
    </row>
    <row r="8147" spans="1:6" x14ac:dyDescent="0.3">
      <c r="A8147" t="s">
        <v>1391</v>
      </c>
      <c r="B8147" t="s">
        <v>2161</v>
      </c>
      <c r="C8147">
        <v>18</v>
      </c>
      <c r="D8147">
        <v>197</v>
      </c>
      <c r="E8147">
        <f>IF(OR(B8147="vi",B8147="ii",B8147="pod"),(((D8147/100)*(C8147*VLOOKUP(B8147,'Poids des runes'!A:B,2,FALSE)))+1),(((D8147/100)*(C8147*VLOOKUP(B8147,'Poids des runes'!A:B,2,FALSE)))+1)/VLOOKUP(B8147,'Poids des runes'!A:B,2,FALSE))</f>
        <v>35.793333333333329</v>
      </c>
      <c r="F8147">
        <f t="shared" si="127"/>
        <v>35.793333333333329</v>
      </c>
    </row>
    <row r="8148" spans="1:6" x14ac:dyDescent="0.3">
      <c r="A8148" t="s">
        <v>1391</v>
      </c>
      <c r="B8148" t="s">
        <v>2141</v>
      </c>
      <c r="C8148">
        <v>4.5</v>
      </c>
      <c r="D8148">
        <v>197</v>
      </c>
      <c r="E8148">
        <f>IF(OR(B8148="vi",B8148="ii",B8148="pod"),(((D8148/100)*(C8148*VLOOKUP(B8148,'Poids des runes'!A:B,2,FALSE)))+1),(((D8148/100)*(C8148*VLOOKUP(B8148,'Poids des runes'!A:B,2,FALSE)))+1)/VLOOKUP(B8148,'Poids des runes'!A:B,2,FALSE))</f>
        <v>9.1150000000000002</v>
      </c>
      <c r="F8148">
        <f t="shared" si="127"/>
        <v>9.1150000000000002</v>
      </c>
    </row>
    <row r="8149" spans="1:6" x14ac:dyDescent="0.3">
      <c r="A8149" t="s">
        <v>1391</v>
      </c>
      <c r="B8149" t="s">
        <v>2135</v>
      </c>
      <c r="C8149">
        <v>8.5</v>
      </c>
      <c r="D8149">
        <v>197</v>
      </c>
      <c r="E8149">
        <f>IF(OR(B8149="vi",B8149="ii",B8149="pod"),(((D8149/100)*(C8149*VLOOKUP(B8149,'Poids des runes'!A:B,2,FALSE)))+1),(((D8149/100)*(C8149*VLOOKUP(B8149,'Poids des runes'!A:B,2,FALSE)))+1)/VLOOKUP(B8149,'Poids des runes'!A:B,2,FALSE))</f>
        <v>16.911666666666665</v>
      </c>
      <c r="F8149">
        <f t="shared" si="127"/>
        <v>16.911666666666665</v>
      </c>
    </row>
    <row r="8150" spans="1:6" x14ac:dyDescent="0.3">
      <c r="A8150" t="s">
        <v>1391</v>
      </c>
      <c r="B8150" t="s">
        <v>2146</v>
      </c>
      <c r="C8150">
        <v>13</v>
      </c>
      <c r="D8150">
        <v>197</v>
      </c>
      <c r="E8150">
        <f>IF(OR(B8150="vi",B8150="ii",B8150="pod"),(((D8150/100)*(C8150*VLOOKUP(B8150,'Poids des runes'!A:B,2,FALSE)))+1),(((D8150/100)*(C8150*VLOOKUP(B8150,'Poids des runes'!A:B,2,FALSE)))+1)/VLOOKUP(B8150,'Poids des runes'!A:B,2,FALSE))</f>
        <v>26.11</v>
      </c>
      <c r="F8150">
        <f t="shared" si="127"/>
        <v>26.11</v>
      </c>
    </row>
    <row r="8151" spans="1:6" x14ac:dyDescent="0.3">
      <c r="A8151" t="s">
        <v>1392</v>
      </c>
      <c r="B8151" t="s">
        <v>2128</v>
      </c>
      <c r="C8151">
        <v>225.5</v>
      </c>
      <c r="D8151">
        <v>197</v>
      </c>
      <c r="E8151">
        <f>IF(OR(B8151="vi",B8151="ii",B8151="pod"),(((D8151/100)*(C8151*VLOOKUP(B8151,'Poids des runes'!A:B,2,FALSE)))+1),(((D8151/100)*(C8151*VLOOKUP(B8151,'Poids des runes'!A:B,2,FALSE)))+1)/VLOOKUP(B8151,'Poids des runes'!A:B,2,FALSE))</f>
        <v>89.847000000000008</v>
      </c>
      <c r="F8151">
        <f t="shared" si="127"/>
        <v>89.847000000000008</v>
      </c>
    </row>
    <row r="8152" spans="1:6" x14ac:dyDescent="0.3">
      <c r="A8152" t="s">
        <v>1392</v>
      </c>
      <c r="B8152" t="s">
        <v>2130</v>
      </c>
      <c r="C8152">
        <v>50.5</v>
      </c>
      <c r="D8152">
        <v>197</v>
      </c>
      <c r="E8152">
        <f>IF(OR(B8152="vi",B8152="ii",B8152="pod"),(((D8152/100)*(C8152*VLOOKUP(B8152,'Poids des runes'!A:B,2,FALSE)))+1),(((D8152/100)*(C8152*VLOOKUP(B8152,'Poids des runes'!A:B,2,FALSE)))+1)/VLOOKUP(B8152,'Poids des runes'!A:B,2,FALSE))</f>
        <v>100.485</v>
      </c>
      <c r="F8152">
        <f t="shared" si="127"/>
        <v>100.485</v>
      </c>
    </row>
    <row r="8153" spans="1:6" x14ac:dyDescent="0.3">
      <c r="A8153" t="s">
        <v>1392</v>
      </c>
      <c r="B8153" t="s">
        <v>2126</v>
      </c>
      <c r="C8153">
        <v>50.5</v>
      </c>
      <c r="D8153">
        <v>197</v>
      </c>
      <c r="E8153">
        <f>IF(OR(B8153="vi",B8153="ii",B8153="pod"),(((D8153/100)*(C8153*VLOOKUP(B8153,'Poids des runes'!A:B,2,FALSE)))+1),(((D8153/100)*(C8153*VLOOKUP(B8153,'Poids des runes'!A:B,2,FALSE)))+1)/VLOOKUP(B8153,'Poids des runes'!A:B,2,FALSE))</f>
        <v>100.485</v>
      </c>
      <c r="F8153">
        <f t="shared" si="127"/>
        <v>100.485</v>
      </c>
    </row>
    <row r="8154" spans="1:6" x14ac:dyDescent="0.3">
      <c r="A8154" t="s">
        <v>1392</v>
      </c>
      <c r="B8154" t="s">
        <v>2129</v>
      </c>
      <c r="C8154">
        <v>35.5</v>
      </c>
      <c r="D8154">
        <v>197</v>
      </c>
      <c r="E8154">
        <f>IF(OR(B8154="vi",B8154="ii",B8154="pod"),(((D8154/100)*(C8154*VLOOKUP(B8154,'Poids des runes'!A:B,2,FALSE)))+1),(((D8154/100)*(C8154*VLOOKUP(B8154,'Poids des runes'!A:B,2,FALSE)))+1)/VLOOKUP(B8154,'Poids des runes'!A:B,2,FALSE))</f>
        <v>70.935000000000002</v>
      </c>
      <c r="F8154">
        <f t="shared" si="127"/>
        <v>70.935000000000002</v>
      </c>
    </row>
    <row r="8155" spans="1:6" x14ac:dyDescent="0.3">
      <c r="A8155" t="s">
        <v>1392</v>
      </c>
      <c r="B8155" t="s">
        <v>2151</v>
      </c>
      <c r="C8155">
        <v>3.5</v>
      </c>
      <c r="D8155">
        <v>197</v>
      </c>
      <c r="E8155">
        <f>IF(OR(B8155="vi",B8155="ii",B8155="pod"),(((D8155/100)*(C8155*VLOOKUP(B8155,'Poids des runes'!A:B,2,FALSE)))+1),(((D8155/100)*(C8155*VLOOKUP(B8155,'Poids des runes'!A:B,2,FALSE)))+1)/VLOOKUP(B8155,'Poids des runes'!A:B,2,FALSE))</f>
        <v>6.9950000000000001</v>
      </c>
      <c r="F8155">
        <f t="shared" si="127"/>
        <v>6.9950000000000001</v>
      </c>
    </row>
    <row r="8156" spans="1:6" x14ac:dyDescent="0.3">
      <c r="A8156" t="s">
        <v>1392</v>
      </c>
      <c r="B8156" t="s">
        <v>2143</v>
      </c>
      <c r="C8156">
        <v>10</v>
      </c>
      <c r="D8156">
        <v>197</v>
      </c>
      <c r="E8156">
        <f>IF(OR(B8156="vi",B8156="ii",B8156="pod"),(((D8156/100)*(C8156*VLOOKUP(B8156,'Poids des runes'!A:B,2,FALSE)))+1),(((D8156/100)*(C8156*VLOOKUP(B8156,'Poids des runes'!A:B,2,FALSE)))+1)/VLOOKUP(B8156,'Poids des runes'!A:B,2,FALSE))</f>
        <v>19.899999999999999</v>
      </c>
      <c r="F8156">
        <f t="shared" si="127"/>
        <v>19.899999999999999</v>
      </c>
    </row>
    <row r="8157" spans="1:6" x14ac:dyDescent="0.3">
      <c r="A8157" t="s">
        <v>1392</v>
      </c>
      <c r="B8157" t="s">
        <v>2140</v>
      </c>
      <c r="C8157">
        <v>10</v>
      </c>
      <c r="D8157">
        <v>197</v>
      </c>
      <c r="E8157">
        <f>IF(OR(B8157="vi",B8157="ii",B8157="pod"),(((D8157/100)*(C8157*VLOOKUP(B8157,'Poids des runes'!A:B,2,FALSE)))+1),(((D8157/100)*(C8157*VLOOKUP(B8157,'Poids des runes'!A:B,2,FALSE)))+1)/VLOOKUP(B8157,'Poids des runes'!A:B,2,FALSE))</f>
        <v>19.899999999999999</v>
      </c>
      <c r="F8157">
        <f t="shared" si="127"/>
        <v>19.899999999999999</v>
      </c>
    </row>
    <row r="8158" spans="1:6" x14ac:dyDescent="0.3">
      <c r="A8158" t="s">
        <v>1392</v>
      </c>
      <c r="B8158" t="s">
        <v>2149</v>
      </c>
      <c r="C8158">
        <v>7</v>
      </c>
      <c r="D8158">
        <v>197</v>
      </c>
      <c r="E8158">
        <f>IF(OR(B8158="vi",B8158="ii",B8158="pod"),(((D8158/100)*(C8158*VLOOKUP(B8158,'Poids des runes'!A:B,2,FALSE)))+1),(((D8158/100)*(C8158*VLOOKUP(B8158,'Poids des runes'!A:B,2,FALSE)))+1)/VLOOKUP(B8158,'Poids des runes'!A:B,2,FALSE))</f>
        <v>13.89</v>
      </c>
      <c r="F8158">
        <f t="shared" si="127"/>
        <v>13.89</v>
      </c>
    </row>
    <row r="8159" spans="1:6" x14ac:dyDescent="0.3">
      <c r="A8159" t="s">
        <v>1392</v>
      </c>
      <c r="B8159" t="s">
        <v>2161</v>
      </c>
      <c r="C8159">
        <v>8.5</v>
      </c>
      <c r="D8159">
        <v>197</v>
      </c>
      <c r="E8159">
        <f>IF(OR(B8159="vi",B8159="ii",B8159="pod"),(((D8159/100)*(C8159*VLOOKUP(B8159,'Poids des runes'!A:B,2,FALSE)))+1),(((D8159/100)*(C8159*VLOOKUP(B8159,'Poids des runes'!A:B,2,FALSE)))+1)/VLOOKUP(B8159,'Poids des runes'!A:B,2,FALSE))</f>
        <v>17.078333333333333</v>
      </c>
      <c r="F8159">
        <f t="shared" si="127"/>
        <v>17.078333333333333</v>
      </c>
    </row>
    <row r="8160" spans="1:6" x14ac:dyDescent="0.3">
      <c r="A8160" t="s">
        <v>1392</v>
      </c>
      <c r="B8160" t="s">
        <v>2138</v>
      </c>
      <c r="C8160">
        <v>4.5</v>
      </c>
      <c r="D8160">
        <v>197</v>
      </c>
      <c r="E8160">
        <f>IF(OR(B8160="vi",B8160="ii",B8160="pod"),(((D8160/100)*(C8160*VLOOKUP(B8160,'Poids des runes'!A:B,2,FALSE)))+1),(((D8160/100)*(C8160*VLOOKUP(B8160,'Poids des runes'!A:B,2,FALSE)))+1)/VLOOKUP(B8160,'Poids des runes'!A:B,2,FALSE))</f>
        <v>9.1150000000000002</v>
      </c>
      <c r="F8160">
        <f t="shared" si="127"/>
        <v>9.1150000000000002</v>
      </c>
    </row>
    <row r="8161" spans="1:6" x14ac:dyDescent="0.3">
      <c r="A8161" t="s">
        <v>1392</v>
      </c>
      <c r="B8161" t="s">
        <v>2135</v>
      </c>
      <c r="C8161">
        <v>6</v>
      </c>
      <c r="D8161">
        <v>197</v>
      </c>
      <c r="E8161">
        <f>IF(OR(B8161="vi",B8161="ii",B8161="pod"),(((D8161/100)*(C8161*VLOOKUP(B8161,'Poids des runes'!A:B,2,FALSE)))+1),(((D8161/100)*(C8161*VLOOKUP(B8161,'Poids des runes'!A:B,2,FALSE)))+1)/VLOOKUP(B8161,'Poids des runes'!A:B,2,FALSE))</f>
        <v>11.986666666666666</v>
      </c>
      <c r="F8161">
        <f t="shared" si="127"/>
        <v>11.986666666666666</v>
      </c>
    </row>
    <row r="8162" spans="1:6" x14ac:dyDescent="0.3">
      <c r="A8162" t="s">
        <v>1392</v>
      </c>
      <c r="B8162" t="s">
        <v>2157</v>
      </c>
      <c r="C8162">
        <v>6</v>
      </c>
      <c r="D8162">
        <v>197</v>
      </c>
      <c r="E8162">
        <f>IF(OR(B8162="vi",B8162="ii",B8162="pod"),(((D8162/100)*(C8162*VLOOKUP(B8162,'Poids des runes'!A:B,2,FALSE)))+1),(((D8162/100)*(C8162*VLOOKUP(B8162,'Poids des runes'!A:B,2,FALSE)))+1)/VLOOKUP(B8162,'Poids des runes'!A:B,2,FALSE))</f>
        <v>11.986666666666666</v>
      </c>
      <c r="F8162">
        <f t="shared" si="127"/>
        <v>11.986666666666666</v>
      </c>
    </row>
    <row r="8163" spans="1:6" x14ac:dyDescent="0.3">
      <c r="A8163" t="s">
        <v>1393</v>
      </c>
      <c r="B8163" t="s">
        <v>2128</v>
      </c>
      <c r="C8163">
        <v>225.5</v>
      </c>
      <c r="D8163">
        <v>197</v>
      </c>
      <c r="E8163">
        <f>IF(OR(B8163="vi",B8163="ii",B8163="pod"),(((D8163/100)*(C8163*VLOOKUP(B8163,'Poids des runes'!A:B,2,FALSE)))+1),(((D8163/100)*(C8163*VLOOKUP(B8163,'Poids des runes'!A:B,2,FALSE)))+1)/VLOOKUP(B8163,'Poids des runes'!A:B,2,FALSE))</f>
        <v>89.847000000000008</v>
      </c>
      <c r="F8163">
        <f t="shared" si="127"/>
        <v>89.847000000000008</v>
      </c>
    </row>
    <row r="8164" spans="1:6" x14ac:dyDescent="0.3">
      <c r="A8164" t="s">
        <v>1393</v>
      </c>
      <c r="B8164" t="s">
        <v>2127</v>
      </c>
      <c r="C8164">
        <v>63</v>
      </c>
      <c r="D8164">
        <v>197</v>
      </c>
      <c r="E8164">
        <f>IF(OR(B8164="vi",B8164="ii",B8164="pod"),(((D8164/100)*(C8164*VLOOKUP(B8164,'Poids des runes'!A:B,2,FALSE)))+1),(((D8164/100)*(C8164*VLOOKUP(B8164,'Poids des runes'!A:B,2,FALSE)))+1)/VLOOKUP(B8164,'Poids des runes'!A:B,2,FALSE))</f>
        <v>125.11</v>
      </c>
      <c r="F8164">
        <f t="shared" si="127"/>
        <v>125.11</v>
      </c>
    </row>
    <row r="8165" spans="1:6" x14ac:dyDescent="0.3">
      <c r="A8165" t="s">
        <v>1393</v>
      </c>
      <c r="B8165" t="s">
        <v>2129</v>
      </c>
      <c r="C8165">
        <v>38</v>
      </c>
      <c r="D8165">
        <v>197</v>
      </c>
      <c r="E8165">
        <f>IF(OR(B8165="vi",B8165="ii",B8165="pod"),(((D8165/100)*(C8165*VLOOKUP(B8165,'Poids des runes'!A:B,2,FALSE)))+1),(((D8165/100)*(C8165*VLOOKUP(B8165,'Poids des runes'!A:B,2,FALSE)))+1)/VLOOKUP(B8165,'Poids des runes'!A:B,2,FALSE))</f>
        <v>75.86</v>
      </c>
      <c r="F8165">
        <f t="shared" si="127"/>
        <v>75.86</v>
      </c>
    </row>
    <row r="8166" spans="1:6" x14ac:dyDescent="0.3">
      <c r="A8166" t="s">
        <v>1393</v>
      </c>
      <c r="B8166" t="s">
        <v>2151</v>
      </c>
      <c r="C8166">
        <v>4.5</v>
      </c>
      <c r="D8166">
        <v>197</v>
      </c>
      <c r="E8166">
        <f>IF(OR(B8166="vi",B8166="ii",B8166="pod"),(((D8166/100)*(C8166*VLOOKUP(B8166,'Poids des runes'!A:B,2,FALSE)))+1),(((D8166/100)*(C8166*VLOOKUP(B8166,'Poids des runes'!A:B,2,FALSE)))+1)/VLOOKUP(B8166,'Poids des runes'!A:B,2,FALSE))</f>
        <v>8.9649999999999999</v>
      </c>
      <c r="F8166">
        <f t="shared" si="127"/>
        <v>8.9649999999999999</v>
      </c>
    </row>
    <row r="8167" spans="1:6" x14ac:dyDescent="0.3">
      <c r="A8167" t="s">
        <v>1393</v>
      </c>
      <c r="B8167" t="s">
        <v>2150</v>
      </c>
      <c r="C8167">
        <v>1</v>
      </c>
      <c r="D8167">
        <v>197</v>
      </c>
      <c r="E8167">
        <f>IF(OR(B8167="vi",B8167="ii",B8167="pod"),(((D8167/100)*(C8167*VLOOKUP(B8167,'Poids des runes'!A:B,2,FALSE)))+1),(((D8167/100)*(C8167*VLOOKUP(B8167,'Poids des runes'!A:B,2,FALSE)))+1)/VLOOKUP(B8167,'Poids des runes'!A:B,2,FALSE))</f>
        <v>2.0033333333333334</v>
      </c>
      <c r="F8167">
        <f t="shared" si="127"/>
        <v>2.0033333333333334</v>
      </c>
    </row>
    <row r="8168" spans="1:6" x14ac:dyDescent="0.3">
      <c r="A8168" t="s">
        <v>1393</v>
      </c>
      <c r="B8168" t="s">
        <v>2153</v>
      </c>
      <c r="C8168">
        <v>13</v>
      </c>
      <c r="D8168">
        <v>197</v>
      </c>
      <c r="E8168">
        <f>IF(OR(B8168="vi",B8168="ii",B8168="pod"),(((D8168/100)*(C8168*VLOOKUP(B8168,'Poids des runes'!A:B,2,FALSE)))+1),(((D8168/100)*(C8168*VLOOKUP(B8168,'Poids des runes'!A:B,2,FALSE)))+1)/VLOOKUP(B8168,'Poids des runes'!A:B,2,FALSE))</f>
        <v>25.810000000000002</v>
      </c>
      <c r="F8168">
        <f t="shared" si="127"/>
        <v>25.810000000000002</v>
      </c>
    </row>
    <row r="8169" spans="1:6" x14ac:dyDescent="0.3">
      <c r="A8169" t="s">
        <v>1393</v>
      </c>
      <c r="B8169" t="s">
        <v>2161</v>
      </c>
      <c r="C8169">
        <v>13</v>
      </c>
      <c r="D8169">
        <v>197</v>
      </c>
      <c r="E8169">
        <f>IF(OR(B8169="vi",B8169="ii",B8169="pod"),(((D8169/100)*(C8169*VLOOKUP(B8169,'Poids des runes'!A:B,2,FALSE)))+1),(((D8169/100)*(C8169*VLOOKUP(B8169,'Poids des runes'!A:B,2,FALSE)))+1)/VLOOKUP(B8169,'Poids des runes'!A:B,2,FALSE))</f>
        <v>25.943333333333332</v>
      </c>
      <c r="F8169">
        <f t="shared" si="127"/>
        <v>25.943333333333332</v>
      </c>
    </row>
    <row r="8170" spans="1:6" x14ac:dyDescent="0.3">
      <c r="A8170" t="s">
        <v>1393</v>
      </c>
      <c r="B8170" t="s">
        <v>2165</v>
      </c>
      <c r="C8170">
        <v>5</v>
      </c>
      <c r="D8170">
        <v>197</v>
      </c>
      <c r="E8170">
        <f>IF(OR(B8170="vi",B8170="ii",B8170="pod"),(((D8170/100)*(C8170*VLOOKUP(B8170,'Poids des runes'!A:B,2,FALSE)))+1),(((D8170/100)*(C8170*VLOOKUP(B8170,'Poids des runes'!A:B,2,FALSE)))+1)/VLOOKUP(B8170,'Poids des runes'!A:B,2,FALSE))</f>
        <v>9.9928571428571438</v>
      </c>
      <c r="F8170">
        <f t="shared" si="127"/>
        <v>9.9928571428571438</v>
      </c>
    </row>
    <row r="8171" spans="1:6" x14ac:dyDescent="0.3">
      <c r="A8171" t="s">
        <v>1393</v>
      </c>
      <c r="B8171" t="s">
        <v>2163</v>
      </c>
      <c r="C8171">
        <v>13</v>
      </c>
      <c r="D8171">
        <v>197</v>
      </c>
      <c r="E8171">
        <f>IF(OR(B8171="vi",B8171="ii",B8171="pod"),(((D8171/100)*(C8171*VLOOKUP(B8171,'Poids des runes'!A:B,2,FALSE)))+1),(((D8171/100)*(C8171*VLOOKUP(B8171,'Poids des runes'!A:B,2,FALSE)))+1)/VLOOKUP(B8171,'Poids des runes'!A:B,2,FALSE))</f>
        <v>26.11</v>
      </c>
      <c r="F8171">
        <f t="shared" si="127"/>
        <v>26.11</v>
      </c>
    </row>
    <row r="8172" spans="1:6" x14ac:dyDescent="0.3">
      <c r="A8172" t="s">
        <v>1394</v>
      </c>
      <c r="B8172" t="s">
        <v>2128</v>
      </c>
      <c r="C8172">
        <v>85.5</v>
      </c>
      <c r="D8172">
        <v>197</v>
      </c>
      <c r="E8172">
        <f>IF(OR(B8172="vi",B8172="ii",B8172="pod"),(((D8172/100)*(C8172*VLOOKUP(B8172,'Poids des runes'!A:B,2,FALSE)))+1),(((D8172/100)*(C8172*VLOOKUP(B8172,'Poids des runes'!A:B,2,FALSE)))+1)/VLOOKUP(B8172,'Poids des runes'!A:B,2,FALSE))</f>
        <v>34.687000000000005</v>
      </c>
      <c r="F8172">
        <f t="shared" si="127"/>
        <v>34.687000000000005</v>
      </c>
    </row>
    <row r="8173" spans="1:6" x14ac:dyDescent="0.3">
      <c r="A8173" t="s">
        <v>1394</v>
      </c>
      <c r="B8173" t="s">
        <v>2126</v>
      </c>
      <c r="C8173">
        <v>50.5</v>
      </c>
      <c r="D8173">
        <v>197</v>
      </c>
      <c r="E8173">
        <f>IF(OR(B8173="vi",B8173="ii",B8173="pod"),(((D8173/100)*(C8173*VLOOKUP(B8173,'Poids des runes'!A:B,2,FALSE)))+1),(((D8173/100)*(C8173*VLOOKUP(B8173,'Poids des runes'!A:B,2,FALSE)))+1)/VLOOKUP(B8173,'Poids des runes'!A:B,2,FALSE))</f>
        <v>100.485</v>
      </c>
      <c r="F8173">
        <f t="shared" si="127"/>
        <v>100.485</v>
      </c>
    </row>
    <row r="8174" spans="1:6" x14ac:dyDescent="0.3">
      <c r="A8174" t="s">
        <v>1394</v>
      </c>
      <c r="B8174" t="s">
        <v>2127</v>
      </c>
      <c r="C8174">
        <v>50.5</v>
      </c>
      <c r="D8174">
        <v>197</v>
      </c>
      <c r="E8174">
        <f>IF(OR(B8174="vi",B8174="ii",B8174="pod"),(((D8174/100)*(C8174*VLOOKUP(B8174,'Poids des runes'!A:B,2,FALSE)))+1),(((D8174/100)*(C8174*VLOOKUP(B8174,'Poids des runes'!A:B,2,FALSE)))+1)/VLOOKUP(B8174,'Poids des runes'!A:B,2,FALSE))</f>
        <v>100.485</v>
      </c>
      <c r="F8174">
        <f t="shared" si="127"/>
        <v>100.485</v>
      </c>
    </row>
    <row r="8175" spans="1:6" x14ac:dyDescent="0.3">
      <c r="A8175" t="s">
        <v>1394</v>
      </c>
      <c r="B8175" t="s">
        <v>2129</v>
      </c>
      <c r="C8175">
        <v>35.5</v>
      </c>
      <c r="D8175">
        <v>197</v>
      </c>
      <c r="E8175">
        <f>IF(OR(B8175="vi",B8175="ii",B8175="pod"),(((D8175/100)*(C8175*VLOOKUP(B8175,'Poids des runes'!A:B,2,FALSE)))+1),(((D8175/100)*(C8175*VLOOKUP(B8175,'Poids des runes'!A:B,2,FALSE)))+1)/VLOOKUP(B8175,'Poids des runes'!A:B,2,FALSE))</f>
        <v>70.935000000000002</v>
      </c>
      <c r="F8175">
        <f t="shared" si="127"/>
        <v>70.935000000000002</v>
      </c>
    </row>
    <row r="8176" spans="1:6" x14ac:dyDescent="0.3">
      <c r="A8176" t="s">
        <v>1394</v>
      </c>
      <c r="B8176" t="s">
        <v>2151</v>
      </c>
      <c r="C8176">
        <v>5</v>
      </c>
      <c r="D8176">
        <v>197</v>
      </c>
      <c r="E8176">
        <f>IF(OR(B8176="vi",B8176="ii",B8176="pod"),(((D8176/100)*(C8176*VLOOKUP(B8176,'Poids des runes'!A:B,2,FALSE)))+1),(((D8176/100)*(C8176*VLOOKUP(B8176,'Poids des runes'!A:B,2,FALSE)))+1)/VLOOKUP(B8176,'Poids des runes'!A:B,2,FALSE))</f>
        <v>9.9499999999999993</v>
      </c>
      <c r="F8176">
        <f t="shared" si="127"/>
        <v>9.9499999999999993</v>
      </c>
    </row>
    <row r="8177" spans="1:6" x14ac:dyDescent="0.3">
      <c r="A8177" t="s">
        <v>1394</v>
      </c>
      <c r="B8177" t="s">
        <v>2155</v>
      </c>
      <c r="C8177">
        <v>1</v>
      </c>
      <c r="D8177">
        <v>197</v>
      </c>
      <c r="E8177">
        <f>IF(OR(B8177="vi",B8177="ii",B8177="pod"),(((D8177/100)*(C8177*VLOOKUP(B8177,'Poids des runes'!A:B,2,FALSE)))+1),(((D8177/100)*(C8177*VLOOKUP(B8177,'Poids des runes'!A:B,2,FALSE)))+1)/VLOOKUP(B8177,'Poids des runes'!A:B,2,FALSE))</f>
        <v>1.9896078431372548</v>
      </c>
      <c r="F8177">
        <f t="shared" si="127"/>
        <v>1.9896078431372548</v>
      </c>
    </row>
    <row r="8178" spans="1:6" x14ac:dyDescent="0.3">
      <c r="A8178" t="s">
        <v>1394</v>
      </c>
      <c r="B8178" t="s">
        <v>2150</v>
      </c>
      <c r="C8178">
        <v>1</v>
      </c>
      <c r="D8178">
        <v>197</v>
      </c>
      <c r="E8178">
        <f>IF(OR(B8178="vi",B8178="ii",B8178="pod"),(((D8178/100)*(C8178*VLOOKUP(B8178,'Poids des runes'!A:B,2,FALSE)))+1),(((D8178/100)*(C8178*VLOOKUP(B8178,'Poids des runes'!A:B,2,FALSE)))+1)/VLOOKUP(B8178,'Poids des runes'!A:B,2,FALSE))</f>
        <v>2.0033333333333334</v>
      </c>
      <c r="F8178">
        <f t="shared" si="127"/>
        <v>2.0033333333333334</v>
      </c>
    </row>
    <row r="8179" spans="1:6" x14ac:dyDescent="0.3">
      <c r="A8179" t="s">
        <v>1394</v>
      </c>
      <c r="B8179" t="s">
        <v>2140</v>
      </c>
      <c r="C8179">
        <v>6</v>
      </c>
      <c r="D8179">
        <v>197</v>
      </c>
      <c r="E8179">
        <f>IF(OR(B8179="vi",B8179="ii",B8179="pod"),(((D8179/100)*(C8179*VLOOKUP(B8179,'Poids des runes'!A:B,2,FALSE)))+1),(((D8179/100)*(C8179*VLOOKUP(B8179,'Poids des runes'!A:B,2,FALSE)))+1)/VLOOKUP(B8179,'Poids des runes'!A:B,2,FALSE))</f>
        <v>12.02</v>
      </c>
      <c r="F8179">
        <f t="shared" si="127"/>
        <v>12.02</v>
      </c>
    </row>
    <row r="8180" spans="1:6" x14ac:dyDescent="0.3">
      <c r="A8180" t="s">
        <v>1394</v>
      </c>
      <c r="B8180" t="s">
        <v>2153</v>
      </c>
      <c r="C8180">
        <v>6</v>
      </c>
      <c r="D8180">
        <v>197</v>
      </c>
      <c r="E8180">
        <f>IF(OR(B8180="vi",B8180="ii",B8180="pod"),(((D8180/100)*(C8180*VLOOKUP(B8180,'Poids des runes'!A:B,2,FALSE)))+1),(((D8180/100)*(C8180*VLOOKUP(B8180,'Poids des runes'!A:B,2,FALSE)))+1)/VLOOKUP(B8180,'Poids des runes'!A:B,2,FALSE))</f>
        <v>12.02</v>
      </c>
      <c r="F8180">
        <f t="shared" si="127"/>
        <v>12.02</v>
      </c>
    </row>
    <row r="8181" spans="1:6" x14ac:dyDescent="0.3">
      <c r="A8181" t="s">
        <v>1394</v>
      </c>
      <c r="B8181" t="s">
        <v>2158</v>
      </c>
      <c r="C8181">
        <v>10</v>
      </c>
      <c r="D8181">
        <v>197</v>
      </c>
      <c r="E8181">
        <f>IF(OR(B8181="vi",B8181="ii",B8181="pod"),(((D8181/100)*(C8181*VLOOKUP(B8181,'Poids des runes'!A:B,2,FALSE)))+1),(((D8181/100)*(C8181*VLOOKUP(B8181,'Poids des runes'!A:B,2,FALSE)))+1)/VLOOKUP(B8181,'Poids des runes'!A:B,2,FALSE))</f>
        <v>19.899999999999999</v>
      </c>
      <c r="F8181">
        <f t="shared" si="127"/>
        <v>19.899999999999999</v>
      </c>
    </row>
    <row r="8182" spans="1:6" x14ac:dyDescent="0.3">
      <c r="A8182" t="s">
        <v>1394</v>
      </c>
      <c r="B8182" t="s">
        <v>2135</v>
      </c>
      <c r="C8182">
        <v>7</v>
      </c>
      <c r="D8182">
        <v>197</v>
      </c>
      <c r="E8182">
        <f>IF(OR(B8182="vi",B8182="ii",B8182="pod"),(((D8182/100)*(C8182*VLOOKUP(B8182,'Poids des runes'!A:B,2,FALSE)))+1),(((D8182/100)*(C8182*VLOOKUP(B8182,'Poids des runes'!A:B,2,FALSE)))+1)/VLOOKUP(B8182,'Poids des runes'!A:B,2,FALSE))</f>
        <v>13.956666666666665</v>
      </c>
      <c r="F8182">
        <f t="shared" si="127"/>
        <v>13.956666666666665</v>
      </c>
    </row>
    <row r="8183" spans="1:6" x14ac:dyDescent="0.3">
      <c r="A8183" t="s">
        <v>1394</v>
      </c>
      <c r="B8183" t="s">
        <v>2137</v>
      </c>
      <c r="C8183">
        <v>8.5</v>
      </c>
      <c r="D8183">
        <v>197</v>
      </c>
      <c r="E8183">
        <f>IF(OR(B8183="vi",B8183="ii",B8183="pod"),(((D8183/100)*(C8183*VLOOKUP(B8183,'Poids des runes'!A:B,2,FALSE)))+1),(((D8183/100)*(C8183*VLOOKUP(B8183,'Poids des runes'!A:B,2,FALSE)))+1)/VLOOKUP(B8183,'Poids des runes'!A:B,2,FALSE))</f>
        <v>17.245000000000001</v>
      </c>
      <c r="F8183">
        <f t="shared" si="127"/>
        <v>17.245000000000001</v>
      </c>
    </row>
    <row r="8184" spans="1:6" x14ac:dyDescent="0.3">
      <c r="A8184" t="s">
        <v>1394</v>
      </c>
      <c r="B8184" t="s">
        <v>2146</v>
      </c>
      <c r="C8184">
        <v>8.5</v>
      </c>
      <c r="D8184">
        <v>197</v>
      </c>
      <c r="E8184">
        <f>IF(OR(B8184="vi",B8184="ii",B8184="pod"),(((D8184/100)*(C8184*VLOOKUP(B8184,'Poids des runes'!A:B,2,FALSE)))+1),(((D8184/100)*(C8184*VLOOKUP(B8184,'Poids des runes'!A:B,2,FALSE)))+1)/VLOOKUP(B8184,'Poids des runes'!A:B,2,FALSE))</f>
        <v>17.245000000000001</v>
      </c>
      <c r="F8184">
        <f t="shared" si="127"/>
        <v>17.245000000000001</v>
      </c>
    </row>
    <row r="8185" spans="1:6" x14ac:dyDescent="0.3">
      <c r="A8185" t="s">
        <v>1395</v>
      </c>
      <c r="B8185" t="s">
        <v>2128</v>
      </c>
      <c r="C8185">
        <v>225.5</v>
      </c>
      <c r="D8185">
        <v>197</v>
      </c>
      <c r="E8185">
        <f>IF(OR(B8185="vi",B8185="ii",B8185="pod"),(((D8185/100)*(C8185*VLOOKUP(B8185,'Poids des runes'!A:B,2,FALSE)))+1),(((D8185/100)*(C8185*VLOOKUP(B8185,'Poids des runes'!A:B,2,FALSE)))+1)/VLOOKUP(B8185,'Poids des runes'!A:B,2,FALSE))</f>
        <v>89.847000000000008</v>
      </c>
      <c r="F8185">
        <f t="shared" si="127"/>
        <v>89.847000000000008</v>
      </c>
    </row>
    <row r="8186" spans="1:6" x14ac:dyDescent="0.3">
      <c r="A8186" t="s">
        <v>1395</v>
      </c>
      <c r="B8186" t="s">
        <v>2131</v>
      </c>
      <c r="C8186">
        <v>50.5</v>
      </c>
      <c r="D8186">
        <v>197</v>
      </c>
      <c r="E8186">
        <f>IF(OR(B8186="vi",B8186="ii",B8186="pod"),(((D8186/100)*(C8186*VLOOKUP(B8186,'Poids des runes'!A:B,2,FALSE)))+1),(((D8186/100)*(C8186*VLOOKUP(B8186,'Poids des runes'!A:B,2,FALSE)))+1)/VLOOKUP(B8186,'Poids des runes'!A:B,2,FALSE))</f>
        <v>100.485</v>
      </c>
      <c r="F8186">
        <f t="shared" si="127"/>
        <v>100.485</v>
      </c>
    </row>
    <row r="8187" spans="1:6" x14ac:dyDescent="0.3">
      <c r="A8187" t="s">
        <v>1395</v>
      </c>
      <c r="B8187" t="s">
        <v>2129</v>
      </c>
      <c r="C8187">
        <v>35.5</v>
      </c>
      <c r="D8187">
        <v>197</v>
      </c>
      <c r="E8187">
        <f>IF(OR(B8187="vi",B8187="ii",B8187="pod"),(((D8187/100)*(C8187*VLOOKUP(B8187,'Poids des runes'!A:B,2,FALSE)))+1),(((D8187/100)*(C8187*VLOOKUP(B8187,'Poids des runes'!A:B,2,FALSE)))+1)/VLOOKUP(B8187,'Poids des runes'!A:B,2,FALSE))</f>
        <v>70.935000000000002</v>
      </c>
      <c r="F8187">
        <f t="shared" si="127"/>
        <v>70.935000000000002</v>
      </c>
    </row>
    <row r="8188" spans="1:6" x14ac:dyDescent="0.3">
      <c r="A8188" t="s">
        <v>1395</v>
      </c>
      <c r="B8188" t="s">
        <v>2151</v>
      </c>
      <c r="C8188">
        <v>3.5</v>
      </c>
      <c r="D8188">
        <v>197</v>
      </c>
      <c r="E8188">
        <f>IF(OR(B8188="vi",B8188="ii",B8188="pod"),(((D8188/100)*(C8188*VLOOKUP(B8188,'Poids des runes'!A:B,2,FALSE)))+1),(((D8188/100)*(C8188*VLOOKUP(B8188,'Poids des runes'!A:B,2,FALSE)))+1)/VLOOKUP(B8188,'Poids des runes'!A:B,2,FALSE))</f>
        <v>6.9950000000000001</v>
      </c>
      <c r="F8188">
        <f t="shared" si="127"/>
        <v>6.9950000000000001</v>
      </c>
    </row>
    <row r="8189" spans="1:6" x14ac:dyDescent="0.3">
      <c r="A8189" t="s">
        <v>1395</v>
      </c>
      <c r="B8189" t="s">
        <v>2133</v>
      </c>
      <c r="C8189">
        <v>13</v>
      </c>
      <c r="D8189">
        <v>197</v>
      </c>
      <c r="E8189">
        <f>IF(OR(B8189="vi",B8189="ii",B8189="pod"),(((D8189/100)*(C8189*VLOOKUP(B8189,'Poids des runes'!A:B,2,FALSE)))+1),(((D8189/100)*(C8189*VLOOKUP(B8189,'Poids des runes'!A:B,2,FALSE)))+1)/VLOOKUP(B8189,'Poids des runes'!A:B,2,FALSE))</f>
        <v>25.810000000000002</v>
      </c>
      <c r="F8189">
        <f t="shared" si="127"/>
        <v>25.810000000000002</v>
      </c>
    </row>
    <row r="8190" spans="1:6" x14ac:dyDescent="0.3">
      <c r="A8190" t="s">
        <v>1395</v>
      </c>
      <c r="B8190" t="s">
        <v>2161</v>
      </c>
      <c r="C8190">
        <v>13</v>
      </c>
      <c r="D8190">
        <v>197</v>
      </c>
      <c r="E8190">
        <f>IF(OR(B8190="vi",B8190="ii",B8190="pod"),(((D8190/100)*(C8190*VLOOKUP(B8190,'Poids des runes'!A:B,2,FALSE)))+1),(((D8190/100)*(C8190*VLOOKUP(B8190,'Poids des runes'!A:B,2,FALSE)))+1)/VLOOKUP(B8190,'Poids des runes'!A:B,2,FALSE))</f>
        <v>25.943333333333332</v>
      </c>
      <c r="F8190">
        <f t="shared" si="127"/>
        <v>25.943333333333332</v>
      </c>
    </row>
    <row r="8191" spans="1:6" x14ac:dyDescent="0.3">
      <c r="A8191" t="s">
        <v>1395</v>
      </c>
      <c r="B8191" t="s">
        <v>2141</v>
      </c>
      <c r="C8191">
        <v>7</v>
      </c>
      <c r="D8191">
        <v>197</v>
      </c>
      <c r="E8191">
        <f>IF(OR(B8191="vi",B8191="ii",B8191="pod"),(((D8191/100)*(C8191*VLOOKUP(B8191,'Poids des runes'!A:B,2,FALSE)))+1),(((D8191/100)*(C8191*VLOOKUP(B8191,'Poids des runes'!A:B,2,FALSE)))+1)/VLOOKUP(B8191,'Poids des runes'!A:B,2,FALSE))</f>
        <v>14.04</v>
      </c>
      <c r="F8191">
        <f t="shared" si="127"/>
        <v>14.04</v>
      </c>
    </row>
    <row r="8192" spans="1:6" x14ac:dyDescent="0.3">
      <c r="A8192" t="s">
        <v>1395</v>
      </c>
      <c r="B8192" t="s">
        <v>2163</v>
      </c>
      <c r="C8192">
        <v>18</v>
      </c>
      <c r="D8192">
        <v>197</v>
      </c>
      <c r="E8192">
        <f>IF(OR(B8192="vi",B8192="ii",B8192="pod"),(((D8192/100)*(C8192*VLOOKUP(B8192,'Poids des runes'!A:B,2,FALSE)))+1),(((D8192/100)*(C8192*VLOOKUP(B8192,'Poids des runes'!A:B,2,FALSE)))+1)/VLOOKUP(B8192,'Poids des runes'!A:B,2,FALSE))</f>
        <v>35.96</v>
      </c>
      <c r="F8192">
        <f t="shared" si="127"/>
        <v>35.96</v>
      </c>
    </row>
    <row r="8193" spans="1:6" x14ac:dyDescent="0.3">
      <c r="A8193" t="s">
        <v>1396</v>
      </c>
      <c r="B8193" t="s">
        <v>2128</v>
      </c>
      <c r="C8193">
        <v>325.5</v>
      </c>
      <c r="D8193">
        <v>197</v>
      </c>
      <c r="E8193">
        <f>IF(OR(B8193="vi",B8193="ii",B8193="pod"),(((D8193/100)*(C8193*VLOOKUP(B8193,'Poids des runes'!A:B,2,FALSE)))+1),(((D8193/100)*(C8193*VLOOKUP(B8193,'Poids des runes'!A:B,2,FALSE)))+1)/VLOOKUP(B8193,'Poids des runes'!A:B,2,FALSE))</f>
        <v>129.24700000000001</v>
      </c>
      <c r="F8193">
        <f t="shared" si="127"/>
        <v>129.24700000000001</v>
      </c>
    </row>
    <row r="8194" spans="1:6" x14ac:dyDescent="0.3">
      <c r="A8194" t="s">
        <v>1396</v>
      </c>
      <c r="B8194" t="s">
        <v>2126</v>
      </c>
      <c r="C8194">
        <v>53</v>
      </c>
      <c r="D8194">
        <v>197</v>
      </c>
      <c r="E8194">
        <f>IF(OR(B8194="vi",B8194="ii",B8194="pod"),(((D8194/100)*(C8194*VLOOKUP(B8194,'Poids des runes'!A:B,2,FALSE)))+1),(((D8194/100)*(C8194*VLOOKUP(B8194,'Poids des runes'!A:B,2,FALSE)))+1)/VLOOKUP(B8194,'Poids des runes'!A:B,2,FALSE))</f>
        <v>105.41</v>
      </c>
      <c r="F8194">
        <f t="shared" si="127"/>
        <v>105.41</v>
      </c>
    </row>
    <row r="8195" spans="1:6" x14ac:dyDescent="0.3">
      <c r="A8195" t="s">
        <v>1396</v>
      </c>
      <c r="B8195" t="s">
        <v>2127</v>
      </c>
      <c r="C8195">
        <v>53</v>
      </c>
      <c r="D8195">
        <v>197</v>
      </c>
      <c r="E8195">
        <f>IF(OR(B8195="vi",B8195="ii",B8195="pod"),(((D8195/100)*(C8195*VLOOKUP(B8195,'Poids des runes'!A:B,2,FALSE)))+1),(((D8195/100)*(C8195*VLOOKUP(B8195,'Poids des runes'!A:B,2,FALSE)))+1)/VLOOKUP(B8195,'Poids des runes'!A:B,2,FALSE))</f>
        <v>105.41</v>
      </c>
      <c r="F8195">
        <f t="shared" ref="F8195:F8258" si="128">E8195</f>
        <v>105.41</v>
      </c>
    </row>
    <row r="8196" spans="1:6" x14ac:dyDescent="0.3">
      <c r="A8196" t="s">
        <v>1396</v>
      </c>
      <c r="B8196" t="s">
        <v>2129</v>
      </c>
      <c r="C8196">
        <v>35.5</v>
      </c>
      <c r="D8196">
        <v>197</v>
      </c>
      <c r="E8196">
        <f>IF(OR(B8196="vi",B8196="ii",B8196="pod"),(((D8196/100)*(C8196*VLOOKUP(B8196,'Poids des runes'!A:B,2,FALSE)))+1),(((D8196/100)*(C8196*VLOOKUP(B8196,'Poids des runes'!A:B,2,FALSE)))+1)/VLOOKUP(B8196,'Poids des runes'!A:B,2,FALSE))</f>
        <v>70.935000000000002</v>
      </c>
      <c r="F8196">
        <f t="shared" si="128"/>
        <v>70.935000000000002</v>
      </c>
    </row>
    <row r="8197" spans="1:6" x14ac:dyDescent="0.3">
      <c r="A8197" t="s">
        <v>1396</v>
      </c>
      <c r="B8197" t="s">
        <v>2139</v>
      </c>
      <c r="C8197">
        <v>25.5</v>
      </c>
      <c r="D8197">
        <v>197</v>
      </c>
      <c r="E8197">
        <f>IF(OR(B8197="vi",B8197="ii",B8197="pod"),(((D8197/100)*(C8197*VLOOKUP(B8197,'Poids des runes'!A:B,2,FALSE)))+1),(((D8197/100)*(C8197*VLOOKUP(B8197,'Poids des runes'!A:B,2,FALSE)))+1)/VLOOKUP(B8197,'Poids des runes'!A:B,2,FALSE))</f>
        <v>50.734999999999999</v>
      </c>
      <c r="F8197">
        <f t="shared" si="128"/>
        <v>50.734999999999999</v>
      </c>
    </row>
    <row r="8198" spans="1:6" x14ac:dyDescent="0.3">
      <c r="A8198" t="s">
        <v>1396</v>
      </c>
      <c r="B8198" t="s">
        <v>2155</v>
      </c>
      <c r="C8198">
        <v>1</v>
      </c>
      <c r="D8198">
        <v>197</v>
      </c>
      <c r="E8198">
        <f>IF(OR(B8198="vi",B8198="ii",B8198="pod"),(((D8198/100)*(C8198*VLOOKUP(B8198,'Poids des runes'!A:B,2,FALSE)))+1),(((D8198/100)*(C8198*VLOOKUP(B8198,'Poids des runes'!A:B,2,FALSE)))+1)/VLOOKUP(B8198,'Poids des runes'!A:B,2,FALSE))</f>
        <v>1.9896078431372548</v>
      </c>
      <c r="F8198">
        <f t="shared" si="128"/>
        <v>1.9896078431372548</v>
      </c>
    </row>
    <row r="8199" spans="1:6" x14ac:dyDescent="0.3">
      <c r="A8199" t="s">
        <v>1396</v>
      </c>
      <c r="B8199" t="s">
        <v>2150</v>
      </c>
      <c r="C8199">
        <v>1.5</v>
      </c>
      <c r="D8199">
        <v>197</v>
      </c>
      <c r="E8199">
        <f>IF(OR(B8199="vi",B8199="ii",B8199="pod"),(((D8199/100)*(C8199*VLOOKUP(B8199,'Poids des runes'!A:B,2,FALSE)))+1),(((D8199/100)*(C8199*VLOOKUP(B8199,'Poids des runes'!A:B,2,FALSE)))+1)/VLOOKUP(B8199,'Poids des runes'!A:B,2,FALSE))</f>
        <v>2.9883333333333337</v>
      </c>
      <c r="F8199">
        <f t="shared" si="128"/>
        <v>2.9883333333333337</v>
      </c>
    </row>
    <row r="8200" spans="1:6" x14ac:dyDescent="0.3">
      <c r="A8200" t="s">
        <v>1396</v>
      </c>
      <c r="B8200" t="s">
        <v>2140</v>
      </c>
      <c r="C8200">
        <v>10.5</v>
      </c>
      <c r="D8200">
        <v>197</v>
      </c>
      <c r="E8200">
        <f>IF(OR(B8200="vi",B8200="ii",B8200="pod"),(((D8200/100)*(C8200*VLOOKUP(B8200,'Poids des runes'!A:B,2,FALSE)))+1),(((D8200/100)*(C8200*VLOOKUP(B8200,'Poids des runes'!A:B,2,FALSE)))+1)/VLOOKUP(B8200,'Poids des runes'!A:B,2,FALSE))</f>
        <v>20.884999999999998</v>
      </c>
      <c r="F8200">
        <f t="shared" si="128"/>
        <v>20.884999999999998</v>
      </c>
    </row>
    <row r="8201" spans="1:6" x14ac:dyDescent="0.3">
      <c r="A8201" t="s">
        <v>1396</v>
      </c>
      <c r="B8201" t="s">
        <v>2153</v>
      </c>
      <c r="C8201">
        <v>10.5</v>
      </c>
      <c r="D8201">
        <v>197</v>
      </c>
      <c r="E8201">
        <f>IF(OR(B8201="vi",B8201="ii",B8201="pod"),(((D8201/100)*(C8201*VLOOKUP(B8201,'Poids des runes'!A:B,2,FALSE)))+1),(((D8201/100)*(C8201*VLOOKUP(B8201,'Poids des runes'!A:B,2,FALSE)))+1)/VLOOKUP(B8201,'Poids des runes'!A:B,2,FALSE))</f>
        <v>20.884999999999998</v>
      </c>
      <c r="F8201">
        <f t="shared" si="128"/>
        <v>20.884999999999998</v>
      </c>
    </row>
    <row r="8202" spans="1:6" x14ac:dyDescent="0.3">
      <c r="A8202" t="s">
        <v>1396</v>
      </c>
      <c r="B8202" t="s">
        <v>2161</v>
      </c>
      <c r="C8202">
        <v>13</v>
      </c>
      <c r="D8202">
        <v>197</v>
      </c>
      <c r="E8202">
        <f>IF(OR(B8202="vi",B8202="ii",B8202="pod"),(((D8202/100)*(C8202*VLOOKUP(B8202,'Poids des runes'!A:B,2,FALSE)))+1),(((D8202/100)*(C8202*VLOOKUP(B8202,'Poids des runes'!A:B,2,FALSE)))+1)/VLOOKUP(B8202,'Poids des runes'!A:B,2,FALSE))</f>
        <v>25.943333333333332</v>
      </c>
      <c r="F8202">
        <f t="shared" si="128"/>
        <v>25.943333333333332</v>
      </c>
    </row>
    <row r="8203" spans="1:6" x14ac:dyDescent="0.3">
      <c r="A8203" t="s">
        <v>1396</v>
      </c>
      <c r="B8203" t="s">
        <v>2162</v>
      </c>
      <c r="C8203">
        <v>2.5</v>
      </c>
      <c r="D8203">
        <v>197</v>
      </c>
      <c r="E8203">
        <f>IF(OR(B8203="vi",B8203="ii",B8203="pod"),(((D8203/100)*(C8203*VLOOKUP(B8203,'Poids des runes'!A:B,2,FALSE)))+1),(((D8203/100)*(C8203*VLOOKUP(B8203,'Poids des runes'!A:B,2,FALSE)))+1)/VLOOKUP(B8203,'Poids des runes'!A:B,2,FALSE))</f>
        <v>5.0678571428571431</v>
      </c>
      <c r="F8203">
        <f t="shared" si="128"/>
        <v>5.0678571428571431</v>
      </c>
    </row>
    <row r="8204" spans="1:6" x14ac:dyDescent="0.3">
      <c r="A8204" t="s">
        <v>1396</v>
      </c>
      <c r="B8204" t="s">
        <v>2135</v>
      </c>
      <c r="C8204">
        <v>6.5</v>
      </c>
      <c r="D8204">
        <v>197</v>
      </c>
      <c r="E8204">
        <f>IF(OR(B8204="vi",B8204="ii",B8204="pod"),(((D8204/100)*(C8204*VLOOKUP(B8204,'Poids des runes'!A:B,2,FALSE)))+1),(((D8204/100)*(C8204*VLOOKUP(B8204,'Poids des runes'!A:B,2,FALSE)))+1)/VLOOKUP(B8204,'Poids des runes'!A:B,2,FALSE))</f>
        <v>12.971666666666666</v>
      </c>
      <c r="F8204">
        <f t="shared" si="128"/>
        <v>12.971666666666666</v>
      </c>
    </row>
    <row r="8205" spans="1:6" x14ac:dyDescent="0.3">
      <c r="A8205" t="s">
        <v>1396</v>
      </c>
      <c r="B8205" t="s">
        <v>2136</v>
      </c>
      <c r="C8205">
        <v>12.5</v>
      </c>
      <c r="D8205">
        <v>197</v>
      </c>
      <c r="E8205">
        <f>IF(OR(B8205="vi",B8205="ii",B8205="pod"),(((D8205/100)*(C8205*VLOOKUP(B8205,'Poids des runes'!A:B,2,FALSE)))+1),(((D8205/100)*(C8205*VLOOKUP(B8205,'Poids des runes'!A:B,2,FALSE)))+1)/VLOOKUP(B8205,'Poids des runes'!A:B,2,FALSE))</f>
        <v>25.125</v>
      </c>
      <c r="F8205">
        <f t="shared" si="128"/>
        <v>25.125</v>
      </c>
    </row>
    <row r="8206" spans="1:6" x14ac:dyDescent="0.3">
      <c r="A8206" t="s">
        <v>1396</v>
      </c>
      <c r="B8206" t="s">
        <v>2137</v>
      </c>
      <c r="C8206">
        <v>12.5</v>
      </c>
      <c r="D8206">
        <v>197</v>
      </c>
      <c r="E8206">
        <f>IF(OR(B8206="vi",B8206="ii",B8206="pod"),(((D8206/100)*(C8206*VLOOKUP(B8206,'Poids des runes'!A:B,2,FALSE)))+1),(((D8206/100)*(C8206*VLOOKUP(B8206,'Poids des runes'!A:B,2,FALSE)))+1)/VLOOKUP(B8206,'Poids des runes'!A:B,2,FALSE))</f>
        <v>25.125</v>
      </c>
      <c r="F8206">
        <f t="shared" si="128"/>
        <v>25.125</v>
      </c>
    </row>
    <row r="8207" spans="1:6" x14ac:dyDescent="0.3">
      <c r="A8207" t="s">
        <v>1396</v>
      </c>
      <c r="B8207" t="s">
        <v>2146</v>
      </c>
      <c r="C8207">
        <v>12.5</v>
      </c>
      <c r="D8207">
        <v>197</v>
      </c>
      <c r="E8207">
        <f>IF(OR(B8207="vi",B8207="ii",B8207="pod"),(((D8207/100)*(C8207*VLOOKUP(B8207,'Poids des runes'!A:B,2,FALSE)))+1),(((D8207/100)*(C8207*VLOOKUP(B8207,'Poids des runes'!A:B,2,FALSE)))+1)/VLOOKUP(B8207,'Poids des runes'!A:B,2,FALSE))</f>
        <v>25.125</v>
      </c>
      <c r="F8207">
        <f t="shared" si="128"/>
        <v>25.125</v>
      </c>
    </row>
    <row r="8208" spans="1:6" x14ac:dyDescent="0.3">
      <c r="A8208" t="s">
        <v>1397</v>
      </c>
      <c r="B8208" t="s">
        <v>2128</v>
      </c>
      <c r="C8208">
        <v>275.5</v>
      </c>
      <c r="D8208">
        <v>197</v>
      </c>
      <c r="E8208">
        <f>IF(OR(B8208="vi",B8208="ii",B8208="pod"),(((D8208/100)*(C8208*VLOOKUP(B8208,'Poids des runes'!A:B,2,FALSE)))+1),(((D8208/100)*(C8208*VLOOKUP(B8208,'Poids des runes'!A:B,2,FALSE)))+1)/VLOOKUP(B8208,'Poids des runes'!A:B,2,FALSE))</f>
        <v>109.547</v>
      </c>
      <c r="F8208">
        <f t="shared" si="128"/>
        <v>109.547</v>
      </c>
    </row>
    <row r="8209" spans="1:6" x14ac:dyDescent="0.3">
      <c r="A8209" t="s">
        <v>1397</v>
      </c>
      <c r="B8209" t="s">
        <v>2130</v>
      </c>
      <c r="C8209">
        <v>25.5</v>
      </c>
      <c r="D8209">
        <v>197</v>
      </c>
      <c r="E8209">
        <f>IF(OR(B8209="vi",B8209="ii",B8209="pod"),(((D8209/100)*(C8209*VLOOKUP(B8209,'Poids des runes'!A:B,2,FALSE)))+1),(((D8209/100)*(C8209*VLOOKUP(B8209,'Poids des runes'!A:B,2,FALSE)))+1)/VLOOKUP(B8209,'Poids des runes'!A:B,2,FALSE))</f>
        <v>51.234999999999999</v>
      </c>
      <c r="F8209">
        <f t="shared" si="128"/>
        <v>51.234999999999999</v>
      </c>
    </row>
    <row r="8210" spans="1:6" x14ac:dyDescent="0.3">
      <c r="A8210" t="s">
        <v>1397</v>
      </c>
      <c r="B8210" t="s">
        <v>2126</v>
      </c>
      <c r="C8210">
        <v>25.5</v>
      </c>
      <c r="D8210">
        <v>197</v>
      </c>
      <c r="E8210">
        <f>IF(OR(B8210="vi",B8210="ii",B8210="pod"),(((D8210/100)*(C8210*VLOOKUP(B8210,'Poids des runes'!A:B,2,FALSE)))+1),(((D8210/100)*(C8210*VLOOKUP(B8210,'Poids des runes'!A:B,2,FALSE)))+1)/VLOOKUP(B8210,'Poids des runes'!A:B,2,FALSE))</f>
        <v>51.234999999999999</v>
      </c>
      <c r="F8210">
        <f t="shared" si="128"/>
        <v>51.234999999999999</v>
      </c>
    </row>
    <row r="8211" spans="1:6" x14ac:dyDescent="0.3">
      <c r="A8211" t="s">
        <v>1397</v>
      </c>
      <c r="B8211" t="s">
        <v>2131</v>
      </c>
      <c r="C8211">
        <v>25.5</v>
      </c>
      <c r="D8211">
        <v>197</v>
      </c>
      <c r="E8211">
        <f>IF(OR(B8211="vi",B8211="ii",B8211="pod"),(((D8211/100)*(C8211*VLOOKUP(B8211,'Poids des runes'!A:B,2,FALSE)))+1),(((D8211/100)*(C8211*VLOOKUP(B8211,'Poids des runes'!A:B,2,FALSE)))+1)/VLOOKUP(B8211,'Poids des runes'!A:B,2,FALSE))</f>
        <v>51.234999999999999</v>
      </c>
      <c r="F8211">
        <f t="shared" si="128"/>
        <v>51.234999999999999</v>
      </c>
    </row>
    <row r="8212" spans="1:6" x14ac:dyDescent="0.3">
      <c r="A8212" t="s">
        <v>1397</v>
      </c>
      <c r="B8212" t="s">
        <v>2127</v>
      </c>
      <c r="C8212">
        <v>25.5</v>
      </c>
      <c r="D8212">
        <v>197</v>
      </c>
      <c r="E8212">
        <f>IF(OR(B8212="vi",B8212="ii",B8212="pod"),(((D8212/100)*(C8212*VLOOKUP(B8212,'Poids des runes'!A:B,2,FALSE)))+1),(((D8212/100)*(C8212*VLOOKUP(B8212,'Poids des runes'!A:B,2,FALSE)))+1)/VLOOKUP(B8212,'Poids des runes'!A:B,2,FALSE))</f>
        <v>51.234999999999999</v>
      </c>
      <c r="F8212">
        <f t="shared" si="128"/>
        <v>51.234999999999999</v>
      </c>
    </row>
    <row r="8213" spans="1:6" x14ac:dyDescent="0.3">
      <c r="A8213" t="s">
        <v>1397</v>
      </c>
      <c r="B8213" t="s">
        <v>2129</v>
      </c>
      <c r="C8213">
        <v>25.5</v>
      </c>
      <c r="D8213">
        <v>197</v>
      </c>
      <c r="E8213">
        <f>IF(OR(B8213="vi",B8213="ii",B8213="pod"),(((D8213/100)*(C8213*VLOOKUP(B8213,'Poids des runes'!A:B,2,FALSE)))+1),(((D8213/100)*(C8213*VLOOKUP(B8213,'Poids des runes'!A:B,2,FALSE)))+1)/VLOOKUP(B8213,'Poids des runes'!A:B,2,FALSE))</f>
        <v>51.234999999999999</v>
      </c>
      <c r="F8213">
        <f t="shared" si="128"/>
        <v>51.234999999999999</v>
      </c>
    </row>
    <row r="8214" spans="1:6" x14ac:dyDescent="0.3">
      <c r="A8214" t="s">
        <v>1397</v>
      </c>
      <c r="B8214" t="s">
        <v>2139</v>
      </c>
      <c r="C8214">
        <v>40.5</v>
      </c>
      <c r="D8214">
        <v>197</v>
      </c>
      <c r="E8214">
        <f>IF(OR(B8214="vi",B8214="ii",B8214="pod"),(((D8214/100)*(C8214*VLOOKUP(B8214,'Poids des runes'!A:B,2,FALSE)))+1),(((D8214/100)*(C8214*VLOOKUP(B8214,'Poids des runes'!A:B,2,FALSE)))+1)/VLOOKUP(B8214,'Poids des runes'!A:B,2,FALSE))</f>
        <v>80.284999999999997</v>
      </c>
      <c r="F8214">
        <f t="shared" si="128"/>
        <v>80.284999999999997</v>
      </c>
    </row>
    <row r="8215" spans="1:6" x14ac:dyDescent="0.3">
      <c r="A8215" t="s">
        <v>1397</v>
      </c>
      <c r="B8215" t="s">
        <v>2154</v>
      </c>
      <c r="C8215">
        <v>1</v>
      </c>
      <c r="D8215">
        <v>197</v>
      </c>
      <c r="E8215">
        <f>IF(OR(B8215="vi",B8215="ii",B8215="pod"),(((D8215/100)*(C8215*VLOOKUP(B8215,'Poids des runes'!A:B,2,FALSE)))+1),(((D8215/100)*(C8215*VLOOKUP(B8215,'Poids des runes'!A:B,2,FALSE)))+1)/VLOOKUP(B8215,'Poids des runes'!A:B,2,FALSE))</f>
        <v>1.9811111111111113</v>
      </c>
      <c r="F8215">
        <f t="shared" si="128"/>
        <v>1.9811111111111113</v>
      </c>
    </row>
    <row r="8216" spans="1:6" x14ac:dyDescent="0.3">
      <c r="A8216" t="s">
        <v>1397</v>
      </c>
      <c r="B8216" t="s">
        <v>2143</v>
      </c>
      <c r="C8216">
        <v>8.5</v>
      </c>
      <c r="D8216">
        <v>197</v>
      </c>
      <c r="E8216">
        <f>IF(OR(B8216="vi",B8216="ii",B8216="pod"),(((D8216/100)*(C8216*VLOOKUP(B8216,'Poids des runes'!A:B,2,FALSE)))+1),(((D8216/100)*(C8216*VLOOKUP(B8216,'Poids des runes'!A:B,2,FALSE)))+1)/VLOOKUP(B8216,'Poids des runes'!A:B,2,FALSE))</f>
        <v>16.945</v>
      </c>
      <c r="F8216">
        <f t="shared" si="128"/>
        <v>16.945</v>
      </c>
    </row>
    <row r="8217" spans="1:6" x14ac:dyDescent="0.3">
      <c r="A8217" t="s">
        <v>1397</v>
      </c>
      <c r="B8217" t="s">
        <v>2140</v>
      </c>
      <c r="C8217">
        <v>8.5</v>
      </c>
      <c r="D8217">
        <v>197</v>
      </c>
      <c r="E8217">
        <f>IF(OR(B8217="vi",B8217="ii",B8217="pod"),(((D8217/100)*(C8217*VLOOKUP(B8217,'Poids des runes'!A:B,2,FALSE)))+1),(((D8217/100)*(C8217*VLOOKUP(B8217,'Poids des runes'!A:B,2,FALSE)))+1)/VLOOKUP(B8217,'Poids des runes'!A:B,2,FALSE))</f>
        <v>16.945</v>
      </c>
      <c r="F8217">
        <f t="shared" si="128"/>
        <v>16.945</v>
      </c>
    </row>
    <row r="8218" spans="1:6" x14ac:dyDescent="0.3">
      <c r="A8218" t="s">
        <v>1397</v>
      </c>
      <c r="B8218" t="s">
        <v>2133</v>
      </c>
      <c r="C8218">
        <v>8.5</v>
      </c>
      <c r="D8218">
        <v>197</v>
      </c>
      <c r="E8218">
        <f>IF(OR(B8218="vi",B8218="ii",B8218="pod"),(((D8218/100)*(C8218*VLOOKUP(B8218,'Poids des runes'!A:B,2,FALSE)))+1),(((D8218/100)*(C8218*VLOOKUP(B8218,'Poids des runes'!A:B,2,FALSE)))+1)/VLOOKUP(B8218,'Poids des runes'!A:B,2,FALSE))</f>
        <v>16.945</v>
      </c>
      <c r="F8218">
        <f t="shared" si="128"/>
        <v>16.945</v>
      </c>
    </row>
    <row r="8219" spans="1:6" x14ac:dyDescent="0.3">
      <c r="A8219" t="s">
        <v>1397</v>
      </c>
      <c r="B8219" t="s">
        <v>2153</v>
      </c>
      <c r="C8219">
        <v>8.5</v>
      </c>
      <c r="D8219">
        <v>197</v>
      </c>
      <c r="E8219">
        <f>IF(OR(B8219="vi",B8219="ii",B8219="pod"),(((D8219/100)*(C8219*VLOOKUP(B8219,'Poids des runes'!A:B,2,FALSE)))+1),(((D8219/100)*(C8219*VLOOKUP(B8219,'Poids des runes'!A:B,2,FALSE)))+1)/VLOOKUP(B8219,'Poids des runes'!A:B,2,FALSE))</f>
        <v>16.945</v>
      </c>
      <c r="F8219">
        <f t="shared" si="128"/>
        <v>16.945</v>
      </c>
    </row>
    <row r="8220" spans="1:6" x14ac:dyDescent="0.3">
      <c r="A8220" t="s">
        <v>1397</v>
      </c>
      <c r="B8220" t="s">
        <v>2161</v>
      </c>
      <c r="C8220">
        <v>13</v>
      </c>
      <c r="D8220">
        <v>197</v>
      </c>
      <c r="E8220">
        <f>IF(OR(B8220="vi",B8220="ii",B8220="pod"),(((D8220/100)*(C8220*VLOOKUP(B8220,'Poids des runes'!A:B,2,FALSE)))+1),(((D8220/100)*(C8220*VLOOKUP(B8220,'Poids des runes'!A:B,2,FALSE)))+1)/VLOOKUP(B8220,'Poids des runes'!A:B,2,FALSE))</f>
        <v>25.943333333333332</v>
      </c>
      <c r="F8220">
        <f t="shared" si="128"/>
        <v>25.943333333333332</v>
      </c>
    </row>
    <row r="8221" spans="1:6" x14ac:dyDescent="0.3">
      <c r="A8221" t="s">
        <v>1397</v>
      </c>
      <c r="B8221" t="s">
        <v>2163</v>
      </c>
      <c r="C8221">
        <v>25.5</v>
      </c>
      <c r="D8221">
        <v>197</v>
      </c>
      <c r="E8221">
        <f>IF(OR(B8221="vi",B8221="ii",B8221="pod"),(((D8221/100)*(C8221*VLOOKUP(B8221,'Poids des runes'!A:B,2,FALSE)))+1),(((D8221/100)*(C8221*VLOOKUP(B8221,'Poids des runes'!A:B,2,FALSE)))+1)/VLOOKUP(B8221,'Poids des runes'!A:B,2,FALSE))</f>
        <v>50.734999999999999</v>
      </c>
      <c r="F8221">
        <f t="shared" si="128"/>
        <v>50.734999999999999</v>
      </c>
    </row>
    <row r="8222" spans="1:6" x14ac:dyDescent="0.3">
      <c r="A8222" t="s">
        <v>1398</v>
      </c>
      <c r="B8222" t="s">
        <v>2128</v>
      </c>
      <c r="C8222">
        <v>275.5</v>
      </c>
      <c r="D8222">
        <v>197</v>
      </c>
      <c r="E8222">
        <f>IF(OR(B8222="vi",B8222="ii",B8222="pod"),(((D8222/100)*(C8222*VLOOKUP(B8222,'Poids des runes'!A:B,2,FALSE)))+1),(((D8222/100)*(C8222*VLOOKUP(B8222,'Poids des runes'!A:B,2,FALSE)))+1)/VLOOKUP(B8222,'Poids des runes'!A:B,2,FALSE))</f>
        <v>109.547</v>
      </c>
      <c r="F8222">
        <f t="shared" si="128"/>
        <v>109.547</v>
      </c>
    </row>
    <row r="8223" spans="1:6" x14ac:dyDescent="0.3">
      <c r="A8223" t="s">
        <v>1398</v>
      </c>
      <c r="B8223" t="s">
        <v>2126</v>
      </c>
      <c r="C8223">
        <v>40.5</v>
      </c>
      <c r="D8223">
        <v>197</v>
      </c>
      <c r="E8223">
        <f>IF(OR(B8223="vi",B8223="ii",B8223="pod"),(((D8223/100)*(C8223*VLOOKUP(B8223,'Poids des runes'!A:B,2,FALSE)))+1),(((D8223/100)*(C8223*VLOOKUP(B8223,'Poids des runes'!A:B,2,FALSE)))+1)/VLOOKUP(B8223,'Poids des runes'!A:B,2,FALSE))</f>
        <v>80.784999999999997</v>
      </c>
      <c r="F8223">
        <f t="shared" si="128"/>
        <v>80.784999999999997</v>
      </c>
    </row>
    <row r="8224" spans="1:6" x14ac:dyDescent="0.3">
      <c r="A8224" t="s">
        <v>1398</v>
      </c>
      <c r="B8224" t="s">
        <v>2131</v>
      </c>
      <c r="C8224">
        <v>40.5</v>
      </c>
      <c r="D8224">
        <v>197</v>
      </c>
      <c r="E8224">
        <f>IF(OR(B8224="vi",B8224="ii",B8224="pod"),(((D8224/100)*(C8224*VLOOKUP(B8224,'Poids des runes'!A:B,2,FALSE)))+1),(((D8224/100)*(C8224*VLOOKUP(B8224,'Poids des runes'!A:B,2,FALSE)))+1)/VLOOKUP(B8224,'Poids des runes'!A:B,2,FALSE))</f>
        <v>80.784999999999997</v>
      </c>
      <c r="F8224">
        <f t="shared" si="128"/>
        <v>80.784999999999997</v>
      </c>
    </row>
    <row r="8225" spans="1:6" x14ac:dyDescent="0.3">
      <c r="A8225" t="s">
        <v>1398</v>
      </c>
      <c r="B8225" t="s">
        <v>2127</v>
      </c>
      <c r="C8225">
        <v>40.5</v>
      </c>
      <c r="D8225">
        <v>197</v>
      </c>
      <c r="E8225">
        <f>IF(OR(B8225="vi",B8225="ii",B8225="pod"),(((D8225/100)*(C8225*VLOOKUP(B8225,'Poids des runes'!A:B,2,FALSE)))+1),(((D8225/100)*(C8225*VLOOKUP(B8225,'Poids des runes'!A:B,2,FALSE)))+1)/VLOOKUP(B8225,'Poids des runes'!A:B,2,FALSE))</f>
        <v>80.784999999999997</v>
      </c>
      <c r="F8225">
        <f t="shared" si="128"/>
        <v>80.784999999999997</v>
      </c>
    </row>
    <row r="8226" spans="1:6" x14ac:dyDescent="0.3">
      <c r="A8226" t="s">
        <v>1398</v>
      </c>
      <c r="B8226" t="s">
        <v>2129</v>
      </c>
      <c r="C8226">
        <v>35.5</v>
      </c>
      <c r="D8226">
        <v>197</v>
      </c>
      <c r="E8226">
        <f>IF(OR(B8226="vi",B8226="ii",B8226="pod"),(((D8226/100)*(C8226*VLOOKUP(B8226,'Poids des runes'!A:B,2,FALSE)))+1),(((D8226/100)*(C8226*VLOOKUP(B8226,'Poids des runes'!A:B,2,FALSE)))+1)/VLOOKUP(B8226,'Poids des runes'!A:B,2,FALSE))</f>
        <v>70.935000000000002</v>
      </c>
      <c r="F8226">
        <f t="shared" si="128"/>
        <v>70.935000000000002</v>
      </c>
    </row>
    <row r="8227" spans="1:6" x14ac:dyDescent="0.3">
      <c r="A8227" t="s">
        <v>1398</v>
      </c>
      <c r="B8227" t="s">
        <v>2151</v>
      </c>
      <c r="C8227">
        <v>4.5</v>
      </c>
      <c r="D8227">
        <v>197</v>
      </c>
      <c r="E8227">
        <f>IF(OR(B8227="vi",B8227="ii",B8227="pod"),(((D8227/100)*(C8227*VLOOKUP(B8227,'Poids des runes'!A:B,2,FALSE)))+1),(((D8227/100)*(C8227*VLOOKUP(B8227,'Poids des runes'!A:B,2,FALSE)))+1)/VLOOKUP(B8227,'Poids des runes'!A:B,2,FALSE))</f>
        <v>8.9649999999999999</v>
      </c>
      <c r="F8227">
        <f t="shared" si="128"/>
        <v>8.9649999999999999</v>
      </c>
    </row>
    <row r="8228" spans="1:6" x14ac:dyDescent="0.3">
      <c r="A8228" t="s">
        <v>1398</v>
      </c>
      <c r="B8228" t="s">
        <v>2140</v>
      </c>
      <c r="C8228">
        <v>10</v>
      </c>
      <c r="D8228">
        <v>197</v>
      </c>
      <c r="E8228">
        <f>IF(OR(B8228="vi",B8228="ii",B8228="pod"),(((D8228/100)*(C8228*VLOOKUP(B8228,'Poids des runes'!A:B,2,FALSE)))+1),(((D8228/100)*(C8228*VLOOKUP(B8228,'Poids des runes'!A:B,2,FALSE)))+1)/VLOOKUP(B8228,'Poids des runes'!A:B,2,FALSE))</f>
        <v>19.899999999999999</v>
      </c>
      <c r="F8228">
        <f t="shared" si="128"/>
        <v>19.899999999999999</v>
      </c>
    </row>
    <row r="8229" spans="1:6" x14ac:dyDescent="0.3">
      <c r="A8229" t="s">
        <v>1398</v>
      </c>
      <c r="B8229" t="s">
        <v>2133</v>
      </c>
      <c r="C8229">
        <v>10</v>
      </c>
      <c r="D8229">
        <v>197</v>
      </c>
      <c r="E8229">
        <f>IF(OR(B8229="vi",B8229="ii",B8229="pod"),(((D8229/100)*(C8229*VLOOKUP(B8229,'Poids des runes'!A:B,2,FALSE)))+1),(((D8229/100)*(C8229*VLOOKUP(B8229,'Poids des runes'!A:B,2,FALSE)))+1)/VLOOKUP(B8229,'Poids des runes'!A:B,2,FALSE))</f>
        <v>19.899999999999999</v>
      </c>
      <c r="F8229">
        <f t="shared" si="128"/>
        <v>19.899999999999999</v>
      </c>
    </row>
    <row r="8230" spans="1:6" x14ac:dyDescent="0.3">
      <c r="A8230" t="s">
        <v>1398</v>
      </c>
      <c r="B8230" t="s">
        <v>2153</v>
      </c>
      <c r="C8230">
        <v>10</v>
      </c>
      <c r="D8230">
        <v>197</v>
      </c>
      <c r="E8230">
        <f>IF(OR(B8230="vi",B8230="ii",B8230="pod"),(((D8230/100)*(C8230*VLOOKUP(B8230,'Poids des runes'!A:B,2,FALSE)))+1),(((D8230/100)*(C8230*VLOOKUP(B8230,'Poids des runes'!A:B,2,FALSE)))+1)/VLOOKUP(B8230,'Poids des runes'!A:B,2,FALSE))</f>
        <v>19.899999999999999</v>
      </c>
      <c r="F8230">
        <f t="shared" si="128"/>
        <v>19.899999999999999</v>
      </c>
    </row>
    <row r="8231" spans="1:6" x14ac:dyDescent="0.3">
      <c r="A8231" t="s">
        <v>1398</v>
      </c>
      <c r="B8231" t="s">
        <v>2149</v>
      </c>
      <c r="C8231">
        <v>8.5</v>
      </c>
      <c r="D8231">
        <v>197</v>
      </c>
      <c r="E8231">
        <f>IF(OR(B8231="vi",B8231="ii",B8231="pod"),(((D8231/100)*(C8231*VLOOKUP(B8231,'Poids des runes'!A:B,2,FALSE)))+1),(((D8231/100)*(C8231*VLOOKUP(B8231,'Poids des runes'!A:B,2,FALSE)))+1)/VLOOKUP(B8231,'Poids des runes'!A:B,2,FALSE))</f>
        <v>16.844999999999999</v>
      </c>
      <c r="F8231">
        <f t="shared" si="128"/>
        <v>16.844999999999999</v>
      </c>
    </row>
    <row r="8232" spans="1:6" x14ac:dyDescent="0.3">
      <c r="A8232" t="s">
        <v>1398</v>
      </c>
      <c r="B8232" t="s">
        <v>2141</v>
      </c>
      <c r="C8232">
        <v>4.5</v>
      </c>
      <c r="D8232">
        <v>197</v>
      </c>
      <c r="E8232">
        <f>IF(OR(B8232="vi",B8232="ii",B8232="pod"),(((D8232/100)*(C8232*VLOOKUP(B8232,'Poids des runes'!A:B,2,FALSE)))+1),(((D8232/100)*(C8232*VLOOKUP(B8232,'Poids des runes'!A:B,2,FALSE)))+1)/VLOOKUP(B8232,'Poids des runes'!A:B,2,FALSE))</f>
        <v>9.1150000000000002</v>
      </c>
      <c r="F8232">
        <f t="shared" si="128"/>
        <v>9.1150000000000002</v>
      </c>
    </row>
    <row r="8233" spans="1:6" x14ac:dyDescent="0.3">
      <c r="A8233" t="s">
        <v>1398</v>
      </c>
      <c r="B8233" t="s">
        <v>2160</v>
      </c>
      <c r="C8233">
        <v>4.5</v>
      </c>
      <c r="D8233">
        <v>197</v>
      </c>
      <c r="E8233">
        <f>IF(OR(B8233="vi",B8233="ii",B8233="pod"),(((D8233/100)*(C8233*VLOOKUP(B8233,'Poids des runes'!A:B,2,FALSE)))+1),(((D8233/100)*(C8233*VLOOKUP(B8233,'Poids des runes'!A:B,2,FALSE)))+1)/VLOOKUP(B8233,'Poids des runes'!A:B,2,FALSE))</f>
        <v>9.0078571428571426</v>
      </c>
      <c r="F8233">
        <f t="shared" si="128"/>
        <v>9.0078571428571426</v>
      </c>
    </row>
    <row r="8234" spans="1:6" x14ac:dyDescent="0.3">
      <c r="A8234" t="s">
        <v>1398</v>
      </c>
      <c r="B8234" t="s">
        <v>2148</v>
      </c>
      <c r="C8234">
        <v>6</v>
      </c>
      <c r="D8234">
        <v>197</v>
      </c>
      <c r="E8234">
        <f>IF(OR(B8234="vi",B8234="ii",B8234="pod"),(((D8234/100)*(C8234*VLOOKUP(B8234,'Poids des runes'!A:B,2,FALSE)))+1),(((D8234/100)*(C8234*VLOOKUP(B8234,'Poids des runes'!A:B,2,FALSE)))+1)/VLOOKUP(B8234,'Poids des runes'!A:B,2,FALSE))</f>
        <v>11.986666666666666</v>
      </c>
      <c r="F8234">
        <f t="shared" si="128"/>
        <v>11.986666666666666</v>
      </c>
    </row>
    <row r="8235" spans="1:6" x14ac:dyDescent="0.3">
      <c r="A8235" t="s">
        <v>1398</v>
      </c>
      <c r="B8235" t="s">
        <v>2144</v>
      </c>
      <c r="C8235">
        <v>10</v>
      </c>
      <c r="D8235">
        <v>197</v>
      </c>
      <c r="E8235">
        <f>IF(OR(B8235="vi",B8235="ii",B8235="pod"),(((D8235/100)*(C8235*VLOOKUP(B8235,'Poids des runes'!A:B,2,FALSE)))+1),(((D8235/100)*(C8235*VLOOKUP(B8235,'Poids des runes'!A:B,2,FALSE)))+1)/VLOOKUP(B8235,'Poids des runes'!A:B,2,FALSE))</f>
        <v>20.2</v>
      </c>
      <c r="F8235">
        <f t="shared" si="128"/>
        <v>20.2</v>
      </c>
    </row>
    <row r="8236" spans="1:6" x14ac:dyDescent="0.3">
      <c r="A8236" t="s">
        <v>1398</v>
      </c>
      <c r="B8236" t="s">
        <v>2145</v>
      </c>
      <c r="C8236">
        <v>10</v>
      </c>
      <c r="D8236">
        <v>197</v>
      </c>
      <c r="E8236">
        <f>IF(OR(B8236="vi",B8236="ii",B8236="pod"),(((D8236/100)*(C8236*VLOOKUP(B8236,'Poids des runes'!A:B,2,FALSE)))+1),(((D8236/100)*(C8236*VLOOKUP(B8236,'Poids des runes'!A:B,2,FALSE)))+1)/VLOOKUP(B8236,'Poids des runes'!A:B,2,FALSE))</f>
        <v>20.2</v>
      </c>
      <c r="F8236">
        <f t="shared" si="128"/>
        <v>20.2</v>
      </c>
    </row>
    <row r="8237" spans="1:6" x14ac:dyDescent="0.3">
      <c r="A8237" t="s">
        <v>1398</v>
      </c>
      <c r="B8237" t="s">
        <v>2146</v>
      </c>
      <c r="C8237">
        <v>10</v>
      </c>
      <c r="D8237">
        <v>197</v>
      </c>
      <c r="E8237">
        <f>IF(OR(B8237="vi",B8237="ii",B8237="pod"),(((D8237/100)*(C8237*VLOOKUP(B8237,'Poids des runes'!A:B,2,FALSE)))+1),(((D8237/100)*(C8237*VLOOKUP(B8237,'Poids des runes'!A:B,2,FALSE)))+1)/VLOOKUP(B8237,'Poids des runes'!A:B,2,FALSE))</f>
        <v>20.2</v>
      </c>
      <c r="F8237">
        <f t="shared" si="128"/>
        <v>20.2</v>
      </c>
    </row>
    <row r="8238" spans="1:6" x14ac:dyDescent="0.3">
      <c r="A8238" t="s">
        <v>1399</v>
      </c>
      <c r="B8238" t="s">
        <v>2128</v>
      </c>
      <c r="C8238">
        <v>275.5</v>
      </c>
      <c r="D8238">
        <v>197</v>
      </c>
      <c r="E8238">
        <f>IF(OR(B8238="vi",B8238="ii",B8238="pod"),(((D8238/100)*(C8238*VLOOKUP(B8238,'Poids des runes'!A:B,2,FALSE)))+1),(((D8238/100)*(C8238*VLOOKUP(B8238,'Poids des runes'!A:B,2,FALSE)))+1)/VLOOKUP(B8238,'Poids des runes'!A:B,2,FALSE))</f>
        <v>109.547</v>
      </c>
      <c r="F8238">
        <f t="shared" si="128"/>
        <v>109.547</v>
      </c>
    </row>
    <row r="8239" spans="1:6" x14ac:dyDescent="0.3">
      <c r="A8239" t="s">
        <v>1399</v>
      </c>
      <c r="B8239" t="s">
        <v>2126</v>
      </c>
      <c r="C8239">
        <v>50.5</v>
      </c>
      <c r="D8239">
        <v>197</v>
      </c>
      <c r="E8239">
        <f>IF(OR(B8239="vi",B8239="ii",B8239="pod"),(((D8239/100)*(C8239*VLOOKUP(B8239,'Poids des runes'!A:B,2,FALSE)))+1),(((D8239/100)*(C8239*VLOOKUP(B8239,'Poids des runes'!A:B,2,FALSE)))+1)/VLOOKUP(B8239,'Poids des runes'!A:B,2,FALSE))</f>
        <v>100.485</v>
      </c>
      <c r="F8239">
        <f t="shared" si="128"/>
        <v>100.485</v>
      </c>
    </row>
    <row r="8240" spans="1:6" x14ac:dyDescent="0.3">
      <c r="A8240" t="s">
        <v>1399</v>
      </c>
      <c r="B8240" t="s">
        <v>2131</v>
      </c>
      <c r="C8240">
        <v>50.5</v>
      </c>
      <c r="D8240">
        <v>197</v>
      </c>
      <c r="E8240">
        <f>IF(OR(B8240="vi",B8240="ii",B8240="pod"),(((D8240/100)*(C8240*VLOOKUP(B8240,'Poids des runes'!A:B,2,FALSE)))+1),(((D8240/100)*(C8240*VLOOKUP(B8240,'Poids des runes'!A:B,2,FALSE)))+1)/VLOOKUP(B8240,'Poids des runes'!A:B,2,FALSE))</f>
        <v>100.485</v>
      </c>
      <c r="F8240">
        <f t="shared" si="128"/>
        <v>100.485</v>
      </c>
    </row>
    <row r="8241" spans="1:6" x14ac:dyDescent="0.3">
      <c r="A8241" t="s">
        <v>1399</v>
      </c>
      <c r="B8241" t="s">
        <v>2129</v>
      </c>
      <c r="C8241">
        <v>25.5</v>
      </c>
      <c r="D8241">
        <v>197</v>
      </c>
      <c r="E8241">
        <f>IF(OR(B8241="vi",B8241="ii",B8241="pod"),(((D8241/100)*(C8241*VLOOKUP(B8241,'Poids des runes'!A:B,2,FALSE)))+1),(((D8241/100)*(C8241*VLOOKUP(B8241,'Poids des runes'!A:B,2,FALSE)))+1)/VLOOKUP(B8241,'Poids des runes'!A:B,2,FALSE))</f>
        <v>51.234999999999999</v>
      </c>
      <c r="F8241">
        <f t="shared" si="128"/>
        <v>51.234999999999999</v>
      </c>
    </row>
    <row r="8242" spans="1:6" x14ac:dyDescent="0.3">
      <c r="A8242" t="s">
        <v>1399</v>
      </c>
      <c r="B8242" t="s">
        <v>2151</v>
      </c>
      <c r="C8242">
        <v>4</v>
      </c>
      <c r="D8242">
        <v>197</v>
      </c>
      <c r="E8242">
        <f>IF(OR(B8242="vi",B8242="ii",B8242="pod"),(((D8242/100)*(C8242*VLOOKUP(B8242,'Poids des runes'!A:B,2,FALSE)))+1),(((D8242/100)*(C8242*VLOOKUP(B8242,'Poids des runes'!A:B,2,FALSE)))+1)/VLOOKUP(B8242,'Poids des runes'!A:B,2,FALSE))</f>
        <v>7.9799999999999995</v>
      </c>
      <c r="F8242">
        <f t="shared" si="128"/>
        <v>7.9799999999999995</v>
      </c>
    </row>
    <row r="8243" spans="1:6" x14ac:dyDescent="0.3">
      <c r="A8243" t="s">
        <v>1399</v>
      </c>
      <c r="B8243" t="s">
        <v>2140</v>
      </c>
      <c r="C8243">
        <v>13</v>
      </c>
      <c r="D8243">
        <v>197</v>
      </c>
      <c r="E8243">
        <f>IF(OR(B8243="vi",B8243="ii",B8243="pod"),(((D8243/100)*(C8243*VLOOKUP(B8243,'Poids des runes'!A:B,2,FALSE)))+1),(((D8243/100)*(C8243*VLOOKUP(B8243,'Poids des runes'!A:B,2,FALSE)))+1)/VLOOKUP(B8243,'Poids des runes'!A:B,2,FALSE))</f>
        <v>25.810000000000002</v>
      </c>
      <c r="F8243">
        <f t="shared" si="128"/>
        <v>25.810000000000002</v>
      </c>
    </row>
    <row r="8244" spans="1:6" x14ac:dyDescent="0.3">
      <c r="A8244" t="s">
        <v>1399</v>
      </c>
      <c r="B8244" t="s">
        <v>2133</v>
      </c>
      <c r="C8244">
        <v>13</v>
      </c>
      <c r="D8244">
        <v>197</v>
      </c>
      <c r="E8244">
        <f>IF(OR(B8244="vi",B8244="ii",B8244="pod"),(((D8244/100)*(C8244*VLOOKUP(B8244,'Poids des runes'!A:B,2,FALSE)))+1),(((D8244/100)*(C8244*VLOOKUP(B8244,'Poids des runes'!A:B,2,FALSE)))+1)/VLOOKUP(B8244,'Poids des runes'!A:B,2,FALSE))</f>
        <v>25.810000000000002</v>
      </c>
      <c r="F8244">
        <f t="shared" si="128"/>
        <v>25.810000000000002</v>
      </c>
    </row>
    <row r="8245" spans="1:6" x14ac:dyDescent="0.3">
      <c r="A8245" t="s">
        <v>1399</v>
      </c>
      <c r="B8245" t="s">
        <v>2161</v>
      </c>
      <c r="C8245">
        <v>18</v>
      </c>
      <c r="D8245">
        <v>197</v>
      </c>
      <c r="E8245">
        <f>IF(OR(B8245="vi",B8245="ii",B8245="pod"),(((D8245/100)*(C8245*VLOOKUP(B8245,'Poids des runes'!A:B,2,FALSE)))+1),(((D8245/100)*(C8245*VLOOKUP(B8245,'Poids des runes'!A:B,2,FALSE)))+1)/VLOOKUP(B8245,'Poids des runes'!A:B,2,FALSE))</f>
        <v>35.793333333333329</v>
      </c>
      <c r="F8245">
        <f t="shared" si="128"/>
        <v>35.793333333333329</v>
      </c>
    </row>
    <row r="8246" spans="1:6" x14ac:dyDescent="0.3">
      <c r="A8246" t="s">
        <v>1399</v>
      </c>
      <c r="B8246" t="s">
        <v>2159</v>
      </c>
      <c r="C8246">
        <v>3.5</v>
      </c>
      <c r="D8246">
        <v>197</v>
      </c>
      <c r="E8246">
        <f>IF(OR(B8246="vi",B8246="ii",B8246="pod"),(((D8246/100)*(C8246*VLOOKUP(B8246,'Poids des runes'!A:B,2,FALSE)))+1),(((D8246/100)*(C8246*VLOOKUP(B8246,'Poids des runes'!A:B,2,FALSE)))+1)/VLOOKUP(B8246,'Poids des runes'!A:B,2,FALSE))</f>
        <v>7.0378571428571428</v>
      </c>
      <c r="F8246">
        <f t="shared" si="128"/>
        <v>7.0378571428571428</v>
      </c>
    </row>
    <row r="8247" spans="1:6" x14ac:dyDescent="0.3">
      <c r="A8247" t="s">
        <v>1399</v>
      </c>
      <c r="B8247" t="s">
        <v>2156</v>
      </c>
      <c r="C8247">
        <v>6.5</v>
      </c>
      <c r="D8247">
        <v>197</v>
      </c>
      <c r="E8247">
        <f>IF(OR(B8247="vi",B8247="ii",B8247="pod"),(((D8247/100)*(C8247*VLOOKUP(B8247,'Poids des runes'!A:B,2,FALSE)))+1),(((D8247/100)*(C8247*VLOOKUP(B8247,'Poids des runes'!A:B,2,FALSE)))+1)/VLOOKUP(B8247,'Poids des runes'!A:B,2,FALSE))</f>
        <v>12.971666666666666</v>
      </c>
      <c r="F8247">
        <f t="shared" si="128"/>
        <v>12.971666666666666</v>
      </c>
    </row>
    <row r="8248" spans="1:6" x14ac:dyDescent="0.3">
      <c r="A8248" t="s">
        <v>1399</v>
      </c>
      <c r="B8248" t="s">
        <v>2135</v>
      </c>
      <c r="C8248">
        <v>6.5</v>
      </c>
      <c r="D8248">
        <v>197</v>
      </c>
      <c r="E8248">
        <f>IF(OR(B8248="vi",B8248="ii",B8248="pod"),(((D8248/100)*(C8248*VLOOKUP(B8248,'Poids des runes'!A:B,2,FALSE)))+1),(((D8248/100)*(C8248*VLOOKUP(B8248,'Poids des runes'!A:B,2,FALSE)))+1)/VLOOKUP(B8248,'Poids des runes'!A:B,2,FALSE))</f>
        <v>12.971666666666666</v>
      </c>
      <c r="F8248">
        <f t="shared" si="128"/>
        <v>12.971666666666666</v>
      </c>
    </row>
    <row r="8249" spans="1:6" x14ac:dyDescent="0.3">
      <c r="A8249" t="s">
        <v>1399</v>
      </c>
      <c r="B8249" t="s">
        <v>2146</v>
      </c>
      <c r="C8249">
        <v>13</v>
      </c>
      <c r="D8249">
        <v>197</v>
      </c>
      <c r="E8249">
        <f>IF(OR(B8249="vi",B8249="ii",B8249="pod"),(((D8249/100)*(C8249*VLOOKUP(B8249,'Poids des runes'!A:B,2,FALSE)))+1),(((D8249/100)*(C8249*VLOOKUP(B8249,'Poids des runes'!A:B,2,FALSE)))+1)/VLOOKUP(B8249,'Poids des runes'!A:B,2,FALSE))</f>
        <v>26.11</v>
      </c>
      <c r="F8249">
        <f t="shared" si="128"/>
        <v>26.11</v>
      </c>
    </row>
    <row r="8250" spans="1:6" x14ac:dyDescent="0.3">
      <c r="A8250" t="s">
        <v>1400</v>
      </c>
      <c r="B8250" t="s">
        <v>2128</v>
      </c>
      <c r="C8250">
        <v>175.5</v>
      </c>
      <c r="D8250">
        <v>197</v>
      </c>
      <c r="E8250">
        <f>IF(OR(B8250="vi",B8250="ii",B8250="pod"),(((D8250/100)*(C8250*VLOOKUP(B8250,'Poids des runes'!A:B,2,FALSE)))+1),(((D8250/100)*(C8250*VLOOKUP(B8250,'Poids des runes'!A:B,2,FALSE)))+1)/VLOOKUP(B8250,'Poids des runes'!A:B,2,FALSE))</f>
        <v>70.147000000000006</v>
      </c>
      <c r="F8250">
        <f t="shared" si="128"/>
        <v>70.147000000000006</v>
      </c>
    </row>
    <row r="8251" spans="1:6" x14ac:dyDescent="0.3">
      <c r="A8251" t="s">
        <v>1400</v>
      </c>
      <c r="B8251" t="s">
        <v>2131</v>
      </c>
      <c r="C8251">
        <v>45.5</v>
      </c>
      <c r="D8251">
        <v>197</v>
      </c>
      <c r="E8251">
        <f>IF(OR(B8251="vi",B8251="ii",B8251="pod"),(((D8251/100)*(C8251*VLOOKUP(B8251,'Poids des runes'!A:B,2,FALSE)))+1),(((D8251/100)*(C8251*VLOOKUP(B8251,'Poids des runes'!A:B,2,FALSE)))+1)/VLOOKUP(B8251,'Poids des runes'!A:B,2,FALSE))</f>
        <v>90.635000000000005</v>
      </c>
      <c r="F8251">
        <f t="shared" si="128"/>
        <v>90.635000000000005</v>
      </c>
    </row>
    <row r="8252" spans="1:6" x14ac:dyDescent="0.3">
      <c r="A8252" t="s">
        <v>1400</v>
      </c>
      <c r="B8252" t="s">
        <v>2127</v>
      </c>
      <c r="C8252">
        <v>45.5</v>
      </c>
      <c r="D8252">
        <v>197</v>
      </c>
      <c r="E8252">
        <f>IF(OR(B8252="vi",B8252="ii",B8252="pod"),(((D8252/100)*(C8252*VLOOKUP(B8252,'Poids des runes'!A:B,2,FALSE)))+1),(((D8252/100)*(C8252*VLOOKUP(B8252,'Poids des runes'!A:B,2,FALSE)))+1)/VLOOKUP(B8252,'Poids des runes'!A:B,2,FALSE))</f>
        <v>90.635000000000005</v>
      </c>
      <c r="F8252">
        <f t="shared" si="128"/>
        <v>90.635000000000005</v>
      </c>
    </row>
    <row r="8253" spans="1:6" x14ac:dyDescent="0.3">
      <c r="A8253" t="s">
        <v>1400</v>
      </c>
      <c r="B8253" t="s">
        <v>2129</v>
      </c>
      <c r="C8253">
        <v>35.5</v>
      </c>
      <c r="D8253">
        <v>197</v>
      </c>
      <c r="E8253">
        <f>IF(OR(B8253="vi",B8253="ii",B8253="pod"),(((D8253/100)*(C8253*VLOOKUP(B8253,'Poids des runes'!A:B,2,FALSE)))+1),(((D8253/100)*(C8253*VLOOKUP(B8253,'Poids des runes'!A:B,2,FALSE)))+1)/VLOOKUP(B8253,'Poids des runes'!A:B,2,FALSE))</f>
        <v>70.935000000000002</v>
      </c>
      <c r="F8253">
        <f t="shared" si="128"/>
        <v>70.935000000000002</v>
      </c>
    </row>
    <row r="8254" spans="1:6" x14ac:dyDescent="0.3">
      <c r="A8254" t="s">
        <v>1400</v>
      </c>
      <c r="B8254" t="s">
        <v>2155</v>
      </c>
      <c r="C8254">
        <v>1</v>
      </c>
      <c r="D8254">
        <v>197</v>
      </c>
      <c r="E8254">
        <f>IF(OR(B8254="vi",B8254="ii",B8254="pod"),(((D8254/100)*(C8254*VLOOKUP(B8254,'Poids des runes'!A:B,2,FALSE)))+1),(((D8254/100)*(C8254*VLOOKUP(B8254,'Poids des runes'!A:B,2,FALSE)))+1)/VLOOKUP(B8254,'Poids des runes'!A:B,2,FALSE))</f>
        <v>1.9896078431372548</v>
      </c>
      <c r="F8254">
        <f t="shared" si="128"/>
        <v>1.9896078431372548</v>
      </c>
    </row>
    <row r="8255" spans="1:6" x14ac:dyDescent="0.3">
      <c r="A8255" t="s">
        <v>1400</v>
      </c>
      <c r="B8255" t="s">
        <v>2133</v>
      </c>
      <c r="C8255">
        <v>8</v>
      </c>
      <c r="D8255">
        <v>197</v>
      </c>
      <c r="E8255">
        <f>IF(OR(B8255="vi",B8255="ii",B8255="pod"),(((D8255/100)*(C8255*VLOOKUP(B8255,'Poids des runes'!A:B,2,FALSE)))+1),(((D8255/100)*(C8255*VLOOKUP(B8255,'Poids des runes'!A:B,2,FALSE)))+1)/VLOOKUP(B8255,'Poids des runes'!A:B,2,FALSE))</f>
        <v>15.959999999999999</v>
      </c>
      <c r="F8255">
        <f t="shared" si="128"/>
        <v>15.959999999999999</v>
      </c>
    </row>
    <row r="8256" spans="1:6" x14ac:dyDescent="0.3">
      <c r="A8256" t="s">
        <v>1400</v>
      </c>
      <c r="B8256" t="s">
        <v>2153</v>
      </c>
      <c r="C8256">
        <v>8</v>
      </c>
      <c r="D8256">
        <v>197</v>
      </c>
      <c r="E8256">
        <f>IF(OR(B8256="vi",B8256="ii",B8256="pod"),(((D8256/100)*(C8256*VLOOKUP(B8256,'Poids des runes'!A:B,2,FALSE)))+1),(((D8256/100)*(C8256*VLOOKUP(B8256,'Poids des runes'!A:B,2,FALSE)))+1)/VLOOKUP(B8256,'Poids des runes'!A:B,2,FALSE))</f>
        <v>15.959999999999999</v>
      </c>
      <c r="F8256">
        <f t="shared" si="128"/>
        <v>15.959999999999999</v>
      </c>
    </row>
    <row r="8257" spans="1:6" x14ac:dyDescent="0.3">
      <c r="A8257" t="s">
        <v>1400</v>
      </c>
      <c r="B8257" t="s">
        <v>2161</v>
      </c>
      <c r="C8257">
        <v>13</v>
      </c>
      <c r="D8257">
        <v>197</v>
      </c>
      <c r="E8257">
        <f>IF(OR(B8257="vi",B8257="ii",B8257="pod"),(((D8257/100)*(C8257*VLOOKUP(B8257,'Poids des runes'!A:B,2,FALSE)))+1),(((D8257/100)*(C8257*VLOOKUP(B8257,'Poids des runes'!A:B,2,FALSE)))+1)/VLOOKUP(B8257,'Poids des runes'!A:B,2,FALSE))</f>
        <v>25.943333333333332</v>
      </c>
      <c r="F8257">
        <f t="shared" si="128"/>
        <v>25.943333333333332</v>
      </c>
    </row>
    <row r="8258" spans="1:6" x14ac:dyDescent="0.3">
      <c r="A8258" t="s">
        <v>1400</v>
      </c>
      <c r="B8258" t="s">
        <v>2142</v>
      </c>
      <c r="C8258">
        <v>13</v>
      </c>
      <c r="D8258">
        <v>197</v>
      </c>
      <c r="E8258">
        <f>IF(OR(B8258="vi",B8258="ii",B8258="pod"),(((D8258/100)*(C8258*VLOOKUP(B8258,'Poids des runes'!A:B,2,FALSE)))+1),(((D8258/100)*(C8258*VLOOKUP(B8258,'Poids des runes'!A:B,2,FALSE)))+1)/VLOOKUP(B8258,'Poids des runes'!A:B,2,FALSE))</f>
        <v>25.810000000000002</v>
      </c>
      <c r="F8258">
        <f t="shared" si="128"/>
        <v>25.810000000000002</v>
      </c>
    </row>
    <row r="8259" spans="1:6" x14ac:dyDescent="0.3">
      <c r="A8259" t="s">
        <v>1400</v>
      </c>
      <c r="B8259" t="s">
        <v>2148</v>
      </c>
      <c r="C8259">
        <v>6</v>
      </c>
      <c r="D8259">
        <v>197</v>
      </c>
      <c r="E8259">
        <f>IF(OR(B8259="vi",B8259="ii",B8259="pod"),(((D8259/100)*(C8259*VLOOKUP(B8259,'Poids des runes'!A:B,2,FALSE)))+1),(((D8259/100)*(C8259*VLOOKUP(B8259,'Poids des runes'!A:B,2,FALSE)))+1)/VLOOKUP(B8259,'Poids des runes'!A:B,2,FALSE))</f>
        <v>11.986666666666666</v>
      </c>
      <c r="F8259">
        <f t="shared" ref="F8259:F8322" si="129">E8259</f>
        <v>11.986666666666666</v>
      </c>
    </row>
    <row r="8260" spans="1:6" x14ac:dyDescent="0.3">
      <c r="A8260" t="s">
        <v>1401</v>
      </c>
      <c r="B8260" t="s">
        <v>2128</v>
      </c>
      <c r="C8260">
        <v>225.5</v>
      </c>
      <c r="D8260">
        <v>197</v>
      </c>
      <c r="E8260">
        <f>IF(OR(B8260="vi",B8260="ii",B8260="pod"),(((D8260/100)*(C8260*VLOOKUP(B8260,'Poids des runes'!A:B,2,FALSE)))+1),(((D8260/100)*(C8260*VLOOKUP(B8260,'Poids des runes'!A:B,2,FALSE)))+1)/VLOOKUP(B8260,'Poids des runes'!A:B,2,FALSE))</f>
        <v>89.847000000000008</v>
      </c>
      <c r="F8260">
        <f t="shared" si="129"/>
        <v>89.847000000000008</v>
      </c>
    </row>
    <row r="8261" spans="1:6" x14ac:dyDescent="0.3">
      <c r="A8261" t="s">
        <v>1401</v>
      </c>
      <c r="B8261" t="s">
        <v>2130</v>
      </c>
      <c r="C8261">
        <v>35.5</v>
      </c>
      <c r="D8261">
        <v>197</v>
      </c>
      <c r="E8261">
        <f>IF(OR(B8261="vi",B8261="ii",B8261="pod"),(((D8261/100)*(C8261*VLOOKUP(B8261,'Poids des runes'!A:B,2,FALSE)))+1),(((D8261/100)*(C8261*VLOOKUP(B8261,'Poids des runes'!A:B,2,FALSE)))+1)/VLOOKUP(B8261,'Poids des runes'!A:B,2,FALSE))</f>
        <v>70.935000000000002</v>
      </c>
      <c r="F8261">
        <f t="shared" si="129"/>
        <v>70.935000000000002</v>
      </c>
    </row>
    <row r="8262" spans="1:6" x14ac:dyDescent="0.3">
      <c r="A8262" t="s">
        <v>1401</v>
      </c>
      <c r="B8262" t="s">
        <v>2127</v>
      </c>
      <c r="C8262">
        <v>35.5</v>
      </c>
      <c r="D8262">
        <v>197</v>
      </c>
      <c r="E8262">
        <f>IF(OR(B8262="vi",B8262="ii",B8262="pod"),(((D8262/100)*(C8262*VLOOKUP(B8262,'Poids des runes'!A:B,2,FALSE)))+1),(((D8262/100)*(C8262*VLOOKUP(B8262,'Poids des runes'!A:B,2,FALSE)))+1)/VLOOKUP(B8262,'Poids des runes'!A:B,2,FALSE))</f>
        <v>70.935000000000002</v>
      </c>
      <c r="F8262">
        <f t="shared" si="129"/>
        <v>70.935000000000002</v>
      </c>
    </row>
    <row r="8263" spans="1:6" x14ac:dyDescent="0.3">
      <c r="A8263" t="s">
        <v>1401</v>
      </c>
      <c r="B8263" t="s">
        <v>2129</v>
      </c>
      <c r="C8263">
        <v>13</v>
      </c>
      <c r="D8263">
        <v>197</v>
      </c>
      <c r="E8263">
        <f>IF(OR(B8263="vi",B8263="ii",B8263="pod"),(((D8263/100)*(C8263*VLOOKUP(B8263,'Poids des runes'!A:B,2,FALSE)))+1),(((D8263/100)*(C8263*VLOOKUP(B8263,'Poids des runes'!A:B,2,FALSE)))+1)/VLOOKUP(B8263,'Poids des runes'!A:B,2,FALSE))</f>
        <v>26.61</v>
      </c>
      <c r="F8263">
        <f t="shared" si="129"/>
        <v>26.61</v>
      </c>
    </row>
    <row r="8264" spans="1:6" x14ac:dyDescent="0.3">
      <c r="A8264" t="s">
        <v>1401</v>
      </c>
      <c r="B8264" t="s">
        <v>2151</v>
      </c>
      <c r="C8264">
        <v>4</v>
      </c>
      <c r="D8264">
        <v>197</v>
      </c>
      <c r="E8264">
        <f>IF(OR(B8264="vi",B8264="ii",B8264="pod"),(((D8264/100)*(C8264*VLOOKUP(B8264,'Poids des runes'!A:B,2,FALSE)))+1),(((D8264/100)*(C8264*VLOOKUP(B8264,'Poids des runes'!A:B,2,FALSE)))+1)/VLOOKUP(B8264,'Poids des runes'!A:B,2,FALSE))</f>
        <v>7.9799999999999995</v>
      </c>
      <c r="F8264">
        <f t="shared" si="129"/>
        <v>7.9799999999999995</v>
      </c>
    </row>
    <row r="8265" spans="1:6" x14ac:dyDescent="0.3">
      <c r="A8265" t="s">
        <v>1401</v>
      </c>
      <c r="B8265" t="s">
        <v>2155</v>
      </c>
      <c r="C8265">
        <v>1</v>
      </c>
      <c r="D8265">
        <v>197</v>
      </c>
      <c r="E8265">
        <f>IF(OR(B8265="vi",B8265="ii",B8265="pod"),(((D8265/100)*(C8265*VLOOKUP(B8265,'Poids des runes'!A:B,2,FALSE)))+1),(((D8265/100)*(C8265*VLOOKUP(B8265,'Poids des runes'!A:B,2,FALSE)))+1)/VLOOKUP(B8265,'Poids des runes'!A:B,2,FALSE))</f>
        <v>1.9896078431372548</v>
      </c>
      <c r="F8265">
        <f t="shared" si="129"/>
        <v>1.9896078431372548</v>
      </c>
    </row>
    <row r="8266" spans="1:6" x14ac:dyDescent="0.3">
      <c r="A8266" t="s">
        <v>1401</v>
      </c>
      <c r="B8266" t="s">
        <v>2143</v>
      </c>
      <c r="C8266">
        <v>4</v>
      </c>
      <c r="D8266">
        <v>197</v>
      </c>
      <c r="E8266">
        <f>IF(OR(B8266="vi",B8266="ii",B8266="pod"),(((D8266/100)*(C8266*VLOOKUP(B8266,'Poids des runes'!A:B,2,FALSE)))+1),(((D8266/100)*(C8266*VLOOKUP(B8266,'Poids des runes'!A:B,2,FALSE)))+1)/VLOOKUP(B8266,'Poids des runes'!A:B,2,FALSE))</f>
        <v>8.08</v>
      </c>
      <c r="F8266">
        <f t="shared" si="129"/>
        <v>8.08</v>
      </c>
    </row>
    <row r="8267" spans="1:6" x14ac:dyDescent="0.3">
      <c r="A8267" t="s">
        <v>1401</v>
      </c>
      <c r="B8267" t="s">
        <v>2153</v>
      </c>
      <c r="C8267">
        <v>4</v>
      </c>
      <c r="D8267">
        <v>197</v>
      </c>
      <c r="E8267">
        <f>IF(OR(B8267="vi",B8267="ii",B8267="pod"),(((D8267/100)*(C8267*VLOOKUP(B8267,'Poids des runes'!A:B,2,FALSE)))+1),(((D8267/100)*(C8267*VLOOKUP(B8267,'Poids des runes'!A:B,2,FALSE)))+1)/VLOOKUP(B8267,'Poids des runes'!A:B,2,FALSE))</f>
        <v>8.08</v>
      </c>
      <c r="F8267">
        <f t="shared" si="129"/>
        <v>8.08</v>
      </c>
    </row>
    <row r="8268" spans="1:6" x14ac:dyDescent="0.3">
      <c r="A8268" t="s">
        <v>1401</v>
      </c>
      <c r="B8268" t="s">
        <v>2158</v>
      </c>
      <c r="C8268">
        <v>10.5</v>
      </c>
      <c r="D8268">
        <v>197</v>
      </c>
      <c r="E8268">
        <f>IF(OR(B8268="vi",B8268="ii",B8268="pod"),(((D8268/100)*(C8268*VLOOKUP(B8268,'Poids des runes'!A:B,2,FALSE)))+1),(((D8268/100)*(C8268*VLOOKUP(B8268,'Poids des runes'!A:B,2,FALSE)))+1)/VLOOKUP(B8268,'Poids des runes'!A:B,2,FALSE))</f>
        <v>20.884999999999998</v>
      </c>
      <c r="F8268">
        <f t="shared" si="129"/>
        <v>20.884999999999998</v>
      </c>
    </row>
    <row r="8269" spans="1:6" x14ac:dyDescent="0.3">
      <c r="A8269" t="s">
        <v>1401</v>
      </c>
      <c r="B8269" t="s">
        <v>2148</v>
      </c>
      <c r="C8269">
        <v>4.5</v>
      </c>
      <c r="D8269">
        <v>197</v>
      </c>
      <c r="E8269">
        <f>IF(OR(B8269="vi",B8269="ii",B8269="pod"),(((D8269/100)*(C8269*VLOOKUP(B8269,'Poids des runes'!A:B,2,FALSE)))+1),(((D8269/100)*(C8269*VLOOKUP(B8269,'Poids des runes'!A:B,2,FALSE)))+1)/VLOOKUP(B8269,'Poids des runes'!A:B,2,FALSE))</f>
        <v>9.0316666666666663</v>
      </c>
      <c r="F8269">
        <f t="shared" si="129"/>
        <v>9.0316666666666663</v>
      </c>
    </row>
    <row r="8270" spans="1:6" x14ac:dyDescent="0.3">
      <c r="A8270" t="s">
        <v>1401</v>
      </c>
      <c r="B8270" t="s">
        <v>2157</v>
      </c>
      <c r="C8270">
        <v>4.5</v>
      </c>
      <c r="D8270">
        <v>197</v>
      </c>
      <c r="E8270">
        <f>IF(OR(B8270="vi",B8270="ii",B8270="pod"),(((D8270/100)*(C8270*VLOOKUP(B8270,'Poids des runes'!A:B,2,FALSE)))+1),(((D8270/100)*(C8270*VLOOKUP(B8270,'Poids des runes'!A:B,2,FALSE)))+1)/VLOOKUP(B8270,'Poids des runes'!A:B,2,FALSE))</f>
        <v>9.0316666666666663</v>
      </c>
      <c r="F8270">
        <f t="shared" si="129"/>
        <v>9.0316666666666663</v>
      </c>
    </row>
    <row r="8271" spans="1:6" x14ac:dyDescent="0.3">
      <c r="A8271" t="s">
        <v>1402</v>
      </c>
      <c r="B8271" t="s">
        <v>2129</v>
      </c>
      <c r="C8271">
        <v>45.5</v>
      </c>
      <c r="D8271">
        <v>198</v>
      </c>
      <c r="E8271">
        <f>IF(OR(B8271="vi",B8271="ii",B8271="pod"),(((D8271/100)*(C8271*VLOOKUP(B8271,'Poids des runes'!A:B,2,FALSE)))+1),(((D8271/100)*(C8271*VLOOKUP(B8271,'Poids des runes'!A:B,2,FALSE)))+1)/VLOOKUP(B8271,'Poids des runes'!A:B,2,FALSE))</f>
        <v>91.09</v>
      </c>
      <c r="F8271">
        <f t="shared" si="129"/>
        <v>91.09</v>
      </c>
    </row>
    <row r="8272" spans="1:6" x14ac:dyDescent="0.3">
      <c r="A8272" t="s">
        <v>1402</v>
      </c>
      <c r="B8272" t="s">
        <v>2139</v>
      </c>
      <c r="C8272">
        <v>85.5</v>
      </c>
      <c r="D8272">
        <v>198</v>
      </c>
      <c r="E8272">
        <f>IF(OR(B8272="vi",B8272="ii",B8272="pod"),(((D8272/100)*(C8272*VLOOKUP(B8272,'Poids des runes'!A:B,2,FALSE)))+1),(((D8272/100)*(C8272*VLOOKUP(B8272,'Poids des runes'!A:B,2,FALSE)))+1)/VLOOKUP(B8272,'Poids des runes'!A:B,2,FALSE))</f>
        <v>169.79</v>
      </c>
      <c r="F8272">
        <f t="shared" si="129"/>
        <v>169.79</v>
      </c>
    </row>
    <row r="8273" spans="1:6" x14ac:dyDescent="0.3">
      <c r="A8273" t="s">
        <v>1402</v>
      </c>
      <c r="B8273" t="s">
        <v>2155</v>
      </c>
      <c r="C8273">
        <v>1</v>
      </c>
      <c r="D8273">
        <v>198</v>
      </c>
      <c r="E8273">
        <f>IF(OR(B8273="vi",B8273="ii",B8273="pod"),(((D8273/100)*(C8273*VLOOKUP(B8273,'Poids des runes'!A:B,2,FALSE)))+1),(((D8273/100)*(C8273*VLOOKUP(B8273,'Poids des runes'!A:B,2,FALSE)))+1)/VLOOKUP(B8273,'Poids des runes'!A:B,2,FALSE))</f>
        <v>1.999607843137255</v>
      </c>
      <c r="F8273">
        <f t="shared" si="129"/>
        <v>1.999607843137255</v>
      </c>
    </row>
    <row r="8274" spans="1:6" x14ac:dyDescent="0.3">
      <c r="A8274" t="s">
        <v>1402</v>
      </c>
      <c r="B8274" t="s">
        <v>2143</v>
      </c>
      <c r="C8274">
        <v>18</v>
      </c>
      <c r="D8274">
        <v>198</v>
      </c>
      <c r="E8274">
        <f>IF(OR(B8274="vi",B8274="ii",B8274="pod"),(((D8274/100)*(C8274*VLOOKUP(B8274,'Poids des runes'!A:B,2,FALSE)))+1),(((D8274/100)*(C8274*VLOOKUP(B8274,'Poids des runes'!A:B,2,FALSE)))+1)/VLOOKUP(B8274,'Poids des runes'!A:B,2,FALSE))</f>
        <v>35.839999999999996</v>
      </c>
      <c r="F8274">
        <f t="shared" si="129"/>
        <v>35.839999999999996</v>
      </c>
    </row>
    <row r="8275" spans="1:6" x14ac:dyDescent="0.3">
      <c r="A8275" t="s">
        <v>1402</v>
      </c>
      <c r="B8275" t="s">
        <v>2140</v>
      </c>
      <c r="C8275">
        <v>18</v>
      </c>
      <c r="D8275">
        <v>198</v>
      </c>
      <c r="E8275">
        <f>IF(OR(B8275="vi",B8275="ii",B8275="pod"),(((D8275/100)*(C8275*VLOOKUP(B8275,'Poids des runes'!A:B,2,FALSE)))+1),(((D8275/100)*(C8275*VLOOKUP(B8275,'Poids des runes'!A:B,2,FALSE)))+1)/VLOOKUP(B8275,'Poids des runes'!A:B,2,FALSE))</f>
        <v>35.839999999999996</v>
      </c>
      <c r="F8275">
        <f t="shared" si="129"/>
        <v>35.839999999999996</v>
      </c>
    </row>
    <row r="8276" spans="1:6" x14ac:dyDescent="0.3">
      <c r="A8276" t="s">
        <v>1402</v>
      </c>
      <c r="B8276" t="s">
        <v>2133</v>
      </c>
      <c r="C8276">
        <v>18</v>
      </c>
      <c r="D8276">
        <v>198</v>
      </c>
      <c r="E8276">
        <f>IF(OR(B8276="vi",B8276="ii",B8276="pod"),(((D8276/100)*(C8276*VLOOKUP(B8276,'Poids des runes'!A:B,2,FALSE)))+1),(((D8276/100)*(C8276*VLOOKUP(B8276,'Poids des runes'!A:B,2,FALSE)))+1)/VLOOKUP(B8276,'Poids des runes'!A:B,2,FALSE))</f>
        <v>35.839999999999996</v>
      </c>
      <c r="F8276">
        <f t="shared" si="129"/>
        <v>35.839999999999996</v>
      </c>
    </row>
    <row r="8277" spans="1:6" x14ac:dyDescent="0.3">
      <c r="A8277" t="s">
        <v>1402</v>
      </c>
      <c r="B8277" t="s">
        <v>2153</v>
      </c>
      <c r="C8277">
        <v>18</v>
      </c>
      <c r="D8277">
        <v>198</v>
      </c>
      <c r="E8277">
        <f>IF(OR(B8277="vi",B8277="ii",B8277="pod"),(((D8277/100)*(C8277*VLOOKUP(B8277,'Poids des runes'!A:B,2,FALSE)))+1),(((D8277/100)*(C8277*VLOOKUP(B8277,'Poids des runes'!A:B,2,FALSE)))+1)/VLOOKUP(B8277,'Poids des runes'!A:B,2,FALSE))</f>
        <v>35.839999999999996</v>
      </c>
      <c r="F8277">
        <f t="shared" si="129"/>
        <v>35.839999999999996</v>
      </c>
    </row>
    <row r="8278" spans="1:6" x14ac:dyDescent="0.3">
      <c r="A8278" t="s">
        <v>1402</v>
      </c>
      <c r="B8278" t="s">
        <v>2132</v>
      </c>
      <c r="C8278">
        <v>350.5</v>
      </c>
      <c r="D8278">
        <v>198</v>
      </c>
      <c r="E8278">
        <f>IF(OR(B8278="vi",B8278="ii",B8278="pod"),(((D8278/100)*(C8278*VLOOKUP(B8278,'Poids des runes'!A:B,2,FALSE)))+1),(((D8278/100)*(C8278*VLOOKUP(B8278,'Poids des runes'!A:B,2,FALSE)))+1)/VLOOKUP(B8278,'Poids des runes'!A:B,2,FALSE))</f>
        <v>70.399000000000001</v>
      </c>
      <c r="F8278">
        <f t="shared" si="129"/>
        <v>70.399000000000001</v>
      </c>
    </row>
    <row r="8279" spans="1:6" x14ac:dyDescent="0.3">
      <c r="A8279" t="s">
        <v>1402</v>
      </c>
      <c r="B8279" t="s">
        <v>2138</v>
      </c>
      <c r="C8279">
        <v>13</v>
      </c>
      <c r="D8279">
        <v>198</v>
      </c>
      <c r="E8279">
        <f>IF(OR(B8279="vi",B8279="ii",B8279="pod"),(((D8279/100)*(C8279*VLOOKUP(B8279,'Poids des runes'!A:B,2,FALSE)))+1),(((D8279/100)*(C8279*VLOOKUP(B8279,'Poids des runes'!A:B,2,FALSE)))+1)/VLOOKUP(B8279,'Poids des runes'!A:B,2,FALSE))</f>
        <v>25.99</v>
      </c>
      <c r="F8279">
        <f t="shared" si="129"/>
        <v>25.99</v>
      </c>
    </row>
    <row r="8280" spans="1:6" x14ac:dyDescent="0.3">
      <c r="A8280" t="s">
        <v>1402</v>
      </c>
      <c r="B8280" t="s">
        <v>2165</v>
      </c>
      <c r="C8280">
        <v>7.5</v>
      </c>
      <c r="D8280">
        <v>198</v>
      </c>
      <c r="E8280">
        <f>IF(OR(B8280="vi",B8280="ii",B8280="pod"),(((D8280/100)*(C8280*VLOOKUP(B8280,'Poids des runes'!A:B,2,FALSE)))+1),(((D8280/100)*(C8280*VLOOKUP(B8280,'Poids des runes'!A:B,2,FALSE)))+1)/VLOOKUP(B8280,'Poids des runes'!A:B,2,FALSE))</f>
        <v>14.992857142857144</v>
      </c>
      <c r="F8280">
        <f t="shared" si="129"/>
        <v>14.992857142857144</v>
      </c>
    </row>
    <row r="8281" spans="1:6" x14ac:dyDescent="0.3">
      <c r="A8281" t="s">
        <v>1402</v>
      </c>
      <c r="B8281" t="s">
        <v>2142</v>
      </c>
      <c r="C8281">
        <v>18</v>
      </c>
      <c r="D8281">
        <v>198</v>
      </c>
      <c r="E8281">
        <f>IF(OR(B8281="vi",B8281="ii",B8281="pod"),(((D8281/100)*(C8281*VLOOKUP(B8281,'Poids des runes'!A:B,2,FALSE)))+1),(((D8281/100)*(C8281*VLOOKUP(B8281,'Poids des runes'!A:B,2,FALSE)))+1)/VLOOKUP(B8281,'Poids des runes'!A:B,2,FALSE))</f>
        <v>35.839999999999996</v>
      </c>
      <c r="F8281">
        <f t="shared" si="129"/>
        <v>35.839999999999996</v>
      </c>
    </row>
    <row r="8282" spans="1:6" x14ac:dyDescent="0.3">
      <c r="A8282" t="s">
        <v>1403</v>
      </c>
      <c r="B8282" t="s">
        <v>2128</v>
      </c>
      <c r="C8282">
        <v>325.5</v>
      </c>
      <c r="D8282">
        <v>198</v>
      </c>
      <c r="E8282">
        <f>IF(OR(B8282="vi",B8282="ii",B8282="pod"),(((D8282/100)*(C8282*VLOOKUP(B8282,'Poids des runes'!A:B,2,FALSE)))+1),(((D8282/100)*(C8282*VLOOKUP(B8282,'Poids des runes'!A:B,2,FALSE)))+1)/VLOOKUP(B8282,'Poids des runes'!A:B,2,FALSE))</f>
        <v>129.89800000000002</v>
      </c>
      <c r="F8282">
        <f t="shared" si="129"/>
        <v>129.89800000000002</v>
      </c>
    </row>
    <row r="8283" spans="1:6" x14ac:dyDescent="0.3">
      <c r="A8283" t="s">
        <v>1403</v>
      </c>
      <c r="B8283" t="s">
        <v>2126</v>
      </c>
      <c r="C8283">
        <v>63</v>
      </c>
      <c r="D8283">
        <v>198</v>
      </c>
      <c r="E8283">
        <f>IF(OR(B8283="vi",B8283="ii",B8283="pod"),(((D8283/100)*(C8283*VLOOKUP(B8283,'Poids des runes'!A:B,2,FALSE)))+1),(((D8283/100)*(C8283*VLOOKUP(B8283,'Poids des runes'!A:B,2,FALSE)))+1)/VLOOKUP(B8283,'Poids des runes'!A:B,2,FALSE))</f>
        <v>125.74</v>
      </c>
      <c r="F8283">
        <f t="shared" si="129"/>
        <v>125.74</v>
      </c>
    </row>
    <row r="8284" spans="1:6" x14ac:dyDescent="0.3">
      <c r="A8284" t="s">
        <v>1403</v>
      </c>
      <c r="B8284" t="s">
        <v>2129</v>
      </c>
      <c r="C8284">
        <v>35.5</v>
      </c>
      <c r="D8284">
        <v>198</v>
      </c>
      <c r="E8284">
        <f>IF(OR(B8284="vi",B8284="ii",B8284="pod"),(((D8284/100)*(C8284*VLOOKUP(B8284,'Poids des runes'!A:B,2,FALSE)))+1),(((D8284/100)*(C8284*VLOOKUP(B8284,'Poids des runes'!A:B,2,FALSE)))+1)/VLOOKUP(B8284,'Poids des runes'!A:B,2,FALSE))</f>
        <v>71.290000000000006</v>
      </c>
      <c r="F8284">
        <f t="shared" si="129"/>
        <v>71.290000000000006</v>
      </c>
    </row>
    <row r="8285" spans="1:6" x14ac:dyDescent="0.3">
      <c r="A8285" t="s">
        <v>1403</v>
      </c>
      <c r="B8285" t="s">
        <v>2155</v>
      </c>
      <c r="C8285">
        <v>1</v>
      </c>
      <c r="D8285">
        <v>198</v>
      </c>
      <c r="E8285">
        <f>IF(OR(B8285="vi",B8285="ii",B8285="pod"),(((D8285/100)*(C8285*VLOOKUP(B8285,'Poids des runes'!A:B,2,FALSE)))+1),(((D8285/100)*(C8285*VLOOKUP(B8285,'Poids des runes'!A:B,2,FALSE)))+1)/VLOOKUP(B8285,'Poids des runes'!A:B,2,FALSE))</f>
        <v>1.999607843137255</v>
      </c>
      <c r="F8285">
        <f t="shared" si="129"/>
        <v>1.999607843137255</v>
      </c>
    </row>
    <row r="8286" spans="1:6" x14ac:dyDescent="0.3">
      <c r="A8286" t="s">
        <v>1403</v>
      </c>
      <c r="B8286" t="s">
        <v>2140</v>
      </c>
      <c r="C8286">
        <v>13</v>
      </c>
      <c r="D8286">
        <v>198</v>
      </c>
      <c r="E8286">
        <f>IF(OR(B8286="vi",B8286="ii",B8286="pod"),(((D8286/100)*(C8286*VLOOKUP(B8286,'Poids des runes'!A:B,2,FALSE)))+1),(((D8286/100)*(C8286*VLOOKUP(B8286,'Poids des runes'!A:B,2,FALSE)))+1)/VLOOKUP(B8286,'Poids des runes'!A:B,2,FALSE))</f>
        <v>25.939999999999998</v>
      </c>
      <c r="F8286">
        <f t="shared" si="129"/>
        <v>25.939999999999998</v>
      </c>
    </row>
    <row r="8287" spans="1:6" x14ac:dyDescent="0.3">
      <c r="A8287" t="s">
        <v>1403</v>
      </c>
      <c r="B8287" t="s">
        <v>2138</v>
      </c>
      <c r="C8287">
        <v>13</v>
      </c>
      <c r="D8287">
        <v>198</v>
      </c>
      <c r="E8287">
        <f>IF(OR(B8287="vi",B8287="ii",B8287="pod"),(((D8287/100)*(C8287*VLOOKUP(B8287,'Poids des runes'!A:B,2,FALSE)))+1),(((D8287/100)*(C8287*VLOOKUP(B8287,'Poids des runes'!A:B,2,FALSE)))+1)/VLOOKUP(B8287,'Poids des runes'!A:B,2,FALSE))</f>
        <v>25.99</v>
      </c>
      <c r="F8287">
        <f t="shared" si="129"/>
        <v>25.99</v>
      </c>
    </row>
    <row r="8288" spans="1:6" x14ac:dyDescent="0.3">
      <c r="A8288" t="s">
        <v>1403</v>
      </c>
      <c r="B8288" t="s">
        <v>2160</v>
      </c>
      <c r="C8288">
        <v>7</v>
      </c>
      <c r="D8288">
        <v>198</v>
      </c>
      <c r="E8288">
        <f>IF(OR(B8288="vi",B8288="ii",B8288="pod"),(((D8288/100)*(C8288*VLOOKUP(B8288,'Poids des runes'!A:B,2,FALSE)))+1),(((D8288/100)*(C8288*VLOOKUP(B8288,'Poids des runes'!A:B,2,FALSE)))+1)/VLOOKUP(B8288,'Poids des runes'!A:B,2,FALSE))</f>
        <v>14.002857142857142</v>
      </c>
      <c r="F8288">
        <f t="shared" si="129"/>
        <v>14.002857142857142</v>
      </c>
    </row>
    <row r="8289" spans="1:6" x14ac:dyDescent="0.3">
      <c r="A8289" t="s">
        <v>1404</v>
      </c>
      <c r="B8289" t="s">
        <v>2128</v>
      </c>
      <c r="C8289">
        <v>325.5</v>
      </c>
      <c r="D8289">
        <v>198</v>
      </c>
      <c r="E8289">
        <f>IF(OR(B8289="vi",B8289="ii",B8289="pod"),(((D8289/100)*(C8289*VLOOKUP(B8289,'Poids des runes'!A:B,2,FALSE)))+1),(((D8289/100)*(C8289*VLOOKUP(B8289,'Poids des runes'!A:B,2,FALSE)))+1)/VLOOKUP(B8289,'Poids des runes'!A:B,2,FALSE))</f>
        <v>129.89800000000002</v>
      </c>
      <c r="F8289">
        <f t="shared" si="129"/>
        <v>129.89800000000002</v>
      </c>
    </row>
    <row r="8290" spans="1:6" x14ac:dyDescent="0.3">
      <c r="A8290" t="s">
        <v>1404</v>
      </c>
      <c r="B8290" t="s">
        <v>2130</v>
      </c>
      <c r="C8290">
        <v>85.5</v>
      </c>
      <c r="D8290">
        <v>198</v>
      </c>
      <c r="E8290">
        <f>IF(OR(B8290="vi",B8290="ii",B8290="pod"),(((D8290/100)*(C8290*VLOOKUP(B8290,'Poids des runes'!A:B,2,FALSE)))+1),(((D8290/100)*(C8290*VLOOKUP(B8290,'Poids des runes'!A:B,2,FALSE)))+1)/VLOOKUP(B8290,'Poids des runes'!A:B,2,FALSE))</f>
        <v>170.29</v>
      </c>
      <c r="F8290">
        <f t="shared" si="129"/>
        <v>170.29</v>
      </c>
    </row>
    <row r="8291" spans="1:6" x14ac:dyDescent="0.3">
      <c r="A8291" t="s">
        <v>1404</v>
      </c>
      <c r="B8291" t="s">
        <v>2151</v>
      </c>
      <c r="C8291">
        <v>5</v>
      </c>
      <c r="D8291">
        <v>198</v>
      </c>
      <c r="E8291">
        <f>IF(OR(B8291="vi",B8291="ii",B8291="pod"),(((D8291/100)*(C8291*VLOOKUP(B8291,'Poids des runes'!A:B,2,FALSE)))+1),(((D8291/100)*(C8291*VLOOKUP(B8291,'Poids des runes'!A:B,2,FALSE)))+1)/VLOOKUP(B8291,'Poids des runes'!A:B,2,FALSE))</f>
        <v>10</v>
      </c>
      <c r="F8291">
        <f t="shared" si="129"/>
        <v>10</v>
      </c>
    </row>
    <row r="8292" spans="1:6" x14ac:dyDescent="0.3">
      <c r="A8292" t="s">
        <v>1404</v>
      </c>
      <c r="B8292" t="s">
        <v>2154</v>
      </c>
      <c r="C8292">
        <v>1</v>
      </c>
      <c r="D8292">
        <v>198</v>
      </c>
      <c r="E8292">
        <f>IF(OR(B8292="vi",B8292="ii",B8292="pod"),(((D8292/100)*(C8292*VLOOKUP(B8292,'Poids des runes'!A:B,2,FALSE)))+1),(((D8292/100)*(C8292*VLOOKUP(B8292,'Poids des runes'!A:B,2,FALSE)))+1)/VLOOKUP(B8292,'Poids des runes'!A:B,2,FALSE))</f>
        <v>1.9911111111111111</v>
      </c>
      <c r="F8292">
        <f t="shared" si="129"/>
        <v>1.9911111111111111</v>
      </c>
    </row>
    <row r="8293" spans="1:6" x14ac:dyDescent="0.3">
      <c r="A8293" t="s">
        <v>1404</v>
      </c>
      <c r="B8293" t="s">
        <v>2143</v>
      </c>
      <c r="C8293">
        <v>16</v>
      </c>
      <c r="D8293">
        <v>198</v>
      </c>
      <c r="E8293">
        <f>IF(OR(B8293="vi",B8293="ii",B8293="pod"),(((D8293/100)*(C8293*VLOOKUP(B8293,'Poids des runes'!A:B,2,FALSE)))+1),(((D8293/100)*(C8293*VLOOKUP(B8293,'Poids des runes'!A:B,2,FALSE)))+1)/VLOOKUP(B8293,'Poids des runes'!A:B,2,FALSE))</f>
        <v>31.880000000000003</v>
      </c>
      <c r="F8293">
        <f t="shared" si="129"/>
        <v>31.880000000000003</v>
      </c>
    </row>
    <row r="8294" spans="1:6" x14ac:dyDescent="0.3">
      <c r="A8294" t="s">
        <v>1404</v>
      </c>
      <c r="B8294" t="s">
        <v>2163</v>
      </c>
      <c r="C8294">
        <v>13</v>
      </c>
      <c r="D8294">
        <v>198</v>
      </c>
      <c r="E8294">
        <f>IF(OR(B8294="vi",B8294="ii",B8294="pod"),(((D8294/100)*(C8294*VLOOKUP(B8294,'Poids des runes'!A:B,2,FALSE)))+1),(((D8294/100)*(C8294*VLOOKUP(B8294,'Poids des runes'!A:B,2,FALSE)))+1)/VLOOKUP(B8294,'Poids des runes'!A:B,2,FALSE))</f>
        <v>26.24</v>
      </c>
      <c r="F8294">
        <f t="shared" si="129"/>
        <v>26.24</v>
      </c>
    </row>
    <row r="8295" spans="1:6" x14ac:dyDescent="0.3">
      <c r="A8295" t="s">
        <v>1404</v>
      </c>
      <c r="B8295" t="s">
        <v>2147</v>
      </c>
      <c r="C8295">
        <v>8.5</v>
      </c>
      <c r="D8295">
        <v>198</v>
      </c>
      <c r="E8295">
        <f>IF(OR(B8295="vi",B8295="ii",B8295="pod"),(((D8295/100)*(C8295*VLOOKUP(B8295,'Poids des runes'!A:B,2,FALSE)))+1),(((D8295/100)*(C8295*VLOOKUP(B8295,'Poids des runes'!A:B,2,FALSE)))+1)/VLOOKUP(B8295,'Poids des runes'!A:B,2,FALSE))</f>
        <v>16.996666666666666</v>
      </c>
      <c r="F8295">
        <f t="shared" si="129"/>
        <v>16.996666666666666</v>
      </c>
    </row>
    <row r="8296" spans="1:6" x14ac:dyDescent="0.3">
      <c r="A8296" t="s">
        <v>1404</v>
      </c>
      <c r="B8296" t="s">
        <v>2135</v>
      </c>
      <c r="C8296">
        <v>7</v>
      </c>
      <c r="D8296">
        <v>198</v>
      </c>
      <c r="E8296">
        <f>IF(OR(B8296="vi",B8296="ii",B8296="pod"),(((D8296/100)*(C8296*VLOOKUP(B8296,'Poids des runes'!A:B,2,FALSE)))+1),(((D8296/100)*(C8296*VLOOKUP(B8296,'Poids des runes'!A:B,2,FALSE)))+1)/VLOOKUP(B8296,'Poids des runes'!A:B,2,FALSE))</f>
        <v>14.026666666666666</v>
      </c>
      <c r="F8296">
        <f t="shared" si="129"/>
        <v>14.026666666666666</v>
      </c>
    </row>
    <row r="8297" spans="1:6" x14ac:dyDescent="0.3">
      <c r="A8297" t="s">
        <v>1404</v>
      </c>
      <c r="B8297" t="s">
        <v>2157</v>
      </c>
      <c r="C8297">
        <v>4.5</v>
      </c>
      <c r="D8297">
        <v>198</v>
      </c>
      <c r="E8297">
        <f>IF(OR(B8297="vi",B8297="ii",B8297="pod"),(((D8297/100)*(C8297*VLOOKUP(B8297,'Poids des runes'!A:B,2,FALSE)))+1),(((D8297/100)*(C8297*VLOOKUP(B8297,'Poids des runes'!A:B,2,FALSE)))+1)/VLOOKUP(B8297,'Poids des runes'!A:B,2,FALSE))</f>
        <v>9.0766666666666662</v>
      </c>
      <c r="F8297">
        <f t="shared" si="129"/>
        <v>9.0766666666666662</v>
      </c>
    </row>
    <row r="8298" spans="1:6" x14ac:dyDescent="0.3">
      <c r="A8298" t="s">
        <v>1405</v>
      </c>
      <c r="B8298" t="s">
        <v>2128</v>
      </c>
      <c r="C8298">
        <v>325.5</v>
      </c>
      <c r="D8298">
        <v>198</v>
      </c>
      <c r="E8298">
        <f>IF(OR(B8298="vi",B8298="ii",B8298="pod"),(((D8298/100)*(C8298*VLOOKUP(B8298,'Poids des runes'!A:B,2,FALSE)))+1),(((D8298/100)*(C8298*VLOOKUP(B8298,'Poids des runes'!A:B,2,FALSE)))+1)/VLOOKUP(B8298,'Poids des runes'!A:B,2,FALSE))</f>
        <v>129.89800000000002</v>
      </c>
      <c r="F8298">
        <f t="shared" si="129"/>
        <v>129.89800000000002</v>
      </c>
    </row>
    <row r="8299" spans="1:6" x14ac:dyDescent="0.3">
      <c r="A8299" t="s">
        <v>1405</v>
      </c>
      <c r="B8299" t="s">
        <v>2131</v>
      </c>
      <c r="C8299">
        <v>65.5</v>
      </c>
      <c r="D8299">
        <v>198</v>
      </c>
      <c r="E8299">
        <f>IF(OR(B8299="vi",B8299="ii",B8299="pod"),(((D8299/100)*(C8299*VLOOKUP(B8299,'Poids des runes'!A:B,2,FALSE)))+1),(((D8299/100)*(C8299*VLOOKUP(B8299,'Poids des runes'!A:B,2,FALSE)))+1)/VLOOKUP(B8299,'Poids des runes'!A:B,2,FALSE))</f>
        <v>130.69</v>
      </c>
      <c r="F8299">
        <f t="shared" si="129"/>
        <v>130.69</v>
      </c>
    </row>
    <row r="8300" spans="1:6" x14ac:dyDescent="0.3">
      <c r="A8300" t="s">
        <v>1405</v>
      </c>
      <c r="B8300" t="s">
        <v>2127</v>
      </c>
      <c r="C8300">
        <v>65.5</v>
      </c>
      <c r="D8300">
        <v>198</v>
      </c>
      <c r="E8300">
        <f>IF(OR(B8300="vi",B8300="ii",B8300="pod"),(((D8300/100)*(C8300*VLOOKUP(B8300,'Poids des runes'!A:B,2,FALSE)))+1),(((D8300/100)*(C8300*VLOOKUP(B8300,'Poids des runes'!A:B,2,FALSE)))+1)/VLOOKUP(B8300,'Poids des runes'!A:B,2,FALSE))</f>
        <v>130.69</v>
      </c>
      <c r="F8300">
        <f t="shared" si="129"/>
        <v>130.69</v>
      </c>
    </row>
    <row r="8301" spans="1:6" x14ac:dyDescent="0.3">
      <c r="A8301" t="s">
        <v>1405</v>
      </c>
      <c r="B8301" t="s">
        <v>2129</v>
      </c>
      <c r="C8301">
        <v>25.5</v>
      </c>
      <c r="D8301">
        <v>198</v>
      </c>
      <c r="E8301">
        <f>IF(OR(B8301="vi",B8301="ii",B8301="pod"),(((D8301/100)*(C8301*VLOOKUP(B8301,'Poids des runes'!A:B,2,FALSE)))+1),(((D8301/100)*(C8301*VLOOKUP(B8301,'Poids des runes'!A:B,2,FALSE)))+1)/VLOOKUP(B8301,'Poids des runes'!A:B,2,FALSE))</f>
        <v>51.49</v>
      </c>
      <c r="F8301">
        <f t="shared" si="129"/>
        <v>51.49</v>
      </c>
    </row>
    <row r="8302" spans="1:6" x14ac:dyDescent="0.3">
      <c r="A8302" t="s">
        <v>1405</v>
      </c>
      <c r="B8302" t="s">
        <v>2150</v>
      </c>
      <c r="C8302">
        <v>1</v>
      </c>
      <c r="D8302">
        <v>198</v>
      </c>
      <c r="E8302">
        <f>IF(OR(B8302="vi",B8302="ii",B8302="pod"),(((D8302/100)*(C8302*VLOOKUP(B8302,'Poids des runes'!A:B,2,FALSE)))+1),(((D8302/100)*(C8302*VLOOKUP(B8302,'Poids des runes'!A:B,2,FALSE)))+1)/VLOOKUP(B8302,'Poids des runes'!A:B,2,FALSE))</f>
        <v>2.0133333333333332</v>
      </c>
      <c r="F8302">
        <f t="shared" si="129"/>
        <v>2.0133333333333332</v>
      </c>
    </row>
    <row r="8303" spans="1:6" x14ac:dyDescent="0.3">
      <c r="A8303" t="s">
        <v>1405</v>
      </c>
      <c r="B8303" t="s">
        <v>2133</v>
      </c>
      <c r="C8303">
        <v>6</v>
      </c>
      <c r="D8303">
        <v>198</v>
      </c>
      <c r="E8303">
        <f>IF(OR(B8303="vi",B8303="ii",B8303="pod"),(((D8303/100)*(C8303*VLOOKUP(B8303,'Poids des runes'!A:B,2,FALSE)))+1),(((D8303/100)*(C8303*VLOOKUP(B8303,'Poids des runes'!A:B,2,FALSE)))+1)/VLOOKUP(B8303,'Poids des runes'!A:B,2,FALSE))</f>
        <v>12.08</v>
      </c>
      <c r="F8303">
        <f t="shared" si="129"/>
        <v>12.08</v>
      </c>
    </row>
    <row r="8304" spans="1:6" x14ac:dyDescent="0.3">
      <c r="A8304" t="s">
        <v>1405</v>
      </c>
      <c r="B8304" t="s">
        <v>2153</v>
      </c>
      <c r="C8304">
        <v>6</v>
      </c>
      <c r="D8304">
        <v>198</v>
      </c>
      <c r="E8304">
        <f>IF(OR(B8304="vi",B8304="ii",B8304="pod"),(((D8304/100)*(C8304*VLOOKUP(B8304,'Poids des runes'!A:B,2,FALSE)))+1),(((D8304/100)*(C8304*VLOOKUP(B8304,'Poids des runes'!A:B,2,FALSE)))+1)/VLOOKUP(B8304,'Poids des runes'!A:B,2,FALSE))</f>
        <v>12.08</v>
      </c>
      <c r="F8304">
        <f t="shared" si="129"/>
        <v>12.08</v>
      </c>
    </row>
    <row r="8305" spans="1:6" x14ac:dyDescent="0.3">
      <c r="A8305" t="s">
        <v>1405</v>
      </c>
      <c r="B8305" t="s">
        <v>2141</v>
      </c>
      <c r="C8305">
        <v>8</v>
      </c>
      <c r="D8305">
        <v>198</v>
      </c>
      <c r="E8305">
        <f>IF(OR(B8305="vi",B8305="ii",B8305="pod"),(((D8305/100)*(C8305*VLOOKUP(B8305,'Poids des runes'!A:B,2,FALSE)))+1),(((D8305/100)*(C8305*VLOOKUP(B8305,'Poids des runes'!A:B,2,FALSE)))+1)/VLOOKUP(B8305,'Poids des runes'!A:B,2,FALSE))</f>
        <v>16.09</v>
      </c>
      <c r="F8305">
        <f t="shared" si="129"/>
        <v>16.09</v>
      </c>
    </row>
    <row r="8306" spans="1:6" x14ac:dyDescent="0.3">
      <c r="A8306" t="s">
        <v>1405</v>
      </c>
      <c r="B8306" t="s">
        <v>2148</v>
      </c>
      <c r="C8306">
        <v>8</v>
      </c>
      <c r="D8306">
        <v>198</v>
      </c>
      <c r="E8306">
        <f>IF(OR(B8306="vi",B8306="ii",B8306="pod"),(((D8306/100)*(C8306*VLOOKUP(B8306,'Poids des runes'!A:B,2,FALSE)))+1),(((D8306/100)*(C8306*VLOOKUP(B8306,'Poids des runes'!A:B,2,FALSE)))+1)/VLOOKUP(B8306,'Poids des runes'!A:B,2,FALSE))</f>
        <v>16.006666666666664</v>
      </c>
      <c r="F8306">
        <f t="shared" si="129"/>
        <v>16.006666666666664</v>
      </c>
    </row>
    <row r="8307" spans="1:6" x14ac:dyDescent="0.3">
      <c r="A8307" t="s">
        <v>1405</v>
      </c>
      <c r="B8307" t="s">
        <v>2135</v>
      </c>
      <c r="C8307">
        <v>8</v>
      </c>
      <c r="D8307">
        <v>198</v>
      </c>
      <c r="E8307">
        <f>IF(OR(B8307="vi",B8307="ii",B8307="pod"),(((D8307/100)*(C8307*VLOOKUP(B8307,'Poids des runes'!A:B,2,FALSE)))+1),(((D8307/100)*(C8307*VLOOKUP(B8307,'Poids des runes'!A:B,2,FALSE)))+1)/VLOOKUP(B8307,'Poids des runes'!A:B,2,FALSE))</f>
        <v>16.006666666666664</v>
      </c>
      <c r="F8307">
        <f t="shared" si="129"/>
        <v>16.006666666666664</v>
      </c>
    </row>
    <row r="8308" spans="1:6" x14ac:dyDescent="0.3">
      <c r="A8308" t="s">
        <v>1405</v>
      </c>
      <c r="B8308" t="s">
        <v>2157</v>
      </c>
      <c r="C8308">
        <v>8</v>
      </c>
      <c r="D8308">
        <v>198</v>
      </c>
      <c r="E8308">
        <f>IF(OR(B8308="vi",B8308="ii",B8308="pod"),(((D8308/100)*(C8308*VLOOKUP(B8308,'Poids des runes'!A:B,2,FALSE)))+1),(((D8308/100)*(C8308*VLOOKUP(B8308,'Poids des runes'!A:B,2,FALSE)))+1)/VLOOKUP(B8308,'Poids des runes'!A:B,2,FALSE))</f>
        <v>16.006666666666664</v>
      </c>
      <c r="F8308">
        <f t="shared" si="129"/>
        <v>16.006666666666664</v>
      </c>
    </row>
    <row r="8309" spans="1:6" x14ac:dyDescent="0.3">
      <c r="A8309" t="s">
        <v>1406</v>
      </c>
      <c r="B8309" t="s">
        <v>2128</v>
      </c>
      <c r="C8309">
        <v>275.5</v>
      </c>
      <c r="D8309">
        <v>198</v>
      </c>
      <c r="E8309">
        <f>IF(OR(B8309="vi",B8309="ii",B8309="pod"),(((D8309/100)*(C8309*VLOOKUP(B8309,'Poids des runes'!A:B,2,FALSE)))+1),(((D8309/100)*(C8309*VLOOKUP(B8309,'Poids des runes'!A:B,2,FALSE)))+1)/VLOOKUP(B8309,'Poids des runes'!A:B,2,FALSE))</f>
        <v>110.098</v>
      </c>
      <c r="F8309">
        <f t="shared" si="129"/>
        <v>110.098</v>
      </c>
    </row>
    <row r="8310" spans="1:6" x14ac:dyDescent="0.3">
      <c r="A8310" t="s">
        <v>1406</v>
      </c>
      <c r="B8310" t="s">
        <v>2130</v>
      </c>
      <c r="C8310">
        <v>60.5</v>
      </c>
      <c r="D8310">
        <v>198</v>
      </c>
      <c r="E8310">
        <f>IF(OR(B8310="vi",B8310="ii",B8310="pod"),(((D8310/100)*(C8310*VLOOKUP(B8310,'Poids des runes'!A:B,2,FALSE)))+1),(((D8310/100)*(C8310*VLOOKUP(B8310,'Poids des runes'!A:B,2,FALSE)))+1)/VLOOKUP(B8310,'Poids des runes'!A:B,2,FALSE))</f>
        <v>120.78999999999999</v>
      </c>
      <c r="F8310">
        <f t="shared" si="129"/>
        <v>120.78999999999999</v>
      </c>
    </row>
    <row r="8311" spans="1:6" x14ac:dyDescent="0.3">
      <c r="A8311" t="s">
        <v>1406</v>
      </c>
      <c r="B8311" t="s">
        <v>2131</v>
      </c>
      <c r="C8311">
        <v>60.5</v>
      </c>
      <c r="D8311">
        <v>198</v>
      </c>
      <c r="E8311">
        <f>IF(OR(B8311="vi",B8311="ii",B8311="pod"),(((D8311/100)*(C8311*VLOOKUP(B8311,'Poids des runes'!A:B,2,FALSE)))+1),(((D8311/100)*(C8311*VLOOKUP(B8311,'Poids des runes'!A:B,2,FALSE)))+1)/VLOOKUP(B8311,'Poids des runes'!A:B,2,FALSE))</f>
        <v>120.78999999999999</v>
      </c>
      <c r="F8311">
        <f t="shared" si="129"/>
        <v>120.78999999999999</v>
      </c>
    </row>
    <row r="8312" spans="1:6" x14ac:dyDescent="0.3">
      <c r="A8312" t="s">
        <v>1406</v>
      </c>
      <c r="B8312" t="s">
        <v>2129</v>
      </c>
      <c r="C8312">
        <v>35.5</v>
      </c>
      <c r="D8312">
        <v>198</v>
      </c>
      <c r="E8312">
        <f>IF(OR(B8312="vi",B8312="ii",B8312="pod"),(((D8312/100)*(C8312*VLOOKUP(B8312,'Poids des runes'!A:B,2,FALSE)))+1),(((D8312/100)*(C8312*VLOOKUP(B8312,'Poids des runes'!A:B,2,FALSE)))+1)/VLOOKUP(B8312,'Poids des runes'!A:B,2,FALSE))</f>
        <v>71.290000000000006</v>
      </c>
      <c r="F8312">
        <f t="shared" si="129"/>
        <v>71.290000000000006</v>
      </c>
    </row>
    <row r="8313" spans="1:6" x14ac:dyDescent="0.3">
      <c r="A8313" t="s">
        <v>1406</v>
      </c>
      <c r="B8313" t="s">
        <v>2151</v>
      </c>
      <c r="C8313">
        <v>2.5</v>
      </c>
      <c r="D8313">
        <v>198</v>
      </c>
      <c r="E8313">
        <f>IF(OR(B8313="vi",B8313="ii",B8313="pod"),(((D8313/100)*(C8313*VLOOKUP(B8313,'Poids des runes'!A:B,2,FALSE)))+1),(((D8313/100)*(C8313*VLOOKUP(B8313,'Poids des runes'!A:B,2,FALSE)))+1)/VLOOKUP(B8313,'Poids des runes'!A:B,2,FALSE))</f>
        <v>5.05</v>
      </c>
      <c r="F8313">
        <f t="shared" si="129"/>
        <v>5.05</v>
      </c>
    </row>
    <row r="8314" spans="1:6" x14ac:dyDescent="0.3">
      <c r="A8314" t="s">
        <v>1406</v>
      </c>
      <c r="B8314" t="s">
        <v>2143</v>
      </c>
      <c r="C8314">
        <v>13</v>
      </c>
      <c r="D8314">
        <v>198</v>
      </c>
      <c r="E8314">
        <f>IF(OR(B8314="vi",B8314="ii",B8314="pod"),(((D8314/100)*(C8314*VLOOKUP(B8314,'Poids des runes'!A:B,2,FALSE)))+1),(((D8314/100)*(C8314*VLOOKUP(B8314,'Poids des runes'!A:B,2,FALSE)))+1)/VLOOKUP(B8314,'Poids des runes'!A:B,2,FALSE))</f>
        <v>25.939999999999998</v>
      </c>
      <c r="F8314">
        <f t="shared" si="129"/>
        <v>25.939999999999998</v>
      </c>
    </row>
    <row r="8315" spans="1:6" x14ac:dyDescent="0.3">
      <c r="A8315" t="s">
        <v>1406</v>
      </c>
      <c r="B8315" t="s">
        <v>2133</v>
      </c>
      <c r="C8315">
        <v>13</v>
      </c>
      <c r="D8315">
        <v>198</v>
      </c>
      <c r="E8315">
        <f>IF(OR(B8315="vi",B8315="ii",B8315="pod"),(((D8315/100)*(C8315*VLOOKUP(B8315,'Poids des runes'!A:B,2,FALSE)))+1),(((D8315/100)*(C8315*VLOOKUP(B8315,'Poids des runes'!A:B,2,FALSE)))+1)/VLOOKUP(B8315,'Poids des runes'!A:B,2,FALSE))</f>
        <v>25.939999999999998</v>
      </c>
      <c r="F8315">
        <f t="shared" si="129"/>
        <v>25.939999999999998</v>
      </c>
    </row>
    <row r="8316" spans="1:6" x14ac:dyDescent="0.3">
      <c r="A8316" t="s">
        <v>1406</v>
      </c>
      <c r="B8316" t="s">
        <v>2161</v>
      </c>
      <c r="C8316">
        <v>8</v>
      </c>
      <c r="D8316">
        <v>198</v>
      </c>
      <c r="E8316">
        <f>IF(OR(B8316="vi",B8316="ii",B8316="pod"),(((D8316/100)*(C8316*VLOOKUP(B8316,'Poids des runes'!A:B,2,FALSE)))+1),(((D8316/100)*(C8316*VLOOKUP(B8316,'Poids des runes'!A:B,2,FALSE)))+1)/VLOOKUP(B8316,'Poids des runes'!A:B,2,FALSE))</f>
        <v>16.173333333333332</v>
      </c>
      <c r="F8316">
        <f t="shared" si="129"/>
        <v>16.173333333333332</v>
      </c>
    </row>
    <row r="8317" spans="1:6" x14ac:dyDescent="0.3">
      <c r="A8317" t="s">
        <v>1406</v>
      </c>
      <c r="B8317" t="s">
        <v>2138</v>
      </c>
      <c r="C8317">
        <v>10</v>
      </c>
      <c r="D8317">
        <v>198</v>
      </c>
      <c r="E8317">
        <f>IF(OR(B8317="vi",B8317="ii",B8317="pod"),(((D8317/100)*(C8317*VLOOKUP(B8317,'Poids des runes'!A:B,2,FALSE)))+1),(((D8317/100)*(C8317*VLOOKUP(B8317,'Poids des runes'!A:B,2,FALSE)))+1)/VLOOKUP(B8317,'Poids des runes'!A:B,2,FALSE))</f>
        <v>20.05</v>
      </c>
      <c r="F8317">
        <f t="shared" si="129"/>
        <v>20.05</v>
      </c>
    </row>
    <row r="8318" spans="1:6" x14ac:dyDescent="0.3">
      <c r="A8318" t="s">
        <v>1406</v>
      </c>
      <c r="B8318" t="s">
        <v>2142</v>
      </c>
      <c r="C8318">
        <v>8</v>
      </c>
      <c r="D8318">
        <v>198</v>
      </c>
      <c r="E8318">
        <f>IF(OR(B8318="vi",B8318="ii",B8318="pod"),(((D8318/100)*(C8318*VLOOKUP(B8318,'Poids des runes'!A:B,2,FALSE)))+1),(((D8318/100)*(C8318*VLOOKUP(B8318,'Poids des runes'!A:B,2,FALSE)))+1)/VLOOKUP(B8318,'Poids des runes'!A:B,2,FALSE))</f>
        <v>16.04</v>
      </c>
      <c r="F8318">
        <f t="shared" si="129"/>
        <v>16.04</v>
      </c>
    </row>
    <row r="8319" spans="1:6" x14ac:dyDescent="0.3">
      <c r="A8319" t="s">
        <v>1406</v>
      </c>
      <c r="B8319" t="s">
        <v>2163</v>
      </c>
      <c r="C8319">
        <v>8.5</v>
      </c>
      <c r="D8319">
        <v>198</v>
      </c>
      <c r="E8319">
        <f>IF(OR(B8319="vi",B8319="ii",B8319="pod"),(((D8319/100)*(C8319*VLOOKUP(B8319,'Poids des runes'!A:B,2,FALSE)))+1),(((D8319/100)*(C8319*VLOOKUP(B8319,'Poids des runes'!A:B,2,FALSE)))+1)/VLOOKUP(B8319,'Poids des runes'!A:B,2,FALSE))</f>
        <v>17.329999999999998</v>
      </c>
      <c r="F8319">
        <f t="shared" si="129"/>
        <v>17.329999999999998</v>
      </c>
    </row>
    <row r="8320" spans="1:6" x14ac:dyDescent="0.3">
      <c r="A8320" t="s">
        <v>1406</v>
      </c>
      <c r="B8320" t="s">
        <v>2147</v>
      </c>
      <c r="C8320">
        <v>4</v>
      </c>
      <c r="D8320">
        <v>198</v>
      </c>
      <c r="E8320">
        <f>IF(OR(B8320="vi",B8320="ii",B8320="pod"),(((D8320/100)*(C8320*VLOOKUP(B8320,'Poids des runes'!A:B,2,FALSE)))+1),(((D8320/100)*(C8320*VLOOKUP(B8320,'Poids des runes'!A:B,2,FALSE)))+1)/VLOOKUP(B8320,'Poids des runes'!A:B,2,FALSE))</f>
        <v>8.086666666666666</v>
      </c>
      <c r="F8320">
        <f t="shared" si="129"/>
        <v>8.086666666666666</v>
      </c>
    </row>
    <row r="8321" spans="1:6" x14ac:dyDescent="0.3">
      <c r="A8321" t="s">
        <v>1406</v>
      </c>
      <c r="B8321" t="s">
        <v>2135</v>
      </c>
      <c r="C8321">
        <v>5</v>
      </c>
      <c r="D8321">
        <v>198</v>
      </c>
      <c r="E8321">
        <f>IF(OR(B8321="vi",B8321="ii",B8321="pod"),(((D8321/100)*(C8321*VLOOKUP(B8321,'Poids des runes'!A:B,2,FALSE)))+1),(((D8321/100)*(C8321*VLOOKUP(B8321,'Poids des runes'!A:B,2,FALSE)))+1)/VLOOKUP(B8321,'Poids des runes'!A:B,2,FALSE))</f>
        <v>10.066666666666666</v>
      </c>
      <c r="F8321">
        <f t="shared" si="129"/>
        <v>10.066666666666666</v>
      </c>
    </row>
    <row r="8322" spans="1:6" x14ac:dyDescent="0.3">
      <c r="A8322" t="s">
        <v>1407</v>
      </c>
      <c r="B8322" t="s">
        <v>2128</v>
      </c>
      <c r="C8322">
        <v>125.5</v>
      </c>
      <c r="D8322">
        <v>198</v>
      </c>
      <c r="E8322">
        <f>IF(OR(B8322="vi",B8322="ii",B8322="pod"),(((D8322/100)*(C8322*VLOOKUP(B8322,'Poids des runes'!A:B,2,FALSE)))+1),(((D8322/100)*(C8322*VLOOKUP(B8322,'Poids des runes'!A:B,2,FALSE)))+1)/VLOOKUP(B8322,'Poids des runes'!A:B,2,FALSE))</f>
        <v>50.698</v>
      </c>
      <c r="F8322">
        <f t="shared" si="129"/>
        <v>50.698</v>
      </c>
    </row>
    <row r="8323" spans="1:6" x14ac:dyDescent="0.3">
      <c r="A8323" t="s">
        <v>1407</v>
      </c>
      <c r="B8323" t="s">
        <v>2126</v>
      </c>
      <c r="C8323">
        <v>50.5</v>
      </c>
      <c r="D8323">
        <v>198</v>
      </c>
      <c r="E8323">
        <f>IF(OR(B8323="vi",B8323="ii",B8323="pod"),(((D8323/100)*(C8323*VLOOKUP(B8323,'Poids des runes'!A:B,2,FALSE)))+1),(((D8323/100)*(C8323*VLOOKUP(B8323,'Poids des runes'!A:B,2,FALSE)))+1)/VLOOKUP(B8323,'Poids des runes'!A:B,2,FALSE))</f>
        <v>100.99</v>
      </c>
      <c r="F8323">
        <f t="shared" ref="F8323:F8386" si="130">E8323</f>
        <v>100.99</v>
      </c>
    </row>
    <row r="8324" spans="1:6" x14ac:dyDescent="0.3">
      <c r="A8324" t="s">
        <v>1407</v>
      </c>
      <c r="B8324" t="s">
        <v>2127</v>
      </c>
      <c r="C8324">
        <v>50.5</v>
      </c>
      <c r="D8324">
        <v>198</v>
      </c>
      <c r="E8324">
        <f>IF(OR(B8324="vi",B8324="ii",B8324="pod"),(((D8324/100)*(C8324*VLOOKUP(B8324,'Poids des runes'!A:B,2,FALSE)))+1),(((D8324/100)*(C8324*VLOOKUP(B8324,'Poids des runes'!A:B,2,FALSE)))+1)/VLOOKUP(B8324,'Poids des runes'!A:B,2,FALSE))</f>
        <v>100.99</v>
      </c>
      <c r="F8324">
        <f t="shared" si="130"/>
        <v>100.99</v>
      </c>
    </row>
    <row r="8325" spans="1:6" x14ac:dyDescent="0.3">
      <c r="A8325" t="s">
        <v>1407</v>
      </c>
      <c r="B8325" t="s">
        <v>2129</v>
      </c>
      <c r="C8325">
        <v>40.5</v>
      </c>
      <c r="D8325">
        <v>198</v>
      </c>
      <c r="E8325">
        <f>IF(OR(B8325="vi",B8325="ii",B8325="pod"),(((D8325/100)*(C8325*VLOOKUP(B8325,'Poids des runes'!A:B,2,FALSE)))+1),(((D8325/100)*(C8325*VLOOKUP(B8325,'Poids des runes'!A:B,2,FALSE)))+1)/VLOOKUP(B8325,'Poids des runes'!A:B,2,FALSE))</f>
        <v>81.19</v>
      </c>
      <c r="F8325">
        <f t="shared" si="130"/>
        <v>81.19</v>
      </c>
    </row>
    <row r="8326" spans="1:6" x14ac:dyDescent="0.3">
      <c r="A8326" t="s">
        <v>1407</v>
      </c>
      <c r="B8326" t="s">
        <v>2151</v>
      </c>
      <c r="C8326">
        <v>6</v>
      </c>
      <c r="D8326">
        <v>198</v>
      </c>
      <c r="E8326">
        <f>IF(OR(B8326="vi",B8326="ii",B8326="pod"),(((D8326/100)*(C8326*VLOOKUP(B8326,'Poids des runes'!A:B,2,FALSE)))+1),(((D8326/100)*(C8326*VLOOKUP(B8326,'Poids des runes'!A:B,2,FALSE)))+1)/VLOOKUP(B8326,'Poids des runes'!A:B,2,FALSE))</f>
        <v>11.98</v>
      </c>
      <c r="F8326">
        <f t="shared" si="130"/>
        <v>11.98</v>
      </c>
    </row>
    <row r="8327" spans="1:6" x14ac:dyDescent="0.3">
      <c r="A8327" t="s">
        <v>1407</v>
      </c>
      <c r="B8327" t="s">
        <v>2155</v>
      </c>
      <c r="C8327">
        <v>1</v>
      </c>
      <c r="D8327">
        <v>198</v>
      </c>
      <c r="E8327">
        <f>IF(OR(B8327="vi",B8327="ii",B8327="pod"),(((D8327/100)*(C8327*VLOOKUP(B8327,'Poids des runes'!A:B,2,FALSE)))+1),(((D8327/100)*(C8327*VLOOKUP(B8327,'Poids des runes'!A:B,2,FALSE)))+1)/VLOOKUP(B8327,'Poids des runes'!A:B,2,FALSE))</f>
        <v>1.999607843137255</v>
      </c>
      <c r="F8327">
        <f t="shared" si="130"/>
        <v>1.999607843137255</v>
      </c>
    </row>
    <row r="8328" spans="1:6" x14ac:dyDescent="0.3">
      <c r="A8328" t="s">
        <v>1407</v>
      </c>
      <c r="B8328" t="s">
        <v>2140</v>
      </c>
      <c r="C8328">
        <v>8.5</v>
      </c>
      <c r="D8328">
        <v>198</v>
      </c>
      <c r="E8328">
        <f>IF(OR(B8328="vi",B8328="ii",B8328="pod"),(((D8328/100)*(C8328*VLOOKUP(B8328,'Poids des runes'!A:B,2,FALSE)))+1),(((D8328/100)*(C8328*VLOOKUP(B8328,'Poids des runes'!A:B,2,FALSE)))+1)/VLOOKUP(B8328,'Poids des runes'!A:B,2,FALSE))</f>
        <v>17.03</v>
      </c>
      <c r="F8328">
        <f t="shared" si="130"/>
        <v>17.03</v>
      </c>
    </row>
    <row r="8329" spans="1:6" x14ac:dyDescent="0.3">
      <c r="A8329" t="s">
        <v>1407</v>
      </c>
      <c r="B8329" t="s">
        <v>2153</v>
      </c>
      <c r="C8329">
        <v>8.5</v>
      </c>
      <c r="D8329">
        <v>198</v>
      </c>
      <c r="E8329">
        <f>IF(OR(B8329="vi",B8329="ii",B8329="pod"),(((D8329/100)*(C8329*VLOOKUP(B8329,'Poids des runes'!A:B,2,FALSE)))+1),(((D8329/100)*(C8329*VLOOKUP(B8329,'Poids des runes'!A:B,2,FALSE)))+1)/VLOOKUP(B8329,'Poids des runes'!A:B,2,FALSE))</f>
        <v>17.03</v>
      </c>
      <c r="F8329">
        <f t="shared" si="130"/>
        <v>17.03</v>
      </c>
    </row>
    <row r="8330" spans="1:6" x14ac:dyDescent="0.3">
      <c r="A8330" t="s">
        <v>1407</v>
      </c>
      <c r="B8330" t="s">
        <v>2149</v>
      </c>
      <c r="C8330">
        <v>7</v>
      </c>
      <c r="D8330">
        <v>198</v>
      </c>
      <c r="E8330">
        <f>IF(OR(B8330="vi",B8330="ii",B8330="pod"),(((D8330/100)*(C8330*VLOOKUP(B8330,'Poids des runes'!A:B,2,FALSE)))+1),(((D8330/100)*(C8330*VLOOKUP(B8330,'Poids des runes'!A:B,2,FALSE)))+1)/VLOOKUP(B8330,'Poids des runes'!A:B,2,FALSE))</f>
        <v>13.959999999999999</v>
      </c>
      <c r="F8330">
        <f t="shared" si="130"/>
        <v>13.959999999999999</v>
      </c>
    </row>
    <row r="8331" spans="1:6" x14ac:dyDescent="0.3">
      <c r="A8331" t="s">
        <v>1407</v>
      </c>
      <c r="B8331" t="s">
        <v>2161</v>
      </c>
      <c r="C8331">
        <v>8.5</v>
      </c>
      <c r="D8331">
        <v>198</v>
      </c>
      <c r="E8331">
        <f>IF(OR(B8331="vi",B8331="ii",B8331="pod"),(((D8331/100)*(C8331*VLOOKUP(B8331,'Poids des runes'!A:B,2,FALSE)))+1),(((D8331/100)*(C8331*VLOOKUP(B8331,'Poids des runes'!A:B,2,FALSE)))+1)/VLOOKUP(B8331,'Poids des runes'!A:B,2,FALSE))</f>
        <v>17.163333333333334</v>
      </c>
      <c r="F8331">
        <f t="shared" si="130"/>
        <v>17.163333333333334</v>
      </c>
    </row>
    <row r="8332" spans="1:6" x14ac:dyDescent="0.3">
      <c r="A8332" t="s">
        <v>1407</v>
      </c>
      <c r="B8332" t="s">
        <v>2132</v>
      </c>
      <c r="C8332">
        <v>450.5</v>
      </c>
      <c r="D8332">
        <v>198</v>
      </c>
      <c r="E8332">
        <f>IF(OR(B8332="vi",B8332="ii",B8332="pod"),(((D8332/100)*(C8332*VLOOKUP(B8332,'Poids des runes'!A:B,2,FALSE)))+1),(((D8332/100)*(C8332*VLOOKUP(B8332,'Poids des runes'!A:B,2,FALSE)))+1)/VLOOKUP(B8332,'Poids des runes'!A:B,2,FALSE))</f>
        <v>90.199000000000012</v>
      </c>
      <c r="F8332">
        <f t="shared" si="130"/>
        <v>90.199000000000012</v>
      </c>
    </row>
    <row r="8333" spans="1:6" x14ac:dyDescent="0.3">
      <c r="A8333" t="s">
        <v>1407</v>
      </c>
      <c r="B8333" t="s">
        <v>2158</v>
      </c>
      <c r="C8333">
        <v>13</v>
      </c>
      <c r="D8333">
        <v>198</v>
      </c>
      <c r="E8333">
        <f>IF(OR(B8333="vi",B8333="ii",B8333="pod"),(((D8333/100)*(C8333*VLOOKUP(B8333,'Poids des runes'!A:B,2,FALSE)))+1),(((D8333/100)*(C8333*VLOOKUP(B8333,'Poids des runes'!A:B,2,FALSE)))+1)/VLOOKUP(B8333,'Poids des runes'!A:B,2,FALSE))</f>
        <v>25.939999999999998</v>
      </c>
      <c r="F8333">
        <f t="shared" si="130"/>
        <v>25.939999999999998</v>
      </c>
    </row>
    <row r="8334" spans="1:6" x14ac:dyDescent="0.3">
      <c r="A8334" t="s">
        <v>1407</v>
      </c>
      <c r="B8334" t="s">
        <v>2148</v>
      </c>
      <c r="C8334">
        <v>7</v>
      </c>
      <c r="D8334">
        <v>198</v>
      </c>
      <c r="E8334">
        <f>IF(OR(B8334="vi",B8334="ii",B8334="pod"),(((D8334/100)*(C8334*VLOOKUP(B8334,'Poids des runes'!A:B,2,FALSE)))+1),(((D8334/100)*(C8334*VLOOKUP(B8334,'Poids des runes'!A:B,2,FALSE)))+1)/VLOOKUP(B8334,'Poids des runes'!A:B,2,FALSE))</f>
        <v>14.026666666666666</v>
      </c>
      <c r="F8334">
        <f t="shared" si="130"/>
        <v>14.026666666666666</v>
      </c>
    </row>
    <row r="8335" spans="1:6" x14ac:dyDescent="0.3">
      <c r="A8335" t="s">
        <v>1407</v>
      </c>
      <c r="B8335" t="s">
        <v>2157</v>
      </c>
      <c r="C8335">
        <v>7</v>
      </c>
      <c r="D8335">
        <v>198</v>
      </c>
      <c r="E8335">
        <f>IF(OR(B8335="vi",B8335="ii",B8335="pod"),(((D8335/100)*(C8335*VLOOKUP(B8335,'Poids des runes'!A:B,2,FALSE)))+1),(((D8335/100)*(C8335*VLOOKUP(B8335,'Poids des runes'!A:B,2,FALSE)))+1)/VLOOKUP(B8335,'Poids des runes'!A:B,2,FALSE))</f>
        <v>14.026666666666666</v>
      </c>
      <c r="F8335">
        <f t="shared" si="130"/>
        <v>14.026666666666666</v>
      </c>
    </row>
    <row r="8336" spans="1:6" x14ac:dyDescent="0.3">
      <c r="A8336" t="s">
        <v>1407</v>
      </c>
      <c r="B8336" t="s">
        <v>2145</v>
      </c>
      <c r="C8336">
        <v>10</v>
      </c>
      <c r="D8336">
        <v>198</v>
      </c>
      <c r="E8336">
        <f>IF(OR(B8336="vi",B8336="ii",B8336="pod"),(((D8336/100)*(C8336*VLOOKUP(B8336,'Poids des runes'!A:B,2,FALSE)))+1),(((D8336/100)*(C8336*VLOOKUP(B8336,'Poids des runes'!A:B,2,FALSE)))+1)/VLOOKUP(B8336,'Poids des runes'!A:B,2,FALSE))</f>
        <v>20.3</v>
      </c>
      <c r="F8336">
        <f t="shared" si="130"/>
        <v>20.3</v>
      </c>
    </row>
    <row r="8337" spans="1:6" x14ac:dyDescent="0.3">
      <c r="A8337" t="s">
        <v>1408</v>
      </c>
      <c r="B8337" t="s">
        <v>2128</v>
      </c>
      <c r="C8337">
        <v>375.5</v>
      </c>
      <c r="D8337">
        <v>198</v>
      </c>
      <c r="E8337">
        <f>IF(OR(B8337="vi",B8337="ii",B8337="pod"),(((D8337/100)*(C8337*VLOOKUP(B8337,'Poids des runes'!A:B,2,FALSE)))+1),(((D8337/100)*(C8337*VLOOKUP(B8337,'Poids des runes'!A:B,2,FALSE)))+1)/VLOOKUP(B8337,'Poids des runes'!A:B,2,FALSE))</f>
        <v>149.69800000000001</v>
      </c>
      <c r="F8337">
        <f t="shared" si="130"/>
        <v>149.69800000000001</v>
      </c>
    </row>
    <row r="8338" spans="1:6" x14ac:dyDescent="0.3">
      <c r="A8338" t="s">
        <v>1408</v>
      </c>
      <c r="B8338" t="s">
        <v>2126</v>
      </c>
      <c r="C8338">
        <v>60.5</v>
      </c>
      <c r="D8338">
        <v>198</v>
      </c>
      <c r="E8338">
        <f>IF(OR(B8338="vi",B8338="ii",B8338="pod"),(((D8338/100)*(C8338*VLOOKUP(B8338,'Poids des runes'!A:B,2,FALSE)))+1),(((D8338/100)*(C8338*VLOOKUP(B8338,'Poids des runes'!A:B,2,FALSE)))+1)/VLOOKUP(B8338,'Poids des runes'!A:B,2,FALSE))</f>
        <v>120.78999999999999</v>
      </c>
      <c r="F8338">
        <f t="shared" si="130"/>
        <v>120.78999999999999</v>
      </c>
    </row>
    <row r="8339" spans="1:6" x14ac:dyDescent="0.3">
      <c r="A8339" t="s">
        <v>1408</v>
      </c>
      <c r="B8339" t="s">
        <v>2131</v>
      </c>
      <c r="C8339">
        <v>60.5</v>
      </c>
      <c r="D8339">
        <v>198</v>
      </c>
      <c r="E8339">
        <f>IF(OR(B8339="vi",B8339="ii",B8339="pod"),(((D8339/100)*(C8339*VLOOKUP(B8339,'Poids des runes'!A:B,2,FALSE)))+1),(((D8339/100)*(C8339*VLOOKUP(B8339,'Poids des runes'!A:B,2,FALSE)))+1)/VLOOKUP(B8339,'Poids des runes'!A:B,2,FALSE))</f>
        <v>120.78999999999999</v>
      </c>
      <c r="F8339">
        <f t="shared" si="130"/>
        <v>120.78999999999999</v>
      </c>
    </row>
    <row r="8340" spans="1:6" x14ac:dyDescent="0.3">
      <c r="A8340" t="s">
        <v>1408</v>
      </c>
      <c r="B8340" t="s">
        <v>2129</v>
      </c>
      <c r="C8340">
        <v>40.5</v>
      </c>
      <c r="D8340">
        <v>198</v>
      </c>
      <c r="E8340">
        <f>IF(OR(B8340="vi",B8340="ii",B8340="pod"),(((D8340/100)*(C8340*VLOOKUP(B8340,'Poids des runes'!A:B,2,FALSE)))+1),(((D8340/100)*(C8340*VLOOKUP(B8340,'Poids des runes'!A:B,2,FALSE)))+1)/VLOOKUP(B8340,'Poids des runes'!A:B,2,FALSE))</f>
        <v>81.19</v>
      </c>
      <c r="F8340">
        <f t="shared" si="130"/>
        <v>81.19</v>
      </c>
    </row>
    <row r="8341" spans="1:6" x14ac:dyDescent="0.3">
      <c r="A8341" t="s">
        <v>1408</v>
      </c>
      <c r="B8341" t="s">
        <v>2155</v>
      </c>
      <c r="C8341">
        <v>1</v>
      </c>
      <c r="D8341">
        <v>198</v>
      </c>
      <c r="E8341">
        <f>IF(OR(B8341="vi",B8341="ii",B8341="pod"),(((D8341/100)*(C8341*VLOOKUP(B8341,'Poids des runes'!A:B,2,FALSE)))+1),(((D8341/100)*(C8341*VLOOKUP(B8341,'Poids des runes'!A:B,2,FALSE)))+1)/VLOOKUP(B8341,'Poids des runes'!A:B,2,FALSE))</f>
        <v>1.999607843137255</v>
      </c>
      <c r="F8341">
        <f t="shared" si="130"/>
        <v>1.999607843137255</v>
      </c>
    </row>
    <row r="8342" spans="1:6" x14ac:dyDescent="0.3">
      <c r="A8342" t="s">
        <v>1408</v>
      </c>
      <c r="B8342" t="s">
        <v>2140</v>
      </c>
      <c r="C8342">
        <v>10</v>
      </c>
      <c r="D8342">
        <v>198</v>
      </c>
      <c r="E8342">
        <f>IF(OR(B8342="vi",B8342="ii",B8342="pod"),(((D8342/100)*(C8342*VLOOKUP(B8342,'Poids des runes'!A:B,2,FALSE)))+1),(((D8342/100)*(C8342*VLOOKUP(B8342,'Poids des runes'!A:B,2,FALSE)))+1)/VLOOKUP(B8342,'Poids des runes'!A:B,2,FALSE))</f>
        <v>20</v>
      </c>
      <c r="F8342">
        <f t="shared" si="130"/>
        <v>20</v>
      </c>
    </row>
    <row r="8343" spans="1:6" x14ac:dyDescent="0.3">
      <c r="A8343" t="s">
        <v>1408</v>
      </c>
      <c r="B8343" t="s">
        <v>2133</v>
      </c>
      <c r="C8343">
        <v>10</v>
      </c>
      <c r="D8343">
        <v>198</v>
      </c>
      <c r="E8343">
        <f>IF(OR(B8343="vi",B8343="ii",B8343="pod"),(((D8343/100)*(C8343*VLOOKUP(B8343,'Poids des runes'!A:B,2,FALSE)))+1),(((D8343/100)*(C8343*VLOOKUP(B8343,'Poids des runes'!A:B,2,FALSE)))+1)/VLOOKUP(B8343,'Poids des runes'!A:B,2,FALSE))</f>
        <v>20</v>
      </c>
      <c r="F8343">
        <f t="shared" si="130"/>
        <v>20</v>
      </c>
    </row>
    <row r="8344" spans="1:6" x14ac:dyDescent="0.3">
      <c r="A8344" t="s">
        <v>1408</v>
      </c>
      <c r="B8344" t="s">
        <v>2149</v>
      </c>
      <c r="C8344">
        <v>10</v>
      </c>
      <c r="D8344">
        <v>198</v>
      </c>
      <c r="E8344">
        <f>IF(OR(B8344="vi",B8344="ii",B8344="pod"),(((D8344/100)*(C8344*VLOOKUP(B8344,'Poids des runes'!A:B,2,FALSE)))+1),(((D8344/100)*(C8344*VLOOKUP(B8344,'Poids des runes'!A:B,2,FALSE)))+1)/VLOOKUP(B8344,'Poids des runes'!A:B,2,FALSE))</f>
        <v>19.899999999999999</v>
      </c>
      <c r="F8344">
        <f t="shared" si="130"/>
        <v>19.899999999999999</v>
      </c>
    </row>
    <row r="8345" spans="1:6" x14ac:dyDescent="0.3">
      <c r="A8345" t="s">
        <v>1408</v>
      </c>
      <c r="B8345" t="s">
        <v>2132</v>
      </c>
      <c r="C8345">
        <v>250.5</v>
      </c>
      <c r="D8345">
        <v>198</v>
      </c>
      <c r="E8345">
        <f>IF(OR(B8345="vi",B8345="ii",B8345="pod"),(((D8345/100)*(C8345*VLOOKUP(B8345,'Poids des runes'!A:B,2,FALSE)))+1),(((D8345/100)*(C8345*VLOOKUP(B8345,'Poids des runes'!A:B,2,FALSE)))+1)/VLOOKUP(B8345,'Poids des runes'!A:B,2,FALSE))</f>
        <v>50.599000000000004</v>
      </c>
      <c r="F8345">
        <f t="shared" si="130"/>
        <v>50.599000000000004</v>
      </c>
    </row>
    <row r="8346" spans="1:6" x14ac:dyDescent="0.3">
      <c r="A8346" t="s">
        <v>1408</v>
      </c>
      <c r="B8346" t="s">
        <v>2165</v>
      </c>
      <c r="C8346">
        <v>4.5</v>
      </c>
      <c r="D8346">
        <v>198</v>
      </c>
      <c r="E8346">
        <f>IF(OR(B8346="vi",B8346="ii",B8346="pod"),(((D8346/100)*(C8346*VLOOKUP(B8346,'Poids des runes'!A:B,2,FALSE)))+1),(((D8346/100)*(C8346*VLOOKUP(B8346,'Poids des runes'!A:B,2,FALSE)))+1)/VLOOKUP(B8346,'Poids des runes'!A:B,2,FALSE))</f>
        <v>9.0528571428571425</v>
      </c>
      <c r="F8346">
        <f t="shared" si="130"/>
        <v>9.0528571428571425</v>
      </c>
    </row>
    <row r="8347" spans="1:6" x14ac:dyDescent="0.3">
      <c r="A8347" t="s">
        <v>1408</v>
      </c>
      <c r="B8347" t="s">
        <v>2148</v>
      </c>
      <c r="C8347">
        <v>7</v>
      </c>
      <c r="D8347">
        <v>198</v>
      </c>
      <c r="E8347">
        <f>IF(OR(B8347="vi",B8347="ii",B8347="pod"),(((D8347/100)*(C8347*VLOOKUP(B8347,'Poids des runes'!A:B,2,FALSE)))+1),(((D8347/100)*(C8347*VLOOKUP(B8347,'Poids des runes'!A:B,2,FALSE)))+1)/VLOOKUP(B8347,'Poids des runes'!A:B,2,FALSE))</f>
        <v>14.026666666666666</v>
      </c>
      <c r="F8347">
        <f t="shared" si="130"/>
        <v>14.026666666666666</v>
      </c>
    </row>
    <row r="8348" spans="1:6" x14ac:dyDescent="0.3">
      <c r="A8348" t="s">
        <v>1408</v>
      </c>
      <c r="B8348" t="s">
        <v>2147</v>
      </c>
      <c r="C8348">
        <v>5</v>
      </c>
      <c r="D8348">
        <v>198</v>
      </c>
      <c r="E8348">
        <f>IF(OR(B8348="vi",B8348="ii",B8348="pod"),(((D8348/100)*(C8348*VLOOKUP(B8348,'Poids des runes'!A:B,2,FALSE)))+1),(((D8348/100)*(C8348*VLOOKUP(B8348,'Poids des runes'!A:B,2,FALSE)))+1)/VLOOKUP(B8348,'Poids des runes'!A:B,2,FALSE))</f>
        <v>10.066666666666666</v>
      </c>
      <c r="F8348">
        <f t="shared" si="130"/>
        <v>10.066666666666666</v>
      </c>
    </row>
    <row r="8349" spans="1:6" x14ac:dyDescent="0.3">
      <c r="A8349" t="s">
        <v>1408</v>
      </c>
      <c r="B8349" t="s">
        <v>2137</v>
      </c>
      <c r="C8349">
        <v>7</v>
      </c>
      <c r="D8349">
        <v>198</v>
      </c>
      <c r="E8349">
        <f>IF(OR(B8349="vi",B8349="ii",B8349="pod"),(((D8349/100)*(C8349*VLOOKUP(B8349,'Poids des runes'!A:B,2,FALSE)))+1),(((D8349/100)*(C8349*VLOOKUP(B8349,'Poids des runes'!A:B,2,FALSE)))+1)/VLOOKUP(B8349,'Poids des runes'!A:B,2,FALSE))</f>
        <v>14.36</v>
      </c>
      <c r="F8349">
        <f t="shared" si="130"/>
        <v>14.36</v>
      </c>
    </row>
    <row r="8350" spans="1:6" x14ac:dyDescent="0.3">
      <c r="A8350" t="s">
        <v>1408</v>
      </c>
      <c r="B8350" t="s">
        <v>2144</v>
      </c>
      <c r="C8350">
        <v>5</v>
      </c>
      <c r="D8350">
        <v>198</v>
      </c>
      <c r="E8350">
        <f>IF(OR(B8350="vi",B8350="ii",B8350="pod"),(((D8350/100)*(C8350*VLOOKUP(B8350,'Poids des runes'!A:B,2,FALSE)))+1),(((D8350/100)*(C8350*VLOOKUP(B8350,'Poids des runes'!A:B,2,FALSE)))+1)/VLOOKUP(B8350,'Poids des runes'!A:B,2,FALSE))</f>
        <v>10.4</v>
      </c>
      <c r="F8350">
        <f t="shared" si="130"/>
        <v>10.4</v>
      </c>
    </row>
    <row r="8351" spans="1:6" x14ac:dyDescent="0.3">
      <c r="A8351" t="s">
        <v>1409</v>
      </c>
      <c r="B8351" t="s">
        <v>2128</v>
      </c>
      <c r="C8351">
        <v>375.5</v>
      </c>
      <c r="D8351">
        <v>198</v>
      </c>
      <c r="E8351">
        <f>IF(OR(B8351="vi",B8351="ii",B8351="pod"),(((D8351/100)*(C8351*VLOOKUP(B8351,'Poids des runes'!A:B,2,FALSE)))+1),(((D8351/100)*(C8351*VLOOKUP(B8351,'Poids des runes'!A:B,2,FALSE)))+1)/VLOOKUP(B8351,'Poids des runes'!A:B,2,FALSE))</f>
        <v>149.69800000000001</v>
      </c>
      <c r="F8351">
        <f t="shared" si="130"/>
        <v>149.69800000000001</v>
      </c>
    </row>
    <row r="8352" spans="1:6" x14ac:dyDescent="0.3">
      <c r="A8352" t="s">
        <v>1409</v>
      </c>
      <c r="B8352" t="s">
        <v>2126</v>
      </c>
      <c r="C8352">
        <v>70.5</v>
      </c>
      <c r="D8352">
        <v>198</v>
      </c>
      <c r="E8352">
        <f>IF(OR(B8352="vi",B8352="ii",B8352="pod"),(((D8352/100)*(C8352*VLOOKUP(B8352,'Poids des runes'!A:B,2,FALSE)))+1),(((D8352/100)*(C8352*VLOOKUP(B8352,'Poids des runes'!A:B,2,FALSE)))+1)/VLOOKUP(B8352,'Poids des runes'!A:B,2,FALSE))</f>
        <v>140.59</v>
      </c>
      <c r="F8352">
        <f t="shared" si="130"/>
        <v>140.59</v>
      </c>
    </row>
    <row r="8353" spans="1:6" x14ac:dyDescent="0.3">
      <c r="A8353" t="s">
        <v>1409</v>
      </c>
      <c r="B8353" t="s">
        <v>2129</v>
      </c>
      <c r="C8353">
        <v>40.5</v>
      </c>
      <c r="D8353">
        <v>198</v>
      </c>
      <c r="E8353">
        <f>IF(OR(B8353="vi",B8353="ii",B8353="pod"),(((D8353/100)*(C8353*VLOOKUP(B8353,'Poids des runes'!A:B,2,FALSE)))+1),(((D8353/100)*(C8353*VLOOKUP(B8353,'Poids des runes'!A:B,2,FALSE)))+1)/VLOOKUP(B8353,'Poids des runes'!A:B,2,FALSE))</f>
        <v>81.19</v>
      </c>
      <c r="F8353">
        <f t="shared" si="130"/>
        <v>81.19</v>
      </c>
    </row>
    <row r="8354" spans="1:6" x14ac:dyDescent="0.3">
      <c r="A8354" t="s">
        <v>1409</v>
      </c>
      <c r="B8354" t="s">
        <v>2155</v>
      </c>
      <c r="C8354">
        <v>1</v>
      </c>
      <c r="D8354">
        <v>198</v>
      </c>
      <c r="E8354">
        <f>IF(OR(B8354="vi",B8354="ii",B8354="pod"),(((D8354/100)*(C8354*VLOOKUP(B8354,'Poids des runes'!A:B,2,FALSE)))+1),(((D8354/100)*(C8354*VLOOKUP(B8354,'Poids des runes'!A:B,2,FALSE)))+1)/VLOOKUP(B8354,'Poids des runes'!A:B,2,FALSE))</f>
        <v>1.999607843137255</v>
      </c>
      <c r="F8354">
        <f t="shared" si="130"/>
        <v>1.999607843137255</v>
      </c>
    </row>
    <row r="8355" spans="1:6" x14ac:dyDescent="0.3">
      <c r="A8355" t="s">
        <v>1409</v>
      </c>
      <c r="B8355" t="s">
        <v>2140</v>
      </c>
      <c r="C8355">
        <v>13</v>
      </c>
      <c r="D8355">
        <v>198</v>
      </c>
      <c r="E8355">
        <f>IF(OR(B8355="vi",B8355="ii",B8355="pod"),(((D8355/100)*(C8355*VLOOKUP(B8355,'Poids des runes'!A:B,2,FALSE)))+1),(((D8355/100)*(C8355*VLOOKUP(B8355,'Poids des runes'!A:B,2,FALSE)))+1)/VLOOKUP(B8355,'Poids des runes'!A:B,2,FALSE))</f>
        <v>25.939999999999998</v>
      </c>
      <c r="F8355">
        <f t="shared" si="130"/>
        <v>25.939999999999998</v>
      </c>
    </row>
    <row r="8356" spans="1:6" x14ac:dyDescent="0.3">
      <c r="A8356" t="s">
        <v>1409</v>
      </c>
      <c r="B8356" t="s">
        <v>2149</v>
      </c>
      <c r="C8356">
        <v>5</v>
      </c>
      <c r="D8356">
        <v>198</v>
      </c>
      <c r="E8356">
        <f>IF(OR(B8356="vi",B8356="ii",B8356="pod"),(((D8356/100)*(C8356*VLOOKUP(B8356,'Poids des runes'!A:B,2,FALSE)))+1),(((D8356/100)*(C8356*VLOOKUP(B8356,'Poids des runes'!A:B,2,FALSE)))+1)/VLOOKUP(B8356,'Poids des runes'!A:B,2,FALSE))</f>
        <v>10</v>
      </c>
      <c r="F8356">
        <f t="shared" si="130"/>
        <v>10</v>
      </c>
    </row>
    <row r="8357" spans="1:6" x14ac:dyDescent="0.3">
      <c r="A8357" t="s">
        <v>1409</v>
      </c>
      <c r="B8357" t="s">
        <v>2161</v>
      </c>
      <c r="C8357">
        <v>13</v>
      </c>
      <c r="D8357">
        <v>198</v>
      </c>
      <c r="E8357">
        <f>IF(OR(B8357="vi",B8357="ii",B8357="pod"),(((D8357/100)*(C8357*VLOOKUP(B8357,'Poids des runes'!A:B,2,FALSE)))+1),(((D8357/100)*(C8357*VLOOKUP(B8357,'Poids des runes'!A:B,2,FALSE)))+1)/VLOOKUP(B8357,'Poids des runes'!A:B,2,FALSE))</f>
        <v>26.073333333333334</v>
      </c>
      <c r="F8357">
        <f t="shared" si="130"/>
        <v>26.073333333333334</v>
      </c>
    </row>
    <row r="8358" spans="1:6" x14ac:dyDescent="0.3">
      <c r="A8358" t="s">
        <v>1409</v>
      </c>
      <c r="B8358" t="s">
        <v>2148</v>
      </c>
      <c r="C8358">
        <v>8.5</v>
      </c>
      <c r="D8358">
        <v>198</v>
      </c>
      <c r="E8358">
        <f>IF(OR(B8358="vi",B8358="ii",B8358="pod"),(((D8358/100)*(C8358*VLOOKUP(B8358,'Poids des runes'!A:B,2,FALSE)))+1),(((D8358/100)*(C8358*VLOOKUP(B8358,'Poids des runes'!A:B,2,FALSE)))+1)/VLOOKUP(B8358,'Poids des runes'!A:B,2,FALSE))</f>
        <v>16.996666666666666</v>
      </c>
      <c r="F8358">
        <f t="shared" si="130"/>
        <v>16.996666666666666</v>
      </c>
    </row>
    <row r="8359" spans="1:6" x14ac:dyDescent="0.3">
      <c r="A8359" t="s">
        <v>1409</v>
      </c>
      <c r="B8359" t="s">
        <v>2157</v>
      </c>
      <c r="C8359">
        <v>8.5</v>
      </c>
      <c r="D8359">
        <v>198</v>
      </c>
      <c r="E8359">
        <f>IF(OR(B8359="vi",B8359="ii",B8359="pod"),(((D8359/100)*(C8359*VLOOKUP(B8359,'Poids des runes'!A:B,2,FALSE)))+1),(((D8359/100)*(C8359*VLOOKUP(B8359,'Poids des runes'!A:B,2,FALSE)))+1)/VLOOKUP(B8359,'Poids des runes'!A:B,2,FALSE))</f>
        <v>16.996666666666666</v>
      </c>
      <c r="F8359">
        <f t="shared" si="130"/>
        <v>16.996666666666666</v>
      </c>
    </row>
    <row r="8360" spans="1:6" x14ac:dyDescent="0.3">
      <c r="A8360" t="s">
        <v>1410</v>
      </c>
      <c r="B8360" t="s">
        <v>2128</v>
      </c>
      <c r="C8360">
        <v>325.5</v>
      </c>
      <c r="D8360">
        <v>198</v>
      </c>
      <c r="E8360">
        <f>IF(OR(B8360="vi",B8360="ii",B8360="pod"),(((D8360/100)*(C8360*VLOOKUP(B8360,'Poids des runes'!A:B,2,FALSE)))+1),(((D8360/100)*(C8360*VLOOKUP(B8360,'Poids des runes'!A:B,2,FALSE)))+1)/VLOOKUP(B8360,'Poids des runes'!A:B,2,FALSE))</f>
        <v>129.89800000000002</v>
      </c>
      <c r="F8360">
        <f t="shared" si="130"/>
        <v>129.89800000000002</v>
      </c>
    </row>
    <row r="8361" spans="1:6" x14ac:dyDescent="0.3">
      <c r="A8361" t="s">
        <v>1410</v>
      </c>
      <c r="B8361" t="s">
        <v>2130</v>
      </c>
      <c r="C8361">
        <v>70.5</v>
      </c>
      <c r="D8361">
        <v>198</v>
      </c>
      <c r="E8361">
        <f>IF(OR(B8361="vi",B8361="ii",B8361="pod"),(((D8361/100)*(C8361*VLOOKUP(B8361,'Poids des runes'!A:B,2,FALSE)))+1),(((D8361/100)*(C8361*VLOOKUP(B8361,'Poids des runes'!A:B,2,FALSE)))+1)/VLOOKUP(B8361,'Poids des runes'!A:B,2,FALSE))</f>
        <v>140.59</v>
      </c>
      <c r="F8361">
        <f t="shared" si="130"/>
        <v>140.59</v>
      </c>
    </row>
    <row r="8362" spans="1:6" x14ac:dyDescent="0.3">
      <c r="A8362" t="s">
        <v>1410</v>
      </c>
      <c r="B8362" t="s">
        <v>2129</v>
      </c>
      <c r="C8362">
        <v>50.5</v>
      </c>
      <c r="D8362">
        <v>198</v>
      </c>
      <c r="E8362">
        <f>IF(OR(B8362="vi",B8362="ii",B8362="pod"),(((D8362/100)*(C8362*VLOOKUP(B8362,'Poids des runes'!A:B,2,FALSE)))+1),(((D8362/100)*(C8362*VLOOKUP(B8362,'Poids des runes'!A:B,2,FALSE)))+1)/VLOOKUP(B8362,'Poids des runes'!A:B,2,FALSE))</f>
        <v>100.99</v>
      </c>
      <c r="F8362">
        <f t="shared" si="130"/>
        <v>100.99</v>
      </c>
    </row>
    <row r="8363" spans="1:6" x14ac:dyDescent="0.3">
      <c r="A8363" t="s">
        <v>1410</v>
      </c>
      <c r="B8363" t="s">
        <v>2151</v>
      </c>
      <c r="C8363">
        <v>4.5</v>
      </c>
      <c r="D8363">
        <v>198</v>
      </c>
      <c r="E8363">
        <f>IF(OR(B8363="vi",B8363="ii",B8363="pod"),(((D8363/100)*(C8363*VLOOKUP(B8363,'Poids des runes'!A:B,2,FALSE)))+1),(((D8363/100)*(C8363*VLOOKUP(B8363,'Poids des runes'!A:B,2,FALSE)))+1)/VLOOKUP(B8363,'Poids des runes'!A:B,2,FALSE))</f>
        <v>9.01</v>
      </c>
      <c r="F8363">
        <f t="shared" si="130"/>
        <v>9.01</v>
      </c>
    </row>
    <row r="8364" spans="1:6" x14ac:dyDescent="0.3">
      <c r="A8364" t="s">
        <v>1410</v>
      </c>
      <c r="B8364" t="s">
        <v>2143</v>
      </c>
      <c r="C8364">
        <v>13</v>
      </c>
      <c r="D8364">
        <v>198</v>
      </c>
      <c r="E8364">
        <f>IF(OR(B8364="vi",B8364="ii",B8364="pod"),(((D8364/100)*(C8364*VLOOKUP(B8364,'Poids des runes'!A:B,2,FALSE)))+1),(((D8364/100)*(C8364*VLOOKUP(B8364,'Poids des runes'!A:B,2,FALSE)))+1)/VLOOKUP(B8364,'Poids des runes'!A:B,2,FALSE))</f>
        <v>25.939999999999998</v>
      </c>
      <c r="F8364">
        <f t="shared" si="130"/>
        <v>25.939999999999998</v>
      </c>
    </row>
    <row r="8365" spans="1:6" x14ac:dyDescent="0.3">
      <c r="A8365" t="s">
        <v>1410</v>
      </c>
      <c r="B8365" t="s">
        <v>2161</v>
      </c>
      <c r="C8365">
        <v>13</v>
      </c>
      <c r="D8365">
        <v>198</v>
      </c>
      <c r="E8365">
        <f>IF(OR(B8365="vi",B8365="ii",B8365="pod"),(((D8365/100)*(C8365*VLOOKUP(B8365,'Poids des runes'!A:B,2,FALSE)))+1),(((D8365/100)*(C8365*VLOOKUP(B8365,'Poids des runes'!A:B,2,FALSE)))+1)/VLOOKUP(B8365,'Poids des runes'!A:B,2,FALSE))</f>
        <v>26.073333333333334</v>
      </c>
      <c r="F8365">
        <f t="shared" si="130"/>
        <v>26.073333333333334</v>
      </c>
    </row>
    <row r="8366" spans="1:6" x14ac:dyDescent="0.3">
      <c r="A8366" t="s">
        <v>1410</v>
      </c>
      <c r="B8366" t="s">
        <v>2162</v>
      </c>
      <c r="C8366">
        <v>5</v>
      </c>
      <c r="D8366">
        <v>198</v>
      </c>
      <c r="E8366">
        <f>IF(OR(B8366="vi",B8366="ii",B8366="pod"),(((D8366/100)*(C8366*VLOOKUP(B8366,'Poids des runes'!A:B,2,FALSE)))+1),(((D8366/100)*(C8366*VLOOKUP(B8366,'Poids des runes'!A:B,2,FALSE)))+1)/VLOOKUP(B8366,'Poids des runes'!A:B,2,FALSE))</f>
        <v>10.042857142857143</v>
      </c>
      <c r="F8366">
        <f t="shared" si="130"/>
        <v>10.042857142857143</v>
      </c>
    </row>
    <row r="8367" spans="1:6" x14ac:dyDescent="0.3">
      <c r="A8367" t="s">
        <v>1410</v>
      </c>
      <c r="B8367" t="s">
        <v>2147</v>
      </c>
      <c r="C8367">
        <v>6</v>
      </c>
      <c r="D8367">
        <v>198</v>
      </c>
      <c r="E8367">
        <f>IF(OR(B8367="vi",B8367="ii",B8367="pod"),(((D8367/100)*(C8367*VLOOKUP(B8367,'Poids des runes'!A:B,2,FALSE)))+1),(((D8367/100)*(C8367*VLOOKUP(B8367,'Poids des runes'!A:B,2,FALSE)))+1)/VLOOKUP(B8367,'Poids des runes'!A:B,2,FALSE))</f>
        <v>12.046666666666667</v>
      </c>
      <c r="F8367">
        <f t="shared" si="130"/>
        <v>12.046666666666667</v>
      </c>
    </row>
    <row r="8368" spans="1:6" x14ac:dyDescent="0.3">
      <c r="A8368" t="s">
        <v>1410</v>
      </c>
      <c r="B8368" t="s">
        <v>2135</v>
      </c>
      <c r="C8368">
        <v>6</v>
      </c>
      <c r="D8368">
        <v>198</v>
      </c>
      <c r="E8368">
        <f>IF(OR(B8368="vi",B8368="ii",B8368="pod"),(((D8368/100)*(C8368*VLOOKUP(B8368,'Poids des runes'!A:B,2,FALSE)))+1),(((D8368/100)*(C8368*VLOOKUP(B8368,'Poids des runes'!A:B,2,FALSE)))+1)/VLOOKUP(B8368,'Poids des runes'!A:B,2,FALSE))</f>
        <v>12.046666666666667</v>
      </c>
      <c r="F8368">
        <f t="shared" si="130"/>
        <v>12.046666666666667</v>
      </c>
    </row>
    <row r="8369" spans="1:6" x14ac:dyDescent="0.3">
      <c r="A8369" t="s">
        <v>1411</v>
      </c>
      <c r="B8369" t="s">
        <v>2128</v>
      </c>
      <c r="C8369">
        <v>225.5</v>
      </c>
      <c r="D8369">
        <v>198</v>
      </c>
      <c r="E8369">
        <f>IF(OR(B8369="vi",B8369="ii",B8369="pod"),(((D8369/100)*(C8369*VLOOKUP(B8369,'Poids des runes'!A:B,2,FALSE)))+1),(((D8369/100)*(C8369*VLOOKUP(B8369,'Poids des runes'!A:B,2,FALSE)))+1)/VLOOKUP(B8369,'Poids des runes'!A:B,2,FALSE))</f>
        <v>90.298000000000002</v>
      </c>
      <c r="F8369">
        <f t="shared" si="130"/>
        <v>90.298000000000002</v>
      </c>
    </row>
    <row r="8370" spans="1:6" x14ac:dyDescent="0.3">
      <c r="A8370" t="s">
        <v>1411</v>
      </c>
      <c r="B8370" t="s">
        <v>2126</v>
      </c>
      <c r="C8370">
        <v>40.5</v>
      </c>
      <c r="D8370">
        <v>198</v>
      </c>
      <c r="E8370">
        <f>IF(OR(B8370="vi",B8370="ii",B8370="pod"),(((D8370/100)*(C8370*VLOOKUP(B8370,'Poids des runes'!A:B,2,FALSE)))+1),(((D8370/100)*(C8370*VLOOKUP(B8370,'Poids des runes'!A:B,2,FALSE)))+1)/VLOOKUP(B8370,'Poids des runes'!A:B,2,FALSE))</f>
        <v>81.19</v>
      </c>
      <c r="F8370">
        <f t="shared" si="130"/>
        <v>81.19</v>
      </c>
    </row>
    <row r="8371" spans="1:6" x14ac:dyDescent="0.3">
      <c r="A8371" t="s">
        <v>1411</v>
      </c>
      <c r="B8371" t="s">
        <v>2131</v>
      </c>
      <c r="C8371">
        <v>40.5</v>
      </c>
      <c r="D8371">
        <v>198</v>
      </c>
      <c r="E8371">
        <f>IF(OR(B8371="vi",B8371="ii",B8371="pod"),(((D8371/100)*(C8371*VLOOKUP(B8371,'Poids des runes'!A:B,2,FALSE)))+1),(((D8371/100)*(C8371*VLOOKUP(B8371,'Poids des runes'!A:B,2,FALSE)))+1)/VLOOKUP(B8371,'Poids des runes'!A:B,2,FALSE))</f>
        <v>81.19</v>
      </c>
      <c r="F8371">
        <f t="shared" si="130"/>
        <v>81.19</v>
      </c>
    </row>
    <row r="8372" spans="1:6" x14ac:dyDescent="0.3">
      <c r="A8372" t="s">
        <v>1411</v>
      </c>
      <c r="B8372" t="s">
        <v>2127</v>
      </c>
      <c r="C8372">
        <v>40.5</v>
      </c>
      <c r="D8372">
        <v>198</v>
      </c>
      <c r="E8372">
        <f>IF(OR(B8372="vi",B8372="ii",B8372="pod"),(((D8372/100)*(C8372*VLOOKUP(B8372,'Poids des runes'!A:B,2,FALSE)))+1),(((D8372/100)*(C8372*VLOOKUP(B8372,'Poids des runes'!A:B,2,FALSE)))+1)/VLOOKUP(B8372,'Poids des runes'!A:B,2,FALSE))</f>
        <v>81.19</v>
      </c>
      <c r="F8372">
        <f t="shared" si="130"/>
        <v>81.19</v>
      </c>
    </row>
    <row r="8373" spans="1:6" x14ac:dyDescent="0.3">
      <c r="A8373" t="s">
        <v>1411</v>
      </c>
      <c r="B8373" t="s">
        <v>2129</v>
      </c>
      <c r="C8373">
        <v>40.5</v>
      </c>
      <c r="D8373">
        <v>198</v>
      </c>
      <c r="E8373">
        <f>IF(OR(B8373="vi",B8373="ii",B8373="pod"),(((D8373/100)*(C8373*VLOOKUP(B8373,'Poids des runes'!A:B,2,FALSE)))+1),(((D8373/100)*(C8373*VLOOKUP(B8373,'Poids des runes'!A:B,2,FALSE)))+1)/VLOOKUP(B8373,'Poids des runes'!A:B,2,FALSE))</f>
        <v>81.19</v>
      </c>
      <c r="F8373">
        <f t="shared" si="130"/>
        <v>81.19</v>
      </c>
    </row>
    <row r="8374" spans="1:6" x14ac:dyDescent="0.3">
      <c r="A8374" t="s">
        <v>1411</v>
      </c>
      <c r="B8374" t="s">
        <v>2151</v>
      </c>
      <c r="C8374">
        <v>3.5</v>
      </c>
      <c r="D8374">
        <v>198</v>
      </c>
      <c r="E8374">
        <f>IF(OR(B8374="vi",B8374="ii",B8374="pod"),(((D8374/100)*(C8374*VLOOKUP(B8374,'Poids des runes'!A:B,2,FALSE)))+1),(((D8374/100)*(C8374*VLOOKUP(B8374,'Poids des runes'!A:B,2,FALSE)))+1)/VLOOKUP(B8374,'Poids des runes'!A:B,2,FALSE))</f>
        <v>7.0299999999999994</v>
      </c>
      <c r="F8374">
        <f t="shared" si="130"/>
        <v>7.0299999999999994</v>
      </c>
    </row>
    <row r="8375" spans="1:6" x14ac:dyDescent="0.3">
      <c r="A8375" t="s">
        <v>1411</v>
      </c>
      <c r="B8375" t="s">
        <v>2152</v>
      </c>
      <c r="C8375">
        <v>1</v>
      </c>
      <c r="D8375">
        <v>198</v>
      </c>
      <c r="E8375">
        <f>IF(OR(B8375="vi",B8375="ii",B8375="pod"),(((D8375/100)*(C8375*VLOOKUP(B8375,'Poids des runes'!A:B,2,FALSE)))+1),(((D8375/100)*(C8375*VLOOKUP(B8375,'Poids des runes'!A:B,2,FALSE)))+1)/VLOOKUP(B8375,'Poids des runes'!A:B,2,FALSE))</f>
        <v>1.99</v>
      </c>
      <c r="F8375">
        <f t="shared" si="130"/>
        <v>1.99</v>
      </c>
    </row>
    <row r="8376" spans="1:6" x14ac:dyDescent="0.3">
      <c r="A8376" t="s">
        <v>1411</v>
      </c>
      <c r="B8376" t="s">
        <v>2154</v>
      </c>
      <c r="C8376">
        <v>1</v>
      </c>
      <c r="D8376">
        <v>198</v>
      </c>
      <c r="E8376">
        <f>IF(OR(B8376="vi",B8376="ii",B8376="pod"),(((D8376/100)*(C8376*VLOOKUP(B8376,'Poids des runes'!A:B,2,FALSE)))+1),(((D8376/100)*(C8376*VLOOKUP(B8376,'Poids des runes'!A:B,2,FALSE)))+1)/VLOOKUP(B8376,'Poids des runes'!A:B,2,FALSE))</f>
        <v>1.9911111111111111</v>
      </c>
      <c r="F8376">
        <f t="shared" si="130"/>
        <v>1.9911111111111111</v>
      </c>
    </row>
    <row r="8377" spans="1:6" x14ac:dyDescent="0.3">
      <c r="A8377" t="s">
        <v>1411</v>
      </c>
      <c r="B8377" t="s">
        <v>2155</v>
      </c>
      <c r="C8377">
        <v>1</v>
      </c>
      <c r="D8377">
        <v>198</v>
      </c>
      <c r="E8377">
        <f>IF(OR(B8377="vi",B8377="ii",B8377="pod"),(((D8377/100)*(C8377*VLOOKUP(B8377,'Poids des runes'!A:B,2,FALSE)))+1),(((D8377/100)*(C8377*VLOOKUP(B8377,'Poids des runes'!A:B,2,FALSE)))+1)/VLOOKUP(B8377,'Poids des runes'!A:B,2,FALSE))</f>
        <v>1.999607843137255</v>
      </c>
      <c r="F8377">
        <f t="shared" si="130"/>
        <v>1.999607843137255</v>
      </c>
    </row>
    <row r="8378" spans="1:6" x14ac:dyDescent="0.3">
      <c r="A8378" t="s">
        <v>1411</v>
      </c>
      <c r="B8378" t="s">
        <v>2140</v>
      </c>
      <c r="C8378">
        <v>8.5</v>
      </c>
      <c r="D8378">
        <v>198</v>
      </c>
      <c r="E8378">
        <f>IF(OR(B8378="vi",B8378="ii",B8378="pod"),(((D8378/100)*(C8378*VLOOKUP(B8378,'Poids des runes'!A:B,2,FALSE)))+1),(((D8378/100)*(C8378*VLOOKUP(B8378,'Poids des runes'!A:B,2,FALSE)))+1)/VLOOKUP(B8378,'Poids des runes'!A:B,2,FALSE))</f>
        <v>17.03</v>
      </c>
      <c r="F8378">
        <f t="shared" si="130"/>
        <v>17.03</v>
      </c>
    </row>
    <row r="8379" spans="1:6" x14ac:dyDescent="0.3">
      <c r="A8379" t="s">
        <v>1411</v>
      </c>
      <c r="B8379" t="s">
        <v>2133</v>
      </c>
      <c r="C8379">
        <v>8.5</v>
      </c>
      <c r="D8379">
        <v>198</v>
      </c>
      <c r="E8379">
        <f>IF(OR(B8379="vi",B8379="ii",B8379="pod"),(((D8379/100)*(C8379*VLOOKUP(B8379,'Poids des runes'!A:B,2,FALSE)))+1),(((D8379/100)*(C8379*VLOOKUP(B8379,'Poids des runes'!A:B,2,FALSE)))+1)/VLOOKUP(B8379,'Poids des runes'!A:B,2,FALSE))</f>
        <v>17.03</v>
      </c>
      <c r="F8379">
        <f t="shared" si="130"/>
        <v>17.03</v>
      </c>
    </row>
    <row r="8380" spans="1:6" x14ac:dyDescent="0.3">
      <c r="A8380" t="s">
        <v>1411</v>
      </c>
      <c r="B8380" t="s">
        <v>2153</v>
      </c>
      <c r="C8380">
        <v>8.5</v>
      </c>
      <c r="D8380">
        <v>198</v>
      </c>
      <c r="E8380">
        <f>IF(OR(B8380="vi",B8380="ii",B8380="pod"),(((D8380/100)*(C8380*VLOOKUP(B8380,'Poids des runes'!A:B,2,FALSE)))+1),(((D8380/100)*(C8380*VLOOKUP(B8380,'Poids des runes'!A:B,2,FALSE)))+1)/VLOOKUP(B8380,'Poids des runes'!A:B,2,FALSE))</f>
        <v>17.03</v>
      </c>
      <c r="F8380">
        <f t="shared" si="130"/>
        <v>17.03</v>
      </c>
    </row>
    <row r="8381" spans="1:6" x14ac:dyDescent="0.3">
      <c r="A8381" t="s">
        <v>1411</v>
      </c>
      <c r="B8381" t="s">
        <v>2141</v>
      </c>
      <c r="C8381">
        <v>4.5</v>
      </c>
      <c r="D8381">
        <v>198</v>
      </c>
      <c r="E8381">
        <f>IF(OR(B8381="vi",B8381="ii",B8381="pod"),(((D8381/100)*(C8381*VLOOKUP(B8381,'Poids des runes'!A:B,2,FALSE)))+1),(((D8381/100)*(C8381*VLOOKUP(B8381,'Poids des runes'!A:B,2,FALSE)))+1)/VLOOKUP(B8381,'Poids des runes'!A:B,2,FALSE))</f>
        <v>9.16</v>
      </c>
      <c r="F8381">
        <f t="shared" si="130"/>
        <v>9.16</v>
      </c>
    </row>
    <row r="8382" spans="1:6" x14ac:dyDescent="0.3">
      <c r="A8382" t="s">
        <v>1411</v>
      </c>
      <c r="B8382" t="s">
        <v>2160</v>
      </c>
      <c r="C8382">
        <v>4.5</v>
      </c>
      <c r="D8382">
        <v>198</v>
      </c>
      <c r="E8382">
        <f>IF(OR(B8382="vi",B8382="ii",B8382="pod"),(((D8382/100)*(C8382*VLOOKUP(B8382,'Poids des runes'!A:B,2,FALSE)))+1),(((D8382/100)*(C8382*VLOOKUP(B8382,'Poids des runes'!A:B,2,FALSE)))+1)/VLOOKUP(B8382,'Poids des runes'!A:B,2,FALSE))</f>
        <v>9.0528571428571425</v>
      </c>
      <c r="F8382">
        <f t="shared" si="130"/>
        <v>9.0528571428571425</v>
      </c>
    </row>
    <row r="8383" spans="1:6" x14ac:dyDescent="0.3">
      <c r="A8383" t="s">
        <v>1411</v>
      </c>
      <c r="B8383" t="s">
        <v>2164</v>
      </c>
      <c r="C8383">
        <v>13</v>
      </c>
      <c r="D8383">
        <v>198</v>
      </c>
      <c r="E8383">
        <f>IF(OR(B8383="vi",B8383="ii",B8383="pod"),(((D8383/100)*(C8383*VLOOKUP(B8383,'Poids des runes'!A:B,2,FALSE)))+1),(((D8383/100)*(C8383*VLOOKUP(B8383,'Poids des runes'!A:B,2,FALSE)))+1)/VLOOKUP(B8383,'Poids des runes'!A:B,2,FALSE))</f>
        <v>26.24</v>
      </c>
      <c r="F8383">
        <f t="shared" si="130"/>
        <v>26.24</v>
      </c>
    </row>
    <row r="8384" spans="1:6" x14ac:dyDescent="0.3">
      <c r="A8384" t="s">
        <v>1412</v>
      </c>
      <c r="B8384" t="s">
        <v>2128</v>
      </c>
      <c r="C8384">
        <v>225.5</v>
      </c>
      <c r="D8384">
        <v>198</v>
      </c>
      <c r="E8384">
        <f>IF(OR(B8384="vi",B8384="ii",B8384="pod"),(((D8384/100)*(C8384*VLOOKUP(B8384,'Poids des runes'!A:B,2,FALSE)))+1),(((D8384/100)*(C8384*VLOOKUP(B8384,'Poids des runes'!A:B,2,FALSE)))+1)/VLOOKUP(B8384,'Poids des runes'!A:B,2,FALSE))</f>
        <v>90.298000000000002</v>
      </c>
      <c r="F8384">
        <f t="shared" si="130"/>
        <v>90.298000000000002</v>
      </c>
    </row>
    <row r="8385" spans="1:6" x14ac:dyDescent="0.3">
      <c r="A8385" t="s">
        <v>1412</v>
      </c>
      <c r="B8385" t="s">
        <v>2131</v>
      </c>
      <c r="C8385">
        <v>50.5</v>
      </c>
      <c r="D8385">
        <v>198</v>
      </c>
      <c r="E8385">
        <f>IF(OR(B8385="vi",B8385="ii",B8385="pod"),(((D8385/100)*(C8385*VLOOKUP(B8385,'Poids des runes'!A:B,2,FALSE)))+1),(((D8385/100)*(C8385*VLOOKUP(B8385,'Poids des runes'!A:B,2,FALSE)))+1)/VLOOKUP(B8385,'Poids des runes'!A:B,2,FALSE))</f>
        <v>100.99</v>
      </c>
      <c r="F8385">
        <f t="shared" si="130"/>
        <v>100.99</v>
      </c>
    </row>
    <row r="8386" spans="1:6" x14ac:dyDescent="0.3">
      <c r="A8386" t="s">
        <v>1412</v>
      </c>
      <c r="B8386" t="s">
        <v>2127</v>
      </c>
      <c r="C8386">
        <v>50.5</v>
      </c>
      <c r="D8386">
        <v>198</v>
      </c>
      <c r="E8386">
        <f>IF(OR(B8386="vi",B8386="ii",B8386="pod"),(((D8386/100)*(C8386*VLOOKUP(B8386,'Poids des runes'!A:B,2,FALSE)))+1),(((D8386/100)*(C8386*VLOOKUP(B8386,'Poids des runes'!A:B,2,FALSE)))+1)/VLOOKUP(B8386,'Poids des runes'!A:B,2,FALSE))</f>
        <v>100.99</v>
      </c>
      <c r="F8386">
        <f t="shared" si="130"/>
        <v>100.99</v>
      </c>
    </row>
    <row r="8387" spans="1:6" x14ac:dyDescent="0.3">
      <c r="A8387" t="s">
        <v>1412</v>
      </c>
      <c r="B8387" t="s">
        <v>2129</v>
      </c>
      <c r="C8387">
        <v>35.5</v>
      </c>
      <c r="D8387">
        <v>198</v>
      </c>
      <c r="E8387">
        <f>IF(OR(B8387="vi",B8387="ii",B8387="pod"),(((D8387/100)*(C8387*VLOOKUP(B8387,'Poids des runes'!A:B,2,FALSE)))+1),(((D8387/100)*(C8387*VLOOKUP(B8387,'Poids des runes'!A:B,2,FALSE)))+1)/VLOOKUP(B8387,'Poids des runes'!A:B,2,FALSE))</f>
        <v>71.290000000000006</v>
      </c>
      <c r="F8387">
        <f t="shared" ref="F8387:F8450" si="131">E8387</f>
        <v>71.290000000000006</v>
      </c>
    </row>
    <row r="8388" spans="1:6" x14ac:dyDescent="0.3">
      <c r="A8388" t="s">
        <v>1412</v>
      </c>
      <c r="B8388" t="s">
        <v>2155</v>
      </c>
      <c r="C8388">
        <v>1</v>
      </c>
      <c r="D8388">
        <v>198</v>
      </c>
      <c r="E8388">
        <f>IF(OR(B8388="vi",B8388="ii",B8388="pod"),(((D8388/100)*(C8388*VLOOKUP(B8388,'Poids des runes'!A:B,2,FALSE)))+1),(((D8388/100)*(C8388*VLOOKUP(B8388,'Poids des runes'!A:B,2,FALSE)))+1)/VLOOKUP(B8388,'Poids des runes'!A:B,2,FALSE))</f>
        <v>1.999607843137255</v>
      </c>
      <c r="F8388">
        <f t="shared" si="131"/>
        <v>1.999607843137255</v>
      </c>
    </row>
    <row r="8389" spans="1:6" x14ac:dyDescent="0.3">
      <c r="A8389" t="s">
        <v>1412</v>
      </c>
      <c r="B8389" t="s">
        <v>2133</v>
      </c>
      <c r="C8389">
        <v>10</v>
      </c>
      <c r="D8389">
        <v>198</v>
      </c>
      <c r="E8389">
        <f>IF(OR(B8389="vi",B8389="ii",B8389="pod"),(((D8389/100)*(C8389*VLOOKUP(B8389,'Poids des runes'!A:B,2,FALSE)))+1),(((D8389/100)*(C8389*VLOOKUP(B8389,'Poids des runes'!A:B,2,FALSE)))+1)/VLOOKUP(B8389,'Poids des runes'!A:B,2,FALSE))</f>
        <v>20</v>
      </c>
      <c r="F8389">
        <f t="shared" si="131"/>
        <v>20</v>
      </c>
    </row>
    <row r="8390" spans="1:6" x14ac:dyDescent="0.3">
      <c r="A8390" t="s">
        <v>1412</v>
      </c>
      <c r="B8390" t="s">
        <v>2153</v>
      </c>
      <c r="C8390">
        <v>10</v>
      </c>
      <c r="D8390">
        <v>198</v>
      </c>
      <c r="E8390">
        <f>IF(OR(B8390="vi",B8390="ii",B8390="pod"),(((D8390/100)*(C8390*VLOOKUP(B8390,'Poids des runes'!A:B,2,FALSE)))+1),(((D8390/100)*(C8390*VLOOKUP(B8390,'Poids des runes'!A:B,2,FALSE)))+1)/VLOOKUP(B8390,'Poids des runes'!A:B,2,FALSE))</f>
        <v>20</v>
      </c>
      <c r="F8390">
        <f t="shared" si="131"/>
        <v>20</v>
      </c>
    </row>
    <row r="8391" spans="1:6" x14ac:dyDescent="0.3">
      <c r="A8391" t="s">
        <v>1412</v>
      </c>
      <c r="B8391" t="s">
        <v>2161</v>
      </c>
      <c r="C8391">
        <v>8.5</v>
      </c>
      <c r="D8391">
        <v>198</v>
      </c>
      <c r="E8391">
        <f>IF(OR(B8391="vi",B8391="ii",B8391="pod"),(((D8391/100)*(C8391*VLOOKUP(B8391,'Poids des runes'!A:B,2,FALSE)))+1),(((D8391/100)*(C8391*VLOOKUP(B8391,'Poids des runes'!A:B,2,FALSE)))+1)/VLOOKUP(B8391,'Poids des runes'!A:B,2,FALSE))</f>
        <v>17.163333333333334</v>
      </c>
      <c r="F8391">
        <f t="shared" si="131"/>
        <v>17.163333333333334</v>
      </c>
    </row>
    <row r="8392" spans="1:6" x14ac:dyDescent="0.3">
      <c r="A8392" t="s">
        <v>1412</v>
      </c>
      <c r="B8392" t="s">
        <v>2132</v>
      </c>
      <c r="C8392">
        <v>350.5</v>
      </c>
      <c r="D8392">
        <v>198</v>
      </c>
      <c r="E8392">
        <f>IF(OR(B8392="vi",B8392="ii",B8392="pod"),(((D8392/100)*(C8392*VLOOKUP(B8392,'Poids des runes'!A:B,2,FALSE)))+1),(((D8392/100)*(C8392*VLOOKUP(B8392,'Poids des runes'!A:B,2,FALSE)))+1)/VLOOKUP(B8392,'Poids des runes'!A:B,2,FALSE))</f>
        <v>70.399000000000001</v>
      </c>
      <c r="F8392">
        <f t="shared" si="131"/>
        <v>70.399000000000001</v>
      </c>
    </row>
    <row r="8393" spans="1:6" x14ac:dyDescent="0.3">
      <c r="A8393" t="s">
        <v>1412</v>
      </c>
      <c r="B8393" t="s">
        <v>2138</v>
      </c>
      <c r="C8393">
        <v>4.5</v>
      </c>
      <c r="D8393">
        <v>198</v>
      </c>
      <c r="E8393">
        <f>IF(OR(B8393="vi",B8393="ii",B8393="pod"),(((D8393/100)*(C8393*VLOOKUP(B8393,'Poids des runes'!A:B,2,FALSE)))+1),(((D8393/100)*(C8393*VLOOKUP(B8393,'Poids des runes'!A:B,2,FALSE)))+1)/VLOOKUP(B8393,'Poids des runes'!A:B,2,FALSE))</f>
        <v>9.16</v>
      </c>
      <c r="F8393">
        <f t="shared" si="131"/>
        <v>9.16</v>
      </c>
    </row>
    <row r="8394" spans="1:6" x14ac:dyDescent="0.3">
      <c r="A8394" t="s">
        <v>1412</v>
      </c>
      <c r="B8394" t="s">
        <v>2156</v>
      </c>
      <c r="C8394">
        <v>6</v>
      </c>
      <c r="D8394">
        <v>198</v>
      </c>
      <c r="E8394">
        <f>IF(OR(B8394="vi",B8394="ii",B8394="pod"),(((D8394/100)*(C8394*VLOOKUP(B8394,'Poids des runes'!A:B,2,FALSE)))+1),(((D8394/100)*(C8394*VLOOKUP(B8394,'Poids des runes'!A:B,2,FALSE)))+1)/VLOOKUP(B8394,'Poids des runes'!A:B,2,FALSE))</f>
        <v>12.046666666666667</v>
      </c>
      <c r="F8394">
        <f t="shared" si="131"/>
        <v>12.046666666666667</v>
      </c>
    </row>
    <row r="8395" spans="1:6" x14ac:dyDescent="0.3">
      <c r="A8395" t="s">
        <v>1412</v>
      </c>
      <c r="B8395" t="s">
        <v>2148</v>
      </c>
      <c r="C8395">
        <v>6</v>
      </c>
      <c r="D8395">
        <v>198</v>
      </c>
      <c r="E8395">
        <f>IF(OR(B8395="vi",B8395="ii",B8395="pod"),(((D8395/100)*(C8395*VLOOKUP(B8395,'Poids des runes'!A:B,2,FALSE)))+1),(((D8395/100)*(C8395*VLOOKUP(B8395,'Poids des runes'!A:B,2,FALSE)))+1)/VLOOKUP(B8395,'Poids des runes'!A:B,2,FALSE))</f>
        <v>12.046666666666667</v>
      </c>
      <c r="F8395">
        <f t="shared" si="131"/>
        <v>12.046666666666667</v>
      </c>
    </row>
    <row r="8396" spans="1:6" x14ac:dyDescent="0.3">
      <c r="A8396" t="s">
        <v>1412</v>
      </c>
      <c r="B8396" t="s">
        <v>2147</v>
      </c>
      <c r="C8396">
        <v>6</v>
      </c>
      <c r="D8396">
        <v>198</v>
      </c>
      <c r="E8396">
        <f>IF(OR(B8396="vi",B8396="ii",B8396="pod"),(((D8396/100)*(C8396*VLOOKUP(B8396,'Poids des runes'!A:B,2,FALSE)))+1),(((D8396/100)*(C8396*VLOOKUP(B8396,'Poids des runes'!A:B,2,FALSE)))+1)/VLOOKUP(B8396,'Poids des runes'!A:B,2,FALSE))</f>
        <v>12.046666666666667</v>
      </c>
      <c r="F8396">
        <f t="shared" si="131"/>
        <v>12.046666666666667</v>
      </c>
    </row>
    <row r="8397" spans="1:6" x14ac:dyDescent="0.3">
      <c r="A8397" t="s">
        <v>1413</v>
      </c>
      <c r="B8397" t="s">
        <v>2128</v>
      </c>
      <c r="C8397">
        <v>275.5</v>
      </c>
      <c r="D8397">
        <v>198</v>
      </c>
      <c r="E8397">
        <f>IF(OR(B8397="vi",B8397="ii",B8397="pod"),(((D8397/100)*(C8397*VLOOKUP(B8397,'Poids des runes'!A:B,2,FALSE)))+1),(((D8397/100)*(C8397*VLOOKUP(B8397,'Poids des runes'!A:B,2,FALSE)))+1)/VLOOKUP(B8397,'Poids des runes'!A:B,2,FALSE))</f>
        <v>110.098</v>
      </c>
      <c r="F8397">
        <f t="shared" si="131"/>
        <v>110.098</v>
      </c>
    </row>
    <row r="8398" spans="1:6" x14ac:dyDescent="0.3">
      <c r="A8398" t="s">
        <v>1413</v>
      </c>
      <c r="B8398" t="s">
        <v>2130</v>
      </c>
      <c r="C8398">
        <v>60.5</v>
      </c>
      <c r="D8398">
        <v>198</v>
      </c>
      <c r="E8398">
        <f>IF(OR(B8398="vi",B8398="ii",B8398="pod"),(((D8398/100)*(C8398*VLOOKUP(B8398,'Poids des runes'!A:B,2,FALSE)))+1),(((D8398/100)*(C8398*VLOOKUP(B8398,'Poids des runes'!A:B,2,FALSE)))+1)/VLOOKUP(B8398,'Poids des runes'!A:B,2,FALSE))</f>
        <v>120.78999999999999</v>
      </c>
      <c r="F8398">
        <f t="shared" si="131"/>
        <v>120.78999999999999</v>
      </c>
    </row>
    <row r="8399" spans="1:6" x14ac:dyDescent="0.3">
      <c r="A8399" t="s">
        <v>1413</v>
      </c>
      <c r="B8399" t="s">
        <v>2129</v>
      </c>
      <c r="C8399">
        <v>25.5</v>
      </c>
      <c r="D8399">
        <v>198</v>
      </c>
      <c r="E8399">
        <f>IF(OR(B8399="vi",B8399="ii",B8399="pod"),(((D8399/100)*(C8399*VLOOKUP(B8399,'Poids des runes'!A:B,2,FALSE)))+1),(((D8399/100)*(C8399*VLOOKUP(B8399,'Poids des runes'!A:B,2,FALSE)))+1)/VLOOKUP(B8399,'Poids des runes'!A:B,2,FALSE))</f>
        <v>51.49</v>
      </c>
      <c r="F8399">
        <f t="shared" si="131"/>
        <v>51.49</v>
      </c>
    </row>
    <row r="8400" spans="1:6" x14ac:dyDescent="0.3">
      <c r="A8400" t="s">
        <v>1413</v>
      </c>
      <c r="B8400" t="s">
        <v>2155</v>
      </c>
      <c r="C8400">
        <v>1</v>
      </c>
      <c r="D8400">
        <v>198</v>
      </c>
      <c r="E8400">
        <f>IF(OR(B8400="vi",B8400="ii",B8400="pod"),(((D8400/100)*(C8400*VLOOKUP(B8400,'Poids des runes'!A:B,2,FALSE)))+1),(((D8400/100)*(C8400*VLOOKUP(B8400,'Poids des runes'!A:B,2,FALSE)))+1)/VLOOKUP(B8400,'Poids des runes'!A:B,2,FALSE))</f>
        <v>1.999607843137255</v>
      </c>
      <c r="F8400">
        <f t="shared" si="131"/>
        <v>1.999607843137255</v>
      </c>
    </row>
    <row r="8401" spans="1:6" x14ac:dyDescent="0.3">
      <c r="A8401" t="s">
        <v>1413</v>
      </c>
      <c r="B8401" t="s">
        <v>2143</v>
      </c>
      <c r="C8401">
        <v>13</v>
      </c>
      <c r="D8401">
        <v>198</v>
      </c>
      <c r="E8401">
        <f>IF(OR(B8401="vi",B8401="ii",B8401="pod"),(((D8401/100)*(C8401*VLOOKUP(B8401,'Poids des runes'!A:B,2,FALSE)))+1),(((D8401/100)*(C8401*VLOOKUP(B8401,'Poids des runes'!A:B,2,FALSE)))+1)/VLOOKUP(B8401,'Poids des runes'!A:B,2,FALSE))</f>
        <v>25.939999999999998</v>
      </c>
      <c r="F8401">
        <f t="shared" si="131"/>
        <v>25.939999999999998</v>
      </c>
    </row>
    <row r="8402" spans="1:6" x14ac:dyDescent="0.3">
      <c r="A8402" t="s">
        <v>1413</v>
      </c>
      <c r="B8402" t="s">
        <v>2141</v>
      </c>
      <c r="C8402">
        <v>4.5</v>
      </c>
      <c r="D8402">
        <v>198</v>
      </c>
      <c r="E8402">
        <f>IF(OR(B8402="vi",B8402="ii",B8402="pod"),(((D8402/100)*(C8402*VLOOKUP(B8402,'Poids des runes'!A:B,2,FALSE)))+1),(((D8402/100)*(C8402*VLOOKUP(B8402,'Poids des runes'!A:B,2,FALSE)))+1)/VLOOKUP(B8402,'Poids des runes'!A:B,2,FALSE))</f>
        <v>9.16</v>
      </c>
      <c r="F8402">
        <f t="shared" si="131"/>
        <v>9.16</v>
      </c>
    </row>
    <row r="8403" spans="1:6" x14ac:dyDescent="0.3">
      <c r="A8403" t="s">
        <v>1413</v>
      </c>
      <c r="B8403" t="s">
        <v>2162</v>
      </c>
      <c r="C8403">
        <v>6</v>
      </c>
      <c r="D8403">
        <v>198</v>
      </c>
      <c r="E8403">
        <f>IF(OR(B8403="vi",B8403="ii",B8403="pod"),(((D8403/100)*(C8403*VLOOKUP(B8403,'Poids des runes'!A:B,2,FALSE)))+1),(((D8403/100)*(C8403*VLOOKUP(B8403,'Poids des runes'!A:B,2,FALSE)))+1)/VLOOKUP(B8403,'Poids des runes'!A:B,2,FALSE))</f>
        <v>12.022857142857143</v>
      </c>
      <c r="F8403">
        <f t="shared" si="131"/>
        <v>12.022857142857143</v>
      </c>
    </row>
    <row r="8404" spans="1:6" x14ac:dyDescent="0.3">
      <c r="A8404" t="s">
        <v>1413</v>
      </c>
      <c r="B8404" t="s">
        <v>2147</v>
      </c>
      <c r="C8404">
        <v>8.5</v>
      </c>
      <c r="D8404">
        <v>198</v>
      </c>
      <c r="E8404">
        <f>IF(OR(B8404="vi",B8404="ii",B8404="pod"),(((D8404/100)*(C8404*VLOOKUP(B8404,'Poids des runes'!A:B,2,FALSE)))+1),(((D8404/100)*(C8404*VLOOKUP(B8404,'Poids des runes'!A:B,2,FALSE)))+1)/VLOOKUP(B8404,'Poids des runes'!A:B,2,FALSE))</f>
        <v>16.996666666666666</v>
      </c>
      <c r="F8404">
        <f t="shared" si="131"/>
        <v>16.996666666666666</v>
      </c>
    </row>
    <row r="8405" spans="1:6" x14ac:dyDescent="0.3">
      <c r="A8405" t="s">
        <v>1414</v>
      </c>
      <c r="B8405" t="s">
        <v>2128</v>
      </c>
      <c r="C8405">
        <v>275.5</v>
      </c>
      <c r="D8405">
        <v>198</v>
      </c>
      <c r="E8405">
        <f>IF(OR(B8405="vi",B8405="ii",B8405="pod"),(((D8405/100)*(C8405*VLOOKUP(B8405,'Poids des runes'!A:B,2,FALSE)))+1),(((D8405/100)*(C8405*VLOOKUP(B8405,'Poids des runes'!A:B,2,FALSE)))+1)/VLOOKUP(B8405,'Poids des runes'!A:B,2,FALSE))</f>
        <v>110.098</v>
      </c>
      <c r="F8405">
        <f t="shared" si="131"/>
        <v>110.098</v>
      </c>
    </row>
    <row r="8406" spans="1:6" x14ac:dyDescent="0.3">
      <c r="A8406" t="s">
        <v>1414</v>
      </c>
      <c r="B8406" t="s">
        <v>2130</v>
      </c>
      <c r="C8406">
        <v>40.5</v>
      </c>
      <c r="D8406">
        <v>198</v>
      </c>
      <c r="E8406">
        <f>IF(OR(B8406="vi",B8406="ii",B8406="pod"),(((D8406/100)*(C8406*VLOOKUP(B8406,'Poids des runes'!A:B,2,FALSE)))+1),(((D8406/100)*(C8406*VLOOKUP(B8406,'Poids des runes'!A:B,2,FALSE)))+1)/VLOOKUP(B8406,'Poids des runes'!A:B,2,FALSE))</f>
        <v>81.19</v>
      </c>
      <c r="F8406">
        <f t="shared" si="131"/>
        <v>81.19</v>
      </c>
    </row>
    <row r="8407" spans="1:6" x14ac:dyDescent="0.3">
      <c r="A8407" t="s">
        <v>1414</v>
      </c>
      <c r="B8407" t="s">
        <v>2126</v>
      </c>
      <c r="C8407">
        <v>40.5</v>
      </c>
      <c r="D8407">
        <v>198</v>
      </c>
      <c r="E8407">
        <f>IF(OR(B8407="vi",B8407="ii",B8407="pod"),(((D8407/100)*(C8407*VLOOKUP(B8407,'Poids des runes'!A:B,2,FALSE)))+1),(((D8407/100)*(C8407*VLOOKUP(B8407,'Poids des runes'!A:B,2,FALSE)))+1)/VLOOKUP(B8407,'Poids des runes'!A:B,2,FALSE))</f>
        <v>81.19</v>
      </c>
      <c r="F8407">
        <f t="shared" si="131"/>
        <v>81.19</v>
      </c>
    </row>
    <row r="8408" spans="1:6" x14ac:dyDescent="0.3">
      <c r="A8408" t="s">
        <v>1414</v>
      </c>
      <c r="B8408" t="s">
        <v>2131</v>
      </c>
      <c r="C8408">
        <v>40.5</v>
      </c>
      <c r="D8408">
        <v>198</v>
      </c>
      <c r="E8408">
        <f>IF(OR(B8408="vi",B8408="ii",B8408="pod"),(((D8408/100)*(C8408*VLOOKUP(B8408,'Poids des runes'!A:B,2,FALSE)))+1),(((D8408/100)*(C8408*VLOOKUP(B8408,'Poids des runes'!A:B,2,FALSE)))+1)/VLOOKUP(B8408,'Poids des runes'!A:B,2,FALSE))</f>
        <v>81.19</v>
      </c>
      <c r="F8408">
        <f t="shared" si="131"/>
        <v>81.19</v>
      </c>
    </row>
    <row r="8409" spans="1:6" x14ac:dyDescent="0.3">
      <c r="A8409" t="s">
        <v>1414</v>
      </c>
      <c r="B8409" t="s">
        <v>2151</v>
      </c>
      <c r="C8409">
        <v>2.5</v>
      </c>
      <c r="D8409">
        <v>198</v>
      </c>
      <c r="E8409">
        <f>IF(OR(B8409="vi",B8409="ii",B8409="pod"),(((D8409/100)*(C8409*VLOOKUP(B8409,'Poids des runes'!A:B,2,FALSE)))+1),(((D8409/100)*(C8409*VLOOKUP(B8409,'Poids des runes'!A:B,2,FALSE)))+1)/VLOOKUP(B8409,'Poids des runes'!A:B,2,FALSE))</f>
        <v>5.05</v>
      </c>
      <c r="F8409">
        <f t="shared" si="131"/>
        <v>5.05</v>
      </c>
    </row>
    <row r="8410" spans="1:6" x14ac:dyDescent="0.3">
      <c r="A8410" t="s">
        <v>1414</v>
      </c>
      <c r="B8410" t="s">
        <v>2143</v>
      </c>
      <c r="C8410">
        <v>8.5</v>
      </c>
      <c r="D8410">
        <v>198</v>
      </c>
      <c r="E8410">
        <f>IF(OR(B8410="vi",B8410="ii",B8410="pod"),(((D8410/100)*(C8410*VLOOKUP(B8410,'Poids des runes'!A:B,2,FALSE)))+1),(((D8410/100)*(C8410*VLOOKUP(B8410,'Poids des runes'!A:B,2,FALSE)))+1)/VLOOKUP(B8410,'Poids des runes'!A:B,2,FALSE))</f>
        <v>17.03</v>
      </c>
      <c r="F8410">
        <f t="shared" si="131"/>
        <v>17.03</v>
      </c>
    </row>
    <row r="8411" spans="1:6" x14ac:dyDescent="0.3">
      <c r="A8411" t="s">
        <v>1414</v>
      </c>
      <c r="B8411" t="s">
        <v>2149</v>
      </c>
      <c r="C8411">
        <v>8.5</v>
      </c>
      <c r="D8411">
        <v>198</v>
      </c>
      <c r="E8411">
        <f>IF(OR(B8411="vi",B8411="ii",B8411="pod"),(((D8411/100)*(C8411*VLOOKUP(B8411,'Poids des runes'!A:B,2,FALSE)))+1),(((D8411/100)*(C8411*VLOOKUP(B8411,'Poids des runes'!A:B,2,FALSE)))+1)/VLOOKUP(B8411,'Poids des runes'!A:B,2,FALSE))</f>
        <v>16.93</v>
      </c>
      <c r="F8411">
        <f t="shared" si="131"/>
        <v>16.93</v>
      </c>
    </row>
    <row r="8412" spans="1:6" x14ac:dyDescent="0.3">
      <c r="A8412" t="s">
        <v>1414</v>
      </c>
      <c r="B8412" t="s">
        <v>2158</v>
      </c>
      <c r="C8412">
        <v>8.5</v>
      </c>
      <c r="D8412">
        <v>198</v>
      </c>
      <c r="E8412">
        <f>IF(OR(B8412="vi",B8412="ii",B8412="pod"),(((D8412/100)*(C8412*VLOOKUP(B8412,'Poids des runes'!A:B,2,FALSE)))+1),(((D8412/100)*(C8412*VLOOKUP(B8412,'Poids des runes'!A:B,2,FALSE)))+1)/VLOOKUP(B8412,'Poids des runes'!A:B,2,FALSE))</f>
        <v>17.03</v>
      </c>
      <c r="F8412">
        <f t="shared" si="131"/>
        <v>17.03</v>
      </c>
    </row>
    <row r="8413" spans="1:6" x14ac:dyDescent="0.3">
      <c r="A8413" t="s">
        <v>1414</v>
      </c>
      <c r="B8413" t="s">
        <v>2137</v>
      </c>
      <c r="C8413">
        <v>8.5</v>
      </c>
      <c r="D8413">
        <v>198</v>
      </c>
      <c r="E8413">
        <f>IF(OR(B8413="vi",B8413="ii",B8413="pod"),(((D8413/100)*(C8413*VLOOKUP(B8413,'Poids des runes'!A:B,2,FALSE)))+1),(((D8413/100)*(C8413*VLOOKUP(B8413,'Poids des runes'!A:B,2,FALSE)))+1)/VLOOKUP(B8413,'Poids des runes'!A:B,2,FALSE))</f>
        <v>17.329999999999998</v>
      </c>
      <c r="F8413">
        <f t="shared" si="131"/>
        <v>17.329999999999998</v>
      </c>
    </row>
    <row r="8414" spans="1:6" x14ac:dyDescent="0.3">
      <c r="A8414" t="s">
        <v>1415</v>
      </c>
      <c r="B8414" t="s">
        <v>2128</v>
      </c>
      <c r="C8414">
        <v>275.5</v>
      </c>
      <c r="D8414">
        <v>198</v>
      </c>
      <c r="E8414">
        <f>IF(OR(B8414="vi",B8414="ii",B8414="pod"),(((D8414/100)*(C8414*VLOOKUP(B8414,'Poids des runes'!A:B,2,FALSE)))+1),(((D8414/100)*(C8414*VLOOKUP(B8414,'Poids des runes'!A:B,2,FALSE)))+1)/VLOOKUP(B8414,'Poids des runes'!A:B,2,FALSE))</f>
        <v>110.098</v>
      </c>
      <c r="F8414">
        <f t="shared" si="131"/>
        <v>110.098</v>
      </c>
    </row>
    <row r="8415" spans="1:6" x14ac:dyDescent="0.3">
      <c r="A8415" t="s">
        <v>1415</v>
      </c>
      <c r="B8415" t="s">
        <v>2127</v>
      </c>
      <c r="C8415">
        <v>70.5</v>
      </c>
      <c r="D8415">
        <v>198</v>
      </c>
      <c r="E8415">
        <f>IF(OR(B8415="vi",B8415="ii",B8415="pod"),(((D8415/100)*(C8415*VLOOKUP(B8415,'Poids des runes'!A:B,2,FALSE)))+1),(((D8415/100)*(C8415*VLOOKUP(B8415,'Poids des runes'!A:B,2,FALSE)))+1)/VLOOKUP(B8415,'Poids des runes'!A:B,2,FALSE))</f>
        <v>140.59</v>
      </c>
      <c r="F8415">
        <f t="shared" si="131"/>
        <v>140.59</v>
      </c>
    </row>
    <row r="8416" spans="1:6" x14ac:dyDescent="0.3">
      <c r="A8416" t="s">
        <v>1415</v>
      </c>
      <c r="B8416" t="s">
        <v>2129</v>
      </c>
      <c r="C8416">
        <v>40.5</v>
      </c>
      <c r="D8416">
        <v>198</v>
      </c>
      <c r="E8416">
        <f>IF(OR(B8416="vi",B8416="ii",B8416="pod"),(((D8416/100)*(C8416*VLOOKUP(B8416,'Poids des runes'!A:B,2,FALSE)))+1),(((D8416/100)*(C8416*VLOOKUP(B8416,'Poids des runes'!A:B,2,FALSE)))+1)/VLOOKUP(B8416,'Poids des runes'!A:B,2,FALSE))</f>
        <v>81.19</v>
      </c>
      <c r="F8416">
        <f t="shared" si="131"/>
        <v>81.19</v>
      </c>
    </row>
    <row r="8417" spans="1:6" x14ac:dyDescent="0.3">
      <c r="A8417" t="s">
        <v>1415</v>
      </c>
      <c r="B8417" t="s">
        <v>2151</v>
      </c>
      <c r="C8417">
        <v>2.5</v>
      </c>
      <c r="D8417">
        <v>198</v>
      </c>
      <c r="E8417">
        <f>IF(OR(B8417="vi",B8417="ii",B8417="pod"),(((D8417/100)*(C8417*VLOOKUP(B8417,'Poids des runes'!A:B,2,FALSE)))+1),(((D8417/100)*(C8417*VLOOKUP(B8417,'Poids des runes'!A:B,2,FALSE)))+1)/VLOOKUP(B8417,'Poids des runes'!A:B,2,FALSE))</f>
        <v>5.05</v>
      </c>
      <c r="F8417">
        <f t="shared" si="131"/>
        <v>5.05</v>
      </c>
    </row>
    <row r="8418" spans="1:6" x14ac:dyDescent="0.3">
      <c r="A8418" t="s">
        <v>1415</v>
      </c>
      <c r="B8418" t="s">
        <v>2153</v>
      </c>
      <c r="C8418">
        <v>10</v>
      </c>
      <c r="D8418">
        <v>198</v>
      </c>
      <c r="E8418">
        <f>IF(OR(B8418="vi",B8418="ii",B8418="pod"),(((D8418/100)*(C8418*VLOOKUP(B8418,'Poids des runes'!A:B,2,FALSE)))+1),(((D8418/100)*(C8418*VLOOKUP(B8418,'Poids des runes'!A:B,2,FALSE)))+1)/VLOOKUP(B8418,'Poids des runes'!A:B,2,FALSE))</f>
        <v>20</v>
      </c>
      <c r="F8418">
        <f t="shared" si="131"/>
        <v>20</v>
      </c>
    </row>
    <row r="8419" spans="1:6" x14ac:dyDescent="0.3">
      <c r="A8419" t="s">
        <v>1415</v>
      </c>
      <c r="B8419" t="s">
        <v>2161</v>
      </c>
      <c r="C8419">
        <v>18</v>
      </c>
      <c r="D8419">
        <v>198</v>
      </c>
      <c r="E8419">
        <f>IF(OR(B8419="vi",B8419="ii",B8419="pod"),(((D8419/100)*(C8419*VLOOKUP(B8419,'Poids des runes'!A:B,2,FALSE)))+1),(((D8419/100)*(C8419*VLOOKUP(B8419,'Poids des runes'!A:B,2,FALSE)))+1)/VLOOKUP(B8419,'Poids des runes'!A:B,2,FALSE))</f>
        <v>35.973333333333336</v>
      </c>
      <c r="F8419">
        <f t="shared" si="131"/>
        <v>35.973333333333336</v>
      </c>
    </row>
    <row r="8420" spans="1:6" x14ac:dyDescent="0.3">
      <c r="A8420" t="s">
        <v>1415</v>
      </c>
      <c r="B8420" t="s">
        <v>2141</v>
      </c>
      <c r="C8420">
        <v>8.5</v>
      </c>
      <c r="D8420">
        <v>198</v>
      </c>
      <c r="E8420">
        <f>IF(OR(B8420="vi",B8420="ii",B8420="pod"),(((D8420/100)*(C8420*VLOOKUP(B8420,'Poids des runes'!A:B,2,FALSE)))+1),(((D8420/100)*(C8420*VLOOKUP(B8420,'Poids des runes'!A:B,2,FALSE)))+1)/VLOOKUP(B8420,'Poids des runes'!A:B,2,FALSE))</f>
        <v>17.079999999999998</v>
      </c>
      <c r="F8420">
        <f t="shared" si="131"/>
        <v>17.079999999999998</v>
      </c>
    </row>
    <row r="8421" spans="1:6" x14ac:dyDescent="0.3">
      <c r="A8421" t="s">
        <v>1415</v>
      </c>
      <c r="B8421" t="s">
        <v>2165</v>
      </c>
      <c r="C8421">
        <v>6</v>
      </c>
      <c r="D8421">
        <v>198</v>
      </c>
      <c r="E8421">
        <f>IF(OR(B8421="vi",B8421="ii",B8421="pod"),(((D8421/100)*(C8421*VLOOKUP(B8421,'Poids des runes'!A:B,2,FALSE)))+1),(((D8421/100)*(C8421*VLOOKUP(B8421,'Poids des runes'!A:B,2,FALSE)))+1)/VLOOKUP(B8421,'Poids des runes'!A:B,2,FALSE))</f>
        <v>12.022857142857143</v>
      </c>
      <c r="F8421">
        <f t="shared" si="131"/>
        <v>12.022857142857143</v>
      </c>
    </row>
    <row r="8422" spans="1:6" x14ac:dyDescent="0.3">
      <c r="A8422" t="s">
        <v>1415</v>
      </c>
      <c r="B8422" t="s">
        <v>2158</v>
      </c>
      <c r="C8422">
        <v>10</v>
      </c>
      <c r="D8422">
        <v>198</v>
      </c>
      <c r="E8422">
        <f>IF(OR(B8422="vi",B8422="ii",B8422="pod"),(((D8422/100)*(C8422*VLOOKUP(B8422,'Poids des runes'!A:B,2,FALSE)))+1),(((D8422/100)*(C8422*VLOOKUP(B8422,'Poids des runes'!A:B,2,FALSE)))+1)/VLOOKUP(B8422,'Poids des runes'!A:B,2,FALSE))</f>
        <v>20</v>
      </c>
      <c r="F8422">
        <f t="shared" si="131"/>
        <v>20</v>
      </c>
    </row>
    <row r="8423" spans="1:6" x14ac:dyDescent="0.3">
      <c r="A8423" t="s">
        <v>1415</v>
      </c>
      <c r="B8423" t="s">
        <v>2156</v>
      </c>
      <c r="C8423">
        <v>8.5</v>
      </c>
      <c r="D8423">
        <v>198</v>
      </c>
      <c r="E8423">
        <f>IF(OR(B8423="vi",B8423="ii",B8423="pod"),(((D8423/100)*(C8423*VLOOKUP(B8423,'Poids des runes'!A:B,2,FALSE)))+1),(((D8423/100)*(C8423*VLOOKUP(B8423,'Poids des runes'!A:B,2,FALSE)))+1)/VLOOKUP(B8423,'Poids des runes'!A:B,2,FALSE))</f>
        <v>16.996666666666666</v>
      </c>
      <c r="F8423">
        <f t="shared" si="131"/>
        <v>16.996666666666666</v>
      </c>
    </row>
    <row r="8424" spans="1:6" x14ac:dyDescent="0.3">
      <c r="A8424" t="s">
        <v>1415</v>
      </c>
      <c r="B8424" t="s">
        <v>2144</v>
      </c>
      <c r="C8424">
        <v>18</v>
      </c>
      <c r="D8424">
        <v>198</v>
      </c>
      <c r="E8424">
        <f>IF(OR(B8424="vi",B8424="ii",B8424="pod"),(((D8424/100)*(C8424*VLOOKUP(B8424,'Poids des runes'!A:B,2,FALSE)))+1),(((D8424/100)*(C8424*VLOOKUP(B8424,'Poids des runes'!A:B,2,FALSE)))+1)/VLOOKUP(B8424,'Poids des runes'!A:B,2,FALSE))</f>
        <v>36.14</v>
      </c>
      <c r="F8424">
        <f t="shared" si="131"/>
        <v>36.14</v>
      </c>
    </row>
    <row r="8425" spans="1:6" x14ac:dyDescent="0.3">
      <c r="A8425" t="s">
        <v>1416</v>
      </c>
      <c r="B8425" t="s">
        <v>2128</v>
      </c>
      <c r="C8425">
        <v>275.5</v>
      </c>
      <c r="D8425">
        <v>198</v>
      </c>
      <c r="E8425">
        <f>IF(OR(B8425="vi",B8425="ii",B8425="pod"),(((D8425/100)*(C8425*VLOOKUP(B8425,'Poids des runes'!A:B,2,FALSE)))+1),(((D8425/100)*(C8425*VLOOKUP(B8425,'Poids des runes'!A:B,2,FALSE)))+1)/VLOOKUP(B8425,'Poids des runes'!A:B,2,FALSE))</f>
        <v>110.098</v>
      </c>
      <c r="F8425">
        <f t="shared" si="131"/>
        <v>110.098</v>
      </c>
    </row>
    <row r="8426" spans="1:6" x14ac:dyDescent="0.3">
      <c r="A8426" t="s">
        <v>1416</v>
      </c>
      <c r="B8426" t="s">
        <v>2129</v>
      </c>
      <c r="C8426">
        <v>35.5</v>
      </c>
      <c r="D8426">
        <v>198</v>
      </c>
      <c r="E8426">
        <f>IF(OR(B8426="vi",B8426="ii",B8426="pod"),(((D8426/100)*(C8426*VLOOKUP(B8426,'Poids des runes'!A:B,2,FALSE)))+1),(((D8426/100)*(C8426*VLOOKUP(B8426,'Poids des runes'!A:B,2,FALSE)))+1)/VLOOKUP(B8426,'Poids des runes'!A:B,2,FALSE))</f>
        <v>71.290000000000006</v>
      </c>
      <c r="F8426">
        <f t="shared" si="131"/>
        <v>71.290000000000006</v>
      </c>
    </row>
    <row r="8427" spans="1:6" x14ac:dyDescent="0.3">
      <c r="A8427" t="s">
        <v>1416</v>
      </c>
      <c r="B8427" t="s">
        <v>2139</v>
      </c>
      <c r="C8427">
        <v>40.5</v>
      </c>
      <c r="D8427">
        <v>198</v>
      </c>
      <c r="E8427">
        <f>IF(OR(B8427="vi",B8427="ii",B8427="pod"),(((D8427/100)*(C8427*VLOOKUP(B8427,'Poids des runes'!A:B,2,FALSE)))+1),(((D8427/100)*(C8427*VLOOKUP(B8427,'Poids des runes'!A:B,2,FALSE)))+1)/VLOOKUP(B8427,'Poids des runes'!A:B,2,FALSE))</f>
        <v>80.69</v>
      </c>
      <c r="F8427">
        <f t="shared" si="131"/>
        <v>80.69</v>
      </c>
    </row>
    <row r="8428" spans="1:6" x14ac:dyDescent="0.3">
      <c r="A8428" t="s">
        <v>1416</v>
      </c>
      <c r="B8428" t="s">
        <v>2151</v>
      </c>
      <c r="C8428">
        <v>3.5</v>
      </c>
      <c r="D8428">
        <v>198</v>
      </c>
      <c r="E8428">
        <f>IF(OR(B8428="vi",B8428="ii",B8428="pod"),(((D8428/100)*(C8428*VLOOKUP(B8428,'Poids des runes'!A:B,2,FALSE)))+1),(((D8428/100)*(C8428*VLOOKUP(B8428,'Poids des runes'!A:B,2,FALSE)))+1)/VLOOKUP(B8428,'Poids des runes'!A:B,2,FALSE))</f>
        <v>7.0299999999999994</v>
      </c>
      <c r="F8428">
        <f t="shared" si="131"/>
        <v>7.0299999999999994</v>
      </c>
    </row>
    <row r="8429" spans="1:6" x14ac:dyDescent="0.3">
      <c r="A8429" t="s">
        <v>1416</v>
      </c>
      <c r="B8429" t="s">
        <v>2155</v>
      </c>
      <c r="C8429">
        <v>1</v>
      </c>
      <c r="D8429">
        <v>198</v>
      </c>
      <c r="E8429">
        <f>IF(OR(B8429="vi",B8429="ii",B8429="pod"),(((D8429/100)*(C8429*VLOOKUP(B8429,'Poids des runes'!A:B,2,FALSE)))+1),(((D8429/100)*(C8429*VLOOKUP(B8429,'Poids des runes'!A:B,2,FALSE)))+1)/VLOOKUP(B8429,'Poids des runes'!A:B,2,FALSE))</f>
        <v>1.999607843137255</v>
      </c>
      <c r="F8429">
        <f t="shared" si="131"/>
        <v>1.999607843137255</v>
      </c>
    </row>
    <row r="8430" spans="1:6" x14ac:dyDescent="0.3">
      <c r="A8430" t="s">
        <v>1416</v>
      </c>
      <c r="B8430" t="s">
        <v>2143</v>
      </c>
      <c r="C8430">
        <v>8.5</v>
      </c>
      <c r="D8430">
        <v>198</v>
      </c>
      <c r="E8430">
        <f>IF(OR(B8430="vi",B8430="ii",B8430="pod"),(((D8430/100)*(C8430*VLOOKUP(B8430,'Poids des runes'!A:B,2,FALSE)))+1),(((D8430/100)*(C8430*VLOOKUP(B8430,'Poids des runes'!A:B,2,FALSE)))+1)/VLOOKUP(B8430,'Poids des runes'!A:B,2,FALSE))</f>
        <v>17.03</v>
      </c>
      <c r="F8430">
        <f t="shared" si="131"/>
        <v>17.03</v>
      </c>
    </row>
    <row r="8431" spans="1:6" x14ac:dyDescent="0.3">
      <c r="A8431" t="s">
        <v>1416</v>
      </c>
      <c r="B8431" t="s">
        <v>2140</v>
      </c>
      <c r="C8431">
        <v>8.5</v>
      </c>
      <c r="D8431">
        <v>198</v>
      </c>
      <c r="E8431">
        <f>IF(OR(B8431="vi",B8431="ii",B8431="pod"),(((D8431/100)*(C8431*VLOOKUP(B8431,'Poids des runes'!A:B,2,FALSE)))+1),(((D8431/100)*(C8431*VLOOKUP(B8431,'Poids des runes'!A:B,2,FALSE)))+1)/VLOOKUP(B8431,'Poids des runes'!A:B,2,FALSE))</f>
        <v>17.03</v>
      </c>
      <c r="F8431">
        <f t="shared" si="131"/>
        <v>17.03</v>
      </c>
    </row>
    <row r="8432" spans="1:6" x14ac:dyDescent="0.3">
      <c r="A8432" t="s">
        <v>1416</v>
      </c>
      <c r="B8432" t="s">
        <v>2133</v>
      </c>
      <c r="C8432">
        <v>8.5</v>
      </c>
      <c r="D8432">
        <v>198</v>
      </c>
      <c r="E8432">
        <f>IF(OR(B8432="vi",B8432="ii",B8432="pod"),(((D8432/100)*(C8432*VLOOKUP(B8432,'Poids des runes'!A:B,2,FALSE)))+1),(((D8432/100)*(C8432*VLOOKUP(B8432,'Poids des runes'!A:B,2,FALSE)))+1)/VLOOKUP(B8432,'Poids des runes'!A:B,2,FALSE))</f>
        <v>17.03</v>
      </c>
      <c r="F8432">
        <f t="shared" si="131"/>
        <v>17.03</v>
      </c>
    </row>
    <row r="8433" spans="1:6" x14ac:dyDescent="0.3">
      <c r="A8433" t="s">
        <v>1416</v>
      </c>
      <c r="B8433" t="s">
        <v>2153</v>
      </c>
      <c r="C8433">
        <v>8.5</v>
      </c>
      <c r="D8433">
        <v>198</v>
      </c>
      <c r="E8433">
        <f>IF(OR(B8433="vi",B8433="ii",B8433="pod"),(((D8433/100)*(C8433*VLOOKUP(B8433,'Poids des runes'!A:B,2,FALSE)))+1),(((D8433/100)*(C8433*VLOOKUP(B8433,'Poids des runes'!A:B,2,FALSE)))+1)/VLOOKUP(B8433,'Poids des runes'!A:B,2,FALSE))</f>
        <v>17.03</v>
      </c>
      <c r="F8433">
        <f t="shared" si="131"/>
        <v>17.03</v>
      </c>
    </row>
    <row r="8434" spans="1:6" x14ac:dyDescent="0.3">
      <c r="A8434" t="s">
        <v>1416</v>
      </c>
      <c r="B8434" t="s">
        <v>2161</v>
      </c>
      <c r="C8434">
        <v>13</v>
      </c>
      <c r="D8434">
        <v>198</v>
      </c>
      <c r="E8434">
        <f>IF(OR(B8434="vi",B8434="ii",B8434="pod"),(((D8434/100)*(C8434*VLOOKUP(B8434,'Poids des runes'!A:B,2,FALSE)))+1),(((D8434/100)*(C8434*VLOOKUP(B8434,'Poids des runes'!A:B,2,FALSE)))+1)/VLOOKUP(B8434,'Poids des runes'!A:B,2,FALSE))</f>
        <v>26.073333333333334</v>
      </c>
      <c r="F8434">
        <f t="shared" si="131"/>
        <v>26.073333333333334</v>
      </c>
    </row>
    <row r="8435" spans="1:6" x14ac:dyDescent="0.3">
      <c r="A8435" t="s">
        <v>1416</v>
      </c>
      <c r="B8435" t="s">
        <v>2165</v>
      </c>
      <c r="C8435">
        <v>5</v>
      </c>
      <c r="D8435">
        <v>198</v>
      </c>
      <c r="E8435">
        <f>IF(OR(B8435="vi",B8435="ii",B8435="pod"),(((D8435/100)*(C8435*VLOOKUP(B8435,'Poids des runes'!A:B,2,FALSE)))+1),(((D8435/100)*(C8435*VLOOKUP(B8435,'Poids des runes'!A:B,2,FALSE)))+1)/VLOOKUP(B8435,'Poids des runes'!A:B,2,FALSE))</f>
        <v>10.042857142857143</v>
      </c>
      <c r="F8435">
        <f t="shared" si="131"/>
        <v>10.042857142857143</v>
      </c>
    </row>
    <row r="8436" spans="1:6" x14ac:dyDescent="0.3">
      <c r="A8436" t="s">
        <v>1416</v>
      </c>
      <c r="B8436" t="s">
        <v>2158</v>
      </c>
      <c r="C8436">
        <v>8.5</v>
      </c>
      <c r="D8436">
        <v>198</v>
      </c>
      <c r="E8436">
        <f>IF(OR(B8436="vi",B8436="ii",B8436="pod"),(((D8436/100)*(C8436*VLOOKUP(B8436,'Poids des runes'!A:B,2,FALSE)))+1),(((D8436/100)*(C8436*VLOOKUP(B8436,'Poids des runes'!A:B,2,FALSE)))+1)/VLOOKUP(B8436,'Poids des runes'!A:B,2,FALSE))</f>
        <v>17.03</v>
      </c>
      <c r="F8436">
        <f t="shared" si="131"/>
        <v>17.03</v>
      </c>
    </row>
    <row r="8437" spans="1:6" x14ac:dyDescent="0.3">
      <c r="A8437" t="s">
        <v>1416</v>
      </c>
      <c r="B8437" t="s">
        <v>2142</v>
      </c>
      <c r="C8437">
        <v>18</v>
      </c>
      <c r="D8437">
        <v>198</v>
      </c>
      <c r="E8437">
        <f>IF(OR(B8437="vi",B8437="ii",B8437="pod"),(((D8437/100)*(C8437*VLOOKUP(B8437,'Poids des runes'!A:B,2,FALSE)))+1),(((D8437/100)*(C8437*VLOOKUP(B8437,'Poids des runes'!A:B,2,FALSE)))+1)/VLOOKUP(B8437,'Poids des runes'!A:B,2,FALSE))</f>
        <v>35.839999999999996</v>
      </c>
      <c r="F8437">
        <f t="shared" si="131"/>
        <v>35.839999999999996</v>
      </c>
    </row>
    <row r="8438" spans="1:6" x14ac:dyDescent="0.3">
      <c r="A8438" t="s">
        <v>1416</v>
      </c>
      <c r="B8438" t="s">
        <v>2163</v>
      </c>
      <c r="C8438">
        <v>25.5</v>
      </c>
      <c r="D8438">
        <v>198</v>
      </c>
      <c r="E8438">
        <f>IF(OR(B8438="vi",B8438="ii",B8438="pod"),(((D8438/100)*(C8438*VLOOKUP(B8438,'Poids des runes'!A:B,2,FALSE)))+1),(((D8438/100)*(C8438*VLOOKUP(B8438,'Poids des runes'!A:B,2,FALSE)))+1)/VLOOKUP(B8438,'Poids des runes'!A:B,2,FALSE))</f>
        <v>50.99</v>
      </c>
      <c r="F8438">
        <f t="shared" si="131"/>
        <v>50.99</v>
      </c>
    </row>
    <row r="8439" spans="1:6" x14ac:dyDescent="0.3">
      <c r="A8439" t="s">
        <v>1417</v>
      </c>
      <c r="B8439" t="s">
        <v>2128</v>
      </c>
      <c r="C8439">
        <v>375.5</v>
      </c>
      <c r="D8439">
        <v>198</v>
      </c>
      <c r="E8439">
        <f>IF(OR(B8439="vi",B8439="ii",B8439="pod"),(((D8439/100)*(C8439*VLOOKUP(B8439,'Poids des runes'!A:B,2,FALSE)))+1),(((D8439/100)*(C8439*VLOOKUP(B8439,'Poids des runes'!A:B,2,FALSE)))+1)/VLOOKUP(B8439,'Poids des runes'!A:B,2,FALSE))</f>
        <v>149.69800000000001</v>
      </c>
      <c r="F8439">
        <f t="shared" si="131"/>
        <v>149.69800000000001</v>
      </c>
    </row>
    <row r="8440" spans="1:6" x14ac:dyDescent="0.3">
      <c r="A8440" t="s">
        <v>1417</v>
      </c>
      <c r="B8440" t="s">
        <v>2129</v>
      </c>
      <c r="C8440">
        <v>40.5</v>
      </c>
      <c r="D8440">
        <v>198</v>
      </c>
      <c r="E8440">
        <f>IF(OR(B8440="vi",B8440="ii",B8440="pod"),(((D8440/100)*(C8440*VLOOKUP(B8440,'Poids des runes'!A:B,2,FALSE)))+1),(((D8440/100)*(C8440*VLOOKUP(B8440,'Poids des runes'!A:B,2,FALSE)))+1)/VLOOKUP(B8440,'Poids des runes'!A:B,2,FALSE))</f>
        <v>81.19</v>
      </c>
      <c r="F8440">
        <f t="shared" si="131"/>
        <v>81.19</v>
      </c>
    </row>
    <row r="8441" spans="1:6" x14ac:dyDescent="0.3">
      <c r="A8441" t="s">
        <v>1417</v>
      </c>
      <c r="B8441" t="s">
        <v>2155</v>
      </c>
      <c r="C8441">
        <v>1</v>
      </c>
      <c r="D8441">
        <v>198</v>
      </c>
      <c r="E8441">
        <f>IF(OR(B8441="vi",B8441="ii",B8441="pod"),(((D8441/100)*(C8441*VLOOKUP(B8441,'Poids des runes'!A:B,2,FALSE)))+1),(((D8441/100)*(C8441*VLOOKUP(B8441,'Poids des runes'!A:B,2,FALSE)))+1)/VLOOKUP(B8441,'Poids des runes'!A:B,2,FALSE))</f>
        <v>1.999607843137255</v>
      </c>
      <c r="F8441">
        <f t="shared" si="131"/>
        <v>1.999607843137255</v>
      </c>
    </row>
    <row r="8442" spans="1:6" x14ac:dyDescent="0.3">
      <c r="A8442" t="s">
        <v>1417</v>
      </c>
      <c r="B8442" t="s">
        <v>2161</v>
      </c>
      <c r="C8442">
        <v>18</v>
      </c>
      <c r="D8442">
        <v>198</v>
      </c>
      <c r="E8442">
        <f>IF(OR(B8442="vi",B8442="ii",B8442="pod"),(((D8442/100)*(C8442*VLOOKUP(B8442,'Poids des runes'!A:B,2,FALSE)))+1),(((D8442/100)*(C8442*VLOOKUP(B8442,'Poids des runes'!A:B,2,FALSE)))+1)/VLOOKUP(B8442,'Poids des runes'!A:B,2,FALSE))</f>
        <v>35.973333333333336</v>
      </c>
      <c r="F8442">
        <f t="shared" si="131"/>
        <v>35.973333333333336</v>
      </c>
    </row>
    <row r="8443" spans="1:6" x14ac:dyDescent="0.3">
      <c r="A8443" t="s">
        <v>1417</v>
      </c>
      <c r="B8443" t="s">
        <v>2159</v>
      </c>
      <c r="C8443">
        <v>4.5</v>
      </c>
      <c r="D8443">
        <v>198</v>
      </c>
      <c r="E8443">
        <f>IF(OR(B8443="vi",B8443="ii",B8443="pod"),(((D8443/100)*(C8443*VLOOKUP(B8443,'Poids des runes'!A:B,2,FALSE)))+1),(((D8443/100)*(C8443*VLOOKUP(B8443,'Poids des runes'!A:B,2,FALSE)))+1)/VLOOKUP(B8443,'Poids des runes'!A:B,2,FALSE))</f>
        <v>9.0528571428571425</v>
      </c>
      <c r="F8443">
        <f t="shared" si="131"/>
        <v>9.0528571428571425</v>
      </c>
    </row>
    <row r="8444" spans="1:6" x14ac:dyDescent="0.3">
      <c r="A8444" t="s">
        <v>1417</v>
      </c>
      <c r="B8444" t="s">
        <v>2164</v>
      </c>
      <c r="C8444">
        <v>18</v>
      </c>
      <c r="D8444">
        <v>198</v>
      </c>
      <c r="E8444">
        <f>IF(OR(B8444="vi",B8444="ii",B8444="pod"),(((D8444/100)*(C8444*VLOOKUP(B8444,'Poids des runes'!A:B,2,FALSE)))+1),(((D8444/100)*(C8444*VLOOKUP(B8444,'Poids des runes'!A:B,2,FALSE)))+1)/VLOOKUP(B8444,'Poids des runes'!A:B,2,FALSE))</f>
        <v>36.14</v>
      </c>
      <c r="F8444">
        <f t="shared" si="131"/>
        <v>36.14</v>
      </c>
    </row>
    <row r="8445" spans="1:6" x14ac:dyDescent="0.3">
      <c r="A8445" t="s">
        <v>1417</v>
      </c>
      <c r="B8445" t="s">
        <v>2156</v>
      </c>
      <c r="C8445">
        <v>8.5</v>
      </c>
      <c r="D8445">
        <v>198</v>
      </c>
      <c r="E8445">
        <f>IF(OR(B8445="vi",B8445="ii",B8445="pod"),(((D8445/100)*(C8445*VLOOKUP(B8445,'Poids des runes'!A:B,2,FALSE)))+1),(((D8445/100)*(C8445*VLOOKUP(B8445,'Poids des runes'!A:B,2,FALSE)))+1)/VLOOKUP(B8445,'Poids des runes'!A:B,2,FALSE))</f>
        <v>16.996666666666666</v>
      </c>
      <c r="F8445">
        <f t="shared" si="131"/>
        <v>16.996666666666666</v>
      </c>
    </row>
    <row r="8446" spans="1:6" x14ac:dyDescent="0.3">
      <c r="A8446" t="s">
        <v>1417</v>
      </c>
      <c r="B8446" t="s">
        <v>2147</v>
      </c>
      <c r="C8446">
        <v>8.5</v>
      </c>
      <c r="D8446">
        <v>198</v>
      </c>
      <c r="E8446">
        <f>IF(OR(B8446="vi",B8446="ii",B8446="pod"),(((D8446/100)*(C8446*VLOOKUP(B8446,'Poids des runes'!A:B,2,FALSE)))+1),(((D8446/100)*(C8446*VLOOKUP(B8446,'Poids des runes'!A:B,2,FALSE)))+1)/VLOOKUP(B8446,'Poids des runes'!A:B,2,FALSE))</f>
        <v>16.996666666666666</v>
      </c>
      <c r="F8446">
        <f t="shared" si="131"/>
        <v>16.996666666666666</v>
      </c>
    </row>
    <row r="8447" spans="1:6" x14ac:dyDescent="0.3">
      <c r="A8447" t="s">
        <v>1417</v>
      </c>
      <c r="B8447" t="s">
        <v>2157</v>
      </c>
      <c r="C8447">
        <v>8.5</v>
      </c>
      <c r="D8447">
        <v>198</v>
      </c>
      <c r="E8447">
        <f>IF(OR(B8447="vi",B8447="ii",B8447="pod"),(((D8447/100)*(C8447*VLOOKUP(B8447,'Poids des runes'!A:B,2,FALSE)))+1),(((D8447/100)*(C8447*VLOOKUP(B8447,'Poids des runes'!A:B,2,FALSE)))+1)/VLOOKUP(B8447,'Poids des runes'!A:B,2,FALSE))</f>
        <v>16.996666666666666</v>
      </c>
      <c r="F8447">
        <f t="shared" si="131"/>
        <v>16.996666666666666</v>
      </c>
    </row>
    <row r="8448" spans="1:6" x14ac:dyDescent="0.3">
      <c r="A8448" t="s">
        <v>1418</v>
      </c>
      <c r="B8448" t="s">
        <v>2128</v>
      </c>
      <c r="C8448">
        <v>275.5</v>
      </c>
      <c r="D8448">
        <v>198</v>
      </c>
      <c r="E8448">
        <f>IF(OR(B8448="vi",B8448="ii",B8448="pod"),(((D8448/100)*(C8448*VLOOKUP(B8448,'Poids des runes'!A:B,2,FALSE)))+1),(((D8448/100)*(C8448*VLOOKUP(B8448,'Poids des runes'!A:B,2,FALSE)))+1)/VLOOKUP(B8448,'Poids des runes'!A:B,2,FALSE))</f>
        <v>110.098</v>
      </c>
      <c r="F8448">
        <f t="shared" si="131"/>
        <v>110.098</v>
      </c>
    </row>
    <row r="8449" spans="1:6" x14ac:dyDescent="0.3">
      <c r="A8449" t="s">
        <v>1418</v>
      </c>
      <c r="B8449" t="s">
        <v>2126</v>
      </c>
      <c r="C8449">
        <v>40.5</v>
      </c>
      <c r="D8449">
        <v>198</v>
      </c>
      <c r="E8449">
        <f>IF(OR(B8449="vi",B8449="ii",B8449="pod"),(((D8449/100)*(C8449*VLOOKUP(B8449,'Poids des runes'!A:B,2,FALSE)))+1),(((D8449/100)*(C8449*VLOOKUP(B8449,'Poids des runes'!A:B,2,FALSE)))+1)/VLOOKUP(B8449,'Poids des runes'!A:B,2,FALSE))</f>
        <v>81.19</v>
      </c>
      <c r="F8449">
        <f t="shared" si="131"/>
        <v>81.19</v>
      </c>
    </row>
    <row r="8450" spans="1:6" x14ac:dyDescent="0.3">
      <c r="A8450" t="s">
        <v>1418</v>
      </c>
      <c r="B8450" t="s">
        <v>2131</v>
      </c>
      <c r="C8450">
        <v>40.5</v>
      </c>
      <c r="D8450">
        <v>198</v>
      </c>
      <c r="E8450">
        <f>IF(OR(B8450="vi",B8450="ii",B8450="pod"),(((D8450/100)*(C8450*VLOOKUP(B8450,'Poids des runes'!A:B,2,FALSE)))+1),(((D8450/100)*(C8450*VLOOKUP(B8450,'Poids des runes'!A:B,2,FALSE)))+1)/VLOOKUP(B8450,'Poids des runes'!A:B,2,FALSE))</f>
        <v>81.19</v>
      </c>
      <c r="F8450">
        <f t="shared" si="131"/>
        <v>81.19</v>
      </c>
    </row>
    <row r="8451" spans="1:6" x14ac:dyDescent="0.3">
      <c r="A8451" t="s">
        <v>1418</v>
      </c>
      <c r="B8451" t="s">
        <v>2129</v>
      </c>
      <c r="C8451">
        <v>30.5</v>
      </c>
      <c r="D8451">
        <v>198</v>
      </c>
      <c r="E8451">
        <f>IF(OR(B8451="vi",B8451="ii",B8451="pod"),(((D8451/100)*(C8451*VLOOKUP(B8451,'Poids des runes'!A:B,2,FALSE)))+1),(((D8451/100)*(C8451*VLOOKUP(B8451,'Poids des runes'!A:B,2,FALSE)))+1)/VLOOKUP(B8451,'Poids des runes'!A:B,2,FALSE))</f>
        <v>61.39</v>
      </c>
      <c r="F8451">
        <f t="shared" ref="F8451:F8514" si="132">E8451</f>
        <v>61.39</v>
      </c>
    </row>
    <row r="8452" spans="1:6" x14ac:dyDescent="0.3">
      <c r="A8452" t="s">
        <v>1418</v>
      </c>
      <c r="B8452" t="s">
        <v>2139</v>
      </c>
      <c r="C8452">
        <v>13</v>
      </c>
      <c r="D8452">
        <v>198</v>
      </c>
      <c r="E8452">
        <f>IF(OR(B8452="vi",B8452="ii",B8452="pod"),(((D8452/100)*(C8452*VLOOKUP(B8452,'Poids des runes'!A:B,2,FALSE)))+1),(((D8452/100)*(C8452*VLOOKUP(B8452,'Poids des runes'!A:B,2,FALSE)))+1)/VLOOKUP(B8452,'Poids des runes'!A:B,2,FALSE))</f>
        <v>26.24</v>
      </c>
      <c r="F8452">
        <f t="shared" si="132"/>
        <v>26.24</v>
      </c>
    </row>
    <row r="8453" spans="1:6" x14ac:dyDescent="0.3">
      <c r="A8453" t="s">
        <v>1418</v>
      </c>
      <c r="B8453" t="s">
        <v>2151</v>
      </c>
      <c r="C8453">
        <v>2.5</v>
      </c>
      <c r="D8453">
        <v>198</v>
      </c>
      <c r="E8453">
        <f>IF(OR(B8453="vi",B8453="ii",B8453="pod"),(((D8453/100)*(C8453*VLOOKUP(B8453,'Poids des runes'!A:B,2,FALSE)))+1),(((D8453/100)*(C8453*VLOOKUP(B8453,'Poids des runes'!A:B,2,FALSE)))+1)/VLOOKUP(B8453,'Poids des runes'!A:B,2,FALSE))</f>
        <v>5.05</v>
      </c>
      <c r="F8453">
        <f t="shared" si="132"/>
        <v>5.05</v>
      </c>
    </row>
    <row r="8454" spans="1:6" x14ac:dyDescent="0.3">
      <c r="A8454" t="s">
        <v>1418</v>
      </c>
      <c r="B8454" t="s">
        <v>2150</v>
      </c>
      <c r="C8454">
        <v>1.5</v>
      </c>
      <c r="D8454">
        <v>198</v>
      </c>
      <c r="E8454">
        <f>IF(OR(B8454="vi",B8454="ii",B8454="pod"),(((D8454/100)*(C8454*VLOOKUP(B8454,'Poids des runes'!A:B,2,FALSE)))+1),(((D8454/100)*(C8454*VLOOKUP(B8454,'Poids des runes'!A:B,2,FALSE)))+1)/VLOOKUP(B8454,'Poids des runes'!A:B,2,FALSE))</f>
        <v>3.003333333333333</v>
      </c>
      <c r="F8454">
        <f t="shared" si="132"/>
        <v>3.003333333333333</v>
      </c>
    </row>
    <row r="8455" spans="1:6" x14ac:dyDescent="0.3">
      <c r="A8455" t="s">
        <v>1418</v>
      </c>
      <c r="B8455" t="s">
        <v>2140</v>
      </c>
      <c r="C8455">
        <v>10.5</v>
      </c>
      <c r="D8455">
        <v>198</v>
      </c>
      <c r="E8455">
        <f>IF(OR(B8455="vi",B8455="ii",B8455="pod"),(((D8455/100)*(C8455*VLOOKUP(B8455,'Poids des runes'!A:B,2,FALSE)))+1),(((D8455/100)*(C8455*VLOOKUP(B8455,'Poids des runes'!A:B,2,FALSE)))+1)/VLOOKUP(B8455,'Poids des runes'!A:B,2,FALSE))</f>
        <v>20.990000000000002</v>
      </c>
      <c r="F8455">
        <f t="shared" si="132"/>
        <v>20.990000000000002</v>
      </c>
    </row>
    <row r="8456" spans="1:6" x14ac:dyDescent="0.3">
      <c r="A8456" t="s">
        <v>1418</v>
      </c>
      <c r="B8456" t="s">
        <v>2133</v>
      </c>
      <c r="C8456">
        <v>10.5</v>
      </c>
      <c r="D8456">
        <v>198</v>
      </c>
      <c r="E8456">
        <f>IF(OR(B8456="vi",B8456="ii",B8456="pod"),(((D8456/100)*(C8456*VLOOKUP(B8456,'Poids des runes'!A:B,2,FALSE)))+1),(((D8456/100)*(C8456*VLOOKUP(B8456,'Poids des runes'!A:B,2,FALSE)))+1)/VLOOKUP(B8456,'Poids des runes'!A:B,2,FALSE))</f>
        <v>20.990000000000002</v>
      </c>
      <c r="F8456">
        <f t="shared" si="132"/>
        <v>20.990000000000002</v>
      </c>
    </row>
    <row r="8457" spans="1:6" x14ac:dyDescent="0.3">
      <c r="A8457" t="s">
        <v>1418</v>
      </c>
      <c r="B8457" t="s">
        <v>2161</v>
      </c>
      <c r="C8457">
        <v>13</v>
      </c>
      <c r="D8457">
        <v>198</v>
      </c>
      <c r="E8457">
        <f>IF(OR(B8457="vi",B8457="ii",B8457="pod"),(((D8457/100)*(C8457*VLOOKUP(B8457,'Poids des runes'!A:B,2,FALSE)))+1),(((D8457/100)*(C8457*VLOOKUP(B8457,'Poids des runes'!A:B,2,FALSE)))+1)/VLOOKUP(B8457,'Poids des runes'!A:B,2,FALSE))</f>
        <v>26.073333333333334</v>
      </c>
      <c r="F8457">
        <f t="shared" si="132"/>
        <v>26.073333333333334</v>
      </c>
    </row>
    <row r="8458" spans="1:6" x14ac:dyDescent="0.3">
      <c r="A8458" t="s">
        <v>1418</v>
      </c>
      <c r="B8458" t="s">
        <v>2159</v>
      </c>
      <c r="C8458">
        <v>5</v>
      </c>
      <c r="D8458">
        <v>198</v>
      </c>
      <c r="E8458">
        <f>IF(OR(B8458="vi",B8458="ii",B8458="pod"),(((D8458/100)*(C8458*VLOOKUP(B8458,'Poids des runes'!A:B,2,FALSE)))+1),(((D8458/100)*(C8458*VLOOKUP(B8458,'Poids des runes'!A:B,2,FALSE)))+1)/VLOOKUP(B8458,'Poids des runes'!A:B,2,FALSE))</f>
        <v>10.042857142857143</v>
      </c>
      <c r="F8458">
        <f t="shared" si="132"/>
        <v>10.042857142857143</v>
      </c>
    </row>
    <row r="8459" spans="1:6" x14ac:dyDescent="0.3">
      <c r="A8459" t="s">
        <v>1418</v>
      </c>
      <c r="B8459" t="s">
        <v>2147</v>
      </c>
      <c r="C8459">
        <v>6</v>
      </c>
      <c r="D8459">
        <v>198</v>
      </c>
      <c r="E8459">
        <f>IF(OR(B8459="vi",B8459="ii",B8459="pod"),(((D8459/100)*(C8459*VLOOKUP(B8459,'Poids des runes'!A:B,2,FALSE)))+1),(((D8459/100)*(C8459*VLOOKUP(B8459,'Poids des runes'!A:B,2,FALSE)))+1)/VLOOKUP(B8459,'Poids des runes'!A:B,2,FALSE))</f>
        <v>12.046666666666667</v>
      </c>
      <c r="F8459">
        <f t="shared" si="132"/>
        <v>12.046666666666667</v>
      </c>
    </row>
    <row r="8460" spans="1:6" x14ac:dyDescent="0.3">
      <c r="A8460" t="s">
        <v>1418</v>
      </c>
      <c r="B8460" t="s">
        <v>2157</v>
      </c>
      <c r="C8460">
        <v>6</v>
      </c>
      <c r="D8460">
        <v>198</v>
      </c>
      <c r="E8460">
        <f>IF(OR(B8460="vi",B8460="ii",B8460="pod"),(((D8460/100)*(C8460*VLOOKUP(B8460,'Poids des runes'!A:B,2,FALSE)))+1),(((D8460/100)*(C8460*VLOOKUP(B8460,'Poids des runes'!A:B,2,FALSE)))+1)/VLOOKUP(B8460,'Poids des runes'!A:B,2,FALSE))</f>
        <v>12.046666666666667</v>
      </c>
      <c r="F8460">
        <f t="shared" si="132"/>
        <v>12.046666666666667</v>
      </c>
    </row>
    <row r="8461" spans="1:6" x14ac:dyDescent="0.3">
      <c r="A8461" t="s">
        <v>1419</v>
      </c>
      <c r="B8461" t="s">
        <v>2128</v>
      </c>
      <c r="C8461">
        <v>275.5</v>
      </c>
      <c r="D8461">
        <v>198</v>
      </c>
      <c r="E8461">
        <f>IF(OR(B8461="vi",B8461="ii",B8461="pod"),(((D8461/100)*(C8461*VLOOKUP(B8461,'Poids des runes'!A:B,2,FALSE)))+1),(((D8461/100)*(C8461*VLOOKUP(B8461,'Poids des runes'!A:B,2,FALSE)))+1)/VLOOKUP(B8461,'Poids des runes'!A:B,2,FALSE))</f>
        <v>110.098</v>
      </c>
      <c r="F8461">
        <f t="shared" si="132"/>
        <v>110.098</v>
      </c>
    </row>
    <row r="8462" spans="1:6" x14ac:dyDescent="0.3">
      <c r="A8462" t="s">
        <v>1419</v>
      </c>
      <c r="B8462" t="s">
        <v>2131</v>
      </c>
      <c r="C8462">
        <v>50.5</v>
      </c>
      <c r="D8462">
        <v>198</v>
      </c>
      <c r="E8462">
        <f>IF(OR(B8462="vi",B8462="ii",B8462="pod"),(((D8462/100)*(C8462*VLOOKUP(B8462,'Poids des runes'!A:B,2,FALSE)))+1),(((D8462/100)*(C8462*VLOOKUP(B8462,'Poids des runes'!A:B,2,FALSE)))+1)/VLOOKUP(B8462,'Poids des runes'!A:B,2,FALSE))</f>
        <v>100.99</v>
      </c>
      <c r="F8462">
        <f t="shared" si="132"/>
        <v>100.99</v>
      </c>
    </row>
    <row r="8463" spans="1:6" x14ac:dyDescent="0.3">
      <c r="A8463" t="s">
        <v>1419</v>
      </c>
      <c r="B8463" t="s">
        <v>2127</v>
      </c>
      <c r="C8463">
        <v>50.5</v>
      </c>
      <c r="D8463">
        <v>198</v>
      </c>
      <c r="E8463">
        <f>IF(OR(B8463="vi",B8463="ii",B8463="pod"),(((D8463/100)*(C8463*VLOOKUP(B8463,'Poids des runes'!A:B,2,FALSE)))+1),(((D8463/100)*(C8463*VLOOKUP(B8463,'Poids des runes'!A:B,2,FALSE)))+1)/VLOOKUP(B8463,'Poids des runes'!A:B,2,FALSE))</f>
        <v>100.99</v>
      </c>
      <c r="F8463">
        <f t="shared" si="132"/>
        <v>100.99</v>
      </c>
    </row>
    <row r="8464" spans="1:6" x14ac:dyDescent="0.3">
      <c r="A8464" t="s">
        <v>1419</v>
      </c>
      <c r="B8464" t="s">
        <v>2129</v>
      </c>
      <c r="C8464">
        <v>35.5</v>
      </c>
      <c r="D8464">
        <v>198</v>
      </c>
      <c r="E8464">
        <f>IF(OR(B8464="vi",B8464="ii",B8464="pod"),(((D8464/100)*(C8464*VLOOKUP(B8464,'Poids des runes'!A:B,2,FALSE)))+1),(((D8464/100)*(C8464*VLOOKUP(B8464,'Poids des runes'!A:B,2,FALSE)))+1)/VLOOKUP(B8464,'Poids des runes'!A:B,2,FALSE))</f>
        <v>71.290000000000006</v>
      </c>
      <c r="F8464">
        <f t="shared" si="132"/>
        <v>71.290000000000006</v>
      </c>
    </row>
    <row r="8465" spans="1:6" x14ac:dyDescent="0.3">
      <c r="A8465" t="s">
        <v>1419</v>
      </c>
      <c r="B8465" t="s">
        <v>2151</v>
      </c>
      <c r="C8465">
        <v>3.5</v>
      </c>
      <c r="D8465">
        <v>198</v>
      </c>
      <c r="E8465">
        <f>IF(OR(B8465="vi",B8465="ii",B8465="pod"),(((D8465/100)*(C8465*VLOOKUP(B8465,'Poids des runes'!A:B,2,FALSE)))+1),(((D8465/100)*(C8465*VLOOKUP(B8465,'Poids des runes'!A:B,2,FALSE)))+1)/VLOOKUP(B8465,'Poids des runes'!A:B,2,FALSE))</f>
        <v>7.0299999999999994</v>
      </c>
      <c r="F8465">
        <f t="shared" si="132"/>
        <v>7.0299999999999994</v>
      </c>
    </row>
    <row r="8466" spans="1:6" x14ac:dyDescent="0.3">
      <c r="A8466" t="s">
        <v>1419</v>
      </c>
      <c r="B8466" t="s">
        <v>2150</v>
      </c>
      <c r="C8466">
        <v>2</v>
      </c>
      <c r="D8466">
        <v>198</v>
      </c>
      <c r="E8466">
        <f>IF(OR(B8466="vi",B8466="ii",B8466="pod"),(((D8466/100)*(C8466*VLOOKUP(B8466,'Poids des runes'!A:B,2,FALSE)))+1),(((D8466/100)*(C8466*VLOOKUP(B8466,'Poids des runes'!A:B,2,FALSE)))+1)/VLOOKUP(B8466,'Poids des runes'!A:B,2,FALSE))</f>
        <v>3.9933333333333332</v>
      </c>
      <c r="F8466">
        <f t="shared" si="132"/>
        <v>3.9933333333333332</v>
      </c>
    </row>
    <row r="8467" spans="1:6" x14ac:dyDescent="0.3">
      <c r="A8467" t="s">
        <v>1419</v>
      </c>
      <c r="B8467" t="s">
        <v>2133</v>
      </c>
      <c r="C8467">
        <v>8.5</v>
      </c>
      <c r="D8467">
        <v>198</v>
      </c>
      <c r="E8467">
        <f>IF(OR(B8467="vi",B8467="ii",B8467="pod"),(((D8467/100)*(C8467*VLOOKUP(B8467,'Poids des runes'!A:B,2,FALSE)))+1),(((D8467/100)*(C8467*VLOOKUP(B8467,'Poids des runes'!A:B,2,FALSE)))+1)/VLOOKUP(B8467,'Poids des runes'!A:B,2,FALSE))</f>
        <v>17.03</v>
      </c>
      <c r="F8467">
        <f t="shared" si="132"/>
        <v>17.03</v>
      </c>
    </row>
    <row r="8468" spans="1:6" x14ac:dyDescent="0.3">
      <c r="A8468" t="s">
        <v>1419</v>
      </c>
      <c r="B8468" t="s">
        <v>2153</v>
      </c>
      <c r="C8468">
        <v>8.5</v>
      </c>
      <c r="D8468">
        <v>198</v>
      </c>
      <c r="E8468">
        <f>IF(OR(B8468="vi",B8468="ii",B8468="pod"),(((D8468/100)*(C8468*VLOOKUP(B8468,'Poids des runes'!A:B,2,FALSE)))+1),(((D8468/100)*(C8468*VLOOKUP(B8468,'Poids des runes'!A:B,2,FALSE)))+1)/VLOOKUP(B8468,'Poids des runes'!A:B,2,FALSE))</f>
        <v>17.03</v>
      </c>
      <c r="F8468">
        <f t="shared" si="132"/>
        <v>17.03</v>
      </c>
    </row>
    <row r="8469" spans="1:6" x14ac:dyDescent="0.3">
      <c r="A8469" t="s">
        <v>1419</v>
      </c>
      <c r="B8469" t="s">
        <v>2161</v>
      </c>
      <c r="C8469">
        <v>13</v>
      </c>
      <c r="D8469">
        <v>198</v>
      </c>
      <c r="E8469">
        <f>IF(OR(B8469="vi",B8469="ii",B8469="pod"),(((D8469/100)*(C8469*VLOOKUP(B8469,'Poids des runes'!A:B,2,FALSE)))+1),(((D8469/100)*(C8469*VLOOKUP(B8469,'Poids des runes'!A:B,2,FALSE)))+1)/VLOOKUP(B8469,'Poids des runes'!A:B,2,FALSE))</f>
        <v>26.073333333333334</v>
      </c>
      <c r="F8469">
        <f t="shared" si="132"/>
        <v>26.073333333333334</v>
      </c>
    </row>
    <row r="8470" spans="1:6" x14ac:dyDescent="0.3">
      <c r="A8470" t="s">
        <v>1419</v>
      </c>
      <c r="B8470" t="s">
        <v>2158</v>
      </c>
      <c r="C8470">
        <v>8.5</v>
      </c>
      <c r="D8470">
        <v>198</v>
      </c>
      <c r="E8470">
        <f>IF(OR(B8470="vi",B8470="ii",B8470="pod"),(((D8470/100)*(C8470*VLOOKUP(B8470,'Poids des runes'!A:B,2,FALSE)))+1),(((D8470/100)*(C8470*VLOOKUP(B8470,'Poids des runes'!A:B,2,FALSE)))+1)/VLOOKUP(B8470,'Poids des runes'!A:B,2,FALSE))</f>
        <v>17.03</v>
      </c>
      <c r="F8470">
        <f t="shared" si="132"/>
        <v>17.03</v>
      </c>
    </row>
    <row r="8471" spans="1:6" x14ac:dyDescent="0.3">
      <c r="A8471" t="s">
        <v>1419</v>
      </c>
      <c r="B8471" t="s">
        <v>2142</v>
      </c>
      <c r="C8471">
        <v>18</v>
      </c>
      <c r="D8471">
        <v>198</v>
      </c>
      <c r="E8471">
        <f>IF(OR(B8471="vi",B8471="ii",B8471="pod"),(((D8471/100)*(C8471*VLOOKUP(B8471,'Poids des runes'!A:B,2,FALSE)))+1),(((D8471/100)*(C8471*VLOOKUP(B8471,'Poids des runes'!A:B,2,FALSE)))+1)/VLOOKUP(B8471,'Poids des runes'!A:B,2,FALSE))</f>
        <v>35.839999999999996</v>
      </c>
      <c r="F8471">
        <f t="shared" si="132"/>
        <v>35.839999999999996</v>
      </c>
    </row>
    <row r="8472" spans="1:6" x14ac:dyDescent="0.3">
      <c r="A8472" t="s">
        <v>1419</v>
      </c>
      <c r="B8472" t="s">
        <v>2148</v>
      </c>
      <c r="C8472">
        <v>4</v>
      </c>
      <c r="D8472">
        <v>198</v>
      </c>
      <c r="E8472">
        <f>IF(OR(B8472="vi",B8472="ii",B8472="pod"),(((D8472/100)*(C8472*VLOOKUP(B8472,'Poids des runes'!A:B,2,FALSE)))+1),(((D8472/100)*(C8472*VLOOKUP(B8472,'Poids des runes'!A:B,2,FALSE)))+1)/VLOOKUP(B8472,'Poids des runes'!A:B,2,FALSE))</f>
        <v>8.086666666666666</v>
      </c>
      <c r="F8472">
        <f t="shared" si="132"/>
        <v>8.086666666666666</v>
      </c>
    </row>
    <row r="8473" spans="1:6" x14ac:dyDescent="0.3">
      <c r="A8473" t="s">
        <v>1419</v>
      </c>
      <c r="B8473" t="s">
        <v>2147</v>
      </c>
      <c r="C8473">
        <v>4</v>
      </c>
      <c r="D8473">
        <v>198</v>
      </c>
      <c r="E8473">
        <f>IF(OR(B8473="vi",B8473="ii",B8473="pod"),(((D8473/100)*(C8473*VLOOKUP(B8473,'Poids des runes'!A:B,2,FALSE)))+1),(((D8473/100)*(C8473*VLOOKUP(B8473,'Poids des runes'!A:B,2,FALSE)))+1)/VLOOKUP(B8473,'Poids des runes'!A:B,2,FALSE))</f>
        <v>8.086666666666666</v>
      </c>
      <c r="F8473">
        <f t="shared" si="132"/>
        <v>8.086666666666666</v>
      </c>
    </row>
    <row r="8474" spans="1:6" x14ac:dyDescent="0.3">
      <c r="A8474" t="s">
        <v>1419</v>
      </c>
      <c r="B8474" t="s">
        <v>2157</v>
      </c>
      <c r="C8474">
        <v>4</v>
      </c>
      <c r="D8474">
        <v>198</v>
      </c>
      <c r="E8474">
        <f>IF(OR(B8474="vi",B8474="ii",B8474="pod"),(((D8474/100)*(C8474*VLOOKUP(B8474,'Poids des runes'!A:B,2,FALSE)))+1),(((D8474/100)*(C8474*VLOOKUP(B8474,'Poids des runes'!A:B,2,FALSE)))+1)/VLOOKUP(B8474,'Poids des runes'!A:B,2,FALSE))</f>
        <v>8.086666666666666</v>
      </c>
      <c r="F8474">
        <f t="shared" si="132"/>
        <v>8.086666666666666</v>
      </c>
    </row>
    <row r="8475" spans="1:6" x14ac:dyDescent="0.3">
      <c r="A8475" t="s">
        <v>1420</v>
      </c>
      <c r="B8475" t="s">
        <v>2128</v>
      </c>
      <c r="C8475">
        <v>325.5</v>
      </c>
      <c r="D8475">
        <v>199</v>
      </c>
      <c r="E8475">
        <f>IF(OR(B8475="vi",B8475="ii",B8475="pod"),(((D8475/100)*(C8475*VLOOKUP(B8475,'Poids des runes'!A:B,2,FALSE)))+1),(((D8475/100)*(C8475*VLOOKUP(B8475,'Poids des runes'!A:B,2,FALSE)))+1)/VLOOKUP(B8475,'Poids des runes'!A:B,2,FALSE))</f>
        <v>130.54900000000001</v>
      </c>
      <c r="F8475">
        <f t="shared" si="132"/>
        <v>130.54900000000001</v>
      </c>
    </row>
    <row r="8476" spans="1:6" x14ac:dyDescent="0.3">
      <c r="A8476" t="s">
        <v>1420</v>
      </c>
      <c r="B8476" t="s">
        <v>2129</v>
      </c>
      <c r="C8476">
        <v>35.5</v>
      </c>
      <c r="D8476">
        <v>199</v>
      </c>
      <c r="E8476">
        <f>IF(OR(B8476="vi",B8476="ii",B8476="pod"),(((D8476/100)*(C8476*VLOOKUP(B8476,'Poids des runes'!A:B,2,FALSE)))+1),(((D8476/100)*(C8476*VLOOKUP(B8476,'Poids des runes'!A:B,2,FALSE)))+1)/VLOOKUP(B8476,'Poids des runes'!A:B,2,FALSE))</f>
        <v>71.644999999999996</v>
      </c>
      <c r="F8476">
        <f t="shared" si="132"/>
        <v>71.644999999999996</v>
      </c>
    </row>
    <row r="8477" spans="1:6" x14ac:dyDescent="0.3">
      <c r="A8477" t="s">
        <v>1420</v>
      </c>
      <c r="B8477" t="s">
        <v>2139</v>
      </c>
      <c r="C8477">
        <v>35.5</v>
      </c>
      <c r="D8477">
        <v>199</v>
      </c>
      <c r="E8477">
        <f>IF(OR(B8477="vi",B8477="ii",B8477="pod"),(((D8477/100)*(C8477*VLOOKUP(B8477,'Poids des runes'!A:B,2,FALSE)))+1),(((D8477/100)*(C8477*VLOOKUP(B8477,'Poids des runes'!A:B,2,FALSE)))+1)/VLOOKUP(B8477,'Poids des runes'!A:B,2,FALSE))</f>
        <v>71.144999999999996</v>
      </c>
      <c r="F8477">
        <f t="shared" si="132"/>
        <v>71.144999999999996</v>
      </c>
    </row>
    <row r="8478" spans="1:6" x14ac:dyDescent="0.3">
      <c r="A8478" t="s">
        <v>1420</v>
      </c>
      <c r="B8478" t="s">
        <v>2151</v>
      </c>
      <c r="C8478">
        <v>4.5</v>
      </c>
      <c r="D8478">
        <v>199</v>
      </c>
      <c r="E8478">
        <f>IF(OR(B8478="vi",B8478="ii",B8478="pod"),(((D8478/100)*(C8478*VLOOKUP(B8478,'Poids des runes'!A:B,2,FALSE)))+1),(((D8478/100)*(C8478*VLOOKUP(B8478,'Poids des runes'!A:B,2,FALSE)))+1)/VLOOKUP(B8478,'Poids des runes'!A:B,2,FALSE))</f>
        <v>9.0549999999999997</v>
      </c>
      <c r="F8478">
        <f t="shared" si="132"/>
        <v>9.0549999999999997</v>
      </c>
    </row>
    <row r="8479" spans="1:6" x14ac:dyDescent="0.3">
      <c r="A8479" t="s">
        <v>1420</v>
      </c>
      <c r="B8479" t="s">
        <v>2154</v>
      </c>
      <c r="C8479">
        <v>1</v>
      </c>
      <c r="D8479">
        <v>199</v>
      </c>
      <c r="E8479">
        <f>IF(OR(B8479="vi",B8479="ii",B8479="pod"),(((D8479/100)*(C8479*VLOOKUP(B8479,'Poids des runes'!A:B,2,FALSE)))+1),(((D8479/100)*(C8479*VLOOKUP(B8479,'Poids des runes'!A:B,2,FALSE)))+1)/VLOOKUP(B8479,'Poids des runes'!A:B,2,FALSE))</f>
        <v>2.0011111111111108</v>
      </c>
      <c r="F8479">
        <f t="shared" si="132"/>
        <v>2.0011111111111108</v>
      </c>
    </row>
    <row r="8480" spans="1:6" x14ac:dyDescent="0.3">
      <c r="A8480" t="s">
        <v>1420</v>
      </c>
      <c r="B8480" t="s">
        <v>2155</v>
      </c>
      <c r="C8480">
        <v>1</v>
      </c>
      <c r="D8480">
        <v>199</v>
      </c>
      <c r="E8480">
        <f>IF(OR(B8480="vi",B8480="ii",B8480="pod"),(((D8480/100)*(C8480*VLOOKUP(B8480,'Poids des runes'!A:B,2,FALSE)))+1),(((D8480/100)*(C8480*VLOOKUP(B8480,'Poids des runes'!A:B,2,FALSE)))+1)/VLOOKUP(B8480,'Poids des runes'!A:B,2,FALSE))</f>
        <v>2.0096078431372546</v>
      </c>
      <c r="F8480">
        <f t="shared" si="132"/>
        <v>2.0096078431372546</v>
      </c>
    </row>
    <row r="8481" spans="1:6" x14ac:dyDescent="0.3">
      <c r="A8481" t="s">
        <v>1420</v>
      </c>
      <c r="B8481" t="s">
        <v>2149</v>
      </c>
      <c r="C8481">
        <v>13</v>
      </c>
      <c r="D8481">
        <v>199</v>
      </c>
      <c r="E8481">
        <f>IF(OR(B8481="vi",B8481="ii",B8481="pod"),(((D8481/100)*(C8481*VLOOKUP(B8481,'Poids des runes'!A:B,2,FALSE)))+1),(((D8481/100)*(C8481*VLOOKUP(B8481,'Poids des runes'!A:B,2,FALSE)))+1)/VLOOKUP(B8481,'Poids des runes'!A:B,2,FALSE))</f>
        <v>25.97</v>
      </c>
      <c r="F8481">
        <f t="shared" si="132"/>
        <v>25.97</v>
      </c>
    </row>
    <row r="8482" spans="1:6" x14ac:dyDescent="0.3">
      <c r="A8482" t="s">
        <v>1420</v>
      </c>
      <c r="B8482" t="s">
        <v>2132</v>
      </c>
      <c r="C8482">
        <v>450.5</v>
      </c>
      <c r="D8482">
        <v>199</v>
      </c>
      <c r="E8482">
        <f>IF(OR(B8482="vi",B8482="ii",B8482="pod"),(((D8482/100)*(C8482*VLOOKUP(B8482,'Poids des runes'!A:B,2,FALSE)))+1),(((D8482/100)*(C8482*VLOOKUP(B8482,'Poids des runes'!A:B,2,FALSE)))+1)/VLOOKUP(B8482,'Poids des runes'!A:B,2,FALSE))</f>
        <v>90.649500000000003</v>
      </c>
      <c r="F8482">
        <f t="shared" si="132"/>
        <v>90.649500000000003</v>
      </c>
    </row>
    <row r="8483" spans="1:6" x14ac:dyDescent="0.3">
      <c r="A8483" t="s">
        <v>1420</v>
      </c>
      <c r="B8483" t="s">
        <v>2163</v>
      </c>
      <c r="C8483">
        <v>18</v>
      </c>
      <c r="D8483">
        <v>199</v>
      </c>
      <c r="E8483">
        <f>IF(OR(B8483="vi",B8483="ii",B8483="pod"),(((D8483/100)*(C8483*VLOOKUP(B8483,'Poids des runes'!A:B,2,FALSE)))+1),(((D8483/100)*(C8483*VLOOKUP(B8483,'Poids des runes'!A:B,2,FALSE)))+1)/VLOOKUP(B8483,'Poids des runes'!A:B,2,FALSE))</f>
        <v>36.32</v>
      </c>
      <c r="F8483">
        <f t="shared" si="132"/>
        <v>36.32</v>
      </c>
    </row>
    <row r="8484" spans="1:6" x14ac:dyDescent="0.3">
      <c r="A8484" t="s">
        <v>1420</v>
      </c>
      <c r="B8484" t="s">
        <v>2156</v>
      </c>
      <c r="C8484">
        <v>10</v>
      </c>
      <c r="D8484">
        <v>199</v>
      </c>
      <c r="E8484">
        <f>IF(OR(B8484="vi",B8484="ii",B8484="pod"),(((D8484/100)*(C8484*VLOOKUP(B8484,'Poids des runes'!A:B,2,FALSE)))+1),(((D8484/100)*(C8484*VLOOKUP(B8484,'Poids des runes'!A:B,2,FALSE)))+1)/VLOOKUP(B8484,'Poids des runes'!A:B,2,FALSE))</f>
        <v>20.066666666666666</v>
      </c>
      <c r="F8484">
        <f t="shared" si="132"/>
        <v>20.066666666666666</v>
      </c>
    </row>
    <row r="8485" spans="1:6" x14ac:dyDescent="0.3">
      <c r="A8485" t="s">
        <v>1420</v>
      </c>
      <c r="B8485" t="s">
        <v>2135</v>
      </c>
      <c r="C8485">
        <v>2.5</v>
      </c>
      <c r="D8485">
        <v>199</v>
      </c>
      <c r="E8485">
        <f>IF(OR(B8485="vi",B8485="ii",B8485="pod"),(((D8485/100)*(C8485*VLOOKUP(B8485,'Poids des runes'!A:B,2,FALSE)))+1),(((D8485/100)*(C8485*VLOOKUP(B8485,'Poids des runes'!A:B,2,FALSE)))+1)/VLOOKUP(B8485,'Poids des runes'!A:B,2,FALSE))</f>
        <v>5.1416666666666666</v>
      </c>
      <c r="F8485">
        <f t="shared" si="132"/>
        <v>5.1416666666666666</v>
      </c>
    </row>
    <row r="8486" spans="1:6" x14ac:dyDescent="0.3">
      <c r="A8486" t="s">
        <v>1421</v>
      </c>
      <c r="B8486" t="s">
        <v>2128</v>
      </c>
      <c r="C8486">
        <v>325.5</v>
      </c>
      <c r="D8486">
        <v>199</v>
      </c>
      <c r="E8486">
        <f>IF(OR(B8486="vi",B8486="ii",B8486="pod"),(((D8486/100)*(C8486*VLOOKUP(B8486,'Poids des runes'!A:B,2,FALSE)))+1),(((D8486/100)*(C8486*VLOOKUP(B8486,'Poids des runes'!A:B,2,FALSE)))+1)/VLOOKUP(B8486,'Poids des runes'!A:B,2,FALSE))</f>
        <v>130.54900000000001</v>
      </c>
      <c r="F8486">
        <f t="shared" si="132"/>
        <v>130.54900000000001</v>
      </c>
    </row>
    <row r="8487" spans="1:6" x14ac:dyDescent="0.3">
      <c r="A8487" t="s">
        <v>1421</v>
      </c>
      <c r="B8487" t="s">
        <v>2130</v>
      </c>
      <c r="C8487">
        <v>40.5</v>
      </c>
      <c r="D8487">
        <v>199</v>
      </c>
      <c r="E8487">
        <f>IF(OR(B8487="vi",B8487="ii",B8487="pod"),(((D8487/100)*(C8487*VLOOKUP(B8487,'Poids des runes'!A:B,2,FALSE)))+1),(((D8487/100)*(C8487*VLOOKUP(B8487,'Poids des runes'!A:B,2,FALSE)))+1)/VLOOKUP(B8487,'Poids des runes'!A:B,2,FALSE))</f>
        <v>81.594999999999999</v>
      </c>
      <c r="F8487">
        <f t="shared" si="132"/>
        <v>81.594999999999999</v>
      </c>
    </row>
    <row r="8488" spans="1:6" x14ac:dyDescent="0.3">
      <c r="A8488" t="s">
        <v>1421</v>
      </c>
      <c r="B8488" t="s">
        <v>2131</v>
      </c>
      <c r="C8488">
        <v>40.5</v>
      </c>
      <c r="D8488">
        <v>199</v>
      </c>
      <c r="E8488">
        <f>IF(OR(B8488="vi",B8488="ii",B8488="pod"),(((D8488/100)*(C8488*VLOOKUP(B8488,'Poids des runes'!A:B,2,FALSE)))+1),(((D8488/100)*(C8488*VLOOKUP(B8488,'Poids des runes'!A:B,2,FALSE)))+1)/VLOOKUP(B8488,'Poids des runes'!A:B,2,FALSE))</f>
        <v>81.594999999999999</v>
      </c>
      <c r="F8488">
        <f t="shared" si="132"/>
        <v>81.594999999999999</v>
      </c>
    </row>
    <row r="8489" spans="1:6" x14ac:dyDescent="0.3">
      <c r="A8489" t="s">
        <v>1421</v>
      </c>
      <c r="B8489" t="s">
        <v>2129</v>
      </c>
      <c r="C8489">
        <v>40.5</v>
      </c>
      <c r="D8489">
        <v>199</v>
      </c>
      <c r="E8489">
        <f>IF(OR(B8489="vi",B8489="ii",B8489="pod"),(((D8489/100)*(C8489*VLOOKUP(B8489,'Poids des runes'!A:B,2,FALSE)))+1),(((D8489/100)*(C8489*VLOOKUP(B8489,'Poids des runes'!A:B,2,FALSE)))+1)/VLOOKUP(B8489,'Poids des runes'!A:B,2,FALSE))</f>
        <v>81.594999999999999</v>
      </c>
      <c r="F8489">
        <f t="shared" si="132"/>
        <v>81.594999999999999</v>
      </c>
    </row>
    <row r="8490" spans="1:6" x14ac:dyDescent="0.3">
      <c r="A8490" t="s">
        <v>1421</v>
      </c>
      <c r="B8490" t="s">
        <v>2151</v>
      </c>
      <c r="C8490">
        <v>4.5</v>
      </c>
      <c r="D8490">
        <v>199</v>
      </c>
      <c r="E8490">
        <f>IF(OR(B8490="vi",B8490="ii",B8490="pod"),(((D8490/100)*(C8490*VLOOKUP(B8490,'Poids des runes'!A:B,2,FALSE)))+1),(((D8490/100)*(C8490*VLOOKUP(B8490,'Poids des runes'!A:B,2,FALSE)))+1)/VLOOKUP(B8490,'Poids des runes'!A:B,2,FALSE))</f>
        <v>9.0549999999999997</v>
      </c>
      <c r="F8490">
        <f t="shared" si="132"/>
        <v>9.0549999999999997</v>
      </c>
    </row>
    <row r="8491" spans="1:6" x14ac:dyDescent="0.3">
      <c r="A8491" t="s">
        <v>1421</v>
      </c>
      <c r="B8491" t="s">
        <v>2154</v>
      </c>
      <c r="C8491">
        <v>1</v>
      </c>
      <c r="D8491">
        <v>199</v>
      </c>
      <c r="E8491">
        <f>IF(OR(B8491="vi",B8491="ii",B8491="pod"),(((D8491/100)*(C8491*VLOOKUP(B8491,'Poids des runes'!A:B,2,FALSE)))+1),(((D8491/100)*(C8491*VLOOKUP(B8491,'Poids des runes'!A:B,2,FALSE)))+1)/VLOOKUP(B8491,'Poids des runes'!A:B,2,FALSE))</f>
        <v>2.0011111111111108</v>
      </c>
      <c r="F8491">
        <f t="shared" si="132"/>
        <v>2.0011111111111108</v>
      </c>
    </row>
    <row r="8492" spans="1:6" x14ac:dyDescent="0.3">
      <c r="A8492" t="s">
        <v>1421</v>
      </c>
      <c r="B8492" t="s">
        <v>2143</v>
      </c>
      <c r="C8492">
        <v>10</v>
      </c>
      <c r="D8492">
        <v>199</v>
      </c>
      <c r="E8492">
        <f>IF(OR(B8492="vi",B8492="ii",B8492="pod"),(((D8492/100)*(C8492*VLOOKUP(B8492,'Poids des runes'!A:B,2,FALSE)))+1),(((D8492/100)*(C8492*VLOOKUP(B8492,'Poids des runes'!A:B,2,FALSE)))+1)/VLOOKUP(B8492,'Poids des runes'!A:B,2,FALSE))</f>
        <v>20.100000000000001</v>
      </c>
      <c r="F8492">
        <f t="shared" si="132"/>
        <v>20.100000000000001</v>
      </c>
    </row>
    <row r="8493" spans="1:6" x14ac:dyDescent="0.3">
      <c r="A8493" t="s">
        <v>1421</v>
      </c>
      <c r="B8493" t="s">
        <v>2133</v>
      </c>
      <c r="C8493">
        <v>10</v>
      </c>
      <c r="D8493">
        <v>199</v>
      </c>
      <c r="E8493">
        <f>IF(OR(B8493="vi",B8493="ii",B8493="pod"),(((D8493/100)*(C8493*VLOOKUP(B8493,'Poids des runes'!A:B,2,FALSE)))+1),(((D8493/100)*(C8493*VLOOKUP(B8493,'Poids des runes'!A:B,2,FALSE)))+1)/VLOOKUP(B8493,'Poids des runes'!A:B,2,FALSE))</f>
        <v>20.100000000000001</v>
      </c>
      <c r="F8493">
        <f t="shared" si="132"/>
        <v>20.100000000000001</v>
      </c>
    </row>
    <row r="8494" spans="1:6" x14ac:dyDescent="0.3">
      <c r="A8494" t="s">
        <v>1421</v>
      </c>
      <c r="B8494" t="s">
        <v>2138</v>
      </c>
      <c r="C8494">
        <v>8.5</v>
      </c>
      <c r="D8494">
        <v>199</v>
      </c>
      <c r="E8494">
        <f>IF(OR(B8494="vi",B8494="ii",B8494="pod"),(((D8494/100)*(C8494*VLOOKUP(B8494,'Poids des runes'!A:B,2,FALSE)))+1),(((D8494/100)*(C8494*VLOOKUP(B8494,'Poids des runes'!A:B,2,FALSE)))+1)/VLOOKUP(B8494,'Poids des runes'!A:B,2,FALSE))</f>
        <v>17.164999999999999</v>
      </c>
      <c r="F8494">
        <f t="shared" si="132"/>
        <v>17.164999999999999</v>
      </c>
    </row>
    <row r="8495" spans="1:6" x14ac:dyDescent="0.3">
      <c r="A8495" t="s">
        <v>1421</v>
      </c>
      <c r="B8495" t="s">
        <v>2147</v>
      </c>
      <c r="C8495">
        <v>8.5</v>
      </c>
      <c r="D8495">
        <v>199</v>
      </c>
      <c r="E8495">
        <f>IF(OR(B8495="vi",B8495="ii",B8495="pod"),(((D8495/100)*(C8495*VLOOKUP(B8495,'Poids des runes'!A:B,2,FALSE)))+1),(((D8495/100)*(C8495*VLOOKUP(B8495,'Poids des runes'!A:B,2,FALSE)))+1)/VLOOKUP(B8495,'Poids des runes'!A:B,2,FALSE))</f>
        <v>17.081666666666667</v>
      </c>
      <c r="F8495">
        <f t="shared" si="132"/>
        <v>17.081666666666667</v>
      </c>
    </row>
    <row r="8496" spans="1:6" x14ac:dyDescent="0.3">
      <c r="A8496" t="s">
        <v>1422</v>
      </c>
      <c r="B8496" t="s">
        <v>2128</v>
      </c>
      <c r="C8496">
        <v>325.5</v>
      </c>
      <c r="D8496">
        <v>199</v>
      </c>
      <c r="E8496">
        <f>IF(OR(B8496="vi",B8496="ii",B8496="pod"),(((D8496/100)*(C8496*VLOOKUP(B8496,'Poids des runes'!A:B,2,FALSE)))+1),(((D8496/100)*(C8496*VLOOKUP(B8496,'Poids des runes'!A:B,2,FALSE)))+1)/VLOOKUP(B8496,'Poids des runes'!A:B,2,FALSE))</f>
        <v>130.54900000000001</v>
      </c>
      <c r="F8496">
        <f t="shared" si="132"/>
        <v>130.54900000000001</v>
      </c>
    </row>
    <row r="8497" spans="1:6" x14ac:dyDescent="0.3">
      <c r="A8497" t="s">
        <v>1422</v>
      </c>
      <c r="B8497" t="s">
        <v>2126</v>
      </c>
      <c r="C8497">
        <v>50.5</v>
      </c>
      <c r="D8497">
        <v>199</v>
      </c>
      <c r="E8497">
        <f>IF(OR(B8497="vi",B8497="ii",B8497="pod"),(((D8497/100)*(C8497*VLOOKUP(B8497,'Poids des runes'!A:B,2,FALSE)))+1),(((D8497/100)*(C8497*VLOOKUP(B8497,'Poids des runes'!A:B,2,FALSE)))+1)/VLOOKUP(B8497,'Poids des runes'!A:B,2,FALSE))</f>
        <v>101.495</v>
      </c>
      <c r="F8497">
        <f t="shared" si="132"/>
        <v>101.495</v>
      </c>
    </row>
    <row r="8498" spans="1:6" x14ac:dyDescent="0.3">
      <c r="A8498" t="s">
        <v>1422</v>
      </c>
      <c r="B8498" t="s">
        <v>2129</v>
      </c>
      <c r="C8498">
        <v>40.5</v>
      </c>
      <c r="D8498">
        <v>199</v>
      </c>
      <c r="E8498">
        <f>IF(OR(B8498="vi",B8498="ii",B8498="pod"),(((D8498/100)*(C8498*VLOOKUP(B8498,'Poids des runes'!A:B,2,FALSE)))+1),(((D8498/100)*(C8498*VLOOKUP(B8498,'Poids des runes'!A:B,2,FALSE)))+1)/VLOOKUP(B8498,'Poids des runes'!A:B,2,FALSE))</f>
        <v>81.594999999999999</v>
      </c>
      <c r="F8498">
        <f t="shared" si="132"/>
        <v>81.594999999999999</v>
      </c>
    </row>
    <row r="8499" spans="1:6" x14ac:dyDescent="0.3">
      <c r="A8499" t="s">
        <v>1422</v>
      </c>
      <c r="B8499" t="s">
        <v>2151</v>
      </c>
      <c r="C8499">
        <v>4.5</v>
      </c>
      <c r="D8499">
        <v>199</v>
      </c>
      <c r="E8499">
        <f>IF(OR(B8499="vi",B8499="ii",B8499="pod"),(((D8499/100)*(C8499*VLOOKUP(B8499,'Poids des runes'!A:B,2,FALSE)))+1),(((D8499/100)*(C8499*VLOOKUP(B8499,'Poids des runes'!A:B,2,FALSE)))+1)/VLOOKUP(B8499,'Poids des runes'!A:B,2,FALSE))</f>
        <v>9.0549999999999997</v>
      </c>
      <c r="F8499">
        <f t="shared" si="132"/>
        <v>9.0549999999999997</v>
      </c>
    </row>
    <row r="8500" spans="1:6" x14ac:dyDescent="0.3">
      <c r="A8500" t="s">
        <v>1422</v>
      </c>
      <c r="B8500" t="s">
        <v>2154</v>
      </c>
      <c r="C8500">
        <v>1</v>
      </c>
      <c r="D8500">
        <v>199</v>
      </c>
      <c r="E8500">
        <f>IF(OR(B8500="vi",B8500="ii",B8500="pod"),(((D8500/100)*(C8500*VLOOKUP(B8500,'Poids des runes'!A:B,2,FALSE)))+1),(((D8500/100)*(C8500*VLOOKUP(B8500,'Poids des runes'!A:B,2,FALSE)))+1)/VLOOKUP(B8500,'Poids des runes'!A:B,2,FALSE))</f>
        <v>2.0011111111111108</v>
      </c>
      <c r="F8500">
        <f t="shared" si="132"/>
        <v>2.0011111111111108</v>
      </c>
    </row>
    <row r="8501" spans="1:6" x14ac:dyDescent="0.3">
      <c r="A8501" t="s">
        <v>1422</v>
      </c>
      <c r="B8501" t="s">
        <v>2150</v>
      </c>
      <c r="C8501">
        <v>1</v>
      </c>
      <c r="D8501">
        <v>199</v>
      </c>
      <c r="E8501">
        <f>IF(OR(B8501="vi",B8501="ii",B8501="pod"),(((D8501/100)*(C8501*VLOOKUP(B8501,'Poids des runes'!A:B,2,FALSE)))+1),(((D8501/100)*(C8501*VLOOKUP(B8501,'Poids des runes'!A:B,2,FALSE)))+1)/VLOOKUP(B8501,'Poids des runes'!A:B,2,FALSE))</f>
        <v>2.0233333333333334</v>
      </c>
      <c r="F8501">
        <f t="shared" si="132"/>
        <v>2.0233333333333334</v>
      </c>
    </row>
    <row r="8502" spans="1:6" x14ac:dyDescent="0.3">
      <c r="A8502" t="s">
        <v>1422</v>
      </c>
      <c r="B8502" t="s">
        <v>2140</v>
      </c>
      <c r="C8502">
        <v>16</v>
      </c>
      <c r="D8502">
        <v>199</v>
      </c>
      <c r="E8502">
        <f>IF(OR(B8502="vi",B8502="ii",B8502="pod"),(((D8502/100)*(C8502*VLOOKUP(B8502,'Poids des runes'!A:B,2,FALSE)))+1),(((D8502/100)*(C8502*VLOOKUP(B8502,'Poids des runes'!A:B,2,FALSE)))+1)/VLOOKUP(B8502,'Poids des runes'!A:B,2,FALSE))</f>
        <v>32.04</v>
      </c>
      <c r="F8502">
        <f t="shared" si="132"/>
        <v>32.04</v>
      </c>
    </row>
    <row r="8503" spans="1:6" x14ac:dyDescent="0.3">
      <c r="A8503" t="s">
        <v>1422</v>
      </c>
      <c r="B8503" t="s">
        <v>2161</v>
      </c>
      <c r="C8503">
        <v>13</v>
      </c>
      <c r="D8503">
        <v>199</v>
      </c>
      <c r="E8503">
        <f>IF(OR(B8503="vi",B8503="ii",B8503="pod"),(((D8503/100)*(C8503*VLOOKUP(B8503,'Poids des runes'!A:B,2,FALSE)))+1),(((D8503/100)*(C8503*VLOOKUP(B8503,'Poids des runes'!A:B,2,FALSE)))+1)/VLOOKUP(B8503,'Poids des runes'!A:B,2,FALSE))</f>
        <v>26.203333333333333</v>
      </c>
      <c r="F8503">
        <f t="shared" si="132"/>
        <v>26.203333333333333</v>
      </c>
    </row>
    <row r="8504" spans="1:6" x14ac:dyDescent="0.3">
      <c r="A8504" t="s">
        <v>1422</v>
      </c>
      <c r="B8504" t="s">
        <v>2141</v>
      </c>
      <c r="C8504">
        <v>8.5</v>
      </c>
      <c r="D8504">
        <v>199</v>
      </c>
      <c r="E8504">
        <f>IF(OR(B8504="vi",B8504="ii",B8504="pod"),(((D8504/100)*(C8504*VLOOKUP(B8504,'Poids des runes'!A:B,2,FALSE)))+1),(((D8504/100)*(C8504*VLOOKUP(B8504,'Poids des runes'!A:B,2,FALSE)))+1)/VLOOKUP(B8504,'Poids des runes'!A:B,2,FALSE))</f>
        <v>17.164999999999999</v>
      </c>
      <c r="F8504">
        <f t="shared" si="132"/>
        <v>17.164999999999999</v>
      </c>
    </row>
    <row r="8505" spans="1:6" x14ac:dyDescent="0.3">
      <c r="A8505" t="s">
        <v>1422</v>
      </c>
      <c r="B8505" t="s">
        <v>2159</v>
      </c>
      <c r="C8505">
        <v>5</v>
      </c>
      <c r="D8505">
        <v>199</v>
      </c>
      <c r="E8505">
        <f>IF(OR(B8505="vi",B8505="ii",B8505="pod"),(((D8505/100)*(C8505*VLOOKUP(B8505,'Poids des runes'!A:B,2,FALSE)))+1),(((D8505/100)*(C8505*VLOOKUP(B8505,'Poids des runes'!A:B,2,FALSE)))+1)/VLOOKUP(B8505,'Poids des runes'!A:B,2,FALSE))</f>
        <v>10.092857142857143</v>
      </c>
      <c r="F8505">
        <f t="shared" si="132"/>
        <v>10.092857142857143</v>
      </c>
    </row>
    <row r="8506" spans="1:6" x14ac:dyDescent="0.3">
      <c r="A8506" t="s">
        <v>1422</v>
      </c>
      <c r="B8506" t="s">
        <v>2135</v>
      </c>
      <c r="C8506">
        <v>4</v>
      </c>
      <c r="D8506">
        <v>199</v>
      </c>
      <c r="E8506">
        <f>IF(OR(B8506="vi",B8506="ii",B8506="pod"),(((D8506/100)*(C8506*VLOOKUP(B8506,'Poids des runes'!A:B,2,FALSE)))+1),(((D8506/100)*(C8506*VLOOKUP(B8506,'Poids des runes'!A:B,2,FALSE)))+1)/VLOOKUP(B8506,'Poids des runes'!A:B,2,FALSE))</f>
        <v>8.1266666666666669</v>
      </c>
      <c r="F8506">
        <f t="shared" si="132"/>
        <v>8.1266666666666669</v>
      </c>
    </row>
    <row r="8507" spans="1:6" x14ac:dyDescent="0.3">
      <c r="A8507" t="s">
        <v>1422</v>
      </c>
      <c r="B8507" t="s">
        <v>2137</v>
      </c>
      <c r="C8507">
        <v>10</v>
      </c>
      <c r="D8507">
        <v>199</v>
      </c>
      <c r="E8507">
        <f>IF(OR(B8507="vi",B8507="ii",B8507="pod"),(((D8507/100)*(C8507*VLOOKUP(B8507,'Poids des runes'!A:B,2,FALSE)))+1),(((D8507/100)*(C8507*VLOOKUP(B8507,'Poids des runes'!A:B,2,FALSE)))+1)/VLOOKUP(B8507,'Poids des runes'!A:B,2,FALSE))</f>
        <v>20.399999999999999</v>
      </c>
      <c r="F8507">
        <f t="shared" si="132"/>
        <v>20.399999999999999</v>
      </c>
    </row>
    <row r="8508" spans="1:6" x14ac:dyDescent="0.3">
      <c r="A8508" t="s">
        <v>1422</v>
      </c>
      <c r="B8508" t="s">
        <v>2144</v>
      </c>
      <c r="C8508">
        <v>10</v>
      </c>
      <c r="D8508">
        <v>199</v>
      </c>
      <c r="E8508">
        <f>IF(OR(B8508="vi",B8508="ii",B8508="pod"),(((D8508/100)*(C8508*VLOOKUP(B8508,'Poids des runes'!A:B,2,FALSE)))+1),(((D8508/100)*(C8508*VLOOKUP(B8508,'Poids des runes'!A:B,2,FALSE)))+1)/VLOOKUP(B8508,'Poids des runes'!A:B,2,FALSE))</f>
        <v>20.399999999999999</v>
      </c>
      <c r="F8508">
        <f t="shared" si="132"/>
        <v>20.399999999999999</v>
      </c>
    </row>
    <row r="8509" spans="1:6" x14ac:dyDescent="0.3">
      <c r="A8509" t="s">
        <v>1422</v>
      </c>
      <c r="B8509" t="s">
        <v>2146</v>
      </c>
      <c r="C8509">
        <v>10</v>
      </c>
      <c r="D8509">
        <v>199</v>
      </c>
      <c r="E8509">
        <f>IF(OR(B8509="vi",B8509="ii",B8509="pod"),(((D8509/100)*(C8509*VLOOKUP(B8509,'Poids des runes'!A:B,2,FALSE)))+1),(((D8509/100)*(C8509*VLOOKUP(B8509,'Poids des runes'!A:B,2,FALSE)))+1)/VLOOKUP(B8509,'Poids des runes'!A:B,2,FALSE))</f>
        <v>20.399999999999999</v>
      </c>
      <c r="F8509">
        <f t="shared" si="132"/>
        <v>20.399999999999999</v>
      </c>
    </row>
    <row r="8510" spans="1:6" x14ac:dyDescent="0.3">
      <c r="A8510" t="s">
        <v>1423</v>
      </c>
      <c r="B8510" t="s">
        <v>2128</v>
      </c>
      <c r="C8510">
        <v>175.5</v>
      </c>
      <c r="D8510">
        <v>199</v>
      </c>
      <c r="E8510">
        <f>IF(OR(B8510="vi",B8510="ii",B8510="pod"),(((D8510/100)*(C8510*VLOOKUP(B8510,'Poids des runes'!A:B,2,FALSE)))+1),(((D8510/100)*(C8510*VLOOKUP(B8510,'Poids des runes'!A:B,2,FALSE)))+1)/VLOOKUP(B8510,'Poids des runes'!A:B,2,FALSE))</f>
        <v>70.849000000000004</v>
      </c>
      <c r="F8510">
        <f t="shared" si="132"/>
        <v>70.849000000000004</v>
      </c>
    </row>
    <row r="8511" spans="1:6" x14ac:dyDescent="0.3">
      <c r="A8511" t="s">
        <v>1423</v>
      </c>
      <c r="B8511" t="s">
        <v>2126</v>
      </c>
      <c r="C8511">
        <v>40.5</v>
      </c>
      <c r="D8511">
        <v>199</v>
      </c>
      <c r="E8511">
        <f>IF(OR(B8511="vi",B8511="ii",B8511="pod"),(((D8511/100)*(C8511*VLOOKUP(B8511,'Poids des runes'!A:B,2,FALSE)))+1),(((D8511/100)*(C8511*VLOOKUP(B8511,'Poids des runes'!A:B,2,FALSE)))+1)/VLOOKUP(B8511,'Poids des runes'!A:B,2,FALSE))</f>
        <v>81.594999999999999</v>
      </c>
      <c r="F8511">
        <f t="shared" si="132"/>
        <v>81.594999999999999</v>
      </c>
    </row>
    <row r="8512" spans="1:6" x14ac:dyDescent="0.3">
      <c r="A8512" t="s">
        <v>1423</v>
      </c>
      <c r="B8512" t="s">
        <v>2127</v>
      </c>
      <c r="C8512">
        <v>40.5</v>
      </c>
      <c r="D8512">
        <v>199</v>
      </c>
      <c r="E8512">
        <f>IF(OR(B8512="vi",B8512="ii",B8512="pod"),(((D8512/100)*(C8512*VLOOKUP(B8512,'Poids des runes'!A:B,2,FALSE)))+1),(((D8512/100)*(C8512*VLOOKUP(B8512,'Poids des runes'!A:B,2,FALSE)))+1)/VLOOKUP(B8512,'Poids des runes'!A:B,2,FALSE))</f>
        <v>81.594999999999999</v>
      </c>
      <c r="F8512">
        <f t="shared" si="132"/>
        <v>81.594999999999999</v>
      </c>
    </row>
    <row r="8513" spans="1:6" x14ac:dyDescent="0.3">
      <c r="A8513" t="s">
        <v>1423</v>
      </c>
      <c r="B8513" t="s">
        <v>2129</v>
      </c>
      <c r="C8513">
        <v>40.5</v>
      </c>
      <c r="D8513">
        <v>199</v>
      </c>
      <c r="E8513">
        <f>IF(OR(B8513="vi",B8513="ii",B8513="pod"),(((D8513/100)*(C8513*VLOOKUP(B8513,'Poids des runes'!A:B,2,FALSE)))+1),(((D8513/100)*(C8513*VLOOKUP(B8513,'Poids des runes'!A:B,2,FALSE)))+1)/VLOOKUP(B8513,'Poids des runes'!A:B,2,FALSE))</f>
        <v>81.594999999999999</v>
      </c>
      <c r="F8513">
        <f t="shared" si="132"/>
        <v>81.594999999999999</v>
      </c>
    </row>
    <row r="8514" spans="1:6" x14ac:dyDescent="0.3">
      <c r="A8514" t="s">
        <v>1423</v>
      </c>
      <c r="B8514" t="s">
        <v>2151</v>
      </c>
      <c r="C8514">
        <v>2.5</v>
      </c>
      <c r="D8514">
        <v>199</v>
      </c>
      <c r="E8514">
        <f>IF(OR(B8514="vi",B8514="ii",B8514="pod"),(((D8514/100)*(C8514*VLOOKUP(B8514,'Poids des runes'!A:B,2,FALSE)))+1),(((D8514/100)*(C8514*VLOOKUP(B8514,'Poids des runes'!A:B,2,FALSE)))+1)/VLOOKUP(B8514,'Poids des runes'!A:B,2,FALSE))</f>
        <v>5.0750000000000002</v>
      </c>
      <c r="F8514">
        <f t="shared" si="132"/>
        <v>5.0750000000000002</v>
      </c>
    </row>
    <row r="8515" spans="1:6" x14ac:dyDescent="0.3">
      <c r="A8515" t="s">
        <v>1423</v>
      </c>
      <c r="B8515" t="s">
        <v>2155</v>
      </c>
      <c r="C8515">
        <v>1</v>
      </c>
      <c r="D8515">
        <v>199</v>
      </c>
      <c r="E8515">
        <f>IF(OR(B8515="vi",B8515="ii",B8515="pod"),(((D8515/100)*(C8515*VLOOKUP(B8515,'Poids des runes'!A:B,2,FALSE)))+1),(((D8515/100)*(C8515*VLOOKUP(B8515,'Poids des runes'!A:B,2,FALSE)))+1)/VLOOKUP(B8515,'Poids des runes'!A:B,2,FALSE))</f>
        <v>2.0096078431372546</v>
      </c>
      <c r="F8515">
        <f t="shared" ref="F8515:F8578" si="133">E8515</f>
        <v>2.0096078431372546</v>
      </c>
    </row>
    <row r="8516" spans="1:6" x14ac:dyDescent="0.3">
      <c r="A8516" t="s">
        <v>1423</v>
      </c>
      <c r="B8516" t="s">
        <v>2134</v>
      </c>
      <c r="C8516">
        <v>5</v>
      </c>
      <c r="D8516">
        <v>199</v>
      </c>
      <c r="E8516">
        <f>IF(OR(B8516="vi",B8516="ii",B8516="pod"),(((D8516/100)*(C8516*VLOOKUP(B8516,'Poids des runes'!A:B,2,FALSE)))+1),(((D8516/100)*(C8516*VLOOKUP(B8516,'Poids des runes'!A:B,2,FALSE)))+1)/VLOOKUP(B8516,'Poids des runes'!A:B,2,FALSE))</f>
        <v>10</v>
      </c>
      <c r="F8516">
        <f t="shared" si="133"/>
        <v>10</v>
      </c>
    </row>
    <row r="8517" spans="1:6" x14ac:dyDescent="0.3">
      <c r="A8517" t="s">
        <v>1423</v>
      </c>
      <c r="B8517" t="s">
        <v>2149</v>
      </c>
      <c r="C8517">
        <v>8</v>
      </c>
      <c r="D8517">
        <v>199</v>
      </c>
      <c r="E8517">
        <f>IF(OR(B8517="vi",B8517="ii",B8517="pod"),(((D8517/100)*(C8517*VLOOKUP(B8517,'Poids des runes'!A:B,2,FALSE)))+1),(((D8517/100)*(C8517*VLOOKUP(B8517,'Poids des runes'!A:B,2,FALSE)))+1)/VLOOKUP(B8517,'Poids des runes'!A:B,2,FALSE))</f>
        <v>16.02</v>
      </c>
      <c r="F8517">
        <f t="shared" si="133"/>
        <v>16.02</v>
      </c>
    </row>
    <row r="8518" spans="1:6" x14ac:dyDescent="0.3">
      <c r="A8518" t="s">
        <v>1423</v>
      </c>
      <c r="B8518" t="s">
        <v>2161</v>
      </c>
      <c r="C8518">
        <v>8</v>
      </c>
      <c r="D8518">
        <v>199</v>
      </c>
      <c r="E8518">
        <f>IF(OR(B8518="vi",B8518="ii",B8518="pod"),(((D8518/100)*(C8518*VLOOKUP(B8518,'Poids des runes'!A:B,2,FALSE)))+1),(((D8518/100)*(C8518*VLOOKUP(B8518,'Poids des runes'!A:B,2,FALSE)))+1)/VLOOKUP(B8518,'Poids des runes'!A:B,2,FALSE))</f>
        <v>16.253333333333334</v>
      </c>
      <c r="F8518">
        <f t="shared" si="133"/>
        <v>16.253333333333334</v>
      </c>
    </row>
    <row r="8519" spans="1:6" x14ac:dyDescent="0.3">
      <c r="A8519" t="s">
        <v>1423</v>
      </c>
      <c r="B8519" t="s">
        <v>2156</v>
      </c>
      <c r="C8519">
        <v>8</v>
      </c>
      <c r="D8519">
        <v>199</v>
      </c>
      <c r="E8519">
        <f>IF(OR(B8519="vi",B8519="ii",B8519="pod"),(((D8519/100)*(C8519*VLOOKUP(B8519,'Poids des runes'!A:B,2,FALSE)))+1),(((D8519/100)*(C8519*VLOOKUP(B8519,'Poids des runes'!A:B,2,FALSE)))+1)/VLOOKUP(B8519,'Poids des runes'!A:B,2,FALSE))</f>
        <v>16.086666666666666</v>
      </c>
      <c r="F8519">
        <f t="shared" si="133"/>
        <v>16.086666666666666</v>
      </c>
    </row>
    <row r="8520" spans="1:6" x14ac:dyDescent="0.3">
      <c r="A8520" t="s">
        <v>1423</v>
      </c>
      <c r="B8520" t="s">
        <v>2136</v>
      </c>
      <c r="C8520">
        <v>8</v>
      </c>
      <c r="D8520">
        <v>199</v>
      </c>
      <c r="E8520">
        <f>IF(OR(B8520="vi",B8520="ii",B8520="pod"),(((D8520/100)*(C8520*VLOOKUP(B8520,'Poids des runes'!A:B,2,FALSE)))+1),(((D8520/100)*(C8520*VLOOKUP(B8520,'Poids des runes'!A:B,2,FALSE)))+1)/VLOOKUP(B8520,'Poids des runes'!A:B,2,FALSE))</f>
        <v>16.420000000000002</v>
      </c>
      <c r="F8520">
        <f t="shared" si="133"/>
        <v>16.420000000000002</v>
      </c>
    </row>
    <row r="8521" spans="1:6" x14ac:dyDescent="0.3">
      <c r="A8521" t="s">
        <v>1424</v>
      </c>
      <c r="B8521" t="s">
        <v>2128</v>
      </c>
      <c r="C8521">
        <v>175.5</v>
      </c>
      <c r="D8521">
        <v>199</v>
      </c>
      <c r="E8521">
        <f>IF(OR(B8521="vi",B8521="ii",B8521="pod"),(((D8521/100)*(C8521*VLOOKUP(B8521,'Poids des runes'!A:B,2,FALSE)))+1),(((D8521/100)*(C8521*VLOOKUP(B8521,'Poids des runes'!A:B,2,FALSE)))+1)/VLOOKUP(B8521,'Poids des runes'!A:B,2,FALSE))</f>
        <v>70.849000000000004</v>
      </c>
      <c r="F8521">
        <f t="shared" si="133"/>
        <v>70.849000000000004</v>
      </c>
    </row>
    <row r="8522" spans="1:6" x14ac:dyDescent="0.3">
      <c r="A8522" t="s">
        <v>1424</v>
      </c>
      <c r="B8522" t="s">
        <v>2129</v>
      </c>
      <c r="C8522">
        <v>40.5</v>
      </c>
      <c r="D8522">
        <v>199</v>
      </c>
      <c r="E8522">
        <f>IF(OR(B8522="vi",B8522="ii",B8522="pod"),(((D8522/100)*(C8522*VLOOKUP(B8522,'Poids des runes'!A:B,2,FALSE)))+1),(((D8522/100)*(C8522*VLOOKUP(B8522,'Poids des runes'!A:B,2,FALSE)))+1)/VLOOKUP(B8522,'Poids des runes'!A:B,2,FALSE))</f>
        <v>81.594999999999999</v>
      </c>
      <c r="F8522">
        <f t="shared" si="133"/>
        <v>81.594999999999999</v>
      </c>
    </row>
    <row r="8523" spans="1:6" x14ac:dyDescent="0.3">
      <c r="A8523" t="s">
        <v>1424</v>
      </c>
      <c r="B8523" t="s">
        <v>2143</v>
      </c>
      <c r="C8523">
        <v>4.5</v>
      </c>
      <c r="D8523">
        <v>199</v>
      </c>
      <c r="E8523">
        <f>IF(OR(B8523="vi",B8523="ii",B8523="pod"),(((D8523/100)*(C8523*VLOOKUP(B8523,'Poids des runes'!A:B,2,FALSE)))+1),(((D8523/100)*(C8523*VLOOKUP(B8523,'Poids des runes'!A:B,2,FALSE)))+1)/VLOOKUP(B8523,'Poids des runes'!A:B,2,FALSE))</f>
        <v>9.1549999999999994</v>
      </c>
      <c r="F8523">
        <f t="shared" si="133"/>
        <v>9.1549999999999994</v>
      </c>
    </row>
    <row r="8524" spans="1:6" x14ac:dyDescent="0.3">
      <c r="A8524" t="s">
        <v>1424</v>
      </c>
      <c r="B8524" t="s">
        <v>2140</v>
      </c>
      <c r="C8524">
        <v>4.5</v>
      </c>
      <c r="D8524">
        <v>199</v>
      </c>
      <c r="E8524">
        <f>IF(OR(B8524="vi",B8524="ii",B8524="pod"),(((D8524/100)*(C8524*VLOOKUP(B8524,'Poids des runes'!A:B,2,FALSE)))+1),(((D8524/100)*(C8524*VLOOKUP(B8524,'Poids des runes'!A:B,2,FALSE)))+1)/VLOOKUP(B8524,'Poids des runes'!A:B,2,FALSE))</f>
        <v>9.1549999999999994</v>
      </c>
      <c r="F8524">
        <f t="shared" si="133"/>
        <v>9.1549999999999994</v>
      </c>
    </row>
    <row r="8525" spans="1:6" x14ac:dyDescent="0.3">
      <c r="A8525" t="s">
        <v>1424</v>
      </c>
      <c r="B8525" t="s">
        <v>2133</v>
      </c>
      <c r="C8525">
        <v>4.5</v>
      </c>
      <c r="D8525">
        <v>199</v>
      </c>
      <c r="E8525">
        <f>IF(OR(B8525="vi",B8525="ii",B8525="pod"),(((D8525/100)*(C8525*VLOOKUP(B8525,'Poids des runes'!A:B,2,FALSE)))+1),(((D8525/100)*(C8525*VLOOKUP(B8525,'Poids des runes'!A:B,2,FALSE)))+1)/VLOOKUP(B8525,'Poids des runes'!A:B,2,FALSE))</f>
        <v>9.1549999999999994</v>
      </c>
      <c r="F8525">
        <f t="shared" si="133"/>
        <v>9.1549999999999994</v>
      </c>
    </row>
    <row r="8526" spans="1:6" x14ac:dyDescent="0.3">
      <c r="A8526" t="s">
        <v>1424</v>
      </c>
      <c r="B8526" t="s">
        <v>2153</v>
      </c>
      <c r="C8526">
        <v>4.5</v>
      </c>
      <c r="D8526">
        <v>199</v>
      </c>
      <c r="E8526">
        <f>IF(OR(B8526="vi",B8526="ii",B8526="pod"),(((D8526/100)*(C8526*VLOOKUP(B8526,'Poids des runes'!A:B,2,FALSE)))+1),(((D8526/100)*(C8526*VLOOKUP(B8526,'Poids des runes'!A:B,2,FALSE)))+1)/VLOOKUP(B8526,'Poids des runes'!A:B,2,FALSE))</f>
        <v>9.1549999999999994</v>
      </c>
      <c r="F8526">
        <f t="shared" si="133"/>
        <v>9.1549999999999994</v>
      </c>
    </row>
    <row r="8527" spans="1:6" x14ac:dyDescent="0.3">
      <c r="A8527" t="s">
        <v>1424</v>
      </c>
      <c r="B8527" t="s">
        <v>2138</v>
      </c>
      <c r="C8527">
        <v>13</v>
      </c>
      <c r="D8527">
        <v>199</v>
      </c>
      <c r="E8527">
        <f>IF(OR(B8527="vi",B8527="ii",B8527="pod"),(((D8527/100)*(C8527*VLOOKUP(B8527,'Poids des runes'!A:B,2,FALSE)))+1),(((D8527/100)*(C8527*VLOOKUP(B8527,'Poids des runes'!A:B,2,FALSE)))+1)/VLOOKUP(B8527,'Poids des runes'!A:B,2,FALSE))</f>
        <v>26.12</v>
      </c>
      <c r="F8527">
        <f t="shared" si="133"/>
        <v>26.12</v>
      </c>
    </row>
    <row r="8528" spans="1:6" x14ac:dyDescent="0.3">
      <c r="A8528" t="s">
        <v>1424</v>
      </c>
      <c r="B8528" t="s">
        <v>2165</v>
      </c>
      <c r="C8528">
        <v>10</v>
      </c>
      <c r="D8528">
        <v>199</v>
      </c>
      <c r="E8528">
        <f>IF(OR(B8528="vi",B8528="ii",B8528="pod"),(((D8528/100)*(C8528*VLOOKUP(B8528,'Poids des runes'!A:B,2,FALSE)))+1),(((D8528/100)*(C8528*VLOOKUP(B8528,'Poids des runes'!A:B,2,FALSE)))+1)/VLOOKUP(B8528,'Poids des runes'!A:B,2,FALSE))</f>
        <v>20.042857142857144</v>
      </c>
      <c r="F8528">
        <f t="shared" si="133"/>
        <v>20.042857142857144</v>
      </c>
    </row>
    <row r="8529" spans="1:6" x14ac:dyDescent="0.3">
      <c r="A8529" t="s">
        <v>1424</v>
      </c>
      <c r="B8529" t="s">
        <v>2142</v>
      </c>
      <c r="C8529">
        <v>35.5</v>
      </c>
      <c r="D8529">
        <v>199</v>
      </c>
      <c r="E8529">
        <f>IF(OR(B8529="vi",B8529="ii",B8529="pod"),(((D8529/100)*(C8529*VLOOKUP(B8529,'Poids des runes'!A:B,2,FALSE)))+1),(((D8529/100)*(C8529*VLOOKUP(B8529,'Poids des runes'!A:B,2,FALSE)))+1)/VLOOKUP(B8529,'Poids des runes'!A:B,2,FALSE))</f>
        <v>70.844999999999999</v>
      </c>
      <c r="F8529">
        <f t="shared" si="133"/>
        <v>70.844999999999999</v>
      </c>
    </row>
    <row r="8530" spans="1:6" x14ac:dyDescent="0.3">
      <c r="A8530" t="s">
        <v>1425</v>
      </c>
      <c r="B8530" t="s">
        <v>2128</v>
      </c>
      <c r="C8530">
        <v>175.5</v>
      </c>
      <c r="D8530">
        <v>199</v>
      </c>
      <c r="E8530">
        <f>IF(OR(B8530="vi",B8530="ii",B8530="pod"),(((D8530/100)*(C8530*VLOOKUP(B8530,'Poids des runes'!A:B,2,FALSE)))+1),(((D8530/100)*(C8530*VLOOKUP(B8530,'Poids des runes'!A:B,2,FALSE)))+1)/VLOOKUP(B8530,'Poids des runes'!A:B,2,FALSE))</f>
        <v>70.849000000000004</v>
      </c>
      <c r="F8530">
        <f t="shared" si="133"/>
        <v>70.849000000000004</v>
      </c>
    </row>
    <row r="8531" spans="1:6" x14ac:dyDescent="0.3">
      <c r="A8531" t="s">
        <v>1425</v>
      </c>
      <c r="B8531" t="s">
        <v>2129</v>
      </c>
      <c r="C8531">
        <v>40.5</v>
      </c>
      <c r="D8531">
        <v>199</v>
      </c>
      <c r="E8531">
        <f>IF(OR(B8531="vi",B8531="ii",B8531="pod"),(((D8531/100)*(C8531*VLOOKUP(B8531,'Poids des runes'!A:B,2,FALSE)))+1),(((D8531/100)*(C8531*VLOOKUP(B8531,'Poids des runes'!A:B,2,FALSE)))+1)/VLOOKUP(B8531,'Poids des runes'!A:B,2,FALSE))</f>
        <v>81.594999999999999</v>
      </c>
      <c r="F8531">
        <f t="shared" si="133"/>
        <v>81.594999999999999</v>
      </c>
    </row>
    <row r="8532" spans="1:6" x14ac:dyDescent="0.3">
      <c r="A8532" t="s">
        <v>1425</v>
      </c>
      <c r="B8532" t="s">
        <v>2141</v>
      </c>
      <c r="C8532">
        <v>13</v>
      </c>
      <c r="D8532">
        <v>199</v>
      </c>
      <c r="E8532">
        <f>IF(OR(B8532="vi",B8532="ii",B8532="pod"),(((D8532/100)*(C8532*VLOOKUP(B8532,'Poids des runes'!A:B,2,FALSE)))+1),(((D8532/100)*(C8532*VLOOKUP(B8532,'Poids des runes'!A:B,2,FALSE)))+1)/VLOOKUP(B8532,'Poids des runes'!A:B,2,FALSE))</f>
        <v>26.12</v>
      </c>
      <c r="F8532">
        <f t="shared" si="133"/>
        <v>26.12</v>
      </c>
    </row>
    <row r="8533" spans="1:6" x14ac:dyDescent="0.3">
      <c r="A8533" t="s">
        <v>1425</v>
      </c>
      <c r="B8533" t="s">
        <v>2162</v>
      </c>
      <c r="C8533">
        <v>10</v>
      </c>
      <c r="D8533">
        <v>199</v>
      </c>
      <c r="E8533">
        <f>IF(OR(B8533="vi",B8533="ii",B8533="pod"),(((D8533/100)*(C8533*VLOOKUP(B8533,'Poids des runes'!A:B,2,FALSE)))+1),(((D8533/100)*(C8533*VLOOKUP(B8533,'Poids des runes'!A:B,2,FALSE)))+1)/VLOOKUP(B8533,'Poids des runes'!A:B,2,FALSE))</f>
        <v>20.042857142857144</v>
      </c>
      <c r="F8533">
        <f t="shared" si="133"/>
        <v>20.042857142857144</v>
      </c>
    </row>
    <row r="8534" spans="1:6" x14ac:dyDescent="0.3">
      <c r="A8534" t="s">
        <v>1425</v>
      </c>
      <c r="B8534" t="s">
        <v>2164</v>
      </c>
      <c r="C8534">
        <v>35.5</v>
      </c>
      <c r="D8534">
        <v>199</v>
      </c>
      <c r="E8534">
        <f>IF(OR(B8534="vi",B8534="ii",B8534="pod"),(((D8534/100)*(C8534*VLOOKUP(B8534,'Poids des runes'!A:B,2,FALSE)))+1),(((D8534/100)*(C8534*VLOOKUP(B8534,'Poids des runes'!A:B,2,FALSE)))+1)/VLOOKUP(B8534,'Poids des runes'!A:B,2,FALSE))</f>
        <v>71.144999999999996</v>
      </c>
      <c r="F8534">
        <f t="shared" si="133"/>
        <v>71.144999999999996</v>
      </c>
    </row>
    <row r="8535" spans="1:6" x14ac:dyDescent="0.3">
      <c r="A8535" t="s">
        <v>1425</v>
      </c>
      <c r="B8535" t="s">
        <v>2136</v>
      </c>
      <c r="C8535">
        <v>4.5</v>
      </c>
      <c r="D8535">
        <v>199</v>
      </c>
      <c r="E8535">
        <f>IF(OR(B8535="vi",B8535="ii",B8535="pod"),(((D8535/100)*(C8535*VLOOKUP(B8535,'Poids des runes'!A:B,2,FALSE)))+1),(((D8535/100)*(C8535*VLOOKUP(B8535,'Poids des runes'!A:B,2,FALSE)))+1)/VLOOKUP(B8535,'Poids des runes'!A:B,2,FALSE))</f>
        <v>9.4550000000000001</v>
      </c>
      <c r="F8535">
        <f t="shared" si="133"/>
        <v>9.4550000000000001</v>
      </c>
    </row>
    <row r="8536" spans="1:6" x14ac:dyDescent="0.3">
      <c r="A8536" t="s">
        <v>1425</v>
      </c>
      <c r="B8536" t="s">
        <v>2137</v>
      </c>
      <c r="C8536">
        <v>4.5</v>
      </c>
      <c r="D8536">
        <v>199</v>
      </c>
      <c r="E8536">
        <f>IF(OR(B8536="vi",B8536="ii",B8536="pod"),(((D8536/100)*(C8536*VLOOKUP(B8536,'Poids des runes'!A:B,2,FALSE)))+1),(((D8536/100)*(C8536*VLOOKUP(B8536,'Poids des runes'!A:B,2,FALSE)))+1)/VLOOKUP(B8536,'Poids des runes'!A:B,2,FALSE))</f>
        <v>9.4550000000000001</v>
      </c>
      <c r="F8536">
        <f t="shared" si="133"/>
        <v>9.4550000000000001</v>
      </c>
    </row>
    <row r="8537" spans="1:6" x14ac:dyDescent="0.3">
      <c r="A8537" t="s">
        <v>1425</v>
      </c>
      <c r="B8537" t="s">
        <v>2144</v>
      </c>
      <c r="C8537">
        <v>4.5</v>
      </c>
      <c r="D8537">
        <v>199</v>
      </c>
      <c r="E8537">
        <f>IF(OR(B8537="vi",B8537="ii",B8537="pod"),(((D8537/100)*(C8537*VLOOKUP(B8537,'Poids des runes'!A:B,2,FALSE)))+1),(((D8537/100)*(C8537*VLOOKUP(B8537,'Poids des runes'!A:B,2,FALSE)))+1)/VLOOKUP(B8537,'Poids des runes'!A:B,2,FALSE))</f>
        <v>9.4550000000000001</v>
      </c>
      <c r="F8537">
        <f t="shared" si="133"/>
        <v>9.4550000000000001</v>
      </c>
    </row>
    <row r="8538" spans="1:6" x14ac:dyDescent="0.3">
      <c r="A8538" t="s">
        <v>1425</v>
      </c>
      <c r="B8538" t="s">
        <v>2145</v>
      </c>
      <c r="C8538">
        <v>4.5</v>
      </c>
      <c r="D8538">
        <v>199</v>
      </c>
      <c r="E8538">
        <f>IF(OR(B8538="vi",B8538="ii",B8538="pod"),(((D8538/100)*(C8538*VLOOKUP(B8538,'Poids des runes'!A:B,2,FALSE)))+1),(((D8538/100)*(C8538*VLOOKUP(B8538,'Poids des runes'!A:B,2,FALSE)))+1)/VLOOKUP(B8538,'Poids des runes'!A:B,2,FALSE))</f>
        <v>9.4550000000000001</v>
      </c>
      <c r="F8538">
        <f t="shared" si="133"/>
        <v>9.4550000000000001</v>
      </c>
    </row>
    <row r="8539" spans="1:6" x14ac:dyDescent="0.3">
      <c r="A8539" t="s">
        <v>1425</v>
      </c>
      <c r="B8539" t="s">
        <v>2146</v>
      </c>
      <c r="C8539">
        <v>4.5</v>
      </c>
      <c r="D8539">
        <v>199</v>
      </c>
      <c r="E8539">
        <f>IF(OR(B8539="vi",B8539="ii",B8539="pod"),(((D8539/100)*(C8539*VLOOKUP(B8539,'Poids des runes'!A:B,2,FALSE)))+1),(((D8539/100)*(C8539*VLOOKUP(B8539,'Poids des runes'!A:B,2,FALSE)))+1)/VLOOKUP(B8539,'Poids des runes'!A:B,2,FALSE))</f>
        <v>9.4550000000000001</v>
      </c>
      <c r="F8539">
        <f t="shared" si="133"/>
        <v>9.4550000000000001</v>
      </c>
    </row>
    <row r="8540" spans="1:6" x14ac:dyDescent="0.3">
      <c r="A8540" t="s">
        <v>1426</v>
      </c>
      <c r="B8540" t="s">
        <v>2128</v>
      </c>
      <c r="C8540">
        <v>225.5</v>
      </c>
      <c r="D8540">
        <v>199</v>
      </c>
      <c r="E8540">
        <f>IF(OR(B8540="vi",B8540="ii",B8540="pod"),(((D8540/100)*(C8540*VLOOKUP(B8540,'Poids des runes'!A:B,2,FALSE)))+1),(((D8540/100)*(C8540*VLOOKUP(B8540,'Poids des runes'!A:B,2,FALSE)))+1)/VLOOKUP(B8540,'Poids des runes'!A:B,2,FALSE))</f>
        <v>90.749000000000009</v>
      </c>
      <c r="F8540">
        <f t="shared" si="133"/>
        <v>90.749000000000009</v>
      </c>
    </row>
    <row r="8541" spans="1:6" x14ac:dyDescent="0.3">
      <c r="A8541" t="s">
        <v>1426</v>
      </c>
      <c r="B8541" t="s">
        <v>2129</v>
      </c>
      <c r="C8541">
        <v>25.5</v>
      </c>
      <c r="D8541">
        <v>199</v>
      </c>
      <c r="E8541">
        <f>IF(OR(B8541="vi",B8541="ii",B8541="pod"),(((D8541/100)*(C8541*VLOOKUP(B8541,'Poids des runes'!A:B,2,FALSE)))+1),(((D8541/100)*(C8541*VLOOKUP(B8541,'Poids des runes'!A:B,2,FALSE)))+1)/VLOOKUP(B8541,'Poids des runes'!A:B,2,FALSE))</f>
        <v>51.744999999999997</v>
      </c>
      <c r="F8541">
        <f t="shared" si="133"/>
        <v>51.744999999999997</v>
      </c>
    </row>
    <row r="8542" spans="1:6" x14ac:dyDescent="0.3">
      <c r="A8542" t="s">
        <v>1426</v>
      </c>
      <c r="B8542" t="s">
        <v>2139</v>
      </c>
      <c r="C8542">
        <v>35.5</v>
      </c>
      <c r="D8542">
        <v>199</v>
      </c>
      <c r="E8542">
        <f>IF(OR(B8542="vi",B8542="ii",B8542="pod"),(((D8542/100)*(C8542*VLOOKUP(B8542,'Poids des runes'!A:B,2,FALSE)))+1),(((D8542/100)*(C8542*VLOOKUP(B8542,'Poids des runes'!A:B,2,FALSE)))+1)/VLOOKUP(B8542,'Poids des runes'!A:B,2,FALSE))</f>
        <v>71.144999999999996</v>
      </c>
      <c r="F8542">
        <f t="shared" si="133"/>
        <v>71.144999999999996</v>
      </c>
    </row>
    <row r="8543" spans="1:6" x14ac:dyDescent="0.3">
      <c r="A8543" t="s">
        <v>1426</v>
      </c>
      <c r="B8543" t="s">
        <v>2151</v>
      </c>
      <c r="C8543">
        <v>2</v>
      </c>
      <c r="D8543">
        <v>199</v>
      </c>
      <c r="E8543">
        <f>IF(OR(B8543="vi",B8543="ii",B8543="pod"),(((D8543/100)*(C8543*VLOOKUP(B8543,'Poids des runes'!A:B,2,FALSE)))+1),(((D8543/100)*(C8543*VLOOKUP(B8543,'Poids des runes'!A:B,2,FALSE)))+1)/VLOOKUP(B8543,'Poids des runes'!A:B,2,FALSE))</f>
        <v>4.08</v>
      </c>
      <c r="F8543">
        <f t="shared" si="133"/>
        <v>4.08</v>
      </c>
    </row>
    <row r="8544" spans="1:6" x14ac:dyDescent="0.3">
      <c r="A8544" t="s">
        <v>1426</v>
      </c>
      <c r="B8544" t="s">
        <v>2143</v>
      </c>
      <c r="C8544">
        <v>8.5</v>
      </c>
      <c r="D8544">
        <v>199</v>
      </c>
      <c r="E8544">
        <f>IF(OR(B8544="vi",B8544="ii",B8544="pod"),(((D8544/100)*(C8544*VLOOKUP(B8544,'Poids des runes'!A:B,2,FALSE)))+1),(((D8544/100)*(C8544*VLOOKUP(B8544,'Poids des runes'!A:B,2,FALSE)))+1)/VLOOKUP(B8544,'Poids des runes'!A:B,2,FALSE))</f>
        <v>17.115000000000002</v>
      </c>
      <c r="F8544">
        <f t="shared" si="133"/>
        <v>17.115000000000002</v>
      </c>
    </row>
    <row r="8545" spans="1:6" x14ac:dyDescent="0.3">
      <c r="A8545" t="s">
        <v>1426</v>
      </c>
      <c r="B8545" t="s">
        <v>2140</v>
      </c>
      <c r="C8545">
        <v>8.5</v>
      </c>
      <c r="D8545">
        <v>199</v>
      </c>
      <c r="E8545">
        <f>IF(OR(B8545="vi",B8545="ii",B8545="pod"),(((D8545/100)*(C8545*VLOOKUP(B8545,'Poids des runes'!A:B,2,FALSE)))+1),(((D8545/100)*(C8545*VLOOKUP(B8545,'Poids des runes'!A:B,2,FALSE)))+1)/VLOOKUP(B8545,'Poids des runes'!A:B,2,FALSE))</f>
        <v>17.115000000000002</v>
      </c>
      <c r="F8545">
        <f t="shared" si="133"/>
        <v>17.115000000000002</v>
      </c>
    </row>
    <row r="8546" spans="1:6" x14ac:dyDescent="0.3">
      <c r="A8546" t="s">
        <v>1426</v>
      </c>
      <c r="B8546" t="s">
        <v>2133</v>
      </c>
      <c r="C8546">
        <v>8.5</v>
      </c>
      <c r="D8546">
        <v>199</v>
      </c>
      <c r="E8546">
        <f>IF(OR(B8546="vi",B8546="ii",B8546="pod"),(((D8546/100)*(C8546*VLOOKUP(B8546,'Poids des runes'!A:B,2,FALSE)))+1),(((D8546/100)*(C8546*VLOOKUP(B8546,'Poids des runes'!A:B,2,FALSE)))+1)/VLOOKUP(B8546,'Poids des runes'!A:B,2,FALSE))</f>
        <v>17.115000000000002</v>
      </c>
      <c r="F8546">
        <f t="shared" si="133"/>
        <v>17.115000000000002</v>
      </c>
    </row>
    <row r="8547" spans="1:6" x14ac:dyDescent="0.3">
      <c r="A8547" t="s">
        <v>1426</v>
      </c>
      <c r="B8547" t="s">
        <v>2153</v>
      </c>
      <c r="C8547">
        <v>8.5</v>
      </c>
      <c r="D8547">
        <v>199</v>
      </c>
      <c r="E8547">
        <f>IF(OR(B8547="vi",B8547="ii",B8547="pod"),(((D8547/100)*(C8547*VLOOKUP(B8547,'Poids des runes'!A:B,2,FALSE)))+1),(((D8547/100)*(C8547*VLOOKUP(B8547,'Poids des runes'!A:B,2,FALSE)))+1)/VLOOKUP(B8547,'Poids des runes'!A:B,2,FALSE))</f>
        <v>17.115000000000002</v>
      </c>
      <c r="F8547">
        <f t="shared" si="133"/>
        <v>17.115000000000002</v>
      </c>
    </row>
    <row r="8548" spans="1:6" x14ac:dyDescent="0.3">
      <c r="A8548" t="s">
        <v>1426</v>
      </c>
      <c r="B8548" t="s">
        <v>2163</v>
      </c>
      <c r="C8548">
        <v>18</v>
      </c>
      <c r="D8548">
        <v>199</v>
      </c>
      <c r="E8548">
        <f>IF(OR(B8548="vi",B8548="ii",B8548="pod"),(((D8548/100)*(C8548*VLOOKUP(B8548,'Poids des runes'!A:B,2,FALSE)))+1),(((D8548/100)*(C8548*VLOOKUP(B8548,'Poids des runes'!A:B,2,FALSE)))+1)/VLOOKUP(B8548,'Poids des runes'!A:B,2,FALSE))</f>
        <v>36.32</v>
      </c>
      <c r="F8548">
        <f t="shared" si="133"/>
        <v>36.32</v>
      </c>
    </row>
    <row r="8549" spans="1:6" x14ac:dyDescent="0.3">
      <c r="A8549" t="s">
        <v>1427</v>
      </c>
      <c r="B8549" t="s">
        <v>2128</v>
      </c>
      <c r="C8549">
        <v>350.5</v>
      </c>
      <c r="D8549">
        <v>199</v>
      </c>
      <c r="E8549">
        <f>IF(OR(B8549="vi",B8549="ii",B8549="pod"),(((D8549/100)*(C8549*VLOOKUP(B8549,'Poids des runes'!A:B,2,FALSE)))+1),(((D8549/100)*(C8549*VLOOKUP(B8549,'Poids des runes'!A:B,2,FALSE)))+1)/VLOOKUP(B8549,'Poids des runes'!A:B,2,FALSE))</f>
        <v>140.49900000000002</v>
      </c>
      <c r="F8549">
        <f t="shared" si="133"/>
        <v>140.49900000000002</v>
      </c>
    </row>
    <row r="8550" spans="1:6" x14ac:dyDescent="0.3">
      <c r="A8550" t="s">
        <v>1427</v>
      </c>
      <c r="B8550" t="s">
        <v>2126</v>
      </c>
      <c r="C8550">
        <v>40.5</v>
      </c>
      <c r="D8550">
        <v>199</v>
      </c>
      <c r="E8550">
        <f>IF(OR(B8550="vi",B8550="ii",B8550="pod"),(((D8550/100)*(C8550*VLOOKUP(B8550,'Poids des runes'!A:B,2,FALSE)))+1),(((D8550/100)*(C8550*VLOOKUP(B8550,'Poids des runes'!A:B,2,FALSE)))+1)/VLOOKUP(B8550,'Poids des runes'!A:B,2,FALSE))</f>
        <v>81.594999999999999</v>
      </c>
      <c r="F8550">
        <f t="shared" si="133"/>
        <v>81.594999999999999</v>
      </c>
    </row>
    <row r="8551" spans="1:6" x14ac:dyDescent="0.3">
      <c r="A8551" t="s">
        <v>1427</v>
      </c>
      <c r="B8551" t="s">
        <v>2131</v>
      </c>
      <c r="C8551">
        <v>40.5</v>
      </c>
      <c r="D8551">
        <v>199</v>
      </c>
      <c r="E8551">
        <f>IF(OR(B8551="vi",B8551="ii",B8551="pod"),(((D8551/100)*(C8551*VLOOKUP(B8551,'Poids des runes'!A:B,2,FALSE)))+1),(((D8551/100)*(C8551*VLOOKUP(B8551,'Poids des runes'!A:B,2,FALSE)))+1)/VLOOKUP(B8551,'Poids des runes'!A:B,2,FALSE))</f>
        <v>81.594999999999999</v>
      </c>
      <c r="F8551">
        <f t="shared" si="133"/>
        <v>81.594999999999999</v>
      </c>
    </row>
    <row r="8552" spans="1:6" x14ac:dyDescent="0.3">
      <c r="A8552" t="s">
        <v>1427</v>
      </c>
      <c r="B8552" t="s">
        <v>2127</v>
      </c>
      <c r="C8552">
        <v>40.5</v>
      </c>
      <c r="D8552">
        <v>199</v>
      </c>
      <c r="E8552">
        <f>IF(OR(B8552="vi",B8552="ii",B8552="pod"),(((D8552/100)*(C8552*VLOOKUP(B8552,'Poids des runes'!A:B,2,FALSE)))+1),(((D8552/100)*(C8552*VLOOKUP(B8552,'Poids des runes'!A:B,2,FALSE)))+1)/VLOOKUP(B8552,'Poids des runes'!A:B,2,FALSE))</f>
        <v>81.594999999999999</v>
      </c>
      <c r="F8552">
        <f t="shared" si="133"/>
        <v>81.594999999999999</v>
      </c>
    </row>
    <row r="8553" spans="1:6" x14ac:dyDescent="0.3">
      <c r="A8553" t="s">
        <v>1427</v>
      </c>
      <c r="B8553" t="s">
        <v>2129</v>
      </c>
      <c r="C8553">
        <v>40.5</v>
      </c>
      <c r="D8553">
        <v>199</v>
      </c>
      <c r="E8553">
        <f>IF(OR(B8553="vi",B8553="ii",B8553="pod"),(((D8553/100)*(C8553*VLOOKUP(B8553,'Poids des runes'!A:B,2,FALSE)))+1),(((D8553/100)*(C8553*VLOOKUP(B8553,'Poids des runes'!A:B,2,FALSE)))+1)/VLOOKUP(B8553,'Poids des runes'!A:B,2,FALSE))</f>
        <v>81.594999999999999</v>
      </c>
      <c r="F8553">
        <f t="shared" si="133"/>
        <v>81.594999999999999</v>
      </c>
    </row>
    <row r="8554" spans="1:6" x14ac:dyDescent="0.3">
      <c r="A8554" t="s">
        <v>1427</v>
      </c>
      <c r="B8554" t="s">
        <v>2139</v>
      </c>
      <c r="C8554">
        <v>20.5</v>
      </c>
      <c r="D8554">
        <v>199</v>
      </c>
      <c r="E8554">
        <f>IF(OR(B8554="vi",B8554="ii",B8554="pod"),(((D8554/100)*(C8554*VLOOKUP(B8554,'Poids des runes'!A:B,2,FALSE)))+1),(((D8554/100)*(C8554*VLOOKUP(B8554,'Poids des runes'!A:B,2,FALSE)))+1)/VLOOKUP(B8554,'Poids des runes'!A:B,2,FALSE))</f>
        <v>41.295000000000002</v>
      </c>
      <c r="F8554">
        <f t="shared" si="133"/>
        <v>41.295000000000002</v>
      </c>
    </row>
    <row r="8555" spans="1:6" x14ac:dyDescent="0.3">
      <c r="A8555" t="s">
        <v>1427</v>
      </c>
      <c r="B8555" t="s">
        <v>2151</v>
      </c>
      <c r="C8555">
        <v>2.5</v>
      </c>
      <c r="D8555">
        <v>199</v>
      </c>
      <c r="E8555">
        <f>IF(OR(B8555="vi",B8555="ii",B8555="pod"),(((D8555/100)*(C8555*VLOOKUP(B8555,'Poids des runes'!A:B,2,FALSE)))+1),(((D8555/100)*(C8555*VLOOKUP(B8555,'Poids des runes'!A:B,2,FALSE)))+1)/VLOOKUP(B8555,'Poids des runes'!A:B,2,FALSE))</f>
        <v>5.0750000000000002</v>
      </c>
      <c r="F8555">
        <f t="shared" si="133"/>
        <v>5.0750000000000002</v>
      </c>
    </row>
    <row r="8556" spans="1:6" x14ac:dyDescent="0.3">
      <c r="A8556" t="s">
        <v>1427</v>
      </c>
      <c r="B8556" t="s">
        <v>2155</v>
      </c>
      <c r="C8556">
        <v>1</v>
      </c>
      <c r="D8556">
        <v>199</v>
      </c>
      <c r="E8556">
        <f>IF(OR(B8556="vi",B8556="ii",B8556="pod"),(((D8556/100)*(C8556*VLOOKUP(B8556,'Poids des runes'!A:B,2,FALSE)))+1),(((D8556/100)*(C8556*VLOOKUP(B8556,'Poids des runes'!A:B,2,FALSE)))+1)/VLOOKUP(B8556,'Poids des runes'!A:B,2,FALSE))</f>
        <v>2.0096078431372546</v>
      </c>
      <c r="F8556">
        <f t="shared" si="133"/>
        <v>2.0096078431372546</v>
      </c>
    </row>
    <row r="8557" spans="1:6" x14ac:dyDescent="0.3">
      <c r="A8557" t="s">
        <v>1427</v>
      </c>
      <c r="B8557" t="s">
        <v>2140</v>
      </c>
      <c r="C8557">
        <v>10</v>
      </c>
      <c r="D8557">
        <v>199</v>
      </c>
      <c r="E8557">
        <f>IF(OR(B8557="vi",B8557="ii",B8557="pod"),(((D8557/100)*(C8557*VLOOKUP(B8557,'Poids des runes'!A:B,2,FALSE)))+1),(((D8557/100)*(C8557*VLOOKUP(B8557,'Poids des runes'!A:B,2,FALSE)))+1)/VLOOKUP(B8557,'Poids des runes'!A:B,2,FALSE))</f>
        <v>20.100000000000001</v>
      </c>
      <c r="F8557">
        <f t="shared" si="133"/>
        <v>20.100000000000001</v>
      </c>
    </row>
    <row r="8558" spans="1:6" x14ac:dyDescent="0.3">
      <c r="A8558" t="s">
        <v>1427</v>
      </c>
      <c r="B8558" t="s">
        <v>2133</v>
      </c>
      <c r="C8558">
        <v>10</v>
      </c>
      <c r="D8558">
        <v>199</v>
      </c>
      <c r="E8558">
        <f>IF(OR(B8558="vi",B8558="ii",B8558="pod"),(((D8558/100)*(C8558*VLOOKUP(B8558,'Poids des runes'!A:B,2,FALSE)))+1),(((D8558/100)*(C8558*VLOOKUP(B8558,'Poids des runes'!A:B,2,FALSE)))+1)/VLOOKUP(B8558,'Poids des runes'!A:B,2,FALSE))</f>
        <v>20.100000000000001</v>
      </c>
      <c r="F8558">
        <f t="shared" si="133"/>
        <v>20.100000000000001</v>
      </c>
    </row>
    <row r="8559" spans="1:6" x14ac:dyDescent="0.3">
      <c r="A8559" t="s">
        <v>1427</v>
      </c>
      <c r="B8559" t="s">
        <v>2153</v>
      </c>
      <c r="C8559">
        <v>10</v>
      </c>
      <c r="D8559">
        <v>199</v>
      </c>
      <c r="E8559">
        <f>IF(OR(B8559="vi",B8559="ii",B8559="pod"),(((D8559/100)*(C8559*VLOOKUP(B8559,'Poids des runes'!A:B,2,FALSE)))+1),(((D8559/100)*(C8559*VLOOKUP(B8559,'Poids des runes'!A:B,2,FALSE)))+1)/VLOOKUP(B8559,'Poids des runes'!A:B,2,FALSE))</f>
        <v>20.100000000000001</v>
      </c>
      <c r="F8559">
        <f t="shared" si="133"/>
        <v>20.100000000000001</v>
      </c>
    </row>
    <row r="8560" spans="1:6" x14ac:dyDescent="0.3">
      <c r="A8560" t="s">
        <v>1427</v>
      </c>
      <c r="B8560" t="s">
        <v>2141</v>
      </c>
      <c r="C8560">
        <v>4.5</v>
      </c>
      <c r="D8560">
        <v>199</v>
      </c>
      <c r="E8560">
        <f>IF(OR(B8560="vi",B8560="ii",B8560="pod"),(((D8560/100)*(C8560*VLOOKUP(B8560,'Poids des runes'!A:B,2,FALSE)))+1),(((D8560/100)*(C8560*VLOOKUP(B8560,'Poids des runes'!A:B,2,FALSE)))+1)/VLOOKUP(B8560,'Poids des runes'!A:B,2,FALSE))</f>
        <v>9.2050000000000001</v>
      </c>
      <c r="F8560">
        <f t="shared" si="133"/>
        <v>9.2050000000000001</v>
      </c>
    </row>
    <row r="8561" spans="1:6" x14ac:dyDescent="0.3">
      <c r="A8561" t="s">
        <v>1427</v>
      </c>
      <c r="B8561" t="s">
        <v>2160</v>
      </c>
      <c r="C8561">
        <v>4.5</v>
      </c>
      <c r="D8561">
        <v>199</v>
      </c>
      <c r="E8561">
        <f>IF(OR(B8561="vi",B8561="ii",B8561="pod"),(((D8561/100)*(C8561*VLOOKUP(B8561,'Poids des runes'!A:B,2,FALSE)))+1),(((D8561/100)*(C8561*VLOOKUP(B8561,'Poids des runes'!A:B,2,FALSE)))+1)/VLOOKUP(B8561,'Poids des runes'!A:B,2,FALSE))</f>
        <v>9.0978571428571424</v>
      </c>
      <c r="F8561">
        <f t="shared" si="133"/>
        <v>9.0978571428571424</v>
      </c>
    </row>
    <row r="8562" spans="1:6" x14ac:dyDescent="0.3">
      <c r="A8562" t="s">
        <v>1427</v>
      </c>
      <c r="B8562" t="s">
        <v>2163</v>
      </c>
      <c r="C8562">
        <v>13</v>
      </c>
      <c r="D8562">
        <v>199</v>
      </c>
      <c r="E8562">
        <f>IF(OR(B8562="vi",B8562="ii",B8562="pod"),(((D8562/100)*(C8562*VLOOKUP(B8562,'Poids des runes'!A:B,2,FALSE)))+1),(((D8562/100)*(C8562*VLOOKUP(B8562,'Poids des runes'!A:B,2,FALSE)))+1)/VLOOKUP(B8562,'Poids des runes'!A:B,2,FALSE))</f>
        <v>26.37</v>
      </c>
      <c r="F8562">
        <f t="shared" si="133"/>
        <v>26.37</v>
      </c>
    </row>
    <row r="8563" spans="1:6" x14ac:dyDescent="0.3">
      <c r="A8563" t="s">
        <v>1427</v>
      </c>
      <c r="B8563" t="s">
        <v>2156</v>
      </c>
      <c r="C8563">
        <v>2.5</v>
      </c>
      <c r="D8563">
        <v>199</v>
      </c>
      <c r="E8563">
        <f>IF(OR(B8563="vi",B8563="ii",B8563="pod"),(((D8563/100)*(C8563*VLOOKUP(B8563,'Poids des runes'!A:B,2,FALSE)))+1),(((D8563/100)*(C8563*VLOOKUP(B8563,'Poids des runes'!A:B,2,FALSE)))+1)/VLOOKUP(B8563,'Poids des runes'!A:B,2,FALSE))</f>
        <v>5.1416666666666666</v>
      </c>
      <c r="F8563">
        <f t="shared" si="133"/>
        <v>5.1416666666666666</v>
      </c>
    </row>
    <row r="8564" spans="1:6" x14ac:dyDescent="0.3">
      <c r="A8564" t="s">
        <v>1427</v>
      </c>
      <c r="B8564" t="s">
        <v>2148</v>
      </c>
      <c r="C8564">
        <v>2.5</v>
      </c>
      <c r="D8564">
        <v>199</v>
      </c>
      <c r="E8564">
        <f>IF(OR(B8564="vi",B8564="ii",B8564="pod"),(((D8564/100)*(C8564*VLOOKUP(B8564,'Poids des runes'!A:B,2,FALSE)))+1),(((D8564/100)*(C8564*VLOOKUP(B8564,'Poids des runes'!A:B,2,FALSE)))+1)/VLOOKUP(B8564,'Poids des runes'!A:B,2,FALSE))</f>
        <v>5.1416666666666666</v>
      </c>
      <c r="F8564">
        <f t="shared" si="133"/>
        <v>5.1416666666666666</v>
      </c>
    </row>
    <row r="8565" spans="1:6" x14ac:dyDescent="0.3">
      <c r="A8565" t="s">
        <v>1428</v>
      </c>
      <c r="B8565" t="s">
        <v>2128</v>
      </c>
      <c r="C8565">
        <v>325.5</v>
      </c>
      <c r="D8565">
        <v>199</v>
      </c>
      <c r="E8565">
        <f>IF(OR(B8565="vi",B8565="ii",B8565="pod"),(((D8565/100)*(C8565*VLOOKUP(B8565,'Poids des runes'!A:B,2,FALSE)))+1),(((D8565/100)*(C8565*VLOOKUP(B8565,'Poids des runes'!A:B,2,FALSE)))+1)/VLOOKUP(B8565,'Poids des runes'!A:B,2,FALSE))</f>
        <v>130.54900000000001</v>
      </c>
      <c r="F8565">
        <f t="shared" si="133"/>
        <v>130.54900000000001</v>
      </c>
    </row>
    <row r="8566" spans="1:6" x14ac:dyDescent="0.3">
      <c r="A8566" t="s">
        <v>1428</v>
      </c>
      <c r="B8566" t="s">
        <v>2131</v>
      </c>
      <c r="C8566">
        <v>40.5</v>
      </c>
      <c r="D8566">
        <v>199</v>
      </c>
      <c r="E8566">
        <f>IF(OR(B8566="vi",B8566="ii",B8566="pod"),(((D8566/100)*(C8566*VLOOKUP(B8566,'Poids des runes'!A:B,2,FALSE)))+1),(((D8566/100)*(C8566*VLOOKUP(B8566,'Poids des runes'!A:B,2,FALSE)))+1)/VLOOKUP(B8566,'Poids des runes'!A:B,2,FALSE))</f>
        <v>81.594999999999999</v>
      </c>
      <c r="F8566">
        <f t="shared" si="133"/>
        <v>81.594999999999999</v>
      </c>
    </row>
    <row r="8567" spans="1:6" x14ac:dyDescent="0.3">
      <c r="A8567" t="s">
        <v>1428</v>
      </c>
      <c r="B8567" t="s">
        <v>2127</v>
      </c>
      <c r="C8567">
        <v>40.5</v>
      </c>
      <c r="D8567">
        <v>199</v>
      </c>
      <c r="E8567">
        <f>IF(OR(B8567="vi",B8567="ii",B8567="pod"),(((D8567/100)*(C8567*VLOOKUP(B8567,'Poids des runes'!A:B,2,FALSE)))+1),(((D8567/100)*(C8567*VLOOKUP(B8567,'Poids des runes'!A:B,2,FALSE)))+1)/VLOOKUP(B8567,'Poids des runes'!A:B,2,FALSE))</f>
        <v>81.594999999999999</v>
      </c>
      <c r="F8567">
        <f t="shared" si="133"/>
        <v>81.594999999999999</v>
      </c>
    </row>
    <row r="8568" spans="1:6" x14ac:dyDescent="0.3">
      <c r="A8568" t="s">
        <v>1428</v>
      </c>
      <c r="B8568" t="s">
        <v>2129</v>
      </c>
      <c r="C8568">
        <v>25.5</v>
      </c>
      <c r="D8568">
        <v>199</v>
      </c>
      <c r="E8568">
        <f>IF(OR(B8568="vi",B8568="ii",B8568="pod"),(((D8568/100)*(C8568*VLOOKUP(B8568,'Poids des runes'!A:B,2,FALSE)))+1),(((D8568/100)*(C8568*VLOOKUP(B8568,'Poids des runes'!A:B,2,FALSE)))+1)/VLOOKUP(B8568,'Poids des runes'!A:B,2,FALSE))</f>
        <v>51.744999999999997</v>
      </c>
      <c r="F8568">
        <f t="shared" si="133"/>
        <v>51.744999999999997</v>
      </c>
    </row>
    <row r="8569" spans="1:6" x14ac:dyDescent="0.3">
      <c r="A8569" t="s">
        <v>1428</v>
      </c>
      <c r="B8569" t="s">
        <v>2151</v>
      </c>
      <c r="C8569">
        <v>3.5</v>
      </c>
      <c r="D8569">
        <v>199</v>
      </c>
      <c r="E8569">
        <f>IF(OR(B8569="vi",B8569="ii",B8569="pod"),(((D8569/100)*(C8569*VLOOKUP(B8569,'Poids des runes'!A:B,2,FALSE)))+1),(((D8569/100)*(C8569*VLOOKUP(B8569,'Poids des runes'!A:B,2,FALSE)))+1)/VLOOKUP(B8569,'Poids des runes'!A:B,2,FALSE))</f>
        <v>7.0650000000000004</v>
      </c>
      <c r="F8569">
        <f t="shared" si="133"/>
        <v>7.0650000000000004</v>
      </c>
    </row>
    <row r="8570" spans="1:6" x14ac:dyDescent="0.3">
      <c r="A8570" t="s">
        <v>1428</v>
      </c>
      <c r="B8570" t="s">
        <v>2152</v>
      </c>
      <c r="C8570">
        <v>1</v>
      </c>
      <c r="D8570">
        <v>199</v>
      </c>
      <c r="E8570">
        <f>IF(OR(B8570="vi",B8570="ii",B8570="pod"),(((D8570/100)*(C8570*VLOOKUP(B8570,'Poids des runes'!A:B,2,FALSE)))+1),(((D8570/100)*(C8570*VLOOKUP(B8570,'Poids des runes'!A:B,2,FALSE)))+1)/VLOOKUP(B8570,'Poids des runes'!A:B,2,FALSE))</f>
        <v>2</v>
      </c>
      <c r="F8570">
        <f t="shared" si="133"/>
        <v>2</v>
      </c>
    </row>
    <row r="8571" spans="1:6" x14ac:dyDescent="0.3">
      <c r="A8571" t="s">
        <v>1428</v>
      </c>
      <c r="B8571" t="s">
        <v>2155</v>
      </c>
      <c r="C8571">
        <v>1</v>
      </c>
      <c r="D8571">
        <v>199</v>
      </c>
      <c r="E8571">
        <f>IF(OR(B8571="vi",B8571="ii",B8571="pod"),(((D8571/100)*(C8571*VLOOKUP(B8571,'Poids des runes'!A:B,2,FALSE)))+1),(((D8571/100)*(C8571*VLOOKUP(B8571,'Poids des runes'!A:B,2,FALSE)))+1)/VLOOKUP(B8571,'Poids des runes'!A:B,2,FALSE))</f>
        <v>2.0096078431372546</v>
      </c>
      <c r="F8571">
        <f t="shared" si="133"/>
        <v>2.0096078431372546</v>
      </c>
    </row>
    <row r="8572" spans="1:6" x14ac:dyDescent="0.3">
      <c r="A8572" t="s">
        <v>1428</v>
      </c>
      <c r="B8572" t="s">
        <v>2133</v>
      </c>
      <c r="C8572">
        <v>8.5</v>
      </c>
      <c r="D8572">
        <v>199</v>
      </c>
      <c r="E8572">
        <f>IF(OR(B8572="vi",B8572="ii",B8572="pod"),(((D8572/100)*(C8572*VLOOKUP(B8572,'Poids des runes'!A:B,2,FALSE)))+1),(((D8572/100)*(C8572*VLOOKUP(B8572,'Poids des runes'!A:B,2,FALSE)))+1)/VLOOKUP(B8572,'Poids des runes'!A:B,2,FALSE))</f>
        <v>17.115000000000002</v>
      </c>
      <c r="F8572">
        <f t="shared" si="133"/>
        <v>17.115000000000002</v>
      </c>
    </row>
    <row r="8573" spans="1:6" x14ac:dyDescent="0.3">
      <c r="A8573" t="s">
        <v>1428</v>
      </c>
      <c r="B8573" t="s">
        <v>2153</v>
      </c>
      <c r="C8573">
        <v>8.5</v>
      </c>
      <c r="D8573">
        <v>199</v>
      </c>
      <c r="E8573">
        <f>IF(OR(B8573="vi",B8573="ii",B8573="pod"),(((D8573/100)*(C8573*VLOOKUP(B8573,'Poids des runes'!A:B,2,FALSE)))+1),(((D8573/100)*(C8573*VLOOKUP(B8573,'Poids des runes'!A:B,2,FALSE)))+1)/VLOOKUP(B8573,'Poids des runes'!A:B,2,FALSE))</f>
        <v>17.115000000000002</v>
      </c>
      <c r="F8573">
        <f t="shared" si="133"/>
        <v>17.115000000000002</v>
      </c>
    </row>
    <row r="8574" spans="1:6" x14ac:dyDescent="0.3">
      <c r="A8574" t="s">
        <v>1428</v>
      </c>
      <c r="B8574" t="s">
        <v>2161</v>
      </c>
      <c r="C8574">
        <v>13</v>
      </c>
      <c r="D8574">
        <v>199</v>
      </c>
      <c r="E8574">
        <f>IF(OR(B8574="vi",B8574="ii",B8574="pod"),(((D8574/100)*(C8574*VLOOKUP(B8574,'Poids des runes'!A:B,2,FALSE)))+1),(((D8574/100)*(C8574*VLOOKUP(B8574,'Poids des runes'!A:B,2,FALSE)))+1)/VLOOKUP(B8574,'Poids des runes'!A:B,2,FALSE))</f>
        <v>26.203333333333333</v>
      </c>
      <c r="F8574">
        <f t="shared" si="133"/>
        <v>26.203333333333333</v>
      </c>
    </row>
    <row r="8575" spans="1:6" x14ac:dyDescent="0.3">
      <c r="A8575" t="s">
        <v>1428</v>
      </c>
      <c r="B8575" t="s">
        <v>2158</v>
      </c>
      <c r="C8575">
        <v>8.5</v>
      </c>
      <c r="D8575">
        <v>199</v>
      </c>
      <c r="E8575">
        <f>IF(OR(B8575="vi",B8575="ii",B8575="pod"),(((D8575/100)*(C8575*VLOOKUP(B8575,'Poids des runes'!A:B,2,FALSE)))+1),(((D8575/100)*(C8575*VLOOKUP(B8575,'Poids des runes'!A:B,2,FALSE)))+1)/VLOOKUP(B8575,'Poids des runes'!A:B,2,FALSE))</f>
        <v>17.115000000000002</v>
      </c>
      <c r="F8575">
        <f t="shared" si="133"/>
        <v>17.115000000000002</v>
      </c>
    </row>
    <row r="8576" spans="1:6" x14ac:dyDescent="0.3">
      <c r="A8576" t="s">
        <v>1428</v>
      </c>
      <c r="B8576" t="s">
        <v>2142</v>
      </c>
      <c r="C8576">
        <v>18</v>
      </c>
      <c r="D8576">
        <v>199</v>
      </c>
      <c r="E8576">
        <f>IF(OR(B8576="vi",B8576="ii",B8576="pod"),(((D8576/100)*(C8576*VLOOKUP(B8576,'Poids des runes'!A:B,2,FALSE)))+1),(((D8576/100)*(C8576*VLOOKUP(B8576,'Poids des runes'!A:B,2,FALSE)))+1)/VLOOKUP(B8576,'Poids des runes'!A:B,2,FALSE))</f>
        <v>36.019999999999996</v>
      </c>
      <c r="F8576">
        <f t="shared" si="133"/>
        <v>36.019999999999996</v>
      </c>
    </row>
    <row r="8577" spans="1:6" x14ac:dyDescent="0.3">
      <c r="A8577" t="s">
        <v>1428</v>
      </c>
      <c r="B8577" t="s">
        <v>2148</v>
      </c>
      <c r="C8577">
        <v>6</v>
      </c>
      <c r="D8577">
        <v>199</v>
      </c>
      <c r="E8577">
        <f>IF(OR(B8577="vi",B8577="ii",B8577="pod"),(((D8577/100)*(C8577*VLOOKUP(B8577,'Poids des runes'!A:B,2,FALSE)))+1),(((D8577/100)*(C8577*VLOOKUP(B8577,'Poids des runes'!A:B,2,FALSE)))+1)/VLOOKUP(B8577,'Poids des runes'!A:B,2,FALSE))</f>
        <v>12.106666666666667</v>
      </c>
      <c r="F8577">
        <f t="shared" si="133"/>
        <v>12.106666666666667</v>
      </c>
    </row>
    <row r="8578" spans="1:6" x14ac:dyDescent="0.3">
      <c r="A8578" t="s">
        <v>1428</v>
      </c>
      <c r="B8578" t="s">
        <v>2147</v>
      </c>
      <c r="C8578">
        <v>6</v>
      </c>
      <c r="D8578">
        <v>199</v>
      </c>
      <c r="E8578">
        <f>IF(OR(B8578="vi",B8578="ii",B8578="pod"),(((D8578/100)*(C8578*VLOOKUP(B8578,'Poids des runes'!A:B,2,FALSE)))+1),(((D8578/100)*(C8578*VLOOKUP(B8578,'Poids des runes'!A:B,2,FALSE)))+1)/VLOOKUP(B8578,'Poids des runes'!A:B,2,FALSE))</f>
        <v>12.106666666666667</v>
      </c>
      <c r="F8578">
        <f t="shared" si="133"/>
        <v>12.106666666666667</v>
      </c>
    </row>
    <row r="8579" spans="1:6" x14ac:dyDescent="0.3">
      <c r="A8579" t="s">
        <v>1428</v>
      </c>
      <c r="B8579" t="s">
        <v>2157</v>
      </c>
      <c r="C8579">
        <v>6</v>
      </c>
      <c r="D8579">
        <v>199</v>
      </c>
      <c r="E8579">
        <f>IF(OR(B8579="vi",B8579="ii",B8579="pod"),(((D8579/100)*(C8579*VLOOKUP(B8579,'Poids des runes'!A:B,2,FALSE)))+1),(((D8579/100)*(C8579*VLOOKUP(B8579,'Poids des runes'!A:B,2,FALSE)))+1)/VLOOKUP(B8579,'Poids des runes'!A:B,2,FALSE))</f>
        <v>12.106666666666667</v>
      </c>
      <c r="F8579">
        <f t="shared" ref="F8579:F8642" si="134">E8579</f>
        <v>12.106666666666667</v>
      </c>
    </row>
    <row r="8580" spans="1:6" x14ac:dyDescent="0.3">
      <c r="A8580" t="s">
        <v>1429</v>
      </c>
      <c r="B8580" t="s">
        <v>2128</v>
      </c>
      <c r="C8580">
        <v>375.5</v>
      </c>
      <c r="D8580">
        <v>200</v>
      </c>
      <c r="E8580">
        <f>IF(OR(B8580="vi",B8580="ii",B8580="pod"),(((D8580/100)*(C8580*VLOOKUP(B8580,'Poids des runes'!A:B,2,FALSE)))+1),(((D8580/100)*(C8580*VLOOKUP(B8580,'Poids des runes'!A:B,2,FALSE)))+1)/VLOOKUP(B8580,'Poids des runes'!A:B,2,FALSE))</f>
        <v>151.20000000000002</v>
      </c>
      <c r="F8580">
        <f t="shared" si="134"/>
        <v>151.20000000000002</v>
      </c>
    </row>
    <row r="8581" spans="1:6" x14ac:dyDescent="0.3">
      <c r="A8581" t="s">
        <v>1429</v>
      </c>
      <c r="B8581" t="s">
        <v>2129</v>
      </c>
      <c r="C8581">
        <v>40.5</v>
      </c>
      <c r="D8581">
        <v>200</v>
      </c>
      <c r="E8581">
        <f>IF(OR(B8581="vi",B8581="ii",B8581="pod"),(((D8581/100)*(C8581*VLOOKUP(B8581,'Poids des runes'!A:B,2,FALSE)))+1),(((D8581/100)*(C8581*VLOOKUP(B8581,'Poids des runes'!A:B,2,FALSE)))+1)/VLOOKUP(B8581,'Poids des runes'!A:B,2,FALSE))</f>
        <v>82</v>
      </c>
      <c r="F8581">
        <f t="shared" si="134"/>
        <v>82</v>
      </c>
    </row>
    <row r="8582" spans="1:6" x14ac:dyDescent="0.3">
      <c r="A8582" t="s">
        <v>1429</v>
      </c>
      <c r="B8582" t="s">
        <v>2139</v>
      </c>
      <c r="C8582">
        <v>63</v>
      </c>
      <c r="D8582">
        <v>200</v>
      </c>
      <c r="E8582">
        <f>IF(OR(B8582="vi",B8582="ii",B8582="pod"),(((D8582/100)*(C8582*VLOOKUP(B8582,'Poids des runes'!A:B,2,FALSE)))+1),(((D8582/100)*(C8582*VLOOKUP(B8582,'Poids des runes'!A:B,2,FALSE)))+1)/VLOOKUP(B8582,'Poids des runes'!A:B,2,FALSE))</f>
        <v>126.5</v>
      </c>
      <c r="F8582">
        <f t="shared" si="134"/>
        <v>126.5</v>
      </c>
    </row>
    <row r="8583" spans="1:6" x14ac:dyDescent="0.3">
      <c r="A8583" t="s">
        <v>1429</v>
      </c>
      <c r="B8583" t="s">
        <v>2152</v>
      </c>
      <c r="C8583">
        <v>1</v>
      </c>
      <c r="D8583">
        <v>200</v>
      </c>
      <c r="E8583">
        <f>IF(OR(B8583="vi",B8583="ii",B8583="pod"),(((D8583/100)*(C8583*VLOOKUP(B8583,'Poids des runes'!A:B,2,FALSE)))+1),(((D8583/100)*(C8583*VLOOKUP(B8583,'Poids des runes'!A:B,2,FALSE)))+1)/VLOOKUP(B8583,'Poids des runes'!A:B,2,FALSE))</f>
        <v>2.0099999999999998</v>
      </c>
      <c r="F8583">
        <f t="shared" si="134"/>
        <v>2.0099999999999998</v>
      </c>
    </row>
    <row r="8584" spans="1:6" x14ac:dyDescent="0.3">
      <c r="A8584" t="s">
        <v>1429</v>
      </c>
      <c r="B8584" t="s">
        <v>2149</v>
      </c>
      <c r="C8584">
        <v>13</v>
      </c>
      <c r="D8584">
        <v>200</v>
      </c>
      <c r="E8584">
        <f>IF(OR(B8584="vi",B8584="ii",B8584="pod"),(((D8584/100)*(C8584*VLOOKUP(B8584,'Poids des runes'!A:B,2,FALSE)))+1),(((D8584/100)*(C8584*VLOOKUP(B8584,'Poids des runes'!A:B,2,FALSE)))+1)/VLOOKUP(B8584,'Poids des runes'!A:B,2,FALSE))</f>
        <v>26.1</v>
      </c>
      <c r="F8584">
        <f t="shared" si="134"/>
        <v>26.1</v>
      </c>
    </row>
    <row r="8585" spans="1:6" x14ac:dyDescent="0.3">
      <c r="A8585" t="s">
        <v>1429</v>
      </c>
      <c r="B8585" t="s">
        <v>2161</v>
      </c>
      <c r="C8585">
        <v>18</v>
      </c>
      <c r="D8585">
        <v>200</v>
      </c>
      <c r="E8585">
        <f>IF(OR(B8585="vi",B8585="ii",B8585="pod"),(((D8585/100)*(C8585*VLOOKUP(B8585,'Poids des runes'!A:B,2,FALSE)))+1),(((D8585/100)*(C8585*VLOOKUP(B8585,'Poids des runes'!A:B,2,FALSE)))+1)/VLOOKUP(B8585,'Poids des runes'!A:B,2,FALSE))</f>
        <v>36.333333333333336</v>
      </c>
      <c r="F8585">
        <f t="shared" si="134"/>
        <v>36.333333333333336</v>
      </c>
    </row>
    <row r="8586" spans="1:6" x14ac:dyDescent="0.3">
      <c r="A8586" t="s">
        <v>1429</v>
      </c>
      <c r="B8586" t="s">
        <v>2138</v>
      </c>
      <c r="C8586">
        <v>13</v>
      </c>
      <c r="D8586">
        <v>200</v>
      </c>
      <c r="E8586">
        <f>IF(OR(B8586="vi",B8586="ii",B8586="pod"),(((D8586/100)*(C8586*VLOOKUP(B8586,'Poids des runes'!A:B,2,FALSE)))+1),(((D8586/100)*(C8586*VLOOKUP(B8586,'Poids des runes'!A:B,2,FALSE)))+1)/VLOOKUP(B8586,'Poids des runes'!A:B,2,FALSE))</f>
        <v>26.25</v>
      </c>
      <c r="F8586">
        <f t="shared" si="134"/>
        <v>26.25</v>
      </c>
    </row>
    <row r="8587" spans="1:6" x14ac:dyDescent="0.3">
      <c r="A8587" t="s">
        <v>1429</v>
      </c>
      <c r="B8587" t="s">
        <v>2165</v>
      </c>
      <c r="C8587">
        <v>8.5</v>
      </c>
      <c r="D8587">
        <v>200</v>
      </c>
      <c r="E8587">
        <f>IF(OR(B8587="vi",B8587="ii",B8587="pod"),(((D8587/100)*(C8587*VLOOKUP(B8587,'Poids des runes'!A:B,2,FALSE)))+1),(((D8587/100)*(C8587*VLOOKUP(B8587,'Poids des runes'!A:B,2,FALSE)))+1)/VLOOKUP(B8587,'Poids des runes'!A:B,2,FALSE))</f>
        <v>17.142857142857142</v>
      </c>
      <c r="F8587">
        <f t="shared" si="134"/>
        <v>17.142857142857142</v>
      </c>
    </row>
    <row r="8588" spans="1:6" x14ac:dyDescent="0.3">
      <c r="A8588" t="s">
        <v>1430</v>
      </c>
      <c r="B8588" t="s">
        <v>2128</v>
      </c>
      <c r="C8588">
        <v>325.5</v>
      </c>
      <c r="D8588">
        <v>200</v>
      </c>
      <c r="E8588">
        <f>IF(OR(B8588="vi",B8588="ii",B8588="pod"),(((D8588/100)*(C8588*VLOOKUP(B8588,'Poids des runes'!A:B,2,FALSE)))+1),(((D8588/100)*(C8588*VLOOKUP(B8588,'Poids des runes'!A:B,2,FALSE)))+1)/VLOOKUP(B8588,'Poids des runes'!A:B,2,FALSE))</f>
        <v>131.20000000000002</v>
      </c>
      <c r="F8588">
        <f t="shared" si="134"/>
        <v>131.20000000000002</v>
      </c>
    </row>
    <row r="8589" spans="1:6" x14ac:dyDescent="0.3">
      <c r="A8589" t="s">
        <v>1430</v>
      </c>
      <c r="B8589" t="s">
        <v>2126</v>
      </c>
      <c r="C8589">
        <v>50.5</v>
      </c>
      <c r="D8589">
        <v>200</v>
      </c>
      <c r="E8589">
        <f>IF(OR(B8589="vi",B8589="ii",B8589="pod"),(((D8589/100)*(C8589*VLOOKUP(B8589,'Poids des runes'!A:B,2,FALSE)))+1),(((D8589/100)*(C8589*VLOOKUP(B8589,'Poids des runes'!A:B,2,FALSE)))+1)/VLOOKUP(B8589,'Poids des runes'!A:B,2,FALSE))</f>
        <v>102</v>
      </c>
      <c r="F8589">
        <f t="shared" si="134"/>
        <v>102</v>
      </c>
    </row>
    <row r="8590" spans="1:6" x14ac:dyDescent="0.3">
      <c r="A8590" t="s">
        <v>1430</v>
      </c>
      <c r="B8590" t="s">
        <v>2129</v>
      </c>
      <c r="C8590">
        <v>35.5</v>
      </c>
      <c r="D8590">
        <v>200</v>
      </c>
      <c r="E8590">
        <f>IF(OR(B8590="vi",B8590="ii",B8590="pod"),(((D8590/100)*(C8590*VLOOKUP(B8590,'Poids des runes'!A:B,2,FALSE)))+1),(((D8590/100)*(C8590*VLOOKUP(B8590,'Poids des runes'!A:B,2,FALSE)))+1)/VLOOKUP(B8590,'Poids des runes'!A:B,2,FALSE))</f>
        <v>72</v>
      </c>
      <c r="F8590">
        <f t="shared" si="134"/>
        <v>72</v>
      </c>
    </row>
    <row r="8591" spans="1:6" x14ac:dyDescent="0.3">
      <c r="A8591" t="s">
        <v>1430</v>
      </c>
      <c r="B8591" t="s">
        <v>2151</v>
      </c>
      <c r="C8591">
        <v>4.5</v>
      </c>
      <c r="D8591">
        <v>200</v>
      </c>
      <c r="E8591">
        <f>IF(OR(B8591="vi",B8591="ii",B8591="pod"),(((D8591/100)*(C8591*VLOOKUP(B8591,'Poids des runes'!A:B,2,FALSE)))+1),(((D8591/100)*(C8591*VLOOKUP(B8591,'Poids des runes'!A:B,2,FALSE)))+1)/VLOOKUP(B8591,'Poids des runes'!A:B,2,FALSE))</f>
        <v>9.1</v>
      </c>
      <c r="F8591">
        <f t="shared" si="134"/>
        <v>9.1</v>
      </c>
    </row>
    <row r="8592" spans="1:6" x14ac:dyDescent="0.3">
      <c r="A8592" t="s">
        <v>1430</v>
      </c>
      <c r="B8592" t="s">
        <v>2152</v>
      </c>
      <c r="C8592">
        <v>1</v>
      </c>
      <c r="D8592">
        <v>200</v>
      </c>
      <c r="E8592">
        <f>IF(OR(B8592="vi",B8592="ii",B8592="pod"),(((D8592/100)*(C8592*VLOOKUP(B8592,'Poids des runes'!A:B,2,FALSE)))+1),(((D8592/100)*(C8592*VLOOKUP(B8592,'Poids des runes'!A:B,2,FALSE)))+1)/VLOOKUP(B8592,'Poids des runes'!A:B,2,FALSE))</f>
        <v>2.0099999999999998</v>
      </c>
      <c r="F8592">
        <f t="shared" si="134"/>
        <v>2.0099999999999998</v>
      </c>
    </row>
    <row r="8593" spans="1:6" x14ac:dyDescent="0.3">
      <c r="A8593" t="s">
        <v>1430</v>
      </c>
      <c r="B8593" t="s">
        <v>2140</v>
      </c>
      <c r="C8593">
        <v>13</v>
      </c>
      <c r="D8593">
        <v>200</v>
      </c>
      <c r="E8593">
        <f>IF(OR(B8593="vi",B8593="ii",B8593="pod"),(((D8593/100)*(C8593*VLOOKUP(B8593,'Poids des runes'!A:B,2,FALSE)))+1),(((D8593/100)*(C8593*VLOOKUP(B8593,'Poids des runes'!A:B,2,FALSE)))+1)/VLOOKUP(B8593,'Poids des runes'!A:B,2,FALSE))</f>
        <v>26.2</v>
      </c>
      <c r="F8593">
        <f t="shared" si="134"/>
        <v>26.2</v>
      </c>
    </row>
    <row r="8594" spans="1:6" x14ac:dyDescent="0.3">
      <c r="A8594" t="s">
        <v>1430</v>
      </c>
      <c r="B8594" t="s">
        <v>2133</v>
      </c>
      <c r="C8594">
        <v>13</v>
      </c>
      <c r="D8594">
        <v>200</v>
      </c>
      <c r="E8594">
        <f>IF(OR(B8594="vi",B8594="ii",B8594="pod"),(((D8594/100)*(C8594*VLOOKUP(B8594,'Poids des runes'!A:B,2,FALSE)))+1),(((D8594/100)*(C8594*VLOOKUP(B8594,'Poids des runes'!A:B,2,FALSE)))+1)/VLOOKUP(B8594,'Poids des runes'!A:B,2,FALSE))</f>
        <v>26.2</v>
      </c>
      <c r="F8594">
        <f t="shared" si="134"/>
        <v>26.2</v>
      </c>
    </row>
    <row r="8595" spans="1:6" x14ac:dyDescent="0.3">
      <c r="A8595" t="s">
        <v>1430</v>
      </c>
      <c r="B8595" t="s">
        <v>2153</v>
      </c>
      <c r="C8595">
        <v>13</v>
      </c>
      <c r="D8595">
        <v>200</v>
      </c>
      <c r="E8595">
        <f>IF(OR(B8595="vi",B8595="ii",B8595="pod"),(((D8595/100)*(C8595*VLOOKUP(B8595,'Poids des runes'!A:B,2,FALSE)))+1),(((D8595/100)*(C8595*VLOOKUP(B8595,'Poids des runes'!A:B,2,FALSE)))+1)/VLOOKUP(B8595,'Poids des runes'!A:B,2,FALSE))</f>
        <v>26.2</v>
      </c>
      <c r="F8595">
        <f t="shared" si="134"/>
        <v>26.2</v>
      </c>
    </row>
    <row r="8596" spans="1:6" x14ac:dyDescent="0.3">
      <c r="A8596" t="s">
        <v>1430</v>
      </c>
      <c r="B8596" t="s">
        <v>2161</v>
      </c>
      <c r="C8596">
        <v>18</v>
      </c>
      <c r="D8596">
        <v>200</v>
      </c>
      <c r="E8596">
        <f>IF(OR(B8596="vi",B8596="ii",B8596="pod"),(((D8596/100)*(C8596*VLOOKUP(B8596,'Poids des runes'!A:B,2,FALSE)))+1),(((D8596/100)*(C8596*VLOOKUP(B8596,'Poids des runes'!A:B,2,FALSE)))+1)/VLOOKUP(B8596,'Poids des runes'!A:B,2,FALSE))</f>
        <v>36.333333333333336</v>
      </c>
      <c r="F8596">
        <f t="shared" si="134"/>
        <v>36.333333333333336</v>
      </c>
    </row>
    <row r="8597" spans="1:6" x14ac:dyDescent="0.3">
      <c r="A8597" t="s">
        <v>1430</v>
      </c>
      <c r="B8597" t="s">
        <v>2162</v>
      </c>
      <c r="C8597">
        <v>7</v>
      </c>
      <c r="D8597">
        <v>200</v>
      </c>
      <c r="E8597">
        <f>IF(OR(B8597="vi",B8597="ii",B8597="pod"),(((D8597/100)*(C8597*VLOOKUP(B8597,'Poids des runes'!A:B,2,FALSE)))+1),(((D8597/100)*(C8597*VLOOKUP(B8597,'Poids des runes'!A:B,2,FALSE)))+1)/VLOOKUP(B8597,'Poids des runes'!A:B,2,FALSE))</f>
        <v>14.142857142857142</v>
      </c>
      <c r="F8597">
        <f t="shared" si="134"/>
        <v>14.142857142857142</v>
      </c>
    </row>
    <row r="8598" spans="1:6" x14ac:dyDescent="0.3">
      <c r="A8598" t="s">
        <v>1430</v>
      </c>
      <c r="B8598" t="s">
        <v>2163</v>
      </c>
      <c r="C8598">
        <v>18</v>
      </c>
      <c r="D8598">
        <v>200</v>
      </c>
      <c r="E8598">
        <f>IF(OR(B8598="vi",B8598="ii",B8598="pod"),(((D8598/100)*(C8598*VLOOKUP(B8598,'Poids des runes'!A:B,2,FALSE)))+1),(((D8598/100)*(C8598*VLOOKUP(B8598,'Poids des runes'!A:B,2,FALSE)))+1)/VLOOKUP(B8598,'Poids des runes'!A:B,2,FALSE))</f>
        <v>36.5</v>
      </c>
      <c r="F8598">
        <f t="shared" si="134"/>
        <v>36.5</v>
      </c>
    </row>
    <row r="8599" spans="1:6" x14ac:dyDescent="0.3">
      <c r="A8599" t="s">
        <v>1431</v>
      </c>
      <c r="B8599" t="s">
        <v>2128</v>
      </c>
      <c r="C8599">
        <v>275.5</v>
      </c>
      <c r="D8599">
        <v>200</v>
      </c>
      <c r="E8599">
        <f>IF(OR(B8599="vi",B8599="ii",B8599="pod"),(((D8599/100)*(C8599*VLOOKUP(B8599,'Poids des runes'!A:B,2,FALSE)))+1),(((D8599/100)*(C8599*VLOOKUP(B8599,'Poids des runes'!A:B,2,FALSE)))+1)/VLOOKUP(B8599,'Poids des runes'!A:B,2,FALSE))</f>
        <v>111.2</v>
      </c>
      <c r="F8599">
        <f t="shared" si="134"/>
        <v>111.2</v>
      </c>
    </row>
    <row r="8600" spans="1:6" x14ac:dyDescent="0.3">
      <c r="A8600" t="s">
        <v>1431</v>
      </c>
      <c r="B8600" t="s">
        <v>2126</v>
      </c>
      <c r="C8600">
        <v>50.5</v>
      </c>
      <c r="D8600">
        <v>200</v>
      </c>
      <c r="E8600">
        <f>IF(OR(B8600="vi",B8600="ii",B8600="pod"),(((D8600/100)*(C8600*VLOOKUP(B8600,'Poids des runes'!A:B,2,FALSE)))+1),(((D8600/100)*(C8600*VLOOKUP(B8600,'Poids des runes'!A:B,2,FALSE)))+1)/VLOOKUP(B8600,'Poids des runes'!A:B,2,FALSE))</f>
        <v>102</v>
      </c>
      <c r="F8600">
        <f t="shared" si="134"/>
        <v>102</v>
      </c>
    </row>
    <row r="8601" spans="1:6" x14ac:dyDescent="0.3">
      <c r="A8601" t="s">
        <v>1431</v>
      </c>
      <c r="B8601" t="s">
        <v>2127</v>
      </c>
      <c r="C8601">
        <v>50.5</v>
      </c>
      <c r="D8601">
        <v>200</v>
      </c>
      <c r="E8601">
        <f>IF(OR(B8601="vi",B8601="ii",B8601="pod"),(((D8601/100)*(C8601*VLOOKUP(B8601,'Poids des runes'!A:B,2,FALSE)))+1),(((D8601/100)*(C8601*VLOOKUP(B8601,'Poids des runes'!A:B,2,FALSE)))+1)/VLOOKUP(B8601,'Poids des runes'!A:B,2,FALSE))</f>
        <v>102</v>
      </c>
      <c r="F8601">
        <f t="shared" si="134"/>
        <v>102</v>
      </c>
    </row>
    <row r="8602" spans="1:6" x14ac:dyDescent="0.3">
      <c r="A8602" t="s">
        <v>1431</v>
      </c>
      <c r="B8602" t="s">
        <v>2129</v>
      </c>
      <c r="C8602">
        <v>18</v>
      </c>
      <c r="D8602">
        <v>200</v>
      </c>
      <c r="E8602">
        <f>IF(OR(B8602="vi",B8602="ii",B8602="pod"),(((D8602/100)*(C8602*VLOOKUP(B8602,'Poids des runes'!A:B,2,FALSE)))+1),(((D8602/100)*(C8602*VLOOKUP(B8602,'Poids des runes'!A:B,2,FALSE)))+1)/VLOOKUP(B8602,'Poids des runes'!A:B,2,FALSE))</f>
        <v>37</v>
      </c>
      <c r="F8602">
        <f t="shared" si="134"/>
        <v>37</v>
      </c>
    </row>
    <row r="8603" spans="1:6" x14ac:dyDescent="0.3">
      <c r="A8603" t="s">
        <v>1431</v>
      </c>
      <c r="B8603" t="s">
        <v>2151</v>
      </c>
      <c r="C8603">
        <v>3.5</v>
      </c>
      <c r="D8603">
        <v>200</v>
      </c>
      <c r="E8603">
        <f>IF(OR(B8603="vi",B8603="ii",B8603="pod"),(((D8603/100)*(C8603*VLOOKUP(B8603,'Poids des runes'!A:B,2,FALSE)))+1),(((D8603/100)*(C8603*VLOOKUP(B8603,'Poids des runes'!A:B,2,FALSE)))+1)/VLOOKUP(B8603,'Poids des runes'!A:B,2,FALSE))</f>
        <v>7.1</v>
      </c>
      <c r="F8603">
        <f t="shared" si="134"/>
        <v>7.1</v>
      </c>
    </row>
    <row r="8604" spans="1:6" x14ac:dyDescent="0.3">
      <c r="A8604" t="s">
        <v>1431</v>
      </c>
      <c r="B8604" t="s">
        <v>2140</v>
      </c>
      <c r="C8604">
        <v>10</v>
      </c>
      <c r="D8604">
        <v>200</v>
      </c>
      <c r="E8604">
        <f>IF(OR(B8604="vi",B8604="ii",B8604="pod"),(((D8604/100)*(C8604*VLOOKUP(B8604,'Poids des runes'!A:B,2,FALSE)))+1),(((D8604/100)*(C8604*VLOOKUP(B8604,'Poids des runes'!A:B,2,FALSE)))+1)/VLOOKUP(B8604,'Poids des runes'!A:B,2,FALSE))</f>
        <v>20.2</v>
      </c>
      <c r="F8604">
        <f t="shared" si="134"/>
        <v>20.2</v>
      </c>
    </row>
    <row r="8605" spans="1:6" x14ac:dyDescent="0.3">
      <c r="A8605" t="s">
        <v>1431</v>
      </c>
      <c r="B8605" t="s">
        <v>2153</v>
      </c>
      <c r="C8605">
        <v>10</v>
      </c>
      <c r="D8605">
        <v>200</v>
      </c>
      <c r="E8605">
        <f>IF(OR(B8605="vi",B8605="ii",B8605="pod"),(((D8605/100)*(C8605*VLOOKUP(B8605,'Poids des runes'!A:B,2,FALSE)))+1),(((D8605/100)*(C8605*VLOOKUP(B8605,'Poids des runes'!A:B,2,FALSE)))+1)/VLOOKUP(B8605,'Poids des runes'!A:B,2,FALSE))</f>
        <v>20.2</v>
      </c>
      <c r="F8605">
        <f t="shared" si="134"/>
        <v>20.2</v>
      </c>
    </row>
    <row r="8606" spans="1:6" x14ac:dyDescent="0.3">
      <c r="A8606" t="s">
        <v>1431</v>
      </c>
      <c r="B8606" t="s">
        <v>2149</v>
      </c>
      <c r="C8606">
        <v>8.5</v>
      </c>
      <c r="D8606">
        <v>200</v>
      </c>
      <c r="E8606">
        <f>IF(OR(B8606="vi",B8606="ii",B8606="pod"),(((D8606/100)*(C8606*VLOOKUP(B8606,'Poids des runes'!A:B,2,FALSE)))+1),(((D8606/100)*(C8606*VLOOKUP(B8606,'Poids des runes'!A:B,2,FALSE)))+1)/VLOOKUP(B8606,'Poids des runes'!A:B,2,FALSE))</f>
        <v>17.100000000000001</v>
      </c>
      <c r="F8606">
        <f t="shared" si="134"/>
        <v>17.100000000000001</v>
      </c>
    </row>
    <row r="8607" spans="1:6" x14ac:dyDescent="0.3">
      <c r="A8607" t="s">
        <v>1431</v>
      </c>
      <c r="B8607" t="s">
        <v>2132</v>
      </c>
      <c r="C8607">
        <v>450.5</v>
      </c>
      <c r="D8607">
        <v>200</v>
      </c>
      <c r="E8607">
        <f>IF(OR(B8607="vi",B8607="ii",B8607="pod"),(((D8607/100)*(C8607*VLOOKUP(B8607,'Poids des runes'!A:B,2,FALSE)))+1),(((D8607/100)*(C8607*VLOOKUP(B8607,'Poids des runes'!A:B,2,FALSE)))+1)/VLOOKUP(B8607,'Poids des runes'!A:B,2,FALSE))</f>
        <v>91.100000000000009</v>
      </c>
      <c r="F8607">
        <f t="shared" si="134"/>
        <v>91.100000000000009</v>
      </c>
    </row>
    <row r="8608" spans="1:6" x14ac:dyDescent="0.3">
      <c r="A8608" t="s">
        <v>1431</v>
      </c>
      <c r="B8608" t="s">
        <v>2159</v>
      </c>
      <c r="C8608">
        <v>7</v>
      </c>
      <c r="D8608">
        <v>200</v>
      </c>
      <c r="E8608">
        <f>IF(OR(B8608="vi",B8608="ii",B8608="pod"),(((D8608/100)*(C8608*VLOOKUP(B8608,'Poids des runes'!A:B,2,FALSE)))+1),(((D8608/100)*(C8608*VLOOKUP(B8608,'Poids des runes'!A:B,2,FALSE)))+1)/VLOOKUP(B8608,'Poids des runes'!A:B,2,FALSE))</f>
        <v>14.142857142857142</v>
      </c>
      <c r="F8608">
        <f t="shared" si="134"/>
        <v>14.142857142857142</v>
      </c>
    </row>
    <row r="8609" spans="1:6" x14ac:dyDescent="0.3">
      <c r="A8609" t="s">
        <v>1431</v>
      </c>
      <c r="B8609" t="s">
        <v>2158</v>
      </c>
      <c r="C8609">
        <v>10</v>
      </c>
      <c r="D8609">
        <v>200</v>
      </c>
      <c r="E8609">
        <f>IF(OR(B8609="vi",B8609="ii",B8609="pod"),(((D8609/100)*(C8609*VLOOKUP(B8609,'Poids des runes'!A:B,2,FALSE)))+1),(((D8609/100)*(C8609*VLOOKUP(B8609,'Poids des runes'!A:B,2,FALSE)))+1)/VLOOKUP(B8609,'Poids des runes'!A:B,2,FALSE))</f>
        <v>20.2</v>
      </c>
      <c r="F8609">
        <f t="shared" si="134"/>
        <v>20.2</v>
      </c>
    </row>
    <row r="8610" spans="1:6" x14ac:dyDescent="0.3">
      <c r="A8610" t="s">
        <v>1431</v>
      </c>
      <c r="B8610" t="s">
        <v>2147</v>
      </c>
      <c r="C8610">
        <v>8.5</v>
      </c>
      <c r="D8610">
        <v>200</v>
      </c>
      <c r="E8610">
        <f>IF(OR(B8610="vi",B8610="ii",B8610="pod"),(((D8610/100)*(C8610*VLOOKUP(B8610,'Poids des runes'!A:B,2,FALSE)))+1),(((D8610/100)*(C8610*VLOOKUP(B8610,'Poids des runes'!A:B,2,FALSE)))+1)/VLOOKUP(B8610,'Poids des runes'!A:B,2,FALSE))</f>
        <v>17.166666666666668</v>
      </c>
      <c r="F8610">
        <f t="shared" si="134"/>
        <v>17.166666666666668</v>
      </c>
    </row>
    <row r="8611" spans="1:6" x14ac:dyDescent="0.3">
      <c r="A8611" t="s">
        <v>1431</v>
      </c>
      <c r="B8611" t="s">
        <v>2135</v>
      </c>
      <c r="C8611">
        <v>3.5</v>
      </c>
      <c r="D8611">
        <v>200</v>
      </c>
      <c r="E8611">
        <f>IF(OR(B8611="vi",B8611="ii",B8611="pod"),(((D8611/100)*(C8611*VLOOKUP(B8611,'Poids des runes'!A:B,2,FALSE)))+1),(((D8611/100)*(C8611*VLOOKUP(B8611,'Poids des runes'!A:B,2,FALSE)))+1)/VLOOKUP(B8611,'Poids des runes'!A:B,2,FALSE))</f>
        <v>7.166666666666667</v>
      </c>
      <c r="F8611">
        <f t="shared" si="134"/>
        <v>7.166666666666667</v>
      </c>
    </row>
    <row r="8612" spans="1:6" x14ac:dyDescent="0.3">
      <c r="A8612" t="s">
        <v>1431</v>
      </c>
      <c r="B8612" t="s">
        <v>2136</v>
      </c>
      <c r="C8612">
        <v>18</v>
      </c>
      <c r="D8612">
        <v>200</v>
      </c>
      <c r="E8612">
        <f>IF(OR(B8612="vi",B8612="ii",B8612="pod"),(((D8612/100)*(C8612*VLOOKUP(B8612,'Poids des runes'!A:B,2,FALSE)))+1),(((D8612/100)*(C8612*VLOOKUP(B8612,'Poids des runes'!A:B,2,FALSE)))+1)/VLOOKUP(B8612,'Poids des runes'!A:B,2,FALSE))</f>
        <v>36.5</v>
      </c>
      <c r="F8612">
        <f t="shared" si="134"/>
        <v>36.5</v>
      </c>
    </row>
    <row r="8613" spans="1:6" x14ac:dyDescent="0.3">
      <c r="A8613" t="s">
        <v>1431</v>
      </c>
      <c r="B8613" t="s">
        <v>2146</v>
      </c>
      <c r="C8613">
        <v>13</v>
      </c>
      <c r="D8613">
        <v>200</v>
      </c>
      <c r="E8613">
        <f>IF(OR(B8613="vi",B8613="ii",B8613="pod"),(((D8613/100)*(C8613*VLOOKUP(B8613,'Poids des runes'!A:B,2,FALSE)))+1),(((D8613/100)*(C8613*VLOOKUP(B8613,'Poids des runes'!A:B,2,FALSE)))+1)/VLOOKUP(B8613,'Poids des runes'!A:B,2,FALSE))</f>
        <v>26.5</v>
      </c>
      <c r="F8613">
        <f t="shared" si="134"/>
        <v>26.5</v>
      </c>
    </row>
    <row r="8614" spans="1:6" x14ac:dyDescent="0.3">
      <c r="A8614" t="s">
        <v>1432</v>
      </c>
      <c r="B8614" t="s">
        <v>2128</v>
      </c>
      <c r="C8614">
        <v>375.5</v>
      </c>
      <c r="D8614">
        <v>200</v>
      </c>
      <c r="E8614">
        <f>IF(OR(B8614="vi",B8614="ii",B8614="pod"),(((D8614/100)*(C8614*VLOOKUP(B8614,'Poids des runes'!A:B,2,FALSE)))+1),(((D8614/100)*(C8614*VLOOKUP(B8614,'Poids des runes'!A:B,2,FALSE)))+1)/VLOOKUP(B8614,'Poids des runes'!A:B,2,FALSE))</f>
        <v>151.20000000000002</v>
      </c>
      <c r="F8614">
        <f t="shared" si="134"/>
        <v>151.20000000000002</v>
      </c>
    </row>
    <row r="8615" spans="1:6" x14ac:dyDescent="0.3">
      <c r="A8615" t="s">
        <v>1432</v>
      </c>
      <c r="B8615" t="s">
        <v>2130</v>
      </c>
      <c r="C8615">
        <v>50.5</v>
      </c>
      <c r="D8615">
        <v>200</v>
      </c>
      <c r="E8615">
        <f>IF(OR(B8615="vi",B8615="ii",B8615="pod"),(((D8615/100)*(C8615*VLOOKUP(B8615,'Poids des runes'!A:B,2,FALSE)))+1),(((D8615/100)*(C8615*VLOOKUP(B8615,'Poids des runes'!A:B,2,FALSE)))+1)/VLOOKUP(B8615,'Poids des runes'!A:B,2,FALSE))</f>
        <v>102</v>
      </c>
      <c r="F8615">
        <f t="shared" si="134"/>
        <v>102</v>
      </c>
    </row>
    <row r="8616" spans="1:6" x14ac:dyDescent="0.3">
      <c r="A8616" t="s">
        <v>1432</v>
      </c>
      <c r="B8616" t="s">
        <v>2131</v>
      </c>
      <c r="C8616">
        <v>50.5</v>
      </c>
      <c r="D8616">
        <v>200</v>
      </c>
      <c r="E8616">
        <f>IF(OR(B8616="vi",B8616="ii",B8616="pod"),(((D8616/100)*(C8616*VLOOKUP(B8616,'Poids des runes'!A:B,2,FALSE)))+1),(((D8616/100)*(C8616*VLOOKUP(B8616,'Poids des runes'!A:B,2,FALSE)))+1)/VLOOKUP(B8616,'Poids des runes'!A:B,2,FALSE))</f>
        <v>102</v>
      </c>
      <c r="F8616">
        <f t="shared" si="134"/>
        <v>102</v>
      </c>
    </row>
    <row r="8617" spans="1:6" x14ac:dyDescent="0.3">
      <c r="A8617" t="s">
        <v>1432</v>
      </c>
      <c r="B8617" t="s">
        <v>2129</v>
      </c>
      <c r="C8617">
        <v>40.5</v>
      </c>
      <c r="D8617">
        <v>200</v>
      </c>
      <c r="E8617">
        <f>IF(OR(B8617="vi",B8617="ii",B8617="pod"),(((D8617/100)*(C8617*VLOOKUP(B8617,'Poids des runes'!A:B,2,FALSE)))+1),(((D8617/100)*(C8617*VLOOKUP(B8617,'Poids des runes'!A:B,2,FALSE)))+1)/VLOOKUP(B8617,'Poids des runes'!A:B,2,FALSE))</f>
        <v>82</v>
      </c>
      <c r="F8617">
        <f t="shared" si="134"/>
        <v>82</v>
      </c>
    </row>
    <row r="8618" spans="1:6" x14ac:dyDescent="0.3">
      <c r="A8618" t="s">
        <v>1432</v>
      </c>
      <c r="B8618" t="s">
        <v>2151</v>
      </c>
      <c r="C8618">
        <v>4.5</v>
      </c>
      <c r="D8618">
        <v>200</v>
      </c>
      <c r="E8618">
        <f>IF(OR(B8618="vi",B8618="ii",B8618="pod"),(((D8618/100)*(C8618*VLOOKUP(B8618,'Poids des runes'!A:B,2,FALSE)))+1),(((D8618/100)*(C8618*VLOOKUP(B8618,'Poids des runes'!A:B,2,FALSE)))+1)/VLOOKUP(B8618,'Poids des runes'!A:B,2,FALSE))</f>
        <v>9.1</v>
      </c>
      <c r="F8618">
        <f t="shared" si="134"/>
        <v>9.1</v>
      </c>
    </row>
    <row r="8619" spans="1:6" x14ac:dyDescent="0.3">
      <c r="A8619" t="s">
        <v>1432</v>
      </c>
      <c r="B8619" t="s">
        <v>2155</v>
      </c>
      <c r="C8619">
        <v>1</v>
      </c>
      <c r="D8619">
        <v>200</v>
      </c>
      <c r="E8619">
        <f>IF(OR(B8619="vi",B8619="ii",B8619="pod"),(((D8619/100)*(C8619*VLOOKUP(B8619,'Poids des runes'!A:B,2,FALSE)))+1),(((D8619/100)*(C8619*VLOOKUP(B8619,'Poids des runes'!A:B,2,FALSE)))+1)/VLOOKUP(B8619,'Poids des runes'!A:B,2,FALSE))</f>
        <v>2.0196078431372548</v>
      </c>
      <c r="F8619">
        <f t="shared" si="134"/>
        <v>2.0196078431372548</v>
      </c>
    </row>
    <row r="8620" spans="1:6" x14ac:dyDescent="0.3">
      <c r="A8620" t="s">
        <v>1432</v>
      </c>
      <c r="B8620" t="s">
        <v>2134</v>
      </c>
      <c r="C8620">
        <v>18</v>
      </c>
      <c r="D8620">
        <v>200</v>
      </c>
      <c r="E8620">
        <f>IF(OR(B8620="vi",B8620="ii",B8620="pod"),(((D8620/100)*(C8620*VLOOKUP(B8620,'Poids des runes'!A:B,2,FALSE)))+1),(((D8620/100)*(C8620*VLOOKUP(B8620,'Poids des runes'!A:B,2,FALSE)))+1)/VLOOKUP(B8620,'Poids des runes'!A:B,2,FALSE))</f>
        <v>36.049999999999997</v>
      </c>
      <c r="F8620">
        <f t="shared" si="134"/>
        <v>36.049999999999997</v>
      </c>
    </row>
    <row r="8621" spans="1:6" x14ac:dyDescent="0.3">
      <c r="A8621" t="s">
        <v>1432</v>
      </c>
      <c r="B8621" t="s">
        <v>2132</v>
      </c>
      <c r="C8621">
        <v>350.5</v>
      </c>
      <c r="D8621">
        <v>200</v>
      </c>
      <c r="E8621">
        <f>IF(OR(B8621="vi",B8621="ii",B8621="pod"),(((D8621/100)*(C8621*VLOOKUP(B8621,'Poids des runes'!A:B,2,FALSE)))+1),(((D8621/100)*(C8621*VLOOKUP(B8621,'Poids des runes'!A:B,2,FALSE)))+1)/VLOOKUP(B8621,'Poids des runes'!A:B,2,FALSE))</f>
        <v>71.100000000000009</v>
      </c>
      <c r="F8621">
        <f t="shared" si="134"/>
        <v>71.100000000000009</v>
      </c>
    </row>
    <row r="8622" spans="1:6" x14ac:dyDescent="0.3">
      <c r="A8622" t="s">
        <v>1432</v>
      </c>
      <c r="B8622" t="s">
        <v>2156</v>
      </c>
      <c r="C8622">
        <v>3.5</v>
      </c>
      <c r="D8622">
        <v>200</v>
      </c>
      <c r="E8622">
        <f>IF(OR(B8622="vi",B8622="ii",B8622="pod"),(((D8622/100)*(C8622*VLOOKUP(B8622,'Poids des runes'!A:B,2,FALSE)))+1),(((D8622/100)*(C8622*VLOOKUP(B8622,'Poids des runes'!A:B,2,FALSE)))+1)/VLOOKUP(B8622,'Poids des runes'!A:B,2,FALSE))</f>
        <v>7.166666666666667</v>
      </c>
      <c r="F8622">
        <f t="shared" si="134"/>
        <v>7.166666666666667</v>
      </c>
    </row>
    <row r="8623" spans="1:6" x14ac:dyDescent="0.3">
      <c r="A8623" t="s">
        <v>1432</v>
      </c>
      <c r="B8623" t="s">
        <v>2147</v>
      </c>
      <c r="C8623">
        <v>8.5</v>
      </c>
      <c r="D8623">
        <v>200</v>
      </c>
      <c r="E8623">
        <f>IF(OR(B8623="vi",B8623="ii",B8623="pod"),(((D8623/100)*(C8623*VLOOKUP(B8623,'Poids des runes'!A:B,2,FALSE)))+1),(((D8623/100)*(C8623*VLOOKUP(B8623,'Poids des runes'!A:B,2,FALSE)))+1)/VLOOKUP(B8623,'Poids des runes'!A:B,2,FALSE))</f>
        <v>17.166666666666668</v>
      </c>
      <c r="F8623">
        <f t="shared" si="134"/>
        <v>17.166666666666668</v>
      </c>
    </row>
    <row r="8624" spans="1:6" x14ac:dyDescent="0.3">
      <c r="A8624" t="s">
        <v>1432</v>
      </c>
      <c r="B8624" t="s">
        <v>2144</v>
      </c>
      <c r="C8624">
        <v>18</v>
      </c>
      <c r="D8624">
        <v>200</v>
      </c>
      <c r="E8624">
        <f>IF(OR(B8624="vi",B8624="ii",B8624="pod"),(((D8624/100)*(C8624*VLOOKUP(B8624,'Poids des runes'!A:B,2,FALSE)))+1),(((D8624/100)*(C8624*VLOOKUP(B8624,'Poids des runes'!A:B,2,FALSE)))+1)/VLOOKUP(B8624,'Poids des runes'!A:B,2,FALSE))</f>
        <v>36.5</v>
      </c>
      <c r="F8624">
        <f t="shared" si="134"/>
        <v>36.5</v>
      </c>
    </row>
    <row r="8625" spans="1:6" x14ac:dyDescent="0.3">
      <c r="A8625" t="s">
        <v>1433</v>
      </c>
      <c r="B8625" t="s">
        <v>2128</v>
      </c>
      <c r="C8625">
        <v>275.5</v>
      </c>
      <c r="D8625">
        <v>200</v>
      </c>
      <c r="E8625">
        <f>IF(OR(B8625="vi",B8625="ii",B8625="pod"),(((D8625/100)*(C8625*VLOOKUP(B8625,'Poids des runes'!A:B,2,FALSE)))+1),(((D8625/100)*(C8625*VLOOKUP(B8625,'Poids des runes'!A:B,2,FALSE)))+1)/VLOOKUP(B8625,'Poids des runes'!A:B,2,FALSE))</f>
        <v>111.2</v>
      </c>
      <c r="F8625">
        <f t="shared" si="134"/>
        <v>111.2</v>
      </c>
    </row>
    <row r="8626" spans="1:6" x14ac:dyDescent="0.3">
      <c r="A8626" t="s">
        <v>1433</v>
      </c>
      <c r="B8626" t="s">
        <v>2131</v>
      </c>
      <c r="C8626">
        <v>35.5</v>
      </c>
      <c r="D8626">
        <v>200</v>
      </c>
      <c r="E8626">
        <f>IF(OR(B8626="vi",B8626="ii",B8626="pod"),(((D8626/100)*(C8626*VLOOKUP(B8626,'Poids des runes'!A:B,2,FALSE)))+1),(((D8626/100)*(C8626*VLOOKUP(B8626,'Poids des runes'!A:B,2,FALSE)))+1)/VLOOKUP(B8626,'Poids des runes'!A:B,2,FALSE))</f>
        <v>72</v>
      </c>
      <c r="F8626">
        <f t="shared" si="134"/>
        <v>72</v>
      </c>
    </row>
    <row r="8627" spans="1:6" x14ac:dyDescent="0.3">
      <c r="A8627" t="s">
        <v>1433</v>
      </c>
      <c r="B8627" t="s">
        <v>2129</v>
      </c>
      <c r="C8627">
        <v>25.5</v>
      </c>
      <c r="D8627">
        <v>200</v>
      </c>
      <c r="E8627">
        <f>IF(OR(B8627="vi",B8627="ii",B8627="pod"),(((D8627/100)*(C8627*VLOOKUP(B8627,'Poids des runes'!A:B,2,FALSE)))+1),(((D8627/100)*(C8627*VLOOKUP(B8627,'Poids des runes'!A:B,2,FALSE)))+1)/VLOOKUP(B8627,'Poids des runes'!A:B,2,FALSE))</f>
        <v>52</v>
      </c>
      <c r="F8627">
        <f t="shared" si="134"/>
        <v>52</v>
      </c>
    </row>
    <row r="8628" spans="1:6" x14ac:dyDescent="0.3">
      <c r="A8628" t="s">
        <v>1433</v>
      </c>
      <c r="B8628" t="s">
        <v>2139</v>
      </c>
      <c r="C8628">
        <v>35.5</v>
      </c>
      <c r="D8628">
        <v>200</v>
      </c>
      <c r="E8628">
        <f>IF(OR(B8628="vi",B8628="ii",B8628="pod"),(((D8628/100)*(C8628*VLOOKUP(B8628,'Poids des runes'!A:B,2,FALSE)))+1),(((D8628/100)*(C8628*VLOOKUP(B8628,'Poids des runes'!A:B,2,FALSE)))+1)/VLOOKUP(B8628,'Poids des runes'!A:B,2,FALSE))</f>
        <v>71.5</v>
      </c>
      <c r="F8628">
        <f t="shared" si="134"/>
        <v>71.5</v>
      </c>
    </row>
    <row r="8629" spans="1:6" x14ac:dyDescent="0.3">
      <c r="A8629" t="s">
        <v>1433</v>
      </c>
      <c r="B8629" t="s">
        <v>2154</v>
      </c>
      <c r="C8629">
        <v>1</v>
      </c>
      <c r="D8629">
        <v>200</v>
      </c>
      <c r="E8629">
        <f>IF(OR(B8629="vi",B8629="ii",B8629="pod"),(((D8629/100)*(C8629*VLOOKUP(B8629,'Poids des runes'!A:B,2,FALSE)))+1),(((D8629/100)*(C8629*VLOOKUP(B8629,'Poids des runes'!A:B,2,FALSE)))+1)/VLOOKUP(B8629,'Poids des runes'!A:B,2,FALSE))</f>
        <v>2.0111111111111111</v>
      </c>
      <c r="F8629">
        <f t="shared" si="134"/>
        <v>2.0111111111111111</v>
      </c>
    </row>
    <row r="8630" spans="1:6" x14ac:dyDescent="0.3">
      <c r="A8630" t="s">
        <v>1433</v>
      </c>
      <c r="B8630" t="s">
        <v>2150</v>
      </c>
      <c r="C8630">
        <v>2</v>
      </c>
      <c r="D8630">
        <v>200</v>
      </c>
      <c r="E8630">
        <f>IF(OR(B8630="vi",B8630="ii",B8630="pod"),(((D8630/100)*(C8630*VLOOKUP(B8630,'Poids des runes'!A:B,2,FALSE)))+1),(((D8630/100)*(C8630*VLOOKUP(B8630,'Poids des runes'!A:B,2,FALSE)))+1)/VLOOKUP(B8630,'Poids des runes'!A:B,2,FALSE))</f>
        <v>4.0333333333333332</v>
      </c>
      <c r="F8630">
        <f t="shared" si="134"/>
        <v>4.0333333333333332</v>
      </c>
    </row>
    <row r="8631" spans="1:6" x14ac:dyDescent="0.3">
      <c r="A8631" t="s">
        <v>1433</v>
      </c>
      <c r="B8631" t="s">
        <v>2161</v>
      </c>
      <c r="C8631">
        <v>13</v>
      </c>
      <c r="D8631">
        <v>200</v>
      </c>
      <c r="E8631">
        <f>IF(OR(B8631="vi",B8631="ii",B8631="pod"),(((D8631/100)*(C8631*VLOOKUP(B8631,'Poids des runes'!A:B,2,FALSE)))+1),(((D8631/100)*(C8631*VLOOKUP(B8631,'Poids des runes'!A:B,2,FALSE)))+1)/VLOOKUP(B8631,'Poids des runes'!A:B,2,FALSE))</f>
        <v>26.333333333333332</v>
      </c>
      <c r="F8631">
        <f t="shared" si="134"/>
        <v>26.333333333333332</v>
      </c>
    </row>
    <row r="8632" spans="1:6" x14ac:dyDescent="0.3">
      <c r="A8632" t="s">
        <v>1433</v>
      </c>
      <c r="B8632" t="s">
        <v>2138</v>
      </c>
      <c r="C8632">
        <v>13</v>
      </c>
      <c r="D8632">
        <v>200</v>
      </c>
      <c r="E8632">
        <f>IF(OR(B8632="vi",B8632="ii",B8632="pod"),(((D8632/100)*(C8632*VLOOKUP(B8632,'Poids des runes'!A:B,2,FALSE)))+1),(((D8632/100)*(C8632*VLOOKUP(B8632,'Poids des runes'!A:B,2,FALSE)))+1)/VLOOKUP(B8632,'Poids des runes'!A:B,2,FALSE))</f>
        <v>26.25</v>
      </c>
      <c r="F8632">
        <f t="shared" si="134"/>
        <v>26.25</v>
      </c>
    </row>
    <row r="8633" spans="1:6" x14ac:dyDescent="0.3">
      <c r="A8633" t="s">
        <v>1433</v>
      </c>
      <c r="B8633" t="s">
        <v>2158</v>
      </c>
      <c r="C8633">
        <v>20.5</v>
      </c>
      <c r="D8633">
        <v>200</v>
      </c>
      <c r="E8633">
        <f>IF(OR(B8633="vi",B8633="ii",B8633="pod"),(((D8633/100)*(C8633*VLOOKUP(B8633,'Poids des runes'!A:B,2,FALSE)))+1),(((D8633/100)*(C8633*VLOOKUP(B8633,'Poids des runes'!A:B,2,FALSE)))+1)/VLOOKUP(B8633,'Poids des runes'!A:B,2,FALSE))</f>
        <v>41.2</v>
      </c>
      <c r="F8633">
        <f t="shared" si="134"/>
        <v>41.2</v>
      </c>
    </row>
    <row r="8634" spans="1:6" x14ac:dyDescent="0.3">
      <c r="A8634" t="s">
        <v>1433</v>
      </c>
      <c r="B8634" t="s">
        <v>2142</v>
      </c>
      <c r="C8634">
        <v>20.5</v>
      </c>
      <c r="D8634">
        <v>200</v>
      </c>
      <c r="E8634">
        <f>IF(OR(B8634="vi",B8634="ii",B8634="pod"),(((D8634/100)*(C8634*VLOOKUP(B8634,'Poids des runes'!A:B,2,FALSE)))+1),(((D8634/100)*(C8634*VLOOKUP(B8634,'Poids des runes'!A:B,2,FALSE)))+1)/VLOOKUP(B8634,'Poids des runes'!A:B,2,FALSE))</f>
        <v>41.2</v>
      </c>
      <c r="F8634">
        <f t="shared" si="134"/>
        <v>41.2</v>
      </c>
    </row>
    <row r="8635" spans="1:6" x14ac:dyDescent="0.3">
      <c r="A8635" t="s">
        <v>1433</v>
      </c>
      <c r="B8635" t="s">
        <v>2135</v>
      </c>
      <c r="C8635">
        <v>8.5</v>
      </c>
      <c r="D8635">
        <v>200</v>
      </c>
      <c r="E8635">
        <f>IF(OR(B8635="vi",B8635="ii",B8635="pod"),(((D8635/100)*(C8635*VLOOKUP(B8635,'Poids des runes'!A:B,2,FALSE)))+1),(((D8635/100)*(C8635*VLOOKUP(B8635,'Poids des runes'!A:B,2,FALSE)))+1)/VLOOKUP(B8635,'Poids des runes'!A:B,2,FALSE))</f>
        <v>17.166666666666668</v>
      </c>
      <c r="F8635">
        <f t="shared" si="134"/>
        <v>17.166666666666668</v>
      </c>
    </row>
    <row r="8636" spans="1:6" x14ac:dyDescent="0.3">
      <c r="A8636" t="s">
        <v>1433</v>
      </c>
      <c r="B8636" t="s">
        <v>2157</v>
      </c>
      <c r="C8636">
        <v>8.5</v>
      </c>
      <c r="D8636">
        <v>200</v>
      </c>
      <c r="E8636">
        <f>IF(OR(B8636="vi",B8636="ii",B8636="pod"),(((D8636/100)*(C8636*VLOOKUP(B8636,'Poids des runes'!A:B,2,FALSE)))+1),(((D8636/100)*(C8636*VLOOKUP(B8636,'Poids des runes'!A:B,2,FALSE)))+1)/VLOOKUP(B8636,'Poids des runes'!A:B,2,FALSE))</f>
        <v>17.166666666666668</v>
      </c>
      <c r="F8636">
        <f t="shared" si="134"/>
        <v>17.166666666666668</v>
      </c>
    </row>
    <row r="8637" spans="1:6" x14ac:dyDescent="0.3">
      <c r="A8637" t="s">
        <v>1434</v>
      </c>
      <c r="B8637" t="s">
        <v>2128</v>
      </c>
      <c r="C8637">
        <v>375.5</v>
      </c>
      <c r="D8637">
        <v>200</v>
      </c>
      <c r="E8637">
        <f>IF(OR(B8637="vi",B8637="ii",B8637="pod"),(((D8637/100)*(C8637*VLOOKUP(B8637,'Poids des runes'!A:B,2,FALSE)))+1),(((D8637/100)*(C8637*VLOOKUP(B8637,'Poids des runes'!A:B,2,FALSE)))+1)/VLOOKUP(B8637,'Poids des runes'!A:B,2,FALSE))</f>
        <v>151.20000000000002</v>
      </c>
      <c r="F8637">
        <f t="shared" si="134"/>
        <v>151.20000000000002</v>
      </c>
    </row>
    <row r="8638" spans="1:6" x14ac:dyDescent="0.3">
      <c r="A8638" t="s">
        <v>1434</v>
      </c>
      <c r="B8638" t="s">
        <v>2130</v>
      </c>
      <c r="C8638">
        <v>40.5</v>
      </c>
      <c r="D8638">
        <v>200</v>
      </c>
      <c r="E8638">
        <f>IF(OR(B8638="vi",B8638="ii",B8638="pod"),(((D8638/100)*(C8638*VLOOKUP(B8638,'Poids des runes'!A:B,2,FALSE)))+1),(((D8638/100)*(C8638*VLOOKUP(B8638,'Poids des runes'!A:B,2,FALSE)))+1)/VLOOKUP(B8638,'Poids des runes'!A:B,2,FALSE))</f>
        <v>82</v>
      </c>
      <c r="F8638">
        <f t="shared" si="134"/>
        <v>82</v>
      </c>
    </row>
    <row r="8639" spans="1:6" x14ac:dyDescent="0.3">
      <c r="A8639" t="s">
        <v>1434</v>
      </c>
      <c r="B8639" t="s">
        <v>2126</v>
      </c>
      <c r="C8639">
        <v>40.5</v>
      </c>
      <c r="D8639">
        <v>200</v>
      </c>
      <c r="E8639">
        <f>IF(OR(B8639="vi",B8639="ii",B8639="pod"),(((D8639/100)*(C8639*VLOOKUP(B8639,'Poids des runes'!A:B,2,FALSE)))+1),(((D8639/100)*(C8639*VLOOKUP(B8639,'Poids des runes'!A:B,2,FALSE)))+1)/VLOOKUP(B8639,'Poids des runes'!A:B,2,FALSE))</f>
        <v>82</v>
      </c>
      <c r="F8639">
        <f t="shared" si="134"/>
        <v>82</v>
      </c>
    </row>
    <row r="8640" spans="1:6" x14ac:dyDescent="0.3">
      <c r="A8640" t="s">
        <v>1434</v>
      </c>
      <c r="B8640" t="s">
        <v>2129</v>
      </c>
      <c r="C8640">
        <v>35.5</v>
      </c>
      <c r="D8640">
        <v>200</v>
      </c>
      <c r="E8640">
        <f>IF(OR(B8640="vi",B8640="ii",B8640="pod"),(((D8640/100)*(C8640*VLOOKUP(B8640,'Poids des runes'!A:B,2,FALSE)))+1),(((D8640/100)*(C8640*VLOOKUP(B8640,'Poids des runes'!A:B,2,FALSE)))+1)/VLOOKUP(B8640,'Poids des runes'!A:B,2,FALSE))</f>
        <v>72</v>
      </c>
      <c r="F8640">
        <f t="shared" si="134"/>
        <v>72</v>
      </c>
    </row>
    <row r="8641" spans="1:6" x14ac:dyDescent="0.3">
      <c r="A8641" t="s">
        <v>1434</v>
      </c>
      <c r="B8641" t="s">
        <v>2155</v>
      </c>
      <c r="C8641">
        <v>1</v>
      </c>
      <c r="D8641">
        <v>200</v>
      </c>
      <c r="E8641">
        <f>IF(OR(B8641="vi",B8641="ii",B8641="pod"),(((D8641/100)*(C8641*VLOOKUP(B8641,'Poids des runes'!A:B,2,FALSE)))+1),(((D8641/100)*(C8641*VLOOKUP(B8641,'Poids des runes'!A:B,2,FALSE)))+1)/VLOOKUP(B8641,'Poids des runes'!A:B,2,FALSE))</f>
        <v>2.0196078431372548</v>
      </c>
      <c r="F8641">
        <f t="shared" si="134"/>
        <v>2.0196078431372548</v>
      </c>
    </row>
    <row r="8642" spans="1:6" x14ac:dyDescent="0.3">
      <c r="A8642" t="s">
        <v>1434</v>
      </c>
      <c r="B8642" t="s">
        <v>2143</v>
      </c>
      <c r="C8642">
        <v>13</v>
      </c>
      <c r="D8642">
        <v>200</v>
      </c>
      <c r="E8642">
        <f>IF(OR(B8642="vi",B8642="ii",B8642="pod"),(((D8642/100)*(C8642*VLOOKUP(B8642,'Poids des runes'!A:B,2,FALSE)))+1),(((D8642/100)*(C8642*VLOOKUP(B8642,'Poids des runes'!A:B,2,FALSE)))+1)/VLOOKUP(B8642,'Poids des runes'!A:B,2,FALSE))</f>
        <v>26.2</v>
      </c>
      <c r="F8642">
        <f t="shared" si="134"/>
        <v>26.2</v>
      </c>
    </row>
    <row r="8643" spans="1:6" x14ac:dyDescent="0.3">
      <c r="A8643" t="s">
        <v>1434</v>
      </c>
      <c r="B8643" t="s">
        <v>2140</v>
      </c>
      <c r="C8643">
        <v>13</v>
      </c>
      <c r="D8643">
        <v>200</v>
      </c>
      <c r="E8643">
        <f>IF(OR(B8643="vi",B8643="ii",B8643="pod"),(((D8643/100)*(C8643*VLOOKUP(B8643,'Poids des runes'!A:B,2,FALSE)))+1),(((D8643/100)*(C8643*VLOOKUP(B8643,'Poids des runes'!A:B,2,FALSE)))+1)/VLOOKUP(B8643,'Poids des runes'!A:B,2,FALSE))</f>
        <v>26.2</v>
      </c>
      <c r="F8643">
        <f t="shared" ref="F8643:F8706" si="135">E8643</f>
        <v>26.2</v>
      </c>
    </row>
    <row r="8644" spans="1:6" x14ac:dyDescent="0.3">
      <c r="A8644" t="s">
        <v>1434</v>
      </c>
      <c r="B8644" t="s">
        <v>2161</v>
      </c>
      <c r="C8644">
        <v>13</v>
      </c>
      <c r="D8644">
        <v>200</v>
      </c>
      <c r="E8644">
        <f>IF(OR(B8644="vi",B8644="ii",B8644="pod"),(((D8644/100)*(C8644*VLOOKUP(B8644,'Poids des runes'!A:B,2,FALSE)))+1),(((D8644/100)*(C8644*VLOOKUP(B8644,'Poids des runes'!A:B,2,FALSE)))+1)/VLOOKUP(B8644,'Poids des runes'!A:B,2,FALSE))</f>
        <v>26.333333333333332</v>
      </c>
      <c r="F8644">
        <f t="shared" si="135"/>
        <v>26.333333333333332</v>
      </c>
    </row>
    <row r="8645" spans="1:6" x14ac:dyDescent="0.3">
      <c r="A8645" t="s">
        <v>1434</v>
      </c>
      <c r="B8645" t="s">
        <v>2132</v>
      </c>
      <c r="C8645">
        <v>350.5</v>
      </c>
      <c r="D8645">
        <v>200</v>
      </c>
      <c r="E8645">
        <f>IF(OR(B8645="vi",B8645="ii",B8645="pod"),(((D8645/100)*(C8645*VLOOKUP(B8645,'Poids des runes'!A:B,2,FALSE)))+1),(((D8645/100)*(C8645*VLOOKUP(B8645,'Poids des runes'!A:B,2,FALSE)))+1)/VLOOKUP(B8645,'Poids des runes'!A:B,2,FALSE))</f>
        <v>71.100000000000009</v>
      </c>
      <c r="F8645">
        <f t="shared" si="135"/>
        <v>71.100000000000009</v>
      </c>
    </row>
    <row r="8646" spans="1:6" x14ac:dyDescent="0.3">
      <c r="A8646" t="s">
        <v>1434</v>
      </c>
      <c r="B8646" t="s">
        <v>2138</v>
      </c>
      <c r="C8646">
        <v>7</v>
      </c>
      <c r="D8646">
        <v>200</v>
      </c>
      <c r="E8646">
        <f>IF(OR(B8646="vi",B8646="ii",B8646="pod"),(((D8646/100)*(C8646*VLOOKUP(B8646,'Poids des runes'!A:B,2,FALSE)))+1),(((D8646/100)*(C8646*VLOOKUP(B8646,'Poids des runes'!A:B,2,FALSE)))+1)/VLOOKUP(B8646,'Poids des runes'!A:B,2,FALSE))</f>
        <v>14.25</v>
      </c>
      <c r="F8646">
        <f t="shared" si="135"/>
        <v>14.25</v>
      </c>
    </row>
    <row r="8647" spans="1:6" x14ac:dyDescent="0.3">
      <c r="A8647" t="s">
        <v>1434</v>
      </c>
      <c r="B8647" t="s">
        <v>2147</v>
      </c>
      <c r="C8647">
        <v>5</v>
      </c>
      <c r="D8647">
        <v>200</v>
      </c>
      <c r="E8647">
        <f>IF(OR(B8647="vi",B8647="ii",B8647="pod"),(((D8647/100)*(C8647*VLOOKUP(B8647,'Poids des runes'!A:B,2,FALSE)))+1),(((D8647/100)*(C8647*VLOOKUP(B8647,'Poids des runes'!A:B,2,FALSE)))+1)/VLOOKUP(B8647,'Poids des runes'!A:B,2,FALSE))</f>
        <v>10.166666666666666</v>
      </c>
      <c r="F8647">
        <f t="shared" si="135"/>
        <v>10.166666666666666</v>
      </c>
    </row>
    <row r="8648" spans="1:6" x14ac:dyDescent="0.3">
      <c r="A8648" t="s">
        <v>1434</v>
      </c>
      <c r="B8648" t="s">
        <v>2135</v>
      </c>
      <c r="C8648">
        <v>5</v>
      </c>
      <c r="D8648">
        <v>200</v>
      </c>
      <c r="E8648">
        <f>IF(OR(B8648="vi",B8648="ii",B8648="pod"),(((D8648/100)*(C8648*VLOOKUP(B8648,'Poids des runes'!A:B,2,FALSE)))+1),(((D8648/100)*(C8648*VLOOKUP(B8648,'Poids des runes'!A:B,2,FALSE)))+1)/VLOOKUP(B8648,'Poids des runes'!A:B,2,FALSE))</f>
        <v>10.166666666666666</v>
      </c>
      <c r="F8648">
        <f t="shared" si="135"/>
        <v>10.166666666666666</v>
      </c>
    </row>
    <row r="8649" spans="1:6" x14ac:dyDescent="0.3">
      <c r="A8649" t="s">
        <v>1434</v>
      </c>
      <c r="B8649" t="s">
        <v>2157</v>
      </c>
      <c r="C8649">
        <v>5</v>
      </c>
      <c r="D8649">
        <v>200</v>
      </c>
      <c r="E8649">
        <f>IF(OR(B8649="vi",B8649="ii",B8649="pod"),(((D8649/100)*(C8649*VLOOKUP(B8649,'Poids des runes'!A:B,2,FALSE)))+1),(((D8649/100)*(C8649*VLOOKUP(B8649,'Poids des runes'!A:B,2,FALSE)))+1)/VLOOKUP(B8649,'Poids des runes'!A:B,2,FALSE))</f>
        <v>10.166666666666666</v>
      </c>
      <c r="F8649">
        <f t="shared" si="135"/>
        <v>10.166666666666666</v>
      </c>
    </row>
    <row r="8650" spans="1:6" x14ac:dyDescent="0.3">
      <c r="A8650" t="s">
        <v>1434</v>
      </c>
      <c r="B8650" t="s">
        <v>2136</v>
      </c>
      <c r="C8650">
        <v>18</v>
      </c>
      <c r="D8650">
        <v>200</v>
      </c>
      <c r="E8650">
        <f>IF(OR(B8650="vi",B8650="ii",B8650="pod"),(((D8650/100)*(C8650*VLOOKUP(B8650,'Poids des runes'!A:B,2,FALSE)))+1),(((D8650/100)*(C8650*VLOOKUP(B8650,'Poids des runes'!A:B,2,FALSE)))+1)/VLOOKUP(B8650,'Poids des runes'!A:B,2,FALSE))</f>
        <v>36.5</v>
      </c>
      <c r="F8650">
        <f t="shared" si="135"/>
        <v>36.5</v>
      </c>
    </row>
    <row r="8651" spans="1:6" x14ac:dyDescent="0.3">
      <c r="A8651" t="s">
        <v>1435</v>
      </c>
      <c r="B8651" t="s">
        <v>2128</v>
      </c>
      <c r="C8651">
        <v>275.5</v>
      </c>
      <c r="D8651">
        <v>200</v>
      </c>
      <c r="E8651">
        <f>IF(OR(B8651="vi",B8651="ii",B8651="pod"),(((D8651/100)*(C8651*VLOOKUP(B8651,'Poids des runes'!A:B,2,FALSE)))+1),(((D8651/100)*(C8651*VLOOKUP(B8651,'Poids des runes'!A:B,2,FALSE)))+1)/VLOOKUP(B8651,'Poids des runes'!A:B,2,FALSE))</f>
        <v>111.2</v>
      </c>
      <c r="F8651">
        <f t="shared" si="135"/>
        <v>111.2</v>
      </c>
    </row>
    <row r="8652" spans="1:6" x14ac:dyDescent="0.3">
      <c r="A8652" t="s">
        <v>1435</v>
      </c>
      <c r="B8652" t="s">
        <v>2130</v>
      </c>
      <c r="C8652">
        <v>50.5</v>
      </c>
      <c r="D8652">
        <v>200</v>
      </c>
      <c r="E8652">
        <f>IF(OR(B8652="vi",B8652="ii",B8652="pod"),(((D8652/100)*(C8652*VLOOKUP(B8652,'Poids des runes'!A:B,2,FALSE)))+1),(((D8652/100)*(C8652*VLOOKUP(B8652,'Poids des runes'!A:B,2,FALSE)))+1)/VLOOKUP(B8652,'Poids des runes'!A:B,2,FALSE))</f>
        <v>102</v>
      </c>
      <c r="F8652">
        <f t="shared" si="135"/>
        <v>102</v>
      </c>
    </row>
    <row r="8653" spans="1:6" x14ac:dyDescent="0.3">
      <c r="A8653" t="s">
        <v>1435</v>
      </c>
      <c r="B8653" t="s">
        <v>2126</v>
      </c>
      <c r="C8653">
        <v>35.5</v>
      </c>
      <c r="D8653">
        <v>200</v>
      </c>
      <c r="E8653">
        <f>IF(OR(B8653="vi",B8653="ii",B8653="pod"),(((D8653/100)*(C8653*VLOOKUP(B8653,'Poids des runes'!A:B,2,FALSE)))+1),(((D8653/100)*(C8653*VLOOKUP(B8653,'Poids des runes'!A:B,2,FALSE)))+1)/VLOOKUP(B8653,'Poids des runes'!A:B,2,FALSE))</f>
        <v>72</v>
      </c>
      <c r="F8653">
        <f t="shared" si="135"/>
        <v>72</v>
      </c>
    </row>
    <row r="8654" spans="1:6" x14ac:dyDescent="0.3">
      <c r="A8654" t="s">
        <v>1435</v>
      </c>
      <c r="B8654" t="s">
        <v>2131</v>
      </c>
      <c r="C8654">
        <v>35.5</v>
      </c>
      <c r="D8654">
        <v>200</v>
      </c>
      <c r="E8654">
        <f>IF(OR(B8654="vi",B8654="ii",B8654="pod"),(((D8654/100)*(C8654*VLOOKUP(B8654,'Poids des runes'!A:B,2,FALSE)))+1),(((D8654/100)*(C8654*VLOOKUP(B8654,'Poids des runes'!A:B,2,FALSE)))+1)/VLOOKUP(B8654,'Poids des runes'!A:B,2,FALSE))</f>
        <v>72</v>
      </c>
      <c r="F8654">
        <f t="shared" si="135"/>
        <v>72</v>
      </c>
    </row>
    <row r="8655" spans="1:6" x14ac:dyDescent="0.3">
      <c r="A8655" t="s">
        <v>1435</v>
      </c>
      <c r="B8655" t="s">
        <v>2129</v>
      </c>
      <c r="C8655">
        <v>35.5</v>
      </c>
      <c r="D8655">
        <v>200</v>
      </c>
      <c r="E8655">
        <f>IF(OR(B8655="vi",B8655="ii",B8655="pod"),(((D8655/100)*(C8655*VLOOKUP(B8655,'Poids des runes'!A:B,2,FALSE)))+1),(((D8655/100)*(C8655*VLOOKUP(B8655,'Poids des runes'!A:B,2,FALSE)))+1)/VLOOKUP(B8655,'Poids des runes'!A:B,2,FALSE))</f>
        <v>72</v>
      </c>
      <c r="F8655">
        <f t="shared" si="135"/>
        <v>72</v>
      </c>
    </row>
    <row r="8656" spans="1:6" x14ac:dyDescent="0.3">
      <c r="A8656" t="s">
        <v>1435</v>
      </c>
      <c r="B8656" t="s">
        <v>2152</v>
      </c>
      <c r="C8656">
        <v>1</v>
      </c>
      <c r="D8656">
        <v>200</v>
      </c>
      <c r="E8656">
        <f>IF(OR(B8656="vi",B8656="ii",B8656="pod"),(((D8656/100)*(C8656*VLOOKUP(B8656,'Poids des runes'!A:B,2,FALSE)))+1),(((D8656/100)*(C8656*VLOOKUP(B8656,'Poids des runes'!A:B,2,FALSE)))+1)/VLOOKUP(B8656,'Poids des runes'!A:B,2,FALSE))</f>
        <v>2.0099999999999998</v>
      </c>
      <c r="F8656">
        <f t="shared" si="135"/>
        <v>2.0099999999999998</v>
      </c>
    </row>
    <row r="8657" spans="1:6" x14ac:dyDescent="0.3">
      <c r="A8657" t="s">
        <v>1435</v>
      </c>
      <c r="B8657" t="s">
        <v>2143</v>
      </c>
      <c r="C8657">
        <v>13</v>
      </c>
      <c r="D8657">
        <v>200</v>
      </c>
      <c r="E8657">
        <f>IF(OR(B8657="vi",B8657="ii",B8657="pod"),(((D8657/100)*(C8657*VLOOKUP(B8657,'Poids des runes'!A:B,2,FALSE)))+1),(((D8657/100)*(C8657*VLOOKUP(B8657,'Poids des runes'!A:B,2,FALSE)))+1)/VLOOKUP(B8657,'Poids des runes'!A:B,2,FALSE))</f>
        <v>26.2</v>
      </c>
      <c r="F8657">
        <f t="shared" si="135"/>
        <v>26.2</v>
      </c>
    </row>
    <row r="8658" spans="1:6" x14ac:dyDescent="0.3">
      <c r="A8658" t="s">
        <v>1435</v>
      </c>
      <c r="B8658" t="s">
        <v>2161</v>
      </c>
      <c r="C8658">
        <v>13</v>
      </c>
      <c r="D8658">
        <v>200</v>
      </c>
      <c r="E8658">
        <f>IF(OR(B8658="vi",B8658="ii",B8658="pod"),(((D8658/100)*(C8658*VLOOKUP(B8658,'Poids des runes'!A:B,2,FALSE)))+1),(((D8658/100)*(C8658*VLOOKUP(B8658,'Poids des runes'!A:B,2,FALSE)))+1)/VLOOKUP(B8658,'Poids des runes'!A:B,2,FALSE))</f>
        <v>26.333333333333332</v>
      </c>
      <c r="F8658">
        <f t="shared" si="135"/>
        <v>26.333333333333332</v>
      </c>
    </row>
    <row r="8659" spans="1:6" x14ac:dyDescent="0.3">
      <c r="A8659" t="s">
        <v>1435</v>
      </c>
      <c r="B8659" t="s">
        <v>2138</v>
      </c>
      <c r="C8659">
        <v>8.5</v>
      </c>
      <c r="D8659">
        <v>200</v>
      </c>
      <c r="E8659">
        <f>IF(OR(B8659="vi",B8659="ii",B8659="pod"),(((D8659/100)*(C8659*VLOOKUP(B8659,'Poids des runes'!A:B,2,FALSE)))+1),(((D8659/100)*(C8659*VLOOKUP(B8659,'Poids des runes'!A:B,2,FALSE)))+1)/VLOOKUP(B8659,'Poids des runes'!A:B,2,FALSE))</f>
        <v>17.25</v>
      </c>
      <c r="F8659">
        <f t="shared" si="135"/>
        <v>17.25</v>
      </c>
    </row>
    <row r="8660" spans="1:6" x14ac:dyDescent="0.3">
      <c r="A8660" t="s">
        <v>1435</v>
      </c>
      <c r="B8660" t="s">
        <v>2158</v>
      </c>
      <c r="C8660">
        <v>13</v>
      </c>
      <c r="D8660">
        <v>200</v>
      </c>
      <c r="E8660">
        <f>IF(OR(B8660="vi",B8660="ii",B8660="pod"),(((D8660/100)*(C8660*VLOOKUP(B8660,'Poids des runes'!A:B,2,FALSE)))+1),(((D8660/100)*(C8660*VLOOKUP(B8660,'Poids des runes'!A:B,2,FALSE)))+1)/VLOOKUP(B8660,'Poids des runes'!A:B,2,FALSE))</f>
        <v>26.2</v>
      </c>
      <c r="F8660">
        <f t="shared" si="135"/>
        <v>26.2</v>
      </c>
    </row>
    <row r="8661" spans="1:6" x14ac:dyDescent="0.3">
      <c r="A8661" t="s">
        <v>1435</v>
      </c>
      <c r="B8661" t="s">
        <v>2157</v>
      </c>
      <c r="C8661">
        <v>7</v>
      </c>
      <c r="D8661">
        <v>200</v>
      </c>
      <c r="E8661">
        <f>IF(OR(B8661="vi",B8661="ii",B8661="pod"),(((D8661/100)*(C8661*VLOOKUP(B8661,'Poids des runes'!A:B,2,FALSE)))+1),(((D8661/100)*(C8661*VLOOKUP(B8661,'Poids des runes'!A:B,2,FALSE)))+1)/VLOOKUP(B8661,'Poids des runes'!A:B,2,FALSE))</f>
        <v>14.166666666666666</v>
      </c>
      <c r="F8661">
        <f t="shared" si="135"/>
        <v>14.166666666666666</v>
      </c>
    </row>
    <row r="8662" spans="1:6" x14ac:dyDescent="0.3">
      <c r="A8662" t="s">
        <v>1435</v>
      </c>
      <c r="B8662" t="s">
        <v>2144</v>
      </c>
      <c r="C8662">
        <v>13</v>
      </c>
      <c r="D8662">
        <v>200</v>
      </c>
      <c r="E8662">
        <f>IF(OR(B8662="vi",B8662="ii",B8662="pod"),(((D8662/100)*(C8662*VLOOKUP(B8662,'Poids des runes'!A:B,2,FALSE)))+1),(((D8662/100)*(C8662*VLOOKUP(B8662,'Poids des runes'!A:B,2,FALSE)))+1)/VLOOKUP(B8662,'Poids des runes'!A:B,2,FALSE))</f>
        <v>26.5</v>
      </c>
      <c r="F8662">
        <f t="shared" si="135"/>
        <v>26.5</v>
      </c>
    </row>
    <row r="8663" spans="1:6" x14ac:dyDescent="0.3">
      <c r="A8663" t="s">
        <v>1436</v>
      </c>
      <c r="B8663" t="s">
        <v>2128</v>
      </c>
      <c r="C8663">
        <v>275.5</v>
      </c>
      <c r="D8663">
        <v>200</v>
      </c>
      <c r="E8663">
        <f>IF(OR(B8663="vi",B8663="ii",B8663="pod"),(((D8663/100)*(C8663*VLOOKUP(B8663,'Poids des runes'!A:B,2,FALSE)))+1),(((D8663/100)*(C8663*VLOOKUP(B8663,'Poids des runes'!A:B,2,FALSE)))+1)/VLOOKUP(B8663,'Poids des runes'!A:B,2,FALSE))</f>
        <v>111.2</v>
      </c>
      <c r="F8663">
        <f t="shared" si="135"/>
        <v>111.2</v>
      </c>
    </row>
    <row r="8664" spans="1:6" x14ac:dyDescent="0.3">
      <c r="A8664" t="s">
        <v>1436</v>
      </c>
      <c r="B8664" t="s">
        <v>2130</v>
      </c>
      <c r="C8664">
        <v>40.5</v>
      </c>
      <c r="D8664">
        <v>200</v>
      </c>
      <c r="E8664">
        <f>IF(OR(B8664="vi",B8664="ii",B8664="pod"),(((D8664/100)*(C8664*VLOOKUP(B8664,'Poids des runes'!A:B,2,FALSE)))+1),(((D8664/100)*(C8664*VLOOKUP(B8664,'Poids des runes'!A:B,2,FALSE)))+1)/VLOOKUP(B8664,'Poids des runes'!A:B,2,FALSE))</f>
        <v>82</v>
      </c>
      <c r="F8664">
        <f t="shared" si="135"/>
        <v>82</v>
      </c>
    </row>
    <row r="8665" spans="1:6" x14ac:dyDescent="0.3">
      <c r="A8665" t="s">
        <v>1436</v>
      </c>
      <c r="B8665" t="s">
        <v>2126</v>
      </c>
      <c r="C8665">
        <v>40.5</v>
      </c>
      <c r="D8665">
        <v>200</v>
      </c>
      <c r="E8665">
        <f>IF(OR(B8665="vi",B8665="ii",B8665="pod"),(((D8665/100)*(C8665*VLOOKUP(B8665,'Poids des runes'!A:B,2,FALSE)))+1),(((D8665/100)*(C8665*VLOOKUP(B8665,'Poids des runes'!A:B,2,FALSE)))+1)/VLOOKUP(B8665,'Poids des runes'!A:B,2,FALSE))</f>
        <v>82</v>
      </c>
      <c r="F8665">
        <f t="shared" si="135"/>
        <v>82</v>
      </c>
    </row>
    <row r="8666" spans="1:6" x14ac:dyDescent="0.3">
      <c r="A8666" t="s">
        <v>1436</v>
      </c>
      <c r="B8666" t="s">
        <v>2129</v>
      </c>
      <c r="C8666">
        <v>25.5</v>
      </c>
      <c r="D8666">
        <v>200</v>
      </c>
      <c r="E8666">
        <f>IF(OR(B8666="vi",B8666="ii",B8666="pod"),(((D8666/100)*(C8666*VLOOKUP(B8666,'Poids des runes'!A:B,2,FALSE)))+1),(((D8666/100)*(C8666*VLOOKUP(B8666,'Poids des runes'!A:B,2,FALSE)))+1)/VLOOKUP(B8666,'Poids des runes'!A:B,2,FALSE))</f>
        <v>52</v>
      </c>
      <c r="F8666">
        <f t="shared" si="135"/>
        <v>52</v>
      </c>
    </row>
    <row r="8667" spans="1:6" x14ac:dyDescent="0.3">
      <c r="A8667" t="s">
        <v>1436</v>
      </c>
      <c r="B8667" t="s">
        <v>2154</v>
      </c>
      <c r="C8667">
        <v>2</v>
      </c>
      <c r="D8667">
        <v>200</v>
      </c>
      <c r="E8667">
        <f>IF(OR(B8667="vi",B8667="ii",B8667="pod"),(((D8667/100)*(C8667*VLOOKUP(B8667,'Poids des runes'!A:B,2,FALSE)))+1),(((D8667/100)*(C8667*VLOOKUP(B8667,'Poids des runes'!A:B,2,FALSE)))+1)/VLOOKUP(B8667,'Poids des runes'!A:B,2,FALSE))</f>
        <v>4.0111111111111111</v>
      </c>
      <c r="F8667">
        <f t="shared" si="135"/>
        <v>4.0111111111111111</v>
      </c>
    </row>
    <row r="8668" spans="1:6" x14ac:dyDescent="0.3">
      <c r="A8668" t="s">
        <v>1436</v>
      </c>
      <c r="B8668" t="s">
        <v>2150</v>
      </c>
      <c r="C8668">
        <v>2</v>
      </c>
      <c r="D8668">
        <v>200</v>
      </c>
      <c r="E8668">
        <f>IF(OR(B8668="vi",B8668="ii",B8668="pod"),(((D8668/100)*(C8668*VLOOKUP(B8668,'Poids des runes'!A:B,2,FALSE)))+1),(((D8668/100)*(C8668*VLOOKUP(B8668,'Poids des runes'!A:B,2,FALSE)))+1)/VLOOKUP(B8668,'Poids des runes'!A:B,2,FALSE))</f>
        <v>4.0333333333333332</v>
      </c>
      <c r="F8668">
        <f t="shared" si="135"/>
        <v>4.0333333333333332</v>
      </c>
    </row>
    <row r="8669" spans="1:6" x14ac:dyDescent="0.3">
      <c r="A8669" t="s">
        <v>1436</v>
      </c>
      <c r="B8669" t="s">
        <v>2143</v>
      </c>
      <c r="C8669">
        <v>12</v>
      </c>
      <c r="D8669">
        <v>200</v>
      </c>
      <c r="E8669">
        <f>IF(OR(B8669="vi",B8669="ii",B8669="pod"),(((D8669/100)*(C8669*VLOOKUP(B8669,'Poids des runes'!A:B,2,FALSE)))+1),(((D8669/100)*(C8669*VLOOKUP(B8669,'Poids des runes'!A:B,2,FALSE)))+1)/VLOOKUP(B8669,'Poids des runes'!A:B,2,FALSE))</f>
        <v>24.2</v>
      </c>
      <c r="F8669">
        <f t="shared" si="135"/>
        <v>24.2</v>
      </c>
    </row>
    <row r="8670" spans="1:6" x14ac:dyDescent="0.3">
      <c r="A8670" t="s">
        <v>1436</v>
      </c>
      <c r="B8670" t="s">
        <v>2140</v>
      </c>
      <c r="C8670">
        <v>12</v>
      </c>
      <c r="D8670">
        <v>200</v>
      </c>
      <c r="E8670">
        <f>IF(OR(B8670="vi",B8670="ii",B8670="pod"),(((D8670/100)*(C8670*VLOOKUP(B8670,'Poids des runes'!A:B,2,FALSE)))+1),(((D8670/100)*(C8670*VLOOKUP(B8670,'Poids des runes'!A:B,2,FALSE)))+1)/VLOOKUP(B8670,'Poids des runes'!A:B,2,FALSE))</f>
        <v>24.2</v>
      </c>
      <c r="F8670">
        <f t="shared" si="135"/>
        <v>24.2</v>
      </c>
    </row>
    <row r="8671" spans="1:6" x14ac:dyDescent="0.3">
      <c r="A8671" t="s">
        <v>1436</v>
      </c>
      <c r="B8671" t="s">
        <v>2149</v>
      </c>
      <c r="C8671">
        <v>13</v>
      </c>
      <c r="D8671">
        <v>200</v>
      </c>
      <c r="E8671">
        <f>IF(OR(B8671="vi",B8671="ii",B8671="pod"),(((D8671/100)*(C8671*VLOOKUP(B8671,'Poids des runes'!A:B,2,FALSE)))+1),(((D8671/100)*(C8671*VLOOKUP(B8671,'Poids des runes'!A:B,2,FALSE)))+1)/VLOOKUP(B8671,'Poids des runes'!A:B,2,FALSE))</f>
        <v>26.1</v>
      </c>
      <c r="F8671">
        <f t="shared" si="135"/>
        <v>26.1</v>
      </c>
    </row>
    <row r="8672" spans="1:6" x14ac:dyDescent="0.3">
      <c r="A8672" t="s">
        <v>1436</v>
      </c>
      <c r="B8672" t="s">
        <v>2161</v>
      </c>
      <c r="C8672">
        <v>13</v>
      </c>
      <c r="D8672">
        <v>200</v>
      </c>
      <c r="E8672">
        <f>IF(OR(B8672="vi",B8672="ii",B8672="pod"),(((D8672/100)*(C8672*VLOOKUP(B8672,'Poids des runes'!A:B,2,FALSE)))+1),(((D8672/100)*(C8672*VLOOKUP(B8672,'Poids des runes'!A:B,2,FALSE)))+1)/VLOOKUP(B8672,'Poids des runes'!A:B,2,FALSE))</f>
        <v>26.333333333333332</v>
      </c>
      <c r="F8672">
        <f t="shared" si="135"/>
        <v>26.333333333333332</v>
      </c>
    </row>
    <row r="8673" spans="1:6" x14ac:dyDescent="0.3">
      <c r="A8673" t="s">
        <v>1436</v>
      </c>
      <c r="B8673" t="s">
        <v>2159</v>
      </c>
      <c r="C8673">
        <v>6</v>
      </c>
      <c r="D8673">
        <v>200</v>
      </c>
      <c r="E8673">
        <f>IF(OR(B8673="vi",B8673="ii",B8673="pod"),(((D8673/100)*(C8673*VLOOKUP(B8673,'Poids des runes'!A:B,2,FALSE)))+1),(((D8673/100)*(C8673*VLOOKUP(B8673,'Poids des runes'!A:B,2,FALSE)))+1)/VLOOKUP(B8673,'Poids des runes'!A:B,2,FALSE))</f>
        <v>12.142857142857142</v>
      </c>
      <c r="F8673">
        <f t="shared" si="135"/>
        <v>12.142857142857142</v>
      </c>
    </row>
    <row r="8674" spans="1:6" x14ac:dyDescent="0.3">
      <c r="A8674" t="s">
        <v>1437</v>
      </c>
      <c r="B8674" t="s">
        <v>2128</v>
      </c>
      <c r="C8674">
        <v>375.5</v>
      </c>
      <c r="D8674">
        <v>200</v>
      </c>
      <c r="E8674">
        <f>IF(OR(B8674="vi",B8674="ii",B8674="pod"),(((D8674/100)*(C8674*VLOOKUP(B8674,'Poids des runes'!A:B,2,FALSE)))+1),(((D8674/100)*(C8674*VLOOKUP(B8674,'Poids des runes'!A:B,2,FALSE)))+1)/VLOOKUP(B8674,'Poids des runes'!A:B,2,FALSE))</f>
        <v>151.20000000000002</v>
      </c>
      <c r="F8674">
        <f t="shared" si="135"/>
        <v>151.20000000000002</v>
      </c>
    </row>
    <row r="8675" spans="1:6" x14ac:dyDescent="0.3">
      <c r="A8675" t="s">
        <v>1437</v>
      </c>
      <c r="B8675" t="s">
        <v>2130</v>
      </c>
      <c r="C8675">
        <v>60.5</v>
      </c>
      <c r="D8675">
        <v>200</v>
      </c>
      <c r="E8675">
        <f>IF(OR(B8675="vi",B8675="ii",B8675="pod"),(((D8675/100)*(C8675*VLOOKUP(B8675,'Poids des runes'!A:B,2,FALSE)))+1),(((D8675/100)*(C8675*VLOOKUP(B8675,'Poids des runes'!A:B,2,FALSE)))+1)/VLOOKUP(B8675,'Poids des runes'!A:B,2,FALSE))</f>
        <v>122</v>
      </c>
      <c r="F8675">
        <f t="shared" si="135"/>
        <v>122</v>
      </c>
    </row>
    <row r="8676" spans="1:6" x14ac:dyDescent="0.3">
      <c r="A8676" t="s">
        <v>1437</v>
      </c>
      <c r="B8676" t="s">
        <v>2131</v>
      </c>
      <c r="C8676">
        <v>60.5</v>
      </c>
      <c r="D8676">
        <v>200</v>
      </c>
      <c r="E8676">
        <f>IF(OR(B8676="vi",B8676="ii",B8676="pod"),(((D8676/100)*(C8676*VLOOKUP(B8676,'Poids des runes'!A:B,2,FALSE)))+1),(((D8676/100)*(C8676*VLOOKUP(B8676,'Poids des runes'!A:B,2,FALSE)))+1)/VLOOKUP(B8676,'Poids des runes'!A:B,2,FALSE))</f>
        <v>122</v>
      </c>
      <c r="F8676">
        <f t="shared" si="135"/>
        <v>122</v>
      </c>
    </row>
    <row r="8677" spans="1:6" x14ac:dyDescent="0.3">
      <c r="A8677" t="s">
        <v>1437</v>
      </c>
      <c r="B8677" t="s">
        <v>2155</v>
      </c>
      <c r="C8677">
        <v>1</v>
      </c>
      <c r="D8677">
        <v>200</v>
      </c>
      <c r="E8677">
        <f>IF(OR(B8677="vi",B8677="ii",B8677="pod"),(((D8677/100)*(C8677*VLOOKUP(B8677,'Poids des runes'!A:B,2,FALSE)))+1),(((D8677/100)*(C8677*VLOOKUP(B8677,'Poids des runes'!A:B,2,FALSE)))+1)/VLOOKUP(B8677,'Poids des runes'!A:B,2,FALSE))</f>
        <v>2.0196078431372548</v>
      </c>
      <c r="F8677">
        <f t="shared" si="135"/>
        <v>2.0196078431372548</v>
      </c>
    </row>
    <row r="8678" spans="1:6" x14ac:dyDescent="0.3">
      <c r="A8678" t="s">
        <v>1437</v>
      </c>
      <c r="B8678" t="s">
        <v>2143</v>
      </c>
      <c r="C8678">
        <v>13</v>
      </c>
      <c r="D8678">
        <v>200</v>
      </c>
      <c r="E8678">
        <f>IF(OR(B8678="vi",B8678="ii",B8678="pod"),(((D8678/100)*(C8678*VLOOKUP(B8678,'Poids des runes'!A:B,2,FALSE)))+1),(((D8678/100)*(C8678*VLOOKUP(B8678,'Poids des runes'!A:B,2,FALSE)))+1)/VLOOKUP(B8678,'Poids des runes'!A:B,2,FALSE))</f>
        <v>26.2</v>
      </c>
      <c r="F8678">
        <f t="shared" si="135"/>
        <v>26.2</v>
      </c>
    </row>
    <row r="8679" spans="1:6" x14ac:dyDescent="0.3">
      <c r="A8679" t="s">
        <v>1437</v>
      </c>
      <c r="B8679" t="s">
        <v>2133</v>
      </c>
      <c r="C8679">
        <v>13</v>
      </c>
      <c r="D8679">
        <v>200</v>
      </c>
      <c r="E8679">
        <f>IF(OR(B8679="vi",B8679="ii",B8679="pod"),(((D8679/100)*(C8679*VLOOKUP(B8679,'Poids des runes'!A:B,2,FALSE)))+1),(((D8679/100)*(C8679*VLOOKUP(B8679,'Poids des runes'!A:B,2,FALSE)))+1)/VLOOKUP(B8679,'Poids des runes'!A:B,2,FALSE))</f>
        <v>26.2</v>
      </c>
      <c r="F8679">
        <f t="shared" si="135"/>
        <v>26.2</v>
      </c>
    </row>
    <row r="8680" spans="1:6" x14ac:dyDescent="0.3">
      <c r="A8680" t="s">
        <v>1437</v>
      </c>
      <c r="B8680" t="s">
        <v>2161</v>
      </c>
      <c r="C8680">
        <v>17.5</v>
      </c>
      <c r="D8680">
        <v>200</v>
      </c>
      <c r="E8680">
        <f>IF(OR(B8680="vi",B8680="ii",B8680="pod"),(((D8680/100)*(C8680*VLOOKUP(B8680,'Poids des runes'!A:B,2,FALSE)))+1),(((D8680/100)*(C8680*VLOOKUP(B8680,'Poids des runes'!A:B,2,FALSE)))+1)/VLOOKUP(B8680,'Poids des runes'!A:B,2,FALSE))</f>
        <v>35.333333333333336</v>
      </c>
      <c r="F8680">
        <f t="shared" si="135"/>
        <v>35.333333333333336</v>
      </c>
    </row>
    <row r="8681" spans="1:6" x14ac:dyDescent="0.3">
      <c r="A8681" t="s">
        <v>1437</v>
      </c>
      <c r="B8681" t="s">
        <v>2132</v>
      </c>
      <c r="C8681">
        <v>250.5</v>
      </c>
      <c r="D8681">
        <v>200</v>
      </c>
      <c r="E8681">
        <f>IF(OR(B8681="vi",B8681="ii",B8681="pod"),(((D8681/100)*(C8681*VLOOKUP(B8681,'Poids des runes'!A:B,2,FALSE)))+1),(((D8681/100)*(C8681*VLOOKUP(B8681,'Poids des runes'!A:B,2,FALSE)))+1)/VLOOKUP(B8681,'Poids des runes'!A:B,2,FALSE))</f>
        <v>51.1</v>
      </c>
      <c r="F8681">
        <f t="shared" si="135"/>
        <v>51.1</v>
      </c>
    </row>
    <row r="8682" spans="1:6" x14ac:dyDescent="0.3">
      <c r="A8682" t="s">
        <v>1437</v>
      </c>
      <c r="B8682" t="s">
        <v>2162</v>
      </c>
      <c r="C8682">
        <v>6.5</v>
      </c>
      <c r="D8682">
        <v>200</v>
      </c>
      <c r="E8682">
        <f>IF(OR(B8682="vi",B8682="ii",B8682="pod"),(((D8682/100)*(C8682*VLOOKUP(B8682,'Poids des runes'!A:B,2,FALSE)))+1),(((D8682/100)*(C8682*VLOOKUP(B8682,'Poids des runes'!A:B,2,FALSE)))+1)/VLOOKUP(B8682,'Poids des runes'!A:B,2,FALSE))</f>
        <v>13.142857142857142</v>
      </c>
      <c r="F8682">
        <f t="shared" si="135"/>
        <v>13.142857142857142</v>
      </c>
    </row>
    <row r="8683" spans="1:6" x14ac:dyDescent="0.3">
      <c r="A8683" t="s">
        <v>1437</v>
      </c>
      <c r="B8683" t="s">
        <v>2156</v>
      </c>
      <c r="C8683">
        <v>6.5</v>
      </c>
      <c r="D8683">
        <v>200</v>
      </c>
      <c r="E8683">
        <f>IF(OR(B8683="vi",B8683="ii",B8683="pod"),(((D8683/100)*(C8683*VLOOKUP(B8683,'Poids des runes'!A:B,2,FALSE)))+1),(((D8683/100)*(C8683*VLOOKUP(B8683,'Poids des runes'!A:B,2,FALSE)))+1)/VLOOKUP(B8683,'Poids des runes'!A:B,2,FALSE))</f>
        <v>13.166666666666666</v>
      </c>
      <c r="F8683">
        <f t="shared" si="135"/>
        <v>13.166666666666666</v>
      </c>
    </row>
    <row r="8684" spans="1:6" x14ac:dyDescent="0.3">
      <c r="A8684" t="s">
        <v>1437</v>
      </c>
      <c r="B8684" t="s">
        <v>2147</v>
      </c>
      <c r="C8684">
        <v>6.5</v>
      </c>
      <c r="D8684">
        <v>200</v>
      </c>
      <c r="E8684">
        <f>IF(OR(B8684="vi",B8684="ii",B8684="pod"),(((D8684/100)*(C8684*VLOOKUP(B8684,'Poids des runes'!A:B,2,FALSE)))+1),(((D8684/100)*(C8684*VLOOKUP(B8684,'Poids des runes'!A:B,2,FALSE)))+1)/VLOOKUP(B8684,'Poids des runes'!A:B,2,FALSE))</f>
        <v>13.166666666666666</v>
      </c>
      <c r="F8684">
        <f t="shared" si="135"/>
        <v>13.166666666666666</v>
      </c>
    </row>
    <row r="8685" spans="1:6" x14ac:dyDescent="0.3">
      <c r="A8685" t="s">
        <v>1437</v>
      </c>
      <c r="B8685" t="s">
        <v>2136</v>
      </c>
      <c r="C8685">
        <v>13</v>
      </c>
      <c r="D8685">
        <v>200</v>
      </c>
      <c r="E8685">
        <f>IF(OR(B8685="vi",B8685="ii",B8685="pod"),(((D8685/100)*(C8685*VLOOKUP(B8685,'Poids des runes'!A:B,2,FALSE)))+1),(((D8685/100)*(C8685*VLOOKUP(B8685,'Poids des runes'!A:B,2,FALSE)))+1)/VLOOKUP(B8685,'Poids des runes'!A:B,2,FALSE))</f>
        <v>26.5</v>
      </c>
      <c r="F8685">
        <f t="shared" si="135"/>
        <v>26.5</v>
      </c>
    </row>
    <row r="8686" spans="1:6" x14ac:dyDescent="0.3">
      <c r="A8686" t="s">
        <v>1437</v>
      </c>
      <c r="B8686" t="s">
        <v>2144</v>
      </c>
      <c r="C8686">
        <v>13</v>
      </c>
      <c r="D8686">
        <v>200</v>
      </c>
      <c r="E8686">
        <f>IF(OR(B8686="vi",B8686="ii",B8686="pod"),(((D8686/100)*(C8686*VLOOKUP(B8686,'Poids des runes'!A:B,2,FALSE)))+1),(((D8686/100)*(C8686*VLOOKUP(B8686,'Poids des runes'!A:B,2,FALSE)))+1)/VLOOKUP(B8686,'Poids des runes'!A:B,2,FALSE))</f>
        <v>26.5</v>
      </c>
      <c r="F8686">
        <f t="shared" si="135"/>
        <v>26.5</v>
      </c>
    </row>
    <row r="8687" spans="1:6" x14ac:dyDescent="0.3">
      <c r="A8687" t="s">
        <v>1438</v>
      </c>
      <c r="B8687" t="s">
        <v>2128</v>
      </c>
      <c r="C8687">
        <v>375.5</v>
      </c>
      <c r="D8687">
        <v>200</v>
      </c>
      <c r="E8687">
        <f>IF(OR(B8687="vi",B8687="ii",B8687="pod"),(((D8687/100)*(C8687*VLOOKUP(B8687,'Poids des runes'!A:B,2,FALSE)))+1),(((D8687/100)*(C8687*VLOOKUP(B8687,'Poids des runes'!A:B,2,FALSE)))+1)/VLOOKUP(B8687,'Poids des runes'!A:B,2,FALSE))</f>
        <v>151.20000000000002</v>
      </c>
      <c r="F8687">
        <f t="shared" si="135"/>
        <v>151.20000000000002</v>
      </c>
    </row>
    <row r="8688" spans="1:6" x14ac:dyDescent="0.3">
      <c r="A8688" t="s">
        <v>1438</v>
      </c>
      <c r="B8688" t="s">
        <v>2131</v>
      </c>
      <c r="C8688">
        <v>45.5</v>
      </c>
      <c r="D8688">
        <v>200</v>
      </c>
      <c r="E8688">
        <f>IF(OR(B8688="vi",B8688="ii",B8688="pod"),(((D8688/100)*(C8688*VLOOKUP(B8688,'Poids des runes'!A:B,2,FALSE)))+1),(((D8688/100)*(C8688*VLOOKUP(B8688,'Poids des runes'!A:B,2,FALSE)))+1)/VLOOKUP(B8688,'Poids des runes'!A:B,2,FALSE))</f>
        <v>92</v>
      </c>
      <c r="F8688">
        <f t="shared" si="135"/>
        <v>92</v>
      </c>
    </row>
    <row r="8689" spans="1:6" x14ac:dyDescent="0.3">
      <c r="A8689" t="s">
        <v>1438</v>
      </c>
      <c r="B8689" t="s">
        <v>2129</v>
      </c>
      <c r="C8689">
        <v>35.5</v>
      </c>
      <c r="D8689">
        <v>200</v>
      </c>
      <c r="E8689">
        <f>IF(OR(B8689="vi",B8689="ii",B8689="pod"),(((D8689/100)*(C8689*VLOOKUP(B8689,'Poids des runes'!A:B,2,FALSE)))+1),(((D8689/100)*(C8689*VLOOKUP(B8689,'Poids des runes'!A:B,2,FALSE)))+1)/VLOOKUP(B8689,'Poids des runes'!A:B,2,FALSE))</f>
        <v>72</v>
      </c>
      <c r="F8689">
        <f t="shared" si="135"/>
        <v>72</v>
      </c>
    </row>
    <row r="8690" spans="1:6" x14ac:dyDescent="0.3">
      <c r="A8690" t="s">
        <v>1438</v>
      </c>
      <c r="B8690" t="s">
        <v>2139</v>
      </c>
      <c r="C8690">
        <v>13</v>
      </c>
      <c r="D8690">
        <v>200</v>
      </c>
      <c r="E8690">
        <f>IF(OR(B8690="vi",B8690="ii",B8690="pod"),(((D8690/100)*(C8690*VLOOKUP(B8690,'Poids des runes'!A:B,2,FALSE)))+1),(((D8690/100)*(C8690*VLOOKUP(B8690,'Poids des runes'!A:B,2,FALSE)))+1)/VLOOKUP(B8690,'Poids des runes'!A:B,2,FALSE))</f>
        <v>26.5</v>
      </c>
      <c r="F8690">
        <f t="shared" si="135"/>
        <v>26.5</v>
      </c>
    </row>
    <row r="8691" spans="1:6" x14ac:dyDescent="0.3">
      <c r="A8691" t="s">
        <v>1438</v>
      </c>
      <c r="B8691" t="s">
        <v>2151</v>
      </c>
      <c r="C8691">
        <v>3.5</v>
      </c>
      <c r="D8691">
        <v>200</v>
      </c>
      <c r="E8691">
        <f>IF(OR(B8691="vi",B8691="ii",B8691="pod"),(((D8691/100)*(C8691*VLOOKUP(B8691,'Poids des runes'!A:B,2,FALSE)))+1),(((D8691/100)*(C8691*VLOOKUP(B8691,'Poids des runes'!A:B,2,FALSE)))+1)/VLOOKUP(B8691,'Poids des runes'!A:B,2,FALSE))</f>
        <v>7.1</v>
      </c>
      <c r="F8691">
        <f t="shared" si="135"/>
        <v>7.1</v>
      </c>
    </row>
    <row r="8692" spans="1:6" x14ac:dyDescent="0.3">
      <c r="A8692" t="s">
        <v>1438</v>
      </c>
      <c r="B8692" t="s">
        <v>2152</v>
      </c>
      <c r="C8692">
        <v>1</v>
      </c>
      <c r="D8692">
        <v>200</v>
      </c>
      <c r="E8692">
        <f>IF(OR(B8692="vi",B8692="ii",B8692="pod"),(((D8692/100)*(C8692*VLOOKUP(B8692,'Poids des runes'!A:B,2,FALSE)))+1),(((D8692/100)*(C8692*VLOOKUP(B8692,'Poids des runes'!A:B,2,FALSE)))+1)/VLOOKUP(B8692,'Poids des runes'!A:B,2,FALSE))</f>
        <v>2.0099999999999998</v>
      </c>
      <c r="F8692">
        <f t="shared" si="135"/>
        <v>2.0099999999999998</v>
      </c>
    </row>
    <row r="8693" spans="1:6" x14ac:dyDescent="0.3">
      <c r="A8693" t="s">
        <v>1438</v>
      </c>
      <c r="B8693" t="s">
        <v>2133</v>
      </c>
      <c r="C8693">
        <v>13</v>
      </c>
      <c r="D8693">
        <v>200</v>
      </c>
      <c r="E8693">
        <f>IF(OR(B8693="vi",B8693="ii",B8693="pod"),(((D8693/100)*(C8693*VLOOKUP(B8693,'Poids des runes'!A:B,2,FALSE)))+1),(((D8693/100)*(C8693*VLOOKUP(B8693,'Poids des runes'!A:B,2,FALSE)))+1)/VLOOKUP(B8693,'Poids des runes'!A:B,2,FALSE))</f>
        <v>26.2</v>
      </c>
      <c r="F8693">
        <f t="shared" si="135"/>
        <v>26.2</v>
      </c>
    </row>
    <row r="8694" spans="1:6" x14ac:dyDescent="0.3">
      <c r="A8694" t="s">
        <v>1438</v>
      </c>
      <c r="B8694" t="s">
        <v>2161</v>
      </c>
      <c r="C8694">
        <v>13</v>
      </c>
      <c r="D8694">
        <v>200</v>
      </c>
      <c r="E8694">
        <f>IF(OR(B8694="vi",B8694="ii",B8694="pod"),(((D8694/100)*(C8694*VLOOKUP(B8694,'Poids des runes'!A:B,2,FALSE)))+1),(((D8694/100)*(C8694*VLOOKUP(B8694,'Poids des runes'!A:B,2,FALSE)))+1)/VLOOKUP(B8694,'Poids des runes'!A:B,2,FALSE))</f>
        <v>26.333333333333332</v>
      </c>
      <c r="F8694">
        <f t="shared" si="135"/>
        <v>26.333333333333332</v>
      </c>
    </row>
    <row r="8695" spans="1:6" x14ac:dyDescent="0.3">
      <c r="A8695" t="s">
        <v>1438</v>
      </c>
      <c r="B8695" t="s">
        <v>2162</v>
      </c>
      <c r="C8695">
        <v>8.5</v>
      </c>
      <c r="D8695">
        <v>200</v>
      </c>
      <c r="E8695">
        <f>IF(OR(B8695="vi",B8695="ii",B8695="pod"),(((D8695/100)*(C8695*VLOOKUP(B8695,'Poids des runes'!A:B,2,FALSE)))+1),(((D8695/100)*(C8695*VLOOKUP(B8695,'Poids des runes'!A:B,2,FALSE)))+1)/VLOOKUP(B8695,'Poids des runes'!A:B,2,FALSE))</f>
        <v>17.142857142857142</v>
      </c>
      <c r="F8695">
        <f t="shared" si="135"/>
        <v>17.142857142857142</v>
      </c>
    </row>
    <row r="8696" spans="1:6" x14ac:dyDescent="0.3">
      <c r="A8696" t="s">
        <v>1438</v>
      </c>
      <c r="B8696" t="s">
        <v>2156</v>
      </c>
      <c r="C8696">
        <v>6</v>
      </c>
      <c r="D8696">
        <v>200</v>
      </c>
      <c r="E8696">
        <f>IF(OR(B8696="vi",B8696="ii",B8696="pod"),(((D8696/100)*(C8696*VLOOKUP(B8696,'Poids des runes'!A:B,2,FALSE)))+1),(((D8696/100)*(C8696*VLOOKUP(B8696,'Poids des runes'!A:B,2,FALSE)))+1)/VLOOKUP(B8696,'Poids des runes'!A:B,2,FALSE))</f>
        <v>12.166666666666666</v>
      </c>
      <c r="F8696">
        <f t="shared" si="135"/>
        <v>12.166666666666666</v>
      </c>
    </row>
    <row r="8697" spans="1:6" x14ac:dyDescent="0.3">
      <c r="A8697" t="s">
        <v>1438</v>
      </c>
      <c r="B8697" t="s">
        <v>2147</v>
      </c>
      <c r="C8697">
        <v>6</v>
      </c>
      <c r="D8697">
        <v>200</v>
      </c>
      <c r="E8697">
        <f>IF(OR(B8697="vi",B8697="ii",B8697="pod"),(((D8697/100)*(C8697*VLOOKUP(B8697,'Poids des runes'!A:B,2,FALSE)))+1),(((D8697/100)*(C8697*VLOOKUP(B8697,'Poids des runes'!A:B,2,FALSE)))+1)/VLOOKUP(B8697,'Poids des runes'!A:B,2,FALSE))</f>
        <v>12.166666666666666</v>
      </c>
      <c r="F8697">
        <f t="shared" si="135"/>
        <v>12.166666666666666</v>
      </c>
    </row>
    <row r="8698" spans="1:6" x14ac:dyDescent="0.3">
      <c r="A8698" t="s">
        <v>1439</v>
      </c>
      <c r="B8698" t="s">
        <v>2128</v>
      </c>
      <c r="C8698">
        <v>225.5</v>
      </c>
      <c r="D8698">
        <v>200</v>
      </c>
      <c r="E8698">
        <f>IF(OR(B8698="vi",B8698="ii",B8698="pod"),(((D8698/100)*(C8698*VLOOKUP(B8698,'Poids des runes'!A:B,2,FALSE)))+1),(((D8698/100)*(C8698*VLOOKUP(B8698,'Poids des runes'!A:B,2,FALSE)))+1)/VLOOKUP(B8698,'Poids des runes'!A:B,2,FALSE))</f>
        <v>91.2</v>
      </c>
      <c r="F8698">
        <f t="shared" si="135"/>
        <v>91.2</v>
      </c>
    </row>
    <row r="8699" spans="1:6" x14ac:dyDescent="0.3">
      <c r="A8699" t="s">
        <v>1439</v>
      </c>
      <c r="B8699" t="s">
        <v>2130</v>
      </c>
      <c r="C8699">
        <v>35.5</v>
      </c>
      <c r="D8699">
        <v>200</v>
      </c>
      <c r="E8699">
        <f>IF(OR(B8699="vi",B8699="ii",B8699="pod"),(((D8699/100)*(C8699*VLOOKUP(B8699,'Poids des runes'!A:B,2,FALSE)))+1),(((D8699/100)*(C8699*VLOOKUP(B8699,'Poids des runes'!A:B,2,FALSE)))+1)/VLOOKUP(B8699,'Poids des runes'!A:B,2,FALSE))</f>
        <v>72</v>
      </c>
      <c r="F8699">
        <f t="shared" si="135"/>
        <v>72</v>
      </c>
    </row>
    <row r="8700" spans="1:6" x14ac:dyDescent="0.3">
      <c r="A8700" t="s">
        <v>1439</v>
      </c>
      <c r="B8700" t="s">
        <v>2126</v>
      </c>
      <c r="C8700">
        <v>35.5</v>
      </c>
      <c r="D8700">
        <v>200</v>
      </c>
      <c r="E8700">
        <f>IF(OR(B8700="vi",B8700="ii",B8700="pod"),(((D8700/100)*(C8700*VLOOKUP(B8700,'Poids des runes'!A:B,2,FALSE)))+1),(((D8700/100)*(C8700*VLOOKUP(B8700,'Poids des runes'!A:B,2,FALSE)))+1)/VLOOKUP(B8700,'Poids des runes'!A:B,2,FALSE))</f>
        <v>72</v>
      </c>
      <c r="F8700">
        <f t="shared" si="135"/>
        <v>72</v>
      </c>
    </row>
    <row r="8701" spans="1:6" x14ac:dyDescent="0.3">
      <c r="A8701" t="s">
        <v>1439</v>
      </c>
      <c r="B8701" t="s">
        <v>2131</v>
      </c>
      <c r="C8701">
        <v>35.5</v>
      </c>
      <c r="D8701">
        <v>200</v>
      </c>
      <c r="E8701">
        <f>IF(OR(B8701="vi",B8701="ii",B8701="pod"),(((D8701/100)*(C8701*VLOOKUP(B8701,'Poids des runes'!A:B,2,FALSE)))+1),(((D8701/100)*(C8701*VLOOKUP(B8701,'Poids des runes'!A:B,2,FALSE)))+1)/VLOOKUP(B8701,'Poids des runes'!A:B,2,FALSE))</f>
        <v>72</v>
      </c>
      <c r="F8701">
        <f t="shared" si="135"/>
        <v>72</v>
      </c>
    </row>
    <row r="8702" spans="1:6" x14ac:dyDescent="0.3">
      <c r="A8702" t="s">
        <v>1439</v>
      </c>
      <c r="B8702" t="s">
        <v>2127</v>
      </c>
      <c r="C8702">
        <v>35.5</v>
      </c>
      <c r="D8702">
        <v>200</v>
      </c>
      <c r="E8702">
        <f>IF(OR(B8702="vi",B8702="ii",B8702="pod"),(((D8702/100)*(C8702*VLOOKUP(B8702,'Poids des runes'!A:B,2,FALSE)))+1),(((D8702/100)*(C8702*VLOOKUP(B8702,'Poids des runes'!A:B,2,FALSE)))+1)/VLOOKUP(B8702,'Poids des runes'!A:B,2,FALSE))</f>
        <v>72</v>
      </c>
      <c r="F8702">
        <f t="shared" si="135"/>
        <v>72</v>
      </c>
    </row>
    <row r="8703" spans="1:6" x14ac:dyDescent="0.3">
      <c r="A8703" t="s">
        <v>1439</v>
      </c>
      <c r="B8703" t="s">
        <v>2129</v>
      </c>
      <c r="C8703">
        <v>35.5</v>
      </c>
      <c r="D8703">
        <v>200</v>
      </c>
      <c r="E8703">
        <f>IF(OR(B8703="vi",B8703="ii",B8703="pod"),(((D8703/100)*(C8703*VLOOKUP(B8703,'Poids des runes'!A:B,2,FALSE)))+1),(((D8703/100)*(C8703*VLOOKUP(B8703,'Poids des runes'!A:B,2,FALSE)))+1)/VLOOKUP(B8703,'Poids des runes'!A:B,2,FALSE))</f>
        <v>72</v>
      </c>
      <c r="F8703">
        <f t="shared" si="135"/>
        <v>72</v>
      </c>
    </row>
    <row r="8704" spans="1:6" x14ac:dyDescent="0.3">
      <c r="A8704" t="s">
        <v>1439</v>
      </c>
      <c r="B8704" t="s">
        <v>2151</v>
      </c>
      <c r="C8704">
        <v>2</v>
      </c>
      <c r="D8704">
        <v>200</v>
      </c>
      <c r="E8704">
        <f>IF(OR(B8704="vi",B8704="ii",B8704="pod"),(((D8704/100)*(C8704*VLOOKUP(B8704,'Poids des runes'!A:B,2,FALSE)))+1),(((D8704/100)*(C8704*VLOOKUP(B8704,'Poids des runes'!A:B,2,FALSE)))+1)/VLOOKUP(B8704,'Poids des runes'!A:B,2,FALSE))</f>
        <v>4.0999999999999996</v>
      </c>
      <c r="F8704">
        <f t="shared" si="135"/>
        <v>4.0999999999999996</v>
      </c>
    </row>
    <row r="8705" spans="1:6" x14ac:dyDescent="0.3">
      <c r="A8705" t="s">
        <v>1439</v>
      </c>
      <c r="B8705" t="s">
        <v>2152</v>
      </c>
      <c r="C8705">
        <v>1</v>
      </c>
      <c r="D8705">
        <v>200</v>
      </c>
      <c r="E8705">
        <f>IF(OR(B8705="vi",B8705="ii",B8705="pod"),(((D8705/100)*(C8705*VLOOKUP(B8705,'Poids des runes'!A:B,2,FALSE)))+1),(((D8705/100)*(C8705*VLOOKUP(B8705,'Poids des runes'!A:B,2,FALSE)))+1)/VLOOKUP(B8705,'Poids des runes'!A:B,2,FALSE))</f>
        <v>2.0099999999999998</v>
      </c>
      <c r="F8705">
        <f t="shared" si="135"/>
        <v>2.0099999999999998</v>
      </c>
    </row>
    <row r="8706" spans="1:6" x14ac:dyDescent="0.3">
      <c r="A8706" t="s">
        <v>1439</v>
      </c>
      <c r="B8706" t="s">
        <v>2143</v>
      </c>
      <c r="C8706">
        <v>8.5</v>
      </c>
      <c r="D8706">
        <v>200</v>
      </c>
      <c r="E8706">
        <f>IF(OR(B8706="vi",B8706="ii",B8706="pod"),(((D8706/100)*(C8706*VLOOKUP(B8706,'Poids des runes'!A:B,2,FALSE)))+1),(((D8706/100)*(C8706*VLOOKUP(B8706,'Poids des runes'!A:B,2,FALSE)))+1)/VLOOKUP(B8706,'Poids des runes'!A:B,2,FALSE))</f>
        <v>17.2</v>
      </c>
      <c r="F8706">
        <f t="shared" si="135"/>
        <v>17.2</v>
      </c>
    </row>
    <row r="8707" spans="1:6" x14ac:dyDescent="0.3">
      <c r="A8707" t="s">
        <v>1439</v>
      </c>
      <c r="B8707" t="s">
        <v>2140</v>
      </c>
      <c r="C8707">
        <v>8.5</v>
      </c>
      <c r="D8707">
        <v>200</v>
      </c>
      <c r="E8707">
        <f>IF(OR(B8707="vi",B8707="ii",B8707="pod"),(((D8707/100)*(C8707*VLOOKUP(B8707,'Poids des runes'!A:B,2,FALSE)))+1),(((D8707/100)*(C8707*VLOOKUP(B8707,'Poids des runes'!A:B,2,FALSE)))+1)/VLOOKUP(B8707,'Poids des runes'!A:B,2,FALSE))</f>
        <v>17.2</v>
      </c>
      <c r="F8707">
        <f t="shared" ref="F8707:F8770" si="136">E8707</f>
        <v>17.2</v>
      </c>
    </row>
    <row r="8708" spans="1:6" x14ac:dyDescent="0.3">
      <c r="A8708" t="s">
        <v>1439</v>
      </c>
      <c r="B8708" t="s">
        <v>2133</v>
      </c>
      <c r="C8708">
        <v>8.5</v>
      </c>
      <c r="D8708">
        <v>200</v>
      </c>
      <c r="E8708">
        <f>IF(OR(B8708="vi",B8708="ii",B8708="pod"),(((D8708/100)*(C8708*VLOOKUP(B8708,'Poids des runes'!A:B,2,FALSE)))+1),(((D8708/100)*(C8708*VLOOKUP(B8708,'Poids des runes'!A:B,2,FALSE)))+1)/VLOOKUP(B8708,'Poids des runes'!A:B,2,FALSE))</f>
        <v>17.2</v>
      </c>
      <c r="F8708">
        <f t="shared" si="136"/>
        <v>17.2</v>
      </c>
    </row>
    <row r="8709" spans="1:6" x14ac:dyDescent="0.3">
      <c r="A8709" t="s">
        <v>1439</v>
      </c>
      <c r="B8709" t="s">
        <v>2153</v>
      </c>
      <c r="C8709">
        <v>8.5</v>
      </c>
      <c r="D8709">
        <v>200</v>
      </c>
      <c r="E8709">
        <f>IF(OR(B8709="vi",B8709="ii",B8709="pod"),(((D8709/100)*(C8709*VLOOKUP(B8709,'Poids des runes'!A:B,2,FALSE)))+1),(((D8709/100)*(C8709*VLOOKUP(B8709,'Poids des runes'!A:B,2,FALSE)))+1)/VLOOKUP(B8709,'Poids des runes'!A:B,2,FALSE))</f>
        <v>17.2</v>
      </c>
      <c r="F8709">
        <f t="shared" si="136"/>
        <v>17.2</v>
      </c>
    </row>
    <row r="8710" spans="1:6" x14ac:dyDescent="0.3">
      <c r="A8710" t="s">
        <v>1439</v>
      </c>
      <c r="B8710" t="s">
        <v>2157</v>
      </c>
      <c r="C8710">
        <v>8.5</v>
      </c>
      <c r="D8710">
        <v>200</v>
      </c>
      <c r="E8710">
        <f>IF(OR(B8710="vi",B8710="ii",B8710="pod"),(((D8710/100)*(C8710*VLOOKUP(B8710,'Poids des runes'!A:B,2,FALSE)))+1),(((D8710/100)*(C8710*VLOOKUP(B8710,'Poids des runes'!A:B,2,FALSE)))+1)/VLOOKUP(B8710,'Poids des runes'!A:B,2,FALSE))</f>
        <v>17.166666666666668</v>
      </c>
      <c r="F8710">
        <f t="shared" si="136"/>
        <v>17.166666666666668</v>
      </c>
    </row>
    <row r="8711" spans="1:6" x14ac:dyDescent="0.3">
      <c r="A8711" t="s">
        <v>1440</v>
      </c>
      <c r="B8711" t="s">
        <v>2128</v>
      </c>
      <c r="C8711">
        <v>375.5</v>
      </c>
      <c r="D8711">
        <v>200</v>
      </c>
      <c r="E8711">
        <f>IF(OR(B8711="vi",B8711="ii",B8711="pod"),(((D8711/100)*(C8711*VLOOKUP(B8711,'Poids des runes'!A:B,2,FALSE)))+1),(((D8711/100)*(C8711*VLOOKUP(B8711,'Poids des runes'!A:B,2,FALSE)))+1)/VLOOKUP(B8711,'Poids des runes'!A:B,2,FALSE))</f>
        <v>151.20000000000002</v>
      </c>
      <c r="F8711">
        <f t="shared" si="136"/>
        <v>151.20000000000002</v>
      </c>
    </row>
    <row r="8712" spans="1:6" x14ac:dyDescent="0.3">
      <c r="A8712" t="s">
        <v>1440</v>
      </c>
      <c r="B8712" t="s">
        <v>2130</v>
      </c>
      <c r="C8712">
        <v>90.5</v>
      </c>
      <c r="D8712">
        <v>200</v>
      </c>
      <c r="E8712">
        <f>IF(OR(B8712="vi",B8712="ii",B8712="pod"),(((D8712/100)*(C8712*VLOOKUP(B8712,'Poids des runes'!A:B,2,FALSE)))+1),(((D8712/100)*(C8712*VLOOKUP(B8712,'Poids des runes'!A:B,2,FALSE)))+1)/VLOOKUP(B8712,'Poids des runes'!A:B,2,FALSE))</f>
        <v>182</v>
      </c>
      <c r="F8712">
        <f t="shared" si="136"/>
        <v>182</v>
      </c>
    </row>
    <row r="8713" spans="1:6" x14ac:dyDescent="0.3">
      <c r="A8713" t="s">
        <v>1440</v>
      </c>
      <c r="B8713" t="s">
        <v>2129</v>
      </c>
      <c r="C8713">
        <v>25.5</v>
      </c>
      <c r="D8713">
        <v>200</v>
      </c>
      <c r="E8713">
        <f>IF(OR(B8713="vi",B8713="ii",B8713="pod"),(((D8713/100)*(C8713*VLOOKUP(B8713,'Poids des runes'!A:B,2,FALSE)))+1),(((D8713/100)*(C8713*VLOOKUP(B8713,'Poids des runes'!A:B,2,FALSE)))+1)/VLOOKUP(B8713,'Poids des runes'!A:B,2,FALSE))</f>
        <v>52</v>
      </c>
      <c r="F8713">
        <f t="shared" si="136"/>
        <v>52</v>
      </c>
    </row>
    <row r="8714" spans="1:6" x14ac:dyDescent="0.3">
      <c r="A8714" t="s">
        <v>1440</v>
      </c>
      <c r="B8714" t="s">
        <v>2151</v>
      </c>
      <c r="C8714">
        <v>4</v>
      </c>
      <c r="D8714">
        <v>200</v>
      </c>
      <c r="E8714">
        <f>IF(OR(B8714="vi",B8714="ii",B8714="pod"),(((D8714/100)*(C8714*VLOOKUP(B8714,'Poids des runes'!A:B,2,FALSE)))+1),(((D8714/100)*(C8714*VLOOKUP(B8714,'Poids des runes'!A:B,2,FALSE)))+1)/VLOOKUP(B8714,'Poids des runes'!A:B,2,FALSE))</f>
        <v>8.1</v>
      </c>
      <c r="F8714">
        <f t="shared" si="136"/>
        <v>8.1</v>
      </c>
    </row>
    <row r="8715" spans="1:6" x14ac:dyDescent="0.3">
      <c r="A8715" t="s">
        <v>1440</v>
      </c>
      <c r="B8715" t="s">
        <v>2152</v>
      </c>
      <c r="C8715">
        <v>1</v>
      </c>
      <c r="D8715">
        <v>200</v>
      </c>
      <c r="E8715">
        <f>IF(OR(B8715="vi",B8715="ii",B8715="pod"),(((D8715/100)*(C8715*VLOOKUP(B8715,'Poids des runes'!A:B,2,FALSE)))+1),(((D8715/100)*(C8715*VLOOKUP(B8715,'Poids des runes'!A:B,2,FALSE)))+1)/VLOOKUP(B8715,'Poids des runes'!A:B,2,FALSE))</f>
        <v>2.0099999999999998</v>
      </c>
      <c r="F8715">
        <f t="shared" si="136"/>
        <v>2.0099999999999998</v>
      </c>
    </row>
    <row r="8716" spans="1:6" x14ac:dyDescent="0.3">
      <c r="A8716" t="s">
        <v>1440</v>
      </c>
      <c r="B8716" t="s">
        <v>2150</v>
      </c>
      <c r="C8716">
        <v>1</v>
      </c>
      <c r="D8716">
        <v>200</v>
      </c>
      <c r="E8716">
        <f>IF(OR(B8716="vi",B8716="ii",B8716="pod"),(((D8716/100)*(C8716*VLOOKUP(B8716,'Poids des runes'!A:B,2,FALSE)))+1),(((D8716/100)*(C8716*VLOOKUP(B8716,'Poids des runes'!A:B,2,FALSE)))+1)/VLOOKUP(B8716,'Poids des runes'!A:B,2,FALSE))</f>
        <v>2.0333333333333332</v>
      </c>
      <c r="F8716">
        <f t="shared" si="136"/>
        <v>2.0333333333333332</v>
      </c>
    </row>
    <row r="8717" spans="1:6" x14ac:dyDescent="0.3">
      <c r="A8717" t="s">
        <v>1440</v>
      </c>
      <c r="B8717" t="s">
        <v>2143</v>
      </c>
      <c r="C8717">
        <v>10.5</v>
      </c>
      <c r="D8717">
        <v>200</v>
      </c>
      <c r="E8717">
        <f>IF(OR(B8717="vi",B8717="ii",B8717="pod"),(((D8717/100)*(C8717*VLOOKUP(B8717,'Poids des runes'!A:B,2,FALSE)))+1),(((D8717/100)*(C8717*VLOOKUP(B8717,'Poids des runes'!A:B,2,FALSE)))+1)/VLOOKUP(B8717,'Poids des runes'!A:B,2,FALSE))</f>
        <v>21.2</v>
      </c>
      <c r="F8717">
        <f t="shared" si="136"/>
        <v>21.2</v>
      </c>
    </row>
    <row r="8718" spans="1:6" x14ac:dyDescent="0.3">
      <c r="A8718" t="s">
        <v>1440</v>
      </c>
      <c r="B8718" t="s">
        <v>2138</v>
      </c>
      <c r="C8718">
        <v>8</v>
      </c>
      <c r="D8718">
        <v>200</v>
      </c>
      <c r="E8718">
        <f>IF(OR(B8718="vi",B8718="ii",B8718="pod"),(((D8718/100)*(C8718*VLOOKUP(B8718,'Poids des runes'!A:B,2,FALSE)))+1),(((D8718/100)*(C8718*VLOOKUP(B8718,'Poids des runes'!A:B,2,FALSE)))+1)/VLOOKUP(B8718,'Poids des runes'!A:B,2,FALSE))</f>
        <v>16.25</v>
      </c>
      <c r="F8718">
        <f t="shared" si="136"/>
        <v>16.25</v>
      </c>
    </row>
    <row r="8719" spans="1:6" x14ac:dyDescent="0.3">
      <c r="A8719" t="s">
        <v>1440</v>
      </c>
      <c r="B8719" t="s">
        <v>2162</v>
      </c>
      <c r="C8719">
        <v>4</v>
      </c>
      <c r="D8719">
        <v>200</v>
      </c>
      <c r="E8719">
        <f>IF(OR(B8719="vi",B8719="ii",B8719="pod"),(((D8719/100)*(C8719*VLOOKUP(B8719,'Poids des runes'!A:B,2,FALSE)))+1),(((D8719/100)*(C8719*VLOOKUP(B8719,'Poids des runes'!A:B,2,FALSE)))+1)/VLOOKUP(B8719,'Poids des runes'!A:B,2,FALSE))</f>
        <v>8.1428571428571423</v>
      </c>
      <c r="F8719">
        <f t="shared" si="136"/>
        <v>8.1428571428571423</v>
      </c>
    </row>
    <row r="8720" spans="1:6" x14ac:dyDescent="0.3">
      <c r="A8720" t="s">
        <v>1440</v>
      </c>
      <c r="B8720" t="s">
        <v>2148</v>
      </c>
      <c r="C8720">
        <v>6.5</v>
      </c>
      <c r="D8720">
        <v>200</v>
      </c>
      <c r="E8720">
        <f>IF(OR(B8720="vi",B8720="ii",B8720="pod"),(((D8720/100)*(C8720*VLOOKUP(B8720,'Poids des runes'!A:B,2,FALSE)))+1),(((D8720/100)*(C8720*VLOOKUP(B8720,'Poids des runes'!A:B,2,FALSE)))+1)/VLOOKUP(B8720,'Poids des runes'!A:B,2,FALSE))</f>
        <v>13.166666666666666</v>
      </c>
      <c r="F8720">
        <f t="shared" si="136"/>
        <v>13.166666666666666</v>
      </c>
    </row>
    <row r="8721" spans="1:6" x14ac:dyDescent="0.3">
      <c r="A8721" t="s">
        <v>1440</v>
      </c>
      <c r="B8721" t="s">
        <v>2135</v>
      </c>
      <c r="C8721">
        <v>6.5</v>
      </c>
      <c r="D8721">
        <v>200</v>
      </c>
      <c r="E8721">
        <f>IF(OR(B8721="vi",B8721="ii",B8721="pod"),(((D8721/100)*(C8721*VLOOKUP(B8721,'Poids des runes'!A:B,2,FALSE)))+1),(((D8721/100)*(C8721*VLOOKUP(B8721,'Poids des runes'!A:B,2,FALSE)))+1)/VLOOKUP(B8721,'Poids des runes'!A:B,2,FALSE))</f>
        <v>13.166666666666666</v>
      </c>
      <c r="F8721">
        <f t="shared" si="136"/>
        <v>13.166666666666666</v>
      </c>
    </row>
    <row r="8722" spans="1:6" x14ac:dyDescent="0.3">
      <c r="A8722" t="s">
        <v>1441</v>
      </c>
      <c r="B8722" t="s">
        <v>2128</v>
      </c>
      <c r="C8722">
        <v>325.5</v>
      </c>
      <c r="D8722">
        <v>200</v>
      </c>
      <c r="E8722">
        <f>IF(OR(B8722="vi",B8722="ii",B8722="pod"),(((D8722/100)*(C8722*VLOOKUP(B8722,'Poids des runes'!A:B,2,FALSE)))+1),(((D8722/100)*(C8722*VLOOKUP(B8722,'Poids des runes'!A:B,2,FALSE)))+1)/VLOOKUP(B8722,'Poids des runes'!A:B,2,FALSE))</f>
        <v>131.20000000000002</v>
      </c>
      <c r="F8722">
        <f t="shared" si="136"/>
        <v>131.20000000000002</v>
      </c>
    </row>
    <row r="8723" spans="1:6" x14ac:dyDescent="0.3">
      <c r="A8723" t="s">
        <v>1441</v>
      </c>
      <c r="B8723" t="s">
        <v>2130</v>
      </c>
      <c r="C8723">
        <v>60.5</v>
      </c>
      <c r="D8723">
        <v>200</v>
      </c>
      <c r="E8723">
        <f>IF(OR(B8723="vi",B8723="ii",B8723="pod"),(((D8723/100)*(C8723*VLOOKUP(B8723,'Poids des runes'!A:B,2,FALSE)))+1),(((D8723/100)*(C8723*VLOOKUP(B8723,'Poids des runes'!A:B,2,FALSE)))+1)/VLOOKUP(B8723,'Poids des runes'!A:B,2,FALSE))</f>
        <v>122</v>
      </c>
      <c r="F8723">
        <f t="shared" si="136"/>
        <v>122</v>
      </c>
    </row>
    <row r="8724" spans="1:6" x14ac:dyDescent="0.3">
      <c r="A8724" t="s">
        <v>1441</v>
      </c>
      <c r="B8724" t="s">
        <v>2127</v>
      </c>
      <c r="C8724">
        <v>60.5</v>
      </c>
      <c r="D8724">
        <v>200</v>
      </c>
      <c r="E8724">
        <f>IF(OR(B8724="vi",B8724="ii",B8724="pod"),(((D8724/100)*(C8724*VLOOKUP(B8724,'Poids des runes'!A:B,2,FALSE)))+1),(((D8724/100)*(C8724*VLOOKUP(B8724,'Poids des runes'!A:B,2,FALSE)))+1)/VLOOKUP(B8724,'Poids des runes'!A:B,2,FALSE))</f>
        <v>122</v>
      </c>
      <c r="F8724">
        <f t="shared" si="136"/>
        <v>122</v>
      </c>
    </row>
    <row r="8725" spans="1:6" x14ac:dyDescent="0.3">
      <c r="A8725" t="s">
        <v>1441</v>
      </c>
      <c r="B8725" t="s">
        <v>2129</v>
      </c>
      <c r="C8725">
        <v>25.5</v>
      </c>
      <c r="D8725">
        <v>200</v>
      </c>
      <c r="E8725">
        <f>IF(OR(B8725="vi",B8725="ii",B8725="pod"),(((D8725/100)*(C8725*VLOOKUP(B8725,'Poids des runes'!A:B,2,FALSE)))+1),(((D8725/100)*(C8725*VLOOKUP(B8725,'Poids des runes'!A:B,2,FALSE)))+1)/VLOOKUP(B8725,'Poids des runes'!A:B,2,FALSE))</f>
        <v>52</v>
      </c>
      <c r="F8725">
        <f t="shared" si="136"/>
        <v>52</v>
      </c>
    </row>
    <row r="8726" spans="1:6" x14ac:dyDescent="0.3">
      <c r="A8726" t="s">
        <v>1441</v>
      </c>
      <c r="B8726" t="s">
        <v>2151</v>
      </c>
      <c r="C8726">
        <v>4</v>
      </c>
      <c r="D8726">
        <v>200</v>
      </c>
      <c r="E8726">
        <f>IF(OR(B8726="vi",B8726="ii",B8726="pod"),(((D8726/100)*(C8726*VLOOKUP(B8726,'Poids des runes'!A:B,2,FALSE)))+1),(((D8726/100)*(C8726*VLOOKUP(B8726,'Poids des runes'!A:B,2,FALSE)))+1)/VLOOKUP(B8726,'Poids des runes'!A:B,2,FALSE))</f>
        <v>8.1</v>
      </c>
      <c r="F8726">
        <f t="shared" si="136"/>
        <v>8.1</v>
      </c>
    </row>
    <row r="8727" spans="1:6" x14ac:dyDescent="0.3">
      <c r="A8727" t="s">
        <v>1441</v>
      </c>
      <c r="B8727" t="s">
        <v>2155</v>
      </c>
      <c r="C8727">
        <v>1</v>
      </c>
      <c r="D8727">
        <v>200</v>
      </c>
      <c r="E8727">
        <f>IF(OR(B8727="vi",B8727="ii",B8727="pod"),(((D8727/100)*(C8727*VLOOKUP(B8727,'Poids des runes'!A:B,2,FALSE)))+1),(((D8727/100)*(C8727*VLOOKUP(B8727,'Poids des runes'!A:B,2,FALSE)))+1)/VLOOKUP(B8727,'Poids des runes'!A:B,2,FALSE))</f>
        <v>2.0196078431372548</v>
      </c>
      <c r="F8727">
        <f t="shared" si="136"/>
        <v>2.0196078431372548</v>
      </c>
    </row>
    <row r="8728" spans="1:6" x14ac:dyDescent="0.3">
      <c r="A8728" t="s">
        <v>1441</v>
      </c>
      <c r="B8728" t="s">
        <v>2143</v>
      </c>
      <c r="C8728">
        <v>12</v>
      </c>
      <c r="D8728">
        <v>200</v>
      </c>
      <c r="E8728">
        <f>IF(OR(B8728="vi",B8728="ii",B8728="pod"),(((D8728/100)*(C8728*VLOOKUP(B8728,'Poids des runes'!A:B,2,FALSE)))+1),(((D8728/100)*(C8728*VLOOKUP(B8728,'Poids des runes'!A:B,2,FALSE)))+1)/VLOOKUP(B8728,'Poids des runes'!A:B,2,FALSE))</f>
        <v>24.2</v>
      </c>
      <c r="F8728">
        <f t="shared" si="136"/>
        <v>24.2</v>
      </c>
    </row>
    <row r="8729" spans="1:6" x14ac:dyDescent="0.3">
      <c r="A8729" t="s">
        <v>1441</v>
      </c>
      <c r="B8729" t="s">
        <v>2153</v>
      </c>
      <c r="C8729">
        <v>12</v>
      </c>
      <c r="D8729">
        <v>200</v>
      </c>
      <c r="E8729">
        <f>IF(OR(B8729="vi",B8729="ii",B8729="pod"),(((D8729/100)*(C8729*VLOOKUP(B8729,'Poids des runes'!A:B,2,FALSE)))+1),(((D8729/100)*(C8729*VLOOKUP(B8729,'Poids des runes'!A:B,2,FALSE)))+1)/VLOOKUP(B8729,'Poids des runes'!A:B,2,FALSE))</f>
        <v>24.2</v>
      </c>
      <c r="F8729">
        <f t="shared" si="136"/>
        <v>24.2</v>
      </c>
    </row>
    <row r="8730" spans="1:6" x14ac:dyDescent="0.3">
      <c r="A8730" t="s">
        <v>1441</v>
      </c>
      <c r="B8730" t="s">
        <v>2163</v>
      </c>
      <c r="C8730">
        <v>25.5</v>
      </c>
      <c r="D8730">
        <v>200</v>
      </c>
      <c r="E8730">
        <f>IF(OR(B8730="vi",B8730="ii",B8730="pod"),(((D8730/100)*(C8730*VLOOKUP(B8730,'Poids des runes'!A:B,2,FALSE)))+1),(((D8730/100)*(C8730*VLOOKUP(B8730,'Poids des runes'!A:B,2,FALSE)))+1)/VLOOKUP(B8730,'Poids des runes'!A:B,2,FALSE))</f>
        <v>51.5</v>
      </c>
      <c r="F8730">
        <f t="shared" si="136"/>
        <v>51.5</v>
      </c>
    </row>
    <row r="8731" spans="1:6" x14ac:dyDescent="0.3">
      <c r="A8731" t="s">
        <v>1441</v>
      </c>
      <c r="B8731" t="s">
        <v>2148</v>
      </c>
      <c r="C8731">
        <v>5</v>
      </c>
      <c r="D8731">
        <v>200</v>
      </c>
      <c r="E8731">
        <f>IF(OR(B8731="vi",B8731="ii",B8731="pod"),(((D8731/100)*(C8731*VLOOKUP(B8731,'Poids des runes'!A:B,2,FALSE)))+1),(((D8731/100)*(C8731*VLOOKUP(B8731,'Poids des runes'!A:B,2,FALSE)))+1)/VLOOKUP(B8731,'Poids des runes'!A:B,2,FALSE))</f>
        <v>10.166666666666666</v>
      </c>
      <c r="F8731">
        <f t="shared" si="136"/>
        <v>10.166666666666666</v>
      </c>
    </row>
    <row r="8732" spans="1:6" x14ac:dyDescent="0.3">
      <c r="A8732" t="s">
        <v>1441</v>
      </c>
      <c r="B8732" t="s">
        <v>2157</v>
      </c>
      <c r="C8732">
        <v>5</v>
      </c>
      <c r="D8732">
        <v>200</v>
      </c>
      <c r="E8732">
        <f>IF(OR(B8732="vi",B8732="ii",B8732="pod"),(((D8732/100)*(C8732*VLOOKUP(B8732,'Poids des runes'!A:B,2,FALSE)))+1),(((D8732/100)*(C8732*VLOOKUP(B8732,'Poids des runes'!A:B,2,FALSE)))+1)/VLOOKUP(B8732,'Poids des runes'!A:B,2,FALSE))</f>
        <v>10.166666666666666</v>
      </c>
      <c r="F8732">
        <f t="shared" si="136"/>
        <v>10.166666666666666</v>
      </c>
    </row>
    <row r="8733" spans="1:6" x14ac:dyDescent="0.3">
      <c r="A8733" t="s">
        <v>1442</v>
      </c>
      <c r="B8733" t="s">
        <v>2128</v>
      </c>
      <c r="C8733">
        <v>475.5</v>
      </c>
      <c r="D8733">
        <v>200</v>
      </c>
      <c r="E8733">
        <f>IF(OR(B8733="vi",B8733="ii",B8733="pod"),(((D8733/100)*(C8733*VLOOKUP(B8733,'Poids des runes'!A:B,2,FALSE)))+1),(((D8733/100)*(C8733*VLOOKUP(B8733,'Poids des runes'!A:B,2,FALSE)))+1)/VLOOKUP(B8733,'Poids des runes'!A:B,2,FALSE))</f>
        <v>191.20000000000002</v>
      </c>
      <c r="F8733">
        <f t="shared" si="136"/>
        <v>191.20000000000002</v>
      </c>
    </row>
    <row r="8734" spans="1:6" x14ac:dyDescent="0.3">
      <c r="A8734" t="s">
        <v>1442</v>
      </c>
      <c r="B8734" t="s">
        <v>2130</v>
      </c>
      <c r="C8734">
        <v>85.5</v>
      </c>
      <c r="D8734">
        <v>200</v>
      </c>
      <c r="E8734">
        <f>IF(OR(B8734="vi",B8734="ii",B8734="pod"),(((D8734/100)*(C8734*VLOOKUP(B8734,'Poids des runes'!A:B,2,FALSE)))+1),(((D8734/100)*(C8734*VLOOKUP(B8734,'Poids des runes'!A:B,2,FALSE)))+1)/VLOOKUP(B8734,'Poids des runes'!A:B,2,FALSE))</f>
        <v>172</v>
      </c>
      <c r="F8734">
        <f t="shared" si="136"/>
        <v>172</v>
      </c>
    </row>
    <row r="8735" spans="1:6" x14ac:dyDescent="0.3">
      <c r="A8735" t="s">
        <v>1442</v>
      </c>
      <c r="B8735" t="s">
        <v>2129</v>
      </c>
      <c r="C8735">
        <v>50.5</v>
      </c>
      <c r="D8735">
        <v>200</v>
      </c>
      <c r="E8735">
        <f>IF(OR(B8735="vi",B8735="ii",B8735="pod"),(((D8735/100)*(C8735*VLOOKUP(B8735,'Poids des runes'!A:B,2,FALSE)))+1),(((D8735/100)*(C8735*VLOOKUP(B8735,'Poids des runes'!A:B,2,FALSE)))+1)/VLOOKUP(B8735,'Poids des runes'!A:B,2,FALSE))</f>
        <v>102</v>
      </c>
      <c r="F8735">
        <f t="shared" si="136"/>
        <v>102</v>
      </c>
    </row>
    <row r="8736" spans="1:6" x14ac:dyDescent="0.3">
      <c r="A8736" t="s">
        <v>1442</v>
      </c>
      <c r="B8736" t="s">
        <v>2155</v>
      </c>
      <c r="C8736">
        <v>1</v>
      </c>
      <c r="D8736">
        <v>200</v>
      </c>
      <c r="E8736">
        <f>IF(OR(B8736="vi",B8736="ii",B8736="pod"),(((D8736/100)*(C8736*VLOOKUP(B8736,'Poids des runes'!A:B,2,FALSE)))+1),(((D8736/100)*(C8736*VLOOKUP(B8736,'Poids des runes'!A:B,2,FALSE)))+1)/VLOOKUP(B8736,'Poids des runes'!A:B,2,FALSE))</f>
        <v>2.0196078431372548</v>
      </c>
      <c r="F8736">
        <f t="shared" si="136"/>
        <v>2.0196078431372548</v>
      </c>
    </row>
    <row r="8737" spans="1:6" x14ac:dyDescent="0.3">
      <c r="A8737" t="s">
        <v>1442</v>
      </c>
      <c r="B8737" t="s">
        <v>2143</v>
      </c>
      <c r="C8737">
        <v>18</v>
      </c>
      <c r="D8737">
        <v>200</v>
      </c>
      <c r="E8737">
        <f>IF(OR(B8737="vi",B8737="ii",B8737="pod"),(((D8737/100)*(C8737*VLOOKUP(B8737,'Poids des runes'!A:B,2,FALSE)))+1),(((D8737/100)*(C8737*VLOOKUP(B8737,'Poids des runes'!A:B,2,FALSE)))+1)/VLOOKUP(B8737,'Poids des runes'!A:B,2,FALSE))</f>
        <v>36.200000000000003</v>
      </c>
      <c r="F8737">
        <f t="shared" si="136"/>
        <v>36.200000000000003</v>
      </c>
    </row>
    <row r="8738" spans="1:6" x14ac:dyDescent="0.3">
      <c r="A8738" t="s">
        <v>1442</v>
      </c>
      <c r="B8738" t="s">
        <v>2161</v>
      </c>
      <c r="C8738">
        <v>25.5</v>
      </c>
      <c r="D8738">
        <v>200</v>
      </c>
      <c r="E8738">
        <f>IF(OR(B8738="vi",B8738="ii",B8738="pod"),(((D8738/100)*(C8738*VLOOKUP(B8738,'Poids des runes'!A:B,2,FALSE)))+1),(((D8738/100)*(C8738*VLOOKUP(B8738,'Poids des runes'!A:B,2,FALSE)))+1)/VLOOKUP(B8738,'Poids des runes'!A:B,2,FALSE))</f>
        <v>51.333333333333336</v>
      </c>
      <c r="F8738">
        <f t="shared" si="136"/>
        <v>51.333333333333336</v>
      </c>
    </row>
    <row r="8739" spans="1:6" x14ac:dyDescent="0.3">
      <c r="A8739" t="s">
        <v>1442</v>
      </c>
      <c r="B8739" t="s">
        <v>2138</v>
      </c>
      <c r="C8739">
        <v>18</v>
      </c>
      <c r="D8739">
        <v>200</v>
      </c>
      <c r="E8739">
        <f>IF(OR(B8739="vi",B8739="ii",B8739="pod"),(((D8739/100)*(C8739*VLOOKUP(B8739,'Poids des runes'!A:B,2,FALSE)))+1),(((D8739/100)*(C8739*VLOOKUP(B8739,'Poids des runes'!A:B,2,FALSE)))+1)/VLOOKUP(B8739,'Poids des runes'!A:B,2,FALSE))</f>
        <v>36.25</v>
      </c>
      <c r="F8739">
        <f t="shared" si="136"/>
        <v>36.25</v>
      </c>
    </row>
    <row r="8740" spans="1:6" x14ac:dyDescent="0.3">
      <c r="A8740" t="s">
        <v>1442</v>
      </c>
      <c r="B8740" t="s">
        <v>2159</v>
      </c>
      <c r="C8740">
        <v>7</v>
      </c>
      <c r="D8740">
        <v>200</v>
      </c>
      <c r="E8740">
        <f>IF(OR(B8740="vi",B8740="ii",B8740="pod"),(((D8740/100)*(C8740*VLOOKUP(B8740,'Poids des runes'!A:B,2,FALSE)))+1),(((D8740/100)*(C8740*VLOOKUP(B8740,'Poids des runes'!A:B,2,FALSE)))+1)/VLOOKUP(B8740,'Poids des runes'!A:B,2,FALSE))</f>
        <v>14.142857142857142</v>
      </c>
      <c r="F8740">
        <f t="shared" si="136"/>
        <v>14.142857142857142</v>
      </c>
    </row>
    <row r="8741" spans="1:6" x14ac:dyDescent="0.3">
      <c r="A8741" t="s">
        <v>1443</v>
      </c>
      <c r="B8741" t="s">
        <v>2128</v>
      </c>
      <c r="C8741">
        <v>275.5</v>
      </c>
      <c r="D8741">
        <v>200</v>
      </c>
      <c r="E8741">
        <f>IF(OR(B8741="vi",B8741="ii",B8741="pod"),(((D8741/100)*(C8741*VLOOKUP(B8741,'Poids des runes'!A:B,2,FALSE)))+1),(((D8741/100)*(C8741*VLOOKUP(B8741,'Poids des runes'!A:B,2,FALSE)))+1)/VLOOKUP(B8741,'Poids des runes'!A:B,2,FALSE))</f>
        <v>111.2</v>
      </c>
      <c r="F8741">
        <f t="shared" si="136"/>
        <v>111.2</v>
      </c>
    </row>
    <row r="8742" spans="1:6" x14ac:dyDescent="0.3">
      <c r="A8742" t="s">
        <v>1443</v>
      </c>
      <c r="B8742" t="s">
        <v>2126</v>
      </c>
      <c r="C8742">
        <v>85.5</v>
      </c>
      <c r="D8742">
        <v>200</v>
      </c>
      <c r="E8742">
        <f>IF(OR(B8742="vi",B8742="ii",B8742="pod"),(((D8742/100)*(C8742*VLOOKUP(B8742,'Poids des runes'!A:B,2,FALSE)))+1),(((D8742/100)*(C8742*VLOOKUP(B8742,'Poids des runes'!A:B,2,FALSE)))+1)/VLOOKUP(B8742,'Poids des runes'!A:B,2,FALSE))</f>
        <v>172</v>
      </c>
      <c r="F8742">
        <f t="shared" si="136"/>
        <v>172</v>
      </c>
    </row>
    <row r="8743" spans="1:6" x14ac:dyDescent="0.3">
      <c r="A8743" t="s">
        <v>1443</v>
      </c>
      <c r="B8743" t="s">
        <v>2127</v>
      </c>
      <c r="C8743">
        <v>35.5</v>
      </c>
      <c r="D8743">
        <v>200</v>
      </c>
      <c r="E8743">
        <f>IF(OR(B8743="vi",B8743="ii",B8743="pod"),(((D8743/100)*(C8743*VLOOKUP(B8743,'Poids des runes'!A:B,2,FALSE)))+1),(((D8743/100)*(C8743*VLOOKUP(B8743,'Poids des runes'!A:B,2,FALSE)))+1)/VLOOKUP(B8743,'Poids des runes'!A:B,2,FALSE))</f>
        <v>72</v>
      </c>
      <c r="F8743">
        <f t="shared" si="136"/>
        <v>72</v>
      </c>
    </row>
    <row r="8744" spans="1:6" x14ac:dyDescent="0.3">
      <c r="A8744" t="s">
        <v>1443</v>
      </c>
      <c r="B8744" t="s">
        <v>2129</v>
      </c>
      <c r="C8744">
        <v>35.5</v>
      </c>
      <c r="D8744">
        <v>200</v>
      </c>
      <c r="E8744">
        <f>IF(OR(B8744="vi",B8744="ii",B8744="pod"),(((D8744/100)*(C8744*VLOOKUP(B8744,'Poids des runes'!A:B,2,FALSE)))+1),(((D8744/100)*(C8744*VLOOKUP(B8744,'Poids des runes'!A:B,2,FALSE)))+1)/VLOOKUP(B8744,'Poids des runes'!A:B,2,FALSE))</f>
        <v>72</v>
      </c>
      <c r="F8744">
        <f t="shared" si="136"/>
        <v>72</v>
      </c>
    </row>
    <row r="8745" spans="1:6" x14ac:dyDescent="0.3">
      <c r="A8745" t="s">
        <v>1443</v>
      </c>
      <c r="B8745" t="s">
        <v>2150</v>
      </c>
      <c r="C8745">
        <v>1</v>
      </c>
      <c r="D8745">
        <v>200</v>
      </c>
      <c r="E8745">
        <f>IF(OR(B8745="vi",B8745="ii",B8745="pod"),(((D8745/100)*(C8745*VLOOKUP(B8745,'Poids des runes'!A:B,2,FALSE)))+1),(((D8745/100)*(C8745*VLOOKUP(B8745,'Poids des runes'!A:B,2,FALSE)))+1)/VLOOKUP(B8745,'Poids des runes'!A:B,2,FALSE))</f>
        <v>2.0333333333333332</v>
      </c>
      <c r="F8745">
        <f t="shared" si="136"/>
        <v>2.0333333333333332</v>
      </c>
    </row>
    <row r="8746" spans="1:6" x14ac:dyDescent="0.3">
      <c r="A8746" t="s">
        <v>1443</v>
      </c>
      <c r="B8746" t="s">
        <v>2140</v>
      </c>
      <c r="C8746">
        <v>8.5</v>
      </c>
      <c r="D8746">
        <v>200</v>
      </c>
      <c r="E8746">
        <f>IF(OR(B8746="vi",B8746="ii",B8746="pod"),(((D8746/100)*(C8746*VLOOKUP(B8746,'Poids des runes'!A:B,2,FALSE)))+1),(((D8746/100)*(C8746*VLOOKUP(B8746,'Poids des runes'!A:B,2,FALSE)))+1)/VLOOKUP(B8746,'Poids des runes'!A:B,2,FALSE))</f>
        <v>17.2</v>
      </c>
      <c r="F8746">
        <f t="shared" si="136"/>
        <v>17.2</v>
      </c>
    </row>
    <row r="8747" spans="1:6" x14ac:dyDescent="0.3">
      <c r="A8747" t="s">
        <v>1443</v>
      </c>
      <c r="B8747" t="s">
        <v>2153</v>
      </c>
      <c r="C8747">
        <v>8.5</v>
      </c>
      <c r="D8747">
        <v>200</v>
      </c>
      <c r="E8747">
        <f>IF(OR(B8747="vi",B8747="ii",B8747="pod"),(((D8747/100)*(C8747*VLOOKUP(B8747,'Poids des runes'!A:B,2,FALSE)))+1),(((D8747/100)*(C8747*VLOOKUP(B8747,'Poids des runes'!A:B,2,FALSE)))+1)/VLOOKUP(B8747,'Poids des runes'!A:B,2,FALSE))</f>
        <v>17.2</v>
      </c>
      <c r="F8747">
        <f t="shared" si="136"/>
        <v>17.2</v>
      </c>
    </row>
    <row r="8748" spans="1:6" x14ac:dyDescent="0.3">
      <c r="A8748" t="s">
        <v>1443</v>
      </c>
      <c r="B8748" t="s">
        <v>2149</v>
      </c>
      <c r="C8748">
        <v>10</v>
      </c>
      <c r="D8748">
        <v>200</v>
      </c>
      <c r="E8748">
        <f>IF(OR(B8748="vi",B8748="ii",B8748="pod"),(((D8748/100)*(C8748*VLOOKUP(B8748,'Poids des runes'!A:B,2,FALSE)))+1),(((D8748/100)*(C8748*VLOOKUP(B8748,'Poids des runes'!A:B,2,FALSE)))+1)/VLOOKUP(B8748,'Poids des runes'!A:B,2,FALSE))</f>
        <v>20.100000000000001</v>
      </c>
      <c r="F8748">
        <f t="shared" si="136"/>
        <v>20.100000000000001</v>
      </c>
    </row>
    <row r="8749" spans="1:6" x14ac:dyDescent="0.3">
      <c r="A8749" t="s">
        <v>1443</v>
      </c>
      <c r="B8749" t="s">
        <v>2161</v>
      </c>
      <c r="C8749">
        <v>13</v>
      </c>
      <c r="D8749">
        <v>200</v>
      </c>
      <c r="E8749">
        <f>IF(OR(B8749="vi",B8749="ii",B8749="pod"),(((D8749/100)*(C8749*VLOOKUP(B8749,'Poids des runes'!A:B,2,FALSE)))+1),(((D8749/100)*(C8749*VLOOKUP(B8749,'Poids des runes'!A:B,2,FALSE)))+1)/VLOOKUP(B8749,'Poids des runes'!A:B,2,FALSE))</f>
        <v>26.333333333333332</v>
      </c>
      <c r="F8749">
        <f t="shared" si="136"/>
        <v>26.333333333333332</v>
      </c>
    </row>
    <row r="8750" spans="1:6" x14ac:dyDescent="0.3">
      <c r="A8750" t="s">
        <v>1443</v>
      </c>
      <c r="B8750" t="s">
        <v>2148</v>
      </c>
      <c r="C8750">
        <v>6</v>
      </c>
      <c r="D8750">
        <v>200</v>
      </c>
      <c r="E8750">
        <f>IF(OR(B8750="vi",B8750="ii",B8750="pod"),(((D8750/100)*(C8750*VLOOKUP(B8750,'Poids des runes'!A:B,2,FALSE)))+1),(((D8750/100)*(C8750*VLOOKUP(B8750,'Poids des runes'!A:B,2,FALSE)))+1)/VLOOKUP(B8750,'Poids des runes'!A:B,2,FALSE))</f>
        <v>12.166666666666666</v>
      </c>
      <c r="F8750">
        <f t="shared" si="136"/>
        <v>12.166666666666666</v>
      </c>
    </row>
    <row r="8751" spans="1:6" x14ac:dyDescent="0.3">
      <c r="A8751" t="s">
        <v>1443</v>
      </c>
      <c r="B8751" t="s">
        <v>2135</v>
      </c>
      <c r="C8751">
        <v>6</v>
      </c>
      <c r="D8751">
        <v>200</v>
      </c>
      <c r="E8751">
        <f>IF(OR(B8751="vi",B8751="ii",B8751="pod"),(((D8751/100)*(C8751*VLOOKUP(B8751,'Poids des runes'!A:B,2,FALSE)))+1),(((D8751/100)*(C8751*VLOOKUP(B8751,'Poids des runes'!A:B,2,FALSE)))+1)/VLOOKUP(B8751,'Poids des runes'!A:B,2,FALSE))</f>
        <v>12.166666666666666</v>
      </c>
      <c r="F8751">
        <f t="shared" si="136"/>
        <v>12.166666666666666</v>
      </c>
    </row>
    <row r="8752" spans="1:6" x14ac:dyDescent="0.3">
      <c r="A8752" t="s">
        <v>1443</v>
      </c>
      <c r="B8752" t="s">
        <v>2146</v>
      </c>
      <c r="C8752">
        <v>13</v>
      </c>
      <c r="D8752">
        <v>200</v>
      </c>
      <c r="E8752">
        <f>IF(OR(B8752="vi",B8752="ii",B8752="pod"),(((D8752/100)*(C8752*VLOOKUP(B8752,'Poids des runes'!A:B,2,FALSE)))+1),(((D8752/100)*(C8752*VLOOKUP(B8752,'Poids des runes'!A:B,2,FALSE)))+1)/VLOOKUP(B8752,'Poids des runes'!A:B,2,FALSE))</f>
        <v>26.5</v>
      </c>
      <c r="F8752">
        <f t="shared" si="136"/>
        <v>26.5</v>
      </c>
    </row>
    <row r="8753" spans="1:6" x14ac:dyDescent="0.3">
      <c r="A8753" t="s">
        <v>1444</v>
      </c>
      <c r="B8753" t="s">
        <v>2128</v>
      </c>
      <c r="C8753">
        <v>375.5</v>
      </c>
      <c r="D8753">
        <v>200</v>
      </c>
      <c r="E8753">
        <f>IF(OR(B8753="vi",B8753="ii",B8753="pod"),(((D8753/100)*(C8753*VLOOKUP(B8753,'Poids des runes'!A:B,2,FALSE)))+1),(((D8753/100)*(C8753*VLOOKUP(B8753,'Poids des runes'!A:B,2,FALSE)))+1)/VLOOKUP(B8753,'Poids des runes'!A:B,2,FALSE))</f>
        <v>151.20000000000002</v>
      </c>
      <c r="F8753">
        <f t="shared" si="136"/>
        <v>151.20000000000002</v>
      </c>
    </row>
    <row r="8754" spans="1:6" x14ac:dyDescent="0.3">
      <c r="A8754" t="s">
        <v>1444</v>
      </c>
      <c r="B8754" t="s">
        <v>2127</v>
      </c>
      <c r="C8754">
        <v>70.5</v>
      </c>
      <c r="D8754">
        <v>200</v>
      </c>
      <c r="E8754">
        <f>IF(OR(B8754="vi",B8754="ii",B8754="pod"),(((D8754/100)*(C8754*VLOOKUP(B8754,'Poids des runes'!A:B,2,FALSE)))+1),(((D8754/100)*(C8754*VLOOKUP(B8754,'Poids des runes'!A:B,2,FALSE)))+1)/VLOOKUP(B8754,'Poids des runes'!A:B,2,FALSE))</f>
        <v>142</v>
      </c>
      <c r="F8754">
        <f t="shared" si="136"/>
        <v>142</v>
      </c>
    </row>
    <row r="8755" spans="1:6" x14ac:dyDescent="0.3">
      <c r="A8755" t="s">
        <v>1444</v>
      </c>
      <c r="B8755" t="s">
        <v>2129</v>
      </c>
      <c r="C8755">
        <v>50.5</v>
      </c>
      <c r="D8755">
        <v>200</v>
      </c>
      <c r="E8755">
        <f>IF(OR(B8755="vi",B8755="ii",B8755="pod"),(((D8755/100)*(C8755*VLOOKUP(B8755,'Poids des runes'!A:B,2,FALSE)))+1),(((D8755/100)*(C8755*VLOOKUP(B8755,'Poids des runes'!A:B,2,FALSE)))+1)/VLOOKUP(B8755,'Poids des runes'!A:B,2,FALSE))</f>
        <v>102</v>
      </c>
      <c r="F8755">
        <f t="shared" si="136"/>
        <v>102</v>
      </c>
    </row>
    <row r="8756" spans="1:6" x14ac:dyDescent="0.3">
      <c r="A8756" t="s">
        <v>1444</v>
      </c>
      <c r="B8756" t="s">
        <v>2151</v>
      </c>
      <c r="C8756">
        <v>3.5</v>
      </c>
      <c r="D8756">
        <v>200</v>
      </c>
      <c r="E8756">
        <f>IF(OR(B8756="vi",B8756="ii",B8756="pod"),(((D8756/100)*(C8756*VLOOKUP(B8756,'Poids des runes'!A:B,2,FALSE)))+1),(((D8756/100)*(C8756*VLOOKUP(B8756,'Poids des runes'!A:B,2,FALSE)))+1)/VLOOKUP(B8756,'Poids des runes'!A:B,2,FALSE))</f>
        <v>7.1</v>
      </c>
      <c r="F8756">
        <f t="shared" si="136"/>
        <v>7.1</v>
      </c>
    </row>
    <row r="8757" spans="1:6" x14ac:dyDescent="0.3">
      <c r="A8757" t="s">
        <v>1444</v>
      </c>
      <c r="B8757" t="s">
        <v>2153</v>
      </c>
      <c r="C8757">
        <v>16</v>
      </c>
      <c r="D8757">
        <v>200</v>
      </c>
      <c r="E8757">
        <f>IF(OR(B8757="vi",B8757="ii",B8757="pod"),(((D8757/100)*(C8757*VLOOKUP(B8757,'Poids des runes'!A:B,2,FALSE)))+1),(((D8757/100)*(C8757*VLOOKUP(B8757,'Poids des runes'!A:B,2,FALSE)))+1)/VLOOKUP(B8757,'Poids des runes'!A:B,2,FALSE))</f>
        <v>32.200000000000003</v>
      </c>
      <c r="F8757">
        <f t="shared" si="136"/>
        <v>32.200000000000003</v>
      </c>
    </row>
    <row r="8758" spans="1:6" x14ac:dyDescent="0.3">
      <c r="A8758" t="s">
        <v>1444</v>
      </c>
      <c r="B8758" t="s">
        <v>2161</v>
      </c>
      <c r="C8758">
        <v>13</v>
      </c>
      <c r="D8758">
        <v>200</v>
      </c>
      <c r="E8758">
        <f>IF(OR(B8758="vi",B8758="ii",B8758="pod"),(((D8758/100)*(C8758*VLOOKUP(B8758,'Poids des runes'!A:B,2,FALSE)))+1),(((D8758/100)*(C8758*VLOOKUP(B8758,'Poids des runes'!A:B,2,FALSE)))+1)/VLOOKUP(B8758,'Poids des runes'!A:B,2,FALSE))</f>
        <v>26.333333333333332</v>
      </c>
      <c r="F8758">
        <f t="shared" si="136"/>
        <v>26.333333333333332</v>
      </c>
    </row>
    <row r="8759" spans="1:6" x14ac:dyDescent="0.3">
      <c r="A8759" t="s">
        <v>1444</v>
      </c>
      <c r="B8759" t="s">
        <v>2132</v>
      </c>
      <c r="C8759">
        <v>350.5</v>
      </c>
      <c r="D8759">
        <v>200</v>
      </c>
      <c r="E8759">
        <f>IF(OR(B8759="vi",B8759="ii",B8759="pod"),(((D8759/100)*(C8759*VLOOKUP(B8759,'Poids des runes'!A:B,2,FALSE)))+1),(((D8759/100)*(C8759*VLOOKUP(B8759,'Poids des runes'!A:B,2,FALSE)))+1)/VLOOKUP(B8759,'Poids des runes'!A:B,2,FALSE))</f>
        <v>71.100000000000009</v>
      </c>
      <c r="F8759">
        <f t="shared" si="136"/>
        <v>71.100000000000009</v>
      </c>
    </row>
    <row r="8760" spans="1:6" x14ac:dyDescent="0.3">
      <c r="A8760" t="s">
        <v>1444</v>
      </c>
      <c r="B8760" t="s">
        <v>2159</v>
      </c>
      <c r="C8760">
        <v>5</v>
      </c>
      <c r="D8760">
        <v>200</v>
      </c>
      <c r="E8760">
        <f>IF(OR(B8760="vi",B8760="ii",B8760="pod"),(((D8760/100)*(C8760*VLOOKUP(B8760,'Poids des runes'!A:B,2,FALSE)))+1),(((D8760/100)*(C8760*VLOOKUP(B8760,'Poids des runes'!A:B,2,FALSE)))+1)/VLOOKUP(B8760,'Poids des runes'!A:B,2,FALSE))</f>
        <v>10.142857142857142</v>
      </c>
      <c r="F8760">
        <f t="shared" si="136"/>
        <v>10.142857142857142</v>
      </c>
    </row>
    <row r="8761" spans="1:6" x14ac:dyDescent="0.3">
      <c r="A8761" t="s">
        <v>1444</v>
      </c>
      <c r="B8761" t="s">
        <v>2156</v>
      </c>
      <c r="C8761">
        <v>7</v>
      </c>
      <c r="D8761">
        <v>200</v>
      </c>
      <c r="E8761">
        <f>IF(OR(B8761="vi",B8761="ii",B8761="pod"),(((D8761/100)*(C8761*VLOOKUP(B8761,'Poids des runes'!A:B,2,FALSE)))+1),(((D8761/100)*(C8761*VLOOKUP(B8761,'Poids des runes'!A:B,2,FALSE)))+1)/VLOOKUP(B8761,'Poids des runes'!A:B,2,FALSE))</f>
        <v>14.166666666666666</v>
      </c>
      <c r="F8761">
        <f t="shared" si="136"/>
        <v>14.166666666666666</v>
      </c>
    </row>
    <row r="8762" spans="1:6" x14ac:dyDescent="0.3">
      <c r="A8762" t="s">
        <v>1444</v>
      </c>
      <c r="B8762" t="s">
        <v>2148</v>
      </c>
      <c r="C8762">
        <v>7</v>
      </c>
      <c r="D8762">
        <v>200</v>
      </c>
      <c r="E8762">
        <f>IF(OR(B8762="vi",B8762="ii",B8762="pod"),(((D8762/100)*(C8762*VLOOKUP(B8762,'Poids des runes'!A:B,2,FALSE)))+1),(((D8762/100)*(C8762*VLOOKUP(B8762,'Poids des runes'!A:B,2,FALSE)))+1)/VLOOKUP(B8762,'Poids des runes'!A:B,2,FALSE))</f>
        <v>14.166666666666666</v>
      </c>
      <c r="F8762">
        <f t="shared" si="136"/>
        <v>14.166666666666666</v>
      </c>
    </row>
    <row r="8763" spans="1:6" x14ac:dyDescent="0.3">
      <c r="A8763" t="s">
        <v>1445</v>
      </c>
      <c r="B8763" t="s">
        <v>2128</v>
      </c>
      <c r="C8763">
        <v>325.5</v>
      </c>
      <c r="D8763">
        <v>200</v>
      </c>
      <c r="E8763">
        <f>IF(OR(B8763="vi",B8763="ii",B8763="pod"),(((D8763/100)*(C8763*VLOOKUP(B8763,'Poids des runes'!A:B,2,FALSE)))+1),(((D8763/100)*(C8763*VLOOKUP(B8763,'Poids des runes'!A:B,2,FALSE)))+1)/VLOOKUP(B8763,'Poids des runes'!A:B,2,FALSE))</f>
        <v>131.20000000000002</v>
      </c>
      <c r="F8763">
        <f t="shared" si="136"/>
        <v>131.20000000000002</v>
      </c>
    </row>
    <row r="8764" spans="1:6" x14ac:dyDescent="0.3">
      <c r="A8764" t="s">
        <v>1445</v>
      </c>
      <c r="B8764" t="s">
        <v>2126</v>
      </c>
      <c r="C8764">
        <v>50.5</v>
      </c>
      <c r="D8764">
        <v>200</v>
      </c>
      <c r="E8764">
        <f>IF(OR(B8764="vi",B8764="ii",B8764="pod"),(((D8764/100)*(C8764*VLOOKUP(B8764,'Poids des runes'!A:B,2,FALSE)))+1),(((D8764/100)*(C8764*VLOOKUP(B8764,'Poids des runes'!A:B,2,FALSE)))+1)/VLOOKUP(B8764,'Poids des runes'!A:B,2,FALSE))</f>
        <v>102</v>
      </c>
      <c r="F8764">
        <f t="shared" si="136"/>
        <v>102</v>
      </c>
    </row>
    <row r="8765" spans="1:6" x14ac:dyDescent="0.3">
      <c r="A8765" t="s">
        <v>1445</v>
      </c>
      <c r="B8765" t="s">
        <v>2131</v>
      </c>
      <c r="C8765">
        <v>50.5</v>
      </c>
      <c r="D8765">
        <v>200</v>
      </c>
      <c r="E8765">
        <f>IF(OR(B8765="vi",B8765="ii",B8765="pod"),(((D8765/100)*(C8765*VLOOKUP(B8765,'Poids des runes'!A:B,2,FALSE)))+1),(((D8765/100)*(C8765*VLOOKUP(B8765,'Poids des runes'!A:B,2,FALSE)))+1)/VLOOKUP(B8765,'Poids des runes'!A:B,2,FALSE))</f>
        <v>102</v>
      </c>
      <c r="F8765">
        <f t="shared" si="136"/>
        <v>102</v>
      </c>
    </row>
    <row r="8766" spans="1:6" x14ac:dyDescent="0.3">
      <c r="A8766" t="s">
        <v>1445</v>
      </c>
      <c r="B8766" t="s">
        <v>2129</v>
      </c>
      <c r="C8766">
        <v>35.5</v>
      </c>
      <c r="D8766">
        <v>200</v>
      </c>
      <c r="E8766">
        <f>IF(OR(B8766="vi",B8766="ii",B8766="pod"),(((D8766/100)*(C8766*VLOOKUP(B8766,'Poids des runes'!A:B,2,FALSE)))+1),(((D8766/100)*(C8766*VLOOKUP(B8766,'Poids des runes'!A:B,2,FALSE)))+1)/VLOOKUP(B8766,'Poids des runes'!A:B,2,FALSE))</f>
        <v>72</v>
      </c>
      <c r="F8766">
        <f t="shared" si="136"/>
        <v>72</v>
      </c>
    </row>
    <row r="8767" spans="1:6" x14ac:dyDescent="0.3">
      <c r="A8767" t="s">
        <v>1445</v>
      </c>
      <c r="B8767" t="s">
        <v>2151</v>
      </c>
      <c r="C8767">
        <v>5</v>
      </c>
      <c r="D8767">
        <v>200</v>
      </c>
      <c r="E8767">
        <f>IF(OR(B8767="vi",B8767="ii",B8767="pod"),(((D8767/100)*(C8767*VLOOKUP(B8767,'Poids des runes'!A:B,2,FALSE)))+1),(((D8767/100)*(C8767*VLOOKUP(B8767,'Poids des runes'!A:B,2,FALSE)))+1)/VLOOKUP(B8767,'Poids des runes'!A:B,2,FALSE))</f>
        <v>10.1</v>
      </c>
      <c r="F8767">
        <f t="shared" si="136"/>
        <v>10.1</v>
      </c>
    </row>
    <row r="8768" spans="1:6" x14ac:dyDescent="0.3">
      <c r="A8768" t="s">
        <v>1445</v>
      </c>
      <c r="B8768" t="s">
        <v>2155</v>
      </c>
      <c r="C8768">
        <v>1</v>
      </c>
      <c r="D8768">
        <v>200</v>
      </c>
      <c r="E8768">
        <f>IF(OR(B8768="vi",B8768="ii",B8768="pod"),(((D8768/100)*(C8768*VLOOKUP(B8768,'Poids des runes'!A:B,2,FALSE)))+1),(((D8768/100)*(C8768*VLOOKUP(B8768,'Poids des runes'!A:B,2,FALSE)))+1)/VLOOKUP(B8768,'Poids des runes'!A:B,2,FALSE))</f>
        <v>2.0196078431372548</v>
      </c>
      <c r="F8768">
        <f t="shared" si="136"/>
        <v>2.0196078431372548</v>
      </c>
    </row>
    <row r="8769" spans="1:6" x14ac:dyDescent="0.3">
      <c r="A8769" t="s">
        <v>1445</v>
      </c>
      <c r="B8769" t="s">
        <v>2140</v>
      </c>
      <c r="C8769">
        <v>13</v>
      </c>
      <c r="D8769">
        <v>200</v>
      </c>
      <c r="E8769">
        <f>IF(OR(B8769="vi",B8769="ii",B8769="pod"),(((D8769/100)*(C8769*VLOOKUP(B8769,'Poids des runes'!A:B,2,FALSE)))+1),(((D8769/100)*(C8769*VLOOKUP(B8769,'Poids des runes'!A:B,2,FALSE)))+1)/VLOOKUP(B8769,'Poids des runes'!A:B,2,FALSE))</f>
        <v>26.2</v>
      </c>
      <c r="F8769">
        <f t="shared" si="136"/>
        <v>26.2</v>
      </c>
    </row>
    <row r="8770" spans="1:6" x14ac:dyDescent="0.3">
      <c r="A8770" t="s">
        <v>1445</v>
      </c>
      <c r="B8770" t="s">
        <v>2133</v>
      </c>
      <c r="C8770">
        <v>13</v>
      </c>
      <c r="D8770">
        <v>200</v>
      </c>
      <c r="E8770">
        <f>IF(OR(B8770="vi",B8770="ii",B8770="pod"),(((D8770/100)*(C8770*VLOOKUP(B8770,'Poids des runes'!A:B,2,FALSE)))+1),(((D8770/100)*(C8770*VLOOKUP(B8770,'Poids des runes'!A:B,2,FALSE)))+1)/VLOOKUP(B8770,'Poids des runes'!A:B,2,FALSE))</f>
        <v>26.2</v>
      </c>
      <c r="F8770">
        <f t="shared" si="136"/>
        <v>26.2</v>
      </c>
    </row>
    <row r="8771" spans="1:6" x14ac:dyDescent="0.3">
      <c r="A8771" t="s">
        <v>1445</v>
      </c>
      <c r="B8771" t="s">
        <v>2161</v>
      </c>
      <c r="C8771">
        <v>8.5</v>
      </c>
      <c r="D8771">
        <v>200</v>
      </c>
      <c r="E8771">
        <f>IF(OR(B8771="vi",B8771="ii",B8771="pod"),(((D8771/100)*(C8771*VLOOKUP(B8771,'Poids des runes'!A:B,2,FALSE)))+1),(((D8771/100)*(C8771*VLOOKUP(B8771,'Poids des runes'!A:B,2,FALSE)))+1)/VLOOKUP(B8771,'Poids des runes'!A:B,2,FALSE))</f>
        <v>17.333333333333332</v>
      </c>
      <c r="F8771">
        <f t="shared" ref="F8771:F8834" si="137">E8771</f>
        <v>17.333333333333332</v>
      </c>
    </row>
    <row r="8772" spans="1:6" x14ac:dyDescent="0.3">
      <c r="A8772" t="s">
        <v>1445</v>
      </c>
      <c r="B8772" t="s">
        <v>2132</v>
      </c>
      <c r="C8772">
        <v>250.5</v>
      </c>
      <c r="D8772">
        <v>200</v>
      </c>
      <c r="E8772">
        <f>IF(OR(B8772="vi",B8772="ii",B8772="pod"),(((D8772/100)*(C8772*VLOOKUP(B8772,'Poids des runes'!A:B,2,FALSE)))+1),(((D8772/100)*(C8772*VLOOKUP(B8772,'Poids des runes'!A:B,2,FALSE)))+1)/VLOOKUP(B8772,'Poids des runes'!A:B,2,FALSE))</f>
        <v>51.1</v>
      </c>
      <c r="F8772">
        <f t="shared" si="137"/>
        <v>51.1</v>
      </c>
    </row>
    <row r="8773" spans="1:6" x14ac:dyDescent="0.3">
      <c r="A8773" t="s">
        <v>1445</v>
      </c>
      <c r="B8773" t="s">
        <v>2165</v>
      </c>
      <c r="C8773">
        <v>5</v>
      </c>
      <c r="D8773">
        <v>200</v>
      </c>
      <c r="E8773">
        <f>IF(OR(B8773="vi",B8773="ii",B8773="pod"),(((D8773/100)*(C8773*VLOOKUP(B8773,'Poids des runes'!A:B,2,FALSE)))+1),(((D8773/100)*(C8773*VLOOKUP(B8773,'Poids des runes'!A:B,2,FALSE)))+1)/VLOOKUP(B8773,'Poids des runes'!A:B,2,FALSE))</f>
        <v>10.142857142857142</v>
      </c>
      <c r="F8773">
        <f t="shared" si="137"/>
        <v>10.142857142857142</v>
      </c>
    </row>
    <row r="8774" spans="1:6" x14ac:dyDescent="0.3">
      <c r="A8774" t="s">
        <v>1445</v>
      </c>
      <c r="B8774" t="s">
        <v>2163</v>
      </c>
      <c r="C8774">
        <v>8.5</v>
      </c>
      <c r="D8774">
        <v>200</v>
      </c>
      <c r="E8774">
        <f>IF(OR(B8774="vi",B8774="ii",B8774="pod"),(((D8774/100)*(C8774*VLOOKUP(B8774,'Poids des runes'!A:B,2,FALSE)))+1),(((D8774/100)*(C8774*VLOOKUP(B8774,'Poids des runes'!A:B,2,FALSE)))+1)/VLOOKUP(B8774,'Poids des runes'!A:B,2,FALSE))</f>
        <v>17.5</v>
      </c>
      <c r="F8774">
        <f t="shared" si="137"/>
        <v>17.5</v>
      </c>
    </row>
    <row r="8775" spans="1:6" x14ac:dyDescent="0.3">
      <c r="A8775" t="s">
        <v>1445</v>
      </c>
      <c r="B8775" t="s">
        <v>2137</v>
      </c>
      <c r="C8775">
        <v>13</v>
      </c>
      <c r="D8775">
        <v>200</v>
      </c>
      <c r="E8775">
        <f>IF(OR(B8775="vi",B8775="ii",B8775="pod"),(((D8775/100)*(C8775*VLOOKUP(B8775,'Poids des runes'!A:B,2,FALSE)))+1),(((D8775/100)*(C8775*VLOOKUP(B8775,'Poids des runes'!A:B,2,FALSE)))+1)/VLOOKUP(B8775,'Poids des runes'!A:B,2,FALSE))</f>
        <v>26.5</v>
      </c>
      <c r="F8775">
        <f t="shared" si="137"/>
        <v>26.5</v>
      </c>
    </row>
    <row r="8776" spans="1:6" x14ac:dyDescent="0.3">
      <c r="A8776" t="s">
        <v>1445</v>
      </c>
      <c r="B8776" t="s">
        <v>2145</v>
      </c>
      <c r="C8776">
        <v>13</v>
      </c>
      <c r="D8776">
        <v>200</v>
      </c>
      <c r="E8776">
        <f>IF(OR(B8776="vi",B8776="ii",B8776="pod"),(((D8776/100)*(C8776*VLOOKUP(B8776,'Poids des runes'!A:B,2,FALSE)))+1),(((D8776/100)*(C8776*VLOOKUP(B8776,'Poids des runes'!A:B,2,FALSE)))+1)/VLOOKUP(B8776,'Poids des runes'!A:B,2,FALSE))</f>
        <v>26.5</v>
      </c>
      <c r="F8776">
        <f t="shared" si="137"/>
        <v>26.5</v>
      </c>
    </row>
    <row r="8777" spans="1:6" x14ac:dyDescent="0.3">
      <c r="A8777" t="s">
        <v>1446</v>
      </c>
      <c r="B8777" t="s">
        <v>2128</v>
      </c>
      <c r="C8777">
        <v>350.5</v>
      </c>
      <c r="D8777">
        <v>200</v>
      </c>
      <c r="E8777">
        <f>IF(OR(B8777="vi",B8777="ii",B8777="pod"),(((D8777/100)*(C8777*VLOOKUP(B8777,'Poids des runes'!A:B,2,FALSE)))+1),(((D8777/100)*(C8777*VLOOKUP(B8777,'Poids des runes'!A:B,2,FALSE)))+1)/VLOOKUP(B8777,'Poids des runes'!A:B,2,FALSE))</f>
        <v>141.20000000000002</v>
      </c>
      <c r="F8777">
        <f t="shared" si="137"/>
        <v>141.20000000000002</v>
      </c>
    </row>
    <row r="8778" spans="1:6" x14ac:dyDescent="0.3">
      <c r="A8778" t="s">
        <v>1446</v>
      </c>
      <c r="B8778" t="s">
        <v>2131</v>
      </c>
      <c r="C8778">
        <v>40.5</v>
      </c>
      <c r="D8778">
        <v>200</v>
      </c>
      <c r="E8778">
        <f>IF(OR(B8778="vi",B8778="ii",B8778="pod"),(((D8778/100)*(C8778*VLOOKUP(B8778,'Poids des runes'!A:B,2,FALSE)))+1),(((D8778/100)*(C8778*VLOOKUP(B8778,'Poids des runes'!A:B,2,FALSE)))+1)/VLOOKUP(B8778,'Poids des runes'!A:B,2,FALSE))</f>
        <v>82</v>
      </c>
      <c r="F8778">
        <f t="shared" si="137"/>
        <v>82</v>
      </c>
    </row>
    <row r="8779" spans="1:6" x14ac:dyDescent="0.3">
      <c r="A8779" t="s">
        <v>1446</v>
      </c>
      <c r="B8779" t="s">
        <v>2127</v>
      </c>
      <c r="C8779">
        <v>40.5</v>
      </c>
      <c r="D8779">
        <v>200</v>
      </c>
      <c r="E8779">
        <f>IF(OR(B8779="vi",B8779="ii",B8779="pod"),(((D8779/100)*(C8779*VLOOKUP(B8779,'Poids des runes'!A:B,2,FALSE)))+1),(((D8779/100)*(C8779*VLOOKUP(B8779,'Poids des runes'!A:B,2,FALSE)))+1)/VLOOKUP(B8779,'Poids des runes'!A:B,2,FALSE))</f>
        <v>82</v>
      </c>
      <c r="F8779">
        <f t="shared" si="137"/>
        <v>82</v>
      </c>
    </row>
    <row r="8780" spans="1:6" x14ac:dyDescent="0.3">
      <c r="A8780" t="s">
        <v>1446</v>
      </c>
      <c r="B8780" t="s">
        <v>2129</v>
      </c>
      <c r="C8780">
        <v>35.5</v>
      </c>
      <c r="D8780">
        <v>200</v>
      </c>
      <c r="E8780">
        <f>IF(OR(B8780="vi",B8780="ii",B8780="pod"),(((D8780/100)*(C8780*VLOOKUP(B8780,'Poids des runes'!A:B,2,FALSE)))+1),(((D8780/100)*(C8780*VLOOKUP(B8780,'Poids des runes'!A:B,2,FALSE)))+1)/VLOOKUP(B8780,'Poids des runes'!A:B,2,FALSE))</f>
        <v>72</v>
      </c>
      <c r="F8780">
        <f t="shared" si="137"/>
        <v>72</v>
      </c>
    </row>
    <row r="8781" spans="1:6" x14ac:dyDescent="0.3">
      <c r="A8781" t="s">
        <v>1446</v>
      </c>
      <c r="B8781" t="s">
        <v>2155</v>
      </c>
      <c r="C8781">
        <v>2</v>
      </c>
      <c r="D8781">
        <v>200</v>
      </c>
      <c r="E8781">
        <f>IF(OR(B8781="vi",B8781="ii",B8781="pod"),(((D8781/100)*(C8781*VLOOKUP(B8781,'Poids des runes'!A:B,2,FALSE)))+1),(((D8781/100)*(C8781*VLOOKUP(B8781,'Poids des runes'!A:B,2,FALSE)))+1)/VLOOKUP(B8781,'Poids des runes'!A:B,2,FALSE))</f>
        <v>4.0196078431372548</v>
      </c>
      <c r="F8781">
        <f t="shared" si="137"/>
        <v>4.0196078431372548</v>
      </c>
    </row>
    <row r="8782" spans="1:6" x14ac:dyDescent="0.3">
      <c r="A8782" t="s">
        <v>1446</v>
      </c>
      <c r="B8782" t="s">
        <v>2133</v>
      </c>
      <c r="C8782">
        <v>10</v>
      </c>
      <c r="D8782">
        <v>200</v>
      </c>
      <c r="E8782">
        <f>IF(OR(B8782="vi",B8782="ii",B8782="pod"),(((D8782/100)*(C8782*VLOOKUP(B8782,'Poids des runes'!A:B,2,FALSE)))+1),(((D8782/100)*(C8782*VLOOKUP(B8782,'Poids des runes'!A:B,2,FALSE)))+1)/VLOOKUP(B8782,'Poids des runes'!A:B,2,FALSE))</f>
        <v>20.2</v>
      </c>
      <c r="F8782">
        <f t="shared" si="137"/>
        <v>20.2</v>
      </c>
    </row>
    <row r="8783" spans="1:6" x14ac:dyDescent="0.3">
      <c r="A8783" t="s">
        <v>1446</v>
      </c>
      <c r="B8783" t="s">
        <v>2153</v>
      </c>
      <c r="C8783">
        <v>10</v>
      </c>
      <c r="D8783">
        <v>200</v>
      </c>
      <c r="E8783">
        <f>IF(OR(B8783="vi",B8783="ii",B8783="pod"),(((D8783/100)*(C8783*VLOOKUP(B8783,'Poids des runes'!A:B,2,FALSE)))+1),(((D8783/100)*(C8783*VLOOKUP(B8783,'Poids des runes'!A:B,2,FALSE)))+1)/VLOOKUP(B8783,'Poids des runes'!A:B,2,FALSE))</f>
        <v>20.2</v>
      </c>
      <c r="F8783">
        <f t="shared" si="137"/>
        <v>20.2</v>
      </c>
    </row>
    <row r="8784" spans="1:6" x14ac:dyDescent="0.3">
      <c r="A8784" t="s">
        <v>1446</v>
      </c>
      <c r="B8784" t="s">
        <v>2141</v>
      </c>
      <c r="C8784">
        <v>6</v>
      </c>
      <c r="D8784">
        <v>200</v>
      </c>
      <c r="E8784">
        <f>IF(OR(B8784="vi",B8784="ii",B8784="pod"),(((D8784/100)*(C8784*VLOOKUP(B8784,'Poids des runes'!A:B,2,FALSE)))+1),(((D8784/100)*(C8784*VLOOKUP(B8784,'Poids des runes'!A:B,2,FALSE)))+1)/VLOOKUP(B8784,'Poids des runes'!A:B,2,FALSE))</f>
        <v>12.25</v>
      </c>
      <c r="F8784">
        <f t="shared" si="137"/>
        <v>12.25</v>
      </c>
    </row>
    <row r="8785" spans="1:6" x14ac:dyDescent="0.3">
      <c r="A8785" t="s">
        <v>1446</v>
      </c>
      <c r="B8785" t="s">
        <v>2142</v>
      </c>
      <c r="C8785">
        <v>23</v>
      </c>
      <c r="D8785">
        <v>200</v>
      </c>
      <c r="E8785">
        <f>IF(OR(B8785="vi",B8785="ii",B8785="pod"),(((D8785/100)*(C8785*VLOOKUP(B8785,'Poids des runes'!A:B,2,FALSE)))+1),(((D8785/100)*(C8785*VLOOKUP(B8785,'Poids des runes'!A:B,2,FALSE)))+1)/VLOOKUP(B8785,'Poids des runes'!A:B,2,FALSE))</f>
        <v>46.2</v>
      </c>
      <c r="F8785">
        <f t="shared" si="137"/>
        <v>46.2</v>
      </c>
    </row>
    <row r="8786" spans="1:6" x14ac:dyDescent="0.3">
      <c r="A8786" t="s">
        <v>1446</v>
      </c>
      <c r="B8786" t="s">
        <v>2147</v>
      </c>
      <c r="C8786">
        <v>6</v>
      </c>
      <c r="D8786">
        <v>200</v>
      </c>
      <c r="E8786">
        <f>IF(OR(B8786="vi",B8786="ii",B8786="pod"),(((D8786/100)*(C8786*VLOOKUP(B8786,'Poids des runes'!A:B,2,FALSE)))+1),(((D8786/100)*(C8786*VLOOKUP(B8786,'Poids des runes'!A:B,2,FALSE)))+1)/VLOOKUP(B8786,'Poids des runes'!A:B,2,FALSE))</f>
        <v>12.166666666666666</v>
      </c>
      <c r="F8786">
        <f t="shared" si="137"/>
        <v>12.166666666666666</v>
      </c>
    </row>
    <row r="8787" spans="1:6" x14ac:dyDescent="0.3">
      <c r="A8787" t="s">
        <v>1446</v>
      </c>
      <c r="B8787" t="s">
        <v>2157</v>
      </c>
      <c r="C8787">
        <v>6</v>
      </c>
      <c r="D8787">
        <v>200</v>
      </c>
      <c r="E8787">
        <f>IF(OR(B8787="vi",B8787="ii",B8787="pod"),(((D8787/100)*(C8787*VLOOKUP(B8787,'Poids des runes'!A:B,2,FALSE)))+1),(((D8787/100)*(C8787*VLOOKUP(B8787,'Poids des runes'!A:B,2,FALSE)))+1)/VLOOKUP(B8787,'Poids des runes'!A:B,2,FALSE))</f>
        <v>12.166666666666666</v>
      </c>
      <c r="F8787">
        <f t="shared" si="137"/>
        <v>12.166666666666666</v>
      </c>
    </row>
    <row r="8788" spans="1:6" x14ac:dyDescent="0.3">
      <c r="A8788" t="s">
        <v>1447</v>
      </c>
      <c r="B8788" t="s">
        <v>2128</v>
      </c>
      <c r="C8788">
        <v>325.5</v>
      </c>
      <c r="D8788">
        <v>200</v>
      </c>
      <c r="E8788">
        <f>IF(OR(B8788="vi",B8788="ii",B8788="pod"),(((D8788/100)*(C8788*VLOOKUP(B8788,'Poids des runes'!A:B,2,FALSE)))+1),(((D8788/100)*(C8788*VLOOKUP(B8788,'Poids des runes'!A:B,2,FALSE)))+1)/VLOOKUP(B8788,'Poids des runes'!A:B,2,FALSE))</f>
        <v>131.20000000000002</v>
      </c>
      <c r="F8788">
        <f t="shared" si="137"/>
        <v>131.20000000000002</v>
      </c>
    </row>
    <row r="8789" spans="1:6" x14ac:dyDescent="0.3">
      <c r="A8789" t="s">
        <v>1447</v>
      </c>
      <c r="B8789" t="s">
        <v>2126</v>
      </c>
      <c r="C8789">
        <v>70.5</v>
      </c>
      <c r="D8789">
        <v>200</v>
      </c>
      <c r="E8789">
        <f>IF(OR(B8789="vi",B8789="ii",B8789="pod"),(((D8789/100)*(C8789*VLOOKUP(B8789,'Poids des runes'!A:B,2,FALSE)))+1),(((D8789/100)*(C8789*VLOOKUP(B8789,'Poids des runes'!A:B,2,FALSE)))+1)/VLOOKUP(B8789,'Poids des runes'!A:B,2,FALSE))</f>
        <v>142</v>
      </c>
      <c r="F8789">
        <f t="shared" si="137"/>
        <v>142</v>
      </c>
    </row>
    <row r="8790" spans="1:6" x14ac:dyDescent="0.3">
      <c r="A8790" t="s">
        <v>1447</v>
      </c>
      <c r="B8790" t="s">
        <v>2131</v>
      </c>
      <c r="C8790">
        <v>70.5</v>
      </c>
      <c r="D8790">
        <v>200</v>
      </c>
      <c r="E8790">
        <f>IF(OR(B8790="vi",B8790="ii",B8790="pod"),(((D8790/100)*(C8790*VLOOKUP(B8790,'Poids des runes'!A:B,2,FALSE)))+1),(((D8790/100)*(C8790*VLOOKUP(B8790,'Poids des runes'!A:B,2,FALSE)))+1)/VLOOKUP(B8790,'Poids des runes'!A:B,2,FALSE))</f>
        <v>142</v>
      </c>
      <c r="F8790">
        <f t="shared" si="137"/>
        <v>142</v>
      </c>
    </row>
    <row r="8791" spans="1:6" x14ac:dyDescent="0.3">
      <c r="A8791" t="s">
        <v>1447</v>
      </c>
      <c r="B8791" t="s">
        <v>2129</v>
      </c>
      <c r="C8791">
        <v>25.5</v>
      </c>
      <c r="D8791">
        <v>200</v>
      </c>
      <c r="E8791">
        <f>IF(OR(B8791="vi",B8791="ii",B8791="pod"),(((D8791/100)*(C8791*VLOOKUP(B8791,'Poids des runes'!A:B,2,FALSE)))+1),(((D8791/100)*(C8791*VLOOKUP(B8791,'Poids des runes'!A:B,2,FALSE)))+1)/VLOOKUP(B8791,'Poids des runes'!A:B,2,FALSE))</f>
        <v>52</v>
      </c>
      <c r="F8791">
        <f t="shared" si="137"/>
        <v>52</v>
      </c>
    </row>
    <row r="8792" spans="1:6" x14ac:dyDescent="0.3">
      <c r="A8792" t="s">
        <v>1447</v>
      </c>
      <c r="B8792" t="s">
        <v>2140</v>
      </c>
      <c r="C8792">
        <v>13</v>
      </c>
      <c r="D8792">
        <v>200</v>
      </c>
      <c r="E8792">
        <f>IF(OR(B8792="vi",B8792="ii",B8792="pod"),(((D8792/100)*(C8792*VLOOKUP(B8792,'Poids des runes'!A:B,2,FALSE)))+1),(((D8792/100)*(C8792*VLOOKUP(B8792,'Poids des runes'!A:B,2,FALSE)))+1)/VLOOKUP(B8792,'Poids des runes'!A:B,2,FALSE))</f>
        <v>26.2</v>
      </c>
      <c r="F8792">
        <f t="shared" si="137"/>
        <v>26.2</v>
      </c>
    </row>
    <row r="8793" spans="1:6" x14ac:dyDescent="0.3">
      <c r="A8793" t="s">
        <v>1447</v>
      </c>
      <c r="B8793" t="s">
        <v>2133</v>
      </c>
      <c r="C8793">
        <v>13</v>
      </c>
      <c r="D8793">
        <v>200</v>
      </c>
      <c r="E8793">
        <f>IF(OR(B8793="vi",B8793="ii",B8793="pod"),(((D8793/100)*(C8793*VLOOKUP(B8793,'Poids des runes'!A:B,2,FALSE)))+1),(((D8793/100)*(C8793*VLOOKUP(B8793,'Poids des runes'!A:B,2,FALSE)))+1)/VLOOKUP(B8793,'Poids des runes'!A:B,2,FALSE))</f>
        <v>26.2</v>
      </c>
      <c r="F8793">
        <f t="shared" si="137"/>
        <v>26.2</v>
      </c>
    </row>
    <row r="8794" spans="1:6" x14ac:dyDescent="0.3">
      <c r="A8794" t="s">
        <v>1447</v>
      </c>
      <c r="B8794" t="s">
        <v>2149</v>
      </c>
      <c r="C8794">
        <v>13</v>
      </c>
      <c r="D8794">
        <v>200</v>
      </c>
      <c r="E8794">
        <f>IF(OR(B8794="vi",B8794="ii",B8794="pod"),(((D8794/100)*(C8794*VLOOKUP(B8794,'Poids des runes'!A:B,2,FALSE)))+1),(((D8794/100)*(C8794*VLOOKUP(B8794,'Poids des runes'!A:B,2,FALSE)))+1)/VLOOKUP(B8794,'Poids des runes'!A:B,2,FALSE))</f>
        <v>26.1</v>
      </c>
      <c r="F8794">
        <f t="shared" si="137"/>
        <v>26.1</v>
      </c>
    </row>
    <row r="8795" spans="1:6" x14ac:dyDescent="0.3">
      <c r="A8795" t="s">
        <v>1447</v>
      </c>
      <c r="B8795" t="s">
        <v>2135</v>
      </c>
      <c r="C8795">
        <v>8.5</v>
      </c>
      <c r="D8795">
        <v>200</v>
      </c>
      <c r="E8795">
        <f>IF(OR(B8795="vi",B8795="ii",B8795="pod"),(((D8795/100)*(C8795*VLOOKUP(B8795,'Poids des runes'!A:B,2,FALSE)))+1),(((D8795/100)*(C8795*VLOOKUP(B8795,'Poids des runes'!A:B,2,FALSE)))+1)/VLOOKUP(B8795,'Poids des runes'!A:B,2,FALSE))</f>
        <v>17.166666666666668</v>
      </c>
      <c r="F8795">
        <f t="shared" si="137"/>
        <v>17.166666666666668</v>
      </c>
    </row>
    <row r="8796" spans="1:6" x14ac:dyDescent="0.3">
      <c r="A8796" t="s">
        <v>1447</v>
      </c>
      <c r="B8796" t="s">
        <v>2157</v>
      </c>
      <c r="C8796">
        <v>8.5</v>
      </c>
      <c r="D8796">
        <v>200</v>
      </c>
      <c r="E8796">
        <f>IF(OR(B8796="vi",B8796="ii",B8796="pod"),(((D8796/100)*(C8796*VLOOKUP(B8796,'Poids des runes'!A:B,2,FALSE)))+1),(((D8796/100)*(C8796*VLOOKUP(B8796,'Poids des runes'!A:B,2,FALSE)))+1)/VLOOKUP(B8796,'Poids des runes'!A:B,2,FALSE))</f>
        <v>17.166666666666668</v>
      </c>
      <c r="F8796">
        <f t="shared" si="137"/>
        <v>17.166666666666668</v>
      </c>
    </row>
    <row r="8797" spans="1:6" x14ac:dyDescent="0.3">
      <c r="A8797" t="s">
        <v>1448</v>
      </c>
      <c r="B8797" t="s">
        <v>2128</v>
      </c>
      <c r="C8797">
        <v>275.5</v>
      </c>
      <c r="D8797">
        <v>200</v>
      </c>
      <c r="E8797">
        <f>IF(OR(B8797="vi",B8797="ii",B8797="pod"),(((D8797/100)*(C8797*VLOOKUP(B8797,'Poids des runes'!A:B,2,FALSE)))+1),(((D8797/100)*(C8797*VLOOKUP(B8797,'Poids des runes'!A:B,2,FALSE)))+1)/VLOOKUP(B8797,'Poids des runes'!A:B,2,FALSE))</f>
        <v>111.2</v>
      </c>
      <c r="F8797">
        <f t="shared" si="137"/>
        <v>111.2</v>
      </c>
    </row>
    <row r="8798" spans="1:6" x14ac:dyDescent="0.3">
      <c r="A8798" t="s">
        <v>1448</v>
      </c>
      <c r="B8798" t="s">
        <v>2126</v>
      </c>
      <c r="C8798">
        <v>50.5</v>
      </c>
      <c r="D8798">
        <v>200</v>
      </c>
      <c r="E8798">
        <f>IF(OR(B8798="vi",B8798="ii",B8798="pod"),(((D8798/100)*(C8798*VLOOKUP(B8798,'Poids des runes'!A:B,2,FALSE)))+1),(((D8798/100)*(C8798*VLOOKUP(B8798,'Poids des runes'!A:B,2,FALSE)))+1)/VLOOKUP(B8798,'Poids des runes'!A:B,2,FALSE))</f>
        <v>102</v>
      </c>
      <c r="F8798">
        <f t="shared" si="137"/>
        <v>102</v>
      </c>
    </row>
    <row r="8799" spans="1:6" x14ac:dyDescent="0.3">
      <c r="A8799" t="s">
        <v>1448</v>
      </c>
      <c r="B8799" t="s">
        <v>2131</v>
      </c>
      <c r="C8799">
        <v>50.5</v>
      </c>
      <c r="D8799">
        <v>200</v>
      </c>
      <c r="E8799">
        <f>IF(OR(B8799="vi",B8799="ii",B8799="pod"),(((D8799/100)*(C8799*VLOOKUP(B8799,'Poids des runes'!A:B,2,FALSE)))+1),(((D8799/100)*(C8799*VLOOKUP(B8799,'Poids des runes'!A:B,2,FALSE)))+1)/VLOOKUP(B8799,'Poids des runes'!A:B,2,FALSE))</f>
        <v>102</v>
      </c>
      <c r="F8799">
        <f t="shared" si="137"/>
        <v>102</v>
      </c>
    </row>
    <row r="8800" spans="1:6" x14ac:dyDescent="0.3">
      <c r="A8800" t="s">
        <v>1448</v>
      </c>
      <c r="B8800" t="s">
        <v>2127</v>
      </c>
      <c r="C8800">
        <v>50.5</v>
      </c>
      <c r="D8800">
        <v>200</v>
      </c>
      <c r="E8800">
        <f>IF(OR(B8800="vi",B8800="ii",B8800="pod"),(((D8800/100)*(C8800*VLOOKUP(B8800,'Poids des runes'!A:B,2,FALSE)))+1),(((D8800/100)*(C8800*VLOOKUP(B8800,'Poids des runes'!A:B,2,FALSE)))+1)/VLOOKUP(B8800,'Poids des runes'!A:B,2,FALSE))</f>
        <v>102</v>
      </c>
      <c r="F8800">
        <f t="shared" si="137"/>
        <v>102</v>
      </c>
    </row>
    <row r="8801" spans="1:6" x14ac:dyDescent="0.3">
      <c r="A8801" t="s">
        <v>1448</v>
      </c>
      <c r="B8801" t="s">
        <v>2129</v>
      </c>
      <c r="C8801">
        <v>40.5</v>
      </c>
      <c r="D8801">
        <v>200</v>
      </c>
      <c r="E8801">
        <f>IF(OR(B8801="vi",B8801="ii",B8801="pod"),(((D8801/100)*(C8801*VLOOKUP(B8801,'Poids des runes'!A:B,2,FALSE)))+1),(((D8801/100)*(C8801*VLOOKUP(B8801,'Poids des runes'!A:B,2,FALSE)))+1)/VLOOKUP(B8801,'Poids des runes'!A:B,2,FALSE))</f>
        <v>82</v>
      </c>
      <c r="F8801">
        <f t="shared" si="137"/>
        <v>82</v>
      </c>
    </row>
    <row r="8802" spans="1:6" x14ac:dyDescent="0.3">
      <c r="A8802" t="s">
        <v>1448</v>
      </c>
      <c r="B8802" t="s">
        <v>2151</v>
      </c>
      <c r="C8802">
        <v>2.5</v>
      </c>
      <c r="D8802">
        <v>200</v>
      </c>
      <c r="E8802">
        <f>IF(OR(B8802="vi",B8802="ii",B8802="pod"),(((D8802/100)*(C8802*VLOOKUP(B8802,'Poids des runes'!A:B,2,FALSE)))+1),(((D8802/100)*(C8802*VLOOKUP(B8802,'Poids des runes'!A:B,2,FALSE)))+1)/VLOOKUP(B8802,'Poids des runes'!A:B,2,FALSE))</f>
        <v>5.0999999999999996</v>
      </c>
      <c r="F8802">
        <f t="shared" si="137"/>
        <v>5.0999999999999996</v>
      </c>
    </row>
    <row r="8803" spans="1:6" x14ac:dyDescent="0.3">
      <c r="A8803" t="s">
        <v>1448</v>
      </c>
      <c r="B8803" t="s">
        <v>2150</v>
      </c>
      <c r="C8803">
        <v>1</v>
      </c>
      <c r="D8803">
        <v>200</v>
      </c>
      <c r="E8803">
        <f>IF(OR(B8803="vi",B8803="ii",B8803="pod"),(((D8803/100)*(C8803*VLOOKUP(B8803,'Poids des runes'!A:B,2,FALSE)))+1),(((D8803/100)*(C8803*VLOOKUP(B8803,'Poids des runes'!A:B,2,FALSE)))+1)/VLOOKUP(B8803,'Poids des runes'!A:B,2,FALSE))</f>
        <v>2.0333333333333332</v>
      </c>
      <c r="F8803">
        <f t="shared" si="137"/>
        <v>2.0333333333333332</v>
      </c>
    </row>
    <row r="8804" spans="1:6" x14ac:dyDescent="0.3">
      <c r="A8804" t="s">
        <v>1448</v>
      </c>
      <c r="B8804" t="s">
        <v>2140</v>
      </c>
      <c r="C8804">
        <v>10.5</v>
      </c>
      <c r="D8804">
        <v>200</v>
      </c>
      <c r="E8804">
        <f>IF(OR(B8804="vi",B8804="ii",B8804="pod"),(((D8804/100)*(C8804*VLOOKUP(B8804,'Poids des runes'!A:B,2,FALSE)))+1),(((D8804/100)*(C8804*VLOOKUP(B8804,'Poids des runes'!A:B,2,FALSE)))+1)/VLOOKUP(B8804,'Poids des runes'!A:B,2,FALSE))</f>
        <v>21.2</v>
      </c>
      <c r="F8804">
        <f t="shared" si="137"/>
        <v>21.2</v>
      </c>
    </row>
    <row r="8805" spans="1:6" x14ac:dyDescent="0.3">
      <c r="A8805" t="s">
        <v>1448</v>
      </c>
      <c r="B8805" t="s">
        <v>2133</v>
      </c>
      <c r="C8805">
        <v>10.5</v>
      </c>
      <c r="D8805">
        <v>200</v>
      </c>
      <c r="E8805">
        <f>IF(OR(B8805="vi",B8805="ii",B8805="pod"),(((D8805/100)*(C8805*VLOOKUP(B8805,'Poids des runes'!A:B,2,FALSE)))+1),(((D8805/100)*(C8805*VLOOKUP(B8805,'Poids des runes'!A:B,2,FALSE)))+1)/VLOOKUP(B8805,'Poids des runes'!A:B,2,FALSE))</f>
        <v>21.2</v>
      </c>
      <c r="F8805">
        <f t="shared" si="137"/>
        <v>21.2</v>
      </c>
    </row>
    <row r="8806" spans="1:6" x14ac:dyDescent="0.3">
      <c r="A8806" t="s">
        <v>1448</v>
      </c>
      <c r="B8806" t="s">
        <v>2153</v>
      </c>
      <c r="C8806">
        <v>10.5</v>
      </c>
      <c r="D8806">
        <v>200</v>
      </c>
      <c r="E8806">
        <f>IF(OR(B8806="vi",B8806="ii",B8806="pod"),(((D8806/100)*(C8806*VLOOKUP(B8806,'Poids des runes'!A:B,2,FALSE)))+1),(((D8806/100)*(C8806*VLOOKUP(B8806,'Poids des runes'!A:B,2,FALSE)))+1)/VLOOKUP(B8806,'Poids des runes'!A:B,2,FALSE))</f>
        <v>21.2</v>
      </c>
      <c r="F8806">
        <f t="shared" si="137"/>
        <v>21.2</v>
      </c>
    </row>
    <row r="8807" spans="1:6" x14ac:dyDescent="0.3">
      <c r="A8807" t="s">
        <v>1448</v>
      </c>
      <c r="B8807" t="s">
        <v>2138</v>
      </c>
      <c r="C8807">
        <v>8.5</v>
      </c>
      <c r="D8807">
        <v>200</v>
      </c>
      <c r="E8807">
        <f>IF(OR(B8807="vi",B8807="ii",B8807="pod"),(((D8807/100)*(C8807*VLOOKUP(B8807,'Poids des runes'!A:B,2,FALSE)))+1),(((D8807/100)*(C8807*VLOOKUP(B8807,'Poids des runes'!A:B,2,FALSE)))+1)/VLOOKUP(B8807,'Poids des runes'!A:B,2,FALSE))</f>
        <v>17.25</v>
      </c>
      <c r="F8807">
        <f t="shared" si="137"/>
        <v>17.25</v>
      </c>
    </row>
    <row r="8808" spans="1:6" x14ac:dyDescent="0.3">
      <c r="A8808" t="s">
        <v>1448</v>
      </c>
      <c r="B8808" t="s">
        <v>2142</v>
      </c>
      <c r="C8808">
        <v>18</v>
      </c>
      <c r="D8808">
        <v>200</v>
      </c>
      <c r="E8808">
        <f>IF(OR(B8808="vi",B8808="ii",B8808="pod"),(((D8808/100)*(C8808*VLOOKUP(B8808,'Poids des runes'!A:B,2,FALSE)))+1),(((D8808/100)*(C8808*VLOOKUP(B8808,'Poids des runes'!A:B,2,FALSE)))+1)/VLOOKUP(B8808,'Poids des runes'!A:B,2,FALSE))</f>
        <v>36.200000000000003</v>
      </c>
      <c r="F8808">
        <f t="shared" si="137"/>
        <v>36.200000000000003</v>
      </c>
    </row>
    <row r="8809" spans="1:6" x14ac:dyDescent="0.3">
      <c r="A8809" t="s">
        <v>1448</v>
      </c>
      <c r="B8809" t="s">
        <v>2147</v>
      </c>
      <c r="C8809">
        <v>8.5</v>
      </c>
      <c r="D8809">
        <v>200</v>
      </c>
      <c r="E8809">
        <f>IF(OR(B8809="vi",B8809="ii",B8809="pod"),(((D8809/100)*(C8809*VLOOKUP(B8809,'Poids des runes'!A:B,2,FALSE)))+1),(((D8809/100)*(C8809*VLOOKUP(B8809,'Poids des runes'!A:B,2,FALSE)))+1)/VLOOKUP(B8809,'Poids des runes'!A:B,2,FALSE))</f>
        <v>17.166666666666668</v>
      </c>
      <c r="F8809">
        <f t="shared" si="137"/>
        <v>17.166666666666668</v>
      </c>
    </row>
    <row r="8810" spans="1:6" x14ac:dyDescent="0.3">
      <c r="A8810" t="s">
        <v>1449</v>
      </c>
      <c r="B8810" t="s">
        <v>2128</v>
      </c>
      <c r="C8810">
        <v>275.5</v>
      </c>
      <c r="D8810">
        <v>200</v>
      </c>
      <c r="E8810">
        <f>IF(OR(B8810="vi",B8810="ii",B8810="pod"),(((D8810/100)*(C8810*VLOOKUP(B8810,'Poids des runes'!A:B,2,FALSE)))+1),(((D8810/100)*(C8810*VLOOKUP(B8810,'Poids des runes'!A:B,2,FALSE)))+1)/VLOOKUP(B8810,'Poids des runes'!A:B,2,FALSE))</f>
        <v>111.2</v>
      </c>
      <c r="F8810">
        <f t="shared" si="137"/>
        <v>111.2</v>
      </c>
    </row>
    <row r="8811" spans="1:6" x14ac:dyDescent="0.3">
      <c r="A8811" t="s">
        <v>1449</v>
      </c>
      <c r="B8811" t="s">
        <v>2126</v>
      </c>
      <c r="C8811">
        <v>70.5</v>
      </c>
      <c r="D8811">
        <v>200</v>
      </c>
      <c r="E8811">
        <f>IF(OR(B8811="vi",B8811="ii",B8811="pod"),(((D8811/100)*(C8811*VLOOKUP(B8811,'Poids des runes'!A:B,2,FALSE)))+1),(((D8811/100)*(C8811*VLOOKUP(B8811,'Poids des runes'!A:B,2,FALSE)))+1)/VLOOKUP(B8811,'Poids des runes'!A:B,2,FALSE))</f>
        <v>142</v>
      </c>
      <c r="F8811">
        <f t="shared" si="137"/>
        <v>142</v>
      </c>
    </row>
    <row r="8812" spans="1:6" x14ac:dyDescent="0.3">
      <c r="A8812" t="s">
        <v>1449</v>
      </c>
      <c r="B8812" t="s">
        <v>2129</v>
      </c>
      <c r="C8812">
        <v>25.5</v>
      </c>
      <c r="D8812">
        <v>200</v>
      </c>
      <c r="E8812">
        <f>IF(OR(B8812="vi",B8812="ii",B8812="pod"),(((D8812/100)*(C8812*VLOOKUP(B8812,'Poids des runes'!A:B,2,FALSE)))+1),(((D8812/100)*(C8812*VLOOKUP(B8812,'Poids des runes'!A:B,2,FALSE)))+1)/VLOOKUP(B8812,'Poids des runes'!A:B,2,FALSE))</f>
        <v>52</v>
      </c>
      <c r="F8812">
        <f t="shared" si="137"/>
        <v>52</v>
      </c>
    </row>
    <row r="8813" spans="1:6" x14ac:dyDescent="0.3">
      <c r="A8813" t="s">
        <v>1449</v>
      </c>
      <c r="B8813" t="s">
        <v>2151</v>
      </c>
      <c r="C8813">
        <v>3.5</v>
      </c>
      <c r="D8813">
        <v>200</v>
      </c>
      <c r="E8813">
        <f>IF(OR(B8813="vi",B8813="ii",B8813="pod"),(((D8813/100)*(C8813*VLOOKUP(B8813,'Poids des runes'!A:B,2,FALSE)))+1),(((D8813/100)*(C8813*VLOOKUP(B8813,'Poids des runes'!A:B,2,FALSE)))+1)/VLOOKUP(B8813,'Poids des runes'!A:B,2,FALSE))</f>
        <v>7.1</v>
      </c>
      <c r="F8813">
        <f t="shared" si="137"/>
        <v>7.1</v>
      </c>
    </row>
    <row r="8814" spans="1:6" x14ac:dyDescent="0.3">
      <c r="A8814" t="s">
        <v>1449</v>
      </c>
      <c r="B8814" t="s">
        <v>2155</v>
      </c>
      <c r="C8814">
        <v>1</v>
      </c>
      <c r="D8814">
        <v>200</v>
      </c>
      <c r="E8814">
        <f>IF(OR(B8814="vi",B8814="ii",B8814="pod"),(((D8814/100)*(C8814*VLOOKUP(B8814,'Poids des runes'!A:B,2,FALSE)))+1),(((D8814/100)*(C8814*VLOOKUP(B8814,'Poids des runes'!A:B,2,FALSE)))+1)/VLOOKUP(B8814,'Poids des runes'!A:B,2,FALSE))</f>
        <v>2.0196078431372548</v>
      </c>
      <c r="F8814">
        <f t="shared" si="137"/>
        <v>2.0196078431372548</v>
      </c>
    </row>
    <row r="8815" spans="1:6" x14ac:dyDescent="0.3">
      <c r="A8815" t="s">
        <v>1449</v>
      </c>
      <c r="B8815" t="s">
        <v>2140</v>
      </c>
      <c r="C8815">
        <v>18</v>
      </c>
      <c r="D8815">
        <v>200</v>
      </c>
      <c r="E8815">
        <f>IF(OR(B8815="vi",B8815="ii",B8815="pod"),(((D8815/100)*(C8815*VLOOKUP(B8815,'Poids des runes'!A:B,2,FALSE)))+1),(((D8815/100)*(C8815*VLOOKUP(B8815,'Poids des runes'!A:B,2,FALSE)))+1)/VLOOKUP(B8815,'Poids des runes'!A:B,2,FALSE))</f>
        <v>36.200000000000003</v>
      </c>
      <c r="F8815">
        <f t="shared" si="137"/>
        <v>36.200000000000003</v>
      </c>
    </row>
    <row r="8816" spans="1:6" x14ac:dyDescent="0.3">
      <c r="A8816" t="s">
        <v>1449</v>
      </c>
      <c r="B8816" t="s">
        <v>2149</v>
      </c>
      <c r="C8816">
        <v>13</v>
      </c>
      <c r="D8816">
        <v>200</v>
      </c>
      <c r="E8816">
        <f>IF(OR(B8816="vi",B8816="ii",B8816="pod"),(((D8816/100)*(C8816*VLOOKUP(B8816,'Poids des runes'!A:B,2,FALSE)))+1),(((D8816/100)*(C8816*VLOOKUP(B8816,'Poids des runes'!A:B,2,FALSE)))+1)/VLOOKUP(B8816,'Poids des runes'!A:B,2,FALSE))</f>
        <v>26.1</v>
      </c>
      <c r="F8816">
        <f t="shared" si="137"/>
        <v>26.1</v>
      </c>
    </row>
    <row r="8817" spans="1:6" x14ac:dyDescent="0.3">
      <c r="A8817" t="s">
        <v>1449</v>
      </c>
      <c r="B8817" t="s">
        <v>2161</v>
      </c>
      <c r="C8817">
        <v>13</v>
      </c>
      <c r="D8817">
        <v>200</v>
      </c>
      <c r="E8817">
        <f>IF(OR(B8817="vi",B8817="ii",B8817="pod"),(((D8817/100)*(C8817*VLOOKUP(B8817,'Poids des runes'!A:B,2,FALSE)))+1),(((D8817/100)*(C8817*VLOOKUP(B8817,'Poids des runes'!A:B,2,FALSE)))+1)/VLOOKUP(B8817,'Poids des runes'!A:B,2,FALSE))</f>
        <v>26.333333333333332</v>
      </c>
      <c r="F8817">
        <f t="shared" si="137"/>
        <v>26.333333333333332</v>
      </c>
    </row>
    <row r="8818" spans="1:6" x14ac:dyDescent="0.3">
      <c r="A8818" t="s">
        <v>1449</v>
      </c>
      <c r="B8818" t="s">
        <v>2132</v>
      </c>
      <c r="C8818">
        <v>175.5</v>
      </c>
      <c r="D8818">
        <v>200</v>
      </c>
      <c r="E8818">
        <f>IF(OR(B8818="vi",B8818="ii",B8818="pod"),(((D8818/100)*(C8818*VLOOKUP(B8818,'Poids des runes'!A:B,2,FALSE)))+1),(((D8818/100)*(C8818*VLOOKUP(B8818,'Poids des runes'!A:B,2,FALSE)))+1)/VLOOKUP(B8818,'Poids des runes'!A:B,2,FALSE))</f>
        <v>36.1</v>
      </c>
      <c r="F8818">
        <f t="shared" si="137"/>
        <v>36.1</v>
      </c>
    </row>
    <row r="8819" spans="1:6" x14ac:dyDescent="0.3">
      <c r="A8819" t="s">
        <v>1449</v>
      </c>
      <c r="B8819" t="s">
        <v>2141</v>
      </c>
      <c r="C8819">
        <v>5.5</v>
      </c>
      <c r="D8819">
        <v>200</v>
      </c>
      <c r="E8819">
        <f>IF(OR(B8819="vi",B8819="ii",B8819="pod"),(((D8819/100)*(C8819*VLOOKUP(B8819,'Poids des runes'!A:B,2,FALSE)))+1),(((D8819/100)*(C8819*VLOOKUP(B8819,'Poids des runes'!A:B,2,FALSE)))+1)/VLOOKUP(B8819,'Poids des runes'!A:B,2,FALSE))</f>
        <v>11.25</v>
      </c>
      <c r="F8819">
        <f t="shared" si="137"/>
        <v>11.25</v>
      </c>
    </row>
    <row r="8820" spans="1:6" x14ac:dyDescent="0.3">
      <c r="A8820" t="s">
        <v>1449</v>
      </c>
      <c r="B8820" t="s">
        <v>2156</v>
      </c>
      <c r="C8820">
        <v>8.5</v>
      </c>
      <c r="D8820">
        <v>200</v>
      </c>
      <c r="E8820">
        <f>IF(OR(B8820="vi",B8820="ii",B8820="pod"),(((D8820/100)*(C8820*VLOOKUP(B8820,'Poids des runes'!A:B,2,FALSE)))+1),(((D8820/100)*(C8820*VLOOKUP(B8820,'Poids des runes'!A:B,2,FALSE)))+1)/VLOOKUP(B8820,'Poids des runes'!A:B,2,FALSE))</f>
        <v>17.166666666666668</v>
      </c>
      <c r="F8820">
        <f t="shared" si="137"/>
        <v>17.166666666666668</v>
      </c>
    </row>
    <row r="8821" spans="1:6" x14ac:dyDescent="0.3">
      <c r="A8821" t="s">
        <v>1449</v>
      </c>
      <c r="B8821" t="s">
        <v>2148</v>
      </c>
      <c r="C8821">
        <v>8.5</v>
      </c>
      <c r="D8821">
        <v>200</v>
      </c>
      <c r="E8821">
        <f>IF(OR(B8821="vi",B8821="ii",B8821="pod"),(((D8821/100)*(C8821*VLOOKUP(B8821,'Poids des runes'!A:B,2,FALSE)))+1),(((D8821/100)*(C8821*VLOOKUP(B8821,'Poids des runes'!A:B,2,FALSE)))+1)/VLOOKUP(B8821,'Poids des runes'!A:B,2,FALSE))</f>
        <v>17.166666666666668</v>
      </c>
      <c r="F8821">
        <f t="shared" si="137"/>
        <v>17.166666666666668</v>
      </c>
    </row>
    <row r="8822" spans="1:6" x14ac:dyDescent="0.3">
      <c r="A8822" t="s">
        <v>1450</v>
      </c>
      <c r="B8822" t="s">
        <v>2128</v>
      </c>
      <c r="C8822">
        <v>325.5</v>
      </c>
      <c r="D8822">
        <v>200</v>
      </c>
      <c r="E8822">
        <f>IF(OR(B8822="vi",B8822="ii",B8822="pod"),(((D8822/100)*(C8822*VLOOKUP(B8822,'Poids des runes'!A:B,2,FALSE)))+1),(((D8822/100)*(C8822*VLOOKUP(B8822,'Poids des runes'!A:B,2,FALSE)))+1)/VLOOKUP(B8822,'Poids des runes'!A:B,2,FALSE))</f>
        <v>131.20000000000002</v>
      </c>
      <c r="F8822">
        <f t="shared" si="137"/>
        <v>131.20000000000002</v>
      </c>
    </row>
    <row r="8823" spans="1:6" x14ac:dyDescent="0.3">
      <c r="A8823" t="s">
        <v>1450</v>
      </c>
      <c r="B8823" t="s">
        <v>2130</v>
      </c>
      <c r="C8823">
        <v>60.5</v>
      </c>
      <c r="D8823">
        <v>200</v>
      </c>
      <c r="E8823">
        <f>IF(OR(B8823="vi",B8823="ii",B8823="pod"),(((D8823/100)*(C8823*VLOOKUP(B8823,'Poids des runes'!A:B,2,FALSE)))+1),(((D8823/100)*(C8823*VLOOKUP(B8823,'Poids des runes'!A:B,2,FALSE)))+1)/VLOOKUP(B8823,'Poids des runes'!A:B,2,FALSE))</f>
        <v>122</v>
      </c>
      <c r="F8823">
        <f t="shared" si="137"/>
        <v>122</v>
      </c>
    </row>
    <row r="8824" spans="1:6" x14ac:dyDescent="0.3">
      <c r="A8824" t="s">
        <v>1450</v>
      </c>
      <c r="B8824" t="s">
        <v>2127</v>
      </c>
      <c r="C8824">
        <v>60.5</v>
      </c>
      <c r="D8824">
        <v>200</v>
      </c>
      <c r="E8824">
        <f>IF(OR(B8824="vi",B8824="ii",B8824="pod"),(((D8824/100)*(C8824*VLOOKUP(B8824,'Poids des runes'!A:B,2,FALSE)))+1),(((D8824/100)*(C8824*VLOOKUP(B8824,'Poids des runes'!A:B,2,FALSE)))+1)/VLOOKUP(B8824,'Poids des runes'!A:B,2,FALSE))</f>
        <v>122</v>
      </c>
      <c r="F8824">
        <f t="shared" si="137"/>
        <v>122</v>
      </c>
    </row>
    <row r="8825" spans="1:6" x14ac:dyDescent="0.3">
      <c r="A8825" t="s">
        <v>1450</v>
      </c>
      <c r="B8825" t="s">
        <v>2129</v>
      </c>
      <c r="C8825">
        <v>35.5</v>
      </c>
      <c r="D8825">
        <v>200</v>
      </c>
      <c r="E8825">
        <f>IF(OR(B8825="vi",B8825="ii",B8825="pod"),(((D8825/100)*(C8825*VLOOKUP(B8825,'Poids des runes'!A:B,2,FALSE)))+1),(((D8825/100)*(C8825*VLOOKUP(B8825,'Poids des runes'!A:B,2,FALSE)))+1)/VLOOKUP(B8825,'Poids des runes'!A:B,2,FALSE))</f>
        <v>72</v>
      </c>
      <c r="F8825">
        <f t="shared" si="137"/>
        <v>72</v>
      </c>
    </row>
    <row r="8826" spans="1:6" x14ac:dyDescent="0.3">
      <c r="A8826" t="s">
        <v>1450</v>
      </c>
      <c r="B8826" t="s">
        <v>2151</v>
      </c>
      <c r="C8826">
        <v>2.5</v>
      </c>
      <c r="D8826">
        <v>200</v>
      </c>
      <c r="E8826">
        <f>IF(OR(B8826="vi",B8826="ii",B8826="pod"),(((D8826/100)*(C8826*VLOOKUP(B8826,'Poids des runes'!A:B,2,FALSE)))+1),(((D8826/100)*(C8826*VLOOKUP(B8826,'Poids des runes'!A:B,2,FALSE)))+1)/VLOOKUP(B8826,'Poids des runes'!A:B,2,FALSE))</f>
        <v>5.0999999999999996</v>
      </c>
      <c r="F8826">
        <f t="shared" si="137"/>
        <v>5.0999999999999996</v>
      </c>
    </row>
    <row r="8827" spans="1:6" x14ac:dyDescent="0.3">
      <c r="A8827" t="s">
        <v>1450</v>
      </c>
      <c r="B8827" t="s">
        <v>2155</v>
      </c>
      <c r="C8827">
        <v>1</v>
      </c>
      <c r="D8827">
        <v>200</v>
      </c>
      <c r="E8827">
        <f>IF(OR(B8827="vi",B8827="ii",B8827="pod"),(((D8827/100)*(C8827*VLOOKUP(B8827,'Poids des runes'!A:B,2,FALSE)))+1),(((D8827/100)*(C8827*VLOOKUP(B8827,'Poids des runes'!A:B,2,FALSE)))+1)/VLOOKUP(B8827,'Poids des runes'!A:B,2,FALSE))</f>
        <v>2.0196078431372548</v>
      </c>
      <c r="F8827">
        <f t="shared" si="137"/>
        <v>2.0196078431372548</v>
      </c>
    </row>
    <row r="8828" spans="1:6" x14ac:dyDescent="0.3">
      <c r="A8828" t="s">
        <v>1450</v>
      </c>
      <c r="B8828" t="s">
        <v>2143</v>
      </c>
      <c r="C8828">
        <v>13</v>
      </c>
      <c r="D8828">
        <v>200</v>
      </c>
      <c r="E8828">
        <f>IF(OR(B8828="vi",B8828="ii",B8828="pod"),(((D8828/100)*(C8828*VLOOKUP(B8828,'Poids des runes'!A:B,2,FALSE)))+1),(((D8828/100)*(C8828*VLOOKUP(B8828,'Poids des runes'!A:B,2,FALSE)))+1)/VLOOKUP(B8828,'Poids des runes'!A:B,2,FALSE))</f>
        <v>26.2</v>
      </c>
      <c r="F8828">
        <f t="shared" si="137"/>
        <v>26.2</v>
      </c>
    </row>
    <row r="8829" spans="1:6" x14ac:dyDescent="0.3">
      <c r="A8829" t="s">
        <v>1450</v>
      </c>
      <c r="B8829" t="s">
        <v>2153</v>
      </c>
      <c r="C8829">
        <v>13</v>
      </c>
      <c r="D8829">
        <v>200</v>
      </c>
      <c r="E8829">
        <f>IF(OR(B8829="vi",B8829="ii",B8829="pod"),(((D8829/100)*(C8829*VLOOKUP(B8829,'Poids des runes'!A:B,2,FALSE)))+1),(((D8829/100)*(C8829*VLOOKUP(B8829,'Poids des runes'!A:B,2,FALSE)))+1)/VLOOKUP(B8829,'Poids des runes'!A:B,2,FALSE))</f>
        <v>26.2</v>
      </c>
      <c r="F8829">
        <f t="shared" si="137"/>
        <v>26.2</v>
      </c>
    </row>
    <row r="8830" spans="1:6" x14ac:dyDescent="0.3">
      <c r="A8830" t="s">
        <v>1450</v>
      </c>
      <c r="B8830" t="s">
        <v>2165</v>
      </c>
      <c r="C8830">
        <v>7</v>
      </c>
      <c r="D8830">
        <v>200</v>
      </c>
      <c r="E8830">
        <f>IF(OR(B8830="vi",B8830="ii",B8830="pod"),(((D8830/100)*(C8830*VLOOKUP(B8830,'Poids des runes'!A:B,2,FALSE)))+1),(((D8830/100)*(C8830*VLOOKUP(B8830,'Poids des runes'!A:B,2,FALSE)))+1)/VLOOKUP(B8830,'Poids des runes'!A:B,2,FALSE))</f>
        <v>14.142857142857142</v>
      </c>
      <c r="F8830">
        <f t="shared" si="137"/>
        <v>14.142857142857142</v>
      </c>
    </row>
    <row r="8831" spans="1:6" x14ac:dyDescent="0.3">
      <c r="A8831" t="s">
        <v>1450</v>
      </c>
      <c r="B8831" t="s">
        <v>2147</v>
      </c>
      <c r="C8831">
        <v>6</v>
      </c>
      <c r="D8831">
        <v>200</v>
      </c>
      <c r="E8831">
        <f>IF(OR(B8831="vi",B8831="ii",B8831="pod"),(((D8831/100)*(C8831*VLOOKUP(B8831,'Poids des runes'!A:B,2,FALSE)))+1),(((D8831/100)*(C8831*VLOOKUP(B8831,'Poids des runes'!A:B,2,FALSE)))+1)/VLOOKUP(B8831,'Poids des runes'!A:B,2,FALSE))</f>
        <v>12.166666666666666</v>
      </c>
      <c r="F8831">
        <f t="shared" si="137"/>
        <v>12.166666666666666</v>
      </c>
    </row>
    <row r="8832" spans="1:6" x14ac:dyDescent="0.3">
      <c r="A8832" t="s">
        <v>1450</v>
      </c>
      <c r="B8832" t="s">
        <v>2157</v>
      </c>
      <c r="C8832">
        <v>6</v>
      </c>
      <c r="D8832">
        <v>200</v>
      </c>
      <c r="E8832">
        <f>IF(OR(B8832="vi",B8832="ii",B8832="pod"),(((D8832/100)*(C8832*VLOOKUP(B8832,'Poids des runes'!A:B,2,FALSE)))+1),(((D8832/100)*(C8832*VLOOKUP(B8832,'Poids des runes'!A:B,2,FALSE)))+1)/VLOOKUP(B8832,'Poids des runes'!A:B,2,FALSE))</f>
        <v>12.166666666666666</v>
      </c>
      <c r="F8832">
        <f t="shared" si="137"/>
        <v>12.166666666666666</v>
      </c>
    </row>
    <row r="8833" spans="1:6" x14ac:dyDescent="0.3">
      <c r="A8833" t="s">
        <v>1451</v>
      </c>
      <c r="B8833" t="s">
        <v>2128</v>
      </c>
      <c r="C8833">
        <v>325.5</v>
      </c>
      <c r="D8833">
        <v>200</v>
      </c>
      <c r="E8833">
        <f>IF(OR(B8833="vi",B8833="ii",B8833="pod"),(((D8833/100)*(C8833*VLOOKUP(B8833,'Poids des runes'!A:B,2,FALSE)))+1),(((D8833/100)*(C8833*VLOOKUP(B8833,'Poids des runes'!A:B,2,FALSE)))+1)/VLOOKUP(B8833,'Poids des runes'!A:B,2,FALSE))</f>
        <v>131.20000000000002</v>
      </c>
      <c r="F8833">
        <f t="shared" si="137"/>
        <v>131.20000000000002</v>
      </c>
    </row>
    <row r="8834" spans="1:6" x14ac:dyDescent="0.3">
      <c r="A8834" t="s">
        <v>1451</v>
      </c>
      <c r="B8834" t="s">
        <v>2130</v>
      </c>
      <c r="C8834">
        <v>60.5</v>
      </c>
      <c r="D8834">
        <v>200</v>
      </c>
      <c r="E8834">
        <f>IF(OR(B8834="vi",B8834="ii",B8834="pod"),(((D8834/100)*(C8834*VLOOKUP(B8834,'Poids des runes'!A:B,2,FALSE)))+1),(((D8834/100)*(C8834*VLOOKUP(B8834,'Poids des runes'!A:B,2,FALSE)))+1)/VLOOKUP(B8834,'Poids des runes'!A:B,2,FALSE))</f>
        <v>122</v>
      </c>
      <c r="F8834">
        <f t="shared" si="137"/>
        <v>122</v>
      </c>
    </row>
    <row r="8835" spans="1:6" x14ac:dyDescent="0.3">
      <c r="A8835" t="s">
        <v>1451</v>
      </c>
      <c r="B8835" t="s">
        <v>2126</v>
      </c>
      <c r="C8835">
        <v>60.5</v>
      </c>
      <c r="D8835">
        <v>200</v>
      </c>
      <c r="E8835">
        <f>IF(OR(B8835="vi",B8835="ii",B8835="pod"),(((D8835/100)*(C8835*VLOOKUP(B8835,'Poids des runes'!A:B,2,FALSE)))+1),(((D8835/100)*(C8835*VLOOKUP(B8835,'Poids des runes'!A:B,2,FALSE)))+1)/VLOOKUP(B8835,'Poids des runes'!A:B,2,FALSE))</f>
        <v>122</v>
      </c>
      <c r="F8835">
        <f t="shared" ref="F8835:F8898" si="138">E8835</f>
        <v>122</v>
      </c>
    </row>
    <row r="8836" spans="1:6" x14ac:dyDescent="0.3">
      <c r="A8836" t="s">
        <v>1451</v>
      </c>
      <c r="B8836" t="s">
        <v>2129</v>
      </c>
      <c r="C8836">
        <v>35.5</v>
      </c>
      <c r="D8836">
        <v>200</v>
      </c>
      <c r="E8836">
        <f>IF(OR(B8836="vi",B8836="ii",B8836="pod"),(((D8836/100)*(C8836*VLOOKUP(B8836,'Poids des runes'!A:B,2,FALSE)))+1),(((D8836/100)*(C8836*VLOOKUP(B8836,'Poids des runes'!A:B,2,FALSE)))+1)/VLOOKUP(B8836,'Poids des runes'!A:B,2,FALSE))</f>
        <v>72</v>
      </c>
      <c r="F8836">
        <f t="shared" si="138"/>
        <v>72</v>
      </c>
    </row>
    <row r="8837" spans="1:6" x14ac:dyDescent="0.3">
      <c r="A8837" t="s">
        <v>1451</v>
      </c>
      <c r="B8837" t="s">
        <v>2151</v>
      </c>
      <c r="C8837">
        <v>2.5</v>
      </c>
      <c r="D8837">
        <v>200</v>
      </c>
      <c r="E8837">
        <f>IF(OR(B8837="vi",B8837="ii",B8837="pod"),(((D8837/100)*(C8837*VLOOKUP(B8837,'Poids des runes'!A:B,2,FALSE)))+1),(((D8837/100)*(C8837*VLOOKUP(B8837,'Poids des runes'!A:B,2,FALSE)))+1)/VLOOKUP(B8837,'Poids des runes'!A:B,2,FALSE))</f>
        <v>5.0999999999999996</v>
      </c>
      <c r="F8837">
        <f t="shared" si="138"/>
        <v>5.0999999999999996</v>
      </c>
    </row>
    <row r="8838" spans="1:6" x14ac:dyDescent="0.3">
      <c r="A8838" t="s">
        <v>1451</v>
      </c>
      <c r="B8838" t="s">
        <v>2143</v>
      </c>
      <c r="C8838">
        <v>13</v>
      </c>
      <c r="D8838">
        <v>200</v>
      </c>
      <c r="E8838">
        <f>IF(OR(B8838="vi",B8838="ii",B8838="pod"),(((D8838/100)*(C8838*VLOOKUP(B8838,'Poids des runes'!A:B,2,FALSE)))+1),(((D8838/100)*(C8838*VLOOKUP(B8838,'Poids des runes'!A:B,2,FALSE)))+1)/VLOOKUP(B8838,'Poids des runes'!A:B,2,FALSE))</f>
        <v>26.2</v>
      </c>
      <c r="F8838">
        <f t="shared" si="138"/>
        <v>26.2</v>
      </c>
    </row>
    <row r="8839" spans="1:6" x14ac:dyDescent="0.3">
      <c r="A8839" t="s">
        <v>1451</v>
      </c>
      <c r="B8839" t="s">
        <v>2140</v>
      </c>
      <c r="C8839">
        <v>13</v>
      </c>
      <c r="D8839">
        <v>200</v>
      </c>
      <c r="E8839">
        <f>IF(OR(B8839="vi",B8839="ii",B8839="pod"),(((D8839/100)*(C8839*VLOOKUP(B8839,'Poids des runes'!A:B,2,FALSE)))+1),(((D8839/100)*(C8839*VLOOKUP(B8839,'Poids des runes'!A:B,2,FALSE)))+1)/VLOOKUP(B8839,'Poids des runes'!A:B,2,FALSE))</f>
        <v>26.2</v>
      </c>
      <c r="F8839">
        <f t="shared" si="138"/>
        <v>26.2</v>
      </c>
    </row>
    <row r="8840" spans="1:6" x14ac:dyDescent="0.3">
      <c r="A8840" t="s">
        <v>1451</v>
      </c>
      <c r="B8840" t="s">
        <v>2161</v>
      </c>
      <c r="C8840">
        <v>8</v>
      </c>
      <c r="D8840">
        <v>200</v>
      </c>
      <c r="E8840">
        <f>IF(OR(B8840="vi",B8840="ii",B8840="pod"),(((D8840/100)*(C8840*VLOOKUP(B8840,'Poids des runes'!A:B,2,FALSE)))+1),(((D8840/100)*(C8840*VLOOKUP(B8840,'Poids des runes'!A:B,2,FALSE)))+1)/VLOOKUP(B8840,'Poids des runes'!A:B,2,FALSE))</f>
        <v>16.333333333333332</v>
      </c>
      <c r="F8840">
        <f t="shared" si="138"/>
        <v>16.333333333333332</v>
      </c>
    </row>
    <row r="8841" spans="1:6" x14ac:dyDescent="0.3">
      <c r="A8841" t="s">
        <v>1451</v>
      </c>
      <c r="B8841" t="s">
        <v>2132</v>
      </c>
      <c r="C8841">
        <v>125.5</v>
      </c>
      <c r="D8841">
        <v>200</v>
      </c>
      <c r="E8841">
        <f>IF(OR(B8841="vi",B8841="ii",B8841="pod"),(((D8841/100)*(C8841*VLOOKUP(B8841,'Poids des runes'!A:B,2,FALSE)))+1),(((D8841/100)*(C8841*VLOOKUP(B8841,'Poids des runes'!A:B,2,FALSE)))+1)/VLOOKUP(B8841,'Poids des runes'!A:B,2,FALSE))</f>
        <v>26.1</v>
      </c>
      <c r="F8841">
        <f t="shared" si="138"/>
        <v>26.1</v>
      </c>
    </row>
    <row r="8842" spans="1:6" x14ac:dyDescent="0.3">
      <c r="A8842" t="s">
        <v>1451</v>
      </c>
      <c r="B8842" t="s">
        <v>2141</v>
      </c>
      <c r="C8842">
        <v>4</v>
      </c>
      <c r="D8842">
        <v>200</v>
      </c>
      <c r="E8842">
        <f>IF(OR(B8842="vi",B8842="ii",B8842="pod"),(((D8842/100)*(C8842*VLOOKUP(B8842,'Poids des runes'!A:B,2,FALSE)))+1),(((D8842/100)*(C8842*VLOOKUP(B8842,'Poids des runes'!A:B,2,FALSE)))+1)/VLOOKUP(B8842,'Poids des runes'!A:B,2,FALSE))</f>
        <v>8.25</v>
      </c>
      <c r="F8842">
        <f t="shared" si="138"/>
        <v>8.25</v>
      </c>
    </row>
    <row r="8843" spans="1:6" x14ac:dyDescent="0.3">
      <c r="A8843" t="s">
        <v>1451</v>
      </c>
      <c r="B8843" t="s">
        <v>2156</v>
      </c>
      <c r="C8843">
        <v>6</v>
      </c>
      <c r="D8843">
        <v>200</v>
      </c>
      <c r="E8843">
        <f>IF(OR(B8843="vi",B8843="ii",B8843="pod"),(((D8843/100)*(C8843*VLOOKUP(B8843,'Poids des runes'!A:B,2,FALSE)))+1),(((D8843/100)*(C8843*VLOOKUP(B8843,'Poids des runes'!A:B,2,FALSE)))+1)/VLOOKUP(B8843,'Poids des runes'!A:B,2,FALSE))</f>
        <v>12.166666666666666</v>
      </c>
      <c r="F8843">
        <f t="shared" si="138"/>
        <v>12.166666666666666</v>
      </c>
    </row>
    <row r="8844" spans="1:6" x14ac:dyDescent="0.3">
      <c r="A8844" t="s">
        <v>1451</v>
      </c>
      <c r="B8844" t="s">
        <v>2148</v>
      </c>
      <c r="C8844">
        <v>6</v>
      </c>
      <c r="D8844">
        <v>200</v>
      </c>
      <c r="E8844">
        <f>IF(OR(B8844="vi",B8844="ii",B8844="pod"),(((D8844/100)*(C8844*VLOOKUP(B8844,'Poids des runes'!A:B,2,FALSE)))+1),(((D8844/100)*(C8844*VLOOKUP(B8844,'Poids des runes'!A:B,2,FALSE)))+1)/VLOOKUP(B8844,'Poids des runes'!A:B,2,FALSE))</f>
        <v>12.166666666666666</v>
      </c>
      <c r="F8844">
        <f t="shared" si="138"/>
        <v>12.166666666666666</v>
      </c>
    </row>
    <row r="8845" spans="1:6" x14ac:dyDescent="0.3">
      <c r="A8845" t="s">
        <v>1452</v>
      </c>
      <c r="B8845" t="s">
        <v>2128</v>
      </c>
      <c r="C8845">
        <v>325.5</v>
      </c>
      <c r="D8845">
        <v>200</v>
      </c>
      <c r="E8845">
        <f>IF(OR(B8845="vi",B8845="ii",B8845="pod"),(((D8845/100)*(C8845*VLOOKUP(B8845,'Poids des runes'!A:B,2,FALSE)))+1),(((D8845/100)*(C8845*VLOOKUP(B8845,'Poids des runes'!A:B,2,FALSE)))+1)/VLOOKUP(B8845,'Poids des runes'!A:B,2,FALSE))</f>
        <v>131.20000000000002</v>
      </c>
      <c r="F8845">
        <f t="shared" si="138"/>
        <v>131.20000000000002</v>
      </c>
    </row>
    <row r="8846" spans="1:6" x14ac:dyDescent="0.3">
      <c r="A8846" t="s">
        <v>1452</v>
      </c>
      <c r="B8846" t="s">
        <v>2131</v>
      </c>
      <c r="C8846">
        <v>70.5</v>
      </c>
      <c r="D8846">
        <v>200</v>
      </c>
      <c r="E8846">
        <f>IF(OR(B8846="vi",B8846="ii",B8846="pod"),(((D8846/100)*(C8846*VLOOKUP(B8846,'Poids des runes'!A:B,2,FALSE)))+1),(((D8846/100)*(C8846*VLOOKUP(B8846,'Poids des runes'!A:B,2,FALSE)))+1)/VLOOKUP(B8846,'Poids des runes'!A:B,2,FALSE))</f>
        <v>142</v>
      </c>
      <c r="F8846">
        <f t="shared" si="138"/>
        <v>142</v>
      </c>
    </row>
    <row r="8847" spans="1:6" x14ac:dyDescent="0.3">
      <c r="A8847" t="s">
        <v>1452</v>
      </c>
      <c r="B8847" t="s">
        <v>2129</v>
      </c>
      <c r="C8847">
        <v>40.5</v>
      </c>
      <c r="D8847">
        <v>200</v>
      </c>
      <c r="E8847">
        <f>IF(OR(B8847="vi",B8847="ii",B8847="pod"),(((D8847/100)*(C8847*VLOOKUP(B8847,'Poids des runes'!A:B,2,FALSE)))+1),(((D8847/100)*(C8847*VLOOKUP(B8847,'Poids des runes'!A:B,2,FALSE)))+1)/VLOOKUP(B8847,'Poids des runes'!A:B,2,FALSE))</f>
        <v>82</v>
      </c>
      <c r="F8847">
        <f t="shared" si="138"/>
        <v>82</v>
      </c>
    </row>
    <row r="8848" spans="1:6" x14ac:dyDescent="0.3">
      <c r="A8848" t="s">
        <v>1452</v>
      </c>
      <c r="B8848" t="s">
        <v>2151</v>
      </c>
      <c r="C8848">
        <v>4</v>
      </c>
      <c r="D8848">
        <v>200</v>
      </c>
      <c r="E8848">
        <f>IF(OR(B8848="vi",B8848="ii",B8848="pod"),(((D8848/100)*(C8848*VLOOKUP(B8848,'Poids des runes'!A:B,2,FALSE)))+1),(((D8848/100)*(C8848*VLOOKUP(B8848,'Poids des runes'!A:B,2,FALSE)))+1)/VLOOKUP(B8848,'Poids des runes'!A:B,2,FALSE))</f>
        <v>8.1</v>
      </c>
      <c r="F8848">
        <f t="shared" si="138"/>
        <v>8.1</v>
      </c>
    </row>
    <row r="8849" spans="1:6" x14ac:dyDescent="0.3">
      <c r="A8849" t="s">
        <v>1452</v>
      </c>
      <c r="B8849" t="s">
        <v>2150</v>
      </c>
      <c r="C8849">
        <v>1</v>
      </c>
      <c r="D8849">
        <v>200</v>
      </c>
      <c r="E8849">
        <f>IF(OR(B8849="vi",B8849="ii",B8849="pod"),(((D8849/100)*(C8849*VLOOKUP(B8849,'Poids des runes'!A:B,2,FALSE)))+1),(((D8849/100)*(C8849*VLOOKUP(B8849,'Poids des runes'!A:B,2,FALSE)))+1)/VLOOKUP(B8849,'Poids des runes'!A:B,2,FALSE))</f>
        <v>2.0333333333333332</v>
      </c>
      <c r="F8849">
        <f t="shared" si="138"/>
        <v>2.0333333333333332</v>
      </c>
    </row>
    <row r="8850" spans="1:6" x14ac:dyDescent="0.3">
      <c r="A8850" t="s">
        <v>1452</v>
      </c>
      <c r="B8850" t="s">
        <v>2133</v>
      </c>
      <c r="C8850">
        <v>13</v>
      </c>
      <c r="D8850">
        <v>200</v>
      </c>
      <c r="E8850">
        <f>IF(OR(B8850="vi",B8850="ii",B8850="pod"),(((D8850/100)*(C8850*VLOOKUP(B8850,'Poids des runes'!A:B,2,FALSE)))+1),(((D8850/100)*(C8850*VLOOKUP(B8850,'Poids des runes'!A:B,2,FALSE)))+1)/VLOOKUP(B8850,'Poids des runes'!A:B,2,FALSE))</f>
        <v>26.2</v>
      </c>
      <c r="F8850">
        <f t="shared" si="138"/>
        <v>26.2</v>
      </c>
    </row>
    <row r="8851" spans="1:6" x14ac:dyDescent="0.3">
      <c r="A8851" t="s">
        <v>1452</v>
      </c>
      <c r="B8851" t="s">
        <v>2161</v>
      </c>
      <c r="C8851">
        <v>13</v>
      </c>
      <c r="D8851">
        <v>200</v>
      </c>
      <c r="E8851">
        <f>IF(OR(B8851="vi",B8851="ii",B8851="pod"),(((D8851/100)*(C8851*VLOOKUP(B8851,'Poids des runes'!A:B,2,FALSE)))+1),(((D8851/100)*(C8851*VLOOKUP(B8851,'Poids des runes'!A:B,2,FALSE)))+1)/VLOOKUP(B8851,'Poids des runes'!A:B,2,FALSE))</f>
        <v>26.333333333333332</v>
      </c>
      <c r="F8851">
        <f t="shared" si="138"/>
        <v>26.333333333333332</v>
      </c>
    </row>
    <row r="8852" spans="1:6" x14ac:dyDescent="0.3">
      <c r="A8852" t="s">
        <v>1452</v>
      </c>
      <c r="B8852" t="s">
        <v>2141</v>
      </c>
      <c r="C8852">
        <v>8.5</v>
      </c>
      <c r="D8852">
        <v>200</v>
      </c>
      <c r="E8852">
        <f>IF(OR(B8852="vi",B8852="ii",B8852="pod"),(((D8852/100)*(C8852*VLOOKUP(B8852,'Poids des runes'!A:B,2,FALSE)))+1),(((D8852/100)*(C8852*VLOOKUP(B8852,'Poids des runes'!A:B,2,FALSE)))+1)/VLOOKUP(B8852,'Poids des runes'!A:B,2,FALSE))</f>
        <v>17.25</v>
      </c>
      <c r="F8852">
        <f t="shared" si="138"/>
        <v>17.25</v>
      </c>
    </row>
    <row r="8853" spans="1:6" x14ac:dyDescent="0.3">
      <c r="A8853" t="s">
        <v>1452</v>
      </c>
      <c r="B8853" t="s">
        <v>2165</v>
      </c>
      <c r="C8853">
        <v>10.5</v>
      </c>
      <c r="D8853">
        <v>200</v>
      </c>
      <c r="E8853">
        <f>IF(OR(B8853="vi",B8853="ii",B8853="pod"),(((D8853/100)*(C8853*VLOOKUP(B8853,'Poids des runes'!A:B,2,FALSE)))+1),(((D8853/100)*(C8853*VLOOKUP(B8853,'Poids des runes'!A:B,2,FALSE)))+1)/VLOOKUP(B8853,'Poids des runes'!A:B,2,FALSE))</f>
        <v>21.142857142857142</v>
      </c>
      <c r="F8853">
        <f t="shared" si="138"/>
        <v>21.142857142857142</v>
      </c>
    </row>
    <row r="8854" spans="1:6" x14ac:dyDescent="0.3">
      <c r="A8854" t="s">
        <v>1452</v>
      </c>
      <c r="B8854" t="s">
        <v>2163</v>
      </c>
      <c r="C8854">
        <v>4</v>
      </c>
      <c r="D8854">
        <v>200</v>
      </c>
      <c r="E8854">
        <f>IF(OR(B8854="vi",B8854="ii",B8854="pod"),(((D8854/100)*(C8854*VLOOKUP(B8854,'Poids des runes'!A:B,2,FALSE)))+1),(((D8854/100)*(C8854*VLOOKUP(B8854,'Poids des runes'!A:B,2,FALSE)))+1)/VLOOKUP(B8854,'Poids des runes'!A:B,2,FALSE))</f>
        <v>8.5</v>
      </c>
      <c r="F8854">
        <f t="shared" si="138"/>
        <v>8.5</v>
      </c>
    </row>
    <row r="8855" spans="1:6" x14ac:dyDescent="0.3">
      <c r="A8855" t="s">
        <v>1452</v>
      </c>
      <c r="B8855" t="s">
        <v>2147</v>
      </c>
      <c r="C8855">
        <v>6</v>
      </c>
      <c r="D8855">
        <v>200</v>
      </c>
      <c r="E8855">
        <f>IF(OR(B8855="vi",B8855="ii",B8855="pod"),(((D8855/100)*(C8855*VLOOKUP(B8855,'Poids des runes'!A:B,2,FALSE)))+1),(((D8855/100)*(C8855*VLOOKUP(B8855,'Poids des runes'!A:B,2,FALSE)))+1)/VLOOKUP(B8855,'Poids des runes'!A:B,2,FALSE))</f>
        <v>12.166666666666666</v>
      </c>
      <c r="F8855">
        <f t="shared" si="138"/>
        <v>12.166666666666666</v>
      </c>
    </row>
    <row r="8856" spans="1:6" x14ac:dyDescent="0.3">
      <c r="A8856" t="s">
        <v>1452</v>
      </c>
      <c r="B8856" t="s">
        <v>2157</v>
      </c>
      <c r="C8856">
        <v>6</v>
      </c>
      <c r="D8856">
        <v>200</v>
      </c>
      <c r="E8856">
        <f>IF(OR(B8856="vi",B8856="ii",B8856="pod"),(((D8856/100)*(C8856*VLOOKUP(B8856,'Poids des runes'!A:B,2,FALSE)))+1),(((D8856/100)*(C8856*VLOOKUP(B8856,'Poids des runes'!A:B,2,FALSE)))+1)/VLOOKUP(B8856,'Poids des runes'!A:B,2,FALSE))</f>
        <v>12.166666666666666</v>
      </c>
      <c r="F8856">
        <f t="shared" si="138"/>
        <v>12.166666666666666</v>
      </c>
    </row>
    <row r="8857" spans="1:6" x14ac:dyDescent="0.3">
      <c r="A8857" t="s">
        <v>1453</v>
      </c>
      <c r="B8857" t="s">
        <v>2128</v>
      </c>
      <c r="C8857">
        <v>275.5</v>
      </c>
      <c r="D8857">
        <v>200</v>
      </c>
      <c r="E8857">
        <f>IF(OR(B8857="vi",B8857="ii",B8857="pod"),(((D8857/100)*(C8857*VLOOKUP(B8857,'Poids des runes'!A:B,2,FALSE)))+1),(((D8857/100)*(C8857*VLOOKUP(B8857,'Poids des runes'!A:B,2,FALSE)))+1)/VLOOKUP(B8857,'Poids des runes'!A:B,2,FALSE))</f>
        <v>111.2</v>
      </c>
      <c r="F8857">
        <f t="shared" si="138"/>
        <v>111.2</v>
      </c>
    </row>
    <row r="8858" spans="1:6" x14ac:dyDescent="0.3">
      <c r="A8858" t="s">
        <v>1453</v>
      </c>
      <c r="B8858" t="s">
        <v>2131</v>
      </c>
      <c r="C8858">
        <v>85.5</v>
      </c>
      <c r="D8858">
        <v>200</v>
      </c>
      <c r="E8858">
        <f>IF(OR(B8858="vi",B8858="ii",B8858="pod"),(((D8858/100)*(C8858*VLOOKUP(B8858,'Poids des runes'!A:B,2,FALSE)))+1),(((D8858/100)*(C8858*VLOOKUP(B8858,'Poids des runes'!A:B,2,FALSE)))+1)/VLOOKUP(B8858,'Poids des runes'!A:B,2,FALSE))</f>
        <v>172</v>
      </c>
      <c r="F8858">
        <f t="shared" si="138"/>
        <v>172</v>
      </c>
    </row>
    <row r="8859" spans="1:6" x14ac:dyDescent="0.3">
      <c r="A8859" t="s">
        <v>1453</v>
      </c>
      <c r="B8859" t="s">
        <v>2129</v>
      </c>
      <c r="C8859">
        <v>20.5</v>
      </c>
      <c r="D8859">
        <v>200</v>
      </c>
      <c r="E8859">
        <f>IF(OR(B8859="vi",B8859="ii",B8859="pod"),(((D8859/100)*(C8859*VLOOKUP(B8859,'Poids des runes'!A:B,2,FALSE)))+1),(((D8859/100)*(C8859*VLOOKUP(B8859,'Poids des runes'!A:B,2,FALSE)))+1)/VLOOKUP(B8859,'Poids des runes'!A:B,2,FALSE))</f>
        <v>42</v>
      </c>
      <c r="F8859">
        <f t="shared" si="138"/>
        <v>42</v>
      </c>
    </row>
    <row r="8860" spans="1:6" x14ac:dyDescent="0.3">
      <c r="A8860" t="s">
        <v>1453</v>
      </c>
      <c r="B8860" t="s">
        <v>2151</v>
      </c>
      <c r="C8860">
        <v>4.5</v>
      </c>
      <c r="D8860">
        <v>200</v>
      </c>
      <c r="E8860">
        <f>IF(OR(B8860="vi",B8860="ii",B8860="pod"),(((D8860/100)*(C8860*VLOOKUP(B8860,'Poids des runes'!A:B,2,FALSE)))+1),(((D8860/100)*(C8860*VLOOKUP(B8860,'Poids des runes'!A:B,2,FALSE)))+1)/VLOOKUP(B8860,'Poids des runes'!A:B,2,FALSE))</f>
        <v>9.1</v>
      </c>
      <c r="F8860">
        <f t="shared" si="138"/>
        <v>9.1</v>
      </c>
    </row>
    <row r="8861" spans="1:6" x14ac:dyDescent="0.3">
      <c r="A8861" t="s">
        <v>1453</v>
      </c>
      <c r="B8861" t="s">
        <v>2133</v>
      </c>
      <c r="C8861">
        <v>16</v>
      </c>
      <c r="D8861">
        <v>200</v>
      </c>
      <c r="E8861">
        <f>IF(OR(B8861="vi",B8861="ii",B8861="pod"),(((D8861/100)*(C8861*VLOOKUP(B8861,'Poids des runes'!A:B,2,FALSE)))+1),(((D8861/100)*(C8861*VLOOKUP(B8861,'Poids des runes'!A:B,2,FALSE)))+1)/VLOOKUP(B8861,'Poids des runes'!A:B,2,FALSE))</f>
        <v>32.200000000000003</v>
      </c>
      <c r="F8861">
        <f t="shared" si="138"/>
        <v>32.200000000000003</v>
      </c>
    </row>
    <row r="8862" spans="1:6" x14ac:dyDescent="0.3">
      <c r="A8862" t="s">
        <v>1453</v>
      </c>
      <c r="B8862" t="s">
        <v>2149</v>
      </c>
      <c r="C8862">
        <v>8.5</v>
      </c>
      <c r="D8862">
        <v>200</v>
      </c>
      <c r="E8862">
        <f>IF(OR(B8862="vi",B8862="ii",B8862="pod"),(((D8862/100)*(C8862*VLOOKUP(B8862,'Poids des runes'!A:B,2,FALSE)))+1),(((D8862/100)*(C8862*VLOOKUP(B8862,'Poids des runes'!A:B,2,FALSE)))+1)/VLOOKUP(B8862,'Poids des runes'!A:B,2,FALSE))</f>
        <v>17.100000000000001</v>
      </c>
      <c r="F8862">
        <f t="shared" si="138"/>
        <v>17.100000000000001</v>
      </c>
    </row>
    <row r="8863" spans="1:6" x14ac:dyDescent="0.3">
      <c r="A8863" t="s">
        <v>1453</v>
      </c>
      <c r="B8863" t="s">
        <v>2161</v>
      </c>
      <c r="C8863">
        <v>18</v>
      </c>
      <c r="D8863">
        <v>200</v>
      </c>
      <c r="E8863">
        <f>IF(OR(B8863="vi",B8863="ii",B8863="pod"),(((D8863/100)*(C8863*VLOOKUP(B8863,'Poids des runes'!A:B,2,FALSE)))+1),(((D8863/100)*(C8863*VLOOKUP(B8863,'Poids des runes'!A:B,2,FALSE)))+1)/VLOOKUP(B8863,'Poids des runes'!A:B,2,FALSE))</f>
        <v>36.333333333333336</v>
      </c>
      <c r="F8863">
        <f t="shared" si="138"/>
        <v>36.333333333333336</v>
      </c>
    </row>
    <row r="8864" spans="1:6" x14ac:dyDescent="0.3">
      <c r="A8864" t="s">
        <v>1453</v>
      </c>
      <c r="B8864" t="s">
        <v>2141</v>
      </c>
      <c r="C8864">
        <v>10</v>
      </c>
      <c r="D8864">
        <v>200</v>
      </c>
      <c r="E8864">
        <f>IF(OR(B8864="vi",B8864="ii",B8864="pod"),(((D8864/100)*(C8864*VLOOKUP(B8864,'Poids des runes'!A:B,2,FALSE)))+1),(((D8864/100)*(C8864*VLOOKUP(B8864,'Poids des runes'!A:B,2,FALSE)))+1)/VLOOKUP(B8864,'Poids des runes'!A:B,2,FALSE))</f>
        <v>20.25</v>
      </c>
      <c r="F8864">
        <f t="shared" si="138"/>
        <v>20.25</v>
      </c>
    </row>
    <row r="8865" spans="1:6" x14ac:dyDescent="0.3">
      <c r="A8865" t="s">
        <v>1453</v>
      </c>
      <c r="B8865" t="s">
        <v>2156</v>
      </c>
      <c r="C8865">
        <v>10</v>
      </c>
      <c r="D8865">
        <v>200</v>
      </c>
      <c r="E8865">
        <f>IF(OR(B8865="vi",B8865="ii",B8865="pod"),(((D8865/100)*(C8865*VLOOKUP(B8865,'Poids des runes'!A:B,2,FALSE)))+1),(((D8865/100)*(C8865*VLOOKUP(B8865,'Poids des runes'!A:B,2,FALSE)))+1)/VLOOKUP(B8865,'Poids des runes'!A:B,2,FALSE))</f>
        <v>20.166666666666668</v>
      </c>
      <c r="F8865">
        <f t="shared" si="138"/>
        <v>20.166666666666668</v>
      </c>
    </row>
    <row r="8866" spans="1:6" x14ac:dyDescent="0.3">
      <c r="A8866" t="s">
        <v>1453</v>
      </c>
      <c r="B8866" t="s">
        <v>2135</v>
      </c>
      <c r="C8866">
        <v>7</v>
      </c>
      <c r="D8866">
        <v>200</v>
      </c>
      <c r="E8866">
        <f>IF(OR(B8866="vi",B8866="ii",B8866="pod"),(((D8866/100)*(C8866*VLOOKUP(B8866,'Poids des runes'!A:B,2,FALSE)))+1),(((D8866/100)*(C8866*VLOOKUP(B8866,'Poids des runes'!A:B,2,FALSE)))+1)/VLOOKUP(B8866,'Poids des runes'!A:B,2,FALSE))</f>
        <v>14.166666666666666</v>
      </c>
      <c r="F8866">
        <f t="shared" si="138"/>
        <v>14.166666666666666</v>
      </c>
    </row>
    <row r="8867" spans="1:6" x14ac:dyDescent="0.3">
      <c r="A8867" t="s">
        <v>1453</v>
      </c>
      <c r="B8867" t="s">
        <v>2137</v>
      </c>
      <c r="C8867">
        <v>13</v>
      </c>
      <c r="D8867">
        <v>200</v>
      </c>
      <c r="E8867">
        <f>IF(OR(B8867="vi",B8867="ii",B8867="pod"),(((D8867/100)*(C8867*VLOOKUP(B8867,'Poids des runes'!A:B,2,FALSE)))+1),(((D8867/100)*(C8867*VLOOKUP(B8867,'Poids des runes'!A:B,2,FALSE)))+1)/VLOOKUP(B8867,'Poids des runes'!A:B,2,FALSE))</f>
        <v>26.5</v>
      </c>
      <c r="F8867">
        <f t="shared" si="138"/>
        <v>26.5</v>
      </c>
    </row>
    <row r="8868" spans="1:6" x14ac:dyDescent="0.3">
      <c r="A8868" t="s">
        <v>1454</v>
      </c>
      <c r="B8868" t="s">
        <v>2128</v>
      </c>
      <c r="C8868">
        <v>300.5</v>
      </c>
      <c r="D8868">
        <v>200</v>
      </c>
      <c r="E8868">
        <f>IF(OR(B8868="vi",B8868="ii",B8868="pod"),(((D8868/100)*(C8868*VLOOKUP(B8868,'Poids des runes'!A:B,2,FALSE)))+1),(((D8868/100)*(C8868*VLOOKUP(B8868,'Poids des runes'!A:B,2,FALSE)))+1)/VLOOKUP(B8868,'Poids des runes'!A:B,2,FALSE))</f>
        <v>121.2</v>
      </c>
      <c r="F8868">
        <f t="shared" si="138"/>
        <v>121.2</v>
      </c>
    </row>
    <row r="8869" spans="1:6" x14ac:dyDescent="0.3">
      <c r="A8869" t="s">
        <v>1454</v>
      </c>
      <c r="B8869" t="s">
        <v>2130</v>
      </c>
      <c r="C8869">
        <v>70.5</v>
      </c>
      <c r="D8869">
        <v>200</v>
      </c>
      <c r="E8869">
        <f>IF(OR(B8869="vi",B8869="ii",B8869="pod"),(((D8869/100)*(C8869*VLOOKUP(B8869,'Poids des runes'!A:B,2,FALSE)))+1),(((D8869/100)*(C8869*VLOOKUP(B8869,'Poids des runes'!A:B,2,FALSE)))+1)/VLOOKUP(B8869,'Poids des runes'!A:B,2,FALSE))</f>
        <v>142</v>
      </c>
      <c r="F8869">
        <f t="shared" si="138"/>
        <v>142</v>
      </c>
    </row>
    <row r="8870" spans="1:6" x14ac:dyDescent="0.3">
      <c r="A8870" t="s">
        <v>1454</v>
      </c>
      <c r="B8870" t="s">
        <v>2131</v>
      </c>
      <c r="C8870">
        <v>70.5</v>
      </c>
      <c r="D8870">
        <v>200</v>
      </c>
      <c r="E8870">
        <f>IF(OR(B8870="vi",B8870="ii",B8870="pod"),(((D8870/100)*(C8870*VLOOKUP(B8870,'Poids des runes'!A:B,2,FALSE)))+1),(((D8870/100)*(C8870*VLOOKUP(B8870,'Poids des runes'!A:B,2,FALSE)))+1)/VLOOKUP(B8870,'Poids des runes'!A:B,2,FALSE))</f>
        <v>142</v>
      </c>
      <c r="F8870">
        <f t="shared" si="138"/>
        <v>142</v>
      </c>
    </row>
    <row r="8871" spans="1:6" x14ac:dyDescent="0.3">
      <c r="A8871" t="s">
        <v>1454</v>
      </c>
      <c r="B8871" t="s">
        <v>2129</v>
      </c>
      <c r="C8871">
        <v>35.5</v>
      </c>
      <c r="D8871">
        <v>200</v>
      </c>
      <c r="E8871">
        <f>IF(OR(B8871="vi",B8871="ii",B8871="pod"),(((D8871/100)*(C8871*VLOOKUP(B8871,'Poids des runes'!A:B,2,FALSE)))+1),(((D8871/100)*(C8871*VLOOKUP(B8871,'Poids des runes'!A:B,2,FALSE)))+1)/VLOOKUP(B8871,'Poids des runes'!A:B,2,FALSE))</f>
        <v>72</v>
      </c>
      <c r="F8871">
        <f t="shared" si="138"/>
        <v>72</v>
      </c>
    </row>
    <row r="8872" spans="1:6" x14ac:dyDescent="0.3">
      <c r="A8872" t="s">
        <v>1454</v>
      </c>
      <c r="B8872" t="s">
        <v>2151</v>
      </c>
      <c r="C8872">
        <v>3.5</v>
      </c>
      <c r="D8872">
        <v>200</v>
      </c>
      <c r="E8872">
        <f>IF(OR(B8872="vi",B8872="ii",B8872="pod"),(((D8872/100)*(C8872*VLOOKUP(B8872,'Poids des runes'!A:B,2,FALSE)))+1),(((D8872/100)*(C8872*VLOOKUP(B8872,'Poids des runes'!A:B,2,FALSE)))+1)/VLOOKUP(B8872,'Poids des runes'!A:B,2,FALSE))</f>
        <v>7.1</v>
      </c>
      <c r="F8872">
        <f t="shared" si="138"/>
        <v>7.1</v>
      </c>
    </row>
    <row r="8873" spans="1:6" x14ac:dyDescent="0.3">
      <c r="A8873" t="s">
        <v>1454</v>
      </c>
      <c r="B8873" t="s">
        <v>2143</v>
      </c>
      <c r="C8873">
        <v>13</v>
      </c>
      <c r="D8873">
        <v>200</v>
      </c>
      <c r="E8873">
        <f>IF(OR(B8873="vi",B8873="ii",B8873="pod"),(((D8873/100)*(C8873*VLOOKUP(B8873,'Poids des runes'!A:B,2,FALSE)))+1),(((D8873/100)*(C8873*VLOOKUP(B8873,'Poids des runes'!A:B,2,FALSE)))+1)/VLOOKUP(B8873,'Poids des runes'!A:B,2,FALSE))</f>
        <v>26.2</v>
      </c>
      <c r="F8873">
        <f t="shared" si="138"/>
        <v>26.2</v>
      </c>
    </row>
    <row r="8874" spans="1:6" x14ac:dyDescent="0.3">
      <c r="A8874" t="s">
        <v>1454</v>
      </c>
      <c r="B8874" t="s">
        <v>2133</v>
      </c>
      <c r="C8874">
        <v>13</v>
      </c>
      <c r="D8874">
        <v>200</v>
      </c>
      <c r="E8874">
        <f>IF(OR(B8874="vi",B8874="ii",B8874="pod"),(((D8874/100)*(C8874*VLOOKUP(B8874,'Poids des runes'!A:B,2,FALSE)))+1),(((D8874/100)*(C8874*VLOOKUP(B8874,'Poids des runes'!A:B,2,FALSE)))+1)/VLOOKUP(B8874,'Poids des runes'!A:B,2,FALSE))</f>
        <v>26.2</v>
      </c>
      <c r="F8874">
        <f t="shared" si="138"/>
        <v>26.2</v>
      </c>
    </row>
    <row r="8875" spans="1:6" x14ac:dyDescent="0.3">
      <c r="A8875" t="s">
        <v>1454</v>
      </c>
      <c r="B8875" t="s">
        <v>2141</v>
      </c>
      <c r="C8875">
        <v>8.5</v>
      </c>
      <c r="D8875">
        <v>200</v>
      </c>
      <c r="E8875">
        <f>IF(OR(B8875="vi",B8875="ii",B8875="pod"),(((D8875/100)*(C8875*VLOOKUP(B8875,'Poids des runes'!A:B,2,FALSE)))+1),(((D8875/100)*(C8875*VLOOKUP(B8875,'Poids des runes'!A:B,2,FALSE)))+1)/VLOOKUP(B8875,'Poids des runes'!A:B,2,FALSE))</f>
        <v>17.25</v>
      </c>
      <c r="F8875">
        <f t="shared" si="138"/>
        <v>17.25</v>
      </c>
    </row>
    <row r="8876" spans="1:6" x14ac:dyDescent="0.3">
      <c r="A8876" t="s">
        <v>1454</v>
      </c>
      <c r="B8876" t="s">
        <v>2147</v>
      </c>
      <c r="C8876">
        <v>8.5</v>
      </c>
      <c r="D8876">
        <v>200</v>
      </c>
      <c r="E8876">
        <f>IF(OR(B8876="vi",B8876="ii",B8876="pod"),(((D8876/100)*(C8876*VLOOKUP(B8876,'Poids des runes'!A:B,2,FALSE)))+1),(((D8876/100)*(C8876*VLOOKUP(B8876,'Poids des runes'!A:B,2,FALSE)))+1)/VLOOKUP(B8876,'Poids des runes'!A:B,2,FALSE))</f>
        <v>17.166666666666668</v>
      </c>
      <c r="F8876">
        <f t="shared" si="138"/>
        <v>17.166666666666668</v>
      </c>
    </row>
    <row r="8877" spans="1:6" x14ac:dyDescent="0.3">
      <c r="A8877" t="s">
        <v>1454</v>
      </c>
      <c r="B8877" t="s">
        <v>2135</v>
      </c>
      <c r="C8877">
        <v>8.5</v>
      </c>
      <c r="D8877">
        <v>200</v>
      </c>
      <c r="E8877">
        <f>IF(OR(B8877="vi",B8877="ii",B8877="pod"),(((D8877/100)*(C8877*VLOOKUP(B8877,'Poids des runes'!A:B,2,FALSE)))+1),(((D8877/100)*(C8877*VLOOKUP(B8877,'Poids des runes'!A:B,2,FALSE)))+1)/VLOOKUP(B8877,'Poids des runes'!A:B,2,FALSE))</f>
        <v>17.166666666666668</v>
      </c>
      <c r="F8877">
        <f t="shared" si="138"/>
        <v>17.166666666666668</v>
      </c>
    </row>
    <row r="8878" spans="1:6" x14ac:dyDescent="0.3">
      <c r="A8878" t="s">
        <v>1455</v>
      </c>
      <c r="B8878" t="s">
        <v>2128</v>
      </c>
      <c r="C8878">
        <v>375.5</v>
      </c>
      <c r="D8878">
        <v>200</v>
      </c>
      <c r="E8878">
        <f>IF(OR(B8878="vi",B8878="ii",B8878="pod"),(((D8878/100)*(C8878*VLOOKUP(B8878,'Poids des runes'!A:B,2,FALSE)))+1),(((D8878/100)*(C8878*VLOOKUP(B8878,'Poids des runes'!A:B,2,FALSE)))+1)/VLOOKUP(B8878,'Poids des runes'!A:B,2,FALSE))</f>
        <v>151.20000000000002</v>
      </c>
      <c r="F8878">
        <f t="shared" si="138"/>
        <v>151.20000000000002</v>
      </c>
    </row>
    <row r="8879" spans="1:6" x14ac:dyDescent="0.3">
      <c r="A8879" t="s">
        <v>1455</v>
      </c>
      <c r="B8879" t="s">
        <v>2127</v>
      </c>
      <c r="C8879">
        <v>70.5</v>
      </c>
      <c r="D8879">
        <v>200</v>
      </c>
      <c r="E8879">
        <f>IF(OR(B8879="vi",B8879="ii",B8879="pod"),(((D8879/100)*(C8879*VLOOKUP(B8879,'Poids des runes'!A:B,2,FALSE)))+1),(((D8879/100)*(C8879*VLOOKUP(B8879,'Poids des runes'!A:B,2,FALSE)))+1)/VLOOKUP(B8879,'Poids des runes'!A:B,2,FALSE))</f>
        <v>142</v>
      </c>
      <c r="F8879">
        <f t="shared" si="138"/>
        <v>142</v>
      </c>
    </row>
    <row r="8880" spans="1:6" x14ac:dyDescent="0.3">
      <c r="A8880" t="s">
        <v>1455</v>
      </c>
      <c r="B8880" t="s">
        <v>2129</v>
      </c>
      <c r="C8880">
        <v>40.5</v>
      </c>
      <c r="D8880">
        <v>200</v>
      </c>
      <c r="E8880">
        <f>IF(OR(B8880="vi",B8880="ii",B8880="pod"),(((D8880/100)*(C8880*VLOOKUP(B8880,'Poids des runes'!A:B,2,FALSE)))+1),(((D8880/100)*(C8880*VLOOKUP(B8880,'Poids des runes'!A:B,2,FALSE)))+1)/VLOOKUP(B8880,'Poids des runes'!A:B,2,FALSE))</f>
        <v>82</v>
      </c>
      <c r="F8880">
        <f t="shared" si="138"/>
        <v>82</v>
      </c>
    </row>
    <row r="8881" spans="1:6" x14ac:dyDescent="0.3">
      <c r="A8881" t="s">
        <v>1455</v>
      </c>
      <c r="B8881" t="s">
        <v>2150</v>
      </c>
      <c r="C8881">
        <v>1</v>
      </c>
      <c r="D8881">
        <v>200</v>
      </c>
      <c r="E8881">
        <f>IF(OR(B8881="vi",B8881="ii",B8881="pod"),(((D8881/100)*(C8881*VLOOKUP(B8881,'Poids des runes'!A:B,2,FALSE)))+1),(((D8881/100)*(C8881*VLOOKUP(B8881,'Poids des runes'!A:B,2,FALSE)))+1)/VLOOKUP(B8881,'Poids des runes'!A:B,2,FALSE))</f>
        <v>2.0333333333333332</v>
      </c>
      <c r="F8881">
        <f t="shared" si="138"/>
        <v>2.0333333333333332</v>
      </c>
    </row>
    <row r="8882" spans="1:6" x14ac:dyDescent="0.3">
      <c r="A8882" t="s">
        <v>1455</v>
      </c>
      <c r="B8882" t="s">
        <v>2153</v>
      </c>
      <c r="C8882">
        <v>18</v>
      </c>
      <c r="D8882">
        <v>200</v>
      </c>
      <c r="E8882">
        <f>IF(OR(B8882="vi",B8882="ii",B8882="pod"),(((D8882/100)*(C8882*VLOOKUP(B8882,'Poids des runes'!A:B,2,FALSE)))+1),(((D8882/100)*(C8882*VLOOKUP(B8882,'Poids des runes'!A:B,2,FALSE)))+1)/VLOOKUP(B8882,'Poids des runes'!A:B,2,FALSE))</f>
        <v>36.200000000000003</v>
      </c>
      <c r="F8882">
        <f t="shared" si="138"/>
        <v>36.200000000000003</v>
      </c>
    </row>
    <row r="8883" spans="1:6" x14ac:dyDescent="0.3">
      <c r="A8883" t="s">
        <v>1455</v>
      </c>
      <c r="B8883" t="s">
        <v>2161</v>
      </c>
      <c r="C8883">
        <v>13</v>
      </c>
      <c r="D8883">
        <v>200</v>
      </c>
      <c r="E8883">
        <f>IF(OR(B8883="vi",B8883="ii",B8883="pod"),(((D8883/100)*(C8883*VLOOKUP(B8883,'Poids des runes'!A:B,2,FALSE)))+1),(((D8883/100)*(C8883*VLOOKUP(B8883,'Poids des runes'!A:B,2,FALSE)))+1)/VLOOKUP(B8883,'Poids des runes'!A:B,2,FALSE))</f>
        <v>26.333333333333332</v>
      </c>
      <c r="F8883">
        <f t="shared" si="138"/>
        <v>26.333333333333332</v>
      </c>
    </row>
    <row r="8884" spans="1:6" x14ac:dyDescent="0.3">
      <c r="A8884" t="s">
        <v>1455</v>
      </c>
      <c r="B8884" t="s">
        <v>2138</v>
      </c>
      <c r="C8884">
        <v>6</v>
      </c>
      <c r="D8884">
        <v>200</v>
      </c>
      <c r="E8884">
        <f>IF(OR(B8884="vi",B8884="ii",B8884="pod"),(((D8884/100)*(C8884*VLOOKUP(B8884,'Poids des runes'!A:B,2,FALSE)))+1),(((D8884/100)*(C8884*VLOOKUP(B8884,'Poids des runes'!A:B,2,FALSE)))+1)/VLOOKUP(B8884,'Poids des runes'!A:B,2,FALSE))</f>
        <v>12.25</v>
      </c>
      <c r="F8884">
        <f t="shared" si="138"/>
        <v>12.25</v>
      </c>
    </row>
    <row r="8885" spans="1:6" x14ac:dyDescent="0.3">
      <c r="A8885" t="s">
        <v>1455</v>
      </c>
      <c r="B8885" t="s">
        <v>2162</v>
      </c>
      <c r="C8885">
        <v>8.5</v>
      </c>
      <c r="D8885">
        <v>200</v>
      </c>
      <c r="E8885">
        <f>IF(OR(B8885="vi",B8885="ii",B8885="pod"),(((D8885/100)*(C8885*VLOOKUP(B8885,'Poids des runes'!A:B,2,FALSE)))+1),(((D8885/100)*(C8885*VLOOKUP(B8885,'Poids des runes'!A:B,2,FALSE)))+1)/VLOOKUP(B8885,'Poids des runes'!A:B,2,FALSE))</f>
        <v>17.142857142857142</v>
      </c>
      <c r="F8885">
        <f t="shared" si="138"/>
        <v>17.142857142857142</v>
      </c>
    </row>
    <row r="8886" spans="1:6" x14ac:dyDescent="0.3">
      <c r="A8886" t="s">
        <v>1455</v>
      </c>
      <c r="B8886" t="s">
        <v>2164</v>
      </c>
      <c r="C8886">
        <v>18</v>
      </c>
      <c r="D8886">
        <v>200</v>
      </c>
      <c r="E8886">
        <f>IF(OR(B8886="vi",B8886="ii",B8886="pod"),(((D8886/100)*(C8886*VLOOKUP(B8886,'Poids des runes'!A:B,2,FALSE)))+1),(((D8886/100)*(C8886*VLOOKUP(B8886,'Poids des runes'!A:B,2,FALSE)))+1)/VLOOKUP(B8886,'Poids des runes'!A:B,2,FALSE))</f>
        <v>36.5</v>
      </c>
      <c r="F8886">
        <f t="shared" si="138"/>
        <v>36.5</v>
      </c>
    </row>
    <row r="8887" spans="1:6" x14ac:dyDescent="0.3">
      <c r="A8887" t="s">
        <v>1455</v>
      </c>
      <c r="B8887" t="s">
        <v>2156</v>
      </c>
      <c r="C8887">
        <v>8.5</v>
      </c>
      <c r="D8887">
        <v>200</v>
      </c>
      <c r="E8887">
        <f>IF(OR(B8887="vi",B8887="ii",B8887="pod"),(((D8887/100)*(C8887*VLOOKUP(B8887,'Poids des runes'!A:B,2,FALSE)))+1),(((D8887/100)*(C8887*VLOOKUP(B8887,'Poids des runes'!A:B,2,FALSE)))+1)/VLOOKUP(B8887,'Poids des runes'!A:B,2,FALSE))</f>
        <v>17.166666666666668</v>
      </c>
      <c r="F8887">
        <f t="shared" si="138"/>
        <v>17.166666666666668</v>
      </c>
    </row>
    <row r="8888" spans="1:6" x14ac:dyDescent="0.3">
      <c r="A8888" t="s">
        <v>1455</v>
      </c>
      <c r="B8888" t="s">
        <v>2135</v>
      </c>
      <c r="C8888">
        <v>8.5</v>
      </c>
      <c r="D8888">
        <v>200</v>
      </c>
      <c r="E8888">
        <f>IF(OR(B8888="vi",B8888="ii",B8888="pod"),(((D8888/100)*(C8888*VLOOKUP(B8888,'Poids des runes'!A:B,2,FALSE)))+1),(((D8888/100)*(C8888*VLOOKUP(B8888,'Poids des runes'!A:B,2,FALSE)))+1)/VLOOKUP(B8888,'Poids des runes'!A:B,2,FALSE))</f>
        <v>17.166666666666668</v>
      </c>
      <c r="F8888">
        <f t="shared" si="138"/>
        <v>17.166666666666668</v>
      </c>
    </row>
    <row r="8889" spans="1:6" x14ac:dyDescent="0.3">
      <c r="A8889" t="s">
        <v>1456</v>
      </c>
      <c r="B8889" t="s">
        <v>2128</v>
      </c>
      <c r="C8889">
        <v>325.5</v>
      </c>
      <c r="D8889">
        <v>200</v>
      </c>
      <c r="E8889">
        <f>IF(OR(B8889="vi",B8889="ii",B8889="pod"),(((D8889/100)*(C8889*VLOOKUP(B8889,'Poids des runes'!A:B,2,FALSE)))+1),(((D8889/100)*(C8889*VLOOKUP(B8889,'Poids des runes'!A:B,2,FALSE)))+1)/VLOOKUP(B8889,'Poids des runes'!A:B,2,FALSE))</f>
        <v>131.20000000000002</v>
      </c>
      <c r="F8889">
        <f t="shared" si="138"/>
        <v>131.20000000000002</v>
      </c>
    </row>
    <row r="8890" spans="1:6" x14ac:dyDescent="0.3">
      <c r="A8890" t="s">
        <v>1456</v>
      </c>
      <c r="B8890" t="s">
        <v>2130</v>
      </c>
      <c r="C8890">
        <v>70.5</v>
      </c>
      <c r="D8890">
        <v>200</v>
      </c>
      <c r="E8890">
        <f>IF(OR(B8890="vi",B8890="ii",B8890="pod"),(((D8890/100)*(C8890*VLOOKUP(B8890,'Poids des runes'!A:B,2,FALSE)))+1),(((D8890/100)*(C8890*VLOOKUP(B8890,'Poids des runes'!A:B,2,FALSE)))+1)/VLOOKUP(B8890,'Poids des runes'!A:B,2,FALSE))</f>
        <v>142</v>
      </c>
      <c r="F8890">
        <f t="shared" si="138"/>
        <v>142</v>
      </c>
    </row>
    <row r="8891" spans="1:6" x14ac:dyDescent="0.3">
      <c r="A8891" t="s">
        <v>1456</v>
      </c>
      <c r="B8891" t="s">
        <v>2126</v>
      </c>
      <c r="C8891">
        <v>70.5</v>
      </c>
      <c r="D8891">
        <v>200</v>
      </c>
      <c r="E8891">
        <f>IF(OR(B8891="vi",B8891="ii",B8891="pod"),(((D8891/100)*(C8891*VLOOKUP(B8891,'Poids des runes'!A:B,2,FALSE)))+1),(((D8891/100)*(C8891*VLOOKUP(B8891,'Poids des runes'!A:B,2,FALSE)))+1)/VLOOKUP(B8891,'Poids des runes'!A:B,2,FALSE))</f>
        <v>142</v>
      </c>
      <c r="F8891">
        <f t="shared" si="138"/>
        <v>142</v>
      </c>
    </row>
    <row r="8892" spans="1:6" x14ac:dyDescent="0.3">
      <c r="A8892" t="s">
        <v>1456</v>
      </c>
      <c r="B8892" t="s">
        <v>2129</v>
      </c>
      <c r="C8892">
        <v>30.5</v>
      </c>
      <c r="D8892">
        <v>200</v>
      </c>
      <c r="E8892">
        <f>IF(OR(B8892="vi",B8892="ii",B8892="pod"),(((D8892/100)*(C8892*VLOOKUP(B8892,'Poids des runes'!A:B,2,FALSE)))+1),(((D8892/100)*(C8892*VLOOKUP(B8892,'Poids des runes'!A:B,2,FALSE)))+1)/VLOOKUP(B8892,'Poids des runes'!A:B,2,FALSE))</f>
        <v>62</v>
      </c>
      <c r="F8892">
        <f t="shared" si="138"/>
        <v>62</v>
      </c>
    </row>
    <row r="8893" spans="1:6" x14ac:dyDescent="0.3">
      <c r="A8893" t="s">
        <v>1456</v>
      </c>
      <c r="B8893" t="s">
        <v>2151</v>
      </c>
      <c r="C8893">
        <v>3.5</v>
      </c>
      <c r="D8893">
        <v>200</v>
      </c>
      <c r="E8893">
        <f>IF(OR(B8893="vi",B8893="ii",B8893="pod"),(((D8893/100)*(C8893*VLOOKUP(B8893,'Poids des runes'!A:B,2,FALSE)))+1),(((D8893/100)*(C8893*VLOOKUP(B8893,'Poids des runes'!A:B,2,FALSE)))+1)/VLOOKUP(B8893,'Poids des runes'!A:B,2,FALSE))</f>
        <v>7.1</v>
      </c>
      <c r="F8893">
        <f t="shared" si="138"/>
        <v>7.1</v>
      </c>
    </row>
    <row r="8894" spans="1:6" x14ac:dyDescent="0.3">
      <c r="A8894" t="s">
        <v>1456</v>
      </c>
      <c r="B8894" t="s">
        <v>2143</v>
      </c>
      <c r="C8894">
        <v>10.5</v>
      </c>
      <c r="D8894">
        <v>200</v>
      </c>
      <c r="E8894">
        <f>IF(OR(B8894="vi",B8894="ii",B8894="pod"),(((D8894/100)*(C8894*VLOOKUP(B8894,'Poids des runes'!A:B,2,FALSE)))+1),(((D8894/100)*(C8894*VLOOKUP(B8894,'Poids des runes'!A:B,2,FALSE)))+1)/VLOOKUP(B8894,'Poids des runes'!A:B,2,FALSE))</f>
        <v>21.2</v>
      </c>
      <c r="F8894">
        <f t="shared" si="138"/>
        <v>21.2</v>
      </c>
    </row>
    <row r="8895" spans="1:6" x14ac:dyDescent="0.3">
      <c r="A8895" t="s">
        <v>1456</v>
      </c>
      <c r="B8895" t="s">
        <v>2140</v>
      </c>
      <c r="C8895">
        <v>10.5</v>
      </c>
      <c r="D8895">
        <v>200</v>
      </c>
      <c r="E8895">
        <f>IF(OR(B8895="vi",B8895="ii",B8895="pod"),(((D8895/100)*(C8895*VLOOKUP(B8895,'Poids des runes'!A:B,2,FALSE)))+1),(((D8895/100)*(C8895*VLOOKUP(B8895,'Poids des runes'!A:B,2,FALSE)))+1)/VLOOKUP(B8895,'Poids des runes'!A:B,2,FALSE))</f>
        <v>21.2</v>
      </c>
      <c r="F8895">
        <f t="shared" si="138"/>
        <v>21.2</v>
      </c>
    </row>
    <row r="8896" spans="1:6" x14ac:dyDescent="0.3">
      <c r="A8896" t="s">
        <v>1456</v>
      </c>
      <c r="B8896" t="s">
        <v>2141</v>
      </c>
      <c r="C8896">
        <v>6.5</v>
      </c>
      <c r="D8896">
        <v>200</v>
      </c>
      <c r="E8896">
        <f>IF(OR(B8896="vi",B8896="ii",B8896="pod"),(((D8896/100)*(C8896*VLOOKUP(B8896,'Poids des runes'!A:B,2,FALSE)))+1),(((D8896/100)*(C8896*VLOOKUP(B8896,'Poids des runes'!A:B,2,FALSE)))+1)/VLOOKUP(B8896,'Poids des runes'!A:B,2,FALSE))</f>
        <v>13.25</v>
      </c>
      <c r="F8896">
        <f t="shared" si="138"/>
        <v>13.25</v>
      </c>
    </row>
    <row r="8897" spans="1:6" x14ac:dyDescent="0.3">
      <c r="A8897" t="s">
        <v>1456</v>
      </c>
      <c r="B8897" t="s">
        <v>2163</v>
      </c>
      <c r="C8897">
        <v>18</v>
      </c>
      <c r="D8897">
        <v>200</v>
      </c>
      <c r="E8897">
        <f>IF(OR(B8897="vi",B8897="ii",B8897="pod"),(((D8897/100)*(C8897*VLOOKUP(B8897,'Poids des runes'!A:B,2,FALSE)))+1),(((D8897/100)*(C8897*VLOOKUP(B8897,'Poids des runes'!A:B,2,FALSE)))+1)/VLOOKUP(B8897,'Poids des runes'!A:B,2,FALSE))</f>
        <v>36.5</v>
      </c>
      <c r="F8897">
        <f t="shared" si="138"/>
        <v>36.5</v>
      </c>
    </row>
    <row r="8898" spans="1:6" x14ac:dyDescent="0.3">
      <c r="A8898" t="s">
        <v>1456</v>
      </c>
      <c r="B8898" t="s">
        <v>2136</v>
      </c>
      <c r="C8898">
        <v>23</v>
      </c>
      <c r="D8898">
        <v>200</v>
      </c>
      <c r="E8898">
        <f>IF(OR(B8898="vi",B8898="ii",B8898="pod"),(((D8898/100)*(C8898*VLOOKUP(B8898,'Poids des runes'!A:B,2,FALSE)))+1),(((D8898/100)*(C8898*VLOOKUP(B8898,'Poids des runes'!A:B,2,FALSE)))+1)/VLOOKUP(B8898,'Poids des runes'!A:B,2,FALSE))</f>
        <v>46.5</v>
      </c>
      <c r="F8898">
        <f t="shared" si="138"/>
        <v>46.5</v>
      </c>
    </row>
    <row r="8899" spans="1:6" x14ac:dyDescent="0.3">
      <c r="A8899" t="s">
        <v>1456</v>
      </c>
      <c r="B8899" t="s">
        <v>2137</v>
      </c>
      <c r="C8899">
        <v>23</v>
      </c>
      <c r="D8899">
        <v>200</v>
      </c>
      <c r="E8899">
        <f>IF(OR(B8899="vi",B8899="ii",B8899="pod"),(((D8899/100)*(C8899*VLOOKUP(B8899,'Poids des runes'!A:B,2,FALSE)))+1),(((D8899/100)*(C8899*VLOOKUP(B8899,'Poids des runes'!A:B,2,FALSE)))+1)/VLOOKUP(B8899,'Poids des runes'!A:B,2,FALSE))</f>
        <v>46.5</v>
      </c>
      <c r="F8899">
        <f t="shared" ref="F8899:F8962" si="139">E8899</f>
        <v>46.5</v>
      </c>
    </row>
    <row r="8900" spans="1:6" x14ac:dyDescent="0.3">
      <c r="A8900" t="s">
        <v>1456</v>
      </c>
      <c r="B8900" t="s">
        <v>2144</v>
      </c>
      <c r="C8900">
        <v>23</v>
      </c>
      <c r="D8900">
        <v>200</v>
      </c>
      <c r="E8900">
        <f>IF(OR(B8900="vi",B8900="ii",B8900="pod"),(((D8900/100)*(C8900*VLOOKUP(B8900,'Poids des runes'!A:B,2,FALSE)))+1),(((D8900/100)*(C8900*VLOOKUP(B8900,'Poids des runes'!A:B,2,FALSE)))+1)/VLOOKUP(B8900,'Poids des runes'!A:B,2,FALSE))</f>
        <v>46.5</v>
      </c>
      <c r="F8900">
        <f t="shared" si="139"/>
        <v>46.5</v>
      </c>
    </row>
    <row r="8901" spans="1:6" x14ac:dyDescent="0.3">
      <c r="A8901" t="s">
        <v>1456</v>
      </c>
      <c r="B8901" t="s">
        <v>2146</v>
      </c>
      <c r="C8901">
        <v>23</v>
      </c>
      <c r="D8901">
        <v>200</v>
      </c>
      <c r="E8901">
        <f>IF(OR(B8901="vi",B8901="ii",B8901="pod"),(((D8901/100)*(C8901*VLOOKUP(B8901,'Poids des runes'!A:B,2,FALSE)))+1),(((D8901/100)*(C8901*VLOOKUP(B8901,'Poids des runes'!A:B,2,FALSE)))+1)/VLOOKUP(B8901,'Poids des runes'!A:B,2,FALSE))</f>
        <v>46.5</v>
      </c>
      <c r="F8901">
        <f t="shared" si="139"/>
        <v>46.5</v>
      </c>
    </row>
    <row r="8902" spans="1:6" x14ac:dyDescent="0.3">
      <c r="A8902" t="s">
        <v>1457</v>
      </c>
      <c r="B8902" t="s">
        <v>2128</v>
      </c>
      <c r="C8902">
        <v>375.5</v>
      </c>
      <c r="D8902">
        <v>200</v>
      </c>
      <c r="E8902">
        <f>IF(OR(B8902="vi",B8902="ii",B8902="pod"),(((D8902/100)*(C8902*VLOOKUP(B8902,'Poids des runes'!A:B,2,FALSE)))+1),(((D8902/100)*(C8902*VLOOKUP(B8902,'Poids des runes'!A:B,2,FALSE)))+1)/VLOOKUP(B8902,'Poids des runes'!A:B,2,FALSE))</f>
        <v>151.20000000000002</v>
      </c>
      <c r="F8902">
        <f t="shared" si="139"/>
        <v>151.20000000000002</v>
      </c>
    </row>
    <row r="8903" spans="1:6" x14ac:dyDescent="0.3">
      <c r="A8903" t="s">
        <v>1457</v>
      </c>
      <c r="B8903" t="s">
        <v>2126</v>
      </c>
      <c r="C8903">
        <v>70.5</v>
      </c>
      <c r="D8903">
        <v>200</v>
      </c>
      <c r="E8903">
        <f>IF(OR(B8903="vi",B8903="ii",B8903="pod"),(((D8903/100)*(C8903*VLOOKUP(B8903,'Poids des runes'!A:B,2,FALSE)))+1),(((D8903/100)*(C8903*VLOOKUP(B8903,'Poids des runes'!A:B,2,FALSE)))+1)/VLOOKUP(B8903,'Poids des runes'!A:B,2,FALSE))</f>
        <v>142</v>
      </c>
      <c r="F8903">
        <f t="shared" si="139"/>
        <v>142</v>
      </c>
    </row>
    <row r="8904" spans="1:6" x14ac:dyDescent="0.3">
      <c r="A8904" t="s">
        <v>1457</v>
      </c>
      <c r="B8904" t="s">
        <v>2131</v>
      </c>
      <c r="C8904">
        <v>70.5</v>
      </c>
      <c r="D8904">
        <v>200</v>
      </c>
      <c r="E8904">
        <f>IF(OR(B8904="vi",B8904="ii",B8904="pod"),(((D8904/100)*(C8904*VLOOKUP(B8904,'Poids des runes'!A:B,2,FALSE)))+1),(((D8904/100)*(C8904*VLOOKUP(B8904,'Poids des runes'!A:B,2,FALSE)))+1)/VLOOKUP(B8904,'Poids des runes'!A:B,2,FALSE))</f>
        <v>142</v>
      </c>
      <c r="F8904">
        <f t="shared" si="139"/>
        <v>142</v>
      </c>
    </row>
    <row r="8905" spans="1:6" x14ac:dyDescent="0.3">
      <c r="A8905" t="s">
        <v>1457</v>
      </c>
      <c r="B8905" t="s">
        <v>2129</v>
      </c>
      <c r="C8905">
        <v>40.5</v>
      </c>
      <c r="D8905">
        <v>200</v>
      </c>
      <c r="E8905">
        <f>IF(OR(B8905="vi",B8905="ii",B8905="pod"),(((D8905/100)*(C8905*VLOOKUP(B8905,'Poids des runes'!A:B,2,FALSE)))+1),(((D8905/100)*(C8905*VLOOKUP(B8905,'Poids des runes'!A:B,2,FALSE)))+1)/VLOOKUP(B8905,'Poids des runes'!A:B,2,FALSE))</f>
        <v>82</v>
      </c>
      <c r="F8905">
        <f t="shared" si="139"/>
        <v>82</v>
      </c>
    </row>
    <row r="8906" spans="1:6" x14ac:dyDescent="0.3">
      <c r="A8906" t="s">
        <v>1457</v>
      </c>
      <c r="B8906" t="s">
        <v>2140</v>
      </c>
      <c r="C8906">
        <v>13</v>
      </c>
      <c r="D8906">
        <v>200</v>
      </c>
      <c r="E8906">
        <f>IF(OR(B8906="vi",B8906="ii",B8906="pod"),(((D8906/100)*(C8906*VLOOKUP(B8906,'Poids des runes'!A:B,2,FALSE)))+1),(((D8906/100)*(C8906*VLOOKUP(B8906,'Poids des runes'!A:B,2,FALSE)))+1)/VLOOKUP(B8906,'Poids des runes'!A:B,2,FALSE))</f>
        <v>26.2</v>
      </c>
      <c r="F8906">
        <f t="shared" si="139"/>
        <v>26.2</v>
      </c>
    </row>
    <row r="8907" spans="1:6" x14ac:dyDescent="0.3">
      <c r="A8907" t="s">
        <v>1457</v>
      </c>
      <c r="B8907" t="s">
        <v>2133</v>
      </c>
      <c r="C8907">
        <v>13</v>
      </c>
      <c r="D8907">
        <v>200</v>
      </c>
      <c r="E8907">
        <f>IF(OR(B8907="vi",B8907="ii",B8907="pod"),(((D8907/100)*(C8907*VLOOKUP(B8907,'Poids des runes'!A:B,2,FALSE)))+1),(((D8907/100)*(C8907*VLOOKUP(B8907,'Poids des runes'!A:B,2,FALSE)))+1)/VLOOKUP(B8907,'Poids des runes'!A:B,2,FALSE))</f>
        <v>26.2</v>
      </c>
      <c r="F8907">
        <f t="shared" si="139"/>
        <v>26.2</v>
      </c>
    </row>
    <row r="8908" spans="1:6" x14ac:dyDescent="0.3">
      <c r="A8908" t="s">
        <v>1457</v>
      </c>
      <c r="B8908" t="s">
        <v>2149</v>
      </c>
      <c r="C8908">
        <v>10</v>
      </c>
      <c r="D8908">
        <v>200</v>
      </c>
      <c r="E8908">
        <f>IF(OR(B8908="vi",B8908="ii",B8908="pod"),(((D8908/100)*(C8908*VLOOKUP(B8908,'Poids des runes'!A:B,2,FALSE)))+1),(((D8908/100)*(C8908*VLOOKUP(B8908,'Poids des runes'!A:B,2,FALSE)))+1)/VLOOKUP(B8908,'Poids des runes'!A:B,2,FALSE))</f>
        <v>20.100000000000001</v>
      </c>
      <c r="F8908">
        <f t="shared" si="139"/>
        <v>20.100000000000001</v>
      </c>
    </row>
    <row r="8909" spans="1:6" x14ac:dyDescent="0.3">
      <c r="A8909" t="s">
        <v>1457</v>
      </c>
      <c r="B8909" t="s">
        <v>2138</v>
      </c>
      <c r="C8909">
        <v>8.5</v>
      </c>
      <c r="D8909">
        <v>200</v>
      </c>
      <c r="E8909">
        <f>IF(OR(B8909="vi",B8909="ii",B8909="pod"),(((D8909/100)*(C8909*VLOOKUP(B8909,'Poids des runes'!A:B,2,FALSE)))+1),(((D8909/100)*(C8909*VLOOKUP(B8909,'Poids des runes'!A:B,2,FALSE)))+1)/VLOOKUP(B8909,'Poids des runes'!A:B,2,FALSE))</f>
        <v>17.25</v>
      </c>
      <c r="F8909">
        <f t="shared" si="139"/>
        <v>17.25</v>
      </c>
    </row>
    <row r="8910" spans="1:6" x14ac:dyDescent="0.3">
      <c r="A8910" t="s">
        <v>1457</v>
      </c>
      <c r="B8910" t="s">
        <v>2148</v>
      </c>
      <c r="C8910">
        <v>8.5</v>
      </c>
      <c r="D8910">
        <v>200</v>
      </c>
      <c r="E8910">
        <f>IF(OR(B8910="vi",B8910="ii",B8910="pod"),(((D8910/100)*(C8910*VLOOKUP(B8910,'Poids des runes'!A:B,2,FALSE)))+1),(((D8910/100)*(C8910*VLOOKUP(B8910,'Poids des runes'!A:B,2,FALSE)))+1)/VLOOKUP(B8910,'Poids des runes'!A:B,2,FALSE))</f>
        <v>17.166666666666668</v>
      </c>
      <c r="F8910">
        <f t="shared" si="139"/>
        <v>17.166666666666668</v>
      </c>
    </row>
    <row r="8911" spans="1:6" x14ac:dyDescent="0.3">
      <c r="A8911" t="s">
        <v>1457</v>
      </c>
      <c r="B8911" t="s">
        <v>2157</v>
      </c>
      <c r="C8911">
        <v>8.5</v>
      </c>
      <c r="D8911">
        <v>200</v>
      </c>
      <c r="E8911">
        <f>IF(OR(B8911="vi",B8911="ii",B8911="pod"),(((D8911/100)*(C8911*VLOOKUP(B8911,'Poids des runes'!A:B,2,FALSE)))+1),(((D8911/100)*(C8911*VLOOKUP(B8911,'Poids des runes'!A:B,2,FALSE)))+1)/VLOOKUP(B8911,'Poids des runes'!A:B,2,FALSE))</f>
        <v>17.166666666666668</v>
      </c>
      <c r="F8911">
        <f t="shared" si="139"/>
        <v>17.166666666666668</v>
      </c>
    </row>
    <row r="8912" spans="1:6" x14ac:dyDescent="0.3">
      <c r="A8912" t="s">
        <v>1458</v>
      </c>
      <c r="B8912" t="s">
        <v>2128</v>
      </c>
      <c r="C8912">
        <v>375.5</v>
      </c>
      <c r="D8912">
        <v>200</v>
      </c>
      <c r="E8912">
        <f>IF(OR(B8912="vi",B8912="ii",B8912="pod"),(((D8912/100)*(C8912*VLOOKUP(B8912,'Poids des runes'!A:B,2,FALSE)))+1),(((D8912/100)*(C8912*VLOOKUP(B8912,'Poids des runes'!A:B,2,FALSE)))+1)/VLOOKUP(B8912,'Poids des runes'!A:B,2,FALSE))</f>
        <v>151.20000000000002</v>
      </c>
      <c r="F8912">
        <f t="shared" si="139"/>
        <v>151.20000000000002</v>
      </c>
    </row>
    <row r="8913" spans="1:6" x14ac:dyDescent="0.3">
      <c r="A8913" t="s">
        <v>1458</v>
      </c>
      <c r="B8913" t="s">
        <v>2126</v>
      </c>
      <c r="C8913">
        <v>40.5</v>
      </c>
      <c r="D8913">
        <v>200</v>
      </c>
      <c r="E8913">
        <f>IF(OR(B8913="vi",B8913="ii",B8913="pod"),(((D8913/100)*(C8913*VLOOKUP(B8913,'Poids des runes'!A:B,2,FALSE)))+1),(((D8913/100)*(C8913*VLOOKUP(B8913,'Poids des runes'!A:B,2,FALSE)))+1)/VLOOKUP(B8913,'Poids des runes'!A:B,2,FALSE))</f>
        <v>82</v>
      </c>
      <c r="F8913">
        <f t="shared" si="139"/>
        <v>82</v>
      </c>
    </row>
    <row r="8914" spans="1:6" x14ac:dyDescent="0.3">
      <c r="A8914" t="s">
        <v>1458</v>
      </c>
      <c r="B8914" t="s">
        <v>2131</v>
      </c>
      <c r="C8914">
        <v>40.5</v>
      </c>
      <c r="D8914">
        <v>200</v>
      </c>
      <c r="E8914">
        <f>IF(OR(B8914="vi",B8914="ii",B8914="pod"),(((D8914/100)*(C8914*VLOOKUP(B8914,'Poids des runes'!A:B,2,FALSE)))+1),(((D8914/100)*(C8914*VLOOKUP(B8914,'Poids des runes'!A:B,2,FALSE)))+1)/VLOOKUP(B8914,'Poids des runes'!A:B,2,FALSE))</f>
        <v>82</v>
      </c>
      <c r="F8914">
        <f t="shared" si="139"/>
        <v>82</v>
      </c>
    </row>
    <row r="8915" spans="1:6" x14ac:dyDescent="0.3">
      <c r="A8915" t="s">
        <v>1458</v>
      </c>
      <c r="B8915" t="s">
        <v>2127</v>
      </c>
      <c r="C8915">
        <v>40.5</v>
      </c>
      <c r="D8915">
        <v>200</v>
      </c>
      <c r="E8915">
        <f>IF(OR(B8915="vi",B8915="ii",B8915="pod"),(((D8915/100)*(C8915*VLOOKUP(B8915,'Poids des runes'!A:B,2,FALSE)))+1),(((D8915/100)*(C8915*VLOOKUP(B8915,'Poids des runes'!A:B,2,FALSE)))+1)/VLOOKUP(B8915,'Poids des runes'!A:B,2,FALSE))</f>
        <v>82</v>
      </c>
      <c r="F8915">
        <f t="shared" si="139"/>
        <v>82</v>
      </c>
    </row>
    <row r="8916" spans="1:6" x14ac:dyDescent="0.3">
      <c r="A8916" t="s">
        <v>1458</v>
      </c>
      <c r="B8916" t="s">
        <v>2129</v>
      </c>
      <c r="C8916">
        <v>35.5</v>
      </c>
      <c r="D8916">
        <v>200</v>
      </c>
      <c r="E8916">
        <f>IF(OR(B8916="vi",B8916="ii",B8916="pod"),(((D8916/100)*(C8916*VLOOKUP(B8916,'Poids des runes'!A:B,2,FALSE)))+1),(((D8916/100)*(C8916*VLOOKUP(B8916,'Poids des runes'!A:B,2,FALSE)))+1)/VLOOKUP(B8916,'Poids des runes'!A:B,2,FALSE))</f>
        <v>72</v>
      </c>
      <c r="F8916">
        <f t="shared" si="139"/>
        <v>72</v>
      </c>
    </row>
    <row r="8917" spans="1:6" x14ac:dyDescent="0.3">
      <c r="A8917" t="s">
        <v>1458</v>
      </c>
      <c r="B8917" t="s">
        <v>2151</v>
      </c>
      <c r="C8917">
        <v>2.5</v>
      </c>
      <c r="D8917">
        <v>200</v>
      </c>
      <c r="E8917">
        <f>IF(OR(B8917="vi",B8917="ii",B8917="pod"),(((D8917/100)*(C8917*VLOOKUP(B8917,'Poids des runes'!A:B,2,FALSE)))+1),(((D8917/100)*(C8917*VLOOKUP(B8917,'Poids des runes'!A:B,2,FALSE)))+1)/VLOOKUP(B8917,'Poids des runes'!A:B,2,FALSE))</f>
        <v>5.0999999999999996</v>
      </c>
      <c r="F8917">
        <f t="shared" si="139"/>
        <v>5.0999999999999996</v>
      </c>
    </row>
    <row r="8918" spans="1:6" x14ac:dyDescent="0.3">
      <c r="A8918" t="s">
        <v>1458</v>
      </c>
      <c r="B8918" t="s">
        <v>2155</v>
      </c>
      <c r="C8918">
        <v>2</v>
      </c>
      <c r="D8918">
        <v>200</v>
      </c>
      <c r="E8918">
        <f>IF(OR(B8918="vi",B8918="ii",B8918="pod"),(((D8918/100)*(C8918*VLOOKUP(B8918,'Poids des runes'!A:B,2,FALSE)))+1),(((D8918/100)*(C8918*VLOOKUP(B8918,'Poids des runes'!A:B,2,FALSE)))+1)/VLOOKUP(B8918,'Poids des runes'!A:B,2,FALSE))</f>
        <v>4.0196078431372548</v>
      </c>
      <c r="F8918">
        <f t="shared" si="139"/>
        <v>4.0196078431372548</v>
      </c>
    </row>
    <row r="8919" spans="1:6" x14ac:dyDescent="0.3">
      <c r="A8919" t="s">
        <v>1458</v>
      </c>
      <c r="B8919" t="s">
        <v>2140</v>
      </c>
      <c r="C8919">
        <v>10.5</v>
      </c>
      <c r="D8919">
        <v>200</v>
      </c>
      <c r="E8919">
        <f>IF(OR(B8919="vi",B8919="ii",B8919="pod"),(((D8919/100)*(C8919*VLOOKUP(B8919,'Poids des runes'!A:B,2,FALSE)))+1),(((D8919/100)*(C8919*VLOOKUP(B8919,'Poids des runes'!A:B,2,FALSE)))+1)/VLOOKUP(B8919,'Poids des runes'!A:B,2,FALSE))</f>
        <v>21.2</v>
      </c>
      <c r="F8919">
        <f t="shared" si="139"/>
        <v>21.2</v>
      </c>
    </row>
    <row r="8920" spans="1:6" x14ac:dyDescent="0.3">
      <c r="A8920" t="s">
        <v>1458</v>
      </c>
      <c r="B8920" t="s">
        <v>2133</v>
      </c>
      <c r="C8920">
        <v>10.5</v>
      </c>
      <c r="D8920">
        <v>200</v>
      </c>
      <c r="E8920">
        <f>IF(OR(B8920="vi",B8920="ii",B8920="pod"),(((D8920/100)*(C8920*VLOOKUP(B8920,'Poids des runes'!A:B,2,FALSE)))+1),(((D8920/100)*(C8920*VLOOKUP(B8920,'Poids des runes'!A:B,2,FALSE)))+1)/VLOOKUP(B8920,'Poids des runes'!A:B,2,FALSE))</f>
        <v>21.2</v>
      </c>
      <c r="F8920">
        <f t="shared" si="139"/>
        <v>21.2</v>
      </c>
    </row>
    <row r="8921" spans="1:6" x14ac:dyDescent="0.3">
      <c r="A8921" t="s">
        <v>1458</v>
      </c>
      <c r="B8921" t="s">
        <v>2153</v>
      </c>
      <c r="C8921">
        <v>10.5</v>
      </c>
      <c r="D8921">
        <v>200</v>
      </c>
      <c r="E8921">
        <f>IF(OR(B8921="vi",B8921="ii",B8921="pod"),(((D8921/100)*(C8921*VLOOKUP(B8921,'Poids des runes'!A:B,2,FALSE)))+1),(((D8921/100)*(C8921*VLOOKUP(B8921,'Poids des runes'!A:B,2,FALSE)))+1)/VLOOKUP(B8921,'Poids des runes'!A:B,2,FALSE))</f>
        <v>21.2</v>
      </c>
      <c r="F8921">
        <f t="shared" si="139"/>
        <v>21.2</v>
      </c>
    </row>
    <row r="8922" spans="1:6" x14ac:dyDescent="0.3">
      <c r="A8922" t="s">
        <v>1458</v>
      </c>
      <c r="B8922" t="s">
        <v>2161</v>
      </c>
      <c r="C8922">
        <v>25.5</v>
      </c>
      <c r="D8922">
        <v>200</v>
      </c>
      <c r="E8922">
        <f>IF(OR(B8922="vi",B8922="ii",B8922="pod"),(((D8922/100)*(C8922*VLOOKUP(B8922,'Poids des runes'!A:B,2,FALSE)))+1),(((D8922/100)*(C8922*VLOOKUP(B8922,'Poids des runes'!A:B,2,FALSE)))+1)/VLOOKUP(B8922,'Poids des runes'!A:B,2,FALSE))</f>
        <v>51.333333333333336</v>
      </c>
      <c r="F8922">
        <f t="shared" si="139"/>
        <v>51.333333333333336</v>
      </c>
    </row>
    <row r="8923" spans="1:6" x14ac:dyDescent="0.3">
      <c r="A8923" t="s">
        <v>1458</v>
      </c>
      <c r="B8923" t="s">
        <v>2138</v>
      </c>
      <c r="C8923">
        <v>8.5</v>
      </c>
      <c r="D8923">
        <v>200</v>
      </c>
      <c r="E8923">
        <f>IF(OR(B8923="vi",B8923="ii",B8923="pod"),(((D8923/100)*(C8923*VLOOKUP(B8923,'Poids des runes'!A:B,2,FALSE)))+1),(((D8923/100)*(C8923*VLOOKUP(B8923,'Poids des runes'!A:B,2,FALSE)))+1)/VLOOKUP(B8923,'Poids des runes'!A:B,2,FALSE))</f>
        <v>17.25</v>
      </c>
      <c r="F8923">
        <f t="shared" si="139"/>
        <v>17.25</v>
      </c>
    </row>
    <row r="8924" spans="1:6" x14ac:dyDescent="0.3">
      <c r="A8924" t="s">
        <v>1458</v>
      </c>
      <c r="B8924" t="s">
        <v>2148</v>
      </c>
      <c r="C8924">
        <v>8.5</v>
      </c>
      <c r="D8924">
        <v>200</v>
      </c>
      <c r="E8924">
        <f>IF(OR(B8924="vi",B8924="ii",B8924="pod"),(((D8924/100)*(C8924*VLOOKUP(B8924,'Poids des runes'!A:B,2,FALSE)))+1),(((D8924/100)*(C8924*VLOOKUP(B8924,'Poids des runes'!A:B,2,FALSE)))+1)/VLOOKUP(B8924,'Poids des runes'!A:B,2,FALSE))</f>
        <v>17.166666666666668</v>
      </c>
      <c r="F8924">
        <f t="shared" si="139"/>
        <v>17.166666666666668</v>
      </c>
    </row>
    <row r="8925" spans="1:6" x14ac:dyDescent="0.3">
      <c r="A8925" t="s">
        <v>1459</v>
      </c>
      <c r="B8925" t="s">
        <v>2128</v>
      </c>
      <c r="C8925">
        <v>325.5</v>
      </c>
      <c r="D8925">
        <v>200</v>
      </c>
      <c r="E8925">
        <f>IF(OR(B8925="vi",B8925="ii",B8925="pod"),(((D8925/100)*(C8925*VLOOKUP(B8925,'Poids des runes'!A:B,2,FALSE)))+1),(((D8925/100)*(C8925*VLOOKUP(B8925,'Poids des runes'!A:B,2,FALSE)))+1)/VLOOKUP(B8925,'Poids des runes'!A:B,2,FALSE))</f>
        <v>131.20000000000002</v>
      </c>
      <c r="F8925">
        <f t="shared" si="139"/>
        <v>131.20000000000002</v>
      </c>
    </row>
    <row r="8926" spans="1:6" x14ac:dyDescent="0.3">
      <c r="A8926" t="s">
        <v>1459</v>
      </c>
      <c r="B8926" t="s">
        <v>2130</v>
      </c>
      <c r="C8926">
        <v>60.5</v>
      </c>
      <c r="D8926">
        <v>200</v>
      </c>
      <c r="E8926">
        <f>IF(OR(B8926="vi",B8926="ii",B8926="pod"),(((D8926/100)*(C8926*VLOOKUP(B8926,'Poids des runes'!A:B,2,FALSE)))+1),(((D8926/100)*(C8926*VLOOKUP(B8926,'Poids des runes'!A:B,2,FALSE)))+1)/VLOOKUP(B8926,'Poids des runes'!A:B,2,FALSE))</f>
        <v>122</v>
      </c>
      <c r="F8926">
        <f t="shared" si="139"/>
        <v>122</v>
      </c>
    </row>
    <row r="8927" spans="1:6" x14ac:dyDescent="0.3">
      <c r="A8927" t="s">
        <v>1459</v>
      </c>
      <c r="B8927" t="s">
        <v>2126</v>
      </c>
      <c r="C8927">
        <v>60.5</v>
      </c>
      <c r="D8927">
        <v>200</v>
      </c>
      <c r="E8927">
        <f>IF(OR(B8927="vi",B8927="ii",B8927="pod"),(((D8927/100)*(C8927*VLOOKUP(B8927,'Poids des runes'!A:B,2,FALSE)))+1),(((D8927/100)*(C8927*VLOOKUP(B8927,'Poids des runes'!A:B,2,FALSE)))+1)/VLOOKUP(B8927,'Poids des runes'!A:B,2,FALSE))</f>
        <v>122</v>
      </c>
      <c r="F8927">
        <f t="shared" si="139"/>
        <v>122</v>
      </c>
    </row>
    <row r="8928" spans="1:6" x14ac:dyDescent="0.3">
      <c r="A8928" t="s">
        <v>1459</v>
      </c>
      <c r="B8928" t="s">
        <v>2129</v>
      </c>
      <c r="C8928">
        <v>35.5</v>
      </c>
      <c r="D8928">
        <v>200</v>
      </c>
      <c r="E8928">
        <f>IF(OR(B8928="vi",B8928="ii",B8928="pod"),(((D8928/100)*(C8928*VLOOKUP(B8928,'Poids des runes'!A:B,2,FALSE)))+1),(((D8928/100)*(C8928*VLOOKUP(B8928,'Poids des runes'!A:B,2,FALSE)))+1)/VLOOKUP(B8928,'Poids des runes'!A:B,2,FALSE))</f>
        <v>72</v>
      </c>
      <c r="F8928">
        <f t="shared" si="139"/>
        <v>72</v>
      </c>
    </row>
    <row r="8929" spans="1:6" x14ac:dyDescent="0.3">
      <c r="A8929" t="s">
        <v>1459</v>
      </c>
      <c r="B8929" t="s">
        <v>2151</v>
      </c>
      <c r="C8929">
        <v>2.5</v>
      </c>
      <c r="D8929">
        <v>200</v>
      </c>
      <c r="E8929">
        <f>IF(OR(B8929="vi",B8929="ii",B8929="pod"),(((D8929/100)*(C8929*VLOOKUP(B8929,'Poids des runes'!A:B,2,FALSE)))+1),(((D8929/100)*(C8929*VLOOKUP(B8929,'Poids des runes'!A:B,2,FALSE)))+1)/VLOOKUP(B8929,'Poids des runes'!A:B,2,FALSE))</f>
        <v>5.0999999999999996</v>
      </c>
      <c r="F8929">
        <f t="shared" si="139"/>
        <v>5.0999999999999996</v>
      </c>
    </row>
    <row r="8930" spans="1:6" x14ac:dyDescent="0.3">
      <c r="A8930" t="s">
        <v>1459</v>
      </c>
      <c r="B8930" t="s">
        <v>2150</v>
      </c>
      <c r="C8930">
        <v>1</v>
      </c>
      <c r="D8930">
        <v>200</v>
      </c>
      <c r="E8930">
        <f>IF(OR(B8930="vi",B8930="ii",B8930="pod"),(((D8930/100)*(C8930*VLOOKUP(B8930,'Poids des runes'!A:B,2,FALSE)))+1),(((D8930/100)*(C8930*VLOOKUP(B8930,'Poids des runes'!A:B,2,FALSE)))+1)/VLOOKUP(B8930,'Poids des runes'!A:B,2,FALSE))</f>
        <v>2.0333333333333332</v>
      </c>
      <c r="F8930">
        <f t="shared" si="139"/>
        <v>2.0333333333333332</v>
      </c>
    </row>
    <row r="8931" spans="1:6" x14ac:dyDescent="0.3">
      <c r="A8931" t="s">
        <v>1459</v>
      </c>
      <c r="B8931" t="s">
        <v>2143</v>
      </c>
      <c r="C8931">
        <v>13</v>
      </c>
      <c r="D8931">
        <v>200</v>
      </c>
      <c r="E8931">
        <f>IF(OR(B8931="vi",B8931="ii",B8931="pod"),(((D8931/100)*(C8931*VLOOKUP(B8931,'Poids des runes'!A:B,2,FALSE)))+1),(((D8931/100)*(C8931*VLOOKUP(B8931,'Poids des runes'!A:B,2,FALSE)))+1)/VLOOKUP(B8931,'Poids des runes'!A:B,2,FALSE))</f>
        <v>26.2</v>
      </c>
      <c r="F8931">
        <f t="shared" si="139"/>
        <v>26.2</v>
      </c>
    </row>
    <row r="8932" spans="1:6" x14ac:dyDescent="0.3">
      <c r="A8932" t="s">
        <v>1459</v>
      </c>
      <c r="B8932" t="s">
        <v>2140</v>
      </c>
      <c r="C8932">
        <v>13</v>
      </c>
      <c r="D8932">
        <v>200</v>
      </c>
      <c r="E8932">
        <f>IF(OR(B8932="vi",B8932="ii",B8932="pod"),(((D8932/100)*(C8932*VLOOKUP(B8932,'Poids des runes'!A:B,2,FALSE)))+1),(((D8932/100)*(C8932*VLOOKUP(B8932,'Poids des runes'!A:B,2,FALSE)))+1)/VLOOKUP(B8932,'Poids des runes'!A:B,2,FALSE))</f>
        <v>26.2</v>
      </c>
      <c r="F8932">
        <f t="shared" si="139"/>
        <v>26.2</v>
      </c>
    </row>
    <row r="8933" spans="1:6" x14ac:dyDescent="0.3">
      <c r="A8933" t="s">
        <v>1459</v>
      </c>
      <c r="B8933" t="s">
        <v>2141</v>
      </c>
      <c r="C8933">
        <v>4</v>
      </c>
      <c r="D8933">
        <v>200</v>
      </c>
      <c r="E8933">
        <f>IF(OR(B8933="vi",B8933="ii",B8933="pod"),(((D8933/100)*(C8933*VLOOKUP(B8933,'Poids des runes'!A:B,2,FALSE)))+1),(((D8933/100)*(C8933*VLOOKUP(B8933,'Poids des runes'!A:B,2,FALSE)))+1)/VLOOKUP(B8933,'Poids des runes'!A:B,2,FALSE))</f>
        <v>8.25</v>
      </c>
      <c r="F8933">
        <f t="shared" si="139"/>
        <v>8.25</v>
      </c>
    </row>
    <row r="8934" spans="1:6" x14ac:dyDescent="0.3">
      <c r="A8934" t="s">
        <v>1459</v>
      </c>
      <c r="B8934" t="s">
        <v>2147</v>
      </c>
      <c r="C8934">
        <v>8</v>
      </c>
      <c r="D8934">
        <v>200</v>
      </c>
      <c r="E8934">
        <f>IF(OR(B8934="vi",B8934="ii",B8934="pod"),(((D8934/100)*(C8934*VLOOKUP(B8934,'Poids des runes'!A:B,2,FALSE)))+1),(((D8934/100)*(C8934*VLOOKUP(B8934,'Poids des runes'!A:B,2,FALSE)))+1)/VLOOKUP(B8934,'Poids des runes'!A:B,2,FALSE))</f>
        <v>16.166666666666668</v>
      </c>
      <c r="F8934">
        <f t="shared" si="139"/>
        <v>16.166666666666668</v>
      </c>
    </row>
    <row r="8935" spans="1:6" x14ac:dyDescent="0.3">
      <c r="A8935" t="s">
        <v>1459</v>
      </c>
      <c r="B8935" t="s">
        <v>2157</v>
      </c>
      <c r="C8935">
        <v>8</v>
      </c>
      <c r="D8935">
        <v>200</v>
      </c>
      <c r="E8935">
        <f>IF(OR(B8935="vi",B8935="ii",B8935="pod"),(((D8935/100)*(C8935*VLOOKUP(B8935,'Poids des runes'!A:B,2,FALSE)))+1),(((D8935/100)*(C8935*VLOOKUP(B8935,'Poids des runes'!A:B,2,FALSE)))+1)/VLOOKUP(B8935,'Poids des runes'!A:B,2,FALSE))</f>
        <v>16.166666666666668</v>
      </c>
      <c r="F8935">
        <f t="shared" si="139"/>
        <v>16.166666666666668</v>
      </c>
    </row>
    <row r="8936" spans="1:6" x14ac:dyDescent="0.3">
      <c r="A8936" t="s">
        <v>1460</v>
      </c>
      <c r="B8936" t="s">
        <v>2128</v>
      </c>
      <c r="C8936">
        <v>375.5</v>
      </c>
      <c r="D8936">
        <v>200</v>
      </c>
      <c r="E8936">
        <f>IF(OR(B8936="vi",B8936="ii",B8936="pod"),(((D8936/100)*(C8936*VLOOKUP(B8936,'Poids des runes'!A:B,2,FALSE)))+1),(((D8936/100)*(C8936*VLOOKUP(B8936,'Poids des runes'!A:B,2,FALSE)))+1)/VLOOKUP(B8936,'Poids des runes'!A:B,2,FALSE))</f>
        <v>151.20000000000002</v>
      </c>
      <c r="F8936">
        <f t="shared" si="139"/>
        <v>151.20000000000002</v>
      </c>
    </row>
    <row r="8937" spans="1:6" x14ac:dyDescent="0.3">
      <c r="A8937" t="s">
        <v>1460</v>
      </c>
      <c r="B8937" t="s">
        <v>2131</v>
      </c>
      <c r="C8937">
        <v>50.5</v>
      </c>
      <c r="D8937">
        <v>200</v>
      </c>
      <c r="E8937">
        <f>IF(OR(B8937="vi",B8937="ii",B8937="pod"),(((D8937/100)*(C8937*VLOOKUP(B8937,'Poids des runes'!A:B,2,FALSE)))+1),(((D8937/100)*(C8937*VLOOKUP(B8937,'Poids des runes'!A:B,2,FALSE)))+1)/VLOOKUP(B8937,'Poids des runes'!A:B,2,FALSE))</f>
        <v>102</v>
      </c>
      <c r="F8937">
        <f t="shared" si="139"/>
        <v>102</v>
      </c>
    </row>
    <row r="8938" spans="1:6" x14ac:dyDescent="0.3">
      <c r="A8938" t="s">
        <v>1460</v>
      </c>
      <c r="B8938" t="s">
        <v>2129</v>
      </c>
      <c r="C8938">
        <v>35.5</v>
      </c>
      <c r="D8938">
        <v>200</v>
      </c>
      <c r="E8938">
        <f>IF(OR(B8938="vi",B8938="ii",B8938="pod"),(((D8938/100)*(C8938*VLOOKUP(B8938,'Poids des runes'!A:B,2,FALSE)))+1),(((D8938/100)*(C8938*VLOOKUP(B8938,'Poids des runes'!A:B,2,FALSE)))+1)/VLOOKUP(B8938,'Poids des runes'!A:B,2,FALSE))</f>
        <v>72</v>
      </c>
      <c r="F8938">
        <f t="shared" si="139"/>
        <v>72</v>
      </c>
    </row>
    <row r="8939" spans="1:6" x14ac:dyDescent="0.3">
      <c r="A8939" t="s">
        <v>1460</v>
      </c>
      <c r="B8939" t="s">
        <v>2139</v>
      </c>
      <c r="C8939">
        <v>15.5</v>
      </c>
      <c r="D8939">
        <v>200</v>
      </c>
      <c r="E8939">
        <f>IF(OR(B8939="vi",B8939="ii",B8939="pod"),(((D8939/100)*(C8939*VLOOKUP(B8939,'Poids des runes'!A:B,2,FALSE)))+1),(((D8939/100)*(C8939*VLOOKUP(B8939,'Poids des runes'!A:B,2,FALSE)))+1)/VLOOKUP(B8939,'Poids des runes'!A:B,2,FALSE))</f>
        <v>31.5</v>
      </c>
      <c r="F8939">
        <f t="shared" si="139"/>
        <v>31.5</v>
      </c>
    </row>
    <row r="8940" spans="1:6" x14ac:dyDescent="0.3">
      <c r="A8940" t="s">
        <v>1460</v>
      </c>
      <c r="B8940" t="s">
        <v>2151</v>
      </c>
      <c r="C8940">
        <v>3.5</v>
      </c>
      <c r="D8940">
        <v>200</v>
      </c>
      <c r="E8940">
        <f>IF(OR(B8940="vi",B8940="ii",B8940="pod"),(((D8940/100)*(C8940*VLOOKUP(B8940,'Poids des runes'!A:B,2,FALSE)))+1),(((D8940/100)*(C8940*VLOOKUP(B8940,'Poids des runes'!A:B,2,FALSE)))+1)/VLOOKUP(B8940,'Poids des runes'!A:B,2,FALSE))</f>
        <v>7.1</v>
      </c>
      <c r="F8940">
        <f t="shared" si="139"/>
        <v>7.1</v>
      </c>
    </row>
    <row r="8941" spans="1:6" x14ac:dyDescent="0.3">
      <c r="A8941" t="s">
        <v>1460</v>
      </c>
      <c r="B8941" t="s">
        <v>2133</v>
      </c>
      <c r="C8941">
        <v>13</v>
      </c>
      <c r="D8941">
        <v>200</v>
      </c>
      <c r="E8941">
        <f>IF(OR(B8941="vi",B8941="ii",B8941="pod"),(((D8941/100)*(C8941*VLOOKUP(B8941,'Poids des runes'!A:B,2,FALSE)))+1),(((D8941/100)*(C8941*VLOOKUP(B8941,'Poids des runes'!A:B,2,FALSE)))+1)/VLOOKUP(B8941,'Poids des runes'!A:B,2,FALSE))</f>
        <v>26.2</v>
      </c>
      <c r="F8941">
        <f t="shared" si="139"/>
        <v>26.2</v>
      </c>
    </row>
    <row r="8942" spans="1:6" x14ac:dyDescent="0.3">
      <c r="A8942" t="s">
        <v>1460</v>
      </c>
      <c r="B8942" t="s">
        <v>2161</v>
      </c>
      <c r="C8942">
        <v>18</v>
      </c>
      <c r="D8942">
        <v>200</v>
      </c>
      <c r="E8942">
        <f>IF(OR(B8942="vi",B8942="ii",B8942="pod"),(((D8942/100)*(C8942*VLOOKUP(B8942,'Poids des runes'!A:B,2,FALSE)))+1),(((D8942/100)*(C8942*VLOOKUP(B8942,'Poids des runes'!A:B,2,FALSE)))+1)/VLOOKUP(B8942,'Poids des runes'!A:B,2,FALSE))</f>
        <v>36.333333333333336</v>
      </c>
      <c r="F8942">
        <f t="shared" si="139"/>
        <v>36.333333333333336</v>
      </c>
    </row>
    <row r="8943" spans="1:6" x14ac:dyDescent="0.3">
      <c r="A8943" t="s">
        <v>1460</v>
      </c>
      <c r="B8943" t="s">
        <v>2164</v>
      </c>
      <c r="C8943">
        <v>18</v>
      </c>
      <c r="D8943">
        <v>200</v>
      </c>
      <c r="E8943">
        <f>IF(OR(B8943="vi",B8943="ii",B8943="pod"),(((D8943/100)*(C8943*VLOOKUP(B8943,'Poids des runes'!A:B,2,FALSE)))+1),(((D8943/100)*(C8943*VLOOKUP(B8943,'Poids des runes'!A:B,2,FALSE)))+1)/VLOOKUP(B8943,'Poids des runes'!A:B,2,FALSE))</f>
        <v>36.5</v>
      </c>
      <c r="F8943">
        <f t="shared" si="139"/>
        <v>36.5</v>
      </c>
    </row>
    <row r="8944" spans="1:6" x14ac:dyDescent="0.3">
      <c r="A8944" t="s">
        <v>1460</v>
      </c>
      <c r="B8944" t="s">
        <v>2156</v>
      </c>
      <c r="C8944">
        <v>4</v>
      </c>
      <c r="D8944">
        <v>200</v>
      </c>
      <c r="E8944">
        <f>IF(OR(B8944="vi",B8944="ii",B8944="pod"),(((D8944/100)*(C8944*VLOOKUP(B8944,'Poids des runes'!A:B,2,FALSE)))+1),(((D8944/100)*(C8944*VLOOKUP(B8944,'Poids des runes'!A:B,2,FALSE)))+1)/VLOOKUP(B8944,'Poids des runes'!A:B,2,FALSE))</f>
        <v>8.1666666666666661</v>
      </c>
      <c r="F8944">
        <f t="shared" si="139"/>
        <v>8.1666666666666661</v>
      </c>
    </row>
    <row r="8945" spans="1:6" x14ac:dyDescent="0.3">
      <c r="A8945" t="s">
        <v>1460</v>
      </c>
      <c r="B8945" t="s">
        <v>2148</v>
      </c>
      <c r="C8945">
        <v>8.5</v>
      </c>
      <c r="D8945">
        <v>200</v>
      </c>
      <c r="E8945">
        <f>IF(OR(B8945="vi",B8945="ii",B8945="pod"),(((D8945/100)*(C8945*VLOOKUP(B8945,'Poids des runes'!A:B,2,FALSE)))+1),(((D8945/100)*(C8945*VLOOKUP(B8945,'Poids des runes'!A:B,2,FALSE)))+1)/VLOOKUP(B8945,'Poids des runes'!A:B,2,FALSE))</f>
        <v>17.166666666666668</v>
      </c>
      <c r="F8945">
        <f t="shared" si="139"/>
        <v>17.166666666666668</v>
      </c>
    </row>
    <row r="8946" spans="1:6" x14ac:dyDescent="0.3">
      <c r="A8946" t="s">
        <v>1460</v>
      </c>
      <c r="B8946" t="s">
        <v>2147</v>
      </c>
      <c r="C8946">
        <v>8.5</v>
      </c>
      <c r="D8946">
        <v>200</v>
      </c>
      <c r="E8946">
        <f>IF(OR(B8946="vi",B8946="ii",B8946="pod"),(((D8946/100)*(C8946*VLOOKUP(B8946,'Poids des runes'!A:B,2,FALSE)))+1),(((D8946/100)*(C8946*VLOOKUP(B8946,'Poids des runes'!A:B,2,FALSE)))+1)/VLOOKUP(B8946,'Poids des runes'!A:B,2,FALSE))</f>
        <v>17.166666666666668</v>
      </c>
      <c r="F8946">
        <f t="shared" si="139"/>
        <v>17.166666666666668</v>
      </c>
    </row>
    <row r="8947" spans="1:6" x14ac:dyDescent="0.3">
      <c r="A8947" t="s">
        <v>1461</v>
      </c>
      <c r="B8947" t="s">
        <v>2128</v>
      </c>
      <c r="C8947">
        <v>275.5</v>
      </c>
      <c r="D8947">
        <v>200</v>
      </c>
      <c r="E8947">
        <f>IF(OR(B8947="vi",B8947="ii",B8947="pod"),(((D8947/100)*(C8947*VLOOKUP(B8947,'Poids des runes'!A:B,2,FALSE)))+1),(((D8947/100)*(C8947*VLOOKUP(B8947,'Poids des runes'!A:B,2,FALSE)))+1)/VLOOKUP(B8947,'Poids des runes'!A:B,2,FALSE))</f>
        <v>111.2</v>
      </c>
      <c r="F8947">
        <f t="shared" si="139"/>
        <v>111.2</v>
      </c>
    </row>
    <row r="8948" spans="1:6" x14ac:dyDescent="0.3">
      <c r="A8948" t="s">
        <v>1461</v>
      </c>
      <c r="B8948" t="s">
        <v>2126</v>
      </c>
      <c r="C8948">
        <v>70.5</v>
      </c>
      <c r="D8948">
        <v>200</v>
      </c>
      <c r="E8948">
        <f>IF(OR(B8948="vi",B8948="ii",B8948="pod"),(((D8948/100)*(C8948*VLOOKUP(B8948,'Poids des runes'!A:B,2,FALSE)))+1),(((D8948/100)*(C8948*VLOOKUP(B8948,'Poids des runes'!A:B,2,FALSE)))+1)/VLOOKUP(B8948,'Poids des runes'!A:B,2,FALSE))</f>
        <v>142</v>
      </c>
      <c r="F8948">
        <f t="shared" si="139"/>
        <v>142</v>
      </c>
    </row>
    <row r="8949" spans="1:6" x14ac:dyDescent="0.3">
      <c r="A8949" t="s">
        <v>1461</v>
      </c>
      <c r="B8949" t="s">
        <v>2127</v>
      </c>
      <c r="C8949">
        <v>20.5</v>
      </c>
      <c r="D8949">
        <v>200</v>
      </c>
      <c r="E8949">
        <f>IF(OR(B8949="vi",B8949="ii",B8949="pod"),(((D8949/100)*(C8949*VLOOKUP(B8949,'Poids des runes'!A:B,2,FALSE)))+1),(((D8949/100)*(C8949*VLOOKUP(B8949,'Poids des runes'!A:B,2,FALSE)))+1)/VLOOKUP(B8949,'Poids des runes'!A:B,2,FALSE))</f>
        <v>42</v>
      </c>
      <c r="F8949">
        <f t="shared" si="139"/>
        <v>42</v>
      </c>
    </row>
    <row r="8950" spans="1:6" x14ac:dyDescent="0.3">
      <c r="A8950" t="s">
        <v>1461</v>
      </c>
      <c r="B8950" t="s">
        <v>2129</v>
      </c>
      <c r="C8950">
        <v>35.5</v>
      </c>
      <c r="D8950">
        <v>200</v>
      </c>
      <c r="E8950">
        <f>IF(OR(B8950="vi",B8950="ii",B8950="pod"),(((D8950/100)*(C8950*VLOOKUP(B8950,'Poids des runes'!A:B,2,FALSE)))+1),(((D8950/100)*(C8950*VLOOKUP(B8950,'Poids des runes'!A:B,2,FALSE)))+1)/VLOOKUP(B8950,'Poids des runes'!A:B,2,FALSE))</f>
        <v>72</v>
      </c>
      <c r="F8950">
        <f t="shared" si="139"/>
        <v>72</v>
      </c>
    </row>
    <row r="8951" spans="1:6" x14ac:dyDescent="0.3">
      <c r="A8951" t="s">
        <v>1461</v>
      </c>
      <c r="B8951" t="s">
        <v>2152</v>
      </c>
      <c r="C8951">
        <v>1</v>
      </c>
      <c r="D8951">
        <v>200</v>
      </c>
      <c r="E8951">
        <f>IF(OR(B8951="vi",B8951="ii",B8951="pod"),(((D8951/100)*(C8951*VLOOKUP(B8951,'Poids des runes'!A:B,2,FALSE)))+1),(((D8951/100)*(C8951*VLOOKUP(B8951,'Poids des runes'!A:B,2,FALSE)))+1)/VLOOKUP(B8951,'Poids des runes'!A:B,2,FALSE))</f>
        <v>2.0099999999999998</v>
      </c>
      <c r="F8951">
        <f t="shared" si="139"/>
        <v>2.0099999999999998</v>
      </c>
    </row>
    <row r="8952" spans="1:6" x14ac:dyDescent="0.3">
      <c r="A8952" t="s">
        <v>1461</v>
      </c>
      <c r="B8952" t="s">
        <v>2140</v>
      </c>
      <c r="C8952">
        <v>10</v>
      </c>
      <c r="D8952">
        <v>200</v>
      </c>
      <c r="E8952">
        <f>IF(OR(B8952="vi",B8952="ii",B8952="pod"),(((D8952/100)*(C8952*VLOOKUP(B8952,'Poids des runes'!A:B,2,FALSE)))+1),(((D8952/100)*(C8952*VLOOKUP(B8952,'Poids des runes'!A:B,2,FALSE)))+1)/VLOOKUP(B8952,'Poids des runes'!A:B,2,FALSE))</f>
        <v>20.2</v>
      </c>
      <c r="F8952">
        <f t="shared" si="139"/>
        <v>20.2</v>
      </c>
    </row>
    <row r="8953" spans="1:6" x14ac:dyDescent="0.3">
      <c r="A8953" t="s">
        <v>1461</v>
      </c>
      <c r="B8953" t="s">
        <v>2153</v>
      </c>
      <c r="C8953">
        <v>10</v>
      </c>
      <c r="D8953">
        <v>200</v>
      </c>
      <c r="E8953">
        <f>IF(OR(B8953="vi",B8953="ii",B8953="pod"),(((D8953/100)*(C8953*VLOOKUP(B8953,'Poids des runes'!A:B,2,FALSE)))+1),(((D8953/100)*(C8953*VLOOKUP(B8953,'Poids des runes'!A:B,2,FALSE)))+1)/VLOOKUP(B8953,'Poids des runes'!A:B,2,FALSE))</f>
        <v>20.2</v>
      </c>
      <c r="F8953">
        <f t="shared" si="139"/>
        <v>20.2</v>
      </c>
    </row>
    <row r="8954" spans="1:6" x14ac:dyDescent="0.3">
      <c r="A8954" t="s">
        <v>1461</v>
      </c>
      <c r="B8954" t="s">
        <v>2161</v>
      </c>
      <c r="C8954">
        <v>18</v>
      </c>
      <c r="D8954">
        <v>200</v>
      </c>
      <c r="E8954">
        <f>IF(OR(B8954="vi",B8954="ii",B8954="pod"),(((D8954/100)*(C8954*VLOOKUP(B8954,'Poids des runes'!A:B,2,FALSE)))+1),(((D8954/100)*(C8954*VLOOKUP(B8954,'Poids des runes'!A:B,2,FALSE)))+1)/VLOOKUP(B8954,'Poids des runes'!A:B,2,FALSE))</f>
        <v>36.333333333333336</v>
      </c>
      <c r="F8954">
        <f t="shared" si="139"/>
        <v>36.333333333333336</v>
      </c>
    </row>
    <row r="8955" spans="1:6" x14ac:dyDescent="0.3">
      <c r="A8955" t="s">
        <v>1461</v>
      </c>
      <c r="B8955" t="s">
        <v>2163</v>
      </c>
      <c r="C8955">
        <v>13</v>
      </c>
      <c r="D8955">
        <v>200</v>
      </c>
      <c r="E8955">
        <f>IF(OR(B8955="vi",B8955="ii",B8955="pod"),(((D8955/100)*(C8955*VLOOKUP(B8955,'Poids des runes'!A:B,2,FALSE)))+1),(((D8955/100)*(C8955*VLOOKUP(B8955,'Poids des runes'!A:B,2,FALSE)))+1)/VLOOKUP(B8955,'Poids des runes'!A:B,2,FALSE))</f>
        <v>26.5</v>
      </c>
      <c r="F8955">
        <f t="shared" si="139"/>
        <v>26.5</v>
      </c>
    </row>
    <row r="8956" spans="1:6" x14ac:dyDescent="0.3">
      <c r="A8956" t="s">
        <v>1461</v>
      </c>
      <c r="B8956" t="s">
        <v>2156</v>
      </c>
      <c r="C8956">
        <v>7</v>
      </c>
      <c r="D8956">
        <v>200</v>
      </c>
      <c r="E8956">
        <f>IF(OR(B8956="vi",B8956="ii",B8956="pod"),(((D8956/100)*(C8956*VLOOKUP(B8956,'Poids des runes'!A:B,2,FALSE)))+1),(((D8956/100)*(C8956*VLOOKUP(B8956,'Poids des runes'!A:B,2,FALSE)))+1)/VLOOKUP(B8956,'Poids des runes'!A:B,2,FALSE))</f>
        <v>14.166666666666666</v>
      </c>
      <c r="F8956">
        <f t="shared" si="139"/>
        <v>14.166666666666666</v>
      </c>
    </row>
    <row r="8957" spans="1:6" x14ac:dyDescent="0.3">
      <c r="A8957" t="s">
        <v>1461</v>
      </c>
      <c r="B8957" t="s">
        <v>2147</v>
      </c>
      <c r="C8957">
        <v>7</v>
      </c>
      <c r="D8957">
        <v>200</v>
      </c>
      <c r="E8957">
        <f>IF(OR(B8957="vi",B8957="ii",B8957="pod"),(((D8957/100)*(C8957*VLOOKUP(B8957,'Poids des runes'!A:B,2,FALSE)))+1),(((D8957/100)*(C8957*VLOOKUP(B8957,'Poids des runes'!A:B,2,FALSE)))+1)/VLOOKUP(B8957,'Poids des runes'!A:B,2,FALSE))</f>
        <v>14.166666666666666</v>
      </c>
      <c r="F8957">
        <f t="shared" si="139"/>
        <v>14.166666666666666</v>
      </c>
    </row>
    <row r="8958" spans="1:6" x14ac:dyDescent="0.3">
      <c r="A8958" t="s">
        <v>1462</v>
      </c>
      <c r="B8958" t="s">
        <v>2128</v>
      </c>
      <c r="C8958">
        <v>325.5</v>
      </c>
      <c r="D8958">
        <v>200</v>
      </c>
      <c r="E8958">
        <f>IF(OR(B8958="vi",B8958="ii",B8958="pod"),(((D8958/100)*(C8958*VLOOKUP(B8958,'Poids des runes'!A:B,2,FALSE)))+1),(((D8958/100)*(C8958*VLOOKUP(B8958,'Poids des runes'!A:B,2,FALSE)))+1)/VLOOKUP(B8958,'Poids des runes'!A:B,2,FALSE))</f>
        <v>131.20000000000002</v>
      </c>
      <c r="F8958">
        <f t="shared" si="139"/>
        <v>131.20000000000002</v>
      </c>
    </row>
    <row r="8959" spans="1:6" x14ac:dyDescent="0.3">
      <c r="A8959" t="s">
        <v>1462</v>
      </c>
      <c r="B8959" t="s">
        <v>2127</v>
      </c>
      <c r="C8959">
        <v>85.5</v>
      </c>
      <c r="D8959">
        <v>200</v>
      </c>
      <c r="E8959">
        <f>IF(OR(B8959="vi",B8959="ii",B8959="pod"),(((D8959/100)*(C8959*VLOOKUP(B8959,'Poids des runes'!A:B,2,FALSE)))+1),(((D8959/100)*(C8959*VLOOKUP(B8959,'Poids des runes'!A:B,2,FALSE)))+1)/VLOOKUP(B8959,'Poids des runes'!A:B,2,FALSE))</f>
        <v>172</v>
      </c>
      <c r="F8959">
        <f t="shared" si="139"/>
        <v>172</v>
      </c>
    </row>
    <row r="8960" spans="1:6" x14ac:dyDescent="0.3">
      <c r="A8960" t="s">
        <v>1462</v>
      </c>
      <c r="B8960" t="s">
        <v>2129</v>
      </c>
      <c r="C8960">
        <v>40.5</v>
      </c>
      <c r="D8960">
        <v>200</v>
      </c>
      <c r="E8960">
        <f>IF(OR(B8960="vi",B8960="ii",B8960="pod"),(((D8960/100)*(C8960*VLOOKUP(B8960,'Poids des runes'!A:B,2,FALSE)))+1),(((D8960/100)*(C8960*VLOOKUP(B8960,'Poids des runes'!A:B,2,FALSE)))+1)/VLOOKUP(B8960,'Poids des runes'!A:B,2,FALSE))</f>
        <v>82</v>
      </c>
      <c r="F8960">
        <f t="shared" si="139"/>
        <v>82</v>
      </c>
    </row>
    <row r="8961" spans="1:6" x14ac:dyDescent="0.3">
      <c r="A8961" t="s">
        <v>1462</v>
      </c>
      <c r="B8961" t="s">
        <v>2151</v>
      </c>
      <c r="C8961">
        <v>3.5</v>
      </c>
      <c r="D8961">
        <v>200</v>
      </c>
      <c r="E8961">
        <f>IF(OR(B8961="vi",B8961="ii",B8961="pod"),(((D8961/100)*(C8961*VLOOKUP(B8961,'Poids des runes'!A:B,2,FALSE)))+1),(((D8961/100)*(C8961*VLOOKUP(B8961,'Poids des runes'!A:B,2,FALSE)))+1)/VLOOKUP(B8961,'Poids des runes'!A:B,2,FALSE))</f>
        <v>7.1</v>
      </c>
      <c r="F8961">
        <f t="shared" si="139"/>
        <v>7.1</v>
      </c>
    </row>
    <row r="8962" spans="1:6" x14ac:dyDescent="0.3">
      <c r="A8962" t="s">
        <v>1462</v>
      </c>
      <c r="B8962" t="s">
        <v>2152</v>
      </c>
      <c r="C8962">
        <v>1</v>
      </c>
      <c r="D8962">
        <v>200</v>
      </c>
      <c r="E8962">
        <f>IF(OR(B8962="vi",B8962="ii",B8962="pod"),(((D8962/100)*(C8962*VLOOKUP(B8962,'Poids des runes'!A:B,2,FALSE)))+1),(((D8962/100)*(C8962*VLOOKUP(B8962,'Poids des runes'!A:B,2,FALSE)))+1)/VLOOKUP(B8962,'Poids des runes'!A:B,2,FALSE))</f>
        <v>2.0099999999999998</v>
      </c>
      <c r="F8962">
        <f t="shared" si="139"/>
        <v>2.0099999999999998</v>
      </c>
    </row>
    <row r="8963" spans="1:6" x14ac:dyDescent="0.3">
      <c r="A8963" t="s">
        <v>1462</v>
      </c>
      <c r="B8963" t="s">
        <v>2150</v>
      </c>
      <c r="C8963">
        <v>1</v>
      </c>
      <c r="D8963">
        <v>200</v>
      </c>
      <c r="E8963">
        <f>IF(OR(B8963="vi",B8963="ii",B8963="pod"),(((D8963/100)*(C8963*VLOOKUP(B8963,'Poids des runes'!A:B,2,FALSE)))+1),(((D8963/100)*(C8963*VLOOKUP(B8963,'Poids des runes'!A:B,2,FALSE)))+1)/VLOOKUP(B8963,'Poids des runes'!A:B,2,FALSE))</f>
        <v>2.0333333333333332</v>
      </c>
      <c r="F8963">
        <f t="shared" ref="F8963:F9026" si="140">E8963</f>
        <v>2.0333333333333332</v>
      </c>
    </row>
    <row r="8964" spans="1:6" x14ac:dyDescent="0.3">
      <c r="A8964" t="s">
        <v>1462</v>
      </c>
      <c r="B8964" t="s">
        <v>2153</v>
      </c>
      <c r="C8964">
        <v>13</v>
      </c>
      <c r="D8964">
        <v>200</v>
      </c>
      <c r="E8964">
        <f>IF(OR(B8964="vi",B8964="ii",B8964="pod"),(((D8964/100)*(C8964*VLOOKUP(B8964,'Poids des runes'!A:B,2,FALSE)))+1),(((D8964/100)*(C8964*VLOOKUP(B8964,'Poids des runes'!A:B,2,FALSE)))+1)/VLOOKUP(B8964,'Poids des runes'!A:B,2,FALSE))</f>
        <v>26.2</v>
      </c>
      <c r="F8964">
        <f t="shared" si="140"/>
        <v>26.2</v>
      </c>
    </row>
    <row r="8965" spans="1:6" x14ac:dyDescent="0.3">
      <c r="A8965" t="s">
        <v>1462</v>
      </c>
      <c r="B8965" t="s">
        <v>2161</v>
      </c>
      <c r="C8965">
        <v>13</v>
      </c>
      <c r="D8965">
        <v>200</v>
      </c>
      <c r="E8965">
        <f>IF(OR(B8965="vi",B8965="ii",B8965="pod"),(((D8965/100)*(C8965*VLOOKUP(B8965,'Poids des runes'!A:B,2,FALSE)))+1),(((D8965/100)*(C8965*VLOOKUP(B8965,'Poids des runes'!A:B,2,FALSE)))+1)/VLOOKUP(B8965,'Poids des runes'!A:B,2,FALSE))</f>
        <v>26.333333333333332</v>
      </c>
      <c r="F8965">
        <f t="shared" si="140"/>
        <v>26.333333333333332</v>
      </c>
    </row>
    <row r="8966" spans="1:6" x14ac:dyDescent="0.3">
      <c r="A8966" t="s">
        <v>1462</v>
      </c>
      <c r="B8966" t="s">
        <v>2138</v>
      </c>
      <c r="C8966">
        <v>8.5</v>
      </c>
      <c r="D8966">
        <v>200</v>
      </c>
      <c r="E8966">
        <f>IF(OR(B8966="vi",B8966="ii",B8966="pod"),(((D8966/100)*(C8966*VLOOKUP(B8966,'Poids des runes'!A:B,2,FALSE)))+1),(((D8966/100)*(C8966*VLOOKUP(B8966,'Poids des runes'!A:B,2,FALSE)))+1)/VLOOKUP(B8966,'Poids des runes'!A:B,2,FALSE))</f>
        <v>17.25</v>
      </c>
      <c r="F8966">
        <f t="shared" si="140"/>
        <v>17.25</v>
      </c>
    </row>
    <row r="8967" spans="1:6" x14ac:dyDescent="0.3">
      <c r="A8967" t="s">
        <v>1462</v>
      </c>
      <c r="B8967" t="s">
        <v>2158</v>
      </c>
      <c r="C8967">
        <v>8.5</v>
      </c>
      <c r="D8967">
        <v>200</v>
      </c>
      <c r="E8967">
        <f>IF(OR(B8967="vi",B8967="ii",B8967="pod"),(((D8967/100)*(C8967*VLOOKUP(B8967,'Poids des runes'!A:B,2,FALSE)))+1),(((D8967/100)*(C8967*VLOOKUP(B8967,'Poids des runes'!A:B,2,FALSE)))+1)/VLOOKUP(B8967,'Poids des runes'!A:B,2,FALSE))</f>
        <v>17.2</v>
      </c>
      <c r="F8967">
        <f t="shared" si="140"/>
        <v>17.2</v>
      </c>
    </row>
    <row r="8968" spans="1:6" x14ac:dyDescent="0.3">
      <c r="A8968" t="s">
        <v>1462</v>
      </c>
      <c r="B8968" t="s">
        <v>2145</v>
      </c>
      <c r="C8968">
        <v>18</v>
      </c>
      <c r="D8968">
        <v>200</v>
      </c>
      <c r="E8968">
        <f>IF(OR(B8968="vi",B8968="ii",B8968="pod"),(((D8968/100)*(C8968*VLOOKUP(B8968,'Poids des runes'!A:B,2,FALSE)))+1),(((D8968/100)*(C8968*VLOOKUP(B8968,'Poids des runes'!A:B,2,FALSE)))+1)/VLOOKUP(B8968,'Poids des runes'!A:B,2,FALSE))</f>
        <v>36.5</v>
      </c>
      <c r="F8968">
        <f t="shared" si="140"/>
        <v>36.5</v>
      </c>
    </row>
    <row r="8969" spans="1:6" x14ac:dyDescent="0.3">
      <c r="A8969" t="s">
        <v>1462</v>
      </c>
      <c r="B8969" t="s">
        <v>2146</v>
      </c>
      <c r="C8969">
        <v>18</v>
      </c>
      <c r="D8969">
        <v>200</v>
      </c>
      <c r="E8969">
        <f>IF(OR(B8969="vi",B8969="ii",B8969="pod"),(((D8969/100)*(C8969*VLOOKUP(B8969,'Poids des runes'!A:B,2,FALSE)))+1),(((D8969/100)*(C8969*VLOOKUP(B8969,'Poids des runes'!A:B,2,FALSE)))+1)/VLOOKUP(B8969,'Poids des runes'!A:B,2,FALSE))</f>
        <v>36.5</v>
      </c>
      <c r="F8969">
        <f t="shared" si="140"/>
        <v>36.5</v>
      </c>
    </row>
    <row r="8970" spans="1:6" x14ac:dyDescent="0.3">
      <c r="A8970" t="s">
        <v>1463</v>
      </c>
      <c r="B8970" t="s">
        <v>2128</v>
      </c>
      <c r="C8970">
        <v>275.5</v>
      </c>
      <c r="D8970">
        <v>200</v>
      </c>
      <c r="E8970">
        <f>IF(OR(B8970="vi",B8970="ii",B8970="pod"),(((D8970/100)*(C8970*VLOOKUP(B8970,'Poids des runes'!A:B,2,FALSE)))+1),(((D8970/100)*(C8970*VLOOKUP(B8970,'Poids des runes'!A:B,2,FALSE)))+1)/VLOOKUP(B8970,'Poids des runes'!A:B,2,FALSE))</f>
        <v>111.2</v>
      </c>
      <c r="F8970">
        <f t="shared" si="140"/>
        <v>111.2</v>
      </c>
    </row>
    <row r="8971" spans="1:6" x14ac:dyDescent="0.3">
      <c r="A8971" t="s">
        <v>1463</v>
      </c>
      <c r="B8971" t="s">
        <v>2131</v>
      </c>
      <c r="C8971">
        <v>60.5</v>
      </c>
      <c r="D8971">
        <v>200</v>
      </c>
      <c r="E8971">
        <f>IF(OR(B8971="vi",B8971="ii",B8971="pod"),(((D8971/100)*(C8971*VLOOKUP(B8971,'Poids des runes'!A:B,2,FALSE)))+1),(((D8971/100)*(C8971*VLOOKUP(B8971,'Poids des runes'!A:B,2,FALSE)))+1)/VLOOKUP(B8971,'Poids des runes'!A:B,2,FALSE))</f>
        <v>122</v>
      </c>
      <c r="F8971">
        <f t="shared" si="140"/>
        <v>122</v>
      </c>
    </row>
    <row r="8972" spans="1:6" x14ac:dyDescent="0.3">
      <c r="A8972" t="s">
        <v>1463</v>
      </c>
      <c r="B8972" t="s">
        <v>2129</v>
      </c>
      <c r="C8972">
        <v>18</v>
      </c>
      <c r="D8972">
        <v>200</v>
      </c>
      <c r="E8972">
        <f>IF(OR(B8972="vi",B8972="ii",B8972="pod"),(((D8972/100)*(C8972*VLOOKUP(B8972,'Poids des runes'!A:B,2,FALSE)))+1),(((D8972/100)*(C8972*VLOOKUP(B8972,'Poids des runes'!A:B,2,FALSE)))+1)/VLOOKUP(B8972,'Poids des runes'!A:B,2,FALSE))</f>
        <v>37</v>
      </c>
      <c r="F8972">
        <f t="shared" si="140"/>
        <v>37</v>
      </c>
    </row>
    <row r="8973" spans="1:6" x14ac:dyDescent="0.3">
      <c r="A8973" t="s">
        <v>1463</v>
      </c>
      <c r="B8973" t="s">
        <v>2151</v>
      </c>
      <c r="C8973">
        <v>4.5</v>
      </c>
      <c r="D8973">
        <v>200</v>
      </c>
      <c r="E8973">
        <f>IF(OR(B8973="vi",B8973="ii",B8973="pod"),(((D8973/100)*(C8973*VLOOKUP(B8973,'Poids des runes'!A:B,2,FALSE)))+1),(((D8973/100)*(C8973*VLOOKUP(B8973,'Poids des runes'!A:B,2,FALSE)))+1)/VLOOKUP(B8973,'Poids des runes'!A:B,2,FALSE))</f>
        <v>9.1</v>
      </c>
      <c r="F8973">
        <f t="shared" si="140"/>
        <v>9.1</v>
      </c>
    </row>
    <row r="8974" spans="1:6" x14ac:dyDescent="0.3">
      <c r="A8974" t="s">
        <v>1463</v>
      </c>
      <c r="B8974" t="s">
        <v>2152</v>
      </c>
      <c r="C8974">
        <v>1</v>
      </c>
      <c r="D8974">
        <v>200</v>
      </c>
      <c r="E8974">
        <f>IF(OR(B8974="vi",B8974="ii",B8974="pod"),(((D8974/100)*(C8974*VLOOKUP(B8974,'Poids des runes'!A:B,2,FALSE)))+1),(((D8974/100)*(C8974*VLOOKUP(B8974,'Poids des runes'!A:B,2,FALSE)))+1)/VLOOKUP(B8974,'Poids des runes'!A:B,2,FALSE))</f>
        <v>2.0099999999999998</v>
      </c>
      <c r="F8974">
        <f t="shared" si="140"/>
        <v>2.0099999999999998</v>
      </c>
    </row>
    <row r="8975" spans="1:6" x14ac:dyDescent="0.3">
      <c r="A8975" t="s">
        <v>1463</v>
      </c>
      <c r="B8975" t="s">
        <v>2155</v>
      </c>
      <c r="C8975">
        <v>1</v>
      </c>
      <c r="D8975">
        <v>200</v>
      </c>
      <c r="E8975">
        <f>IF(OR(B8975="vi",B8975="ii",B8975="pod"),(((D8975/100)*(C8975*VLOOKUP(B8975,'Poids des runes'!A:B,2,FALSE)))+1),(((D8975/100)*(C8975*VLOOKUP(B8975,'Poids des runes'!A:B,2,FALSE)))+1)/VLOOKUP(B8975,'Poids des runes'!A:B,2,FALSE))</f>
        <v>2.0196078431372548</v>
      </c>
      <c r="F8975">
        <f t="shared" si="140"/>
        <v>2.0196078431372548</v>
      </c>
    </row>
    <row r="8976" spans="1:6" x14ac:dyDescent="0.3">
      <c r="A8976" t="s">
        <v>1463</v>
      </c>
      <c r="B8976" t="s">
        <v>2133</v>
      </c>
      <c r="C8976">
        <v>18</v>
      </c>
      <c r="D8976">
        <v>200</v>
      </c>
      <c r="E8976">
        <f>IF(OR(B8976="vi",B8976="ii",B8976="pod"),(((D8976/100)*(C8976*VLOOKUP(B8976,'Poids des runes'!A:B,2,FALSE)))+1),(((D8976/100)*(C8976*VLOOKUP(B8976,'Poids des runes'!A:B,2,FALSE)))+1)/VLOOKUP(B8976,'Poids des runes'!A:B,2,FALSE))</f>
        <v>36.200000000000003</v>
      </c>
      <c r="F8976">
        <f t="shared" si="140"/>
        <v>36.200000000000003</v>
      </c>
    </row>
    <row r="8977" spans="1:6" x14ac:dyDescent="0.3">
      <c r="A8977" t="s">
        <v>1463</v>
      </c>
      <c r="B8977" t="s">
        <v>2161</v>
      </c>
      <c r="C8977">
        <v>13</v>
      </c>
      <c r="D8977">
        <v>200</v>
      </c>
      <c r="E8977">
        <f>IF(OR(B8977="vi",B8977="ii",B8977="pod"),(((D8977/100)*(C8977*VLOOKUP(B8977,'Poids des runes'!A:B,2,FALSE)))+1),(((D8977/100)*(C8977*VLOOKUP(B8977,'Poids des runes'!A:B,2,FALSE)))+1)/VLOOKUP(B8977,'Poids des runes'!A:B,2,FALSE))</f>
        <v>26.333333333333332</v>
      </c>
      <c r="F8977">
        <f t="shared" si="140"/>
        <v>26.333333333333332</v>
      </c>
    </row>
    <row r="8978" spans="1:6" x14ac:dyDescent="0.3">
      <c r="A8978" t="s">
        <v>1463</v>
      </c>
      <c r="B8978" t="s">
        <v>2162</v>
      </c>
      <c r="C8978">
        <v>6</v>
      </c>
      <c r="D8978">
        <v>200</v>
      </c>
      <c r="E8978">
        <f>IF(OR(B8978="vi",B8978="ii",B8978="pod"),(((D8978/100)*(C8978*VLOOKUP(B8978,'Poids des runes'!A:B,2,FALSE)))+1),(((D8978/100)*(C8978*VLOOKUP(B8978,'Poids des runes'!A:B,2,FALSE)))+1)/VLOOKUP(B8978,'Poids des runes'!A:B,2,FALSE))</f>
        <v>12.142857142857142</v>
      </c>
      <c r="F8978">
        <f t="shared" si="140"/>
        <v>12.142857142857142</v>
      </c>
    </row>
    <row r="8979" spans="1:6" x14ac:dyDescent="0.3">
      <c r="A8979" t="s">
        <v>1463</v>
      </c>
      <c r="B8979" t="s">
        <v>2142</v>
      </c>
      <c r="C8979">
        <v>18</v>
      </c>
      <c r="D8979">
        <v>200</v>
      </c>
      <c r="E8979">
        <f>IF(OR(B8979="vi",B8979="ii",B8979="pod"),(((D8979/100)*(C8979*VLOOKUP(B8979,'Poids des runes'!A:B,2,FALSE)))+1),(((D8979/100)*(C8979*VLOOKUP(B8979,'Poids des runes'!A:B,2,FALSE)))+1)/VLOOKUP(B8979,'Poids des runes'!A:B,2,FALSE))</f>
        <v>36.200000000000003</v>
      </c>
      <c r="F8979">
        <f t="shared" si="140"/>
        <v>36.200000000000003</v>
      </c>
    </row>
    <row r="8980" spans="1:6" x14ac:dyDescent="0.3">
      <c r="A8980" t="s">
        <v>1463</v>
      </c>
      <c r="B8980" t="s">
        <v>2163</v>
      </c>
      <c r="C8980">
        <v>13</v>
      </c>
      <c r="D8980">
        <v>200</v>
      </c>
      <c r="E8980">
        <f>IF(OR(B8980="vi",B8980="ii",B8980="pod"),(((D8980/100)*(C8980*VLOOKUP(B8980,'Poids des runes'!A:B,2,FALSE)))+1),(((D8980/100)*(C8980*VLOOKUP(B8980,'Poids des runes'!A:B,2,FALSE)))+1)/VLOOKUP(B8980,'Poids des runes'!A:B,2,FALSE))</f>
        <v>26.5</v>
      </c>
      <c r="F8980">
        <f t="shared" si="140"/>
        <v>26.5</v>
      </c>
    </row>
    <row r="8981" spans="1:6" x14ac:dyDescent="0.3">
      <c r="A8981" t="s">
        <v>1463</v>
      </c>
      <c r="B8981" t="s">
        <v>2147</v>
      </c>
      <c r="C8981">
        <v>7</v>
      </c>
      <c r="D8981">
        <v>200</v>
      </c>
      <c r="E8981">
        <f>IF(OR(B8981="vi",B8981="ii",B8981="pod"),(((D8981/100)*(C8981*VLOOKUP(B8981,'Poids des runes'!A:B,2,FALSE)))+1),(((D8981/100)*(C8981*VLOOKUP(B8981,'Poids des runes'!A:B,2,FALSE)))+1)/VLOOKUP(B8981,'Poids des runes'!A:B,2,FALSE))</f>
        <v>14.166666666666666</v>
      </c>
      <c r="F8981">
        <f t="shared" si="140"/>
        <v>14.166666666666666</v>
      </c>
    </row>
    <row r="8982" spans="1:6" x14ac:dyDescent="0.3">
      <c r="A8982" t="s">
        <v>1463</v>
      </c>
      <c r="B8982" t="s">
        <v>2146</v>
      </c>
      <c r="C8982">
        <v>18</v>
      </c>
      <c r="D8982">
        <v>200</v>
      </c>
      <c r="E8982">
        <f>IF(OR(B8982="vi",B8982="ii",B8982="pod"),(((D8982/100)*(C8982*VLOOKUP(B8982,'Poids des runes'!A:B,2,FALSE)))+1),(((D8982/100)*(C8982*VLOOKUP(B8982,'Poids des runes'!A:B,2,FALSE)))+1)/VLOOKUP(B8982,'Poids des runes'!A:B,2,FALSE))</f>
        <v>36.5</v>
      </c>
      <c r="F8982">
        <f t="shared" si="140"/>
        <v>36.5</v>
      </c>
    </row>
    <row r="8983" spans="1:6" x14ac:dyDescent="0.3">
      <c r="A8983" t="s">
        <v>1464</v>
      </c>
      <c r="B8983" t="s">
        <v>2128</v>
      </c>
      <c r="C8983">
        <v>275.5</v>
      </c>
      <c r="D8983">
        <v>200</v>
      </c>
      <c r="E8983">
        <f>IF(OR(B8983="vi",B8983="ii",B8983="pod"),(((D8983/100)*(C8983*VLOOKUP(B8983,'Poids des runes'!A:B,2,FALSE)))+1),(((D8983/100)*(C8983*VLOOKUP(B8983,'Poids des runes'!A:B,2,FALSE)))+1)/VLOOKUP(B8983,'Poids des runes'!A:B,2,FALSE))</f>
        <v>111.2</v>
      </c>
      <c r="F8983">
        <f t="shared" si="140"/>
        <v>111.2</v>
      </c>
    </row>
    <row r="8984" spans="1:6" x14ac:dyDescent="0.3">
      <c r="A8984" t="s">
        <v>1464</v>
      </c>
      <c r="B8984" t="s">
        <v>2126</v>
      </c>
      <c r="C8984">
        <v>50.5</v>
      </c>
      <c r="D8984">
        <v>200</v>
      </c>
      <c r="E8984">
        <f>IF(OR(B8984="vi",B8984="ii",B8984="pod"),(((D8984/100)*(C8984*VLOOKUP(B8984,'Poids des runes'!A:B,2,FALSE)))+1),(((D8984/100)*(C8984*VLOOKUP(B8984,'Poids des runes'!A:B,2,FALSE)))+1)/VLOOKUP(B8984,'Poids des runes'!A:B,2,FALSE))</f>
        <v>102</v>
      </c>
      <c r="F8984">
        <f t="shared" si="140"/>
        <v>102</v>
      </c>
    </row>
    <row r="8985" spans="1:6" x14ac:dyDescent="0.3">
      <c r="A8985" t="s">
        <v>1464</v>
      </c>
      <c r="B8985" t="s">
        <v>2131</v>
      </c>
      <c r="C8985">
        <v>50.5</v>
      </c>
      <c r="D8985">
        <v>200</v>
      </c>
      <c r="E8985">
        <f>IF(OR(B8985="vi",B8985="ii",B8985="pod"),(((D8985/100)*(C8985*VLOOKUP(B8985,'Poids des runes'!A:B,2,FALSE)))+1),(((D8985/100)*(C8985*VLOOKUP(B8985,'Poids des runes'!A:B,2,FALSE)))+1)/VLOOKUP(B8985,'Poids des runes'!A:B,2,FALSE))</f>
        <v>102</v>
      </c>
      <c r="F8985">
        <f t="shared" si="140"/>
        <v>102</v>
      </c>
    </row>
    <row r="8986" spans="1:6" x14ac:dyDescent="0.3">
      <c r="A8986" t="s">
        <v>1464</v>
      </c>
      <c r="B8986" t="s">
        <v>2129</v>
      </c>
      <c r="C8986">
        <v>35.5</v>
      </c>
      <c r="D8986">
        <v>200</v>
      </c>
      <c r="E8986">
        <f>IF(OR(B8986="vi",B8986="ii",B8986="pod"),(((D8986/100)*(C8986*VLOOKUP(B8986,'Poids des runes'!A:B,2,FALSE)))+1),(((D8986/100)*(C8986*VLOOKUP(B8986,'Poids des runes'!A:B,2,FALSE)))+1)/VLOOKUP(B8986,'Poids des runes'!A:B,2,FALSE))</f>
        <v>72</v>
      </c>
      <c r="F8986">
        <f t="shared" si="140"/>
        <v>72</v>
      </c>
    </row>
    <row r="8987" spans="1:6" x14ac:dyDescent="0.3">
      <c r="A8987" t="s">
        <v>1464</v>
      </c>
      <c r="B8987" t="s">
        <v>2151</v>
      </c>
      <c r="C8987">
        <v>4.5</v>
      </c>
      <c r="D8987">
        <v>200</v>
      </c>
      <c r="E8987">
        <f>IF(OR(B8987="vi",B8987="ii",B8987="pod"),(((D8987/100)*(C8987*VLOOKUP(B8987,'Poids des runes'!A:B,2,FALSE)))+1),(((D8987/100)*(C8987*VLOOKUP(B8987,'Poids des runes'!A:B,2,FALSE)))+1)/VLOOKUP(B8987,'Poids des runes'!A:B,2,FALSE))</f>
        <v>9.1</v>
      </c>
      <c r="F8987">
        <f t="shared" si="140"/>
        <v>9.1</v>
      </c>
    </row>
    <row r="8988" spans="1:6" x14ac:dyDescent="0.3">
      <c r="A8988" t="s">
        <v>1464</v>
      </c>
      <c r="B8988" t="s">
        <v>2152</v>
      </c>
      <c r="C8988">
        <v>1</v>
      </c>
      <c r="D8988">
        <v>200</v>
      </c>
      <c r="E8988">
        <f>IF(OR(B8988="vi",B8988="ii",B8988="pod"),(((D8988/100)*(C8988*VLOOKUP(B8988,'Poids des runes'!A:B,2,FALSE)))+1),(((D8988/100)*(C8988*VLOOKUP(B8988,'Poids des runes'!A:B,2,FALSE)))+1)/VLOOKUP(B8988,'Poids des runes'!A:B,2,FALSE))</f>
        <v>2.0099999999999998</v>
      </c>
      <c r="F8988">
        <f t="shared" si="140"/>
        <v>2.0099999999999998</v>
      </c>
    </row>
    <row r="8989" spans="1:6" x14ac:dyDescent="0.3">
      <c r="A8989" t="s">
        <v>1464</v>
      </c>
      <c r="B8989" t="s">
        <v>2140</v>
      </c>
      <c r="C8989">
        <v>12</v>
      </c>
      <c r="D8989">
        <v>200</v>
      </c>
      <c r="E8989">
        <f>IF(OR(B8989="vi",B8989="ii",B8989="pod"),(((D8989/100)*(C8989*VLOOKUP(B8989,'Poids des runes'!A:B,2,FALSE)))+1),(((D8989/100)*(C8989*VLOOKUP(B8989,'Poids des runes'!A:B,2,FALSE)))+1)/VLOOKUP(B8989,'Poids des runes'!A:B,2,FALSE))</f>
        <v>24.2</v>
      </c>
      <c r="F8989">
        <f t="shared" si="140"/>
        <v>24.2</v>
      </c>
    </row>
    <row r="8990" spans="1:6" x14ac:dyDescent="0.3">
      <c r="A8990" t="s">
        <v>1464</v>
      </c>
      <c r="B8990" t="s">
        <v>2133</v>
      </c>
      <c r="C8990">
        <v>12</v>
      </c>
      <c r="D8990">
        <v>200</v>
      </c>
      <c r="E8990">
        <f>IF(OR(B8990="vi",B8990="ii",B8990="pod"),(((D8990/100)*(C8990*VLOOKUP(B8990,'Poids des runes'!A:B,2,FALSE)))+1),(((D8990/100)*(C8990*VLOOKUP(B8990,'Poids des runes'!A:B,2,FALSE)))+1)/VLOOKUP(B8990,'Poids des runes'!A:B,2,FALSE))</f>
        <v>24.2</v>
      </c>
      <c r="F8990">
        <f t="shared" si="140"/>
        <v>24.2</v>
      </c>
    </row>
    <row r="8991" spans="1:6" x14ac:dyDescent="0.3">
      <c r="A8991" t="s">
        <v>1464</v>
      </c>
      <c r="B8991" t="s">
        <v>2161</v>
      </c>
      <c r="C8991">
        <v>8.5</v>
      </c>
      <c r="D8991">
        <v>200</v>
      </c>
      <c r="E8991">
        <f>IF(OR(B8991="vi",B8991="ii",B8991="pod"),(((D8991/100)*(C8991*VLOOKUP(B8991,'Poids des runes'!A:B,2,FALSE)))+1),(((D8991/100)*(C8991*VLOOKUP(B8991,'Poids des runes'!A:B,2,FALSE)))+1)/VLOOKUP(B8991,'Poids des runes'!A:B,2,FALSE))</f>
        <v>17.333333333333332</v>
      </c>
      <c r="F8991">
        <f t="shared" si="140"/>
        <v>17.333333333333332</v>
      </c>
    </row>
    <row r="8992" spans="1:6" x14ac:dyDescent="0.3">
      <c r="A8992" t="s">
        <v>1464</v>
      </c>
      <c r="B8992" t="s">
        <v>2132</v>
      </c>
      <c r="C8992">
        <v>250.5</v>
      </c>
      <c r="D8992">
        <v>200</v>
      </c>
      <c r="E8992">
        <f>IF(OR(B8992="vi",B8992="ii",B8992="pod"),(((D8992/100)*(C8992*VLOOKUP(B8992,'Poids des runes'!A:B,2,FALSE)))+1),(((D8992/100)*(C8992*VLOOKUP(B8992,'Poids des runes'!A:B,2,FALSE)))+1)/VLOOKUP(B8992,'Poids des runes'!A:B,2,FALSE))</f>
        <v>51.1</v>
      </c>
      <c r="F8992">
        <f t="shared" si="140"/>
        <v>51.1</v>
      </c>
    </row>
    <row r="8993" spans="1:6" x14ac:dyDescent="0.3">
      <c r="A8993" t="s">
        <v>1464</v>
      </c>
      <c r="B8993" t="s">
        <v>2138</v>
      </c>
      <c r="C8993">
        <v>8.5</v>
      </c>
      <c r="D8993">
        <v>200</v>
      </c>
      <c r="E8993">
        <f>IF(OR(B8993="vi",B8993="ii",B8993="pod"),(((D8993/100)*(C8993*VLOOKUP(B8993,'Poids des runes'!A:B,2,FALSE)))+1),(((D8993/100)*(C8993*VLOOKUP(B8993,'Poids des runes'!A:B,2,FALSE)))+1)/VLOOKUP(B8993,'Poids des runes'!A:B,2,FALSE))</f>
        <v>17.25</v>
      </c>
      <c r="F8993">
        <f t="shared" si="140"/>
        <v>17.25</v>
      </c>
    </row>
    <row r="8994" spans="1:6" x14ac:dyDescent="0.3">
      <c r="A8994" t="s">
        <v>1464</v>
      </c>
      <c r="B8994" t="s">
        <v>2148</v>
      </c>
      <c r="C8994">
        <v>7</v>
      </c>
      <c r="D8994">
        <v>200</v>
      </c>
      <c r="E8994">
        <f>IF(OR(B8994="vi",B8994="ii",B8994="pod"),(((D8994/100)*(C8994*VLOOKUP(B8994,'Poids des runes'!A:B,2,FALSE)))+1),(((D8994/100)*(C8994*VLOOKUP(B8994,'Poids des runes'!A:B,2,FALSE)))+1)/VLOOKUP(B8994,'Poids des runes'!A:B,2,FALSE))</f>
        <v>14.166666666666666</v>
      </c>
      <c r="F8994">
        <f t="shared" si="140"/>
        <v>14.166666666666666</v>
      </c>
    </row>
    <row r="8995" spans="1:6" x14ac:dyDescent="0.3">
      <c r="A8995" t="s">
        <v>1464</v>
      </c>
      <c r="B8995" t="s">
        <v>2157</v>
      </c>
      <c r="C8995">
        <v>7</v>
      </c>
      <c r="D8995">
        <v>200</v>
      </c>
      <c r="E8995">
        <f>IF(OR(B8995="vi",B8995="ii",B8995="pod"),(((D8995/100)*(C8995*VLOOKUP(B8995,'Poids des runes'!A:B,2,FALSE)))+1),(((D8995/100)*(C8995*VLOOKUP(B8995,'Poids des runes'!A:B,2,FALSE)))+1)/VLOOKUP(B8995,'Poids des runes'!A:B,2,FALSE))</f>
        <v>14.166666666666666</v>
      </c>
      <c r="F8995">
        <f t="shared" si="140"/>
        <v>14.166666666666666</v>
      </c>
    </row>
    <row r="8996" spans="1:6" x14ac:dyDescent="0.3">
      <c r="A8996" t="s">
        <v>1465</v>
      </c>
      <c r="B8996" t="s">
        <v>2128</v>
      </c>
      <c r="C8996">
        <v>375.5</v>
      </c>
      <c r="D8996">
        <v>200</v>
      </c>
      <c r="E8996">
        <f>IF(OR(B8996="vi",B8996="ii",B8996="pod"),(((D8996/100)*(C8996*VLOOKUP(B8996,'Poids des runes'!A:B,2,FALSE)))+1),(((D8996/100)*(C8996*VLOOKUP(B8996,'Poids des runes'!A:B,2,FALSE)))+1)/VLOOKUP(B8996,'Poids des runes'!A:B,2,FALSE))</f>
        <v>151.20000000000002</v>
      </c>
      <c r="F8996">
        <f t="shared" si="140"/>
        <v>151.20000000000002</v>
      </c>
    </row>
    <row r="8997" spans="1:6" x14ac:dyDescent="0.3">
      <c r="A8997" t="s">
        <v>1465</v>
      </c>
      <c r="B8997" t="s">
        <v>2130</v>
      </c>
      <c r="C8997">
        <v>50.5</v>
      </c>
      <c r="D8997">
        <v>200</v>
      </c>
      <c r="E8997">
        <f>IF(OR(B8997="vi",B8997="ii",B8997="pod"),(((D8997/100)*(C8997*VLOOKUP(B8997,'Poids des runes'!A:B,2,FALSE)))+1),(((D8997/100)*(C8997*VLOOKUP(B8997,'Poids des runes'!A:B,2,FALSE)))+1)/VLOOKUP(B8997,'Poids des runes'!A:B,2,FALSE))</f>
        <v>102</v>
      </c>
      <c r="F8997">
        <f t="shared" si="140"/>
        <v>102</v>
      </c>
    </row>
    <row r="8998" spans="1:6" x14ac:dyDescent="0.3">
      <c r="A8998" t="s">
        <v>1465</v>
      </c>
      <c r="B8998" t="s">
        <v>2126</v>
      </c>
      <c r="C8998">
        <v>50.5</v>
      </c>
      <c r="D8998">
        <v>200</v>
      </c>
      <c r="E8998">
        <f>IF(OR(B8998="vi",B8998="ii",B8998="pod"),(((D8998/100)*(C8998*VLOOKUP(B8998,'Poids des runes'!A:B,2,FALSE)))+1),(((D8998/100)*(C8998*VLOOKUP(B8998,'Poids des runes'!A:B,2,FALSE)))+1)/VLOOKUP(B8998,'Poids des runes'!A:B,2,FALSE))</f>
        <v>102</v>
      </c>
      <c r="F8998">
        <f t="shared" si="140"/>
        <v>102</v>
      </c>
    </row>
    <row r="8999" spans="1:6" x14ac:dyDescent="0.3">
      <c r="A8999" t="s">
        <v>1465</v>
      </c>
      <c r="B8999" t="s">
        <v>2127</v>
      </c>
      <c r="C8999">
        <v>50.5</v>
      </c>
      <c r="D8999">
        <v>200</v>
      </c>
      <c r="E8999">
        <f>IF(OR(B8999="vi",B8999="ii",B8999="pod"),(((D8999/100)*(C8999*VLOOKUP(B8999,'Poids des runes'!A:B,2,FALSE)))+1),(((D8999/100)*(C8999*VLOOKUP(B8999,'Poids des runes'!A:B,2,FALSE)))+1)/VLOOKUP(B8999,'Poids des runes'!A:B,2,FALSE))</f>
        <v>102</v>
      </c>
      <c r="F8999">
        <f t="shared" si="140"/>
        <v>102</v>
      </c>
    </row>
    <row r="9000" spans="1:6" x14ac:dyDescent="0.3">
      <c r="A9000" t="s">
        <v>1465</v>
      </c>
      <c r="B9000" t="s">
        <v>2129</v>
      </c>
      <c r="C9000">
        <v>25.5</v>
      </c>
      <c r="D9000">
        <v>200</v>
      </c>
      <c r="E9000">
        <f>IF(OR(B9000="vi",B9000="ii",B9000="pod"),(((D9000/100)*(C9000*VLOOKUP(B9000,'Poids des runes'!A:B,2,FALSE)))+1),(((D9000/100)*(C9000*VLOOKUP(B9000,'Poids des runes'!A:B,2,FALSE)))+1)/VLOOKUP(B9000,'Poids des runes'!A:B,2,FALSE))</f>
        <v>52</v>
      </c>
      <c r="F9000">
        <f t="shared" si="140"/>
        <v>52</v>
      </c>
    </row>
    <row r="9001" spans="1:6" x14ac:dyDescent="0.3">
      <c r="A9001" t="s">
        <v>1465</v>
      </c>
      <c r="B9001" t="s">
        <v>2152</v>
      </c>
      <c r="C9001">
        <v>1</v>
      </c>
      <c r="D9001">
        <v>200</v>
      </c>
      <c r="E9001">
        <f>IF(OR(B9001="vi",B9001="ii",B9001="pod"),(((D9001/100)*(C9001*VLOOKUP(B9001,'Poids des runes'!A:B,2,FALSE)))+1),(((D9001/100)*(C9001*VLOOKUP(B9001,'Poids des runes'!A:B,2,FALSE)))+1)/VLOOKUP(B9001,'Poids des runes'!A:B,2,FALSE))</f>
        <v>2.0099999999999998</v>
      </c>
      <c r="F9001">
        <f t="shared" si="140"/>
        <v>2.0099999999999998</v>
      </c>
    </row>
    <row r="9002" spans="1:6" x14ac:dyDescent="0.3">
      <c r="A9002" t="s">
        <v>1465</v>
      </c>
      <c r="B9002" t="s">
        <v>2150</v>
      </c>
      <c r="C9002">
        <v>1</v>
      </c>
      <c r="D9002">
        <v>200</v>
      </c>
      <c r="E9002">
        <f>IF(OR(B9002="vi",B9002="ii",B9002="pod"),(((D9002/100)*(C9002*VLOOKUP(B9002,'Poids des runes'!A:B,2,FALSE)))+1),(((D9002/100)*(C9002*VLOOKUP(B9002,'Poids des runes'!A:B,2,FALSE)))+1)/VLOOKUP(B9002,'Poids des runes'!A:B,2,FALSE))</f>
        <v>2.0333333333333332</v>
      </c>
      <c r="F9002">
        <f t="shared" si="140"/>
        <v>2.0333333333333332</v>
      </c>
    </row>
    <row r="9003" spans="1:6" x14ac:dyDescent="0.3">
      <c r="A9003" t="s">
        <v>1465</v>
      </c>
      <c r="B9003" t="s">
        <v>2143</v>
      </c>
      <c r="C9003">
        <v>10</v>
      </c>
      <c r="D9003">
        <v>200</v>
      </c>
      <c r="E9003">
        <f>IF(OR(B9003="vi",B9003="ii",B9003="pod"),(((D9003/100)*(C9003*VLOOKUP(B9003,'Poids des runes'!A:B,2,FALSE)))+1),(((D9003/100)*(C9003*VLOOKUP(B9003,'Poids des runes'!A:B,2,FALSE)))+1)/VLOOKUP(B9003,'Poids des runes'!A:B,2,FALSE))</f>
        <v>20.2</v>
      </c>
      <c r="F9003">
        <f t="shared" si="140"/>
        <v>20.2</v>
      </c>
    </row>
    <row r="9004" spans="1:6" x14ac:dyDescent="0.3">
      <c r="A9004" t="s">
        <v>1465</v>
      </c>
      <c r="B9004" t="s">
        <v>2140</v>
      </c>
      <c r="C9004">
        <v>10</v>
      </c>
      <c r="D9004">
        <v>200</v>
      </c>
      <c r="E9004">
        <f>IF(OR(B9004="vi",B9004="ii",B9004="pod"),(((D9004/100)*(C9004*VLOOKUP(B9004,'Poids des runes'!A:B,2,FALSE)))+1),(((D9004/100)*(C9004*VLOOKUP(B9004,'Poids des runes'!A:B,2,FALSE)))+1)/VLOOKUP(B9004,'Poids des runes'!A:B,2,FALSE))</f>
        <v>20.2</v>
      </c>
      <c r="F9004">
        <f t="shared" si="140"/>
        <v>20.2</v>
      </c>
    </row>
    <row r="9005" spans="1:6" x14ac:dyDescent="0.3">
      <c r="A9005" t="s">
        <v>1465</v>
      </c>
      <c r="B9005" t="s">
        <v>2153</v>
      </c>
      <c r="C9005">
        <v>10</v>
      </c>
      <c r="D9005">
        <v>200</v>
      </c>
      <c r="E9005">
        <f>IF(OR(B9005="vi",B9005="ii",B9005="pod"),(((D9005/100)*(C9005*VLOOKUP(B9005,'Poids des runes'!A:B,2,FALSE)))+1),(((D9005/100)*(C9005*VLOOKUP(B9005,'Poids des runes'!A:B,2,FALSE)))+1)/VLOOKUP(B9005,'Poids des runes'!A:B,2,FALSE))</f>
        <v>20.2</v>
      </c>
      <c r="F9005">
        <f t="shared" si="140"/>
        <v>20.2</v>
      </c>
    </row>
    <row r="9006" spans="1:6" x14ac:dyDescent="0.3">
      <c r="A9006" t="s">
        <v>1465</v>
      </c>
      <c r="B9006" t="s">
        <v>2138</v>
      </c>
      <c r="C9006">
        <v>7</v>
      </c>
      <c r="D9006">
        <v>200</v>
      </c>
      <c r="E9006">
        <f>IF(OR(B9006="vi",B9006="ii",B9006="pod"),(((D9006/100)*(C9006*VLOOKUP(B9006,'Poids des runes'!A:B,2,FALSE)))+1),(((D9006/100)*(C9006*VLOOKUP(B9006,'Poids des runes'!A:B,2,FALSE)))+1)/VLOOKUP(B9006,'Poids des runes'!A:B,2,FALSE))</f>
        <v>14.25</v>
      </c>
      <c r="F9006">
        <f t="shared" si="140"/>
        <v>14.25</v>
      </c>
    </row>
    <row r="9007" spans="1:6" x14ac:dyDescent="0.3">
      <c r="A9007" t="s">
        <v>1465</v>
      </c>
      <c r="B9007" t="s">
        <v>2156</v>
      </c>
      <c r="C9007">
        <v>7</v>
      </c>
      <c r="D9007">
        <v>200</v>
      </c>
      <c r="E9007">
        <f>IF(OR(B9007="vi",B9007="ii",B9007="pod"),(((D9007/100)*(C9007*VLOOKUP(B9007,'Poids des runes'!A:B,2,FALSE)))+1),(((D9007/100)*(C9007*VLOOKUP(B9007,'Poids des runes'!A:B,2,FALSE)))+1)/VLOOKUP(B9007,'Poids des runes'!A:B,2,FALSE))</f>
        <v>14.166666666666666</v>
      </c>
      <c r="F9007">
        <f t="shared" si="140"/>
        <v>14.166666666666666</v>
      </c>
    </row>
    <row r="9008" spans="1:6" x14ac:dyDescent="0.3">
      <c r="A9008" t="s">
        <v>1465</v>
      </c>
      <c r="B9008" t="s">
        <v>2147</v>
      </c>
      <c r="C9008">
        <v>7</v>
      </c>
      <c r="D9008">
        <v>200</v>
      </c>
      <c r="E9008">
        <f>IF(OR(B9008="vi",B9008="ii",B9008="pod"),(((D9008/100)*(C9008*VLOOKUP(B9008,'Poids des runes'!A:B,2,FALSE)))+1),(((D9008/100)*(C9008*VLOOKUP(B9008,'Poids des runes'!A:B,2,FALSE)))+1)/VLOOKUP(B9008,'Poids des runes'!A:B,2,FALSE))</f>
        <v>14.166666666666666</v>
      </c>
      <c r="F9008">
        <f t="shared" si="140"/>
        <v>14.166666666666666</v>
      </c>
    </row>
    <row r="9009" spans="1:6" x14ac:dyDescent="0.3">
      <c r="A9009" t="s">
        <v>1466</v>
      </c>
      <c r="B9009" t="s">
        <v>2128</v>
      </c>
      <c r="C9009">
        <v>375.5</v>
      </c>
      <c r="D9009">
        <v>200</v>
      </c>
      <c r="E9009">
        <f>IF(OR(B9009="vi",B9009="ii",B9009="pod"),(((D9009/100)*(C9009*VLOOKUP(B9009,'Poids des runes'!A:B,2,FALSE)))+1),(((D9009/100)*(C9009*VLOOKUP(B9009,'Poids des runes'!A:B,2,FALSE)))+1)/VLOOKUP(B9009,'Poids des runes'!A:B,2,FALSE))</f>
        <v>151.20000000000002</v>
      </c>
      <c r="F9009">
        <f t="shared" si="140"/>
        <v>151.20000000000002</v>
      </c>
    </row>
    <row r="9010" spans="1:6" x14ac:dyDescent="0.3">
      <c r="A9010" t="s">
        <v>1466</v>
      </c>
      <c r="B9010" t="s">
        <v>2129</v>
      </c>
      <c r="C9010">
        <v>35.5</v>
      </c>
      <c r="D9010">
        <v>200</v>
      </c>
      <c r="E9010">
        <f>IF(OR(B9010="vi",B9010="ii",B9010="pod"),(((D9010/100)*(C9010*VLOOKUP(B9010,'Poids des runes'!A:B,2,FALSE)))+1),(((D9010/100)*(C9010*VLOOKUP(B9010,'Poids des runes'!A:B,2,FALSE)))+1)/VLOOKUP(B9010,'Poids des runes'!A:B,2,FALSE))</f>
        <v>72</v>
      </c>
      <c r="F9010">
        <f t="shared" si="140"/>
        <v>72</v>
      </c>
    </row>
    <row r="9011" spans="1:6" x14ac:dyDescent="0.3">
      <c r="A9011" t="s">
        <v>1466</v>
      </c>
      <c r="B9011" t="s">
        <v>2139</v>
      </c>
      <c r="C9011">
        <v>60.5</v>
      </c>
      <c r="D9011">
        <v>200</v>
      </c>
      <c r="E9011">
        <f>IF(OR(B9011="vi",B9011="ii",B9011="pod"),(((D9011/100)*(C9011*VLOOKUP(B9011,'Poids des runes'!A:B,2,FALSE)))+1),(((D9011/100)*(C9011*VLOOKUP(B9011,'Poids des runes'!A:B,2,FALSE)))+1)/VLOOKUP(B9011,'Poids des runes'!A:B,2,FALSE))</f>
        <v>121.5</v>
      </c>
      <c r="F9011">
        <f t="shared" si="140"/>
        <v>121.5</v>
      </c>
    </row>
    <row r="9012" spans="1:6" x14ac:dyDescent="0.3">
      <c r="A9012" t="s">
        <v>1466</v>
      </c>
      <c r="B9012" t="s">
        <v>2151</v>
      </c>
      <c r="C9012">
        <v>5</v>
      </c>
      <c r="D9012">
        <v>200</v>
      </c>
      <c r="E9012">
        <f>IF(OR(B9012="vi",B9012="ii",B9012="pod"),(((D9012/100)*(C9012*VLOOKUP(B9012,'Poids des runes'!A:B,2,FALSE)))+1),(((D9012/100)*(C9012*VLOOKUP(B9012,'Poids des runes'!A:B,2,FALSE)))+1)/VLOOKUP(B9012,'Poids des runes'!A:B,2,FALSE))</f>
        <v>10.1</v>
      </c>
      <c r="F9012">
        <f t="shared" si="140"/>
        <v>10.1</v>
      </c>
    </row>
    <row r="9013" spans="1:6" x14ac:dyDescent="0.3">
      <c r="A9013" t="s">
        <v>1466</v>
      </c>
      <c r="B9013" t="s">
        <v>2152</v>
      </c>
      <c r="C9013">
        <v>1</v>
      </c>
      <c r="D9013">
        <v>200</v>
      </c>
      <c r="E9013">
        <f>IF(OR(B9013="vi",B9013="ii",B9013="pod"),(((D9013/100)*(C9013*VLOOKUP(B9013,'Poids des runes'!A:B,2,FALSE)))+1),(((D9013/100)*(C9013*VLOOKUP(B9013,'Poids des runes'!A:B,2,FALSE)))+1)/VLOOKUP(B9013,'Poids des runes'!A:B,2,FALSE))</f>
        <v>2.0099999999999998</v>
      </c>
      <c r="F9013">
        <f t="shared" si="140"/>
        <v>2.0099999999999998</v>
      </c>
    </row>
    <row r="9014" spans="1:6" x14ac:dyDescent="0.3">
      <c r="A9014" t="s">
        <v>1466</v>
      </c>
      <c r="B9014" t="s">
        <v>2138</v>
      </c>
      <c r="C9014">
        <v>13</v>
      </c>
      <c r="D9014">
        <v>200</v>
      </c>
      <c r="E9014">
        <f>IF(OR(B9014="vi",B9014="ii",B9014="pod"),(((D9014/100)*(C9014*VLOOKUP(B9014,'Poids des runes'!A:B,2,FALSE)))+1),(((D9014/100)*(C9014*VLOOKUP(B9014,'Poids des runes'!A:B,2,FALSE)))+1)/VLOOKUP(B9014,'Poids des runes'!A:B,2,FALSE))</f>
        <v>26.25</v>
      </c>
      <c r="F9014">
        <f t="shared" si="140"/>
        <v>26.25</v>
      </c>
    </row>
    <row r="9015" spans="1:6" x14ac:dyDescent="0.3">
      <c r="A9015" t="s">
        <v>1466</v>
      </c>
      <c r="B9015" t="s">
        <v>2165</v>
      </c>
      <c r="C9015">
        <v>5</v>
      </c>
      <c r="D9015">
        <v>200</v>
      </c>
      <c r="E9015">
        <f>IF(OR(B9015="vi",B9015="ii",B9015="pod"),(((D9015/100)*(C9015*VLOOKUP(B9015,'Poids des runes'!A:B,2,FALSE)))+1),(((D9015/100)*(C9015*VLOOKUP(B9015,'Poids des runes'!A:B,2,FALSE)))+1)/VLOOKUP(B9015,'Poids des runes'!A:B,2,FALSE))</f>
        <v>10.142857142857142</v>
      </c>
      <c r="F9015">
        <f t="shared" si="140"/>
        <v>10.142857142857142</v>
      </c>
    </row>
    <row r="9016" spans="1:6" x14ac:dyDescent="0.3">
      <c r="A9016" t="s">
        <v>1466</v>
      </c>
      <c r="B9016" t="s">
        <v>2158</v>
      </c>
      <c r="C9016">
        <v>20.5</v>
      </c>
      <c r="D9016">
        <v>200</v>
      </c>
      <c r="E9016">
        <f>IF(OR(B9016="vi",B9016="ii",B9016="pod"),(((D9016/100)*(C9016*VLOOKUP(B9016,'Poids des runes'!A:B,2,FALSE)))+1),(((D9016/100)*(C9016*VLOOKUP(B9016,'Poids des runes'!A:B,2,FALSE)))+1)/VLOOKUP(B9016,'Poids des runes'!A:B,2,FALSE))</f>
        <v>41.2</v>
      </c>
      <c r="F9016">
        <f t="shared" si="140"/>
        <v>41.2</v>
      </c>
    </row>
    <row r="9017" spans="1:6" x14ac:dyDescent="0.3">
      <c r="A9017" t="s">
        <v>1466</v>
      </c>
      <c r="B9017" t="s">
        <v>2148</v>
      </c>
      <c r="C9017">
        <v>7</v>
      </c>
      <c r="D9017">
        <v>200</v>
      </c>
      <c r="E9017">
        <f>IF(OR(B9017="vi",B9017="ii",B9017="pod"),(((D9017/100)*(C9017*VLOOKUP(B9017,'Poids des runes'!A:B,2,FALSE)))+1),(((D9017/100)*(C9017*VLOOKUP(B9017,'Poids des runes'!A:B,2,FALSE)))+1)/VLOOKUP(B9017,'Poids des runes'!A:B,2,FALSE))</f>
        <v>14.166666666666666</v>
      </c>
      <c r="F9017">
        <f t="shared" si="140"/>
        <v>14.166666666666666</v>
      </c>
    </row>
    <row r="9018" spans="1:6" x14ac:dyDescent="0.3">
      <c r="A9018" t="s">
        <v>1466</v>
      </c>
      <c r="B9018" t="s">
        <v>2157</v>
      </c>
      <c r="C9018">
        <v>7</v>
      </c>
      <c r="D9018">
        <v>200</v>
      </c>
      <c r="E9018">
        <f>IF(OR(B9018="vi",B9018="ii",B9018="pod"),(((D9018/100)*(C9018*VLOOKUP(B9018,'Poids des runes'!A:B,2,FALSE)))+1),(((D9018/100)*(C9018*VLOOKUP(B9018,'Poids des runes'!A:B,2,FALSE)))+1)/VLOOKUP(B9018,'Poids des runes'!A:B,2,FALSE))</f>
        <v>14.166666666666666</v>
      </c>
      <c r="F9018">
        <f t="shared" si="140"/>
        <v>14.166666666666666</v>
      </c>
    </row>
    <row r="9019" spans="1:6" x14ac:dyDescent="0.3">
      <c r="A9019" t="s">
        <v>1467</v>
      </c>
      <c r="B9019" t="s">
        <v>2128</v>
      </c>
      <c r="C9019">
        <v>325.5</v>
      </c>
      <c r="D9019">
        <v>200</v>
      </c>
      <c r="E9019">
        <f>IF(OR(B9019="vi",B9019="ii",B9019="pod"),(((D9019/100)*(C9019*VLOOKUP(B9019,'Poids des runes'!A:B,2,FALSE)))+1),(((D9019/100)*(C9019*VLOOKUP(B9019,'Poids des runes'!A:B,2,FALSE)))+1)/VLOOKUP(B9019,'Poids des runes'!A:B,2,FALSE))</f>
        <v>131.20000000000002</v>
      </c>
      <c r="F9019">
        <f t="shared" si="140"/>
        <v>131.20000000000002</v>
      </c>
    </row>
    <row r="9020" spans="1:6" x14ac:dyDescent="0.3">
      <c r="A9020" t="s">
        <v>1467</v>
      </c>
      <c r="B9020" t="s">
        <v>2130</v>
      </c>
      <c r="C9020">
        <v>85.5</v>
      </c>
      <c r="D9020">
        <v>200</v>
      </c>
      <c r="E9020">
        <f>IF(OR(B9020="vi",B9020="ii",B9020="pod"),(((D9020/100)*(C9020*VLOOKUP(B9020,'Poids des runes'!A:B,2,FALSE)))+1),(((D9020/100)*(C9020*VLOOKUP(B9020,'Poids des runes'!A:B,2,FALSE)))+1)/VLOOKUP(B9020,'Poids des runes'!A:B,2,FALSE))</f>
        <v>172</v>
      </c>
      <c r="F9020">
        <f t="shared" si="140"/>
        <v>172</v>
      </c>
    </row>
    <row r="9021" spans="1:6" x14ac:dyDescent="0.3">
      <c r="A9021" t="s">
        <v>1467</v>
      </c>
      <c r="B9021" t="s">
        <v>2129</v>
      </c>
      <c r="C9021">
        <v>35.5</v>
      </c>
      <c r="D9021">
        <v>200</v>
      </c>
      <c r="E9021">
        <f>IF(OR(B9021="vi",B9021="ii",B9021="pod"),(((D9021/100)*(C9021*VLOOKUP(B9021,'Poids des runes'!A:B,2,FALSE)))+1),(((D9021/100)*(C9021*VLOOKUP(B9021,'Poids des runes'!A:B,2,FALSE)))+1)/VLOOKUP(B9021,'Poids des runes'!A:B,2,FALSE))</f>
        <v>72</v>
      </c>
      <c r="F9021">
        <f t="shared" si="140"/>
        <v>72</v>
      </c>
    </row>
    <row r="9022" spans="1:6" x14ac:dyDescent="0.3">
      <c r="A9022" t="s">
        <v>1467</v>
      </c>
      <c r="B9022" t="s">
        <v>2152</v>
      </c>
      <c r="C9022">
        <v>1</v>
      </c>
      <c r="D9022">
        <v>200</v>
      </c>
      <c r="E9022">
        <f>IF(OR(B9022="vi",B9022="ii",B9022="pod"),(((D9022/100)*(C9022*VLOOKUP(B9022,'Poids des runes'!A:B,2,FALSE)))+1),(((D9022/100)*(C9022*VLOOKUP(B9022,'Poids des runes'!A:B,2,FALSE)))+1)/VLOOKUP(B9022,'Poids des runes'!A:B,2,FALSE))</f>
        <v>2.0099999999999998</v>
      </c>
      <c r="F9022">
        <f t="shared" si="140"/>
        <v>2.0099999999999998</v>
      </c>
    </row>
    <row r="9023" spans="1:6" x14ac:dyDescent="0.3">
      <c r="A9023" t="s">
        <v>1467</v>
      </c>
      <c r="B9023" t="s">
        <v>2143</v>
      </c>
      <c r="C9023">
        <v>13</v>
      </c>
      <c r="D9023">
        <v>200</v>
      </c>
      <c r="E9023">
        <f>IF(OR(B9023="vi",B9023="ii",B9023="pod"),(((D9023/100)*(C9023*VLOOKUP(B9023,'Poids des runes'!A:B,2,FALSE)))+1),(((D9023/100)*(C9023*VLOOKUP(B9023,'Poids des runes'!A:B,2,FALSE)))+1)/VLOOKUP(B9023,'Poids des runes'!A:B,2,FALSE))</f>
        <v>26.2</v>
      </c>
      <c r="F9023">
        <f t="shared" si="140"/>
        <v>26.2</v>
      </c>
    </row>
    <row r="9024" spans="1:6" x14ac:dyDescent="0.3">
      <c r="A9024" t="s">
        <v>1467</v>
      </c>
      <c r="B9024" t="s">
        <v>2161</v>
      </c>
      <c r="C9024">
        <v>18</v>
      </c>
      <c r="D9024">
        <v>200</v>
      </c>
      <c r="E9024">
        <f>IF(OR(B9024="vi",B9024="ii",B9024="pod"),(((D9024/100)*(C9024*VLOOKUP(B9024,'Poids des runes'!A:B,2,FALSE)))+1),(((D9024/100)*(C9024*VLOOKUP(B9024,'Poids des runes'!A:B,2,FALSE)))+1)/VLOOKUP(B9024,'Poids des runes'!A:B,2,FALSE))</f>
        <v>36.333333333333336</v>
      </c>
      <c r="F9024">
        <f t="shared" si="140"/>
        <v>36.333333333333336</v>
      </c>
    </row>
    <row r="9025" spans="1:6" x14ac:dyDescent="0.3">
      <c r="A9025" t="s">
        <v>1467</v>
      </c>
      <c r="B9025" t="s">
        <v>2158</v>
      </c>
      <c r="C9025">
        <v>13</v>
      </c>
      <c r="D9025">
        <v>200</v>
      </c>
      <c r="E9025">
        <f>IF(OR(B9025="vi",B9025="ii",B9025="pod"),(((D9025/100)*(C9025*VLOOKUP(B9025,'Poids des runes'!A:B,2,FALSE)))+1),(((D9025/100)*(C9025*VLOOKUP(B9025,'Poids des runes'!A:B,2,FALSE)))+1)/VLOOKUP(B9025,'Poids des runes'!A:B,2,FALSE))</f>
        <v>26.2</v>
      </c>
      <c r="F9025">
        <f t="shared" si="140"/>
        <v>26.2</v>
      </c>
    </row>
    <row r="9026" spans="1:6" x14ac:dyDescent="0.3">
      <c r="A9026" t="s">
        <v>1467</v>
      </c>
      <c r="B9026" t="s">
        <v>2157</v>
      </c>
      <c r="C9026">
        <v>8.5</v>
      </c>
      <c r="D9026">
        <v>200</v>
      </c>
      <c r="E9026">
        <f>IF(OR(B9026="vi",B9026="ii",B9026="pod"),(((D9026/100)*(C9026*VLOOKUP(B9026,'Poids des runes'!A:B,2,FALSE)))+1),(((D9026/100)*(C9026*VLOOKUP(B9026,'Poids des runes'!A:B,2,FALSE)))+1)/VLOOKUP(B9026,'Poids des runes'!A:B,2,FALSE))</f>
        <v>17.166666666666668</v>
      </c>
      <c r="F9026">
        <f t="shared" si="140"/>
        <v>17.166666666666668</v>
      </c>
    </row>
    <row r="9027" spans="1:6" x14ac:dyDescent="0.3">
      <c r="A9027" t="s">
        <v>1467</v>
      </c>
      <c r="B9027" t="s">
        <v>2145</v>
      </c>
      <c r="C9027">
        <v>18</v>
      </c>
      <c r="D9027">
        <v>200</v>
      </c>
      <c r="E9027">
        <f>IF(OR(B9027="vi",B9027="ii",B9027="pod"),(((D9027/100)*(C9027*VLOOKUP(B9027,'Poids des runes'!A:B,2,FALSE)))+1),(((D9027/100)*(C9027*VLOOKUP(B9027,'Poids des runes'!A:B,2,FALSE)))+1)/VLOOKUP(B9027,'Poids des runes'!A:B,2,FALSE))</f>
        <v>36.5</v>
      </c>
      <c r="F9027">
        <f t="shared" ref="F9027:F9090" si="141">E9027</f>
        <v>36.5</v>
      </c>
    </row>
    <row r="9028" spans="1:6" x14ac:dyDescent="0.3">
      <c r="A9028" t="s">
        <v>1468</v>
      </c>
      <c r="B9028" t="s">
        <v>2128</v>
      </c>
      <c r="C9028">
        <v>325.5</v>
      </c>
      <c r="D9028">
        <v>200</v>
      </c>
      <c r="E9028">
        <f>IF(OR(B9028="vi",B9028="ii",B9028="pod"),(((D9028/100)*(C9028*VLOOKUP(B9028,'Poids des runes'!A:B,2,FALSE)))+1),(((D9028/100)*(C9028*VLOOKUP(B9028,'Poids des runes'!A:B,2,FALSE)))+1)/VLOOKUP(B9028,'Poids des runes'!A:B,2,FALSE))</f>
        <v>131.20000000000002</v>
      </c>
      <c r="F9028">
        <f t="shared" si="141"/>
        <v>131.20000000000002</v>
      </c>
    </row>
    <row r="9029" spans="1:6" x14ac:dyDescent="0.3">
      <c r="A9029" t="s">
        <v>1468</v>
      </c>
      <c r="B9029" t="s">
        <v>2127</v>
      </c>
      <c r="C9029">
        <v>70.5</v>
      </c>
      <c r="D9029">
        <v>200</v>
      </c>
      <c r="E9029">
        <f>IF(OR(B9029="vi",B9029="ii",B9029="pod"),(((D9029/100)*(C9029*VLOOKUP(B9029,'Poids des runes'!A:B,2,FALSE)))+1),(((D9029/100)*(C9029*VLOOKUP(B9029,'Poids des runes'!A:B,2,FALSE)))+1)/VLOOKUP(B9029,'Poids des runes'!A:B,2,FALSE))</f>
        <v>142</v>
      </c>
      <c r="F9029">
        <f t="shared" si="141"/>
        <v>142</v>
      </c>
    </row>
    <row r="9030" spans="1:6" x14ac:dyDescent="0.3">
      <c r="A9030" t="s">
        <v>1468</v>
      </c>
      <c r="B9030" t="s">
        <v>2129</v>
      </c>
      <c r="C9030">
        <v>40.5</v>
      </c>
      <c r="D9030">
        <v>200</v>
      </c>
      <c r="E9030">
        <f>IF(OR(B9030="vi",B9030="ii",B9030="pod"),(((D9030/100)*(C9030*VLOOKUP(B9030,'Poids des runes'!A:B,2,FALSE)))+1),(((D9030/100)*(C9030*VLOOKUP(B9030,'Poids des runes'!A:B,2,FALSE)))+1)/VLOOKUP(B9030,'Poids des runes'!A:B,2,FALSE))</f>
        <v>82</v>
      </c>
      <c r="F9030">
        <f t="shared" si="141"/>
        <v>82</v>
      </c>
    </row>
    <row r="9031" spans="1:6" x14ac:dyDescent="0.3">
      <c r="A9031" t="s">
        <v>1468</v>
      </c>
      <c r="B9031" t="s">
        <v>2152</v>
      </c>
      <c r="C9031">
        <v>1</v>
      </c>
      <c r="D9031">
        <v>200</v>
      </c>
      <c r="E9031">
        <f>IF(OR(B9031="vi",B9031="ii",B9031="pod"),(((D9031/100)*(C9031*VLOOKUP(B9031,'Poids des runes'!A:B,2,FALSE)))+1),(((D9031/100)*(C9031*VLOOKUP(B9031,'Poids des runes'!A:B,2,FALSE)))+1)/VLOOKUP(B9031,'Poids des runes'!A:B,2,FALSE))</f>
        <v>2.0099999999999998</v>
      </c>
      <c r="F9031">
        <f t="shared" si="141"/>
        <v>2.0099999999999998</v>
      </c>
    </row>
    <row r="9032" spans="1:6" x14ac:dyDescent="0.3">
      <c r="A9032" t="s">
        <v>1468</v>
      </c>
      <c r="B9032" t="s">
        <v>2155</v>
      </c>
      <c r="C9032">
        <v>1</v>
      </c>
      <c r="D9032">
        <v>200</v>
      </c>
      <c r="E9032">
        <f>IF(OR(B9032="vi",B9032="ii",B9032="pod"),(((D9032/100)*(C9032*VLOOKUP(B9032,'Poids des runes'!A:B,2,FALSE)))+1),(((D9032/100)*(C9032*VLOOKUP(B9032,'Poids des runes'!A:B,2,FALSE)))+1)/VLOOKUP(B9032,'Poids des runes'!A:B,2,FALSE))</f>
        <v>2.0196078431372548</v>
      </c>
      <c r="F9032">
        <f t="shared" si="141"/>
        <v>2.0196078431372548</v>
      </c>
    </row>
    <row r="9033" spans="1:6" x14ac:dyDescent="0.3">
      <c r="A9033" t="s">
        <v>1468</v>
      </c>
      <c r="B9033" t="s">
        <v>2153</v>
      </c>
      <c r="C9033">
        <v>18</v>
      </c>
      <c r="D9033">
        <v>200</v>
      </c>
      <c r="E9033">
        <f>IF(OR(B9033="vi",B9033="ii",B9033="pod"),(((D9033/100)*(C9033*VLOOKUP(B9033,'Poids des runes'!A:B,2,FALSE)))+1),(((D9033/100)*(C9033*VLOOKUP(B9033,'Poids des runes'!A:B,2,FALSE)))+1)/VLOOKUP(B9033,'Poids des runes'!A:B,2,FALSE))</f>
        <v>36.200000000000003</v>
      </c>
      <c r="F9033">
        <f t="shared" si="141"/>
        <v>36.200000000000003</v>
      </c>
    </row>
    <row r="9034" spans="1:6" x14ac:dyDescent="0.3">
      <c r="A9034" t="s">
        <v>1468</v>
      </c>
      <c r="B9034" t="s">
        <v>2161</v>
      </c>
      <c r="C9034">
        <v>13</v>
      </c>
      <c r="D9034">
        <v>200</v>
      </c>
      <c r="E9034">
        <f>IF(OR(B9034="vi",B9034="ii",B9034="pod"),(((D9034/100)*(C9034*VLOOKUP(B9034,'Poids des runes'!A:B,2,FALSE)))+1),(((D9034/100)*(C9034*VLOOKUP(B9034,'Poids des runes'!A:B,2,FALSE)))+1)/VLOOKUP(B9034,'Poids des runes'!A:B,2,FALSE))</f>
        <v>26.333333333333332</v>
      </c>
      <c r="F9034">
        <f t="shared" si="141"/>
        <v>26.333333333333332</v>
      </c>
    </row>
    <row r="9035" spans="1:6" x14ac:dyDescent="0.3">
      <c r="A9035" t="s">
        <v>1468</v>
      </c>
      <c r="B9035" t="s">
        <v>2162</v>
      </c>
      <c r="C9035">
        <v>6</v>
      </c>
      <c r="D9035">
        <v>200</v>
      </c>
      <c r="E9035">
        <f>IF(OR(B9035="vi",B9035="ii",B9035="pod"),(((D9035/100)*(C9035*VLOOKUP(B9035,'Poids des runes'!A:B,2,FALSE)))+1),(((D9035/100)*(C9035*VLOOKUP(B9035,'Poids des runes'!A:B,2,FALSE)))+1)/VLOOKUP(B9035,'Poids des runes'!A:B,2,FALSE))</f>
        <v>12.142857142857142</v>
      </c>
      <c r="F9035">
        <f t="shared" si="141"/>
        <v>12.142857142857142</v>
      </c>
    </row>
    <row r="9036" spans="1:6" x14ac:dyDescent="0.3">
      <c r="A9036" t="s">
        <v>1468</v>
      </c>
      <c r="B9036" t="s">
        <v>2164</v>
      </c>
      <c r="C9036">
        <v>18</v>
      </c>
      <c r="D9036">
        <v>200</v>
      </c>
      <c r="E9036">
        <f>IF(OR(B9036="vi",B9036="ii",B9036="pod"),(((D9036/100)*(C9036*VLOOKUP(B9036,'Poids des runes'!A:B,2,FALSE)))+1),(((D9036/100)*(C9036*VLOOKUP(B9036,'Poids des runes'!A:B,2,FALSE)))+1)/VLOOKUP(B9036,'Poids des runes'!A:B,2,FALSE))</f>
        <v>36.5</v>
      </c>
      <c r="F9036">
        <f t="shared" si="141"/>
        <v>36.5</v>
      </c>
    </row>
    <row r="9037" spans="1:6" x14ac:dyDescent="0.3">
      <c r="A9037" t="s">
        <v>1468</v>
      </c>
      <c r="B9037" t="s">
        <v>2147</v>
      </c>
      <c r="C9037">
        <v>8.5</v>
      </c>
      <c r="D9037">
        <v>200</v>
      </c>
      <c r="E9037">
        <f>IF(OR(B9037="vi",B9037="ii",B9037="pod"),(((D9037/100)*(C9037*VLOOKUP(B9037,'Poids des runes'!A:B,2,FALSE)))+1),(((D9037/100)*(C9037*VLOOKUP(B9037,'Poids des runes'!A:B,2,FALSE)))+1)/VLOOKUP(B9037,'Poids des runes'!A:B,2,FALSE))</f>
        <v>17.166666666666668</v>
      </c>
      <c r="F9037">
        <f t="shared" si="141"/>
        <v>17.166666666666668</v>
      </c>
    </row>
    <row r="9038" spans="1:6" x14ac:dyDescent="0.3">
      <c r="A9038" t="s">
        <v>1468</v>
      </c>
      <c r="B9038" t="s">
        <v>2135</v>
      </c>
      <c r="C9038">
        <v>6</v>
      </c>
      <c r="D9038">
        <v>200</v>
      </c>
      <c r="E9038">
        <f>IF(OR(B9038="vi",B9038="ii",B9038="pod"),(((D9038/100)*(C9038*VLOOKUP(B9038,'Poids des runes'!A:B,2,FALSE)))+1),(((D9038/100)*(C9038*VLOOKUP(B9038,'Poids des runes'!A:B,2,FALSE)))+1)/VLOOKUP(B9038,'Poids des runes'!A:B,2,FALSE))</f>
        <v>12.166666666666666</v>
      </c>
      <c r="F9038">
        <f t="shared" si="141"/>
        <v>12.166666666666666</v>
      </c>
    </row>
    <row r="9039" spans="1:6" x14ac:dyDescent="0.3">
      <c r="A9039" t="s">
        <v>1469</v>
      </c>
      <c r="B9039" t="s">
        <v>2128</v>
      </c>
      <c r="C9039">
        <v>275.5</v>
      </c>
      <c r="D9039">
        <v>200</v>
      </c>
      <c r="E9039">
        <f>IF(OR(B9039="vi",B9039="ii",B9039="pod"),(((D9039/100)*(C9039*VLOOKUP(B9039,'Poids des runes'!A:B,2,FALSE)))+1),(((D9039/100)*(C9039*VLOOKUP(B9039,'Poids des runes'!A:B,2,FALSE)))+1)/VLOOKUP(B9039,'Poids des runes'!A:B,2,FALSE))</f>
        <v>111.2</v>
      </c>
      <c r="F9039">
        <f t="shared" si="141"/>
        <v>111.2</v>
      </c>
    </row>
    <row r="9040" spans="1:6" x14ac:dyDescent="0.3">
      <c r="A9040" t="s">
        <v>1469</v>
      </c>
      <c r="B9040" t="s">
        <v>2130</v>
      </c>
      <c r="C9040">
        <v>70.5</v>
      </c>
      <c r="D9040">
        <v>200</v>
      </c>
      <c r="E9040">
        <f>IF(OR(B9040="vi",B9040="ii",B9040="pod"),(((D9040/100)*(C9040*VLOOKUP(B9040,'Poids des runes'!A:B,2,FALSE)))+1),(((D9040/100)*(C9040*VLOOKUP(B9040,'Poids des runes'!A:B,2,FALSE)))+1)/VLOOKUP(B9040,'Poids des runes'!A:B,2,FALSE))</f>
        <v>142</v>
      </c>
      <c r="F9040">
        <f t="shared" si="141"/>
        <v>142</v>
      </c>
    </row>
    <row r="9041" spans="1:6" x14ac:dyDescent="0.3">
      <c r="A9041" t="s">
        <v>1469</v>
      </c>
      <c r="B9041" t="s">
        <v>2126</v>
      </c>
      <c r="C9041">
        <v>70.5</v>
      </c>
      <c r="D9041">
        <v>200</v>
      </c>
      <c r="E9041">
        <f>IF(OR(B9041="vi",B9041="ii",B9041="pod"),(((D9041/100)*(C9041*VLOOKUP(B9041,'Poids des runes'!A:B,2,FALSE)))+1),(((D9041/100)*(C9041*VLOOKUP(B9041,'Poids des runes'!A:B,2,FALSE)))+1)/VLOOKUP(B9041,'Poids des runes'!A:B,2,FALSE))</f>
        <v>142</v>
      </c>
      <c r="F9041">
        <f t="shared" si="141"/>
        <v>142</v>
      </c>
    </row>
    <row r="9042" spans="1:6" x14ac:dyDescent="0.3">
      <c r="A9042" t="s">
        <v>1469</v>
      </c>
      <c r="B9042" t="s">
        <v>2129</v>
      </c>
      <c r="C9042">
        <v>30.5</v>
      </c>
      <c r="D9042">
        <v>200</v>
      </c>
      <c r="E9042">
        <f>IF(OR(B9042="vi",B9042="ii",B9042="pod"),(((D9042/100)*(C9042*VLOOKUP(B9042,'Poids des runes'!A:B,2,FALSE)))+1),(((D9042/100)*(C9042*VLOOKUP(B9042,'Poids des runes'!A:B,2,FALSE)))+1)/VLOOKUP(B9042,'Poids des runes'!A:B,2,FALSE))</f>
        <v>62</v>
      </c>
      <c r="F9042">
        <f t="shared" si="141"/>
        <v>62</v>
      </c>
    </row>
    <row r="9043" spans="1:6" x14ac:dyDescent="0.3">
      <c r="A9043" t="s">
        <v>1469</v>
      </c>
      <c r="B9043" t="s">
        <v>2152</v>
      </c>
      <c r="C9043">
        <v>1</v>
      </c>
      <c r="D9043">
        <v>200</v>
      </c>
      <c r="E9043">
        <f>IF(OR(B9043="vi",B9043="ii",B9043="pod"),(((D9043/100)*(C9043*VLOOKUP(B9043,'Poids des runes'!A:B,2,FALSE)))+1),(((D9043/100)*(C9043*VLOOKUP(B9043,'Poids des runes'!A:B,2,FALSE)))+1)/VLOOKUP(B9043,'Poids des runes'!A:B,2,FALSE))</f>
        <v>2.0099999999999998</v>
      </c>
      <c r="F9043">
        <f t="shared" si="141"/>
        <v>2.0099999999999998</v>
      </c>
    </row>
    <row r="9044" spans="1:6" x14ac:dyDescent="0.3">
      <c r="A9044" t="s">
        <v>1469</v>
      </c>
      <c r="B9044" t="s">
        <v>2155</v>
      </c>
      <c r="C9044">
        <v>2</v>
      </c>
      <c r="D9044">
        <v>200</v>
      </c>
      <c r="E9044">
        <f>IF(OR(B9044="vi",B9044="ii",B9044="pod"),(((D9044/100)*(C9044*VLOOKUP(B9044,'Poids des runes'!A:B,2,FALSE)))+1),(((D9044/100)*(C9044*VLOOKUP(B9044,'Poids des runes'!A:B,2,FALSE)))+1)/VLOOKUP(B9044,'Poids des runes'!A:B,2,FALSE))</f>
        <v>4.0196078431372548</v>
      </c>
      <c r="F9044">
        <f t="shared" si="141"/>
        <v>4.0196078431372548</v>
      </c>
    </row>
    <row r="9045" spans="1:6" x14ac:dyDescent="0.3">
      <c r="A9045" t="s">
        <v>1469</v>
      </c>
      <c r="B9045" t="s">
        <v>2143</v>
      </c>
      <c r="C9045">
        <v>10.5</v>
      </c>
      <c r="D9045">
        <v>200</v>
      </c>
      <c r="E9045">
        <f>IF(OR(B9045="vi",B9045="ii",B9045="pod"),(((D9045/100)*(C9045*VLOOKUP(B9045,'Poids des runes'!A:B,2,FALSE)))+1),(((D9045/100)*(C9045*VLOOKUP(B9045,'Poids des runes'!A:B,2,FALSE)))+1)/VLOOKUP(B9045,'Poids des runes'!A:B,2,FALSE))</f>
        <v>21.2</v>
      </c>
      <c r="F9045">
        <f t="shared" si="141"/>
        <v>21.2</v>
      </c>
    </row>
    <row r="9046" spans="1:6" x14ac:dyDescent="0.3">
      <c r="A9046" t="s">
        <v>1469</v>
      </c>
      <c r="B9046" t="s">
        <v>2140</v>
      </c>
      <c r="C9046">
        <v>10.5</v>
      </c>
      <c r="D9046">
        <v>200</v>
      </c>
      <c r="E9046">
        <f>IF(OR(B9046="vi",B9046="ii",B9046="pod"),(((D9046/100)*(C9046*VLOOKUP(B9046,'Poids des runes'!A:B,2,FALSE)))+1),(((D9046/100)*(C9046*VLOOKUP(B9046,'Poids des runes'!A:B,2,FALSE)))+1)/VLOOKUP(B9046,'Poids des runes'!A:B,2,FALSE))</f>
        <v>21.2</v>
      </c>
      <c r="F9046">
        <f t="shared" si="141"/>
        <v>21.2</v>
      </c>
    </row>
    <row r="9047" spans="1:6" x14ac:dyDescent="0.3">
      <c r="A9047" t="s">
        <v>1469</v>
      </c>
      <c r="B9047" t="s">
        <v>2163</v>
      </c>
      <c r="C9047">
        <v>13</v>
      </c>
      <c r="D9047">
        <v>200</v>
      </c>
      <c r="E9047">
        <f>IF(OR(B9047="vi",B9047="ii",B9047="pod"),(((D9047/100)*(C9047*VLOOKUP(B9047,'Poids des runes'!A:B,2,FALSE)))+1),(((D9047/100)*(C9047*VLOOKUP(B9047,'Poids des runes'!A:B,2,FALSE)))+1)/VLOOKUP(B9047,'Poids des runes'!A:B,2,FALSE))</f>
        <v>26.5</v>
      </c>
      <c r="F9047">
        <f t="shared" si="141"/>
        <v>26.5</v>
      </c>
    </row>
    <row r="9048" spans="1:6" x14ac:dyDescent="0.3">
      <c r="A9048" t="s">
        <v>1469</v>
      </c>
      <c r="B9048" t="s">
        <v>2164</v>
      </c>
      <c r="C9048">
        <v>18</v>
      </c>
      <c r="D9048">
        <v>200</v>
      </c>
      <c r="E9048">
        <f>IF(OR(B9048="vi",B9048="ii",B9048="pod"),(((D9048/100)*(C9048*VLOOKUP(B9048,'Poids des runes'!A:B,2,FALSE)))+1),(((D9048/100)*(C9048*VLOOKUP(B9048,'Poids des runes'!A:B,2,FALSE)))+1)/VLOOKUP(B9048,'Poids des runes'!A:B,2,FALSE))</f>
        <v>36.5</v>
      </c>
      <c r="F9048">
        <f t="shared" si="141"/>
        <v>36.5</v>
      </c>
    </row>
    <row r="9049" spans="1:6" x14ac:dyDescent="0.3">
      <c r="A9049" t="s">
        <v>1469</v>
      </c>
      <c r="B9049" t="s">
        <v>2144</v>
      </c>
      <c r="C9049">
        <v>13</v>
      </c>
      <c r="D9049">
        <v>200</v>
      </c>
      <c r="E9049">
        <f>IF(OR(B9049="vi",B9049="ii",B9049="pod"),(((D9049/100)*(C9049*VLOOKUP(B9049,'Poids des runes'!A:B,2,FALSE)))+1),(((D9049/100)*(C9049*VLOOKUP(B9049,'Poids des runes'!A:B,2,FALSE)))+1)/VLOOKUP(B9049,'Poids des runes'!A:B,2,FALSE))</f>
        <v>26.5</v>
      </c>
      <c r="F9049">
        <f t="shared" si="141"/>
        <v>26.5</v>
      </c>
    </row>
    <row r="9050" spans="1:6" x14ac:dyDescent="0.3">
      <c r="A9050" t="s">
        <v>1469</v>
      </c>
      <c r="B9050" t="s">
        <v>2145</v>
      </c>
      <c r="C9050">
        <v>13</v>
      </c>
      <c r="D9050">
        <v>200</v>
      </c>
      <c r="E9050">
        <f>IF(OR(B9050="vi",B9050="ii",B9050="pod"),(((D9050/100)*(C9050*VLOOKUP(B9050,'Poids des runes'!A:B,2,FALSE)))+1),(((D9050/100)*(C9050*VLOOKUP(B9050,'Poids des runes'!A:B,2,FALSE)))+1)/VLOOKUP(B9050,'Poids des runes'!A:B,2,FALSE))</f>
        <v>26.5</v>
      </c>
      <c r="F9050">
        <f t="shared" si="141"/>
        <v>26.5</v>
      </c>
    </row>
    <row r="9051" spans="1:6" x14ac:dyDescent="0.3">
      <c r="A9051" t="s">
        <v>1469</v>
      </c>
      <c r="B9051" t="s">
        <v>2146</v>
      </c>
      <c r="C9051">
        <v>13</v>
      </c>
      <c r="D9051">
        <v>200</v>
      </c>
      <c r="E9051">
        <f>IF(OR(B9051="vi",B9051="ii",B9051="pod"),(((D9051/100)*(C9051*VLOOKUP(B9051,'Poids des runes'!A:B,2,FALSE)))+1),(((D9051/100)*(C9051*VLOOKUP(B9051,'Poids des runes'!A:B,2,FALSE)))+1)/VLOOKUP(B9051,'Poids des runes'!A:B,2,FALSE))</f>
        <v>26.5</v>
      </c>
      <c r="F9051">
        <f t="shared" si="141"/>
        <v>26.5</v>
      </c>
    </row>
    <row r="9052" spans="1:6" x14ac:dyDescent="0.3">
      <c r="A9052" t="s">
        <v>1470</v>
      </c>
      <c r="B9052" t="s">
        <v>2128</v>
      </c>
      <c r="C9052">
        <v>325.5</v>
      </c>
      <c r="D9052">
        <v>200</v>
      </c>
      <c r="E9052">
        <f>IF(OR(B9052="vi",B9052="ii",B9052="pod"),(((D9052/100)*(C9052*VLOOKUP(B9052,'Poids des runes'!A:B,2,FALSE)))+1),(((D9052/100)*(C9052*VLOOKUP(B9052,'Poids des runes'!A:B,2,FALSE)))+1)/VLOOKUP(B9052,'Poids des runes'!A:B,2,FALSE))</f>
        <v>131.20000000000002</v>
      </c>
      <c r="F9052">
        <f t="shared" si="141"/>
        <v>131.20000000000002</v>
      </c>
    </row>
    <row r="9053" spans="1:6" x14ac:dyDescent="0.3">
      <c r="A9053" t="s">
        <v>1470</v>
      </c>
      <c r="B9053" t="s">
        <v>2130</v>
      </c>
      <c r="C9053">
        <v>60.5</v>
      </c>
      <c r="D9053">
        <v>200</v>
      </c>
      <c r="E9053">
        <f>IF(OR(B9053="vi",B9053="ii",B9053="pod"),(((D9053/100)*(C9053*VLOOKUP(B9053,'Poids des runes'!A:B,2,FALSE)))+1),(((D9053/100)*(C9053*VLOOKUP(B9053,'Poids des runes'!A:B,2,FALSE)))+1)/VLOOKUP(B9053,'Poids des runes'!A:B,2,FALSE))</f>
        <v>122</v>
      </c>
      <c r="F9053">
        <f t="shared" si="141"/>
        <v>122</v>
      </c>
    </row>
    <row r="9054" spans="1:6" x14ac:dyDescent="0.3">
      <c r="A9054" t="s">
        <v>1470</v>
      </c>
      <c r="B9054" t="s">
        <v>2126</v>
      </c>
      <c r="C9054">
        <v>60.5</v>
      </c>
      <c r="D9054">
        <v>200</v>
      </c>
      <c r="E9054">
        <f>IF(OR(B9054="vi",B9054="ii",B9054="pod"),(((D9054/100)*(C9054*VLOOKUP(B9054,'Poids des runes'!A:B,2,FALSE)))+1),(((D9054/100)*(C9054*VLOOKUP(B9054,'Poids des runes'!A:B,2,FALSE)))+1)/VLOOKUP(B9054,'Poids des runes'!A:B,2,FALSE))</f>
        <v>122</v>
      </c>
      <c r="F9054">
        <f t="shared" si="141"/>
        <v>122</v>
      </c>
    </row>
    <row r="9055" spans="1:6" x14ac:dyDescent="0.3">
      <c r="A9055" t="s">
        <v>1470</v>
      </c>
      <c r="B9055" t="s">
        <v>2129</v>
      </c>
      <c r="C9055">
        <v>35.5</v>
      </c>
      <c r="D9055">
        <v>200</v>
      </c>
      <c r="E9055">
        <f>IF(OR(B9055="vi",B9055="ii",B9055="pod"),(((D9055/100)*(C9055*VLOOKUP(B9055,'Poids des runes'!A:B,2,FALSE)))+1),(((D9055/100)*(C9055*VLOOKUP(B9055,'Poids des runes'!A:B,2,FALSE)))+1)/VLOOKUP(B9055,'Poids des runes'!A:B,2,FALSE))</f>
        <v>72</v>
      </c>
      <c r="F9055">
        <f t="shared" si="141"/>
        <v>72</v>
      </c>
    </row>
    <row r="9056" spans="1:6" x14ac:dyDescent="0.3">
      <c r="A9056" t="s">
        <v>1470</v>
      </c>
      <c r="B9056" t="s">
        <v>2152</v>
      </c>
      <c r="C9056">
        <v>1</v>
      </c>
      <c r="D9056">
        <v>200</v>
      </c>
      <c r="E9056">
        <f>IF(OR(B9056="vi",B9056="ii",B9056="pod"),(((D9056/100)*(C9056*VLOOKUP(B9056,'Poids des runes'!A:B,2,FALSE)))+1),(((D9056/100)*(C9056*VLOOKUP(B9056,'Poids des runes'!A:B,2,FALSE)))+1)/VLOOKUP(B9056,'Poids des runes'!A:B,2,FALSE))</f>
        <v>2.0099999999999998</v>
      </c>
      <c r="F9056">
        <f t="shared" si="141"/>
        <v>2.0099999999999998</v>
      </c>
    </row>
    <row r="9057" spans="1:6" x14ac:dyDescent="0.3">
      <c r="A9057" t="s">
        <v>1470</v>
      </c>
      <c r="B9057" t="s">
        <v>2155</v>
      </c>
      <c r="C9057">
        <v>1</v>
      </c>
      <c r="D9057">
        <v>200</v>
      </c>
      <c r="E9057">
        <f>IF(OR(B9057="vi",B9057="ii",B9057="pod"),(((D9057/100)*(C9057*VLOOKUP(B9057,'Poids des runes'!A:B,2,FALSE)))+1),(((D9057/100)*(C9057*VLOOKUP(B9057,'Poids des runes'!A:B,2,FALSE)))+1)/VLOOKUP(B9057,'Poids des runes'!A:B,2,FALSE))</f>
        <v>2.0196078431372548</v>
      </c>
      <c r="F9057">
        <f t="shared" si="141"/>
        <v>2.0196078431372548</v>
      </c>
    </row>
    <row r="9058" spans="1:6" x14ac:dyDescent="0.3">
      <c r="A9058" t="s">
        <v>1470</v>
      </c>
      <c r="B9058" t="s">
        <v>2143</v>
      </c>
      <c r="C9058">
        <v>8.5</v>
      </c>
      <c r="D9058">
        <v>200</v>
      </c>
      <c r="E9058">
        <f>IF(OR(B9058="vi",B9058="ii",B9058="pod"),(((D9058/100)*(C9058*VLOOKUP(B9058,'Poids des runes'!A:B,2,FALSE)))+1),(((D9058/100)*(C9058*VLOOKUP(B9058,'Poids des runes'!A:B,2,FALSE)))+1)/VLOOKUP(B9058,'Poids des runes'!A:B,2,FALSE))</f>
        <v>17.2</v>
      </c>
      <c r="F9058">
        <f t="shared" si="141"/>
        <v>17.2</v>
      </c>
    </row>
    <row r="9059" spans="1:6" x14ac:dyDescent="0.3">
      <c r="A9059" t="s">
        <v>1470</v>
      </c>
      <c r="B9059" t="s">
        <v>2140</v>
      </c>
      <c r="C9059">
        <v>8.5</v>
      </c>
      <c r="D9059">
        <v>200</v>
      </c>
      <c r="E9059">
        <f>IF(OR(B9059="vi",B9059="ii",B9059="pod"),(((D9059/100)*(C9059*VLOOKUP(B9059,'Poids des runes'!A:B,2,FALSE)))+1),(((D9059/100)*(C9059*VLOOKUP(B9059,'Poids des runes'!A:B,2,FALSE)))+1)/VLOOKUP(B9059,'Poids des runes'!A:B,2,FALSE))</f>
        <v>17.2</v>
      </c>
      <c r="F9059">
        <f t="shared" si="141"/>
        <v>17.2</v>
      </c>
    </row>
    <row r="9060" spans="1:6" x14ac:dyDescent="0.3">
      <c r="A9060" t="s">
        <v>1470</v>
      </c>
      <c r="B9060" t="s">
        <v>2161</v>
      </c>
      <c r="C9060">
        <v>13</v>
      </c>
      <c r="D9060">
        <v>200</v>
      </c>
      <c r="E9060">
        <f>IF(OR(B9060="vi",B9060="ii",B9060="pod"),(((D9060/100)*(C9060*VLOOKUP(B9060,'Poids des runes'!A:B,2,FALSE)))+1),(((D9060/100)*(C9060*VLOOKUP(B9060,'Poids des runes'!A:B,2,FALSE)))+1)/VLOOKUP(B9060,'Poids des runes'!A:B,2,FALSE))</f>
        <v>26.333333333333332</v>
      </c>
      <c r="F9060">
        <f t="shared" si="141"/>
        <v>26.333333333333332</v>
      </c>
    </row>
    <row r="9061" spans="1:6" x14ac:dyDescent="0.3">
      <c r="A9061" t="s">
        <v>1470</v>
      </c>
      <c r="B9061" t="s">
        <v>2141</v>
      </c>
      <c r="C9061">
        <v>5</v>
      </c>
      <c r="D9061">
        <v>200</v>
      </c>
      <c r="E9061">
        <f>IF(OR(B9061="vi",B9061="ii",B9061="pod"),(((D9061/100)*(C9061*VLOOKUP(B9061,'Poids des runes'!A:B,2,FALSE)))+1),(((D9061/100)*(C9061*VLOOKUP(B9061,'Poids des runes'!A:B,2,FALSE)))+1)/VLOOKUP(B9061,'Poids des runes'!A:B,2,FALSE))</f>
        <v>10.25</v>
      </c>
      <c r="F9061">
        <f t="shared" si="141"/>
        <v>10.25</v>
      </c>
    </row>
    <row r="9062" spans="1:6" x14ac:dyDescent="0.3">
      <c r="A9062" t="s">
        <v>1470</v>
      </c>
      <c r="B9062" t="s">
        <v>2135</v>
      </c>
      <c r="C9062">
        <v>8.5</v>
      </c>
      <c r="D9062">
        <v>200</v>
      </c>
      <c r="E9062">
        <f>IF(OR(B9062="vi",B9062="ii",B9062="pod"),(((D9062/100)*(C9062*VLOOKUP(B9062,'Poids des runes'!A:B,2,FALSE)))+1),(((D9062/100)*(C9062*VLOOKUP(B9062,'Poids des runes'!A:B,2,FALSE)))+1)/VLOOKUP(B9062,'Poids des runes'!A:B,2,FALSE))</f>
        <v>17.166666666666668</v>
      </c>
      <c r="F9062">
        <f t="shared" si="141"/>
        <v>17.166666666666668</v>
      </c>
    </row>
    <row r="9063" spans="1:6" x14ac:dyDescent="0.3">
      <c r="A9063" t="s">
        <v>1471</v>
      </c>
      <c r="B9063" t="s">
        <v>2128</v>
      </c>
      <c r="C9063">
        <v>375.5</v>
      </c>
      <c r="D9063">
        <v>200</v>
      </c>
      <c r="E9063">
        <f>IF(OR(B9063="vi",B9063="ii",B9063="pod"),(((D9063/100)*(C9063*VLOOKUP(B9063,'Poids des runes'!A:B,2,FALSE)))+1),(((D9063/100)*(C9063*VLOOKUP(B9063,'Poids des runes'!A:B,2,FALSE)))+1)/VLOOKUP(B9063,'Poids des runes'!A:B,2,FALSE))</f>
        <v>151.20000000000002</v>
      </c>
      <c r="F9063">
        <f t="shared" si="141"/>
        <v>151.20000000000002</v>
      </c>
    </row>
    <row r="9064" spans="1:6" x14ac:dyDescent="0.3">
      <c r="A9064" t="s">
        <v>1471</v>
      </c>
      <c r="B9064" t="s">
        <v>2130</v>
      </c>
      <c r="C9064">
        <v>50.5</v>
      </c>
      <c r="D9064">
        <v>200</v>
      </c>
      <c r="E9064">
        <f>IF(OR(B9064="vi",B9064="ii",B9064="pod"),(((D9064/100)*(C9064*VLOOKUP(B9064,'Poids des runes'!A:B,2,FALSE)))+1),(((D9064/100)*(C9064*VLOOKUP(B9064,'Poids des runes'!A:B,2,FALSE)))+1)/VLOOKUP(B9064,'Poids des runes'!A:B,2,FALSE))</f>
        <v>102</v>
      </c>
      <c r="F9064">
        <f t="shared" si="141"/>
        <v>102</v>
      </c>
    </row>
    <row r="9065" spans="1:6" x14ac:dyDescent="0.3">
      <c r="A9065" t="s">
        <v>1471</v>
      </c>
      <c r="B9065" t="s">
        <v>2127</v>
      </c>
      <c r="C9065">
        <v>50.5</v>
      </c>
      <c r="D9065">
        <v>200</v>
      </c>
      <c r="E9065">
        <f>IF(OR(B9065="vi",B9065="ii",B9065="pod"),(((D9065/100)*(C9065*VLOOKUP(B9065,'Poids des runes'!A:B,2,FALSE)))+1),(((D9065/100)*(C9065*VLOOKUP(B9065,'Poids des runes'!A:B,2,FALSE)))+1)/VLOOKUP(B9065,'Poids des runes'!A:B,2,FALSE))</f>
        <v>102</v>
      </c>
      <c r="F9065">
        <f t="shared" si="141"/>
        <v>102</v>
      </c>
    </row>
    <row r="9066" spans="1:6" x14ac:dyDescent="0.3">
      <c r="A9066" t="s">
        <v>1471</v>
      </c>
      <c r="B9066" t="s">
        <v>2129</v>
      </c>
      <c r="C9066">
        <v>35.5</v>
      </c>
      <c r="D9066">
        <v>200</v>
      </c>
      <c r="E9066">
        <f>IF(OR(B9066="vi",B9066="ii",B9066="pod"),(((D9066/100)*(C9066*VLOOKUP(B9066,'Poids des runes'!A:B,2,FALSE)))+1),(((D9066/100)*(C9066*VLOOKUP(B9066,'Poids des runes'!A:B,2,FALSE)))+1)/VLOOKUP(B9066,'Poids des runes'!A:B,2,FALSE))</f>
        <v>72</v>
      </c>
      <c r="F9066">
        <f t="shared" si="141"/>
        <v>72</v>
      </c>
    </row>
    <row r="9067" spans="1:6" x14ac:dyDescent="0.3">
      <c r="A9067" t="s">
        <v>1471</v>
      </c>
      <c r="B9067" t="s">
        <v>2152</v>
      </c>
      <c r="C9067">
        <v>1</v>
      </c>
      <c r="D9067">
        <v>200</v>
      </c>
      <c r="E9067">
        <f>IF(OR(B9067="vi",B9067="ii",B9067="pod"),(((D9067/100)*(C9067*VLOOKUP(B9067,'Poids des runes'!A:B,2,FALSE)))+1),(((D9067/100)*(C9067*VLOOKUP(B9067,'Poids des runes'!A:B,2,FALSE)))+1)/VLOOKUP(B9067,'Poids des runes'!A:B,2,FALSE))</f>
        <v>2.0099999999999998</v>
      </c>
      <c r="F9067">
        <f t="shared" si="141"/>
        <v>2.0099999999999998</v>
      </c>
    </row>
    <row r="9068" spans="1:6" x14ac:dyDescent="0.3">
      <c r="A9068" t="s">
        <v>1471</v>
      </c>
      <c r="B9068" t="s">
        <v>2143</v>
      </c>
      <c r="C9068">
        <v>10.5</v>
      </c>
      <c r="D9068">
        <v>200</v>
      </c>
      <c r="E9068">
        <f>IF(OR(B9068="vi",B9068="ii",B9068="pod"),(((D9068/100)*(C9068*VLOOKUP(B9068,'Poids des runes'!A:B,2,FALSE)))+1),(((D9068/100)*(C9068*VLOOKUP(B9068,'Poids des runes'!A:B,2,FALSE)))+1)/VLOOKUP(B9068,'Poids des runes'!A:B,2,FALSE))</f>
        <v>21.2</v>
      </c>
      <c r="F9068">
        <f t="shared" si="141"/>
        <v>21.2</v>
      </c>
    </row>
    <row r="9069" spans="1:6" x14ac:dyDescent="0.3">
      <c r="A9069" t="s">
        <v>1471</v>
      </c>
      <c r="B9069" t="s">
        <v>2153</v>
      </c>
      <c r="C9069">
        <v>10.5</v>
      </c>
      <c r="D9069">
        <v>200</v>
      </c>
      <c r="E9069">
        <f>IF(OR(B9069="vi",B9069="ii",B9069="pod"),(((D9069/100)*(C9069*VLOOKUP(B9069,'Poids des runes'!A:B,2,FALSE)))+1),(((D9069/100)*(C9069*VLOOKUP(B9069,'Poids des runes'!A:B,2,FALSE)))+1)/VLOOKUP(B9069,'Poids des runes'!A:B,2,FALSE))</f>
        <v>21.2</v>
      </c>
      <c r="F9069">
        <f t="shared" si="141"/>
        <v>21.2</v>
      </c>
    </row>
    <row r="9070" spans="1:6" x14ac:dyDescent="0.3">
      <c r="A9070" t="s">
        <v>1471</v>
      </c>
      <c r="B9070" t="s">
        <v>2132</v>
      </c>
      <c r="C9070">
        <v>250.5</v>
      </c>
      <c r="D9070">
        <v>200</v>
      </c>
      <c r="E9070">
        <f>IF(OR(B9070="vi",B9070="ii",B9070="pod"),(((D9070/100)*(C9070*VLOOKUP(B9070,'Poids des runes'!A:B,2,FALSE)))+1),(((D9070/100)*(C9070*VLOOKUP(B9070,'Poids des runes'!A:B,2,FALSE)))+1)/VLOOKUP(B9070,'Poids des runes'!A:B,2,FALSE))</f>
        <v>51.1</v>
      </c>
      <c r="F9070">
        <f t="shared" si="141"/>
        <v>51.1</v>
      </c>
    </row>
    <row r="9071" spans="1:6" x14ac:dyDescent="0.3">
      <c r="A9071" t="s">
        <v>1471</v>
      </c>
      <c r="B9071" t="s">
        <v>2141</v>
      </c>
      <c r="C9071">
        <v>4</v>
      </c>
      <c r="D9071">
        <v>200</v>
      </c>
      <c r="E9071">
        <f>IF(OR(B9071="vi",B9071="ii",B9071="pod"),(((D9071/100)*(C9071*VLOOKUP(B9071,'Poids des runes'!A:B,2,FALSE)))+1),(((D9071/100)*(C9071*VLOOKUP(B9071,'Poids des runes'!A:B,2,FALSE)))+1)/VLOOKUP(B9071,'Poids des runes'!A:B,2,FALSE))</f>
        <v>8.25</v>
      </c>
      <c r="F9071">
        <f t="shared" si="141"/>
        <v>8.25</v>
      </c>
    </row>
    <row r="9072" spans="1:6" x14ac:dyDescent="0.3">
      <c r="A9072" t="s">
        <v>1471</v>
      </c>
      <c r="B9072" t="s">
        <v>2135</v>
      </c>
      <c r="C9072">
        <v>7</v>
      </c>
      <c r="D9072">
        <v>200</v>
      </c>
      <c r="E9072">
        <f>IF(OR(B9072="vi",B9072="ii",B9072="pod"),(((D9072/100)*(C9072*VLOOKUP(B9072,'Poids des runes'!A:B,2,FALSE)))+1),(((D9072/100)*(C9072*VLOOKUP(B9072,'Poids des runes'!A:B,2,FALSE)))+1)/VLOOKUP(B9072,'Poids des runes'!A:B,2,FALSE))</f>
        <v>14.166666666666666</v>
      </c>
      <c r="F9072">
        <f t="shared" si="141"/>
        <v>14.166666666666666</v>
      </c>
    </row>
    <row r="9073" spans="1:6" x14ac:dyDescent="0.3">
      <c r="A9073" t="s">
        <v>1471</v>
      </c>
      <c r="B9073" t="s">
        <v>2157</v>
      </c>
      <c r="C9073">
        <v>7</v>
      </c>
      <c r="D9073">
        <v>200</v>
      </c>
      <c r="E9073">
        <f>IF(OR(B9073="vi",B9073="ii",B9073="pod"),(((D9073/100)*(C9073*VLOOKUP(B9073,'Poids des runes'!A:B,2,FALSE)))+1),(((D9073/100)*(C9073*VLOOKUP(B9073,'Poids des runes'!A:B,2,FALSE)))+1)/VLOOKUP(B9073,'Poids des runes'!A:B,2,FALSE))</f>
        <v>14.166666666666666</v>
      </c>
      <c r="F9073">
        <f t="shared" si="141"/>
        <v>14.166666666666666</v>
      </c>
    </row>
    <row r="9074" spans="1:6" x14ac:dyDescent="0.3">
      <c r="A9074" t="s">
        <v>1472</v>
      </c>
      <c r="B9074" t="s">
        <v>2128</v>
      </c>
      <c r="C9074">
        <v>375.5</v>
      </c>
      <c r="D9074">
        <v>200</v>
      </c>
      <c r="E9074">
        <f>IF(OR(B9074="vi",B9074="ii",B9074="pod"),(((D9074/100)*(C9074*VLOOKUP(B9074,'Poids des runes'!A:B,2,FALSE)))+1),(((D9074/100)*(C9074*VLOOKUP(B9074,'Poids des runes'!A:B,2,FALSE)))+1)/VLOOKUP(B9074,'Poids des runes'!A:B,2,FALSE))</f>
        <v>151.20000000000002</v>
      </c>
      <c r="F9074">
        <f t="shared" si="141"/>
        <v>151.20000000000002</v>
      </c>
    </row>
    <row r="9075" spans="1:6" x14ac:dyDescent="0.3">
      <c r="A9075" t="s">
        <v>1472</v>
      </c>
      <c r="B9075" t="s">
        <v>2130</v>
      </c>
      <c r="C9075">
        <v>70.5</v>
      </c>
      <c r="D9075">
        <v>200</v>
      </c>
      <c r="E9075">
        <f>IF(OR(B9075="vi",B9075="ii",B9075="pod"),(((D9075/100)*(C9075*VLOOKUP(B9075,'Poids des runes'!A:B,2,FALSE)))+1),(((D9075/100)*(C9075*VLOOKUP(B9075,'Poids des runes'!A:B,2,FALSE)))+1)/VLOOKUP(B9075,'Poids des runes'!A:B,2,FALSE))</f>
        <v>142</v>
      </c>
      <c r="F9075">
        <f t="shared" si="141"/>
        <v>142</v>
      </c>
    </row>
    <row r="9076" spans="1:6" x14ac:dyDescent="0.3">
      <c r="A9076" t="s">
        <v>1472</v>
      </c>
      <c r="B9076" t="s">
        <v>2129</v>
      </c>
      <c r="C9076">
        <v>40.5</v>
      </c>
      <c r="D9076">
        <v>200</v>
      </c>
      <c r="E9076">
        <f>IF(OR(B9076="vi",B9076="ii",B9076="pod"),(((D9076/100)*(C9076*VLOOKUP(B9076,'Poids des runes'!A:B,2,FALSE)))+1),(((D9076/100)*(C9076*VLOOKUP(B9076,'Poids des runes'!A:B,2,FALSE)))+1)/VLOOKUP(B9076,'Poids des runes'!A:B,2,FALSE))</f>
        <v>82</v>
      </c>
      <c r="F9076">
        <f t="shared" si="141"/>
        <v>82</v>
      </c>
    </row>
    <row r="9077" spans="1:6" x14ac:dyDescent="0.3">
      <c r="A9077" t="s">
        <v>1472</v>
      </c>
      <c r="B9077" t="s">
        <v>2154</v>
      </c>
      <c r="C9077">
        <v>1</v>
      </c>
      <c r="D9077">
        <v>200</v>
      </c>
      <c r="E9077">
        <f>IF(OR(B9077="vi",B9077="ii",B9077="pod"),(((D9077/100)*(C9077*VLOOKUP(B9077,'Poids des runes'!A:B,2,FALSE)))+1),(((D9077/100)*(C9077*VLOOKUP(B9077,'Poids des runes'!A:B,2,FALSE)))+1)/VLOOKUP(B9077,'Poids des runes'!A:B,2,FALSE))</f>
        <v>2.0111111111111111</v>
      </c>
      <c r="F9077">
        <f t="shared" si="141"/>
        <v>2.0111111111111111</v>
      </c>
    </row>
    <row r="9078" spans="1:6" x14ac:dyDescent="0.3">
      <c r="A9078" t="s">
        <v>1472</v>
      </c>
      <c r="B9078" t="s">
        <v>2143</v>
      </c>
      <c r="C9078">
        <v>18</v>
      </c>
      <c r="D9078">
        <v>200</v>
      </c>
      <c r="E9078">
        <f>IF(OR(B9078="vi",B9078="ii",B9078="pod"),(((D9078/100)*(C9078*VLOOKUP(B9078,'Poids des runes'!A:B,2,FALSE)))+1),(((D9078/100)*(C9078*VLOOKUP(B9078,'Poids des runes'!A:B,2,FALSE)))+1)/VLOOKUP(B9078,'Poids des runes'!A:B,2,FALSE))</f>
        <v>36.200000000000003</v>
      </c>
      <c r="F9078">
        <f t="shared" si="141"/>
        <v>36.200000000000003</v>
      </c>
    </row>
    <row r="9079" spans="1:6" x14ac:dyDescent="0.3">
      <c r="A9079" t="s">
        <v>1472</v>
      </c>
      <c r="B9079" t="s">
        <v>2138</v>
      </c>
      <c r="C9079">
        <v>13</v>
      </c>
      <c r="D9079">
        <v>200</v>
      </c>
      <c r="E9079">
        <f>IF(OR(B9079="vi",B9079="ii",B9079="pod"),(((D9079/100)*(C9079*VLOOKUP(B9079,'Poids des runes'!A:B,2,FALSE)))+1),(((D9079/100)*(C9079*VLOOKUP(B9079,'Poids des runes'!A:B,2,FALSE)))+1)/VLOOKUP(B9079,'Poids des runes'!A:B,2,FALSE))</f>
        <v>26.25</v>
      </c>
      <c r="F9079">
        <f t="shared" si="141"/>
        <v>26.25</v>
      </c>
    </row>
    <row r="9080" spans="1:6" x14ac:dyDescent="0.3">
      <c r="A9080" t="s">
        <v>1472</v>
      </c>
      <c r="B9080" t="s">
        <v>2164</v>
      </c>
      <c r="C9080">
        <v>25.5</v>
      </c>
      <c r="D9080">
        <v>200</v>
      </c>
      <c r="E9080">
        <f>IF(OR(B9080="vi",B9080="ii",B9080="pod"),(((D9080/100)*(C9080*VLOOKUP(B9080,'Poids des runes'!A:B,2,FALSE)))+1),(((D9080/100)*(C9080*VLOOKUP(B9080,'Poids des runes'!A:B,2,FALSE)))+1)/VLOOKUP(B9080,'Poids des runes'!A:B,2,FALSE))</f>
        <v>51.5</v>
      </c>
      <c r="F9080">
        <f t="shared" si="141"/>
        <v>51.5</v>
      </c>
    </row>
    <row r="9081" spans="1:6" x14ac:dyDescent="0.3">
      <c r="A9081" t="s">
        <v>1472</v>
      </c>
      <c r="B9081" t="s">
        <v>2136</v>
      </c>
      <c r="C9081">
        <v>25.5</v>
      </c>
      <c r="D9081">
        <v>200</v>
      </c>
      <c r="E9081">
        <f>IF(OR(B9081="vi",B9081="ii",B9081="pod"),(((D9081/100)*(C9081*VLOOKUP(B9081,'Poids des runes'!A:B,2,FALSE)))+1),(((D9081/100)*(C9081*VLOOKUP(B9081,'Poids des runes'!A:B,2,FALSE)))+1)/VLOOKUP(B9081,'Poids des runes'!A:B,2,FALSE))</f>
        <v>51.5</v>
      </c>
      <c r="F9081">
        <f t="shared" si="141"/>
        <v>51.5</v>
      </c>
    </row>
    <row r="9082" spans="1:6" x14ac:dyDescent="0.3">
      <c r="A9082" t="s">
        <v>1473</v>
      </c>
      <c r="B9082" t="s">
        <v>2128</v>
      </c>
      <c r="C9082">
        <v>275.5</v>
      </c>
      <c r="D9082">
        <v>200</v>
      </c>
      <c r="E9082">
        <f>IF(OR(B9082="vi",B9082="ii",B9082="pod"),(((D9082/100)*(C9082*VLOOKUP(B9082,'Poids des runes'!A:B,2,FALSE)))+1),(((D9082/100)*(C9082*VLOOKUP(B9082,'Poids des runes'!A:B,2,FALSE)))+1)/VLOOKUP(B9082,'Poids des runes'!A:B,2,FALSE))</f>
        <v>111.2</v>
      </c>
      <c r="F9082">
        <f t="shared" si="141"/>
        <v>111.2</v>
      </c>
    </row>
    <row r="9083" spans="1:6" x14ac:dyDescent="0.3">
      <c r="A9083" t="s">
        <v>1473</v>
      </c>
      <c r="B9083" t="s">
        <v>2131</v>
      </c>
      <c r="C9083">
        <v>70.5</v>
      </c>
      <c r="D9083">
        <v>200</v>
      </c>
      <c r="E9083">
        <f>IF(OR(B9083="vi",B9083="ii",B9083="pod"),(((D9083/100)*(C9083*VLOOKUP(B9083,'Poids des runes'!A:B,2,FALSE)))+1),(((D9083/100)*(C9083*VLOOKUP(B9083,'Poids des runes'!A:B,2,FALSE)))+1)/VLOOKUP(B9083,'Poids des runes'!A:B,2,FALSE))</f>
        <v>142</v>
      </c>
      <c r="F9083">
        <f t="shared" si="141"/>
        <v>142</v>
      </c>
    </row>
    <row r="9084" spans="1:6" x14ac:dyDescent="0.3">
      <c r="A9084" t="s">
        <v>1473</v>
      </c>
      <c r="B9084" t="s">
        <v>2129</v>
      </c>
      <c r="C9084">
        <v>18</v>
      </c>
      <c r="D9084">
        <v>200</v>
      </c>
      <c r="E9084">
        <f>IF(OR(B9084="vi",B9084="ii",B9084="pod"),(((D9084/100)*(C9084*VLOOKUP(B9084,'Poids des runes'!A:B,2,FALSE)))+1),(((D9084/100)*(C9084*VLOOKUP(B9084,'Poids des runes'!A:B,2,FALSE)))+1)/VLOOKUP(B9084,'Poids des runes'!A:B,2,FALSE))</f>
        <v>37</v>
      </c>
      <c r="F9084">
        <f t="shared" si="141"/>
        <v>37</v>
      </c>
    </row>
    <row r="9085" spans="1:6" x14ac:dyDescent="0.3">
      <c r="A9085" t="s">
        <v>1473</v>
      </c>
      <c r="B9085" t="s">
        <v>2154</v>
      </c>
      <c r="C9085">
        <v>1</v>
      </c>
      <c r="D9085">
        <v>200</v>
      </c>
      <c r="E9085">
        <f>IF(OR(B9085="vi",B9085="ii",B9085="pod"),(((D9085/100)*(C9085*VLOOKUP(B9085,'Poids des runes'!A:B,2,FALSE)))+1),(((D9085/100)*(C9085*VLOOKUP(B9085,'Poids des runes'!A:B,2,FALSE)))+1)/VLOOKUP(B9085,'Poids des runes'!A:B,2,FALSE))</f>
        <v>2.0111111111111111</v>
      </c>
      <c r="F9085">
        <f t="shared" si="141"/>
        <v>2.0111111111111111</v>
      </c>
    </row>
    <row r="9086" spans="1:6" x14ac:dyDescent="0.3">
      <c r="A9086" t="s">
        <v>1473</v>
      </c>
      <c r="B9086" t="s">
        <v>2133</v>
      </c>
      <c r="C9086">
        <v>16</v>
      </c>
      <c r="D9086">
        <v>200</v>
      </c>
      <c r="E9086">
        <f>IF(OR(B9086="vi",B9086="ii",B9086="pod"),(((D9086/100)*(C9086*VLOOKUP(B9086,'Poids des runes'!A:B,2,FALSE)))+1),(((D9086/100)*(C9086*VLOOKUP(B9086,'Poids des runes'!A:B,2,FALSE)))+1)/VLOOKUP(B9086,'Poids des runes'!A:B,2,FALSE))</f>
        <v>32.200000000000003</v>
      </c>
      <c r="F9086">
        <f t="shared" si="141"/>
        <v>32.200000000000003</v>
      </c>
    </row>
    <row r="9087" spans="1:6" x14ac:dyDescent="0.3">
      <c r="A9087" t="s">
        <v>1473</v>
      </c>
      <c r="B9087" t="s">
        <v>2161</v>
      </c>
      <c r="C9087">
        <v>18</v>
      </c>
      <c r="D9087">
        <v>200</v>
      </c>
      <c r="E9087">
        <f>IF(OR(B9087="vi",B9087="ii",B9087="pod"),(((D9087/100)*(C9087*VLOOKUP(B9087,'Poids des runes'!A:B,2,FALSE)))+1),(((D9087/100)*(C9087*VLOOKUP(B9087,'Poids des runes'!A:B,2,FALSE)))+1)/VLOOKUP(B9087,'Poids des runes'!A:B,2,FALSE))</f>
        <v>36.333333333333336</v>
      </c>
      <c r="F9087">
        <f t="shared" si="141"/>
        <v>36.333333333333336</v>
      </c>
    </row>
    <row r="9088" spans="1:6" x14ac:dyDescent="0.3">
      <c r="A9088" t="s">
        <v>1473</v>
      </c>
      <c r="B9088" t="s">
        <v>2132</v>
      </c>
      <c r="C9088">
        <v>250.5</v>
      </c>
      <c r="D9088">
        <v>200</v>
      </c>
      <c r="E9088">
        <f>IF(OR(B9088="vi",B9088="ii",B9088="pod"),(((D9088/100)*(C9088*VLOOKUP(B9088,'Poids des runes'!A:B,2,FALSE)))+1),(((D9088/100)*(C9088*VLOOKUP(B9088,'Poids des runes'!A:B,2,FALSE)))+1)/VLOOKUP(B9088,'Poids des runes'!A:B,2,FALSE))</f>
        <v>51.1</v>
      </c>
      <c r="F9088">
        <f t="shared" si="141"/>
        <v>51.1</v>
      </c>
    </row>
    <row r="9089" spans="1:6" x14ac:dyDescent="0.3">
      <c r="A9089" t="s">
        <v>1473</v>
      </c>
      <c r="B9089" t="s">
        <v>2148</v>
      </c>
      <c r="C9089">
        <v>8.5</v>
      </c>
      <c r="D9089">
        <v>200</v>
      </c>
      <c r="E9089">
        <f>IF(OR(B9089="vi",B9089="ii",B9089="pod"),(((D9089/100)*(C9089*VLOOKUP(B9089,'Poids des runes'!A:B,2,FALSE)))+1),(((D9089/100)*(C9089*VLOOKUP(B9089,'Poids des runes'!A:B,2,FALSE)))+1)/VLOOKUP(B9089,'Poids des runes'!A:B,2,FALSE))</f>
        <v>17.166666666666668</v>
      </c>
      <c r="F9089">
        <f t="shared" si="141"/>
        <v>17.166666666666668</v>
      </c>
    </row>
    <row r="9090" spans="1:6" x14ac:dyDescent="0.3">
      <c r="A9090" t="s">
        <v>1473</v>
      </c>
      <c r="B9090" t="s">
        <v>2157</v>
      </c>
      <c r="C9090">
        <v>8.5</v>
      </c>
      <c r="D9090">
        <v>200</v>
      </c>
      <c r="E9090">
        <f>IF(OR(B9090="vi",B9090="ii",B9090="pod"),(((D9090/100)*(C9090*VLOOKUP(B9090,'Poids des runes'!A:B,2,FALSE)))+1),(((D9090/100)*(C9090*VLOOKUP(B9090,'Poids des runes'!A:B,2,FALSE)))+1)/VLOOKUP(B9090,'Poids des runes'!A:B,2,FALSE))</f>
        <v>17.166666666666668</v>
      </c>
      <c r="F9090">
        <f t="shared" si="141"/>
        <v>17.166666666666668</v>
      </c>
    </row>
    <row r="9091" spans="1:6" x14ac:dyDescent="0.3">
      <c r="A9091" t="s">
        <v>1473</v>
      </c>
      <c r="B9091" t="s">
        <v>2136</v>
      </c>
      <c r="C9091">
        <v>13</v>
      </c>
      <c r="D9091">
        <v>200</v>
      </c>
      <c r="E9091">
        <f>IF(OR(B9091="vi",B9091="ii",B9091="pod"),(((D9091/100)*(C9091*VLOOKUP(B9091,'Poids des runes'!A:B,2,FALSE)))+1),(((D9091/100)*(C9091*VLOOKUP(B9091,'Poids des runes'!A:B,2,FALSE)))+1)/VLOOKUP(B9091,'Poids des runes'!A:B,2,FALSE))</f>
        <v>26.5</v>
      </c>
      <c r="F9091">
        <f t="shared" ref="F9091:F9154" si="142">E9091</f>
        <v>26.5</v>
      </c>
    </row>
    <row r="9092" spans="1:6" x14ac:dyDescent="0.3">
      <c r="A9092" t="s">
        <v>1473</v>
      </c>
      <c r="B9092" t="s">
        <v>2145</v>
      </c>
      <c r="C9092">
        <v>13</v>
      </c>
      <c r="D9092">
        <v>200</v>
      </c>
      <c r="E9092">
        <f>IF(OR(B9092="vi",B9092="ii",B9092="pod"),(((D9092/100)*(C9092*VLOOKUP(B9092,'Poids des runes'!A:B,2,FALSE)))+1),(((D9092/100)*(C9092*VLOOKUP(B9092,'Poids des runes'!A:B,2,FALSE)))+1)/VLOOKUP(B9092,'Poids des runes'!A:B,2,FALSE))</f>
        <v>26.5</v>
      </c>
      <c r="F9092">
        <f t="shared" si="142"/>
        <v>26.5</v>
      </c>
    </row>
    <row r="9093" spans="1:6" x14ac:dyDescent="0.3">
      <c r="A9093" t="s">
        <v>1474</v>
      </c>
      <c r="B9093" t="s">
        <v>2128</v>
      </c>
      <c r="C9093">
        <v>325.5</v>
      </c>
      <c r="D9093">
        <v>200</v>
      </c>
      <c r="E9093">
        <f>IF(OR(B9093="vi",B9093="ii",B9093="pod"),(((D9093/100)*(C9093*VLOOKUP(B9093,'Poids des runes'!A:B,2,FALSE)))+1),(((D9093/100)*(C9093*VLOOKUP(B9093,'Poids des runes'!A:B,2,FALSE)))+1)/VLOOKUP(B9093,'Poids des runes'!A:B,2,FALSE))</f>
        <v>131.20000000000002</v>
      </c>
      <c r="F9093">
        <f t="shared" si="142"/>
        <v>131.20000000000002</v>
      </c>
    </row>
    <row r="9094" spans="1:6" x14ac:dyDescent="0.3">
      <c r="A9094" t="s">
        <v>1474</v>
      </c>
      <c r="B9094" t="s">
        <v>2130</v>
      </c>
      <c r="C9094">
        <v>40.5</v>
      </c>
      <c r="D9094">
        <v>200</v>
      </c>
      <c r="E9094">
        <f>IF(OR(B9094="vi",B9094="ii",B9094="pod"),(((D9094/100)*(C9094*VLOOKUP(B9094,'Poids des runes'!A:B,2,FALSE)))+1),(((D9094/100)*(C9094*VLOOKUP(B9094,'Poids des runes'!A:B,2,FALSE)))+1)/VLOOKUP(B9094,'Poids des runes'!A:B,2,FALSE))</f>
        <v>82</v>
      </c>
      <c r="F9094">
        <f t="shared" si="142"/>
        <v>82</v>
      </c>
    </row>
    <row r="9095" spans="1:6" x14ac:dyDescent="0.3">
      <c r="A9095" t="s">
        <v>1474</v>
      </c>
      <c r="B9095" t="s">
        <v>2126</v>
      </c>
      <c r="C9095">
        <v>40.5</v>
      </c>
      <c r="D9095">
        <v>200</v>
      </c>
      <c r="E9095">
        <f>IF(OR(B9095="vi",B9095="ii",B9095="pod"),(((D9095/100)*(C9095*VLOOKUP(B9095,'Poids des runes'!A:B,2,FALSE)))+1),(((D9095/100)*(C9095*VLOOKUP(B9095,'Poids des runes'!A:B,2,FALSE)))+1)/VLOOKUP(B9095,'Poids des runes'!A:B,2,FALSE))</f>
        <v>82</v>
      </c>
      <c r="F9095">
        <f t="shared" si="142"/>
        <v>82</v>
      </c>
    </row>
    <row r="9096" spans="1:6" x14ac:dyDescent="0.3">
      <c r="A9096" t="s">
        <v>1474</v>
      </c>
      <c r="B9096" t="s">
        <v>2127</v>
      </c>
      <c r="C9096">
        <v>40.5</v>
      </c>
      <c r="D9096">
        <v>200</v>
      </c>
      <c r="E9096">
        <f>IF(OR(B9096="vi",B9096="ii",B9096="pod"),(((D9096/100)*(C9096*VLOOKUP(B9096,'Poids des runes'!A:B,2,FALSE)))+1),(((D9096/100)*(C9096*VLOOKUP(B9096,'Poids des runes'!A:B,2,FALSE)))+1)/VLOOKUP(B9096,'Poids des runes'!A:B,2,FALSE))</f>
        <v>82</v>
      </c>
      <c r="F9096">
        <f t="shared" si="142"/>
        <v>82</v>
      </c>
    </row>
    <row r="9097" spans="1:6" x14ac:dyDescent="0.3">
      <c r="A9097" t="s">
        <v>1474</v>
      </c>
      <c r="B9097" t="s">
        <v>2129</v>
      </c>
      <c r="C9097">
        <v>40.5</v>
      </c>
      <c r="D9097">
        <v>200</v>
      </c>
      <c r="E9097">
        <f>IF(OR(B9097="vi",B9097="ii",B9097="pod"),(((D9097/100)*(C9097*VLOOKUP(B9097,'Poids des runes'!A:B,2,FALSE)))+1),(((D9097/100)*(C9097*VLOOKUP(B9097,'Poids des runes'!A:B,2,FALSE)))+1)/VLOOKUP(B9097,'Poids des runes'!A:B,2,FALSE))</f>
        <v>82</v>
      </c>
      <c r="F9097">
        <f t="shared" si="142"/>
        <v>82</v>
      </c>
    </row>
    <row r="9098" spans="1:6" x14ac:dyDescent="0.3">
      <c r="A9098" t="s">
        <v>1474</v>
      </c>
      <c r="B9098" t="s">
        <v>2151</v>
      </c>
      <c r="C9098">
        <v>4.5</v>
      </c>
      <c r="D9098">
        <v>200</v>
      </c>
      <c r="E9098">
        <f>IF(OR(B9098="vi",B9098="ii",B9098="pod"),(((D9098/100)*(C9098*VLOOKUP(B9098,'Poids des runes'!A:B,2,FALSE)))+1),(((D9098/100)*(C9098*VLOOKUP(B9098,'Poids des runes'!A:B,2,FALSE)))+1)/VLOOKUP(B9098,'Poids des runes'!A:B,2,FALSE))</f>
        <v>9.1</v>
      </c>
      <c r="F9098">
        <f t="shared" si="142"/>
        <v>9.1</v>
      </c>
    </row>
    <row r="9099" spans="1:6" x14ac:dyDescent="0.3">
      <c r="A9099" t="s">
        <v>1474</v>
      </c>
      <c r="B9099" t="s">
        <v>2154</v>
      </c>
      <c r="C9099">
        <v>1</v>
      </c>
      <c r="D9099">
        <v>200</v>
      </c>
      <c r="E9099">
        <f>IF(OR(B9099="vi",B9099="ii",B9099="pod"),(((D9099/100)*(C9099*VLOOKUP(B9099,'Poids des runes'!A:B,2,FALSE)))+1),(((D9099/100)*(C9099*VLOOKUP(B9099,'Poids des runes'!A:B,2,FALSE)))+1)/VLOOKUP(B9099,'Poids des runes'!A:B,2,FALSE))</f>
        <v>2.0111111111111111</v>
      </c>
      <c r="F9099">
        <f t="shared" si="142"/>
        <v>2.0111111111111111</v>
      </c>
    </row>
    <row r="9100" spans="1:6" x14ac:dyDescent="0.3">
      <c r="A9100" t="s">
        <v>1474</v>
      </c>
      <c r="B9100" t="s">
        <v>2155</v>
      </c>
      <c r="C9100">
        <v>1</v>
      </c>
      <c r="D9100">
        <v>200</v>
      </c>
      <c r="E9100">
        <f>IF(OR(B9100="vi",B9100="ii",B9100="pod"),(((D9100/100)*(C9100*VLOOKUP(B9100,'Poids des runes'!A:B,2,FALSE)))+1),(((D9100/100)*(C9100*VLOOKUP(B9100,'Poids des runes'!A:B,2,FALSE)))+1)/VLOOKUP(B9100,'Poids des runes'!A:B,2,FALSE))</f>
        <v>2.0196078431372548</v>
      </c>
      <c r="F9100">
        <f t="shared" si="142"/>
        <v>2.0196078431372548</v>
      </c>
    </row>
    <row r="9101" spans="1:6" x14ac:dyDescent="0.3">
      <c r="A9101" t="s">
        <v>1474</v>
      </c>
      <c r="B9101" t="s">
        <v>2143</v>
      </c>
      <c r="C9101">
        <v>8.5</v>
      </c>
      <c r="D9101">
        <v>200</v>
      </c>
      <c r="E9101">
        <f>IF(OR(B9101="vi",B9101="ii",B9101="pod"),(((D9101/100)*(C9101*VLOOKUP(B9101,'Poids des runes'!A:B,2,FALSE)))+1),(((D9101/100)*(C9101*VLOOKUP(B9101,'Poids des runes'!A:B,2,FALSE)))+1)/VLOOKUP(B9101,'Poids des runes'!A:B,2,FALSE))</f>
        <v>17.2</v>
      </c>
      <c r="F9101">
        <f t="shared" si="142"/>
        <v>17.2</v>
      </c>
    </row>
    <row r="9102" spans="1:6" x14ac:dyDescent="0.3">
      <c r="A9102" t="s">
        <v>1474</v>
      </c>
      <c r="B9102" t="s">
        <v>2140</v>
      </c>
      <c r="C9102">
        <v>8.5</v>
      </c>
      <c r="D9102">
        <v>200</v>
      </c>
      <c r="E9102">
        <f>IF(OR(B9102="vi",B9102="ii",B9102="pod"),(((D9102/100)*(C9102*VLOOKUP(B9102,'Poids des runes'!A:B,2,FALSE)))+1),(((D9102/100)*(C9102*VLOOKUP(B9102,'Poids des runes'!A:B,2,FALSE)))+1)/VLOOKUP(B9102,'Poids des runes'!A:B,2,FALSE))</f>
        <v>17.2</v>
      </c>
      <c r="F9102">
        <f t="shared" si="142"/>
        <v>17.2</v>
      </c>
    </row>
    <row r="9103" spans="1:6" x14ac:dyDescent="0.3">
      <c r="A9103" t="s">
        <v>1474</v>
      </c>
      <c r="B9103" t="s">
        <v>2153</v>
      </c>
      <c r="C9103">
        <v>8.5</v>
      </c>
      <c r="D9103">
        <v>200</v>
      </c>
      <c r="E9103">
        <f>IF(OR(B9103="vi",B9103="ii",B9103="pod"),(((D9103/100)*(C9103*VLOOKUP(B9103,'Poids des runes'!A:B,2,FALSE)))+1),(((D9103/100)*(C9103*VLOOKUP(B9103,'Poids des runes'!A:B,2,FALSE)))+1)/VLOOKUP(B9103,'Poids des runes'!A:B,2,FALSE))</f>
        <v>17.2</v>
      </c>
      <c r="F9103">
        <f t="shared" si="142"/>
        <v>17.2</v>
      </c>
    </row>
    <row r="9104" spans="1:6" x14ac:dyDescent="0.3">
      <c r="A9104" t="s">
        <v>1474</v>
      </c>
      <c r="B9104" t="s">
        <v>2158</v>
      </c>
      <c r="C9104">
        <v>8.5</v>
      </c>
      <c r="D9104">
        <v>200</v>
      </c>
      <c r="E9104">
        <f>IF(OR(B9104="vi",B9104="ii",B9104="pod"),(((D9104/100)*(C9104*VLOOKUP(B9104,'Poids des runes'!A:B,2,FALSE)))+1),(((D9104/100)*(C9104*VLOOKUP(B9104,'Poids des runes'!A:B,2,FALSE)))+1)/VLOOKUP(B9104,'Poids des runes'!A:B,2,FALSE))</f>
        <v>17.2</v>
      </c>
      <c r="F9104">
        <f t="shared" si="142"/>
        <v>17.2</v>
      </c>
    </row>
    <row r="9105" spans="1:6" x14ac:dyDescent="0.3">
      <c r="A9105" t="s">
        <v>1474</v>
      </c>
      <c r="B9105" t="s">
        <v>2157</v>
      </c>
      <c r="C9105">
        <v>8.5</v>
      </c>
      <c r="D9105">
        <v>200</v>
      </c>
      <c r="E9105">
        <f>IF(OR(B9105="vi",B9105="ii",B9105="pod"),(((D9105/100)*(C9105*VLOOKUP(B9105,'Poids des runes'!A:B,2,FALSE)))+1),(((D9105/100)*(C9105*VLOOKUP(B9105,'Poids des runes'!A:B,2,FALSE)))+1)/VLOOKUP(B9105,'Poids des runes'!A:B,2,FALSE))</f>
        <v>17.166666666666668</v>
      </c>
      <c r="F9105">
        <f t="shared" si="142"/>
        <v>17.166666666666668</v>
      </c>
    </row>
    <row r="9106" spans="1:6" x14ac:dyDescent="0.3">
      <c r="A9106" t="s">
        <v>1474</v>
      </c>
      <c r="B9106" t="s">
        <v>2137</v>
      </c>
      <c r="C9106">
        <v>13</v>
      </c>
      <c r="D9106">
        <v>200</v>
      </c>
      <c r="E9106">
        <f>IF(OR(B9106="vi",B9106="ii",B9106="pod"),(((D9106/100)*(C9106*VLOOKUP(B9106,'Poids des runes'!A:B,2,FALSE)))+1),(((D9106/100)*(C9106*VLOOKUP(B9106,'Poids des runes'!A:B,2,FALSE)))+1)/VLOOKUP(B9106,'Poids des runes'!A:B,2,FALSE))</f>
        <v>26.5</v>
      </c>
      <c r="F9106">
        <f t="shared" si="142"/>
        <v>26.5</v>
      </c>
    </row>
    <row r="9107" spans="1:6" x14ac:dyDescent="0.3">
      <c r="A9107" t="s">
        <v>1475</v>
      </c>
      <c r="B9107" t="s">
        <v>2128</v>
      </c>
      <c r="C9107">
        <v>375.5</v>
      </c>
      <c r="D9107">
        <v>200</v>
      </c>
      <c r="E9107">
        <f>IF(OR(B9107="vi",B9107="ii",B9107="pod"),(((D9107/100)*(C9107*VLOOKUP(B9107,'Poids des runes'!A:B,2,FALSE)))+1),(((D9107/100)*(C9107*VLOOKUP(B9107,'Poids des runes'!A:B,2,FALSE)))+1)/VLOOKUP(B9107,'Poids des runes'!A:B,2,FALSE))</f>
        <v>151.20000000000002</v>
      </c>
      <c r="F9107">
        <f t="shared" si="142"/>
        <v>151.20000000000002</v>
      </c>
    </row>
    <row r="9108" spans="1:6" x14ac:dyDescent="0.3">
      <c r="A9108" t="s">
        <v>1475</v>
      </c>
      <c r="B9108" t="s">
        <v>2129</v>
      </c>
      <c r="C9108">
        <v>40.5</v>
      </c>
      <c r="D9108">
        <v>200</v>
      </c>
      <c r="E9108">
        <f>IF(OR(B9108="vi",B9108="ii",B9108="pod"),(((D9108/100)*(C9108*VLOOKUP(B9108,'Poids des runes'!A:B,2,FALSE)))+1),(((D9108/100)*(C9108*VLOOKUP(B9108,'Poids des runes'!A:B,2,FALSE)))+1)/VLOOKUP(B9108,'Poids des runes'!A:B,2,FALSE))</f>
        <v>82</v>
      </c>
      <c r="F9108">
        <f t="shared" si="142"/>
        <v>82</v>
      </c>
    </row>
    <row r="9109" spans="1:6" x14ac:dyDescent="0.3">
      <c r="A9109" t="s">
        <v>1475</v>
      </c>
      <c r="B9109" t="s">
        <v>2139</v>
      </c>
      <c r="C9109">
        <v>63</v>
      </c>
      <c r="D9109">
        <v>200</v>
      </c>
      <c r="E9109">
        <f>IF(OR(B9109="vi",B9109="ii",B9109="pod"),(((D9109/100)*(C9109*VLOOKUP(B9109,'Poids des runes'!A:B,2,FALSE)))+1),(((D9109/100)*(C9109*VLOOKUP(B9109,'Poids des runes'!A:B,2,FALSE)))+1)/VLOOKUP(B9109,'Poids des runes'!A:B,2,FALSE))</f>
        <v>126.5</v>
      </c>
      <c r="F9109">
        <f t="shared" si="142"/>
        <v>126.5</v>
      </c>
    </row>
    <row r="9110" spans="1:6" x14ac:dyDescent="0.3">
      <c r="A9110" t="s">
        <v>1475</v>
      </c>
      <c r="B9110" t="s">
        <v>2154</v>
      </c>
      <c r="C9110">
        <v>1</v>
      </c>
      <c r="D9110">
        <v>200</v>
      </c>
      <c r="E9110">
        <f>IF(OR(B9110="vi",B9110="ii",B9110="pod"),(((D9110/100)*(C9110*VLOOKUP(B9110,'Poids des runes'!A:B,2,FALSE)))+1),(((D9110/100)*(C9110*VLOOKUP(B9110,'Poids des runes'!A:B,2,FALSE)))+1)/VLOOKUP(B9110,'Poids des runes'!A:B,2,FALSE))</f>
        <v>2.0111111111111111</v>
      </c>
      <c r="F9110">
        <f t="shared" si="142"/>
        <v>2.0111111111111111</v>
      </c>
    </row>
    <row r="9111" spans="1:6" x14ac:dyDescent="0.3">
      <c r="A9111" t="s">
        <v>1475</v>
      </c>
      <c r="B9111" t="s">
        <v>2143</v>
      </c>
      <c r="C9111">
        <v>11</v>
      </c>
      <c r="D9111">
        <v>200</v>
      </c>
      <c r="E9111">
        <f>IF(OR(B9111="vi",B9111="ii",B9111="pod"),(((D9111/100)*(C9111*VLOOKUP(B9111,'Poids des runes'!A:B,2,FALSE)))+1),(((D9111/100)*(C9111*VLOOKUP(B9111,'Poids des runes'!A:B,2,FALSE)))+1)/VLOOKUP(B9111,'Poids des runes'!A:B,2,FALSE))</f>
        <v>22.2</v>
      </c>
      <c r="F9111">
        <f t="shared" si="142"/>
        <v>22.2</v>
      </c>
    </row>
    <row r="9112" spans="1:6" x14ac:dyDescent="0.3">
      <c r="A9112" t="s">
        <v>1475</v>
      </c>
      <c r="B9112" t="s">
        <v>2140</v>
      </c>
      <c r="C9112">
        <v>11</v>
      </c>
      <c r="D9112">
        <v>200</v>
      </c>
      <c r="E9112">
        <f>IF(OR(B9112="vi",B9112="ii",B9112="pod"),(((D9112/100)*(C9112*VLOOKUP(B9112,'Poids des runes'!A:B,2,FALSE)))+1),(((D9112/100)*(C9112*VLOOKUP(B9112,'Poids des runes'!A:B,2,FALSE)))+1)/VLOOKUP(B9112,'Poids des runes'!A:B,2,FALSE))</f>
        <v>22.2</v>
      </c>
      <c r="F9112">
        <f t="shared" si="142"/>
        <v>22.2</v>
      </c>
    </row>
    <row r="9113" spans="1:6" x14ac:dyDescent="0.3">
      <c r="A9113" t="s">
        <v>1475</v>
      </c>
      <c r="B9113" t="s">
        <v>2133</v>
      </c>
      <c r="C9113">
        <v>11</v>
      </c>
      <c r="D9113">
        <v>200</v>
      </c>
      <c r="E9113">
        <f>IF(OR(B9113="vi",B9113="ii",B9113="pod"),(((D9113/100)*(C9113*VLOOKUP(B9113,'Poids des runes'!A:B,2,FALSE)))+1),(((D9113/100)*(C9113*VLOOKUP(B9113,'Poids des runes'!A:B,2,FALSE)))+1)/VLOOKUP(B9113,'Poids des runes'!A:B,2,FALSE))</f>
        <v>22.2</v>
      </c>
      <c r="F9113">
        <f t="shared" si="142"/>
        <v>22.2</v>
      </c>
    </row>
    <row r="9114" spans="1:6" x14ac:dyDescent="0.3">
      <c r="A9114" t="s">
        <v>1475</v>
      </c>
      <c r="B9114" t="s">
        <v>2153</v>
      </c>
      <c r="C9114">
        <v>11</v>
      </c>
      <c r="D9114">
        <v>200</v>
      </c>
      <c r="E9114">
        <f>IF(OR(B9114="vi",B9114="ii",B9114="pod"),(((D9114/100)*(C9114*VLOOKUP(B9114,'Poids des runes'!A:B,2,FALSE)))+1),(((D9114/100)*(C9114*VLOOKUP(B9114,'Poids des runes'!A:B,2,FALSE)))+1)/VLOOKUP(B9114,'Poids des runes'!A:B,2,FALSE))</f>
        <v>22.2</v>
      </c>
      <c r="F9114">
        <f t="shared" si="142"/>
        <v>22.2</v>
      </c>
    </row>
    <row r="9115" spans="1:6" x14ac:dyDescent="0.3">
      <c r="A9115" t="s">
        <v>1475</v>
      </c>
      <c r="B9115" t="s">
        <v>2165</v>
      </c>
      <c r="C9115">
        <v>7</v>
      </c>
      <c r="D9115">
        <v>200</v>
      </c>
      <c r="E9115">
        <f>IF(OR(B9115="vi",B9115="ii",B9115="pod"),(((D9115/100)*(C9115*VLOOKUP(B9115,'Poids des runes'!A:B,2,FALSE)))+1),(((D9115/100)*(C9115*VLOOKUP(B9115,'Poids des runes'!A:B,2,FALSE)))+1)/VLOOKUP(B9115,'Poids des runes'!A:B,2,FALSE))</f>
        <v>14.142857142857142</v>
      </c>
      <c r="F9115">
        <f t="shared" si="142"/>
        <v>14.142857142857142</v>
      </c>
    </row>
    <row r="9116" spans="1:6" x14ac:dyDescent="0.3">
      <c r="A9116" t="s">
        <v>1475</v>
      </c>
      <c r="B9116" t="s">
        <v>2147</v>
      </c>
      <c r="C9116">
        <v>7</v>
      </c>
      <c r="D9116">
        <v>200</v>
      </c>
      <c r="E9116">
        <f>IF(OR(B9116="vi",B9116="ii",B9116="pod"),(((D9116/100)*(C9116*VLOOKUP(B9116,'Poids des runes'!A:B,2,FALSE)))+1),(((D9116/100)*(C9116*VLOOKUP(B9116,'Poids des runes'!A:B,2,FALSE)))+1)/VLOOKUP(B9116,'Poids des runes'!A:B,2,FALSE))</f>
        <v>14.166666666666666</v>
      </c>
      <c r="F9116">
        <f t="shared" si="142"/>
        <v>14.166666666666666</v>
      </c>
    </row>
    <row r="9117" spans="1:6" x14ac:dyDescent="0.3">
      <c r="A9117" t="s">
        <v>1476</v>
      </c>
      <c r="B9117" t="s">
        <v>2128</v>
      </c>
      <c r="C9117">
        <v>325.5</v>
      </c>
      <c r="D9117">
        <v>200</v>
      </c>
      <c r="E9117">
        <f>IF(OR(B9117="vi",B9117="ii",B9117="pod"),(((D9117/100)*(C9117*VLOOKUP(B9117,'Poids des runes'!A:B,2,FALSE)))+1),(((D9117/100)*(C9117*VLOOKUP(B9117,'Poids des runes'!A:B,2,FALSE)))+1)/VLOOKUP(B9117,'Poids des runes'!A:B,2,FALSE))</f>
        <v>131.20000000000002</v>
      </c>
      <c r="F9117">
        <f t="shared" si="142"/>
        <v>131.20000000000002</v>
      </c>
    </row>
    <row r="9118" spans="1:6" x14ac:dyDescent="0.3">
      <c r="A9118" t="s">
        <v>1476</v>
      </c>
      <c r="B9118" t="s">
        <v>2131</v>
      </c>
      <c r="C9118">
        <v>85.5</v>
      </c>
      <c r="D9118">
        <v>200</v>
      </c>
      <c r="E9118">
        <f>IF(OR(B9118="vi",B9118="ii",B9118="pod"),(((D9118/100)*(C9118*VLOOKUP(B9118,'Poids des runes'!A:B,2,FALSE)))+1),(((D9118/100)*(C9118*VLOOKUP(B9118,'Poids des runes'!A:B,2,FALSE)))+1)/VLOOKUP(B9118,'Poids des runes'!A:B,2,FALSE))</f>
        <v>172</v>
      </c>
      <c r="F9118">
        <f t="shared" si="142"/>
        <v>172</v>
      </c>
    </row>
    <row r="9119" spans="1:6" x14ac:dyDescent="0.3">
      <c r="A9119" t="s">
        <v>1476</v>
      </c>
      <c r="B9119" t="s">
        <v>2129</v>
      </c>
      <c r="C9119">
        <v>40.5</v>
      </c>
      <c r="D9119">
        <v>200</v>
      </c>
      <c r="E9119">
        <f>IF(OR(B9119="vi",B9119="ii",B9119="pod"),(((D9119/100)*(C9119*VLOOKUP(B9119,'Poids des runes'!A:B,2,FALSE)))+1),(((D9119/100)*(C9119*VLOOKUP(B9119,'Poids des runes'!A:B,2,FALSE)))+1)/VLOOKUP(B9119,'Poids des runes'!A:B,2,FALSE))</f>
        <v>82</v>
      </c>
      <c r="F9119">
        <f t="shared" si="142"/>
        <v>82</v>
      </c>
    </row>
    <row r="9120" spans="1:6" x14ac:dyDescent="0.3">
      <c r="A9120" t="s">
        <v>1476</v>
      </c>
      <c r="B9120" t="s">
        <v>2154</v>
      </c>
      <c r="C9120">
        <v>1</v>
      </c>
      <c r="D9120">
        <v>200</v>
      </c>
      <c r="E9120">
        <f>IF(OR(B9120="vi",B9120="ii",B9120="pod"),(((D9120/100)*(C9120*VLOOKUP(B9120,'Poids des runes'!A:B,2,FALSE)))+1),(((D9120/100)*(C9120*VLOOKUP(B9120,'Poids des runes'!A:B,2,FALSE)))+1)/VLOOKUP(B9120,'Poids des runes'!A:B,2,FALSE))</f>
        <v>2.0111111111111111</v>
      </c>
      <c r="F9120">
        <f t="shared" si="142"/>
        <v>2.0111111111111111</v>
      </c>
    </row>
    <row r="9121" spans="1:6" x14ac:dyDescent="0.3">
      <c r="A9121" t="s">
        <v>1476</v>
      </c>
      <c r="B9121" t="s">
        <v>2155</v>
      </c>
      <c r="C9121">
        <v>1</v>
      </c>
      <c r="D9121">
        <v>200</v>
      </c>
      <c r="E9121">
        <f>IF(OR(B9121="vi",B9121="ii",B9121="pod"),(((D9121/100)*(C9121*VLOOKUP(B9121,'Poids des runes'!A:B,2,FALSE)))+1),(((D9121/100)*(C9121*VLOOKUP(B9121,'Poids des runes'!A:B,2,FALSE)))+1)/VLOOKUP(B9121,'Poids des runes'!A:B,2,FALSE))</f>
        <v>2.0196078431372548</v>
      </c>
      <c r="F9121">
        <f t="shared" si="142"/>
        <v>2.0196078431372548</v>
      </c>
    </row>
    <row r="9122" spans="1:6" x14ac:dyDescent="0.3">
      <c r="A9122" t="s">
        <v>1476</v>
      </c>
      <c r="B9122" t="s">
        <v>2133</v>
      </c>
      <c r="C9122">
        <v>13</v>
      </c>
      <c r="D9122">
        <v>200</v>
      </c>
      <c r="E9122">
        <f>IF(OR(B9122="vi",B9122="ii",B9122="pod"),(((D9122/100)*(C9122*VLOOKUP(B9122,'Poids des runes'!A:B,2,FALSE)))+1),(((D9122/100)*(C9122*VLOOKUP(B9122,'Poids des runes'!A:B,2,FALSE)))+1)/VLOOKUP(B9122,'Poids des runes'!A:B,2,FALSE))</f>
        <v>26.2</v>
      </c>
      <c r="F9122">
        <f t="shared" si="142"/>
        <v>26.2</v>
      </c>
    </row>
    <row r="9123" spans="1:6" x14ac:dyDescent="0.3">
      <c r="A9123" t="s">
        <v>1476</v>
      </c>
      <c r="B9123" t="s">
        <v>2161</v>
      </c>
      <c r="C9123">
        <v>18</v>
      </c>
      <c r="D9123">
        <v>200</v>
      </c>
      <c r="E9123">
        <f>IF(OR(B9123="vi",B9123="ii",B9123="pod"),(((D9123/100)*(C9123*VLOOKUP(B9123,'Poids des runes'!A:B,2,FALSE)))+1),(((D9123/100)*(C9123*VLOOKUP(B9123,'Poids des runes'!A:B,2,FALSE)))+1)/VLOOKUP(B9123,'Poids des runes'!A:B,2,FALSE))</f>
        <v>36.333333333333336</v>
      </c>
      <c r="F9123">
        <f t="shared" si="142"/>
        <v>36.333333333333336</v>
      </c>
    </row>
    <row r="9124" spans="1:6" x14ac:dyDescent="0.3">
      <c r="A9124" t="s">
        <v>1476</v>
      </c>
      <c r="B9124" t="s">
        <v>2132</v>
      </c>
      <c r="C9124">
        <v>250.5</v>
      </c>
      <c r="D9124">
        <v>200</v>
      </c>
      <c r="E9124">
        <f>IF(OR(B9124="vi",B9124="ii",B9124="pod"),(((D9124/100)*(C9124*VLOOKUP(B9124,'Poids des runes'!A:B,2,FALSE)))+1),(((D9124/100)*(C9124*VLOOKUP(B9124,'Poids des runes'!A:B,2,FALSE)))+1)/VLOOKUP(B9124,'Poids des runes'!A:B,2,FALSE))</f>
        <v>51.1</v>
      </c>
      <c r="F9124">
        <f t="shared" si="142"/>
        <v>51.1</v>
      </c>
    </row>
    <row r="9125" spans="1:6" x14ac:dyDescent="0.3">
      <c r="A9125" t="s">
        <v>1476</v>
      </c>
      <c r="B9125" t="s">
        <v>2148</v>
      </c>
      <c r="C9125">
        <v>8.5</v>
      </c>
      <c r="D9125">
        <v>200</v>
      </c>
      <c r="E9125">
        <f>IF(OR(B9125="vi",B9125="ii",B9125="pod"),(((D9125/100)*(C9125*VLOOKUP(B9125,'Poids des runes'!A:B,2,FALSE)))+1),(((D9125/100)*(C9125*VLOOKUP(B9125,'Poids des runes'!A:B,2,FALSE)))+1)/VLOOKUP(B9125,'Poids des runes'!A:B,2,FALSE))</f>
        <v>17.166666666666668</v>
      </c>
      <c r="F9125">
        <f t="shared" si="142"/>
        <v>17.166666666666668</v>
      </c>
    </row>
    <row r="9126" spans="1:6" x14ac:dyDescent="0.3">
      <c r="A9126" t="s">
        <v>1476</v>
      </c>
      <c r="B9126" t="s">
        <v>2146</v>
      </c>
      <c r="C9126">
        <v>18</v>
      </c>
      <c r="D9126">
        <v>200</v>
      </c>
      <c r="E9126">
        <f>IF(OR(B9126="vi",B9126="ii",B9126="pod"),(((D9126/100)*(C9126*VLOOKUP(B9126,'Poids des runes'!A:B,2,FALSE)))+1),(((D9126/100)*(C9126*VLOOKUP(B9126,'Poids des runes'!A:B,2,FALSE)))+1)/VLOOKUP(B9126,'Poids des runes'!A:B,2,FALSE))</f>
        <v>36.5</v>
      </c>
      <c r="F9126">
        <f t="shared" si="142"/>
        <v>36.5</v>
      </c>
    </row>
    <row r="9127" spans="1:6" x14ac:dyDescent="0.3">
      <c r="A9127" t="s">
        <v>1477</v>
      </c>
      <c r="B9127" t="s">
        <v>2128</v>
      </c>
      <c r="C9127">
        <v>375.5</v>
      </c>
      <c r="D9127">
        <v>200</v>
      </c>
      <c r="E9127">
        <f>IF(OR(B9127="vi",B9127="ii",B9127="pod"),(((D9127/100)*(C9127*VLOOKUP(B9127,'Poids des runes'!A:B,2,FALSE)))+1),(((D9127/100)*(C9127*VLOOKUP(B9127,'Poids des runes'!A:B,2,FALSE)))+1)/VLOOKUP(B9127,'Poids des runes'!A:B,2,FALSE))</f>
        <v>151.20000000000002</v>
      </c>
      <c r="F9127">
        <f t="shared" si="142"/>
        <v>151.20000000000002</v>
      </c>
    </row>
    <row r="9128" spans="1:6" x14ac:dyDescent="0.3">
      <c r="A9128" t="s">
        <v>1477</v>
      </c>
      <c r="B9128" t="s">
        <v>2130</v>
      </c>
      <c r="C9128">
        <v>50.5</v>
      </c>
      <c r="D9128">
        <v>200</v>
      </c>
      <c r="E9128">
        <f>IF(OR(B9128="vi",B9128="ii",B9128="pod"),(((D9128/100)*(C9128*VLOOKUP(B9128,'Poids des runes'!A:B,2,FALSE)))+1),(((D9128/100)*(C9128*VLOOKUP(B9128,'Poids des runes'!A:B,2,FALSE)))+1)/VLOOKUP(B9128,'Poids des runes'!A:B,2,FALSE))</f>
        <v>102</v>
      </c>
      <c r="F9128">
        <f t="shared" si="142"/>
        <v>102</v>
      </c>
    </row>
    <row r="9129" spans="1:6" x14ac:dyDescent="0.3">
      <c r="A9129" t="s">
        <v>1477</v>
      </c>
      <c r="B9129" t="s">
        <v>2126</v>
      </c>
      <c r="C9129">
        <v>50.5</v>
      </c>
      <c r="D9129">
        <v>200</v>
      </c>
      <c r="E9129">
        <f>IF(OR(B9129="vi",B9129="ii",B9129="pod"),(((D9129/100)*(C9129*VLOOKUP(B9129,'Poids des runes'!A:B,2,FALSE)))+1),(((D9129/100)*(C9129*VLOOKUP(B9129,'Poids des runes'!A:B,2,FALSE)))+1)/VLOOKUP(B9129,'Poids des runes'!A:B,2,FALSE))</f>
        <v>102</v>
      </c>
      <c r="F9129">
        <f t="shared" si="142"/>
        <v>102</v>
      </c>
    </row>
    <row r="9130" spans="1:6" x14ac:dyDescent="0.3">
      <c r="A9130" t="s">
        <v>1477</v>
      </c>
      <c r="B9130" t="s">
        <v>2131</v>
      </c>
      <c r="C9130">
        <v>50.5</v>
      </c>
      <c r="D9130">
        <v>200</v>
      </c>
      <c r="E9130">
        <f>IF(OR(B9130="vi",B9130="ii",B9130="pod"),(((D9130/100)*(C9130*VLOOKUP(B9130,'Poids des runes'!A:B,2,FALSE)))+1),(((D9130/100)*(C9130*VLOOKUP(B9130,'Poids des runes'!A:B,2,FALSE)))+1)/VLOOKUP(B9130,'Poids des runes'!A:B,2,FALSE))</f>
        <v>102</v>
      </c>
      <c r="F9130">
        <f t="shared" si="142"/>
        <v>102</v>
      </c>
    </row>
    <row r="9131" spans="1:6" x14ac:dyDescent="0.3">
      <c r="A9131" t="s">
        <v>1477</v>
      </c>
      <c r="B9131" t="s">
        <v>2129</v>
      </c>
      <c r="C9131">
        <v>25.5</v>
      </c>
      <c r="D9131">
        <v>200</v>
      </c>
      <c r="E9131">
        <f>IF(OR(B9131="vi",B9131="ii",B9131="pod"),(((D9131/100)*(C9131*VLOOKUP(B9131,'Poids des runes'!A:B,2,FALSE)))+1),(((D9131/100)*(C9131*VLOOKUP(B9131,'Poids des runes'!A:B,2,FALSE)))+1)/VLOOKUP(B9131,'Poids des runes'!A:B,2,FALSE))</f>
        <v>52</v>
      </c>
      <c r="F9131">
        <f t="shared" si="142"/>
        <v>52</v>
      </c>
    </row>
    <row r="9132" spans="1:6" x14ac:dyDescent="0.3">
      <c r="A9132" t="s">
        <v>1477</v>
      </c>
      <c r="B9132" t="s">
        <v>2154</v>
      </c>
      <c r="C9132">
        <v>1</v>
      </c>
      <c r="D9132">
        <v>200</v>
      </c>
      <c r="E9132">
        <f>IF(OR(B9132="vi",B9132="ii",B9132="pod"),(((D9132/100)*(C9132*VLOOKUP(B9132,'Poids des runes'!A:B,2,FALSE)))+1),(((D9132/100)*(C9132*VLOOKUP(B9132,'Poids des runes'!A:B,2,FALSE)))+1)/VLOOKUP(B9132,'Poids des runes'!A:B,2,FALSE))</f>
        <v>2.0111111111111111</v>
      </c>
      <c r="F9132">
        <f t="shared" si="142"/>
        <v>2.0111111111111111</v>
      </c>
    </row>
    <row r="9133" spans="1:6" x14ac:dyDescent="0.3">
      <c r="A9133" t="s">
        <v>1477</v>
      </c>
      <c r="B9133" t="s">
        <v>2143</v>
      </c>
      <c r="C9133">
        <v>10.5</v>
      </c>
      <c r="D9133">
        <v>200</v>
      </c>
      <c r="E9133">
        <f>IF(OR(B9133="vi",B9133="ii",B9133="pod"),(((D9133/100)*(C9133*VLOOKUP(B9133,'Poids des runes'!A:B,2,FALSE)))+1),(((D9133/100)*(C9133*VLOOKUP(B9133,'Poids des runes'!A:B,2,FALSE)))+1)/VLOOKUP(B9133,'Poids des runes'!A:B,2,FALSE))</f>
        <v>21.2</v>
      </c>
      <c r="F9133">
        <f t="shared" si="142"/>
        <v>21.2</v>
      </c>
    </row>
    <row r="9134" spans="1:6" x14ac:dyDescent="0.3">
      <c r="A9134" t="s">
        <v>1477</v>
      </c>
      <c r="B9134" t="s">
        <v>2140</v>
      </c>
      <c r="C9134">
        <v>10.5</v>
      </c>
      <c r="D9134">
        <v>200</v>
      </c>
      <c r="E9134">
        <f>IF(OR(B9134="vi",B9134="ii",B9134="pod"),(((D9134/100)*(C9134*VLOOKUP(B9134,'Poids des runes'!A:B,2,FALSE)))+1),(((D9134/100)*(C9134*VLOOKUP(B9134,'Poids des runes'!A:B,2,FALSE)))+1)/VLOOKUP(B9134,'Poids des runes'!A:B,2,FALSE))</f>
        <v>21.2</v>
      </c>
      <c r="F9134">
        <f t="shared" si="142"/>
        <v>21.2</v>
      </c>
    </row>
    <row r="9135" spans="1:6" x14ac:dyDescent="0.3">
      <c r="A9135" t="s">
        <v>1477</v>
      </c>
      <c r="B9135" t="s">
        <v>2133</v>
      </c>
      <c r="C9135">
        <v>10.5</v>
      </c>
      <c r="D9135">
        <v>200</v>
      </c>
      <c r="E9135">
        <f>IF(OR(B9135="vi",B9135="ii",B9135="pod"),(((D9135/100)*(C9135*VLOOKUP(B9135,'Poids des runes'!A:B,2,FALSE)))+1),(((D9135/100)*(C9135*VLOOKUP(B9135,'Poids des runes'!A:B,2,FALSE)))+1)/VLOOKUP(B9135,'Poids des runes'!A:B,2,FALSE))</f>
        <v>21.2</v>
      </c>
      <c r="F9135">
        <f t="shared" si="142"/>
        <v>21.2</v>
      </c>
    </row>
    <row r="9136" spans="1:6" x14ac:dyDescent="0.3">
      <c r="A9136" t="s">
        <v>1477</v>
      </c>
      <c r="B9136" t="s">
        <v>2161</v>
      </c>
      <c r="C9136">
        <v>13</v>
      </c>
      <c r="D9136">
        <v>200</v>
      </c>
      <c r="E9136">
        <f>IF(OR(B9136="vi",B9136="ii",B9136="pod"),(((D9136/100)*(C9136*VLOOKUP(B9136,'Poids des runes'!A:B,2,FALSE)))+1),(((D9136/100)*(C9136*VLOOKUP(B9136,'Poids des runes'!A:B,2,FALSE)))+1)/VLOOKUP(B9136,'Poids des runes'!A:B,2,FALSE))</f>
        <v>26.333333333333332</v>
      </c>
      <c r="F9136">
        <f t="shared" si="142"/>
        <v>26.333333333333332</v>
      </c>
    </row>
    <row r="9137" spans="1:6" x14ac:dyDescent="0.3">
      <c r="A9137" t="s">
        <v>1477</v>
      </c>
      <c r="B9137" t="s">
        <v>2165</v>
      </c>
      <c r="C9137">
        <v>6</v>
      </c>
      <c r="D9137">
        <v>200</v>
      </c>
      <c r="E9137">
        <f>IF(OR(B9137="vi",B9137="ii",B9137="pod"),(((D9137/100)*(C9137*VLOOKUP(B9137,'Poids des runes'!A:B,2,FALSE)))+1),(((D9137/100)*(C9137*VLOOKUP(B9137,'Poids des runes'!A:B,2,FALSE)))+1)/VLOOKUP(B9137,'Poids des runes'!A:B,2,FALSE))</f>
        <v>12.142857142857142</v>
      </c>
      <c r="F9137">
        <f t="shared" si="142"/>
        <v>12.142857142857142</v>
      </c>
    </row>
    <row r="9138" spans="1:6" x14ac:dyDescent="0.3">
      <c r="A9138" t="s">
        <v>1477</v>
      </c>
      <c r="B9138" t="s">
        <v>2157</v>
      </c>
      <c r="C9138">
        <v>8.5</v>
      </c>
      <c r="D9138">
        <v>200</v>
      </c>
      <c r="E9138">
        <f>IF(OR(B9138="vi",B9138="ii",B9138="pod"),(((D9138/100)*(C9138*VLOOKUP(B9138,'Poids des runes'!A:B,2,FALSE)))+1),(((D9138/100)*(C9138*VLOOKUP(B9138,'Poids des runes'!A:B,2,FALSE)))+1)/VLOOKUP(B9138,'Poids des runes'!A:B,2,FALSE))</f>
        <v>17.166666666666668</v>
      </c>
      <c r="F9138">
        <f t="shared" si="142"/>
        <v>17.166666666666668</v>
      </c>
    </row>
    <row r="9139" spans="1:6" x14ac:dyDescent="0.3">
      <c r="A9139" t="s">
        <v>1478</v>
      </c>
      <c r="B9139" t="s">
        <v>2128</v>
      </c>
      <c r="C9139">
        <v>325.5</v>
      </c>
      <c r="D9139">
        <v>200</v>
      </c>
      <c r="E9139">
        <f>IF(OR(B9139="vi",B9139="ii",B9139="pod"),(((D9139/100)*(C9139*VLOOKUP(B9139,'Poids des runes'!A:B,2,FALSE)))+1),(((D9139/100)*(C9139*VLOOKUP(B9139,'Poids des runes'!A:B,2,FALSE)))+1)/VLOOKUP(B9139,'Poids des runes'!A:B,2,FALSE))</f>
        <v>131.20000000000002</v>
      </c>
      <c r="F9139">
        <f t="shared" si="142"/>
        <v>131.20000000000002</v>
      </c>
    </row>
    <row r="9140" spans="1:6" x14ac:dyDescent="0.3">
      <c r="A9140" t="s">
        <v>1478</v>
      </c>
      <c r="B9140" t="s">
        <v>2130</v>
      </c>
      <c r="C9140">
        <v>50.5</v>
      </c>
      <c r="D9140">
        <v>200</v>
      </c>
      <c r="E9140">
        <f>IF(OR(B9140="vi",B9140="ii",B9140="pod"),(((D9140/100)*(C9140*VLOOKUP(B9140,'Poids des runes'!A:B,2,FALSE)))+1),(((D9140/100)*(C9140*VLOOKUP(B9140,'Poids des runes'!A:B,2,FALSE)))+1)/VLOOKUP(B9140,'Poids des runes'!A:B,2,FALSE))</f>
        <v>102</v>
      </c>
      <c r="F9140">
        <f t="shared" si="142"/>
        <v>102</v>
      </c>
    </row>
    <row r="9141" spans="1:6" x14ac:dyDescent="0.3">
      <c r="A9141" t="s">
        <v>1478</v>
      </c>
      <c r="B9141" t="s">
        <v>2131</v>
      </c>
      <c r="C9141">
        <v>50.5</v>
      </c>
      <c r="D9141">
        <v>200</v>
      </c>
      <c r="E9141">
        <f>IF(OR(B9141="vi",B9141="ii",B9141="pod"),(((D9141/100)*(C9141*VLOOKUP(B9141,'Poids des runes'!A:B,2,FALSE)))+1),(((D9141/100)*(C9141*VLOOKUP(B9141,'Poids des runes'!A:B,2,FALSE)))+1)/VLOOKUP(B9141,'Poids des runes'!A:B,2,FALSE))</f>
        <v>102</v>
      </c>
      <c r="F9141">
        <f t="shared" si="142"/>
        <v>102</v>
      </c>
    </row>
    <row r="9142" spans="1:6" x14ac:dyDescent="0.3">
      <c r="A9142" t="s">
        <v>1478</v>
      </c>
      <c r="B9142" t="s">
        <v>2129</v>
      </c>
      <c r="C9142">
        <v>35.5</v>
      </c>
      <c r="D9142">
        <v>200</v>
      </c>
      <c r="E9142">
        <f>IF(OR(B9142="vi",B9142="ii",B9142="pod"),(((D9142/100)*(C9142*VLOOKUP(B9142,'Poids des runes'!A:B,2,FALSE)))+1),(((D9142/100)*(C9142*VLOOKUP(B9142,'Poids des runes'!A:B,2,FALSE)))+1)/VLOOKUP(B9142,'Poids des runes'!A:B,2,FALSE))</f>
        <v>72</v>
      </c>
      <c r="F9142">
        <f t="shared" si="142"/>
        <v>72</v>
      </c>
    </row>
    <row r="9143" spans="1:6" x14ac:dyDescent="0.3">
      <c r="A9143" t="s">
        <v>1478</v>
      </c>
      <c r="B9143" t="s">
        <v>2151</v>
      </c>
      <c r="C9143">
        <v>4.5</v>
      </c>
      <c r="D9143">
        <v>200</v>
      </c>
      <c r="E9143">
        <f>IF(OR(B9143="vi",B9143="ii",B9143="pod"),(((D9143/100)*(C9143*VLOOKUP(B9143,'Poids des runes'!A:B,2,FALSE)))+1),(((D9143/100)*(C9143*VLOOKUP(B9143,'Poids des runes'!A:B,2,FALSE)))+1)/VLOOKUP(B9143,'Poids des runes'!A:B,2,FALSE))</f>
        <v>9.1</v>
      </c>
      <c r="F9143">
        <f t="shared" si="142"/>
        <v>9.1</v>
      </c>
    </row>
    <row r="9144" spans="1:6" x14ac:dyDescent="0.3">
      <c r="A9144" t="s">
        <v>1478</v>
      </c>
      <c r="B9144" t="s">
        <v>2154</v>
      </c>
      <c r="C9144">
        <v>1</v>
      </c>
      <c r="D9144">
        <v>200</v>
      </c>
      <c r="E9144">
        <f>IF(OR(B9144="vi",B9144="ii",B9144="pod"),(((D9144/100)*(C9144*VLOOKUP(B9144,'Poids des runes'!A:B,2,FALSE)))+1),(((D9144/100)*(C9144*VLOOKUP(B9144,'Poids des runes'!A:B,2,FALSE)))+1)/VLOOKUP(B9144,'Poids des runes'!A:B,2,FALSE))</f>
        <v>2.0111111111111111</v>
      </c>
      <c r="F9144">
        <f t="shared" si="142"/>
        <v>2.0111111111111111</v>
      </c>
    </row>
    <row r="9145" spans="1:6" x14ac:dyDescent="0.3">
      <c r="A9145" t="s">
        <v>1478</v>
      </c>
      <c r="B9145" t="s">
        <v>2155</v>
      </c>
      <c r="C9145">
        <v>1</v>
      </c>
      <c r="D9145">
        <v>200</v>
      </c>
      <c r="E9145">
        <f>IF(OR(B9145="vi",B9145="ii",B9145="pod"),(((D9145/100)*(C9145*VLOOKUP(B9145,'Poids des runes'!A:B,2,FALSE)))+1),(((D9145/100)*(C9145*VLOOKUP(B9145,'Poids des runes'!A:B,2,FALSE)))+1)/VLOOKUP(B9145,'Poids des runes'!A:B,2,FALSE))</f>
        <v>2.0196078431372548</v>
      </c>
      <c r="F9145">
        <f t="shared" si="142"/>
        <v>2.0196078431372548</v>
      </c>
    </row>
    <row r="9146" spans="1:6" x14ac:dyDescent="0.3">
      <c r="A9146" t="s">
        <v>1478</v>
      </c>
      <c r="B9146" t="s">
        <v>2143</v>
      </c>
      <c r="C9146">
        <v>10.5</v>
      </c>
      <c r="D9146">
        <v>200</v>
      </c>
      <c r="E9146">
        <f>IF(OR(B9146="vi",B9146="ii",B9146="pod"),(((D9146/100)*(C9146*VLOOKUP(B9146,'Poids des runes'!A:B,2,FALSE)))+1),(((D9146/100)*(C9146*VLOOKUP(B9146,'Poids des runes'!A:B,2,FALSE)))+1)/VLOOKUP(B9146,'Poids des runes'!A:B,2,FALSE))</f>
        <v>21.2</v>
      </c>
      <c r="F9146">
        <f t="shared" si="142"/>
        <v>21.2</v>
      </c>
    </row>
    <row r="9147" spans="1:6" x14ac:dyDescent="0.3">
      <c r="A9147" t="s">
        <v>1478</v>
      </c>
      <c r="B9147" t="s">
        <v>2133</v>
      </c>
      <c r="C9147">
        <v>10.5</v>
      </c>
      <c r="D9147">
        <v>200</v>
      </c>
      <c r="E9147">
        <f>IF(OR(B9147="vi",B9147="ii",B9147="pod"),(((D9147/100)*(C9147*VLOOKUP(B9147,'Poids des runes'!A:B,2,FALSE)))+1),(((D9147/100)*(C9147*VLOOKUP(B9147,'Poids des runes'!A:B,2,FALSE)))+1)/VLOOKUP(B9147,'Poids des runes'!A:B,2,FALSE))</f>
        <v>21.2</v>
      </c>
      <c r="F9147">
        <f t="shared" si="142"/>
        <v>21.2</v>
      </c>
    </row>
    <row r="9148" spans="1:6" x14ac:dyDescent="0.3">
      <c r="A9148" t="s">
        <v>1478</v>
      </c>
      <c r="B9148" t="s">
        <v>2161</v>
      </c>
      <c r="C9148">
        <v>10.5</v>
      </c>
      <c r="D9148">
        <v>200</v>
      </c>
      <c r="E9148">
        <f>IF(OR(B9148="vi",B9148="ii",B9148="pod"),(((D9148/100)*(C9148*VLOOKUP(B9148,'Poids des runes'!A:B,2,FALSE)))+1),(((D9148/100)*(C9148*VLOOKUP(B9148,'Poids des runes'!A:B,2,FALSE)))+1)/VLOOKUP(B9148,'Poids des runes'!A:B,2,FALSE))</f>
        <v>21.333333333333332</v>
      </c>
      <c r="F9148">
        <f t="shared" si="142"/>
        <v>21.333333333333332</v>
      </c>
    </row>
    <row r="9149" spans="1:6" x14ac:dyDescent="0.3">
      <c r="A9149" t="s">
        <v>1478</v>
      </c>
      <c r="B9149" t="s">
        <v>2162</v>
      </c>
      <c r="C9149">
        <v>8.5</v>
      </c>
      <c r="D9149">
        <v>200</v>
      </c>
      <c r="E9149">
        <f>IF(OR(B9149="vi",B9149="ii",B9149="pod"),(((D9149/100)*(C9149*VLOOKUP(B9149,'Poids des runes'!A:B,2,FALSE)))+1),(((D9149/100)*(C9149*VLOOKUP(B9149,'Poids des runes'!A:B,2,FALSE)))+1)/VLOOKUP(B9149,'Poids des runes'!A:B,2,FALSE))</f>
        <v>17.142857142857142</v>
      </c>
      <c r="F9149">
        <f t="shared" si="142"/>
        <v>17.142857142857142</v>
      </c>
    </row>
    <row r="9150" spans="1:6" x14ac:dyDescent="0.3">
      <c r="A9150" t="s">
        <v>1478</v>
      </c>
      <c r="B9150" t="s">
        <v>2147</v>
      </c>
      <c r="C9150">
        <v>6</v>
      </c>
      <c r="D9150">
        <v>200</v>
      </c>
      <c r="E9150">
        <f>IF(OR(B9150="vi",B9150="ii",B9150="pod"),(((D9150/100)*(C9150*VLOOKUP(B9150,'Poids des runes'!A:B,2,FALSE)))+1),(((D9150/100)*(C9150*VLOOKUP(B9150,'Poids des runes'!A:B,2,FALSE)))+1)/VLOOKUP(B9150,'Poids des runes'!A:B,2,FALSE))</f>
        <v>12.166666666666666</v>
      </c>
      <c r="F9150">
        <f t="shared" si="142"/>
        <v>12.166666666666666</v>
      </c>
    </row>
    <row r="9151" spans="1:6" x14ac:dyDescent="0.3">
      <c r="A9151" t="s">
        <v>1478</v>
      </c>
      <c r="B9151" t="s">
        <v>2157</v>
      </c>
      <c r="C9151">
        <v>6</v>
      </c>
      <c r="D9151">
        <v>200</v>
      </c>
      <c r="E9151">
        <f>IF(OR(B9151="vi",B9151="ii",B9151="pod"),(((D9151/100)*(C9151*VLOOKUP(B9151,'Poids des runes'!A:B,2,FALSE)))+1),(((D9151/100)*(C9151*VLOOKUP(B9151,'Poids des runes'!A:B,2,FALSE)))+1)/VLOOKUP(B9151,'Poids des runes'!A:B,2,FALSE))</f>
        <v>12.166666666666666</v>
      </c>
      <c r="F9151">
        <f t="shared" si="142"/>
        <v>12.166666666666666</v>
      </c>
    </row>
    <row r="9152" spans="1:6" x14ac:dyDescent="0.3">
      <c r="A9152" t="s">
        <v>1479</v>
      </c>
      <c r="B9152" t="s">
        <v>2128</v>
      </c>
      <c r="C9152">
        <v>375.5</v>
      </c>
      <c r="D9152">
        <v>200</v>
      </c>
      <c r="E9152">
        <f>IF(OR(B9152="vi",B9152="ii",B9152="pod"),(((D9152/100)*(C9152*VLOOKUP(B9152,'Poids des runes'!A:B,2,FALSE)))+1),(((D9152/100)*(C9152*VLOOKUP(B9152,'Poids des runes'!A:B,2,FALSE)))+1)/VLOOKUP(B9152,'Poids des runes'!A:B,2,FALSE))</f>
        <v>151.20000000000002</v>
      </c>
      <c r="F9152">
        <f t="shared" si="142"/>
        <v>151.20000000000002</v>
      </c>
    </row>
    <row r="9153" spans="1:6" x14ac:dyDescent="0.3">
      <c r="A9153" t="s">
        <v>1479</v>
      </c>
      <c r="B9153" t="s">
        <v>2130</v>
      </c>
      <c r="C9153">
        <v>50.5</v>
      </c>
      <c r="D9153">
        <v>200</v>
      </c>
      <c r="E9153">
        <f>IF(OR(B9153="vi",B9153="ii",B9153="pod"),(((D9153/100)*(C9153*VLOOKUP(B9153,'Poids des runes'!A:B,2,FALSE)))+1),(((D9153/100)*(C9153*VLOOKUP(B9153,'Poids des runes'!A:B,2,FALSE)))+1)/VLOOKUP(B9153,'Poids des runes'!A:B,2,FALSE))</f>
        <v>102</v>
      </c>
      <c r="F9153">
        <f t="shared" si="142"/>
        <v>102</v>
      </c>
    </row>
    <row r="9154" spans="1:6" x14ac:dyDescent="0.3">
      <c r="A9154" t="s">
        <v>1479</v>
      </c>
      <c r="B9154" t="s">
        <v>2126</v>
      </c>
      <c r="C9154">
        <v>50.5</v>
      </c>
      <c r="D9154">
        <v>200</v>
      </c>
      <c r="E9154">
        <f>IF(OR(B9154="vi",B9154="ii",B9154="pod"),(((D9154/100)*(C9154*VLOOKUP(B9154,'Poids des runes'!A:B,2,FALSE)))+1),(((D9154/100)*(C9154*VLOOKUP(B9154,'Poids des runes'!A:B,2,FALSE)))+1)/VLOOKUP(B9154,'Poids des runes'!A:B,2,FALSE))</f>
        <v>102</v>
      </c>
      <c r="F9154">
        <f t="shared" si="142"/>
        <v>102</v>
      </c>
    </row>
    <row r="9155" spans="1:6" x14ac:dyDescent="0.3">
      <c r="A9155" t="s">
        <v>1479</v>
      </c>
      <c r="B9155" t="s">
        <v>2129</v>
      </c>
      <c r="C9155">
        <v>30.5</v>
      </c>
      <c r="D9155">
        <v>200</v>
      </c>
      <c r="E9155">
        <f>IF(OR(B9155="vi",B9155="ii",B9155="pod"),(((D9155/100)*(C9155*VLOOKUP(B9155,'Poids des runes'!A:B,2,FALSE)))+1),(((D9155/100)*(C9155*VLOOKUP(B9155,'Poids des runes'!A:B,2,FALSE)))+1)/VLOOKUP(B9155,'Poids des runes'!A:B,2,FALSE))</f>
        <v>62</v>
      </c>
      <c r="F9155">
        <f t="shared" ref="F9155:F9218" si="143">E9155</f>
        <v>62</v>
      </c>
    </row>
    <row r="9156" spans="1:6" x14ac:dyDescent="0.3">
      <c r="A9156" t="s">
        <v>1479</v>
      </c>
      <c r="B9156" t="s">
        <v>2152</v>
      </c>
      <c r="C9156">
        <v>1</v>
      </c>
      <c r="D9156">
        <v>200</v>
      </c>
      <c r="E9156">
        <f>IF(OR(B9156="vi",B9156="ii",B9156="pod"),(((D9156/100)*(C9156*VLOOKUP(B9156,'Poids des runes'!A:B,2,FALSE)))+1),(((D9156/100)*(C9156*VLOOKUP(B9156,'Poids des runes'!A:B,2,FALSE)))+1)/VLOOKUP(B9156,'Poids des runes'!A:B,2,FALSE))</f>
        <v>2.0099999999999998</v>
      </c>
      <c r="F9156">
        <f t="shared" si="143"/>
        <v>2.0099999999999998</v>
      </c>
    </row>
    <row r="9157" spans="1:6" x14ac:dyDescent="0.3">
      <c r="A9157" t="s">
        <v>1479</v>
      </c>
      <c r="B9157" t="s">
        <v>2154</v>
      </c>
      <c r="C9157">
        <v>1</v>
      </c>
      <c r="D9157">
        <v>200</v>
      </c>
      <c r="E9157">
        <f>IF(OR(B9157="vi",B9157="ii",B9157="pod"),(((D9157/100)*(C9157*VLOOKUP(B9157,'Poids des runes'!A:B,2,FALSE)))+1),(((D9157/100)*(C9157*VLOOKUP(B9157,'Poids des runes'!A:B,2,FALSE)))+1)/VLOOKUP(B9157,'Poids des runes'!A:B,2,FALSE))</f>
        <v>2.0111111111111111</v>
      </c>
      <c r="F9157">
        <f t="shared" si="143"/>
        <v>2.0111111111111111</v>
      </c>
    </row>
    <row r="9158" spans="1:6" x14ac:dyDescent="0.3">
      <c r="A9158" t="s">
        <v>1479</v>
      </c>
      <c r="B9158" t="s">
        <v>2143</v>
      </c>
      <c r="C9158">
        <v>10.5</v>
      </c>
      <c r="D9158">
        <v>200</v>
      </c>
      <c r="E9158">
        <f>IF(OR(B9158="vi",B9158="ii",B9158="pod"),(((D9158/100)*(C9158*VLOOKUP(B9158,'Poids des runes'!A:B,2,FALSE)))+1),(((D9158/100)*(C9158*VLOOKUP(B9158,'Poids des runes'!A:B,2,FALSE)))+1)/VLOOKUP(B9158,'Poids des runes'!A:B,2,FALSE))</f>
        <v>21.2</v>
      </c>
      <c r="F9158">
        <f t="shared" si="143"/>
        <v>21.2</v>
      </c>
    </row>
    <row r="9159" spans="1:6" x14ac:dyDescent="0.3">
      <c r="A9159" t="s">
        <v>1479</v>
      </c>
      <c r="B9159" t="s">
        <v>2140</v>
      </c>
      <c r="C9159">
        <v>10.5</v>
      </c>
      <c r="D9159">
        <v>200</v>
      </c>
      <c r="E9159">
        <f>IF(OR(B9159="vi",B9159="ii",B9159="pod"),(((D9159/100)*(C9159*VLOOKUP(B9159,'Poids des runes'!A:B,2,FALSE)))+1),(((D9159/100)*(C9159*VLOOKUP(B9159,'Poids des runes'!A:B,2,FALSE)))+1)/VLOOKUP(B9159,'Poids des runes'!A:B,2,FALSE))</f>
        <v>21.2</v>
      </c>
      <c r="F9159">
        <f t="shared" si="143"/>
        <v>21.2</v>
      </c>
    </row>
    <row r="9160" spans="1:6" x14ac:dyDescent="0.3">
      <c r="A9160" t="s">
        <v>1479</v>
      </c>
      <c r="B9160" t="s">
        <v>2141</v>
      </c>
      <c r="C9160">
        <v>4</v>
      </c>
      <c r="D9160">
        <v>200</v>
      </c>
      <c r="E9160">
        <f>IF(OR(B9160="vi",B9160="ii",B9160="pod"),(((D9160/100)*(C9160*VLOOKUP(B9160,'Poids des runes'!A:B,2,FALSE)))+1),(((D9160/100)*(C9160*VLOOKUP(B9160,'Poids des runes'!A:B,2,FALSE)))+1)/VLOOKUP(B9160,'Poids des runes'!A:B,2,FALSE))</f>
        <v>8.25</v>
      </c>
      <c r="F9160">
        <f t="shared" si="143"/>
        <v>8.25</v>
      </c>
    </row>
    <row r="9161" spans="1:6" x14ac:dyDescent="0.3">
      <c r="A9161" t="s">
        <v>1479</v>
      </c>
      <c r="B9161" t="s">
        <v>2164</v>
      </c>
      <c r="C9161">
        <v>13</v>
      </c>
      <c r="D9161">
        <v>200</v>
      </c>
      <c r="E9161">
        <f>IF(OR(B9161="vi",B9161="ii",B9161="pod"),(((D9161/100)*(C9161*VLOOKUP(B9161,'Poids des runes'!A:B,2,FALSE)))+1),(((D9161/100)*(C9161*VLOOKUP(B9161,'Poids des runes'!A:B,2,FALSE)))+1)/VLOOKUP(B9161,'Poids des runes'!A:B,2,FALSE))</f>
        <v>26.5</v>
      </c>
      <c r="F9161">
        <f t="shared" si="143"/>
        <v>26.5</v>
      </c>
    </row>
    <row r="9162" spans="1:6" x14ac:dyDescent="0.3">
      <c r="A9162" t="s">
        <v>1479</v>
      </c>
      <c r="B9162" t="s">
        <v>2137</v>
      </c>
      <c r="C9162">
        <v>13</v>
      </c>
      <c r="D9162">
        <v>200</v>
      </c>
      <c r="E9162">
        <f>IF(OR(B9162="vi",B9162="ii",B9162="pod"),(((D9162/100)*(C9162*VLOOKUP(B9162,'Poids des runes'!A:B,2,FALSE)))+1),(((D9162/100)*(C9162*VLOOKUP(B9162,'Poids des runes'!A:B,2,FALSE)))+1)/VLOOKUP(B9162,'Poids des runes'!A:B,2,FALSE))</f>
        <v>26.5</v>
      </c>
      <c r="F9162">
        <f t="shared" si="143"/>
        <v>26.5</v>
      </c>
    </row>
    <row r="9163" spans="1:6" x14ac:dyDescent="0.3">
      <c r="A9163" t="s">
        <v>1479</v>
      </c>
      <c r="B9163" t="s">
        <v>2145</v>
      </c>
      <c r="C9163">
        <v>13</v>
      </c>
      <c r="D9163">
        <v>200</v>
      </c>
      <c r="E9163">
        <f>IF(OR(B9163="vi",B9163="ii",B9163="pod"),(((D9163/100)*(C9163*VLOOKUP(B9163,'Poids des runes'!A:B,2,FALSE)))+1),(((D9163/100)*(C9163*VLOOKUP(B9163,'Poids des runes'!A:B,2,FALSE)))+1)/VLOOKUP(B9163,'Poids des runes'!A:B,2,FALSE))</f>
        <v>26.5</v>
      </c>
      <c r="F9163">
        <f t="shared" si="143"/>
        <v>26.5</v>
      </c>
    </row>
    <row r="9164" spans="1:6" x14ac:dyDescent="0.3">
      <c r="A9164" t="s">
        <v>1480</v>
      </c>
      <c r="B9164" t="s">
        <v>2128</v>
      </c>
      <c r="C9164">
        <v>275.5</v>
      </c>
      <c r="D9164">
        <v>200</v>
      </c>
      <c r="E9164">
        <f>IF(OR(B9164="vi",B9164="ii",B9164="pod"),(((D9164/100)*(C9164*VLOOKUP(B9164,'Poids des runes'!A:B,2,FALSE)))+1),(((D9164/100)*(C9164*VLOOKUP(B9164,'Poids des runes'!A:B,2,FALSE)))+1)/VLOOKUP(B9164,'Poids des runes'!A:B,2,FALSE))</f>
        <v>111.2</v>
      </c>
      <c r="F9164">
        <f t="shared" si="143"/>
        <v>111.2</v>
      </c>
    </row>
    <row r="9165" spans="1:6" x14ac:dyDescent="0.3">
      <c r="A9165" t="s">
        <v>1480</v>
      </c>
      <c r="B9165" t="s">
        <v>2131</v>
      </c>
      <c r="C9165">
        <v>40.5</v>
      </c>
      <c r="D9165">
        <v>200</v>
      </c>
      <c r="E9165">
        <f>IF(OR(B9165="vi",B9165="ii",B9165="pod"),(((D9165/100)*(C9165*VLOOKUP(B9165,'Poids des runes'!A:B,2,FALSE)))+1),(((D9165/100)*(C9165*VLOOKUP(B9165,'Poids des runes'!A:B,2,FALSE)))+1)/VLOOKUP(B9165,'Poids des runes'!A:B,2,FALSE))</f>
        <v>82</v>
      </c>
      <c r="F9165">
        <f t="shared" si="143"/>
        <v>82</v>
      </c>
    </row>
    <row r="9166" spans="1:6" x14ac:dyDescent="0.3">
      <c r="A9166" t="s">
        <v>1480</v>
      </c>
      <c r="B9166" t="s">
        <v>2127</v>
      </c>
      <c r="C9166">
        <v>40.5</v>
      </c>
      <c r="D9166">
        <v>200</v>
      </c>
      <c r="E9166">
        <f>IF(OR(B9166="vi",B9166="ii",B9166="pod"),(((D9166/100)*(C9166*VLOOKUP(B9166,'Poids des runes'!A:B,2,FALSE)))+1),(((D9166/100)*(C9166*VLOOKUP(B9166,'Poids des runes'!A:B,2,FALSE)))+1)/VLOOKUP(B9166,'Poids des runes'!A:B,2,FALSE))</f>
        <v>82</v>
      </c>
      <c r="F9166">
        <f t="shared" si="143"/>
        <v>82</v>
      </c>
    </row>
    <row r="9167" spans="1:6" x14ac:dyDescent="0.3">
      <c r="A9167" t="s">
        <v>1480</v>
      </c>
      <c r="B9167" t="s">
        <v>2129</v>
      </c>
      <c r="C9167">
        <v>25.5</v>
      </c>
      <c r="D9167">
        <v>200</v>
      </c>
      <c r="E9167">
        <f>IF(OR(B9167="vi",B9167="ii",B9167="pod"),(((D9167/100)*(C9167*VLOOKUP(B9167,'Poids des runes'!A:B,2,FALSE)))+1),(((D9167/100)*(C9167*VLOOKUP(B9167,'Poids des runes'!A:B,2,FALSE)))+1)/VLOOKUP(B9167,'Poids des runes'!A:B,2,FALSE))</f>
        <v>52</v>
      </c>
      <c r="F9167">
        <f t="shared" si="143"/>
        <v>52</v>
      </c>
    </row>
    <row r="9168" spans="1:6" x14ac:dyDescent="0.3">
      <c r="A9168" t="s">
        <v>1480</v>
      </c>
      <c r="B9168" t="s">
        <v>2154</v>
      </c>
      <c r="C9168">
        <v>1</v>
      </c>
      <c r="D9168">
        <v>200</v>
      </c>
      <c r="E9168">
        <f>IF(OR(B9168="vi",B9168="ii",B9168="pod"),(((D9168/100)*(C9168*VLOOKUP(B9168,'Poids des runes'!A:B,2,FALSE)))+1),(((D9168/100)*(C9168*VLOOKUP(B9168,'Poids des runes'!A:B,2,FALSE)))+1)/VLOOKUP(B9168,'Poids des runes'!A:B,2,FALSE))</f>
        <v>2.0111111111111111</v>
      </c>
      <c r="F9168">
        <f t="shared" si="143"/>
        <v>2.0111111111111111</v>
      </c>
    </row>
    <row r="9169" spans="1:6" x14ac:dyDescent="0.3">
      <c r="A9169" t="s">
        <v>1480</v>
      </c>
      <c r="B9169" t="s">
        <v>2150</v>
      </c>
      <c r="C9169">
        <v>1</v>
      </c>
      <c r="D9169">
        <v>200</v>
      </c>
      <c r="E9169">
        <f>IF(OR(B9169="vi",B9169="ii",B9169="pod"),(((D9169/100)*(C9169*VLOOKUP(B9169,'Poids des runes'!A:B,2,FALSE)))+1),(((D9169/100)*(C9169*VLOOKUP(B9169,'Poids des runes'!A:B,2,FALSE)))+1)/VLOOKUP(B9169,'Poids des runes'!A:B,2,FALSE))</f>
        <v>2.0333333333333332</v>
      </c>
      <c r="F9169">
        <f t="shared" si="143"/>
        <v>2.0333333333333332</v>
      </c>
    </row>
    <row r="9170" spans="1:6" x14ac:dyDescent="0.3">
      <c r="A9170" t="s">
        <v>1480</v>
      </c>
      <c r="B9170" t="s">
        <v>2133</v>
      </c>
      <c r="C9170">
        <v>10</v>
      </c>
      <c r="D9170">
        <v>200</v>
      </c>
      <c r="E9170">
        <f>IF(OR(B9170="vi",B9170="ii",B9170="pod"),(((D9170/100)*(C9170*VLOOKUP(B9170,'Poids des runes'!A:B,2,FALSE)))+1),(((D9170/100)*(C9170*VLOOKUP(B9170,'Poids des runes'!A:B,2,FALSE)))+1)/VLOOKUP(B9170,'Poids des runes'!A:B,2,FALSE))</f>
        <v>20.2</v>
      </c>
      <c r="F9170">
        <f t="shared" si="143"/>
        <v>20.2</v>
      </c>
    </row>
    <row r="9171" spans="1:6" x14ac:dyDescent="0.3">
      <c r="A9171" t="s">
        <v>1480</v>
      </c>
      <c r="B9171" t="s">
        <v>2153</v>
      </c>
      <c r="C9171">
        <v>10</v>
      </c>
      <c r="D9171">
        <v>200</v>
      </c>
      <c r="E9171">
        <f>IF(OR(B9171="vi",B9171="ii",B9171="pod"),(((D9171/100)*(C9171*VLOOKUP(B9171,'Poids des runes'!A:B,2,FALSE)))+1),(((D9171/100)*(C9171*VLOOKUP(B9171,'Poids des runes'!A:B,2,FALSE)))+1)/VLOOKUP(B9171,'Poids des runes'!A:B,2,FALSE))</f>
        <v>20.2</v>
      </c>
      <c r="F9171">
        <f t="shared" si="143"/>
        <v>20.2</v>
      </c>
    </row>
    <row r="9172" spans="1:6" x14ac:dyDescent="0.3">
      <c r="A9172" t="s">
        <v>1480</v>
      </c>
      <c r="B9172" t="s">
        <v>2161</v>
      </c>
      <c r="C9172">
        <v>8</v>
      </c>
      <c r="D9172">
        <v>200</v>
      </c>
      <c r="E9172">
        <f>IF(OR(B9172="vi",B9172="ii",B9172="pod"),(((D9172/100)*(C9172*VLOOKUP(B9172,'Poids des runes'!A:B,2,FALSE)))+1),(((D9172/100)*(C9172*VLOOKUP(B9172,'Poids des runes'!A:B,2,FALSE)))+1)/VLOOKUP(B9172,'Poids des runes'!A:B,2,FALSE))</f>
        <v>16.333333333333332</v>
      </c>
      <c r="F9172">
        <f t="shared" si="143"/>
        <v>16.333333333333332</v>
      </c>
    </row>
    <row r="9173" spans="1:6" x14ac:dyDescent="0.3">
      <c r="A9173" t="s">
        <v>1480</v>
      </c>
      <c r="B9173" t="s">
        <v>2141</v>
      </c>
      <c r="C9173">
        <v>4</v>
      </c>
      <c r="D9173">
        <v>200</v>
      </c>
      <c r="E9173">
        <f>IF(OR(B9173="vi",B9173="ii",B9173="pod"),(((D9173/100)*(C9173*VLOOKUP(B9173,'Poids des runes'!A:B,2,FALSE)))+1),(((D9173/100)*(C9173*VLOOKUP(B9173,'Poids des runes'!A:B,2,FALSE)))+1)/VLOOKUP(B9173,'Poids des runes'!A:B,2,FALSE))</f>
        <v>8.25</v>
      </c>
      <c r="F9173">
        <f t="shared" si="143"/>
        <v>8.25</v>
      </c>
    </row>
    <row r="9174" spans="1:6" x14ac:dyDescent="0.3">
      <c r="A9174" t="s">
        <v>1480</v>
      </c>
      <c r="B9174" t="s">
        <v>2163</v>
      </c>
      <c r="C9174">
        <v>8.5</v>
      </c>
      <c r="D9174">
        <v>200</v>
      </c>
      <c r="E9174">
        <f>IF(OR(B9174="vi",B9174="ii",B9174="pod"),(((D9174/100)*(C9174*VLOOKUP(B9174,'Poids des runes'!A:B,2,FALSE)))+1),(((D9174/100)*(C9174*VLOOKUP(B9174,'Poids des runes'!A:B,2,FALSE)))+1)/VLOOKUP(B9174,'Poids des runes'!A:B,2,FALSE))</f>
        <v>17.5</v>
      </c>
      <c r="F9174">
        <f t="shared" si="143"/>
        <v>17.5</v>
      </c>
    </row>
    <row r="9175" spans="1:6" x14ac:dyDescent="0.3">
      <c r="A9175" t="s">
        <v>1480</v>
      </c>
      <c r="B9175" t="s">
        <v>2148</v>
      </c>
      <c r="C9175">
        <v>6</v>
      </c>
      <c r="D9175">
        <v>200</v>
      </c>
      <c r="E9175">
        <f>IF(OR(B9175="vi",B9175="ii",B9175="pod"),(((D9175/100)*(C9175*VLOOKUP(B9175,'Poids des runes'!A:B,2,FALSE)))+1),(((D9175/100)*(C9175*VLOOKUP(B9175,'Poids des runes'!A:B,2,FALSE)))+1)/VLOOKUP(B9175,'Poids des runes'!A:B,2,FALSE))</f>
        <v>12.166666666666666</v>
      </c>
      <c r="F9175">
        <f t="shared" si="143"/>
        <v>12.166666666666666</v>
      </c>
    </row>
    <row r="9176" spans="1:6" x14ac:dyDescent="0.3">
      <c r="A9176" t="s">
        <v>1480</v>
      </c>
      <c r="B9176" t="s">
        <v>2135</v>
      </c>
      <c r="C9176">
        <v>6</v>
      </c>
      <c r="D9176">
        <v>200</v>
      </c>
      <c r="E9176">
        <f>IF(OR(B9176="vi",B9176="ii",B9176="pod"),(((D9176/100)*(C9176*VLOOKUP(B9176,'Poids des runes'!A:B,2,FALSE)))+1),(((D9176/100)*(C9176*VLOOKUP(B9176,'Poids des runes'!A:B,2,FALSE)))+1)/VLOOKUP(B9176,'Poids des runes'!A:B,2,FALSE))</f>
        <v>12.166666666666666</v>
      </c>
      <c r="F9176">
        <f t="shared" si="143"/>
        <v>12.166666666666666</v>
      </c>
    </row>
    <row r="9177" spans="1:6" x14ac:dyDescent="0.3">
      <c r="A9177" t="s">
        <v>1481</v>
      </c>
      <c r="B9177" t="s">
        <v>2128</v>
      </c>
      <c r="C9177">
        <v>375.5</v>
      </c>
      <c r="D9177">
        <v>200</v>
      </c>
      <c r="E9177">
        <f>IF(OR(B9177="vi",B9177="ii",B9177="pod"),(((D9177/100)*(C9177*VLOOKUP(B9177,'Poids des runes'!A:B,2,FALSE)))+1),(((D9177/100)*(C9177*VLOOKUP(B9177,'Poids des runes'!A:B,2,FALSE)))+1)/VLOOKUP(B9177,'Poids des runes'!A:B,2,FALSE))</f>
        <v>151.20000000000002</v>
      </c>
      <c r="F9177">
        <f t="shared" si="143"/>
        <v>151.20000000000002</v>
      </c>
    </row>
    <row r="9178" spans="1:6" x14ac:dyDescent="0.3">
      <c r="A9178" t="s">
        <v>1481</v>
      </c>
      <c r="B9178" t="s">
        <v>2126</v>
      </c>
      <c r="C9178">
        <v>70.5</v>
      </c>
      <c r="D9178">
        <v>200</v>
      </c>
      <c r="E9178">
        <f>IF(OR(B9178="vi",B9178="ii",B9178="pod"),(((D9178/100)*(C9178*VLOOKUP(B9178,'Poids des runes'!A:B,2,FALSE)))+1),(((D9178/100)*(C9178*VLOOKUP(B9178,'Poids des runes'!A:B,2,FALSE)))+1)/VLOOKUP(B9178,'Poids des runes'!A:B,2,FALSE))</f>
        <v>142</v>
      </c>
      <c r="F9178">
        <f t="shared" si="143"/>
        <v>142</v>
      </c>
    </row>
    <row r="9179" spans="1:6" x14ac:dyDescent="0.3">
      <c r="A9179" t="s">
        <v>1481</v>
      </c>
      <c r="B9179" t="s">
        <v>2131</v>
      </c>
      <c r="C9179">
        <v>70.5</v>
      </c>
      <c r="D9179">
        <v>200</v>
      </c>
      <c r="E9179">
        <f>IF(OR(B9179="vi",B9179="ii",B9179="pod"),(((D9179/100)*(C9179*VLOOKUP(B9179,'Poids des runes'!A:B,2,FALSE)))+1),(((D9179/100)*(C9179*VLOOKUP(B9179,'Poids des runes'!A:B,2,FALSE)))+1)/VLOOKUP(B9179,'Poids des runes'!A:B,2,FALSE))</f>
        <v>142</v>
      </c>
      <c r="F9179">
        <f t="shared" si="143"/>
        <v>142</v>
      </c>
    </row>
    <row r="9180" spans="1:6" x14ac:dyDescent="0.3">
      <c r="A9180" t="s">
        <v>1481</v>
      </c>
      <c r="B9180" t="s">
        <v>2129</v>
      </c>
      <c r="C9180">
        <v>35.5</v>
      </c>
      <c r="D9180">
        <v>200</v>
      </c>
      <c r="E9180">
        <f>IF(OR(B9180="vi",B9180="ii",B9180="pod"),(((D9180/100)*(C9180*VLOOKUP(B9180,'Poids des runes'!A:B,2,FALSE)))+1),(((D9180/100)*(C9180*VLOOKUP(B9180,'Poids des runes'!A:B,2,FALSE)))+1)/VLOOKUP(B9180,'Poids des runes'!A:B,2,FALSE))</f>
        <v>72</v>
      </c>
      <c r="F9180">
        <f t="shared" si="143"/>
        <v>72</v>
      </c>
    </row>
    <row r="9181" spans="1:6" x14ac:dyDescent="0.3">
      <c r="A9181" t="s">
        <v>1481</v>
      </c>
      <c r="B9181" t="s">
        <v>2154</v>
      </c>
      <c r="C9181">
        <v>1</v>
      </c>
      <c r="D9181">
        <v>200</v>
      </c>
      <c r="E9181">
        <f>IF(OR(B9181="vi",B9181="ii",B9181="pod"),(((D9181/100)*(C9181*VLOOKUP(B9181,'Poids des runes'!A:B,2,FALSE)))+1),(((D9181/100)*(C9181*VLOOKUP(B9181,'Poids des runes'!A:B,2,FALSE)))+1)/VLOOKUP(B9181,'Poids des runes'!A:B,2,FALSE))</f>
        <v>2.0111111111111111</v>
      </c>
      <c r="F9181">
        <f t="shared" si="143"/>
        <v>2.0111111111111111</v>
      </c>
    </row>
    <row r="9182" spans="1:6" x14ac:dyDescent="0.3">
      <c r="A9182" t="s">
        <v>1481</v>
      </c>
      <c r="B9182" t="s">
        <v>2140</v>
      </c>
      <c r="C9182">
        <v>13</v>
      </c>
      <c r="D9182">
        <v>200</v>
      </c>
      <c r="E9182">
        <f>IF(OR(B9182="vi",B9182="ii",B9182="pod"),(((D9182/100)*(C9182*VLOOKUP(B9182,'Poids des runes'!A:B,2,FALSE)))+1),(((D9182/100)*(C9182*VLOOKUP(B9182,'Poids des runes'!A:B,2,FALSE)))+1)/VLOOKUP(B9182,'Poids des runes'!A:B,2,FALSE))</f>
        <v>26.2</v>
      </c>
      <c r="F9182">
        <f t="shared" si="143"/>
        <v>26.2</v>
      </c>
    </row>
    <row r="9183" spans="1:6" x14ac:dyDescent="0.3">
      <c r="A9183" t="s">
        <v>1481</v>
      </c>
      <c r="B9183" t="s">
        <v>2133</v>
      </c>
      <c r="C9183">
        <v>13</v>
      </c>
      <c r="D9183">
        <v>200</v>
      </c>
      <c r="E9183">
        <f>IF(OR(B9183="vi",B9183="ii",B9183="pod"),(((D9183/100)*(C9183*VLOOKUP(B9183,'Poids des runes'!A:B,2,FALSE)))+1),(((D9183/100)*(C9183*VLOOKUP(B9183,'Poids des runes'!A:B,2,FALSE)))+1)/VLOOKUP(B9183,'Poids des runes'!A:B,2,FALSE))</f>
        <v>26.2</v>
      </c>
      <c r="F9183">
        <f t="shared" si="143"/>
        <v>26.2</v>
      </c>
    </row>
    <row r="9184" spans="1:6" x14ac:dyDescent="0.3">
      <c r="A9184" t="s">
        <v>1481</v>
      </c>
      <c r="B9184" t="s">
        <v>2149</v>
      </c>
      <c r="C9184">
        <v>18</v>
      </c>
      <c r="D9184">
        <v>200</v>
      </c>
      <c r="E9184">
        <f>IF(OR(B9184="vi",B9184="ii",B9184="pod"),(((D9184/100)*(C9184*VLOOKUP(B9184,'Poids des runes'!A:B,2,FALSE)))+1),(((D9184/100)*(C9184*VLOOKUP(B9184,'Poids des runes'!A:B,2,FALSE)))+1)/VLOOKUP(B9184,'Poids des runes'!A:B,2,FALSE))</f>
        <v>36.1</v>
      </c>
      <c r="F9184">
        <f t="shared" si="143"/>
        <v>36.1</v>
      </c>
    </row>
    <row r="9185" spans="1:6" x14ac:dyDescent="0.3">
      <c r="A9185" t="s">
        <v>1481</v>
      </c>
      <c r="B9185" t="s">
        <v>2156</v>
      </c>
      <c r="C9185">
        <v>8.5</v>
      </c>
      <c r="D9185">
        <v>200</v>
      </c>
      <c r="E9185">
        <f>IF(OR(B9185="vi",B9185="ii",B9185="pod"),(((D9185/100)*(C9185*VLOOKUP(B9185,'Poids des runes'!A:B,2,FALSE)))+1),(((D9185/100)*(C9185*VLOOKUP(B9185,'Poids des runes'!A:B,2,FALSE)))+1)/VLOOKUP(B9185,'Poids des runes'!A:B,2,FALSE))</f>
        <v>17.166666666666668</v>
      </c>
      <c r="F9185">
        <f t="shared" si="143"/>
        <v>17.166666666666668</v>
      </c>
    </row>
    <row r="9186" spans="1:6" x14ac:dyDescent="0.3">
      <c r="A9186" t="s">
        <v>1481</v>
      </c>
      <c r="B9186" t="s">
        <v>2147</v>
      </c>
      <c r="C9186">
        <v>8.5</v>
      </c>
      <c r="D9186">
        <v>200</v>
      </c>
      <c r="E9186">
        <f>IF(OR(B9186="vi",B9186="ii",B9186="pod"),(((D9186/100)*(C9186*VLOOKUP(B9186,'Poids des runes'!A:B,2,FALSE)))+1),(((D9186/100)*(C9186*VLOOKUP(B9186,'Poids des runes'!A:B,2,FALSE)))+1)/VLOOKUP(B9186,'Poids des runes'!A:B,2,FALSE))</f>
        <v>17.166666666666668</v>
      </c>
      <c r="F9186">
        <f t="shared" si="143"/>
        <v>17.166666666666668</v>
      </c>
    </row>
    <row r="9187" spans="1:6" x14ac:dyDescent="0.3">
      <c r="A9187" t="s">
        <v>1482</v>
      </c>
      <c r="B9187" t="s">
        <v>2128</v>
      </c>
      <c r="C9187">
        <v>325.5</v>
      </c>
      <c r="D9187">
        <v>200</v>
      </c>
      <c r="E9187">
        <f>IF(OR(B9187="vi",B9187="ii",B9187="pod"),(((D9187/100)*(C9187*VLOOKUP(B9187,'Poids des runes'!A:B,2,FALSE)))+1),(((D9187/100)*(C9187*VLOOKUP(B9187,'Poids des runes'!A:B,2,FALSE)))+1)/VLOOKUP(B9187,'Poids des runes'!A:B,2,FALSE))</f>
        <v>131.20000000000002</v>
      </c>
      <c r="F9187">
        <f t="shared" si="143"/>
        <v>131.20000000000002</v>
      </c>
    </row>
    <row r="9188" spans="1:6" x14ac:dyDescent="0.3">
      <c r="A9188" t="s">
        <v>1482</v>
      </c>
      <c r="B9188" t="s">
        <v>2126</v>
      </c>
      <c r="C9188">
        <v>40.5</v>
      </c>
      <c r="D9188">
        <v>200</v>
      </c>
      <c r="E9188">
        <f>IF(OR(B9188="vi",B9188="ii",B9188="pod"),(((D9188/100)*(C9188*VLOOKUP(B9188,'Poids des runes'!A:B,2,FALSE)))+1),(((D9188/100)*(C9188*VLOOKUP(B9188,'Poids des runes'!A:B,2,FALSE)))+1)/VLOOKUP(B9188,'Poids des runes'!A:B,2,FALSE))</f>
        <v>82</v>
      </c>
      <c r="F9188">
        <f t="shared" si="143"/>
        <v>82</v>
      </c>
    </row>
    <row r="9189" spans="1:6" x14ac:dyDescent="0.3">
      <c r="A9189" t="s">
        <v>1482</v>
      </c>
      <c r="B9189" t="s">
        <v>2131</v>
      </c>
      <c r="C9189">
        <v>40.5</v>
      </c>
      <c r="D9189">
        <v>200</v>
      </c>
      <c r="E9189">
        <f>IF(OR(B9189="vi",B9189="ii",B9189="pod"),(((D9189/100)*(C9189*VLOOKUP(B9189,'Poids des runes'!A:B,2,FALSE)))+1),(((D9189/100)*(C9189*VLOOKUP(B9189,'Poids des runes'!A:B,2,FALSE)))+1)/VLOOKUP(B9189,'Poids des runes'!A:B,2,FALSE))</f>
        <v>82</v>
      </c>
      <c r="F9189">
        <f t="shared" si="143"/>
        <v>82</v>
      </c>
    </row>
    <row r="9190" spans="1:6" x14ac:dyDescent="0.3">
      <c r="A9190" t="s">
        <v>1482</v>
      </c>
      <c r="B9190" t="s">
        <v>2127</v>
      </c>
      <c r="C9190">
        <v>40.5</v>
      </c>
      <c r="D9190">
        <v>200</v>
      </c>
      <c r="E9190">
        <f>IF(OR(B9190="vi",B9190="ii",B9190="pod"),(((D9190/100)*(C9190*VLOOKUP(B9190,'Poids des runes'!A:B,2,FALSE)))+1),(((D9190/100)*(C9190*VLOOKUP(B9190,'Poids des runes'!A:B,2,FALSE)))+1)/VLOOKUP(B9190,'Poids des runes'!A:B,2,FALSE))</f>
        <v>82</v>
      </c>
      <c r="F9190">
        <f t="shared" si="143"/>
        <v>82</v>
      </c>
    </row>
    <row r="9191" spans="1:6" x14ac:dyDescent="0.3">
      <c r="A9191" t="s">
        <v>1482</v>
      </c>
      <c r="B9191" t="s">
        <v>2129</v>
      </c>
      <c r="C9191">
        <v>35.5</v>
      </c>
      <c r="D9191">
        <v>200</v>
      </c>
      <c r="E9191">
        <f>IF(OR(B9191="vi",B9191="ii",B9191="pod"),(((D9191/100)*(C9191*VLOOKUP(B9191,'Poids des runes'!A:B,2,FALSE)))+1),(((D9191/100)*(C9191*VLOOKUP(B9191,'Poids des runes'!A:B,2,FALSE)))+1)/VLOOKUP(B9191,'Poids des runes'!A:B,2,FALSE))</f>
        <v>72</v>
      </c>
      <c r="F9191">
        <f t="shared" si="143"/>
        <v>72</v>
      </c>
    </row>
    <row r="9192" spans="1:6" x14ac:dyDescent="0.3">
      <c r="A9192" t="s">
        <v>1482</v>
      </c>
      <c r="B9192" t="s">
        <v>2151</v>
      </c>
      <c r="C9192">
        <v>2.5</v>
      </c>
      <c r="D9192">
        <v>200</v>
      </c>
      <c r="E9192">
        <f>IF(OR(B9192="vi",B9192="ii",B9192="pod"),(((D9192/100)*(C9192*VLOOKUP(B9192,'Poids des runes'!A:B,2,FALSE)))+1),(((D9192/100)*(C9192*VLOOKUP(B9192,'Poids des runes'!A:B,2,FALSE)))+1)/VLOOKUP(B9192,'Poids des runes'!A:B,2,FALSE))</f>
        <v>5.0999999999999996</v>
      </c>
      <c r="F9192">
        <f t="shared" si="143"/>
        <v>5.0999999999999996</v>
      </c>
    </row>
    <row r="9193" spans="1:6" x14ac:dyDescent="0.3">
      <c r="A9193" t="s">
        <v>1482</v>
      </c>
      <c r="B9193" t="s">
        <v>2154</v>
      </c>
      <c r="C9193">
        <v>1</v>
      </c>
      <c r="D9193">
        <v>200</v>
      </c>
      <c r="E9193">
        <f>IF(OR(B9193="vi",B9193="ii",B9193="pod"),(((D9193/100)*(C9193*VLOOKUP(B9193,'Poids des runes'!A:B,2,FALSE)))+1),(((D9193/100)*(C9193*VLOOKUP(B9193,'Poids des runes'!A:B,2,FALSE)))+1)/VLOOKUP(B9193,'Poids des runes'!A:B,2,FALSE))</f>
        <v>2.0111111111111111</v>
      </c>
      <c r="F9193">
        <f t="shared" si="143"/>
        <v>2.0111111111111111</v>
      </c>
    </row>
    <row r="9194" spans="1:6" x14ac:dyDescent="0.3">
      <c r="A9194" t="s">
        <v>1482</v>
      </c>
      <c r="B9194" t="s">
        <v>2150</v>
      </c>
      <c r="C9194">
        <v>1</v>
      </c>
      <c r="D9194">
        <v>200</v>
      </c>
      <c r="E9194">
        <f>IF(OR(B9194="vi",B9194="ii",B9194="pod"),(((D9194/100)*(C9194*VLOOKUP(B9194,'Poids des runes'!A:B,2,FALSE)))+1),(((D9194/100)*(C9194*VLOOKUP(B9194,'Poids des runes'!A:B,2,FALSE)))+1)/VLOOKUP(B9194,'Poids des runes'!A:B,2,FALSE))</f>
        <v>2.0333333333333332</v>
      </c>
      <c r="F9194">
        <f t="shared" si="143"/>
        <v>2.0333333333333332</v>
      </c>
    </row>
    <row r="9195" spans="1:6" x14ac:dyDescent="0.3">
      <c r="A9195" t="s">
        <v>1482</v>
      </c>
      <c r="B9195" t="s">
        <v>2140</v>
      </c>
      <c r="C9195">
        <v>8.5</v>
      </c>
      <c r="D9195">
        <v>200</v>
      </c>
      <c r="E9195">
        <f>IF(OR(B9195="vi",B9195="ii",B9195="pod"),(((D9195/100)*(C9195*VLOOKUP(B9195,'Poids des runes'!A:B,2,FALSE)))+1),(((D9195/100)*(C9195*VLOOKUP(B9195,'Poids des runes'!A:B,2,FALSE)))+1)/VLOOKUP(B9195,'Poids des runes'!A:B,2,FALSE))</f>
        <v>17.2</v>
      </c>
      <c r="F9195">
        <f t="shared" si="143"/>
        <v>17.2</v>
      </c>
    </row>
    <row r="9196" spans="1:6" x14ac:dyDescent="0.3">
      <c r="A9196" t="s">
        <v>1482</v>
      </c>
      <c r="B9196" t="s">
        <v>2133</v>
      </c>
      <c r="C9196">
        <v>8.5</v>
      </c>
      <c r="D9196">
        <v>200</v>
      </c>
      <c r="E9196">
        <f>IF(OR(B9196="vi",B9196="ii",B9196="pod"),(((D9196/100)*(C9196*VLOOKUP(B9196,'Poids des runes'!A:B,2,FALSE)))+1),(((D9196/100)*(C9196*VLOOKUP(B9196,'Poids des runes'!A:B,2,FALSE)))+1)/VLOOKUP(B9196,'Poids des runes'!A:B,2,FALSE))</f>
        <v>17.2</v>
      </c>
      <c r="F9196">
        <f t="shared" si="143"/>
        <v>17.2</v>
      </c>
    </row>
    <row r="9197" spans="1:6" x14ac:dyDescent="0.3">
      <c r="A9197" t="s">
        <v>1482</v>
      </c>
      <c r="B9197" t="s">
        <v>2153</v>
      </c>
      <c r="C9197">
        <v>8.5</v>
      </c>
      <c r="D9197">
        <v>200</v>
      </c>
      <c r="E9197">
        <f>IF(OR(B9197="vi",B9197="ii",B9197="pod"),(((D9197/100)*(C9197*VLOOKUP(B9197,'Poids des runes'!A:B,2,FALSE)))+1),(((D9197/100)*(C9197*VLOOKUP(B9197,'Poids des runes'!A:B,2,FALSE)))+1)/VLOOKUP(B9197,'Poids des runes'!A:B,2,FALSE))</f>
        <v>17.2</v>
      </c>
      <c r="F9197">
        <f t="shared" si="143"/>
        <v>17.2</v>
      </c>
    </row>
    <row r="9198" spans="1:6" x14ac:dyDescent="0.3">
      <c r="A9198" t="s">
        <v>1482</v>
      </c>
      <c r="B9198" t="s">
        <v>2161</v>
      </c>
      <c r="C9198">
        <v>13</v>
      </c>
      <c r="D9198">
        <v>200</v>
      </c>
      <c r="E9198">
        <f>IF(OR(B9198="vi",B9198="ii",B9198="pod"),(((D9198/100)*(C9198*VLOOKUP(B9198,'Poids des runes'!A:B,2,FALSE)))+1),(((D9198/100)*(C9198*VLOOKUP(B9198,'Poids des runes'!A:B,2,FALSE)))+1)/VLOOKUP(B9198,'Poids des runes'!A:B,2,FALSE))</f>
        <v>26.333333333333332</v>
      </c>
      <c r="F9198">
        <f t="shared" si="143"/>
        <v>26.333333333333332</v>
      </c>
    </row>
    <row r="9199" spans="1:6" x14ac:dyDescent="0.3">
      <c r="A9199" t="s">
        <v>1482</v>
      </c>
      <c r="B9199" t="s">
        <v>2156</v>
      </c>
      <c r="C9199">
        <v>6</v>
      </c>
      <c r="D9199">
        <v>200</v>
      </c>
      <c r="E9199">
        <f>IF(OR(B9199="vi",B9199="ii",B9199="pod"),(((D9199/100)*(C9199*VLOOKUP(B9199,'Poids des runes'!A:B,2,FALSE)))+1),(((D9199/100)*(C9199*VLOOKUP(B9199,'Poids des runes'!A:B,2,FALSE)))+1)/VLOOKUP(B9199,'Poids des runes'!A:B,2,FALSE))</f>
        <v>12.166666666666666</v>
      </c>
      <c r="F9199">
        <f t="shared" si="143"/>
        <v>12.166666666666666</v>
      </c>
    </row>
    <row r="9200" spans="1:6" x14ac:dyDescent="0.3">
      <c r="A9200" t="s">
        <v>1483</v>
      </c>
      <c r="B9200" t="s">
        <v>2128</v>
      </c>
      <c r="C9200">
        <v>375.5</v>
      </c>
      <c r="D9200">
        <v>200</v>
      </c>
      <c r="E9200">
        <f>IF(OR(B9200="vi",B9200="ii",B9200="pod"),(((D9200/100)*(C9200*VLOOKUP(B9200,'Poids des runes'!A:B,2,FALSE)))+1),(((D9200/100)*(C9200*VLOOKUP(B9200,'Poids des runes'!A:B,2,FALSE)))+1)/VLOOKUP(B9200,'Poids des runes'!A:B,2,FALSE))</f>
        <v>151.20000000000002</v>
      </c>
      <c r="F9200">
        <f t="shared" si="143"/>
        <v>151.20000000000002</v>
      </c>
    </row>
    <row r="9201" spans="1:6" x14ac:dyDescent="0.3">
      <c r="A9201" t="s">
        <v>1483</v>
      </c>
      <c r="B9201" t="s">
        <v>2126</v>
      </c>
      <c r="C9201">
        <v>50.5</v>
      </c>
      <c r="D9201">
        <v>200</v>
      </c>
      <c r="E9201">
        <f>IF(OR(B9201="vi",B9201="ii",B9201="pod"),(((D9201/100)*(C9201*VLOOKUP(B9201,'Poids des runes'!A:B,2,FALSE)))+1),(((D9201/100)*(C9201*VLOOKUP(B9201,'Poids des runes'!A:B,2,FALSE)))+1)/VLOOKUP(B9201,'Poids des runes'!A:B,2,FALSE))</f>
        <v>102</v>
      </c>
      <c r="F9201">
        <f t="shared" si="143"/>
        <v>102</v>
      </c>
    </row>
    <row r="9202" spans="1:6" x14ac:dyDescent="0.3">
      <c r="A9202" t="s">
        <v>1483</v>
      </c>
      <c r="B9202" t="s">
        <v>2129</v>
      </c>
      <c r="C9202">
        <v>35.5</v>
      </c>
      <c r="D9202">
        <v>200</v>
      </c>
      <c r="E9202">
        <f>IF(OR(B9202="vi",B9202="ii",B9202="pod"),(((D9202/100)*(C9202*VLOOKUP(B9202,'Poids des runes'!A:B,2,FALSE)))+1),(((D9202/100)*(C9202*VLOOKUP(B9202,'Poids des runes'!A:B,2,FALSE)))+1)/VLOOKUP(B9202,'Poids des runes'!A:B,2,FALSE))</f>
        <v>72</v>
      </c>
      <c r="F9202">
        <f t="shared" si="143"/>
        <v>72</v>
      </c>
    </row>
    <row r="9203" spans="1:6" x14ac:dyDescent="0.3">
      <c r="A9203" t="s">
        <v>1483</v>
      </c>
      <c r="B9203" t="s">
        <v>2151</v>
      </c>
      <c r="C9203">
        <v>3.5</v>
      </c>
      <c r="D9203">
        <v>200</v>
      </c>
      <c r="E9203">
        <f>IF(OR(B9203="vi",B9203="ii",B9203="pod"),(((D9203/100)*(C9203*VLOOKUP(B9203,'Poids des runes'!A:B,2,FALSE)))+1),(((D9203/100)*(C9203*VLOOKUP(B9203,'Poids des runes'!A:B,2,FALSE)))+1)/VLOOKUP(B9203,'Poids des runes'!A:B,2,FALSE))</f>
        <v>7.1</v>
      </c>
      <c r="F9203">
        <f t="shared" si="143"/>
        <v>7.1</v>
      </c>
    </row>
    <row r="9204" spans="1:6" x14ac:dyDescent="0.3">
      <c r="A9204" t="s">
        <v>1483</v>
      </c>
      <c r="B9204" t="s">
        <v>2154</v>
      </c>
      <c r="C9204">
        <v>1</v>
      </c>
      <c r="D9204">
        <v>200</v>
      </c>
      <c r="E9204">
        <f>IF(OR(B9204="vi",B9204="ii",B9204="pod"),(((D9204/100)*(C9204*VLOOKUP(B9204,'Poids des runes'!A:B,2,FALSE)))+1),(((D9204/100)*(C9204*VLOOKUP(B9204,'Poids des runes'!A:B,2,FALSE)))+1)/VLOOKUP(B9204,'Poids des runes'!A:B,2,FALSE))</f>
        <v>2.0111111111111111</v>
      </c>
      <c r="F9204">
        <f t="shared" si="143"/>
        <v>2.0111111111111111</v>
      </c>
    </row>
    <row r="9205" spans="1:6" x14ac:dyDescent="0.3">
      <c r="A9205" t="s">
        <v>1483</v>
      </c>
      <c r="B9205" t="s">
        <v>2140</v>
      </c>
      <c r="C9205">
        <v>10.5</v>
      </c>
      <c r="D9205">
        <v>200</v>
      </c>
      <c r="E9205">
        <f>IF(OR(B9205="vi",B9205="ii",B9205="pod"),(((D9205/100)*(C9205*VLOOKUP(B9205,'Poids des runes'!A:B,2,FALSE)))+1),(((D9205/100)*(C9205*VLOOKUP(B9205,'Poids des runes'!A:B,2,FALSE)))+1)/VLOOKUP(B9205,'Poids des runes'!A:B,2,FALSE))</f>
        <v>21.2</v>
      </c>
      <c r="F9205">
        <f t="shared" si="143"/>
        <v>21.2</v>
      </c>
    </row>
    <row r="9206" spans="1:6" x14ac:dyDescent="0.3">
      <c r="A9206" t="s">
        <v>1483</v>
      </c>
      <c r="B9206" t="s">
        <v>2149</v>
      </c>
      <c r="C9206">
        <v>10.5</v>
      </c>
      <c r="D9206">
        <v>200</v>
      </c>
      <c r="E9206">
        <f>IF(OR(B9206="vi",B9206="ii",B9206="pod"),(((D9206/100)*(C9206*VLOOKUP(B9206,'Poids des runes'!A:B,2,FALSE)))+1),(((D9206/100)*(C9206*VLOOKUP(B9206,'Poids des runes'!A:B,2,FALSE)))+1)/VLOOKUP(B9206,'Poids des runes'!A:B,2,FALSE))</f>
        <v>21.1</v>
      </c>
      <c r="F9206">
        <f t="shared" si="143"/>
        <v>21.1</v>
      </c>
    </row>
    <row r="9207" spans="1:6" x14ac:dyDescent="0.3">
      <c r="A9207" t="s">
        <v>1483</v>
      </c>
      <c r="B9207" t="s">
        <v>2161</v>
      </c>
      <c r="C9207">
        <v>8</v>
      </c>
      <c r="D9207">
        <v>200</v>
      </c>
      <c r="E9207">
        <f>IF(OR(B9207="vi",B9207="ii",B9207="pod"),(((D9207/100)*(C9207*VLOOKUP(B9207,'Poids des runes'!A:B,2,FALSE)))+1),(((D9207/100)*(C9207*VLOOKUP(B9207,'Poids des runes'!A:B,2,FALSE)))+1)/VLOOKUP(B9207,'Poids des runes'!A:B,2,FALSE))</f>
        <v>16.333333333333332</v>
      </c>
      <c r="F9207">
        <f t="shared" si="143"/>
        <v>16.333333333333332</v>
      </c>
    </row>
    <row r="9208" spans="1:6" x14ac:dyDescent="0.3">
      <c r="A9208" t="s">
        <v>1483</v>
      </c>
      <c r="B9208" t="s">
        <v>2132</v>
      </c>
      <c r="C9208">
        <v>250.5</v>
      </c>
      <c r="D9208">
        <v>200</v>
      </c>
      <c r="E9208">
        <f>IF(OR(B9208="vi",B9208="ii",B9208="pod"),(((D9208/100)*(C9208*VLOOKUP(B9208,'Poids des runes'!A:B,2,FALSE)))+1),(((D9208/100)*(C9208*VLOOKUP(B9208,'Poids des runes'!A:B,2,FALSE)))+1)/VLOOKUP(B9208,'Poids des runes'!A:B,2,FALSE))</f>
        <v>51.1</v>
      </c>
      <c r="F9208">
        <f t="shared" si="143"/>
        <v>51.1</v>
      </c>
    </row>
    <row r="9209" spans="1:6" x14ac:dyDescent="0.3">
      <c r="A9209" t="s">
        <v>1483</v>
      </c>
      <c r="B9209" t="s">
        <v>2141</v>
      </c>
      <c r="C9209">
        <v>6</v>
      </c>
      <c r="D9209">
        <v>200</v>
      </c>
      <c r="E9209">
        <f>IF(OR(B9209="vi",B9209="ii",B9209="pod"),(((D9209/100)*(C9209*VLOOKUP(B9209,'Poids des runes'!A:B,2,FALSE)))+1),(((D9209/100)*(C9209*VLOOKUP(B9209,'Poids des runes'!A:B,2,FALSE)))+1)/VLOOKUP(B9209,'Poids des runes'!A:B,2,FALSE))</f>
        <v>12.25</v>
      </c>
      <c r="F9209">
        <f t="shared" si="143"/>
        <v>12.25</v>
      </c>
    </row>
    <row r="9210" spans="1:6" x14ac:dyDescent="0.3">
      <c r="A9210" t="s">
        <v>1483</v>
      </c>
      <c r="B9210" t="s">
        <v>2148</v>
      </c>
      <c r="C9210">
        <v>8.5</v>
      </c>
      <c r="D9210">
        <v>200</v>
      </c>
      <c r="E9210">
        <f>IF(OR(B9210="vi",B9210="ii",B9210="pod"),(((D9210/100)*(C9210*VLOOKUP(B9210,'Poids des runes'!A:B,2,FALSE)))+1),(((D9210/100)*(C9210*VLOOKUP(B9210,'Poids des runes'!A:B,2,FALSE)))+1)/VLOOKUP(B9210,'Poids des runes'!A:B,2,FALSE))</f>
        <v>17.166666666666668</v>
      </c>
      <c r="F9210">
        <f t="shared" si="143"/>
        <v>17.166666666666668</v>
      </c>
    </row>
    <row r="9211" spans="1:6" x14ac:dyDescent="0.3">
      <c r="A9211" t="s">
        <v>1483</v>
      </c>
      <c r="B9211" t="s">
        <v>2157</v>
      </c>
      <c r="C9211">
        <v>8.5</v>
      </c>
      <c r="D9211">
        <v>200</v>
      </c>
      <c r="E9211">
        <f>IF(OR(B9211="vi",B9211="ii",B9211="pod"),(((D9211/100)*(C9211*VLOOKUP(B9211,'Poids des runes'!A:B,2,FALSE)))+1),(((D9211/100)*(C9211*VLOOKUP(B9211,'Poids des runes'!A:B,2,FALSE)))+1)/VLOOKUP(B9211,'Poids des runes'!A:B,2,FALSE))</f>
        <v>17.166666666666668</v>
      </c>
      <c r="F9211">
        <f t="shared" si="143"/>
        <v>17.166666666666668</v>
      </c>
    </row>
    <row r="9212" spans="1:6" x14ac:dyDescent="0.3">
      <c r="A9212" t="s">
        <v>1484</v>
      </c>
      <c r="B9212" t="s">
        <v>2128</v>
      </c>
      <c r="C9212">
        <v>325.5</v>
      </c>
      <c r="D9212">
        <v>200</v>
      </c>
      <c r="E9212">
        <f>IF(OR(B9212="vi",B9212="ii",B9212="pod"),(((D9212/100)*(C9212*VLOOKUP(B9212,'Poids des runes'!A:B,2,FALSE)))+1),(((D9212/100)*(C9212*VLOOKUP(B9212,'Poids des runes'!A:B,2,FALSE)))+1)/VLOOKUP(B9212,'Poids des runes'!A:B,2,FALSE))</f>
        <v>131.20000000000002</v>
      </c>
      <c r="F9212">
        <f t="shared" si="143"/>
        <v>131.20000000000002</v>
      </c>
    </row>
    <row r="9213" spans="1:6" x14ac:dyDescent="0.3">
      <c r="A9213" t="s">
        <v>1484</v>
      </c>
      <c r="B9213" t="s">
        <v>2130</v>
      </c>
      <c r="C9213">
        <v>60.5</v>
      </c>
      <c r="D9213">
        <v>200</v>
      </c>
      <c r="E9213">
        <f>IF(OR(B9213="vi",B9213="ii",B9213="pod"),(((D9213/100)*(C9213*VLOOKUP(B9213,'Poids des runes'!A:B,2,FALSE)))+1),(((D9213/100)*(C9213*VLOOKUP(B9213,'Poids des runes'!A:B,2,FALSE)))+1)/VLOOKUP(B9213,'Poids des runes'!A:B,2,FALSE))</f>
        <v>122</v>
      </c>
      <c r="F9213">
        <f t="shared" si="143"/>
        <v>122</v>
      </c>
    </row>
    <row r="9214" spans="1:6" x14ac:dyDescent="0.3">
      <c r="A9214" t="s">
        <v>1484</v>
      </c>
      <c r="B9214" t="s">
        <v>2127</v>
      </c>
      <c r="C9214">
        <v>60.5</v>
      </c>
      <c r="D9214">
        <v>200</v>
      </c>
      <c r="E9214">
        <f>IF(OR(B9214="vi",B9214="ii",B9214="pod"),(((D9214/100)*(C9214*VLOOKUP(B9214,'Poids des runes'!A:B,2,FALSE)))+1),(((D9214/100)*(C9214*VLOOKUP(B9214,'Poids des runes'!A:B,2,FALSE)))+1)/VLOOKUP(B9214,'Poids des runes'!A:B,2,FALSE))</f>
        <v>122</v>
      </c>
      <c r="F9214">
        <f t="shared" si="143"/>
        <v>122</v>
      </c>
    </row>
    <row r="9215" spans="1:6" x14ac:dyDescent="0.3">
      <c r="A9215" t="s">
        <v>1484</v>
      </c>
      <c r="B9215" t="s">
        <v>2129</v>
      </c>
      <c r="C9215">
        <v>25.5</v>
      </c>
      <c r="D9215">
        <v>200</v>
      </c>
      <c r="E9215">
        <f>IF(OR(B9215="vi",B9215="ii",B9215="pod"),(((D9215/100)*(C9215*VLOOKUP(B9215,'Poids des runes'!A:B,2,FALSE)))+1),(((D9215/100)*(C9215*VLOOKUP(B9215,'Poids des runes'!A:B,2,FALSE)))+1)/VLOOKUP(B9215,'Poids des runes'!A:B,2,FALSE))</f>
        <v>52</v>
      </c>
      <c r="F9215">
        <f t="shared" si="143"/>
        <v>52</v>
      </c>
    </row>
    <row r="9216" spans="1:6" x14ac:dyDescent="0.3">
      <c r="A9216" t="s">
        <v>1484</v>
      </c>
      <c r="B9216" t="s">
        <v>2151</v>
      </c>
      <c r="C9216">
        <v>4</v>
      </c>
      <c r="D9216">
        <v>200</v>
      </c>
      <c r="E9216">
        <f>IF(OR(B9216="vi",B9216="ii",B9216="pod"),(((D9216/100)*(C9216*VLOOKUP(B9216,'Poids des runes'!A:B,2,FALSE)))+1),(((D9216/100)*(C9216*VLOOKUP(B9216,'Poids des runes'!A:B,2,FALSE)))+1)/VLOOKUP(B9216,'Poids des runes'!A:B,2,FALSE))</f>
        <v>8.1</v>
      </c>
      <c r="F9216">
        <f t="shared" si="143"/>
        <v>8.1</v>
      </c>
    </row>
    <row r="9217" spans="1:6" x14ac:dyDescent="0.3">
      <c r="A9217" t="s">
        <v>1484</v>
      </c>
      <c r="B9217" t="s">
        <v>2154</v>
      </c>
      <c r="C9217">
        <v>1</v>
      </c>
      <c r="D9217">
        <v>200</v>
      </c>
      <c r="E9217">
        <f>IF(OR(B9217="vi",B9217="ii",B9217="pod"),(((D9217/100)*(C9217*VLOOKUP(B9217,'Poids des runes'!A:B,2,FALSE)))+1),(((D9217/100)*(C9217*VLOOKUP(B9217,'Poids des runes'!A:B,2,FALSE)))+1)/VLOOKUP(B9217,'Poids des runes'!A:B,2,FALSE))</f>
        <v>2.0111111111111111</v>
      </c>
      <c r="F9217">
        <f t="shared" si="143"/>
        <v>2.0111111111111111</v>
      </c>
    </row>
    <row r="9218" spans="1:6" x14ac:dyDescent="0.3">
      <c r="A9218" t="s">
        <v>1484</v>
      </c>
      <c r="B9218" t="s">
        <v>2143</v>
      </c>
      <c r="C9218">
        <v>10.5</v>
      </c>
      <c r="D9218">
        <v>200</v>
      </c>
      <c r="E9218">
        <f>IF(OR(B9218="vi",B9218="ii",B9218="pod"),(((D9218/100)*(C9218*VLOOKUP(B9218,'Poids des runes'!A:B,2,FALSE)))+1),(((D9218/100)*(C9218*VLOOKUP(B9218,'Poids des runes'!A:B,2,FALSE)))+1)/VLOOKUP(B9218,'Poids des runes'!A:B,2,FALSE))</f>
        <v>21.2</v>
      </c>
      <c r="F9218">
        <f t="shared" si="143"/>
        <v>21.2</v>
      </c>
    </row>
    <row r="9219" spans="1:6" x14ac:dyDescent="0.3">
      <c r="A9219" t="s">
        <v>1484</v>
      </c>
      <c r="B9219" t="s">
        <v>2153</v>
      </c>
      <c r="C9219">
        <v>10.5</v>
      </c>
      <c r="D9219">
        <v>200</v>
      </c>
      <c r="E9219">
        <f>IF(OR(B9219="vi",B9219="ii",B9219="pod"),(((D9219/100)*(C9219*VLOOKUP(B9219,'Poids des runes'!A:B,2,FALSE)))+1),(((D9219/100)*(C9219*VLOOKUP(B9219,'Poids des runes'!A:B,2,FALSE)))+1)/VLOOKUP(B9219,'Poids des runes'!A:B,2,FALSE))</f>
        <v>21.2</v>
      </c>
      <c r="F9219">
        <f t="shared" ref="F9219:F9282" si="144">E9219</f>
        <v>21.2</v>
      </c>
    </row>
    <row r="9220" spans="1:6" x14ac:dyDescent="0.3">
      <c r="A9220" t="s">
        <v>1484</v>
      </c>
      <c r="B9220" t="s">
        <v>2132</v>
      </c>
      <c r="C9220">
        <v>250.5</v>
      </c>
      <c r="D9220">
        <v>200</v>
      </c>
      <c r="E9220">
        <f>IF(OR(B9220="vi",B9220="ii",B9220="pod"),(((D9220/100)*(C9220*VLOOKUP(B9220,'Poids des runes'!A:B,2,FALSE)))+1),(((D9220/100)*(C9220*VLOOKUP(B9220,'Poids des runes'!A:B,2,FALSE)))+1)/VLOOKUP(B9220,'Poids des runes'!A:B,2,FALSE))</f>
        <v>51.1</v>
      </c>
      <c r="F9220">
        <f t="shared" si="144"/>
        <v>51.1</v>
      </c>
    </row>
    <row r="9221" spans="1:6" x14ac:dyDescent="0.3">
      <c r="A9221" t="s">
        <v>1484</v>
      </c>
      <c r="B9221" t="s">
        <v>2141</v>
      </c>
      <c r="C9221">
        <v>4</v>
      </c>
      <c r="D9221">
        <v>200</v>
      </c>
      <c r="E9221">
        <f>IF(OR(B9221="vi",B9221="ii",B9221="pod"),(((D9221/100)*(C9221*VLOOKUP(B9221,'Poids des runes'!A:B,2,FALSE)))+1),(((D9221/100)*(C9221*VLOOKUP(B9221,'Poids des runes'!A:B,2,FALSE)))+1)/VLOOKUP(B9221,'Poids des runes'!A:B,2,FALSE))</f>
        <v>8.25</v>
      </c>
      <c r="F9221">
        <f t="shared" si="144"/>
        <v>8.25</v>
      </c>
    </row>
    <row r="9222" spans="1:6" x14ac:dyDescent="0.3">
      <c r="A9222" t="s">
        <v>1484</v>
      </c>
      <c r="B9222" t="s">
        <v>2147</v>
      </c>
      <c r="C9222">
        <v>6.5</v>
      </c>
      <c r="D9222">
        <v>200</v>
      </c>
      <c r="E9222">
        <f>IF(OR(B9222="vi",B9222="ii",B9222="pod"),(((D9222/100)*(C9222*VLOOKUP(B9222,'Poids des runes'!A:B,2,FALSE)))+1),(((D9222/100)*(C9222*VLOOKUP(B9222,'Poids des runes'!A:B,2,FALSE)))+1)/VLOOKUP(B9222,'Poids des runes'!A:B,2,FALSE))</f>
        <v>13.166666666666666</v>
      </c>
      <c r="F9222">
        <f t="shared" si="144"/>
        <v>13.166666666666666</v>
      </c>
    </row>
    <row r="9223" spans="1:6" x14ac:dyDescent="0.3">
      <c r="A9223" t="s">
        <v>1484</v>
      </c>
      <c r="B9223" t="s">
        <v>2135</v>
      </c>
      <c r="C9223">
        <v>6.5</v>
      </c>
      <c r="D9223">
        <v>200</v>
      </c>
      <c r="E9223">
        <f>IF(OR(B9223="vi",B9223="ii",B9223="pod"),(((D9223/100)*(C9223*VLOOKUP(B9223,'Poids des runes'!A:B,2,FALSE)))+1),(((D9223/100)*(C9223*VLOOKUP(B9223,'Poids des runes'!A:B,2,FALSE)))+1)/VLOOKUP(B9223,'Poids des runes'!A:B,2,FALSE))</f>
        <v>13.166666666666666</v>
      </c>
      <c r="F9223">
        <f t="shared" si="144"/>
        <v>13.166666666666666</v>
      </c>
    </row>
    <row r="9224" spans="1:6" x14ac:dyDescent="0.3">
      <c r="A9224" t="s">
        <v>1485</v>
      </c>
      <c r="B9224" t="s">
        <v>2128</v>
      </c>
      <c r="C9224">
        <v>325.5</v>
      </c>
      <c r="D9224">
        <v>200</v>
      </c>
      <c r="E9224">
        <f>IF(OR(B9224="vi",B9224="ii",B9224="pod"),(((D9224/100)*(C9224*VLOOKUP(B9224,'Poids des runes'!A:B,2,FALSE)))+1),(((D9224/100)*(C9224*VLOOKUP(B9224,'Poids des runes'!A:B,2,FALSE)))+1)/VLOOKUP(B9224,'Poids des runes'!A:B,2,FALSE))</f>
        <v>131.20000000000002</v>
      </c>
      <c r="F9224">
        <f t="shared" si="144"/>
        <v>131.20000000000002</v>
      </c>
    </row>
    <row r="9225" spans="1:6" x14ac:dyDescent="0.3">
      <c r="A9225" t="s">
        <v>1485</v>
      </c>
      <c r="B9225" t="s">
        <v>2131</v>
      </c>
      <c r="C9225">
        <v>70.5</v>
      </c>
      <c r="D9225">
        <v>200</v>
      </c>
      <c r="E9225">
        <f>IF(OR(B9225="vi",B9225="ii",B9225="pod"),(((D9225/100)*(C9225*VLOOKUP(B9225,'Poids des runes'!A:B,2,FALSE)))+1),(((D9225/100)*(C9225*VLOOKUP(B9225,'Poids des runes'!A:B,2,FALSE)))+1)/VLOOKUP(B9225,'Poids des runes'!A:B,2,FALSE))</f>
        <v>142</v>
      </c>
      <c r="F9225">
        <f t="shared" si="144"/>
        <v>142</v>
      </c>
    </row>
    <row r="9226" spans="1:6" x14ac:dyDescent="0.3">
      <c r="A9226" t="s">
        <v>1485</v>
      </c>
      <c r="B9226" t="s">
        <v>2129</v>
      </c>
      <c r="C9226">
        <v>25.5</v>
      </c>
      <c r="D9226">
        <v>200</v>
      </c>
      <c r="E9226">
        <f>IF(OR(B9226="vi",B9226="ii",B9226="pod"),(((D9226/100)*(C9226*VLOOKUP(B9226,'Poids des runes'!A:B,2,FALSE)))+1),(((D9226/100)*(C9226*VLOOKUP(B9226,'Poids des runes'!A:B,2,FALSE)))+1)/VLOOKUP(B9226,'Poids des runes'!A:B,2,FALSE))</f>
        <v>52</v>
      </c>
      <c r="F9226">
        <f t="shared" si="144"/>
        <v>52</v>
      </c>
    </row>
    <row r="9227" spans="1:6" x14ac:dyDescent="0.3">
      <c r="A9227" t="s">
        <v>1485</v>
      </c>
      <c r="B9227" t="s">
        <v>2151</v>
      </c>
      <c r="C9227">
        <v>4.5</v>
      </c>
      <c r="D9227">
        <v>200</v>
      </c>
      <c r="E9227">
        <f>IF(OR(B9227="vi",B9227="ii",B9227="pod"),(((D9227/100)*(C9227*VLOOKUP(B9227,'Poids des runes'!A:B,2,FALSE)))+1),(((D9227/100)*(C9227*VLOOKUP(B9227,'Poids des runes'!A:B,2,FALSE)))+1)/VLOOKUP(B9227,'Poids des runes'!A:B,2,FALSE))</f>
        <v>9.1</v>
      </c>
      <c r="F9227">
        <f t="shared" si="144"/>
        <v>9.1</v>
      </c>
    </row>
    <row r="9228" spans="1:6" x14ac:dyDescent="0.3">
      <c r="A9228" t="s">
        <v>1485</v>
      </c>
      <c r="B9228" t="s">
        <v>2154</v>
      </c>
      <c r="C9228">
        <v>1</v>
      </c>
      <c r="D9228">
        <v>200</v>
      </c>
      <c r="E9228">
        <f>IF(OR(B9228="vi",B9228="ii",B9228="pod"),(((D9228/100)*(C9228*VLOOKUP(B9228,'Poids des runes'!A:B,2,FALSE)))+1),(((D9228/100)*(C9228*VLOOKUP(B9228,'Poids des runes'!A:B,2,FALSE)))+1)/VLOOKUP(B9228,'Poids des runes'!A:B,2,FALSE))</f>
        <v>2.0111111111111111</v>
      </c>
      <c r="F9228">
        <f t="shared" si="144"/>
        <v>2.0111111111111111</v>
      </c>
    </row>
    <row r="9229" spans="1:6" x14ac:dyDescent="0.3">
      <c r="A9229" t="s">
        <v>1485</v>
      </c>
      <c r="B9229" t="s">
        <v>2133</v>
      </c>
      <c r="C9229">
        <v>13</v>
      </c>
      <c r="D9229">
        <v>200</v>
      </c>
      <c r="E9229">
        <f>IF(OR(B9229="vi",B9229="ii",B9229="pod"),(((D9229/100)*(C9229*VLOOKUP(B9229,'Poids des runes'!A:B,2,FALSE)))+1),(((D9229/100)*(C9229*VLOOKUP(B9229,'Poids des runes'!A:B,2,FALSE)))+1)/VLOOKUP(B9229,'Poids des runes'!A:B,2,FALSE))</f>
        <v>26.2</v>
      </c>
      <c r="F9229">
        <f t="shared" si="144"/>
        <v>26.2</v>
      </c>
    </row>
    <row r="9230" spans="1:6" x14ac:dyDescent="0.3">
      <c r="A9230" t="s">
        <v>1485</v>
      </c>
      <c r="B9230" t="s">
        <v>2161</v>
      </c>
      <c r="C9230">
        <v>13</v>
      </c>
      <c r="D9230">
        <v>200</v>
      </c>
      <c r="E9230">
        <f>IF(OR(B9230="vi",B9230="ii",B9230="pod"),(((D9230/100)*(C9230*VLOOKUP(B9230,'Poids des runes'!A:B,2,FALSE)))+1),(((D9230/100)*(C9230*VLOOKUP(B9230,'Poids des runes'!A:B,2,FALSE)))+1)/VLOOKUP(B9230,'Poids des runes'!A:B,2,FALSE))</f>
        <v>26.333333333333332</v>
      </c>
      <c r="F9230">
        <f t="shared" si="144"/>
        <v>26.333333333333332</v>
      </c>
    </row>
    <row r="9231" spans="1:6" x14ac:dyDescent="0.3">
      <c r="A9231" t="s">
        <v>1485</v>
      </c>
      <c r="B9231" t="s">
        <v>2165</v>
      </c>
      <c r="C9231">
        <v>6.5</v>
      </c>
      <c r="D9231">
        <v>200</v>
      </c>
      <c r="E9231">
        <f>IF(OR(B9231="vi",B9231="ii",B9231="pod"),(((D9231/100)*(C9231*VLOOKUP(B9231,'Poids des runes'!A:B,2,FALSE)))+1),(((D9231/100)*(C9231*VLOOKUP(B9231,'Poids des runes'!A:B,2,FALSE)))+1)/VLOOKUP(B9231,'Poids des runes'!A:B,2,FALSE))</f>
        <v>13.142857142857142</v>
      </c>
      <c r="F9231">
        <f t="shared" si="144"/>
        <v>13.142857142857142</v>
      </c>
    </row>
    <row r="9232" spans="1:6" x14ac:dyDescent="0.3">
      <c r="A9232" t="s">
        <v>1485</v>
      </c>
      <c r="B9232" t="s">
        <v>2156</v>
      </c>
      <c r="C9232">
        <v>5</v>
      </c>
      <c r="D9232">
        <v>200</v>
      </c>
      <c r="E9232">
        <f>IF(OR(B9232="vi",B9232="ii",B9232="pod"),(((D9232/100)*(C9232*VLOOKUP(B9232,'Poids des runes'!A:B,2,FALSE)))+1),(((D9232/100)*(C9232*VLOOKUP(B9232,'Poids des runes'!A:B,2,FALSE)))+1)/VLOOKUP(B9232,'Poids des runes'!A:B,2,FALSE))</f>
        <v>10.166666666666666</v>
      </c>
      <c r="F9232">
        <f t="shared" si="144"/>
        <v>10.166666666666666</v>
      </c>
    </row>
    <row r="9233" spans="1:6" x14ac:dyDescent="0.3">
      <c r="A9233" t="s">
        <v>1485</v>
      </c>
      <c r="B9233" t="s">
        <v>2148</v>
      </c>
      <c r="C9233">
        <v>6</v>
      </c>
      <c r="D9233">
        <v>200</v>
      </c>
      <c r="E9233">
        <f>IF(OR(B9233="vi",B9233="ii",B9233="pod"),(((D9233/100)*(C9233*VLOOKUP(B9233,'Poids des runes'!A:B,2,FALSE)))+1),(((D9233/100)*(C9233*VLOOKUP(B9233,'Poids des runes'!A:B,2,FALSE)))+1)/VLOOKUP(B9233,'Poids des runes'!A:B,2,FALSE))</f>
        <v>12.166666666666666</v>
      </c>
      <c r="F9233">
        <f t="shared" si="144"/>
        <v>12.166666666666666</v>
      </c>
    </row>
    <row r="9234" spans="1:6" x14ac:dyDescent="0.3">
      <c r="A9234" t="s">
        <v>1485</v>
      </c>
      <c r="B9234" t="s">
        <v>2147</v>
      </c>
      <c r="C9234">
        <v>6</v>
      </c>
      <c r="D9234">
        <v>200</v>
      </c>
      <c r="E9234">
        <f>IF(OR(B9234="vi",B9234="ii",B9234="pod"),(((D9234/100)*(C9234*VLOOKUP(B9234,'Poids des runes'!A:B,2,FALSE)))+1),(((D9234/100)*(C9234*VLOOKUP(B9234,'Poids des runes'!A:B,2,FALSE)))+1)/VLOOKUP(B9234,'Poids des runes'!A:B,2,FALSE))</f>
        <v>12.166666666666666</v>
      </c>
      <c r="F9234">
        <f t="shared" si="144"/>
        <v>12.166666666666666</v>
      </c>
    </row>
    <row r="9235" spans="1:6" x14ac:dyDescent="0.3">
      <c r="A9235" t="s">
        <v>1486</v>
      </c>
      <c r="B9235" t="s">
        <v>2128</v>
      </c>
      <c r="C9235">
        <v>325.5</v>
      </c>
      <c r="D9235">
        <v>200</v>
      </c>
      <c r="E9235">
        <f>IF(OR(B9235="vi",B9235="ii",B9235="pod"),(((D9235/100)*(C9235*VLOOKUP(B9235,'Poids des runes'!A:B,2,FALSE)))+1),(((D9235/100)*(C9235*VLOOKUP(B9235,'Poids des runes'!A:B,2,FALSE)))+1)/VLOOKUP(B9235,'Poids des runes'!A:B,2,FALSE))</f>
        <v>131.20000000000002</v>
      </c>
      <c r="F9235">
        <f t="shared" si="144"/>
        <v>131.20000000000002</v>
      </c>
    </row>
    <row r="9236" spans="1:6" x14ac:dyDescent="0.3">
      <c r="A9236" t="s">
        <v>1486</v>
      </c>
      <c r="B9236" t="s">
        <v>2130</v>
      </c>
      <c r="C9236">
        <v>40.5</v>
      </c>
      <c r="D9236">
        <v>200</v>
      </c>
      <c r="E9236">
        <f>IF(OR(B9236="vi",B9236="ii",B9236="pod"),(((D9236/100)*(C9236*VLOOKUP(B9236,'Poids des runes'!A:B,2,FALSE)))+1),(((D9236/100)*(C9236*VLOOKUP(B9236,'Poids des runes'!A:B,2,FALSE)))+1)/VLOOKUP(B9236,'Poids des runes'!A:B,2,FALSE))</f>
        <v>82</v>
      </c>
      <c r="F9236">
        <f t="shared" si="144"/>
        <v>82</v>
      </c>
    </row>
    <row r="9237" spans="1:6" x14ac:dyDescent="0.3">
      <c r="A9237" t="s">
        <v>1486</v>
      </c>
      <c r="B9237" t="s">
        <v>2129</v>
      </c>
      <c r="C9237">
        <v>40.5</v>
      </c>
      <c r="D9237">
        <v>200</v>
      </c>
      <c r="E9237">
        <f>IF(OR(B9237="vi",B9237="ii",B9237="pod"),(((D9237/100)*(C9237*VLOOKUP(B9237,'Poids des runes'!A:B,2,FALSE)))+1),(((D9237/100)*(C9237*VLOOKUP(B9237,'Poids des runes'!A:B,2,FALSE)))+1)/VLOOKUP(B9237,'Poids des runes'!A:B,2,FALSE))</f>
        <v>82</v>
      </c>
      <c r="F9237">
        <f t="shared" si="144"/>
        <v>82</v>
      </c>
    </row>
    <row r="9238" spans="1:6" x14ac:dyDescent="0.3">
      <c r="A9238" t="s">
        <v>1486</v>
      </c>
      <c r="B9238" t="s">
        <v>2151</v>
      </c>
      <c r="C9238">
        <v>6</v>
      </c>
      <c r="D9238">
        <v>200</v>
      </c>
      <c r="E9238">
        <f>IF(OR(B9238="vi",B9238="ii",B9238="pod"),(((D9238/100)*(C9238*VLOOKUP(B9238,'Poids des runes'!A:B,2,FALSE)))+1),(((D9238/100)*(C9238*VLOOKUP(B9238,'Poids des runes'!A:B,2,FALSE)))+1)/VLOOKUP(B9238,'Poids des runes'!A:B,2,FALSE))</f>
        <v>12.1</v>
      </c>
      <c r="F9238">
        <f t="shared" si="144"/>
        <v>12.1</v>
      </c>
    </row>
    <row r="9239" spans="1:6" x14ac:dyDescent="0.3">
      <c r="A9239" t="s">
        <v>1486</v>
      </c>
      <c r="B9239" t="s">
        <v>2143</v>
      </c>
      <c r="C9239">
        <v>13</v>
      </c>
      <c r="D9239">
        <v>200</v>
      </c>
      <c r="E9239">
        <f>IF(OR(B9239="vi",B9239="ii",B9239="pod"),(((D9239/100)*(C9239*VLOOKUP(B9239,'Poids des runes'!A:B,2,FALSE)))+1),(((D9239/100)*(C9239*VLOOKUP(B9239,'Poids des runes'!A:B,2,FALSE)))+1)/VLOOKUP(B9239,'Poids des runes'!A:B,2,FALSE))</f>
        <v>26.2</v>
      </c>
      <c r="F9239">
        <f t="shared" si="144"/>
        <v>26.2</v>
      </c>
    </row>
    <row r="9240" spans="1:6" x14ac:dyDescent="0.3">
      <c r="A9240" t="s">
        <v>1486</v>
      </c>
      <c r="B9240" t="s">
        <v>2163</v>
      </c>
      <c r="C9240">
        <v>20.5</v>
      </c>
      <c r="D9240">
        <v>200</v>
      </c>
      <c r="E9240">
        <f>IF(OR(B9240="vi",B9240="ii",B9240="pod"),(((D9240/100)*(C9240*VLOOKUP(B9240,'Poids des runes'!A:B,2,FALSE)))+1),(((D9240/100)*(C9240*VLOOKUP(B9240,'Poids des runes'!A:B,2,FALSE)))+1)/VLOOKUP(B9240,'Poids des runes'!A:B,2,FALSE))</f>
        <v>41.5</v>
      </c>
      <c r="F9240">
        <f t="shared" si="144"/>
        <v>41.5</v>
      </c>
    </row>
    <row r="9241" spans="1:6" x14ac:dyDescent="0.3">
      <c r="A9241" t="s">
        <v>1487</v>
      </c>
      <c r="B9241" t="s">
        <v>2128</v>
      </c>
      <c r="C9241">
        <v>275.5</v>
      </c>
      <c r="D9241">
        <v>200</v>
      </c>
      <c r="E9241">
        <f>IF(OR(B9241="vi",B9241="ii",B9241="pod"),(((D9241/100)*(C9241*VLOOKUP(B9241,'Poids des runes'!A:B,2,FALSE)))+1),(((D9241/100)*(C9241*VLOOKUP(B9241,'Poids des runes'!A:B,2,FALSE)))+1)/VLOOKUP(B9241,'Poids des runes'!A:B,2,FALSE))</f>
        <v>111.2</v>
      </c>
      <c r="F9241">
        <f t="shared" si="144"/>
        <v>111.2</v>
      </c>
    </row>
    <row r="9242" spans="1:6" x14ac:dyDescent="0.3">
      <c r="A9242" t="s">
        <v>1487</v>
      </c>
      <c r="B9242" t="s">
        <v>2126</v>
      </c>
      <c r="C9242">
        <v>35.5</v>
      </c>
      <c r="D9242">
        <v>200</v>
      </c>
      <c r="E9242">
        <f>IF(OR(B9242="vi",B9242="ii",B9242="pod"),(((D9242/100)*(C9242*VLOOKUP(B9242,'Poids des runes'!A:B,2,FALSE)))+1),(((D9242/100)*(C9242*VLOOKUP(B9242,'Poids des runes'!A:B,2,FALSE)))+1)/VLOOKUP(B9242,'Poids des runes'!A:B,2,FALSE))</f>
        <v>72</v>
      </c>
      <c r="F9242">
        <f t="shared" si="144"/>
        <v>72</v>
      </c>
    </row>
    <row r="9243" spans="1:6" x14ac:dyDescent="0.3">
      <c r="A9243" t="s">
        <v>1487</v>
      </c>
      <c r="B9243" t="s">
        <v>2131</v>
      </c>
      <c r="C9243">
        <v>35.5</v>
      </c>
      <c r="D9243">
        <v>200</v>
      </c>
      <c r="E9243">
        <f>IF(OR(B9243="vi",B9243="ii",B9243="pod"),(((D9243/100)*(C9243*VLOOKUP(B9243,'Poids des runes'!A:B,2,FALSE)))+1),(((D9243/100)*(C9243*VLOOKUP(B9243,'Poids des runes'!A:B,2,FALSE)))+1)/VLOOKUP(B9243,'Poids des runes'!A:B,2,FALSE))</f>
        <v>72</v>
      </c>
      <c r="F9243">
        <f t="shared" si="144"/>
        <v>72</v>
      </c>
    </row>
    <row r="9244" spans="1:6" x14ac:dyDescent="0.3">
      <c r="A9244" t="s">
        <v>1487</v>
      </c>
      <c r="B9244" t="s">
        <v>2129</v>
      </c>
      <c r="C9244">
        <v>25.5</v>
      </c>
      <c r="D9244">
        <v>200</v>
      </c>
      <c r="E9244">
        <f>IF(OR(B9244="vi",B9244="ii",B9244="pod"),(((D9244/100)*(C9244*VLOOKUP(B9244,'Poids des runes'!A:B,2,FALSE)))+1),(((D9244/100)*(C9244*VLOOKUP(B9244,'Poids des runes'!A:B,2,FALSE)))+1)/VLOOKUP(B9244,'Poids des runes'!A:B,2,FALSE))</f>
        <v>52</v>
      </c>
      <c r="F9244">
        <f t="shared" si="144"/>
        <v>52</v>
      </c>
    </row>
    <row r="9245" spans="1:6" x14ac:dyDescent="0.3">
      <c r="A9245" t="s">
        <v>1487</v>
      </c>
      <c r="B9245" t="s">
        <v>2155</v>
      </c>
      <c r="C9245">
        <v>1</v>
      </c>
      <c r="D9245">
        <v>200</v>
      </c>
      <c r="E9245">
        <f>IF(OR(B9245="vi",B9245="ii",B9245="pod"),(((D9245/100)*(C9245*VLOOKUP(B9245,'Poids des runes'!A:B,2,FALSE)))+1),(((D9245/100)*(C9245*VLOOKUP(B9245,'Poids des runes'!A:B,2,FALSE)))+1)/VLOOKUP(B9245,'Poids des runes'!A:B,2,FALSE))</f>
        <v>2.0196078431372548</v>
      </c>
      <c r="F9245">
        <f t="shared" si="144"/>
        <v>2.0196078431372548</v>
      </c>
    </row>
    <row r="9246" spans="1:6" x14ac:dyDescent="0.3">
      <c r="A9246" t="s">
        <v>1487</v>
      </c>
      <c r="B9246" t="s">
        <v>2140</v>
      </c>
      <c r="C9246">
        <v>10</v>
      </c>
      <c r="D9246">
        <v>200</v>
      </c>
      <c r="E9246">
        <f>IF(OR(B9246="vi",B9246="ii",B9246="pod"),(((D9246/100)*(C9246*VLOOKUP(B9246,'Poids des runes'!A:B,2,FALSE)))+1),(((D9246/100)*(C9246*VLOOKUP(B9246,'Poids des runes'!A:B,2,FALSE)))+1)/VLOOKUP(B9246,'Poids des runes'!A:B,2,FALSE))</f>
        <v>20.2</v>
      </c>
      <c r="F9246">
        <f t="shared" si="144"/>
        <v>20.2</v>
      </c>
    </row>
    <row r="9247" spans="1:6" x14ac:dyDescent="0.3">
      <c r="A9247" t="s">
        <v>1487</v>
      </c>
      <c r="B9247" t="s">
        <v>2133</v>
      </c>
      <c r="C9247">
        <v>10</v>
      </c>
      <c r="D9247">
        <v>200</v>
      </c>
      <c r="E9247">
        <f>IF(OR(B9247="vi",B9247="ii",B9247="pod"),(((D9247/100)*(C9247*VLOOKUP(B9247,'Poids des runes'!A:B,2,FALSE)))+1),(((D9247/100)*(C9247*VLOOKUP(B9247,'Poids des runes'!A:B,2,FALSE)))+1)/VLOOKUP(B9247,'Poids des runes'!A:B,2,FALSE))</f>
        <v>20.2</v>
      </c>
      <c r="F9247">
        <f t="shared" si="144"/>
        <v>20.2</v>
      </c>
    </row>
    <row r="9248" spans="1:6" x14ac:dyDescent="0.3">
      <c r="A9248" t="s">
        <v>1487</v>
      </c>
      <c r="B9248" t="s">
        <v>2149</v>
      </c>
      <c r="C9248">
        <v>8.5</v>
      </c>
      <c r="D9248">
        <v>200</v>
      </c>
      <c r="E9248">
        <f>IF(OR(B9248="vi",B9248="ii",B9248="pod"),(((D9248/100)*(C9248*VLOOKUP(B9248,'Poids des runes'!A:B,2,FALSE)))+1),(((D9248/100)*(C9248*VLOOKUP(B9248,'Poids des runes'!A:B,2,FALSE)))+1)/VLOOKUP(B9248,'Poids des runes'!A:B,2,FALSE))</f>
        <v>17.100000000000001</v>
      </c>
      <c r="F9248">
        <f t="shared" si="144"/>
        <v>17.100000000000001</v>
      </c>
    </row>
    <row r="9249" spans="1:6" x14ac:dyDescent="0.3">
      <c r="A9249" t="s">
        <v>1487</v>
      </c>
      <c r="B9249" t="s">
        <v>2158</v>
      </c>
      <c r="C9249">
        <v>8.5</v>
      </c>
      <c r="D9249">
        <v>200</v>
      </c>
      <c r="E9249">
        <f>IF(OR(B9249="vi",B9249="ii",B9249="pod"),(((D9249/100)*(C9249*VLOOKUP(B9249,'Poids des runes'!A:B,2,FALSE)))+1),(((D9249/100)*(C9249*VLOOKUP(B9249,'Poids des runes'!A:B,2,FALSE)))+1)/VLOOKUP(B9249,'Poids des runes'!A:B,2,FALSE))</f>
        <v>17.2</v>
      </c>
      <c r="F9249">
        <f t="shared" si="144"/>
        <v>17.2</v>
      </c>
    </row>
    <row r="9250" spans="1:6" x14ac:dyDescent="0.3">
      <c r="A9250" t="s">
        <v>1488</v>
      </c>
      <c r="B9250" t="s">
        <v>2128</v>
      </c>
      <c r="C9250">
        <v>275.5</v>
      </c>
      <c r="D9250">
        <v>200</v>
      </c>
      <c r="E9250">
        <f>IF(OR(B9250="vi",B9250="ii",B9250="pod"),(((D9250/100)*(C9250*VLOOKUP(B9250,'Poids des runes'!A:B,2,FALSE)))+1),(((D9250/100)*(C9250*VLOOKUP(B9250,'Poids des runes'!A:B,2,FALSE)))+1)/VLOOKUP(B9250,'Poids des runes'!A:B,2,FALSE))</f>
        <v>111.2</v>
      </c>
      <c r="F9250">
        <f t="shared" si="144"/>
        <v>111.2</v>
      </c>
    </row>
    <row r="9251" spans="1:6" x14ac:dyDescent="0.3">
      <c r="A9251" t="s">
        <v>1488</v>
      </c>
      <c r="B9251" t="s">
        <v>2130</v>
      </c>
      <c r="C9251">
        <v>35.5</v>
      </c>
      <c r="D9251">
        <v>200</v>
      </c>
      <c r="E9251">
        <f>IF(OR(B9251="vi",B9251="ii",B9251="pod"),(((D9251/100)*(C9251*VLOOKUP(B9251,'Poids des runes'!A:B,2,FALSE)))+1),(((D9251/100)*(C9251*VLOOKUP(B9251,'Poids des runes'!A:B,2,FALSE)))+1)/VLOOKUP(B9251,'Poids des runes'!A:B,2,FALSE))</f>
        <v>72</v>
      </c>
      <c r="F9251">
        <f t="shared" si="144"/>
        <v>72</v>
      </c>
    </row>
    <row r="9252" spans="1:6" x14ac:dyDescent="0.3">
      <c r="A9252" t="s">
        <v>1488</v>
      </c>
      <c r="B9252" t="s">
        <v>2126</v>
      </c>
      <c r="C9252">
        <v>35.5</v>
      </c>
      <c r="D9252">
        <v>200</v>
      </c>
      <c r="E9252">
        <f>IF(OR(B9252="vi",B9252="ii",B9252="pod"),(((D9252/100)*(C9252*VLOOKUP(B9252,'Poids des runes'!A:B,2,FALSE)))+1),(((D9252/100)*(C9252*VLOOKUP(B9252,'Poids des runes'!A:B,2,FALSE)))+1)/VLOOKUP(B9252,'Poids des runes'!A:B,2,FALSE))</f>
        <v>72</v>
      </c>
      <c r="F9252">
        <f t="shared" si="144"/>
        <v>72</v>
      </c>
    </row>
    <row r="9253" spans="1:6" x14ac:dyDescent="0.3">
      <c r="A9253" t="s">
        <v>1488</v>
      </c>
      <c r="B9253" t="s">
        <v>2127</v>
      </c>
      <c r="C9253">
        <v>35.5</v>
      </c>
      <c r="D9253">
        <v>200</v>
      </c>
      <c r="E9253">
        <f>IF(OR(B9253="vi",B9253="ii",B9253="pod"),(((D9253/100)*(C9253*VLOOKUP(B9253,'Poids des runes'!A:B,2,FALSE)))+1),(((D9253/100)*(C9253*VLOOKUP(B9253,'Poids des runes'!A:B,2,FALSE)))+1)/VLOOKUP(B9253,'Poids des runes'!A:B,2,FALSE))</f>
        <v>72</v>
      </c>
      <c r="F9253">
        <f t="shared" si="144"/>
        <v>72</v>
      </c>
    </row>
    <row r="9254" spans="1:6" x14ac:dyDescent="0.3">
      <c r="A9254" t="s">
        <v>1488</v>
      </c>
      <c r="B9254" t="s">
        <v>2143</v>
      </c>
      <c r="C9254">
        <v>8.5</v>
      </c>
      <c r="D9254">
        <v>200</v>
      </c>
      <c r="E9254">
        <f>IF(OR(B9254="vi",B9254="ii",B9254="pod"),(((D9254/100)*(C9254*VLOOKUP(B9254,'Poids des runes'!A:B,2,FALSE)))+1),(((D9254/100)*(C9254*VLOOKUP(B9254,'Poids des runes'!A:B,2,FALSE)))+1)/VLOOKUP(B9254,'Poids des runes'!A:B,2,FALSE))</f>
        <v>17.2</v>
      </c>
      <c r="F9254">
        <f t="shared" si="144"/>
        <v>17.2</v>
      </c>
    </row>
    <row r="9255" spans="1:6" x14ac:dyDescent="0.3">
      <c r="A9255" t="s">
        <v>1488</v>
      </c>
      <c r="B9255" t="s">
        <v>2140</v>
      </c>
      <c r="C9255">
        <v>8.5</v>
      </c>
      <c r="D9255">
        <v>200</v>
      </c>
      <c r="E9255">
        <f>IF(OR(B9255="vi",B9255="ii",B9255="pod"),(((D9255/100)*(C9255*VLOOKUP(B9255,'Poids des runes'!A:B,2,FALSE)))+1),(((D9255/100)*(C9255*VLOOKUP(B9255,'Poids des runes'!A:B,2,FALSE)))+1)/VLOOKUP(B9255,'Poids des runes'!A:B,2,FALSE))</f>
        <v>17.2</v>
      </c>
      <c r="F9255">
        <f t="shared" si="144"/>
        <v>17.2</v>
      </c>
    </row>
    <row r="9256" spans="1:6" x14ac:dyDescent="0.3">
      <c r="A9256" t="s">
        <v>1488</v>
      </c>
      <c r="B9256" t="s">
        <v>2153</v>
      </c>
      <c r="C9256">
        <v>8.5</v>
      </c>
      <c r="D9256">
        <v>200</v>
      </c>
      <c r="E9256">
        <f>IF(OR(B9256="vi",B9256="ii",B9256="pod"),(((D9256/100)*(C9256*VLOOKUP(B9256,'Poids des runes'!A:B,2,FALSE)))+1),(((D9256/100)*(C9256*VLOOKUP(B9256,'Poids des runes'!A:B,2,FALSE)))+1)/VLOOKUP(B9256,'Poids des runes'!A:B,2,FALSE))</f>
        <v>17.2</v>
      </c>
      <c r="F9256">
        <f t="shared" si="144"/>
        <v>17.2</v>
      </c>
    </row>
    <row r="9257" spans="1:6" x14ac:dyDescent="0.3">
      <c r="A9257" t="s">
        <v>1488</v>
      </c>
      <c r="B9257" t="s">
        <v>2132</v>
      </c>
      <c r="C9257">
        <v>250.5</v>
      </c>
      <c r="D9257">
        <v>200</v>
      </c>
      <c r="E9257">
        <f>IF(OR(B9257="vi",B9257="ii",B9257="pod"),(((D9257/100)*(C9257*VLOOKUP(B9257,'Poids des runes'!A:B,2,FALSE)))+1),(((D9257/100)*(C9257*VLOOKUP(B9257,'Poids des runes'!A:B,2,FALSE)))+1)/VLOOKUP(B9257,'Poids des runes'!A:B,2,FALSE))</f>
        <v>51.1</v>
      </c>
      <c r="F9257">
        <f t="shared" si="144"/>
        <v>51.1</v>
      </c>
    </row>
    <row r="9258" spans="1:6" x14ac:dyDescent="0.3">
      <c r="A9258" t="s">
        <v>1488</v>
      </c>
      <c r="B9258" t="s">
        <v>2138</v>
      </c>
      <c r="C9258">
        <v>5</v>
      </c>
      <c r="D9258">
        <v>200</v>
      </c>
      <c r="E9258">
        <f>IF(OR(B9258="vi",B9258="ii",B9258="pod"),(((D9258/100)*(C9258*VLOOKUP(B9258,'Poids des runes'!A:B,2,FALSE)))+1),(((D9258/100)*(C9258*VLOOKUP(B9258,'Poids des runes'!A:B,2,FALSE)))+1)/VLOOKUP(B9258,'Poids des runes'!A:B,2,FALSE))</f>
        <v>10.25</v>
      </c>
      <c r="F9258">
        <f t="shared" si="144"/>
        <v>10.25</v>
      </c>
    </row>
    <row r="9259" spans="1:6" x14ac:dyDescent="0.3">
      <c r="A9259" t="s">
        <v>1488</v>
      </c>
      <c r="B9259" t="s">
        <v>2135</v>
      </c>
      <c r="C9259">
        <v>7</v>
      </c>
      <c r="D9259">
        <v>200</v>
      </c>
      <c r="E9259">
        <f>IF(OR(B9259="vi",B9259="ii",B9259="pod"),(((D9259/100)*(C9259*VLOOKUP(B9259,'Poids des runes'!A:B,2,FALSE)))+1),(((D9259/100)*(C9259*VLOOKUP(B9259,'Poids des runes'!A:B,2,FALSE)))+1)/VLOOKUP(B9259,'Poids des runes'!A:B,2,FALSE))</f>
        <v>14.166666666666666</v>
      </c>
      <c r="F9259">
        <f t="shared" si="144"/>
        <v>14.166666666666666</v>
      </c>
    </row>
    <row r="9260" spans="1:6" x14ac:dyDescent="0.3">
      <c r="A9260" t="s">
        <v>1489</v>
      </c>
      <c r="B9260" t="s">
        <v>2128</v>
      </c>
      <c r="C9260">
        <v>225.5</v>
      </c>
      <c r="D9260">
        <v>200</v>
      </c>
      <c r="E9260">
        <f>IF(OR(B9260="vi",B9260="ii",B9260="pod"),(((D9260/100)*(C9260*VLOOKUP(B9260,'Poids des runes'!A:B,2,FALSE)))+1),(((D9260/100)*(C9260*VLOOKUP(B9260,'Poids des runes'!A:B,2,FALSE)))+1)/VLOOKUP(B9260,'Poids des runes'!A:B,2,FALSE))</f>
        <v>91.2</v>
      </c>
      <c r="F9260">
        <f t="shared" si="144"/>
        <v>91.2</v>
      </c>
    </row>
    <row r="9261" spans="1:6" x14ac:dyDescent="0.3">
      <c r="A9261" t="s">
        <v>1489</v>
      </c>
      <c r="B9261" t="s">
        <v>2130</v>
      </c>
      <c r="C9261">
        <v>35.5</v>
      </c>
      <c r="D9261">
        <v>200</v>
      </c>
      <c r="E9261">
        <f>IF(OR(B9261="vi",B9261="ii",B9261="pod"),(((D9261/100)*(C9261*VLOOKUP(B9261,'Poids des runes'!A:B,2,FALSE)))+1),(((D9261/100)*(C9261*VLOOKUP(B9261,'Poids des runes'!A:B,2,FALSE)))+1)/VLOOKUP(B9261,'Poids des runes'!A:B,2,FALSE))</f>
        <v>72</v>
      </c>
      <c r="F9261">
        <f t="shared" si="144"/>
        <v>72</v>
      </c>
    </row>
    <row r="9262" spans="1:6" x14ac:dyDescent="0.3">
      <c r="A9262" t="s">
        <v>1489</v>
      </c>
      <c r="B9262" t="s">
        <v>2126</v>
      </c>
      <c r="C9262">
        <v>35.5</v>
      </c>
      <c r="D9262">
        <v>200</v>
      </c>
      <c r="E9262">
        <f>IF(OR(B9262="vi",B9262="ii",B9262="pod"),(((D9262/100)*(C9262*VLOOKUP(B9262,'Poids des runes'!A:B,2,FALSE)))+1),(((D9262/100)*(C9262*VLOOKUP(B9262,'Poids des runes'!A:B,2,FALSE)))+1)/VLOOKUP(B9262,'Poids des runes'!A:B,2,FALSE))</f>
        <v>72</v>
      </c>
      <c r="F9262">
        <f t="shared" si="144"/>
        <v>72</v>
      </c>
    </row>
    <row r="9263" spans="1:6" x14ac:dyDescent="0.3">
      <c r="A9263" t="s">
        <v>1489</v>
      </c>
      <c r="B9263" t="s">
        <v>2131</v>
      </c>
      <c r="C9263">
        <v>35.5</v>
      </c>
      <c r="D9263">
        <v>200</v>
      </c>
      <c r="E9263">
        <f>IF(OR(B9263="vi",B9263="ii",B9263="pod"),(((D9263/100)*(C9263*VLOOKUP(B9263,'Poids des runes'!A:B,2,FALSE)))+1),(((D9263/100)*(C9263*VLOOKUP(B9263,'Poids des runes'!A:B,2,FALSE)))+1)/VLOOKUP(B9263,'Poids des runes'!A:B,2,FALSE))</f>
        <v>72</v>
      </c>
      <c r="F9263">
        <f t="shared" si="144"/>
        <v>72</v>
      </c>
    </row>
    <row r="9264" spans="1:6" x14ac:dyDescent="0.3">
      <c r="A9264" t="s">
        <v>1489</v>
      </c>
      <c r="B9264" t="s">
        <v>2129</v>
      </c>
      <c r="C9264">
        <v>25.5</v>
      </c>
      <c r="D9264">
        <v>200</v>
      </c>
      <c r="E9264">
        <f>IF(OR(B9264="vi",B9264="ii",B9264="pod"),(((D9264/100)*(C9264*VLOOKUP(B9264,'Poids des runes'!A:B,2,FALSE)))+1),(((D9264/100)*(C9264*VLOOKUP(B9264,'Poids des runes'!A:B,2,FALSE)))+1)/VLOOKUP(B9264,'Poids des runes'!A:B,2,FALSE))</f>
        <v>52</v>
      </c>
      <c r="F9264">
        <f t="shared" si="144"/>
        <v>52</v>
      </c>
    </row>
    <row r="9265" spans="1:6" x14ac:dyDescent="0.3">
      <c r="A9265" t="s">
        <v>1489</v>
      </c>
      <c r="B9265" t="s">
        <v>2143</v>
      </c>
      <c r="C9265">
        <v>6</v>
      </c>
      <c r="D9265">
        <v>200</v>
      </c>
      <c r="E9265">
        <f>IF(OR(B9265="vi",B9265="ii",B9265="pod"),(((D9265/100)*(C9265*VLOOKUP(B9265,'Poids des runes'!A:B,2,FALSE)))+1),(((D9265/100)*(C9265*VLOOKUP(B9265,'Poids des runes'!A:B,2,FALSE)))+1)/VLOOKUP(B9265,'Poids des runes'!A:B,2,FALSE))</f>
        <v>12.2</v>
      </c>
      <c r="F9265">
        <f t="shared" si="144"/>
        <v>12.2</v>
      </c>
    </row>
    <row r="9266" spans="1:6" x14ac:dyDescent="0.3">
      <c r="A9266" t="s">
        <v>1489</v>
      </c>
      <c r="B9266" t="s">
        <v>2140</v>
      </c>
      <c r="C9266">
        <v>6</v>
      </c>
      <c r="D9266">
        <v>200</v>
      </c>
      <c r="E9266">
        <f>IF(OR(B9266="vi",B9266="ii",B9266="pod"),(((D9266/100)*(C9266*VLOOKUP(B9266,'Poids des runes'!A:B,2,FALSE)))+1),(((D9266/100)*(C9266*VLOOKUP(B9266,'Poids des runes'!A:B,2,FALSE)))+1)/VLOOKUP(B9266,'Poids des runes'!A:B,2,FALSE))</f>
        <v>12.2</v>
      </c>
      <c r="F9266">
        <f t="shared" si="144"/>
        <v>12.2</v>
      </c>
    </row>
    <row r="9267" spans="1:6" x14ac:dyDescent="0.3">
      <c r="A9267" t="s">
        <v>1489</v>
      </c>
      <c r="B9267" t="s">
        <v>2133</v>
      </c>
      <c r="C9267">
        <v>6</v>
      </c>
      <c r="D9267">
        <v>200</v>
      </c>
      <c r="E9267">
        <f>IF(OR(B9267="vi",B9267="ii",B9267="pod"),(((D9267/100)*(C9267*VLOOKUP(B9267,'Poids des runes'!A:B,2,FALSE)))+1),(((D9267/100)*(C9267*VLOOKUP(B9267,'Poids des runes'!A:B,2,FALSE)))+1)/VLOOKUP(B9267,'Poids des runes'!A:B,2,FALSE))</f>
        <v>12.2</v>
      </c>
      <c r="F9267">
        <f t="shared" si="144"/>
        <v>12.2</v>
      </c>
    </row>
    <row r="9268" spans="1:6" x14ac:dyDescent="0.3">
      <c r="A9268" t="s">
        <v>1489</v>
      </c>
      <c r="B9268" t="s">
        <v>2165</v>
      </c>
      <c r="C9268">
        <v>6</v>
      </c>
      <c r="D9268">
        <v>200</v>
      </c>
      <c r="E9268">
        <f>IF(OR(B9268="vi",B9268="ii",B9268="pod"),(((D9268/100)*(C9268*VLOOKUP(B9268,'Poids des runes'!A:B,2,FALSE)))+1),(((D9268/100)*(C9268*VLOOKUP(B9268,'Poids des runes'!A:B,2,FALSE)))+1)/VLOOKUP(B9268,'Poids des runes'!A:B,2,FALSE))</f>
        <v>12.142857142857142</v>
      </c>
      <c r="F9268">
        <f t="shared" si="144"/>
        <v>12.142857142857142</v>
      </c>
    </row>
    <row r="9269" spans="1:6" x14ac:dyDescent="0.3">
      <c r="A9269" t="s">
        <v>1489</v>
      </c>
      <c r="B9269" t="s">
        <v>2148</v>
      </c>
      <c r="C9269">
        <v>8.5</v>
      </c>
      <c r="D9269">
        <v>200</v>
      </c>
      <c r="E9269">
        <f>IF(OR(B9269="vi",B9269="ii",B9269="pod"),(((D9269/100)*(C9269*VLOOKUP(B9269,'Poids des runes'!A:B,2,FALSE)))+1),(((D9269/100)*(C9269*VLOOKUP(B9269,'Poids des runes'!A:B,2,FALSE)))+1)/VLOOKUP(B9269,'Poids des runes'!A:B,2,FALSE))</f>
        <v>17.166666666666668</v>
      </c>
      <c r="F9269">
        <f t="shared" si="144"/>
        <v>17.166666666666668</v>
      </c>
    </row>
    <row r="9270" spans="1:6" x14ac:dyDescent="0.3">
      <c r="A9270" t="s">
        <v>1490</v>
      </c>
      <c r="B9270" t="s">
        <v>2128</v>
      </c>
      <c r="C9270">
        <v>225.5</v>
      </c>
      <c r="D9270">
        <v>200</v>
      </c>
      <c r="E9270">
        <f>IF(OR(B9270="vi",B9270="ii",B9270="pod"),(((D9270/100)*(C9270*VLOOKUP(B9270,'Poids des runes'!A:B,2,FALSE)))+1),(((D9270/100)*(C9270*VLOOKUP(B9270,'Poids des runes'!A:B,2,FALSE)))+1)/VLOOKUP(B9270,'Poids des runes'!A:B,2,FALSE))</f>
        <v>91.2</v>
      </c>
      <c r="F9270">
        <f t="shared" si="144"/>
        <v>91.2</v>
      </c>
    </row>
    <row r="9271" spans="1:6" x14ac:dyDescent="0.3">
      <c r="A9271" t="s">
        <v>1490</v>
      </c>
      <c r="B9271" t="s">
        <v>2130</v>
      </c>
      <c r="C9271">
        <v>40.5</v>
      </c>
      <c r="D9271">
        <v>200</v>
      </c>
      <c r="E9271">
        <f>IF(OR(B9271="vi",B9271="ii",B9271="pod"),(((D9271/100)*(C9271*VLOOKUP(B9271,'Poids des runes'!A:B,2,FALSE)))+1),(((D9271/100)*(C9271*VLOOKUP(B9271,'Poids des runes'!A:B,2,FALSE)))+1)/VLOOKUP(B9271,'Poids des runes'!A:B,2,FALSE))</f>
        <v>82</v>
      </c>
      <c r="F9271">
        <f t="shared" si="144"/>
        <v>82</v>
      </c>
    </row>
    <row r="9272" spans="1:6" x14ac:dyDescent="0.3">
      <c r="A9272" t="s">
        <v>1490</v>
      </c>
      <c r="B9272" t="s">
        <v>2131</v>
      </c>
      <c r="C9272">
        <v>40.5</v>
      </c>
      <c r="D9272">
        <v>200</v>
      </c>
      <c r="E9272">
        <f>IF(OR(B9272="vi",B9272="ii",B9272="pod"),(((D9272/100)*(C9272*VLOOKUP(B9272,'Poids des runes'!A:B,2,FALSE)))+1),(((D9272/100)*(C9272*VLOOKUP(B9272,'Poids des runes'!A:B,2,FALSE)))+1)/VLOOKUP(B9272,'Poids des runes'!A:B,2,FALSE))</f>
        <v>82</v>
      </c>
      <c r="F9272">
        <f t="shared" si="144"/>
        <v>82</v>
      </c>
    </row>
    <row r="9273" spans="1:6" x14ac:dyDescent="0.3">
      <c r="A9273" t="s">
        <v>1490</v>
      </c>
      <c r="B9273" t="s">
        <v>2129</v>
      </c>
      <c r="C9273">
        <v>15.5</v>
      </c>
      <c r="D9273">
        <v>200</v>
      </c>
      <c r="E9273">
        <f>IF(OR(B9273="vi",B9273="ii",B9273="pod"),(((D9273/100)*(C9273*VLOOKUP(B9273,'Poids des runes'!A:B,2,FALSE)))+1),(((D9273/100)*(C9273*VLOOKUP(B9273,'Poids des runes'!A:B,2,FALSE)))+1)/VLOOKUP(B9273,'Poids des runes'!A:B,2,FALSE))</f>
        <v>32</v>
      </c>
      <c r="F9273">
        <f t="shared" si="144"/>
        <v>32</v>
      </c>
    </row>
    <row r="9274" spans="1:6" x14ac:dyDescent="0.3">
      <c r="A9274" t="s">
        <v>1490</v>
      </c>
      <c r="B9274" t="s">
        <v>2155</v>
      </c>
      <c r="C9274">
        <v>1</v>
      </c>
      <c r="D9274">
        <v>200</v>
      </c>
      <c r="E9274">
        <f>IF(OR(B9274="vi",B9274="ii",B9274="pod"),(((D9274/100)*(C9274*VLOOKUP(B9274,'Poids des runes'!A:B,2,FALSE)))+1),(((D9274/100)*(C9274*VLOOKUP(B9274,'Poids des runes'!A:B,2,FALSE)))+1)/VLOOKUP(B9274,'Poids des runes'!A:B,2,FALSE))</f>
        <v>2.0196078431372548</v>
      </c>
      <c r="F9274">
        <f t="shared" si="144"/>
        <v>2.0196078431372548</v>
      </c>
    </row>
    <row r="9275" spans="1:6" x14ac:dyDescent="0.3">
      <c r="A9275" t="s">
        <v>1490</v>
      </c>
      <c r="B9275" t="s">
        <v>2143</v>
      </c>
      <c r="C9275">
        <v>8</v>
      </c>
      <c r="D9275">
        <v>200</v>
      </c>
      <c r="E9275">
        <f>IF(OR(B9275="vi",B9275="ii",B9275="pod"),(((D9275/100)*(C9275*VLOOKUP(B9275,'Poids des runes'!A:B,2,FALSE)))+1),(((D9275/100)*(C9275*VLOOKUP(B9275,'Poids des runes'!A:B,2,FALSE)))+1)/VLOOKUP(B9275,'Poids des runes'!A:B,2,FALSE))</f>
        <v>16.2</v>
      </c>
      <c r="F9275">
        <f t="shared" si="144"/>
        <v>16.2</v>
      </c>
    </row>
    <row r="9276" spans="1:6" x14ac:dyDescent="0.3">
      <c r="A9276" t="s">
        <v>1490</v>
      </c>
      <c r="B9276" t="s">
        <v>2133</v>
      </c>
      <c r="C9276">
        <v>8</v>
      </c>
      <c r="D9276">
        <v>200</v>
      </c>
      <c r="E9276">
        <f>IF(OR(B9276="vi",B9276="ii",B9276="pod"),(((D9276/100)*(C9276*VLOOKUP(B9276,'Poids des runes'!A:B,2,FALSE)))+1),(((D9276/100)*(C9276*VLOOKUP(B9276,'Poids des runes'!A:B,2,FALSE)))+1)/VLOOKUP(B9276,'Poids des runes'!A:B,2,FALSE))</f>
        <v>16.2</v>
      </c>
      <c r="F9276">
        <f t="shared" si="144"/>
        <v>16.2</v>
      </c>
    </row>
    <row r="9277" spans="1:6" x14ac:dyDescent="0.3">
      <c r="A9277" t="s">
        <v>1490</v>
      </c>
      <c r="B9277" t="s">
        <v>2156</v>
      </c>
      <c r="C9277">
        <v>6</v>
      </c>
      <c r="D9277">
        <v>200</v>
      </c>
      <c r="E9277">
        <f>IF(OR(B9277="vi",B9277="ii",B9277="pod"),(((D9277/100)*(C9277*VLOOKUP(B9277,'Poids des runes'!A:B,2,FALSE)))+1),(((D9277/100)*(C9277*VLOOKUP(B9277,'Poids des runes'!A:B,2,FALSE)))+1)/VLOOKUP(B9277,'Poids des runes'!A:B,2,FALSE))</f>
        <v>12.166666666666666</v>
      </c>
      <c r="F9277">
        <f t="shared" si="144"/>
        <v>12.166666666666666</v>
      </c>
    </row>
    <row r="9278" spans="1:6" x14ac:dyDescent="0.3">
      <c r="A9278" t="s">
        <v>1490</v>
      </c>
      <c r="B9278" t="s">
        <v>2135</v>
      </c>
      <c r="C9278">
        <v>6</v>
      </c>
      <c r="D9278">
        <v>200</v>
      </c>
      <c r="E9278">
        <f>IF(OR(B9278="vi",B9278="ii",B9278="pod"),(((D9278/100)*(C9278*VLOOKUP(B9278,'Poids des runes'!A:B,2,FALSE)))+1),(((D9278/100)*(C9278*VLOOKUP(B9278,'Poids des runes'!A:B,2,FALSE)))+1)/VLOOKUP(B9278,'Poids des runes'!A:B,2,FALSE))</f>
        <v>12.166666666666666</v>
      </c>
      <c r="F9278">
        <f t="shared" si="144"/>
        <v>12.166666666666666</v>
      </c>
    </row>
    <row r="9279" spans="1:6" x14ac:dyDescent="0.3">
      <c r="A9279" t="s">
        <v>1491</v>
      </c>
      <c r="B9279" t="s">
        <v>2128</v>
      </c>
      <c r="C9279">
        <v>275.5</v>
      </c>
      <c r="D9279">
        <v>200</v>
      </c>
      <c r="E9279">
        <f>IF(OR(B9279="vi",B9279="ii",B9279="pod"),(((D9279/100)*(C9279*VLOOKUP(B9279,'Poids des runes'!A:B,2,FALSE)))+1),(((D9279/100)*(C9279*VLOOKUP(B9279,'Poids des runes'!A:B,2,FALSE)))+1)/VLOOKUP(B9279,'Poids des runes'!A:B,2,FALSE))</f>
        <v>111.2</v>
      </c>
      <c r="F9279">
        <f t="shared" si="144"/>
        <v>111.2</v>
      </c>
    </row>
    <row r="9280" spans="1:6" x14ac:dyDescent="0.3">
      <c r="A9280" t="s">
        <v>1491</v>
      </c>
      <c r="B9280" t="s">
        <v>2127</v>
      </c>
      <c r="C9280">
        <v>50.5</v>
      </c>
      <c r="D9280">
        <v>200</v>
      </c>
      <c r="E9280">
        <f>IF(OR(B9280="vi",B9280="ii",B9280="pod"),(((D9280/100)*(C9280*VLOOKUP(B9280,'Poids des runes'!A:B,2,FALSE)))+1),(((D9280/100)*(C9280*VLOOKUP(B9280,'Poids des runes'!A:B,2,FALSE)))+1)/VLOOKUP(B9280,'Poids des runes'!A:B,2,FALSE))</f>
        <v>102</v>
      </c>
      <c r="F9280">
        <f t="shared" si="144"/>
        <v>102</v>
      </c>
    </row>
    <row r="9281" spans="1:6" x14ac:dyDescent="0.3">
      <c r="A9281" t="s">
        <v>1491</v>
      </c>
      <c r="B9281" t="s">
        <v>2129</v>
      </c>
      <c r="C9281">
        <v>35.5</v>
      </c>
      <c r="D9281">
        <v>200</v>
      </c>
      <c r="E9281">
        <f>IF(OR(B9281="vi",B9281="ii",B9281="pod"),(((D9281/100)*(C9281*VLOOKUP(B9281,'Poids des runes'!A:B,2,FALSE)))+1),(((D9281/100)*(C9281*VLOOKUP(B9281,'Poids des runes'!A:B,2,FALSE)))+1)/VLOOKUP(B9281,'Poids des runes'!A:B,2,FALSE))</f>
        <v>72</v>
      </c>
      <c r="F9281">
        <f t="shared" si="144"/>
        <v>72</v>
      </c>
    </row>
    <row r="9282" spans="1:6" x14ac:dyDescent="0.3">
      <c r="A9282" t="s">
        <v>1491</v>
      </c>
      <c r="B9282" t="s">
        <v>2155</v>
      </c>
      <c r="C9282">
        <v>1</v>
      </c>
      <c r="D9282">
        <v>200</v>
      </c>
      <c r="E9282">
        <f>IF(OR(B9282="vi",B9282="ii",B9282="pod"),(((D9282/100)*(C9282*VLOOKUP(B9282,'Poids des runes'!A:B,2,FALSE)))+1),(((D9282/100)*(C9282*VLOOKUP(B9282,'Poids des runes'!A:B,2,FALSE)))+1)/VLOOKUP(B9282,'Poids des runes'!A:B,2,FALSE))</f>
        <v>2.0196078431372548</v>
      </c>
      <c r="F9282">
        <f t="shared" si="144"/>
        <v>2.0196078431372548</v>
      </c>
    </row>
    <row r="9283" spans="1:6" x14ac:dyDescent="0.3">
      <c r="A9283" t="s">
        <v>1491</v>
      </c>
      <c r="B9283" t="s">
        <v>2153</v>
      </c>
      <c r="C9283">
        <v>13</v>
      </c>
      <c r="D9283">
        <v>200</v>
      </c>
      <c r="E9283">
        <f>IF(OR(B9283="vi",B9283="ii",B9283="pod"),(((D9283/100)*(C9283*VLOOKUP(B9283,'Poids des runes'!A:B,2,FALSE)))+1),(((D9283/100)*(C9283*VLOOKUP(B9283,'Poids des runes'!A:B,2,FALSE)))+1)/VLOOKUP(B9283,'Poids des runes'!A:B,2,FALSE))</f>
        <v>26.2</v>
      </c>
      <c r="F9283">
        <f t="shared" ref="F9283:F9346" si="145">E9283</f>
        <v>26.2</v>
      </c>
    </row>
    <row r="9284" spans="1:6" x14ac:dyDescent="0.3">
      <c r="A9284" t="s">
        <v>1491</v>
      </c>
      <c r="B9284" t="s">
        <v>2161</v>
      </c>
      <c r="C9284">
        <v>13</v>
      </c>
      <c r="D9284">
        <v>200</v>
      </c>
      <c r="E9284">
        <f>IF(OR(B9284="vi",B9284="ii",B9284="pod"),(((D9284/100)*(C9284*VLOOKUP(B9284,'Poids des runes'!A:B,2,FALSE)))+1),(((D9284/100)*(C9284*VLOOKUP(B9284,'Poids des runes'!A:B,2,FALSE)))+1)/VLOOKUP(B9284,'Poids des runes'!A:B,2,FALSE))</f>
        <v>26.333333333333332</v>
      </c>
      <c r="F9284">
        <f t="shared" si="145"/>
        <v>26.333333333333332</v>
      </c>
    </row>
    <row r="9285" spans="1:6" x14ac:dyDescent="0.3">
      <c r="A9285" t="s">
        <v>1491</v>
      </c>
      <c r="B9285" t="s">
        <v>2162</v>
      </c>
      <c r="C9285">
        <v>5</v>
      </c>
      <c r="D9285">
        <v>200</v>
      </c>
      <c r="E9285">
        <f>IF(OR(B9285="vi",B9285="ii",B9285="pod"),(((D9285/100)*(C9285*VLOOKUP(B9285,'Poids des runes'!A:B,2,FALSE)))+1),(((D9285/100)*(C9285*VLOOKUP(B9285,'Poids des runes'!A:B,2,FALSE)))+1)/VLOOKUP(B9285,'Poids des runes'!A:B,2,FALSE))</f>
        <v>10.142857142857142</v>
      </c>
      <c r="F9285">
        <f t="shared" si="145"/>
        <v>10.142857142857142</v>
      </c>
    </row>
    <row r="9286" spans="1:6" x14ac:dyDescent="0.3">
      <c r="A9286" t="s">
        <v>1491</v>
      </c>
      <c r="B9286" t="s">
        <v>2164</v>
      </c>
      <c r="C9286">
        <v>13</v>
      </c>
      <c r="D9286">
        <v>200</v>
      </c>
      <c r="E9286">
        <f>IF(OR(B9286="vi",B9286="ii",B9286="pod"),(((D9286/100)*(C9286*VLOOKUP(B9286,'Poids des runes'!A:B,2,FALSE)))+1),(((D9286/100)*(C9286*VLOOKUP(B9286,'Poids des runes'!A:B,2,FALSE)))+1)/VLOOKUP(B9286,'Poids des runes'!A:B,2,FALSE))</f>
        <v>26.5</v>
      </c>
      <c r="F9286">
        <f t="shared" si="145"/>
        <v>26.5</v>
      </c>
    </row>
    <row r="9287" spans="1:6" x14ac:dyDescent="0.3">
      <c r="A9287" t="s">
        <v>1491</v>
      </c>
      <c r="B9287" t="s">
        <v>2148</v>
      </c>
      <c r="C9287">
        <v>8.5</v>
      </c>
      <c r="D9287">
        <v>200</v>
      </c>
      <c r="E9287">
        <f>IF(OR(B9287="vi",B9287="ii",B9287="pod"),(((D9287/100)*(C9287*VLOOKUP(B9287,'Poids des runes'!A:B,2,FALSE)))+1),(((D9287/100)*(C9287*VLOOKUP(B9287,'Poids des runes'!A:B,2,FALSE)))+1)/VLOOKUP(B9287,'Poids des runes'!A:B,2,FALSE))</f>
        <v>17.166666666666668</v>
      </c>
      <c r="F9287">
        <f t="shared" si="145"/>
        <v>17.166666666666668</v>
      </c>
    </row>
    <row r="9288" spans="1:6" x14ac:dyDescent="0.3">
      <c r="A9288" t="s">
        <v>1492</v>
      </c>
      <c r="B9288" t="s">
        <v>2128</v>
      </c>
      <c r="C9288">
        <v>175.5</v>
      </c>
      <c r="D9288">
        <v>200</v>
      </c>
      <c r="E9288">
        <f>IF(OR(B9288="vi",B9288="ii",B9288="pod"),(((D9288/100)*(C9288*VLOOKUP(B9288,'Poids des runes'!A:B,2,FALSE)))+1),(((D9288/100)*(C9288*VLOOKUP(B9288,'Poids des runes'!A:B,2,FALSE)))+1)/VLOOKUP(B9288,'Poids des runes'!A:B,2,FALSE))</f>
        <v>71.2</v>
      </c>
      <c r="F9288">
        <f t="shared" si="145"/>
        <v>71.2</v>
      </c>
    </row>
    <row r="9289" spans="1:6" x14ac:dyDescent="0.3">
      <c r="A9289" t="s">
        <v>1492</v>
      </c>
      <c r="B9289" t="s">
        <v>2131</v>
      </c>
      <c r="C9289">
        <v>35.5</v>
      </c>
      <c r="D9289">
        <v>200</v>
      </c>
      <c r="E9289">
        <f>IF(OR(B9289="vi",B9289="ii",B9289="pod"),(((D9289/100)*(C9289*VLOOKUP(B9289,'Poids des runes'!A:B,2,FALSE)))+1),(((D9289/100)*(C9289*VLOOKUP(B9289,'Poids des runes'!A:B,2,FALSE)))+1)/VLOOKUP(B9289,'Poids des runes'!A:B,2,FALSE))</f>
        <v>72</v>
      </c>
      <c r="F9289">
        <f t="shared" si="145"/>
        <v>72</v>
      </c>
    </row>
    <row r="9290" spans="1:6" x14ac:dyDescent="0.3">
      <c r="A9290" t="s">
        <v>1492</v>
      </c>
      <c r="B9290" t="s">
        <v>2127</v>
      </c>
      <c r="C9290">
        <v>35.5</v>
      </c>
      <c r="D9290">
        <v>200</v>
      </c>
      <c r="E9290">
        <f>IF(OR(B9290="vi",B9290="ii",B9290="pod"),(((D9290/100)*(C9290*VLOOKUP(B9290,'Poids des runes'!A:B,2,FALSE)))+1),(((D9290/100)*(C9290*VLOOKUP(B9290,'Poids des runes'!A:B,2,FALSE)))+1)/VLOOKUP(B9290,'Poids des runes'!A:B,2,FALSE))</f>
        <v>72</v>
      </c>
      <c r="F9290">
        <f t="shared" si="145"/>
        <v>72</v>
      </c>
    </row>
    <row r="9291" spans="1:6" x14ac:dyDescent="0.3">
      <c r="A9291" t="s">
        <v>1492</v>
      </c>
      <c r="B9291" t="s">
        <v>2129</v>
      </c>
      <c r="C9291">
        <v>35.5</v>
      </c>
      <c r="D9291">
        <v>200</v>
      </c>
      <c r="E9291">
        <f>IF(OR(B9291="vi",B9291="ii",B9291="pod"),(((D9291/100)*(C9291*VLOOKUP(B9291,'Poids des runes'!A:B,2,FALSE)))+1),(((D9291/100)*(C9291*VLOOKUP(B9291,'Poids des runes'!A:B,2,FALSE)))+1)/VLOOKUP(B9291,'Poids des runes'!A:B,2,FALSE))</f>
        <v>72</v>
      </c>
      <c r="F9291">
        <f t="shared" si="145"/>
        <v>72</v>
      </c>
    </row>
    <row r="9292" spans="1:6" x14ac:dyDescent="0.3">
      <c r="A9292" t="s">
        <v>1492</v>
      </c>
      <c r="B9292" t="s">
        <v>2155</v>
      </c>
      <c r="C9292">
        <v>1</v>
      </c>
      <c r="D9292">
        <v>200</v>
      </c>
      <c r="E9292">
        <f>IF(OR(B9292="vi",B9292="ii",B9292="pod"),(((D9292/100)*(C9292*VLOOKUP(B9292,'Poids des runes'!A:B,2,FALSE)))+1),(((D9292/100)*(C9292*VLOOKUP(B9292,'Poids des runes'!A:B,2,FALSE)))+1)/VLOOKUP(B9292,'Poids des runes'!A:B,2,FALSE))</f>
        <v>2.0196078431372548</v>
      </c>
      <c r="F9292">
        <f t="shared" si="145"/>
        <v>2.0196078431372548</v>
      </c>
    </row>
    <row r="9293" spans="1:6" x14ac:dyDescent="0.3">
      <c r="A9293" t="s">
        <v>1492</v>
      </c>
      <c r="B9293" t="s">
        <v>2133</v>
      </c>
      <c r="C9293">
        <v>8.5</v>
      </c>
      <c r="D9293">
        <v>200</v>
      </c>
      <c r="E9293">
        <f>IF(OR(B9293="vi",B9293="ii",B9293="pod"),(((D9293/100)*(C9293*VLOOKUP(B9293,'Poids des runes'!A:B,2,FALSE)))+1),(((D9293/100)*(C9293*VLOOKUP(B9293,'Poids des runes'!A:B,2,FALSE)))+1)/VLOOKUP(B9293,'Poids des runes'!A:B,2,FALSE))</f>
        <v>17.2</v>
      </c>
      <c r="F9293">
        <f t="shared" si="145"/>
        <v>17.2</v>
      </c>
    </row>
    <row r="9294" spans="1:6" x14ac:dyDescent="0.3">
      <c r="A9294" t="s">
        <v>1492</v>
      </c>
      <c r="B9294" t="s">
        <v>2153</v>
      </c>
      <c r="C9294">
        <v>8.5</v>
      </c>
      <c r="D9294">
        <v>200</v>
      </c>
      <c r="E9294">
        <f>IF(OR(B9294="vi",B9294="ii",B9294="pod"),(((D9294/100)*(C9294*VLOOKUP(B9294,'Poids des runes'!A:B,2,FALSE)))+1),(((D9294/100)*(C9294*VLOOKUP(B9294,'Poids des runes'!A:B,2,FALSE)))+1)/VLOOKUP(B9294,'Poids des runes'!A:B,2,FALSE))</f>
        <v>17.2</v>
      </c>
      <c r="F9294">
        <f t="shared" si="145"/>
        <v>17.2</v>
      </c>
    </row>
    <row r="9295" spans="1:6" x14ac:dyDescent="0.3">
      <c r="A9295" t="s">
        <v>1492</v>
      </c>
      <c r="B9295" t="s">
        <v>2161</v>
      </c>
      <c r="C9295">
        <v>13</v>
      </c>
      <c r="D9295">
        <v>200</v>
      </c>
      <c r="E9295">
        <f>IF(OR(B9295="vi",B9295="ii",B9295="pod"),(((D9295/100)*(C9295*VLOOKUP(B9295,'Poids des runes'!A:B,2,FALSE)))+1),(((D9295/100)*(C9295*VLOOKUP(B9295,'Poids des runes'!A:B,2,FALSE)))+1)/VLOOKUP(B9295,'Poids des runes'!A:B,2,FALSE))</f>
        <v>26.333333333333332</v>
      </c>
      <c r="F9295">
        <f t="shared" si="145"/>
        <v>26.333333333333332</v>
      </c>
    </row>
    <row r="9296" spans="1:6" x14ac:dyDescent="0.3">
      <c r="A9296" t="s">
        <v>1492</v>
      </c>
      <c r="B9296" t="s">
        <v>2138</v>
      </c>
      <c r="C9296">
        <v>4</v>
      </c>
      <c r="D9296">
        <v>200</v>
      </c>
      <c r="E9296">
        <f>IF(OR(B9296="vi",B9296="ii",B9296="pod"),(((D9296/100)*(C9296*VLOOKUP(B9296,'Poids des runes'!A:B,2,FALSE)))+1),(((D9296/100)*(C9296*VLOOKUP(B9296,'Poids des runes'!A:B,2,FALSE)))+1)/VLOOKUP(B9296,'Poids des runes'!A:B,2,FALSE))</f>
        <v>8.25</v>
      </c>
      <c r="F9296">
        <f t="shared" si="145"/>
        <v>8.25</v>
      </c>
    </row>
    <row r="9297" spans="1:6" x14ac:dyDescent="0.3">
      <c r="A9297" t="s">
        <v>1492</v>
      </c>
      <c r="B9297" t="s">
        <v>2163</v>
      </c>
      <c r="C9297">
        <v>6.5</v>
      </c>
      <c r="D9297">
        <v>200</v>
      </c>
      <c r="E9297">
        <f>IF(OR(B9297="vi",B9297="ii",B9297="pod"),(((D9297/100)*(C9297*VLOOKUP(B9297,'Poids des runes'!A:B,2,FALSE)))+1),(((D9297/100)*(C9297*VLOOKUP(B9297,'Poids des runes'!A:B,2,FALSE)))+1)/VLOOKUP(B9297,'Poids des runes'!A:B,2,FALSE))</f>
        <v>13.5</v>
      </c>
      <c r="F9297">
        <f t="shared" si="145"/>
        <v>13.5</v>
      </c>
    </row>
    <row r="9298" spans="1:6" x14ac:dyDescent="0.3">
      <c r="A9298" t="s">
        <v>1492</v>
      </c>
      <c r="B9298" t="s">
        <v>2156</v>
      </c>
      <c r="C9298">
        <v>4</v>
      </c>
      <c r="D9298">
        <v>200</v>
      </c>
      <c r="E9298">
        <f>IF(OR(B9298="vi",B9298="ii",B9298="pod"),(((D9298/100)*(C9298*VLOOKUP(B9298,'Poids des runes'!A:B,2,FALSE)))+1),(((D9298/100)*(C9298*VLOOKUP(B9298,'Poids des runes'!A:B,2,FALSE)))+1)/VLOOKUP(B9298,'Poids des runes'!A:B,2,FALSE))</f>
        <v>8.1666666666666661</v>
      </c>
      <c r="F9298">
        <f t="shared" si="145"/>
        <v>8.1666666666666661</v>
      </c>
    </row>
    <row r="9299" spans="1:6" x14ac:dyDescent="0.3">
      <c r="A9299" t="s">
        <v>1492</v>
      </c>
      <c r="B9299" t="s">
        <v>2148</v>
      </c>
      <c r="C9299">
        <v>4</v>
      </c>
      <c r="D9299">
        <v>200</v>
      </c>
      <c r="E9299">
        <f>IF(OR(B9299="vi",B9299="ii",B9299="pod"),(((D9299/100)*(C9299*VLOOKUP(B9299,'Poids des runes'!A:B,2,FALSE)))+1),(((D9299/100)*(C9299*VLOOKUP(B9299,'Poids des runes'!A:B,2,FALSE)))+1)/VLOOKUP(B9299,'Poids des runes'!A:B,2,FALSE))</f>
        <v>8.1666666666666661</v>
      </c>
      <c r="F9299">
        <f t="shared" si="145"/>
        <v>8.1666666666666661</v>
      </c>
    </row>
    <row r="9300" spans="1:6" x14ac:dyDescent="0.3">
      <c r="A9300" t="s">
        <v>1493</v>
      </c>
      <c r="B9300" t="s">
        <v>2128</v>
      </c>
      <c r="C9300">
        <v>275.5</v>
      </c>
      <c r="D9300">
        <v>200</v>
      </c>
      <c r="E9300">
        <f>IF(OR(B9300="vi",B9300="ii",B9300="pod"),(((D9300/100)*(C9300*VLOOKUP(B9300,'Poids des runes'!A:B,2,FALSE)))+1),(((D9300/100)*(C9300*VLOOKUP(B9300,'Poids des runes'!A:B,2,FALSE)))+1)/VLOOKUP(B9300,'Poids des runes'!A:B,2,FALSE))</f>
        <v>111.2</v>
      </c>
      <c r="F9300">
        <f t="shared" si="145"/>
        <v>111.2</v>
      </c>
    </row>
    <row r="9301" spans="1:6" x14ac:dyDescent="0.3">
      <c r="A9301" t="s">
        <v>1493</v>
      </c>
      <c r="B9301" t="s">
        <v>2126</v>
      </c>
      <c r="C9301">
        <v>35.5</v>
      </c>
      <c r="D9301">
        <v>200</v>
      </c>
      <c r="E9301">
        <f>IF(OR(B9301="vi",B9301="ii",B9301="pod"),(((D9301/100)*(C9301*VLOOKUP(B9301,'Poids des runes'!A:B,2,FALSE)))+1),(((D9301/100)*(C9301*VLOOKUP(B9301,'Poids des runes'!A:B,2,FALSE)))+1)/VLOOKUP(B9301,'Poids des runes'!A:B,2,FALSE))</f>
        <v>72</v>
      </c>
      <c r="F9301">
        <f t="shared" si="145"/>
        <v>72</v>
      </c>
    </row>
    <row r="9302" spans="1:6" x14ac:dyDescent="0.3">
      <c r="A9302" t="s">
        <v>1493</v>
      </c>
      <c r="B9302" t="s">
        <v>2129</v>
      </c>
      <c r="C9302">
        <v>25.5</v>
      </c>
      <c r="D9302">
        <v>200</v>
      </c>
      <c r="E9302">
        <f>IF(OR(B9302="vi",B9302="ii",B9302="pod"),(((D9302/100)*(C9302*VLOOKUP(B9302,'Poids des runes'!A:B,2,FALSE)))+1),(((D9302/100)*(C9302*VLOOKUP(B9302,'Poids des runes'!A:B,2,FALSE)))+1)/VLOOKUP(B9302,'Poids des runes'!A:B,2,FALSE))</f>
        <v>52</v>
      </c>
      <c r="F9302">
        <f t="shared" si="145"/>
        <v>52</v>
      </c>
    </row>
    <row r="9303" spans="1:6" x14ac:dyDescent="0.3">
      <c r="A9303" t="s">
        <v>1493</v>
      </c>
      <c r="B9303" t="s">
        <v>2139</v>
      </c>
      <c r="C9303">
        <v>13</v>
      </c>
      <c r="D9303">
        <v>200</v>
      </c>
      <c r="E9303">
        <f>IF(OR(B9303="vi",B9303="ii",B9303="pod"),(((D9303/100)*(C9303*VLOOKUP(B9303,'Poids des runes'!A:B,2,FALSE)))+1),(((D9303/100)*(C9303*VLOOKUP(B9303,'Poids des runes'!A:B,2,FALSE)))+1)/VLOOKUP(B9303,'Poids des runes'!A:B,2,FALSE))</f>
        <v>26.5</v>
      </c>
      <c r="F9303">
        <f t="shared" si="145"/>
        <v>26.5</v>
      </c>
    </row>
    <row r="9304" spans="1:6" x14ac:dyDescent="0.3">
      <c r="A9304" t="s">
        <v>1493</v>
      </c>
      <c r="B9304" t="s">
        <v>2154</v>
      </c>
      <c r="C9304">
        <v>1</v>
      </c>
      <c r="D9304">
        <v>200</v>
      </c>
      <c r="E9304">
        <f>IF(OR(B9304="vi",B9304="ii",B9304="pod"),(((D9304/100)*(C9304*VLOOKUP(B9304,'Poids des runes'!A:B,2,FALSE)))+1),(((D9304/100)*(C9304*VLOOKUP(B9304,'Poids des runes'!A:B,2,FALSE)))+1)/VLOOKUP(B9304,'Poids des runes'!A:B,2,FALSE))</f>
        <v>2.0111111111111111</v>
      </c>
      <c r="F9304">
        <f t="shared" si="145"/>
        <v>2.0111111111111111</v>
      </c>
    </row>
    <row r="9305" spans="1:6" x14ac:dyDescent="0.3">
      <c r="A9305" t="s">
        <v>1493</v>
      </c>
      <c r="B9305" t="s">
        <v>2140</v>
      </c>
      <c r="C9305">
        <v>13</v>
      </c>
      <c r="D9305">
        <v>200</v>
      </c>
      <c r="E9305">
        <f>IF(OR(B9305="vi",B9305="ii",B9305="pod"),(((D9305/100)*(C9305*VLOOKUP(B9305,'Poids des runes'!A:B,2,FALSE)))+1),(((D9305/100)*(C9305*VLOOKUP(B9305,'Poids des runes'!A:B,2,FALSE)))+1)/VLOOKUP(B9305,'Poids des runes'!A:B,2,FALSE))</f>
        <v>26.2</v>
      </c>
      <c r="F9305">
        <f t="shared" si="145"/>
        <v>26.2</v>
      </c>
    </row>
    <row r="9306" spans="1:6" x14ac:dyDescent="0.3">
      <c r="A9306" t="s">
        <v>1493</v>
      </c>
      <c r="B9306" t="s">
        <v>2149</v>
      </c>
      <c r="C9306">
        <v>6.5</v>
      </c>
      <c r="D9306">
        <v>200</v>
      </c>
      <c r="E9306">
        <f>IF(OR(B9306="vi",B9306="ii",B9306="pod"),(((D9306/100)*(C9306*VLOOKUP(B9306,'Poids des runes'!A:B,2,FALSE)))+1),(((D9306/100)*(C9306*VLOOKUP(B9306,'Poids des runes'!A:B,2,FALSE)))+1)/VLOOKUP(B9306,'Poids des runes'!A:B,2,FALSE))</f>
        <v>13.1</v>
      </c>
      <c r="F9306">
        <f t="shared" si="145"/>
        <v>13.1</v>
      </c>
    </row>
    <row r="9307" spans="1:6" x14ac:dyDescent="0.3">
      <c r="A9307" t="s">
        <v>1493</v>
      </c>
      <c r="B9307" t="s">
        <v>2161</v>
      </c>
      <c r="C9307">
        <v>8</v>
      </c>
      <c r="D9307">
        <v>200</v>
      </c>
      <c r="E9307">
        <f>IF(OR(B9307="vi",B9307="ii",B9307="pod"),(((D9307/100)*(C9307*VLOOKUP(B9307,'Poids des runes'!A:B,2,FALSE)))+1),(((D9307/100)*(C9307*VLOOKUP(B9307,'Poids des runes'!A:B,2,FALSE)))+1)/VLOOKUP(B9307,'Poids des runes'!A:B,2,FALSE))</f>
        <v>16.333333333333332</v>
      </c>
      <c r="F9307">
        <f t="shared" si="145"/>
        <v>16.333333333333332</v>
      </c>
    </row>
    <row r="9308" spans="1:6" x14ac:dyDescent="0.3">
      <c r="A9308" t="s">
        <v>1493</v>
      </c>
      <c r="B9308" t="s">
        <v>2141</v>
      </c>
      <c r="C9308">
        <v>5.5</v>
      </c>
      <c r="D9308">
        <v>200</v>
      </c>
      <c r="E9308">
        <f>IF(OR(B9308="vi",B9308="ii",B9308="pod"),(((D9308/100)*(C9308*VLOOKUP(B9308,'Poids des runes'!A:B,2,FALSE)))+1),(((D9308/100)*(C9308*VLOOKUP(B9308,'Poids des runes'!A:B,2,FALSE)))+1)/VLOOKUP(B9308,'Poids des runes'!A:B,2,FALSE))</f>
        <v>11.25</v>
      </c>
      <c r="F9308">
        <f t="shared" si="145"/>
        <v>11.25</v>
      </c>
    </row>
    <row r="9309" spans="1:6" x14ac:dyDescent="0.3">
      <c r="A9309" t="s">
        <v>1493</v>
      </c>
      <c r="B9309" t="s">
        <v>2156</v>
      </c>
      <c r="C9309">
        <v>5.5</v>
      </c>
      <c r="D9309">
        <v>200</v>
      </c>
      <c r="E9309">
        <f>IF(OR(B9309="vi",B9309="ii",B9309="pod"),(((D9309/100)*(C9309*VLOOKUP(B9309,'Poids des runes'!A:B,2,FALSE)))+1),(((D9309/100)*(C9309*VLOOKUP(B9309,'Poids des runes'!A:B,2,FALSE)))+1)/VLOOKUP(B9309,'Poids des runes'!A:B,2,FALSE))</f>
        <v>11.166666666666666</v>
      </c>
      <c r="F9309">
        <f t="shared" si="145"/>
        <v>11.166666666666666</v>
      </c>
    </row>
    <row r="9310" spans="1:6" x14ac:dyDescent="0.3">
      <c r="A9310" t="s">
        <v>1493</v>
      </c>
      <c r="B9310" t="s">
        <v>2157</v>
      </c>
      <c r="C9310">
        <v>5.5</v>
      </c>
      <c r="D9310">
        <v>200</v>
      </c>
      <c r="E9310">
        <f>IF(OR(B9310="vi",B9310="ii",B9310="pod"),(((D9310/100)*(C9310*VLOOKUP(B9310,'Poids des runes'!A:B,2,FALSE)))+1),(((D9310/100)*(C9310*VLOOKUP(B9310,'Poids des runes'!A:B,2,FALSE)))+1)/VLOOKUP(B9310,'Poids des runes'!A:B,2,FALSE))</f>
        <v>11.166666666666666</v>
      </c>
      <c r="F9310">
        <f t="shared" si="145"/>
        <v>11.166666666666666</v>
      </c>
    </row>
    <row r="9311" spans="1:6" x14ac:dyDescent="0.3">
      <c r="A9311" t="s">
        <v>1494</v>
      </c>
      <c r="B9311" t="s">
        <v>2128</v>
      </c>
      <c r="C9311">
        <v>325.5</v>
      </c>
      <c r="D9311">
        <v>200</v>
      </c>
      <c r="E9311">
        <f>IF(OR(B9311="vi",B9311="ii",B9311="pod"),(((D9311/100)*(C9311*VLOOKUP(B9311,'Poids des runes'!A:B,2,FALSE)))+1),(((D9311/100)*(C9311*VLOOKUP(B9311,'Poids des runes'!A:B,2,FALSE)))+1)/VLOOKUP(B9311,'Poids des runes'!A:B,2,FALSE))</f>
        <v>131.20000000000002</v>
      </c>
      <c r="F9311">
        <f t="shared" si="145"/>
        <v>131.20000000000002</v>
      </c>
    </row>
    <row r="9312" spans="1:6" x14ac:dyDescent="0.3">
      <c r="A9312" t="s">
        <v>1494</v>
      </c>
      <c r="B9312" t="s">
        <v>2126</v>
      </c>
      <c r="C9312">
        <v>70.5</v>
      </c>
      <c r="D9312">
        <v>200</v>
      </c>
      <c r="E9312">
        <f>IF(OR(B9312="vi",B9312="ii",B9312="pod"),(((D9312/100)*(C9312*VLOOKUP(B9312,'Poids des runes'!A:B,2,FALSE)))+1),(((D9312/100)*(C9312*VLOOKUP(B9312,'Poids des runes'!A:B,2,FALSE)))+1)/VLOOKUP(B9312,'Poids des runes'!A:B,2,FALSE))</f>
        <v>142</v>
      </c>
      <c r="F9312">
        <f t="shared" si="145"/>
        <v>142</v>
      </c>
    </row>
    <row r="9313" spans="1:6" x14ac:dyDescent="0.3">
      <c r="A9313" t="s">
        <v>1494</v>
      </c>
      <c r="B9313" t="s">
        <v>2127</v>
      </c>
      <c r="C9313">
        <v>35.5</v>
      </c>
      <c r="D9313">
        <v>200</v>
      </c>
      <c r="E9313">
        <f>IF(OR(B9313="vi",B9313="ii",B9313="pod"),(((D9313/100)*(C9313*VLOOKUP(B9313,'Poids des runes'!A:B,2,FALSE)))+1),(((D9313/100)*(C9313*VLOOKUP(B9313,'Poids des runes'!A:B,2,FALSE)))+1)/VLOOKUP(B9313,'Poids des runes'!A:B,2,FALSE))</f>
        <v>72</v>
      </c>
      <c r="F9313">
        <f t="shared" si="145"/>
        <v>72</v>
      </c>
    </row>
    <row r="9314" spans="1:6" x14ac:dyDescent="0.3">
      <c r="A9314" t="s">
        <v>1494</v>
      </c>
      <c r="B9314" t="s">
        <v>2129</v>
      </c>
      <c r="C9314">
        <v>40.5</v>
      </c>
      <c r="D9314">
        <v>200</v>
      </c>
      <c r="E9314">
        <f>IF(OR(B9314="vi",B9314="ii",B9314="pod"),(((D9314/100)*(C9314*VLOOKUP(B9314,'Poids des runes'!A:B,2,FALSE)))+1),(((D9314/100)*(C9314*VLOOKUP(B9314,'Poids des runes'!A:B,2,FALSE)))+1)/VLOOKUP(B9314,'Poids des runes'!A:B,2,FALSE))</f>
        <v>82</v>
      </c>
      <c r="F9314">
        <f t="shared" si="145"/>
        <v>82</v>
      </c>
    </row>
    <row r="9315" spans="1:6" x14ac:dyDescent="0.3">
      <c r="A9315" t="s">
        <v>1494</v>
      </c>
      <c r="B9315" t="s">
        <v>2151</v>
      </c>
      <c r="C9315">
        <v>6</v>
      </c>
      <c r="D9315">
        <v>200</v>
      </c>
      <c r="E9315">
        <f>IF(OR(B9315="vi",B9315="ii",B9315="pod"),(((D9315/100)*(C9315*VLOOKUP(B9315,'Poids des runes'!A:B,2,FALSE)))+1),(((D9315/100)*(C9315*VLOOKUP(B9315,'Poids des runes'!A:B,2,FALSE)))+1)/VLOOKUP(B9315,'Poids des runes'!A:B,2,FALSE))</f>
        <v>12.1</v>
      </c>
      <c r="F9315">
        <f t="shared" si="145"/>
        <v>12.1</v>
      </c>
    </row>
    <row r="9316" spans="1:6" x14ac:dyDescent="0.3">
      <c r="A9316" t="s">
        <v>1494</v>
      </c>
      <c r="B9316" t="s">
        <v>2155</v>
      </c>
      <c r="C9316">
        <v>1</v>
      </c>
      <c r="D9316">
        <v>200</v>
      </c>
      <c r="E9316">
        <f>IF(OR(B9316="vi",B9316="ii",B9316="pod"),(((D9316/100)*(C9316*VLOOKUP(B9316,'Poids des runes'!A:B,2,FALSE)))+1),(((D9316/100)*(C9316*VLOOKUP(B9316,'Poids des runes'!A:B,2,FALSE)))+1)/VLOOKUP(B9316,'Poids des runes'!A:B,2,FALSE))</f>
        <v>2.0196078431372548</v>
      </c>
      <c r="F9316">
        <f t="shared" si="145"/>
        <v>2.0196078431372548</v>
      </c>
    </row>
    <row r="9317" spans="1:6" x14ac:dyDescent="0.3">
      <c r="A9317" t="s">
        <v>1494</v>
      </c>
      <c r="B9317" t="s">
        <v>2140</v>
      </c>
      <c r="C9317">
        <v>8.5</v>
      </c>
      <c r="D9317">
        <v>200</v>
      </c>
      <c r="E9317">
        <f>IF(OR(B9317="vi",B9317="ii",B9317="pod"),(((D9317/100)*(C9317*VLOOKUP(B9317,'Poids des runes'!A:B,2,FALSE)))+1),(((D9317/100)*(C9317*VLOOKUP(B9317,'Poids des runes'!A:B,2,FALSE)))+1)/VLOOKUP(B9317,'Poids des runes'!A:B,2,FALSE))</f>
        <v>17.2</v>
      </c>
      <c r="F9317">
        <f t="shared" si="145"/>
        <v>17.2</v>
      </c>
    </row>
    <row r="9318" spans="1:6" x14ac:dyDescent="0.3">
      <c r="A9318" t="s">
        <v>1494</v>
      </c>
      <c r="B9318" t="s">
        <v>2149</v>
      </c>
      <c r="C9318">
        <v>8.5</v>
      </c>
      <c r="D9318">
        <v>200</v>
      </c>
      <c r="E9318">
        <f>IF(OR(B9318="vi",B9318="ii",B9318="pod"),(((D9318/100)*(C9318*VLOOKUP(B9318,'Poids des runes'!A:B,2,FALSE)))+1),(((D9318/100)*(C9318*VLOOKUP(B9318,'Poids des runes'!A:B,2,FALSE)))+1)/VLOOKUP(B9318,'Poids des runes'!A:B,2,FALSE))</f>
        <v>17.100000000000001</v>
      </c>
      <c r="F9318">
        <f t="shared" si="145"/>
        <v>17.100000000000001</v>
      </c>
    </row>
    <row r="9319" spans="1:6" x14ac:dyDescent="0.3">
      <c r="A9319" t="s">
        <v>1494</v>
      </c>
      <c r="B9319" t="s">
        <v>2132</v>
      </c>
      <c r="C9319">
        <v>250.5</v>
      </c>
      <c r="D9319">
        <v>200</v>
      </c>
      <c r="E9319">
        <f>IF(OR(B9319="vi",B9319="ii",B9319="pod"),(((D9319/100)*(C9319*VLOOKUP(B9319,'Poids des runes'!A:B,2,FALSE)))+1),(((D9319/100)*(C9319*VLOOKUP(B9319,'Poids des runes'!A:B,2,FALSE)))+1)/VLOOKUP(B9319,'Poids des runes'!A:B,2,FALSE))</f>
        <v>51.1</v>
      </c>
      <c r="F9319">
        <f t="shared" si="145"/>
        <v>51.1</v>
      </c>
    </row>
    <row r="9320" spans="1:6" x14ac:dyDescent="0.3">
      <c r="A9320" t="s">
        <v>1494</v>
      </c>
      <c r="B9320" t="s">
        <v>2141</v>
      </c>
      <c r="C9320">
        <v>13</v>
      </c>
      <c r="D9320">
        <v>200</v>
      </c>
      <c r="E9320">
        <f>IF(OR(B9320="vi",B9320="ii",B9320="pod"),(((D9320/100)*(C9320*VLOOKUP(B9320,'Poids des runes'!A:B,2,FALSE)))+1),(((D9320/100)*(C9320*VLOOKUP(B9320,'Poids des runes'!A:B,2,FALSE)))+1)/VLOOKUP(B9320,'Poids des runes'!A:B,2,FALSE))</f>
        <v>26.25</v>
      </c>
      <c r="F9320">
        <f t="shared" si="145"/>
        <v>26.25</v>
      </c>
    </row>
    <row r="9321" spans="1:6" x14ac:dyDescent="0.3">
      <c r="A9321" t="s">
        <v>1494</v>
      </c>
      <c r="B9321" t="s">
        <v>2158</v>
      </c>
      <c r="C9321">
        <v>13</v>
      </c>
      <c r="D9321">
        <v>200</v>
      </c>
      <c r="E9321">
        <f>IF(OR(B9321="vi",B9321="ii",B9321="pod"),(((D9321/100)*(C9321*VLOOKUP(B9321,'Poids des runes'!A:B,2,FALSE)))+1),(((D9321/100)*(C9321*VLOOKUP(B9321,'Poids des runes'!A:B,2,FALSE)))+1)/VLOOKUP(B9321,'Poids des runes'!A:B,2,FALSE))</f>
        <v>26.2</v>
      </c>
      <c r="F9321">
        <f t="shared" si="145"/>
        <v>26.2</v>
      </c>
    </row>
    <row r="9322" spans="1:6" x14ac:dyDescent="0.3">
      <c r="A9322" t="s">
        <v>1494</v>
      </c>
      <c r="B9322" t="s">
        <v>2157</v>
      </c>
      <c r="C9322">
        <v>8.5</v>
      </c>
      <c r="D9322">
        <v>200</v>
      </c>
      <c r="E9322">
        <f>IF(OR(B9322="vi",B9322="ii",B9322="pod"),(((D9322/100)*(C9322*VLOOKUP(B9322,'Poids des runes'!A:B,2,FALSE)))+1),(((D9322/100)*(C9322*VLOOKUP(B9322,'Poids des runes'!A:B,2,FALSE)))+1)/VLOOKUP(B9322,'Poids des runes'!A:B,2,FALSE))</f>
        <v>17.166666666666668</v>
      </c>
      <c r="F9322">
        <f t="shared" si="145"/>
        <v>17.166666666666668</v>
      </c>
    </row>
    <row r="9323" spans="1:6" x14ac:dyDescent="0.3">
      <c r="A9323" t="s">
        <v>1495</v>
      </c>
      <c r="B9323" t="s">
        <v>2128</v>
      </c>
      <c r="C9323">
        <v>325.5</v>
      </c>
      <c r="D9323">
        <v>200</v>
      </c>
      <c r="E9323">
        <f>IF(OR(B9323="vi",B9323="ii",B9323="pod"),(((D9323/100)*(C9323*VLOOKUP(B9323,'Poids des runes'!A:B,2,FALSE)))+1),(((D9323/100)*(C9323*VLOOKUP(B9323,'Poids des runes'!A:B,2,FALSE)))+1)/VLOOKUP(B9323,'Poids des runes'!A:B,2,FALSE))</f>
        <v>131.20000000000002</v>
      </c>
      <c r="F9323">
        <f t="shared" si="145"/>
        <v>131.20000000000002</v>
      </c>
    </row>
    <row r="9324" spans="1:6" x14ac:dyDescent="0.3">
      <c r="A9324" t="s">
        <v>1495</v>
      </c>
      <c r="B9324" t="s">
        <v>2129</v>
      </c>
      <c r="C9324">
        <v>40.5</v>
      </c>
      <c r="D9324">
        <v>200</v>
      </c>
      <c r="E9324">
        <f>IF(OR(B9324="vi",B9324="ii",B9324="pod"),(((D9324/100)*(C9324*VLOOKUP(B9324,'Poids des runes'!A:B,2,FALSE)))+1),(((D9324/100)*(C9324*VLOOKUP(B9324,'Poids des runes'!A:B,2,FALSE)))+1)/VLOOKUP(B9324,'Poids des runes'!A:B,2,FALSE))</f>
        <v>82</v>
      </c>
      <c r="F9324">
        <f t="shared" si="145"/>
        <v>82</v>
      </c>
    </row>
    <row r="9325" spans="1:6" x14ac:dyDescent="0.3">
      <c r="A9325" t="s">
        <v>1495</v>
      </c>
      <c r="B9325" t="s">
        <v>2139</v>
      </c>
      <c r="C9325">
        <v>50.5</v>
      </c>
      <c r="D9325">
        <v>200</v>
      </c>
      <c r="E9325">
        <f>IF(OR(B9325="vi",B9325="ii",B9325="pod"),(((D9325/100)*(C9325*VLOOKUP(B9325,'Poids des runes'!A:B,2,FALSE)))+1),(((D9325/100)*(C9325*VLOOKUP(B9325,'Poids des runes'!A:B,2,FALSE)))+1)/VLOOKUP(B9325,'Poids des runes'!A:B,2,FALSE))</f>
        <v>101.5</v>
      </c>
      <c r="F9325">
        <f t="shared" si="145"/>
        <v>101.5</v>
      </c>
    </row>
    <row r="9326" spans="1:6" x14ac:dyDescent="0.3">
      <c r="A9326" t="s">
        <v>1495</v>
      </c>
      <c r="B9326" t="s">
        <v>2151</v>
      </c>
      <c r="C9326">
        <v>6</v>
      </c>
      <c r="D9326">
        <v>200</v>
      </c>
      <c r="E9326">
        <f>IF(OR(B9326="vi",B9326="ii",B9326="pod"),(((D9326/100)*(C9326*VLOOKUP(B9326,'Poids des runes'!A:B,2,FALSE)))+1),(((D9326/100)*(C9326*VLOOKUP(B9326,'Poids des runes'!A:B,2,FALSE)))+1)/VLOOKUP(B9326,'Poids des runes'!A:B,2,FALSE))</f>
        <v>12.1</v>
      </c>
      <c r="F9326">
        <f t="shared" si="145"/>
        <v>12.1</v>
      </c>
    </row>
    <row r="9327" spans="1:6" x14ac:dyDescent="0.3">
      <c r="A9327" t="s">
        <v>1495</v>
      </c>
      <c r="B9327" t="s">
        <v>2143</v>
      </c>
      <c r="C9327">
        <v>8.5</v>
      </c>
      <c r="D9327">
        <v>200</v>
      </c>
      <c r="E9327">
        <f>IF(OR(B9327="vi",B9327="ii",B9327="pod"),(((D9327/100)*(C9327*VLOOKUP(B9327,'Poids des runes'!A:B,2,FALSE)))+1),(((D9327/100)*(C9327*VLOOKUP(B9327,'Poids des runes'!A:B,2,FALSE)))+1)/VLOOKUP(B9327,'Poids des runes'!A:B,2,FALSE))</f>
        <v>17.2</v>
      </c>
      <c r="F9327">
        <f t="shared" si="145"/>
        <v>17.2</v>
      </c>
    </row>
    <row r="9328" spans="1:6" x14ac:dyDescent="0.3">
      <c r="A9328" t="s">
        <v>1495</v>
      </c>
      <c r="B9328" t="s">
        <v>2140</v>
      </c>
      <c r="C9328">
        <v>8.5</v>
      </c>
      <c r="D9328">
        <v>200</v>
      </c>
      <c r="E9328">
        <f>IF(OR(B9328="vi",B9328="ii",B9328="pod"),(((D9328/100)*(C9328*VLOOKUP(B9328,'Poids des runes'!A:B,2,FALSE)))+1),(((D9328/100)*(C9328*VLOOKUP(B9328,'Poids des runes'!A:B,2,FALSE)))+1)/VLOOKUP(B9328,'Poids des runes'!A:B,2,FALSE))</f>
        <v>17.2</v>
      </c>
      <c r="F9328">
        <f t="shared" si="145"/>
        <v>17.2</v>
      </c>
    </row>
    <row r="9329" spans="1:6" x14ac:dyDescent="0.3">
      <c r="A9329" t="s">
        <v>1495</v>
      </c>
      <c r="B9329" t="s">
        <v>2133</v>
      </c>
      <c r="C9329">
        <v>8.5</v>
      </c>
      <c r="D9329">
        <v>200</v>
      </c>
      <c r="E9329">
        <f>IF(OR(B9329="vi",B9329="ii",B9329="pod"),(((D9329/100)*(C9329*VLOOKUP(B9329,'Poids des runes'!A:B,2,FALSE)))+1),(((D9329/100)*(C9329*VLOOKUP(B9329,'Poids des runes'!A:B,2,FALSE)))+1)/VLOOKUP(B9329,'Poids des runes'!A:B,2,FALSE))</f>
        <v>17.2</v>
      </c>
      <c r="F9329">
        <f t="shared" si="145"/>
        <v>17.2</v>
      </c>
    </row>
    <row r="9330" spans="1:6" x14ac:dyDescent="0.3">
      <c r="A9330" t="s">
        <v>1495</v>
      </c>
      <c r="B9330" t="s">
        <v>2153</v>
      </c>
      <c r="C9330">
        <v>8.5</v>
      </c>
      <c r="D9330">
        <v>200</v>
      </c>
      <c r="E9330">
        <f>IF(OR(B9330="vi",B9330="ii",B9330="pod"),(((D9330/100)*(C9330*VLOOKUP(B9330,'Poids des runes'!A:B,2,FALSE)))+1),(((D9330/100)*(C9330*VLOOKUP(B9330,'Poids des runes'!A:B,2,FALSE)))+1)/VLOOKUP(B9330,'Poids des runes'!A:B,2,FALSE))</f>
        <v>17.2</v>
      </c>
      <c r="F9330">
        <f t="shared" si="145"/>
        <v>17.2</v>
      </c>
    </row>
    <row r="9331" spans="1:6" x14ac:dyDescent="0.3">
      <c r="A9331" t="s">
        <v>1495</v>
      </c>
      <c r="B9331" t="s">
        <v>2149</v>
      </c>
      <c r="C9331">
        <v>6</v>
      </c>
      <c r="D9331">
        <v>200</v>
      </c>
      <c r="E9331">
        <f>IF(OR(B9331="vi",B9331="ii",B9331="pod"),(((D9331/100)*(C9331*VLOOKUP(B9331,'Poids des runes'!A:B,2,FALSE)))+1),(((D9331/100)*(C9331*VLOOKUP(B9331,'Poids des runes'!A:B,2,FALSE)))+1)/VLOOKUP(B9331,'Poids des runes'!A:B,2,FALSE))</f>
        <v>12.1</v>
      </c>
      <c r="F9331">
        <f t="shared" si="145"/>
        <v>12.1</v>
      </c>
    </row>
    <row r="9332" spans="1:6" x14ac:dyDescent="0.3">
      <c r="A9332" t="s">
        <v>1495</v>
      </c>
      <c r="B9332" t="s">
        <v>2132</v>
      </c>
      <c r="C9332">
        <v>350.5</v>
      </c>
      <c r="D9332">
        <v>200</v>
      </c>
      <c r="E9332">
        <f>IF(OR(B9332="vi",B9332="ii",B9332="pod"),(((D9332/100)*(C9332*VLOOKUP(B9332,'Poids des runes'!A:B,2,FALSE)))+1),(((D9332/100)*(C9332*VLOOKUP(B9332,'Poids des runes'!A:B,2,FALSE)))+1)/VLOOKUP(B9332,'Poids des runes'!A:B,2,FALSE))</f>
        <v>71.100000000000009</v>
      </c>
      <c r="F9332">
        <f t="shared" si="145"/>
        <v>71.100000000000009</v>
      </c>
    </row>
    <row r="9333" spans="1:6" x14ac:dyDescent="0.3">
      <c r="A9333" t="s">
        <v>1495</v>
      </c>
      <c r="B9333" t="s">
        <v>2138</v>
      </c>
      <c r="C9333">
        <v>8.5</v>
      </c>
      <c r="D9333">
        <v>200</v>
      </c>
      <c r="E9333">
        <f>IF(OR(B9333="vi",B9333="ii",B9333="pod"),(((D9333/100)*(C9333*VLOOKUP(B9333,'Poids des runes'!A:B,2,FALSE)))+1),(((D9333/100)*(C9333*VLOOKUP(B9333,'Poids des runes'!A:B,2,FALSE)))+1)/VLOOKUP(B9333,'Poids des runes'!A:B,2,FALSE))</f>
        <v>17.25</v>
      </c>
      <c r="F9333">
        <f t="shared" si="145"/>
        <v>17.25</v>
      </c>
    </row>
    <row r="9334" spans="1:6" x14ac:dyDescent="0.3">
      <c r="A9334" t="s">
        <v>1495</v>
      </c>
      <c r="B9334" t="s">
        <v>2158</v>
      </c>
      <c r="C9334">
        <v>13</v>
      </c>
      <c r="D9334">
        <v>200</v>
      </c>
      <c r="E9334">
        <f>IF(OR(B9334="vi",B9334="ii",B9334="pod"),(((D9334/100)*(C9334*VLOOKUP(B9334,'Poids des runes'!A:B,2,FALSE)))+1),(((D9334/100)*(C9334*VLOOKUP(B9334,'Poids des runes'!A:B,2,FALSE)))+1)/VLOOKUP(B9334,'Poids des runes'!A:B,2,FALSE))</f>
        <v>26.2</v>
      </c>
      <c r="F9334">
        <f t="shared" si="145"/>
        <v>26.2</v>
      </c>
    </row>
    <row r="9335" spans="1:6" x14ac:dyDescent="0.3">
      <c r="A9335" t="s">
        <v>1495</v>
      </c>
      <c r="B9335" t="s">
        <v>2156</v>
      </c>
      <c r="C9335">
        <v>7</v>
      </c>
      <c r="D9335">
        <v>200</v>
      </c>
      <c r="E9335">
        <f>IF(OR(B9335="vi",B9335="ii",B9335="pod"),(((D9335/100)*(C9335*VLOOKUP(B9335,'Poids des runes'!A:B,2,FALSE)))+1),(((D9335/100)*(C9335*VLOOKUP(B9335,'Poids des runes'!A:B,2,FALSE)))+1)/VLOOKUP(B9335,'Poids des runes'!A:B,2,FALSE))</f>
        <v>14.166666666666666</v>
      </c>
      <c r="F9335">
        <f t="shared" si="145"/>
        <v>14.166666666666666</v>
      </c>
    </row>
    <row r="9336" spans="1:6" x14ac:dyDescent="0.3">
      <c r="A9336" t="s">
        <v>1496</v>
      </c>
      <c r="B9336" t="s">
        <v>2128</v>
      </c>
      <c r="C9336">
        <v>325.5</v>
      </c>
      <c r="D9336">
        <v>200</v>
      </c>
      <c r="E9336">
        <f>IF(OR(B9336="vi",B9336="ii",B9336="pod"),(((D9336/100)*(C9336*VLOOKUP(B9336,'Poids des runes'!A:B,2,FALSE)))+1),(((D9336/100)*(C9336*VLOOKUP(B9336,'Poids des runes'!A:B,2,FALSE)))+1)/VLOOKUP(B9336,'Poids des runes'!A:B,2,FALSE))</f>
        <v>131.20000000000002</v>
      </c>
      <c r="F9336">
        <f t="shared" si="145"/>
        <v>131.20000000000002</v>
      </c>
    </row>
    <row r="9337" spans="1:6" x14ac:dyDescent="0.3">
      <c r="A9337" t="s">
        <v>1496</v>
      </c>
      <c r="B9337" t="s">
        <v>2127</v>
      </c>
      <c r="C9337">
        <v>85.5</v>
      </c>
      <c r="D9337">
        <v>200</v>
      </c>
      <c r="E9337">
        <f>IF(OR(B9337="vi",B9337="ii",B9337="pod"),(((D9337/100)*(C9337*VLOOKUP(B9337,'Poids des runes'!A:B,2,FALSE)))+1),(((D9337/100)*(C9337*VLOOKUP(B9337,'Poids des runes'!A:B,2,FALSE)))+1)/VLOOKUP(B9337,'Poids des runes'!A:B,2,FALSE))</f>
        <v>172</v>
      </c>
      <c r="F9337">
        <f t="shared" si="145"/>
        <v>172</v>
      </c>
    </row>
    <row r="9338" spans="1:6" x14ac:dyDescent="0.3">
      <c r="A9338" t="s">
        <v>1496</v>
      </c>
      <c r="B9338" t="s">
        <v>2129</v>
      </c>
      <c r="C9338">
        <v>50.5</v>
      </c>
      <c r="D9338">
        <v>200</v>
      </c>
      <c r="E9338">
        <f>IF(OR(B9338="vi",B9338="ii",B9338="pod"),(((D9338/100)*(C9338*VLOOKUP(B9338,'Poids des runes'!A:B,2,FALSE)))+1),(((D9338/100)*(C9338*VLOOKUP(B9338,'Poids des runes'!A:B,2,FALSE)))+1)/VLOOKUP(B9338,'Poids des runes'!A:B,2,FALSE))</f>
        <v>102</v>
      </c>
      <c r="F9338">
        <f t="shared" si="145"/>
        <v>102</v>
      </c>
    </row>
    <row r="9339" spans="1:6" x14ac:dyDescent="0.3">
      <c r="A9339" t="s">
        <v>1496</v>
      </c>
      <c r="B9339" t="s">
        <v>2151</v>
      </c>
      <c r="C9339">
        <v>6</v>
      </c>
      <c r="D9339">
        <v>200</v>
      </c>
      <c r="E9339">
        <f>IF(OR(B9339="vi",B9339="ii",B9339="pod"),(((D9339/100)*(C9339*VLOOKUP(B9339,'Poids des runes'!A:B,2,FALSE)))+1),(((D9339/100)*(C9339*VLOOKUP(B9339,'Poids des runes'!A:B,2,FALSE)))+1)/VLOOKUP(B9339,'Poids des runes'!A:B,2,FALSE))</f>
        <v>12.1</v>
      </c>
      <c r="F9339">
        <f t="shared" si="145"/>
        <v>12.1</v>
      </c>
    </row>
    <row r="9340" spans="1:6" x14ac:dyDescent="0.3">
      <c r="A9340" t="s">
        <v>1496</v>
      </c>
      <c r="B9340" t="s">
        <v>2153</v>
      </c>
      <c r="C9340">
        <v>13</v>
      </c>
      <c r="D9340">
        <v>200</v>
      </c>
      <c r="E9340">
        <f>IF(OR(B9340="vi",B9340="ii",B9340="pod"),(((D9340/100)*(C9340*VLOOKUP(B9340,'Poids des runes'!A:B,2,FALSE)))+1),(((D9340/100)*(C9340*VLOOKUP(B9340,'Poids des runes'!A:B,2,FALSE)))+1)/VLOOKUP(B9340,'Poids des runes'!A:B,2,FALSE))</f>
        <v>26.2</v>
      </c>
      <c r="F9340">
        <f t="shared" si="145"/>
        <v>26.2</v>
      </c>
    </row>
    <row r="9341" spans="1:6" x14ac:dyDescent="0.3">
      <c r="A9341" t="s">
        <v>1496</v>
      </c>
      <c r="B9341" t="s">
        <v>2161</v>
      </c>
      <c r="C9341">
        <v>18</v>
      </c>
      <c r="D9341">
        <v>200</v>
      </c>
      <c r="E9341">
        <f>IF(OR(B9341="vi",B9341="ii",B9341="pod"),(((D9341/100)*(C9341*VLOOKUP(B9341,'Poids des runes'!A:B,2,FALSE)))+1),(((D9341/100)*(C9341*VLOOKUP(B9341,'Poids des runes'!A:B,2,FALSE)))+1)/VLOOKUP(B9341,'Poids des runes'!A:B,2,FALSE))</f>
        <v>36.333333333333336</v>
      </c>
      <c r="F9341">
        <f t="shared" si="145"/>
        <v>36.333333333333336</v>
      </c>
    </row>
    <row r="9342" spans="1:6" x14ac:dyDescent="0.3">
      <c r="A9342" t="s">
        <v>1496</v>
      </c>
      <c r="B9342" t="s">
        <v>2142</v>
      </c>
      <c r="C9342">
        <v>20.5</v>
      </c>
      <c r="D9342">
        <v>200</v>
      </c>
      <c r="E9342">
        <f>IF(OR(B9342="vi",B9342="ii",B9342="pod"),(((D9342/100)*(C9342*VLOOKUP(B9342,'Poids des runes'!A:B,2,FALSE)))+1),(((D9342/100)*(C9342*VLOOKUP(B9342,'Poids des runes'!A:B,2,FALSE)))+1)/VLOOKUP(B9342,'Poids des runes'!A:B,2,FALSE))</f>
        <v>41.2</v>
      </c>
      <c r="F9342">
        <f t="shared" si="145"/>
        <v>41.2</v>
      </c>
    </row>
    <row r="9343" spans="1:6" x14ac:dyDescent="0.3">
      <c r="A9343" t="s">
        <v>1496</v>
      </c>
      <c r="B9343" t="s">
        <v>2135</v>
      </c>
      <c r="C9343">
        <v>8.5</v>
      </c>
      <c r="D9343">
        <v>200</v>
      </c>
      <c r="E9343">
        <f>IF(OR(B9343="vi",B9343="ii",B9343="pod"),(((D9343/100)*(C9343*VLOOKUP(B9343,'Poids des runes'!A:B,2,FALSE)))+1),(((D9343/100)*(C9343*VLOOKUP(B9343,'Poids des runes'!A:B,2,FALSE)))+1)/VLOOKUP(B9343,'Poids des runes'!A:B,2,FALSE))</f>
        <v>17.166666666666668</v>
      </c>
      <c r="F9343">
        <f t="shared" si="145"/>
        <v>17.166666666666668</v>
      </c>
    </row>
    <row r="9344" spans="1:6" x14ac:dyDescent="0.3">
      <c r="A9344" t="s">
        <v>1496</v>
      </c>
      <c r="B9344" t="s">
        <v>2137</v>
      </c>
      <c r="C9344">
        <v>18</v>
      </c>
      <c r="D9344">
        <v>200</v>
      </c>
      <c r="E9344">
        <f>IF(OR(B9344="vi",B9344="ii",B9344="pod"),(((D9344/100)*(C9344*VLOOKUP(B9344,'Poids des runes'!A:B,2,FALSE)))+1),(((D9344/100)*(C9344*VLOOKUP(B9344,'Poids des runes'!A:B,2,FALSE)))+1)/VLOOKUP(B9344,'Poids des runes'!A:B,2,FALSE))</f>
        <v>36.5</v>
      </c>
      <c r="F9344">
        <f t="shared" si="145"/>
        <v>36.5</v>
      </c>
    </row>
    <row r="9345" spans="1:6" x14ac:dyDescent="0.3">
      <c r="A9345" t="s">
        <v>1497</v>
      </c>
      <c r="B9345" t="s">
        <v>2128</v>
      </c>
      <c r="C9345">
        <v>225.5</v>
      </c>
      <c r="D9345">
        <v>200</v>
      </c>
      <c r="E9345">
        <f>IF(OR(B9345="vi",B9345="ii",B9345="pod"),(((D9345/100)*(C9345*VLOOKUP(B9345,'Poids des runes'!A:B,2,FALSE)))+1),(((D9345/100)*(C9345*VLOOKUP(B9345,'Poids des runes'!A:B,2,FALSE)))+1)/VLOOKUP(B9345,'Poids des runes'!A:B,2,FALSE))</f>
        <v>91.2</v>
      </c>
      <c r="F9345">
        <f t="shared" si="145"/>
        <v>91.2</v>
      </c>
    </row>
    <row r="9346" spans="1:6" x14ac:dyDescent="0.3">
      <c r="A9346" t="s">
        <v>1497</v>
      </c>
      <c r="B9346" t="s">
        <v>2129</v>
      </c>
      <c r="C9346">
        <v>35.5</v>
      </c>
      <c r="D9346">
        <v>200</v>
      </c>
      <c r="E9346">
        <f>IF(OR(B9346="vi",B9346="ii",B9346="pod"),(((D9346/100)*(C9346*VLOOKUP(B9346,'Poids des runes'!A:B,2,FALSE)))+1),(((D9346/100)*(C9346*VLOOKUP(B9346,'Poids des runes'!A:B,2,FALSE)))+1)/VLOOKUP(B9346,'Poids des runes'!A:B,2,FALSE))</f>
        <v>72</v>
      </c>
      <c r="F9346">
        <f t="shared" si="145"/>
        <v>72</v>
      </c>
    </row>
    <row r="9347" spans="1:6" x14ac:dyDescent="0.3">
      <c r="A9347" t="s">
        <v>1497</v>
      </c>
      <c r="B9347" t="s">
        <v>2139</v>
      </c>
      <c r="C9347">
        <v>35.5</v>
      </c>
      <c r="D9347">
        <v>200</v>
      </c>
      <c r="E9347">
        <f>IF(OR(B9347="vi",B9347="ii",B9347="pod"),(((D9347/100)*(C9347*VLOOKUP(B9347,'Poids des runes'!A:B,2,FALSE)))+1),(((D9347/100)*(C9347*VLOOKUP(B9347,'Poids des runes'!A:B,2,FALSE)))+1)/VLOOKUP(B9347,'Poids des runes'!A:B,2,FALSE))</f>
        <v>71.5</v>
      </c>
      <c r="F9347">
        <f t="shared" ref="F9347:F9410" si="146">E9347</f>
        <v>71.5</v>
      </c>
    </row>
    <row r="9348" spans="1:6" x14ac:dyDescent="0.3">
      <c r="A9348" t="s">
        <v>1497</v>
      </c>
      <c r="B9348" t="s">
        <v>2151</v>
      </c>
      <c r="C9348">
        <v>2.5</v>
      </c>
      <c r="D9348">
        <v>200</v>
      </c>
      <c r="E9348">
        <f>IF(OR(B9348="vi",B9348="ii",B9348="pod"),(((D9348/100)*(C9348*VLOOKUP(B9348,'Poids des runes'!A:B,2,FALSE)))+1),(((D9348/100)*(C9348*VLOOKUP(B9348,'Poids des runes'!A:B,2,FALSE)))+1)/VLOOKUP(B9348,'Poids des runes'!A:B,2,FALSE))</f>
        <v>5.0999999999999996</v>
      </c>
      <c r="F9348">
        <f t="shared" si="146"/>
        <v>5.0999999999999996</v>
      </c>
    </row>
    <row r="9349" spans="1:6" x14ac:dyDescent="0.3">
      <c r="A9349" t="s">
        <v>1497</v>
      </c>
      <c r="B9349" t="s">
        <v>2134</v>
      </c>
      <c r="C9349">
        <v>3.5</v>
      </c>
      <c r="D9349">
        <v>200</v>
      </c>
      <c r="E9349">
        <f>IF(OR(B9349="vi",B9349="ii",B9349="pod"),(((D9349/100)*(C9349*VLOOKUP(B9349,'Poids des runes'!A:B,2,FALSE)))+1),(((D9349/100)*(C9349*VLOOKUP(B9349,'Poids des runes'!A:B,2,FALSE)))+1)/VLOOKUP(B9349,'Poids des runes'!A:B,2,FALSE))</f>
        <v>7.05</v>
      </c>
      <c r="F9349">
        <f t="shared" si="146"/>
        <v>7.05</v>
      </c>
    </row>
    <row r="9350" spans="1:6" x14ac:dyDescent="0.3">
      <c r="A9350" t="s">
        <v>1497</v>
      </c>
      <c r="B9350" t="s">
        <v>2161</v>
      </c>
      <c r="C9350">
        <v>13</v>
      </c>
      <c r="D9350">
        <v>200</v>
      </c>
      <c r="E9350">
        <f>IF(OR(B9350="vi",B9350="ii",B9350="pod"),(((D9350/100)*(C9350*VLOOKUP(B9350,'Poids des runes'!A:B,2,FALSE)))+1),(((D9350/100)*(C9350*VLOOKUP(B9350,'Poids des runes'!A:B,2,FALSE)))+1)/VLOOKUP(B9350,'Poids des runes'!A:B,2,FALSE))</f>
        <v>26.333333333333332</v>
      </c>
      <c r="F9350">
        <f t="shared" si="146"/>
        <v>26.333333333333332</v>
      </c>
    </row>
    <row r="9351" spans="1:6" x14ac:dyDescent="0.3">
      <c r="A9351" t="s">
        <v>1497</v>
      </c>
      <c r="B9351" t="s">
        <v>2141</v>
      </c>
      <c r="C9351">
        <v>5</v>
      </c>
      <c r="D9351">
        <v>200</v>
      </c>
      <c r="E9351">
        <f>IF(OR(B9351="vi",B9351="ii",B9351="pod"),(((D9351/100)*(C9351*VLOOKUP(B9351,'Poids des runes'!A:B,2,FALSE)))+1),(((D9351/100)*(C9351*VLOOKUP(B9351,'Poids des runes'!A:B,2,FALSE)))+1)/VLOOKUP(B9351,'Poids des runes'!A:B,2,FALSE))</f>
        <v>10.25</v>
      </c>
      <c r="F9351">
        <f t="shared" si="146"/>
        <v>10.25</v>
      </c>
    </row>
    <row r="9352" spans="1:6" x14ac:dyDescent="0.3">
      <c r="A9352" t="s">
        <v>1497</v>
      </c>
      <c r="B9352" t="s">
        <v>2165</v>
      </c>
      <c r="C9352">
        <v>4</v>
      </c>
      <c r="D9352">
        <v>200</v>
      </c>
      <c r="E9352">
        <f>IF(OR(B9352="vi",B9352="ii",B9352="pod"),(((D9352/100)*(C9352*VLOOKUP(B9352,'Poids des runes'!A:B,2,FALSE)))+1),(((D9352/100)*(C9352*VLOOKUP(B9352,'Poids des runes'!A:B,2,FALSE)))+1)/VLOOKUP(B9352,'Poids des runes'!A:B,2,FALSE))</f>
        <v>8.1428571428571423</v>
      </c>
      <c r="F9352">
        <f t="shared" si="146"/>
        <v>8.1428571428571423</v>
      </c>
    </row>
    <row r="9353" spans="1:6" x14ac:dyDescent="0.3">
      <c r="A9353" t="s">
        <v>1497</v>
      </c>
      <c r="B9353" t="s">
        <v>2142</v>
      </c>
      <c r="C9353">
        <v>18</v>
      </c>
      <c r="D9353">
        <v>200</v>
      </c>
      <c r="E9353">
        <f>IF(OR(B9353="vi",B9353="ii",B9353="pod"),(((D9353/100)*(C9353*VLOOKUP(B9353,'Poids des runes'!A:B,2,FALSE)))+1),(((D9353/100)*(C9353*VLOOKUP(B9353,'Poids des runes'!A:B,2,FALSE)))+1)/VLOOKUP(B9353,'Poids des runes'!A:B,2,FALSE))</f>
        <v>36.200000000000003</v>
      </c>
      <c r="F9353">
        <f t="shared" si="146"/>
        <v>36.200000000000003</v>
      </c>
    </row>
    <row r="9354" spans="1:6" x14ac:dyDescent="0.3">
      <c r="A9354" t="s">
        <v>1497</v>
      </c>
      <c r="B9354" t="s">
        <v>2148</v>
      </c>
      <c r="C9354">
        <v>6</v>
      </c>
      <c r="D9354">
        <v>200</v>
      </c>
      <c r="E9354">
        <f>IF(OR(B9354="vi",B9354="ii",B9354="pod"),(((D9354/100)*(C9354*VLOOKUP(B9354,'Poids des runes'!A:B,2,FALSE)))+1),(((D9354/100)*(C9354*VLOOKUP(B9354,'Poids des runes'!A:B,2,FALSE)))+1)/VLOOKUP(B9354,'Poids des runes'!A:B,2,FALSE))</f>
        <v>12.166666666666666</v>
      </c>
      <c r="F9354">
        <f t="shared" si="146"/>
        <v>12.166666666666666</v>
      </c>
    </row>
    <row r="9355" spans="1:6" x14ac:dyDescent="0.3">
      <c r="A9355" t="s">
        <v>1497</v>
      </c>
      <c r="B9355" t="s">
        <v>2135</v>
      </c>
      <c r="C9355">
        <v>6</v>
      </c>
      <c r="D9355">
        <v>200</v>
      </c>
      <c r="E9355">
        <f>IF(OR(B9355="vi",B9355="ii",B9355="pod"),(((D9355/100)*(C9355*VLOOKUP(B9355,'Poids des runes'!A:B,2,FALSE)))+1),(((D9355/100)*(C9355*VLOOKUP(B9355,'Poids des runes'!A:B,2,FALSE)))+1)/VLOOKUP(B9355,'Poids des runes'!A:B,2,FALSE))</f>
        <v>12.166666666666666</v>
      </c>
      <c r="F9355">
        <f t="shared" si="146"/>
        <v>12.166666666666666</v>
      </c>
    </row>
    <row r="9356" spans="1:6" x14ac:dyDescent="0.3">
      <c r="A9356" t="s">
        <v>1498</v>
      </c>
      <c r="B9356" t="s">
        <v>2128</v>
      </c>
      <c r="C9356">
        <v>325.5</v>
      </c>
      <c r="D9356">
        <v>200</v>
      </c>
      <c r="E9356">
        <f>IF(OR(B9356="vi",B9356="ii",B9356="pod"),(((D9356/100)*(C9356*VLOOKUP(B9356,'Poids des runes'!A:B,2,FALSE)))+1),(((D9356/100)*(C9356*VLOOKUP(B9356,'Poids des runes'!A:B,2,FALSE)))+1)/VLOOKUP(B9356,'Poids des runes'!A:B,2,FALSE))</f>
        <v>131.20000000000002</v>
      </c>
      <c r="F9356">
        <f t="shared" si="146"/>
        <v>131.20000000000002</v>
      </c>
    </row>
    <row r="9357" spans="1:6" x14ac:dyDescent="0.3">
      <c r="A9357" t="s">
        <v>1498</v>
      </c>
      <c r="B9357" t="s">
        <v>2129</v>
      </c>
      <c r="C9357">
        <v>35.5</v>
      </c>
      <c r="D9357">
        <v>200</v>
      </c>
      <c r="E9357">
        <f>IF(OR(B9357="vi",B9357="ii",B9357="pod"),(((D9357/100)*(C9357*VLOOKUP(B9357,'Poids des runes'!A:B,2,FALSE)))+1),(((D9357/100)*(C9357*VLOOKUP(B9357,'Poids des runes'!A:B,2,FALSE)))+1)/VLOOKUP(B9357,'Poids des runes'!A:B,2,FALSE))</f>
        <v>72</v>
      </c>
      <c r="F9357">
        <f t="shared" si="146"/>
        <v>72</v>
      </c>
    </row>
    <row r="9358" spans="1:6" x14ac:dyDescent="0.3">
      <c r="A9358" t="s">
        <v>1498</v>
      </c>
      <c r="B9358" t="s">
        <v>2139</v>
      </c>
      <c r="C9358">
        <v>55.5</v>
      </c>
      <c r="D9358">
        <v>200</v>
      </c>
      <c r="E9358">
        <f>IF(OR(B9358="vi",B9358="ii",B9358="pod"),(((D9358/100)*(C9358*VLOOKUP(B9358,'Poids des runes'!A:B,2,FALSE)))+1),(((D9358/100)*(C9358*VLOOKUP(B9358,'Poids des runes'!A:B,2,FALSE)))+1)/VLOOKUP(B9358,'Poids des runes'!A:B,2,FALSE))</f>
        <v>111.5</v>
      </c>
      <c r="F9358">
        <f t="shared" si="146"/>
        <v>111.5</v>
      </c>
    </row>
    <row r="9359" spans="1:6" x14ac:dyDescent="0.3">
      <c r="A9359" t="s">
        <v>1498</v>
      </c>
      <c r="B9359" t="s">
        <v>2151</v>
      </c>
      <c r="C9359">
        <v>2.5</v>
      </c>
      <c r="D9359">
        <v>200</v>
      </c>
      <c r="E9359">
        <f>IF(OR(B9359="vi",B9359="ii",B9359="pod"),(((D9359/100)*(C9359*VLOOKUP(B9359,'Poids des runes'!A:B,2,FALSE)))+1),(((D9359/100)*(C9359*VLOOKUP(B9359,'Poids des runes'!A:B,2,FALSE)))+1)/VLOOKUP(B9359,'Poids des runes'!A:B,2,FALSE))</f>
        <v>5.0999999999999996</v>
      </c>
      <c r="F9359">
        <f t="shared" si="146"/>
        <v>5.0999999999999996</v>
      </c>
    </row>
    <row r="9360" spans="1:6" x14ac:dyDescent="0.3">
      <c r="A9360" t="s">
        <v>1498</v>
      </c>
      <c r="B9360" t="s">
        <v>2154</v>
      </c>
      <c r="C9360">
        <v>1</v>
      </c>
      <c r="D9360">
        <v>200</v>
      </c>
      <c r="E9360">
        <f>IF(OR(B9360="vi",B9360="ii",B9360="pod"),(((D9360/100)*(C9360*VLOOKUP(B9360,'Poids des runes'!A:B,2,FALSE)))+1),(((D9360/100)*(C9360*VLOOKUP(B9360,'Poids des runes'!A:B,2,FALSE)))+1)/VLOOKUP(B9360,'Poids des runes'!A:B,2,FALSE))</f>
        <v>2.0111111111111111</v>
      </c>
      <c r="F9360">
        <f t="shared" si="146"/>
        <v>2.0111111111111111</v>
      </c>
    </row>
    <row r="9361" spans="1:6" x14ac:dyDescent="0.3">
      <c r="A9361" t="s">
        <v>1498</v>
      </c>
      <c r="B9361" t="s">
        <v>2155</v>
      </c>
      <c r="C9361">
        <v>1</v>
      </c>
      <c r="D9361">
        <v>200</v>
      </c>
      <c r="E9361">
        <f>IF(OR(B9361="vi",B9361="ii",B9361="pod"),(((D9361/100)*(C9361*VLOOKUP(B9361,'Poids des runes'!A:B,2,FALSE)))+1),(((D9361/100)*(C9361*VLOOKUP(B9361,'Poids des runes'!A:B,2,FALSE)))+1)/VLOOKUP(B9361,'Poids des runes'!A:B,2,FALSE))</f>
        <v>2.0196078431372548</v>
      </c>
      <c r="F9361">
        <f t="shared" si="146"/>
        <v>2.0196078431372548</v>
      </c>
    </row>
    <row r="9362" spans="1:6" x14ac:dyDescent="0.3">
      <c r="A9362" t="s">
        <v>1498</v>
      </c>
      <c r="B9362" t="s">
        <v>2134</v>
      </c>
      <c r="C9362">
        <v>3.5</v>
      </c>
      <c r="D9362">
        <v>200</v>
      </c>
      <c r="E9362">
        <f>IF(OR(B9362="vi",B9362="ii",B9362="pod"),(((D9362/100)*(C9362*VLOOKUP(B9362,'Poids des runes'!A:B,2,FALSE)))+1),(((D9362/100)*(C9362*VLOOKUP(B9362,'Poids des runes'!A:B,2,FALSE)))+1)/VLOOKUP(B9362,'Poids des runes'!A:B,2,FALSE))</f>
        <v>7.05</v>
      </c>
      <c r="F9362">
        <f t="shared" si="146"/>
        <v>7.05</v>
      </c>
    </row>
    <row r="9363" spans="1:6" x14ac:dyDescent="0.3">
      <c r="A9363" t="s">
        <v>1498</v>
      </c>
      <c r="B9363" t="s">
        <v>2161</v>
      </c>
      <c r="C9363">
        <v>13</v>
      </c>
      <c r="D9363">
        <v>200</v>
      </c>
      <c r="E9363">
        <f>IF(OR(B9363="vi",B9363="ii",B9363="pod"),(((D9363/100)*(C9363*VLOOKUP(B9363,'Poids des runes'!A:B,2,FALSE)))+1),(((D9363/100)*(C9363*VLOOKUP(B9363,'Poids des runes'!A:B,2,FALSE)))+1)/VLOOKUP(B9363,'Poids des runes'!A:B,2,FALSE))</f>
        <v>26.333333333333332</v>
      </c>
      <c r="F9363">
        <f t="shared" si="146"/>
        <v>26.333333333333332</v>
      </c>
    </row>
    <row r="9364" spans="1:6" x14ac:dyDescent="0.3">
      <c r="A9364" t="s">
        <v>1498</v>
      </c>
      <c r="B9364" t="s">
        <v>2141</v>
      </c>
      <c r="C9364">
        <v>5</v>
      </c>
      <c r="D9364">
        <v>200</v>
      </c>
      <c r="E9364">
        <f>IF(OR(B9364="vi",B9364="ii",B9364="pod"),(((D9364/100)*(C9364*VLOOKUP(B9364,'Poids des runes'!A:B,2,FALSE)))+1),(((D9364/100)*(C9364*VLOOKUP(B9364,'Poids des runes'!A:B,2,FALSE)))+1)/VLOOKUP(B9364,'Poids des runes'!A:B,2,FALSE))</f>
        <v>10.25</v>
      </c>
      <c r="F9364">
        <f t="shared" si="146"/>
        <v>10.25</v>
      </c>
    </row>
    <row r="9365" spans="1:6" x14ac:dyDescent="0.3">
      <c r="A9365" t="s">
        <v>1498</v>
      </c>
      <c r="B9365" t="s">
        <v>2162</v>
      </c>
      <c r="C9365">
        <v>4</v>
      </c>
      <c r="D9365">
        <v>200</v>
      </c>
      <c r="E9365">
        <f>IF(OR(B9365="vi",B9365="ii",B9365="pod"),(((D9365/100)*(C9365*VLOOKUP(B9365,'Poids des runes'!A:B,2,FALSE)))+1),(((D9365/100)*(C9365*VLOOKUP(B9365,'Poids des runes'!A:B,2,FALSE)))+1)/VLOOKUP(B9365,'Poids des runes'!A:B,2,FALSE))</f>
        <v>8.1428571428571423</v>
      </c>
      <c r="F9365">
        <f t="shared" si="146"/>
        <v>8.1428571428571423</v>
      </c>
    </row>
    <row r="9366" spans="1:6" x14ac:dyDescent="0.3">
      <c r="A9366" t="s">
        <v>1498</v>
      </c>
      <c r="B9366" t="s">
        <v>2142</v>
      </c>
      <c r="C9366">
        <v>25.5</v>
      </c>
      <c r="D9366">
        <v>200</v>
      </c>
      <c r="E9366">
        <f>IF(OR(B9366="vi",B9366="ii",B9366="pod"),(((D9366/100)*(C9366*VLOOKUP(B9366,'Poids des runes'!A:B,2,FALSE)))+1),(((D9366/100)*(C9366*VLOOKUP(B9366,'Poids des runes'!A:B,2,FALSE)))+1)/VLOOKUP(B9366,'Poids des runes'!A:B,2,FALSE))</f>
        <v>51.2</v>
      </c>
      <c r="F9366">
        <f t="shared" si="146"/>
        <v>51.2</v>
      </c>
    </row>
    <row r="9367" spans="1:6" x14ac:dyDescent="0.3">
      <c r="A9367" t="s">
        <v>1498</v>
      </c>
      <c r="B9367" t="s">
        <v>2135</v>
      </c>
      <c r="C9367">
        <v>7</v>
      </c>
      <c r="D9367">
        <v>200</v>
      </c>
      <c r="E9367">
        <f>IF(OR(B9367="vi",B9367="ii",B9367="pod"),(((D9367/100)*(C9367*VLOOKUP(B9367,'Poids des runes'!A:B,2,FALSE)))+1),(((D9367/100)*(C9367*VLOOKUP(B9367,'Poids des runes'!A:B,2,FALSE)))+1)/VLOOKUP(B9367,'Poids des runes'!A:B,2,FALSE))</f>
        <v>14.166666666666666</v>
      </c>
      <c r="F9367">
        <f t="shared" si="146"/>
        <v>14.166666666666666</v>
      </c>
    </row>
    <row r="9368" spans="1:6" x14ac:dyDescent="0.3">
      <c r="A9368" t="s">
        <v>1498</v>
      </c>
      <c r="B9368" t="s">
        <v>2157</v>
      </c>
      <c r="C9368">
        <v>5</v>
      </c>
      <c r="D9368">
        <v>200</v>
      </c>
      <c r="E9368">
        <f>IF(OR(B9368="vi",B9368="ii",B9368="pod"),(((D9368/100)*(C9368*VLOOKUP(B9368,'Poids des runes'!A:B,2,FALSE)))+1),(((D9368/100)*(C9368*VLOOKUP(B9368,'Poids des runes'!A:B,2,FALSE)))+1)/VLOOKUP(B9368,'Poids des runes'!A:B,2,FALSE))</f>
        <v>10.166666666666666</v>
      </c>
      <c r="F9368">
        <f t="shared" si="146"/>
        <v>10.166666666666666</v>
      </c>
    </row>
    <row r="9369" spans="1:6" x14ac:dyDescent="0.3">
      <c r="A9369" t="s">
        <v>1499</v>
      </c>
      <c r="B9369" t="s">
        <v>2128</v>
      </c>
      <c r="C9369">
        <v>275.5</v>
      </c>
      <c r="D9369">
        <v>200</v>
      </c>
      <c r="E9369">
        <f>IF(OR(B9369="vi",B9369="ii",B9369="pod"),(((D9369/100)*(C9369*VLOOKUP(B9369,'Poids des runes'!A:B,2,FALSE)))+1),(((D9369/100)*(C9369*VLOOKUP(B9369,'Poids des runes'!A:B,2,FALSE)))+1)/VLOOKUP(B9369,'Poids des runes'!A:B,2,FALSE))</f>
        <v>111.2</v>
      </c>
      <c r="F9369">
        <f t="shared" si="146"/>
        <v>111.2</v>
      </c>
    </row>
    <row r="9370" spans="1:6" x14ac:dyDescent="0.3">
      <c r="A9370" t="s">
        <v>1499</v>
      </c>
      <c r="B9370" t="s">
        <v>2129</v>
      </c>
      <c r="C9370">
        <v>25.5</v>
      </c>
      <c r="D9370">
        <v>200</v>
      </c>
      <c r="E9370">
        <f>IF(OR(B9370="vi",B9370="ii",B9370="pod"),(((D9370/100)*(C9370*VLOOKUP(B9370,'Poids des runes'!A:B,2,FALSE)))+1),(((D9370/100)*(C9370*VLOOKUP(B9370,'Poids des runes'!A:B,2,FALSE)))+1)/VLOOKUP(B9370,'Poids des runes'!A:B,2,FALSE))</f>
        <v>52</v>
      </c>
      <c r="F9370">
        <f t="shared" si="146"/>
        <v>52</v>
      </c>
    </row>
    <row r="9371" spans="1:6" x14ac:dyDescent="0.3">
      <c r="A9371" t="s">
        <v>1499</v>
      </c>
      <c r="B9371" t="s">
        <v>2139</v>
      </c>
      <c r="C9371">
        <v>50.5</v>
      </c>
      <c r="D9371">
        <v>200</v>
      </c>
      <c r="E9371">
        <f>IF(OR(B9371="vi",B9371="ii",B9371="pod"),(((D9371/100)*(C9371*VLOOKUP(B9371,'Poids des runes'!A:B,2,FALSE)))+1),(((D9371/100)*(C9371*VLOOKUP(B9371,'Poids des runes'!A:B,2,FALSE)))+1)/VLOOKUP(B9371,'Poids des runes'!A:B,2,FALSE))</f>
        <v>101.5</v>
      </c>
      <c r="F9371">
        <f t="shared" si="146"/>
        <v>101.5</v>
      </c>
    </row>
    <row r="9372" spans="1:6" x14ac:dyDescent="0.3">
      <c r="A9372" t="s">
        <v>1499</v>
      </c>
      <c r="B9372" t="s">
        <v>2151</v>
      </c>
      <c r="C9372">
        <v>2.5</v>
      </c>
      <c r="D9372">
        <v>200</v>
      </c>
      <c r="E9372">
        <f>IF(OR(B9372="vi",B9372="ii",B9372="pod"),(((D9372/100)*(C9372*VLOOKUP(B9372,'Poids des runes'!A:B,2,FALSE)))+1),(((D9372/100)*(C9372*VLOOKUP(B9372,'Poids des runes'!A:B,2,FALSE)))+1)/VLOOKUP(B9372,'Poids des runes'!A:B,2,FALSE))</f>
        <v>5.0999999999999996</v>
      </c>
      <c r="F9372">
        <f t="shared" si="146"/>
        <v>5.0999999999999996</v>
      </c>
    </row>
    <row r="9373" spans="1:6" x14ac:dyDescent="0.3">
      <c r="A9373" t="s">
        <v>1499</v>
      </c>
      <c r="B9373" t="s">
        <v>2150</v>
      </c>
      <c r="C9373">
        <v>1</v>
      </c>
      <c r="D9373">
        <v>200</v>
      </c>
      <c r="E9373">
        <f>IF(OR(B9373="vi",B9373="ii",B9373="pod"),(((D9373/100)*(C9373*VLOOKUP(B9373,'Poids des runes'!A:B,2,FALSE)))+1),(((D9373/100)*(C9373*VLOOKUP(B9373,'Poids des runes'!A:B,2,FALSE)))+1)/VLOOKUP(B9373,'Poids des runes'!A:B,2,FALSE))</f>
        <v>2.0333333333333332</v>
      </c>
      <c r="F9373">
        <f t="shared" si="146"/>
        <v>2.0333333333333332</v>
      </c>
    </row>
    <row r="9374" spans="1:6" x14ac:dyDescent="0.3">
      <c r="A9374" t="s">
        <v>1499</v>
      </c>
      <c r="B9374" t="s">
        <v>2134</v>
      </c>
      <c r="C9374">
        <v>6.5</v>
      </c>
      <c r="D9374">
        <v>200</v>
      </c>
      <c r="E9374">
        <f>IF(OR(B9374="vi",B9374="ii",B9374="pod"),(((D9374/100)*(C9374*VLOOKUP(B9374,'Poids des runes'!A:B,2,FALSE)))+1),(((D9374/100)*(C9374*VLOOKUP(B9374,'Poids des runes'!A:B,2,FALSE)))+1)/VLOOKUP(B9374,'Poids des runes'!A:B,2,FALSE))</f>
        <v>13.05</v>
      </c>
      <c r="F9374">
        <f t="shared" si="146"/>
        <v>13.05</v>
      </c>
    </row>
    <row r="9375" spans="1:6" x14ac:dyDescent="0.3">
      <c r="A9375" t="s">
        <v>1499</v>
      </c>
      <c r="B9375" t="s">
        <v>2161</v>
      </c>
      <c r="C9375">
        <v>13</v>
      </c>
      <c r="D9375">
        <v>200</v>
      </c>
      <c r="E9375">
        <f>IF(OR(B9375="vi",B9375="ii",B9375="pod"),(((D9375/100)*(C9375*VLOOKUP(B9375,'Poids des runes'!A:B,2,FALSE)))+1),(((D9375/100)*(C9375*VLOOKUP(B9375,'Poids des runes'!A:B,2,FALSE)))+1)/VLOOKUP(B9375,'Poids des runes'!A:B,2,FALSE))</f>
        <v>26.333333333333332</v>
      </c>
      <c r="F9375">
        <f t="shared" si="146"/>
        <v>26.333333333333332</v>
      </c>
    </row>
    <row r="9376" spans="1:6" x14ac:dyDescent="0.3">
      <c r="A9376" t="s">
        <v>1499</v>
      </c>
      <c r="B9376" t="s">
        <v>2132</v>
      </c>
      <c r="C9376">
        <v>700.5</v>
      </c>
      <c r="D9376">
        <v>200</v>
      </c>
      <c r="E9376">
        <f>IF(OR(B9376="vi",B9376="ii",B9376="pod"),(((D9376/100)*(C9376*VLOOKUP(B9376,'Poids des runes'!A:B,2,FALSE)))+1),(((D9376/100)*(C9376*VLOOKUP(B9376,'Poids des runes'!A:B,2,FALSE)))+1)/VLOOKUP(B9376,'Poids des runes'!A:B,2,FALSE))</f>
        <v>141.1</v>
      </c>
      <c r="F9376">
        <f t="shared" si="146"/>
        <v>141.1</v>
      </c>
    </row>
    <row r="9377" spans="1:6" x14ac:dyDescent="0.3">
      <c r="A9377" t="s">
        <v>1499</v>
      </c>
      <c r="B9377" t="s">
        <v>2141</v>
      </c>
      <c r="C9377">
        <v>6.5</v>
      </c>
      <c r="D9377">
        <v>200</v>
      </c>
      <c r="E9377">
        <f>IF(OR(B9377="vi",B9377="ii",B9377="pod"),(((D9377/100)*(C9377*VLOOKUP(B9377,'Poids des runes'!A:B,2,FALSE)))+1),(((D9377/100)*(C9377*VLOOKUP(B9377,'Poids des runes'!A:B,2,FALSE)))+1)/VLOOKUP(B9377,'Poids des runes'!A:B,2,FALSE))</f>
        <v>13.25</v>
      </c>
      <c r="F9377">
        <f t="shared" si="146"/>
        <v>13.25</v>
      </c>
    </row>
    <row r="9378" spans="1:6" x14ac:dyDescent="0.3">
      <c r="A9378" t="s">
        <v>1499</v>
      </c>
      <c r="B9378" t="s">
        <v>2162</v>
      </c>
      <c r="C9378">
        <v>6.5</v>
      </c>
      <c r="D9378">
        <v>200</v>
      </c>
      <c r="E9378">
        <f>IF(OR(B9378="vi",B9378="ii",B9378="pod"),(((D9378/100)*(C9378*VLOOKUP(B9378,'Poids des runes'!A:B,2,FALSE)))+1),(((D9378/100)*(C9378*VLOOKUP(B9378,'Poids des runes'!A:B,2,FALSE)))+1)/VLOOKUP(B9378,'Poids des runes'!A:B,2,FALSE))</f>
        <v>13.142857142857142</v>
      </c>
      <c r="F9378">
        <f t="shared" si="146"/>
        <v>13.142857142857142</v>
      </c>
    </row>
    <row r="9379" spans="1:6" x14ac:dyDescent="0.3">
      <c r="A9379" t="s">
        <v>1499</v>
      </c>
      <c r="B9379" t="s">
        <v>2142</v>
      </c>
      <c r="C9379">
        <v>25.5</v>
      </c>
      <c r="D9379">
        <v>200</v>
      </c>
      <c r="E9379">
        <f>IF(OR(B9379="vi",B9379="ii",B9379="pod"),(((D9379/100)*(C9379*VLOOKUP(B9379,'Poids des runes'!A:B,2,FALSE)))+1),(((D9379/100)*(C9379*VLOOKUP(B9379,'Poids des runes'!A:B,2,FALSE)))+1)/VLOOKUP(B9379,'Poids des runes'!A:B,2,FALSE))</f>
        <v>51.2</v>
      </c>
      <c r="F9379">
        <f t="shared" si="146"/>
        <v>51.2</v>
      </c>
    </row>
    <row r="9380" spans="1:6" x14ac:dyDescent="0.3">
      <c r="A9380" t="s">
        <v>1499</v>
      </c>
      <c r="B9380" t="s">
        <v>2147</v>
      </c>
      <c r="C9380">
        <v>8.5</v>
      </c>
      <c r="D9380">
        <v>200</v>
      </c>
      <c r="E9380">
        <f>IF(OR(B9380="vi",B9380="ii",B9380="pod"),(((D9380/100)*(C9380*VLOOKUP(B9380,'Poids des runes'!A:B,2,FALSE)))+1),(((D9380/100)*(C9380*VLOOKUP(B9380,'Poids des runes'!A:B,2,FALSE)))+1)/VLOOKUP(B9380,'Poids des runes'!A:B,2,FALSE))</f>
        <v>17.166666666666668</v>
      </c>
      <c r="F9380">
        <f t="shared" si="146"/>
        <v>17.166666666666668</v>
      </c>
    </row>
    <row r="9381" spans="1:6" x14ac:dyDescent="0.3">
      <c r="A9381" t="s">
        <v>1500</v>
      </c>
      <c r="B9381" t="s">
        <v>2128</v>
      </c>
      <c r="C9381">
        <v>375.5</v>
      </c>
      <c r="D9381">
        <v>200</v>
      </c>
      <c r="E9381">
        <f>IF(OR(B9381="vi",B9381="ii",B9381="pod"),(((D9381/100)*(C9381*VLOOKUP(B9381,'Poids des runes'!A:B,2,FALSE)))+1),(((D9381/100)*(C9381*VLOOKUP(B9381,'Poids des runes'!A:B,2,FALSE)))+1)/VLOOKUP(B9381,'Poids des runes'!A:B,2,FALSE))</f>
        <v>151.20000000000002</v>
      </c>
      <c r="F9381">
        <f t="shared" si="146"/>
        <v>151.20000000000002</v>
      </c>
    </row>
    <row r="9382" spans="1:6" x14ac:dyDescent="0.3">
      <c r="A9382" t="s">
        <v>1500</v>
      </c>
      <c r="B9382" t="s">
        <v>2130</v>
      </c>
      <c r="C9382">
        <v>70.5</v>
      </c>
      <c r="D9382">
        <v>200</v>
      </c>
      <c r="E9382">
        <f>IF(OR(B9382="vi",B9382="ii",B9382="pod"),(((D9382/100)*(C9382*VLOOKUP(B9382,'Poids des runes'!A:B,2,FALSE)))+1),(((D9382/100)*(C9382*VLOOKUP(B9382,'Poids des runes'!A:B,2,FALSE)))+1)/VLOOKUP(B9382,'Poids des runes'!A:B,2,FALSE))</f>
        <v>142</v>
      </c>
      <c r="F9382">
        <f t="shared" si="146"/>
        <v>142</v>
      </c>
    </row>
    <row r="9383" spans="1:6" x14ac:dyDescent="0.3">
      <c r="A9383" t="s">
        <v>1500</v>
      </c>
      <c r="B9383" t="s">
        <v>2129</v>
      </c>
      <c r="C9383">
        <v>25.5</v>
      </c>
      <c r="D9383">
        <v>200</v>
      </c>
      <c r="E9383">
        <f>IF(OR(B9383="vi",B9383="ii",B9383="pod"),(((D9383/100)*(C9383*VLOOKUP(B9383,'Poids des runes'!A:B,2,FALSE)))+1),(((D9383/100)*(C9383*VLOOKUP(B9383,'Poids des runes'!A:B,2,FALSE)))+1)/VLOOKUP(B9383,'Poids des runes'!A:B,2,FALSE))</f>
        <v>52</v>
      </c>
      <c r="F9383">
        <f t="shared" si="146"/>
        <v>52</v>
      </c>
    </row>
    <row r="9384" spans="1:6" x14ac:dyDescent="0.3">
      <c r="A9384" t="s">
        <v>1500</v>
      </c>
      <c r="B9384" t="s">
        <v>2151</v>
      </c>
      <c r="C9384">
        <v>4</v>
      </c>
      <c r="D9384">
        <v>200</v>
      </c>
      <c r="E9384">
        <f>IF(OR(B9384="vi",B9384="ii",B9384="pod"),(((D9384/100)*(C9384*VLOOKUP(B9384,'Poids des runes'!A:B,2,FALSE)))+1),(((D9384/100)*(C9384*VLOOKUP(B9384,'Poids des runes'!A:B,2,FALSE)))+1)/VLOOKUP(B9384,'Poids des runes'!A:B,2,FALSE))</f>
        <v>8.1</v>
      </c>
      <c r="F9384">
        <f t="shared" si="146"/>
        <v>8.1</v>
      </c>
    </row>
    <row r="9385" spans="1:6" x14ac:dyDescent="0.3">
      <c r="A9385" t="s">
        <v>1500</v>
      </c>
      <c r="B9385" t="s">
        <v>2143</v>
      </c>
      <c r="C9385">
        <v>10.5</v>
      </c>
      <c r="D9385">
        <v>200</v>
      </c>
      <c r="E9385">
        <f>IF(OR(B9385="vi",B9385="ii",B9385="pod"),(((D9385/100)*(C9385*VLOOKUP(B9385,'Poids des runes'!A:B,2,FALSE)))+1),(((D9385/100)*(C9385*VLOOKUP(B9385,'Poids des runes'!A:B,2,FALSE)))+1)/VLOOKUP(B9385,'Poids des runes'!A:B,2,FALSE))</f>
        <v>21.2</v>
      </c>
      <c r="F9385">
        <f t="shared" si="146"/>
        <v>21.2</v>
      </c>
    </row>
    <row r="9386" spans="1:6" x14ac:dyDescent="0.3">
      <c r="A9386" t="s">
        <v>1500</v>
      </c>
      <c r="B9386" t="s">
        <v>2161</v>
      </c>
      <c r="C9386">
        <v>8.5</v>
      </c>
      <c r="D9386">
        <v>200</v>
      </c>
      <c r="E9386">
        <f>IF(OR(B9386="vi",B9386="ii",B9386="pod"),(((D9386/100)*(C9386*VLOOKUP(B9386,'Poids des runes'!A:B,2,FALSE)))+1),(((D9386/100)*(C9386*VLOOKUP(B9386,'Poids des runes'!A:B,2,FALSE)))+1)/VLOOKUP(B9386,'Poids des runes'!A:B,2,FALSE))</f>
        <v>17.333333333333332</v>
      </c>
      <c r="F9386">
        <f t="shared" si="146"/>
        <v>17.333333333333332</v>
      </c>
    </row>
    <row r="9387" spans="1:6" x14ac:dyDescent="0.3">
      <c r="A9387" t="s">
        <v>1500</v>
      </c>
      <c r="B9387" t="s">
        <v>2138</v>
      </c>
      <c r="C9387">
        <v>4</v>
      </c>
      <c r="D9387">
        <v>200</v>
      </c>
      <c r="E9387">
        <f>IF(OR(B9387="vi",B9387="ii",B9387="pod"),(((D9387/100)*(C9387*VLOOKUP(B9387,'Poids des runes'!A:B,2,FALSE)))+1),(((D9387/100)*(C9387*VLOOKUP(B9387,'Poids des runes'!A:B,2,FALSE)))+1)/VLOOKUP(B9387,'Poids des runes'!A:B,2,FALSE))</f>
        <v>8.25</v>
      </c>
      <c r="F9387">
        <f t="shared" si="146"/>
        <v>8.25</v>
      </c>
    </row>
    <row r="9388" spans="1:6" x14ac:dyDescent="0.3">
      <c r="A9388" t="s">
        <v>1500</v>
      </c>
      <c r="B9388" t="s">
        <v>2165</v>
      </c>
      <c r="C9388">
        <v>3.5</v>
      </c>
      <c r="D9388">
        <v>200</v>
      </c>
      <c r="E9388">
        <f>IF(OR(B9388="vi",B9388="ii",B9388="pod"),(((D9388/100)*(C9388*VLOOKUP(B9388,'Poids des runes'!A:B,2,FALSE)))+1),(((D9388/100)*(C9388*VLOOKUP(B9388,'Poids des runes'!A:B,2,FALSE)))+1)/VLOOKUP(B9388,'Poids des runes'!A:B,2,FALSE))</f>
        <v>7.1428571428571432</v>
      </c>
      <c r="F9388">
        <f t="shared" si="146"/>
        <v>7.1428571428571432</v>
      </c>
    </row>
    <row r="9389" spans="1:6" x14ac:dyDescent="0.3">
      <c r="A9389" t="s">
        <v>1500</v>
      </c>
      <c r="B9389" t="s">
        <v>2142</v>
      </c>
      <c r="C9389">
        <v>8.5</v>
      </c>
      <c r="D9389">
        <v>200</v>
      </c>
      <c r="E9389">
        <f>IF(OR(B9389="vi",B9389="ii",B9389="pod"),(((D9389/100)*(C9389*VLOOKUP(B9389,'Poids des runes'!A:B,2,FALSE)))+1),(((D9389/100)*(C9389*VLOOKUP(B9389,'Poids des runes'!A:B,2,FALSE)))+1)/VLOOKUP(B9389,'Poids des runes'!A:B,2,FALSE))</f>
        <v>17.2</v>
      </c>
      <c r="F9389">
        <f t="shared" si="146"/>
        <v>17.2</v>
      </c>
    </row>
    <row r="9390" spans="1:6" x14ac:dyDescent="0.3">
      <c r="A9390" t="s">
        <v>1500</v>
      </c>
      <c r="B9390" t="s">
        <v>2156</v>
      </c>
      <c r="C9390">
        <v>5</v>
      </c>
      <c r="D9390">
        <v>200</v>
      </c>
      <c r="E9390">
        <f>IF(OR(B9390="vi",B9390="ii",B9390="pod"),(((D9390/100)*(C9390*VLOOKUP(B9390,'Poids des runes'!A:B,2,FALSE)))+1),(((D9390/100)*(C9390*VLOOKUP(B9390,'Poids des runes'!A:B,2,FALSE)))+1)/VLOOKUP(B9390,'Poids des runes'!A:B,2,FALSE))</f>
        <v>10.166666666666666</v>
      </c>
      <c r="F9390">
        <f t="shared" si="146"/>
        <v>10.166666666666666</v>
      </c>
    </row>
    <row r="9391" spans="1:6" x14ac:dyDescent="0.3">
      <c r="A9391" t="s">
        <v>1500</v>
      </c>
      <c r="B9391" t="s">
        <v>2148</v>
      </c>
      <c r="C9391">
        <v>6</v>
      </c>
      <c r="D9391">
        <v>200</v>
      </c>
      <c r="E9391">
        <f>IF(OR(B9391="vi",B9391="ii",B9391="pod"),(((D9391/100)*(C9391*VLOOKUP(B9391,'Poids des runes'!A:B,2,FALSE)))+1),(((D9391/100)*(C9391*VLOOKUP(B9391,'Poids des runes'!A:B,2,FALSE)))+1)/VLOOKUP(B9391,'Poids des runes'!A:B,2,FALSE))</f>
        <v>12.166666666666666</v>
      </c>
      <c r="F9391">
        <f t="shared" si="146"/>
        <v>12.166666666666666</v>
      </c>
    </row>
    <row r="9392" spans="1:6" x14ac:dyDescent="0.3">
      <c r="A9392" t="s">
        <v>1500</v>
      </c>
      <c r="B9392" t="s">
        <v>2135</v>
      </c>
      <c r="C9392">
        <v>6.5</v>
      </c>
      <c r="D9392">
        <v>200</v>
      </c>
      <c r="E9392">
        <f>IF(OR(B9392="vi",B9392="ii",B9392="pod"),(((D9392/100)*(C9392*VLOOKUP(B9392,'Poids des runes'!A:B,2,FALSE)))+1),(((D9392/100)*(C9392*VLOOKUP(B9392,'Poids des runes'!A:B,2,FALSE)))+1)/VLOOKUP(B9392,'Poids des runes'!A:B,2,FALSE))</f>
        <v>13.166666666666666</v>
      </c>
      <c r="F9392">
        <f t="shared" si="146"/>
        <v>13.166666666666666</v>
      </c>
    </row>
    <row r="9393" spans="1:6" x14ac:dyDescent="0.3">
      <c r="A9393" t="s">
        <v>1500</v>
      </c>
      <c r="B9393" t="s">
        <v>2146</v>
      </c>
      <c r="C9393">
        <v>8</v>
      </c>
      <c r="D9393">
        <v>200</v>
      </c>
      <c r="E9393">
        <f>IF(OR(B9393="vi",B9393="ii",B9393="pod"),(((D9393/100)*(C9393*VLOOKUP(B9393,'Poids des runes'!A:B,2,FALSE)))+1),(((D9393/100)*(C9393*VLOOKUP(B9393,'Poids des runes'!A:B,2,FALSE)))+1)/VLOOKUP(B9393,'Poids des runes'!A:B,2,FALSE))</f>
        <v>16.5</v>
      </c>
      <c r="F9393">
        <f t="shared" si="146"/>
        <v>16.5</v>
      </c>
    </row>
    <row r="9394" spans="1:6" x14ac:dyDescent="0.3">
      <c r="A9394" t="s">
        <v>1501</v>
      </c>
      <c r="B9394" t="s">
        <v>2128</v>
      </c>
      <c r="C9394">
        <v>325.5</v>
      </c>
      <c r="D9394">
        <v>200</v>
      </c>
      <c r="E9394">
        <f>IF(OR(B9394="vi",B9394="ii",B9394="pod"),(((D9394/100)*(C9394*VLOOKUP(B9394,'Poids des runes'!A:B,2,FALSE)))+1),(((D9394/100)*(C9394*VLOOKUP(B9394,'Poids des runes'!A:B,2,FALSE)))+1)/VLOOKUP(B9394,'Poids des runes'!A:B,2,FALSE))</f>
        <v>131.20000000000002</v>
      </c>
      <c r="F9394">
        <f t="shared" si="146"/>
        <v>131.20000000000002</v>
      </c>
    </row>
    <row r="9395" spans="1:6" x14ac:dyDescent="0.3">
      <c r="A9395" t="s">
        <v>1501</v>
      </c>
      <c r="B9395" t="s">
        <v>2130</v>
      </c>
      <c r="C9395">
        <v>50.5</v>
      </c>
      <c r="D9395">
        <v>200</v>
      </c>
      <c r="E9395">
        <f>IF(OR(B9395="vi",B9395="ii",B9395="pod"),(((D9395/100)*(C9395*VLOOKUP(B9395,'Poids des runes'!A:B,2,FALSE)))+1),(((D9395/100)*(C9395*VLOOKUP(B9395,'Poids des runes'!A:B,2,FALSE)))+1)/VLOOKUP(B9395,'Poids des runes'!A:B,2,FALSE))</f>
        <v>102</v>
      </c>
      <c r="F9395">
        <f t="shared" si="146"/>
        <v>102</v>
      </c>
    </row>
    <row r="9396" spans="1:6" x14ac:dyDescent="0.3">
      <c r="A9396" t="s">
        <v>1501</v>
      </c>
      <c r="B9396" t="s">
        <v>2129</v>
      </c>
      <c r="C9396">
        <v>35.5</v>
      </c>
      <c r="D9396">
        <v>200</v>
      </c>
      <c r="E9396">
        <f>IF(OR(B9396="vi",B9396="ii",B9396="pod"),(((D9396/100)*(C9396*VLOOKUP(B9396,'Poids des runes'!A:B,2,FALSE)))+1),(((D9396/100)*(C9396*VLOOKUP(B9396,'Poids des runes'!A:B,2,FALSE)))+1)/VLOOKUP(B9396,'Poids des runes'!A:B,2,FALSE))</f>
        <v>72</v>
      </c>
      <c r="F9396">
        <f t="shared" si="146"/>
        <v>72</v>
      </c>
    </row>
    <row r="9397" spans="1:6" x14ac:dyDescent="0.3">
      <c r="A9397" t="s">
        <v>1501</v>
      </c>
      <c r="B9397" t="s">
        <v>2139</v>
      </c>
      <c r="C9397">
        <v>25.5</v>
      </c>
      <c r="D9397">
        <v>200</v>
      </c>
      <c r="E9397">
        <f>IF(OR(B9397="vi",B9397="ii",B9397="pod"),(((D9397/100)*(C9397*VLOOKUP(B9397,'Poids des runes'!A:B,2,FALSE)))+1),(((D9397/100)*(C9397*VLOOKUP(B9397,'Poids des runes'!A:B,2,FALSE)))+1)/VLOOKUP(B9397,'Poids des runes'!A:B,2,FALSE))</f>
        <v>51.5</v>
      </c>
      <c r="F9397">
        <f t="shared" si="146"/>
        <v>51.5</v>
      </c>
    </row>
    <row r="9398" spans="1:6" x14ac:dyDescent="0.3">
      <c r="A9398" t="s">
        <v>1501</v>
      </c>
      <c r="B9398" t="s">
        <v>2151</v>
      </c>
      <c r="C9398">
        <v>3.5</v>
      </c>
      <c r="D9398">
        <v>200</v>
      </c>
      <c r="E9398">
        <f>IF(OR(B9398="vi",B9398="ii",B9398="pod"),(((D9398/100)*(C9398*VLOOKUP(B9398,'Poids des runes'!A:B,2,FALSE)))+1),(((D9398/100)*(C9398*VLOOKUP(B9398,'Poids des runes'!A:B,2,FALSE)))+1)/VLOOKUP(B9398,'Poids des runes'!A:B,2,FALSE))</f>
        <v>7.1</v>
      </c>
      <c r="F9398">
        <f t="shared" si="146"/>
        <v>7.1</v>
      </c>
    </row>
    <row r="9399" spans="1:6" x14ac:dyDescent="0.3">
      <c r="A9399" t="s">
        <v>1501</v>
      </c>
      <c r="B9399" t="s">
        <v>2152</v>
      </c>
      <c r="C9399">
        <v>1</v>
      </c>
      <c r="D9399">
        <v>200</v>
      </c>
      <c r="E9399">
        <f>IF(OR(B9399="vi",B9399="ii",B9399="pod"),(((D9399/100)*(C9399*VLOOKUP(B9399,'Poids des runes'!A:B,2,FALSE)))+1),(((D9399/100)*(C9399*VLOOKUP(B9399,'Poids des runes'!A:B,2,FALSE)))+1)/VLOOKUP(B9399,'Poids des runes'!A:B,2,FALSE))</f>
        <v>2.0099999999999998</v>
      </c>
      <c r="F9399">
        <f t="shared" si="146"/>
        <v>2.0099999999999998</v>
      </c>
    </row>
    <row r="9400" spans="1:6" x14ac:dyDescent="0.3">
      <c r="A9400" t="s">
        <v>1501</v>
      </c>
      <c r="B9400" t="s">
        <v>2150</v>
      </c>
      <c r="C9400">
        <v>1</v>
      </c>
      <c r="D9400">
        <v>200</v>
      </c>
      <c r="E9400">
        <f>IF(OR(B9400="vi",B9400="ii",B9400="pod"),(((D9400/100)*(C9400*VLOOKUP(B9400,'Poids des runes'!A:B,2,FALSE)))+1),(((D9400/100)*(C9400*VLOOKUP(B9400,'Poids des runes'!A:B,2,FALSE)))+1)/VLOOKUP(B9400,'Poids des runes'!A:B,2,FALSE))</f>
        <v>2.0333333333333332</v>
      </c>
      <c r="F9400">
        <f t="shared" si="146"/>
        <v>2.0333333333333332</v>
      </c>
    </row>
    <row r="9401" spans="1:6" x14ac:dyDescent="0.3">
      <c r="A9401" t="s">
        <v>1501</v>
      </c>
      <c r="B9401" t="s">
        <v>2143</v>
      </c>
      <c r="C9401">
        <v>10.5</v>
      </c>
      <c r="D9401">
        <v>200</v>
      </c>
      <c r="E9401">
        <f>IF(OR(B9401="vi",B9401="ii",B9401="pod"),(((D9401/100)*(C9401*VLOOKUP(B9401,'Poids des runes'!A:B,2,FALSE)))+1),(((D9401/100)*(C9401*VLOOKUP(B9401,'Poids des runes'!A:B,2,FALSE)))+1)/VLOOKUP(B9401,'Poids des runes'!A:B,2,FALSE))</f>
        <v>21.2</v>
      </c>
      <c r="F9401">
        <f t="shared" si="146"/>
        <v>21.2</v>
      </c>
    </row>
    <row r="9402" spans="1:6" x14ac:dyDescent="0.3">
      <c r="A9402" t="s">
        <v>1501</v>
      </c>
      <c r="B9402" t="s">
        <v>2138</v>
      </c>
      <c r="C9402">
        <v>6.5</v>
      </c>
      <c r="D9402">
        <v>200</v>
      </c>
      <c r="E9402">
        <f>IF(OR(B9402="vi",B9402="ii",B9402="pod"),(((D9402/100)*(C9402*VLOOKUP(B9402,'Poids des runes'!A:B,2,FALSE)))+1),(((D9402/100)*(C9402*VLOOKUP(B9402,'Poids des runes'!A:B,2,FALSE)))+1)/VLOOKUP(B9402,'Poids des runes'!A:B,2,FALSE))</f>
        <v>13.25</v>
      </c>
      <c r="F9402">
        <f t="shared" si="146"/>
        <v>13.25</v>
      </c>
    </row>
    <row r="9403" spans="1:6" x14ac:dyDescent="0.3">
      <c r="A9403" t="s">
        <v>1501</v>
      </c>
      <c r="B9403" t="s">
        <v>2165</v>
      </c>
      <c r="C9403">
        <v>4</v>
      </c>
      <c r="D9403">
        <v>200</v>
      </c>
      <c r="E9403">
        <f>IF(OR(B9403="vi",B9403="ii",B9403="pod"),(((D9403/100)*(C9403*VLOOKUP(B9403,'Poids des runes'!A:B,2,FALSE)))+1),(((D9403/100)*(C9403*VLOOKUP(B9403,'Poids des runes'!A:B,2,FALSE)))+1)/VLOOKUP(B9403,'Poids des runes'!A:B,2,FALSE))</f>
        <v>8.1428571428571423</v>
      </c>
      <c r="F9403">
        <f t="shared" si="146"/>
        <v>8.1428571428571423</v>
      </c>
    </row>
    <row r="9404" spans="1:6" x14ac:dyDescent="0.3">
      <c r="A9404" t="s">
        <v>1501</v>
      </c>
      <c r="B9404" t="s">
        <v>2156</v>
      </c>
      <c r="C9404">
        <v>4</v>
      </c>
      <c r="D9404">
        <v>200</v>
      </c>
      <c r="E9404">
        <f>IF(OR(B9404="vi",B9404="ii",B9404="pod"),(((D9404/100)*(C9404*VLOOKUP(B9404,'Poids des runes'!A:B,2,FALSE)))+1),(((D9404/100)*(C9404*VLOOKUP(B9404,'Poids des runes'!A:B,2,FALSE)))+1)/VLOOKUP(B9404,'Poids des runes'!A:B,2,FALSE))</f>
        <v>8.1666666666666661</v>
      </c>
      <c r="F9404">
        <f t="shared" si="146"/>
        <v>8.1666666666666661</v>
      </c>
    </row>
    <row r="9405" spans="1:6" x14ac:dyDescent="0.3">
      <c r="A9405" t="s">
        <v>1501</v>
      </c>
      <c r="B9405" t="s">
        <v>2135</v>
      </c>
      <c r="C9405">
        <v>4</v>
      </c>
      <c r="D9405">
        <v>200</v>
      </c>
      <c r="E9405">
        <f>IF(OR(B9405="vi",B9405="ii",B9405="pod"),(((D9405/100)*(C9405*VLOOKUP(B9405,'Poids des runes'!A:B,2,FALSE)))+1),(((D9405/100)*(C9405*VLOOKUP(B9405,'Poids des runes'!A:B,2,FALSE)))+1)/VLOOKUP(B9405,'Poids des runes'!A:B,2,FALSE))</f>
        <v>8.1666666666666661</v>
      </c>
      <c r="F9405">
        <f t="shared" si="146"/>
        <v>8.1666666666666661</v>
      </c>
    </row>
    <row r="9406" spans="1:6" x14ac:dyDescent="0.3">
      <c r="A9406" t="s">
        <v>1501</v>
      </c>
      <c r="B9406" t="s">
        <v>2136</v>
      </c>
      <c r="C9406">
        <v>8.5</v>
      </c>
      <c r="D9406">
        <v>200</v>
      </c>
      <c r="E9406">
        <f>IF(OR(B9406="vi",B9406="ii",B9406="pod"),(((D9406/100)*(C9406*VLOOKUP(B9406,'Poids des runes'!A:B,2,FALSE)))+1),(((D9406/100)*(C9406*VLOOKUP(B9406,'Poids des runes'!A:B,2,FALSE)))+1)/VLOOKUP(B9406,'Poids des runes'!A:B,2,FALSE))</f>
        <v>17.5</v>
      </c>
      <c r="F9406">
        <f t="shared" si="146"/>
        <v>17.5</v>
      </c>
    </row>
    <row r="9407" spans="1:6" x14ac:dyDescent="0.3">
      <c r="A9407" t="s">
        <v>1502</v>
      </c>
      <c r="B9407" t="s">
        <v>2128</v>
      </c>
      <c r="C9407">
        <v>450.5</v>
      </c>
      <c r="D9407">
        <v>200</v>
      </c>
      <c r="E9407">
        <f>IF(OR(B9407="vi",B9407="ii",B9407="pod"),(((D9407/100)*(C9407*VLOOKUP(B9407,'Poids des runes'!A:B,2,FALSE)))+1),(((D9407/100)*(C9407*VLOOKUP(B9407,'Poids des runes'!A:B,2,FALSE)))+1)/VLOOKUP(B9407,'Poids des runes'!A:B,2,FALSE))</f>
        <v>181.20000000000002</v>
      </c>
      <c r="F9407">
        <f t="shared" si="146"/>
        <v>181.20000000000002</v>
      </c>
    </row>
    <row r="9408" spans="1:6" x14ac:dyDescent="0.3">
      <c r="A9408" t="s">
        <v>1502</v>
      </c>
      <c r="B9408" t="s">
        <v>2129</v>
      </c>
      <c r="C9408">
        <v>50.5</v>
      </c>
      <c r="D9408">
        <v>200</v>
      </c>
      <c r="E9408">
        <f>IF(OR(B9408="vi",B9408="ii",B9408="pod"),(((D9408/100)*(C9408*VLOOKUP(B9408,'Poids des runes'!A:B,2,FALSE)))+1),(((D9408/100)*(C9408*VLOOKUP(B9408,'Poids des runes'!A:B,2,FALSE)))+1)/VLOOKUP(B9408,'Poids des runes'!A:B,2,FALSE))</f>
        <v>102</v>
      </c>
      <c r="F9408">
        <f t="shared" si="146"/>
        <v>102</v>
      </c>
    </row>
    <row r="9409" spans="1:6" x14ac:dyDescent="0.3">
      <c r="A9409" t="s">
        <v>1502</v>
      </c>
      <c r="B9409" t="s">
        <v>2139</v>
      </c>
      <c r="C9409">
        <v>100.5</v>
      </c>
      <c r="D9409">
        <v>200</v>
      </c>
      <c r="E9409">
        <f>IF(OR(B9409="vi",B9409="ii",B9409="pod"),(((D9409/100)*(C9409*VLOOKUP(B9409,'Poids des runes'!A:B,2,FALSE)))+1),(((D9409/100)*(C9409*VLOOKUP(B9409,'Poids des runes'!A:B,2,FALSE)))+1)/VLOOKUP(B9409,'Poids des runes'!A:B,2,FALSE))</f>
        <v>201.5</v>
      </c>
      <c r="F9409">
        <f t="shared" si="146"/>
        <v>201.5</v>
      </c>
    </row>
    <row r="9410" spans="1:6" x14ac:dyDescent="0.3">
      <c r="A9410" t="s">
        <v>1502</v>
      </c>
      <c r="B9410" t="s">
        <v>2152</v>
      </c>
      <c r="C9410">
        <v>1</v>
      </c>
      <c r="D9410">
        <v>200</v>
      </c>
      <c r="E9410">
        <f>IF(OR(B9410="vi",B9410="ii",B9410="pod"),(((D9410/100)*(C9410*VLOOKUP(B9410,'Poids des runes'!A:B,2,FALSE)))+1),(((D9410/100)*(C9410*VLOOKUP(B9410,'Poids des runes'!A:B,2,FALSE)))+1)/VLOOKUP(B9410,'Poids des runes'!A:B,2,FALSE))</f>
        <v>2.0099999999999998</v>
      </c>
      <c r="F9410">
        <f t="shared" si="146"/>
        <v>2.0099999999999998</v>
      </c>
    </row>
    <row r="9411" spans="1:6" x14ac:dyDescent="0.3">
      <c r="A9411" t="s">
        <v>1502</v>
      </c>
      <c r="B9411" t="s">
        <v>2134</v>
      </c>
      <c r="C9411">
        <v>13</v>
      </c>
      <c r="D9411">
        <v>200</v>
      </c>
      <c r="E9411">
        <f>IF(OR(B9411="vi",B9411="ii",B9411="pod"),(((D9411/100)*(C9411*VLOOKUP(B9411,'Poids des runes'!A:B,2,FALSE)))+1),(((D9411/100)*(C9411*VLOOKUP(B9411,'Poids des runes'!A:B,2,FALSE)))+1)/VLOOKUP(B9411,'Poids des runes'!A:B,2,FALSE))</f>
        <v>26.05</v>
      </c>
      <c r="F9411">
        <f t="shared" ref="F9411:F9474" si="147">E9411</f>
        <v>26.05</v>
      </c>
    </row>
    <row r="9412" spans="1:6" x14ac:dyDescent="0.3">
      <c r="A9412" t="s">
        <v>1502</v>
      </c>
      <c r="B9412" t="s">
        <v>2132</v>
      </c>
      <c r="C9412">
        <v>900.5</v>
      </c>
      <c r="D9412">
        <v>200</v>
      </c>
      <c r="E9412">
        <f>IF(OR(B9412="vi",B9412="ii",B9412="pod"),(((D9412/100)*(C9412*VLOOKUP(B9412,'Poids des runes'!A:B,2,FALSE)))+1),(((D9412/100)*(C9412*VLOOKUP(B9412,'Poids des runes'!A:B,2,FALSE)))+1)/VLOOKUP(B9412,'Poids des runes'!A:B,2,FALSE))</f>
        <v>181.10000000000002</v>
      </c>
      <c r="F9412">
        <f t="shared" si="147"/>
        <v>181.10000000000002</v>
      </c>
    </row>
    <row r="9413" spans="1:6" x14ac:dyDescent="0.3">
      <c r="A9413" t="s">
        <v>1502</v>
      </c>
      <c r="B9413" t="s">
        <v>2163</v>
      </c>
      <c r="C9413">
        <v>23</v>
      </c>
      <c r="D9413">
        <v>200</v>
      </c>
      <c r="E9413">
        <f>IF(OR(B9413="vi",B9413="ii",B9413="pod"),(((D9413/100)*(C9413*VLOOKUP(B9413,'Poids des runes'!A:B,2,FALSE)))+1),(((D9413/100)*(C9413*VLOOKUP(B9413,'Poids des runes'!A:B,2,FALSE)))+1)/VLOOKUP(B9413,'Poids des runes'!A:B,2,FALSE))</f>
        <v>46.5</v>
      </c>
      <c r="F9413">
        <f t="shared" si="147"/>
        <v>46.5</v>
      </c>
    </row>
    <row r="9414" spans="1:6" x14ac:dyDescent="0.3">
      <c r="A9414" t="s">
        <v>1502</v>
      </c>
      <c r="B9414" t="s">
        <v>2164</v>
      </c>
      <c r="C9414">
        <v>23</v>
      </c>
      <c r="D9414">
        <v>200</v>
      </c>
      <c r="E9414">
        <f>IF(OR(B9414="vi",B9414="ii",B9414="pod"),(((D9414/100)*(C9414*VLOOKUP(B9414,'Poids des runes'!A:B,2,FALSE)))+1),(((D9414/100)*(C9414*VLOOKUP(B9414,'Poids des runes'!A:B,2,FALSE)))+1)/VLOOKUP(B9414,'Poids des runes'!A:B,2,FALSE))</f>
        <v>46.5</v>
      </c>
      <c r="F9414">
        <f t="shared" si="147"/>
        <v>46.5</v>
      </c>
    </row>
    <row r="9415" spans="1:6" x14ac:dyDescent="0.3">
      <c r="A9415" t="s">
        <v>1503</v>
      </c>
      <c r="B9415" t="s">
        <v>2128</v>
      </c>
      <c r="C9415">
        <v>375.5</v>
      </c>
      <c r="D9415">
        <v>200</v>
      </c>
      <c r="E9415">
        <f>IF(OR(B9415="vi",B9415="ii",B9415="pod"),(((D9415/100)*(C9415*VLOOKUP(B9415,'Poids des runes'!A:B,2,FALSE)))+1),(((D9415/100)*(C9415*VLOOKUP(B9415,'Poids des runes'!A:B,2,FALSE)))+1)/VLOOKUP(B9415,'Poids des runes'!A:B,2,FALSE))</f>
        <v>151.20000000000002</v>
      </c>
      <c r="F9415">
        <f t="shared" si="147"/>
        <v>151.20000000000002</v>
      </c>
    </row>
    <row r="9416" spans="1:6" x14ac:dyDescent="0.3">
      <c r="A9416" t="s">
        <v>1503</v>
      </c>
      <c r="B9416" t="s">
        <v>2130</v>
      </c>
      <c r="C9416">
        <v>70.5</v>
      </c>
      <c r="D9416">
        <v>200</v>
      </c>
      <c r="E9416">
        <f>IF(OR(B9416="vi",B9416="ii",B9416="pod"),(((D9416/100)*(C9416*VLOOKUP(B9416,'Poids des runes'!A:B,2,FALSE)))+1),(((D9416/100)*(C9416*VLOOKUP(B9416,'Poids des runes'!A:B,2,FALSE)))+1)/VLOOKUP(B9416,'Poids des runes'!A:B,2,FALSE))</f>
        <v>142</v>
      </c>
      <c r="F9416">
        <f t="shared" si="147"/>
        <v>142</v>
      </c>
    </row>
    <row r="9417" spans="1:6" x14ac:dyDescent="0.3">
      <c r="A9417" t="s">
        <v>1503</v>
      </c>
      <c r="B9417" t="s">
        <v>2127</v>
      </c>
      <c r="C9417">
        <v>70.5</v>
      </c>
      <c r="D9417">
        <v>200</v>
      </c>
      <c r="E9417">
        <f>IF(OR(B9417="vi",B9417="ii",B9417="pod"),(((D9417/100)*(C9417*VLOOKUP(B9417,'Poids des runes'!A:B,2,FALSE)))+1),(((D9417/100)*(C9417*VLOOKUP(B9417,'Poids des runes'!A:B,2,FALSE)))+1)/VLOOKUP(B9417,'Poids des runes'!A:B,2,FALSE))</f>
        <v>142</v>
      </c>
      <c r="F9417">
        <f t="shared" si="147"/>
        <v>142</v>
      </c>
    </row>
    <row r="9418" spans="1:6" x14ac:dyDescent="0.3">
      <c r="A9418" t="s">
        <v>1503</v>
      </c>
      <c r="B9418" t="s">
        <v>2129</v>
      </c>
      <c r="C9418">
        <v>43</v>
      </c>
      <c r="D9418">
        <v>200</v>
      </c>
      <c r="E9418">
        <f>IF(OR(B9418="vi",B9418="ii",B9418="pod"),(((D9418/100)*(C9418*VLOOKUP(B9418,'Poids des runes'!A:B,2,FALSE)))+1),(((D9418/100)*(C9418*VLOOKUP(B9418,'Poids des runes'!A:B,2,FALSE)))+1)/VLOOKUP(B9418,'Poids des runes'!A:B,2,FALSE))</f>
        <v>87</v>
      </c>
      <c r="F9418">
        <f t="shared" si="147"/>
        <v>87</v>
      </c>
    </row>
    <row r="9419" spans="1:6" x14ac:dyDescent="0.3">
      <c r="A9419" t="s">
        <v>1503</v>
      </c>
      <c r="B9419" t="s">
        <v>2151</v>
      </c>
      <c r="C9419">
        <v>3.5</v>
      </c>
      <c r="D9419">
        <v>200</v>
      </c>
      <c r="E9419">
        <f>IF(OR(B9419="vi",B9419="ii",B9419="pod"),(((D9419/100)*(C9419*VLOOKUP(B9419,'Poids des runes'!A:B,2,FALSE)))+1),(((D9419/100)*(C9419*VLOOKUP(B9419,'Poids des runes'!A:B,2,FALSE)))+1)/VLOOKUP(B9419,'Poids des runes'!A:B,2,FALSE))</f>
        <v>7.1</v>
      </c>
      <c r="F9419">
        <f t="shared" si="147"/>
        <v>7.1</v>
      </c>
    </row>
    <row r="9420" spans="1:6" x14ac:dyDescent="0.3">
      <c r="A9420" t="s">
        <v>1503</v>
      </c>
      <c r="B9420" t="s">
        <v>2143</v>
      </c>
      <c r="C9420">
        <v>11</v>
      </c>
      <c r="D9420">
        <v>200</v>
      </c>
      <c r="E9420">
        <f>IF(OR(B9420="vi",B9420="ii",B9420="pod"),(((D9420/100)*(C9420*VLOOKUP(B9420,'Poids des runes'!A:B,2,FALSE)))+1),(((D9420/100)*(C9420*VLOOKUP(B9420,'Poids des runes'!A:B,2,FALSE)))+1)/VLOOKUP(B9420,'Poids des runes'!A:B,2,FALSE))</f>
        <v>22.2</v>
      </c>
      <c r="F9420">
        <f t="shared" si="147"/>
        <v>22.2</v>
      </c>
    </row>
    <row r="9421" spans="1:6" x14ac:dyDescent="0.3">
      <c r="A9421" t="s">
        <v>1503</v>
      </c>
      <c r="B9421" t="s">
        <v>2153</v>
      </c>
      <c r="C9421">
        <v>11</v>
      </c>
      <c r="D9421">
        <v>200</v>
      </c>
      <c r="E9421">
        <f>IF(OR(B9421="vi",B9421="ii",B9421="pod"),(((D9421/100)*(C9421*VLOOKUP(B9421,'Poids des runes'!A:B,2,FALSE)))+1),(((D9421/100)*(C9421*VLOOKUP(B9421,'Poids des runes'!A:B,2,FALSE)))+1)/VLOOKUP(B9421,'Poids des runes'!A:B,2,FALSE))</f>
        <v>22.2</v>
      </c>
      <c r="F9421">
        <f t="shared" si="147"/>
        <v>22.2</v>
      </c>
    </row>
    <row r="9422" spans="1:6" x14ac:dyDescent="0.3">
      <c r="A9422" t="s">
        <v>1503</v>
      </c>
      <c r="B9422" t="s">
        <v>2161</v>
      </c>
      <c r="C9422">
        <v>11</v>
      </c>
      <c r="D9422">
        <v>200</v>
      </c>
      <c r="E9422">
        <f>IF(OR(B9422="vi",B9422="ii",B9422="pod"),(((D9422/100)*(C9422*VLOOKUP(B9422,'Poids des runes'!A:B,2,FALSE)))+1),(((D9422/100)*(C9422*VLOOKUP(B9422,'Poids des runes'!A:B,2,FALSE)))+1)/VLOOKUP(B9422,'Poids des runes'!A:B,2,FALSE))</f>
        <v>22.333333333333332</v>
      </c>
      <c r="F9422">
        <f t="shared" si="147"/>
        <v>22.333333333333332</v>
      </c>
    </row>
    <row r="9423" spans="1:6" x14ac:dyDescent="0.3">
      <c r="A9423" t="s">
        <v>1503</v>
      </c>
      <c r="B9423" t="s">
        <v>2138</v>
      </c>
      <c r="C9423">
        <v>5</v>
      </c>
      <c r="D9423">
        <v>200</v>
      </c>
      <c r="E9423">
        <f>IF(OR(B9423="vi",B9423="ii",B9423="pod"),(((D9423/100)*(C9423*VLOOKUP(B9423,'Poids des runes'!A:B,2,FALSE)))+1),(((D9423/100)*(C9423*VLOOKUP(B9423,'Poids des runes'!A:B,2,FALSE)))+1)/VLOOKUP(B9423,'Poids des runes'!A:B,2,FALSE))</f>
        <v>10.25</v>
      </c>
      <c r="F9423">
        <f t="shared" si="147"/>
        <v>10.25</v>
      </c>
    </row>
    <row r="9424" spans="1:6" x14ac:dyDescent="0.3">
      <c r="A9424" t="s">
        <v>1503</v>
      </c>
      <c r="B9424" t="s">
        <v>2163</v>
      </c>
      <c r="C9424">
        <v>9.5</v>
      </c>
      <c r="D9424">
        <v>200</v>
      </c>
      <c r="E9424">
        <f>IF(OR(B9424="vi",B9424="ii",B9424="pod"),(((D9424/100)*(C9424*VLOOKUP(B9424,'Poids des runes'!A:B,2,FALSE)))+1),(((D9424/100)*(C9424*VLOOKUP(B9424,'Poids des runes'!A:B,2,FALSE)))+1)/VLOOKUP(B9424,'Poids des runes'!A:B,2,FALSE))</f>
        <v>19.5</v>
      </c>
      <c r="F9424">
        <f t="shared" si="147"/>
        <v>19.5</v>
      </c>
    </row>
    <row r="9425" spans="1:6" x14ac:dyDescent="0.3">
      <c r="A9425" t="s">
        <v>1503</v>
      </c>
      <c r="B9425" t="s">
        <v>2147</v>
      </c>
      <c r="C9425">
        <v>6.5</v>
      </c>
      <c r="D9425">
        <v>200</v>
      </c>
      <c r="E9425">
        <f>IF(OR(B9425="vi",B9425="ii",B9425="pod"),(((D9425/100)*(C9425*VLOOKUP(B9425,'Poids des runes'!A:B,2,FALSE)))+1),(((D9425/100)*(C9425*VLOOKUP(B9425,'Poids des runes'!A:B,2,FALSE)))+1)/VLOOKUP(B9425,'Poids des runes'!A:B,2,FALSE))</f>
        <v>13.166666666666666</v>
      </c>
      <c r="F9425">
        <f t="shared" si="147"/>
        <v>13.166666666666666</v>
      </c>
    </row>
    <row r="9426" spans="1:6" x14ac:dyDescent="0.3">
      <c r="A9426" t="s">
        <v>1503</v>
      </c>
      <c r="B9426" t="s">
        <v>2157</v>
      </c>
      <c r="C9426">
        <v>6.5</v>
      </c>
      <c r="D9426">
        <v>200</v>
      </c>
      <c r="E9426">
        <f>IF(OR(B9426="vi",B9426="ii",B9426="pod"),(((D9426/100)*(C9426*VLOOKUP(B9426,'Poids des runes'!A:B,2,FALSE)))+1),(((D9426/100)*(C9426*VLOOKUP(B9426,'Poids des runes'!A:B,2,FALSE)))+1)/VLOOKUP(B9426,'Poids des runes'!A:B,2,FALSE))</f>
        <v>13.166666666666666</v>
      </c>
      <c r="F9426">
        <f t="shared" si="147"/>
        <v>13.166666666666666</v>
      </c>
    </row>
    <row r="9427" spans="1:6" x14ac:dyDescent="0.3">
      <c r="A9427" t="s">
        <v>1504</v>
      </c>
      <c r="B9427" t="s">
        <v>2128</v>
      </c>
      <c r="C9427">
        <v>400.5</v>
      </c>
      <c r="D9427">
        <v>200</v>
      </c>
      <c r="E9427">
        <f>IF(OR(B9427="vi",B9427="ii",B9427="pod"),(((D9427/100)*(C9427*VLOOKUP(B9427,'Poids des runes'!A:B,2,FALSE)))+1),(((D9427/100)*(C9427*VLOOKUP(B9427,'Poids des runes'!A:B,2,FALSE)))+1)/VLOOKUP(B9427,'Poids des runes'!A:B,2,FALSE))</f>
        <v>161.20000000000002</v>
      </c>
      <c r="F9427">
        <f t="shared" si="147"/>
        <v>161.20000000000002</v>
      </c>
    </row>
    <row r="9428" spans="1:6" x14ac:dyDescent="0.3">
      <c r="A9428" t="s">
        <v>1504</v>
      </c>
      <c r="B9428" t="s">
        <v>2130</v>
      </c>
      <c r="C9428">
        <v>60.5</v>
      </c>
      <c r="D9428">
        <v>200</v>
      </c>
      <c r="E9428">
        <f>IF(OR(B9428="vi",B9428="ii",B9428="pod"),(((D9428/100)*(C9428*VLOOKUP(B9428,'Poids des runes'!A:B,2,FALSE)))+1),(((D9428/100)*(C9428*VLOOKUP(B9428,'Poids des runes'!A:B,2,FALSE)))+1)/VLOOKUP(B9428,'Poids des runes'!A:B,2,FALSE))</f>
        <v>122</v>
      </c>
      <c r="F9428">
        <f t="shared" si="147"/>
        <v>122</v>
      </c>
    </row>
    <row r="9429" spans="1:6" x14ac:dyDescent="0.3">
      <c r="A9429" t="s">
        <v>1504</v>
      </c>
      <c r="B9429" t="s">
        <v>2127</v>
      </c>
      <c r="C9429">
        <v>60.5</v>
      </c>
      <c r="D9429">
        <v>200</v>
      </c>
      <c r="E9429">
        <f>IF(OR(B9429="vi",B9429="ii",B9429="pod"),(((D9429/100)*(C9429*VLOOKUP(B9429,'Poids des runes'!A:B,2,FALSE)))+1),(((D9429/100)*(C9429*VLOOKUP(B9429,'Poids des runes'!A:B,2,FALSE)))+1)/VLOOKUP(B9429,'Poids des runes'!A:B,2,FALSE))</f>
        <v>122</v>
      </c>
      <c r="F9429">
        <f t="shared" si="147"/>
        <v>122</v>
      </c>
    </row>
    <row r="9430" spans="1:6" x14ac:dyDescent="0.3">
      <c r="A9430" t="s">
        <v>1504</v>
      </c>
      <c r="B9430" t="s">
        <v>2129</v>
      </c>
      <c r="C9430">
        <v>40.5</v>
      </c>
      <c r="D9430">
        <v>200</v>
      </c>
      <c r="E9430">
        <f>IF(OR(B9430="vi",B9430="ii",B9430="pod"),(((D9430/100)*(C9430*VLOOKUP(B9430,'Poids des runes'!A:B,2,FALSE)))+1),(((D9430/100)*(C9430*VLOOKUP(B9430,'Poids des runes'!A:B,2,FALSE)))+1)/VLOOKUP(B9430,'Poids des runes'!A:B,2,FALSE))</f>
        <v>82</v>
      </c>
      <c r="F9430">
        <f t="shared" si="147"/>
        <v>82</v>
      </c>
    </row>
    <row r="9431" spans="1:6" x14ac:dyDescent="0.3">
      <c r="A9431" t="s">
        <v>1504</v>
      </c>
      <c r="B9431" t="s">
        <v>2151</v>
      </c>
      <c r="C9431">
        <v>3.5</v>
      </c>
      <c r="D9431">
        <v>200</v>
      </c>
      <c r="E9431">
        <f>IF(OR(B9431="vi",B9431="ii",B9431="pod"),(((D9431/100)*(C9431*VLOOKUP(B9431,'Poids des runes'!A:B,2,FALSE)))+1),(((D9431/100)*(C9431*VLOOKUP(B9431,'Poids des runes'!A:B,2,FALSE)))+1)/VLOOKUP(B9431,'Poids des runes'!A:B,2,FALSE))</f>
        <v>7.1</v>
      </c>
      <c r="F9431">
        <f t="shared" si="147"/>
        <v>7.1</v>
      </c>
    </row>
    <row r="9432" spans="1:6" x14ac:dyDescent="0.3">
      <c r="A9432" t="s">
        <v>1504</v>
      </c>
      <c r="B9432" t="s">
        <v>2154</v>
      </c>
      <c r="C9432">
        <v>1</v>
      </c>
      <c r="D9432">
        <v>200</v>
      </c>
      <c r="E9432">
        <f>IF(OR(B9432="vi",B9432="ii",B9432="pod"),(((D9432/100)*(C9432*VLOOKUP(B9432,'Poids des runes'!A:B,2,FALSE)))+1),(((D9432/100)*(C9432*VLOOKUP(B9432,'Poids des runes'!A:B,2,FALSE)))+1)/VLOOKUP(B9432,'Poids des runes'!A:B,2,FALSE))</f>
        <v>2.0111111111111111</v>
      </c>
      <c r="F9432">
        <f t="shared" si="147"/>
        <v>2.0111111111111111</v>
      </c>
    </row>
    <row r="9433" spans="1:6" x14ac:dyDescent="0.3">
      <c r="A9433" t="s">
        <v>1504</v>
      </c>
      <c r="B9433" t="s">
        <v>2150</v>
      </c>
      <c r="C9433">
        <v>1</v>
      </c>
      <c r="D9433">
        <v>200</v>
      </c>
      <c r="E9433">
        <f>IF(OR(B9433="vi",B9433="ii",B9433="pod"),(((D9433/100)*(C9433*VLOOKUP(B9433,'Poids des runes'!A:B,2,FALSE)))+1),(((D9433/100)*(C9433*VLOOKUP(B9433,'Poids des runes'!A:B,2,FALSE)))+1)/VLOOKUP(B9433,'Poids des runes'!A:B,2,FALSE))</f>
        <v>2.0333333333333332</v>
      </c>
      <c r="F9433">
        <f t="shared" si="147"/>
        <v>2.0333333333333332</v>
      </c>
    </row>
    <row r="9434" spans="1:6" x14ac:dyDescent="0.3">
      <c r="A9434" t="s">
        <v>1504</v>
      </c>
      <c r="B9434" t="s">
        <v>2143</v>
      </c>
      <c r="C9434">
        <v>8</v>
      </c>
      <c r="D9434">
        <v>200</v>
      </c>
      <c r="E9434">
        <f>IF(OR(B9434="vi",B9434="ii",B9434="pod"),(((D9434/100)*(C9434*VLOOKUP(B9434,'Poids des runes'!A:B,2,FALSE)))+1),(((D9434/100)*(C9434*VLOOKUP(B9434,'Poids des runes'!A:B,2,FALSE)))+1)/VLOOKUP(B9434,'Poids des runes'!A:B,2,FALSE))</f>
        <v>16.2</v>
      </c>
      <c r="F9434">
        <f t="shared" si="147"/>
        <v>16.2</v>
      </c>
    </row>
    <row r="9435" spans="1:6" x14ac:dyDescent="0.3">
      <c r="A9435" t="s">
        <v>1504</v>
      </c>
      <c r="B9435" t="s">
        <v>2153</v>
      </c>
      <c r="C9435">
        <v>8</v>
      </c>
      <c r="D9435">
        <v>200</v>
      </c>
      <c r="E9435">
        <f>IF(OR(B9435="vi",B9435="ii",B9435="pod"),(((D9435/100)*(C9435*VLOOKUP(B9435,'Poids des runes'!A:B,2,FALSE)))+1),(((D9435/100)*(C9435*VLOOKUP(B9435,'Poids des runes'!A:B,2,FALSE)))+1)/VLOOKUP(B9435,'Poids des runes'!A:B,2,FALSE))</f>
        <v>16.2</v>
      </c>
      <c r="F9435">
        <f t="shared" si="147"/>
        <v>16.2</v>
      </c>
    </row>
    <row r="9436" spans="1:6" x14ac:dyDescent="0.3">
      <c r="A9436" t="s">
        <v>1504</v>
      </c>
      <c r="B9436" t="s">
        <v>2161</v>
      </c>
      <c r="C9436">
        <v>12</v>
      </c>
      <c r="D9436">
        <v>200</v>
      </c>
      <c r="E9436">
        <f>IF(OR(B9436="vi",B9436="ii",B9436="pod"),(((D9436/100)*(C9436*VLOOKUP(B9436,'Poids des runes'!A:B,2,FALSE)))+1),(((D9436/100)*(C9436*VLOOKUP(B9436,'Poids des runes'!A:B,2,FALSE)))+1)/VLOOKUP(B9436,'Poids des runes'!A:B,2,FALSE))</f>
        <v>24.333333333333332</v>
      </c>
      <c r="F9436">
        <f t="shared" si="147"/>
        <v>24.333333333333332</v>
      </c>
    </row>
    <row r="9437" spans="1:6" x14ac:dyDescent="0.3">
      <c r="A9437" t="s">
        <v>1504</v>
      </c>
      <c r="B9437" t="s">
        <v>2164</v>
      </c>
      <c r="C9437">
        <v>9.5</v>
      </c>
      <c r="D9437">
        <v>200</v>
      </c>
      <c r="E9437">
        <f>IF(OR(B9437="vi",B9437="ii",B9437="pod"),(((D9437/100)*(C9437*VLOOKUP(B9437,'Poids des runes'!A:B,2,FALSE)))+1),(((D9437/100)*(C9437*VLOOKUP(B9437,'Poids des runes'!A:B,2,FALSE)))+1)/VLOOKUP(B9437,'Poids des runes'!A:B,2,FALSE))</f>
        <v>19.5</v>
      </c>
      <c r="F9437">
        <f t="shared" si="147"/>
        <v>19.5</v>
      </c>
    </row>
    <row r="9438" spans="1:6" x14ac:dyDescent="0.3">
      <c r="A9438" t="s">
        <v>1504</v>
      </c>
      <c r="B9438" t="s">
        <v>2157</v>
      </c>
      <c r="C9438">
        <v>4</v>
      </c>
      <c r="D9438">
        <v>200</v>
      </c>
      <c r="E9438">
        <f>IF(OR(B9438="vi",B9438="ii",B9438="pod"),(((D9438/100)*(C9438*VLOOKUP(B9438,'Poids des runes'!A:B,2,FALSE)))+1),(((D9438/100)*(C9438*VLOOKUP(B9438,'Poids des runes'!A:B,2,FALSE)))+1)/VLOOKUP(B9438,'Poids des runes'!A:B,2,FALSE))</f>
        <v>8.1666666666666661</v>
      </c>
      <c r="F9438">
        <f t="shared" si="147"/>
        <v>8.1666666666666661</v>
      </c>
    </row>
    <row r="9439" spans="1:6" x14ac:dyDescent="0.3">
      <c r="A9439" t="s">
        <v>1504</v>
      </c>
      <c r="B9439" t="s">
        <v>2137</v>
      </c>
      <c r="C9439">
        <v>13</v>
      </c>
      <c r="D9439">
        <v>200</v>
      </c>
      <c r="E9439">
        <f>IF(OR(B9439="vi",B9439="ii",B9439="pod"),(((D9439/100)*(C9439*VLOOKUP(B9439,'Poids des runes'!A:B,2,FALSE)))+1),(((D9439/100)*(C9439*VLOOKUP(B9439,'Poids des runes'!A:B,2,FALSE)))+1)/VLOOKUP(B9439,'Poids des runes'!A:B,2,FALSE))</f>
        <v>26.5</v>
      </c>
      <c r="F9439">
        <f t="shared" si="147"/>
        <v>26.5</v>
      </c>
    </row>
    <row r="9440" spans="1:6" x14ac:dyDescent="0.3">
      <c r="A9440" t="s">
        <v>1504</v>
      </c>
      <c r="B9440" t="s">
        <v>2144</v>
      </c>
      <c r="C9440">
        <v>13</v>
      </c>
      <c r="D9440">
        <v>200</v>
      </c>
      <c r="E9440">
        <f>IF(OR(B9440="vi",B9440="ii",B9440="pod"),(((D9440/100)*(C9440*VLOOKUP(B9440,'Poids des runes'!A:B,2,FALSE)))+1),(((D9440/100)*(C9440*VLOOKUP(B9440,'Poids des runes'!A:B,2,FALSE)))+1)/VLOOKUP(B9440,'Poids des runes'!A:B,2,FALSE))</f>
        <v>26.5</v>
      </c>
      <c r="F9440">
        <f t="shared" si="147"/>
        <v>26.5</v>
      </c>
    </row>
    <row r="9441" spans="1:6" x14ac:dyDescent="0.3">
      <c r="A9441" t="s">
        <v>1504</v>
      </c>
      <c r="B9441" t="s">
        <v>2145</v>
      </c>
      <c r="C9441">
        <v>13</v>
      </c>
      <c r="D9441">
        <v>200</v>
      </c>
      <c r="E9441">
        <f>IF(OR(B9441="vi",B9441="ii",B9441="pod"),(((D9441/100)*(C9441*VLOOKUP(B9441,'Poids des runes'!A:B,2,FALSE)))+1),(((D9441/100)*(C9441*VLOOKUP(B9441,'Poids des runes'!A:B,2,FALSE)))+1)/VLOOKUP(B9441,'Poids des runes'!A:B,2,FALSE))</f>
        <v>26.5</v>
      </c>
      <c r="F9441">
        <f t="shared" si="147"/>
        <v>26.5</v>
      </c>
    </row>
    <row r="9442" spans="1:6" x14ac:dyDescent="0.3">
      <c r="A9442" t="s">
        <v>1504</v>
      </c>
      <c r="B9442" t="s">
        <v>2146</v>
      </c>
      <c r="C9442">
        <v>13</v>
      </c>
      <c r="D9442">
        <v>200</v>
      </c>
      <c r="E9442">
        <f>IF(OR(B9442="vi",B9442="ii",B9442="pod"),(((D9442/100)*(C9442*VLOOKUP(B9442,'Poids des runes'!A:B,2,FALSE)))+1),(((D9442/100)*(C9442*VLOOKUP(B9442,'Poids des runes'!A:B,2,FALSE)))+1)/VLOOKUP(B9442,'Poids des runes'!A:B,2,FALSE))</f>
        <v>26.5</v>
      </c>
      <c r="F9442">
        <f t="shared" si="147"/>
        <v>26.5</v>
      </c>
    </row>
    <row r="9443" spans="1:6" x14ac:dyDescent="0.3">
      <c r="A9443" t="s">
        <v>1505</v>
      </c>
      <c r="B9443" t="s">
        <v>2128</v>
      </c>
      <c r="C9443">
        <v>300.5</v>
      </c>
      <c r="D9443">
        <v>200</v>
      </c>
      <c r="E9443">
        <f>IF(OR(B9443="vi",B9443="ii",B9443="pod"),(((D9443/100)*(C9443*VLOOKUP(B9443,'Poids des runes'!A:B,2,FALSE)))+1),(((D9443/100)*(C9443*VLOOKUP(B9443,'Poids des runes'!A:B,2,FALSE)))+1)/VLOOKUP(B9443,'Poids des runes'!A:B,2,FALSE))</f>
        <v>121.2</v>
      </c>
      <c r="F9443">
        <f t="shared" si="147"/>
        <v>121.2</v>
      </c>
    </row>
    <row r="9444" spans="1:6" x14ac:dyDescent="0.3">
      <c r="A9444" t="s">
        <v>1505</v>
      </c>
      <c r="B9444" t="s">
        <v>2130</v>
      </c>
      <c r="C9444">
        <v>50.5</v>
      </c>
      <c r="D9444">
        <v>200</v>
      </c>
      <c r="E9444">
        <f>IF(OR(B9444="vi",B9444="ii",B9444="pod"),(((D9444/100)*(C9444*VLOOKUP(B9444,'Poids des runes'!A:B,2,FALSE)))+1),(((D9444/100)*(C9444*VLOOKUP(B9444,'Poids des runes'!A:B,2,FALSE)))+1)/VLOOKUP(B9444,'Poids des runes'!A:B,2,FALSE))</f>
        <v>102</v>
      </c>
      <c r="F9444">
        <f t="shared" si="147"/>
        <v>102</v>
      </c>
    </row>
    <row r="9445" spans="1:6" x14ac:dyDescent="0.3">
      <c r="A9445" t="s">
        <v>1505</v>
      </c>
      <c r="B9445" t="s">
        <v>2127</v>
      </c>
      <c r="C9445">
        <v>50.5</v>
      </c>
      <c r="D9445">
        <v>200</v>
      </c>
      <c r="E9445">
        <f>IF(OR(B9445="vi",B9445="ii",B9445="pod"),(((D9445/100)*(C9445*VLOOKUP(B9445,'Poids des runes'!A:B,2,FALSE)))+1),(((D9445/100)*(C9445*VLOOKUP(B9445,'Poids des runes'!A:B,2,FALSE)))+1)/VLOOKUP(B9445,'Poids des runes'!A:B,2,FALSE))</f>
        <v>102</v>
      </c>
      <c r="F9445">
        <f t="shared" si="147"/>
        <v>102</v>
      </c>
    </row>
    <row r="9446" spans="1:6" x14ac:dyDescent="0.3">
      <c r="A9446" t="s">
        <v>1505</v>
      </c>
      <c r="B9446" t="s">
        <v>2129</v>
      </c>
      <c r="C9446">
        <v>35.5</v>
      </c>
      <c r="D9446">
        <v>200</v>
      </c>
      <c r="E9446">
        <f>IF(OR(B9446="vi",B9446="ii",B9446="pod"),(((D9446/100)*(C9446*VLOOKUP(B9446,'Poids des runes'!A:B,2,FALSE)))+1),(((D9446/100)*(C9446*VLOOKUP(B9446,'Poids des runes'!A:B,2,FALSE)))+1)/VLOOKUP(B9446,'Poids des runes'!A:B,2,FALSE))</f>
        <v>72</v>
      </c>
      <c r="F9446">
        <f t="shared" si="147"/>
        <v>72</v>
      </c>
    </row>
    <row r="9447" spans="1:6" x14ac:dyDescent="0.3">
      <c r="A9447" t="s">
        <v>1505</v>
      </c>
      <c r="B9447" t="s">
        <v>2151</v>
      </c>
      <c r="C9447">
        <v>7.5</v>
      </c>
      <c r="D9447">
        <v>200</v>
      </c>
      <c r="E9447">
        <f>IF(OR(B9447="vi",B9447="ii",B9447="pod"),(((D9447/100)*(C9447*VLOOKUP(B9447,'Poids des runes'!A:B,2,FALSE)))+1),(((D9447/100)*(C9447*VLOOKUP(B9447,'Poids des runes'!A:B,2,FALSE)))+1)/VLOOKUP(B9447,'Poids des runes'!A:B,2,FALSE))</f>
        <v>15.1</v>
      </c>
      <c r="F9447">
        <f t="shared" si="147"/>
        <v>15.1</v>
      </c>
    </row>
    <row r="9448" spans="1:6" x14ac:dyDescent="0.3">
      <c r="A9448" t="s">
        <v>1505</v>
      </c>
      <c r="B9448" t="s">
        <v>2152</v>
      </c>
      <c r="C9448">
        <v>1</v>
      </c>
      <c r="D9448">
        <v>200</v>
      </c>
      <c r="E9448">
        <f>IF(OR(B9448="vi",B9448="ii",B9448="pod"),(((D9448/100)*(C9448*VLOOKUP(B9448,'Poids des runes'!A:B,2,FALSE)))+1),(((D9448/100)*(C9448*VLOOKUP(B9448,'Poids des runes'!A:B,2,FALSE)))+1)/VLOOKUP(B9448,'Poids des runes'!A:B,2,FALSE))</f>
        <v>2.0099999999999998</v>
      </c>
      <c r="F9448">
        <f t="shared" si="147"/>
        <v>2.0099999999999998</v>
      </c>
    </row>
    <row r="9449" spans="1:6" x14ac:dyDescent="0.3">
      <c r="A9449" t="s">
        <v>1505</v>
      </c>
      <c r="B9449" t="s">
        <v>2143</v>
      </c>
      <c r="C9449">
        <v>9.5</v>
      </c>
      <c r="D9449">
        <v>200</v>
      </c>
      <c r="E9449">
        <f>IF(OR(B9449="vi",B9449="ii",B9449="pod"),(((D9449/100)*(C9449*VLOOKUP(B9449,'Poids des runes'!A:B,2,FALSE)))+1),(((D9449/100)*(C9449*VLOOKUP(B9449,'Poids des runes'!A:B,2,FALSE)))+1)/VLOOKUP(B9449,'Poids des runes'!A:B,2,FALSE))</f>
        <v>19.2</v>
      </c>
      <c r="F9449">
        <f t="shared" si="147"/>
        <v>19.2</v>
      </c>
    </row>
    <row r="9450" spans="1:6" x14ac:dyDescent="0.3">
      <c r="A9450" t="s">
        <v>1505</v>
      </c>
      <c r="B9450" t="s">
        <v>2153</v>
      </c>
      <c r="C9450">
        <v>9.5</v>
      </c>
      <c r="D9450">
        <v>200</v>
      </c>
      <c r="E9450">
        <f>IF(OR(B9450="vi",B9450="ii",B9450="pod"),(((D9450/100)*(C9450*VLOOKUP(B9450,'Poids des runes'!A:B,2,FALSE)))+1),(((D9450/100)*(C9450*VLOOKUP(B9450,'Poids des runes'!A:B,2,FALSE)))+1)/VLOOKUP(B9450,'Poids des runes'!A:B,2,FALSE))</f>
        <v>19.2</v>
      </c>
      <c r="F9450">
        <f t="shared" si="147"/>
        <v>19.2</v>
      </c>
    </row>
    <row r="9451" spans="1:6" x14ac:dyDescent="0.3">
      <c r="A9451" t="s">
        <v>1505</v>
      </c>
      <c r="B9451" t="s">
        <v>2161</v>
      </c>
      <c r="C9451">
        <v>12</v>
      </c>
      <c r="D9451">
        <v>200</v>
      </c>
      <c r="E9451">
        <f>IF(OR(B9451="vi",B9451="ii",B9451="pod"),(((D9451/100)*(C9451*VLOOKUP(B9451,'Poids des runes'!A:B,2,FALSE)))+1),(((D9451/100)*(C9451*VLOOKUP(B9451,'Poids des runes'!A:B,2,FALSE)))+1)/VLOOKUP(B9451,'Poids des runes'!A:B,2,FALSE))</f>
        <v>24.333333333333332</v>
      </c>
      <c r="F9451">
        <f t="shared" si="147"/>
        <v>24.333333333333332</v>
      </c>
    </row>
    <row r="9452" spans="1:6" x14ac:dyDescent="0.3">
      <c r="A9452" t="s">
        <v>1505</v>
      </c>
      <c r="B9452" t="s">
        <v>2158</v>
      </c>
      <c r="C9452">
        <v>8.5</v>
      </c>
      <c r="D9452">
        <v>200</v>
      </c>
      <c r="E9452">
        <f>IF(OR(B9452="vi",B9452="ii",B9452="pod"),(((D9452/100)*(C9452*VLOOKUP(B9452,'Poids des runes'!A:B,2,FALSE)))+1),(((D9452/100)*(C9452*VLOOKUP(B9452,'Poids des runes'!A:B,2,FALSE)))+1)/VLOOKUP(B9452,'Poids des runes'!A:B,2,FALSE))</f>
        <v>17.2</v>
      </c>
      <c r="F9452">
        <f t="shared" si="147"/>
        <v>17.2</v>
      </c>
    </row>
    <row r="9453" spans="1:6" x14ac:dyDescent="0.3">
      <c r="A9453" t="s">
        <v>1505</v>
      </c>
      <c r="B9453" t="s">
        <v>2163</v>
      </c>
      <c r="C9453">
        <v>8</v>
      </c>
      <c r="D9453">
        <v>200</v>
      </c>
      <c r="E9453">
        <f>IF(OR(B9453="vi",B9453="ii",B9453="pod"),(((D9453/100)*(C9453*VLOOKUP(B9453,'Poids des runes'!A:B,2,FALSE)))+1),(((D9453/100)*(C9453*VLOOKUP(B9453,'Poids des runes'!A:B,2,FALSE)))+1)/VLOOKUP(B9453,'Poids des runes'!A:B,2,FALSE))</f>
        <v>16.5</v>
      </c>
      <c r="F9453">
        <f t="shared" si="147"/>
        <v>16.5</v>
      </c>
    </row>
    <row r="9454" spans="1:6" x14ac:dyDescent="0.3">
      <c r="A9454" t="s">
        <v>1505</v>
      </c>
      <c r="B9454" t="s">
        <v>2148</v>
      </c>
      <c r="C9454">
        <v>5</v>
      </c>
      <c r="D9454">
        <v>200</v>
      </c>
      <c r="E9454">
        <f>IF(OR(B9454="vi",B9454="ii",B9454="pod"),(((D9454/100)*(C9454*VLOOKUP(B9454,'Poids des runes'!A:B,2,FALSE)))+1),(((D9454/100)*(C9454*VLOOKUP(B9454,'Poids des runes'!A:B,2,FALSE)))+1)/VLOOKUP(B9454,'Poids des runes'!A:B,2,FALSE))</f>
        <v>10.166666666666666</v>
      </c>
      <c r="F9454">
        <f t="shared" si="147"/>
        <v>10.166666666666666</v>
      </c>
    </row>
    <row r="9455" spans="1:6" x14ac:dyDescent="0.3">
      <c r="A9455" t="s">
        <v>1505</v>
      </c>
      <c r="B9455" t="s">
        <v>2135</v>
      </c>
      <c r="C9455">
        <v>5</v>
      </c>
      <c r="D9455">
        <v>200</v>
      </c>
      <c r="E9455">
        <f>IF(OR(B9455="vi",B9455="ii",B9455="pod"),(((D9455/100)*(C9455*VLOOKUP(B9455,'Poids des runes'!A:B,2,FALSE)))+1),(((D9455/100)*(C9455*VLOOKUP(B9455,'Poids des runes'!A:B,2,FALSE)))+1)/VLOOKUP(B9455,'Poids des runes'!A:B,2,FALSE))</f>
        <v>10.166666666666666</v>
      </c>
      <c r="F9455">
        <f t="shared" si="147"/>
        <v>10.166666666666666</v>
      </c>
    </row>
    <row r="9456" spans="1:6" x14ac:dyDescent="0.3">
      <c r="A9456" t="s">
        <v>1506</v>
      </c>
      <c r="B9456" t="s">
        <v>2128</v>
      </c>
      <c r="C9456">
        <v>325.5</v>
      </c>
      <c r="D9456">
        <v>200</v>
      </c>
      <c r="E9456">
        <f>IF(OR(B9456="vi",B9456="ii",B9456="pod"),(((D9456/100)*(C9456*VLOOKUP(B9456,'Poids des runes'!A:B,2,FALSE)))+1),(((D9456/100)*(C9456*VLOOKUP(B9456,'Poids des runes'!A:B,2,FALSE)))+1)/VLOOKUP(B9456,'Poids des runes'!A:B,2,FALSE))</f>
        <v>131.20000000000002</v>
      </c>
      <c r="F9456">
        <f t="shared" si="147"/>
        <v>131.20000000000002</v>
      </c>
    </row>
    <row r="9457" spans="1:6" x14ac:dyDescent="0.3">
      <c r="A9457" t="s">
        <v>1506</v>
      </c>
      <c r="B9457" t="s">
        <v>2126</v>
      </c>
      <c r="C9457">
        <v>70.5</v>
      </c>
      <c r="D9457">
        <v>200</v>
      </c>
      <c r="E9457">
        <f>IF(OR(B9457="vi",B9457="ii",B9457="pod"),(((D9457/100)*(C9457*VLOOKUP(B9457,'Poids des runes'!A:B,2,FALSE)))+1),(((D9457/100)*(C9457*VLOOKUP(B9457,'Poids des runes'!A:B,2,FALSE)))+1)/VLOOKUP(B9457,'Poids des runes'!A:B,2,FALSE))</f>
        <v>142</v>
      </c>
      <c r="F9457">
        <f t="shared" si="147"/>
        <v>142</v>
      </c>
    </row>
    <row r="9458" spans="1:6" x14ac:dyDescent="0.3">
      <c r="A9458" t="s">
        <v>1506</v>
      </c>
      <c r="B9458" t="s">
        <v>2127</v>
      </c>
      <c r="C9458">
        <v>70.5</v>
      </c>
      <c r="D9458">
        <v>200</v>
      </c>
      <c r="E9458">
        <f>IF(OR(B9458="vi",B9458="ii",B9458="pod"),(((D9458/100)*(C9458*VLOOKUP(B9458,'Poids des runes'!A:B,2,FALSE)))+1),(((D9458/100)*(C9458*VLOOKUP(B9458,'Poids des runes'!A:B,2,FALSE)))+1)/VLOOKUP(B9458,'Poids des runes'!A:B,2,FALSE))</f>
        <v>142</v>
      </c>
      <c r="F9458">
        <f t="shared" si="147"/>
        <v>142</v>
      </c>
    </row>
    <row r="9459" spans="1:6" x14ac:dyDescent="0.3">
      <c r="A9459" t="s">
        <v>1506</v>
      </c>
      <c r="B9459" t="s">
        <v>2129</v>
      </c>
      <c r="C9459">
        <v>25.5</v>
      </c>
      <c r="D9459">
        <v>200</v>
      </c>
      <c r="E9459">
        <f>IF(OR(B9459="vi",B9459="ii",B9459="pod"),(((D9459/100)*(C9459*VLOOKUP(B9459,'Poids des runes'!A:B,2,FALSE)))+1),(((D9459/100)*(C9459*VLOOKUP(B9459,'Poids des runes'!A:B,2,FALSE)))+1)/VLOOKUP(B9459,'Poids des runes'!A:B,2,FALSE))</f>
        <v>52</v>
      </c>
      <c r="F9459">
        <f t="shared" si="147"/>
        <v>52</v>
      </c>
    </row>
    <row r="9460" spans="1:6" x14ac:dyDescent="0.3">
      <c r="A9460" t="s">
        <v>1506</v>
      </c>
      <c r="B9460" t="s">
        <v>2151</v>
      </c>
      <c r="C9460">
        <v>2.5</v>
      </c>
      <c r="D9460">
        <v>200</v>
      </c>
      <c r="E9460">
        <f>IF(OR(B9460="vi",B9460="ii",B9460="pod"),(((D9460/100)*(C9460*VLOOKUP(B9460,'Poids des runes'!A:B,2,FALSE)))+1),(((D9460/100)*(C9460*VLOOKUP(B9460,'Poids des runes'!A:B,2,FALSE)))+1)/VLOOKUP(B9460,'Poids des runes'!A:B,2,FALSE))</f>
        <v>5.0999999999999996</v>
      </c>
      <c r="F9460">
        <f t="shared" si="147"/>
        <v>5.0999999999999996</v>
      </c>
    </row>
    <row r="9461" spans="1:6" x14ac:dyDescent="0.3">
      <c r="A9461" t="s">
        <v>1506</v>
      </c>
      <c r="B9461" t="s">
        <v>2150</v>
      </c>
      <c r="C9461">
        <v>1</v>
      </c>
      <c r="D9461">
        <v>200</v>
      </c>
      <c r="E9461">
        <f>IF(OR(B9461="vi",B9461="ii",B9461="pod"),(((D9461/100)*(C9461*VLOOKUP(B9461,'Poids des runes'!A:B,2,FALSE)))+1),(((D9461/100)*(C9461*VLOOKUP(B9461,'Poids des runes'!A:B,2,FALSE)))+1)/VLOOKUP(B9461,'Poids des runes'!A:B,2,FALSE))</f>
        <v>2.0333333333333332</v>
      </c>
      <c r="F9461">
        <f t="shared" si="147"/>
        <v>2.0333333333333332</v>
      </c>
    </row>
    <row r="9462" spans="1:6" x14ac:dyDescent="0.3">
      <c r="A9462" t="s">
        <v>1506</v>
      </c>
      <c r="B9462" t="s">
        <v>2140</v>
      </c>
      <c r="C9462">
        <v>13</v>
      </c>
      <c r="D9462">
        <v>200</v>
      </c>
      <c r="E9462">
        <f>IF(OR(B9462="vi",B9462="ii",B9462="pod"),(((D9462/100)*(C9462*VLOOKUP(B9462,'Poids des runes'!A:B,2,FALSE)))+1),(((D9462/100)*(C9462*VLOOKUP(B9462,'Poids des runes'!A:B,2,FALSE)))+1)/VLOOKUP(B9462,'Poids des runes'!A:B,2,FALSE))</f>
        <v>26.2</v>
      </c>
      <c r="F9462">
        <f t="shared" si="147"/>
        <v>26.2</v>
      </c>
    </row>
    <row r="9463" spans="1:6" x14ac:dyDescent="0.3">
      <c r="A9463" t="s">
        <v>1506</v>
      </c>
      <c r="B9463" t="s">
        <v>2153</v>
      </c>
      <c r="C9463">
        <v>13</v>
      </c>
      <c r="D9463">
        <v>200</v>
      </c>
      <c r="E9463">
        <f>IF(OR(B9463="vi",B9463="ii",B9463="pod"),(((D9463/100)*(C9463*VLOOKUP(B9463,'Poids des runes'!A:B,2,FALSE)))+1),(((D9463/100)*(C9463*VLOOKUP(B9463,'Poids des runes'!A:B,2,FALSE)))+1)/VLOOKUP(B9463,'Poids des runes'!A:B,2,FALSE))</f>
        <v>26.2</v>
      </c>
      <c r="F9463">
        <f t="shared" si="147"/>
        <v>26.2</v>
      </c>
    </row>
    <row r="9464" spans="1:6" x14ac:dyDescent="0.3">
      <c r="A9464" t="s">
        <v>1506</v>
      </c>
      <c r="B9464" t="s">
        <v>2141</v>
      </c>
      <c r="C9464">
        <v>8.5</v>
      </c>
      <c r="D9464">
        <v>200</v>
      </c>
      <c r="E9464">
        <f>IF(OR(B9464="vi",B9464="ii",B9464="pod"),(((D9464/100)*(C9464*VLOOKUP(B9464,'Poids des runes'!A:B,2,FALSE)))+1),(((D9464/100)*(C9464*VLOOKUP(B9464,'Poids des runes'!A:B,2,FALSE)))+1)/VLOOKUP(B9464,'Poids des runes'!A:B,2,FALSE))</f>
        <v>17.25</v>
      </c>
      <c r="F9464">
        <f t="shared" si="147"/>
        <v>17.25</v>
      </c>
    </row>
    <row r="9465" spans="1:6" x14ac:dyDescent="0.3">
      <c r="A9465" t="s">
        <v>1506</v>
      </c>
      <c r="B9465" t="s">
        <v>2164</v>
      </c>
      <c r="C9465">
        <v>8.5</v>
      </c>
      <c r="D9465">
        <v>200</v>
      </c>
      <c r="E9465">
        <f>IF(OR(B9465="vi",B9465="ii",B9465="pod"),(((D9465/100)*(C9465*VLOOKUP(B9465,'Poids des runes'!A:B,2,FALSE)))+1),(((D9465/100)*(C9465*VLOOKUP(B9465,'Poids des runes'!A:B,2,FALSE)))+1)/VLOOKUP(B9465,'Poids des runes'!A:B,2,FALSE))</f>
        <v>17.5</v>
      </c>
      <c r="F9465">
        <f t="shared" si="147"/>
        <v>17.5</v>
      </c>
    </row>
    <row r="9466" spans="1:6" x14ac:dyDescent="0.3">
      <c r="A9466" t="s">
        <v>1506</v>
      </c>
      <c r="B9466" t="s">
        <v>2156</v>
      </c>
      <c r="C9466">
        <v>5</v>
      </c>
      <c r="D9466">
        <v>200</v>
      </c>
      <c r="E9466">
        <f>IF(OR(B9466="vi",B9466="ii",B9466="pod"),(((D9466/100)*(C9466*VLOOKUP(B9466,'Poids des runes'!A:B,2,FALSE)))+1),(((D9466/100)*(C9466*VLOOKUP(B9466,'Poids des runes'!A:B,2,FALSE)))+1)/VLOOKUP(B9466,'Poids des runes'!A:B,2,FALSE))</f>
        <v>10.166666666666666</v>
      </c>
      <c r="F9466">
        <f t="shared" si="147"/>
        <v>10.166666666666666</v>
      </c>
    </row>
    <row r="9467" spans="1:6" x14ac:dyDescent="0.3">
      <c r="A9467" t="s">
        <v>1506</v>
      </c>
      <c r="B9467" t="s">
        <v>2148</v>
      </c>
      <c r="C9467">
        <v>5</v>
      </c>
      <c r="D9467">
        <v>200</v>
      </c>
      <c r="E9467">
        <f>IF(OR(B9467="vi",B9467="ii",B9467="pod"),(((D9467/100)*(C9467*VLOOKUP(B9467,'Poids des runes'!A:B,2,FALSE)))+1),(((D9467/100)*(C9467*VLOOKUP(B9467,'Poids des runes'!A:B,2,FALSE)))+1)/VLOOKUP(B9467,'Poids des runes'!A:B,2,FALSE))</f>
        <v>10.166666666666666</v>
      </c>
      <c r="F9467">
        <f t="shared" si="147"/>
        <v>10.166666666666666</v>
      </c>
    </row>
    <row r="9468" spans="1:6" x14ac:dyDescent="0.3">
      <c r="A9468" t="s">
        <v>1506</v>
      </c>
      <c r="B9468" t="s">
        <v>2147</v>
      </c>
      <c r="C9468">
        <v>5</v>
      </c>
      <c r="D9468">
        <v>200</v>
      </c>
      <c r="E9468">
        <f>IF(OR(B9468="vi",B9468="ii",B9468="pod"),(((D9468/100)*(C9468*VLOOKUP(B9468,'Poids des runes'!A:B,2,FALSE)))+1),(((D9468/100)*(C9468*VLOOKUP(B9468,'Poids des runes'!A:B,2,FALSE)))+1)/VLOOKUP(B9468,'Poids des runes'!A:B,2,FALSE))</f>
        <v>10.166666666666666</v>
      </c>
      <c r="F9468">
        <f t="shared" si="147"/>
        <v>10.166666666666666</v>
      </c>
    </row>
    <row r="9469" spans="1:6" x14ac:dyDescent="0.3">
      <c r="A9469" t="s">
        <v>1506</v>
      </c>
      <c r="B9469" t="s">
        <v>2136</v>
      </c>
      <c r="C9469">
        <v>8.5</v>
      </c>
      <c r="D9469">
        <v>200</v>
      </c>
      <c r="E9469">
        <f>IF(OR(B9469="vi",B9469="ii",B9469="pod"),(((D9469/100)*(C9469*VLOOKUP(B9469,'Poids des runes'!A:B,2,FALSE)))+1),(((D9469/100)*(C9469*VLOOKUP(B9469,'Poids des runes'!A:B,2,FALSE)))+1)/VLOOKUP(B9469,'Poids des runes'!A:B,2,FALSE))</f>
        <v>17.5</v>
      </c>
      <c r="F9469">
        <f t="shared" si="147"/>
        <v>17.5</v>
      </c>
    </row>
    <row r="9470" spans="1:6" x14ac:dyDescent="0.3">
      <c r="A9470" t="s">
        <v>1506</v>
      </c>
      <c r="B9470" t="s">
        <v>2137</v>
      </c>
      <c r="C9470">
        <v>8.5</v>
      </c>
      <c r="D9470">
        <v>200</v>
      </c>
      <c r="E9470">
        <f>IF(OR(B9470="vi",B9470="ii",B9470="pod"),(((D9470/100)*(C9470*VLOOKUP(B9470,'Poids des runes'!A:B,2,FALSE)))+1),(((D9470/100)*(C9470*VLOOKUP(B9470,'Poids des runes'!A:B,2,FALSE)))+1)/VLOOKUP(B9470,'Poids des runes'!A:B,2,FALSE))</f>
        <v>17.5</v>
      </c>
      <c r="F9470">
        <f t="shared" si="147"/>
        <v>17.5</v>
      </c>
    </row>
    <row r="9471" spans="1:6" x14ac:dyDescent="0.3">
      <c r="A9471" t="s">
        <v>1507</v>
      </c>
      <c r="B9471" t="s">
        <v>2128</v>
      </c>
      <c r="C9471">
        <v>325.5</v>
      </c>
      <c r="D9471">
        <v>200</v>
      </c>
      <c r="E9471">
        <f>IF(OR(B9471="vi",B9471="ii",B9471="pod"),(((D9471/100)*(C9471*VLOOKUP(B9471,'Poids des runes'!A:B,2,FALSE)))+1),(((D9471/100)*(C9471*VLOOKUP(B9471,'Poids des runes'!A:B,2,FALSE)))+1)/VLOOKUP(B9471,'Poids des runes'!A:B,2,FALSE))</f>
        <v>131.20000000000002</v>
      </c>
      <c r="F9471">
        <f t="shared" si="147"/>
        <v>131.20000000000002</v>
      </c>
    </row>
    <row r="9472" spans="1:6" x14ac:dyDescent="0.3">
      <c r="A9472" t="s">
        <v>1507</v>
      </c>
      <c r="B9472" t="s">
        <v>2126</v>
      </c>
      <c r="C9472">
        <v>50.5</v>
      </c>
      <c r="D9472">
        <v>200</v>
      </c>
      <c r="E9472">
        <f>IF(OR(B9472="vi",B9472="ii",B9472="pod"),(((D9472/100)*(C9472*VLOOKUP(B9472,'Poids des runes'!A:B,2,FALSE)))+1),(((D9472/100)*(C9472*VLOOKUP(B9472,'Poids des runes'!A:B,2,FALSE)))+1)/VLOOKUP(B9472,'Poids des runes'!A:B,2,FALSE))</f>
        <v>102</v>
      </c>
      <c r="F9472">
        <f t="shared" si="147"/>
        <v>102</v>
      </c>
    </row>
    <row r="9473" spans="1:6" x14ac:dyDescent="0.3">
      <c r="A9473" t="s">
        <v>1507</v>
      </c>
      <c r="B9473" t="s">
        <v>2127</v>
      </c>
      <c r="C9473">
        <v>50.5</v>
      </c>
      <c r="D9473">
        <v>200</v>
      </c>
      <c r="E9473">
        <f>IF(OR(B9473="vi",B9473="ii",B9473="pod"),(((D9473/100)*(C9473*VLOOKUP(B9473,'Poids des runes'!A:B,2,FALSE)))+1),(((D9473/100)*(C9473*VLOOKUP(B9473,'Poids des runes'!A:B,2,FALSE)))+1)/VLOOKUP(B9473,'Poids des runes'!A:B,2,FALSE))</f>
        <v>102</v>
      </c>
      <c r="F9473">
        <f t="shared" si="147"/>
        <v>102</v>
      </c>
    </row>
    <row r="9474" spans="1:6" x14ac:dyDescent="0.3">
      <c r="A9474" t="s">
        <v>1507</v>
      </c>
      <c r="B9474" t="s">
        <v>2129</v>
      </c>
      <c r="C9474">
        <v>25.5</v>
      </c>
      <c r="D9474">
        <v>200</v>
      </c>
      <c r="E9474">
        <f>IF(OR(B9474="vi",B9474="ii",B9474="pod"),(((D9474/100)*(C9474*VLOOKUP(B9474,'Poids des runes'!A:B,2,FALSE)))+1),(((D9474/100)*(C9474*VLOOKUP(B9474,'Poids des runes'!A:B,2,FALSE)))+1)/VLOOKUP(B9474,'Poids des runes'!A:B,2,FALSE))</f>
        <v>52</v>
      </c>
      <c r="F9474">
        <f t="shared" si="147"/>
        <v>52</v>
      </c>
    </row>
    <row r="9475" spans="1:6" x14ac:dyDescent="0.3">
      <c r="A9475" t="s">
        <v>1507</v>
      </c>
      <c r="B9475" t="s">
        <v>2151</v>
      </c>
      <c r="C9475">
        <v>2.5</v>
      </c>
      <c r="D9475">
        <v>200</v>
      </c>
      <c r="E9475">
        <f>IF(OR(B9475="vi",B9475="ii",B9475="pod"),(((D9475/100)*(C9475*VLOOKUP(B9475,'Poids des runes'!A:B,2,FALSE)))+1),(((D9475/100)*(C9475*VLOOKUP(B9475,'Poids des runes'!A:B,2,FALSE)))+1)/VLOOKUP(B9475,'Poids des runes'!A:B,2,FALSE))</f>
        <v>5.0999999999999996</v>
      </c>
      <c r="F9475">
        <f t="shared" ref="F9475:F9538" si="148">E9475</f>
        <v>5.0999999999999996</v>
      </c>
    </row>
    <row r="9476" spans="1:6" x14ac:dyDescent="0.3">
      <c r="A9476" t="s">
        <v>1507</v>
      </c>
      <c r="B9476" t="s">
        <v>2154</v>
      </c>
      <c r="C9476">
        <v>1</v>
      </c>
      <c r="D9476">
        <v>200</v>
      </c>
      <c r="E9476">
        <f>IF(OR(B9476="vi",B9476="ii",B9476="pod"),(((D9476/100)*(C9476*VLOOKUP(B9476,'Poids des runes'!A:B,2,FALSE)))+1),(((D9476/100)*(C9476*VLOOKUP(B9476,'Poids des runes'!A:B,2,FALSE)))+1)/VLOOKUP(B9476,'Poids des runes'!A:B,2,FALSE))</f>
        <v>2.0111111111111111</v>
      </c>
      <c r="F9476">
        <f t="shared" si="148"/>
        <v>2.0111111111111111</v>
      </c>
    </row>
    <row r="9477" spans="1:6" x14ac:dyDescent="0.3">
      <c r="A9477" t="s">
        <v>1507</v>
      </c>
      <c r="B9477" t="s">
        <v>2155</v>
      </c>
      <c r="C9477">
        <v>1</v>
      </c>
      <c r="D9477">
        <v>200</v>
      </c>
      <c r="E9477">
        <f>IF(OR(B9477="vi",B9477="ii",B9477="pod"),(((D9477/100)*(C9477*VLOOKUP(B9477,'Poids des runes'!A:B,2,FALSE)))+1),(((D9477/100)*(C9477*VLOOKUP(B9477,'Poids des runes'!A:B,2,FALSE)))+1)/VLOOKUP(B9477,'Poids des runes'!A:B,2,FALSE))</f>
        <v>2.0196078431372548</v>
      </c>
      <c r="F9477">
        <f t="shared" si="148"/>
        <v>2.0196078431372548</v>
      </c>
    </row>
    <row r="9478" spans="1:6" x14ac:dyDescent="0.3">
      <c r="A9478" t="s">
        <v>1507</v>
      </c>
      <c r="B9478" t="s">
        <v>2140</v>
      </c>
      <c r="C9478">
        <v>13</v>
      </c>
      <c r="D9478">
        <v>200</v>
      </c>
      <c r="E9478">
        <f>IF(OR(B9478="vi",B9478="ii",B9478="pod"),(((D9478/100)*(C9478*VLOOKUP(B9478,'Poids des runes'!A:B,2,FALSE)))+1),(((D9478/100)*(C9478*VLOOKUP(B9478,'Poids des runes'!A:B,2,FALSE)))+1)/VLOOKUP(B9478,'Poids des runes'!A:B,2,FALSE))</f>
        <v>26.2</v>
      </c>
      <c r="F9478">
        <f t="shared" si="148"/>
        <v>26.2</v>
      </c>
    </row>
    <row r="9479" spans="1:6" x14ac:dyDescent="0.3">
      <c r="A9479" t="s">
        <v>1507</v>
      </c>
      <c r="B9479" t="s">
        <v>2153</v>
      </c>
      <c r="C9479">
        <v>13</v>
      </c>
      <c r="D9479">
        <v>200</v>
      </c>
      <c r="E9479">
        <f>IF(OR(B9479="vi",B9479="ii",B9479="pod"),(((D9479/100)*(C9479*VLOOKUP(B9479,'Poids des runes'!A:B,2,FALSE)))+1),(((D9479/100)*(C9479*VLOOKUP(B9479,'Poids des runes'!A:B,2,FALSE)))+1)/VLOOKUP(B9479,'Poids des runes'!A:B,2,FALSE))</f>
        <v>26.2</v>
      </c>
      <c r="F9479">
        <f t="shared" si="148"/>
        <v>26.2</v>
      </c>
    </row>
    <row r="9480" spans="1:6" x14ac:dyDescent="0.3">
      <c r="A9480" t="s">
        <v>1507</v>
      </c>
      <c r="B9480" t="s">
        <v>2149</v>
      </c>
      <c r="C9480">
        <v>8.5</v>
      </c>
      <c r="D9480">
        <v>200</v>
      </c>
      <c r="E9480">
        <f>IF(OR(B9480="vi",B9480="ii",B9480="pod"),(((D9480/100)*(C9480*VLOOKUP(B9480,'Poids des runes'!A:B,2,FALSE)))+1),(((D9480/100)*(C9480*VLOOKUP(B9480,'Poids des runes'!A:B,2,FALSE)))+1)/VLOOKUP(B9480,'Poids des runes'!A:B,2,FALSE))</f>
        <v>17.100000000000001</v>
      </c>
      <c r="F9480">
        <f t="shared" si="148"/>
        <v>17.100000000000001</v>
      </c>
    </row>
    <row r="9481" spans="1:6" x14ac:dyDescent="0.3">
      <c r="A9481" t="s">
        <v>1507</v>
      </c>
      <c r="B9481" t="s">
        <v>2141</v>
      </c>
      <c r="C9481">
        <v>10.5</v>
      </c>
      <c r="D9481">
        <v>200</v>
      </c>
      <c r="E9481">
        <f>IF(OR(B9481="vi",B9481="ii",B9481="pod"),(((D9481/100)*(C9481*VLOOKUP(B9481,'Poids des runes'!A:B,2,FALSE)))+1),(((D9481/100)*(C9481*VLOOKUP(B9481,'Poids des runes'!A:B,2,FALSE)))+1)/VLOOKUP(B9481,'Poids des runes'!A:B,2,FALSE))</f>
        <v>21.25</v>
      </c>
      <c r="F9481">
        <f t="shared" si="148"/>
        <v>21.25</v>
      </c>
    </row>
    <row r="9482" spans="1:6" x14ac:dyDescent="0.3">
      <c r="A9482" t="s">
        <v>1507</v>
      </c>
      <c r="B9482" t="s">
        <v>2148</v>
      </c>
      <c r="C9482">
        <v>6</v>
      </c>
      <c r="D9482">
        <v>200</v>
      </c>
      <c r="E9482">
        <f>IF(OR(B9482="vi",B9482="ii",B9482="pod"),(((D9482/100)*(C9482*VLOOKUP(B9482,'Poids des runes'!A:B,2,FALSE)))+1),(((D9482/100)*(C9482*VLOOKUP(B9482,'Poids des runes'!A:B,2,FALSE)))+1)/VLOOKUP(B9482,'Poids des runes'!A:B,2,FALSE))</f>
        <v>12.166666666666666</v>
      </c>
      <c r="F9482">
        <f t="shared" si="148"/>
        <v>12.166666666666666</v>
      </c>
    </row>
    <row r="9483" spans="1:6" x14ac:dyDescent="0.3">
      <c r="A9483" t="s">
        <v>1507</v>
      </c>
      <c r="B9483" t="s">
        <v>2147</v>
      </c>
      <c r="C9483">
        <v>6</v>
      </c>
      <c r="D9483">
        <v>200</v>
      </c>
      <c r="E9483">
        <f>IF(OR(B9483="vi",B9483="ii",B9483="pod"),(((D9483/100)*(C9483*VLOOKUP(B9483,'Poids des runes'!A:B,2,FALSE)))+1),(((D9483/100)*(C9483*VLOOKUP(B9483,'Poids des runes'!A:B,2,FALSE)))+1)/VLOOKUP(B9483,'Poids des runes'!A:B,2,FALSE))</f>
        <v>12.166666666666666</v>
      </c>
      <c r="F9483">
        <f t="shared" si="148"/>
        <v>12.166666666666666</v>
      </c>
    </row>
    <row r="9484" spans="1:6" x14ac:dyDescent="0.3">
      <c r="A9484" t="s">
        <v>1507</v>
      </c>
      <c r="B9484" t="s">
        <v>2137</v>
      </c>
      <c r="C9484">
        <v>8.5</v>
      </c>
      <c r="D9484">
        <v>200</v>
      </c>
      <c r="E9484">
        <f>IF(OR(B9484="vi",B9484="ii",B9484="pod"),(((D9484/100)*(C9484*VLOOKUP(B9484,'Poids des runes'!A:B,2,FALSE)))+1),(((D9484/100)*(C9484*VLOOKUP(B9484,'Poids des runes'!A:B,2,FALSE)))+1)/VLOOKUP(B9484,'Poids des runes'!A:B,2,FALSE))</f>
        <v>17.5</v>
      </c>
      <c r="F9484">
        <f t="shared" si="148"/>
        <v>17.5</v>
      </c>
    </row>
    <row r="9485" spans="1:6" x14ac:dyDescent="0.3">
      <c r="A9485" t="s">
        <v>1507</v>
      </c>
      <c r="B9485" t="s">
        <v>2144</v>
      </c>
      <c r="C9485">
        <v>8.5</v>
      </c>
      <c r="D9485">
        <v>200</v>
      </c>
      <c r="E9485">
        <f>IF(OR(B9485="vi",B9485="ii",B9485="pod"),(((D9485/100)*(C9485*VLOOKUP(B9485,'Poids des runes'!A:B,2,FALSE)))+1),(((D9485/100)*(C9485*VLOOKUP(B9485,'Poids des runes'!A:B,2,FALSE)))+1)/VLOOKUP(B9485,'Poids des runes'!A:B,2,FALSE))</f>
        <v>17.5</v>
      </c>
      <c r="F9485">
        <f t="shared" si="148"/>
        <v>17.5</v>
      </c>
    </row>
    <row r="9486" spans="1:6" x14ac:dyDescent="0.3">
      <c r="A9486" t="s">
        <v>1508</v>
      </c>
      <c r="B9486" t="s">
        <v>2128</v>
      </c>
      <c r="C9486">
        <v>275.5</v>
      </c>
      <c r="D9486">
        <v>200</v>
      </c>
      <c r="E9486">
        <f>IF(OR(B9486="vi",B9486="ii",B9486="pod"),(((D9486/100)*(C9486*VLOOKUP(B9486,'Poids des runes'!A:B,2,FALSE)))+1),(((D9486/100)*(C9486*VLOOKUP(B9486,'Poids des runes'!A:B,2,FALSE)))+1)/VLOOKUP(B9486,'Poids des runes'!A:B,2,FALSE))</f>
        <v>111.2</v>
      </c>
      <c r="F9486">
        <f t="shared" si="148"/>
        <v>111.2</v>
      </c>
    </row>
    <row r="9487" spans="1:6" x14ac:dyDescent="0.3">
      <c r="A9487" t="s">
        <v>1508</v>
      </c>
      <c r="B9487" t="s">
        <v>2126</v>
      </c>
      <c r="C9487">
        <v>50.5</v>
      </c>
      <c r="D9487">
        <v>200</v>
      </c>
      <c r="E9487">
        <f>IF(OR(B9487="vi",B9487="ii",B9487="pod"),(((D9487/100)*(C9487*VLOOKUP(B9487,'Poids des runes'!A:B,2,FALSE)))+1),(((D9487/100)*(C9487*VLOOKUP(B9487,'Poids des runes'!A:B,2,FALSE)))+1)/VLOOKUP(B9487,'Poids des runes'!A:B,2,FALSE))</f>
        <v>102</v>
      </c>
      <c r="F9487">
        <f t="shared" si="148"/>
        <v>102</v>
      </c>
    </row>
    <row r="9488" spans="1:6" x14ac:dyDescent="0.3">
      <c r="A9488" t="s">
        <v>1508</v>
      </c>
      <c r="B9488" t="s">
        <v>2127</v>
      </c>
      <c r="C9488">
        <v>50.5</v>
      </c>
      <c r="D9488">
        <v>200</v>
      </c>
      <c r="E9488">
        <f>IF(OR(B9488="vi",B9488="ii",B9488="pod"),(((D9488/100)*(C9488*VLOOKUP(B9488,'Poids des runes'!A:B,2,FALSE)))+1),(((D9488/100)*(C9488*VLOOKUP(B9488,'Poids des runes'!A:B,2,FALSE)))+1)/VLOOKUP(B9488,'Poids des runes'!A:B,2,FALSE))</f>
        <v>102</v>
      </c>
      <c r="F9488">
        <f t="shared" si="148"/>
        <v>102</v>
      </c>
    </row>
    <row r="9489" spans="1:6" x14ac:dyDescent="0.3">
      <c r="A9489" t="s">
        <v>1508</v>
      </c>
      <c r="B9489" t="s">
        <v>2129</v>
      </c>
      <c r="C9489">
        <v>25.5</v>
      </c>
      <c r="D9489">
        <v>200</v>
      </c>
      <c r="E9489">
        <f>IF(OR(B9489="vi",B9489="ii",B9489="pod"),(((D9489/100)*(C9489*VLOOKUP(B9489,'Poids des runes'!A:B,2,FALSE)))+1),(((D9489/100)*(C9489*VLOOKUP(B9489,'Poids des runes'!A:B,2,FALSE)))+1)/VLOOKUP(B9489,'Poids des runes'!A:B,2,FALSE))</f>
        <v>52</v>
      </c>
      <c r="F9489">
        <f t="shared" si="148"/>
        <v>52</v>
      </c>
    </row>
    <row r="9490" spans="1:6" x14ac:dyDescent="0.3">
      <c r="A9490" t="s">
        <v>1508</v>
      </c>
      <c r="B9490" t="s">
        <v>2151</v>
      </c>
      <c r="C9490">
        <v>4</v>
      </c>
      <c r="D9490">
        <v>200</v>
      </c>
      <c r="E9490">
        <f>IF(OR(B9490="vi",B9490="ii",B9490="pod"),(((D9490/100)*(C9490*VLOOKUP(B9490,'Poids des runes'!A:B,2,FALSE)))+1),(((D9490/100)*(C9490*VLOOKUP(B9490,'Poids des runes'!A:B,2,FALSE)))+1)/VLOOKUP(B9490,'Poids des runes'!A:B,2,FALSE))</f>
        <v>8.1</v>
      </c>
      <c r="F9490">
        <f t="shared" si="148"/>
        <v>8.1</v>
      </c>
    </row>
    <row r="9491" spans="1:6" x14ac:dyDescent="0.3">
      <c r="A9491" t="s">
        <v>1508</v>
      </c>
      <c r="B9491" t="s">
        <v>2152</v>
      </c>
      <c r="C9491">
        <v>1</v>
      </c>
      <c r="D9491">
        <v>200</v>
      </c>
      <c r="E9491">
        <f>IF(OR(B9491="vi",B9491="ii",B9491="pod"),(((D9491/100)*(C9491*VLOOKUP(B9491,'Poids des runes'!A:B,2,FALSE)))+1),(((D9491/100)*(C9491*VLOOKUP(B9491,'Poids des runes'!A:B,2,FALSE)))+1)/VLOOKUP(B9491,'Poids des runes'!A:B,2,FALSE))</f>
        <v>2.0099999999999998</v>
      </c>
      <c r="F9491">
        <f t="shared" si="148"/>
        <v>2.0099999999999998</v>
      </c>
    </row>
    <row r="9492" spans="1:6" x14ac:dyDescent="0.3">
      <c r="A9492" t="s">
        <v>1508</v>
      </c>
      <c r="B9492" t="s">
        <v>2140</v>
      </c>
      <c r="C9492">
        <v>10.5</v>
      </c>
      <c r="D9492">
        <v>200</v>
      </c>
      <c r="E9492">
        <f>IF(OR(B9492="vi",B9492="ii",B9492="pod"),(((D9492/100)*(C9492*VLOOKUP(B9492,'Poids des runes'!A:B,2,FALSE)))+1),(((D9492/100)*(C9492*VLOOKUP(B9492,'Poids des runes'!A:B,2,FALSE)))+1)/VLOOKUP(B9492,'Poids des runes'!A:B,2,FALSE))</f>
        <v>21.2</v>
      </c>
      <c r="F9492">
        <f t="shared" si="148"/>
        <v>21.2</v>
      </c>
    </row>
    <row r="9493" spans="1:6" x14ac:dyDescent="0.3">
      <c r="A9493" t="s">
        <v>1508</v>
      </c>
      <c r="B9493" t="s">
        <v>2153</v>
      </c>
      <c r="C9493">
        <v>10.5</v>
      </c>
      <c r="D9493">
        <v>200</v>
      </c>
      <c r="E9493">
        <f>IF(OR(B9493="vi",B9493="ii",B9493="pod"),(((D9493/100)*(C9493*VLOOKUP(B9493,'Poids des runes'!A:B,2,FALSE)))+1),(((D9493/100)*(C9493*VLOOKUP(B9493,'Poids des runes'!A:B,2,FALSE)))+1)/VLOOKUP(B9493,'Poids des runes'!A:B,2,FALSE))</f>
        <v>21.2</v>
      </c>
      <c r="F9493">
        <f t="shared" si="148"/>
        <v>21.2</v>
      </c>
    </row>
    <row r="9494" spans="1:6" x14ac:dyDescent="0.3">
      <c r="A9494" t="s">
        <v>1508</v>
      </c>
      <c r="B9494" t="s">
        <v>2149</v>
      </c>
      <c r="C9494">
        <v>13</v>
      </c>
      <c r="D9494">
        <v>200</v>
      </c>
      <c r="E9494">
        <f>IF(OR(B9494="vi",B9494="ii",B9494="pod"),(((D9494/100)*(C9494*VLOOKUP(B9494,'Poids des runes'!A:B,2,FALSE)))+1),(((D9494/100)*(C9494*VLOOKUP(B9494,'Poids des runes'!A:B,2,FALSE)))+1)/VLOOKUP(B9494,'Poids des runes'!A:B,2,FALSE))</f>
        <v>26.1</v>
      </c>
      <c r="F9494">
        <f t="shared" si="148"/>
        <v>26.1</v>
      </c>
    </row>
    <row r="9495" spans="1:6" x14ac:dyDescent="0.3">
      <c r="A9495" t="s">
        <v>1508</v>
      </c>
      <c r="B9495" t="s">
        <v>2164</v>
      </c>
      <c r="C9495">
        <v>10.5</v>
      </c>
      <c r="D9495">
        <v>200</v>
      </c>
      <c r="E9495">
        <f>IF(OR(B9495="vi",B9495="ii",B9495="pod"),(((D9495/100)*(C9495*VLOOKUP(B9495,'Poids des runes'!A:B,2,FALSE)))+1),(((D9495/100)*(C9495*VLOOKUP(B9495,'Poids des runes'!A:B,2,FALSE)))+1)/VLOOKUP(B9495,'Poids des runes'!A:B,2,FALSE))</f>
        <v>21.5</v>
      </c>
      <c r="F9495">
        <f t="shared" si="148"/>
        <v>21.5</v>
      </c>
    </row>
    <row r="9496" spans="1:6" x14ac:dyDescent="0.3">
      <c r="A9496" t="s">
        <v>1508</v>
      </c>
      <c r="B9496" t="s">
        <v>2147</v>
      </c>
      <c r="C9496">
        <v>6</v>
      </c>
      <c r="D9496">
        <v>200</v>
      </c>
      <c r="E9496">
        <f>IF(OR(B9496="vi",B9496="ii",B9496="pod"),(((D9496/100)*(C9496*VLOOKUP(B9496,'Poids des runes'!A:B,2,FALSE)))+1),(((D9496/100)*(C9496*VLOOKUP(B9496,'Poids des runes'!A:B,2,FALSE)))+1)/VLOOKUP(B9496,'Poids des runes'!A:B,2,FALSE))</f>
        <v>12.166666666666666</v>
      </c>
      <c r="F9496">
        <f t="shared" si="148"/>
        <v>12.166666666666666</v>
      </c>
    </row>
    <row r="9497" spans="1:6" x14ac:dyDescent="0.3">
      <c r="A9497" t="s">
        <v>1508</v>
      </c>
      <c r="B9497" t="s">
        <v>2135</v>
      </c>
      <c r="C9497">
        <v>6</v>
      </c>
      <c r="D9497">
        <v>200</v>
      </c>
      <c r="E9497">
        <f>IF(OR(B9497="vi",B9497="ii",B9497="pod"),(((D9497/100)*(C9497*VLOOKUP(B9497,'Poids des runes'!A:B,2,FALSE)))+1),(((D9497/100)*(C9497*VLOOKUP(B9497,'Poids des runes'!A:B,2,FALSE)))+1)/VLOOKUP(B9497,'Poids des runes'!A:B,2,FALSE))</f>
        <v>12.166666666666666</v>
      </c>
      <c r="F9497">
        <f t="shared" si="148"/>
        <v>12.166666666666666</v>
      </c>
    </row>
    <row r="9498" spans="1:6" x14ac:dyDescent="0.3">
      <c r="A9498" t="s">
        <v>1508</v>
      </c>
      <c r="B9498" t="s">
        <v>2144</v>
      </c>
      <c r="C9498">
        <v>10.5</v>
      </c>
      <c r="D9498">
        <v>200</v>
      </c>
      <c r="E9498">
        <f>IF(OR(B9498="vi",B9498="ii",B9498="pod"),(((D9498/100)*(C9498*VLOOKUP(B9498,'Poids des runes'!A:B,2,FALSE)))+1),(((D9498/100)*(C9498*VLOOKUP(B9498,'Poids des runes'!A:B,2,FALSE)))+1)/VLOOKUP(B9498,'Poids des runes'!A:B,2,FALSE))</f>
        <v>21.5</v>
      </c>
      <c r="F9498">
        <f t="shared" si="148"/>
        <v>21.5</v>
      </c>
    </row>
    <row r="9499" spans="1:6" x14ac:dyDescent="0.3">
      <c r="A9499" t="s">
        <v>1508</v>
      </c>
      <c r="B9499" t="s">
        <v>2145</v>
      </c>
      <c r="C9499">
        <v>10.5</v>
      </c>
      <c r="D9499">
        <v>200</v>
      </c>
      <c r="E9499">
        <f>IF(OR(B9499="vi",B9499="ii",B9499="pod"),(((D9499/100)*(C9499*VLOOKUP(B9499,'Poids des runes'!A:B,2,FALSE)))+1),(((D9499/100)*(C9499*VLOOKUP(B9499,'Poids des runes'!A:B,2,FALSE)))+1)/VLOOKUP(B9499,'Poids des runes'!A:B,2,FALSE))</f>
        <v>21.5</v>
      </c>
      <c r="F9499">
        <f t="shared" si="148"/>
        <v>21.5</v>
      </c>
    </row>
    <row r="9500" spans="1:6" x14ac:dyDescent="0.3">
      <c r="A9500" t="s">
        <v>1509</v>
      </c>
      <c r="B9500" t="s">
        <v>2128</v>
      </c>
      <c r="C9500">
        <v>325.5</v>
      </c>
      <c r="D9500">
        <v>200</v>
      </c>
      <c r="E9500">
        <f>IF(OR(B9500="vi",B9500="ii",B9500="pod"),(((D9500/100)*(C9500*VLOOKUP(B9500,'Poids des runes'!A:B,2,FALSE)))+1),(((D9500/100)*(C9500*VLOOKUP(B9500,'Poids des runes'!A:B,2,FALSE)))+1)/VLOOKUP(B9500,'Poids des runes'!A:B,2,FALSE))</f>
        <v>131.20000000000002</v>
      </c>
      <c r="F9500">
        <f t="shared" si="148"/>
        <v>131.20000000000002</v>
      </c>
    </row>
    <row r="9501" spans="1:6" x14ac:dyDescent="0.3">
      <c r="A9501" t="s">
        <v>1509</v>
      </c>
      <c r="B9501" t="s">
        <v>2129</v>
      </c>
      <c r="C9501">
        <v>40.5</v>
      </c>
      <c r="D9501">
        <v>200</v>
      </c>
      <c r="E9501">
        <f>IF(OR(B9501="vi",B9501="ii",B9501="pod"),(((D9501/100)*(C9501*VLOOKUP(B9501,'Poids des runes'!A:B,2,FALSE)))+1),(((D9501/100)*(C9501*VLOOKUP(B9501,'Poids des runes'!A:B,2,FALSE)))+1)/VLOOKUP(B9501,'Poids des runes'!A:B,2,FALSE))</f>
        <v>82</v>
      </c>
      <c r="F9501">
        <f t="shared" si="148"/>
        <v>82</v>
      </c>
    </row>
    <row r="9502" spans="1:6" x14ac:dyDescent="0.3">
      <c r="A9502" t="s">
        <v>1509</v>
      </c>
      <c r="B9502" t="s">
        <v>2139</v>
      </c>
      <c r="C9502">
        <v>40.5</v>
      </c>
      <c r="D9502">
        <v>200</v>
      </c>
      <c r="E9502">
        <f>IF(OR(B9502="vi",B9502="ii",B9502="pod"),(((D9502/100)*(C9502*VLOOKUP(B9502,'Poids des runes'!A:B,2,FALSE)))+1),(((D9502/100)*(C9502*VLOOKUP(B9502,'Poids des runes'!A:B,2,FALSE)))+1)/VLOOKUP(B9502,'Poids des runes'!A:B,2,FALSE))</f>
        <v>81.5</v>
      </c>
      <c r="F9502">
        <f t="shared" si="148"/>
        <v>81.5</v>
      </c>
    </row>
    <row r="9503" spans="1:6" x14ac:dyDescent="0.3">
      <c r="A9503" t="s">
        <v>1509</v>
      </c>
      <c r="B9503" t="s">
        <v>2152</v>
      </c>
      <c r="C9503">
        <v>1</v>
      </c>
      <c r="D9503">
        <v>200</v>
      </c>
      <c r="E9503">
        <f>IF(OR(B9503="vi",B9503="ii",B9503="pod"),(((D9503/100)*(C9503*VLOOKUP(B9503,'Poids des runes'!A:B,2,FALSE)))+1),(((D9503/100)*(C9503*VLOOKUP(B9503,'Poids des runes'!A:B,2,FALSE)))+1)/VLOOKUP(B9503,'Poids des runes'!A:B,2,FALSE))</f>
        <v>2.0099999999999998</v>
      </c>
      <c r="F9503">
        <f t="shared" si="148"/>
        <v>2.0099999999999998</v>
      </c>
    </row>
    <row r="9504" spans="1:6" x14ac:dyDescent="0.3">
      <c r="A9504" t="s">
        <v>1509</v>
      </c>
      <c r="B9504" t="s">
        <v>2161</v>
      </c>
      <c r="C9504">
        <v>13</v>
      </c>
      <c r="D9504">
        <v>200</v>
      </c>
      <c r="E9504">
        <f>IF(OR(B9504="vi",B9504="ii",B9504="pod"),(((D9504/100)*(C9504*VLOOKUP(B9504,'Poids des runes'!A:B,2,FALSE)))+1),(((D9504/100)*(C9504*VLOOKUP(B9504,'Poids des runes'!A:B,2,FALSE)))+1)/VLOOKUP(B9504,'Poids des runes'!A:B,2,FALSE))</f>
        <v>26.333333333333332</v>
      </c>
      <c r="F9504">
        <f t="shared" si="148"/>
        <v>26.333333333333332</v>
      </c>
    </row>
    <row r="9505" spans="1:6" x14ac:dyDescent="0.3">
      <c r="A9505" t="s">
        <v>1509</v>
      </c>
      <c r="B9505" t="s">
        <v>2141</v>
      </c>
      <c r="C9505">
        <v>6</v>
      </c>
      <c r="D9505">
        <v>200</v>
      </c>
      <c r="E9505">
        <f>IF(OR(B9505="vi",B9505="ii",B9505="pod"),(((D9505/100)*(C9505*VLOOKUP(B9505,'Poids des runes'!A:B,2,FALSE)))+1),(((D9505/100)*(C9505*VLOOKUP(B9505,'Poids des runes'!A:B,2,FALSE)))+1)/VLOOKUP(B9505,'Poids des runes'!A:B,2,FALSE))</f>
        <v>12.25</v>
      </c>
      <c r="F9505">
        <f t="shared" si="148"/>
        <v>12.25</v>
      </c>
    </row>
    <row r="9506" spans="1:6" x14ac:dyDescent="0.3">
      <c r="A9506" t="s">
        <v>1509</v>
      </c>
      <c r="B9506" t="s">
        <v>2165</v>
      </c>
      <c r="C9506">
        <v>4</v>
      </c>
      <c r="D9506">
        <v>200</v>
      </c>
      <c r="E9506">
        <f>IF(OR(B9506="vi",B9506="ii",B9506="pod"),(((D9506/100)*(C9506*VLOOKUP(B9506,'Poids des runes'!A:B,2,FALSE)))+1),(((D9506/100)*(C9506*VLOOKUP(B9506,'Poids des runes'!A:B,2,FALSE)))+1)/VLOOKUP(B9506,'Poids des runes'!A:B,2,FALSE))</f>
        <v>8.1428571428571423</v>
      </c>
      <c r="F9506">
        <f t="shared" si="148"/>
        <v>8.1428571428571423</v>
      </c>
    </row>
    <row r="9507" spans="1:6" x14ac:dyDescent="0.3">
      <c r="A9507" t="s">
        <v>1509</v>
      </c>
      <c r="B9507" t="s">
        <v>2162</v>
      </c>
      <c r="C9507">
        <v>4</v>
      </c>
      <c r="D9507">
        <v>200</v>
      </c>
      <c r="E9507">
        <f>IF(OR(B9507="vi",B9507="ii",B9507="pod"),(((D9507/100)*(C9507*VLOOKUP(B9507,'Poids des runes'!A:B,2,FALSE)))+1),(((D9507/100)*(C9507*VLOOKUP(B9507,'Poids des runes'!A:B,2,FALSE)))+1)/VLOOKUP(B9507,'Poids des runes'!A:B,2,FALSE))</f>
        <v>8.1428571428571423</v>
      </c>
      <c r="F9507">
        <f t="shared" si="148"/>
        <v>8.1428571428571423</v>
      </c>
    </row>
    <row r="9508" spans="1:6" x14ac:dyDescent="0.3">
      <c r="A9508" t="s">
        <v>1509</v>
      </c>
      <c r="B9508" t="s">
        <v>2163</v>
      </c>
      <c r="C9508">
        <v>13</v>
      </c>
      <c r="D9508">
        <v>200</v>
      </c>
      <c r="E9508">
        <f>IF(OR(B9508="vi",B9508="ii",B9508="pod"),(((D9508/100)*(C9508*VLOOKUP(B9508,'Poids des runes'!A:B,2,FALSE)))+1),(((D9508/100)*(C9508*VLOOKUP(B9508,'Poids des runes'!A:B,2,FALSE)))+1)/VLOOKUP(B9508,'Poids des runes'!A:B,2,FALSE))</f>
        <v>26.5</v>
      </c>
      <c r="F9508">
        <f t="shared" si="148"/>
        <v>26.5</v>
      </c>
    </row>
    <row r="9509" spans="1:6" x14ac:dyDescent="0.3">
      <c r="A9509" t="s">
        <v>1509</v>
      </c>
      <c r="B9509" t="s">
        <v>2164</v>
      </c>
      <c r="C9509">
        <v>13</v>
      </c>
      <c r="D9509">
        <v>200</v>
      </c>
      <c r="E9509">
        <f>IF(OR(B9509="vi",B9509="ii",B9509="pod"),(((D9509/100)*(C9509*VLOOKUP(B9509,'Poids des runes'!A:B,2,FALSE)))+1),(((D9509/100)*(C9509*VLOOKUP(B9509,'Poids des runes'!A:B,2,FALSE)))+1)/VLOOKUP(B9509,'Poids des runes'!A:B,2,FALSE))</f>
        <v>26.5</v>
      </c>
      <c r="F9509">
        <f t="shared" si="148"/>
        <v>26.5</v>
      </c>
    </row>
    <row r="9510" spans="1:6" x14ac:dyDescent="0.3">
      <c r="A9510" t="s">
        <v>1509</v>
      </c>
      <c r="B9510" t="s">
        <v>2147</v>
      </c>
      <c r="C9510">
        <v>6.5</v>
      </c>
      <c r="D9510">
        <v>200</v>
      </c>
      <c r="E9510">
        <f>IF(OR(B9510="vi",B9510="ii",B9510="pod"),(((D9510/100)*(C9510*VLOOKUP(B9510,'Poids des runes'!A:B,2,FALSE)))+1),(((D9510/100)*(C9510*VLOOKUP(B9510,'Poids des runes'!A:B,2,FALSE)))+1)/VLOOKUP(B9510,'Poids des runes'!A:B,2,FALSE))</f>
        <v>13.166666666666666</v>
      </c>
      <c r="F9510">
        <f t="shared" si="148"/>
        <v>13.166666666666666</v>
      </c>
    </row>
    <row r="9511" spans="1:6" x14ac:dyDescent="0.3">
      <c r="A9511" t="s">
        <v>1509</v>
      </c>
      <c r="B9511" t="s">
        <v>2135</v>
      </c>
      <c r="C9511">
        <v>6.5</v>
      </c>
      <c r="D9511">
        <v>200</v>
      </c>
      <c r="E9511">
        <f>IF(OR(B9511="vi",B9511="ii",B9511="pod"),(((D9511/100)*(C9511*VLOOKUP(B9511,'Poids des runes'!A:B,2,FALSE)))+1),(((D9511/100)*(C9511*VLOOKUP(B9511,'Poids des runes'!A:B,2,FALSE)))+1)/VLOOKUP(B9511,'Poids des runes'!A:B,2,FALSE))</f>
        <v>13.166666666666666</v>
      </c>
      <c r="F9511">
        <f t="shared" si="148"/>
        <v>13.166666666666666</v>
      </c>
    </row>
    <row r="9512" spans="1:6" x14ac:dyDescent="0.3">
      <c r="A9512" t="s">
        <v>1510</v>
      </c>
      <c r="B9512" t="s">
        <v>2128</v>
      </c>
      <c r="C9512">
        <v>325.5</v>
      </c>
      <c r="D9512">
        <v>200</v>
      </c>
      <c r="E9512">
        <f>IF(OR(B9512="vi",B9512="ii",B9512="pod"),(((D9512/100)*(C9512*VLOOKUP(B9512,'Poids des runes'!A:B,2,FALSE)))+1),(((D9512/100)*(C9512*VLOOKUP(B9512,'Poids des runes'!A:B,2,FALSE)))+1)/VLOOKUP(B9512,'Poids des runes'!A:B,2,FALSE))</f>
        <v>131.20000000000002</v>
      </c>
      <c r="F9512">
        <f t="shared" si="148"/>
        <v>131.20000000000002</v>
      </c>
    </row>
    <row r="9513" spans="1:6" x14ac:dyDescent="0.3">
      <c r="A9513" t="s">
        <v>1510</v>
      </c>
      <c r="B9513" t="s">
        <v>2126</v>
      </c>
      <c r="C9513">
        <v>50.5</v>
      </c>
      <c r="D9513">
        <v>200</v>
      </c>
      <c r="E9513">
        <f>IF(OR(B9513="vi",B9513="ii",B9513="pod"),(((D9513/100)*(C9513*VLOOKUP(B9513,'Poids des runes'!A:B,2,FALSE)))+1),(((D9513/100)*(C9513*VLOOKUP(B9513,'Poids des runes'!A:B,2,FALSE)))+1)/VLOOKUP(B9513,'Poids des runes'!A:B,2,FALSE))</f>
        <v>102</v>
      </c>
      <c r="F9513">
        <f t="shared" si="148"/>
        <v>102</v>
      </c>
    </row>
    <row r="9514" spans="1:6" x14ac:dyDescent="0.3">
      <c r="A9514" t="s">
        <v>1510</v>
      </c>
      <c r="B9514" t="s">
        <v>2127</v>
      </c>
      <c r="C9514">
        <v>50.5</v>
      </c>
      <c r="D9514">
        <v>200</v>
      </c>
      <c r="E9514">
        <f>IF(OR(B9514="vi",B9514="ii",B9514="pod"),(((D9514/100)*(C9514*VLOOKUP(B9514,'Poids des runes'!A:B,2,FALSE)))+1),(((D9514/100)*(C9514*VLOOKUP(B9514,'Poids des runes'!A:B,2,FALSE)))+1)/VLOOKUP(B9514,'Poids des runes'!A:B,2,FALSE))</f>
        <v>102</v>
      </c>
      <c r="F9514">
        <f t="shared" si="148"/>
        <v>102</v>
      </c>
    </row>
    <row r="9515" spans="1:6" x14ac:dyDescent="0.3">
      <c r="A9515" t="s">
        <v>1510</v>
      </c>
      <c r="B9515" t="s">
        <v>2129</v>
      </c>
      <c r="C9515">
        <v>35.5</v>
      </c>
      <c r="D9515">
        <v>200</v>
      </c>
      <c r="E9515">
        <f>IF(OR(B9515="vi",B9515="ii",B9515="pod"),(((D9515/100)*(C9515*VLOOKUP(B9515,'Poids des runes'!A:B,2,FALSE)))+1),(((D9515/100)*(C9515*VLOOKUP(B9515,'Poids des runes'!A:B,2,FALSE)))+1)/VLOOKUP(B9515,'Poids des runes'!A:B,2,FALSE))</f>
        <v>72</v>
      </c>
      <c r="F9515">
        <f t="shared" si="148"/>
        <v>72</v>
      </c>
    </row>
    <row r="9516" spans="1:6" x14ac:dyDescent="0.3">
      <c r="A9516" t="s">
        <v>1510</v>
      </c>
      <c r="B9516" t="s">
        <v>2152</v>
      </c>
      <c r="C9516">
        <v>1</v>
      </c>
      <c r="D9516">
        <v>200</v>
      </c>
      <c r="E9516">
        <f>IF(OR(B9516="vi",B9516="ii",B9516="pod"),(((D9516/100)*(C9516*VLOOKUP(B9516,'Poids des runes'!A:B,2,FALSE)))+1),(((D9516/100)*(C9516*VLOOKUP(B9516,'Poids des runes'!A:B,2,FALSE)))+1)/VLOOKUP(B9516,'Poids des runes'!A:B,2,FALSE))</f>
        <v>2.0099999999999998</v>
      </c>
      <c r="F9516">
        <f t="shared" si="148"/>
        <v>2.0099999999999998</v>
      </c>
    </row>
    <row r="9517" spans="1:6" x14ac:dyDescent="0.3">
      <c r="A9517" t="s">
        <v>1510</v>
      </c>
      <c r="B9517" t="s">
        <v>2154</v>
      </c>
      <c r="C9517">
        <v>1</v>
      </c>
      <c r="D9517">
        <v>200</v>
      </c>
      <c r="E9517">
        <f>IF(OR(B9517="vi",B9517="ii",B9517="pod"),(((D9517/100)*(C9517*VLOOKUP(B9517,'Poids des runes'!A:B,2,FALSE)))+1),(((D9517/100)*(C9517*VLOOKUP(B9517,'Poids des runes'!A:B,2,FALSE)))+1)/VLOOKUP(B9517,'Poids des runes'!A:B,2,FALSE))</f>
        <v>2.0111111111111111</v>
      </c>
      <c r="F9517">
        <f t="shared" si="148"/>
        <v>2.0111111111111111</v>
      </c>
    </row>
    <row r="9518" spans="1:6" x14ac:dyDescent="0.3">
      <c r="A9518" t="s">
        <v>1510</v>
      </c>
      <c r="B9518" t="s">
        <v>2140</v>
      </c>
      <c r="C9518">
        <v>10.5</v>
      </c>
      <c r="D9518">
        <v>200</v>
      </c>
      <c r="E9518">
        <f>IF(OR(B9518="vi",B9518="ii",B9518="pod"),(((D9518/100)*(C9518*VLOOKUP(B9518,'Poids des runes'!A:B,2,FALSE)))+1),(((D9518/100)*(C9518*VLOOKUP(B9518,'Poids des runes'!A:B,2,FALSE)))+1)/VLOOKUP(B9518,'Poids des runes'!A:B,2,FALSE))</f>
        <v>21.2</v>
      </c>
      <c r="F9518">
        <f t="shared" si="148"/>
        <v>21.2</v>
      </c>
    </row>
    <row r="9519" spans="1:6" x14ac:dyDescent="0.3">
      <c r="A9519" t="s">
        <v>1510</v>
      </c>
      <c r="B9519" t="s">
        <v>2153</v>
      </c>
      <c r="C9519">
        <v>10.5</v>
      </c>
      <c r="D9519">
        <v>200</v>
      </c>
      <c r="E9519">
        <f>IF(OR(B9519="vi",B9519="ii",B9519="pod"),(((D9519/100)*(C9519*VLOOKUP(B9519,'Poids des runes'!A:B,2,FALSE)))+1),(((D9519/100)*(C9519*VLOOKUP(B9519,'Poids des runes'!A:B,2,FALSE)))+1)/VLOOKUP(B9519,'Poids des runes'!A:B,2,FALSE))</f>
        <v>21.2</v>
      </c>
      <c r="F9519">
        <f t="shared" si="148"/>
        <v>21.2</v>
      </c>
    </row>
    <row r="9520" spans="1:6" x14ac:dyDescent="0.3">
      <c r="A9520" t="s">
        <v>1510</v>
      </c>
      <c r="B9520" t="s">
        <v>2138</v>
      </c>
      <c r="C9520">
        <v>8.5</v>
      </c>
      <c r="D9520">
        <v>200</v>
      </c>
      <c r="E9520">
        <f>IF(OR(B9520="vi",B9520="ii",B9520="pod"),(((D9520/100)*(C9520*VLOOKUP(B9520,'Poids des runes'!A:B,2,FALSE)))+1),(((D9520/100)*(C9520*VLOOKUP(B9520,'Poids des runes'!A:B,2,FALSE)))+1)/VLOOKUP(B9520,'Poids des runes'!A:B,2,FALSE))</f>
        <v>17.25</v>
      </c>
      <c r="F9520">
        <f t="shared" si="148"/>
        <v>17.25</v>
      </c>
    </row>
    <row r="9521" spans="1:6" x14ac:dyDescent="0.3">
      <c r="A9521" t="s">
        <v>1510</v>
      </c>
      <c r="B9521" t="s">
        <v>2158</v>
      </c>
      <c r="C9521">
        <v>13</v>
      </c>
      <c r="D9521">
        <v>200</v>
      </c>
      <c r="E9521">
        <f>IF(OR(B9521="vi",B9521="ii",B9521="pod"),(((D9521/100)*(C9521*VLOOKUP(B9521,'Poids des runes'!A:B,2,FALSE)))+1),(((D9521/100)*(C9521*VLOOKUP(B9521,'Poids des runes'!A:B,2,FALSE)))+1)/VLOOKUP(B9521,'Poids des runes'!A:B,2,FALSE))</f>
        <v>26.2</v>
      </c>
      <c r="F9521">
        <f t="shared" si="148"/>
        <v>26.2</v>
      </c>
    </row>
    <row r="9522" spans="1:6" x14ac:dyDescent="0.3">
      <c r="A9522" t="s">
        <v>1510</v>
      </c>
      <c r="B9522" t="s">
        <v>2148</v>
      </c>
      <c r="C9522">
        <v>8.5</v>
      </c>
      <c r="D9522">
        <v>200</v>
      </c>
      <c r="E9522">
        <f>IF(OR(B9522="vi",B9522="ii",B9522="pod"),(((D9522/100)*(C9522*VLOOKUP(B9522,'Poids des runes'!A:B,2,FALSE)))+1),(((D9522/100)*(C9522*VLOOKUP(B9522,'Poids des runes'!A:B,2,FALSE)))+1)/VLOOKUP(B9522,'Poids des runes'!A:B,2,FALSE))</f>
        <v>17.166666666666668</v>
      </c>
      <c r="F9522">
        <f t="shared" si="148"/>
        <v>17.166666666666668</v>
      </c>
    </row>
    <row r="9523" spans="1:6" x14ac:dyDescent="0.3">
      <c r="A9523" t="s">
        <v>1511</v>
      </c>
      <c r="B9523" t="s">
        <v>2128</v>
      </c>
      <c r="C9523">
        <v>325.5</v>
      </c>
      <c r="D9523">
        <v>200</v>
      </c>
      <c r="E9523">
        <f>IF(OR(B9523="vi",B9523="ii",B9523="pod"),(((D9523/100)*(C9523*VLOOKUP(B9523,'Poids des runes'!A:B,2,FALSE)))+1),(((D9523/100)*(C9523*VLOOKUP(B9523,'Poids des runes'!A:B,2,FALSE)))+1)/VLOOKUP(B9523,'Poids des runes'!A:B,2,FALSE))</f>
        <v>131.20000000000002</v>
      </c>
      <c r="F9523">
        <f t="shared" si="148"/>
        <v>131.20000000000002</v>
      </c>
    </row>
    <row r="9524" spans="1:6" x14ac:dyDescent="0.3">
      <c r="A9524" t="s">
        <v>1511</v>
      </c>
      <c r="B9524" t="s">
        <v>2129</v>
      </c>
      <c r="C9524">
        <v>35.5</v>
      </c>
      <c r="D9524">
        <v>200</v>
      </c>
      <c r="E9524">
        <f>IF(OR(B9524="vi",B9524="ii",B9524="pod"),(((D9524/100)*(C9524*VLOOKUP(B9524,'Poids des runes'!A:B,2,FALSE)))+1),(((D9524/100)*(C9524*VLOOKUP(B9524,'Poids des runes'!A:B,2,FALSE)))+1)/VLOOKUP(B9524,'Poids des runes'!A:B,2,FALSE))</f>
        <v>72</v>
      </c>
      <c r="F9524">
        <f t="shared" si="148"/>
        <v>72</v>
      </c>
    </row>
    <row r="9525" spans="1:6" x14ac:dyDescent="0.3">
      <c r="A9525" t="s">
        <v>1511</v>
      </c>
      <c r="B9525" t="s">
        <v>2139</v>
      </c>
      <c r="C9525">
        <v>40.5</v>
      </c>
      <c r="D9525">
        <v>200</v>
      </c>
      <c r="E9525">
        <f>IF(OR(B9525="vi",B9525="ii",B9525="pod"),(((D9525/100)*(C9525*VLOOKUP(B9525,'Poids des runes'!A:B,2,FALSE)))+1),(((D9525/100)*(C9525*VLOOKUP(B9525,'Poids des runes'!A:B,2,FALSE)))+1)/VLOOKUP(B9525,'Poids des runes'!A:B,2,FALSE))</f>
        <v>81.5</v>
      </c>
      <c r="F9525">
        <f t="shared" si="148"/>
        <v>81.5</v>
      </c>
    </row>
    <row r="9526" spans="1:6" x14ac:dyDescent="0.3">
      <c r="A9526" t="s">
        <v>1511</v>
      </c>
      <c r="B9526" t="s">
        <v>2151</v>
      </c>
      <c r="C9526">
        <v>2.5</v>
      </c>
      <c r="D9526">
        <v>200</v>
      </c>
      <c r="E9526">
        <f>IF(OR(B9526="vi",B9526="ii",B9526="pod"),(((D9526/100)*(C9526*VLOOKUP(B9526,'Poids des runes'!A:B,2,FALSE)))+1),(((D9526/100)*(C9526*VLOOKUP(B9526,'Poids des runes'!A:B,2,FALSE)))+1)/VLOOKUP(B9526,'Poids des runes'!A:B,2,FALSE))</f>
        <v>5.0999999999999996</v>
      </c>
      <c r="F9526">
        <f t="shared" si="148"/>
        <v>5.0999999999999996</v>
      </c>
    </row>
    <row r="9527" spans="1:6" x14ac:dyDescent="0.3">
      <c r="A9527" t="s">
        <v>1511</v>
      </c>
      <c r="B9527" t="s">
        <v>2152</v>
      </c>
      <c r="C9527">
        <v>1</v>
      </c>
      <c r="D9527">
        <v>200</v>
      </c>
      <c r="E9527">
        <f>IF(OR(B9527="vi",B9527="ii",B9527="pod"),(((D9527/100)*(C9527*VLOOKUP(B9527,'Poids des runes'!A:B,2,FALSE)))+1),(((D9527/100)*(C9527*VLOOKUP(B9527,'Poids des runes'!A:B,2,FALSE)))+1)/VLOOKUP(B9527,'Poids des runes'!A:B,2,FALSE))</f>
        <v>2.0099999999999998</v>
      </c>
      <c r="F9527">
        <f t="shared" si="148"/>
        <v>2.0099999999999998</v>
      </c>
    </row>
    <row r="9528" spans="1:6" x14ac:dyDescent="0.3">
      <c r="A9528" t="s">
        <v>1511</v>
      </c>
      <c r="B9528" t="s">
        <v>2161</v>
      </c>
      <c r="C9528">
        <v>13</v>
      </c>
      <c r="D9528">
        <v>200</v>
      </c>
      <c r="E9528">
        <f>IF(OR(B9528="vi",B9528="ii",B9528="pod"),(((D9528/100)*(C9528*VLOOKUP(B9528,'Poids des runes'!A:B,2,FALSE)))+1),(((D9528/100)*(C9528*VLOOKUP(B9528,'Poids des runes'!A:B,2,FALSE)))+1)/VLOOKUP(B9528,'Poids des runes'!A:B,2,FALSE))</f>
        <v>26.333333333333332</v>
      </c>
      <c r="F9528">
        <f t="shared" si="148"/>
        <v>26.333333333333332</v>
      </c>
    </row>
    <row r="9529" spans="1:6" x14ac:dyDescent="0.3">
      <c r="A9529" t="s">
        <v>1511</v>
      </c>
      <c r="B9529" t="s">
        <v>2162</v>
      </c>
      <c r="C9529">
        <v>6</v>
      </c>
      <c r="D9529">
        <v>200</v>
      </c>
      <c r="E9529">
        <f>IF(OR(B9529="vi",B9529="ii",B9529="pod"),(((D9529/100)*(C9529*VLOOKUP(B9529,'Poids des runes'!A:B,2,FALSE)))+1),(((D9529/100)*(C9529*VLOOKUP(B9529,'Poids des runes'!A:B,2,FALSE)))+1)/VLOOKUP(B9529,'Poids des runes'!A:B,2,FALSE))</f>
        <v>12.142857142857142</v>
      </c>
      <c r="F9529">
        <f t="shared" si="148"/>
        <v>12.142857142857142</v>
      </c>
    </row>
    <row r="9530" spans="1:6" x14ac:dyDescent="0.3">
      <c r="A9530" t="s">
        <v>1511</v>
      </c>
      <c r="B9530" t="s">
        <v>2158</v>
      </c>
      <c r="C9530">
        <v>13</v>
      </c>
      <c r="D9530">
        <v>200</v>
      </c>
      <c r="E9530">
        <f>IF(OR(B9530="vi",B9530="ii",B9530="pod"),(((D9530/100)*(C9530*VLOOKUP(B9530,'Poids des runes'!A:B,2,FALSE)))+1),(((D9530/100)*(C9530*VLOOKUP(B9530,'Poids des runes'!A:B,2,FALSE)))+1)/VLOOKUP(B9530,'Poids des runes'!A:B,2,FALSE))</f>
        <v>26.2</v>
      </c>
      <c r="F9530">
        <f t="shared" si="148"/>
        <v>26.2</v>
      </c>
    </row>
    <row r="9531" spans="1:6" x14ac:dyDescent="0.3">
      <c r="A9531" t="s">
        <v>1511</v>
      </c>
      <c r="B9531" t="s">
        <v>2164</v>
      </c>
      <c r="C9531">
        <v>18</v>
      </c>
      <c r="D9531">
        <v>200</v>
      </c>
      <c r="E9531">
        <f>IF(OR(B9531="vi",B9531="ii",B9531="pod"),(((D9531/100)*(C9531*VLOOKUP(B9531,'Poids des runes'!A:B,2,FALSE)))+1),(((D9531/100)*(C9531*VLOOKUP(B9531,'Poids des runes'!A:B,2,FALSE)))+1)/VLOOKUP(B9531,'Poids des runes'!A:B,2,FALSE))</f>
        <v>36.5</v>
      </c>
      <c r="F9531">
        <f t="shared" si="148"/>
        <v>36.5</v>
      </c>
    </row>
    <row r="9532" spans="1:6" x14ac:dyDescent="0.3">
      <c r="A9532" t="s">
        <v>1511</v>
      </c>
      <c r="B9532" t="s">
        <v>2156</v>
      </c>
      <c r="C9532">
        <v>8.5</v>
      </c>
      <c r="D9532">
        <v>200</v>
      </c>
      <c r="E9532">
        <f>IF(OR(B9532="vi",B9532="ii",B9532="pod"),(((D9532/100)*(C9532*VLOOKUP(B9532,'Poids des runes'!A:B,2,FALSE)))+1),(((D9532/100)*(C9532*VLOOKUP(B9532,'Poids des runes'!A:B,2,FALSE)))+1)/VLOOKUP(B9532,'Poids des runes'!A:B,2,FALSE))</f>
        <v>17.166666666666668</v>
      </c>
      <c r="F9532">
        <f t="shared" si="148"/>
        <v>17.166666666666668</v>
      </c>
    </row>
    <row r="9533" spans="1:6" x14ac:dyDescent="0.3">
      <c r="A9533" t="s">
        <v>1511</v>
      </c>
      <c r="B9533" t="s">
        <v>2135</v>
      </c>
      <c r="C9533">
        <v>8.5</v>
      </c>
      <c r="D9533">
        <v>200</v>
      </c>
      <c r="E9533">
        <f>IF(OR(B9533="vi",B9533="ii",B9533="pod"),(((D9533/100)*(C9533*VLOOKUP(B9533,'Poids des runes'!A:B,2,FALSE)))+1),(((D9533/100)*(C9533*VLOOKUP(B9533,'Poids des runes'!A:B,2,FALSE)))+1)/VLOOKUP(B9533,'Poids des runes'!A:B,2,FALSE))</f>
        <v>17.166666666666668</v>
      </c>
      <c r="F9533">
        <f t="shared" si="148"/>
        <v>17.166666666666668</v>
      </c>
    </row>
    <row r="9534" spans="1:6" x14ac:dyDescent="0.3">
      <c r="A9534" t="s">
        <v>1512</v>
      </c>
      <c r="B9534" t="s">
        <v>2128</v>
      </c>
      <c r="C9534">
        <v>375.5</v>
      </c>
      <c r="D9534">
        <v>200</v>
      </c>
      <c r="E9534">
        <f>IF(OR(B9534="vi",B9534="ii",B9534="pod"),(((D9534/100)*(C9534*VLOOKUP(B9534,'Poids des runes'!A:B,2,FALSE)))+1),(((D9534/100)*(C9534*VLOOKUP(B9534,'Poids des runes'!A:B,2,FALSE)))+1)/VLOOKUP(B9534,'Poids des runes'!A:B,2,FALSE))</f>
        <v>151.20000000000002</v>
      </c>
      <c r="F9534">
        <f t="shared" si="148"/>
        <v>151.20000000000002</v>
      </c>
    </row>
    <row r="9535" spans="1:6" x14ac:dyDescent="0.3">
      <c r="A9535" t="s">
        <v>1512</v>
      </c>
      <c r="B9535" t="s">
        <v>2129</v>
      </c>
      <c r="C9535">
        <v>35.5</v>
      </c>
      <c r="D9535">
        <v>200</v>
      </c>
      <c r="E9535">
        <f>IF(OR(B9535="vi",B9535="ii",B9535="pod"),(((D9535/100)*(C9535*VLOOKUP(B9535,'Poids des runes'!A:B,2,FALSE)))+1),(((D9535/100)*(C9535*VLOOKUP(B9535,'Poids des runes'!A:B,2,FALSE)))+1)/VLOOKUP(B9535,'Poids des runes'!A:B,2,FALSE))</f>
        <v>72</v>
      </c>
      <c r="F9535">
        <f t="shared" si="148"/>
        <v>72</v>
      </c>
    </row>
    <row r="9536" spans="1:6" x14ac:dyDescent="0.3">
      <c r="A9536" t="s">
        <v>1512</v>
      </c>
      <c r="B9536" t="s">
        <v>2139</v>
      </c>
      <c r="C9536">
        <v>50.5</v>
      </c>
      <c r="D9536">
        <v>200</v>
      </c>
      <c r="E9536">
        <f>IF(OR(B9536="vi",B9536="ii",B9536="pod"),(((D9536/100)*(C9536*VLOOKUP(B9536,'Poids des runes'!A:B,2,FALSE)))+1),(((D9536/100)*(C9536*VLOOKUP(B9536,'Poids des runes'!A:B,2,FALSE)))+1)/VLOOKUP(B9536,'Poids des runes'!A:B,2,FALSE))</f>
        <v>101.5</v>
      </c>
      <c r="F9536">
        <f t="shared" si="148"/>
        <v>101.5</v>
      </c>
    </row>
    <row r="9537" spans="1:6" x14ac:dyDescent="0.3">
      <c r="A9537" t="s">
        <v>1512</v>
      </c>
      <c r="B9537" t="s">
        <v>2143</v>
      </c>
      <c r="C9537">
        <v>8.5</v>
      </c>
      <c r="D9537">
        <v>200</v>
      </c>
      <c r="E9537">
        <f>IF(OR(B9537="vi",B9537="ii",B9537="pod"),(((D9537/100)*(C9537*VLOOKUP(B9537,'Poids des runes'!A:B,2,FALSE)))+1),(((D9537/100)*(C9537*VLOOKUP(B9537,'Poids des runes'!A:B,2,FALSE)))+1)/VLOOKUP(B9537,'Poids des runes'!A:B,2,FALSE))</f>
        <v>17.2</v>
      </c>
      <c r="F9537">
        <f t="shared" si="148"/>
        <v>17.2</v>
      </c>
    </row>
    <row r="9538" spans="1:6" x14ac:dyDescent="0.3">
      <c r="A9538" t="s">
        <v>1512</v>
      </c>
      <c r="B9538" t="s">
        <v>2140</v>
      </c>
      <c r="C9538">
        <v>8.5</v>
      </c>
      <c r="D9538">
        <v>200</v>
      </c>
      <c r="E9538">
        <f>IF(OR(B9538="vi",B9538="ii",B9538="pod"),(((D9538/100)*(C9538*VLOOKUP(B9538,'Poids des runes'!A:B,2,FALSE)))+1),(((D9538/100)*(C9538*VLOOKUP(B9538,'Poids des runes'!A:B,2,FALSE)))+1)/VLOOKUP(B9538,'Poids des runes'!A:B,2,FALSE))</f>
        <v>17.2</v>
      </c>
      <c r="F9538">
        <f t="shared" si="148"/>
        <v>17.2</v>
      </c>
    </row>
    <row r="9539" spans="1:6" x14ac:dyDescent="0.3">
      <c r="A9539" t="s">
        <v>1512</v>
      </c>
      <c r="B9539" t="s">
        <v>2133</v>
      </c>
      <c r="C9539">
        <v>8.5</v>
      </c>
      <c r="D9539">
        <v>200</v>
      </c>
      <c r="E9539">
        <f>IF(OR(B9539="vi",B9539="ii",B9539="pod"),(((D9539/100)*(C9539*VLOOKUP(B9539,'Poids des runes'!A:B,2,FALSE)))+1),(((D9539/100)*(C9539*VLOOKUP(B9539,'Poids des runes'!A:B,2,FALSE)))+1)/VLOOKUP(B9539,'Poids des runes'!A:B,2,FALSE))</f>
        <v>17.2</v>
      </c>
      <c r="F9539">
        <f t="shared" ref="F9539:F9602" si="149">E9539</f>
        <v>17.2</v>
      </c>
    </row>
    <row r="9540" spans="1:6" x14ac:dyDescent="0.3">
      <c r="A9540" t="s">
        <v>1512</v>
      </c>
      <c r="B9540" t="s">
        <v>2153</v>
      </c>
      <c r="C9540">
        <v>8.5</v>
      </c>
      <c r="D9540">
        <v>200</v>
      </c>
      <c r="E9540">
        <f>IF(OR(B9540="vi",B9540="ii",B9540="pod"),(((D9540/100)*(C9540*VLOOKUP(B9540,'Poids des runes'!A:B,2,FALSE)))+1),(((D9540/100)*(C9540*VLOOKUP(B9540,'Poids des runes'!A:B,2,FALSE)))+1)/VLOOKUP(B9540,'Poids des runes'!A:B,2,FALSE))</f>
        <v>17.2</v>
      </c>
      <c r="F9540">
        <f t="shared" si="149"/>
        <v>17.2</v>
      </c>
    </row>
    <row r="9541" spans="1:6" x14ac:dyDescent="0.3">
      <c r="A9541" t="s">
        <v>1512</v>
      </c>
      <c r="B9541" t="s">
        <v>2141</v>
      </c>
      <c r="C9541">
        <v>6</v>
      </c>
      <c r="D9541">
        <v>200</v>
      </c>
      <c r="E9541">
        <f>IF(OR(B9541="vi",B9541="ii",B9541="pod"),(((D9541/100)*(C9541*VLOOKUP(B9541,'Poids des runes'!A:B,2,FALSE)))+1),(((D9541/100)*(C9541*VLOOKUP(B9541,'Poids des runes'!A:B,2,FALSE)))+1)/VLOOKUP(B9541,'Poids des runes'!A:B,2,FALSE))</f>
        <v>12.25</v>
      </c>
      <c r="F9541">
        <f t="shared" si="149"/>
        <v>12.25</v>
      </c>
    </row>
    <row r="9542" spans="1:6" x14ac:dyDescent="0.3">
      <c r="A9542" t="s">
        <v>1512</v>
      </c>
      <c r="B9542" t="s">
        <v>2148</v>
      </c>
      <c r="C9542">
        <v>6</v>
      </c>
      <c r="D9542">
        <v>200</v>
      </c>
      <c r="E9542">
        <f>IF(OR(B9542="vi",B9542="ii",B9542="pod"),(((D9542/100)*(C9542*VLOOKUP(B9542,'Poids des runes'!A:B,2,FALSE)))+1),(((D9542/100)*(C9542*VLOOKUP(B9542,'Poids des runes'!A:B,2,FALSE)))+1)/VLOOKUP(B9542,'Poids des runes'!A:B,2,FALSE))</f>
        <v>12.166666666666666</v>
      </c>
      <c r="F9542">
        <f t="shared" si="149"/>
        <v>12.166666666666666</v>
      </c>
    </row>
    <row r="9543" spans="1:6" x14ac:dyDescent="0.3">
      <c r="A9543" t="s">
        <v>1512</v>
      </c>
      <c r="B9543" t="s">
        <v>2147</v>
      </c>
      <c r="C9543">
        <v>6</v>
      </c>
      <c r="D9543">
        <v>200</v>
      </c>
      <c r="E9543">
        <f>IF(OR(B9543="vi",B9543="ii",B9543="pod"),(((D9543/100)*(C9543*VLOOKUP(B9543,'Poids des runes'!A:B,2,FALSE)))+1),(((D9543/100)*(C9543*VLOOKUP(B9543,'Poids des runes'!A:B,2,FALSE)))+1)/VLOOKUP(B9543,'Poids des runes'!A:B,2,FALSE))</f>
        <v>12.166666666666666</v>
      </c>
      <c r="F9543">
        <f t="shared" si="149"/>
        <v>12.166666666666666</v>
      </c>
    </row>
    <row r="9544" spans="1:6" x14ac:dyDescent="0.3">
      <c r="A9544" t="s">
        <v>1512</v>
      </c>
      <c r="B9544" t="s">
        <v>2157</v>
      </c>
      <c r="C9544">
        <v>6</v>
      </c>
      <c r="D9544">
        <v>200</v>
      </c>
      <c r="E9544">
        <f>IF(OR(B9544="vi",B9544="ii",B9544="pod"),(((D9544/100)*(C9544*VLOOKUP(B9544,'Poids des runes'!A:B,2,FALSE)))+1),(((D9544/100)*(C9544*VLOOKUP(B9544,'Poids des runes'!A:B,2,FALSE)))+1)/VLOOKUP(B9544,'Poids des runes'!A:B,2,FALSE))</f>
        <v>12.166666666666666</v>
      </c>
      <c r="F9544">
        <f t="shared" si="149"/>
        <v>12.166666666666666</v>
      </c>
    </row>
    <row r="9545" spans="1:6" x14ac:dyDescent="0.3">
      <c r="A9545" t="s">
        <v>1513</v>
      </c>
      <c r="B9545" t="s">
        <v>2128</v>
      </c>
      <c r="C9545">
        <v>375.5</v>
      </c>
      <c r="D9545">
        <v>200</v>
      </c>
      <c r="E9545">
        <f>IF(OR(B9545="vi",B9545="ii",B9545="pod"),(((D9545/100)*(C9545*VLOOKUP(B9545,'Poids des runes'!A:B,2,FALSE)))+1),(((D9545/100)*(C9545*VLOOKUP(B9545,'Poids des runes'!A:B,2,FALSE)))+1)/VLOOKUP(B9545,'Poids des runes'!A:B,2,FALSE))</f>
        <v>151.20000000000002</v>
      </c>
      <c r="F9545">
        <f t="shared" si="149"/>
        <v>151.20000000000002</v>
      </c>
    </row>
    <row r="9546" spans="1:6" x14ac:dyDescent="0.3">
      <c r="A9546" t="s">
        <v>1513</v>
      </c>
      <c r="B9546" t="s">
        <v>2129</v>
      </c>
      <c r="C9546">
        <v>40.5</v>
      </c>
      <c r="D9546">
        <v>200</v>
      </c>
      <c r="E9546">
        <f>IF(OR(B9546="vi",B9546="ii",B9546="pod"),(((D9546/100)*(C9546*VLOOKUP(B9546,'Poids des runes'!A:B,2,FALSE)))+1),(((D9546/100)*(C9546*VLOOKUP(B9546,'Poids des runes'!A:B,2,FALSE)))+1)/VLOOKUP(B9546,'Poids des runes'!A:B,2,FALSE))</f>
        <v>82</v>
      </c>
      <c r="F9546">
        <f t="shared" si="149"/>
        <v>82</v>
      </c>
    </row>
    <row r="9547" spans="1:6" x14ac:dyDescent="0.3">
      <c r="A9547" t="s">
        <v>1513</v>
      </c>
      <c r="B9547" t="s">
        <v>2139</v>
      </c>
      <c r="C9547">
        <v>85.5</v>
      </c>
      <c r="D9547">
        <v>200</v>
      </c>
      <c r="E9547">
        <f>IF(OR(B9547="vi",B9547="ii",B9547="pod"),(((D9547/100)*(C9547*VLOOKUP(B9547,'Poids des runes'!A:B,2,FALSE)))+1),(((D9547/100)*(C9547*VLOOKUP(B9547,'Poids des runes'!A:B,2,FALSE)))+1)/VLOOKUP(B9547,'Poids des runes'!A:B,2,FALSE))</f>
        <v>171.5</v>
      </c>
      <c r="F9547">
        <f t="shared" si="149"/>
        <v>171.5</v>
      </c>
    </row>
    <row r="9548" spans="1:6" x14ac:dyDescent="0.3">
      <c r="A9548" t="s">
        <v>1513</v>
      </c>
      <c r="B9548" t="s">
        <v>2154</v>
      </c>
      <c r="C9548">
        <v>1</v>
      </c>
      <c r="D9548">
        <v>200</v>
      </c>
      <c r="E9548">
        <f>IF(OR(B9548="vi",B9548="ii",B9548="pod"),(((D9548/100)*(C9548*VLOOKUP(B9548,'Poids des runes'!A:B,2,FALSE)))+1),(((D9548/100)*(C9548*VLOOKUP(B9548,'Poids des runes'!A:B,2,FALSE)))+1)/VLOOKUP(B9548,'Poids des runes'!A:B,2,FALSE))</f>
        <v>2.0111111111111111</v>
      </c>
      <c r="F9548">
        <f t="shared" si="149"/>
        <v>2.0111111111111111</v>
      </c>
    </row>
    <row r="9549" spans="1:6" x14ac:dyDescent="0.3">
      <c r="A9549" t="s">
        <v>1513</v>
      </c>
      <c r="B9549" t="s">
        <v>2143</v>
      </c>
      <c r="C9549">
        <v>8.5</v>
      </c>
      <c r="D9549">
        <v>200</v>
      </c>
      <c r="E9549">
        <f>IF(OR(B9549="vi",B9549="ii",B9549="pod"),(((D9549/100)*(C9549*VLOOKUP(B9549,'Poids des runes'!A:B,2,FALSE)))+1),(((D9549/100)*(C9549*VLOOKUP(B9549,'Poids des runes'!A:B,2,FALSE)))+1)/VLOOKUP(B9549,'Poids des runes'!A:B,2,FALSE))</f>
        <v>17.2</v>
      </c>
      <c r="F9549">
        <f t="shared" si="149"/>
        <v>17.2</v>
      </c>
    </row>
    <row r="9550" spans="1:6" x14ac:dyDescent="0.3">
      <c r="A9550" t="s">
        <v>1513</v>
      </c>
      <c r="B9550" t="s">
        <v>2140</v>
      </c>
      <c r="C9550">
        <v>8.5</v>
      </c>
      <c r="D9550">
        <v>200</v>
      </c>
      <c r="E9550">
        <f>IF(OR(B9550="vi",B9550="ii",B9550="pod"),(((D9550/100)*(C9550*VLOOKUP(B9550,'Poids des runes'!A:B,2,FALSE)))+1),(((D9550/100)*(C9550*VLOOKUP(B9550,'Poids des runes'!A:B,2,FALSE)))+1)/VLOOKUP(B9550,'Poids des runes'!A:B,2,FALSE))</f>
        <v>17.2</v>
      </c>
      <c r="F9550">
        <f t="shared" si="149"/>
        <v>17.2</v>
      </c>
    </row>
    <row r="9551" spans="1:6" x14ac:dyDescent="0.3">
      <c r="A9551" t="s">
        <v>1513</v>
      </c>
      <c r="B9551" t="s">
        <v>2133</v>
      </c>
      <c r="C9551">
        <v>8.5</v>
      </c>
      <c r="D9551">
        <v>200</v>
      </c>
      <c r="E9551">
        <f>IF(OR(B9551="vi",B9551="ii",B9551="pod"),(((D9551/100)*(C9551*VLOOKUP(B9551,'Poids des runes'!A:B,2,FALSE)))+1),(((D9551/100)*(C9551*VLOOKUP(B9551,'Poids des runes'!A:B,2,FALSE)))+1)/VLOOKUP(B9551,'Poids des runes'!A:B,2,FALSE))</f>
        <v>17.2</v>
      </c>
      <c r="F9551">
        <f t="shared" si="149"/>
        <v>17.2</v>
      </c>
    </row>
    <row r="9552" spans="1:6" x14ac:dyDescent="0.3">
      <c r="A9552" t="s">
        <v>1513</v>
      </c>
      <c r="B9552" t="s">
        <v>2153</v>
      </c>
      <c r="C9552">
        <v>8.5</v>
      </c>
      <c r="D9552">
        <v>200</v>
      </c>
      <c r="E9552">
        <f>IF(OR(B9552="vi",B9552="ii",B9552="pod"),(((D9552/100)*(C9552*VLOOKUP(B9552,'Poids des runes'!A:B,2,FALSE)))+1),(((D9552/100)*(C9552*VLOOKUP(B9552,'Poids des runes'!A:B,2,FALSE)))+1)/VLOOKUP(B9552,'Poids des runes'!A:B,2,FALSE))</f>
        <v>17.2</v>
      </c>
      <c r="F9552">
        <f t="shared" si="149"/>
        <v>17.2</v>
      </c>
    </row>
    <row r="9553" spans="1:6" x14ac:dyDescent="0.3">
      <c r="A9553" t="s">
        <v>1513</v>
      </c>
      <c r="B9553" t="s">
        <v>2141</v>
      </c>
      <c r="C9553">
        <v>8.5</v>
      </c>
      <c r="D9553">
        <v>200</v>
      </c>
      <c r="E9553">
        <f>IF(OR(B9553="vi",B9553="ii",B9553="pod"),(((D9553/100)*(C9553*VLOOKUP(B9553,'Poids des runes'!A:B,2,FALSE)))+1),(((D9553/100)*(C9553*VLOOKUP(B9553,'Poids des runes'!A:B,2,FALSE)))+1)/VLOOKUP(B9553,'Poids des runes'!A:B,2,FALSE))</f>
        <v>17.25</v>
      </c>
      <c r="F9553">
        <f t="shared" si="149"/>
        <v>17.25</v>
      </c>
    </row>
    <row r="9554" spans="1:6" x14ac:dyDescent="0.3">
      <c r="A9554" t="s">
        <v>1513</v>
      </c>
      <c r="B9554" t="s">
        <v>2135</v>
      </c>
      <c r="C9554">
        <v>6.5</v>
      </c>
      <c r="D9554">
        <v>200</v>
      </c>
      <c r="E9554">
        <f>IF(OR(B9554="vi",B9554="ii",B9554="pod"),(((D9554/100)*(C9554*VLOOKUP(B9554,'Poids des runes'!A:B,2,FALSE)))+1),(((D9554/100)*(C9554*VLOOKUP(B9554,'Poids des runes'!A:B,2,FALSE)))+1)/VLOOKUP(B9554,'Poids des runes'!A:B,2,FALSE))</f>
        <v>13.166666666666666</v>
      </c>
      <c r="F9554">
        <f t="shared" si="149"/>
        <v>13.166666666666666</v>
      </c>
    </row>
    <row r="9555" spans="1:6" x14ac:dyDescent="0.3">
      <c r="A9555" t="s">
        <v>1513</v>
      </c>
      <c r="B9555" t="s">
        <v>2157</v>
      </c>
      <c r="C9555">
        <v>6.5</v>
      </c>
      <c r="D9555">
        <v>200</v>
      </c>
      <c r="E9555">
        <f>IF(OR(B9555="vi",B9555="ii",B9555="pod"),(((D9555/100)*(C9555*VLOOKUP(B9555,'Poids des runes'!A:B,2,FALSE)))+1),(((D9555/100)*(C9555*VLOOKUP(B9555,'Poids des runes'!A:B,2,FALSE)))+1)/VLOOKUP(B9555,'Poids des runes'!A:B,2,FALSE))</f>
        <v>13.166666666666666</v>
      </c>
      <c r="F9555">
        <f t="shared" si="149"/>
        <v>13.166666666666666</v>
      </c>
    </row>
    <row r="9556" spans="1:6" x14ac:dyDescent="0.3">
      <c r="A9556" t="s">
        <v>1514</v>
      </c>
      <c r="B9556" t="s">
        <v>2128</v>
      </c>
      <c r="C9556">
        <v>375.5</v>
      </c>
      <c r="D9556">
        <v>200</v>
      </c>
      <c r="E9556">
        <f>IF(OR(B9556="vi",B9556="ii",B9556="pod"),(((D9556/100)*(C9556*VLOOKUP(B9556,'Poids des runes'!A:B,2,FALSE)))+1),(((D9556/100)*(C9556*VLOOKUP(B9556,'Poids des runes'!A:B,2,FALSE)))+1)/VLOOKUP(B9556,'Poids des runes'!A:B,2,FALSE))</f>
        <v>151.20000000000002</v>
      </c>
      <c r="F9556">
        <f t="shared" si="149"/>
        <v>151.20000000000002</v>
      </c>
    </row>
    <row r="9557" spans="1:6" x14ac:dyDescent="0.3">
      <c r="A9557" t="s">
        <v>1514</v>
      </c>
      <c r="B9557" t="s">
        <v>2129</v>
      </c>
      <c r="C9557">
        <v>35.5</v>
      </c>
      <c r="D9557">
        <v>200</v>
      </c>
      <c r="E9557">
        <f>IF(OR(B9557="vi",B9557="ii",B9557="pod"),(((D9557/100)*(C9557*VLOOKUP(B9557,'Poids des runes'!A:B,2,FALSE)))+1),(((D9557/100)*(C9557*VLOOKUP(B9557,'Poids des runes'!A:B,2,FALSE)))+1)/VLOOKUP(B9557,'Poids des runes'!A:B,2,FALSE))</f>
        <v>72</v>
      </c>
      <c r="F9557">
        <f t="shared" si="149"/>
        <v>72</v>
      </c>
    </row>
    <row r="9558" spans="1:6" x14ac:dyDescent="0.3">
      <c r="A9558" t="s">
        <v>1514</v>
      </c>
      <c r="B9558" t="s">
        <v>2139</v>
      </c>
      <c r="C9558">
        <v>70.5</v>
      </c>
      <c r="D9558">
        <v>200</v>
      </c>
      <c r="E9558">
        <f>IF(OR(B9558="vi",B9558="ii",B9558="pod"),(((D9558/100)*(C9558*VLOOKUP(B9558,'Poids des runes'!A:B,2,FALSE)))+1),(((D9558/100)*(C9558*VLOOKUP(B9558,'Poids des runes'!A:B,2,FALSE)))+1)/VLOOKUP(B9558,'Poids des runes'!A:B,2,FALSE))</f>
        <v>141.5</v>
      </c>
      <c r="F9558">
        <f t="shared" si="149"/>
        <v>141.5</v>
      </c>
    </row>
    <row r="9559" spans="1:6" x14ac:dyDescent="0.3">
      <c r="A9559" t="s">
        <v>1514</v>
      </c>
      <c r="B9559" t="s">
        <v>2155</v>
      </c>
      <c r="C9559">
        <v>1</v>
      </c>
      <c r="D9559">
        <v>200</v>
      </c>
      <c r="E9559">
        <f>IF(OR(B9559="vi",B9559="ii",B9559="pod"),(((D9559/100)*(C9559*VLOOKUP(B9559,'Poids des runes'!A:B,2,FALSE)))+1),(((D9559/100)*(C9559*VLOOKUP(B9559,'Poids des runes'!A:B,2,FALSE)))+1)/VLOOKUP(B9559,'Poids des runes'!A:B,2,FALSE))</f>
        <v>2.0196078431372548</v>
      </c>
      <c r="F9559">
        <f t="shared" si="149"/>
        <v>2.0196078431372548</v>
      </c>
    </row>
    <row r="9560" spans="1:6" x14ac:dyDescent="0.3">
      <c r="A9560" t="s">
        <v>1514</v>
      </c>
      <c r="B9560" t="s">
        <v>2143</v>
      </c>
      <c r="C9560">
        <v>13</v>
      </c>
      <c r="D9560">
        <v>200</v>
      </c>
      <c r="E9560">
        <f>IF(OR(B9560="vi",B9560="ii",B9560="pod"),(((D9560/100)*(C9560*VLOOKUP(B9560,'Poids des runes'!A:B,2,FALSE)))+1),(((D9560/100)*(C9560*VLOOKUP(B9560,'Poids des runes'!A:B,2,FALSE)))+1)/VLOOKUP(B9560,'Poids des runes'!A:B,2,FALSE))</f>
        <v>26.2</v>
      </c>
      <c r="F9560">
        <f t="shared" si="149"/>
        <v>26.2</v>
      </c>
    </row>
    <row r="9561" spans="1:6" x14ac:dyDescent="0.3">
      <c r="A9561" t="s">
        <v>1514</v>
      </c>
      <c r="B9561" t="s">
        <v>2140</v>
      </c>
      <c r="C9561">
        <v>13</v>
      </c>
      <c r="D9561">
        <v>200</v>
      </c>
      <c r="E9561">
        <f>IF(OR(B9561="vi",B9561="ii",B9561="pod"),(((D9561/100)*(C9561*VLOOKUP(B9561,'Poids des runes'!A:B,2,FALSE)))+1),(((D9561/100)*(C9561*VLOOKUP(B9561,'Poids des runes'!A:B,2,FALSE)))+1)/VLOOKUP(B9561,'Poids des runes'!A:B,2,FALSE))</f>
        <v>26.2</v>
      </c>
      <c r="F9561">
        <f t="shared" si="149"/>
        <v>26.2</v>
      </c>
    </row>
    <row r="9562" spans="1:6" x14ac:dyDescent="0.3">
      <c r="A9562" t="s">
        <v>1514</v>
      </c>
      <c r="B9562" t="s">
        <v>2133</v>
      </c>
      <c r="C9562">
        <v>13</v>
      </c>
      <c r="D9562">
        <v>200</v>
      </c>
      <c r="E9562">
        <f>IF(OR(B9562="vi",B9562="ii",B9562="pod"),(((D9562/100)*(C9562*VLOOKUP(B9562,'Poids des runes'!A:B,2,FALSE)))+1),(((D9562/100)*(C9562*VLOOKUP(B9562,'Poids des runes'!A:B,2,FALSE)))+1)/VLOOKUP(B9562,'Poids des runes'!A:B,2,FALSE))</f>
        <v>26.2</v>
      </c>
      <c r="F9562">
        <f t="shared" si="149"/>
        <v>26.2</v>
      </c>
    </row>
    <row r="9563" spans="1:6" x14ac:dyDescent="0.3">
      <c r="A9563" t="s">
        <v>1514</v>
      </c>
      <c r="B9563" t="s">
        <v>2153</v>
      </c>
      <c r="C9563">
        <v>13</v>
      </c>
      <c r="D9563">
        <v>200</v>
      </c>
      <c r="E9563">
        <f>IF(OR(B9563="vi",B9563="ii",B9563="pod"),(((D9563/100)*(C9563*VLOOKUP(B9563,'Poids des runes'!A:B,2,FALSE)))+1),(((D9563/100)*(C9563*VLOOKUP(B9563,'Poids des runes'!A:B,2,FALSE)))+1)/VLOOKUP(B9563,'Poids des runes'!A:B,2,FALSE))</f>
        <v>26.2</v>
      </c>
      <c r="F9563">
        <f t="shared" si="149"/>
        <v>26.2</v>
      </c>
    </row>
    <row r="9564" spans="1:6" x14ac:dyDescent="0.3">
      <c r="A9564" t="s">
        <v>1514</v>
      </c>
      <c r="B9564" t="s">
        <v>2141</v>
      </c>
      <c r="C9564">
        <v>8.5</v>
      </c>
      <c r="D9564">
        <v>200</v>
      </c>
      <c r="E9564">
        <f>IF(OR(B9564="vi",B9564="ii",B9564="pod"),(((D9564/100)*(C9564*VLOOKUP(B9564,'Poids des runes'!A:B,2,FALSE)))+1),(((D9564/100)*(C9564*VLOOKUP(B9564,'Poids des runes'!A:B,2,FALSE)))+1)/VLOOKUP(B9564,'Poids des runes'!A:B,2,FALSE))</f>
        <v>17.25</v>
      </c>
      <c r="F9564">
        <f t="shared" si="149"/>
        <v>17.25</v>
      </c>
    </row>
    <row r="9565" spans="1:6" x14ac:dyDescent="0.3">
      <c r="A9565" t="s">
        <v>1514</v>
      </c>
      <c r="B9565" t="s">
        <v>2135</v>
      </c>
      <c r="C9565">
        <v>8.5</v>
      </c>
      <c r="D9565">
        <v>200</v>
      </c>
      <c r="E9565">
        <f>IF(OR(B9565="vi",B9565="ii",B9565="pod"),(((D9565/100)*(C9565*VLOOKUP(B9565,'Poids des runes'!A:B,2,FALSE)))+1),(((D9565/100)*(C9565*VLOOKUP(B9565,'Poids des runes'!A:B,2,FALSE)))+1)/VLOOKUP(B9565,'Poids des runes'!A:B,2,FALSE))</f>
        <v>17.166666666666668</v>
      </c>
      <c r="F9565">
        <f t="shared" si="149"/>
        <v>17.166666666666668</v>
      </c>
    </row>
    <row r="9566" spans="1:6" x14ac:dyDescent="0.3">
      <c r="A9566" t="s">
        <v>1515</v>
      </c>
      <c r="B9566" t="s">
        <v>2128</v>
      </c>
      <c r="C9566">
        <v>275.5</v>
      </c>
      <c r="D9566">
        <v>200</v>
      </c>
      <c r="E9566">
        <f>IF(OR(B9566="vi",B9566="ii",B9566="pod"),(((D9566/100)*(C9566*VLOOKUP(B9566,'Poids des runes'!A:B,2,FALSE)))+1),(((D9566/100)*(C9566*VLOOKUP(B9566,'Poids des runes'!A:B,2,FALSE)))+1)/VLOOKUP(B9566,'Poids des runes'!A:B,2,FALSE))</f>
        <v>111.2</v>
      </c>
      <c r="F9566">
        <f t="shared" si="149"/>
        <v>111.2</v>
      </c>
    </row>
    <row r="9567" spans="1:6" x14ac:dyDescent="0.3">
      <c r="A9567" t="s">
        <v>1515</v>
      </c>
      <c r="B9567" t="s">
        <v>2130</v>
      </c>
      <c r="C9567">
        <v>40.5</v>
      </c>
      <c r="D9567">
        <v>200</v>
      </c>
      <c r="E9567">
        <f>IF(OR(B9567="vi",B9567="ii",B9567="pod"),(((D9567/100)*(C9567*VLOOKUP(B9567,'Poids des runes'!A:B,2,FALSE)))+1),(((D9567/100)*(C9567*VLOOKUP(B9567,'Poids des runes'!A:B,2,FALSE)))+1)/VLOOKUP(B9567,'Poids des runes'!A:B,2,FALSE))</f>
        <v>82</v>
      </c>
      <c r="F9567">
        <f t="shared" si="149"/>
        <v>82</v>
      </c>
    </row>
    <row r="9568" spans="1:6" x14ac:dyDescent="0.3">
      <c r="A9568" t="s">
        <v>1515</v>
      </c>
      <c r="B9568" t="s">
        <v>2126</v>
      </c>
      <c r="C9568">
        <v>40.5</v>
      </c>
      <c r="D9568">
        <v>200</v>
      </c>
      <c r="E9568">
        <f>IF(OR(B9568="vi",B9568="ii",B9568="pod"),(((D9568/100)*(C9568*VLOOKUP(B9568,'Poids des runes'!A:B,2,FALSE)))+1),(((D9568/100)*(C9568*VLOOKUP(B9568,'Poids des runes'!A:B,2,FALSE)))+1)/VLOOKUP(B9568,'Poids des runes'!A:B,2,FALSE))</f>
        <v>82</v>
      </c>
      <c r="F9568">
        <f t="shared" si="149"/>
        <v>82</v>
      </c>
    </row>
    <row r="9569" spans="1:6" x14ac:dyDescent="0.3">
      <c r="A9569" t="s">
        <v>1515</v>
      </c>
      <c r="B9569" t="s">
        <v>2127</v>
      </c>
      <c r="C9569">
        <v>40.5</v>
      </c>
      <c r="D9569">
        <v>200</v>
      </c>
      <c r="E9569">
        <f>IF(OR(B9569="vi",B9569="ii",B9569="pod"),(((D9569/100)*(C9569*VLOOKUP(B9569,'Poids des runes'!A:B,2,FALSE)))+1),(((D9569/100)*(C9569*VLOOKUP(B9569,'Poids des runes'!A:B,2,FALSE)))+1)/VLOOKUP(B9569,'Poids des runes'!A:B,2,FALSE))</f>
        <v>82</v>
      </c>
      <c r="F9569">
        <f t="shared" si="149"/>
        <v>82</v>
      </c>
    </row>
    <row r="9570" spans="1:6" x14ac:dyDescent="0.3">
      <c r="A9570" t="s">
        <v>1515</v>
      </c>
      <c r="B9570" t="s">
        <v>2129</v>
      </c>
      <c r="C9570">
        <v>25.5</v>
      </c>
      <c r="D9570">
        <v>200</v>
      </c>
      <c r="E9570">
        <f>IF(OR(B9570="vi",B9570="ii",B9570="pod"),(((D9570/100)*(C9570*VLOOKUP(B9570,'Poids des runes'!A:B,2,FALSE)))+1),(((D9570/100)*(C9570*VLOOKUP(B9570,'Poids des runes'!A:B,2,FALSE)))+1)/VLOOKUP(B9570,'Poids des runes'!A:B,2,FALSE))</f>
        <v>52</v>
      </c>
      <c r="F9570">
        <f t="shared" si="149"/>
        <v>52</v>
      </c>
    </row>
    <row r="9571" spans="1:6" x14ac:dyDescent="0.3">
      <c r="A9571" t="s">
        <v>1515</v>
      </c>
      <c r="B9571" t="s">
        <v>2151</v>
      </c>
      <c r="C9571">
        <v>3.5</v>
      </c>
      <c r="D9571">
        <v>200</v>
      </c>
      <c r="E9571">
        <f>IF(OR(B9571="vi",B9571="ii",B9571="pod"),(((D9571/100)*(C9571*VLOOKUP(B9571,'Poids des runes'!A:B,2,FALSE)))+1),(((D9571/100)*(C9571*VLOOKUP(B9571,'Poids des runes'!A:B,2,FALSE)))+1)/VLOOKUP(B9571,'Poids des runes'!A:B,2,FALSE))</f>
        <v>7.1</v>
      </c>
      <c r="F9571">
        <f t="shared" si="149"/>
        <v>7.1</v>
      </c>
    </row>
    <row r="9572" spans="1:6" x14ac:dyDescent="0.3">
      <c r="A9572" t="s">
        <v>1515</v>
      </c>
      <c r="B9572" t="s">
        <v>2155</v>
      </c>
      <c r="C9572">
        <v>2</v>
      </c>
      <c r="D9572">
        <v>200</v>
      </c>
      <c r="E9572">
        <f>IF(OR(B9572="vi",B9572="ii",B9572="pod"),(((D9572/100)*(C9572*VLOOKUP(B9572,'Poids des runes'!A:B,2,FALSE)))+1),(((D9572/100)*(C9572*VLOOKUP(B9572,'Poids des runes'!A:B,2,FALSE)))+1)/VLOOKUP(B9572,'Poids des runes'!A:B,2,FALSE))</f>
        <v>4.0196078431372548</v>
      </c>
      <c r="F9572">
        <f t="shared" si="149"/>
        <v>4.0196078431372548</v>
      </c>
    </row>
    <row r="9573" spans="1:6" x14ac:dyDescent="0.3">
      <c r="A9573" t="s">
        <v>1515</v>
      </c>
      <c r="B9573" t="s">
        <v>2143</v>
      </c>
      <c r="C9573">
        <v>8.5</v>
      </c>
      <c r="D9573">
        <v>200</v>
      </c>
      <c r="E9573">
        <f>IF(OR(B9573="vi",B9573="ii",B9573="pod"),(((D9573/100)*(C9573*VLOOKUP(B9573,'Poids des runes'!A:B,2,FALSE)))+1),(((D9573/100)*(C9573*VLOOKUP(B9573,'Poids des runes'!A:B,2,FALSE)))+1)/VLOOKUP(B9573,'Poids des runes'!A:B,2,FALSE))</f>
        <v>17.2</v>
      </c>
      <c r="F9573">
        <f t="shared" si="149"/>
        <v>17.2</v>
      </c>
    </row>
    <row r="9574" spans="1:6" x14ac:dyDescent="0.3">
      <c r="A9574" t="s">
        <v>1515</v>
      </c>
      <c r="B9574" t="s">
        <v>2140</v>
      </c>
      <c r="C9574">
        <v>8.5</v>
      </c>
      <c r="D9574">
        <v>200</v>
      </c>
      <c r="E9574">
        <f>IF(OR(B9574="vi",B9574="ii",B9574="pod"),(((D9574/100)*(C9574*VLOOKUP(B9574,'Poids des runes'!A:B,2,FALSE)))+1),(((D9574/100)*(C9574*VLOOKUP(B9574,'Poids des runes'!A:B,2,FALSE)))+1)/VLOOKUP(B9574,'Poids des runes'!A:B,2,FALSE))</f>
        <v>17.2</v>
      </c>
      <c r="F9574">
        <f t="shared" si="149"/>
        <v>17.2</v>
      </c>
    </row>
    <row r="9575" spans="1:6" x14ac:dyDescent="0.3">
      <c r="A9575" t="s">
        <v>1515</v>
      </c>
      <c r="B9575" t="s">
        <v>2153</v>
      </c>
      <c r="C9575">
        <v>8.5</v>
      </c>
      <c r="D9575">
        <v>200</v>
      </c>
      <c r="E9575">
        <f>IF(OR(B9575="vi",B9575="ii",B9575="pod"),(((D9575/100)*(C9575*VLOOKUP(B9575,'Poids des runes'!A:B,2,FALSE)))+1),(((D9575/100)*(C9575*VLOOKUP(B9575,'Poids des runes'!A:B,2,FALSE)))+1)/VLOOKUP(B9575,'Poids des runes'!A:B,2,FALSE))</f>
        <v>17.2</v>
      </c>
      <c r="F9575">
        <f t="shared" si="149"/>
        <v>17.2</v>
      </c>
    </row>
    <row r="9576" spans="1:6" x14ac:dyDescent="0.3">
      <c r="A9576" t="s">
        <v>1515</v>
      </c>
      <c r="B9576" t="s">
        <v>2165</v>
      </c>
      <c r="C9576">
        <v>6</v>
      </c>
      <c r="D9576">
        <v>200</v>
      </c>
      <c r="E9576">
        <f>IF(OR(B9576="vi",B9576="ii",B9576="pod"),(((D9576/100)*(C9576*VLOOKUP(B9576,'Poids des runes'!A:B,2,FALSE)))+1),(((D9576/100)*(C9576*VLOOKUP(B9576,'Poids des runes'!A:B,2,FALSE)))+1)/VLOOKUP(B9576,'Poids des runes'!A:B,2,FALSE))</f>
        <v>12.142857142857142</v>
      </c>
      <c r="F9576">
        <f t="shared" si="149"/>
        <v>12.142857142857142</v>
      </c>
    </row>
    <row r="9577" spans="1:6" x14ac:dyDescent="0.3">
      <c r="A9577" t="s">
        <v>1515</v>
      </c>
      <c r="B9577" t="s">
        <v>2135</v>
      </c>
      <c r="C9577">
        <v>5</v>
      </c>
      <c r="D9577">
        <v>200</v>
      </c>
      <c r="E9577">
        <f>IF(OR(B9577="vi",B9577="ii",B9577="pod"),(((D9577/100)*(C9577*VLOOKUP(B9577,'Poids des runes'!A:B,2,FALSE)))+1),(((D9577/100)*(C9577*VLOOKUP(B9577,'Poids des runes'!A:B,2,FALSE)))+1)/VLOOKUP(B9577,'Poids des runes'!A:B,2,FALSE))</f>
        <v>10.166666666666666</v>
      </c>
      <c r="F9577">
        <f t="shared" si="149"/>
        <v>10.166666666666666</v>
      </c>
    </row>
    <row r="9578" spans="1:6" x14ac:dyDescent="0.3">
      <c r="A9578" t="s">
        <v>1515</v>
      </c>
      <c r="B9578" t="s">
        <v>2157</v>
      </c>
      <c r="C9578">
        <v>5</v>
      </c>
      <c r="D9578">
        <v>200</v>
      </c>
      <c r="E9578">
        <f>IF(OR(B9578="vi",B9578="ii",B9578="pod"),(((D9578/100)*(C9578*VLOOKUP(B9578,'Poids des runes'!A:B,2,FALSE)))+1),(((D9578/100)*(C9578*VLOOKUP(B9578,'Poids des runes'!A:B,2,FALSE)))+1)/VLOOKUP(B9578,'Poids des runes'!A:B,2,FALSE))</f>
        <v>10.166666666666666</v>
      </c>
      <c r="F9578">
        <f t="shared" si="149"/>
        <v>10.166666666666666</v>
      </c>
    </row>
    <row r="9579" spans="1:6" x14ac:dyDescent="0.3">
      <c r="A9579" t="s">
        <v>1516</v>
      </c>
      <c r="B9579" t="s">
        <v>2128</v>
      </c>
      <c r="C9579">
        <v>325.5</v>
      </c>
      <c r="D9579">
        <v>200</v>
      </c>
      <c r="E9579">
        <f>IF(OR(B9579="vi",B9579="ii",B9579="pod"),(((D9579/100)*(C9579*VLOOKUP(B9579,'Poids des runes'!A:B,2,FALSE)))+1),(((D9579/100)*(C9579*VLOOKUP(B9579,'Poids des runes'!A:B,2,FALSE)))+1)/VLOOKUP(B9579,'Poids des runes'!A:B,2,FALSE))</f>
        <v>131.20000000000002</v>
      </c>
      <c r="F9579">
        <f t="shared" si="149"/>
        <v>131.20000000000002</v>
      </c>
    </row>
    <row r="9580" spans="1:6" x14ac:dyDescent="0.3">
      <c r="A9580" t="s">
        <v>1516</v>
      </c>
      <c r="B9580" t="s">
        <v>2130</v>
      </c>
      <c r="C9580">
        <v>40.5</v>
      </c>
      <c r="D9580">
        <v>200</v>
      </c>
      <c r="E9580">
        <f>IF(OR(B9580="vi",B9580="ii",B9580="pod"),(((D9580/100)*(C9580*VLOOKUP(B9580,'Poids des runes'!A:B,2,FALSE)))+1),(((D9580/100)*(C9580*VLOOKUP(B9580,'Poids des runes'!A:B,2,FALSE)))+1)/VLOOKUP(B9580,'Poids des runes'!A:B,2,FALSE))</f>
        <v>82</v>
      </c>
      <c r="F9580">
        <f t="shared" si="149"/>
        <v>82</v>
      </c>
    </row>
    <row r="9581" spans="1:6" x14ac:dyDescent="0.3">
      <c r="A9581" t="s">
        <v>1516</v>
      </c>
      <c r="B9581" t="s">
        <v>2126</v>
      </c>
      <c r="C9581">
        <v>40.5</v>
      </c>
      <c r="D9581">
        <v>200</v>
      </c>
      <c r="E9581">
        <f>IF(OR(B9581="vi",B9581="ii",B9581="pod"),(((D9581/100)*(C9581*VLOOKUP(B9581,'Poids des runes'!A:B,2,FALSE)))+1),(((D9581/100)*(C9581*VLOOKUP(B9581,'Poids des runes'!A:B,2,FALSE)))+1)/VLOOKUP(B9581,'Poids des runes'!A:B,2,FALSE))</f>
        <v>82</v>
      </c>
      <c r="F9581">
        <f t="shared" si="149"/>
        <v>82</v>
      </c>
    </row>
    <row r="9582" spans="1:6" x14ac:dyDescent="0.3">
      <c r="A9582" t="s">
        <v>1516</v>
      </c>
      <c r="B9582" t="s">
        <v>2127</v>
      </c>
      <c r="C9582">
        <v>40.5</v>
      </c>
      <c r="D9582">
        <v>200</v>
      </c>
      <c r="E9582">
        <f>IF(OR(B9582="vi",B9582="ii",B9582="pod"),(((D9582/100)*(C9582*VLOOKUP(B9582,'Poids des runes'!A:B,2,FALSE)))+1),(((D9582/100)*(C9582*VLOOKUP(B9582,'Poids des runes'!A:B,2,FALSE)))+1)/VLOOKUP(B9582,'Poids des runes'!A:B,2,FALSE))</f>
        <v>82</v>
      </c>
      <c r="F9582">
        <f t="shared" si="149"/>
        <v>82</v>
      </c>
    </row>
    <row r="9583" spans="1:6" x14ac:dyDescent="0.3">
      <c r="A9583" t="s">
        <v>1516</v>
      </c>
      <c r="B9583" t="s">
        <v>2129</v>
      </c>
      <c r="C9583">
        <v>40.5</v>
      </c>
      <c r="D9583">
        <v>200</v>
      </c>
      <c r="E9583">
        <f>IF(OR(B9583="vi",B9583="ii",B9583="pod"),(((D9583/100)*(C9583*VLOOKUP(B9583,'Poids des runes'!A:B,2,FALSE)))+1),(((D9583/100)*(C9583*VLOOKUP(B9583,'Poids des runes'!A:B,2,FALSE)))+1)/VLOOKUP(B9583,'Poids des runes'!A:B,2,FALSE))</f>
        <v>82</v>
      </c>
      <c r="F9583">
        <f t="shared" si="149"/>
        <v>82</v>
      </c>
    </row>
    <row r="9584" spans="1:6" x14ac:dyDescent="0.3">
      <c r="A9584" t="s">
        <v>1516</v>
      </c>
      <c r="B9584" t="s">
        <v>2151</v>
      </c>
      <c r="C9584">
        <v>3.5</v>
      </c>
      <c r="D9584">
        <v>200</v>
      </c>
      <c r="E9584">
        <f>IF(OR(B9584="vi",B9584="ii",B9584="pod"),(((D9584/100)*(C9584*VLOOKUP(B9584,'Poids des runes'!A:B,2,FALSE)))+1),(((D9584/100)*(C9584*VLOOKUP(B9584,'Poids des runes'!A:B,2,FALSE)))+1)/VLOOKUP(B9584,'Poids des runes'!A:B,2,FALSE))</f>
        <v>7.1</v>
      </c>
      <c r="F9584">
        <f t="shared" si="149"/>
        <v>7.1</v>
      </c>
    </row>
    <row r="9585" spans="1:6" x14ac:dyDescent="0.3">
      <c r="A9585" t="s">
        <v>1516</v>
      </c>
      <c r="B9585" t="s">
        <v>2143</v>
      </c>
      <c r="C9585">
        <v>10.5</v>
      </c>
      <c r="D9585">
        <v>200</v>
      </c>
      <c r="E9585">
        <f>IF(OR(B9585="vi",B9585="ii",B9585="pod"),(((D9585/100)*(C9585*VLOOKUP(B9585,'Poids des runes'!A:B,2,FALSE)))+1),(((D9585/100)*(C9585*VLOOKUP(B9585,'Poids des runes'!A:B,2,FALSE)))+1)/VLOOKUP(B9585,'Poids des runes'!A:B,2,FALSE))</f>
        <v>21.2</v>
      </c>
      <c r="F9585">
        <f t="shared" si="149"/>
        <v>21.2</v>
      </c>
    </row>
    <row r="9586" spans="1:6" x14ac:dyDescent="0.3">
      <c r="A9586" t="s">
        <v>1516</v>
      </c>
      <c r="B9586" t="s">
        <v>2140</v>
      </c>
      <c r="C9586">
        <v>10.5</v>
      </c>
      <c r="D9586">
        <v>200</v>
      </c>
      <c r="E9586">
        <f>IF(OR(B9586="vi",B9586="ii",B9586="pod"),(((D9586/100)*(C9586*VLOOKUP(B9586,'Poids des runes'!A:B,2,FALSE)))+1),(((D9586/100)*(C9586*VLOOKUP(B9586,'Poids des runes'!A:B,2,FALSE)))+1)/VLOOKUP(B9586,'Poids des runes'!A:B,2,FALSE))</f>
        <v>21.2</v>
      </c>
      <c r="F9586">
        <f t="shared" si="149"/>
        <v>21.2</v>
      </c>
    </row>
    <row r="9587" spans="1:6" x14ac:dyDescent="0.3">
      <c r="A9587" t="s">
        <v>1516</v>
      </c>
      <c r="B9587" t="s">
        <v>2153</v>
      </c>
      <c r="C9587">
        <v>10.5</v>
      </c>
      <c r="D9587">
        <v>200</v>
      </c>
      <c r="E9587">
        <f>IF(OR(B9587="vi",B9587="ii",B9587="pod"),(((D9587/100)*(C9587*VLOOKUP(B9587,'Poids des runes'!A:B,2,FALSE)))+1),(((D9587/100)*(C9587*VLOOKUP(B9587,'Poids des runes'!A:B,2,FALSE)))+1)/VLOOKUP(B9587,'Poids des runes'!A:B,2,FALSE))</f>
        <v>21.2</v>
      </c>
      <c r="F9587">
        <f t="shared" si="149"/>
        <v>21.2</v>
      </c>
    </row>
    <row r="9588" spans="1:6" x14ac:dyDescent="0.3">
      <c r="A9588" t="s">
        <v>1516</v>
      </c>
      <c r="B9588" t="s">
        <v>2165</v>
      </c>
      <c r="C9588">
        <v>4</v>
      </c>
      <c r="D9588">
        <v>200</v>
      </c>
      <c r="E9588">
        <f>IF(OR(B9588="vi",B9588="ii",B9588="pod"),(((D9588/100)*(C9588*VLOOKUP(B9588,'Poids des runes'!A:B,2,FALSE)))+1),(((D9588/100)*(C9588*VLOOKUP(B9588,'Poids des runes'!A:B,2,FALSE)))+1)/VLOOKUP(B9588,'Poids des runes'!A:B,2,FALSE))</f>
        <v>8.1428571428571423</v>
      </c>
      <c r="F9588">
        <f t="shared" si="149"/>
        <v>8.1428571428571423</v>
      </c>
    </row>
    <row r="9589" spans="1:6" x14ac:dyDescent="0.3">
      <c r="A9589" t="s">
        <v>1516</v>
      </c>
      <c r="B9589" t="s">
        <v>2156</v>
      </c>
      <c r="C9589">
        <v>5</v>
      </c>
      <c r="D9589">
        <v>200</v>
      </c>
      <c r="E9589">
        <f>IF(OR(B9589="vi",B9589="ii",B9589="pod"),(((D9589/100)*(C9589*VLOOKUP(B9589,'Poids des runes'!A:B,2,FALSE)))+1),(((D9589/100)*(C9589*VLOOKUP(B9589,'Poids des runes'!A:B,2,FALSE)))+1)/VLOOKUP(B9589,'Poids des runes'!A:B,2,FALSE))</f>
        <v>10.166666666666666</v>
      </c>
      <c r="F9589">
        <f t="shared" si="149"/>
        <v>10.166666666666666</v>
      </c>
    </row>
    <row r="9590" spans="1:6" x14ac:dyDescent="0.3">
      <c r="A9590" t="s">
        <v>1516</v>
      </c>
      <c r="B9590" t="s">
        <v>2147</v>
      </c>
      <c r="C9590">
        <v>6</v>
      </c>
      <c r="D9590">
        <v>200</v>
      </c>
      <c r="E9590">
        <f>IF(OR(B9590="vi",B9590="ii",B9590="pod"),(((D9590/100)*(C9590*VLOOKUP(B9590,'Poids des runes'!A:B,2,FALSE)))+1),(((D9590/100)*(C9590*VLOOKUP(B9590,'Poids des runes'!A:B,2,FALSE)))+1)/VLOOKUP(B9590,'Poids des runes'!A:B,2,FALSE))</f>
        <v>12.166666666666666</v>
      </c>
      <c r="F9590">
        <f t="shared" si="149"/>
        <v>12.166666666666666</v>
      </c>
    </row>
    <row r="9591" spans="1:6" x14ac:dyDescent="0.3">
      <c r="A9591" t="s">
        <v>1517</v>
      </c>
      <c r="B9591" t="s">
        <v>2128</v>
      </c>
      <c r="C9591">
        <v>275.5</v>
      </c>
      <c r="D9591">
        <v>200</v>
      </c>
      <c r="E9591">
        <f>IF(OR(B9591="vi",B9591="ii",B9591="pod"),(((D9591/100)*(C9591*VLOOKUP(B9591,'Poids des runes'!A:B,2,FALSE)))+1),(((D9591/100)*(C9591*VLOOKUP(B9591,'Poids des runes'!A:B,2,FALSE)))+1)/VLOOKUP(B9591,'Poids des runes'!A:B,2,FALSE))</f>
        <v>111.2</v>
      </c>
      <c r="F9591">
        <f t="shared" si="149"/>
        <v>111.2</v>
      </c>
    </row>
    <row r="9592" spans="1:6" x14ac:dyDescent="0.3">
      <c r="A9592" t="s">
        <v>1517</v>
      </c>
      <c r="B9592" t="s">
        <v>2130</v>
      </c>
      <c r="C9592">
        <v>50.5</v>
      </c>
      <c r="D9592">
        <v>200</v>
      </c>
      <c r="E9592">
        <f>IF(OR(B9592="vi",B9592="ii",B9592="pod"),(((D9592/100)*(C9592*VLOOKUP(B9592,'Poids des runes'!A:B,2,FALSE)))+1),(((D9592/100)*(C9592*VLOOKUP(B9592,'Poids des runes'!A:B,2,FALSE)))+1)/VLOOKUP(B9592,'Poids des runes'!A:B,2,FALSE))</f>
        <v>102</v>
      </c>
      <c r="F9592">
        <f t="shared" si="149"/>
        <v>102</v>
      </c>
    </row>
    <row r="9593" spans="1:6" x14ac:dyDescent="0.3">
      <c r="A9593" t="s">
        <v>1517</v>
      </c>
      <c r="B9593" t="s">
        <v>2126</v>
      </c>
      <c r="C9593">
        <v>50.5</v>
      </c>
      <c r="D9593">
        <v>200</v>
      </c>
      <c r="E9593">
        <f>IF(OR(B9593="vi",B9593="ii",B9593="pod"),(((D9593/100)*(C9593*VLOOKUP(B9593,'Poids des runes'!A:B,2,FALSE)))+1),(((D9593/100)*(C9593*VLOOKUP(B9593,'Poids des runes'!A:B,2,FALSE)))+1)/VLOOKUP(B9593,'Poids des runes'!A:B,2,FALSE))</f>
        <v>102</v>
      </c>
      <c r="F9593">
        <f t="shared" si="149"/>
        <v>102</v>
      </c>
    </row>
    <row r="9594" spans="1:6" x14ac:dyDescent="0.3">
      <c r="A9594" t="s">
        <v>1517</v>
      </c>
      <c r="B9594" t="s">
        <v>2127</v>
      </c>
      <c r="C9594">
        <v>50.5</v>
      </c>
      <c r="D9594">
        <v>200</v>
      </c>
      <c r="E9594">
        <f>IF(OR(B9594="vi",B9594="ii",B9594="pod"),(((D9594/100)*(C9594*VLOOKUP(B9594,'Poids des runes'!A:B,2,FALSE)))+1),(((D9594/100)*(C9594*VLOOKUP(B9594,'Poids des runes'!A:B,2,FALSE)))+1)/VLOOKUP(B9594,'Poids des runes'!A:B,2,FALSE))</f>
        <v>102</v>
      </c>
      <c r="F9594">
        <f t="shared" si="149"/>
        <v>102</v>
      </c>
    </row>
    <row r="9595" spans="1:6" x14ac:dyDescent="0.3">
      <c r="A9595" t="s">
        <v>1517</v>
      </c>
      <c r="B9595" t="s">
        <v>2129</v>
      </c>
      <c r="C9595">
        <v>40.5</v>
      </c>
      <c r="D9595">
        <v>200</v>
      </c>
      <c r="E9595">
        <f>IF(OR(B9595="vi",B9595="ii",B9595="pod"),(((D9595/100)*(C9595*VLOOKUP(B9595,'Poids des runes'!A:B,2,FALSE)))+1),(((D9595/100)*(C9595*VLOOKUP(B9595,'Poids des runes'!A:B,2,FALSE)))+1)/VLOOKUP(B9595,'Poids des runes'!A:B,2,FALSE))</f>
        <v>82</v>
      </c>
      <c r="F9595">
        <f t="shared" si="149"/>
        <v>82</v>
      </c>
    </row>
    <row r="9596" spans="1:6" x14ac:dyDescent="0.3">
      <c r="A9596" t="s">
        <v>1517</v>
      </c>
      <c r="B9596" t="s">
        <v>2151</v>
      </c>
      <c r="C9596">
        <v>2.5</v>
      </c>
      <c r="D9596">
        <v>200</v>
      </c>
      <c r="E9596">
        <f>IF(OR(B9596="vi",B9596="ii",B9596="pod"),(((D9596/100)*(C9596*VLOOKUP(B9596,'Poids des runes'!A:B,2,FALSE)))+1),(((D9596/100)*(C9596*VLOOKUP(B9596,'Poids des runes'!A:B,2,FALSE)))+1)/VLOOKUP(B9596,'Poids des runes'!A:B,2,FALSE))</f>
        <v>5.0999999999999996</v>
      </c>
      <c r="F9596">
        <f t="shared" si="149"/>
        <v>5.0999999999999996</v>
      </c>
    </row>
    <row r="9597" spans="1:6" x14ac:dyDescent="0.3">
      <c r="A9597" t="s">
        <v>1517</v>
      </c>
      <c r="B9597" t="s">
        <v>2155</v>
      </c>
      <c r="C9597">
        <v>1</v>
      </c>
      <c r="D9597">
        <v>200</v>
      </c>
      <c r="E9597">
        <f>IF(OR(B9597="vi",B9597="ii",B9597="pod"),(((D9597/100)*(C9597*VLOOKUP(B9597,'Poids des runes'!A:B,2,FALSE)))+1),(((D9597/100)*(C9597*VLOOKUP(B9597,'Poids des runes'!A:B,2,FALSE)))+1)/VLOOKUP(B9597,'Poids des runes'!A:B,2,FALSE))</f>
        <v>2.0196078431372548</v>
      </c>
      <c r="F9597">
        <f t="shared" si="149"/>
        <v>2.0196078431372548</v>
      </c>
    </row>
    <row r="9598" spans="1:6" x14ac:dyDescent="0.3">
      <c r="A9598" t="s">
        <v>1517</v>
      </c>
      <c r="B9598" t="s">
        <v>2143</v>
      </c>
      <c r="C9598">
        <v>8.5</v>
      </c>
      <c r="D9598">
        <v>200</v>
      </c>
      <c r="E9598">
        <f>IF(OR(B9598="vi",B9598="ii",B9598="pod"),(((D9598/100)*(C9598*VLOOKUP(B9598,'Poids des runes'!A:B,2,FALSE)))+1),(((D9598/100)*(C9598*VLOOKUP(B9598,'Poids des runes'!A:B,2,FALSE)))+1)/VLOOKUP(B9598,'Poids des runes'!A:B,2,FALSE))</f>
        <v>17.2</v>
      </c>
      <c r="F9598">
        <f t="shared" si="149"/>
        <v>17.2</v>
      </c>
    </row>
    <row r="9599" spans="1:6" x14ac:dyDescent="0.3">
      <c r="A9599" t="s">
        <v>1517</v>
      </c>
      <c r="B9599" t="s">
        <v>2140</v>
      </c>
      <c r="C9599">
        <v>8.5</v>
      </c>
      <c r="D9599">
        <v>200</v>
      </c>
      <c r="E9599">
        <f>IF(OR(B9599="vi",B9599="ii",B9599="pod"),(((D9599/100)*(C9599*VLOOKUP(B9599,'Poids des runes'!A:B,2,FALSE)))+1),(((D9599/100)*(C9599*VLOOKUP(B9599,'Poids des runes'!A:B,2,FALSE)))+1)/VLOOKUP(B9599,'Poids des runes'!A:B,2,FALSE))</f>
        <v>17.2</v>
      </c>
      <c r="F9599">
        <f t="shared" si="149"/>
        <v>17.2</v>
      </c>
    </row>
    <row r="9600" spans="1:6" x14ac:dyDescent="0.3">
      <c r="A9600" t="s">
        <v>1517</v>
      </c>
      <c r="B9600" t="s">
        <v>2153</v>
      </c>
      <c r="C9600">
        <v>8.5</v>
      </c>
      <c r="D9600">
        <v>200</v>
      </c>
      <c r="E9600">
        <f>IF(OR(B9600="vi",B9600="ii",B9600="pod"),(((D9600/100)*(C9600*VLOOKUP(B9600,'Poids des runes'!A:B,2,FALSE)))+1),(((D9600/100)*(C9600*VLOOKUP(B9600,'Poids des runes'!A:B,2,FALSE)))+1)/VLOOKUP(B9600,'Poids des runes'!A:B,2,FALSE))</f>
        <v>17.2</v>
      </c>
      <c r="F9600">
        <f t="shared" si="149"/>
        <v>17.2</v>
      </c>
    </row>
    <row r="9601" spans="1:6" x14ac:dyDescent="0.3">
      <c r="A9601" t="s">
        <v>1517</v>
      </c>
      <c r="B9601" t="s">
        <v>2138</v>
      </c>
      <c r="C9601">
        <v>8.5</v>
      </c>
      <c r="D9601">
        <v>200</v>
      </c>
      <c r="E9601">
        <f>IF(OR(B9601="vi",B9601="ii",B9601="pod"),(((D9601/100)*(C9601*VLOOKUP(B9601,'Poids des runes'!A:B,2,FALSE)))+1),(((D9601/100)*(C9601*VLOOKUP(B9601,'Poids des runes'!A:B,2,FALSE)))+1)/VLOOKUP(B9601,'Poids des runes'!A:B,2,FALSE))</f>
        <v>17.25</v>
      </c>
      <c r="F9601">
        <f t="shared" si="149"/>
        <v>17.25</v>
      </c>
    </row>
    <row r="9602" spans="1:6" x14ac:dyDescent="0.3">
      <c r="A9602" t="s">
        <v>1517</v>
      </c>
      <c r="B9602" t="s">
        <v>2148</v>
      </c>
      <c r="C9602">
        <v>8.5</v>
      </c>
      <c r="D9602">
        <v>200</v>
      </c>
      <c r="E9602">
        <f>IF(OR(B9602="vi",B9602="ii",B9602="pod"),(((D9602/100)*(C9602*VLOOKUP(B9602,'Poids des runes'!A:B,2,FALSE)))+1),(((D9602/100)*(C9602*VLOOKUP(B9602,'Poids des runes'!A:B,2,FALSE)))+1)/VLOOKUP(B9602,'Poids des runes'!A:B,2,FALSE))</f>
        <v>17.166666666666668</v>
      </c>
      <c r="F9602">
        <f t="shared" si="149"/>
        <v>17.166666666666668</v>
      </c>
    </row>
    <row r="9603" spans="1:6" x14ac:dyDescent="0.3">
      <c r="A9603" t="s">
        <v>1518</v>
      </c>
      <c r="B9603" t="s">
        <v>2128</v>
      </c>
      <c r="C9603">
        <v>375.5</v>
      </c>
      <c r="D9603">
        <v>200</v>
      </c>
      <c r="E9603">
        <f>IF(OR(B9603="vi",B9603="ii",B9603="pod"),(((D9603/100)*(C9603*VLOOKUP(B9603,'Poids des runes'!A:B,2,FALSE)))+1),(((D9603/100)*(C9603*VLOOKUP(B9603,'Poids des runes'!A:B,2,FALSE)))+1)/VLOOKUP(B9603,'Poids des runes'!A:B,2,FALSE))</f>
        <v>151.20000000000002</v>
      </c>
      <c r="F9603">
        <f t="shared" ref="F9603:F9666" si="150">E9603</f>
        <v>151.20000000000002</v>
      </c>
    </row>
    <row r="9604" spans="1:6" x14ac:dyDescent="0.3">
      <c r="A9604" t="s">
        <v>1518</v>
      </c>
      <c r="B9604" t="s">
        <v>2126</v>
      </c>
      <c r="C9604">
        <v>40.5</v>
      </c>
      <c r="D9604">
        <v>200</v>
      </c>
      <c r="E9604">
        <f>IF(OR(B9604="vi",B9604="ii",B9604="pod"),(((D9604/100)*(C9604*VLOOKUP(B9604,'Poids des runes'!A:B,2,FALSE)))+1),(((D9604/100)*(C9604*VLOOKUP(B9604,'Poids des runes'!A:B,2,FALSE)))+1)/VLOOKUP(B9604,'Poids des runes'!A:B,2,FALSE))</f>
        <v>82</v>
      </c>
      <c r="F9604">
        <f t="shared" si="150"/>
        <v>82</v>
      </c>
    </row>
    <row r="9605" spans="1:6" x14ac:dyDescent="0.3">
      <c r="A9605" t="s">
        <v>1518</v>
      </c>
      <c r="B9605" t="s">
        <v>2131</v>
      </c>
      <c r="C9605">
        <v>40.5</v>
      </c>
      <c r="D9605">
        <v>200</v>
      </c>
      <c r="E9605">
        <f>IF(OR(B9605="vi",B9605="ii",B9605="pod"),(((D9605/100)*(C9605*VLOOKUP(B9605,'Poids des runes'!A:B,2,FALSE)))+1),(((D9605/100)*(C9605*VLOOKUP(B9605,'Poids des runes'!A:B,2,FALSE)))+1)/VLOOKUP(B9605,'Poids des runes'!A:B,2,FALSE))</f>
        <v>82</v>
      </c>
      <c r="F9605">
        <f t="shared" si="150"/>
        <v>82</v>
      </c>
    </row>
    <row r="9606" spans="1:6" x14ac:dyDescent="0.3">
      <c r="A9606" t="s">
        <v>1518</v>
      </c>
      <c r="B9606" t="s">
        <v>2129</v>
      </c>
      <c r="C9606">
        <v>35.5</v>
      </c>
      <c r="D9606">
        <v>200</v>
      </c>
      <c r="E9606">
        <f>IF(OR(B9606="vi",B9606="ii",B9606="pod"),(((D9606/100)*(C9606*VLOOKUP(B9606,'Poids des runes'!A:B,2,FALSE)))+1),(((D9606/100)*(C9606*VLOOKUP(B9606,'Poids des runes'!A:B,2,FALSE)))+1)/VLOOKUP(B9606,'Poids des runes'!A:B,2,FALSE))</f>
        <v>72</v>
      </c>
      <c r="F9606">
        <f t="shared" si="150"/>
        <v>72</v>
      </c>
    </row>
    <row r="9607" spans="1:6" x14ac:dyDescent="0.3">
      <c r="A9607" t="s">
        <v>1518</v>
      </c>
      <c r="B9607" t="s">
        <v>2154</v>
      </c>
      <c r="C9607">
        <v>1</v>
      </c>
      <c r="D9607">
        <v>200</v>
      </c>
      <c r="E9607">
        <f>IF(OR(B9607="vi",B9607="ii",B9607="pod"),(((D9607/100)*(C9607*VLOOKUP(B9607,'Poids des runes'!A:B,2,FALSE)))+1),(((D9607/100)*(C9607*VLOOKUP(B9607,'Poids des runes'!A:B,2,FALSE)))+1)/VLOOKUP(B9607,'Poids des runes'!A:B,2,FALSE))</f>
        <v>2.0111111111111111</v>
      </c>
      <c r="F9607">
        <f t="shared" si="150"/>
        <v>2.0111111111111111</v>
      </c>
    </row>
    <row r="9608" spans="1:6" x14ac:dyDescent="0.3">
      <c r="A9608" t="s">
        <v>1518</v>
      </c>
      <c r="B9608" t="s">
        <v>2155</v>
      </c>
      <c r="C9608">
        <v>1</v>
      </c>
      <c r="D9608">
        <v>200</v>
      </c>
      <c r="E9608">
        <f>IF(OR(B9608="vi",B9608="ii",B9608="pod"),(((D9608/100)*(C9608*VLOOKUP(B9608,'Poids des runes'!A:B,2,FALSE)))+1),(((D9608/100)*(C9608*VLOOKUP(B9608,'Poids des runes'!A:B,2,FALSE)))+1)/VLOOKUP(B9608,'Poids des runes'!A:B,2,FALSE))</f>
        <v>2.0196078431372548</v>
      </c>
      <c r="F9608">
        <f t="shared" si="150"/>
        <v>2.0196078431372548</v>
      </c>
    </row>
    <row r="9609" spans="1:6" x14ac:dyDescent="0.3">
      <c r="A9609" t="s">
        <v>1518</v>
      </c>
      <c r="B9609" t="s">
        <v>2140</v>
      </c>
      <c r="C9609">
        <v>18</v>
      </c>
      <c r="D9609">
        <v>200</v>
      </c>
      <c r="E9609">
        <f>IF(OR(B9609="vi",B9609="ii",B9609="pod"),(((D9609/100)*(C9609*VLOOKUP(B9609,'Poids des runes'!A:B,2,FALSE)))+1),(((D9609/100)*(C9609*VLOOKUP(B9609,'Poids des runes'!A:B,2,FALSE)))+1)/VLOOKUP(B9609,'Poids des runes'!A:B,2,FALSE))</f>
        <v>36.200000000000003</v>
      </c>
      <c r="F9609">
        <f t="shared" si="150"/>
        <v>36.200000000000003</v>
      </c>
    </row>
    <row r="9610" spans="1:6" x14ac:dyDescent="0.3">
      <c r="A9610" t="s">
        <v>1518</v>
      </c>
      <c r="B9610" t="s">
        <v>2133</v>
      </c>
      <c r="C9610">
        <v>18</v>
      </c>
      <c r="D9610">
        <v>200</v>
      </c>
      <c r="E9610">
        <f>IF(OR(B9610="vi",B9610="ii",B9610="pod"),(((D9610/100)*(C9610*VLOOKUP(B9610,'Poids des runes'!A:B,2,FALSE)))+1),(((D9610/100)*(C9610*VLOOKUP(B9610,'Poids des runes'!A:B,2,FALSE)))+1)/VLOOKUP(B9610,'Poids des runes'!A:B,2,FALSE))</f>
        <v>36.200000000000003</v>
      </c>
      <c r="F9610">
        <f t="shared" si="150"/>
        <v>36.200000000000003</v>
      </c>
    </row>
    <row r="9611" spans="1:6" x14ac:dyDescent="0.3">
      <c r="A9611" t="s">
        <v>1518</v>
      </c>
      <c r="B9611" t="s">
        <v>2142</v>
      </c>
      <c r="C9611">
        <v>18</v>
      </c>
      <c r="D9611">
        <v>200</v>
      </c>
      <c r="E9611">
        <f>IF(OR(B9611="vi",B9611="ii",B9611="pod"),(((D9611/100)*(C9611*VLOOKUP(B9611,'Poids des runes'!A:B,2,FALSE)))+1),(((D9611/100)*(C9611*VLOOKUP(B9611,'Poids des runes'!A:B,2,FALSE)))+1)/VLOOKUP(B9611,'Poids des runes'!A:B,2,FALSE))</f>
        <v>36.200000000000003</v>
      </c>
      <c r="F9611">
        <f t="shared" si="150"/>
        <v>36.200000000000003</v>
      </c>
    </row>
    <row r="9612" spans="1:6" x14ac:dyDescent="0.3">
      <c r="A9612" t="s">
        <v>1518</v>
      </c>
      <c r="B9612" t="s">
        <v>2156</v>
      </c>
      <c r="C9612">
        <v>6</v>
      </c>
      <c r="D9612">
        <v>200</v>
      </c>
      <c r="E9612">
        <f>IF(OR(B9612="vi",B9612="ii",B9612="pod"),(((D9612/100)*(C9612*VLOOKUP(B9612,'Poids des runes'!A:B,2,FALSE)))+1),(((D9612/100)*(C9612*VLOOKUP(B9612,'Poids des runes'!A:B,2,FALSE)))+1)/VLOOKUP(B9612,'Poids des runes'!A:B,2,FALSE))</f>
        <v>12.166666666666666</v>
      </c>
      <c r="F9612">
        <f t="shared" si="150"/>
        <v>12.166666666666666</v>
      </c>
    </row>
    <row r="9613" spans="1:6" x14ac:dyDescent="0.3">
      <c r="A9613" t="s">
        <v>1518</v>
      </c>
      <c r="B9613" t="s">
        <v>2148</v>
      </c>
      <c r="C9613">
        <v>6</v>
      </c>
      <c r="D9613">
        <v>200</v>
      </c>
      <c r="E9613">
        <f>IF(OR(B9613="vi",B9613="ii",B9613="pod"),(((D9613/100)*(C9613*VLOOKUP(B9613,'Poids des runes'!A:B,2,FALSE)))+1),(((D9613/100)*(C9613*VLOOKUP(B9613,'Poids des runes'!A:B,2,FALSE)))+1)/VLOOKUP(B9613,'Poids des runes'!A:B,2,FALSE))</f>
        <v>12.166666666666666</v>
      </c>
      <c r="F9613">
        <f t="shared" si="150"/>
        <v>12.166666666666666</v>
      </c>
    </row>
    <row r="9614" spans="1:6" x14ac:dyDescent="0.3">
      <c r="A9614" t="s">
        <v>1519</v>
      </c>
      <c r="B9614" t="s">
        <v>2128</v>
      </c>
      <c r="C9614">
        <v>325.5</v>
      </c>
      <c r="D9614">
        <v>200</v>
      </c>
      <c r="E9614">
        <f>IF(OR(B9614="vi",B9614="ii",B9614="pod"),(((D9614/100)*(C9614*VLOOKUP(B9614,'Poids des runes'!A:B,2,FALSE)))+1),(((D9614/100)*(C9614*VLOOKUP(B9614,'Poids des runes'!A:B,2,FALSE)))+1)/VLOOKUP(B9614,'Poids des runes'!A:B,2,FALSE))</f>
        <v>131.20000000000002</v>
      </c>
      <c r="F9614">
        <f t="shared" si="150"/>
        <v>131.20000000000002</v>
      </c>
    </row>
    <row r="9615" spans="1:6" x14ac:dyDescent="0.3">
      <c r="A9615" t="s">
        <v>1519</v>
      </c>
      <c r="B9615" t="s">
        <v>2126</v>
      </c>
      <c r="C9615">
        <v>50.5</v>
      </c>
      <c r="D9615">
        <v>200</v>
      </c>
      <c r="E9615">
        <f>IF(OR(B9615="vi",B9615="ii",B9615="pod"),(((D9615/100)*(C9615*VLOOKUP(B9615,'Poids des runes'!A:B,2,FALSE)))+1),(((D9615/100)*(C9615*VLOOKUP(B9615,'Poids des runes'!A:B,2,FALSE)))+1)/VLOOKUP(B9615,'Poids des runes'!A:B,2,FALSE))</f>
        <v>102</v>
      </c>
      <c r="F9615">
        <f t="shared" si="150"/>
        <v>102</v>
      </c>
    </row>
    <row r="9616" spans="1:6" x14ac:dyDescent="0.3">
      <c r="A9616" t="s">
        <v>1519</v>
      </c>
      <c r="B9616" t="s">
        <v>2131</v>
      </c>
      <c r="C9616">
        <v>50.5</v>
      </c>
      <c r="D9616">
        <v>200</v>
      </c>
      <c r="E9616">
        <f>IF(OR(B9616="vi",B9616="ii",B9616="pod"),(((D9616/100)*(C9616*VLOOKUP(B9616,'Poids des runes'!A:B,2,FALSE)))+1),(((D9616/100)*(C9616*VLOOKUP(B9616,'Poids des runes'!A:B,2,FALSE)))+1)/VLOOKUP(B9616,'Poids des runes'!A:B,2,FALSE))</f>
        <v>102</v>
      </c>
      <c r="F9616">
        <f t="shared" si="150"/>
        <v>102</v>
      </c>
    </row>
    <row r="9617" spans="1:6" x14ac:dyDescent="0.3">
      <c r="A9617" t="s">
        <v>1519</v>
      </c>
      <c r="B9617" t="s">
        <v>2129</v>
      </c>
      <c r="C9617">
        <v>35.5</v>
      </c>
      <c r="D9617">
        <v>200</v>
      </c>
      <c r="E9617">
        <f>IF(OR(B9617="vi",B9617="ii",B9617="pod"),(((D9617/100)*(C9617*VLOOKUP(B9617,'Poids des runes'!A:B,2,FALSE)))+1),(((D9617/100)*(C9617*VLOOKUP(B9617,'Poids des runes'!A:B,2,FALSE)))+1)/VLOOKUP(B9617,'Poids des runes'!A:B,2,FALSE))</f>
        <v>72</v>
      </c>
      <c r="F9617">
        <f t="shared" si="150"/>
        <v>72</v>
      </c>
    </row>
    <row r="9618" spans="1:6" x14ac:dyDescent="0.3">
      <c r="A9618" t="s">
        <v>1519</v>
      </c>
      <c r="B9618" t="s">
        <v>2151</v>
      </c>
      <c r="C9618">
        <v>3.5</v>
      </c>
      <c r="D9618">
        <v>200</v>
      </c>
      <c r="E9618">
        <f>IF(OR(B9618="vi",B9618="ii",B9618="pod"),(((D9618/100)*(C9618*VLOOKUP(B9618,'Poids des runes'!A:B,2,FALSE)))+1),(((D9618/100)*(C9618*VLOOKUP(B9618,'Poids des runes'!A:B,2,FALSE)))+1)/VLOOKUP(B9618,'Poids des runes'!A:B,2,FALSE))</f>
        <v>7.1</v>
      </c>
      <c r="F9618">
        <f t="shared" si="150"/>
        <v>7.1</v>
      </c>
    </row>
    <row r="9619" spans="1:6" x14ac:dyDescent="0.3">
      <c r="A9619" t="s">
        <v>1519</v>
      </c>
      <c r="B9619" t="s">
        <v>2155</v>
      </c>
      <c r="C9619">
        <v>1</v>
      </c>
      <c r="D9619">
        <v>200</v>
      </c>
      <c r="E9619">
        <f>IF(OR(B9619="vi",B9619="ii",B9619="pod"),(((D9619/100)*(C9619*VLOOKUP(B9619,'Poids des runes'!A:B,2,FALSE)))+1),(((D9619/100)*(C9619*VLOOKUP(B9619,'Poids des runes'!A:B,2,FALSE)))+1)/VLOOKUP(B9619,'Poids des runes'!A:B,2,FALSE))</f>
        <v>2.0196078431372548</v>
      </c>
      <c r="F9619">
        <f t="shared" si="150"/>
        <v>2.0196078431372548</v>
      </c>
    </row>
    <row r="9620" spans="1:6" x14ac:dyDescent="0.3">
      <c r="A9620" t="s">
        <v>1519</v>
      </c>
      <c r="B9620" t="s">
        <v>2140</v>
      </c>
      <c r="C9620">
        <v>18</v>
      </c>
      <c r="D9620">
        <v>200</v>
      </c>
      <c r="E9620">
        <f>IF(OR(B9620="vi",B9620="ii",B9620="pod"),(((D9620/100)*(C9620*VLOOKUP(B9620,'Poids des runes'!A:B,2,FALSE)))+1),(((D9620/100)*(C9620*VLOOKUP(B9620,'Poids des runes'!A:B,2,FALSE)))+1)/VLOOKUP(B9620,'Poids des runes'!A:B,2,FALSE))</f>
        <v>36.200000000000003</v>
      </c>
      <c r="F9620">
        <f t="shared" si="150"/>
        <v>36.200000000000003</v>
      </c>
    </row>
    <row r="9621" spans="1:6" x14ac:dyDescent="0.3">
      <c r="A9621" t="s">
        <v>1519</v>
      </c>
      <c r="B9621" t="s">
        <v>2133</v>
      </c>
      <c r="C9621">
        <v>18</v>
      </c>
      <c r="D9621">
        <v>200</v>
      </c>
      <c r="E9621">
        <f>IF(OR(B9621="vi",B9621="ii",B9621="pod"),(((D9621/100)*(C9621*VLOOKUP(B9621,'Poids des runes'!A:B,2,FALSE)))+1),(((D9621/100)*(C9621*VLOOKUP(B9621,'Poids des runes'!A:B,2,FALSE)))+1)/VLOOKUP(B9621,'Poids des runes'!A:B,2,FALSE))</f>
        <v>36.200000000000003</v>
      </c>
      <c r="F9621">
        <f t="shared" si="150"/>
        <v>36.200000000000003</v>
      </c>
    </row>
    <row r="9622" spans="1:6" x14ac:dyDescent="0.3">
      <c r="A9622" t="s">
        <v>1519</v>
      </c>
      <c r="B9622" t="s">
        <v>2149</v>
      </c>
      <c r="C9622">
        <v>13</v>
      </c>
      <c r="D9622">
        <v>200</v>
      </c>
      <c r="E9622">
        <f>IF(OR(B9622="vi",B9622="ii",B9622="pod"),(((D9622/100)*(C9622*VLOOKUP(B9622,'Poids des runes'!A:B,2,FALSE)))+1),(((D9622/100)*(C9622*VLOOKUP(B9622,'Poids des runes'!A:B,2,FALSE)))+1)/VLOOKUP(B9622,'Poids des runes'!A:B,2,FALSE))</f>
        <v>26.1</v>
      </c>
      <c r="F9622">
        <f t="shared" si="150"/>
        <v>26.1</v>
      </c>
    </row>
    <row r="9623" spans="1:6" x14ac:dyDescent="0.3">
      <c r="A9623" t="s">
        <v>1519</v>
      </c>
      <c r="B9623" t="s">
        <v>2142</v>
      </c>
      <c r="C9623">
        <v>18</v>
      </c>
      <c r="D9623">
        <v>200</v>
      </c>
      <c r="E9623">
        <f>IF(OR(B9623="vi",B9623="ii",B9623="pod"),(((D9623/100)*(C9623*VLOOKUP(B9623,'Poids des runes'!A:B,2,FALSE)))+1),(((D9623/100)*(C9623*VLOOKUP(B9623,'Poids des runes'!A:B,2,FALSE)))+1)/VLOOKUP(B9623,'Poids des runes'!A:B,2,FALSE))</f>
        <v>36.200000000000003</v>
      </c>
      <c r="F9623">
        <f t="shared" si="150"/>
        <v>36.200000000000003</v>
      </c>
    </row>
    <row r="9624" spans="1:6" x14ac:dyDescent="0.3">
      <c r="A9624" t="s">
        <v>1519</v>
      </c>
      <c r="B9624" t="s">
        <v>2147</v>
      </c>
      <c r="C9624">
        <v>8.5</v>
      </c>
      <c r="D9624">
        <v>200</v>
      </c>
      <c r="E9624">
        <f>IF(OR(B9624="vi",B9624="ii",B9624="pod"),(((D9624/100)*(C9624*VLOOKUP(B9624,'Poids des runes'!A:B,2,FALSE)))+1),(((D9624/100)*(C9624*VLOOKUP(B9624,'Poids des runes'!A:B,2,FALSE)))+1)/VLOOKUP(B9624,'Poids des runes'!A:B,2,FALSE))</f>
        <v>17.166666666666668</v>
      </c>
      <c r="F9624">
        <f t="shared" si="150"/>
        <v>17.166666666666668</v>
      </c>
    </row>
    <row r="9625" spans="1:6" x14ac:dyDescent="0.3">
      <c r="A9625" t="s">
        <v>1520</v>
      </c>
      <c r="B9625" t="s">
        <v>2128</v>
      </c>
      <c r="C9625">
        <v>325.5</v>
      </c>
      <c r="D9625">
        <v>200</v>
      </c>
      <c r="E9625">
        <f>IF(OR(B9625="vi",B9625="ii",B9625="pod"),(((D9625/100)*(C9625*VLOOKUP(B9625,'Poids des runes'!A:B,2,FALSE)))+1),(((D9625/100)*(C9625*VLOOKUP(B9625,'Poids des runes'!A:B,2,FALSE)))+1)/VLOOKUP(B9625,'Poids des runes'!A:B,2,FALSE))</f>
        <v>131.20000000000002</v>
      </c>
      <c r="F9625">
        <f t="shared" si="150"/>
        <v>131.20000000000002</v>
      </c>
    </row>
    <row r="9626" spans="1:6" x14ac:dyDescent="0.3">
      <c r="A9626" t="s">
        <v>1520</v>
      </c>
      <c r="B9626" t="s">
        <v>2126</v>
      </c>
      <c r="C9626">
        <v>50.5</v>
      </c>
      <c r="D9626">
        <v>200</v>
      </c>
      <c r="E9626">
        <f>IF(OR(B9626="vi",B9626="ii",B9626="pod"),(((D9626/100)*(C9626*VLOOKUP(B9626,'Poids des runes'!A:B,2,FALSE)))+1),(((D9626/100)*(C9626*VLOOKUP(B9626,'Poids des runes'!A:B,2,FALSE)))+1)/VLOOKUP(B9626,'Poids des runes'!A:B,2,FALSE))</f>
        <v>102</v>
      </c>
      <c r="F9626">
        <f t="shared" si="150"/>
        <v>102</v>
      </c>
    </row>
    <row r="9627" spans="1:6" x14ac:dyDescent="0.3">
      <c r="A9627" t="s">
        <v>1520</v>
      </c>
      <c r="B9627" t="s">
        <v>2131</v>
      </c>
      <c r="C9627">
        <v>50.5</v>
      </c>
      <c r="D9627">
        <v>200</v>
      </c>
      <c r="E9627">
        <f>IF(OR(B9627="vi",B9627="ii",B9627="pod"),(((D9627/100)*(C9627*VLOOKUP(B9627,'Poids des runes'!A:B,2,FALSE)))+1),(((D9627/100)*(C9627*VLOOKUP(B9627,'Poids des runes'!A:B,2,FALSE)))+1)/VLOOKUP(B9627,'Poids des runes'!A:B,2,FALSE))</f>
        <v>102</v>
      </c>
      <c r="F9627">
        <f t="shared" si="150"/>
        <v>102</v>
      </c>
    </row>
    <row r="9628" spans="1:6" x14ac:dyDescent="0.3">
      <c r="A9628" t="s">
        <v>1520</v>
      </c>
      <c r="B9628" t="s">
        <v>2129</v>
      </c>
      <c r="C9628">
        <v>35.5</v>
      </c>
      <c r="D9628">
        <v>200</v>
      </c>
      <c r="E9628">
        <f>IF(OR(B9628="vi",B9628="ii",B9628="pod"),(((D9628/100)*(C9628*VLOOKUP(B9628,'Poids des runes'!A:B,2,FALSE)))+1),(((D9628/100)*(C9628*VLOOKUP(B9628,'Poids des runes'!A:B,2,FALSE)))+1)/VLOOKUP(B9628,'Poids des runes'!A:B,2,FALSE))</f>
        <v>72</v>
      </c>
      <c r="F9628">
        <f t="shared" si="150"/>
        <v>72</v>
      </c>
    </row>
    <row r="9629" spans="1:6" x14ac:dyDescent="0.3">
      <c r="A9629" t="s">
        <v>1520</v>
      </c>
      <c r="B9629" t="s">
        <v>2151</v>
      </c>
      <c r="C9629">
        <v>3.5</v>
      </c>
      <c r="D9629">
        <v>200</v>
      </c>
      <c r="E9629">
        <f>IF(OR(B9629="vi",B9629="ii",B9629="pod"),(((D9629/100)*(C9629*VLOOKUP(B9629,'Poids des runes'!A:B,2,FALSE)))+1),(((D9629/100)*(C9629*VLOOKUP(B9629,'Poids des runes'!A:B,2,FALSE)))+1)/VLOOKUP(B9629,'Poids des runes'!A:B,2,FALSE))</f>
        <v>7.1</v>
      </c>
      <c r="F9629">
        <f t="shared" si="150"/>
        <v>7.1</v>
      </c>
    </row>
    <row r="9630" spans="1:6" x14ac:dyDescent="0.3">
      <c r="A9630" t="s">
        <v>1520</v>
      </c>
      <c r="B9630" t="s">
        <v>2152</v>
      </c>
      <c r="C9630">
        <v>1</v>
      </c>
      <c r="D9630">
        <v>200</v>
      </c>
      <c r="E9630">
        <f>IF(OR(B9630="vi",B9630="ii",B9630="pod"),(((D9630/100)*(C9630*VLOOKUP(B9630,'Poids des runes'!A:B,2,FALSE)))+1),(((D9630/100)*(C9630*VLOOKUP(B9630,'Poids des runes'!A:B,2,FALSE)))+1)/VLOOKUP(B9630,'Poids des runes'!A:B,2,FALSE))</f>
        <v>2.0099999999999998</v>
      </c>
      <c r="F9630">
        <f t="shared" si="150"/>
        <v>2.0099999999999998</v>
      </c>
    </row>
    <row r="9631" spans="1:6" x14ac:dyDescent="0.3">
      <c r="A9631" t="s">
        <v>1520</v>
      </c>
      <c r="B9631" t="s">
        <v>2155</v>
      </c>
      <c r="C9631">
        <v>1</v>
      </c>
      <c r="D9631">
        <v>200</v>
      </c>
      <c r="E9631">
        <f>IF(OR(B9631="vi",B9631="ii",B9631="pod"),(((D9631/100)*(C9631*VLOOKUP(B9631,'Poids des runes'!A:B,2,FALSE)))+1),(((D9631/100)*(C9631*VLOOKUP(B9631,'Poids des runes'!A:B,2,FALSE)))+1)/VLOOKUP(B9631,'Poids des runes'!A:B,2,FALSE))</f>
        <v>2.0196078431372548</v>
      </c>
      <c r="F9631">
        <f t="shared" si="150"/>
        <v>2.0196078431372548</v>
      </c>
    </row>
    <row r="9632" spans="1:6" x14ac:dyDescent="0.3">
      <c r="A9632" t="s">
        <v>1520</v>
      </c>
      <c r="B9632" t="s">
        <v>2140</v>
      </c>
      <c r="C9632">
        <v>18</v>
      </c>
      <c r="D9632">
        <v>200</v>
      </c>
      <c r="E9632">
        <f>IF(OR(B9632="vi",B9632="ii",B9632="pod"),(((D9632/100)*(C9632*VLOOKUP(B9632,'Poids des runes'!A:B,2,FALSE)))+1),(((D9632/100)*(C9632*VLOOKUP(B9632,'Poids des runes'!A:B,2,FALSE)))+1)/VLOOKUP(B9632,'Poids des runes'!A:B,2,FALSE))</f>
        <v>36.200000000000003</v>
      </c>
      <c r="F9632">
        <f t="shared" si="150"/>
        <v>36.200000000000003</v>
      </c>
    </row>
    <row r="9633" spans="1:6" x14ac:dyDescent="0.3">
      <c r="A9633" t="s">
        <v>1520</v>
      </c>
      <c r="B9633" t="s">
        <v>2133</v>
      </c>
      <c r="C9633">
        <v>18</v>
      </c>
      <c r="D9633">
        <v>200</v>
      </c>
      <c r="E9633">
        <f>IF(OR(B9633="vi",B9633="ii",B9633="pod"),(((D9633/100)*(C9633*VLOOKUP(B9633,'Poids des runes'!A:B,2,FALSE)))+1),(((D9633/100)*(C9633*VLOOKUP(B9633,'Poids des runes'!A:B,2,FALSE)))+1)/VLOOKUP(B9633,'Poids des runes'!A:B,2,FALSE))</f>
        <v>36.200000000000003</v>
      </c>
      <c r="F9633">
        <f t="shared" si="150"/>
        <v>36.200000000000003</v>
      </c>
    </row>
    <row r="9634" spans="1:6" x14ac:dyDescent="0.3">
      <c r="A9634" t="s">
        <v>1520</v>
      </c>
      <c r="B9634" t="s">
        <v>2156</v>
      </c>
      <c r="C9634">
        <v>6</v>
      </c>
      <c r="D9634">
        <v>200</v>
      </c>
      <c r="E9634">
        <f>IF(OR(B9634="vi",B9634="ii",B9634="pod"),(((D9634/100)*(C9634*VLOOKUP(B9634,'Poids des runes'!A:B,2,FALSE)))+1),(((D9634/100)*(C9634*VLOOKUP(B9634,'Poids des runes'!A:B,2,FALSE)))+1)/VLOOKUP(B9634,'Poids des runes'!A:B,2,FALSE))</f>
        <v>12.166666666666666</v>
      </c>
      <c r="F9634">
        <f t="shared" si="150"/>
        <v>12.166666666666666</v>
      </c>
    </row>
    <row r="9635" spans="1:6" x14ac:dyDescent="0.3">
      <c r="A9635" t="s">
        <v>1520</v>
      </c>
      <c r="B9635" t="s">
        <v>2148</v>
      </c>
      <c r="C9635">
        <v>6</v>
      </c>
      <c r="D9635">
        <v>200</v>
      </c>
      <c r="E9635">
        <f>IF(OR(B9635="vi",B9635="ii",B9635="pod"),(((D9635/100)*(C9635*VLOOKUP(B9635,'Poids des runes'!A:B,2,FALSE)))+1),(((D9635/100)*(C9635*VLOOKUP(B9635,'Poids des runes'!A:B,2,FALSE)))+1)/VLOOKUP(B9635,'Poids des runes'!A:B,2,FALSE))</f>
        <v>12.166666666666666</v>
      </c>
      <c r="F9635">
        <f t="shared" si="150"/>
        <v>12.166666666666666</v>
      </c>
    </row>
    <row r="9636" spans="1:6" x14ac:dyDescent="0.3">
      <c r="A9636" t="s">
        <v>1521</v>
      </c>
      <c r="B9636" t="s">
        <v>2128</v>
      </c>
      <c r="C9636">
        <v>275.5</v>
      </c>
      <c r="D9636">
        <v>200</v>
      </c>
      <c r="E9636">
        <f>IF(OR(B9636="vi",B9636="ii",B9636="pod"),(((D9636/100)*(C9636*VLOOKUP(B9636,'Poids des runes'!A:B,2,FALSE)))+1),(((D9636/100)*(C9636*VLOOKUP(B9636,'Poids des runes'!A:B,2,FALSE)))+1)/VLOOKUP(B9636,'Poids des runes'!A:B,2,FALSE))</f>
        <v>111.2</v>
      </c>
      <c r="F9636">
        <f t="shared" si="150"/>
        <v>111.2</v>
      </c>
    </row>
    <row r="9637" spans="1:6" x14ac:dyDescent="0.3">
      <c r="A9637" t="s">
        <v>1521</v>
      </c>
      <c r="B9637" t="s">
        <v>2130</v>
      </c>
      <c r="C9637">
        <v>40.5</v>
      </c>
      <c r="D9637">
        <v>200</v>
      </c>
      <c r="E9637">
        <f>IF(OR(B9637="vi",B9637="ii",B9637="pod"),(((D9637/100)*(C9637*VLOOKUP(B9637,'Poids des runes'!A:B,2,FALSE)))+1),(((D9637/100)*(C9637*VLOOKUP(B9637,'Poids des runes'!A:B,2,FALSE)))+1)/VLOOKUP(B9637,'Poids des runes'!A:B,2,FALSE))</f>
        <v>82</v>
      </c>
      <c r="F9637">
        <f t="shared" si="150"/>
        <v>82</v>
      </c>
    </row>
    <row r="9638" spans="1:6" x14ac:dyDescent="0.3">
      <c r="A9638" t="s">
        <v>1521</v>
      </c>
      <c r="B9638" t="s">
        <v>2155</v>
      </c>
      <c r="C9638">
        <v>1</v>
      </c>
      <c r="D9638">
        <v>200</v>
      </c>
      <c r="E9638">
        <f>IF(OR(B9638="vi",B9638="ii",B9638="pod"),(((D9638/100)*(C9638*VLOOKUP(B9638,'Poids des runes'!A:B,2,FALSE)))+1),(((D9638/100)*(C9638*VLOOKUP(B9638,'Poids des runes'!A:B,2,FALSE)))+1)/VLOOKUP(B9638,'Poids des runes'!A:B,2,FALSE))</f>
        <v>2.0196078431372548</v>
      </c>
      <c r="F9638">
        <f t="shared" si="150"/>
        <v>2.0196078431372548</v>
      </c>
    </row>
    <row r="9639" spans="1:6" x14ac:dyDescent="0.3">
      <c r="A9639" t="s">
        <v>1521</v>
      </c>
      <c r="B9639" t="s">
        <v>2150</v>
      </c>
      <c r="C9639">
        <v>1.5</v>
      </c>
      <c r="D9639">
        <v>200</v>
      </c>
      <c r="E9639">
        <f>IF(OR(B9639="vi",B9639="ii",B9639="pod"),(((D9639/100)*(C9639*VLOOKUP(B9639,'Poids des runes'!A:B,2,FALSE)))+1),(((D9639/100)*(C9639*VLOOKUP(B9639,'Poids des runes'!A:B,2,FALSE)))+1)/VLOOKUP(B9639,'Poids des runes'!A:B,2,FALSE))</f>
        <v>3.0333333333333332</v>
      </c>
      <c r="F9639">
        <f t="shared" si="150"/>
        <v>3.0333333333333332</v>
      </c>
    </row>
    <row r="9640" spans="1:6" x14ac:dyDescent="0.3">
      <c r="A9640" t="s">
        <v>1521</v>
      </c>
      <c r="B9640" t="s">
        <v>2143</v>
      </c>
      <c r="C9640">
        <v>4</v>
      </c>
      <c r="D9640">
        <v>200</v>
      </c>
      <c r="E9640">
        <f>IF(OR(B9640="vi",B9640="ii",B9640="pod"),(((D9640/100)*(C9640*VLOOKUP(B9640,'Poids des runes'!A:B,2,FALSE)))+1),(((D9640/100)*(C9640*VLOOKUP(B9640,'Poids des runes'!A:B,2,FALSE)))+1)/VLOOKUP(B9640,'Poids des runes'!A:B,2,FALSE))</f>
        <v>8.1999999999999993</v>
      </c>
      <c r="F9640">
        <f t="shared" si="150"/>
        <v>8.1999999999999993</v>
      </c>
    </row>
    <row r="9641" spans="1:6" x14ac:dyDescent="0.3">
      <c r="A9641" t="s">
        <v>1521</v>
      </c>
      <c r="B9641" t="s">
        <v>2132</v>
      </c>
      <c r="C9641">
        <v>400.5</v>
      </c>
      <c r="D9641">
        <v>200</v>
      </c>
      <c r="E9641">
        <f>IF(OR(B9641="vi",B9641="ii",B9641="pod"),(((D9641/100)*(C9641*VLOOKUP(B9641,'Poids des runes'!A:B,2,FALSE)))+1),(((D9641/100)*(C9641*VLOOKUP(B9641,'Poids des runes'!A:B,2,FALSE)))+1)/VLOOKUP(B9641,'Poids des runes'!A:B,2,FALSE))</f>
        <v>81.100000000000009</v>
      </c>
      <c r="F9641">
        <f t="shared" si="150"/>
        <v>81.100000000000009</v>
      </c>
    </row>
    <row r="9642" spans="1:6" x14ac:dyDescent="0.3">
      <c r="A9642" t="s">
        <v>1521</v>
      </c>
      <c r="B9642" t="s">
        <v>2165</v>
      </c>
      <c r="C9642">
        <v>6</v>
      </c>
      <c r="D9642">
        <v>200</v>
      </c>
      <c r="E9642">
        <f>IF(OR(B9642="vi",B9642="ii",B9642="pod"),(((D9642/100)*(C9642*VLOOKUP(B9642,'Poids des runes'!A:B,2,FALSE)))+1),(((D9642/100)*(C9642*VLOOKUP(B9642,'Poids des runes'!A:B,2,FALSE)))+1)/VLOOKUP(B9642,'Poids des runes'!A:B,2,FALSE))</f>
        <v>12.142857142857142</v>
      </c>
      <c r="F9642">
        <f t="shared" si="150"/>
        <v>12.142857142857142</v>
      </c>
    </row>
    <row r="9643" spans="1:6" x14ac:dyDescent="0.3">
      <c r="A9643" t="s">
        <v>1521</v>
      </c>
      <c r="B9643" t="s">
        <v>2148</v>
      </c>
      <c r="C9643">
        <v>5</v>
      </c>
      <c r="D9643">
        <v>200</v>
      </c>
      <c r="E9643">
        <f>IF(OR(B9643="vi",B9643="ii",B9643="pod"),(((D9643/100)*(C9643*VLOOKUP(B9643,'Poids des runes'!A:B,2,FALSE)))+1),(((D9643/100)*(C9643*VLOOKUP(B9643,'Poids des runes'!A:B,2,FALSE)))+1)/VLOOKUP(B9643,'Poids des runes'!A:B,2,FALSE))</f>
        <v>10.166666666666666</v>
      </c>
      <c r="F9643">
        <f t="shared" si="150"/>
        <v>10.166666666666666</v>
      </c>
    </row>
    <row r="9644" spans="1:6" x14ac:dyDescent="0.3">
      <c r="A9644" t="s">
        <v>1521</v>
      </c>
      <c r="B9644" t="s">
        <v>2157</v>
      </c>
      <c r="C9644">
        <v>5</v>
      </c>
      <c r="D9644">
        <v>200</v>
      </c>
      <c r="E9644">
        <f>IF(OR(B9644="vi",B9644="ii",B9644="pod"),(((D9644/100)*(C9644*VLOOKUP(B9644,'Poids des runes'!A:B,2,FALSE)))+1),(((D9644/100)*(C9644*VLOOKUP(B9644,'Poids des runes'!A:B,2,FALSE)))+1)/VLOOKUP(B9644,'Poids des runes'!A:B,2,FALSE))</f>
        <v>10.166666666666666</v>
      </c>
      <c r="F9644">
        <f t="shared" si="150"/>
        <v>10.166666666666666</v>
      </c>
    </row>
    <row r="9645" spans="1:6" x14ac:dyDescent="0.3">
      <c r="A9645" t="s">
        <v>1522</v>
      </c>
      <c r="B9645" t="s">
        <v>2128</v>
      </c>
      <c r="C9645">
        <v>375.5</v>
      </c>
      <c r="D9645">
        <v>200</v>
      </c>
      <c r="E9645">
        <f>IF(OR(B9645="vi",B9645="ii",B9645="pod"),(((D9645/100)*(C9645*VLOOKUP(B9645,'Poids des runes'!A:B,2,FALSE)))+1),(((D9645/100)*(C9645*VLOOKUP(B9645,'Poids des runes'!A:B,2,FALSE)))+1)/VLOOKUP(B9645,'Poids des runes'!A:B,2,FALSE))</f>
        <v>151.20000000000002</v>
      </c>
      <c r="F9645">
        <f t="shared" si="150"/>
        <v>151.20000000000002</v>
      </c>
    </row>
    <row r="9646" spans="1:6" x14ac:dyDescent="0.3">
      <c r="A9646" t="s">
        <v>1522</v>
      </c>
      <c r="B9646" t="s">
        <v>2130</v>
      </c>
      <c r="C9646">
        <v>60.5</v>
      </c>
      <c r="D9646">
        <v>200</v>
      </c>
      <c r="E9646">
        <f>IF(OR(B9646="vi",B9646="ii",B9646="pod"),(((D9646/100)*(C9646*VLOOKUP(B9646,'Poids des runes'!A:B,2,FALSE)))+1),(((D9646/100)*(C9646*VLOOKUP(B9646,'Poids des runes'!A:B,2,FALSE)))+1)/VLOOKUP(B9646,'Poids des runes'!A:B,2,FALSE))</f>
        <v>122</v>
      </c>
      <c r="F9646">
        <f t="shared" si="150"/>
        <v>122</v>
      </c>
    </row>
    <row r="9647" spans="1:6" x14ac:dyDescent="0.3">
      <c r="A9647" t="s">
        <v>1522</v>
      </c>
      <c r="B9647" t="s">
        <v>2129</v>
      </c>
      <c r="C9647">
        <v>25.5</v>
      </c>
      <c r="D9647">
        <v>200</v>
      </c>
      <c r="E9647">
        <f>IF(OR(B9647="vi",B9647="ii",B9647="pod"),(((D9647/100)*(C9647*VLOOKUP(B9647,'Poids des runes'!A:B,2,FALSE)))+1),(((D9647/100)*(C9647*VLOOKUP(B9647,'Poids des runes'!A:B,2,FALSE)))+1)/VLOOKUP(B9647,'Poids des runes'!A:B,2,FALSE))</f>
        <v>52</v>
      </c>
      <c r="F9647">
        <f t="shared" si="150"/>
        <v>52</v>
      </c>
    </row>
    <row r="9648" spans="1:6" x14ac:dyDescent="0.3">
      <c r="A9648" t="s">
        <v>1522</v>
      </c>
      <c r="B9648" t="s">
        <v>2154</v>
      </c>
      <c r="C9648">
        <v>1</v>
      </c>
      <c r="D9648">
        <v>200</v>
      </c>
      <c r="E9648">
        <f>IF(OR(B9648="vi",B9648="ii",B9648="pod"),(((D9648/100)*(C9648*VLOOKUP(B9648,'Poids des runes'!A:B,2,FALSE)))+1),(((D9648/100)*(C9648*VLOOKUP(B9648,'Poids des runes'!A:B,2,FALSE)))+1)/VLOOKUP(B9648,'Poids des runes'!A:B,2,FALSE))</f>
        <v>2.0111111111111111</v>
      </c>
      <c r="F9648">
        <f t="shared" si="150"/>
        <v>2.0111111111111111</v>
      </c>
    </row>
    <row r="9649" spans="1:6" x14ac:dyDescent="0.3">
      <c r="A9649" t="s">
        <v>1522</v>
      </c>
      <c r="B9649" t="s">
        <v>2143</v>
      </c>
      <c r="C9649">
        <v>13</v>
      </c>
      <c r="D9649">
        <v>200</v>
      </c>
      <c r="E9649">
        <f>IF(OR(B9649="vi",B9649="ii",B9649="pod"),(((D9649/100)*(C9649*VLOOKUP(B9649,'Poids des runes'!A:B,2,FALSE)))+1),(((D9649/100)*(C9649*VLOOKUP(B9649,'Poids des runes'!A:B,2,FALSE)))+1)/VLOOKUP(B9649,'Poids des runes'!A:B,2,FALSE))</f>
        <v>26.2</v>
      </c>
      <c r="F9649">
        <f t="shared" si="150"/>
        <v>26.2</v>
      </c>
    </row>
    <row r="9650" spans="1:6" x14ac:dyDescent="0.3">
      <c r="A9650" t="s">
        <v>1522</v>
      </c>
      <c r="B9650" t="s">
        <v>2132</v>
      </c>
      <c r="C9650">
        <v>350.5</v>
      </c>
      <c r="D9650">
        <v>200</v>
      </c>
      <c r="E9650">
        <f>IF(OR(B9650="vi",B9650="ii",B9650="pod"),(((D9650/100)*(C9650*VLOOKUP(B9650,'Poids des runes'!A:B,2,FALSE)))+1),(((D9650/100)*(C9650*VLOOKUP(B9650,'Poids des runes'!A:B,2,FALSE)))+1)/VLOOKUP(B9650,'Poids des runes'!A:B,2,FALSE))</f>
        <v>71.100000000000009</v>
      </c>
      <c r="F9650">
        <f t="shared" si="150"/>
        <v>71.100000000000009</v>
      </c>
    </row>
    <row r="9651" spans="1:6" x14ac:dyDescent="0.3">
      <c r="A9651" t="s">
        <v>1522</v>
      </c>
      <c r="B9651" t="s">
        <v>2141</v>
      </c>
      <c r="C9651">
        <v>6</v>
      </c>
      <c r="D9651">
        <v>200</v>
      </c>
      <c r="E9651">
        <f>IF(OR(B9651="vi",B9651="ii",B9651="pod"),(((D9651/100)*(C9651*VLOOKUP(B9651,'Poids des runes'!A:B,2,FALSE)))+1),(((D9651/100)*(C9651*VLOOKUP(B9651,'Poids des runes'!A:B,2,FALSE)))+1)/VLOOKUP(B9651,'Poids des runes'!A:B,2,FALSE))</f>
        <v>12.25</v>
      </c>
      <c r="F9651">
        <f t="shared" si="150"/>
        <v>12.25</v>
      </c>
    </row>
    <row r="9652" spans="1:6" x14ac:dyDescent="0.3">
      <c r="A9652" t="s">
        <v>1522</v>
      </c>
      <c r="B9652" t="s">
        <v>2165</v>
      </c>
      <c r="C9652">
        <v>6</v>
      </c>
      <c r="D9652">
        <v>200</v>
      </c>
      <c r="E9652">
        <f>IF(OR(B9652="vi",B9652="ii",B9652="pod"),(((D9652/100)*(C9652*VLOOKUP(B9652,'Poids des runes'!A:B,2,FALSE)))+1),(((D9652/100)*(C9652*VLOOKUP(B9652,'Poids des runes'!A:B,2,FALSE)))+1)/VLOOKUP(B9652,'Poids des runes'!A:B,2,FALSE))</f>
        <v>12.142857142857142</v>
      </c>
      <c r="F9652">
        <f t="shared" si="150"/>
        <v>12.142857142857142</v>
      </c>
    </row>
    <row r="9653" spans="1:6" x14ac:dyDescent="0.3">
      <c r="A9653" t="s">
        <v>1522</v>
      </c>
      <c r="B9653" t="s">
        <v>2148</v>
      </c>
      <c r="C9653">
        <v>6.5</v>
      </c>
      <c r="D9653">
        <v>200</v>
      </c>
      <c r="E9653">
        <f>IF(OR(B9653="vi",B9653="ii",B9653="pod"),(((D9653/100)*(C9653*VLOOKUP(B9653,'Poids des runes'!A:B,2,FALSE)))+1),(((D9653/100)*(C9653*VLOOKUP(B9653,'Poids des runes'!A:B,2,FALSE)))+1)/VLOOKUP(B9653,'Poids des runes'!A:B,2,FALSE))</f>
        <v>13.166666666666666</v>
      </c>
      <c r="F9653">
        <f t="shared" si="150"/>
        <v>13.166666666666666</v>
      </c>
    </row>
    <row r="9654" spans="1:6" x14ac:dyDescent="0.3">
      <c r="A9654" t="s">
        <v>1522</v>
      </c>
      <c r="B9654" t="s">
        <v>2157</v>
      </c>
      <c r="C9654">
        <v>8.5</v>
      </c>
      <c r="D9654">
        <v>200</v>
      </c>
      <c r="E9654">
        <f>IF(OR(B9654="vi",B9654="ii",B9654="pod"),(((D9654/100)*(C9654*VLOOKUP(B9654,'Poids des runes'!A:B,2,FALSE)))+1),(((D9654/100)*(C9654*VLOOKUP(B9654,'Poids des runes'!A:B,2,FALSE)))+1)/VLOOKUP(B9654,'Poids des runes'!A:B,2,FALSE))</f>
        <v>17.166666666666668</v>
      </c>
      <c r="F9654">
        <f t="shared" si="150"/>
        <v>17.166666666666668</v>
      </c>
    </row>
    <row r="9655" spans="1:6" x14ac:dyDescent="0.3">
      <c r="A9655" t="s">
        <v>1522</v>
      </c>
      <c r="B9655" t="s">
        <v>2136</v>
      </c>
      <c r="C9655">
        <v>8.5</v>
      </c>
      <c r="D9655">
        <v>200</v>
      </c>
      <c r="E9655">
        <f>IF(OR(B9655="vi",B9655="ii",B9655="pod"),(((D9655/100)*(C9655*VLOOKUP(B9655,'Poids des runes'!A:B,2,FALSE)))+1),(((D9655/100)*(C9655*VLOOKUP(B9655,'Poids des runes'!A:B,2,FALSE)))+1)/VLOOKUP(B9655,'Poids des runes'!A:B,2,FALSE))</f>
        <v>17.5</v>
      </c>
      <c r="F9655">
        <f t="shared" si="150"/>
        <v>17.5</v>
      </c>
    </row>
    <row r="9656" spans="1:6" x14ac:dyDescent="0.3">
      <c r="A9656" t="s">
        <v>1522</v>
      </c>
      <c r="B9656" t="s">
        <v>2137</v>
      </c>
      <c r="C9656">
        <v>8.5</v>
      </c>
      <c r="D9656">
        <v>200</v>
      </c>
      <c r="E9656">
        <f>IF(OR(B9656="vi",B9656="ii",B9656="pod"),(((D9656/100)*(C9656*VLOOKUP(B9656,'Poids des runes'!A:B,2,FALSE)))+1),(((D9656/100)*(C9656*VLOOKUP(B9656,'Poids des runes'!A:B,2,FALSE)))+1)/VLOOKUP(B9656,'Poids des runes'!A:B,2,FALSE))</f>
        <v>17.5</v>
      </c>
      <c r="F9656">
        <f t="shared" si="150"/>
        <v>17.5</v>
      </c>
    </row>
    <row r="9657" spans="1:6" x14ac:dyDescent="0.3">
      <c r="A9657" t="s">
        <v>1523</v>
      </c>
      <c r="B9657" t="s">
        <v>2128</v>
      </c>
      <c r="C9657">
        <v>325.5</v>
      </c>
      <c r="D9657">
        <v>200</v>
      </c>
      <c r="E9657">
        <f>IF(OR(B9657="vi",B9657="ii",B9657="pod"),(((D9657/100)*(C9657*VLOOKUP(B9657,'Poids des runes'!A:B,2,FALSE)))+1),(((D9657/100)*(C9657*VLOOKUP(B9657,'Poids des runes'!A:B,2,FALSE)))+1)/VLOOKUP(B9657,'Poids des runes'!A:B,2,FALSE))</f>
        <v>131.20000000000002</v>
      </c>
      <c r="F9657">
        <f t="shared" si="150"/>
        <v>131.20000000000002</v>
      </c>
    </row>
    <row r="9658" spans="1:6" x14ac:dyDescent="0.3">
      <c r="A9658" t="s">
        <v>1523</v>
      </c>
      <c r="B9658" t="s">
        <v>2130</v>
      </c>
      <c r="C9658">
        <v>70.5</v>
      </c>
      <c r="D9658">
        <v>200</v>
      </c>
      <c r="E9658">
        <f>IF(OR(B9658="vi",B9658="ii",B9658="pod"),(((D9658/100)*(C9658*VLOOKUP(B9658,'Poids des runes'!A:B,2,FALSE)))+1),(((D9658/100)*(C9658*VLOOKUP(B9658,'Poids des runes'!A:B,2,FALSE)))+1)/VLOOKUP(B9658,'Poids des runes'!A:B,2,FALSE))</f>
        <v>142</v>
      </c>
      <c r="F9658">
        <f t="shared" si="150"/>
        <v>142</v>
      </c>
    </row>
    <row r="9659" spans="1:6" x14ac:dyDescent="0.3">
      <c r="A9659" t="s">
        <v>1523</v>
      </c>
      <c r="B9659" t="s">
        <v>2129</v>
      </c>
      <c r="C9659">
        <v>25.5</v>
      </c>
      <c r="D9659">
        <v>200</v>
      </c>
      <c r="E9659">
        <f>IF(OR(B9659="vi",B9659="ii",B9659="pod"),(((D9659/100)*(C9659*VLOOKUP(B9659,'Poids des runes'!A:B,2,FALSE)))+1),(((D9659/100)*(C9659*VLOOKUP(B9659,'Poids des runes'!A:B,2,FALSE)))+1)/VLOOKUP(B9659,'Poids des runes'!A:B,2,FALSE))</f>
        <v>52</v>
      </c>
      <c r="F9659">
        <f t="shared" si="150"/>
        <v>52</v>
      </c>
    </row>
    <row r="9660" spans="1:6" x14ac:dyDescent="0.3">
      <c r="A9660" t="s">
        <v>1523</v>
      </c>
      <c r="B9660" t="s">
        <v>2152</v>
      </c>
      <c r="C9660">
        <v>1</v>
      </c>
      <c r="D9660">
        <v>200</v>
      </c>
      <c r="E9660">
        <f>IF(OR(B9660="vi",B9660="ii",B9660="pod"),(((D9660/100)*(C9660*VLOOKUP(B9660,'Poids des runes'!A:B,2,FALSE)))+1),(((D9660/100)*(C9660*VLOOKUP(B9660,'Poids des runes'!A:B,2,FALSE)))+1)/VLOOKUP(B9660,'Poids des runes'!A:B,2,FALSE))</f>
        <v>2.0099999999999998</v>
      </c>
      <c r="F9660">
        <f t="shared" si="150"/>
        <v>2.0099999999999998</v>
      </c>
    </row>
    <row r="9661" spans="1:6" x14ac:dyDescent="0.3">
      <c r="A9661" t="s">
        <v>1523</v>
      </c>
      <c r="B9661" t="s">
        <v>2155</v>
      </c>
      <c r="C9661">
        <v>1</v>
      </c>
      <c r="D9661">
        <v>200</v>
      </c>
      <c r="E9661">
        <f>IF(OR(B9661="vi",B9661="ii",B9661="pod"),(((D9661/100)*(C9661*VLOOKUP(B9661,'Poids des runes'!A:B,2,FALSE)))+1),(((D9661/100)*(C9661*VLOOKUP(B9661,'Poids des runes'!A:B,2,FALSE)))+1)/VLOOKUP(B9661,'Poids des runes'!A:B,2,FALSE))</f>
        <v>2.0196078431372548</v>
      </c>
      <c r="F9661">
        <f t="shared" si="150"/>
        <v>2.0196078431372548</v>
      </c>
    </row>
    <row r="9662" spans="1:6" x14ac:dyDescent="0.3">
      <c r="A9662" t="s">
        <v>1523</v>
      </c>
      <c r="B9662" t="s">
        <v>2143</v>
      </c>
      <c r="C9662">
        <v>13</v>
      </c>
      <c r="D9662">
        <v>200</v>
      </c>
      <c r="E9662">
        <f>IF(OR(B9662="vi",B9662="ii",B9662="pod"),(((D9662/100)*(C9662*VLOOKUP(B9662,'Poids des runes'!A:B,2,FALSE)))+1),(((D9662/100)*(C9662*VLOOKUP(B9662,'Poids des runes'!A:B,2,FALSE)))+1)/VLOOKUP(B9662,'Poids des runes'!A:B,2,FALSE))</f>
        <v>26.2</v>
      </c>
      <c r="F9662">
        <f t="shared" si="150"/>
        <v>26.2</v>
      </c>
    </row>
    <row r="9663" spans="1:6" x14ac:dyDescent="0.3">
      <c r="A9663" t="s">
        <v>1523</v>
      </c>
      <c r="B9663" t="s">
        <v>2161</v>
      </c>
      <c r="C9663">
        <v>8</v>
      </c>
      <c r="D9663">
        <v>200</v>
      </c>
      <c r="E9663">
        <f>IF(OR(B9663="vi",B9663="ii",B9663="pod"),(((D9663/100)*(C9663*VLOOKUP(B9663,'Poids des runes'!A:B,2,FALSE)))+1),(((D9663/100)*(C9663*VLOOKUP(B9663,'Poids des runes'!A:B,2,FALSE)))+1)/VLOOKUP(B9663,'Poids des runes'!A:B,2,FALSE))</f>
        <v>16.333333333333332</v>
      </c>
      <c r="F9663">
        <f t="shared" si="150"/>
        <v>16.333333333333332</v>
      </c>
    </row>
    <row r="9664" spans="1:6" x14ac:dyDescent="0.3">
      <c r="A9664" t="s">
        <v>1523</v>
      </c>
      <c r="B9664" t="s">
        <v>2132</v>
      </c>
      <c r="C9664">
        <v>350.5</v>
      </c>
      <c r="D9664">
        <v>200</v>
      </c>
      <c r="E9664">
        <f>IF(OR(B9664="vi",B9664="ii",B9664="pod"),(((D9664/100)*(C9664*VLOOKUP(B9664,'Poids des runes'!A:B,2,FALSE)))+1),(((D9664/100)*(C9664*VLOOKUP(B9664,'Poids des runes'!A:B,2,FALSE)))+1)/VLOOKUP(B9664,'Poids des runes'!A:B,2,FALSE))</f>
        <v>71.100000000000009</v>
      </c>
      <c r="F9664">
        <f t="shared" si="150"/>
        <v>71.100000000000009</v>
      </c>
    </row>
    <row r="9665" spans="1:6" x14ac:dyDescent="0.3">
      <c r="A9665" t="s">
        <v>1523</v>
      </c>
      <c r="B9665" t="s">
        <v>2141</v>
      </c>
      <c r="C9665">
        <v>6</v>
      </c>
      <c r="D9665">
        <v>200</v>
      </c>
      <c r="E9665">
        <f>IF(OR(B9665="vi",B9665="ii",B9665="pod"),(((D9665/100)*(C9665*VLOOKUP(B9665,'Poids des runes'!A:B,2,FALSE)))+1),(((D9665/100)*(C9665*VLOOKUP(B9665,'Poids des runes'!A:B,2,FALSE)))+1)/VLOOKUP(B9665,'Poids des runes'!A:B,2,FALSE))</f>
        <v>12.25</v>
      </c>
      <c r="F9665">
        <f t="shared" si="150"/>
        <v>12.25</v>
      </c>
    </row>
    <row r="9666" spans="1:6" x14ac:dyDescent="0.3">
      <c r="A9666" t="s">
        <v>1523</v>
      </c>
      <c r="B9666" t="s">
        <v>2165</v>
      </c>
      <c r="C9666">
        <v>6</v>
      </c>
      <c r="D9666">
        <v>200</v>
      </c>
      <c r="E9666">
        <f>IF(OR(B9666="vi",B9666="ii",B9666="pod"),(((D9666/100)*(C9666*VLOOKUP(B9666,'Poids des runes'!A:B,2,FALSE)))+1),(((D9666/100)*(C9666*VLOOKUP(B9666,'Poids des runes'!A:B,2,FALSE)))+1)/VLOOKUP(B9666,'Poids des runes'!A:B,2,FALSE))</f>
        <v>12.142857142857142</v>
      </c>
      <c r="F9666">
        <f t="shared" si="150"/>
        <v>12.142857142857142</v>
      </c>
    </row>
    <row r="9667" spans="1:6" x14ac:dyDescent="0.3">
      <c r="A9667" t="s">
        <v>1523</v>
      </c>
      <c r="B9667" t="s">
        <v>2156</v>
      </c>
      <c r="C9667">
        <v>8.5</v>
      </c>
      <c r="D9667">
        <v>200</v>
      </c>
      <c r="E9667">
        <f>IF(OR(B9667="vi",B9667="ii",B9667="pod"),(((D9667/100)*(C9667*VLOOKUP(B9667,'Poids des runes'!A:B,2,FALSE)))+1),(((D9667/100)*(C9667*VLOOKUP(B9667,'Poids des runes'!A:B,2,FALSE)))+1)/VLOOKUP(B9667,'Poids des runes'!A:B,2,FALSE))</f>
        <v>17.166666666666668</v>
      </c>
      <c r="F9667">
        <f t="shared" ref="F9667:F9730" si="151">E9667</f>
        <v>17.166666666666668</v>
      </c>
    </row>
    <row r="9668" spans="1:6" x14ac:dyDescent="0.3">
      <c r="A9668" t="s">
        <v>1523</v>
      </c>
      <c r="B9668" t="s">
        <v>2157</v>
      </c>
      <c r="C9668">
        <v>3.5</v>
      </c>
      <c r="D9668">
        <v>200</v>
      </c>
      <c r="E9668">
        <f>IF(OR(B9668="vi",B9668="ii",B9668="pod"),(((D9668/100)*(C9668*VLOOKUP(B9668,'Poids des runes'!A:B,2,FALSE)))+1),(((D9668/100)*(C9668*VLOOKUP(B9668,'Poids des runes'!A:B,2,FALSE)))+1)/VLOOKUP(B9668,'Poids des runes'!A:B,2,FALSE))</f>
        <v>7.166666666666667</v>
      </c>
      <c r="F9668">
        <f t="shared" si="151"/>
        <v>7.166666666666667</v>
      </c>
    </row>
    <row r="9669" spans="1:6" x14ac:dyDescent="0.3">
      <c r="A9669" t="s">
        <v>1524</v>
      </c>
      <c r="B9669" t="s">
        <v>2128</v>
      </c>
      <c r="C9669">
        <v>375.5</v>
      </c>
      <c r="D9669">
        <v>200</v>
      </c>
      <c r="E9669">
        <f>IF(OR(B9669="vi",B9669="ii",B9669="pod"),(((D9669/100)*(C9669*VLOOKUP(B9669,'Poids des runes'!A:B,2,FALSE)))+1),(((D9669/100)*(C9669*VLOOKUP(B9669,'Poids des runes'!A:B,2,FALSE)))+1)/VLOOKUP(B9669,'Poids des runes'!A:B,2,FALSE))</f>
        <v>151.20000000000002</v>
      </c>
      <c r="F9669">
        <f t="shared" si="151"/>
        <v>151.20000000000002</v>
      </c>
    </row>
    <row r="9670" spans="1:6" x14ac:dyDescent="0.3">
      <c r="A9670" t="s">
        <v>1524</v>
      </c>
      <c r="B9670" t="s">
        <v>2126</v>
      </c>
      <c r="C9670">
        <v>35.5</v>
      </c>
      <c r="D9670">
        <v>200</v>
      </c>
      <c r="E9670">
        <f>IF(OR(B9670="vi",B9670="ii",B9670="pod"),(((D9670/100)*(C9670*VLOOKUP(B9670,'Poids des runes'!A:B,2,FALSE)))+1),(((D9670/100)*(C9670*VLOOKUP(B9670,'Poids des runes'!A:B,2,FALSE)))+1)/VLOOKUP(B9670,'Poids des runes'!A:B,2,FALSE))</f>
        <v>72</v>
      </c>
      <c r="F9670">
        <f t="shared" si="151"/>
        <v>72</v>
      </c>
    </row>
    <row r="9671" spans="1:6" x14ac:dyDescent="0.3">
      <c r="A9671" t="s">
        <v>1524</v>
      </c>
      <c r="B9671" t="s">
        <v>2131</v>
      </c>
      <c r="C9671">
        <v>35.5</v>
      </c>
      <c r="D9671">
        <v>200</v>
      </c>
      <c r="E9671">
        <f>IF(OR(B9671="vi",B9671="ii",B9671="pod"),(((D9671/100)*(C9671*VLOOKUP(B9671,'Poids des runes'!A:B,2,FALSE)))+1),(((D9671/100)*(C9671*VLOOKUP(B9671,'Poids des runes'!A:B,2,FALSE)))+1)/VLOOKUP(B9671,'Poids des runes'!A:B,2,FALSE))</f>
        <v>72</v>
      </c>
      <c r="F9671">
        <f t="shared" si="151"/>
        <v>72</v>
      </c>
    </row>
    <row r="9672" spans="1:6" x14ac:dyDescent="0.3">
      <c r="A9672" t="s">
        <v>1524</v>
      </c>
      <c r="B9672" t="s">
        <v>2127</v>
      </c>
      <c r="C9672">
        <v>35.5</v>
      </c>
      <c r="D9672">
        <v>200</v>
      </c>
      <c r="E9672">
        <f>IF(OR(B9672="vi",B9672="ii",B9672="pod"),(((D9672/100)*(C9672*VLOOKUP(B9672,'Poids des runes'!A:B,2,FALSE)))+1),(((D9672/100)*(C9672*VLOOKUP(B9672,'Poids des runes'!A:B,2,FALSE)))+1)/VLOOKUP(B9672,'Poids des runes'!A:B,2,FALSE))</f>
        <v>72</v>
      </c>
      <c r="F9672">
        <f t="shared" si="151"/>
        <v>72</v>
      </c>
    </row>
    <row r="9673" spans="1:6" x14ac:dyDescent="0.3">
      <c r="A9673" t="s">
        <v>1524</v>
      </c>
      <c r="B9673" t="s">
        <v>2129</v>
      </c>
      <c r="C9673">
        <v>35.5</v>
      </c>
      <c r="D9673">
        <v>200</v>
      </c>
      <c r="E9673">
        <f>IF(OR(B9673="vi",B9673="ii",B9673="pod"),(((D9673/100)*(C9673*VLOOKUP(B9673,'Poids des runes'!A:B,2,FALSE)))+1),(((D9673/100)*(C9673*VLOOKUP(B9673,'Poids des runes'!A:B,2,FALSE)))+1)/VLOOKUP(B9673,'Poids des runes'!A:B,2,FALSE))</f>
        <v>72</v>
      </c>
      <c r="F9673">
        <f t="shared" si="151"/>
        <v>72</v>
      </c>
    </row>
    <row r="9674" spans="1:6" x14ac:dyDescent="0.3">
      <c r="A9674" t="s">
        <v>1524</v>
      </c>
      <c r="B9674" t="s">
        <v>2152</v>
      </c>
      <c r="C9674">
        <v>1</v>
      </c>
      <c r="D9674">
        <v>200</v>
      </c>
      <c r="E9674">
        <f>IF(OR(B9674="vi",B9674="ii",B9674="pod"),(((D9674/100)*(C9674*VLOOKUP(B9674,'Poids des runes'!A:B,2,FALSE)))+1),(((D9674/100)*(C9674*VLOOKUP(B9674,'Poids des runes'!A:B,2,FALSE)))+1)/VLOOKUP(B9674,'Poids des runes'!A:B,2,FALSE))</f>
        <v>2.0099999999999998</v>
      </c>
      <c r="F9674">
        <f t="shared" si="151"/>
        <v>2.0099999999999998</v>
      </c>
    </row>
    <row r="9675" spans="1:6" x14ac:dyDescent="0.3">
      <c r="A9675" t="s">
        <v>1524</v>
      </c>
      <c r="B9675" t="s">
        <v>2150</v>
      </c>
      <c r="C9675">
        <v>1</v>
      </c>
      <c r="D9675">
        <v>200</v>
      </c>
      <c r="E9675">
        <f>IF(OR(B9675="vi",B9675="ii",B9675="pod"),(((D9675/100)*(C9675*VLOOKUP(B9675,'Poids des runes'!A:B,2,FALSE)))+1),(((D9675/100)*(C9675*VLOOKUP(B9675,'Poids des runes'!A:B,2,FALSE)))+1)/VLOOKUP(B9675,'Poids des runes'!A:B,2,FALSE))</f>
        <v>2.0333333333333332</v>
      </c>
      <c r="F9675">
        <f t="shared" si="151"/>
        <v>2.0333333333333332</v>
      </c>
    </row>
    <row r="9676" spans="1:6" x14ac:dyDescent="0.3">
      <c r="A9676" t="s">
        <v>1524</v>
      </c>
      <c r="B9676" t="s">
        <v>2140</v>
      </c>
      <c r="C9676">
        <v>10.5</v>
      </c>
      <c r="D9676">
        <v>200</v>
      </c>
      <c r="E9676">
        <f>IF(OR(B9676="vi",B9676="ii",B9676="pod"),(((D9676/100)*(C9676*VLOOKUP(B9676,'Poids des runes'!A:B,2,FALSE)))+1),(((D9676/100)*(C9676*VLOOKUP(B9676,'Poids des runes'!A:B,2,FALSE)))+1)/VLOOKUP(B9676,'Poids des runes'!A:B,2,FALSE))</f>
        <v>21.2</v>
      </c>
      <c r="F9676">
        <f t="shared" si="151"/>
        <v>21.2</v>
      </c>
    </row>
    <row r="9677" spans="1:6" x14ac:dyDescent="0.3">
      <c r="A9677" t="s">
        <v>1524</v>
      </c>
      <c r="B9677" t="s">
        <v>2133</v>
      </c>
      <c r="C9677">
        <v>10.5</v>
      </c>
      <c r="D9677">
        <v>200</v>
      </c>
      <c r="E9677">
        <f>IF(OR(B9677="vi",B9677="ii",B9677="pod"),(((D9677/100)*(C9677*VLOOKUP(B9677,'Poids des runes'!A:B,2,FALSE)))+1),(((D9677/100)*(C9677*VLOOKUP(B9677,'Poids des runes'!A:B,2,FALSE)))+1)/VLOOKUP(B9677,'Poids des runes'!A:B,2,FALSE))</f>
        <v>21.2</v>
      </c>
      <c r="F9677">
        <f t="shared" si="151"/>
        <v>21.2</v>
      </c>
    </row>
    <row r="9678" spans="1:6" x14ac:dyDescent="0.3">
      <c r="A9678" t="s">
        <v>1524</v>
      </c>
      <c r="B9678" t="s">
        <v>2153</v>
      </c>
      <c r="C9678">
        <v>10.5</v>
      </c>
      <c r="D9678">
        <v>200</v>
      </c>
      <c r="E9678">
        <f>IF(OR(B9678="vi",B9678="ii",B9678="pod"),(((D9678/100)*(C9678*VLOOKUP(B9678,'Poids des runes'!A:B,2,FALSE)))+1),(((D9678/100)*(C9678*VLOOKUP(B9678,'Poids des runes'!A:B,2,FALSE)))+1)/VLOOKUP(B9678,'Poids des runes'!A:B,2,FALSE))</f>
        <v>21.2</v>
      </c>
      <c r="F9678">
        <f t="shared" si="151"/>
        <v>21.2</v>
      </c>
    </row>
    <row r="9679" spans="1:6" x14ac:dyDescent="0.3">
      <c r="A9679" t="s">
        <v>1524</v>
      </c>
      <c r="B9679" t="s">
        <v>2159</v>
      </c>
      <c r="C9679">
        <v>4</v>
      </c>
      <c r="D9679">
        <v>200</v>
      </c>
      <c r="E9679">
        <f>IF(OR(B9679="vi",B9679="ii",B9679="pod"),(((D9679/100)*(C9679*VLOOKUP(B9679,'Poids des runes'!A:B,2,FALSE)))+1),(((D9679/100)*(C9679*VLOOKUP(B9679,'Poids des runes'!A:B,2,FALSE)))+1)/VLOOKUP(B9679,'Poids des runes'!A:B,2,FALSE))</f>
        <v>8.1428571428571423</v>
      </c>
      <c r="F9679">
        <f t="shared" si="151"/>
        <v>8.1428571428571423</v>
      </c>
    </row>
    <row r="9680" spans="1:6" x14ac:dyDescent="0.3">
      <c r="A9680" t="s">
        <v>1524</v>
      </c>
      <c r="B9680" t="s">
        <v>2162</v>
      </c>
      <c r="C9680">
        <v>5.5</v>
      </c>
      <c r="D9680">
        <v>200</v>
      </c>
      <c r="E9680">
        <f>IF(OR(B9680="vi",B9680="ii",B9680="pod"),(((D9680/100)*(C9680*VLOOKUP(B9680,'Poids des runes'!A:B,2,FALSE)))+1),(((D9680/100)*(C9680*VLOOKUP(B9680,'Poids des runes'!A:B,2,FALSE)))+1)/VLOOKUP(B9680,'Poids des runes'!A:B,2,FALSE))</f>
        <v>11.142857142857142</v>
      </c>
      <c r="F9680">
        <f t="shared" si="151"/>
        <v>11.142857142857142</v>
      </c>
    </row>
    <row r="9681" spans="1:6" x14ac:dyDescent="0.3">
      <c r="A9681" t="s">
        <v>1524</v>
      </c>
      <c r="B9681" t="s">
        <v>2147</v>
      </c>
      <c r="C9681">
        <v>8.5</v>
      </c>
      <c r="D9681">
        <v>200</v>
      </c>
      <c r="E9681">
        <f>IF(OR(B9681="vi",B9681="ii",B9681="pod"),(((D9681/100)*(C9681*VLOOKUP(B9681,'Poids des runes'!A:B,2,FALSE)))+1),(((D9681/100)*(C9681*VLOOKUP(B9681,'Poids des runes'!A:B,2,FALSE)))+1)/VLOOKUP(B9681,'Poids des runes'!A:B,2,FALSE))</f>
        <v>17.166666666666668</v>
      </c>
      <c r="F9681">
        <f t="shared" si="151"/>
        <v>17.166666666666668</v>
      </c>
    </row>
    <row r="9682" spans="1:6" x14ac:dyDescent="0.3">
      <c r="A9682" t="s">
        <v>1525</v>
      </c>
      <c r="B9682" t="s">
        <v>2128</v>
      </c>
      <c r="C9682">
        <v>325.5</v>
      </c>
      <c r="D9682">
        <v>200</v>
      </c>
      <c r="E9682">
        <f>IF(OR(B9682="vi",B9682="ii",B9682="pod"),(((D9682/100)*(C9682*VLOOKUP(B9682,'Poids des runes'!A:B,2,FALSE)))+1),(((D9682/100)*(C9682*VLOOKUP(B9682,'Poids des runes'!A:B,2,FALSE)))+1)/VLOOKUP(B9682,'Poids des runes'!A:B,2,FALSE))</f>
        <v>131.20000000000002</v>
      </c>
      <c r="F9682">
        <f t="shared" si="151"/>
        <v>131.20000000000002</v>
      </c>
    </row>
    <row r="9683" spans="1:6" x14ac:dyDescent="0.3">
      <c r="A9683" t="s">
        <v>1525</v>
      </c>
      <c r="B9683" t="s">
        <v>2126</v>
      </c>
      <c r="C9683">
        <v>40.5</v>
      </c>
      <c r="D9683">
        <v>200</v>
      </c>
      <c r="E9683">
        <f>IF(OR(B9683="vi",B9683="ii",B9683="pod"),(((D9683/100)*(C9683*VLOOKUP(B9683,'Poids des runes'!A:B,2,FALSE)))+1),(((D9683/100)*(C9683*VLOOKUP(B9683,'Poids des runes'!A:B,2,FALSE)))+1)/VLOOKUP(B9683,'Poids des runes'!A:B,2,FALSE))</f>
        <v>82</v>
      </c>
      <c r="F9683">
        <f t="shared" si="151"/>
        <v>82</v>
      </c>
    </row>
    <row r="9684" spans="1:6" x14ac:dyDescent="0.3">
      <c r="A9684" t="s">
        <v>1525</v>
      </c>
      <c r="B9684" t="s">
        <v>2131</v>
      </c>
      <c r="C9684">
        <v>40.5</v>
      </c>
      <c r="D9684">
        <v>200</v>
      </c>
      <c r="E9684">
        <f>IF(OR(B9684="vi",B9684="ii",B9684="pod"),(((D9684/100)*(C9684*VLOOKUP(B9684,'Poids des runes'!A:B,2,FALSE)))+1),(((D9684/100)*(C9684*VLOOKUP(B9684,'Poids des runes'!A:B,2,FALSE)))+1)/VLOOKUP(B9684,'Poids des runes'!A:B,2,FALSE))</f>
        <v>82</v>
      </c>
      <c r="F9684">
        <f t="shared" si="151"/>
        <v>82</v>
      </c>
    </row>
    <row r="9685" spans="1:6" x14ac:dyDescent="0.3">
      <c r="A9685" t="s">
        <v>1525</v>
      </c>
      <c r="B9685" t="s">
        <v>2127</v>
      </c>
      <c r="C9685">
        <v>40.5</v>
      </c>
      <c r="D9685">
        <v>200</v>
      </c>
      <c r="E9685">
        <f>IF(OR(B9685="vi",B9685="ii",B9685="pod"),(((D9685/100)*(C9685*VLOOKUP(B9685,'Poids des runes'!A:B,2,FALSE)))+1),(((D9685/100)*(C9685*VLOOKUP(B9685,'Poids des runes'!A:B,2,FALSE)))+1)/VLOOKUP(B9685,'Poids des runes'!A:B,2,FALSE))</f>
        <v>82</v>
      </c>
      <c r="F9685">
        <f t="shared" si="151"/>
        <v>82</v>
      </c>
    </row>
    <row r="9686" spans="1:6" x14ac:dyDescent="0.3">
      <c r="A9686" t="s">
        <v>1525</v>
      </c>
      <c r="B9686" t="s">
        <v>2129</v>
      </c>
      <c r="C9686">
        <v>25.5</v>
      </c>
      <c r="D9686">
        <v>200</v>
      </c>
      <c r="E9686">
        <f>IF(OR(B9686="vi",B9686="ii",B9686="pod"),(((D9686/100)*(C9686*VLOOKUP(B9686,'Poids des runes'!A:B,2,FALSE)))+1),(((D9686/100)*(C9686*VLOOKUP(B9686,'Poids des runes'!A:B,2,FALSE)))+1)/VLOOKUP(B9686,'Poids des runes'!A:B,2,FALSE))</f>
        <v>52</v>
      </c>
      <c r="F9686">
        <f t="shared" si="151"/>
        <v>52</v>
      </c>
    </row>
    <row r="9687" spans="1:6" x14ac:dyDescent="0.3">
      <c r="A9687" t="s">
        <v>1525</v>
      </c>
      <c r="B9687" t="s">
        <v>2140</v>
      </c>
      <c r="C9687">
        <v>13</v>
      </c>
      <c r="D9687">
        <v>200</v>
      </c>
      <c r="E9687">
        <f>IF(OR(B9687="vi",B9687="ii",B9687="pod"),(((D9687/100)*(C9687*VLOOKUP(B9687,'Poids des runes'!A:B,2,FALSE)))+1),(((D9687/100)*(C9687*VLOOKUP(B9687,'Poids des runes'!A:B,2,FALSE)))+1)/VLOOKUP(B9687,'Poids des runes'!A:B,2,FALSE))</f>
        <v>26.2</v>
      </c>
      <c r="F9687">
        <f t="shared" si="151"/>
        <v>26.2</v>
      </c>
    </row>
    <row r="9688" spans="1:6" x14ac:dyDescent="0.3">
      <c r="A9688" t="s">
        <v>1525</v>
      </c>
      <c r="B9688" t="s">
        <v>2133</v>
      </c>
      <c r="C9688">
        <v>13</v>
      </c>
      <c r="D9688">
        <v>200</v>
      </c>
      <c r="E9688">
        <f>IF(OR(B9688="vi",B9688="ii",B9688="pod"),(((D9688/100)*(C9688*VLOOKUP(B9688,'Poids des runes'!A:B,2,FALSE)))+1),(((D9688/100)*(C9688*VLOOKUP(B9688,'Poids des runes'!A:B,2,FALSE)))+1)/VLOOKUP(B9688,'Poids des runes'!A:B,2,FALSE))</f>
        <v>26.2</v>
      </c>
      <c r="F9688">
        <f t="shared" si="151"/>
        <v>26.2</v>
      </c>
    </row>
    <row r="9689" spans="1:6" x14ac:dyDescent="0.3">
      <c r="A9689" t="s">
        <v>1525</v>
      </c>
      <c r="B9689" t="s">
        <v>2153</v>
      </c>
      <c r="C9689">
        <v>13</v>
      </c>
      <c r="D9689">
        <v>200</v>
      </c>
      <c r="E9689">
        <f>IF(OR(B9689="vi",B9689="ii",B9689="pod"),(((D9689/100)*(C9689*VLOOKUP(B9689,'Poids des runes'!A:B,2,FALSE)))+1),(((D9689/100)*(C9689*VLOOKUP(B9689,'Poids des runes'!A:B,2,FALSE)))+1)/VLOOKUP(B9689,'Poids des runes'!A:B,2,FALSE))</f>
        <v>26.2</v>
      </c>
      <c r="F9689">
        <f t="shared" si="151"/>
        <v>26.2</v>
      </c>
    </row>
    <row r="9690" spans="1:6" x14ac:dyDescent="0.3">
      <c r="A9690" t="s">
        <v>1525</v>
      </c>
      <c r="B9690" t="s">
        <v>2161</v>
      </c>
      <c r="C9690">
        <v>8</v>
      </c>
      <c r="D9690">
        <v>200</v>
      </c>
      <c r="E9690">
        <f>IF(OR(B9690="vi",B9690="ii",B9690="pod"),(((D9690/100)*(C9690*VLOOKUP(B9690,'Poids des runes'!A:B,2,FALSE)))+1),(((D9690/100)*(C9690*VLOOKUP(B9690,'Poids des runes'!A:B,2,FALSE)))+1)/VLOOKUP(B9690,'Poids des runes'!A:B,2,FALSE))</f>
        <v>16.333333333333332</v>
      </c>
      <c r="F9690">
        <f t="shared" si="151"/>
        <v>16.333333333333332</v>
      </c>
    </row>
    <row r="9691" spans="1:6" x14ac:dyDescent="0.3">
      <c r="A9691" t="s">
        <v>1525</v>
      </c>
      <c r="B9691" t="s">
        <v>2141</v>
      </c>
      <c r="C9691">
        <v>6.5</v>
      </c>
      <c r="D9691">
        <v>200</v>
      </c>
      <c r="E9691">
        <f>IF(OR(B9691="vi",B9691="ii",B9691="pod"),(((D9691/100)*(C9691*VLOOKUP(B9691,'Poids des runes'!A:B,2,FALSE)))+1),(((D9691/100)*(C9691*VLOOKUP(B9691,'Poids des runes'!A:B,2,FALSE)))+1)/VLOOKUP(B9691,'Poids des runes'!A:B,2,FALSE))</f>
        <v>13.25</v>
      </c>
      <c r="F9691">
        <f t="shared" si="151"/>
        <v>13.25</v>
      </c>
    </row>
    <row r="9692" spans="1:6" x14ac:dyDescent="0.3">
      <c r="A9692" t="s">
        <v>1525</v>
      </c>
      <c r="B9692" t="s">
        <v>2159</v>
      </c>
      <c r="C9692">
        <v>6</v>
      </c>
      <c r="D9692">
        <v>200</v>
      </c>
      <c r="E9692">
        <f>IF(OR(B9692="vi",B9692="ii",B9692="pod"),(((D9692/100)*(C9692*VLOOKUP(B9692,'Poids des runes'!A:B,2,FALSE)))+1),(((D9692/100)*(C9692*VLOOKUP(B9692,'Poids des runes'!A:B,2,FALSE)))+1)/VLOOKUP(B9692,'Poids des runes'!A:B,2,FALSE))</f>
        <v>12.142857142857142</v>
      </c>
      <c r="F9692">
        <f t="shared" si="151"/>
        <v>12.142857142857142</v>
      </c>
    </row>
    <row r="9693" spans="1:6" x14ac:dyDescent="0.3">
      <c r="A9693" t="s">
        <v>1525</v>
      </c>
      <c r="B9693" t="s">
        <v>2148</v>
      </c>
      <c r="C9693">
        <v>5</v>
      </c>
      <c r="D9693">
        <v>200</v>
      </c>
      <c r="E9693">
        <f>IF(OR(B9693="vi",B9693="ii",B9693="pod"),(((D9693/100)*(C9693*VLOOKUP(B9693,'Poids des runes'!A:B,2,FALSE)))+1),(((D9693/100)*(C9693*VLOOKUP(B9693,'Poids des runes'!A:B,2,FALSE)))+1)/VLOOKUP(B9693,'Poids des runes'!A:B,2,FALSE))</f>
        <v>10.166666666666666</v>
      </c>
      <c r="F9693">
        <f t="shared" si="151"/>
        <v>10.166666666666666</v>
      </c>
    </row>
    <row r="9694" spans="1:6" x14ac:dyDescent="0.3">
      <c r="A9694" t="s">
        <v>1525</v>
      </c>
      <c r="B9694" t="s">
        <v>2147</v>
      </c>
      <c r="C9694">
        <v>5</v>
      </c>
      <c r="D9694">
        <v>200</v>
      </c>
      <c r="E9694">
        <f>IF(OR(B9694="vi",B9694="ii",B9694="pod"),(((D9694/100)*(C9694*VLOOKUP(B9694,'Poids des runes'!A:B,2,FALSE)))+1),(((D9694/100)*(C9694*VLOOKUP(B9694,'Poids des runes'!A:B,2,FALSE)))+1)/VLOOKUP(B9694,'Poids des runes'!A:B,2,FALSE))</f>
        <v>10.166666666666666</v>
      </c>
      <c r="F9694">
        <f t="shared" si="151"/>
        <v>10.166666666666666</v>
      </c>
    </row>
    <row r="9695" spans="1:6" x14ac:dyDescent="0.3">
      <c r="A9695" t="s">
        <v>1525</v>
      </c>
      <c r="B9695" t="s">
        <v>2137</v>
      </c>
      <c r="C9695">
        <v>8.5</v>
      </c>
      <c r="D9695">
        <v>200</v>
      </c>
      <c r="E9695">
        <f>IF(OR(B9695="vi",B9695="ii",B9695="pod"),(((D9695/100)*(C9695*VLOOKUP(B9695,'Poids des runes'!A:B,2,FALSE)))+1),(((D9695/100)*(C9695*VLOOKUP(B9695,'Poids des runes'!A:B,2,FALSE)))+1)/VLOOKUP(B9695,'Poids des runes'!A:B,2,FALSE))</f>
        <v>17.5</v>
      </c>
      <c r="F9695">
        <f t="shared" si="151"/>
        <v>17.5</v>
      </c>
    </row>
    <row r="9696" spans="1:6" x14ac:dyDescent="0.3">
      <c r="A9696" t="s">
        <v>1525</v>
      </c>
      <c r="B9696" t="s">
        <v>2144</v>
      </c>
      <c r="C9696">
        <v>8.5</v>
      </c>
      <c r="D9696">
        <v>200</v>
      </c>
      <c r="E9696">
        <f>IF(OR(B9696="vi",B9696="ii",B9696="pod"),(((D9696/100)*(C9696*VLOOKUP(B9696,'Poids des runes'!A:B,2,FALSE)))+1),(((D9696/100)*(C9696*VLOOKUP(B9696,'Poids des runes'!A:B,2,FALSE)))+1)/VLOOKUP(B9696,'Poids des runes'!A:B,2,FALSE))</f>
        <v>17.5</v>
      </c>
      <c r="F9696">
        <f t="shared" si="151"/>
        <v>17.5</v>
      </c>
    </row>
    <row r="9697" spans="1:6" x14ac:dyDescent="0.3">
      <c r="A9697" t="s">
        <v>1526</v>
      </c>
      <c r="B9697" t="s">
        <v>2128</v>
      </c>
      <c r="C9697">
        <v>275.5</v>
      </c>
      <c r="D9697">
        <v>200</v>
      </c>
      <c r="E9697">
        <f>IF(OR(B9697="vi",B9697="ii",B9697="pod"),(((D9697/100)*(C9697*VLOOKUP(B9697,'Poids des runes'!A:B,2,FALSE)))+1),(((D9697/100)*(C9697*VLOOKUP(B9697,'Poids des runes'!A:B,2,FALSE)))+1)/VLOOKUP(B9697,'Poids des runes'!A:B,2,FALSE))</f>
        <v>111.2</v>
      </c>
      <c r="F9697">
        <f t="shared" si="151"/>
        <v>111.2</v>
      </c>
    </row>
    <row r="9698" spans="1:6" x14ac:dyDescent="0.3">
      <c r="A9698" t="s">
        <v>1526</v>
      </c>
      <c r="B9698" t="s">
        <v>2126</v>
      </c>
      <c r="C9698">
        <v>45.5</v>
      </c>
      <c r="D9698">
        <v>200</v>
      </c>
      <c r="E9698">
        <f>IF(OR(B9698="vi",B9698="ii",B9698="pod"),(((D9698/100)*(C9698*VLOOKUP(B9698,'Poids des runes'!A:B,2,FALSE)))+1),(((D9698/100)*(C9698*VLOOKUP(B9698,'Poids des runes'!A:B,2,FALSE)))+1)/VLOOKUP(B9698,'Poids des runes'!A:B,2,FALSE))</f>
        <v>92</v>
      </c>
      <c r="F9698">
        <f t="shared" si="151"/>
        <v>92</v>
      </c>
    </row>
    <row r="9699" spans="1:6" x14ac:dyDescent="0.3">
      <c r="A9699" t="s">
        <v>1526</v>
      </c>
      <c r="B9699" t="s">
        <v>2131</v>
      </c>
      <c r="C9699">
        <v>45.5</v>
      </c>
      <c r="D9699">
        <v>200</v>
      </c>
      <c r="E9699">
        <f>IF(OR(B9699="vi",B9699="ii",B9699="pod"),(((D9699/100)*(C9699*VLOOKUP(B9699,'Poids des runes'!A:B,2,FALSE)))+1),(((D9699/100)*(C9699*VLOOKUP(B9699,'Poids des runes'!A:B,2,FALSE)))+1)/VLOOKUP(B9699,'Poids des runes'!A:B,2,FALSE))</f>
        <v>92</v>
      </c>
      <c r="F9699">
        <f t="shared" si="151"/>
        <v>92</v>
      </c>
    </row>
    <row r="9700" spans="1:6" x14ac:dyDescent="0.3">
      <c r="A9700" t="s">
        <v>1526</v>
      </c>
      <c r="B9700" t="s">
        <v>2127</v>
      </c>
      <c r="C9700">
        <v>45.5</v>
      </c>
      <c r="D9700">
        <v>200</v>
      </c>
      <c r="E9700">
        <f>IF(OR(B9700="vi",B9700="ii",B9700="pod"),(((D9700/100)*(C9700*VLOOKUP(B9700,'Poids des runes'!A:B,2,FALSE)))+1),(((D9700/100)*(C9700*VLOOKUP(B9700,'Poids des runes'!A:B,2,FALSE)))+1)/VLOOKUP(B9700,'Poids des runes'!A:B,2,FALSE))</f>
        <v>92</v>
      </c>
      <c r="F9700">
        <f t="shared" si="151"/>
        <v>92</v>
      </c>
    </row>
    <row r="9701" spans="1:6" x14ac:dyDescent="0.3">
      <c r="A9701" t="s">
        <v>1526</v>
      </c>
      <c r="B9701" t="s">
        <v>2129</v>
      </c>
      <c r="C9701">
        <v>25.5</v>
      </c>
      <c r="D9701">
        <v>200</v>
      </c>
      <c r="E9701">
        <f>IF(OR(B9701="vi",B9701="ii",B9701="pod"),(((D9701/100)*(C9701*VLOOKUP(B9701,'Poids des runes'!A:B,2,FALSE)))+1),(((D9701/100)*(C9701*VLOOKUP(B9701,'Poids des runes'!A:B,2,FALSE)))+1)/VLOOKUP(B9701,'Poids des runes'!A:B,2,FALSE))</f>
        <v>52</v>
      </c>
      <c r="F9701">
        <f t="shared" si="151"/>
        <v>52</v>
      </c>
    </row>
    <row r="9702" spans="1:6" x14ac:dyDescent="0.3">
      <c r="A9702" t="s">
        <v>1526</v>
      </c>
      <c r="B9702" t="s">
        <v>2155</v>
      </c>
      <c r="C9702">
        <v>1.5</v>
      </c>
      <c r="D9702">
        <v>200</v>
      </c>
      <c r="E9702">
        <f>IF(OR(B9702="vi",B9702="ii",B9702="pod"),(((D9702/100)*(C9702*VLOOKUP(B9702,'Poids des runes'!A:B,2,FALSE)))+1),(((D9702/100)*(C9702*VLOOKUP(B9702,'Poids des runes'!A:B,2,FALSE)))+1)/VLOOKUP(B9702,'Poids des runes'!A:B,2,FALSE))</f>
        <v>3.0196078431372548</v>
      </c>
      <c r="F9702">
        <f t="shared" si="151"/>
        <v>3.0196078431372548</v>
      </c>
    </row>
    <row r="9703" spans="1:6" x14ac:dyDescent="0.3">
      <c r="A9703" t="s">
        <v>1526</v>
      </c>
      <c r="B9703" t="s">
        <v>2140</v>
      </c>
      <c r="C9703">
        <v>13</v>
      </c>
      <c r="D9703">
        <v>200</v>
      </c>
      <c r="E9703">
        <f>IF(OR(B9703="vi",B9703="ii",B9703="pod"),(((D9703/100)*(C9703*VLOOKUP(B9703,'Poids des runes'!A:B,2,FALSE)))+1),(((D9703/100)*(C9703*VLOOKUP(B9703,'Poids des runes'!A:B,2,FALSE)))+1)/VLOOKUP(B9703,'Poids des runes'!A:B,2,FALSE))</f>
        <v>26.2</v>
      </c>
      <c r="F9703">
        <f t="shared" si="151"/>
        <v>26.2</v>
      </c>
    </row>
    <row r="9704" spans="1:6" x14ac:dyDescent="0.3">
      <c r="A9704" t="s">
        <v>1526</v>
      </c>
      <c r="B9704" t="s">
        <v>2133</v>
      </c>
      <c r="C9704">
        <v>13</v>
      </c>
      <c r="D9704">
        <v>200</v>
      </c>
      <c r="E9704">
        <f>IF(OR(B9704="vi",B9704="ii",B9704="pod"),(((D9704/100)*(C9704*VLOOKUP(B9704,'Poids des runes'!A:B,2,FALSE)))+1),(((D9704/100)*(C9704*VLOOKUP(B9704,'Poids des runes'!A:B,2,FALSE)))+1)/VLOOKUP(B9704,'Poids des runes'!A:B,2,FALSE))</f>
        <v>26.2</v>
      </c>
      <c r="F9704">
        <f t="shared" si="151"/>
        <v>26.2</v>
      </c>
    </row>
    <row r="9705" spans="1:6" x14ac:dyDescent="0.3">
      <c r="A9705" t="s">
        <v>1526</v>
      </c>
      <c r="B9705" t="s">
        <v>2153</v>
      </c>
      <c r="C9705">
        <v>13</v>
      </c>
      <c r="D9705">
        <v>200</v>
      </c>
      <c r="E9705">
        <f>IF(OR(B9705="vi",B9705="ii",B9705="pod"),(((D9705/100)*(C9705*VLOOKUP(B9705,'Poids des runes'!A:B,2,FALSE)))+1),(((D9705/100)*(C9705*VLOOKUP(B9705,'Poids des runes'!A:B,2,FALSE)))+1)/VLOOKUP(B9705,'Poids des runes'!A:B,2,FALSE))</f>
        <v>26.2</v>
      </c>
      <c r="F9705">
        <f t="shared" si="151"/>
        <v>26.2</v>
      </c>
    </row>
    <row r="9706" spans="1:6" x14ac:dyDescent="0.3">
      <c r="A9706" t="s">
        <v>1526</v>
      </c>
      <c r="B9706" t="s">
        <v>2141</v>
      </c>
      <c r="C9706">
        <v>4</v>
      </c>
      <c r="D9706">
        <v>200</v>
      </c>
      <c r="E9706">
        <f>IF(OR(B9706="vi",B9706="ii",B9706="pod"),(((D9706/100)*(C9706*VLOOKUP(B9706,'Poids des runes'!A:B,2,FALSE)))+1),(((D9706/100)*(C9706*VLOOKUP(B9706,'Poids des runes'!A:B,2,FALSE)))+1)/VLOOKUP(B9706,'Poids des runes'!A:B,2,FALSE))</f>
        <v>8.25</v>
      </c>
      <c r="F9706">
        <f t="shared" si="151"/>
        <v>8.25</v>
      </c>
    </row>
    <row r="9707" spans="1:6" x14ac:dyDescent="0.3">
      <c r="A9707" t="s">
        <v>1526</v>
      </c>
      <c r="B9707" t="s">
        <v>2159</v>
      </c>
      <c r="C9707">
        <v>3.5</v>
      </c>
      <c r="D9707">
        <v>200</v>
      </c>
      <c r="E9707">
        <f>IF(OR(B9707="vi",B9707="ii",B9707="pod"),(((D9707/100)*(C9707*VLOOKUP(B9707,'Poids des runes'!A:B,2,FALSE)))+1),(((D9707/100)*(C9707*VLOOKUP(B9707,'Poids des runes'!A:B,2,FALSE)))+1)/VLOOKUP(B9707,'Poids des runes'!A:B,2,FALSE))</f>
        <v>7.1428571428571432</v>
      </c>
      <c r="F9707">
        <f t="shared" si="151"/>
        <v>7.1428571428571432</v>
      </c>
    </row>
    <row r="9708" spans="1:6" x14ac:dyDescent="0.3">
      <c r="A9708" t="s">
        <v>1526</v>
      </c>
      <c r="B9708" t="s">
        <v>2156</v>
      </c>
      <c r="C9708">
        <v>6.5</v>
      </c>
      <c r="D9708">
        <v>200</v>
      </c>
      <c r="E9708">
        <f>IF(OR(B9708="vi",B9708="ii",B9708="pod"),(((D9708/100)*(C9708*VLOOKUP(B9708,'Poids des runes'!A:B,2,FALSE)))+1),(((D9708/100)*(C9708*VLOOKUP(B9708,'Poids des runes'!A:B,2,FALSE)))+1)/VLOOKUP(B9708,'Poids des runes'!A:B,2,FALSE))</f>
        <v>13.166666666666666</v>
      </c>
      <c r="F9708">
        <f t="shared" si="151"/>
        <v>13.166666666666666</v>
      </c>
    </row>
    <row r="9709" spans="1:6" x14ac:dyDescent="0.3">
      <c r="A9709" t="s">
        <v>1526</v>
      </c>
      <c r="B9709" t="s">
        <v>2148</v>
      </c>
      <c r="C9709">
        <v>4</v>
      </c>
      <c r="D9709">
        <v>200</v>
      </c>
      <c r="E9709">
        <f>IF(OR(B9709="vi",B9709="ii",B9709="pod"),(((D9709/100)*(C9709*VLOOKUP(B9709,'Poids des runes'!A:B,2,FALSE)))+1),(((D9709/100)*(C9709*VLOOKUP(B9709,'Poids des runes'!A:B,2,FALSE)))+1)/VLOOKUP(B9709,'Poids des runes'!A:B,2,FALSE))</f>
        <v>8.1666666666666661</v>
      </c>
      <c r="F9709">
        <f t="shared" si="151"/>
        <v>8.1666666666666661</v>
      </c>
    </row>
    <row r="9710" spans="1:6" x14ac:dyDescent="0.3">
      <c r="A9710" t="s">
        <v>1526</v>
      </c>
      <c r="B9710" t="s">
        <v>2136</v>
      </c>
      <c r="C9710">
        <v>6</v>
      </c>
      <c r="D9710">
        <v>200</v>
      </c>
      <c r="E9710">
        <f>IF(OR(B9710="vi",B9710="ii",B9710="pod"),(((D9710/100)*(C9710*VLOOKUP(B9710,'Poids des runes'!A:B,2,FALSE)))+1),(((D9710/100)*(C9710*VLOOKUP(B9710,'Poids des runes'!A:B,2,FALSE)))+1)/VLOOKUP(B9710,'Poids des runes'!A:B,2,FALSE))</f>
        <v>12.5</v>
      </c>
      <c r="F9710">
        <f t="shared" si="151"/>
        <v>12.5</v>
      </c>
    </row>
    <row r="9711" spans="1:6" x14ac:dyDescent="0.3">
      <c r="A9711" t="s">
        <v>1526</v>
      </c>
      <c r="B9711" t="s">
        <v>2137</v>
      </c>
      <c r="C9711">
        <v>6</v>
      </c>
      <c r="D9711">
        <v>200</v>
      </c>
      <c r="E9711">
        <f>IF(OR(B9711="vi",B9711="ii",B9711="pod"),(((D9711/100)*(C9711*VLOOKUP(B9711,'Poids des runes'!A:B,2,FALSE)))+1),(((D9711/100)*(C9711*VLOOKUP(B9711,'Poids des runes'!A:B,2,FALSE)))+1)/VLOOKUP(B9711,'Poids des runes'!A:B,2,FALSE))</f>
        <v>12.5</v>
      </c>
      <c r="F9711">
        <f t="shared" si="151"/>
        <v>12.5</v>
      </c>
    </row>
    <row r="9712" spans="1:6" x14ac:dyDescent="0.3">
      <c r="A9712" t="s">
        <v>1526</v>
      </c>
      <c r="B9712" t="s">
        <v>2144</v>
      </c>
      <c r="C9712">
        <v>6</v>
      </c>
      <c r="D9712">
        <v>200</v>
      </c>
      <c r="E9712">
        <f>IF(OR(B9712="vi",B9712="ii",B9712="pod"),(((D9712/100)*(C9712*VLOOKUP(B9712,'Poids des runes'!A:B,2,FALSE)))+1),(((D9712/100)*(C9712*VLOOKUP(B9712,'Poids des runes'!A:B,2,FALSE)))+1)/VLOOKUP(B9712,'Poids des runes'!A:B,2,FALSE))</f>
        <v>12.5</v>
      </c>
      <c r="F9712">
        <f t="shared" si="151"/>
        <v>12.5</v>
      </c>
    </row>
    <row r="9713" spans="1:6" x14ac:dyDescent="0.3">
      <c r="A9713" t="s">
        <v>1527</v>
      </c>
      <c r="B9713" t="s">
        <v>2128</v>
      </c>
      <c r="C9713">
        <v>375.5</v>
      </c>
      <c r="D9713">
        <v>200</v>
      </c>
      <c r="E9713">
        <f>IF(OR(B9713="vi",B9713="ii",B9713="pod"),(((D9713/100)*(C9713*VLOOKUP(B9713,'Poids des runes'!A:B,2,FALSE)))+1),(((D9713/100)*(C9713*VLOOKUP(B9713,'Poids des runes'!A:B,2,FALSE)))+1)/VLOOKUP(B9713,'Poids des runes'!A:B,2,FALSE))</f>
        <v>151.20000000000002</v>
      </c>
      <c r="F9713">
        <f t="shared" si="151"/>
        <v>151.20000000000002</v>
      </c>
    </row>
    <row r="9714" spans="1:6" x14ac:dyDescent="0.3">
      <c r="A9714" t="s">
        <v>1527</v>
      </c>
      <c r="B9714" t="s">
        <v>2130</v>
      </c>
      <c r="C9714">
        <v>90.5</v>
      </c>
      <c r="D9714">
        <v>200</v>
      </c>
      <c r="E9714">
        <f>IF(OR(B9714="vi",B9714="ii",B9714="pod"),(((D9714/100)*(C9714*VLOOKUP(B9714,'Poids des runes'!A:B,2,FALSE)))+1),(((D9714/100)*(C9714*VLOOKUP(B9714,'Poids des runes'!A:B,2,FALSE)))+1)/VLOOKUP(B9714,'Poids des runes'!A:B,2,FALSE))</f>
        <v>182</v>
      </c>
      <c r="F9714">
        <f t="shared" si="151"/>
        <v>182</v>
      </c>
    </row>
    <row r="9715" spans="1:6" x14ac:dyDescent="0.3">
      <c r="A9715" t="s">
        <v>1527</v>
      </c>
      <c r="B9715" t="s">
        <v>2129</v>
      </c>
      <c r="C9715">
        <v>50.5</v>
      </c>
      <c r="D9715">
        <v>200</v>
      </c>
      <c r="E9715">
        <f>IF(OR(B9715="vi",B9715="ii",B9715="pod"),(((D9715/100)*(C9715*VLOOKUP(B9715,'Poids des runes'!A:B,2,FALSE)))+1),(((D9715/100)*(C9715*VLOOKUP(B9715,'Poids des runes'!A:B,2,FALSE)))+1)/VLOOKUP(B9715,'Poids des runes'!A:B,2,FALSE))</f>
        <v>102</v>
      </c>
      <c r="F9715">
        <f t="shared" si="151"/>
        <v>102</v>
      </c>
    </row>
    <row r="9716" spans="1:6" x14ac:dyDescent="0.3">
      <c r="A9716" t="s">
        <v>1527</v>
      </c>
      <c r="B9716" t="s">
        <v>2154</v>
      </c>
      <c r="C9716">
        <v>1</v>
      </c>
      <c r="D9716">
        <v>200</v>
      </c>
      <c r="E9716">
        <f>IF(OR(B9716="vi",B9716="ii",B9716="pod"),(((D9716/100)*(C9716*VLOOKUP(B9716,'Poids des runes'!A:B,2,FALSE)))+1),(((D9716/100)*(C9716*VLOOKUP(B9716,'Poids des runes'!A:B,2,FALSE)))+1)/VLOOKUP(B9716,'Poids des runes'!A:B,2,FALSE))</f>
        <v>2.0111111111111111</v>
      </c>
      <c r="F9716">
        <f t="shared" si="151"/>
        <v>2.0111111111111111</v>
      </c>
    </row>
    <row r="9717" spans="1:6" x14ac:dyDescent="0.3">
      <c r="A9717" t="s">
        <v>1527</v>
      </c>
      <c r="B9717" t="s">
        <v>2143</v>
      </c>
      <c r="C9717">
        <v>13</v>
      </c>
      <c r="D9717">
        <v>200</v>
      </c>
      <c r="E9717">
        <f>IF(OR(B9717="vi",B9717="ii",B9717="pod"),(((D9717/100)*(C9717*VLOOKUP(B9717,'Poids des runes'!A:B,2,FALSE)))+1),(((D9717/100)*(C9717*VLOOKUP(B9717,'Poids des runes'!A:B,2,FALSE)))+1)/VLOOKUP(B9717,'Poids des runes'!A:B,2,FALSE))</f>
        <v>26.2</v>
      </c>
      <c r="F9717">
        <f t="shared" si="151"/>
        <v>26.2</v>
      </c>
    </row>
    <row r="9718" spans="1:6" x14ac:dyDescent="0.3">
      <c r="A9718" t="s">
        <v>1527</v>
      </c>
      <c r="B9718" t="s">
        <v>2138</v>
      </c>
      <c r="C9718">
        <v>18</v>
      </c>
      <c r="D9718">
        <v>200</v>
      </c>
      <c r="E9718">
        <f>IF(OR(B9718="vi",B9718="ii",B9718="pod"),(((D9718/100)*(C9718*VLOOKUP(B9718,'Poids des runes'!A:B,2,FALSE)))+1),(((D9718/100)*(C9718*VLOOKUP(B9718,'Poids des runes'!A:B,2,FALSE)))+1)/VLOOKUP(B9718,'Poids des runes'!A:B,2,FALSE))</f>
        <v>36.25</v>
      </c>
      <c r="F9718">
        <f t="shared" si="151"/>
        <v>36.25</v>
      </c>
    </row>
    <row r="9719" spans="1:6" x14ac:dyDescent="0.3">
      <c r="A9719" t="s">
        <v>1527</v>
      </c>
      <c r="B9719" t="s">
        <v>2163</v>
      </c>
      <c r="C9719">
        <v>13</v>
      </c>
      <c r="D9719">
        <v>200</v>
      </c>
      <c r="E9719">
        <f>IF(OR(B9719="vi",B9719="ii",B9719="pod"),(((D9719/100)*(C9719*VLOOKUP(B9719,'Poids des runes'!A:B,2,FALSE)))+1),(((D9719/100)*(C9719*VLOOKUP(B9719,'Poids des runes'!A:B,2,FALSE)))+1)/VLOOKUP(B9719,'Poids des runes'!A:B,2,FALSE))</f>
        <v>26.5</v>
      </c>
      <c r="F9719">
        <f t="shared" si="151"/>
        <v>26.5</v>
      </c>
    </row>
    <row r="9720" spans="1:6" x14ac:dyDescent="0.3">
      <c r="A9720" t="s">
        <v>1527</v>
      </c>
      <c r="B9720" t="s">
        <v>2147</v>
      </c>
      <c r="C9720">
        <v>5</v>
      </c>
      <c r="D9720">
        <v>200</v>
      </c>
      <c r="E9720">
        <f>IF(OR(B9720="vi",B9720="ii",B9720="pod"),(((D9720/100)*(C9720*VLOOKUP(B9720,'Poids des runes'!A:B,2,FALSE)))+1),(((D9720/100)*(C9720*VLOOKUP(B9720,'Poids des runes'!A:B,2,FALSE)))+1)/VLOOKUP(B9720,'Poids des runes'!A:B,2,FALSE))</f>
        <v>10.166666666666666</v>
      </c>
      <c r="F9720">
        <f t="shared" si="151"/>
        <v>10.166666666666666</v>
      </c>
    </row>
    <row r="9721" spans="1:6" x14ac:dyDescent="0.3">
      <c r="A9721" t="s">
        <v>1527</v>
      </c>
      <c r="B9721" t="s">
        <v>2135</v>
      </c>
      <c r="C9721">
        <v>5</v>
      </c>
      <c r="D9721">
        <v>200</v>
      </c>
      <c r="E9721">
        <f>IF(OR(B9721="vi",B9721="ii",B9721="pod"),(((D9721/100)*(C9721*VLOOKUP(B9721,'Poids des runes'!A:B,2,FALSE)))+1),(((D9721/100)*(C9721*VLOOKUP(B9721,'Poids des runes'!A:B,2,FALSE)))+1)/VLOOKUP(B9721,'Poids des runes'!A:B,2,FALSE))</f>
        <v>10.166666666666666</v>
      </c>
      <c r="F9721">
        <f t="shared" si="151"/>
        <v>10.166666666666666</v>
      </c>
    </row>
    <row r="9722" spans="1:6" x14ac:dyDescent="0.3">
      <c r="A9722" t="s">
        <v>1528</v>
      </c>
      <c r="B9722" t="s">
        <v>2128</v>
      </c>
      <c r="C9722">
        <v>450.5</v>
      </c>
      <c r="D9722">
        <v>200</v>
      </c>
      <c r="E9722">
        <f>IF(OR(B9722="vi",B9722="ii",B9722="pod"),(((D9722/100)*(C9722*VLOOKUP(B9722,'Poids des runes'!A:B,2,FALSE)))+1),(((D9722/100)*(C9722*VLOOKUP(B9722,'Poids des runes'!A:B,2,FALSE)))+1)/VLOOKUP(B9722,'Poids des runes'!A:B,2,FALSE))</f>
        <v>181.20000000000002</v>
      </c>
      <c r="F9722">
        <f t="shared" si="151"/>
        <v>181.20000000000002</v>
      </c>
    </row>
    <row r="9723" spans="1:6" x14ac:dyDescent="0.3">
      <c r="A9723" t="s">
        <v>1528</v>
      </c>
      <c r="B9723" t="s">
        <v>2130</v>
      </c>
      <c r="C9723">
        <v>40.5</v>
      </c>
      <c r="D9723">
        <v>200</v>
      </c>
      <c r="E9723">
        <f>IF(OR(B9723="vi",B9723="ii",B9723="pod"),(((D9723/100)*(C9723*VLOOKUP(B9723,'Poids des runes'!A:B,2,FALSE)))+1),(((D9723/100)*(C9723*VLOOKUP(B9723,'Poids des runes'!A:B,2,FALSE)))+1)/VLOOKUP(B9723,'Poids des runes'!A:B,2,FALSE))</f>
        <v>82</v>
      </c>
      <c r="F9723">
        <f t="shared" si="151"/>
        <v>82</v>
      </c>
    </row>
    <row r="9724" spans="1:6" x14ac:dyDescent="0.3">
      <c r="A9724" t="s">
        <v>1528</v>
      </c>
      <c r="B9724" t="s">
        <v>2127</v>
      </c>
      <c r="C9724">
        <v>40.5</v>
      </c>
      <c r="D9724">
        <v>200</v>
      </c>
      <c r="E9724">
        <f>IF(OR(B9724="vi",B9724="ii",B9724="pod"),(((D9724/100)*(C9724*VLOOKUP(B9724,'Poids des runes'!A:B,2,FALSE)))+1),(((D9724/100)*(C9724*VLOOKUP(B9724,'Poids des runes'!A:B,2,FALSE)))+1)/VLOOKUP(B9724,'Poids des runes'!A:B,2,FALSE))</f>
        <v>82</v>
      </c>
      <c r="F9724">
        <f t="shared" si="151"/>
        <v>82</v>
      </c>
    </row>
    <row r="9725" spans="1:6" x14ac:dyDescent="0.3">
      <c r="A9725" t="s">
        <v>1528</v>
      </c>
      <c r="B9725" t="s">
        <v>2129</v>
      </c>
      <c r="C9725">
        <v>35.5</v>
      </c>
      <c r="D9725">
        <v>200</v>
      </c>
      <c r="E9725">
        <f>IF(OR(B9725="vi",B9725="ii",B9725="pod"),(((D9725/100)*(C9725*VLOOKUP(B9725,'Poids des runes'!A:B,2,FALSE)))+1),(((D9725/100)*(C9725*VLOOKUP(B9725,'Poids des runes'!A:B,2,FALSE)))+1)/VLOOKUP(B9725,'Poids des runes'!A:B,2,FALSE))</f>
        <v>72</v>
      </c>
      <c r="F9725">
        <f t="shared" si="151"/>
        <v>72</v>
      </c>
    </row>
    <row r="9726" spans="1:6" x14ac:dyDescent="0.3">
      <c r="A9726" t="s">
        <v>1528</v>
      </c>
      <c r="B9726" t="s">
        <v>2152</v>
      </c>
      <c r="C9726">
        <v>1</v>
      </c>
      <c r="D9726">
        <v>200</v>
      </c>
      <c r="E9726">
        <f>IF(OR(B9726="vi",B9726="ii",B9726="pod"),(((D9726/100)*(C9726*VLOOKUP(B9726,'Poids des runes'!A:B,2,FALSE)))+1),(((D9726/100)*(C9726*VLOOKUP(B9726,'Poids des runes'!A:B,2,FALSE)))+1)/VLOOKUP(B9726,'Poids des runes'!A:B,2,FALSE))</f>
        <v>2.0099999999999998</v>
      </c>
      <c r="F9726">
        <f t="shared" si="151"/>
        <v>2.0099999999999998</v>
      </c>
    </row>
    <row r="9727" spans="1:6" x14ac:dyDescent="0.3">
      <c r="A9727" t="s">
        <v>1528</v>
      </c>
      <c r="B9727" t="s">
        <v>2154</v>
      </c>
      <c r="C9727">
        <v>1</v>
      </c>
      <c r="D9727">
        <v>200</v>
      </c>
      <c r="E9727">
        <f>IF(OR(B9727="vi",B9727="ii",B9727="pod"),(((D9727/100)*(C9727*VLOOKUP(B9727,'Poids des runes'!A:B,2,FALSE)))+1),(((D9727/100)*(C9727*VLOOKUP(B9727,'Poids des runes'!A:B,2,FALSE)))+1)/VLOOKUP(B9727,'Poids des runes'!A:B,2,FALSE))</f>
        <v>2.0111111111111111</v>
      </c>
      <c r="F9727">
        <f t="shared" si="151"/>
        <v>2.0111111111111111</v>
      </c>
    </row>
    <row r="9728" spans="1:6" x14ac:dyDescent="0.3">
      <c r="A9728" t="s">
        <v>1528</v>
      </c>
      <c r="B9728" t="s">
        <v>2143</v>
      </c>
      <c r="C9728">
        <v>10.5</v>
      </c>
      <c r="D9728">
        <v>200</v>
      </c>
      <c r="E9728">
        <f>IF(OR(B9728="vi",B9728="ii",B9728="pod"),(((D9728/100)*(C9728*VLOOKUP(B9728,'Poids des runes'!A:B,2,FALSE)))+1),(((D9728/100)*(C9728*VLOOKUP(B9728,'Poids des runes'!A:B,2,FALSE)))+1)/VLOOKUP(B9728,'Poids des runes'!A:B,2,FALSE))</f>
        <v>21.2</v>
      </c>
      <c r="F9728">
        <f t="shared" si="151"/>
        <v>21.2</v>
      </c>
    </row>
    <row r="9729" spans="1:6" x14ac:dyDescent="0.3">
      <c r="A9729" t="s">
        <v>1528</v>
      </c>
      <c r="B9729" t="s">
        <v>2153</v>
      </c>
      <c r="C9729">
        <v>10.5</v>
      </c>
      <c r="D9729">
        <v>200</v>
      </c>
      <c r="E9729">
        <f>IF(OR(B9729="vi",B9729="ii",B9729="pod"),(((D9729/100)*(C9729*VLOOKUP(B9729,'Poids des runes'!A:B,2,FALSE)))+1),(((D9729/100)*(C9729*VLOOKUP(B9729,'Poids des runes'!A:B,2,FALSE)))+1)/VLOOKUP(B9729,'Poids des runes'!A:B,2,FALSE))</f>
        <v>21.2</v>
      </c>
      <c r="F9729">
        <f t="shared" si="151"/>
        <v>21.2</v>
      </c>
    </row>
    <row r="9730" spans="1:6" x14ac:dyDescent="0.3">
      <c r="A9730" t="s">
        <v>1528</v>
      </c>
      <c r="B9730" t="s">
        <v>2138</v>
      </c>
      <c r="C9730">
        <v>6.5</v>
      </c>
      <c r="D9730">
        <v>200</v>
      </c>
      <c r="E9730">
        <f>IF(OR(B9730="vi",B9730="ii",B9730="pod"),(((D9730/100)*(C9730*VLOOKUP(B9730,'Poids des runes'!A:B,2,FALSE)))+1),(((D9730/100)*(C9730*VLOOKUP(B9730,'Poids des runes'!A:B,2,FALSE)))+1)/VLOOKUP(B9730,'Poids des runes'!A:B,2,FALSE))</f>
        <v>13.25</v>
      </c>
      <c r="F9730">
        <f t="shared" si="151"/>
        <v>13.25</v>
      </c>
    </row>
    <row r="9731" spans="1:6" x14ac:dyDescent="0.3">
      <c r="A9731" t="s">
        <v>1528</v>
      </c>
      <c r="B9731" t="s">
        <v>2147</v>
      </c>
      <c r="C9731">
        <v>8.5</v>
      </c>
      <c r="D9731">
        <v>200</v>
      </c>
      <c r="E9731">
        <f>IF(OR(B9731="vi",B9731="ii",B9731="pod"),(((D9731/100)*(C9731*VLOOKUP(B9731,'Poids des runes'!A:B,2,FALSE)))+1),(((D9731/100)*(C9731*VLOOKUP(B9731,'Poids des runes'!A:B,2,FALSE)))+1)/VLOOKUP(B9731,'Poids des runes'!A:B,2,FALSE))</f>
        <v>17.166666666666668</v>
      </c>
      <c r="F9731">
        <f t="shared" ref="F9731:F9794" si="152">E9731</f>
        <v>17.166666666666668</v>
      </c>
    </row>
    <row r="9732" spans="1:6" x14ac:dyDescent="0.3">
      <c r="A9732" t="s">
        <v>1529</v>
      </c>
      <c r="B9732" t="s">
        <v>2128</v>
      </c>
      <c r="C9732">
        <v>325.5</v>
      </c>
      <c r="D9732">
        <v>200</v>
      </c>
      <c r="E9732">
        <f>IF(OR(B9732="vi",B9732="ii",B9732="pod"),(((D9732/100)*(C9732*VLOOKUP(B9732,'Poids des runes'!A:B,2,FALSE)))+1),(((D9732/100)*(C9732*VLOOKUP(B9732,'Poids des runes'!A:B,2,FALSE)))+1)/VLOOKUP(B9732,'Poids des runes'!A:B,2,FALSE))</f>
        <v>131.20000000000002</v>
      </c>
      <c r="F9732">
        <f t="shared" si="152"/>
        <v>131.20000000000002</v>
      </c>
    </row>
    <row r="9733" spans="1:6" x14ac:dyDescent="0.3">
      <c r="A9733" t="s">
        <v>1529</v>
      </c>
      <c r="B9733" t="s">
        <v>2129</v>
      </c>
      <c r="C9733">
        <v>35.5</v>
      </c>
      <c r="D9733">
        <v>200</v>
      </c>
      <c r="E9733">
        <f>IF(OR(B9733="vi",B9733="ii",B9733="pod"),(((D9733/100)*(C9733*VLOOKUP(B9733,'Poids des runes'!A:B,2,FALSE)))+1),(((D9733/100)*(C9733*VLOOKUP(B9733,'Poids des runes'!A:B,2,FALSE)))+1)/VLOOKUP(B9733,'Poids des runes'!A:B,2,FALSE))</f>
        <v>72</v>
      </c>
      <c r="F9733">
        <f t="shared" si="152"/>
        <v>72</v>
      </c>
    </row>
    <row r="9734" spans="1:6" x14ac:dyDescent="0.3">
      <c r="A9734" t="s">
        <v>1529</v>
      </c>
      <c r="B9734" t="s">
        <v>2139</v>
      </c>
      <c r="C9734">
        <v>60.5</v>
      </c>
      <c r="D9734">
        <v>200</v>
      </c>
      <c r="E9734">
        <f>IF(OR(B9734="vi",B9734="ii",B9734="pod"),(((D9734/100)*(C9734*VLOOKUP(B9734,'Poids des runes'!A:B,2,FALSE)))+1),(((D9734/100)*(C9734*VLOOKUP(B9734,'Poids des runes'!A:B,2,FALSE)))+1)/VLOOKUP(B9734,'Poids des runes'!A:B,2,FALSE))</f>
        <v>121.5</v>
      </c>
      <c r="F9734">
        <f t="shared" si="152"/>
        <v>121.5</v>
      </c>
    </row>
    <row r="9735" spans="1:6" x14ac:dyDescent="0.3">
      <c r="A9735" t="s">
        <v>1529</v>
      </c>
      <c r="B9735" t="s">
        <v>2151</v>
      </c>
      <c r="C9735">
        <v>2.5</v>
      </c>
      <c r="D9735">
        <v>200</v>
      </c>
      <c r="E9735">
        <f>IF(OR(B9735="vi",B9735="ii",B9735="pod"),(((D9735/100)*(C9735*VLOOKUP(B9735,'Poids des runes'!A:B,2,FALSE)))+1),(((D9735/100)*(C9735*VLOOKUP(B9735,'Poids des runes'!A:B,2,FALSE)))+1)/VLOOKUP(B9735,'Poids des runes'!A:B,2,FALSE))</f>
        <v>5.0999999999999996</v>
      </c>
      <c r="F9735">
        <f t="shared" si="152"/>
        <v>5.0999999999999996</v>
      </c>
    </row>
    <row r="9736" spans="1:6" x14ac:dyDescent="0.3">
      <c r="A9736" t="s">
        <v>1529</v>
      </c>
      <c r="B9736" t="s">
        <v>2152</v>
      </c>
      <c r="C9736">
        <v>1</v>
      </c>
      <c r="D9736">
        <v>200</v>
      </c>
      <c r="E9736">
        <f>IF(OR(B9736="vi",B9736="ii",B9736="pod"),(((D9736/100)*(C9736*VLOOKUP(B9736,'Poids des runes'!A:B,2,FALSE)))+1),(((D9736/100)*(C9736*VLOOKUP(B9736,'Poids des runes'!A:B,2,FALSE)))+1)/VLOOKUP(B9736,'Poids des runes'!A:B,2,FALSE))</f>
        <v>2.0099999999999998</v>
      </c>
      <c r="F9736">
        <f t="shared" si="152"/>
        <v>2.0099999999999998</v>
      </c>
    </row>
    <row r="9737" spans="1:6" x14ac:dyDescent="0.3">
      <c r="A9737" t="s">
        <v>1529</v>
      </c>
      <c r="B9737" t="s">
        <v>2154</v>
      </c>
      <c r="C9737">
        <v>1</v>
      </c>
      <c r="D9737">
        <v>200</v>
      </c>
      <c r="E9737">
        <f>IF(OR(B9737="vi",B9737="ii",B9737="pod"),(((D9737/100)*(C9737*VLOOKUP(B9737,'Poids des runes'!A:B,2,FALSE)))+1),(((D9737/100)*(C9737*VLOOKUP(B9737,'Poids des runes'!A:B,2,FALSE)))+1)/VLOOKUP(B9737,'Poids des runes'!A:B,2,FALSE))</f>
        <v>2.0111111111111111</v>
      </c>
      <c r="F9737">
        <f t="shared" si="152"/>
        <v>2.0111111111111111</v>
      </c>
    </row>
    <row r="9738" spans="1:6" x14ac:dyDescent="0.3">
      <c r="A9738" t="s">
        <v>1529</v>
      </c>
      <c r="B9738" t="s">
        <v>2161</v>
      </c>
      <c r="C9738">
        <v>13</v>
      </c>
      <c r="D9738">
        <v>200</v>
      </c>
      <c r="E9738">
        <f>IF(OR(B9738="vi",B9738="ii",B9738="pod"),(((D9738/100)*(C9738*VLOOKUP(B9738,'Poids des runes'!A:B,2,FALSE)))+1),(((D9738/100)*(C9738*VLOOKUP(B9738,'Poids des runes'!A:B,2,FALSE)))+1)/VLOOKUP(B9738,'Poids des runes'!A:B,2,FALSE))</f>
        <v>26.333333333333332</v>
      </c>
      <c r="F9738">
        <f t="shared" si="152"/>
        <v>26.333333333333332</v>
      </c>
    </row>
    <row r="9739" spans="1:6" x14ac:dyDescent="0.3">
      <c r="A9739" t="s">
        <v>1529</v>
      </c>
      <c r="B9739" t="s">
        <v>2163</v>
      </c>
      <c r="C9739">
        <v>18</v>
      </c>
      <c r="D9739">
        <v>200</v>
      </c>
      <c r="E9739">
        <f>IF(OR(B9739="vi",B9739="ii",B9739="pod"),(((D9739/100)*(C9739*VLOOKUP(B9739,'Poids des runes'!A:B,2,FALSE)))+1),(((D9739/100)*(C9739*VLOOKUP(B9739,'Poids des runes'!A:B,2,FALSE)))+1)/VLOOKUP(B9739,'Poids des runes'!A:B,2,FALSE))</f>
        <v>36.5</v>
      </c>
      <c r="F9739">
        <f t="shared" si="152"/>
        <v>36.5</v>
      </c>
    </row>
    <row r="9740" spans="1:6" x14ac:dyDescent="0.3">
      <c r="A9740" t="s">
        <v>1529</v>
      </c>
      <c r="B9740" t="s">
        <v>2148</v>
      </c>
      <c r="C9740">
        <v>5</v>
      </c>
      <c r="D9740">
        <v>200</v>
      </c>
      <c r="E9740">
        <f>IF(OR(B9740="vi",B9740="ii",B9740="pod"),(((D9740/100)*(C9740*VLOOKUP(B9740,'Poids des runes'!A:B,2,FALSE)))+1),(((D9740/100)*(C9740*VLOOKUP(B9740,'Poids des runes'!A:B,2,FALSE)))+1)/VLOOKUP(B9740,'Poids des runes'!A:B,2,FALSE))</f>
        <v>10.166666666666666</v>
      </c>
      <c r="F9740">
        <f t="shared" si="152"/>
        <v>10.166666666666666</v>
      </c>
    </row>
    <row r="9741" spans="1:6" x14ac:dyDescent="0.3">
      <c r="A9741" t="s">
        <v>1529</v>
      </c>
      <c r="B9741" t="s">
        <v>2135</v>
      </c>
      <c r="C9741">
        <v>5</v>
      </c>
      <c r="D9741">
        <v>200</v>
      </c>
      <c r="E9741">
        <f>IF(OR(B9741="vi",B9741="ii",B9741="pod"),(((D9741/100)*(C9741*VLOOKUP(B9741,'Poids des runes'!A:B,2,FALSE)))+1),(((D9741/100)*(C9741*VLOOKUP(B9741,'Poids des runes'!A:B,2,FALSE)))+1)/VLOOKUP(B9741,'Poids des runes'!A:B,2,FALSE))</f>
        <v>10.166666666666666</v>
      </c>
      <c r="F9741">
        <f t="shared" si="152"/>
        <v>10.166666666666666</v>
      </c>
    </row>
    <row r="9742" spans="1:6" x14ac:dyDescent="0.3">
      <c r="A9742" t="s">
        <v>1530</v>
      </c>
      <c r="B9742" t="s">
        <v>2128</v>
      </c>
      <c r="C9742">
        <v>225.5</v>
      </c>
      <c r="D9742">
        <v>200</v>
      </c>
      <c r="E9742">
        <f>IF(OR(B9742="vi",B9742="ii",B9742="pod"),(((D9742/100)*(C9742*VLOOKUP(B9742,'Poids des runes'!A:B,2,FALSE)))+1),(((D9742/100)*(C9742*VLOOKUP(B9742,'Poids des runes'!A:B,2,FALSE)))+1)/VLOOKUP(B9742,'Poids des runes'!A:B,2,FALSE))</f>
        <v>91.2</v>
      </c>
      <c r="F9742">
        <f t="shared" si="152"/>
        <v>91.2</v>
      </c>
    </row>
    <row r="9743" spans="1:6" x14ac:dyDescent="0.3">
      <c r="A9743" t="s">
        <v>1530</v>
      </c>
      <c r="B9743" t="s">
        <v>2129</v>
      </c>
      <c r="C9743">
        <v>35.5</v>
      </c>
      <c r="D9743">
        <v>200</v>
      </c>
      <c r="E9743">
        <f>IF(OR(B9743="vi",B9743="ii",B9743="pod"),(((D9743/100)*(C9743*VLOOKUP(B9743,'Poids des runes'!A:B,2,FALSE)))+1),(((D9743/100)*(C9743*VLOOKUP(B9743,'Poids des runes'!A:B,2,FALSE)))+1)/VLOOKUP(B9743,'Poids des runes'!A:B,2,FALSE))</f>
        <v>72</v>
      </c>
      <c r="F9743">
        <f t="shared" si="152"/>
        <v>72</v>
      </c>
    </row>
    <row r="9744" spans="1:6" x14ac:dyDescent="0.3">
      <c r="A9744" t="s">
        <v>1530</v>
      </c>
      <c r="B9744" t="s">
        <v>2139</v>
      </c>
      <c r="C9744">
        <v>35.5</v>
      </c>
      <c r="D9744">
        <v>200</v>
      </c>
      <c r="E9744">
        <f>IF(OR(B9744="vi",B9744="ii",B9744="pod"),(((D9744/100)*(C9744*VLOOKUP(B9744,'Poids des runes'!A:B,2,FALSE)))+1),(((D9744/100)*(C9744*VLOOKUP(B9744,'Poids des runes'!A:B,2,FALSE)))+1)/VLOOKUP(B9744,'Poids des runes'!A:B,2,FALSE))</f>
        <v>71.5</v>
      </c>
      <c r="F9744">
        <f t="shared" si="152"/>
        <v>71.5</v>
      </c>
    </row>
    <row r="9745" spans="1:6" x14ac:dyDescent="0.3">
      <c r="A9745" t="s">
        <v>1530</v>
      </c>
      <c r="B9745" t="s">
        <v>2154</v>
      </c>
      <c r="C9745">
        <v>1</v>
      </c>
      <c r="D9745">
        <v>200</v>
      </c>
      <c r="E9745">
        <f>IF(OR(B9745="vi",B9745="ii",B9745="pod"),(((D9745/100)*(C9745*VLOOKUP(B9745,'Poids des runes'!A:B,2,FALSE)))+1),(((D9745/100)*(C9745*VLOOKUP(B9745,'Poids des runes'!A:B,2,FALSE)))+1)/VLOOKUP(B9745,'Poids des runes'!A:B,2,FALSE))</f>
        <v>2.0111111111111111</v>
      </c>
      <c r="F9745">
        <f t="shared" si="152"/>
        <v>2.0111111111111111</v>
      </c>
    </row>
    <row r="9746" spans="1:6" x14ac:dyDescent="0.3">
      <c r="A9746" t="s">
        <v>1530</v>
      </c>
      <c r="B9746" t="s">
        <v>2147</v>
      </c>
      <c r="C9746">
        <v>6</v>
      </c>
      <c r="D9746">
        <v>200</v>
      </c>
      <c r="E9746">
        <f>IF(OR(B9746="vi",B9746="ii",B9746="pod"),(((D9746/100)*(C9746*VLOOKUP(B9746,'Poids des runes'!A:B,2,FALSE)))+1),(((D9746/100)*(C9746*VLOOKUP(B9746,'Poids des runes'!A:B,2,FALSE)))+1)/VLOOKUP(B9746,'Poids des runes'!A:B,2,FALSE))</f>
        <v>12.166666666666666</v>
      </c>
      <c r="F9746">
        <f t="shared" si="152"/>
        <v>12.166666666666666</v>
      </c>
    </row>
    <row r="9747" spans="1:6" x14ac:dyDescent="0.3">
      <c r="A9747" t="s">
        <v>1530</v>
      </c>
      <c r="B9747" t="s">
        <v>2135</v>
      </c>
      <c r="C9747">
        <v>6</v>
      </c>
      <c r="D9747">
        <v>200</v>
      </c>
      <c r="E9747">
        <f>IF(OR(B9747="vi",B9747="ii",B9747="pod"),(((D9747/100)*(C9747*VLOOKUP(B9747,'Poids des runes'!A:B,2,FALSE)))+1),(((D9747/100)*(C9747*VLOOKUP(B9747,'Poids des runes'!A:B,2,FALSE)))+1)/VLOOKUP(B9747,'Poids des runes'!A:B,2,FALSE))</f>
        <v>12.166666666666666</v>
      </c>
      <c r="F9747">
        <f t="shared" si="152"/>
        <v>12.166666666666666</v>
      </c>
    </row>
    <row r="9748" spans="1:6" x14ac:dyDescent="0.3">
      <c r="A9748" t="s">
        <v>1531</v>
      </c>
      <c r="B9748" t="s">
        <v>2128</v>
      </c>
      <c r="C9748">
        <v>325.5</v>
      </c>
      <c r="D9748">
        <v>200</v>
      </c>
      <c r="E9748">
        <f>IF(OR(B9748="vi",B9748="ii",B9748="pod"),(((D9748/100)*(C9748*VLOOKUP(B9748,'Poids des runes'!A:B,2,FALSE)))+1),(((D9748/100)*(C9748*VLOOKUP(B9748,'Poids des runes'!A:B,2,FALSE)))+1)/VLOOKUP(B9748,'Poids des runes'!A:B,2,FALSE))</f>
        <v>131.20000000000002</v>
      </c>
      <c r="F9748">
        <f t="shared" si="152"/>
        <v>131.20000000000002</v>
      </c>
    </row>
    <row r="9749" spans="1:6" x14ac:dyDescent="0.3">
      <c r="A9749" t="s">
        <v>1531</v>
      </c>
      <c r="B9749" t="s">
        <v>2126</v>
      </c>
      <c r="C9749">
        <v>50.5</v>
      </c>
      <c r="D9749">
        <v>200</v>
      </c>
      <c r="E9749">
        <f>IF(OR(B9749="vi",B9749="ii",B9749="pod"),(((D9749/100)*(C9749*VLOOKUP(B9749,'Poids des runes'!A:B,2,FALSE)))+1),(((D9749/100)*(C9749*VLOOKUP(B9749,'Poids des runes'!A:B,2,FALSE)))+1)/VLOOKUP(B9749,'Poids des runes'!A:B,2,FALSE))</f>
        <v>102</v>
      </c>
      <c r="F9749">
        <f t="shared" si="152"/>
        <v>102</v>
      </c>
    </row>
    <row r="9750" spans="1:6" x14ac:dyDescent="0.3">
      <c r="A9750" t="s">
        <v>1531</v>
      </c>
      <c r="B9750" t="s">
        <v>2131</v>
      </c>
      <c r="C9750">
        <v>50.5</v>
      </c>
      <c r="D9750">
        <v>200</v>
      </c>
      <c r="E9750">
        <f>IF(OR(B9750="vi",B9750="ii",B9750="pod"),(((D9750/100)*(C9750*VLOOKUP(B9750,'Poids des runes'!A:B,2,FALSE)))+1),(((D9750/100)*(C9750*VLOOKUP(B9750,'Poids des runes'!A:B,2,FALSE)))+1)/VLOOKUP(B9750,'Poids des runes'!A:B,2,FALSE))</f>
        <v>102</v>
      </c>
      <c r="F9750">
        <f t="shared" si="152"/>
        <v>102</v>
      </c>
    </row>
    <row r="9751" spans="1:6" x14ac:dyDescent="0.3">
      <c r="A9751" t="s">
        <v>1531</v>
      </c>
      <c r="B9751" t="s">
        <v>2129</v>
      </c>
      <c r="C9751">
        <v>25.5</v>
      </c>
      <c r="D9751">
        <v>200</v>
      </c>
      <c r="E9751">
        <f>IF(OR(B9751="vi",B9751="ii",B9751="pod"),(((D9751/100)*(C9751*VLOOKUP(B9751,'Poids des runes'!A:B,2,FALSE)))+1),(((D9751/100)*(C9751*VLOOKUP(B9751,'Poids des runes'!A:B,2,FALSE)))+1)/VLOOKUP(B9751,'Poids des runes'!A:B,2,FALSE))</f>
        <v>52</v>
      </c>
      <c r="F9751">
        <f t="shared" si="152"/>
        <v>52</v>
      </c>
    </row>
    <row r="9752" spans="1:6" x14ac:dyDescent="0.3">
      <c r="A9752" t="s">
        <v>1531</v>
      </c>
      <c r="B9752" t="s">
        <v>2154</v>
      </c>
      <c r="C9752">
        <v>1</v>
      </c>
      <c r="D9752">
        <v>200</v>
      </c>
      <c r="E9752">
        <f>IF(OR(B9752="vi",B9752="ii",B9752="pod"),(((D9752/100)*(C9752*VLOOKUP(B9752,'Poids des runes'!A:B,2,FALSE)))+1),(((D9752/100)*(C9752*VLOOKUP(B9752,'Poids des runes'!A:B,2,FALSE)))+1)/VLOOKUP(B9752,'Poids des runes'!A:B,2,FALSE))</f>
        <v>2.0111111111111111</v>
      </c>
      <c r="F9752">
        <f t="shared" si="152"/>
        <v>2.0111111111111111</v>
      </c>
    </row>
    <row r="9753" spans="1:6" x14ac:dyDescent="0.3">
      <c r="A9753" t="s">
        <v>1531</v>
      </c>
      <c r="B9753" t="s">
        <v>2140</v>
      </c>
      <c r="C9753">
        <v>13</v>
      </c>
      <c r="D9753">
        <v>200</v>
      </c>
      <c r="E9753">
        <f>IF(OR(B9753="vi",B9753="ii",B9753="pod"),(((D9753/100)*(C9753*VLOOKUP(B9753,'Poids des runes'!A:B,2,FALSE)))+1),(((D9753/100)*(C9753*VLOOKUP(B9753,'Poids des runes'!A:B,2,FALSE)))+1)/VLOOKUP(B9753,'Poids des runes'!A:B,2,FALSE))</f>
        <v>26.2</v>
      </c>
      <c r="F9753">
        <f t="shared" si="152"/>
        <v>26.2</v>
      </c>
    </row>
    <row r="9754" spans="1:6" x14ac:dyDescent="0.3">
      <c r="A9754" t="s">
        <v>1531</v>
      </c>
      <c r="B9754" t="s">
        <v>2133</v>
      </c>
      <c r="C9754">
        <v>13</v>
      </c>
      <c r="D9754">
        <v>200</v>
      </c>
      <c r="E9754">
        <f>IF(OR(B9754="vi",B9754="ii",B9754="pod"),(((D9754/100)*(C9754*VLOOKUP(B9754,'Poids des runes'!A:B,2,FALSE)))+1),(((D9754/100)*(C9754*VLOOKUP(B9754,'Poids des runes'!A:B,2,FALSE)))+1)/VLOOKUP(B9754,'Poids des runes'!A:B,2,FALSE))</f>
        <v>26.2</v>
      </c>
      <c r="F9754">
        <f t="shared" si="152"/>
        <v>26.2</v>
      </c>
    </row>
    <row r="9755" spans="1:6" x14ac:dyDescent="0.3">
      <c r="A9755" t="s">
        <v>1531</v>
      </c>
      <c r="B9755" t="s">
        <v>2141</v>
      </c>
      <c r="C9755">
        <v>13</v>
      </c>
      <c r="D9755">
        <v>200</v>
      </c>
      <c r="E9755">
        <f>IF(OR(B9755="vi",B9755="ii",B9755="pod"),(((D9755/100)*(C9755*VLOOKUP(B9755,'Poids des runes'!A:B,2,FALSE)))+1),(((D9755/100)*(C9755*VLOOKUP(B9755,'Poids des runes'!A:B,2,FALSE)))+1)/VLOOKUP(B9755,'Poids des runes'!A:B,2,FALSE))</f>
        <v>26.25</v>
      </c>
      <c r="F9755">
        <f t="shared" si="152"/>
        <v>26.25</v>
      </c>
    </row>
    <row r="9756" spans="1:6" x14ac:dyDescent="0.3">
      <c r="A9756" t="s">
        <v>1531</v>
      </c>
      <c r="B9756" t="s">
        <v>2160</v>
      </c>
      <c r="C9756">
        <v>8.5</v>
      </c>
      <c r="D9756">
        <v>200</v>
      </c>
      <c r="E9756">
        <f>IF(OR(B9756="vi",B9756="ii",B9756="pod"),(((D9756/100)*(C9756*VLOOKUP(B9756,'Poids des runes'!A:B,2,FALSE)))+1),(((D9756/100)*(C9756*VLOOKUP(B9756,'Poids des runes'!A:B,2,FALSE)))+1)/VLOOKUP(B9756,'Poids des runes'!A:B,2,FALSE))</f>
        <v>17.142857142857142</v>
      </c>
      <c r="F9756">
        <f t="shared" si="152"/>
        <v>17.142857142857142</v>
      </c>
    </row>
    <row r="9757" spans="1:6" x14ac:dyDescent="0.3">
      <c r="A9757" t="s">
        <v>1531</v>
      </c>
      <c r="B9757" t="s">
        <v>2148</v>
      </c>
      <c r="C9757">
        <v>6.5</v>
      </c>
      <c r="D9757">
        <v>200</v>
      </c>
      <c r="E9757">
        <f>IF(OR(B9757="vi",B9757="ii",B9757="pod"),(((D9757/100)*(C9757*VLOOKUP(B9757,'Poids des runes'!A:B,2,FALSE)))+1),(((D9757/100)*(C9757*VLOOKUP(B9757,'Poids des runes'!A:B,2,FALSE)))+1)/VLOOKUP(B9757,'Poids des runes'!A:B,2,FALSE))</f>
        <v>13.166666666666666</v>
      </c>
      <c r="F9757">
        <f t="shared" si="152"/>
        <v>13.166666666666666</v>
      </c>
    </row>
    <row r="9758" spans="1:6" x14ac:dyDescent="0.3">
      <c r="A9758" t="s">
        <v>1531</v>
      </c>
      <c r="B9758" t="s">
        <v>2157</v>
      </c>
      <c r="C9758">
        <v>2.5</v>
      </c>
      <c r="D9758">
        <v>200</v>
      </c>
      <c r="E9758">
        <f>IF(OR(B9758="vi",B9758="ii",B9758="pod"),(((D9758/100)*(C9758*VLOOKUP(B9758,'Poids des runes'!A:B,2,FALSE)))+1),(((D9758/100)*(C9758*VLOOKUP(B9758,'Poids des runes'!A:B,2,FALSE)))+1)/VLOOKUP(B9758,'Poids des runes'!A:B,2,FALSE))</f>
        <v>5.166666666666667</v>
      </c>
      <c r="F9758">
        <f t="shared" si="152"/>
        <v>5.166666666666667</v>
      </c>
    </row>
    <row r="9759" spans="1:6" x14ac:dyDescent="0.3">
      <c r="A9759" t="s">
        <v>1532</v>
      </c>
      <c r="B9759" t="s">
        <v>2128</v>
      </c>
      <c r="C9759">
        <v>275.5</v>
      </c>
      <c r="D9759">
        <v>200</v>
      </c>
      <c r="E9759">
        <f>IF(OR(B9759="vi",B9759="ii",B9759="pod"),(((D9759/100)*(C9759*VLOOKUP(B9759,'Poids des runes'!A:B,2,FALSE)))+1),(((D9759/100)*(C9759*VLOOKUP(B9759,'Poids des runes'!A:B,2,FALSE)))+1)/VLOOKUP(B9759,'Poids des runes'!A:B,2,FALSE))</f>
        <v>111.2</v>
      </c>
      <c r="F9759">
        <f t="shared" si="152"/>
        <v>111.2</v>
      </c>
    </row>
    <row r="9760" spans="1:6" x14ac:dyDescent="0.3">
      <c r="A9760" t="s">
        <v>1532</v>
      </c>
      <c r="B9760" t="s">
        <v>2129</v>
      </c>
      <c r="C9760">
        <v>20.5</v>
      </c>
      <c r="D9760">
        <v>200</v>
      </c>
      <c r="E9760">
        <f>IF(OR(B9760="vi",B9760="ii",B9760="pod"),(((D9760/100)*(C9760*VLOOKUP(B9760,'Poids des runes'!A:B,2,FALSE)))+1),(((D9760/100)*(C9760*VLOOKUP(B9760,'Poids des runes'!A:B,2,FALSE)))+1)/VLOOKUP(B9760,'Poids des runes'!A:B,2,FALSE))</f>
        <v>42</v>
      </c>
      <c r="F9760">
        <f t="shared" si="152"/>
        <v>42</v>
      </c>
    </row>
    <row r="9761" spans="1:6" x14ac:dyDescent="0.3">
      <c r="A9761" t="s">
        <v>1532</v>
      </c>
      <c r="B9761" t="s">
        <v>2139</v>
      </c>
      <c r="C9761">
        <v>30.5</v>
      </c>
      <c r="D9761">
        <v>200</v>
      </c>
      <c r="E9761">
        <f>IF(OR(B9761="vi",B9761="ii",B9761="pod"),(((D9761/100)*(C9761*VLOOKUP(B9761,'Poids des runes'!A:B,2,FALSE)))+1),(((D9761/100)*(C9761*VLOOKUP(B9761,'Poids des runes'!A:B,2,FALSE)))+1)/VLOOKUP(B9761,'Poids des runes'!A:B,2,FALSE))</f>
        <v>61.5</v>
      </c>
      <c r="F9761">
        <f t="shared" si="152"/>
        <v>61.5</v>
      </c>
    </row>
    <row r="9762" spans="1:6" x14ac:dyDescent="0.3">
      <c r="A9762" t="s">
        <v>1532</v>
      </c>
      <c r="B9762" t="s">
        <v>2151</v>
      </c>
      <c r="C9762">
        <v>4</v>
      </c>
      <c r="D9762">
        <v>200</v>
      </c>
      <c r="E9762">
        <f>IF(OR(B9762="vi",B9762="ii",B9762="pod"),(((D9762/100)*(C9762*VLOOKUP(B9762,'Poids des runes'!A:B,2,FALSE)))+1),(((D9762/100)*(C9762*VLOOKUP(B9762,'Poids des runes'!A:B,2,FALSE)))+1)/VLOOKUP(B9762,'Poids des runes'!A:B,2,FALSE))</f>
        <v>8.1</v>
      </c>
      <c r="F9762">
        <f t="shared" si="152"/>
        <v>8.1</v>
      </c>
    </row>
    <row r="9763" spans="1:6" x14ac:dyDescent="0.3">
      <c r="A9763" t="s">
        <v>1532</v>
      </c>
      <c r="B9763" t="s">
        <v>2152</v>
      </c>
      <c r="C9763">
        <v>1</v>
      </c>
      <c r="D9763">
        <v>200</v>
      </c>
      <c r="E9763">
        <f>IF(OR(B9763="vi",B9763="ii",B9763="pod"),(((D9763/100)*(C9763*VLOOKUP(B9763,'Poids des runes'!A:B,2,FALSE)))+1),(((D9763/100)*(C9763*VLOOKUP(B9763,'Poids des runes'!A:B,2,FALSE)))+1)/VLOOKUP(B9763,'Poids des runes'!A:B,2,FALSE))</f>
        <v>2.0099999999999998</v>
      </c>
      <c r="F9763">
        <f t="shared" si="152"/>
        <v>2.0099999999999998</v>
      </c>
    </row>
    <row r="9764" spans="1:6" x14ac:dyDescent="0.3">
      <c r="A9764" t="s">
        <v>1532</v>
      </c>
      <c r="B9764" t="s">
        <v>2163</v>
      </c>
      <c r="C9764">
        <v>20.5</v>
      </c>
      <c r="D9764">
        <v>200</v>
      </c>
      <c r="E9764">
        <f>IF(OR(B9764="vi",B9764="ii",B9764="pod"),(((D9764/100)*(C9764*VLOOKUP(B9764,'Poids des runes'!A:B,2,FALSE)))+1),(((D9764/100)*(C9764*VLOOKUP(B9764,'Poids des runes'!A:B,2,FALSE)))+1)/VLOOKUP(B9764,'Poids des runes'!A:B,2,FALSE))</f>
        <v>41.5</v>
      </c>
      <c r="F9764">
        <f t="shared" si="152"/>
        <v>41.5</v>
      </c>
    </row>
    <row r="9765" spans="1:6" x14ac:dyDescent="0.3">
      <c r="A9765" t="s">
        <v>1532</v>
      </c>
      <c r="B9765" t="s">
        <v>2164</v>
      </c>
      <c r="C9765">
        <v>20.5</v>
      </c>
      <c r="D9765">
        <v>200</v>
      </c>
      <c r="E9765">
        <f>IF(OR(B9765="vi",B9765="ii",B9765="pod"),(((D9765/100)*(C9765*VLOOKUP(B9765,'Poids des runes'!A:B,2,FALSE)))+1),(((D9765/100)*(C9765*VLOOKUP(B9765,'Poids des runes'!A:B,2,FALSE)))+1)/VLOOKUP(B9765,'Poids des runes'!A:B,2,FALSE))</f>
        <v>41.5</v>
      </c>
      <c r="F9765">
        <f t="shared" si="152"/>
        <v>41.5</v>
      </c>
    </row>
    <row r="9766" spans="1:6" x14ac:dyDescent="0.3">
      <c r="A9766" t="s">
        <v>1533</v>
      </c>
      <c r="B9766" t="s">
        <v>2128</v>
      </c>
      <c r="C9766">
        <v>325.5</v>
      </c>
      <c r="D9766">
        <v>200</v>
      </c>
      <c r="E9766">
        <f>IF(OR(B9766="vi",B9766="ii",B9766="pod"),(((D9766/100)*(C9766*VLOOKUP(B9766,'Poids des runes'!A:B,2,FALSE)))+1),(((D9766/100)*(C9766*VLOOKUP(B9766,'Poids des runes'!A:B,2,FALSE)))+1)/VLOOKUP(B9766,'Poids des runes'!A:B,2,FALSE))</f>
        <v>131.20000000000002</v>
      </c>
      <c r="F9766">
        <f t="shared" si="152"/>
        <v>131.20000000000002</v>
      </c>
    </row>
    <row r="9767" spans="1:6" x14ac:dyDescent="0.3">
      <c r="A9767" t="s">
        <v>1533</v>
      </c>
      <c r="B9767" t="s">
        <v>2127</v>
      </c>
      <c r="C9767">
        <v>70.5</v>
      </c>
      <c r="D9767">
        <v>200</v>
      </c>
      <c r="E9767">
        <f>IF(OR(B9767="vi",B9767="ii",B9767="pod"),(((D9767/100)*(C9767*VLOOKUP(B9767,'Poids des runes'!A:B,2,FALSE)))+1),(((D9767/100)*(C9767*VLOOKUP(B9767,'Poids des runes'!A:B,2,FALSE)))+1)/VLOOKUP(B9767,'Poids des runes'!A:B,2,FALSE))</f>
        <v>142</v>
      </c>
      <c r="F9767">
        <f t="shared" si="152"/>
        <v>142</v>
      </c>
    </row>
    <row r="9768" spans="1:6" x14ac:dyDescent="0.3">
      <c r="A9768" t="s">
        <v>1533</v>
      </c>
      <c r="B9768" t="s">
        <v>2129</v>
      </c>
      <c r="C9768">
        <v>35.5</v>
      </c>
      <c r="D9768">
        <v>200</v>
      </c>
      <c r="E9768">
        <f>IF(OR(B9768="vi",B9768="ii",B9768="pod"),(((D9768/100)*(C9768*VLOOKUP(B9768,'Poids des runes'!A:B,2,FALSE)))+1),(((D9768/100)*(C9768*VLOOKUP(B9768,'Poids des runes'!A:B,2,FALSE)))+1)/VLOOKUP(B9768,'Poids des runes'!A:B,2,FALSE))</f>
        <v>72</v>
      </c>
      <c r="F9768">
        <f t="shared" si="152"/>
        <v>72</v>
      </c>
    </row>
    <row r="9769" spans="1:6" x14ac:dyDescent="0.3">
      <c r="A9769" t="s">
        <v>1533</v>
      </c>
      <c r="B9769" t="s">
        <v>2151</v>
      </c>
      <c r="C9769">
        <v>4.5</v>
      </c>
      <c r="D9769">
        <v>200</v>
      </c>
      <c r="E9769">
        <f>IF(OR(B9769="vi",B9769="ii",B9769="pod"),(((D9769/100)*(C9769*VLOOKUP(B9769,'Poids des runes'!A:B,2,FALSE)))+1),(((D9769/100)*(C9769*VLOOKUP(B9769,'Poids des runes'!A:B,2,FALSE)))+1)/VLOOKUP(B9769,'Poids des runes'!A:B,2,FALSE))</f>
        <v>9.1</v>
      </c>
      <c r="F9769">
        <f t="shared" si="152"/>
        <v>9.1</v>
      </c>
    </row>
    <row r="9770" spans="1:6" x14ac:dyDescent="0.3">
      <c r="A9770" t="s">
        <v>1533</v>
      </c>
      <c r="B9770" t="s">
        <v>2152</v>
      </c>
      <c r="C9770">
        <v>1</v>
      </c>
      <c r="D9770">
        <v>200</v>
      </c>
      <c r="E9770">
        <f>IF(OR(B9770="vi",B9770="ii",B9770="pod"),(((D9770/100)*(C9770*VLOOKUP(B9770,'Poids des runes'!A:B,2,FALSE)))+1),(((D9770/100)*(C9770*VLOOKUP(B9770,'Poids des runes'!A:B,2,FALSE)))+1)/VLOOKUP(B9770,'Poids des runes'!A:B,2,FALSE))</f>
        <v>2.0099999999999998</v>
      </c>
      <c r="F9770">
        <f t="shared" si="152"/>
        <v>2.0099999999999998</v>
      </c>
    </row>
    <row r="9771" spans="1:6" x14ac:dyDescent="0.3">
      <c r="A9771" t="s">
        <v>1533</v>
      </c>
      <c r="B9771" t="s">
        <v>2153</v>
      </c>
      <c r="C9771">
        <v>18</v>
      </c>
      <c r="D9771">
        <v>200</v>
      </c>
      <c r="E9771">
        <f>IF(OR(B9771="vi",B9771="ii",B9771="pod"),(((D9771/100)*(C9771*VLOOKUP(B9771,'Poids des runes'!A:B,2,FALSE)))+1),(((D9771/100)*(C9771*VLOOKUP(B9771,'Poids des runes'!A:B,2,FALSE)))+1)/VLOOKUP(B9771,'Poids des runes'!A:B,2,FALSE))</f>
        <v>36.200000000000003</v>
      </c>
      <c r="F9771">
        <f t="shared" si="152"/>
        <v>36.200000000000003</v>
      </c>
    </row>
    <row r="9772" spans="1:6" x14ac:dyDescent="0.3">
      <c r="A9772" t="s">
        <v>1533</v>
      </c>
      <c r="B9772" t="s">
        <v>2161</v>
      </c>
      <c r="C9772">
        <v>13</v>
      </c>
      <c r="D9772">
        <v>200</v>
      </c>
      <c r="E9772">
        <f>IF(OR(B9772="vi",B9772="ii",B9772="pod"),(((D9772/100)*(C9772*VLOOKUP(B9772,'Poids des runes'!A:B,2,FALSE)))+1),(((D9772/100)*(C9772*VLOOKUP(B9772,'Poids des runes'!A:B,2,FALSE)))+1)/VLOOKUP(B9772,'Poids des runes'!A:B,2,FALSE))</f>
        <v>26.333333333333332</v>
      </c>
      <c r="F9772">
        <f t="shared" si="152"/>
        <v>26.333333333333332</v>
      </c>
    </row>
    <row r="9773" spans="1:6" x14ac:dyDescent="0.3">
      <c r="A9773" t="s">
        <v>1533</v>
      </c>
      <c r="B9773" t="s">
        <v>2141</v>
      </c>
      <c r="C9773">
        <v>4.5</v>
      </c>
      <c r="D9773">
        <v>200</v>
      </c>
      <c r="E9773">
        <f>IF(OR(B9773="vi",B9773="ii",B9773="pod"),(((D9773/100)*(C9773*VLOOKUP(B9773,'Poids des runes'!A:B,2,FALSE)))+1),(((D9773/100)*(C9773*VLOOKUP(B9773,'Poids des runes'!A:B,2,FALSE)))+1)/VLOOKUP(B9773,'Poids des runes'!A:B,2,FALSE))</f>
        <v>9.25</v>
      </c>
      <c r="F9773">
        <f t="shared" si="152"/>
        <v>9.25</v>
      </c>
    </row>
    <row r="9774" spans="1:6" x14ac:dyDescent="0.3">
      <c r="A9774" t="s">
        <v>1533</v>
      </c>
      <c r="B9774" t="s">
        <v>2142</v>
      </c>
      <c r="C9774">
        <v>10.5</v>
      </c>
      <c r="D9774">
        <v>200</v>
      </c>
      <c r="E9774">
        <f>IF(OR(B9774="vi",B9774="ii",B9774="pod"),(((D9774/100)*(C9774*VLOOKUP(B9774,'Poids des runes'!A:B,2,FALSE)))+1),(((D9774/100)*(C9774*VLOOKUP(B9774,'Poids des runes'!A:B,2,FALSE)))+1)/VLOOKUP(B9774,'Poids des runes'!A:B,2,FALSE))</f>
        <v>21.2</v>
      </c>
      <c r="F9774">
        <f t="shared" si="152"/>
        <v>21.2</v>
      </c>
    </row>
    <row r="9775" spans="1:6" x14ac:dyDescent="0.3">
      <c r="A9775" t="s">
        <v>1533</v>
      </c>
      <c r="B9775" t="s">
        <v>2148</v>
      </c>
      <c r="C9775">
        <v>8.5</v>
      </c>
      <c r="D9775">
        <v>200</v>
      </c>
      <c r="E9775">
        <f>IF(OR(B9775="vi",B9775="ii",B9775="pod"),(((D9775/100)*(C9775*VLOOKUP(B9775,'Poids des runes'!A:B,2,FALSE)))+1),(((D9775/100)*(C9775*VLOOKUP(B9775,'Poids des runes'!A:B,2,FALSE)))+1)/VLOOKUP(B9775,'Poids des runes'!A:B,2,FALSE))</f>
        <v>17.166666666666668</v>
      </c>
      <c r="F9775">
        <f t="shared" si="152"/>
        <v>17.166666666666668</v>
      </c>
    </row>
    <row r="9776" spans="1:6" x14ac:dyDescent="0.3">
      <c r="A9776" t="s">
        <v>1534</v>
      </c>
      <c r="B9776" t="s">
        <v>2128</v>
      </c>
      <c r="C9776">
        <v>325.5</v>
      </c>
      <c r="D9776">
        <v>200</v>
      </c>
      <c r="E9776">
        <f>IF(OR(B9776="vi",B9776="ii",B9776="pod"),(((D9776/100)*(C9776*VLOOKUP(B9776,'Poids des runes'!A:B,2,FALSE)))+1),(((D9776/100)*(C9776*VLOOKUP(B9776,'Poids des runes'!A:B,2,FALSE)))+1)/VLOOKUP(B9776,'Poids des runes'!A:B,2,FALSE))</f>
        <v>131.20000000000002</v>
      </c>
      <c r="F9776">
        <f t="shared" si="152"/>
        <v>131.20000000000002</v>
      </c>
    </row>
    <row r="9777" spans="1:6" x14ac:dyDescent="0.3">
      <c r="A9777" t="s">
        <v>1534</v>
      </c>
      <c r="B9777" t="s">
        <v>2126</v>
      </c>
      <c r="C9777">
        <v>90.5</v>
      </c>
      <c r="D9777">
        <v>200</v>
      </c>
      <c r="E9777">
        <f>IF(OR(B9777="vi",B9777="ii",B9777="pod"),(((D9777/100)*(C9777*VLOOKUP(B9777,'Poids des runes'!A:B,2,FALSE)))+1),(((D9777/100)*(C9777*VLOOKUP(B9777,'Poids des runes'!A:B,2,FALSE)))+1)/VLOOKUP(B9777,'Poids des runes'!A:B,2,FALSE))</f>
        <v>182</v>
      </c>
      <c r="F9777">
        <f t="shared" si="152"/>
        <v>182</v>
      </c>
    </row>
    <row r="9778" spans="1:6" x14ac:dyDescent="0.3">
      <c r="A9778" t="s">
        <v>1534</v>
      </c>
      <c r="B9778" t="s">
        <v>2129</v>
      </c>
      <c r="C9778">
        <v>35.5</v>
      </c>
      <c r="D9778">
        <v>200</v>
      </c>
      <c r="E9778">
        <f>IF(OR(B9778="vi",B9778="ii",B9778="pod"),(((D9778/100)*(C9778*VLOOKUP(B9778,'Poids des runes'!A:B,2,FALSE)))+1),(((D9778/100)*(C9778*VLOOKUP(B9778,'Poids des runes'!A:B,2,FALSE)))+1)/VLOOKUP(B9778,'Poids des runes'!A:B,2,FALSE))</f>
        <v>72</v>
      </c>
      <c r="F9778">
        <f t="shared" si="152"/>
        <v>72</v>
      </c>
    </row>
    <row r="9779" spans="1:6" x14ac:dyDescent="0.3">
      <c r="A9779" t="s">
        <v>1534</v>
      </c>
      <c r="B9779" t="s">
        <v>2151</v>
      </c>
      <c r="C9779">
        <v>3.5</v>
      </c>
      <c r="D9779">
        <v>200</v>
      </c>
      <c r="E9779">
        <f>IF(OR(B9779="vi",B9779="ii",B9779="pod"),(((D9779/100)*(C9779*VLOOKUP(B9779,'Poids des runes'!A:B,2,FALSE)))+1),(((D9779/100)*(C9779*VLOOKUP(B9779,'Poids des runes'!A:B,2,FALSE)))+1)/VLOOKUP(B9779,'Poids des runes'!A:B,2,FALSE))</f>
        <v>7.1</v>
      </c>
      <c r="F9779">
        <f t="shared" si="152"/>
        <v>7.1</v>
      </c>
    </row>
    <row r="9780" spans="1:6" x14ac:dyDescent="0.3">
      <c r="A9780" t="s">
        <v>1534</v>
      </c>
      <c r="B9780" t="s">
        <v>2152</v>
      </c>
      <c r="C9780">
        <v>1</v>
      </c>
      <c r="D9780">
        <v>200</v>
      </c>
      <c r="E9780">
        <f>IF(OR(B9780="vi",B9780="ii",B9780="pod"),(((D9780/100)*(C9780*VLOOKUP(B9780,'Poids des runes'!A:B,2,FALSE)))+1),(((D9780/100)*(C9780*VLOOKUP(B9780,'Poids des runes'!A:B,2,FALSE)))+1)/VLOOKUP(B9780,'Poids des runes'!A:B,2,FALSE))</f>
        <v>2.0099999999999998</v>
      </c>
      <c r="F9780">
        <f t="shared" si="152"/>
        <v>2.0099999999999998</v>
      </c>
    </row>
    <row r="9781" spans="1:6" x14ac:dyDescent="0.3">
      <c r="A9781" t="s">
        <v>1534</v>
      </c>
      <c r="B9781" t="s">
        <v>2155</v>
      </c>
      <c r="C9781">
        <v>1</v>
      </c>
      <c r="D9781">
        <v>200</v>
      </c>
      <c r="E9781">
        <f>IF(OR(B9781="vi",B9781="ii",B9781="pod"),(((D9781/100)*(C9781*VLOOKUP(B9781,'Poids des runes'!A:B,2,FALSE)))+1),(((D9781/100)*(C9781*VLOOKUP(B9781,'Poids des runes'!A:B,2,FALSE)))+1)/VLOOKUP(B9781,'Poids des runes'!A:B,2,FALSE))</f>
        <v>2.0196078431372548</v>
      </c>
      <c r="F9781">
        <f t="shared" si="152"/>
        <v>2.0196078431372548</v>
      </c>
    </row>
    <row r="9782" spans="1:6" x14ac:dyDescent="0.3">
      <c r="A9782" t="s">
        <v>1534</v>
      </c>
      <c r="B9782" t="s">
        <v>2140</v>
      </c>
      <c r="C9782">
        <v>13</v>
      </c>
      <c r="D9782">
        <v>200</v>
      </c>
      <c r="E9782">
        <f>IF(OR(B9782="vi",B9782="ii",B9782="pod"),(((D9782/100)*(C9782*VLOOKUP(B9782,'Poids des runes'!A:B,2,FALSE)))+1),(((D9782/100)*(C9782*VLOOKUP(B9782,'Poids des runes'!A:B,2,FALSE)))+1)/VLOOKUP(B9782,'Poids des runes'!A:B,2,FALSE))</f>
        <v>26.2</v>
      </c>
      <c r="F9782">
        <f t="shared" si="152"/>
        <v>26.2</v>
      </c>
    </row>
    <row r="9783" spans="1:6" x14ac:dyDescent="0.3">
      <c r="A9783" t="s">
        <v>1534</v>
      </c>
      <c r="B9783" t="s">
        <v>2164</v>
      </c>
      <c r="C9783">
        <v>25.5</v>
      </c>
      <c r="D9783">
        <v>200</v>
      </c>
      <c r="E9783">
        <f>IF(OR(B9783="vi",B9783="ii",B9783="pod"),(((D9783/100)*(C9783*VLOOKUP(B9783,'Poids des runes'!A:B,2,FALSE)))+1),(((D9783/100)*(C9783*VLOOKUP(B9783,'Poids des runes'!A:B,2,FALSE)))+1)/VLOOKUP(B9783,'Poids des runes'!A:B,2,FALSE))</f>
        <v>51.5</v>
      </c>
      <c r="F9783">
        <f t="shared" si="152"/>
        <v>51.5</v>
      </c>
    </row>
    <row r="9784" spans="1:6" x14ac:dyDescent="0.3">
      <c r="A9784" t="s">
        <v>1534</v>
      </c>
      <c r="B9784" t="s">
        <v>2156</v>
      </c>
      <c r="C9784">
        <v>6</v>
      </c>
      <c r="D9784">
        <v>200</v>
      </c>
      <c r="E9784">
        <f>IF(OR(B9784="vi",B9784="ii",B9784="pod"),(((D9784/100)*(C9784*VLOOKUP(B9784,'Poids des runes'!A:B,2,FALSE)))+1),(((D9784/100)*(C9784*VLOOKUP(B9784,'Poids des runes'!A:B,2,FALSE)))+1)/VLOOKUP(B9784,'Poids des runes'!A:B,2,FALSE))</f>
        <v>12.166666666666666</v>
      </c>
      <c r="F9784">
        <f t="shared" si="152"/>
        <v>12.166666666666666</v>
      </c>
    </row>
    <row r="9785" spans="1:6" x14ac:dyDescent="0.3">
      <c r="A9785" t="s">
        <v>1534</v>
      </c>
      <c r="B9785" t="s">
        <v>2135</v>
      </c>
      <c r="C9785">
        <v>6</v>
      </c>
      <c r="D9785">
        <v>200</v>
      </c>
      <c r="E9785">
        <f>IF(OR(B9785="vi",B9785="ii",B9785="pod"),(((D9785/100)*(C9785*VLOOKUP(B9785,'Poids des runes'!A:B,2,FALSE)))+1),(((D9785/100)*(C9785*VLOOKUP(B9785,'Poids des runes'!A:B,2,FALSE)))+1)/VLOOKUP(B9785,'Poids des runes'!A:B,2,FALSE))</f>
        <v>12.166666666666666</v>
      </c>
      <c r="F9785">
        <f t="shared" si="152"/>
        <v>12.166666666666666</v>
      </c>
    </row>
    <row r="9786" spans="1:6" x14ac:dyDescent="0.3">
      <c r="A9786" t="s">
        <v>1535</v>
      </c>
      <c r="B9786" t="s">
        <v>2128</v>
      </c>
      <c r="C9786">
        <v>375.5</v>
      </c>
      <c r="D9786">
        <v>200</v>
      </c>
      <c r="E9786">
        <f>IF(OR(B9786="vi",B9786="ii",B9786="pod"),(((D9786/100)*(C9786*VLOOKUP(B9786,'Poids des runes'!A:B,2,FALSE)))+1),(((D9786/100)*(C9786*VLOOKUP(B9786,'Poids des runes'!A:B,2,FALSE)))+1)/VLOOKUP(B9786,'Poids des runes'!A:B,2,FALSE))</f>
        <v>151.20000000000002</v>
      </c>
      <c r="F9786">
        <f t="shared" si="152"/>
        <v>151.20000000000002</v>
      </c>
    </row>
    <row r="9787" spans="1:6" x14ac:dyDescent="0.3">
      <c r="A9787" t="s">
        <v>1535</v>
      </c>
      <c r="B9787" t="s">
        <v>2127</v>
      </c>
      <c r="C9787">
        <v>85.5</v>
      </c>
      <c r="D9787">
        <v>200</v>
      </c>
      <c r="E9787">
        <f>IF(OR(B9787="vi",B9787="ii",B9787="pod"),(((D9787/100)*(C9787*VLOOKUP(B9787,'Poids des runes'!A:B,2,FALSE)))+1),(((D9787/100)*(C9787*VLOOKUP(B9787,'Poids des runes'!A:B,2,FALSE)))+1)/VLOOKUP(B9787,'Poids des runes'!A:B,2,FALSE))</f>
        <v>172</v>
      </c>
      <c r="F9787">
        <f t="shared" si="152"/>
        <v>172</v>
      </c>
    </row>
    <row r="9788" spans="1:6" x14ac:dyDescent="0.3">
      <c r="A9788" t="s">
        <v>1535</v>
      </c>
      <c r="B9788" t="s">
        <v>2129</v>
      </c>
      <c r="C9788">
        <v>40.5</v>
      </c>
      <c r="D9788">
        <v>200</v>
      </c>
      <c r="E9788">
        <f>IF(OR(B9788="vi",B9788="ii",B9788="pod"),(((D9788/100)*(C9788*VLOOKUP(B9788,'Poids des runes'!A:B,2,FALSE)))+1),(((D9788/100)*(C9788*VLOOKUP(B9788,'Poids des runes'!A:B,2,FALSE)))+1)/VLOOKUP(B9788,'Poids des runes'!A:B,2,FALSE))</f>
        <v>82</v>
      </c>
      <c r="F9788">
        <f t="shared" si="152"/>
        <v>82</v>
      </c>
    </row>
    <row r="9789" spans="1:6" x14ac:dyDescent="0.3">
      <c r="A9789" t="s">
        <v>1535</v>
      </c>
      <c r="B9789" t="s">
        <v>2152</v>
      </c>
      <c r="C9789">
        <v>1</v>
      </c>
      <c r="D9789">
        <v>200</v>
      </c>
      <c r="E9789">
        <f>IF(OR(B9789="vi",B9789="ii",B9789="pod"),(((D9789/100)*(C9789*VLOOKUP(B9789,'Poids des runes'!A:B,2,FALSE)))+1),(((D9789/100)*(C9789*VLOOKUP(B9789,'Poids des runes'!A:B,2,FALSE)))+1)/VLOOKUP(B9789,'Poids des runes'!A:B,2,FALSE))</f>
        <v>2.0099999999999998</v>
      </c>
      <c r="F9789">
        <f t="shared" si="152"/>
        <v>2.0099999999999998</v>
      </c>
    </row>
    <row r="9790" spans="1:6" x14ac:dyDescent="0.3">
      <c r="A9790" t="s">
        <v>1535</v>
      </c>
      <c r="B9790" t="s">
        <v>2154</v>
      </c>
      <c r="C9790">
        <v>1</v>
      </c>
      <c r="D9790">
        <v>200</v>
      </c>
      <c r="E9790">
        <f>IF(OR(B9790="vi",B9790="ii",B9790="pod"),(((D9790/100)*(C9790*VLOOKUP(B9790,'Poids des runes'!A:B,2,FALSE)))+1),(((D9790/100)*(C9790*VLOOKUP(B9790,'Poids des runes'!A:B,2,FALSE)))+1)/VLOOKUP(B9790,'Poids des runes'!A:B,2,FALSE))</f>
        <v>2.0111111111111111</v>
      </c>
      <c r="F9790">
        <f t="shared" si="152"/>
        <v>2.0111111111111111</v>
      </c>
    </row>
    <row r="9791" spans="1:6" x14ac:dyDescent="0.3">
      <c r="A9791" t="s">
        <v>1535</v>
      </c>
      <c r="B9791" t="s">
        <v>2155</v>
      </c>
      <c r="C9791">
        <v>1</v>
      </c>
      <c r="D9791">
        <v>200</v>
      </c>
      <c r="E9791">
        <f>IF(OR(B9791="vi",B9791="ii",B9791="pod"),(((D9791/100)*(C9791*VLOOKUP(B9791,'Poids des runes'!A:B,2,FALSE)))+1),(((D9791/100)*(C9791*VLOOKUP(B9791,'Poids des runes'!A:B,2,FALSE)))+1)/VLOOKUP(B9791,'Poids des runes'!A:B,2,FALSE))</f>
        <v>2.0196078431372548</v>
      </c>
      <c r="F9791">
        <f t="shared" si="152"/>
        <v>2.0196078431372548</v>
      </c>
    </row>
    <row r="9792" spans="1:6" x14ac:dyDescent="0.3">
      <c r="A9792" t="s">
        <v>1535</v>
      </c>
      <c r="B9792" t="s">
        <v>2153</v>
      </c>
      <c r="C9792">
        <v>13</v>
      </c>
      <c r="D9792">
        <v>200</v>
      </c>
      <c r="E9792">
        <f>IF(OR(B9792="vi",B9792="ii",B9792="pod"),(((D9792/100)*(C9792*VLOOKUP(B9792,'Poids des runes'!A:B,2,FALSE)))+1),(((D9792/100)*(C9792*VLOOKUP(B9792,'Poids des runes'!A:B,2,FALSE)))+1)/VLOOKUP(B9792,'Poids des runes'!A:B,2,FALSE))</f>
        <v>26.2</v>
      </c>
      <c r="F9792">
        <f t="shared" si="152"/>
        <v>26.2</v>
      </c>
    </row>
    <row r="9793" spans="1:6" x14ac:dyDescent="0.3">
      <c r="A9793" t="s">
        <v>1535</v>
      </c>
      <c r="B9793" t="s">
        <v>2138</v>
      </c>
      <c r="C9793">
        <v>18</v>
      </c>
      <c r="D9793">
        <v>200</v>
      </c>
      <c r="E9793">
        <f>IF(OR(B9793="vi",B9793="ii",B9793="pod"),(((D9793/100)*(C9793*VLOOKUP(B9793,'Poids des runes'!A:B,2,FALSE)))+1),(((D9793/100)*(C9793*VLOOKUP(B9793,'Poids des runes'!A:B,2,FALSE)))+1)/VLOOKUP(B9793,'Poids des runes'!A:B,2,FALSE))</f>
        <v>36.25</v>
      </c>
      <c r="F9793">
        <f t="shared" si="152"/>
        <v>36.25</v>
      </c>
    </row>
    <row r="9794" spans="1:6" x14ac:dyDescent="0.3">
      <c r="A9794" t="s">
        <v>1535</v>
      </c>
      <c r="B9794" t="s">
        <v>2148</v>
      </c>
      <c r="C9794">
        <v>4</v>
      </c>
      <c r="D9794">
        <v>200</v>
      </c>
      <c r="E9794">
        <f>IF(OR(B9794="vi",B9794="ii",B9794="pod"),(((D9794/100)*(C9794*VLOOKUP(B9794,'Poids des runes'!A:B,2,FALSE)))+1),(((D9794/100)*(C9794*VLOOKUP(B9794,'Poids des runes'!A:B,2,FALSE)))+1)/VLOOKUP(B9794,'Poids des runes'!A:B,2,FALSE))</f>
        <v>8.1666666666666661</v>
      </c>
      <c r="F9794">
        <f t="shared" si="152"/>
        <v>8.1666666666666661</v>
      </c>
    </row>
    <row r="9795" spans="1:6" x14ac:dyDescent="0.3">
      <c r="A9795" t="s">
        <v>1535</v>
      </c>
      <c r="B9795" t="s">
        <v>2135</v>
      </c>
      <c r="C9795">
        <v>8.5</v>
      </c>
      <c r="D9795">
        <v>200</v>
      </c>
      <c r="E9795">
        <f>IF(OR(B9795="vi",B9795="ii",B9795="pod"),(((D9795/100)*(C9795*VLOOKUP(B9795,'Poids des runes'!A:B,2,FALSE)))+1),(((D9795/100)*(C9795*VLOOKUP(B9795,'Poids des runes'!A:B,2,FALSE)))+1)/VLOOKUP(B9795,'Poids des runes'!A:B,2,FALSE))</f>
        <v>17.166666666666668</v>
      </c>
      <c r="F9795">
        <f t="shared" ref="F9795:F9858" si="153">E9795</f>
        <v>17.166666666666668</v>
      </c>
    </row>
    <row r="9796" spans="1:6" x14ac:dyDescent="0.3">
      <c r="A9796" t="s">
        <v>1536</v>
      </c>
      <c r="B9796" t="s">
        <v>2128</v>
      </c>
      <c r="C9796">
        <v>325.5</v>
      </c>
      <c r="D9796">
        <v>200</v>
      </c>
      <c r="E9796">
        <f>IF(OR(B9796="vi",B9796="ii",B9796="pod"),(((D9796/100)*(C9796*VLOOKUP(B9796,'Poids des runes'!A:B,2,FALSE)))+1),(((D9796/100)*(C9796*VLOOKUP(B9796,'Poids des runes'!A:B,2,FALSE)))+1)/VLOOKUP(B9796,'Poids des runes'!A:B,2,FALSE))</f>
        <v>131.20000000000002</v>
      </c>
      <c r="F9796">
        <f t="shared" si="153"/>
        <v>131.20000000000002</v>
      </c>
    </row>
    <row r="9797" spans="1:6" x14ac:dyDescent="0.3">
      <c r="A9797" t="s">
        <v>1536</v>
      </c>
      <c r="B9797" t="s">
        <v>2130</v>
      </c>
      <c r="C9797">
        <v>60.5</v>
      </c>
      <c r="D9797">
        <v>200</v>
      </c>
      <c r="E9797">
        <f>IF(OR(B9797="vi",B9797="ii",B9797="pod"),(((D9797/100)*(C9797*VLOOKUP(B9797,'Poids des runes'!A:B,2,FALSE)))+1),(((D9797/100)*(C9797*VLOOKUP(B9797,'Poids des runes'!A:B,2,FALSE)))+1)/VLOOKUP(B9797,'Poids des runes'!A:B,2,FALSE))</f>
        <v>122</v>
      </c>
      <c r="F9797">
        <f t="shared" si="153"/>
        <v>122</v>
      </c>
    </row>
    <row r="9798" spans="1:6" x14ac:dyDescent="0.3">
      <c r="A9798" t="s">
        <v>1536</v>
      </c>
      <c r="B9798" t="s">
        <v>2129</v>
      </c>
      <c r="C9798">
        <v>25.5</v>
      </c>
      <c r="D9798">
        <v>200</v>
      </c>
      <c r="E9798">
        <f>IF(OR(B9798="vi",B9798="ii",B9798="pod"),(((D9798/100)*(C9798*VLOOKUP(B9798,'Poids des runes'!A:B,2,FALSE)))+1),(((D9798/100)*(C9798*VLOOKUP(B9798,'Poids des runes'!A:B,2,FALSE)))+1)/VLOOKUP(B9798,'Poids des runes'!A:B,2,FALSE))</f>
        <v>52</v>
      </c>
      <c r="F9798">
        <f t="shared" si="153"/>
        <v>52</v>
      </c>
    </row>
    <row r="9799" spans="1:6" x14ac:dyDescent="0.3">
      <c r="A9799" t="s">
        <v>1536</v>
      </c>
      <c r="B9799" t="s">
        <v>2151</v>
      </c>
      <c r="C9799">
        <v>2.5</v>
      </c>
      <c r="D9799">
        <v>200</v>
      </c>
      <c r="E9799">
        <f>IF(OR(B9799="vi",B9799="ii",B9799="pod"),(((D9799/100)*(C9799*VLOOKUP(B9799,'Poids des runes'!A:B,2,FALSE)))+1),(((D9799/100)*(C9799*VLOOKUP(B9799,'Poids des runes'!A:B,2,FALSE)))+1)/VLOOKUP(B9799,'Poids des runes'!A:B,2,FALSE))</f>
        <v>5.0999999999999996</v>
      </c>
      <c r="F9799">
        <f t="shared" si="153"/>
        <v>5.0999999999999996</v>
      </c>
    </row>
    <row r="9800" spans="1:6" x14ac:dyDescent="0.3">
      <c r="A9800" t="s">
        <v>1536</v>
      </c>
      <c r="B9800" t="s">
        <v>2152</v>
      </c>
      <c r="C9800">
        <v>1</v>
      </c>
      <c r="D9800">
        <v>200</v>
      </c>
      <c r="E9800">
        <f>IF(OR(B9800="vi",B9800="ii",B9800="pod"),(((D9800/100)*(C9800*VLOOKUP(B9800,'Poids des runes'!A:B,2,FALSE)))+1),(((D9800/100)*(C9800*VLOOKUP(B9800,'Poids des runes'!A:B,2,FALSE)))+1)/VLOOKUP(B9800,'Poids des runes'!A:B,2,FALSE))</f>
        <v>2.0099999999999998</v>
      </c>
      <c r="F9800">
        <f t="shared" si="153"/>
        <v>2.0099999999999998</v>
      </c>
    </row>
    <row r="9801" spans="1:6" x14ac:dyDescent="0.3">
      <c r="A9801" t="s">
        <v>1536</v>
      </c>
      <c r="B9801" t="s">
        <v>2143</v>
      </c>
      <c r="C9801">
        <v>13</v>
      </c>
      <c r="D9801">
        <v>200</v>
      </c>
      <c r="E9801">
        <f>IF(OR(B9801="vi",B9801="ii",B9801="pod"),(((D9801/100)*(C9801*VLOOKUP(B9801,'Poids des runes'!A:B,2,FALSE)))+1),(((D9801/100)*(C9801*VLOOKUP(B9801,'Poids des runes'!A:B,2,FALSE)))+1)/VLOOKUP(B9801,'Poids des runes'!A:B,2,FALSE))</f>
        <v>26.2</v>
      </c>
      <c r="F9801">
        <f t="shared" si="153"/>
        <v>26.2</v>
      </c>
    </row>
    <row r="9802" spans="1:6" x14ac:dyDescent="0.3">
      <c r="A9802" t="s">
        <v>1536</v>
      </c>
      <c r="B9802" t="s">
        <v>2132</v>
      </c>
      <c r="C9802">
        <v>350.5</v>
      </c>
      <c r="D9802">
        <v>200</v>
      </c>
      <c r="E9802">
        <f>IF(OR(B9802="vi",B9802="ii",B9802="pod"),(((D9802/100)*(C9802*VLOOKUP(B9802,'Poids des runes'!A:B,2,FALSE)))+1),(((D9802/100)*(C9802*VLOOKUP(B9802,'Poids des runes'!A:B,2,FALSE)))+1)/VLOOKUP(B9802,'Poids des runes'!A:B,2,FALSE))</f>
        <v>71.100000000000009</v>
      </c>
      <c r="F9802">
        <f t="shared" si="153"/>
        <v>71.100000000000009</v>
      </c>
    </row>
    <row r="9803" spans="1:6" x14ac:dyDescent="0.3">
      <c r="A9803" t="s">
        <v>1536</v>
      </c>
      <c r="B9803" t="s">
        <v>2163</v>
      </c>
      <c r="C9803">
        <v>20.5</v>
      </c>
      <c r="D9803">
        <v>200</v>
      </c>
      <c r="E9803">
        <f>IF(OR(B9803="vi",B9803="ii",B9803="pod"),(((D9803/100)*(C9803*VLOOKUP(B9803,'Poids des runes'!A:B,2,FALSE)))+1),(((D9803/100)*(C9803*VLOOKUP(B9803,'Poids des runes'!A:B,2,FALSE)))+1)/VLOOKUP(B9803,'Poids des runes'!A:B,2,FALSE))</f>
        <v>41.5</v>
      </c>
      <c r="F9803">
        <f t="shared" si="153"/>
        <v>41.5</v>
      </c>
    </row>
    <row r="9804" spans="1:6" x14ac:dyDescent="0.3">
      <c r="A9804" t="s">
        <v>1536</v>
      </c>
      <c r="B9804" t="s">
        <v>2147</v>
      </c>
      <c r="C9804">
        <v>8.5</v>
      </c>
      <c r="D9804">
        <v>200</v>
      </c>
      <c r="E9804">
        <f>IF(OR(B9804="vi",B9804="ii",B9804="pod"),(((D9804/100)*(C9804*VLOOKUP(B9804,'Poids des runes'!A:B,2,FALSE)))+1),(((D9804/100)*(C9804*VLOOKUP(B9804,'Poids des runes'!A:B,2,FALSE)))+1)/VLOOKUP(B9804,'Poids des runes'!A:B,2,FALSE))</f>
        <v>17.166666666666668</v>
      </c>
      <c r="F9804">
        <f t="shared" si="153"/>
        <v>17.166666666666668</v>
      </c>
    </row>
    <row r="9805" spans="1:6" x14ac:dyDescent="0.3">
      <c r="A9805" t="s">
        <v>1536</v>
      </c>
      <c r="B9805" t="s">
        <v>2135</v>
      </c>
      <c r="C9805">
        <v>8.5</v>
      </c>
      <c r="D9805">
        <v>200</v>
      </c>
      <c r="E9805">
        <f>IF(OR(B9805="vi",B9805="ii",B9805="pod"),(((D9805/100)*(C9805*VLOOKUP(B9805,'Poids des runes'!A:B,2,FALSE)))+1),(((D9805/100)*(C9805*VLOOKUP(B9805,'Poids des runes'!A:B,2,FALSE)))+1)/VLOOKUP(B9805,'Poids des runes'!A:B,2,FALSE))</f>
        <v>17.166666666666668</v>
      </c>
      <c r="F9805">
        <f t="shared" si="153"/>
        <v>17.166666666666668</v>
      </c>
    </row>
    <row r="9806" spans="1:6" x14ac:dyDescent="0.3">
      <c r="A9806" t="s">
        <v>1537</v>
      </c>
      <c r="B9806" t="s">
        <v>2128</v>
      </c>
      <c r="C9806">
        <v>325.5</v>
      </c>
      <c r="D9806">
        <v>200</v>
      </c>
      <c r="E9806">
        <f>IF(OR(B9806="vi",B9806="ii",B9806="pod"),(((D9806/100)*(C9806*VLOOKUP(B9806,'Poids des runes'!A:B,2,FALSE)))+1),(((D9806/100)*(C9806*VLOOKUP(B9806,'Poids des runes'!A:B,2,FALSE)))+1)/VLOOKUP(B9806,'Poids des runes'!A:B,2,FALSE))</f>
        <v>131.20000000000002</v>
      </c>
      <c r="F9806">
        <f t="shared" si="153"/>
        <v>131.20000000000002</v>
      </c>
    </row>
    <row r="9807" spans="1:6" x14ac:dyDescent="0.3">
      <c r="A9807" t="s">
        <v>1537</v>
      </c>
      <c r="B9807" t="s">
        <v>2130</v>
      </c>
      <c r="C9807">
        <v>40.5</v>
      </c>
      <c r="D9807">
        <v>200</v>
      </c>
      <c r="E9807">
        <f>IF(OR(B9807="vi",B9807="ii",B9807="pod"),(((D9807/100)*(C9807*VLOOKUP(B9807,'Poids des runes'!A:B,2,FALSE)))+1),(((D9807/100)*(C9807*VLOOKUP(B9807,'Poids des runes'!A:B,2,FALSE)))+1)/VLOOKUP(B9807,'Poids des runes'!A:B,2,FALSE))</f>
        <v>82</v>
      </c>
      <c r="F9807">
        <f t="shared" si="153"/>
        <v>82</v>
      </c>
    </row>
    <row r="9808" spans="1:6" x14ac:dyDescent="0.3">
      <c r="A9808" t="s">
        <v>1537</v>
      </c>
      <c r="B9808" t="s">
        <v>2131</v>
      </c>
      <c r="C9808">
        <v>40.5</v>
      </c>
      <c r="D9808">
        <v>200</v>
      </c>
      <c r="E9808">
        <f>IF(OR(B9808="vi",B9808="ii",B9808="pod"),(((D9808/100)*(C9808*VLOOKUP(B9808,'Poids des runes'!A:B,2,FALSE)))+1),(((D9808/100)*(C9808*VLOOKUP(B9808,'Poids des runes'!A:B,2,FALSE)))+1)/VLOOKUP(B9808,'Poids des runes'!A:B,2,FALSE))</f>
        <v>82</v>
      </c>
      <c r="F9808">
        <f t="shared" si="153"/>
        <v>82</v>
      </c>
    </row>
    <row r="9809" spans="1:6" x14ac:dyDescent="0.3">
      <c r="A9809" t="s">
        <v>1537</v>
      </c>
      <c r="B9809" t="s">
        <v>2127</v>
      </c>
      <c r="C9809">
        <v>40.5</v>
      </c>
      <c r="D9809">
        <v>200</v>
      </c>
      <c r="E9809">
        <f>IF(OR(B9809="vi",B9809="ii",B9809="pod"),(((D9809/100)*(C9809*VLOOKUP(B9809,'Poids des runes'!A:B,2,FALSE)))+1),(((D9809/100)*(C9809*VLOOKUP(B9809,'Poids des runes'!A:B,2,FALSE)))+1)/VLOOKUP(B9809,'Poids des runes'!A:B,2,FALSE))</f>
        <v>82</v>
      </c>
      <c r="F9809">
        <f t="shared" si="153"/>
        <v>82</v>
      </c>
    </row>
    <row r="9810" spans="1:6" x14ac:dyDescent="0.3">
      <c r="A9810" t="s">
        <v>1537</v>
      </c>
      <c r="B9810" t="s">
        <v>2129</v>
      </c>
      <c r="C9810">
        <v>25.5</v>
      </c>
      <c r="D9810">
        <v>200</v>
      </c>
      <c r="E9810">
        <f>IF(OR(B9810="vi",B9810="ii",B9810="pod"),(((D9810/100)*(C9810*VLOOKUP(B9810,'Poids des runes'!A:B,2,FALSE)))+1),(((D9810/100)*(C9810*VLOOKUP(B9810,'Poids des runes'!A:B,2,FALSE)))+1)/VLOOKUP(B9810,'Poids des runes'!A:B,2,FALSE))</f>
        <v>52</v>
      </c>
      <c r="F9810">
        <f t="shared" si="153"/>
        <v>52</v>
      </c>
    </row>
    <row r="9811" spans="1:6" x14ac:dyDescent="0.3">
      <c r="A9811" t="s">
        <v>1537</v>
      </c>
      <c r="B9811" t="s">
        <v>2151</v>
      </c>
      <c r="C9811">
        <v>2.5</v>
      </c>
      <c r="D9811">
        <v>200</v>
      </c>
      <c r="E9811">
        <f>IF(OR(B9811="vi",B9811="ii",B9811="pod"),(((D9811/100)*(C9811*VLOOKUP(B9811,'Poids des runes'!A:B,2,FALSE)))+1),(((D9811/100)*(C9811*VLOOKUP(B9811,'Poids des runes'!A:B,2,FALSE)))+1)/VLOOKUP(B9811,'Poids des runes'!A:B,2,FALSE))</f>
        <v>5.0999999999999996</v>
      </c>
      <c r="F9811">
        <f t="shared" si="153"/>
        <v>5.0999999999999996</v>
      </c>
    </row>
    <row r="9812" spans="1:6" x14ac:dyDescent="0.3">
      <c r="A9812" t="s">
        <v>1537</v>
      </c>
      <c r="B9812" t="s">
        <v>2152</v>
      </c>
      <c r="C9812">
        <v>1</v>
      </c>
      <c r="D9812">
        <v>200</v>
      </c>
      <c r="E9812">
        <f>IF(OR(B9812="vi",B9812="ii",B9812="pod"),(((D9812/100)*(C9812*VLOOKUP(B9812,'Poids des runes'!A:B,2,FALSE)))+1),(((D9812/100)*(C9812*VLOOKUP(B9812,'Poids des runes'!A:B,2,FALSE)))+1)/VLOOKUP(B9812,'Poids des runes'!A:B,2,FALSE))</f>
        <v>2.0099999999999998</v>
      </c>
      <c r="F9812">
        <f t="shared" si="153"/>
        <v>2.0099999999999998</v>
      </c>
    </row>
    <row r="9813" spans="1:6" x14ac:dyDescent="0.3">
      <c r="A9813" t="s">
        <v>1537</v>
      </c>
      <c r="B9813" t="s">
        <v>2155</v>
      </c>
      <c r="C9813">
        <v>1</v>
      </c>
      <c r="D9813">
        <v>200</v>
      </c>
      <c r="E9813">
        <f>IF(OR(B9813="vi",B9813="ii",B9813="pod"),(((D9813/100)*(C9813*VLOOKUP(B9813,'Poids des runes'!A:B,2,FALSE)))+1),(((D9813/100)*(C9813*VLOOKUP(B9813,'Poids des runes'!A:B,2,FALSE)))+1)/VLOOKUP(B9813,'Poids des runes'!A:B,2,FALSE))</f>
        <v>2.0196078431372548</v>
      </c>
      <c r="F9813">
        <f t="shared" si="153"/>
        <v>2.0196078431372548</v>
      </c>
    </row>
    <row r="9814" spans="1:6" x14ac:dyDescent="0.3">
      <c r="A9814" t="s">
        <v>1537</v>
      </c>
      <c r="B9814" t="s">
        <v>2143</v>
      </c>
      <c r="C9814">
        <v>10.5</v>
      </c>
      <c r="D9814">
        <v>200</v>
      </c>
      <c r="E9814">
        <f>IF(OR(B9814="vi",B9814="ii",B9814="pod"),(((D9814/100)*(C9814*VLOOKUP(B9814,'Poids des runes'!A:B,2,FALSE)))+1),(((D9814/100)*(C9814*VLOOKUP(B9814,'Poids des runes'!A:B,2,FALSE)))+1)/VLOOKUP(B9814,'Poids des runes'!A:B,2,FALSE))</f>
        <v>21.2</v>
      </c>
      <c r="F9814">
        <f t="shared" si="153"/>
        <v>21.2</v>
      </c>
    </row>
    <row r="9815" spans="1:6" x14ac:dyDescent="0.3">
      <c r="A9815" t="s">
        <v>1537</v>
      </c>
      <c r="B9815" t="s">
        <v>2133</v>
      </c>
      <c r="C9815">
        <v>10.5</v>
      </c>
      <c r="D9815">
        <v>200</v>
      </c>
      <c r="E9815">
        <f>IF(OR(B9815="vi",B9815="ii",B9815="pod"),(((D9815/100)*(C9815*VLOOKUP(B9815,'Poids des runes'!A:B,2,FALSE)))+1),(((D9815/100)*(C9815*VLOOKUP(B9815,'Poids des runes'!A:B,2,FALSE)))+1)/VLOOKUP(B9815,'Poids des runes'!A:B,2,FALSE))</f>
        <v>21.2</v>
      </c>
      <c r="F9815">
        <f t="shared" si="153"/>
        <v>21.2</v>
      </c>
    </row>
    <row r="9816" spans="1:6" x14ac:dyDescent="0.3">
      <c r="A9816" t="s">
        <v>1537</v>
      </c>
      <c r="B9816" t="s">
        <v>2153</v>
      </c>
      <c r="C9816">
        <v>10.5</v>
      </c>
      <c r="D9816">
        <v>200</v>
      </c>
      <c r="E9816">
        <f>IF(OR(B9816="vi",B9816="ii",B9816="pod"),(((D9816/100)*(C9816*VLOOKUP(B9816,'Poids des runes'!A:B,2,FALSE)))+1),(((D9816/100)*(C9816*VLOOKUP(B9816,'Poids des runes'!A:B,2,FALSE)))+1)/VLOOKUP(B9816,'Poids des runes'!A:B,2,FALSE))</f>
        <v>21.2</v>
      </c>
      <c r="F9816">
        <f t="shared" si="153"/>
        <v>21.2</v>
      </c>
    </row>
    <row r="9817" spans="1:6" x14ac:dyDescent="0.3">
      <c r="A9817" t="s">
        <v>1537</v>
      </c>
      <c r="B9817" t="s">
        <v>2148</v>
      </c>
      <c r="C9817">
        <v>8.5</v>
      </c>
      <c r="D9817">
        <v>200</v>
      </c>
      <c r="E9817">
        <f>IF(OR(B9817="vi",B9817="ii",B9817="pod"),(((D9817/100)*(C9817*VLOOKUP(B9817,'Poids des runes'!A:B,2,FALSE)))+1),(((D9817/100)*(C9817*VLOOKUP(B9817,'Poids des runes'!A:B,2,FALSE)))+1)/VLOOKUP(B9817,'Poids des runes'!A:B,2,FALSE))</f>
        <v>17.166666666666668</v>
      </c>
      <c r="F9817">
        <f t="shared" si="153"/>
        <v>17.166666666666668</v>
      </c>
    </row>
    <row r="9818" spans="1:6" x14ac:dyDescent="0.3">
      <c r="A9818" t="s">
        <v>1538</v>
      </c>
      <c r="B9818" t="s">
        <v>2128</v>
      </c>
      <c r="C9818">
        <v>275.5</v>
      </c>
      <c r="D9818">
        <v>200</v>
      </c>
      <c r="E9818">
        <f>IF(OR(B9818="vi",B9818="ii",B9818="pod"),(((D9818/100)*(C9818*VLOOKUP(B9818,'Poids des runes'!A:B,2,FALSE)))+1),(((D9818/100)*(C9818*VLOOKUP(B9818,'Poids des runes'!A:B,2,FALSE)))+1)/VLOOKUP(B9818,'Poids des runes'!A:B,2,FALSE))</f>
        <v>111.2</v>
      </c>
      <c r="F9818">
        <f t="shared" si="153"/>
        <v>111.2</v>
      </c>
    </row>
    <row r="9819" spans="1:6" x14ac:dyDescent="0.3">
      <c r="A9819" t="s">
        <v>1538</v>
      </c>
      <c r="B9819" t="s">
        <v>2131</v>
      </c>
      <c r="C9819">
        <v>50.5</v>
      </c>
      <c r="D9819">
        <v>200</v>
      </c>
      <c r="E9819">
        <f>IF(OR(B9819="vi",B9819="ii",B9819="pod"),(((D9819/100)*(C9819*VLOOKUP(B9819,'Poids des runes'!A:B,2,FALSE)))+1),(((D9819/100)*(C9819*VLOOKUP(B9819,'Poids des runes'!A:B,2,FALSE)))+1)/VLOOKUP(B9819,'Poids des runes'!A:B,2,FALSE))</f>
        <v>102</v>
      </c>
      <c r="F9819">
        <f t="shared" si="153"/>
        <v>102</v>
      </c>
    </row>
    <row r="9820" spans="1:6" x14ac:dyDescent="0.3">
      <c r="A9820" t="s">
        <v>1538</v>
      </c>
      <c r="B9820" t="s">
        <v>2129</v>
      </c>
      <c r="C9820">
        <v>35.5</v>
      </c>
      <c r="D9820">
        <v>200</v>
      </c>
      <c r="E9820">
        <f>IF(OR(B9820="vi",B9820="ii",B9820="pod"),(((D9820/100)*(C9820*VLOOKUP(B9820,'Poids des runes'!A:B,2,FALSE)))+1),(((D9820/100)*(C9820*VLOOKUP(B9820,'Poids des runes'!A:B,2,FALSE)))+1)/VLOOKUP(B9820,'Poids des runes'!A:B,2,FALSE))</f>
        <v>72</v>
      </c>
      <c r="F9820">
        <f t="shared" si="153"/>
        <v>72</v>
      </c>
    </row>
    <row r="9821" spans="1:6" x14ac:dyDescent="0.3">
      <c r="A9821" t="s">
        <v>1538</v>
      </c>
      <c r="B9821" t="s">
        <v>2155</v>
      </c>
      <c r="C9821">
        <v>1</v>
      </c>
      <c r="D9821">
        <v>200</v>
      </c>
      <c r="E9821">
        <f>IF(OR(B9821="vi",B9821="ii",B9821="pod"),(((D9821/100)*(C9821*VLOOKUP(B9821,'Poids des runes'!A:B,2,FALSE)))+1),(((D9821/100)*(C9821*VLOOKUP(B9821,'Poids des runes'!A:B,2,FALSE)))+1)/VLOOKUP(B9821,'Poids des runes'!A:B,2,FALSE))</f>
        <v>2.0196078431372548</v>
      </c>
      <c r="F9821">
        <f t="shared" si="153"/>
        <v>2.0196078431372548</v>
      </c>
    </row>
    <row r="9822" spans="1:6" x14ac:dyDescent="0.3">
      <c r="A9822" t="s">
        <v>1538</v>
      </c>
      <c r="B9822" t="s">
        <v>2133</v>
      </c>
      <c r="C9822">
        <v>8.5</v>
      </c>
      <c r="D9822">
        <v>200</v>
      </c>
      <c r="E9822">
        <f>IF(OR(B9822="vi",B9822="ii",B9822="pod"),(((D9822/100)*(C9822*VLOOKUP(B9822,'Poids des runes'!A:B,2,FALSE)))+1),(((D9822/100)*(C9822*VLOOKUP(B9822,'Poids des runes'!A:B,2,FALSE)))+1)/VLOOKUP(B9822,'Poids des runes'!A:B,2,FALSE))</f>
        <v>17.2</v>
      </c>
      <c r="F9822">
        <f t="shared" si="153"/>
        <v>17.2</v>
      </c>
    </row>
    <row r="9823" spans="1:6" x14ac:dyDescent="0.3">
      <c r="A9823" t="s">
        <v>1538</v>
      </c>
      <c r="B9823" t="s">
        <v>2161</v>
      </c>
      <c r="C9823">
        <v>13</v>
      </c>
      <c r="D9823">
        <v>200</v>
      </c>
      <c r="E9823">
        <f>IF(OR(B9823="vi",B9823="ii",B9823="pod"),(((D9823/100)*(C9823*VLOOKUP(B9823,'Poids des runes'!A:B,2,FALSE)))+1),(((D9823/100)*(C9823*VLOOKUP(B9823,'Poids des runes'!A:B,2,FALSE)))+1)/VLOOKUP(B9823,'Poids des runes'!A:B,2,FALSE))</f>
        <v>26.333333333333332</v>
      </c>
      <c r="F9823">
        <f t="shared" si="153"/>
        <v>26.333333333333332</v>
      </c>
    </row>
    <row r="9824" spans="1:6" x14ac:dyDescent="0.3">
      <c r="A9824" t="s">
        <v>1538</v>
      </c>
      <c r="B9824" t="s">
        <v>2141</v>
      </c>
      <c r="C9824">
        <v>4</v>
      </c>
      <c r="D9824">
        <v>200</v>
      </c>
      <c r="E9824">
        <f>IF(OR(B9824="vi",B9824="ii",B9824="pod"),(((D9824/100)*(C9824*VLOOKUP(B9824,'Poids des runes'!A:B,2,FALSE)))+1),(((D9824/100)*(C9824*VLOOKUP(B9824,'Poids des runes'!A:B,2,FALSE)))+1)/VLOOKUP(B9824,'Poids des runes'!A:B,2,FALSE))</f>
        <v>8.25</v>
      </c>
      <c r="F9824">
        <f t="shared" si="153"/>
        <v>8.25</v>
      </c>
    </row>
    <row r="9825" spans="1:6" x14ac:dyDescent="0.3">
      <c r="A9825" t="s">
        <v>1538</v>
      </c>
      <c r="B9825" t="s">
        <v>2159</v>
      </c>
      <c r="C9825">
        <v>6.5</v>
      </c>
      <c r="D9825">
        <v>200</v>
      </c>
      <c r="E9825">
        <f>IF(OR(B9825="vi",B9825="ii",B9825="pod"),(((D9825/100)*(C9825*VLOOKUP(B9825,'Poids des runes'!A:B,2,FALSE)))+1),(((D9825/100)*(C9825*VLOOKUP(B9825,'Poids des runes'!A:B,2,FALSE)))+1)/VLOOKUP(B9825,'Poids des runes'!A:B,2,FALSE))</f>
        <v>13.142857142857142</v>
      </c>
      <c r="F9825">
        <f t="shared" si="153"/>
        <v>13.142857142857142</v>
      </c>
    </row>
    <row r="9826" spans="1:6" x14ac:dyDescent="0.3">
      <c r="A9826" t="s">
        <v>1538</v>
      </c>
      <c r="B9826" t="s">
        <v>2156</v>
      </c>
      <c r="C9826">
        <v>2.5</v>
      </c>
      <c r="D9826">
        <v>200</v>
      </c>
      <c r="E9826">
        <f>IF(OR(B9826="vi",B9826="ii",B9826="pod"),(((D9826/100)*(C9826*VLOOKUP(B9826,'Poids des runes'!A:B,2,FALSE)))+1),(((D9826/100)*(C9826*VLOOKUP(B9826,'Poids des runes'!A:B,2,FALSE)))+1)/VLOOKUP(B9826,'Poids des runes'!A:B,2,FALSE))</f>
        <v>5.166666666666667</v>
      </c>
      <c r="F9826">
        <f t="shared" si="153"/>
        <v>5.166666666666667</v>
      </c>
    </row>
    <row r="9827" spans="1:6" x14ac:dyDescent="0.3">
      <c r="A9827" t="s">
        <v>1538</v>
      </c>
      <c r="B9827" t="s">
        <v>2148</v>
      </c>
      <c r="C9827">
        <v>3.5</v>
      </c>
      <c r="D9827">
        <v>200</v>
      </c>
      <c r="E9827">
        <f>IF(OR(B9827="vi",B9827="ii",B9827="pod"),(((D9827/100)*(C9827*VLOOKUP(B9827,'Poids des runes'!A:B,2,FALSE)))+1),(((D9827/100)*(C9827*VLOOKUP(B9827,'Poids des runes'!A:B,2,FALSE)))+1)/VLOOKUP(B9827,'Poids des runes'!A:B,2,FALSE))</f>
        <v>7.166666666666667</v>
      </c>
      <c r="F9827">
        <f t="shared" si="153"/>
        <v>7.166666666666667</v>
      </c>
    </row>
    <row r="9828" spans="1:6" x14ac:dyDescent="0.3">
      <c r="A9828" t="s">
        <v>1538</v>
      </c>
      <c r="B9828" t="s">
        <v>2137</v>
      </c>
      <c r="C9828">
        <v>6.5</v>
      </c>
      <c r="D9828">
        <v>200</v>
      </c>
      <c r="E9828">
        <f>IF(OR(B9828="vi",B9828="ii",B9828="pod"),(((D9828/100)*(C9828*VLOOKUP(B9828,'Poids des runes'!A:B,2,FALSE)))+1),(((D9828/100)*(C9828*VLOOKUP(B9828,'Poids des runes'!A:B,2,FALSE)))+1)/VLOOKUP(B9828,'Poids des runes'!A:B,2,FALSE))</f>
        <v>13.5</v>
      </c>
      <c r="F9828">
        <f t="shared" si="153"/>
        <v>13.5</v>
      </c>
    </row>
    <row r="9829" spans="1:6" x14ac:dyDescent="0.3">
      <c r="A9829" t="s">
        <v>1538</v>
      </c>
      <c r="B9829" t="s">
        <v>2145</v>
      </c>
      <c r="C9829">
        <v>6.5</v>
      </c>
      <c r="D9829">
        <v>200</v>
      </c>
      <c r="E9829">
        <f>IF(OR(B9829="vi",B9829="ii",B9829="pod"),(((D9829/100)*(C9829*VLOOKUP(B9829,'Poids des runes'!A:B,2,FALSE)))+1),(((D9829/100)*(C9829*VLOOKUP(B9829,'Poids des runes'!A:B,2,FALSE)))+1)/VLOOKUP(B9829,'Poids des runes'!A:B,2,FALSE))</f>
        <v>13.5</v>
      </c>
      <c r="F9829">
        <f t="shared" si="153"/>
        <v>13.5</v>
      </c>
    </row>
    <row r="9830" spans="1:6" x14ac:dyDescent="0.3">
      <c r="A9830" t="s">
        <v>1539</v>
      </c>
      <c r="B9830" t="s">
        <v>2128</v>
      </c>
      <c r="C9830">
        <v>325.5</v>
      </c>
      <c r="D9830">
        <v>200</v>
      </c>
      <c r="E9830">
        <f>IF(OR(B9830="vi",B9830="ii",B9830="pod"),(((D9830/100)*(C9830*VLOOKUP(B9830,'Poids des runes'!A:B,2,FALSE)))+1),(((D9830/100)*(C9830*VLOOKUP(B9830,'Poids des runes'!A:B,2,FALSE)))+1)/VLOOKUP(B9830,'Poids des runes'!A:B,2,FALSE))</f>
        <v>131.20000000000002</v>
      </c>
      <c r="F9830">
        <f t="shared" si="153"/>
        <v>131.20000000000002</v>
      </c>
    </row>
    <row r="9831" spans="1:6" x14ac:dyDescent="0.3">
      <c r="A9831" t="s">
        <v>1539</v>
      </c>
      <c r="B9831" t="s">
        <v>2131</v>
      </c>
      <c r="C9831">
        <v>60.5</v>
      </c>
      <c r="D9831">
        <v>200</v>
      </c>
      <c r="E9831">
        <f>IF(OR(B9831="vi",B9831="ii",B9831="pod"),(((D9831/100)*(C9831*VLOOKUP(B9831,'Poids des runes'!A:B,2,FALSE)))+1),(((D9831/100)*(C9831*VLOOKUP(B9831,'Poids des runes'!A:B,2,FALSE)))+1)/VLOOKUP(B9831,'Poids des runes'!A:B,2,FALSE))</f>
        <v>122</v>
      </c>
      <c r="F9831">
        <f t="shared" si="153"/>
        <v>122</v>
      </c>
    </row>
    <row r="9832" spans="1:6" x14ac:dyDescent="0.3">
      <c r="A9832" t="s">
        <v>1539</v>
      </c>
      <c r="B9832" t="s">
        <v>2129</v>
      </c>
      <c r="C9832">
        <v>35.5</v>
      </c>
      <c r="D9832">
        <v>200</v>
      </c>
      <c r="E9832">
        <f>IF(OR(B9832="vi",B9832="ii",B9832="pod"),(((D9832/100)*(C9832*VLOOKUP(B9832,'Poids des runes'!A:B,2,FALSE)))+1),(((D9832/100)*(C9832*VLOOKUP(B9832,'Poids des runes'!A:B,2,FALSE)))+1)/VLOOKUP(B9832,'Poids des runes'!A:B,2,FALSE))</f>
        <v>72</v>
      </c>
      <c r="F9832">
        <f t="shared" si="153"/>
        <v>72</v>
      </c>
    </row>
    <row r="9833" spans="1:6" x14ac:dyDescent="0.3">
      <c r="A9833" t="s">
        <v>1539</v>
      </c>
      <c r="B9833" t="s">
        <v>2154</v>
      </c>
      <c r="C9833">
        <v>1</v>
      </c>
      <c r="D9833">
        <v>200</v>
      </c>
      <c r="E9833">
        <f>IF(OR(B9833="vi",B9833="ii",B9833="pod"),(((D9833/100)*(C9833*VLOOKUP(B9833,'Poids des runes'!A:B,2,FALSE)))+1),(((D9833/100)*(C9833*VLOOKUP(B9833,'Poids des runes'!A:B,2,FALSE)))+1)/VLOOKUP(B9833,'Poids des runes'!A:B,2,FALSE))</f>
        <v>2.0111111111111111</v>
      </c>
      <c r="F9833">
        <f t="shared" si="153"/>
        <v>2.0111111111111111</v>
      </c>
    </row>
    <row r="9834" spans="1:6" x14ac:dyDescent="0.3">
      <c r="A9834" t="s">
        <v>1539</v>
      </c>
      <c r="B9834" t="s">
        <v>2133</v>
      </c>
      <c r="C9834">
        <v>18</v>
      </c>
      <c r="D9834">
        <v>200</v>
      </c>
      <c r="E9834">
        <f>IF(OR(B9834="vi",B9834="ii",B9834="pod"),(((D9834/100)*(C9834*VLOOKUP(B9834,'Poids des runes'!A:B,2,FALSE)))+1),(((D9834/100)*(C9834*VLOOKUP(B9834,'Poids des runes'!A:B,2,FALSE)))+1)/VLOOKUP(B9834,'Poids des runes'!A:B,2,FALSE))</f>
        <v>36.200000000000003</v>
      </c>
      <c r="F9834">
        <f t="shared" si="153"/>
        <v>36.200000000000003</v>
      </c>
    </row>
    <row r="9835" spans="1:6" x14ac:dyDescent="0.3">
      <c r="A9835" t="s">
        <v>1539</v>
      </c>
      <c r="B9835" t="s">
        <v>2161</v>
      </c>
      <c r="C9835">
        <v>13</v>
      </c>
      <c r="D9835">
        <v>200</v>
      </c>
      <c r="E9835">
        <f>IF(OR(B9835="vi",B9835="ii",B9835="pod"),(((D9835/100)*(C9835*VLOOKUP(B9835,'Poids des runes'!A:B,2,FALSE)))+1),(((D9835/100)*(C9835*VLOOKUP(B9835,'Poids des runes'!A:B,2,FALSE)))+1)/VLOOKUP(B9835,'Poids des runes'!A:B,2,FALSE))</f>
        <v>26.333333333333332</v>
      </c>
      <c r="F9835">
        <f t="shared" si="153"/>
        <v>26.333333333333332</v>
      </c>
    </row>
    <row r="9836" spans="1:6" x14ac:dyDescent="0.3">
      <c r="A9836" t="s">
        <v>1539</v>
      </c>
      <c r="B9836" t="s">
        <v>2141</v>
      </c>
      <c r="C9836">
        <v>4</v>
      </c>
      <c r="D9836">
        <v>200</v>
      </c>
      <c r="E9836">
        <f>IF(OR(B9836="vi",B9836="ii",B9836="pod"),(((D9836/100)*(C9836*VLOOKUP(B9836,'Poids des runes'!A:B,2,FALSE)))+1),(((D9836/100)*(C9836*VLOOKUP(B9836,'Poids des runes'!A:B,2,FALSE)))+1)/VLOOKUP(B9836,'Poids des runes'!A:B,2,FALSE))</f>
        <v>8.25</v>
      </c>
      <c r="F9836">
        <f t="shared" si="153"/>
        <v>8.25</v>
      </c>
    </row>
    <row r="9837" spans="1:6" x14ac:dyDescent="0.3">
      <c r="A9837" t="s">
        <v>1539</v>
      </c>
      <c r="B9837" t="s">
        <v>2159</v>
      </c>
      <c r="C9837">
        <v>4</v>
      </c>
      <c r="D9837">
        <v>200</v>
      </c>
      <c r="E9837">
        <f>IF(OR(B9837="vi",B9837="ii",B9837="pod"),(((D9837/100)*(C9837*VLOOKUP(B9837,'Poids des runes'!A:B,2,FALSE)))+1),(((D9837/100)*(C9837*VLOOKUP(B9837,'Poids des runes'!A:B,2,FALSE)))+1)/VLOOKUP(B9837,'Poids des runes'!A:B,2,FALSE))</f>
        <v>8.1428571428571423</v>
      </c>
      <c r="F9837">
        <f t="shared" si="153"/>
        <v>8.1428571428571423</v>
      </c>
    </row>
    <row r="9838" spans="1:6" x14ac:dyDescent="0.3">
      <c r="A9838" t="s">
        <v>1539</v>
      </c>
      <c r="B9838" t="s">
        <v>2163</v>
      </c>
      <c r="C9838">
        <v>8.5</v>
      </c>
      <c r="D9838">
        <v>200</v>
      </c>
      <c r="E9838">
        <f>IF(OR(B9838="vi",B9838="ii",B9838="pod"),(((D9838/100)*(C9838*VLOOKUP(B9838,'Poids des runes'!A:B,2,FALSE)))+1),(((D9838/100)*(C9838*VLOOKUP(B9838,'Poids des runes'!A:B,2,FALSE)))+1)/VLOOKUP(B9838,'Poids des runes'!A:B,2,FALSE))</f>
        <v>17.5</v>
      </c>
      <c r="F9838">
        <f t="shared" si="153"/>
        <v>17.5</v>
      </c>
    </row>
    <row r="9839" spans="1:6" x14ac:dyDescent="0.3">
      <c r="A9839" t="s">
        <v>1539</v>
      </c>
      <c r="B9839" t="s">
        <v>2156</v>
      </c>
      <c r="C9839">
        <v>2.5</v>
      </c>
      <c r="D9839">
        <v>200</v>
      </c>
      <c r="E9839">
        <f>IF(OR(B9839="vi",B9839="ii",B9839="pod"),(((D9839/100)*(C9839*VLOOKUP(B9839,'Poids des runes'!A:B,2,FALSE)))+1),(((D9839/100)*(C9839*VLOOKUP(B9839,'Poids des runes'!A:B,2,FALSE)))+1)/VLOOKUP(B9839,'Poids des runes'!A:B,2,FALSE))</f>
        <v>5.166666666666667</v>
      </c>
      <c r="F9839">
        <f t="shared" si="153"/>
        <v>5.166666666666667</v>
      </c>
    </row>
    <row r="9840" spans="1:6" x14ac:dyDescent="0.3">
      <c r="A9840" t="s">
        <v>1539</v>
      </c>
      <c r="B9840" t="s">
        <v>2148</v>
      </c>
      <c r="C9840">
        <v>6.5</v>
      </c>
      <c r="D9840">
        <v>200</v>
      </c>
      <c r="E9840">
        <f>IF(OR(B9840="vi",B9840="ii",B9840="pod"),(((D9840/100)*(C9840*VLOOKUP(B9840,'Poids des runes'!A:B,2,FALSE)))+1),(((D9840/100)*(C9840*VLOOKUP(B9840,'Poids des runes'!A:B,2,FALSE)))+1)/VLOOKUP(B9840,'Poids des runes'!A:B,2,FALSE))</f>
        <v>13.166666666666666</v>
      </c>
      <c r="F9840">
        <f t="shared" si="153"/>
        <v>13.166666666666666</v>
      </c>
    </row>
    <row r="9841" spans="1:6" x14ac:dyDescent="0.3">
      <c r="A9841" t="s">
        <v>1539</v>
      </c>
      <c r="B9841" t="s">
        <v>2135</v>
      </c>
      <c r="C9841">
        <v>4</v>
      </c>
      <c r="D9841">
        <v>200</v>
      </c>
      <c r="E9841">
        <f>IF(OR(B9841="vi",B9841="ii",B9841="pod"),(((D9841/100)*(C9841*VLOOKUP(B9841,'Poids des runes'!A:B,2,FALSE)))+1),(((D9841/100)*(C9841*VLOOKUP(B9841,'Poids des runes'!A:B,2,FALSE)))+1)/VLOOKUP(B9841,'Poids des runes'!A:B,2,FALSE))</f>
        <v>8.1666666666666661</v>
      </c>
      <c r="F9841">
        <f t="shared" si="153"/>
        <v>8.1666666666666661</v>
      </c>
    </row>
    <row r="9842" spans="1:6" x14ac:dyDescent="0.3">
      <c r="A9842" t="s">
        <v>1539</v>
      </c>
      <c r="B9842" t="s">
        <v>2136</v>
      </c>
      <c r="C9842">
        <v>6.5</v>
      </c>
      <c r="D9842">
        <v>200</v>
      </c>
      <c r="E9842">
        <f>IF(OR(B9842="vi",B9842="ii",B9842="pod"),(((D9842/100)*(C9842*VLOOKUP(B9842,'Poids des runes'!A:B,2,FALSE)))+1),(((D9842/100)*(C9842*VLOOKUP(B9842,'Poids des runes'!A:B,2,FALSE)))+1)/VLOOKUP(B9842,'Poids des runes'!A:B,2,FALSE))</f>
        <v>13.5</v>
      </c>
      <c r="F9842">
        <f t="shared" si="153"/>
        <v>13.5</v>
      </c>
    </row>
    <row r="9843" spans="1:6" x14ac:dyDescent="0.3">
      <c r="A9843" t="s">
        <v>1539</v>
      </c>
      <c r="B9843" t="s">
        <v>2137</v>
      </c>
      <c r="C9843">
        <v>6.5</v>
      </c>
      <c r="D9843">
        <v>200</v>
      </c>
      <c r="E9843">
        <f>IF(OR(B9843="vi",B9843="ii",B9843="pod"),(((D9843/100)*(C9843*VLOOKUP(B9843,'Poids des runes'!A:B,2,FALSE)))+1),(((D9843/100)*(C9843*VLOOKUP(B9843,'Poids des runes'!A:B,2,FALSE)))+1)/VLOOKUP(B9843,'Poids des runes'!A:B,2,FALSE))</f>
        <v>13.5</v>
      </c>
      <c r="F9843">
        <f t="shared" si="153"/>
        <v>13.5</v>
      </c>
    </row>
    <row r="9844" spans="1:6" x14ac:dyDescent="0.3">
      <c r="A9844" t="s">
        <v>1539</v>
      </c>
      <c r="B9844" t="s">
        <v>2145</v>
      </c>
      <c r="C9844">
        <v>6.5</v>
      </c>
      <c r="D9844">
        <v>200</v>
      </c>
      <c r="E9844">
        <f>IF(OR(B9844="vi",B9844="ii",B9844="pod"),(((D9844/100)*(C9844*VLOOKUP(B9844,'Poids des runes'!A:B,2,FALSE)))+1),(((D9844/100)*(C9844*VLOOKUP(B9844,'Poids des runes'!A:B,2,FALSE)))+1)/VLOOKUP(B9844,'Poids des runes'!A:B,2,FALSE))</f>
        <v>13.5</v>
      </c>
      <c r="F9844">
        <f t="shared" si="153"/>
        <v>13.5</v>
      </c>
    </row>
    <row r="9845" spans="1:6" x14ac:dyDescent="0.3">
      <c r="A9845" t="s">
        <v>1540</v>
      </c>
      <c r="B9845" t="s">
        <v>2128</v>
      </c>
      <c r="C9845">
        <v>325.5</v>
      </c>
      <c r="D9845">
        <v>200</v>
      </c>
      <c r="E9845">
        <f>IF(OR(B9845="vi",B9845="ii",B9845="pod"),(((D9845/100)*(C9845*VLOOKUP(B9845,'Poids des runes'!A:B,2,FALSE)))+1),(((D9845/100)*(C9845*VLOOKUP(B9845,'Poids des runes'!A:B,2,FALSE)))+1)/VLOOKUP(B9845,'Poids des runes'!A:B,2,FALSE))</f>
        <v>131.20000000000002</v>
      </c>
      <c r="F9845">
        <f t="shared" si="153"/>
        <v>131.20000000000002</v>
      </c>
    </row>
    <row r="9846" spans="1:6" x14ac:dyDescent="0.3">
      <c r="A9846" t="s">
        <v>1540</v>
      </c>
      <c r="B9846" t="s">
        <v>2131</v>
      </c>
      <c r="C9846">
        <v>40.5</v>
      </c>
      <c r="D9846">
        <v>200</v>
      </c>
      <c r="E9846">
        <f>IF(OR(B9846="vi",B9846="ii",B9846="pod"),(((D9846/100)*(C9846*VLOOKUP(B9846,'Poids des runes'!A:B,2,FALSE)))+1),(((D9846/100)*(C9846*VLOOKUP(B9846,'Poids des runes'!A:B,2,FALSE)))+1)/VLOOKUP(B9846,'Poids des runes'!A:B,2,FALSE))</f>
        <v>82</v>
      </c>
      <c r="F9846">
        <f t="shared" si="153"/>
        <v>82</v>
      </c>
    </row>
    <row r="9847" spans="1:6" x14ac:dyDescent="0.3">
      <c r="A9847" t="s">
        <v>1540</v>
      </c>
      <c r="B9847" t="s">
        <v>2129</v>
      </c>
      <c r="C9847">
        <v>40.5</v>
      </c>
      <c r="D9847">
        <v>200</v>
      </c>
      <c r="E9847">
        <f>IF(OR(B9847="vi",B9847="ii",B9847="pod"),(((D9847/100)*(C9847*VLOOKUP(B9847,'Poids des runes'!A:B,2,FALSE)))+1),(((D9847/100)*(C9847*VLOOKUP(B9847,'Poids des runes'!A:B,2,FALSE)))+1)/VLOOKUP(B9847,'Poids des runes'!A:B,2,FALSE))</f>
        <v>82</v>
      </c>
      <c r="F9847">
        <f t="shared" si="153"/>
        <v>82</v>
      </c>
    </row>
    <row r="9848" spans="1:6" x14ac:dyDescent="0.3">
      <c r="A9848" t="s">
        <v>1540</v>
      </c>
      <c r="B9848" t="s">
        <v>2155</v>
      </c>
      <c r="C9848">
        <v>1.5</v>
      </c>
      <c r="D9848">
        <v>200</v>
      </c>
      <c r="E9848">
        <f>IF(OR(B9848="vi",B9848="ii",B9848="pod"),(((D9848/100)*(C9848*VLOOKUP(B9848,'Poids des runes'!A:B,2,FALSE)))+1),(((D9848/100)*(C9848*VLOOKUP(B9848,'Poids des runes'!A:B,2,FALSE)))+1)/VLOOKUP(B9848,'Poids des runes'!A:B,2,FALSE))</f>
        <v>3.0196078431372548</v>
      </c>
      <c r="F9848">
        <f t="shared" si="153"/>
        <v>3.0196078431372548</v>
      </c>
    </row>
    <row r="9849" spans="1:6" x14ac:dyDescent="0.3">
      <c r="A9849" t="s">
        <v>1540</v>
      </c>
      <c r="B9849" t="s">
        <v>2133</v>
      </c>
      <c r="C9849">
        <v>18</v>
      </c>
      <c r="D9849">
        <v>200</v>
      </c>
      <c r="E9849">
        <f>IF(OR(B9849="vi",B9849="ii",B9849="pod"),(((D9849/100)*(C9849*VLOOKUP(B9849,'Poids des runes'!A:B,2,FALSE)))+1),(((D9849/100)*(C9849*VLOOKUP(B9849,'Poids des runes'!A:B,2,FALSE)))+1)/VLOOKUP(B9849,'Poids des runes'!A:B,2,FALSE))</f>
        <v>36.200000000000003</v>
      </c>
      <c r="F9849">
        <f t="shared" si="153"/>
        <v>36.200000000000003</v>
      </c>
    </row>
    <row r="9850" spans="1:6" x14ac:dyDescent="0.3">
      <c r="A9850" t="s">
        <v>1540</v>
      </c>
      <c r="B9850" t="s">
        <v>2161</v>
      </c>
      <c r="C9850">
        <v>13</v>
      </c>
      <c r="D9850">
        <v>200</v>
      </c>
      <c r="E9850">
        <f>IF(OR(B9850="vi",B9850="ii",B9850="pod"),(((D9850/100)*(C9850*VLOOKUP(B9850,'Poids des runes'!A:B,2,FALSE)))+1),(((D9850/100)*(C9850*VLOOKUP(B9850,'Poids des runes'!A:B,2,FALSE)))+1)/VLOOKUP(B9850,'Poids des runes'!A:B,2,FALSE))</f>
        <v>26.333333333333332</v>
      </c>
      <c r="F9850">
        <f t="shared" si="153"/>
        <v>26.333333333333332</v>
      </c>
    </row>
    <row r="9851" spans="1:6" x14ac:dyDescent="0.3">
      <c r="A9851" t="s">
        <v>1540</v>
      </c>
      <c r="B9851" t="s">
        <v>2159</v>
      </c>
      <c r="C9851">
        <v>5</v>
      </c>
      <c r="D9851">
        <v>200</v>
      </c>
      <c r="E9851">
        <f>IF(OR(B9851="vi",B9851="ii",B9851="pod"),(((D9851/100)*(C9851*VLOOKUP(B9851,'Poids des runes'!A:B,2,FALSE)))+1),(((D9851/100)*(C9851*VLOOKUP(B9851,'Poids des runes'!A:B,2,FALSE)))+1)/VLOOKUP(B9851,'Poids des runes'!A:B,2,FALSE))</f>
        <v>10.142857142857142</v>
      </c>
      <c r="F9851">
        <f t="shared" si="153"/>
        <v>10.142857142857142</v>
      </c>
    </row>
    <row r="9852" spans="1:6" x14ac:dyDescent="0.3">
      <c r="A9852" t="s">
        <v>1540</v>
      </c>
      <c r="B9852" t="s">
        <v>2163</v>
      </c>
      <c r="C9852">
        <v>13</v>
      </c>
      <c r="D9852">
        <v>200</v>
      </c>
      <c r="E9852">
        <f>IF(OR(B9852="vi",B9852="ii",B9852="pod"),(((D9852/100)*(C9852*VLOOKUP(B9852,'Poids des runes'!A:B,2,FALSE)))+1),(((D9852/100)*(C9852*VLOOKUP(B9852,'Poids des runes'!A:B,2,FALSE)))+1)/VLOOKUP(B9852,'Poids des runes'!A:B,2,FALSE))</f>
        <v>26.5</v>
      </c>
      <c r="F9852">
        <f t="shared" si="153"/>
        <v>26.5</v>
      </c>
    </row>
    <row r="9853" spans="1:6" x14ac:dyDescent="0.3">
      <c r="A9853" t="s">
        <v>1540</v>
      </c>
      <c r="B9853" t="s">
        <v>2156</v>
      </c>
      <c r="C9853">
        <v>2.5</v>
      </c>
      <c r="D9853">
        <v>200</v>
      </c>
      <c r="E9853">
        <f>IF(OR(B9853="vi",B9853="ii",B9853="pod"),(((D9853/100)*(C9853*VLOOKUP(B9853,'Poids des runes'!A:B,2,FALSE)))+1),(((D9853/100)*(C9853*VLOOKUP(B9853,'Poids des runes'!A:B,2,FALSE)))+1)/VLOOKUP(B9853,'Poids des runes'!A:B,2,FALSE))</f>
        <v>5.166666666666667</v>
      </c>
      <c r="F9853">
        <f t="shared" si="153"/>
        <v>5.166666666666667</v>
      </c>
    </row>
    <row r="9854" spans="1:6" x14ac:dyDescent="0.3">
      <c r="A9854" t="s">
        <v>1540</v>
      </c>
      <c r="B9854" t="s">
        <v>2148</v>
      </c>
      <c r="C9854">
        <v>3.5</v>
      </c>
      <c r="D9854">
        <v>200</v>
      </c>
      <c r="E9854">
        <f>IF(OR(B9854="vi",B9854="ii",B9854="pod"),(((D9854/100)*(C9854*VLOOKUP(B9854,'Poids des runes'!A:B,2,FALSE)))+1),(((D9854/100)*(C9854*VLOOKUP(B9854,'Poids des runes'!A:B,2,FALSE)))+1)/VLOOKUP(B9854,'Poids des runes'!A:B,2,FALSE))</f>
        <v>7.166666666666667</v>
      </c>
      <c r="F9854">
        <f t="shared" si="153"/>
        <v>7.166666666666667</v>
      </c>
    </row>
    <row r="9855" spans="1:6" x14ac:dyDescent="0.3">
      <c r="A9855" t="s">
        <v>1540</v>
      </c>
      <c r="B9855" t="s">
        <v>2135</v>
      </c>
      <c r="C9855">
        <v>6</v>
      </c>
      <c r="D9855">
        <v>200</v>
      </c>
      <c r="E9855">
        <f>IF(OR(B9855="vi",B9855="ii",B9855="pod"),(((D9855/100)*(C9855*VLOOKUP(B9855,'Poids des runes'!A:B,2,FALSE)))+1),(((D9855/100)*(C9855*VLOOKUP(B9855,'Poids des runes'!A:B,2,FALSE)))+1)/VLOOKUP(B9855,'Poids des runes'!A:B,2,FALSE))</f>
        <v>12.166666666666666</v>
      </c>
      <c r="F9855">
        <f t="shared" si="153"/>
        <v>12.166666666666666</v>
      </c>
    </row>
    <row r="9856" spans="1:6" x14ac:dyDescent="0.3">
      <c r="A9856" t="s">
        <v>1540</v>
      </c>
      <c r="B9856" t="s">
        <v>2136</v>
      </c>
      <c r="C9856">
        <v>10.5</v>
      </c>
      <c r="D9856">
        <v>200</v>
      </c>
      <c r="E9856">
        <f>IF(OR(B9856="vi",B9856="ii",B9856="pod"),(((D9856/100)*(C9856*VLOOKUP(B9856,'Poids des runes'!A:B,2,FALSE)))+1),(((D9856/100)*(C9856*VLOOKUP(B9856,'Poids des runes'!A:B,2,FALSE)))+1)/VLOOKUP(B9856,'Poids des runes'!A:B,2,FALSE))</f>
        <v>21.5</v>
      </c>
      <c r="F9856">
        <f t="shared" si="153"/>
        <v>21.5</v>
      </c>
    </row>
    <row r="9857" spans="1:6" x14ac:dyDescent="0.3">
      <c r="A9857" t="s">
        <v>1540</v>
      </c>
      <c r="B9857" t="s">
        <v>2137</v>
      </c>
      <c r="C9857">
        <v>10.5</v>
      </c>
      <c r="D9857">
        <v>200</v>
      </c>
      <c r="E9857">
        <f>IF(OR(B9857="vi",B9857="ii",B9857="pod"),(((D9857/100)*(C9857*VLOOKUP(B9857,'Poids des runes'!A:B,2,FALSE)))+1),(((D9857/100)*(C9857*VLOOKUP(B9857,'Poids des runes'!A:B,2,FALSE)))+1)/VLOOKUP(B9857,'Poids des runes'!A:B,2,FALSE))</f>
        <v>21.5</v>
      </c>
      <c r="F9857">
        <f t="shared" si="153"/>
        <v>21.5</v>
      </c>
    </row>
    <row r="9858" spans="1:6" x14ac:dyDescent="0.3">
      <c r="A9858" t="s">
        <v>1540</v>
      </c>
      <c r="B9858" t="s">
        <v>2145</v>
      </c>
      <c r="C9858">
        <v>10.5</v>
      </c>
      <c r="D9858">
        <v>200</v>
      </c>
      <c r="E9858">
        <f>IF(OR(B9858="vi",B9858="ii",B9858="pod"),(((D9858/100)*(C9858*VLOOKUP(B9858,'Poids des runes'!A:B,2,FALSE)))+1),(((D9858/100)*(C9858*VLOOKUP(B9858,'Poids des runes'!A:B,2,FALSE)))+1)/VLOOKUP(B9858,'Poids des runes'!A:B,2,FALSE))</f>
        <v>21.5</v>
      </c>
      <c r="F9858">
        <f t="shared" si="153"/>
        <v>21.5</v>
      </c>
    </row>
    <row r="9859" spans="1:6" x14ac:dyDescent="0.3">
      <c r="A9859" t="s">
        <v>1541</v>
      </c>
      <c r="B9859" t="s">
        <v>2128</v>
      </c>
      <c r="C9859">
        <v>375.5</v>
      </c>
      <c r="D9859">
        <v>200</v>
      </c>
      <c r="E9859">
        <f>IF(OR(B9859="vi",B9859="ii",B9859="pod"),(((D9859/100)*(C9859*VLOOKUP(B9859,'Poids des runes'!A:B,2,FALSE)))+1),(((D9859/100)*(C9859*VLOOKUP(B9859,'Poids des runes'!A:B,2,FALSE)))+1)/VLOOKUP(B9859,'Poids des runes'!A:B,2,FALSE))</f>
        <v>151.20000000000002</v>
      </c>
      <c r="F9859">
        <f t="shared" ref="F9859:F9922" si="154">E9859</f>
        <v>151.20000000000002</v>
      </c>
    </row>
    <row r="9860" spans="1:6" x14ac:dyDescent="0.3">
      <c r="A9860" t="s">
        <v>1541</v>
      </c>
      <c r="B9860" t="s">
        <v>2130</v>
      </c>
      <c r="C9860">
        <v>40.5</v>
      </c>
      <c r="D9860">
        <v>200</v>
      </c>
      <c r="E9860">
        <f>IF(OR(B9860="vi",B9860="ii",B9860="pod"),(((D9860/100)*(C9860*VLOOKUP(B9860,'Poids des runes'!A:B,2,FALSE)))+1),(((D9860/100)*(C9860*VLOOKUP(B9860,'Poids des runes'!A:B,2,FALSE)))+1)/VLOOKUP(B9860,'Poids des runes'!A:B,2,FALSE))</f>
        <v>82</v>
      </c>
      <c r="F9860">
        <f t="shared" si="154"/>
        <v>82</v>
      </c>
    </row>
    <row r="9861" spans="1:6" x14ac:dyDescent="0.3">
      <c r="A9861" t="s">
        <v>1541</v>
      </c>
      <c r="B9861" t="s">
        <v>2126</v>
      </c>
      <c r="C9861">
        <v>60.5</v>
      </c>
      <c r="D9861">
        <v>200</v>
      </c>
      <c r="E9861">
        <f>IF(OR(B9861="vi",B9861="ii",B9861="pod"),(((D9861/100)*(C9861*VLOOKUP(B9861,'Poids des runes'!A:B,2,FALSE)))+1),(((D9861/100)*(C9861*VLOOKUP(B9861,'Poids des runes'!A:B,2,FALSE)))+1)/VLOOKUP(B9861,'Poids des runes'!A:B,2,FALSE))</f>
        <v>122</v>
      </c>
      <c r="F9861">
        <f t="shared" si="154"/>
        <v>122</v>
      </c>
    </row>
    <row r="9862" spans="1:6" x14ac:dyDescent="0.3">
      <c r="A9862" t="s">
        <v>1541</v>
      </c>
      <c r="B9862" t="s">
        <v>2131</v>
      </c>
      <c r="C9862">
        <v>40.5</v>
      </c>
      <c r="D9862">
        <v>200</v>
      </c>
      <c r="E9862">
        <f>IF(OR(B9862="vi",B9862="ii",B9862="pod"),(((D9862/100)*(C9862*VLOOKUP(B9862,'Poids des runes'!A:B,2,FALSE)))+1),(((D9862/100)*(C9862*VLOOKUP(B9862,'Poids des runes'!A:B,2,FALSE)))+1)/VLOOKUP(B9862,'Poids des runes'!A:B,2,FALSE))</f>
        <v>82</v>
      </c>
      <c r="F9862">
        <f t="shared" si="154"/>
        <v>82</v>
      </c>
    </row>
    <row r="9863" spans="1:6" x14ac:dyDescent="0.3">
      <c r="A9863" t="s">
        <v>1541</v>
      </c>
      <c r="B9863" t="s">
        <v>2129</v>
      </c>
      <c r="C9863">
        <v>40.5</v>
      </c>
      <c r="D9863">
        <v>200</v>
      </c>
      <c r="E9863">
        <f>IF(OR(B9863="vi",B9863="ii",B9863="pod"),(((D9863/100)*(C9863*VLOOKUP(B9863,'Poids des runes'!A:B,2,FALSE)))+1),(((D9863/100)*(C9863*VLOOKUP(B9863,'Poids des runes'!A:B,2,FALSE)))+1)/VLOOKUP(B9863,'Poids des runes'!A:B,2,FALSE))</f>
        <v>82</v>
      </c>
      <c r="F9863">
        <f t="shared" si="154"/>
        <v>82</v>
      </c>
    </row>
    <row r="9864" spans="1:6" x14ac:dyDescent="0.3">
      <c r="A9864" t="s">
        <v>1541</v>
      </c>
      <c r="B9864" t="s">
        <v>2155</v>
      </c>
      <c r="C9864">
        <v>1</v>
      </c>
      <c r="D9864">
        <v>200</v>
      </c>
      <c r="E9864">
        <f>IF(OR(B9864="vi",B9864="ii",B9864="pod"),(((D9864/100)*(C9864*VLOOKUP(B9864,'Poids des runes'!A:B,2,FALSE)))+1),(((D9864/100)*(C9864*VLOOKUP(B9864,'Poids des runes'!A:B,2,FALSE)))+1)/VLOOKUP(B9864,'Poids des runes'!A:B,2,FALSE))</f>
        <v>2.0196078431372548</v>
      </c>
      <c r="F9864">
        <f t="shared" si="154"/>
        <v>2.0196078431372548</v>
      </c>
    </row>
    <row r="9865" spans="1:6" x14ac:dyDescent="0.3">
      <c r="A9865" t="s">
        <v>1541</v>
      </c>
      <c r="B9865" t="s">
        <v>2150</v>
      </c>
      <c r="C9865">
        <v>1</v>
      </c>
      <c r="D9865">
        <v>200</v>
      </c>
      <c r="E9865">
        <f>IF(OR(B9865="vi",B9865="ii",B9865="pod"),(((D9865/100)*(C9865*VLOOKUP(B9865,'Poids des runes'!A:B,2,FALSE)))+1),(((D9865/100)*(C9865*VLOOKUP(B9865,'Poids des runes'!A:B,2,FALSE)))+1)/VLOOKUP(B9865,'Poids des runes'!A:B,2,FALSE))</f>
        <v>2.0333333333333332</v>
      </c>
      <c r="F9865">
        <f t="shared" si="154"/>
        <v>2.0333333333333332</v>
      </c>
    </row>
    <row r="9866" spans="1:6" x14ac:dyDescent="0.3">
      <c r="A9866" t="s">
        <v>1541</v>
      </c>
      <c r="B9866" t="s">
        <v>2143</v>
      </c>
      <c r="C9866">
        <v>6.5</v>
      </c>
      <c r="D9866">
        <v>200</v>
      </c>
      <c r="E9866">
        <f>IF(OR(B9866="vi",B9866="ii",B9866="pod"),(((D9866/100)*(C9866*VLOOKUP(B9866,'Poids des runes'!A:B,2,FALSE)))+1),(((D9866/100)*(C9866*VLOOKUP(B9866,'Poids des runes'!A:B,2,FALSE)))+1)/VLOOKUP(B9866,'Poids des runes'!A:B,2,FALSE))</f>
        <v>13.2</v>
      </c>
      <c r="F9866">
        <f t="shared" si="154"/>
        <v>13.2</v>
      </c>
    </row>
    <row r="9867" spans="1:6" x14ac:dyDescent="0.3">
      <c r="A9867" t="s">
        <v>1541</v>
      </c>
      <c r="B9867" t="s">
        <v>2140</v>
      </c>
      <c r="C9867">
        <v>6.5</v>
      </c>
      <c r="D9867">
        <v>200</v>
      </c>
      <c r="E9867">
        <f>IF(OR(B9867="vi",B9867="ii",B9867="pod"),(((D9867/100)*(C9867*VLOOKUP(B9867,'Poids des runes'!A:B,2,FALSE)))+1),(((D9867/100)*(C9867*VLOOKUP(B9867,'Poids des runes'!A:B,2,FALSE)))+1)/VLOOKUP(B9867,'Poids des runes'!A:B,2,FALSE))</f>
        <v>13.2</v>
      </c>
      <c r="F9867">
        <f t="shared" si="154"/>
        <v>13.2</v>
      </c>
    </row>
    <row r="9868" spans="1:6" x14ac:dyDescent="0.3">
      <c r="A9868" t="s">
        <v>1541</v>
      </c>
      <c r="B9868" t="s">
        <v>2133</v>
      </c>
      <c r="C9868">
        <v>8.5</v>
      </c>
      <c r="D9868">
        <v>200</v>
      </c>
      <c r="E9868">
        <f>IF(OR(B9868="vi",B9868="ii",B9868="pod"),(((D9868/100)*(C9868*VLOOKUP(B9868,'Poids des runes'!A:B,2,FALSE)))+1),(((D9868/100)*(C9868*VLOOKUP(B9868,'Poids des runes'!A:B,2,FALSE)))+1)/VLOOKUP(B9868,'Poids des runes'!A:B,2,FALSE))</f>
        <v>17.2</v>
      </c>
      <c r="F9868">
        <f t="shared" si="154"/>
        <v>17.2</v>
      </c>
    </row>
    <row r="9869" spans="1:6" x14ac:dyDescent="0.3">
      <c r="A9869" t="s">
        <v>1541</v>
      </c>
      <c r="B9869" t="s">
        <v>2161</v>
      </c>
      <c r="C9869">
        <v>8.5</v>
      </c>
      <c r="D9869">
        <v>200</v>
      </c>
      <c r="E9869">
        <f>IF(OR(B9869="vi",B9869="ii",B9869="pod"),(((D9869/100)*(C9869*VLOOKUP(B9869,'Poids des runes'!A:B,2,FALSE)))+1),(((D9869/100)*(C9869*VLOOKUP(B9869,'Poids des runes'!A:B,2,FALSE)))+1)/VLOOKUP(B9869,'Poids des runes'!A:B,2,FALSE))</f>
        <v>17.333333333333332</v>
      </c>
      <c r="F9869">
        <f t="shared" si="154"/>
        <v>17.333333333333332</v>
      </c>
    </row>
    <row r="9870" spans="1:6" x14ac:dyDescent="0.3">
      <c r="A9870" t="s">
        <v>1541</v>
      </c>
      <c r="B9870" t="s">
        <v>2138</v>
      </c>
      <c r="C9870">
        <v>5</v>
      </c>
      <c r="D9870">
        <v>200</v>
      </c>
      <c r="E9870">
        <f>IF(OR(B9870="vi",B9870="ii",B9870="pod"),(((D9870/100)*(C9870*VLOOKUP(B9870,'Poids des runes'!A:B,2,FALSE)))+1),(((D9870/100)*(C9870*VLOOKUP(B9870,'Poids des runes'!A:B,2,FALSE)))+1)/VLOOKUP(B9870,'Poids des runes'!A:B,2,FALSE))</f>
        <v>10.25</v>
      </c>
      <c r="F9870">
        <f t="shared" si="154"/>
        <v>10.25</v>
      </c>
    </row>
    <row r="9871" spans="1:6" x14ac:dyDescent="0.3">
      <c r="A9871" t="s">
        <v>1541</v>
      </c>
      <c r="B9871" t="s">
        <v>2148</v>
      </c>
      <c r="C9871">
        <v>3.5</v>
      </c>
      <c r="D9871">
        <v>200</v>
      </c>
      <c r="E9871">
        <f>IF(OR(B9871="vi",B9871="ii",B9871="pod"),(((D9871/100)*(C9871*VLOOKUP(B9871,'Poids des runes'!A:B,2,FALSE)))+1),(((D9871/100)*(C9871*VLOOKUP(B9871,'Poids des runes'!A:B,2,FALSE)))+1)/VLOOKUP(B9871,'Poids des runes'!A:B,2,FALSE))</f>
        <v>7.166666666666667</v>
      </c>
      <c r="F9871">
        <f t="shared" si="154"/>
        <v>7.166666666666667</v>
      </c>
    </row>
    <row r="9872" spans="1:6" x14ac:dyDescent="0.3">
      <c r="A9872" t="s">
        <v>1541</v>
      </c>
      <c r="B9872" t="s">
        <v>2135</v>
      </c>
      <c r="C9872">
        <v>6.5</v>
      </c>
      <c r="D9872">
        <v>200</v>
      </c>
      <c r="E9872">
        <f>IF(OR(B9872="vi",B9872="ii",B9872="pod"),(((D9872/100)*(C9872*VLOOKUP(B9872,'Poids des runes'!A:B,2,FALSE)))+1),(((D9872/100)*(C9872*VLOOKUP(B9872,'Poids des runes'!A:B,2,FALSE)))+1)/VLOOKUP(B9872,'Poids des runes'!A:B,2,FALSE))</f>
        <v>13.166666666666666</v>
      </c>
      <c r="F9872">
        <f t="shared" si="154"/>
        <v>13.166666666666666</v>
      </c>
    </row>
    <row r="9873" spans="1:6" x14ac:dyDescent="0.3">
      <c r="A9873" t="s">
        <v>1542</v>
      </c>
      <c r="B9873" t="s">
        <v>2128</v>
      </c>
      <c r="C9873">
        <v>325.5</v>
      </c>
      <c r="D9873">
        <v>200</v>
      </c>
      <c r="E9873">
        <f>IF(OR(B9873="vi",B9873="ii",B9873="pod"),(((D9873/100)*(C9873*VLOOKUP(B9873,'Poids des runes'!A:B,2,FALSE)))+1),(((D9873/100)*(C9873*VLOOKUP(B9873,'Poids des runes'!A:B,2,FALSE)))+1)/VLOOKUP(B9873,'Poids des runes'!A:B,2,FALSE))</f>
        <v>131.20000000000002</v>
      </c>
      <c r="F9873">
        <f t="shared" si="154"/>
        <v>131.20000000000002</v>
      </c>
    </row>
    <row r="9874" spans="1:6" x14ac:dyDescent="0.3">
      <c r="A9874" t="s">
        <v>1542</v>
      </c>
      <c r="B9874" t="s">
        <v>2130</v>
      </c>
      <c r="C9874">
        <v>40.5</v>
      </c>
      <c r="D9874">
        <v>200</v>
      </c>
      <c r="E9874">
        <f>IF(OR(B9874="vi",B9874="ii",B9874="pod"),(((D9874/100)*(C9874*VLOOKUP(B9874,'Poids des runes'!A:B,2,FALSE)))+1),(((D9874/100)*(C9874*VLOOKUP(B9874,'Poids des runes'!A:B,2,FALSE)))+1)/VLOOKUP(B9874,'Poids des runes'!A:B,2,FALSE))</f>
        <v>82</v>
      </c>
      <c r="F9874">
        <f t="shared" si="154"/>
        <v>82</v>
      </c>
    </row>
    <row r="9875" spans="1:6" x14ac:dyDescent="0.3">
      <c r="A9875" t="s">
        <v>1542</v>
      </c>
      <c r="B9875" t="s">
        <v>2126</v>
      </c>
      <c r="C9875">
        <v>40.5</v>
      </c>
      <c r="D9875">
        <v>200</v>
      </c>
      <c r="E9875">
        <f>IF(OR(B9875="vi",B9875="ii",B9875="pod"),(((D9875/100)*(C9875*VLOOKUP(B9875,'Poids des runes'!A:B,2,FALSE)))+1),(((D9875/100)*(C9875*VLOOKUP(B9875,'Poids des runes'!A:B,2,FALSE)))+1)/VLOOKUP(B9875,'Poids des runes'!A:B,2,FALSE))</f>
        <v>82</v>
      </c>
      <c r="F9875">
        <f t="shared" si="154"/>
        <v>82</v>
      </c>
    </row>
    <row r="9876" spans="1:6" x14ac:dyDescent="0.3">
      <c r="A9876" t="s">
        <v>1542</v>
      </c>
      <c r="B9876" t="s">
        <v>2131</v>
      </c>
      <c r="C9876">
        <v>40.5</v>
      </c>
      <c r="D9876">
        <v>200</v>
      </c>
      <c r="E9876">
        <f>IF(OR(B9876="vi",B9876="ii",B9876="pod"),(((D9876/100)*(C9876*VLOOKUP(B9876,'Poids des runes'!A:B,2,FALSE)))+1),(((D9876/100)*(C9876*VLOOKUP(B9876,'Poids des runes'!A:B,2,FALSE)))+1)/VLOOKUP(B9876,'Poids des runes'!A:B,2,FALSE))</f>
        <v>82</v>
      </c>
      <c r="F9876">
        <f t="shared" si="154"/>
        <v>82</v>
      </c>
    </row>
    <row r="9877" spans="1:6" x14ac:dyDescent="0.3">
      <c r="A9877" t="s">
        <v>1542</v>
      </c>
      <c r="B9877" t="s">
        <v>2129</v>
      </c>
      <c r="C9877">
        <v>35.5</v>
      </c>
      <c r="D9877">
        <v>200</v>
      </c>
      <c r="E9877">
        <f>IF(OR(B9877="vi",B9877="ii",B9877="pod"),(((D9877/100)*(C9877*VLOOKUP(B9877,'Poids des runes'!A:B,2,FALSE)))+1),(((D9877/100)*(C9877*VLOOKUP(B9877,'Poids des runes'!A:B,2,FALSE)))+1)/VLOOKUP(B9877,'Poids des runes'!A:B,2,FALSE))</f>
        <v>72</v>
      </c>
      <c r="F9877">
        <f t="shared" si="154"/>
        <v>72</v>
      </c>
    </row>
    <row r="9878" spans="1:6" x14ac:dyDescent="0.3">
      <c r="A9878" t="s">
        <v>1542</v>
      </c>
      <c r="B9878" t="s">
        <v>2154</v>
      </c>
      <c r="C9878">
        <v>1</v>
      </c>
      <c r="D9878">
        <v>200</v>
      </c>
      <c r="E9878">
        <f>IF(OR(B9878="vi",B9878="ii",B9878="pod"),(((D9878/100)*(C9878*VLOOKUP(B9878,'Poids des runes'!A:B,2,FALSE)))+1),(((D9878/100)*(C9878*VLOOKUP(B9878,'Poids des runes'!A:B,2,FALSE)))+1)/VLOOKUP(B9878,'Poids des runes'!A:B,2,FALSE))</f>
        <v>2.0111111111111111</v>
      </c>
      <c r="F9878">
        <f t="shared" si="154"/>
        <v>2.0111111111111111</v>
      </c>
    </row>
    <row r="9879" spans="1:6" x14ac:dyDescent="0.3">
      <c r="A9879" t="s">
        <v>1542</v>
      </c>
      <c r="B9879" t="s">
        <v>2143</v>
      </c>
      <c r="C9879">
        <v>10.5</v>
      </c>
      <c r="D9879">
        <v>200</v>
      </c>
      <c r="E9879">
        <f>IF(OR(B9879="vi",B9879="ii",B9879="pod"),(((D9879/100)*(C9879*VLOOKUP(B9879,'Poids des runes'!A:B,2,FALSE)))+1),(((D9879/100)*(C9879*VLOOKUP(B9879,'Poids des runes'!A:B,2,FALSE)))+1)/VLOOKUP(B9879,'Poids des runes'!A:B,2,FALSE))</f>
        <v>21.2</v>
      </c>
      <c r="F9879">
        <f t="shared" si="154"/>
        <v>21.2</v>
      </c>
    </row>
    <row r="9880" spans="1:6" x14ac:dyDescent="0.3">
      <c r="A9880" t="s">
        <v>1542</v>
      </c>
      <c r="B9880" t="s">
        <v>2140</v>
      </c>
      <c r="C9880">
        <v>8.5</v>
      </c>
      <c r="D9880">
        <v>200</v>
      </c>
      <c r="E9880">
        <f>IF(OR(B9880="vi",B9880="ii",B9880="pod"),(((D9880/100)*(C9880*VLOOKUP(B9880,'Poids des runes'!A:B,2,FALSE)))+1),(((D9880/100)*(C9880*VLOOKUP(B9880,'Poids des runes'!A:B,2,FALSE)))+1)/VLOOKUP(B9880,'Poids des runes'!A:B,2,FALSE))</f>
        <v>17.2</v>
      </c>
      <c r="F9880">
        <f t="shared" si="154"/>
        <v>17.2</v>
      </c>
    </row>
    <row r="9881" spans="1:6" x14ac:dyDescent="0.3">
      <c r="A9881" t="s">
        <v>1542</v>
      </c>
      <c r="B9881" t="s">
        <v>2133</v>
      </c>
      <c r="C9881">
        <v>8.5</v>
      </c>
      <c r="D9881">
        <v>200</v>
      </c>
      <c r="E9881">
        <f>IF(OR(B9881="vi",B9881="ii",B9881="pod"),(((D9881/100)*(C9881*VLOOKUP(B9881,'Poids des runes'!A:B,2,FALSE)))+1),(((D9881/100)*(C9881*VLOOKUP(B9881,'Poids des runes'!A:B,2,FALSE)))+1)/VLOOKUP(B9881,'Poids des runes'!A:B,2,FALSE))</f>
        <v>17.2</v>
      </c>
      <c r="F9881">
        <f t="shared" si="154"/>
        <v>17.2</v>
      </c>
    </row>
    <row r="9882" spans="1:6" x14ac:dyDescent="0.3">
      <c r="A9882" t="s">
        <v>1542</v>
      </c>
      <c r="B9882" t="s">
        <v>2138</v>
      </c>
      <c r="C9882">
        <v>6</v>
      </c>
      <c r="D9882">
        <v>200</v>
      </c>
      <c r="E9882">
        <f>IF(OR(B9882="vi",B9882="ii",B9882="pod"),(((D9882/100)*(C9882*VLOOKUP(B9882,'Poids des runes'!A:B,2,FALSE)))+1),(((D9882/100)*(C9882*VLOOKUP(B9882,'Poids des runes'!A:B,2,FALSE)))+1)/VLOOKUP(B9882,'Poids des runes'!A:B,2,FALSE))</f>
        <v>12.25</v>
      </c>
      <c r="F9882">
        <f t="shared" si="154"/>
        <v>12.25</v>
      </c>
    </row>
    <row r="9883" spans="1:6" x14ac:dyDescent="0.3">
      <c r="A9883" t="s">
        <v>1542</v>
      </c>
      <c r="B9883" t="s">
        <v>2160</v>
      </c>
      <c r="C9883">
        <v>3.5</v>
      </c>
      <c r="D9883">
        <v>200</v>
      </c>
      <c r="E9883">
        <f>IF(OR(B9883="vi",B9883="ii",B9883="pod"),(((D9883/100)*(C9883*VLOOKUP(B9883,'Poids des runes'!A:B,2,FALSE)))+1),(((D9883/100)*(C9883*VLOOKUP(B9883,'Poids des runes'!A:B,2,FALSE)))+1)/VLOOKUP(B9883,'Poids des runes'!A:B,2,FALSE))</f>
        <v>7.1428571428571432</v>
      </c>
      <c r="F9883">
        <f t="shared" si="154"/>
        <v>7.1428571428571432</v>
      </c>
    </row>
    <row r="9884" spans="1:6" x14ac:dyDescent="0.3">
      <c r="A9884" t="s">
        <v>1542</v>
      </c>
      <c r="B9884" t="s">
        <v>2148</v>
      </c>
      <c r="C9884">
        <v>3.5</v>
      </c>
      <c r="D9884">
        <v>200</v>
      </c>
      <c r="E9884">
        <f>IF(OR(B9884="vi",B9884="ii",B9884="pod"),(((D9884/100)*(C9884*VLOOKUP(B9884,'Poids des runes'!A:B,2,FALSE)))+1),(((D9884/100)*(C9884*VLOOKUP(B9884,'Poids des runes'!A:B,2,FALSE)))+1)/VLOOKUP(B9884,'Poids des runes'!A:B,2,FALSE))</f>
        <v>7.166666666666667</v>
      </c>
      <c r="F9884">
        <f t="shared" si="154"/>
        <v>7.166666666666667</v>
      </c>
    </row>
    <row r="9885" spans="1:6" x14ac:dyDescent="0.3">
      <c r="A9885" t="s">
        <v>1542</v>
      </c>
      <c r="B9885" t="s">
        <v>2135</v>
      </c>
      <c r="C9885">
        <v>5</v>
      </c>
      <c r="D9885">
        <v>200</v>
      </c>
      <c r="E9885">
        <f>IF(OR(B9885="vi",B9885="ii",B9885="pod"),(((D9885/100)*(C9885*VLOOKUP(B9885,'Poids des runes'!A:B,2,FALSE)))+1),(((D9885/100)*(C9885*VLOOKUP(B9885,'Poids des runes'!A:B,2,FALSE)))+1)/VLOOKUP(B9885,'Poids des runes'!A:B,2,FALSE))</f>
        <v>10.166666666666666</v>
      </c>
      <c r="F9885">
        <f t="shared" si="154"/>
        <v>10.166666666666666</v>
      </c>
    </row>
    <row r="9886" spans="1:6" x14ac:dyDescent="0.3">
      <c r="A9886" t="s">
        <v>1543</v>
      </c>
      <c r="B9886" t="s">
        <v>2128</v>
      </c>
      <c r="C9886">
        <v>325.5</v>
      </c>
      <c r="D9886">
        <v>200</v>
      </c>
      <c r="E9886">
        <f>IF(OR(B9886="vi",B9886="ii",B9886="pod"),(((D9886/100)*(C9886*VLOOKUP(B9886,'Poids des runes'!A:B,2,FALSE)))+1),(((D9886/100)*(C9886*VLOOKUP(B9886,'Poids des runes'!A:B,2,FALSE)))+1)/VLOOKUP(B9886,'Poids des runes'!A:B,2,FALSE))</f>
        <v>131.20000000000002</v>
      </c>
      <c r="F9886">
        <f t="shared" si="154"/>
        <v>131.20000000000002</v>
      </c>
    </row>
    <row r="9887" spans="1:6" x14ac:dyDescent="0.3">
      <c r="A9887" t="s">
        <v>1543</v>
      </c>
      <c r="B9887" t="s">
        <v>2130</v>
      </c>
      <c r="C9887">
        <v>60.5</v>
      </c>
      <c r="D9887">
        <v>200</v>
      </c>
      <c r="E9887">
        <f>IF(OR(B9887="vi",B9887="ii",B9887="pod"),(((D9887/100)*(C9887*VLOOKUP(B9887,'Poids des runes'!A:B,2,FALSE)))+1),(((D9887/100)*(C9887*VLOOKUP(B9887,'Poids des runes'!A:B,2,FALSE)))+1)/VLOOKUP(B9887,'Poids des runes'!A:B,2,FALSE))</f>
        <v>122</v>
      </c>
      <c r="F9887">
        <f t="shared" si="154"/>
        <v>122</v>
      </c>
    </row>
    <row r="9888" spans="1:6" x14ac:dyDescent="0.3">
      <c r="A9888" t="s">
        <v>1543</v>
      </c>
      <c r="B9888" t="s">
        <v>2126</v>
      </c>
      <c r="C9888">
        <v>40.5</v>
      </c>
      <c r="D9888">
        <v>200</v>
      </c>
      <c r="E9888">
        <f>IF(OR(B9888="vi",B9888="ii",B9888="pod"),(((D9888/100)*(C9888*VLOOKUP(B9888,'Poids des runes'!A:B,2,FALSE)))+1),(((D9888/100)*(C9888*VLOOKUP(B9888,'Poids des runes'!A:B,2,FALSE)))+1)/VLOOKUP(B9888,'Poids des runes'!A:B,2,FALSE))</f>
        <v>82</v>
      </c>
      <c r="F9888">
        <f t="shared" si="154"/>
        <v>82</v>
      </c>
    </row>
    <row r="9889" spans="1:6" x14ac:dyDescent="0.3">
      <c r="A9889" t="s">
        <v>1543</v>
      </c>
      <c r="B9889" t="s">
        <v>2131</v>
      </c>
      <c r="C9889">
        <v>40.5</v>
      </c>
      <c r="D9889">
        <v>200</v>
      </c>
      <c r="E9889">
        <f>IF(OR(B9889="vi",B9889="ii",B9889="pod"),(((D9889/100)*(C9889*VLOOKUP(B9889,'Poids des runes'!A:B,2,FALSE)))+1),(((D9889/100)*(C9889*VLOOKUP(B9889,'Poids des runes'!A:B,2,FALSE)))+1)/VLOOKUP(B9889,'Poids des runes'!A:B,2,FALSE))</f>
        <v>82</v>
      </c>
      <c r="F9889">
        <f t="shared" si="154"/>
        <v>82</v>
      </c>
    </row>
    <row r="9890" spans="1:6" x14ac:dyDescent="0.3">
      <c r="A9890" t="s">
        <v>1543</v>
      </c>
      <c r="B9890" t="s">
        <v>2129</v>
      </c>
      <c r="C9890">
        <v>40.5</v>
      </c>
      <c r="D9890">
        <v>200</v>
      </c>
      <c r="E9890">
        <f>IF(OR(B9890="vi",B9890="ii",B9890="pod"),(((D9890/100)*(C9890*VLOOKUP(B9890,'Poids des runes'!A:B,2,FALSE)))+1),(((D9890/100)*(C9890*VLOOKUP(B9890,'Poids des runes'!A:B,2,FALSE)))+1)/VLOOKUP(B9890,'Poids des runes'!A:B,2,FALSE))</f>
        <v>82</v>
      </c>
      <c r="F9890">
        <f t="shared" si="154"/>
        <v>82</v>
      </c>
    </row>
    <row r="9891" spans="1:6" x14ac:dyDescent="0.3">
      <c r="A9891" t="s">
        <v>1543</v>
      </c>
      <c r="B9891" t="s">
        <v>2150</v>
      </c>
      <c r="C9891">
        <v>1</v>
      </c>
      <c r="D9891">
        <v>200</v>
      </c>
      <c r="E9891">
        <f>IF(OR(B9891="vi",B9891="ii",B9891="pod"),(((D9891/100)*(C9891*VLOOKUP(B9891,'Poids des runes'!A:B,2,FALSE)))+1),(((D9891/100)*(C9891*VLOOKUP(B9891,'Poids des runes'!A:B,2,FALSE)))+1)/VLOOKUP(B9891,'Poids des runes'!A:B,2,FALSE))</f>
        <v>2.0333333333333332</v>
      </c>
      <c r="F9891">
        <f t="shared" si="154"/>
        <v>2.0333333333333332</v>
      </c>
    </row>
    <row r="9892" spans="1:6" x14ac:dyDescent="0.3">
      <c r="A9892" t="s">
        <v>1543</v>
      </c>
      <c r="B9892" t="s">
        <v>2143</v>
      </c>
      <c r="C9892">
        <v>8.5</v>
      </c>
      <c r="D9892">
        <v>200</v>
      </c>
      <c r="E9892">
        <f>IF(OR(B9892="vi",B9892="ii",B9892="pod"),(((D9892/100)*(C9892*VLOOKUP(B9892,'Poids des runes'!A:B,2,FALSE)))+1),(((D9892/100)*(C9892*VLOOKUP(B9892,'Poids des runes'!A:B,2,FALSE)))+1)/VLOOKUP(B9892,'Poids des runes'!A:B,2,FALSE))</f>
        <v>17.2</v>
      </c>
      <c r="F9892">
        <f t="shared" si="154"/>
        <v>17.2</v>
      </c>
    </row>
    <row r="9893" spans="1:6" x14ac:dyDescent="0.3">
      <c r="A9893" t="s">
        <v>1543</v>
      </c>
      <c r="B9893" t="s">
        <v>2140</v>
      </c>
      <c r="C9893">
        <v>10.5</v>
      </c>
      <c r="D9893">
        <v>200</v>
      </c>
      <c r="E9893">
        <f>IF(OR(B9893="vi",B9893="ii",B9893="pod"),(((D9893/100)*(C9893*VLOOKUP(B9893,'Poids des runes'!A:B,2,FALSE)))+1),(((D9893/100)*(C9893*VLOOKUP(B9893,'Poids des runes'!A:B,2,FALSE)))+1)/VLOOKUP(B9893,'Poids des runes'!A:B,2,FALSE))</f>
        <v>21.2</v>
      </c>
      <c r="F9893">
        <f t="shared" si="154"/>
        <v>21.2</v>
      </c>
    </row>
    <row r="9894" spans="1:6" x14ac:dyDescent="0.3">
      <c r="A9894" t="s">
        <v>1543</v>
      </c>
      <c r="B9894" t="s">
        <v>2133</v>
      </c>
      <c r="C9894">
        <v>8.5</v>
      </c>
      <c r="D9894">
        <v>200</v>
      </c>
      <c r="E9894">
        <f>IF(OR(B9894="vi",B9894="ii",B9894="pod"),(((D9894/100)*(C9894*VLOOKUP(B9894,'Poids des runes'!A:B,2,FALSE)))+1),(((D9894/100)*(C9894*VLOOKUP(B9894,'Poids des runes'!A:B,2,FALSE)))+1)/VLOOKUP(B9894,'Poids des runes'!A:B,2,FALSE))</f>
        <v>17.2</v>
      </c>
      <c r="F9894">
        <f t="shared" si="154"/>
        <v>17.2</v>
      </c>
    </row>
    <row r="9895" spans="1:6" x14ac:dyDescent="0.3">
      <c r="A9895" t="s">
        <v>1543</v>
      </c>
      <c r="B9895" t="s">
        <v>2161</v>
      </c>
      <c r="C9895">
        <v>13</v>
      </c>
      <c r="D9895">
        <v>200</v>
      </c>
      <c r="E9895">
        <f>IF(OR(B9895="vi",B9895="ii",B9895="pod"),(((D9895/100)*(C9895*VLOOKUP(B9895,'Poids des runes'!A:B,2,FALSE)))+1),(((D9895/100)*(C9895*VLOOKUP(B9895,'Poids des runes'!A:B,2,FALSE)))+1)/VLOOKUP(B9895,'Poids des runes'!A:B,2,FALSE))</f>
        <v>26.333333333333332</v>
      </c>
      <c r="F9895">
        <f t="shared" si="154"/>
        <v>26.333333333333332</v>
      </c>
    </row>
    <row r="9896" spans="1:6" x14ac:dyDescent="0.3">
      <c r="A9896" t="s">
        <v>1543</v>
      </c>
      <c r="B9896" t="s">
        <v>2138</v>
      </c>
      <c r="C9896">
        <v>3.5</v>
      </c>
      <c r="D9896">
        <v>200</v>
      </c>
      <c r="E9896">
        <f>IF(OR(B9896="vi",B9896="ii",B9896="pod"),(((D9896/100)*(C9896*VLOOKUP(B9896,'Poids des runes'!A:B,2,FALSE)))+1),(((D9896/100)*(C9896*VLOOKUP(B9896,'Poids des runes'!A:B,2,FALSE)))+1)/VLOOKUP(B9896,'Poids des runes'!A:B,2,FALSE))</f>
        <v>7.25</v>
      </c>
      <c r="F9896">
        <f t="shared" si="154"/>
        <v>7.25</v>
      </c>
    </row>
    <row r="9897" spans="1:6" x14ac:dyDescent="0.3">
      <c r="A9897" t="s">
        <v>1543</v>
      </c>
      <c r="B9897" t="s">
        <v>2160</v>
      </c>
      <c r="C9897">
        <v>2.5</v>
      </c>
      <c r="D9897">
        <v>200</v>
      </c>
      <c r="E9897">
        <f>IF(OR(B9897="vi",B9897="ii",B9897="pod"),(((D9897/100)*(C9897*VLOOKUP(B9897,'Poids des runes'!A:B,2,FALSE)))+1),(((D9897/100)*(C9897*VLOOKUP(B9897,'Poids des runes'!A:B,2,FALSE)))+1)/VLOOKUP(B9897,'Poids des runes'!A:B,2,FALSE))</f>
        <v>5.1428571428571432</v>
      </c>
      <c r="F9897">
        <f t="shared" si="154"/>
        <v>5.1428571428571432</v>
      </c>
    </row>
    <row r="9898" spans="1:6" x14ac:dyDescent="0.3">
      <c r="A9898" t="s">
        <v>1543</v>
      </c>
      <c r="B9898" t="s">
        <v>2148</v>
      </c>
      <c r="C9898">
        <v>8.5</v>
      </c>
      <c r="D9898">
        <v>200</v>
      </c>
      <c r="E9898">
        <f>IF(OR(B9898="vi",B9898="ii",B9898="pod"),(((D9898/100)*(C9898*VLOOKUP(B9898,'Poids des runes'!A:B,2,FALSE)))+1),(((D9898/100)*(C9898*VLOOKUP(B9898,'Poids des runes'!A:B,2,FALSE)))+1)/VLOOKUP(B9898,'Poids des runes'!A:B,2,FALSE))</f>
        <v>17.166666666666668</v>
      </c>
      <c r="F9898">
        <f t="shared" si="154"/>
        <v>17.166666666666668</v>
      </c>
    </row>
    <row r="9899" spans="1:6" x14ac:dyDescent="0.3">
      <c r="A9899" t="s">
        <v>1543</v>
      </c>
      <c r="B9899" t="s">
        <v>2136</v>
      </c>
      <c r="C9899">
        <v>8.5</v>
      </c>
      <c r="D9899">
        <v>200</v>
      </c>
      <c r="E9899">
        <f>IF(OR(B9899="vi",B9899="ii",B9899="pod"),(((D9899/100)*(C9899*VLOOKUP(B9899,'Poids des runes'!A:B,2,FALSE)))+1),(((D9899/100)*(C9899*VLOOKUP(B9899,'Poids des runes'!A:B,2,FALSE)))+1)/VLOOKUP(B9899,'Poids des runes'!A:B,2,FALSE))</f>
        <v>17.5</v>
      </c>
      <c r="F9899">
        <f t="shared" si="154"/>
        <v>17.5</v>
      </c>
    </row>
    <row r="9900" spans="1:6" x14ac:dyDescent="0.3">
      <c r="A9900" t="s">
        <v>1544</v>
      </c>
      <c r="B9900" t="s">
        <v>2128</v>
      </c>
      <c r="C9900">
        <v>275.5</v>
      </c>
      <c r="D9900">
        <v>200</v>
      </c>
      <c r="E9900">
        <f>IF(OR(B9900="vi",B9900="ii",B9900="pod"),(((D9900/100)*(C9900*VLOOKUP(B9900,'Poids des runes'!A:B,2,FALSE)))+1),(((D9900/100)*(C9900*VLOOKUP(B9900,'Poids des runes'!A:B,2,FALSE)))+1)/VLOOKUP(B9900,'Poids des runes'!A:B,2,FALSE))</f>
        <v>111.2</v>
      </c>
      <c r="F9900">
        <f t="shared" si="154"/>
        <v>111.2</v>
      </c>
    </row>
    <row r="9901" spans="1:6" x14ac:dyDescent="0.3">
      <c r="A9901" t="s">
        <v>1544</v>
      </c>
      <c r="B9901" t="s">
        <v>2130</v>
      </c>
      <c r="C9901">
        <v>50.5</v>
      </c>
      <c r="D9901">
        <v>200</v>
      </c>
      <c r="E9901">
        <f>IF(OR(B9901="vi",B9901="ii",B9901="pod"),(((D9901/100)*(C9901*VLOOKUP(B9901,'Poids des runes'!A:B,2,FALSE)))+1),(((D9901/100)*(C9901*VLOOKUP(B9901,'Poids des runes'!A:B,2,FALSE)))+1)/VLOOKUP(B9901,'Poids des runes'!A:B,2,FALSE))</f>
        <v>102</v>
      </c>
      <c r="F9901">
        <f t="shared" si="154"/>
        <v>102</v>
      </c>
    </row>
    <row r="9902" spans="1:6" x14ac:dyDescent="0.3">
      <c r="A9902" t="s">
        <v>1544</v>
      </c>
      <c r="B9902" t="s">
        <v>2131</v>
      </c>
      <c r="C9902">
        <v>50.5</v>
      </c>
      <c r="D9902">
        <v>200</v>
      </c>
      <c r="E9902">
        <f>IF(OR(B9902="vi",B9902="ii",B9902="pod"),(((D9902/100)*(C9902*VLOOKUP(B9902,'Poids des runes'!A:B,2,FALSE)))+1),(((D9902/100)*(C9902*VLOOKUP(B9902,'Poids des runes'!A:B,2,FALSE)))+1)/VLOOKUP(B9902,'Poids des runes'!A:B,2,FALSE))</f>
        <v>102</v>
      </c>
      <c r="F9902">
        <f t="shared" si="154"/>
        <v>102</v>
      </c>
    </row>
    <row r="9903" spans="1:6" x14ac:dyDescent="0.3">
      <c r="A9903" t="s">
        <v>1544</v>
      </c>
      <c r="B9903" t="s">
        <v>2129</v>
      </c>
      <c r="C9903">
        <v>25.5</v>
      </c>
      <c r="D9903">
        <v>200</v>
      </c>
      <c r="E9903">
        <f>IF(OR(B9903="vi",B9903="ii",B9903="pod"),(((D9903/100)*(C9903*VLOOKUP(B9903,'Poids des runes'!A:B,2,FALSE)))+1),(((D9903/100)*(C9903*VLOOKUP(B9903,'Poids des runes'!A:B,2,FALSE)))+1)/VLOOKUP(B9903,'Poids des runes'!A:B,2,FALSE))</f>
        <v>52</v>
      </c>
      <c r="F9903">
        <f t="shared" si="154"/>
        <v>52</v>
      </c>
    </row>
    <row r="9904" spans="1:6" x14ac:dyDescent="0.3">
      <c r="A9904" t="s">
        <v>1544</v>
      </c>
      <c r="B9904" t="s">
        <v>2151</v>
      </c>
      <c r="C9904">
        <v>3.5</v>
      </c>
      <c r="D9904">
        <v>200</v>
      </c>
      <c r="E9904">
        <f>IF(OR(B9904="vi",B9904="ii",B9904="pod"),(((D9904/100)*(C9904*VLOOKUP(B9904,'Poids des runes'!A:B,2,FALSE)))+1),(((D9904/100)*(C9904*VLOOKUP(B9904,'Poids des runes'!A:B,2,FALSE)))+1)/VLOOKUP(B9904,'Poids des runes'!A:B,2,FALSE))</f>
        <v>7.1</v>
      </c>
      <c r="F9904">
        <f t="shared" si="154"/>
        <v>7.1</v>
      </c>
    </row>
    <row r="9905" spans="1:6" x14ac:dyDescent="0.3">
      <c r="A9905" t="s">
        <v>1544</v>
      </c>
      <c r="B9905" t="s">
        <v>2152</v>
      </c>
      <c r="C9905">
        <v>1</v>
      </c>
      <c r="D9905">
        <v>200</v>
      </c>
      <c r="E9905">
        <f>IF(OR(B9905="vi",B9905="ii",B9905="pod"),(((D9905/100)*(C9905*VLOOKUP(B9905,'Poids des runes'!A:B,2,FALSE)))+1),(((D9905/100)*(C9905*VLOOKUP(B9905,'Poids des runes'!A:B,2,FALSE)))+1)/VLOOKUP(B9905,'Poids des runes'!A:B,2,FALSE))</f>
        <v>2.0099999999999998</v>
      </c>
      <c r="F9905">
        <f t="shared" si="154"/>
        <v>2.0099999999999998</v>
      </c>
    </row>
    <row r="9906" spans="1:6" x14ac:dyDescent="0.3">
      <c r="A9906" t="s">
        <v>1544</v>
      </c>
      <c r="B9906" t="s">
        <v>2155</v>
      </c>
      <c r="C9906">
        <v>1</v>
      </c>
      <c r="D9906">
        <v>200</v>
      </c>
      <c r="E9906">
        <f>IF(OR(B9906="vi",B9906="ii",B9906="pod"),(((D9906/100)*(C9906*VLOOKUP(B9906,'Poids des runes'!A:B,2,FALSE)))+1),(((D9906/100)*(C9906*VLOOKUP(B9906,'Poids des runes'!A:B,2,FALSE)))+1)/VLOOKUP(B9906,'Poids des runes'!A:B,2,FALSE))</f>
        <v>2.0196078431372548</v>
      </c>
      <c r="F9906">
        <f t="shared" si="154"/>
        <v>2.0196078431372548</v>
      </c>
    </row>
    <row r="9907" spans="1:6" x14ac:dyDescent="0.3">
      <c r="A9907" t="s">
        <v>1544</v>
      </c>
      <c r="B9907" t="s">
        <v>2143</v>
      </c>
      <c r="C9907">
        <v>13</v>
      </c>
      <c r="D9907">
        <v>200</v>
      </c>
      <c r="E9907">
        <f>IF(OR(B9907="vi",B9907="ii",B9907="pod"),(((D9907/100)*(C9907*VLOOKUP(B9907,'Poids des runes'!A:B,2,FALSE)))+1),(((D9907/100)*(C9907*VLOOKUP(B9907,'Poids des runes'!A:B,2,FALSE)))+1)/VLOOKUP(B9907,'Poids des runes'!A:B,2,FALSE))</f>
        <v>26.2</v>
      </c>
      <c r="F9907">
        <f t="shared" si="154"/>
        <v>26.2</v>
      </c>
    </row>
    <row r="9908" spans="1:6" x14ac:dyDescent="0.3">
      <c r="A9908" t="s">
        <v>1544</v>
      </c>
      <c r="B9908" t="s">
        <v>2133</v>
      </c>
      <c r="C9908">
        <v>13</v>
      </c>
      <c r="D9908">
        <v>200</v>
      </c>
      <c r="E9908">
        <f>IF(OR(B9908="vi",B9908="ii",B9908="pod"),(((D9908/100)*(C9908*VLOOKUP(B9908,'Poids des runes'!A:B,2,FALSE)))+1),(((D9908/100)*(C9908*VLOOKUP(B9908,'Poids des runes'!A:B,2,FALSE)))+1)/VLOOKUP(B9908,'Poids des runes'!A:B,2,FALSE))</f>
        <v>26.2</v>
      </c>
      <c r="F9908">
        <f t="shared" si="154"/>
        <v>26.2</v>
      </c>
    </row>
    <row r="9909" spans="1:6" x14ac:dyDescent="0.3">
      <c r="A9909" t="s">
        <v>1544</v>
      </c>
      <c r="B9909" t="s">
        <v>2158</v>
      </c>
      <c r="C9909">
        <v>18</v>
      </c>
      <c r="D9909">
        <v>200</v>
      </c>
      <c r="E9909">
        <f>IF(OR(B9909="vi",B9909="ii",B9909="pod"),(((D9909/100)*(C9909*VLOOKUP(B9909,'Poids des runes'!A:B,2,FALSE)))+1),(((D9909/100)*(C9909*VLOOKUP(B9909,'Poids des runes'!A:B,2,FALSE)))+1)/VLOOKUP(B9909,'Poids des runes'!A:B,2,FALSE))</f>
        <v>36.200000000000003</v>
      </c>
      <c r="F9909">
        <f t="shared" si="154"/>
        <v>36.200000000000003</v>
      </c>
    </row>
    <row r="9910" spans="1:6" x14ac:dyDescent="0.3">
      <c r="A9910" t="s">
        <v>1544</v>
      </c>
      <c r="B9910" t="s">
        <v>2147</v>
      </c>
      <c r="C9910">
        <v>6</v>
      </c>
      <c r="D9910">
        <v>200</v>
      </c>
      <c r="E9910">
        <f>IF(OR(B9910="vi",B9910="ii",B9910="pod"),(((D9910/100)*(C9910*VLOOKUP(B9910,'Poids des runes'!A:B,2,FALSE)))+1),(((D9910/100)*(C9910*VLOOKUP(B9910,'Poids des runes'!A:B,2,FALSE)))+1)/VLOOKUP(B9910,'Poids des runes'!A:B,2,FALSE))</f>
        <v>12.166666666666666</v>
      </c>
      <c r="F9910">
        <f t="shared" si="154"/>
        <v>12.166666666666666</v>
      </c>
    </row>
    <row r="9911" spans="1:6" x14ac:dyDescent="0.3">
      <c r="A9911" t="s">
        <v>1544</v>
      </c>
      <c r="B9911" t="s">
        <v>2157</v>
      </c>
      <c r="C9911">
        <v>6</v>
      </c>
      <c r="D9911">
        <v>200</v>
      </c>
      <c r="E9911">
        <f>IF(OR(B9911="vi",B9911="ii",B9911="pod"),(((D9911/100)*(C9911*VLOOKUP(B9911,'Poids des runes'!A:B,2,FALSE)))+1),(((D9911/100)*(C9911*VLOOKUP(B9911,'Poids des runes'!A:B,2,FALSE)))+1)/VLOOKUP(B9911,'Poids des runes'!A:B,2,FALSE))</f>
        <v>12.166666666666666</v>
      </c>
      <c r="F9911">
        <f t="shared" si="154"/>
        <v>12.166666666666666</v>
      </c>
    </row>
    <row r="9912" spans="1:6" x14ac:dyDescent="0.3">
      <c r="A9912" t="s">
        <v>1545</v>
      </c>
      <c r="B9912" t="s">
        <v>2128</v>
      </c>
      <c r="C9912">
        <v>325.5</v>
      </c>
      <c r="D9912">
        <v>200</v>
      </c>
      <c r="E9912">
        <f>IF(OR(B9912="vi",B9912="ii",B9912="pod"),(((D9912/100)*(C9912*VLOOKUP(B9912,'Poids des runes'!A:B,2,FALSE)))+1),(((D9912/100)*(C9912*VLOOKUP(B9912,'Poids des runes'!A:B,2,FALSE)))+1)/VLOOKUP(B9912,'Poids des runes'!A:B,2,FALSE))</f>
        <v>131.20000000000002</v>
      </c>
      <c r="F9912">
        <f t="shared" si="154"/>
        <v>131.20000000000002</v>
      </c>
    </row>
    <row r="9913" spans="1:6" x14ac:dyDescent="0.3">
      <c r="A9913" t="s">
        <v>1545</v>
      </c>
      <c r="B9913" t="s">
        <v>2130</v>
      </c>
      <c r="C9913">
        <v>60.5</v>
      </c>
      <c r="D9913">
        <v>200</v>
      </c>
      <c r="E9913">
        <f>IF(OR(B9913="vi",B9913="ii",B9913="pod"),(((D9913/100)*(C9913*VLOOKUP(B9913,'Poids des runes'!A:B,2,FALSE)))+1),(((D9913/100)*(C9913*VLOOKUP(B9913,'Poids des runes'!A:B,2,FALSE)))+1)/VLOOKUP(B9913,'Poids des runes'!A:B,2,FALSE))</f>
        <v>122</v>
      </c>
      <c r="F9913">
        <f t="shared" si="154"/>
        <v>122</v>
      </c>
    </row>
    <row r="9914" spans="1:6" x14ac:dyDescent="0.3">
      <c r="A9914" t="s">
        <v>1545</v>
      </c>
      <c r="B9914" t="s">
        <v>2131</v>
      </c>
      <c r="C9914">
        <v>60.5</v>
      </c>
      <c r="D9914">
        <v>200</v>
      </c>
      <c r="E9914">
        <f>IF(OR(B9914="vi",B9914="ii",B9914="pod"),(((D9914/100)*(C9914*VLOOKUP(B9914,'Poids des runes'!A:B,2,FALSE)))+1),(((D9914/100)*(C9914*VLOOKUP(B9914,'Poids des runes'!A:B,2,FALSE)))+1)/VLOOKUP(B9914,'Poids des runes'!A:B,2,FALSE))</f>
        <v>122</v>
      </c>
      <c r="F9914">
        <f t="shared" si="154"/>
        <v>122</v>
      </c>
    </row>
    <row r="9915" spans="1:6" x14ac:dyDescent="0.3">
      <c r="A9915" t="s">
        <v>1545</v>
      </c>
      <c r="B9915" t="s">
        <v>2129</v>
      </c>
      <c r="C9915">
        <v>30.5</v>
      </c>
      <c r="D9915">
        <v>200</v>
      </c>
      <c r="E9915">
        <f>IF(OR(B9915="vi",B9915="ii",B9915="pod"),(((D9915/100)*(C9915*VLOOKUP(B9915,'Poids des runes'!A:B,2,FALSE)))+1),(((D9915/100)*(C9915*VLOOKUP(B9915,'Poids des runes'!A:B,2,FALSE)))+1)/VLOOKUP(B9915,'Poids des runes'!A:B,2,FALSE))</f>
        <v>62</v>
      </c>
      <c r="F9915">
        <f t="shared" si="154"/>
        <v>62</v>
      </c>
    </row>
    <row r="9916" spans="1:6" x14ac:dyDescent="0.3">
      <c r="A9916" t="s">
        <v>1545</v>
      </c>
      <c r="B9916" t="s">
        <v>2151</v>
      </c>
      <c r="C9916">
        <v>4</v>
      </c>
      <c r="D9916">
        <v>200</v>
      </c>
      <c r="E9916">
        <f>IF(OR(B9916="vi",B9916="ii",B9916="pod"),(((D9916/100)*(C9916*VLOOKUP(B9916,'Poids des runes'!A:B,2,FALSE)))+1),(((D9916/100)*(C9916*VLOOKUP(B9916,'Poids des runes'!A:B,2,FALSE)))+1)/VLOOKUP(B9916,'Poids des runes'!A:B,2,FALSE))</f>
        <v>8.1</v>
      </c>
      <c r="F9916">
        <f t="shared" si="154"/>
        <v>8.1</v>
      </c>
    </row>
    <row r="9917" spans="1:6" x14ac:dyDescent="0.3">
      <c r="A9917" t="s">
        <v>1545</v>
      </c>
      <c r="B9917" t="s">
        <v>2143</v>
      </c>
      <c r="C9917">
        <v>16</v>
      </c>
      <c r="D9917">
        <v>200</v>
      </c>
      <c r="E9917">
        <f>IF(OR(B9917="vi",B9917="ii",B9917="pod"),(((D9917/100)*(C9917*VLOOKUP(B9917,'Poids des runes'!A:B,2,FALSE)))+1),(((D9917/100)*(C9917*VLOOKUP(B9917,'Poids des runes'!A:B,2,FALSE)))+1)/VLOOKUP(B9917,'Poids des runes'!A:B,2,FALSE))</f>
        <v>32.200000000000003</v>
      </c>
      <c r="F9917">
        <f t="shared" si="154"/>
        <v>32.200000000000003</v>
      </c>
    </row>
    <row r="9918" spans="1:6" x14ac:dyDescent="0.3">
      <c r="A9918" t="s">
        <v>1545</v>
      </c>
      <c r="B9918" t="s">
        <v>2133</v>
      </c>
      <c r="C9918">
        <v>16</v>
      </c>
      <c r="D9918">
        <v>200</v>
      </c>
      <c r="E9918">
        <f>IF(OR(B9918="vi",B9918="ii",B9918="pod"),(((D9918/100)*(C9918*VLOOKUP(B9918,'Poids des runes'!A:B,2,FALSE)))+1),(((D9918/100)*(C9918*VLOOKUP(B9918,'Poids des runes'!A:B,2,FALSE)))+1)/VLOOKUP(B9918,'Poids des runes'!A:B,2,FALSE))</f>
        <v>32.200000000000003</v>
      </c>
      <c r="F9918">
        <f t="shared" si="154"/>
        <v>32.200000000000003</v>
      </c>
    </row>
    <row r="9919" spans="1:6" x14ac:dyDescent="0.3">
      <c r="A9919" t="s">
        <v>1545</v>
      </c>
      <c r="B9919" t="s">
        <v>2161</v>
      </c>
      <c r="C9919">
        <v>13</v>
      </c>
      <c r="D9919">
        <v>200</v>
      </c>
      <c r="E9919">
        <f>IF(OR(B9919="vi",B9919="ii",B9919="pod"),(((D9919/100)*(C9919*VLOOKUP(B9919,'Poids des runes'!A:B,2,FALSE)))+1),(((D9919/100)*(C9919*VLOOKUP(B9919,'Poids des runes'!A:B,2,FALSE)))+1)/VLOOKUP(B9919,'Poids des runes'!A:B,2,FALSE))</f>
        <v>26.333333333333332</v>
      </c>
      <c r="F9919">
        <f t="shared" si="154"/>
        <v>26.333333333333332</v>
      </c>
    </row>
    <row r="9920" spans="1:6" x14ac:dyDescent="0.3">
      <c r="A9920" t="s">
        <v>1545</v>
      </c>
      <c r="B9920" t="s">
        <v>2158</v>
      </c>
      <c r="C9920">
        <v>10.5</v>
      </c>
      <c r="D9920">
        <v>200</v>
      </c>
      <c r="E9920">
        <f>IF(OR(B9920="vi",B9920="ii",B9920="pod"),(((D9920/100)*(C9920*VLOOKUP(B9920,'Poids des runes'!A:B,2,FALSE)))+1),(((D9920/100)*(C9920*VLOOKUP(B9920,'Poids des runes'!A:B,2,FALSE)))+1)/VLOOKUP(B9920,'Poids des runes'!A:B,2,FALSE))</f>
        <v>21.2</v>
      </c>
      <c r="F9920">
        <f t="shared" si="154"/>
        <v>21.2</v>
      </c>
    </row>
    <row r="9921" spans="1:6" x14ac:dyDescent="0.3">
      <c r="A9921" t="s">
        <v>1545</v>
      </c>
      <c r="B9921" t="s">
        <v>2148</v>
      </c>
      <c r="C9921">
        <v>8.5</v>
      </c>
      <c r="D9921">
        <v>200</v>
      </c>
      <c r="E9921">
        <f>IF(OR(B9921="vi",B9921="ii",B9921="pod"),(((D9921/100)*(C9921*VLOOKUP(B9921,'Poids des runes'!A:B,2,FALSE)))+1),(((D9921/100)*(C9921*VLOOKUP(B9921,'Poids des runes'!A:B,2,FALSE)))+1)/VLOOKUP(B9921,'Poids des runes'!A:B,2,FALSE))</f>
        <v>17.166666666666668</v>
      </c>
      <c r="F9921">
        <f t="shared" si="154"/>
        <v>17.166666666666668</v>
      </c>
    </row>
    <row r="9922" spans="1:6" x14ac:dyDescent="0.3">
      <c r="A9922" t="s">
        <v>1545</v>
      </c>
      <c r="B9922" t="s">
        <v>2147</v>
      </c>
      <c r="C9922">
        <v>4</v>
      </c>
      <c r="D9922">
        <v>200</v>
      </c>
      <c r="E9922">
        <f>IF(OR(B9922="vi",B9922="ii",B9922="pod"),(((D9922/100)*(C9922*VLOOKUP(B9922,'Poids des runes'!A:B,2,FALSE)))+1),(((D9922/100)*(C9922*VLOOKUP(B9922,'Poids des runes'!A:B,2,FALSE)))+1)/VLOOKUP(B9922,'Poids des runes'!A:B,2,FALSE))</f>
        <v>8.1666666666666661</v>
      </c>
      <c r="F9922">
        <f t="shared" si="154"/>
        <v>8.1666666666666661</v>
      </c>
    </row>
    <row r="9923" spans="1:6" x14ac:dyDescent="0.3">
      <c r="A9923" t="s">
        <v>1546</v>
      </c>
      <c r="B9923" t="s">
        <v>2128</v>
      </c>
      <c r="C9923">
        <v>325.5</v>
      </c>
      <c r="D9923">
        <v>200</v>
      </c>
      <c r="E9923">
        <f>IF(OR(B9923="vi",B9923="ii",B9923="pod"),(((D9923/100)*(C9923*VLOOKUP(B9923,'Poids des runes'!A:B,2,FALSE)))+1),(((D9923/100)*(C9923*VLOOKUP(B9923,'Poids des runes'!A:B,2,FALSE)))+1)/VLOOKUP(B9923,'Poids des runes'!A:B,2,FALSE))</f>
        <v>131.20000000000002</v>
      </c>
      <c r="F9923">
        <f t="shared" ref="F9923:F9986" si="155">E9923</f>
        <v>131.20000000000002</v>
      </c>
    </row>
    <row r="9924" spans="1:6" x14ac:dyDescent="0.3">
      <c r="A9924" t="s">
        <v>1546</v>
      </c>
      <c r="B9924" t="s">
        <v>2126</v>
      </c>
      <c r="C9924">
        <v>40.5</v>
      </c>
      <c r="D9924">
        <v>200</v>
      </c>
      <c r="E9924">
        <f>IF(OR(B9924="vi",B9924="ii",B9924="pod"),(((D9924/100)*(C9924*VLOOKUP(B9924,'Poids des runes'!A:B,2,FALSE)))+1),(((D9924/100)*(C9924*VLOOKUP(B9924,'Poids des runes'!A:B,2,FALSE)))+1)/VLOOKUP(B9924,'Poids des runes'!A:B,2,FALSE))</f>
        <v>82</v>
      </c>
      <c r="F9924">
        <f t="shared" si="155"/>
        <v>82</v>
      </c>
    </row>
    <row r="9925" spans="1:6" x14ac:dyDescent="0.3">
      <c r="A9925" t="s">
        <v>1546</v>
      </c>
      <c r="B9925" t="s">
        <v>2127</v>
      </c>
      <c r="C9925">
        <v>40.5</v>
      </c>
      <c r="D9925">
        <v>200</v>
      </c>
      <c r="E9925">
        <f>IF(OR(B9925="vi",B9925="ii",B9925="pod"),(((D9925/100)*(C9925*VLOOKUP(B9925,'Poids des runes'!A:B,2,FALSE)))+1),(((D9925/100)*(C9925*VLOOKUP(B9925,'Poids des runes'!A:B,2,FALSE)))+1)/VLOOKUP(B9925,'Poids des runes'!A:B,2,FALSE))</f>
        <v>82</v>
      </c>
      <c r="F9925">
        <f t="shared" si="155"/>
        <v>82</v>
      </c>
    </row>
    <row r="9926" spans="1:6" x14ac:dyDescent="0.3">
      <c r="A9926" t="s">
        <v>1546</v>
      </c>
      <c r="B9926" t="s">
        <v>2129</v>
      </c>
      <c r="C9926">
        <v>50.5</v>
      </c>
      <c r="D9926">
        <v>200</v>
      </c>
      <c r="E9926">
        <f>IF(OR(B9926="vi",B9926="ii",B9926="pod"),(((D9926/100)*(C9926*VLOOKUP(B9926,'Poids des runes'!A:B,2,FALSE)))+1),(((D9926/100)*(C9926*VLOOKUP(B9926,'Poids des runes'!A:B,2,FALSE)))+1)/VLOOKUP(B9926,'Poids des runes'!A:B,2,FALSE))</f>
        <v>102</v>
      </c>
      <c r="F9926">
        <f t="shared" si="155"/>
        <v>102</v>
      </c>
    </row>
    <row r="9927" spans="1:6" x14ac:dyDescent="0.3">
      <c r="A9927" t="s">
        <v>1546</v>
      </c>
      <c r="B9927" t="s">
        <v>2155</v>
      </c>
      <c r="C9927">
        <v>1</v>
      </c>
      <c r="D9927">
        <v>200</v>
      </c>
      <c r="E9927">
        <f>IF(OR(B9927="vi",B9927="ii",B9927="pod"),(((D9927/100)*(C9927*VLOOKUP(B9927,'Poids des runes'!A:B,2,FALSE)))+1),(((D9927/100)*(C9927*VLOOKUP(B9927,'Poids des runes'!A:B,2,FALSE)))+1)/VLOOKUP(B9927,'Poids des runes'!A:B,2,FALSE))</f>
        <v>2.0196078431372548</v>
      </c>
      <c r="F9927">
        <f t="shared" si="155"/>
        <v>2.0196078431372548</v>
      </c>
    </row>
    <row r="9928" spans="1:6" x14ac:dyDescent="0.3">
      <c r="A9928" t="s">
        <v>1546</v>
      </c>
      <c r="B9928" t="s">
        <v>2140</v>
      </c>
      <c r="C9928">
        <v>10.5</v>
      </c>
      <c r="D9928">
        <v>200</v>
      </c>
      <c r="E9928">
        <f>IF(OR(B9928="vi",B9928="ii",B9928="pod"),(((D9928/100)*(C9928*VLOOKUP(B9928,'Poids des runes'!A:B,2,FALSE)))+1),(((D9928/100)*(C9928*VLOOKUP(B9928,'Poids des runes'!A:B,2,FALSE)))+1)/VLOOKUP(B9928,'Poids des runes'!A:B,2,FALSE))</f>
        <v>21.2</v>
      </c>
      <c r="F9928">
        <f t="shared" si="155"/>
        <v>21.2</v>
      </c>
    </row>
    <row r="9929" spans="1:6" x14ac:dyDescent="0.3">
      <c r="A9929" t="s">
        <v>1546</v>
      </c>
      <c r="B9929" t="s">
        <v>2153</v>
      </c>
      <c r="C9929">
        <v>10.5</v>
      </c>
      <c r="D9929">
        <v>200</v>
      </c>
      <c r="E9929">
        <f>IF(OR(B9929="vi",B9929="ii",B9929="pod"),(((D9929/100)*(C9929*VLOOKUP(B9929,'Poids des runes'!A:B,2,FALSE)))+1),(((D9929/100)*(C9929*VLOOKUP(B9929,'Poids des runes'!A:B,2,FALSE)))+1)/VLOOKUP(B9929,'Poids des runes'!A:B,2,FALSE))</f>
        <v>21.2</v>
      </c>
      <c r="F9929">
        <f t="shared" si="155"/>
        <v>21.2</v>
      </c>
    </row>
    <row r="9930" spans="1:6" x14ac:dyDescent="0.3">
      <c r="A9930" t="s">
        <v>1546</v>
      </c>
      <c r="B9930" t="s">
        <v>2149</v>
      </c>
      <c r="C9930">
        <v>13</v>
      </c>
      <c r="D9930">
        <v>200</v>
      </c>
      <c r="E9930">
        <f>IF(OR(B9930="vi",B9930="ii",B9930="pod"),(((D9930/100)*(C9930*VLOOKUP(B9930,'Poids des runes'!A:B,2,FALSE)))+1),(((D9930/100)*(C9930*VLOOKUP(B9930,'Poids des runes'!A:B,2,FALSE)))+1)/VLOOKUP(B9930,'Poids des runes'!A:B,2,FALSE))</f>
        <v>26.1</v>
      </c>
      <c r="F9930">
        <f t="shared" si="155"/>
        <v>26.1</v>
      </c>
    </row>
    <row r="9931" spans="1:6" x14ac:dyDescent="0.3">
      <c r="A9931" t="s">
        <v>1546</v>
      </c>
      <c r="B9931" t="s">
        <v>2161</v>
      </c>
      <c r="C9931">
        <v>13</v>
      </c>
      <c r="D9931">
        <v>200</v>
      </c>
      <c r="E9931">
        <f>IF(OR(B9931="vi",B9931="ii",B9931="pod"),(((D9931/100)*(C9931*VLOOKUP(B9931,'Poids des runes'!A:B,2,FALSE)))+1),(((D9931/100)*(C9931*VLOOKUP(B9931,'Poids des runes'!A:B,2,FALSE)))+1)/VLOOKUP(B9931,'Poids des runes'!A:B,2,FALSE))</f>
        <v>26.333333333333332</v>
      </c>
      <c r="F9931">
        <f t="shared" si="155"/>
        <v>26.333333333333332</v>
      </c>
    </row>
    <row r="9932" spans="1:6" x14ac:dyDescent="0.3">
      <c r="A9932" t="s">
        <v>1546</v>
      </c>
      <c r="B9932" t="s">
        <v>2141</v>
      </c>
      <c r="C9932">
        <v>5</v>
      </c>
      <c r="D9932">
        <v>200</v>
      </c>
      <c r="E9932">
        <f>IF(OR(B9932="vi",B9932="ii",B9932="pod"),(((D9932/100)*(C9932*VLOOKUP(B9932,'Poids des runes'!A:B,2,FALSE)))+1),(((D9932/100)*(C9932*VLOOKUP(B9932,'Poids des runes'!A:B,2,FALSE)))+1)/VLOOKUP(B9932,'Poids des runes'!A:B,2,FALSE))</f>
        <v>10.25</v>
      </c>
      <c r="F9932">
        <f t="shared" si="155"/>
        <v>10.25</v>
      </c>
    </row>
    <row r="9933" spans="1:6" x14ac:dyDescent="0.3">
      <c r="A9933" t="s">
        <v>1546</v>
      </c>
      <c r="B9933" t="s">
        <v>2160</v>
      </c>
      <c r="C9933">
        <v>6.5</v>
      </c>
      <c r="D9933">
        <v>200</v>
      </c>
      <c r="E9933">
        <f>IF(OR(B9933="vi",B9933="ii",B9933="pod"),(((D9933/100)*(C9933*VLOOKUP(B9933,'Poids des runes'!A:B,2,FALSE)))+1),(((D9933/100)*(C9933*VLOOKUP(B9933,'Poids des runes'!A:B,2,FALSE)))+1)/VLOOKUP(B9933,'Poids des runes'!A:B,2,FALSE))</f>
        <v>13.142857142857142</v>
      </c>
      <c r="F9933">
        <f t="shared" si="155"/>
        <v>13.142857142857142</v>
      </c>
    </row>
    <row r="9934" spans="1:6" x14ac:dyDescent="0.3">
      <c r="A9934" t="s">
        <v>1546</v>
      </c>
      <c r="B9934" t="s">
        <v>2147</v>
      </c>
      <c r="C9934">
        <v>6.5</v>
      </c>
      <c r="D9934">
        <v>200</v>
      </c>
      <c r="E9934">
        <f>IF(OR(B9934="vi",B9934="ii",B9934="pod"),(((D9934/100)*(C9934*VLOOKUP(B9934,'Poids des runes'!A:B,2,FALSE)))+1),(((D9934/100)*(C9934*VLOOKUP(B9934,'Poids des runes'!A:B,2,FALSE)))+1)/VLOOKUP(B9934,'Poids des runes'!A:B,2,FALSE))</f>
        <v>13.166666666666666</v>
      </c>
      <c r="F9934">
        <f t="shared" si="155"/>
        <v>13.166666666666666</v>
      </c>
    </row>
    <row r="9935" spans="1:6" x14ac:dyDescent="0.3">
      <c r="A9935" t="s">
        <v>1546</v>
      </c>
      <c r="B9935" t="s">
        <v>2135</v>
      </c>
      <c r="C9935">
        <v>4</v>
      </c>
      <c r="D9935">
        <v>200</v>
      </c>
      <c r="E9935">
        <f>IF(OR(B9935="vi",B9935="ii",B9935="pod"),(((D9935/100)*(C9935*VLOOKUP(B9935,'Poids des runes'!A:B,2,FALSE)))+1),(((D9935/100)*(C9935*VLOOKUP(B9935,'Poids des runes'!A:B,2,FALSE)))+1)/VLOOKUP(B9935,'Poids des runes'!A:B,2,FALSE))</f>
        <v>8.1666666666666661</v>
      </c>
      <c r="F9935">
        <f t="shared" si="155"/>
        <v>8.1666666666666661</v>
      </c>
    </row>
    <row r="9936" spans="1:6" x14ac:dyDescent="0.3">
      <c r="A9936" t="s">
        <v>1547</v>
      </c>
      <c r="B9936" t="s">
        <v>2128</v>
      </c>
      <c r="C9936">
        <v>350.5</v>
      </c>
      <c r="D9936">
        <v>200</v>
      </c>
      <c r="E9936">
        <f>IF(OR(B9936="vi",B9936="ii",B9936="pod"),(((D9936/100)*(C9936*VLOOKUP(B9936,'Poids des runes'!A:B,2,FALSE)))+1),(((D9936/100)*(C9936*VLOOKUP(B9936,'Poids des runes'!A:B,2,FALSE)))+1)/VLOOKUP(B9936,'Poids des runes'!A:B,2,FALSE))</f>
        <v>141.20000000000002</v>
      </c>
      <c r="F9936">
        <f t="shared" si="155"/>
        <v>141.20000000000002</v>
      </c>
    </row>
    <row r="9937" spans="1:6" x14ac:dyDescent="0.3">
      <c r="A9937" t="s">
        <v>1547</v>
      </c>
      <c r="B9937" t="s">
        <v>2126</v>
      </c>
      <c r="C9937">
        <v>50.5</v>
      </c>
      <c r="D9937">
        <v>200</v>
      </c>
      <c r="E9937">
        <f>IF(OR(B9937="vi",B9937="ii",B9937="pod"),(((D9937/100)*(C9937*VLOOKUP(B9937,'Poids des runes'!A:B,2,FALSE)))+1),(((D9937/100)*(C9937*VLOOKUP(B9937,'Poids des runes'!A:B,2,FALSE)))+1)/VLOOKUP(B9937,'Poids des runes'!A:B,2,FALSE))</f>
        <v>102</v>
      </c>
      <c r="F9937">
        <f t="shared" si="155"/>
        <v>102</v>
      </c>
    </row>
    <row r="9938" spans="1:6" x14ac:dyDescent="0.3">
      <c r="A9938" t="s">
        <v>1547</v>
      </c>
      <c r="B9938" t="s">
        <v>2127</v>
      </c>
      <c r="C9938">
        <v>50.5</v>
      </c>
      <c r="D9938">
        <v>200</v>
      </c>
      <c r="E9938">
        <f>IF(OR(B9938="vi",B9938="ii",B9938="pod"),(((D9938/100)*(C9938*VLOOKUP(B9938,'Poids des runes'!A:B,2,FALSE)))+1),(((D9938/100)*(C9938*VLOOKUP(B9938,'Poids des runes'!A:B,2,FALSE)))+1)/VLOOKUP(B9938,'Poids des runes'!A:B,2,FALSE))</f>
        <v>102</v>
      </c>
      <c r="F9938">
        <f t="shared" si="155"/>
        <v>102</v>
      </c>
    </row>
    <row r="9939" spans="1:6" x14ac:dyDescent="0.3">
      <c r="A9939" t="s">
        <v>1547</v>
      </c>
      <c r="B9939" t="s">
        <v>2129</v>
      </c>
      <c r="C9939">
        <v>40.5</v>
      </c>
      <c r="D9939">
        <v>200</v>
      </c>
      <c r="E9939">
        <f>IF(OR(B9939="vi",B9939="ii",B9939="pod"),(((D9939/100)*(C9939*VLOOKUP(B9939,'Poids des runes'!A:B,2,FALSE)))+1),(((D9939/100)*(C9939*VLOOKUP(B9939,'Poids des runes'!A:B,2,FALSE)))+1)/VLOOKUP(B9939,'Poids des runes'!A:B,2,FALSE))</f>
        <v>82</v>
      </c>
      <c r="F9939">
        <f t="shared" si="155"/>
        <v>82</v>
      </c>
    </row>
    <row r="9940" spans="1:6" x14ac:dyDescent="0.3">
      <c r="A9940" t="s">
        <v>1547</v>
      </c>
      <c r="B9940" t="s">
        <v>2140</v>
      </c>
      <c r="C9940">
        <v>13</v>
      </c>
      <c r="D9940">
        <v>200</v>
      </c>
      <c r="E9940">
        <f>IF(OR(B9940="vi",B9940="ii",B9940="pod"),(((D9940/100)*(C9940*VLOOKUP(B9940,'Poids des runes'!A:B,2,FALSE)))+1),(((D9940/100)*(C9940*VLOOKUP(B9940,'Poids des runes'!A:B,2,FALSE)))+1)/VLOOKUP(B9940,'Poids des runes'!A:B,2,FALSE))</f>
        <v>26.2</v>
      </c>
      <c r="F9940">
        <f t="shared" si="155"/>
        <v>26.2</v>
      </c>
    </row>
    <row r="9941" spans="1:6" x14ac:dyDescent="0.3">
      <c r="A9941" t="s">
        <v>1547</v>
      </c>
      <c r="B9941" t="s">
        <v>2153</v>
      </c>
      <c r="C9941">
        <v>13</v>
      </c>
      <c r="D9941">
        <v>200</v>
      </c>
      <c r="E9941">
        <f>IF(OR(B9941="vi",B9941="ii",B9941="pod"),(((D9941/100)*(C9941*VLOOKUP(B9941,'Poids des runes'!A:B,2,FALSE)))+1),(((D9941/100)*(C9941*VLOOKUP(B9941,'Poids des runes'!A:B,2,FALSE)))+1)/VLOOKUP(B9941,'Poids des runes'!A:B,2,FALSE))</f>
        <v>26.2</v>
      </c>
      <c r="F9941">
        <f t="shared" si="155"/>
        <v>26.2</v>
      </c>
    </row>
    <row r="9942" spans="1:6" x14ac:dyDescent="0.3">
      <c r="A9942" t="s">
        <v>1547</v>
      </c>
      <c r="B9942" t="s">
        <v>2149</v>
      </c>
      <c r="C9942">
        <v>13</v>
      </c>
      <c r="D9942">
        <v>200</v>
      </c>
      <c r="E9942">
        <f>IF(OR(B9942="vi",B9942="ii",B9942="pod"),(((D9942/100)*(C9942*VLOOKUP(B9942,'Poids des runes'!A:B,2,FALSE)))+1),(((D9942/100)*(C9942*VLOOKUP(B9942,'Poids des runes'!A:B,2,FALSE)))+1)/VLOOKUP(B9942,'Poids des runes'!A:B,2,FALSE))</f>
        <v>26.1</v>
      </c>
      <c r="F9942">
        <f t="shared" si="155"/>
        <v>26.1</v>
      </c>
    </row>
    <row r="9943" spans="1:6" x14ac:dyDescent="0.3">
      <c r="A9943" t="s">
        <v>1547</v>
      </c>
      <c r="B9943" t="s">
        <v>2161</v>
      </c>
      <c r="C9943">
        <v>18</v>
      </c>
      <c r="D9943">
        <v>200</v>
      </c>
      <c r="E9943">
        <f>IF(OR(B9943="vi",B9943="ii",B9943="pod"),(((D9943/100)*(C9943*VLOOKUP(B9943,'Poids des runes'!A:B,2,FALSE)))+1),(((D9943/100)*(C9943*VLOOKUP(B9943,'Poids des runes'!A:B,2,FALSE)))+1)/VLOOKUP(B9943,'Poids des runes'!A:B,2,FALSE))</f>
        <v>36.333333333333336</v>
      </c>
      <c r="F9943">
        <f t="shared" si="155"/>
        <v>36.333333333333336</v>
      </c>
    </row>
    <row r="9944" spans="1:6" x14ac:dyDescent="0.3">
      <c r="A9944" t="s">
        <v>1547</v>
      </c>
      <c r="B9944" t="s">
        <v>2141</v>
      </c>
      <c r="C9944">
        <v>3.5</v>
      </c>
      <c r="D9944">
        <v>200</v>
      </c>
      <c r="E9944">
        <f>IF(OR(B9944="vi",B9944="ii",B9944="pod"),(((D9944/100)*(C9944*VLOOKUP(B9944,'Poids des runes'!A:B,2,FALSE)))+1),(((D9944/100)*(C9944*VLOOKUP(B9944,'Poids des runes'!A:B,2,FALSE)))+1)/VLOOKUP(B9944,'Poids des runes'!A:B,2,FALSE))</f>
        <v>7.25</v>
      </c>
      <c r="F9944">
        <f t="shared" si="155"/>
        <v>7.25</v>
      </c>
    </row>
    <row r="9945" spans="1:6" x14ac:dyDescent="0.3">
      <c r="A9945" t="s">
        <v>1547</v>
      </c>
      <c r="B9945" t="s">
        <v>2156</v>
      </c>
      <c r="C9945">
        <v>5</v>
      </c>
      <c r="D9945">
        <v>200</v>
      </c>
      <c r="E9945">
        <f>IF(OR(B9945="vi",B9945="ii",B9945="pod"),(((D9945/100)*(C9945*VLOOKUP(B9945,'Poids des runes'!A:B,2,FALSE)))+1),(((D9945/100)*(C9945*VLOOKUP(B9945,'Poids des runes'!A:B,2,FALSE)))+1)/VLOOKUP(B9945,'Poids des runes'!A:B,2,FALSE))</f>
        <v>10.166666666666666</v>
      </c>
      <c r="F9945">
        <f t="shared" si="155"/>
        <v>10.166666666666666</v>
      </c>
    </row>
    <row r="9946" spans="1:6" x14ac:dyDescent="0.3">
      <c r="A9946" t="s">
        <v>1547</v>
      </c>
      <c r="B9946" t="s">
        <v>2147</v>
      </c>
      <c r="C9946">
        <v>5</v>
      </c>
      <c r="D9946">
        <v>200</v>
      </c>
      <c r="E9946">
        <f>IF(OR(B9946="vi",B9946="ii",B9946="pod"),(((D9946/100)*(C9946*VLOOKUP(B9946,'Poids des runes'!A:B,2,FALSE)))+1),(((D9946/100)*(C9946*VLOOKUP(B9946,'Poids des runes'!A:B,2,FALSE)))+1)/VLOOKUP(B9946,'Poids des runes'!A:B,2,FALSE))</f>
        <v>10.166666666666666</v>
      </c>
      <c r="F9946">
        <f t="shared" si="155"/>
        <v>10.166666666666666</v>
      </c>
    </row>
    <row r="9947" spans="1:6" x14ac:dyDescent="0.3">
      <c r="A9947" t="s">
        <v>1547</v>
      </c>
      <c r="B9947" t="s">
        <v>2135</v>
      </c>
      <c r="C9947">
        <v>5</v>
      </c>
      <c r="D9947">
        <v>200</v>
      </c>
      <c r="E9947">
        <f>IF(OR(B9947="vi",B9947="ii",B9947="pod"),(((D9947/100)*(C9947*VLOOKUP(B9947,'Poids des runes'!A:B,2,FALSE)))+1),(((D9947/100)*(C9947*VLOOKUP(B9947,'Poids des runes'!A:B,2,FALSE)))+1)/VLOOKUP(B9947,'Poids des runes'!A:B,2,FALSE))</f>
        <v>10.166666666666666</v>
      </c>
      <c r="F9947">
        <f t="shared" si="155"/>
        <v>10.166666666666666</v>
      </c>
    </row>
    <row r="9948" spans="1:6" x14ac:dyDescent="0.3">
      <c r="A9948" t="s">
        <v>1548</v>
      </c>
      <c r="B9948" t="s">
        <v>2128</v>
      </c>
      <c r="C9948">
        <v>225.5</v>
      </c>
      <c r="D9948">
        <v>200</v>
      </c>
      <c r="E9948">
        <f>IF(OR(B9948="vi",B9948="ii",B9948="pod"),(((D9948/100)*(C9948*VLOOKUP(B9948,'Poids des runes'!A:B,2,FALSE)))+1),(((D9948/100)*(C9948*VLOOKUP(B9948,'Poids des runes'!A:B,2,FALSE)))+1)/VLOOKUP(B9948,'Poids des runes'!A:B,2,FALSE))</f>
        <v>91.2</v>
      </c>
      <c r="F9948">
        <f t="shared" si="155"/>
        <v>91.2</v>
      </c>
    </row>
    <row r="9949" spans="1:6" x14ac:dyDescent="0.3">
      <c r="A9949" t="s">
        <v>1548</v>
      </c>
      <c r="B9949" t="s">
        <v>2126</v>
      </c>
      <c r="C9949">
        <v>50.5</v>
      </c>
      <c r="D9949">
        <v>200</v>
      </c>
      <c r="E9949">
        <f>IF(OR(B9949="vi",B9949="ii",B9949="pod"),(((D9949/100)*(C9949*VLOOKUP(B9949,'Poids des runes'!A:B,2,FALSE)))+1),(((D9949/100)*(C9949*VLOOKUP(B9949,'Poids des runes'!A:B,2,FALSE)))+1)/VLOOKUP(B9949,'Poids des runes'!A:B,2,FALSE))</f>
        <v>102</v>
      </c>
      <c r="F9949">
        <f t="shared" si="155"/>
        <v>102</v>
      </c>
    </row>
    <row r="9950" spans="1:6" x14ac:dyDescent="0.3">
      <c r="A9950" t="s">
        <v>1548</v>
      </c>
      <c r="B9950" t="s">
        <v>2127</v>
      </c>
      <c r="C9950">
        <v>50.5</v>
      </c>
      <c r="D9950">
        <v>200</v>
      </c>
      <c r="E9950">
        <f>IF(OR(B9950="vi",B9950="ii",B9950="pod"),(((D9950/100)*(C9950*VLOOKUP(B9950,'Poids des runes'!A:B,2,FALSE)))+1),(((D9950/100)*(C9950*VLOOKUP(B9950,'Poids des runes'!A:B,2,FALSE)))+1)/VLOOKUP(B9950,'Poids des runes'!A:B,2,FALSE))</f>
        <v>102</v>
      </c>
      <c r="F9950">
        <f t="shared" si="155"/>
        <v>102</v>
      </c>
    </row>
    <row r="9951" spans="1:6" x14ac:dyDescent="0.3">
      <c r="A9951" t="s">
        <v>1548</v>
      </c>
      <c r="B9951" t="s">
        <v>2129</v>
      </c>
      <c r="C9951">
        <v>40.5</v>
      </c>
      <c r="D9951">
        <v>200</v>
      </c>
      <c r="E9951">
        <f>IF(OR(B9951="vi",B9951="ii",B9951="pod"),(((D9951/100)*(C9951*VLOOKUP(B9951,'Poids des runes'!A:B,2,FALSE)))+1),(((D9951/100)*(C9951*VLOOKUP(B9951,'Poids des runes'!A:B,2,FALSE)))+1)/VLOOKUP(B9951,'Poids des runes'!A:B,2,FALSE))</f>
        <v>82</v>
      </c>
      <c r="F9951">
        <f t="shared" si="155"/>
        <v>82</v>
      </c>
    </row>
    <row r="9952" spans="1:6" x14ac:dyDescent="0.3">
      <c r="A9952" t="s">
        <v>1548</v>
      </c>
      <c r="B9952" t="s">
        <v>2155</v>
      </c>
      <c r="C9952">
        <v>1</v>
      </c>
      <c r="D9952">
        <v>200</v>
      </c>
      <c r="E9952">
        <f>IF(OR(B9952="vi",B9952="ii",B9952="pod"),(((D9952/100)*(C9952*VLOOKUP(B9952,'Poids des runes'!A:B,2,FALSE)))+1),(((D9952/100)*(C9952*VLOOKUP(B9952,'Poids des runes'!A:B,2,FALSE)))+1)/VLOOKUP(B9952,'Poids des runes'!A:B,2,FALSE))</f>
        <v>2.0196078431372548</v>
      </c>
      <c r="F9952">
        <f t="shared" si="155"/>
        <v>2.0196078431372548</v>
      </c>
    </row>
    <row r="9953" spans="1:6" x14ac:dyDescent="0.3">
      <c r="A9953" t="s">
        <v>1548</v>
      </c>
      <c r="B9953" t="s">
        <v>2140</v>
      </c>
      <c r="C9953">
        <v>10.5</v>
      </c>
      <c r="D9953">
        <v>200</v>
      </c>
      <c r="E9953">
        <f>IF(OR(B9953="vi",B9953="ii",B9953="pod"),(((D9953/100)*(C9953*VLOOKUP(B9953,'Poids des runes'!A:B,2,FALSE)))+1),(((D9953/100)*(C9953*VLOOKUP(B9953,'Poids des runes'!A:B,2,FALSE)))+1)/VLOOKUP(B9953,'Poids des runes'!A:B,2,FALSE))</f>
        <v>21.2</v>
      </c>
      <c r="F9953">
        <f t="shared" si="155"/>
        <v>21.2</v>
      </c>
    </row>
    <row r="9954" spans="1:6" x14ac:dyDescent="0.3">
      <c r="A9954" t="s">
        <v>1548</v>
      </c>
      <c r="B9954" t="s">
        <v>2153</v>
      </c>
      <c r="C9954">
        <v>10.5</v>
      </c>
      <c r="D9954">
        <v>200</v>
      </c>
      <c r="E9954">
        <f>IF(OR(B9954="vi",B9954="ii",B9954="pod"),(((D9954/100)*(C9954*VLOOKUP(B9954,'Poids des runes'!A:B,2,FALSE)))+1),(((D9954/100)*(C9954*VLOOKUP(B9954,'Poids des runes'!A:B,2,FALSE)))+1)/VLOOKUP(B9954,'Poids des runes'!A:B,2,FALSE))</f>
        <v>21.2</v>
      </c>
      <c r="F9954">
        <f t="shared" si="155"/>
        <v>21.2</v>
      </c>
    </row>
    <row r="9955" spans="1:6" x14ac:dyDescent="0.3">
      <c r="A9955" t="s">
        <v>1548</v>
      </c>
      <c r="B9955" t="s">
        <v>2149</v>
      </c>
      <c r="C9955">
        <v>8.5</v>
      </c>
      <c r="D9955">
        <v>200</v>
      </c>
      <c r="E9955">
        <f>IF(OR(B9955="vi",B9955="ii",B9955="pod"),(((D9955/100)*(C9955*VLOOKUP(B9955,'Poids des runes'!A:B,2,FALSE)))+1),(((D9955/100)*(C9955*VLOOKUP(B9955,'Poids des runes'!A:B,2,FALSE)))+1)/VLOOKUP(B9955,'Poids des runes'!A:B,2,FALSE))</f>
        <v>17.100000000000001</v>
      </c>
      <c r="F9955">
        <f t="shared" si="155"/>
        <v>17.100000000000001</v>
      </c>
    </row>
    <row r="9956" spans="1:6" x14ac:dyDescent="0.3">
      <c r="A9956" t="s">
        <v>1548</v>
      </c>
      <c r="B9956" t="s">
        <v>2161</v>
      </c>
      <c r="C9956">
        <v>8</v>
      </c>
      <c r="D9956">
        <v>200</v>
      </c>
      <c r="E9956">
        <f>IF(OR(B9956="vi",B9956="ii",B9956="pod"),(((D9956/100)*(C9956*VLOOKUP(B9956,'Poids des runes'!A:B,2,FALSE)))+1),(((D9956/100)*(C9956*VLOOKUP(B9956,'Poids des runes'!A:B,2,FALSE)))+1)/VLOOKUP(B9956,'Poids des runes'!A:B,2,FALSE))</f>
        <v>16.333333333333332</v>
      </c>
      <c r="F9956">
        <f t="shared" si="155"/>
        <v>16.333333333333332</v>
      </c>
    </row>
    <row r="9957" spans="1:6" x14ac:dyDescent="0.3">
      <c r="A9957" t="s">
        <v>1548</v>
      </c>
      <c r="B9957" t="s">
        <v>2141</v>
      </c>
      <c r="C9957">
        <v>4.5</v>
      </c>
      <c r="D9957">
        <v>200</v>
      </c>
      <c r="E9957">
        <f>IF(OR(B9957="vi",B9957="ii",B9957="pod"),(((D9957/100)*(C9957*VLOOKUP(B9957,'Poids des runes'!A:B,2,FALSE)))+1),(((D9957/100)*(C9957*VLOOKUP(B9957,'Poids des runes'!A:B,2,FALSE)))+1)/VLOOKUP(B9957,'Poids des runes'!A:B,2,FALSE))</f>
        <v>9.25</v>
      </c>
      <c r="F9957">
        <f t="shared" si="155"/>
        <v>9.25</v>
      </c>
    </row>
    <row r="9958" spans="1:6" x14ac:dyDescent="0.3">
      <c r="A9958" t="s">
        <v>1548</v>
      </c>
      <c r="B9958" t="s">
        <v>2147</v>
      </c>
      <c r="C9958">
        <v>6</v>
      </c>
      <c r="D9958">
        <v>200</v>
      </c>
      <c r="E9958">
        <f>IF(OR(B9958="vi",B9958="ii",B9958="pod"),(((D9958/100)*(C9958*VLOOKUP(B9958,'Poids des runes'!A:B,2,FALSE)))+1),(((D9958/100)*(C9958*VLOOKUP(B9958,'Poids des runes'!A:B,2,FALSE)))+1)/VLOOKUP(B9958,'Poids des runes'!A:B,2,FALSE))</f>
        <v>12.166666666666666</v>
      </c>
      <c r="F9958">
        <f t="shared" si="155"/>
        <v>12.166666666666666</v>
      </c>
    </row>
    <row r="9959" spans="1:6" x14ac:dyDescent="0.3">
      <c r="A9959" t="s">
        <v>1548</v>
      </c>
      <c r="B9959" t="s">
        <v>2135</v>
      </c>
      <c r="C9959">
        <v>6</v>
      </c>
      <c r="D9959">
        <v>200</v>
      </c>
      <c r="E9959">
        <f>IF(OR(B9959="vi",B9959="ii",B9959="pod"),(((D9959/100)*(C9959*VLOOKUP(B9959,'Poids des runes'!A:B,2,FALSE)))+1),(((D9959/100)*(C9959*VLOOKUP(B9959,'Poids des runes'!A:B,2,FALSE)))+1)/VLOOKUP(B9959,'Poids des runes'!A:B,2,FALSE))</f>
        <v>12.166666666666666</v>
      </c>
      <c r="F9959">
        <f t="shared" si="155"/>
        <v>12.166666666666666</v>
      </c>
    </row>
    <row r="9960" spans="1:6" x14ac:dyDescent="0.3">
      <c r="A9960" t="s">
        <v>1548</v>
      </c>
      <c r="B9960" t="s">
        <v>2145</v>
      </c>
      <c r="C9960">
        <v>8</v>
      </c>
      <c r="D9960">
        <v>200</v>
      </c>
      <c r="E9960">
        <f>IF(OR(B9960="vi",B9960="ii",B9960="pod"),(((D9960/100)*(C9960*VLOOKUP(B9960,'Poids des runes'!A:B,2,FALSE)))+1),(((D9960/100)*(C9960*VLOOKUP(B9960,'Poids des runes'!A:B,2,FALSE)))+1)/VLOOKUP(B9960,'Poids des runes'!A:B,2,FALSE))</f>
        <v>16.5</v>
      </c>
      <c r="F9960">
        <f t="shared" si="155"/>
        <v>16.5</v>
      </c>
    </row>
    <row r="9961" spans="1:6" x14ac:dyDescent="0.3">
      <c r="A9961" t="s">
        <v>1549</v>
      </c>
      <c r="B9961" t="s">
        <v>2128</v>
      </c>
      <c r="C9961">
        <v>350.5</v>
      </c>
      <c r="D9961">
        <v>200</v>
      </c>
      <c r="E9961">
        <f>IF(OR(B9961="vi",B9961="ii",B9961="pod"),(((D9961/100)*(C9961*VLOOKUP(B9961,'Poids des runes'!A:B,2,FALSE)))+1),(((D9961/100)*(C9961*VLOOKUP(B9961,'Poids des runes'!A:B,2,FALSE)))+1)/VLOOKUP(B9961,'Poids des runes'!A:B,2,FALSE))</f>
        <v>141.20000000000002</v>
      </c>
      <c r="F9961">
        <f t="shared" si="155"/>
        <v>141.20000000000002</v>
      </c>
    </row>
    <row r="9962" spans="1:6" x14ac:dyDescent="0.3">
      <c r="A9962" t="s">
        <v>1549</v>
      </c>
      <c r="B9962" t="s">
        <v>2126</v>
      </c>
      <c r="C9962">
        <v>40.5</v>
      </c>
      <c r="D9962">
        <v>200</v>
      </c>
      <c r="E9962">
        <f>IF(OR(B9962="vi",B9962="ii",B9962="pod"),(((D9962/100)*(C9962*VLOOKUP(B9962,'Poids des runes'!A:B,2,FALSE)))+1),(((D9962/100)*(C9962*VLOOKUP(B9962,'Poids des runes'!A:B,2,FALSE)))+1)/VLOOKUP(B9962,'Poids des runes'!A:B,2,FALSE))</f>
        <v>82</v>
      </c>
      <c r="F9962">
        <f t="shared" si="155"/>
        <v>82</v>
      </c>
    </row>
    <row r="9963" spans="1:6" x14ac:dyDescent="0.3">
      <c r="A9963" t="s">
        <v>1549</v>
      </c>
      <c r="B9963" t="s">
        <v>2131</v>
      </c>
      <c r="C9963">
        <v>40.5</v>
      </c>
      <c r="D9963">
        <v>200</v>
      </c>
      <c r="E9963">
        <f>IF(OR(B9963="vi",B9963="ii",B9963="pod"),(((D9963/100)*(C9963*VLOOKUP(B9963,'Poids des runes'!A:B,2,FALSE)))+1),(((D9963/100)*(C9963*VLOOKUP(B9963,'Poids des runes'!A:B,2,FALSE)))+1)/VLOOKUP(B9963,'Poids des runes'!A:B,2,FALSE))</f>
        <v>82</v>
      </c>
      <c r="F9963">
        <f t="shared" si="155"/>
        <v>82</v>
      </c>
    </row>
    <row r="9964" spans="1:6" x14ac:dyDescent="0.3">
      <c r="A9964" t="s">
        <v>1549</v>
      </c>
      <c r="B9964" t="s">
        <v>2129</v>
      </c>
      <c r="C9964">
        <v>35.5</v>
      </c>
      <c r="D9964">
        <v>200</v>
      </c>
      <c r="E9964">
        <f>IF(OR(B9964="vi",B9964="ii",B9964="pod"),(((D9964/100)*(C9964*VLOOKUP(B9964,'Poids des runes'!A:B,2,FALSE)))+1),(((D9964/100)*(C9964*VLOOKUP(B9964,'Poids des runes'!A:B,2,FALSE)))+1)/VLOOKUP(B9964,'Poids des runes'!A:B,2,FALSE))</f>
        <v>72</v>
      </c>
      <c r="F9964">
        <f t="shared" si="155"/>
        <v>72</v>
      </c>
    </row>
    <row r="9965" spans="1:6" x14ac:dyDescent="0.3">
      <c r="A9965" t="s">
        <v>1549</v>
      </c>
      <c r="B9965" t="s">
        <v>2151</v>
      </c>
      <c r="C9965">
        <v>3.5</v>
      </c>
      <c r="D9965">
        <v>200</v>
      </c>
      <c r="E9965">
        <f>IF(OR(B9965="vi",B9965="ii",B9965="pod"),(((D9965/100)*(C9965*VLOOKUP(B9965,'Poids des runes'!A:B,2,FALSE)))+1),(((D9965/100)*(C9965*VLOOKUP(B9965,'Poids des runes'!A:B,2,FALSE)))+1)/VLOOKUP(B9965,'Poids des runes'!A:B,2,FALSE))</f>
        <v>7.1</v>
      </c>
      <c r="F9965">
        <f t="shared" si="155"/>
        <v>7.1</v>
      </c>
    </row>
    <row r="9966" spans="1:6" x14ac:dyDescent="0.3">
      <c r="A9966" t="s">
        <v>1549</v>
      </c>
      <c r="B9966" t="s">
        <v>2154</v>
      </c>
      <c r="C9966">
        <v>1</v>
      </c>
      <c r="D9966">
        <v>200</v>
      </c>
      <c r="E9966">
        <f>IF(OR(B9966="vi",B9966="ii",B9966="pod"),(((D9966/100)*(C9966*VLOOKUP(B9966,'Poids des runes'!A:B,2,FALSE)))+1),(((D9966/100)*(C9966*VLOOKUP(B9966,'Poids des runes'!A:B,2,FALSE)))+1)/VLOOKUP(B9966,'Poids des runes'!A:B,2,FALSE))</f>
        <v>2.0111111111111111</v>
      </c>
      <c r="F9966">
        <f t="shared" si="155"/>
        <v>2.0111111111111111</v>
      </c>
    </row>
    <row r="9967" spans="1:6" x14ac:dyDescent="0.3">
      <c r="A9967" t="s">
        <v>1549</v>
      </c>
      <c r="B9967" t="s">
        <v>2140</v>
      </c>
      <c r="C9967">
        <v>18</v>
      </c>
      <c r="D9967">
        <v>200</v>
      </c>
      <c r="E9967">
        <f>IF(OR(B9967="vi",B9967="ii",B9967="pod"),(((D9967/100)*(C9967*VLOOKUP(B9967,'Poids des runes'!A:B,2,FALSE)))+1),(((D9967/100)*(C9967*VLOOKUP(B9967,'Poids des runes'!A:B,2,FALSE)))+1)/VLOOKUP(B9967,'Poids des runes'!A:B,2,FALSE))</f>
        <v>36.200000000000003</v>
      </c>
      <c r="F9967">
        <f t="shared" si="155"/>
        <v>36.200000000000003</v>
      </c>
    </row>
    <row r="9968" spans="1:6" x14ac:dyDescent="0.3">
      <c r="A9968" t="s">
        <v>1549</v>
      </c>
      <c r="B9968" t="s">
        <v>2133</v>
      </c>
      <c r="C9968">
        <v>18</v>
      </c>
      <c r="D9968">
        <v>200</v>
      </c>
      <c r="E9968">
        <f>IF(OR(B9968="vi",B9968="ii",B9968="pod"),(((D9968/100)*(C9968*VLOOKUP(B9968,'Poids des runes'!A:B,2,FALSE)))+1),(((D9968/100)*(C9968*VLOOKUP(B9968,'Poids des runes'!A:B,2,FALSE)))+1)/VLOOKUP(B9968,'Poids des runes'!A:B,2,FALSE))</f>
        <v>36.200000000000003</v>
      </c>
      <c r="F9968">
        <f t="shared" si="155"/>
        <v>36.200000000000003</v>
      </c>
    </row>
    <row r="9969" spans="1:6" x14ac:dyDescent="0.3">
      <c r="A9969" t="s">
        <v>1549</v>
      </c>
      <c r="B9969" t="s">
        <v>2161</v>
      </c>
      <c r="C9969">
        <v>18</v>
      </c>
      <c r="D9969">
        <v>200</v>
      </c>
      <c r="E9969">
        <f>IF(OR(B9969="vi",B9969="ii",B9969="pod"),(((D9969/100)*(C9969*VLOOKUP(B9969,'Poids des runes'!A:B,2,FALSE)))+1),(((D9969/100)*(C9969*VLOOKUP(B9969,'Poids des runes'!A:B,2,FALSE)))+1)/VLOOKUP(B9969,'Poids des runes'!A:B,2,FALSE))</f>
        <v>36.333333333333336</v>
      </c>
      <c r="F9969">
        <f t="shared" si="155"/>
        <v>36.333333333333336</v>
      </c>
    </row>
    <row r="9970" spans="1:6" x14ac:dyDescent="0.3">
      <c r="A9970" t="s">
        <v>1549</v>
      </c>
      <c r="B9970" t="s">
        <v>2158</v>
      </c>
      <c r="C9970">
        <v>8.5</v>
      </c>
      <c r="D9970">
        <v>200</v>
      </c>
      <c r="E9970">
        <f>IF(OR(B9970="vi",B9970="ii",B9970="pod"),(((D9970/100)*(C9970*VLOOKUP(B9970,'Poids des runes'!A:B,2,FALSE)))+1),(((D9970/100)*(C9970*VLOOKUP(B9970,'Poids des runes'!A:B,2,FALSE)))+1)/VLOOKUP(B9970,'Poids des runes'!A:B,2,FALSE))</f>
        <v>17.2</v>
      </c>
      <c r="F9970">
        <f t="shared" si="155"/>
        <v>17.2</v>
      </c>
    </row>
    <row r="9971" spans="1:6" x14ac:dyDescent="0.3">
      <c r="A9971" t="s">
        <v>1549</v>
      </c>
      <c r="B9971" t="s">
        <v>2156</v>
      </c>
      <c r="C9971">
        <v>6</v>
      </c>
      <c r="D9971">
        <v>200</v>
      </c>
      <c r="E9971">
        <f>IF(OR(B9971="vi",B9971="ii",B9971="pod"),(((D9971/100)*(C9971*VLOOKUP(B9971,'Poids des runes'!A:B,2,FALSE)))+1),(((D9971/100)*(C9971*VLOOKUP(B9971,'Poids des runes'!A:B,2,FALSE)))+1)/VLOOKUP(B9971,'Poids des runes'!A:B,2,FALSE))</f>
        <v>12.166666666666666</v>
      </c>
      <c r="F9971">
        <f t="shared" si="155"/>
        <v>12.166666666666666</v>
      </c>
    </row>
    <row r="9972" spans="1:6" x14ac:dyDescent="0.3">
      <c r="A9972" t="s">
        <v>1549</v>
      </c>
      <c r="B9972" t="s">
        <v>2148</v>
      </c>
      <c r="C9972">
        <v>4</v>
      </c>
      <c r="D9972">
        <v>200</v>
      </c>
      <c r="E9972">
        <f>IF(OR(B9972="vi",B9972="ii",B9972="pod"),(((D9972/100)*(C9972*VLOOKUP(B9972,'Poids des runes'!A:B,2,FALSE)))+1),(((D9972/100)*(C9972*VLOOKUP(B9972,'Poids des runes'!A:B,2,FALSE)))+1)/VLOOKUP(B9972,'Poids des runes'!A:B,2,FALSE))</f>
        <v>8.1666666666666661</v>
      </c>
      <c r="F9972">
        <f t="shared" si="155"/>
        <v>8.1666666666666661</v>
      </c>
    </row>
    <row r="9973" spans="1:6" x14ac:dyDescent="0.3">
      <c r="A9973" t="s">
        <v>1550</v>
      </c>
      <c r="B9973" t="s">
        <v>2128</v>
      </c>
      <c r="C9973">
        <v>325.5</v>
      </c>
      <c r="D9973">
        <v>200</v>
      </c>
      <c r="E9973">
        <f>IF(OR(B9973="vi",B9973="ii",B9973="pod"),(((D9973/100)*(C9973*VLOOKUP(B9973,'Poids des runes'!A:B,2,FALSE)))+1),(((D9973/100)*(C9973*VLOOKUP(B9973,'Poids des runes'!A:B,2,FALSE)))+1)/VLOOKUP(B9973,'Poids des runes'!A:B,2,FALSE))</f>
        <v>131.20000000000002</v>
      </c>
      <c r="F9973">
        <f t="shared" si="155"/>
        <v>131.20000000000002</v>
      </c>
    </row>
    <row r="9974" spans="1:6" x14ac:dyDescent="0.3">
      <c r="A9974" t="s">
        <v>1550</v>
      </c>
      <c r="B9974" t="s">
        <v>2126</v>
      </c>
      <c r="C9974">
        <v>50.5</v>
      </c>
      <c r="D9974">
        <v>200</v>
      </c>
      <c r="E9974">
        <f>IF(OR(B9974="vi",B9974="ii",B9974="pod"),(((D9974/100)*(C9974*VLOOKUP(B9974,'Poids des runes'!A:B,2,FALSE)))+1),(((D9974/100)*(C9974*VLOOKUP(B9974,'Poids des runes'!A:B,2,FALSE)))+1)/VLOOKUP(B9974,'Poids des runes'!A:B,2,FALSE))</f>
        <v>102</v>
      </c>
      <c r="F9974">
        <f t="shared" si="155"/>
        <v>102</v>
      </c>
    </row>
    <row r="9975" spans="1:6" x14ac:dyDescent="0.3">
      <c r="A9975" t="s">
        <v>1550</v>
      </c>
      <c r="B9975" t="s">
        <v>2131</v>
      </c>
      <c r="C9975">
        <v>50.5</v>
      </c>
      <c r="D9975">
        <v>200</v>
      </c>
      <c r="E9975">
        <f>IF(OR(B9975="vi",B9975="ii",B9975="pod"),(((D9975/100)*(C9975*VLOOKUP(B9975,'Poids des runes'!A:B,2,FALSE)))+1),(((D9975/100)*(C9975*VLOOKUP(B9975,'Poids des runes'!A:B,2,FALSE)))+1)/VLOOKUP(B9975,'Poids des runes'!A:B,2,FALSE))</f>
        <v>102</v>
      </c>
      <c r="F9975">
        <f t="shared" si="155"/>
        <v>102</v>
      </c>
    </row>
    <row r="9976" spans="1:6" x14ac:dyDescent="0.3">
      <c r="A9976" t="s">
        <v>1550</v>
      </c>
      <c r="B9976" t="s">
        <v>2129</v>
      </c>
      <c r="C9976">
        <v>40.5</v>
      </c>
      <c r="D9976">
        <v>200</v>
      </c>
      <c r="E9976">
        <f>IF(OR(B9976="vi",B9976="ii",B9976="pod"),(((D9976/100)*(C9976*VLOOKUP(B9976,'Poids des runes'!A:B,2,FALSE)))+1),(((D9976/100)*(C9976*VLOOKUP(B9976,'Poids des runes'!A:B,2,FALSE)))+1)/VLOOKUP(B9976,'Poids des runes'!A:B,2,FALSE))</f>
        <v>82</v>
      </c>
      <c r="F9976">
        <f t="shared" si="155"/>
        <v>82</v>
      </c>
    </row>
    <row r="9977" spans="1:6" x14ac:dyDescent="0.3">
      <c r="A9977" t="s">
        <v>1550</v>
      </c>
      <c r="B9977" t="s">
        <v>2151</v>
      </c>
      <c r="C9977">
        <v>4</v>
      </c>
      <c r="D9977">
        <v>200</v>
      </c>
      <c r="E9977">
        <f>IF(OR(B9977="vi",B9977="ii",B9977="pod"),(((D9977/100)*(C9977*VLOOKUP(B9977,'Poids des runes'!A:B,2,FALSE)))+1),(((D9977/100)*(C9977*VLOOKUP(B9977,'Poids des runes'!A:B,2,FALSE)))+1)/VLOOKUP(B9977,'Poids des runes'!A:B,2,FALSE))</f>
        <v>8.1</v>
      </c>
      <c r="F9977">
        <f t="shared" si="155"/>
        <v>8.1</v>
      </c>
    </row>
    <row r="9978" spans="1:6" x14ac:dyDescent="0.3">
      <c r="A9978" t="s">
        <v>1550</v>
      </c>
      <c r="B9978" t="s">
        <v>2155</v>
      </c>
      <c r="C9978">
        <v>1</v>
      </c>
      <c r="D9978">
        <v>200</v>
      </c>
      <c r="E9978">
        <f>IF(OR(B9978="vi",B9978="ii",B9978="pod"),(((D9978/100)*(C9978*VLOOKUP(B9978,'Poids des runes'!A:B,2,FALSE)))+1),(((D9978/100)*(C9978*VLOOKUP(B9978,'Poids des runes'!A:B,2,FALSE)))+1)/VLOOKUP(B9978,'Poids des runes'!A:B,2,FALSE))</f>
        <v>2.0196078431372548</v>
      </c>
      <c r="F9978">
        <f t="shared" si="155"/>
        <v>2.0196078431372548</v>
      </c>
    </row>
    <row r="9979" spans="1:6" x14ac:dyDescent="0.3">
      <c r="A9979" t="s">
        <v>1550</v>
      </c>
      <c r="B9979" t="s">
        <v>2140</v>
      </c>
      <c r="C9979">
        <v>10.5</v>
      </c>
      <c r="D9979">
        <v>200</v>
      </c>
      <c r="E9979">
        <f>IF(OR(B9979="vi",B9979="ii",B9979="pod"),(((D9979/100)*(C9979*VLOOKUP(B9979,'Poids des runes'!A:B,2,FALSE)))+1),(((D9979/100)*(C9979*VLOOKUP(B9979,'Poids des runes'!A:B,2,FALSE)))+1)/VLOOKUP(B9979,'Poids des runes'!A:B,2,FALSE))</f>
        <v>21.2</v>
      </c>
      <c r="F9979">
        <f t="shared" si="155"/>
        <v>21.2</v>
      </c>
    </row>
    <row r="9980" spans="1:6" x14ac:dyDescent="0.3">
      <c r="A9980" t="s">
        <v>1550</v>
      </c>
      <c r="B9980" t="s">
        <v>2133</v>
      </c>
      <c r="C9980">
        <v>10.5</v>
      </c>
      <c r="D9980">
        <v>200</v>
      </c>
      <c r="E9980">
        <f>IF(OR(B9980="vi",B9980="ii",B9980="pod"),(((D9980/100)*(C9980*VLOOKUP(B9980,'Poids des runes'!A:B,2,FALSE)))+1),(((D9980/100)*(C9980*VLOOKUP(B9980,'Poids des runes'!A:B,2,FALSE)))+1)/VLOOKUP(B9980,'Poids des runes'!A:B,2,FALSE))</f>
        <v>21.2</v>
      </c>
      <c r="F9980">
        <f t="shared" si="155"/>
        <v>21.2</v>
      </c>
    </row>
    <row r="9981" spans="1:6" x14ac:dyDescent="0.3">
      <c r="A9981" t="s">
        <v>1550</v>
      </c>
      <c r="B9981" t="s">
        <v>2161</v>
      </c>
      <c r="C9981">
        <v>13</v>
      </c>
      <c r="D9981">
        <v>200</v>
      </c>
      <c r="E9981">
        <f>IF(OR(B9981="vi",B9981="ii",B9981="pod"),(((D9981/100)*(C9981*VLOOKUP(B9981,'Poids des runes'!A:B,2,FALSE)))+1),(((D9981/100)*(C9981*VLOOKUP(B9981,'Poids des runes'!A:B,2,FALSE)))+1)/VLOOKUP(B9981,'Poids des runes'!A:B,2,FALSE))</f>
        <v>26.333333333333332</v>
      </c>
      <c r="F9981">
        <f t="shared" si="155"/>
        <v>26.333333333333332</v>
      </c>
    </row>
    <row r="9982" spans="1:6" x14ac:dyDescent="0.3">
      <c r="A9982" t="s">
        <v>1550</v>
      </c>
      <c r="B9982" t="s">
        <v>2141</v>
      </c>
      <c r="C9982">
        <v>4</v>
      </c>
      <c r="D9982">
        <v>200</v>
      </c>
      <c r="E9982">
        <f>IF(OR(B9982="vi",B9982="ii",B9982="pod"),(((D9982/100)*(C9982*VLOOKUP(B9982,'Poids des runes'!A:B,2,FALSE)))+1),(((D9982/100)*(C9982*VLOOKUP(B9982,'Poids des runes'!A:B,2,FALSE)))+1)/VLOOKUP(B9982,'Poids des runes'!A:B,2,FALSE))</f>
        <v>8.25</v>
      </c>
      <c r="F9982">
        <f t="shared" si="155"/>
        <v>8.25</v>
      </c>
    </row>
    <row r="9983" spans="1:6" x14ac:dyDescent="0.3">
      <c r="A9983" t="s">
        <v>1550</v>
      </c>
      <c r="B9983" t="s">
        <v>2158</v>
      </c>
      <c r="C9983">
        <v>8.5</v>
      </c>
      <c r="D9983">
        <v>200</v>
      </c>
      <c r="E9983">
        <f>IF(OR(B9983="vi",B9983="ii",B9983="pod"),(((D9983/100)*(C9983*VLOOKUP(B9983,'Poids des runes'!A:B,2,FALSE)))+1),(((D9983/100)*(C9983*VLOOKUP(B9983,'Poids des runes'!A:B,2,FALSE)))+1)/VLOOKUP(B9983,'Poids des runes'!A:B,2,FALSE))</f>
        <v>17.2</v>
      </c>
      <c r="F9983">
        <f t="shared" si="155"/>
        <v>17.2</v>
      </c>
    </row>
    <row r="9984" spans="1:6" x14ac:dyDescent="0.3">
      <c r="A9984" t="s">
        <v>1550</v>
      </c>
      <c r="B9984" t="s">
        <v>2164</v>
      </c>
      <c r="C9984">
        <v>8</v>
      </c>
      <c r="D9984">
        <v>200</v>
      </c>
      <c r="E9984">
        <f>IF(OR(B9984="vi",B9984="ii",B9984="pod"),(((D9984/100)*(C9984*VLOOKUP(B9984,'Poids des runes'!A:B,2,FALSE)))+1),(((D9984/100)*(C9984*VLOOKUP(B9984,'Poids des runes'!A:B,2,FALSE)))+1)/VLOOKUP(B9984,'Poids des runes'!A:B,2,FALSE))</f>
        <v>16.5</v>
      </c>
      <c r="F9984">
        <f t="shared" si="155"/>
        <v>16.5</v>
      </c>
    </row>
    <row r="9985" spans="1:6" x14ac:dyDescent="0.3">
      <c r="A9985" t="s">
        <v>1550</v>
      </c>
      <c r="B9985" t="s">
        <v>2148</v>
      </c>
      <c r="C9985">
        <v>5</v>
      </c>
      <c r="D9985">
        <v>200</v>
      </c>
      <c r="E9985">
        <f>IF(OR(B9985="vi",B9985="ii",B9985="pod"),(((D9985/100)*(C9985*VLOOKUP(B9985,'Poids des runes'!A:B,2,FALSE)))+1),(((D9985/100)*(C9985*VLOOKUP(B9985,'Poids des runes'!A:B,2,FALSE)))+1)/VLOOKUP(B9985,'Poids des runes'!A:B,2,FALSE))</f>
        <v>10.166666666666666</v>
      </c>
      <c r="F9985">
        <f t="shared" si="155"/>
        <v>10.166666666666666</v>
      </c>
    </row>
    <row r="9986" spans="1:6" x14ac:dyDescent="0.3">
      <c r="A9986" t="s">
        <v>1550</v>
      </c>
      <c r="B9986" t="s">
        <v>2157</v>
      </c>
      <c r="C9986">
        <v>5</v>
      </c>
      <c r="D9986">
        <v>200</v>
      </c>
      <c r="E9986">
        <f>IF(OR(B9986="vi",B9986="ii",B9986="pod"),(((D9986/100)*(C9986*VLOOKUP(B9986,'Poids des runes'!A:B,2,FALSE)))+1),(((D9986/100)*(C9986*VLOOKUP(B9986,'Poids des runes'!A:B,2,FALSE)))+1)/VLOOKUP(B9986,'Poids des runes'!A:B,2,FALSE))</f>
        <v>10.166666666666666</v>
      </c>
      <c r="F9986">
        <f t="shared" si="155"/>
        <v>10.166666666666666</v>
      </c>
    </row>
    <row r="9987" spans="1:6" x14ac:dyDescent="0.3">
      <c r="A9987" t="s">
        <v>1550</v>
      </c>
      <c r="B9987" t="s">
        <v>2137</v>
      </c>
      <c r="C9987">
        <v>8.5</v>
      </c>
      <c r="D9987">
        <v>200</v>
      </c>
      <c r="E9987">
        <f>IF(OR(B9987="vi",B9987="ii",B9987="pod"),(((D9987/100)*(C9987*VLOOKUP(B9987,'Poids des runes'!A:B,2,FALSE)))+1),(((D9987/100)*(C9987*VLOOKUP(B9987,'Poids des runes'!A:B,2,FALSE)))+1)/VLOOKUP(B9987,'Poids des runes'!A:B,2,FALSE))</f>
        <v>17.5</v>
      </c>
      <c r="F9987">
        <f t="shared" ref="F9987:F10050" si="156">E9987</f>
        <v>17.5</v>
      </c>
    </row>
    <row r="9988" spans="1:6" x14ac:dyDescent="0.3">
      <c r="A9988" t="s">
        <v>1551</v>
      </c>
      <c r="B9988" t="s">
        <v>2128</v>
      </c>
      <c r="C9988">
        <v>275.5</v>
      </c>
      <c r="D9988">
        <v>200</v>
      </c>
      <c r="E9988">
        <f>IF(OR(B9988="vi",B9988="ii",B9988="pod"),(((D9988/100)*(C9988*VLOOKUP(B9988,'Poids des runes'!A:B,2,FALSE)))+1),(((D9988/100)*(C9988*VLOOKUP(B9988,'Poids des runes'!A:B,2,FALSE)))+1)/VLOOKUP(B9988,'Poids des runes'!A:B,2,FALSE))</f>
        <v>111.2</v>
      </c>
      <c r="F9988">
        <f t="shared" si="156"/>
        <v>111.2</v>
      </c>
    </row>
    <row r="9989" spans="1:6" x14ac:dyDescent="0.3">
      <c r="A9989" t="s">
        <v>1551</v>
      </c>
      <c r="B9989" t="s">
        <v>2126</v>
      </c>
      <c r="C9989">
        <v>40.5</v>
      </c>
      <c r="D9989">
        <v>200</v>
      </c>
      <c r="E9989">
        <f>IF(OR(B9989="vi",B9989="ii",B9989="pod"),(((D9989/100)*(C9989*VLOOKUP(B9989,'Poids des runes'!A:B,2,FALSE)))+1),(((D9989/100)*(C9989*VLOOKUP(B9989,'Poids des runes'!A:B,2,FALSE)))+1)/VLOOKUP(B9989,'Poids des runes'!A:B,2,FALSE))</f>
        <v>82</v>
      </c>
      <c r="F9989">
        <f t="shared" si="156"/>
        <v>82</v>
      </c>
    </row>
    <row r="9990" spans="1:6" x14ac:dyDescent="0.3">
      <c r="A9990" t="s">
        <v>1551</v>
      </c>
      <c r="B9990" t="s">
        <v>2131</v>
      </c>
      <c r="C9990">
        <v>40.5</v>
      </c>
      <c r="D9990">
        <v>200</v>
      </c>
      <c r="E9990">
        <f>IF(OR(B9990="vi",B9990="ii",B9990="pod"),(((D9990/100)*(C9990*VLOOKUP(B9990,'Poids des runes'!A:B,2,FALSE)))+1),(((D9990/100)*(C9990*VLOOKUP(B9990,'Poids des runes'!A:B,2,FALSE)))+1)/VLOOKUP(B9990,'Poids des runes'!A:B,2,FALSE))</f>
        <v>82</v>
      </c>
      <c r="F9990">
        <f t="shared" si="156"/>
        <v>82</v>
      </c>
    </row>
    <row r="9991" spans="1:6" x14ac:dyDescent="0.3">
      <c r="A9991" t="s">
        <v>1551</v>
      </c>
      <c r="B9991" t="s">
        <v>2129</v>
      </c>
      <c r="C9991">
        <v>35.5</v>
      </c>
      <c r="D9991">
        <v>200</v>
      </c>
      <c r="E9991">
        <f>IF(OR(B9991="vi",B9991="ii",B9991="pod"),(((D9991/100)*(C9991*VLOOKUP(B9991,'Poids des runes'!A:B,2,FALSE)))+1),(((D9991/100)*(C9991*VLOOKUP(B9991,'Poids des runes'!A:B,2,FALSE)))+1)/VLOOKUP(B9991,'Poids des runes'!A:B,2,FALSE))</f>
        <v>72</v>
      </c>
      <c r="F9991">
        <f t="shared" si="156"/>
        <v>72</v>
      </c>
    </row>
    <row r="9992" spans="1:6" x14ac:dyDescent="0.3">
      <c r="A9992" t="s">
        <v>1551</v>
      </c>
      <c r="B9992" t="s">
        <v>2151</v>
      </c>
      <c r="C9992">
        <v>3.5</v>
      </c>
      <c r="D9992">
        <v>200</v>
      </c>
      <c r="E9992">
        <f>IF(OR(B9992="vi",B9992="ii",B9992="pod"),(((D9992/100)*(C9992*VLOOKUP(B9992,'Poids des runes'!A:B,2,FALSE)))+1),(((D9992/100)*(C9992*VLOOKUP(B9992,'Poids des runes'!A:B,2,FALSE)))+1)/VLOOKUP(B9992,'Poids des runes'!A:B,2,FALSE))</f>
        <v>7.1</v>
      </c>
      <c r="F9992">
        <f t="shared" si="156"/>
        <v>7.1</v>
      </c>
    </row>
    <row r="9993" spans="1:6" x14ac:dyDescent="0.3">
      <c r="A9993" t="s">
        <v>1551</v>
      </c>
      <c r="B9993" t="s">
        <v>2152</v>
      </c>
      <c r="C9993">
        <v>1</v>
      </c>
      <c r="D9993">
        <v>200</v>
      </c>
      <c r="E9993">
        <f>IF(OR(B9993="vi",B9993="ii",B9993="pod"),(((D9993/100)*(C9993*VLOOKUP(B9993,'Poids des runes'!A:B,2,FALSE)))+1),(((D9993/100)*(C9993*VLOOKUP(B9993,'Poids des runes'!A:B,2,FALSE)))+1)/VLOOKUP(B9993,'Poids des runes'!A:B,2,FALSE))</f>
        <v>2.0099999999999998</v>
      </c>
      <c r="F9993">
        <f t="shared" si="156"/>
        <v>2.0099999999999998</v>
      </c>
    </row>
    <row r="9994" spans="1:6" x14ac:dyDescent="0.3">
      <c r="A9994" t="s">
        <v>1551</v>
      </c>
      <c r="B9994" t="s">
        <v>2150</v>
      </c>
      <c r="C9994">
        <v>1</v>
      </c>
      <c r="D9994">
        <v>200</v>
      </c>
      <c r="E9994">
        <f>IF(OR(B9994="vi",B9994="ii",B9994="pod"),(((D9994/100)*(C9994*VLOOKUP(B9994,'Poids des runes'!A:B,2,FALSE)))+1),(((D9994/100)*(C9994*VLOOKUP(B9994,'Poids des runes'!A:B,2,FALSE)))+1)/VLOOKUP(B9994,'Poids des runes'!A:B,2,FALSE))</f>
        <v>2.0333333333333332</v>
      </c>
      <c r="F9994">
        <f t="shared" si="156"/>
        <v>2.0333333333333332</v>
      </c>
    </row>
    <row r="9995" spans="1:6" x14ac:dyDescent="0.3">
      <c r="A9995" t="s">
        <v>1551</v>
      </c>
      <c r="B9995" t="s">
        <v>2140</v>
      </c>
      <c r="C9995">
        <v>10.5</v>
      </c>
      <c r="D9995">
        <v>200</v>
      </c>
      <c r="E9995">
        <f>IF(OR(B9995="vi",B9995="ii",B9995="pod"),(((D9995/100)*(C9995*VLOOKUP(B9995,'Poids des runes'!A:B,2,FALSE)))+1),(((D9995/100)*(C9995*VLOOKUP(B9995,'Poids des runes'!A:B,2,FALSE)))+1)/VLOOKUP(B9995,'Poids des runes'!A:B,2,FALSE))</f>
        <v>21.2</v>
      </c>
      <c r="F9995">
        <f t="shared" si="156"/>
        <v>21.2</v>
      </c>
    </row>
    <row r="9996" spans="1:6" x14ac:dyDescent="0.3">
      <c r="A9996" t="s">
        <v>1551</v>
      </c>
      <c r="B9996" t="s">
        <v>2133</v>
      </c>
      <c r="C9996">
        <v>10.5</v>
      </c>
      <c r="D9996">
        <v>200</v>
      </c>
      <c r="E9996">
        <f>IF(OR(B9996="vi",B9996="ii",B9996="pod"),(((D9996/100)*(C9996*VLOOKUP(B9996,'Poids des runes'!A:B,2,FALSE)))+1),(((D9996/100)*(C9996*VLOOKUP(B9996,'Poids des runes'!A:B,2,FALSE)))+1)/VLOOKUP(B9996,'Poids des runes'!A:B,2,FALSE))</f>
        <v>21.2</v>
      </c>
      <c r="F9996">
        <f t="shared" si="156"/>
        <v>21.2</v>
      </c>
    </row>
    <row r="9997" spans="1:6" x14ac:dyDescent="0.3">
      <c r="A9997" t="s">
        <v>1551</v>
      </c>
      <c r="B9997" t="s">
        <v>2161</v>
      </c>
      <c r="C9997">
        <v>13</v>
      </c>
      <c r="D9997">
        <v>200</v>
      </c>
      <c r="E9997">
        <f>IF(OR(B9997="vi",B9997="ii",B9997="pod"),(((D9997/100)*(C9997*VLOOKUP(B9997,'Poids des runes'!A:B,2,FALSE)))+1),(((D9997/100)*(C9997*VLOOKUP(B9997,'Poids des runes'!A:B,2,FALSE)))+1)/VLOOKUP(B9997,'Poids des runes'!A:B,2,FALSE))</f>
        <v>26.333333333333332</v>
      </c>
      <c r="F9997">
        <f t="shared" si="156"/>
        <v>26.333333333333332</v>
      </c>
    </row>
    <row r="9998" spans="1:6" x14ac:dyDescent="0.3">
      <c r="A9998" t="s">
        <v>1551</v>
      </c>
      <c r="B9998" t="s">
        <v>2141</v>
      </c>
      <c r="C9998">
        <v>6</v>
      </c>
      <c r="D9998">
        <v>200</v>
      </c>
      <c r="E9998">
        <f>IF(OR(B9998="vi",B9998="ii",B9998="pod"),(((D9998/100)*(C9998*VLOOKUP(B9998,'Poids des runes'!A:B,2,FALSE)))+1),(((D9998/100)*(C9998*VLOOKUP(B9998,'Poids des runes'!A:B,2,FALSE)))+1)/VLOOKUP(B9998,'Poids des runes'!A:B,2,FALSE))</f>
        <v>12.25</v>
      </c>
      <c r="F9998">
        <f t="shared" si="156"/>
        <v>12.25</v>
      </c>
    </row>
    <row r="9999" spans="1:6" x14ac:dyDescent="0.3">
      <c r="A9999" t="s">
        <v>1551</v>
      </c>
      <c r="B9999" t="s">
        <v>2158</v>
      </c>
      <c r="C9999">
        <v>10.5</v>
      </c>
      <c r="D9999">
        <v>200</v>
      </c>
      <c r="E9999">
        <f>IF(OR(B9999="vi",B9999="ii",B9999="pod"),(((D9999/100)*(C9999*VLOOKUP(B9999,'Poids des runes'!A:B,2,FALSE)))+1),(((D9999/100)*(C9999*VLOOKUP(B9999,'Poids des runes'!A:B,2,FALSE)))+1)/VLOOKUP(B9999,'Poids des runes'!A:B,2,FALSE))</f>
        <v>21.2</v>
      </c>
      <c r="F9999">
        <f t="shared" si="156"/>
        <v>21.2</v>
      </c>
    </row>
    <row r="10000" spans="1:6" x14ac:dyDescent="0.3">
      <c r="A10000" t="s">
        <v>1551</v>
      </c>
      <c r="B10000" t="s">
        <v>2157</v>
      </c>
      <c r="C10000">
        <v>8.5</v>
      </c>
      <c r="D10000">
        <v>200</v>
      </c>
      <c r="E10000">
        <f>IF(OR(B10000="vi",B10000="ii",B10000="pod"),(((D10000/100)*(C10000*VLOOKUP(B10000,'Poids des runes'!A:B,2,FALSE)))+1),(((D10000/100)*(C10000*VLOOKUP(B10000,'Poids des runes'!A:B,2,FALSE)))+1)/VLOOKUP(B10000,'Poids des runes'!A:B,2,FALSE))</f>
        <v>17.166666666666668</v>
      </c>
      <c r="F10000">
        <f t="shared" si="156"/>
        <v>17.166666666666668</v>
      </c>
    </row>
    <row r="10001" spans="1:6" x14ac:dyDescent="0.3">
      <c r="A10001" t="s">
        <v>1551</v>
      </c>
      <c r="B10001" t="s">
        <v>2136</v>
      </c>
      <c r="C10001">
        <v>6.5</v>
      </c>
      <c r="D10001">
        <v>200</v>
      </c>
      <c r="E10001">
        <f>IF(OR(B10001="vi",B10001="ii",B10001="pod"),(((D10001/100)*(C10001*VLOOKUP(B10001,'Poids des runes'!A:B,2,FALSE)))+1),(((D10001/100)*(C10001*VLOOKUP(B10001,'Poids des runes'!A:B,2,FALSE)))+1)/VLOOKUP(B10001,'Poids des runes'!A:B,2,FALSE))</f>
        <v>13.5</v>
      </c>
      <c r="F10001">
        <f t="shared" si="156"/>
        <v>13.5</v>
      </c>
    </row>
    <row r="10002" spans="1:6" x14ac:dyDescent="0.3">
      <c r="A10002" t="s">
        <v>1552</v>
      </c>
      <c r="B10002" t="s">
        <v>2128</v>
      </c>
      <c r="C10002">
        <v>275.5</v>
      </c>
      <c r="D10002">
        <v>200</v>
      </c>
      <c r="E10002">
        <f>IF(OR(B10002="vi",B10002="ii",B10002="pod"),(((D10002/100)*(C10002*VLOOKUP(B10002,'Poids des runes'!A:B,2,FALSE)))+1),(((D10002/100)*(C10002*VLOOKUP(B10002,'Poids des runes'!A:B,2,FALSE)))+1)/VLOOKUP(B10002,'Poids des runes'!A:B,2,FALSE))</f>
        <v>111.2</v>
      </c>
      <c r="F10002">
        <f t="shared" si="156"/>
        <v>111.2</v>
      </c>
    </row>
    <row r="10003" spans="1:6" x14ac:dyDescent="0.3">
      <c r="A10003" t="s">
        <v>1552</v>
      </c>
      <c r="B10003" t="s">
        <v>2130</v>
      </c>
      <c r="C10003">
        <v>70.5</v>
      </c>
      <c r="D10003">
        <v>200</v>
      </c>
      <c r="E10003">
        <f>IF(OR(B10003="vi",B10003="ii",B10003="pod"),(((D10003/100)*(C10003*VLOOKUP(B10003,'Poids des runes'!A:B,2,FALSE)))+1),(((D10003/100)*(C10003*VLOOKUP(B10003,'Poids des runes'!A:B,2,FALSE)))+1)/VLOOKUP(B10003,'Poids des runes'!A:B,2,FALSE))</f>
        <v>142</v>
      </c>
      <c r="F10003">
        <f t="shared" si="156"/>
        <v>142</v>
      </c>
    </row>
    <row r="10004" spans="1:6" x14ac:dyDescent="0.3">
      <c r="A10004" t="s">
        <v>1552</v>
      </c>
      <c r="B10004" t="s">
        <v>2129</v>
      </c>
      <c r="C10004">
        <v>35.5</v>
      </c>
      <c r="D10004">
        <v>200</v>
      </c>
      <c r="E10004">
        <f>IF(OR(B10004="vi",B10004="ii",B10004="pod"),(((D10004/100)*(C10004*VLOOKUP(B10004,'Poids des runes'!A:B,2,FALSE)))+1),(((D10004/100)*(C10004*VLOOKUP(B10004,'Poids des runes'!A:B,2,FALSE)))+1)/VLOOKUP(B10004,'Poids des runes'!A:B,2,FALSE))</f>
        <v>72</v>
      </c>
      <c r="F10004">
        <f t="shared" si="156"/>
        <v>72</v>
      </c>
    </row>
    <row r="10005" spans="1:6" x14ac:dyDescent="0.3">
      <c r="A10005" t="s">
        <v>1552</v>
      </c>
      <c r="B10005" t="s">
        <v>2151</v>
      </c>
      <c r="C10005">
        <v>4.5</v>
      </c>
      <c r="D10005">
        <v>200</v>
      </c>
      <c r="E10005">
        <f>IF(OR(B10005="vi",B10005="ii",B10005="pod"),(((D10005/100)*(C10005*VLOOKUP(B10005,'Poids des runes'!A:B,2,FALSE)))+1),(((D10005/100)*(C10005*VLOOKUP(B10005,'Poids des runes'!A:B,2,FALSE)))+1)/VLOOKUP(B10005,'Poids des runes'!A:B,2,FALSE))</f>
        <v>9.1</v>
      </c>
      <c r="F10005">
        <f t="shared" si="156"/>
        <v>9.1</v>
      </c>
    </row>
    <row r="10006" spans="1:6" x14ac:dyDescent="0.3">
      <c r="A10006" t="s">
        <v>1552</v>
      </c>
      <c r="B10006" t="s">
        <v>2152</v>
      </c>
      <c r="C10006">
        <v>1</v>
      </c>
      <c r="D10006">
        <v>200</v>
      </c>
      <c r="E10006">
        <f>IF(OR(B10006="vi",B10006="ii",B10006="pod"),(((D10006/100)*(C10006*VLOOKUP(B10006,'Poids des runes'!A:B,2,FALSE)))+1),(((D10006/100)*(C10006*VLOOKUP(B10006,'Poids des runes'!A:B,2,FALSE)))+1)/VLOOKUP(B10006,'Poids des runes'!A:B,2,FALSE))</f>
        <v>2.0099999999999998</v>
      </c>
      <c r="F10006">
        <f t="shared" si="156"/>
        <v>2.0099999999999998</v>
      </c>
    </row>
    <row r="10007" spans="1:6" x14ac:dyDescent="0.3">
      <c r="A10007" t="s">
        <v>1552</v>
      </c>
      <c r="B10007" t="s">
        <v>2155</v>
      </c>
      <c r="C10007">
        <v>1</v>
      </c>
      <c r="D10007">
        <v>200</v>
      </c>
      <c r="E10007">
        <f>IF(OR(B10007="vi",B10007="ii",B10007="pod"),(((D10007/100)*(C10007*VLOOKUP(B10007,'Poids des runes'!A:B,2,FALSE)))+1),(((D10007/100)*(C10007*VLOOKUP(B10007,'Poids des runes'!A:B,2,FALSE)))+1)/VLOOKUP(B10007,'Poids des runes'!A:B,2,FALSE))</f>
        <v>2.0196078431372548</v>
      </c>
      <c r="F10007">
        <f t="shared" si="156"/>
        <v>2.0196078431372548</v>
      </c>
    </row>
    <row r="10008" spans="1:6" x14ac:dyDescent="0.3">
      <c r="A10008" t="s">
        <v>1552</v>
      </c>
      <c r="B10008" t="s">
        <v>2143</v>
      </c>
      <c r="C10008">
        <v>8.5</v>
      </c>
      <c r="D10008">
        <v>200</v>
      </c>
      <c r="E10008">
        <f>IF(OR(B10008="vi",B10008="ii",B10008="pod"),(((D10008/100)*(C10008*VLOOKUP(B10008,'Poids des runes'!A:B,2,FALSE)))+1),(((D10008/100)*(C10008*VLOOKUP(B10008,'Poids des runes'!A:B,2,FALSE)))+1)/VLOOKUP(B10008,'Poids des runes'!A:B,2,FALSE))</f>
        <v>17.2</v>
      </c>
      <c r="F10008">
        <f t="shared" si="156"/>
        <v>17.2</v>
      </c>
    </row>
    <row r="10009" spans="1:6" x14ac:dyDescent="0.3">
      <c r="A10009" t="s">
        <v>1552</v>
      </c>
      <c r="B10009" t="s">
        <v>2161</v>
      </c>
      <c r="C10009">
        <v>13</v>
      </c>
      <c r="D10009">
        <v>200</v>
      </c>
      <c r="E10009">
        <f>IF(OR(B10009="vi",B10009="ii",B10009="pod"),(((D10009/100)*(C10009*VLOOKUP(B10009,'Poids des runes'!A:B,2,FALSE)))+1),(((D10009/100)*(C10009*VLOOKUP(B10009,'Poids des runes'!A:B,2,FALSE)))+1)/VLOOKUP(B10009,'Poids des runes'!A:B,2,FALSE))</f>
        <v>26.333333333333332</v>
      </c>
      <c r="F10009">
        <f t="shared" si="156"/>
        <v>26.333333333333332</v>
      </c>
    </row>
    <row r="10010" spans="1:6" x14ac:dyDescent="0.3">
      <c r="A10010" t="s">
        <v>1552</v>
      </c>
      <c r="B10010" t="s">
        <v>2141</v>
      </c>
      <c r="C10010">
        <v>3.5</v>
      </c>
      <c r="D10010">
        <v>200</v>
      </c>
      <c r="E10010">
        <f>IF(OR(B10010="vi",B10010="ii",B10010="pod"),(((D10010/100)*(C10010*VLOOKUP(B10010,'Poids des runes'!A:B,2,FALSE)))+1),(((D10010/100)*(C10010*VLOOKUP(B10010,'Poids des runes'!A:B,2,FALSE)))+1)/VLOOKUP(B10010,'Poids des runes'!A:B,2,FALSE))</f>
        <v>7.25</v>
      </c>
      <c r="F10010">
        <f t="shared" si="156"/>
        <v>7.25</v>
      </c>
    </row>
    <row r="10011" spans="1:6" x14ac:dyDescent="0.3">
      <c r="A10011" t="s">
        <v>1552</v>
      </c>
      <c r="B10011" t="s">
        <v>2158</v>
      </c>
      <c r="C10011">
        <v>18</v>
      </c>
      <c r="D10011">
        <v>200</v>
      </c>
      <c r="E10011">
        <f>IF(OR(B10011="vi",B10011="ii",B10011="pod"),(((D10011/100)*(C10011*VLOOKUP(B10011,'Poids des runes'!A:B,2,FALSE)))+1),(((D10011/100)*(C10011*VLOOKUP(B10011,'Poids des runes'!A:B,2,FALSE)))+1)/VLOOKUP(B10011,'Poids des runes'!A:B,2,FALSE))</f>
        <v>36.200000000000003</v>
      </c>
      <c r="F10011">
        <f t="shared" si="156"/>
        <v>36.200000000000003</v>
      </c>
    </row>
    <row r="10012" spans="1:6" x14ac:dyDescent="0.3">
      <c r="A10012" t="s">
        <v>1552</v>
      </c>
      <c r="B10012" t="s">
        <v>2147</v>
      </c>
      <c r="C10012">
        <v>4</v>
      </c>
      <c r="D10012">
        <v>200</v>
      </c>
      <c r="E10012">
        <f>IF(OR(B10012="vi",B10012="ii",B10012="pod"),(((D10012/100)*(C10012*VLOOKUP(B10012,'Poids des runes'!A:B,2,FALSE)))+1),(((D10012/100)*(C10012*VLOOKUP(B10012,'Poids des runes'!A:B,2,FALSE)))+1)/VLOOKUP(B10012,'Poids des runes'!A:B,2,FALSE))</f>
        <v>8.1666666666666661</v>
      </c>
      <c r="F10012">
        <f t="shared" si="156"/>
        <v>8.1666666666666661</v>
      </c>
    </row>
    <row r="10013" spans="1:6" x14ac:dyDescent="0.3">
      <c r="A10013" t="s">
        <v>1552</v>
      </c>
      <c r="B10013" t="s">
        <v>2135</v>
      </c>
      <c r="C10013">
        <v>4</v>
      </c>
      <c r="D10013">
        <v>200</v>
      </c>
      <c r="E10013">
        <f>IF(OR(B10013="vi",B10013="ii",B10013="pod"),(((D10013/100)*(C10013*VLOOKUP(B10013,'Poids des runes'!A:B,2,FALSE)))+1),(((D10013/100)*(C10013*VLOOKUP(B10013,'Poids des runes'!A:B,2,FALSE)))+1)/VLOOKUP(B10013,'Poids des runes'!A:B,2,FALSE))</f>
        <v>8.1666666666666661</v>
      </c>
      <c r="F10013">
        <f t="shared" si="156"/>
        <v>8.1666666666666661</v>
      </c>
    </row>
    <row r="10014" spans="1:6" x14ac:dyDescent="0.3">
      <c r="A10014" t="s">
        <v>1552</v>
      </c>
      <c r="B10014" t="s">
        <v>2137</v>
      </c>
      <c r="C10014">
        <v>13</v>
      </c>
      <c r="D10014">
        <v>200</v>
      </c>
      <c r="E10014">
        <f>IF(OR(B10014="vi",B10014="ii",B10014="pod"),(((D10014/100)*(C10014*VLOOKUP(B10014,'Poids des runes'!A:B,2,FALSE)))+1),(((D10014/100)*(C10014*VLOOKUP(B10014,'Poids des runes'!A:B,2,FALSE)))+1)/VLOOKUP(B10014,'Poids des runes'!A:B,2,FALSE))</f>
        <v>26.5</v>
      </c>
      <c r="F10014">
        <f t="shared" si="156"/>
        <v>26.5</v>
      </c>
    </row>
    <row r="10015" spans="1:6" x14ac:dyDescent="0.3">
      <c r="A10015" t="s">
        <v>1552</v>
      </c>
      <c r="B10015" t="s">
        <v>2144</v>
      </c>
      <c r="C10015">
        <v>13</v>
      </c>
      <c r="D10015">
        <v>200</v>
      </c>
      <c r="E10015">
        <f>IF(OR(B10015="vi",B10015="ii",B10015="pod"),(((D10015/100)*(C10015*VLOOKUP(B10015,'Poids des runes'!A:B,2,FALSE)))+1),(((D10015/100)*(C10015*VLOOKUP(B10015,'Poids des runes'!A:B,2,FALSE)))+1)/VLOOKUP(B10015,'Poids des runes'!A:B,2,FALSE))</f>
        <v>26.5</v>
      </c>
      <c r="F10015">
        <f t="shared" si="156"/>
        <v>26.5</v>
      </c>
    </row>
    <row r="10016" spans="1:6" x14ac:dyDescent="0.3">
      <c r="A10016" t="s">
        <v>1552</v>
      </c>
      <c r="B10016" t="s">
        <v>2145</v>
      </c>
      <c r="C10016">
        <v>13</v>
      </c>
      <c r="D10016">
        <v>200</v>
      </c>
      <c r="E10016">
        <f>IF(OR(B10016="vi",B10016="ii",B10016="pod"),(((D10016/100)*(C10016*VLOOKUP(B10016,'Poids des runes'!A:B,2,FALSE)))+1),(((D10016/100)*(C10016*VLOOKUP(B10016,'Poids des runes'!A:B,2,FALSE)))+1)/VLOOKUP(B10016,'Poids des runes'!A:B,2,FALSE))</f>
        <v>26.5</v>
      </c>
      <c r="F10016">
        <f t="shared" si="156"/>
        <v>26.5</v>
      </c>
    </row>
    <row r="10017" spans="1:6" x14ac:dyDescent="0.3">
      <c r="A10017" t="s">
        <v>1553</v>
      </c>
      <c r="B10017" t="s">
        <v>2128</v>
      </c>
      <c r="C10017">
        <v>275.5</v>
      </c>
      <c r="D10017">
        <v>200</v>
      </c>
      <c r="E10017">
        <f>IF(OR(B10017="vi",B10017="ii",B10017="pod"),(((D10017/100)*(C10017*VLOOKUP(B10017,'Poids des runes'!A:B,2,FALSE)))+1),(((D10017/100)*(C10017*VLOOKUP(B10017,'Poids des runes'!A:B,2,FALSE)))+1)/VLOOKUP(B10017,'Poids des runes'!A:B,2,FALSE))</f>
        <v>111.2</v>
      </c>
      <c r="F10017">
        <f t="shared" si="156"/>
        <v>111.2</v>
      </c>
    </row>
    <row r="10018" spans="1:6" x14ac:dyDescent="0.3">
      <c r="A10018" t="s">
        <v>1553</v>
      </c>
      <c r="B10018" t="s">
        <v>2130</v>
      </c>
      <c r="C10018">
        <v>60.5</v>
      </c>
      <c r="D10018">
        <v>200</v>
      </c>
      <c r="E10018">
        <f>IF(OR(B10018="vi",B10018="ii",B10018="pod"),(((D10018/100)*(C10018*VLOOKUP(B10018,'Poids des runes'!A:B,2,FALSE)))+1),(((D10018/100)*(C10018*VLOOKUP(B10018,'Poids des runes'!A:B,2,FALSE)))+1)/VLOOKUP(B10018,'Poids des runes'!A:B,2,FALSE))</f>
        <v>122</v>
      </c>
      <c r="F10018">
        <f t="shared" si="156"/>
        <v>122</v>
      </c>
    </row>
    <row r="10019" spans="1:6" x14ac:dyDescent="0.3">
      <c r="A10019" t="s">
        <v>1553</v>
      </c>
      <c r="B10019" t="s">
        <v>2129</v>
      </c>
      <c r="C10019">
        <v>35.5</v>
      </c>
      <c r="D10019">
        <v>200</v>
      </c>
      <c r="E10019">
        <f>IF(OR(B10019="vi",B10019="ii",B10019="pod"),(((D10019/100)*(C10019*VLOOKUP(B10019,'Poids des runes'!A:B,2,FALSE)))+1),(((D10019/100)*(C10019*VLOOKUP(B10019,'Poids des runes'!A:B,2,FALSE)))+1)/VLOOKUP(B10019,'Poids des runes'!A:B,2,FALSE))</f>
        <v>72</v>
      </c>
      <c r="F10019">
        <f t="shared" si="156"/>
        <v>72</v>
      </c>
    </row>
    <row r="10020" spans="1:6" x14ac:dyDescent="0.3">
      <c r="A10020" t="s">
        <v>1553</v>
      </c>
      <c r="B10020" t="s">
        <v>2151</v>
      </c>
      <c r="C10020">
        <v>4</v>
      </c>
      <c r="D10020">
        <v>200</v>
      </c>
      <c r="E10020">
        <f>IF(OR(B10020="vi",B10020="ii",B10020="pod"),(((D10020/100)*(C10020*VLOOKUP(B10020,'Poids des runes'!A:B,2,FALSE)))+1),(((D10020/100)*(C10020*VLOOKUP(B10020,'Poids des runes'!A:B,2,FALSE)))+1)/VLOOKUP(B10020,'Poids des runes'!A:B,2,FALSE))</f>
        <v>8.1</v>
      </c>
      <c r="F10020">
        <f t="shared" si="156"/>
        <v>8.1</v>
      </c>
    </row>
    <row r="10021" spans="1:6" x14ac:dyDescent="0.3">
      <c r="A10021" t="s">
        <v>1553</v>
      </c>
      <c r="B10021" t="s">
        <v>2143</v>
      </c>
      <c r="C10021">
        <v>13</v>
      </c>
      <c r="D10021">
        <v>200</v>
      </c>
      <c r="E10021">
        <f>IF(OR(B10021="vi",B10021="ii",B10021="pod"),(((D10021/100)*(C10021*VLOOKUP(B10021,'Poids des runes'!A:B,2,FALSE)))+1),(((D10021/100)*(C10021*VLOOKUP(B10021,'Poids des runes'!A:B,2,FALSE)))+1)/VLOOKUP(B10021,'Poids des runes'!A:B,2,FALSE))</f>
        <v>26.2</v>
      </c>
      <c r="F10021">
        <f t="shared" si="156"/>
        <v>26.2</v>
      </c>
    </row>
    <row r="10022" spans="1:6" x14ac:dyDescent="0.3">
      <c r="A10022" t="s">
        <v>1553</v>
      </c>
      <c r="B10022" t="s">
        <v>2161</v>
      </c>
      <c r="C10022">
        <v>13</v>
      </c>
      <c r="D10022">
        <v>200</v>
      </c>
      <c r="E10022">
        <f>IF(OR(B10022="vi",B10022="ii",B10022="pod"),(((D10022/100)*(C10022*VLOOKUP(B10022,'Poids des runes'!A:B,2,FALSE)))+1),(((D10022/100)*(C10022*VLOOKUP(B10022,'Poids des runes'!A:B,2,FALSE)))+1)/VLOOKUP(B10022,'Poids des runes'!A:B,2,FALSE))</f>
        <v>26.333333333333332</v>
      </c>
      <c r="F10022">
        <f t="shared" si="156"/>
        <v>26.333333333333332</v>
      </c>
    </row>
    <row r="10023" spans="1:6" x14ac:dyDescent="0.3">
      <c r="A10023" t="s">
        <v>1553</v>
      </c>
      <c r="B10023" t="s">
        <v>2141</v>
      </c>
      <c r="C10023">
        <v>4</v>
      </c>
      <c r="D10023">
        <v>200</v>
      </c>
      <c r="E10023">
        <f>IF(OR(B10023="vi",B10023="ii",B10023="pod"),(((D10023/100)*(C10023*VLOOKUP(B10023,'Poids des runes'!A:B,2,FALSE)))+1),(((D10023/100)*(C10023*VLOOKUP(B10023,'Poids des runes'!A:B,2,FALSE)))+1)/VLOOKUP(B10023,'Poids des runes'!A:B,2,FALSE))</f>
        <v>8.25</v>
      </c>
      <c r="F10023">
        <f t="shared" si="156"/>
        <v>8.25</v>
      </c>
    </row>
    <row r="10024" spans="1:6" x14ac:dyDescent="0.3">
      <c r="A10024" t="s">
        <v>1553</v>
      </c>
      <c r="B10024" t="s">
        <v>2158</v>
      </c>
      <c r="C10024">
        <v>13</v>
      </c>
      <c r="D10024">
        <v>200</v>
      </c>
      <c r="E10024">
        <f>IF(OR(B10024="vi",B10024="ii",B10024="pod"),(((D10024/100)*(C10024*VLOOKUP(B10024,'Poids des runes'!A:B,2,FALSE)))+1),(((D10024/100)*(C10024*VLOOKUP(B10024,'Poids des runes'!A:B,2,FALSE)))+1)/VLOOKUP(B10024,'Poids des runes'!A:B,2,FALSE))</f>
        <v>26.2</v>
      </c>
      <c r="F10024">
        <f t="shared" si="156"/>
        <v>26.2</v>
      </c>
    </row>
    <row r="10025" spans="1:6" x14ac:dyDescent="0.3">
      <c r="A10025" t="s">
        <v>1553</v>
      </c>
      <c r="B10025" t="s">
        <v>2163</v>
      </c>
      <c r="C10025">
        <v>8.5</v>
      </c>
      <c r="D10025">
        <v>200</v>
      </c>
      <c r="E10025">
        <f>IF(OR(B10025="vi",B10025="ii",B10025="pod"),(((D10025/100)*(C10025*VLOOKUP(B10025,'Poids des runes'!A:B,2,FALSE)))+1),(((D10025/100)*(C10025*VLOOKUP(B10025,'Poids des runes'!A:B,2,FALSE)))+1)/VLOOKUP(B10025,'Poids des runes'!A:B,2,FALSE))</f>
        <v>17.5</v>
      </c>
      <c r="F10025">
        <f t="shared" si="156"/>
        <v>17.5</v>
      </c>
    </row>
    <row r="10026" spans="1:6" x14ac:dyDescent="0.3">
      <c r="A10026" t="s">
        <v>1553</v>
      </c>
      <c r="B10026" t="s">
        <v>2148</v>
      </c>
      <c r="C10026">
        <v>5</v>
      </c>
      <c r="D10026">
        <v>200</v>
      </c>
      <c r="E10026">
        <f>IF(OR(B10026="vi",B10026="ii",B10026="pod"),(((D10026/100)*(C10026*VLOOKUP(B10026,'Poids des runes'!A:B,2,FALSE)))+1),(((D10026/100)*(C10026*VLOOKUP(B10026,'Poids des runes'!A:B,2,FALSE)))+1)/VLOOKUP(B10026,'Poids des runes'!A:B,2,FALSE))</f>
        <v>10.166666666666666</v>
      </c>
      <c r="F10026">
        <f t="shared" si="156"/>
        <v>10.166666666666666</v>
      </c>
    </row>
    <row r="10027" spans="1:6" x14ac:dyDescent="0.3">
      <c r="A10027" t="s">
        <v>1554</v>
      </c>
      <c r="B10027" t="s">
        <v>2128</v>
      </c>
      <c r="C10027">
        <v>325.5</v>
      </c>
      <c r="D10027">
        <v>200</v>
      </c>
      <c r="E10027">
        <f>IF(OR(B10027="vi",B10027="ii",B10027="pod"),(((D10027/100)*(C10027*VLOOKUP(B10027,'Poids des runes'!A:B,2,FALSE)))+1),(((D10027/100)*(C10027*VLOOKUP(B10027,'Poids des runes'!A:B,2,FALSE)))+1)/VLOOKUP(B10027,'Poids des runes'!A:B,2,FALSE))</f>
        <v>131.20000000000002</v>
      </c>
      <c r="F10027">
        <f t="shared" si="156"/>
        <v>131.20000000000002</v>
      </c>
    </row>
    <row r="10028" spans="1:6" x14ac:dyDescent="0.3">
      <c r="A10028" t="s">
        <v>1554</v>
      </c>
      <c r="B10028" t="s">
        <v>2130</v>
      </c>
      <c r="C10028">
        <v>50.5</v>
      </c>
      <c r="D10028">
        <v>200</v>
      </c>
      <c r="E10028">
        <f>IF(OR(B10028="vi",B10028="ii",B10028="pod"),(((D10028/100)*(C10028*VLOOKUP(B10028,'Poids des runes'!A:B,2,FALSE)))+1),(((D10028/100)*(C10028*VLOOKUP(B10028,'Poids des runes'!A:B,2,FALSE)))+1)/VLOOKUP(B10028,'Poids des runes'!A:B,2,FALSE))</f>
        <v>102</v>
      </c>
      <c r="F10028">
        <f t="shared" si="156"/>
        <v>102</v>
      </c>
    </row>
    <row r="10029" spans="1:6" x14ac:dyDescent="0.3">
      <c r="A10029" t="s">
        <v>1554</v>
      </c>
      <c r="B10029" t="s">
        <v>2129</v>
      </c>
      <c r="C10029">
        <v>35.5</v>
      </c>
      <c r="D10029">
        <v>200</v>
      </c>
      <c r="E10029">
        <f>IF(OR(B10029="vi",B10029="ii",B10029="pod"),(((D10029/100)*(C10029*VLOOKUP(B10029,'Poids des runes'!A:B,2,FALSE)))+1),(((D10029/100)*(C10029*VLOOKUP(B10029,'Poids des runes'!A:B,2,FALSE)))+1)/VLOOKUP(B10029,'Poids des runes'!A:B,2,FALSE))</f>
        <v>72</v>
      </c>
      <c r="F10029">
        <f t="shared" si="156"/>
        <v>72</v>
      </c>
    </row>
    <row r="10030" spans="1:6" x14ac:dyDescent="0.3">
      <c r="A10030" t="s">
        <v>1554</v>
      </c>
      <c r="B10030" t="s">
        <v>2151</v>
      </c>
      <c r="C10030">
        <v>5</v>
      </c>
      <c r="D10030">
        <v>200</v>
      </c>
      <c r="E10030">
        <f>IF(OR(B10030="vi",B10030="ii",B10030="pod"),(((D10030/100)*(C10030*VLOOKUP(B10030,'Poids des runes'!A:B,2,FALSE)))+1),(((D10030/100)*(C10030*VLOOKUP(B10030,'Poids des runes'!A:B,2,FALSE)))+1)/VLOOKUP(B10030,'Poids des runes'!A:B,2,FALSE))</f>
        <v>10.1</v>
      </c>
      <c r="F10030">
        <f t="shared" si="156"/>
        <v>10.1</v>
      </c>
    </row>
    <row r="10031" spans="1:6" x14ac:dyDescent="0.3">
      <c r="A10031" t="s">
        <v>1554</v>
      </c>
      <c r="B10031" t="s">
        <v>2154</v>
      </c>
      <c r="C10031">
        <v>1</v>
      </c>
      <c r="D10031">
        <v>200</v>
      </c>
      <c r="E10031">
        <f>IF(OR(B10031="vi",B10031="ii",B10031="pod"),(((D10031/100)*(C10031*VLOOKUP(B10031,'Poids des runes'!A:B,2,FALSE)))+1),(((D10031/100)*(C10031*VLOOKUP(B10031,'Poids des runes'!A:B,2,FALSE)))+1)/VLOOKUP(B10031,'Poids des runes'!A:B,2,FALSE))</f>
        <v>2.0111111111111111</v>
      </c>
      <c r="F10031">
        <f t="shared" si="156"/>
        <v>2.0111111111111111</v>
      </c>
    </row>
    <row r="10032" spans="1:6" x14ac:dyDescent="0.3">
      <c r="A10032" t="s">
        <v>1554</v>
      </c>
      <c r="B10032" t="s">
        <v>2143</v>
      </c>
      <c r="C10032">
        <v>10.5</v>
      </c>
      <c r="D10032">
        <v>200</v>
      </c>
      <c r="E10032">
        <f>IF(OR(B10032="vi",B10032="ii",B10032="pod"),(((D10032/100)*(C10032*VLOOKUP(B10032,'Poids des runes'!A:B,2,FALSE)))+1),(((D10032/100)*(C10032*VLOOKUP(B10032,'Poids des runes'!A:B,2,FALSE)))+1)/VLOOKUP(B10032,'Poids des runes'!A:B,2,FALSE))</f>
        <v>21.2</v>
      </c>
      <c r="F10032">
        <f t="shared" si="156"/>
        <v>21.2</v>
      </c>
    </row>
    <row r="10033" spans="1:6" x14ac:dyDescent="0.3">
      <c r="A10033" t="s">
        <v>1554</v>
      </c>
      <c r="B10033" t="s">
        <v>2161</v>
      </c>
      <c r="C10033">
        <v>13</v>
      </c>
      <c r="D10033">
        <v>200</v>
      </c>
      <c r="E10033">
        <f>IF(OR(B10033="vi",B10033="ii",B10033="pod"),(((D10033/100)*(C10033*VLOOKUP(B10033,'Poids des runes'!A:B,2,FALSE)))+1),(((D10033/100)*(C10033*VLOOKUP(B10033,'Poids des runes'!A:B,2,FALSE)))+1)/VLOOKUP(B10033,'Poids des runes'!A:B,2,FALSE))</f>
        <v>26.333333333333332</v>
      </c>
      <c r="F10033">
        <f t="shared" si="156"/>
        <v>26.333333333333332</v>
      </c>
    </row>
    <row r="10034" spans="1:6" x14ac:dyDescent="0.3">
      <c r="A10034" t="s">
        <v>1554</v>
      </c>
      <c r="B10034" t="s">
        <v>2141</v>
      </c>
      <c r="C10034">
        <v>3.5</v>
      </c>
      <c r="D10034">
        <v>200</v>
      </c>
      <c r="E10034">
        <f>IF(OR(B10034="vi",B10034="ii",B10034="pod"),(((D10034/100)*(C10034*VLOOKUP(B10034,'Poids des runes'!A:B,2,FALSE)))+1),(((D10034/100)*(C10034*VLOOKUP(B10034,'Poids des runes'!A:B,2,FALSE)))+1)/VLOOKUP(B10034,'Poids des runes'!A:B,2,FALSE))</f>
        <v>7.25</v>
      </c>
      <c r="F10034">
        <f t="shared" si="156"/>
        <v>7.25</v>
      </c>
    </row>
    <row r="10035" spans="1:6" x14ac:dyDescent="0.3">
      <c r="A10035" t="s">
        <v>1554</v>
      </c>
      <c r="B10035" t="s">
        <v>2158</v>
      </c>
      <c r="C10035">
        <v>13</v>
      </c>
      <c r="D10035">
        <v>200</v>
      </c>
      <c r="E10035">
        <f>IF(OR(B10035="vi",B10035="ii",B10035="pod"),(((D10035/100)*(C10035*VLOOKUP(B10035,'Poids des runes'!A:B,2,FALSE)))+1),(((D10035/100)*(C10035*VLOOKUP(B10035,'Poids des runes'!A:B,2,FALSE)))+1)/VLOOKUP(B10035,'Poids des runes'!A:B,2,FALSE))</f>
        <v>26.2</v>
      </c>
      <c r="F10035">
        <f t="shared" si="156"/>
        <v>26.2</v>
      </c>
    </row>
    <row r="10036" spans="1:6" x14ac:dyDescent="0.3">
      <c r="A10036" t="s">
        <v>1554</v>
      </c>
      <c r="B10036" t="s">
        <v>2148</v>
      </c>
      <c r="C10036">
        <v>4</v>
      </c>
      <c r="D10036">
        <v>200</v>
      </c>
      <c r="E10036">
        <f>IF(OR(B10036="vi",B10036="ii",B10036="pod"),(((D10036/100)*(C10036*VLOOKUP(B10036,'Poids des runes'!A:B,2,FALSE)))+1),(((D10036/100)*(C10036*VLOOKUP(B10036,'Poids des runes'!A:B,2,FALSE)))+1)/VLOOKUP(B10036,'Poids des runes'!A:B,2,FALSE))</f>
        <v>8.1666666666666661</v>
      </c>
      <c r="F10036">
        <f t="shared" si="156"/>
        <v>8.1666666666666661</v>
      </c>
    </row>
    <row r="10037" spans="1:6" x14ac:dyDescent="0.3">
      <c r="A10037" t="s">
        <v>1554</v>
      </c>
      <c r="B10037" t="s">
        <v>2147</v>
      </c>
      <c r="C10037">
        <v>5</v>
      </c>
      <c r="D10037">
        <v>200</v>
      </c>
      <c r="E10037">
        <f>IF(OR(B10037="vi",B10037="ii",B10037="pod"),(((D10037/100)*(C10037*VLOOKUP(B10037,'Poids des runes'!A:B,2,FALSE)))+1),(((D10037/100)*(C10037*VLOOKUP(B10037,'Poids des runes'!A:B,2,FALSE)))+1)/VLOOKUP(B10037,'Poids des runes'!A:B,2,FALSE))</f>
        <v>10.166666666666666</v>
      </c>
      <c r="F10037">
        <f t="shared" si="156"/>
        <v>10.166666666666666</v>
      </c>
    </row>
    <row r="10038" spans="1:6" x14ac:dyDescent="0.3">
      <c r="A10038" t="s">
        <v>1554</v>
      </c>
      <c r="B10038" t="s">
        <v>2135</v>
      </c>
      <c r="C10038">
        <v>5</v>
      </c>
      <c r="D10038">
        <v>200</v>
      </c>
      <c r="E10038">
        <f>IF(OR(B10038="vi",B10038="ii",B10038="pod"),(((D10038/100)*(C10038*VLOOKUP(B10038,'Poids des runes'!A:B,2,FALSE)))+1),(((D10038/100)*(C10038*VLOOKUP(B10038,'Poids des runes'!A:B,2,FALSE)))+1)/VLOOKUP(B10038,'Poids des runes'!A:B,2,FALSE))</f>
        <v>10.166666666666666</v>
      </c>
      <c r="F10038">
        <f t="shared" si="156"/>
        <v>10.166666666666666</v>
      </c>
    </row>
    <row r="10039" spans="1:6" x14ac:dyDescent="0.3">
      <c r="A10039" t="s">
        <v>1554</v>
      </c>
      <c r="B10039" t="s">
        <v>2137</v>
      </c>
      <c r="C10039">
        <v>5</v>
      </c>
      <c r="D10039">
        <v>200</v>
      </c>
      <c r="E10039">
        <f>IF(OR(B10039="vi",B10039="ii",B10039="pod"),(((D10039/100)*(C10039*VLOOKUP(B10039,'Poids des runes'!A:B,2,FALSE)))+1),(((D10039/100)*(C10039*VLOOKUP(B10039,'Poids des runes'!A:B,2,FALSE)))+1)/VLOOKUP(B10039,'Poids des runes'!A:B,2,FALSE))</f>
        <v>10.5</v>
      </c>
      <c r="F10039">
        <f t="shared" si="156"/>
        <v>10.5</v>
      </c>
    </row>
    <row r="10040" spans="1:6" x14ac:dyDescent="0.3">
      <c r="A10040" t="s">
        <v>1554</v>
      </c>
      <c r="B10040" t="s">
        <v>2144</v>
      </c>
      <c r="C10040">
        <v>5</v>
      </c>
      <c r="D10040">
        <v>200</v>
      </c>
      <c r="E10040">
        <f>IF(OR(B10040="vi",B10040="ii",B10040="pod"),(((D10040/100)*(C10040*VLOOKUP(B10040,'Poids des runes'!A:B,2,FALSE)))+1),(((D10040/100)*(C10040*VLOOKUP(B10040,'Poids des runes'!A:B,2,FALSE)))+1)/VLOOKUP(B10040,'Poids des runes'!A:B,2,FALSE))</f>
        <v>10.5</v>
      </c>
      <c r="F10040">
        <f t="shared" si="156"/>
        <v>10.5</v>
      </c>
    </row>
    <row r="10041" spans="1:6" x14ac:dyDescent="0.3">
      <c r="A10041" t="s">
        <v>1554</v>
      </c>
      <c r="B10041" t="s">
        <v>2145</v>
      </c>
      <c r="C10041">
        <v>5</v>
      </c>
      <c r="D10041">
        <v>200</v>
      </c>
      <c r="E10041">
        <f>IF(OR(B10041="vi",B10041="ii",B10041="pod"),(((D10041/100)*(C10041*VLOOKUP(B10041,'Poids des runes'!A:B,2,FALSE)))+1),(((D10041/100)*(C10041*VLOOKUP(B10041,'Poids des runes'!A:B,2,FALSE)))+1)/VLOOKUP(B10041,'Poids des runes'!A:B,2,FALSE))</f>
        <v>10.5</v>
      </c>
      <c r="F10041">
        <f t="shared" si="156"/>
        <v>10.5</v>
      </c>
    </row>
    <row r="10042" spans="1:6" x14ac:dyDescent="0.3">
      <c r="A10042" t="s">
        <v>1555</v>
      </c>
      <c r="B10042" t="s">
        <v>2128</v>
      </c>
      <c r="C10042">
        <v>325.5</v>
      </c>
      <c r="D10042">
        <v>200</v>
      </c>
      <c r="E10042">
        <f>IF(OR(B10042="vi",B10042="ii",B10042="pod"),(((D10042/100)*(C10042*VLOOKUP(B10042,'Poids des runes'!A:B,2,FALSE)))+1),(((D10042/100)*(C10042*VLOOKUP(B10042,'Poids des runes'!A:B,2,FALSE)))+1)/VLOOKUP(B10042,'Poids des runes'!A:B,2,FALSE))</f>
        <v>131.20000000000002</v>
      </c>
      <c r="F10042">
        <f t="shared" si="156"/>
        <v>131.20000000000002</v>
      </c>
    </row>
    <row r="10043" spans="1:6" x14ac:dyDescent="0.3">
      <c r="A10043" t="s">
        <v>1555</v>
      </c>
      <c r="B10043" t="s">
        <v>2129</v>
      </c>
      <c r="C10043">
        <v>30.5</v>
      </c>
      <c r="D10043">
        <v>200</v>
      </c>
      <c r="E10043">
        <f>IF(OR(B10043="vi",B10043="ii",B10043="pod"),(((D10043/100)*(C10043*VLOOKUP(B10043,'Poids des runes'!A:B,2,FALSE)))+1),(((D10043/100)*(C10043*VLOOKUP(B10043,'Poids des runes'!A:B,2,FALSE)))+1)/VLOOKUP(B10043,'Poids des runes'!A:B,2,FALSE))</f>
        <v>62</v>
      </c>
      <c r="F10043">
        <f t="shared" si="156"/>
        <v>62</v>
      </c>
    </row>
    <row r="10044" spans="1:6" x14ac:dyDescent="0.3">
      <c r="A10044" t="s">
        <v>1555</v>
      </c>
      <c r="B10044" t="s">
        <v>2139</v>
      </c>
      <c r="C10044">
        <v>85.5</v>
      </c>
      <c r="D10044">
        <v>200</v>
      </c>
      <c r="E10044">
        <f>IF(OR(B10044="vi",B10044="ii",B10044="pod"),(((D10044/100)*(C10044*VLOOKUP(B10044,'Poids des runes'!A:B,2,FALSE)))+1),(((D10044/100)*(C10044*VLOOKUP(B10044,'Poids des runes'!A:B,2,FALSE)))+1)/VLOOKUP(B10044,'Poids des runes'!A:B,2,FALSE))</f>
        <v>171.5</v>
      </c>
      <c r="F10044">
        <f t="shared" si="156"/>
        <v>171.5</v>
      </c>
    </row>
    <row r="10045" spans="1:6" x14ac:dyDescent="0.3">
      <c r="A10045" t="s">
        <v>1555</v>
      </c>
      <c r="B10045" t="s">
        <v>2155</v>
      </c>
      <c r="C10045">
        <v>1</v>
      </c>
      <c r="D10045">
        <v>200</v>
      </c>
      <c r="E10045">
        <f>IF(OR(B10045="vi",B10045="ii",B10045="pod"),(((D10045/100)*(C10045*VLOOKUP(B10045,'Poids des runes'!A:B,2,FALSE)))+1),(((D10045/100)*(C10045*VLOOKUP(B10045,'Poids des runes'!A:B,2,FALSE)))+1)/VLOOKUP(B10045,'Poids des runes'!A:B,2,FALSE))</f>
        <v>2.0196078431372548</v>
      </c>
      <c r="F10045">
        <f t="shared" si="156"/>
        <v>2.0196078431372548</v>
      </c>
    </row>
    <row r="10046" spans="1:6" x14ac:dyDescent="0.3">
      <c r="A10046" t="s">
        <v>1555</v>
      </c>
      <c r="B10046" t="s">
        <v>2150</v>
      </c>
      <c r="C10046">
        <v>1</v>
      </c>
      <c r="D10046">
        <v>200</v>
      </c>
      <c r="E10046">
        <f>IF(OR(B10046="vi",B10046="ii",B10046="pod"),(((D10046/100)*(C10046*VLOOKUP(B10046,'Poids des runes'!A:B,2,FALSE)))+1),(((D10046/100)*(C10046*VLOOKUP(B10046,'Poids des runes'!A:B,2,FALSE)))+1)/VLOOKUP(B10046,'Poids des runes'!A:B,2,FALSE))</f>
        <v>2.0333333333333332</v>
      </c>
      <c r="F10046">
        <f t="shared" si="156"/>
        <v>2.0333333333333332</v>
      </c>
    </row>
    <row r="10047" spans="1:6" x14ac:dyDescent="0.3">
      <c r="A10047" t="s">
        <v>1555</v>
      </c>
      <c r="B10047" t="s">
        <v>2143</v>
      </c>
      <c r="C10047">
        <v>6.5</v>
      </c>
      <c r="D10047">
        <v>200</v>
      </c>
      <c r="E10047">
        <f>IF(OR(B10047="vi",B10047="ii",B10047="pod"),(((D10047/100)*(C10047*VLOOKUP(B10047,'Poids des runes'!A:B,2,FALSE)))+1),(((D10047/100)*(C10047*VLOOKUP(B10047,'Poids des runes'!A:B,2,FALSE)))+1)/VLOOKUP(B10047,'Poids des runes'!A:B,2,FALSE))</f>
        <v>13.2</v>
      </c>
      <c r="F10047">
        <f t="shared" si="156"/>
        <v>13.2</v>
      </c>
    </row>
    <row r="10048" spans="1:6" x14ac:dyDescent="0.3">
      <c r="A10048" t="s">
        <v>1555</v>
      </c>
      <c r="B10048" t="s">
        <v>2140</v>
      </c>
      <c r="C10048">
        <v>6.5</v>
      </c>
      <c r="D10048">
        <v>200</v>
      </c>
      <c r="E10048">
        <f>IF(OR(B10048="vi",B10048="ii",B10048="pod"),(((D10048/100)*(C10048*VLOOKUP(B10048,'Poids des runes'!A:B,2,FALSE)))+1),(((D10048/100)*(C10048*VLOOKUP(B10048,'Poids des runes'!A:B,2,FALSE)))+1)/VLOOKUP(B10048,'Poids des runes'!A:B,2,FALSE))</f>
        <v>13.2</v>
      </c>
      <c r="F10048">
        <f t="shared" si="156"/>
        <v>13.2</v>
      </c>
    </row>
    <row r="10049" spans="1:6" x14ac:dyDescent="0.3">
      <c r="A10049" t="s">
        <v>1555</v>
      </c>
      <c r="B10049" t="s">
        <v>2133</v>
      </c>
      <c r="C10049">
        <v>6.5</v>
      </c>
      <c r="D10049">
        <v>200</v>
      </c>
      <c r="E10049">
        <f>IF(OR(B10049="vi",B10049="ii",B10049="pod"),(((D10049/100)*(C10049*VLOOKUP(B10049,'Poids des runes'!A:B,2,FALSE)))+1),(((D10049/100)*(C10049*VLOOKUP(B10049,'Poids des runes'!A:B,2,FALSE)))+1)/VLOOKUP(B10049,'Poids des runes'!A:B,2,FALSE))</f>
        <v>13.2</v>
      </c>
      <c r="F10049">
        <f t="shared" si="156"/>
        <v>13.2</v>
      </c>
    </row>
    <row r="10050" spans="1:6" x14ac:dyDescent="0.3">
      <c r="A10050" t="s">
        <v>1555</v>
      </c>
      <c r="B10050" t="s">
        <v>2153</v>
      </c>
      <c r="C10050">
        <v>6.5</v>
      </c>
      <c r="D10050">
        <v>200</v>
      </c>
      <c r="E10050">
        <f>IF(OR(B10050="vi",B10050="ii",B10050="pod"),(((D10050/100)*(C10050*VLOOKUP(B10050,'Poids des runes'!A:B,2,FALSE)))+1),(((D10050/100)*(C10050*VLOOKUP(B10050,'Poids des runes'!A:B,2,FALSE)))+1)/VLOOKUP(B10050,'Poids des runes'!A:B,2,FALSE))</f>
        <v>13.2</v>
      </c>
      <c r="F10050">
        <f t="shared" si="156"/>
        <v>13.2</v>
      </c>
    </row>
    <row r="10051" spans="1:6" x14ac:dyDescent="0.3">
      <c r="A10051" t="s">
        <v>1555</v>
      </c>
      <c r="B10051" t="s">
        <v>2149</v>
      </c>
      <c r="C10051">
        <v>8.5</v>
      </c>
      <c r="D10051">
        <v>200</v>
      </c>
      <c r="E10051">
        <f>IF(OR(B10051="vi",B10051="ii",B10051="pod"),(((D10051/100)*(C10051*VLOOKUP(B10051,'Poids des runes'!A:B,2,FALSE)))+1),(((D10051/100)*(C10051*VLOOKUP(B10051,'Poids des runes'!A:B,2,FALSE)))+1)/VLOOKUP(B10051,'Poids des runes'!A:B,2,FALSE))</f>
        <v>17.100000000000001</v>
      </c>
      <c r="F10051">
        <f t="shared" ref="F10051:F10114" si="157">E10051</f>
        <v>17.100000000000001</v>
      </c>
    </row>
    <row r="10052" spans="1:6" x14ac:dyDescent="0.3">
      <c r="A10052" t="s">
        <v>1555</v>
      </c>
      <c r="B10052" t="s">
        <v>2147</v>
      </c>
      <c r="C10052">
        <v>3.5</v>
      </c>
      <c r="D10052">
        <v>200</v>
      </c>
      <c r="E10052">
        <f>IF(OR(B10052="vi",B10052="ii",B10052="pod"),(((D10052/100)*(C10052*VLOOKUP(B10052,'Poids des runes'!A:B,2,FALSE)))+1),(((D10052/100)*(C10052*VLOOKUP(B10052,'Poids des runes'!A:B,2,FALSE)))+1)/VLOOKUP(B10052,'Poids des runes'!A:B,2,FALSE))</f>
        <v>7.166666666666667</v>
      </c>
      <c r="F10052">
        <f t="shared" si="157"/>
        <v>7.166666666666667</v>
      </c>
    </row>
    <row r="10053" spans="1:6" x14ac:dyDescent="0.3">
      <c r="A10053" t="s">
        <v>1555</v>
      </c>
      <c r="B10053" t="s">
        <v>2135</v>
      </c>
      <c r="C10053">
        <v>4</v>
      </c>
      <c r="D10053">
        <v>200</v>
      </c>
      <c r="E10053">
        <f>IF(OR(B10053="vi",B10053="ii",B10053="pod"),(((D10053/100)*(C10053*VLOOKUP(B10053,'Poids des runes'!A:B,2,FALSE)))+1),(((D10053/100)*(C10053*VLOOKUP(B10053,'Poids des runes'!A:B,2,FALSE)))+1)/VLOOKUP(B10053,'Poids des runes'!A:B,2,FALSE))</f>
        <v>8.1666666666666661</v>
      </c>
      <c r="F10053">
        <f t="shared" si="157"/>
        <v>8.1666666666666661</v>
      </c>
    </row>
    <row r="10054" spans="1:6" x14ac:dyDescent="0.3">
      <c r="A10054" t="s">
        <v>1555</v>
      </c>
      <c r="B10054" t="s">
        <v>2157</v>
      </c>
      <c r="C10054">
        <v>4</v>
      </c>
      <c r="D10054">
        <v>200</v>
      </c>
      <c r="E10054">
        <f>IF(OR(B10054="vi",B10054="ii",B10054="pod"),(((D10054/100)*(C10054*VLOOKUP(B10054,'Poids des runes'!A:B,2,FALSE)))+1),(((D10054/100)*(C10054*VLOOKUP(B10054,'Poids des runes'!A:B,2,FALSE)))+1)/VLOOKUP(B10054,'Poids des runes'!A:B,2,FALSE))</f>
        <v>8.1666666666666661</v>
      </c>
      <c r="F10054">
        <f t="shared" si="157"/>
        <v>8.1666666666666661</v>
      </c>
    </row>
    <row r="10055" spans="1:6" x14ac:dyDescent="0.3">
      <c r="A10055" t="s">
        <v>1556</v>
      </c>
      <c r="B10055" t="s">
        <v>2128</v>
      </c>
      <c r="C10055">
        <v>375.5</v>
      </c>
      <c r="D10055">
        <v>200</v>
      </c>
      <c r="E10055">
        <f>IF(OR(B10055="vi",B10055="ii",B10055="pod"),(((D10055/100)*(C10055*VLOOKUP(B10055,'Poids des runes'!A:B,2,FALSE)))+1),(((D10055/100)*(C10055*VLOOKUP(B10055,'Poids des runes'!A:B,2,FALSE)))+1)/VLOOKUP(B10055,'Poids des runes'!A:B,2,FALSE))</f>
        <v>151.20000000000002</v>
      </c>
      <c r="F10055">
        <f t="shared" si="157"/>
        <v>151.20000000000002</v>
      </c>
    </row>
    <row r="10056" spans="1:6" x14ac:dyDescent="0.3">
      <c r="A10056" t="s">
        <v>1556</v>
      </c>
      <c r="B10056" t="s">
        <v>2129</v>
      </c>
      <c r="C10056">
        <v>35.5</v>
      </c>
      <c r="D10056">
        <v>200</v>
      </c>
      <c r="E10056">
        <f>IF(OR(B10056="vi",B10056="ii",B10056="pod"),(((D10056/100)*(C10056*VLOOKUP(B10056,'Poids des runes'!A:B,2,FALSE)))+1),(((D10056/100)*(C10056*VLOOKUP(B10056,'Poids des runes'!A:B,2,FALSE)))+1)/VLOOKUP(B10056,'Poids des runes'!A:B,2,FALSE))</f>
        <v>72</v>
      </c>
      <c r="F10056">
        <f t="shared" si="157"/>
        <v>72</v>
      </c>
    </row>
    <row r="10057" spans="1:6" x14ac:dyDescent="0.3">
      <c r="A10057" t="s">
        <v>1556</v>
      </c>
      <c r="B10057" t="s">
        <v>2139</v>
      </c>
      <c r="C10057">
        <v>70.5</v>
      </c>
      <c r="D10057">
        <v>200</v>
      </c>
      <c r="E10057">
        <f>IF(OR(B10057="vi",B10057="ii",B10057="pod"),(((D10057/100)*(C10057*VLOOKUP(B10057,'Poids des runes'!A:B,2,FALSE)))+1),(((D10057/100)*(C10057*VLOOKUP(B10057,'Poids des runes'!A:B,2,FALSE)))+1)/VLOOKUP(B10057,'Poids des runes'!A:B,2,FALSE))</f>
        <v>141.5</v>
      </c>
      <c r="F10057">
        <f t="shared" si="157"/>
        <v>141.5</v>
      </c>
    </row>
    <row r="10058" spans="1:6" x14ac:dyDescent="0.3">
      <c r="A10058" t="s">
        <v>1556</v>
      </c>
      <c r="B10058" t="s">
        <v>2151</v>
      </c>
      <c r="C10058">
        <v>3.5</v>
      </c>
      <c r="D10058">
        <v>200</v>
      </c>
      <c r="E10058">
        <f>IF(OR(B10058="vi",B10058="ii",B10058="pod"),(((D10058/100)*(C10058*VLOOKUP(B10058,'Poids des runes'!A:B,2,FALSE)))+1),(((D10058/100)*(C10058*VLOOKUP(B10058,'Poids des runes'!A:B,2,FALSE)))+1)/VLOOKUP(B10058,'Poids des runes'!A:B,2,FALSE))</f>
        <v>7.1</v>
      </c>
      <c r="F10058">
        <f t="shared" si="157"/>
        <v>7.1</v>
      </c>
    </row>
    <row r="10059" spans="1:6" x14ac:dyDescent="0.3">
      <c r="A10059" t="s">
        <v>1556</v>
      </c>
      <c r="B10059" t="s">
        <v>2154</v>
      </c>
      <c r="C10059">
        <v>1</v>
      </c>
      <c r="D10059">
        <v>200</v>
      </c>
      <c r="E10059">
        <f>IF(OR(B10059="vi",B10059="ii",B10059="pod"),(((D10059/100)*(C10059*VLOOKUP(B10059,'Poids des runes'!A:B,2,FALSE)))+1),(((D10059/100)*(C10059*VLOOKUP(B10059,'Poids des runes'!A:B,2,FALSE)))+1)/VLOOKUP(B10059,'Poids des runes'!A:B,2,FALSE))</f>
        <v>2.0111111111111111</v>
      </c>
      <c r="F10059">
        <f t="shared" si="157"/>
        <v>2.0111111111111111</v>
      </c>
    </row>
    <row r="10060" spans="1:6" x14ac:dyDescent="0.3">
      <c r="A10060" t="s">
        <v>1556</v>
      </c>
      <c r="B10060" t="s">
        <v>2149</v>
      </c>
      <c r="C10060">
        <v>8.5</v>
      </c>
      <c r="D10060">
        <v>200</v>
      </c>
      <c r="E10060">
        <f>IF(OR(B10060="vi",B10060="ii",B10060="pod"),(((D10060/100)*(C10060*VLOOKUP(B10060,'Poids des runes'!A:B,2,FALSE)))+1),(((D10060/100)*(C10060*VLOOKUP(B10060,'Poids des runes'!A:B,2,FALSE)))+1)/VLOOKUP(B10060,'Poids des runes'!A:B,2,FALSE))</f>
        <v>17.100000000000001</v>
      </c>
      <c r="F10060">
        <f t="shared" si="157"/>
        <v>17.100000000000001</v>
      </c>
    </row>
    <row r="10061" spans="1:6" x14ac:dyDescent="0.3">
      <c r="A10061" t="s">
        <v>1556</v>
      </c>
      <c r="B10061" t="s">
        <v>2132</v>
      </c>
      <c r="C10061">
        <v>400.5</v>
      </c>
      <c r="D10061">
        <v>200</v>
      </c>
      <c r="E10061">
        <f>IF(OR(B10061="vi",B10061="ii",B10061="pod"),(((D10061/100)*(C10061*VLOOKUP(B10061,'Poids des runes'!A:B,2,FALSE)))+1),(((D10061/100)*(C10061*VLOOKUP(B10061,'Poids des runes'!A:B,2,FALSE)))+1)/VLOOKUP(B10061,'Poids des runes'!A:B,2,FALSE))</f>
        <v>81.100000000000009</v>
      </c>
      <c r="F10061">
        <f t="shared" si="157"/>
        <v>81.100000000000009</v>
      </c>
    </row>
    <row r="10062" spans="1:6" x14ac:dyDescent="0.3">
      <c r="A10062" t="s">
        <v>1556</v>
      </c>
      <c r="B10062" t="s">
        <v>2141</v>
      </c>
      <c r="C10062">
        <v>13</v>
      </c>
      <c r="D10062">
        <v>200</v>
      </c>
      <c r="E10062">
        <f>IF(OR(B10062="vi",B10062="ii",B10062="pod"),(((D10062/100)*(C10062*VLOOKUP(B10062,'Poids des runes'!A:B,2,FALSE)))+1),(((D10062/100)*(C10062*VLOOKUP(B10062,'Poids des runes'!A:B,2,FALSE)))+1)/VLOOKUP(B10062,'Poids des runes'!A:B,2,FALSE))</f>
        <v>26.25</v>
      </c>
      <c r="F10062">
        <f t="shared" si="157"/>
        <v>26.25</v>
      </c>
    </row>
    <row r="10063" spans="1:6" x14ac:dyDescent="0.3">
      <c r="A10063" t="s">
        <v>1556</v>
      </c>
      <c r="B10063" t="s">
        <v>2147</v>
      </c>
      <c r="C10063">
        <v>5</v>
      </c>
      <c r="D10063">
        <v>200</v>
      </c>
      <c r="E10063">
        <f>IF(OR(B10063="vi",B10063="ii",B10063="pod"),(((D10063/100)*(C10063*VLOOKUP(B10063,'Poids des runes'!A:B,2,FALSE)))+1),(((D10063/100)*(C10063*VLOOKUP(B10063,'Poids des runes'!A:B,2,FALSE)))+1)/VLOOKUP(B10063,'Poids des runes'!A:B,2,FALSE))</f>
        <v>10.166666666666666</v>
      </c>
      <c r="F10063">
        <f t="shared" si="157"/>
        <v>10.166666666666666</v>
      </c>
    </row>
    <row r="10064" spans="1:6" x14ac:dyDescent="0.3">
      <c r="A10064" t="s">
        <v>1556</v>
      </c>
      <c r="B10064" t="s">
        <v>2135</v>
      </c>
      <c r="C10064">
        <v>5</v>
      </c>
      <c r="D10064">
        <v>200</v>
      </c>
      <c r="E10064">
        <f>IF(OR(B10064="vi",B10064="ii",B10064="pod"),(((D10064/100)*(C10064*VLOOKUP(B10064,'Poids des runes'!A:B,2,FALSE)))+1),(((D10064/100)*(C10064*VLOOKUP(B10064,'Poids des runes'!A:B,2,FALSE)))+1)/VLOOKUP(B10064,'Poids des runes'!A:B,2,FALSE))</f>
        <v>10.166666666666666</v>
      </c>
      <c r="F10064">
        <f t="shared" si="157"/>
        <v>10.166666666666666</v>
      </c>
    </row>
    <row r="10065" spans="1:6" x14ac:dyDescent="0.3">
      <c r="A10065" t="s">
        <v>1556</v>
      </c>
      <c r="B10065" t="s">
        <v>2157</v>
      </c>
      <c r="C10065">
        <v>5</v>
      </c>
      <c r="D10065">
        <v>200</v>
      </c>
      <c r="E10065">
        <f>IF(OR(B10065="vi",B10065="ii",B10065="pod"),(((D10065/100)*(C10065*VLOOKUP(B10065,'Poids des runes'!A:B,2,FALSE)))+1),(((D10065/100)*(C10065*VLOOKUP(B10065,'Poids des runes'!A:B,2,FALSE)))+1)/VLOOKUP(B10065,'Poids des runes'!A:B,2,FALSE))</f>
        <v>10.166666666666666</v>
      </c>
      <c r="F10065">
        <f t="shared" si="157"/>
        <v>10.166666666666666</v>
      </c>
    </row>
    <row r="10066" spans="1:6" x14ac:dyDescent="0.3">
      <c r="A10066" t="s">
        <v>1557</v>
      </c>
      <c r="B10066" t="s">
        <v>2128</v>
      </c>
      <c r="C10066">
        <v>325.5</v>
      </c>
      <c r="D10066">
        <v>200</v>
      </c>
      <c r="E10066">
        <f>IF(OR(B10066="vi",B10066="ii",B10066="pod"),(((D10066/100)*(C10066*VLOOKUP(B10066,'Poids des runes'!A:B,2,FALSE)))+1),(((D10066/100)*(C10066*VLOOKUP(B10066,'Poids des runes'!A:B,2,FALSE)))+1)/VLOOKUP(B10066,'Poids des runes'!A:B,2,FALSE))</f>
        <v>131.20000000000002</v>
      </c>
      <c r="F10066">
        <f t="shared" si="157"/>
        <v>131.20000000000002</v>
      </c>
    </row>
    <row r="10067" spans="1:6" x14ac:dyDescent="0.3">
      <c r="A10067" t="s">
        <v>1557</v>
      </c>
      <c r="B10067" t="s">
        <v>2129</v>
      </c>
      <c r="C10067">
        <v>35.5</v>
      </c>
      <c r="D10067">
        <v>200</v>
      </c>
      <c r="E10067">
        <f>IF(OR(B10067="vi",B10067="ii",B10067="pod"),(((D10067/100)*(C10067*VLOOKUP(B10067,'Poids des runes'!A:B,2,FALSE)))+1),(((D10067/100)*(C10067*VLOOKUP(B10067,'Poids des runes'!A:B,2,FALSE)))+1)/VLOOKUP(B10067,'Poids des runes'!A:B,2,FALSE))</f>
        <v>72</v>
      </c>
      <c r="F10067">
        <f t="shared" si="157"/>
        <v>72</v>
      </c>
    </row>
    <row r="10068" spans="1:6" x14ac:dyDescent="0.3">
      <c r="A10068" t="s">
        <v>1557</v>
      </c>
      <c r="B10068" t="s">
        <v>2139</v>
      </c>
      <c r="C10068">
        <v>60.5</v>
      </c>
      <c r="D10068">
        <v>200</v>
      </c>
      <c r="E10068">
        <f>IF(OR(B10068="vi",B10068="ii",B10068="pod"),(((D10068/100)*(C10068*VLOOKUP(B10068,'Poids des runes'!A:B,2,FALSE)))+1),(((D10068/100)*(C10068*VLOOKUP(B10068,'Poids des runes'!A:B,2,FALSE)))+1)/VLOOKUP(B10068,'Poids des runes'!A:B,2,FALSE))</f>
        <v>121.5</v>
      </c>
      <c r="F10068">
        <f t="shared" si="157"/>
        <v>121.5</v>
      </c>
    </row>
    <row r="10069" spans="1:6" x14ac:dyDescent="0.3">
      <c r="A10069" t="s">
        <v>1557</v>
      </c>
      <c r="B10069" t="s">
        <v>2152</v>
      </c>
      <c r="C10069">
        <v>1</v>
      </c>
      <c r="D10069">
        <v>200</v>
      </c>
      <c r="E10069">
        <f>IF(OR(B10069="vi",B10069="ii",B10069="pod"),(((D10069/100)*(C10069*VLOOKUP(B10069,'Poids des runes'!A:B,2,FALSE)))+1),(((D10069/100)*(C10069*VLOOKUP(B10069,'Poids des runes'!A:B,2,FALSE)))+1)/VLOOKUP(B10069,'Poids des runes'!A:B,2,FALSE))</f>
        <v>2.0099999999999998</v>
      </c>
      <c r="F10069">
        <f t="shared" si="157"/>
        <v>2.0099999999999998</v>
      </c>
    </row>
    <row r="10070" spans="1:6" x14ac:dyDescent="0.3">
      <c r="A10070" t="s">
        <v>1557</v>
      </c>
      <c r="B10070" t="s">
        <v>2143</v>
      </c>
      <c r="C10070">
        <v>5</v>
      </c>
      <c r="D10070">
        <v>200</v>
      </c>
      <c r="E10070">
        <f>IF(OR(B10070="vi",B10070="ii",B10070="pod"),(((D10070/100)*(C10070*VLOOKUP(B10070,'Poids des runes'!A:B,2,FALSE)))+1),(((D10070/100)*(C10070*VLOOKUP(B10070,'Poids des runes'!A:B,2,FALSE)))+1)/VLOOKUP(B10070,'Poids des runes'!A:B,2,FALSE))</f>
        <v>10.199999999999999</v>
      </c>
      <c r="F10070">
        <f t="shared" si="157"/>
        <v>10.199999999999999</v>
      </c>
    </row>
    <row r="10071" spans="1:6" x14ac:dyDescent="0.3">
      <c r="A10071" t="s">
        <v>1557</v>
      </c>
      <c r="B10071" t="s">
        <v>2140</v>
      </c>
      <c r="C10071">
        <v>5</v>
      </c>
      <c r="D10071">
        <v>200</v>
      </c>
      <c r="E10071">
        <f>IF(OR(B10071="vi",B10071="ii",B10071="pod"),(((D10071/100)*(C10071*VLOOKUP(B10071,'Poids des runes'!A:B,2,FALSE)))+1),(((D10071/100)*(C10071*VLOOKUP(B10071,'Poids des runes'!A:B,2,FALSE)))+1)/VLOOKUP(B10071,'Poids des runes'!A:B,2,FALSE))</f>
        <v>10.199999999999999</v>
      </c>
      <c r="F10071">
        <f t="shared" si="157"/>
        <v>10.199999999999999</v>
      </c>
    </row>
    <row r="10072" spans="1:6" x14ac:dyDescent="0.3">
      <c r="A10072" t="s">
        <v>1557</v>
      </c>
      <c r="B10072" t="s">
        <v>2133</v>
      </c>
      <c r="C10072">
        <v>5</v>
      </c>
      <c r="D10072">
        <v>200</v>
      </c>
      <c r="E10072">
        <f>IF(OR(B10072="vi",B10072="ii",B10072="pod"),(((D10072/100)*(C10072*VLOOKUP(B10072,'Poids des runes'!A:B,2,FALSE)))+1),(((D10072/100)*(C10072*VLOOKUP(B10072,'Poids des runes'!A:B,2,FALSE)))+1)/VLOOKUP(B10072,'Poids des runes'!A:B,2,FALSE))</f>
        <v>10.199999999999999</v>
      </c>
      <c r="F10072">
        <f t="shared" si="157"/>
        <v>10.199999999999999</v>
      </c>
    </row>
    <row r="10073" spans="1:6" x14ac:dyDescent="0.3">
      <c r="A10073" t="s">
        <v>1557</v>
      </c>
      <c r="B10073" t="s">
        <v>2153</v>
      </c>
      <c r="C10073">
        <v>5</v>
      </c>
      <c r="D10073">
        <v>200</v>
      </c>
      <c r="E10073">
        <f>IF(OR(B10073="vi",B10073="ii",B10073="pod"),(((D10073/100)*(C10073*VLOOKUP(B10073,'Poids des runes'!A:B,2,FALSE)))+1),(((D10073/100)*(C10073*VLOOKUP(B10073,'Poids des runes'!A:B,2,FALSE)))+1)/VLOOKUP(B10073,'Poids des runes'!A:B,2,FALSE))</f>
        <v>10.199999999999999</v>
      </c>
      <c r="F10073">
        <f t="shared" si="157"/>
        <v>10.199999999999999</v>
      </c>
    </row>
    <row r="10074" spans="1:6" x14ac:dyDescent="0.3">
      <c r="A10074" t="s">
        <v>1557</v>
      </c>
      <c r="B10074" t="s">
        <v>2149</v>
      </c>
      <c r="C10074">
        <v>13</v>
      </c>
      <c r="D10074">
        <v>200</v>
      </c>
      <c r="E10074">
        <f>IF(OR(B10074="vi",B10074="ii",B10074="pod"),(((D10074/100)*(C10074*VLOOKUP(B10074,'Poids des runes'!A:B,2,FALSE)))+1),(((D10074/100)*(C10074*VLOOKUP(B10074,'Poids des runes'!A:B,2,FALSE)))+1)/VLOOKUP(B10074,'Poids des runes'!A:B,2,FALSE))</f>
        <v>26.1</v>
      </c>
      <c r="F10074">
        <f t="shared" si="157"/>
        <v>26.1</v>
      </c>
    </row>
    <row r="10075" spans="1:6" x14ac:dyDescent="0.3">
      <c r="A10075" t="s">
        <v>1557</v>
      </c>
      <c r="B10075" t="s">
        <v>2132</v>
      </c>
      <c r="C10075">
        <v>250.5</v>
      </c>
      <c r="D10075">
        <v>200</v>
      </c>
      <c r="E10075">
        <f>IF(OR(B10075="vi",B10075="ii",B10075="pod"),(((D10075/100)*(C10075*VLOOKUP(B10075,'Poids des runes'!A:B,2,FALSE)))+1),(((D10075/100)*(C10075*VLOOKUP(B10075,'Poids des runes'!A:B,2,FALSE)))+1)/VLOOKUP(B10075,'Poids des runes'!A:B,2,FALSE))</f>
        <v>51.1</v>
      </c>
      <c r="F10075">
        <f t="shared" si="157"/>
        <v>51.1</v>
      </c>
    </row>
    <row r="10076" spans="1:6" x14ac:dyDescent="0.3">
      <c r="A10076" t="s">
        <v>1557</v>
      </c>
      <c r="B10076" t="s">
        <v>2141</v>
      </c>
      <c r="C10076">
        <v>4</v>
      </c>
      <c r="D10076">
        <v>200</v>
      </c>
      <c r="E10076">
        <f>IF(OR(B10076="vi",B10076="ii",B10076="pod"),(((D10076/100)*(C10076*VLOOKUP(B10076,'Poids des runes'!A:B,2,FALSE)))+1),(((D10076/100)*(C10076*VLOOKUP(B10076,'Poids des runes'!A:B,2,FALSE)))+1)/VLOOKUP(B10076,'Poids des runes'!A:B,2,FALSE))</f>
        <v>8.25</v>
      </c>
      <c r="F10076">
        <f t="shared" si="157"/>
        <v>8.25</v>
      </c>
    </row>
    <row r="10077" spans="1:6" x14ac:dyDescent="0.3">
      <c r="A10077" t="s">
        <v>1557</v>
      </c>
      <c r="B10077" t="s">
        <v>2147</v>
      </c>
      <c r="C10077">
        <v>6.5</v>
      </c>
      <c r="D10077">
        <v>200</v>
      </c>
      <c r="E10077">
        <f>IF(OR(B10077="vi",B10077="ii",B10077="pod"),(((D10077/100)*(C10077*VLOOKUP(B10077,'Poids des runes'!A:B,2,FALSE)))+1),(((D10077/100)*(C10077*VLOOKUP(B10077,'Poids des runes'!A:B,2,FALSE)))+1)/VLOOKUP(B10077,'Poids des runes'!A:B,2,FALSE))</f>
        <v>13.166666666666666</v>
      </c>
      <c r="F10077">
        <f t="shared" si="157"/>
        <v>13.166666666666666</v>
      </c>
    </row>
    <row r="10078" spans="1:6" x14ac:dyDescent="0.3">
      <c r="A10078" t="s">
        <v>1557</v>
      </c>
      <c r="B10078" t="s">
        <v>2135</v>
      </c>
      <c r="C10078">
        <v>3.5</v>
      </c>
      <c r="D10078">
        <v>200</v>
      </c>
      <c r="E10078">
        <f>IF(OR(B10078="vi",B10078="ii",B10078="pod"),(((D10078/100)*(C10078*VLOOKUP(B10078,'Poids des runes'!A:B,2,FALSE)))+1),(((D10078/100)*(C10078*VLOOKUP(B10078,'Poids des runes'!A:B,2,FALSE)))+1)/VLOOKUP(B10078,'Poids des runes'!A:B,2,FALSE))</f>
        <v>7.166666666666667</v>
      </c>
      <c r="F10078">
        <f t="shared" si="157"/>
        <v>7.166666666666667</v>
      </c>
    </row>
    <row r="10079" spans="1:6" x14ac:dyDescent="0.3">
      <c r="A10079" t="s">
        <v>1557</v>
      </c>
      <c r="B10079" t="s">
        <v>2157</v>
      </c>
      <c r="C10079">
        <v>3.5</v>
      </c>
      <c r="D10079">
        <v>200</v>
      </c>
      <c r="E10079">
        <f>IF(OR(B10079="vi",B10079="ii",B10079="pod"),(((D10079/100)*(C10079*VLOOKUP(B10079,'Poids des runes'!A:B,2,FALSE)))+1),(((D10079/100)*(C10079*VLOOKUP(B10079,'Poids des runes'!A:B,2,FALSE)))+1)/VLOOKUP(B10079,'Poids des runes'!A:B,2,FALSE))</f>
        <v>7.166666666666667</v>
      </c>
      <c r="F10079">
        <f t="shared" si="157"/>
        <v>7.166666666666667</v>
      </c>
    </row>
    <row r="10080" spans="1:6" x14ac:dyDescent="0.3">
      <c r="A10080" t="s">
        <v>1558</v>
      </c>
      <c r="B10080" t="s">
        <v>2128</v>
      </c>
      <c r="C10080">
        <v>275.5</v>
      </c>
      <c r="D10080">
        <v>200</v>
      </c>
      <c r="E10080">
        <f>IF(OR(B10080="vi",B10080="ii",B10080="pod"),(((D10080/100)*(C10080*VLOOKUP(B10080,'Poids des runes'!A:B,2,FALSE)))+1),(((D10080/100)*(C10080*VLOOKUP(B10080,'Poids des runes'!A:B,2,FALSE)))+1)/VLOOKUP(B10080,'Poids des runes'!A:B,2,FALSE))</f>
        <v>111.2</v>
      </c>
      <c r="F10080">
        <f t="shared" si="157"/>
        <v>111.2</v>
      </c>
    </row>
    <row r="10081" spans="1:6" x14ac:dyDescent="0.3">
      <c r="A10081" t="s">
        <v>1558</v>
      </c>
      <c r="B10081" t="s">
        <v>2130</v>
      </c>
      <c r="C10081">
        <v>40.5</v>
      </c>
      <c r="D10081">
        <v>200</v>
      </c>
      <c r="E10081">
        <f>IF(OR(B10081="vi",B10081="ii",B10081="pod"),(((D10081/100)*(C10081*VLOOKUP(B10081,'Poids des runes'!A:B,2,FALSE)))+1),(((D10081/100)*(C10081*VLOOKUP(B10081,'Poids des runes'!A:B,2,FALSE)))+1)/VLOOKUP(B10081,'Poids des runes'!A:B,2,FALSE))</f>
        <v>82</v>
      </c>
      <c r="F10081">
        <f t="shared" si="157"/>
        <v>82</v>
      </c>
    </row>
    <row r="10082" spans="1:6" x14ac:dyDescent="0.3">
      <c r="A10082" t="s">
        <v>1558</v>
      </c>
      <c r="B10082" t="s">
        <v>2126</v>
      </c>
      <c r="C10082">
        <v>40.5</v>
      </c>
      <c r="D10082">
        <v>200</v>
      </c>
      <c r="E10082">
        <f>IF(OR(B10082="vi",B10082="ii",B10082="pod"),(((D10082/100)*(C10082*VLOOKUP(B10082,'Poids des runes'!A:B,2,FALSE)))+1),(((D10082/100)*(C10082*VLOOKUP(B10082,'Poids des runes'!A:B,2,FALSE)))+1)/VLOOKUP(B10082,'Poids des runes'!A:B,2,FALSE))</f>
        <v>82</v>
      </c>
      <c r="F10082">
        <f t="shared" si="157"/>
        <v>82</v>
      </c>
    </row>
    <row r="10083" spans="1:6" x14ac:dyDescent="0.3">
      <c r="A10083" t="s">
        <v>1558</v>
      </c>
      <c r="B10083" t="s">
        <v>2131</v>
      </c>
      <c r="C10083">
        <v>40.5</v>
      </c>
      <c r="D10083">
        <v>200</v>
      </c>
      <c r="E10083">
        <f>IF(OR(B10083="vi",B10083="ii",B10083="pod"),(((D10083/100)*(C10083*VLOOKUP(B10083,'Poids des runes'!A:B,2,FALSE)))+1),(((D10083/100)*(C10083*VLOOKUP(B10083,'Poids des runes'!A:B,2,FALSE)))+1)/VLOOKUP(B10083,'Poids des runes'!A:B,2,FALSE))</f>
        <v>82</v>
      </c>
      <c r="F10083">
        <f t="shared" si="157"/>
        <v>82</v>
      </c>
    </row>
    <row r="10084" spans="1:6" x14ac:dyDescent="0.3">
      <c r="A10084" t="s">
        <v>1558</v>
      </c>
      <c r="B10084" t="s">
        <v>2129</v>
      </c>
      <c r="C10084">
        <v>40.5</v>
      </c>
      <c r="D10084">
        <v>200</v>
      </c>
      <c r="E10084">
        <f>IF(OR(B10084="vi",B10084="ii",B10084="pod"),(((D10084/100)*(C10084*VLOOKUP(B10084,'Poids des runes'!A:B,2,FALSE)))+1),(((D10084/100)*(C10084*VLOOKUP(B10084,'Poids des runes'!A:B,2,FALSE)))+1)/VLOOKUP(B10084,'Poids des runes'!A:B,2,FALSE))</f>
        <v>82</v>
      </c>
      <c r="F10084">
        <f t="shared" si="157"/>
        <v>82</v>
      </c>
    </row>
    <row r="10085" spans="1:6" x14ac:dyDescent="0.3">
      <c r="A10085" t="s">
        <v>1558</v>
      </c>
      <c r="B10085" t="s">
        <v>2155</v>
      </c>
      <c r="C10085">
        <v>1</v>
      </c>
      <c r="D10085">
        <v>200</v>
      </c>
      <c r="E10085">
        <f>IF(OR(B10085="vi",B10085="ii",B10085="pod"),(((D10085/100)*(C10085*VLOOKUP(B10085,'Poids des runes'!A:B,2,FALSE)))+1),(((D10085/100)*(C10085*VLOOKUP(B10085,'Poids des runes'!A:B,2,FALSE)))+1)/VLOOKUP(B10085,'Poids des runes'!A:B,2,FALSE))</f>
        <v>2.0196078431372548</v>
      </c>
      <c r="F10085">
        <f t="shared" si="157"/>
        <v>2.0196078431372548</v>
      </c>
    </row>
    <row r="10086" spans="1:6" x14ac:dyDescent="0.3">
      <c r="A10086" t="s">
        <v>1558</v>
      </c>
      <c r="B10086" t="s">
        <v>2143</v>
      </c>
      <c r="C10086">
        <v>8.5</v>
      </c>
      <c r="D10086">
        <v>200</v>
      </c>
      <c r="E10086">
        <f>IF(OR(B10086="vi",B10086="ii",B10086="pod"),(((D10086/100)*(C10086*VLOOKUP(B10086,'Poids des runes'!A:B,2,FALSE)))+1),(((D10086/100)*(C10086*VLOOKUP(B10086,'Poids des runes'!A:B,2,FALSE)))+1)/VLOOKUP(B10086,'Poids des runes'!A:B,2,FALSE))</f>
        <v>17.2</v>
      </c>
      <c r="F10086">
        <f t="shared" si="157"/>
        <v>17.2</v>
      </c>
    </row>
    <row r="10087" spans="1:6" x14ac:dyDescent="0.3">
      <c r="A10087" t="s">
        <v>1558</v>
      </c>
      <c r="B10087" t="s">
        <v>2140</v>
      </c>
      <c r="C10087">
        <v>8.5</v>
      </c>
      <c r="D10087">
        <v>200</v>
      </c>
      <c r="E10087">
        <f>IF(OR(B10087="vi",B10087="ii",B10087="pod"),(((D10087/100)*(C10087*VLOOKUP(B10087,'Poids des runes'!A:B,2,FALSE)))+1),(((D10087/100)*(C10087*VLOOKUP(B10087,'Poids des runes'!A:B,2,FALSE)))+1)/VLOOKUP(B10087,'Poids des runes'!A:B,2,FALSE))</f>
        <v>17.2</v>
      </c>
      <c r="F10087">
        <f t="shared" si="157"/>
        <v>17.2</v>
      </c>
    </row>
    <row r="10088" spans="1:6" x14ac:dyDescent="0.3">
      <c r="A10088" t="s">
        <v>1558</v>
      </c>
      <c r="B10088" t="s">
        <v>2133</v>
      </c>
      <c r="C10088">
        <v>8.5</v>
      </c>
      <c r="D10088">
        <v>200</v>
      </c>
      <c r="E10088">
        <f>IF(OR(B10088="vi",B10088="ii",B10088="pod"),(((D10088/100)*(C10088*VLOOKUP(B10088,'Poids des runes'!A:B,2,FALSE)))+1),(((D10088/100)*(C10088*VLOOKUP(B10088,'Poids des runes'!A:B,2,FALSE)))+1)/VLOOKUP(B10088,'Poids des runes'!A:B,2,FALSE))</f>
        <v>17.2</v>
      </c>
      <c r="F10088">
        <f t="shared" si="157"/>
        <v>17.2</v>
      </c>
    </row>
    <row r="10089" spans="1:6" x14ac:dyDescent="0.3">
      <c r="A10089" t="s">
        <v>1558</v>
      </c>
      <c r="B10089" t="s">
        <v>2161</v>
      </c>
      <c r="C10089">
        <v>18</v>
      </c>
      <c r="D10089">
        <v>200</v>
      </c>
      <c r="E10089">
        <f>IF(OR(B10089="vi",B10089="ii",B10089="pod"),(((D10089/100)*(C10089*VLOOKUP(B10089,'Poids des runes'!A:B,2,FALSE)))+1),(((D10089/100)*(C10089*VLOOKUP(B10089,'Poids des runes'!A:B,2,FALSE)))+1)/VLOOKUP(B10089,'Poids des runes'!A:B,2,FALSE))</f>
        <v>36.333333333333336</v>
      </c>
      <c r="F10089">
        <f t="shared" si="157"/>
        <v>36.333333333333336</v>
      </c>
    </row>
    <row r="10090" spans="1:6" x14ac:dyDescent="0.3">
      <c r="A10090" t="s">
        <v>1558</v>
      </c>
      <c r="B10090" t="s">
        <v>2141</v>
      </c>
      <c r="C10090">
        <v>4</v>
      </c>
      <c r="D10090">
        <v>200</v>
      </c>
      <c r="E10090">
        <f>IF(OR(B10090="vi",B10090="ii",B10090="pod"),(((D10090/100)*(C10090*VLOOKUP(B10090,'Poids des runes'!A:B,2,FALSE)))+1),(((D10090/100)*(C10090*VLOOKUP(B10090,'Poids des runes'!A:B,2,FALSE)))+1)/VLOOKUP(B10090,'Poids des runes'!A:B,2,FALSE))</f>
        <v>8.25</v>
      </c>
      <c r="F10090">
        <f t="shared" si="157"/>
        <v>8.25</v>
      </c>
    </row>
    <row r="10091" spans="1:6" x14ac:dyDescent="0.3">
      <c r="A10091" t="s">
        <v>1558</v>
      </c>
      <c r="B10091" t="s">
        <v>2160</v>
      </c>
      <c r="C10091">
        <v>6</v>
      </c>
      <c r="D10091">
        <v>200</v>
      </c>
      <c r="E10091">
        <f>IF(OR(B10091="vi",B10091="ii",B10091="pod"),(((D10091/100)*(C10091*VLOOKUP(B10091,'Poids des runes'!A:B,2,FALSE)))+1),(((D10091/100)*(C10091*VLOOKUP(B10091,'Poids des runes'!A:B,2,FALSE)))+1)/VLOOKUP(B10091,'Poids des runes'!A:B,2,FALSE))</f>
        <v>12.142857142857142</v>
      </c>
      <c r="F10091">
        <f t="shared" si="157"/>
        <v>12.142857142857142</v>
      </c>
    </row>
    <row r="10092" spans="1:6" x14ac:dyDescent="0.3">
      <c r="A10092" t="s">
        <v>1558</v>
      </c>
      <c r="B10092" t="s">
        <v>2164</v>
      </c>
      <c r="C10092">
        <v>18</v>
      </c>
      <c r="D10092">
        <v>200</v>
      </c>
      <c r="E10092">
        <f>IF(OR(B10092="vi",B10092="ii",B10092="pod"),(((D10092/100)*(C10092*VLOOKUP(B10092,'Poids des runes'!A:B,2,FALSE)))+1),(((D10092/100)*(C10092*VLOOKUP(B10092,'Poids des runes'!A:B,2,FALSE)))+1)/VLOOKUP(B10092,'Poids des runes'!A:B,2,FALSE))</f>
        <v>36.5</v>
      </c>
      <c r="F10092">
        <f t="shared" si="157"/>
        <v>36.5</v>
      </c>
    </row>
    <row r="10093" spans="1:6" x14ac:dyDescent="0.3">
      <c r="A10093" t="s">
        <v>1558</v>
      </c>
      <c r="B10093" t="s">
        <v>2147</v>
      </c>
      <c r="C10093">
        <v>4</v>
      </c>
      <c r="D10093">
        <v>200</v>
      </c>
      <c r="E10093">
        <f>IF(OR(B10093="vi",B10093="ii",B10093="pod"),(((D10093/100)*(C10093*VLOOKUP(B10093,'Poids des runes'!A:B,2,FALSE)))+1),(((D10093/100)*(C10093*VLOOKUP(B10093,'Poids des runes'!A:B,2,FALSE)))+1)/VLOOKUP(B10093,'Poids des runes'!A:B,2,FALSE))</f>
        <v>8.1666666666666661</v>
      </c>
      <c r="F10093">
        <f t="shared" si="157"/>
        <v>8.1666666666666661</v>
      </c>
    </row>
    <row r="10094" spans="1:6" x14ac:dyDescent="0.3">
      <c r="A10094" t="s">
        <v>1558</v>
      </c>
      <c r="B10094" t="s">
        <v>2135</v>
      </c>
      <c r="C10094">
        <v>4</v>
      </c>
      <c r="D10094">
        <v>200</v>
      </c>
      <c r="E10094">
        <f>IF(OR(B10094="vi",B10094="ii",B10094="pod"),(((D10094/100)*(C10094*VLOOKUP(B10094,'Poids des runes'!A:B,2,FALSE)))+1),(((D10094/100)*(C10094*VLOOKUP(B10094,'Poids des runes'!A:B,2,FALSE)))+1)/VLOOKUP(B10094,'Poids des runes'!A:B,2,FALSE))</f>
        <v>8.1666666666666661</v>
      </c>
      <c r="F10094">
        <f t="shared" si="157"/>
        <v>8.1666666666666661</v>
      </c>
    </row>
    <row r="10095" spans="1:6" x14ac:dyDescent="0.3">
      <c r="A10095" t="s">
        <v>1559</v>
      </c>
      <c r="B10095" t="s">
        <v>2128</v>
      </c>
      <c r="C10095">
        <v>175.5</v>
      </c>
      <c r="D10095">
        <v>200</v>
      </c>
      <c r="E10095">
        <f>IF(OR(B10095="vi",B10095="ii",B10095="pod"),(((D10095/100)*(C10095*VLOOKUP(B10095,'Poids des runes'!A:B,2,FALSE)))+1),(((D10095/100)*(C10095*VLOOKUP(B10095,'Poids des runes'!A:B,2,FALSE)))+1)/VLOOKUP(B10095,'Poids des runes'!A:B,2,FALSE))</f>
        <v>71.2</v>
      </c>
      <c r="F10095">
        <f t="shared" si="157"/>
        <v>71.2</v>
      </c>
    </row>
    <row r="10096" spans="1:6" x14ac:dyDescent="0.3">
      <c r="A10096" t="s">
        <v>1559</v>
      </c>
      <c r="B10096" t="s">
        <v>2130</v>
      </c>
      <c r="C10096">
        <v>40.5</v>
      </c>
      <c r="D10096">
        <v>200</v>
      </c>
      <c r="E10096">
        <f>IF(OR(B10096="vi",B10096="ii",B10096="pod"),(((D10096/100)*(C10096*VLOOKUP(B10096,'Poids des runes'!A:B,2,FALSE)))+1),(((D10096/100)*(C10096*VLOOKUP(B10096,'Poids des runes'!A:B,2,FALSE)))+1)/VLOOKUP(B10096,'Poids des runes'!A:B,2,FALSE))</f>
        <v>82</v>
      </c>
      <c r="F10096">
        <f t="shared" si="157"/>
        <v>82</v>
      </c>
    </row>
    <row r="10097" spans="1:6" x14ac:dyDescent="0.3">
      <c r="A10097" t="s">
        <v>1559</v>
      </c>
      <c r="B10097" t="s">
        <v>2126</v>
      </c>
      <c r="C10097">
        <v>40.5</v>
      </c>
      <c r="D10097">
        <v>200</v>
      </c>
      <c r="E10097">
        <f>IF(OR(B10097="vi",B10097="ii",B10097="pod"),(((D10097/100)*(C10097*VLOOKUP(B10097,'Poids des runes'!A:B,2,FALSE)))+1),(((D10097/100)*(C10097*VLOOKUP(B10097,'Poids des runes'!A:B,2,FALSE)))+1)/VLOOKUP(B10097,'Poids des runes'!A:B,2,FALSE))</f>
        <v>82</v>
      </c>
      <c r="F10097">
        <f t="shared" si="157"/>
        <v>82</v>
      </c>
    </row>
    <row r="10098" spans="1:6" x14ac:dyDescent="0.3">
      <c r="A10098" t="s">
        <v>1559</v>
      </c>
      <c r="B10098" t="s">
        <v>2131</v>
      </c>
      <c r="C10098">
        <v>40.5</v>
      </c>
      <c r="D10098">
        <v>200</v>
      </c>
      <c r="E10098">
        <f>IF(OR(B10098="vi",B10098="ii",B10098="pod"),(((D10098/100)*(C10098*VLOOKUP(B10098,'Poids des runes'!A:B,2,FALSE)))+1),(((D10098/100)*(C10098*VLOOKUP(B10098,'Poids des runes'!A:B,2,FALSE)))+1)/VLOOKUP(B10098,'Poids des runes'!A:B,2,FALSE))</f>
        <v>82</v>
      </c>
      <c r="F10098">
        <f t="shared" si="157"/>
        <v>82</v>
      </c>
    </row>
    <row r="10099" spans="1:6" x14ac:dyDescent="0.3">
      <c r="A10099" t="s">
        <v>1559</v>
      </c>
      <c r="B10099" t="s">
        <v>2129</v>
      </c>
      <c r="C10099">
        <v>35.5</v>
      </c>
      <c r="D10099">
        <v>200</v>
      </c>
      <c r="E10099">
        <f>IF(OR(B10099="vi",B10099="ii",B10099="pod"),(((D10099/100)*(C10099*VLOOKUP(B10099,'Poids des runes'!A:B,2,FALSE)))+1),(((D10099/100)*(C10099*VLOOKUP(B10099,'Poids des runes'!A:B,2,FALSE)))+1)/VLOOKUP(B10099,'Poids des runes'!A:B,2,FALSE))</f>
        <v>72</v>
      </c>
      <c r="F10099">
        <f t="shared" si="157"/>
        <v>72</v>
      </c>
    </row>
    <row r="10100" spans="1:6" x14ac:dyDescent="0.3">
      <c r="A10100" t="s">
        <v>1559</v>
      </c>
      <c r="B10100" t="s">
        <v>2150</v>
      </c>
      <c r="C10100">
        <v>1.5</v>
      </c>
      <c r="D10100">
        <v>200</v>
      </c>
      <c r="E10100">
        <f>IF(OR(B10100="vi",B10100="ii",B10100="pod"),(((D10100/100)*(C10100*VLOOKUP(B10100,'Poids des runes'!A:B,2,FALSE)))+1),(((D10100/100)*(C10100*VLOOKUP(B10100,'Poids des runes'!A:B,2,FALSE)))+1)/VLOOKUP(B10100,'Poids des runes'!A:B,2,FALSE))</f>
        <v>3.0333333333333332</v>
      </c>
      <c r="F10100">
        <f t="shared" si="157"/>
        <v>3.0333333333333332</v>
      </c>
    </row>
    <row r="10101" spans="1:6" x14ac:dyDescent="0.3">
      <c r="A10101" t="s">
        <v>1559</v>
      </c>
      <c r="B10101" t="s">
        <v>2143</v>
      </c>
      <c r="C10101">
        <v>6</v>
      </c>
      <c r="D10101">
        <v>200</v>
      </c>
      <c r="E10101">
        <f>IF(OR(B10101="vi",B10101="ii",B10101="pod"),(((D10101/100)*(C10101*VLOOKUP(B10101,'Poids des runes'!A:B,2,FALSE)))+1),(((D10101/100)*(C10101*VLOOKUP(B10101,'Poids des runes'!A:B,2,FALSE)))+1)/VLOOKUP(B10101,'Poids des runes'!A:B,2,FALSE))</f>
        <v>12.2</v>
      </c>
      <c r="F10101">
        <f t="shared" si="157"/>
        <v>12.2</v>
      </c>
    </row>
    <row r="10102" spans="1:6" x14ac:dyDescent="0.3">
      <c r="A10102" t="s">
        <v>1559</v>
      </c>
      <c r="B10102" t="s">
        <v>2140</v>
      </c>
      <c r="C10102">
        <v>6</v>
      </c>
      <c r="D10102">
        <v>200</v>
      </c>
      <c r="E10102">
        <f>IF(OR(B10102="vi",B10102="ii",B10102="pod"),(((D10102/100)*(C10102*VLOOKUP(B10102,'Poids des runes'!A:B,2,FALSE)))+1),(((D10102/100)*(C10102*VLOOKUP(B10102,'Poids des runes'!A:B,2,FALSE)))+1)/VLOOKUP(B10102,'Poids des runes'!A:B,2,FALSE))</f>
        <v>12.2</v>
      </c>
      <c r="F10102">
        <f t="shared" si="157"/>
        <v>12.2</v>
      </c>
    </row>
    <row r="10103" spans="1:6" x14ac:dyDescent="0.3">
      <c r="A10103" t="s">
        <v>1559</v>
      </c>
      <c r="B10103" t="s">
        <v>2133</v>
      </c>
      <c r="C10103">
        <v>6</v>
      </c>
      <c r="D10103">
        <v>200</v>
      </c>
      <c r="E10103">
        <f>IF(OR(B10103="vi",B10103="ii",B10103="pod"),(((D10103/100)*(C10103*VLOOKUP(B10103,'Poids des runes'!A:B,2,FALSE)))+1),(((D10103/100)*(C10103*VLOOKUP(B10103,'Poids des runes'!A:B,2,FALSE)))+1)/VLOOKUP(B10103,'Poids des runes'!A:B,2,FALSE))</f>
        <v>12.2</v>
      </c>
      <c r="F10103">
        <f t="shared" si="157"/>
        <v>12.2</v>
      </c>
    </row>
    <row r="10104" spans="1:6" x14ac:dyDescent="0.3">
      <c r="A10104" t="s">
        <v>1559</v>
      </c>
      <c r="B10104" t="s">
        <v>2161</v>
      </c>
      <c r="C10104">
        <v>13</v>
      </c>
      <c r="D10104">
        <v>200</v>
      </c>
      <c r="E10104">
        <f>IF(OR(B10104="vi",B10104="ii",B10104="pod"),(((D10104/100)*(C10104*VLOOKUP(B10104,'Poids des runes'!A:B,2,FALSE)))+1),(((D10104/100)*(C10104*VLOOKUP(B10104,'Poids des runes'!A:B,2,FALSE)))+1)/VLOOKUP(B10104,'Poids des runes'!A:B,2,FALSE))</f>
        <v>26.333333333333332</v>
      </c>
      <c r="F10104">
        <f t="shared" si="157"/>
        <v>26.333333333333332</v>
      </c>
    </row>
    <row r="10105" spans="1:6" x14ac:dyDescent="0.3">
      <c r="A10105" t="s">
        <v>1559</v>
      </c>
      <c r="B10105" t="s">
        <v>2160</v>
      </c>
      <c r="C10105">
        <v>4</v>
      </c>
      <c r="D10105">
        <v>200</v>
      </c>
      <c r="E10105">
        <f>IF(OR(B10105="vi",B10105="ii",B10105="pod"),(((D10105/100)*(C10105*VLOOKUP(B10105,'Poids des runes'!A:B,2,FALSE)))+1),(((D10105/100)*(C10105*VLOOKUP(B10105,'Poids des runes'!A:B,2,FALSE)))+1)/VLOOKUP(B10105,'Poids des runes'!A:B,2,FALSE))</f>
        <v>8.1428571428571423</v>
      </c>
      <c r="F10105">
        <f t="shared" si="157"/>
        <v>8.1428571428571423</v>
      </c>
    </row>
    <row r="10106" spans="1:6" x14ac:dyDescent="0.3">
      <c r="A10106" t="s">
        <v>1559</v>
      </c>
      <c r="B10106" t="s">
        <v>2157</v>
      </c>
      <c r="C10106">
        <v>4</v>
      </c>
      <c r="D10106">
        <v>200</v>
      </c>
      <c r="E10106">
        <f>IF(OR(B10106="vi",B10106="ii",B10106="pod"),(((D10106/100)*(C10106*VLOOKUP(B10106,'Poids des runes'!A:B,2,FALSE)))+1),(((D10106/100)*(C10106*VLOOKUP(B10106,'Poids des runes'!A:B,2,FALSE)))+1)/VLOOKUP(B10106,'Poids des runes'!A:B,2,FALSE))</f>
        <v>8.1666666666666661</v>
      </c>
      <c r="F10106">
        <f t="shared" si="157"/>
        <v>8.1666666666666661</v>
      </c>
    </row>
    <row r="10107" spans="1:6" x14ac:dyDescent="0.3">
      <c r="A10107" t="s">
        <v>1560</v>
      </c>
      <c r="B10107" t="s">
        <v>2128</v>
      </c>
      <c r="C10107">
        <v>225.5</v>
      </c>
      <c r="D10107">
        <v>200</v>
      </c>
      <c r="E10107">
        <f>IF(OR(B10107="vi",B10107="ii",B10107="pod"),(((D10107/100)*(C10107*VLOOKUP(B10107,'Poids des runes'!A:B,2,FALSE)))+1),(((D10107/100)*(C10107*VLOOKUP(B10107,'Poids des runes'!A:B,2,FALSE)))+1)/VLOOKUP(B10107,'Poids des runes'!A:B,2,FALSE))</f>
        <v>91.2</v>
      </c>
      <c r="F10107">
        <f t="shared" si="157"/>
        <v>91.2</v>
      </c>
    </row>
    <row r="10108" spans="1:6" x14ac:dyDescent="0.3">
      <c r="A10108" t="s">
        <v>1560</v>
      </c>
      <c r="B10108" t="s">
        <v>2130</v>
      </c>
      <c r="C10108">
        <v>50.5</v>
      </c>
      <c r="D10108">
        <v>200</v>
      </c>
      <c r="E10108">
        <f>IF(OR(B10108="vi",B10108="ii",B10108="pod"),(((D10108/100)*(C10108*VLOOKUP(B10108,'Poids des runes'!A:B,2,FALSE)))+1),(((D10108/100)*(C10108*VLOOKUP(B10108,'Poids des runes'!A:B,2,FALSE)))+1)/VLOOKUP(B10108,'Poids des runes'!A:B,2,FALSE))</f>
        <v>102</v>
      </c>
      <c r="F10108">
        <f t="shared" si="157"/>
        <v>102</v>
      </c>
    </row>
    <row r="10109" spans="1:6" x14ac:dyDescent="0.3">
      <c r="A10109" t="s">
        <v>1560</v>
      </c>
      <c r="B10109" t="s">
        <v>2126</v>
      </c>
      <c r="C10109">
        <v>50.5</v>
      </c>
      <c r="D10109">
        <v>200</v>
      </c>
      <c r="E10109">
        <f>IF(OR(B10109="vi",B10109="ii",B10109="pod"),(((D10109/100)*(C10109*VLOOKUP(B10109,'Poids des runes'!A:B,2,FALSE)))+1),(((D10109/100)*(C10109*VLOOKUP(B10109,'Poids des runes'!A:B,2,FALSE)))+1)/VLOOKUP(B10109,'Poids des runes'!A:B,2,FALSE))</f>
        <v>102</v>
      </c>
      <c r="F10109">
        <f t="shared" si="157"/>
        <v>102</v>
      </c>
    </row>
    <row r="10110" spans="1:6" x14ac:dyDescent="0.3">
      <c r="A10110" t="s">
        <v>1560</v>
      </c>
      <c r="B10110" t="s">
        <v>2131</v>
      </c>
      <c r="C10110">
        <v>50.5</v>
      </c>
      <c r="D10110">
        <v>200</v>
      </c>
      <c r="E10110">
        <f>IF(OR(B10110="vi",B10110="ii",B10110="pod"),(((D10110/100)*(C10110*VLOOKUP(B10110,'Poids des runes'!A:B,2,FALSE)))+1),(((D10110/100)*(C10110*VLOOKUP(B10110,'Poids des runes'!A:B,2,FALSE)))+1)/VLOOKUP(B10110,'Poids des runes'!A:B,2,FALSE))</f>
        <v>102</v>
      </c>
      <c r="F10110">
        <f t="shared" si="157"/>
        <v>102</v>
      </c>
    </row>
    <row r="10111" spans="1:6" x14ac:dyDescent="0.3">
      <c r="A10111" t="s">
        <v>1560</v>
      </c>
      <c r="B10111" t="s">
        <v>2129</v>
      </c>
      <c r="C10111">
        <v>40.5</v>
      </c>
      <c r="D10111">
        <v>200</v>
      </c>
      <c r="E10111">
        <f>IF(OR(B10111="vi",B10111="ii",B10111="pod"),(((D10111/100)*(C10111*VLOOKUP(B10111,'Poids des runes'!A:B,2,FALSE)))+1),(((D10111/100)*(C10111*VLOOKUP(B10111,'Poids des runes'!A:B,2,FALSE)))+1)/VLOOKUP(B10111,'Poids des runes'!A:B,2,FALSE))</f>
        <v>82</v>
      </c>
      <c r="F10111">
        <f t="shared" si="157"/>
        <v>82</v>
      </c>
    </row>
    <row r="10112" spans="1:6" x14ac:dyDescent="0.3">
      <c r="A10112" t="s">
        <v>1560</v>
      </c>
      <c r="B10112" t="s">
        <v>2152</v>
      </c>
      <c r="C10112">
        <v>1</v>
      </c>
      <c r="D10112">
        <v>200</v>
      </c>
      <c r="E10112">
        <f>IF(OR(B10112="vi",B10112="ii",B10112="pod"),(((D10112/100)*(C10112*VLOOKUP(B10112,'Poids des runes'!A:B,2,FALSE)))+1),(((D10112/100)*(C10112*VLOOKUP(B10112,'Poids des runes'!A:B,2,FALSE)))+1)/VLOOKUP(B10112,'Poids des runes'!A:B,2,FALSE))</f>
        <v>2.0099999999999998</v>
      </c>
      <c r="F10112">
        <f t="shared" si="157"/>
        <v>2.0099999999999998</v>
      </c>
    </row>
    <row r="10113" spans="1:6" x14ac:dyDescent="0.3">
      <c r="A10113" t="s">
        <v>1560</v>
      </c>
      <c r="B10113" t="s">
        <v>2143</v>
      </c>
      <c r="C10113">
        <v>10.5</v>
      </c>
      <c r="D10113">
        <v>200</v>
      </c>
      <c r="E10113">
        <f>IF(OR(B10113="vi",B10113="ii",B10113="pod"),(((D10113/100)*(C10113*VLOOKUP(B10113,'Poids des runes'!A:B,2,FALSE)))+1),(((D10113/100)*(C10113*VLOOKUP(B10113,'Poids des runes'!A:B,2,FALSE)))+1)/VLOOKUP(B10113,'Poids des runes'!A:B,2,FALSE))</f>
        <v>21.2</v>
      </c>
      <c r="F10113">
        <f t="shared" si="157"/>
        <v>21.2</v>
      </c>
    </row>
    <row r="10114" spans="1:6" x14ac:dyDescent="0.3">
      <c r="A10114" t="s">
        <v>1560</v>
      </c>
      <c r="B10114" t="s">
        <v>2140</v>
      </c>
      <c r="C10114">
        <v>10.5</v>
      </c>
      <c r="D10114">
        <v>200</v>
      </c>
      <c r="E10114">
        <f>IF(OR(B10114="vi",B10114="ii",B10114="pod"),(((D10114/100)*(C10114*VLOOKUP(B10114,'Poids des runes'!A:B,2,FALSE)))+1),(((D10114/100)*(C10114*VLOOKUP(B10114,'Poids des runes'!A:B,2,FALSE)))+1)/VLOOKUP(B10114,'Poids des runes'!A:B,2,FALSE))</f>
        <v>21.2</v>
      </c>
      <c r="F10114">
        <f t="shared" si="157"/>
        <v>21.2</v>
      </c>
    </row>
    <row r="10115" spans="1:6" x14ac:dyDescent="0.3">
      <c r="A10115" t="s">
        <v>1560</v>
      </c>
      <c r="B10115" t="s">
        <v>2133</v>
      </c>
      <c r="C10115">
        <v>10.5</v>
      </c>
      <c r="D10115">
        <v>200</v>
      </c>
      <c r="E10115">
        <f>IF(OR(B10115="vi",B10115="ii",B10115="pod"),(((D10115/100)*(C10115*VLOOKUP(B10115,'Poids des runes'!A:B,2,FALSE)))+1),(((D10115/100)*(C10115*VLOOKUP(B10115,'Poids des runes'!A:B,2,FALSE)))+1)/VLOOKUP(B10115,'Poids des runes'!A:B,2,FALSE))</f>
        <v>21.2</v>
      </c>
      <c r="F10115">
        <f t="shared" ref="F10115:F10178" si="158">E10115</f>
        <v>21.2</v>
      </c>
    </row>
    <row r="10116" spans="1:6" x14ac:dyDescent="0.3">
      <c r="A10116" t="s">
        <v>1560</v>
      </c>
      <c r="B10116" t="s">
        <v>2161</v>
      </c>
      <c r="C10116">
        <v>13</v>
      </c>
      <c r="D10116">
        <v>200</v>
      </c>
      <c r="E10116">
        <f>IF(OR(B10116="vi",B10116="ii",B10116="pod"),(((D10116/100)*(C10116*VLOOKUP(B10116,'Poids des runes'!A:B,2,FALSE)))+1),(((D10116/100)*(C10116*VLOOKUP(B10116,'Poids des runes'!A:B,2,FALSE)))+1)/VLOOKUP(B10116,'Poids des runes'!A:B,2,FALSE))</f>
        <v>26.333333333333332</v>
      </c>
      <c r="F10116">
        <f t="shared" si="158"/>
        <v>26.333333333333332</v>
      </c>
    </row>
    <row r="10117" spans="1:6" x14ac:dyDescent="0.3">
      <c r="A10117" t="s">
        <v>1560</v>
      </c>
      <c r="B10117" t="s">
        <v>2141</v>
      </c>
      <c r="C10117">
        <v>3.5</v>
      </c>
      <c r="D10117">
        <v>200</v>
      </c>
      <c r="E10117">
        <f>IF(OR(B10117="vi",B10117="ii",B10117="pod"),(((D10117/100)*(C10117*VLOOKUP(B10117,'Poids des runes'!A:B,2,FALSE)))+1),(((D10117/100)*(C10117*VLOOKUP(B10117,'Poids des runes'!A:B,2,FALSE)))+1)/VLOOKUP(B10117,'Poids des runes'!A:B,2,FALSE))</f>
        <v>7.25</v>
      </c>
      <c r="F10117">
        <f t="shared" si="158"/>
        <v>7.25</v>
      </c>
    </row>
    <row r="10118" spans="1:6" x14ac:dyDescent="0.3">
      <c r="A10118" t="s">
        <v>1560</v>
      </c>
      <c r="B10118" t="s">
        <v>2164</v>
      </c>
      <c r="C10118">
        <v>13</v>
      </c>
      <c r="D10118">
        <v>200</v>
      </c>
      <c r="E10118">
        <f>IF(OR(B10118="vi",B10118="ii",B10118="pod"),(((D10118/100)*(C10118*VLOOKUP(B10118,'Poids des runes'!A:B,2,FALSE)))+1),(((D10118/100)*(C10118*VLOOKUP(B10118,'Poids des runes'!A:B,2,FALSE)))+1)/VLOOKUP(B10118,'Poids des runes'!A:B,2,FALSE))</f>
        <v>26.5</v>
      </c>
      <c r="F10118">
        <f t="shared" si="158"/>
        <v>26.5</v>
      </c>
    </row>
    <row r="10119" spans="1:6" x14ac:dyDescent="0.3">
      <c r="A10119" t="s">
        <v>1560</v>
      </c>
      <c r="B10119" t="s">
        <v>2156</v>
      </c>
      <c r="C10119">
        <v>5</v>
      </c>
      <c r="D10119">
        <v>200</v>
      </c>
      <c r="E10119">
        <f>IF(OR(B10119="vi",B10119="ii",B10119="pod"),(((D10119/100)*(C10119*VLOOKUP(B10119,'Poids des runes'!A:B,2,FALSE)))+1),(((D10119/100)*(C10119*VLOOKUP(B10119,'Poids des runes'!A:B,2,FALSE)))+1)/VLOOKUP(B10119,'Poids des runes'!A:B,2,FALSE))</f>
        <v>10.166666666666666</v>
      </c>
      <c r="F10119">
        <f t="shared" si="158"/>
        <v>10.166666666666666</v>
      </c>
    </row>
    <row r="10120" spans="1:6" x14ac:dyDescent="0.3">
      <c r="A10120" t="s">
        <v>1560</v>
      </c>
      <c r="B10120" t="s">
        <v>2147</v>
      </c>
      <c r="C10120">
        <v>3.5</v>
      </c>
      <c r="D10120">
        <v>200</v>
      </c>
      <c r="E10120">
        <f>IF(OR(B10120="vi",B10120="ii",B10120="pod"),(((D10120/100)*(C10120*VLOOKUP(B10120,'Poids des runes'!A:B,2,FALSE)))+1),(((D10120/100)*(C10120*VLOOKUP(B10120,'Poids des runes'!A:B,2,FALSE)))+1)/VLOOKUP(B10120,'Poids des runes'!A:B,2,FALSE))</f>
        <v>7.166666666666667</v>
      </c>
      <c r="F10120">
        <f t="shared" si="158"/>
        <v>7.166666666666667</v>
      </c>
    </row>
    <row r="10121" spans="1:6" x14ac:dyDescent="0.3">
      <c r="A10121" t="s">
        <v>1561</v>
      </c>
      <c r="B10121" t="s">
        <v>2128</v>
      </c>
      <c r="C10121">
        <v>375.5</v>
      </c>
      <c r="D10121">
        <v>200</v>
      </c>
      <c r="E10121">
        <f>IF(OR(B10121="vi",B10121="ii",B10121="pod"),(((D10121/100)*(C10121*VLOOKUP(B10121,'Poids des runes'!A:B,2,FALSE)))+1),(((D10121/100)*(C10121*VLOOKUP(B10121,'Poids des runes'!A:B,2,FALSE)))+1)/VLOOKUP(B10121,'Poids des runes'!A:B,2,FALSE))</f>
        <v>151.20000000000002</v>
      </c>
      <c r="F10121">
        <f t="shared" si="158"/>
        <v>151.20000000000002</v>
      </c>
    </row>
    <row r="10122" spans="1:6" x14ac:dyDescent="0.3">
      <c r="A10122" t="s">
        <v>1561</v>
      </c>
      <c r="B10122" t="s">
        <v>2131</v>
      </c>
      <c r="C10122">
        <v>60.5</v>
      </c>
      <c r="D10122">
        <v>200</v>
      </c>
      <c r="E10122">
        <f>IF(OR(B10122="vi",B10122="ii",B10122="pod"),(((D10122/100)*(C10122*VLOOKUP(B10122,'Poids des runes'!A:B,2,FALSE)))+1),(((D10122/100)*(C10122*VLOOKUP(B10122,'Poids des runes'!A:B,2,FALSE)))+1)/VLOOKUP(B10122,'Poids des runes'!A:B,2,FALSE))</f>
        <v>122</v>
      </c>
      <c r="F10122">
        <f t="shared" si="158"/>
        <v>122</v>
      </c>
    </row>
    <row r="10123" spans="1:6" x14ac:dyDescent="0.3">
      <c r="A10123" t="s">
        <v>1561</v>
      </c>
      <c r="B10123" t="s">
        <v>2127</v>
      </c>
      <c r="C10123">
        <v>60.5</v>
      </c>
      <c r="D10123">
        <v>200</v>
      </c>
      <c r="E10123">
        <f>IF(OR(B10123="vi",B10123="ii",B10123="pod"),(((D10123/100)*(C10123*VLOOKUP(B10123,'Poids des runes'!A:B,2,FALSE)))+1),(((D10123/100)*(C10123*VLOOKUP(B10123,'Poids des runes'!A:B,2,FALSE)))+1)/VLOOKUP(B10123,'Poids des runes'!A:B,2,FALSE))</f>
        <v>122</v>
      </c>
      <c r="F10123">
        <f t="shared" si="158"/>
        <v>122</v>
      </c>
    </row>
    <row r="10124" spans="1:6" x14ac:dyDescent="0.3">
      <c r="A10124" t="s">
        <v>1561</v>
      </c>
      <c r="B10124" t="s">
        <v>2129</v>
      </c>
      <c r="C10124">
        <v>35.5</v>
      </c>
      <c r="D10124">
        <v>200</v>
      </c>
      <c r="E10124">
        <f>IF(OR(B10124="vi",B10124="ii",B10124="pod"),(((D10124/100)*(C10124*VLOOKUP(B10124,'Poids des runes'!A:B,2,FALSE)))+1),(((D10124/100)*(C10124*VLOOKUP(B10124,'Poids des runes'!A:B,2,FALSE)))+1)/VLOOKUP(B10124,'Poids des runes'!A:B,2,FALSE))</f>
        <v>72</v>
      </c>
      <c r="F10124">
        <f t="shared" si="158"/>
        <v>72</v>
      </c>
    </row>
    <row r="10125" spans="1:6" x14ac:dyDescent="0.3">
      <c r="A10125" t="s">
        <v>1561</v>
      </c>
      <c r="B10125" t="s">
        <v>2151</v>
      </c>
      <c r="C10125">
        <v>4</v>
      </c>
      <c r="D10125">
        <v>200</v>
      </c>
      <c r="E10125">
        <f>IF(OR(B10125="vi",B10125="ii",B10125="pod"),(((D10125/100)*(C10125*VLOOKUP(B10125,'Poids des runes'!A:B,2,FALSE)))+1),(((D10125/100)*(C10125*VLOOKUP(B10125,'Poids des runes'!A:B,2,FALSE)))+1)/VLOOKUP(B10125,'Poids des runes'!A:B,2,FALSE))</f>
        <v>8.1</v>
      </c>
      <c r="F10125">
        <f t="shared" si="158"/>
        <v>8.1</v>
      </c>
    </row>
    <row r="10126" spans="1:6" x14ac:dyDescent="0.3">
      <c r="A10126" t="s">
        <v>1561</v>
      </c>
      <c r="B10126" t="s">
        <v>2155</v>
      </c>
      <c r="C10126">
        <v>1</v>
      </c>
      <c r="D10126">
        <v>200</v>
      </c>
      <c r="E10126">
        <f>IF(OR(B10126="vi",B10126="ii",B10126="pod"),(((D10126/100)*(C10126*VLOOKUP(B10126,'Poids des runes'!A:B,2,FALSE)))+1),(((D10126/100)*(C10126*VLOOKUP(B10126,'Poids des runes'!A:B,2,FALSE)))+1)/VLOOKUP(B10126,'Poids des runes'!A:B,2,FALSE))</f>
        <v>2.0196078431372548</v>
      </c>
      <c r="F10126">
        <f t="shared" si="158"/>
        <v>2.0196078431372548</v>
      </c>
    </row>
    <row r="10127" spans="1:6" x14ac:dyDescent="0.3">
      <c r="A10127" t="s">
        <v>1561</v>
      </c>
      <c r="B10127" t="s">
        <v>2133</v>
      </c>
      <c r="C10127">
        <v>13</v>
      </c>
      <c r="D10127">
        <v>200</v>
      </c>
      <c r="E10127">
        <f>IF(OR(B10127="vi",B10127="ii",B10127="pod"),(((D10127/100)*(C10127*VLOOKUP(B10127,'Poids des runes'!A:B,2,FALSE)))+1),(((D10127/100)*(C10127*VLOOKUP(B10127,'Poids des runes'!A:B,2,FALSE)))+1)/VLOOKUP(B10127,'Poids des runes'!A:B,2,FALSE))</f>
        <v>26.2</v>
      </c>
      <c r="F10127">
        <f t="shared" si="158"/>
        <v>26.2</v>
      </c>
    </row>
    <row r="10128" spans="1:6" x14ac:dyDescent="0.3">
      <c r="A10128" t="s">
        <v>1561</v>
      </c>
      <c r="B10128" t="s">
        <v>2153</v>
      </c>
      <c r="C10128">
        <v>13</v>
      </c>
      <c r="D10128">
        <v>200</v>
      </c>
      <c r="E10128">
        <f>IF(OR(B10128="vi",B10128="ii",B10128="pod"),(((D10128/100)*(C10128*VLOOKUP(B10128,'Poids des runes'!A:B,2,FALSE)))+1),(((D10128/100)*(C10128*VLOOKUP(B10128,'Poids des runes'!A:B,2,FALSE)))+1)/VLOOKUP(B10128,'Poids des runes'!A:B,2,FALSE))</f>
        <v>26.2</v>
      </c>
      <c r="F10128">
        <f t="shared" si="158"/>
        <v>26.2</v>
      </c>
    </row>
    <row r="10129" spans="1:6" x14ac:dyDescent="0.3">
      <c r="A10129" t="s">
        <v>1561</v>
      </c>
      <c r="B10129" t="s">
        <v>2161</v>
      </c>
      <c r="C10129">
        <v>13</v>
      </c>
      <c r="D10129">
        <v>200</v>
      </c>
      <c r="E10129">
        <f>IF(OR(B10129="vi",B10129="ii",B10129="pod"),(((D10129/100)*(C10129*VLOOKUP(B10129,'Poids des runes'!A:B,2,FALSE)))+1),(((D10129/100)*(C10129*VLOOKUP(B10129,'Poids des runes'!A:B,2,FALSE)))+1)/VLOOKUP(B10129,'Poids des runes'!A:B,2,FALSE))</f>
        <v>26.333333333333332</v>
      </c>
      <c r="F10129">
        <f t="shared" si="158"/>
        <v>26.333333333333332</v>
      </c>
    </row>
    <row r="10130" spans="1:6" x14ac:dyDescent="0.3">
      <c r="A10130" t="s">
        <v>1561</v>
      </c>
      <c r="B10130" t="s">
        <v>2141</v>
      </c>
      <c r="C10130">
        <v>8.5</v>
      </c>
      <c r="D10130">
        <v>200</v>
      </c>
      <c r="E10130">
        <f>IF(OR(B10130="vi",B10130="ii",B10130="pod"),(((D10130/100)*(C10130*VLOOKUP(B10130,'Poids des runes'!A:B,2,FALSE)))+1),(((D10130/100)*(C10130*VLOOKUP(B10130,'Poids des runes'!A:B,2,FALSE)))+1)/VLOOKUP(B10130,'Poids des runes'!A:B,2,FALSE))</f>
        <v>17.25</v>
      </c>
      <c r="F10130">
        <f t="shared" si="158"/>
        <v>17.25</v>
      </c>
    </row>
    <row r="10131" spans="1:6" x14ac:dyDescent="0.3">
      <c r="A10131" t="s">
        <v>1561</v>
      </c>
      <c r="B10131" t="s">
        <v>2158</v>
      </c>
      <c r="C10131">
        <v>8.5</v>
      </c>
      <c r="D10131">
        <v>200</v>
      </c>
      <c r="E10131">
        <f>IF(OR(B10131="vi",B10131="ii",B10131="pod"),(((D10131/100)*(C10131*VLOOKUP(B10131,'Poids des runes'!A:B,2,FALSE)))+1),(((D10131/100)*(C10131*VLOOKUP(B10131,'Poids des runes'!A:B,2,FALSE)))+1)/VLOOKUP(B10131,'Poids des runes'!A:B,2,FALSE))</f>
        <v>17.2</v>
      </c>
      <c r="F10131">
        <f t="shared" si="158"/>
        <v>17.2</v>
      </c>
    </row>
    <row r="10132" spans="1:6" x14ac:dyDescent="0.3">
      <c r="A10132" t="s">
        <v>1561</v>
      </c>
      <c r="B10132" t="s">
        <v>2147</v>
      </c>
      <c r="C10132">
        <v>6</v>
      </c>
      <c r="D10132">
        <v>200</v>
      </c>
      <c r="E10132">
        <f>IF(OR(B10132="vi",B10132="ii",B10132="pod"),(((D10132/100)*(C10132*VLOOKUP(B10132,'Poids des runes'!A:B,2,FALSE)))+1),(((D10132/100)*(C10132*VLOOKUP(B10132,'Poids des runes'!A:B,2,FALSE)))+1)/VLOOKUP(B10132,'Poids des runes'!A:B,2,FALSE))</f>
        <v>12.166666666666666</v>
      </c>
      <c r="F10132">
        <f t="shared" si="158"/>
        <v>12.166666666666666</v>
      </c>
    </row>
    <row r="10133" spans="1:6" x14ac:dyDescent="0.3">
      <c r="A10133" t="s">
        <v>1561</v>
      </c>
      <c r="B10133" t="s">
        <v>2157</v>
      </c>
      <c r="C10133">
        <v>4</v>
      </c>
      <c r="D10133">
        <v>200</v>
      </c>
      <c r="E10133">
        <f>IF(OR(B10133="vi",B10133="ii",B10133="pod"),(((D10133/100)*(C10133*VLOOKUP(B10133,'Poids des runes'!A:B,2,FALSE)))+1),(((D10133/100)*(C10133*VLOOKUP(B10133,'Poids des runes'!A:B,2,FALSE)))+1)/VLOOKUP(B10133,'Poids des runes'!A:B,2,FALSE))</f>
        <v>8.1666666666666661</v>
      </c>
      <c r="F10133">
        <f t="shared" si="158"/>
        <v>8.1666666666666661</v>
      </c>
    </row>
    <row r="10134" spans="1:6" x14ac:dyDescent="0.3">
      <c r="A10134" t="s">
        <v>1562</v>
      </c>
      <c r="B10134" t="s">
        <v>2128</v>
      </c>
      <c r="C10134">
        <v>325.5</v>
      </c>
      <c r="D10134">
        <v>200</v>
      </c>
      <c r="E10134">
        <f>IF(OR(B10134="vi",B10134="ii",B10134="pod"),(((D10134/100)*(C10134*VLOOKUP(B10134,'Poids des runes'!A:B,2,FALSE)))+1),(((D10134/100)*(C10134*VLOOKUP(B10134,'Poids des runes'!A:B,2,FALSE)))+1)/VLOOKUP(B10134,'Poids des runes'!A:B,2,FALSE))</f>
        <v>131.20000000000002</v>
      </c>
      <c r="F10134">
        <f t="shared" si="158"/>
        <v>131.20000000000002</v>
      </c>
    </row>
    <row r="10135" spans="1:6" x14ac:dyDescent="0.3">
      <c r="A10135" t="s">
        <v>1562</v>
      </c>
      <c r="B10135" t="s">
        <v>2131</v>
      </c>
      <c r="C10135">
        <v>40.5</v>
      </c>
      <c r="D10135">
        <v>200</v>
      </c>
      <c r="E10135">
        <f>IF(OR(B10135="vi",B10135="ii",B10135="pod"),(((D10135/100)*(C10135*VLOOKUP(B10135,'Poids des runes'!A:B,2,FALSE)))+1),(((D10135/100)*(C10135*VLOOKUP(B10135,'Poids des runes'!A:B,2,FALSE)))+1)/VLOOKUP(B10135,'Poids des runes'!A:B,2,FALSE))</f>
        <v>82</v>
      </c>
      <c r="F10135">
        <f t="shared" si="158"/>
        <v>82</v>
      </c>
    </row>
    <row r="10136" spans="1:6" x14ac:dyDescent="0.3">
      <c r="A10136" t="s">
        <v>1562</v>
      </c>
      <c r="B10136" t="s">
        <v>2127</v>
      </c>
      <c r="C10136">
        <v>40.5</v>
      </c>
      <c r="D10136">
        <v>200</v>
      </c>
      <c r="E10136">
        <f>IF(OR(B10136="vi",B10136="ii",B10136="pod"),(((D10136/100)*(C10136*VLOOKUP(B10136,'Poids des runes'!A:B,2,FALSE)))+1),(((D10136/100)*(C10136*VLOOKUP(B10136,'Poids des runes'!A:B,2,FALSE)))+1)/VLOOKUP(B10136,'Poids des runes'!A:B,2,FALSE))</f>
        <v>82</v>
      </c>
      <c r="F10136">
        <f t="shared" si="158"/>
        <v>82</v>
      </c>
    </row>
    <row r="10137" spans="1:6" x14ac:dyDescent="0.3">
      <c r="A10137" t="s">
        <v>1562</v>
      </c>
      <c r="B10137" t="s">
        <v>2129</v>
      </c>
      <c r="C10137">
        <v>40.5</v>
      </c>
      <c r="D10137">
        <v>200</v>
      </c>
      <c r="E10137">
        <f>IF(OR(B10137="vi",B10137="ii",B10137="pod"),(((D10137/100)*(C10137*VLOOKUP(B10137,'Poids des runes'!A:B,2,FALSE)))+1),(((D10137/100)*(C10137*VLOOKUP(B10137,'Poids des runes'!A:B,2,FALSE)))+1)/VLOOKUP(B10137,'Poids des runes'!A:B,2,FALSE))</f>
        <v>82</v>
      </c>
      <c r="F10137">
        <f t="shared" si="158"/>
        <v>82</v>
      </c>
    </row>
    <row r="10138" spans="1:6" x14ac:dyDescent="0.3">
      <c r="A10138" t="s">
        <v>1562</v>
      </c>
      <c r="B10138" t="s">
        <v>2151</v>
      </c>
      <c r="C10138">
        <v>3.5</v>
      </c>
      <c r="D10138">
        <v>200</v>
      </c>
      <c r="E10138">
        <f>IF(OR(B10138="vi",B10138="ii",B10138="pod"),(((D10138/100)*(C10138*VLOOKUP(B10138,'Poids des runes'!A:B,2,FALSE)))+1),(((D10138/100)*(C10138*VLOOKUP(B10138,'Poids des runes'!A:B,2,FALSE)))+1)/VLOOKUP(B10138,'Poids des runes'!A:B,2,FALSE))</f>
        <v>7.1</v>
      </c>
      <c r="F10138">
        <f t="shared" si="158"/>
        <v>7.1</v>
      </c>
    </row>
    <row r="10139" spans="1:6" x14ac:dyDescent="0.3">
      <c r="A10139" t="s">
        <v>1562</v>
      </c>
      <c r="B10139" t="s">
        <v>2133</v>
      </c>
      <c r="C10139">
        <v>10.5</v>
      </c>
      <c r="D10139">
        <v>200</v>
      </c>
      <c r="E10139">
        <f>IF(OR(B10139="vi",B10139="ii",B10139="pod"),(((D10139/100)*(C10139*VLOOKUP(B10139,'Poids des runes'!A:B,2,FALSE)))+1),(((D10139/100)*(C10139*VLOOKUP(B10139,'Poids des runes'!A:B,2,FALSE)))+1)/VLOOKUP(B10139,'Poids des runes'!A:B,2,FALSE))</f>
        <v>21.2</v>
      </c>
      <c r="F10139">
        <f t="shared" si="158"/>
        <v>21.2</v>
      </c>
    </row>
    <row r="10140" spans="1:6" x14ac:dyDescent="0.3">
      <c r="A10140" t="s">
        <v>1562</v>
      </c>
      <c r="B10140" t="s">
        <v>2153</v>
      </c>
      <c r="C10140">
        <v>10.5</v>
      </c>
      <c r="D10140">
        <v>200</v>
      </c>
      <c r="E10140">
        <f>IF(OR(B10140="vi",B10140="ii",B10140="pod"),(((D10140/100)*(C10140*VLOOKUP(B10140,'Poids des runes'!A:B,2,FALSE)))+1),(((D10140/100)*(C10140*VLOOKUP(B10140,'Poids des runes'!A:B,2,FALSE)))+1)/VLOOKUP(B10140,'Poids des runes'!A:B,2,FALSE))</f>
        <v>21.2</v>
      </c>
      <c r="F10140">
        <f t="shared" si="158"/>
        <v>21.2</v>
      </c>
    </row>
    <row r="10141" spans="1:6" x14ac:dyDescent="0.3">
      <c r="A10141" t="s">
        <v>1562</v>
      </c>
      <c r="B10141" t="s">
        <v>2161</v>
      </c>
      <c r="C10141">
        <v>18</v>
      </c>
      <c r="D10141">
        <v>200</v>
      </c>
      <c r="E10141">
        <f>IF(OR(B10141="vi",B10141="ii",B10141="pod"),(((D10141/100)*(C10141*VLOOKUP(B10141,'Poids des runes'!A:B,2,FALSE)))+1),(((D10141/100)*(C10141*VLOOKUP(B10141,'Poids des runes'!A:B,2,FALSE)))+1)/VLOOKUP(B10141,'Poids des runes'!A:B,2,FALSE))</f>
        <v>36.333333333333336</v>
      </c>
      <c r="F10141">
        <f t="shared" si="158"/>
        <v>36.333333333333336</v>
      </c>
    </row>
    <row r="10142" spans="1:6" x14ac:dyDescent="0.3">
      <c r="A10142" t="s">
        <v>1562</v>
      </c>
      <c r="B10142" t="s">
        <v>2141</v>
      </c>
      <c r="C10142">
        <v>6.5</v>
      </c>
      <c r="D10142">
        <v>200</v>
      </c>
      <c r="E10142">
        <f>IF(OR(B10142="vi",B10142="ii",B10142="pod"),(((D10142/100)*(C10142*VLOOKUP(B10142,'Poids des runes'!A:B,2,FALSE)))+1),(((D10142/100)*(C10142*VLOOKUP(B10142,'Poids des runes'!A:B,2,FALSE)))+1)/VLOOKUP(B10142,'Poids des runes'!A:B,2,FALSE))</f>
        <v>13.25</v>
      </c>
      <c r="F10142">
        <f t="shared" si="158"/>
        <v>13.25</v>
      </c>
    </row>
    <row r="10143" spans="1:6" x14ac:dyDescent="0.3">
      <c r="A10143" t="s">
        <v>1562</v>
      </c>
      <c r="B10143" t="s">
        <v>2158</v>
      </c>
      <c r="C10143">
        <v>8.5</v>
      </c>
      <c r="D10143">
        <v>200</v>
      </c>
      <c r="E10143">
        <f>IF(OR(B10143="vi",B10143="ii",B10143="pod"),(((D10143/100)*(C10143*VLOOKUP(B10143,'Poids des runes'!A:B,2,FALSE)))+1),(((D10143/100)*(C10143*VLOOKUP(B10143,'Poids des runes'!A:B,2,FALSE)))+1)/VLOOKUP(B10143,'Poids des runes'!A:B,2,FALSE))</f>
        <v>17.2</v>
      </c>
      <c r="F10143">
        <f t="shared" si="158"/>
        <v>17.2</v>
      </c>
    </row>
    <row r="10144" spans="1:6" x14ac:dyDescent="0.3">
      <c r="A10144" t="s">
        <v>1562</v>
      </c>
      <c r="B10144" t="s">
        <v>2148</v>
      </c>
      <c r="C10144">
        <v>3.5</v>
      </c>
      <c r="D10144">
        <v>200</v>
      </c>
      <c r="E10144">
        <f>IF(OR(B10144="vi",B10144="ii",B10144="pod"),(((D10144/100)*(C10144*VLOOKUP(B10144,'Poids des runes'!A:B,2,FALSE)))+1),(((D10144/100)*(C10144*VLOOKUP(B10144,'Poids des runes'!A:B,2,FALSE)))+1)/VLOOKUP(B10144,'Poids des runes'!A:B,2,FALSE))</f>
        <v>7.166666666666667</v>
      </c>
      <c r="F10144">
        <f t="shared" si="158"/>
        <v>7.166666666666667</v>
      </c>
    </row>
    <row r="10145" spans="1:6" x14ac:dyDescent="0.3">
      <c r="A10145" t="s">
        <v>1562</v>
      </c>
      <c r="B10145" t="s">
        <v>2147</v>
      </c>
      <c r="C10145">
        <v>3.5</v>
      </c>
      <c r="D10145">
        <v>200</v>
      </c>
      <c r="E10145">
        <f>IF(OR(B10145="vi",B10145="ii",B10145="pod"),(((D10145/100)*(C10145*VLOOKUP(B10145,'Poids des runes'!A:B,2,FALSE)))+1),(((D10145/100)*(C10145*VLOOKUP(B10145,'Poids des runes'!A:B,2,FALSE)))+1)/VLOOKUP(B10145,'Poids des runes'!A:B,2,FALSE))</f>
        <v>7.166666666666667</v>
      </c>
      <c r="F10145">
        <f t="shared" si="158"/>
        <v>7.166666666666667</v>
      </c>
    </row>
    <row r="10146" spans="1:6" x14ac:dyDescent="0.3">
      <c r="A10146" t="s">
        <v>1562</v>
      </c>
      <c r="B10146" t="s">
        <v>2157</v>
      </c>
      <c r="C10146">
        <v>8.5</v>
      </c>
      <c r="D10146">
        <v>200</v>
      </c>
      <c r="E10146">
        <f>IF(OR(B10146="vi",B10146="ii",B10146="pod"),(((D10146/100)*(C10146*VLOOKUP(B10146,'Poids des runes'!A:B,2,FALSE)))+1),(((D10146/100)*(C10146*VLOOKUP(B10146,'Poids des runes'!A:B,2,FALSE)))+1)/VLOOKUP(B10146,'Poids des runes'!A:B,2,FALSE))</f>
        <v>17.166666666666668</v>
      </c>
      <c r="F10146">
        <f t="shared" si="158"/>
        <v>17.166666666666668</v>
      </c>
    </row>
    <row r="10147" spans="1:6" x14ac:dyDescent="0.3">
      <c r="A10147" t="s">
        <v>1563</v>
      </c>
      <c r="B10147" t="s">
        <v>2128</v>
      </c>
      <c r="C10147">
        <v>325.5</v>
      </c>
      <c r="D10147">
        <v>200</v>
      </c>
      <c r="E10147">
        <f>IF(OR(B10147="vi",B10147="ii",B10147="pod"),(((D10147/100)*(C10147*VLOOKUP(B10147,'Poids des runes'!A:B,2,FALSE)))+1),(((D10147/100)*(C10147*VLOOKUP(B10147,'Poids des runes'!A:B,2,FALSE)))+1)/VLOOKUP(B10147,'Poids des runes'!A:B,2,FALSE))</f>
        <v>131.20000000000002</v>
      </c>
      <c r="F10147">
        <f t="shared" si="158"/>
        <v>131.20000000000002</v>
      </c>
    </row>
    <row r="10148" spans="1:6" x14ac:dyDescent="0.3">
      <c r="A10148" t="s">
        <v>1563</v>
      </c>
      <c r="B10148" t="s">
        <v>2131</v>
      </c>
      <c r="C10148">
        <v>60.5</v>
      </c>
      <c r="D10148">
        <v>200</v>
      </c>
      <c r="E10148">
        <f>IF(OR(B10148="vi",B10148="ii",B10148="pod"),(((D10148/100)*(C10148*VLOOKUP(B10148,'Poids des runes'!A:B,2,FALSE)))+1),(((D10148/100)*(C10148*VLOOKUP(B10148,'Poids des runes'!A:B,2,FALSE)))+1)/VLOOKUP(B10148,'Poids des runes'!A:B,2,FALSE))</f>
        <v>122</v>
      </c>
      <c r="F10148">
        <f t="shared" si="158"/>
        <v>122</v>
      </c>
    </row>
    <row r="10149" spans="1:6" x14ac:dyDescent="0.3">
      <c r="A10149" t="s">
        <v>1563</v>
      </c>
      <c r="B10149" t="s">
        <v>2127</v>
      </c>
      <c r="C10149">
        <v>60.5</v>
      </c>
      <c r="D10149">
        <v>200</v>
      </c>
      <c r="E10149">
        <f>IF(OR(B10149="vi",B10149="ii",B10149="pod"),(((D10149/100)*(C10149*VLOOKUP(B10149,'Poids des runes'!A:B,2,FALSE)))+1),(((D10149/100)*(C10149*VLOOKUP(B10149,'Poids des runes'!A:B,2,FALSE)))+1)/VLOOKUP(B10149,'Poids des runes'!A:B,2,FALSE))</f>
        <v>122</v>
      </c>
      <c r="F10149">
        <f t="shared" si="158"/>
        <v>122</v>
      </c>
    </row>
    <row r="10150" spans="1:6" x14ac:dyDescent="0.3">
      <c r="A10150" t="s">
        <v>1563</v>
      </c>
      <c r="B10150" t="s">
        <v>2129</v>
      </c>
      <c r="C10150">
        <v>35.5</v>
      </c>
      <c r="D10150">
        <v>200</v>
      </c>
      <c r="E10150">
        <f>IF(OR(B10150="vi",B10150="ii",B10150="pod"),(((D10150/100)*(C10150*VLOOKUP(B10150,'Poids des runes'!A:B,2,FALSE)))+1),(((D10150/100)*(C10150*VLOOKUP(B10150,'Poids des runes'!A:B,2,FALSE)))+1)/VLOOKUP(B10150,'Poids des runes'!A:B,2,FALSE))</f>
        <v>72</v>
      </c>
      <c r="F10150">
        <f t="shared" si="158"/>
        <v>72</v>
      </c>
    </row>
    <row r="10151" spans="1:6" x14ac:dyDescent="0.3">
      <c r="A10151" t="s">
        <v>1563</v>
      </c>
      <c r="B10151" t="s">
        <v>2151</v>
      </c>
      <c r="C10151">
        <v>5</v>
      </c>
      <c r="D10151">
        <v>200</v>
      </c>
      <c r="E10151">
        <f>IF(OR(B10151="vi",B10151="ii",B10151="pod"),(((D10151/100)*(C10151*VLOOKUP(B10151,'Poids des runes'!A:B,2,FALSE)))+1),(((D10151/100)*(C10151*VLOOKUP(B10151,'Poids des runes'!A:B,2,FALSE)))+1)/VLOOKUP(B10151,'Poids des runes'!A:B,2,FALSE))</f>
        <v>10.1</v>
      </c>
      <c r="F10151">
        <f t="shared" si="158"/>
        <v>10.1</v>
      </c>
    </row>
    <row r="10152" spans="1:6" x14ac:dyDescent="0.3">
      <c r="A10152" t="s">
        <v>1563</v>
      </c>
      <c r="B10152" t="s">
        <v>2152</v>
      </c>
      <c r="C10152">
        <v>1</v>
      </c>
      <c r="D10152">
        <v>200</v>
      </c>
      <c r="E10152">
        <f>IF(OR(B10152="vi",B10152="ii",B10152="pod"),(((D10152/100)*(C10152*VLOOKUP(B10152,'Poids des runes'!A:B,2,FALSE)))+1),(((D10152/100)*(C10152*VLOOKUP(B10152,'Poids des runes'!A:B,2,FALSE)))+1)/VLOOKUP(B10152,'Poids des runes'!A:B,2,FALSE))</f>
        <v>2.0099999999999998</v>
      </c>
      <c r="F10152">
        <f t="shared" si="158"/>
        <v>2.0099999999999998</v>
      </c>
    </row>
    <row r="10153" spans="1:6" x14ac:dyDescent="0.3">
      <c r="A10153" t="s">
        <v>1563</v>
      </c>
      <c r="B10153" t="s">
        <v>2155</v>
      </c>
      <c r="C10153">
        <v>1</v>
      </c>
      <c r="D10153">
        <v>200</v>
      </c>
      <c r="E10153">
        <f>IF(OR(B10153="vi",B10153="ii",B10153="pod"),(((D10153/100)*(C10153*VLOOKUP(B10153,'Poids des runes'!A:B,2,FALSE)))+1),(((D10153/100)*(C10153*VLOOKUP(B10153,'Poids des runes'!A:B,2,FALSE)))+1)/VLOOKUP(B10153,'Poids des runes'!A:B,2,FALSE))</f>
        <v>2.0196078431372548</v>
      </c>
      <c r="F10153">
        <f t="shared" si="158"/>
        <v>2.0196078431372548</v>
      </c>
    </row>
    <row r="10154" spans="1:6" x14ac:dyDescent="0.3">
      <c r="A10154" t="s">
        <v>1563</v>
      </c>
      <c r="B10154" t="s">
        <v>2133</v>
      </c>
      <c r="C10154">
        <v>8.5</v>
      </c>
      <c r="D10154">
        <v>200</v>
      </c>
      <c r="E10154">
        <f>IF(OR(B10154="vi",B10154="ii",B10154="pod"),(((D10154/100)*(C10154*VLOOKUP(B10154,'Poids des runes'!A:B,2,FALSE)))+1),(((D10154/100)*(C10154*VLOOKUP(B10154,'Poids des runes'!A:B,2,FALSE)))+1)/VLOOKUP(B10154,'Poids des runes'!A:B,2,FALSE))</f>
        <v>17.2</v>
      </c>
      <c r="F10154">
        <f t="shared" si="158"/>
        <v>17.2</v>
      </c>
    </row>
    <row r="10155" spans="1:6" x14ac:dyDescent="0.3">
      <c r="A10155" t="s">
        <v>1563</v>
      </c>
      <c r="B10155" t="s">
        <v>2153</v>
      </c>
      <c r="C10155">
        <v>8.5</v>
      </c>
      <c r="D10155">
        <v>200</v>
      </c>
      <c r="E10155">
        <f>IF(OR(B10155="vi",B10155="ii",B10155="pod"),(((D10155/100)*(C10155*VLOOKUP(B10155,'Poids des runes'!A:B,2,FALSE)))+1),(((D10155/100)*(C10155*VLOOKUP(B10155,'Poids des runes'!A:B,2,FALSE)))+1)/VLOOKUP(B10155,'Poids des runes'!A:B,2,FALSE))</f>
        <v>17.2</v>
      </c>
      <c r="F10155">
        <f t="shared" si="158"/>
        <v>17.2</v>
      </c>
    </row>
    <row r="10156" spans="1:6" x14ac:dyDescent="0.3">
      <c r="A10156" t="s">
        <v>1563</v>
      </c>
      <c r="B10156" t="s">
        <v>2141</v>
      </c>
      <c r="C10156">
        <v>5</v>
      </c>
      <c r="D10156">
        <v>200</v>
      </c>
      <c r="E10156">
        <f>IF(OR(B10156="vi",B10156="ii",B10156="pod"),(((D10156/100)*(C10156*VLOOKUP(B10156,'Poids des runes'!A:B,2,FALSE)))+1),(((D10156/100)*(C10156*VLOOKUP(B10156,'Poids des runes'!A:B,2,FALSE)))+1)/VLOOKUP(B10156,'Poids des runes'!A:B,2,FALSE))</f>
        <v>10.25</v>
      </c>
      <c r="F10156">
        <f t="shared" si="158"/>
        <v>10.25</v>
      </c>
    </row>
    <row r="10157" spans="1:6" x14ac:dyDescent="0.3">
      <c r="A10157" t="s">
        <v>1563</v>
      </c>
      <c r="B10157" t="s">
        <v>2158</v>
      </c>
      <c r="C10157">
        <v>18</v>
      </c>
      <c r="D10157">
        <v>200</v>
      </c>
      <c r="E10157">
        <f>IF(OR(B10157="vi",B10157="ii",B10157="pod"),(((D10157/100)*(C10157*VLOOKUP(B10157,'Poids des runes'!A:B,2,FALSE)))+1),(((D10157/100)*(C10157*VLOOKUP(B10157,'Poids des runes'!A:B,2,FALSE)))+1)/VLOOKUP(B10157,'Poids des runes'!A:B,2,FALSE))</f>
        <v>36.200000000000003</v>
      </c>
      <c r="F10157">
        <f t="shared" si="158"/>
        <v>36.200000000000003</v>
      </c>
    </row>
    <row r="10158" spans="1:6" x14ac:dyDescent="0.3">
      <c r="A10158" t="s">
        <v>1563</v>
      </c>
      <c r="B10158" t="s">
        <v>2147</v>
      </c>
      <c r="C10158">
        <v>4</v>
      </c>
      <c r="D10158">
        <v>200</v>
      </c>
      <c r="E10158">
        <f>IF(OR(B10158="vi",B10158="ii",B10158="pod"),(((D10158/100)*(C10158*VLOOKUP(B10158,'Poids des runes'!A:B,2,FALSE)))+1),(((D10158/100)*(C10158*VLOOKUP(B10158,'Poids des runes'!A:B,2,FALSE)))+1)/VLOOKUP(B10158,'Poids des runes'!A:B,2,FALSE))</f>
        <v>8.1666666666666661</v>
      </c>
      <c r="F10158">
        <f t="shared" si="158"/>
        <v>8.1666666666666661</v>
      </c>
    </row>
    <row r="10159" spans="1:6" x14ac:dyDescent="0.3">
      <c r="A10159" t="s">
        <v>1563</v>
      </c>
      <c r="B10159" t="s">
        <v>2157</v>
      </c>
      <c r="C10159">
        <v>4</v>
      </c>
      <c r="D10159">
        <v>200</v>
      </c>
      <c r="E10159">
        <f>IF(OR(B10159="vi",B10159="ii",B10159="pod"),(((D10159/100)*(C10159*VLOOKUP(B10159,'Poids des runes'!A:B,2,FALSE)))+1),(((D10159/100)*(C10159*VLOOKUP(B10159,'Poids des runes'!A:B,2,FALSE)))+1)/VLOOKUP(B10159,'Poids des runes'!A:B,2,FALSE))</f>
        <v>8.1666666666666661</v>
      </c>
      <c r="F10159">
        <f t="shared" si="158"/>
        <v>8.1666666666666661</v>
      </c>
    </row>
    <row r="10160" spans="1:6" x14ac:dyDescent="0.3">
      <c r="A10160" t="s">
        <v>1564</v>
      </c>
      <c r="B10160" t="s">
        <v>2128</v>
      </c>
      <c r="C10160">
        <v>375.5</v>
      </c>
      <c r="D10160">
        <v>200</v>
      </c>
      <c r="E10160">
        <f>IF(OR(B10160="vi",B10160="ii",B10160="pod"),(((D10160/100)*(C10160*VLOOKUP(B10160,'Poids des runes'!A:B,2,FALSE)))+1),(((D10160/100)*(C10160*VLOOKUP(B10160,'Poids des runes'!A:B,2,FALSE)))+1)/VLOOKUP(B10160,'Poids des runes'!A:B,2,FALSE))</f>
        <v>151.20000000000002</v>
      </c>
      <c r="F10160">
        <f t="shared" si="158"/>
        <v>151.20000000000002</v>
      </c>
    </row>
    <row r="10161" spans="1:6" x14ac:dyDescent="0.3">
      <c r="A10161" t="s">
        <v>1564</v>
      </c>
      <c r="B10161" t="s">
        <v>2127</v>
      </c>
      <c r="C10161">
        <v>85.5</v>
      </c>
      <c r="D10161">
        <v>200</v>
      </c>
      <c r="E10161">
        <f>IF(OR(B10161="vi",B10161="ii",B10161="pod"),(((D10161/100)*(C10161*VLOOKUP(B10161,'Poids des runes'!A:B,2,FALSE)))+1),(((D10161/100)*(C10161*VLOOKUP(B10161,'Poids des runes'!A:B,2,FALSE)))+1)/VLOOKUP(B10161,'Poids des runes'!A:B,2,FALSE))</f>
        <v>172</v>
      </c>
      <c r="F10161">
        <f t="shared" si="158"/>
        <v>172</v>
      </c>
    </row>
    <row r="10162" spans="1:6" x14ac:dyDescent="0.3">
      <c r="A10162" t="s">
        <v>1564</v>
      </c>
      <c r="B10162" t="s">
        <v>2129</v>
      </c>
      <c r="C10162">
        <v>50.5</v>
      </c>
      <c r="D10162">
        <v>200</v>
      </c>
      <c r="E10162">
        <f>IF(OR(B10162="vi",B10162="ii",B10162="pod"),(((D10162/100)*(C10162*VLOOKUP(B10162,'Poids des runes'!A:B,2,FALSE)))+1),(((D10162/100)*(C10162*VLOOKUP(B10162,'Poids des runes'!A:B,2,FALSE)))+1)/VLOOKUP(B10162,'Poids des runes'!A:B,2,FALSE))</f>
        <v>102</v>
      </c>
      <c r="F10162">
        <f t="shared" si="158"/>
        <v>102</v>
      </c>
    </row>
    <row r="10163" spans="1:6" x14ac:dyDescent="0.3">
      <c r="A10163" t="s">
        <v>1564</v>
      </c>
      <c r="B10163" t="s">
        <v>2151</v>
      </c>
      <c r="C10163">
        <v>3.5</v>
      </c>
      <c r="D10163">
        <v>200</v>
      </c>
      <c r="E10163">
        <f>IF(OR(B10163="vi",B10163="ii",B10163="pod"),(((D10163/100)*(C10163*VLOOKUP(B10163,'Poids des runes'!A:B,2,FALSE)))+1),(((D10163/100)*(C10163*VLOOKUP(B10163,'Poids des runes'!A:B,2,FALSE)))+1)/VLOOKUP(B10163,'Poids des runes'!A:B,2,FALSE))</f>
        <v>7.1</v>
      </c>
      <c r="F10163">
        <f t="shared" si="158"/>
        <v>7.1</v>
      </c>
    </row>
    <row r="10164" spans="1:6" x14ac:dyDescent="0.3">
      <c r="A10164" t="s">
        <v>1564</v>
      </c>
      <c r="B10164" t="s">
        <v>2155</v>
      </c>
      <c r="C10164">
        <v>1</v>
      </c>
      <c r="D10164">
        <v>200</v>
      </c>
      <c r="E10164">
        <f>IF(OR(B10164="vi",B10164="ii",B10164="pod"),(((D10164/100)*(C10164*VLOOKUP(B10164,'Poids des runes'!A:B,2,FALSE)))+1),(((D10164/100)*(C10164*VLOOKUP(B10164,'Poids des runes'!A:B,2,FALSE)))+1)/VLOOKUP(B10164,'Poids des runes'!A:B,2,FALSE))</f>
        <v>2.0196078431372548</v>
      </c>
      <c r="F10164">
        <f t="shared" si="158"/>
        <v>2.0196078431372548</v>
      </c>
    </row>
    <row r="10165" spans="1:6" x14ac:dyDescent="0.3">
      <c r="A10165" t="s">
        <v>1564</v>
      </c>
      <c r="B10165" t="s">
        <v>2153</v>
      </c>
      <c r="C10165">
        <v>8.5</v>
      </c>
      <c r="D10165">
        <v>200</v>
      </c>
      <c r="E10165">
        <f>IF(OR(B10165="vi",B10165="ii",B10165="pod"),(((D10165/100)*(C10165*VLOOKUP(B10165,'Poids des runes'!A:B,2,FALSE)))+1),(((D10165/100)*(C10165*VLOOKUP(B10165,'Poids des runes'!A:B,2,FALSE)))+1)/VLOOKUP(B10165,'Poids des runes'!A:B,2,FALSE))</f>
        <v>17.2</v>
      </c>
      <c r="F10165">
        <f t="shared" si="158"/>
        <v>17.2</v>
      </c>
    </row>
    <row r="10166" spans="1:6" x14ac:dyDescent="0.3">
      <c r="A10166" t="s">
        <v>1564</v>
      </c>
      <c r="B10166" t="s">
        <v>2161</v>
      </c>
      <c r="C10166">
        <v>8.5</v>
      </c>
      <c r="D10166">
        <v>200</v>
      </c>
      <c r="E10166">
        <f>IF(OR(B10166="vi",B10166="ii",B10166="pod"),(((D10166/100)*(C10166*VLOOKUP(B10166,'Poids des runes'!A:B,2,FALSE)))+1),(((D10166/100)*(C10166*VLOOKUP(B10166,'Poids des runes'!A:B,2,FALSE)))+1)/VLOOKUP(B10166,'Poids des runes'!A:B,2,FALSE))</f>
        <v>17.333333333333332</v>
      </c>
      <c r="F10166">
        <f t="shared" si="158"/>
        <v>17.333333333333332</v>
      </c>
    </row>
    <row r="10167" spans="1:6" x14ac:dyDescent="0.3">
      <c r="A10167" t="s">
        <v>1564</v>
      </c>
      <c r="B10167" t="s">
        <v>2141</v>
      </c>
      <c r="C10167">
        <v>13</v>
      </c>
      <c r="D10167">
        <v>200</v>
      </c>
      <c r="E10167">
        <f>IF(OR(B10167="vi",B10167="ii",B10167="pod"),(((D10167/100)*(C10167*VLOOKUP(B10167,'Poids des runes'!A:B,2,FALSE)))+1),(((D10167/100)*(C10167*VLOOKUP(B10167,'Poids des runes'!A:B,2,FALSE)))+1)/VLOOKUP(B10167,'Poids des runes'!A:B,2,FALSE))</f>
        <v>26.25</v>
      </c>
      <c r="F10167">
        <f t="shared" si="158"/>
        <v>26.25</v>
      </c>
    </row>
    <row r="10168" spans="1:6" x14ac:dyDescent="0.3">
      <c r="A10168" t="s">
        <v>1564</v>
      </c>
      <c r="B10168" t="s">
        <v>2159</v>
      </c>
      <c r="C10168">
        <v>5</v>
      </c>
      <c r="D10168">
        <v>200</v>
      </c>
      <c r="E10168">
        <f>IF(OR(B10168="vi",B10168="ii",B10168="pod"),(((D10168/100)*(C10168*VLOOKUP(B10168,'Poids des runes'!A:B,2,FALSE)))+1),(((D10168/100)*(C10168*VLOOKUP(B10168,'Poids des runes'!A:B,2,FALSE)))+1)/VLOOKUP(B10168,'Poids des runes'!A:B,2,FALSE))</f>
        <v>10.142857142857142</v>
      </c>
      <c r="F10168">
        <f t="shared" si="158"/>
        <v>10.142857142857142</v>
      </c>
    </row>
    <row r="10169" spans="1:6" x14ac:dyDescent="0.3">
      <c r="A10169" t="s">
        <v>1564</v>
      </c>
      <c r="B10169" t="s">
        <v>2160</v>
      </c>
      <c r="C10169">
        <v>5</v>
      </c>
      <c r="D10169">
        <v>200</v>
      </c>
      <c r="E10169">
        <f>IF(OR(B10169="vi",B10169="ii",B10169="pod"),(((D10169/100)*(C10169*VLOOKUP(B10169,'Poids des runes'!A:B,2,FALSE)))+1),(((D10169/100)*(C10169*VLOOKUP(B10169,'Poids des runes'!A:B,2,FALSE)))+1)/VLOOKUP(B10169,'Poids des runes'!A:B,2,FALSE))</f>
        <v>10.142857142857142</v>
      </c>
      <c r="F10169">
        <f t="shared" si="158"/>
        <v>10.142857142857142</v>
      </c>
    </row>
    <row r="10170" spans="1:6" x14ac:dyDescent="0.3">
      <c r="A10170" t="s">
        <v>1564</v>
      </c>
      <c r="B10170" t="s">
        <v>2135</v>
      </c>
      <c r="C10170">
        <v>6.5</v>
      </c>
      <c r="D10170">
        <v>200</v>
      </c>
      <c r="E10170">
        <f>IF(OR(B10170="vi",B10170="ii",B10170="pod"),(((D10170/100)*(C10170*VLOOKUP(B10170,'Poids des runes'!A:B,2,FALSE)))+1),(((D10170/100)*(C10170*VLOOKUP(B10170,'Poids des runes'!A:B,2,FALSE)))+1)/VLOOKUP(B10170,'Poids des runes'!A:B,2,FALSE))</f>
        <v>13.166666666666666</v>
      </c>
      <c r="F10170">
        <f t="shared" si="158"/>
        <v>13.166666666666666</v>
      </c>
    </row>
    <row r="10171" spans="1:6" x14ac:dyDescent="0.3">
      <c r="A10171" t="s">
        <v>1564</v>
      </c>
      <c r="B10171" t="s">
        <v>2157</v>
      </c>
      <c r="C10171">
        <v>6.5</v>
      </c>
      <c r="D10171">
        <v>200</v>
      </c>
      <c r="E10171">
        <f>IF(OR(B10171="vi",B10171="ii",B10171="pod"),(((D10171/100)*(C10171*VLOOKUP(B10171,'Poids des runes'!A:B,2,FALSE)))+1),(((D10171/100)*(C10171*VLOOKUP(B10171,'Poids des runes'!A:B,2,FALSE)))+1)/VLOOKUP(B10171,'Poids des runes'!A:B,2,FALSE))</f>
        <v>13.166666666666666</v>
      </c>
      <c r="F10171">
        <f t="shared" si="158"/>
        <v>13.166666666666666</v>
      </c>
    </row>
    <row r="10172" spans="1:6" x14ac:dyDescent="0.3">
      <c r="A10172" t="s">
        <v>1565</v>
      </c>
      <c r="B10172" t="s">
        <v>2126</v>
      </c>
      <c r="C10172">
        <v>1</v>
      </c>
      <c r="D10172">
        <v>2</v>
      </c>
      <c r="E10172">
        <f>IF(OR(B10172="vi",B10172="ii",B10172="pod"),(((D10172/100)*(C10172*VLOOKUP(B10172,'Poids des runes'!A:B,2,FALSE)))+1),(((D10172/100)*(C10172*VLOOKUP(B10172,'Poids des runes'!A:B,2,FALSE)))+1)/VLOOKUP(B10172,'Poids des runes'!A:B,2,FALSE))</f>
        <v>1.02</v>
      </c>
      <c r="F10172">
        <f t="shared" si="158"/>
        <v>1.02</v>
      </c>
    </row>
    <row r="10173" spans="1:6" x14ac:dyDescent="0.3">
      <c r="A10173" t="s">
        <v>1566</v>
      </c>
      <c r="B10173" t="s">
        <v>2130</v>
      </c>
      <c r="C10173">
        <v>1</v>
      </c>
      <c r="D10173">
        <v>2</v>
      </c>
      <c r="E10173">
        <f>IF(OR(B10173="vi",B10173="ii",B10173="pod"),(((D10173/100)*(C10173*VLOOKUP(B10173,'Poids des runes'!A:B,2,FALSE)))+1),(((D10173/100)*(C10173*VLOOKUP(B10173,'Poids des runes'!A:B,2,FALSE)))+1)/VLOOKUP(B10173,'Poids des runes'!A:B,2,FALSE))</f>
        <v>1.02</v>
      </c>
      <c r="F10173">
        <f t="shared" si="158"/>
        <v>1.02</v>
      </c>
    </row>
    <row r="10174" spans="1:6" x14ac:dyDescent="0.3">
      <c r="A10174" t="s">
        <v>1567</v>
      </c>
      <c r="B10174" t="s">
        <v>2128</v>
      </c>
      <c r="C10174">
        <v>1</v>
      </c>
      <c r="D10174">
        <v>2</v>
      </c>
      <c r="E10174">
        <f>IF(OR(B10174="vi",B10174="ii",B10174="pod"),(((D10174/100)*(C10174*VLOOKUP(B10174,'Poids des runes'!A:B,2,FALSE)))+1),(((D10174/100)*(C10174*VLOOKUP(B10174,'Poids des runes'!A:B,2,FALSE)))+1)/VLOOKUP(B10174,'Poids des runes'!A:B,2,FALSE))</f>
        <v>1.004</v>
      </c>
      <c r="F10174">
        <f t="shared" si="158"/>
        <v>1.004</v>
      </c>
    </row>
    <row r="10175" spans="1:6" x14ac:dyDescent="0.3">
      <c r="A10175" t="s">
        <v>1568</v>
      </c>
      <c r="B10175" t="s">
        <v>2128</v>
      </c>
      <c r="C10175">
        <v>1</v>
      </c>
      <c r="D10175">
        <v>2</v>
      </c>
      <c r="E10175">
        <f>IF(OR(B10175="vi",B10175="ii",B10175="pod"),(((D10175/100)*(C10175*VLOOKUP(B10175,'Poids des runes'!A:B,2,FALSE)))+1),(((D10175/100)*(C10175*VLOOKUP(B10175,'Poids des runes'!A:B,2,FALSE)))+1)/VLOOKUP(B10175,'Poids des runes'!A:B,2,FALSE))</f>
        <v>1.004</v>
      </c>
      <c r="F10175">
        <f t="shared" si="158"/>
        <v>1.004</v>
      </c>
    </row>
    <row r="10176" spans="1:6" x14ac:dyDescent="0.3">
      <c r="A10176" t="s">
        <v>1569</v>
      </c>
      <c r="B10176" t="s">
        <v>2129</v>
      </c>
      <c r="C10176">
        <v>8</v>
      </c>
      <c r="D10176">
        <v>2</v>
      </c>
      <c r="E10176">
        <f>IF(OR(B10176="vi",B10176="ii",B10176="pod"),(((D10176/100)*(C10176*VLOOKUP(B10176,'Poids des runes'!A:B,2,FALSE)))+1),(((D10176/100)*(C10176*VLOOKUP(B10176,'Poids des runes'!A:B,2,FALSE)))+1)/VLOOKUP(B10176,'Poids des runes'!A:B,2,FALSE))</f>
        <v>1.1599999999999999</v>
      </c>
      <c r="F10176">
        <f t="shared" si="158"/>
        <v>1.1599999999999999</v>
      </c>
    </row>
    <row r="10177" spans="1:6" x14ac:dyDescent="0.3">
      <c r="A10177" t="s">
        <v>1570</v>
      </c>
      <c r="B10177" t="s">
        <v>2130</v>
      </c>
      <c r="C10177">
        <v>8.5</v>
      </c>
      <c r="D10177">
        <v>2</v>
      </c>
      <c r="E10177">
        <f>IF(OR(B10177="vi",B10177="ii",B10177="pod"),(((D10177/100)*(C10177*VLOOKUP(B10177,'Poids des runes'!A:B,2,FALSE)))+1),(((D10177/100)*(C10177*VLOOKUP(B10177,'Poids des runes'!A:B,2,FALSE)))+1)/VLOOKUP(B10177,'Poids des runes'!A:B,2,FALSE))</f>
        <v>1.17</v>
      </c>
      <c r="F10177">
        <f t="shared" si="158"/>
        <v>1.17</v>
      </c>
    </row>
    <row r="10178" spans="1:6" x14ac:dyDescent="0.3">
      <c r="A10178" t="s">
        <v>1570</v>
      </c>
      <c r="B10178" t="s">
        <v>2151</v>
      </c>
      <c r="C10178">
        <v>1</v>
      </c>
      <c r="D10178">
        <v>2</v>
      </c>
      <c r="E10178">
        <f>IF(OR(B10178="vi",B10178="ii",B10178="pod"),(((D10178/100)*(C10178*VLOOKUP(B10178,'Poids des runes'!A:B,2,FALSE)))+1),(((D10178/100)*(C10178*VLOOKUP(B10178,'Poids des runes'!A:B,2,FALSE)))+1)/VLOOKUP(B10178,'Poids des runes'!A:B,2,FALSE))</f>
        <v>0.12</v>
      </c>
      <c r="F10178">
        <f t="shared" si="158"/>
        <v>0.12</v>
      </c>
    </row>
    <row r="10179" spans="1:6" x14ac:dyDescent="0.3">
      <c r="A10179" t="s">
        <v>1571</v>
      </c>
      <c r="B10179" t="s">
        <v>2128</v>
      </c>
      <c r="C10179">
        <v>8</v>
      </c>
      <c r="D10179">
        <v>2</v>
      </c>
      <c r="E10179">
        <f>IF(OR(B10179="vi",B10179="ii",B10179="pod"),(((D10179/100)*(C10179*VLOOKUP(B10179,'Poids des runes'!A:B,2,FALSE)))+1),(((D10179/100)*(C10179*VLOOKUP(B10179,'Poids des runes'!A:B,2,FALSE)))+1)/VLOOKUP(B10179,'Poids des runes'!A:B,2,FALSE))</f>
        <v>1.032</v>
      </c>
      <c r="F10179">
        <f t="shared" ref="F10179:F10242" si="159">E10179</f>
        <v>1.032</v>
      </c>
    </row>
    <row r="10180" spans="1:6" x14ac:dyDescent="0.3">
      <c r="A10180" t="s">
        <v>1571</v>
      </c>
      <c r="B10180" t="s">
        <v>2131</v>
      </c>
      <c r="C10180">
        <v>8.5</v>
      </c>
      <c r="D10180">
        <v>2</v>
      </c>
      <c r="E10180">
        <f>IF(OR(B10180="vi",B10180="ii",B10180="pod"),(((D10180/100)*(C10180*VLOOKUP(B10180,'Poids des runes'!A:B,2,FALSE)))+1),(((D10180/100)*(C10180*VLOOKUP(B10180,'Poids des runes'!A:B,2,FALSE)))+1)/VLOOKUP(B10180,'Poids des runes'!A:B,2,FALSE))</f>
        <v>1.17</v>
      </c>
      <c r="F10180">
        <f t="shared" si="159"/>
        <v>1.17</v>
      </c>
    </row>
    <row r="10181" spans="1:6" x14ac:dyDescent="0.3">
      <c r="A10181" t="s">
        <v>1572</v>
      </c>
      <c r="B10181" t="s">
        <v>2128</v>
      </c>
      <c r="C10181">
        <v>8</v>
      </c>
      <c r="D10181">
        <v>2</v>
      </c>
      <c r="E10181">
        <f>IF(OR(B10181="vi",B10181="ii",B10181="pod"),(((D10181/100)*(C10181*VLOOKUP(B10181,'Poids des runes'!A:B,2,FALSE)))+1),(((D10181/100)*(C10181*VLOOKUP(B10181,'Poids des runes'!A:B,2,FALSE)))+1)/VLOOKUP(B10181,'Poids des runes'!A:B,2,FALSE))</f>
        <v>1.032</v>
      </c>
      <c r="F10181">
        <f t="shared" si="159"/>
        <v>1.032</v>
      </c>
    </row>
    <row r="10182" spans="1:6" x14ac:dyDescent="0.3">
      <c r="A10182" t="s">
        <v>1572</v>
      </c>
      <c r="B10182" t="s">
        <v>2127</v>
      </c>
      <c r="C10182">
        <v>8.5</v>
      </c>
      <c r="D10182">
        <v>2</v>
      </c>
      <c r="E10182">
        <f>IF(OR(B10182="vi",B10182="ii",B10182="pod"),(((D10182/100)*(C10182*VLOOKUP(B10182,'Poids des runes'!A:B,2,FALSE)))+1),(((D10182/100)*(C10182*VLOOKUP(B10182,'Poids des runes'!A:B,2,FALSE)))+1)/VLOOKUP(B10182,'Poids des runes'!A:B,2,FALSE))</f>
        <v>1.17</v>
      </c>
      <c r="F10182">
        <f t="shared" si="159"/>
        <v>1.17</v>
      </c>
    </row>
    <row r="10183" spans="1:6" x14ac:dyDescent="0.3">
      <c r="A10183" t="s">
        <v>1573</v>
      </c>
      <c r="B10183" t="s">
        <v>2128</v>
      </c>
      <c r="C10183">
        <v>1</v>
      </c>
      <c r="D10183">
        <v>2</v>
      </c>
      <c r="E10183">
        <f>IF(OR(B10183="vi",B10183="ii",B10183="pod"),(((D10183/100)*(C10183*VLOOKUP(B10183,'Poids des runes'!A:B,2,FALSE)))+1),(((D10183/100)*(C10183*VLOOKUP(B10183,'Poids des runes'!A:B,2,FALSE)))+1)/VLOOKUP(B10183,'Poids des runes'!A:B,2,FALSE))</f>
        <v>1.004</v>
      </c>
      <c r="F10183">
        <f t="shared" si="159"/>
        <v>1.004</v>
      </c>
    </row>
    <row r="10184" spans="1:6" x14ac:dyDescent="0.3">
      <c r="A10184" t="s">
        <v>1574</v>
      </c>
      <c r="B10184" t="s">
        <v>2128</v>
      </c>
      <c r="C10184">
        <v>8</v>
      </c>
      <c r="D10184">
        <v>2</v>
      </c>
      <c r="E10184">
        <f>IF(OR(B10184="vi",B10184="ii",B10184="pod"),(((D10184/100)*(C10184*VLOOKUP(B10184,'Poids des runes'!A:B,2,FALSE)))+1),(((D10184/100)*(C10184*VLOOKUP(B10184,'Poids des runes'!A:B,2,FALSE)))+1)/VLOOKUP(B10184,'Poids des runes'!A:B,2,FALSE))</f>
        <v>1.032</v>
      </c>
      <c r="F10184">
        <f t="shared" si="159"/>
        <v>1.032</v>
      </c>
    </row>
    <row r="10185" spans="1:6" x14ac:dyDescent="0.3">
      <c r="A10185" t="s">
        <v>1574</v>
      </c>
      <c r="B10185" t="s">
        <v>2126</v>
      </c>
      <c r="C10185">
        <v>6.5</v>
      </c>
      <c r="D10185">
        <v>2</v>
      </c>
      <c r="E10185">
        <f>IF(OR(B10185="vi",B10185="ii",B10185="pod"),(((D10185/100)*(C10185*VLOOKUP(B10185,'Poids des runes'!A:B,2,FALSE)))+1),(((D10185/100)*(C10185*VLOOKUP(B10185,'Poids des runes'!A:B,2,FALSE)))+1)/VLOOKUP(B10185,'Poids des runes'!A:B,2,FALSE))</f>
        <v>1.1299999999999999</v>
      </c>
      <c r="F10185">
        <f t="shared" si="159"/>
        <v>1.1299999999999999</v>
      </c>
    </row>
    <row r="10186" spans="1:6" x14ac:dyDescent="0.3">
      <c r="A10186" t="s">
        <v>1575</v>
      </c>
      <c r="B10186" t="s">
        <v>2128</v>
      </c>
      <c r="C10186">
        <v>8</v>
      </c>
      <c r="D10186">
        <v>2</v>
      </c>
      <c r="E10186">
        <f>IF(OR(B10186="vi",B10186="ii",B10186="pod"),(((D10186/100)*(C10186*VLOOKUP(B10186,'Poids des runes'!A:B,2,FALSE)))+1),(((D10186/100)*(C10186*VLOOKUP(B10186,'Poids des runes'!A:B,2,FALSE)))+1)/VLOOKUP(B10186,'Poids des runes'!A:B,2,FALSE))</f>
        <v>1.032</v>
      </c>
      <c r="F10186">
        <f t="shared" si="159"/>
        <v>1.032</v>
      </c>
    </row>
    <row r="10187" spans="1:6" x14ac:dyDescent="0.3">
      <c r="A10187" t="s">
        <v>1575</v>
      </c>
      <c r="B10187" t="s">
        <v>2131</v>
      </c>
      <c r="C10187">
        <v>8</v>
      </c>
      <c r="D10187">
        <v>2</v>
      </c>
      <c r="E10187">
        <f>IF(OR(B10187="vi",B10187="ii",B10187="pod"),(((D10187/100)*(C10187*VLOOKUP(B10187,'Poids des runes'!A:B,2,FALSE)))+1),(((D10187/100)*(C10187*VLOOKUP(B10187,'Poids des runes'!A:B,2,FALSE)))+1)/VLOOKUP(B10187,'Poids des runes'!A:B,2,FALSE))</f>
        <v>1.1599999999999999</v>
      </c>
      <c r="F10187">
        <f t="shared" si="159"/>
        <v>1.1599999999999999</v>
      </c>
    </row>
    <row r="10188" spans="1:6" x14ac:dyDescent="0.3">
      <c r="A10188" t="s">
        <v>1576</v>
      </c>
      <c r="B10188" t="s">
        <v>2130</v>
      </c>
      <c r="C10188">
        <v>6.5</v>
      </c>
      <c r="D10188">
        <v>2</v>
      </c>
      <c r="E10188">
        <f>IF(OR(B10188="vi",B10188="ii",B10188="pod"),(((D10188/100)*(C10188*VLOOKUP(B10188,'Poids des runes'!A:B,2,FALSE)))+1),(((D10188/100)*(C10188*VLOOKUP(B10188,'Poids des runes'!A:B,2,FALSE)))+1)/VLOOKUP(B10188,'Poids des runes'!A:B,2,FALSE))</f>
        <v>1.1299999999999999</v>
      </c>
      <c r="F10188">
        <f t="shared" si="159"/>
        <v>1.1299999999999999</v>
      </c>
    </row>
    <row r="10189" spans="1:6" x14ac:dyDescent="0.3">
      <c r="A10189" t="s">
        <v>1576</v>
      </c>
      <c r="B10189" t="s">
        <v>2143</v>
      </c>
      <c r="C10189">
        <v>1</v>
      </c>
      <c r="D10189">
        <v>2</v>
      </c>
      <c r="E10189">
        <f>IF(OR(B10189="vi",B10189="ii",B10189="pod"),(((D10189/100)*(C10189*VLOOKUP(B10189,'Poids des runes'!A:B,2,FALSE)))+1),(((D10189/100)*(C10189*VLOOKUP(B10189,'Poids des runes'!A:B,2,FALSE)))+1)/VLOOKUP(B10189,'Poids des runes'!A:B,2,FALSE))</f>
        <v>0.22000000000000003</v>
      </c>
      <c r="F10189">
        <f t="shared" si="159"/>
        <v>0.22000000000000003</v>
      </c>
    </row>
    <row r="10190" spans="1:6" x14ac:dyDescent="0.3">
      <c r="A10190" t="s">
        <v>1577</v>
      </c>
      <c r="B10190" t="s">
        <v>2128</v>
      </c>
      <c r="C10190">
        <v>1</v>
      </c>
      <c r="D10190">
        <v>2</v>
      </c>
      <c r="E10190">
        <f>IF(OR(B10190="vi",B10190="ii",B10190="pod"),(((D10190/100)*(C10190*VLOOKUP(B10190,'Poids des runes'!A:B,2,FALSE)))+1),(((D10190/100)*(C10190*VLOOKUP(B10190,'Poids des runes'!A:B,2,FALSE)))+1)/VLOOKUP(B10190,'Poids des runes'!A:B,2,FALSE))</f>
        <v>1.004</v>
      </c>
      <c r="F10190">
        <f t="shared" si="159"/>
        <v>1.004</v>
      </c>
    </row>
    <row r="10191" spans="1:6" x14ac:dyDescent="0.3">
      <c r="A10191" t="s">
        <v>1578</v>
      </c>
      <c r="B10191" t="s">
        <v>2128</v>
      </c>
      <c r="C10191">
        <v>5</v>
      </c>
      <c r="D10191">
        <v>3</v>
      </c>
      <c r="E10191">
        <f>IF(OR(B10191="vi",B10191="ii",B10191="pod"),(((D10191/100)*(C10191*VLOOKUP(B10191,'Poids des runes'!A:B,2,FALSE)))+1),(((D10191/100)*(C10191*VLOOKUP(B10191,'Poids des runes'!A:B,2,FALSE)))+1)/VLOOKUP(B10191,'Poids des runes'!A:B,2,FALSE))</f>
        <v>1.03</v>
      </c>
      <c r="F10191">
        <f t="shared" si="159"/>
        <v>1.03</v>
      </c>
    </row>
    <row r="10192" spans="1:6" x14ac:dyDescent="0.3">
      <c r="A10192" t="s">
        <v>1579</v>
      </c>
      <c r="B10192" t="s">
        <v>2130</v>
      </c>
      <c r="C10192">
        <v>1</v>
      </c>
      <c r="D10192">
        <v>3</v>
      </c>
      <c r="E10192">
        <f>IF(OR(B10192="vi",B10192="ii",B10192="pod"),(((D10192/100)*(C10192*VLOOKUP(B10192,'Poids des runes'!A:B,2,FALSE)))+1),(((D10192/100)*(C10192*VLOOKUP(B10192,'Poids des runes'!A:B,2,FALSE)))+1)/VLOOKUP(B10192,'Poids des runes'!A:B,2,FALSE))</f>
        <v>1.03</v>
      </c>
      <c r="F10192">
        <f t="shared" si="159"/>
        <v>1.03</v>
      </c>
    </row>
    <row r="10193" spans="1:6" x14ac:dyDescent="0.3">
      <c r="A10193" t="s">
        <v>1580</v>
      </c>
      <c r="B10193" t="s">
        <v>2127</v>
      </c>
      <c r="C10193">
        <v>1</v>
      </c>
      <c r="D10193">
        <v>4</v>
      </c>
      <c r="E10193">
        <f>IF(OR(B10193="vi",B10193="ii",B10193="pod"),(((D10193/100)*(C10193*VLOOKUP(B10193,'Poids des runes'!A:B,2,FALSE)))+1),(((D10193/100)*(C10193*VLOOKUP(B10193,'Poids des runes'!A:B,2,FALSE)))+1)/VLOOKUP(B10193,'Poids des runes'!A:B,2,FALSE))</f>
        <v>1.04</v>
      </c>
      <c r="F10193">
        <f t="shared" si="159"/>
        <v>1.04</v>
      </c>
    </row>
    <row r="10194" spans="1:6" x14ac:dyDescent="0.3">
      <c r="A10194" t="s">
        <v>1581</v>
      </c>
      <c r="B10194" t="s">
        <v>2130</v>
      </c>
      <c r="C10194">
        <v>8.5</v>
      </c>
      <c r="D10194">
        <v>7</v>
      </c>
      <c r="E10194">
        <f>IF(OR(B10194="vi",B10194="ii",B10194="pod"),(((D10194/100)*(C10194*VLOOKUP(B10194,'Poids des runes'!A:B,2,FALSE)))+1),(((D10194/100)*(C10194*VLOOKUP(B10194,'Poids des runes'!A:B,2,FALSE)))+1)/VLOOKUP(B10194,'Poids des runes'!A:B,2,FALSE))</f>
        <v>1.5950000000000002</v>
      </c>
      <c r="F10194">
        <f t="shared" si="159"/>
        <v>1.5950000000000002</v>
      </c>
    </row>
    <row r="10195" spans="1:6" x14ac:dyDescent="0.3">
      <c r="A10195" t="s">
        <v>1581</v>
      </c>
      <c r="B10195" t="s">
        <v>2132</v>
      </c>
      <c r="C10195">
        <v>25.5</v>
      </c>
      <c r="D10195">
        <v>7</v>
      </c>
      <c r="E10195">
        <f>IF(OR(B10195="vi",B10195="ii",B10195="pod"),(((D10195/100)*(C10195*VLOOKUP(B10195,'Poids des runes'!A:B,2,FALSE)))+1),(((D10195/100)*(C10195*VLOOKUP(B10195,'Poids des runes'!A:B,2,FALSE)))+1)/VLOOKUP(B10195,'Poids des runes'!A:B,2,FALSE))</f>
        <v>1.1785000000000001</v>
      </c>
      <c r="F10195">
        <f t="shared" si="159"/>
        <v>1.1785000000000001</v>
      </c>
    </row>
    <row r="10196" spans="1:6" x14ac:dyDescent="0.3">
      <c r="A10196" t="s">
        <v>1582</v>
      </c>
      <c r="B10196" t="s">
        <v>2128</v>
      </c>
      <c r="C10196">
        <v>13</v>
      </c>
      <c r="D10196">
        <v>8</v>
      </c>
      <c r="E10196">
        <f>IF(OR(B10196="vi",B10196="ii",B10196="pod"),(((D10196/100)*(C10196*VLOOKUP(B10196,'Poids des runes'!A:B,2,FALSE)))+1),(((D10196/100)*(C10196*VLOOKUP(B10196,'Poids des runes'!A:B,2,FALSE)))+1)/VLOOKUP(B10196,'Poids des runes'!A:B,2,FALSE))</f>
        <v>1.208</v>
      </c>
      <c r="F10196">
        <f t="shared" si="159"/>
        <v>1.208</v>
      </c>
    </row>
    <row r="10197" spans="1:6" x14ac:dyDescent="0.3">
      <c r="A10197" t="s">
        <v>1582</v>
      </c>
      <c r="B10197" t="s">
        <v>2130</v>
      </c>
      <c r="C10197">
        <v>8</v>
      </c>
      <c r="D10197">
        <v>8</v>
      </c>
      <c r="E10197">
        <f>IF(OR(B10197="vi",B10197="ii",B10197="pod"),(((D10197/100)*(C10197*VLOOKUP(B10197,'Poids des runes'!A:B,2,FALSE)))+1),(((D10197/100)*(C10197*VLOOKUP(B10197,'Poids des runes'!A:B,2,FALSE)))+1)/VLOOKUP(B10197,'Poids des runes'!A:B,2,FALSE))</f>
        <v>1.6400000000000001</v>
      </c>
      <c r="F10197">
        <f t="shared" si="159"/>
        <v>1.6400000000000001</v>
      </c>
    </row>
    <row r="10198" spans="1:6" x14ac:dyDescent="0.3">
      <c r="A10198" t="s">
        <v>1583</v>
      </c>
      <c r="B10198" t="s">
        <v>2130</v>
      </c>
      <c r="C10198">
        <v>8.5</v>
      </c>
      <c r="D10198">
        <v>9</v>
      </c>
      <c r="E10198">
        <f>IF(OR(B10198="vi",B10198="ii",B10198="pod"),(((D10198/100)*(C10198*VLOOKUP(B10198,'Poids des runes'!A:B,2,FALSE)))+1),(((D10198/100)*(C10198*VLOOKUP(B10198,'Poids des runes'!A:B,2,FALSE)))+1)/VLOOKUP(B10198,'Poids des runes'!A:B,2,FALSE))</f>
        <v>1.7650000000000001</v>
      </c>
      <c r="F10198">
        <f t="shared" si="159"/>
        <v>1.7650000000000001</v>
      </c>
    </row>
    <row r="10199" spans="1:6" x14ac:dyDescent="0.3">
      <c r="A10199" t="s">
        <v>1583</v>
      </c>
      <c r="B10199" t="s">
        <v>2143</v>
      </c>
      <c r="C10199">
        <v>2</v>
      </c>
      <c r="D10199">
        <v>9</v>
      </c>
      <c r="E10199">
        <f>IF(OR(B10199="vi",B10199="ii",B10199="pod"),(((D10199/100)*(C10199*VLOOKUP(B10199,'Poids des runes'!A:B,2,FALSE)))+1),(((D10199/100)*(C10199*VLOOKUP(B10199,'Poids des runes'!A:B,2,FALSE)))+1)/VLOOKUP(B10199,'Poids des runes'!A:B,2,FALSE))</f>
        <v>0.38</v>
      </c>
      <c r="F10199">
        <f t="shared" si="159"/>
        <v>0.38</v>
      </c>
    </row>
    <row r="10200" spans="1:6" x14ac:dyDescent="0.3">
      <c r="A10200" t="s">
        <v>1584</v>
      </c>
      <c r="B10200" t="s">
        <v>2139</v>
      </c>
      <c r="C10200">
        <v>8.5</v>
      </c>
      <c r="D10200">
        <v>11</v>
      </c>
      <c r="E10200">
        <f>IF(OR(B10200="vi",B10200="ii",B10200="pod"),(((D10200/100)*(C10200*VLOOKUP(B10200,'Poids des runes'!A:B,2,FALSE)))+1),(((D10200/100)*(C10200*VLOOKUP(B10200,'Poids des runes'!A:B,2,FALSE)))+1)/VLOOKUP(B10200,'Poids des runes'!A:B,2,FALSE))</f>
        <v>1.4350000000000001</v>
      </c>
      <c r="F10200">
        <f t="shared" si="159"/>
        <v>1.4350000000000001</v>
      </c>
    </row>
    <row r="10201" spans="1:6" x14ac:dyDescent="0.3">
      <c r="A10201" t="s">
        <v>1584</v>
      </c>
      <c r="B10201" t="s">
        <v>2141</v>
      </c>
      <c r="C10201">
        <v>3.5</v>
      </c>
      <c r="D10201">
        <v>11</v>
      </c>
      <c r="E10201">
        <f>IF(OR(B10201="vi",B10201="ii",B10201="pod"),(((D10201/100)*(C10201*VLOOKUP(B10201,'Poids des runes'!A:B,2,FALSE)))+1),(((D10201/100)*(C10201*VLOOKUP(B10201,'Poids des runes'!A:B,2,FALSE)))+1)/VLOOKUP(B10201,'Poids des runes'!A:B,2,FALSE))</f>
        <v>0.63500000000000001</v>
      </c>
      <c r="F10201">
        <f t="shared" si="159"/>
        <v>0.63500000000000001</v>
      </c>
    </row>
    <row r="10202" spans="1:6" x14ac:dyDescent="0.3">
      <c r="A10202" t="s">
        <v>1585</v>
      </c>
      <c r="B10202" t="s">
        <v>2128</v>
      </c>
      <c r="C10202">
        <v>18</v>
      </c>
      <c r="D10202">
        <v>11</v>
      </c>
      <c r="E10202">
        <f>IF(OR(B10202="vi",B10202="ii",B10202="pod"),(((D10202/100)*(C10202*VLOOKUP(B10202,'Poids des runes'!A:B,2,FALSE)))+1),(((D10202/100)*(C10202*VLOOKUP(B10202,'Poids des runes'!A:B,2,FALSE)))+1)/VLOOKUP(B10202,'Poids des runes'!A:B,2,FALSE))</f>
        <v>1.3959999999999999</v>
      </c>
      <c r="F10202">
        <f t="shared" si="159"/>
        <v>1.3959999999999999</v>
      </c>
    </row>
    <row r="10203" spans="1:6" x14ac:dyDescent="0.3">
      <c r="A10203" t="s">
        <v>1585</v>
      </c>
      <c r="B10203" t="s">
        <v>2126</v>
      </c>
      <c r="C10203">
        <v>8.5</v>
      </c>
      <c r="D10203">
        <v>11</v>
      </c>
      <c r="E10203">
        <f>IF(OR(B10203="vi",B10203="ii",B10203="pod"),(((D10203/100)*(C10203*VLOOKUP(B10203,'Poids des runes'!A:B,2,FALSE)))+1),(((D10203/100)*(C10203*VLOOKUP(B10203,'Poids des runes'!A:B,2,FALSE)))+1)/VLOOKUP(B10203,'Poids des runes'!A:B,2,FALSE))</f>
        <v>1.9350000000000001</v>
      </c>
      <c r="F10203">
        <f t="shared" si="159"/>
        <v>1.9350000000000001</v>
      </c>
    </row>
    <row r="10204" spans="1:6" x14ac:dyDescent="0.3">
      <c r="A10204" t="s">
        <v>1586</v>
      </c>
      <c r="B10204" t="s">
        <v>2128</v>
      </c>
      <c r="C10204">
        <v>13</v>
      </c>
      <c r="D10204">
        <v>12</v>
      </c>
      <c r="E10204">
        <f>IF(OR(B10204="vi",B10204="ii",B10204="pod"),(((D10204/100)*(C10204*VLOOKUP(B10204,'Poids des runes'!A:B,2,FALSE)))+1),(((D10204/100)*(C10204*VLOOKUP(B10204,'Poids des runes'!A:B,2,FALSE)))+1)/VLOOKUP(B10204,'Poids des runes'!A:B,2,FALSE))</f>
        <v>1.3120000000000001</v>
      </c>
      <c r="F10204">
        <f t="shared" si="159"/>
        <v>1.3120000000000001</v>
      </c>
    </row>
    <row r="10205" spans="1:6" x14ac:dyDescent="0.3">
      <c r="A10205" t="s">
        <v>1586</v>
      </c>
      <c r="B10205" t="s">
        <v>2130</v>
      </c>
      <c r="C10205">
        <v>8.5</v>
      </c>
      <c r="D10205">
        <v>12</v>
      </c>
      <c r="E10205">
        <f>IF(OR(B10205="vi",B10205="ii",B10205="pod"),(((D10205/100)*(C10205*VLOOKUP(B10205,'Poids des runes'!A:B,2,FALSE)))+1),(((D10205/100)*(C10205*VLOOKUP(B10205,'Poids des runes'!A:B,2,FALSE)))+1)/VLOOKUP(B10205,'Poids des runes'!A:B,2,FALSE))</f>
        <v>2.02</v>
      </c>
      <c r="F10205">
        <f t="shared" si="159"/>
        <v>2.02</v>
      </c>
    </row>
    <row r="10206" spans="1:6" x14ac:dyDescent="0.3">
      <c r="A10206" t="s">
        <v>1587</v>
      </c>
      <c r="B10206" t="s">
        <v>2128</v>
      </c>
      <c r="C10206">
        <v>23</v>
      </c>
      <c r="D10206">
        <v>12</v>
      </c>
      <c r="E10206">
        <f>IF(OR(B10206="vi",B10206="ii",B10206="pod"),(((D10206/100)*(C10206*VLOOKUP(B10206,'Poids des runes'!A:B,2,FALSE)))+1),(((D10206/100)*(C10206*VLOOKUP(B10206,'Poids des runes'!A:B,2,FALSE)))+1)/VLOOKUP(B10206,'Poids des runes'!A:B,2,FALSE))</f>
        <v>1.552</v>
      </c>
      <c r="F10206">
        <f t="shared" si="159"/>
        <v>1.552</v>
      </c>
    </row>
    <row r="10207" spans="1:6" x14ac:dyDescent="0.3">
      <c r="A10207" t="s">
        <v>1587</v>
      </c>
      <c r="B10207" t="s">
        <v>2127</v>
      </c>
      <c r="C10207">
        <v>8.5</v>
      </c>
      <c r="D10207">
        <v>12</v>
      </c>
      <c r="E10207">
        <f>IF(OR(B10207="vi",B10207="ii",B10207="pod"),(((D10207/100)*(C10207*VLOOKUP(B10207,'Poids des runes'!A:B,2,FALSE)))+1),(((D10207/100)*(C10207*VLOOKUP(B10207,'Poids des runes'!A:B,2,FALSE)))+1)/VLOOKUP(B10207,'Poids des runes'!A:B,2,FALSE))</f>
        <v>2.02</v>
      </c>
      <c r="F10207">
        <f t="shared" si="159"/>
        <v>2.02</v>
      </c>
    </row>
    <row r="10208" spans="1:6" x14ac:dyDescent="0.3">
      <c r="A10208" t="s">
        <v>1588</v>
      </c>
      <c r="B10208" t="s">
        <v>2128</v>
      </c>
      <c r="C10208">
        <v>13</v>
      </c>
      <c r="D10208">
        <v>13</v>
      </c>
      <c r="E10208">
        <f>IF(OR(B10208="vi",B10208="ii",B10208="pod"),(((D10208/100)*(C10208*VLOOKUP(B10208,'Poids des runes'!A:B,2,FALSE)))+1),(((D10208/100)*(C10208*VLOOKUP(B10208,'Poids des runes'!A:B,2,FALSE)))+1)/VLOOKUP(B10208,'Poids des runes'!A:B,2,FALSE))</f>
        <v>1.3380000000000001</v>
      </c>
      <c r="F10208">
        <f t="shared" si="159"/>
        <v>1.3380000000000001</v>
      </c>
    </row>
    <row r="10209" spans="1:6" x14ac:dyDescent="0.3">
      <c r="A10209" t="s">
        <v>1588</v>
      </c>
      <c r="B10209" t="s">
        <v>2131</v>
      </c>
      <c r="C10209">
        <v>13</v>
      </c>
      <c r="D10209">
        <v>13</v>
      </c>
      <c r="E10209">
        <f>IF(OR(B10209="vi",B10209="ii",B10209="pod"),(((D10209/100)*(C10209*VLOOKUP(B10209,'Poids des runes'!A:B,2,FALSE)))+1),(((D10209/100)*(C10209*VLOOKUP(B10209,'Poids des runes'!A:B,2,FALSE)))+1)/VLOOKUP(B10209,'Poids des runes'!A:B,2,FALSE))</f>
        <v>2.69</v>
      </c>
      <c r="F10209">
        <f t="shared" si="159"/>
        <v>2.69</v>
      </c>
    </row>
    <row r="10210" spans="1:6" x14ac:dyDescent="0.3">
      <c r="A10210" t="s">
        <v>1589</v>
      </c>
      <c r="B10210" t="s">
        <v>2130</v>
      </c>
      <c r="C10210">
        <v>13</v>
      </c>
      <c r="D10210">
        <v>14</v>
      </c>
      <c r="E10210">
        <f>IF(OR(B10210="vi",B10210="ii",B10210="pod"),(((D10210/100)*(C10210*VLOOKUP(B10210,'Poids des runes'!A:B,2,FALSE)))+1),(((D10210/100)*(C10210*VLOOKUP(B10210,'Poids des runes'!A:B,2,FALSE)))+1)/VLOOKUP(B10210,'Poids des runes'!A:B,2,FALSE))</f>
        <v>2.8200000000000003</v>
      </c>
      <c r="F10210">
        <f t="shared" si="159"/>
        <v>2.8200000000000003</v>
      </c>
    </row>
    <row r="10211" spans="1:6" x14ac:dyDescent="0.3">
      <c r="A10211" t="s">
        <v>1589</v>
      </c>
      <c r="B10211" t="s">
        <v>2138</v>
      </c>
      <c r="C10211">
        <v>2.5</v>
      </c>
      <c r="D10211">
        <v>14</v>
      </c>
      <c r="E10211">
        <f>IF(OR(B10211="vi",B10211="ii",B10211="pod"),(((D10211/100)*(C10211*VLOOKUP(B10211,'Poids des runes'!A:B,2,FALSE)))+1),(((D10211/100)*(C10211*VLOOKUP(B10211,'Poids des runes'!A:B,2,FALSE)))+1)/VLOOKUP(B10211,'Poids des runes'!A:B,2,FALSE))</f>
        <v>0.60000000000000009</v>
      </c>
      <c r="F10211">
        <f t="shared" si="159"/>
        <v>0.60000000000000009</v>
      </c>
    </row>
    <row r="10212" spans="1:6" x14ac:dyDescent="0.3">
      <c r="A10212" t="s">
        <v>1590</v>
      </c>
      <c r="B10212" t="s">
        <v>2126</v>
      </c>
      <c r="C10212">
        <v>13</v>
      </c>
      <c r="D10212">
        <v>15</v>
      </c>
      <c r="E10212">
        <f>IF(OR(B10212="vi",B10212="ii",B10212="pod"),(((D10212/100)*(C10212*VLOOKUP(B10212,'Poids des runes'!A:B,2,FALSE)))+1),(((D10212/100)*(C10212*VLOOKUP(B10212,'Poids des runes'!A:B,2,FALSE)))+1)/VLOOKUP(B10212,'Poids des runes'!A:B,2,FALSE))</f>
        <v>2.95</v>
      </c>
      <c r="F10212">
        <f t="shared" si="159"/>
        <v>2.95</v>
      </c>
    </row>
    <row r="10213" spans="1:6" x14ac:dyDescent="0.3">
      <c r="A10213" t="s">
        <v>1590</v>
      </c>
      <c r="B10213" t="s">
        <v>2140</v>
      </c>
      <c r="C10213">
        <v>1.5</v>
      </c>
      <c r="D10213">
        <v>15</v>
      </c>
      <c r="E10213">
        <f>IF(OR(B10213="vi",B10213="ii",B10213="pod"),(((D10213/100)*(C10213*VLOOKUP(B10213,'Poids des runes'!A:B,2,FALSE)))+1),(((D10213/100)*(C10213*VLOOKUP(B10213,'Poids des runes'!A:B,2,FALSE)))+1)/VLOOKUP(B10213,'Poids des runes'!A:B,2,FALSE))</f>
        <v>0.42499999999999999</v>
      </c>
      <c r="F10213">
        <f t="shared" si="159"/>
        <v>0.42499999999999999</v>
      </c>
    </row>
    <row r="10214" spans="1:6" x14ac:dyDescent="0.3">
      <c r="A10214" t="s">
        <v>1591</v>
      </c>
      <c r="B10214" t="s">
        <v>2128</v>
      </c>
      <c r="C10214">
        <v>18</v>
      </c>
      <c r="D10214">
        <v>15</v>
      </c>
      <c r="E10214">
        <f>IF(OR(B10214="vi",B10214="ii",B10214="pod"),(((D10214/100)*(C10214*VLOOKUP(B10214,'Poids des runes'!A:B,2,FALSE)))+1),(((D10214/100)*(C10214*VLOOKUP(B10214,'Poids des runes'!A:B,2,FALSE)))+1)/VLOOKUP(B10214,'Poids des runes'!A:B,2,FALSE))</f>
        <v>1.54</v>
      </c>
      <c r="F10214">
        <f t="shared" si="159"/>
        <v>1.54</v>
      </c>
    </row>
    <row r="10215" spans="1:6" x14ac:dyDescent="0.3">
      <c r="A10215" t="s">
        <v>1591</v>
      </c>
      <c r="B10215" t="s">
        <v>2126</v>
      </c>
      <c r="C10215">
        <v>8.5</v>
      </c>
      <c r="D10215">
        <v>15</v>
      </c>
      <c r="E10215">
        <f>IF(OR(B10215="vi",B10215="ii",B10215="pod"),(((D10215/100)*(C10215*VLOOKUP(B10215,'Poids des runes'!A:B,2,FALSE)))+1),(((D10215/100)*(C10215*VLOOKUP(B10215,'Poids des runes'!A:B,2,FALSE)))+1)/VLOOKUP(B10215,'Poids des runes'!A:B,2,FALSE))</f>
        <v>2.2749999999999999</v>
      </c>
      <c r="F10215">
        <f t="shared" si="159"/>
        <v>2.2749999999999999</v>
      </c>
    </row>
    <row r="10216" spans="1:6" x14ac:dyDescent="0.3">
      <c r="A10216" t="s">
        <v>1592</v>
      </c>
      <c r="B10216" t="s">
        <v>2128</v>
      </c>
      <c r="C10216">
        <v>23</v>
      </c>
      <c r="D10216">
        <v>15</v>
      </c>
      <c r="E10216">
        <f>IF(OR(B10216="vi",B10216="ii",B10216="pod"),(((D10216/100)*(C10216*VLOOKUP(B10216,'Poids des runes'!A:B,2,FALSE)))+1),(((D10216/100)*(C10216*VLOOKUP(B10216,'Poids des runes'!A:B,2,FALSE)))+1)/VLOOKUP(B10216,'Poids des runes'!A:B,2,FALSE))</f>
        <v>1.69</v>
      </c>
      <c r="F10216">
        <f t="shared" si="159"/>
        <v>1.69</v>
      </c>
    </row>
    <row r="10217" spans="1:6" x14ac:dyDescent="0.3">
      <c r="A10217" t="s">
        <v>1592</v>
      </c>
      <c r="B10217" t="s">
        <v>2151</v>
      </c>
      <c r="C10217">
        <v>3</v>
      </c>
      <c r="D10217">
        <v>15</v>
      </c>
      <c r="E10217">
        <f>IF(OR(B10217="vi",B10217="ii",B10217="pod"),(((D10217/100)*(C10217*VLOOKUP(B10217,'Poids des runes'!A:B,2,FALSE)))+1),(((D10217/100)*(C10217*VLOOKUP(B10217,'Poids des runes'!A:B,2,FALSE)))+1)/VLOOKUP(B10217,'Poids des runes'!A:B,2,FALSE))</f>
        <v>0.55000000000000004</v>
      </c>
      <c r="F10217">
        <f t="shared" si="159"/>
        <v>0.55000000000000004</v>
      </c>
    </row>
    <row r="10218" spans="1:6" x14ac:dyDescent="0.3">
      <c r="A10218" t="s">
        <v>1593</v>
      </c>
      <c r="B10218" t="s">
        <v>2128</v>
      </c>
      <c r="C10218">
        <v>23</v>
      </c>
      <c r="D10218">
        <v>15</v>
      </c>
      <c r="E10218">
        <f>IF(OR(B10218="vi",B10218="ii",B10218="pod"),(((D10218/100)*(C10218*VLOOKUP(B10218,'Poids des runes'!A:B,2,FALSE)))+1),(((D10218/100)*(C10218*VLOOKUP(B10218,'Poids des runes'!A:B,2,FALSE)))+1)/VLOOKUP(B10218,'Poids des runes'!A:B,2,FALSE))</f>
        <v>1.69</v>
      </c>
      <c r="F10218">
        <f t="shared" si="159"/>
        <v>1.69</v>
      </c>
    </row>
    <row r="10219" spans="1:6" x14ac:dyDescent="0.3">
      <c r="A10219" t="s">
        <v>1593</v>
      </c>
      <c r="B10219" t="s">
        <v>2126</v>
      </c>
      <c r="C10219">
        <v>13</v>
      </c>
      <c r="D10219">
        <v>15</v>
      </c>
      <c r="E10219">
        <f>IF(OR(B10219="vi",B10219="ii",B10219="pod"),(((D10219/100)*(C10219*VLOOKUP(B10219,'Poids des runes'!A:B,2,FALSE)))+1),(((D10219/100)*(C10219*VLOOKUP(B10219,'Poids des runes'!A:B,2,FALSE)))+1)/VLOOKUP(B10219,'Poids des runes'!A:B,2,FALSE))</f>
        <v>2.95</v>
      </c>
      <c r="F10219">
        <f t="shared" si="159"/>
        <v>2.95</v>
      </c>
    </row>
    <row r="10220" spans="1:6" x14ac:dyDescent="0.3">
      <c r="A10220" t="s">
        <v>1594</v>
      </c>
      <c r="B10220" t="s">
        <v>2128</v>
      </c>
      <c r="C10220">
        <v>18</v>
      </c>
      <c r="D10220">
        <v>15</v>
      </c>
      <c r="E10220">
        <f>IF(OR(B10220="vi",B10220="ii",B10220="pod"),(((D10220/100)*(C10220*VLOOKUP(B10220,'Poids des runes'!A:B,2,FALSE)))+1),(((D10220/100)*(C10220*VLOOKUP(B10220,'Poids des runes'!A:B,2,FALSE)))+1)/VLOOKUP(B10220,'Poids des runes'!A:B,2,FALSE))</f>
        <v>1.54</v>
      </c>
      <c r="F10220">
        <f t="shared" si="159"/>
        <v>1.54</v>
      </c>
    </row>
    <row r="10221" spans="1:6" x14ac:dyDescent="0.3">
      <c r="A10221" t="s">
        <v>1594</v>
      </c>
      <c r="B10221" t="s">
        <v>2131</v>
      </c>
      <c r="C10221">
        <v>13</v>
      </c>
      <c r="D10221">
        <v>15</v>
      </c>
      <c r="E10221">
        <f>IF(OR(B10221="vi",B10221="ii",B10221="pod"),(((D10221/100)*(C10221*VLOOKUP(B10221,'Poids des runes'!A:B,2,FALSE)))+1),(((D10221/100)*(C10221*VLOOKUP(B10221,'Poids des runes'!A:B,2,FALSE)))+1)/VLOOKUP(B10221,'Poids des runes'!A:B,2,FALSE))</f>
        <v>2.95</v>
      </c>
      <c r="F10221">
        <f t="shared" si="159"/>
        <v>2.95</v>
      </c>
    </row>
    <row r="10222" spans="1:6" x14ac:dyDescent="0.3">
      <c r="A10222" t="s">
        <v>1595</v>
      </c>
      <c r="B10222" t="s">
        <v>2128</v>
      </c>
      <c r="C10222">
        <v>13</v>
      </c>
      <c r="D10222">
        <v>15</v>
      </c>
      <c r="E10222">
        <f>IF(OR(B10222="vi",B10222="ii",B10222="pod"),(((D10222/100)*(C10222*VLOOKUP(B10222,'Poids des runes'!A:B,2,FALSE)))+1),(((D10222/100)*(C10222*VLOOKUP(B10222,'Poids des runes'!A:B,2,FALSE)))+1)/VLOOKUP(B10222,'Poids des runes'!A:B,2,FALSE))</f>
        <v>1.3900000000000001</v>
      </c>
      <c r="F10222">
        <f t="shared" si="159"/>
        <v>1.3900000000000001</v>
      </c>
    </row>
    <row r="10223" spans="1:6" x14ac:dyDescent="0.3">
      <c r="A10223" t="s">
        <v>1595</v>
      </c>
      <c r="B10223" t="s">
        <v>2130</v>
      </c>
      <c r="C10223">
        <v>6.5</v>
      </c>
      <c r="D10223">
        <v>15</v>
      </c>
      <c r="E10223">
        <f>IF(OR(B10223="vi",B10223="ii",B10223="pod"),(((D10223/100)*(C10223*VLOOKUP(B10223,'Poids des runes'!A:B,2,FALSE)))+1),(((D10223/100)*(C10223*VLOOKUP(B10223,'Poids des runes'!A:B,2,FALSE)))+1)/VLOOKUP(B10223,'Poids des runes'!A:B,2,FALSE))</f>
        <v>1.9750000000000001</v>
      </c>
      <c r="F10223">
        <f t="shared" si="159"/>
        <v>1.9750000000000001</v>
      </c>
    </row>
    <row r="10224" spans="1:6" x14ac:dyDescent="0.3">
      <c r="A10224" t="s">
        <v>1595</v>
      </c>
      <c r="B10224" t="s">
        <v>2126</v>
      </c>
      <c r="C10224">
        <v>6.5</v>
      </c>
      <c r="D10224">
        <v>15</v>
      </c>
      <c r="E10224">
        <f>IF(OR(B10224="vi",B10224="ii",B10224="pod"),(((D10224/100)*(C10224*VLOOKUP(B10224,'Poids des runes'!A:B,2,FALSE)))+1),(((D10224/100)*(C10224*VLOOKUP(B10224,'Poids des runes'!A:B,2,FALSE)))+1)/VLOOKUP(B10224,'Poids des runes'!A:B,2,FALSE))</f>
        <v>1.9750000000000001</v>
      </c>
      <c r="F10224">
        <f t="shared" si="159"/>
        <v>1.9750000000000001</v>
      </c>
    </row>
    <row r="10225" spans="1:6" x14ac:dyDescent="0.3">
      <c r="A10225" t="s">
        <v>1596</v>
      </c>
      <c r="B10225" t="s">
        <v>2130</v>
      </c>
      <c r="C10225">
        <v>23</v>
      </c>
      <c r="D10225">
        <v>15</v>
      </c>
      <c r="E10225">
        <f>IF(OR(B10225="vi",B10225="ii",B10225="pod"),(((D10225/100)*(C10225*VLOOKUP(B10225,'Poids des runes'!A:B,2,FALSE)))+1),(((D10225/100)*(C10225*VLOOKUP(B10225,'Poids des runes'!A:B,2,FALSE)))+1)/VLOOKUP(B10225,'Poids des runes'!A:B,2,FALSE))</f>
        <v>4.4499999999999993</v>
      </c>
      <c r="F10225">
        <f t="shared" si="159"/>
        <v>4.4499999999999993</v>
      </c>
    </row>
    <row r="10226" spans="1:6" x14ac:dyDescent="0.3">
      <c r="A10226" t="s">
        <v>1597</v>
      </c>
      <c r="B10226" t="s">
        <v>2128</v>
      </c>
      <c r="C10226">
        <v>13</v>
      </c>
      <c r="D10226">
        <v>15</v>
      </c>
      <c r="E10226">
        <f>IF(OR(B10226="vi",B10226="ii",B10226="pod"),(((D10226/100)*(C10226*VLOOKUP(B10226,'Poids des runes'!A:B,2,FALSE)))+1),(((D10226/100)*(C10226*VLOOKUP(B10226,'Poids des runes'!A:B,2,FALSE)))+1)/VLOOKUP(B10226,'Poids des runes'!A:B,2,FALSE))</f>
        <v>1.3900000000000001</v>
      </c>
      <c r="F10226">
        <f t="shared" si="159"/>
        <v>1.3900000000000001</v>
      </c>
    </row>
    <row r="10227" spans="1:6" x14ac:dyDescent="0.3">
      <c r="A10227" t="s">
        <v>1597</v>
      </c>
      <c r="B10227" t="s">
        <v>2130</v>
      </c>
      <c r="C10227">
        <v>8.5</v>
      </c>
      <c r="D10227">
        <v>15</v>
      </c>
      <c r="E10227">
        <f>IF(OR(B10227="vi",B10227="ii",B10227="pod"),(((D10227/100)*(C10227*VLOOKUP(B10227,'Poids des runes'!A:B,2,FALSE)))+1),(((D10227/100)*(C10227*VLOOKUP(B10227,'Poids des runes'!A:B,2,FALSE)))+1)/VLOOKUP(B10227,'Poids des runes'!A:B,2,FALSE))</f>
        <v>2.2749999999999999</v>
      </c>
      <c r="F10227">
        <f t="shared" si="159"/>
        <v>2.2749999999999999</v>
      </c>
    </row>
    <row r="10228" spans="1:6" x14ac:dyDescent="0.3">
      <c r="A10228" t="s">
        <v>1597</v>
      </c>
      <c r="B10228" t="s">
        <v>2143</v>
      </c>
      <c r="C10228">
        <v>2</v>
      </c>
      <c r="D10228">
        <v>15</v>
      </c>
      <c r="E10228">
        <f>IF(OR(B10228="vi",B10228="ii",B10228="pod"),(((D10228/100)*(C10228*VLOOKUP(B10228,'Poids des runes'!A:B,2,FALSE)))+1),(((D10228/100)*(C10228*VLOOKUP(B10228,'Poids des runes'!A:B,2,FALSE)))+1)/VLOOKUP(B10228,'Poids des runes'!A:B,2,FALSE))</f>
        <v>0.5</v>
      </c>
      <c r="F10228">
        <f t="shared" si="159"/>
        <v>0.5</v>
      </c>
    </row>
    <row r="10229" spans="1:6" x14ac:dyDescent="0.3">
      <c r="A10229" t="s">
        <v>1598</v>
      </c>
      <c r="B10229" t="s">
        <v>2128</v>
      </c>
      <c r="C10229">
        <v>18</v>
      </c>
      <c r="D10229">
        <v>16</v>
      </c>
      <c r="E10229">
        <f>IF(OR(B10229="vi",B10229="ii",B10229="pod"),(((D10229/100)*(C10229*VLOOKUP(B10229,'Poids des runes'!A:B,2,FALSE)))+1),(((D10229/100)*(C10229*VLOOKUP(B10229,'Poids des runes'!A:B,2,FALSE)))+1)/VLOOKUP(B10229,'Poids des runes'!A:B,2,FALSE))</f>
        <v>1.5760000000000001</v>
      </c>
      <c r="F10229">
        <f t="shared" si="159"/>
        <v>1.5760000000000001</v>
      </c>
    </row>
    <row r="10230" spans="1:6" x14ac:dyDescent="0.3">
      <c r="A10230" t="s">
        <v>1598</v>
      </c>
      <c r="B10230" t="s">
        <v>2126</v>
      </c>
      <c r="C10230">
        <v>13</v>
      </c>
      <c r="D10230">
        <v>16</v>
      </c>
      <c r="E10230">
        <f>IF(OR(B10230="vi",B10230="ii",B10230="pod"),(((D10230/100)*(C10230*VLOOKUP(B10230,'Poids des runes'!A:B,2,FALSE)))+1),(((D10230/100)*(C10230*VLOOKUP(B10230,'Poids des runes'!A:B,2,FALSE)))+1)/VLOOKUP(B10230,'Poids des runes'!A:B,2,FALSE))</f>
        <v>3.08</v>
      </c>
      <c r="F10230">
        <f t="shared" si="159"/>
        <v>3.08</v>
      </c>
    </row>
    <row r="10231" spans="1:6" x14ac:dyDescent="0.3">
      <c r="A10231" t="s">
        <v>1598</v>
      </c>
      <c r="B10231" t="s">
        <v>2151</v>
      </c>
      <c r="C10231">
        <v>1</v>
      </c>
      <c r="D10231">
        <v>16</v>
      </c>
      <c r="E10231">
        <f>IF(OR(B10231="vi",B10231="ii",B10231="pod"),(((D10231/100)*(C10231*VLOOKUP(B10231,'Poids des runes'!A:B,2,FALSE)))+1),(((D10231/100)*(C10231*VLOOKUP(B10231,'Poids des runes'!A:B,2,FALSE)))+1)/VLOOKUP(B10231,'Poids des runes'!A:B,2,FALSE))</f>
        <v>0.26</v>
      </c>
      <c r="F10231">
        <f t="shared" si="159"/>
        <v>0.26</v>
      </c>
    </row>
    <row r="10232" spans="1:6" x14ac:dyDescent="0.3">
      <c r="A10232" t="s">
        <v>1599</v>
      </c>
      <c r="B10232" t="s">
        <v>2127</v>
      </c>
      <c r="C10232">
        <v>18</v>
      </c>
      <c r="D10232">
        <v>16</v>
      </c>
      <c r="E10232">
        <f>IF(OR(B10232="vi",B10232="ii",B10232="pod"),(((D10232/100)*(C10232*VLOOKUP(B10232,'Poids des runes'!A:B,2,FALSE)))+1),(((D10232/100)*(C10232*VLOOKUP(B10232,'Poids des runes'!A:B,2,FALSE)))+1)/VLOOKUP(B10232,'Poids des runes'!A:B,2,FALSE))</f>
        <v>3.88</v>
      </c>
      <c r="F10232">
        <f t="shared" si="159"/>
        <v>3.88</v>
      </c>
    </row>
    <row r="10233" spans="1:6" x14ac:dyDescent="0.3">
      <c r="A10233" t="s">
        <v>1599</v>
      </c>
      <c r="B10233" t="s">
        <v>2138</v>
      </c>
      <c r="C10233">
        <v>2.5</v>
      </c>
      <c r="D10233">
        <v>16</v>
      </c>
      <c r="E10233">
        <f>IF(OR(B10233="vi",B10233="ii",B10233="pod"),(((D10233/100)*(C10233*VLOOKUP(B10233,'Poids des runes'!A:B,2,FALSE)))+1),(((D10233/100)*(C10233*VLOOKUP(B10233,'Poids des runes'!A:B,2,FALSE)))+1)/VLOOKUP(B10233,'Poids des runes'!A:B,2,FALSE))</f>
        <v>0.65</v>
      </c>
      <c r="F10233">
        <f t="shared" si="159"/>
        <v>0.65</v>
      </c>
    </row>
    <row r="10234" spans="1:6" x14ac:dyDescent="0.3">
      <c r="A10234" t="s">
        <v>1600</v>
      </c>
      <c r="B10234" t="s">
        <v>2128</v>
      </c>
      <c r="C10234">
        <v>23</v>
      </c>
      <c r="D10234">
        <v>17</v>
      </c>
      <c r="E10234">
        <f>IF(OR(B10234="vi",B10234="ii",B10234="pod"),(((D10234/100)*(C10234*VLOOKUP(B10234,'Poids des runes'!A:B,2,FALSE)))+1),(((D10234/100)*(C10234*VLOOKUP(B10234,'Poids des runes'!A:B,2,FALSE)))+1)/VLOOKUP(B10234,'Poids des runes'!A:B,2,FALSE))</f>
        <v>1.782</v>
      </c>
      <c r="F10234">
        <f t="shared" si="159"/>
        <v>1.782</v>
      </c>
    </row>
    <row r="10235" spans="1:6" x14ac:dyDescent="0.3">
      <c r="A10235" t="s">
        <v>1600</v>
      </c>
      <c r="B10235" t="s">
        <v>2127</v>
      </c>
      <c r="C10235">
        <v>18</v>
      </c>
      <c r="D10235">
        <v>17</v>
      </c>
      <c r="E10235">
        <f>IF(OR(B10235="vi",B10235="ii",B10235="pod"),(((D10235/100)*(C10235*VLOOKUP(B10235,'Poids des runes'!A:B,2,FALSE)))+1),(((D10235/100)*(C10235*VLOOKUP(B10235,'Poids des runes'!A:B,2,FALSE)))+1)/VLOOKUP(B10235,'Poids des runes'!A:B,2,FALSE))</f>
        <v>4.0600000000000005</v>
      </c>
      <c r="F10235">
        <f t="shared" si="159"/>
        <v>4.0600000000000005</v>
      </c>
    </row>
    <row r="10236" spans="1:6" x14ac:dyDescent="0.3">
      <c r="A10236" t="s">
        <v>1601</v>
      </c>
      <c r="B10236" t="s">
        <v>2126</v>
      </c>
      <c r="C10236">
        <v>25.5</v>
      </c>
      <c r="D10236">
        <v>17</v>
      </c>
      <c r="E10236">
        <f>IF(OR(B10236="vi",B10236="ii",B10236="pod"),(((D10236/100)*(C10236*VLOOKUP(B10236,'Poids des runes'!A:B,2,FALSE)))+1),(((D10236/100)*(C10236*VLOOKUP(B10236,'Poids des runes'!A:B,2,FALSE)))+1)/VLOOKUP(B10236,'Poids des runes'!A:B,2,FALSE))</f>
        <v>5.335</v>
      </c>
      <c r="F10236">
        <f t="shared" si="159"/>
        <v>5.335</v>
      </c>
    </row>
    <row r="10237" spans="1:6" x14ac:dyDescent="0.3">
      <c r="A10237" t="s">
        <v>1602</v>
      </c>
      <c r="B10237" t="s">
        <v>2128</v>
      </c>
      <c r="C10237">
        <v>18</v>
      </c>
      <c r="D10237">
        <v>17</v>
      </c>
      <c r="E10237">
        <f>IF(OR(B10237="vi",B10237="ii",B10237="pod"),(((D10237/100)*(C10237*VLOOKUP(B10237,'Poids des runes'!A:B,2,FALSE)))+1),(((D10237/100)*(C10237*VLOOKUP(B10237,'Poids des runes'!A:B,2,FALSE)))+1)/VLOOKUP(B10237,'Poids des runes'!A:B,2,FALSE))</f>
        <v>1.6120000000000001</v>
      </c>
      <c r="F10237">
        <f t="shared" si="159"/>
        <v>1.6120000000000001</v>
      </c>
    </row>
    <row r="10238" spans="1:6" x14ac:dyDescent="0.3">
      <c r="A10238" t="s">
        <v>1602</v>
      </c>
      <c r="B10238" t="s">
        <v>2130</v>
      </c>
      <c r="C10238">
        <v>8.5</v>
      </c>
      <c r="D10238">
        <v>17</v>
      </c>
      <c r="E10238">
        <f>IF(OR(B10238="vi",B10238="ii",B10238="pod"),(((D10238/100)*(C10238*VLOOKUP(B10238,'Poids des runes'!A:B,2,FALSE)))+1),(((D10238/100)*(C10238*VLOOKUP(B10238,'Poids des runes'!A:B,2,FALSE)))+1)/VLOOKUP(B10238,'Poids des runes'!A:B,2,FALSE))</f>
        <v>2.4450000000000003</v>
      </c>
      <c r="F10238">
        <f t="shared" si="159"/>
        <v>2.4450000000000003</v>
      </c>
    </row>
    <row r="10239" spans="1:6" x14ac:dyDescent="0.3">
      <c r="A10239" t="s">
        <v>1602</v>
      </c>
      <c r="B10239" t="s">
        <v>2141</v>
      </c>
      <c r="C10239">
        <v>3.5</v>
      </c>
      <c r="D10239">
        <v>17</v>
      </c>
      <c r="E10239">
        <f>IF(OR(B10239="vi",B10239="ii",B10239="pod"),(((D10239/100)*(C10239*VLOOKUP(B10239,'Poids des runes'!A:B,2,FALSE)))+1),(((D10239/100)*(C10239*VLOOKUP(B10239,'Poids des runes'!A:B,2,FALSE)))+1)/VLOOKUP(B10239,'Poids des runes'!A:B,2,FALSE))</f>
        <v>0.84500000000000008</v>
      </c>
      <c r="F10239">
        <f t="shared" si="159"/>
        <v>0.84500000000000008</v>
      </c>
    </row>
    <row r="10240" spans="1:6" x14ac:dyDescent="0.3">
      <c r="A10240" t="s">
        <v>1603</v>
      </c>
      <c r="B10240" t="s">
        <v>2128</v>
      </c>
      <c r="C10240">
        <v>13</v>
      </c>
      <c r="D10240">
        <v>18</v>
      </c>
      <c r="E10240">
        <f>IF(OR(B10240="vi",B10240="ii",B10240="pod"),(((D10240/100)*(C10240*VLOOKUP(B10240,'Poids des runes'!A:B,2,FALSE)))+1),(((D10240/100)*(C10240*VLOOKUP(B10240,'Poids des runes'!A:B,2,FALSE)))+1)/VLOOKUP(B10240,'Poids des runes'!A:B,2,FALSE))</f>
        <v>1.468</v>
      </c>
      <c r="F10240">
        <f t="shared" si="159"/>
        <v>1.468</v>
      </c>
    </row>
    <row r="10241" spans="1:6" x14ac:dyDescent="0.3">
      <c r="A10241" t="s">
        <v>1603</v>
      </c>
      <c r="B10241" t="s">
        <v>2131</v>
      </c>
      <c r="C10241">
        <v>13</v>
      </c>
      <c r="D10241">
        <v>18</v>
      </c>
      <c r="E10241">
        <f>IF(OR(B10241="vi",B10241="ii",B10241="pod"),(((D10241/100)*(C10241*VLOOKUP(B10241,'Poids des runes'!A:B,2,FALSE)))+1),(((D10241/100)*(C10241*VLOOKUP(B10241,'Poids des runes'!A:B,2,FALSE)))+1)/VLOOKUP(B10241,'Poids des runes'!A:B,2,FALSE))</f>
        <v>3.34</v>
      </c>
      <c r="F10241">
        <f t="shared" si="159"/>
        <v>3.34</v>
      </c>
    </row>
    <row r="10242" spans="1:6" x14ac:dyDescent="0.3">
      <c r="A10242" t="s">
        <v>1603</v>
      </c>
      <c r="B10242" t="s">
        <v>2127</v>
      </c>
      <c r="C10242">
        <v>13</v>
      </c>
      <c r="D10242">
        <v>18</v>
      </c>
      <c r="E10242">
        <f>IF(OR(B10242="vi",B10242="ii",B10242="pod"),(((D10242/100)*(C10242*VLOOKUP(B10242,'Poids des runes'!A:B,2,FALSE)))+1),(((D10242/100)*(C10242*VLOOKUP(B10242,'Poids des runes'!A:B,2,FALSE)))+1)/VLOOKUP(B10242,'Poids des runes'!A:B,2,FALSE))</f>
        <v>3.34</v>
      </c>
      <c r="F10242">
        <f t="shared" si="159"/>
        <v>3.34</v>
      </c>
    </row>
    <row r="10243" spans="1:6" x14ac:dyDescent="0.3">
      <c r="A10243" t="s">
        <v>1604</v>
      </c>
      <c r="B10243" t="s">
        <v>2127</v>
      </c>
      <c r="C10243">
        <v>20.5</v>
      </c>
      <c r="D10243">
        <v>18</v>
      </c>
      <c r="E10243">
        <f>IF(OR(B10243="vi",B10243="ii",B10243="pod"),(((D10243/100)*(C10243*VLOOKUP(B10243,'Poids des runes'!A:B,2,FALSE)))+1),(((D10243/100)*(C10243*VLOOKUP(B10243,'Poids des runes'!A:B,2,FALSE)))+1)/VLOOKUP(B10243,'Poids des runes'!A:B,2,FALSE))</f>
        <v>4.6899999999999995</v>
      </c>
      <c r="F10243">
        <f t="shared" ref="F10243:F10306" si="160">E10243</f>
        <v>4.6899999999999995</v>
      </c>
    </row>
    <row r="10244" spans="1:6" x14ac:dyDescent="0.3">
      <c r="A10244" t="s">
        <v>1604</v>
      </c>
      <c r="B10244" t="s">
        <v>2151</v>
      </c>
      <c r="C10244">
        <v>1.5</v>
      </c>
      <c r="D10244">
        <v>18</v>
      </c>
      <c r="E10244">
        <f>IF(OR(B10244="vi",B10244="ii",B10244="pod"),(((D10244/100)*(C10244*VLOOKUP(B10244,'Poids des runes'!A:B,2,FALSE)))+1),(((D10244/100)*(C10244*VLOOKUP(B10244,'Poids des runes'!A:B,2,FALSE)))+1)/VLOOKUP(B10244,'Poids des runes'!A:B,2,FALSE))</f>
        <v>0.37</v>
      </c>
      <c r="F10244">
        <f t="shared" si="160"/>
        <v>0.37</v>
      </c>
    </row>
    <row r="10245" spans="1:6" x14ac:dyDescent="0.3">
      <c r="A10245" t="s">
        <v>1605</v>
      </c>
      <c r="B10245" t="s">
        <v>2130</v>
      </c>
      <c r="C10245">
        <v>20.5</v>
      </c>
      <c r="D10245">
        <v>18</v>
      </c>
      <c r="E10245">
        <f>IF(OR(B10245="vi",B10245="ii",B10245="pod"),(((D10245/100)*(C10245*VLOOKUP(B10245,'Poids des runes'!A:B,2,FALSE)))+1),(((D10245/100)*(C10245*VLOOKUP(B10245,'Poids des runes'!A:B,2,FALSE)))+1)/VLOOKUP(B10245,'Poids des runes'!A:B,2,FALSE))</f>
        <v>4.6899999999999995</v>
      </c>
      <c r="F10245">
        <f t="shared" si="160"/>
        <v>4.6899999999999995</v>
      </c>
    </row>
    <row r="10246" spans="1:6" x14ac:dyDescent="0.3">
      <c r="A10246" t="s">
        <v>1605</v>
      </c>
      <c r="B10246" t="s">
        <v>2151</v>
      </c>
      <c r="C10246">
        <v>2</v>
      </c>
      <c r="D10246">
        <v>18</v>
      </c>
      <c r="E10246">
        <f>IF(OR(B10246="vi",B10246="ii",B10246="pod"),(((D10246/100)*(C10246*VLOOKUP(B10246,'Poids des runes'!A:B,2,FALSE)))+1),(((D10246/100)*(C10246*VLOOKUP(B10246,'Poids des runes'!A:B,2,FALSE)))+1)/VLOOKUP(B10246,'Poids des runes'!A:B,2,FALSE))</f>
        <v>0.45999999999999996</v>
      </c>
      <c r="F10246">
        <f t="shared" si="160"/>
        <v>0.45999999999999996</v>
      </c>
    </row>
    <row r="10247" spans="1:6" x14ac:dyDescent="0.3">
      <c r="A10247" t="s">
        <v>1606</v>
      </c>
      <c r="B10247" t="s">
        <v>2128</v>
      </c>
      <c r="C10247">
        <v>20.5</v>
      </c>
      <c r="D10247">
        <v>18</v>
      </c>
      <c r="E10247">
        <f>IF(OR(B10247="vi",B10247="ii",B10247="pod"),(((D10247/100)*(C10247*VLOOKUP(B10247,'Poids des runes'!A:B,2,FALSE)))+1),(((D10247/100)*(C10247*VLOOKUP(B10247,'Poids des runes'!A:B,2,FALSE)))+1)/VLOOKUP(B10247,'Poids des runes'!A:B,2,FALSE))</f>
        <v>1.738</v>
      </c>
      <c r="F10247">
        <f t="shared" si="160"/>
        <v>1.738</v>
      </c>
    </row>
    <row r="10248" spans="1:6" x14ac:dyDescent="0.3">
      <c r="A10248" t="s">
        <v>1606</v>
      </c>
      <c r="B10248" t="s">
        <v>2130</v>
      </c>
      <c r="C10248">
        <v>18</v>
      </c>
      <c r="D10248">
        <v>18</v>
      </c>
      <c r="E10248">
        <f>IF(OR(B10248="vi",B10248="ii",B10248="pod"),(((D10248/100)*(C10248*VLOOKUP(B10248,'Poids des runes'!A:B,2,FALSE)))+1),(((D10248/100)*(C10248*VLOOKUP(B10248,'Poids des runes'!A:B,2,FALSE)))+1)/VLOOKUP(B10248,'Poids des runes'!A:B,2,FALSE))</f>
        <v>4.24</v>
      </c>
      <c r="F10248">
        <f t="shared" si="160"/>
        <v>4.24</v>
      </c>
    </row>
    <row r="10249" spans="1:6" x14ac:dyDescent="0.3">
      <c r="A10249" t="s">
        <v>1607</v>
      </c>
      <c r="B10249" t="s">
        <v>2130</v>
      </c>
      <c r="C10249">
        <v>13</v>
      </c>
      <c r="D10249">
        <v>18</v>
      </c>
      <c r="E10249">
        <f>IF(OR(B10249="vi",B10249="ii",B10249="pod"),(((D10249/100)*(C10249*VLOOKUP(B10249,'Poids des runes'!A:B,2,FALSE)))+1),(((D10249/100)*(C10249*VLOOKUP(B10249,'Poids des runes'!A:B,2,FALSE)))+1)/VLOOKUP(B10249,'Poids des runes'!A:B,2,FALSE))</f>
        <v>3.34</v>
      </c>
      <c r="F10249">
        <f t="shared" si="160"/>
        <v>3.34</v>
      </c>
    </row>
    <row r="10250" spans="1:6" x14ac:dyDescent="0.3">
      <c r="A10250" t="s">
        <v>1607</v>
      </c>
      <c r="B10250" t="s">
        <v>2126</v>
      </c>
      <c r="C10250">
        <v>13</v>
      </c>
      <c r="D10250">
        <v>18</v>
      </c>
      <c r="E10250">
        <f>IF(OR(B10250="vi",B10250="ii",B10250="pod"),(((D10250/100)*(C10250*VLOOKUP(B10250,'Poids des runes'!A:B,2,FALSE)))+1),(((D10250/100)*(C10250*VLOOKUP(B10250,'Poids des runes'!A:B,2,FALSE)))+1)/VLOOKUP(B10250,'Poids des runes'!A:B,2,FALSE))</f>
        <v>3.34</v>
      </c>
      <c r="F10250">
        <f t="shared" si="160"/>
        <v>3.34</v>
      </c>
    </row>
    <row r="10251" spans="1:6" x14ac:dyDescent="0.3">
      <c r="A10251" t="s">
        <v>1608</v>
      </c>
      <c r="B10251" t="s">
        <v>2128</v>
      </c>
      <c r="C10251">
        <v>25.5</v>
      </c>
      <c r="D10251">
        <v>19</v>
      </c>
      <c r="E10251">
        <f>IF(OR(B10251="vi",B10251="ii",B10251="pod"),(((D10251/100)*(C10251*VLOOKUP(B10251,'Poids des runes'!A:B,2,FALSE)))+1),(((D10251/100)*(C10251*VLOOKUP(B10251,'Poids des runes'!A:B,2,FALSE)))+1)/VLOOKUP(B10251,'Poids des runes'!A:B,2,FALSE))</f>
        <v>1.9690000000000001</v>
      </c>
      <c r="F10251">
        <f t="shared" si="160"/>
        <v>1.9690000000000001</v>
      </c>
    </row>
    <row r="10252" spans="1:6" x14ac:dyDescent="0.3">
      <c r="A10252" t="s">
        <v>1608</v>
      </c>
      <c r="B10252" t="s">
        <v>2140</v>
      </c>
      <c r="C10252">
        <v>2</v>
      </c>
      <c r="D10252">
        <v>19</v>
      </c>
      <c r="E10252">
        <f>IF(OR(B10252="vi",B10252="ii",B10252="pod"),(((D10252/100)*(C10252*VLOOKUP(B10252,'Poids des runes'!A:B,2,FALSE)))+1),(((D10252/100)*(C10252*VLOOKUP(B10252,'Poids des runes'!A:B,2,FALSE)))+1)/VLOOKUP(B10252,'Poids des runes'!A:B,2,FALSE))</f>
        <v>0.57999999999999996</v>
      </c>
      <c r="F10252">
        <f t="shared" si="160"/>
        <v>0.57999999999999996</v>
      </c>
    </row>
    <row r="10253" spans="1:6" x14ac:dyDescent="0.3">
      <c r="A10253" t="s">
        <v>1608</v>
      </c>
      <c r="B10253" t="s">
        <v>2141</v>
      </c>
      <c r="C10253">
        <v>2.5</v>
      </c>
      <c r="D10253">
        <v>19</v>
      </c>
      <c r="E10253">
        <f>IF(OR(B10253="vi",B10253="ii",B10253="pod"),(((D10253/100)*(C10253*VLOOKUP(B10253,'Poids des runes'!A:B,2,FALSE)))+1),(((D10253/100)*(C10253*VLOOKUP(B10253,'Poids des runes'!A:B,2,FALSE)))+1)/VLOOKUP(B10253,'Poids des runes'!A:B,2,FALSE))</f>
        <v>0.72499999999999998</v>
      </c>
      <c r="F10253">
        <f t="shared" si="160"/>
        <v>0.72499999999999998</v>
      </c>
    </row>
    <row r="10254" spans="1:6" x14ac:dyDescent="0.3">
      <c r="A10254" t="s">
        <v>1608</v>
      </c>
      <c r="B10254" t="s">
        <v>2158</v>
      </c>
      <c r="C10254">
        <v>2</v>
      </c>
      <c r="D10254">
        <v>19</v>
      </c>
      <c r="E10254">
        <f>IF(OR(B10254="vi",B10254="ii",B10254="pod"),(((D10254/100)*(C10254*VLOOKUP(B10254,'Poids des runes'!A:B,2,FALSE)))+1),(((D10254/100)*(C10254*VLOOKUP(B10254,'Poids des runes'!A:B,2,FALSE)))+1)/VLOOKUP(B10254,'Poids des runes'!A:B,2,FALSE))</f>
        <v>0.57999999999999996</v>
      </c>
      <c r="F10254">
        <f t="shared" si="160"/>
        <v>0.57999999999999996</v>
      </c>
    </row>
    <row r="10255" spans="1:6" x14ac:dyDescent="0.3">
      <c r="A10255" t="s">
        <v>1608</v>
      </c>
      <c r="B10255" t="s">
        <v>2163</v>
      </c>
      <c r="C10255">
        <v>2.5</v>
      </c>
      <c r="D10255">
        <v>19</v>
      </c>
      <c r="E10255">
        <f>IF(OR(B10255="vi",B10255="ii",B10255="pod"),(((D10255/100)*(C10255*VLOOKUP(B10255,'Poids des runes'!A:B,2,FALSE)))+1),(((D10255/100)*(C10255*VLOOKUP(B10255,'Poids des runes'!A:B,2,FALSE)))+1)/VLOOKUP(B10255,'Poids des runes'!A:B,2,FALSE))</f>
        <v>0.97499999999999998</v>
      </c>
      <c r="F10255">
        <f t="shared" si="160"/>
        <v>0.97499999999999998</v>
      </c>
    </row>
    <row r="10256" spans="1:6" x14ac:dyDescent="0.3">
      <c r="A10256" t="s">
        <v>1609</v>
      </c>
      <c r="B10256" t="s">
        <v>2128</v>
      </c>
      <c r="C10256">
        <v>20.5</v>
      </c>
      <c r="D10256">
        <v>20</v>
      </c>
      <c r="E10256">
        <f>IF(OR(B10256="vi",B10256="ii",B10256="pod"),(((D10256/100)*(C10256*VLOOKUP(B10256,'Poids des runes'!A:B,2,FALSE)))+1),(((D10256/100)*(C10256*VLOOKUP(B10256,'Poids des runes'!A:B,2,FALSE)))+1)/VLOOKUP(B10256,'Poids des runes'!A:B,2,FALSE))</f>
        <v>1.8200000000000003</v>
      </c>
      <c r="F10256">
        <f t="shared" si="160"/>
        <v>1.8200000000000003</v>
      </c>
    </row>
    <row r="10257" spans="1:6" x14ac:dyDescent="0.3">
      <c r="A10257" t="s">
        <v>1609</v>
      </c>
      <c r="B10257" t="s">
        <v>2138</v>
      </c>
      <c r="C10257">
        <v>2.5</v>
      </c>
      <c r="D10257">
        <v>20</v>
      </c>
      <c r="E10257">
        <f>IF(OR(B10257="vi",B10257="ii",B10257="pod"),(((D10257/100)*(C10257*VLOOKUP(B10257,'Poids des runes'!A:B,2,FALSE)))+1),(((D10257/100)*(C10257*VLOOKUP(B10257,'Poids des runes'!A:B,2,FALSE)))+1)/VLOOKUP(B10257,'Poids des runes'!A:B,2,FALSE))</f>
        <v>0.75</v>
      </c>
      <c r="F10257">
        <f t="shared" si="160"/>
        <v>0.75</v>
      </c>
    </row>
    <row r="10258" spans="1:6" x14ac:dyDescent="0.3">
      <c r="A10258" t="s">
        <v>1609</v>
      </c>
      <c r="B10258" t="s">
        <v>2166</v>
      </c>
      <c r="C10258">
        <v>1</v>
      </c>
      <c r="D10258">
        <v>20</v>
      </c>
      <c r="E10258">
        <f>IF(OR(B10258="vi",B10258="ii",B10258="pod"),(((D10258/100)*(C10258*VLOOKUP(B10258,'Poids des runes'!A:B,2,FALSE)))+1),(((D10258/100)*(C10258*VLOOKUP(B10258,'Poids des runes'!A:B,2,FALSE)))+1)/VLOOKUP(B10258,'Poids des runes'!A:B,2,FALSE))</f>
        <v>0.53333333333333333</v>
      </c>
      <c r="F10258">
        <f t="shared" si="160"/>
        <v>0.53333333333333333</v>
      </c>
    </row>
    <row r="10259" spans="1:6" x14ac:dyDescent="0.3">
      <c r="A10259" t="s">
        <v>1610</v>
      </c>
      <c r="B10259" t="s">
        <v>2128</v>
      </c>
      <c r="C10259">
        <v>18</v>
      </c>
      <c r="D10259">
        <v>20</v>
      </c>
      <c r="E10259">
        <f>IF(OR(B10259="vi",B10259="ii",B10259="pod"),(((D10259/100)*(C10259*VLOOKUP(B10259,'Poids des runes'!A:B,2,FALSE)))+1),(((D10259/100)*(C10259*VLOOKUP(B10259,'Poids des runes'!A:B,2,FALSE)))+1)/VLOOKUP(B10259,'Poids des runes'!A:B,2,FALSE))</f>
        <v>1.7200000000000002</v>
      </c>
      <c r="F10259">
        <f t="shared" si="160"/>
        <v>1.7200000000000002</v>
      </c>
    </row>
    <row r="10260" spans="1:6" x14ac:dyDescent="0.3">
      <c r="A10260" t="s">
        <v>1610</v>
      </c>
      <c r="B10260" t="s">
        <v>2126</v>
      </c>
      <c r="C10260">
        <v>13</v>
      </c>
      <c r="D10260">
        <v>20</v>
      </c>
      <c r="E10260">
        <f>IF(OR(B10260="vi",B10260="ii",B10260="pod"),(((D10260/100)*(C10260*VLOOKUP(B10260,'Poids des runes'!A:B,2,FALSE)))+1),(((D10260/100)*(C10260*VLOOKUP(B10260,'Poids des runes'!A:B,2,FALSE)))+1)/VLOOKUP(B10260,'Poids des runes'!A:B,2,FALSE))</f>
        <v>3.6</v>
      </c>
      <c r="F10260">
        <f t="shared" si="160"/>
        <v>3.6</v>
      </c>
    </row>
    <row r="10261" spans="1:6" x14ac:dyDescent="0.3">
      <c r="A10261" t="s">
        <v>1610</v>
      </c>
      <c r="B10261" t="s">
        <v>2129</v>
      </c>
      <c r="C10261">
        <v>4</v>
      </c>
      <c r="D10261">
        <v>20</v>
      </c>
      <c r="E10261">
        <f>IF(OR(B10261="vi",B10261="ii",B10261="pod"),(((D10261/100)*(C10261*VLOOKUP(B10261,'Poids des runes'!A:B,2,FALSE)))+1),(((D10261/100)*(C10261*VLOOKUP(B10261,'Poids des runes'!A:B,2,FALSE)))+1)/VLOOKUP(B10261,'Poids des runes'!A:B,2,FALSE))</f>
        <v>1.8</v>
      </c>
      <c r="F10261">
        <f t="shared" si="160"/>
        <v>1.8</v>
      </c>
    </row>
    <row r="10262" spans="1:6" x14ac:dyDescent="0.3">
      <c r="A10262" t="s">
        <v>1610</v>
      </c>
      <c r="B10262" t="s">
        <v>2145</v>
      </c>
      <c r="C10262">
        <v>2.5</v>
      </c>
      <c r="D10262">
        <v>20</v>
      </c>
      <c r="E10262">
        <f>IF(OR(B10262="vi",B10262="ii",B10262="pod"),(((D10262/100)*(C10262*VLOOKUP(B10262,'Poids des runes'!A:B,2,FALSE)))+1),(((D10262/100)*(C10262*VLOOKUP(B10262,'Poids des runes'!A:B,2,FALSE)))+1)/VLOOKUP(B10262,'Poids des runes'!A:B,2,FALSE))</f>
        <v>1</v>
      </c>
      <c r="F10262">
        <f t="shared" si="160"/>
        <v>1</v>
      </c>
    </row>
    <row r="10263" spans="1:6" x14ac:dyDescent="0.3">
      <c r="A10263" t="s">
        <v>1611</v>
      </c>
      <c r="B10263" t="s">
        <v>2127</v>
      </c>
      <c r="C10263">
        <v>13</v>
      </c>
      <c r="D10263">
        <v>20</v>
      </c>
      <c r="E10263">
        <f>IF(OR(B10263="vi",B10263="ii",B10263="pod"),(((D10263/100)*(C10263*VLOOKUP(B10263,'Poids des runes'!A:B,2,FALSE)))+1),(((D10263/100)*(C10263*VLOOKUP(B10263,'Poids des runes'!A:B,2,FALSE)))+1)/VLOOKUP(B10263,'Poids des runes'!A:B,2,FALSE))</f>
        <v>3.6</v>
      </c>
      <c r="F10263">
        <f t="shared" si="160"/>
        <v>3.6</v>
      </c>
    </row>
    <row r="10264" spans="1:6" x14ac:dyDescent="0.3">
      <c r="A10264" t="s">
        <v>1611</v>
      </c>
      <c r="B10264" t="s">
        <v>2151</v>
      </c>
      <c r="C10264">
        <v>2.5</v>
      </c>
      <c r="D10264">
        <v>20</v>
      </c>
      <c r="E10264">
        <f>IF(OR(B10264="vi",B10264="ii",B10264="pod"),(((D10264/100)*(C10264*VLOOKUP(B10264,'Poids des runes'!A:B,2,FALSE)))+1),(((D10264/100)*(C10264*VLOOKUP(B10264,'Poids des runes'!A:B,2,FALSE)))+1)/VLOOKUP(B10264,'Poids des runes'!A:B,2,FALSE))</f>
        <v>0.6</v>
      </c>
      <c r="F10264">
        <f t="shared" si="160"/>
        <v>0.6</v>
      </c>
    </row>
    <row r="10265" spans="1:6" x14ac:dyDescent="0.3">
      <c r="A10265" t="s">
        <v>1611</v>
      </c>
      <c r="B10265" t="s">
        <v>2166</v>
      </c>
      <c r="C10265">
        <v>1</v>
      </c>
      <c r="D10265">
        <v>20</v>
      </c>
      <c r="E10265">
        <f>IF(OR(B10265="vi",B10265="ii",B10265="pod"),(((D10265/100)*(C10265*VLOOKUP(B10265,'Poids des runes'!A:B,2,FALSE)))+1),(((D10265/100)*(C10265*VLOOKUP(B10265,'Poids des runes'!A:B,2,FALSE)))+1)/VLOOKUP(B10265,'Poids des runes'!A:B,2,FALSE))</f>
        <v>0.53333333333333333</v>
      </c>
      <c r="F10265">
        <f t="shared" si="160"/>
        <v>0.53333333333333333</v>
      </c>
    </row>
    <row r="10266" spans="1:6" x14ac:dyDescent="0.3">
      <c r="A10266" t="s">
        <v>1612</v>
      </c>
      <c r="B10266" t="s">
        <v>2128</v>
      </c>
      <c r="C10266">
        <v>23</v>
      </c>
      <c r="D10266">
        <v>20</v>
      </c>
      <c r="E10266">
        <f>IF(OR(B10266="vi",B10266="ii",B10266="pod"),(((D10266/100)*(C10266*VLOOKUP(B10266,'Poids des runes'!A:B,2,FALSE)))+1),(((D10266/100)*(C10266*VLOOKUP(B10266,'Poids des runes'!A:B,2,FALSE)))+1)/VLOOKUP(B10266,'Poids des runes'!A:B,2,FALSE))</f>
        <v>1.9200000000000002</v>
      </c>
      <c r="F10266">
        <f t="shared" si="160"/>
        <v>1.9200000000000002</v>
      </c>
    </row>
    <row r="10267" spans="1:6" x14ac:dyDescent="0.3">
      <c r="A10267" t="s">
        <v>1612</v>
      </c>
      <c r="B10267" t="s">
        <v>2126</v>
      </c>
      <c r="C10267">
        <v>18</v>
      </c>
      <c r="D10267">
        <v>20</v>
      </c>
      <c r="E10267">
        <f>IF(OR(B10267="vi",B10267="ii",B10267="pod"),(((D10267/100)*(C10267*VLOOKUP(B10267,'Poids des runes'!A:B,2,FALSE)))+1),(((D10267/100)*(C10267*VLOOKUP(B10267,'Poids des runes'!A:B,2,FALSE)))+1)/VLOOKUP(B10267,'Poids des runes'!A:B,2,FALSE))</f>
        <v>4.5999999999999996</v>
      </c>
      <c r="F10267">
        <f t="shared" si="160"/>
        <v>4.5999999999999996</v>
      </c>
    </row>
    <row r="10268" spans="1:6" x14ac:dyDescent="0.3">
      <c r="A10268" t="s">
        <v>1612</v>
      </c>
      <c r="B10268" t="s">
        <v>2140</v>
      </c>
      <c r="C10268">
        <v>1.5</v>
      </c>
      <c r="D10268">
        <v>20</v>
      </c>
      <c r="E10268">
        <f>IF(OR(B10268="vi",B10268="ii",B10268="pod"),(((D10268/100)*(C10268*VLOOKUP(B10268,'Poids des runes'!A:B,2,FALSE)))+1),(((D10268/100)*(C10268*VLOOKUP(B10268,'Poids des runes'!A:B,2,FALSE)))+1)/VLOOKUP(B10268,'Poids des runes'!A:B,2,FALSE))</f>
        <v>0.5</v>
      </c>
      <c r="F10268">
        <f t="shared" si="160"/>
        <v>0.5</v>
      </c>
    </row>
    <row r="10269" spans="1:6" x14ac:dyDescent="0.3">
      <c r="A10269" t="s">
        <v>1613</v>
      </c>
      <c r="B10269" t="s">
        <v>2128</v>
      </c>
      <c r="C10269">
        <v>8</v>
      </c>
      <c r="D10269">
        <v>20</v>
      </c>
      <c r="E10269">
        <f>IF(OR(B10269="vi",B10269="ii",B10269="pod"),(((D10269/100)*(C10269*VLOOKUP(B10269,'Poids des runes'!A:B,2,FALSE)))+1),(((D10269/100)*(C10269*VLOOKUP(B10269,'Poids des runes'!A:B,2,FALSE)))+1)/VLOOKUP(B10269,'Poids des runes'!A:B,2,FALSE))</f>
        <v>1.32</v>
      </c>
      <c r="F10269">
        <f t="shared" si="160"/>
        <v>1.32</v>
      </c>
    </row>
    <row r="10270" spans="1:6" x14ac:dyDescent="0.3">
      <c r="A10270" t="s">
        <v>1613</v>
      </c>
      <c r="B10270" t="s">
        <v>2131</v>
      </c>
      <c r="C10270">
        <v>18</v>
      </c>
      <c r="D10270">
        <v>20</v>
      </c>
      <c r="E10270">
        <f>IF(OR(B10270="vi",B10270="ii",B10270="pod"),(((D10270/100)*(C10270*VLOOKUP(B10270,'Poids des runes'!A:B,2,FALSE)))+1),(((D10270/100)*(C10270*VLOOKUP(B10270,'Poids des runes'!A:B,2,FALSE)))+1)/VLOOKUP(B10270,'Poids des runes'!A:B,2,FALSE))</f>
        <v>4.5999999999999996</v>
      </c>
      <c r="F10270">
        <f t="shared" si="160"/>
        <v>4.5999999999999996</v>
      </c>
    </row>
    <row r="10271" spans="1:6" x14ac:dyDescent="0.3">
      <c r="A10271" t="s">
        <v>1613</v>
      </c>
      <c r="B10271" t="s">
        <v>2151</v>
      </c>
      <c r="C10271">
        <v>2</v>
      </c>
      <c r="D10271">
        <v>20</v>
      </c>
      <c r="E10271">
        <f>IF(OR(B10271="vi",B10271="ii",B10271="pod"),(((D10271/100)*(C10271*VLOOKUP(B10271,'Poids des runes'!A:B,2,FALSE)))+1),(((D10271/100)*(C10271*VLOOKUP(B10271,'Poids des runes'!A:B,2,FALSE)))+1)/VLOOKUP(B10271,'Poids des runes'!A:B,2,FALSE))</f>
        <v>0.5</v>
      </c>
      <c r="F10271">
        <f t="shared" si="160"/>
        <v>0.5</v>
      </c>
    </row>
    <row r="10272" spans="1:6" x14ac:dyDescent="0.3">
      <c r="A10272" t="s">
        <v>1614</v>
      </c>
      <c r="B10272" t="s">
        <v>2128</v>
      </c>
      <c r="C10272">
        <v>15.5</v>
      </c>
      <c r="D10272">
        <v>20</v>
      </c>
      <c r="E10272">
        <f>IF(OR(B10272="vi",B10272="ii",B10272="pod"),(((D10272/100)*(C10272*VLOOKUP(B10272,'Poids des runes'!A:B,2,FALSE)))+1),(((D10272/100)*(C10272*VLOOKUP(B10272,'Poids des runes'!A:B,2,FALSE)))+1)/VLOOKUP(B10272,'Poids des runes'!A:B,2,FALSE))</f>
        <v>1.62</v>
      </c>
      <c r="F10272">
        <f t="shared" si="160"/>
        <v>1.62</v>
      </c>
    </row>
    <row r="10273" spans="1:6" x14ac:dyDescent="0.3">
      <c r="A10273" t="s">
        <v>1614</v>
      </c>
      <c r="B10273" t="s">
        <v>2126</v>
      </c>
      <c r="C10273">
        <v>18</v>
      </c>
      <c r="D10273">
        <v>20</v>
      </c>
      <c r="E10273">
        <f>IF(OR(B10273="vi",B10273="ii",B10273="pod"),(((D10273/100)*(C10273*VLOOKUP(B10273,'Poids des runes'!A:B,2,FALSE)))+1),(((D10273/100)*(C10273*VLOOKUP(B10273,'Poids des runes'!A:B,2,FALSE)))+1)/VLOOKUP(B10273,'Poids des runes'!A:B,2,FALSE))</f>
        <v>4.5999999999999996</v>
      </c>
      <c r="F10273">
        <f t="shared" si="160"/>
        <v>4.5999999999999996</v>
      </c>
    </row>
    <row r="10274" spans="1:6" x14ac:dyDescent="0.3">
      <c r="A10274" t="s">
        <v>1614</v>
      </c>
      <c r="B10274" t="s">
        <v>2140</v>
      </c>
      <c r="C10274">
        <v>1.5</v>
      </c>
      <c r="D10274">
        <v>20</v>
      </c>
      <c r="E10274">
        <f>IF(OR(B10274="vi",B10274="ii",B10274="pod"),(((D10274/100)*(C10274*VLOOKUP(B10274,'Poids des runes'!A:B,2,FALSE)))+1),(((D10274/100)*(C10274*VLOOKUP(B10274,'Poids des runes'!A:B,2,FALSE)))+1)/VLOOKUP(B10274,'Poids des runes'!A:B,2,FALSE))</f>
        <v>0.5</v>
      </c>
      <c r="F10274">
        <f t="shared" si="160"/>
        <v>0.5</v>
      </c>
    </row>
    <row r="10275" spans="1:6" x14ac:dyDescent="0.3">
      <c r="A10275" t="s">
        <v>1614</v>
      </c>
      <c r="B10275" t="s">
        <v>2132</v>
      </c>
      <c r="C10275">
        <v>40.5</v>
      </c>
      <c r="D10275">
        <v>20</v>
      </c>
      <c r="E10275">
        <f>IF(OR(B10275="vi",B10275="ii",B10275="pod"),(((D10275/100)*(C10275*VLOOKUP(B10275,'Poids des runes'!A:B,2,FALSE)))+1),(((D10275/100)*(C10275*VLOOKUP(B10275,'Poids des runes'!A:B,2,FALSE)))+1)/VLOOKUP(B10275,'Poids des runes'!A:B,2,FALSE))</f>
        <v>1.81</v>
      </c>
      <c r="F10275">
        <f t="shared" si="160"/>
        <v>1.81</v>
      </c>
    </row>
    <row r="10276" spans="1:6" x14ac:dyDescent="0.3">
      <c r="A10276" t="s">
        <v>1615</v>
      </c>
      <c r="B10276" t="s">
        <v>2128</v>
      </c>
      <c r="C10276">
        <v>18</v>
      </c>
      <c r="D10276">
        <v>20</v>
      </c>
      <c r="E10276">
        <f>IF(OR(B10276="vi",B10276="ii",B10276="pod"),(((D10276/100)*(C10276*VLOOKUP(B10276,'Poids des runes'!A:B,2,FALSE)))+1),(((D10276/100)*(C10276*VLOOKUP(B10276,'Poids des runes'!A:B,2,FALSE)))+1)/VLOOKUP(B10276,'Poids des runes'!A:B,2,FALSE))</f>
        <v>1.7200000000000002</v>
      </c>
      <c r="F10276">
        <f t="shared" si="160"/>
        <v>1.7200000000000002</v>
      </c>
    </row>
    <row r="10277" spans="1:6" x14ac:dyDescent="0.3">
      <c r="A10277" t="s">
        <v>1615</v>
      </c>
      <c r="B10277" t="s">
        <v>2126</v>
      </c>
      <c r="C10277">
        <v>13</v>
      </c>
      <c r="D10277">
        <v>20</v>
      </c>
      <c r="E10277">
        <f>IF(OR(B10277="vi",B10277="ii",B10277="pod"),(((D10277/100)*(C10277*VLOOKUP(B10277,'Poids des runes'!A:B,2,FALSE)))+1),(((D10277/100)*(C10277*VLOOKUP(B10277,'Poids des runes'!A:B,2,FALSE)))+1)/VLOOKUP(B10277,'Poids des runes'!A:B,2,FALSE))</f>
        <v>3.6</v>
      </c>
      <c r="F10277">
        <f t="shared" si="160"/>
        <v>3.6</v>
      </c>
    </row>
    <row r="10278" spans="1:6" x14ac:dyDescent="0.3">
      <c r="A10278" t="s">
        <v>1615</v>
      </c>
      <c r="B10278" t="s">
        <v>2149</v>
      </c>
      <c r="C10278">
        <v>4</v>
      </c>
      <c r="D10278">
        <v>20</v>
      </c>
      <c r="E10278">
        <f>IF(OR(B10278="vi",B10278="ii",B10278="pod"),(((D10278/100)*(C10278*VLOOKUP(B10278,'Poids des runes'!A:B,2,FALSE)))+1),(((D10278/100)*(C10278*VLOOKUP(B10278,'Poids des runes'!A:B,2,FALSE)))+1)/VLOOKUP(B10278,'Poids des runes'!A:B,2,FALSE))</f>
        <v>0.9</v>
      </c>
      <c r="F10278">
        <f t="shared" si="160"/>
        <v>0.9</v>
      </c>
    </row>
    <row r="10279" spans="1:6" x14ac:dyDescent="0.3">
      <c r="A10279" t="s">
        <v>1615</v>
      </c>
      <c r="B10279" t="s">
        <v>2138</v>
      </c>
      <c r="C10279">
        <v>2</v>
      </c>
      <c r="D10279">
        <v>20</v>
      </c>
      <c r="E10279">
        <f>IF(OR(B10279="vi",B10279="ii",B10279="pod"),(((D10279/100)*(C10279*VLOOKUP(B10279,'Poids des runes'!A:B,2,FALSE)))+1),(((D10279/100)*(C10279*VLOOKUP(B10279,'Poids des runes'!A:B,2,FALSE)))+1)/VLOOKUP(B10279,'Poids des runes'!A:B,2,FALSE))</f>
        <v>0.65</v>
      </c>
      <c r="F10279">
        <f t="shared" si="160"/>
        <v>0.65</v>
      </c>
    </row>
    <row r="10280" spans="1:6" x14ac:dyDescent="0.3">
      <c r="A10280" t="s">
        <v>1616</v>
      </c>
      <c r="B10280" t="s">
        <v>2128</v>
      </c>
      <c r="C10280">
        <v>25.5</v>
      </c>
      <c r="D10280">
        <v>21</v>
      </c>
      <c r="E10280">
        <f>IF(OR(B10280="vi",B10280="ii",B10280="pod"),(((D10280/100)*(C10280*VLOOKUP(B10280,'Poids des runes'!A:B,2,FALSE)))+1),(((D10280/100)*(C10280*VLOOKUP(B10280,'Poids des runes'!A:B,2,FALSE)))+1)/VLOOKUP(B10280,'Poids des runes'!A:B,2,FALSE))</f>
        <v>2.0710000000000002</v>
      </c>
      <c r="F10280">
        <f t="shared" si="160"/>
        <v>2.0710000000000002</v>
      </c>
    </row>
    <row r="10281" spans="1:6" x14ac:dyDescent="0.3">
      <c r="A10281" t="s">
        <v>1616</v>
      </c>
      <c r="B10281" t="s">
        <v>2127</v>
      </c>
      <c r="C10281">
        <v>18</v>
      </c>
      <c r="D10281">
        <v>21</v>
      </c>
      <c r="E10281">
        <f>IF(OR(B10281="vi",B10281="ii",B10281="pod"),(((D10281/100)*(C10281*VLOOKUP(B10281,'Poids des runes'!A:B,2,FALSE)))+1),(((D10281/100)*(C10281*VLOOKUP(B10281,'Poids des runes'!A:B,2,FALSE)))+1)/VLOOKUP(B10281,'Poids des runes'!A:B,2,FALSE))</f>
        <v>4.7799999999999994</v>
      </c>
      <c r="F10281">
        <f t="shared" si="160"/>
        <v>4.7799999999999994</v>
      </c>
    </row>
    <row r="10282" spans="1:6" x14ac:dyDescent="0.3">
      <c r="A10282" t="s">
        <v>1616</v>
      </c>
      <c r="B10282" t="s">
        <v>2142</v>
      </c>
      <c r="C10282">
        <v>8.5</v>
      </c>
      <c r="D10282">
        <v>21</v>
      </c>
      <c r="E10282">
        <f>IF(OR(B10282="vi",B10282="ii",B10282="pod"),(((D10282/100)*(C10282*VLOOKUP(B10282,'Poids des runes'!A:B,2,FALSE)))+1),(((D10282/100)*(C10282*VLOOKUP(B10282,'Poids des runes'!A:B,2,FALSE)))+1)/VLOOKUP(B10282,'Poids des runes'!A:B,2,FALSE))</f>
        <v>1.9849999999999999</v>
      </c>
      <c r="F10282">
        <f t="shared" si="160"/>
        <v>1.9849999999999999</v>
      </c>
    </row>
    <row r="10283" spans="1:6" x14ac:dyDescent="0.3">
      <c r="A10283" t="s">
        <v>1617</v>
      </c>
      <c r="B10283" t="s">
        <v>2128</v>
      </c>
      <c r="C10283">
        <v>25.5</v>
      </c>
      <c r="D10283">
        <v>21</v>
      </c>
      <c r="E10283">
        <f>IF(OR(B10283="vi",B10283="ii",B10283="pod"),(((D10283/100)*(C10283*VLOOKUP(B10283,'Poids des runes'!A:B,2,FALSE)))+1),(((D10283/100)*(C10283*VLOOKUP(B10283,'Poids des runes'!A:B,2,FALSE)))+1)/VLOOKUP(B10283,'Poids des runes'!A:B,2,FALSE))</f>
        <v>2.0710000000000002</v>
      </c>
      <c r="F10283">
        <f t="shared" si="160"/>
        <v>2.0710000000000002</v>
      </c>
    </row>
    <row r="10284" spans="1:6" x14ac:dyDescent="0.3">
      <c r="A10284" t="s">
        <v>1617</v>
      </c>
      <c r="B10284" t="s">
        <v>2130</v>
      </c>
      <c r="C10284">
        <v>8.5</v>
      </c>
      <c r="D10284">
        <v>21</v>
      </c>
      <c r="E10284">
        <f>IF(OR(B10284="vi",B10284="ii",B10284="pod"),(((D10284/100)*(C10284*VLOOKUP(B10284,'Poids des runes'!A:B,2,FALSE)))+1),(((D10284/100)*(C10284*VLOOKUP(B10284,'Poids des runes'!A:B,2,FALSE)))+1)/VLOOKUP(B10284,'Poids des runes'!A:B,2,FALSE))</f>
        <v>2.7850000000000001</v>
      </c>
      <c r="F10284">
        <f t="shared" si="160"/>
        <v>2.7850000000000001</v>
      </c>
    </row>
    <row r="10285" spans="1:6" x14ac:dyDescent="0.3">
      <c r="A10285" t="s">
        <v>1617</v>
      </c>
      <c r="B10285" t="s">
        <v>2126</v>
      </c>
      <c r="C10285">
        <v>8.5</v>
      </c>
      <c r="D10285">
        <v>21</v>
      </c>
      <c r="E10285">
        <f>IF(OR(B10285="vi",B10285="ii",B10285="pod"),(((D10285/100)*(C10285*VLOOKUP(B10285,'Poids des runes'!A:B,2,FALSE)))+1),(((D10285/100)*(C10285*VLOOKUP(B10285,'Poids des runes'!A:B,2,FALSE)))+1)/VLOOKUP(B10285,'Poids des runes'!A:B,2,FALSE))</f>
        <v>2.7850000000000001</v>
      </c>
      <c r="F10285">
        <f t="shared" si="160"/>
        <v>2.7850000000000001</v>
      </c>
    </row>
    <row r="10286" spans="1:6" x14ac:dyDescent="0.3">
      <c r="A10286" t="s">
        <v>1617</v>
      </c>
      <c r="B10286" t="s">
        <v>2138</v>
      </c>
      <c r="C10286">
        <v>2</v>
      </c>
      <c r="D10286">
        <v>21</v>
      </c>
      <c r="E10286">
        <f>IF(OR(B10286="vi",B10286="ii",B10286="pod"),(((D10286/100)*(C10286*VLOOKUP(B10286,'Poids des runes'!A:B,2,FALSE)))+1),(((D10286/100)*(C10286*VLOOKUP(B10286,'Poids des runes'!A:B,2,FALSE)))+1)/VLOOKUP(B10286,'Poids des runes'!A:B,2,FALSE))</f>
        <v>0.66999999999999993</v>
      </c>
      <c r="F10286">
        <f t="shared" si="160"/>
        <v>0.66999999999999993</v>
      </c>
    </row>
    <row r="10287" spans="1:6" x14ac:dyDescent="0.3">
      <c r="A10287" t="s">
        <v>1618</v>
      </c>
      <c r="B10287" t="s">
        <v>2128</v>
      </c>
      <c r="C10287">
        <v>25.5</v>
      </c>
      <c r="D10287">
        <v>22</v>
      </c>
      <c r="E10287">
        <f>IF(OR(B10287="vi",B10287="ii",B10287="pod"),(((D10287/100)*(C10287*VLOOKUP(B10287,'Poids des runes'!A:B,2,FALSE)))+1),(((D10287/100)*(C10287*VLOOKUP(B10287,'Poids des runes'!A:B,2,FALSE)))+1)/VLOOKUP(B10287,'Poids des runes'!A:B,2,FALSE))</f>
        <v>2.1219999999999999</v>
      </c>
      <c r="F10287">
        <f t="shared" si="160"/>
        <v>2.1219999999999999</v>
      </c>
    </row>
    <row r="10288" spans="1:6" x14ac:dyDescent="0.3">
      <c r="A10288" t="s">
        <v>1618</v>
      </c>
      <c r="B10288" t="s">
        <v>2131</v>
      </c>
      <c r="C10288">
        <v>25.5</v>
      </c>
      <c r="D10288">
        <v>22</v>
      </c>
      <c r="E10288">
        <f>IF(OR(B10288="vi",B10288="ii",B10288="pod"),(((D10288/100)*(C10288*VLOOKUP(B10288,'Poids des runes'!A:B,2,FALSE)))+1),(((D10288/100)*(C10288*VLOOKUP(B10288,'Poids des runes'!A:B,2,FALSE)))+1)/VLOOKUP(B10288,'Poids des runes'!A:B,2,FALSE))</f>
        <v>6.61</v>
      </c>
      <c r="F10288">
        <f t="shared" si="160"/>
        <v>6.61</v>
      </c>
    </row>
    <row r="10289" spans="1:6" x14ac:dyDescent="0.3">
      <c r="A10289" t="s">
        <v>1619</v>
      </c>
      <c r="B10289" t="s">
        <v>2128</v>
      </c>
      <c r="C10289">
        <v>25.5</v>
      </c>
      <c r="D10289">
        <v>22</v>
      </c>
      <c r="E10289">
        <f>IF(OR(B10289="vi",B10289="ii",B10289="pod"),(((D10289/100)*(C10289*VLOOKUP(B10289,'Poids des runes'!A:B,2,FALSE)))+1),(((D10289/100)*(C10289*VLOOKUP(B10289,'Poids des runes'!A:B,2,FALSE)))+1)/VLOOKUP(B10289,'Poids des runes'!A:B,2,FALSE))</f>
        <v>2.1219999999999999</v>
      </c>
      <c r="F10289">
        <f t="shared" si="160"/>
        <v>2.1219999999999999</v>
      </c>
    </row>
    <row r="10290" spans="1:6" x14ac:dyDescent="0.3">
      <c r="A10290" t="s">
        <v>1619</v>
      </c>
      <c r="B10290" t="s">
        <v>2130</v>
      </c>
      <c r="C10290">
        <v>18</v>
      </c>
      <c r="D10290">
        <v>22</v>
      </c>
      <c r="E10290">
        <f>IF(OR(B10290="vi",B10290="ii",B10290="pod"),(((D10290/100)*(C10290*VLOOKUP(B10290,'Poids des runes'!A:B,2,FALSE)))+1),(((D10290/100)*(C10290*VLOOKUP(B10290,'Poids des runes'!A:B,2,FALSE)))+1)/VLOOKUP(B10290,'Poids des runes'!A:B,2,FALSE))</f>
        <v>4.96</v>
      </c>
      <c r="F10290">
        <f t="shared" si="160"/>
        <v>4.96</v>
      </c>
    </row>
    <row r="10291" spans="1:6" x14ac:dyDescent="0.3">
      <c r="A10291" t="s">
        <v>1619</v>
      </c>
      <c r="B10291" t="s">
        <v>2143</v>
      </c>
      <c r="C10291">
        <v>2</v>
      </c>
      <c r="D10291">
        <v>22</v>
      </c>
      <c r="E10291">
        <f>IF(OR(B10291="vi",B10291="ii",B10291="pod"),(((D10291/100)*(C10291*VLOOKUP(B10291,'Poids des runes'!A:B,2,FALSE)))+1),(((D10291/100)*(C10291*VLOOKUP(B10291,'Poids des runes'!A:B,2,FALSE)))+1)/VLOOKUP(B10291,'Poids des runes'!A:B,2,FALSE))</f>
        <v>0.64</v>
      </c>
      <c r="F10291">
        <f t="shared" si="160"/>
        <v>0.64</v>
      </c>
    </row>
    <row r="10292" spans="1:6" x14ac:dyDescent="0.3">
      <c r="A10292" t="s">
        <v>1620</v>
      </c>
      <c r="B10292" t="s">
        <v>2131</v>
      </c>
      <c r="C10292">
        <v>25.5</v>
      </c>
      <c r="D10292">
        <v>22</v>
      </c>
      <c r="E10292">
        <f>IF(OR(B10292="vi",B10292="ii",B10292="pod"),(((D10292/100)*(C10292*VLOOKUP(B10292,'Poids des runes'!A:B,2,FALSE)))+1),(((D10292/100)*(C10292*VLOOKUP(B10292,'Poids des runes'!A:B,2,FALSE)))+1)/VLOOKUP(B10292,'Poids des runes'!A:B,2,FALSE))</f>
        <v>6.61</v>
      </c>
      <c r="F10292">
        <f t="shared" si="160"/>
        <v>6.61</v>
      </c>
    </row>
    <row r="10293" spans="1:6" x14ac:dyDescent="0.3">
      <c r="A10293" t="s">
        <v>1620</v>
      </c>
      <c r="B10293" t="s">
        <v>2166</v>
      </c>
      <c r="C10293">
        <v>1</v>
      </c>
      <c r="D10293">
        <v>22</v>
      </c>
      <c r="E10293">
        <f>IF(OR(B10293="vi",B10293="ii",B10293="pod"),(((D10293/100)*(C10293*VLOOKUP(B10293,'Poids des runes'!A:B,2,FALSE)))+1),(((D10293/100)*(C10293*VLOOKUP(B10293,'Poids des runes'!A:B,2,FALSE)))+1)/VLOOKUP(B10293,'Poids des runes'!A:B,2,FALSE))</f>
        <v>0.55333333333333334</v>
      </c>
      <c r="F10293">
        <f t="shared" si="160"/>
        <v>0.55333333333333334</v>
      </c>
    </row>
    <row r="10294" spans="1:6" x14ac:dyDescent="0.3">
      <c r="A10294" t="s">
        <v>1621</v>
      </c>
      <c r="B10294" t="s">
        <v>2128</v>
      </c>
      <c r="C10294">
        <v>35.5</v>
      </c>
      <c r="D10294">
        <v>22</v>
      </c>
      <c r="E10294">
        <f>IF(OR(B10294="vi",B10294="ii",B10294="pod"),(((D10294/100)*(C10294*VLOOKUP(B10294,'Poids des runes'!A:B,2,FALSE)))+1),(((D10294/100)*(C10294*VLOOKUP(B10294,'Poids des runes'!A:B,2,FALSE)))+1)/VLOOKUP(B10294,'Poids des runes'!A:B,2,FALSE))</f>
        <v>2.5620000000000003</v>
      </c>
      <c r="F10294">
        <f t="shared" si="160"/>
        <v>2.5620000000000003</v>
      </c>
    </row>
    <row r="10295" spans="1:6" x14ac:dyDescent="0.3">
      <c r="A10295" t="s">
        <v>1621</v>
      </c>
      <c r="B10295" t="s">
        <v>2127</v>
      </c>
      <c r="C10295">
        <v>23</v>
      </c>
      <c r="D10295">
        <v>22</v>
      </c>
      <c r="E10295">
        <f>IF(OR(B10295="vi",B10295="ii",B10295="pod"),(((D10295/100)*(C10295*VLOOKUP(B10295,'Poids des runes'!A:B,2,FALSE)))+1),(((D10295/100)*(C10295*VLOOKUP(B10295,'Poids des runes'!A:B,2,FALSE)))+1)/VLOOKUP(B10295,'Poids des runes'!A:B,2,FALSE))</f>
        <v>6.06</v>
      </c>
      <c r="F10295">
        <f t="shared" si="160"/>
        <v>6.06</v>
      </c>
    </row>
    <row r="10296" spans="1:6" x14ac:dyDescent="0.3">
      <c r="A10296" t="s">
        <v>1621</v>
      </c>
      <c r="B10296" t="s">
        <v>2141</v>
      </c>
      <c r="C10296">
        <v>2.5</v>
      </c>
      <c r="D10296">
        <v>22</v>
      </c>
      <c r="E10296">
        <f>IF(OR(B10296="vi",B10296="ii",B10296="pod"),(((D10296/100)*(C10296*VLOOKUP(B10296,'Poids des runes'!A:B,2,FALSE)))+1),(((D10296/100)*(C10296*VLOOKUP(B10296,'Poids des runes'!A:B,2,FALSE)))+1)/VLOOKUP(B10296,'Poids des runes'!A:B,2,FALSE))</f>
        <v>0.8</v>
      </c>
      <c r="F10296">
        <f t="shared" si="160"/>
        <v>0.8</v>
      </c>
    </row>
    <row r="10297" spans="1:6" x14ac:dyDescent="0.3">
      <c r="A10297" t="s">
        <v>1622</v>
      </c>
      <c r="B10297" t="s">
        <v>2128</v>
      </c>
      <c r="C10297">
        <v>25.5</v>
      </c>
      <c r="D10297">
        <v>23</v>
      </c>
      <c r="E10297">
        <f>IF(OR(B10297="vi",B10297="ii",B10297="pod"),(((D10297/100)*(C10297*VLOOKUP(B10297,'Poids des runes'!A:B,2,FALSE)))+1),(((D10297/100)*(C10297*VLOOKUP(B10297,'Poids des runes'!A:B,2,FALSE)))+1)/VLOOKUP(B10297,'Poids des runes'!A:B,2,FALSE))</f>
        <v>2.173</v>
      </c>
      <c r="F10297">
        <f t="shared" si="160"/>
        <v>2.173</v>
      </c>
    </row>
    <row r="10298" spans="1:6" x14ac:dyDescent="0.3">
      <c r="A10298" t="s">
        <v>1622</v>
      </c>
      <c r="B10298" t="s">
        <v>2127</v>
      </c>
      <c r="C10298">
        <v>25.5</v>
      </c>
      <c r="D10298">
        <v>23</v>
      </c>
      <c r="E10298">
        <f>IF(OR(B10298="vi",B10298="ii",B10298="pod"),(((D10298/100)*(C10298*VLOOKUP(B10298,'Poids des runes'!A:B,2,FALSE)))+1),(((D10298/100)*(C10298*VLOOKUP(B10298,'Poids des runes'!A:B,2,FALSE)))+1)/VLOOKUP(B10298,'Poids des runes'!A:B,2,FALSE))</f>
        <v>6.8650000000000002</v>
      </c>
      <c r="F10298">
        <f t="shared" si="160"/>
        <v>6.8650000000000002</v>
      </c>
    </row>
    <row r="10299" spans="1:6" x14ac:dyDescent="0.3">
      <c r="A10299" t="s">
        <v>1623</v>
      </c>
      <c r="B10299" t="s">
        <v>2128</v>
      </c>
      <c r="C10299">
        <v>25.5</v>
      </c>
      <c r="D10299">
        <v>23</v>
      </c>
      <c r="E10299">
        <f>IF(OR(B10299="vi",B10299="ii",B10299="pod"),(((D10299/100)*(C10299*VLOOKUP(B10299,'Poids des runes'!A:B,2,FALSE)))+1),(((D10299/100)*(C10299*VLOOKUP(B10299,'Poids des runes'!A:B,2,FALSE)))+1)/VLOOKUP(B10299,'Poids des runes'!A:B,2,FALSE))</f>
        <v>2.173</v>
      </c>
      <c r="F10299">
        <f t="shared" si="160"/>
        <v>2.173</v>
      </c>
    </row>
    <row r="10300" spans="1:6" x14ac:dyDescent="0.3">
      <c r="A10300" t="s">
        <v>1623</v>
      </c>
      <c r="B10300" t="s">
        <v>2127</v>
      </c>
      <c r="C10300">
        <v>13</v>
      </c>
      <c r="D10300">
        <v>23</v>
      </c>
      <c r="E10300">
        <f>IF(OR(B10300="vi",B10300="ii",B10300="pod"),(((D10300/100)*(C10300*VLOOKUP(B10300,'Poids des runes'!A:B,2,FALSE)))+1),(((D10300/100)*(C10300*VLOOKUP(B10300,'Poids des runes'!A:B,2,FALSE)))+1)/VLOOKUP(B10300,'Poids des runes'!A:B,2,FALSE))</f>
        <v>3.99</v>
      </c>
      <c r="F10300">
        <f t="shared" si="160"/>
        <v>3.99</v>
      </c>
    </row>
    <row r="10301" spans="1:6" x14ac:dyDescent="0.3">
      <c r="A10301" t="s">
        <v>1623</v>
      </c>
      <c r="B10301" t="s">
        <v>2129</v>
      </c>
      <c r="C10301">
        <v>8.5</v>
      </c>
      <c r="D10301">
        <v>23</v>
      </c>
      <c r="E10301">
        <f>IF(OR(B10301="vi",B10301="ii",B10301="pod"),(((D10301/100)*(C10301*VLOOKUP(B10301,'Poids des runes'!A:B,2,FALSE)))+1),(((D10301/100)*(C10301*VLOOKUP(B10301,'Poids des runes'!A:B,2,FALSE)))+1)/VLOOKUP(B10301,'Poids des runes'!A:B,2,FALSE))</f>
        <v>2.9550000000000001</v>
      </c>
      <c r="F10301">
        <f t="shared" si="160"/>
        <v>2.9550000000000001</v>
      </c>
    </row>
    <row r="10302" spans="1:6" x14ac:dyDescent="0.3">
      <c r="A10302" t="s">
        <v>1624</v>
      </c>
      <c r="B10302" t="s">
        <v>2128</v>
      </c>
      <c r="C10302">
        <v>40.5</v>
      </c>
      <c r="D10302">
        <v>23</v>
      </c>
      <c r="E10302">
        <f>IF(OR(B10302="vi",B10302="ii",B10302="pod"),(((D10302/100)*(C10302*VLOOKUP(B10302,'Poids des runes'!A:B,2,FALSE)))+1),(((D10302/100)*(C10302*VLOOKUP(B10302,'Poids des runes'!A:B,2,FALSE)))+1)/VLOOKUP(B10302,'Poids des runes'!A:B,2,FALSE))</f>
        <v>2.863</v>
      </c>
      <c r="F10302">
        <f t="shared" si="160"/>
        <v>2.863</v>
      </c>
    </row>
    <row r="10303" spans="1:6" x14ac:dyDescent="0.3">
      <c r="A10303" t="s">
        <v>1624</v>
      </c>
      <c r="B10303" t="s">
        <v>2129</v>
      </c>
      <c r="C10303">
        <v>23</v>
      </c>
      <c r="D10303">
        <v>23</v>
      </c>
      <c r="E10303">
        <f>IF(OR(B10303="vi",B10303="ii",B10303="pod"),(((D10303/100)*(C10303*VLOOKUP(B10303,'Poids des runes'!A:B,2,FALSE)))+1),(((D10303/100)*(C10303*VLOOKUP(B10303,'Poids des runes'!A:B,2,FALSE)))+1)/VLOOKUP(B10303,'Poids des runes'!A:B,2,FALSE))</f>
        <v>6.29</v>
      </c>
      <c r="F10303">
        <f t="shared" si="160"/>
        <v>6.29</v>
      </c>
    </row>
    <row r="10304" spans="1:6" x14ac:dyDescent="0.3">
      <c r="A10304" t="s">
        <v>1624</v>
      </c>
      <c r="B10304" t="s">
        <v>2138</v>
      </c>
      <c r="C10304">
        <v>2.5</v>
      </c>
      <c r="D10304">
        <v>23</v>
      </c>
      <c r="E10304">
        <f>IF(OR(B10304="vi",B10304="ii",B10304="pod"),(((D10304/100)*(C10304*VLOOKUP(B10304,'Poids des runes'!A:B,2,FALSE)))+1),(((D10304/100)*(C10304*VLOOKUP(B10304,'Poids des runes'!A:B,2,FALSE)))+1)/VLOOKUP(B10304,'Poids des runes'!A:B,2,FALSE))</f>
        <v>0.82500000000000007</v>
      </c>
      <c r="F10304">
        <f t="shared" si="160"/>
        <v>0.82500000000000007</v>
      </c>
    </row>
    <row r="10305" spans="1:6" x14ac:dyDescent="0.3">
      <c r="A10305" t="s">
        <v>1624</v>
      </c>
      <c r="B10305" t="s">
        <v>2141</v>
      </c>
      <c r="C10305">
        <v>2.5</v>
      </c>
      <c r="D10305">
        <v>23</v>
      </c>
      <c r="E10305">
        <f>IF(OR(B10305="vi",B10305="ii",B10305="pod"),(((D10305/100)*(C10305*VLOOKUP(B10305,'Poids des runes'!A:B,2,FALSE)))+1),(((D10305/100)*(C10305*VLOOKUP(B10305,'Poids des runes'!A:B,2,FALSE)))+1)/VLOOKUP(B10305,'Poids des runes'!A:B,2,FALSE))</f>
        <v>0.82500000000000007</v>
      </c>
      <c r="F10305">
        <f t="shared" si="160"/>
        <v>0.82500000000000007</v>
      </c>
    </row>
    <row r="10306" spans="1:6" x14ac:dyDescent="0.3">
      <c r="A10306" t="s">
        <v>1625</v>
      </c>
      <c r="B10306" t="s">
        <v>2126</v>
      </c>
      <c r="C10306">
        <v>18</v>
      </c>
      <c r="D10306">
        <v>23</v>
      </c>
      <c r="E10306">
        <f>IF(OR(B10306="vi",B10306="ii",B10306="pod"),(((D10306/100)*(C10306*VLOOKUP(B10306,'Poids des runes'!A:B,2,FALSE)))+1),(((D10306/100)*(C10306*VLOOKUP(B10306,'Poids des runes'!A:B,2,FALSE)))+1)/VLOOKUP(B10306,'Poids des runes'!A:B,2,FALSE))</f>
        <v>5.1400000000000006</v>
      </c>
      <c r="F10306">
        <f t="shared" si="160"/>
        <v>5.1400000000000006</v>
      </c>
    </row>
    <row r="10307" spans="1:6" x14ac:dyDescent="0.3">
      <c r="A10307" t="s">
        <v>1625</v>
      </c>
      <c r="B10307" t="s">
        <v>2127</v>
      </c>
      <c r="C10307">
        <v>13</v>
      </c>
      <c r="D10307">
        <v>23</v>
      </c>
      <c r="E10307">
        <f>IF(OR(B10307="vi",B10307="ii",B10307="pod"),(((D10307/100)*(C10307*VLOOKUP(B10307,'Poids des runes'!A:B,2,FALSE)))+1),(((D10307/100)*(C10307*VLOOKUP(B10307,'Poids des runes'!A:B,2,FALSE)))+1)/VLOOKUP(B10307,'Poids des runes'!A:B,2,FALSE))</f>
        <v>3.99</v>
      </c>
      <c r="F10307">
        <f t="shared" ref="F10307:F10370" si="161">E10307</f>
        <v>3.99</v>
      </c>
    </row>
    <row r="10308" spans="1:6" x14ac:dyDescent="0.3">
      <c r="A10308" t="s">
        <v>1626</v>
      </c>
      <c r="B10308" t="s">
        <v>2151</v>
      </c>
      <c r="C10308">
        <v>5</v>
      </c>
      <c r="D10308">
        <v>23</v>
      </c>
      <c r="E10308">
        <f>IF(OR(B10308="vi",B10308="ii",B10308="pod"),(((D10308/100)*(C10308*VLOOKUP(B10308,'Poids des runes'!A:B,2,FALSE)))+1),(((D10308/100)*(C10308*VLOOKUP(B10308,'Poids des runes'!A:B,2,FALSE)))+1)/VLOOKUP(B10308,'Poids des runes'!A:B,2,FALSE))</f>
        <v>1.25</v>
      </c>
      <c r="F10308">
        <f t="shared" si="161"/>
        <v>1.25</v>
      </c>
    </row>
    <row r="10309" spans="1:6" x14ac:dyDescent="0.3">
      <c r="A10309" t="s">
        <v>1626</v>
      </c>
      <c r="B10309" t="s">
        <v>2166</v>
      </c>
      <c r="C10309">
        <v>1</v>
      </c>
      <c r="D10309">
        <v>23</v>
      </c>
      <c r="E10309">
        <f>IF(OR(B10309="vi",B10309="ii",B10309="pod"),(((D10309/100)*(C10309*VLOOKUP(B10309,'Poids des runes'!A:B,2,FALSE)))+1),(((D10309/100)*(C10309*VLOOKUP(B10309,'Poids des runes'!A:B,2,FALSE)))+1)/VLOOKUP(B10309,'Poids des runes'!A:B,2,FALSE))</f>
        <v>0.56333333333333335</v>
      </c>
      <c r="F10309">
        <f t="shared" si="161"/>
        <v>0.56333333333333335</v>
      </c>
    </row>
    <row r="10310" spans="1:6" x14ac:dyDescent="0.3">
      <c r="A10310" t="s">
        <v>1627</v>
      </c>
      <c r="B10310" t="s">
        <v>2128</v>
      </c>
      <c r="C10310">
        <v>18</v>
      </c>
      <c r="D10310">
        <v>24</v>
      </c>
      <c r="E10310">
        <f>IF(OR(B10310="vi",B10310="ii",B10310="pod"),(((D10310/100)*(C10310*VLOOKUP(B10310,'Poids des runes'!A:B,2,FALSE)))+1),(((D10310/100)*(C10310*VLOOKUP(B10310,'Poids des runes'!A:B,2,FALSE)))+1)/VLOOKUP(B10310,'Poids des runes'!A:B,2,FALSE))</f>
        <v>1.8639999999999999</v>
      </c>
      <c r="F10310">
        <f t="shared" si="161"/>
        <v>1.8639999999999999</v>
      </c>
    </row>
    <row r="10311" spans="1:6" x14ac:dyDescent="0.3">
      <c r="A10311" t="s">
        <v>1627</v>
      </c>
      <c r="B10311" t="s">
        <v>2130</v>
      </c>
      <c r="C10311">
        <v>18</v>
      </c>
      <c r="D10311">
        <v>24</v>
      </c>
      <c r="E10311">
        <f>IF(OR(B10311="vi",B10311="ii",B10311="pod"),(((D10311/100)*(C10311*VLOOKUP(B10311,'Poids des runes'!A:B,2,FALSE)))+1),(((D10311/100)*(C10311*VLOOKUP(B10311,'Poids des runes'!A:B,2,FALSE)))+1)/VLOOKUP(B10311,'Poids des runes'!A:B,2,FALSE))</f>
        <v>5.32</v>
      </c>
      <c r="F10311">
        <f t="shared" si="161"/>
        <v>5.32</v>
      </c>
    </row>
    <row r="10312" spans="1:6" x14ac:dyDescent="0.3">
      <c r="A10312" t="s">
        <v>1627</v>
      </c>
      <c r="B10312" t="s">
        <v>2131</v>
      </c>
      <c r="C10312">
        <v>8.5</v>
      </c>
      <c r="D10312">
        <v>24</v>
      </c>
      <c r="E10312">
        <f>IF(OR(B10312="vi",B10312="ii",B10312="pod"),(((D10312/100)*(C10312*VLOOKUP(B10312,'Poids des runes'!A:B,2,FALSE)))+1),(((D10312/100)*(C10312*VLOOKUP(B10312,'Poids des runes'!A:B,2,FALSE)))+1)/VLOOKUP(B10312,'Poids des runes'!A:B,2,FALSE))</f>
        <v>3.04</v>
      </c>
      <c r="F10312">
        <f t="shared" si="161"/>
        <v>3.04</v>
      </c>
    </row>
    <row r="10313" spans="1:6" x14ac:dyDescent="0.3">
      <c r="A10313" t="s">
        <v>1627</v>
      </c>
      <c r="B10313" t="s">
        <v>2139</v>
      </c>
      <c r="C10313">
        <v>4.5</v>
      </c>
      <c r="D10313">
        <v>24</v>
      </c>
      <c r="E10313">
        <f>IF(OR(B10313="vi",B10313="ii",B10313="pod"),(((D10313/100)*(C10313*VLOOKUP(B10313,'Poids des runes'!A:B,2,FALSE)))+1),(((D10313/100)*(C10313*VLOOKUP(B10313,'Poids des runes'!A:B,2,FALSE)))+1)/VLOOKUP(B10313,'Poids des runes'!A:B,2,FALSE))</f>
        <v>1.58</v>
      </c>
      <c r="F10313">
        <f t="shared" si="161"/>
        <v>1.58</v>
      </c>
    </row>
    <row r="10314" spans="1:6" x14ac:dyDescent="0.3">
      <c r="A10314" t="s">
        <v>1628</v>
      </c>
      <c r="B10314" t="s">
        <v>2128</v>
      </c>
      <c r="C10314">
        <v>35.5</v>
      </c>
      <c r="D10314">
        <v>24</v>
      </c>
      <c r="E10314">
        <f>IF(OR(B10314="vi",B10314="ii",B10314="pod"),(((D10314/100)*(C10314*VLOOKUP(B10314,'Poids des runes'!A:B,2,FALSE)))+1),(((D10314/100)*(C10314*VLOOKUP(B10314,'Poids des runes'!A:B,2,FALSE)))+1)/VLOOKUP(B10314,'Poids des runes'!A:B,2,FALSE))</f>
        <v>2.7039999999999997</v>
      </c>
      <c r="F10314">
        <f t="shared" si="161"/>
        <v>2.7039999999999997</v>
      </c>
    </row>
    <row r="10315" spans="1:6" x14ac:dyDescent="0.3">
      <c r="A10315" t="s">
        <v>1628</v>
      </c>
      <c r="B10315" t="s">
        <v>2131</v>
      </c>
      <c r="C10315">
        <v>25.5</v>
      </c>
      <c r="D10315">
        <v>24</v>
      </c>
      <c r="E10315">
        <f>IF(OR(B10315="vi",B10315="ii",B10315="pod"),(((D10315/100)*(C10315*VLOOKUP(B10315,'Poids des runes'!A:B,2,FALSE)))+1),(((D10315/100)*(C10315*VLOOKUP(B10315,'Poids des runes'!A:B,2,FALSE)))+1)/VLOOKUP(B10315,'Poids des runes'!A:B,2,FALSE))</f>
        <v>7.12</v>
      </c>
      <c r="F10315">
        <f t="shared" si="161"/>
        <v>7.12</v>
      </c>
    </row>
    <row r="10316" spans="1:6" x14ac:dyDescent="0.3">
      <c r="A10316" t="s">
        <v>1628</v>
      </c>
      <c r="B10316" t="s">
        <v>2138</v>
      </c>
      <c r="C10316">
        <v>4.5</v>
      </c>
      <c r="D10316">
        <v>24</v>
      </c>
      <c r="E10316">
        <f>IF(OR(B10316="vi",B10316="ii",B10316="pod"),(((D10316/100)*(C10316*VLOOKUP(B10316,'Poids des runes'!A:B,2,FALSE)))+1),(((D10316/100)*(C10316*VLOOKUP(B10316,'Poids des runes'!A:B,2,FALSE)))+1)/VLOOKUP(B10316,'Poids des runes'!A:B,2,FALSE))</f>
        <v>1.33</v>
      </c>
      <c r="F10316">
        <f t="shared" si="161"/>
        <v>1.33</v>
      </c>
    </row>
    <row r="10317" spans="1:6" x14ac:dyDescent="0.3">
      <c r="A10317" t="s">
        <v>1629</v>
      </c>
      <c r="B10317" t="s">
        <v>2130</v>
      </c>
      <c r="C10317">
        <v>25.5</v>
      </c>
      <c r="D10317">
        <v>24</v>
      </c>
      <c r="E10317">
        <f>IF(OR(B10317="vi",B10317="ii",B10317="pod"),(((D10317/100)*(C10317*VLOOKUP(B10317,'Poids des runes'!A:B,2,FALSE)))+1),(((D10317/100)*(C10317*VLOOKUP(B10317,'Poids des runes'!A:B,2,FALSE)))+1)/VLOOKUP(B10317,'Poids des runes'!A:B,2,FALSE))</f>
        <v>7.12</v>
      </c>
      <c r="F10317">
        <f t="shared" si="161"/>
        <v>7.12</v>
      </c>
    </row>
    <row r="10318" spans="1:6" x14ac:dyDescent="0.3">
      <c r="A10318" t="s">
        <v>1629</v>
      </c>
      <c r="B10318" t="s">
        <v>2155</v>
      </c>
      <c r="C10318">
        <v>1</v>
      </c>
      <c r="D10318">
        <v>24</v>
      </c>
      <c r="E10318">
        <f>IF(OR(B10318="vi",B10318="ii",B10318="pod"),(((D10318/100)*(C10318*VLOOKUP(B10318,'Poids des runes'!A:B,2,FALSE)))+1),(((D10318/100)*(C10318*VLOOKUP(B10318,'Poids des runes'!A:B,2,FALSE)))+1)/VLOOKUP(B10318,'Poids des runes'!A:B,2,FALSE))</f>
        <v>0.25960784313725488</v>
      </c>
      <c r="F10318">
        <f t="shared" si="161"/>
        <v>0.25960784313725488</v>
      </c>
    </row>
    <row r="10319" spans="1:6" x14ac:dyDescent="0.3">
      <c r="A10319" t="s">
        <v>1630</v>
      </c>
      <c r="B10319" t="s">
        <v>2126</v>
      </c>
      <c r="C10319">
        <v>6.5</v>
      </c>
      <c r="D10319">
        <v>24</v>
      </c>
      <c r="E10319">
        <f>IF(OR(B10319="vi",B10319="ii",B10319="pod"),(((D10319/100)*(C10319*VLOOKUP(B10319,'Poids des runes'!A:B,2,FALSE)))+1),(((D10319/100)*(C10319*VLOOKUP(B10319,'Poids des runes'!A:B,2,FALSE)))+1)/VLOOKUP(B10319,'Poids des runes'!A:B,2,FALSE))</f>
        <v>2.56</v>
      </c>
      <c r="F10319">
        <f t="shared" si="161"/>
        <v>2.56</v>
      </c>
    </row>
    <row r="10320" spans="1:6" x14ac:dyDescent="0.3">
      <c r="A10320" t="s">
        <v>1630</v>
      </c>
      <c r="B10320" t="s">
        <v>2127</v>
      </c>
      <c r="C10320">
        <v>6.5</v>
      </c>
      <c r="D10320">
        <v>24</v>
      </c>
      <c r="E10320">
        <f>IF(OR(B10320="vi",B10320="ii",B10320="pod"),(((D10320/100)*(C10320*VLOOKUP(B10320,'Poids des runes'!A:B,2,FALSE)))+1),(((D10320/100)*(C10320*VLOOKUP(B10320,'Poids des runes'!A:B,2,FALSE)))+1)/VLOOKUP(B10320,'Poids des runes'!A:B,2,FALSE))</f>
        <v>2.56</v>
      </c>
      <c r="F10320">
        <f t="shared" si="161"/>
        <v>2.56</v>
      </c>
    </row>
    <row r="10321" spans="1:6" x14ac:dyDescent="0.3">
      <c r="A10321" t="s">
        <v>1630</v>
      </c>
      <c r="B10321" t="s">
        <v>2150</v>
      </c>
      <c r="C10321">
        <v>1</v>
      </c>
      <c r="D10321">
        <v>24</v>
      </c>
      <c r="E10321">
        <f>IF(OR(B10321="vi",B10321="ii",B10321="pod"),(((D10321/100)*(C10321*VLOOKUP(B10321,'Poids des runes'!A:B,2,FALSE)))+1),(((D10321/100)*(C10321*VLOOKUP(B10321,'Poids des runes'!A:B,2,FALSE)))+1)/VLOOKUP(B10321,'Poids des runes'!A:B,2,FALSE))</f>
        <v>0.27333333333333332</v>
      </c>
      <c r="F10321">
        <f t="shared" si="161"/>
        <v>0.27333333333333332</v>
      </c>
    </row>
    <row r="10322" spans="1:6" x14ac:dyDescent="0.3">
      <c r="A10322" t="s">
        <v>1631</v>
      </c>
      <c r="B10322" t="s">
        <v>2128</v>
      </c>
      <c r="C10322">
        <v>25.5</v>
      </c>
      <c r="D10322">
        <v>25</v>
      </c>
      <c r="E10322">
        <f>IF(OR(B10322="vi",B10322="ii",B10322="pod"),(((D10322/100)*(C10322*VLOOKUP(B10322,'Poids des runes'!A:B,2,FALSE)))+1),(((D10322/100)*(C10322*VLOOKUP(B10322,'Poids des runes'!A:B,2,FALSE)))+1)/VLOOKUP(B10322,'Poids des runes'!A:B,2,FALSE))</f>
        <v>2.2750000000000004</v>
      </c>
      <c r="F10322">
        <f t="shared" si="161"/>
        <v>2.2750000000000004</v>
      </c>
    </row>
    <row r="10323" spans="1:6" x14ac:dyDescent="0.3">
      <c r="A10323" t="s">
        <v>1631</v>
      </c>
      <c r="B10323" t="s">
        <v>2130</v>
      </c>
      <c r="C10323">
        <v>18</v>
      </c>
      <c r="D10323">
        <v>25</v>
      </c>
      <c r="E10323">
        <f>IF(OR(B10323="vi",B10323="ii",B10323="pod"),(((D10323/100)*(C10323*VLOOKUP(B10323,'Poids des runes'!A:B,2,FALSE)))+1),(((D10323/100)*(C10323*VLOOKUP(B10323,'Poids des runes'!A:B,2,FALSE)))+1)/VLOOKUP(B10323,'Poids des runes'!A:B,2,FALSE))</f>
        <v>5.5</v>
      </c>
      <c r="F10323">
        <f t="shared" si="161"/>
        <v>5.5</v>
      </c>
    </row>
    <row r="10324" spans="1:6" x14ac:dyDescent="0.3">
      <c r="A10324" t="s">
        <v>1631</v>
      </c>
      <c r="B10324" t="s">
        <v>2166</v>
      </c>
      <c r="C10324">
        <v>1</v>
      </c>
      <c r="D10324">
        <v>25</v>
      </c>
      <c r="E10324">
        <f>IF(OR(B10324="vi",B10324="ii",B10324="pod"),(((D10324/100)*(C10324*VLOOKUP(B10324,'Poids des runes'!A:B,2,FALSE)))+1),(((D10324/100)*(C10324*VLOOKUP(B10324,'Poids des runes'!A:B,2,FALSE)))+1)/VLOOKUP(B10324,'Poids des runes'!A:B,2,FALSE))</f>
        <v>0.58333333333333337</v>
      </c>
      <c r="F10324">
        <f t="shared" si="161"/>
        <v>0.58333333333333337</v>
      </c>
    </row>
    <row r="10325" spans="1:6" x14ac:dyDescent="0.3">
      <c r="A10325" t="s">
        <v>1632</v>
      </c>
      <c r="B10325" t="s">
        <v>2130</v>
      </c>
      <c r="C10325">
        <v>35.5</v>
      </c>
      <c r="D10325">
        <v>25</v>
      </c>
      <c r="E10325">
        <f>IF(OR(B10325="vi",B10325="ii",B10325="pod"),(((D10325/100)*(C10325*VLOOKUP(B10325,'Poids des runes'!A:B,2,FALSE)))+1),(((D10325/100)*(C10325*VLOOKUP(B10325,'Poids des runes'!A:B,2,FALSE)))+1)/VLOOKUP(B10325,'Poids des runes'!A:B,2,FALSE))</f>
        <v>9.875</v>
      </c>
      <c r="F10325">
        <f t="shared" si="161"/>
        <v>9.875</v>
      </c>
    </row>
    <row r="10326" spans="1:6" x14ac:dyDescent="0.3">
      <c r="A10326" t="s">
        <v>1632</v>
      </c>
      <c r="B10326" t="s">
        <v>2129</v>
      </c>
      <c r="C10326">
        <v>13</v>
      </c>
      <c r="D10326">
        <v>25</v>
      </c>
      <c r="E10326">
        <f>IF(OR(B10326="vi",B10326="ii",B10326="pod"),(((D10326/100)*(C10326*VLOOKUP(B10326,'Poids des runes'!A:B,2,FALSE)))+1),(((D10326/100)*(C10326*VLOOKUP(B10326,'Poids des runes'!A:B,2,FALSE)))+1)/VLOOKUP(B10326,'Poids des runes'!A:B,2,FALSE))</f>
        <v>4.25</v>
      </c>
      <c r="F10326">
        <f t="shared" si="161"/>
        <v>4.25</v>
      </c>
    </row>
    <row r="10327" spans="1:6" x14ac:dyDescent="0.3">
      <c r="A10327" t="s">
        <v>1632</v>
      </c>
      <c r="B10327" t="s">
        <v>2151</v>
      </c>
      <c r="C10327">
        <v>2.5</v>
      </c>
      <c r="D10327">
        <v>25</v>
      </c>
      <c r="E10327">
        <f>IF(OR(B10327="vi",B10327="ii",B10327="pod"),(((D10327/100)*(C10327*VLOOKUP(B10327,'Poids des runes'!A:B,2,FALSE)))+1),(((D10327/100)*(C10327*VLOOKUP(B10327,'Poids des runes'!A:B,2,FALSE)))+1)/VLOOKUP(B10327,'Poids des runes'!A:B,2,FALSE))</f>
        <v>0.72499999999999998</v>
      </c>
      <c r="F10327">
        <f t="shared" si="161"/>
        <v>0.72499999999999998</v>
      </c>
    </row>
    <row r="10328" spans="1:6" x14ac:dyDescent="0.3">
      <c r="A10328" t="s">
        <v>1633</v>
      </c>
      <c r="B10328" t="s">
        <v>2127</v>
      </c>
      <c r="C10328">
        <v>20.5</v>
      </c>
      <c r="D10328">
        <v>25</v>
      </c>
      <c r="E10328">
        <f>IF(OR(B10328="vi",B10328="ii",B10328="pod"),(((D10328/100)*(C10328*VLOOKUP(B10328,'Poids des runes'!A:B,2,FALSE)))+1),(((D10328/100)*(C10328*VLOOKUP(B10328,'Poids des runes'!A:B,2,FALSE)))+1)/VLOOKUP(B10328,'Poids des runes'!A:B,2,FALSE))</f>
        <v>6.125</v>
      </c>
      <c r="F10328">
        <f t="shared" si="161"/>
        <v>6.125</v>
      </c>
    </row>
    <row r="10329" spans="1:6" x14ac:dyDescent="0.3">
      <c r="A10329" t="s">
        <v>1633</v>
      </c>
      <c r="B10329" t="s">
        <v>2155</v>
      </c>
      <c r="C10329">
        <v>1</v>
      </c>
      <c r="D10329">
        <v>25</v>
      </c>
      <c r="E10329">
        <f>IF(OR(B10329="vi",B10329="ii",B10329="pod"),(((D10329/100)*(C10329*VLOOKUP(B10329,'Poids des runes'!A:B,2,FALSE)))+1),(((D10329/100)*(C10329*VLOOKUP(B10329,'Poids des runes'!A:B,2,FALSE)))+1)/VLOOKUP(B10329,'Poids des runes'!A:B,2,FALSE))</f>
        <v>0.26960784313725489</v>
      </c>
      <c r="F10329">
        <f t="shared" si="161"/>
        <v>0.26960784313725489</v>
      </c>
    </row>
    <row r="10330" spans="1:6" x14ac:dyDescent="0.3">
      <c r="A10330" t="s">
        <v>1634</v>
      </c>
      <c r="B10330" t="s">
        <v>2131</v>
      </c>
      <c r="C10330">
        <v>23</v>
      </c>
      <c r="D10330">
        <v>25</v>
      </c>
      <c r="E10330">
        <f>IF(OR(B10330="vi",B10330="ii",B10330="pod"),(((D10330/100)*(C10330*VLOOKUP(B10330,'Poids des runes'!A:B,2,FALSE)))+1),(((D10330/100)*(C10330*VLOOKUP(B10330,'Poids des runes'!A:B,2,FALSE)))+1)/VLOOKUP(B10330,'Poids des runes'!A:B,2,FALSE))</f>
        <v>6.75</v>
      </c>
      <c r="F10330">
        <f t="shared" si="161"/>
        <v>6.75</v>
      </c>
    </row>
    <row r="10331" spans="1:6" x14ac:dyDescent="0.3">
      <c r="A10331" t="s">
        <v>1634</v>
      </c>
      <c r="B10331" t="s">
        <v>2127</v>
      </c>
      <c r="C10331">
        <v>23</v>
      </c>
      <c r="D10331">
        <v>25</v>
      </c>
      <c r="E10331">
        <f>IF(OR(B10331="vi",B10331="ii",B10331="pod"),(((D10331/100)*(C10331*VLOOKUP(B10331,'Poids des runes'!A:B,2,FALSE)))+1),(((D10331/100)*(C10331*VLOOKUP(B10331,'Poids des runes'!A:B,2,FALSE)))+1)/VLOOKUP(B10331,'Poids des runes'!A:B,2,FALSE))</f>
        <v>6.75</v>
      </c>
      <c r="F10331">
        <f t="shared" si="161"/>
        <v>6.75</v>
      </c>
    </row>
    <row r="10332" spans="1:6" x14ac:dyDescent="0.3">
      <c r="A10332" t="s">
        <v>1635</v>
      </c>
      <c r="B10332" t="s">
        <v>2130</v>
      </c>
      <c r="C10332">
        <v>35.5</v>
      </c>
      <c r="D10332">
        <v>25</v>
      </c>
      <c r="E10332">
        <f>IF(OR(B10332="vi",B10332="ii",B10332="pod"),(((D10332/100)*(C10332*VLOOKUP(B10332,'Poids des runes'!A:B,2,FALSE)))+1),(((D10332/100)*(C10332*VLOOKUP(B10332,'Poids des runes'!A:B,2,FALSE)))+1)/VLOOKUP(B10332,'Poids des runes'!A:B,2,FALSE))</f>
        <v>9.875</v>
      </c>
      <c r="F10332">
        <f t="shared" si="161"/>
        <v>9.875</v>
      </c>
    </row>
    <row r="10333" spans="1:6" x14ac:dyDescent="0.3">
      <c r="A10333" t="s">
        <v>1635</v>
      </c>
      <c r="B10333" t="s">
        <v>2138</v>
      </c>
      <c r="C10333">
        <v>4.5</v>
      </c>
      <c r="D10333">
        <v>25</v>
      </c>
      <c r="E10333">
        <f>IF(OR(B10333="vi",B10333="ii",B10333="pod"),(((D10333/100)*(C10333*VLOOKUP(B10333,'Poids des runes'!A:B,2,FALSE)))+1),(((D10333/100)*(C10333*VLOOKUP(B10333,'Poids des runes'!A:B,2,FALSE)))+1)/VLOOKUP(B10333,'Poids des runes'!A:B,2,FALSE))</f>
        <v>1.375</v>
      </c>
      <c r="F10333">
        <f t="shared" si="161"/>
        <v>1.375</v>
      </c>
    </row>
    <row r="10334" spans="1:6" x14ac:dyDescent="0.3">
      <c r="A10334" t="s">
        <v>1635</v>
      </c>
      <c r="B10334" t="s">
        <v>2142</v>
      </c>
      <c r="C10334">
        <v>6</v>
      </c>
      <c r="D10334">
        <v>25</v>
      </c>
      <c r="E10334">
        <f>IF(OR(B10334="vi",B10334="ii",B10334="pod"),(((D10334/100)*(C10334*VLOOKUP(B10334,'Poids des runes'!A:B,2,FALSE)))+1),(((D10334/100)*(C10334*VLOOKUP(B10334,'Poids des runes'!A:B,2,FALSE)))+1)/VLOOKUP(B10334,'Poids des runes'!A:B,2,FALSE))</f>
        <v>1.7</v>
      </c>
      <c r="F10334">
        <f t="shared" si="161"/>
        <v>1.7</v>
      </c>
    </row>
    <row r="10335" spans="1:6" x14ac:dyDescent="0.3">
      <c r="A10335" t="s">
        <v>1636</v>
      </c>
      <c r="B10335" t="s">
        <v>2128</v>
      </c>
      <c r="C10335">
        <v>15.5</v>
      </c>
      <c r="D10335">
        <v>26</v>
      </c>
      <c r="E10335">
        <f>IF(OR(B10335="vi",B10335="ii",B10335="pod"),(((D10335/100)*(C10335*VLOOKUP(B10335,'Poids des runes'!A:B,2,FALSE)))+1),(((D10335/100)*(C10335*VLOOKUP(B10335,'Poids des runes'!A:B,2,FALSE)))+1)/VLOOKUP(B10335,'Poids des runes'!A:B,2,FALSE))</f>
        <v>1.806</v>
      </c>
      <c r="F10335">
        <f t="shared" si="161"/>
        <v>1.806</v>
      </c>
    </row>
    <row r="10336" spans="1:6" x14ac:dyDescent="0.3">
      <c r="A10336" t="s">
        <v>1636</v>
      </c>
      <c r="B10336" t="s">
        <v>2130</v>
      </c>
      <c r="C10336">
        <v>13</v>
      </c>
      <c r="D10336">
        <v>26</v>
      </c>
      <c r="E10336">
        <f>IF(OR(B10336="vi",B10336="ii",B10336="pod"),(((D10336/100)*(C10336*VLOOKUP(B10336,'Poids des runes'!A:B,2,FALSE)))+1),(((D10336/100)*(C10336*VLOOKUP(B10336,'Poids des runes'!A:B,2,FALSE)))+1)/VLOOKUP(B10336,'Poids des runes'!A:B,2,FALSE))</f>
        <v>4.38</v>
      </c>
      <c r="F10336">
        <f t="shared" si="161"/>
        <v>4.38</v>
      </c>
    </row>
    <row r="10337" spans="1:6" x14ac:dyDescent="0.3">
      <c r="A10337" t="s">
        <v>1636</v>
      </c>
      <c r="B10337" t="s">
        <v>2131</v>
      </c>
      <c r="C10337">
        <v>13</v>
      </c>
      <c r="D10337">
        <v>26</v>
      </c>
      <c r="E10337">
        <f>IF(OR(B10337="vi",B10337="ii",B10337="pod"),(((D10337/100)*(C10337*VLOOKUP(B10337,'Poids des runes'!A:B,2,FALSE)))+1),(((D10337/100)*(C10337*VLOOKUP(B10337,'Poids des runes'!A:B,2,FALSE)))+1)/VLOOKUP(B10337,'Poids des runes'!A:B,2,FALSE))</f>
        <v>4.38</v>
      </c>
      <c r="F10337">
        <f t="shared" si="161"/>
        <v>4.38</v>
      </c>
    </row>
    <row r="10338" spans="1:6" x14ac:dyDescent="0.3">
      <c r="A10338" t="s">
        <v>1637</v>
      </c>
      <c r="B10338" t="s">
        <v>2128</v>
      </c>
      <c r="C10338">
        <v>23</v>
      </c>
      <c r="D10338">
        <v>26</v>
      </c>
      <c r="E10338">
        <f>IF(OR(B10338="vi",B10338="ii",B10338="pod"),(((D10338/100)*(C10338*VLOOKUP(B10338,'Poids des runes'!A:B,2,FALSE)))+1),(((D10338/100)*(C10338*VLOOKUP(B10338,'Poids des runes'!A:B,2,FALSE)))+1)/VLOOKUP(B10338,'Poids des runes'!A:B,2,FALSE))</f>
        <v>2.1960000000000002</v>
      </c>
      <c r="F10338">
        <f t="shared" si="161"/>
        <v>2.1960000000000002</v>
      </c>
    </row>
    <row r="10339" spans="1:6" x14ac:dyDescent="0.3">
      <c r="A10339" t="s">
        <v>1637</v>
      </c>
      <c r="B10339" t="s">
        <v>2131</v>
      </c>
      <c r="C10339">
        <v>25.5</v>
      </c>
      <c r="D10339">
        <v>26</v>
      </c>
      <c r="E10339">
        <f>IF(OR(B10339="vi",B10339="ii",B10339="pod"),(((D10339/100)*(C10339*VLOOKUP(B10339,'Poids des runes'!A:B,2,FALSE)))+1),(((D10339/100)*(C10339*VLOOKUP(B10339,'Poids des runes'!A:B,2,FALSE)))+1)/VLOOKUP(B10339,'Poids des runes'!A:B,2,FALSE))</f>
        <v>7.63</v>
      </c>
      <c r="F10339">
        <f t="shared" si="161"/>
        <v>7.63</v>
      </c>
    </row>
    <row r="10340" spans="1:6" x14ac:dyDescent="0.3">
      <c r="A10340" t="s">
        <v>1637</v>
      </c>
      <c r="B10340" t="s">
        <v>2138</v>
      </c>
      <c r="C10340">
        <v>2.5</v>
      </c>
      <c r="D10340">
        <v>26</v>
      </c>
      <c r="E10340">
        <f>IF(OR(B10340="vi",B10340="ii",B10340="pod"),(((D10340/100)*(C10340*VLOOKUP(B10340,'Poids des runes'!A:B,2,FALSE)))+1),(((D10340/100)*(C10340*VLOOKUP(B10340,'Poids des runes'!A:B,2,FALSE)))+1)/VLOOKUP(B10340,'Poids des runes'!A:B,2,FALSE))</f>
        <v>0.9</v>
      </c>
      <c r="F10340">
        <f t="shared" si="161"/>
        <v>0.9</v>
      </c>
    </row>
    <row r="10341" spans="1:6" x14ac:dyDescent="0.3">
      <c r="A10341" t="s">
        <v>1638</v>
      </c>
      <c r="B10341" t="s">
        <v>2128</v>
      </c>
      <c r="C10341">
        <v>25.5</v>
      </c>
      <c r="D10341">
        <v>26</v>
      </c>
      <c r="E10341">
        <f>IF(OR(B10341="vi",B10341="ii",B10341="pod"),(((D10341/100)*(C10341*VLOOKUP(B10341,'Poids des runes'!A:B,2,FALSE)))+1),(((D10341/100)*(C10341*VLOOKUP(B10341,'Poids des runes'!A:B,2,FALSE)))+1)/VLOOKUP(B10341,'Poids des runes'!A:B,2,FALSE))</f>
        <v>2.3260000000000005</v>
      </c>
      <c r="F10341">
        <f t="shared" si="161"/>
        <v>2.3260000000000005</v>
      </c>
    </row>
    <row r="10342" spans="1:6" x14ac:dyDescent="0.3">
      <c r="A10342" t="s">
        <v>1638</v>
      </c>
      <c r="B10342" t="s">
        <v>2139</v>
      </c>
      <c r="C10342">
        <v>13</v>
      </c>
      <c r="D10342">
        <v>26</v>
      </c>
      <c r="E10342">
        <f>IF(OR(B10342="vi",B10342="ii",B10342="pod"),(((D10342/100)*(C10342*VLOOKUP(B10342,'Poids des runes'!A:B,2,FALSE)))+1),(((D10342/100)*(C10342*VLOOKUP(B10342,'Poids des runes'!A:B,2,FALSE)))+1)/VLOOKUP(B10342,'Poids des runes'!A:B,2,FALSE))</f>
        <v>3.88</v>
      </c>
      <c r="F10342">
        <f t="shared" si="161"/>
        <v>3.88</v>
      </c>
    </row>
    <row r="10343" spans="1:6" x14ac:dyDescent="0.3">
      <c r="A10343" t="s">
        <v>1638</v>
      </c>
      <c r="B10343" t="s">
        <v>2151</v>
      </c>
      <c r="C10343">
        <v>2.5</v>
      </c>
      <c r="D10343">
        <v>26</v>
      </c>
      <c r="E10343">
        <f>IF(OR(B10343="vi",B10343="ii",B10343="pod"),(((D10343/100)*(C10343*VLOOKUP(B10343,'Poids des runes'!A:B,2,FALSE)))+1),(((D10343/100)*(C10343*VLOOKUP(B10343,'Poids des runes'!A:B,2,FALSE)))+1)/VLOOKUP(B10343,'Poids des runes'!A:B,2,FALSE))</f>
        <v>0.75</v>
      </c>
      <c r="F10343">
        <f t="shared" si="161"/>
        <v>0.75</v>
      </c>
    </row>
    <row r="10344" spans="1:6" x14ac:dyDescent="0.3">
      <c r="A10344" t="s">
        <v>1639</v>
      </c>
      <c r="B10344" t="s">
        <v>2128</v>
      </c>
      <c r="C10344">
        <v>13</v>
      </c>
      <c r="D10344">
        <v>26</v>
      </c>
      <c r="E10344">
        <f>IF(OR(B10344="vi",B10344="ii",B10344="pod"),(((D10344/100)*(C10344*VLOOKUP(B10344,'Poids des runes'!A:B,2,FALSE)))+1),(((D10344/100)*(C10344*VLOOKUP(B10344,'Poids des runes'!A:B,2,FALSE)))+1)/VLOOKUP(B10344,'Poids des runes'!A:B,2,FALSE))</f>
        <v>1.6760000000000002</v>
      </c>
      <c r="F10344">
        <f t="shared" si="161"/>
        <v>1.6760000000000002</v>
      </c>
    </row>
    <row r="10345" spans="1:6" x14ac:dyDescent="0.3">
      <c r="A10345" t="s">
        <v>1639</v>
      </c>
      <c r="B10345" t="s">
        <v>2127</v>
      </c>
      <c r="C10345">
        <v>13</v>
      </c>
      <c r="D10345">
        <v>26</v>
      </c>
      <c r="E10345">
        <f>IF(OR(B10345="vi",B10345="ii",B10345="pod"),(((D10345/100)*(C10345*VLOOKUP(B10345,'Poids des runes'!A:B,2,FALSE)))+1),(((D10345/100)*(C10345*VLOOKUP(B10345,'Poids des runes'!A:B,2,FALSE)))+1)/VLOOKUP(B10345,'Poids des runes'!A:B,2,FALSE))</f>
        <v>4.38</v>
      </c>
      <c r="F10345">
        <f t="shared" si="161"/>
        <v>4.38</v>
      </c>
    </row>
    <row r="10346" spans="1:6" x14ac:dyDescent="0.3">
      <c r="A10346" t="s">
        <v>1639</v>
      </c>
      <c r="B10346" t="s">
        <v>2151</v>
      </c>
      <c r="C10346">
        <v>1.5</v>
      </c>
      <c r="D10346">
        <v>26</v>
      </c>
      <c r="E10346">
        <f>IF(OR(B10346="vi",B10346="ii",B10346="pod"),(((D10346/100)*(C10346*VLOOKUP(B10346,'Poids des runes'!A:B,2,FALSE)))+1),(((D10346/100)*(C10346*VLOOKUP(B10346,'Poids des runes'!A:B,2,FALSE)))+1)/VLOOKUP(B10346,'Poids des runes'!A:B,2,FALSE))</f>
        <v>0.49000000000000005</v>
      </c>
      <c r="F10346">
        <f t="shared" si="161"/>
        <v>0.49000000000000005</v>
      </c>
    </row>
    <row r="10347" spans="1:6" x14ac:dyDescent="0.3">
      <c r="A10347" t="s">
        <v>1640</v>
      </c>
      <c r="B10347" t="s">
        <v>2128</v>
      </c>
      <c r="C10347">
        <v>23</v>
      </c>
      <c r="D10347">
        <v>26</v>
      </c>
      <c r="E10347">
        <f>IF(OR(B10347="vi",B10347="ii",B10347="pod"),(((D10347/100)*(C10347*VLOOKUP(B10347,'Poids des runes'!A:B,2,FALSE)))+1),(((D10347/100)*(C10347*VLOOKUP(B10347,'Poids des runes'!A:B,2,FALSE)))+1)/VLOOKUP(B10347,'Poids des runes'!A:B,2,FALSE))</f>
        <v>2.1960000000000002</v>
      </c>
      <c r="F10347">
        <f t="shared" si="161"/>
        <v>2.1960000000000002</v>
      </c>
    </row>
    <row r="10348" spans="1:6" x14ac:dyDescent="0.3">
      <c r="A10348" t="s">
        <v>1640</v>
      </c>
      <c r="B10348" t="s">
        <v>2126</v>
      </c>
      <c r="C10348">
        <v>15.5</v>
      </c>
      <c r="D10348">
        <v>26</v>
      </c>
      <c r="E10348">
        <f>IF(OR(B10348="vi",B10348="ii",B10348="pod"),(((D10348/100)*(C10348*VLOOKUP(B10348,'Poids des runes'!A:B,2,FALSE)))+1),(((D10348/100)*(C10348*VLOOKUP(B10348,'Poids des runes'!A:B,2,FALSE)))+1)/VLOOKUP(B10348,'Poids des runes'!A:B,2,FALSE))</f>
        <v>5.03</v>
      </c>
      <c r="F10348">
        <f t="shared" si="161"/>
        <v>5.03</v>
      </c>
    </row>
    <row r="10349" spans="1:6" x14ac:dyDescent="0.3">
      <c r="A10349" t="s">
        <v>1640</v>
      </c>
      <c r="B10349" t="s">
        <v>2129</v>
      </c>
      <c r="C10349">
        <v>8</v>
      </c>
      <c r="D10349">
        <v>26</v>
      </c>
      <c r="E10349">
        <f>IF(OR(B10349="vi",B10349="ii",B10349="pod"),(((D10349/100)*(C10349*VLOOKUP(B10349,'Poids des runes'!A:B,2,FALSE)))+1),(((D10349/100)*(C10349*VLOOKUP(B10349,'Poids des runes'!A:B,2,FALSE)))+1)/VLOOKUP(B10349,'Poids des runes'!A:B,2,FALSE))</f>
        <v>3.08</v>
      </c>
      <c r="F10349">
        <f t="shared" si="161"/>
        <v>3.08</v>
      </c>
    </row>
    <row r="10350" spans="1:6" x14ac:dyDescent="0.3">
      <c r="A10350" t="s">
        <v>1640</v>
      </c>
      <c r="B10350" t="s">
        <v>2141</v>
      </c>
      <c r="C10350">
        <v>2.5</v>
      </c>
      <c r="D10350">
        <v>26</v>
      </c>
      <c r="E10350">
        <f>IF(OR(B10350="vi",B10350="ii",B10350="pod"),(((D10350/100)*(C10350*VLOOKUP(B10350,'Poids des runes'!A:B,2,FALSE)))+1),(((D10350/100)*(C10350*VLOOKUP(B10350,'Poids des runes'!A:B,2,FALSE)))+1)/VLOOKUP(B10350,'Poids des runes'!A:B,2,FALSE))</f>
        <v>0.9</v>
      </c>
      <c r="F10350">
        <f t="shared" si="161"/>
        <v>0.9</v>
      </c>
    </row>
    <row r="10351" spans="1:6" x14ac:dyDescent="0.3">
      <c r="A10351" t="s">
        <v>1641</v>
      </c>
      <c r="B10351" t="s">
        <v>2130</v>
      </c>
      <c r="C10351">
        <v>18</v>
      </c>
      <c r="D10351">
        <v>26</v>
      </c>
      <c r="E10351">
        <f>IF(OR(B10351="vi",B10351="ii",B10351="pod"),(((D10351/100)*(C10351*VLOOKUP(B10351,'Poids des runes'!A:B,2,FALSE)))+1),(((D10351/100)*(C10351*VLOOKUP(B10351,'Poids des runes'!A:B,2,FALSE)))+1)/VLOOKUP(B10351,'Poids des runes'!A:B,2,FALSE))</f>
        <v>5.68</v>
      </c>
      <c r="F10351">
        <f t="shared" si="161"/>
        <v>5.68</v>
      </c>
    </row>
    <row r="10352" spans="1:6" x14ac:dyDescent="0.3">
      <c r="A10352" t="s">
        <v>1641</v>
      </c>
      <c r="B10352" t="s">
        <v>2126</v>
      </c>
      <c r="C10352">
        <v>18</v>
      </c>
      <c r="D10352">
        <v>26</v>
      </c>
      <c r="E10352">
        <f>IF(OR(B10352="vi",B10352="ii",B10352="pod"),(((D10352/100)*(C10352*VLOOKUP(B10352,'Poids des runes'!A:B,2,FALSE)))+1),(((D10352/100)*(C10352*VLOOKUP(B10352,'Poids des runes'!A:B,2,FALSE)))+1)/VLOOKUP(B10352,'Poids des runes'!A:B,2,FALSE))</f>
        <v>5.68</v>
      </c>
      <c r="F10352">
        <f t="shared" si="161"/>
        <v>5.68</v>
      </c>
    </row>
    <row r="10353" spans="1:6" x14ac:dyDescent="0.3">
      <c r="A10353" t="s">
        <v>1641</v>
      </c>
      <c r="B10353" t="s">
        <v>2141</v>
      </c>
      <c r="C10353">
        <v>4.5</v>
      </c>
      <c r="D10353">
        <v>26</v>
      </c>
      <c r="E10353">
        <f>IF(OR(B10353="vi",B10353="ii",B10353="pod"),(((D10353/100)*(C10353*VLOOKUP(B10353,'Poids des runes'!A:B,2,FALSE)))+1),(((D10353/100)*(C10353*VLOOKUP(B10353,'Poids des runes'!A:B,2,FALSE)))+1)/VLOOKUP(B10353,'Poids des runes'!A:B,2,FALSE))</f>
        <v>1.42</v>
      </c>
      <c r="F10353">
        <f t="shared" si="161"/>
        <v>1.42</v>
      </c>
    </row>
    <row r="10354" spans="1:6" x14ac:dyDescent="0.3">
      <c r="A10354" t="s">
        <v>1642</v>
      </c>
      <c r="B10354" t="s">
        <v>2128</v>
      </c>
      <c r="C10354">
        <v>50.5</v>
      </c>
      <c r="D10354">
        <v>27</v>
      </c>
      <c r="E10354">
        <f>IF(OR(B10354="vi",B10354="ii",B10354="pod"),(((D10354/100)*(C10354*VLOOKUP(B10354,'Poids des runes'!A:B,2,FALSE)))+1),(((D10354/100)*(C10354*VLOOKUP(B10354,'Poids des runes'!A:B,2,FALSE)))+1)/VLOOKUP(B10354,'Poids des runes'!A:B,2,FALSE))</f>
        <v>3.7270000000000008</v>
      </c>
      <c r="F10354">
        <f t="shared" si="161"/>
        <v>3.7270000000000008</v>
      </c>
    </row>
    <row r="10355" spans="1:6" x14ac:dyDescent="0.3">
      <c r="A10355" t="s">
        <v>1642</v>
      </c>
      <c r="B10355" t="s">
        <v>2131</v>
      </c>
      <c r="C10355">
        <v>35.5</v>
      </c>
      <c r="D10355">
        <v>27</v>
      </c>
      <c r="E10355">
        <f>IF(OR(B10355="vi",B10355="ii",B10355="pod"),(((D10355/100)*(C10355*VLOOKUP(B10355,'Poids des runes'!A:B,2,FALSE)))+1),(((D10355/100)*(C10355*VLOOKUP(B10355,'Poids des runes'!A:B,2,FALSE)))+1)/VLOOKUP(B10355,'Poids des runes'!A:B,2,FALSE))</f>
        <v>10.585000000000001</v>
      </c>
      <c r="F10355">
        <f t="shared" si="161"/>
        <v>10.585000000000001</v>
      </c>
    </row>
    <row r="10356" spans="1:6" x14ac:dyDescent="0.3">
      <c r="A10356" t="s">
        <v>1642</v>
      </c>
      <c r="B10356" t="s">
        <v>2133</v>
      </c>
      <c r="C10356">
        <v>2.5</v>
      </c>
      <c r="D10356">
        <v>27</v>
      </c>
      <c r="E10356">
        <f>IF(OR(B10356="vi",B10356="ii",B10356="pod"),(((D10356/100)*(C10356*VLOOKUP(B10356,'Poids des runes'!A:B,2,FALSE)))+1),(((D10356/100)*(C10356*VLOOKUP(B10356,'Poids des runes'!A:B,2,FALSE)))+1)/VLOOKUP(B10356,'Poids des runes'!A:B,2,FALSE))</f>
        <v>0.875</v>
      </c>
      <c r="F10356">
        <f t="shared" si="161"/>
        <v>0.875</v>
      </c>
    </row>
    <row r="10357" spans="1:6" x14ac:dyDescent="0.3">
      <c r="A10357" t="s">
        <v>1643</v>
      </c>
      <c r="B10357" t="s">
        <v>2131</v>
      </c>
      <c r="C10357">
        <v>18</v>
      </c>
      <c r="D10357">
        <v>27</v>
      </c>
      <c r="E10357">
        <f>IF(OR(B10357="vi",B10357="ii",B10357="pod"),(((D10357/100)*(C10357*VLOOKUP(B10357,'Poids des runes'!A:B,2,FALSE)))+1),(((D10357/100)*(C10357*VLOOKUP(B10357,'Poids des runes'!A:B,2,FALSE)))+1)/VLOOKUP(B10357,'Poids des runes'!A:B,2,FALSE))</f>
        <v>5.86</v>
      </c>
      <c r="F10357">
        <f t="shared" si="161"/>
        <v>5.86</v>
      </c>
    </row>
    <row r="10358" spans="1:6" x14ac:dyDescent="0.3">
      <c r="A10358" t="s">
        <v>1643</v>
      </c>
      <c r="B10358" t="s">
        <v>2127</v>
      </c>
      <c r="C10358">
        <v>18</v>
      </c>
      <c r="D10358">
        <v>27</v>
      </c>
      <c r="E10358">
        <f>IF(OR(B10358="vi",B10358="ii",B10358="pod"),(((D10358/100)*(C10358*VLOOKUP(B10358,'Poids des runes'!A:B,2,FALSE)))+1),(((D10358/100)*(C10358*VLOOKUP(B10358,'Poids des runes'!A:B,2,FALSE)))+1)/VLOOKUP(B10358,'Poids des runes'!A:B,2,FALSE))</f>
        <v>5.86</v>
      </c>
      <c r="F10358">
        <f t="shared" si="161"/>
        <v>5.86</v>
      </c>
    </row>
    <row r="10359" spans="1:6" x14ac:dyDescent="0.3">
      <c r="A10359" t="s">
        <v>1643</v>
      </c>
      <c r="B10359" t="s">
        <v>2151</v>
      </c>
      <c r="C10359">
        <v>2</v>
      </c>
      <c r="D10359">
        <v>27</v>
      </c>
      <c r="E10359">
        <f>IF(OR(B10359="vi",B10359="ii",B10359="pod"),(((D10359/100)*(C10359*VLOOKUP(B10359,'Poids des runes'!A:B,2,FALSE)))+1),(((D10359/100)*(C10359*VLOOKUP(B10359,'Poids des runes'!A:B,2,FALSE)))+1)/VLOOKUP(B10359,'Poids des runes'!A:B,2,FALSE))</f>
        <v>0.64</v>
      </c>
      <c r="F10359">
        <f t="shared" si="161"/>
        <v>0.64</v>
      </c>
    </row>
    <row r="10360" spans="1:6" x14ac:dyDescent="0.3">
      <c r="A10360" t="s">
        <v>1643</v>
      </c>
      <c r="B10360" t="s">
        <v>2133</v>
      </c>
      <c r="C10360">
        <v>2</v>
      </c>
      <c r="D10360">
        <v>27</v>
      </c>
      <c r="E10360">
        <f>IF(OR(B10360="vi",B10360="ii",B10360="pod"),(((D10360/100)*(C10360*VLOOKUP(B10360,'Poids des runes'!A:B,2,FALSE)))+1),(((D10360/100)*(C10360*VLOOKUP(B10360,'Poids des runes'!A:B,2,FALSE)))+1)/VLOOKUP(B10360,'Poids des runes'!A:B,2,FALSE))</f>
        <v>0.74</v>
      </c>
      <c r="F10360">
        <f t="shared" si="161"/>
        <v>0.74</v>
      </c>
    </row>
    <row r="10361" spans="1:6" x14ac:dyDescent="0.3">
      <c r="A10361" t="s">
        <v>1643</v>
      </c>
      <c r="B10361" t="s">
        <v>2153</v>
      </c>
      <c r="C10361">
        <v>2</v>
      </c>
      <c r="D10361">
        <v>27</v>
      </c>
      <c r="E10361">
        <f>IF(OR(B10361="vi",B10361="ii",B10361="pod"),(((D10361/100)*(C10361*VLOOKUP(B10361,'Poids des runes'!A:B,2,FALSE)))+1),(((D10361/100)*(C10361*VLOOKUP(B10361,'Poids des runes'!A:B,2,FALSE)))+1)/VLOOKUP(B10361,'Poids des runes'!A:B,2,FALSE))</f>
        <v>0.74</v>
      </c>
      <c r="F10361">
        <f t="shared" si="161"/>
        <v>0.74</v>
      </c>
    </row>
    <row r="10362" spans="1:6" x14ac:dyDescent="0.3">
      <c r="A10362" t="s">
        <v>1644</v>
      </c>
      <c r="B10362" t="s">
        <v>2128</v>
      </c>
      <c r="C10362">
        <v>35.5</v>
      </c>
      <c r="D10362">
        <v>27</v>
      </c>
      <c r="E10362">
        <f>IF(OR(B10362="vi",B10362="ii",B10362="pod"),(((D10362/100)*(C10362*VLOOKUP(B10362,'Poids des runes'!A:B,2,FALSE)))+1),(((D10362/100)*(C10362*VLOOKUP(B10362,'Poids des runes'!A:B,2,FALSE)))+1)/VLOOKUP(B10362,'Poids des runes'!A:B,2,FALSE))</f>
        <v>2.9170000000000003</v>
      </c>
      <c r="F10362">
        <f t="shared" si="161"/>
        <v>2.9170000000000003</v>
      </c>
    </row>
    <row r="10363" spans="1:6" x14ac:dyDescent="0.3">
      <c r="A10363" t="s">
        <v>1644</v>
      </c>
      <c r="B10363" t="s">
        <v>2131</v>
      </c>
      <c r="C10363">
        <v>25.5</v>
      </c>
      <c r="D10363">
        <v>27</v>
      </c>
      <c r="E10363">
        <f>IF(OR(B10363="vi",B10363="ii",B10363="pod"),(((D10363/100)*(C10363*VLOOKUP(B10363,'Poids des runes'!A:B,2,FALSE)))+1),(((D10363/100)*(C10363*VLOOKUP(B10363,'Poids des runes'!A:B,2,FALSE)))+1)/VLOOKUP(B10363,'Poids des runes'!A:B,2,FALSE))</f>
        <v>7.8850000000000007</v>
      </c>
      <c r="F10363">
        <f t="shared" si="161"/>
        <v>7.8850000000000007</v>
      </c>
    </row>
    <row r="10364" spans="1:6" x14ac:dyDescent="0.3">
      <c r="A10364" t="s">
        <v>1644</v>
      </c>
      <c r="B10364" t="s">
        <v>2151</v>
      </c>
      <c r="C10364">
        <v>2.5</v>
      </c>
      <c r="D10364">
        <v>27</v>
      </c>
      <c r="E10364">
        <f>IF(OR(B10364="vi",B10364="ii",B10364="pod"),(((D10364/100)*(C10364*VLOOKUP(B10364,'Poids des runes'!A:B,2,FALSE)))+1),(((D10364/100)*(C10364*VLOOKUP(B10364,'Poids des runes'!A:B,2,FALSE)))+1)/VLOOKUP(B10364,'Poids des runes'!A:B,2,FALSE))</f>
        <v>0.77500000000000002</v>
      </c>
      <c r="F10364">
        <f t="shared" si="161"/>
        <v>0.77500000000000002</v>
      </c>
    </row>
    <row r="10365" spans="1:6" x14ac:dyDescent="0.3">
      <c r="A10365" t="s">
        <v>1645</v>
      </c>
      <c r="B10365" t="s">
        <v>2128</v>
      </c>
      <c r="C10365">
        <v>23</v>
      </c>
      <c r="D10365">
        <v>27</v>
      </c>
      <c r="E10365">
        <f>IF(OR(B10365="vi",B10365="ii",B10365="pod"),(((D10365/100)*(C10365*VLOOKUP(B10365,'Poids des runes'!A:B,2,FALSE)))+1),(((D10365/100)*(C10365*VLOOKUP(B10365,'Poids des runes'!A:B,2,FALSE)))+1)/VLOOKUP(B10365,'Poids des runes'!A:B,2,FALSE))</f>
        <v>2.242</v>
      </c>
      <c r="F10365">
        <f t="shared" si="161"/>
        <v>2.242</v>
      </c>
    </row>
    <row r="10366" spans="1:6" x14ac:dyDescent="0.3">
      <c r="A10366" t="s">
        <v>1645</v>
      </c>
      <c r="B10366" t="s">
        <v>2130</v>
      </c>
      <c r="C10366">
        <v>25.5</v>
      </c>
      <c r="D10366">
        <v>27</v>
      </c>
      <c r="E10366">
        <f>IF(OR(B10366="vi",B10366="ii",B10366="pod"),(((D10366/100)*(C10366*VLOOKUP(B10366,'Poids des runes'!A:B,2,FALSE)))+1),(((D10366/100)*(C10366*VLOOKUP(B10366,'Poids des runes'!A:B,2,FALSE)))+1)/VLOOKUP(B10366,'Poids des runes'!A:B,2,FALSE))</f>
        <v>7.8850000000000007</v>
      </c>
      <c r="F10366">
        <f t="shared" si="161"/>
        <v>7.8850000000000007</v>
      </c>
    </row>
    <row r="10367" spans="1:6" x14ac:dyDescent="0.3">
      <c r="A10367" t="s">
        <v>1645</v>
      </c>
      <c r="B10367" t="s">
        <v>2151</v>
      </c>
      <c r="C10367">
        <v>1.5</v>
      </c>
      <c r="D10367">
        <v>27</v>
      </c>
      <c r="E10367">
        <f>IF(OR(B10367="vi",B10367="ii",B10367="pod"),(((D10367/100)*(C10367*VLOOKUP(B10367,'Poids des runes'!A:B,2,FALSE)))+1),(((D10367/100)*(C10367*VLOOKUP(B10367,'Poids des runes'!A:B,2,FALSE)))+1)/VLOOKUP(B10367,'Poids des runes'!A:B,2,FALSE))</f>
        <v>0.50500000000000012</v>
      </c>
      <c r="F10367">
        <f t="shared" si="161"/>
        <v>0.50500000000000012</v>
      </c>
    </row>
    <row r="10368" spans="1:6" x14ac:dyDescent="0.3">
      <c r="A10368" t="s">
        <v>1646</v>
      </c>
      <c r="B10368" t="s">
        <v>2128</v>
      </c>
      <c r="C10368">
        <v>25.5</v>
      </c>
      <c r="D10368">
        <v>27</v>
      </c>
      <c r="E10368">
        <f>IF(OR(B10368="vi",B10368="ii",B10368="pod"),(((D10368/100)*(C10368*VLOOKUP(B10368,'Poids des runes'!A:B,2,FALSE)))+1),(((D10368/100)*(C10368*VLOOKUP(B10368,'Poids des runes'!A:B,2,FALSE)))+1)/VLOOKUP(B10368,'Poids des runes'!A:B,2,FALSE))</f>
        <v>2.3770000000000002</v>
      </c>
      <c r="F10368">
        <f t="shared" si="161"/>
        <v>2.3770000000000002</v>
      </c>
    </row>
    <row r="10369" spans="1:6" x14ac:dyDescent="0.3">
      <c r="A10369" t="s">
        <v>1646</v>
      </c>
      <c r="B10369" t="s">
        <v>2130</v>
      </c>
      <c r="C10369">
        <v>18</v>
      </c>
      <c r="D10369">
        <v>27</v>
      </c>
      <c r="E10369">
        <f>IF(OR(B10369="vi",B10369="ii",B10369="pod"),(((D10369/100)*(C10369*VLOOKUP(B10369,'Poids des runes'!A:B,2,FALSE)))+1),(((D10369/100)*(C10369*VLOOKUP(B10369,'Poids des runes'!A:B,2,FALSE)))+1)/VLOOKUP(B10369,'Poids des runes'!A:B,2,FALSE))</f>
        <v>5.86</v>
      </c>
      <c r="F10369">
        <f t="shared" si="161"/>
        <v>5.86</v>
      </c>
    </row>
    <row r="10370" spans="1:6" x14ac:dyDescent="0.3">
      <c r="A10370" t="s">
        <v>1646</v>
      </c>
      <c r="B10370" t="s">
        <v>2129</v>
      </c>
      <c r="C10370">
        <v>13</v>
      </c>
      <c r="D10370">
        <v>27</v>
      </c>
      <c r="E10370">
        <f>IF(OR(B10370="vi",B10370="ii",B10370="pod"),(((D10370/100)*(C10370*VLOOKUP(B10370,'Poids des runes'!A:B,2,FALSE)))+1),(((D10370/100)*(C10370*VLOOKUP(B10370,'Poids des runes'!A:B,2,FALSE)))+1)/VLOOKUP(B10370,'Poids des runes'!A:B,2,FALSE))</f>
        <v>4.51</v>
      </c>
      <c r="F10370">
        <f t="shared" si="161"/>
        <v>4.51</v>
      </c>
    </row>
    <row r="10371" spans="1:6" x14ac:dyDescent="0.3">
      <c r="A10371" t="s">
        <v>1647</v>
      </c>
      <c r="B10371" t="s">
        <v>2127</v>
      </c>
      <c r="C10371">
        <v>25.5</v>
      </c>
      <c r="D10371">
        <v>27</v>
      </c>
      <c r="E10371">
        <f>IF(OR(B10371="vi",B10371="ii",B10371="pod"),(((D10371/100)*(C10371*VLOOKUP(B10371,'Poids des runes'!A:B,2,FALSE)))+1),(((D10371/100)*(C10371*VLOOKUP(B10371,'Poids des runes'!A:B,2,FALSE)))+1)/VLOOKUP(B10371,'Poids des runes'!A:B,2,FALSE))</f>
        <v>7.8850000000000007</v>
      </c>
      <c r="F10371">
        <f t="shared" ref="F10371:F10434" si="162">E10371</f>
        <v>7.8850000000000007</v>
      </c>
    </row>
    <row r="10372" spans="1:6" x14ac:dyDescent="0.3">
      <c r="A10372" t="s">
        <v>1647</v>
      </c>
      <c r="B10372" t="s">
        <v>2153</v>
      </c>
      <c r="C10372">
        <v>2.5</v>
      </c>
      <c r="D10372">
        <v>27</v>
      </c>
      <c r="E10372">
        <f>IF(OR(B10372="vi",B10372="ii",B10372="pod"),(((D10372/100)*(C10372*VLOOKUP(B10372,'Poids des runes'!A:B,2,FALSE)))+1),(((D10372/100)*(C10372*VLOOKUP(B10372,'Poids des runes'!A:B,2,FALSE)))+1)/VLOOKUP(B10372,'Poids des runes'!A:B,2,FALSE))</f>
        <v>0.875</v>
      </c>
      <c r="F10372">
        <f t="shared" si="162"/>
        <v>0.875</v>
      </c>
    </row>
    <row r="10373" spans="1:6" x14ac:dyDescent="0.3">
      <c r="A10373" t="s">
        <v>1647</v>
      </c>
      <c r="B10373" t="s">
        <v>2141</v>
      </c>
      <c r="C10373">
        <v>2.5</v>
      </c>
      <c r="D10373">
        <v>27</v>
      </c>
      <c r="E10373">
        <f>IF(OR(B10373="vi",B10373="ii",B10373="pod"),(((D10373/100)*(C10373*VLOOKUP(B10373,'Poids des runes'!A:B,2,FALSE)))+1),(((D10373/100)*(C10373*VLOOKUP(B10373,'Poids des runes'!A:B,2,FALSE)))+1)/VLOOKUP(B10373,'Poids des runes'!A:B,2,FALSE))</f>
        <v>0.92500000000000004</v>
      </c>
      <c r="F10373">
        <f t="shared" si="162"/>
        <v>0.92500000000000004</v>
      </c>
    </row>
    <row r="10374" spans="1:6" x14ac:dyDescent="0.3">
      <c r="A10374" t="s">
        <v>1648</v>
      </c>
      <c r="B10374" t="s">
        <v>2128</v>
      </c>
      <c r="C10374">
        <v>25.5</v>
      </c>
      <c r="D10374">
        <v>27</v>
      </c>
      <c r="E10374">
        <f>IF(OR(B10374="vi",B10374="ii",B10374="pod"),(((D10374/100)*(C10374*VLOOKUP(B10374,'Poids des runes'!A:B,2,FALSE)))+1),(((D10374/100)*(C10374*VLOOKUP(B10374,'Poids des runes'!A:B,2,FALSE)))+1)/VLOOKUP(B10374,'Poids des runes'!A:B,2,FALSE))</f>
        <v>2.3770000000000002</v>
      </c>
      <c r="F10374">
        <f t="shared" si="162"/>
        <v>2.3770000000000002</v>
      </c>
    </row>
    <row r="10375" spans="1:6" x14ac:dyDescent="0.3">
      <c r="A10375" t="s">
        <v>1648</v>
      </c>
      <c r="B10375" t="s">
        <v>2126</v>
      </c>
      <c r="C10375">
        <v>35.5</v>
      </c>
      <c r="D10375">
        <v>27</v>
      </c>
      <c r="E10375">
        <f>IF(OR(B10375="vi",B10375="ii",B10375="pod"),(((D10375/100)*(C10375*VLOOKUP(B10375,'Poids des runes'!A:B,2,FALSE)))+1),(((D10375/100)*(C10375*VLOOKUP(B10375,'Poids des runes'!A:B,2,FALSE)))+1)/VLOOKUP(B10375,'Poids des runes'!A:B,2,FALSE))</f>
        <v>10.585000000000001</v>
      </c>
      <c r="F10375">
        <f t="shared" si="162"/>
        <v>10.585000000000001</v>
      </c>
    </row>
    <row r="10376" spans="1:6" x14ac:dyDescent="0.3">
      <c r="A10376" t="s">
        <v>1648</v>
      </c>
      <c r="B10376" t="s">
        <v>2149</v>
      </c>
      <c r="C10376">
        <v>4.5</v>
      </c>
      <c r="D10376">
        <v>27</v>
      </c>
      <c r="E10376">
        <f>IF(OR(B10376="vi",B10376="ii",B10376="pod"),(((D10376/100)*(C10376*VLOOKUP(B10376,'Poids des runes'!A:B,2,FALSE)))+1),(((D10376/100)*(C10376*VLOOKUP(B10376,'Poids des runes'!A:B,2,FALSE)))+1)/VLOOKUP(B10376,'Poids des runes'!A:B,2,FALSE))</f>
        <v>1.3149999999999999</v>
      </c>
      <c r="F10376">
        <f t="shared" si="162"/>
        <v>1.3149999999999999</v>
      </c>
    </row>
    <row r="10377" spans="1:6" x14ac:dyDescent="0.3">
      <c r="A10377" t="s">
        <v>1648</v>
      </c>
      <c r="B10377" t="s">
        <v>2141</v>
      </c>
      <c r="C10377">
        <v>3.5</v>
      </c>
      <c r="D10377">
        <v>27</v>
      </c>
      <c r="E10377">
        <f>IF(OR(B10377="vi",B10377="ii",B10377="pod"),(((D10377/100)*(C10377*VLOOKUP(B10377,'Poids des runes'!A:B,2,FALSE)))+1),(((D10377/100)*(C10377*VLOOKUP(B10377,'Poids des runes'!A:B,2,FALSE)))+1)/VLOOKUP(B10377,'Poids des runes'!A:B,2,FALSE))</f>
        <v>1.1950000000000001</v>
      </c>
      <c r="F10377">
        <f t="shared" si="162"/>
        <v>1.1950000000000001</v>
      </c>
    </row>
    <row r="10378" spans="1:6" x14ac:dyDescent="0.3">
      <c r="A10378" t="s">
        <v>1649</v>
      </c>
      <c r="B10378" t="s">
        <v>2128</v>
      </c>
      <c r="C10378">
        <v>35.5</v>
      </c>
      <c r="D10378">
        <v>27</v>
      </c>
      <c r="E10378">
        <f>IF(OR(B10378="vi",B10378="ii",B10378="pod"),(((D10378/100)*(C10378*VLOOKUP(B10378,'Poids des runes'!A:B,2,FALSE)))+1),(((D10378/100)*(C10378*VLOOKUP(B10378,'Poids des runes'!A:B,2,FALSE)))+1)/VLOOKUP(B10378,'Poids des runes'!A:B,2,FALSE))</f>
        <v>2.9170000000000003</v>
      </c>
      <c r="F10378">
        <f t="shared" si="162"/>
        <v>2.9170000000000003</v>
      </c>
    </row>
    <row r="10379" spans="1:6" x14ac:dyDescent="0.3">
      <c r="A10379" t="s">
        <v>1649</v>
      </c>
      <c r="B10379" t="s">
        <v>2126</v>
      </c>
      <c r="C10379">
        <v>18</v>
      </c>
      <c r="D10379">
        <v>27</v>
      </c>
      <c r="E10379">
        <f>IF(OR(B10379="vi",B10379="ii",B10379="pod"),(((D10379/100)*(C10379*VLOOKUP(B10379,'Poids des runes'!A:B,2,FALSE)))+1),(((D10379/100)*(C10379*VLOOKUP(B10379,'Poids des runes'!A:B,2,FALSE)))+1)/VLOOKUP(B10379,'Poids des runes'!A:B,2,FALSE))</f>
        <v>5.86</v>
      </c>
      <c r="F10379">
        <f t="shared" si="162"/>
        <v>5.86</v>
      </c>
    </row>
    <row r="10380" spans="1:6" x14ac:dyDescent="0.3">
      <c r="A10380" t="s">
        <v>1649</v>
      </c>
      <c r="B10380" t="s">
        <v>2127</v>
      </c>
      <c r="C10380">
        <v>18</v>
      </c>
      <c r="D10380">
        <v>27</v>
      </c>
      <c r="E10380">
        <f>IF(OR(B10380="vi",B10380="ii",B10380="pod"),(((D10380/100)*(C10380*VLOOKUP(B10380,'Poids des runes'!A:B,2,FALSE)))+1),(((D10380/100)*(C10380*VLOOKUP(B10380,'Poids des runes'!A:B,2,FALSE)))+1)/VLOOKUP(B10380,'Poids des runes'!A:B,2,FALSE))</f>
        <v>5.86</v>
      </c>
      <c r="F10380">
        <f t="shared" si="162"/>
        <v>5.86</v>
      </c>
    </row>
    <row r="10381" spans="1:6" x14ac:dyDescent="0.3">
      <c r="A10381" t="s">
        <v>1649</v>
      </c>
      <c r="B10381" t="s">
        <v>2166</v>
      </c>
      <c r="C10381">
        <v>1</v>
      </c>
      <c r="D10381">
        <v>27</v>
      </c>
      <c r="E10381">
        <f>IF(OR(B10381="vi",B10381="ii",B10381="pod"),(((D10381/100)*(C10381*VLOOKUP(B10381,'Poids des runes'!A:B,2,FALSE)))+1),(((D10381/100)*(C10381*VLOOKUP(B10381,'Poids des runes'!A:B,2,FALSE)))+1)/VLOOKUP(B10381,'Poids des runes'!A:B,2,FALSE))</f>
        <v>0.60333333333333339</v>
      </c>
      <c r="F10381">
        <f t="shared" si="162"/>
        <v>0.60333333333333339</v>
      </c>
    </row>
    <row r="10382" spans="1:6" x14ac:dyDescent="0.3">
      <c r="A10382" t="s">
        <v>1650</v>
      </c>
      <c r="B10382" t="s">
        <v>2126</v>
      </c>
      <c r="C10382">
        <v>25.5</v>
      </c>
      <c r="D10382">
        <v>27</v>
      </c>
      <c r="E10382">
        <f>IF(OR(B10382="vi",B10382="ii",B10382="pod"),(((D10382/100)*(C10382*VLOOKUP(B10382,'Poids des runes'!A:B,2,FALSE)))+1),(((D10382/100)*(C10382*VLOOKUP(B10382,'Poids des runes'!A:B,2,FALSE)))+1)/VLOOKUP(B10382,'Poids des runes'!A:B,2,FALSE))</f>
        <v>7.8850000000000007</v>
      </c>
      <c r="F10382">
        <f t="shared" si="162"/>
        <v>7.8850000000000007</v>
      </c>
    </row>
    <row r="10383" spans="1:6" x14ac:dyDescent="0.3">
      <c r="A10383" t="s">
        <v>1650</v>
      </c>
      <c r="B10383" t="s">
        <v>2127</v>
      </c>
      <c r="C10383">
        <v>13</v>
      </c>
      <c r="D10383">
        <v>27</v>
      </c>
      <c r="E10383">
        <f>IF(OR(B10383="vi",B10383="ii",B10383="pod"),(((D10383/100)*(C10383*VLOOKUP(B10383,'Poids des runes'!A:B,2,FALSE)))+1),(((D10383/100)*(C10383*VLOOKUP(B10383,'Poids des runes'!A:B,2,FALSE)))+1)/VLOOKUP(B10383,'Poids des runes'!A:B,2,FALSE))</f>
        <v>4.51</v>
      </c>
      <c r="F10383">
        <f t="shared" si="162"/>
        <v>4.51</v>
      </c>
    </row>
    <row r="10384" spans="1:6" x14ac:dyDescent="0.3">
      <c r="A10384" t="s">
        <v>1651</v>
      </c>
      <c r="B10384" t="s">
        <v>2128</v>
      </c>
      <c r="C10384">
        <v>25.5</v>
      </c>
      <c r="D10384">
        <v>27</v>
      </c>
      <c r="E10384">
        <f>IF(OR(B10384="vi",B10384="ii",B10384="pod"),(((D10384/100)*(C10384*VLOOKUP(B10384,'Poids des runes'!A:B,2,FALSE)))+1),(((D10384/100)*(C10384*VLOOKUP(B10384,'Poids des runes'!A:B,2,FALSE)))+1)/VLOOKUP(B10384,'Poids des runes'!A:B,2,FALSE))</f>
        <v>2.3770000000000002</v>
      </c>
      <c r="F10384">
        <f t="shared" si="162"/>
        <v>2.3770000000000002</v>
      </c>
    </row>
    <row r="10385" spans="1:6" x14ac:dyDescent="0.3">
      <c r="A10385" t="s">
        <v>1651</v>
      </c>
      <c r="B10385" t="s">
        <v>2126</v>
      </c>
      <c r="C10385">
        <v>25.5</v>
      </c>
      <c r="D10385">
        <v>27</v>
      </c>
      <c r="E10385">
        <f>IF(OR(B10385="vi",B10385="ii",B10385="pod"),(((D10385/100)*(C10385*VLOOKUP(B10385,'Poids des runes'!A:B,2,FALSE)))+1),(((D10385/100)*(C10385*VLOOKUP(B10385,'Poids des runes'!A:B,2,FALSE)))+1)/VLOOKUP(B10385,'Poids des runes'!A:B,2,FALSE))</f>
        <v>7.8850000000000007</v>
      </c>
      <c r="F10385">
        <f t="shared" si="162"/>
        <v>7.8850000000000007</v>
      </c>
    </row>
    <row r="10386" spans="1:6" x14ac:dyDescent="0.3">
      <c r="A10386" t="s">
        <v>1651</v>
      </c>
      <c r="B10386" t="s">
        <v>2149</v>
      </c>
      <c r="C10386">
        <v>6</v>
      </c>
      <c r="D10386">
        <v>27</v>
      </c>
      <c r="E10386">
        <f>IF(OR(B10386="vi",B10386="ii",B10386="pod"),(((D10386/100)*(C10386*VLOOKUP(B10386,'Poids des runes'!A:B,2,FALSE)))+1),(((D10386/100)*(C10386*VLOOKUP(B10386,'Poids des runes'!A:B,2,FALSE)))+1)/VLOOKUP(B10386,'Poids des runes'!A:B,2,FALSE))</f>
        <v>1.7200000000000002</v>
      </c>
      <c r="F10386">
        <f t="shared" si="162"/>
        <v>1.7200000000000002</v>
      </c>
    </row>
    <row r="10387" spans="1:6" x14ac:dyDescent="0.3">
      <c r="A10387" t="s">
        <v>1652</v>
      </c>
      <c r="B10387" t="s">
        <v>2128</v>
      </c>
      <c r="C10387">
        <v>50.5</v>
      </c>
      <c r="D10387">
        <v>28</v>
      </c>
      <c r="E10387">
        <f>IF(OR(B10387="vi",B10387="ii",B10387="pod"),(((D10387/100)*(C10387*VLOOKUP(B10387,'Poids des runes'!A:B,2,FALSE)))+1),(((D10387/100)*(C10387*VLOOKUP(B10387,'Poids des runes'!A:B,2,FALSE)))+1)/VLOOKUP(B10387,'Poids des runes'!A:B,2,FALSE))</f>
        <v>3.8280000000000007</v>
      </c>
      <c r="F10387">
        <f t="shared" si="162"/>
        <v>3.8280000000000007</v>
      </c>
    </row>
    <row r="10388" spans="1:6" x14ac:dyDescent="0.3">
      <c r="A10388" t="s">
        <v>1652</v>
      </c>
      <c r="B10388" t="s">
        <v>2131</v>
      </c>
      <c r="C10388">
        <v>8.5</v>
      </c>
      <c r="D10388">
        <v>28</v>
      </c>
      <c r="E10388">
        <f>IF(OR(B10388="vi",B10388="ii",B10388="pod"),(((D10388/100)*(C10388*VLOOKUP(B10388,'Poids des runes'!A:B,2,FALSE)))+1),(((D10388/100)*(C10388*VLOOKUP(B10388,'Poids des runes'!A:B,2,FALSE)))+1)/VLOOKUP(B10388,'Poids des runes'!A:B,2,FALSE))</f>
        <v>3.3800000000000003</v>
      </c>
      <c r="F10388">
        <f t="shared" si="162"/>
        <v>3.3800000000000003</v>
      </c>
    </row>
    <row r="10389" spans="1:6" x14ac:dyDescent="0.3">
      <c r="A10389" t="s">
        <v>1652</v>
      </c>
      <c r="B10389" t="s">
        <v>2127</v>
      </c>
      <c r="C10389">
        <v>8.5</v>
      </c>
      <c r="D10389">
        <v>28</v>
      </c>
      <c r="E10389">
        <f>IF(OR(B10389="vi",B10389="ii",B10389="pod"),(((D10389/100)*(C10389*VLOOKUP(B10389,'Poids des runes'!A:B,2,FALSE)))+1),(((D10389/100)*(C10389*VLOOKUP(B10389,'Poids des runes'!A:B,2,FALSE)))+1)/VLOOKUP(B10389,'Poids des runes'!A:B,2,FALSE))</f>
        <v>3.3800000000000003</v>
      </c>
      <c r="F10389">
        <f t="shared" si="162"/>
        <v>3.3800000000000003</v>
      </c>
    </row>
    <row r="10390" spans="1:6" x14ac:dyDescent="0.3">
      <c r="A10390" t="s">
        <v>1652</v>
      </c>
      <c r="B10390" t="s">
        <v>2151</v>
      </c>
      <c r="C10390">
        <v>2.5</v>
      </c>
      <c r="D10390">
        <v>28</v>
      </c>
      <c r="E10390">
        <f>IF(OR(B10390="vi",B10390="ii",B10390="pod"),(((D10390/100)*(C10390*VLOOKUP(B10390,'Poids des runes'!A:B,2,FALSE)))+1),(((D10390/100)*(C10390*VLOOKUP(B10390,'Poids des runes'!A:B,2,FALSE)))+1)/VLOOKUP(B10390,'Poids des runes'!A:B,2,FALSE))</f>
        <v>0.8</v>
      </c>
      <c r="F10390">
        <f t="shared" si="162"/>
        <v>0.8</v>
      </c>
    </row>
    <row r="10391" spans="1:6" x14ac:dyDescent="0.3">
      <c r="A10391" t="s">
        <v>1653</v>
      </c>
      <c r="B10391" t="s">
        <v>2152</v>
      </c>
      <c r="C10391">
        <v>1</v>
      </c>
      <c r="D10391">
        <v>28</v>
      </c>
      <c r="E10391">
        <f>IF(OR(B10391="vi",B10391="ii",B10391="pod"),(((D10391/100)*(C10391*VLOOKUP(B10391,'Poids des runes'!A:B,2,FALSE)))+1),(((D10391/100)*(C10391*VLOOKUP(B10391,'Poids des runes'!A:B,2,FALSE)))+1)/VLOOKUP(B10391,'Poids des runes'!A:B,2,FALSE))</f>
        <v>0.29000000000000004</v>
      </c>
      <c r="F10391">
        <f t="shared" si="162"/>
        <v>0.29000000000000004</v>
      </c>
    </row>
    <row r="10392" spans="1:6" x14ac:dyDescent="0.3">
      <c r="A10392" t="s">
        <v>1654</v>
      </c>
      <c r="B10392" t="s">
        <v>2128</v>
      </c>
      <c r="C10392">
        <v>40.5</v>
      </c>
      <c r="D10392">
        <v>28</v>
      </c>
      <c r="E10392">
        <f>IF(OR(B10392="vi",B10392="ii",B10392="pod"),(((D10392/100)*(C10392*VLOOKUP(B10392,'Poids des runes'!A:B,2,FALSE)))+1),(((D10392/100)*(C10392*VLOOKUP(B10392,'Poids des runes'!A:B,2,FALSE)))+1)/VLOOKUP(B10392,'Poids des runes'!A:B,2,FALSE))</f>
        <v>3.2680000000000002</v>
      </c>
      <c r="F10392">
        <f t="shared" si="162"/>
        <v>3.2680000000000002</v>
      </c>
    </row>
    <row r="10393" spans="1:6" x14ac:dyDescent="0.3">
      <c r="A10393" t="s">
        <v>1654</v>
      </c>
      <c r="B10393" t="s">
        <v>2126</v>
      </c>
      <c r="C10393">
        <v>25.5</v>
      </c>
      <c r="D10393">
        <v>28</v>
      </c>
      <c r="E10393">
        <f>IF(OR(B10393="vi",B10393="ii",B10393="pod"),(((D10393/100)*(C10393*VLOOKUP(B10393,'Poids des runes'!A:B,2,FALSE)))+1),(((D10393/100)*(C10393*VLOOKUP(B10393,'Poids des runes'!A:B,2,FALSE)))+1)/VLOOKUP(B10393,'Poids des runes'!A:B,2,FALSE))</f>
        <v>8.14</v>
      </c>
      <c r="F10393">
        <f t="shared" si="162"/>
        <v>8.14</v>
      </c>
    </row>
    <row r="10394" spans="1:6" x14ac:dyDescent="0.3">
      <c r="A10394" t="s">
        <v>1654</v>
      </c>
      <c r="B10394" t="s">
        <v>2149</v>
      </c>
      <c r="C10394">
        <v>5</v>
      </c>
      <c r="D10394">
        <v>28</v>
      </c>
      <c r="E10394">
        <f>IF(OR(B10394="vi",B10394="ii",B10394="pod"),(((D10394/100)*(C10394*VLOOKUP(B10394,'Poids des runes'!A:B,2,FALSE)))+1),(((D10394/100)*(C10394*VLOOKUP(B10394,'Poids des runes'!A:B,2,FALSE)))+1)/VLOOKUP(B10394,'Poids des runes'!A:B,2,FALSE))</f>
        <v>1.5000000000000002</v>
      </c>
      <c r="F10394">
        <f t="shared" si="162"/>
        <v>1.5000000000000002</v>
      </c>
    </row>
    <row r="10395" spans="1:6" x14ac:dyDescent="0.3">
      <c r="A10395" t="s">
        <v>1655</v>
      </c>
      <c r="B10395" t="s">
        <v>2128</v>
      </c>
      <c r="C10395">
        <v>35.5</v>
      </c>
      <c r="D10395">
        <v>28</v>
      </c>
      <c r="E10395">
        <f>IF(OR(B10395="vi",B10395="ii",B10395="pod"),(((D10395/100)*(C10395*VLOOKUP(B10395,'Poids des runes'!A:B,2,FALSE)))+1),(((D10395/100)*(C10395*VLOOKUP(B10395,'Poids des runes'!A:B,2,FALSE)))+1)/VLOOKUP(B10395,'Poids des runes'!A:B,2,FALSE))</f>
        <v>2.9880000000000004</v>
      </c>
      <c r="F10395">
        <f t="shared" si="162"/>
        <v>2.9880000000000004</v>
      </c>
    </row>
    <row r="10396" spans="1:6" x14ac:dyDescent="0.3">
      <c r="A10396" t="s">
        <v>1655</v>
      </c>
      <c r="B10396" t="s">
        <v>2130</v>
      </c>
      <c r="C10396">
        <v>25.5</v>
      </c>
      <c r="D10396">
        <v>28</v>
      </c>
      <c r="E10396">
        <f>IF(OR(B10396="vi",B10396="ii",B10396="pod"),(((D10396/100)*(C10396*VLOOKUP(B10396,'Poids des runes'!A:B,2,FALSE)))+1),(((D10396/100)*(C10396*VLOOKUP(B10396,'Poids des runes'!A:B,2,FALSE)))+1)/VLOOKUP(B10396,'Poids des runes'!A:B,2,FALSE))</f>
        <v>8.14</v>
      </c>
      <c r="F10396">
        <f t="shared" si="162"/>
        <v>8.14</v>
      </c>
    </row>
    <row r="10397" spans="1:6" x14ac:dyDescent="0.3">
      <c r="A10397" t="s">
        <v>1655</v>
      </c>
      <c r="B10397" t="s">
        <v>2150</v>
      </c>
      <c r="C10397">
        <v>1</v>
      </c>
      <c r="D10397">
        <v>28</v>
      </c>
      <c r="E10397">
        <f>IF(OR(B10397="vi",B10397="ii",B10397="pod"),(((D10397/100)*(C10397*VLOOKUP(B10397,'Poids des runes'!A:B,2,FALSE)))+1),(((D10397/100)*(C10397*VLOOKUP(B10397,'Poids des runes'!A:B,2,FALSE)))+1)/VLOOKUP(B10397,'Poids des runes'!A:B,2,FALSE))</f>
        <v>0.31333333333333335</v>
      </c>
      <c r="F10397">
        <f t="shared" si="162"/>
        <v>0.31333333333333335</v>
      </c>
    </row>
    <row r="10398" spans="1:6" x14ac:dyDescent="0.3">
      <c r="A10398" t="s">
        <v>1655</v>
      </c>
      <c r="B10398" t="s">
        <v>2143</v>
      </c>
      <c r="C10398">
        <v>3.5</v>
      </c>
      <c r="D10398">
        <v>28</v>
      </c>
      <c r="E10398">
        <f>IF(OR(B10398="vi",B10398="ii",B10398="pod"),(((D10398/100)*(C10398*VLOOKUP(B10398,'Poids des runes'!A:B,2,FALSE)))+1),(((D10398/100)*(C10398*VLOOKUP(B10398,'Poids des runes'!A:B,2,FALSE)))+1)/VLOOKUP(B10398,'Poids des runes'!A:B,2,FALSE))</f>
        <v>1.1800000000000002</v>
      </c>
      <c r="F10398">
        <f t="shared" si="162"/>
        <v>1.1800000000000002</v>
      </c>
    </row>
    <row r="10399" spans="1:6" x14ac:dyDescent="0.3">
      <c r="A10399" t="s">
        <v>1656</v>
      </c>
      <c r="B10399" t="s">
        <v>2128</v>
      </c>
      <c r="C10399">
        <v>35.5</v>
      </c>
      <c r="D10399">
        <v>28</v>
      </c>
      <c r="E10399">
        <f>IF(OR(B10399="vi",B10399="ii",B10399="pod"),(((D10399/100)*(C10399*VLOOKUP(B10399,'Poids des runes'!A:B,2,FALSE)))+1),(((D10399/100)*(C10399*VLOOKUP(B10399,'Poids des runes'!A:B,2,FALSE)))+1)/VLOOKUP(B10399,'Poids des runes'!A:B,2,FALSE))</f>
        <v>2.9880000000000004</v>
      </c>
      <c r="F10399">
        <f t="shared" si="162"/>
        <v>2.9880000000000004</v>
      </c>
    </row>
    <row r="10400" spans="1:6" x14ac:dyDescent="0.3">
      <c r="A10400" t="s">
        <v>1656</v>
      </c>
      <c r="B10400" t="s">
        <v>2127</v>
      </c>
      <c r="C10400">
        <v>25.5</v>
      </c>
      <c r="D10400">
        <v>28</v>
      </c>
      <c r="E10400">
        <f>IF(OR(B10400="vi",B10400="ii",B10400="pod"),(((D10400/100)*(C10400*VLOOKUP(B10400,'Poids des runes'!A:B,2,FALSE)))+1),(((D10400/100)*(C10400*VLOOKUP(B10400,'Poids des runes'!A:B,2,FALSE)))+1)/VLOOKUP(B10400,'Poids des runes'!A:B,2,FALSE))</f>
        <v>8.14</v>
      </c>
      <c r="F10400">
        <f t="shared" si="162"/>
        <v>8.14</v>
      </c>
    </row>
    <row r="10401" spans="1:6" x14ac:dyDescent="0.3">
      <c r="A10401" t="s">
        <v>1656</v>
      </c>
      <c r="B10401" t="s">
        <v>2153</v>
      </c>
      <c r="C10401">
        <v>2.5</v>
      </c>
      <c r="D10401">
        <v>28</v>
      </c>
      <c r="E10401">
        <f>IF(OR(B10401="vi",B10401="ii",B10401="pod"),(((D10401/100)*(C10401*VLOOKUP(B10401,'Poids des runes'!A:B,2,FALSE)))+1),(((D10401/100)*(C10401*VLOOKUP(B10401,'Poids des runes'!A:B,2,FALSE)))+1)/VLOOKUP(B10401,'Poids des runes'!A:B,2,FALSE))</f>
        <v>0.9</v>
      </c>
      <c r="F10401">
        <f t="shared" si="162"/>
        <v>0.9</v>
      </c>
    </row>
    <row r="10402" spans="1:6" x14ac:dyDescent="0.3">
      <c r="A10402" t="s">
        <v>1657</v>
      </c>
      <c r="B10402" t="s">
        <v>2127</v>
      </c>
      <c r="C10402">
        <v>25.5</v>
      </c>
      <c r="D10402">
        <v>29</v>
      </c>
      <c r="E10402">
        <f>IF(OR(B10402="vi",B10402="ii",B10402="pod"),(((D10402/100)*(C10402*VLOOKUP(B10402,'Poids des runes'!A:B,2,FALSE)))+1),(((D10402/100)*(C10402*VLOOKUP(B10402,'Poids des runes'!A:B,2,FALSE)))+1)/VLOOKUP(B10402,'Poids des runes'!A:B,2,FALSE))</f>
        <v>8.3949999999999996</v>
      </c>
      <c r="F10402">
        <f t="shared" si="162"/>
        <v>8.3949999999999996</v>
      </c>
    </row>
    <row r="10403" spans="1:6" x14ac:dyDescent="0.3">
      <c r="A10403" t="s">
        <v>1657</v>
      </c>
      <c r="B10403" t="s">
        <v>2151</v>
      </c>
      <c r="C10403">
        <v>3.5</v>
      </c>
      <c r="D10403">
        <v>29</v>
      </c>
      <c r="E10403">
        <f>IF(OR(B10403="vi",B10403="ii",B10403="pod"),(((D10403/100)*(C10403*VLOOKUP(B10403,'Poids des runes'!A:B,2,FALSE)))+1),(((D10403/100)*(C10403*VLOOKUP(B10403,'Poids des runes'!A:B,2,FALSE)))+1)/VLOOKUP(B10403,'Poids des runes'!A:B,2,FALSE))</f>
        <v>1.1149999999999998</v>
      </c>
      <c r="F10403">
        <f t="shared" si="162"/>
        <v>1.1149999999999998</v>
      </c>
    </row>
    <row r="10404" spans="1:6" x14ac:dyDescent="0.3">
      <c r="A10404" t="s">
        <v>1658</v>
      </c>
      <c r="B10404" t="s">
        <v>2131</v>
      </c>
      <c r="C10404">
        <v>33</v>
      </c>
      <c r="D10404">
        <v>29</v>
      </c>
      <c r="E10404">
        <f>IF(OR(B10404="vi",B10404="ii",B10404="pod"),(((D10404/100)*(C10404*VLOOKUP(B10404,'Poids des runes'!A:B,2,FALSE)))+1),(((D10404/100)*(C10404*VLOOKUP(B10404,'Poids des runes'!A:B,2,FALSE)))+1)/VLOOKUP(B10404,'Poids des runes'!A:B,2,FALSE))</f>
        <v>10.569999999999999</v>
      </c>
      <c r="F10404">
        <f t="shared" si="162"/>
        <v>10.569999999999999</v>
      </c>
    </row>
    <row r="10405" spans="1:6" x14ac:dyDescent="0.3">
      <c r="A10405" t="s">
        <v>1658</v>
      </c>
      <c r="B10405" t="s">
        <v>2166</v>
      </c>
      <c r="C10405">
        <v>1</v>
      </c>
      <c r="D10405">
        <v>29</v>
      </c>
      <c r="E10405">
        <f>IF(OR(B10405="vi",B10405="ii",B10405="pod"),(((D10405/100)*(C10405*VLOOKUP(B10405,'Poids des runes'!A:B,2,FALSE)))+1),(((D10405/100)*(C10405*VLOOKUP(B10405,'Poids des runes'!A:B,2,FALSE)))+1)/VLOOKUP(B10405,'Poids des runes'!A:B,2,FALSE))</f>
        <v>0.62333333333333329</v>
      </c>
      <c r="F10405">
        <f t="shared" si="162"/>
        <v>0.62333333333333329</v>
      </c>
    </row>
    <row r="10406" spans="1:6" x14ac:dyDescent="0.3">
      <c r="A10406" t="s">
        <v>1659</v>
      </c>
      <c r="B10406" t="s">
        <v>2128</v>
      </c>
      <c r="C10406">
        <v>35.5</v>
      </c>
      <c r="D10406">
        <v>29</v>
      </c>
      <c r="E10406">
        <f>IF(OR(B10406="vi",B10406="ii",B10406="pod"),(((D10406/100)*(C10406*VLOOKUP(B10406,'Poids des runes'!A:B,2,FALSE)))+1),(((D10406/100)*(C10406*VLOOKUP(B10406,'Poids des runes'!A:B,2,FALSE)))+1)/VLOOKUP(B10406,'Poids des runes'!A:B,2,FALSE))</f>
        <v>3.0590000000000002</v>
      </c>
      <c r="F10406">
        <f t="shared" si="162"/>
        <v>3.0590000000000002</v>
      </c>
    </row>
    <row r="10407" spans="1:6" x14ac:dyDescent="0.3">
      <c r="A10407" t="s">
        <v>1659</v>
      </c>
      <c r="B10407" t="s">
        <v>2126</v>
      </c>
      <c r="C10407">
        <v>25.5</v>
      </c>
      <c r="D10407">
        <v>29</v>
      </c>
      <c r="E10407">
        <f>IF(OR(B10407="vi",B10407="ii",B10407="pod"),(((D10407/100)*(C10407*VLOOKUP(B10407,'Poids des runes'!A:B,2,FALSE)))+1),(((D10407/100)*(C10407*VLOOKUP(B10407,'Poids des runes'!A:B,2,FALSE)))+1)/VLOOKUP(B10407,'Poids des runes'!A:B,2,FALSE))</f>
        <v>8.3949999999999996</v>
      </c>
      <c r="F10407">
        <f t="shared" si="162"/>
        <v>8.3949999999999996</v>
      </c>
    </row>
    <row r="10408" spans="1:6" x14ac:dyDescent="0.3">
      <c r="A10408" t="s">
        <v>1659</v>
      </c>
      <c r="B10408" t="s">
        <v>2129</v>
      </c>
      <c r="C10408">
        <v>8</v>
      </c>
      <c r="D10408">
        <v>29</v>
      </c>
      <c r="E10408">
        <f>IF(OR(B10408="vi",B10408="ii",B10408="pod"),(((D10408/100)*(C10408*VLOOKUP(B10408,'Poids des runes'!A:B,2,FALSE)))+1),(((D10408/100)*(C10408*VLOOKUP(B10408,'Poids des runes'!A:B,2,FALSE)))+1)/VLOOKUP(B10408,'Poids des runes'!A:B,2,FALSE))</f>
        <v>3.32</v>
      </c>
      <c r="F10408">
        <f t="shared" si="162"/>
        <v>3.32</v>
      </c>
    </row>
    <row r="10409" spans="1:6" x14ac:dyDescent="0.3">
      <c r="A10409" t="s">
        <v>1659</v>
      </c>
      <c r="B10409" t="s">
        <v>2151</v>
      </c>
      <c r="C10409">
        <v>2.5</v>
      </c>
      <c r="D10409">
        <v>29</v>
      </c>
      <c r="E10409">
        <f>IF(OR(B10409="vi",B10409="ii",B10409="pod"),(((D10409/100)*(C10409*VLOOKUP(B10409,'Poids des runes'!A:B,2,FALSE)))+1),(((D10409/100)*(C10409*VLOOKUP(B10409,'Poids des runes'!A:B,2,FALSE)))+1)/VLOOKUP(B10409,'Poids des runes'!A:B,2,FALSE))</f>
        <v>0.82499999999999996</v>
      </c>
      <c r="F10409">
        <f t="shared" si="162"/>
        <v>0.82499999999999996</v>
      </c>
    </row>
    <row r="10410" spans="1:6" x14ac:dyDescent="0.3">
      <c r="A10410" t="s">
        <v>1660</v>
      </c>
      <c r="B10410" t="s">
        <v>2131</v>
      </c>
      <c r="C10410">
        <v>35.5</v>
      </c>
      <c r="D10410">
        <v>29</v>
      </c>
      <c r="E10410">
        <f>IF(OR(B10410="vi",B10410="ii",B10410="pod"),(((D10410/100)*(C10410*VLOOKUP(B10410,'Poids des runes'!A:B,2,FALSE)))+1),(((D10410/100)*(C10410*VLOOKUP(B10410,'Poids des runes'!A:B,2,FALSE)))+1)/VLOOKUP(B10410,'Poids des runes'!A:B,2,FALSE))</f>
        <v>11.295</v>
      </c>
      <c r="F10410">
        <f t="shared" si="162"/>
        <v>11.295</v>
      </c>
    </row>
    <row r="10411" spans="1:6" x14ac:dyDescent="0.3">
      <c r="A10411" t="s">
        <v>1660</v>
      </c>
      <c r="B10411" t="s">
        <v>2143</v>
      </c>
      <c r="C10411">
        <v>2.5</v>
      </c>
      <c r="D10411">
        <v>29</v>
      </c>
      <c r="E10411">
        <f>IF(OR(B10411="vi",B10411="ii",B10411="pod"),(((D10411/100)*(C10411*VLOOKUP(B10411,'Poids des runes'!A:B,2,FALSE)))+1),(((D10411/100)*(C10411*VLOOKUP(B10411,'Poids des runes'!A:B,2,FALSE)))+1)/VLOOKUP(B10411,'Poids des runes'!A:B,2,FALSE))</f>
        <v>0.92500000000000004</v>
      </c>
      <c r="F10411">
        <f t="shared" si="162"/>
        <v>0.92500000000000004</v>
      </c>
    </row>
    <row r="10412" spans="1:6" x14ac:dyDescent="0.3">
      <c r="A10412" t="s">
        <v>1661</v>
      </c>
      <c r="B10412" t="s">
        <v>2128</v>
      </c>
      <c r="C10412">
        <v>25.5</v>
      </c>
      <c r="D10412">
        <v>29</v>
      </c>
      <c r="E10412">
        <f>IF(OR(B10412="vi",B10412="ii",B10412="pod"),(((D10412/100)*(C10412*VLOOKUP(B10412,'Poids des runes'!A:B,2,FALSE)))+1),(((D10412/100)*(C10412*VLOOKUP(B10412,'Poids des runes'!A:B,2,FALSE)))+1)/VLOOKUP(B10412,'Poids des runes'!A:B,2,FALSE))</f>
        <v>2.4790000000000001</v>
      </c>
      <c r="F10412">
        <f t="shared" si="162"/>
        <v>2.4790000000000001</v>
      </c>
    </row>
    <row r="10413" spans="1:6" x14ac:dyDescent="0.3">
      <c r="A10413" t="s">
        <v>1661</v>
      </c>
      <c r="B10413" t="s">
        <v>2126</v>
      </c>
      <c r="C10413">
        <v>25.5</v>
      </c>
      <c r="D10413">
        <v>29</v>
      </c>
      <c r="E10413">
        <f>IF(OR(B10413="vi",B10413="ii",B10413="pod"),(((D10413/100)*(C10413*VLOOKUP(B10413,'Poids des runes'!A:B,2,FALSE)))+1),(((D10413/100)*(C10413*VLOOKUP(B10413,'Poids des runes'!A:B,2,FALSE)))+1)/VLOOKUP(B10413,'Poids des runes'!A:B,2,FALSE))</f>
        <v>8.3949999999999996</v>
      </c>
      <c r="F10413">
        <f t="shared" si="162"/>
        <v>8.3949999999999996</v>
      </c>
    </row>
    <row r="10414" spans="1:6" x14ac:dyDescent="0.3">
      <c r="A10414" t="s">
        <v>1661</v>
      </c>
      <c r="B10414" t="s">
        <v>2151</v>
      </c>
      <c r="C10414">
        <v>1.5</v>
      </c>
      <c r="D10414">
        <v>29</v>
      </c>
      <c r="E10414">
        <f>IF(OR(B10414="vi",B10414="ii",B10414="pod"),(((D10414/100)*(C10414*VLOOKUP(B10414,'Poids des runes'!A:B,2,FALSE)))+1),(((D10414/100)*(C10414*VLOOKUP(B10414,'Poids des runes'!A:B,2,FALSE)))+1)/VLOOKUP(B10414,'Poids des runes'!A:B,2,FALSE))</f>
        <v>0.53499999999999992</v>
      </c>
      <c r="F10414">
        <f t="shared" si="162"/>
        <v>0.53499999999999992</v>
      </c>
    </row>
    <row r="10415" spans="1:6" x14ac:dyDescent="0.3">
      <c r="A10415" t="s">
        <v>1661</v>
      </c>
      <c r="B10415" t="s">
        <v>2141</v>
      </c>
      <c r="C10415">
        <v>2</v>
      </c>
      <c r="D10415">
        <v>29</v>
      </c>
      <c r="E10415">
        <f>IF(OR(B10415="vi",B10415="ii",B10415="pod"),(((D10415/100)*(C10415*VLOOKUP(B10415,'Poids des runes'!A:B,2,FALSE)))+1),(((D10415/100)*(C10415*VLOOKUP(B10415,'Poids des runes'!A:B,2,FALSE)))+1)/VLOOKUP(B10415,'Poids des runes'!A:B,2,FALSE))</f>
        <v>0.83</v>
      </c>
      <c r="F10415">
        <f t="shared" si="162"/>
        <v>0.83</v>
      </c>
    </row>
    <row r="10416" spans="1:6" x14ac:dyDescent="0.3">
      <c r="A10416" t="s">
        <v>1662</v>
      </c>
      <c r="B10416" t="s">
        <v>2155</v>
      </c>
      <c r="C10416">
        <v>1</v>
      </c>
      <c r="D10416">
        <v>30</v>
      </c>
      <c r="E10416">
        <f>IF(OR(B10416="vi",B10416="ii",B10416="pod"),(((D10416/100)*(C10416*VLOOKUP(B10416,'Poids des runes'!A:B,2,FALSE)))+1),(((D10416/100)*(C10416*VLOOKUP(B10416,'Poids des runes'!A:B,2,FALSE)))+1)/VLOOKUP(B10416,'Poids des runes'!A:B,2,FALSE))</f>
        <v>0.31960784313725482</v>
      </c>
      <c r="F10416">
        <f t="shared" si="162"/>
        <v>0.31960784313725482</v>
      </c>
    </row>
    <row r="10417" spans="1:6" x14ac:dyDescent="0.3">
      <c r="A10417" t="s">
        <v>1662</v>
      </c>
      <c r="B10417" t="s">
        <v>2166</v>
      </c>
      <c r="C10417">
        <v>1</v>
      </c>
      <c r="D10417">
        <v>30</v>
      </c>
      <c r="E10417">
        <f>IF(OR(B10417="vi",B10417="ii",B10417="pod"),(((D10417/100)*(C10417*VLOOKUP(B10417,'Poids des runes'!A:B,2,FALSE)))+1),(((D10417/100)*(C10417*VLOOKUP(B10417,'Poids des runes'!A:B,2,FALSE)))+1)/VLOOKUP(B10417,'Poids des runes'!A:B,2,FALSE))</f>
        <v>0.6333333333333333</v>
      </c>
      <c r="F10417">
        <f t="shared" si="162"/>
        <v>0.6333333333333333</v>
      </c>
    </row>
    <row r="10418" spans="1:6" x14ac:dyDescent="0.3">
      <c r="A10418" t="s">
        <v>1663</v>
      </c>
      <c r="B10418" t="s">
        <v>2128</v>
      </c>
      <c r="C10418">
        <v>35.5</v>
      </c>
      <c r="D10418">
        <v>30</v>
      </c>
      <c r="E10418">
        <f>IF(OR(B10418="vi",B10418="ii",B10418="pod"),(((D10418/100)*(C10418*VLOOKUP(B10418,'Poids des runes'!A:B,2,FALSE)))+1),(((D10418/100)*(C10418*VLOOKUP(B10418,'Poids des runes'!A:B,2,FALSE)))+1)/VLOOKUP(B10418,'Poids des runes'!A:B,2,FALSE))</f>
        <v>3.13</v>
      </c>
      <c r="F10418">
        <f t="shared" si="162"/>
        <v>3.13</v>
      </c>
    </row>
    <row r="10419" spans="1:6" x14ac:dyDescent="0.3">
      <c r="A10419" t="s">
        <v>1663</v>
      </c>
      <c r="B10419" t="s">
        <v>2131</v>
      </c>
      <c r="C10419">
        <v>25.5</v>
      </c>
      <c r="D10419">
        <v>30</v>
      </c>
      <c r="E10419">
        <f>IF(OR(B10419="vi",B10419="ii",B10419="pod"),(((D10419/100)*(C10419*VLOOKUP(B10419,'Poids des runes'!A:B,2,FALSE)))+1),(((D10419/100)*(C10419*VLOOKUP(B10419,'Poids des runes'!A:B,2,FALSE)))+1)/VLOOKUP(B10419,'Poids des runes'!A:B,2,FALSE))</f>
        <v>8.6499999999999986</v>
      </c>
      <c r="F10419">
        <f t="shared" si="162"/>
        <v>8.6499999999999986</v>
      </c>
    </row>
    <row r="10420" spans="1:6" x14ac:dyDescent="0.3">
      <c r="A10420" t="s">
        <v>1663</v>
      </c>
      <c r="B10420" t="s">
        <v>2141</v>
      </c>
      <c r="C10420">
        <v>4.5</v>
      </c>
      <c r="D10420">
        <v>30</v>
      </c>
      <c r="E10420">
        <f>IF(OR(B10420="vi",B10420="ii",B10420="pod"),(((D10420/100)*(C10420*VLOOKUP(B10420,'Poids des runes'!A:B,2,FALSE)))+1),(((D10420/100)*(C10420*VLOOKUP(B10420,'Poids des runes'!A:B,2,FALSE)))+1)/VLOOKUP(B10420,'Poids des runes'!A:B,2,FALSE))</f>
        <v>1.5999999999999999</v>
      </c>
      <c r="F10420">
        <f t="shared" si="162"/>
        <v>1.5999999999999999</v>
      </c>
    </row>
    <row r="10421" spans="1:6" x14ac:dyDescent="0.3">
      <c r="A10421" t="s">
        <v>1664</v>
      </c>
      <c r="B10421" t="s">
        <v>2128</v>
      </c>
      <c r="C10421">
        <v>25.5</v>
      </c>
      <c r="D10421">
        <v>30</v>
      </c>
      <c r="E10421">
        <f>IF(OR(B10421="vi",B10421="ii",B10421="pod"),(((D10421/100)*(C10421*VLOOKUP(B10421,'Poids des runes'!A:B,2,FALSE)))+1),(((D10421/100)*(C10421*VLOOKUP(B10421,'Poids des runes'!A:B,2,FALSE)))+1)/VLOOKUP(B10421,'Poids des runes'!A:B,2,FALSE))</f>
        <v>2.5300000000000002</v>
      </c>
      <c r="F10421">
        <f t="shared" si="162"/>
        <v>2.5300000000000002</v>
      </c>
    </row>
    <row r="10422" spans="1:6" x14ac:dyDescent="0.3">
      <c r="A10422" t="s">
        <v>1664</v>
      </c>
      <c r="B10422" t="s">
        <v>2127</v>
      </c>
      <c r="C10422">
        <v>25.5</v>
      </c>
      <c r="D10422">
        <v>30</v>
      </c>
      <c r="E10422">
        <f>IF(OR(B10422="vi",B10422="ii",B10422="pod"),(((D10422/100)*(C10422*VLOOKUP(B10422,'Poids des runes'!A:B,2,FALSE)))+1),(((D10422/100)*(C10422*VLOOKUP(B10422,'Poids des runes'!A:B,2,FALSE)))+1)/VLOOKUP(B10422,'Poids des runes'!A:B,2,FALSE))</f>
        <v>8.6499999999999986</v>
      </c>
      <c r="F10422">
        <f t="shared" si="162"/>
        <v>8.6499999999999986</v>
      </c>
    </row>
    <row r="10423" spans="1:6" x14ac:dyDescent="0.3">
      <c r="A10423" t="s">
        <v>1664</v>
      </c>
      <c r="B10423" t="s">
        <v>2129</v>
      </c>
      <c r="C10423">
        <v>18</v>
      </c>
      <c r="D10423">
        <v>30</v>
      </c>
      <c r="E10423">
        <f>IF(OR(B10423="vi",B10423="ii",B10423="pod"),(((D10423/100)*(C10423*VLOOKUP(B10423,'Poids des runes'!A:B,2,FALSE)))+1),(((D10423/100)*(C10423*VLOOKUP(B10423,'Poids des runes'!A:B,2,FALSE)))+1)/VLOOKUP(B10423,'Poids des runes'!A:B,2,FALSE))</f>
        <v>6.3999999999999995</v>
      </c>
      <c r="F10423">
        <f t="shared" si="162"/>
        <v>6.3999999999999995</v>
      </c>
    </row>
    <row r="10424" spans="1:6" x14ac:dyDescent="0.3">
      <c r="A10424" t="s">
        <v>1664</v>
      </c>
      <c r="B10424" t="s">
        <v>2151</v>
      </c>
      <c r="C10424">
        <v>1.5</v>
      </c>
      <c r="D10424">
        <v>30</v>
      </c>
      <c r="E10424">
        <f>IF(OR(B10424="vi",B10424="ii",B10424="pod"),(((D10424/100)*(C10424*VLOOKUP(B10424,'Poids des runes'!A:B,2,FALSE)))+1),(((D10424/100)*(C10424*VLOOKUP(B10424,'Poids des runes'!A:B,2,FALSE)))+1)/VLOOKUP(B10424,'Poids des runes'!A:B,2,FALSE))</f>
        <v>0.55000000000000004</v>
      </c>
      <c r="F10424">
        <f t="shared" si="162"/>
        <v>0.55000000000000004</v>
      </c>
    </row>
    <row r="10425" spans="1:6" x14ac:dyDescent="0.3">
      <c r="A10425" t="s">
        <v>1665</v>
      </c>
      <c r="B10425" t="s">
        <v>2128</v>
      </c>
      <c r="C10425">
        <v>15.5</v>
      </c>
      <c r="D10425">
        <v>30</v>
      </c>
      <c r="E10425">
        <f>IF(OR(B10425="vi",B10425="ii",B10425="pod"),(((D10425/100)*(C10425*VLOOKUP(B10425,'Poids des runes'!A:B,2,FALSE)))+1),(((D10425/100)*(C10425*VLOOKUP(B10425,'Poids des runes'!A:B,2,FALSE)))+1)/VLOOKUP(B10425,'Poids des runes'!A:B,2,FALSE))</f>
        <v>1.93</v>
      </c>
      <c r="F10425">
        <f t="shared" si="162"/>
        <v>1.93</v>
      </c>
    </row>
    <row r="10426" spans="1:6" x14ac:dyDescent="0.3">
      <c r="A10426" t="s">
        <v>1665</v>
      </c>
      <c r="B10426" t="s">
        <v>2127</v>
      </c>
      <c r="C10426">
        <v>15.5</v>
      </c>
      <c r="D10426">
        <v>30</v>
      </c>
      <c r="E10426">
        <f>IF(OR(B10426="vi",B10426="ii",B10426="pod"),(((D10426/100)*(C10426*VLOOKUP(B10426,'Poids des runes'!A:B,2,FALSE)))+1),(((D10426/100)*(C10426*VLOOKUP(B10426,'Poids des runes'!A:B,2,FALSE)))+1)/VLOOKUP(B10426,'Poids des runes'!A:B,2,FALSE))</f>
        <v>5.6499999999999995</v>
      </c>
      <c r="F10426">
        <f t="shared" si="162"/>
        <v>5.6499999999999995</v>
      </c>
    </row>
    <row r="10427" spans="1:6" x14ac:dyDescent="0.3">
      <c r="A10427" t="s">
        <v>1665</v>
      </c>
      <c r="B10427" t="s">
        <v>2166</v>
      </c>
      <c r="C10427">
        <v>1</v>
      </c>
      <c r="D10427">
        <v>30</v>
      </c>
      <c r="E10427">
        <f>IF(OR(B10427="vi",B10427="ii",B10427="pod"),(((D10427/100)*(C10427*VLOOKUP(B10427,'Poids des runes'!A:B,2,FALSE)))+1),(((D10427/100)*(C10427*VLOOKUP(B10427,'Poids des runes'!A:B,2,FALSE)))+1)/VLOOKUP(B10427,'Poids des runes'!A:B,2,FALSE))</f>
        <v>0.6333333333333333</v>
      </c>
      <c r="F10427">
        <f t="shared" si="162"/>
        <v>0.6333333333333333</v>
      </c>
    </row>
    <row r="10428" spans="1:6" x14ac:dyDescent="0.3">
      <c r="A10428" t="s">
        <v>1666</v>
      </c>
      <c r="B10428" t="s">
        <v>2128</v>
      </c>
      <c r="C10428">
        <v>33</v>
      </c>
      <c r="D10428">
        <v>30</v>
      </c>
      <c r="E10428">
        <f>IF(OR(B10428="vi",B10428="ii",B10428="pod"),(((D10428/100)*(C10428*VLOOKUP(B10428,'Poids des runes'!A:B,2,FALSE)))+1),(((D10428/100)*(C10428*VLOOKUP(B10428,'Poids des runes'!A:B,2,FALSE)))+1)/VLOOKUP(B10428,'Poids des runes'!A:B,2,FALSE))</f>
        <v>2.98</v>
      </c>
      <c r="F10428">
        <f t="shared" si="162"/>
        <v>2.98</v>
      </c>
    </row>
    <row r="10429" spans="1:6" x14ac:dyDescent="0.3">
      <c r="A10429" t="s">
        <v>1666</v>
      </c>
      <c r="B10429" t="s">
        <v>2127</v>
      </c>
      <c r="C10429">
        <v>35.5</v>
      </c>
      <c r="D10429">
        <v>30</v>
      </c>
      <c r="E10429">
        <f>IF(OR(B10429="vi",B10429="ii",B10429="pod"),(((D10429/100)*(C10429*VLOOKUP(B10429,'Poids des runes'!A:B,2,FALSE)))+1),(((D10429/100)*(C10429*VLOOKUP(B10429,'Poids des runes'!A:B,2,FALSE)))+1)/VLOOKUP(B10429,'Poids des runes'!A:B,2,FALSE))</f>
        <v>11.65</v>
      </c>
      <c r="F10429">
        <f t="shared" si="162"/>
        <v>11.65</v>
      </c>
    </row>
    <row r="10430" spans="1:6" x14ac:dyDescent="0.3">
      <c r="A10430" t="s">
        <v>1666</v>
      </c>
      <c r="B10430" t="s">
        <v>2141</v>
      </c>
      <c r="C10430">
        <v>2.5</v>
      </c>
      <c r="D10430">
        <v>30</v>
      </c>
      <c r="E10430">
        <f>IF(OR(B10430="vi",B10430="ii",B10430="pod"),(((D10430/100)*(C10430*VLOOKUP(B10430,'Poids des runes'!A:B,2,FALSE)))+1),(((D10430/100)*(C10430*VLOOKUP(B10430,'Poids des runes'!A:B,2,FALSE)))+1)/VLOOKUP(B10430,'Poids des runes'!A:B,2,FALSE))</f>
        <v>1</v>
      </c>
      <c r="F10430">
        <f t="shared" si="162"/>
        <v>1</v>
      </c>
    </row>
    <row r="10431" spans="1:6" x14ac:dyDescent="0.3">
      <c r="A10431" t="s">
        <v>1667</v>
      </c>
      <c r="B10431" t="s">
        <v>2128</v>
      </c>
      <c r="C10431">
        <v>25.5</v>
      </c>
      <c r="D10431">
        <v>32</v>
      </c>
      <c r="E10431">
        <f>IF(OR(B10431="vi",B10431="ii",B10431="pod"),(((D10431/100)*(C10431*VLOOKUP(B10431,'Poids des runes'!A:B,2,FALSE)))+1),(((D10431/100)*(C10431*VLOOKUP(B10431,'Poids des runes'!A:B,2,FALSE)))+1)/VLOOKUP(B10431,'Poids des runes'!A:B,2,FALSE))</f>
        <v>2.6320000000000001</v>
      </c>
      <c r="F10431">
        <f t="shared" si="162"/>
        <v>2.6320000000000001</v>
      </c>
    </row>
    <row r="10432" spans="1:6" x14ac:dyDescent="0.3">
      <c r="A10432" t="s">
        <v>1667</v>
      </c>
      <c r="B10432" t="s">
        <v>2129</v>
      </c>
      <c r="C10432">
        <v>13</v>
      </c>
      <c r="D10432">
        <v>32</v>
      </c>
      <c r="E10432">
        <f>IF(OR(B10432="vi",B10432="ii",B10432="pod"),(((D10432/100)*(C10432*VLOOKUP(B10432,'Poids des runes'!A:B,2,FALSE)))+1),(((D10432/100)*(C10432*VLOOKUP(B10432,'Poids des runes'!A:B,2,FALSE)))+1)/VLOOKUP(B10432,'Poids des runes'!A:B,2,FALSE))</f>
        <v>5.16</v>
      </c>
      <c r="F10432">
        <f t="shared" si="162"/>
        <v>5.16</v>
      </c>
    </row>
    <row r="10433" spans="1:6" x14ac:dyDescent="0.3">
      <c r="A10433" t="s">
        <v>1667</v>
      </c>
      <c r="B10433" t="s">
        <v>2151</v>
      </c>
      <c r="C10433">
        <v>5</v>
      </c>
      <c r="D10433">
        <v>32</v>
      </c>
      <c r="E10433">
        <f>IF(OR(B10433="vi",B10433="ii",B10433="pod"),(((D10433/100)*(C10433*VLOOKUP(B10433,'Poids des runes'!A:B,2,FALSE)))+1),(((D10433/100)*(C10433*VLOOKUP(B10433,'Poids des runes'!A:B,2,FALSE)))+1)/VLOOKUP(B10433,'Poids des runes'!A:B,2,FALSE))</f>
        <v>1.7</v>
      </c>
      <c r="F10433">
        <f t="shared" si="162"/>
        <v>1.7</v>
      </c>
    </row>
    <row r="10434" spans="1:6" x14ac:dyDescent="0.3">
      <c r="A10434" t="s">
        <v>1668</v>
      </c>
      <c r="B10434" t="s">
        <v>2128</v>
      </c>
      <c r="C10434">
        <v>25.5</v>
      </c>
      <c r="D10434">
        <v>32</v>
      </c>
      <c r="E10434">
        <f>IF(OR(B10434="vi",B10434="ii",B10434="pod"),(((D10434/100)*(C10434*VLOOKUP(B10434,'Poids des runes'!A:B,2,FALSE)))+1),(((D10434/100)*(C10434*VLOOKUP(B10434,'Poids des runes'!A:B,2,FALSE)))+1)/VLOOKUP(B10434,'Poids des runes'!A:B,2,FALSE))</f>
        <v>2.6320000000000001</v>
      </c>
      <c r="F10434">
        <f t="shared" si="162"/>
        <v>2.6320000000000001</v>
      </c>
    </row>
    <row r="10435" spans="1:6" x14ac:dyDescent="0.3">
      <c r="A10435" t="s">
        <v>1668</v>
      </c>
      <c r="B10435" t="s">
        <v>2139</v>
      </c>
      <c r="C10435">
        <v>18</v>
      </c>
      <c r="D10435">
        <v>32</v>
      </c>
      <c r="E10435">
        <f>IF(OR(B10435="vi",B10435="ii",B10435="pod"),(((D10435/100)*(C10435*VLOOKUP(B10435,'Poids des runes'!A:B,2,FALSE)))+1),(((D10435/100)*(C10435*VLOOKUP(B10435,'Poids des runes'!A:B,2,FALSE)))+1)/VLOOKUP(B10435,'Poids des runes'!A:B,2,FALSE))</f>
        <v>6.26</v>
      </c>
      <c r="F10435">
        <f t="shared" ref="F10435:F10498" si="163">E10435</f>
        <v>6.26</v>
      </c>
    </row>
    <row r="10436" spans="1:6" x14ac:dyDescent="0.3">
      <c r="A10436" t="s">
        <v>1668</v>
      </c>
      <c r="B10436" t="s">
        <v>2151</v>
      </c>
      <c r="C10436">
        <v>2.5</v>
      </c>
      <c r="D10436">
        <v>32</v>
      </c>
      <c r="E10436">
        <f>IF(OR(B10436="vi",B10436="ii",B10436="pod"),(((D10436/100)*(C10436*VLOOKUP(B10436,'Poids des runes'!A:B,2,FALSE)))+1),(((D10436/100)*(C10436*VLOOKUP(B10436,'Poids des runes'!A:B,2,FALSE)))+1)/VLOOKUP(B10436,'Poids des runes'!A:B,2,FALSE))</f>
        <v>0.9</v>
      </c>
      <c r="F10436">
        <f t="shared" si="163"/>
        <v>0.9</v>
      </c>
    </row>
    <row r="10437" spans="1:6" x14ac:dyDescent="0.3">
      <c r="A10437" t="s">
        <v>1668</v>
      </c>
      <c r="B10437" t="s">
        <v>2138</v>
      </c>
      <c r="C10437">
        <v>2.5</v>
      </c>
      <c r="D10437">
        <v>32</v>
      </c>
      <c r="E10437">
        <f>IF(OR(B10437="vi",B10437="ii",B10437="pod"),(((D10437/100)*(C10437*VLOOKUP(B10437,'Poids des runes'!A:B,2,FALSE)))+1),(((D10437/100)*(C10437*VLOOKUP(B10437,'Poids des runes'!A:B,2,FALSE)))+1)/VLOOKUP(B10437,'Poids des runes'!A:B,2,FALSE))</f>
        <v>1.05</v>
      </c>
      <c r="F10437">
        <f t="shared" si="163"/>
        <v>1.05</v>
      </c>
    </row>
    <row r="10438" spans="1:6" x14ac:dyDescent="0.3">
      <c r="A10438" t="s">
        <v>1669</v>
      </c>
      <c r="B10438" t="s">
        <v>2130</v>
      </c>
      <c r="C10438">
        <v>18</v>
      </c>
      <c r="D10438">
        <v>33</v>
      </c>
      <c r="E10438">
        <f>IF(OR(B10438="vi",B10438="ii",B10438="pod"),(((D10438/100)*(C10438*VLOOKUP(B10438,'Poids des runes'!A:B,2,FALSE)))+1),(((D10438/100)*(C10438*VLOOKUP(B10438,'Poids des runes'!A:B,2,FALSE)))+1)/VLOOKUP(B10438,'Poids des runes'!A:B,2,FALSE))</f>
        <v>6.94</v>
      </c>
      <c r="F10438">
        <f t="shared" si="163"/>
        <v>6.94</v>
      </c>
    </row>
    <row r="10439" spans="1:6" x14ac:dyDescent="0.3">
      <c r="A10439" t="s">
        <v>1669</v>
      </c>
      <c r="B10439" t="s">
        <v>2155</v>
      </c>
      <c r="C10439">
        <v>1</v>
      </c>
      <c r="D10439">
        <v>33</v>
      </c>
      <c r="E10439">
        <f>IF(OR(B10439="vi",B10439="ii",B10439="pod"),(((D10439/100)*(C10439*VLOOKUP(B10439,'Poids des runes'!A:B,2,FALSE)))+1),(((D10439/100)*(C10439*VLOOKUP(B10439,'Poids des runes'!A:B,2,FALSE)))+1)/VLOOKUP(B10439,'Poids des runes'!A:B,2,FALSE))</f>
        <v>0.34960784313725496</v>
      </c>
      <c r="F10439">
        <f t="shared" si="163"/>
        <v>0.34960784313725496</v>
      </c>
    </row>
    <row r="10440" spans="1:6" x14ac:dyDescent="0.3">
      <c r="A10440" t="s">
        <v>1670</v>
      </c>
      <c r="B10440" t="s">
        <v>2130</v>
      </c>
      <c r="C10440">
        <v>30.5</v>
      </c>
      <c r="D10440">
        <v>33</v>
      </c>
      <c r="E10440">
        <f>IF(OR(B10440="vi",B10440="ii",B10440="pod"),(((D10440/100)*(C10440*VLOOKUP(B10440,'Poids des runes'!A:B,2,FALSE)))+1),(((D10440/100)*(C10440*VLOOKUP(B10440,'Poids des runes'!A:B,2,FALSE)))+1)/VLOOKUP(B10440,'Poids des runes'!A:B,2,FALSE))</f>
        <v>11.065000000000001</v>
      </c>
      <c r="F10440">
        <f t="shared" si="163"/>
        <v>11.065000000000001</v>
      </c>
    </row>
    <row r="10441" spans="1:6" x14ac:dyDescent="0.3">
      <c r="A10441" t="s">
        <v>1670</v>
      </c>
      <c r="B10441" t="s">
        <v>2127</v>
      </c>
      <c r="C10441">
        <v>30.5</v>
      </c>
      <c r="D10441">
        <v>33</v>
      </c>
      <c r="E10441">
        <f>IF(OR(B10441="vi",B10441="ii",B10441="pod"),(((D10441/100)*(C10441*VLOOKUP(B10441,'Poids des runes'!A:B,2,FALSE)))+1),(((D10441/100)*(C10441*VLOOKUP(B10441,'Poids des runes'!A:B,2,FALSE)))+1)/VLOOKUP(B10441,'Poids des runes'!A:B,2,FALSE))</f>
        <v>11.065000000000001</v>
      </c>
      <c r="F10441">
        <f t="shared" si="163"/>
        <v>11.065000000000001</v>
      </c>
    </row>
    <row r="10442" spans="1:6" x14ac:dyDescent="0.3">
      <c r="A10442" t="s">
        <v>1671</v>
      </c>
      <c r="B10442" t="s">
        <v>2128</v>
      </c>
      <c r="C10442">
        <v>25.5</v>
      </c>
      <c r="D10442">
        <v>33</v>
      </c>
      <c r="E10442">
        <f>IF(OR(B10442="vi",B10442="ii",B10442="pod"),(((D10442/100)*(C10442*VLOOKUP(B10442,'Poids des runes'!A:B,2,FALSE)))+1),(((D10442/100)*(C10442*VLOOKUP(B10442,'Poids des runes'!A:B,2,FALSE)))+1)/VLOOKUP(B10442,'Poids des runes'!A:B,2,FALSE))</f>
        <v>2.6830000000000003</v>
      </c>
      <c r="F10442">
        <f t="shared" si="163"/>
        <v>2.6830000000000003</v>
      </c>
    </row>
    <row r="10443" spans="1:6" x14ac:dyDescent="0.3">
      <c r="A10443" t="s">
        <v>1671</v>
      </c>
      <c r="B10443" t="s">
        <v>2130</v>
      </c>
      <c r="C10443">
        <v>25.5</v>
      </c>
      <c r="D10443">
        <v>33</v>
      </c>
      <c r="E10443">
        <f>IF(OR(B10443="vi",B10443="ii",B10443="pod"),(((D10443/100)*(C10443*VLOOKUP(B10443,'Poids des runes'!A:B,2,FALSE)))+1),(((D10443/100)*(C10443*VLOOKUP(B10443,'Poids des runes'!A:B,2,FALSE)))+1)/VLOOKUP(B10443,'Poids des runes'!A:B,2,FALSE))</f>
        <v>9.4150000000000009</v>
      </c>
      <c r="F10443">
        <f t="shared" si="163"/>
        <v>9.4150000000000009</v>
      </c>
    </row>
    <row r="10444" spans="1:6" x14ac:dyDescent="0.3">
      <c r="A10444" t="s">
        <v>1671</v>
      </c>
      <c r="B10444" t="s">
        <v>2129</v>
      </c>
      <c r="C10444">
        <v>18</v>
      </c>
      <c r="D10444">
        <v>33</v>
      </c>
      <c r="E10444">
        <f>IF(OR(B10444="vi",B10444="ii",B10444="pod"),(((D10444/100)*(C10444*VLOOKUP(B10444,'Poids des runes'!A:B,2,FALSE)))+1),(((D10444/100)*(C10444*VLOOKUP(B10444,'Poids des runes'!A:B,2,FALSE)))+1)/VLOOKUP(B10444,'Poids des runes'!A:B,2,FALSE))</f>
        <v>6.94</v>
      </c>
      <c r="F10444">
        <f t="shared" si="163"/>
        <v>6.94</v>
      </c>
    </row>
    <row r="10445" spans="1:6" x14ac:dyDescent="0.3">
      <c r="A10445" t="s">
        <v>1671</v>
      </c>
      <c r="B10445" t="s">
        <v>2151</v>
      </c>
      <c r="C10445">
        <v>2.5</v>
      </c>
      <c r="D10445">
        <v>33</v>
      </c>
      <c r="E10445">
        <f>IF(OR(B10445="vi",B10445="ii",B10445="pod"),(((D10445/100)*(C10445*VLOOKUP(B10445,'Poids des runes'!A:B,2,FALSE)))+1),(((D10445/100)*(C10445*VLOOKUP(B10445,'Poids des runes'!A:B,2,FALSE)))+1)/VLOOKUP(B10445,'Poids des runes'!A:B,2,FALSE))</f>
        <v>0.92500000000000004</v>
      </c>
      <c r="F10445">
        <f t="shared" si="163"/>
        <v>0.92500000000000004</v>
      </c>
    </row>
    <row r="10446" spans="1:6" x14ac:dyDescent="0.3">
      <c r="A10446" t="s">
        <v>1672</v>
      </c>
      <c r="B10446" t="s">
        <v>2128</v>
      </c>
      <c r="C10446">
        <v>25.5</v>
      </c>
      <c r="D10446">
        <v>33</v>
      </c>
      <c r="E10446">
        <f>IF(OR(B10446="vi",B10446="ii",B10446="pod"),(((D10446/100)*(C10446*VLOOKUP(B10446,'Poids des runes'!A:B,2,FALSE)))+1),(((D10446/100)*(C10446*VLOOKUP(B10446,'Poids des runes'!A:B,2,FALSE)))+1)/VLOOKUP(B10446,'Poids des runes'!A:B,2,FALSE))</f>
        <v>2.6830000000000003</v>
      </c>
      <c r="F10446">
        <f t="shared" si="163"/>
        <v>2.6830000000000003</v>
      </c>
    </row>
    <row r="10447" spans="1:6" x14ac:dyDescent="0.3">
      <c r="A10447" t="s">
        <v>1672</v>
      </c>
      <c r="B10447" t="s">
        <v>2130</v>
      </c>
      <c r="C10447">
        <v>13</v>
      </c>
      <c r="D10447">
        <v>33</v>
      </c>
      <c r="E10447">
        <f>IF(OR(B10447="vi",B10447="ii",B10447="pod"),(((D10447/100)*(C10447*VLOOKUP(B10447,'Poids des runes'!A:B,2,FALSE)))+1),(((D10447/100)*(C10447*VLOOKUP(B10447,'Poids des runes'!A:B,2,FALSE)))+1)/VLOOKUP(B10447,'Poids des runes'!A:B,2,FALSE))</f>
        <v>5.29</v>
      </c>
      <c r="F10447">
        <f t="shared" si="163"/>
        <v>5.29</v>
      </c>
    </row>
    <row r="10448" spans="1:6" x14ac:dyDescent="0.3">
      <c r="A10448" t="s">
        <v>1672</v>
      </c>
      <c r="B10448" t="s">
        <v>2127</v>
      </c>
      <c r="C10448">
        <v>13</v>
      </c>
      <c r="D10448">
        <v>33</v>
      </c>
      <c r="E10448">
        <f>IF(OR(B10448="vi",B10448="ii",B10448="pod"),(((D10448/100)*(C10448*VLOOKUP(B10448,'Poids des runes'!A:B,2,FALSE)))+1),(((D10448/100)*(C10448*VLOOKUP(B10448,'Poids des runes'!A:B,2,FALSE)))+1)/VLOOKUP(B10448,'Poids des runes'!A:B,2,FALSE))</f>
        <v>5.29</v>
      </c>
      <c r="F10448">
        <f t="shared" si="163"/>
        <v>5.29</v>
      </c>
    </row>
    <row r="10449" spans="1:6" x14ac:dyDescent="0.3">
      <c r="A10449" t="s">
        <v>1672</v>
      </c>
      <c r="B10449" t="s">
        <v>2129</v>
      </c>
      <c r="C10449">
        <v>13</v>
      </c>
      <c r="D10449">
        <v>33</v>
      </c>
      <c r="E10449">
        <f>IF(OR(B10449="vi",B10449="ii",B10449="pod"),(((D10449/100)*(C10449*VLOOKUP(B10449,'Poids des runes'!A:B,2,FALSE)))+1),(((D10449/100)*(C10449*VLOOKUP(B10449,'Poids des runes'!A:B,2,FALSE)))+1)/VLOOKUP(B10449,'Poids des runes'!A:B,2,FALSE))</f>
        <v>5.29</v>
      </c>
      <c r="F10449">
        <f t="shared" si="163"/>
        <v>5.29</v>
      </c>
    </row>
    <row r="10450" spans="1:6" x14ac:dyDescent="0.3">
      <c r="A10450" t="s">
        <v>1672</v>
      </c>
      <c r="B10450" t="s">
        <v>2151</v>
      </c>
      <c r="C10450">
        <v>2.5</v>
      </c>
      <c r="D10450">
        <v>33</v>
      </c>
      <c r="E10450">
        <f>IF(OR(B10450="vi",B10450="ii",B10450="pod"),(((D10450/100)*(C10450*VLOOKUP(B10450,'Poids des runes'!A:B,2,FALSE)))+1),(((D10450/100)*(C10450*VLOOKUP(B10450,'Poids des runes'!A:B,2,FALSE)))+1)/VLOOKUP(B10450,'Poids des runes'!A:B,2,FALSE))</f>
        <v>0.92500000000000004</v>
      </c>
      <c r="F10450">
        <f t="shared" si="163"/>
        <v>0.92500000000000004</v>
      </c>
    </row>
    <row r="10451" spans="1:6" x14ac:dyDescent="0.3">
      <c r="A10451" t="s">
        <v>1673</v>
      </c>
      <c r="B10451" t="s">
        <v>2127</v>
      </c>
      <c r="C10451">
        <v>35.5</v>
      </c>
      <c r="D10451">
        <v>33</v>
      </c>
      <c r="E10451">
        <f>IF(OR(B10451="vi",B10451="ii",B10451="pod"),(((D10451/100)*(C10451*VLOOKUP(B10451,'Poids des runes'!A:B,2,FALSE)))+1),(((D10451/100)*(C10451*VLOOKUP(B10451,'Poids des runes'!A:B,2,FALSE)))+1)/VLOOKUP(B10451,'Poids des runes'!A:B,2,FALSE))</f>
        <v>12.715</v>
      </c>
      <c r="F10451">
        <f t="shared" si="163"/>
        <v>12.715</v>
      </c>
    </row>
    <row r="10452" spans="1:6" x14ac:dyDescent="0.3">
      <c r="A10452" t="s">
        <v>1673</v>
      </c>
      <c r="B10452" t="s">
        <v>2151</v>
      </c>
      <c r="C10452">
        <v>2.5</v>
      </c>
      <c r="D10452">
        <v>33</v>
      </c>
      <c r="E10452">
        <f>IF(OR(B10452="vi",B10452="ii",B10452="pod"),(((D10452/100)*(C10452*VLOOKUP(B10452,'Poids des runes'!A:B,2,FALSE)))+1),(((D10452/100)*(C10452*VLOOKUP(B10452,'Poids des runes'!A:B,2,FALSE)))+1)/VLOOKUP(B10452,'Poids des runes'!A:B,2,FALSE))</f>
        <v>0.92500000000000004</v>
      </c>
      <c r="F10452">
        <f t="shared" si="163"/>
        <v>0.92500000000000004</v>
      </c>
    </row>
    <row r="10453" spans="1:6" x14ac:dyDescent="0.3">
      <c r="A10453" t="s">
        <v>1673</v>
      </c>
      <c r="B10453" t="s">
        <v>2141</v>
      </c>
      <c r="C10453">
        <v>4.5</v>
      </c>
      <c r="D10453">
        <v>33</v>
      </c>
      <c r="E10453">
        <f>IF(OR(B10453="vi",B10453="ii",B10453="pod"),(((D10453/100)*(C10453*VLOOKUP(B10453,'Poids des runes'!A:B,2,FALSE)))+1),(((D10453/100)*(C10453*VLOOKUP(B10453,'Poids des runes'!A:B,2,FALSE)))+1)/VLOOKUP(B10453,'Poids des runes'!A:B,2,FALSE))</f>
        <v>1.7350000000000001</v>
      </c>
      <c r="F10453">
        <f t="shared" si="163"/>
        <v>1.7350000000000001</v>
      </c>
    </row>
    <row r="10454" spans="1:6" x14ac:dyDescent="0.3">
      <c r="A10454" t="s">
        <v>1674</v>
      </c>
      <c r="B10454" t="s">
        <v>2154</v>
      </c>
      <c r="C10454">
        <v>1</v>
      </c>
      <c r="D10454">
        <v>33</v>
      </c>
      <c r="E10454">
        <f>IF(OR(B10454="vi",B10454="ii",B10454="pod"),(((D10454/100)*(C10454*VLOOKUP(B10454,'Poids des runes'!A:B,2,FALSE)))+1),(((D10454/100)*(C10454*VLOOKUP(B10454,'Poids des runes'!A:B,2,FALSE)))+1)/VLOOKUP(B10454,'Poids des runes'!A:B,2,FALSE))</f>
        <v>0.34111111111111114</v>
      </c>
      <c r="F10454">
        <f t="shared" si="163"/>
        <v>0.34111111111111114</v>
      </c>
    </row>
    <row r="10455" spans="1:6" x14ac:dyDescent="0.3">
      <c r="A10455" t="s">
        <v>1675</v>
      </c>
      <c r="B10455" t="s">
        <v>2128</v>
      </c>
      <c r="C10455">
        <v>35.5</v>
      </c>
      <c r="D10455">
        <v>34</v>
      </c>
      <c r="E10455">
        <f>IF(OR(B10455="vi",B10455="ii",B10455="pod"),(((D10455/100)*(C10455*VLOOKUP(B10455,'Poids des runes'!A:B,2,FALSE)))+1),(((D10455/100)*(C10455*VLOOKUP(B10455,'Poids des runes'!A:B,2,FALSE)))+1)/VLOOKUP(B10455,'Poids des runes'!A:B,2,FALSE))</f>
        <v>3.4140000000000001</v>
      </c>
      <c r="F10455">
        <f t="shared" si="163"/>
        <v>3.4140000000000001</v>
      </c>
    </row>
    <row r="10456" spans="1:6" x14ac:dyDescent="0.3">
      <c r="A10456" t="s">
        <v>1675</v>
      </c>
      <c r="B10456" t="s">
        <v>2130</v>
      </c>
      <c r="C10456">
        <v>25.5</v>
      </c>
      <c r="D10456">
        <v>34</v>
      </c>
      <c r="E10456">
        <f>IF(OR(B10456="vi",B10456="ii",B10456="pod"),(((D10456/100)*(C10456*VLOOKUP(B10456,'Poids des runes'!A:B,2,FALSE)))+1),(((D10456/100)*(C10456*VLOOKUP(B10456,'Poids des runes'!A:B,2,FALSE)))+1)/VLOOKUP(B10456,'Poids des runes'!A:B,2,FALSE))</f>
        <v>9.67</v>
      </c>
      <c r="F10456">
        <f t="shared" si="163"/>
        <v>9.67</v>
      </c>
    </row>
    <row r="10457" spans="1:6" x14ac:dyDescent="0.3">
      <c r="A10457" t="s">
        <v>1675</v>
      </c>
      <c r="B10457" t="s">
        <v>2141</v>
      </c>
      <c r="C10457">
        <v>3.5</v>
      </c>
      <c r="D10457">
        <v>34</v>
      </c>
      <c r="E10457">
        <f>IF(OR(B10457="vi",B10457="ii",B10457="pod"),(((D10457/100)*(C10457*VLOOKUP(B10457,'Poids des runes'!A:B,2,FALSE)))+1),(((D10457/100)*(C10457*VLOOKUP(B10457,'Poids des runes'!A:B,2,FALSE)))+1)/VLOOKUP(B10457,'Poids des runes'!A:B,2,FALSE))</f>
        <v>1.4400000000000002</v>
      </c>
      <c r="F10457">
        <f t="shared" si="163"/>
        <v>1.4400000000000002</v>
      </c>
    </row>
    <row r="10458" spans="1:6" x14ac:dyDescent="0.3">
      <c r="A10458" t="s">
        <v>1676</v>
      </c>
      <c r="B10458" t="s">
        <v>2128</v>
      </c>
      <c r="C10458">
        <v>50.5</v>
      </c>
      <c r="D10458">
        <v>34</v>
      </c>
      <c r="E10458">
        <f>IF(OR(B10458="vi",B10458="ii",B10458="pod"),(((D10458/100)*(C10458*VLOOKUP(B10458,'Poids des runes'!A:B,2,FALSE)))+1),(((D10458/100)*(C10458*VLOOKUP(B10458,'Poids des runes'!A:B,2,FALSE)))+1)/VLOOKUP(B10458,'Poids des runes'!A:B,2,FALSE))</f>
        <v>4.4340000000000011</v>
      </c>
      <c r="F10458">
        <f t="shared" si="163"/>
        <v>4.4340000000000011</v>
      </c>
    </row>
    <row r="10459" spans="1:6" x14ac:dyDescent="0.3">
      <c r="A10459" t="s">
        <v>1676</v>
      </c>
      <c r="B10459" t="s">
        <v>2139</v>
      </c>
      <c r="C10459">
        <v>13</v>
      </c>
      <c r="D10459">
        <v>34</v>
      </c>
      <c r="E10459">
        <f>IF(OR(B10459="vi",B10459="ii",B10459="pod"),(((D10459/100)*(C10459*VLOOKUP(B10459,'Poids des runes'!A:B,2,FALSE)))+1),(((D10459/100)*(C10459*VLOOKUP(B10459,'Poids des runes'!A:B,2,FALSE)))+1)/VLOOKUP(B10459,'Poids des runes'!A:B,2,FALSE))</f>
        <v>4.92</v>
      </c>
      <c r="F10459">
        <f t="shared" si="163"/>
        <v>4.92</v>
      </c>
    </row>
    <row r="10460" spans="1:6" x14ac:dyDescent="0.3">
      <c r="A10460" t="s">
        <v>1676</v>
      </c>
      <c r="B10460" t="s">
        <v>2150</v>
      </c>
      <c r="C10460">
        <v>1</v>
      </c>
      <c r="D10460">
        <v>34</v>
      </c>
      <c r="E10460">
        <f>IF(OR(B10460="vi",B10460="ii",B10460="pod"),(((D10460/100)*(C10460*VLOOKUP(B10460,'Poids des runes'!A:B,2,FALSE)))+1),(((D10460/100)*(C10460*VLOOKUP(B10460,'Poids des runes'!A:B,2,FALSE)))+1)/VLOOKUP(B10460,'Poids des runes'!A:B,2,FALSE))</f>
        <v>0.37333333333333335</v>
      </c>
      <c r="F10460">
        <f t="shared" si="163"/>
        <v>0.37333333333333335</v>
      </c>
    </row>
    <row r="10461" spans="1:6" x14ac:dyDescent="0.3">
      <c r="A10461" t="s">
        <v>1677</v>
      </c>
      <c r="B10461" t="s">
        <v>2128</v>
      </c>
      <c r="C10461">
        <v>25.5</v>
      </c>
      <c r="D10461">
        <v>34</v>
      </c>
      <c r="E10461">
        <f>IF(OR(B10461="vi",B10461="ii",B10461="pod"),(((D10461/100)*(C10461*VLOOKUP(B10461,'Poids des runes'!A:B,2,FALSE)))+1),(((D10461/100)*(C10461*VLOOKUP(B10461,'Poids des runes'!A:B,2,FALSE)))+1)/VLOOKUP(B10461,'Poids des runes'!A:B,2,FALSE))</f>
        <v>2.734</v>
      </c>
      <c r="F10461">
        <f t="shared" si="163"/>
        <v>2.734</v>
      </c>
    </row>
    <row r="10462" spans="1:6" x14ac:dyDescent="0.3">
      <c r="A10462" t="s">
        <v>1677</v>
      </c>
      <c r="B10462" t="s">
        <v>2126</v>
      </c>
      <c r="C10462">
        <v>18</v>
      </c>
      <c r="D10462">
        <v>34</v>
      </c>
      <c r="E10462">
        <f>IF(OR(B10462="vi",B10462="ii",B10462="pod"),(((D10462/100)*(C10462*VLOOKUP(B10462,'Poids des runes'!A:B,2,FALSE)))+1),(((D10462/100)*(C10462*VLOOKUP(B10462,'Poids des runes'!A:B,2,FALSE)))+1)/VLOOKUP(B10462,'Poids des runes'!A:B,2,FALSE))</f>
        <v>7.12</v>
      </c>
      <c r="F10462">
        <f t="shared" si="163"/>
        <v>7.12</v>
      </c>
    </row>
    <row r="10463" spans="1:6" x14ac:dyDescent="0.3">
      <c r="A10463" t="s">
        <v>1677</v>
      </c>
      <c r="B10463" t="s">
        <v>2131</v>
      </c>
      <c r="C10463">
        <v>18</v>
      </c>
      <c r="D10463">
        <v>34</v>
      </c>
      <c r="E10463">
        <f>IF(OR(B10463="vi",B10463="ii",B10463="pod"),(((D10463/100)*(C10463*VLOOKUP(B10463,'Poids des runes'!A:B,2,FALSE)))+1),(((D10463/100)*(C10463*VLOOKUP(B10463,'Poids des runes'!A:B,2,FALSE)))+1)/VLOOKUP(B10463,'Poids des runes'!A:B,2,FALSE))</f>
        <v>7.12</v>
      </c>
      <c r="F10463">
        <f t="shared" si="163"/>
        <v>7.12</v>
      </c>
    </row>
    <row r="10464" spans="1:6" x14ac:dyDescent="0.3">
      <c r="A10464" t="s">
        <v>1677</v>
      </c>
      <c r="B10464" t="s">
        <v>2129</v>
      </c>
      <c r="C10464">
        <v>13</v>
      </c>
      <c r="D10464">
        <v>34</v>
      </c>
      <c r="E10464">
        <f>IF(OR(B10464="vi",B10464="ii",B10464="pod"),(((D10464/100)*(C10464*VLOOKUP(B10464,'Poids des runes'!A:B,2,FALSE)))+1),(((D10464/100)*(C10464*VLOOKUP(B10464,'Poids des runes'!A:B,2,FALSE)))+1)/VLOOKUP(B10464,'Poids des runes'!A:B,2,FALSE))</f>
        <v>5.42</v>
      </c>
      <c r="F10464">
        <f t="shared" si="163"/>
        <v>5.42</v>
      </c>
    </row>
    <row r="10465" spans="1:6" x14ac:dyDescent="0.3">
      <c r="A10465" t="s">
        <v>1678</v>
      </c>
      <c r="B10465" t="s">
        <v>2128</v>
      </c>
      <c r="C10465">
        <v>18</v>
      </c>
      <c r="D10465">
        <v>34</v>
      </c>
      <c r="E10465">
        <f>IF(OR(B10465="vi",B10465="ii",B10465="pod"),(((D10465/100)*(C10465*VLOOKUP(B10465,'Poids des runes'!A:B,2,FALSE)))+1),(((D10465/100)*(C10465*VLOOKUP(B10465,'Poids des runes'!A:B,2,FALSE)))+1)/VLOOKUP(B10465,'Poids des runes'!A:B,2,FALSE))</f>
        <v>2.2240000000000002</v>
      </c>
      <c r="F10465">
        <f t="shared" si="163"/>
        <v>2.2240000000000002</v>
      </c>
    </row>
    <row r="10466" spans="1:6" x14ac:dyDescent="0.3">
      <c r="A10466" t="s">
        <v>1678</v>
      </c>
      <c r="B10466" t="s">
        <v>2126</v>
      </c>
      <c r="C10466">
        <v>45.5</v>
      </c>
      <c r="D10466">
        <v>34</v>
      </c>
      <c r="E10466">
        <f>IF(OR(B10466="vi",B10466="ii",B10466="pod"),(((D10466/100)*(C10466*VLOOKUP(B10466,'Poids des runes'!A:B,2,FALSE)))+1),(((D10466/100)*(C10466*VLOOKUP(B10466,'Poids des runes'!A:B,2,FALSE)))+1)/VLOOKUP(B10466,'Poids des runes'!A:B,2,FALSE))</f>
        <v>16.47</v>
      </c>
      <c r="F10466">
        <f t="shared" si="163"/>
        <v>16.47</v>
      </c>
    </row>
    <row r="10467" spans="1:6" x14ac:dyDescent="0.3">
      <c r="A10467" t="s">
        <v>1678</v>
      </c>
      <c r="B10467" t="s">
        <v>2129</v>
      </c>
      <c r="C10467">
        <v>8.5</v>
      </c>
      <c r="D10467">
        <v>34</v>
      </c>
      <c r="E10467">
        <f>IF(OR(B10467="vi",B10467="ii",B10467="pod"),(((D10467/100)*(C10467*VLOOKUP(B10467,'Poids des runes'!A:B,2,FALSE)))+1),(((D10467/100)*(C10467*VLOOKUP(B10467,'Poids des runes'!A:B,2,FALSE)))+1)/VLOOKUP(B10467,'Poids des runes'!A:B,2,FALSE))</f>
        <v>3.89</v>
      </c>
      <c r="F10467">
        <f t="shared" si="163"/>
        <v>3.89</v>
      </c>
    </row>
    <row r="10468" spans="1:6" x14ac:dyDescent="0.3">
      <c r="A10468" t="s">
        <v>1678</v>
      </c>
      <c r="B10468" t="s">
        <v>2150</v>
      </c>
      <c r="C10468">
        <v>1</v>
      </c>
      <c r="D10468">
        <v>34</v>
      </c>
      <c r="E10468">
        <f>IF(OR(B10468="vi",B10468="ii",B10468="pod"),(((D10468/100)*(C10468*VLOOKUP(B10468,'Poids des runes'!A:B,2,FALSE)))+1),(((D10468/100)*(C10468*VLOOKUP(B10468,'Poids des runes'!A:B,2,FALSE)))+1)/VLOOKUP(B10468,'Poids des runes'!A:B,2,FALSE))</f>
        <v>0.37333333333333335</v>
      </c>
      <c r="F10468">
        <f t="shared" si="163"/>
        <v>0.37333333333333335</v>
      </c>
    </row>
    <row r="10469" spans="1:6" x14ac:dyDescent="0.3">
      <c r="A10469" t="s">
        <v>1679</v>
      </c>
      <c r="B10469" t="s">
        <v>2128</v>
      </c>
      <c r="C10469">
        <v>25.5</v>
      </c>
      <c r="D10469">
        <v>34</v>
      </c>
      <c r="E10469">
        <f>IF(OR(B10469="vi",B10469="ii",B10469="pod"),(((D10469/100)*(C10469*VLOOKUP(B10469,'Poids des runes'!A:B,2,FALSE)))+1),(((D10469/100)*(C10469*VLOOKUP(B10469,'Poids des runes'!A:B,2,FALSE)))+1)/VLOOKUP(B10469,'Poids des runes'!A:B,2,FALSE))</f>
        <v>2.734</v>
      </c>
      <c r="F10469">
        <f t="shared" si="163"/>
        <v>2.734</v>
      </c>
    </row>
    <row r="10470" spans="1:6" x14ac:dyDescent="0.3">
      <c r="A10470" t="s">
        <v>1679</v>
      </c>
      <c r="B10470" t="s">
        <v>2151</v>
      </c>
      <c r="C10470">
        <v>2.5</v>
      </c>
      <c r="D10470">
        <v>34</v>
      </c>
      <c r="E10470">
        <f>IF(OR(B10470="vi",B10470="ii",B10470="pod"),(((D10470/100)*(C10470*VLOOKUP(B10470,'Poids des runes'!A:B,2,FALSE)))+1),(((D10470/100)*(C10470*VLOOKUP(B10470,'Poids des runes'!A:B,2,FALSE)))+1)/VLOOKUP(B10470,'Poids des runes'!A:B,2,FALSE))</f>
        <v>0.95</v>
      </c>
      <c r="F10470">
        <f t="shared" si="163"/>
        <v>0.95</v>
      </c>
    </row>
    <row r="10471" spans="1:6" x14ac:dyDescent="0.3">
      <c r="A10471" t="s">
        <v>1679</v>
      </c>
      <c r="B10471" t="s">
        <v>2140</v>
      </c>
      <c r="C10471">
        <v>1.5</v>
      </c>
      <c r="D10471">
        <v>34</v>
      </c>
      <c r="E10471">
        <f>IF(OR(B10471="vi",B10471="ii",B10471="pod"),(((D10471/100)*(C10471*VLOOKUP(B10471,'Poids des runes'!A:B,2,FALSE)))+1),(((D10471/100)*(C10471*VLOOKUP(B10471,'Poids des runes'!A:B,2,FALSE)))+1)/VLOOKUP(B10471,'Poids des runes'!A:B,2,FALSE))</f>
        <v>0.71000000000000008</v>
      </c>
      <c r="F10471">
        <f t="shared" si="163"/>
        <v>0.71000000000000008</v>
      </c>
    </row>
    <row r="10472" spans="1:6" x14ac:dyDescent="0.3">
      <c r="A10472" t="s">
        <v>1679</v>
      </c>
      <c r="B10472" t="s">
        <v>2133</v>
      </c>
      <c r="C10472">
        <v>1.5</v>
      </c>
      <c r="D10472">
        <v>34</v>
      </c>
      <c r="E10472">
        <f>IF(OR(B10472="vi",B10472="ii",B10472="pod"),(((D10472/100)*(C10472*VLOOKUP(B10472,'Poids des runes'!A:B,2,FALSE)))+1),(((D10472/100)*(C10472*VLOOKUP(B10472,'Poids des runes'!A:B,2,FALSE)))+1)/VLOOKUP(B10472,'Poids des runes'!A:B,2,FALSE))</f>
        <v>0.71000000000000008</v>
      </c>
      <c r="F10472">
        <f t="shared" si="163"/>
        <v>0.71000000000000008</v>
      </c>
    </row>
    <row r="10473" spans="1:6" x14ac:dyDescent="0.3">
      <c r="A10473" t="s">
        <v>1680</v>
      </c>
      <c r="B10473" t="s">
        <v>2128</v>
      </c>
      <c r="C10473">
        <v>35.5</v>
      </c>
      <c r="D10473">
        <v>35</v>
      </c>
      <c r="E10473">
        <f>IF(OR(B10473="vi",B10473="ii",B10473="pod"),(((D10473/100)*(C10473*VLOOKUP(B10473,'Poids des runes'!A:B,2,FALSE)))+1),(((D10473/100)*(C10473*VLOOKUP(B10473,'Poids des runes'!A:B,2,FALSE)))+1)/VLOOKUP(B10473,'Poids des runes'!A:B,2,FALSE))</f>
        <v>3.4849999999999999</v>
      </c>
      <c r="F10473">
        <f t="shared" si="163"/>
        <v>3.4849999999999999</v>
      </c>
    </row>
    <row r="10474" spans="1:6" x14ac:dyDescent="0.3">
      <c r="A10474" t="s">
        <v>1680</v>
      </c>
      <c r="B10474" t="s">
        <v>2131</v>
      </c>
      <c r="C10474">
        <v>25.5</v>
      </c>
      <c r="D10474">
        <v>35</v>
      </c>
      <c r="E10474">
        <f>IF(OR(B10474="vi",B10474="ii",B10474="pod"),(((D10474/100)*(C10474*VLOOKUP(B10474,'Poids des runes'!A:B,2,FALSE)))+1),(((D10474/100)*(C10474*VLOOKUP(B10474,'Poids des runes'!A:B,2,FALSE)))+1)/VLOOKUP(B10474,'Poids des runes'!A:B,2,FALSE))</f>
        <v>9.9249999999999989</v>
      </c>
      <c r="F10474">
        <f t="shared" si="163"/>
        <v>9.9249999999999989</v>
      </c>
    </row>
    <row r="10475" spans="1:6" x14ac:dyDescent="0.3">
      <c r="A10475" t="s">
        <v>1680</v>
      </c>
      <c r="B10475" t="s">
        <v>2151</v>
      </c>
      <c r="C10475">
        <v>2.5</v>
      </c>
      <c r="D10475">
        <v>35</v>
      </c>
      <c r="E10475">
        <f>IF(OR(B10475="vi",B10475="ii",B10475="pod"),(((D10475/100)*(C10475*VLOOKUP(B10475,'Poids des runes'!A:B,2,FALSE)))+1),(((D10475/100)*(C10475*VLOOKUP(B10475,'Poids des runes'!A:B,2,FALSE)))+1)/VLOOKUP(B10475,'Poids des runes'!A:B,2,FALSE))</f>
        <v>0.97499999999999998</v>
      </c>
      <c r="F10475">
        <f t="shared" si="163"/>
        <v>0.97499999999999998</v>
      </c>
    </row>
    <row r="10476" spans="1:6" x14ac:dyDescent="0.3">
      <c r="A10476" t="s">
        <v>1680</v>
      </c>
      <c r="B10476" t="s">
        <v>2133</v>
      </c>
      <c r="C10476">
        <v>2.5</v>
      </c>
      <c r="D10476">
        <v>35</v>
      </c>
      <c r="E10476">
        <f>IF(OR(B10476="vi",B10476="ii",B10476="pod"),(((D10476/100)*(C10476*VLOOKUP(B10476,'Poids des runes'!A:B,2,FALSE)))+1),(((D10476/100)*(C10476*VLOOKUP(B10476,'Poids des runes'!A:B,2,FALSE)))+1)/VLOOKUP(B10476,'Poids des runes'!A:B,2,FALSE))</f>
        <v>1.075</v>
      </c>
      <c r="F10476">
        <f t="shared" si="163"/>
        <v>1.075</v>
      </c>
    </row>
    <row r="10477" spans="1:6" x14ac:dyDescent="0.3">
      <c r="A10477" t="s">
        <v>1681</v>
      </c>
      <c r="B10477" t="s">
        <v>2128</v>
      </c>
      <c r="C10477">
        <v>25.5</v>
      </c>
      <c r="D10477">
        <v>35</v>
      </c>
      <c r="E10477">
        <f>IF(OR(B10477="vi",B10477="ii",B10477="pod"),(((D10477/100)*(C10477*VLOOKUP(B10477,'Poids des runes'!A:B,2,FALSE)))+1),(((D10477/100)*(C10477*VLOOKUP(B10477,'Poids des runes'!A:B,2,FALSE)))+1)/VLOOKUP(B10477,'Poids des runes'!A:B,2,FALSE))</f>
        <v>2.7850000000000001</v>
      </c>
      <c r="F10477">
        <f t="shared" si="163"/>
        <v>2.7850000000000001</v>
      </c>
    </row>
    <row r="10478" spans="1:6" x14ac:dyDescent="0.3">
      <c r="A10478" t="s">
        <v>1681</v>
      </c>
      <c r="B10478" t="s">
        <v>2130</v>
      </c>
      <c r="C10478">
        <v>18</v>
      </c>
      <c r="D10478">
        <v>35</v>
      </c>
      <c r="E10478">
        <f>IF(OR(B10478="vi",B10478="ii",B10478="pod"),(((D10478/100)*(C10478*VLOOKUP(B10478,'Poids des runes'!A:B,2,FALSE)))+1),(((D10478/100)*(C10478*VLOOKUP(B10478,'Poids des runes'!A:B,2,FALSE)))+1)/VLOOKUP(B10478,'Poids des runes'!A:B,2,FALSE))</f>
        <v>7.3</v>
      </c>
      <c r="F10478">
        <f t="shared" si="163"/>
        <v>7.3</v>
      </c>
    </row>
    <row r="10479" spans="1:6" x14ac:dyDescent="0.3">
      <c r="A10479" t="s">
        <v>1681</v>
      </c>
      <c r="B10479" t="s">
        <v>2132</v>
      </c>
      <c r="C10479">
        <v>175.5</v>
      </c>
      <c r="D10479">
        <v>35</v>
      </c>
      <c r="E10479">
        <f>IF(OR(B10479="vi",B10479="ii",B10479="pod"),(((D10479/100)*(C10479*VLOOKUP(B10479,'Poids des runes'!A:B,2,FALSE)))+1),(((D10479/100)*(C10479*VLOOKUP(B10479,'Poids des runes'!A:B,2,FALSE)))+1)/VLOOKUP(B10479,'Poids des runes'!A:B,2,FALSE))</f>
        <v>7.1425000000000001</v>
      </c>
      <c r="F10479">
        <f t="shared" si="163"/>
        <v>7.1425000000000001</v>
      </c>
    </row>
    <row r="10480" spans="1:6" x14ac:dyDescent="0.3">
      <c r="A10480" t="s">
        <v>1682</v>
      </c>
      <c r="B10480" t="s">
        <v>2128</v>
      </c>
      <c r="C10480">
        <v>25.5</v>
      </c>
      <c r="D10480">
        <v>35</v>
      </c>
      <c r="E10480">
        <f>IF(OR(B10480="vi",B10480="ii",B10480="pod"),(((D10480/100)*(C10480*VLOOKUP(B10480,'Poids des runes'!A:B,2,FALSE)))+1),(((D10480/100)*(C10480*VLOOKUP(B10480,'Poids des runes'!A:B,2,FALSE)))+1)/VLOOKUP(B10480,'Poids des runes'!A:B,2,FALSE))</f>
        <v>2.7850000000000001</v>
      </c>
      <c r="F10480">
        <f t="shared" si="163"/>
        <v>2.7850000000000001</v>
      </c>
    </row>
    <row r="10481" spans="1:6" x14ac:dyDescent="0.3">
      <c r="A10481" t="s">
        <v>1682</v>
      </c>
      <c r="B10481" t="s">
        <v>2127</v>
      </c>
      <c r="C10481">
        <v>25.5</v>
      </c>
      <c r="D10481">
        <v>35</v>
      </c>
      <c r="E10481">
        <f>IF(OR(B10481="vi",B10481="ii",B10481="pod"),(((D10481/100)*(C10481*VLOOKUP(B10481,'Poids des runes'!A:B,2,FALSE)))+1),(((D10481/100)*(C10481*VLOOKUP(B10481,'Poids des runes'!A:B,2,FALSE)))+1)/VLOOKUP(B10481,'Poids des runes'!A:B,2,FALSE))</f>
        <v>9.9249999999999989</v>
      </c>
      <c r="F10481">
        <f t="shared" si="163"/>
        <v>9.9249999999999989</v>
      </c>
    </row>
    <row r="10482" spans="1:6" x14ac:dyDescent="0.3">
      <c r="A10482" t="s">
        <v>1682</v>
      </c>
      <c r="B10482" t="s">
        <v>2129</v>
      </c>
      <c r="C10482">
        <v>8.5</v>
      </c>
      <c r="D10482">
        <v>35</v>
      </c>
      <c r="E10482">
        <f>IF(OR(B10482="vi",B10482="ii",B10482="pod"),(((D10482/100)*(C10482*VLOOKUP(B10482,'Poids des runes'!A:B,2,FALSE)))+1),(((D10482/100)*(C10482*VLOOKUP(B10482,'Poids des runes'!A:B,2,FALSE)))+1)/VLOOKUP(B10482,'Poids des runes'!A:B,2,FALSE))</f>
        <v>3.9749999999999996</v>
      </c>
      <c r="F10482">
        <f t="shared" si="163"/>
        <v>3.9749999999999996</v>
      </c>
    </row>
    <row r="10483" spans="1:6" x14ac:dyDescent="0.3">
      <c r="A10483" t="s">
        <v>1682</v>
      </c>
      <c r="B10483" t="s">
        <v>2155</v>
      </c>
      <c r="C10483">
        <v>1</v>
      </c>
      <c r="D10483">
        <v>35</v>
      </c>
      <c r="E10483">
        <f>IF(OR(B10483="vi",B10483="ii",B10483="pod"),(((D10483/100)*(C10483*VLOOKUP(B10483,'Poids des runes'!A:B,2,FALSE)))+1),(((D10483/100)*(C10483*VLOOKUP(B10483,'Poids des runes'!A:B,2,FALSE)))+1)/VLOOKUP(B10483,'Poids des runes'!A:B,2,FALSE))</f>
        <v>0.36960784313725487</v>
      </c>
      <c r="F10483">
        <f t="shared" si="163"/>
        <v>0.36960784313725487</v>
      </c>
    </row>
    <row r="10484" spans="1:6" x14ac:dyDescent="0.3">
      <c r="A10484" t="s">
        <v>1683</v>
      </c>
      <c r="B10484" t="s">
        <v>2128</v>
      </c>
      <c r="C10484">
        <v>50.5</v>
      </c>
      <c r="D10484">
        <v>35</v>
      </c>
      <c r="E10484">
        <f>IF(OR(B10484="vi",B10484="ii",B10484="pod"),(((D10484/100)*(C10484*VLOOKUP(B10484,'Poids des runes'!A:B,2,FALSE)))+1),(((D10484/100)*(C10484*VLOOKUP(B10484,'Poids des runes'!A:B,2,FALSE)))+1)/VLOOKUP(B10484,'Poids des runes'!A:B,2,FALSE))</f>
        <v>4.5350000000000001</v>
      </c>
      <c r="F10484">
        <f t="shared" si="163"/>
        <v>4.5350000000000001</v>
      </c>
    </row>
    <row r="10485" spans="1:6" x14ac:dyDescent="0.3">
      <c r="A10485" t="s">
        <v>1683</v>
      </c>
      <c r="B10485" t="s">
        <v>2130</v>
      </c>
      <c r="C10485">
        <v>18</v>
      </c>
      <c r="D10485">
        <v>35</v>
      </c>
      <c r="E10485">
        <f>IF(OR(B10485="vi",B10485="ii",B10485="pod"),(((D10485/100)*(C10485*VLOOKUP(B10485,'Poids des runes'!A:B,2,FALSE)))+1),(((D10485/100)*(C10485*VLOOKUP(B10485,'Poids des runes'!A:B,2,FALSE)))+1)/VLOOKUP(B10485,'Poids des runes'!A:B,2,FALSE))</f>
        <v>7.3</v>
      </c>
      <c r="F10485">
        <f t="shared" si="163"/>
        <v>7.3</v>
      </c>
    </row>
    <row r="10486" spans="1:6" x14ac:dyDescent="0.3">
      <c r="A10486" t="s">
        <v>1683</v>
      </c>
      <c r="B10486" t="s">
        <v>2131</v>
      </c>
      <c r="C10486">
        <v>18</v>
      </c>
      <c r="D10486">
        <v>35</v>
      </c>
      <c r="E10486">
        <f>IF(OR(B10486="vi",B10486="ii",B10486="pod"),(((D10486/100)*(C10486*VLOOKUP(B10486,'Poids des runes'!A:B,2,FALSE)))+1),(((D10486/100)*(C10486*VLOOKUP(B10486,'Poids des runes'!A:B,2,FALSE)))+1)/VLOOKUP(B10486,'Poids des runes'!A:B,2,FALSE))</f>
        <v>7.3</v>
      </c>
      <c r="F10486">
        <f t="shared" si="163"/>
        <v>7.3</v>
      </c>
    </row>
    <row r="10487" spans="1:6" x14ac:dyDescent="0.3">
      <c r="A10487" t="s">
        <v>1683</v>
      </c>
      <c r="B10487" t="s">
        <v>2155</v>
      </c>
      <c r="C10487">
        <v>1</v>
      </c>
      <c r="D10487">
        <v>35</v>
      </c>
      <c r="E10487">
        <f>IF(OR(B10487="vi",B10487="ii",B10487="pod"),(((D10487/100)*(C10487*VLOOKUP(B10487,'Poids des runes'!A:B,2,FALSE)))+1),(((D10487/100)*(C10487*VLOOKUP(B10487,'Poids des runes'!A:B,2,FALSE)))+1)/VLOOKUP(B10487,'Poids des runes'!A:B,2,FALSE))</f>
        <v>0.36960784313725487</v>
      </c>
      <c r="F10487">
        <f t="shared" si="163"/>
        <v>0.36960784313725487</v>
      </c>
    </row>
    <row r="10488" spans="1:6" x14ac:dyDescent="0.3">
      <c r="A10488" t="s">
        <v>1684</v>
      </c>
      <c r="B10488" t="s">
        <v>2128</v>
      </c>
      <c r="C10488">
        <v>50.5</v>
      </c>
      <c r="D10488">
        <v>35</v>
      </c>
      <c r="E10488">
        <f>IF(OR(B10488="vi",B10488="ii",B10488="pod"),(((D10488/100)*(C10488*VLOOKUP(B10488,'Poids des runes'!A:B,2,FALSE)))+1),(((D10488/100)*(C10488*VLOOKUP(B10488,'Poids des runes'!A:B,2,FALSE)))+1)/VLOOKUP(B10488,'Poids des runes'!A:B,2,FALSE))</f>
        <v>4.5350000000000001</v>
      </c>
      <c r="F10488">
        <f t="shared" si="163"/>
        <v>4.5350000000000001</v>
      </c>
    </row>
    <row r="10489" spans="1:6" x14ac:dyDescent="0.3">
      <c r="A10489" t="s">
        <v>1684</v>
      </c>
      <c r="B10489" t="s">
        <v>2126</v>
      </c>
      <c r="C10489">
        <v>25.5</v>
      </c>
      <c r="D10489">
        <v>35</v>
      </c>
      <c r="E10489">
        <f>IF(OR(B10489="vi",B10489="ii",B10489="pod"),(((D10489/100)*(C10489*VLOOKUP(B10489,'Poids des runes'!A:B,2,FALSE)))+1),(((D10489/100)*(C10489*VLOOKUP(B10489,'Poids des runes'!A:B,2,FALSE)))+1)/VLOOKUP(B10489,'Poids des runes'!A:B,2,FALSE))</f>
        <v>9.9249999999999989</v>
      </c>
      <c r="F10489">
        <f t="shared" si="163"/>
        <v>9.9249999999999989</v>
      </c>
    </row>
    <row r="10490" spans="1:6" x14ac:dyDescent="0.3">
      <c r="A10490" t="s">
        <v>1684</v>
      </c>
      <c r="B10490" t="s">
        <v>2150</v>
      </c>
      <c r="C10490">
        <v>1</v>
      </c>
      <c r="D10490">
        <v>35</v>
      </c>
      <c r="E10490">
        <f>IF(OR(B10490="vi",B10490="ii",B10490="pod"),(((D10490/100)*(C10490*VLOOKUP(B10490,'Poids des runes'!A:B,2,FALSE)))+1),(((D10490/100)*(C10490*VLOOKUP(B10490,'Poids des runes'!A:B,2,FALSE)))+1)/VLOOKUP(B10490,'Poids des runes'!A:B,2,FALSE))</f>
        <v>0.38333333333333336</v>
      </c>
      <c r="F10490">
        <f t="shared" si="163"/>
        <v>0.38333333333333336</v>
      </c>
    </row>
    <row r="10491" spans="1:6" x14ac:dyDescent="0.3">
      <c r="A10491" t="s">
        <v>1685</v>
      </c>
      <c r="B10491" t="s">
        <v>2128</v>
      </c>
      <c r="C10491">
        <v>50</v>
      </c>
      <c r="D10491">
        <v>35</v>
      </c>
      <c r="E10491">
        <f>IF(OR(B10491="vi",B10491="ii",B10491="pod"),(((D10491/100)*(C10491*VLOOKUP(B10491,'Poids des runes'!A:B,2,FALSE)))+1),(((D10491/100)*(C10491*VLOOKUP(B10491,'Poids des runes'!A:B,2,FALSE)))+1)/VLOOKUP(B10491,'Poids des runes'!A:B,2,FALSE))</f>
        <v>4.5</v>
      </c>
      <c r="F10491">
        <f t="shared" si="163"/>
        <v>4.5</v>
      </c>
    </row>
    <row r="10492" spans="1:6" x14ac:dyDescent="0.3">
      <c r="A10492" t="s">
        <v>1685</v>
      </c>
      <c r="B10492" t="s">
        <v>2130</v>
      </c>
      <c r="C10492">
        <v>25.5</v>
      </c>
      <c r="D10492">
        <v>35</v>
      </c>
      <c r="E10492">
        <f>IF(OR(B10492="vi",B10492="ii",B10492="pod"),(((D10492/100)*(C10492*VLOOKUP(B10492,'Poids des runes'!A:B,2,FALSE)))+1),(((D10492/100)*(C10492*VLOOKUP(B10492,'Poids des runes'!A:B,2,FALSE)))+1)/VLOOKUP(B10492,'Poids des runes'!A:B,2,FALSE))</f>
        <v>9.9249999999999989</v>
      </c>
      <c r="F10492">
        <f t="shared" si="163"/>
        <v>9.9249999999999989</v>
      </c>
    </row>
    <row r="10493" spans="1:6" x14ac:dyDescent="0.3">
      <c r="A10493" t="s">
        <v>1685</v>
      </c>
      <c r="B10493" t="s">
        <v>2127</v>
      </c>
      <c r="C10493">
        <v>25.5</v>
      </c>
      <c r="D10493">
        <v>35</v>
      </c>
      <c r="E10493">
        <f>IF(OR(B10493="vi",B10493="ii",B10493="pod"),(((D10493/100)*(C10493*VLOOKUP(B10493,'Poids des runes'!A:B,2,FALSE)))+1),(((D10493/100)*(C10493*VLOOKUP(B10493,'Poids des runes'!A:B,2,FALSE)))+1)/VLOOKUP(B10493,'Poids des runes'!A:B,2,FALSE))</f>
        <v>9.9249999999999989</v>
      </c>
      <c r="F10493">
        <f t="shared" si="163"/>
        <v>9.9249999999999989</v>
      </c>
    </row>
    <row r="10494" spans="1:6" x14ac:dyDescent="0.3">
      <c r="A10494" t="s">
        <v>1685</v>
      </c>
      <c r="B10494" t="s">
        <v>2132</v>
      </c>
      <c r="C10494">
        <v>125.5</v>
      </c>
      <c r="D10494">
        <v>35</v>
      </c>
      <c r="E10494">
        <f>IF(OR(B10494="vi",B10494="ii",B10494="pod"),(((D10494/100)*(C10494*VLOOKUP(B10494,'Poids des runes'!A:B,2,FALSE)))+1),(((D10494/100)*(C10494*VLOOKUP(B10494,'Poids des runes'!A:B,2,FALSE)))+1)/VLOOKUP(B10494,'Poids des runes'!A:B,2,FALSE))</f>
        <v>5.3925000000000001</v>
      </c>
      <c r="F10494">
        <f t="shared" si="163"/>
        <v>5.3925000000000001</v>
      </c>
    </row>
    <row r="10495" spans="1:6" x14ac:dyDescent="0.3">
      <c r="A10495" t="s">
        <v>1686</v>
      </c>
      <c r="B10495" t="s">
        <v>2130</v>
      </c>
      <c r="C10495">
        <v>18</v>
      </c>
      <c r="D10495">
        <v>36</v>
      </c>
      <c r="E10495">
        <f>IF(OR(B10495="vi",B10495="ii",B10495="pod"),(((D10495/100)*(C10495*VLOOKUP(B10495,'Poids des runes'!A:B,2,FALSE)))+1),(((D10495/100)*(C10495*VLOOKUP(B10495,'Poids des runes'!A:B,2,FALSE)))+1)/VLOOKUP(B10495,'Poids des runes'!A:B,2,FALSE))</f>
        <v>7.4799999999999995</v>
      </c>
      <c r="F10495">
        <f t="shared" si="163"/>
        <v>7.4799999999999995</v>
      </c>
    </row>
    <row r="10496" spans="1:6" x14ac:dyDescent="0.3">
      <c r="A10496" t="s">
        <v>1686</v>
      </c>
      <c r="B10496" t="s">
        <v>2126</v>
      </c>
      <c r="C10496">
        <v>18</v>
      </c>
      <c r="D10496">
        <v>36</v>
      </c>
      <c r="E10496">
        <f>IF(OR(B10496="vi",B10496="ii",B10496="pod"),(((D10496/100)*(C10496*VLOOKUP(B10496,'Poids des runes'!A:B,2,FALSE)))+1),(((D10496/100)*(C10496*VLOOKUP(B10496,'Poids des runes'!A:B,2,FALSE)))+1)/VLOOKUP(B10496,'Poids des runes'!A:B,2,FALSE))</f>
        <v>7.4799999999999995</v>
      </c>
      <c r="F10496">
        <f t="shared" si="163"/>
        <v>7.4799999999999995</v>
      </c>
    </row>
    <row r="10497" spans="1:6" x14ac:dyDescent="0.3">
      <c r="A10497" t="s">
        <v>1686</v>
      </c>
      <c r="B10497" t="s">
        <v>2131</v>
      </c>
      <c r="C10497">
        <v>18</v>
      </c>
      <c r="D10497">
        <v>36</v>
      </c>
      <c r="E10497">
        <f>IF(OR(B10497="vi",B10497="ii",B10497="pod"),(((D10497/100)*(C10497*VLOOKUP(B10497,'Poids des runes'!A:B,2,FALSE)))+1),(((D10497/100)*(C10497*VLOOKUP(B10497,'Poids des runes'!A:B,2,FALSE)))+1)/VLOOKUP(B10497,'Poids des runes'!A:B,2,FALSE))</f>
        <v>7.4799999999999995</v>
      </c>
      <c r="F10497">
        <f t="shared" si="163"/>
        <v>7.4799999999999995</v>
      </c>
    </row>
    <row r="10498" spans="1:6" x14ac:dyDescent="0.3">
      <c r="A10498" t="s">
        <v>1686</v>
      </c>
      <c r="B10498" t="s">
        <v>2134</v>
      </c>
      <c r="C10498">
        <v>2</v>
      </c>
      <c r="D10498">
        <v>36</v>
      </c>
      <c r="E10498">
        <f>IF(OR(B10498="vi",B10498="ii",B10498="pod"),(((D10498/100)*(C10498*VLOOKUP(B10498,'Poids des runes'!A:B,2,FALSE)))+1),(((D10498/100)*(C10498*VLOOKUP(B10498,'Poids des runes'!A:B,2,FALSE)))+1)/VLOOKUP(B10498,'Poids des runes'!A:B,2,FALSE))</f>
        <v>0.76999999999999991</v>
      </c>
      <c r="F10498">
        <f t="shared" si="163"/>
        <v>0.76999999999999991</v>
      </c>
    </row>
    <row r="10499" spans="1:6" x14ac:dyDescent="0.3">
      <c r="A10499" t="s">
        <v>1687</v>
      </c>
      <c r="B10499" t="s">
        <v>2128</v>
      </c>
      <c r="C10499">
        <v>35.5</v>
      </c>
      <c r="D10499">
        <v>36</v>
      </c>
      <c r="E10499">
        <f>IF(OR(B10499="vi",B10499="ii",B10499="pod"),(((D10499/100)*(C10499*VLOOKUP(B10499,'Poids des runes'!A:B,2,FALSE)))+1),(((D10499/100)*(C10499*VLOOKUP(B10499,'Poids des runes'!A:B,2,FALSE)))+1)/VLOOKUP(B10499,'Poids des runes'!A:B,2,FALSE))</f>
        <v>3.556</v>
      </c>
      <c r="F10499">
        <f t="shared" ref="F10499:F10562" si="164">E10499</f>
        <v>3.556</v>
      </c>
    </row>
    <row r="10500" spans="1:6" x14ac:dyDescent="0.3">
      <c r="A10500" t="s">
        <v>1687</v>
      </c>
      <c r="B10500" t="s">
        <v>2130</v>
      </c>
      <c r="C10500">
        <v>35.5</v>
      </c>
      <c r="D10500">
        <v>36</v>
      </c>
      <c r="E10500">
        <f>IF(OR(B10500="vi",B10500="ii",B10500="pod"),(((D10500/100)*(C10500*VLOOKUP(B10500,'Poids des runes'!A:B,2,FALSE)))+1),(((D10500/100)*(C10500*VLOOKUP(B10500,'Poids des runes'!A:B,2,FALSE)))+1)/VLOOKUP(B10500,'Poids des runes'!A:B,2,FALSE))</f>
        <v>13.78</v>
      </c>
      <c r="F10500">
        <f t="shared" si="164"/>
        <v>13.78</v>
      </c>
    </row>
    <row r="10501" spans="1:6" x14ac:dyDescent="0.3">
      <c r="A10501" t="s">
        <v>1687</v>
      </c>
      <c r="B10501" t="s">
        <v>2151</v>
      </c>
      <c r="C10501">
        <v>2</v>
      </c>
      <c r="D10501">
        <v>36</v>
      </c>
      <c r="E10501">
        <f>IF(OR(B10501="vi",B10501="ii",B10501="pod"),(((D10501/100)*(C10501*VLOOKUP(B10501,'Poids des runes'!A:B,2,FALSE)))+1),(((D10501/100)*(C10501*VLOOKUP(B10501,'Poids des runes'!A:B,2,FALSE)))+1)/VLOOKUP(B10501,'Poids des runes'!A:B,2,FALSE))</f>
        <v>0.82</v>
      </c>
      <c r="F10501">
        <f t="shared" si="164"/>
        <v>0.82</v>
      </c>
    </row>
    <row r="10502" spans="1:6" x14ac:dyDescent="0.3">
      <c r="A10502" t="s">
        <v>1687</v>
      </c>
      <c r="B10502" t="s">
        <v>2134</v>
      </c>
      <c r="C10502">
        <v>2</v>
      </c>
      <c r="D10502">
        <v>36</v>
      </c>
      <c r="E10502">
        <f>IF(OR(B10502="vi",B10502="ii",B10502="pod"),(((D10502/100)*(C10502*VLOOKUP(B10502,'Poids des runes'!A:B,2,FALSE)))+1),(((D10502/100)*(C10502*VLOOKUP(B10502,'Poids des runes'!A:B,2,FALSE)))+1)/VLOOKUP(B10502,'Poids des runes'!A:B,2,FALSE))</f>
        <v>0.76999999999999991</v>
      </c>
      <c r="F10502">
        <f t="shared" si="164"/>
        <v>0.76999999999999991</v>
      </c>
    </row>
    <row r="10503" spans="1:6" x14ac:dyDescent="0.3">
      <c r="A10503" t="s">
        <v>1687</v>
      </c>
      <c r="B10503" t="s">
        <v>2138</v>
      </c>
      <c r="C10503">
        <v>3.5</v>
      </c>
      <c r="D10503">
        <v>36</v>
      </c>
      <c r="E10503">
        <f>IF(OR(B10503="vi",B10503="ii",B10503="pod"),(((D10503/100)*(C10503*VLOOKUP(B10503,'Poids des runes'!A:B,2,FALSE)))+1),(((D10503/100)*(C10503*VLOOKUP(B10503,'Poids des runes'!A:B,2,FALSE)))+1)/VLOOKUP(B10503,'Poids des runes'!A:B,2,FALSE))</f>
        <v>1.51</v>
      </c>
      <c r="F10503">
        <f t="shared" si="164"/>
        <v>1.51</v>
      </c>
    </row>
    <row r="10504" spans="1:6" x14ac:dyDescent="0.3">
      <c r="A10504" t="s">
        <v>1688</v>
      </c>
      <c r="B10504" t="s">
        <v>2128</v>
      </c>
      <c r="C10504">
        <v>25.5</v>
      </c>
      <c r="D10504">
        <v>36</v>
      </c>
      <c r="E10504">
        <f>IF(OR(B10504="vi",B10504="ii",B10504="pod"),(((D10504/100)*(C10504*VLOOKUP(B10504,'Poids des runes'!A:B,2,FALSE)))+1),(((D10504/100)*(C10504*VLOOKUP(B10504,'Poids des runes'!A:B,2,FALSE)))+1)/VLOOKUP(B10504,'Poids des runes'!A:B,2,FALSE))</f>
        <v>2.8360000000000003</v>
      </c>
      <c r="F10504">
        <f t="shared" si="164"/>
        <v>2.8360000000000003</v>
      </c>
    </row>
    <row r="10505" spans="1:6" x14ac:dyDescent="0.3">
      <c r="A10505" t="s">
        <v>1688</v>
      </c>
      <c r="B10505" t="s">
        <v>2126</v>
      </c>
      <c r="C10505">
        <v>18</v>
      </c>
      <c r="D10505">
        <v>36</v>
      </c>
      <c r="E10505">
        <f>IF(OR(B10505="vi",B10505="ii",B10505="pod"),(((D10505/100)*(C10505*VLOOKUP(B10505,'Poids des runes'!A:B,2,FALSE)))+1),(((D10505/100)*(C10505*VLOOKUP(B10505,'Poids des runes'!A:B,2,FALSE)))+1)/VLOOKUP(B10505,'Poids des runes'!A:B,2,FALSE))</f>
        <v>7.4799999999999995</v>
      </c>
      <c r="F10505">
        <f t="shared" si="164"/>
        <v>7.4799999999999995</v>
      </c>
    </row>
    <row r="10506" spans="1:6" x14ac:dyDescent="0.3">
      <c r="A10506" t="s">
        <v>1688</v>
      </c>
      <c r="B10506" t="s">
        <v>2131</v>
      </c>
      <c r="C10506">
        <v>18</v>
      </c>
      <c r="D10506">
        <v>36</v>
      </c>
      <c r="E10506">
        <f>IF(OR(B10506="vi",B10506="ii",B10506="pod"),(((D10506/100)*(C10506*VLOOKUP(B10506,'Poids des runes'!A:B,2,FALSE)))+1),(((D10506/100)*(C10506*VLOOKUP(B10506,'Poids des runes'!A:B,2,FALSE)))+1)/VLOOKUP(B10506,'Poids des runes'!A:B,2,FALSE))</f>
        <v>7.4799999999999995</v>
      </c>
      <c r="F10506">
        <f t="shared" si="164"/>
        <v>7.4799999999999995</v>
      </c>
    </row>
    <row r="10507" spans="1:6" x14ac:dyDescent="0.3">
      <c r="A10507" t="s">
        <v>1688</v>
      </c>
      <c r="B10507" t="s">
        <v>2149</v>
      </c>
      <c r="C10507">
        <v>4.5</v>
      </c>
      <c r="D10507">
        <v>36</v>
      </c>
      <c r="E10507">
        <f>IF(OR(B10507="vi",B10507="ii",B10507="pod"),(((D10507/100)*(C10507*VLOOKUP(B10507,'Poids des runes'!A:B,2,FALSE)))+1),(((D10507/100)*(C10507*VLOOKUP(B10507,'Poids des runes'!A:B,2,FALSE)))+1)/VLOOKUP(B10507,'Poids des runes'!A:B,2,FALSE))</f>
        <v>1.72</v>
      </c>
      <c r="F10507">
        <f t="shared" si="164"/>
        <v>1.72</v>
      </c>
    </row>
    <row r="10508" spans="1:6" x14ac:dyDescent="0.3">
      <c r="A10508" t="s">
        <v>1688</v>
      </c>
      <c r="B10508" t="s">
        <v>2141</v>
      </c>
      <c r="C10508">
        <v>2.5</v>
      </c>
      <c r="D10508">
        <v>36</v>
      </c>
      <c r="E10508">
        <f>IF(OR(B10508="vi",B10508="ii",B10508="pod"),(((D10508/100)*(C10508*VLOOKUP(B10508,'Poids des runes'!A:B,2,FALSE)))+1),(((D10508/100)*(C10508*VLOOKUP(B10508,'Poids des runes'!A:B,2,FALSE)))+1)/VLOOKUP(B10508,'Poids des runes'!A:B,2,FALSE))</f>
        <v>1.1499999999999999</v>
      </c>
      <c r="F10508">
        <f t="shared" si="164"/>
        <v>1.1499999999999999</v>
      </c>
    </row>
    <row r="10509" spans="1:6" x14ac:dyDescent="0.3">
      <c r="A10509" t="s">
        <v>1689</v>
      </c>
      <c r="B10509" t="s">
        <v>2128</v>
      </c>
      <c r="C10509">
        <v>25.5</v>
      </c>
      <c r="D10509">
        <v>38</v>
      </c>
      <c r="E10509">
        <f>IF(OR(B10509="vi",B10509="ii",B10509="pod"),(((D10509/100)*(C10509*VLOOKUP(B10509,'Poids des runes'!A:B,2,FALSE)))+1),(((D10509/100)*(C10509*VLOOKUP(B10509,'Poids des runes'!A:B,2,FALSE)))+1)/VLOOKUP(B10509,'Poids des runes'!A:B,2,FALSE))</f>
        <v>2.9380000000000002</v>
      </c>
      <c r="F10509">
        <f t="shared" si="164"/>
        <v>2.9380000000000002</v>
      </c>
    </row>
    <row r="10510" spans="1:6" x14ac:dyDescent="0.3">
      <c r="A10510" t="s">
        <v>1689</v>
      </c>
      <c r="B10510" t="s">
        <v>2130</v>
      </c>
      <c r="C10510">
        <v>18</v>
      </c>
      <c r="D10510">
        <v>38</v>
      </c>
      <c r="E10510">
        <f>IF(OR(B10510="vi",B10510="ii",B10510="pod"),(((D10510/100)*(C10510*VLOOKUP(B10510,'Poids des runes'!A:B,2,FALSE)))+1),(((D10510/100)*(C10510*VLOOKUP(B10510,'Poids des runes'!A:B,2,FALSE)))+1)/VLOOKUP(B10510,'Poids des runes'!A:B,2,FALSE))</f>
        <v>7.84</v>
      </c>
      <c r="F10510">
        <f t="shared" si="164"/>
        <v>7.84</v>
      </c>
    </row>
    <row r="10511" spans="1:6" x14ac:dyDescent="0.3">
      <c r="A10511" t="s">
        <v>1689</v>
      </c>
      <c r="B10511" t="s">
        <v>2127</v>
      </c>
      <c r="C10511">
        <v>18</v>
      </c>
      <c r="D10511">
        <v>38</v>
      </c>
      <c r="E10511">
        <f>IF(OR(B10511="vi",B10511="ii",B10511="pod"),(((D10511/100)*(C10511*VLOOKUP(B10511,'Poids des runes'!A:B,2,FALSE)))+1),(((D10511/100)*(C10511*VLOOKUP(B10511,'Poids des runes'!A:B,2,FALSE)))+1)/VLOOKUP(B10511,'Poids des runes'!A:B,2,FALSE))</f>
        <v>7.84</v>
      </c>
      <c r="F10511">
        <f t="shared" si="164"/>
        <v>7.84</v>
      </c>
    </row>
    <row r="10512" spans="1:6" x14ac:dyDescent="0.3">
      <c r="A10512" t="s">
        <v>1689</v>
      </c>
      <c r="B10512" t="s">
        <v>2166</v>
      </c>
      <c r="C10512">
        <v>1</v>
      </c>
      <c r="D10512">
        <v>38</v>
      </c>
      <c r="E10512">
        <f>IF(OR(B10512="vi",B10512="ii",B10512="pod"),(((D10512/100)*(C10512*VLOOKUP(B10512,'Poids des runes'!A:B,2,FALSE)))+1),(((D10512/100)*(C10512*VLOOKUP(B10512,'Poids des runes'!A:B,2,FALSE)))+1)/VLOOKUP(B10512,'Poids des runes'!A:B,2,FALSE))</f>
        <v>0.71333333333333337</v>
      </c>
      <c r="F10512">
        <f t="shared" si="164"/>
        <v>0.71333333333333337</v>
      </c>
    </row>
    <row r="10513" spans="1:6" x14ac:dyDescent="0.3">
      <c r="A10513" t="s">
        <v>1690</v>
      </c>
      <c r="B10513" t="s">
        <v>2131</v>
      </c>
      <c r="C10513">
        <v>25.5</v>
      </c>
      <c r="D10513">
        <v>39</v>
      </c>
      <c r="E10513">
        <f>IF(OR(B10513="vi",B10513="ii",B10513="pod"),(((D10513/100)*(C10513*VLOOKUP(B10513,'Poids des runes'!A:B,2,FALSE)))+1),(((D10513/100)*(C10513*VLOOKUP(B10513,'Poids des runes'!A:B,2,FALSE)))+1)/VLOOKUP(B10513,'Poids des runes'!A:B,2,FALSE))</f>
        <v>10.945</v>
      </c>
      <c r="F10513">
        <f t="shared" si="164"/>
        <v>10.945</v>
      </c>
    </row>
    <row r="10514" spans="1:6" x14ac:dyDescent="0.3">
      <c r="A10514" t="s">
        <v>1690</v>
      </c>
      <c r="B10514" t="s">
        <v>2150</v>
      </c>
      <c r="C10514">
        <v>1</v>
      </c>
      <c r="D10514">
        <v>39</v>
      </c>
      <c r="E10514">
        <f>IF(OR(B10514="vi",B10514="ii",B10514="pod"),(((D10514/100)*(C10514*VLOOKUP(B10514,'Poids des runes'!A:B,2,FALSE)))+1),(((D10514/100)*(C10514*VLOOKUP(B10514,'Poids des runes'!A:B,2,FALSE)))+1)/VLOOKUP(B10514,'Poids des runes'!A:B,2,FALSE))</f>
        <v>0.42333333333333339</v>
      </c>
      <c r="F10514">
        <f t="shared" si="164"/>
        <v>0.42333333333333339</v>
      </c>
    </row>
    <row r="10515" spans="1:6" x14ac:dyDescent="0.3">
      <c r="A10515" t="s">
        <v>1690</v>
      </c>
      <c r="B10515" t="s">
        <v>2141</v>
      </c>
      <c r="C10515">
        <v>6</v>
      </c>
      <c r="D10515">
        <v>39</v>
      </c>
      <c r="E10515">
        <f>IF(OR(B10515="vi",B10515="ii",B10515="pod"),(((D10515/100)*(C10515*VLOOKUP(B10515,'Poids des runes'!A:B,2,FALSE)))+1),(((D10515/100)*(C10515*VLOOKUP(B10515,'Poids des runes'!A:B,2,FALSE)))+1)/VLOOKUP(B10515,'Poids des runes'!A:B,2,FALSE))</f>
        <v>2.59</v>
      </c>
      <c r="F10515">
        <f t="shared" si="164"/>
        <v>2.59</v>
      </c>
    </row>
    <row r="10516" spans="1:6" x14ac:dyDescent="0.3">
      <c r="A10516" t="s">
        <v>1691</v>
      </c>
      <c r="B10516" t="s">
        <v>2128</v>
      </c>
      <c r="C10516">
        <v>25.5</v>
      </c>
      <c r="D10516">
        <v>39</v>
      </c>
      <c r="E10516">
        <f>IF(OR(B10516="vi",B10516="ii",B10516="pod"),(((D10516/100)*(C10516*VLOOKUP(B10516,'Poids des runes'!A:B,2,FALSE)))+1),(((D10516/100)*(C10516*VLOOKUP(B10516,'Poids des runes'!A:B,2,FALSE)))+1)/VLOOKUP(B10516,'Poids des runes'!A:B,2,FALSE))</f>
        <v>2.9890000000000003</v>
      </c>
      <c r="F10516">
        <f t="shared" si="164"/>
        <v>2.9890000000000003</v>
      </c>
    </row>
    <row r="10517" spans="1:6" x14ac:dyDescent="0.3">
      <c r="A10517" t="s">
        <v>1691</v>
      </c>
      <c r="B10517" t="s">
        <v>2126</v>
      </c>
      <c r="C10517">
        <v>25.5</v>
      </c>
      <c r="D10517">
        <v>39</v>
      </c>
      <c r="E10517">
        <f>IF(OR(B10517="vi",B10517="ii",B10517="pod"),(((D10517/100)*(C10517*VLOOKUP(B10517,'Poids des runes'!A:B,2,FALSE)))+1),(((D10517/100)*(C10517*VLOOKUP(B10517,'Poids des runes'!A:B,2,FALSE)))+1)/VLOOKUP(B10517,'Poids des runes'!A:B,2,FALSE))</f>
        <v>10.945</v>
      </c>
      <c r="F10517">
        <f t="shared" si="164"/>
        <v>10.945</v>
      </c>
    </row>
    <row r="10518" spans="1:6" x14ac:dyDescent="0.3">
      <c r="A10518" t="s">
        <v>1691</v>
      </c>
      <c r="B10518" t="s">
        <v>2129</v>
      </c>
      <c r="C10518">
        <v>13</v>
      </c>
      <c r="D10518">
        <v>39</v>
      </c>
      <c r="E10518">
        <f>IF(OR(B10518="vi",B10518="ii",B10518="pod"),(((D10518/100)*(C10518*VLOOKUP(B10518,'Poids des runes'!A:B,2,FALSE)))+1),(((D10518/100)*(C10518*VLOOKUP(B10518,'Poids des runes'!A:B,2,FALSE)))+1)/VLOOKUP(B10518,'Poids des runes'!A:B,2,FALSE))</f>
        <v>6.07</v>
      </c>
      <c r="F10518">
        <f t="shared" si="164"/>
        <v>6.07</v>
      </c>
    </row>
    <row r="10519" spans="1:6" x14ac:dyDescent="0.3">
      <c r="A10519" t="s">
        <v>1691</v>
      </c>
      <c r="B10519" t="s">
        <v>2142</v>
      </c>
      <c r="C10519">
        <v>8.5</v>
      </c>
      <c r="D10519">
        <v>39</v>
      </c>
      <c r="E10519">
        <f>IF(OR(B10519="vi",B10519="ii",B10519="pod"),(((D10519/100)*(C10519*VLOOKUP(B10519,'Poids des runes'!A:B,2,FALSE)))+1),(((D10519/100)*(C10519*VLOOKUP(B10519,'Poids des runes'!A:B,2,FALSE)))+1)/VLOOKUP(B10519,'Poids des runes'!A:B,2,FALSE))</f>
        <v>3.5149999999999997</v>
      </c>
      <c r="F10519">
        <f t="shared" si="164"/>
        <v>3.5149999999999997</v>
      </c>
    </row>
    <row r="10520" spans="1:6" x14ac:dyDescent="0.3">
      <c r="A10520" t="s">
        <v>1692</v>
      </c>
      <c r="B10520" t="s">
        <v>2128</v>
      </c>
      <c r="C10520">
        <v>25.5</v>
      </c>
      <c r="D10520">
        <v>39</v>
      </c>
      <c r="E10520">
        <f>IF(OR(B10520="vi",B10520="ii",B10520="pod"),(((D10520/100)*(C10520*VLOOKUP(B10520,'Poids des runes'!A:B,2,FALSE)))+1),(((D10520/100)*(C10520*VLOOKUP(B10520,'Poids des runes'!A:B,2,FALSE)))+1)/VLOOKUP(B10520,'Poids des runes'!A:B,2,FALSE))</f>
        <v>2.9890000000000003</v>
      </c>
      <c r="F10520">
        <f t="shared" si="164"/>
        <v>2.9890000000000003</v>
      </c>
    </row>
    <row r="10521" spans="1:6" x14ac:dyDescent="0.3">
      <c r="A10521" t="s">
        <v>1692</v>
      </c>
      <c r="B10521" t="s">
        <v>2150</v>
      </c>
      <c r="C10521">
        <v>1</v>
      </c>
      <c r="D10521">
        <v>39</v>
      </c>
      <c r="E10521">
        <f>IF(OR(B10521="vi",B10521="ii",B10521="pod"),(((D10521/100)*(C10521*VLOOKUP(B10521,'Poids des runes'!A:B,2,FALSE)))+1),(((D10521/100)*(C10521*VLOOKUP(B10521,'Poids des runes'!A:B,2,FALSE)))+1)/VLOOKUP(B10521,'Poids des runes'!A:B,2,FALSE))</f>
        <v>0.42333333333333339</v>
      </c>
      <c r="F10521">
        <f t="shared" si="164"/>
        <v>0.42333333333333339</v>
      </c>
    </row>
    <row r="10522" spans="1:6" x14ac:dyDescent="0.3">
      <c r="A10522" t="s">
        <v>1692</v>
      </c>
      <c r="B10522" t="s">
        <v>2138</v>
      </c>
      <c r="C10522">
        <v>4</v>
      </c>
      <c r="D10522">
        <v>39</v>
      </c>
      <c r="E10522">
        <f>IF(OR(B10522="vi",B10522="ii",B10522="pod"),(((D10522/100)*(C10522*VLOOKUP(B10522,'Poids des runes'!A:B,2,FALSE)))+1),(((D10522/100)*(C10522*VLOOKUP(B10522,'Poids des runes'!A:B,2,FALSE)))+1)/VLOOKUP(B10522,'Poids des runes'!A:B,2,FALSE))</f>
        <v>1.81</v>
      </c>
      <c r="F10522">
        <f t="shared" si="164"/>
        <v>1.81</v>
      </c>
    </row>
    <row r="10523" spans="1:6" x14ac:dyDescent="0.3">
      <c r="A10523" t="s">
        <v>1693</v>
      </c>
      <c r="B10523" t="s">
        <v>2128</v>
      </c>
      <c r="C10523">
        <v>15.5</v>
      </c>
      <c r="D10523">
        <v>39</v>
      </c>
      <c r="E10523">
        <f>IF(OR(B10523="vi",B10523="ii",B10523="pod"),(((D10523/100)*(C10523*VLOOKUP(B10523,'Poids des runes'!A:B,2,FALSE)))+1),(((D10523/100)*(C10523*VLOOKUP(B10523,'Poids des runes'!A:B,2,FALSE)))+1)/VLOOKUP(B10523,'Poids des runes'!A:B,2,FALSE))</f>
        <v>2.2090000000000001</v>
      </c>
      <c r="F10523">
        <f t="shared" si="164"/>
        <v>2.2090000000000001</v>
      </c>
    </row>
    <row r="10524" spans="1:6" x14ac:dyDescent="0.3">
      <c r="A10524" t="s">
        <v>1693</v>
      </c>
      <c r="B10524" t="s">
        <v>2127</v>
      </c>
      <c r="C10524">
        <v>13</v>
      </c>
      <c r="D10524">
        <v>39</v>
      </c>
      <c r="E10524">
        <f>IF(OR(B10524="vi",B10524="ii",B10524="pod"),(((D10524/100)*(C10524*VLOOKUP(B10524,'Poids des runes'!A:B,2,FALSE)))+1),(((D10524/100)*(C10524*VLOOKUP(B10524,'Poids des runes'!A:B,2,FALSE)))+1)/VLOOKUP(B10524,'Poids des runes'!A:B,2,FALSE))</f>
        <v>6.07</v>
      </c>
      <c r="F10524">
        <f t="shared" si="164"/>
        <v>6.07</v>
      </c>
    </row>
    <row r="10525" spans="1:6" x14ac:dyDescent="0.3">
      <c r="A10525" t="s">
        <v>1693</v>
      </c>
      <c r="B10525" t="s">
        <v>2166</v>
      </c>
      <c r="C10525">
        <v>1</v>
      </c>
      <c r="D10525">
        <v>39</v>
      </c>
      <c r="E10525">
        <f>IF(OR(B10525="vi",B10525="ii",B10525="pod"),(((D10525/100)*(C10525*VLOOKUP(B10525,'Poids des runes'!A:B,2,FALSE)))+1),(((D10525/100)*(C10525*VLOOKUP(B10525,'Poids des runes'!A:B,2,FALSE)))+1)/VLOOKUP(B10525,'Poids des runes'!A:B,2,FALSE))</f>
        <v>0.72333333333333327</v>
      </c>
      <c r="F10525">
        <f t="shared" si="164"/>
        <v>0.72333333333333327</v>
      </c>
    </row>
    <row r="10526" spans="1:6" x14ac:dyDescent="0.3">
      <c r="A10526" t="s">
        <v>1694</v>
      </c>
      <c r="B10526" t="s">
        <v>2128</v>
      </c>
      <c r="C10526">
        <v>45.5</v>
      </c>
      <c r="D10526">
        <v>40</v>
      </c>
      <c r="E10526">
        <f>IF(OR(B10526="vi",B10526="ii",B10526="pod"),(((D10526/100)*(C10526*VLOOKUP(B10526,'Poids des runes'!A:B,2,FALSE)))+1),(((D10526/100)*(C10526*VLOOKUP(B10526,'Poids des runes'!A:B,2,FALSE)))+1)/VLOOKUP(B10526,'Poids des runes'!A:B,2,FALSE))</f>
        <v>4.6400000000000006</v>
      </c>
      <c r="F10526">
        <f t="shared" si="164"/>
        <v>4.6400000000000006</v>
      </c>
    </row>
    <row r="10527" spans="1:6" x14ac:dyDescent="0.3">
      <c r="A10527" t="s">
        <v>1694</v>
      </c>
      <c r="B10527" t="s">
        <v>2127</v>
      </c>
      <c r="C10527">
        <v>45.5</v>
      </c>
      <c r="D10527">
        <v>40</v>
      </c>
      <c r="E10527">
        <f>IF(OR(B10527="vi",B10527="ii",B10527="pod"),(((D10527/100)*(C10527*VLOOKUP(B10527,'Poids des runes'!A:B,2,FALSE)))+1),(((D10527/100)*(C10527*VLOOKUP(B10527,'Poids des runes'!A:B,2,FALSE)))+1)/VLOOKUP(B10527,'Poids des runes'!A:B,2,FALSE))</f>
        <v>19.2</v>
      </c>
      <c r="F10527">
        <f t="shared" si="164"/>
        <v>19.2</v>
      </c>
    </row>
    <row r="10528" spans="1:6" x14ac:dyDescent="0.3">
      <c r="A10528" t="s">
        <v>1694</v>
      </c>
      <c r="B10528" t="s">
        <v>2138</v>
      </c>
      <c r="C10528">
        <v>4.5</v>
      </c>
      <c r="D10528">
        <v>40</v>
      </c>
      <c r="E10528">
        <f>IF(OR(B10528="vi",B10528="ii",B10528="pod"),(((D10528/100)*(C10528*VLOOKUP(B10528,'Poids des runes'!A:B,2,FALSE)))+1),(((D10528/100)*(C10528*VLOOKUP(B10528,'Poids des runes'!A:B,2,FALSE)))+1)/VLOOKUP(B10528,'Poids des runes'!A:B,2,FALSE))</f>
        <v>2.0499999999999998</v>
      </c>
      <c r="F10528">
        <f t="shared" si="164"/>
        <v>2.0499999999999998</v>
      </c>
    </row>
    <row r="10529" spans="1:6" x14ac:dyDescent="0.3">
      <c r="A10529" t="s">
        <v>1695</v>
      </c>
      <c r="B10529" t="s">
        <v>2128</v>
      </c>
      <c r="C10529">
        <v>35.5</v>
      </c>
      <c r="D10529">
        <v>40</v>
      </c>
      <c r="E10529">
        <f>IF(OR(B10529="vi",B10529="ii",B10529="pod"),(((D10529/100)*(C10529*VLOOKUP(B10529,'Poids des runes'!A:B,2,FALSE)))+1),(((D10529/100)*(C10529*VLOOKUP(B10529,'Poids des runes'!A:B,2,FALSE)))+1)/VLOOKUP(B10529,'Poids des runes'!A:B,2,FALSE))</f>
        <v>3.8400000000000003</v>
      </c>
      <c r="F10529">
        <f t="shared" si="164"/>
        <v>3.8400000000000003</v>
      </c>
    </row>
    <row r="10530" spans="1:6" x14ac:dyDescent="0.3">
      <c r="A10530" t="s">
        <v>1695</v>
      </c>
      <c r="B10530" t="s">
        <v>2131</v>
      </c>
      <c r="C10530">
        <v>35.5</v>
      </c>
      <c r="D10530">
        <v>40</v>
      </c>
      <c r="E10530">
        <f>IF(OR(B10530="vi",B10530="ii",B10530="pod"),(((D10530/100)*(C10530*VLOOKUP(B10530,'Poids des runes'!A:B,2,FALSE)))+1),(((D10530/100)*(C10530*VLOOKUP(B10530,'Poids des runes'!A:B,2,FALSE)))+1)/VLOOKUP(B10530,'Poids des runes'!A:B,2,FALSE))</f>
        <v>15.200000000000001</v>
      </c>
      <c r="F10530">
        <f t="shared" si="164"/>
        <v>15.200000000000001</v>
      </c>
    </row>
    <row r="10531" spans="1:6" x14ac:dyDescent="0.3">
      <c r="A10531" t="s">
        <v>1695</v>
      </c>
      <c r="B10531" t="s">
        <v>2166</v>
      </c>
      <c r="C10531">
        <v>1</v>
      </c>
      <c r="D10531">
        <v>40</v>
      </c>
      <c r="E10531">
        <f>IF(OR(B10531="vi",B10531="ii",B10531="pod"),(((D10531/100)*(C10531*VLOOKUP(B10531,'Poids des runes'!A:B,2,FALSE)))+1),(((D10531/100)*(C10531*VLOOKUP(B10531,'Poids des runes'!A:B,2,FALSE)))+1)/VLOOKUP(B10531,'Poids des runes'!A:B,2,FALSE))</f>
        <v>0.73333333333333339</v>
      </c>
      <c r="F10531">
        <f t="shared" si="164"/>
        <v>0.73333333333333339</v>
      </c>
    </row>
    <row r="10532" spans="1:6" x14ac:dyDescent="0.3">
      <c r="A10532" t="s">
        <v>1696</v>
      </c>
      <c r="B10532" t="s">
        <v>2128</v>
      </c>
      <c r="C10532">
        <v>35.5</v>
      </c>
      <c r="D10532">
        <v>40</v>
      </c>
      <c r="E10532">
        <f>IF(OR(B10532="vi",B10532="ii",B10532="pod"),(((D10532/100)*(C10532*VLOOKUP(B10532,'Poids des runes'!A:B,2,FALSE)))+1),(((D10532/100)*(C10532*VLOOKUP(B10532,'Poids des runes'!A:B,2,FALSE)))+1)/VLOOKUP(B10532,'Poids des runes'!A:B,2,FALSE))</f>
        <v>3.8400000000000003</v>
      </c>
      <c r="F10532">
        <f t="shared" si="164"/>
        <v>3.8400000000000003</v>
      </c>
    </row>
    <row r="10533" spans="1:6" x14ac:dyDescent="0.3">
      <c r="A10533" t="s">
        <v>1696</v>
      </c>
      <c r="B10533" t="s">
        <v>2127</v>
      </c>
      <c r="C10533">
        <v>35.5</v>
      </c>
      <c r="D10533">
        <v>40</v>
      </c>
      <c r="E10533">
        <f>IF(OR(B10533="vi",B10533="ii",B10533="pod"),(((D10533/100)*(C10533*VLOOKUP(B10533,'Poids des runes'!A:B,2,FALSE)))+1),(((D10533/100)*(C10533*VLOOKUP(B10533,'Poids des runes'!A:B,2,FALSE)))+1)/VLOOKUP(B10533,'Poids des runes'!A:B,2,FALSE))</f>
        <v>15.200000000000001</v>
      </c>
      <c r="F10533">
        <f t="shared" si="164"/>
        <v>15.200000000000001</v>
      </c>
    </row>
    <row r="10534" spans="1:6" x14ac:dyDescent="0.3">
      <c r="A10534" t="s">
        <v>1696</v>
      </c>
      <c r="B10534" t="s">
        <v>2153</v>
      </c>
      <c r="C10534">
        <v>4.5</v>
      </c>
      <c r="D10534">
        <v>40</v>
      </c>
      <c r="E10534">
        <f>IF(OR(B10534="vi",B10534="ii",B10534="pod"),(((D10534/100)*(C10534*VLOOKUP(B10534,'Poids des runes'!A:B,2,FALSE)))+1),(((D10534/100)*(C10534*VLOOKUP(B10534,'Poids des runes'!A:B,2,FALSE)))+1)/VLOOKUP(B10534,'Poids des runes'!A:B,2,FALSE))</f>
        <v>2</v>
      </c>
      <c r="F10534">
        <f t="shared" si="164"/>
        <v>2</v>
      </c>
    </row>
    <row r="10535" spans="1:6" x14ac:dyDescent="0.3">
      <c r="A10535" t="s">
        <v>1696</v>
      </c>
      <c r="B10535" t="s">
        <v>2141</v>
      </c>
      <c r="C10535">
        <v>4.5</v>
      </c>
      <c r="D10535">
        <v>40</v>
      </c>
      <c r="E10535">
        <f>IF(OR(B10535="vi",B10535="ii",B10535="pod"),(((D10535/100)*(C10535*VLOOKUP(B10535,'Poids des runes'!A:B,2,FALSE)))+1),(((D10535/100)*(C10535*VLOOKUP(B10535,'Poids des runes'!A:B,2,FALSE)))+1)/VLOOKUP(B10535,'Poids des runes'!A:B,2,FALSE))</f>
        <v>2.0499999999999998</v>
      </c>
      <c r="F10535">
        <f t="shared" si="164"/>
        <v>2.0499999999999998</v>
      </c>
    </row>
    <row r="10536" spans="1:6" x14ac:dyDescent="0.3">
      <c r="A10536" t="s">
        <v>1697</v>
      </c>
      <c r="B10536" t="s">
        <v>2127</v>
      </c>
      <c r="C10536">
        <v>25.5</v>
      </c>
      <c r="D10536">
        <v>40</v>
      </c>
      <c r="E10536">
        <f>IF(OR(B10536="vi",B10536="ii",B10536="pod"),(((D10536/100)*(C10536*VLOOKUP(B10536,'Poids des runes'!A:B,2,FALSE)))+1),(((D10536/100)*(C10536*VLOOKUP(B10536,'Poids des runes'!A:B,2,FALSE)))+1)/VLOOKUP(B10536,'Poids des runes'!A:B,2,FALSE))</f>
        <v>11.200000000000001</v>
      </c>
      <c r="F10536">
        <f t="shared" si="164"/>
        <v>11.200000000000001</v>
      </c>
    </row>
    <row r="10537" spans="1:6" x14ac:dyDescent="0.3">
      <c r="A10537" t="s">
        <v>1697</v>
      </c>
      <c r="B10537" t="s">
        <v>2151</v>
      </c>
      <c r="C10537">
        <v>2</v>
      </c>
      <c r="D10537">
        <v>40</v>
      </c>
      <c r="E10537">
        <f>IF(OR(B10537="vi",B10537="ii",B10537="pod"),(((D10537/100)*(C10537*VLOOKUP(B10537,'Poids des runes'!A:B,2,FALSE)))+1),(((D10537/100)*(C10537*VLOOKUP(B10537,'Poids des runes'!A:B,2,FALSE)))+1)/VLOOKUP(B10537,'Poids des runes'!A:B,2,FALSE))</f>
        <v>0.9</v>
      </c>
      <c r="F10537">
        <f t="shared" si="164"/>
        <v>0.9</v>
      </c>
    </row>
    <row r="10538" spans="1:6" x14ac:dyDescent="0.3">
      <c r="A10538" t="s">
        <v>1697</v>
      </c>
      <c r="B10538" t="s">
        <v>2149</v>
      </c>
      <c r="C10538">
        <v>5</v>
      </c>
      <c r="D10538">
        <v>40</v>
      </c>
      <c r="E10538">
        <f>IF(OR(B10538="vi",B10538="ii",B10538="pod"),(((D10538/100)*(C10538*VLOOKUP(B10538,'Poids des runes'!A:B,2,FALSE)))+1),(((D10538/100)*(C10538*VLOOKUP(B10538,'Poids des runes'!A:B,2,FALSE)))+1)/VLOOKUP(B10538,'Poids des runes'!A:B,2,FALSE))</f>
        <v>2.1</v>
      </c>
      <c r="F10538">
        <f t="shared" si="164"/>
        <v>2.1</v>
      </c>
    </row>
    <row r="10539" spans="1:6" x14ac:dyDescent="0.3">
      <c r="A10539" t="s">
        <v>1698</v>
      </c>
      <c r="B10539" t="s">
        <v>2128</v>
      </c>
      <c r="C10539">
        <v>50.5</v>
      </c>
      <c r="D10539">
        <v>40</v>
      </c>
      <c r="E10539">
        <f>IF(OR(B10539="vi",B10539="ii",B10539="pod"),(((D10539/100)*(C10539*VLOOKUP(B10539,'Poids des runes'!A:B,2,FALSE)))+1),(((D10539/100)*(C10539*VLOOKUP(B10539,'Poids des runes'!A:B,2,FALSE)))+1)/VLOOKUP(B10539,'Poids des runes'!A:B,2,FALSE))</f>
        <v>5.0400000000000009</v>
      </c>
      <c r="F10539">
        <f t="shared" si="164"/>
        <v>5.0400000000000009</v>
      </c>
    </row>
    <row r="10540" spans="1:6" x14ac:dyDescent="0.3">
      <c r="A10540" t="s">
        <v>1698</v>
      </c>
      <c r="B10540" t="s">
        <v>2130</v>
      </c>
      <c r="C10540">
        <v>25.5</v>
      </c>
      <c r="D10540">
        <v>40</v>
      </c>
      <c r="E10540">
        <f>IF(OR(B10540="vi",B10540="ii",B10540="pod"),(((D10540/100)*(C10540*VLOOKUP(B10540,'Poids des runes'!A:B,2,FALSE)))+1),(((D10540/100)*(C10540*VLOOKUP(B10540,'Poids des runes'!A:B,2,FALSE)))+1)/VLOOKUP(B10540,'Poids des runes'!A:B,2,FALSE))</f>
        <v>11.200000000000001</v>
      </c>
      <c r="F10540">
        <f t="shared" si="164"/>
        <v>11.200000000000001</v>
      </c>
    </row>
    <row r="10541" spans="1:6" x14ac:dyDescent="0.3">
      <c r="A10541" t="s">
        <v>1698</v>
      </c>
      <c r="B10541" t="s">
        <v>2129</v>
      </c>
      <c r="C10541">
        <v>18</v>
      </c>
      <c r="D10541">
        <v>40</v>
      </c>
      <c r="E10541">
        <f>IF(OR(B10541="vi",B10541="ii",B10541="pod"),(((D10541/100)*(C10541*VLOOKUP(B10541,'Poids des runes'!A:B,2,FALSE)))+1),(((D10541/100)*(C10541*VLOOKUP(B10541,'Poids des runes'!A:B,2,FALSE)))+1)/VLOOKUP(B10541,'Poids des runes'!A:B,2,FALSE))</f>
        <v>8.1999999999999993</v>
      </c>
      <c r="F10541">
        <f t="shared" si="164"/>
        <v>8.1999999999999993</v>
      </c>
    </row>
    <row r="10542" spans="1:6" x14ac:dyDescent="0.3">
      <c r="A10542" t="s">
        <v>1698</v>
      </c>
      <c r="B10542" t="s">
        <v>2139</v>
      </c>
      <c r="C10542">
        <v>8.5</v>
      </c>
      <c r="D10542">
        <v>40</v>
      </c>
      <c r="E10542">
        <f>IF(OR(B10542="vi",B10542="ii",B10542="pod"),(((D10542/100)*(C10542*VLOOKUP(B10542,'Poids des runes'!A:B,2,FALSE)))+1),(((D10542/100)*(C10542*VLOOKUP(B10542,'Poids des runes'!A:B,2,FALSE)))+1)/VLOOKUP(B10542,'Poids des runes'!A:B,2,FALSE))</f>
        <v>3.9000000000000004</v>
      </c>
      <c r="F10542">
        <f t="shared" si="164"/>
        <v>3.9000000000000004</v>
      </c>
    </row>
    <row r="10543" spans="1:6" x14ac:dyDescent="0.3">
      <c r="A10543" t="s">
        <v>1698</v>
      </c>
      <c r="B10543" t="s">
        <v>2138</v>
      </c>
      <c r="C10543">
        <v>2.5</v>
      </c>
      <c r="D10543">
        <v>40</v>
      </c>
      <c r="E10543">
        <f>IF(OR(B10543="vi",B10543="ii",B10543="pod"),(((D10543/100)*(C10543*VLOOKUP(B10543,'Poids des runes'!A:B,2,FALSE)))+1),(((D10543/100)*(C10543*VLOOKUP(B10543,'Poids des runes'!A:B,2,FALSE)))+1)/VLOOKUP(B10543,'Poids des runes'!A:B,2,FALSE))</f>
        <v>1.25</v>
      </c>
      <c r="F10543">
        <f t="shared" si="164"/>
        <v>1.25</v>
      </c>
    </row>
    <row r="10544" spans="1:6" x14ac:dyDescent="0.3">
      <c r="A10544" t="s">
        <v>1699</v>
      </c>
      <c r="B10544" t="s">
        <v>2126</v>
      </c>
      <c r="C10544">
        <v>35.5</v>
      </c>
      <c r="D10544">
        <v>40</v>
      </c>
      <c r="E10544">
        <f>IF(OR(B10544="vi",B10544="ii",B10544="pod"),(((D10544/100)*(C10544*VLOOKUP(B10544,'Poids des runes'!A:B,2,FALSE)))+1),(((D10544/100)*(C10544*VLOOKUP(B10544,'Poids des runes'!A:B,2,FALSE)))+1)/VLOOKUP(B10544,'Poids des runes'!A:B,2,FALSE))</f>
        <v>15.200000000000001</v>
      </c>
      <c r="F10544">
        <f t="shared" si="164"/>
        <v>15.200000000000001</v>
      </c>
    </row>
    <row r="10545" spans="1:6" x14ac:dyDescent="0.3">
      <c r="A10545" t="s">
        <v>1699</v>
      </c>
      <c r="B10545" t="s">
        <v>2140</v>
      </c>
      <c r="C10545">
        <v>2.5</v>
      </c>
      <c r="D10545">
        <v>40</v>
      </c>
      <c r="E10545">
        <f>IF(OR(B10545="vi",B10545="ii",B10545="pod"),(((D10545/100)*(C10545*VLOOKUP(B10545,'Poids des runes'!A:B,2,FALSE)))+1),(((D10545/100)*(C10545*VLOOKUP(B10545,'Poids des runes'!A:B,2,FALSE)))+1)/VLOOKUP(B10545,'Poids des runes'!A:B,2,FALSE))</f>
        <v>1.2</v>
      </c>
      <c r="F10545">
        <f t="shared" si="164"/>
        <v>1.2</v>
      </c>
    </row>
    <row r="10546" spans="1:6" x14ac:dyDescent="0.3">
      <c r="A10546" t="s">
        <v>1699</v>
      </c>
      <c r="B10546" t="s">
        <v>2136</v>
      </c>
      <c r="C10546">
        <v>7</v>
      </c>
      <c r="D10546">
        <v>40</v>
      </c>
      <c r="E10546">
        <f>IF(OR(B10546="vi",B10546="ii",B10546="pod"),(((D10546/100)*(C10546*VLOOKUP(B10546,'Poids des runes'!A:B,2,FALSE)))+1),(((D10546/100)*(C10546*VLOOKUP(B10546,'Poids des runes'!A:B,2,FALSE)))+1)/VLOOKUP(B10546,'Poids des runes'!A:B,2,FALSE))</f>
        <v>3.3000000000000003</v>
      </c>
      <c r="F10546">
        <f t="shared" si="164"/>
        <v>3.3000000000000003</v>
      </c>
    </row>
    <row r="10547" spans="1:6" x14ac:dyDescent="0.3">
      <c r="A10547" t="s">
        <v>1699</v>
      </c>
      <c r="B10547" t="s">
        <v>2137</v>
      </c>
      <c r="C10547">
        <v>7</v>
      </c>
      <c r="D10547">
        <v>40</v>
      </c>
      <c r="E10547">
        <f>IF(OR(B10547="vi",B10547="ii",B10547="pod"),(((D10547/100)*(C10547*VLOOKUP(B10547,'Poids des runes'!A:B,2,FALSE)))+1),(((D10547/100)*(C10547*VLOOKUP(B10547,'Poids des runes'!A:B,2,FALSE)))+1)/VLOOKUP(B10547,'Poids des runes'!A:B,2,FALSE))</f>
        <v>3.3000000000000003</v>
      </c>
      <c r="F10547">
        <f t="shared" si="164"/>
        <v>3.3000000000000003</v>
      </c>
    </row>
    <row r="10548" spans="1:6" x14ac:dyDescent="0.3">
      <c r="A10548" t="s">
        <v>1700</v>
      </c>
      <c r="B10548" t="s">
        <v>2130</v>
      </c>
      <c r="C10548">
        <v>18</v>
      </c>
      <c r="D10548">
        <v>40</v>
      </c>
      <c r="E10548">
        <f>IF(OR(B10548="vi",B10548="ii",B10548="pod"),(((D10548/100)*(C10548*VLOOKUP(B10548,'Poids des runes'!A:B,2,FALSE)))+1),(((D10548/100)*(C10548*VLOOKUP(B10548,'Poids des runes'!A:B,2,FALSE)))+1)/VLOOKUP(B10548,'Poids des runes'!A:B,2,FALSE))</f>
        <v>8.1999999999999993</v>
      </c>
      <c r="F10548">
        <f t="shared" si="164"/>
        <v>8.1999999999999993</v>
      </c>
    </row>
    <row r="10549" spans="1:6" x14ac:dyDescent="0.3">
      <c r="A10549" t="s">
        <v>1700</v>
      </c>
      <c r="B10549" t="s">
        <v>2131</v>
      </c>
      <c r="C10549">
        <v>18</v>
      </c>
      <c r="D10549">
        <v>40</v>
      </c>
      <c r="E10549">
        <f>IF(OR(B10549="vi",B10549="ii",B10549="pod"),(((D10549/100)*(C10549*VLOOKUP(B10549,'Poids des runes'!A:B,2,FALSE)))+1),(((D10549/100)*(C10549*VLOOKUP(B10549,'Poids des runes'!A:B,2,FALSE)))+1)/VLOOKUP(B10549,'Poids des runes'!A:B,2,FALSE))</f>
        <v>8.1999999999999993</v>
      </c>
      <c r="F10549">
        <f t="shared" si="164"/>
        <v>8.1999999999999993</v>
      </c>
    </row>
    <row r="10550" spans="1:6" x14ac:dyDescent="0.3">
      <c r="A10550" t="s">
        <v>1700</v>
      </c>
      <c r="B10550" t="s">
        <v>2156</v>
      </c>
      <c r="C10550">
        <v>2</v>
      </c>
      <c r="D10550">
        <v>40</v>
      </c>
      <c r="E10550">
        <f>IF(OR(B10550="vi",B10550="ii",B10550="pod"),(((D10550/100)*(C10550*VLOOKUP(B10550,'Poids des runes'!A:B,2,FALSE)))+1),(((D10550/100)*(C10550*VLOOKUP(B10550,'Poids des runes'!A:B,2,FALSE)))+1)/VLOOKUP(B10550,'Poids des runes'!A:B,2,FALSE))</f>
        <v>0.96666666666666679</v>
      </c>
      <c r="F10550">
        <f t="shared" si="164"/>
        <v>0.96666666666666679</v>
      </c>
    </row>
    <row r="10551" spans="1:6" x14ac:dyDescent="0.3">
      <c r="A10551" t="s">
        <v>1700</v>
      </c>
      <c r="B10551" t="s">
        <v>2148</v>
      </c>
      <c r="C10551">
        <v>2</v>
      </c>
      <c r="D10551">
        <v>40</v>
      </c>
      <c r="E10551">
        <f>IF(OR(B10551="vi",B10551="ii",B10551="pod"),(((D10551/100)*(C10551*VLOOKUP(B10551,'Poids des runes'!A:B,2,FALSE)))+1),(((D10551/100)*(C10551*VLOOKUP(B10551,'Poids des runes'!A:B,2,FALSE)))+1)/VLOOKUP(B10551,'Poids des runes'!A:B,2,FALSE))</f>
        <v>0.96666666666666679</v>
      </c>
      <c r="F10551">
        <f t="shared" si="164"/>
        <v>0.96666666666666679</v>
      </c>
    </row>
    <row r="10552" spans="1:6" x14ac:dyDescent="0.3">
      <c r="A10552" t="s">
        <v>1700</v>
      </c>
      <c r="B10552" t="s">
        <v>2135</v>
      </c>
      <c r="C10552">
        <v>2</v>
      </c>
      <c r="D10552">
        <v>40</v>
      </c>
      <c r="E10552">
        <f>IF(OR(B10552="vi",B10552="ii",B10552="pod"),(((D10552/100)*(C10552*VLOOKUP(B10552,'Poids des runes'!A:B,2,FALSE)))+1),(((D10552/100)*(C10552*VLOOKUP(B10552,'Poids des runes'!A:B,2,FALSE)))+1)/VLOOKUP(B10552,'Poids des runes'!A:B,2,FALSE))</f>
        <v>0.96666666666666679</v>
      </c>
      <c r="F10552">
        <f t="shared" si="164"/>
        <v>0.96666666666666679</v>
      </c>
    </row>
    <row r="10553" spans="1:6" x14ac:dyDescent="0.3">
      <c r="A10553" t="s">
        <v>1701</v>
      </c>
      <c r="B10553" t="s">
        <v>2130</v>
      </c>
      <c r="C10553">
        <v>25.5</v>
      </c>
      <c r="D10553">
        <v>40</v>
      </c>
      <c r="E10553">
        <f>IF(OR(B10553="vi",B10553="ii",B10553="pod"),(((D10553/100)*(C10553*VLOOKUP(B10553,'Poids des runes'!A:B,2,FALSE)))+1),(((D10553/100)*(C10553*VLOOKUP(B10553,'Poids des runes'!A:B,2,FALSE)))+1)/VLOOKUP(B10553,'Poids des runes'!A:B,2,FALSE))</f>
        <v>11.200000000000001</v>
      </c>
      <c r="F10553">
        <f t="shared" si="164"/>
        <v>11.200000000000001</v>
      </c>
    </row>
    <row r="10554" spans="1:6" x14ac:dyDescent="0.3">
      <c r="A10554" t="s">
        <v>1701</v>
      </c>
      <c r="B10554" t="s">
        <v>2127</v>
      </c>
      <c r="C10554">
        <v>25.5</v>
      </c>
      <c r="D10554">
        <v>40</v>
      </c>
      <c r="E10554">
        <f>IF(OR(B10554="vi",B10554="ii",B10554="pod"),(((D10554/100)*(C10554*VLOOKUP(B10554,'Poids des runes'!A:B,2,FALSE)))+1),(((D10554/100)*(C10554*VLOOKUP(B10554,'Poids des runes'!A:B,2,FALSE)))+1)/VLOOKUP(B10554,'Poids des runes'!A:B,2,FALSE))</f>
        <v>11.200000000000001</v>
      </c>
      <c r="F10554">
        <f t="shared" si="164"/>
        <v>11.200000000000001</v>
      </c>
    </row>
    <row r="10555" spans="1:6" x14ac:dyDescent="0.3">
      <c r="A10555" t="s">
        <v>1701</v>
      </c>
      <c r="B10555" t="s">
        <v>2150</v>
      </c>
      <c r="C10555">
        <v>1</v>
      </c>
      <c r="D10555">
        <v>40</v>
      </c>
      <c r="E10555">
        <f>IF(OR(B10555="vi",B10555="ii",B10555="pod"),(((D10555/100)*(C10555*VLOOKUP(B10555,'Poids des runes'!A:B,2,FALSE)))+1),(((D10555/100)*(C10555*VLOOKUP(B10555,'Poids des runes'!A:B,2,FALSE)))+1)/VLOOKUP(B10555,'Poids des runes'!A:B,2,FALSE))</f>
        <v>0.43333333333333335</v>
      </c>
      <c r="F10555">
        <f t="shared" si="164"/>
        <v>0.43333333333333335</v>
      </c>
    </row>
    <row r="10556" spans="1:6" x14ac:dyDescent="0.3">
      <c r="A10556" t="s">
        <v>1702</v>
      </c>
      <c r="B10556" t="s">
        <v>2128</v>
      </c>
      <c r="C10556">
        <v>35.5</v>
      </c>
      <c r="D10556">
        <v>40</v>
      </c>
      <c r="E10556">
        <f>IF(OR(B10556="vi",B10556="ii",B10556="pod"),(((D10556/100)*(C10556*VLOOKUP(B10556,'Poids des runes'!A:B,2,FALSE)))+1),(((D10556/100)*(C10556*VLOOKUP(B10556,'Poids des runes'!A:B,2,FALSE)))+1)/VLOOKUP(B10556,'Poids des runes'!A:B,2,FALSE))</f>
        <v>3.8400000000000003</v>
      </c>
      <c r="F10556">
        <f t="shared" si="164"/>
        <v>3.8400000000000003</v>
      </c>
    </row>
    <row r="10557" spans="1:6" x14ac:dyDescent="0.3">
      <c r="A10557" t="s">
        <v>1702</v>
      </c>
      <c r="B10557" t="s">
        <v>2130</v>
      </c>
      <c r="C10557">
        <v>25.5</v>
      </c>
      <c r="D10557">
        <v>40</v>
      </c>
      <c r="E10557">
        <f>IF(OR(B10557="vi",B10557="ii",B10557="pod"),(((D10557/100)*(C10557*VLOOKUP(B10557,'Poids des runes'!A:B,2,FALSE)))+1),(((D10557/100)*(C10557*VLOOKUP(B10557,'Poids des runes'!A:B,2,FALSE)))+1)/VLOOKUP(B10557,'Poids des runes'!A:B,2,FALSE))</f>
        <v>11.200000000000001</v>
      </c>
      <c r="F10557">
        <f t="shared" si="164"/>
        <v>11.200000000000001</v>
      </c>
    </row>
    <row r="10558" spans="1:6" x14ac:dyDescent="0.3">
      <c r="A10558" t="s">
        <v>1702</v>
      </c>
      <c r="B10558" t="s">
        <v>2127</v>
      </c>
      <c r="C10558">
        <v>25.5</v>
      </c>
      <c r="D10558">
        <v>40</v>
      </c>
      <c r="E10558">
        <f>IF(OR(B10558="vi",B10558="ii",B10558="pod"),(((D10558/100)*(C10558*VLOOKUP(B10558,'Poids des runes'!A:B,2,FALSE)))+1),(((D10558/100)*(C10558*VLOOKUP(B10558,'Poids des runes'!A:B,2,FALSE)))+1)/VLOOKUP(B10558,'Poids des runes'!A:B,2,FALSE))</f>
        <v>11.200000000000001</v>
      </c>
      <c r="F10558">
        <f t="shared" si="164"/>
        <v>11.200000000000001</v>
      </c>
    </row>
    <row r="10559" spans="1:6" x14ac:dyDescent="0.3">
      <c r="A10559" t="s">
        <v>1702</v>
      </c>
      <c r="B10559" t="s">
        <v>2138</v>
      </c>
      <c r="C10559">
        <v>2.5</v>
      </c>
      <c r="D10559">
        <v>40</v>
      </c>
      <c r="E10559">
        <f>IF(OR(B10559="vi",B10559="ii",B10559="pod"),(((D10559/100)*(C10559*VLOOKUP(B10559,'Poids des runes'!A:B,2,FALSE)))+1),(((D10559/100)*(C10559*VLOOKUP(B10559,'Poids des runes'!A:B,2,FALSE)))+1)/VLOOKUP(B10559,'Poids des runes'!A:B,2,FALSE))</f>
        <v>1.25</v>
      </c>
      <c r="F10559">
        <f t="shared" si="164"/>
        <v>1.25</v>
      </c>
    </row>
    <row r="10560" spans="1:6" x14ac:dyDescent="0.3">
      <c r="A10560" t="s">
        <v>1703</v>
      </c>
      <c r="B10560" t="s">
        <v>2128</v>
      </c>
      <c r="C10560">
        <v>35.5</v>
      </c>
      <c r="D10560">
        <v>41</v>
      </c>
      <c r="E10560">
        <f>IF(OR(B10560="vi",B10560="ii",B10560="pod"),(((D10560/100)*(C10560*VLOOKUP(B10560,'Poids des runes'!A:B,2,FALSE)))+1),(((D10560/100)*(C10560*VLOOKUP(B10560,'Poids des runes'!A:B,2,FALSE)))+1)/VLOOKUP(B10560,'Poids des runes'!A:B,2,FALSE))</f>
        <v>3.911</v>
      </c>
      <c r="F10560">
        <f t="shared" si="164"/>
        <v>3.911</v>
      </c>
    </row>
    <row r="10561" spans="1:6" x14ac:dyDescent="0.3">
      <c r="A10561" t="s">
        <v>1703</v>
      </c>
      <c r="B10561" t="s">
        <v>2126</v>
      </c>
      <c r="C10561">
        <v>23</v>
      </c>
      <c r="D10561">
        <v>41</v>
      </c>
      <c r="E10561">
        <f>IF(OR(B10561="vi",B10561="ii",B10561="pod"),(((D10561/100)*(C10561*VLOOKUP(B10561,'Poids des runes'!A:B,2,FALSE)))+1),(((D10561/100)*(C10561*VLOOKUP(B10561,'Poids des runes'!A:B,2,FALSE)))+1)/VLOOKUP(B10561,'Poids des runes'!A:B,2,FALSE))</f>
        <v>10.43</v>
      </c>
      <c r="F10561">
        <f t="shared" si="164"/>
        <v>10.43</v>
      </c>
    </row>
    <row r="10562" spans="1:6" x14ac:dyDescent="0.3">
      <c r="A10562" t="s">
        <v>1703</v>
      </c>
      <c r="B10562" t="s">
        <v>2129</v>
      </c>
      <c r="C10562">
        <v>8.5</v>
      </c>
      <c r="D10562">
        <v>41</v>
      </c>
      <c r="E10562">
        <f>IF(OR(B10562="vi",B10562="ii",B10562="pod"),(((D10562/100)*(C10562*VLOOKUP(B10562,'Poids des runes'!A:B,2,FALSE)))+1),(((D10562/100)*(C10562*VLOOKUP(B10562,'Poids des runes'!A:B,2,FALSE)))+1)/VLOOKUP(B10562,'Poids des runes'!A:B,2,FALSE))</f>
        <v>4.4849999999999994</v>
      </c>
      <c r="F10562">
        <f t="shared" si="164"/>
        <v>4.4849999999999994</v>
      </c>
    </row>
    <row r="10563" spans="1:6" x14ac:dyDescent="0.3">
      <c r="A10563" t="s">
        <v>1703</v>
      </c>
      <c r="B10563" t="s">
        <v>2151</v>
      </c>
      <c r="C10563">
        <v>2.5</v>
      </c>
      <c r="D10563">
        <v>41</v>
      </c>
      <c r="E10563">
        <f>IF(OR(B10563="vi",B10563="ii",B10563="pod"),(((D10563/100)*(C10563*VLOOKUP(B10563,'Poids des runes'!A:B,2,FALSE)))+1),(((D10563/100)*(C10563*VLOOKUP(B10563,'Poids des runes'!A:B,2,FALSE)))+1)/VLOOKUP(B10563,'Poids des runes'!A:B,2,FALSE))</f>
        <v>1.125</v>
      </c>
      <c r="F10563">
        <f t="shared" ref="F10563:F10626" si="165">E10563</f>
        <v>1.125</v>
      </c>
    </row>
    <row r="10564" spans="1:6" x14ac:dyDescent="0.3">
      <c r="A10564" t="s">
        <v>1703</v>
      </c>
      <c r="B10564" t="s">
        <v>2140</v>
      </c>
      <c r="C10564">
        <v>2.5</v>
      </c>
      <c r="D10564">
        <v>41</v>
      </c>
      <c r="E10564">
        <f>IF(OR(B10564="vi",B10564="ii",B10564="pod"),(((D10564/100)*(C10564*VLOOKUP(B10564,'Poids des runes'!A:B,2,FALSE)))+1),(((D10564/100)*(C10564*VLOOKUP(B10564,'Poids des runes'!A:B,2,FALSE)))+1)/VLOOKUP(B10564,'Poids des runes'!A:B,2,FALSE))</f>
        <v>1.2250000000000001</v>
      </c>
      <c r="F10564">
        <f t="shared" si="165"/>
        <v>1.2250000000000001</v>
      </c>
    </row>
    <row r="10565" spans="1:6" x14ac:dyDescent="0.3">
      <c r="A10565" t="s">
        <v>1704</v>
      </c>
      <c r="B10565" t="s">
        <v>2128</v>
      </c>
      <c r="C10565">
        <v>25.5</v>
      </c>
      <c r="D10565">
        <v>41</v>
      </c>
      <c r="E10565">
        <f>IF(OR(B10565="vi",B10565="ii",B10565="pod"),(((D10565/100)*(C10565*VLOOKUP(B10565,'Poids des runes'!A:B,2,FALSE)))+1),(((D10565/100)*(C10565*VLOOKUP(B10565,'Poids des runes'!A:B,2,FALSE)))+1)/VLOOKUP(B10565,'Poids des runes'!A:B,2,FALSE))</f>
        <v>3.0910000000000002</v>
      </c>
      <c r="F10565">
        <f t="shared" si="165"/>
        <v>3.0910000000000002</v>
      </c>
    </row>
    <row r="10566" spans="1:6" x14ac:dyDescent="0.3">
      <c r="A10566" t="s">
        <v>1704</v>
      </c>
      <c r="B10566" t="s">
        <v>2150</v>
      </c>
      <c r="C10566">
        <v>1</v>
      </c>
      <c r="D10566">
        <v>41</v>
      </c>
      <c r="E10566">
        <f>IF(OR(B10566="vi",B10566="ii",B10566="pod"),(((D10566/100)*(C10566*VLOOKUP(B10566,'Poids des runes'!A:B,2,FALSE)))+1),(((D10566/100)*(C10566*VLOOKUP(B10566,'Poids des runes'!A:B,2,FALSE)))+1)/VLOOKUP(B10566,'Poids des runes'!A:B,2,FALSE))</f>
        <v>0.4433333333333333</v>
      </c>
      <c r="F10566">
        <f t="shared" si="165"/>
        <v>0.4433333333333333</v>
      </c>
    </row>
    <row r="10567" spans="1:6" x14ac:dyDescent="0.3">
      <c r="A10567" t="s">
        <v>1704</v>
      </c>
      <c r="B10567" t="s">
        <v>2135</v>
      </c>
      <c r="C10567">
        <v>2.5</v>
      </c>
      <c r="D10567">
        <v>41</v>
      </c>
      <c r="E10567">
        <f>IF(OR(B10567="vi",B10567="ii",B10567="pod"),(((D10567/100)*(C10567*VLOOKUP(B10567,'Poids des runes'!A:B,2,FALSE)))+1),(((D10567/100)*(C10567*VLOOKUP(B10567,'Poids des runes'!A:B,2,FALSE)))+1)/VLOOKUP(B10567,'Poids des runes'!A:B,2,FALSE))</f>
        <v>1.1916666666666667</v>
      </c>
      <c r="F10567">
        <f t="shared" si="165"/>
        <v>1.1916666666666667</v>
      </c>
    </row>
    <row r="10568" spans="1:6" x14ac:dyDescent="0.3">
      <c r="A10568" t="s">
        <v>1704</v>
      </c>
      <c r="B10568" t="s">
        <v>2157</v>
      </c>
      <c r="C10568">
        <v>2.5</v>
      </c>
      <c r="D10568">
        <v>41</v>
      </c>
      <c r="E10568">
        <f>IF(OR(B10568="vi",B10568="ii",B10568="pod"),(((D10568/100)*(C10568*VLOOKUP(B10568,'Poids des runes'!A:B,2,FALSE)))+1),(((D10568/100)*(C10568*VLOOKUP(B10568,'Poids des runes'!A:B,2,FALSE)))+1)/VLOOKUP(B10568,'Poids des runes'!A:B,2,FALSE))</f>
        <v>1.1916666666666667</v>
      </c>
      <c r="F10568">
        <f t="shared" si="165"/>
        <v>1.1916666666666667</v>
      </c>
    </row>
    <row r="10569" spans="1:6" x14ac:dyDescent="0.3">
      <c r="A10569" t="s">
        <v>1705</v>
      </c>
      <c r="B10569" t="s">
        <v>2128</v>
      </c>
      <c r="C10569">
        <v>25.5</v>
      </c>
      <c r="D10569">
        <v>41</v>
      </c>
      <c r="E10569">
        <f>IF(OR(B10569="vi",B10569="ii",B10569="pod"),(((D10569/100)*(C10569*VLOOKUP(B10569,'Poids des runes'!A:B,2,FALSE)))+1),(((D10569/100)*(C10569*VLOOKUP(B10569,'Poids des runes'!A:B,2,FALSE)))+1)/VLOOKUP(B10569,'Poids des runes'!A:B,2,FALSE))</f>
        <v>3.0910000000000002</v>
      </c>
      <c r="F10569">
        <f t="shared" si="165"/>
        <v>3.0910000000000002</v>
      </c>
    </row>
    <row r="10570" spans="1:6" x14ac:dyDescent="0.3">
      <c r="A10570" t="s">
        <v>1705</v>
      </c>
      <c r="B10570" t="s">
        <v>2126</v>
      </c>
      <c r="C10570">
        <v>25.5</v>
      </c>
      <c r="D10570">
        <v>41</v>
      </c>
      <c r="E10570">
        <f>IF(OR(B10570="vi",B10570="ii",B10570="pod"),(((D10570/100)*(C10570*VLOOKUP(B10570,'Poids des runes'!A:B,2,FALSE)))+1),(((D10570/100)*(C10570*VLOOKUP(B10570,'Poids des runes'!A:B,2,FALSE)))+1)/VLOOKUP(B10570,'Poids des runes'!A:B,2,FALSE))</f>
        <v>11.455</v>
      </c>
      <c r="F10570">
        <f t="shared" si="165"/>
        <v>11.455</v>
      </c>
    </row>
    <row r="10571" spans="1:6" x14ac:dyDescent="0.3">
      <c r="A10571" t="s">
        <v>1705</v>
      </c>
      <c r="B10571" t="s">
        <v>2151</v>
      </c>
      <c r="C10571">
        <v>2.5</v>
      </c>
      <c r="D10571">
        <v>41</v>
      </c>
      <c r="E10571">
        <f>IF(OR(B10571="vi",B10571="ii",B10571="pod"),(((D10571/100)*(C10571*VLOOKUP(B10571,'Poids des runes'!A:B,2,FALSE)))+1),(((D10571/100)*(C10571*VLOOKUP(B10571,'Poids des runes'!A:B,2,FALSE)))+1)/VLOOKUP(B10571,'Poids des runes'!A:B,2,FALSE))</f>
        <v>1.125</v>
      </c>
      <c r="F10571">
        <f t="shared" si="165"/>
        <v>1.125</v>
      </c>
    </row>
    <row r="10572" spans="1:6" x14ac:dyDescent="0.3">
      <c r="A10572" t="s">
        <v>1705</v>
      </c>
      <c r="B10572" t="s">
        <v>2147</v>
      </c>
      <c r="C10572">
        <v>2.5</v>
      </c>
      <c r="D10572">
        <v>41</v>
      </c>
      <c r="E10572">
        <f>IF(OR(B10572="vi",B10572="ii",B10572="pod"),(((D10572/100)*(C10572*VLOOKUP(B10572,'Poids des runes'!A:B,2,FALSE)))+1),(((D10572/100)*(C10572*VLOOKUP(B10572,'Poids des runes'!A:B,2,FALSE)))+1)/VLOOKUP(B10572,'Poids des runes'!A:B,2,FALSE))</f>
        <v>1.1916666666666667</v>
      </c>
      <c r="F10572">
        <f t="shared" si="165"/>
        <v>1.1916666666666667</v>
      </c>
    </row>
    <row r="10573" spans="1:6" x14ac:dyDescent="0.3">
      <c r="A10573" t="s">
        <v>1706</v>
      </c>
      <c r="B10573" t="s">
        <v>2128</v>
      </c>
      <c r="C10573">
        <v>25.5</v>
      </c>
      <c r="D10573">
        <v>41</v>
      </c>
      <c r="E10573">
        <f>IF(OR(B10573="vi",B10573="ii",B10573="pod"),(((D10573/100)*(C10573*VLOOKUP(B10573,'Poids des runes'!A:B,2,FALSE)))+1),(((D10573/100)*(C10573*VLOOKUP(B10573,'Poids des runes'!A:B,2,FALSE)))+1)/VLOOKUP(B10573,'Poids des runes'!A:B,2,FALSE))</f>
        <v>3.0910000000000002</v>
      </c>
      <c r="F10573">
        <f t="shared" si="165"/>
        <v>3.0910000000000002</v>
      </c>
    </row>
    <row r="10574" spans="1:6" x14ac:dyDescent="0.3">
      <c r="A10574" t="s">
        <v>1706</v>
      </c>
      <c r="B10574" t="s">
        <v>2131</v>
      </c>
      <c r="C10574">
        <v>25.5</v>
      </c>
      <c r="D10574">
        <v>41</v>
      </c>
      <c r="E10574">
        <f>IF(OR(B10574="vi",B10574="ii",B10574="pod"),(((D10574/100)*(C10574*VLOOKUP(B10574,'Poids des runes'!A:B,2,FALSE)))+1),(((D10574/100)*(C10574*VLOOKUP(B10574,'Poids des runes'!A:B,2,FALSE)))+1)/VLOOKUP(B10574,'Poids des runes'!A:B,2,FALSE))</f>
        <v>11.455</v>
      </c>
      <c r="F10574">
        <f t="shared" si="165"/>
        <v>11.455</v>
      </c>
    </row>
    <row r="10575" spans="1:6" x14ac:dyDescent="0.3">
      <c r="A10575" t="s">
        <v>1706</v>
      </c>
      <c r="B10575" t="s">
        <v>2151</v>
      </c>
      <c r="C10575">
        <v>2.5</v>
      </c>
      <c r="D10575">
        <v>41</v>
      </c>
      <c r="E10575">
        <f>IF(OR(B10575="vi",B10575="ii",B10575="pod"),(((D10575/100)*(C10575*VLOOKUP(B10575,'Poids des runes'!A:B,2,FALSE)))+1),(((D10575/100)*(C10575*VLOOKUP(B10575,'Poids des runes'!A:B,2,FALSE)))+1)/VLOOKUP(B10575,'Poids des runes'!A:B,2,FALSE))</f>
        <v>1.125</v>
      </c>
      <c r="F10575">
        <f t="shared" si="165"/>
        <v>1.125</v>
      </c>
    </row>
    <row r="10576" spans="1:6" x14ac:dyDescent="0.3">
      <c r="A10576" t="s">
        <v>1706</v>
      </c>
      <c r="B10576" t="s">
        <v>2135</v>
      </c>
      <c r="C10576">
        <v>2.5</v>
      </c>
      <c r="D10576">
        <v>41</v>
      </c>
      <c r="E10576">
        <f>IF(OR(B10576="vi",B10576="ii",B10576="pod"),(((D10576/100)*(C10576*VLOOKUP(B10576,'Poids des runes'!A:B,2,FALSE)))+1),(((D10576/100)*(C10576*VLOOKUP(B10576,'Poids des runes'!A:B,2,FALSE)))+1)/VLOOKUP(B10576,'Poids des runes'!A:B,2,FALSE))</f>
        <v>1.1916666666666667</v>
      </c>
      <c r="F10576">
        <f t="shared" si="165"/>
        <v>1.1916666666666667</v>
      </c>
    </row>
    <row r="10577" spans="1:6" x14ac:dyDescent="0.3">
      <c r="A10577" t="s">
        <v>1707</v>
      </c>
      <c r="B10577" t="s">
        <v>2128</v>
      </c>
      <c r="C10577">
        <v>25.5</v>
      </c>
      <c r="D10577">
        <v>41</v>
      </c>
      <c r="E10577">
        <f>IF(OR(B10577="vi",B10577="ii",B10577="pod"),(((D10577/100)*(C10577*VLOOKUP(B10577,'Poids des runes'!A:B,2,FALSE)))+1),(((D10577/100)*(C10577*VLOOKUP(B10577,'Poids des runes'!A:B,2,FALSE)))+1)/VLOOKUP(B10577,'Poids des runes'!A:B,2,FALSE))</f>
        <v>3.0910000000000002</v>
      </c>
      <c r="F10577">
        <f t="shared" si="165"/>
        <v>3.0910000000000002</v>
      </c>
    </row>
    <row r="10578" spans="1:6" x14ac:dyDescent="0.3">
      <c r="A10578" t="s">
        <v>1707</v>
      </c>
      <c r="B10578" t="s">
        <v>2130</v>
      </c>
      <c r="C10578">
        <v>25.5</v>
      </c>
      <c r="D10578">
        <v>41</v>
      </c>
      <c r="E10578">
        <f>IF(OR(B10578="vi",B10578="ii",B10578="pod"),(((D10578/100)*(C10578*VLOOKUP(B10578,'Poids des runes'!A:B,2,FALSE)))+1),(((D10578/100)*(C10578*VLOOKUP(B10578,'Poids des runes'!A:B,2,FALSE)))+1)/VLOOKUP(B10578,'Poids des runes'!A:B,2,FALSE))</f>
        <v>11.455</v>
      </c>
      <c r="F10578">
        <f t="shared" si="165"/>
        <v>11.455</v>
      </c>
    </row>
    <row r="10579" spans="1:6" x14ac:dyDescent="0.3">
      <c r="A10579" t="s">
        <v>1707</v>
      </c>
      <c r="B10579" t="s">
        <v>2151</v>
      </c>
      <c r="C10579">
        <v>2.5</v>
      </c>
      <c r="D10579">
        <v>41</v>
      </c>
      <c r="E10579">
        <f>IF(OR(B10579="vi",B10579="ii",B10579="pod"),(((D10579/100)*(C10579*VLOOKUP(B10579,'Poids des runes'!A:B,2,FALSE)))+1),(((D10579/100)*(C10579*VLOOKUP(B10579,'Poids des runes'!A:B,2,FALSE)))+1)/VLOOKUP(B10579,'Poids des runes'!A:B,2,FALSE))</f>
        <v>1.125</v>
      </c>
      <c r="F10579">
        <f t="shared" si="165"/>
        <v>1.125</v>
      </c>
    </row>
    <row r="10580" spans="1:6" x14ac:dyDescent="0.3">
      <c r="A10580" t="s">
        <v>1707</v>
      </c>
      <c r="B10580" t="s">
        <v>2148</v>
      </c>
      <c r="C10580">
        <v>2.5</v>
      </c>
      <c r="D10580">
        <v>41</v>
      </c>
      <c r="E10580">
        <f>IF(OR(B10580="vi",B10580="ii",B10580="pod"),(((D10580/100)*(C10580*VLOOKUP(B10580,'Poids des runes'!A:B,2,FALSE)))+1),(((D10580/100)*(C10580*VLOOKUP(B10580,'Poids des runes'!A:B,2,FALSE)))+1)/VLOOKUP(B10580,'Poids des runes'!A:B,2,FALSE))</f>
        <v>1.1916666666666667</v>
      </c>
      <c r="F10580">
        <f t="shared" si="165"/>
        <v>1.1916666666666667</v>
      </c>
    </row>
    <row r="10581" spans="1:6" x14ac:dyDescent="0.3">
      <c r="A10581" t="s">
        <v>1708</v>
      </c>
      <c r="B10581" t="s">
        <v>2128</v>
      </c>
      <c r="C10581">
        <v>25.5</v>
      </c>
      <c r="D10581">
        <v>41</v>
      </c>
      <c r="E10581">
        <f>IF(OR(B10581="vi",B10581="ii",B10581="pod"),(((D10581/100)*(C10581*VLOOKUP(B10581,'Poids des runes'!A:B,2,FALSE)))+1),(((D10581/100)*(C10581*VLOOKUP(B10581,'Poids des runes'!A:B,2,FALSE)))+1)/VLOOKUP(B10581,'Poids des runes'!A:B,2,FALSE))</f>
        <v>3.0910000000000002</v>
      </c>
      <c r="F10581">
        <f t="shared" si="165"/>
        <v>3.0910000000000002</v>
      </c>
    </row>
    <row r="10582" spans="1:6" x14ac:dyDescent="0.3">
      <c r="A10582" t="s">
        <v>1708</v>
      </c>
      <c r="B10582" t="s">
        <v>2127</v>
      </c>
      <c r="C10582">
        <v>25.5</v>
      </c>
      <c r="D10582">
        <v>41</v>
      </c>
      <c r="E10582">
        <f>IF(OR(B10582="vi",B10582="ii",B10582="pod"),(((D10582/100)*(C10582*VLOOKUP(B10582,'Poids des runes'!A:B,2,FALSE)))+1),(((D10582/100)*(C10582*VLOOKUP(B10582,'Poids des runes'!A:B,2,FALSE)))+1)/VLOOKUP(B10582,'Poids des runes'!A:B,2,FALSE))</f>
        <v>11.455</v>
      </c>
      <c r="F10582">
        <f t="shared" si="165"/>
        <v>11.455</v>
      </c>
    </row>
    <row r="10583" spans="1:6" x14ac:dyDescent="0.3">
      <c r="A10583" t="s">
        <v>1708</v>
      </c>
      <c r="B10583" t="s">
        <v>2151</v>
      </c>
      <c r="C10583">
        <v>2.5</v>
      </c>
      <c r="D10583">
        <v>41</v>
      </c>
      <c r="E10583">
        <f>IF(OR(B10583="vi",B10583="ii",B10583="pod"),(((D10583/100)*(C10583*VLOOKUP(B10583,'Poids des runes'!A:B,2,FALSE)))+1),(((D10583/100)*(C10583*VLOOKUP(B10583,'Poids des runes'!A:B,2,FALSE)))+1)/VLOOKUP(B10583,'Poids des runes'!A:B,2,FALSE))</f>
        <v>1.125</v>
      </c>
      <c r="F10583">
        <f t="shared" si="165"/>
        <v>1.125</v>
      </c>
    </row>
    <row r="10584" spans="1:6" x14ac:dyDescent="0.3">
      <c r="A10584" t="s">
        <v>1708</v>
      </c>
      <c r="B10584" t="s">
        <v>2157</v>
      </c>
      <c r="C10584">
        <v>2.5</v>
      </c>
      <c r="D10584">
        <v>41</v>
      </c>
      <c r="E10584">
        <f>IF(OR(B10584="vi",B10584="ii",B10584="pod"),(((D10584/100)*(C10584*VLOOKUP(B10584,'Poids des runes'!A:B,2,FALSE)))+1),(((D10584/100)*(C10584*VLOOKUP(B10584,'Poids des runes'!A:B,2,FALSE)))+1)/VLOOKUP(B10584,'Poids des runes'!A:B,2,FALSE))</f>
        <v>1.1916666666666667</v>
      </c>
      <c r="F10584">
        <f t="shared" si="165"/>
        <v>1.1916666666666667</v>
      </c>
    </row>
    <row r="10585" spans="1:6" x14ac:dyDescent="0.3">
      <c r="A10585" t="s">
        <v>1709</v>
      </c>
      <c r="B10585" t="s">
        <v>2128</v>
      </c>
      <c r="C10585">
        <v>18</v>
      </c>
      <c r="D10585">
        <v>42</v>
      </c>
      <c r="E10585">
        <f>IF(OR(B10585="vi",B10585="ii",B10585="pod"),(((D10585/100)*(C10585*VLOOKUP(B10585,'Poids des runes'!A:B,2,FALSE)))+1),(((D10585/100)*(C10585*VLOOKUP(B10585,'Poids des runes'!A:B,2,FALSE)))+1)/VLOOKUP(B10585,'Poids des runes'!A:B,2,FALSE))</f>
        <v>2.512</v>
      </c>
      <c r="F10585">
        <f t="shared" si="165"/>
        <v>2.512</v>
      </c>
    </row>
    <row r="10586" spans="1:6" x14ac:dyDescent="0.3">
      <c r="A10586" t="s">
        <v>1709</v>
      </c>
      <c r="B10586" t="s">
        <v>2130</v>
      </c>
      <c r="C10586">
        <v>35.5</v>
      </c>
      <c r="D10586">
        <v>42</v>
      </c>
      <c r="E10586">
        <f>IF(OR(B10586="vi",B10586="ii",B10586="pod"),(((D10586/100)*(C10586*VLOOKUP(B10586,'Poids des runes'!A:B,2,FALSE)))+1),(((D10586/100)*(C10586*VLOOKUP(B10586,'Poids des runes'!A:B,2,FALSE)))+1)/VLOOKUP(B10586,'Poids des runes'!A:B,2,FALSE))</f>
        <v>15.91</v>
      </c>
      <c r="F10586">
        <f t="shared" si="165"/>
        <v>15.91</v>
      </c>
    </row>
    <row r="10587" spans="1:6" x14ac:dyDescent="0.3">
      <c r="A10587" t="s">
        <v>1709</v>
      </c>
      <c r="B10587" t="s">
        <v>2129</v>
      </c>
      <c r="C10587">
        <v>8.5</v>
      </c>
      <c r="D10587">
        <v>42</v>
      </c>
      <c r="E10587">
        <f>IF(OR(B10587="vi",B10587="ii",B10587="pod"),(((D10587/100)*(C10587*VLOOKUP(B10587,'Poids des runes'!A:B,2,FALSE)))+1),(((D10587/100)*(C10587*VLOOKUP(B10587,'Poids des runes'!A:B,2,FALSE)))+1)/VLOOKUP(B10587,'Poids des runes'!A:B,2,FALSE))</f>
        <v>4.57</v>
      </c>
      <c r="F10587">
        <f t="shared" si="165"/>
        <v>4.57</v>
      </c>
    </row>
    <row r="10588" spans="1:6" x14ac:dyDescent="0.3">
      <c r="A10588" t="s">
        <v>1709</v>
      </c>
      <c r="B10588" t="s">
        <v>2155</v>
      </c>
      <c r="C10588">
        <v>1</v>
      </c>
      <c r="D10588">
        <v>42</v>
      </c>
      <c r="E10588">
        <f>IF(OR(B10588="vi",B10588="ii",B10588="pod"),(((D10588/100)*(C10588*VLOOKUP(B10588,'Poids des runes'!A:B,2,FALSE)))+1),(((D10588/100)*(C10588*VLOOKUP(B10588,'Poids des runes'!A:B,2,FALSE)))+1)/VLOOKUP(B10588,'Poids des runes'!A:B,2,FALSE))</f>
        <v>0.43960784313725487</v>
      </c>
      <c r="F10588">
        <f t="shared" si="165"/>
        <v>0.43960784313725487</v>
      </c>
    </row>
    <row r="10589" spans="1:6" x14ac:dyDescent="0.3">
      <c r="A10589" t="s">
        <v>1710</v>
      </c>
      <c r="B10589" t="s">
        <v>2128</v>
      </c>
      <c r="C10589">
        <v>35.5</v>
      </c>
      <c r="D10589">
        <v>42</v>
      </c>
      <c r="E10589">
        <f>IF(OR(B10589="vi",B10589="ii",B10589="pod"),(((D10589/100)*(C10589*VLOOKUP(B10589,'Poids des runes'!A:B,2,FALSE)))+1),(((D10589/100)*(C10589*VLOOKUP(B10589,'Poids des runes'!A:B,2,FALSE)))+1)/VLOOKUP(B10589,'Poids des runes'!A:B,2,FALSE))</f>
        <v>3.9820000000000002</v>
      </c>
      <c r="F10589">
        <f t="shared" si="165"/>
        <v>3.9820000000000002</v>
      </c>
    </row>
    <row r="10590" spans="1:6" x14ac:dyDescent="0.3">
      <c r="A10590" t="s">
        <v>1710</v>
      </c>
      <c r="B10590" t="s">
        <v>2130</v>
      </c>
      <c r="C10590">
        <v>18</v>
      </c>
      <c r="D10590">
        <v>42</v>
      </c>
      <c r="E10590">
        <f>IF(OR(B10590="vi",B10590="ii",B10590="pod"),(((D10590/100)*(C10590*VLOOKUP(B10590,'Poids des runes'!A:B,2,FALSE)))+1),(((D10590/100)*(C10590*VLOOKUP(B10590,'Poids des runes'!A:B,2,FALSE)))+1)/VLOOKUP(B10590,'Poids des runes'!A:B,2,FALSE))</f>
        <v>8.5599999999999987</v>
      </c>
      <c r="F10590">
        <f t="shared" si="165"/>
        <v>8.5599999999999987</v>
      </c>
    </row>
    <row r="10591" spans="1:6" x14ac:dyDescent="0.3">
      <c r="A10591" t="s">
        <v>1710</v>
      </c>
      <c r="B10591" t="s">
        <v>2126</v>
      </c>
      <c r="C10591">
        <v>18</v>
      </c>
      <c r="D10591">
        <v>42</v>
      </c>
      <c r="E10591">
        <f>IF(OR(B10591="vi",B10591="ii",B10591="pod"),(((D10591/100)*(C10591*VLOOKUP(B10591,'Poids des runes'!A:B,2,FALSE)))+1),(((D10591/100)*(C10591*VLOOKUP(B10591,'Poids des runes'!A:B,2,FALSE)))+1)/VLOOKUP(B10591,'Poids des runes'!A:B,2,FALSE))</f>
        <v>8.5599999999999987</v>
      </c>
      <c r="F10591">
        <f t="shared" si="165"/>
        <v>8.5599999999999987</v>
      </c>
    </row>
    <row r="10592" spans="1:6" x14ac:dyDescent="0.3">
      <c r="A10592" t="s">
        <v>1710</v>
      </c>
      <c r="B10592" t="s">
        <v>2129</v>
      </c>
      <c r="C10592">
        <v>18</v>
      </c>
      <c r="D10592">
        <v>42</v>
      </c>
      <c r="E10592">
        <f>IF(OR(B10592="vi",B10592="ii",B10592="pod"),(((D10592/100)*(C10592*VLOOKUP(B10592,'Poids des runes'!A:B,2,FALSE)))+1),(((D10592/100)*(C10592*VLOOKUP(B10592,'Poids des runes'!A:B,2,FALSE)))+1)/VLOOKUP(B10592,'Poids des runes'!A:B,2,FALSE))</f>
        <v>8.5599999999999987</v>
      </c>
      <c r="F10592">
        <f t="shared" si="165"/>
        <v>8.5599999999999987</v>
      </c>
    </row>
    <row r="10593" spans="1:6" x14ac:dyDescent="0.3">
      <c r="A10593" t="s">
        <v>1710</v>
      </c>
      <c r="B10593" t="s">
        <v>2159</v>
      </c>
      <c r="C10593">
        <v>2.5</v>
      </c>
      <c r="D10593">
        <v>42</v>
      </c>
      <c r="E10593">
        <f>IF(OR(B10593="vi",B10593="ii",B10593="pod"),(((D10593/100)*(C10593*VLOOKUP(B10593,'Poids des runes'!A:B,2,FALSE)))+1),(((D10593/100)*(C10593*VLOOKUP(B10593,'Poids des runes'!A:B,2,FALSE)))+1)/VLOOKUP(B10593,'Poids des runes'!A:B,2,FALSE))</f>
        <v>1.1928571428571428</v>
      </c>
      <c r="F10593">
        <f t="shared" si="165"/>
        <v>1.1928571428571428</v>
      </c>
    </row>
    <row r="10594" spans="1:6" x14ac:dyDescent="0.3">
      <c r="A10594" t="s">
        <v>1711</v>
      </c>
      <c r="B10594" t="s">
        <v>2128</v>
      </c>
      <c r="C10594">
        <v>50.5</v>
      </c>
      <c r="D10594">
        <v>43</v>
      </c>
      <c r="E10594">
        <f>IF(OR(B10594="vi",B10594="ii",B10594="pod"),(((D10594/100)*(C10594*VLOOKUP(B10594,'Poids des runes'!A:B,2,FALSE)))+1),(((D10594/100)*(C10594*VLOOKUP(B10594,'Poids des runes'!A:B,2,FALSE)))+1)/VLOOKUP(B10594,'Poids des runes'!A:B,2,FALSE))</f>
        <v>5.3430000000000009</v>
      </c>
      <c r="F10594">
        <f t="shared" si="165"/>
        <v>5.3430000000000009</v>
      </c>
    </row>
    <row r="10595" spans="1:6" x14ac:dyDescent="0.3">
      <c r="A10595" t="s">
        <v>1711</v>
      </c>
      <c r="B10595" t="s">
        <v>2129</v>
      </c>
      <c r="C10595">
        <v>13</v>
      </c>
      <c r="D10595">
        <v>43</v>
      </c>
      <c r="E10595">
        <f>IF(OR(B10595="vi",B10595="ii",B10595="pod"),(((D10595/100)*(C10595*VLOOKUP(B10595,'Poids des runes'!A:B,2,FALSE)))+1),(((D10595/100)*(C10595*VLOOKUP(B10595,'Poids des runes'!A:B,2,FALSE)))+1)/VLOOKUP(B10595,'Poids des runes'!A:B,2,FALSE))</f>
        <v>6.59</v>
      </c>
      <c r="F10595">
        <f t="shared" si="165"/>
        <v>6.59</v>
      </c>
    </row>
    <row r="10596" spans="1:6" x14ac:dyDescent="0.3">
      <c r="A10596" t="s">
        <v>1711</v>
      </c>
      <c r="B10596" t="s">
        <v>2134</v>
      </c>
      <c r="C10596">
        <v>2.5</v>
      </c>
      <c r="D10596">
        <v>43</v>
      </c>
      <c r="E10596">
        <f>IF(OR(B10596="vi",B10596="ii",B10596="pod"),(((D10596/100)*(C10596*VLOOKUP(B10596,'Poids des runes'!A:B,2,FALSE)))+1),(((D10596/100)*(C10596*VLOOKUP(B10596,'Poids des runes'!A:B,2,FALSE)))+1)/VLOOKUP(B10596,'Poids des runes'!A:B,2,FALSE))</f>
        <v>1.125</v>
      </c>
      <c r="F10596">
        <f t="shared" si="165"/>
        <v>1.125</v>
      </c>
    </row>
    <row r="10597" spans="1:6" x14ac:dyDescent="0.3">
      <c r="A10597" t="s">
        <v>1711</v>
      </c>
      <c r="B10597" t="s">
        <v>2149</v>
      </c>
      <c r="C10597">
        <v>4.5</v>
      </c>
      <c r="D10597">
        <v>43</v>
      </c>
      <c r="E10597">
        <f>IF(OR(B10597="vi",B10597="ii",B10597="pod"),(((D10597/100)*(C10597*VLOOKUP(B10597,'Poids des runes'!A:B,2,FALSE)))+1),(((D10597/100)*(C10597*VLOOKUP(B10597,'Poids des runes'!A:B,2,FALSE)))+1)/VLOOKUP(B10597,'Poids des runes'!A:B,2,FALSE))</f>
        <v>2.0350000000000001</v>
      </c>
      <c r="F10597">
        <f t="shared" si="165"/>
        <v>2.0350000000000001</v>
      </c>
    </row>
    <row r="10598" spans="1:6" x14ac:dyDescent="0.3">
      <c r="A10598" t="s">
        <v>1711</v>
      </c>
      <c r="B10598" t="s">
        <v>2163</v>
      </c>
      <c r="C10598">
        <v>8.5</v>
      </c>
      <c r="D10598">
        <v>43</v>
      </c>
      <c r="E10598">
        <f>IF(OR(B10598="vi",B10598="ii",B10598="pod"),(((D10598/100)*(C10598*VLOOKUP(B10598,'Poids des runes'!A:B,2,FALSE)))+1),(((D10598/100)*(C10598*VLOOKUP(B10598,'Poids des runes'!A:B,2,FALSE)))+1)/VLOOKUP(B10598,'Poids des runes'!A:B,2,FALSE))</f>
        <v>4.1549999999999994</v>
      </c>
      <c r="F10598">
        <f t="shared" si="165"/>
        <v>4.1549999999999994</v>
      </c>
    </row>
    <row r="10599" spans="1:6" x14ac:dyDescent="0.3">
      <c r="A10599" t="s">
        <v>1711</v>
      </c>
      <c r="B10599" t="s">
        <v>2164</v>
      </c>
      <c r="C10599">
        <v>8.5</v>
      </c>
      <c r="D10599">
        <v>43</v>
      </c>
      <c r="E10599">
        <f>IF(OR(B10599="vi",B10599="ii",B10599="pod"),(((D10599/100)*(C10599*VLOOKUP(B10599,'Poids des runes'!A:B,2,FALSE)))+1),(((D10599/100)*(C10599*VLOOKUP(B10599,'Poids des runes'!A:B,2,FALSE)))+1)/VLOOKUP(B10599,'Poids des runes'!A:B,2,FALSE))</f>
        <v>4.1549999999999994</v>
      </c>
      <c r="F10599">
        <f t="shared" si="165"/>
        <v>4.1549999999999994</v>
      </c>
    </row>
    <row r="10600" spans="1:6" x14ac:dyDescent="0.3">
      <c r="A10600" t="s">
        <v>1712</v>
      </c>
      <c r="B10600" t="s">
        <v>2128</v>
      </c>
      <c r="C10600">
        <v>35.5</v>
      </c>
      <c r="D10600">
        <v>43</v>
      </c>
      <c r="E10600">
        <f>IF(OR(B10600="vi",B10600="ii",B10600="pod"),(((D10600/100)*(C10600*VLOOKUP(B10600,'Poids des runes'!A:B,2,FALSE)))+1),(((D10600/100)*(C10600*VLOOKUP(B10600,'Poids des runes'!A:B,2,FALSE)))+1)/VLOOKUP(B10600,'Poids des runes'!A:B,2,FALSE))</f>
        <v>4.0530000000000008</v>
      </c>
      <c r="F10600">
        <f t="shared" si="165"/>
        <v>4.0530000000000008</v>
      </c>
    </row>
    <row r="10601" spans="1:6" x14ac:dyDescent="0.3">
      <c r="A10601" t="s">
        <v>1712</v>
      </c>
      <c r="B10601" t="s">
        <v>2130</v>
      </c>
      <c r="C10601">
        <v>25.5</v>
      </c>
      <c r="D10601">
        <v>43</v>
      </c>
      <c r="E10601">
        <f>IF(OR(B10601="vi",B10601="ii",B10601="pod"),(((D10601/100)*(C10601*VLOOKUP(B10601,'Poids des runes'!A:B,2,FALSE)))+1),(((D10601/100)*(C10601*VLOOKUP(B10601,'Poids des runes'!A:B,2,FALSE)))+1)/VLOOKUP(B10601,'Poids des runes'!A:B,2,FALSE))</f>
        <v>11.965</v>
      </c>
      <c r="F10601">
        <f t="shared" si="165"/>
        <v>11.965</v>
      </c>
    </row>
    <row r="10602" spans="1:6" x14ac:dyDescent="0.3">
      <c r="A10602" t="s">
        <v>1712</v>
      </c>
      <c r="B10602" t="s">
        <v>2127</v>
      </c>
      <c r="C10602">
        <v>18</v>
      </c>
      <c r="D10602">
        <v>43</v>
      </c>
      <c r="E10602">
        <f>IF(OR(B10602="vi",B10602="ii",B10602="pod"),(((D10602/100)*(C10602*VLOOKUP(B10602,'Poids des runes'!A:B,2,FALSE)))+1),(((D10602/100)*(C10602*VLOOKUP(B10602,'Poids des runes'!A:B,2,FALSE)))+1)/VLOOKUP(B10602,'Poids des runes'!A:B,2,FALSE))</f>
        <v>8.74</v>
      </c>
      <c r="F10602">
        <f t="shared" si="165"/>
        <v>8.74</v>
      </c>
    </row>
    <row r="10603" spans="1:6" x14ac:dyDescent="0.3">
      <c r="A10603" t="s">
        <v>1712</v>
      </c>
      <c r="B10603" t="s">
        <v>2129</v>
      </c>
      <c r="C10603">
        <v>8.5</v>
      </c>
      <c r="D10603">
        <v>43</v>
      </c>
      <c r="E10603">
        <f>IF(OR(B10603="vi",B10603="ii",B10603="pod"),(((D10603/100)*(C10603*VLOOKUP(B10603,'Poids des runes'!A:B,2,FALSE)))+1),(((D10603/100)*(C10603*VLOOKUP(B10603,'Poids des runes'!A:B,2,FALSE)))+1)/VLOOKUP(B10603,'Poids des runes'!A:B,2,FALSE))</f>
        <v>4.6549999999999994</v>
      </c>
      <c r="F10603">
        <f t="shared" si="165"/>
        <v>4.6549999999999994</v>
      </c>
    </row>
    <row r="10604" spans="1:6" x14ac:dyDescent="0.3">
      <c r="A10604" t="s">
        <v>1712</v>
      </c>
      <c r="B10604" t="s">
        <v>2138</v>
      </c>
      <c r="C10604">
        <v>2.5</v>
      </c>
      <c r="D10604">
        <v>43</v>
      </c>
      <c r="E10604">
        <f>IF(OR(B10604="vi",B10604="ii",B10604="pod"),(((D10604/100)*(C10604*VLOOKUP(B10604,'Poids des runes'!A:B,2,FALSE)))+1),(((D10604/100)*(C10604*VLOOKUP(B10604,'Poids des runes'!A:B,2,FALSE)))+1)/VLOOKUP(B10604,'Poids des runes'!A:B,2,FALSE))</f>
        <v>1.325</v>
      </c>
      <c r="F10604">
        <f t="shared" si="165"/>
        <v>1.325</v>
      </c>
    </row>
    <row r="10605" spans="1:6" x14ac:dyDescent="0.3">
      <c r="A10605" t="s">
        <v>1713</v>
      </c>
      <c r="B10605" t="s">
        <v>2128</v>
      </c>
      <c r="C10605">
        <v>35.5</v>
      </c>
      <c r="D10605">
        <v>43</v>
      </c>
      <c r="E10605">
        <f>IF(OR(B10605="vi",B10605="ii",B10605="pod"),(((D10605/100)*(C10605*VLOOKUP(B10605,'Poids des runes'!A:B,2,FALSE)))+1),(((D10605/100)*(C10605*VLOOKUP(B10605,'Poids des runes'!A:B,2,FALSE)))+1)/VLOOKUP(B10605,'Poids des runes'!A:B,2,FALSE))</f>
        <v>4.0530000000000008</v>
      </c>
      <c r="F10605">
        <f t="shared" si="165"/>
        <v>4.0530000000000008</v>
      </c>
    </row>
    <row r="10606" spans="1:6" x14ac:dyDescent="0.3">
      <c r="A10606" t="s">
        <v>1713</v>
      </c>
      <c r="B10606" t="s">
        <v>2131</v>
      </c>
      <c r="C10606">
        <v>18</v>
      </c>
      <c r="D10606">
        <v>43</v>
      </c>
      <c r="E10606">
        <f>IF(OR(B10606="vi",B10606="ii",B10606="pod"),(((D10606/100)*(C10606*VLOOKUP(B10606,'Poids des runes'!A:B,2,FALSE)))+1),(((D10606/100)*(C10606*VLOOKUP(B10606,'Poids des runes'!A:B,2,FALSE)))+1)/VLOOKUP(B10606,'Poids des runes'!A:B,2,FALSE))</f>
        <v>8.74</v>
      </c>
      <c r="F10606">
        <f t="shared" si="165"/>
        <v>8.74</v>
      </c>
    </row>
    <row r="10607" spans="1:6" x14ac:dyDescent="0.3">
      <c r="A10607" t="s">
        <v>1713</v>
      </c>
      <c r="B10607" t="s">
        <v>2129</v>
      </c>
      <c r="C10607">
        <v>13</v>
      </c>
      <c r="D10607">
        <v>43</v>
      </c>
      <c r="E10607">
        <f>IF(OR(B10607="vi",B10607="ii",B10607="pod"),(((D10607/100)*(C10607*VLOOKUP(B10607,'Poids des runes'!A:B,2,FALSE)))+1),(((D10607/100)*(C10607*VLOOKUP(B10607,'Poids des runes'!A:B,2,FALSE)))+1)/VLOOKUP(B10607,'Poids des runes'!A:B,2,FALSE))</f>
        <v>6.59</v>
      </c>
      <c r="F10607">
        <f t="shared" si="165"/>
        <v>6.59</v>
      </c>
    </row>
    <row r="10608" spans="1:6" x14ac:dyDescent="0.3">
      <c r="A10608" t="s">
        <v>1713</v>
      </c>
      <c r="B10608" t="s">
        <v>2155</v>
      </c>
      <c r="C10608">
        <v>1</v>
      </c>
      <c r="D10608">
        <v>43</v>
      </c>
      <c r="E10608">
        <f>IF(OR(B10608="vi",B10608="ii",B10608="pod"),(((D10608/100)*(C10608*VLOOKUP(B10608,'Poids des runes'!A:B,2,FALSE)))+1),(((D10608/100)*(C10608*VLOOKUP(B10608,'Poids des runes'!A:B,2,FALSE)))+1)/VLOOKUP(B10608,'Poids des runes'!A:B,2,FALSE))</f>
        <v>0.44960784313725488</v>
      </c>
      <c r="F10608">
        <f t="shared" si="165"/>
        <v>0.44960784313725488</v>
      </c>
    </row>
    <row r="10609" spans="1:6" x14ac:dyDescent="0.3">
      <c r="A10609" t="s">
        <v>1714</v>
      </c>
      <c r="B10609" t="s">
        <v>2128</v>
      </c>
      <c r="C10609">
        <v>50.5</v>
      </c>
      <c r="D10609">
        <v>43</v>
      </c>
      <c r="E10609">
        <f>IF(OR(B10609="vi",B10609="ii",B10609="pod"),(((D10609/100)*(C10609*VLOOKUP(B10609,'Poids des runes'!A:B,2,FALSE)))+1),(((D10609/100)*(C10609*VLOOKUP(B10609,'Poids des runes'!A:B,2,FALSE)))+1)/VLOOKUP(B10609,'Poids des runes'!A:B,2,FALSE))</f>
        <v>5.3430000000000009</v>
      </c>
      <c r="F10609">
        <f t="shared" si="165"/>
        <v>5.3430000000000009</v>
      </c>
    </row>
    <row r="10610" spans="1:6" x14ac:dyDescent="0.3">
      <c r="A10610" t="s">
        <v>1714</v>
      </c>
      <c r="B10610" t="s">
        <v>2134</v>
      </c>
      <c r="C10610">
        <v>4.5</v>
      </c>
      <c r="D10610">
        <v>43</v>
      </c>
      <c r="E10610">
        <f>IF(OR(B10610="vi",B10610="ii",B10610="pod"),(((D10610/100)*(C10610*VLOOKUP(B10610,'Poids des runes'!A:B,2,FALSE)))+1),(((D10610/100)*(C10610*VLOOKUP(B10610,'Poids des runes'!A:B,2,FALSE)))+1)/VLOOKUP(B10610,'Poids des runes'!A:B,2,FALSE))</f>
        <v>1.9850000000000001</v>
      </c>
      <c r="F10610">
        <f t="shared" si="165"/>
        <v>1.9850000000000001</v>
      </c>
    </row>
    <row r="10611" spans="1:6" x14ac:dyDescent="0.3">
      <c r="A10611" t="s">
        <v>1714</v>
      </c>
      <c r="B10611" t="s">
        <v>2149</v>
      </c>
      <c r="C10611">
        <v>4.5</v>
      </c>
      <c r="D10611">
        <v>43</v>
      </c>
      <c r="E10611">
        <f>IF(OR(B10611="vi",B10611="ii",B10611="pod"),(((D10611/100)*(C10611*VLOOKUP(B10611,'Poids des runes'!A:B,2,FALSE)))+1),(((D10611/100)*(C10611*VLOOKUP(B10611,'Poids des runes'!A:B,2,FALSE)))+1)/VLOOKUP(B10611,'Poids des runes'!A:B,2,FALSE))</f>
        <v>2.0350000000000001</v>
      </c>
      <c r="F10611">
        <f t="shared" si="165"/>
        <v>2.0350000000000001</v>
      </c>
    </row>
    <row r="10612" spans="1:6" x14ac:dyDescent="0.3">
      <c r="A10612" t="s">
        <v>1714</v>
      </c>
      <c r="B10612" t="s">
        <v>2132</v>
      </c>
      <c r="C10612">
        <v>250.5</v>
      </c>
      <c r="D10612">
        <v>43</v>
      </c>
      <c r="E10612">
        <f>IF(OR(B10612="vi",B10612="ii",B10612="pod"),(((D10612/100)*(C10612*VLOOKUP(B10612,'Poids des runes'!A:B,2,FALSE)))+1),(((D10612/100)*(C10612*VLOOKUP(B10612,'Poids des runes'!A:B,2,FALSE)))+1)/VLOOKUP(B10612,'Poids des runes'!A:B,2,FALSE))</f>
        <v>11.7715</v>
      </c>
      <c r="F10612">
        <f t="shared" si="165"/>
        <v>11.7715</v>
      </c>
    </row>
    <row r="10613" spans="1:6" x14ac:dyDescent="0.3">
      <c r="A10613" t="s">
        <v>1714</v>
      </c>
      <c r="B10613" t="s">
        <v>2166</v>
      </c>
      <c r="C10613">
        <v>1</v>
      </c>
      <c r="D10613">
        <v>43</v>
      </c>
      <c r="E10613">
        <f>IF(OR(B10613="vi",B10613="ii",B10613="pod"),(((D10613/100)*(C10613*VLOOKUP(B10613,'Poids des runes'!A:B,2,FALSE)))+1),(((D10613/100)*(C10613*VLOOKUP(B10613,'Poids des runes'!A:B,2,FALSE)))+1)/VLOOKUP(B10613,'Poids des runes'!A:B,2,FALSE))</f>
        <v>0.76333333333333331</v>
      </c>
      <c r="F10613">
        <f t="shared" si="165"/>
        <v>0.76333333333333331</v>
      </c>
    </row>
    <row r="10614" spans="1:6" x14ac:dyDescent="0.3">
      <c r="A10614" t="s">
        <v>1715</v>
      </c>
      <c r="B10614" t="s">
        <v>2128</v>
      </c>
      <c r="C10614">
        <v>35.5</v>
      </c>
      <c r="D10614">
        <v>43</v>
      </c>
      <c r="E10614">
        <f>IF(OR(B10614="vi",B10614="ii",B10614="pod"),(((D10614/100)*(C10614*VLOOKUP(B10614,'Poids des runes'!A:B,2,FALSE)))+1),(((D10614/100)*(C10614*VLOOKUP(B10614,'Poids des runes'!A:B,2,FALSE)))+1)/VLOOKUP(B10614,'Poids des runes'!A:B,2,FALSE))</f>
        <v>4.0530000000000008</v>
      </c>
      <c r="F10614">
        <f t="shared" si="165"/>
        <v>4.0530000000000008</v>
      </c>
    </row>
    <row r="10615" spans="1:6" x14ac:dyDescent="0.3">
      <c r="A10615" t="s">
        <v>1715</v>
      </c>
      <c r="B10615" t="s">
        <v>2126</v>
      </c>
      <c r="C10615">
        <v>18</v>
      </c>
      <c r="D10615">
        <v>43</v>
      </c>
      <c r="E10615">
        <f>IF(OR(B10615="vi",B10615="ii",B10615="pod"),(((D10615/100)*(C10615*VLOOKUP(B10615,'Poids des runes'!A:B,2,FALSE)))+1),(((D10615/100)*(C10615*VLOOKUP(B10615,'Poids des runes'!A:B,2,FALSE)))+1)/VLOOKUP(B10615,'Poids des runes'!A:B,2,FALSE))</f>
        <v>8.74</v>
      </c>
      <c r="F10615">
        <f t="shared" si="165"/>
        <v>8.74</v>
      </c>
    </row>
    <row r="10616" spans="1:6" x14ac:dyDescent="0.3">
      <c r="A10616" t="s">
        <v>1715</v>
      </c>
      <c r="B10616" t="s">
        <v>2131</v>
      </c>
      <c r="C10616">
        <v>18</v>
      </c>
      <c r="D10616">
        <v>43</v>
      </c>
      <c r="E10616">
        <f>IF(OR(B10616="vi",B10616="ii",B10616="pod"),(((D10616/100)*(C10616*VLOOKUP(B10616,'Poids des runes'!A:B,2,FALSE)))+1),(((D10616/100)*(C10616*VLOOKUP(B10616,'Poids des runes'!A:B,2,FALSE)))+1)/VLOOKUP(B10616,'Poids des runes'!A:B,2,FALSE))</f>
        <v>8.74</v>
      </c>
      <c r="F10616">
        <f t="shared" si="165"/>
        <v>8.74</v>
      </c>
    </row>
    <row r="10617" spans="1:6" x14ac:dyDescent="0.3">
      <c r="A10617" t="s">
        <v>1715</v>
      </c>
      <c r="B10617" t="s">
        <v>2129</v>
      </c>
      <c r="C10617">
        <v>13</v>
      </c>
      <c r="D10617">
        <v>43</v>
      </c>
      <c r="E10617">
        <f>IF(OR(B10617="vi",B10617="ii",B10617="pod"),(((D10617/100)*(C10617*VLOOKUP(B10617,'Poids des runes'!A:B,2,FALSE)))+1),(((D10617/100)*(C10617*VLOOKUP(B10617,'Poids des runes'!A:B,2,FALSE)))+1)/VLOOKUP(B10617,'Poids des runes'!A:B,2,FALSE))</f>
        <v>6.59</v>
      </c>
      <c r="F10617">
        <f t="shared" si="165"/>
        <v>6.59</v>
      </c>
    </row>
    <row r="10618" spans="1:6" x14ac:dyDescent="0.3">
      <c r="A10618" t="s">
        <v>1716</v>
      </c>
      <c r="B10618" t="s">
        <v>2128</v>
      </c>
      <c r="C10618">
        <v>30.5</v>
      </c>
      <c r="D10618">
        <v>43</v>
      </c>
      <c r="E10618">
        <f>IF(OR(B10618="vi",B10618="ii",B10618="pod"),(((D10618/100)*(C10618*VLOOKUP(B10618,'Poids des runes'!A:B,2,FALSE)))+1),(((D10618/100)*(C10618*VLOOKUP(B10618,'Poids des runes'!A:B,2,FALSE)))+1)/VLOOKUP(B10618,'Poids des runes'!A:B,2,FALSE))</f>
        <v>3.6230000000000002</v>
      </c>
      <c r="F10618">
        <f t="shared" si="165"/>
        <v>3.6230000000000002</v>
      </c>
    </row>
    <row r="10619" spans="1:6" x14ac:dyDescent="0.3">
      <c r="A10619" t="s">
        <v>1716</v>
      </c>
      <c r="B10619" t="s">
        <v>2130</v>
      </c>
      <c r="C10619">
        <v>25.5</v>
      </c>
      <c r="D10619">
        <v>43</v>
      </c>
      <c r="E10619">
        <f>IF(OR(B10619="vi",B10619="ii",B10619="pod"),(((D10619/100)*(C10619*VLOOKUP(B10619,'Poids des runes'!A:B,2,FALSE)))+1),(((D10619/100)*(C10619*VLOOKUP(B10619,'Poids des runes'!A:B,2,FALSE)))+1)/VLOOKUP(B10619,'Poids des runes'!A:B,2,FALSE))</f>
        <v>11.965</v>
      </c>
      <c r="F10619">
        <f t="shared" si="165"/>
        <v>11.965</v>
      </c>
    </row>
    <row r="10620" spans="1:6" x14ac:dyDescent="0.3">
      <c r="A10620" t="s">
        <v>1716</v>
      </c>
      <c r="B10620" t="s">
        <v>2129</v>
      </c>
      <c r="C10620">
        <v>13</v>
      </c>
      <c r="D10620">
        <v>43</v>
      </c>
      <c r="E10620">
        <f>IF(OR(B10620="vi",B10620="ii",B10620="pod"),(((D10620/100)*(C10620*VLOOKUP(B10620,'Poids des runes'!A:B,2,FALSE)))+1),(((D10620/100)*(C10620*VLOOKUP(B10620,'Poids des runes'!A:B,2,FALSE)))+1)/VLOOKUP(B10620,'Poids des runes'!A:B,2,FALSE))</f>
        <v>6.59</v>
      </c>
      <c r="F10620">
        <f t="shared" si="165"/>
        <v>6.59</v>
      </c>
    </row>
    <row r="10621" spans="1:6" x14ac:dyDescent="0.3">
      <c r="A10621" t="s">
        <v>1716</v>
      </c>
      <c r="B10621" t="s">
        <v>2143</v>
      </c>
      <c r="C10621">
        <v>4.5</v>
      </c>
      <c r="D10621">
        <v>43</v>
      </c>
      <c r="E10621">
        <f>IF(OR(B10621="vi",B10621="ii",B10621="pod"),(((D10621/100)*(C10621*VLOOKUP(B10621,'Poids des runes'!A:B,2,FALSE)))+1),(((D10621/100)*(C10621*VLOOKUP(B10621,'Poids des runes'!A:B,2,FALSE)))+1)/VLOOKUP(B10621,'Poids des runes'!A:B,2,FALSE))</f>
        <v>2.1350000000000002</v>
      </c>
      <c r="F10621">
        <f t="shared" si="165"/>
        <v>2.1350000000000002</v>
      </c>
    </row>
    <row r="10622" spans="1:6" x14ac:dyDescent="0.3">
      <c r="A10622" t="s">
        <v>1717</v>
      </c>
      <c r="B10622" t="s">
        <v>2128</v>
      </c>
      <c r="C10622">
        <v>18</v>
      </c>
      <c r="D10622">
        <v>43</v>
      </c>
      <c r="E10622">
        <f>IF(OR(B10622="vi",B10622="ii",B10622="pod"),(((D10622/100)*(C10622*VLOOKUP(B10622,'Poids des runes'!A:B,2,FALSE)))+1),(((D10622/100)*(C10622*VLOOKUP(B10622,'Poids des runes'!A:B,2,FALSE)))+1)/VLOOKUP(B10622,'Poids des runes'!A:B,2,FALSE))</f>
        <v>2.548</v>
      </c>
      <c r="F10622">
        <f t="shared" si="165"/>
        <v>2.548</v>
      </c>
    </row>
    <row r="10623" spans="1:6" x14ac:dyDescent="0.3">
      <c r="A10623" t="s">
        <v>1717</v>
      </c>
      <c r="B10623" t="s">
        <v>2131</v>
      </c>
      <c r="C10623">
        <v>35.5</v>
      </c>
      <c r="D10623">
        <v>43</v>
      </c>
      <c r="E10623">
        <f>IF(OR(B10623="vi",B10623="ii",B10623="pod"),(((D10623/100)*(C10623*VLOOKUP(B10623,'Poids des runes'!A:B,2,FALSE)))+1),(((D10623/100)*(C10623*VLOOKUP(B10623,'Poids des runes'!A:B,2,FALSE)))+1)/VLOOKUP(B10623,'Poids des runes'!A:B,2,FALSE))</f>
        <v>16.265000000000001</v>
      </c>
      <c r="F10623">
        <f t="shared" si="165"/>
        <v>16.265000000000001</v>
      </c>
    </row>
    <row r="10624" spans="1:6" x14ac:dyDescent="0.3">
      <c r="A10624" t="s">
        <v>1717</v>
      </c>
      <c r="B10624" t="s">
        <v>2151</v>
      </c>
      <c r="C10624">
        <v>2.5</v>
      </c>
      <c r="D10624">
        <v>43</v>
      </c>
      <c r="E10624">
        <f>IF(OR(B10624="vi",B10624="ii",B10624="pod"),(((D10624/100)*(C10624*VLOOKUP(B10624,'Poids des runes'!A:B,2,FALSE)))+1),(((D10624/100)*(C10624*VLOOKUP(B10624,'Poids des runes'!A:B,2,FALSE)))+1)/VLOOKUP(B10624,'Poids des runes'!A:B,2,FALSE))</f>
        <v>1.175</v>
      </c>
      <c r="F10624">
        <f t="shared" si="165"/>
        <v>1.175</v>
      </c>
    </row>
    <row r="10625" spans="1:6" x14ac:dyDescent="0.3">
      <c r="A10625" t="s">
        <v>1717</v>
      </c>
      <c r="B10625" t="s">
        <v>2134</v>
      </c>
      <c r="C10625">
        <v>2.5</v>
      </c>
      <c r="D10625">
        <v>43</v>
      </c>
      <c r="E10625">
        <f>IF(OR(B10625="vi",B10625="ii",B10625="pod"),(((D10625/100)*(C10625*VLOOKUP(B10625,'Poids des runes'!A:B,2,FALSE)))+1),(((D10625/100)*(C10625*VLOOKUP(B10625,'Poids des runes'!A:B,2,FALSE)))+1)/VLOOKUP(B10625,'Poids des runes'!A:B,2,FALSE))</f>
        <v>1.125</v>
      </c>
      <c r="F10625">
        <f t="shared" si="165"/>
        <v>1.125</v>
      </c>
    </row>
    <row r="10626" spans="1:6" x14ac:dyDescent="0.3">
      <c r="A10626" t="s">
        <v>1718</v>
      </c>
      <c r="B10626" t="s">
        <v>2128</v>
      </c>
      <c r="C10626">
        <v>50.5</v>
      </c>
      <c r="D10626">
        <v>44</v>
      </c>
      <c r="E10626">
        <f>IF(OR(B10626="vi",B10626="ii",B10626="pod"),(((D10626/100)*(C10626*VLOOKUP(B10626,'Poids des runes'!A:B,2,FALSE)))+1),(((D10626/100)*(C10626*VLOOKUP(B10626,'Poids des runes'!A:B,2,FALSE)))+1)/VLOOKUP(B10626,'Poids des runes'!A:B,2,FALSE))</f>
        <v>5.4440000000000008</v>
      </c>
      <c r="F10626">
        <f t="shared" si="165"/>
        <v>5.4440000000000008</v>
      </c>
    </row>
    <row r="10627" spans="1:6" x14ac:dyDescent="0.3">
      <c r="A10627" t="s">
        <v>1718</v>
      </c>
      <c r="B10627" t="s">
        <v>2131</v>
      </c>
      <c r="C10627">
        <v>25.5</v>
      </c>
      <c r="D10627">
        <v>44</v>
      </c>
      <c r="E10627">
        <f>IF(OR(B10627="vi",B10627="ii",B10627="pod"),(((D10627/100)*(C10627*VLOOKUP(B10627,'Poids des runes'!A:B,2,FALSE)))+1),(((D10627/100)*(C10627*VLOOKUP(B10627,'Poids des runes'!A:B,2,FALSE)))+1)/VLOOKUP(B10627,'Poids des runes'!A:B,2,FALSE))</f>
        <v>12.22</v>
      </c>
      <c r="F10627">
        <f t="shared" ref="F10627:F10690" si="166">E10627</f>
        <v>12.22</v>
      </c>
    </row>
    <row r="10628" spans="1:6" x14ac:dyDescent="0.3">
      <c r="A10628" t="s">
        <v>1718</v>
      </c>
      <c r="B10628" t="s">
        <v>2151</v>
      </c>
      <c r="C10628">
        <v>2.5</v>
      </c>
      <c r="D10628">
        <v>44</v>
      </c>
      <c r="E10628">
        <f>IF(OR(B10628="vi",B10628="ii",B10628="pod"),(((D10628/100)*(C10628*VLOOKUP(B10628,'Poids des runes'!A:B,2,FALSE)))+1),(((D10628/100)*(C10628*VLOOKUP(B10628,'Poids des runes'!A:B,2,FALSE)))+1)/VLOOKUP(B10628,'Poids des runes'!A:B,2,FALSE))</f>
        <v>1.2</v>
      </c>
      <c r="F10628">
        <f t="shared" si="166"/>
        <v>1.2</v>
      </c>
    </row>
    <row r="10629" spans="1:6" x14ac:dyDescent="0.3">
      <c r="A10629" t="s">
        <v>1719</v>
      </c>
      <c r="B10629" t="s">
        <v>2128</v>
      </c>
      <c r="C10629">
        <v>40.5</v>
      </c>
      <c r="D10629">
        <v>44</v>
      </c>
      <c r="E10629">
        <f>IF(OR(B10629="vi",B10629="ii",B10629="pod"),(((D10629/100)*(C10629*VLOOKUP(B10629,'Poids des runes'!A:B,2,FALSE)))+1),(((D10629/100)*(C10629*VLOOKUP(B10629,'Poids des runes'!A:B,2,FALSE)))+1)/VLOOKUP(B10629,'Poids des runes'!A:B,2,FALSE))</f>
        <v>4.5640000000000001</v>
      </c>
      <c r="F10629">
        <f t="shared" si="166"/>
        <v>4.5640000000000001</v>
      </c>
    </row>
    <row r="10630" spans="1:6" x14ac:dyDescent="0.3">
      <c r="A10630" t="s">
        <v>1719</v>
      </c>
      <c r="B10630" t="s">
        <v>2154</v>
      </c>
      <c r="C10630">
        <v>1</v>
      </c>
      <c r="D10630">
        <v>44</v>
      </c>
      <c r="E10630">
        <f>IF(OR(B10630="vi",B10630="ii",B10630="pod"),(((D10630/100)*(C10630*VLOOKUP(B10630,'Poids des runes'!A:B,2,FALSE)))+1),(((D10630/100)*(C10630*VLOOKUP(B10630,'Poids des runes'!A:B,2,FALSE)))+1)/VLOOKUP(B10630,'Poids des runes'!A:B,2,FALSE))</f>
        <v>0.45111111111111113</v>
      </c>
      <c r="F10630">
        <f t="shared" si="166"/>
        <v>0.45111111111111113</v>
      </c>
    </row>
    <row r="10631" spans="1:6" x14ac:dyDescent="0.3">
      <c r="A10631" t="s">
        <v>1720</v>
      </c>
      <c r="B10631" t="s">
        <v>2130</v>
      </c>
      <c r="C10631">
        <v>35.5</v>
      </c>
      <c r="D10631">
        <v>45</v>
      </c>
      <c r="E10631">
        <f>IF(OR(B10631="vi",B10631="ii",B10631="pod"),(((D10631/100)*(C10631*VLOOKUP(B10631,'Poids des runes'!A:B,2,FALSE)))+1),(((D10631/100)*(C10631*VLOOKUP(B10631,'Poids des runes'!A:B,2,FALSE)))+1)/VLOOKUP(B10631,'Poids des runes'!A:B,2,FALSE))</f>
        <v>16.975000000000001</v>
      </c>
      <c r="F10631">
        <f t="shared" si="166"/>
        <v>16.975000000000001</v>
      </c>
    </row>
    <row r="10632" spans="1:6" x14ac:dyDescent="0.3">
      <c r="A10632" t="s">
        <v>1720</v>
      </c>
      <c r="B10632" t="s">
        <v>2155</v>
      </c>
      <c r="C10632">
        <v>1</v>
      </c>
      <c r="D10632">
        <v>45</v>
      </c>
      <c r="E10632">
        <f>IF(OR(B10632="vi",B10632="ii",B10632="pod"),(((D10632/100)*(C10632*VLOOKUP(B10632,'Poids des runes'!A:B,2,FALSE)))+1),(((D10632/100)*(C10632*VLOOKUP(B10632,'Poids des runes'!A:B,2,FALSE)))+1)/VLOOKUP(B10632,'Poids des runes'!A:B,2,FALSE))</f>
        <v>0.4696078431372549</v>
      </c>
      <c r="F10632">
        <f t="shared" si="166"/>
        <v>0.4696078431372549</v>
      </c>
    </row>
    <row r="10633" spans="1:6" x14ac:dyDescent="0.3">
      <c r="A10633" t="s">
        <v>1721</v>
      </c>
      <c r="B10633" t="s">
        <v>2128</v>
      </c>
      <c r="C10633">
        <v>40.5</v>
      </c>
      <c r="D10633">
        <v>45</v>
      </c>
      <c r="E10633">
        <f>IF(OR(B10633="vi",B10633="ii",B10633="pod"),(((D10633/100)*(C10633*VLOOKUP(B10633,'Poids des runes'!A:B,2,FALSE)))+1),(((D10633/100)*(C10633*VLOOKUP(B10633,'Poids des runes'!A:B,2,FALSE)))+1)/VLOOKUP(B10633,'Poids des runes'!A:B,2,FALSE))</f>
        <v>4.6449999999999996</v>
      </c>
      <c r="F10633">
        <f t="shared" si="166"/>
        <v>4.6449999999999996</v>
      </c>
    </row>
    <row r="10634" spans="1:6" x14ac:dyDescent="0.3">
      <c r="A10634" t="s">
        <v>1721</v>
      </c>
      <c r="B10634" t="s">
        <v>2126</v>
      </c>
      <c r="C10634">
        <v>40.5</v>
      </c>
      <c r="D10634">
        <v>45</v>
      </c>
      <c r="E10634">
        <f>IF(OR(B10634="vi",B10634="ii",B10634="pod"),(((D10634/100)*(C10634*VLOOKUP(B10634,'Poids des runes'!A:B,2,FALSE)))+1),(((D10634/100)*(C10634*VLOOKUP(B10634,'Poids des runes'!A:B,2,FALSE)))+1)/VLOOKUP(B10634,'Poids des runes'!A:B,2,FALSE))</f>
        <v>19.225000000000001</v>
      </c>
      <c r="F10634">
        <f t="shared" si="166"/>
        <v>19.225000000000001</v>
      </c>
    </row>
    <row r="10635" spans="1:6" x14ac:dyDescent="0.3">
      <c r="A10635" t="s">
        <v>1721</v>
      </c>
      <c r="B10635" t="s">
        <v>2138</v>
      </c>
      <c r="C10635">
        <v>4.5</v>
      </c>
      <c r="D10635">
        <v>45</v>
      </c>
      <c r="E10635">
        <f>IF(OR(B10635="vi",B10635="ii",B10635="pod"),(((D10635/100)*(C10635*VLOOKUP(B10635,'Poids des runes'!A:B,2,FALSE)))+1),(((D10635/100)*(C10635*VLOOKUP(B10635,'Poids des runes'!A:B,2,FALSE)))+1)/VLOOKUP(B10635,'Poids des runes'!A:B,2,FALSE))</f>
        <v>2.2749999999999999</v>
      </c>
      <c r="F10635">
        <f t="shared" si="166"/>
        <v>2.2749999999999999</v>
      </c>
    </row>
    <row r="10636" spans="1:6" x14ac:dyDescent="0.3">
      <c r="A10636" t="s">
        <v>1721</v>
      </c>
      <c r="B10636" t="s">
        <v>2160</v>
      </c>
      <c r="C10636">
        <v>4.5</v>
      </c>
      <c r="D10636">
        <v>45</v>
      </c>
      <c r="E10636">
        <f>IF(OR(B10636="vi",B10636="ii",B10636="pod"),(((D10636/100)*(C10636*VLOOKUP(B10636,'Poids des runes'!A:B,2,FALSE)))+1),(((D10636/100)*(C10636*VLOOKUP(B10636,'Poids des runes'!A:B,2,FALSE)))+1)/VLOOKUP(B10636,'Poids des runes'!A:B,2,FALSE))</f>
        <v>2.1678571428571431</v>
      </c>
      <c r="F10636">
        <f t="shared" si="166"/>
        <v>2.1678571428571431</v>
      </c>
    </row>
    <row r="10637" spans="1:6" x14ac:dyDescent="0.3">
      <c r="A10637" t="s">
        <v>1722</v>
      </c>
      <c r="B10637" t="s">
        <v>2128</v>
      </c>
      <c r="C10637">
        <v>80</v>
      </c>
      <c r="D10637">
        <v>45</v>
      </c>
      <c r="E10637">
        <f>IF(OR(B10637="vi",B10637="ii",B10637="pod"),(((D10637/100)*(C10637*VLOOKUP(B10637,'Poids des runes'!A:B,2,FALSE)))+1),(((D10637/100)*(C10637*VLOOKUP(B10637,'Poids des runes'!A:B,2,FALSE)))+1)/VLOOKUP(B10637,'Poids des runes'!A:B,2,FALSE))</f>
        <v>8.1999999999999993</v>
      </c>
      <c r="F10637">
        <f t="shared" si="166"/>
        <v>8.1999999999999993</v>
      </c>
    </row>
    <row r="10638" spans="1:6" x14ac:dyDescent="0.3">
      <c r="A10638" t="s">
        <v>1722</v>
      </c>
      <c r="B10638" t="s">
        <v>2131</v>
      </c>
      <c r="C10638">
        <v>40</v>
      </c>
      <c r="D10638">
        <v>45</v>
      </c>
      <c r="E10638">
        <f>IF(OR(B10638="vi",B10638="ii",B10638="pod"),(((D10638/100)*(C10638*VLOOKUP(B10638,'Poids des runes'!A:B,2,FALSE)))+1),(((D10638/100)*(C10638*VLOOKUP(B10638,'Poids des runes'!A:B,2,FALSE)))+1)/VLOOKUP(B10638,'Poids des runes'!A:B,2,FALSE))</f>
        <v>19</v>
      </c>
      <c r="F10638">
        <f t="shared" si="166"/>
        <v>19</v>
      </c>
    </row>
    <row r="10639" spans="1:6" x14ac:dyDescent="0.3">
      <c r="A10639" t="s">
        <v>1722</v>
      </c>
      <c r="B10639" t="s">
        <v>2139</v>
      </c>
      <c r="C10639">
        <v>10</v>
      </c>
      <c r="D10639">
        <v>45</v>
      </c>
      <c r="E10639">
        <f>IF(OR(B10639="vi",B10639="ii",B10639="pod"),(((D10639/100)*(C10639*VLOOKUP(B10639,'Poids des runes'!A:B,2,FALSE)))+1),(((D10639/100)*(C10639*VLOOKUP(B10639,'Poids des runes'!A:B,2,FALSE)))+1)/VLOOKUP(B10639,'Poids des runes'!A:B,2,FALSE))</f>
        <v>5</v>
      </c>
      <c r="F10639">
        <f t="shared" si="166"/>
        <v>5</v>
      </c>
    </row>
    <row r="10640" spans="1:6" x14ac:dyDescent="0.3">
      <c r="A10640" t="s">
        <v>1723</v>
      </c>
      <c r="B10640" t="s">
        <v>2128</v>
      </c>
      <c r="C10640">
        <v>50.5</v>
      </c>
      <c r="D10640">
        <v>45</v>
      </c>
      <c r="E10640">
        <f>IF(OR(B10640="vi",B10640="ii",B10640="pod"),(((D10640/100)*(C10640*VLOOKUP(B10640,'Poids des runes'!A:B,2,FALSE)))+1),(((D10640/100)*(C10640*VLOOKUP(B10640,'Poids des runes'!A:B,2,FALSE)))+1)/VLOOKUP(B10640,'Poids des runes'!A:B,2,FALSE))</f>
        <v>5.5450000000000008</v>
      </c>
      <c r="F10640">
        <f t="shared" si="166"/>
        <v>5.5450000000000008</v>
      </c>
    </row>
    <row r="10641" spans="1:6" x14ac:dyDescent="0.3">
      <c r="A10641" t="s">
        <v>1723</v>
      </c>
      <c r="B10641" t="s">
        <v>2143</v>
      </c>
      <c r="C10641">
        <v>2.5</v>
      </c>
      <c r="D10641">
        <v>45</v>
      </c>
      <c r="E10641">
        <f>IF(OR(B10641="vi",B10641="ii",B10641="pod"),(((D10641/100)*(C10641*VLOOKUP(B10641,'Poids des runes'!A:B,2,FALSE)))+1),(((D10641/100)*(C10641*VLOOKUP(B10641,'Poids des runes'!A:B,2,FALSE)))+1)/VLOOKUP(B10641,'Poids des runes'!A:B,2,FALSE))</f>
        <v>1.325</v>
      </c>
      <c r="F10641">
        <f t="shared" si="166"/>
        <v>1.325</v>
      </c>
    </row>
    <row r="10642" spans="1:6" x14ac:dyDescent="0.3">
      <c r="A10642" t="s">
        <v>1723</v>
      </c>
      <c r="B10642" t="s">
        <v>2132</v>
      </c>
      <c r="C10642">
        <v>175.5</v>
      </c>
      <c r="D10642">
        <v>45</v>
      </c>
      <c r="E10642">
        <f>IF(OR(B10642="vi",B10642="ii",B10642="pod"),(((D10642/100)*(C10642*VLOOKUP(B10642,'Poids des runes'!A:B,2,FALSE)))+1),(((D10642/100)*(C10642*VLOOKUP(B10642,'Poids des runes'!A:B,2,FALSE)))+1)/VLOOKUP(B10642,'Poids des runes'!A:B,2,FALSE))</f>
        <v>8.8975000000000009</v>
      </c>
      <c r="F10642">
        <f t="shared" si="166"/>
        <v>8.8975000000000009</v>
      </c>
    </row>
    <row r="10643" spans="1:6" x14ac:dyDescent="0.3">
      <c r="A10643" t="s">
        <v>1723</v>
      </c>
      <c r="B10643" t="s">
        <v>2159</v>
      </c>
      <c r="C10643">
        <v>4.5</v>
      </c>
      <c r="D10643">
        <v>45</v>
      </c>
      <c r="E10643">
        <f>IF(OR(B10643="vi",B10643="ii",B10643="pod"),(((D10643/100)*(C10643*VLOOKUP(B10643,'Poids des runes'!A:B,2,FALSE)))+1),(((D10643/100)*(C10643*VLOOKUP(B10643,'Poids des runes'!A:B,2,FALSE)))+1)/VLOOKUP(B10643,'Poids des runes'!A:B,2,FALSE))</f>
        <v>2.1678571428571431</v>
      </c>
      <c r="F10643">
        <f t="shared" si="166"/>
        <v>2.1678571428571431</v>
      </c>
    </row>
    <row r="10644" spans="1:6" x14ac:dyDescent="0.3">
      <c r="A10644" t="s">
        <v>1723</v>
      </c>
      <c r="B10644" t="s">
        <v>2165</v>
      </c>
      <c r="C10644">
        <v>4.5</v>
      </c>
      <c r="D10644">
        <v>45</v>
      </c>
      <c r="E10644">
        <f>IF(OR(B10644="vi",B10644="ii",B10644="pod"),(((D10644/100)*(C10644*VLOOKUP(B10644,'Poids des runes'!A:B,2,FALSE)))+1),(((D10644/100)*(C10644*VLOOKUP(B10644,'Poids des runes'!A:B,2,FALSE)))+1)/VLOOKUP(B10644,'Poids des runes'!A:B,2,FALSE))</f>
        <v>2.1678571428571431</v>
      </c>
      <c r="F10644">
        <f t="shared" si="166"/>
        <v>2.1678571428571431</v>
      </c>
    </row>
    <row r="10645" spans="1:6" x14ac:dyDescent="0.3">
      <c r="A10645" t="s">
        <v>1724</v>
      </c>
      <c r="B10645" t="s">
        <v>2128</v>
      </c>
      <c r="C10645">
        <v>35.5</v>
      </c>
      <c r="D10645">
        <v>45</v>
      </c>
      <c r="E10645">
        <f>IF(OR(B10645="vi",B10645="ii",B10645="pod"),(((D10645/100)*(C10645*VLOOKUP(B10645,'Poids des runes'!A:B,2,FALSE)))+1),(((D10645/100)*(C10645*VLOOKUP(B10645,'Poids des runes'!A:B,2,FALSE)))+1)/VLOOKUP(B10645,'Poids des runes'!A:B,2,FALSE))</f>
        <v>4.1950000000000003</v>
      </c>
      <c r="F10645">
        <f t="shared" si="166"/>
        <v>4.1950000000000003</v>
      </c>
    </row>
    <row r="10646" spans="1:6" x14ac:dyDescent="0.3">
      <c r="A10646" t="s">
        <v>1724</v>
      </c>
      <c r="B10646" t="s">
        <v>2127</v>
      </c>
      <c r="C10646">
        <v>25.5</v>
      </c>
      <c r="D10646">
        <v>45</v>
      </c>
      <c r="E10646">
        <f>IF(OR(B10646="vi",B10646="ii",B10646="pod"),(((D10646/100)*(C10646*VLOOKUP(B10646,'Poids des runes'!A:B,2,FALSE)))+1),(((D10646/100)*(C10646*VLOOKUP(B10646,'Poids des runes'!A:B,2,FALSE)))+1)/VLOOKUP(B10646,'Poids des runes'!A:B,2,FALSE))</f>
        <v>12.475</v>
      </c>
      <c r="F10646">
        <f t="shared" si="166"/>
        <v>12.475</v>
      </c>
    </row>
    <row r="10647" spans="1:6" x14ac:dyDescent="0.3">
      <c r="A10647" t="s">
        <v>1724</v>
      </c>
      <c r="B10647" t="s">
        <v>2151</v>
      </c>
      <c r="C10647">
        <v>2.5</v>
      </c>
      <c r="D10647">
        <v>45</v>
      </c>
      <c r="E10647">
        <f>IF(OR(B10647="vi",B10647="ii",B10647="pod"),(((D10647/100)*(C10647*VLOOKUP(B10647,'Poids des runes'!A:B,2,FALSE)))+1),(((D10647/100)*(C10647*VLOOKUP(B10647,'Poids des runes'!A:B,2,FALSE)))+1)/VLOOKUP(B10647,'Poids des runes'!A:B,2,FALSE))</f>
        <v>1.2250000000000001</v>
      </c>
      <c r="F10647">
        <f t="shared" si="166"/>
        <v>1.2250000000000001</v>
      </c>
    </row>
    <row r="10648" spans="1:6" x14ac:dyDescent="0.3">
      <c r="A10648" t="s">
        <v>1724</v>
      </c>
      <c r="B10648" t="s">
        <v>2153</v>
      </c>
      <c r="C10648">
        <v>2</v>
      </c>
      <c r="D10648">
        <v>45</v>
      </c>
      <c r="E10648">
        <f>IF(OR(B10648="vi",B10648="ii",B10648="pod"),(((D10648/100)*(C10648*VLOOKUP(B10648,'Poids des runes'!A:B,2,FALSE)))+1),(((D10648/100)*(C10648*VLOOKUP(B10648,'Poids des runes'!A:B,2,FALSE)))+1)/VLOOKUP(B10648,'Poids des runes'!A:B,2,FALSE))</f>
        <v>1.1000000000000001</v>
      </c>
      <c r="F10648">
        <f t="shared" si="166"/>
        <v>1.1000000000000001</v>
      </c>
    </row>
    <row r="10649" spans="1:6" x14ac:dyDescent="0.3">
      <c r="A10649" t="s">
        <v>1724</v>
      </c>
      <c r="B10649" t="s">
        <v>2141</v>
      </c>
      <c r="C10649">
        <v>2.5</v>
      </c>
      <c r="D10649">
        <v>45</v>
      </c>
      <c r="E10649">
        <f>IF(OR(B10649="vi",B10649="ii",B10649="pod"),(((D10649/100)*(C10649*VLOOKUP(B10649,'Poids des runes'!A:B,2,FALSE)))+1),(((D10649/100)*(C10649*VLOOKUP(B10649,'Poids des runes'!A:B,2,FALSE)))+1)/VLOOKUP(B10649,'Poids des runes'!A:B,2,FALSE))</f>
        <v>1.375</v>
      </c>
      <c r="F10649">
        <f t="shared" si="166"/>
        <v>1.375</v>
      </c>
    </row>
    <row r="10650" spans="1:6" x14ac:dyDescent="0.3">
      <c r="A10650" t="s">
        <v>1724</v>
      </c>
      <c r="B10650" t="s">
        <v>2142</v>
      </c>
      <c r="C10650">
        <v>8.5</v>
      </c>
      <c r="D10650">
        <v>45</v>
      </c>
      <c r="E10650">
        <f>IF(OR(B10650="vi",B10650="ii",B10650="pod"),(((D10650/100)*(C10650*VLOOKUP(B10650,'Poids des runes'!A:B,2,FALSE)))+1),(((D10650/100)*(C10650*VLOOKUP(B10650,'Poids des runes'!A:B,2,FALSE)))+1)/VLOOKUP(B10650,'Poids des runes'!A:B,2,FALSE))</f>
        <v>4.0250000000000004</v>
      </c>
      <c r="F10650">
        <f t="shared" si="166"/>
        <v>4.0250000000000004</v>
      </c>
    </row>
    <row r="10651" spans="1:6" x14ac:dyDescent="0.3">
      <c r="A10651" t="s">
        <v>1725</v>
      </c>
      <c r="B10651" t="s">
        <v>2154</v>
      </c>
      <c r="C10651">
        <v>1</v>
      </c>
      <c r="D10651">
        <v>46</v>
      </c>
      <c r="E10651">
        <f>IF(OR(B10651="vi",B10651="ii",B10651="pod"),(((D10651/100)*(C10651*VLOOKUP(B10651,'Poids des runes'!A:B,2,FALSE)))+1),(((D10651/100)*(C10651*VLOOKUP(B10651,'Poids des runes'!A:B,2,FALSE)))+1)/VLOOKUP(B10651,'Poids des runes'!A:B,2,FALSE))</f>
        <v>0.47111111111111109</v>
      </c>
      <c r="F10651">
        <f t="shared" si="166"/>
        <v>0.47111111111111109</v>
      </c>
    </row>
    <row r="10652" spans="1:6" x14ac:dyDescent="0.3">
      <c r="A10652" t="s">
        <v>1726</v>
      </c>
      <c r="B10652" t="s">
        <v>2127</v>
      </c>
      <c r="C10652">
        <v>35.5</v>
      </c>
      <c r="D10652">
        <v>46</v>
      </c>
      <c r="E10652">
        <f>IF(OR(B10652="vi",B10652="ii",B10652="pod"),(((D10652/100)*(C10652*VLOOKUP(B10652,'Poids des runes'!A:B,2,FALSE)))+1),(((D10652/100)*(C10652*VLOOKUP(B10652,'Poids des runes'!A:B,2,FALSE)))+1)/VLOOKUP(B10652,'Poids des runes'!A:B,2,FALSE))</f>
        <v>17.330000000000002</v>
      </c>
      <c r="F10652">
        <f t="shared" si="166"/>
        <v>17.330000000000002</v>
      </c>
    </row>
    <row r="10653" spans="1:6" x14ac:dyDescent="0.3">
      <c r="A10653" t="s">
        <v>1726</v>
      </c>
      <c r="B10653" t="s">
        <v>2139</v>
      </c>
      <c r="C10653">
        <v>18</v>
      </c>
      <c r="D10653">
        <v>46</v>
      </c>
      <c r="E10653">
        <f>IF(OR(B10653="vi",B10653="ii",B10653="pod"),(((D10653/100)*(C10653*VLOOKUP(B10653,'Poids des runes'!A:B,2,FALSE)))+1),(((D10653/100)*(C10653*VLOOKUP(B10653,'Poids des runes'!A:B,2,FALSE)))+1)/VLOOKUP(B10653,'Poids des runes'!A:B,2,FALSE))</f>
        <v>8.7800000000000011</v>
      </c>
      <c r="F10653">
        <f t="shared" si="166"/>
        <v>8.7800000000000011</v>
      </c>
    </row>
    <row r="10654" spans="1:6" x14ac:dyDescent="0.3">
      <c r="A10654" t="s">
        <v>1726</v>
      </c>
      <c r="B10654" t="s">
        <v>2155</v>
      </c>
      <c r="C10654">
        <v>1</v>
      </c>
      <c r="D10654">
        <v>46</v>
      </c>
      <c r="E10654">
        <f>IF(OR(B10654="vi",B10654="ii",B10654="pod"),(((D10654/100)*(C10654*VLOOKUP(B10654,'Poids des runes'!A:B,2,FALSE)))+1),(((D10654/100)*(C10654*VLOOKUP(B10654,'Poids des runes'!A:B,2,FALSE)))+1)/VLOOKUP(B10654,'Poids des runes'!A:B,2,FALSE))</f>
        <v>0.47960784313725491</v>
      </c>
      <c r="F10654">
        <f t="shared" si="166"/>
        <v>0.47960784313725491</v>
      </c>
    </row>
    <row r="10655" spans="1:6" x14ac:dyDescent="0.3">
      <c r="A10655" t="s">
        <v>1727</v>
      </c>
      <c r="B10655" t="s">
        <v>2128</v>
      </c>
      <c r="C10655">
        <v>50.5</v>
      </c>
      <c r="D10655">
        <v>46</v>
      </c>
      <c r="E10655">
        <f>IF(OR(B10655="vi",B10655="ii",B10655="pod"),(((D10655/100)*(C10655*VLOOKUP(B10655,'Poids des runes'!A:B,2,FALSE)))+1),(((D10655/100)*(C10655*VLOOKUP(B10655,'Poids des runes'!A:B,2,FALSE)))+1)/VLOOKUP(B10655,'Poids des runes'!A:B,2,FALSE))</f>
        <v>5.6460000000000008</v>
      </c>
      <c r="F10655">
        <f t="shared" si="166"/>
        <v>5.6460000000000008</v>
      </c>
    </row>
    <row r="10656" spans="1:6" x14ac:dyDescent="0.3">
      <c r="A10656" t="s">
        <v>1727</v>
      </c>
      <c r="B10656" t="s">
        <v>2126</v>
      </c>
      <c r="C10656">
        <v>35.5</v>
      </c>
      <c r="D10656">
        <v>46</v>
      </c>
      <c r="E10656">
        <f>IF(OR(B10656="vi",B10656="ii",B10656="pod"),(((D10656/100)*(C10656*VLOOKUP(B10656,'Poids des runes'!A:B,2,FALSE)))+1),(((D10656/100)*(C10656*VLOOKUP(B10656,'Poids des runes'!A:B,2,FALSE)))+1)/VLOOKUP(B10656,'Poids des runes'!A:B,2,FALSE))</f>
        <v>17.330000000000002</v>
      </c>
      <c r="F10656">
        <f t="shared" si="166"/>
        <v>17.330000000000002</v>
      </c>
    </row>
    <row r="10657" spans="1:6" x14ac:dyDescent="0.3">
      <c r="A10657" t="s">
        <v>1727</v>
      </c>
      <c r="B10657" t="s">
        <v>2127</v>
      </c>
      <c r="C10657">
        <v>25.5</v>
      </c>
      <c r="D10657">
        <v>46</v>
      </c>
      <c r="E10657">
        <f>IF(OR(B10657="vi",B10657="ii",B10657="pod"),(((D10657/100)*(C10657*VLOOKUP(B10657,'Poids des runes'!A:B,2,FALSE)))+1),(((D10657/100)*(C10657*VLOOKUP(B10657,'Poids des runes'!A:B,2,FALSE)))+1)/VLOOKUP(B10657,'Poids des runes'!A:B,2,FALSE))</f>
        <v>12.73</v>
      </c>
      <c r="F10657">
        <f t="shared" si="166"/>
        <v>12.73</v>
      </c>
    </row>
    <row r="10658" spans="1:6" x14ac:dyDescent="0.3">
      <c r="A10658" t="s">
        <v>1727</v>
      </c>
      <c r="B10658" t="s">
        <v>2140</v>
      </c>
      <c r="C10658">
        <v>2.5</v>
      </c>
      <c r="D10658">
        <v>46</v>
      </c>
      <c r="E10658">
        <f>IF(OR(B10658="vi",B10658="ii",B10658="pod"),(((D10658/100)*(C10658*VLOOKUP(B10658,'Poids des runes'!A:B,2,FALSE)))+1),(((D10658/100)*(C10658*VLOOKUP(B10658,'Poids des runes'!A:B,2,FALSE)))+1)/VLOOKUP(B10658,'Poids des runes'!A:B,2,FALSE))</f>
        <v>1.35</v>
      </c>
      <c r="F10658">
        <f t="shared" si="166"/>
        <v>1.35</v>
      </c>
    </row>
    <row r="10659" spans="1:6" x14ac:dyDescent="0.3">
      <c r="A10659" t="s">
        <v>1727</v>
      </c>
      <c r="B10659" t="s">
        <v>2153</v>
      </c>
      <c r="C10659">
        <v>2.5</v>
      </c>
      <c r="D10659">
        <v>46</v>
      </c>
      <c r="E10659">
        <f>IF(OR(B10659="vi",B10659="ii",B10659="pod"),(((D10659/100)*(C10659*VLOOKUP(B10659,'Poids des runes'!A:B,2,FALSE)))+1),(((D10659/100)*(C10659*VLOOKUP(B10659,'Poids des runes'!A:B,2,FALSE)))+1)/VLOOKUP(B10659,'Poids des runes'!A:B,2,FALSE))</f>
        <v>1.35</v>
      </c>
      <c r="F10659">
        <f t="shared" si="166"/>
        <v>1.35</v>
      </c>
    </row>
    <row r="10660" spans="1:6" x14ac:dyDescent="0.3">
      <c r="A10660" t="s">
        <v>1728</v>
      </c>
      <c r="B10660" t="s">
        <v>2128</v>
      </c>
      <c r="C10660">
        <v>35.5</v>
      </c>
      <c r="D10660">
        <v>46</v>
      </c>
      <c r="E10660">
        <f>IF(OR(B10660="vi",B10660="ii",B10660="pod"),(((D10660/100)*(C10660*VLOOKUP(B10660,'Poids des runes'!A:B,2,FALSE)))+1),(((D10660/100)*(C10660*VLOOKUP(B10660,'Poids des runes'!A:B,2,FALSE)))+1)/VLOOKUP(B10660,'Poids des runes'!A:B,2,FALSE))</f>
        <v>4.266</v>
      </c>
      <c r="F10660">
        <f t="shared" si="166"/>
        <v>4.266</v>
      </c>
    </row>
    <row r="10661" spans="1:6" x14ac:dyDescent="0.3">
      <c r="A10661" t="s">
        <v>1728</v>
      </c>
      <c r="B10661" t="s">
        <v>2127</v>
      </c>
      <c r="C10661">
        <v>25.5</v>
      </c>
      <c r="D10661">
        <v>46</v>
      </c>
      <c r="E10661">
        <f>IF(OR(B10661="vi",B10661="ii",B10661="pod"),(((D10661/100)*(C10661*VLOOKUP(B10661,'Poids des runes'!A:B,2,FALSE)))+1),(((D10661/100)*(C10661*VLOOKUP(B10661,'Poids des runes'!A:B,2,FALSE)))+1)/VLOOKUP(B10661,'Poids des runes'!A:B,2,FALSE))</f>
        <v>12.73</v>
      </c>
      <c r="F10661">
        <f t="shared" si="166"/>
        <v>12.73</v>
      </c>
    </row>
    <row r="10662" spans="1:6" x14ac:dyDescent="0.3">
      <c r="A10662" t="s">
        <v>1728</v>
      </c>
      <c r="B10662" t="s">
        <v>2129</v>
      </c>
      <c r="C10662">
        <v>13</v>
      </c>
      <c r="D10662">
        <v>46</v>
      </c>
      <c r="E10662">
        <f>IF(OR(B10662="vi",B10662="ii",B10662="pod"),(((D10662/100)*(C10662*VLOOKUP(B10662,'Poids des runes'!A:B,2,FALSE)))+1),(((D10662/100)*(C10662*VLOOKUP(B10662,'Poids des runes'!A:B,2,FALSE)))+1)/VLOOKUP(B10662,'Poids des runes'!A:B,2,FALSE))</f>
        <v>6.98</v>
      </c>
      <c r="F10662">
        <f t="shared" si="166"/>
        <v>6.98</v>
      </c>
    </row>
    <row r="10663" spans="1:6" x14ac:dyDescent="0.3">
      <c r="A10663" t="s">
        <v>1728</v>
      </c>
      <c r="B10663" t="s">
        <v>2141</v>
      </c>
      <c r="C10663">
        <v>4.5</v>
      </c>
      <c r="D10663">
        <v>46</v>
      </c>
      <c r="E10663">
        <f>IF(OR(B10663="vi",B10663="ii",B10663="pod"),(((D10663/100)*(C10663*VLOOKUP(B10663,'Poids des runes'!A:B,2,FALSE)))+1),(((D10663/100)*(C10663*VLOOKUP(B10663,'Poids des runes'!A:B,2,FALSE)))+1)/VLOOKUP(B10663,'Poids des runes'!A:B,2,FALSE))</f>
        <v>2.3200000000000003</v>
      </c>
      <c r="F10663">
        <f t="shared" si="166"/>
        <v>2.3200000000000003</v>
      </c>
    </row>
    <row r="10664" spans="1:6" x14ac:dyDescent="0.3">
      <c r="A10664" t="s">
        <v>1728</v>
      </c>
      <c r="B10664" t="s">
        <v>2159</v>
      </c>
      <c r="C10664">
        <v>4.5</v>
      </c>
      <c r="D10664">
        <v>46</v>
      </c>
      <c r="E10664">
        <f>IF(OR(B10664="vi",B10664="ii",B10664="pod"),(((D10664/100)*(C10664*VLOOKUP(B10664,'Poids des runes'!A:B,2,FALSE)))+1),(((D10664/100)*(C10664*VLOOKUP(B10664,'Poids des runes'!A:B,2,FALSE)))+1)/VLOOKUP(B10664,'Poids des runes'!A:B,2,FALSE))</f>
        <v>2.2128571428571431</v>
      </c>
      <c r="F10664">
        <f t="shared" si="166"/>
        <v>2.2128571428571431</v>
      </c>
    </row>
    <row r="10665" spans="1:6" x14ac:dyDescent="0.3">
      <c r="A10665" t="s">
        <v>1729</v>
      </c>
      <c r="B10665" t="s">
        <v>2128</v>
      </c>
      <c r="C10665">
        <v>50.5</v>
      </c>
      <c r="D10665">
        <v>46</v>
      </c>
      <c r="E10665">
        <f>IF(OR(B10665="vi",B10665="ii",B10665="pod"),(((D10665/100)*(C10665*VLOOKUP(B10665,'Poids des runes'!A:B,2,FALSE)))+1),(((D10665/100)*(C10665*VLOOKUP(B10665,'Poids des runes'!A:B,2,FALSE)))+1)/VLOOKUP(B10665,'Poids des runes'!A:B,2,FALSE))</f>
        <v>5.6460000000000008</v>
      </c>
      <c r="F10665">
        <f t="shared" si="166"/>
        <v>5.6460000000000008</v>
      </c>
    </row>
    <row r="10666" spans="1:6" x14ac:dyDescent="0.3">
      <c r="A10666" t="s">
        <v>1729</v>
      </c>
      <c r="B10666" t="s">
        <v>2129</v>
      </c>
      <c r="C10666">
        <v>18</v>
      </c>
      <c r="D10666">
        <v>46</v>
      </c>
      <c r="E10666">
        <f>IF(OR(B10666="vi",B10666="ii",B10666="pod"),(((D10666/100)*(C10666*VLOOKUP(B10666,'Poids des runes'!A:B,2,FALSE)))+1),(((D10666/100)*(C10666*VLOOKUP(B10666,'Poids des runes'!A:B,2,FALSE)))+1)/VLOOKUP(B10666,'Poids des runes'!A:B,2,FALSE))</f>
        <v>9.2800000000000011</v>
      </c>
      <c r="F10666">
        <f t="shared" si="166"/>
        <v>9.2800000000000011</v>
      </c>
    </row>
    <row r="10667" spans="1:6" x14ac:dyDescent="0.3">
      <c r="A10667" t="s">
        <v>1729</v>
      </c>
      <c r="B10667" t="s">
        <v>2139</v>
      </c>
      <c r="C10667">
        <v>25.5</v>
      </c>
      <c r="D10667">
        <v>46</v>
      </c>
      <c r="E10667">
        <f>IF(OR(B10667="vi",B10667="ii",B10667="pod"),(((D10667/100)*(C10667*VLOOKUP(B10667,'Poids des runes'!A:B,2,FALSE)))+1),(((D10667/100)*(C10667*VLOOKUP(B10667,'Poids des runes'!A:B,2,FALSE)))+1)/VLOOKUP(B10667,'Poids des runes'!A:B,2,FALSE))</f>
        <v>12.23</v>
      </c>
      <c r="F10667">
        <f t="shared" si="166"/>
        <v>12.23</v>
      </c>
    </row>
    <row r="10668" spans="1:6" x14ac:dyDescent="0.3">
      <c r="A10668" t="s">
        <v>1730</v>
      </c>
      <c r="B10668" t="s">
        <v>2128</v>
      </c>
      <c r="C10668">
        <v>40.5</v>
      </c>
      <c r="D10668">
        <v>47</v>
      </c>
      <c r="E10668">
        <f>IF(OR(B10668="vi",B10668="ii",B10668="pod"),(((D10668/100)*(C10668*VLOOKUP(B10668,'Poids des runes'!A:B,2,FALSE)))+1),(((D10668/100)*(C10668*VLOOKUP(B10668,'Poids des runes'!A:B,2,FALSE)))+1)/VLOOKUP(B10668,'Poids des runes'!A:B,2,FALSE))</f>
        <v>4.8069999999999995</v>
      </c>
      <c r="F10668">
        <f t="shared" si="166"/>
        <v>4.8069999999999995</v>
      </c>
    </row>
    <row r="10669" spans="1:6" x14ac:dyDescent="0.3">
      <c r="A10669" t="s">
        <v>1730</v>
      </c>
      <c r="B10669" t="s">
        <v>2126</v>
      </c>
      <c r="C10669">
        <v>35.5</v>
      </c>
      <c r="D10669">
        <v>47</v>
      </c>
      <c r="E10669">
        <f>IF(OR(B10669="vi",B10669="ii",B10669="pod"),(((D10669/100)*(C10669*VLOOKUP(B10669,'Poids des runes'!A:B,2,FALSE)))+1),(((D10669/100)*(C10669*VLOOKUP(B10669,'Poids des runes'!A:B,2,FALSE)))+1)/VLOOKUP(B10669,'Poids des runes'!A:B,2,FALSE))</f>
        <v>17.684999999999999</v>
      </c>
      <c r="F10669">
        <f t="shared" si="166"/>
        <v>17.684999999999999</v>
      </c>
    </row>
    <row r="10670" spans="1:6" x14ac:dyDescent="0.3">
      <c r="A10670" t="s">
        <v>1730</v>
      </c>
      <c r="B10670" t="s">
        <v>2131</v>
      </c>
      <c r="C10670">
        <v>35.5</v>
      </c>
      <c r="D10670">
        <v>47</v>
      </c>
      <c r="E10670">
        <f>IF(OR(B10670="vi",B10670="ii",B10670="pod"),(((D10670/100)*(C10670*VLOOKUP(B10670,'Poids des runes'!A:B,2,FALSE)))+1),(((D10670/100)*(C10670*VLOOKUP(B10670,'Poids des runes'!A:B,2,FALSE)))+1)/VLOOKUP(B10670,'Poids des runes'!A:B,2,FALSE))</f>
        <v>17.684999999999999</v>
      </c>
      <c r="F10670">
        <f t="shared" si="166"/>
        <v>17.684999999999999</v>
      </c>
    </row>
    <row r="10671" spans="1:6" x14ac:dyDescent="0.3">
      <c r="A10671" t="s">
        <v>1730</v>
      </c>
      <c r="B10671" t="s">
        <v>2129</v>
      </c>
      <c r="C10671">
        <v>18</v>
      </c>
      <c r="D10671">
        <v>47</v>
      </c>
      <c r="E10671">
        <f>IF(OR(B10671="vi",B10671="ii",B10671="pod"),(((D10671/100)*(C10671*VLOOKUP(B10671,'Poids des runes'!A:B,2,FALSE)))+1),(((D10671/100)*(C10671*VLOOKUP(B10671,'Poids des runes'!A:B,2,FALSE)))+1)/VLOOKUP(B10671,'Poids des runes'!A:B,2,FALSE))</f>
        <v>9.4599999999999991</v>
      </c>
      <c r="F10671">
        <f t="shared" si="166"/>
        <v>9.4599999999999991</v>
      </c>
    </row>
    <row r="10672" spans="1:6" x14ac:dyDescent="0.3">
      <c r="A10672" t="s">
        <v>1731</v>
      </c>
      <c r="B10672" t="s">
        <v>2130</v>
      </c>
      <c r="C10672">
        <v>30.5</v>
      </c>
      <c r="D10672">
        <v>47</v>
      </c>
      <c r="E10672">
        <f>IF(OR(B10672="vi",B10672="ii",B10672="pod"),(((D10672/100)*(C10672*VLOOKUP(B10672,'Poids des runes'!A:B,2,FALSE)))+1),(((D10672/100)*(C10672*VLOOKUP(B10672,'Poids des runes'!A:B,2,FALSE)))+1)/VLOOKUP(B10672,'Poids des runes'!A:B,2,FALSE))</f>
        <v>15.334999999999999</v>
      </c>
      <c r="F10672">
        <f t="shared" si="166"/>
        <v>15.334999999999999</v>
      </c>
    </row>
    <row r="10673" spans="1:6" x14ac:dyDescent="0.3">
      <c r="A10673" t="s">
        <v>1731</v>
      </c>
      <c r="B10673" t="s">
        <v>2126</v>
      </c>
      <c r="C10673">
        <v>30.5</v>
      </c>
      <c r="D10673">
        <v>47</v>
      </c>
      <c r="E10673">
        <f>IF(OR(B10673="vi",B10673="ii",B10673="pod"),(((D10673/100)*(C10673*VLOOKUP(B10673,'Poids des runes'!A:B,2,FALSE)))+1),(((D10673/100)*(C10673*VLOOKUP(B10673,'Poids des runes'!A:B,2,FALSE)))+1)/VLOOKUP(B10673,'Poids des runes'!A:B,2,FALSE))</f>
        <v>15.334999999999999</v>
      </c>
      <c r="F10673">
        <f t="shared" si="166"/>
        <v>15.334999999999999</v>
      </c>
    </row>
    <row r="10674" spans="1:6" x14ac:dyDescent="0.3">
      <c r="A10674" t="s">
        <v>1731</v>
      </c>
      <c r="B10674" t="s">
        <v>2127</v>
      </c>
      <c r="C10674">
        <v>45.5</v>
      </c>
      <c r="D10674">
        <v>47</v>
      </c>
      <c r="E10674">
        <f>IF(OR(B10674="vi",B10674="ii",B10674="pod"),(((D10674/100)*(C10674*VLOOKUP(B10674,'Poids des runes'!A:B,2,FALSE)))+1),(((D10674/100)*(C10674*VLOOKUP(B10674,'Poids des runes'!A:B,2,FALSE)))+1)/VLOOKUP(B10674,'Poids des runes'!A:B,2,FALSE))</f>
        <v>22.384999999999998</v>
      </c>
      <c r="F10674">
        <f t="shared" si="166"/>
        <v>22.384999999999998</v>
      </c>
    </row>
    <row r="10675" spans="1:6" x14ac:dyDescent="0.3">
      <c r="A10675" t="s">
        <v>1732</v>
      </c>
      <c r="B10675" t="s">
        <v>2131</v>
      </c>
      <c r="C10675">
        <v>18</v>
      </c>
      <c r="D10675">
        <v>47</v>
      </c>
      <c r="E10675">
        <f>IF(OR(B10675="vi",B10675="ii",B10675="pod"),(((D10675/100)*(C10675*VLOOKUP(B10675,'Poids des runes'!A:B,2,FALSE)))+1),(((D10675/100)*(C10675*VLOOKUP(B10675,'Poids des runes'!A:B,2,FALSE)))+1)/VLOOKUP(B10675,'Poids des runes'!A:B,2,FALSE))</f>
        <v>9.4599999999999991</v>
      </c>
      <c r="F10675">
        <f t="shared" si="166"/>
        <v>9.4599999999999991</v>
      </c>
    </row>
    <row r="10676" spans="1:6" x14ac:dyDescent="0.3">
      <c r="A10676" t="s">
        <v>1732</v>
      </c>
      <c r="B10676" t="s">
        <v>2127</v>
      </c>
      <c r="C10676">
        <v>18</v>
      </c>
      <c r="D10676">
        <v>47</v>
      </c>
      <c r="E10676">
        <f>IF(OR(B10676="vi",B10676="ii",B10676="pod"),(((D10676/100)*(C10676*VLOOKUP(B10676,'Poids des runes'!A:B,2,FALSE)))+1),(((D10676/100)*(C10676*VLOOKUP(B10676,'Poids des runes'!A:B,2,FALSE)))+1)/VLOOKUP(B10676,'Poids des runes'!A:B,2,FALSE))</f>
        <v>9.4599999999999991</v>
      </c>
      <c r="F10676">
        <f t="shared" si="166"/>
        <v>9.4599999999999991</v>
      </c>
    </row>
    <row r="10677" spans="1:6" x14ac:dyDescent="0.3">
      <c r="A10677" t="s">
        <v>1732</v>
      </c>
      <c r="B10677" t="s">
        <v>2140</v>
      </c>
      <c r="C10677">
        <v>5.5</v>
      </c>
      <c r="D10677">
        <v>47</v>
      </c>
      <c r="E10677">
        <f>IF(OR(B10677="vi",B10677="ii",B10677="pod"),(((D10677/100)*(C10677*VLOOKUP(B10677,'Poids des runes'!A:B,2,FALSE)))+1),(((D10677/100)*(C10677*VLOOKUP(B10677,'Poids des runes'!A:B,2,FALSE)))+1)/VLOOKUP(B10677,'Poids des runes'!A:B,2,FALSE))</f>
        <v>2.7849999999999997</v>
      </c>
      <c r="F10677">
        <f t="shared" si="166"/>
        <v>2.7849999999999997</v>
      </c>
    </row>
    <row r="10678" spans="1:6" x14ac:dyDescent="0.3">
      <c r="A10678" t="s">
        <v>1732</v>
      </c>
      <c r="B10678" t="s">
        <v>2161</v>
      </c>
      <c r="C10678">
        <v>8.5</v>
      </c>
      <c r="D10678">
        <v>47</v>
      </c>
      <c r="E10678">
        <f>IF(OR(B10678="vi",B10678="ii",B10678="pod"),(((D10678/100)*(C10678*VLOOKUP(B10678,'Poids des runes'!A:B,2,FALSE)))+1),(((D10678/100)*(C10678*VLOOKUP(B10678,'Poids des runes'!A:B,2,FALSE)))+1)/VLOOKUP(B10678,'Poids des runes'!A:B,2,FALSE))</f>
        <v>4.3283333333333331</v>
      </c>
      <c r="F10678">
        <f t="shared" si="166"/>
        <v>4.3283333333333331</v>
      </c>
    </row>
    <row r="10679" spans="1:6" x14ac:dyDescent="0.3">
      <c r="A10679" t="s">
        <v>1732</v>
      </c>
      <c r="B10679" t="s">
        <v>2162</v>
      </c>
      <c r="C10679">
        <v>5.5</v>
      </c>
      <c r="D10679">
        <v>47</v>
      </c>
      <c r="E10679">
        <f>IF(OR(B10679="vi",B10679="ii",B10679="pod"),(((D10679/100)*(C10679*VLOOKUP(B10679,'Poids des runes'!A:B,2,FALSE)))+1),(((D10679/100)*(C10679*VLOOKUP(B10679,'Poids des runes'!A:B,2,FALSE)))+1)/VLOOKUP(B10679,'Poids des runes'!A:B,2,FALSE))</f>
        <v>2.7278571428571428</v>
      </c>
      <c r="F10679">
        <f t="shared" si="166"/>
        <v>2.7278571428571428</v>
      </c>
    </row>
    <row r="10680" spans="1:6" x14ac:dyDescent="0.3">
      <c r="A10680" t="s">
        <v>1733</v>
      </c>
      <c r="B10680" t="s">
        <v>2128</v>
      </c>
      <c r="C10680">
        <v>25.5</v>
      </c>
      <c r="D10680">
        <v>48</v>
      </c>
      <c r="E10680">
        <f>IF(OR(B10680="vi",B10680="ii",B10680="pod"),(((D10680/100)*(C10680*VLOOKUP(B10680,'Poids des runes'!A:B,2,FALSE)))+1),(((D10680/100)*(C10680*VLOOKUP(B10680,'Poids des runes'!A:B,2,FALSE)))+1)/VLOOKUP(B10680,'Poids des runes'!A:B,2,FALSE))</f>
        <v>3.448</v>
      </c>
      <c r="F10680">
        <f t="shared" si="166"/>
        <v>3.448</v>
      </c>
    </row>
    <row r="10681" spans="1:6" x14ac:dyDescent="0.3">
      <c r="A10681" t="s">
        <v>1733</v>
      </c>
      <c r="B10681" t="s">
        <v>2130</v>
      </c>
      <c r="C10681">
        <v>25.5</v>
      </c>
      <c r="D10681">
        <v>48</v>
      </c>
      <c r="E10681">
        <f>IF(OR(B10681="vi",B10681="ii",B10681="pod"),(((D10681/100)*(C10681*VLOOKUP(B10681,'Poids des runes'!A:B,2,FALSE)))+1),(((D10681/100)*(C10681*VLOOKUP(B10681,'Poids des runes'!A:B,2,FALSE)))+1)/VLOOKUP(B10681,'Poids des runes'!A:B,2,FALSE))</f>
        <v>13.24</v>
      </c>
      <c r="F10681">
        <f t="shared" si="166"/>
        <v>13.24</v>
      </c>
    </row>
    <row r="10682" spans="1:6" x14ac:dyDescent="0.3">
      <c r="A10682" t="s">
        <v>1733</v>
      </c>
      <c r="B10682" t="s">
        <v>2131</v>
      </c>
      <c r="C10682">
        <v>18</v>
      </c>
      <c r="D10682">
        <v>48</v>
      </c>
      <c r="E10682">
        <f>IF(OR(B10682="vi",B10682="ii",B10682="pod"),(((D10682/100)*(C10682*VLOOKUP(B10682,'Poids des runes'!A:B,2,FALSE)))+1),(((D10682/100)*(C10682*VLOOKUP(B10682,'Poids des runes'!A:B,2,FALSE)))+1)/VLOOKUP(B10682,'Poids des runes'!A:B,2,FALSE))</f>
        <v>9.64</v>
      </c>
      <c r="F10682">
        <f t="shared" si="166"/>
        <v>9.64</v>
      </c>
    </row>
    <row r="10683" spans="1:6" x14ac:dyDescent="0.3">
      <c r="A10683" t="s">
        <v>1733</v>
      </c>
      <c r="B10683" t="s">
        <v>2134</v>
      </c>
      <c r="C10683">
        <v>2.5</v>
      </c>
      <c r="D10683">
        <v>48</v>
      </c>
      <c r="E10683">
        <f>IF(OR(B10683="vi",B10683="ii",B10683="pod"),(((D10683/100)*(C10683*VLOOKUP(B10683,'Poids des runes'!A:B,2,FALSE)))+1),(((D10683/100)*(C10683*VLOOKUP(B10683,'Poids des runes'!A:B,2,FALSE)))+1)/VLOOKUP(B10683,'Poids des runes'!A:B,2,FALSE))</f>
        <v>1.25</v>
      </c>
      <c r="F10683">
        <f t="shared" si="166"/>
        <v>1.25</v>
      </c>
    </row>
    <row r="10684" spans="1:6" x14ac:dyDescent="0.3">
      <c r="A10684" t="s">
        <v>1733</v>
      </c>
      <c r="B10684" t="s">
        <v>2138</v>
      </c>
      <c r="C10684">
        <v>2.5</v>
      </c>
      <c r="D10684">
        <v>48</v>
      </c>
      <c r="E10684">
        <f>IF(OR(B10684="vi",B10684="ii",B10684="pod"),(((D10684/100)*(C10684*VLOOKUP(B10684,'Poids des runes'!A:B,2,FALSE)))+1),(((D10684/100)*(C10684*VLOOKUP(B10684,'Poids des runes'!A:B,2,FALSE)))+1)/VLOOKUP(B10684,'Poids des runes'!A:B,2,FALSE))</f>
        <v>1.45</v>
      </c>
      <c r="F10684">
        <f t="shared" si="166"/>
        <v>1.45</v>
      </c>
    </row>
    <row r="10685" spans="1:6" x14ac:dyDescent="0.3">
      <c r="A10685" t="s">
        <v>1734</v>
      </c>
      <c r="B10685" t="s">
        <v>2130</v>
      </c>
      <c r="C10685">
        <v>25.5</v>
      </c>
      <c r="D10685">
        <v>48</v>
      </c>
      <c r="E10685">
        <f>IF(OR(B10685="vi",B10685="ii",B10685="pod"),(((D10685/100)*(C10685*VLOOKUP(B10685,'Poids des runes'!A:B,2,FALSE)))+1),(((D10685/100)*(C10685*VLOOKUP(B10685,'Poids des runes'!A:B,2,FALSE)))+1)/VLOOKUP(B10685,'Poids des runes'!A:B,2,FALSE))</f>
        <v>13.24</v>
      </c>
      <c r="F10685">
        <f t="shared" si="166"/>
        <v>13.24</v>
      </c>
    </row>
    <row r="10686" spans="1:6" x14ac:dyDescent="0.3">
      <c r="A10686" t="s">
        <v>1734</v>
      </c>
      <c r="B10686" t="s">
        <v>2131</v>
      </c>
      <c r="C10686">
        <v>13</v>
      </c>
      <c r="D10686">
        <v>48</v>
      </c>
      <c r="E10686">
        <f>IF(OR(B10686="vi",B10686="ii",B10686="pod"),(((D10686/100)*(C10686*VLOOKUP(B10686,'Poids des runes'!A:B,2,FALSE)))+1),(((D10686/100)*(C10686*VLOOKUP(B10686,'Poids des runes'!A:B,2,FALSE)))+1)/VLOOKUP(B10686,'Poids des runes'!A:B,2,FALSE))</f>
        <v>7.24</v>
      </c>
      <c r="F10686">
        <f t="shared" si="166"/>
        <v>7.24</v>
      </c>
    </row>
    <row r="10687" spans="1:6" x14ac:dyDescent="0.3">
      <c r="A10687" t="s">
        <v>1734</v>
      </c>
      <c r="B10687" t="s">
        <v>2134</v>
      </c>
      <c r="C10687">
        <v>2</v>
      </c>
      <c r="D10687">
        <v>48</v>
      </c>
      <c r="E10687">
        <f>IF(OR(B10687="vi",B10687="ii",B10687="pod"),(((D10687/100)*(C10687*VLOOKUP(B10687,'Poids des runes'!A:B,2,FALSE)))+1),(((D10687/100)*(C10687*VLOOKUP(B10687,'Poids des runes'!A:B,2,FALSE)))+1)/VLOOKUP(B10687,'Poids des runes'!A:B,2,FALSE))</f>
        <v>1.01</v>
      </c>
      <c r="F10687">
        <f t="shared" si="166"/>
        <v>1.01</v>
      </c>
    </row>
    <row r="10688" spans="1:6" x14ac:dyDescent="0.3">
      <c r="A10688" t="s">
        <v>1735</v>
      </c>
      <c r="B10688" t="s">
        <v>2126</v>
      </c>
      <c r="C10688">
        <v>35.5</v>
      </c>
      <c r="D10688">
        <v>48</v>
      </c>
      <c r="E10688">
        <f>IF(OR(B10688="vi",B10688="ii",B10688="pod"),(((D10688/100)*(C10688*VLOOKUP(B10688,'Poids des runes'!A:B,2,FALSE)))+1),(((D10688/100)*(C10688*VLOOKUP(B10688,'Poids des runes'!A:B,2,FALSE)))+1)/VLOOKUP(B10688,'Poids des runes'!A:B,2,FALSE))</f>
        <v>18.04</v>
      </c>
      <c r="F10688">
        <f t="shared" si="166"/>
        <v>18.04</v>
      </c>
    </row>
    <row r="10689" spans="1:6" x14ac:dyDescent="0.3">
      <c r="A10689" t="s">
        <v>1735</v>
      </c>
      <c r="B10689" t="s">
        <v>2131</v>
      </c>
      <c r="C10689">
        <v>25.5</v>
      </c>
      <c r="D10689">
        <v>48</v>
      </c>
      <c r="E10689">
        <f>IF(OR(B10689="vi",B10689="ii",B10689="pod"),(((D10689/100)*(C10689*VLOOKUP(B10689,'Poids des runes'!A:B,2,FALSE)))+1),(((D10689/100)*(C10689*VLOOKUP(B10689,'Poids des runes'!A:B,2,FALSE)))+1)/VLOOKUP(B10689,'Poids des runes'!A:B,2,FALSE))</f>
        <v>13.24</v>
      </c>
      <c r="F10689">
        <f t="shared" si="166"/>
        <v>13.24</v>
      </c>
    </row>
    <row r="10690" spans="1:6" x14ac:dyDescent="0.3">
      <c r="A10690" t="s">
        <v>1735</v>
      </c>
      <c r="B10690" t="s">
        <v>2140</v>
      </c>
      <c r="C10690">
        <v>2.5</v>
      </c>
      <c r="D10690">
        <v>48</v>
      </c>
      <c r="E10690">
        <f>IF(OR(B10690="vi",B10690="ii",B10690="pod"),(((D10690/100)*(C10690*VLOOKUP(B10690,'Poids des runes'!A:B,2,FALSE)))+1),(((D10690/100)*(C10690*VLOOKUP(B10690,'Poids des runes'!A:B,2,FALSE)))+1)/VLOOKUP(B10690,'Poids des runes'!A:B,2,FALSE))</f>
        <v>1.4</v>
      </c>
      <c r="F10690">
        <f t="shared" si="166"/>
        <v>1.4</v>
      </c>
    </row>
    <row r="10691" spans="1:6" x14ac:dyDescent="0.3">
      <c r="A10691" t="s">
        <v>1735</v>
      </c>
      <c r="B10691" t="s">
        <v>2133</v>
      </c>
      <c r="C10691">
        <v>6</v>
      </c>
      <c r="D10691">
        <v>48</v>
      </c>
      <c r="E10691">
        <f>IF(OR(B10691="vi",B10691="ii",B10691="pod"),(((D10691/100)*(C10691*VLOOKUP(B10691,'Poids des runes'!A:B,2,FALSE)))+1),(((D10691/100)*(C10691*VLOOKUP(B10691,'Poids des runes'!A:B,2,FALSE)))+1)/VLOOKUP(B10691,'Poids des runes'!A:B,2,FALSE))</f>
        <v>3.0799999999999996</v>
      </c>
      <c r="F10691">
        <f t="shared" ref="F10691:F10754" si="167">E10691</f>
        <v>3.0799999999999996</v>
      </c>
    </row>
    <row r="10692" spans="1:6" x14ac:dyDescent="0.3">
      <c r="A10692" t="s">
        <v>1735</v>
      </c>
      <c r="B10692" t="s">
        <v>2149</v>
      </c>
      <c r="C10692">
        <v>6</v>
      </c>
      <c r="D10692">
        <v>48</v>
      </c>
      <c r="E10692">
        <f>IF(OR(B10692="vi",B10692="ii",B10692="pod"),(((D10692/100)*(C10692*VLOOKUP(B10692,'Poids des runes'!A:B,2,FALSE)))+1),(((D10692/100)*(C10692*VLOOKUP(B10692,'Poids des runes'!A:B,2,FALSE)))+1)/VLOOKUP(B10692,'Poids des runes'!A:B,2,FALSE))</f>
        <v>2.9799999999999995</v>
      </c>
      <c r="F10692">
        <f t="shared" si="167"/>
        <v>2.9799999999999995</v>
      </c>
    </row>
    <row r="10693" spans="1:6" x14ac:dyDescent="0.3">
      <c r="A10693" t="s">
        <v>1736</v>
      </c>
      <c r="B10693" t="s">
        <v>2129</v>
      </c>
      <c r="C10693">
        <v>4.5</v>
      </c>
      <c r="D10693">
        <v>49</v>
      </c>
      <c r="E10693">
        <f>IF(OR(B10693="vi",B10693="ii",B10693="pod"),(((D10693/100)*(C10693*VLOOKUP(B10693,'Poids des runes'!A:B,2,FALSE)))+1),(((D10693/100)*(C10693*VLOOKUP(B10693,'Poids des runes'!A:B,2,FALSE)))+1)/VLOOKUP(B10693,'Poids des runes'!A:B,2,FALSE))</f>
        <v>3.2050000000000001</v>
      </c>
      <c r="F10693">
        <f t="shared" si="167"/>
        <v>3.2050000000000001</v>
      </c>
    </row>
    <row r="10694" spans="1:6" x14ac:dyDescent="0.3">
      <c r="A10694" t="s">
        <v>1736</v>
      </c>
      <c r="B10694" t="s">
        <v>2136</v>
      </c>
      <c r="C10694">
        <v>2</v>
      </c>
      <c r="D10694">
        <v>49</v>
      </c>
      <c r="E10694">
        <f>IF(OR(B10694="vi",B10694="ii",B10694="pod"),(((D10694/100)*(C10694*VLOOKUP(B10694,'Poids des runes'!A:B,2,FALSE)))+1),(((D10694/100)*(C10694*VLOOKUP(B10694,'Poids des runes'!A:B,2,FALSE)))+1)/VLOOKUP(B10694,'Poids des runes'!A:B,2,FALSE))</f>
        <v>1.48</v>
      </c>
      <c r="F10694">
        <f t="shared" si="167"/>
        <v>1.48</v>
      </c>
    </row>
    <row r="10695" spans="1:6" x14ac:dyDescent="0.3">
      <c r="A10695" t="s">
        <v>1736</v>
      </c>
      <c r="B10695" t="s">
        <v>2137</v>
      </c>
      <c r="C10695">
        <v>2</v>
      </c>
      <c r="D10695">
        <v>49</v>
      </c>
      <c r="E10695">
        <f>IF(OR(B10695="vi",B10695="ii",B10695="pod"),(((D10695/100)*(C10695*VLOOKUP(B10695,'Poids des runes'!A:B,2,FALSE)))+1),(((D10695/100)*(C10695*VLOOKUP(B10695,'Poids des runes'!A:B,2,FALSE)))+1)/VLOOKUP(B10695,'Poids des runes'!A:B,2,FALSE))</f>
        <v>1.48</v>
      </c>
      <c r="F10695">
        <f t="shared" si="167"/>
        <v>1.48</v>
      </c>
    </row>
    <row r="10696" spans="1:6" x14ac:dyDescent="0.3">
      <c r="A10696" t="s">
        <v>1736</v>
      </c>
      <c r="B10696" t="s">
        <v>2166</v>
      </c>
      <c r="C10696">
        <v>1</v>
      </c>
      <c r="D10696">
        <v>49</v>
      </c>
      <c r="E10696">
        <f>IF(OR(B10696="vi",B10696="ii",B10696="pod"),(((D10696/100)*(C10696*VLOOKUP(B10696,'Poids des runes'!A:B,2,FALSE)))+1),(((D10696/100)*(C10696*VLOOKUP(B10696,'Poids des runes'!A:B,2,FALSE)))+1)/VLOOKUP(B10696,'Poids des runes'!A:B,2,FALSE))</f>
        <v>0.82333333333333325</v>
      </c>
      <c r="F10696">
        <f t="shared" si="167"/>
        <v>0.82333333333333325</v>
      </c>
    </row>
    <row r="10697" spans="1:6" x14ac:dyDescent="0.3">
      <c r="A10697" t="s">
        <v>1737</v>
      </c>
      <c r="B10697" t="s">
        <v>2130</v>
      </c>
      <c r="C10697">
        <v>23</v>
      </c>
      <c r="D10697">
        <v>49</v>
      </c>
      <c r="E10697">
        <f>IF(OR(B10697="vi",B10697="ii",B10697="pod"),(((D10697/100)*(C10697*VLOOKUP(B10697,'Poids des runes'!A:B,2,FALSE)))+1),(((D10697/100)*(C10697*VLOOKUP(B10697,'Poids des runes'!A:B,2,FALSE)))+1)/VLOOKUP(B10697,'Poids des runes'!A:B,2,FALSE))</f>
        <v>12.27</v>
      </c>
      <c r="F10697">
        <f t="shared" si="167"/>
        <v>12.27</v>
      </c>
    </row>
    <row r="10698" spans="1:6" x14ac:dyDescent="0.3">
      <c r="A10698" t="s">
        <v>1737</v>
      </c>
      <c r="B10698" t="s">
        <v>2126</v>
      </c>
      <c r="C10698">
        <v>23</v>
      </c>
      <c r="D10698">
        <v>49</v>
      </c>
      <c r="E10698">
        <f>IF(OR(B10698="vi",B10698="ii",B10698="pod"),(((D10698/100)*(C10698*VLOOKUP(B10698,'Poids des runes'!A:B,2,FALSE)))+1),(((D10698/100)*(C10698*VLOOKUP(B10698,'Poids des runes'!A:B,2,FALSE)))+1)/VLOOKUP(B10698,'Poids des runes'!A:B,2,FALSE))</f>
        <v>12.27</v>
      </c>
      <c r="F10698">
        <f t="shared" si="167"/>
        <v>12.27</v>
      </c>
    </row>
    <row r="10699" spans="1:6" x14ac:dyDescent="0.3">
      <c r="A10699" t="s">
        <v>1737</v>
      </c>
      <c r="B10699" t="s">
        <v>2139</v>
      </c>
      <c r="C10699">
        <v>13</v>
      </c>
      <c r="D10699">
        <v>49</v>
      </c>
      <c r="E10699">
        <f>IF(OR(B10699="vi",B10699="ii",B10699="pod"),(((D10699/100)*(C10699*VLOOKUP(B10699,'Poids des runes'!A:B,2,FALSE)))+1),(((D10699/100)*(C10699*VLOOKUP(B10699,'Poids des runes'!A:B,2,FALSE)))+1)/VLOOKUP(B10699,'Poids des runes'!A:B,2,FALSE))</f>
        <v>6.87</v>
      </c>
      <c r="F10699">
        <f t="shared" si="167"/>
        <v>6.87</v>
      </c>
    </row>
    <row r="10700" spans="1:6" x14ac:dyDescent="0.3">
      <c r="A10700" t="s">
        <v>1737</v>
      </c>
      <c r="B10700" t="s">
        <v>2132</v>
      </c>
      <c r="C10700">
        <v>250.5</v>
      </c>
      <c r="D10700">
        <v>49</v>
      </c>
      <c r="E10700">
        <f>IF(OR(B10700="vi",B10700="ii",B10700="pod"),(((D10700/100)*(C10700*VLOOKUP(B10700,'Poids des runes'!A:B,2,FALSE)))+1),(((D10700/100)*(C10700*VLOOKUP(B10700,'Poids des runes'!A:B,2,FALSE)))+1)/VLOOKUP(B10700,'Poids des runes'!A:B,2,FALSE))</f>
        <v>13.2745</v>
      </c>
      <c r="F10700">
        <f t="shared" si="167"/>
        <v>13.2745</v>
      </c>
    </row>
    <row r="10701" spans="1:6" x14ac:dyDescent="0.3">
      <c r="A10701" t="s">
        <v>1738</v>
      </c>
      <c r="B10701" t="s">
        <v>2128</v>
      </c>
      <c r="C10701">
        <v>45.5</v>
      </c>
      <c r="D10701">
        <v>49</v>
      </c>
      <c r="E10701">
        <f>IF(OR(B10701="vi",B10701="ii",B10701="pod"),(((D10701/100)*(C10701*VLOOKUP(B10701,'Poids des runes'!A:B,2,FALSE)))+1),(((D10701/100)*(C10701*VLOOKUP(B10701,'Poids des runes'!A:B,2,FALSE)))+1)/VLOOKUP(B10701,'Poids des runes'!A:B,2,FALSE))</f>
        <v>5.4589999999999996</v>
      </c>
      <c r="F10701">
        <f t="shared" si="167"/>
        <v>5.4589999999999996</v>
      </c>
    </row>
    <row r="10702" spans="1:6" x14ac:dyDescent="0.3">
      <c r="A10702" t="s">
        <v>1738</v>
      </c>
      <c r="B10702" t="s">
        <v>2130</v>
      </c>
      <c r="C10702">
        <v>35.5</v>
      </c>
      <c r="D10702">
        <v>49</v>
      </c>
      <c r="E10702">
        <f>IF(OR(B10702="vi",B10702="ii",B10702="pod"),(((D10702/100)*(C10702*VLOOKUP(B10702,'Poids des runes'!A:B,2,FALSE)))+1),(((D10702/100)*(C10702*VLOOKUP(B10702,'Poids des runes'!A:B,2,FALSE)))+1)/VLOOKUP(B10702,'Poids des runes'!A:B,2,FALSE))</f>
        <v>18.395</v>
      </c>
      <c r="F10702">
        <f t="shared" si="167"/>
        <v>18.395</v>
      </c>
    </row>
    <row r="10703" spans="1:6" x14ac:dyDescent="0.3">
      <c r="A10703" t="s">
        <v>1738</v>
      </c>
      <c r="B10703" t="s">
        <v>2139</v>
      </c>
      <c r="C10703">
        <v>13</v>
      </c>
      <c r="D10703">
        <v>49</v>
      </c>
      <c r="E10703">
        <f>IF(OR(B10703="vi",B10703="ii",B10703="pod"),(((D10703/100)*(C10703*VLOOKUP(B10703,'Poids des runes'!A:B,2,FALSE)))+1),(((D10703/100)*(C10703*VLOOKUP(B10703,'Poids des runes'!A:B,2,FALSE)))+1)/VLOOKUP(B10703,'Poids des runes'!A:B,2,FALSE))</f>
        <v>6.87</v>
      </c>
      <c r="F10703">
        <f t="shared" si="167"/>
        <v>6.87</v>
      </c>
    </row>
    <row r="10704" spans="1:6" x14ac:dyDescent="0.3">
      <c r="A10704" t="s">
        <v>1738</v>
      </c>
      <c r="B10704" t="s">
        <v>2143</v>
      </c>
      <c r="C10704">
        <v>4.5</v>
      </c>
      <c r="D10704">
        <v>49</v>
      </c>
      <c r="E10704">
        <f>IF(OR(B10704="vi",B10704="ii",B10704="pod"),(((D10704/100)*(C10704*VLOOKUP(B10704,'Poids des runes'!A:B,2,FALSE)))+1),(((D10704/100)*(C10704*VLOOKUP(B10704,'Poids des runes'!A:B,2,FALSE)))+1)/VLOOKUP(B10704,'Poids des runes'!A:B,2,FALSE))</f>
        <v>2.4050000000000002</v>
      </c>
      <c r="F10704">
        <f t="shared" si="167"/>
        <v>2.4050000000000002</v>
      </c>
    </row>
    <row r="10705" spans="1:6" x14ac:dyDescent="0.3">
      <c r="A10705" t="s">
        <v>1739</v>
      </c>
      <c r="B10705" t="s">
        <v>2128</v>
      </c>
      <c r="C10705">
        <v>25.5</v>
      </c>
      <c r="D10705">
        <v>50</v>
      </c>
      <c r="E10705">
        <f>IF(OR(B10705="vi",B10705="ii",B10705="pod"),(((D10705/100)*(C10705*VLOOKUP(B10705,'Poids des runes'!A:B,2,FALSE)))+1),(((D10705/100)*(C10705*VLOOKUP(B10705,'Poids des runes'!A:B,2,FALSE)))+1)/VLOOKUP(B10705,'Poids des runes'!A:B,2,FALSE))</f>
        <v>3.5500000000000003</v>
      </c>
      <c r="F10705">
        <f t="shared" si="167"/>
        <v>3.5500000000000003</v>
      </c>
    </row>
    <row r="10706" spans="1:6" x14ac:dyDescent="0.3">
      <c r="A10706" t="s">
        <v>1739</v>
      </c>
      <c r="B10706" t="s">
        <v>2131</v>
      </c>
      <c r="C10706">
        <v>18</v>
      </c>
      <c r="D10706">
        <v>50</v>
      </c>
      <c r="E10706">
        <f>IF(OR(B10706="vi",B10706="ii",B10706="pod"),(((D10706/100)*(C10706*VLOOKUP(B10706,'Poids des runes'!A:B,2,FALSE)))+1),(((D10706/100)*(C10706*VLOOKUP(B10706,'Poids des runes'!A:B,2,FALSE)))+1)/VLOOKUP(B10706,'Poids des runes'!A:B,2,FALSE))</f>
        <v>10</v>
      </c>
      <c r="F10706">
        <f t="shared" si="167"/>
        <v>10</v>
      </c>
    </row>
    <row r="10707" spans="1:6" x14ac:dyDescent="0.3">
      <c r="A10707" t="s">
        <v>1739</v>
      </c>
      <c r="B10707" t="s">
        <v>2129</v>
      </c>
      <c r="C10707">
        <v>25.5</v>
      </c>
      <c r="D10707">
        <v>50</v>
      </c>
      <c r="E10707">
        <f>IF(OR(B10707="vi",B10707="ii",B10707="pod"),(((D10707/100)*(C10707*VLOOKUP(B10707,'Poids des runes'!A:B,2,FALSE)))+1),(((D10707/100)*(C10707*VLOOKUP(B10707,'Poids des runes'!A:B,2,FALSE)))+1)/VLOOKUP(B10707,'Poids des runes'!A:B,2,FALSE))</f>
        <v>13.75</v>
      </c>
      <c r="F10707">
        <f t="shared" si="167"/>
        <v>13.75</v>
      </c>
    </row>
    <row r="10708" spans="1:6" x14ac:dyDescent="0.3">
      <c r="A10708" t="s">
        <v>1739</v>
      </c>
      <c r="B10708" t="s">
        <v>2155</v>
      </c>
      <c r="C10708">
        <v>1</v>
      </c>
      <c r="D10708">
        <v>50</v>
      </c>
      <c r="E10708">
        <f>IF(OR(B10708="vi",B10708="ii",B10708="pod"),(((D10708/100)*(C10708*VLOOKUP(B10708,'Poids des runes'!A:B,2,FALSE)))+1),(((D10708/100)*(C10708*VLOOKUP(B10708,'Poids des runes'!A:B,2,FALSE)))+1)/VLOOKUP(B10708,'Poids des runes'!A:B,2,FALSE))</f>
        <v>0.51960784313725494</v>
      </c>
      <c r="F10708">
        <f t="shared" si="167"/>
        <v>0.51960784313725494</v>
      </c>
    </row>
    <row r="10709" spans="1:6" x14ac:dyDescent="0.3">
      <c r="A10709" t="s">
        <v>1740</v>
      </c>
      <c r="B10709" t="s">
        <v>2128</v>
      </c>
      <c r="C10709">
        <v>50.5</v>
      </c>
      <c r="D10709">
        <v>50</v>
      </c>
      <c r="E10709">
        <f>IF(OR(B10709="vi",B10709="ii",B10709="pod"),(((D10709/100)*(C10709*VLOOKUP(B10709,'Poids des runes'!A:B,2,FALSE)))+1),(((D10709/100)*(C10709*VLOOKUP(B10709,'Poids des runes'!A:B,2,FALSE)))+1)/VLOOKUP(B10709,'Poids des runes'!A:B,2,FALSE))</f>
        <v>6.0500000000000007</v>
      </c>
      <c r="F10709">
        <f t="shared" si="167"/>
        <v>6.0500000000000007</v>
      </c>
    </row>
    <row r="10710" spans="1:6" x14ac:dyDescent="0.3">
      <c r="A10710" t="s">
        <v>1740</v>
      </c>
      <c r="B10710" t="s">
        <v>2130</v>
      </c>
      <c r="C10710">
        <v>35.5</v>
      </c>
      <c r="D10710">
        <v>50</v>
      </c>
      <c r="E10710">
        <f>IF(OR(B10710="vi",B10710="ii",B10710="pod"),(((D10710/100)*(C10710*VLOOKUP(B10710,'Poids des runes'!A:B,2,FALSE)))+1),(((D10710/100)*(C10710*VLOOKUP(B10710,'Poids des runes'!A:B,2,FALSE)))+1)/VLOOKUP(B10710,'Poids des runes'!A:B,2,FALSE))</f>
        <v>18.75</v>
      </c>
      <c r="F10710">
        <f t="shared" si="167"/>
        <v>18.75</v>
      </c>
    </row>
    <row r="10711" spans="1:6" x14ac:dyDescent="0.3">
      <c r="A10711" t="s">
        <v>1740</v>
      </c>
      <c r="B10711" t="s">
        <v>2131</v>
      </c>
      <c r="C10711">
        <v>18</v>
      </c>
      <c r="D10711">
        <v>50</v>
      </c>
      <c r="E10711">
        <f>IF(OR(B10711="vi",B10711="ii",B10711="pod"),(((D10711/100)*(C10711*VLOOKUP(B10711,'Poids des runes'!A:B,2,FALSE)))+1),(((D10711/100)*(C10711*VLOOKUP(B10711,'Poids des runes'!A:B,2,FALSE)))+1)/VLOOKUP(B10711,'Poids des runes'!A:B,2,FALSE))</f>
        <v>10</v>
      </c>
      <c r="F10711">
        <f t="shared" si="167"/>
        <v>10</v>
      </c>
    </row>
    <row r="10712" spans="1:6" x14ac:dyDescent="0.3">
      <c r="A10712" t="s">
        <v>1740</v>
      </c>
      <c r="B10712" t="s">
        <v>2143</v>
      </c>
      <c r="C10712">
        <v>2.5</v>
      </c>
      <c r="D10712">
        <v>50</v>
      </c>
      <c r="E10712">
        <f>IF(OR(B10712="vi",B10712="ii",B10712="pod"),(((D10712/100)*(C10712*VLOOKUP(B10712,'Poids des runes'!A:B,2,FALSE)))+1),(((D10712/100)*(C10712*VLOOKUP(B10712,'Poids des runes'!A:B,2,FALSE)))+1)/VLOOKUP(B10712,'Poids des runes'!A:B,2,FALSE))</f>
        <v>1.45</v>
      </c>
      <c r="F10712">
        <f t="shared" si="167"/>
        <v>1.45</v>
      </c>
    </row>
    <row r="10713" spans="1:6" x14ac:dyDescent="0.3">
      <c r="A10713" t="s">
        <v>1740</v>
      </c>
      <c r="B10713" t="s">
        <v>2133</v>
      </c>
      <c r="C10713">
        <v>2.5</v>
      </c>
      <c r="D10713">
        <v>50</v>
      </c>
      <c r="E10713">
        <f>IF(OR(B10713="vi",B10713="ii",B10713="pod"),(((D10713/100)*(C10713*VLOOKUP(B10713,'Poids des runes'!A:B,2,FALSE)))+1),(((D10713/100)*(C10713*VLOOKUP(B10713,'Poids des runes'!A:B,2,FALSE)))+1)/VLOOKUP(B10713,'Poids des runes'!A:B,2,FALSE))</f>
        <v>1.45</v>
      </c>
      <c r="F10713">
        <f t="shared" si="167"/>
        <v>1.45</v>
      </c>
    </row>
    <row r="10714" spans="1:6" x14ac:dyDescent="0.3">
      <c r="A10714" t="s">
        <v>1740</v>
      </c>
      <c r="B10714" t="s">
        <v>2149</v>
      </c>
      <c r="C10714">
        <v>8.5</v>
      </c>
      <c r="D10714">
        <v>50</v>
      </c>
      <c r="E10714">
        <f>IF(OR(B10714="vi",B10714="ii",B10714="pod"),(((D10714/100)*(C10714*VLOOKUP(B10714,'Poids des runes'!A:B,2,FALSE)))+1),(((D10714/100)*(C10714*VLOOKUP(B10714,'Poids des runes'!A:B,2,FALSE)))+1)/VLOOKUP(B10714,'Poids des runes'!A:B,2,FALSE))</f>
        <v>4.3499999999999996</v>
      </c>
      <c r="F10714">
        <f t="shared" si="167"/>
        <v>4.3499999999999996</v>
      </c>
    </row>
    <row r="10715" spans="1:6" x14ac:dyDescent="0.3">
      <c r="A10715" t="s">
        <v>1741</v>
      </c>
      <c r="B10715" t="s">
        <v>2127</v>
      </c>
      <c r="C10715">
        <v>25.5</v>
      </c>
      <c r="D10715">
        <v>50</v>
      </c>
      <c r="E10715">
        <f>IF(OR(B10715="vi",B10715="ii",B10715="pod"),(((D10715/100)*(C10715*VLOOKUP(B10715,'Poids des runes'!A:B,2,FALSE)))+1),(((D10715/100)*(C10715*VLOOKUP(B10715,'Poids des runes'!A:B,2,FALSE)))+1)/VLOOKUP(B10715,'Poids des runes'!A:B,2,FALSE))</f>
        <v>13.75</v>
      </c>
      <c r="F10715">
        <f t="shared" si="167"/>
        <v>13.75</v>
      </c>
    </row>
    <row r="10716" spans="1:6" x14ac:dyDescent="0.3">
      <c r="A10716" t="s">
        <v>1741</v>
      </c>
      <c r="B10716" t="s">
        <v>2154</v>
      </c>
      <c r="C10716">
        <v>1</v>
      </c>
      <c r="D10716">
        <v>50</v>
      </c>
      <c r="E10716">
        <f>IF(OR(B10716="vi",B10716="ii",B10716="pod"),(((D10716/100)*(C10716*VLOOKUP(B10716,'Poids des runes'!A:B,2,FALSE)))+1),(((D10716/100)*(C10716*VLOOKUP(B10716,'Poids des runes'!A:B,2,FALSE)))+1)/VLOOKUP(B10716,'Poids des runes'!A:B,2,FALSE))</f>
        <v>0.51111111111111107</v>
      </c>
      <c r="F10716">
        <f t="shared" si="167"/>
        <v>0.51111111111111107</v>
      </c>
    </row>
    <row r="10717" spans="1:6" x14ac:dyDescent="0.3">
      <c r="A10717" t="s">
        <v>1741</v>
      </c>
      <c r="B10717" t="s">
        <v>2134</v>
      </c>
      <c r="C10717">
        <v>1.5</v>
      </c>
      <c r="D10717">
        <v>50</v>
      </c>
      <c r="E10717">
        <f>IF(OR(B10717="vi",B10717="ii",B10717="pod"),(((D10717/100)*(C10717*VLOOKUP(B10717,'Poids des runes'!A:B,2,FALSE)))+1),(((D10717/100)*(C10717*VLOOKUP(B10717,'Poids des runes'!A:B,2,FALSE)))+1)/VLOOKUP(B10717,'Poids des runes'!A:B,2,FALSE))</f>
        <v>0.8</v>
      </c>
      <c r="F10717">
        <f t="shared" si="167"/>
        <v>0.8</v>
      </c>
    </row>
    <row r="10718" spans="1:6" x14ac:dyDescent="0.3">
      <c r="A10718" t="s">
        <v>1742</v>
      </c>
      <c r="B10718" t="s">
        <v>2128</v>
      </c>
      <c r="C10718">
        <v>75.5</v>
      </c>
      <c r="D10718">
        <v>50</v>
      </c>
      <c r="E10718">
        <f>IF(OR(B10718="vi",B10718="ii",B10718="pod"),(((D10718/100)*(C10718*VLOOKUP(B10718,'Poids des runes'!A:B,2,FALSE)))+1),(((D10718/100)*(C10718*VLOOKUP(B10718,'Poids des runes'!A:B,2,FALSE)))+1)/VLOOKUP(B10718,'Poids des runes'!A:B,2,FALSE))</f>
        <v>8.5500000000000007</v>
      </c>
      <c r="F10718">
        <f t="shared" si="167"/>
        <v>8.5500000000000007</v>
      </c>
    </row>
    <row r="10719" spans="1:6" x14ac:dyDescent="0.3">
      <c r="A10719" t="s">
        <v>1742</v>
      </c>
      <c r="B10719" t="s">
        <v>2129</v>
      </c>
      <c r="C10719">
        <v>18</v>
      </c>
      <c r="D10719">
        <v>50</v>
      </c>
      <c r="E10719">
        <f>IF(OR(B10719="vi",B10719="ii",B10719="pod"),(((D10719/100)*(C10719*VLOOKUP(B10719,'Poids des runes'!A:B,2,FALSE)))+1),(((D10719/100)*(C10719*VLOOKUP(B10719,'Poids des runes'!A:B,2,FALSE)))+1)/VLOOKUP(B10719,'Poids des runes'!A:B,2,FALSE))</f>
        <v>10</v>
      </c>
      <c r="F10719">
        <f t="shared" si="167"/>
        <v>10</v>
      </c>
    </row>
    <row r="10720" spans="1:6" x14ac:dyDescent="0.3">
      <c r="A10720" t="s">
        <v>1742</v>
      </c>
      <c r="B10720" t="s">
        <v>2152</v>
      </c>
      <c r="C10720">
        <v>1</v>
      </c>
      <c r="D10720">
        <v>50</v>
      </c>
      <c r="E10720">
        <f>IF(OR(B10720="vi",B10720="ii",B10720="pod"),(((D10720/100)*(C10720*VLOOKUP(B10720,'Poids des runes'!A:B,2,FALSE)))+1),(((D10720/100)*(C10720*VLOOKUP(B10720,'Poids des runes'!A:B,2,FALSE)))+1)/VLOOKUP(B10720,'Poids des runes'!A:B,2,FALSE))</f>
        <v>0.51</v>
      </c>
      <c r="F10720">
        <f t="shared" si="167"/>
        <v>0.51</v>
      </c>
    </row>
    <row r="10721" spans="1:6" x14ac:dyDescent="0.3">
      <c r="A10721" t="s">
        <v>1743</v>
      </c>
      <c r="B10721" t="s">
        <v>2131</v>
      </c>
      <c r="C10721">
        <v>45.5</v>
      </c>
      <c r="D10721">
        <v>50</v>
      </c>
      <c r="E10721">
        <f>IF(OR(B10721="vi",B10721="ii",B10721="pod"),(((D10721/100)*(C10721*VLOOKUP(B10721,'Poids des runes'!A:B,2,FALSE)))+1),(((D10721/100)*(C10721*VLOOKUP(B10721,'Poids des runes'!A:B,2,FALSE)))+1)/VLOOKUP(B10721,'Poids des runes'!A:B,2,FALSE))</f>
        <v>23.75</v>
      </c>
      <c r="F10721">
        <f t="shared" si="167"/>
        <v>23.75</v>
      </c>
    </row>
    <row r="10722" spans="1:6" x14ac:dyDescent="0.3">
      <c r="A10722" t="s">
        <v>1743</v>
      </c>
      <c r="B10722" t="s">
        <v>2129</v>
      </c>
      <c r="C10722">
        <v>13</v>
      </c>
      <c r="D10722">
        <v>50</v>
      </c>
      <c r="E10722">
        <f>IF(OR(B10722="vi",B10722="ii",B10722="pod"),(((D10722/100)*(C10722*VLOOKUP(B10722,'Poids des runes'!A:B,2,FALSE)))+1),(((D10722/100)*(C10722*VLOOKUP(B10722,'Poids des runes'!A:B,2,FALSE)))+1)/VLOOKUP(B10722,'Poids des runes'!A:B,2,FALSE))</f>
        <v>7.5</v>
      </c>
      <c r="F10722">
        <f t="shared" si="167"/>
        <v>7.5</v>
      </c>
    </row>
    <row r="10723" spans="1:6" x14ac:dyDescent="0.3">
      <c r="A10723" t="s">
        <v>1743</v>
      </c>
      <c r="B10723" t="s">
        <v>2155</v>
      </c>
      <c r="C10723">
        <v>1</v>
      </c>
      <c r="D10723">
        <v>50</v>
      </c>
      <c r="E10723">
        <f>IF(OR(B10723="vi",B10723="ii",B10723="pod"),(((D10723/100)*(C10723*VLOOKUP(B10723,'Poids des runes'!A:B,2,FALSE)))+1),(((D10723/100)*(C10723*VLOOKUP(B10723,'Poids des runes'!A:B,2,FALSE)))+1)/VLOOKUP(B10723,'Poids des runes'!A:B,2,FALSE))</f>
        <v>0.51960784313725494</v>
      </c>
      <c r="F10723">
        <f t="shared" si="167"/>
        <v>0.51960784313725494</v>
      </c>
    </row>
    <row r="10724" spans="1:6" x14ac:dyDescent="0.3">
      <c r="A10724" t="s">
        <v>1743</v>
      </c>
      <c r="B10724" t="s">
        <v>2138</v>
      </c>
      <c r="C10724">
        <v>5</v>
      </c>
      <c r="D10724">
        <v>50</v>
      </c>
      <c r="E10724">
        <f>IF(OR(B10724="vi",B10724="ii",B10724="pod"),(((D10724/100)*(C10724*VLOOKUP(B10724,'Poids des runes'!A:B,2,FALSE)))+1),(((D10724/100)*(C10724*VLOOKUP(B10724,'Poids des runes'!A:B,2,FALSE)))+1)/VLOOKUP(B10724,'Poids des runes'!A:B,2,FALSE))</f>
        <v>2.75</v>
      </c>
      <c r="F10724">
        <f t="shared" si="167"/>
        <v>2.75</v>
      </c>
    </row>
    <row r="10725" spans="1:6" x14ac:dyDescent="0.3">
      <c r="A10725" t="s">
        <v>1744</v>
      </c>
      <c r="B10725" t="s">
        <v>2128</v>
      </c>
      <c r="C10725">
        <v>35.5</v>
      </c>
      <c r="D10725">
        <v>50</v>
      </c>
      <c r="E10725">
        <f>IF(OR(B10725="vi",B10725="ii",B10725="pod"),(((D10725/100)*(C10725*VLOOKUP(B10725,'Poids des runes'!A:B,2,FALSE)))+1),(((D10725/100)*(C10725*VLOOKUP(B10725,'Poids des runes'!A:B,2,FALSE)))+1)/VLOOKUP(B10725,'Poids des runes'!A:B,2,FALSE))</f>
        <v>4.5500000000000007</v>
      </c>
      <c r="F10725">
        <f t="shared" si="167"/>
        <v>4.5500000000000007</v>
      </c>
    </row>
    <row r="10726" spans="1:6" x14ac:dyDescent="0.3">
      <c r="A10726" t="s">
        <v>1744</v>
      </c>
      <c r="B10726" t="s">
        <v>2139</v>
      </c>
      <c r="C10726">
        <v>25.5</v>
      </c>
      <c r="D10726">
        <v>50</v>
      </c>
      <c r="E10726">
        <f>IF(OR(B10726="vi",B10726="ii",B10726="pod"),(((D10726/100)*(C10726*VLOOKUP(B10726,'Poids des runes'!A:B,2,FALSE)))+1),(((D10726/100)*(C10726*VLOOKUP(B10726,'Poids des runes'!A:B,2,FALSE)))+1)/VLOOKUP(B10726,'Poids des runes'!A:B,2,FALSE))</f>
        <v>13.25</v>
      </c>
      <c r="F10726">
        <f t="shared" si="167"/>
        <v>13.25</v>
      </c>
    </row>
    <row r="10727" spans="1:6" x14ac:dyDescent="0.3">
      <c r="A10727" t="s">
        <v>1744</v>
      </c>
      <c r="B10727" t="s">
        <v>2151</v>
      </c>
      <c r="C10727">
        <v>4.5</v>
      </c>
      <c r="D10727">
        <v>50</v>
      </c>
      <c r="E10727">
        <f>IF(OR(B10727="vi",B10727="ii",B10727="pod"),(((D10727/100)*(C10727*VLOOKUP(B10727,'Poids des runes'!A:B,2,FALSE)))+1),(((D10727/100)*(C10727*VLOOKUP(B10727,'Poids des runes'!A:B,2,FALSE)))+1)/VLOOKUP(B10727,'Poids des runes'!A:B,2,FALSE))</f>
        <v>2.35</v>
      </c>
      <c r="F10727">
        <f t="shared" si="167"/>
        <v>2.35</v>
      </c>
    </row>
    <row r="10728" spans="1:6" x14ac:dyDescent="0.3">
      <c r="A10728" t="s">
        <v>1744</v>
      </c>
      <c r="B10728" t="s">
        <v>2143</v>
      </c>
      <c r="C10728">
        <v>6</v>
      </c>
      <c r="D10728">
        <v>50</v>
      </c>
      <c r="E10728">
        <f>IF(OR(B10728="vi",B10728="ii",B10728="pod"),(((D10728/100)*(C10728*VLOOKUP(B10728,'Poids des runes'!A:B,2,FALSE)))+1),(((D10728/100)*(C10728*VLOOKUP(B10728,'Poids des runes'!A:B,2,FALSE)))+1)/VLOOKUP(B10728,'Poids des runes'!A:B,2,FALSE))</f>
        <v>3.2</v>
      </c>
      <c r="F10728">
        <f t="shared" si="167"/>
        <v>3.2</v>
      </c>
    </row>
    <row r="10729" spans="1:6" x14ac:dyDescent="0.3">
      <c r="A10729" t="s">
        <v>1744</v>
      </c>
      <c r="B10729" t="s">
        <v>2133</v>
      </c>
      <c r="C10729">
        <v>6</v>
      </c>
      <c r="D10729">
        <v>50</v>
      </c>
      <c r="E10729">
        <f>IF(OR(B10729="vi",B10729="ii",B10729="pod"),(((D10729/100)*(C10729*VLOOKUP(B10729,'Poids des runes'!A:B,2,FALSE)))+1),(((D10729/100)*(C10729*VLOOKUP(B10729,'Poids des runes'!A:B,2,FALSE)))+1)/VLOOKUP(B10729,'Poids des runes'!A:B,2,FALSE))</f>
        <v>3.2</v>
      </c>
      <c r="F10729">
        <f t="shared" si="167"/>
        <v>3.2</v>
      </c>
    </row>
    <row r="10730" spans="1:6" x14ac:dyDescent="0.3">
      <c r="A10730" t="s">
        <v>1744</v>
      </c>
      <c r="B10730" t="s">
        <v>2141</v>
      </c>
      <c r="C10730">
        <v>2.5</v>
      </c>
      <c r="D10730">
        <v>50</v>
      </c>
      <c r="E10730">
        <f>IF(OR(B10730="vi",B10730="ii",B10730="pod"),(((D10730/100)*(C10730*VLOOKUP(B10730,'Poids des runes'!A:B,2,FALSE)))+1),(((D10730/100)*(C10730*VLOOKUP(B10730,'Poids des runes'!A:B,2,FALSE)))+1)/VLOOKUP(B10730,'Poids des runes'!A:B,2,FALSE))</f>
        <v>1.5</v>
      </c>
      <c r="F10730">
        <f t="shared" si="167"/>
        <v>1.5</v>
      </c>
    </row>
    <row r="10731" spans="1:6" x14ac:dyDescent="0.3">
      <c r="A10731" t="s">
        <v>1745</v>
      </c>
      <c r="B10731" t="s">
        <v>2131</v>
      </c>
      <c r="C10731">
        <v>25.5</v>
      </c>
      <c r="D10731">
        <v>50</v>
      </c>
      <c r="E10731">
        <f>IF(OR(B10731="vi",B10731="ii",B10731="pod"),(((D10731/100)*(C10731*VLOOKUP(B10731,'Poids des runes'!A:B,2,FALSE)))+1),(((D10731/100)*(C10731*VLOOKUP(B10731,'Poids des runes'!A:B,2,FALSE)))+1)/VLOOKUP(B10731,'Poids des runes'!A:B,2,FALSE))</f>
        <v>13.75</v>
      </c>
      <c r="F10731">
        <f t="shared" si="167"/>
        <v>13.75</v>
      </c>
    </row>
    <row r="10732" spans="1:6" x14ac:dyDescent="0.3">
      <c r="A10732" t="s">
        <v>1745</v>
      </c>
      <c r="B10732" t="s">
        <v>2127</v>
      </c>
      <c r="C10732">
        <v>25.5</v>
      </c>
      <c r="D10732">
        <v>50</v>
      </c>
      <c r="E10732">
        <f>IF(OR(B10732="vi",B10732="ii",B10732="pod"),(((D10732/100)*(C10732*VLOOKUP(B10732,'Poids des runes'!A:B,2,FALSE)))+1),(((D10732/100)*(C10732*VLOOKUP(B10732,'Poids des runes'!A:B,2,FALSE)))+1)/VLOOKUP(B10732,'Poids des runes'!A:B,2,FALSE))</f>
        <v>13.75</v>
      </c>
      <c r="F10732">
        <f t="shared" si="167"/>
        <v>13.75</v>
      </c>
    </row>
    <row r="10733" spans="1:6" x14ac:dyDescent="0.3">
      <c r="A10733" t="s">
        <v>1745</v>
      </c>
      <c r="B10733" t="s">
        <v>2129</v>
      </c>
      <c r="C10733">
        <v>18</v>
      </c>
      <c r="D10733">
        <v>50</v>
      </c>
      <c r="E10733">
        <f>IF(OR(B10733="vi",B10733="ii",B10733="pod"),(((D10733/100)*(C10733*VLOOKUP(B10733,'Poids des runes'!A:B,2,FALSE)))+1),(((D10733/100)*(C10733*VLOOKUP(B10733,'Poids des runes'!A:B,2,FALSE)))+1)/VLOOKUP(B10733,'Poids des runes'!A:B,2,FALSE))</f>
        <v>10</v>
      </c>
      <c r="F10733">
        <f t="shared" si="167"/>
        <v>10</v>
      </c>
    </row>
    <row r="10734" spans="1:6" x14ac:dyDescent="0.3">
      <c r="A10734" t="s">
        <v>1745</v>
      </c>
      <c r="B10734" t="s">
        <v>2159</v>
      </c>
      <c r="C10734">
        <v>2.5</v>
      </c>
      <c r="D10734">
        <v>50</v>
      </c>
      <c r="E10734">
        <f>IF(OR(B10734="vi",B10734="ii",B10734="pod"),(((D10734/100)*(C10734*VLOOKUP(B10734,'Poids des runes'!A:B,2,FALSE)))+1),(((D10734/100)*(C10734*VLOOKUP(B10734,'Poids des runes'!A:B,2,FALSE)))+1)/VLOOKUP(B10734,'Poids des runes'!A:B,2,FALSE))</f>
        <v>1.3928571428571428</v>
      </c>
      <c r="F10734">
        <f t="shared" si="167"/>
        <v>1.3928571428571428</v>
      </c>
    </row>
    <row r="10735" spans="1:6" x14ac:dyDescent="0.3">
      <c r="A10735" t="s">
        <v>1745</v>
      </c>
      <c r="B10735" t="s">
        <v>2160</v>
      </c>
      <c r="C10735">
        <v>2.5</v>
      </c>
      <c r="D10735">
        <v>50</v>
      </c>
      <c r="E10735">
        <f>IF(OR(B10735="vi",B10735="ii",B10735="pod"),(((D10735/100)*(C10735*VLOOKUP(B10735,'Poids des runes'!A:B,2,FALSE)))+1),(((D10735/100)*(C10735*VLOOKUP(B10735,'Poids des runes'!A:B,2,FALSE)))+1)/VLOOKUP(B10735,'Poids des runes'!A:B,2,FALSE))</f>
        <v>1.3928571428571428</v>
      </c>
      <c r="F10735">
        <f t="shared" si="167"/>
        <v>1.3928571428571428</v>
      </c>
    </row>
    <row r="10736" spans="1:6" x14ac:dyDescent="0.3">
      <c r="A10736" t="s">
        <v>1746</v>
      </c>
      <c r="B10736" t="s">
        <v>2128</v>
      </c>
      <c r="C10736">
        <v>85.5</v>
      </c>
      <c r="D10736">
        <v>50</v>
      </c>
      <c r="E10736">
        <f>IF(OR(B10736="vi",B10736="ii",B10736="pod"),(((D10736/100)*(C10736*VLOOKUP(B10736,'Poids des runes'!A:B,2,FALSE)))+1),(((D10736/100)*(C10736*VLOOKUP(B10736,'Poids des runes'!A:B,2,FALSE)))+1)/VLOOKUP(B10736,'Poids des runes'!A:B,2,FALSE))</f>
        <v>9.5500000000000007</v>
      </c>
      <c r="F10736">
        <f t="shared" si="167"/>
        <v>9.5500000000000007</v>
      </c>
    </row>
    <row r="10737" spans="1:6" x14ac:dyDescent="0.3">
      <c r="A10737" t="s">
        <v>1746</v>
      </c>
      <c r="B10737" t="s">
        <v>2150</v>
      </c>
      <c r="C10737">
        <v>1.5</v>
      </c>
      <c r="D10737">
        <v>50</v>
      </c>
      <c r="E10737">
        <f>IF(OR(B10737="vi",B10737="ii",B10737="pod"),(((D10737/100)*(C10737*VLOOKUP(B10737,'Poids des runes'!A:B,2,FALSE)))+1),(((D10737/100)*(C10737*VLOOKUP(B10737,'Poids des runes'!A:B,2,FALSE)))+1)/VLOOKUP(B10737,'Poids des runes'!A:B,2,FALSE))</f>
        <v>0.78333333333333333</v>
      </c>
      <c r="F10737">
        <f t="shared" si="167"/>
        <v>0.78333333333333333</v>
      </c>
    </row>
    <row r="10738" spans="1:6" x14ac:dyDescent="0.3">
      <c r="A10738" t="s">
        <v>1747</v>
      </c>
      <c r="B10738" t="s">
        <v>2128</v>
      </c>
      <c r="C10738">
        <v>50.5</v>
      </c>
      <c r="D10738">
        <v>51</v>
      </c>
      <c r="E10738">
        <f>IF(OR(B10738="vi",B10738="ii",B10738="pod"),(((D10738/100)*(C10738*VLOOKUP(B10738,'Poids des runes'!A:B,2,FALSE)))+1),(((D10738/100)*(C10738*VLOOKUP(B10738,'Poids des runes'!A:B,2,FALSE)))+1)/VLOOKUP(B10738,'Poids des runes'!A:B,2,FALSE))</f>
        <v>6.1510000000000007</v>
      </c>
      <c r="F10738">
        <f t="shared" si="167"/>
        <v>6.1510000000000007</v>
      </c>
    </row>
    <row r="10739" spans="1:6" x14ac:dyDescent="0.3">
      <c r="A10739" t="s">
        <v>1747</v>
      </c>
      <c r="B10739" t="s">
        <v>2127</v>
      </c>
      <c r="C10739">
        <v>35.5</v>
      </c>
      <c r="D10739">
        <v>51</v>
      </c>
      <c r="E10739">
        <f>IF(OR(B10739="vi",B10739="ii",B10739="pod"),(((D10739/100)*(C10739*VLOOKUP(B10739,'Poids des runes'!A:B,2,FALSE)))+1),(((D10739/100)*(C10739*VLOOKUP(B10739,'Poids des runes'!A:B,2,FALSE)))+1)/VLOOKUP(B10739,'Poids des runes'!A:B,2,FALSE))</f>
        <v>19.105</v>
      </c>
      <c r="F10739">
        <f t="shared" si="167"/>
        <v>19.105</v>
      </c>
    </row>
    <row r="10740" spans="1:6" x14ac:dyDescent="0.3">
      <c r="A10740" t="s">
        <v>1747</v>
      </c>
      <c r="B10740" t="s">
        <v>2155</v>
      </c>
      <c r="C10740">
        <v>1</v>
      </c>
      <c r="D10740">
        <v>51</v>
      </c>
      <c r="E10740">
        <f>IF(OR(B10740="vi",B10740="ii",B10740="pod"),(((D10740/100)*(C10740*VLOOKUP(B10740,'Poids des runes'!A:B,2,FALSE)))+1),(((D10740/100)*(C10740*VLOOKUP(B10740,'Poids des runes'!A:B,2,FALSE)))+1)/VLOOKUP(B10740,'Poids des runes'!A:B,2,FALSE))</f>
        <v>0.52960784313725495</v>
      </c>
      <c r="F10740">
        <f t="shared" si="167"/>
        <v>0.52960784313725495</v>
      </c>
    </row>
    <row r="10741" spans="1:6" x14ac:dyDescent="0.3">
      <c r="A10741" t="s">
        <v>1747</v>
      </c>
      <c r="B10741" t="s">
        <v>2138</v>
      </c>
      <c r="C10741">
        <v>2.5</v>
      </c>
      <c r="D10741">
        <v>51</v>
      </c>
      <c r="E10741">
        <f>IF(OR(B10741="vi",B10741="ii",B10741="pod"),(((D10741/100)*(C10741*VLOOKUP(B10741,'Poids des runes'!A:B,2,FALSE)))+1),(((D10741/100)*(C10741*VLOOKUP(B10741,'Poids des runes'!A:B,2,FALSE)))+1)/VLOOKUP(B10741,'Poids des runes'!A:B,2,FALSE))</f>
        <v>1.5249999999999999</v>
      </c>
      <c r="F10741">
        <f t="shared" si="167"/>
        <v>1.5249999999999999</v>
      </c>
    </row>
    <row r="10742" spans="1:6" x14ac:dyDescent="0.3">
      <c r="A10742" t="s">
        <v>1747</v>
      </c>
      <c r="B10742" t="s">
        <v>2141</v>
      </c>
      <c r="C10742">
        <v>2.5</v>
      </c>
      <c r="D10742">
        <v>51</v>
      </c>
      <c r="E10742">
        <f>IF(OR(B10742="vi",B10742="ii",B10742="pod"),(((D10742/100)*(C10742*VLOOKUP(B10742,'Poids des runes'!A:B,2,FALSE)))+1),(((D10742/100)*(C10742*VLOOKUP(B10742,'Poids des runes'!A:B,2,FALSE)))+1)/VLOOKUP(B10742,'Poids des runes'!A:B,2,FALSE))</f>
        <v>1.5249999999999999</v>
      </c>
      <c r="F10742">
        <f t="shared" si="167"/>
        <v>1.5249999999999999</v>
      </c>
    </row>
    <row r="10743" spans="1:6" x14ac:dyDescent="0.3">
      <c r="A10743" t="s">
        <v>1748</v>
      </c>
      <c r="B10743" t="s">
        <v>2128</v>
      </c>
      <c r="C10743">
        <v>35.5</v>
      </c>
      <c r="D10743">
        <v>51</v>
      </c>
      <c r="E10743">
        <f>IF(OR(B10743="vi",B10743="ii",B10743="pod"),(((D10743/100)*(C10743*VLOOKUP(B10743,'Poids des runes'!A:B,2,FALSE)))+1),(((D10743/100)*(C10743*VLOOKUP(B10743,'Poids des runes'!A:B,2,FALSE)))+1)/VLOOKUP(B10743,'Poids des runes'!A:B,2,FALSE))</f>
        <v>4.6210000000000004</v>
      </c>
      <c r="F10743">
        <f t="shared" si="167"/>
        <v>4.6210000000000004</v>
      </c>
    </row>
    <row r="10744" spans="1:6" x14ac:dyDescent="0.3">
      <c r="A10744" t="s">
        <v>1748</v>
      </c>
      <c r="B10744" t="s">
        <v>2126</v>
      </c>
      <c r="C10744">
        <v>35.5</v>
      </c>
      <c r="D10744">
        <v>51</v>
      </c>
      <c r="E10744">
        <f>IF(OR(B10744="vi",B10744="ii",B10744="pod"),(((D10744/100)*(C10744*VLOOKUP(B10744,'Poids des runes'!A:B,2,FALSE)))+1),(((D10744/100)*(C10744*VLOOKUP(B10744,'Poids des runes'!A:B,2,FALSE)))+1)/VLOOKUP(B10744,'Poids des runes'!A:B,2,FALSE))</f>
        <v>19.105</v>
      </c>
      <c r="F10744">
        <f t="shared" si="167"/>
        <v>19.105</v>
      </c>
    </row>
    <row r="10745" spans="1:6" x14ac:dyDescent="0.3">
      <c r="A10745" t="s">
        <v>1748</v>
      </c>
      <c r="B10745" t="s">
        <v>2129</v>
      </c>
      <c r="C10745">
        <v>8.5</v>
      </c>
      <c r="D10745">
        <v>51</v>
      </c>
      <c r="E10745">
        <f>IF(OR(B10745="vi",B10745="ii",B10745="pod"),(((D10745/100)*(C10745*VLOOKUP(B10745,'Poids des runes'!A:B,2,FALSE)))+1),(((D10745/100)*(C10745*VLOOKUP(B10745,'Poids des runes'!A:B,2,FALSE)))+1)/VLOOKUP(B10745,'Poids des runes'!A:B,2,FALSE))</f>
        <v>5.335</v>
      </c>
      <c r="F10745">
        <f t="shared" si="167"/>
        <v>5.335</v>
      </c>
    </row>
    <row r="10746" spans="1:6" x14ac:dyDescent="0.3">
      <c r="A10746" t="s">
        <v>1748</v>
      </c>
      <c r="B10746" t="s">
        <v>2151</v>
      </c>
      <c r="C10746">
        <v>2.5</v>
      </c>
      <c r="D10746">
        <v>51</v>
      </c>
      <c r="E10746">
        <f>IF(OR(B10746="vi",B10746="ii",B10746="pod"),(((D10746/100)*(C10746*VLOOKUP(B10746,'Poids des runes'!A:B,2,FALSE)))+1),(((D10746/100)*(C10746*VLOOKUP(B10746,'Poids des runes'!A:B,2,FALSE)))+1)/VLOOKUP(B10746,'Poids des runes'!A:B,2,FALSE))</f>
        <v>1.375</v>
      </c>
      <c r="F10746">
        <f t="shared" si="167"/>
        <v>1.375</v>
      </c>
    </row>
    <row r="10747" spans="1:6" x14ac:dyDescent="0.3">
      <c r="A10747" t="s">
        <v>1748</v>
      </c>
      <c r="B10747" t="s">
        <v>2132</v>
      </c>
      <c r="C10747">
        <v>175.5</v>
      </c>
      <c r="D10747">
        <v>51</v>
      </c>
      <c r="E10747">
        <f>IF(OR(B10747="vi",B10747="ii",B10747="pod"),(((D10747/100)*(C10747*VLOOKUP(B10747,'Poids des runes'!A:B,2,FALSE)))+1),(((D10747/100)*(C10747*VLOOKUP(B10747,'Poids des runes'!A:B,2,FALSE)))+1)/VLOOKUP(B10747,'Poids des runes'!A:B,2,FALSE))</f>
        <v>9.9504999999999999</v>
      </c>
      <c r="F10747">
        <f t="shared" si="167"/>
        <v>9.9504999999999999</v>
      </c>
    </row>
    <row r="10748" spans="1:6" x14ac:dyDescent="0.3">
      <c r="A10748" t="s">
        <v>1749</v>
      </c>
      <c r="B10748" t="s">
        <v>2126</v>
      </c>
      <c r="C10748">
        <v>31.5</v>
      </c>
      <c r="D10748">
        <v>51</v>
      </c>
      <c r="E10748">
        <f>IF(OR(B10748="vi",B10748="ii",B10748="pod"),(((D10748/100)*(C10748*VLOOKUP(B10748,'Poids des runes'!A:B,2,FALSE)))+1),(((D10748/100)*(C10748*VLOOKUP(B10748,'Poids des runes'!A:B,2,FALSE)))+1)/VLOOKUP(B10748,'Poids des runes'!A:B,2,FALSE))</f>
        <v>17.065000000000001</v>
      </c>
      <c r="F10748">
        <f t="shared" si="167"/>
        <v>17.065000000000001</v>
      </c>
    </row>
    <row r="10749" spans="1:6" x14ac:dyDescent="0.3">
      <c r="A10749" t="s">
        <v>1749</v>
      </c>
      <c r="B10749" t="s">
        <v>2129</v>
      </c>
      <c r="C10749">
        <v>8</v>
      </c>
      <c r="D10749">
        <v>51</v>
      </c>
      <c r="E10749">
        <f>IF(OR(B10749="vi",B10749="ii",B10749="pod"),(((D10749/100)*(C10749*VLOOKUP(B10749,'Poids des runes'!A:B,2,FALSE)))+1),(((D10749/100)*(C10749*VLOOKUP(B10749,'Poids des runes'!A:B,2,FALSE)))+1)/VLOOKUP(B10749,'Poids des runes'!A:B,2,FALSE))</f>
        <v>5.08</v>
      </c>
      <c r="F10749">
        <f t="shared" si="167"/>
        <v>5.08</v>
      </c>
    </row>
    <row r="10750" spans="1:6" x14ac:dyDescent="0.3">
      <c r="A10750" t="s">
        <v>1749</v>
      </c>
      <c r="B10750" t="s">
        <v>2151</v>
      </c>
      <c r="C10750">
        <v>2</v>
      </c>
      <c r="D10750">
        <v>51</v>
      </c>
      <c r="E10750">
        <f>IF(OR(B10750="vi",B10750="ii",B10750="pod"),(((D10750/100)*(C10750*VLOOKUP(B10750,'Poids des runes'!A:B,2,FALSE)))+1),(((D10750/100)*(C10750*VLOOKUP(B10750,'Poids des runes'!A:B,2,FALSE)))+1)/VLOOKUP(B10750,'Poids des runes'!A:B,2,FALSE))</f>
        <v>1.1199999999999999</v>
      </c>
      <c r="F10750">
        <f t="shared" si="167"/>
        <v>1.1199999999999999</v>
      </c>
    </row>
    <row r="10751" spans="1:6" x14ac:dyDescent="0.3">
      <c r="A10751" t="s">
        <v>1750</v>
      </c>
      <c r="B10751" t="s">
        <v>2128</v>
      </c>
      <c r="C10751">
        <v>35.5</v>
      </c>
      <c r="D10751">
        <v>51</v>
      </c>
      <c r="E10751">
        <f>IF(OR(B10751="vi",B10751="ii",B10751="pod"),(((D10751/100)*(C10751*VLOOKUP(B10751,'Poids des runes'!A:B,2,FALSE)))+1),(((D10751/100)*(C10751*VLOOKUP(B10751,'Poids des runes'!A:B,2,FALSE)))+1)/VLOOKUP(B10751,'Poids des runes'!A:B,2,FALSE))</f>
        <v>4.6210000000000004</v>
      </c>
      <c r="F10751">
        <f t="shared" si="167"/>
        <v>4.6210000000000004</v>
      </c>
    </row>
    <row r="10752" spans="1:6" x14ac:dyDescent="0.3">
      <c r="A10752" t="s">
        <v>1750</v>
      </c>
      <c r="B10752" t="s">
        <v>2130</v>
      </c>
      <c r="C10752">
        <v>35.5</v>
      </c>
      <c r="D10752">
        <v>51</v>
      </c>
      <c r="E10752">
        <f>IF(OR(B10752="vi",B10752="ii",B10752="pod"),(((D10752/100)*(C10752*VLOOKUP(B10752,'Poids des runes'!A:B,2,FALSE)))+1),(((D10752/100)*(C10752*VLOOKUP(B10752,'Poids des runes'!A:B,2,FALSE)))+1)/VLOOKUP(B10752,'Poids des runes'!A:B,2,FALSE))</f>
        <v>19.105</v>
      </c>
      <c r="F10752">
        <f t="shared" si="167"/>
        <v>19.105</v>
      </c>
    </row>
    <row r="10753" spans="1:6" x14ac:dyDescent="0.3">
      <c r="A10753" t="s">
        <v>1750</v>
      </c>
      <c r="B10753" t="s">
        <v>2129</v>
      </c>
      <c r="C10753">
        <v>18</v>
      </c>
      <c r="D10753">
        <v>51</v>
      </c>
      <c r="E10753">
        <f>IF(OR(B10753="vi",B10753="ii",B10753="pod"),(((D10753/100)*(C10753*VLOOKUP(B10753,'Poids des runes'!A:B,2,FALSE)))+1),(((D10753/100)*(C10753*VLOOKUP(B10753,'Poids des runes'!A:B,2,FALSE)))+1)/VLOOKUP(B10753,'Poids des runes'!A:B,2,FALSE))</f>
        <v>10.18</v>
      </c>
      <c r="F10753">
        <f t="shared" si="167"/>
        <v>10.18</v>
      </c>
    </row>
    <row r="10754" spans="1:6" x14ac:dyDescent="0.3">
      <c r="A10754" t="s">
        <v>1750</v>
      </c>
      <c r="B10754" t="s">
        <v>2132</v>
      </c>
      <c r="C10754">
        <v>150</v>
      </c>
      <c r="D10754">
        <v>51</v>
      </c>
      <c r="E10754">
        <f>IF(OR(B10754="vi",B10754="ii",B10754="pod"),(((D10754/100)*(C10754*VLOOKUP(B10754,'Poids des runes'!A:B,2,FALSE)))+1),(((D10754/100)*(C10754*VLOOKUP(B10754,'Poids des runes'!A:B,2,FALSE)))+1)/VLOOKUP(B10754,'Poids des runes'!A:B,2,FALSE))</f>
        <v>8.65</v>
      </c>
      <c r="F10754">
        <f t="shared" si="167"/>
        <v>8.65</v>
      </c>
    </row>
    <row r="10755" spans="1:6" x14ac:dyDescent="0.3">
      <c r="A10755" t="s">
        <v>1750</v>
      </c>
      <c r="B10755" t="s">
        <v>2138</v>
      </c>
      <c r="C10755">
        <v>4.5</v>
      </c>
      <c r="D10755">
        <v>51</v>
      </c>
      <c r="E10755">
        <f>IF(OR(B10755="vi",B10755="ii",B10755="pod"),(((D10755/100)*(C10755*VLOOKUP(B10755,'Poids des runes'!A:B,2,FALSE)))+1),(((D10755/100)*(C10755*VLOOKUP(B10755,'Poids des runes'!A:B,2,FALSE)))+1)/VLOOKUP(B10755,'Poids des runes'!A:B,2,FALSE))</f>
        <v>2.5449999999999999</v>
      </c>
      <c r="F10755">
        <f t="shared" ref="F10755:F10818" si="168">E10755</f>
        <v>2.5449999999999999</v>
      </c>
    </row>
    <row r="10756" spans="1:6" x14ac:dyDescent="0.3">
      <c r="A10756" t="s">
        <v>1751</v>
      </c>
      <c r="B10756" t="s">
        <v>2128</v>
      </c>
      <c r="C10756">
        <v>50.5</v>
      </c>
      <c r="D10756">
        <v>52</v>
      </c>
      <c r="E10756">
        <f>IF(OR(B10756="vi",B10756="ii",B10756="pod"),(((D10756/100)*(C10756*VLOOKUP(B10756,'Poids des runes'!A:B,2,FALSE)))+1),(((D10756/100)*(C10756*VLOOKUP(B10756,'Poids des runes'!A:B,2,FALSE)))+1)/VLOOKUP(B10756,'Poids des runes'!A:B,2,FALSE))</f>
        <v>6.2520000000000007</v>
      </c>
      <c r="F10756">
        <f t="shared" si="168"/>
        <v>6.2520000000000007</v>
      </c>
    </row>
    <row r="10757" spans="1:6" x14ac:dyDescent="0.3">
      <c r="A10757" t="s">
        <v>1751</v>
      </c>
      <c r="B10757" t="s">
        <v>2130</v>
      </c>
      <c r="C10757">
        <v>35.5</v>
      </c>
      <c r="D10757">
        <v>52</v>
      </c>
      <c r="E10757">
        <f>IF(OR(B10757="vi",B10757="ii",B10757="pod"),(((D10757/100)*(C10757*VLOOKUP(B10757,'Poids des runes'!A:B,2,FALSE)))+1),(((D10757/100)*(C10757*VLOOKUP(B10757,'Poids des runes'!A:B,2,FALSE)))+1)/VLOOKUP(B10757,'Poids des runes'!A:B,2,FALSE))</f>
        <v>19.46</v>
      </c>
      <c r="F10757">
        <f t="shared" si="168"/>
        <v>19.46</v>
      </c>
    </row>
    <row r="10758" spans="1:6" x14ac:dyDescent="0.3">
      <c r="A10758" t="s">
        <v>1751</v>
      </c>
      <c r="B10758" t="s">
        <v>2127</v>
      </c>
      <c r="C10758">
        <v>35.5</v>
      </c>
      <c r="D10758">
        <v>52</v>
      </c>
      <c r="E10758">
        <f>IF(OR(B10758="vi",B10758="ii",B10758="pod"),(((D10758/100)*(C10758*VLOOKUP(B10758,'Poids des runes'!A:B,2,FALSE)))+1),(((D10758/100)*(C10758*VLOOKUP(B10758,'Poids des runes'!A:B,2,FALSE)))+1)/VLOOKUP(B10758,'Poids des runes'!A:B,2,FALSE))</f>
        <v>19.46</v>
      </c>
      <c r="F10758">
        <f t="shared" si="168"/>
        <v>19.46</v>
      </c>
    </row>
    <row r="10759" spans="1:6" x14ac:dyDescent="0.3">
      <c r="A10759" t="s">
        <v>1751</v>
      </c>
      <c r="B10759" t="s">
        <v>2143</v>
      </c>
      <c r="C10759">
        <v>2.5</v>
      </c>
      <c r="D10759">
        <v>52</v>
      </c>
      <c r="E10759">
        <f>IF(OR(B10759="vi",B10759="ii",B10759="pod"),(((D10759/100)*(C10759*VLOOKUP(B10759,'Poids des runes'!A:B,2,FALSE)))+1),(((D10759/100)*(C10759*VLOOKUP(B10759,'Poids des runes'!A:B,2,FALSE)))+1)/VLOOKUP(B10759,'Poids des runes'!A:B,2,FALSE))</f>
        <v>1.5</v>
      </c>
      <c r="F10759">
        <f t="shared" si="168"/>
        <v>1.5</v>
      </c>
    </row>
    <row r="10760" spans="1:6" x14ac:dyDescent="0.3">
      <c r="A10760" t="s">
        <v>1751</v>
      </c>
      <c r="B10760" t="s">
        <v>2153</v>
      </c>
      <c r="C10760">
        <v>2.5</v>
      </c>
      <c r="D10760">
        <v>52</v>
      </c>
      <c r="E10760">
        <f>IF(OR(B10760="vi",B10760="ii",B10760="pod"),(((D10760/100)*(C10760*VLOOKUP(B10760,'Poids des runes'!A:B,2,FALSE)))+1),(((D10760/100)*(C10760*VLOOKUP(B10760,'Poids des runes'!A:B,2,FALSE)))+1)/VLOOKUP(B10760,'Poids des runes'!A:B,2,FALSE))</f>
        <v>1.5</v>
      </c>
      <c r="F10760">
        <f t="shared" si="168"/>
        <v>1.5</v>
      </c>
    </row>
    <row r="10761" spans="1:6" x14ac:dyDescent="0.3">
      <c r="A10761" t="s">
        <v>1751</v>
      </c>
      <c r="B10761" t="s">
        <v>2138</v>
      </c>
      <c r="C10761">
        <v>2.5</v>
      </c>
      <c r="D10761">
        <v>52</v>
      </c>
      <c r="E10761">
        <f>IF(OR(B10761="vi",B10761="ii",B10761="pod"),(((D10761/100)*(C10761*VLOOKUP(B10761,'Poids des runes'!A:B,2,FALSE)))+1),(((D10761/100)*(C10761*VLOOKUP(B10761,'Poids des runes'!A:B,2,FALSE)))+1)/VLOOKUP(B10761,'Poids des runes'!A:B,2,FALSE))</f>
        <v>1.55</v>
      </c>
      <c r="F10761">
        <f t="shared" si="168"/>
        <v>1.55</v>
      </c>
    </row>
    <row r="10762" spans="1:6" x14ac:dyDescent="0.3">
      <c r="A10762" t="s">
        <v>1752</v>
      </c>
      <c r="B10762" t="s">
        <v>2128</v>
      </c>
      <c r="C10762">
        <v>35.5</v>
      </c>
      <c r="D10762">
        <v>52</v>
      </c>
      <c r="E10762">
        <f>IF(OR(B10762="vi",B10762="ii",B10762="pod"),(((D10762/100)*(C10762*VLOOKUP(B10762,'Poids des runes'!A:B,2,FALSE)))+1),(((D10762/100)*(C10762*VLOOKUP(B10762,'Poids des runes'!A:B,2,FALSE)))+1)/VLOOKUP(B10762,'Poids des runes'!A:B,2,FALSE))</f>
        <v>4.6920000000000002</v>
      </c>
      <c r="F10762">
        <f t="shared" si="168"/>
        <v>4.6920000000000002</v>
      </c>
    </row>
    <row r="10763" spans="1:6" x14ac:dyDescent="0.3">
      <c r="A10763" t="s">
        <v>1752</v>
      </c>
      <c r="B10763" t="s">
        <v>2130</v>
      </c>
      <c r="C10763">
        <v>35.5</v>
      </c>
      <c r="D10763">
        <v>52</v>
      </c>
      <c r="E10763">
        <f>IF(OR(B10763="vi",B10763="ii",B10763="pod"),(((D10763/100)*(C10763*VLOOKUP(B10763,'Poids des runes'!A:B,2,FALSE)))+1),(((D10763/100)*(C10763*VLOOKUP(B10763,'Poids des runes'!A:B,2,FALSE)))+1)/VLOOKUP(B10763,'Poids des runes'!A:B,2,FALSE))</f>
        <v>19.46</v>
      </c>
      <c r="F10763">
        <f t="shared" si="168"/>
        <v>19.46</v>
      </c>
    </row>
    <row r="10764" spans="1:6" x14ac:dyDescent="0.3">
      <c r="A10764" t="s">
        <v>1752</v>
      </c>
      <c r="B10764" t="s">
        <v>2126</v>
      </c>
      <c r="C10764">
        <v>35.5</v>
      </c>
      <c r="D10764">
        <v>52</v>
      </c>
      <c r="E10764">
        <f>IF(OR(B10764="vi",B10764="ii",B10764="pod"),(((D10764/100)*(C10764*VLOOKUP(B10764,'Poids des runes'!A:B,2,FALSE)))+1),(((D10764/100)*(C10764*VLOOKUP(B10764,'Poids des runes'!A:B,2,FALSE)))+1)/VLOOKUP(B10764,'Poids des runes'!A:B,2,FALSE))</f>
        <v>19.46</v>
      </c>
      <c r="F10764">
        <f t="shared" si="168"/>
        <v>19.46</v>
      </c>
    </row>
    <row r="10765" spans="1:6" x14ac:dyDescent="0.3">
      <c r="A10765" t="s">
        <v>1752</v>
      </c>
      <c r="B10765" t="s">
        <v>2151</v>
      </c>
      <c r="C10765">
        <v>2.5</v>
      </c>
      <c r="D10765">
        <v>52</v>
      </c>
      <c r="E10765">
        <f>IF(OR(B10765="vi",B10765="ii",B10765="pod"),(((D10765/100)*(C10765*VLOOKUP(B10765,'Poids des runes'!A:B,2,FALSE)))+1),(((D10765/100)*(C10765*VLOOKUP(B10765,'Poids des runes'!A:B,2,FALSE)))+1)/VLOOKUP(B10765,'Poids des runes'!A:B,2,FALSE))</f>
        <v>1.4</v>
      </c>
      <c r="F10765">
        <f t="shared" si="168"/>
        <v>1.4</v>
      </c>
    </row>
    <row r="10766" spans="1:6" x14ac:dyDescent="0.3">
      <c r="A10766" t="s">
        <v>1753</v>
      </c>
      <c r="B10766" t="s">
        <v>2128</v>
      </c>
      <c r="C10766">
        <v>35.5</v>
      </c>
      <c r="D10766">
        <v>52</v>
      </c>
      <c r="E10766">
        <f>IF(OR(B10766="vi",B10766="ii",B10766="pod"),(((D10766/100)*(C10766*VLOOKUP(B10766,'Poids des runes'!A:B,2,FALSE)))+1),(((D10766/100)*(C10766*VLOOKUP(B10766,'Poids des runes'!A:B,2,FALSE)))+1)/VLOOKUP(B10766,'Poids des runes'!A:B,2,FALSE))</f>
        <v>4.6920000000000002</v>
      </c>
      <c r="F10766">
        <f t="shared" si="168"/>
        <v>4.6920000000000002</v>
      </c>
    </row>
    <row r="10767" spans="1:6" x14ac:dyDescent="0.3">
      <c r="A10767" t="s">
        <v>1753</v>
      </c>
      <c r="B10767" t="s">
        <v>2127</v>
      </c>
      <c r="C10767">
        <v>25.5</v>
      </c>
      <c r="D10767">
        <v>52</v>
      </c>
      <c r="E10767">
        <f>IF(OR(B10767="vi",B10767="ii",B10767="pod"),(((D10767/100)*(C10767*VLOOKUP(B10767,'Poids des runes'!A:B,2,FALSE)))+1),(((D10767/100)*(C10767*VLOOKUP(B10767,'Poids des runes'!A:B,2,FALSE)))+1)/VLOOKUP(B10767,'Poids des runes'!A:B,2,FALSE))</f>
        <v>14.26</v>
      </c>
      <c r="F10767">
        <f t="shared" si="168"/>
        <v>14.26</v>
      </c>
    </row>
    <row r="10768" spans="1:6" x14ac:dyDescent="0.3">
      <c r="A10768" t="s">
        <v>1753</v>
      </c>
      <c r="B10768" t="s">
        <v>2129</v>
      </c>
      <c r="C10768">
        <v>13</v>
      </c>
      <c r="D10768">
        <v>52</v>
      </c>
      <c r="E10768">
        <f>IF(OR(B10768="vi",B10768="ii",B10768="pod"),(((D10768/100)*(C10768*VLOOKUP(B10768,'Poids des runes'!A:B,2,FALSE)))+1),(((D10768/100)*(C10768*VLOOKUP(B10768,'Poids des runes'!A:B,2,FALSE)))+1)/VLOOKUP(B10768,'Poids des runes'!A:B,2,FALSE))</f>
        <v>7.76</v>
      </c>
      <c r="F10768">
        <f t="shared" si="168"/>
        <v>7.76</v>
      </c>
    </row>
    <row r="10769" spans="1:6" x14ac:dyDescent="0.3">
      <c r="A10769" t="s">
        <v>1753</v>
      </c>
      <c r="B10769" t="s">
        <v>2141</v>
      </c>
      <c r="C10769">
        <v>4.5</v>
      </c>
      <c r="D10769">
        <v>52</v>
      </c>
      <c r="E10769">
        <f>IF(OR(B10769="vi",B10769="ii",B10769="pod"),(((D10769/100)*(C10769*VLOOKUP(B10769,'Poids des runes'!A:B,2,FALSE)))+1),(((D10769/100)*(C10769*VLOOKUP(B10769,'Poids des runes'!A:B,2,FALSE)))+1)/VLOOKUP(B10769,'Poids des runes'!A:B,2,FALSE))</f>
        <v>2.59</v>
      </c>
      <c r="F10769">
        <f t="shared" si="168"/>
        <v>2.59</v>
      </c>
    </row>
    <row r="10770" spans="1:6" x14ac:dyDescent="0.3">
      <c r="A10770" t="s">
        <v>1753</v>
      </c>
      <c r="B10770" t="s">
        <v>2156</v>
      </c>
      <c r="C10770">
        <v>2.5</v>
      </c>
      <c r="D10770">
        <v>52</v>
      </c>
      <c r="E10770">
        <f>IF(OR(B10770="vi",B10770="ii",B10770="pod"),(((D10770/100)*(C10770*VLOOKUP(B10770,'Poids des runes'!A:B,2,FALSE)))+1),(((D10770/100)*(C10770*VLOOKUP(B10770,'Poids des runes'!A:B,2,FALSE)))+1)/VLOOKUP(B10770,'Poids des runes'!A:B,2,FALSE))</f>
        <v>1.4666666666666668</v>
      </c>
      <c r="F10770">
        <f t="shared" si="168"/>
        <v>1.4666666666666668</v>
      </c>
    </row>
    <row r="10771" spans="1:6" x14ac:dyDescent="0.3">
      <c r="A10771" t="s">
        <v>1753</v>
      </c>
      <c r="B10771" t="s">
        <v>2157</v>
      </c>
      <c r="C10771">
        <v>2.5</v>
      </c>
      <c r="D10771">
        <v>52</v>
      </c>
      <c r="E10771">
        <f>IF(OR(B10771="vi",B10771="ii",B10771="pod"),(((D10771/100)*(C10771*VLOOKUP(B10771,'Poids des runes'!A:B,2,FALSE)))+1),(((D10771/100)*(C10771*VLOOKUP(B10771,'Poids des runes'!A:B,2,FALSE)))+1)/VLOOKUP(B10771,'Poids des runes'!A:B,2,FALSE))</f>
        <v>1.4666666666666668</v>
      </c>
      <c r="F10771">
        <f t="shared" si="168"/>
        <v>1.4666666666666668</v>
      </c>
    </row>
    <row r="10772" spans="1:6" x14ac:dyDescent="0.3">
      <c r="A10772" t="s">
        <v>1754</v>
      </c>
      <c r="B10772" t="s">
        <v>2128</v>
      </c>
      <c r="C10772">
        <v>35.5</v>
      </c>
      <c r="D10772">
        <v>52</v>
      </c>
      <c r="E10772">
        <f>IF(OR(B10772="vi",B10772="ii",B10772="pod"),(((D10772/100)*(C10772*VLOOKUP(B10772,'Poids des runes'!A:B,2,FALSE)))+1),(((D10772/100)*(C10772*VLOOKUP(B10772,'Poids des runes'!A:B,2,FALSE)))+1)/VLOOKUP(B10772,'Poids des runes'!A:B,2,FALSE))</f>
        <v>4.6920000000000002</v>
      </c>
      <c r="F10772">
        <f t="shared" si="168"/>
        <v>4.6920000000000002</v>
      </c>
    </row>
    <row r="10773" spans="1:6" x14ac:dyDescent="0.3">
      <c r="A10773" t="s">
        <v>1754</v>
      </c>
      <c r="B10773" t="s">
        <v>2131</v>
      </c>
      <c r="C10773">
        <v>35.5</v>
      </c>
      <c r="D10773">
        <v>52</v>
      </c>
      <c r="E10773">
        <f>IF(OR(B10773="vi",B10773="ii",B10773="pod"),(((D10773/100)*(C10773*VLOOKUP(B10773,'Poids des runes'!A:B,2,FALSE)))+1),(((D10773/100)*(C10773*VLOOKUP(B10773,'Poids des runes'!A:B,2,FALSE)))+1)/VLOOKUP(B10773,'Poids des runes'!A:B,2,FALSE))</f>
        <v>19.46</v>
      </c>
      <c r="F10773">
        <f t="shared" si="168"/>
        <v>19.46</v>
      </c>
    </row>
    <row r="10774" spans="1:6" x14ac:dyDescent="0.3">
      <c r="A10774" t="s">
        <v>1754</v>
      </c>
      <c r="B10774" t="s">
        <v>2134</v>
      </c>
      <c r="C10774">
        <v>2.5</v>
      </c>
      <c r="D10774">
        <v>52</v>
      </c>
      <c r="E10774">
        <f>IF(OR(B10774="vi",B10774="ii",B10774="pod"),(((D10774/100)*(C10774*VLOOKUP(B10774,'Poids des runes'!A:B,2,FALSE)))+1),(((D10774/100)*(C10774*VLOOKUP(B10774,'Poids des runes'!A:B,2,FALSE)))+1)/VLOOKUP(B10774,'Poids des runes'!A:B,2,FALSE))</f>
        <v>1.35</v>
      </c>
      <c r="F10774">
        <f t="shared" si="168"/>
        <v>1.35</v>
      </c>
    </row>
    <row r="10775" spans="1:6" x14ac:dyDescent="0.3">
      <c r="A10775" t="s">
        <v>1754</v>
      </c>
      <c r="B10775" t="s">
        <v>2133</v>
      </c>
      <c r="C10775">
        <v>2.5</v>
      </c>
      <c r="D10775">
        <v>52</v>
      </c>
      <c r="E10775">
        <f>IF(OR(B10775="vi",B10775="ii",B10775="pod"),(((D10775/100)*(C10775*VLOOKUP(B10775,'Poids des runes'!A:B,2,FALSE)))+1),(((D10775/100)*(C10775*VLOOKUP(B10775,'Poids des runes'!A:B,2,FALSE)))+1)/VLOOKUP(B10775,'Poids des runes'!A:B,2,FALSE))</f>
        <v>1.5</v>
      </c>
      <c r="F10775">
        <f t="shared" si="168"/>
        <v>1.5</v>
      </c>
    </row>
    <row r="10776" spans="1:6" x14ac:dyDescent="0.3">
      <c r="A10776" t="s">
        <v>1754</v>
      </c>
      <c r="B10776" t="s">
        <v>2138</v>
      </c>
      <c r="C10776">
        <v>2.5</v>
      </c>
      <c r="D10776">
        <v>52</v>
      </c>
      <c r="E10776">
        <f>IF(OR(B10776="vi",B10776="ii",B10776="pod"),(((D10776/100)*(C10776*VLOOKUP(B10776,'Poids des runes'!A:B,2,FALSE)))+1),(((D10776/100)*(C10776*VLOOKUP(B10776,'Poids des runes'!A:B,2,FALSE)))+1)/VLOOKUP(B10776,'Poids des runes'!A:B,2,FALSE))</f>
        <v>1.55</v>
      </c>
      <c r="F10776">
        <f t="shared" si="168"/>
        <v>1.55</v>
      </c>
    </row>
    <row r="10777" spans="1:6" x14ac:dyDescent="0.3">
      <c r="A10777" t="s">
        <v>1754</v>
      </c>
      <c r="B10777" t="s">
        <v>2158</v>
      </c>
      <c r="C10777">
        <v>4.5</v>
      </c>
      <c r="D10777">
        <v>52</v>
      </c>
      <c r="E10777">
        <f>IF(OR(B10777="vi",B10777="ii",B10777="pod"),(((D10777/100)*(C10777*VLOOKUP(B10777,'Poids des runes'!A:B,2,FALSE)))+1),(((D10777/100)*(C10777*VLOOKUP(B10777,'Poids des runes'!A:B,2,FALSE)))+1)/VLOOKUP(B10777,'Poids des runes'!A:B,2,FALSE))</f>
        <v>2.54</v>
      </c>
      <c r="F10777">
        <f t="shared" si="168"/>
        <v>2.54</v>
      </c>
    </row>
    <row r="10778" spans="1:6" x14ac:dyDescent="0.3">
      <c r="A10778" t="s">
        <v>1755</v>
      </c>
      <c r="B10778" t="s">
        <v>2128</v>
      </c>
      <c r="C10778">
        <v>25.5</v>
      </c>
      <c r="D10778">
        <v>52</v>
      </c>
      <c r="E10778">
        <f>IF(OR(B10778="vi",B10778="ii",B10778="pod"),(((D10778/100)*(C10778*VLOOKUP(B10778,'Poids des runes'!A:B,2,FALSE)))+1),(((D10778/100)*(C10778*VLOOKUP(B10778,'Poids des runes'!A:B,2,FALSE)))+1)/VLOOKUP(B10778,'Poids des runes'!A:B,2,FALSE))</f>
        <v>3.6520000000000006</v>
      </c>
      <c r="F10778">
        <f t="shared" si="168"/>
        <v>3.6520000000000006</v>
      </c>
    </row>
    <row r="10779" spans="1:6" x14ac:dyDescent="0.3">
      <c r="A10779" t="s">
        <v>1755</v>
      </c>
      <c r="B10779" t="s">
        <v>2126</v>
      </c>
      <c r="C10779">
        <v>25.5</v>
      </c>
      <c r="D10779">
        <v>52</v>
      </c>
      <c r="E10779">
        <f>IF(OR(B10779="vi",B10779="ii",B10779="pod"),(((D10779/100)*(C10779*VLOOKUP(B10779,'Poids des runes'!A:B,2,FALSE)))+1),(((D10779/100)*(C10779*VLOOKUP(B10779,'Poids des runes'!A:B,2,FALSE)))+1)/VLOOKUP(B10779,'Poids des runes'!A:B,2,FALSE))</f>
        <v>14.26</v>
      </c>
      <c r="F10779">
        <f t="shared" si="168"/>
        <v>14.26</v>
      </c>
    </row>
    <row r="10780" spans="1:6" x14ac:dyDescent="0.3">
      <c r="A10780" t="s">
        <v>1755</v>
      </c>
      <c r="B10780" t="s">
        <v>2131</v>
      </c>
      <c r="C10780">
        <v>25.5</v>
      </c>
      <c r="D10780">
        <v>52</v>
      </c>
      <c r="E10780">
        <f>IF(OR(B10780="vi",B10780="ii",B10780="pod"),(((D10780/100)*(C10780*VLOOKUP(B10780,'Poids des runes'!A:B,2,FALSE)))+1),(((D10780/100)*(C10780*VLOOKUP(B10780,'Poids des runes'!A:B,2,FALSE)))+1)/VLOOKUP(B10780,'Poids des runes'!A:B,2,FALSE))</f>
        <v>14.26</v>
      </c>
      <c r="F10780">
        <f t="shared" si="168"/>
        <v>14.26</v>
      </c>
    </row>
    <row r="10781" spans="1:6" x14ac:dyDescent="0.3">
      <c r="A10781" t="s">
        <v>1755</v>
      </c>
      <c r="B10781" t="s">
        <v>2147</v>
      </c>
      <c r="C10781">
        <v>2.5</v>
      </c>
      <c r="D10781">
        <v>52</v>
      </c>
      <c r="E10781">
        <f>IF(OR(B10781="vi",B10781="ii",B10781="pod"),(((D10781/100)*(C10781*VLOOKUP(B10781,'Poids des runes'!A:B,2,FALSE)))+1),(((D10781/100)*(C10781*VLOOKUP(B10781,'Poids des runes'!A:B,2,FALSE)))+1)/VLOOKUP(B10781,'Poids des runes'!A:B,2,FALSE))</f>
        <v>1.4666666666666668</v>
      </c>
      <c r="F10781">
        <f t="shared" si="168"/>
        <v>1.4666666666666668</v>
      </c>
    </row>
    <row r="10782" spans="1:6" x14ac:dyDescent="0.3">
      <c r="A10782" t="s">
        <v>1755</v>
      </c>
      <c r="B10782" t="s">
        <v>2135</v>
      </c>
      <c r="C10782">
        <v>2.5</v>
      </c>
      <c r="D10782">
        <v>52</v>
      </c>
      <c r="E10782">
        <f>IF(OR(B10782="vi",B10782="ii",B10782="pod"),(((D10782/100)*(C10782*VLOOKUP(B10782,'Poids des runes'!A:B,2,FALSE)))+1),(((D10782/100)*(C10782*VLOOKUP(B10782,'Poids des runes'!A:B,2,FALSE)))+1)/VLOOKUP(B10782,'Poids des runes'!A:B,2,FALSE))</f>
        <v>1.4666666666666668</v>
      </c>
      <c r="F10782">
        <f t="shared" si="168"/>
        <v>1.4666666666666668</v>
      </c>
    </row>
    <row r="10783" spans="1:6" x14ac:dyDescent="0.3">
      <c r="A10783" t="s">
        <v>1756</v>
      </c>
      <c r="B10783" t="s">
        <v>2128</v>
      </c>
      <c r="C10783">
        <v>28</v>
      </c>
      <c r="D10783">
        <v>53</v>
      </c>
      <c r="E10783">
        <f>IF(OR(B10783="vi",B10783="ii",B10783="pod"),(((D10783/100)*(C10783*VLOOKUP(B10783,'Poids des runes'!A:B,2,FALSE)))+1),(((D10783/100)*(C10783*VLOOKUP(B10783,'Poids des runes'!A:B,2,FALSE)))+1)/VLOOKUP(B10783,'Poids des runes'!A:B,2,FALSE))</f>
        <v>3.9680000000000004</v>
      </c>
      <c r="F10783">
        <f t="shared" si="168"/>
        <v>3.9680000000000004</v>
      </c>
    </row>
    <row r="10784" spans="1:6" x14ac:dyDescent="0.3">
      <c r="A10784" t="s">
        <v>1756</v>
      </c>
      <c r="B10784" t="s">
        <v>2130</v>
      </c>
      <c r="C10784">
        <v>28</v>
      </c>
      <c r="D10784">
        <v>53</v>
      </c>
      <c r="E10784">
        <f>IF(OR(B10784="vi",B10784="ii",B10784="pod"),(((D10784/100)*(C10784*VLOOKUP(B10784,'Poids des runes'!A:B,2,FALSE)))+1),(((D10784/100)*(C10784*VLOOKUP(B10784,'Poids des runes'!A:B,2,FALSE)))+1)/VLOOKUP(B10784,'Poids des runes'!A:B,2,FALSE))</f>
        <v>15.84</v>
      </c>
      <c r="F10784">
        <f t="shared" si="168"/>
        <v>15.84</v>
      </c>
    </row>
    <row r="10785" spans="1:6" x14ac:dyDescent="0.3">
      <c r="A10785" t="s">
        <v>1756</v>
      </c>
      <c r="B10785" t="s">
        <v>2131</v>
      </c>
      <c r="C10785">
        <v>28</v>
      </c>
      <c r="D10785">
        <v>53</v>
      </c>
      <c r="E10785">
        <f>IF(OR(B10785="vi",B10785="ii",B10785="pod"),(((D10785/100)*(C10785*VLOOKUP(B10785,'Poids des runes'!A:B,2,FALSE)))+1),(((D10785/100)*(C10785*VLOOKUP(B10785,'Poids des runes'!A:B,2,FALSE)))+1)/VLOOKUP(B10785,'Poids des runes'!A:B,2,FALSE))</f>
        <v>15.84</v>
      </c>
      <c r="F10785">
        <f t="shared" si="168"/>
        <v>15.84</v>
      </c>
    </row>
    <row r="10786" spans="1:6" x14ac:dyDescent="0.3">
      <c r="A10786" t="s">
        <v>1756</v>
      </c>
      <c r="B10786" t="s">
        <v>2127</v>
      </c>
      <c r="C10786">
        <v>28</v>
      </c>
      <c r="D10786">
        <v>53</v>
      </c>
      <c r="E10786">
        <f>IF(OR(B10786="vi",B10786="ii",B10786="pod"),(((D10786/100)*(C10786*VLOOKUP(B10786,'Poids des runes'!A:B,2,FALSE)))+1),(((D10786/100)*(C10786*VLOOKUP(B10786,'Poids des runes'!A:B,2,FALSE)))+1)/VLOOKUP(B10786,'Poids des runes'!A:B,2,FALSE))</f>
        <v>15.84</v>
      </c>
      <c r="F10786">
        <f t="shared" si="168"/>
        <v>15.84</v>
      </c>
    </row>
    <row r="10787" spans="1:6" x14ac:dyDescent="0.3">
      <c r="A10787" t="s">
        <v>1757</v>
      </c>
      <c r="B10787" t="s">
        <v>2126</v>
      </c>
      <c r="C10787">
        <v>25.5</v>
      </c>
      <c r="D10787">
        <v>54</v>
      </c>
      <c r="E10787">
        <f>IF(OR(B10787="vi",B10787="ii",B10787="pod"),(((D10787/100)*(C10787*VLOOKUP(B10787,'Poids des runes'!A:B,2,FALSE)))+1),(((D10787/100)*(C10787*VLOOKUP(B10787,'Poids des runes'!A:B,2,FALSE)))+1)/VLOOKUP(B10787,'Poids des runes'!A:B,2,FALSE))</f>
        <v>14.770000000000001</v>
      </c>
      <c r="F10787">
        <f t="shared" si="168"/>
        <v>14.770000000000001</v>
      </c>
    </row>
    <row r="10788" spans="1:6" x14ac:dyDescent="0.3">
      <c r="A10788" t="s">
        <v>1757</v>
      </c>
      <c r="B10788" t="s">
        <v>2129</v>
      </c>
      <c r="C10788">
        <v>13</v>
      </c>
      <c r="D10788">
        <v>54</v>
      </c>
      <c r="E10788">
        <f>IF(OR(B10788="vi",B10788="ii",B10788="pod"),(((D10788/100)*(C10788*VLOOKUP(B10788,'Poids des runes'!A:B,2,FALSE)))+1),(((D10788/100)*(C10788*VLOOKUP(B10788,'Poids des runes'!A:B,2,FALSE)))+1)/VLOOKUP(B10788,'Poids des runes'!A:B,2,FALSE))</f>
        <v>8.02</v>
      </c>
      <c r="F10788">
        <f t="shared" si="168"/>
        <v>8.02</v>
      </c>
    </row>
    <row r="10789" spans="1:6" x14ac:dyDescent="0.3">
      <c r="A10789" t="s">
        <v>1757</v>
      </c>
      <c r="B10789" t="s">
        <v>2155</v>
      </c>
      <c r="C10789">
        <v>1</v>
      </c>
      <c r="D10789">
        <v>54</v>
      </c>
      <c r="E10789">
        <f>IF(OR(B10789="vi",B10789="ii",B10789="pod"),(((D10789/100)*(C10789*VLOOKUP(B10789,'Poids des runes'!A:B,2,FALSE)))+1),(((D10789/100)*(C10789*VLOOKUP(B10789,'Poids des runes'!A:B,2,FALSE)))+1)/VLOOKUP(B10789,'Poids des runes'!A:B,2,FALSE))</f>
        <v>0.55960784313725498</v>
      </c>
      <c r="F10789">
        <f t="shared" si="168"/>
        <v>0.55960784313725498</v>
      </c>
    </row>
    <row r="10790" spans="1:6" x14ac:dyDescent="0.3">
      <c r="A10790" t="s">
        <v>1757</v>
      </c>
      <c r="B10790" t="s">
        <v>2159</v>
      </c>
      <c r="C10790">
        <v>4.5</v>
      </c>
      <c r="D10790">
        <v>54</v>
      </c>
      <c r="E10790">
        <f>IF(OR(B10790="vi",B10790="ii",B10790="pod"),(((D10790/100)*(C10790*VLOOKUP(B10790,'Poids des runes'!A:B,2,FALSE)))+1),(((D10790/100)*(C10790*VLOOKUP(B10790,'Poids des runes'!A:B,2,FALSE)))+1)/VLOOKUP(B10790,'Poids des runes'!A:B,2,FALSE))</f>
        <v>2.572857142857143</v>
      </c>
      <c r="F10790">
        <f t="shared" si="168"/>
        <v>2.572857142857143</v>
      </c>
    </row>
    <row r="10791" spans="1:6" x14ac:dyDescent="0.3">
      <c r="A10791" t="s">
        <v>1758</v>
      </c>
      <c r="B10791" t="s">
        <v>2130</v>
      </c>
      <c r="C10791">
        <v>25.5</v>
      </c>
      <c r="D10791">
        <v>54</v>
      </c>
      <c r="E10791">
        <f>IF(OR(B10791="vi",B10791="ii",B10791="pod"),(((D10791/100)*(C10791*VLOOKUP(B10791,'Poids des runes'!A:B,2,FALSE)))+1),(((D10791/100)*(C10791*VLOOKUP(B10791,'Poids des runes'!A:B,2,FALSE)))+1)/VLOOKUP(B10791,'Poids des runes'!A:B,2,FALSE))</f>
        <v>14.770000000000001</v>
      </c>
      <c r="F10791">
        <f t="shared" si="168"/>
        <v>14.770000000000001</v>
      </c>
    </row>
    <row r="10792" spans="1:6" x14ac:dyDescent="0.3">
      <c r="A10792" t="s">
        <v>1758</v>
      </c>
      <c r="B10792" t="s">
        <v>2126</v>
      </c>
      <c r="C10792">
        <v>25.5</v>
      </c>
      <c r="D10792">
        <v>54</v>
      </c>
      <c r="E10792">
        <f>IF(OR(B10792="vi",B10792="ii",B10792="pod"),(((D10792/100)*(C10792*VLOOKUP(B10792,'Poids des runes'!A:B,2,FALSE)))+1),(((D10792/100)*(C10792*VLOOKUP(B10792,'Poids des runes'!A:B,2,FALSE)))+1)/VLOOKUP(B10792,'Poids des runes'!A:B,2,FALSE))</f>
        <v>14.770000000000001</v>
      </c>
      <c r="F10792">
        <f t="shared" si="168"/>
        <v>14.770000000000001</v>
      </c>
    </row>
    <row r="10793" spans="1:6" x14ac:dyDescent="0.3">
      <c r="A10793" t="s">
        <v>1758</v>
      </c>
      <c r="B10793" t="s">
        <v>2143</v>
      </c>
      <c r="C10793">
        <v>3.5</v>
      </c>
      <c r="D10793">
        <v>54</v>
      </c>
      <c r="E10793">
        <f>IF(OR(B10793="vi",B10793="ii",B10793="pod"),(((D10793/100)*(C10793*VLOOKUP(B10793,'Poids des runes'!A:B,2,FALSE)))+1),(((D10793/100)*(C10793*VLOOKUP(B10793,'Poids des runes'!A:B,2,FALSE)))+1)/VLOOKUP(B10793,'Poids des runes'!A:B,2,FALSE))</f>
        <v>2.0900000000000003</v>
      </c>
      <c r="F10793">
        <f t="shared" si="168"/>
        <v>2.0900000000000003</v>
      </c>
    </row>
    <row r="10794" spans="1:6" x14ac:dyDescent="0.3">
      <c r="A10794" t="s">
        <v>1758</v>
      </c>
      <c r="B10794" t="s">
        <v>2140</v>
      </c>
      <c r="C10794">
        <v>3.5</v>
      </c>
      <c r="D10794">
        <v>54</v>
      </c>
      <c r="E10794">
        <f>IF(OR(B10794="vi",B10794="ii",B10794="pod"),(((D10794/100)*(C10794*VLOOKUP(B10794,'Poids des runes'!A:B,2,FALSE)))+1),(((D10794/100)*(C10794*VLOOKUP(B10794,'Poids des runes'!A:B,2,FALSE)))+1)/VLOOKUP(B10794,'Poids des runes'!A:B,2,FALSE))</f>
        <v>2.0900000000000003</v>
      </c>
      <c r="F10794">
        <f t="shared" si="168"/>
        <v>2.0900000000000003</v>
      </c>
    </row>
    <row r="10795" spans="1:6" x14ac:dyDescent="0.3">
      <c r="A10795" t="s">
        <v>1759</v>
      </c>
      <c r="B10795" t="s">
        <v>2128</v>
      </c>
      <c r="C10795">
        <v>45.5</v>
      </c>
      <c r="D10795">
        <v>54</v>
      </c>
      <c r="E10795">
        <f>IF(OR(B10795="vi",B10795="ii",B10795="pod"),(((D10795/100)*(C10795*VLOOKUP(B10795,'Poids des runes'!A:B,2,FALSE)))+1),(((D10795/100)*(C10795*VLOOKUP(B10795,'Poids des runes'!A:B,2,FALSE)))+1)/VLOOKUP(B10795,'Poids des runes'!A:B,2,FALSE))</f>
        <v>5.9139999999999997</v>
      </c>
      <c r="F10795">
        <f t="shared" si="168"/>
        <v>5.9139999999999997</v>
      </c>
    </row>
    <row r="10796" spans="1:6" x14ac:dyDescent="0.3">
      <c r="A10796" t="s">
        <v>1759</v>
      </c>
      <c r="B10796" t="s">
        <v>2150</v>
      </c>
      <c r="C10796">
        <v>2</v>
      </c>
      <c r="D10796">
        <v>54</v>
      </c>
      <c r="E10796">
        <f>IF(OR(B10796="vi",B10796="ii",B10796="pod"),(((D10796/100)*(C10796*VLOOKUP(B10796,'Poids des runes'!A:B,2,FALSE)))+1),(((D10796/100)*(C10796*VLOOKUP(B10796,'Poids des runes'!A:B,2,FALSE)))+1)/VLOOKUP(B10796,'Poids des runes'!A:B,2,FALSE))</f>
        <v>1.1133333333333335</v>
      </c>
      <c r="F10796">
        <f t="shared" si="168"/>
        <v>1.1133333333333335</v>
      </c>
    </row>
    <row r="10797" spans="1:6" x14ac:dyDescent="0.3">
      <c r="A10797" t="s">
        <v>1759</v>
      </c>
      <c r="B10797" t="s">
        <v>2134</v>
      </c>
      <c r="C10797">
        <v>4.5</v>
      </c>
      <c r="D10797">
        <v>54</v>
      </c>
      <c r="E10797">
        <f>IF(OR(B10797="vi",B10797="ii",B10797="pod"),(((D10797/100)*(C10797*VLOOKUP(B10797,'Poids des runes'!A:B,2,FALSE)))+1),(((D10797/100)*(C10797*VLOOKUP(B10797,'Poids des runes'!A:B,2,FALSE)))+1)/VLOOKUP(B10797,'Poids des runes'!A:B,2,FALSE))</f>
        <v>2.48</v>
      </c>
      <c r="F10797">
        <f t="shared" si="168"/>
        <v>2.48</v>
      </c>
    </row>
    <row r="10798" spans="1:6" x14ac:dyDescent="0.3">
      <c r="A10798" t="s">
        <v>1760</v>
      </c>
      <c r="B10798" t="s">
        <v>2126</v>
      </c>
      <c r="C10798">
        <v>23</v>
      </c>
      <c r="D10798">
        <v>54</v>
      </c>
      <c r="E10798">
        <f>IF(OR(B10798="vi",B10798="ii",B10798="pod"),(((D10798/100)*(C10798*VLOOKUP(B10798,'Poids des runes'!A:B,2,FALSE)))+1),(((D10798/100)*(C10798*VLOOKUP(B10798,'Poids des runes'!A:B,2,FALSE)))+1)/VLOOKUP(B10798,'Poids des runes'!A:B,2,FALSE))</f>
        <v>13.420000000000002</v>
      </c>
      <c r="F10798">
        <f t="shared" si="168"/>
        <v>13.420000000000002</v>
      </c>
    </row>
    <row r="10799" spans="1:6" x14ac:dyDescent="0.3">
      <c r="A10799" t="s">
        <v>1760</v>
      </c>
      <c r="B10799" t="s">
        <v>2151</v>
      </c>
      <c r="C10799">
        <v>3.5</v>
      </c>
      <c r="D10799">
        <v>54</v>
      </c>
      <c r="E10799">
        <f>IF(OR(B10799="vi",B10799="ii",B10799="pod"),(((D10799/100)*(C10799*VLOOKUP(B10799,'Poids des runes'!A:B,2,FALSE)))+1),(((D10799/100)*(C10799*VLOOKUP(B10799,'Poids des runes'!A:B,2,FALSE)))+1)/VLOOKUP(B10799,'Poids des runes'!A:B,2,FALSE))</f>
        <v>1.9900000000000002</v>
      </c>
      <c r="F10799">
        <f t="shared" si="168"/>
        <v>1.9900000000000002</v>
      </c>
    </row>
    <row r="10800" spans="1:6" x14ac:dyDescent="0.3">
      <c r="A10800" t="s">
        <v>1760</v>
      </c>
      <c r="B10800" t="s">
        <v>2150</v>
      </c>
      <c r="C10800">
        <v>1</v>
      </c>
      <c r="D10800">
        <v>54</v>
      </c>
      <c r="E10800">
        <f>IF(OR(B10800="vi",B10800="ii",B10800="pod"),(((D10800/100)*(C10800*VLOOKUP(B10800,'Poids des runes'!A:B,2,FALSE)))+1),(((D10800/100)*(C10800*VLOOKUP(B10800,'Poids des runes'!A:B,2,FALSE)))+1)/VLOOKUP(B10800,'Poids des runes'!A:B,2,FALSE))</f>
        <v>0.57333333333333347</v>
      </c>
      <c r="F10800">
        <f t="shared" si="168"/>
        <v>0.57333333333333347</v>
      </c>
    </row>
    <row r="10801" spans="1:6" x14ac:dyDescent="0.3">
      <c r="A10801" t="s">
        <v>1760</v>
      </c>
      <c r="B10801" t="s">
        <v>2140</v>
      </c>
      <c r="C10801">
        <v>3.5</v>
      </c>
      <c r="D10801">
        <v>54</v>
      </c>
      <c r="E10801">
        <f>IF(OR(B10801="vi",B10801="ii",B10801="pod"),(((D10801/100)*(C10801*VLOOKUP(B10801,'Poids des runes'!A:B,2,FALSE)))+1),(((D10801/100)*(C10801*VLOOKUP(B10801,'Poids des runes'!A:B,2,FALSE)))+1)/VLOOKUP(B10801,'Poids des runes'!A:B,2,FALSE))</f>
        <v>2.0900000000000003</v>
      </c>
      <c r="F10801">
        <f t="shared" si="168"/>
        <v>2.0900000000000003</v>
      </c>
    </row>
    <row r="10802" spans="1:6" x14ac:dyDescent="0.3">
      <c r="A10802" t="s">
        <v>1760</v>
      </c>
      <c r="B10802" t="s">
        <v>2149</v>
      </c>
      <c r="C10802">
        <v>4.5</v>
      </c>
      <c r="D10802">
        <v>54</v>
      </c>
      <c r="E10802">
        <f>IF(OR(B10802="vi",B10802="ii",B10802="pod"),(((D10802/100)*(C10802*VLOOKUP(B10802,'Poids des runes'!A:B,2,FALSE)))+1),(((D10802/100)*(C10802*VLOOKUP(B10802,'Poids des runes'!A:B,2,FALSE)))+1)/VLOOKUP(B10802,'Poids des runes'!A:B,2,FALSE))</f>
        <v>2.5300000000000002</v>
      </c>
      <c r="F10802">
        <f t="shared" si="168"/>
        <v>2.5300000000000002</v>
      </c>
    </row>
    <row r="10803" spans="1:6" x14ac:dyDescent="0.3">
      <c r="A10803" t="s">
        <v>1760</v>
      </c>
      <c r="B10803" t="s">
        <v>2162</v>
      </c>
      <c r="C10803">
        <v>2.5</v>
      </c>
      <c r="D10803">
        <v>54</v>
      </c>
      <c r="E10803">
        <f>IF(OR(B10803="vi",B10803="ii",B10803="pod"),(((D10803/100)*(C10803*VLOOKUP(B10803,'Poids des runes'!A:B,2,FALSE)))+1),(((D10803/100)*(C10803*VLOOKUP(B10803,'Poids des runes'!A:B,2,FALSE)))+1)/VLOOKUP(B10803,'Poids des runes'!A:B,2,FALSE))</f>
        <v>1.4928571428571431</v>
      </c>
      <c r="F10803">
        <f t="shared" si="168"/>
        <v>1.4928571428571431</v>
      </c>
    </row>
    <row r="10804" spans="1:6" x14ac:dyDescent="0.3">
      <c r="A10804" t="s">
        <v>1760</v>
      </c>
      <c r="B10804" t="s">
        <v>2163</v>
      </c>
      <c r="C10804">
        <v>8.5</v>
      </c>
      <c r="D10804">
        <v>54</v>
      </c>
      <c r="E10804">
        <f>IF(OR(B10804="vi",B10804="ii",B10804="pod"),(((D10804/100)*(C10804*VLOOKUP(B10804,'Poids des runes'!A:B,2,FALSE)))+1),(((D10804/100)*(C10804*VLOOKUP(B10804,'Poids des runes'!A:B,2,FALSE)))+1)/VLOOKUP(B10804,'Poids des runes'!A:B,2,FALSE))</f>
        <v>5.09</v>
      </c>
      <c r="F10804">
        <f t="shared" si="168"/>
        <v>5.09</v>
      </c>
    </row>
    <row r="10805" spans="1:6" x14ac:dyDescent="0.3">
      <c r="A10805" t="s">
        <v>1761</v>
      </c>
      <c r="B10805" t="s">
        <v>2131</v>
      </c>
      <c r="C10805">
        <v>35.5</v>
      </c>
      <c r="D10805">
        <v>55</v>
      </c>
      <c r="E10805">
        <f>IF(OR(B10805="vi",B10805="ii",B10805="pod"),(((D10805/100)*(C10805*VLOOKUP(B10805,'Poids des runes'!A:B,2,FALSE)))+1),(((D10805/100)*(C10805*VLOOKUP(B10805,'Poids des runes'!A:B,2,FALSE)))+1)/VLOOKUP(B10805,'Poids des runes'!A:B,2,FALSE))</f>
        <v>20.525000000000002</v>
      </c>
      <c r="F10805">
        <f t="shared" si="168"/>
        <v>20.525000000000002</v>
      </c>
    </row>
    <row r="10806" spans="1:6" x14ac:dyDescent="0.3">
      <c r="A10806" t="s">
        <v>1761</v>
      </c>
      <c r="B10806" t="s">
        <v>2129</v>
      </c>
      <c r="C10806">
        <v>28</v>
      </c>
      <c r="D10806">
        <v>55</v>
      </c>
      <c r="E10806">
        <f>IF(OR(B10806="vi",B10806="ii",B10806="pod"),(((D10806/100)*(C10806*VLOOKUP(B10806,'Poids des runes'!A:B,2,FALSE)))+1),(((D10806/100)*(C10806*VLOOKUP(B10806,'Poids des runes'!A:B,2,FALSE)))+1)/VLOOKUP(B10806,'Poids des runes'!A:B,2,FALSE))</f>
        <v>16.400000000000002</v>
      </c>
      <c r="F10806">
        <f t="shared" si="168"/>
        <v>16.400000000000002</v>
      </c>
    </row>
    <row r="10807" spans="1:6" x14ac:dyDescent="0.3">
      <c r="A10807" t="s">
        <v>1761</v>
      </c>
      <c r="B10807" t="s">
        <v>2155</v>
      </c>
      <c r="C10807">
        <v>1</v>
      </c>
      <c r="D10807">
        <v>55</v>
      </c>
      <c r="E10807">
        <f>IF(OR(B10807="vi",B10807="ii",B10807="pod"),(((D10807/100)*(C10807*VLOOKUP(B10807,'Poids des runes'!A:B,2,FALSE)))+1),(((D10807/100)*(C10807*VLOOKUP(B10807,'Poids des runes'!A:B,2,FALSE)))+1)/VLOOKUP(B10807,'Poids des runes'!A:B,2,FALSE))</f>
        <v>0.56960784313725488</v>
      </c>
      <c r="F10807">
        <f t="shared" si="168"/>
        <v>0.56960784313725488</v>
      </c>
    </row>
    <row r="10808" spans="1:6" x14ac:dyDescent="0.3">
      <c r="A10808" t="s">
        <v>1762</v>
      </c>
      <c r="B10808" t="s">
        <v>2128</v>
      </c>
      <c r="C10808">
        <v>35.5</v>
      </c>
      <c r="D10808">
        <v>55</v>
      </c>
      <c r="E10808">
        <f>IF(OR(B10808="vi",B10808="ii",B10808="pod"),(((D10808/100)*(C10808*VLOOKUP(B10808,'Poids des runes'!A:B,2,FALSE)))+1),(((D10808/100)*(C10808*VLOOKUP(B10808,'Poids des runes'!A:B,2,FALSE)))+1)/VLOOKUP(B10808,'Poids des runes'!A:B,2,FALSE))</f>
        <v>4.9050000000000011</v>
      </c>
      <c r="F10808">
        <f t="shared" si="168"/>
        <v>4.9050000000000011</v>
      </c>
    </row>
    <row r="10809" spans="1:6" x14ac:dyDescent="0.3">
      <c r="A10809" t="s">
        <v>1762</v>
      </c>
      <c r="B10809" t="s">
        <v>2126</v>
      </c>
      <c r="C10809">
        <v>35.5</v>
      </c>
      <c r="D10809">
        <v>55</v>
      </c>
      <c r="E10809">
        <f>IF(OR(B10809="vi",B10809="ii",B10809="pod"),(((D10809/100)*(C10809*VLOOKUP(B10809,'Poids des runes'!A:B,2,FALSE)))+1),(((D10809/100)*(C10809*VLOOKUP(B10809,'Poids des runes'!A:B,2,FALSE)))+1)/VLOOKUP(B10809,'Poids des runes'!A:B,2,FALSE))</f>
        <v>20.525000000000002</v>
      </c>
      <c r="F10809">
        <f t="shared" si="168"/>
        <v>20.525000000000002</v>
      </c>
    </row>
    <row r="10810" spans="1:6" x14ac:dyDescent="0.3">
      <c r="A10810" t="s">
        <v>1762</v>
      </c>
      <c r="B10810" t="s">
        <v>2129</v>
      </c>
      <c r="C10810">
        <v>18</v>
      </c>
      <c r="D10810">
        <v>55</v>
      </c>
      <c r="E10810">
        <f>IF(OR(B10810="vi",B10810="ii",B10810="pod"),(((D10810/100)*(C10810*VLOOKUP(B10810,'Poids des runes'!A:B,2,FALSE)))+1),(((D10810/100)*(C10810*VLOOKUP(B10810,'Poids des runes'!A:B,2,FALSE)))+1)/VLOOKUP(B10810,'Poids des runes'!A:B,2,FALSE))</f>
        <v>10.9</v>
      </c>
      <c r="F10810">
        <f t="shared" si="168"/>
        <v>10.9</v>
      </c>
    </row>
    <row r="10811" spans="1:6" x14ac:dyDescent="0.3">
      <c r="A10811" t="s">
        <v>1762</v>
      </c>
      <c r="B10811" t="s">
        <v>2155</v>
      </c>
      <c r="C10811">
        <v>1</v>
      </c>
      <c r="D10811">
        <v>55</v>
      </c>
      <c r="E10811">
        <f>IF(OR(B10811="vi",B10811="ii",B10811="pod"),(((D10811/100)*(C10811*VLOOKUP(B10811,'Poids des runes'!A:B,2,FALSE)))+1),(((D10811/100)*(C10811*VLOOKUP(B10811,'Poids des runes'!A:B,2,FALSE)))+1)/VLOOKUP(B10811,'Poids des runes'!A:B,2,FALSE))</f>
        <v>0.56960784313725488</v>
      </c>
      <c r="F10811">
        <f t="shared" si="168"/>
        <v>0.56960784313725488</v>
      </c>
    </row>
    <row r="10812" spans="1:6" x14ac:dyDescent="0.3">
      <c r="A10812" t="s">
        <v>1763</v>
      </c>
      <c r="B10812" t="s">
        <v>2128</v>
      </c>
      <c r="C10812">
        <v>25.5</v>
      </c>
      <c r="D10812">
        <v>55</v>
      </c>
      <c r="E10812">
        <f>IF(OR(B10812="vi",B10812="ii",B10812="pod"),(((D10812/100)*(C10812*VLOOKUP(B10812,'Poids des runes'!A:B,2,FALSE)))+1),(((D10812/100)*(C10812*VLOOKUP(B10812,'Poids des runes'!A:B,2,FALSE)))+1)/VLOOKUP(B10812,'Poids des runes'!A:B,2,FALSE))</f>
        <v>3.8050000000000006</v>
      </c>
      <c r="F10812">
        <f t="shared" si="168"/>
        <v>3.8050000000000006</v>
      </c>
    </row>
    <row r="10813" spans="1:6" x14ac:dyDescent="0.3">
      <c r="A10813" t="s">
        <v>1763</v>
      </c>
      <c r="B10813" t="s">
        <v>2130</v>
      </c>
      <c r="C10813">
        <v>25.5</v>
      </c>
      <c r="D10813">
        <v>55</v>
      </c>
      <c r="E10813">
        <f>IF(OR(B10813="vi",B10813="ii",B10813="pod"),(((D10813/100)*(C10813*VLOOKUP(B10813,'Poids des runes'!A:B,2,FALSE)))+1),(((D10813/100)*(C10813*VLOOKUP(B10813,'Poids des runes'!A:B,2,FALSE)))+1)/VLOOKUP(B10813,'Poids des runes'!A:B,2,FALSE))</f>
        <v>15.025</v>
      </c>
      <c r="F10813">
        <f t="shared" si="168"/>
        <v>15.025</v>
      </c>
    </row>
    <row r="10814" spans="1:6" x14ac:dyDescent="0.3">
      <c r="A10814" t="s">
        <v>1763</v>
      </c>
      <c r="B10814" t="s">
        <v>2131</v>
      </c>
      <c r="C10814">
        <v>25.5</v>
      </c>
      <c r="D10814">
        <v>55</v>
      </c>
      <c r="E10814">
        <f>IF(OR(B10814="vi",B10814="ii",B10814="pod"),(((D10814/100)*(C10814*VLOOKUP(B10814,'Poids des runes'!A:B,2,FALSE)))+1),(((D10814/100)*(C10814*VLOOKUP(B10814,'Poids des runes'!A:B,2,FALSE)))+1)/VLOOKUP(B10814,'Poids des runes'!A:B,2,FALSE))</f>
        <v>15.025</v>
      </c>
      <c r="F10814">
        <f t="shared" si="168"/>
        <v>15.025</v>
      </c>
    </row>
    <row r="10815" spans="1:6" x14ac:dyDescent="0.3">
      <c r="A10815" t="s">
        <v>1763</v>
      </c>
      <c r="B10815" t="s">
        <v>2127</v>
      </c>
      <c r="C10815">
        <v>25.5</v>
      </c>
      <c r="D10815">
        <v>55</v>
      </c>
      <c r="E10815">
        <f>IF(OR(B10815="vi",B10815="ii",B10815="pod"),(((D10815/100)*(C10815*VLOOKUP(B10815,'Poids des runes'!A:B,2,FALSE)))+1),(((D10815/100)*(C10815*VLOOKUP(B10815,'Poids des runes'!A:B,2,FALSE)))+1)/VLOOKUP(B10815,'Poids des runes'!A:B,2,FALSE))</f>
        <v>15.025</v>
      </c>
      <c r="F10815">
        <f t="shared" si="168"/>
        <v>15.025</v>
      </c>
    </row>
    <row r="10816" spans="1:6" x14ac:dyDescent="0.3">
      <c r="A10816" t="s">
        <v>1763</v>
      </c>
      <c r="B10816" t="s">
        <v>2139</v>
      </c>
      <c r="C10816">
        <v>13</v>
      </c>
      <c r="D10816">
        <v>55</v>
      </c>
      <c r="E10816">
        <f>IF(OR(B10816="vi",B10816="ii",B10816="pod"),(((D10816/100)*(C10816*VLOOKUP(B10816,'Poids des runes'!A:B,2,FALSE)))+1),(((D10816/100)*(C10816*VLOOKUP(B10816,'Poids des runes'!A:B,2,FALSE)))+1)/VLOOKUP(B10816,'Poids des runes'!A:B,2,FALSE))</f>
        <v>7.65</v>
      </c>
      <c r="F10816">
        <f t="shared" si="168"/>
        <v>7.65</v>
      </c>
    </row>
    <row r="10817" spans="1:6" x14ac:dyDescent="0.3">
      <c r="A10817" t="s">
        <v>1763</v>
      </c>
      <c r="B10817" t="s">
        <v>2143</v>
      </c>
      <c r="C10817">
        <v>2</v>
      </c>
      <c r="D10817">
        <v>55</v>
      </c>
      <c r="E10817">
        <f>IF(OR(B10817="vi",B10817="ii",B10817="pod"),(((D10817/100)*(C10817*VLOOKUP(B10817,'Poids des runes'!A:B,2,FALSE)))+1),(((D10817/100)*(C10817*VLOOKUP(B10817,'Poids des runes'!A:B,2,FALSE)))+1)/VLOOKUP(B10817,'Poids des runes'!A:B,2,FALSE))</f>
        <v>1.3</v>
      </c>
      <c r="F10817">
        <f t="shared" si="168"/>
        <v>1.3</v>
      </c>
    </row>
    <row r="10818" spans="1:6" x14ac:dyDescent="0.3">
      <c r="A10818" t="s">
        <v>1763</v>
      </c>
      <c r="B10818" t="s">
        <v>2133</v>
      </c>
      <c r="C10818">
        <v>2</v>
      </c>
      <c r="D10818">
        <v>55</v>
      </c>
      <c r="E10818">
        <f>IF(OR(B10818="vi",B10818="ii",B10818="pod"),(((D10818/100)*(C10818*VLOOKUP(B10818,'Poids des runes'!A:B,2,FALSE)))+1),(((D10818/100)*(C10818*VLOOKUP(B10818,'Poids des runes'!A:B,2,FALSE)))+1)/VLOOKUP(B10818,'Poids des runes'!A:B,2,FALSE))</f>
        <v>1.3</v>
      </c>
      <c r="F10818">
        <f t="shared" si="168"/>
        <v>1.3</v>
      </c>
    </row>
    <row r="10819" spans="1:6" x14ac:dyDescent="0.3">
      <c r="A10819" t="s">
        <v>1763</v>
      </c>
      <c r="B10819" t="s">
        <v>2153</v>
      </c>
      <c r="C10819">
        <v>2</v>
      </c>
      <c r="D10819">
        <v>55</v>
      </c>
      <c r="E10819">
        <f>IF(OR(B10819="vi",B10819="ii",B10819="pod"),(((D10819/100)*(C10819*VLOOKUP(B10819,'Poids des runes'!A:B,2,FALSE)))+1),(((D10819/100)*(C10819*VLOOKUP(B10819,'Poids des runes'!A:B,2,FALSE)))+1)/VLOOKUP(B10819,'Poids des runes'!A:B,2,FALSE))</f>
        <v>1.3</v>
      </c>
      <c r="F10819">
        <f t="shared" ref="F10819:F10882" si="169">E10819</f>
        <v>1.3</v>
      </c>
    </row>
    <row r="10820" spans="1:6" x14ac:dyDescent="0.3">
      <c r="A10820" t="s">
        <v>1764</v>
      </c>
      <c r="B10820" t="s">
        <v>2128</v>
      </c>
      <c r="C10820">
        <v>50.5</v>
      </c>
      <c r="D10820">
        <v>55</v>
      </c>
      <c r="E10820">
        <f>IF(OR(B10820="vi",B10820="ii",B10820="pod"),(((D10820/100)*(C10820*VLOOKUP(B10820,'Poids des runes'!A:B,2,FALSE)))+1),(((D10820/100)*(C10820*VLOOKUP(B10820,'Poids des runes'!A:B,2,FALSE)))+1)/VLOOKUP(B10820,'Poids des runes'!A:B,2,FALSE))</f>
        <v>6.5550000000000015</v>
      </c>
      <c r="F10820">
        <f t="shared" si="169"/>
        <v>6.5550000000000015</v>
      </c>
    </row>
    <row r="10821" spans="1:6" x14ac:dyDescent="0.3">
      <c r="A10821" t="s">
        <v>1764</v>
      </c>
      <c r="B10821" t="s">
        <v>2131</v>
      </c>
      <c r="C10821">
        <v>45.5</v>
      </c>
      <c r="D10821">
        <v>55</v>
      </c>
      <c r="E10821">
        <f>IF(OR(B10821="vi",B10821="ii",B10821="pod"),(((D10821/100)*(C10821*VLOOKUP(B10821,'Poids des runes'!A:B,2,FALSE)))+1),(((D10821/100)*(C10821*VLOOKUP(B10821,'Poids des runes'!A:B,2,FALSE)))+1)/VLOOKUP(B10821,'Poids des runes'!A:B,2,FALSE))</f>
        <v>26.025000000000002</v>
      </c>
      <c r="F10821">
        <f t="shared" si="169"/>
        <v>26.025000000000002</v>
      </c>
    </row>
    <row r="10822" spans="1:6" x14ac:dyDescent="0.3">
      <c r="A10822" t="s">
        <v>1764</v>
      </c>
      <c r="B10822" t="s">
        <v>2151</v>
      </c>
      <c r="C10822">
        <v>4.5</v>
      </c>
      <c r="D10822">
        <v>55</v>
      </c>
      <c r="E10822">
        <f>IF(OR(B10822="vi",B10822="ii",B10822="pod"),(((D10822/100)*(C10822*VLOOKUP(B10822,'Poids des runes'!A:B,2,FALSE)))+1),(((D10822/100)*(C10822*VLOOKUP(B10822,'Poids des runes'!A:B,2,FALSE)))+1)/VLOOKUP(B10822,'Poids des runes'!A:B,2,FALSE))</f>
        <v>2.5750000000000002</v>
      </c>
      <c r="F10822">
        <f t="shared" si="169"/>
        <v>2.5750000000000002</v>
      </c>
    </row>
    <row r="10823" spans="1:6" x14ac:dyDescent="0.3">
      <c r="A10823" t="s">
        <v>1764</v>
      </c>
      <c r="B10823" t="s">
        <v>2133</v>
      </c>
      <c r="C10823">
        <v>2.5</v>
      </c>
      <c r="D10823">
        <v>55</v>
      </c>
      <c r="E10823">
        <f>IF(OR(B10823="vi",B10823="ii",B10823="pod"),(((D10823/100)*(C10823*VLOOKUP(B10823,'Poids des runes'!A:B,2,FALSE)))+1),(((D10823/100)*(C10823*VLOOKUP(B10823,'Poids des runes'!A:B,2,FALSE)))+1)/VLOOKUP(B10823,'Poids des runes'!A:B,2,FALSE))</f>
        <v>1.5750000000000002</v>
      </c>
      <c r="F10823">
        <f t="shared" si="169"/>
        <v>1.5750000000000002</v>
      </c>
    </row>
    <row r="10824" spans="1:6" x14ac:dyDescent="0.3">
      <c r="A10824" t="s">
        <v>1764</v>
      </c>
      <c r="B10824" t="s">
        <v>2161</v>
      </c>
      <c r="C10824">
        <v>4.5</v>
      </c>
      <c r="D10824">
        <v>55</v>
      </c>
      <c r="E10824">
        <f>IF(OR(B10824="vi",B10824="ii",B10824="pod"),(((D10824/100)*(C10824*VLOOKUP(B10824,'Poids des runes'!A:B,2,FALSE)))+1),(((D10824/100)*(C10824*VLOOKUP(B10824,'Poids des runes'!A:B,2,FALSE)))+1)/VLOOKUP(B10824,'Poids des runes'!A:B,2,FALSE))</f>
        <v>2.8083333333333336</v>
      </c>
      <c r="F10824">
        <f t="shared" si="169"/>
        <v>2.8083333333333336</v>
      </c>
    </row>
    <row r="10825" spans="1:6" x14ac:dyDescent="0.3">
      <c r="A10825" t="s">
        <v>1764</v>
      </c>
      <c r="B10825" t="s">
        <v>2158</v>
      </c>
      <c r="C10825">
        <v>6</v>
      </c>
      <c r="D10825">
        <v>55</v>
      </c>
      <c r="E10825">
        <f>IF(OR(B10825="vi",B10825="ii",B10825="pod"),(((D10825/100)*(C10825*VLOOKUP(B10825,'Poids des runes'!A:B,2,FALSE)))+1),(((D10825/100)*(C10825*VLOOKUP(B10825,'Poids des runes'!A:B,2,FALSE)))+1)/VLOOKUP(B10825,'Poids des runes'!A:B,2,FALSE))</f>
        <v>3.5</v>
      </c>
      <c r="F10825">
        <f t="shared" si="169"/>
        <v>3.5</v>
      </c>
    </row>
    <row r="10826" spans="1:6" x14ac:dyDescent="0.3">
      <c r="A10826" t="s">
        <v>1765</v>
      </c>
      <c r="B10826" t="s">
        <v>2128</v>
      </c>
      <c r="C10826">
        <v>25.5</v>
      </c>
      <c r="D10826">
        <v>55</v>
      </c>
      <c r="E10826">
        <f>IF(OR(B10826="vi",B10826="ii",B10826="pod"),(((D10826/100)*(C10826*VLOOKUP(B10826,'Poids des runes'!A:B,2,FALSE)))+1),(((D10826/100)*(C10826*VLOOKUP(B10826,'Poids des runes'!A:B,2,FALSE)))+1)/VLOOKUP(B10826,'Poids des runes'!A:B,2,FALSE))</f>
        <v>3.8050000000000006</v>
      </c>
      <c r="F10826">
        <f t="shared" si="169"/>
        <v>3.8050000000000006</v>
      </c>
    </row>
    <row r="10827" spans="1:6" x14ac:dyDescent="0.3">
      <c r="A10827" t="s">
        <v>1765</v>
      </c>
      <c r="B10827" t="s">
        <v>2127</v>
      </c>
      <c r="C10827">
        <v>25.5</v>
      </c>
      <c r="D10827">
        <v>55</v>
      </c>
      <c r="E10827">
        <f>IF(OR(B10827="vi",B10827="ii",B10827="pod"),(((D10827/100)*(C10827*VLOOKUP(B10827,'Poids des runes'!A:B,2,FALSE)))+1),(((D10827/100)*(C10827*VLOOKUP(B10827,'Poids des runes'!A:B,2,FALSE)))+1)/VLOOKUP(B10827,'Poids des runes'!A:B,2,FALSE))</f>
        <v>15.025</v>
      </c>
      <c r="F10827">
        <f t="shared" si="169"/>
        <v>15.025</v>
      </c>
    </row>
    <row r="10828" spans="1:6" x14ac:dyDescent="0.3">
      <c r="A10828" t="s">
        <v>1765</v>
      </c>
      <c r="B10828" t="s">
        <v>2139</v>
      </c>
      <c r="C10828">
        <v>8.5</v>
      </c>
      <c r="D10828">
        <v>55</v>
      </c>
      <c r="E10828">
        <f>IF(OR(B10828="vi",B10828="ii",B10828="pod"),(((D10828/100)*(C10828*VLOOKUP(B10828,'Poids des runes'!A:B,2,FALSE)))+1),(((D10828/100)*(C10828*VLOOKUP(B10828,'Poids des runes'!A:B,2,FALSE)))+1)/VLOOKUP(B10828,'Poids des runes'!A:B,2,FALSE))</f>
        <v>5.1750000000000007</v>
      </c>
      <c r="F10828">
        <f t="shared" si="169"/>
        <v>5.1750000000000007</v>
      </c>
    </row>
    <row r="10829" spans="1:6" x14ac:dyDescent="0.3">
      <c r="A10829" t="s">
        <v>1765</v>
      </c>
      <c r="B10829" t="s">
        <v>2150</v>
      </c>
      <c r="C10829">
        <v>1</v>
      </c>
      <c r="D10829">
        <v>55</v>
      </c>
      <c r="E10829">
        <f>IF(OR(B10829="vi",B10829="ii",B10829="pod"),(((D10829/100)*(C10829*VLOOKUP(B10829,'Poids des runes'!A:B,2,FALSE)))+1),(((D10829/100)*(C10829*VLOOKUP(B10829,'Poids des runes'!A:B,2,FALSE)))+1)/VLOOKUP(B10829,'Poids des runes'!A:B,2,FALSE))</f>
        <v>0.58333333333333337</v>
      </c>
      <c r="F10829">
        <f t="shared" si="169"/>
        <v>0.58333333333333337</v>
      </c>
    </row>
    <row r="10830" spans="1:6" x14ac:dyDescent="0.3">
      <c r="A10830" t="s">
        <v>1765</v>
      </c>
      <c r="B10830" t="s">
        <v>2141</v>
      </c>
      <c r="C10830">
        <v>4.5</v>
      </c>
      <c r="D10830">
        <v>55</v>
      </c>
      <c r="E10830">
        <f>IF(OR(B10830="vi",B10830="ii",B10830="pod"),(((D10830/100)*(C10830*VLOOKUP(B10830,'Poids des runes'!A:B,2,FALSE)))+1),(((D10830/100)*(C10830*VLOOKUP(B10830,'Poids des runes'!A:B,2,FALSE)))+1)/VLOOKUP(B10830,'Poids des runes'!A:B,2,FALSE))</f>
        <v>2.7250000000000001</v>
      </c>
      <c r="F10830">
        <f t="shared" si="169"/>
        <v>2.7250000000000001</v>
      </c>
    </row>
    <row r="10831" spans="1:6" x14ac:dyDescent="0.3">
      <c r="A10831" t="s">
        <v>1765</v>
      </c>
      <c r="B10831" t="s">
        <v>2160</v>
      </c>
      <c r="C10831">
        <v>4.5</v>
      </c>
      <c r="D10831">
        <v>55</v>
      </c>
      <c r="E10831">
        <f>IF(OR(B10831="vi",B10831="ii",B10831="pod"),(((D10831/100)*(C10831*VLOOKUP(B10831,'Poids des runes'!A:B,2,FALSE)))+1),(((D10831/100)*(C10831*VLOOKUP(B10831,'Poids des runes'!A:B,2,FALSE)))+1)/VLOOKUP(B10831,'Poids des runes'!A:B,2,FALSE))</f>
        <v>2.6178571428571433</v>
      </c>
      <c r="F10831">
        <f t="shared" si="169"/>
        <v>2.6178571428571433</v>
      </c>
    </row>
    <row r="10832" spans="1:6" x14ac:dyDescent="0.3">
      <c r="A10832" t="s">
        <v>1766</v>
      </c>
      <c r="B10832" t="s">
        <v>2128</v>
      </c>
      <c r="C10832">
        <v>25.5</v>
      </c>
      <c r="D10832">
        <v>55</v>
      </c>
      <c r="E10832">
        <f>IF(OR(B10832="vi",B10832="ii",B10832="pod"),(((D10832/100)*(C10832*VLOOKUP(B10832,'Poids des runes'!A:B,2,FALSE)))+1),(((D10832/100)*(C10832*VLOOKUP(B10832,'Poids des runes'!A:B,2,FALSE)))+1)/VLOOKUP(B10832,'Poids des runes'!A:B,2,FALSE))</f>
        <v>3.8050000000000006</v>
      </c>
      <c r="F10832">
        <f t="shared" si="169"/>
        <v>3.8050000000000006</v>
      </c>
    </row>
    <row r="10833" spans="1:6" x14ac:dyDescent="0.3">
      <c r="A10833" t="s">
        <v>1766</v>
      </c>
      <c r="B10833" t="s">
        <v>2126</v>
      </c>
      <c r="C10833">
        <v>35.5</v>
      </c>
      <c r="D10833">
        <v>55</v>
      </c>
      <c r="E10833">
        <f>IF(OR(B10833="vi",B10833="ii",B10833="pod"),(((D10833/100)*(C10833*VLOOKUP(B10833,'Poids des runes'!A:B,2,FALSE)))+1),(((D10833/100)*(C10833*VLOOKUP(B10833,'Poids des runes'!A:B,2,FALSE)))+1)/VLOOKUP(B10833,'Poids des runes'!A:B,2,FALSE))</f>
        <v>20.525000000000002</v>
      </c>
      <c r="F10833">
        <f t="shared" si="169"/>
        <v>20.525000000000002</v>
      </c>
    </row>
    <row r="10834" spans="1:6" x14ac:dyDescent="0.3">
      <c r="A10834" t="s">
        <v>1766</v>
      </c>
      <c r="B10834" t="s">
        <v>2140</v>
      </c>
      <c r="C10834">
        <v>4.5</v>
      </c>
      <c r="D10834">
        <v>55</v>
      </c>
      <c r="E10834">
        <f>IF(OR(B10834="vi",B10834="ii",B10834="pod"),(((D10834/100)*(C10834*VLOOKUP(B10834,'Poids des runes'!A:B,2,FALSE)))+1),(((D10834/100)*(C10834*VLOOKUP(B10834,'Poids des runes'!A:B,2,FALSE)))+1)/VLOOKUP(B10834,'Poids des runes'!A:B,2,FALSE))</f>
        <v>2.6750000000000003</v>
      </c>
      <c r="F10834">
        <f t="shared" si="169"/>
        <v>2.6750000000000003</v>
      </c>
    </row>
    <row r="10835" spans="1:6" x14ac:dyDescent="0.3">
      <c r="A10835" t="s">
        <v>1766</v>
      </c>
      <c r="B10835" t="s">
        <v>2149</v>
      </c>
      <c r="C10835">
        <v>18</v>
      </c>
      <c r="D10835">
        <v>55</v>
      </c>
      <c r="E10835">
        <f>IF(OR(B10835="vi",B10835="ii",B10835="pod"),(((D10835/100)*(C10835*VLOOKUP(B10835,'Poids des runes'!A:B,2,FALSE)))+1),(((D10835/100)*(C10835*VLOOKUP(B10835,'Poids des runes'!A:B,2,FALSE)))+1)/VLOOKUP(B10835,'Poids des runes'!A:B,2,FALSE))</f>
        <v>10.000000000000002</v>
      </c>
      <c r="F10835">
        <f t="shared" si="169"/>
        <v>10.000000000000002</v>
      </c>
    </row>
    <row r="10836" spans="1:6" x14ac:dyDescent="0.3">
      <c r="A10836" t="s">
        <v>1766</v>
      </c>
      <c r="B10836" t="s">
        <v>2141</v>
      </c>
      <c r="C10836">
        <v>4.5</v>
      </c>
      <c r="D10836">
        <v>55</v>
      </c>
      <c r="E10836">
        <f>IF(OR(B10836="vi",B10836="ii",B10836="pod"),(((D10836/100)*(C10836*VLOOKUP(B10836,'Poids des runes'!A:B,2,FALSE)))+1),(((D10836/100)*(C10836*VLOOKUP(B10836,'Poids des runes'!A:B,2,FALSE)))+1)/VLOOKUP(B10836,'Poids des runes'!A:B,2,FALSE))</f>
        <v>2.7250000000000001</v>
      </c>
      <c r="F10836">
        <f t="shared" si="169"/>
        <v>2.7250000000000001</v>
      </c>
    </row>
    <row r="10837" spans="1:6" x14ac:dyDescent="0.3">
      <c r="A10837" t="s">
        <v>1767</v>
      </c>
      <c r="B10837" t="s">
        <v>2128</v>
      </c>
      <c r="C10837">
        <v>55.5</v>
      </c>
      <c r="D10837">
        <v>55</v>
      </c>
      <c r="E10837">
        <f>IF(OR(B10837="vi",B10837="ii",B10837="pod"),(((D10837/100)*(C10837*VLOOKUP(B10837,'Poids des runes'!A:B,2,FALSE)))+1),(((D10837/100)*(C10837*VLOOKUP(B10837,'Poids des runes'!A:B,2,FALSE)))+1)/VLOOKUP(B10837,'Poids des runes'!A:B,2,FALSE))</f>
        <v>7.1050000000000013</v>
      </c>
      <c r="F10837">
        <f t="shared" si="169"/>
        <v>7.1050000000000013</v>
      </c>
    </row>
    <row r="10838" spans="1:6" x14ac:dyDescent="0.3">
      <c r="A10838" t="s">
        <v>1767</v>
      </c>
      <c r="B10838" t="s">
        <v>2130</v>
      </c>
      <c r="C10838">
        <v>35.5</v>
      </c>
      <c r="D10838">
        <v>55</v>
      </c>
      <c r="E10838">
        <f>IF(OR(B10838="vi",B10838="ii",B10838="pod"),(((D10838/100)*(C10838*VLOOKUP(B10838,'Poids des runes'!A:B,2,FALSE)))+1),(((D10838/100)*(C10838*VLOOKUP(B10838,'Poids des runes'!A:B,2,FALSE)))+1)/VLOOKUP(B10838,'Poids des runes'!A:B,2,FALSE))</f>
        <v>20.525000000000002</v>
      </c>
      <c r="F10838">
        <f t="shared" si="169"/>
        <v>20.525000000000002</v>
      </c>
    </row>
    <row r="10839" spans="1:6" x14ac:dyDescent="0.3">
      <c r="A10839" t="s">
        <v>1767</v>
      </c>
      <c r="B10839" t="s">
        <v>2129</v>
      </c>
      <c r="C10839">
        <v>13</v>
      </c>
      <c r="D10839">
        <v>55</v>
      </c>
      <c r="E10839">
        <f>IF(OR(B10839="vi",B10839="ii",B10839="pod"),(((D10839/100)*(C10839*VLOOKUP(B10839,'Poids des runes'!A:B,2,FALSE)))+1),(((D10839/100)*(C10839*VLOOKUP(B10839,'Poids des runes'!A:B,2,FALSE)))+1)/VLOOKUP(B10839,'Poids des runes'!A:B,2,FALSE))</f>
        <v>8.15</v>
      </c>
      <c r="F10839">
        <f t="shared" si="169"/>
        <v>8.15</v>
      </c>
    </row>
    <row r="10840" spans="1:6" x14ac:dyDescent="0.3">
      <c r="A10840" t="s">
        <v>1767</v>
      </c>
      <c r="B10840" t="s">
        <v>2143</v>
      </c>
      <c r="C10840">
        <v>6</v>
      </c>
      <c r="D10840">
        <v>55</v>
      </c>
      <c r="E10840">
        <f>IF(OR(B10840="vi",B10840="ii",B10840="pod"),(((D10840/100)*(C10840*VLOOKUP(B10840,'Poids des runes'!A:B,2,FALSE)))+1),(((D10840/100)*(C10840*VLOOKUP(B10840,'Poids des runes'!A:B,2,FALSE)))+1)/VLOOKUP(B10840,'Poids des runes'!A:B,2,FALSE))</f>
        <v>3.5</v>
      </c>
      <c r="F10840">
        <f t="shared" si="169"/>
        <v>3.5</v>
      </c>
    </row>
    <row r="10841" spans="1:6" x14ac:dyDescent="0.3">
      <c r="A10841" t="s">
        <v>1768</v>
      </c>
      <c r="B10841" t="s">
        <v>2128</v>
      </c>
      <c r="C10841">
        <v>30.5</v>
      </c>
      <c r="D10841">
        <v>56</v>
      </c>
      <c r="E10841">
        <f>IF(OR(B10841="vi",B10841="ii",B10841="pod"),(((D10841/100)*(C10841*VLOOKUP(B10841,'Poids des runes'!A:B,2,FALSE)))+1),(((D10841/100)*(C10841*VLOOKUP(B10841,'Poids des runes'!A:B,2,FALSE)))+1)/VLOOKUP(B10841,'Poids des runes'!A:B,2,FALSE))</f>
        <v>4.4160000000000004</v>
      </c>
      <c r="F10841">
        <f t="shared" si="169"/>
        <v>4.4160000000000004</v>
      </c>
    </row>
    <row r="10842" spans="1:6" x14ac:dyDescent="0.3">
      <c r="A10842" t="s">
        <v>1768</v>
      </c>
      <c r="B10842" t="s">
        <v>2129</v>
      </c>
      <c r="C10842">
        <v>23</v>
      </c>
      <c r="D10842">
        <v>56</v>
      </c>
      <c r="E10842">
        <f>IF(OR(B10842="vi",B10842="ii",B10842="pod"),(((D10842/100)*(C10842*VLOOKUP(B10842,'Poids des runes'!A:B,2,FALSE)))+1),(((D10842/100)*(C10842*VLOOKUP(B10842,'Poids des runes'!A:B,2,FALSE)))+1)/VLOOKUP(B10842,'Poids des runes'!A:B,2,FALSE))</f>
        <v>13.88</v>
      </c>
      <c r="F10842">
        <f t="shared" si="169"/>
        <v>13.88</v>
      </c>
    </row>
    <row r="10843" spans="1:6" x14ac:dyDescent="0.3">
      <c r="A10843" t="s">
        <v>1768</v>
      </c>
      <c r="B10843" t="s">
        <v>2150</v>
      </c>
      <c r="C10843">
        <v>2</v>
      </c>
      <c r="D10843">
        <v>56</v>
      </c>
      <c r="E10843">
        <f>IF(OR(B10843="vi",B10843="ii",B10843="pod"),(((D10843/100)*(C10843*VLOOKUP(B10843,'Poids des runes'!A:B,2,FALSE)))+1),(((D10843/100)*(C10843*VLOOKUP(B10843,'Poids des runes'!A:B,2,FALSE)))+1)/VLOOKUP(B10843,'Poids des runes'!A:B,2,FALSE))</f>
        <v>1.1533333333333333</v>
      </c>
      <c r="F10843">
        <f t="shared" si="169"/>
        <v>1.1533333333333333</v>
      </c>
    </row>
    <row r="10844" spans="1:6" x14ac:dyDescent="0.3">
      <c r="A10844" t="s">
        <v>1768</v>
      </c>
      <c r="B10844" t="s">
        <v>2138</v>
      </c>
      <c r="C10844">
        <v>2.5</v>
      </c>
      <c r="D10844">
        <v>56</v>
      </c>
      <c r="E10844">
        <f>IF(OR(B10844="vi",B10844="ii",B10844="pod"),(((D10844/100)*(C10844*VLOOKUP(B10844,'Poids des runes'!A:B,2,FALSE)))+1),(((D10844/100)*(C10844*VLOOKUP(B10844,'Poids des runes'!A:B,2,FALSE)))+1)/VLOOKUP(B10844,'Poids des runes'!A:B,2,FALSE))</f>
        <v>1.6500000000000001</v>
      </c>
      <c r="F10844">
        <f t="shared" si="169"/>
        <v>1.6500000000000001</v>
      </c>
    </row>
    <row r="10845" spans="1:6" x14ac:dyDescent="0.3">
      <c r="A10845" t="s">
        <v>1768</v>
      </c>
      <c r="B10845" t="s">
        <v>2141</v>
      </c>
      <c r="C10845">
        <v>2.5</v>
      </c>
      <c r="D10845">
        <v>56</v>
      </c>
      <c r="E10845">
        <f>IF(OR(B10845="vi",B10845="ii",B10845="pod"),(((D10845/100)*(C10845*VLOOKUP(B10845,'Poids des runes'!A:B,2,FALSE)))+1),(((D10845/100)*(C10845*VLOOKUP(B10845,'Poids des runes'!A:B,2,FALSE)))+1)/VLOOKUP(B10845,'Poids des runes'!A:B,2,FALSE))</f>
        <v>1.6500000000000001</v>
      </c>
      <c r="F10845">
        <f t="shared" si="169"/>
        <v>1.6500000000000001</v>
      </c>
    </row>
    <row r="10846" spans="1:6" x14ac:dyDescent="0.3">
      <c r="A10846" t="s">
        <v>1769</v>
      </c>
      <c r="B10846" t="s">
        <v>2131</v>
      </c>
      <c r="C10846">
        <v>30.5</v>
      </c>
      <c r="D10846">
        <v>56</v>
      </c>
      <c r="E10846">
        <f>IF(OR(B10846="vi",B10846="ii",B10846="pod"),(((D10846/100)*(C10846*VLOOKUP(B10846,'Poids des runes'!A:B,2,FALSE)))+1),(((D10846/100)*(C10846*VLOOKUP(B10846,'Poids des runes'!A:B,2,FALSE)))+1)/VLOOKUP(B10846,'Poids des runes'!A:B,2,FALSE))</f>
        <v>18.080000000000002</v>
      </c>
      <c r="F10846">
        <f t="shared" si="169"/>
        <v>18.080000000000002</v>
      </c>
    </row>
    <row r="10847" spans="1:6" x14ac:dyDescent="0.3">
      <c r="A10847" t="s">
        <v>1769</v>
      </c>
      <c r="B10847" t="s">
        <v>2127</v>
      </c>
      <c r="C10847">
        <v>35.5</v>
      </c>
      <c r="D10847">
        <v>56</v>
      </c>
      <c r="E10847">
        <f>IF(OR(B10847="vi",B10847="ii",B10847="pod"),(((D10847/100)*(C10847*VLOOKUP(B10847,'Poids des runes'!A:B,2,FALSE)))+1),(((D10847/100)*(C10847*VLOOKUP(B10847,'Poids des runes'!A:B,2,FALSE)))+1)/VLOOKUP(B10847,'Poids des runes'!A:B,2,FALSE))</f>
        <v>20.880000000000003</v>
      </c>
      <c r="F10847">
        <f t="shared" si="169"/>
        <v>20.880000000000003</v>
      </c>
    </row>
    <row r="10848" spans="1:6" x14ac:dyDescent="0.3">
      <c r="A10848" t="s">
        <v>1769</v>
      </c>
      <c r="B10848" t="s">
        <v>2151</v>
      </c>
      <c r="C10848">
        <v>2.5</v>
      </c>
      <c r="D10848">
        <v>56</v>
      </c>
      <c r="E10848">
        <f>IF(OR(B10848="vi",B10848="ii",B10848="pod"),(((D10848/100)*(C10848*VLOOKUP(B10848,'Poids des runes'!A:B,2,FALSE)))+1),(((D10848/100)*(C10848*VLOOKUP(B10848,'Poids des runes'!A:B,2,FALSE)))+1)/VLOOKUP(B10848,'Poids des runes'!A:B,2,FALSE))</f>
        <v>1.5000000000000002</v>
      </c>
      <c r="F10848">
        <f t="shared" si="169"/>
        <v>1.5000000000000002</v>
      </c>
    </row>
    <row r="10849" spans="1:6" x14ac:dyDescent="0.3">
      <c r="A10849" t="s">
        <v>1769</v>
      </c>
      <c r="B10849" t="s">
        <v>2133</v>
      </c>
      <c r="C10849">
        <v>2.5</v>
      </c>
      <c r="D10849">
        <v>56</v>
      </c>
      <c r="E10849">
        <f>IF(OR(B10849="vi",B10849="ii",B10849="pod"),(((D10849/100)*(C10849*VLOOKUP(B10849,'Poids des runes'!A:B,2,FALSE)))+1),(((D10849/100)*(C10849*VLOOKUP(B10849,'Poids des runes'!A:B,2,FALSE)))+1)/VLOOKUP(B10849,'Poids des runes'!A:B,2,FALSE))</f>
        <v>1.6</v>
      </c>
      <c r="F10849">
        <f t="shared" si="169"/>
        <v>1.6</v>
      </c>
    </row>
    <row r="10850" spans="1:6" x14ac:dyDescent="0.3">
      <c r="A10850" t="s">
        <v>1769</v>
      </c>
      <c r="B10850" t="s">
        <v>2153</v>
      </c>
      <c r="C10850">
        <v>2.5</v>
      </c>
      <c r="D10850">
        <v>56</v>
      </c>
      <c r="E10850">
        <f>IF(OR(B10850="vi",B10850="ii",B10850="pod"),(((D10850/100)*(C10850*VLOOKUP(B10850,'Poids des runes'!A:B,2,FALSE)))+1),(((D10850/100)*(C10850*VLOOKUP(B10850,'Poids des runes'!A:B,2,FALSE)))+1)/VLOOKUP(B10850,'Poids des runes'!A:B,2,FALSE))</f>
        <v>1.6</v>
      </c>
      <c r="F10850">
        <f t="shared" si="169"/>
        <v>1.6</v>
      </c>
    </row>
    <row r="10851" spans="1:6" x14ac:dyDescent="0.3">
      <c r="A10851" t="s">
        <v>1769</v>
      </c>
      <c r="B10851" t="s">
        <v>2141</v>
      </c>
      <c r="C10851">
        <v>2.5</v>
      </c>
      <c r="D10851">
        <v>56</v>
      </c>
      <c r="E10851">
        <f>IF(OR(B10851="vi",B10851="ii",B10851="pod"),(((D10851/100)*(C10851*VLOOKUP(B10851,'Poids des runes'!A:B,2,FALSE)))+1),(((D10851/100)*(C10851*VLOOKUP(B10851,'Poids des runes'!A:B,2,FALSE)))+1)/VLOOKUP(B10851,'Poids des runes'!A:B,2,FALSE))</f>
        <v>1.6500000000000001</v>
      </c>
      <c r="F10851">
        <f t="shared" si="169"/>
        <v>1.6500000000000001</v>
      </c>
    </row>
    <row r="10852" spans="1:6" x14ac:dyDescent="0.3">
      <c r="A10852" t="s">
        <v>1770</v>
      </c>
      <c r="B10852" t="s">
        <v>2126</v>
      </c>
      <c r="C10852">
        <v>35.5</v>
      </c>
      <c r="D10852">
        <v>56</v>
      </c>
      <c r="E10852">
        <f>IF(OR(B10852="vi",B10852="ii",B10852="pod"),(((D10852/100)*(C10852*VLOOKUP(B10852,'Poids des runes'!A:B,2,FALSE)))+1),(((D10852/100)*(C10852*VLOOKUP(B10852,'Poids des runes'!A:B,2,FALSE)))+1)/VLOOKUP(B10852,'Poids des runes'!A:B,2,FALSE))</f>
        <v>20.880000000000003</v>
      </c>
      <c r="F10852">
        <f t="shared" si="169"/>
        <v>20.880000000000003</v>
      </c>
    </row>
    <row r="10853" spans="1:6" x14ac:dyDescent="0.3">
      <c r="A10853" t="s">
        <v>1770</v>
      </c>
      <c r="B10853" t="s">
        <v>2156</v>
      </c>
      <c r="C10853">
        <v>3</v>
      </c>
      <c r="D10853">
        <v>56</v>
      </c>
      <c r="E10853">
        <f>IF(OR(B10853="vi",B10853="ii",B10853="pod"),(((D10853/100)*(C10853*VLOOKUP(B10853,'Poids des runes'!A:B,2,FALSE)))+1),(((D10853/100)*(C10853*VLOOKUP(B10853,'Poids des runes'!A:B,2,FALSE)))+1)/VLOOKUP(B10853,'Poids des runes'!A:B,2,FALSE))</f>
        <v>1.8466666666666669</v>
      </c>
      <c r="F10853">
        <f t="shared" si="169"/>
        <v>1.8466666666666669</v>
      </c>
    </row>
    <row r="10854" spans="1:6" x14ac:dyDescent="0.3">
      <c r="A10854" t="s">
        <v>1770</v>
      </c>
      <c r="B10854" t="s">
        <v>2148</v>
      </c>
      <c r="C10854">
        <v>3</v>
      </c>
      <c r="D10854">
        <v>56</v>
      </c>
      <c r="E10854">
        <f>IF(OR(B10854="vi",B10854="ii",B10854="pod"),(((D10854/100)*(C10854*VLOOKUP(B10854,'Poids des runes'!A:B,2,FALSE)))+1),(((D10854/100)*(C10854*VLOOKUP(B10854,'Poids des runes'!A:B,2,FALSE)))+1)/VLOOKUP(B10854,'Poids des runes'!A:B,2,FALSE))</f>
        <v>1.8466666666666669</v>
      </c>
      <c r="F10854">
        <f t="shared" si="169"/>
        <v>1.8466666666666669</v>
      </c>
    </row>
    <row r="10855" spans="1:6" x14ac:dyDescent="0.3">
      <c r="A10855" t="s">
        <v>1770</v>
      </c>
      <c r="B10855" t="s">
        <v>2147</v>
      </c>
      <c r="C10855">
        <v>3</v>
      </c>
      <c r="D10855">
        <v>56</v>
      </c>
      <c r="E10855">
        <f>IF(OR(B10855="vi",B10855="ii",B10855="pod"),(((D10855/100)*(C10855*VLOOKUP(B10855,'Poids des runes'!A:B,2,FALSE)))+1),(((D10855/100)*(C10855*VLOOKUP(B10855,'Poids des runes'!A:B,2,FALSE)))+1)/VLOOKUP(B10855,'Poids des runes'!A:B,2,FALSE))</f>
        <v>1.8466666666666669</v>
      </c>
      <c r="F10855">
        <f t="shared" si="169"/>
        <v>1.8466666666666669</v>
      </c>
    </row>
    <row r="10856" spans="1:6" x14ac:dyDescent="0.3">
      <c r="A10856" t="s">
        <v>1770</v>
      </c>
      <c r="B10856" t="s">
        <v>2135</v>
      </c>
      <c r="C10856">
        <v>3</v>
      </c>
      <c r="D10856">
        <v>56</v>
      </c>
      <c r="E10856">
        <f>IF(OR(B10856="vi",B10856="ii",B10856="pod"),(((D10856/100)*(C10856*VLOOKUP(B10856,'Poids des runes'!A:B,2,FALSE)))+1),(((D10856/100)*(C10856*VLOOKUP(B10856,'Poids des runes'!A:B,2,FALSE)))+1)/VLOOKUP(B10856,'Poids des runes'!A:B,2,FALSE))</f>
        <v>1.8466666666666669</v>
      </c>
      <c r="F10856">
        <f t="shared" si="169"/>
        <v>1.8466666666666669</v>
      </c>
    </row>
    <row r="10857" spans="1:6" x14ac:dyDescent="0.3">
      <c r="A10857" t="s">
        <v>1770</v>
      </c>
      <c r="B10857" t="s">
        <v>2157</v>
      </c>
      <c r="C10857">
        <v>3</v>
      </c>
      <c r="D10857">
        <v>56</v>
      </c>
      <c r="E10857">
        <f>IF(OR(B10857="vi",B10857="ii",B10857="pod"),(((D10857/100)*(C10857*VLOOKUP(B10857,'Poids des runes'!A:B,2,FALSE)))+1),(((D10857/100)*(C10857*VLOOKUP(B10857,'Poids des runes'!A:B,2,FALSE)))+1)/VLOOKUP(B10857,'Poids des runes'!A:B,2,FALSE))</f>
        <v>1.8466666666666669</v>
      </c>
      <c r="F10857">
        <f t="shared" si="169"/>
        <v>1.8466666666666669</v>
      </c>
    </row>
    <row r="10858" spans="1:6" x14ac:dyDescent="0.3">
      <c r="A10858" t="s">
        <v>1771</v>
      </c>
      <c r="B10858" t="s">
        <v>2143</v>
      </c>
      <c r="C10858">
        <v>4.5</v>
      </c>
      <c r="D10858">
        <v>56</v>
      </c>
      <c r="E10858">
        <f>IF(OR(B10858="vi",B10858="ii",B10858="pod"),(((D10858/100)*(C10858*VLOOKUP(B10858,'Poids des runes'!A:B,2,FALSE)))+1),(((D10858/100)*(C10858*VLOOKUP(B10858,'Poids des runes'!A:B,2,FALSE)))+1)/VLOOKUP(B10858,'Poids des runes'!A:B,2,FALSE))</f>
        <v>2.72</v>
      </c>
      <c r="F10858">
        <f t="shared" si="169"/>
        <v>2.72</v>
      </c>
    </row>
    <row r="10859" spans="1:6" x14ac:dyDescent="0.3">
      <c r="A10859" t="s">
        <v>1771</v>
      </c>
      <c r="B10859" t="s">
        <v>2140</v>
      </c>
      <c r="C10859">
        <v>4.5</v>
      </c>
      <c r="D10859">
        <v>56</v>
      </c>
      <c r="E10859">
        <f>IF(OR(B10859="vi",B10859="ii",B10859="pod"),(((D10859/100)*(C10859*VLOOKUP(B10859,'Poids des runes'!A:B,2,FALSE)))+1),(((D10859/100)*(C10859*VLOOKUP(B10859,'Poids des runes'!A:B,2,FALSE)))+1)/VLOOKUP(B10859,'Poids des runes'!A:B,2,FALSE))</f>
        <v>2.72</v>
      </c>
      <c r="F10859">
        <f t="shared" si="169"/>
        <v>2.72</v>
      </c>
    </row>
    <row r="10860" spans="1:6" x14ac:dyDescent="0.3">
      <c r="A10860" t="s">
        <v>1771</v>
      </c>
      <c r="B10860" t="s">
        <v>2133</v>
      </c>
      <c r="C10860">
        <v>4.5</v>
      </c>
      <c r="D10860">
        <v>56</v>
      </c>
      <c r="E10860">
        <f>IF(OR(B10860="vi",B10860="ii",B10860="pod"),(((D10860/100)*(C10860*VLOOKUP(B10860,'Poids des runes'!A:B,2,FALSE)))+1),(((D10860/100)*(C10860*VLOOKUP(B10860,'Poids des runes'!A:B,2,FALSE)))+1)/VLOOKUP(B10860,'Poids des runes'!A:B,2,FALSE))</f>
        <v>2.72</v>
      </c>
      <c r="F10860">
        <f t="shared" si="169"/>
        <v>2.72</v>
      </c>
    </row>
    <row r="10861" spans="1:6" x14ac:dyDescent="0.3">
      <c r="A10861" t="s">
        <v>1771</v>
      </c>
      <c r="B10861" t="s">
        <v>2153</v>
      </c>
      <c r="C10861">
        <v>4.5</v>
      </c>
      <c r="D10861">
        <v>56</v>
      </c>
      <c r="E10861">
        <f>IF(OR(B10861="vi",B10861="ii",B10861="pod"),(((D10861/100)*(C10861*VLOOKUP(B10861,'Poids des runes'!A:B,2,FALSE)))+1),(((D10861/100)*(C10861*VLOOKUP(B10861,'Poids des runes'!A:B,2,FALSE)))+1)/VLOOKUP(B10861,'Poids des runes'!A:B,2,FALSE))</f>
        <v>2.72</v>
      </c>
      <c r="F10861">
        <f t="shared" si="169"/>
        <v>2.72</v>
      </c>
    </row>
    <row r="10862" spans="1:6" x14ac:dyDescent="0.3">
      <c r="A10862" t="s">
        <v>1771</v>
      </c>
      <c r="B10862" t="s">
        <v>2141</v>
      </c>
      <c r="C10862">
        <v>6.5</v>
      </c>
      <c r="D10862">
        <v>56</v>
      </c>
      <c r="E10862">
        <f>IF(OR(B10862="vi",B10862="ii",B10862="pod"),(((D10862/100)*(C10862*VLOOKUP(B10862,'Poids des runes'!A:B,2,FALSE)))+1),(((D10862/100)*(C10862*VLOOKUP(B10862,'Poids des runes'!A:B,2,FALSE)))+1)/VLOOKUP(B10862,'Poids des runes'!A:B,2,FALSE))</f>
        <v>3.8900000000000006</v>
      </c>
      <c r="F10862">
        <f t="shared" si="169"/>
        <v>3.8900000000000006</v>
      </c>
    </row>
    <row r="10863" spans="1:6" x14ac:dyDescent="0.3">
      <c r="A10863" t="s">
        <v>1771</v>
      </c>
      <c r="B10863" t="s">
        <v>2142</v>
      </c>
      <c r="C10863">
        <v>8.5</v>
      </c>
      <c r="D10863">
        <v>56</v>
      </c>
      <c r="E10863">
        <f>IF(OR(B10863="vi",B10863="ii",B10863="pod"),(((D10863/100)*(C10863*VLOOKUP(B10863,'Poids des runes'!A:B,2,FALSE)))+1),(((D10863/100)*(C10863*VLOOKUP(B10863,'Poids des runes'!A:B,2,FALSE)))+1)/VLOOKUP(B10863,'Poids des runes'!A:B,2,FALSE))</f>
        <v>4.96</v>
      </c>
      <c r="F10863">
        <f t="shared" si="169"/>
        <v>4.96</v>
      </c>
    </row>
    <row r="10864" spans="1:6" x14ac:dyDescent="0.3">
      <c r="A10864" t="s">
        <v>1771</v>
      </c>
      <c r="B10864" t="s">
        <v>2164</v>
      </c>
      <c r="C10864">
        <v>8.5</v>
      </c>
      <c r="D10864">
        <v>56</v>
      </c>
      <c r="E10864">
        <f>IF(OR(B10864="vi",B10864="ii",B10864="pod"),(((D10864/100)*(C10864*VLOOKUP(B10864,'Poids des runes'!A:B,2,FALSE)))+1),(((D10864/100)*(C10864*VLOOKUP(B10864,'Poids des runes'!A:B,2,FALSE)))+1)/VLOOKUP(B10864,'Poids des runes'!A:B,2,FALSE))</f>
        <v>5.2600000000000007</v>
      </c>
      <c r="F10864">
        <f t="shared" si="169"/>
        <v>5.2600000000000007</v>
      </c>
    </row>
    <row r="10865" spans="1:6" x14ac:dyDescent="0.3">
      <c r="A10865" t="s">
        <v>1772</v>
      </c>
      <c r="B10865" t="s">
        <v>2128</v>
      </c>
      <c r="C10865">
        <v>35.5</v>
      </c>
      <c r="D10865">
        <v>57</v>
      </c>
      <c r="E10865">
        <f>IF(OR(B10865="vi",B10865="ii",B10865="pod"),(((D10865/100)*(C10865*VLOOKUP(B10865,'Poids des runes'!A:B,2,FALSE)))+1),(((D10865/100)*(C10865*VLOOKUP(B10865,'Poids des runes'!A:B,2,FALSE)))+1)/VLOOKUP(B10865,'Poids des runes'!A:B,2,FALSE))</f>
        <v>5.0469999999999997</v>
      </c>
      <c r="F10865">
        <f t="shared" si="169"/>
        <v>5.0469999999999997</v>
      </c>
    </row>
    <row r="10866" spans="1:6" x14ac:dyDescent="0.3">
      <c r="A10866" t="s">
        <v>1772</v>
      </c>
      <c r="B10866" t="s">
        <v>2131</v>
      </c>
      <c r="C10866">
        <v>25.5</v>
      </c>
      <c r="D10866">
        <v>57</v>
      </c>
      <c r="E10866">
        <f>IF(OR(B10866="vi",B10866="ii",B10866="pod"),(((D10866/100)*(C10866*VLOOKUP(B10866,'Poids des runes'!A:B,2,FALSE)))+1),(((D10866/100)*(C10866*VLOOKUP(B10866,'Poids des runes'!A:B,2,FALSE)))+1)/VLOOKUP(B10866,'Poids des runes'!A:B,2,FALSE))</f>
        <v>15.534999999999998</v>
      </c>
      <c r="F10866">
        <f t="shared" si="169"/>
        <v>15.534999999999998</v>
      </c>
    </row>
    <row r="10867" spans="1:6" x14ac:dyDescent="0.3">
      <c r="A10867" t="s">
        <v>1772</v>
      </c>
      <c r="B10867" t="s">
        <v>2127</v>
      </c>
      <c r="C10867">
        <v>25.5</v>
      </c>
      <c r="D10867">
        <v>57</v>
      </c>
      <c r="E10867">
        <f>IF(OR(B10867="vi",B10867="ii",B10867="pod"),(((D10867/100)*(C10867*VLOOKUP(B10867,'Poids des runes'!A:B,2,FALSE)))+1),(((D10867/100)*(C10867*VLOOKUP(B10867,'Poids des runes'!A:B,2,FALSE)))+1)/VLOOKUP(B10867,'Poids des runes'!A:B,2,FALSE))</f>
        <v>15.534999999999998</v>
      </c>
      <c r="F10867">
        <f t="shared" si="169"/>
        <v>15.534999999999998</v>
      </c>
    </row>
    <row r="10868" spans="1:6" x14ac:dyDescent="0.3">
      <c r="A10868" t="s">
        <v>1772</v>
      </c>
      <c r="B10868" t="s">
        <v>2156</v>
      </c>
      <c r="C10868">
        <v>2.5</v>
      </c>
      <c r="D10868">
        <v>57</v>
      </c>
      <c r="E10868">
        <f>IF(OR(B10868="vi",B10868="ii",B10868="pod"),(((D10868/100)*(C10868*VLOOKUP(B10868,'Poids des runes'!A:B,2,FALSE)))+1),(((D10868/100)*(C10868*VLOOKUP(B10868,'Poids des runes'!A:B,2,FALSE)))+1)/VLOOKUP(B10868,'Poids des runes'!A:B,2,FALSE))</f>
        <v>1.5916666666666666</v>
      </c>
      <c r="F10868">
        <f t="shared" si="169"/>
        <v>1.5916666666666666</v>
      </c>
    </row>
    <row r="10869" spans="1:6" x14ac:dyDescent="0.3">
      <c r="A10869" t="s">
        <v>1772</v>
      </c>
      <c r="B10869" t="s">
        <v>2135</v>
      </c>
      <c r="C10869">
        <v>2.5</v>
      </c>
      <c r="D10869">
        <v>57</v>
      </c>
      <c r="E10869">
        <f>IF(OR(B10869="vi",B10869="ii",B10869="pod"),(((D10869/100)*(C10869*VLOOKUP(B10869,'Poids des runes'!A:B,2,FALSE)))+1),(((D10869/100)*(C10869*VLOOKUP(B10869,'Poids des runes'!A:B,2,FALSE)))+1)/VLOOKUP(B10869,'Poids des runes'!A:B,2,FALSE))</f>
        <v>1.5916666666666666</v>
      </c>
      <c r="F10869">
        <f t="shared" si="169"/>
        <v>1.5916666666666666</v>
      </c>
    </row>
    <row r="10870" spans="1:6" x14ac:dyDescent="0.3">
      <c r="A10870" t="s">
        <v>1772</v>
      </c>
      <c r="B10870" t="s">
        <v>2157</v>
      </c>
      <c r="C10870">
        <v>2.5</v>
      </c>
      <c r="D10870">
        <v>57</v>
      </c>
      <c r="E10870">
        <f>IF(OR(B10870="vi",B10870="ii",B10870="pod"),(((D10870/100)*(C10870*VLOOKUP(B10870,'Poids des runes'!A:B,2,FALSE)))+1),(((D10870/100)*(C10870*VLOOKUP(B10870,'Poids des runes'!A:B,2,FALSE)))+1)/VLOOKUP(B10870,'Poids des runes'!A:B,2,FALSE))</f>
        <v>1.5916666666666666</v>
      </c>
      <c r="F10870">
        <f t="shared" si="169"/>
        <v>1.5916666666666666</v>
      </c>
    </row>
    <row r="10871" spans="1:6" x14ac:dyDescent="0.3">
      <c r="A10871" t="s">
        <v>1773</v>
      </c>
      <c r="B10871" t="s">
        <v>2128</v>
      </c>
      <c r="C10871">
        <v>35.5</v>
      </c>
      <c r="D10871">
        <v>57</v>
      </c>
      <c r="E10871">
        <f>IF(OR(B10871="vi",B10871="ii",B10871="pod"),(((D10871/100)*(C10871*VLOOKUP(B10871,'Poids des runes'!A:B,2,FALSE)))+1),(((D10871/100)*(C10871*VLOOKUP(B10871,'Poids des runes'!A:B,2,FALSE)))+1)/VLOOKUP(B10871,'Poids des runes'!A:B,2,FALSE))</f>
        <v>5.0469999999999997</v>
      </c>
      <c r="F10871">
        <f t="shared" si="169"/>
        <v>5.0469999999999997</v>
      </c>
    </row>
    <row r="10872" spans="1:6" x14ac:dyDescent="0.3">
      <c r="A10872" t="s">
        <v>1773</v>
      </c>
      <c r="B10872" t="s">
        <v>2139</v>
      </c>
      <c r="C10872">
        <v>13</v>
      </c>
      <c r="D10872">
        <v>57</v>
      </c>
      <c r="E10872">
        <f>IF(OR(B10872="vi",B10872="ii",B10872="pod"),(((D10872/100)*(C10872*VLOOKUP(B10872,'Poids des runes'!A:B,2,FALSE)))+1),(((D10872/100)*(C10872*VLOOKUP(B10872,'Poids des runes'!A:B,2,FALSE)))+1)/VLOOKUP(B10872,'Poids des runes'!A:B,2,FALSE))</f>
        <v>7.9099999999999993</v>
      </c>
      <c r="F10872">
        <f t="shared" si="169"/>
        <v>7.9099999999999993</v>
      </c>
    </row>
    <row r="10873" spans="1:6" x14ac:dyDescent="0.3">
      <c r="A10873" t="s">
        <v>1773</v>
      </c>
      <c r="B10873" t="s">
        <v>2150</v>
      </c>
      <c r="C10873">
        <v>2</v>
      </c>
      <c r="D10873">
        <v>57</v>
      </c>
      <c r="E10873">
        <f>IF(OR(B10873="vi",B10873="ii",B10873="pod"),(((D10873/100)*(C10873*VLOOKUP(B10873,'Poids des runes'!A:B,2,FALSE)))+1),(((D10873/100)*(C10873*VLOOKUP(B10873,'Poids des runes'!A:B,2,FALSE)))+1)/VLOOKUP(B10873,'Poids des runes'!A:B,2,FALSE))</f>
        <v>1.1733333333333331</v>
      </c>
      <c r="F10873">
        <f t="shared" si="169"/>
        <v>1.1733333333333331</v>
      </c>
    </row>
    <row r="10874" spans="1:6" x14ac:dyDescent="0.3">
      <c r="A10874" t="s">
        <v>1773</v>
      </c>
      <c r="B10874" t="s">
        <v>2134</v>
      </c>
      <c r="C10874">
        <v>2.5</v>
      </c>
      <c r="D10874">
        <v>57</v>
      </c>
      <c r="E10874">
        <f>IF(OR(B10874="vi",B10874="ii",B10874="pod"),(((D10874/100)*(C10874*VLOOKUP(B10874,'Poids des runes'!A:B,2,FALSE)))+1),(((D10874/100)*(C10874*VLOOKUP(B10874,'Poids des runes'!A:B,2,FALSE)))+1)/VLOOKUP(B10874,'Poids des runes'!A:B,2,FALSE))</f>
        <v>1.4749999999999999</v>
      </c>
      <c r="F10874">
        <f t="shared" si="169"/>
        <v>1.4749999999999999</v>
      </c>
    </row>
    <row r="10875" spans="1:6" x14ac:dyDescent="0.3">
      <c r="A10875" t="s">
        <v>1773</v>
      </c>
      <c r="B10875" t="s">
        <v>2141</v>
      </c>
      <c r="C10875">
        <v>2.5</v>
      </c>
      <c r="D10875">
        <v>57</v>
      </c>
      <c r="E10875">
        <f>IF(OR(B10875="vi",B10875="ii",B10875="pod"),(((D10875/100)*(C10875*VLOOKUP(B10875,'Poids des runes'!A:B,2,FALSE)))+1),(((D10875/100)*(C10875*VLOOKUP(B10875,'Poids des runes'!A:B,2,FALSE)))+1)/VLOOKUP(B10875,'Poids des runes'!A:B,2,FALSE))</f>
        <v>1.6749999999999998</v>
      </c>
      <c r="F10875">
        <f t="shared" si="169"/>
        <v>1.6749999999999998</v>
      </c>
    </row>
    <row r="10876" spans="1:6" x14ac:dyDescent="0.3">
      <c r="A10876" t="s">
        <v>1774</v>
      </c>
      <c r="B10876" t="s">
        <v>2126</v>
      </c>
      <c r="C10876">
        <v>25.5</v>
      </c>
      <c r="D10876">
        <v>57</v>
      </c>
      <c r="E10876">
        <f>IF(OR(B10876="vi",B10876="ii",B10876="pod"),(((D10876/100)*(C10876*VLOOKUP(B10876,'Poids des runes'!A:B,2,FALSE)))+1),(((D10876/100)*(C10876*VLOOKUP(B10876,'Poids des runes'!A:B,2,FALSE)))+1)/VLOOKUP(B10876,'Poids des runes'!A:B,2,FALSE))</f>
        <v>15.534999999999998</v>
      </c>
      <c r="F10876">
        <f t="shared" si="169"/>
        <v>15.534999999999998</v>
      </c>
    </row>
    <row r="10877" spans="1:6" x14ac:dyDescent="0.3">
      <c r="A10877" t="s">
        <v>1774</v>
      </c>
      <c r="B10877" t="s">
        <v>2139</v>
      </c>
      <c r="C10877">
        <v>13</v>
      </c>
      <c r="D10877">
        <v>57</v>
      </c>
      <c r="E10877">
        <f>IF(OR(B10877="vi",B10877="ii",B10877="pod"),(((D10877/100)*(C10877*VLOOKUP(B10877,'Poids des runes'!A:B,2,FALSE)))+1),(((D10877/100)*(C10877*VLOOKUP(B10877,'Poids des runes'!A:B,2,FALSE)))+1)/VLOOKUP(B10877,'Poids des runes'!A:B,2,FALSE))</f>
        <v>7.9099999999999993</v>
      </c>
      <c r="F10877">
        <f t="shared" si="169"/>
        <v>7.9099999999999993</v>
      </c>
    </row>
    <row r="10878" spans="1:6" x14ac:dyDescent="0.3">
      <c r="A10878" t="s">
        <v>1774</v>
      </c>
      <c r="B10878" t="s">
        <v>2150</v>
      </c>
      <c r="C10878">
        <v>1</v>
      </c>
      <c r="D10878">
        <v>57</v>
      </c>
      <c r="E10878">
        <f>IF(OR(B10878="vi",B10878="ii",B10878="pod"),(((D10878/100)*(C10878*VLOOKUP(B10878,'Poids des runes'!A:B,2,FALSE)))+1),(((D10878/100)*(C10878*VLOOKUP(B10878,'Poids des runes'!A:B,2,FALSE)))+1)/VLOOKUP(B10878,'Poids des runes'!A:B,2,FALSE))</f>
        <v>0.60333333333333328</v>
      </c>
      <c r="F10878">
        <f t="shared" si="169"/>
        <v>0.60333333333333328</v>
      </c>
    </row>
    <row r="10879" spans="1:6" x14ac:dyDescent="0.3">
      <c r="A10879" t="s">
        <v>1774</v>
      </c>
      <c r="B10879" t="s">
        <v>2149</v>
      </c>
      <c r="C10879">
        <v>4.5</v>
      </c>
      <c r="D10879">
        <v>57</v>
      </c>
      <c r="E10879">
        <f>IF(OR(B10879="vi",B10879="ii",B10879="pod"),(((D10879/100)*(C10879*VLOOKUP(B10879,'Poids des runes'!A:B,2,FALSE)))+1),(((D10879/100)*(C10879*VLOOKUP(B10879,'Poids des runes'!A:B,2,FALSE)))+1)/VLOOKUP(B10879,'Poids des runes'!A:B,2,FALSE))</f>
        <v>2.665</v>
      </c>
      <c r="F10879">
        <f t="shared" si="169"/>
        <v>2.665</v>
      </c>
    </row>
    <row r="10880" spans="1:6" x14ac:dyDescent="0.3">
      <c r="A10880" t="s">
        <v>1774</v>
      </c>
      <c r="B10880" t="s">
        <v>2132</v>
      </c>
      <c r="C10880">
        <v>175.5</v>
      </c>
      <c r="D10880">
        <v>57</v>
      </c>
      <c r="E10880">
        <f>IF(OR(B10880="vi",B10880="ii",B10880="pod"),(((D10880/100)*(C10880*VLOOKUP(B10880,'Poids des runes'!A:B,2,FALSE)))+1),(((D10880/100)*(C10880*VLOOKUP(B10880,'Poids des runes'!A:B,2,FALSE)))+1)/VLOOKUP(B10880,'Poids des runes'!A:B,2,FALSE))</f>
        <v>11.003499999999999</v>
      </c>
      <c r="F10880">
        <f t="shared" si="169"/>
        <v>11.003499999999999</v>
      </c>
    </row>
    <row r="10881" spans="1:6" x14ac:dyDescent="0.3">
      <c r="A10881" t="s">
        <v>1774</v>
      </c>
      <c r="B10881" t="s">
        <v>2138</v>
      </c>
      <c r="C10881">
        <v>4.5</v>
      </c>
      <c r="D10881">
        <v>57</v>
      </c>
      <c r="E10881">
        <f>IF(OR(B10881="vi",B10881="ii",B10881="pod"),(((D10881/100)*(C10881*VLOOKUP(B10881,'Poids des runes'!A:B,2,FALSE)))+1),(((D10881/100)*(C10881*VLOOKUP(B10881,'Poids des runes'!A:B,2,FALSE)))+1)/VLOOKUP(B10881,'Poids des runes'!A:B,2,FALSE))</f>
        <v>2.8149999999999999</v>
      </c>
      <c r="F10881">
        <f t="shared" si="169"/>
        <v>2.8149999999999999</v>
      </c>
    </row>
    <row r="10882" spans="1:6" x14ac:dyDescent="0.3">
      <c r="A10882" t="s">
        <v>1775</v>
      </c>
      <c r="B10882" t="s">
        <v>2128</v>
      </c>
      <c r="C10882">
        <v>45.5</v>
      </c>
      <c r="D10882">
        <v>58</v>
      </c>
      <c r="E10882">
        <f>IF(OR(B10882="vi",B10882="ii",B10882="pod"),(((D10882/100)*(C10882*VLOOKUP(B10882,'Poids des runes'!A:B,2,FALSE)))+1),(((D10882/100)*(C10882*VLOOKUP(B10882,'Poids des runes'!A:B,2,FALSE)))+1)/VLOOKUP(B10882,'Poids des runes'!A:B,2,FALSE))</f>
        <v>6.2779999999999996</v>
      </c>
      <c r="F10882">
        <f t="shared" si="169"/>
        <v>6.2779999999999996</v>
      </c>
    </row>
    <row r="10883" spans="1:6" x14ac:dyDescent="0.3">
      <c r="A10883" t="s">
        <v>1775</v>
      </c>
      <c r="B10883" t="s">
        <v>2127</v>
      </c>
      <c r="C10883">
        <v>35.5</v>
      </c>
      <c r="D10883">
        <v>58</v>
      </c>
      <c r="E10883">
        <f>IF(OR(B10883="vi",B10883="ii",B10883="pod"),(((D10883/100)*(C10883*VLOOKUP(B10883,'Poids des runes'!A:B,2,FALSE)))+1),(((D10883/100)*(C10883*VLOOKUP(B10883,'Poids des runes'!A:B,2,FALSE)))+1)/VLOOKUP(B10883,'Poids des runes'!A:B,2,FALSE))</f>
        <v>21.59</v>
      </c>
      <c r="F10883">
        <f t="shared" ref="F10883:F10946" si="170">E10883</f>
        <v>21.59</v>
      </c>
    </row>
    <row r="10884" spans="1:6" x14ac:dyDescent="0.3">
      <c r="A10884" t="s">
        <v>1775</v>
      </c>
      <c r="B10884" t="s">
        <v>2139</v>
      </c>
      <c r="C10884">
        <v>18</v>
      </c>
      <c r="D10884">
        <v>58</v>
      </c>
      <c r="E10884">
        <f>IF(OR(B10884="vi",B10884="ii",B10884="pod"),(((D10884/100)*(C10884*VLOOKUP(B10884,'Poids des runes'!A:B,2,FALSE)))+1),(((D10884/100)*(C10884*VLOOKUP(B10884,'Poids des runes'!A:B,2,FALSE)))+1)/VLOOKUP(B10884,'Poids des runes'!A:B,2,FALSE))</f>
        <v>10.94</v>
      </c>
      <c r="F10884">
        <f t="shared" si="170"/>
        <v>10.94</v>
      </c>
    </row>
    <row r="10885" spans="1:6" x14ac:dyDescent="0.3">
      <c r="A10885" t="s">
        <v>1775</v>
      </c>
      <c r="B10885" t="s">
        <v>2151</v>
      </c>
      <c r="C10885">
        <v>1.5</v>
      </c>
      <c r="D10885">
        <v>58</v>
      </c>
      <c r="E10885">
        <f>IF(OR(B10885="vi",B10885="ii",B10885="pod"),(((D10885/100)*(C10885*VLOOKUP(B10885,'Poids des runes'!A:B,2,FALSE)))+1),(((D10885/100)*(C10885*VLOOKUP(B10885,'Poids des runes'!A:B,2,FALSE)))+1)/VLOOKUP(B10885,'Poids des runes'!A:B,2,FALSE))</f>
        <v>0.97</v>
      </c>
      <c r="F10885">
        <f t="shared" si="170"/>
        <v>0.97</v>
      </c>
    </row>
    <row r="10886" spans="1:6" x14ac:dyDescent="0.3">
      <c r="A10886" t="s">
        <v>1775</v>
      </c>
      <c r="B10886" t="s">
        <v>2134</v>
      </c>
      <c r="C10886">
        <v>2.5</v>
      </c>
      <c r="D10886">
        <v>58</v>
      </c>
      <c r="E10886">
        <f>IF(OR(B10886="vi",B10886="ii",B10886="pod"),(((D10886/100)*(C10886*VLOOKUP(B10886,'Poids des runes'!A:B,2,FALSE)))+1),(((D10886/100)*(C10886*VLOOKUP(B10886,'Poids des runes'!A:B,2,FALSE)))+1)/VLOOKUP(B10886,'Poids des runes'!A:B,2,FALSE))</f>
        <v>1.4999999999999998</v>
      </c>
      <c r="F10886">
        <f t="shared" si="170"/>
        <v>1.4999999999999998</v>
      </c>
    </row>
    <row r="10887" spans="1:6" x14ac:dyDescent="0.3">
      <c r="A10887" t="s">
        <v>1775</v>
      </c>
      <c r="B10887" t="s">
        <v>2141</v>
      </c>
      <c r="C10887">
        <v>2.5</v>
      </c>
      <c r="D10887">
        <v>58</v>
      </c>
      <c r="E10887">
        <f>IF(OR(B10887="vi",B10887="ii",B10887="pod"),(((D10887/100)*(C10887*VLOOKUP(B10887,'Poids des runes'!A:B,2,FALSE)))+1),(((D10887/100)*(C10887*VLOOKUP(B10887,'Poids des runes'!A:B,2,FALSE)))+1)/VLOOKUP(B10887,'Poids des runes'!A:B,2,FALSE))</f>
        <v>1.7</v>
      </c>
      <c r="F10887">
        <f t="shared" si="170"/>
        <v>1.7</v>
      </c>
    </row>
    <row r="10888" spans="1:6" x14ac:dyDescent="0.3">
      <c r="A10888" t="s">
        <v>1776</v>
      </c>
      <c r="B10888" t="s">
        <v>2128</v>
      </c>
      <c r="C10888">
        <v>25.5</v>
      </c>
      <c r="D10888">
        <v>58</v>
      </c>
      <c r="E10888">
        <f>IF(OR(B10888="vi",B10888="ii",B10888="pod"),(((D10888/100)*(C10888*VLOOKUP(B10888,'Poids des runes'!A:B,2,FALSE)))+1),(((D10888/100)*(C10888*VLOOKUP(B10888,'Poids des runes'!A:B,2,FALSE)))+1)/VLOOKUP(B10888,'Poids des runes'!A:B,2,FALSE))</f>
        <v>3.9580000000000002</v>
      </c>
      <c r="F10888">
        <f t="shared" si="170"/>
        <v>3.9580000000000002</v>
      </c>
    </row>
    <row r="10889" spans="1:6" x14ac:dyDescent="0.3">
      <c r="A10889" t="s">
        <v>1776</v>
      </c>
      <c r="B10889" t="s">
        <v>2131</v>
      </c>
      <c r="C10889">
        <v>25.5</v>
      </c>
      <c r="D10889">
        <v>58</v>
      </c>
      <c r="E10889">
        <f>IF(OR(B10889="vi",B10889="ii",B10889="pod"),(((D10889/100)*(C10889*VLOOKUP(B10889,'Poids des runes'!A:B,2,FALSE)))+1),(((D10889/100)*(C10889*VLOOKUP(B10889,'Poids des runes'!A:B,2,FALSE)))+1)/VLOOKUP(B10889,'Poids des runes'!A:B,2,FALSE))</f>
        <v>15.79</v>
      </c>
      <c r="F10889">
        <f t="shared" si="170"/>
        <v>15.79</v>
      </c>
    </row>
    <row r="10890" spans="1:6" x14ac:dyDescent="0.3">
      <c r="A10890" t="s">
        <v>1776</v>
      </c>
      <c r="B10890" t="s">
        <v>2151</v>
      </c>
      <c r="C10890">
        <v>3</v>
      </c>
      <c r="D10890">
        <v>58</v>
      </c>
      <c r="E10890">
        <f>IF(OR(B10890="vi",B10890="ii",B10890="pod"),(((D10890/100)*(C10890*VLOOKUP(B10890,'Poids des runes'!A:B,2,FALSE)))+1),(((D10890/100)*(C10890*VLOOKUP(B10890,'Poids des runes'!A:B,2,FALSE)))+1)/VLOOKUP(B10890,'Poids des runes'!A:B,2,FALSE))</f>
        <v>1.8399999999999999</v>
      </c>
      <c r="F10890">
        <f t="shared" si="170"/>
        <v>1.8399999999999999</v>
      </c>
    </row>
    <row r="10891" spans="1:6" x14ac:dyDescent="0.3">
      <c r="A10891" t="s">
        <v>1776</v>
      </c>
      <c r="B10891" t="s">
        <v>2155</v>
      </c>
      <c r="C10891">
        <v>1</v>
      </c>
      <c r="D10891">
        <v>58</v>
      </c>
      <c r="E10891">
        <f>IF(OR(B10891="vi",B10891="ii",B10891="pod"),(((D10891/100)*(C10891*VLOOKUP(B10891,'Poids des runes'!A:B,2,FALSE)))+1),(((D10891/100)*(C10891*VLOOKUP(B10891,'Poids des runes'!A:B,2,FALSE)))+1)/VLOOKUP(B10891,'Poids des runes'!A:B,2,FALSE))</f>
        <v>0.5996078431372549</v>
      </c>
      <c r="F10891">
        <f t="shared" si="170"/>
        <v>0.5996078431372549</v>
      </c>
    </row>
    <row r="10892" spans="1:6" x14ac:dyDescent="0.3">
      <c r="A10892" t="s">
        <v>1776</v>
      </c>
      <c r="B10892" t="s">
        <v>2161</v>
      </c>
      <c r="C10892">
        <v>8.5</v>
      </c>
      <c r="D10892">
        <v>58</v>
      </c>
      <c r="E10892">
        <f>IF(OR(B10892="vi",B10892="ii",B10892="pod"),(((D10892/100)*(C10892*VLOOKUP(B10892,'Poids des runes'!A:B,2,FALSE)))+1),(((D10892/100)*(C10892*VLOOKUP(B10892,'Poids des runes'!A:B,2,FALSE)))+1)/VLOOKUP(B10892,'Poids des runes'!A:B,2,FALSE))</f>
        <v>5.2633333333333328</v>
      </c>
      <c r="F10892">
        <f t="shared" si="170"/>
        <v>5.2633333333333328</v>
      </c>
    </row>
    <row r="10893" spans="1:6" x14ac:dyDescent="0.3">
      <c r="A10893" t="s">
        <v>1777</v>
      </c>
      <c r="B10893" t="s">
        <v>2128</v>
      </c>
      <c r="C10893">
        <v>70.5</v>
      </c>
      <c r="D10893">
        <v>59</v>
      </c>
      <c r="E10893">
        <f>IF(OR(B10893="vi",B10893="ii",B10893="pod"),(((D10893/100)*(C10893*VLOOKUP(B10893,'Poids des runes'!A:B,2,FALSE)))+1),(((D10893/100)*(C10893*VLOOKUP(B10893,'Poids des runes'!A:B,2,FALSE)))+1)/VLOOKUP(B10893,'Poids des runes'!A:B,2,FALSE))</f>
        <v>9.3190000000000008</v>
      </c>
      <c r="F10893">
        <f t="shared" si="170"/>
        <v>9.3190000000000008</v>
      </c>
    </row>
    <row r="10894" spans="1:6" x14ac:dyDescent="0.3">
      <c r="A10894" t="s">
        <v>1777</v>
      </c>
      <c r="B10894" t="s">
        <v>2130</v>
      </c>
      <c r="C10894">
        <v>18</v>
      </c>
      <c r="D10894">
        <v>59</v>
      </c>
      <c r="E10894">
        <f>IF(OR(B10894="vi",B10894="ii",B10894="pod"),(((D10894/100)*(C10894*VLOOKUP(B10894,'Poids des runes'!A:B,2,FALSE)))+1),(((D10894/100)*(C10894*VLOOKUP(B10894,'Poids des runes'!A:B,2,FALSE)))+1)/VLOOKUP(B10894,'Poids des runes'!A:B,2,FALSE))</f>
        <v>11.62</v>
      </c>
      <c r="F10894">
        <f t="shared" si="170"/>
        <v>11.62</v>
      </c>
    </row>
    <row r="10895" spans="1:6" x14ac:dyDescent="0.3">
      <c r="A10895" t="s">
        <v>1777</v>
      </c>
      <c r="B10895" t="s">
        <v>2126</v>
      </c>
      <c r="C10895">
        <v>25.5</v>
      </c>
      <c r="D10895">
        <v>59</v>
      </c>
      <c r="E10895">
        <f>IF(OR(B10895="vi",B10895="ii",B10895="pod"),(((D10895/100)*(C10895*VLOOKUP(B10895,'Poids des runes'!A:B,2,FALSE)))+1),(((D10895/100)*(C10895*VLOOKUP(B10895,'Poids des runes'!A:B,2,FALSE)))+1)/VLOOKUP(B10895,'Poids des runes'!A:B,2,FALSE))</f>
        <v>16.045000000000002</v>
      </c>
      <c r="F10895">
        <f t="shared" si="170"/>
        <v>16.045000000000002</v>
      </c>
    </row>
    <row r="10896" spans="1:6" x14ac:dyDescent="0.3">
      <c r="A10896" t="s">
        <v>1777</v>
      </c>
      <c r="B10896" t="s">
        <v>2127</v>
      </c>
      <c r="C10896">
        <v>18</v>
      </c>
      <c r="D10896">
        <v>59</v>
      </c>
      <c r="E10896">
        <f>IF(OR(B10896="vi",B10896="ii",B10896="pod"),(((D10896/100)*(C10896*VLOOKUP(B10896,'Poids des runes'!A:B,2,FALSE)))+1),(((D10896/100)*(C10896*VLOOKUP(B10896,'Poids des runes'!A:B,2,FALSE)))+1)/VLOOKUP(B10896,'Poids des runes'!A:B,2,FALSE))</f>
        <v>11.62</v>
      </c>
      <c r="F10896">
        <f t="shared" si="170"/>
        <v>11.62</v>
      </c>
    </row>
    <row r="10897" spans="1:6" x14ac:dyDescent="0.3">
      <c r="A10897" t="s">
        <v>1777</v>
      </c>
      <c r="B10897" t="s">
        <v>2151</v>
      </c>
      <c r="C10897">
        <v>1.5</v>
      </c>
      <c r="D10897">
        <v>59</v>
      </c>
      <c r="E10897">
        <f>IF(OR(B10897="vi",B10897="ii",B10897="pod"),(((D10897/100)*(C10897*VLOOKUP(B10897,'Poids des runes'!A:B,2,FALSE)))+1),(((D10897/100)*(C10897*VLOOKUP(B10897,'Poids des runes'!A:B,2,FALSE)))+1)/VLOOKUP(B10897,'Poids des runes'!A:B,2,FALSE))</f>
        <v>0.98499999999999999</v>
      </c>
      <c r="F10897">
        <f t="shared" si="170"/>
        <v>0.98499999999999999</v>
      </c>
    </row>
    <row r="10898" spans="1:6" x14ac:dyDescent="0.3">
      <c r="A10898" t="s">
        <v>1777</v>
      </c>
      <c r="B10898" t="s">
        <v>2140</v>
      </c>
      <c r="C10898">
        <v>6.5</v>
      </c>
      <c r="D10898">
        <v>59</v>
      </c>
      <c r="E10898">
        <f>IF(OR(B10898="vi",B10898="ii",B10898="pod"),(((D10898/100)*(C10898*VLOOKUP(B10898,'Poids des runes'!A:B,2,FALSE)))+1),(((D10898/100)*(C10898*VLOOKUP(B10898,'Poids des runes'!A:B,2,FALSE)))+1)/VLOOKUP(B10898,'Poids des runes'!A:B,2,FALSE))</f>
        <v>4.0350000000000001</v>
      </c>
      <c r="F10898">
        <f t="shared" si="170"/>
        <v>4.0350000000000001</v>
      </c>
    </row>
    <row r="10899" spans="1:6" x14ac:dyDescent="0.3">
      <c r="A10899" t="s">
        <v>1777</v>
      </c>
      <c r="B10899" t="s">
        <v>2141</v>
      </c>
      <c r="C10899">
        <v>4.5</v>
      </c>
      <c r="D10899">
        <v>59</v>
      </c>
      <c r="E10899">
        <f>IF(OR(B10899="vi",B10899="ii",B10899="pod"),(((D10899/100)*(C10899*VLOOKUP(B10899,'Poids des runes'!A:B,2,FALSE)))+1),(((D10899/100)*(C10899*VLOOKUP(B10899,'Poids des runes'!A:B,2,FALSE)))+1)/VLOOKUP(B10899,'Poids des runes'!A:B,2,FALSE))</f>
        <v>2.9049999999999998</v>
      </c>
      <c r="F10899">
        <f t="shared" si="170"/>
        <v>2.9049999999999998</v>
      </c>
    </row>
    <row r="10900" spans="1:6" x14ac:dyDescent="0.3">
      <c r="A10900" t="s">
        <v>1778</v>
      </c>
      <c r="B10900" t="s">
        <v>2130</v>
      </c>
      <c r="C10900">
        <v>25.5</v>
      </c>
      <c r="D10900">
        <v>59</v>
      </c>
      <c r="E10900">
        <f>IF(OR(B10900="vi",B10900="ii",B10900="pod"),(((D10900/100)*(C10900*VLOOKUP(B10900,'Poids des runes'!A:B,2,FALSE)))+1),(((D10900/100)*(C10900*VLOOKUP(B10900,'Poids des runes'!A:B,2,FALSE)))+1)/VLOOKUP(B10900,'Poids des runes'!A:B,2,FALSE))</f>
        <v>16.045000000000002</v>
      </c>
      <c r="F10900">
        <f t="shared" si="170"/>
        <v>16.045000000000002</v>
      </c>
    </row>
    <row r="10901" spans="1:6" x14ac:dyDescent="0.3">
      <c r="A10901" t="s">
        <v>1778</v>
      </c>
      <c r="B10901" t="s">
        <v>2127</v>
      </c>
      <c r="C10901">
        <v>25.5</v>
      </c>
      <c r="D10901">
        <v>59</v>
      </c>
      <c r="E10901">
        <f>IF(OR(B10901="vi",B10901="ii",B10901="pod"),(((D10901/100)*(C10901*VLOOKUP(B10901,'Poids des runes'!A:B,2,FALSE)))+1),(((D10901/100)*(C10901*VLOOKUP(B10901,'Poids des runes'!A:B,2,FALSE)))+1)/VLOOKUP(B10901,'Poids des runes'!A:B,2,FALSE))</f>
        <v>16.045000000000002</v>
      </c>
      <c r="F10901">
        <f t="shared" si="170"/>
        <v>16.045000000000002</v>
      </c>
    </row>
    <row r="10902" spans="1:6" x14ac:dyDescent="0.3">
      <c r="A10902" t="s">
        <v>1778</v>
      </c>
      <c r="B10902" t="s">
        <v>2134</v>
      </c>
      <c r="C10902">
        <v>3.5</v>
      </c>
      <c r="D10902">
        <v>59</v>
      </c>
      <c r="E10902">
        <f>IF(OR(B10902="vi",B10902="ii",B10902="pod"),(((D10902/100)*(C10902*VLOOKUP(B10902,'Poids des runes'!A:B,2,FALSE)))+1),(((D10902/100)*(C10902*VLOOKUP(B10902,'Poids des runes'!A:B,2,FALSE)))+1)/VLOOKUP(B10902,'Poids des runes'!A:B,2,FALSE))</f>
        <v>2.1149999999999998</v>
      </c>
      <c r="F10902">
        <f t="shared" si="170"/>
        <v>2.1149999999999998</v>
      </c>
    </row>
    <row r="10903" spans="1:6" x14ac:dyDescent="0.3">
      <c r="A10903" t="s">
        <v>1778</v>
      </c>
      <c r="B10903" t="s">
        <v>2166</v>
      </c>
      <c r="C10903">
        <v>1</v>
      </c>
      <c r="D10903">
        <v>59</v>
      </c>
      <c r="E10903">
        <f>IF(OR(B10903="vi",B10903="ii",B10903="pod"),(((D10903/100)*(C10903*VLOOKUP(B10903,'Poids des runes'!A:B,2,FALSE)))+1),(((D10903/100)*(C10903*VLOOKUP(B10903,'Poids des runes'!A:B,2,FALSE)))+1)/VLOOKUP(B10903,'Poids des runes'!A:B,2,FALSE))</f>
        <v>0.92333333333333334</v>
      </c>
      <c r="F10903">
        <f t="shared" si="170"/>
        <v>0.92333333333333334</v>
      </c>
    </row>
    <row r="10904" spans="1:6" x14ac:dyDescent="0.3">
      <c r="A10904" t="s">
        <v>1779</v>
      </c>
      <c r="B10904" t="s">
        <v>2126</v>
      </c>
      <c r="C10904">
        <v>25.5</v>
      </c>
      <c r="D10904">
        <v>59</v>
      </c>
      <c r="E10904">
        <f>IF(OR(B10904="vi",B10904="ii",B10904="pod"),(((D10904/100)*(C10904*VLOOKUP(B10904,'Poids des runes'!A:B,2,FALSE)))+1),(((D10904/100)*(C10904*VLOOKUP(B10904,'Poids des runes'!A:B,2,FALSE)))+1)/VLOOKUP(B10904,'Poids des runes'!A:B,2,FALSE))</f>
        <v>16.045000000000002</v>
      </c>
      <c r="F10904">
        <f t="shared" si="170"/>
        <v>16.045000000000002</v>
      </c>
    </row>
    <row r="10905" spans="1:6" x14ac:dyDescent="0.3">
      <c r="A10905" t="s">
        <v>1779</v>
      </c>
      <c r="B10905" t="s">
        <v>2127</v>
      </c>
      <c r="C10905">
        <v>13</v>
      </c>
      <c r="D10905">
        <v>59</v>
      </c>
      <c r="E10905">
        <f>IF(OR(B10905="vi",B10905="ii",B10905="pod"),(((D10905/100)*(C10905*VLOOKUP(B10905,'Poids des runes'!A:B,2,FALSE)))+1),(((D10905/100)*(C10905*VLOOKUP(B10905,'Poids des runes'!A:B,2,FALSE)))+1)/VLOOKUP(B10905,'Poids des runes'!A:B,2,FALSE))</f>
        <v>8.67</v>
      </c>
      <c r="F10905">
        <f t="shared" si="170"/>
        <v>8.67</v>
      </c>
    </row>
    <row r="10906" spans="1:6" x14ac:dyDescent="0.3">
      <c r="A10906" t="s">
        <v>1779</v>
      </c>
      <c r="B10906" t="s">
        <v>2139</v>
      </c>
      <c r="C10906">
        <v>18</v>
      </c>
      <c r="D10906">
        <v>59</v>
      </c>
      <c r="E10906">
        <f>IF(OR(B10906="vi",B10906="ii",B10906="pod"),(((D10906/100)*(C10906*VLOOKUP(B10906,'Poids des runes'!A:B,2,FALSE)))+1),(((D10906/100)*(C10906*VLOOKUP(B10906,'Poids des runes'!A:B,2,FALSE)))+1)/VLOOKUP(B10906,'Poids des runes'!A:B,2,FALSE))</f>
        <v>11.12</v>
      </c>
      <c r="F10906">
        <f t="shared" si="170"/>
        <v>11.12</v>
      </c>
    </row>
    <row r="10907" spans="1:6" x14ac:dyDescent="0.3">
      <c r="A10907" t="s">
        <v>1779</v>
      </c>
      <c r="B10907" t="s">
        <v>2150</v>
      </c>
      <c r="C10907">
        <v>1</v>
      </c>
      <c r="D10907">
        <v>59</v>
      </c>
      <c r="E10907">
        <f>IF(OR(B10907="vi",B10907="ii",B10907="pod"),(((D10907/100)*(C10907*VLOOKUP(B10907,'Poids des runes'!A:B,2,FALSE)))+1),(((D10907/100)*(C10907*VLOOKUP(B10907,'Poids des runes'!A:B,2,FALSE)))+1)/VLOOKUP(B10907,'Poids des runes'!A:B,2,FALSE))</f>
        <v>0.62333333333333329</v>
      </c>
      <c r="F10907">
        <f t="shared" si="170"/>
        <v>0.62333333333333329</v>
      </c>
    </row>
    <row r="10908" spans="1:6" x14ac:dyDescent="0.3">
      <c r="A10908" t="s">
        <v>1779</v>
      </c>
      <c r="B10908" t="s">
        <v>2149</v>
      </c>
      <c r="C10908">
        <v>13</v>
      </c>
      <c r="D10908">
        <v>59</v>
      </c>
      <c r="E10908">
        <f>IF(OR(B10908="vi",B10908="ii",B10908="pod"),(((D10908/100)*(C10908*VLOOKUP(B10908,'Poids des runes'!A:B,2,FALSE)))+1),(((D10908/100)*(C10908*VLOOKUP(B10908,'Poids des runes'!A:B,2,FALSE)))+1)/VLOOKUP(B10908,'Poids des runes'!A:B,2,FALSE))</f>
        <v>7.7700000000000005</v>
      </c>
      <c r="F10908">
        <f t="shared" si="170"/>
        <v>7.7700000000000005</v>
      </c>
    </row>
    <row r="10909" spans="1:6" x14ac:dyDescent="0.3">
      <c r="A10909" t="s">
        <v>1780</v>
      </c>
      <c r="B10909" t="s">
        <v>2128</v>
      </c>
      <c r="C10909">
        <v>60.5</v>
      </c>
      <c r="D10909">
        <v>60</v>
      </c>
      <c r="E10909">
        <f>IF(OR(B10909="vi",B10909="ii",B10909="pod"),(((D10909/100)*(C10909*VLOOKUP(B10909,'Poids des runes'!A:B,2,FALSE)))+1),(((D10909/100)*(C10909*VLOOKUP(B10909,'Poids des runes'!A:B,2,FALSE)))+1)/VLOOKUP(B10909,'Poids des runes'!A:B,2,FALSE))</f>
        <v>8.2600000000000016</v>
      </c>
      <c r="F10909">
        <f t="shared" si="170"/>
        <v>8.2600000000000016</v>
      </c>
    </row>
    <row r="10910" spans="1:6" x14ac:dyDescent="0.3">
      <c r="A10910" t="s">
        <v>1780</v>
      </c>
      <c r="B10910" t="s">
        <v>2126</v>
      </c>
      <c r="C10910">
        <v>60.5</v>
      </c>
      <c r="D10910">
        <v>60</v>
      </c>
      <c r="E10910">
        <f>IF(OR(B10910="vi",B10910="ii",B10910="pod"),(((D10910/100)*(C10910*VLOOKUP(B10910,'Poids des runes'!A:B,2,FALSE)))+1),(((D10910/100)*(C10910*VLOOKUP(B10910,'Poids des runes'!A:B,2,FALSE)))+1)/VLOOKUP(B10910,'Poids des runes'!A:B,2,FALSE))</f>
        <v>37.299999999999997</v>
      </c>
      <c r="F10910">
        <f t="shared" si="170"/>
        <v>37.299999999999997</v>
      </c>
    </row>
    <row r="10911" spans="1:6" x14ac:dyDescent="0.3">
      <c r="A10911" t="s">
        <v>1780</v>
      </c>
      <c r="B10911" t="s">
        <v>2151</v>
      </c>
      <c r="C10911">
        <v>2.5</v>
      </c>
      <c r="D10911">
        <v>60</v>
      </c>
      <c r="E10911">
        <f>IF(OR(B10911="vi",B10911="ii",B10911="pod"),(((D10911/100)*(C10911*VLOOKUP(B10911,'Poids des runes'!A:B,2,FALSE)))+1),(((D10911/100)*(C10911*VLOOKUP(B10911,'Poids des runes'!A:B,2,FALSE)))+1)/VLOOKUP(B10911,'Poids des runes'!A:B,2,FALSE))</f>
        <v>1.6</v>
      </c>
      <c r="F10911">
        <f t="shared" si="170"/>
        <v>1.6</v>
      </c>
    </row>
    <row r="10912" spans="1:6" x14ac:dyDescent="0.3">
      <c r="A10912" t="s">
        <v>1780</v>
      </c>
      <c r="B10912" t="s">
        <v>2140</v>
      </c>
      <c r="C10912">
        <v>4.5</v>
      </c>
      <c r="D10912">
        <v>60</v>
      </c>
      <c r="E10912">
        <f>IF(OR(B10912="vi",B10912="ii",B10912="pod"),(((D10912/100)*(C10912*VLOOKUP(B10912,'Poids des runes'!A:B,2,FALSE)))+1),(((D10912/100)*(C10912*VLOOKUP(B10912,'Poids des runes'!A:B,2,FALSE)))+1)/VLOOKUP(B10912,'Poids des runes'!A:B,2,FALSE))</f>
        <v>2.9</v>
      </c>
      <c r="F10912">
        <f t="shared" si="170"/>
        <v>2.9</v>
      </c>
    </row>
    <row r="10913" spans="1:6" x14ac:dyDescent="0.3">
      <c r="A10913" t="s">
        <v>1780</v>
      </c>
      <c r="B10913" t="s">
        <v>2141</v>
      </c>
      <c r="C10913">
        <v>4.5</v>
      </c>
      <c r="D10913">
        <v>60</v>
      </c>
      <c r="E10913">
        <f>IF(OR(B10913="vi",B10913="ii",B10913="pod"),(((D10913/100)*(C10913*VLOOKUP(B10913,'Poids des runes'!A:B,2,FALSE)))+1),(((D10913/100)*(C10913*VLOOKUP(B10913,'Poids des runes'!A:B,2,FALSE)))+1)/VLOOKUP(B10913,'Poids des runes'!A:B,2,FALSE))</f>
        <v>2.9499999999999997</v>
      </c>
      <c r="F10913">
        <f t="shared" si="170"/>
        <v>2.9499999999999997</v>
      </c>
    </row>
    <row r="10914" spans="1:6" x14ac:dyDescent="0.3">
      <c r="A10914" t="s">
        <v>1780</v>
      </c>
      <c r="B10914" t="s">
        <v>2147</v>
      </c>
      <c r="C10914">
        <v>2.5</v>
      </c>
      <c r="D10914">
        <v>60</v>
      </c>
      <c r="E10914">
        <f>IF(OR(B10914="vi",B10914="ii",B10914="pod"),(((D10914/100)*(C10914*VLOOKUP(B10914,'Poids des runes'!A:B,2,FALSE)))+1),(((D10914/100)*(C10914*VLOOKUP(B10914,'Poids des runes'!A:B,2,FALSE)))+1)/VLOOKUP(B10914,'Poids des runes'!A:B,2,FALSE))</f>
        <v>1.6666666666666667</v>
      </c>
      <c r="F10914">
        <f t="shared" si="170"/>
        <v>1.6666666666666667</v>
      </c>
    </row>
    <row r="10915" spans="1:6" x14ac:dyDescent="0.3">
      <c r="A10915" t="s">
        <v>1781</v>
      </c>
      <c r="B10915" t="s">
        <v>2126</v>
      </c>
      <c r="C10915">
        <v>25.5</v>
      </c>
      <c r="D10915">
        <v>60</v>
      </c>
      <c r="E10915">
        <f>IF(OR(B10915="vi",B10915="ii",B10915="pod"),(((D10915/100)*(C10915*VLOOKUP(B10915,'Poids des runes'!A:B,2,FALSE)))+1),(((D10915/100)*(C10915*VLOOKUP(B10915,'Poids des runes'!A:B,2,FALSE)))+1)/VLOOKUP(B10915,'Poids des runes'!A:B,2,FALSE))</f>
        <v>16.299999999999997</v>
      </c>
      <c r="F10915">
        <f t="shared" si="170"/>
        <v>16.299999999999997</v>
      </c>
    </row>
    <row r="10916" spans="1:6" x14ac:dyDescent="0.3">
      <c r="A10916" t="s">
        <v>1781</v>
      </c>
      <c r="B10916" t="s">
        <v>2131</v>
      </c>
      <c r="C10916">
        <v>25.5</v>
      </c>
      <c r="D10916">
        <v>60</v>
      </c>
      <c r="E10916">
        <f>IF(OR(B10916="vi",B10916="ii",B10916="pod"),(((D10916/100)*(C10916*VLOOKUP(B10916,'Poids des runes'!A:B,2,FALSE)))+1),(((D10916/100)*(C10916*VLOOKUP(B10916,'Poids des runes'!A:B,2,FALSE)))+1)/VLOOKUP(B10916,'Poids des runes'!A:B,2,FALSE))</f>
        <v>16.299999999999997</v>
      </c>
      <c r="F10916">
        <f t="shared" si="170"/>
        <v>16.299999999999997</v>
      </c>
    </row>
    <row r="10917" spans="1:6" x14ac:dyDescent="0.3">
      <c r="A10917" t="s">
        <v>1781</v>
      </c>
      <c r="B10917" t="s">
        <v>2140</v>
      </c>
      <c r="C10917">
        <v>2.5</v>
      </c>
      <c r="D10917">
        <v>60</v>
      </c>
      <c r="E10917">
        <f>IF(OR(B10917="vi",B10917="ii",B10917="pod"),(((D10917/100)*(C10917*VLOOKUP(B10917,'Poids des runes'!A:B,2,FALSE)))+1),(((D10917/100)*(C10917*VLOOKUP(B10917,'Poids des runes'!A:B,2,FALSE)))+1)/VLOOKUP(B10917,'Poids des runes'!A:B,2,FALSE))</f>
        <v>1.7</v>
      </c>
      <c r="F10917">
        <f t="shared" si="170"/>
        <v>1.7</v>
      </c>
    </row>
    <row r="10918" spans="1:6" x14ac:dyDescent="0.3">
      <c r="A10918" t="s">
        <v>1781</v>
      </c>
      <c r="B10918" t="s">
        <v>2133</v>
      </c>
      <c r="C10918">
        <v>2.5</v>
      </c>
      <c r="D10918">
        <v>60</v>
      </c>
      <c r="E10918">
        <f>IF(OR(B10918="vi",B10918="ii",B10918="pod"),(((D10918/100)*(C10918*VLOOKUP(B10918,'Poids des runes'!A:B,2,FALSE)))+1),(((D10918/100)*(C10918*VLOOKUP(B10918,'Poids des runes'!A:B,2,FALSE)))+1)/VLOOKUP(B10918,'Poids des runes'!A:B,2,FALSE))</f>
        <v>1.7</v>
      </c>
      <c r="F10918">
        <f t="shared" si="170"/>
        <v>1.7</v>
      </c>
    </row>
    <row r="10919" spans="1:6" x14ac:dyDescent="0.3">
      <c r="A10919" t="s">
        <v>1781</v>
      </c>
      <c r="B10919" t="s">
        <v>2138</v>
      </c>
      <c r="C10919">
        <v>4.5</v>
      </c>
      <c r="D10919">
        <v>60</v>
      </c>
      <c r="E10919">
        <f>IF(OR(B10919="vi",B10919="ii",B10919="pod"),(((D10919/100)*(C10919*VLOOKUP(B10919,'Poids des runes'!A:B,2,FALSE)))+1),(((D10919/100)*(C10919*VLOOKUP(B10919,'Poids des runes'!A:B,2,FALSE)))+1)/VLOOKUP(B10919,'Poids des runes'!A:B,2,FALSE))</f>
        <v>2.9499999999999997</v>
      </c>
      <c r="F10919">
        <f t="shared" si="170"/>
        <v>2.9499999999999997</v>
      </c>
    </row>
    <row r="10920" spans="1:6" x14ac:dyDescent="0.3">
      <c r="A10920" t="s">
        <v>1781</v>
      </c>
      <c r="B10920" t="s">
        <v>2141</v>
      </c>
      <c r="C10920">
        <v>4.5</v>
      </c>
      <c r="D10920">
        <v>60</v>
      </c>
      <c r="E10920">
        <f>IF(OR(B10920="vi",B10920="ii",B10920="pod"),(((D10920/100)*(C10920*VLOOKUP(B10920,'Poids des runes'!A:B,2,FALSE)))+1),(((D10920/100)*(C10920*VLOOKUP(B10920,'Poids des runes'!A:B,2,FALSE)))+1)/VLOOKUP(B10920,'Poids des runes'!A:B,2,FALSE))</f>
        <v>2.9499999999999997</v>
      </c>
      <c r="F10920">
        <f t="shared" si="170"/>
        <v>2.9499999999999997</v>
      </c>
    </row>
    <row r="10921" spans="1:6" x14ac:dyDescent="0.3">
      <c r="A10921" t="s">
        <v>1781</v>
      </c>
      <c r="B10921" t="s">
        <v>2147</v>
      </c>
      <c r="C10921">
        <v>2</v>
      </c>
      <c r="D10921">
        <v>60</v>
      </c>
      <c r="E10921">
        <f>IF(OR(B10921="vi",B10921="ii",B10921="pod"),(((D10921/100)*(C10921*VLOOKUP(B10921,'Poids des runes'!A:B,2,FALSE)))+1),(((D10921/100)*(C10921*VLOOKUP(B10921,'Poids des runes'!A:B,2,FALSE)))+1)/VLOOKUP(B10921,'Poids des runes'!A:B,2,FALSE))</f>
        <v>1.3666666666666665</v>
      </c>
      <c r="F10921">
        <f t="shared" si="170"/>
        <v>1.3666666666666665</v>
      </c>
    </row>
    <row r="10922" spans="1:6" x14ac:dyDescent="0.3">
      <c r="A10922" t="s">
        <v>1781</v>
      </c>
      <c r="B10922" t="s">
        <v>2135</v>
      </c>
      <c r="C10922">
        <v>2</v>
      </c>
      <c r="D10922">
        <v>60</v>
      </c>
      <c r="E10922">
        <f>IF(OR(B10922="vi",B10922="ii",B10922="pod"),(((D10922/100)*(C10922*VLOOKUP(B10922,'Poids des runes'!A:B,2,FALSE)))+1),(((D10922/100)*(C10922*VLOOKUP(B10922,'Poids des runes'!A:B,2,FALSE)))+1)/VLOOKUP(B10922,'Poids des runes'!A:B,2,FALSE))</f>
        <v>1.3666666666666665</v>
      </c>
      <c r="F10922">
        <f t="shared" si="170"/>
        <v>1.3666666666666665</v>
      </c>
    </row>
    <row r="10923" spans="1:6" x14ac:dyDescent="0.3">
      <c r="A10923" t="s">
        <v>1782</v>
      </c>
      <c r="B10923" t="s">
        <v>2128</v>
      </c>
      <c r="C10923">
        <v>50.5</v>
      </c>
      <c r="D10923">
        <v>60</v>
      </c>
      <c r="E10923">
        <f>IF(OR(B10923="vi",B10923="ii",B10923="pod"),(((D10923/100)*(C10923*VLOOKUP(B10923,'Poids des runes'!A:B,2,FALSE)))+1),(((D10923/100)*(C10923*VLOOKUP(B10923,'Poids des runes'!A:B,2,FALSE)))+1)/VLOOKUP(B10923,'Poids des runes'!A:B,2,FALSE))</f>
        <v>7.0600000000000005</v>
      </c>
      <c r="F10923">
        <f t="shared" si="170"/>
        <v>7.0600000000000005</v>
      </c>
    </row>
    <row r="10924" spans="1:6" x14ac:dyDescent="0.3">
      <c r="A10924" t="s">
        <v>1782</v>
      </c>
      <c r="B10924" t="s">
        <v>2131</v>
      </c>
      <c r="C10924">
        <v>50.5</v>
      </c>
      <c r="D10924">
        <v>60</v>
      </c>
      <c r="E10924">
        <f>IF(OR(B10924="vi",B10924="ii",B10924="pod"),(((D10924/100)*(C10924*VLOOKUP(B10924,'Poids des runes'!A:B,2,FALSE)))+1),(((D10924/100)*(C10924*VLOOKUP(B10924,'Poids des runes'!A:B,2,FALSE)))+1)/VLOOKUP(B10924,'Poids des runes'!A:B,2,FALSE))</f>
        <v>31.299999999999997</v>
      </c>
      <c r="F10924">
        <f t="shared" si="170"/>
        <v>31.299999999999997</v>
      </c>
    </row>
    <row r="10925" spans="1:6" x14ac:dyDescent="0.3">
      <c r="A10925" t="s">
        <v>1782</v>
      </c>
      <c r="B10925" t="s">
        <v>2150</v>
      </c>
      <c r="C10925">
        <v>1</v>
      </c>
      <c r="D10925">
        <v>60</v>
      </c>
      <c r="E10925">
        <f>IF(OR(B10925="vi",B10925="ii",B10925="pod"),(((D10925/100)*(C10925*VLOOKUP(B10925,'Poids des runes'!A:B,2,FALSE)))+1),(((D10925/100)*(C10925*VLOOKUP(B10925,'Poids des runes'!A:B,2,FALSE)))+1)/VLOOKUP(B10925,'Poids des runes'!A:B,2,FALSE))</f>
        <v>0.6333333333333333</v>
      </c>
      <c r="F10925">
        <f t="shared" si="170"/>
        <v>0.6333333333333333</v>
      </c>
    </row>
    <row r="10926" spans="1:6" x14ac:dyDescent="0.3">
      <c r="A10926" t="s">
        <v>1782</v>
      </c>
      <c r="B10926" t="s">
        <v>2133</v>
      </c>
      <c r="C10926">
        <v>2.5</v>
      </c>
      <c r="D10926">
        <v>60</v>
      </c>
      <c r="E10926">
        <f>IF(OR(B10926="vi",B10926="ii",B10926="pod"),(((D10926/100)*(C10926*VLOOKUP(B10926,'Poids des runes'!A:B,2,FALSE)))+1),(((D10926/100)*(C10926*VLOOKUP(B10926,'Poids des runes'!A:B,2,FALSE)))+1)/VLOOKUP(B10926,'Poids des runes'!A:B,2,FALSE))</f>
        <v>1.7</v>
      </c>
      <c r="F10926">
        <f t="shared" si="170"/>
        <v>1.7</v>
      </c>
    </row>
    <row r="10927" spans="1:6" x14ac:dyDescent="0.3">
      <c r="A10927" t="s">
        <v>1782</v>
      </c>
      <c r="B10927" t="s">
        <v>2138</v>
      </c>
      <c r="C10927">
        <v>4.5</v>
      </c>
      <c r="D10927">
        <v>60</v>
      </c>
      <c r="E10927">
        <f>IF(OR(B10927="vi",B10927="ii",B10927="pod"),(((D10927/100)*(C10927*VLOOKUP(B10927,'Poids des runes'!A:B,2,FALSE)))+1),(((D10927/100)*(C10927*VLOOKUP(B10927,'Poids des runes'!A:B,2,FALSE)))+1)/VLOOKUP(B10927,'Poids des runes'!A:B,2,FALSE))</f>
        <v>2.9499999999999997</v>
      </c>
      <c r="F10927">
        <f t="shared" si="170"/>
        <v>2.9499999999999997</v>
      </c>
    </row>
    <row r="10928" spans="1:6" x14ac:dyDescent="0.3">
      <c r="A10928" t="s">
        <v>1783</v>
      </c>
      <c r="B10928" t="s">
        <v>2131</v>
      </c>
      <c r="C10928">
        <v>35.5</v>
      </c>
      <c r="D10928">
        <v>60</v>
      </c>
      <c r="E10928">
        <f>IF(OR(B10928="vi",B10928="ii",B10928="pod"),(((D10928/100)*(C10928*VLOOKUP(B10928,'Poids des runes'!A:B,2,FALSE)))+1),(((D10928/100)*(C10928*VLOOKUP(B10928,'Poids des runes'!A:B,2,FALSE)))+1)/VLOOKUP(B10928,'Poids des runes'!A:B,2,FALSE))</f>
        <v>22.3</v>
      </c>
      <c r="F10928">
        <f t="shared" si="170"/>
        <v>22.3</v>
      </c>
    </row>
    <row r="10929" spans="1:6" x14ac:dyDescent="0.3">
      <c r="A10929" t="s">
        <v>1783</v>
      </c>
      <c r="B10929" t="s">
        <v>2127</v>
      </c>
      <c r="C10929">
        <v>35.5</v>
      </c>
      <c r="D10929">
        <v>60</v>
      </c>
      <c r="E10929">
        <f>IF(OR(B10929="vi",B10929="ii",B10929="pod"),(((D10929/100)*(C10929*VLOOKUP(B10929,'Poids des runes'!A:B,2,FALSE)))+1),(((D10929/100)*(C10929*VLOOKUP(B10929,'Poids des runes'!A:B,2,FALSE)))+1)/VLOOKUP(B10929,'Poids des runes'!A:B,2,FALSE))</f>
        <v>22.3</v>
      </c>
      <c r="F10929">
        <f t="shared" si="170"/>
        <v>22.3</v>
      </c>
    </row>
    <row r="10930" spans="1:6" x14ac:dyDescent="0.3">
      <c r="A10930" t="s">
        <v>1783</v>
      </c>
      <c r="B10930" t="s">
        <v>2139</v>
      </c>
      <c r="C10930">
        <v>13</v>
      </c>
      <c r="D10930">
        <v>60</v>
      </c>
      <c r="E10930">
        <f>IF(OR(B10930="vi",B10930="ii",B10930="pod"),(((D10930/100)*(C10930*VLOOKUP(B10930,'Poids des runes'!A:B,2,FALSE)))+1),(((D10930/100)*(C10930*VLOOKUP(B10930,'Poids des runes'!A:B,2,FALSE)))+1)/VLOOKUP(B10930,'Poids des runes'!A:B,2,FALSE))</f>
        <v>8.3000000000000007</v>
      </c>
      <c r="F10930">
        <f t="shared" si="170"/>
        <v>8.3000000000000007</v>
      </c>
    </row>
    <row r="10931" spans="1:6" x14ac:dyDescent="0.3">
      <c r="A10931" t="s">
        <v>1783</v>
      </c>
      <c r="B10931" t="s">
        <v>2151</v>
      </c>
      <c r="C10931">
        <v>2.5</v>
      </c>
      <c r="D10931">
        <v>60</v>
      </c>
      <c r="E10931">
        <f>IF(OR(B10931="vi",B10931="ii",B10931="pod"),(((D10931/100)*(C10931*VLOOKUP(B10931,'Poids des runes'!A:B,2,FALSE)))+1),(((D10931/100)*(C10931*VLOOKUP(B10931,'Poids des runes'!A:B,2,FALSE)))+1)/VLOOKUP(B10931,'Poids des runes'!A:B,2,FALSE))</f>
        <v>1.6</v>
      </c>
      <c r="F10931">
        <f t="shared" si="170"/>
        <v>1.6</v>
      </c>
    </row>
    <row r="10932" spans="1:6" x14ac:dyDescent="0.3">
      <c r="A10932" t="s">
        <v>1783</v>
      </c>
      <c r="B10932" t="s">
        <v>2133</v>
      </c>
      <c r="C10932">
        <v>6.5</v>
      </c>
      <c r="D10932">
        <v>60</v>
      </c>
      <c r="E10932">
        <f>IF(OR(B10932="vi",B10932="ii",B10932="pod"),(((D10932/100)*(C10932*VLOOKUP(B10932,'Poids des runes'!A:B,2,FALSE)))+1),(((D10932/100)*(C10932*VLOOKUP(B10932,'Poids des runes'!A:B,2,FALSE)))+1)/VLOOKUP(B10932,'Poids des runes'!A:B,2,FALSE))</f>
        <v>4.0999999999999996</v>
      </c>
      <c r="F10932">
        <f t="shared" si="170"/>
        <v>4.0999999999999996</v>
      </c>
    </row>
    <row r="10933" spans="1:6" x14ac:dyDescent="0.3">
      <c r="A10933" t="s">
        <v>1783</v>
      </c>
      <c r="B10933" t="s">
        <v>2153</v>
      </c>
      <c r="C10933">
        <v>6.5</v>
      </c>
      <c r="D10933">
        <v>60</v>
      </c>
      <c r="E10933">
        <f>IF(OR(B10933="vi",B10933="ii",B10933="pod"),(((D10933/100)*(C10933*VLOOKUP(B10933,'Poids des runes'!A:B,2,FALSE)))+1),(((D10933/100)*(C10933*VLOOKUP(B10933,'Poids des runes'!A:B,2,FALSE)))+1)/VLOOKUP(B10933,'Poids des runes'!A:B,2,FALSE))</f>
        <v>4.0999999999999996</v>
      </c>
      <c r="F10933">
        <f t="shared" si="170"/>
        <v>4.0999999999999996</v>
      </c>
    </row>
    <row r="10934" spans="1:6" x14ac:dyDescent="0.3">
      <c r="A10934" t="s">
        <v>1784</v>
      </c>
      <c r="B10934" t="s">
        <v>2128</v>
      </c>
      <c r="C10934">
        <v>50.5</v>
      </c>
      <c r="D10934">
        <v>60</v>
      </c>
      <c r="E10934">
        <f>IF(OR(B10934="vi",B10934="ii",B10934="pod"),(((D10934/100)*(C10934*VLOOKUP(B10934,'Poids des runes'!A:B,2,FALSE)))+1),(((D10934/100)*(C10934*VLOOKUP(B10934,'Poids des runes'!A:B,2,FALSE)))+1)/VLOOKUP(B10934,'Poids des runes'!A:B,2,FALSE))</f>
        <v>7.0600000000000005</v>
      </c>
      <c r="F10934">
        <f t="shared" si="170"/>
        <v>7.0600000000000005</v>
      </c>
    </row>
    <row r="10935" spans="1:6" x14ac:dyDescent="0.3">
      <c r="A10935" t="s">
        <v>1784</v>
      </c>
      <c r="B10935" t="s">
        <v>2130</v>
      </c>
      <c r="C10935">
        <v>35.5</v>
      </c>
      <c r="D10935">
        <v>60</v>
      </c>
      <c r="E10935">
        <f>IF(OR(B10935="vi",B10935="ii",B10935="pod"),(((D10935/100)*(C10935*VLOOKUP(B10935,'Poids des runes'!A:B,2,FALSE)))+1),(((D10935/100)*(C10935*VLOOKUP(B10935,'Poids des runes'!A:B,2,FALSE)))+1)/VLOOKUP(B10935,'Poids des runes'!A:B,2,FALSE))</f>
        <v>22.3</v>
      </c>
      <c r="F10935">
        <f t="shared" si="170"/>
        <v>22.3</v>
      </c>
    </row>
    <row r="10936" spans="1:6" x14ac:dyDescent="0.3">
      <c r="A10936" t="s">
        <v>1784</v>
      </c>
      <c r="B10936" t="s">
        <v>2151</v>
      </c>
      <c r="C10936">
        <v>2.5</v>
      </c>
      <c r="D10936">
        <v>60</v>
      </c>
      <c r="E10936">
        <f>IF(OR(B10936="vi",B10936="ii",B10936="pod"),(((D10936/100)*(C10936*VLOOKUP(B10936,'Poids des runes'!A:B,2,FALSE)))+1),(((D10936/100)*(C10936*VLOOKUP(B10936,'Poids des runes'!A:B,2,FALSE)))+1)/VLOOKUP(B10936,'Poids des runes'!A:B,2,FALSE))</f>
        <v>1.6</v>
      </c>
      <c r="F10936">
        <f t="shared" si="170"/>
        <v>1.6</v>
      </c>
    </row>
    <row r="10937" spans="1:6" x14ac:dyDescent="0.3">
      <c r="A10937" t="s">
        <v>1784</v>
      </c>
      <c r="B10937" t="s">
        <v>2155</v>
      </c>
      <c r="C10937">
        <v>1</v>
      </c>
      <c r="D10937">
        <v>60</v>
      </c>
      <c r="E10937">
        <f>IF(OR(B10937="vi",B10937="ii",B10937="pod"),(((D10937/100)*(C10937*VLOOKUP(B10937,'Poids des runes'!A:B,2,FALSE)))+1),(((D10937/100)*(C10937*VLOOKUP(B10937,'Poids des runes'!A:B,2,FALSE)))+1)/VLOOKUP(B10937,'Poids des runes'!A:B,2,FALSE))</f>
        <v>0.61960784313725481</v>
      </c>
      <c r="F10937">
        <f t="shared" si="170"/>
        <v>0.61960784313725481</v>
      </c>
    </row>
    <row r="10938" spans="1:6" x14ac:dyDescent="0.3">
      <c r="A10938" t="s">
        <v>1784</v>
      </c>
      <c r="B10938" t="s">
        <v>2143</v>
      </c>
      <c r="C10938">
        <v>2.5</v>
      </c>
      <c r="D10938">
        <v>60</v>
      </c>
      <c r="E10938">
        <f>IF(OR(B10938="vi",B10938="ii",B10938="pod"),(((D10938/100)*(C10938*VLOOKUP(B10938,'Poids des runes'!A:B,2,FALSE)))+1),(((D10938/100)*(C10938*VLOOKUP(B10938,'Poids des runes'!A:B,2,FALSE)))+1)/VLOOKUP(B10938,'Poids des runes'!A:B,2,FALSE))</f>
        <v>1.7</v>
      </c>
      <c r="F10938">
        <f t="shared" si="170"/>
        <v>1.7</v>
      </c>
    </row>
    <row r="10939" spans="1:6" x14ac:dyDescent="0.3">
      <c r="A10939" t="s">
        <v>1784</v>
      </c>
      <c r="B10939" t="s">
        <v>2158</v>
      </c>
      <c r="C10939">
        <v>6</v>
      </c>
      <c r="D10939">
        <v>60</v>
      </c>
      <c r="E10939">
        <f>IF(OR(B10939="vi",B10939="ii",B10939="pod"),(((D10939/100)*(C10939*VLOOKUP(B10939,'Poids des runes'!A:B,2,FALSE)))+1),(((D10939/100)*(C10939*VLOOKUP(B10939,'Poids des runes'!A:B,2,FALSE)))+1)/VLOOKUP(B10939,'Poids des runes'!A:B,2,FALSE))</f>
        <v>3.8</v>
      </c>
      <c r="F10939">
        <f t="shared" si="170"/>
        <v>3.8</v>
      </c>
    </row>
    <row r="10940" spans="1:6" x14ac:dyDescent="0.3">
      <c r="A10940" t="s">
        <v>1785</v>
      </c>
      <c r="B10940" t="s">
        <v>2128</v>
      </c>
      <c r="C10940">
        <v>85.5</v>
      </c>
      <c r="D10940">
        <v>60</v>
      </c>
      <c r="E10940">
        <f>IF(OR(B10940="vi",B10940="ii",B10940="pod"),(((D10940/100)*(C10940*VLOOKUP(B10940,'Poids des runes'!A:B,2,FALSE)))+1),(((D10940/100)*(C10940*VLOOKUP(B10940,'Poids des runes'!A:B,2,FALSE)))+1)/VLOOKUP(B10940,'Poids des runes'!A:B,2,FALSE))</f>
        <v>11.26</v>
      </c>
      <c r="F10940">
        <f t="shared" si="170"/>
        <v>11.26</v>
      </c>
    </row>
    <row r="10941" spans="1:6" x14ac:dyDescent="0.3">
      <c r="A10941" t="s">
        <v>1785</v>
      </c>
      <c r="B10941" t="s">
        <v>2130</v>
      </c>
      <c r="C10941">
        <v>25.5</v>
      </c>
      <c r="D10941">
        <v>60</v>
      </c>
      <c r="E10941">
        <f>IF(OR(B10941="vi",B10941="ii",B10941="pod"),(((D10941/100)*(C10941*VLOOKUP(B10941,'Poids des runes'!A:B,2,FALSE)))+1),(((D10941/100)*(C10941*VLOOKUP(B10941,'Poids des runes'!A:B,2,FALSE)))+1)/VLOOKUP(B10941,'Poids des runes'!A:B,2,FALSE))</f>
        <v>16.299999999999997</v>
      </c>
      <c r="F10941">
        <f t="shared" si="170"/>
        <v>16.299999999999997</v>
      </c>
    </row>
    <row r="10942" spans="1:6" x14ac:dyDescent="0.3">
      <c r="A10942" t="s">
        <v>1785</v>
      </c>
      <c r="B10942" t="s">
        <v>2131</v>
      </c>
      <c r="C10942">
        <v>25.5</v>
      </c>
      <c r="D10942">
        <v>60</v>
      </c>
      <c r="E10942">
        <f>IF(OR(B10942="vi",B10942="ii",B10942="pod"),(((D10942/100)*(C10942*VLOOKUP(B10942,'Poids des runes'!A:B,2,FALSE)))+1),(((D10942/100)*(C10942*VLOOKUP(B10942,'Poids des runes'!A:B,2,FALSE)))+1)/VLOOKUP(B10942,'Poids des runes'!A:B,2,FALSE))</f>
        <v>16.299999999999997</v>
      </c>
      <c r="F10942">
        <f t="shared" si="170"/>
        <v>16.299999999999997</v>
      </c>
    </row>
    <row r="10943" spans="1:6" x14ac:dyDescent="0.3">
      <c r="A10943" t="s">
        <v>1785</v>
      </c>
      <c r="B10943" t="s">
        <v>2129</v>
      </c>
      <c r="C10943">
        <v>18</v>
      </c>
      <c r="D10943">
        <v>60</v>
      </c>
      <c r="E10943">
        <f>IF(OR(B10943="vi",B10943="ii",B10943="pod"),(((D10943/100)*(C10943*VLOOKUP(B10943,'Poids des runes'!A:B,2,FALSE)))+1),(((D10943/100)*(C10943*VLOOKUP(B10943,'Poids des runes'!A:B,2,FALSE)))+1)/VLOOKUP(B10943,'Poids des runes'!A:B,2,FALSE))</f>
        <v>11.799999999999999</v>
      </c>
      <c r="F10943">
        <f t="shared" si="170"/>
        <v>11.799999999999999</v>
      </c>
    </row>
    <row r="10944" spans="1:6" x14ac:dyDescent="0.3">
      <c r="A10944" t="s">
        <v>1785</v>
      </c>
      <c r="B10944" t="s">
        <v>2139</v>
      </c>
      <c r="C10944">
        <v>13</v>
      </c>
      <c r="D10944">
        <v>60</v>
      </c>
      <c r="E10944">
        <f>IF(OR(B10944="vi",B10944="ii",B10944="pod"),(((D10944/100)*(C10944*VLOOKUP(B10944,'Poids des runes'!A:B,2,FALSE)))+1),(((D10944/100)*(C10944*VLOOKUP(B10944,'Poids des runes'!A:B,2,FALSE)))+1)/VLOOKUP(B10944,'Poids des runes'!A:B,2,FALSE))</f>
        <v>8.3000000000000007</v>
      </c>
      <c r="F10944">
        <f t="shared" si="170"/>
        <v>8.3000000000000007</v>
      </c>
    </row>
    <row r="10945" spans="1:6" x14ac:dyDescent="0.3">
      <c r="A10945" t="s">
        <v>1785</v>
      </c>
      <c r="B10945" t="s">
        <v>2138</v>
      </c>
      <c r="C10945">
        <v>8.5</v>
      </c>
      <c r="D10945">
        <v>60</v>
      </c>
      <c r="E10945">
        <f>IF(OR(B10945="vi",B10945="ii",B10945="pod"),(((D10945/100)*(C10945*VLOOKUP(B10945,'Poids des runes'!A:B,2,FALSE)))+1),(((D10945/100)*(C10945*VLOOKUP(B10945,'Poids des runes'!A:B,2,FALSE)))+1)/VLOOKUP(B10945,'Poids des runes'!A:B,2,FALSE))</f>
        <v>5.35</v>
      </c>
      <c r="F10945">
        <f t="shared" si="170"/>
        <v>5.35</v>
      </c>
    </row>
    <row r="10946" spans="1:6" x14ac:dyDescent="0.3">
      <c r="A10946" t="s">
        <v>1786</v>
      </c>
      <c r="B10946" t="s">
        <v>2128</v>
      </c>
      <c r="C10946">
        <v>45.5</v>
      </c>
      <c r="D10946">
        <v>60</v>
      </c>
      <c r="E10946">
        <f>IF(OR(B10946="vi",B10946="ii",B10946="pod"),(((D10946/100)*(C10946*VLOOKUP(B10946,'Poids des runes'!A:B,2,FALSE)))+1),(((D10946/100)*(C10946*VLOOKUP(B10946,'Poids des runes'!A:B,2,FALSE)))+1)/VLOOKUP(B10946,'Poids des runes'!A:B,2,FALSE))</f>
        <v>6.46</v>
      </c>
      <c r="F10946">
        <f t="shared" si="170"/>
        <v>6.46</v>
      </c>
    </row>
    <row r="10947" spans="1:6" x14ac:dyDescent="0.3">
      <c r="A10947" t="s">
        <v>1786</v>
      </c>
      <c r="B10947" t="s">
        <v>2139</v>
      </c>
      <c r="C10947">
        <v>18</v>
      </c>
      <c r="D10947">
        <v>60</v>
      </c>
      <c r="E10947">
        <f>IF(OR(B10947="vi",B10947="ii",B10947="pod"),(((D10947/100)*(C10947*VLOOKUP(B10947,'Poids des runes'!A:B,2,FALSE)))+1),(((D10947/100)*(C10947*VLOOKUP(B10947,'Poids des runes'!A:B,2,FALSE)))+1)/VLOOKUP(B10947,'Poids des runes'!A:B,2,FALSE))</f>
        <v>11.299999999999999</v>
      </c>
      <c r="F10947">
        <f t="shared" ref="F10947:F11010" si="171">E10947</f>
        <v>11.299999999999999</v>
      </c>
    </row>
    <row r="10948" spans="1:6" x14ac:dyDescent="0.3">
      <c r="A10948" t="s">
        <v>1786</v>
      </c>
      <c r="B10948" t="s">
        <v>2143</v>
      </c>
      <c r="C10948">
        <v>8.5</v>
      </c>
      <c r="D10948">
        <v>60</v>
      </c>
      <c r="E10948">
        <f>IF(OR(B10948="vi",B10948="ii",B10948="pod"),(((D10948/100)*(C10948*VLOOKUP(B10948,'Poids des runes'!A:B,2,FALSE)))+1),(((D10948/100)*(C10948*VLOOKUP(B10948,'Poids des runes'!A:B,2,FALSE)))+1)/VLOOKUP(B10948,'Poids des runes'!A:B,2,FALSE))</f>
        <v>5.3</v>
      </c>
      <c r="F10948">
        <f t="shared" si="171"/>
        <v>5.3</v>
      </c>
    </row>
    <row r="10949" spans="1:6" x14ac:dyDescent="0.3">
      <c r="A10949" t="s">
        <v>1786</v>
      </c>
      <c r="B10949" t="s">
        <v>2133</v>
      </c>
      <c r="C10949">
        <v>8.5</v>
      </c>
      <c r="D10949">
        <v>60</v>
      </c>
      <c r="E10949">
        <f>IF(OR(B10949="vi",B10949="ii",B10949="pod"),(((D10949/100)*(C10949*VLOOKUP(B10949,'Poids des runes'!A:B,2,FALSE)))+1),(((D10949/100)*(C10949*VLOOKUP(B10949,'Poids des runes'!A:B,2,FALSE)))+1)/VLOOKUP(B10949,'Poids des runes'!A:B,2,FALSE))</f>
        <v>5.3</v>
      </c>
      <c r="F10949">
        <f t="shared" si="171"/>
        <v>5.3</v>
      </c>
    </row>
    <row r="10950" spans="1:6" x14ac:dyDescent="0.3">
      <c r="A10950" t="s">
        <v>1786</v>
      </c>
      <c r="B10950" t="s">
        <v>2153</v>
      </c>
      <c r="C10950">
        <v>8.5</v>
      </c>
      <c r="D10950">
        <v>60</v>
      </c>
      <c r="E10950">
        <f>IF(OR(B10950="vi",B10950="ii",B10950="pod"),(((D10950/100)*(C10950*VLOOKUP(B10950,'Poids des runes'!A:B,2,FALSE)))+1),(((D10950/100)*(C10950*VLOOKUP(B10950,'Poids des runes'!A:B,2,FALSE)))+1)/VLOOKUP(B10950,'Poids des runes'!A:B,2,FALSE))</f>
        <v>5.3</v>
      </c>
      <c r="F10950">
        <f t="shared" si="171"/>
        <v>5.3</v>
      </c>
    </row>
    <row r="10951" spans="1:6" x14ac:dyDescent="0.3">
      <c r="A10951" t="s">
        <v>1787</v>
      </c>
      <c r="B10951" t="s">
        <v>2128</v>
      </c>
      <c r="C10951">
        <v>35.5</v>
      </c>
      <c r="D10951">
        <v>60</v>
      </c>
      <c r="E10951">
        <f>IF(OR(B10951="vi",B10951="ii",B10951="pod"),(((D10951/100)*(C10951*VLOOKUP(B10951,'Poids des runes'!A:B,2,FALSE)))+1),(((D10951/100)*(C10951*VLOOKUP(B10951,'Poids des runes'!A:B,2,FALSE)))+1)/VLOOKUP(B10951,'Poids des runes'!A:B,2,FALSE))</f>
        <v>5.26</v>
      </c>
      <c r="F10951">
        <f t="shared" si="171"/>
        <v>5.26</v>
      </c>
    </row>
    <row r="10952" spans="1:6" x14ac:dyDescent="0.3">
      <c r="A10952" t="s">
        <v>1787</v>
      </c>
      <c r="B10952" t="s">
        <v>2126</v>
      </c>
      <c r="C10952">
        <v>25.5</v>
      </c>
      <c r="D10952">
        <v>60</v>
      </c>
      <c r="E10952">
        <f>IF(OR(B10952="vi",B10952="ii",B10952="pod"),(((D10952/100)*(C10952*VLOOKUP(B10952,'Poids des runes'!A:B,2,FALSE)))+1),(((D10952/100)*(C10952*VLOOKUP(B10952,'Poids des runes'!A:B,2,FALSE)))+1)/VLOOKUP(B10952,'Poids des runes'!A:B,2,FALSE))</f>
        <v>16.299999999999997</v>
      </c>
      <c r="F10952">
        <f t="shared" si="171"/>
        <v>16.299999999999997</v>
      </c>
    </row>
    <row r="10953" spans="1:6" x14ac:dyDescent="0.3">
      <c r="A10953" t="s">
        <v>1787</v>
      </c>
      <c r="B10953" t="s">
        <v>2129</v>
      </c>
      <c r="C10953">
        <v>13</v>
      </c>
      <c r="D10953">
        <v>60</v>
      </c>
      <c r="E10953">
        <f>IF(OR(B10953="vi",B10953="ii",B10953="pod"),(((D10953/100)*(C10953*VLOOKUP(B10953,'Poids des runes'!A:B,2,FALSE)))+1),(((D10953/100)*(C10953*VLOOKUP(B10953,'Poids des runes'!A:B,2,FALSE)))+1)/VLOOKUP(B10953,'Poids des runes'!A:B,2,FALSE))</f>
        <v>8.8000000000000007</v>
      </c>
      <c r="F10953">
        <f t="shared" si="171"/>
        <v>8.8000000000000007</v>
      </c>
    </row>
    <row r="10954" spans="1:6" x14ac:dyDescent="0.3">
      <c r="A10954" t="s">
        <v>1787</v>
      </c>
      <c r="B10954" t="s">
        <v>2147</v>
      </c>
      <c r="C10954">
        <v>4</v>
      </c>
      <c r="D10954">
        <v>60</v>
      </c>
      <c r="E10954">
        <f>IF(OR(B10954="vi",B10954="ii",B10954="pod"),(((D10954/100)*(C10954*VLOOKUP(B10954,'Poids des runes'!A:B,2,FALSE)))+1),(((D10954/100)*(C10954*VLOOKUP(B10954,'Poids des runes'!A:B,2,FALSE)))+1)/VLOOKUP(B10954,'Poids des runes'!A:B,2,FALSE))</f>
        <v>2.5666666666666664</v>
      </c>
      <c r="F10954">
        <f t="shared" si="171"/>
        <v>2.5666666666666664</v>
      </c>
    </row>
    <row r="10955" spans="1:6" x14ac:dyDescent="0.3">
      <c r="A10955" t="s">
        <v>1787</v>
      </c>
      <c r="B10955" t="s">
        <v>2157</v>
      </c>
      <c r="C10955">
        <v>2.5</v>
      </c>
      <c r="D10955">
        <v>60</v>
      </c>
      <c r="E10955">
        <f>IF(OR(B10955="vi",B10955="ii",B10955="pod"),(((D10955/100)*(C10955*VLOOKUP(B10955,'Poids des runes'!A:B,2,FALSE)))+1),(((D10955/100)*(C10955*VLOOKUP(B10955,'Poids des runes'!A:B,2,FALSE)))+1)/VLOOKUP(B10955,'Poids des runes'!A:B,2,FALSE))</f>
        <v>1.6666666666666667</v>
      </c>
      <c r="F10955">
        <f t="shared" si="171"/>
        <v>1.6666666666666667</v>
      </c>
    </row>
    <row r="10956" spans="1:6" x14ac:dyDescent="0.3">
      <c r="A10956" t="s">
        <v>1788</v>
      </c>
      <c r="B10956" t="s">
        <v>2130</v>
      </c>
      <c r="C10956">
        <v>25.5</v>
      </c>
      <c r="D10956">
        <v>61</v>
      </c>
      <c r="E10956">
        <f>IF(OR(B10956="vi",B10956="ii",B10956="pod"),(((D10956/100)*(C10956*VLOOKUP(B10956,'Poids des runes'!A:B,2,FALSE)))+1),(((D10956/100)*(C10956*VLOOKUP(B10956,'Poids des runes'!A:B,2,FALSE)))+1)/VLOOKUP(B10956,'Poids des runes'!A:B,2,FALSE))</f>
        <v>16.555</v>
      </c>
      <c r="F10956">
        <f t="shared" si="171"/>
        <v>16.555</v>
      </c>
    </row>
    <row r="10957" spans="1:6" x14ac:dyDescent="0.3">
      <c r="A10957" t="s">
        <v>1788</v>
      </c>
      <c r="B10957" t="s">
        <v>2151</v>
      </c>
      <c r="C10957">
        <v>1.5</v>
      </c>
      <c r="D10957">
        <v>61</v>
      </c>
      <c r="E10957">
        <f>IF(OR(B10957="vi",B10957="ii",B10957="pod"),(((D10957/100)*(C10957*VLOOKUP(B10957,'Poids des runes'!A:B,2,FALSE)))+1),(((D10957/100)*(C10957*VLOOKUP(B10957,'Poids des runes'!A:B,2,FALSE)))+1)/VLOOKUP(B10957,'Poids des runes'!A:B,2,FALSE))</f>
        <v>1.0150000000000001</v>
      </c>
      <c r="F10957">
        <f t="shared" si="171"/>
        <v>1.0150000000000001</v>
      </c>
    </row>
    <row r="10958" spans="1:6" x14ac:dyDescent="0.3">
      <c r="A10958" t="s">
        <v>1788</v>
      </c>
      <c r="B10958" t="s">
        <v>2134</v>
      </c>
      <c r="C10958">
        <v>5</v>
      </c>
      <c r="D10958">
        <v>61</v>
      </c>
      <c r="E10958">
        <f>IF(OR(B10958="vi",B10958="ii",B10958="pod"),(((D10958/100)*(C10958*VLOOKUP(B10958,'Poids des runes'!A:B,2,FALSE)))+1),(((D10958/100)*(C10958*VLOOKUP(B10958,'Poids des runes'!A:B,2,FALSE)))+1)/VLOOKUP(B10958,'Poids des runes'!A:B,2,FALSE))</f>
        <v>3.1</v>
      </c>
      <c r="F10958">
        <f t="shared" si="171"/>
        <v>3.1</v>
      </c>
    </row>
    <row r="10959" spans="1:6" x14ac:dyDescent="0.3">
      <c r="A10959" t="s">
        <v>1789</v>
      </c>
      <c r="B10959" t="s">
        <v>2127</v>
      </c>
      <c r="C10959">
        <v>50.5</v>
      </c>
      <c r="D10959">
        <v>61</v>
      </c>
      <c r="E10959">
        <f>IF(OR(B10959="vi",B10959="ii",B10959="pod"),(((D10959/100)*(C10959*VLOOKUP(B10959,'Poids des runes'!A:B,2,FALSE)))+1),(((D10959/100)*(C10959*VLOOKUP(B10959,'Poids des runes'!A:B,2,FALSE)))+1)/VLOOKUP(B10959,'Poids des runes'!A:B,2,FALSE))</f>
        <v>31.805</v>
      </c>
      <c r="F10959">
        <f t="shared" si="171"/>
        <v>31.805</v>
      </c>
    </row>
    <row r="10960" spans="1:6" x14ac:dyDescent="0.3">
      <c r="A10960" t="s">
        <v>1789</v>
      </c>
      <c r="B10960" t="s">
        <v>2151</v>
      </c>
      <c r="C10960">
        <v>2.5</v>
      </c>
      <c r="D10960">
        <v>61</v>
      </c>
      <c r="E10960">
        <f>IF(OR(B10960="vi",B10960="ii",B10960="pod"),(((D10960/100)*(C10960*VLOOKUP(B10960,'Poids des runes'!A:B,2,FALSE)))+1),(((D10960/100)*(C10960*VLOOKUP(B10960,'Poids des runes'!A:B,2,FALSE)))+1)/VLOOKUP(B10960,'Poids des runes'!A:B,2,FALSE))</f>
        <v>1.625</v>
      </c>
      <c r="F10960">
        <f t="shared" si="171"/>
        <v>1.625</v>
      </c>
    </row>
    <row r="10961" spans="1:6" x14ac:dyDescent="0.3">
      <c r="A10961" t="s">
        <v>1789</v>
      </c>
      <c r="B10961" t="s">
        <v>2134</v>
      </c>
      <c r="C10961">
        <v>3.5</v>
      </c>
      <c r="D10961">
        <v>61</v>
      </c>
      <c r="E10961">
        <f>IF(OR(B10961="vi",B10961="ii",B10961="pod"),(((D10961/100)*(C10961*VLOOKUP(B10961,'Poids des runes'!A:B,2,FALSE)))+1),(((D10961/100)*(C10961*VLOOKUP(B10961,'Poids des runes'!A:B,2,FALSE)))+1)/VLOOKUP(B10961,'Poids des runes'!A:B,2,FALSE))</f>
        <v>2.1849999999999996</v>
      </c>
      <c r="F10961">
        <f t="shared" si="171"/>
        <v>2.1849999999999996</v>
      </c>
    </row>
    <row r="10962" spans="1:6" x14ac:dyDescent="0.3">
      <c r="A10962" t="s">
        <v>1789</v>
      </c>
      <c r="B10962" t="s">
        <v>2158</v>
      </c>
      <c r="C10962">
        <v>6</v>
      </c>
      <c r="D10962">
        <v>61</v>
      </c>
      <c r="E10962">
        <f>IF(OR(B10962="vi",B10962="ii",B10962="pod"),(((D10962/100)*(C10962*VLOOKUP(B10962,'Poids des runes'!A:B,2,FALSE)))+1),(((D10962/100)*(C10962*VLOOKUP(B10962,'Poids des runes'!A:B,2,FALSE)))+1)/VLOOKUP(B10962,'Poids des runes'!A:B,2,FALSE))</f>
        <v>3.8600000000000003</v>
      </c>
      <c r="F10962">
        <f t="shared" si="171"/>
        <v>3.8600000000000003</v>
      </c>
    </row>
    <row r="10963" spans="1:6" x14ac:dyDescent="0.3">
      <c r="A10963" t="s">
        <v>1789</v>
      </c>
      <c r="B10963" t="s">
        <v>2166</v>
      </c>
      <c r="C10963">
        <v>1</v>
      </c>
      <c r="D10963">
        <v>61</v>
      </c>
      <c r="E10963">
        <f>IF(OR(B10963="vi",B10963="ii",B10963="pod"),(((D10963/100)*(C10963*VLOOKUP(B10963,'Poids des runes'!A:B,2,FALSE)))+1),(((D10963/100)*(C10963*VLOOKUP(B10963,'Poids des runes'!A:B,2,FALSE)))+1)/VLOOKUP(B10963,'Poids des runes'!A:B,2,FALSE))</f>
        <v>0.94333333333333336</v>
      </c>
      <c r="F10963">
        <f t="shared" si="171"/>
        <v>0.94333333333333336</v>
      </c>
    </row>
    <row r="10964" spans="1:6" x14ac:dyDescent="0.3">
      <c r="A10964" t="s">
        <v>1790</v>
      </c>
      <c r="B10964" t="s">
        <v>2130</v>
      </c>
      <c r="C10964">
        <v>30.5</v>
      </c>
      <c r="D10964">
        <v>61</v>
      </c>
      <c r="E10964">
        <f>IF(OR(B10964="vi",B10964="ii",B10964="pod"),(((D10964/100)*(C10964*VLOOKUP(B10964,'Poids des runes'!A:B,2,FALSE)))+1),(((D10964/100)*(C10964*VLOOKUP(B10964,'Poids des runes'!A:B,2,FALSE)))+1)/VLOOKUP(B10964,'Poids des runes'!A:B,2,FALSE))</f>
        <v>19.605</v>
      </c>
      <c r="F10964">
        <f t="shared" si="171"/>
        <v>19.605</v>
      </c>
    </row>
    <row r="10965" spans="1:6" x14ac:dyDescent="0.3">
      <c r="A10965" t="s">
        <v>1790</v>
      </c>
      <c r="B10965" t="s">
        <v>2131</v>
      </c>
      <c r="C10965">
        <v>30.5</v>
      </c>
      <c r="D10965">
        <v>61</v>
      </c>
      <c r="E10965">
        <f>IF(OR(B10965="vi",B10965="ii",B10965="pod"),(((D10965/100)*(C10965*VLOOKUP(B10965,'Poids des runes'!A:B,2,FALSE)))+1),(((D10965/100)*(C10965*VLOOKUP(B10965,'Poids des runes'!A:B,2,FALSE)))+1)/VLOOKUP(B10965,'Poids des runes'!A:B,2,FALSE))</f>
        <v>19.605</v>
      </c>
      <c r="F10965">
        <f t="shared" si="171"/>
        <v>19.605</v>
      </c>
    </row>
    <row r="10966" spans="1:6" x14ac:dyDescent="0.3">
      <c r="A10966" t="s">
        <v>1790</v>
      </c>
      <c r="B10966" t="s">
        <v>2143</v>
      </c>
      <c r="C10966">
        <v>2.5</v>
      </c>
      <c r="D10966">
        <v>61</v>
      </c>
      <c r="E10966">
        <f>IF(OR(B10966="vi",B10966="ii",B10966="pod"),(((D10966/100)*(C10966*VLOOKUP(B10966,'Poids des runes'!A:B,2,FALSE)))+1),(((D10966/100)*(C10966*VLOOKUP(B10966,'Poids des runes'!A:B,2,FALSE)))+1)/VLOOKUP(B10966,'Poids des runes'!A:B,2,FALSE))</f>
        <v>1.7250000000000001</v>
      </c>
      <c r="F10966">
        <f t="shared" si="171"/>
        <v>1.7250000000000001</v>
      </c>
    </row>
    <row r="10967" spans="1:6" x14ac:dyDescent="0.3">
      <c r="A10967" t="s">
        <v>1790</v>
      </c>
      <c r="B10967" t="s">
        <v>2133</v>
      </c>
      <c r="C10967">
        <v>2.5</v>
      </c>
      <c r="D10967">
        <v>61</v>
      </c>
      <c r="E10967">
        <f>IF(OR(B10967="vi",B10967="ii",B10967="pod"),(((D10967/100)*(C10967*VLOOKUP(B10967,'Poids des runes'!A:B,2,FALSE)))+1),(((D10967/100)*(C10967*VLOOKUP(B10967,'Poids des runes'!A:B,2,FALSE)))+1)/VLOOKUP(B10967,'Poids des runes'!A:B,2,FALSE))</f>
        <v>1.7250000000000001</v>
      </c>
      <c r="F10967">
        <f t="shared" si="171"/>
        <v>1.7250000000000001</v>
      </c>
    </row>
    <row r="10968" spans="1:6" x14ac:dyDescent="0.3">
      <c r="A10968" t="s">
        <v>1790</v>
      </c>
      <c r="B10968" t="s">
        <v>2161</v>
      </c>
      <c r="C10968">
        <v>6.5</v>
      </c>
      <c r="D10968">
        <v>61</v>
      </c>
      <c r="E10968">
        <f>IF(OR(B10968="vi",B10968="ii",B10968="pod"),(((D10968/100)*(C10968*VLOOKUP(B10968,'Poids des runes'!A:B,2,FALSE)))+1),(((D10968/100)*(C10968*VLOOKUP(B10968,'Poids des runes'!A:B,2,FALSE)))+1)/VLOOKUP(B10968,'Poids des runes'!A:B,2,FALSE))</f>
        <v>4.2983333333333329</v>
      </c>
      <c r="F10968">
        <f t="shared" si="171"/>
        <v>4.2983333333333329</v>
      </c>
    </row>
    <row r="10969" spans="1:6" x14ac:dyDescent="0.3">
      <c r="A10969" t="s">
        <v>1790</v>
      </c>
      <c r="B10969" t="s">
        <v>2162</v>
      </c>
      <c r="C10969">
        <v>4</v>
      </c>
      <c r="D10969">
        <v>61</v>
      </c>
      <c r="E10969">
        <f>IF(OR(B10969="vi",B10969="ii",B10969="pod"),(((D10969/100)*(C10969*VLOOKUP(B10969,'Poids des runes'!A:B,2,FALSE)))+1),(((D10969/100)*(C10969*VLOOKUP(B10969,'Poids des runes'!A:B,2,FALSE)))+1)/VLOOKUP(B10969,'Poids des runes'!A:B,2,FALSE))</f>
        <v>2.5828571428571427</v>
      </c>
      <c r="F10969">
        <f t="shared" si="171"/>
        <v>2.5828571428571427</v>
      </c>
    </row>
    <row r="10970" spans="1:6" x14ac:dyDescent="0.3">
      <c r="A10970" t="s">
        <v>1790</v>
      </c>
      <c r="B10970" t="s">
        <v>2142</v>
      </c>
      <c r="C10970">
        <v>4</v>
      </c>
      <c r="D10970">
        <v>61</v>
      </c>
      <c r="E10970">
        <f>IF(OR(B10970="vi",B10970="ii",B10970="pod"),(((D10970/100)*(C10970*VLOOKUP(B10970,'Poids des runes'!A:B,2,FALSE)))+1),(((D10970/100)*(C10970*VLOOKUP(B10970,'Poids des runes'!A:B,2,FALSE)))+1)/VLOOKUP(B10970,'Poids des runes'!A:B,2,FALSE))</f>
        <v>2.6399999999999997</v>
      </c>
      <c r="F10970">
        <f t="shared" si="171"/>
        <v>2.6399999999999997</v>
      </c>
    </row>
    <row r="10971" spans="1:6" x14ac:dyDescent="0.3">
      <c r="A10971" t="s">
        <v>1791</v>
      </c>
      <c r="B10971" t="s">
        <v>2128</v>
      </c>
      <c r="C10971">
        <v>45.5</v>
      </c>
      <c r="D10971">
        <v>62</v>
      </c>
      <c r="E10971">
        <f>IF(OR(B10971="vi",B10971="ii",B10971="pod"),(((D10971/100)*(C10971*VLOOKUP(B10971,'Poids des runes'!A:B,2,FALSE)))+1),(((D10971/100)*(C10971*VLOOKUP(B10971,'Poids des runes'!A:B,2,FALSE)))+1)/VLOOKUP(B10971,'Poids des runes'!A:B,2,FALSE))</f>
        <v>6.6419999999999995</v>
      </c>
      <c r="F10971">
        <f t="shared" si="171"/>
        <v>6.6419999999999995</v>
      </c>
    </row>
    <row r="10972" spans="1:6" x14ac:dyDescent="0.3">
      <c r="A10972" t="s">
        <v>1791</v>
      </c>
      <c r="B10972" t="s">
        <v>2129</v>
      </c>
      <c r="C10972">
        <v>18</v>
      </c>
      <c r="D10972">
        <v>62</v>
      </c>
      <c r="E10972">
        <f>IF(OR(B10972="vi",B10972="ii",B10972="pod"),(((D10972/100)*(C10972*VLOOKUP(B10972,'Poids des runes'!A:B,2,FALSE)))+1),(((D10972/100)*(C10972*VLOOKUP(B10972,'Poids des runes'!A:B,2,FALSE)))+1)/VLOOKUP(B10972,'Poids des runes'!A:B,2,FALSE))</f>
        <v>12.16</v>
      </c>
      <c r="F10972">
        <f t="shared" si="171"/>
        <v>12.16</v>
      </c>
    </row>
    <row r="10973" spans="1:6" x14ac:dyDescent="0.3">
      <c r="A10973" t="s">
        <v>1791</v>
      </c>
      <c r="B10973" t="s">
        <v>2139</v>
      </c>
      <c r="C10973">
        <v>13</v>
      </c>
      <c r="D10973">
        <v>62</v>
      </c>
      <c r="E10973">
        <f>IF(OR(B10973="vi",B10973="ii",B10973="pod"),(((D10973/100)*(C10973*VLOOKUP(B10973,'Poids des runes'!A:B,2,FALSE)))+1),(((D10973/100)*(C10973*VLOOKUP(B10973,'Poids des runes'!A:B,2,FALSE)))+1)/VLOOKUP(B10973,'Poids des runes'!A:B,2,FALSE))</f>
        <v>8.56</v>
      </c>
      <c r="F10973">
        <f t="shared" si="171"/>
        <v>8.56</v>
      </c>
    </row>
    <row r="10974" spans="1:6" x14ac:dyDescent="0.3">
      <c r="A10974" t="s">
        <v>1791</v>
      </c>
      <c r="B10974" t="s">
        <v>2155</v>
      </c>
      <c r="C10974">
        <v>1</v>
      </c>
      <c r="D10974">
        <v>62</v>
      </c>
      <c r="E10974">
        <f>IF(OR(B10974="vi",B10974="ii",B10974="pod"),(((D10974/100)*(C10974*VLOOKUP(B10974,'Poids des runes'!A:B,2,FALSE)))+1),(((D10974/100)*(C10974*VLOOKUP(B10974,'Poids des runes'!A:B,2,FALSE)))+1)/VLOOKUP(B10974,'Poids des runes'!A:B,2,FALSE))</f>
        <v>0.63960784313725494</v>
      </c>
      <c r="F10974">
        <f t="shared" si="171"/>
        <v>0.63960784313725494</v>
      </c>
    </row>
    <row r="10975" spans="1:6" x14ac:dyDescent="0.3">
      <c r="A10975" t="s">
        <v>1791</v>
      </c>
      <c r="B10975" t="s">
        <v>2148</v>
      </c>
      <c r="C10975">
        <v>4.5</v>
      </c>
      <c r="D10975">
        <v>62</v>
      </c>
      <c r="E10975">
        <f>IF(OR(B10975="vi",B10975="ii",B10975="pod"),(((D10975/100)*(C10975*VLOOKUP(B10975,'Poids des runes'!A:B,2,FALSE)))+1),(((D10975/100)*(C10975*VLOOKUP(B10975,'Poids des runes'!A:B,2,FALSE)))+1)/VLOOKUP(B10975,'Poids des runes'!A:B,2,FALSE))</f>
        <v>2.9566666666666666</v>
      </c>
      <c r="F10975">
        <f t="shared" si="171"/>
        <v>2.9566666666666666</v>
      </c>
    </row>
    <row r="10976" spans="1:6" x14ac:dyDescent="0.3">
      <c r="A10976" t="s">
        <v>1792</v>
      </c>
      <c r="B10976" t="s">
        <v>2128</v>
      </c>
      <c r="C10976">
        <v>40.5</v>
      </c>
      <c r="D10976">
        <v>62</v>
      </c>
      <c r="E10976">
        <f>IF(OR(B10976="vi",B10976="ii",B10976="pod"),(((D10976/100)*(C10976*VLOOKUP(B10976,'Poids des runes'!A:B,2,FALSE)))+1),(((D10976/100)*(C10976*VLOOKUP(B10976,'Poids des runes'!A:B,2,FALSE)))+1)/VLOOKUP(B10976,'Poids des runes'!A:B,2,FALSE))</f>
        <v>6.0219999999999994</v>
      </c>
      <c r="F10976">
        <f t="shared" si="171"/>
        <v>6.0219999999999994</v>
      </c>
    </row>
    <row r="10977" spans="1:6" x14ac:dyDescent="0.3">
      <c r="A10977" t="s">
        <v>1792</v>
      </c>
      <c r="B10977" t="s">
        <v>2130</v>
      </c>
      <c r="C10977">
        <v>40.5</v>
      </c>
      <c r="D10977">
        <v>62</v>
      </c>
      <c r="E10977">
        <f>IF(OR(B10977="vi",B10977="ii",B10977="pod"),(((D10977/100)*(C10977*VLOOKUP(B10977,'Poids des runes'!A:B,2,FALSE)))+1),(((D10977/100)*(C10977*VLOOKUP(B10977,'Poids des runes'!A:B,2,FALSE)))+1)/VLOOKUP(B10977,'Poids des runes'!A:B,2,FALSE))</f>
        <v>26.11</v>
      </c>
      <c r="F10977">
        <f t="shared" si="171"/>
        <v>26.11</v>
      </c>
    </row>
    <row r="10978" spans="1:6" x14ac:dyDescent="0.3">
      <c r="A10978" t="s">
        <v>1792</v>
      </c>
      <c r="B10978" t="s">
        <v>2155</v>
      </c>
      <c r="C10978">
        <v>1</v>
      </c>
      <c r="D10978">
        <v>62</v>
      </c>
      <c r="E10978">
        <f>IF(OR(B10978="vi",B10978="ii",B10978="pod"),(((D10978/100)*(C10978*VLOOKUP(B10978,'Poids des runes'!A:B,2,FALSE)))+1),(((D10978/100)*(C10978*VLOOKUP(B10978,'Poids des runes'!A:B,2,FALSE)))+1)/VLOOKUP(B10978,'Poids des runes'!A:B,2,FALSE))</f>
        <v>0.63960784313725494</v>
      </c>
      <c r="F10978">
        <f t="shared" si="171"/>
        <v>0.63960784313725494</v>
      </c>
    </row>
    <row r="10979" spans="1:6" x14ac:dyDescent="0.3">
      <c r="A10979" t="s">
        <v>1792</v>
      </c>
      <c r="B10979" t="s">
        <v>2134</v>
      </c>
      <c r="C10979">
        <v>3.5</v>
      </c>
      <c r="D10979">
        <v>62</v>
      </c>
      <c r="E10979">
        <f>IF(OR(B10979="vi",B10979="ii",B10979="pod"),(((D10979/100)*(C10979*VLOOKUP(B10979,'Poids des runes'!A:B,2,FALSE)))+1),(((D10979/100)*(C10979*VLOOKUP(B10979,'Poids des runes'!A:B,2,FALSE)))+1)/VLOOKUP(B10979,'Poids des runes'!A:B,2,FALSE))</f>
        <v>2.2199999999999998</v>
      </c>
      <c r="F10979">
        <f t="shared" si="171"/>
        <v>2.2199999999999998</v>
      </c>
    </row>
    <row r="10980" spans="1:6" x14ac:dyDescent="0.3">
      <c r="A10980" t="s">
        <v>1793</v>
      </c>
      <c r="B10980" t="s">
        <v>2128</v>
      </c>
      <c r="C10980">
        <v>100.5</v>
      </c>
      <c r="D10980">
        <v>62</v>
      </c>
      <c r="E10980">
        <f>IF(OR(B10980="vi",B10980="ii",B10980="pod"),(((D10980/100)*(C10980*VLOOKUP(B10980,'Poids des runes'!A:B,2,FALSE)))+1),(((D10980/100)*(C10980*VLOOKUP(B10980,'Poids des runes'!A:B,2,FALSE)))+1)/VLOOKUP(B10980,'Poids des runes'!A:B,2,FALSE))</f>
        <v>13.462000000000002</v>
      </c>
      <c r="F10980">
        <f t="shared" si="171"/>
        <v>13.462000000000002</v>
      </c>
    </row>
    <row r="10981" spans="1:6" x14ac:dyDescent="0.3">
      <c r="A10981" t="s">
        <v>1793</v>
      </c>
      <c r="B10981" t="s">
        <v>2130</v>
      </c>
      <c r="C10981">
        <v>25.5</v>
      </c>
      <c r="D10981">
        <v>62</v>
      </c>
      <c r="E10981">
        <f>IF(OR(B10981="vi",B10981="ii",B10981="pod"),(((D10981/100)*(C10981*VLOOKUP(B10981,'Poids des runes'!A:B,2,FALSE)))+1),(((D10981/100)*(C10981*VLOOKUP(B10981,'Poids des runes'!A:B,2,FALSE)))+1)/VLOOKUP(B10981,'Poids des runes'!A:B,2,FALSE))</f>
        <v>16.810000000000002</v>
      </c>
      <c r="F10981">
        <f t="shared" si="171"/>
        <v>16.810000000000002</v>
      </c>
    </row>
    <row r="10982" spans="1:6" x14ac:dyDescent="0.3">
      <c r="A10982" t="s">
        <v>1793</v>
      </c>
      <c r="B10982" t="s">
        <v>2129</v>
      </c>
      <c r="C10982">
        <v>8</v>
      </c>
      <c r="D10982">
        <v>62</v>
      </c>
      <c r="E10982">
        <f>IF(OR(B10982="vi",B10982="ii",B10982="pod"),(((D10982/100)*(C10982*VLOOKUP(B10982,'Poids des runes'!A:B,2,FALSE)))+1),(((D10982/100)*(C10982*VLOOKUP(B10982,'Poids des runes'!A:B,2,FALSE)))+1)/VLOOKUP(B10982,'Poids des runes'!A:B,2,FALSE))</f>
        <v>5.96</v>
      </c>
      <c r="F10982">
        <f t="shared" si="171"/>
        <v>5.96</v>
      </c>
    </row>
    <row r="10983" spans="1:6" x14ac:dyDescent="0.3">
      <c r="A10983" t="s">
        <v>1794</v>
      </c>
      <c r="B10983" t="s">
        <v>2128</v>
      </c>
      <c r="C10983">
        <v>60.5</v>
      </c>
      <c r="D10983">
        <v>62</v>
      </c>
      <c r="E10983">
        <f>IF(OR(B10983="vi",B10983="ii",B10983="pod"),(((D10983/100)*(C10983*VLOOKUP(B10983,'Poids des runes'!A:B,2,FALSE)))+1),(((D10983/100)*(C10983*VLOOKUP(B10983,'Poids des runes'!A:B,2,FALSE)))+1)/VLOOKUP(B10983,'Poids des runes'!A:B,2,FALSE))</f>
        <v>8.5020000000000007</v>
      </c>
      <c r="F10983">
        <f t="shared" si="171"/>
        <v>8.5020000000000007</v>
      </c>
    </row>
    <row r="10984" spans="1:6" x14ac:dyDescent="0.3">
      <c r="A10984" t="s">
        <v>1794</v>
      </c>
      <c r="B10984" t="s">
        <v>2127</v>
      </c>
      <c r="C10984">
        <v>25.5</v>
      </c>
      <c r="D10984">
        <v>62</v>
      </c>
      <c r="E10984">
        <f>IF(OR(B10984="vi",B10984="ii",B10984="pod"),(((D10984/100)*(C10984*VLOOKUP(B10984,'Poids des runes'!A:B,2,FALSE)))+1),(((D10984/100)*(C10984*VLOOKUP(B10984,'Poids des runes'!A:B,2,FALSE)))+1)/VLOOKUP(B10984,'Poids des runes'!A:B,2,FALSE))</f>
        <v>16.810000000000002</v>
      </c>
      <c r="F10984">
        <f t="shared" si="171"/>
        <v>16.810000000000002</v>
      </c>
    </row>
    <row r="10985" spans="1:6" x14ac:dyDescent="0.3">
      <c r="A10985" t="s">
        <v>1794</v>
      </c>
      <c r="B10985" t="s">
        <v>2151</v>
      </c>
      <c r="C10985">
        <v>2.5</v>
      </c>
      <c r="D10985">
        <v>62</v>
      </c>
      <c r="E10985">
        <f>IF(OR(B10985="vi",B10985="ii",B10985="pod"),(((D10985/100)*(C10985*VLOOKUP(B10985,'Poids des runes'!A:B,2,FALSE)))+1),(((D10985/100)*(C10985*VLOOKUP(B10985,'Poids des runes'!A:B,2,FALSE)))+1)/VLOOKUP(B10985,'Poids des runes'!A:B,2,FALSE))</f>
        <v>1.65</v>
      </c>
      <c r="F10985">
        <f t="shared" si="171"/>
        <v>1.65</v>
      </c>
    </row>
    <row r="10986" spans="1:6" x14ac:dyDescent="0.3">
      <c r="A10986" t="s">
        <v>1794</v>
      </c>
      <c r="B10986" t="s">
        <v>2132</v>
      </c>
      <c r="C10986">
        <v>175.5</v>
      </c>
      <c r="D10986">
        <v>62</v>
      </c>
      <c r="E10986">
        <f>IF(OR(B10986="vi",B10986="ii",B10986="pod"),(((D10986/100)*(C10986*VLOOKUP(B10986,'Poids des runes'!A:B,2,FALSE)))+1),(((D10986/100)*(C10986*VLOOKUP(B10986,'Poids des runes'!A:B,2,FALSE)))+1)/VLOOKUP(B10986,'Poids des runes'!A:B,2,FALSE))</f>
        <v>11.881</v>
      </c>
      <c r="F10986">
        <f t="shared" si="171"/>
        <v>11.881</v>
      </c>
    </row>
    <row r="10987" spans="1:6" x14ac:dyDescent="0.3">
      <c r="A10987" t="s">
        <v>1794</v>
      </c>
      <c r="B10987" t="s">
        <v>2147</v>
      </c>
      <c r="C10987">
        <v>2.5</v>
      </c>
      <c r="D10987">
        <v>62</v>
      </c>
      <c r="E10987">
        <f>IF(OR(B10987="vi",B10987="ii",B10987="pod"),(((D10987/100)*(C10987*VLOOKUP(B10987,'Poids des runes'!A:B,2,FALSE)))+1),(((D10987/100)*(C10987*VLOOKUP(B10987,'Poids des runes'!A:B,2,FALSE)))+1)/VLOOKUP(B10987,'Poids des runes'!A:B,2,FALSE))</f>
        <v>1.7166666666666668</v>
      </c>
      <c r="F10987">
        <f t="shared" si="171"/>
        <v>1.7166666666666668</v>
      </c>
    </row>
    <row r="10988" spans="1:6" x14ac:dyDescent="0.3">
      <c r="A10988" t="s">
        <v>1794</v>
      </c>
      <c r="B10988" t="s">
        <v>2157</v>
      </c>
      <c r="C10988">
        <v>2.5</v>
      </c>
      <c r="D10988">
        <v>62</v>
      </c>
      <c r="E10988">
        <f>IF(OR(B10988="vi",B10988="ii",B10988="pod"),(((D10988/100)*(C10988*VLOOKUP(B10988,'Poids des runes'!A:B,2,FALSE)))+1),(((D10988/100)*(C10988*VLOOKUP(B10988,'Poids des runes'!A:B,2,FALSE)))+1)/VLOOKUP(B10988,'Poids des runes'!A:B,2,FALSE))</f>
        <v>1.7166666666666668</v>
      </c>
      <c r="F10988">
        <f t="shared" si="171"/>
        <v>1.7166666666666668</v>
      </c>
    </row>
    <row r="10989" spans="1:6" x14ac:dyDescent="0.3">
      <c r="A10989" t="s">
        <v>1795</v>
      </c>
      <c r="B10989" t="s">
        <v>2126</v>
      </c>
      <c r="C10989">
        <v>45.5</v>
      </c>
      <c r="D10989">
        <v>63</v>
      </c>
      <c r="E10989">
        <f>IF(OR(B10989="vi",B10989="ii",B10989="pod"),(((D10989/100)*(C10989*VLOOKUP(B10989,'Poids des runes'!A:B,2,FALSE)))+1),(((D10989/100)*(C10989*VLOOKUP(B10989,'Poids des runes'!A:B,2,FALSE)))+1)/VLOOKUP(B10989,'Poids des runes'!A:B,2,FALSE))</f>
        <v>29.664999999999999</v>
      </c>
      <c r="F10989">
        <f t="shared" si="171"/>
        <v>29.664999999999999</v>
      </c>
    </row>
    <row r="10990" spans="1:6" x14ac:dyDescent="0.3">
      <c r="A10990" t="s">
        <v>1795</v>
      </c>
      <c r="B10990" t="s">
        <v>2139</v>
      </c>
      <c r="C10990">
        <v>13</v>
      </c>
      <c r="D10990">
        <v>63</v>
      </c>
      <c r="E10990">
        <f>IF(OR(B10990="vi",B10990="ii",B10990="pod"),(((D10990/100)*(C10990*VLOOKUP(B10990,'Poids des runes'!A:B,2,FALSE)))+1),(((D10990/100)*(C10990*VLOOKUP(B10990,'Poids des runes'!A:B,2,FALSE)))+1)/VLOOKUP(B10990,'Poids des runes'!A:B,2,FALSE))</f>
        <v>8.69</v>
      </c>
      <c r="F10990">
        <f t="shared" si="171"/>
        <v>8.69</v>
      </c>
    </row>
    <row r="10991" spans="1:6" x14ac:dyDescent="0.3">
      <c r="A10991" t="s">
        <v>1795</v>
      </c>
      <c r="B10991" t="s">
        <v>2155</v>
      </c>
      <c r="C10991">
        <v>1</v>
      </c>
      <c r="D10991">
        <v>63</v>
      </c>
      <c r="E10991">
        <f>IF(OR(B10991="vi",B10991="ii",B10991="pod"),(((D10991/100)*(C10991*VLOOKUP(B10991,'Poids des runes'!A:B,2,FALSE)))+1),(((D10991/100)*(C10991*VLOOKUP(B10991,'Poids des runes'!A:B,2,FALSE)))+1)/VLOOKUP(B10991,'Poids des runes'!A:B,2,FALSE))</f>
        <v>0.64960784313725495</v>
      </c>
      <c r="F10991">
        <f t="shared" si="171"/>
        <v>0.64960784313725495</v>
      </c>
    </row>
    <row r="10992" spans="1:6" x14ac:dyDescent="0.3">
      <c r="A10992" t="s">
        <v>1795</v>
      </c>
      <c r="B10992" t="s">
        <v>2141</v>
      </c>
      <c r="C10992">
        <v>5</v>
      </c>
      <c r="D10992">
        <v>63</v>
      </c>
      <c r="E10992">
        <f>IF(OR(B10992="vi",B10992="ii",B10992="pod"),(((D10992/100)*(C10992*VLOOKUP(B10992,'Poids des runes'!A:B,2,FALSE)))+1),(((D10992/100)*(C10992*VLOOKUP(B10992,'Poids des runes'!A:B,2,FALSE)))+1)/VLOOKUP(B10992,'Poids des runes'!A:B,2,FALSE))</f>
        <v>3.4</v>
      </c>
      <c r="F10992">
        <f t="shared" si="171"/>
        <v>3.4</v>
      </c>
    </row>
    <row r="10993" spans="1:6" x14ac:dyDescent="0.3">
      <c r="A10993" t="s">
        <v>1795</v>
      </c>
      <c r="B10993" t="s">
        <v>2165</v>
      </c>
      <c r="C10993">
        <v>6.5</v>
      </c>
      <c r="D10993">
        <v>63</v>
      </c>
      <c r="E10993">
        <f>IF(OR(B10993="vi",B10993="ii",B10993="pod"),(((D10993/100)*(C10993*VLOOKUP(B10993,'Poids des runes'!A:B,2,FALSE)))+1),(((D10993/100)*(C10993*VLOOKUP(B10993,'Poids des runes'!A:B,2,FALSE)))+1)/VLOOKUP(B10993,'Poids des runes'!A:B,2,FALSE))</f>
        <v>4.237857142857143</v>
      </c>
      <c r="F10993">
        <f t="shared" si="171"/>
        <v>4.237857142857143</v>
      </c>
    </row>
    <row r="10994" spans="1:6" x14ac:dyDescent="0.3">
      <c r="A10994" t="s">
        <v>1796</v>
      </c>
      <c r="B10994" t="s">
        <v>2126</v>
      </c>
      <c r="C10994">
        <v>45.5</v>
      </c>
      <c r="D10994">
        <v>63</v>
      </c>
      <c r="E10994">
        <f>IF(OR(B10994="vi",B10994="ii",B10994="pod"),(((D10994/100)*(C10994*VLOOKUP(B10994,'Poids des runes'!A:B,2,FALSE)))+1),(((D10994/100)*(C10994*VLOOKUP(B10994,'Poids des runes'!A:B,2,FALSE)))+1)/VLOOKUP(B10994,'Poids des runes'!A:B,2,FALSE))</f>
        <v>29.664999999999999</v>
      </c>
      <c r="F10994">
        <f t="shared" si="171"/>
        <v>29.664999999999999</v>
      </c>
    </row>
    <row r="10995" spans="1:6" x14ac:dyDescent="0.3">
      <c r="A10995" t="s">
        <v>1796</v>
      </c>
      <c r="B10995" t="s">
        <v>2139</v>
      </c>
      <c r="C10995">
        <v>13</v>
      </c>
      <c r="D10995">
        <v>63</v>
      </c>
      <c r="E10995">
        <f>IF(OR(B10995="vi",B10995="ii",B10995="pod"),(((D10995/100)*(C10995*VLOOKUP(B10995,'Poids des runes'!A:B,2,FALSE)))+1),(((D10995/100)*(C10995*VLOOKUP(B10995,'Poids des runes'!A:B,2,FALSE)))+1)/VLOOKUP(B10995,'Poids des runes'!A:B,2,FALSE))</f>
        <v>8.69</v>
      </c>
      <c r="F10995">
        <f t="shared" si="171"/>
        <v>8.69</v>
      </c>
    </row>
    <row r="10996" spans="1:6" x14ac:dyDescent="0.3">
      <c r="A10996" t="s">
        <v>1796</v>
      </c>
      <c r="B10996" t="s">
        <v>2140</v>
      </c>
      <c r="C10996">
        <v>4.5</v>
      </c>
      <c r="D10996">
        <v>63</v>
      </c>
      <c r="E10996">
        <f>IF(OR(B10996="vi",B10996="ii",B10996="pod"),(((D10996/100)*(C10996*VLOOKUP(B10996,'Poids des runes'!A:B,2,FALSE)))+1),(((D10996/100)*(C10996*VLOOKUP(B10996,'Poids des runes'!A:B,2,FALSE)))+1)/VLOOKUP(B10996,'Poids des runes'!A:B,2,FALSE))</f>
        <v>3.0350000000000001</v>
      </c>
      <c r="F10996">
        <f t="shared" si="171"/>
        <v>3.0350000000000001</v>
      </c>
    </row>
    <row r="10997" spans="1:6" x14ac:dyDescent="0.3">
      <c r="A10997" t="s">
        <v>1796</v>
      </c>
      <c r="B10997" t="s">
        <v>2149</v>
      </c>
      <c r="C10997">
        <v>8.5</v>
      </c>
      <c r="D10997">
        <v>63</v>
      </c>
      <c r="E10997">
        <f>IF(OR(B10997="vi",B10997="ii",B10997="pod"),(((D10997/100)*(C10997*VLOOKUP(B10997,'Poids des runes'!A:B,2,FALSE)))+1),(((D10997/100)*(C10997*VLOOKUP(B10997,'Poids des runes'!A:B,2,FALSE)))+1)/VLOOKUP(B10997,'Poids des runes'!A:B,2,FALSE))</f>
        <v>5.4550000000000001</v>
      </c>
      <c r="F10997">
        <f t="shared" si="171"/>
        <v>5.4550000000000001</v>
      </c>
    </row>
    <row r="10998" spans="1:6" x14ac:dyDescent="0.3">
      <c r="A10998" t="s">
        <v>1796</v>
      </c>
      <c r="B10998" t="s">
        <v>2160</v>
      </c>
      <c r="C10998">
        <v>4.5</v>
      </c>
      <c r="D10998">
        <v>63</v>
      </c>
      <c r="E10998">
        <f>IF(OR(B10998="vi",B10998="ii",B10998="pod"),(((D10998/100)*(C10998*VLOOKUP(B10998,'Poids des runes'!A:B,2,FALSE)))+1),(((D10998/100)*(C10998*VLOOKUP(B10998,'Poids des runes'!A:B,2,FALSE)))+1)/VLOOKUP(B10998,'Poids des runes'!A:B,2,FALSE))</f>
        <v>2.9778571428571428</v>
      </c>
      <c r="F10998">
        <f t="shared" si="171"/>
        <v>2.9778571428571428</v>
      </c>
    </row>
    <row r="10999" spans="1:6" x14ac:dyDescent="0.3">
      <c r="A10999" t="s">
        <v>1797</v>
      </c>
      <c r="B10999" t="s">
        <v>2128</v>
      </c>
      <c r="C10999">
        <v>35.5</v>
      </c>
      <c r="D10999">
        <v>64</v>
      </c>
      <c r="E10999">
        <f>IF(OR(B10999="vi",B10999="ii",B10999="pod"),(((D10999/100)*(C10999*VLOOKUP(B10999,'Poids des runes'!A:B,2,FALSE)))+1),(((D10999/100)*(C10999*VLOOKUP(B10999,'Poids des runes'!A:B,2,FALSE)))+1)/VLOOKUP(B10999,'Poids des runes'!A:B,2,FALSE))</f>
        <v>5.5440000000000005</v>
      </c>
      <c r="F10999">
        <f t="shared" si="171"/>
        <v>5.5440000000000005</v>
      </c>
    </row>
    <row r="11000" spans="1:6" x14ac:dyDescent="0.3">
      <c r="A11000" t="s">
        <v>1797</v>
      </c>
      <c r="B11000" t="s">
        <v>2131</v>
      </c>
      <c r="C11000">
        <v>35.5</v>
      </c>
      <c r="D11000">
        <v>64</v>
      </c>
      <c r="E11000">
        <f>IF(OR(B11000="vi",B11000="ii",B11000="pod"),(((D11000/100)*(C11000*VLOOKUP(B11000,'Poids des runes'!A:B,2,FALSE)))+1),(((D11000/100)*(C11000*VLOOKUP(B11000,'Poids des runes'!A:B,2,FALSE)))+1)/VLOOKUP(B11000,'Poids des runes'!A:B,2,FALSE))</f>
        <v>23.72</v>
      </c>
      <c r="F11000">
        <f t="shared" si="171"/>
        <v>23.72</v>
      </c>
    </row>
    <row r="11001" spans="1:6" x14ac:dyDescent="0.3">
      <c r="A11001" t="s">
        <v>1797</v>
      </c>
      <c r="B11001" t="s">
        <v>2127</v>
      </c>
      <c r="C11001">
        <v>35.5</v>
      </c>
      <c r="D11001">
        <v>64</v>
      </c>
      <c r="E11001">
        <f>IF(OR(B11001="vi",B11001="ii",B11001="pod"),(((D11001/100)*(C11001*VLOOKUP(B11001,'Poids des runes'!A:B,2,FALSE)))+1),(((D11001/100)*(C11001*VLOOKUP(B11001,'Poids des runes'!A:B,2,FALSE)))+1)/VLOOKUP(B11001,'Poids des runes'!A:B,2,FALSE))</f>
        <v>23.72</v>
      </c>
      <c r="F11001">
        <f t="shared" si="171"/>
        <v>23.72</v>
      </c>
    </row>
    <row r="11002" spans="1:6" x14ac:dyDescent="0.3">
      <c r="A11002" t="s">
        <v>1797</v>
      </c>
      <c r="B11002" t="s">
        <v>2151</v>
      </c>
      <c r="C11002">
        <v>4</v>
      </c>
      <c r="D11002">
        <v>64</v>
      </c>
      <c r="E11002">
        <f>IF(OR(B11002="vi",B11002="ii",B11002="pod"),(((D11002/100)*(C11002*VLOOKUP(B11002,'Poids des runes'!A:B,2,FALSE)))+1),(((D11002/100)*(C11002*VLOOKUP(B11002,'Poids des runes'!A:B,2,FALSE)))+1)/VLOOKUP(B11002,'Poids des runes'!A:B,2,FALSE))</f>
        <v>2.66</v>
      </c>
      <c r="F11002">
        <f t="shared" si="171"/>
        <v>2.66</v>
      </c>
    </row>
    <row r="11003" spans="1:6" x14ac:dyDescent="0.3">
      <c r="A11003" t="s">
        <v>1798</v>
      </c>
      <c r="B11003" t="s">
        <v>2130</v>
      </c>
      <c r="C11003">
        <v>45.5</v>
      </c>
      <c r="D11003">
        <v>64</v>
      </c>
      <c r="E11003">
        <f>IF(OR(B11003="vi",B11003="ii",B11003="pod"),(((D11003/100)*(C11003*VLOOKUP(B11003,'Poids des runes'!A:B,2,FALSE)))+1),(((D11003/100)*(C11003*VLOOKUP(B11003,'Poids des runes'!A:B,2,FALSE)))+1)/VLOOKUP(B11003,'Poids des runes'!A:B,2,FALSE))</f>
        <v>30.12</v>
      </c>
      <c r="F11003">
        <f t="shared" si="171"/>
        <v>30.12</v>
      </c>
    </row>
    <row r="11004" spans="1:6" x14ac:dyDescent="0.3">
      <c r="A11004" t="s">
        <v>1798</v>
      </c>
      <c r="B11004" t="s">
        <v>2126</v>
      </c>
      <c r="C11004">
        <v>45.5</v>
      </c>
      <c r="D11004">
        <v>64</v>
      </c>
      <c r="E11004">
        <f>IF(OR(B11004="vi",B11004="ii",B11004="pod"),(((D11004/100)*(C11004*VLOOKUP(B11004,'Poids des runes'!A:B,2,FALSE)))+1),(((D11004/100)*(C11004*VLOOKUP(B11004,'Poids des runes'!A:B,2,FALSE)))+1)/VLOOKUP(B11004,'Poids des runes'!A:B,2,FALSE))</f>
        <v>30.12</v>
      </c>
      <c r="F11004">
        <f t="shared" si="171"/>
        <v>30.12</v>
      </c>
    </row>
    <row r="11005" spans="1:6" x14ac:dyDescent="0.3">
      <c r="A11005" t="s">
        <v>1798</v>
      </c>
      <c r="B11005" t="s">
        <v>2151</v>
      </c>
      <c r="C11005">
        <v>3.5</v>
      </c>
      <c r="D11005">
        <v>64</v>
      </c>
      <c r="E11005">
        <f>IF(OR(B11005="vi",B11005="ii",B11005="pod"),(((D11005/100)*(C11005*VLOOKUP(B11005,'Poids des runes'!A:B,2,FALSE)))+1),(((D11005/100)*(C11005*VLOOKUP(B11005,'Poids des runes'!A:B,2,FALSE)))+1)/VLOOKUP(B11005,'Poids des runes'!A:B,2,FALSE))</f>
        <v>2.3400000000000003</v>
      </c>
      <c r="F11005">
        <f t="shared" si="171"/>
        <v>2.3400000000000003</v>
      </c>
    </row>
    <row r="11006" spans="1:6" x14ac:dyDescent="0.3">
      <c r="A11006" t="s">
        <v>1798</v>
      </c>
      <c r="B11006" t="s">
        <v>2143</v>
      </c>
      <c r="C11006">
        <v>2.5</v>
      </c>
      <c r="D11006">
        <v>64</v>
      </c>
      <c r="E11006">
        <f>IF(OR(B11006="vi",B11006="ii",B11006="pod"),(((D11006/100)*(C11006*VLOOKUP(B11006,'Poids des runes'!A:B,2,FALSE)))+1),(((D11006/100)*(C11006*VLOOKUP(B11006,'Poids des runes'!A:B,2,FALSE)))+1)/VLOOKUP(B11006,'Poids des runes'!A:B,2,FALSE))</f>
        <v>1.8</v>
      </c>
      <c r="F11006">
        <f t="shared" si="171"/>
        <v>1.8</v>
      </c>
    </row>
    <row r="11007" spans="1:6" x14ac:dyDescent="0.3">
      <c r="A11007" t="s">
        <v>1798</v>
      </c>
      <c r="B11007" t="s">
        <v>2140</v>
      </c>
      <c r="C11007">
        <v>2.5</v>
      </c>
      <c r="D11007">
        <v>64</v>
      </c>
      <c r="E11007">
        <f>IF(OR(B11007="vi",B11007="ii",B11007="pod"),(((D11007/100)*(C11007*VLOOKUP(B11007,'Poids des runes'!A:B,2,FALSE)))+1),(((D11007/100)*(C11007*VLOOKUP(B11007,'Poids des runes'!A:B,2,FALSE)))+1)/VLOOKUP(B11007,'Poids des runes'!A:B,2,FALSE))</f>
        <v>1.8</v>
      </c>
      <c r="F11007">
        <f t="shared" si="171"/>
        <v>1.8</v>
      </c>
    </row>
    <row r="11008" spans="1:6" x14ac:dyDescent="0.3">
      <c r="A11008" t="s">
        <v>1799</v>
      </c>
      <c r="B11008" t="s">
        <v>2130</v>
      </c>
      <c r="C11008">
        <v>55.5</v>
      </c>
      <c r="D11008">
        <v>64</v>
      </c>
      <c r="E11008">
        <f>IF(OR(B11008="vi",B11008="ii",B11008="pod"),(((D11008/100)*(C11008*VLOOKUP(B11008,'Poids des runes'!A:B,2,FALSE)))+1),(((D11008/100)*(C11008*VLOOKUP(B11008,'Poids des runes'!A:B,2,FALSE)))+1)/VLOOKUP(B11008,'Poids des runes'!A:B,2,FALSE))</f>
        <v>36.520000000000003</v>
      </c>
      <c r="F11008">
        <f t="shared" si="171"/>
        <v>36.520000000000003</v>
      </c>
    </row>
    <row r="11009" spans="1:6" x14ac:dyDescent="0.3">
      <c r="A11009" t="s">
        <v>1799</v>
      </c>
      <c r="B11009" t="s">
        <v>2131</v>
      </c>
      <c r="C11009">
        <v>18</v>
      </c>
      <c r="D11009">
        <v>64</v>
      </c>
      <c r="E11009">
        <f>IF(OR(B11009="vi",B11009="ii",B11009="pod"),(((D11009/100)*(C11009*VLOOKUP(B11009,'Poids des runes'!A:B,2,FALSE)))+1),(((D11009/100)*(C11009*VLOOKUP(B11009,'Poids des runes'!A:B,2,FALSE)))+1)/VLOOKUP(B11009,'Poids des runes'!A:B,2,FALSE))</f>
        <v>12.52</v>
      </c>
      <c r="F11009">
        <f t="shared" si="171"/>
        <v>12.52</v>
      </c>
    </row>
    <row r="11010" spans="1:6" x14ac:dyDescent="0.3">
      <c r="A11010" t="s">
        <v>1799</v>
      </c>
      <c r="B11010" t="s">
        <v>2127</v>
      </c>
      <c r="C11010">
        <v>30.5</v>
      </c>
      <c r="D11010">
        <v>64</v>
      </c>
      <c r="E11010">
        <f>IF(OR(B11010="vi",B11010="ii",B11010="pod"),(((D11010/100)*(C11010*VLOOKUP(B11010,'Poids des runes'!A:B,2,FALSE)))+1),(((D11010/100)*(C11010*VLOOKUP(B11010,'Poids des runes'!A:B,2,FALSE)))+1)/VLOOKUP(B11010,'Poids des runes'!A:B,2,FALSE))</f>
        <v>20.52</v>
      </c>
      <c r="F11010">
        <f t="shared" si="171"/>
        <v>20.52</v>
      </c>
    </row>
    <row r="11011" spans="1:6" x14ac:dyDescent="0.3">
      <c r="A11011" t="s">
        <v>1799</v>
      </c>
      <c r="B11011" t="s">
        <v>2134</v>
      </c>
      <c r="C11011">
        <v>4.5</v>
      </c>
      <c r="D11011">
        <v>64</v>
      </c>
      <c r="E11011">
        <f>IF(OR(B11011="vi",B11011="ii",B11011="pod"),(((D11011/100)*(C11011*VLOOKUP(B11011,'Poids des runes'!A:B,2,FALSE)))+1),(((D11011/100)*(C11011*VLOOKUP(B11011,'Poids des runes'!A:B,2,FALSE)))+1)/VLOOKUP(B11011,'Poids des runes'!A:B,2,FALSE))</f>
        <v>2.93</v>
      </c>
      <c r="F11011">
        <f t="shared" ref="F11011:F11074" si="172">E11011</f>
        <v>2.93</v>
      </c>
    </row>
    <row r="11012" spans="1:6" x14ac:dyDescent="0.3">
      <c r="A11012" t="s">
        <v>1799</v>
      </c>
      <c r="B11012" t="s">
        <v>2132</v>
      </c>
      <c r="C11012">
        <v>275.5</v>
      </c>
      <c r="D11012">
        <v>64</v>
      </c>
      <c r="E11012">
        <f>IF(OR(B11012="vi",B11012="ii",B11012="pod"),(((D11012/100)*(C11012*VLOOKUP(B11012,'Poids des runes'!A:B,2,FALSE)))+1),(((D11012/100)*(C11012*VLOOKUP(B11012,'Poids des runes'!A:B,2,FALSE)))+1)/VLOOKUP(B11012,'Poids des runes'!A:B,2,FALSE))</f>
        <v>18.632000000000001</v>
      </c>
      <c r="F11012">
        <f t="shared" si="172"/>
        <v>18.632000000000001</v>
      </c>
    </row>
    <row r="11013" spans="1:6" x14ac:dyDescent="0.3">
      <c r="A11013" t="s">
        <v>1800</v>
      </c>
      <c r="B11013" t="s">
        <v>2128</v>
      </c>
      <c r="C11013">
        <v>50.5</v>
      </c>
      <c r="D11013">
        <v>65</v>
      </c>
      <c r="E11013">
        <f>IF(OR(B11013="vi",B11013="ii",B11013="pod"),(((D11013/100)*(C11013*VLOOKUP(B11013,'Poids des runes'!A:B,2,FALSE)))+1),(((D11013/100)*(C11013*VLOOKUP(B11013,'Poids des runes'!A:B,2,FALSE)))+1)/VLOOKUP(B11013,'Poids des runes'!A:B,2,FALSE))</f>
        <v>7.5650000000000013</v>
      </c>
      <c r="F11013">
        <f t="shared" si="172"/>
        <v>7.5650000000000013</v>
      </c>
    </row>
    <row r="11014" spans="1:6" x14ac:dyDescent="0.3">
      <c r="A11014" t="s">
        <v>1800</v>
      </c>
      <c r="B11014" t="s">
        <v>2126</v>
      </c>
      <c r="C11014">
        <v>35.5</v>
      </c>
      <c r="D11014">
        <v>65</v>
      </c>
      <c r="E11014">
        <f>IF(OR(B11014="vi",B11014="ii",B11014="pod"),(((D11014/100)*(C11014*VLOOKUP(B11014,'Poids des runes'!A:B,2,FALSE)))+1),(((D11014/100)*(C11014*VLOOKUP(B11014,'Poids des runes'!A:B,2,FALSE)))+1)/VLOOKUP(B11014,'Poids des runes'!A:B,2,FALSE))</f>
        <v>24.074999999999999</v>
      </c>
      <c r="F11014">
        <f t="shared" si="172"/>
        <v>24.074999999999999</v>
      </c>
    </row>
    <row r="11015" spans="1:6" x14ac:dyDescent="0.3">
      <c r="A11015" t="s">
        <v>1800</v>
      </c>
      <c r="B11015" t="s">
        <v>2151</v>
      </c>
      <c r="C11015">
        <v>3.5</v>
      </c>
      <c r="D11015">
        <v>65</v>
      </c>
      <c r="E11015">
        <f>IF(OR(B11015="vi",B11015="ii",B11015="pod"),(((D11015/100)*(C11015*VLOOKUP(B11015,'Poids des runes'!A:B,2,FALSE)))+1),(((D11015/100)*(C11015*VLOOKUP(B11015,'Poids des runes'!A:B,2,FALSE)))+1)/VLOOKUP(B11015,'Poids des runes'!A:B,2,FALSE))</f>
        <v>2.375</v>
      </c>
      <c r="F11015">
        <f t="shared" si="172"/>
        <v>2.375</v>
      </c>
    </row>
    <row r="11016" spans="1:6" x14ac:dyDescent="0.3">
      <c r="A11016" t="s">
        <v>1800</v>
      </c>
      <c r="B11016" t="s">
        <v>2150</v>
      </c>
      <c r="C11016">
        <v>1</v>
      </c>
      <c r="D11016">
        <v>65</v>
      </c>
      <c r="E11016">
        <f>IF(OR(B11016="vi",B11016="ii",B11016="pod"),(((D11016/100)*(C11016*VLOOKUP(B11016,'Poids des runes'!A:B,2,FALSE)))+1),(((D11016/100)*(C11016*VLOOKUP(B11016,'Poids des runes'!A:B,2,FALSE)))+1)/VLOOKUP(B11016,'Poids des runes'!A:B,2,FALSE))</f>
        <v>0.68333333333333335</v>
      </c>
      <c r="F11016">
        <f t="shared" si="172"/>
        <v>0.68333333333333335</v>
      </c>
    </row>
    <row r="11017" spans="1:6" x14ac:dyDescent="0.3">
      <c r="A11017" t="s">
        <v>1800</v>
      </c>
      <c r="B11017" t="s">
        <v>2149</v>
      </c>
      <c r="C11017">
        <v>8.5</v>
      </c>
      <c r="D11017">
        <v>65</v>
      </c>
      <c r="E11017">
        <f>IF(OR(B11017="vi",B11017="ii",B11017="pod"),(((D11017/100)*(C11017*VLOOKUP(B11017,'Poids des runes'!A:B,2,FALSE)))+1),(((D11017/100)*(C11017*VLOOKUP(B11017,'Poids des runes'!A:B,2,FALSE)))+1)/VLOOKUP(B11017,'Poids des runes'!A:B,2,FALSE))</f>
        <v>5.625</v>
      </c>
      <c r="F11017">
        <f t="shared" si="172"/>
        <v>5.625</v>
      </c>
    </row>
    <row r="11018" spans="1:6" x14ac:dyDescent="0.3">
      <c r="A11018" t="s">
        <v>1801</v>
      </c>
      <c r="B11018" t="s">
        <v>2128</v>
      </c>
      <c r="C11018">
        <v>45.5</v>
      </c>
      <c r="D11018">
        <v>65</v>
      </c>
      <c r="E11018">
        <f>IF(OR(B11018="vi",B11018="ii",B11018="pod"),(((D11018/100)*(C11018*VLOOKUP(B11018,'Poids des runes'!A:B,2,FALSE)))+1),(((D11018/100)*(C11018*VLOOKUP(B11018,'Poids des runes'!A:B,2,FALSE)))+1)/VLOOKUP(B11018,'Poids des runes'!A:B,2,FALSE))</f>
        <v>6.915</v>
      </c>
      <c r="F11018">
        <f t="shared" si="172"/>
        <v>6.915</v>
      </c>
    </row>
    <row r="11019" spans="1:6" x14ac:dyDescent="0.3">
      <c r="A11019" t="s">
        <v>1801</v>
      </c>
      <c r="B11019" t="s">
        <v>2139</v>
      </c>
      <c r="C11019">
        <v>25.5</v>
      </c>
      <c r="D11019">
        <v>65</v>
      </c>
      <c r="E11019">
        <f>IF(OR(B11019="vi",B11019="ii",B11019="pod"),(((D11019/100)*(C11019*VLOOKUP(B11019,'Poids des runes'!A:B,2,FALSE)))+1),(((D11019/100)*(C11019*VLOOKUP(B11019,'Poids des runes'!A:B,2,FALSE)))+1)/VLOOKUP(B11019,'Poids des runes'!A:B,2,FALSE))</f>
        <v>17.074999999999999</v>
      </c>
      <c r="F11019">
        <f t="shared" si="172"/>
        <v>17.074999999999999</v>
      </c>
    </row>
    <row r="11020" spans="1:6" x14ac:dyDescent="0.3">
      <c r="A11020" t="s">
        <v>1801</v>
      </c>
      <c r="B11020" t="s">
        <v>2151</v>
      </c>
      <c r="C11020">
        <v>2.5</v>
      </c>
      <c r="D11020">
        <v>65</v>
      </c>
      <c r="E11020">
        <f>IF(OR(B11020="vi",B11020="ii",B11020="pod"),(((D11020/100)*(C11020*VLOOKUP(B11020,'Poids des runes'!A:B,2,FALSE)))+1),(((D11020/100)*(C11020*VLOOKUP(B11020,'Poids des runes'!A:B,2,FALSE)))+1)/VLOOKUP(B11020,'Poids des runes'!A:B,2,FALSE))</f>
        <v>1.7250000000000001</v>
      </c>
      <c r="F11020">
        <f t="shared" si="172"/>
        <v>1.7250000000000001</v>
      </c>
    </row>
    <row r="11021" spans="1:6" x14ac:dyDescent="0.3">
      <c r="A11021" t="s">
        <v>1801</v>
      </c>
      <c r="B11021" t="s">
        <v>2138</v>
      </c>
      <c r="C11021">
        <v>4</v>
      </c>
      <c r="D11021">
        <v>65</v>
      </c>
      <c r="E11021">
        <f>IF(OR(B11021="vi",B11021="ii",B11021="pod"),(((D11021/100)*(C11021*VLOOKUP(B11021,'Poids des runes'!A:B,2,FALSE)))+1),(((D11021/100)*(C11021*VLOOKUP(B11021,'Poids des runes'!A:B,2,FALSE)))+1)/VLOOKUP(B11021,'Poids des runes'!A:B,2,FALSE))</f>
        <v>2.85</v>
      </c>
      <c r="F11021">
        <f t="shared" si="172"/>
        <v>2.85</v>
      </c>
    </row>
    <row r="11022" spans="1:6" x14ac:dyDescent="0.3">
      <c r="A11022" t="s">
        <v>1802</v>
      </c>
      <c r="B11022" t="s">
        <v>2128</v>
      </c>
      <c r="C11022">
        <v>15.5</v>
      </c>
      <c r="D11022">
        <v>66</v>
      </c>
      <c r="E11022">
        <f>IF(OR(B11022="vi",B11022="ii",B11022="pod"),(((D11022/100)*(C11022*VLOOKUP(B11022,'Poids des runes'!A:B,2,FALSE)))+1),(((D11022/100)*(C11022*VLOOKUP(B11022,'Poids des runes'!A:B,2,FALSE)))+1)/VLOOKUP(B11022,'Poids des runes'!A:B,2,FALSE))</f>
        <v>3.0460000000000003</v>
      </c>
      <c r="F11022">
        <f t="shared" si="172"/>
        <v>3.0460000000000003</v>
      </c>
    </row>
    <row r="11023" spans="1:6" x14ac:dyDescent="0.3">
      <c r="A11023" t="s">
        <v>1802</v>
      </c>
      <c r="B11023" t="s">
        <v>2126</v>
      </c>
      <c r="C11023">
        <v>40.5</v>
      </c>
      <c r="D11023">
        <v>66</v>
      </c>
      <c r="E11023">
        <f>IF(OR(B11023="vi",B11023="ii",B11023="pod"),(((D11023/100)*(C11023*VLOOKUP(B11023,'Poids des runes'!A:B,2,FALSE)))+1),(((D11023/100)*(C11023*VLOOKUP(B11023,'Poids des runes'!A:B,2,FALSE)))+1)/VLOOKUP(B11023,'Poids des runes'!A:B,2,FALSE))</f>
        <v>27.73</v>
      </c>
      <c r="F11023">
        <f t="shared" si="172"/>
        <v>27.73</v>
      </c>
    </row>
    <row r="11024" spans="1:6" x14ac:dyDescent="0.3">
      <c r="A11024" t="s">
        <v>1802</v>
      </c>
      <c r="B11024" t="s">
        <v>2129</v>
      </c>
      <c r="C11024">
        <v>40.5</v>
      </c>
      <c r="D11024">
        <v>66</v>
      </c>
      <c r="E11024">
        <f>IF(OR(B11024="vi",B11024="ii",B11024="pod"),(((D11024/100)*(C11024*VLOOKUP(B11024,'Poids des runes'!A:B,2,FALSE)))+1),(((D11024/100)*(C11024*VLOOKUP(B11024,'Poids des runes'!A:B,2,FALSE)))+1)/VLOOKUP(B11024,'Poids des runes'!A:B,2,FALSE))</f>
        <v>27.73</v>
      </c>
      <c r="F11024">
        <f t="shared" si="172"/>
        <v>27.73</v>
      </c>
    </row>
    <row r="11025" spans="1:6" x14ac:dyDescent="0.3">
      <c r="A11025" t="s">
        <v>1802</v>
      </c>
      <c r="B11025" t="s">
        <v>2150</v>
      </c>
      <c r="C11025">
        <v>1</v>
      </c>
      <c r="D11025">
        <v>66</v>
      </c>
      <c r="E11025">
        <f>IF(OR(B11025="vi",B11025="ii",B11025="pod"),(((D11025/100)*(C11025*VLOOKUP(B11025,'Poids des runes'!A:B,2,FALSE)))+1),(((D11025/100)*(C11025*VLOOKUP(B11025,'Poids des runes'!A:B,2,FALSE)))+1)/VLOOKUP(B11025,'Poids des runes'!A:B,2,FALSE))</f>
        <v>0.69333333333333336</v>
      </c>
      <c r="F11025">
        <f t="shared" si="172"/>
        <v>0.69333333333333336</v>
      </c>
    </row>
    <row r="11026" spans="1:6" x14ac:dyDescent="0.3">
      <c r="A11026" t="s">
        <v>1803</v>
      </c>
      <c r="B11026" t="s">
        <v>2128</v>
      </c>
      <c r="C11026">
        <v>35.5</v>
      </c>
      <c r="D11026">
        <v>66</v>
      </c>
      <c r="E11026">
        <f>IF(OR(B11026="vi",B11026="ii",B11026="pod"),(((D11026/100)*(C11026*VLOOKUP(B11026,'Poids des runes'!A:B,2,FALSE)))+1),(((D11026/100)*(C11026*VLOOKUP(B11026,'Poids des runes'!A:B,2,FALSE)))+1)/VLOOKUP(B11026,'Poids des runes'!A:B,2,FALSE))</f>
        <v>5.6860000000000008</v>
      </c>
      <c r="F11026">
        <f t="shared" si="172"/>
        <v>5.6860000000000008</v>
      </c>
    </row>
    <row r="11027" spans="1:6" x14ac:dyDescent="0.3">
      <c r="A11027" t="s">
        <v>1803</v>
      </c>
      <c r="B11027" t="s">
        <v>2130</v>
      </c>
      <c r="C11027">
        <v>45.5</v>
      </c>
      <c r="D11027">
        <v>66</v>
      </c>
      <c r="E11027">
        <f>IF(OR(B11027="vi",B11027="ii",B11027="pod"),(((D11027/100)*(C11027*VLOOKUP(B11027,'Poids des runes'!A:B,2,FALSE)))+1),(((D11027/100)*(C11027*VLOOKUP(B11027,'Poids des runes'!A:B,2,FALSE)))+1)/VLOOKUP(B11027,'Poids des runes'!A:B,2,FALSE))</f>
        <v>31.03</v>
      </c>
      <c r="F11027">
        <f t="shared" si="172"/>
        <v>31.03</v>
      </c>
    </row>
    <row r="11028" spans="1:6" x14ac:dyDescent="0.3">
      <c r="A11028" t="s">
        <v>1803</v>
      </c>
      <c r="B11028" t="s">
        <v>2127</v>
      </c>
      <c r="C11028">
        <v>45.5</v>
      </c>
      <c r="D11028">
        <v>66</v>
      </c>
      <c r="E11028">
        <f>IF(OR(B11028="vi",B11028="ii",B11028="pod"),(((D11028/100)*(C11028*VLOOKUP(B11028,'Poids des runes'!A:B,2,FALSE)))+1),(((D11028/100)*(C11028*VLOOKUP(B11028,'Poids des runes'!A:B,2,FALSE)))+1)/VLOOKUP(B11028,'Poids des runes'!A:B,2,FALSE))</f>
        <v>31.03</v>
      </c>
      <c r="F11028">
        <f t="shared" si="172"/>
        <v>31.03</v>
      </c>
    </row>
    <row r="11029" spans="1:6" x14ac:dyDescent="0.3">
      <c r="A11029" t="s">
        <v>1803</v>
      </c>
      <c r="B11029" t="s">
        <v>2129</v>
      </c>
      <c r="C11029">
        <v>18</v>
      </c>
      <c r="D11029">
        <v>66</v>
      </c>
      <c r="E11029">
        <f>IF(OR(B11029="vi",B11029="ii",B11029="pod"),(((D11029/100)*(C11029*VLOOKUP(B11029,'Poids des runes'!A:B,2,FALSE)))+1),(((D11029/100)*(C11029*VLOOKUP(B11029,'Poids des runes'!A:B,2,FALSE)))+1)/VLOOKUP(B11029,'Poids des runes'!A:B,2,FALSE))</f>
        <v>12.88</v>
      </c>
      <c r="F11029">
        <f t="shared" si="172"/>
        <v>12.88</v>
      </c>
    </row>
    <row r="11030" spans="1:6" x14ac:dyDescent="0.3">
      <c r="A11030" t="s">
        <v>1803</v>
      </c>
      <c r="B11030" t="s">
        <v>2139</v>
      </c>
      <c r="C11030">
        <v>13</v>
      </c>
      <c r="D11030">
        <v>66</v>
      </c>
      <c r="E11030">
        <f>IF(OR(B11030="vi",B11030="ii",B11030="pod"),(((D11030/100)*(C11030*VLOOKUP(B11030,'Poids des runes'!A:B,2,FALSE)))+1),(((D11030/100)*(C11030*VLOOKUP(B11030,'Poids des runes'!A:B,2,FALSE)))+1)/VLOOKUP(B11030,'Poids des runes'!A:B,2,FALSE))</f>
        <v>9.08</v>
      </c>
      <c r="F11030">
        <f t="shared" si="172"/>
        <v>9.08</v>
      </c>
    </row>
    <row r="11031" spans="1:6" x14ac:dyDescent="0.3">
      <c r="A11031" t="s">
        <v>1804</v>
      </c>
      <c r="B11031" t="s">
        <v>2128</v>
      </c>
      <c r="C11031">
        <v>85.5</v>
      </c>
      <c r="D11031">
        <v>66</v>
      </c>
      <c r="E11031">
        <f>IF(OR(B11031="vi",B11031="ii",B11031="pod"),(((D11031/100)*(C11031*VLOOKUP(B11031,'Poids des runes'!A:B,2,FALSE)))+1),(((D11031/100)*(C11031*VLOOKUP(B11031,'Poids des runes'!A:B,2,FALSE)))+1)/VLOOKUP(B11031,'Poids des runes'!A:B,2,FALSE))</f>
        <v>12.286000000000001</v>
      </c>
      <c r="F11031">
        <f t="shared" si="172"/>
        <v>12.286000000000001</v>
      </c>
    </row>
    <row r="11032" spans="1:6" x14ac:dyDescent="0.3">
      <c r="A11032" t="s">
        <v>1804</v>
      </c>
      <c r="B11032" t="s">
        <v>2130</v>
      </c>
      <c r="C11032">
        <v>45.5</v>
      </c>
      <c r="D11032">
        <v>66</v>
      </c>
      <c r="E11032">
        <f>IF(OR(B11032="vi",B11032="ii",B11032="pod"),(((D11032/100)*(C11032*VLOOKUP(B11032,'Poids des runes'!A:B,2,FALSE)))+1),(((D11032/100)*(C11032*VLOOKUP(B11032,'Poids des runes'!A:B,2,FALSE)))+1)/VLOOKUP(B11032,'Poids des runes'!A:B,2,FALSE))</f>
        <v>31.03</v>
      </c>
      <c r="F11032">
        <f t="shared" si="172"/>
        <v>31.03</v>
      </c>
    </row>
    <row r="11033" spans="1:6" x14ac:dyDescent="0.3">
      <c r="A11033" t="s">
        <v>1804</v>
      </c>
      <c r="B11033" t="s">
        <v>2129</v>
      </c>
      <c r="C11033">
        <v>25.5</v>
      </c>
      <c r="D11033">
        <v>66</v>
      </c>
      <c r="E11033">
        <f>IF(OR(B11033="vi",B11033="ii",B11033="pod"),(((D11033/100)*(C11033*VLOOKUP(B11033,'Poids des runes'!A:B,2,FALSE)))+1),(((D11033/100)*(C11033*VLOOKUP(B11033,'Poids des runes'!A:B,2,FALSE)))+1)/VLOOKUP(B11033,'Poids des runes'!A:B,2,FALSE))</f>
        <v>17.830000000000002</v>
      </c>
      <c r="F11033">
        <f t="shared" si="172"/>
        <v>17.830000000000002</v>
      </c>
    </row>
    <row r="11034" spans="1:6" x14ac:dyDescent="0.3">
      <c r="A11034" t="s">
        <v>1804</v>
      </c>
      <c r="B11034" t="s">
        <v>2139</v>
      </c>
      <c r="C11034">
        <v>25.5</v>
      </c>
      <c r="D11034">
        <v>66</v>
      </c>
      <c r="E11034">
        <f>IF(OR(B11034="vi",B11034="ii",B11034="pod"),(((D11034/100)*(C11034*VLOOKUP(B11034,'Poids des runes'!A:B,2,FALSE)))+1),(((D11034/100)*(C11034*VLOOKUP(B11034,'Poids des runes'!A:B,2,FALSE)))+1)/VLOOKUP(B11034,'Poids des runes'!A:B,2,FALSE))</f>
        <v>17.330000000000002</v>
      </c>
      <c r="F11034">
        <f t="shared" si="172"/>
        <v>17.330000000000002</v>
      </c>
    </row>
    <row r="11035" spans="1:6" x14ac:dyDescent="0.3">
      <c r="A11035" t="s">
        <v>1804</v>
      </c>
      <c r="B11035" t="s">
        <v>2134</v>
      </c>
      <c r="C11035">
        <v>3.5</v>
      </c>
      <c r="D11035">
        <v>66</v>
      </c>
      <c r="E11035">
        <f>IF(OR(B11035="vi",B11035="ii",B11035="pod"),(((D11035/100)*(C11035*VLOOKUP(B11035,'Poids des runes'!A:B,2,FALSE)))+1),(((D11035/100)*(C11035*VLOOKUP(B11035,'Poids des runes'!A:B,2,FALSE)))+1)/VLOOKUP(B11035,'Poids des runes'!A:B,2,FALSE))</f>
        <v>2.3600000000000003</v>
      </c>
      <c r="F11035">
        <f t="shared" si="172"/>
        <v>2.3600000000000003</v>
      </c>
    </row>
    <row r="11036" spans="1:6" x14ac:dyDescent="0.3">
      <c r="A11036" t="s">
        <v>1805</v>
      </c>
      <c r="B11036" t="s">
        <v>2128</v>
      </c>
      <c r="C11036">
        <v>35</v>
      </c>
      <c r="D11036">
        <v>66</v>
      </c>
      <c r="E11036">
        <f>IF(OR(B11036="vi",B11036="ii",B11036="pod"),(((D11036/100)*(C11036*VLOOKUP(B11036,'Poids des runes'!A:B,2,FALSE)))+1),(((D11036/100)*(C11036*VLOOKUP(B11036,'Poids des runes'!A:B,2,FALSE)))+1)/VLOOKUP(B11036,'Poids des runes'!A:B,2,FALSE))</f>
        <v>5.62</v>
      </c>
      <c r="F11036">
        <f t="shared" si="172"/>
        <v>5.62</v>
      </c>
    </row>
    <row r="11037" spans="1:6" x14ac:dyDescent="0.3">
      <c r="A11037" t="s">
        <v>1805</v>
      </c>
      <c r="B11037" t="s">
        <v>2127</v>
      </c>
      <c r="C11037">
        <v>40.5</v>
      </c>
      <c r="D11037">
        <v>66</v>
      </c>
      <c r="E11037">
        <f>IF(OR(B11037="vi",B11037="ii",B11037="pod"),(((D11037/100)*(C11037*VLOOKUP(B11037,'Poids des runes'!A:B,2,FALSE)))+1),(((D11037/100)*(C11037*VLOOKUP(B11037,'Poids des runes'!A:B,2,FALSE)))+1)/VLOOKUP(B11037,'Poids des runes'!A:B,2,FALSE))</f>
        <v>27.73</v>
      </c>
      <c r="F11037">
        <f t="shared" si="172"/>
        <v>27.73</v>
      </c>
    </row>
    <row r="11038" spans="1:6" x14ac:dyDescent="0.3">
      <c r="A11038" t="s">
        <v>1805</v>
      </c>
      <c r="B11038" t="s">
        <v>2129</v>
      </c>
      <c r="C11038">
        <v>23</v>
      </c>
      <c r="D11038">
        <v>66</v>
      </c>
      <c r="E11038">
        <f>IF(OR(B11038="vi",B11038="ii",B11038="pod"),(((D11038/100)*(C11038*VLOOKUP(B11038,'Poids des runes'!A:B,2,FALSE)))+1),(((D11038/100)*(C11038*VLOOKUP(B11038,'Poids des runes'!A:B,2,FALSE)))+1)/VLOOKUP(B11038,'Poids des runes'!A:B,2,FALSE))</f>
        <v>16.18</v>
      </c>
      <c r="F11038">
        <f t="shared" si="172"/>
        <v>16.18</v>
      </c>
    </row>
    <row r="11039" spans="1:6" x14ac:dyDescent="0.3">
      <c r="A11039" t="s">
        <v>1805</v>
      </c>
      <c r="B11039" t="s">
        <v>2151</v>
      </c>
      <c r="C11039">
        <v>6</v>
      </c>
      <c r="D11039">
        <v>66</v>
      </c>
      <c r="E11039">
        <f>IF(OR(B11039="vi",B11039="ii",B11039="pod"),(((D11039/100)*(C11039*VLOOKUP(B11039,'Poids des runes'!A:B,2,FALSE)))+1),(((D11039/100)*(C11039*VLOOKUP(B11039,'Poids des runes'!A:B,2,FALSE)))+1)/VLOOKUP(B11039,'Poids des runes'!A:B,2,FALSE))</f>
        <v>4.0600000000000005</v>
      </c>
      <c r="F11039">
        <f t="shared" si="172"/>
        <v>4.0600000000000005</v>
      </c>
    </row>
    <row r="11040" spans="1:6" x14ac:dyDescent="0.3">
      <c r="A11040" t="s">
        <v>1805</v>
      </c>
      <c r="B11040" t="s">
        <v>2138</v>
      </c>
      <c r="C11040">
        <v>2.5</v>
      </c>
      <c r="D11040">
        <v>66</v>
      </c>
      <c r="E11040">
        <f>IF(OR(B11040="vi",B11040="ii",B11040="pod"),(((D11040/100)*(C11040*VLOOKUP(B11040,'Poids des runes'!A:B,2,FALSE)))+1),(((D11040/100)*(C11040*VLOOKUP(B11040,'Poids des runes'!A:B,2,FALSE)))+1)/VLOOKUP(B11040,'Poids des runes'!A:B,2,FALSE))</f>
        <v>1.9000000000000001</v>
      </c>
      <c r="F11040">
        <f t="shared" si="172"/>
        <v>1.9000000000000001</v>
      </c>
    </row>
    <row r="11041" spans="1:6" x14ac:dyDescent="0.3">
      <c r="A11041" t="s">
        <v>1806</v>
      </c>
      <c r="B11041" t="s">
        <v>2126</v>
      </c>
      <c r="C11041">
        <v>30.5</v>
      </c>
      <c r="D11041">
        <v>66</v>
      </c>
      <c r="E11041">
        <f>IF(OR(B11041="vi",B11041="ii",B11041="pod"),(((D11041/100)*(C11041*VLOOKUP(B11041,'Poids des runes'!A:B,2,FALSE)))+1),(((D11041/100)*(C11041*VLOOKUP(B11041,'Poids des runes'!A:B,2,FALSE)))+1)/VLOOKUP(B11041,'Poids des runes'!A:B,2,FALSE))</f>
        <v>21.130000000000003</v>
      </c>
      <c r="F11041">
        <f t="shared" si="172"/>
        <v>21.130000000000003</v>
      </c>
    </row>
    <row r="11042" spans="1:6" x14ac:dyDescent="0.3">
      <c r="A11042" t="s">
        <v>1806</v>
      </c>
      <c r="B11042" t="s">
        <v>2131</v>
      </c>
      <c r="C11042">
        <v>30.5</v>
      </c>
      <c r="D11042">
        <v>66</v>
      </c>
      <c r="E11042">
        <f>IF(OR(B11042="vi",B11042="ii",B11042="pod"),(((D11042/100)*(C11042*VLOOKUP(B11042,'Poids des runes'!A:B,2,FALSE)))+1),(((D11042/100)*(C11042*VLOOKUP(B11042,'Poids des runes'!A:B,2,FALSE)))+1)/VLOOKUP(B11042,'Poids des runes'!A:B,2,FALSE))</f>
        <v>21.130000000000003</v>
      </c>
      <c r="F11042">
        <f t="shared" si="172"/>
        <v>21.130000000000003</v>
      </c>
    </row>
    <row r="11043" spans="1:6" x14ac:dyDescent="0.3">
      <c r="A11043" t="s">
        <v>1806</v>
      </c>
      <c r="B11043" t="s">
        <v>2129</v>
      </c>
      <c r="C11043">
        <v>15.5</v>
      </c>
      <c r="D11043">
        <v>66</v>
      </c>
      <c r="E11043">
        <f>IF(OR(B11043="vi",B11043="ii",B11043="pod"),(((D11043/100)*(C11043*VLOOKUP(B11043,'Poids des runes'!A:B,2,FALSE)))+1),(((D11043/100)*(C11043*VLOOKUP(B11043,'Poids des runes'!A:B,2,FALSE)))+1)/VLOOKUP(B11043,'Poids des runes'!A:B,2,FALSE))</f>
        <v>11.23</v>
      </c>
      <c r="F11043">
        <f t="shared" si="172"/>
        <v>11.23</v>
      </c>
    </row>
    <row r="11044" spans="1:6" x14ac:dyDescent="0.3">
      <c r="A11044" t="s">
        <v>1806</v>
      </c>
      <c r="B11044" t="s">
        <v>2151</v>
      </c>
      <c r="C11044">
        <v>3.5</v>
      </c>
      <c r="D11044">
        <v>66</v>
      </c>
      <c r="E11044">
        <f>IF(OR(B11044="vi",B11044="ii",B11044="pod"),(((D11044/100)*(C11044*VLOOKUP(B11044,'Poids des runes'!A:B,2,FALSE)))+1),(((D11044/100)*(C11044*VLOOKUP(B11044,'Poids des runes'!A:B,2,FALSE)))+1)/VLOOKUP(B11044,'Poids des runes'!A:B,2,FALSE))</f>
        <v>2.41</v>
      </c>
      <c r="F11044">
        <f t="shared" si="172"/>
        <v>2.41</v>
      </c>
    </row>
    <row r="11045" spans="1:6" x14ac:dyDescent="0.3">
      <c r="A11045" t="s">
        <v>1806</v>
      </c>
      <c r="B11045" t="s">
        <v>2155</v>
      </c>
      <c r="C11045">
        <v>1</v>
      </c>
      <c r="D11045">
        <v>66</v>
      </c>
      <c r="E11045">
        <f>IF(OR(B11045="vi",B11045="ii",B11045="pod"),(((D11045/100)*(C11045*VLOOKUP(B11045,'Poids des runes'!A:B,2,FALSE)))+1),(((D11045/100)*(C11045*VLOOKUP(B11045,'Poids des runes'!A:B,2,FALSE)))+1)/VLOOKUP(B11045,'Poids des runes'!A:B,2,FALSE))</f>
        <v>0.67960784313725497</v>
      </c>
      <c r="F11045">
        <f t="shared" si="172"/>
        <v>0.67960784313725497</v>
      </c>
    </row>
    <row r="11046" spans="1:6" x14ac:dyDescent="0.3">
      <c r="A11046" t="s">
        <v>1807</v>
      </c>
      <c r="B11046" t="s">
        <v>2128</v>
      </c>
      <c r="C11046">
        <v>40</v>
      </c>
      <c r="D11046">
        <v>67</v>
      </c>
      <c r="E11046">
        <f>IF(OR(B11046="vi",B11046="ii",B11046="pod"),(((D11046/100)*(C11046*VLOOKUP(B11046,'Poids des runes'!A:B,2,FALSE)))+1),(((D11046/100)*(C11046*VLOOKUP(B11046,'Poids des runes'!A:B,2,FALSE)))+1)/VLOOKUP(B11046,'Poids des runes'!A:B,2,FALSE))</f>
        <v>6.36</v>
      </c>
      <c r="F11046">
        <f t="shared" si="172"/>
        <v>6.36</v>
      </c>
    </row>
    <row r="11047" spans="1:6" x14ac:dyDescent="0.3">
      <c r="A11047" t="s">
        <v>1807</v>
      </c>
      <c r="B11047" t="s">
        <v>2129</v>
      </c>
      <c r="C11047">
        <v>25</v>
      </c>
      <c r="D11047">
        <v>67</v>
      </c>
      <c r="E11047">
        <f>IF(OR(B11047="vi",B11047="ii",B11047="pod"),(((D11047/100)*(C11047*VLOOKUP(B11047,'Poids des runes'!A:B,2,FALSE)))+1),(((D11047/100)*(C11047*VLOOKUP(B11047,'Poids des runes'!A:B,2,FALSE)))+1)/VLOOKUP(B11047,'Poids des runes'!A:B,2,FALSE))</f>
        <v>17.75</v>
      </c>
      <c r="F11047">
        <f t="shared" si="172"/>
        <v>17.75</v>
      </c>
    </row>
    <row r="11048" spans="1:6" x14ac:dyDescent="0.3">
      <c r="A11048" t="s">
        <v>1807</v>
      </c>
      <c r="B11048" t="s">
        <v>2151</v>
      </c>
      <c r="C11048">
        <v>1</v>
      </c>
      <c r="D11048">
        <v>67</v>
      </c>
      <c r="E11048">
        <f>IF(OR(B11048="vi",B11048="ii",B11048="pod"),(((D11048/100)*(C11048*VLOOKUP(B11048,'Poids des runes'!A:B,2,FALSE)))+1),(((D11048/100)*(C11048*VLOOKUP(B11048,'Poids des runes'!A:B,2,FALSE)))+1)/VLOOKUP(B11048,'Poids des runes'!A:B,2,FALSE))</f>
        <v>0.77</v>
      </c>
      <c r="F11048">
        <f t="shared" si="172"/>
        <v>0.77</v>
      </c>
    </row>
    <row r="11049" spans="1:6" x14ac:dyDescent="0.3">
      <c r="A11049" t="s">
        <v>1807</v>
      </c>
      <c r="B11049" t="s">
        <v>2152</v>
      </c>
      <c r="C11049">
        <v>1</v>
      </c>
      <c r="D11049">
        <v>67</v>
      </c>
      <c r="E11049">
        <f>IF(OR(B11049="vi",B11049="ii",B11049="pod"),(((D11049/100)*(C11049*VLOOKUP(B11049,'Poids des runes'!A:B,2,FALSE)))+1),(((D11049/100)*(C11049*VLOOKUP(B11049,'Poids des runes'!A:B,2,FALSE)))+1)/VLOOKUP(B11049,'Poids des runes'!A:B,2,FALSE))</f>
        <v>0.68</v>
      </c>
      <c r="F11049">
        <f t="shared" si="172"/>
        <v>0.68</v>
      </c>
    </row>
    <row r="11050" spans="1:6" x14ac:dyDescent="0.3">
      <c r="A11050" t="s">
        <v>1808</v>
      </c>
      <c r="B11050" t="s">
        <v>2128</v>
      </c>
      <c r="C11050">
        <v>60.5</v>
      </c>
      <c r="D11050">
        <v>67</v>
      </c>
      <c r="E11050">
        <f>IF(OR(B11050="vi",B11050="ii",B11050="pod"),(((D11050/100)*(C11050*VLOOKUP(B11050,'Poids des runes'!A:B,2,FALSE)))+1),(((D11050/100)*(C11050*VLOOKUP(B11050,'Poids des runes'!A:B,2,FALSE)))+1)/VLOOKUP(B11050,'Poids des runes'!A:B,2,FALSE))</f>
        <v>9.1070000000000011</v>
      </c>
      <c r="F11050">
        <f t="shared" si="172"/>
        <v>9.1070000000000011</v>
      </c>
    </row>
    <row r="11051" spans="1:6" x14ac:dyDescent="0.3">
      <c r="A11051" t="s">
        <v>1808</v>
      </c>
      <c r="B11051" t="s">
        <v>2127</v>
      </c>
      <c r="C11051">
        <v>60.5</v>
      </c>
      <c r="D11051">
        <v>67</v>
      </c>
      <c r="E11051">
        <f>IF(OR(B11051="vi",B11051="ii",B11051="pod"),(((D11051/100)*(C11051*VLOOKUP(B11051,'Poids des runes'!A:B,2,FALSE)))+1),(((D11051/100)*(C11051*VLOOKUP(B11051,'Poids des runes'!A:B,2,FALSE)))+1)/VLOOKUP(B11051,'Poids des runes'!A:B,2,FALSE))</f>
        <v>41.535000000000004</v>
      </c>
      <c r="F11051">
        <f t="shared" si="172"/>
        <v>41.535000000000004</v>
      </c>
    </row>
    <row r="11052" spans="1:6" x14ac:dyDescent="0.3">
      <c r="A11052" t="s">
        <v>1808</v>
      </c>
      <c r="B11052" t="s">
        <v>2129</v>
      </c>
      <c r="C11052">
        <v>13</v>
      </c>
      <c r="D11052">
        <v>67</v>
      </c>
      <c r="E11052">
        <f>IF(OR(B11052="vi",B11052="ii",B11052="pod"),(((D11052/100)*(C11052*VLOOKUP(B11052,'Poids des runes'!A:B,2,FALSE)))+1),(((D11052/100)*(C11052*VLOOKUP(B11052,'Poids des runes'!A:B,2,FALSE)))+1)/VLOOKUP(B11052,'Poids des runes'!A:B,2,FALSE))</f>
        <v>9.7100000000000009</v>
      </c>
      <c r="F11052">
        <f t="shared" si="172"/>
        <v>9.7100000000000009</v>
      </c>
    </row>
    <row r="11053" spans="1:6" x14ac:dyDescent="0.3">
      <c r="A11053" t="s">
        <v>1808</v>
      </c>
      <c r="B11053" t="s">
        <v>2151</v>
      </c>
      <c r="C11053">
        <v>4.5</v>
      </c>
      <c r="D11053">
        <v>67</v>
      </c>
      <c r="E11053">
        <f>IF(OR(B11053="vi",B11053="ii",B11053="pod"),(((D11053/100)*(C11053*VLOOKUP(B11053,'Poids des runes'!A:B,2,FALSE)))+1),(((D11053/100)*(C11053*VLOOKUP(B11053,'Poids des runes'!A:B,2,FALSE)))+1)/VLOOKUP(B11053,'Poids des runes'!A:B,2,FALSE))</f>
        <v>3.1150000000000002</v>
      </c>
      <c r="F11053">
        <f t="shared" si="172"/>
        <v>3.1150000000000002</v>
      </c>
    </row>
    <row r="11054" spans="1:6" x14ac:dyDescent="0.3">
      <c r="A11054" t="s">
        <v>1808</v>
      </c>
      <c r="B11054" t="s">
        <v>2141</v>
      </c>
      <c r="C11054">
        <v>4.5</v>
      </c>
      <c r="D11054">
        <v>67</v>
      </c>
      <c r="E11054">
        <f>IF(OR(B11054="vi",B11054="ii",B11054="pod"),(((D11054/100)*(C11054*VLOOKUP(B11054,'Poids des runes'!A:B,2,FALSE)))+1),(((D11054/100)*(C11054*VLOOKUP(B11054,'Poids des runes'!A:B,2,FALSE)))+1)/VLOOKUP(B11054,'Poids des runes'!A:B,2,FALSE))</f>
        <v>3.2650000000000001</v>
      </c>
      <c r="F11054">
        <f t="shared" si="172"/>
        <v>3.2650000000000001</v>
      </c>
    </row>
    <row r="11055" spans="1:6" x14ac:dyDescent="0.3">
      <c r="A11055" t="s">
        <v>1808</v>
      </c>
      <c r="B11055" t="s">
        <v>2158</v>
      </c>
      <c r="C11055">
        <v>8.5</v>
      </c>
      <c r="D11055">
        <v>67</v>
      </c>
      <c r="E11055">
        <f>IF(OR(B11055="vi",B11055="ii",B11055="pod"),(((D11055/100)*(C11055*VLOOKUP(B11055,'Poids des runes'!A:B,2,FALSE)))+1),(((D11055/100)*(C11055*VLOOKUP(B11055,'Poids des runes'!A:B,2,FALSE)))+1)/VLOOKUP(B11055,'Poids des runes'!A:B,2,FALSE))</f>
        <v>5.8950000000000005</v>
      </c>
      <c r="F11055">
        <f t="shared" si="172"/>
        <v>5.8950000000000005</v>
      </c>
    </row>
    <row r="11056" spans="1:6" x14ac:dyDescent="0.3">
      <c r="A11056" t="s">
        <v>1809</v>
      </c>
      <c r="B11056" t="s">
        <v>2128</v>
      </c>
      <c r="C11056">
        <v>35.5</v>
      </c>
      <c r="D11056">
        <v>67</v>
      </c>
      <c r="E11056">
        <f>IF(OR(B11056="vi",B11056="ii",B11056="pod"),(((D11056/100)*(C11056*VLOOKUP(B11056,'Poids des runes'!A:B,2,FALSE)))+1),(((D11056/100)*(C11056*VLOOKUP(B11056,'Poids des runes'!A:B,2,FALSE)))+1)/VLOOKUP(B11056,'Poids des runes'!A:B,2,FALSE))</f>
        <v>5.7570000000000006</v>
      </c>
      <c r="F11056">
        <f t="shared" si="172"/>
        <v>5.7570000000000006</v>
      </c>
    </row>
    <row r="11057" spans="1:6" x14ac:dyDescent="0.3">
      <c r="A11057" t="s">
        <v>1809</v>
      </c>
      <c r="B11057" t="s">
        <v>2126</v>
      </c>
      <c r="C11057">
        <v>50.5</v>
      </c>
      <c r="D11057">
        <v>67</v>
      </c>
      <c r="E11057">
        <f>IF(OR(B11057="vi",B11057="ii",B11057="pod"),(((D11057/100)*(C11057*VLOOKUP(B11057,'Poids des runes'!A:B,2,FALSE)))+1),(((D11057/100)*(C11057*VLOOKUP(B11057,'Poids des runes'!A:B,2,FALSE)))+1)/VLOOKUP(B11057,'Poids des runes'!A:B,2,FALSE))</f>
        <v>34.835000000000001</v>
      </c>
      <c r="F11057">
        <f t="shared" si="172"/>
        <v>34.835000000000001</v>
      </c>
    </row>
    <row r="11058" spans="1:6" x14ac:dyDescent="0.3">
      <c r="A11058" t="s">
        <v>1809</v>
      </c>
      <c r="B11058" t="s">
        <v>2129</v>
      </c>
      <c r="C11058">
        <v>25.5</v>
      </c>
      <c r="D11058">
        <v>67</v>
      </c>
      <c r="E11058">
        <f>IF(OR(B11058="vi",B11058="ii",B11058="pod"),(((D11058/100)*(C11058*VLOOKUP(B11058,'Poids des runes'!A:B,2,FALSE)))+1),(((D11058/100)*(C11058*VLOOKUP(B11058,'Poids des runes'!A:B,2,FALSE)))+1)/VLOOKUP(B11058,'Poids des runes'!A:B,2,FALSE))</f>
        <v>18.085000000000001</v>
      </c>
      <c r="F11058">
        <f t="shared" si="172"/>
        <v>18.085000000000001</v>
      </c>
    </row>
    <row r="11059" spans="1:6" x14ac:dyDescent="0.3">
      <c r="A11059" t="s">
        <v>1809</v>
      </c>
      <c r="B11059" t="s">
        <v>2151</v>
      </c>
      <c r="C11059">
        <v>4.5</v>
      </c>
      <c r="D11059">
        <v>67</v>
      </c>
      <c r="E11059">
        <f>IF(OR(B11059="vi",B11059="ii",B11059="pod"),(((D11059/100)*(C11059*VLOOKUP(B11059,'Poids des runes'!A:B,2,FALSE)))+1),(((D11059/100)*(C11059*VLOOKUP(B11059,'Poids des runes'!A:B,2,FALSE)))+1)/VLOOKUP(B11059,'Poids des runes'!A:B,2,FALSE))</f>
        <v>3.1150000000000002</v>
      </c>
      <c r="F11059">
        <f t="shared" si="172"/>
        <v>3.1150000000000002</v>
      </c>
    </row>
    <row r="11060" spans="1:6" x14ac:dyDescent="0.3">
      <c r="A11060" t="s">
        <v>1809</v>
      </c>
      <c r="B11060" t="s">
        <v>2158</v>
      </c>
      <c r="C11060">
        <v>18</v>
      </c>
      <c r="D11060">
        <v>67</v>
      </c>
      <c r="E11060">
        <f>IF(OR(B11060="vi",B11060="ii",B11060="pod"),(((D11060/100)*(C11060*VLOOKUP(B11060,'Poids des runes'!A:B,2,FALSE)))+1),(((D11060/100)*(C11060*VLOOKUP(B11060,'Poids des runes'!A:B,2,FALSE)))+1)/VLOOKUP(B11060,'Poids des runes'!A:B,2,FALSE))</f>
        <v>12.260000000000002</v>
      </c>
      <c r="F11060">
        <f t="shared" si="172"/>
        <v>12.260000000000002</v>
      </c>
    </row>
    <row r="11061" spans="1:6" x14ac:dyDescent="0.3">
      <c r="A11061" t="s">
        <v>1810</v>
      </c>
      <c r="B11061" t="s">
        <v>2127</v>
      </c>
      <c r="C11061">
        <v>50.5</v>
      </c>
      <c r="D11061">
        <v>67</v>
      </c>
      <c r="E11061">
        <f>IF(OR(B11061="vi",B11061="ii",B11061="pod"),(((D11061/100)*(C11061*VLOOKUP(B11061,'Poids des runes'!A:B,2,FALSE)))+1),(((D11061/100)*(C11061*VLOOKUP(B11061,'Poids des runes'!A:B,2,FALSE)))+1)/VLOOKUP(B11061,'Poids des runes'!A:B,2,FALSE))</f>
        <v>34.835000000000001</v>
      </c>
      <c r="F11061">
        <f t="shared" si="172"/>
        <v>34.835000000000001</v>
      </c>
    </row>
    <row r="11062" spans="1:6" x14ac:dyDescent="0.3">
      <c r="A11062" t="s">
        <v>1810</v>
      </c>
      <c r="B11062" t="s">
        <v>2129</v>
      </c>
      <c r="C11062">
        <v>23</v>
      </c>
      <c r="D11062">
        <v>67</v>
      </c>
      <c r="E11062">
        <f>IF(OR(B11062="vi",B11062="ii",B11062="pod"),(((D11062/100)*(C11062*VLOOKUP(B11062,'Poids des runes'!A:B,2,FALSE)))+1),(((D11062/100)*(C11062*VLOOKUP(B11062,'Poids des runes'!A:B,2,FALSE)))+1)/VLOOKUP(B11062,'Poids des runes'!A:B,2,FALSE))</f>
        <v>16.41</v>
      </c>
      <c r="F11062">
        <f t="shared" si="172"/>
        <v>16.41</v>
      </c>
    </row>
    <row r="11063" spans="1:6" x14ac:dyDescent="0.3">
      <c r="A11063" t="s">
        <v>1810</v>
      </c>
      <c r="B11063" t="s">
        <v>2151</v>
      </c>
      <c r="C11063">
        <v>3.5</v>
      </c>
      <c r="D11063">
        <v>67</v>
      </c>
      <c r="E11063">
        <f>IF(OR(B11063="vi",B11063="ii",B11063="pod"),(((D11063/100)*(C11063*VLOOKUP(B11063,'Poids des runes'!A:B,2,FALSE)))+1),(((D11063/100)*(C11063*VLOOKUP(B11063,'Poids des runes'!A:B,2,FALSE)))+1)/VLOOKUP(B11063,'Poids des runes'!A:B,2,FALSE))</f>
        <v>2.4450000000000003</v>
      </c>
      <c r="F11063">
        <f t="shared" si="172"/>
        <v>2.4450000000000003</v>
      </c>
    </row>
    <row r="11064" spans="1:6" x14ac:dyDescent="0.3">
      <c r="A11064" t="s">
        <v>1810</v>
      </c>
      <c r="B11064" t="s">
        <v>2159</v>
      </c>
      <c r="C11064">
        <v>4.5</v>
      </c>
      <c r="D11064">
        <v>67</v>
      </c>
      <c r="E11064">
        <f>IF(OR(B11064="vi",B11064="ii",B11064="pod"),(((D11064/100)*(C11064*VLOOKUP(B11064,'Poids des runes'!A:B,2,FALSE)))+1),(((D11064/100)*(C11064*VLOOKUP(B11064,'Poids des runes'!A:B,2,FALSE)))+1)/VLOOKUP(B11064,'Poids des runes'!A:B,2,FALSE))</f>
        <v>3.1578571428571429</v>
      </c>
      <c r="F11064">
        <f t="shared" si="172"/>
        <v>3.1578571428571429</v>
      </c>
    </row>
    <row r="11065" spans="1:6" x14ac:dyDescent="0.3">
      <c r="A11065" t="s">
        <v>1811</v>
      </c>
      <c r="B11065" t="s">
        <v>2128</v>
      </c>
      <c r="C11065">
        <v>50.5</v>
      </c>
      <c r="D11065">
        <v>68</v>
      </c>
      <c r="E11065">
        <f>IF(OR(B11065="vi",B11065="ii",B11065="pod"),(((D11065/100)*(C11065*VLOOKUP(B11065,'Poids des runes'!A:B,2,FALSE)))+1),(((D11065/100)*(C11065*VLOOKUP(B11065,'Poids des runes'!A:B,2,FALSE)))+1)/VLOOKUP(B11065,'Poids des runes'!A:B,2,FALSE))</f>
        <v>7.8680000000000012</v>
      </c>
      <c r="F11065">
        <f t="shared" si="172"/>
        <v>7.8680000000000012</v>
      </c>
    </row>
    <row r="11066" spans="1:6" x14ac:dyDescent="0.3">
      <c r="A11066" t="s">
        <v>1811</v>
      </c>
      <c r="B11066" t="s">
        <v>2130</v>
      </c>
      <c r="C11066">
        <v>25.5</v>
      </c>
      <c r="D11066">
        <v>68</v>
      </c>
      <c r="E11066">
        <f>IF(OR(B11066="vi",B11066="ii",B11066="pod"),(((D11066/100)*(C11066*VLOOKUP(B11066,'Poids des runes'!A:B,2,FALSE)))+1),(((D11066/100)*(C11066*VLOOKUP(B11066,'Poids des runes'!A:B,2,FALSE)))+1)/VLOOKUP(B11066,'Poids des runes'!A:B,2,FALSE))</f>
        <v>18.34</v>
      </c>
      <c r="F11066">
        <f t="shared" si="172"/>
        <v>18.34</v>
      </c>
    </row>
    <row r="11067" spans="1:6" x14ac:dyDescent="0.3">
      <c r="A11067" t="s">
        <v>1811</v>
      </c>
      <c r="B11067" t="s">
        <v>2127</v>
      </c>
      <c r="C11067">
        <v>25.5</v>
      </c>
      <c r="D11067">
        <v>68</v>
      </c>
      <c r="E11067">
        <f>IF(OR(B11067="vi",B11067="ii",B11067="pod"),(((D11067/100)*(C11067*VLOOKUP(B11067,'Poids des runes'!A:B,2,FALSE)))+1),(((D11067/100)*(C11067*VLOOKUP(B11067,'Poids des runes'!A:B,2,FALSE)))+1)/VLOOKUP(B11067,'Poids des runes'!A:B,2,FALSE))</f>
        <v>18.34</v>
      </c>
      <c r="F11067">
        <f t="shared" si="172"/>
        <v>18.34</v>
      </c>
    </row>
    <row r="11068" spans="1:6" x14ac:dyDescent="0.3">
      <c r="A11068" t="s">
        <v>1811</v>
      </c>
      <c r="B11068" t="s">
        <v>2134</v>
      </c>
      <c r="C11068">
        <v>2.5</v>
      </c>
      <c r="D11068">
        <v>68</v>
      </c>
      <c r="E11068">
        <f>IF(OR(B11068="vi",B11068="ii",B11068="pod"),(((D11068/100)*(C11068*VLOOKUP(B11068,'Poids des runes'!A:B,2,FALSE)))+1),(((D11068/100)*(C11068*VLOOKUP(B11068,'Poids des runes'!A:B,2,FALSE)))+1)/VLOOKUP(B11068,'Poids des runes'!A:B,2,FALSE))</f>
        <v>1.75</v>
      </c>
      <c r="F11068">
        <f t="shared" si="172"/>
        <v>1.75</v>
      </c>
    </row>
    <row r="11069" spans="1:6" x14ac:dyDescent="0.3">
      <c r="A11069" t="s">
        <v>1811</v>
      </c>
      <c r="B11069" t="s">
        <v>2132</v>
      </c>
      <c r="C11069">
        <v>275.5</v>
      </c>
      <c r="D11069">
        <v>68</v>
      </c>
      <c r="E11069">
        <f>IF(OR(B11069="vi",B11069="ii",B11069="pod"),(((D11069/100)*(C11069*VLOOKUP(B11069,'Poids des runes'!A:B,2,FALSE)))+1),(((D11069/100)*(C11069*VLOOKUP(B11069,'Poids des runes'!A:B,2,FALSE)))+1)/VLOOKUP(B11069,'Poids des runes'!A:B,2,FALSE))</f>
        <v>19.734000000000002</v>
      </c>
      <c r="F11069">
        <f t="shared" si="172"/>
        <v>19.734000000000002</v>
      </c>
    </row>
    <row r="11070" spans="1:6" x14ac:dyDescent="0.3">
      <c r="A11070" t="s">
        <v>1811</v>
      </c>
      <c r="B11070" t="s">
        <v>2141</v>
      </c>
      <c r="C11070">
        <v>8.5</v>
      </c>
      <c r="D11070">
        <v>68</v>
      </c>
      <c r="E11070">
        <f>IF(OR(B11070="vi",B11070="ii",B11070="pod"),(((D11070/100)*(C11070*VLOOKUP(B11070,'Poids des runes'!A:B,2,FALSE)))+1),(((D11070/100)*(C11070*VLOOKUP(B11070,'Poids des runes'!A:B,2,FALSE)))+1)/VLOOKUP(B11070,'Poids des runes'!A:B,2,FALSE))</f>
        <v>6.03</v>
      </c>
      <c r="F11070">
        <f t="shared" si="172"/>
        <v>6.03</v>
      </c>
    </row>
    <row r="11071" spans="1:6" x14ac:dyDescent="0.3">
      <c r="A11071" t="s">
        <v>1812</v>
      </c>
      <c r="B11071" t="s">
        <v>2128</v>
      </c>
      <c r="C11071">
        <v>50.5</v>
      </c>
      <c r="D11071">
        <v>68</v>
      </c>
      <c r="E11071">
        <f>IF(OR(B11071="vi",B11071="ii",B11071="pod"),(((D11071/100)*(C11071*VLOOKUP(B11071,'Poids des runes'!A:B,2,FALSE)))+1),(((D11071/100)*(C11071*VLOOKUP(B11071,'Poids des runes'!A:B,2,FALSE)))+1)/VLOOKUP(B11071,'Poids des runes'!A:B,2,FALSE))</f>
        <v>7.8680000000000012</v>
      </c>
      <c r="F11071">
        <f t="shared" si="172"/>
        <v>7.8680000000000012</v>
      </c>
    </row>
    <row r="11072" spans="1:6" x14ac:dyDescent="0.3">
      <c r="A11072" t="s">
        <v>1812</v>
      </c>
      <c r="B11072" t="s">
        <v>2126</v>
      </c>
      <c r="C11072">
        <v>35.5</v>
      </c>
      <c r="D11072">
        <v>68</v>
      </c>
      <c r="E11072">
        <f>IF(OR(B11072="vi",B11072="ii",B11072="pod"),(((D11072/100)*(C11072*VLOOKUP(B11072,'Poids des runes'!A:B,2,FALSE)))+1),(((D11072/100)*(C11072*VLOOKUP(B11072,'Poids des runes'!A:B,2,FALSE)))+1)/VLOOKUP(B11072,'Poids des runes'!A:B,2,FALSE))</f>
        <v>25.14</v>
      </c>
      <c r="F11072">
        <f t="shared" si="172"/>
        <v>25.14</v>
      </c>
    </row>
    <row r="11073" spans="1:6" x14ac:dyDescent="0.3">
      <c r="A11073" t="s">
        <v>1812</v>
      </c>
      <c r="B11073" t="s">
        <v>2151</v>
      </c>
      <c r="C11073">
        <v>3.5</v>
      </c>
      <c r="D11073">
        <v>68</v>
      </c>
      <c r="E11073">
        <f>IF(OR(B11073="vi",B11073="ii",B11073="pod"),(((D11073/100)*(C11073*VLOOKUP(B11073,'Poids des runes'!A:B,2,FALSE)))+1),(((D11073/100)*(C11073*VLOOKUP(B11073,'Poids des runes'!A:B,2,FALSE)))+1)/VLOOKUP(B11073,'Poids des runes'!A:B,2,FALSE))</f>
        <v>2.48</v>
      </c>
      <c r="F11073">
        <f t="shared" si="172"/>
        <v>2.48</v>
      </c>
    </row>
    <row r="11074" spans="1:6" x14ac:dyDescent="0.3">
      <c r="A11074" t="s">
        <v>1812</v>
      </c>
      <c r="B11074" t="s">
        <v>2132</v>
      </c>
      <c r="C11074">
        <v>175.5</v>
      </c>
      <c r="D11074">
        <v>68</v>
      </c>
      <c r="E11074">
        <f>IF(OR(B11074="vi",B11074="ii",B11074="pod"),(((D11074/100)*(C11074*VLOOKUP(B11074,'Poids des runes'!A:B,2,FALSE)))+1),(((D11074/100)*(C11074*VLOOKUP(B11074,'Poids des runes'!A:B,2,FALSE)))+1)/VLOOKUP(B11074,'Poids des runes'!A:B,2,FALSE))</f>
        <v>12.934000000000001</v>
      </c>
      <c r="F11074">
        <f t="shared" si="172"/>
        <v>12.934000000000001</v>
      </c>
    </row>
    <row r="11075" spans="1:6" x14ac:dyDescent="0.3">
      <c r="A11075" t="s">
        <v>1812</v>
      </c>
      <c r="B11075" t="s">
        <v>2166</v>
      </c>
      <c r="C11075">
        <v>1</v>
      </c>
      <c r="D11075">
        <v>68</v>
      </c>
      <c r="E11075">
        <f>IF(OR(B11075="vi",B11075="ii",B11075="pod"),(((D11075/100)*(C11075*VLOOKUP(B11075,'Poids des runes'!A:B,2,FALSE)))+1),(((D11075/100)*(C11075*VLOOKUP(B11075,'Poids des runes'!A:B,2,FALSE)))+1)/VLOOKUP(B11075,'Poids des runes'!A:B,2,FALSE))</f>
        <v>1.0133333333333334</v>
      </c>
      <c r="F11075">
        <f t="shared" ref="F11075:F11138" si="173">E11075</f>
        <v>1.0133333333333334</v>
      </c>
    </row>
    <row r="11076" spans="1:6" x14ac:dyDescent="0.3">
      <c r="A11076" t="s">
        <v>1813</v>
      </c>
      <c r="B11076" t="s">
        <v>2128</v>
      </c>
      <c r="C11076">
        <v>40.5</v>
      </c>
      <c r="D11076">
        <v>69</v>
      </c>
      <c r="E11076">
        <f>IF(OR(B11076="vi",B11076="ii",B11076="pod"),(((D11076/100)*(C11076*VLOOKUP(B11076,'Poids des runes'!A:B,2,FALSE)))+1),(((D11076/100)*(C11076*VLOOKUP(B11076,'Poids des runes'!A:B,2,FALSE)))+1)/VLOOKUP(B11076,'Poids des runes'!A:B,2,FALSE))</f>
        <v>6.5889999999999995</v>
      </c>
      <c r="F11076">
        <f t="shared" si="173"/>
        <v>6.5889999999999995</v>
      </c>
    </row>
    <row r="11077" spans="1:6" x14ac:dyDescent="0.3">
      <c r="A11077" t="s">
        <v>1813</v>
      </c>
      <c r="B11077" t="s">
        <v>2130</v>
      </c>
      <c r="C11077">
        <v>33</v>
      </c>
      <c r="D11077">
        <v>69</v>
      </c>
      <c r="E11077">
        <f>IF(OR(B11077="vi",B11077="ii",B11077="pod"),(((D11077/100)*(C11077*VLOOKUP(B11077,'Poids des runes'!A:B,2,FALSE)))+1),(((D11077/100)*(C11077*VLOOKUP(B11077,'Poids des runes'!A:B,2,FALSE)))+1)/VLOOKUP(B11077,'Poids des runes'!A:B,2,FALSE))</f>
        <v>23.77</v>
      </c>
      <c r="F11077">
        <f t="shared" si="173"/>
        <v>23.77</v>
      </c>
    </row>
    <row r="11078" spans="1:6" x14ac:dyDescent="0.3">
      <c r="A11078" t="s">
        <v>1813</v>
      </c>
      <c r="B11078" t="s">
        <v>2127</v>
      </c>
      <c r="C11078">
        <v>33</v>
      </c>
      <c r="D11078">
        <v>69</v>
      </c>
      <c r="E11078">
        <f>IF(OR(B11078="vi",B11078="ii",B11078="pod"),(((D11078/100)*(C11078*VLOOKUP(B11078,'Poids des runes'!A:B,2,FALSE)))+1),(((D11078/100)*(C11078*VLOOKUP(B11078,'Poids des runes'!A:B,2,FALSE)))+1)/VLOOKUP(B11078,'Poids des runes'!A:B,2,FALSE))</f>
        <v>23.77</v>
      </c>
      <c r="F11078">
        <f t="shared" si="173"/>
        <v>23.77</v>
      </c>
    </row>
    <row r="11079" spans="1:6" x14ac:dyDescent="0.3">
      <c r="A11079" t="s">
        <v>1813</v>
      </c>
      <c r="B11079" t="s">
        <v>2129</v>
      </c>
      <c r="C11079">
        <v>23</v>
      </c>
      <c r="D11079">
        <v>69</v>
      </c>
      <c r="E11079">
        <f>IF(OR(B11079="vi",B11079="ii",B11079="pod"),(((D11079/100)*(C11079*VLOOKUP(B11079,'Poids des runes'!A:B,2,FALSE)))+1),(((D11079/100)*(C11079*VLOOKUP(B11079,'Poids des runes'!A:B,2,FALSE)))+1)/VLOOKUP(B11079,'Poids des runes'!A:B,2,FALSE))</f>
        <v>16.869999999999997</v>
      </c>
      <c r="F11079">
        <f t="shared" si="173"/>
        <v>16.869999999999997</v>
      </c>
    </row>
    <row r="11080" spans="1:6" x14ac:dyDescent="0.3">
      <c r="A11080" t="s">
        <v>1813</v>
      </c>
      <c r="B11080" t="s">
        <v>2166</v>
      </c>
      <c r="C11080">
        <v>1</v>
      </c>
      <c r="D11080">
        <v>69</v>
      </c>
      <c r="E11080">
        <f>IF(OR(B11080="vi",B11080="ii",B11080="pod"),(((D11080/100)*(C11080*VLOOKUP(B11080,'Poids des runes'!A:B,2,FALSE)))+1),(((D11080/100)*(C11080*VLOOKUP(B11080,'Poids des runes'!A:B,2,FALSE)))+1)/VLOOKUP(B11080,'Poids des runes'!A:B,2,FALSE))</f>
        <v>1.0233333333333332</v>
      </c>
      <c r="F11080">
        <f t="shared" si="173"/>
        <v>1.0233333333333332</v>
      </c>
    </row>
    <row r="11081" spans="1:6" x14ac:dyDescent="0.3">
      <c r="A11081" t="s">
        <v>1814</v>
      </c>
      <c r="B11081" t="s">
        <v>2128</v>
      </c>
      <c r="C11081">
        <v>23</v>
      </c>
      <c r="D11081">
        <v>69</v>
      </c>
      <c r="E11081">
        <f>IF(OR(B11081="vi",B11081="ii",B11081="pod"),(((D11081/100)*(C11081*VLOOKUP(B11081,'Poids des runes'!A:B,2,FALSE)))+1),(((D11081/100)*(C11081*VLOOKUP(B11081,'Poids des runes'!A:B,2,FALSE)))+1)/VLOOKUP(B11081,'Poids des runes'!A:B,2,FALSE))</f>
        <v>4.1739999999999995</v>
      </c>
      <c r="F11081">
        <f t="shared" si="173"/>
        <v>4.1739999999999995</v>
      </c>
    </row>
    <row r="11082" spans="1:6" x14ac:dyDescent="0.3">
      <c r="A11082" t="s">
        <v>1814</v>
      </c>
      <c r="B11082" t="s">
        <v>2126</v>
      </c>
      <c r="C11082">
        <v>23</v>
      </c>
      <c r="D11082">
        <v>69</v>
      </c>
      <c r="E11082">
        <f>IF(OR(B11082="vi",B11082="ii",B11082="pod"),(((D11082/100)*(C11082*VLOOKUP(B11082,'Poids des runes'!A:B,2,FALSE)))+1),(((D11082/100)*(C11082*VLOOKUP(B11082,'Poids des runes'!A:B,2,FALSE)))+1)/VLOOKUP(B11082,'Poids des runes'!A:B,2,FALSE))</f>
        <v>16.869999999999997</v>
      </c>
      <c r="F11082">
        <f t="shared" si="173"/>
        <v>16.869999999999997</v>
      </c>
    </row>
    <row r="11083" spans="1:6" x14ac:dyDescent="0.3">
      <c r="A11083" t="s">
        <v>1814</v>
      </c>
      <c r="B11083" t="s">
        <v>2131</v>
      </c>
      <c r="C11083">
        <v>23</v>
      </c>
      <c r="D11083">
        <v>69</v>
      </c>
      <c r="E11083">
        <f>IF(OR(B11083="vi",B11083="ii",B11083="pod"),(((D11083/100)*(C11083*VLOOKUP(B11083,'Poids des runes'!A:B,2,FALSE)))+1),(((D11083/100)*(C11083*VLOOKUP(B11083,'Poids des runes'!A:B,2,FALSE)))+1)/VLOOKUP(B11083,'Poids des runes'!A:B,2,FALSE))</f>
        <v>16.869999999999997</v>
      </c>
      <c r="F11083">
        <f t="shared" si="173"/>
        <v>16.869999999999997</v>
      </c>
    </row>
    <row r="11084" spans="1:6" x14ac:dyDescent="0.3">
      <c r="A11084" t="s">
        <v>1814</v>
      </c>
      <c r="B11084" t="s">
        <v>2129</v>
      </c>
      <c r="C11084">
        <v>23</v>
      </c>
      <c r="D11084">
        <v>69</v>
      </c>
      <c r="E11084">
        <f>IF(OR(B11084="vi",B11084="ii",B11084="pod"),(((D11084/100)*(C11084*VLOOKUP(B11084,'Poids des runes'!A:B,2,FALSE)))+1),(((D11084/100)*(C11084*VLOOKUP(B11084,'Poids des runes'!A:B,2,FALSE)))+1)/VLOOKUP(B11084,'Poids des runes'!A:B,2,FALSE))</f>
        <v>16.869999999999997</v>
      </c>
      <c r="F11084">
        <f t="shared" si="173"/>
        <v>16.869999999999997</v>
      </c>
    </row>
    <row r="11085" spans="1:6" x14ac:dyDescent="0.3">
      <c r="A11085" t="s">
        <v>1814</v>
      </c>
      <c r="B11085" t="s">
        <v>2149</v>
      </c>
      <c r="C11085">
        <v>4.5</v>
      </c>
      <c r="D11085">
        <v>69</v>
      </c>
      <c r="E11085">
        <f>IF(OR(B11085="vi",B11085="ii",B11085="pod"),(((D11085/100)*(C11085*VLOOKUP(B11085,'Poids des runes'!A:B,2,FALSE)))+1),(((D11085/100)*(C11085*VLOOKUP(B11085,'Poids des runes'!A:B,2,FALSE)))+1)/VLOOKUP(B11085,'Poids des runes'!A:B,2,FALSE))</f>
        <v>3.2049999999999996</v>
      </c>
      <c r="F11085">
        <f t="shared" si="173"/>
        <v>3.2049999999999996</v>
      </c>
    </row>
    <row r="11086" spans="1:6" x14ac:dyDescent="0.3">
      <c r="A11086" t="s">
        <v>1815</v>
      </c>
      <c r="B11086" t="s">
        <v>2128</v>
      </c>
      <c r="C11086">
        <v>93</v>
      </c>
      <c r="D11086">
        <v>70</v>
      </c>
      <c r="E11086">
        <f>IF(OR(B11086="vi",B11086="ii",B11086="pod"),(((D11086/100)*(C11086*VLOOKUP(B11086,'Poids des runes'!A:B,2,FALSE)))+1),(((D11086/100)*(C11086*VLOOKUP(B11086,'Poids des runes'!A:B,2,FALSE)))+1)/VLOOKUP(B11086,'Poids des runes'!A:B,2,FALSE))</f>
        <v>14.02</v>
      </c>
      <c r="F11086">
        <f t="shared" si="173"/>
        <v>14.02</v>
      </c>
    </row>
    <row r="11087" spans="1:6" x14ac:dyDescent="0.3">
      <c r="A11087" t="s">
        <v>1815</v>
      </c>
      <c r="B11087" t="s">
        <v>2130</v>
      </c>
      <c r="C11087">
        <v>35.5</v>
      </c>
      <c r="D11087">
        <v>70</v>
      </c>
      <c r="E11087">
        <f>IF(OR(B11087="vi",B11087="ii",B11087="pod"),(((D11087/100)*(C11087*VLOOKUP(B11087,'Poids des runes'!A:B,2,FALSE)))+1),(((D11087/100)*(C11087*VLOOKUP(B11087,'Poids des runes'!A:B,2,FALSE)))+1)/VLOOKUP(B11087,'Poids des runes'!A:B,2,FALSE))</f>
        <v>25.849999999999998</v>
      </c>
      <c r="F11087">
        <f t="shared" si="173"/>
        <v>25.849999999999998</v>
      </c>
    </row>
    <row r="11088" spans="1:6" x14ac:dyDescent="0.3">
      <c r="A11088" t="s">
        <v>1815</v>
      </c>
      <c r="B11088" t="s">
        <v>2126</v>
      </c>
      <c r="C11088">
        <v>35.5</v>
      </c>
      <c r="D11088">
        <v>70</v>
      </c>
      <c r="E11088">
        <f>IF(OR(B11088="vi",B11088="ii",B11088="pod"),(((D11088/100)*(C11088*VLOOKUP(B11088,'Poids des runes'!A:B,2,FALSE)))+1),(((D11088/100)*(C11088*VLOOKUP(B11088,'Poids des runes'!A:B,2,FALSE)))+1)/VLOOKUP(B11088,'Poids des runes'!A:B,2,FALSE))</f>
        <v>25.849999999999998</v>
      </c>
      <c r="F11088">
        <f t="shared" si="173"/>
        <v>25.849999999999998</v>
      </c>
    </row>
    <row r="11089" spans="1:6" x14ac:dyDescent="0.3">
      <c r="A11089" t="s">
        <v>1815</v>
      </c>
      <c r="B11089" t="s">
        <v>2164</v>
      </c>
      <c r="C11089">
        <v>15</v>
      </c>
      <c r="D11089">
        <v>70</v>
      </c>
      <c r="E11089">
        <f>IF(OR(B11089="vi",B11089="ii",B11089="pod"),(((D11089/100)*(C11089*VLOOKUP(B11089,'Poids des runes'!A:B,2,FALSE)))+1),(((D11089/100)*(C11089*VLOOKUP(B11089,'Poids des runes'!A:B,2,FALSE)))+1)/VLOOKUP(B11089,'Poids des runes'!A:B,2,FALSE))</f>
        <v>11</v>
      </c>
      <c r="F11089">
        <f t="shared" si="173"/>
        <v>11</v>
      </c>
    </row>
    <row r="11090" spans="1:6" x14ac:dyDescent="0.3">
      <c r="A11090" t="s">
        <v>1816</v>
      </c>
      <c r="B11090" t="s">
        <v>2130</v>
      </c>
      <c r="C11090">
        <v>35.5</v>
      </c>
      <c r="D11090">
        <v>70</v>
      </c>
      <c r="E11090">
        <f>IF(OR(B11090="vi",B11090="ii",B11090="pod"),(((D11090/100)*(C11090*VLOOKUP(B11090,'Poids des runes'!A:B,2,FALSE)))+1),(((D11090/100)*(C11090*VLOOKUP(B11090,'Poids des runes'!A:B,2,FALSE)))+1)/VLOOKUP(B11090,'Poids des runes'!A:B,2,FALSE))</f>
        <v>25.849999999999998</v>
      </c>
      <c r="F11090">
        <f t="shared" si="173"/>
        <v>25.849999999999998</v>
      </c>
    </row>
    <row r="11091" spans="1:6" x14ac:dyDescent="0.3">
      <c r="A11091" t="s">
        <v>1816</v>
      </c>
      <c r="B11091" t="s">
        <v>2139</v>
      </c>
      <c r="C11091">
        <v>13</v>
      </c>
      <c r="D11091">
        <v>70</v>
      </c>
      <c r="E11091">
        <f>IF(OR(B11091="vi",B11091="ii",B11091="pod"),(((D11091/100)*(C11091*VLOOKUP(B11091,'Poids des runes'!A:B,2,FALSE)))+1),(((D11091/100)*(C11091*VLOOKUP(B11091,'Poids des runes'!A:B,2,FALSE)))+1)/VLOOKUP(B11091,'Poids des runes'!A:B,2,FALSE))</f>
        <v>9.6</v>
      </c>
      <c r="F11091">
        <f t="shared" si="173"/>
        <v>9.6</v>
      </c>
    </row>
    <row r="11092" spans="1:6" x14ac:dyDescent="0.3">
      <c r="A11092" t="s">
        <v>1816</v>
      </c>
      <c r="B11092" t="s">
        <v>2151</v>
      </c>
      <c r="C11092">
        <v>4</v>
      </c>
      <c r="D11092">
        <v>70</v>
      </c>
      <c r="E11092">
        <f>IF(OR(B11092="vi",B11092="ii",B11092="pod"),(((D11092/100)*(C11092*VLOOKUP(B11092,'Poids des runes'!A:B,2,FALSE)))+1),(((D11092/100)*(C11092*VLOOKUP(B11092,'Poids des runes'!A:B,2,FALSE)))+1)/VLOOKUP(B11092,'Poids des runes'!A:B,2,FALSE))</f>
        <v>2.9</v>
      </c>
      <c r="F11092">
        <f t="shared" si="173"/>
        <v>2.9</v>
      </c>
    </row>
    <row r="11093" spans="1:6" x14ac:dyDescent="0.3">
      <c r="A11093" t="s">
        <v>1816</v>
      </c>
      <c r="B11093" t="s">
        <v>2155</v>
      </c>
      <c r="C11093">
        <v>1</v>
      </c>
      <c r="D11093">
        <v>70</v>
      </c>
      <c r="E11093">
        <f>IF(OR(B11093="vi",B11093="ii",B11093="pod"),(((D11093/100)*(C11093*VLOOKUP(B11093,'Poids des runes'!A:B,2,FALSE)))+1),(((D11093/100)*(C11093*VLOOKUP(B11093,'Poids des runes'!A:B,2,FALSE)))+1)/VLOOKUP(B11093,'Poids des runes'!A:B,2,FALSE))</f>
        <v>0.71960784313725479</v>
      </c>
      <c r="F11093">
        <f t="shared" si="173"/>
        <v>0.71960784313725479</v>
      </c>
    </row>
    <row r="11094" spans="1:6" x14ac:dyDescent="0.3">
      <c r="A11094" t="s">
        <v>1816</v>
      </c>
      <c r="B11094" t="s">
        <v>2132</v>
      </c>
      <c r="C11094">
        <v>175.5</v>
      </c>
      <c r="D11094">
        <v>70</v>
      </c>
      <c r="E11094">
        <f>IF(OR(B11094="vi",B11094="ii",B11094="pod"),(((D11094/100)*(C11094*VLOOKUP(B11094,'Poids des runes'!A:B,2,FALSE)))+1),(((D11094/100)*(C11094*VLOOKUP(B11094,'Poids des runes'!A:B,2,FALSE)))+1)/VLOOKUP(B11094,'Poids des runes'!A:B,2,FALSE))</f>
        <v>13.285</v>
      </c>
      <c r="F11094">
        <f t="shared" si="173"/>
        <v>13.285</v>
      </c>
    </row>
    <row r="11095" spans="1:6" x14ac:dyDescent="0.3">
      <c r="A11095" t="s">
        <v>1817</v>
      </c>
      <c r="B11095" t="s">
        <v>2128</v>
      </c>
      <c r="C11095">
        <v>70.5</v>
      </c>
      <c r="D11095">
        <v>70</v>
      </c>
      <c r="E11095">
        <f>IF(OR(B11095="vi",B11095="ii",B11095="pod"),(((D11095/100)*(C11095*VLOOKUP(B11095,'Poids des runes'!A:B,2,FALSE)))+1),(((D11095/100)*(C11095*VLOOKUP(B11095,'Poids des runes'!A:B,2,FALSE)))+1)/VLOOKUP(B11095,'Poids des runes'!A:B,2,FALSE))</f>
        <v>10.870000000000001</v>
      </c>
      <c r="F11095">
        <f t="shared" si="173"/>
        <v>10.870000000000001</v>
      </c>
    </row>
    <row r="11096" spans="1:6" x14ac:dyDescent="0.3">
      <c r="A11096" t="s">
        <v>1817</v>
      </c>
      <c r="B11096" t="s">
        <v>2131</v>
      </c>
      <c r="C11096">
        <v>45.5</v>
      </c>
      <c r="D11096">
        <v>70</v>
      </c>
      <c r="E11096">
        <f>IF(OR(B11096="vi",B11096="ii",B11096="pod"),(((D11096/100)*(C11096*VLOOKUP(B11096,'Poids des runes'!A:B,2,FALSE)))+1),(((D11096/100)*(C11096*VLOOKUP(B11096,'Poids des runes'!A:B,2,FALSE)))+1)/VLOOKUP(B11096,'Poids des runes'!A:B,2,FALSE))</f>
        <v>32.849999999999994</v>
      </c>
      <c r="F11096">
        <f t="shared" si="173"/>
        <v>32.849999999999994</v>
      </c>
    </row>
    <row r="11097" spans="1:6" x14ac:dyDescent="0.3">
      <c r="A11097" t="s">
        <v>1817</v>
      </c>
      <c r="B11097" t="s">
        <v>2129</v>
      </c>
      <c r="C11097">
        <v>13</v>
      </c>
      <c r="D11097">
        <v>70</v>
      </c>
      <c r="E11097">
        <f>IF(OR(B11097="vi",B11097="ii",B11097="pod"),(((D11097/100)*(C11097*VLOOKUP(B11097,'Poids des runes'!A:B,2,FALSE)))+1),(((D11097/100)*(C11097*VLOOKUP(B11097,'Poids des runes'!A:B,2,FALSE)))+1)/VLOOKUP(B11097,'Poids des runes'!A:B,2,FALSE))</f>
        <v>10.1</v>
      </c>
      <c r="F11097">
        <f t="shared" si="173"/>
        <v>10.1</v>
      </c>
    </row>
    <row r="11098" spans="1:6" x14ac:dyDescent="0.3">
      <c r="A11098" t="s">
        <v>1817</v>
      </c>
      <c r="B11098" t="s">
        <v>2139</v>
      </c>
      <c r="C11098">
        <v>13</v>
      </c>
      <c r="D11098">
        <v>70</v>
      </c>
      <c r="E11098">
        <f>IF(OR(B11098="vi",B11098="ii",B11098="pod"),(((D11098/100)*(C11098*VLOOKUP(B11098,'Poids des runes'!A:B,2,FALSE)))+1),(((D11098/100)*(C11098*VLOOKUP(B11098,'Poids des runes'!A:B,2,FALSE)))+1)/VLOOKUP(B11098,'Poids des runes'!A:B,2,FALSE))</f>
        <v>9.6</v>
      </c>
      <c r="F11098">
        <f t="shared" si="173"/>
        <v>9.6</v>
      </c>
    </row>
    <row r="11099" spans="1:6" x14ac:dyDescent="0.3">
      <c r="A11099" t="s">
        <v>1817</v>
      </c>
      <c r="B11099" t="s">
        <v>2134</v>
      </c>
      <c r="C11099">
        <v>6</v>
      </c>
      <c r="D11099">
        <v>70</v>
      </c>
      <c r="E11099">
        <f>IF(OR(B11099="vi",B11099="ii",B11099="pod"),(((D11099/100)*(C11099*VLOOKUP(B11099,'Poids des runes'!A:B,2,FALSE)))+1),(((D11099/100)*(C11099*VLOOKUP(B11099,'Poids des runes'!A:B,2,FALSE)))+1)/VLOOKUP(B11099,'Poids des runes'!A:B,2,FALSE))</f>
        <v>4.25</v>
      </c>
      <c r="F11099">
        <f t="shared" si="173"/>
        <v>4.25</v>
      </c>
    </row>
    <row r="11100" spans="1:6" x14ac:dyDescent="0.3">
      <c r="A11100" t="s">
        <v>1818</v>
      </c>
      <c r="B11100" t="s">
        <v>2128</v>
      </c>
      <c r="C11100">
        <v>50.5</v>
      </c>
      <c r="D11100">
        <v>70</v>
      </c>
      <c r="E11100">
        <f>IF(OR(B11100="vi",B11100="ii",B11100="pod"),(((D11100/100)*(C11100*VLOOKUP(B11100,'Poids des runes'!A:B,2,FALSE)))+1),(((D11100/100)*(C11100*VLOOKUP(B11100,'Poids des runes'!A:B,2,FALSE)))+1)/VLOOKUP(B11100,'Poids des runes'!A:B,2,FALSE))</f>
        <v>8.07</v>
      </c>
      <c r="F11100">
        <f t="shared" si="173"/>
        <v>8.07</v>
      </c>
    </row>
    <row r="11101" spans="1:6" x14ac:dyDescent="0.3">
      <c r="A11101" t="s">
        <v>1818</v>
      </c>
      <c r="B11101" t="s">
        <v>2131</v>
      </c>
      <c r="C11101">
        <v>45.5</v>
      </c>
      <c r="D11101">
        <v>70</v>
      </c>
      <c r="E11101">
        <f>IF(OR(B11101="vi",B11101="ii",B11101="pod"),(((D11101/100)*(C11101*VLOOKUP(B11101,'Poids des runes'!A:B,2,FALSE)))+1),(((D11101/100)*(C11101*VLOOKUP(B11101,'Poids des runes'!A:B,2,FALSE)))+1)/VLOOKUP(B11101,'Poids des runes'!A:B,2,FALSE))</f>
        <v>32.849999999999994</v>
      </c>
      <c r="F11101">
        <f t="shared" si="173"/>
        <v>32.849999999999994</v>
      </c>
    </row>
    <row r="11102" spans="1:6" x14ac:dyDescent="0.3">
      <c r="A11102" t="s">
        <v>1818</v>
      </c>
      <c r="B11102" t="s">
        <v>2127</v>
      </c>
      <c r="C11102">
        <v>45.5</v>
      </c>
      <c r="D11102">
        <v>70</v>
      </c>
      <c r="E11102">
        <f>IF(OR(B11102="vi",B11102="ii",B11102="pod"),(((D11102/100)*(C11102*VLOOKUP(B11102,'Poids des runes'!A:B,2,FALSE)))+1),(((D11102/100)*(C11102*VLOOKUP(B11102,'Poids des runes'!A:B,2,FALSE)))+1)/VLOOKUP(B11102,'Poids des runes'!A:B,2,FALSE))</f>
        <v>32.849999999999994</v>
      </c>
      <c r="F11102">
        <f t="shared" si="173"/>
        <v>32.849999999999994</v>
      </c>
    </row>
    <row r="11103" spans="1:6" x14ac:dyDescent="0.3">
      <c r="A11103" t="s">
        <v>1818</v>
      </c>
      <c r="B11103" t="s">
        <v>2150</v>
      </c>
      <c r="C11103">
        <v>1</v>
      </c>
      <c r="D11103">
        <v>70</v>
      </c>
      <c r="E11103">
        <f>IF(OR(B11103="vi",B11103="ii",B11103="pod"),(((D11103/100)*(C11103*VLOOKUP(B11103,'Poids des runes'!A:B,2,FALSE)))+1),(((D11103/100)*(C11103*VLOOKUP(B11103,'Poids des runes'!A:B,2,FALSE)))+1)/VLOOKUP(B11103,'Poids des runes'!A:B,2,FALSE))</f>
        <v>0.73333333333333328</v>
      </c>
      <c r="F11103">
        <f t="shared" si="173"/>
        <v>0.73333333333333328</v>
      </c>
    </row>
    <row r="11104" spans="1:6" x14ac:dyDescent="0.3">
      <c r="A11104" t="s">
        <v>1818</v>
      </c>
      <c r="B11104" t="s">
        <v>2134</v>
      </c>
      <c r="C11104">
        <v>2.5</v>
      </c>
      <c r="D11104">
        <v>70</v>
      </c>
      <c r="E11104">
        <f>IF(OR(B11104="vi",B11104="ii",B11104="pod"),(((D11104/100)*(C11104*VLOOKUP(B11104,'Poids des runes'!A:B,2,FALSE)))+1),(((D11104/100)*(C11104*VLOOKUP(B11104,'Poids des runes'!A:B,2,FALSE)))+1)/VLOOKUP(B11104,'Poids des runes'!A:B,2,FALSE))</f>
        <v>1.8</v>
      </c>
      <c r="F11104">
        <f t="shared" si="173"/>
        <v>1.8</v>
      </c>
    </row>
    <row r="11105" spans="1:6" x14ac:dyDescent="0.3">
      <c r="A11105" t="s">
        <v>1819</v>
      </c>
      <c r="B11105" t="s">
        <v>2130</v>
      </c>
      <c r="C11105">
        <v>30.5</v>
      </c>
      <c r="D11105">
        <v>71</v>
      </c>
      <c r="E11105">
        <f>IF(OR(B11105="vi",B11105="ii",B11105="pod"),(((D11105/100)*(C11105*VLOOKUP(B11105,'Poids des runes'!A:B,2,FALSE)))+1),(((D11105/100)*(C11105*VLOOKUP(B11105,'Poids des runes'!A:B,2,FALSE)))+1)/VLOOKUP(B11105,'Poids des runes'!A:B,2,FALSE))</f>
        <v>22.654999999999998</v>
      </c>
      <c r="F11105">
        <f t="shared" si="173"/>
        <v>22.654999999999998</v>
      </c>
    </row>
    <row r="11106" spans="1:6" x14ac:dyDescent="0.3">
      <c r="A11106" t="s">
        <v>1819</v>
      </c>
      <c r="B11106" t="s">
        <v>2126</v>
      </c>
      <c r="C11106">
        <v>50.5</v>
      </c>
      <c r="D11106">
        <v>71</v>
      </c>
      <c r="E11106">
        <f>IF(OR(B11106="vi",B11106="ii",B11106="pod"),(((D11106/100)*(C11106*VLOOKUP(B11106,'Poids des runes'!A:B,2,FALSE)))+1),(((D11106/100)*(C11106*VLOOKUP(B11106,'Poids des runes'!A:B,2,FALSE)))+1)/VLOOKUP(B11106,'Poids des runes'!A:B,2,FALSE))</f>
        <v>36.854999999999997</v>
      </c>
      <c r="F11106">
        <f t="shared" si="173"/>
        <v>36.854999999999997</v>
      </c>
    </row>
    <row r="11107" spans="1:6" x14ac:dyDescent="0.3">
      <c r="A11107" t="s">
        <v>1819</v>
      </c>
      <c r="B11107" t="s">
        <v>2147</v>
      </c>
      <c r="C11107">
        <v>2.5</v>
      </c>
      <c r="D11107">
        <v>71</v>
      </c>
      <c r="E11107">
        <f>IF(OR(B11107="vi",B11107="ii",B11107="pod"),(((D11107/100)*(C11107*VLOOKUP(B11107,'Poids des runes'!A:B,2,FALSE)))+1),(((D11107/100)*(C11107*VLOOKUP(B11107,'Poids des runes'!A:B,2,FALSE)))+1)/VLOOKUP(B11107,'Poids des runes'!A:B,2,FALSE))</f>
        <v>1.9416666666666664</v>
      </c>
      <c r="F11107">
        <f t="shared" si="173"/>
        <v>1.9416666666666664</v>
      </c>
    </row>
    <row r="11108" spans="1:6" x14ac:dyDescent="0.3">
      <c r="A11108" t="s">
        <v>1819</v>
      </c>
      <c r="B11108" t="s">
        <v>2135</v>
      </c>
      <c r="C11108">
        <v>2.5</v>
      </c>
      <c r="D11108">
        <v>71</v>
      </c>
      <c r="E11108">
        <f>IF(OR(B11108="vi",B11108="ii",B11108="pod"),(((D11108/100)*(C11108*VLOOKUP(B11108,'Poids des runes'!A:B,2,FALSE)))+1),(((D11108/100)*(C11108*VLOOKUP(B11108,'Poids des runes'!A:B,2,FALSE)))+1)/VLOOKUP(B11108,'Poids des runes'!A:B,2,FALSE))</f>
        <v>1.9416666666666664</v>
      </c>
      <c r="F11108">
        <f t="shared" si="173"/>
        <v>1.9416666666666664</v>
      </c>
    </row>
    <row r="11109" spans="1:6" x14ac:dyDescent="0.3">
      <c r="A11109" t="s">
        <v>1819</v>
      </c>
      <c r="B11109" t="s">
        <v>2157</v>
      </c>
      <c r="C11109">
        <v>2.5</v>
      </c>
      <c r="D11109">
        <v>71</v>
      </c>
      <c r="E11109">
        <f>IF(OR(B11109="vi",B11109="ii",B11109="pod"),(((D11109/100)*(C11109*VLOOKUP(B11109,'Poids des runes'!A:B,2,FALSE)))+1),(((D11109/100)*(C11109*VLOOKUP(B11109,'Poids des runes'!A:B,2,FALSE)))+1)/VLOOKUP(B11109,'Poids des runes'!A:B,2,FALSE))</f>
        <v>1.9416666666666664</v>
      </c>
      <c r="F11109">
        <f t="shared" si="173"/>
        <v>1.9416666666666664</v>
      </c>
    </row>
    <row r="11110" spans="1:6" x14ac:dyDescent="0.3">
      <c r="A11110" t="s">
        <v>1820</v>
      </c>
      <c r="B11110" t="s">
        <v>2128</v>
      </c>
      <c r="C11110">
        <v>60.5</v>
      </c>
      <c r="D11110">
        <v>71</v>
      </c>
      <c r="E11110">
        <f>IF(OR(B11110="vi",B11110="ii",B11110="pod"),(((D11110/100)*(C11110*VLOOKUP(B11110,'Poids des runes'!A:B,2,FALSE)))+1),(((D11110/100)*(C11110*VLOOKUP(B11110,'Poids des runes'!A:B,2,FALSE)))+1)/VLOOKUP(B11110,'Poids des runes'!A:B,2,FALSE))</f>
        <v>9.5910000000000011</v>
      </c>
      <c r="F11110">
        <f t="shared" si="173"/>
        <v>9.5910000000000011</v>
      </c>
    </row>
    <row r="11111" spans="1:6" x14ac:dyDescent="0.3">
      <c r="A11111" t="s">
        <v>1820</v>
      </c>
      <c r="B11111" t="s">
        <v>2126</v>
      </c>
      <c r="C11111">
        <v>35.5</v>
      </c>
      <c r="D11111">
        <v>71</v>
      </c>
      <c r="E11111">
        <f>IF(OR(B11111="vi",B11111="ii",B11111="pod"),(((D11111/100)*(C11111*VLOOKUP(B11111,'Poids des runes'!A:B,2,FALSE)))+1),(((D11111/100)*(C11111*VLOOKUP(B11111,'Poids des runes'!A:B,2,FALSE)))+1)/VLOOKUP(B11111,'Poids des runes'!A:B,2,FALSE))</f>
        <v>26.204999999999998</v>
      </c>
      <c r="F11111">
        <f t="shared" si="173"/>
        <v>26.204999999999998</v>
      </c>
    </row>
    <row r="11112" spans="1:6" x14ac:dyDescent="0.3">
      <c r="A11112" t="s">
        <v>1820</v>
      </c>
      <c r="B11112" t="s">
        <v>2131</v>
      </c>
      <c r="C11112">
        <v>35.5</v>
      </c>
      <c r="D11112">
        <v>71</v>
      </c>
      <c r="E11112">
        <f>IF(OR(B11112="vi",B11112="ii",B11112="pod"),(((D11112/100)*(C11112*VLOOKUP(B11112,'Poids des runes'!A:B,2,FALSE)))+1),(((D11112/100)*(C11112*VLOOKUP(B11112,'Poids des runes'!A:B,2,FALSE)))+1)/VLOOKUP(B11112,'Poids des runes'!A:B,2,FALSE))</f>
        <v>26.204999999999998</v>
      </c>
      <c r="F11112">
        <f t="shared" si="173"/>
        <v>26.204999999999998</v>
      </c>
    </row>
    <row r="11113" spans="1:6" x14ac:dyDescent="0.3">
      <c r="A11113" t="s">
        <v>1820</v>
      </c>
      <c r="B11113" t="s">
        <v>2129</v>
      </c>
      <c r="C11113">
        <v>18</v>
      </c>
      <c r="D11113">
        <v>71</v>
      </c>
      <c r="E11113">
        <f>IF(OR(B11113="vi",B11113="ii",B11113="pod"),(((D11113/100)*(C11113*VLOOKUP(B11113,'Poids des runes'!A:B,2,FALSE)))+1),(((D11113/100)*(C11113*VLOOKUP(B11113,'Poids des runes'!A:B,2,FALSE)))+1)/VLOOKUP(B11113,'Poids des runes'!A:B,2,FALSE))</f>
        <v>13.78</v>
      </c>
      <c r="F11113">
        <f t="shared" si="173"/>
        <v>13.78</v>
      </c>
    </row>
    <row r="11114" spans="1:6" x14ac:dyDescent="0.3">
      <c r="A11114" t="s">
        <v>1820</v>
      </c>
      <c r="B11114" t="s">
        <v>2149</v>
      </c>
      <c r="C11114">
        <v>8.5</v>
      </c>
      <c r="D11114">
        <v>71</v>
      </c>
      <c r="E11114">
        <f>IF(OR(B11114="vi",B11114="ii",B11114="pod"),(((D11114/100)*(C11114*VLOOKUP(B11114,'Poids des runes'!A:B,2,FALSE)))+1),(((D11114/100)*(C11114*VLOOKUP(B11114,'Poids des runes'!A:B,2,FALSE)))+1)/VLOOKUP(B11114,'Poids des runes'!A:B,2,FALSE))</f>
        <v>6.1349999999999998</v>
      </c>
      <c r="F11114">
        <f t="shared" si="173"/>
        <v>6.1349999999999998</v>
      </c>
    </row>
    <row r="11115" spans="1:6" x14ac:dyDescent="0.3">
      <c r="A11115" t="s">
        <v>1820</v>
      </c>
      <c r="B11115" t="s">
        <v>2141</v>
      </c>
      <c r="C11115">
        <v>6</v>
      </c>
      <c r="D11115">
        <v>71</v>
      </c>
      <c r="E11115">
        <f>IF(OR(B11115="vi",B11115="ii",B11115="pod"),(((D11115/100)*(C11115*VLOOKUP(B11115,'Poids des runes'!A:B,2,FALSE)))+1),(((D11115/100)*(C11115*VLOOKUP(B11115,'Poids des runes'!A:B,2,FALSE)))+1)/VLOOKUP(B11115,'Poids des runes'!A:B,2,FALSE))</f>
        <v>4.51</v>
      </c>
      <c r="F11115">
        <f t="shared" si="173"/>
        <v>4.51</v>
      </c>
    </row>
    <row r="11116" spans="1:6" x14ac:dyDescent="0.3">
      <c r="A11116" t="s">
        <v>1821</v>
      </c>
      <c r="B11116" t="s">
        <v>2128</v>
      </c>
      <c r="C11116">
        <v>40.5</v>
      </c>
      <c r="D11116">
        <v>72</v>
      </c>
      <c r="E11116">
        <f>IF(OR(B11116="vi",B11116="ii",B11116="pod"),(((D11116/100)*(C11116*VLOOKUP(B11116,'Poids des runes'!A:B,2,FALSE)))+1),(((D11116/100)*(C11116*VLOOKUP(B11116,'Poids des runes'!A:B,2,FALSE)))+1)/VLOOKUP(B11116,'Poids des runes'!A:B,2,FALSE))</f>
        <v>6.8319999999999999</v>
      </c>
      <c r="F11116">
        <f t="shared" si="173"/>
        <v>6.8319999999999999</v>
      </c>
    </row>
    <row r="11117" spans="1:6" x14ac:dyDescent="0.3">
      <c r="A11117" t="s">
        <v>1821</v>
      </c>
      <c r="B11117" t="s">
        <v>2131</v>
      </c>
      <c r="C11117">
        <v>23</v>
      </c>
      <c r="D11117">
        <v>72</v>
      </c>
      <c r="E11117">
        <f>IF(OR(B11117="vi",B11117="ii",B11117="pod"),(((D11117/100)*(C11117*VLOOKUP(B11117,'Poids des runes'!A:B,2,FALSE)))+1),(((D11117/100)*(C11117*VLOOKUP(B11117,'Poids des runes'!A:B,2,FALSE)))+1)/VLOOKUP(B11117,'Poids des runes'!A:B,2,FALSE))</f>
        <v>17.559999999999999</v>
      </c>
      <c r="F11117">
        <f t="shared" si="173"/>
        <v>17.559999999999999</v>
      </c>
    </row>
    <row r="11118" spans="1:6" x14ac:dyDescent="0.3">
      <c r="A11118" t="s">
        <v>1821</v>
      </c>
      <c r="B11118" t="s">
        <v>2151</v>
      </c>
      <c r="C11118">
        <v>4</v>
      </c>
      <c r="D11118">
        <v>72</v>
      </c>
      <c r="E11118">
        <f>IF(OR(B11118="vi",B11118="ii",B11118="pod"),(((D11118/100)*(C11118*VLOOKUP(B11118,'Poids des runes'!A:B,2,FALSE)))+1),(((D11118/100)*(C11118*VLOOKUP(B11118,'Poids des runes'!A:B,2,FALSE)))+1)/VLOOKUP(B11118,'Poids des runes'!A:B,2,FALSE))</f>
        <v>2.9799999999999995</v>
      </c>
      <c r="F11118">
        <f t="shared" si="173"/>
        <v>2.9799999999999995</v>
      </c>
    </row>
    <row r="11119" spans="1:6" x14ac:dyDescent="0.3">
      <c r="A11119" t="s">
        <v>1821</v>
      </c>
      <c r="B11119" t="s">
        <v>2152</v>
      </c>
      <c r="C11119">
        <v>1</v>
      </c>
      <c r="D11119">
        <v>72</v>
      </c>
      <c r="E11119">
        <f>IF(OR(B11119="vi",B11119="ii",B11119="pod"),(((D11119/100)*(C11119*VLOOKUP(B11119,'Poids des runes'!A:B,2,FALSE)))+1),(((D11119/100)*(C11119*VLOOKUP(B11119,'Poids des runes'!A:B,2,FALSE)))+1)/VLOOKUP(B11119,'Poids des runes'!A:B,2,FALSE))</f>
        <v>0.73</v>
      </c>
      <c r="F11119">
        <f t="shared" si="173"/>
        <v>0.73</v>
      </c>
    </row>
    <row r="11120" spans="1:6" x14ac:dyDescent="0.3">
      <c r="A11120" t="s">
        <v>1821</v>
      </c>
      <c r="B11120" t="s">
        <v>2150</v>
      </c>
      <c r="C11120">
        <v>1</v>
      </c>
      <c r="D11120">
        <v>72</v>
      </c>
      <c r="E11120">
        <f>IF(OR(B11120="vi",B11120="ii",B11120="pod"),(((D11120/100)*(C11120*VLOOKUP(B11120,'Poids des runes'!A:B,2,FALSE)))+1),(((D11120/100)*(C11120*VLOOKUP(B11120,'Poids des runes'!A:B,2,FALSE)))+1)/VLOOKUP(B11120,'Poids des runes'!A:B,2,FALSE))</f>
        <v>0.7533333333333333</v>
      </c>
      <c r="F11120">
        <f t="shared" si="173"/>
        <v>0.7533333333333333</v>
      </c>
    </row>
    <row r="11121" spans="1:6" x14ac:dyDescent="0.3">
      <c r="A11121" t="s">
        <v>1821</v>
      </c>
      <c r="B11121" t="s">
        <v>2134</v>
      </c>
      <c r="C11121">
        <v>2.5</v>
      </c>
      <c r="D11121">
        <v>72</v>
      </c>
      <c r="E11121">
        <f>IF(OR(B11121="vi",B11121="ii",B11121="pod"),(((D11121/100)*(C11121*VLOOKUP(B11121,'Poids des runes'!A:B,2,FALSE)))+1),(((D11121/100)*(C11121*VLOOKUP(B11121,'Poids des runes'!A:B,2,FALSE)))+1)/VLOOKUP(B11121,'Poids des runes'!A:B,2,FALSE))</f>
        <v>1.85</v>
      </c>
      <c r="F11121">
        <f t="shared" si="173"/>
        <v>1.85</v>
      </c>
    </row>
    <row r="11122" spans="1:6" x14ac:dyDescent="0.3">
      <c r="A11122" t="s">
        <v>1822</v>
      </c>
      <c r="B11122" t="s">
        <v>2130</v>
      </c>
      <c r="C11122">
        <v>50.5</v>
      </c>
      <c r="D11122">
        <v>72</v>
      </c>
      <c r="E11122">
        <f>IF(OR(B11122="vi",B11122="ii",B11122="pod"),(((D11122/100)*(C11122*VLOOKUP(B11122,'Poids des runes'!A:B,2,FALSE)))+1),(((D11122/100)*(C11122*VLOOKUP(B11122,'Poids des runes'!A:B,2,FALSE)))+1)/VLOOKUP(B11122,'Poids des runes'!A:B,2,FALSE))</f>
        <v>37.36</v>
      </c>
      <c r="F11122">
        <f t="shared" si="173"/>
        <v>37.36</v>
      </c>
    </row>
    <row r="11123" spans="1:6" x14ac:dyDescent="0.3">
      <c r="A11123" t="s">
        <v>1822</v>
      </c>
      <c r="B11123" t="s">
        <v>2127</v>
      </c>
      <c r="C11123">
        <v>50.5</v>
      </c>
      <c r="D11123">
        <v>72</v>
      </c>
      <c r="E11123">
        <f>IF(OR(B11123="vi",B11123="ii",B11123="pod"),(((D11123/100)*(C11123*VLOOKUP(B11123,'Poids des runes'!A:B,2,FALSE)))+1),(((D11123/100)*(C11123*VLOOKUP(B11123,'Poids des runes'!A:B,2,FALSE)))+1)/VLOOKUP(B11123,'Poids des runes'!A:B,2,FALSE))</f>
        <v>37.36</v>
      </c>
      <c r="F11123">
        <f t="shared" si="173"/>
        <v>37.36</v>
      </c>
    </row>
    <row r="11124" spans="1:6" x14ac:dyDescent="0.3">
      <c r="A11124" t="s">
        <v>1822</v>
      </c>
      <c r="B11124" t="s">
        <v>2151</v>
      </c>
      <c r="C11124">
        <v>4.5</v>
      </c>
      <c r="D11124">
        <v>72</v>
      </c>
      <c r="E11124">
        <f>IF(OR(B11124="vi",B11124="ii",B11124="pod"),(((D11124/100)*(C11124*VLOOKUP(B11124,'Poids des runes'!A:B,2,FALSE)))+1),(((D11124/100)*(C11124*VLOOKUP(B11124,'Poids des runes'!A:B,2,FALSE)))+1)/VLOOKUP(B11124,'Poids des runes'!A:B,2,FALSE))</f>
        <v>3.34</v>
      </c>
      <c r="F11124">
        <f t="shared" si="173"/>
        <v>3.34</v>
      </c>
    </row>
    <row r="11125" spans="1:6" x14ac:dyDescent="0.3">
      <c r="A11125" t="s">
        <v>1822</v>
      </c>
      <c r="B11125" t="s">
        <v>2134</v>
      </c>
      <c r="C11125">
        <v>4.5</v>
      </c>
      <c r="D11125">
        <v>72</v>
      </c>
      <c r="E11125">
        <f>IF(OR(B11125="vi",B11125="ii",B11125="pod"),(((D11125/100)*(C11125*VLOOKUP(B11125,'Poids des runes'!A:B,2,FALSE)))+1),(((D11125/100)*(C11125*VLOOKUP(B11125,'Poids des runes'!A:B,2,FALSE)))+1)/VLOOKUP(B11125,'Poids des runes'!A:B,2,FALSE))</f>
        <v>3.29</v>
      </c>
      <c r="F11125">
        <f t="shared" si="173"/>
        <v>3.29</v>
      </c>
    </row>
    <row r="11126" spans="1:6" x14ac:dyDescent="0.3">
      <c r="A11126" t="s">
        <v>1823</v>
      </c>
      <c r="B11126" t="s">
        <v>2128</v>
      </c>
      <c r="C11126">
        <v>35.5</v>
      </c>
      <c r="D11126">
        <v>73</v>
      </c>
      <c r="E11126">
        <f>IF(OR(B11126="vi",B11126="ii",B11126="pod"),(((D11126/100)*(C11126*VLOOKUP(B11126,'Poids des runes'!A:B,2,FALSE)))+1),(((D11126/100)*(C11126*VLOOKUP(B11126,'Poids des runes'!A:B,2,FALSE)))+1)/VLOOKUP(B11126,'Poids des runes'!A:B,2,FALSE))</f>
        <v>6.1829999999999998</v>
      </c>
      <c r="F11126">
        <f t="shared" si="173"/>
        <v>6.1829999999999998</v>
      </c>
    </row>
    <row r="11127" spans="1:6" x14ac:dyDescent="0.3">
      <c r="A11127" t="s">
        <v>1823</v>
      </c>
      <c r="B11127" t="s">
        <v>2131</v>
      </c>
      <c r="C11127">
        <v>25.5</v>
      </c>
      <c r="D11127">
        <v>73</v>
      </c>
      <c r="E11127">
        <f>IF(OR(B11127="vi",B11127="ii",B11127="pod"),(((D11127/100)*(C11127*VLOOKUP(B11127,'Poids des runes'!A:B,2,FALSE)))+1),(((D11127/100)*(C11127*VLOOKUP(B11127,'Poids des runes'!A:B,2,FALSE)))+1)/VLOOKUP(B11127,'Poids des runes'!A:B,2,FALSE))</f>
        <v>19.614999999999998</v>
      </c>
      <c r="F11127">
        <f t="shared" si="173"/>
        <v>19.614999999999998</v>
      </c>
    </row>
    <row r="11128" spans="1:6" x14ac:dyDescent="0.3">
      <c r="A11128" t="s">
        <v>1823</v>
      </c>
      <c r="B11128" t="s">
        <v>2129</v>
      </c>
      <c r="C11128">
        <v>13</v>
      </c>
      <c r="D11128">
        <v>73</v>
      </c>
      <c r="E11128">
        <f>IF(OR(B11128="vi",B11128="ii",B11128="pod"),(((D11128/100)*(C11128*VLOOKUP(B11128,'Poids des runes'!A:B,2,FALSE)))+1),(((D11128/100)*(C11128*VLOOKUP(B11128,'Poids des runes'!A:B,2,FALSE)))+1)/VLOOKUP(B11128,'Poids des runes'!A:B,2,FALSE))</f>
        <v>10.49</v>
      </c>
      <c r="F11128">
        <f t="shared" si="173"/>
        <v>10.49</v>
      </c>
    </row>
    <row r="11129" spans="1:6" x14ac:dyDescent="0.3">
      <c r="A11129" t="s">
        <v>1823</v>
      </c>
      <c r="B11129" t="s">
        <v>2152</v>
      </c>
      <c r="C11129">
        <v>1</v>
      </c>
      <c r="D11129">
        <v>73</v>
      </c>
      <c r="E11129">
        <f>IF(OR(B11129="vi",B11129="ii",B11129="pod"),(((D11129/100)*(C11129*VLOOKUP(B11129,'Poids des runes'!A:B,2,FALSE)))+1),(((D11129/100)*(C11129*VLOOKUP(B11129,'Poids des runes'!A:B,2,FALSE)))+1)/VLOOKUP(B11129,'Poids des runes'!A:B,2,FALSE))</f>
        <v>0.74</v>
      </c>
      <c r="F11129">
        <f t="shared" si="173"/>
        <v>0.74</v>
      </c>
    </row>
    <row r="11130" spans="1:6" x14ac:dyDescent="0.3">
      <c r="A11130" t="s">
        <v>1823</v>
      </c>
      <c r="B11130" t="s">
        <v>2134</v>
      </c>
      <c r="C11130">
        <v>4.5</v>
      </c>
      <c r="D11130">
        <v>73</v>
      </c>
      <c r="E11130">
        <f>IF(OR(B11130="vi",B11130="ii",B11130="pod"),(((D11130/100)*(C11130*VLOOKUP(B11130,'Poids des runes'!A:B,2,FALSE)))+1),(((D11130/100)*(C11130*VLOOKUP(B11130,'Poids des runes'!A:B,2,FALSE)))+1)/VLOOKUP(B11130,'Poids des runes'!A:B,2,FALSE))</f>
        <v>3.335</v>
      </c>
      <c r="F11130">
        <f t="shared" si="173"/>
        <v>3.335</v>
      </c>
    </row>
    <row r="11131" spans="1:6" x14ac:dyDescent="0.3">
      <c r="A11131" t="s">
        <v>1824</v>
      </c>
      <c r="B11131" t="s">
        <v>2128</v>
      </c>
      <c r="C11131">
        <v>50.5</v>
      </c>
      <c r="D11131">
        <v>73</v>
      </c>
      <c r="E11131">
        <f>IF(OR(B11131="vi",B11131="ii",B11131="pod"),(((D11131/100)*(C11131*VLOOKUP(B11131,'Poids des runes'!A:B,2,FALSE)))+1),(((D11131/100)*(C11131*VLOOKUP(B11131,'Poids des runes'!A:B,2,FALSE)))+1)/VLOOKUP(B11131,'Poids des runes'!A:B,2,FALSE))</f>
        <v>8.3730000000000011</v>
      </c>
      <c r="F11131">
        <f t="shared" si="173"/>
        <v>8.3730000000000011</v>
      </c>
    </row>
    <row r="11132" spans="1:6" x14ac:dyDescent="0.3">
      <c r="A11132" t="s">
        <v>1824</v>
      </c>
      <c r="B11132" t="s">
        <v>2130</v>
      </c>
      <c r="C11132">
        <v>30.5</v>
      </c>
      <c r="D11132">
        <v>73</v>
      </c>
      <c r="E11132">
        <f>IF(OR(B11132="vi",B11132="ii",B11132="pod"),(((D11132/100)*(C11132*VLOOKUP(B11132,'Poids des runes'!A:B,2,FALSE)))+1),(((D11132/100)*(C11132*VLOOKUP(B11132,'Poids des runes'!A:B,2,FALSE)))+1)/VLOOKUP(B11132,'Poids des runes'!A:B,2,FALSE))</f>
        <v>23.265000000000001</v>
      </c>
      <c r="F11132">
        <f t="shared" si="173"/>
        <v>23.265000000000001</v>
      </c>
    </row>
    <row r="11133" spans="1:6" x14ac:dyDescent="0.3">
      <c r="A11133" t="s">
        <v>1824</v>
      </c>
      <c r="B11133" t="s">
        <v>2126</v>
      </c>
      <c r="C11133">
        <v>30.5</v>
      </c>
      <c r="D11133">
        <v>73</v>
      </c>
      <c r="E11133">
        <f>IF(OR(B11133="vi",B11133="ii",B11133="pod"),(((D11133/100)*(C11133*VLOOKUP(B11133,'Poids des runes'!A:B,2,FALSE)))+1),(((D11133/100)*(C11133*VLOOKUP(B11133,'Poids des runes'!A:B,2,FALSE)))+1)/VLOOKUP(B11133,'Poids des runes'!A:B,2,FALSE))</f>
        <v>23.265000000000001</v>
      </c>
      <c r="F11133">
        <f t="shared" si="173"/>
        <v>23.265000000000001</v>
      </c>
    </row>
    <row r="11134" spans="1:6" x14ac:dyDescent="0.3">
      <c r="A11134" t="s">
        <v>1824</v>
      </c>
      <c r="B11134" t="s">
        <v>2127</v>
      </c>
      <c r="C11134">
        <v>30.5</v>
      </c>
      <c r="D11134">
        <v>73</v>
      </c>
      <c r="E11134">
        <f>IF(OR(B11134="vi",B11134="ii",B11134="pod"),(((D11134/100)*(C11134*VLOOKUP(B11134,'Poids des runes'!A:B,2,FALSE)))+1),(((D11134/100)*(C11134*VLOOKUP(B11134,'Poids des runes'!A:B,2,FALSE)))+1)/VLOOKUP(B11134,'Poids des runes'!A:B,2,FALSE))</f>
        <v>23.265000000000001</v>
      </c>
      <c r="F11134">
        <f t="shared" si="173"/>
        <v>23.265000000000001</v>
      </c>
    </row>
    <row r="11135" spans="1:6" x14ac:dyDescent="0.3">
      <c r="A11135" t="s">
        <v>1824</v>
      </c>
      <c r="B11135" t="s">
        <v>2129</v>
      </c>
      <c r="C11135">
        <v>18</v>
      </c>
      <c r="D11135">
        <v>73</v>
      </c>
      <c r="E11135">
        <f>IF(OR(B11135="vi",B11135="ii",B11135="pod"),(((D11135/100)*(C11135*VLOOKUP(B11135,'Poids des runes'!A:B,2,FALSE)))+1),(((D11135/100)*(C11135*VLOOKUP(B11135,'Poids des runes'!A:B,2,FALSE)))+1)/VLOOKUP(B11135,'Poids des runes'!A:B,2,FALSE))</f>
        <v>14.14</v>
      </c>
      <c r="F11135">
        <f t="shared" si="173"/>
        <v>14.14</v>
      </c>
    </row>
    <row r="11136" spans="1:6" x14ac:dyDescent="0.3">
      <c r="A11136" t="s">
        <v>1824</v>
      </c>
      <c r="B11136" t="s">
        <v>2134</v>
      </c>
      <c r="C11136">
        <v>2.5</v>
      </c>
      <c r="D11136">
        <v>73</v>
      </c>
      <c r="E11136">
        <f>IF(OR(B11136="vi",B11136="ii",B11136="pod"),(((D11136/100)*(C11136*VLOOKUP(B11136,'Poids des runes'!A:B,2,FALSE)))+1),(((D11136/100)*(C11136*VLOOKUP(B11136,'Poids des runes'!A:B,2,FALSE)))+1)/VLOOKUP(B11136,'Poids des runes'!A:B,2,FALSE))</f>
        <v>1.875</v>
      </c>
      <c r="F11136">
        <f t="shared" si="173"/>
        <v>1.875</v>
      </c>
    </row>
    <row r="11137" spans="1:6" x14ac:dyDescent="0.3">
      <c r="A11137" t="s">
        <v>1825</v>
      </c>
      <c r="B11137" t="s">
        <v>2128</v>
      </c>
      <c r="C11137">
        <v>85.5</v>
      </c>
      <c r="D11137">
        <v>74</v>
      </c>
      <c r="E11137">
        <f>IF(OR(B11137="vi",B11137="ii",B11137="pod"),(((D11137/100)*(C11137*VLOOKUP(B11137,'Poids des runes'!A:B,2,FALSE)))+1),(((D11137/100)*(C11137*VLOOKUP(B11137,'Poids des runes'!A:B,2,FALSE)))+1)/VLOOKUP(B11137,'Poids des runes'!A:B,2,FALSE))</f>
        <v>13.654000000000002</v>
      </c>
      <c r="F11137">
        <f t="shared" si="173"/>
        <v>13.654000000000002</v>
      </c>
    </row>
    <row r="11138" spans="1:6" x14ac:dyDescent="0.3">
      <c r="A11138" t="s">
        <v>1825</v>
      </c>
      <c r="B11138" t="s">
        <v>2130</v>
      </c>
      <c r="C11138">
        <v>50.5</v>
      </c>
      <c r="D11138">
        <v>74</v>
      </c>
      <c r="E11138">
        <f>IF(OR(B11138="vi",B11138="ii",B11138="pod"),(((D11138/100)*(C11138*VLOOKUP(B11138,'Poids des runes'!A:B,2,FALSE)))+1),(((D11138/100)*(C11138*VLOOKUP(B11138,'Poids des runes'!A:B,2,FALSE)))+1)/VLOOKUP(B11138,'Poids des runes'!A:B,2,FALSE))</f>
        <v>38.369999999999997</v>
      </c>
      <c r="F11138">
        <f t="shared" si="173"/>
        <v>38.369999999999997</v>
      </c>
    </row>
    <row r="11139" spans="1:6" x14ac:dyDescent="0.3">
      <c r="A11139" t="s">
        <v>1825</v>
      </c>
      <c r="B11139" t="s">
        <v>2129</v>
      </c>
      <c r="C11139">
        <v>23</v>
      </c>
      <c r="D11139">
        <v>74</v>
      </c>
      <c r="E11139">
        <f>IF(OR(B11139="vi",B11139="ii",B11139="pod"),(((D11139/100)*(C11139*VLOOKUP(B11139,'Poids des runes'!A:B,2,FALSE)))+1),(((D11139/100)*(C11139*VLOOKUP(B11139,'Poids des runes'!A:B,2,FALSE)))+1)/VLOOKUP(B11139,'Poids des runes'!A:B,2,FALSE))</f>
        <v>18.02</v>
      </c>
      <c r="F11139">
        <f t="shared" ref="F11139:F11202" si="174">E11139</f>
        <v>18.02</v>
      </c>
    </row>
    <row r="11140" spans="1:6" x14ac:dyDescent="0.3">
      <c r="A11140" t="s">
        <v>1825</v>
      </c>
      <c r="B11140" t="s">
        <v>2139</v>
      </c>
      <c r="C11140">
        <v>13</v>
      </c>
      <c r="D11140">
        <v>74</v>
      </c>
      <c r="E11140">
        <f>IF(OR(B11140="vi",B11140="ii",B11140="pod"),(((D11140/100)*(C11140*VLOOKUP(B11140,'Poids des runes'!A:B,2,FALSE)))+1),(((D11140/100)*(C11140*VLOOKUP(B11140,'Poids des runes'!A:B,2,FALSE)))+1)/VLOOKUP(B11140,'Poids des runes'!A:B,2,FALSE))</f>
        <v>10.119999999999999</v>
      </c>
      <c r="F11140">
        <f t="shared" si="174"/>
        <v>10.119999999999999</v>
      </c>
    </row>
    <row r="11141" spans="1:6" x14ac:dyDescent="0.3">
      <c r="A11141" t="s">
        <v>1825</v>
      </c>
      <c r="B11141" t="s">
        <v>2151</v>
      </c>
      <c r="C11141">
        <v>3.5</v>
      </c>
      <c r="D11141">
        <v>74</v>
      </c>
      <c r="E11141">
        <f>IF(OR(B11141="vi",B11141="ii",B11141="pod"),(((D11141/100)*(C11141*VLOOKUP(B11141,'Poids des runes'!A:B,2,FALSE)))+1),(((D11141/100)*(C11141*VLOOKUP(B11141,'Poids des runes'!A:B,2,FALSE)))+1)/VLOOKUP(B11141,'Poids des runes'!A:B,2,FALSE))</f>
        <v>2.69</v>
      </c>
      <c r="F11141">
        <f t="shared" si="174"/>
        <v>2.69</v>
      </c>
    </row>
    <row r="11142" spans="1:6" x14ac:dyDescent="0.3">
      <c r="A11142" t="s">
        <v>1825</v>
      </c>
      <c r="B11142" t="s">
        <v>2143</v>
      </c>
      <c r="C11142">
        <v>4.5</v>
      </c>
      <c r="D11142">
        <v>74</v>
      </c>
      <c r="E11142">
        <f>IF(OR(B11142="vi",B11142="ii",B11142="pod"),(((D11142/100)*(C11142*VLOOKUP(B11142,'Poids des runes'!A:B,2,FALSE)))+1),(((D11142/100)*(C11142*VLOOKUP(B11142,'Poids des runes'!A:B,2,FALSE)))+1)/VLOOKUP(B11142,'Poids des runes'!A:B,2,FALSE))</f>
        <v>3.53</v>
      </c>
      <c r="F11142">
        <f t="shared" si="174"/>
        <v>3.53</v>
      </c>
    </row>
    <row r="11143" spans="1:6" x14ac:dyDescent="0.3">
      <c r="A11143" t="s">
        <v>1826</v>
      </c>
      <c r="B11143" t="s">
        <v>2128</v>
      </c>
      <c r="C11143">
        <v>35.5</v>
      </c>
      <c r="D11143">
        <v>74</v>
      </c>
      <c r="E11143">
        <f>IF(OR(B11143="vi",B11143="ii",B11143="pod"),(((D11143/100)*(C11143*VLOOKUP(B11143,'Poids des runes'!A:B,2,FALSE)))+1),(((D11143/100)*(C11143*VLOOKUP(B11143,'Poids des runes'!A:B,2,FALSE)))+1)/VLOOKUP(B11143,'Poids des runes'!A:B,2,FALSE))</f>
        <v>6.2540000000000004</v>
      </c>
      <c r="F11143">
        <f t="shared" si="174"/>
        <v>6.2540000000000004</v>
      </c>
    </row>
    <row r="11144" spans="1:6" x14ac:dyDescent="0.3">
      <c r="A11144" t="s">
        <v>1826</v>
      </c>
      <c r="B11144" t="s">
        <v>2127</v>
      </c>
      <c r="C11144">
        <v>35.5</v>
      </c>
      <c r="D11144">
        <v>74</v>
      </c>
      <c r="E11144">
        <f>IF(OR(B11144="vi",B11144="ii",B11144="pod"),(((D11144/100)*(C11144*VLOOKUP(B11144,'Poids des runes'!A:B,2,FALSE)))+1),(((D11144/100)*(C11144*VLOOKUP(B11144,'Poids des runes'!A:B,2,FALSE)))+1)/VLOOKUP(B11144,'Poids des runes'!A:B,2,FALSE))</f>
        <v>27.27</v>
      </c>
      <c r="F11144">
        <f t="shared" si="174"/>
        <v>27.27</v>
      </c>
    </row>
    <row r="11145" spans="1:6" x14ac:dyDescent="0.3">
      <c r="A11145" t="s">
        <v>1826</v>
      </c>
      <c r="B11145" t="s">
        <v>2129</v>
      </c>
      <c r="C11145">
        <v>13</v>
      </c>
      <c r="D11145">
        <v>74</v>
      </c>
      <c r="E11145">
        <f>IF(OR(B11145="vi",B11145="ii",B11145="pod"),(((D11145/100)*(C11145*VLOOKUP(B11145,'Poids des runes'!A:B,2,FALSE)))+1),(((D11145/100)*(C11145*VLOOKUP(B11145,'Poids des runes'!A:B,2,FALSE)))+1)/VLOOKUP(B11145,'Poids des runes'!A:B,2,FALSE))</f>
        <v>10.62</v>
      </c>
      <c r="F11145">
        <f t="shared" si="174"/>
        <v>10.62</v>
      </c>
    </row>
    <row r="11146" spans="1:6" x14ac:dyDescent="0.3">
      <c r="A11146" t="s">
        <v>1826</v>
      </c>
      <c r="B11146" t="s">
        <v>2151</v>
      </c>
      <c r="C11146">
        <v>2.5</v>
      </c>
      <c r="D11146">
        <v>74</v>
      </c>
      <c r="E11146">
        <f>IF(OR(B11146="vi",B11146="ii",B11146="pod"),(((D11146/100)*(C11146*VLOOKUP(B11146,'Poids des runes'!A:B,2,FALSE)))+1),(((D11146/100)*(C11146*VLOOKUP(B11146,'Poids des runes'!A:B,2,FALSE)))+1)/VLOOKUP(B11146,'Poids des runes'!A:B,2,FALSE))</f>
        <v>1.95</v>
      </c>
      <c r="F11146">
        <f t="shared" si="174"/>
        <v>1.95</v>
      </c>
    </row>
    <row r="11147" spans="1:6" x14ac:dyDescent="0.3">
      <c r="A11147" t="s">
        <v>1826</v>
      </c>
      <c r="B11147" t="s">
        <v>2154</v>
      </c>
      <c r="C11147">
        <v>1</v>
      </c>
      <c r="D11147">
        <v>74</v>
      </c>
      <c r="E11147">
        <f>IF(OR(B11147="vi",B11147="ii",B11147="pod"),(((D11147/100)*(C11147*VLOOKUP(B11147,'Poids des runes'!A:B,2,FALSE)))+1),(((D11147/100)*(C11147*VLOOKUP(B11147,'Poids des runes'!A:B,2,FALSE)))+1)/VLOOKUP(B11147,'Poids des runes'!A:B,2,FALSE))</f>
        <v>0.75111111111111106</v>
      </c>
      <c r="F11147">
        <f t="shared" si="174"/>
        <v>0.75111111111111106</v>
      </c>
    </row>
    <row r="11148" spans="1:6" x14ac:dyDescent="0.3">
      <c r="A11148" t="s">
        <v>1827</v>
      </c>
      <c r="B11148" t="s">
        <v>2130</v>
      </c>
      <c r="C11148">
        <v>35.5</v>
      </c>
      <c r="D11148">
        <v>75</v>
      </c>
      <c r="E11148">
        <f>IF(OR(B11148="vi",B11148="ii",B11148="pod"),(((D11148/100)*(C11148*VLOOKUP(B11148,'Poids des runes'!A:B,2,FALSE)))+1),(((D11148/100)*(C11148*VLOOKUP(B11148,'Poids des runes'!A:B,2,FALSE)))+1)/VLOOKUP(B11148,'Poids des runes'!A:B,2,FALSE))</f>
        <v>27.625</v>
      </c>
      <c r="F11148">
        <f t="shared" si="174"/>
        <v>27.625</v>
      </c>
    </row>
    <row r="11149" spans="1:6" x14ac:dyDescent="0.3">
      <c r="A11149" t="s">
        <v>1827</v>
      </c>
      <c r="B11149" t="s">
        <v>2126</v>
      </c>
      <c r="C11149">
        <v>35.5</v>
      </c>
      <c r="D11149">
        <v>75</v>
      </c>
      <c r="E11149">
        <f>IF(OR(B11149="vi",B11149="ii",B11149="pod"),(((D11149/100)*(C11149*VLOOKUP(B11149,'Poids des runes'!A:B,2,FALSE)))+1),(((D11149/100)*(C11149*VLOOKUP(B11149,'Poids des runes'!A:B,2,FALSE)))+1)/VLOOKUP(B11149,'Poids des runes'!A:B,2,FALSE))</f>
        <v>27.625</v>
      </c>
      <c r="F11149">
        <f t="shared" si="174"/>
        <v>27.625</v>
      </c>
    </row>
    <row r="11150" spans="1:6" x14ac:dyDescent="0.3">
      <c r="A11150" t="s">
        <v>1827</v>
      </c>
      <c r="B11150" t="s">
        <v>2131</v>
      </c>
      <c r="C11150">
        <v>35.5</v>
      </c>
      <c r="D11150">
        <v>75</v>
      </c>
      <c r="E11150">
        <f>IF(OR(B11150="vi",B11150="ii",B11150="pod"),(((D11150/100)*(C11150*VLOOKUP(B11150,'Poids des runes'!A:B,2,FALSE)))+1),(((D11150/100)*(C11150*VLOOKUP(B11150,'Poids des runes'!A:B,2,FALSE)))+1)/VLOOKUP(B11150,'Poids des runes'!A:B,2,FALSE))</f>
        <v>27.625</v>
      </c>
      <c r="F11150">
        <f t="shared" si="174"/>
        <v>27.625</v>
      </c>
    </row>
    <row r="11151" spans="1:6" x14ac:dyDescent="0.3">
      <c r="A11151" t="s">
        <v>1827</v>
      </c>
      <c r="B11151" t="s">
        <v>2127</v>
      </c>
      <c r="C11151">
        <v>35.5</v>
      </c>
      <c r="D11151">
        <v>75</v>
      </c>
      <c r="E11151">
        <f>IF(OR(B11151="vi",B11151="ii",B11151="pod"),(((D11151/100)*(C11151*VLOOKUP(B11151,'Poids des runes'!A:B,2,FALSE)))+1),(((D11151/100)*(C11151*VLOOKUP(B11151,'Poids des runes'!A:B,2,FALSE)))+1)/VLOOKUP(B11151,'Poids des runes'!A:B,2,FALSE))</f>
        <v>27.625</v>
      </c>
      <c r="F11151">
        <f t="shared" si="174"/>
        <v>27.625</v>
      </c>
    </row>
    <row r="11152" spans="1:6" x14ac:dyDescent="0.3">
      <c r="A11152" t="s">
        <v>1827</v>
      </c>
      <c r="B11152" t="s">
        <v>2139</v>
      </c>
      <c r="C11152">
        <v>4.5</v>
      </c>
      <c r="D11152">
        <v>75</v>
      </c>
      <c r="E11152">
        <f>IF(OR(B11152="vi",B11152="ii",B11152="pod"),(((D11152/100)*(C11152*VLOOKUP(B11152,'Poids des runes'!A:B,2,FALSE)))+1),(((D11152/100)*(C11152*VLOOKUP(B11152,'Poids des runes'!A:B,2,FALSE)))+1)/VLOOKUP(B11152,'Poids des runes'!A:B,2,FALSE))</f>
        <v>3.875</v>
      </c>
      <c r="F11152">
        <f t="shared" si="174"/>
        <v>3.875</v>
      </c>
    </row>
    <row r="11153" spans="1:6" x14ac:dyDescent="0.3">
      <c r="A11153" t="s">
        <v>1828</v>
      </c>
      <c r="B11153" t="s">
        <v>2128</v>
      </c>
      <c r="C11153">
        <v>45.5</v>
      </c>
      <c r="D11153">
        <v>75</v>
      </c>
      <c r="E11153">
        <f>IF(OR(B11153="vi",B11153="ii",B11153="pod"),(((D11153/100)*(C11153*VLOOKUP(B11153,'Poids des runes'!A:B,2,FALSE)))+1),(((D11153/100)*(C11153*VLOOKUP(B11153,'Poids des runes'!A:B,2,FALSE)))+1)/VLOOKUP(B11153,'Poids des runes'!A:B,2,FALSE))</f>
        <v>7.8249999999999993</v>
      </c>
      <c r="F11153">
        <f t="shared" si="174"/>
        <v>7.8249999999999993</v>
      </c>
    </row>
    <row r="11154" spans="1:6" x14ac:dyDescent="0.3">
      <c r="A11154" t="s">
        <v>1828</v>
      </c>
      <c r="B11154" t="s">
        <v>2126</v>
      </c>
      <c r="C11154">
        <v>45.5</v>
      </c>
      <c r="D11154">
        <v>75</v>
      </c>
      <c r="E11154">
        <f>IF(OR(B11154="vi",B11154="ii",B11154="pod"),(((D11154/100)*(C11154*VLOOKUP(B11154,'Poids des runes'!A:B,2,FALSE)))+1),(((D11154/100)*(C11154*VLOOKUP(B11154,'Poids des runes'!A:B,2,FALSE)))+1)/VLOOKUP(B11154,'Poids des runes'!A:B,2,FALSE))</f>
        <v>35.125</v>
      </c>
      <c r="F11154">
        <f t="shared" si="174"/>
        <v>35.125</v>
      </c>
    </row>
    <row r="11155" spans="1:6" x14ac:dyDescent="0.3">
      <c r="A11155" t="s">
        <v>1828</v>
      </c>
      <c r="B11155" t="s">
        <v>2129</v>
      </c>
      <c r="C11155">
        <v>25.5</v>
      </c>
      <c r="D11155">
        <v>75</v>
      </c>
      <c r="E11155">
        <f>IF(OR(B11155="vi",B11155="ii",B11155="pod"),(((D11155/100)*(C11155*VLOOKUP(B11155,'Poids des runes'!A:B,2,FALSE)))+1),(((D11155/100)*(C11155*VLOOKUP(B11155,'Poids des runes'!A:B,2,FALSE)))+1)/VLOOKUP(B11155,'Poids des runes'!A:B,2,FALSE))</f>
        <v>20.125</v>
      </c>
      <c r="F11155">
        <f t="shared" si="174"/>
        <v>20.125</v>
      </c>
    </row>
    <row r="11156" spans="1:6" x14ac:dyDescent="0.3">
      <c r="A11156" t="s">
        <v>1828</v>
      </c>
      <c r="B11156" t="s">
        <v>2151</v>
      </c>
      <c r="C11156">
        <v>2.5</v>
      </c>
      <c r="D11156">
        <v>75</v>
      </c>
      <c r="E11156">
        <f>IF(OR(B11156="vi",B11156="ii",B11156="pod"),(((D11156/100)*(C11156*VLOOKUP(B11156,'Poids des runes'!A:B,2,FALSE)))+1),(((D11156/100)*(C11156*VLOOKUP(B11156,'Poids des runes'!A:B,2,FALSE)))+1)/VLOOKUP(B11156,'Poids des runes'!A:B,2,FALSE))</f>
        <v>1.9750000000000001</v>
      </c>
      <c r="F11156">
        <f t="shared" si="174"/>
        <v>1.9750000000000001</v>
      </c>
    </row>
    <row r="11157" spans="1:6" x14ac:dyDescent="0.3">
      <c r="A11157" t="s">
        <v>1828</v>
      </c>
      <c r="B11157" t="s">
        <v>2140</v>
      </c>
      <c r="C11157">
        <v>4.5</v>
      </c>
      <c r="D11157">
        <v>75</v>
      </c>
      <c r="E11157">
        <f>IF(OR(B11157="vi",B11157="ii",B11157="pod"),(((D11157/100)*(C11157*VLOOKUP(B11157,'Poids des runes'!A:B,2,FALSE)))+1),(((D11157/100)*(C11157*VLOOKUP(B11157,'Poids des runes'!A:B,2,FALSE)))+1)/VLOOKUP(B11157,'Poids des runes'!A:B,2,FALSE))</f>
        <v>3.5750000000000002</v>
      </c>
      <c r="F11157">
        <f t="shared" si="174"/>
        <v>3.5750000000000002</v>
      </c>
    </row>
    <row r="11158" spans="1:6" x14ac:dyDescent="0.3">
      <c r="A11158" t="s">
        <v>1828</v>
      </c>
      <c r="B11158" t="s">
        <v>2156</v>
      </c>
      <c r="C11158">
        <v>4.5</v>
      </c>
      <c r="D11158">
        <v>75</v>
      </c>
      <c r="E11158">
        <f>IF(OR(B11158="vi",B11158="ii",B11158="pod"),(((D11158/100)*(C11158*VLOOKUP(B11158,'Poids des runes'!A:B,2,FALSE)))+1),(((D11158/100)*(C11158*VLOOKUP(B11158,'Poids des runes'!A:B,2,FALSE)))+1)/VLOOKUP(B11158,'Poids des runes'!A:B,2,FALSE))</f>
        <v>3.5416666666666665</v>
      </c>
      <c r="F11158">
        <f t="shared" si="174"/>
        <v>3.5416666666666665</v>
      </c>
    </row>
    <row r="11159" spans="1:6" x14ac:dyDescent="0.3">
      <c r="A11159" t="s">
        <v>1829</v>
      </c>
      <c r="B11159" t="s">
        <v>2128</v>
      </c>
      <c r="C11159">
        <v>60.5</v>
      </c>
      <c r="D11159">
        <v>76</v>
      </c>
      <c r="E11159">
        <f>IF(OR(B11159="vi",B11159="ii",B11159="pod"),(((D11159/100)*(C11159*VLOOKUP(B11159,'Poids des runes'!A:B,2,FALSE)))+1),(((D11159/100)*(C11159*VLOOKUP(B11159,'Poids des runes'!A:B,2,FALSE)))+1)/VLOOKUP(B11159,'Poids des runes'!A:B,2,FALSE))</f>
        <v>10.196000000000002</v>
      </c>
      <c r="F11159">
        <f t="shared" si="174"/>
        <v>10.196000000000002</v>
      </c>
    </row>
    <row r="11160" spans="1:6" x14ac:dyDescent="0.3">
      <c r="A11160" t="s">
        <v>1829</v>
      </c>
      <c r="B11160" t="s">
        <v>2130</v>
      </c>
      <c r="C11160">
        <v>70.5</v>
      </c>
      <c r="D11160">
        <v>76</v>
      </c>
      <c r="E11160">
        <f>IF(OR(B11160="vi",B11160="ii",B11160="pod"),(((D11160/100)*(C11160*VLOOKUP(B11160,'Poids des runes'!A:B,2,FALSE)))+1),(((D11160/100)*(C11160*VLOOKUP(B11160,'Poids des runes'!A:B,2,FALSE)))+1)/VLOOKUP(B11160,'Poids des runes'!A:B,2,FALSE))</f>
        <v>54.58</v>
      </c>
      <c r="F11160">
        <f t="shared" si="174"/>
        <v>54.58</v>
      </c>
    </row>
    <row r="11161" spans="1:6" x14ac:dyDescent="0.3">
      <c r="A11161" t="s">
        <v>1829</v>
      </c>
      <c r="B11161" t="s">
        <v>2139</v>
      </c>
      <c r="C11161">
        <v>13</v>
      </c>
      <c r="D11161">
        <v>76</v>
      </c>
      <c r="E11161">
        <f>IF(OR(B11161="vi",B11161="ii",B11161="pod"),(((D11161/100)*(C11161*VLOOKUP(B11161,'Poids des runes'!A:B,2,FALSE)))+1),(((D11161/100)*(C11161*VLOOKUP(B11161,'Poids des runes'!A:B,2,FALSE)))+1)/VLOOKUP(B11161,'Poids des runes'!A:B,2,FALSE))</f>
        <v>10.38</v>
      </c>
      <c r="F11161">
        <f t="shared" si="174"/>
        <v>10.38</v>
      </c>
    </row>
    <row r="11162" spans="1:6" x14ac:dyDescent="0.3">
      <c r="A11162" t="s">
        <v>1829</v>
      </c>
      <c r="B11162" t="s">
        <v>2151</v>
      </c>
      <c r="C11162">
        <v>2.5</v>
      </c>
      <c r="D11162">
        <v>76</v>
      </c>
      <c r="E11162">
        <f>IF(OR(B11162="vi",B11162="ii",B11162="pod"),(((D11162/100)*(C11162*VLOOKUP(B11162,'Poids des runes'!A:B,2,FALSE)))+1),(((D11162/100)*(C11162*VLOOKUP(B11162,'Poids des runes'!A:B,2,FALSE)))+1)/VLOOKUP(B11162,'Poids des runes'!A:B,2,FALSE))</f>
        <v>2</v>
      </c>
      <c r="F11162">
        <f t="shared" si="174"/>
        <v>2</v>
      </c>
    </row>
    <row r="11163" spans="1:6" x14ac:dyDescent="0.3">
      <c r="A11163" t="s">
        <v>1829</v>
      </c>
      <c r="B11163" t="s">
        <v>2134</v>
      </c>
      <c r="C11163">
        <v>2.5</v>
      </c>
      <c r="D11163">
        <v>76</v>
      </c>
      <c r="E11163">
        <f>IF(OR(B11163="vi",B11163="ii",B11163="pod"),(((D11163/100)*(C11163*VLOOKUP(B11163,'Poids des runes'!A:B,2,FALSE)))+1),(((D11163/100)*(C11163*VLOOKUP(B11163,'Poids des runes'!A:B,2,FALSE)))+1)/VLOOKUP(B11163,'Poids des runes'!A:B,2,FALSE))</f>
        <v>1.95</v>
      </c>
      <c r="F11163">
        <f t="shared" si="174"/>
        <v>1.95</v>
      </c>
    </row>
    <row r="11164" spans="1:6" x14ac:dyDescent="0.3">
      <c r="A11164" t="s">
        <v>1829</v>
      </c>
      <c r="B11164" t="s">
        <v>2132</v>
      </c>
      <c r="C11164">
        <v>175.5</v>
      </c>
      <c r="D11164">
        <v>76</v>
      </c>
      <c r="E11164">
        <f>IF(OR(B11164="vi",B11164="ii",B11164="pod"),(((D11164/100)*(C11164*VLOOKUP(B11164,'Poids des runes'!A:B,2,FALSE)))+1),(((D11164/100)*(C11164*VLOOKUP(B11164,'Poids des runes'!A:B,2,FALSE)))+1)/VLOOKUP(B11164,'Poids des runes'!A:B,2,FALSE))</f>
        <v>14.338000000000001</v>
      </c>
      <c r="F11164">
        <f t="shared" si="174"/>
        <v>14.338000000000001</v>
      </c>
    </row>
    <row r="11165" spans="1:6" x14ac:dyDescent="0.3">
      <c r="A11165" t="s">
        <v>1830</v>
      </c>
      <c r="B11165" t="s">
        <v>2128</v>
      </c>
      <c r="C11165">
        <v>65.5</v>
      </c>
      <c r="D11165">
        <v>76</v>
      </c>
      <c r="E11165">
        <f>IF(OR(B11165="vi",B11165="ii",B11165="pod"),(((D11165/100)*(C11165*VLOOKUP(B11165,'Poids des runes'!A:B,2,FALSE)))+1),(((D11165/100)*(C11165*VLOOKUP(B11165,'Poids des runes'!A:B,2,FALSE)))+1)/VLOOKUP(B11165,'Poids des runes'!A:B,2,FALSE))</f>
        <v>10.956000000000001</v>
      </c>
      <c r="F11165">
        <f t="shared" si="174"/>
        <v>10.956000000000001</v>
      </c>
    </row>
    <row r="11166" spans="1:6" x14ac:dyDescent="0.3">
      <c r="A11166" t="s">
        <v>1830</v>
      </c>
      <c r="B11166" t="s">
        <v>2126</v>
      </c>
      <c r="C11166">
        <v>45.5</v>
      </c>
      <c r="D11166">
        <v>76</v>
      </c>
      <c r="E11166">
        <f>IF(OR(B11166="vi",B11166="ii",B11166="pod"),(((D11166/100)*(C11166*VLOOKUP(B11166,'Poids des runes'!A:B,2,FALSE)))+1),(((D11166/100)*(C11166*VLOOKUP(B11166,'Poids des runes'!A:B,2,FALSE)))+1)/VLOOKUP(B11166,'Poids des runes'!A:B,2,FALSE))</f>
        <v>35.58</v>
      </c>
      <c r="F11166">
        <f t="shared" si="174"/>
        <v>35.58</v>
      </c>
    </row>
    <row r="11167" spans="1:6" x14ac:dyDescent="0.3">
      <c r="A11167" t="s">
        <v>1830</v>
      </c>
      <c r="B11167" t="s">
        <v>2151</v>
      </c>
      <c r="C11167">
        <v>2.5</v>
      </c>
      <c r="D11167">
        <v>76</v>
      </c>
      <c r="E11167">
        <f>IF(OR(B11167="vi",B11167="ii",B11167="pod"),(((D11167/100)*(C11167*VLOOKUP(B11167,'Poids des runes'!A:B,2,FALSE)))+1),(((D11167/100)*(C11167*VLOOKUP(B11167,'Poids des runes'!A:B,2,FALSE)))+1)/VLOOKUP(B11167,'Poids des runes'!A:B,2,FALSE))</f>
        <v>2</v>
      </c>
      <c r="F11167">
        <f t="shared" si="174"/>
        <v>2</v>
      </c>
    </row>
    <row r="11168" spans="1:6" x14ac:dyDescent="0.3">
      <c r="A11168" t="s">
        <v>1830</v>
      </c>
      <c r="B11168" t="s">
        <v>2148</v>
      </c>
      <c r="C11168">
        <v>4.5</v>
      </c>
      <c r="D11168">
        <v>76</v>
      </c>
      <c r="E11168">
        <f>IF(OR(B11168="vi",B11168="ii",B11168="pod"),(((D11168/100)*(C11168*VLOOKUP(B11168,'Poids des runes'!A:B,2,FALSE)))+1),(((D11168/100)*(C11168*VLOOKUP(B11168,'Poids des runes'!A:B,2,FALSE)))+1)/VLOOKUP(B11168,'Poids des runes'!A:B,2,FALSE))</f>
        <v>3.5866666666666664</v>
      </c>
      <c r="F11168">
        <f t="shared" si="174"/>
        <v>3.5866666666666664</v>
      </c>
    </row>
    <row r="11169" spans="1:6" x14ac:dyDescent="0.3">
      <c r="A11169" t="s">
        <v>1830</v>
      </c>
      <c r="B11169" t="s">
        <v>2147</v>
      </c>
      <c r="C11169">
        <v>4.5</v>
      </c>
      <c r="D11169">
        <v>76</v>
      </c>
      <c r="E11169">
        <f>IF(OR(B11169="vi",B11169="ii",B11169="pod"),(((D11169/100)*(C11169*VLOOKUP(B11169,'Poids des runes'!A:B,2,FALSE)))+1),(((D11169/100)*(C11169*VLOOKUP(B11169,'Poids des runes'!A:B,2,FALSE)))+1)/VLOOKUP(B11169,'Poids des runes'!A:B,2,FALSE))</f>
        <v>3.5866666666666664</v>
      </c>
      <c r="F11169">
        <f t="shared" si="174"/>
        <v>3.5866666666666664</v>
      </c>
    </row>
    <row r="11170" spans="1:6" x14ac:dyDescent="0.3">
      <c r="A11170" t="s">
        <v>1831</v>
      </c>
      <c r="B11170" t="s">
        <v>2128</v>
      </c>
      <c r="C11170">
        <v>60.5</v>
      </c>
      <c r="D11170">
        <v>77</v>
      </c>
      <c r="E11170">
        <f>IF(OR(B11170="vi",B11170="ii",B11170="pod"),(((D11170/100)*(C11170*VLOOKUP(B11170,'Poids des runes'!A:B,2,FALSE)))+1),(((D11170/100)*(C11170*VLOOKUP(B11170,'Poids des runes'!A:B,2,FALSE)))+1)/VLOOKUP(B11170,'Poids des runes'!A:B,2,FALSE))</f>
        <v>10.317000000000002</v>
      </c>
      <c r="F11170">
        <f t="shared" si="174"/>
        <v>10.317000000000002</v>
      </c>
    </row>
    <row r="11171" spans="1:6" x14ac:dyDescent="0.3">
      <c r="A11171" t="s">
        <v>1831</v>
      </c>
      <c r="B11171" t="s">
        <v>2126</v>
      </c>
      <c r="C11171">
        <v>40.5</v>
      </c>
      <c r="D11171">
        <v>77</v>
      </c>
      <c r="E11171">
        <f>IF(OR(B11171="vi",B11171="ii",B11171="pod"),(((D11171/100)*(C11171*VLOOKUP(B11171,'Poids des runes'!A:B,2,FALSE)))+1),(((D11171/100)*(C11171*VLOOKUP(B11171,'Poids des runes'!A:B,2,FALSE)))+1)/VLOOKUP(B11171,'Poids des runes'!A:B,2,FALSE))</f>
        <v>32.185000000000002</v>
      </c>
      <c r="F11171">
        <f t="shared" si="174"/>
        <v>32.185000000000002</v>
      </c>
    </row>
    <row r="11172" spans="1:6" x14ac:dyDescent="0.3">
      <c r="A11172" t="s">
        <v>1831</v>
      </c>
      <c r="B11172" t="s">
        <v>2127</v>
      </c>
      <c r="C11172">
        <v>40.5</v>
      </c>
      <c r="D11172">
        <v>77</v>
      </c>
      <c r="E11172">
        <f>IF(OR(B11172="vi",B11172="ii",B11172="pod"),(((D11172/100)*(C11172*VLOOKUP(B11172,'Poids des runes'!A:B,2,FALSE)))+1),(((D11172/100)*(C11172*VLOOKUP(B11172,'Poids des runes'!A:B,2,FALSE)))+1)/VLOOKUP(B11172,'Poids des runes'!A:B,2,FALSE))</f>
        <v>32.185000000000002</v>
      </c>
      <c r="F11172">
        <f t="shared" si="174"/>
        <v>32.185000000000002</v>
      </c>
    </row>
    <row r="11173" spans="1:6" x14ac:dyDescent="0.3">
      <c r="A11173" t="s">
        <v>1831</v>
      </c>
      <c r="B11173" t="s">
        <v>2149</v>
      </c>
      <c r="C11173">
        <v>13</v>
      </c>
      <c r="D11173">
        <v>77</v>
      </c>
      <c r="E11173">
        <f>IF(OR(B11173="vi",B11173="ii",B11173="pod"),(((D11173/100)*(C11173*VLOOKUP(B11173,'Poids des runes'!A:B,2,FALSE)))+1),(((D11173/100)*(C11173*VLOOKUP(B11173,'Poids des runes'!A:B,2,FALSE)))+1)/VLOOKUP(B11173,'Poids des runes'!A:B,2,FALSE))</f>
        <v>10.110000000000001</v>
      </c>
      <c r="F11173">
        <f t="shared" si="174"/>
        <v>10.110000000000001</v>
      </c>
    </row>
    <row r="11174" spans="1:6" x14ac:dyDescent="0.3">
      <c r="A11174" t="s">
        <v>1831</v>
      </c>
      <c r="B11174" t="s">
        <v>2132</v>
      </c>
      <c r="C11174">
        <v>250</v>
      </c>
      <c r="D11174">
        <v>77</v>
      </c>
      <c r="E11174">
        <f>IF(OR(B11174="vi",B11174="ii",B11174="pod"),(((D11174/100)*(C11174*VLOOKUP(B11174,'Poids des runes'!A:B,2,FALSE)))+1),(((D11174/100)*(C11174*VLOOKUP(B11174,'Poids des runes'!A:B,2,FALSE)))+1)/VLOOKUP(B11174,'Poids des runes'!A:B,2,FALSE))</f>
        <v>20.25</v>
      </c>
      <c r="F11174">
        <f t="shared" si="174"/>
        <v>20.25</v>
      </c>
    </row>
    <row r="11175" spans="1:6" x14ac:dyDescent="0.3">
      <c r="A11175" t="s">
        <v>1831</v>
      </c>
      <c r="B11175" t="s">
        <v>2141</v>
      </c>
      <c r="C11175">
        <v>4.5</v>
      </c>
      <c r="D11175">
        <v>77</v>
      </c>
      <c r="E11175">
        <f>IF(OR(B11175="vi",B11175="ii",B11175="pod"),(((D11175/100)*(C11175*VLOOKUP(B11175,'Poids des runes'!A:B,2,FALSE)))+1),(((D11175/100)*(C11175*VLOOKUP(B11175,'Poids des runes'!A:B,2,FALSE)))+1)/VLOOKUP(B11175,'Poids des runes'!A:B,2,FALSE))</f>
        <v>3.7149999999999999</v>
      </c>
      <c r="F11175">
        <f t="shared" si="174"/>
        <v>3.7149999999999999</v>
      </c>
    </row>
    <row r="11176" spans="1:6" x14ac:dyDescent="0.3">
      <c r="A11176" t="s">
        <v>1831</v>
      </c>
      <c r="B11176" t="s">
        <v>2162</v>
      </c>
      <c r="C11176">
        <v>8.5</v>
      </c>
      <c r="D11176">
        <v>77</v>
      </c>
      <c r="E11176">
        <f>IF(OR(B11176="vi",B11176="ii",B11176="pod"),(((D11176/100)*(C11176*VLOOKUP(B11176,'Poids des runes'!A:B,2,FALSE)))+1),(((D11176/100)*(C11176*VLOOKUP(B11176,'Poids des runes'!A:B,2,FALSE)))+1)/VLOOKUP(B11176,'Poids des runes'!A:B,2,FALSE))</f>
        <v>6.6878571428571423</v>
      </c>
      <c r="F11176">
        <f t="shared" si="174"/>
        <v>6.6878571428571423</v>
      </c>
    </row>
    <row r="11177" spans="1:6" x14ac:dyDescent="0.3">
      <c r="A11177" t="s">
        <v>1832</v>
      </c>
      <c r="B11177" t="s">
        <v>2128</v>
      </c>
      <c r="C11177">
        <v>35.5</v>
      </c>
      <c r="D11177">
        <v>77</v>
      </c>
      <c r="E11177">
        <f>IF(OR(B11177="vi",B11177="ii",B11177="pod"),(((D11177/100)*(C11177*VLOOKUP(B11177,'Poids des runes'!A:B,2,FALSE)))+1),(((D11177/100)*(C11177*VLOOKUP(B11177,'Poids des runes'!A:B,2,FALSE)))+1)/VLOOKUP(B11177,'Poids des runes'!A:B,2,FALSE))</f>
        <v>6.4670000000000005</v>
      </c>
      <c r="F11177">
        <f t="shared" si="174"/>
        <v>6.4670000000000005</v>
      </c>
    </row>
    <row r="11178" spans="1:6" x14ac:dyDescent="0.3">
      <c r="A11178" t="s">
        <v>1832</v>
      </c>
      <c r="B11178" t="s">
        <v>2129</v>
      </c>
      <c r="C11178">
        <v>23</v>
      </c>
      <c r="D11178">
        <v>77</v>
      </c>
      <c r="E11178">
        <f>IF(OR(B11178="vi",B11178="ii",B11178="pod"),(((D11178/100)*(C11178*VLOOKUP(B11178,'Poids des runes'!A:B,2,FALSE)))+1),(((D11178/100)*(C11178*VLOOKUP(B11178,'Poids des runes'!A:B,2,FALSE)))+1)/VLOOKUP(B11178,'Poids des runes'!A:B,2,FALSE))</f>
        <v>18.71</v>
      </c>
      <c r="F11178">
        <f t="shared" si="174"/>
        <v>18.71</v>
      </c>
    </row>
    <row r="11179" spans="1:6" x14ac:dyDescent="0.3">
      <c r="A11179" t="s">
        <v>1832</v>
      </c>
      <c r="B11179" t="s">
        <v>2139</v>
      </c>
      <c r="C11179">
        <v>13</v>
      </c>
      <c r="D11179">
        <v>77</v>
      </c>
      <c r="E11179">
        <f>IF(OR(B11179="vi",B11179="ii",B11179="pod"),(((D11179/100)*(C11179*VLOOKUP(B11179,'Poids des runes'!A:B,2,FALSE)))+1),(((D11179/100)*(C11179*VLOOKUP(B11179,'Poids des runes'!A:B,2,FALSE)))+1)/VLOOKUP(B11179,'Poids des runes'!A:B,2,FALSE))</f>
        <v>10.51</v>
      </c>
      <c r="F11179">
        <f t="shared" si="174"/>
        <v>10.51</v>
      </c>
    </row>
    <row r="11180" spans="1:6" x14ac:dyDescent="0.3">
      <c r="A11180" t="s">
        <v>1832</v>
      </c>
      <c r="B11180" t="s">
        <v>2150</v>
      </c>
      <c r="C11180">
        <v>2.5</v>
      </c>
      <c r="D11180">
        <v>77</v>
      </c>
      <c r="E11180">
        <f>IF(OR(B11180="vi",B11180="ii",B11180="pod"),(((D11180/100)*(C11180*VLOOKUP(B11180,'Poids des runes'!A:B,2,FALSE)))+1),(((D11180/100)*(C11180*VLOOKUP(B11180,'Poids des runes'!A:B,2,FALSE)))+1)/VLOOKUP(B11180,'Poids des runes'!A:B,2,FALSE))</f>
        <v>1.9583333333333333</v>
      </c>
      <c r="F11180">
        <f t="shared" si="174"/>
        <v>1.9583333333333333</v>
      </c>
    </row>
    <row r="11181" spans="1:6" x14ac:dyDescent="0.3">
      <c r="A11181" t="s">
        <v>1832</v>
      </c>
      <c r="B11181" t="s">
        <v>2134</v>
      </c>
      <c r="C11181">
        <v>2.5</v>
      </c>
      <c r="D11181">
        <v>77</v>
      </c>
      <c r="E11181">
        <f>IF(OR(B11181="vi",B11181="ii",B11181="pod"),(((D11181/100)*(C11181*VLOOKUP(B11181,'Poids des runes'!A:B,2,FALSE)))+1),(((D11181/100)*(C11181*VLOOKUP(B11181,'Poids des runes'!A:B,2,FALSE)))+1)/VLOOKUP(B11181,'Poids des runes'!A:B,2,FALSE))</f>
        <v>1.9750000000000001</v>
      </c>
      <c r="F11181">
        <f t="shared" si="174"/>
        <v>1.9750000000000001</v>
      </c>
    </row>
    <row r="11182" spans="1:6" x14ac:dyDescent="0.3">
      <c r="A11182" t="s">
        <v>1833</v>
      </c>
      <c r="B11182" t="s">
        <v>2128</v>
      </c>
      <c r="C11182">
        <v>50.5</v>
      </c>
      <c r="D11182">
        <v>78</v>
      </c>
      <c r="E11182">
        <f>IF(OR(B11182="vi",B11182="ii",B11182="pod"),(((D11182/100)*(C11182*VLOOKUP(B11182,'Poids des runes'!A:B,2,FALSE)))+1),(((D11182/100)*(C11182*VLOOKUP(B11182,'Poids des runes'!A:B,2,FALSE)))+1)/VLOOKUP(B11182,'Poids des runes'!A:B,2,FALSE))</f>
        <v>8.8780000000000001</v>
      </c>
      <c r="F11182">
        <f t="shared" si="174"/>
        <v>8.8780000000000001</v>
      </c>
    </row>
    <row r="11183" spans="1:6" x14ac:dyDescent="0.3">
      <c r="A11183" t="s">
        <v>1833</v>
      </c>
      <c r="B11183" t="s">
        <v>2130</v>
      </c>
      <c r="C11183">
        <v>45.5</v>
      </c>
      <c r="D11183">
        <v>78</v>
      </c>
      <c r="E11183">
        <f>IF(OR(B11183="vi",B11183="ii",B11183="pod"),(((D11183/100)*(C11183*VLOOKUP(B11183,'Poids des runes'!A:B,2,FALSE)))+1),(((D11183/100)*(C11183*VLOOKUP(B11183,'Poids des runes'!A:B,2,FALSE)))+1)/VLOOKUP(B11183,'Poids des runes'!A:B,2,FALSE))</f>
        <v>36.49</v>
      </c>
      <c r="F11183">
        <f t="shared" si="174"/>
        <v>36.49</v>
      </c>
    </row>
    <row r="11184" spans="1:6" x14ac:dyDescent="0.3">
      <c r="A11184" t="s">
        <v>1833</v>
      </c>
      <c r="B11184" t="s">
        <v>2131</v>
      </c>
      <c r="C11184">
        <v>45.5</v>
      </c>
      <c r="D11184">
        <v>78</v>
      </c>
      <c r="E11184">
        <f>IF(OR(B11184="vi",B11184="ii",B11184="pod"),(((D11184/100)*(C11184*VLOOKUP(B11184,'Poids des runes'!A:B,2,FALSE)))+1),(((D11184/100)*(C11184*VLOOKUP(B11184,'Poids des runes'!A:B,2,FALSE)))+1)/VLOOKUP(B11184,'Poids des runes'!A:B,2,FALSE))</f>
        <v>36.49</v>
      </c>
      <c r="F11184">
        <f t="shared" si="174"/>
        <v>36.49</v>
      </c>
    </row>
    <row r="11185" spans="1:6" x14ac:dyDescent="0.3">
      <c r="A11185" t="s">
        <v>1833</v>
      </c>
      <c r="B11185" t="s">
        <v>2129</v>
      </c>
      <c r="C11185">
        <v>18</v>
      </c>
      <c r="D11185">
        <v>78</v>
      </c>
      <c r="E11185">
        <f>IF(OR(B11185="vi",B11185="ii",B11185="pod"),(((D11185/100)*(C11185*VLOOKUP(B11185,'Poids des runes'!A:B,2,FALSE)))+1),(((D11185/100)*(C11185*VLOOKUP(B11185,'Poids des runes'!A:B,2,FALSE)))+1)/VLOOKUP(B11185,'Poids des runes'!A:B,2,FALSE))</f>
        <v>15.040000000000001</v>
      </c>
      <c r="F11185">
        <f t="shared" si="174"/>
        <v>15.040000000000001</v>
      </c>
    </row>
    <row r="11186" spans="1:6" x14ac:dyDescent="0.3">
      <c r="A11186" t="s">
        <v>1833</v>
      </c>
      <c r="B11186" t="s">
        <v>2150</v>
      </c>
      <c r="C11186">
        <v>1</v>
      </c>
      <c r="D11186">
        <v>78</v>
      </c>
      <c r="E11186">
        <f>IF(OR(B11186="vi",B11186="ii",B11186="pod"),(((D11186/100)*(C11186*VLOOKUP(B11186,'Poids des runes'!A:B,2,FALSE)))+1),(((D11186/100)*(C11186*VLOOKUP(B11186,'Poids des runes'!A:B,2,FALSE)))+1)/VLOOKUP(B11186,'Poids des runes'!A:B,2,FALSE))</f>
        <v>0.81333333333333335</v>
      </c>
      <c r="F11186">
        <f t="shared" si="174"/>
        <v>0.81333333333333335</v>
      </c>
    </row>
    <row r="11187" spans="1:6" x14ac:dyDescent="0.3">
      <c r="A11187" t="s">
        <v>1833</v>
      </c>
      <c r="B11187" t="s">
        <v>2138</v>
      </c>
      <c r="C11187">
        <v>6</v>
      </c>
      <c r="D11187">
        <v>78</v>
      </c>
      <c r="E11187">
        <f>IF(OR(B11187="vi",B11187="ii",B11187="pod"),(((D11187/100)*(C11187*VLOOKUP(B11187,'Poids des runes'!A:B,2,FALSE)))+1),(((D11187/100)*(C11187*VLOOKUP(B11187,'Poids des runes'!A:B,2,FALSE)))+1)/VLOOKUP(B11187,'Poids des runes'!A:B,2,FALSE))</f>
        <v>4.93</v>
      </c>
      <c r="F11187">
        <f t="shared" si="174"/>
        <v>4.93</v>
      </c>
    </row>
    <row r="11188" spans="1:6" x14ac:dyDescent="0.3">
      <c r="A11188" t="s">
        <v>1833</v>
      </c>
      <c r="B11188" t="s">
        <v>2160</v>
      </c>
      <c r="C11188">
        <v>4.5</v>
      </c>
      <c r="D11188">
        <v>78</v>
      </c>
      <c r="E11188">
        <f>IF(OR(B11188="vi",B11188="ii",B11188="pod"),(((D11188/100)*(C11188*VLOOKUP(B11188,'Poids des runes'!A:B,2,FALSE)))+1),(((D11188/100)*(C11188*VLOOKUP(B11188,'Poids des runes'!A:B,2,FALSE)))+1)/VLOOKUP(B11188,'Poids des runes'!A:B,2,FALSE))</f>
        <v>3.652857142857143</v>
      </c>
      <c r="F11188">
        <f t="shared" si="174"/>
        <v>3.652857142857143</v>
      </c>
    </row>
    <row r="11189" spans="1:6" x14ac:dyDescent="0.3">
      <c r="A11189" t="s">
        <v>1834</v>
      </c>
      <c r="B11189" t="s">
        <v>2128</v>
      </c>
      <c r="C11189">
        <v>100.5</v>
      </c>
      <c r="D11189">
        <v>78</v>
      </c>
      <c r="E11189">
        <f>IF(OR(B11189="vi",B11189="ii",B11189="pod"),(((D11189/100)*(C11189*VLOOKUP(B11189,'Poids des runes'!A:B,2,FALSE)))+1),(((D11189/100)*(C11189*VLOOKUP(B11189,'Poids des runes'!A:B,2,FALSE)))+1)/VLOOKUP(B11189,'Poids des runes'!A:B,2,FALSE))</f>
        <v>16.678000000000001</v>
      </c>
      <c r="F11189">
        <f t="shared" si="174"/>
        <v>16.678000000000001</v>
      </c>
    </row>
    <row r="11190" spans="1:6" x14ac:dyDescent="0.3">
      <c r="A11190" t="s">
        <v>1834</v>
      </c>
      <c r="B11190" t="s">
        <v>2126</v>
      </c>
      <c r="C11190">
        <v>45.5</v>
      </c>
      <c r="D11190">
        <v>78</v>
      </c>
      <c r="E11190">
        <f>IF(OR(B11190="vi",B11190="ii",B11190="pod"),(((D11190/100)*(C11190*VLOOKUP(B11190,'Poids des runes'!A:B,2,FALSE)))+1),(((D11190/100)*(C11190*VLOOKUP(B11190,'Poids des runes'!A:B,2,FALSE)))+1)/VLOOKUP(B11190,'Poids des runes'!A:B,2,FALSE))</f>
        <v>36.49</v>
      </c>
      <c r="F11190">
        <f t="shared" si="174"/>
        <v>36.49</v>
      </c>
    </row>
    <row r="11191" spans="1:6" x14ac:dyDescent="0.3">
      <c r="A11191" t="s">
        <v>1834</v>
      </c>
      <c r="B11191" t="s">
        <v>2129</v>
      </c>
      <c r="C11191">
        <v>23</v>
      </c>
      <c r="D11191">
        <v>78</v>
      </c>
      <c r="E11191">
        <f>IF(OR(B11191="vi",B11191="ii",B11191="pod"),(((D11191/100)*(C11191*VLOOKUP(B11191,'Poids des runes'!A:B,2,FALSE)))+1),(((D11191/100)*(C11191*VLOOKUP(B11191,'Poids des runes'!A:B,2,FALSE)))+1)/VLOOKUP(B11191,'Poids des runes'!A:B,2,FALSE))</f>
        <v>18.940000000000001</v>
      </c>
      <c r="F11191">
        <f t="shared" si="174"/>
        <v>18.940000000000001</v>
      </c>
    </row>
    <row r="11192" spans="1:6" x14ac:dyDescent="0.3">
      <c r="A11192" t="s">
        <v>1834</v>
      </c>
      <c r="B11192" t="s">
        <v>2139</v>
      </c>
      <c r="C11192">
        <v>13</v>
      </c>
      <c r="D11192">
        <v>78</v>
      </c>
      <c r="E11192">
        <f>IF(OR(B11192="vi",B11192="ii",B11192="pod"),(((D11192/100)*(C11192*VLOOKUP(B11192,'Poids des runes'!A:B,2,FALSE)))+1),(((D11192/100)*(C11192*VLOOKUP(B11192,'Poids des runes'!A:B,2,FALSE)))+1)/VLOOKUP(B11192,'Poids des runes'!A:B,2,FALSE))</f>
        <v>10.64</v>
      </c>
      <c r="F11192">
        <f t="shared" si="174"/>
        <v>10.64</v>
      </c>
    </row>
    <row r="11193" spans="1:6" x14ac:dyDescent="0.3">
      <c r="A11193" t="s">
        <v>1834</v>
      </c>
      <c r="B11193" t="s">
        <v>2151</v>
      </c>
      <c r="C11193">
        <v>2.5</v>
      </c>
      <c r="D11193">
        <v>78</v>
      </c>
      <c r="E11193">
        <f>IF(OR(B11193="vi",B11193="ii",B11193="pod"),(((D11193/100)*(C11193*VLOOKUP(B11193,'Poids des runes'!A:B,2,FALSE)))+1),(((D11193/100)*(C11193*VLOOKUP(B11193,'Poids des runes'!A:B,2,FALSE)))+1)/VLOOKUP(B11193,'Poids des runes'!A:B,2,FALSE))</f>
        <v>2.0499999999999998</v>
      </c>
      <c r="F11193">
        <f t="shared" si="174"/>
        <v>2.0499999999999998</v>
      </c>
    </row>
    <row r="11194" spans="1:6" x14ac:dyDescent="0.3">
      <c r="A11194" t="s">
        <v>1834</v>
      </c>
      <c r="B11194" t="s">
        <v>2132</v>
      </c>
      <c r="C11194">
        <v>350.5</v>
      </c>
      <c r="D11194">
        <v>78</v>
      </c>
      <c r="E11194">
        <f>IF(OR(B11194="vi",B11194="ii",B11194="pod"),(((D11194/100)*(C11194*VLOOKUP(B11194,'Poids des runes'!A:B,2,FALSE)))+1),(((D11194/100)*(C11194*VLOOKUP(B11194,'Poids des runes'!A:B,2,FALSE)))+1)/VLOOKUP(B11194,'Poids des runes'!A:B,2,FALSE))</f>
        <v>28.339000000000006</v>
      </c>
      <c r="F11194">
        <f t="shared" si="174"/>
        <v>28.339000000000006</v>
      </c>
    </row>
    <row r="11195" spans="1:6" x14ac:dyDescent="0.3">
      <c r="A11195" t="s">
        <v>1835</v>
      </c>
      <c r="B11195" t="s">
        <v>2128</v>
      </c>
      <c r="C11195">
        <v>40.5</v>
      </c>
      <c r="D11195">
        <v>79</v>
      </c>
      <c r="E11195">
        <f>IF(OR(B11195="vi",B11195="ii",B11195="pod"),(((D11195/100)*(C11195*VLOOKUP(B11195,'Poids des runes'!A:B,2,FALSE)))+1),(((D11195/100)*(C11195*VLOOKUP(B11195,'Poids des runes'!A:B,2,FALSE)))+1)/VLOOKUP(B11195,'Poids des runes'!A:B,2,FALSE))</f>
        <v>7.399</v>
      </c>
      <c r="F11195">
        <f t="shared" si="174"/>
        <v>7.399</v>
      </c>
    </row>
    <row r="11196" spans="1:6" x14ac:dyDescent="0.3">
      <c r="A11196" t="s">
        <v>1835</v>
      </c>
      <c r="B11196" t="s">
        <v>2130</v>
      </c>
      <c r="C11196">
        <v>60.5</v>
      </c>
      <c r="D11196">
        <v>79</v>
      </c>
      <c r="E11196">
        <f>IF(OR(B11196="vi",B11196="ii",B11196="pod"),(((D11196/100)*(C11196*VLOOKUP(B11196,'Poids des runes'!A:B,2,FALSE)))+1),(((D11196/100)*(C11196*VLOOKUP(B11196,'Poids des runes'!A:B,2,FALSE)))+1)/VLOOKUP(B11196,'Poids des runes'!A:B,2,FALSE))</f>
        <v>48.795000000000002</v>
      </c>
      <c r="F11196">
        <f t="shared" si="174"/>
        <v>48.795000000000002</v>
      </c>
    </row>
    <row r="11197" spans="1:6" x14ac:dyDescent="0.3">
      <c r="A11197" t="s">
        <v>1835</v>
      </c>
      <c r="B11197" t="s">
        <v>2129</v>
      </c>
      <c r="C11197">
        <v>20.5</v>
      </c>
      <c r="D11197">
        <v>79</v>
      </c>
      <c r="E11197">
        <f>IF(OR(B11197="vi",B11197="ii",B11197="pod"),(((D11197/100)*(C11197*VLOOKUP(B11197,'Poids des runes'!A:B,2,FALSE)))+1),(((D11197/100)*(C11197*VLOOKUP(B11197,'Poids des runes'!A:B,2,FALSE)))+1)/VLOOKUP(B11197,'Poids des runes'!A:B,2,FALSE))</f>
        <v>17.195</v>
      </c>
      <c r="F11197">
        <f t="shared" si="174"/>
        <v>17.195</v>
      </c>
    </row>
    <row r="11198" spans="1:6" x14ac:dyDescent="0.3">
      <c r="A11198" t="s">
        <v>1835</v>
      </c>
      <c r="B11198" t="s">
        <v>2166</v>
      </c>
      <c r="C11198">
        <v>1</v>
      </c>
      <c r="D11198">
        <v>79</v>
      </c>
      <c r="E11198">
        <f>IF(OR(B11198="vi",B11198="ii",B11198="pod"),(((D11198/100)*(C11198*VLOOKUP(B11198,'Poids des runes'!A:B,2,FALSE)))+1),(((D11198/100)*(C11198*VLOOKUP(B11198,'Poids des runes'!A:B,2,FALSE)))+1)/VLOOKUP(B11198,'Poids des runes'!A:B,2,FALSE))</f>
        <v>1.1233333333333333</v>
      </c>
      <c r="F11198">
        <f t="shared" si="174"/>
        <v>1.1233333333333333</v>
      </c>
    </row>
    <row r="11199" spans="1:6" x14ac:dyDescent="0.3">
      <c r="A11199" t="s">
        <v>1836</v>
      </c>
      <c r="B11199" t="s">
        <v>2126</v>
      </c>
      <c r="C11199">
        <v>28</v>
      </c>
      <c r="D11199">
        <v>79</v>
      </c>
      <c r="E11199">
        <f>IF(OR(B11199="vi",B11199="ii",B11199="pod"),(((D11199/100)*(C11199*VLOOKUP(B11199,'Poids des runes'!A:B,2,FALSE)))+1),(((D11199/100)*(C11199*VLOOKUP(B11199,'Poids des runes'!A:B,2,FALSE)))+1)/VLOOKUP(B11199,'Poids des runes'!A:B,2,FALSE))</f>
        <v>23.12</v>
      </c>
      <c r="F11199">
        <f t="shared" si="174"/>
        <v>23.12</v>
      </c>
    </row>
    <row r="11200" spans="1:6" x14ac:dyDescent="0.3">
      <c r="A11200" t="s">
        <v>1836</v>
      </c>
      <c r="B11200" t="s">
        <v>2131</v>
      </c>
      <c r="C11200">
        <v>28</v>
      </c>
      <c r="D11200">
        <v>79</v>
      </c>
      <c r="E11200">
        <f>IF(OR(B11200="vi",B11200="ii",B11200="pod"),(((D11200/100)*(C11200*VLOOKUP(B11200,'Poids des runes'!A:B,2,FALSE)))+1),(((D11200/100)*(C11200*VLOOKUP(B11200,'Poids des runes'!A:B,2,FALSE)))+1)/VLOOKUP(B11200,'Poids des runes'!A:B,2,FALSE))</f>
        <v>23.12</v>
      </c>
      <c r="F11200">
        <f t="shared" si="174"/>
        <v>23.12</v>
      </c>
    </row>
    <row r="11201" spans="1:6" x14ac:dyDescent="0.3">
      <c r="A11201" t="s">
        <v>1836</v>
      </c>
      <c r="B11201" t="s">
        <v>2152</v>
      </c>
      <c r="C11201">
        <v>1</v>
      </c>
      <c r="D11201">
        <v>79</v>
      </c>
      <c r="E11201">
        <f>IF(OR(B11201="vi",B11201="ii",B11201="pod"),(((D11201/100)*(C11201*VLOOKUP(B11201,'Poids des runes'!A:B,2,FALSE)))+1),(((D11201/100)*(C11201*VLOOKUP(B11201,'Poids des runes'!A:B,2,FALSE)))+1)/VLOOKUP(B11201,'Poids des runes'!A:B,2,FALSE))</f>
        <v>0.8</v>
      </c>
      <c r="F11201">
        <f t="shared" si="174"/>
        <v>0.8</v>
      </c>
    </row>
    <row r="11202" spans="1:6" x14ac:dyDescent="0.3">
      <c r="A11202" t="s">
        <v>1836</v>
      </c>
      <c r="B11202" t="s">
        <v>2134</v>
      </c>
      <c r="C11202">
        <v>4.5</v>
      </c>
      <c r="D11202">
        <v>79</v>
      </c>
      <c r="E11202">
        <f>IF(OR(B11202="vi",B11202="ii",B11202="pod"),(((D11202/100)*(C11202*VLOOKUP(B11202,'Poids des runes'!A:B,2,FALSE)))+1),(((D11202/100)*(C11202*VLOOKUP(B11202,'Poids des runes'!A:B,2,FALSE)))+1)/VLOOKUP(B11202,'Poids des runes'!A:B,2,FALSE))</f>
        <v>3.6050000000000004</v>
      </c>
      <c r="F11202">
        <f t="shared" si="174"/>
        <v>3.6050000000000004</v>
      </c>
    </row>
    <row r="11203" spans="1:6" x14ac:dyDescent="0.3">
      <c r="A11203" t="s">
        <v>1837</v>
      </c>
      <c r="B11203" t="s">
        <v>2128</v>
      </c>
      <c r="C11203">
        <v>50.5</v>
      </c>
      <c r="D11203">
        <v>80</v>
      </c>
      <c r="E11203">
        <f>IF(OR(B11203="vi",B11203="ii",B11203="pod"),(((D11203/100)*(C11203*VLOOKUP(B11203,'Poids des runes'!A:B,2,FALSE)))+1),(((D11203/100)*(C11203*VLOOKUP(B11203,'Poids des runes'!A:B,2,FALSE)))+1)/VLOOKUP(B11203,'Poids des runes'!A:B,2,FALSE))</f>
        <v>9.0800000000000018</v>
      </c>
      <c r="F11203">
        <f t="shared" ref="F11203:F11266" si="175">E11203</f>
        <v>9.0800000000000018</v>
      </c>
    </row>
    <row r="11204" spans="1:6" x14ac:dyDescent="0.3">
      <c r="A11204" t="s">
        <v>1837</v>
      </c>
      <c r="B11204" t="s">
        <v>2127</v>
      </c>
      <c r="C11204">
        <v>45.5</v>
      </c>
      <c r="D11204">
        <v>80</v>
      </c>
      <c r="E11204">
        <f>IF(OR(B11204="vi",B11204="ii",B11204="pod"),(((D11204/100)*(C11204*VLOOKUP(B11204,'Poids des runes'!A:B,2,FALSE)))+1),(((D11204/100)*(C11204*VLOOKUP(B11204,'Poids des runes'!A:B,2,FALSE)))+1)/VLOOKUP(B11204,'Poids des runes'!A:B,2,FALSE))</f>
        <v>37.4</v>
      </c>
      <c r="F11204">
        <f t="shared" si="175"/>
        <v>37.4</v>
      </c>
    </row>
    <row r="11205" spans="1:6" x14ac:dyDescent="0.3">
      <c r="A11205" t="s">
        <v>1837</v>
      </c>
      <c r="B11205" t="s">
        <v>2129</v>
      </c>
      <c r="C11205">
        <v>13</v>
      </c>
      <c r="D11205">
        <v>80</v>
      </c>
      <c r="E11205">
        <f>IF(OR(B11205="vi",B11205="ii",B11205="pod"),(((D11205/100)*(C11205*VLOOKUP(B11205,'Poids des runes'!A:B,2,FALSE)))+1),(((D11205/100)*(C11205*VLOOKUP(B11205,'Poids des runes'!A:B,2,FALSE)))+1)/VLOOKUP(B11205,'Poids des runes'!A:B,2,FALSE))</f>
        <v>11.4</v>
      </c>
      <c r="F11205">
        <f t="shared" si="175"/>
        <v>11.4</v>
      </c>
    </row>
    <row r="11206" spans="1:6" x14ac:dyDescent="0.3">
      <c r="A11206" t="s">
        <v>1837</v>
      </c>
      <c r="B11206" t="s">
        <v>2151</v>
      </c>
      <c r="C11206">
        <v>4</v>
      </c>
      <c r="D11206">
        <v>80</v>
      </c>
      <c r="E11206">
        <f>IF(OR(B11206="vi",B11206="ii",B11206="pod"),(((D11206/100)*(C11206*VLOOKUP(B11206,'Poids des runes'!A:B,2,FALSE)))+1),(((D11206/100)*(C11206*VLOOKUP(B11206,'Poids des runes'!A:B,2,FALSE)))+1)/VLOOKUP(B11206,'Poids des runes'!A:B,2,FALSE))</f>
        <v>3.3</v>
      </c>
      <c r="F11206">
        <f t="shared" si="175"/>
        <v>3.3</v>
      </c>
    </row>
    <row r="11207" spans="1:6" x14ac:dyDescent="0.3">
      <c r="A11207" t="s">
        <v>1837</v>
      </c>
      <c r="B11207" t="s">
        <v>2154</v>
      </c>
      <c r="C11207">
        <v>1</v>
      </c>
      <c r="D11207">
        <v>80</v>
      </c>
      <c r="E11207">
        <f>IF(OR(B11207="vi",B11207="ii",B11207="pod"),(((D11207/100)*(C11207*VLOOKUP(B11207,'Poids des runes'!A:B,2,FALSE)))+1),(((D11207/100)*(C11207*VLOOKUP(B11207,'Poids des runes'!A:B,2,FALSE)))+1)/VLOOKUP(B11207,'Poids des runes'!A:B,2,FALSE))</f>
        <v>0.81111111111111112</v>
      </c>
      <c r="F11207">
        <f t="shared" si="175"/>
        <v>0.81111111111111112</v>
      </c>
    </row>
    <row r="11208" spans="1:6" x14ac:dyDescent="0.3">
      <c r="A11208" t="s">
        <v>1838</v>
      </c>
      <c r="B11208" t="s">
        <v>2128</v>
      </c>
      <c r="C11208">
        <v>85.5</v>
      </c>
      <c r="D11208">
        <v>80</v>
      </c>
      <c r="E11208">
        <f>IF(OR(B11208="vi",B11208="ii",B11208="pod"),(((D11208/100)*(C11208*VLOOKUP(B11208,'Poids des runes'!A:B,2,FALSE)))+1),(((D11208/100)*(C11208*VLOOKUP(B11208,'Poids des runes'!A:B,2,FALSE)))+1)/VLOOKUP(B11208,'Poids des runes'!A:B,2,FALSE))</f>
        <v>14.680000000000001</v>
      </c>
      <c r="F11208">
        <f t="shared" si="175"/>
        <v>14.680000000000001</v>
      </c>
    </row>
    <row r="11209" spans="1:6" x14ac:dyDescent="0.3">
      <c r="A11209" t="s">
        <v>1838</v>
      </c>
      <c r="B11209" t="s">
        <v>2126</v>
      </c>
      <c r="C11209">
        <v>50.5</v>
      </c>
      <c r="D11209">
        <v>80</v>
      </c>
      <c r="E11209">
        <f>IF(OR(B11209="vi",B11209="ii",B11209="pod"),(((D11209/100)*(C11209*VLOOKUP(B11209,'Poids des runes'!A:B,2,FALSE)))+1),(((D11209/100)*(C11209*VLOOKUP(B11209,'Poids des runes'!A:B,2,FALSE)))+1)/VLOOKUP(B11209,'Poids des runes'!A:B,2,FALSE))</f>
        <v>41.400000000000006</v>
      </c>
      <c r="F11209">
        <f t="shared" si="175"/>
        <v>41.400000000000006</v>
      </c>
    </row>
    <row r="11210" spans="1:6" x14ac:dyDescent="0.3">
      <c r="A11210" t="s">
        <v>1838</v>
      </c>
      <c r="B11210" t="s">
        <v>2131</v>
      </c>
      <c r="C11210">
        <v>25.5</v>
      </c>
      <c r="D11210">
        <v>80</v>
      </c>
      <c r="E11210">
        <f>IF(OR(B11210="vi",B11210="ii",B11210="pod"),(((D11210/100)*(C11210*VLOOKUP(B11210,'Poids des runes'!A:B,2,FALSE)))+1),(((D11210/100)*(C11210*VLOOKUP(B11210,'Poids des runes'!A:B,2,FALSE)))+1)/VLOOKUP(B11210,'Poids des runes'!A:B,2,FALSE))</f>
        <v>21.400000000000002</v>
      </c>
      <c r="F11210">
        <f t="shared" si="175"/>
        <v>21.400000000000002</v>
      </c>
    </row>
    <row r="11211" spans="1:6" x14ac:dyDescent="0.3">
      <c r="A11211" t="s">
        <v>1838</v>
      </c>
      <c r="B11211" t="s">
        <v>2140</v>
      </c>
      <c r="C11211">
        <v>8.5</v>
      </c>
      <c r="D11211">
        <v>80</v>
      </c>
      <c r="E11211">
        <f>IF(OR(B11211="vi",B11211="ii",B11211="pod"),(((D11211/100)*(C11211*VLOOKUP(B11211,'Poids des runes'!A:B,2,FALSE)))+1),(((D11211/100)*(C11211*VLOOKUP(B11211,'Poids des runes'!A:B,2,FALSE)))+1)/VLOOKUP(B11211,'Poids des runes'!A:B,2,FALSE))</f>
        <v>7</v>
      </c>
      <c r="F11211">
        <f t="shared" si="175"/>
        <v>7</v>
      </c>
    </row>
    <row r="11212" spans="1:6" x14ac:dyDescent="0.3">
      <c r="A11212" t="s">
        <v>1838</v>
      </c>
      <c r="B11212" t="s">
        <v>2133</v>
      </c>
      <c r="C11212">
        <v>4.5</v>
      </c>
      <c r="D11212">
        <v>80</v>
      </c>
      <c r="E11212">
        <f>IF(OR(B11212="vi",B11212="ii",B11212="pod"),(((D11212/100)*(C11212*VLOOKUP(B11212,'Poids des runes'!A:B,2,FALSE)))+1),(((D11212/100)*(C11212*VLOOKUP(B11212,'Poids des runes'!A:B,2,FALSE)))+1)/VLOOKUP(B11212,'Poids des runes'!A:B,2,FALSE))</f>
        <v>3.8</v>
      </c>
      <c r="F11212">
        <f t="shared" si="175"/>
        <v>3.8</v>
      </c>
    </row>
    <row r="11213" spans="1:6" x14ac:dyDescent="0.3">
      <c r="A11213" t="s">
        <v>1838</v>
      </c>
      <c r="B11213" t="s">
        <v>2132</v>
      </c>
      <c r="C11213">
        <v>350.5</v>
      </c>
      <c r="D11213">
        <v>80</v>
      </c>
      <c r="E11213">
        <f>IF(OR(B11213="vi",B11213="ii",B11213="pod"),(((D11213/100)*(C11213*VLOOKUP(B11213,'Poids des runes'!A:B,2,FALSE)))+1),(((D11213/100)*(C11213*VLOOKUP(B11213,'Poids des runes'!A:B,2,FALSE)))+1)/VLOOKUP(B11213,'Poids des runes'!A:B,2,FALSE))</f>
        <v>29.040000000000006</v>
      </c>
      <c r="F11213">
        <f t="shared" si="175"/>
        <v>29.040000000000006</v>
      </c>
    </row>
    <row r="11214" spans="1:6" x14ac:dyDescent="0.3">
      <c r="A11214" t="s">
        <v>1838</v>
      </c>
      <c r="B11214" t="s">
        <v>2141</v>
      </c>
      <c r="C11214">
        <v>4.5</v>
      </c>
      <c r="D11214">
        <v>80</v>
      </c>
      <c r="E11214">
        <f>IF(OR(B11214="vi",B11214="ii",B11214="pod"),(((D11214/100)*(C11214*VLOOKUP(B11214,'Poids des runes'!A:B,2,FALSE)))+1),(((D11214/100)*(C11214*VLOOKUP(B11214,'Poids des runes'!A:B,2,FALSE)))+1)/VLOOKUP(B11214,'Poids des runes'!A:B,2,FALSE))</f>
        <v>3.85</v>
      </c>
      <c r="F11214">
        <f t="shared" si="175"/>
        <v>3.85</v>
      </c>
    </row>
    <row r="11215" spans="1:6" x14ac:dyDescent="0.3">
      <c r="A11215" t="s">
        <v>1839</v>
      </c>
      <c r="B11215" t="s">
        <v>2128</v>
      </c>
      <c r="C11215">
        <v>70.5</v>
      </c>
      <c r="D11215">
        <v>80</v>
      </c>
      <c r="E11215">
        <f>IF(OR(B11215="vi",B11215="ii",B11215="pod"),(((D11215/100)*(C11215*VLOOKUP(B11215,'Poids des runes'!A:B,2,FALSE)))+1),(((D11215/100)*(C11215*VLOOKUP(B11215,'Poids des runes'!A:B,2,FALSE)))+1)/VLOOKUP(B11215,'Poids des runes'!A:B,2,FALSE))</f>
        <v>12.280000000000001</v>
      </c>
      <c r="F11215">
        <f t="shared" si="175"/>
        <v>12.280000000000001</v>
      </c>
    </row>
    <row r="11216" spans="1:6" x14ac:dyDescent="0.3">
      <c r="A11216" t="s">
        <v>1839</v>
      </c>
      <c r="B11216" t="s">
        <v>2126</v>
      </c>
      <c r="C11216">
        <v>50.5</v>
      </c>
      <c r="D11216">
        <v>80</v>
      </c>
      <c r="E11216">
        <f>IF(OR(B11216="vi",B11216="ii",B11216="pod"),(((D11216/100)*(C11216*VLOOKUP(B11216,'Poids des runes'!A:B,2,FALSE)))+1),(((D11216/100)*(C11216*VLOOKUP(B11216,'Poids des runes'!A:B,2,FALSE)))+1)/VLOOKUP(B11216,'Poids des runes'!A:B,2,FALSE))</f>
        <v>41.400000000000006</v>
      </c>
      <c r="F11216">
        <f t="shared" si="175"/>
        <v>41.400000000000006</v>
      </c>
    </row>
    <row r="11217" spans="1:6" x14ac:dyDescent="0.3">
      <c r="A11217" t="s">
        <v>1839</v>
      </c>
      <c r="B11217" t="s">
        <v>2129</v>
      </c>
      <c r="C11217">
        <v>18</v>
      </c>
      <c r="D11217">
        <v>80</v>
      </c>
      <c r="E11217">
        <f>IF(OR(B11217="vi",B11217="ii",B11217="pod"),(((D11217/100)*(C11217*VLOOKUP(B11217,'Poids des runes'!A:B,2,FALSE)))+1),(((D11217/100)*(C11217*VLOOKUP(B11217,'Poids des runes'!A:B,2,FALSE)))+1)/VLOOKUP(B11217,'Poids des runes'!A:B,2,FALSE))</f>
        <v>15.4</v>
      </c>
      <c r="F11217">
        <f t="shared" si="175"/>
        <v>15.4</v>
      </c>
    </row>
    <row r="11218" spans="1:6" x14ac:dyDescent="0.3">
      <c r="A11218" t="s">
        <v>1839</v>
      </c>
      <c r="B11218" t="s">
        <v>2155</v>
      </c>
      <c r="C11218">
        <v>1</v>
      </c>
      <c r="D11218">
        <v>80</v>
      </c>
      <c r="E11218">
        <f>IF(OR(B11218="vi",B11218="ii",B11218="pod"),(((D11218/100)*(C11218*VLOOKUP(B11218,'Poids des runes'!A:B,2,FALSE)))+1),(((D11218/100)*(C11218*VLOOKUP(B11218,'Poids des runes'!A:B,2,FALSE)))+1)/VLOOKUP(B11218,'Poids des runes'!A:B,2,FALSE))</f>
        <v>0.81960784313725499</v>
      </c>
      <c r="F11218">
        <f t="shared" si="175"/>
        <v>0.81960784313725499</v>
      </c>
    </row>
    <row r="11219" spans="1:6" x14ac:dyDescent="0.3">
      <c r="A11219" t="s">
        <v>1839</v>
      </c>
      <c r="B11219" t="s">
        <v>2132</v>
      </c>
      <c r="C11219">
        <v>275.5</v>
      </c>
      <c r="D11219">
        <v>80</v>
      </c>
      <c r="E11219">
        <f>IF(OR(B11219="vi",B11219="ii",B11219="pod"),(((D11219/100)*(C11219*VLOOKUP(B11219,'Poids des runes'!A:B,2,FALSE)))+1),(((D11219/100)*(C11219*VLOOKUP(B11219,'Poids des runes'!A:B,2,FALSE)))+1)/VLOOKUP(B11219,'Poids des runes'!A:B,2,FALSE))</f>
        <v>23.040000000000003</v>
      </c>
      <c r="F11219">
        <f t="shared" si="175"/>
        <v>23.040000000000003</v>
      </c>
    </row>
    <row r="11220" spans="1:6" x14ac:dyDescent="0.3">
      <c r="A11220" t="s">
        <v>1839</v>
      </c>
      <c r="B11220" t="s">
        <v>2135</v>
      </c>
      <c r="C11220">
        <v>4</v>
      </c>
      <c r="D11220">
        <v>80</v>
      </c>
      <c r="E11220">
        <f>IF(OR(B11220="vi",B11220="ii",B11220="pod"),(((D11220/100)*(C11220*VLOOKUP(B11220,'Poids des runes'!A:B,2,FALSE)))+1),(((D11220/100)*(C11220*VLOOKUP(B11220,'Poids des runes'!A:B,2,FALSE)))+1)/VLOOKUP(B11220,'Poids des runes'!A:B,2,FALSE))</f>
        <v>3.3666666666666671</v>
      </c>
      <c r="F11220">
        <f t="shared" si="175"/>
        <v>3.3666666666666671</v>
      </c>
    </row>
    <row r="11221" spans="1:6" x14ac:dyDescent="0.3">
      <c r="A11221" t="s">
        <v>1840</v>
      </c>
      <c r="B11221" t="s">
        <v>2128</v>
      </c>
      <c r="C11221">
        <v>60.5</v>
      </c>
      <c r="D11221">
        <v>80</v>
      </c>
      <c r="E11221">
        <f>IF(OR(B11221="vi",B11221="ii",B11221="pod"),(((D11221/100)*(C11221*VLOOKUP(B11221,'Poids des runes'!A:B,2,FALSE)))+1),(((D11221/100)*(C11221*VLOOKUP(B11221,'Poids des runes'!A:B,2,FALSE)))+1)/VLOOKUP(B11221,'Poids des runes'!A:B,2,FALSE))</f>
        <v>10.680000000000001</v>
      </c>
      <c r="F11221">
        <f t="shared" si="175"/>
        <v>10.680000000000001</v>
      </c>
    </row>
    <row r="11222" spans="1:6" x14ac:dyDescent="0.3">
      <c r="A11222" t="s">
        <v>1840</v>
      </c>
      <c r="B11222" t="s">
        <v>2131</v>
      </c>
      <c r="C11222">
        <v>50.5</v>
      </c>
      <c r="D11222">
        <v>80</v>
      </c>
      <c r="E11222">
        <f>IF(OR(B11222="vi",B11222="ii",B11222="pod"),(((D11222/100)*(C11222*VLOOKUP(B11222,'Poids des runes'!A:B,2,FALSE)))+1),(((D11222/100)*(C11222*VLOOKUP(B11222,'Poids des runes'!A:B,2,FALSE)))+1)/VLOOKUP(B11222,'Poids des runes'!A:B,2,FALSE))</f>
        <v>41.400000000000006</v>
      </c>
      <c r="F11222">
        <f t="shared" si="175"/>
        <v>41.400000000000006</v>
      </c>
    </row>
    <row r="11223" spans="1:6" x14ac:dyDescent="0.3">
      <c r="A11223" t="s">
        <v>1840</v>
      </c>
      <c r="B11223" t="s">
        <v>2139</v>
      </c>
      <c r="C11223">
        <v>13</v>
      </c>
      <c r="D11223">
        <v>80</v>
      </c>
      <c r="E11223">
        <f>IF(OR(B11223="vi",B11223="ii",B11223="pod"),(((D11223/100)*(C11223*VLOOKUP(B11223,'Poids des runes'!A:B,2,FALSE)))+1),(((D11223/100)*(C11223*VLOOKUP(B11223,'Poids des runes'!A:B,2,FALSE)))+1)/VLOOKUP(B11223,'Poids des runes'!A:B,2,FALSE))</f>
        <v>10.9</v>
      </c>
      <c r="F11223">
        <f t="shared" si="175"/>
        <v>10.9</v>
      </c>
    </row>
    <row r="11224" spans="1:6" x14ac:dyDescent="0.3">
      <c r="A11224" t="s">
        <v>1840</v>
      </c>
      <c r="B11224" t="s">
        <v>2151</v>
      </c>
      <c r="C11224">
        <v>3.5</v>
      </c>
      <c r="D11224">
        <v>80</v>
      </c>
      <c r="E11224">
        <f>IF(OR(B11224="vi",B11224="ii",B11224="pod"),(((D11224/100)*(C11224*VLOOKUP(B11224,'Poids des runes'!A:B,2,FALSE)))+1),(((D11224/100)*(C11224*VLOOKUP(B11224,'Poids des runes'!A:B,2,FALSE)))+1)/VLOOKUP(B11224,'Poids des runes'!A:B,2,FALSE))</f>
        <v>2.9</v>
      </c>
      <c r="F11224">
        <f t="shared" si="175"/>
        <v>2.9</v>
      </c>
    </row>
    <row r="11225" spans="1:6" x14ac:dyDescent="0.3">
      <c r="A11225" t="s">
        <v>1840</v>
      </c>
      <c r="B11225" t="s">
        <v>2134</v>
      </c>
      <c r="C11225">
        <v>2.5</v>
      </c>
      <c r="D11225">
        <v>80</v>
      </c>
      <c r="E11225">
        <f>IF(OR(B11225="vi",B11225="ii",B11225="pod"),(((D11225/100)*(C11225*VLOOKUP(B11225,'Poids des runes'!A:B,2,FALSE)))+1),(((D11225/100)*(C11225*VLOOKUP(B11225,'Poids des runes'!A:B,2,FALSE)))+1)/VLOOKUP(B11225,'Poids des runes'!A:B,2,FALSE))</f>
        <v>2.0499999999999998</v>
      </c>
      <c r="F11225">
        <f t="shared" si="175"/>
        <v>2.0499999999999998</v>
      </c>
    </row>
    <row r="11226" spans="1:6" x14ac:dyDescent="0.3">
      <c r="A11226" t="s">
        <v>1840</v>
      </c>
      <c r="B11226" t="s">
        <v>2147</v>
      </c>
      <c r="C11226">
        <v>4.5</v>
      </c>
      <c r="D11226">
        <v>80</v>
      </c>
      <c r="E11226">
        <f>IF(OR(B11226="vi",B11226="ii",B11226="pod"),(((D11226/100)*(C11226*VLOOKUP(B11226,'Poids des runes'!A:B,2,FALSE)))+1),(((D11226/100)*(C11226*VLOOKUP(B11226,'Poids des runes'!A:B,2,FALSE)))+1)/VLOOKUP(B11226,'Poids des runes'!A:B,2,FALSE))</f>
        <v>3.7666666666666671</v>
      </c>
      <c r="F11226">
        <f t="shared" si="175"/>
        <v>3.7666666666666671</v>
      </c>
    </row>
    <row r="11227" spans="1:6" x14ac:dyDescent="0.3">
      <c r="A11227" t="s">
        <v>1841</v>
      </c>
      <c r="B11227" t="s">
        <v>2128</v>
      </c>
      <c r="C11227">
        <v>50.5</v>
      </c>
      <c r="D11227">
        <v>80</v>
      </c>
      <c r="E11227">
        <f>IF(OR(B11227="vi",B11227="ii",B11227="pod"),(((D11227/100)*(C11227*VLOOKUP(B11227,'Poids des runes'!A:B,2,FALSE)))+1),(((D11227/100)*(C11227*VLOOKUP(B11227,'Poids des runes'!A:B,2,FALSE)))+1)/VLOOKUP(B11227,'Poids des runes'!A:B,2,FALSE))</f>
        <v>9.0800000000000018</v>
      </c>
      <c r="F11227">
        <f t="shared" si="175"/>
        <v>9.0800000000000018</v>
      </c>
    </row>
    <row r="11228" spans="1:6" x14ac:dyDescent="0.3">
      <c r="A11228" t="s">
        <v>1841</v>
      </c>
      <c r="B11228" t="s">
        <v>2130</v>
      </c>
      <c r="C11228">
        <v>23</v>
      </c>
      <c r="D11228">
        <v>80</v>
      </c>
      <c r="E11228">
        <f>IF(OR(B11228="vi",B11228="ii",B11228="pod"),(((D11228/100)*(C11228*VLOOKUP(B11228,'Poids des runes'!A:B,2,FALSE)))+1),(((D11228/100)*(C11228*VLOOKUP(B11228,'Poids des runes'!A:B,2,FALSE)))+1)/VLOOKUP(B11228,'Poids des runes'!A:B,2,FALSE))</f>
        <v>19.400000000000002</v>
      </c>
      <c r="F11228">
        <f t="shared" si="175"/>
        <v>19.400000000000002</v>
      </c>
    </row>
    <row r="11229" spans="1:6" x14ac:dyDescent="0.3">
      <c r="A11229" t="s">
        <v>1841</v>
      </c>
      <c r="B11229" t="s">
        <v>2127</v>
      </c>
      <c r="C11229">
        <v>45.5</v>
      </c>
      <c r="D11229">
        <v>80</v>
      </c>
      <c r="E11229">
        <f>IF(OR(B11229="vi",B11229="ii",B11229="pod"),(((D11229/100)*(C11229*VLOOKUP(B11229,'Poids des runes'!A:B,2,FALSE)))+1),(((D11229/100)*(C11229*VLOOKUP(B11229,'Poids des runes'!A:B,2,FALSE)))+1)/VLOOKUP(B11229,'Poids des runes'!A:B,2,FALSE))</f>
        <v>37.4</v>
      </c>
      <c r="F11229">
        <f t="shared" si="175"/>
        <v>37.4</v>
      </c>
    </row>
    <row r="11230" spans="1:6" x14ac:dyDescent="0.3">
      <c r="A11230" t="s">
        <v>1841</v>
      </c>
      <c r="B11230" t="s">
        <v>2155</v>
      </c>
      <c r="C11230">
        <v>1</v>
      </c>
      <c r="D11230">
        <v>80</v>
      </c>
      <c r="E11230">
        <f>IF(OR(B11230="vi",B11230="ii",B11230="pod"),(((D11230/100)*(C11230*VLOOKUP(B11230,'Poids des runes'!A:B,2,FALSE)))+1),(((D11230/100)*(C11230*VLOOKUP(B11230,'Poids des runes'!A:B,2,FALSE)))+1)/VLOOKUP(B11230,'Poids des runes'!A:B,2,FALSE))</f>
        <v>0.81960784313725499</v>
      </c>
      <c r="F11230">
        <f t="shared" si="175"/>
        <v>0.81960784313725499</v>
      </c>
    </row>
    <row r="11231" spans="1:6" x14ac:dyDescent="0.3">
      <c r="A11231" t="s">
        <v>1841</v>
      </c>
      <c r="B11231" t="s">
        <v>2149</v>
      </c>
      <c r="C11231">
        <v>8.5</v>
      </c>
      <c r="D11231">
        <v>80</v>
      </c>
      <c r="E11231">
        <f>IF(OR(B11231="vi",B11231="ii",B11231="pod"),(((D11231/100)*(C11231*VLOOKUP(B11231,'Poids des runes'!A:B,2,FALSE)))+1),(((D11231/100)*(C11231*VLOOKUP(B11231,'Poids des runes'!A:B,2,FALSE)))+1)/VLOOKUP(B11231,'Poids des runes'!A:B,2,FALSE))</f>
        <v>6.9</v>
      </c>
      <c r="F11231">
        <f t="shared" si="175"/>
        <v>6.9</v>
      </c>
    </row>
    <row r="11232" spans="1:6" x14ac:dyDescent="0.3">
      <c r="A11232" t="s">
        <v>1842</v>
      </c>
      <c r="B11232" t="s">
        <v>2128</v>
      </c>
      <c r="C11232">
        <v>35.5</v>
      </c>
      <c r="D11232">
        <v>80</v>
      </c>
      <c r="E11232">
        <f>IF(OR(B11232="vi",B11232="ii",B11232="pod"),(((D11232/100)*(C11232*VLOOKUP(B11232,'Poids des runes'!A:B,2,FALSE)))+1),(((D11232/100)*(C11232*VLOOKUP(B11232,'Poids des runes'!A:B,2,FALSE)))+1)/VLOOKUP(B11232,'Poids des runes'!A:B,2,FALSE))</f>
        <v>6.6800000000000006</v>
      </c>
      <c r="F11232">
        <f t="shared" si="175"/>
        <v>6.6800000000000006</v>
      </c>
    </row>
    <row r="11233" spans="1:6" x14ac:dyDescent="0.3">
      <c r="A11233" t="s">
        <v>1842</v>
      </c>
      <c r="B11233" t="s">
        <v>2131</v>
      </c>
      <c r="C11233">
        <v>45.5</v>
      </c>
      <c r="D11233">
        <v>80</v>
      </c>
      <c r="E11233">
        <f>IF(OR(B11233="vi",B11233="ii",B11233="pod"),(((D11233/100)*(C11233*VLOOKUP(B11233,'Poids des runes'!A:B,2,FALSE)))+1),(((D11233/100)*(C11233*VLOOKUP(B11233,'Poids des runes'!A:B,2,FALSE)))+1)/VLOOKUP(B11233,'Poids des runes'!A:B,2,FALSE))</f>
        <v>37.4</v>
      </c>
      <c r="F11233">
        <f t="shared" si="175"/>
        <v>37.4</v>
      </c>
    </row>
    <row r="11234" spans="1:6" x14ac:dyDescent="0.3">
      <c r="A11234" t="s">
        <v>1842</v>
      </c>
      <c r="B11234" t="s">
        <v>2127</v>
      </c>
      <c r="C11234">
        <v>25.5</v>
      </c>
      <c r="D11234">
        <v>80</v>
      </c>
      <c r="E11234">
        <f>IF(OR(B11234="vi",B11234="ii",B11234="pod"),(((D11234/100)*(C11234*VLOOKUP(B11234,'Poids des runes'!A:B,2,FALSE)))+1),(((D11234/100)*(C11234*VLOOKUP(B11234,'Poids des runes'!A:B,2,FALSE)))+1)/VLOOKUP(B11234,'Poids des runes'!A:B,2,FALSE))</f>
        <v>21.400000000000002</v>
      </c>
      <c r="F11234">
        <f t="shared" si="175"/>
        <v>21.400000000000002</v>
      </c>
    </row>
    <row r="11235" spans="1:6" x14ac:dyDescent="0.3">
      <c r="A11235" t="s">
        <v>1842</v>
      </c>
      <c r="B11235" t="s">
        <v>2129</v>
      </c>
      <c r="C11235">
        <v>23</v>
      </c>
      <c r="D11235">
        <v>80</v>
      </c>
      <c r="E11235">
        <f>IF(OR(B11235="vi",B11235="ii",B11235="pod"),(((D11235/100)*(C11235*VLOOKUP(B11235,'Poids des runes'!A:B,2,FALSE)))+1),(((D11235/100)*(C11235*VLOOKUP(B11235,'Poids des runes'!A:B,2,FALSE)))+1)/VLOOKUP(B11235,'Poids des runes'!A:B,2,FALSE))</f>
        <v>19.400000000000002</v>
      </c>
      <c r="F11235">
        <f t="shared" si="175"/>
        <v>19.400000000000002</v>
      </c>
    </row>
    <row r="11236" spans="1:6" x14ac:dyDescent="0.3">
      <c r="A11236" t="s">
        <v>1842</v>
      </c>
      <c r="B11236" t="s">
        <v>2134</v>
      </c>
      <c r="C11236">
        <v>4.5</v>
      </c>
      <c r="D11236">
        <v>80</v>
      </c>
      <c r="E11236">
        <f>IF(OR(B11236="vi",B11236="ii",B11236="pod"),(((D11236/100)*(C11236*VLOOKUP(B11236,'Poids des runes'!A:B,2,FALSE)))+1),(((D11236/100)*(C11236*VLOOKUP(B11236,'Poids des runes'!A:B,2,FALSE)))+1)/VLOOKUP(B11236,'Poids des runes'!A:B,2,FALSE))</f>
        <v>3.65</v>
      </c>
      <c r="F11236">
        <f t="shared" si="175"/>
        <v>3.65</v>
      </c>
    </row>
    <row r="11237" spans="1:6" x14ac:dyDescent="0.3">
      <c r="A11237" t="s">
        <v>1842</v>
      </c>
      <c r="B11237" t="s">
        <v>2161</v>
      </c>
      <c r="C11237">
        <v>8.5</v>
      </c>
      <c r="D11237">
        <v>80</v>
      </c>
      <c r="E11237">
        <f>IF(OR(B11237="vi",B11237="ii",B11237="pod"),(((D11237/100)*(C11237*VLOOKUP(B11237,'Poids des runes'!A:B,2,FALSE)))+1),(((D11237/100)*(C11237*VLOOKUP(B11237,'Poids des runes'!A:B,2,FALSE)))+1)/VLOOKUP(B11237,'Poids des runes'!A:B,2,FALSE))</f>
        <v>7.1333333333333337</v>
      </c>
      <c r="F11237">
        <f t="shared" si="175"/>
        <v>7.1333333333333337</v>
      </c>
    </row>
    <row r="11238" spans="1:6" x14ac:dyDescent="0.3">
      <c r="A11238" t="s">
        <v>1842</v>
      </c>
      <c r="B11238" t="s">
        <v>2132</v>
      </c>
      <c r="C11238">
        <v>175.5</v>
      </c>
      <c r="D11238">
        <v>80</v>
      </c>
      <c r="E11238">
        <f>IF(OR(B11238="vi",B11238="ii",B11238="pod"),(((D11238/100)*(C11238*VLOOKUP(B11238,'Poids des runes'!A:B,2,FALSE)))+1),(((D11238/100)*(C11238*VLOOKUP(B11238,'Poids des runes'!A:B,2,FALSE)))+1)/VLOOKUP(B11238,'Poids des runes'!A:B,2,FALSE))</f>
        <v>15.040000000000001</v>
      </c>
      <c r="F11238">
        <f t="shared" si="175"/>
        <v>15.040000000000001</v>
      </c>
    </row>
    <row r="11239" spans="1:6" x14ac:dyDescent="0.3">
      <c r="A11239" t="s">
        <v>1843</v>
      </c>
      <c r="B11239" t="s">
        <v>2128</v>
      </c>
      <c r="C11239">
        <v>60.5</v>
      </c>
      <c r="D11239">
        <v>80</v>
      </c>
      <c r="E11239">
        <f>IF(OR(B11239="vi",B11239="ii",B11239="pod"),(((D11239/100)*(C11239*VLOOKUP(B11239,'Poids des runes'!A:B,2,FALSE)))+1),(((D11239/100)*(C11239*VLOOKUP(B11239,'Poids des runes'!A:B,2,FALSE)))+1)/VLOOKUP(B11239,'Poids des runes'!A:B,2,FALSE))</f>
        <v>10.680000000000001</v>
      </c>
      <c r="F11239">
        <f t="shared" si="175"/>
        <v>10.680000000000001</v>
      </c>
    </row>
    <row r="11240" spans="1:6" x14ac:dyDescent="0.3">
      <c r="A11240" t="s">
        <v>1843</v>
      </c>
      <c r="B11240" t="s">
        <v>2126</v>
      </c>
      <c r="C11240">
        <v>50.5</v>
      </c>
      <c r="D11240">
        <v>80</v>
      </c>
      <c r="E11240">
        <f>IF(OR(B11240="vi",B11240="ii",B11240="pod"),(((D11240/100)*(C11240*VLOOKUP(B11240,'Poids des runes'!A:B,2,FALSE)))+1),(((D11240/100)*(C11240*VLOOKUP(B11240,'Poids des runes'!A:B,2,FALSE)))+1)/VLOOKUP(B11240,'Poids des runes'!A:B,2,FALSE))</f>
        <v>41.400000000000006</v>
      </c>
      <c r="F11240">
        <f t="shared" si="175"/>
        <v>41.400000000000006</v>
      </c>
    </row>
    <row r="11241" spans="1:6" x14ac:dyDescent="0.3">
      <c r="A11241" t="s">
        <v>1843</v>
      </c>
      <c r="B11241" t="s">
        <v>2131</v>
      </c>
      <c r="C11241">
        <v>18</v>
      </c>
      <c r="D11241">
        <v>80</v>
      </c>
      <c r="E11241">
        <f>IF(OR(B11241="vi",B11241="ii",B11241="pod"),(((D11241/100)*(C11241*VLOOKUP(B11241,'Poids des runes'!A:B,2,FALSE)))+1),(((D11241/100)*(C11241*VLOOKUP(B11241,'Poids des runes'!A:B,2,FALSE)))+1)/VLOOKUP(B11241,'Poids des runes'!A:B,2,FALSE))</f>
        <v>15.4</v>
      </c>
      <c r="F11241">
        <f t="shared" si="175"/>
        <v>15.4</v>
      </c>
    </row>
    <row r="11242" spans="1:6" x14ac:dyDescent="0.3">
      <c r="A11242" t="s">
        <v>1843</v>
      </c>
      <c r="B11242" t="s">
        <v>2139</v>
      </c>
      <c r="C11242">
        <v>13</v>
      </c>
      <c r="D11242">
        <v>80</v>
      </c>
      <c r="E11242">
        <f>IF(OR(B11242="vi",B11242="ii",B11242="pod"),(((D11242/100)*(C11242*VLOOKUP(B11242,'Poids des runes'!A:B,2,FALSE)))+1),(((D11242/100)*(C11242*VLOOKUP(B11242,'Poids des runes'!A:B,2,FALSE)))+1)/VLOOKUP(B11242,'Poids des runes'!A:B,2,FALSE))</f>
        <v>10.9</v>
      </c>
      <c r="F11242">
        <f t="shared" si="175"/>
        <v>10.9</v>
      </c>
    </row>
    <row r="11243" spans="1:6" x14ac:dyDescent="0.3">
      <c r="A11243" t="s">
        <v>1843</v>
      </c>
      <c r="B11243" t="s">
        <v>2151</v>
      </c>
      <c r="C11243">
        <v>3.5</v>
      </c>
      <c r="D11243">
        <v>80</v>
      </c>
      <c r="E11243">
        <f>IF(OR(B11243="vi",B11243="ii",B11243="pod"),(((D11243/100)*(C11243*VLOOKUP(B11243,'Poids des runes'!A:B,2,FALSE)))+1),(((D11243/100)*(C11243*VLOOKUP(B11243,'Poids des runes'!A:B,2,FALSE)))+1)/VLOOKUP(B11243,'Poids des runes'!A:B,2,FALSE))</f>
        <v>2.9</v>
      </c>
      <c r="F11243">
        <f t="shared" si="175"/>
        <v>2.9</v>
      </c>
    </row>
    <row r="11244" spans="1:6" x14ac:dyDescent="0.3">
      <c r="A11244" t="s">
        <v>1843</v>
      </c>
      <c r="B11244" t="s">
        <v>2134</v>
      </c>
      <c r="C11244">
        <v>2.5</v>
      </c>
      <c r="D11244">
        <v>80</v>
      </c>
      <c r="E11244">
        <f>IF(OR(B11244="vi",B11244="ii",B11244="pod"),(((D11244/100)*(C11244*VLOOKUP(B11244,'Poids des runes'!A:B,2,FALSE)))+1),(((D11244/100)*(C11244*VLOOKUP(B11244,'Poids des runes'!A:B,2,FALSE)))+1)/VLOOKUP(B11244,'Poids des runes'!A:B,2,FALSE))</f>
        <v>2.0499999999999998</v>
      </c>
      <c r="F11244">
        <f t="shared" si="175"/>
        <v>2.0499999999999998</v>
      </c>
    </row>
    <row r="11245" spans="1:6" x14ac:dyDescent="0.3">
      <c r="A11245" t="s">
        <v>1843</v>
      </c>
      <c r="B11245" t="s">
        <v>2132</v>
      </c>
      <c r="C11245">
        <v>175.5</v>
      </c>
      <c r="D11245">
        <v>80</v>
      </c>
      <c r="E11245">
        <f>IF(OR(B11245="vi",B11245="ii",B11245="pod"),(((D11245/100)*(C11245*VLOOKUP(B11245,'Poids des runes'!A:B,2,FALSE)))+1),(((D11245/100)*(C11245*VLOOKUP(B11245,'Poids des runes'!A:B,2,FALSE)))+1)/VLOOKUP(B11245,'Poids des runes'!A:B,2,FALSE))</f>
        <v>15.040000000000001</v>
      </c>
      <c r="F11245">
        <f t="shared" si="175"/>
        <v>15.040000000000001</v>
      </c>
    </row>
    <row r="11246" spans="1:6" x14ac:dyDescent="0.3">
      <c r="A11246" t="s">
        <v>1844</v>
      </c>
      <c r="B11246" t="s">
        <v>2126</v>
      </c>
      <c r="C11246">
        <v>50.5</v>
      </c>
      <c r="D11246">
        <v>81</v>
      </c>
      <c r="E11246">
        <f>IF(OR(B11246="vi",B11246="ii",B11246="pod"),(((D11246/100)*(C11246*VLOOKUP(B11246,'Poids des runes'!A:B,2,FALSE)))+1),(((D11246/100)*(C11246*VLOOKUP(B11246,'Poids des runes'!A:B,2,FALSE)))+1)/VLOOKUP(B11246,'Poids des runes'!A:B,2,FALSE))</f>
        <v>41.905000000000001</v>
      </c>
      <c r="F11246">
        <f t="shared" si="175"/>
        <v>41.905000000000001</v>
      </c>
    </row>
    <row r="11247" spans="1:6" x14ac:dyDescent="0.3">
      <c r="A11247" t="s">
        <v>1844</v>
      </c>
      <c r="B11247" t="s">
        <v>2131</v>
      </c>
      <c r="C11247">
        <v>50.5</v>
      </c>
      <c r="D11247">
        <v>81</v>
      </c>
      <c r="E11247">
        <f>IF(OR(B11247="vi",B11247="ii",B11247="pod"),(((D11247/100)*(C11247*VLOOKUP(B11247,'Poids des runes'!A:B,2,FALSE)))+1),(((D11247/100)*(C11247*VLOOKUP(B11247,'Poids des runes'!A:B,2,FALSE)))+1)/VLOOKUP(B11247,'Poids des runes'!A:B,2,FALSE))</f>
        <v>41.905000000000001</v>
      </c>
      <c r="F11247">
        <f t="shared" si="175"/>
        <v>41.905000000000001</v>
      </c>
    </row>
    <row r="11248" spans="1:6" x14ac:dyDescent="0.3">
      <c r="A11248" t="s">
        <v>1844</v>
      </c>
      <c r="B11248" t="s">
        <v>2129</v>
      </c>
      <c r="C11248">
        <v>35.5</v>
      </c>
      <c r="D11248">
        <v>81</v>
      </c>
      <c r="E11248">
        <f>IF(OR(B11248="vi",B11248="ii",B11248="pod"),(((D11248/100)*(C11248*VLOOKUP(B11248,'Poids des runes'!A:B,2,FALSE)))+1),(((D11248/100)*(C11248*VLOOKUP(B11248,'Poids des runes'!A:B,2,FALSE)))+1)/VLOOKUP(B11248,'Poids des runes'!A:B,2,FALSE))</f>
        <v>29.755000000000003</v>
      </c>
      <c r="F11248">
        <f t="shared" si="175"/>
        <v>29.755000000000003</v>
      </c>
    </row>
    <row r="11249" spans="1:6" x14ac:dyDescent="0.3">
      <c r="A11249" t="s">
        <v>1844</v>
      </c>
      <c r="B11249" t="s">
        <v>2151</v>
      </c>
      <c r="C11249">
        <v>4.5</v>
      </c>
      <c r="D11249">
        <v>81</v>
      </c>
      <c r="E11249">
        <f>IF(OR(B11249="vi",B11249="ii",B11249="pod"),(((D11249/100)*(C11249*VLOOKUP(B11249,'Poids des runes'!A:B,2,FALSE)))+1),(((D11249/100)*(C11249*VLOOKUP(B11249,'Poids des runes'!A:B,2,FALSE)))+1)/VLOOKUP(B11249,'Poids des runes'!A:B,2,FALSE))</f>
        <v>3.7450000000000001</v>
      </c>
      <c r="F11249">
        <f t="shared" si="175"/>
        <v>3.7450000000000001</v>
      </c>
    </row>
    <row r="11250" spans="1:6" x14ac:dyDescent="0.3">
      <c r="A11250" t="s">
        <v>1844</v>
      </c>
      <c r="B11250" t="s">
        <v>2132</v>
      </c>
      <c r="C11250">
        <v>325.5</v>
      </c>
      <c r="D11250">
        <v>81</v>
      </c>
      <c r="E11250">
        <f>IF(OR(B11250="vi",B11250="ii",B11250="pod"),(((D11250/100)*(C11250*VLOOKUP(B11250,'Poids des runes'!A:B,2,FALSE)))+1),(((D11250/100)*(C11250*VLOOKUP(B11250,'Poids des runes'!A:B,2,FALSE)))+1)/VLOOKUP(B11250,'Poids des runes'!A:B,2,FALSE))</f>
        <v>27.365500000000004</v>
      </c>
      <c r="F11250">
        <f t="shared" si="175"/>
        <v>27.365500000000004</v>
      </c>
    </row>
    <row r="11251" spans="1:6" x14ac:dyDescent="0.3">
      <c r="A11251" t="s">
        <v>1845</v>
      </c>
      <c r="B11251" t="s">
        <v>2128</v>
      </c>
      <c r="C11251">
        <v>85.5</v>
      </c>
      <c r="D11251">
        <v>81</v>
      </c>
      <c r="E11251">
        <f>IF(OR(B11251="vi",B11251="ii",B11251="pod"),(((D11251/100)*(C11251*VLOOKUP(B11251,'Poids des runes'!A:B,2,FALSE)))+1),(((D11251/100)*(C11251*VLOOKUP(B11251,'Poids des runes'!A:B,2,FALSE)))+1)/VLOOKUP(B11251,'Poids des runes'!A:B,2,FALSE))</f>
        <v>14.851000000000003</v>
      </c>
      <c r="F11251">
        <f t="shared" si="175"/>
        <v>14.851000000000003</v>
      </c>
    </row>
    <row r="11252" spans="1:6" x14ac:dyDescent="0.3">
      <c r="A11252" t="s">
        <v>1845</v>
      </c>
      <c r="B11252" t="s">
        <v>2126</v>
      </c>
      <c r="C11252">
        <v>35.5</v>
      </c>
      <c r="D11252">
        <v>81</v>
      </c>
      <c r="E11252">
        <f>IF(OR(B11252="vi",B11252="ii",B11252="pod"),(((D11252/100)*(C11252*VLOOKUP(B11252,'Poids des runes'!A:B,2,FALSE)))+1),(((D11252/100)*(C11252*VLOOKUP(B11252,'Poids des runes'!A:B,2,FALSE)))+1)/VLOOKUP(B11252,'Poids des runes'!A:B,2,FALSE))</f>
        <v>29.755000000000003</v>
      </c>
      <c r="F11252">
        <f t="shared" si="175"/>
        <v>29.755000000000003</v>
      </c>
    </row>
    <row r="11253" spans="1:6" x14ac:dyDescent="0.3">
      <c r="A11253" t="s">
        <v>1845</v>
      </c>
      <c r="B11253" t="s">
        <v>2127</v>
      </c>
      <c r="C11253">
        <v>35.5</v>
      </c>
      <c r="D11253">
        <v>81</v>
      </c>
      <c r="E11253">
        <f>IF(OR(B11253="vi",B11253="ii",B11253="pod"),(((D11253/100)*(C11253*VLOOKUP(B11253,'Poids des runes'!A:B,2,FALSE)))+1),(((D11253/100)*(C11253*VLOOKUP(B11253,'Poids des runes'!A:B,2,FALSE)))+1)/VLOOKUP(B11253,'Poids des runes'!A:B,2,FALSE))</f>
        <v>29.755000000000003</v>
      </c>
      <c r="F11253">
        <f t="shared" si="175"/>
        <v>29.755000000000003</v>
      </c>
    </row>
    <row r="11254" spans="1:6" x14ac:dyDescent="0.3">
      <c r="A11254" t="s">
        <v>1845</v>
      </c>
      <c r="B11254" t="s">
        <v>2129</v>
      </c>
      <c r="C11254">
        <v>13</v>
      </c>
      <c r="D11254">
        <v>81</v>
      </c>
      <c r="E11254">
        <f>IF(OR(B11254="vi",B11254="ii",B11254="pod"),(((D11254/100)*(C11254*VLOOKUP(B11254,'Poids des runes'!A:B,2,FALSE)))+1),(((D11254/100)*(C11254*VLOOKUP(B11254,'Poids des runes'!A:B,2,FALSE)))+1)/VLOOKUP(B11254,'Poids des runes'!A:B,2,FALSE))</f>
        <v>11.530000000000001</v>
      </c>
      <c r="F11254">
        <f t="shared" si="175"/>
        <v>11.530000000000001</v>
      </c>
    </row>
    <row r="11255" spans="1:6" x14ac:dyDescent="0.3">
      <c r="A11255" t="s">
        <v>1845</v>
      </c>
      <c r="B11255" t="s">
        <v>2139</v>
      </c>
      <c r="C11255">
        <v>25.5</v>
      </c>
      <c r="D11255">
        <v>81</v>
      </c>
      <c r="E11255">
        <f>IF(OR(B11255="vi",B11255="ii",B11255="pod"),(((D11255/100)*(C11255*VLOOKUP(B11255,'Poids des runes'!A:B,2,FALSE)))+1),(((D11255/100)*(C11255*VLOOKUP(B11255,'Poids des runes'!A:B,2,FALSE)))+1)/VLOOKUP(B11255,'Poids des runes'!A:B,2,FALSE))</f>
        <v>21.155000000000001</v>
      </c>
      <c r="F11255">
        <f t="shared" si="175"/>
        <v>21.155000000000001</v>
      </c>
    </row>
    <row r="11256" spans="1:6" x14ac:dyDescent="0.3">
      <c r="A11256" t="s">
        <v>1845</v>
      </c>
      <c r="B11256" t="s">
        <v>2134</v>
      </c>
      <c r="C11256">
        <v>6</v>
      </c>
      <c r="D11256">
        <v>81</v>
      </c>
      <c r="E11256">
        <f>IF(OR(B11256="vi",B11256="ii",B11256="pod"),(((D11256/100)*(C11256*VLOOKUP(B11256,'Poids des runes'!A:B,2,FALSE)))+1),(((D11256/100)*(C11256*VLOOKUP(B11256,'Poids des runes'!A:B,2,FALSE)))+1)/VLOOKUP(B11256,'Poids des runes'!A:B,2,FALSE))</f>
        <v>4.91</v>
      </c>
      <c r="F11256">
        <f t="shared" si="175"/>
        <v>4.91</v>
      </c>
    </row>
    <row r="11257" spans="1:6" x14ac:dyDescent="0.3">
      <c r="A11257" t="s">
        <v>1845</v>
      </c>
      <c r="B11257" t="s">
        <v>2141</v>
      </c>
      <c r="C11257">
        <v>4.5</v>
      </c>
      <c r="D11257">
        <v>81</v>
      </c>
      <c r="E11257">
        <f>IF(OR(B11257="vi",B11257="ii",B11257="pod"),(((D11257/100)*(C11257*VLOOKUP(B11257,'Poids des runes'!A:B,2,FALSE)))+1),(((D11257/100)*(C11257*VLOOKUP(B11257,'Poids des runes'!A:B,2,FALSE)))+1)/VLOOKUP(B11257,'Poids des runes'!A:B,2,FALSE))</f>
        <v>3.8950000000000005</v>
      </c>
      <c r="F11257">
        <f t="shared" si="175"/>
        <v>3.8950000000000005</v>
      </c>
    </row>
    <row r="11258" spans="1:6" x14ac:dyDescent="0.3">
      <c r="A11258" t="s">
        <v>1846</v>
      </c>
      <c r="B11258" t="s">
        <v>2128</v>
      </c>
      <c r="C11258">
        <v>50.5</v>
      </c>
      <c r="D11258">
        <v>81</v>
      </c>
      <c r="E11258">
        <f>IF(OR(B11258="vi",B11258="ii",B11258="pod"),(((D11258/100)*(C11258*VLOOKUP(B11258,'Poids des runes'!A:B,2,FALSE)))+1),(((D11258/100)*(C11258*VLOOKUP(B11258,'Poids des runes'!A:B,2,FALSE)))+1)/VLOOKUP(B11258,'Poids des runes'!A:B,2,FALSE))</f>
        <v>9.1810000000000009</v>
      </c>
      <c r="F11258">
        <f t="shared" si="175"/>
        <v>9.1810000000000009</v>
      </c>
    </row>
    <row r="11259" spans="1:6" x14ac:dyDescent="0.3">
      <c r="A11259" t="s">
        <v>1846</v>
      </c>
      <c r="B11259" t="s">
        <v>2130</v>
      </c>
      <c r="C11259">
        <v>45.5</v>
      </c>
      <c r="D11259">
        <v>81</v>
      </c>
      <c r="E11259">
        <f>IF(OR(B11259="vi",B11259="ii",B11259="pod"),(((D11259/100)*(C11259*VLOOKUP(B11259,'Poids des runes'!A:B,2,FALSE)))+1),(((D11259/100)*(C11259*VLOOKUP(B11259,'Poids des runes'!A:B,2,FALSE)))+1)/VLOOKUP(B11259,'Poids des runes'!A:B,2,FALSE))</f>
        <v>37.855000000000004</v>
      </c>
      <c r="F11259">
        <f t="shared" si="175"/>
        <v>37.855000000000004</v>
      </c>
    </row>
    <row r="11260" spans="1:6" x14ac:dyDescent="0.3">
      <c r="A11260" t="s">
        <v>1846</v>
      </c>
      <c r="B11260" t="s">
        <v>2129</v>
      </c>
      <c r="C11260">
        <v>25.5</v>
      </c>
      <c r="D11260">
        <v>81</v>
      </c>
      <c r="E11260">
        <f>IF(OR(B11260="vi",B11260="ii",B11260="pod"),(((D11260/100)*(C11260*VLOOKUP(B11260,'Poids des runes'!A:B,2,FALSE)))+1),(((D11260/100)*(C11260*VLOOKUP(B11260,'Poids des runes'!A:B,2,FALSE)))+1)/VLOOKUP(B11260,'Poids des runes'!A:B,2,FALSE))</f>
        <v>21.655000000000001</v>
      </c>
      <c r="F11260">
        <f t="shared" si="175"/>
        <v>21.655000000000001</v>
      </c>
    </row>
    <row r="11261" spans="1:6" x14ac:dyDescent="0.3">
      <c r="A11261" t="s">
        <v>1846</v>
      </c>
      <c r="B11261" t="s">
        <v>2155</v>
      </c>
      <c r="C11261">
        <v>1</v>
      </c>
      <c r="D11261">
        <v>81</v>
      </c>
      <c r="E11261">
        <f>IF(OR(B11261="vi",B11261="ii",B11261="pod"),(((D11261/100)*(C11261*VLOOKUP(B11261,'Poids des runes'!A:B,2,FALSE)))+1),(((D11261/100)*(C11261*VLOOKUP(B11261,'Poids des runes'!A:B,2,FALSE)))+1)/VLOOKUP(B11261,'Poids des runes'!A:B,2,FALSE))</f>
        <v>0.829607843137255</v>
      </c>
      <c r="F11261">
        <f t="shared" si="175"/>
        <v>0.829607843137255</v>
      </c>
    </row>
    <row r="11262" spans="1:6" x14ac:dyDescent="0.3">
      <c r="A11262" t="s">
        <v>1846</v>
      </c>
      <c r="B11262" t="s">
        <v>2150</v>
      </c>
      <c r="C11262">
        <v>1</v>
      </c>
      <c r="D11262">
        <v>81</v>
      </c>
      <c r="E11262">
        <f>IF(OR(B11262="vi",B11262="ii",B11262="pod"),(((D11262/100)*(C11262*VLOOKUP(B11262,'Poids des runes'!A:B,2,FALSE)))+1),(((D11262/100)*(C11262*VLOOKUP(B11262,'Poids des runes'!A:B,2,FALSE)))+1)/VLOOKUP(B11262,'Poids des runes'!A:B,2,FALSE))</f>
        <v>0.84333333333333338</v>
      </c>
      <c r="F11262">
        <f t="shared" si="175"/>
        <v>0.84333333333333338</v>
      </c>
    </row>
    <row r="11263" spans="1:6" x14ac:dyDescent="0.3">
      <c r="A11263" t="s">
        <v>1846</v>
      </c>
      <c r="B11263" t="s">
        <v>2138</v>
      </c>
      <c r="C11263">
        <v>4.5</v>
      </c>
      <c r="D11263">
        <v>81</v>
      </c>
      <c r="E11263">
        <f>IF(OR(B11263="vi",B11263="ii",B11263="pod"),(((D11263/100)*(C11263*VLOOKUP(B11263,'Poids des runes'!A:B,2,FALSE)))+1),(((D11263/100)*(C11263*VLOOKUP(B11263,'Poids des runes'!A:B,2,FALSE)))+1)/VLOOKUP(B11263,'Poids des runes'!A:B,2,FALSE))</f>
        <v>3.8950000000000005</v>
      </c>
      <c r="F11263">
        <f t="shared" si="175"/>
        <v>3.8950000000000005</v>
      </c>
    </row>
    <row r="11264" spans="1:6" x14ac:dyDescent="0.3">
      <c r="A11264" t="s">
        <v>1847</v>
      </c>
      <c r="B11264" t="s">
        <v>2128</v>
      </c>
      <c r="C11264">
        <v>60.5</v>
      </c>
      <c r="D11264">
        <v>81</v>
      </c>
      <c r="E11264">
        <f>IF(OR(B11264="vi",B11264="ii",B11264="pod"),(((D11264/100)*(C11264*VLOOKUP(B11264,'Poids des runes'!A:B,2,FALSE)))+1),(((D11264/100)*(C11264*VLOOKUP(B11264,'Poids des runes'!A:B,2,FALSE)))+1)/VLOOKUP(B11264,'Poids des runes'!A:B,2,FALSE))</f>
        <v>10.801000000000002</v>
      </c>
      <c r="F11264">
        <f t="shared" si="175"/>
        <v>10.801000000000002</v>
      </c>
    </row>
    <row r="11265" spans="1:6" x14ac:dyDescent="0.3">
      <c r="A11265" t="s">
        <v>1847</v>
      </c>
      <c r="B11265" t="s">
        <v>2130</v>
      </c>
      <c r="C11265">
        <v>50.5</v>
      </c>
      <c r="D11265">
        <v>81</v>
      </c>
      <c r="E11265">
        <f>IF(OR(B11265="vi",B11265="ii",B11265="pod"),(((D11265/100)*(C11265*VLOOKUP(B11265,'Poids des runes'!A:B,2,FALSE)))+1),(((D11265/100)*(C11265*VLOOKUP(B11265,'Poids des runes'!A:B,2,FALSE)))+1)/VLOOKUP(B11265,'Poids des runes'!A:B,2,FALSE))</f>
        <v>41.905000000000001</v>
      </c>
      <c r="F11265">
        <f t="shared" si="175"/>
        <v>41.905000000000001</v>
      </c>
    </row>
    <row r="11266" spans="1:6" x14ac:dyDescent="0.3">
      <c r="A11266" t="s">
        <v>1847</v>
      </c>
      <c r="B11266" t="s">
        <v>2129</v>
      </c>
      <c r="C11266">
        <v>23</v>
      </c>
      <c r="D11266">
        <v>81</v>
      </c>
      <c r="E11266">
        <f>IF(OR(B11266="vi",B11266="ii",B11266="pod"),(((D11266/100)*(C11266*VLOOKUP(B11266,'Poids des runes'!A:B,2,FALSE)))+1),(((D11266/100)*(C11266*VLOOKUP(B11266,'Poids des runes'!A:B,2,FALSE)))+1)/VLOOKUP(B11266,'Poids des runes'!A:B,2,FALSE))</f>
        <v>19.630000000000003</v>
      </c>
      <c r="F11266">
        <f t="shared" si="175"/>
        <v>19.630000000000003</v>
      </c>
    </row>
    <row r="11267" spans="1:6" x14ac:dyDescent="0.3">
      <c r="A11267" t="s">
        <v>1847</v>
      </c>
      <c r="B11267" t="s">
        <v>2150</v>
      </c>
      <c r="C11267">
        <v>2</v>
      </c>
      <c r="D11267">
        <v>81</v>
      </c>
      <c r="E11267">
        <f>IF(OR(B11267="vi",B11267="ii",B11267="pod"),(((D11267/100)*(C11267*VLOOKUP(B11267,'Poids des runes'!A:B,2,FALSE)))+1),(((D11267/100)*(C11267*VLOOKUP(B11267,'Poids des runes'!A:B,2,FALSE)))+1)/VLOOKUP(B11267,'Poids des runes'!A:B,2,FALSE))</f>
        <v>1.6533333333333333</v>
      </c>
      <c r="F11267">
        <f t="shared" ref="F11267:F11330" si="176">E11267</f>
        <v>1.6533333333333333</v>
      </c>
    </row>
    <row r="11268" spans="1:6" x14ac:dyDescent="0.3">
      <c r="A11268" t="s">
        <v>1847</v>
      </c>
      <c r="B11268" t="s">
        <v>2143</v>
      </c>
      <c r="C11268">
        <v>2.5</v>
      </c>
      <c r="D11268">
        <v>81</v>
      </c>
      <c r="E11268">
        <f>IF(OR(B11268="vi",B11268="ii",B11268="pod"),(((D11268/100)*(C11268*VLOOKUP(B11268,'Poids des runes'!A:B,2,FALSE)))+1),(((D11268/100)*(C11268*VLOOKUP(B11268,'Poids des runes'!A:B,2,FALSE)))+1)/VLOOKUP(B11268,'Poids des runes'!A:B,2,FALSE))</f>
        <v>2.2250000000000001</v>
      </c>
      <c r="F11268">
        <f t="shared" si="176"/>
        <v>2.2250000000000001</v>
      </c>
    </row>
    <row r="11269" spans="1:6" x14ac:dyDescent="0.3">
      <c r="A11269" t="s">
        <v>1847</v>
      </c>
      <c r="B11269" t="s">
        <v>2161</v>
      </c>
      <c r="C11269">
        <v>4.5</v>
      </c>
      <c r="D11269">
        <v>81</v>
      </c>
      <c r="E11269">
        <f>IF(OR(B11269="vi",B11269="ii",B11269="pod"),(((D11269/100)*(C11269*VLOOKUP(B11269,'Poids des runes'!A:B,2,FALSE)))+1),(((D11269/100)*(C11269*VLOOKUP(B11269,'Poids des runes'!A:B,2,FALSE)))+1)/VLOOKUP(B11269,'Poids des runes'!A:B,2,FALSE))</f>
        <v>3.9783333333333335</v>
      </c>
      <c r="F11269">
        <f t="shared" si="176"/>
        <v>3.9783333333333335</v>
      </c>
    </row>
    <row r="11270" spans="1:6" x14ac:dyDescent="0.3">
      <c r="A11270" t="s">
        <v>1848</v>
      </c>
      <c r="B11270" t="s">
        <v>2128</v>
      </c>
      <c r="C11270">
        <v>70.5</v>
      </c>
      <c r="D11270">
        <v>81</v>
      </c>
      <c r="E11270">
        <f>IF(OR(B11270="vi",B11270="ii",B11270="pod"),(((D11270/100)*(C11270*VLOOKUP(B11270,'Poids des runes'!A:B,2,FALSE)))+1),(((D11270/100)*(C11270*VLOOKUP(B11270,'Poids des runes'!A:B,2,FALSE)))+1)/VLOOKUP(B11270,'Poids des runes'!A:B,2,FALSE))</f>
        <v>12.421000000000001</v>
      </c>
      <c r="F11270">
        <f t="shared" si="176"/>
        <v>12.421000000000001</v>
      </c>
    </row>
    <row r="11271" spans="1:6" x14ac:dyDescent="0.3">
      <c r="A11271" t="s">
        <v>1848</v>
      </c>
      <c r="B11271" t="s">
        <v>2126</v>
      </c>
      <c r="C11271">
        <v>45.5</v>
      </c>
      <c r="D11271">
        <v>81</v>
      </c>
      <c r="E11271">
        <f>IF(OR(B11271="vi",B11271="ii",B11271="pod"),(((D11271/100)*(C11271*VLOOKUP(B11271,'Poids des runes'!A:B,2,FALSE)))+1),(((D11271/100)*(C11271*VLOOKUP(B11271,'Poids des runes'!A:B,2,FALSE)))+1)/VLOOKUP(B11271,'Poids des runes'!A:B,2,FALSE))</f>
        <v>37.855000000000004</v>
      </c>
      <c r="F11271">
        <f t="shared" si="176"/>
        <v>37.855000000000004</v>
      </c>
    </row>
    <row r="11272" spans="1:6" x14ac:dyDescent="0.3">
      <c r="A11272" t="s">
        <v>1848</v>
      </c>
      <c r="B11272" t="s">
        <v>2140</v>
      </c>
      <c r="C11272">
        <v>6</v>
      </c>
      <c r="D11272">
        <v>81</v>
      </c>
      <c r="E11272">
        <f>IF(OR(B11272="vi",B11272="ii",B11272="pod"),(((D11272/100)*(C11272*VLOOKUP(B11272,'Poids des runes'!A:B,2,FALSE)))+1),(((D11272/100)*(C11272*VLOOKUP(B11272,'Poids des runes'!A:B,2,FALSE)))+1)/VLOOKUP(B11272,'Poids des runes'!A:B,2,FALSE))</f>
        <v>5.0600000000000005</v>
      </c>
      <c r="F11272">
        <f t="shared" si="176"/>
        <v>5.0600000000000005</v>
      </c>
    </row>
    <row r="11273" spans="1:6" x14ac:dyDescent="0.3">
      <c r="A11273" t="s">
        <v>1848</v>
      </c>
      <c r="B11273" t="s">
        <v>2149</v>
      </c>
      <c r="C11273">
        <v>8.5</v>
      </c>
      <c r="D11273">
        <v>81</v>
      </c>
      <c r="E11273">
        <f>IF(OR(B11273="vi",B11273="ii",B11273="pod"),(((D11273/100)*(C11273*VLOOKUP(B11273,'Poids des runes'!A:B,2,FALSE)))+1),(((D11273/100)*(C11273*VLOOKUP(B11273,'Poids des runes'!A:B,2,FALSE)))+1)/VLOOKUP(B11273,'Poids des runes'!A:B,2,FALSE))</f>
        <v>6.9850000000000012</v>
      </c>
      <c r="F11273">
        <f t="shared" si="176"/>
        <v>6.9850000000000012</v>
      </c>
    </row>
    <row r="11274" spans="1:6" x14ac:dyDescent="0.3">
      <c r="A11274" t="s">
        <v>1848</v>
      </c>
      <c r="B11274" t="s">
        <v>2141</v>
      </c>
      <c r="C11274">
        <v>4.5</v>
      </c>
      <c r="D11274">
        <v>81</v>
      </c>
      <c r="E11274">
        <f>IF(OR(B11274="vi",B11274="ii",B11274="pod"),(((D11274/100)*(C11274*VLOOKUP(B11274,'Poids des runes'!A:B,2,FALSE)))+1),(((D11274/100)*(C11274*VLOOKUP(B11274,'Poids des runes'!A:B,2,FALSE)))+1)/VLOOKUP(B11274,'Poids des runes'!A:B,2,FALSE))</f>
        <v>3.8950000000000005</v>
      </c>
      <c r="F11274">
        <f t="shared" si="176"/>
        <v>3.8950000000000005</v>
      </c>
    </row>
    <row r="11275" spans="1:6" x14ac:dyDescent="0.3">
      <c r="A11275" t="s">
        <v>1848</v>
      </c>
      <c r="B11275" t="s">
        <v>2147</v>
      </c>
      <c r="C11275">
        <v>4.5</v>
      </c>
      <c r="D11275">
        <v>81</v>
      </c>
      <c r="E11275">
        <f>IF(OR(B11275="vi",B11275="ii",B11275="pod"),(((D11275/100)*(C11275*VLOOKUP(B11275,'Poids des runes'!A:B,2,FALSE)))+1),(((D11275/100)*(C11275*VLOOKUP(B11275,'Poids des runes'!A:B,2,FALSE)))+1)/VLOOKUP(B11275,'Poids des runes'!A:B,2,FALSE))</f>
        <v>3.811666666666667</v>
      </c>
      <c r="F11275">
        <f t="shared" si="176"/>
        <v>3.811666666666667</v>
      </c>
    </row>
    <row r="11276" spans="1:6" x14ac:dyDescent="0.3">
      <c r="A11276" t="s">
        <v>1849</v>
      </c>
      <c r="B11276" t="s">
        <v>2128</v>
      </c>
      <c r="C11276">
        <v>45.5</v>
      </c>
      <c r="D11276">
        <v>81</v>
      </c>
      <c r="E11276">
        <f>IF(OR(B11276="vi",B11276="ii",B11276="pod"),(((D11276/100)*(C11276*VLOOKUP(B11276,'Poids des runes'!A:B,2,FALSE)))+1),(((D11276/100)*(C11276*VLOOKUP(B11276,'Poids des runes'!A:B,2,FALSE)))+1)/VLOOKUP(B11276,'Poids des runes'!A:B,2,FALSE))</f>
        <v>8.3710000000000004</v>
      </c>
      <c r="F11276">
        <f t="shared" si="176"/>
        <v>8.3710000000000004</v>
      </c>
    </row>
    <row r="11277" spans="1:6" x14ac:dyDescent="0.3">
      <c r="A11277" t="s">
        <v>1849</v>
      </c>
      <c r="B11277" t="s">
        <v>2127</v>
      </c>
      <c r="C11277">
        <v>60.5</v>
      </c>
      <c r="D11277">
        <v>81</v>
      </c>
      <c r="E11277">
        <f>IF(OR(B11277="vi",B11277="ii",B11277="pod"),(((D11277/100)*(C11277*VLOOKUP(B11277,'Poids des runes'!A:B,2,FALSE)))+1),(((D11277/100)*(C11277*VLOOKUP(B11277,'Poids des runes'!A:B,2,FALSE)))+1)/VLOOKUP(B11277,'Poids des runes'!A:B,2,FALSE))</f>
        <v>50.005000000000003</v>
      </c>
      <c r="F11277">
        <f t="shared" si="176"/>
        <v>50.005000000000003</v>
      </c>
    </row>
    <row r="11278" spans="1:6" x14ac:dyDescent="0.3">
      <c r="A11278" t="s">
        <v>1849</v>
      </c>
      <c r="B11278" t="s">
        <v>2129</v>
      </c>
      <c r="C11278">
        <v>25.5</v>
      </c>
      <c r="D11278">
        <v>81</v>
      </c>
      <c r="E11278">
        <f>IF(OR(B11278="vi",B11278="ii",B11278="pod"),(((D11278/100)*(C11278*VLOOKUP(B11278,'Poids des runes'!A:B,2,FALSE)))+1),(((D11278/100)*(C11278*VLOOKUP(B11278,'Poids des runes'!A:B,2,FALSE)))+1)/VLOOKUP(B11278,'Poids des runes'!A:B,2,FALSE))</f>
        <v>21.655000000000001</v>
      </c>
      <c r="F11278">
        <f t="shared" si="176"/>
        <v>21.655000000000001</v>
      </c>
    </row>
    <row r="11279" spans="1:6" x14ac:dyDescent="0.3">
      <c r="A11279" t="s">
        <v>1849</v>
      </c>
      <c r="B11279" t="s">
        <v>2151</v>
      </c>
      <c r="C11279">
        <v>3.5</v>
      </c>
      <c r="D11279">
        <v>81</v>
      </c>
      <c r="E11279">
        <f>IF(OR(B11279="vi",B11279="ii",B11279="pod"),(((D11279/100)*(C11279*VLOOKUP(B11279,'Poids des runes'!A:B,2,FALSE)))+1),(((D11279/100)*(C11279*VLOOKUP(B11279,'Poids des runes'!A:B,2,FALSE)))+1)/VLOOKUP(B11279,'Poids des runes'!A:B,2,FALSE))</f>
        <v>2.9350000000000001</v>
      </c>
      <c r="F11279">
        <f t="shared" si="176"/>
        <v>2.9350000000000001</v>
      </c>
    </row>
    <row r="11280" spans="1:6" x14ac:dyDescent="0.3">
      <c r="A11280" t="s">
        <v>1849</v>
      </c>
      <c r="B11280" t="s">
        <v>2134</v>
      </c>
      <c r="C11280">
        <v>4.5</v>
      </c>
      <c r="D11280">
        <v>81</v>
      </c>
      <c r="E11280">
        <f>IF(OR(B11280="vi",B11280="ii",B11280="pod"),(((D11280/100)*(C11280*VLOOKUP(B11280,'Poids des runes'!A:B,2,FALSE)))+1),(((D11280/100)*(C11280*VLOOKUP(B11280,'Poids des runes'!A:B,2,FALSE)))+1)/VLOOKUP(B11280,'Poids des runes'!A:B,2,FALSE))</f>
        <v>3.6950000000000003</v>
      </c>
      <c r="F11280">
        <f t="shared" si="176"/>
        <v>3.6950000000000003</v>
      </c>
    </row>
    <row r="11281" spans="1:6" x14ac:dyDescent="0.3">
      <c r="A11281" t="s">
        <v>1850</v>
      </c>
      <c r="B11281" t="s">
        <v>2128</v>
      </c>
      <c r="C11281">
        <v>70.5</v>
      </c>
      <c r="D11281">
        <v>81</v>
      </c>
      <c r="E11281">
        <f>IF(OR(B11281="vi",B11281="ii",B11281="pod"),(((D11281/100)*(C11281*VLOOKUP(B11281,'Poids des runes'!A:B,2,FALSE)))+1),(((D11281/100)*(C11281*VLOOKUP(B11281,'Poids des runes'!A:B,2,FALSE)))+1)/VLOOKUP(B11281,'Poids des runes'!A:B,2,FALSE))</f>
        <v>12.421000000000001</v>
      </c>
      <c r="F11281">
        <f t="shared" si="176"/>
        <v>12.421000000000001</v>
      </c>
    </row>
    <row r="11282" spans="1:6" x14ac:dyDescent="0.3">
      <c r="A11282" t="s">
        <v>1850</v>
      </c>
      <c r="B11282" t="s">
        <v>2126</v>
      </c>
      <c r="C11282">
        <v>40.5</v>
      </c>
      <c r="D11282">
        <v>81</v>
      </c>
      <c r="E11282">
        <f>IF(OR(B11282="vi",B11282="ii",B11282="pod"),(((D11282/100)*(C11282*VLOOKUP(B11282,'Poids des runes'!A:B,2,FALSE)))+1),(((D11282/100)*(C11282*VLOOKUP(B11282,'Poids des runes'!A:B,2,FALSE)))+1)/VLOOKUP(B11282,'Poids des runes'!A:B,2,FALSE))</f>
        <v>33.805</v>
      </c>
      <c r="F11282">
        <f t="shared" si="176"/>
        <v>33.805</v>
      </c>
    </row>
    <row r="11283" spans="1:6" x14ac:dyDescent="0.3">
      <c r="A11283" t="s">
        <v>1850</v>
      </c>
      <c r="B11283" t="s">
        <v>2127</v>
      </c>
      <c r="C11283">
        <v>40.5</v>
      </c>
      <c r="D11283">
        <v>81</v>
      </c>
      <c r="E11283">
        <f>IF(OR(B11283="vi",B11283="ii",B11283="pod"),(((D11283/100)*(C11283*VLOOKUP(B11283,'Poids des runes'!A:B,2,FALSE)))+1),(((D11283/100)*(C11283*VLOOKUP(B11283,'Poids des runes'!A:B,2,FALSE)))+1)/VLOOKUP(B11283,'Poids des runes'!A:B,2,FALSE))</f>
        <v>33.805</v>
      </c>
      <c r="F11283">
        <f t="shared" si="176"/>
        <v>33.805</v>
      </c>
    </row>
    <row r="11284" spans="1:6" x14ac:dyDescent="0.3">
      <c r="A11284" t="s">
        <v>1850</v>
      </c>
      <c r="B11284" t="s">
        <v>2139</v>
      </c>
      <c r="C11284">
        <v>13</v>
      </c>
      <c r="D11284">
        <v>81</v>
      </c>
      <c r="E11284">
        <f>IF(OR(B11284="vi",B11284="ii",B11284="pod"),(((D11284/100)*(C11284*VLOOKUP(B11284,'Poids des runes'!A:B,2,FALSE)))+1),(((D11284/100)*(C11284*VLOOKUP(B11284,'Poids des runes'!A:B,2,FALSE)))+1)/VLOOKUP(B11284,'Poids des runes'!A:B,2,FALSE))</f>
        <v>11.030000000000001</v>
      </c>
      <c r="F11284">
        <f t="shared" si="176"/>
        <v>11.030000000000001</v>
      </c>
    </row>
    <row r="11285" spans="1:6" x14ac:dyDescent="0.3">
      <c r="A11285" t="s">
        <v>1850</v>
      </c>
      <c r="B11285" t="s">
        <v>2134</v>
      </c>
      <c r="C11285">
        <v>6</v>
      </c>
      <c r="D11285">
        <v>81</v>
      </c>
      <c r="E11285">
        <f>IF(OR(B11285="vi",B11285="ii",B11285="pod"),(((D11285/100)*(C11285*VLOOKUP(B11285,'Poids des runes'!A:B,2,FALSE)))+1),(((D11285/100)*(C11285*VLOOKUP(B11285,'Poids des runes'!A:B,2,FALSE)))+1)/VLOOKUP(B11285,'Poids des runes'!A:B,2,FALSE))</f>
        <v>4.91</v>
      </c>
      <c r="F11285">
        <f t="shared" si="176"/>
        <v>4.91</v>
      </c>
    </row>
    <row r="11286" spans="1:6" x14ac:dyDescent="0.3">
      <c r="A11286" t="s">
        <v>1850</v>
      </c>
      <c r="B11286" t="s">
        <v>2138</v>
      </c>
      <c r="C11286">
        <v>4.5</v>
      </c>
      <c r="D11286">
        <v>81</v>
      </c>
      <c r="E11286">
        <f>IF(OR(B11286="vi",B11286="ii",B11286="pod"),(((D11286/100)*(C11286*VLOOKUP(B11286,'Poids des runes'!A:B,2,FALSE)))+1),(((D11286/100)*(C11286*VLOOKUP(B11286,'Poids des runes'!A:B,2,FALSE)))+1)/VLOOKUP(B11286,'Poids des runes'!A:B,2,FALSE))</f>
        <v>3.8950000000000005</v>
      </c>
      <c r="F11286">
        <f t="shared" si="176"/>
        <v>3.8950000000000005</v>
      </c>
    </row>
    <row r="11287" spans="1:6" x14ac:dyDescent="0.3">
      <c r="A11287" t="s">
        <v>1850</v>
      </c>
      <c r="B11287" t="s">
        <v>2166</v>
      </c>
      <c r="C11287">
        <v>1</v>
      </c>
      <c r="D11287">
        <v>81</v>
      </c>
      <c r="E11287">
        <f>IF(OR(B11287="vi",B11287="ii",B11287="pod"),(((D11287/100)*(C11287*VLOOKUP(B11287,'Poids des runes'!A:B,2,FALSE)))+1),(((D11287/100)*(C11287*VLOOKUP(B11287,'Poids des runes'!A:B,2,FALSE)))+1)/VLOOKUP(B11287,'Poids des runes'!A:B,2,FALSE))</f>
        <v>1.1433333333333333</v>
      </c>
      <c r="F11287">
        <f t="shared" si="176"/>
        <v>1.1433333333333333</v>
      </c>
    </row>
    <row r="11288" spans="1:6" x14ac:dyDescent="0.3">
      <c r="A11288" t="s">
        <v>1851</v>
      </c>
      <c r="B11288" t="s">
        <v>2128</v>
      </c>
      <c r="C11288">
        <v>45.5</v>
      </c>
      <c r="D11288">
        <v>82</v>
      </c>
      <c r="E11288">
        <f>IF(OR(B11288="vi",B11288="ii",B11288="pod"),(((D11288/100)*(C11288*VLOOKUP(B11288,'Poids des runes'!A:B,2,FALSE)))+1),(((D11288/100)*(C11288*VLOOKUP(B11288,'Poids des runes'!A:B,2,FALSE)))+1)/VLOOKUP(B11288,'Poids des runes'!A:B,2,FALSE))</f>
        <v>8.4619999999999997</v>
      </c>
      <c r="F11288">
        <f t="shared" si="176"/>
        <v>8.4619999999999997</v>
      </c>
    </row>
    <row r="11289" spans="1:6" x14ac:dyDescent="0.3">
      <c r="A11289" t="s">
        <v>1851</v>
      </c>
      <c r="B11289" t="s">
        <v>2126</v>
      </c>
      <c r="C11289">
        <v>45.5</v>
      </c>
      <c r="D11289">
        <v>82</v>
      </c>
      <c r="E11289">
        <f>IF(OR(B11289="vi",B11289="ii",B11289="pod"),(((D11289/100)*(C11289*VLOOKUP(B11289,'Poids des runes'!A:B,2,FALSE)))+1),(((D11289/100)*(C11289*VLOOKUP(B11289,'Poids des runes'!A:B,2,FALSE)))+1)/VLOOKUP(B11289,'Poids des runes'!A:B,2,FALSE))</f>
        <v>38.309999999999995</v>
      </c>
      <c r="F11289">
        <f t="shared" si="176"/>
        <v>38.309999999999995</v>
      </c>
    </row>
    <row r="11290" spans="1:6" x14ac:dyDescent="0.3">
      <c r="A11290" t="s">
        <v>1851</v>
      </c>
      <c r="B11290" t="s">
        <v>2131</v>
      </c>
      <c r="C11290">
        <v>45.5</v>
      </c>
      <c r="D11290">
        <v>82</v>
      </c>
      <c r="E11290">
        <f>IF(OR(B11290="vi",B11290="ii",B11290="pod"),(((D11290/100)*(C11290*VLOOKUP(B11290,'Poids des runes'!A:B,2,FALSE)))+1),(((D11290/100)*(C11290*VLOOKUP(B11290,'Poids des runes'!A:B,2,FALSE)))+1)/VLOOKUP(B11290,'Poids des runes'!A:B,2,FALSE))</f>
        <v>38.309999999999995</v>
      </c>
      <c r="F11290">
        <f t="shared" si="176"/>
        <v>38.309999999999995</v>
      </c>
    </row>
    <row r="11291" spans="1:6" x14ac:dyDescent="0.3">
      <c r="A11291" t="s">
        <v>1851</v>
      </c>
      <c r="B11291" t="s">
        <v>2129</v>
      </c>
      <c r="C11291">
        <v>18</v>
      </c>
      <c r="D11291">
        <v>82</v>
      </c>
      <c r="E11291">
        <f>IF(OR(B11291="vi",B11291="ii",B11291="pod"),(((D11291/100)*(C11291*VLOOKUP(B11291,'Poids des runes'!A:B,2,FALSE)))+1),(((D11291/100)*(C11291*VLOOKUP(B11291,'Poids des runes'!A:B,2,FALSE)))+1)/VLOOKUP(B11291,'Poids des runes'!A:B,2,FALSE))</f>
        <v>15.76</v>
      </c>
      <c r="F11291">
        <f t="shared" si="176"/>
        <v>15.76</v>
      </c>
    </row>
    <row r="11292" spans="1:6" x14ac:dyDescent="0.3">
      <c r="A11292" t="s">
        <v>1851</v>
      </c>
      <c r="B11292" t="s">
        <v>2132</v>
      </c>
      <c r="C11292">
        <v>175.5</v>
      </c>
      <c r="D11292">
        <v>82</v>
      </c>
      <c r="E11292">
        <f>IF(OR(B11292="vi",B11292="ii",B11292="pod"),(((D11292/100)*(C11292*VLOOKUP(B11292,'Poids des runes'!A:B,2,FALSE)))+1),(((D11292/100)*(C11292*VLOOKUP(B11292,'Poids des runes'!A:B,2,FALSE)))+1)/VLOOKUP(B11292,'Poids des runes'!A:B,2,FALSE))</f>
        <v>15.391</v>
      </c>
      <c r="F11292">
        <f t="shared" si="176"/>
        <v>15.391</v>
      </c>
    </row>
    <row r="11293" spans="1:6" x14ac:dyDescent="0.3">
      <c r="A11293" t="s">
        <v>1851</v>
      </c>
      <c r="B11293" t="s">
        <v>2147</v>
      </c>
      <c r="C11293">
        <v>2</v>
      </c>
      <c r="D11293">
        <v>82</v>
      </c>
      <c r="E11293">
        <f>IF(OR(B11293="vi",B11293="ii",B11293="pod"),(((D11293/100)*(C11293*VLOOKUP(B11293,'Poids des runes'!A:B,2,FALSE)))+1),(((D11293/100)*(C11293*VLOOKUP(B11293,'Poids des runes'!A:B,2,FALSE)))+1)/VLOOKUP(B11293,'Poids des runes'!A:B,2,FALSE))</f>
        <v>1.8066666666666666</v>
      </c>
      <c r="F11293">
        <f t="shared" si="176"/>
        <v>1.8066666666666666</v>
      </c>
    </row>
    <row r="11294" spans="1:6" x14ac:dyDescent="0.3">
      <c r="A11294" t="s">
        <v>1851</v>
      </c>
      <c r="B11294" t="s">
        <v>2135</v>
      </c>
      <c r="C11294">
        <v>2</v>
      </c>
      <c r="D11294">
        <v>82</v>
      </c>
      <c r="E11294">
        <f>IF(OR(B11294="vi",B11294="ii",B11294="pod"),(((D11294/100)*(C11294*VLOOKUP(B11294,'Poids des runes'!A:B,2,FALSE)))+1),(((D11294/100)*(C11294*VLOOKUP(B11294,'Poids des runes'!A:B,2,FALSE)))+1)/VLOOKUP(B11294,'Poids des runes'!A:B,2,FALSE))</f>
        <v>1.8066666666666666</v>
      </c>
      <c r="F11294">
        <f t="shared" si="176"/>
        <v>1.8066666666666666</v>
      </c>
    </row>
    <row r="11295" spans="1:6" x14ac:dyDescent="0.3">
      <c r="A11295" t="s">
        <v>1851</v>
      </c>
      <c r="B11295" t="s">
        <v>2157</v>
      </c>
      <c r="C11295">
        <v>2</v>
      </c>
      <c r="D11295">
        <v>82</v>
      </c>
      <c r="E11295">
        <f>IF(OR(B11295="vi",B11295="ii",B11295="pod"),(((D11295/100)*(C11295*VLOOKUP(B11295,'Poids des runes'!A:B,2,FALSE)))+1),(((D11295/100)*(C11295*VLOOKUP(B11295,'Poids des runes'!A:B,2,FALSE)))+1)/VLOOKUP(B11295,'Poids des runes'!A:B,2,FALSE))</f>
        <v>1.8066666666666666</v>
      </c>
      <c r="F11295">
        <f t="shared" si="176"/>
        <v>1.8066666666666666</v>
      </c>
    </row>
    <row r="11296" spans="1:6" x14ac:dyDescent="0.3">
      <c r="A11296" t="s">
        <v>1852</v>
      </c>
      <c r="B11296" t="s">
        <v>2128</v>
      </c>
      <c r="C11296">
        <v>70.5</v>
      </c>
      <c r="D11296">
        <v>82</v>
      </c>
      <c r="E11296">
        <f>IF(OR(B11296="vi",B11296="ii",B11296="pod"),(((D11296/100)*(C11296*VLOOKUP(B11296,'Poids des runes'!A:B,2,FALSE)))+1),(((D11296/100)*(C11296*VLOOKUP(B11296,'Poids des runes'!A:B,2,FALSE)))+1)/VLOOKUP(B11296,'Poids des runes'!A:B,2,FALSE))</f>
        <v>12.562000000000001</v>
      </c>
      <c r="F11296">
        <f t="shared" si="176"/>
        <v>12.562000000000001</v>
      </c>
    </row>
    <row r="11297" spans="1:6" x14ac:dyDescent="0.3">
      <c r="A11297" t="s">
        <v>1852</v>
      </c>
      <c r="B11297" t="s">
        <v>2126</v>
      </c>
      <c r="C11297">
        <v>35.5</v>
      </c>
      <c r="D11297">
        <v>82</v>
      </c>
      <c r="E11297">
        <f>IF(OR(B11297="vi",B11297="ii",B11297="pod"),(((D11297/100)*(C11297*VLOOKUP(B11297,'Poids des runes'!A:B,2,FALSE)))+1),(((D11297/100)*(C11297*VLOOKUP(B11297,'Poids des runes'!A:B,2,FALSE)))+1)/VLOOKUP(B11297,'Poids des runes'!A:B,2,FALSE))</f>
        <v>30.11</v>
      </c>
      <c r="F11297">
        <f t="shared" si="176"/>
        <v>30.11</v>
      </c>
    </row>
    <row r="11298" spans="1:6" x14ac:dyDescent="0.3">
      <c r="A11298" t="s">
        <v>1852</v>
      </c>
      <c r="B11298" t="s">
        <v>2131</v>
      </c>
      <c r="C11298">
        <v>45.5</v>
      </c>
      <c r="D11298">
        <v>82</v>
      </c>
      <c r="E11298">
        <f>IF(OR(B11298="vi",B11298="ii",B11298="pod"),(((D11298/100)*(C11298*VLOOKUP(B11298,'Poids des runes'!A:B,2,FALSE)))+1),(((D11298/100)*(C11298*VLOOKUP(B11298,'Poids des runes'!A:B,2,FALSE)))+1)/VLOOKUP(B11298,'Poids des runes'!A:B,2,FALSE))</f>
        <v>38.309999999999995</v>
      </c>
      <c r="F11298">
        <f t="shared" si="176"/>
        <v>38.309999999999995</v>
      </c>
    </row>
    <row r="11299" spans="1:6" x14ac:dyDescent="0.3">
      <c r="A11299" t="s">
        <v>1852</v>
      </c>
      <c r="B11299" t="s">
        <v>2151</v>
      </c>
      <c r="C11299">
        <v>2.5</v>
      </c>
      <c r="D11299">
        <v>82</v>
      </c>
      <c r="E11299">
        <f>IF(OR(B11299="vi",B11299="ii",B11299="pod"),(((D11299/100)*(C11299*VLOOKUP(B11299,'Poids des runes'!A:B,2,FALSE)))+1),(((D11299/100)*(C11299*VLOOKUP(B11299,'Poids des runes'!A:B,2,FALSE)))+1)/VLOOKUP(B11299,'Poids des runes'!A:B,2,FALSE))</f>
        <v>2.15</v>
      </c>
      <c r="F11299">
        <f t="shared" si="176"/>
        <v>2.15</v>
      </c>
    </row>
    <row r="11300" spans="1:6" x14ac:dyDescent="0.3">
      <c r="A11300" t="s">
        <v>1852</v>
      </c>
      <c r="B11300" t="s">
        <v>2155</v>
      </c>
      <c r="C11300">
        <v>1</v>
      </c>
      <c r="D11300">
        <v>82</v>
      </c>
      <c r="E11300">
        <f>IF(OR(B11300="vi",B11300="ii",B11300="pod"),(((D11300/100)*(C11300*VLOOKUP(B11300,'Poids des runes'!A:B,2,FALSE)))+1),(((D11300/100)*(C11300*VLOOKUP(B11300,'Poids des runes'!A:B,2,FALSE)))+1)/VLOOKUP(B11300,'Poids des runes'!A:B,2,FALSE))</f>
        <v>0.83960784313725489</v>
      </c>
      <c r="F11300">
        <f t="shared" si="176"/>
        <v>0.83960784313725489</v>
      </c>
    </row>
    <row r="11301" spans="1:6" x14ac:dyDescent="0.3">
      <c r="A11301" t="s">
        <v>1852</v>
      </c>
      <c r="B11301" t="s">
        <v>2134</v>
      </c>
      <c r="C11301">
        <v>2.5</v>
      </c>
      <c r="D11301">
        <v>82</v>
      </c>
      <c r="E11301">
        <f>IF(OR(B11301="vi",B11301="ii",B11301="pod"),(((D11301/100)*(C11301*VLOOKUP(B11301,'Poids des runes'!A:B,2,FALSE)))+1),(((D11301/100)*(C11301*VLOOKUP(B11301,'Poids des runes'!A:B,2,FALSE)))+1)/VLOOKUP(B11301,'Poids des runes'!A:B,2,FALSE))</f>
        <v>2.1</v>
      </c>
      <c r="F11301">
        <f t="shared" si="176"/>
        <v>2.1</v>
      </c>
    </row>
    <row r="11302" spans="1:6" x14ac:dyDescent="0.3">
      <c r="A11302" t="s">
        <v>1853</v>
      </c>
      <c r="B11302" t="s">
        <v>2128</v>
      </c>
      <c r="C11302">
        <v>85.5</v>
      </c>
      <c r="D11302">
        <v>82</v>
      </c>
      <c r="E11302">
        <f>IF(OR(B11302="vi",B11302="ii",B11302="pod"),(((D11302/100)*(C11302*VLOOKUP(B11302,'Poids des runes'!A:B,2,FALSE)))+1),(((D11302/100)*(C11302*VLOOKUP(B11302,'Poids des runes'!A:B,2,FALSE)))+1)/VLOOKUP(B11302,'Poids des runes'!A:B,2,FALSE))</f>
        <v>15.022</v>
      </c>
      <c r="F11302">
        <f t="shared" si="176"/>
        <v>15.022</v>
      </c>
    </row>
    <row r="11303" spans="1:6" x14ac:dyDescent="0.3">
      <c r="A11303" t="s">
        <v>1853</v>
      </c>
      <c r="B11303" t="s">
        <v>2130</v>
      </c>
      <c r="C11303">
        <v>25.5</v>
      </c>
      <c r="D11303">
        <v>82</v>
      </c>
      <c r="E11303">
        <f>IF(OR(B11303="vi",B11303="ii",B11303="pod"),(((D11303/100)*(C11303*VLOOKUP(B11303,'Poids des runes'!A:B,2,FALSE)))+1),(((D11303/100)*(C11303*VLOOKUP(B11303,'Poids des runes'!A:B,2,FALSE)))+1)/VLOOKUP(B11303,'Poids des runes'!A:B,2,FALSE))</f>
        <v>21.91</v>
      </c>
      <c r="F11303">
        <f t="shared" si="176"/>
        <v>21.91</v>
      </c>
    </row>
    <row r="11304" spans="1:6" x14ac:dyDescent="0.3">
      <c r="A11304" t="s">
        <v>1853</v>
      </c>
      <c r="B11304" t="s">
        <v>2126</v>
      </c>
      <c r="C11304">
        <v>25.5</v>
      </c>
      <c r="D11304">
        <v>82</v>
      </c>
      <c r="E11304">
        <f>IF(OR(B11304="vi",B11304="ii",B11304="pod"),(((D11304/100)*(C11304*VLOOKUP(B11304,'Poids des runes'!A:B,2,FALSE)))+1),(((D11304/100)*(C11304*VLOOKUP(B11304,'Poids des runes'!A:B,2,FALSE)))+1)/VLOOKUP(B11304,'Poids des runes'!A:B,2,FALSE))</f>
        <v>21.91</v>
      </c>
      <c r="F11304">
        <f t="shared" si="176"/>
        <v>21.91</v>
      </c>
    </row>
    <row r="11305" spans="1:6" x14ac:dyDescent="0.3">
      <c r="A11305" t="s">
        <v>1853</v>
      </c>
      <c r="B11305" t="s">
        <v>2127</v>
      </c>
      <c r="C11305">
        <v>25.5</v>
      </c>
      <c r="D11305">
        <v>82</v>
      </c>
      <c r="E11305">
        <f>IF(OR(B11305="vi",B11305="ii",B11305="pod"),(((D11305/100)*(C11305*VLOOKUP(B11305,'Poids des runes'!A:B,2,FALSE)))+1),(((D11305/100)*(C11305*VLOOKUP(B11305,'Poids des runes'!A:B,2,FALSE)))+1)/VLOOKUP(B11305,'Poids des runes'!A:B,2,FALSE))</f>
        <v>21.91</v>
      </c>
      <c r="F11305">
        <f t="shared" si="176"/>
        <v>21.91</v>
      </c>
    </row>
    <row r="11306" spans="1:6" x14ac:dyDescent="0.3">
      <c r="A11306" t="s">
        <v>1853</v>
      </c>
      <c r="B11306" t="s">
        <v>2139</v>
      </c>
      <c r="C11306">
        <v>18</v>
      </c>
      <c r="D11306">
        <v>82</v>
      </c>
      <c r="E11306">
        <f>IF(OR(B11306="vi",B11306="ii",B11306="pod"),(((D11306/100)*(C11306*VLOOKUP(B11306,'Poids des runes'!A:B,2,FALSE)))+1),(((D11306/100)*(C11306*VLOOKUP(B11306,'Poids des runes'!A:B,2,FALSE)))+1)/VLOOKUP(B11306,'Poids des runes'!A:B,2,FALSE))</f>
        <v>15.26</v>
      </c>
      <c r="F11306">
        <f t="shared" si="176"/>
        <v>15.26</v>
      </c>
    </row>
    <row r="11307" spans="1:6" x14ac:dyDescent="0.3">
      <c r="A11307" t="s">
        <v>1853</v>
      </c>
      <c r="B11307" t="s">
        <v>2134</v>
      </c>
      <c r="C11307">
        <v>4.5</v>
      </c>
      <c r="D11307">
        <v>82</v>
      </c>
      <c r="E11307">
        <f>IF(OR(B11307="vi",B11307="ii",B11307="pod"),(((D11307/100)*(C11307*VLOOKUP(B11307,'Poids des runes'!A:B,2,FALSE)))+1),(((D11307/100)*(C11307*VLOOKUP(B11307,'Poids des runes'!A:B,2,FALSE)))+1)/VLOOKUP(B11307,'Poids des runes'!A:B,2,FALSE))</f>
        <v>3.7399999999999998</v>
      </c>
      <c r="F11307">
        <f t="shared" si="176"/>
        <v>3.7399999999999998</v>
      </c>
    </row>
    <row r="11308" spans="1:6" x14ac:dyDescent="0.3">
      <c r="A11308" t="s">
        <v>1853</v>
      </c>
      <c r="B11308" t="s">
        <v>2158</v>
      </c>
      <c r="C11308">
        <v>8.5</v>
      </c>
      <c r="D11308">
        <v>82</v>
      </c>
      <c r="E11308">
        <f>IF(OR(B11308="vi",B11308="ii",B11308="pod"),(((D11308/100)*(C11308*VLOOKUP(B11308,'Poids des runes'!A:B,2,FALSE)))+1),(((D11308/100)*(C11308*VLOOKUP(B11308,'Poids des runes'!A:B,2,FALSE)))+1)/VLOOKUP(B11308,'Poids des runes'!A:B,2,FALSE))</f>
        <v>7.17</v>
      </c>
      <c r="F11308">
        <f t="shared" si="176"/>
        <v>7.17</v>
      </c>
    </row>
    <row r="11309" spans="1:6" x14ac:dyDescent="0.3">
      <c r="A11309" t="s">
        <v>1854</v>
      </c>
      <c r="B11309" t="s">
        <v>2128</v>
      </c>
      <c r="C11309">
        <v>60.5</v>
      </c>
      <c r="D11309">
        <v>83</v>
      </c>
      <c r="E11309">
        <f>IF(OR(B11309="vi",B11309="ii",B11309="pod"),(((D11309/100)*(C11309*VLOOKUP(B11309,'Poids des runes'!A:B,2,FALSE)))+1),(((D11309/100)*(C11309*VLOOKUP(B11309,'Poids des runes'!A:B,2,FALSE)))+1)/VLOOKUP(B11309,'Poids des runes'!A:B,2,FALSE))</f>
        <v>11.043000000000001</v>
      </c>
      <c r="F11309">
        <f t="shared" si="176"/>
        <v>11.043000000000001</v>
      </c>
    </row>
    <row r="11310" spans="1:6" x14ac:dyDescent="0.3">
      <c r="A11310" t="s">
        <v>1854</v>
      </c>
      <c r="B11310" t="s">
        <v>2130</v>
      </c>
      <c r="C11310">
        <v>35.5</v>
      </c>
      <c r="D11310">
        <v>83</v>
      </c>
      <c r="E11310">
        <f>IF(OR(B11310="vi",B11310="ii",B11310="pod"),(((D11310/100)*(C11310*VLOOKUP(B11310,'Poids des runes'!A:B,2,FALSE)))+1),(((D11310/100)*(C11310*VLOOKUP(B11310,'Poids des runes'!A:B,2,FALSE)))+1)/VLOOKUP(B11310,'Poids des runes'!A:B,2,FALSE))</f>
        <v>30.465</v>
      </c>
      <c r="F11310">
        <f t="shared" si="176"/>
        <v>30.465</v>
      </c>
    </row>
    <row r="11311" spans="1:6" x14ac:dyDescent="0.3">
      <c r="A11311" t="s">
        <v>1854</v>
      </c>
      <c r="B11311" t="s">
        <v>2127</v>
      </c>
      <c r="C11311">
        <v>35.5</v>
      </c>
      <c r="D11311">
        <v>83</v>
      </c>
      <c r="E11311">
        <f>IF(OR(B11311="vi",B11311="ii",B11311="pod"),(((D11311/100)*(C11311*VLOOKUP(B11311,'Poids des runes'!A:B,2,FALSE)))+1),(((D11311/100)*(C11311*VLOOKUP(B11311,'Poids des runes'!A:B,2,FALSE)))+1)/VLOOKUP(B11311,'Poids des runes'!A:B,2,FALSE))</f>
        <v>30.465</v>
      </c>
      <c r="F11311">
        <f t="shared" si="176"/>
        <v>30.465</v>
      </c>
    </row>
    <row r="11312" spans="1:6" x14ac:dyDescent="0.3">
      <c r="A11312" t="s">
        <v>1854</v>
      </c>
      <c r="B11312" t="s">
        <v>2155</v>
      </c>
      <c r="C11312">
        <v>1</v>
      </c>
      <c r="D11312">
        <v>83</v>
      </c>
      <c r="E11312">
        <f>IF(OR(B11312="vi",B11312="ii",B11312="pod"),(((D11312/100)*(C11312*VLOOKUP(B11312,'Poids des runes'!A:B,2,FALSE)))+1),(((D11312/100)*(C11312*VLOOKUP(B11312,'Poids des runes'!A:B,2,FALSE)))+1)/VLOOKUP(B11312,'Poids des runes'!A:B,2,FALSE))</f>
        <v>0.8496078431372549</v>
      </c>
      <c r="F11312">
        <f t="shared" si="176"/>
        <v>0.8496078431372549</v>
      </c>
    </row>
    <row r="11313" spans="1:6" x14ac:dyDescent="0.3">
      <c r="A11313" t="s">
        <v>1854</v>
      </c>
      <c r="B11313" t="s">
        <v>2134</v>
      </c>
      <c r="C11313">
        <v>4</v>
      </c>
      <c r="D11313">
        <v>83</v>
      </c>
      <c r="E11313">
        <f>IF(OR(B11313="vi",B11313="ii",B11313="pod"),(((D11313/100)*(C11313*VLOOKUP(B11313,'Poids des runes'!A:B,2,FALSE)))+1),(((D11313/100)*(C11313*VLOOKUP(B11313,'Poids des runes'!A:B,2,FALSE)))+1)/VLOOKUP(B11313,'Poids des runes'!A:B,2,FALSE))</f>
        <v>3.3699999999999997</v>
      </c>
      <c r="F11313">
        <f t="shared" si="176"/>
        <v>3.3699999999999997</v>
      </c>
    </row>
    <row r="11314" spans="1:6" x14ac:dyDescent="0.3">
      <c r="A11314" t="s">
        <v>1854</v>
      </c>
      <c r="B11314" t="s">
        <v>2160</v>
      </c>
      <c r="C11314">
        <v>4.5</v>
      </c>
      <c r="D11314">
        <v>83</v>
      </c>
      <c r="E11314">
        <f>IF(OR(B11314="vi",B11314="ii",B11314="pod"),(((D11314/100)*(C11314*VLOOKUP(B11314,'Poids des runes'!A:B,2,FALSE)))+1),(((D11314/100)*(C11314*VLOOKUP(B11314,'Poids des runes'!A:B,2,FALSE)))+1)/VLOOKUP(B11314,'Poids des runes'!A:B,2,FALSE))</f>
        <v>3.8778571428571427</v>
      </c>
      <c r="F11314">
        <f t="shared" si="176"/>
        <v>3.8778571428571427</v>
      </c>
    </row>
    <row r="11315" spans="1:6" x14ac:dyDescent="0.3">
      <c r="A11315" t="s">
        <v>1855</v>
      </c>
      <c r="B11315" t="s">
        <v>2128</v>
      </c>
      <c r="C11315">
        <v>50.5</v>
      </c>
      <c r="D11315">
        <v>83</v>
      </c>
      <c r="E11315">
        <f>IF(OR(B11315="vi",B11315="ii",B11315="pod"),(((D11315/100)*(C11315*VLOOKUP(B11315,'Poids des runes'!A:B,2,FALSE)))+1),(((D11315/100)*(C11315*VLOOKUP(B11315,'Poids des runes'!A:B,2,FALSE)))+1)/VLOOKUP(B11315,'Poids des runes'!A:B,2,FALSE))</f>
        <v>9.3830000000000009</v>
      </c>
      <c r="F11315">
        <f t="shared" si="176"/>
        <v>9.3830000000000009</v>
      </c>
    </row>
    <row r="11316" spans="1:6" x14ac:dyDescent="0.3">
      <c r="A11316" t="s">
        <v>1855</v>
      </c>
      <c r="B11316" t="s">
        <v>2127</v>
      </c>
      <c r="C11316">
        <v>50.5</v>
      </c>
      <c r="D11316">
        <v>83</v>
      </c>
      <c r="E11316">
        <f>IF(OR(B11316="vi",B11316="ii",B11316="pod"),(((D11316/100)*(C11316*VLOOKUP(B11316,'Poids des runes'!A:B,2,FALSE)))+1),(((D11316/100)*(C11316*VLOOKUP(B11316,'Poids des runes'!A:B,2,FALSE)))+1)/VLOOKUP(B11316,'Poids des runes'!A:B,2,FALSE))</f>
        <v>42.914999999999999</v>
      </c>
      <c r="F11316">
        <f t="shared" si="176"/>
        <v>42.914999999999999</v>
      </c>
    </row>
    <row r="11317" spans="1:6" x14ac:dyDescent="0.3">
      <c r="A11317" t="s">
        <v>1855</v>
      </c>
      <c r="B11317" t="s">
        <v>2129</v>
      </c>
      <c r="C11317">
        <v>18</v>
      </c>
      <c r="D11317">
        <v>83</v>
      </c>
      <c r="E11317">
        <f>IF(OR(B11317="vi",B11317="ii",B11317="pod"),(((D11317/100)*(C11317*VLOOKUP(B11317,'Poids des runes'!A:B,2,FALSE)))+1),(((D11317/100)*(C11317*VLOOKUP(B11317,'Poids des runes'!A:B,2,FALSE)))+1)/VLOOKUP(B11317,'Poids des runes'!A:B,2,FALSE))</f>
        <v>15.94</v>
      </c>
      <c r="F11317">
        <f t="shared" si="176"/>
        <v>15.94</v>
      </c>
    </row>
    <row r="11318" spans="1:6" x14ac:dyDescent="0.3">
      <c r="A11318" t="s">
        <v>1855</v>
      </c>
      <c r="B11318" t="s">
        <v>2139</v>
      </c>
      <c r="C11318">
        <v>13</v>
      </c>
      <c r="D11318">
        <v>83</v>
      </c>
      <c r="E11318">
        <f>IF(OR(B11318="vi",B11318="ii",B11318="pod"),(((D11318/100)*(C11318*VLOOKUP(B11318,'Poids des runes'!A:B,2,FALSE)))+1),(((D11318/100)*(C11318*VLOOKUP(B11318,'Poids des runes'!A:B,2,FALSE)))+1)/VLOOKUP(B11318,'Poids des runes'!A:B,2,FALSE))</f>
        <v>11.29</v>
      </c>
      <c r="F11318">
        <f t="shared" si="176"/>
        <v>11.29</v>
      </c>
    </row>
    <row r="11319" spans="1:6" x14ac:dyDescent="0.3">
      <c r="A11319" t="s">
        <v>1855</v>
      </c>
      <c r="B11319" t="s">
        <v>2151</v>
      </c>
      <c r="C11319">
        <v>3.5</v>
      </c>
      <c r="D11319">
        <v>83</v>
      </c>
      <c r="E11319">
        <f>IF(OR(B11319="vi",B11319="ii",B11319="pod"),(((D11319/100)*(C11319*VLOOKUP(B11319,'Poids des runes'!A:B,2,FALSE)))+1),(((D11319/100)*(C11319*VLOOKUP(B11319,'Poids des runes'!A:B,2,FALSE)))+1)/VLOOKUP(B11319,'Poids des runes'!A:B,2,FALSE))</f>
        <v>3.0049999999999999</v>
      </c>
      <c r="F11319">
        <f t="shared" si="176"/>
        <v>3.0049999999999999</v>
      </c>
    </row>
    <row r="11320" spans="1:6" x14ac:dyDescent="0.3">
      <c r="A11320" t="s">
        <v>1855</v>
      </c>
      <c r="B11320" t="s">
        <v>2132</v>
      </c>
      <c r="C11320">
        <v>175.5</v>
      </c>
      <c r="D11320">
        <v>83</v>
      </c>
      <c r="E11320">
        <f>IF(OR(B11320="vi",B11320="ii",B11320="pod"),(((D11320/100)*(C11320*VLOOKUP(B11320,'Poids des runes'!A:B,2,FALSE)))+1),(((D11320/100)*(C11320*VLOOKUP(B11320,'Poids des runes'!A:B,2,FALSE)))+1)/VLOOKUP(B11320,'Poids des runes'!A:B,2,FALSE))</f>
        <v>15.5665</v>
      </c>
      <c r="F11320">
        <f t="shared" si="176"/>
        <v>15.5665</v>
      </c>
    </row>
    <row r="11321" spans="1:6" x14ac:dyDescent="0.3">
      <c r="A11321" t="s">
        <v>1855</v>
      </c>
      <c r="B11321" t="s">
        <v>2165</v>
      </c>
      <c r="C11321">
        <v>8.5</v>
      </c>
      <c r="D11321">
        <v>83</v>
      </c>
      <c r="E11321">
        <f>IF(OR(B11321="vi",B11321="ii",B11321="pod"),(((D11321/100)*(C11321*VLOOKUP(B11321,'Poids des runes'!A:B,2,FALSE)))+1),(((D11321/100)*(C11321*VLOOKUP(B11321,'Poids des runes'!A:B,2,FALSE)))+1)/VLOOKUP(B11321,'Poids des runes'!A:B,2,FALSE))</f>
        <v>7.197857142857143</v>
      </c>
      <c r="F11321">
        <f t="shared" si="176"/>
        <v>7.197857142857143</v>
      </c>
    </row>
    <row r="11322" spans="1:6" x14ac:dyDescent="0.3">
      <c r="A11322" t="s">
        <v>1856</v>
      </c>
      <c r="B11322" t="s">
        <v>2128</v>
      </c>
      <c r="C11322">
        <v>70.5</v>
      </c>
      <c r="D11322">
        <v>83</v>
      </c>
      <c r="E11322">
        <f>IF(OR(B11322="vi",B11322="ii",B11322="pod"),(((D11322/100)*(C11322*VLOOKUP(B11322,'Poids des runes'!A:B,2,FALSE)))+1),(((D11322/100)*(C11322*VLOOKUP(B11322,'Poids des runes'!A:B,2,FALSE)))+1)/VLOOKUP(B11322,'Poids des runes'!A:B,2,FALSE))</f>
        <v>12.703000000000001</v>
      </c>
      <c r="F11322">
        <f t="shared" si="176"/>
        <v>12.703000000000001</v>
      </c>
    </row>
    <row r="11323" spans="1:6" x14ac:dyDescent="0.3">
      <c r="A11323" t="s">
        <v>1856</v>
      </c>
      <c r="B11323" t="s">
        <v>2129</v>
      </c>
      <c r="C11323">
        <v>25.5</v>
      </c>
      <c r="D11323">
        <v>83</v>
      </c>
      <c r="E11323">
        <f>IF(OR(B11323="vi",B11323="ii",B11323="pod"),(((D11323/100)*(C11323*VLOOKUP(B11323,'Poids des runes'!A:B,2,FALSE)))+1),(((D11323/100)*(C11323*VLOOKUP(B11323,'Poids des runes'!A:B,2,FALSE)))+1)/VLOOKUP(B11323,'Poids des runes'!A:B,2,FALSE))</f>
        <v>22.164999999999999</v>
      </c>
      <c r="F11323">
        <f t="shared" si="176"/>
        <v>22.164999999999999</v>
      </c>
    </row>
    <row r="11324" spans="1:6" x14ac:dyDescent="0.3">
      <c r="A11324" t="s">
        <v>1856</v>
      </c>
      <c r="B11324" t="s">
        <v>2139</v>
      </c>
      <c r="C11324">
        <v>25.5</v>
      </c>
      <c r="D11324">
        <v>83</v>
      </c>
      <c r="E11324">
        <f>IF(OR(B11324="vi",B11324="ii",B11324="pod"),(((D11324/100)*(C11324*VLOOKUP(B11324,'Poids des runes'!A:B,2,FALSE)))+1),(((D11324/100)*(C11324*VLOOKUP(B11324,'Poids des runes'!A:B,2,FALSE)))+1)/VLOOKUP(B11324,'Poids des runes'!A:B,2,FALSE))</f>
        <v>21.664999999999999</v>
      </c>
      <c r="F11324">
        <f t="shared" si="176"/>
        <v>21.664999999999999</v>
      </c>
    </row>
    <row r="11325" spans="1:6" x14ac:dyDescent="0.3">
      <c r="A11325" t="s">
        <v>1856</v>
      </c>
      <c r="B11325" t="s">
        <v>2151</v>
      </c>
      <c r="C11325">
        <v>2.5</v>
      </c>
      <c r="D11325">
        <v>83</v>
      </c>
      <c r="E11325">
        <f>IF(OR(B11325="vi",B11325="ii",B11325="pod"),(((D11325/100)*(C11325*VLOOKUP(B11325,'Poids des runes'!A:B,2,FALSE)))+1),(((D11325/100)*(C11325*VLOOKUP(B11325,'Poids des runes'!A:B,2,FALSE)))+1)/VLOOKUP(B11325,'Poids des runes'!A:B,2,FALSE))</f>
        <v>2.1749999999999998</v>
      </c>
      <c r="F11325">
        <f t="shared" si="176"/>
        <v>2.1749999999999998</v>
      </c>
    </row>
    <row r="11326" spans="1:6" x14ac:dyDescent="0.3">
      <c r="A11326" t="s">
        <v>1856</v>
      </c>
      <c r="B11326" t="s">
        <v>2134</v>
      </c>
      <c r="C11326">
        <v>8.5</v>
      </c>
      <c r="D11326">
        <v>83</v>
      </c>
      <c r="E11326">
        <f>IF(OR(B11326="vi",B11326="ii",B11326="pod"),(((D11326/100)*(C11326*VLOOKUP(B11326,'Poids des runes'!A:B,2,FALSE)))+1),(((D11326/100)*(C11326*VLOOKUP(B11326,'Poids des runes'!A:B,2,FALSE)))+1)/VLOOKUP(B11326,'Poids des runes'!A:B,2,FALSE))</f>
        <v>7.1049999999999995</v>
      </c>
      <c r="F11326">
        <f t="shared" si="176"/>
        <v>7.1049999999999995</v>
      </c>
    </row>
    <row r="11327" spans="1:6" x14ac:dyDescent="0.3">
      <c r="A11327" t="s">
        <v>1856</v>
      </c>
      <c r="B11327" t="s">
        <v>2161</v>
      </c>
      <c r="C11327">
        <v>8.5</v>
      </c>
      <c r="D11327">
        <v>83</v>
      </c>
      <c r="E11327">
        <f>IF(OR(B11327="vi",B11327="ii",B11327="pod"),(((D11327/100)*(C11327*VLOOKUP(B11327,'Poids des runes'!A:B,2,FALSE)))+1),(((D11327/100)*(C11327*VLOOKUP(B11327,'Poids des runes'!A:B,2,FALSE)))+1)/VLOOKUP(B11327,'Poids des runes'!A:B,2,FALSE))</f>
        <v>7.3883333333333328</v>
      </c>
      <c r="F11327">
        <f t="shared" si="176"/>
        <v>7.3883333333333328</v>
      </c>
    </row>
    <row r="11328" spans="1:6" x14ac:dyDescent="0.3">
      <c r="A11328" t="s">
        <v>1857</v>
      </c>
      <c r="B11328" t="s">
        <v>2128</v>
      </c>
      <c r="C11328">
        <v>70.5</v>
      </c>
      <c r="D11328">
        <v>83</v>
      </c>
      <c r="E11328">
        <f>IF(OR(B11328="vi",B11328="ii",B11328="pod"),(((D11328/100)*(C11328*VLOOKUP(B11328,'Poids des runes'!A:B,2,FALSE)))+1),(((D11328/100)*(C11328*VLOOKUP(B11328,'Poids des runes'!A:B,2,FALSE)))+1)/VLOOKUP(B11328,'Poids des runes'!A:B,2,FALSE))</f>
        <v>12.703000000000001</v>
      </c>
      <c r="F11328">
        <f t="shared" si="176"/>
        <v>12.703000000000001</v>
      </c>
    </row>
    <row r="11329" spans="1:6" x14ac:dyDescent="0.3">
      <c r="A11329" t="s">
        <v>1857</v>
      </c>
      <c r="B11329" t="s">
        <v>2130</v>
      </c>
      <c r="C11329">
        <v>60.5</v>
      </c>
      <c r="D11329">
        <v>83</v>
      </c>
      <c r="E11329">
        <f>IF(OR(B11329="vi",B11329="ii",B11329="pod"),(((D11329/100)*(C11329*VLOOKUP(B11329,'Poids des runes'!A:B,2,FALSE)))+1),(((D11329/100)*(C11329*VLOOKUP(B11329,'Poids des runes'!A:B,2,FALSE)))+1)/VLOOKUP(B11329,'Poids des runes'!A:B,2,FALSE))</f>
        <v>51.214999999999996</v>
      </c>
      <c r="F11329">
        <f t="shared" si="176"/>
        <v>51.214999999999996</v>
      </c>
    </row>
    <row r="11330" spans="1:6" x14ac:dyDescent="0.3">
      <c r="A11330" t="s">
        <v>1857</v>
      </c>
      <c r="B11330" t="s">
        <v>2139</v>
      </c>
      <c r="C11330">
        <v>25.5</v>
      </c>
      <c r="D11330">
        <v>83</v>
      </c>
      <c r="E11330">
        <f>IF(OR(B11330="vi",B11330="ii",B11330="pod"),(((D11330/100)*(C11330*VLOOKUP(B11330,'Poids des runes'!A:B,2,FALSE)))+1),(((D11330/100)*(C11330*VLOOKUP(B11330,'Poids des runes'!A:B,2,FALSE)))+1)/VLOOKUP(B11330,'Poids des runes'!A:B,2,FALSE))</f>
        <v>21.664999999999999</v>
      </c>
      <c r="F11330">
        <f t="shared" si="176"/>
        <v>21.664999999999999</v>
      </c>
    </row>
    <row r="11331" spans="1:6" x14ac:dyDescent="0.3">
      <c r="A11331" t="s">
        <v>1857</v>
      </c>
      <c r="B11331" t="s">
        <v>2134</v>
      </c>
      <c r="C11331">
        <v>6.5</v>
      </c>
      <c r="D11331">
        <v>83</v>
      </c>
      <c r="E11331">
        <f>IF(OR(B11331="vi",B11331="ii",B11331="pod"),(((D11331/100)*(C11331*VLOOKUP(B11331,'Poids des runes'!A:B,2,FALSE)))+1),(((D11331/100)*(C11331*VLOOKUP(B11331,'Poids des runes'!A:B,2,FALSE)))+1)/VLOOKUP(B11331,'Poids des runes'!A:B,2,FALSE))</f>
        <v>5.4449999999999994</v>
      </c>
      <c r="F11331">
        <f t="shared" ref="F11331:F11394" si="177">E11331</f>
        <v>5.4449999999999994</v>
      </c>
    </row>
    <row r="11332" spans="1:6" x14ac:dyDescent="0.3">
      <c r="A11332" t="s">
        <v>1857</v>
      </c>
      <c r="B11332" t="s">
        <v>2138</v>
      </c>
      <c r="C11332">
        <v>4.5</v>
      </c>
      <c r="D11332">
        <v>83</v>
      </c>
      <c r="E11332">
        <f>IF(OR(B11332="vi",B11332="ii",B11332="pod"),(((D11332/100)*(C11332*VLOOKUP(B11332,'Poids des runes'!A:B,2,FALSE)))+1),(((D11332/100)*(C11332*VLOOKUP(B11332,'Poids des runes'!A:B,2,FALSE)))+1)/VLOOKUP(B11332,'Poids des runes'!A:B,2,FALSE))</f>
        <v>3.9849999999999999</v>
      </c>
      <c r="F11332">
        <f t="shared" si="177"/>
        <v>3.9849999999999999</v>
      </c>
    </row>
    <row r="11333" spans="1:6" x14ac:dyDescent="0.3">
      <c r="A11333" t="s">
        <v>1858</v>
      </c>
      <c r="B11333" t="s">
        <v>2128</v>
      </c>
      <c r="C11333">
        <v>85.5</v>
      </c>
      <c r="D11333">
        <v>83</v>
      </c>
      <c r="E11333">
        <f>IF(OR(B11333="vi",B11333="ii",B11333="pod"),(((D11333/100)*(C11333*VLOOKUP(B11333,'Poids des runes'!A:B,2,FALSE)))+1),(((D11333/100)*(C11333*VLOOKUP(B11333,'Poids des runes'!A:B,2,FALSE)))+1)/VLOOKUP(B11333,'Poids des runes'!A:B,2,FALSE))</f>
        <v>15.193</v>
      </c>
      <c r="F11333">
        <f t="shared" si="177"/>
        <v>15.193</v>
      </c>
    </row>
    <row r="11334" spans="1:6" x14ac:dyDescent="0.3">
      <c r="A11334" t="s">
        <v>1858</v>
      </c>
      <c r="B11334" t="s">
        <v>2129</v>
      </c>
      <c r="C11334">
        <v>25.5</v>
      </c>
      <c r="D11334">
        <v>83</v>
      </c>
      <c r="E11334">
        <f>IF(OR(B11334="vi",B11334="ii",B11334="pod"),(((D11334/100)*(C11334*VLOOKUP(B11334,'Poids des runes'!A:B,2,FALSE)))+1),(((D11334/100)*(C11334*VLOOKUP(B11334,'Poids des runes'!A:B,2,FALSE)))+1)/VLOOKUP(B11334,'Poids des runes'!A:B,2,FALSE))</f>
        <v>22.164999999999999</v>
      </c>
      <c r="F11334">
        <f t="shared" si="177"/>
        <v>22.164999999999999</v>
      </c>
    </row>
    <row r="11335" spans="1:6" x14ac:dyDescent="0.3">
      <c r="A11335" t="s">
        <v>1858</v>
      </c>
      <c r="B11335" t="s">
        <v>2139</v>
      </c>
      <c r="C11335">
        <v>25.5</v>
      </c>
      <c r="D11335">
        <v>83</v>
      </c>
      <c r="E11335">
        <f>IF(OR(B11335="vi",B11335="ii",B11335="pod"),(((D11335/100)*(C11335*VLOOKUP(B11335,'Poids des runes'!A:B,2,FALSE)))+1),(((D11335/100)*(C11335*VLOOKUP(B11335,'Poids des runes'!A:B,2,FALSE)))+1)/VLOOKUP(B11335,'Poids des runes'!A:B,2,FALSE))</f>
        <v>21.664999999999999</v>
      </c>
      <c r="F11335">
        <f t="shared" si="177"/>
        <v>21.664999999999999</v>
      </c>
    </row>
    <row r="11336" spans="1:6" x14ac:dyDescent="0.3">
      <c r="A11336" t="s">
        <v>1858</v>
      </c>
      <c r="B11336" t="s">
        <v>2151</v>
      </c>
      <c r="C11336">
        <v>5</v>
      </c>
      <c r="D11336">
        <v>83</v>
      </c>
      <c r="E11336">
        <f>IF(OR(B11336="vi",B11336="ii",B11336="pod"),(((D11336/100)*(C11336*VLOOKUP(B11336,'Poids des runes'!A:B,2,FALSE)))+1),(((D11336/100)*(C11336*VLOOKUP(B11336,'Poids des runes'!A:B,2,FALSE)))+1)/VLOOKUP(B11336,'Poids des runes'!A:B,2,FALSE))</f>
        <v>4.25</v>
      </c>
      <c r="F11336">
        <f t="shared" si="177"/>
        <v>4.25</v>
      </c>
    </row>
    <row r="11337" spans="1:6" x14ac:dyDescent="0.3">
      <c r="A11337" t="s">
        <v>1858</v>
      </c>
      <c r="B11337" t="s">
        <v>2134</v>
      </c>
      <c r="C11337">
        <v>3.5</v>
      </c>
      <c r="D11337">
        <v>83</v>
      </c>
      <c r="E11337">
        <f>IF(OR(B11337="vi",B11337="ii",B11337="pod"),(((D11337/100)*(C11337*VLOOKUP(B11337,'Poids des runes'!A:B,2,FALSE)))+1),(((D11337/100)*(C11337*VLOOKUP(B11337,'Poids des runes'!A:B,2,FALSE)))+1)/VLOOKUP(B11337,'Poids des runes'!A:B,2,FALSE))</f>
        <v>2.9549999999999996</v>
      </c>
      <c r="F11337">
        <f t="shared" si="177"/>
        <v>2.9549999999999996</v>
      </c>
    </row>
    <row r="11338" spans="1:6" x14ac:dyDescent="0.3">
      <c r="A11338" t="s">
        <v>1858</v>
      </c>
      <c r="B11338" t="s">
        <v>2132</v>
      </c>
      <c r="C11338">
        <v>175.5</v>
      </c>
      <c r="D11338">
        <v>83</v>
      </c>
      <c r="E11338">
        <f>IF(OR(B11338="vi",B11338="ii",B11338="pod"),(((D11338/100)*(C11338*VLOOKUP(B11338,'Poids des runes'!A:B,2,FALSE)))+1),(((D11338/100)*(C11338*VLOOKUP(B11338,'Poids des runes'!A:B,2,FALSE)))+1)/VLOOKUP(B11338,'Poids des runes'!A:B,2,FALSE))</f>
        <v>15.5665</v>
      </c>
      <c r="F11338">
        <f t="shared" si="177"/>
        <v>15.5665</v>
      </c>
    </row>
    <row r="11339" spans="1:6" x14ac:dyDescent="0.3">
      <c r="A11339" t="s">
        <v>1859</v>
      </c>
      <c r="B11339" t="s">
        <v>2128</v>
      </c>
      <c r="C11339">
        <v>100.5</v>
      </c>
      <c r="D11339">
        <v>83</v>
      </c>
      <c r="E11339">
        <f>IF(OR(B11339="vi",B11339="ii",B11339="pod"),(((D11339/100)*(C11339*VLOOKUP(B11339,'Poids des runes'!A:B,2,FALSE)))+1),(((D11339/100)*(C11339*VLOOKUP(B11339,'Poids des runes'!A:B,2,FALSE)))+1)/VLOOKUP(B11339,'Poids des runes'!A:B,2,FALSE))</f>
        <v>17.683</v>
      </c>
      <c r="F11339">
        <f t="shared" si="177"/>
        <v>17.683</v>
      </c>
    </row>
    <row r="11340" spans="1:6" x14ac:dyDescent="0.3">
      <c r="A11340" t="s">
        <v>1859</v>
      </c>
      <c r="B11340" t="s">
        <v>2126</v>
      </c>
      <c r="C11340">
        <v>60.5</v>
      </c>
      <c r="D11340">
        <v>83</v>
      </c>
      <c r="E11340">
        <f>IF(OR(B11340="vi",B11340="ii",B11340="pod"),(((D11340/100)*(C11340*VLOOKUP(B11340,'Poids des runes'!A:B,2,FALSE)))+1),(((D11340/100)*(C11340*VLOOKUP(B11340,'Poids des runes'!A:B,2,FALSE)))+1)/VLOOKUP(B11340,'Poids des runes'!A:B,2,FALSE))</f>
        <v>51.214999999999996</v>
      </c>
      <c r="F11340">
        <f t="shared" si="177"/>
        <v>51.214999999999996</v>
      </c>
    </row>
    <row r="11341" spans="1:6" x14ac:dyDescent="0.3">
      <c r="A11341" t="s">
        <v>1859</v>
      </c>
      <c r="B11341" t="s">
        <v>2129</v>
      </c>
      <c r="C11341">
        <v>25.5</v>
      </c>
      <c r="D11341">
        <v>83</v>
      </c>
      <c r="E11341">
        <f>IF(OR(B11341="vi",B11341="ii",B11341="pod"),(((D11341/100)*(C11341*VLOOKUP(B11341,'Poids des runes'!A:B,2,FALSE)))+1),(((D11341/100)*(C11341*VLOOKUP(B11341,'Poids des runes'!A:B,2,FALSE)))+1)/VLOOKUP(B11341,'Poids des runes'!A:B,2,FALSE))</f>
        <v>22.164999999999999</v>
      </c>
      <c r="F11341">
        <f t="shared" si="177"/>
        <v>22.164999999999999</v>
      </c>
    </row>
    <row r="11342" spans="1:6" x14ac:dyDescent="0.3">
      <c r="A11342" t="s">
        <v>1859</v>
      </c>
      <c r="B11342" t="s">
        <v>2150</v>
      </c>
      <c r="C11342">
        <v>1</v>
      </c>
      <c r="D11342">
        <v>83</v>
      </c>
      <c r="E11342">
        <f>IF(OR(B11342="vi",B11342="ii",B11342="pod"),(((D11342/100)*(C11342*VLOOKUP(B11342,'Poids des runes'!A:B,2,FALSE)))+1),(((D11342/100)*(C11342*VLOOKUP(B11342,'Poids des runes'!A:B,2,FALSE)))+1)/VLOOKUP(B11342,'Poids des runes'!A:B,2,FALSE))</f>
        <v>0.86333333333333329</v>
      </c>
      <c r="F11342">
        <f t="shared" si="177"/>
        <v>0.86333333333333329</v>
      </c>
    </row>
    <row r="11343" spans="1:6" x14ac:dyDescent="0.3">
      <c r="A11343" t="s">
        <v>1859</v>
      </c>
      <c r="B11343" t="s">
        <v>2149</v>
      </c>
      <c r="C11343">
        <v>13</v>
      </c>
      <c r="D11343">
        <v>83</v>
      </c>
      <c r="E11343">
        <f>IF(OR(B11343="vi",B11343="ii",B11343="pod"),(((D11343/100)*(C11343*VLOOKUP(B11343,'Poids des runes'!A:B,2,FALSE)))+1),(((D11343/100)*(C11343*VLOOKUP(B11343,'Poids des runes'!A:B,2,FALSE)))+1)/VLOOKUP(B11343,'Poids des runes'!A:B,2,FALSE))</f>
        <v>10.889999999999999</v>
      </c>
      <c r="F11343">
        <f t="shared" si="177"/>
        <v>10.889999999999999</v>
      </c>
    </row>
    <row r="11344" spans="1:6" x14ac:dyDescent="0.3">
      <c r="A11344" t="s">
        <v>1860</v>
      </c>
      <c r="B11344" t="s">
        <v>2128</v>
      </c>
      <c r="C11344">
        <v>85.5</v>
      </c>
      <c r="D11344">
        <v>83</v>
      </c>
      <c r="E11344">
        <f>IF(OR(B11344="vi",B11344="ii",B11344="pod"),(((D11344/100)*(C11344*VLOOKUP(B11344,'Poids des runes'!A:B,2,FALSE)))+1),(((D11344/100)*(C11344*VLOOKUP(B11344,'Poids des runes'!A:B,2,FALSE)))+1)/VLOOKUP(B11344,'Poids des runes'!A:B,2,FALSE))</f>
        <v>15.193</v>
      </c>
      <c r="F11344">
        <f t="shared" si="177"/>
        <v>15.193</v>
      </c>
    </row>
    <row r="11345" spans="1:6" x14ac:dyDescent="0.3">
      <c r="A11345" t="s">
        <v>1860</v>
      </c>
      <c r="B11345" t="s">
        <v>2130</v>
      </c>
      <c r="C11345">
        <v>50.5</v>
      </c>
      <c r="D11345">
        <v>83</v>
      </c>
      <c r="E11345">
        <f>IF(OR(B11345="vi",B11345="ii",B11345="pod"),(((D11345/100)*(C11345*VLOOKUP(B11345,'Poids des runes'!A:B,2,FALSE)))+1),(((D11345/100)*(C11345*VLOOKUP(B11345,'Poids des runes'!A:B,2,FALSE)))+1)/VLOOKUP(B11345,'Poids des runes'!A:B,2,FALSE))</f>
        <v>42.914999999999999</v>
      </c>
      <c r="F11345">
        <f t="shared" si="177"/>
        <v>42.914999999999999</v>
      </c>
    </row>
    <row r="11346" spans="1:6" x14ac:dyDescent="0.3">
      <c r="A11346" t="s">
        <v>1860</v>
      </c>
      <c r="B11346" t="s">
        <v>2139</v>
      </c>
      <c r="C11346">
        <v>18</v>
      </c>
      <c r="D11346">
        <v>83</v>
      </c>
      <c r="E11346">
        <f>IF(OR(B11346="vi",B11346="ii",B11346="pod"),(((D11346/100)*(C11346*VLOOKUP(B11346,'Poids des runes'!A:B,2,FALSE)))+1),(((D11346/100)*(C11346*VLOOKUP(B11346,'Poids des runes'!A:B,2,FALSE)))+1)/VLOOKUP(B11346,'Poids des runes'!A:B,2,FALSE))</f>
        <v>15.44</v>
      </c>
      <c r="F11346">
        <f t="shared" si="177"/>
        <v>15.44</v>
      </c>
    </row>
    <row r="11347" spans="1:6" x14ac:dyDescent="0.3">
      <c r="A11347" t="s">
        <v>1860</v>
      </c>
      <c r="B11347" t="s">
        <v>2151</v>
      </c>
      <c r="C11347">
        <v>3.5</v>
      </c>
      <c r="D11347">
        <v>83</v>
      </c>
      <c r="E11347">
        <f>IF(OR(B11347="vi",B11347="ii",B11347="pod"),(((D11347/100)*(C11347*VLOOKUP(B11347,'Poids des runes'!A:B,2,FALSE)))+1),(((D11347/100)*(C11347*VLOOKUP(B11347,'Poids des runes'!A:B,2,FALSE)))+1)/VLOOKUP(B11347,'Poids des runes'!A:B,2,FALSE))</f>
        <v>3.0049999999999999</v>
      </c>
      <c r="F11347">
        <f t="shared" si="177"/>
        <v>3.0049999999999999</v>
      </c>
    </row>
    <row r="11348" spans="1:6" x14ac:dyDescent="0.3">
      <c r="A11348" t="s">
        <v>1860</v>
      </c>
      <c r="B11348" t="s">
        <v>2141</v>
      </c>
      <c r="C11348">
        <v>4.5</v>
      </c>
      <c r="D11348">
        <v>83</v>
      </c>
      <c r="E11348">
        <f>IF(OR(B11348="vi",B11348="ii",B11348="pod"),(((D11348/100)*(C11348*VLOOKUP(B11348,'Poids des runes'!A:B,2,FALSE)))+1),(((D11348/100)*(C11348*VLOOKUP(B11348,'Poids des runes'!A:B,2,FALSE)))+1)/VLOOKUP(B11348,'Poids des runes'!A:B,2,FALSE))</f>
        <v>3.9849999999999999</v>
      </c>
      <c r="F11348">
        <f t="shared" si="177"/>
        <v>3.9849999999999999</v>
      </c>
    </row>
    <row r="11349" spans="1:6" x14ac:dyDescent="0.3">
      <c r="A11349" t="s">
        <v>1860</v>
      </c>
      <c r="B11349" t="s">
        <v>2156</v>
      </c>
      <c r="C11349">
        <v>4.5</v>
      </c>
      <c r="D11349">
        <v>83</v>
      </c>
      <c r="E11349">
        <f>IF(OR(B11349="vi",B11349="ii",B11349="pod"),(((D11349/100)*(C11349*VLOOKUP(B11349,'Poids des runes'!A:B,2,FALSE)))+1),(((D11349/100)*(C11349*VLOOKUP(B11349,'Poids des runes'!A:B,2,FALSE)))+1)/VLOOKUP(B11349,'Poids des runes'!A:B,2,FALSE))</f>
        <v>3.9016666666666668</v>
      </c>
      <c r="F11349">
        <f t="shared" si="177"/>
        <v>3.9016666666666668</v>
      </c>
    </row>
    <row r="11350" spans="1:6" x14ac:dyDescent="0.3">
      <c r="A11350" t="s">
        <v>1861</v>
      </c>
      <c r="B11350" t="s">
        <v>2128</v>
      </c>
      <c r="C11350">
        <v>45.5</v>
      </c>
      <c r="D11350">
        <v>84</v>
      </c>
      <c r="E11350">
        <f>IF(OR(B11350="vi",B11350="ii",B11350="pod"),(((D11350/100)*(C11350*VLOOKUP(B11350,'Poids des runes'!A:B,2,FALSE)))+1),(((D11350/100)*(C11350*VLOOKUP(B11350,'Poids des runes'!A:B,2,FALSE)))+1)/VLOOKUP(B11350,'Poids des runes'!A:B,2,FALSE))</f>
        <v>8.6439999999999984</v>
      </c>
      <c r="F11350">
        <f t="shared" si="177"/>
        <v>8.6439999999999984</v>
      </c>
    </row>
    <row r="11351" spans="1:6" x14ac:dyDescent="0.3">
      <c r="A11351" t="s">
        <v>1861</v>
      </c>
      <c r="B11351" t="s">
        <v>2130</v>
      </c>
      <c r="C11351">
        <v>60.5</v>
      </c>
      <c r="D11351">
        <v>84</v>
      </c>
      <c r="E11351">
        <f>IF(OR(B11351="vi",B11351="ii",B11351="pod"),(((D11351/100)*(C11351*VLOOKUP(B11351,'Poids des runes'!A:B,2,FALSE)))+1),(((D11351/100)*(C11351*VLOOKUP(B11351,'Poids des runes'!A:B,2,FALSE)))+1)/VLOOKUP(B11351,'Poids des runes'!A:B,2,FALSE))</f>
        <v>51.82</v>
      </c>
      <c r="F11351">
        <f t="shared" si="177"/>
        <v>51.82</v>
      </c>
    </row>
    <row r="11352" spans="1:6" x14ac:dyDescent="0.3">
      <c r="A11352" t="s">
        <v>1861</v>
      </c>
      <c r="B11352" t="s">
        <v>2151</v>
      </c>
      <c r="C11352">
        <v>4.5</v>
      </c>
      <c r="D11352">
        <v>84</v>
      </c>
      <c r="E11352">
        <f>IF(OR(B11352="vi",B11352="ii",B11352="pod"),(((D11352/100)*(C11352*VLOOKUP(B11352,'Poids des runes'!A:B,2,FALSE)))+1),(((D11352/100)*(C11352*VLOOKUP(B11352,'Poids des runes'!A:B,2,FALSE)))+1)/VLOOKUP(B11352,'Poids des runes'!A:B,2,FALSE))</f>
        <v>3.88</v>
      </c>
      <c r="F11352">
        <f t="shared" si="177"/>
        <v>3.88</v>
      </c>
    </row>
    <row r="11353" spans="1:6" x14ac:dyDescent="0.3">
      <c r="A11353" t="s">
        <v>1861</v>
      </c>
      <c r="B11353" t="s">
        <v>2143</v>
      </c>
      <c r="C11353">
        <v>4.5</v>
      </c>
      <c r="D11353">
        <v>84</v>
      </c>
      <c r="E11353">
        <f>IF(OR(B11353="vi",B11353="ii",B11353="pod"),(((D11353/100)*(C11353*VLOOKUP(B11353,'Poids des runes'!A:B,2,FALSE)))+1),(((D11353/100)*(C11353*VLOOKUP(B11353,'Poids des runes'!A:B,2,FALSE)))+1)/VLOOKUP(B11353,'Poids des runes'!A:B,2,FALSE))</f>
        <v>3.9799999999999995</v>
      </c>
      <c r="F11353">
        <f t="shared" si="177"/>
        <v>3.9799999999999995</v>
      </c>
    </row>
    <row r="11354" spans="1:6" x14ac:dyDescent="0.3">
      <c r="A11354" t="s">
        <v>1861</v>
      </c>
      <c r="B11354" t="s">
        <v>2141</v>
      </c>
      <c r="C11354">
        <v>8.5</v>
      </c>
      <c r="D11354">
        <v>84</v>
      </c>
      <c r="E11354">
        <f>IF(OR(B11354="vi",B11354="ii",B11354="pod"),(((D11354/100)*(C11354*VLOOKUP(B11354,'Poids des runes'!A:B,2,FALSE)))+1),(((D11354/100)*(C11354*VLOOKUP(B11354,'Poids des runes'!A:B,2,FALSE)))+1)/VLOOKUP(B11354,'Poids des runes'!A:B,2,FALSE))</f>
        <v>7.39</v>
      </c>
      <c r="F11354">
        <f t="shared" si="177"/>
        <v>7.39</v>
      </c>
    </row>
    <row r="11355" spans="1:6" x14ac:dyDescent="0.3">
      <c r="A11355" t="s">
        <v>1861</v>
      </c>
      <c r="B11355" t="s">
        <v>2142</v>
      </c>
      <c r="C11355">
        <v>8.5</v>
      </c>
      <c r="D11355">
        <v>84</v>
      </c>
      <c r="E11355">
        <f>IF(OR(B11355="vi",B11355="ii",B11355="pod"),(((D11355/100)*(C11355*VLOOKUP(B11355,'Poids des runes'!A:B,2,FALSE)))+1),(((D11355/100)*(C11355*VLOOKUP(B11355,'Poids des runes'!A:B,2,FALSE)))+1)/VLOOKUP(B11355,'Poids des runes'!A:B,2,FALSE))</f>
        <v>7.339999999999999</v>
      </c>
      <c r="F11355">
        <f t="shared" si="177"/>
        <v>7.339999999999999</v>
      </c>
    </row>
    <row r="11356" spans="1:6" x14ac:dyDescent="0.3">
      <c r="A11356" t="s">
        <v>1862</v>
      </c>
      <c r="B11356" t="s">
        <v>2128</v>
      </c>
      <c r="C11356">
        <v>55.5</v>
      </c>
      <c r="D11356">
        <v>84</v>
      </c>
      <c r="E11356">
        <f>IF(OR(B11356="vi",B11356="ii",B11356="pod"),(((D11356/100)*(C11356*VLOOKUP(B11356,'Poids des runes'!A:B,2,FALSE)))+1),(((D11356/100)*(C11356*VLOOKUP(B11356,'Poids des runes'!A:B,2,FALSE)))+1)/VLOOKUP(B11356,'Poids des runes'!A:B,2,FALSE))</f>
        <v>10.324000000000002</v>
      </c>
      <c r="F11356">
        <f t="shared" si="177"/>
        <v>10.324000000000002</v>
      </c>
    </row>
    <row r="11357" spans="1:6" x14ac:dyDescent="0.3">
      <c r="A11357" t="s">
        <v>1862</v>
      </c>
      <c r="B11357" t="s">
        <v>2131</v>
      </c>
      <c r="C11357">
        <v>35.5</v>
      </c>
      <c r="D11357">
        <v>84</v>
      </c>
      <c r="E11357">
        <f>IF(OR(B11357="vi",B11357="ii",B11357="pod"),(((D11357/100)*(C11357*VLOOKUP(B11357,'Poids des runes'!A:B,2,FALSE)))+1),(((D11357/100)*(C11357*VLOOKUP(B11357,'Poids des runes'!A:B,2,FALSE)))+1)/VLOOKUP(B11357,'Poids des runes'!A:B,2,FALSE))</f>
        <v>30.82</v>
      </c>
      <c r="F11357">
        <f t="shared" si="177"/>
        <v>30.82</v>
      </c>
    </row>
    <row r="11358" spans="1:6" x14ac:dyDescent="0.3">
      <c r="A11358" t="s">
        <v>1862</v>
      </c>
      <c r="B11358" t="s">
        <v>2155</v>
      </c>
      <c r="C11358">
        <v>2</v>
      </c>
      <c r="D11358">
        <v>84</v>
      </c>
      <c r="E11358">
        <f>IF(OR(B11358="vi",B11358="ii",B11358="pod"),(((D11358/100)*(C11358*VLOOKUP(B11358,'Poids des runes'!A:B,2,FALSE)))+1),(((D11358/100)*(C11358*VLOOKUP(B11358,'Poids des runes'!A:B,2,FALSE)))+1)/VLOOKUP(B11358,'Poids des runes'!A:B,2,FALSE))</f>
        <v>1.6996078431372548</v>
      </c>
      <c r="F11358">
        <f t="shared" si="177"/>
        <v>1.6996078431372548</v>
      </c>
    </row>
    <row r="11359" spans="1:6" x14ac:dyDescent="0.3">
      <c r="A11359" t="s">
        <v>1862</v>
      </c>
      <c r="B11359" t="s">
        <v>2134</v>
      </c>
      <c r="C11359">
        <v>5</v>
      </c>
      <c r="D11359">
        <v>84</v>
      </c>
      <c r="E11359">
        <f>IF(OR(B11359="vi",B11359="ii",B11359="pod"),(((D11359/100)*(C11359*VLOOKUP(B11359,'Poids des runes'!A:B,2,FALSE)))+1),(((D11359/100)*(C11359*VLOOKUP(B11359,'Poids des runes'!A:B,2,FALSE)))+1)/VLOOKUP(B11359,'Poids des runes'!A:B,2,FALSE))</f>
        <v>4.25</v>
      </c>
      <c r="F11359">
        <f t="shared" si="177"/>
        <v>4.25</v>
      </c>
    </row>
    <row r="11360" spans="1:6" x14ac:dyDescent="0.3">
      <c r="A11360" t="s">
        <v>1863</v>
      </c>
      <c r="B11360" t="s">
        <v>2127</v>
      </c>
      <c r="C11360">
        <v>45.5</v>
      </c>
      <c r="D11360">
        <v>85</v>
      </c>
      <c r="E11360">
        <f>IF(OR(B11360="vi",B11360="ii",B11360="pod"),(((D11360/100)*(C11360*VLOOKUP(B11360,'Poids des runes'!A:B,2,FALSE)))+1),(((D11360/100)*(C11360*VLOOKUP(B11360,'Poids des runes'!A:B,2,FALSE)))+1)/VLOOKUP(B11360,'Poids des runes'!A:B,2,FALSE))</f>
        <v>39.674999999999997</v>
      </c>
      <c r="F11360">
        <f t="shared" si="177"/>
        <v>39.674999999999997</v>
      </c>
    </row>
    <row r="11361" spans="1:6" x14ac:dyDescent="0.3">
      <c r="A11361" t="s">
        <v>1863</v>
      </c>
      <c r="B11361" t="s">
        <v>2139</v>
      </c>
      <c r="C11361">
        <v>13</v>
      </c>
      <c r="D11361">
        <v>85</v>
      </c>
      <c r="E11361">
        <f>IF(OR(B11361="vi",B11361="ii",B11361="pod"),(((D11361/100)*(C11361*VLOOKUP(B11361,'Poids des runes'!A:B,2,FALSE)))+1),(((D11361/100)*(C11361*VLOOKUP(B11361,'Poids des runes'!A:B,2,FALSE)))+1)/VLOOKUP(B11361,'Poids des runes'!A:B,2,FALSE))</f>
        <v>11.549999999999999</v>
      </c>
      <c r="F11361">
        <f t="shared" si="177"/>
        <v>11.549999999999999</v>
      </c>
    </row>
    <row r="11362" spans="1:6" x14ac:dyDescent="0.3">
      <c r="A11362" t="s">
        <v>1863</v>
      </c>
      <c r="B11362" t="s">
        <v>2151</v>
      </c>
      <c r="C11362">
        <v>3.5</v>
      </c>
      <c r="D11362">
        <v>85</v>
      </c>
      <c r="E11362">
        <f>IF(OR(B11362="vi",B11362="ii",B11362="pod"),(((D11362/100)*(C11362*VLOOKUP(B11362,'Poids des runes'!A:B,2,FALSE)))+1),(((D11362/100)*(C11362*VLOOKUP(B11362,'Poids des runes'!A:B,2,FALSE)))+1)/VLOOKUP(B11362,'Poids des runes'!A:B,2,FALSE))</f>
        <v>3.0750000000000002</v>
      </c>
      <c r="F11362">
        <f t="shared" si="177"/>
        <v>3.0750000000000002</v>
      </c>
    </row>
    <row r="11363" spans="1:6" x14ac:dyDescent="0.3">
      <c r="A11363" t="s">
        <v>1863</v>
      </c>
      <c r="B11363" t="s">
        <v>2150</v>
      </c>
      <c r="C11363">
        <v>2.5</v>
      </c>
      <c r="D11363">
        <v>85</v>
      </c>
      <c r="E11363">
        <f>IF(OR(B11363="vi",B11363="ii",B11363="pod"),(((D11363/100)*(C11363*VLOOKUP(B11363,'Poids des runes'!A:B,2,FALSE)))+1),(((D11363/100)*(C11363*VLOOKUP(B11363,'Poids des runes'!A:B,2,FALSE)))+1)/VLOOKUP(B11363,'Poids des runes'!A:B,2,FALSE))</f>
        <v>2.1583333333333332</v>
      </c>
      <c r="F11363">
        <f t="shared" si="177"/>
        <v>2.1583333333333332</v>
      </c>
    </row>
    <row r="11364" spans="1:6" x14ac:dyDescent="0.3">
      <c r="A11364" t="s">
        <v>1863</v>
      </c>
      <c r="B11364" t="s">
        <v>2134</v>
      </c>
      <c r="C11364">
        <v>2.5</v>
      </c>
      <c r="D11364">
        <v>85</v>
      </c>
      <c r="E11364">
        <f>IF(OR(B11364="vi",B11364="ii",B11364="pod"),(((D11364/100)*(C11364*VLOOKUP(B11364,'Poids des runes'!A:B,2,FALSE)))+1),(((D11364/100)*(C11364*VLOOKUP(B11364,'Poids des runes'!A:B,2,FALSE)))+1)/VLOOKUP(B11364,'Poids des runes'!A:B,2,FALSE))</f>
        <v>2.1749999999999998</v>
      </c>
      <c r="F11364">
        <f t="shared" si="177"/>
        <v>2.1749999999999998</v>
      </c>
    </row>
    <row r="11365" spans="1:6" x14ac:dyDescent="0.3">
      <c r="A11365" t="s">
        <v>1864</v>
      </c>
      <c r="B11365" t="s">
        <v>2128</v>
      </c>
      <c r="C11365">
        <v>85.5</v>
      </c>
      <c r="D11365">
        <v>85</v>
      </c>
      <c r="E11365">
        <f>IF(OR(B11365="vi",B11365="ii",B11365="pod"),(((D11365/100)*(C11365*VLOOKUP(B11365,'Poids des runes'!A:B,2,FALSE)))+1),(((D11365/100)*(C11365*VLOOKUP(B11365,'Poids des runes'!A:B,2,FALSE)))+1)/VLOOKUP(B11365,'Poids des runes'!A:B,2,FALSE))</f>
        <v>15.535</v>
      </c>
      <c r="F11365">
        <f t="shared" si="177"/>
        <v>15.535</v>
      </c>
    </row>
    <row r="11366" spans="1:6" x14ac:dyDescent="0.3">
      <c r="A11366" t="s">
        <v>1864</v>
      </c>
      <c r="B11366" t="s">
        <v>2131</v>
      </c>
      <c r="C11366">
        <v>45.5</v>
      </c>
      <c r="D11366">
        <v>85</v>
      </c>
      <c r="E11366">
        <f>IF(OR(B11366="vi",B11366="ii",B11366="pod"),(((D11366/100)*(C11366*VLOOKUP(B11366,'Poids des runes'!A:B,2,FALSE)))+1),(((D11366/100)*(C11366*VLOOKUP(B11366,'Poids des runes'!A:B,2,FALSE)))+1)/VLOOKUP(B11366,'Poids des runes'!A:B,2,FALSE))</f>
        <v>39.674999999999997</v>
      </c>
      <c r="F11366">
        <f t="shared" si="177"/>
        <v>39.674999999999997</v>
      </c>
    </row>
    <row r="11367" spans="1:6" x14ac:dyDescent="0.3">
      <c r="A11367" t="s">
        <v>1864</v>
      </c>
      <c r="B11367" t="s">
        <v>2151</v>
      </c>
      <c r="C11367">
        <v>4.5</v>
      </c>
      <c r="D11367">
        <v>85</v>
      </c>
      <c r="E11367">
        <f>IF(OR(B11367="vi",B11367="ii",B11367="pod"),(((D11367/100)*(C11367*VLOOKUP(B11367,'Poids des runes'!A:B,2,FALSE)))+1),(((D11367/100)*(C11367*VLOOKUP(B11367,'Poids des runes'!A:B,2,FALSE)))+1)/VLOOKUP(B11367,'Poids des runes'!A:B,2,FALSE))</f>
        <v>3.9249999999999998</v>
      </c>
      <c r="F11367">
        <f t="shared" si="177"/>
        <v>3.9249999999999998</v>
      </c>
    </row>
    <row r="11368" spans="1:6" x14ac:dyDescent="0.3">
      <c r="A11368" t="s">
        <v>1864</v>
      </c>
      <c r="B11368" t="s">
        <v>2134</v>
      </c>
      <c r="C11368">
        <v>4.5</v>
      </c>
      <c r="D11368">
        <v>85</v>
      </c>
      <c r="E11368">
        <f>IF(OR(B11368="vi",B11368="ii",B11368="pod"),(((D11368/100)*(C11368*VLOOKUP(B11368,'Poids des runes'!A:B,2,FALSE)))+1),(((D11368/100)*(C11368*VLOOKUP(B11368,'Poids des runes'!A:B,2,FALSE)))+1)/VLOOKUP(B11368,'Poids des runes'!A:B,2,FALSE))</f>
        <v>3.875</v>
      </c>
      <c r="F11368">
        <f t="shared" si="177"/>
        <v>3.875</v>
      </c>
    </row>
    <row r="11369" spans="1:6" x14ac:dyDescent="0.3">
      <c r="A11369" t="s">
        <v>1864</v>
      </c>
      <c r="B11369" t="s">
        <v>2141</v>
      </c>
      <c r="C11369">
        <v>2.5</v>
      </c>
      <c r="D11369">
        <v>85</v>
      </c>
      <c r="E11369">
        <f>IF(OR(B11369="vi",B11369="ii",B11369="pod"),(((D11369/100)*(C11369*VLOOKUP(B11369,'Poids des runes'!A:B,2,FALSE)))+1),(((D11369/100)*(C11369*VLOOKUP(B11369,'Poids des runes'!A:B,2,FALSE)))+1)/VLOOKUP(B11369,'Poids des runes'!A:B,2,FALSE))</f>
        <v>2.375</v>
      </c>
      <c r="F11369">
        <f t="shared" si="177"/>
        <v>2.375</v>
      </c>
    </row>
    <row r="11370" spans="1:6" x14ac:dyDescent="0.3">
      <c r="A11370" t="s">
        <v>1864</v>
      </c>
      <c r="B11370" t="s">
        <v>2158</v>
      </c>
      <c r="C11370">
        <v>8.5</v>
      </c>
      <c r="D11370">
        <v>85</v>
      </c>
      <c r="E11370">
        <f>IF(OR(B11370="vi",B11370="ii",B11370="pod"),(((D11370/100)*(C11370*VLOOKUP(B11370,'Poids des runes'!A:B,2,FALSE)))+1),(((D11370/100)*(C11370*VLOOKUP(B11370,'Poids des runes'!A:B,2,FALSE)))+1)/VLOOKUP(B11370,'Poids des runes'!A:B,2,FALSE))</f>
        <v>7.4249999999999998</v>
      </c>
      <c r="F11370">
        <f t="shared" si="177"/>
        <v>7.4249999999999998</v>
      </c>
    </row>
    <row r="11371" spans="1:6" x14ac:dyDescent="0.3">
      <c r="A11371" t="s">
        <v>1864</v>
      </c>
      <c r="B11371" t="s">
        <v>2135</v>
      </c>
      <c r="C11371">
        <v>4.5</v>
      </c>
      <c r="D11371">
        <v>85</v>
      </c>
      <c r="E11371">
        <f>IF(OR(B11371="vi",B11371="ii",B11371="pod"),(((D11371/100)*(C11371*VLOOKUP(B11371,'Poids des runes'!A:B,2,FALSE)))+1),(((D11371/100)*(C11371*VLOOKUP(B11371,'Poids des runes'!A:B,2,FALSE)))+1)/VLOOKUP(B11371,'Poids des runes'!A:B,2,FALSE))</f>
        <v>3.9916666666666667</v>
      </c>
      <c r="F11371">
        <f t="shared" si="177"/>
        <v>3.9916666666666667</v>
      </c>
    </row>
    <row r="11372" spans="1:6" x14ac:dyDescent="0.3">
      <c r="A11372" t="s">
        <v>1865</v>
      </c>
      <c r="B11372" t="s">
        <v>2128</v>
      </c>
      <c r="C11372">
        <v>85.5</v>
      </c>
      <c r="D11372">
        <v>85</v>
      </c>
      <c r="E11372">
        <f>IF(OR(B11372="vi",B11372="ii",B11372="pod"),(((D11372/100)*(C11372*VLOOKUP(B11372,'Poids des runes'!A:B,2,FALSE)))+1),(((D11372/100)*(C11372*VLOOKUP(B11372,'Poids des runes'!A:B,2,FALSE)))+1)/VLOOKUP(B11372,'Poids des runes'!A:B,2,FALSE))</f>
        <v>15.535</v>
      </c>
      <c r="F11372">
        <f t="shared" si="177"/>
        <v>15.535</v>
      </c>
    </row>
    <row r="11373" spans="1:6" x14ac:dyDescent="0.3">
      <c r="A11373" t="s">
        <v>1865</v>
      </c>
      <c r="B11373" t="s">
        <v>2129</v>
      </c>
      <c r="C11373">
        <v>25.5</v>
      </c>
      <c r="D11373">
        <v>85</v>
      </c>
      <c r="E11373">
        <f>IF(OR(B11373="vi",B11373="ii",B11373="pod"),(((D11373/100)*(C11373*VLOOKUP(B11373,'Poids des runes'!A:B,2,FALSE)))+1),(((D11373/100)*(C11373*VLOOKUP(B11373,'Poids des runes'!A:B,2,FALSE)))+1)/VLOOKUP(B11373,'Poids des runes'!A:B,2,FALSE))</f>
        <v>22.675000000000001</v>
      </c>
      <c r="F11373">
        <f t="shared" si="177"/>
        <v>22.675000000000001</v>
      </c>
    </row>
    <row r="11374" spans="1:6" x14ac:dyDescent="0.3">
      <c r="A11374" t="s">
        <v>1865</v>
      </c>
      <c r="B11374" t="s">
        <v>2139</v>
      </c>
      <c r="C11374">
        <v>35.5</v>
      </c>
      <c r="D11374">
        <v>85</v>
      </c>
      <c r="E11374">
        <f>IF(OR(B11374="vi",B11374="ii",B11374="pod"),(((D11374/100)*(C11374*VLOOKUP(B11374,'Poids des runes'!A:B,2,FALSE)))+1),(((D11374/100)*(C11374*VLOOKUP(B11374,'Poids des runes'!A:B,2,FALSE)))+1)/VLOOKUP(B11374,'Poids des runes'!A:B,2,FALSE))</f>
        <v>30.675000000000001</v>
      </c>
      <c r="F11374">
        <f t="shared" si="177"/>
        <v>30.675000000000001</v>
      </c>
    </row>
    <row r="11375" spans="1:6" x14ac:dyDescent="0.3">
      <c r="A11375" t="s">
        <v>1865</v>
      </c>
      <c r="B11375" t="s">
        <v>2134</v>
      </c>
      <c r="C11375">
        <v>4</v>
      </c>
      <c r="D11375">
        <v>85</v>
      </c>
      <c r="E11375">
        <f>IF(OR(B11375="vi",B11375="ii",B11375="pod"),(((D11375/100)*(C11375*VLOOKUP(B11375,'Poids des runes'!A:B,2,FALSE)))+1),(((D11375/100)*(C11375*VLOOKUP(B11375,'Poids des runes'!A:B,2,FALSE)))+1)/VLOOKUP(B11375,'Poids des runes'!A:B,2,FALSE))</f>
        <v>3.45</v>
      </c>
      <c r="F11375">
        <f t="shared" si="177"/>
        <v>3.45</v>
      </c>
    </row>
    <row r="11376" spans="1:6" x14ac:dyDescent="0.3">
      <c r="A11376" t="s">
        <v>1865</v>
      </c>
      <c r="B11376" t="s">
        <v>2132</v>
      </c>
      <c r="C11376">
        <v>225.5</v>
      </c>
      <c r="D11376">
        <v>85</v>
      </c>
      <c r="E11376">
        <f>IF(OR(B11376="vi",B11376="ii",B11376="pod"),(((D11376/100)*(C11376*VLOOKUP(B11376,'Poids des runes'!A:B,2,FALSE)))+1),(((D11376/100)*(C11376*VLOOKUP(B11376,'Poids des runes'!A:B,2,FALSE)))+1)/VLOOKUP(B11376,'Poids des runes'!A:B,2,FALSE))</f>
        <v>20.1675</v>
      </c>
      <c r="F11376">
        <f t="shared" si="177"/>
        <v>20.1675</v>
      </c>
    </row>
    <row r="11377" spans="1:6" x14ac:dyDescent="0.3">
      <c r="A11377" t="s">
        <v>1865</v>
      </c>
      <c r="B11377" t="s">
        <v>2136</v>
      </c>
      <c r="C11377">
        <v>4</v>
      </c>
      <c r="D11377">
        <v>85</v>
      </c>
      <c r="E11377">
        <f>IF(OR(B11377="vi",B11377="ii",B11377="pod"),(((D11377/100)*(C11377*VLOOKUP(B11377,'Poids des runes'!A:B,2,FALSE)))+1),(((D11377/100)*(C11377*VLOOKUP(B11377,'Poids des runes'!A:B,2,FALSE)))+1)/VLOOKUP(B11377,'Poids des runes'!A:B,2,FALSE))</f>
        <v>3.9</v>
      </c>
      <c r="F11377">
        <f t="shared" si="177"/>
        <v>3.9</v>
      </c>
    </row>
    <row r="11378" spans="1:6" x14ac:dyDescent="0.3">
      <c r="A11378" t="s">
        <v>1865</v>
      </c>
      <c r="B11378" t="s">
        <v>2137</v>
      </c>
      <c r="C11378">
        <v>4</v>
      </c>
      <c r="D11378">
        <v>85</v>
      </c>
      <c r="E11378">
        <f>IF(OR(B11378="vi",B11378="ii",B11378="pod"),(((D11378/100)*(C11378*VLOOKUP(B11378,'Poids des runes'!A:B,2,FALSE)))+1),(((D11378/100)*(C11378*VLOOKUP(B11378,'Poids des runes'!A:B,2,FALSE)))+1)/VLOOKUP(B11378,'Poids des runes'!A:B,2,FALSE))</f>
        <v>3.9</v>
      </c>
      <c r="F11378">
        <f t="shared" si="177"/>
        <v>3.9</v>
      </c>
    </row>
    <row r="11379" spans="1:6" x14ac:dyDescent="0.3">
      <c r="A11379" t="s">
        <v>1866</v>
      </c>
      <c r="B11379" t="s">
        <v>2128</v>
      </c>
      <c r="C11379">
        <v>110.5</v>
      </c>
      <c r="D11379">
        <v>85</v>
      </c>
      <c r="E11379">
        <f>IF(OR(B11379="vi",B11379="ii",B11379="pod"),(((D11379/100)*(C11379*VLOOKUP(B11379,'Poids des runes'!A:B,2,FALSE)))+1),(((D11379/100)*(C11379*VLOOKUP(B11379,'Poids des runes'!A:B,2,FALSE)))+1)/VLOOKUP(B11379,'Poids des runes'!A:B,2,FALSE))</f>
        <v>19.785</v>
      </c>
      <c r="F11379">
        <f t="shared" si="177"/>
        <v>19.785</v>
      </c>
    </row>
    <row r="11380" spans="1:6" x14ac:dyDescent="0.3">
      <c r="A11380" t="s">
        <v>1866</v>
      </c>
      <c r="B11380" t="s">
        <v>2129</v>
      </c>
      <c r="C11380">
        <v>25.5</v>
      </c>
      <c r="D11380">
        <v>85</v>
      </c>
      <c r="E11380">
        <f>IF(OR(B11380="vi",B11380="ii",B11380="pod"),(((D11380/100)*(C11380*VLOOKUP(B11380,'Poids des runes'!A:B,2,FALSE)))+1),(((D11380/100)*(C11380*VLOOKUP(B11380,'Poids des runes'!A:B,2,FALSE)))+1)/VLOOKUP(B11380,'Poids des runes'!A:B,2,FALSE))</f>
        <v>22.675000000000001</v>
      </c>
      <c r="F11380">
        <f t="shared" si="177"/>
        <v>22.675000000000001</v>
      </c>
    </row>
    <row r="11381" spans="1:6" x14ac:dyDescent="0.3">
      <c r="A11381" t="s">
        <v>1866</v>
      </c>
      <c r="B11381" t="s">
        <v>2139</v>
      </c>
      <c r="C11381">
        <v>30.5</v>
      </c>
      <c r="D11381">
        <v>85</v>
      </c>
      <c r="E11381">
        <f>IF(OR(B11381="vi",B11381="ii",B11381="pod"),(((D11381/100)*(C11381*VLOOKUP(B11381,'Poids des runes'!A:B,2,FALSE)))+1),(((D11381/100)*(C11381*VLOOKUP(B11381,'Poids des runes'!A:B,2,FALSE)))+1)/VLOOKUP(B11381,'Poids des runes'!A:B,2,FALSE))</f>
        <v>26.425000000000001</v>
      </c>
      <c r="F11381">
        <f t="shared" si="177"/>
        <v>26.425000000000001</v>
      </c>
    </row>
    <row r="11382" spans="1:6" x14ac:dyDescent="0.3">
      <c r="A11382" t="s">
        <v>1866</v>
      </c>
      <c r="B11382" t="s">
        <v>2151</v>
      </c>
      <c r="C11382">
        <v>3.5</v>
      </c>
      <c r="D11382">
        <v>85</v>
      </c>
      <c r="E11382">
        <f>IF(OR(B11382="vi",B11382="ii",B11382="pod"),(((D11382/100)*(C11382*VLOOKUP(B11382,'Poids des runes'!A:B,2,FALSE)))+1),(((D11382/100)*(C11382*VLOOKUP(B11382,'Poids des runes'!A:B,2,FALSE)))+1)/VLOOKUP(B11382,'Poids des runes'!A:B,2,FALSE))</f>
        <v>3.0750000000000002</v>
      </c>
      <c r="F11382">
        <f t="shared" si="177"/>
        <v>3.0750000000000002</v>
      </c>
    </row>
    <row r="11383" spans="1:6" x14ac:dyDescent="0.3">
      <c r="A11383" t="s">
        <v>1866</v>
      </c>
      <c r="B11383" t="s">
        <v>2155</v>
      </c>
      <c r="C11383">
        <v>1</v>
      </c>
      <c r="D11383">
        <v>85</v>
      </c>
      <c r="E11383">
        <f>IF(OR(B11383="vi",B11383="ii",B11383="pod"),(((D11383/100)*(C11383*VLOOKUP(B11383,'Poids des runes'!A:B,2,FALSE)))+1),(((D11383/100)*(C11383*VLOOKUP(B11383,'Poids des runes'!A:B,2,FALSE)))+1)/VLOOKUP(B11383,'Poids des runes'!A:B,2,FALSE))</f>
        <v>0.86960784313725492</v>
      </c>
      <c r="F11383">
        <f t="shared" si="177"/>
        <v>0.86960784313725492</v>
      </c>
    </row>
    <row r="11384" spans="1:6" x14ac:dyDescent="0.3">
      <c r="A11384" t="s">
        <v>1866</v>
      </c>
      <c r="B11384" t="s">
        <v>2166</v>
      </c>
      <c r="C11384">
        <v>1</v>
      </c>
      <c r="D11384">
        <v>85</v>
      </c>
      <c r="E11384">
        <f>IF(OR(B11384="vi",B11384="ii",B11384="pod"),(((D11384/100)*(C11384*VLOOKUP(B11384,'Poids des runes'!A:B,2,FALSE)))+1),(((D11384/100)*(C11384*VLOOKUP(B11384,'Poids des runes'!A:B,2,FALSE)))+1)/VLOOKUP(B11384,'Poids des runes'!A:B,2,FALSE))</f>
        <v>1.1833333333333333</v>
      </c>
      <c r="F11384">
        <f t="shared" si="177"/>
        <v>1.1833333333333333</v>
      </c>
    </row>
    <row r="11385" spans="1:6" x14ac:dyDescent="0.3">
      <c r="A11385" t="s">
        <v>1867</v>
      </c>
      <c r="B11385" t="s">
        <v>2128</v>
      </c>
      <c r="C11385">
        <v>70.5</v>
      </c>
      <c r="D11385">
        <v>85</v>
      </c>
      <c r="E11385">
        <f>IF(OR(B11385="vi",B11385="ii",B11385="pod"),(((D11385/100)*(C11385*VLOOKUP(B11385,'Poids des runes'!A:B,2,FALSE)))+1),(((D11385/100)*(C11385*VLOOKUP(B11385,'Poids des runes'!A:B,2,FALSE)))+1)/VLOOKUP(B11385,'Poids des runes'!A:B,2,FALSE))</f>
        <v>12.985000000000001</v>
      </c>
      <c r="F11385">
        <f t="shared" si="177"/>
        <v>12.985000000000001</v>
      </c>
    </row>
    <row r="11386" spans="1:6" x14ac:dyDescent="0.3">
      <c r="A11386" t="s">
        <v>1867</v>
      </c>
      <c r="B11386" t="s">
        <v>2131</v>
      </c>
      <c r="C11386">
        <v>50.5</v>
      </c>
      <c r="D11386">
        <v>85</v>
      </c>
      <c r="E11386">
        <f>IF(OR(B11386="vi",B11386="ii",B11386="pod"),(((D11386/100)*(C11386*VLOOKUP(B11386,'Poids des runes'!A:B,2,FALSE)))+1),(((D11386/100)*(C11386*VLOOKUP(B11386,'Poids des runes'!A:B,2,FALSE)))+1)/VLOOKUP(B11386,'Poids des runes'!A:B,2,FALSE))</f>
        <v>43.924999999999997</v>
      </c>
      <c r="F11386">
        <f t="shared" si="177"/>
        <v>43.924999999999997</v>
      </c>
    </row>
    <row r="11387" spans="1:6" x14ac:dyDescent="0.3">
      <c r="A11387" t="s">
        <v>1867</v>
      </c>
      <c r="B11387" t="s">
        <v>2127</v>
      </c>
      <c r="C11387">
        <v>50.5</v>
      </c>
      <c r="D11387">
        <v>85</v>
      </c>
      <c r="E11387">
        <f>IF(OR(B11387="vi",B11387="ii",B11387="pod"),(((D11387/100)*(C11387*VLOOKUP(B11387,'Poids des runes'!A:B,2,FALSE)))+1),(((D11387/100)*(C11387*VLOOKUP(B11387,'Poids des runes'!A:B,2,FALSE)))+1)/VLOOKUP(B11387,'Poids des runes'!A:B,2,FALSE))</f>
        <v>43.924999999999997</v>
      </c>
      <c r="F11387">
        <f t="shared" si="177"/>
        <v>43.924999999999997</v>
      </c>
    </row>
    <row r="11388" spans="1:6" x14ac:dyDescent="0.3">
      <c r="A11388" t="s">
        <v>1867</v>
      </c>
      <c r="B11388" t="s">
        <v>2129</v>
      </c>
      <c r="C11388">
        <v>25.5</v>
      </c>
      <c r="D11388">
        <v>85</v>
      </c>
      <c r="E11388">
        <f>IF(OR(B11388="vi",B11388="ii",B11388="pod"),(((D11388/100)*(C11388*VLOOKUP(B11388,'Poids des runes'!A:B,2,FALSE)))+1),(((D11388/100)*(C11388*VLOOKUP(B11388,'Poids des runes'!A:B,2,FALSE)))+1)/VLOOKUP(B11388,'Poids des runes'!A:B,2,FALSE))</f>
        <v>22.675000000000001</v>
      </c>
      <c r="F11388">
        <f t="shared" si="177"/>
        <v>22.675000000000001</v>
      </c>
    </row>
    <row r="11389" spans="1:6" x14ac:dyDescent="0.3">
      <c r="A11389" t="s">
        <v>1867</v>
      </c>
      <c r="B11389" t="s">
        <v>2151</v>
      </c>
      <c r="C11389">
        <v>2.5</v>
      </c>
      <c r="D11389">
        <v>85</v>
      </c>
      <c r="E11389">
        <f>IF(OR(B11389="vi",B11389="ii",B11389="pod"),(((D11389/100)*(C11389*VLOOKUP(B11389,'Poids des runes'!A:B,2,FALSE)))+1),(((D11389/100)*(C11389*VLOOKUP(B11389,'Poids des runes'!A:B,2,FALSE)))+1)/VLOOKUP(B11389,'Poids des runes'!A:B,2,FALSE))</f>
        <v>2.2250000000000001</v>
      </c>
      <c r="F11389">
        <f t="shared" si="177"/>
        <v>2.2250000000000001</v>
      </c>
    </row>
    <row r="11390" spans="1:6" x14ac:dyDescent="0.3">
      <c r="A11390" t="s">
        <v>1867</v>
      </c>
      <c r="B11390" t="s">
        <v>2134</v>
      </c>
      <c r="C11390">
        <v>2.5</v>
      </c>
      <c r="D11390">
        <v>85</v>
      </c>
      <c r="E11390">
        <f>IF(OR(B11390="vi",B11390="ii",B11390="pod"),(((D11390/100)*(C11390*VLOOKUP(B11390,'Poids des runes'!A:B,2,FALSE)))+1),(((D11390/100)*(C11390*VLOOKUP(B11390,'Poids des runes'!A:B,2,FALSE)))+1)/VLOOKUP(B11390,'Poids des runes'!A:B,2,FALSE))</f>
        <v>2.1749999999999998</v>
      </c>
      <c r="F11390">
        <f t="shared" si="177"/>
        <v>2.1749999999999998</v>
      </c>
    </row>
    <row r="11391" spans="1:6" x14ac:dyDescent="0.3">
      <c r="A11391" t="s">
        <v>1868</v>
      </c>
      <c r="B11391" t="s">
        <v>2128</v>
      </c>
      <c r="C11391">
        <v>25.5</v>
      </c>
      <c r="D11391">
        <v>86</v>
      </c>
      <c r="E11391">
        <f>IF(OR(B11391="vi",B11391="ii",B11391="pod"),(((D11391/100)*(C11391*VLOOKUP(B11391,'Poids des runes'!A:B,2,FALSE)))+1),(((D11391/100)*(C11391*VLOOKUP(B11391,'Poids des runes'!A:B,2,FALSE)))+1)/VLOOKUP(B11391,'Poids des runes'!A:B,2,FALSE))</f>
        <v>5.3860000000000001</v>
      </c>
      <c r="F11391">
        <f t="shared" si="177"/>
        <v>5.3860000000000001</v>
      </c>
    </row>
    <row r="11392" spans="1:6" x14ac:dyDescent="0.3">
      <c r="A11392" t="s">
        <v>1868</v>
      </c>
      <c r="B11392" t="s">
        <v>2131</v>
      </c>
      <c r="C11392">
        <v>60.5</v>
      </c>
      <c r="D11392">
        <v>86</v>
      </c>
      <c r="E11392">
        <f>IF(OR(B11392="vi",B11392="ii",B11392="pod"),(((D11392/100)*(C11392*VLOOKUP(B11392,'Poids des runes'!A:B,2,FALSE)))+1),(((D11392/100)*(C11392*VLOOKUP(B11392,'Poids des runes'!A:B,2,FALSE)))+1)/VLOOKUP(B11392,'Poids des runes'!A:B,2,FALSE))</f>
        <v>53.03</v>
      </c>
      <c r="F11392">
        <f t="shared" si="177"/>
        <v>53.03</v>
      </c>
    </row>
    <row r="11393" spans="1:6" x14ac:dyDescent="0.3">
      <c r="A11393" t="s">
        <v>1868</v>
      </c>
      <c r="B11393" t="s">
        <v>2133</v>
      </c>
      <c r="C11393">
        <v>4.5</v>
      </c>
      <c r="D11393">
        <v>86</v>
      </c>
      <c r="E11393">
        <f>IF(OR(B11393="vi",B11393="ii",B11393="pod"),(((D11393/100)*(C11393*VLOOKUP(B11393,'Poids des runes'!A:B,2,FALSE)))+1),(((D11393/100)*(C11393*VLOOKUP(B11393,'Poids des runes'!A:B,2,FALSE)))+1)/VLOOKUP(B11393,'Poids des runes'!A:B,2,FALSE))</f>
        <v>4.07</v>
      </c>
      <c r="F11393">
        <f t="shared" si="177"/>
        <v>4.07</v>
      </c>
    </row>
    <row r="11394" spans="1:6" x14ac:dyDescent="0.3">
      <c r="A11394" t="s">
        <v>1868</v>
      </c>
      <c r="B11394" t="s">
        <v>2161</v>
      </c>
      <c r="C11394">
        <v>8.5</v>
      </c>
      <c r="D11394">
        <v>86</v>
      </c>
      <c r="E11394">
        <f>IF(OR(B11394="vi",B11394="ii",B11394="pod"),(((D11394/100)*(C11394*VLOOKUP(B11394,'Poids des runes'!A:B,2,FALSE)))+1),(((D11394/100)*(C11394*VLOOKUP(B11394,'Poids des runes'!A:B,2,FALSE)))+1)/VLOOKUP(B11394,'Poids des runes'!A:B,2,FALSE))</f>
        <v>7.6433333333333335</v>
      </c>
      <c r="F11394">
        <f t="shared" si="177"/>
        <v>7.6433333333333335</v>
      </c>
    </row>
    <row r="11395" spans="1:6" x14ac:dyDescent="0.3">
      <c r="A11395" t="s">
        <v>1868</v>
      </c>
      <c r="B11395" t="s">
        <v>2132</v>
      </c>
      <c r="C11395">
        <v>175.5</v>
      </c>
      <c r="D11395">
        <v>86</v>
      </c>
      <c r="E11395">
        <f>IF(OR(B11395="vi",B11395="ii",B11395="pod"),(((D11395/100)*(C11395*VLOOKUP(B11395,'Poids des runes'!A:B,2,FALSE)))+1),(((D11395/100)*(C11395*VLOOKUP(B11395,'Poids des runes'!A:B,2,FALSE)))+1)/VLOOKUP(B11395,'Poids des runes'!A:B,2,FALSE))</f>
        <v>16.093</v>
      </c>
      <c r="F11395">
        <f t="shared" ref="F11395:F11458" si="178">E11395</f>
        <v>16.093</v>
      </c>
    </row>
    <row r="11396" spans="1:6" x14ac:dyDescent="0.3">
      <c r="A11396" t="s">
        <v>1868</v>
      </c>
      <c r="B11396" t="s">
        <v>2156</v>
      </c>
      <c r="C11396">
        <v>3.5</v>
      </c>
      <c r="D11396">
        <v>86</v>
      </c>
      <c r="E11396">
        <f>IF(OR(B11396="vi",B11396="ii",B11396="pod"),(((D11396/100)*(C11396*VLOOKUP(B11396,'Poids des runes'!A:B,2,FALSE)))+1),(((D11396/100)*(C11396*VLOOKUP(B11396,'Poids des runes'!A:B,2,FALSE)))+1)/VLOOKUP(B11396,'Poids des runes'!A:B,2,FALSE))</f>
        <v>3.1766666666666663</v>
      </c>
      <c r="F11396">
        <f t="shared" si="178"/>
        <v>3.1766666666666663</v>
      </c>
    </row>
    <row r="11397" spans="1:6" x14ac:dyDescent="0.3">
      <c r="A11397" t="s">
        <v>1868</v>
      </c>
      <c r="B11397" t="s">
        <v>2148</v>
      </c>
      <c r="C11397">
        <v>3.5</v>
      </c>
      <c r="D11397">
        <v>86</v>
      </c>
      <c r="E11397">
        <f>IF(OR(B11397="vi",B11397="ii",B11397="pod"),(((D11397/100)*(C11397*VLOOKUP(B11397,'Poids des runes'!A:B,2,FALSE)))+1),(((D11397/100)*(C11397*VLOOKUP(B11397,'Poids des runes'!A:B,2,FALSE)))+1)/VLOOKUP(B11397,'Poids des runes'!A:B,2,FALSE))</f>
        <v>3.1766666666666663</v>
      </c>
      <c r="F11397">
        <f t="shared" si="178"/>
        <v>3.1766666666666663</v>
      </c>
    </row>
    <row r="11398" spans="1:6" x14ac:dyDescent="0.3">
      <c r="A11398" t="s">
        <v>1869</v>
      </c>
      <c r="B11398" t="s">
        <v>2128</v>
      </c>
      <c r="C11398">
        <v>40.5</v>
      </c>
      <c r="D11398">
        <v>86</v>
      </c>
      <c r="E11398">
        <f>IF(OR(B11398="vi",B11398="ii",B11398="pod"),(((D11398/100)*(C11398*VLOOKUP(B11398,'Poids des runes'!A:B,2,FALSE)))+1),(((D11398/100)*(C11398*VLOOKUP(B11398,'Poids des runes'!A:B,2,FALSE)))+1)/VLOOKUP(B11398,'Poids des runes'!A:B,2,FALSE))</f>
        <v>7.9659999999999993</v>
      </c>
      <c r="F11398">
        <f t="shared" si="178"/>
        <v>7.9659999999999993</v>
      </c>
    </row>
    <row r="11399" spans="1:6" x14ac:dyDescent="0.3">
      <c r="A11399" t="s">
        <v>1869</v>
      </c>
      <c r="B11399" t="s">
        <v>2126</v>
      </c>
      <c r="C11399">
        <v>40.5</v>
      </c>
      <c r="D11399">
        <v>86</v>
      </c>
      <c r="E11399">
        <f>IF(OR(B11399="vi",B11399="ii",B11399="pod"),(((D11399/100)*(C11399*VLOOKUP(B11399,'Poids des runes'!A:B,2,FALSE)))+1),(((D11399/100)*(C11399*VLOOKUP(B11399,'Poids des runes'!A:B,2,FALSE)))+1)/VLOOKUP(B11399,'Poids des runes'!A:B,2,FALSE))</f>
        <v>35.83</v>
      </c>
      <c r="F11399">
        <f t="shared" si="178"/>
        <v>35.83</v>
      </c>
    </row>
    <row r="11400" spans="1:6" x14ac:dyDescent="0.3">
      <c r="A11400" t="s">
        <v>1869</v>
      </c>
      <c r="B11400" t="s">
        <v>2129</v>
      </c>
      <c r="C11400">
        <v>23</v>
      </c>
      <c r="D11400">
        <v>86</v>
      </c>
      <c r="E11400">
        <f>IF(OR(B11400="vi",B11400="ii",B11400="pod"),(((D11400/100)*(C11400*VLOOKUP(B11400,'Poids des runes'!A:B,2,FALSE)))+1),(((D11400/100)*(C11400*VLOOKUP(B11400,'Poids des runes'!A:B,2,FALSE)))+1)/VLOOKUP(B11400,'Poids des runes'!A:B,2,FALSE))</f>
        <v>20.78</v>
      </c>
      <c r="F11400">
        <f t="shared" si="178"/>
        <v>20.78</v>
      </c>
    </row>
    <row r="11401" spans="1:6" x14ac:dyDescent="0.3">
      <c r="A11401" t="s">
        <v>1869</v>
      </c>
      <c r="B11401" t="s">
        <v>2139</v>
      </c>
      <c r="C11401">
        <v>13</v>
      </c>
      <c r="D11401">
        <v>86</v>
      </c>
      <c r="E11401">
        <f>IF(OR(B11401="vi",B11401="ii",B11401="pod"),(((D11401/100)*(C11401*VLOOKUP(B11401,'Poids des runes'!A:B,2,FALSE)))+1),(((D11401/100)*(C11401*VLOOKUP(B11401,'Poids des runes'!A:B,2,FALSE)))+1)/VLOOKUP(B11401,'Poids des runes'!A:B,2,FALSE))</f>
        <v>11.68</v>
      </c>
      <c r="F11401">
        <f t="shared" si="178"/>
        <v>11.68</v>
      </c>
    </row>
    <row r="11402" spans="1:6" x14ac:dyDescent="0.3">
      <c r="A11402" t="s">
        <v>1869</v>
      </c>
      <c r="B11402" t="s">
        <v>2150</v>
      </c>
      <c r="C11402">
        <v>1</v>
      </c>
      <c r="D11402">
        <v>86</v>
      </c>
      <c r="E11402">
        <f>IF(OR(B11402="vi",B11402="ii",B11402="pod"),(((D11402/100)*(C11402*VLOOKUP(B11402,'Poids des runes'!A:B,2,FALSE)))+1),(((D11402/100)*(C11402*VLOOKUP(B11402,'Poids des runes'!A:B,2,FALSE)))+1)/VLOOKUP(B11402,'Poids des runes'!A:B,2,FALSE))</f>
        <v>0.89333333333333331</v>
      </c>
      <c r="F11402">
        <f t="shared" si="178"/>
        <v>0.89333333333333331</v>
      </c>
    </row>
    <row r="11403" spans="1:6" x14ac:dyDescent="0.3">
      <c r="A11403" t="s">
        <v>1869</v>
      </c>
      <c r="B11403" t="s">
        <v>2134</v>
      </c>
      <c r="C11403">
        <v>4</v>
      </c>
      <c r="D11403">
        <v>86</v>
      </c>
      <c r="E11403">
        <f>IF(OR(B11403="vi",B11403="ii",B11403="pod"),(((D11403/100)*(C11403*VLOOKUP(B11403,'Poids des runes'!A:B,2,FALSE)))+1),(((D11403/100)*(C11403*VLOOKUP(B11403,'Poids des runes'!A:B,2,FALSE)))+1)/VLOOKUP(B11403,'Poids des runes'!A:B,2,FALSE))</f>
        <v>3.4899999999999998</v>
      </c>
      <c r="F11403">
        <f t="shared" si="178"/>
        <v>3.4899999999999998</v>
      </c>
    </row>
    <row r="11404" spans="1:6" x14ac:dyDescent="0.3">
      <c r="A11404" t="s">
        <v>1869</v>
      </c>
      <c r="B11404" t="s">
        <v>2149</v>
      </c>
      <c r="C11404">
        <v>13</v>
      </c>
      <c r="D11404">
        <v>86</v>
      </c>
      <c r="E11404">
        <f>IF(OR(B11404="vi",B11404="ii",B11404="pod"),(((D11404/100)*(C11404*VLOOKUP(B11404,'Poids des runes'!A:B,2,FALSE)))+1),(((D11404/100)*(C11404*VLOOKUP(B11404,'Poids des runes'!A:B,2,FALSE)))+1)/VLOOKUP(B11404,'Poids des runes'!A:B,2,FALSE))</f>
        <v>11.28</v>
      </c>
      <c r="F11404">
        <f t="shared" si="178"/>
        <v>11.28</v>
      </c>
    </row>
    <row r="11405" spans="1:6" x14ac:dyDescent="0.3">
      <c r="A11405" t="s">
        <v>1870</v>
      </c>
      <c r="B11405" t="s">
        <v>2128</v>
      </c>
      <c r="C11405">
        <v>175.5</v>
      </c>
      <c r="D11405">
        <v>86</v>
      </c>
      <c r="E11405">
        <f>IF(OR(B11405="vi",B11405="ii",B11405="pod"),(((D11405/100)*(C11405*VLOOKUP(B11405,'Poids des runes'!A:B,2,FALSE)))+1),(((D11405/100)*(C11405*VLOOKUP(B11405,'Poids des runes'!A:B,2,FALSE)))+1)/VLOOKUP(B11405,'Poids des runes'!A:B,2,FALSE))</f>
        <v>31.186</v>
      </c>
      <c r="F11405">
        <f t="shared" si="178"/>
        <v>31.186</v>
      </c>
    </row>
    <row r="11406" spans="1:6" x14ac:dyDescent="0.3">
      <c r="A11406" t="s">
        <v>1870</v>
      </c>
      <c r="B11406" t="s">
        <v>2129</v>
      </c>
      <c r="C11406">
        <v>18</v>
      </c>
      <c r="D11406">
        <v>86</v>
      </c>
      <c r="E11406">
        <f>IF(OR(B11406="vi",B11406="ii",B11406="pod"),(((D11406/100)*(C11406*VLOOKUP(B11406,'Poids des runes'!A:B,2,FALSE)))+1),(((D11406/100)*(C11406*VLOOKUP(B11406,'Poids des runes'!A:B,2,FALSE)))+1)/VLOOKUP(B11406,'Poids des runes'!A:B,2,FALSE))</f>
        <v>16.48</v>
      </c>
      <c r="F11406">
        <f t="shared" si="178"/>
        <v>16.48</v>
      </c>
    </row>
    <row r="11407" spans="1:6" x14ac:dyDescent="0.3">
      <c r="A11407" t="s">
        <v>1870</v>
      </c>
      <c r="B11407" t="s">
        <v>2139</v>
      </c>
      <c r="C11407">
        <v>25.5</v>
      </c>
      <c r="D11407">
        <v>86</v>
      </c>
      <c r="E11407">
        <f>IF(OR(B11407="vi",B11407="ii",B11407="pod"),(((D11407/100)*(C11407*VLOOKUP(B11407,'Poids des runes'!A:B,2,FALSE)))+1),(((D11407/100)*(C11407*VLOOKUP(B11407,'Poids des runes'!A:B,2,FALSE)))+1)/VLOOKUP(B11407,'Poids des runes'!A:B,2,FALSE))</f>
        <v>22.43</v>
      </c>
      <c r="F11407">
        <f t="shared" si="178"/>
        <v>22.43</v>
      </c>
    </row>
    <row r="11408" spans="1:6" x14ac:dyDescent="0.3">
      <c r="A11408" t="s">
        <v>1870</v>
      </c>
      <c r="B11408" t="s">
        <v>2155</v>
      </c>
      <c r="C11408">
        <v>1</v>
      </c>
      <c r="D11408">
        <v>86</v>
      </c>
      <c r="E11408">
        <f>IF(OR(B11408="vi",B11408="ii",B11408="pod"),(((D11408/100)*(C11408*VLOOKUP(B11408,'Poids des runes'!A:B,2,FALSE)))+1),(((D11408/100)*(C11408*VLOOKUP(B11408,'Poids des runes'!A:B,2,FALSE)))+1)/VLOOKUP(B11408,'Poids des runes'!A:B,2,FALSE))</f>
        <v>0.87960784313725493</v>
      </c>
      <c r="F11408">
        <f t="shared" si="178"/>
        <v>0.87960784313725493</v>
      </c>
    </row>
    <row r="11409" spans="1:6" x14ac:dyDescent="0.3">
      <c r="A11409" t="s">
        <v>1870</v>
      </c>
      <c r="B11409" t="s">
        <v>2134</v>
      </c>
      <c r="C11409">
        <v>4.5</v>
      </c>
      <c r="D11409">
        <v>86</v>
      </c>
      <c r="E11409">
        <f>IF(OR(B11409="vi",B11409="ii",B11409="pod"),(((D11409/100)*(C11409*VLOOKUP(B11409,'Poids des runes'!A:B,2,FALSE)))+1),(((D11409/100)*(C11409*VLOOKUP(B11409,'Poids des runes'!A:B,2,FALSE)))+1)/VLOOKUP(B11409,'Poids des runes'!A:B,2,FALSE))</f>
        <v>3.9200000000000004</v>
      </c>
      <c r="F11409">
        <f t="shared" si="178"/>
        <v>3.9200000000000004</v>
      </c>
    </row>
    <row r="11410" spans="1:6" x14ac:dyDescent="0.3">
      <c r="A11410" t="s">
        <v>1871</v>
      </c>
      <c r="B11410" t="s">
        <v>2128</v>
      </c>
      <c r="C11410">
        <v>140.5</v>
      </c>
      <c r="D11410">
        <v>87</v>
      </c>
      <c r="E11410">
        <f>IF(OR(B11410="vi",B11410="ii",B11410="pod"),(((D11410/100)*(C11410*VLOOKUP(B11410,'Poids des runes'!A:B,2,FALSE)))+1),(((D11410/100)*(C11410*VLOOKUP(B11410,'Poids des runes'!A:B,2,FALSE)))+1)/VLOOKUP(B11410,'Poids des runes'!A:B,2,FALSE))</f>
        <v>25.447000000000003</v>
      </c>
      <c r="F11410">
        <f t="shared" si="178"/>
        <v>25.447000000000003</v>
      </c>
    </row>
    <row r="11411" spans="1:6" x14ac:dyDescent="0.3">
      <c r="A11411" t="s">
        <v>1871</v>
      </c>
      <c r="B11411" t="s">
        <v>2130</v>
      </c>
      <c r="C11411">
        <v>50.5</v>
      </c>
      <c r="D11411">
        <v>87</v>
      </c>
      <c r="E11411">
        <f>IF(OR(B11411="vi",B11411="ii",B11411="pod"),(((D11411/100)*(C11411*VLOOKUP(B11411,'Poids des runes'!A:B,2,FALSE)))+1),(((D11411/100)*(C11411*VLOOKUP(B11411,'Poids des runes'!A:B,2,FALSE)))+1)/VLOOKUP(B11411,'Poids des runes'!A:B,2,FALSE))</f>
        <v>44.935000000000002</v>
      </c>
      <c r="F11411">
        <f t="shared" si="178"/>
        <v>44.935000000000002</v>
      </c>
    </row>
    <row r="11412" spans="1:6" x14ac:dyDescent="0.3">
      <c r="A11412" t="s">
        <v>1871</v>
      </c>
      <c r="B11412" t="s">
        <v>2127</v>
      </c>
      <c r="C11412">
        <v>50.5</v>
      </c>
      <c r="D11412">
        <v>87</v>
      </c>
      <c r="E11412">
        <f>IF(OR(B11412="vi",B11412="ii",B11412="pod"),(((D11412/100)*(C11412*VLOOKUP(B11412,'Poids des runes'!A:B,2,FALSE)))+1),(((D11412/100)*(C11412*VLOOKUP(B11412,'Poids des runes'!A:B,2,FALSE)))+1)/VLOOKUP(B11412,'Poids des runes'!A:B,2,FALSE))</f>
        <v>44.935000000000002</v>
      </c>
      <c r="F11412">
        <f t="shared" si="178"/>
        <v>44.935000000000002</v>
      </c>
    </row>
    <row r="11413" spans="1:6" x14ac:dyDescent="0.3">
      <c r="A11413" t="s">
        <v>1871</v>
      </c>
      <c r="B11413" t="s">
        <v>2139</v>
      </c>
      <c r="C11413">
        <v>18</v>
      </c>
      <c r="D11413">
        <v>87</v>
      </c>
      <c r="E11413">
        <f>IF(OR(B11413="vi",B11413="ii",B11413="pod"),(((D11413/100)*(C11413*VLOOKUP(B11413,'Poids des runes'!A:B,2,FALSE)))+1),(((D11413/100)*(C11413*VLOOKUP(B11413,'Poids des runes'!A:B,2,FALSE)))+1)/VLOOKUP(B11413,'Poids des runes'!A:B,2,FALSE))</f>
        <v>16.16</v>
      </c>
      <c r="F11413">
        <f t="shared" si="178"/>
        <v>16.16</v>
      </c>
    </row>
    <row r="11414" spans="1:6" x14ac:dyDescent="0.3">
      <c r="A11414" t="s">
        <v>1871</v>
      </c>
      <c r="B11414" t="s">
        <v>2151</v>
      </c>
      <c r="C11414">
        <v>2.5</v>
      </c>
      <c r="D11414">
        <v>87</v>
      </c>
      <c r="E11414">
        <f>IF(OR(B11414="vi",B11414="ii",B11414="pod"),(((D11414/100)*(C11414*VLOOKUP(B11414,'Poids des runes'!A:B,2,FALSE)))+1),(((D11414/100)*(C11414*VLOOKUP(B11414,'Poids des runes'!A:B,2,FALSE)))+1)/VLOOKUP(B11414,'Poids des runes'!A:B,2,FALSE))</f>
        <v>2.2749999999999999</v>
      </c>
      <c r="F11414">
        <f t="shared" si="178"/>
        <v>2.2749999999999999</v>
      </c>
    </row>
    <row r="11415" spans="1:6" x14ac:dyDescent="0.3">
      <c r="A11415" t="s">
        <v>1871</v>
      </c>
      <c r="B11415" t="s">
        <v>2134</v>
      </c>
      <c r="C11415">
        <v>4.5</v>
      </c>
      <c r="D11415">
        <v>87</v>
      </c>
      <c r="E11415">
        <f>IF(OR(B11415="vi",B11415="ii",B11415="pod"),(((D11415/100)*(C11415*VLOOKUP(B11415,'Poids des runes'!A:B,2,FALSE)))+1),(((D11415/100)*(C11415*VLOOKUP(B11415,'Poids des runes'!A:B,2,FALSE)))+1)/VLOOKUP(B11415,'Poids des runes'!A:B,2,FALSE))</f>
        <v>3.9649999999999999</v>
      </c>
      <c r="F11415">
        <f t="shared" si="178"/>
        <v>3.9649999999999999</v>
      </c>
    </row>
    <row r="11416" spans="1:6" x14ac:dyDescent="0.3">
      <c r="A11416" t="s">
        <v>1872</v>
      </c>
      <c r="B11416" t="s">
        <v>2128</v>
      </c>
      <c r="C11416">
        <v>70.5</v>
      </c>
      <c r="D11416">
        <v>87</v>
      </c>
      <c r="E11416">
        <f>IF(OR(B11416="vi",B11416="ii",B11416="pod"),(((D11416/100)*(C11416*VLOOKUP(B11416,'Poids des runes'!A:B,2,FALSE)))+1),(((D11416/100)*(C11416*VLOOKUP(B11416,'Poids des runes'!A:B,2,FALSE)))+1)/VLOOKUP(B11416,'Poids des runes'!A:B,2,FALSE))</f>
        <v>13.267000000000001</v>
      </c>
      <c r="F11416">
        <f t="shared" si="178"/>
        <v>13.267000000000001</v>
      </c>
    </row>
    <row r="11417" spans="1:6" x14ac:dyDescent="0.3">
      <c r="A11417" t="s">
        <v>1872</v>
      </c>
      <c r="B11417" t="s">
        <v>2129</v>
      </c>
      <c r="C11417">
        <v>23</v>
      </c>
      <c r="D11417">
        <v>87</v>
      </c>
      <c r="E11417">
        <f>IF(OR(B11417="vi",B11417="ii",B11417="pod"),(((D11417/100)*(C11417*VLOOKUP(B11417,'Poids des runes'!A:B,2,FALSE)))+1),(((D11417/100)*(C11417*VLOOKUP(B11417,'Poids des runes'!A:B,2,FALSE)))+1)/VLOOKUP(B11417,'Poids des runes'!A:B,2,FALSE))</f>
        <v>21.01</v>
      </c>
      <c r="F11417">
        <f t="shared" si="178"/>
        <v>21.01</v>
      </c>
    </row>
    <row r="11418" spans="1:6" x14ac:dyDescent="0.3">
      <c r="A11418" t="s">
        <v>1872</v>
      </c>
      <c r="B11418" t="s">
        <v>2139</v>
      </c>
      <c r="C11418">
        <v>25.5</v>
      </c>
      <c r="D11418">
        <v>87</v>
      </c>
      <c r="E11418">
        <f>IF(OR(B11418="vi",B11418="ii",B11418="pod"),(((D11418/100)*(C11418*VLOOKUP(B11418,'Poids des runes'!A:B,2,FALSE)))+1),(((D11418/100)*(C11418*VLOOKUP(B11418,'Poids des runes'!A:B,2,FALSE)))+1)/VLOOKUP(B11418,'Poids des runes'!A:B,2,FALSE))</f>
        <v>22.684999999999999</v>
      </c>
      <c r="F11418">
        <f t="shared" si="178"/>
        <v>22.684999999999999</v>
      </c>
    </row>
    <row r="11419" spans="1:6" x14ac:dyDescent="0.3">
      <c r="A11419" t="s">
        <v>1872</v>
      </c>
      <c r="B11419" t="s">
        <v>2155</v>
      </c>
      <c r="C11419">
        <v>1</v>
      </c>
      <c r="D11419">
        <v>87</v>
      </c>
      <c r="E11419">
        <f>IF(OR(B11419="vi",B11419="ii",B11419="pod"),(((D11419/100)*(C11419*VLOOKUP(B11419,'Poids des runes'!A:B,2,FALSE)))+1),(((D11419/100)*(C11419*VLOOKUP(B11419,'Poids des runes'!A:B,2,FALSE)))+1)/VLOOKUP(B11419,'Poids des runes'!A:B,2,FALSE))</f>
        <v>0.88960784313725483</v>
      </c>
      <c r="F11419">
        <f t="shared" si="178"/>
        <v>0.88960784313725483</v>
      </c>
    </row>
    <row r="11420" spans="1:6" x14ac:dyDescent="0.3">
      <c r="A11420" t="s">
        <v>1872</v>
      </c>
      <c r="B11420" t="s">
        <v>2134</v>
      </c>
      <c r="C11420">
        <v>4.5</v>
      </c>
      <c r="D11420">
        <v>87</v>
      </c>
      <c r="E11420">
        <f>IF(OR(B11420="vi",B11420="ii",B11420="pod"),(((D11420/100)*(C11420*VLOOKUP(B11420,'Poids des runes'!A:B,2,FALSE)))+1),(((D11420/100)*(C11420*VLOOKUP(B11420,'Poids des runes'!A:B,2,FALSE)))+1)/VLOOKUP(B11420,'Poids des runes'!A:B,2,FALSE))</f>
        <v>3.9649999999999999</v>
      </c>
      <c r="F11420">
        <f t="shared" si="178"/>
        <v>3.9649999999999999</v>
      </c>
    </row>
    <row r="11421" spans="1:6" x14ac:dyDescent="0.3">
      <c r="A11421" t="s">
        <v>1872</v>
      </c>
      <c r="B11421" t="s">
        <v>2161</v>
      </c>
      <c r="C11421">
        <v>8.5</v>
      </c>
      <c r="D11421">
        <v>87</v>
      </c>
      <c r="E11421">
        <f>IF(OR(B11421="vi",B11421="ii",B11421="pod"),(((D11421/100)*(C11421*VLOOKUP(B11421,'Poids des runes'!A:B,2,FALSE)))+1),(((D11421/100)*(C11421*VLOOKUP(B11421,'Poids des runes'!A:B,2,FALSE)))+1)/VLOOKUP(B11421,'Poids des runes'!A:B,2,FALSE))</f>
        <v>7.7283333333333326</v>
      </c>
      <c r="F11421">
        <f t="shared" si="178"/>
        <v>7.7283333333333326</v>
      </c>
    </row>
    <row r="11422" spans="1:6" x14ac:dyDescent="0.3">
      <c r="A11422" t="s">
        <v>1872</v>
      </c>
      <c r="B11422" t="s">
        <v>2132</v>
      </c>
      <c r="C11422">
        <v>175.5</v>
      </c>
      <c r="D11422">
        <v>87</v>
      </c>
      <c r="E11422">
        <f>IF(OR(B11422="vi",B11422="ii",B11422="pod"),(((D11422/100)*(C11422*VLOOKUP(B11422,'Poids des runes'!A:B,2,FALSE)))+1),(((D11422/100)*(C11422*VLOOKUP(B11422,'Poids des runes'!A:B,2,FALSE)))+1)/VLOOKUP(B11422,'Poids des runes'!A:B,2,FALSE))</f>
        <v>16.268500000000003</v>
      </c>
      <c r="F11422">
        <f t="shared" si="178"/>
        <v>16.268500000000003</v>
      </c>
    </row>
    <row r="11423" spans="1:6" x14ac:dyDescent="0.3">
      <c r="A11423" t="s">
        <v>1873</v>
      </c>
      <c r="B11423" t="s">
        <v>2130</v>
      </c>
      <c r="C11423">
        <v>28</v>
      </c>
      <c r="D11423">
        <v>87</v>
      </c>
      <c r="E11423">
        <f>IF(OR(B11423="vi",B11423="ii",B11423="pod"),(((D11423/100)*(C11423*VLOOKUP(B11423,'Poids des runes'!A:B,2,FALSE)))+1),(((D11423/100)*(C11423*VLOOKUP(B11423,'Poids des runes'!A:B,2,FALSE)))+1)/VLOOKUP(B11423,'Poids des runes'!A:B,2,FALSE))</f>
        <v>25.36</v>
      </c>
      <c r="F11423">
        <f t="shared" si="178"/>
        <v>25.36</v>
      </c>
    </row>
    <row r="11424" spans="1:6" x14ac:dyDescent="0.3">
      <c r="A11424" t="s">
        <v>1873</v>
      </c>
      <c r="B11424" t="s">
        <v>2126</v>
      </c>
      <c r="C11424">
        <v>28</v>
      </c>
      <c r="D11424">
        <v>87</v>
      </c>
      <c r="E11424">
        <f>IF(OR(B11424="vi",B11424="ii",B11424="pod"),(((D11424/100)*(C11424*VLOOKUP(B11424,'Poids des runes'!A:B,2,FALSE)))+1),(((D11424/100)*(C11424*VLOOKUP(B11424,'Poids des runes'!A:B,2,FALSE)))+1)/VLOOKUP(B11424,'Poids des runes'!A:B,2,FALSE))</f>
        <v>25.36</v>
      </c>
      <c r="F11424">
        <f t="shared" si="178"/>
        <v>25.36</v>
      </c>
    </row>
    <row r="11425" spans="1:6" x14ac:dyDescent="0.3">
      <c r="A11425" t="s">
        <v>1873</v>
      </c>
      <c r="B11425" t="s">
        <v>2127</v>
      </c>
      <c r="C11425">
        <v>28</v>
      </c>
      <c r="D11425">
        <v>87</v>
      </c>
      <c r="E11425">
        <f>IF(OR(B11425="vi",B11425="ii",B11425="pod"),(((D11425/100)*(C11425*VLOOKUP(B11425,'Poids des runes'!A:B,2,FALSE)))+1),(((D11425/100)*(C11425*VLOOKUP(B11425,'Poids des runes'!A:B,2,FALSE)))+1)/VLOOKUP(B11425,'Poids des runes'!A:B,2,FALSE))</f>
        <v>25.36</v>
      </c>
      <c r="F11425">
        <f t="shared" si="178"/>
        <v>25.36</v>
      </c>
    </row>
    <row r="11426" spans="1:6" x14ac:dyDescent="0.3">
      <c r="A11426" t="s">
        <v>1873</v>
      </c>
      <c r="B11426" t="s">
        <v>2150</v>
      </c>
      <c r="C11426">
        <v>1</v>
      </c>
      <c r="D11426">
        <v>87</v>
      </c>
      <c r="E11426">
        <f>IF(OR(B11426="vi",B11426="ii",B11426="pod"),(((D11426/100)*(C11426*VLOOKUP(B11426,'Poids des runes'!A:B,2,FALSE)))+1),(((D11426/100)*(C11426*VLOOKUP(B11426,'Poids des runes'!A:B,2,FALSE)))+1)/VLOOKUP(B11426,'Poids des runes'!A:B,2,FALSE))</f>
        <v>0.90333333333333343</v>
      </c>
      <c r="F11426">
        <f t="shared" si="178"/>
        <v>0.90333333333333343</v>
      </c>
    </row>
    <row r="11427" spans="1:6" x14ac:dyDescent="0.3">
      <c r="A11427" t="s">
        <v>1873</v>
      </c>
      <c r="B11427" t="s">
        <v>2134</v>
      </c>
      <c r="C11427">
        <v>4.5</v>
      </c>
      <c r="D11427">
        <v>87</v>
      </c>
      <c r="E11427">
        <f>IF(OR(B11427="vi",B11427="ii",B11427="pod"),(((D11427/100)*(C11427*VLOOKUP(B11427,'Poids des runes'!A:B,2,FALSE)))+1),(((D11427/100)*(C11427*VLOOKUP(B11427,'Poids des runes'!A:B,2,FALSE)))+1)/VLOOKUP(B11427,'Poids des runes'!A:B,2,FALSE))</f>
        <v>3.9649999999999999</v>
      </c>
      <c r="F11427">
        <f t="shared" si="178"/>
        <v>3.9649999999999999</v>
      </c>
    </row>
    <row r="11428" spans="1:6" x14ac:dyDescent="0.3">
      <c r="A11428" t="s">
        <v>1873</v>
      </c>
      <c r="B11428" t="s">
        <v>2166</v>
      </c>
      <c r="C11428">
        <v>1</v>
      </c>
      <c r="D11428">
        <v>87</v>
      </c>
      <c r="E11428">
        <f>IF(OR(B11428="vi",B11428="ii",B11428="pod"),(((D11428/100)*(C11428*VLOOKUP(B11428,'Poids des runes'!A:B,2,FALSE)))+1),(((D11428/100)*(C11428*VLOOKUP(B11428,'Poids des runes'!A:B,2,FALSE)))+1)/VLOOKUP(B11428,'Poids des runes'!A:B,2,FALSE))</f>
        <v>1.2033333333333334</v>
      </c>
      <c r="F11428">
        <f t="shared" si="178"/>
        <v>1.2033333333333334</v>
      </c>
    </row>
    <row r="11429" spans="1:6" x14ac:dyDescent="0.3">
      <c r="A11429" t="s">
        <v>1874</v>
      </c>
      <c r="B11429" t="s">
        <v>2128</v>
      </c>
      <c r="C11429">
        <v>50.5</v>
      </c>
      <c r="D11429">
        <v>88</v>
      </c>
      <c r="E11429">
        <f>IF(OR(B11429="vi",B11429="ii",B11429="pod"),(((D11429/100)*(C11429*VLOOKUP(B11429,'Poids des runes'!A:B,2,FALSE)))+1),(((D11429/100)*(C11429*VLOOKUP(B11429,'Poids des runes'!A:B,2,FALSE)))+1)/VLOOKUP(B11429,'Poids des runes'!A:B,2,FALSE))</f>
        <v>9.8880000000000017</v>
      </c>
      <c r="F11429">
        <f t="shared" si="178"/>
        <v>9.8880000000000017</v>
      </c>
    </row>
    <row r="11430" spans="1:6" x14ac:dyDescent="0.3">
      <c r="A11430" t="s">
        <v>1874</v>
      </c>
      <c r="B11430" t="s">
        <v>2126</v>
      </c>
      <c r="C11430">
        <v>40.5</v>
      </c>
      <c r="D11430">
        <v>88</v>
      </c>
      <c r="E11430">
        <f>IF(OR(B11430="vi",B11430="ii",B11430="pod"),(((D11430/100)*(C11430*VLOOKUP(B11430,'Poids des runes'!A:B,2,FALSE)))+1),(((D11430/100)*(C11430*VLOOKUP(B11430,'Poids des runes'!A:B,2,FALSE)))+1)/VLOOKUP(B11430,'Poids des runes'!A:B,2,FALSE))</f>
        <v>36.64</v>
      </c>
      <c r="F11430">
        <f t="shared" si="178"/>
        <v>36.64</v>
      </c>
    </row>
    <row r="11431" spans="1:6" x14ac:dyDescent="0.3">
      <c r="A11431" t="s">
        <v>1874</v>
      </c>
      <c r="B11431" t="s">
        <v>2131</v>
      </c>
      <c r="C11431">
        <v>40.5</v>
      </c>
      <c r="D11431">
        <v>88</v>
      </c>
      <c r="E11431">
        <f>IF(OR(B11431="vi",B11431="ii",B11431="pod"),(((D11431/100)*(C11431*VLOOKUP(B11431,'Poids des runes'!A:B,2,FALSE)))+1),(((D11431/100)*(C11431*VLOOKUP(B11431,'Poids des runes'!A:B,2,FALSE)))+1)/VLOOKUP(B11431,'Poids des runes'!A:B,2,FALSE))</f>
        <v>36.64</v>
      </c>
      <c r="F11431">
        <f t="shared" si="178"/>
        <v>36.64</v>
      </c>
    </row>
    <row r="11432" spans="1:6" x14ac:dyDescent="0.3">
      <c r="A11432" t="s">
        <v>1874</v>
      </c>
      <c r="B11432" t="s">
        <v>2129</v>
      </c>
      <c r="C11432">
        <v>18</v>
      </c>
      <c r="D11432">
        <v>88</v>
      </c>
      <c r="E11432">
        <f>IF(OR(B11432="vi",B11432="ii",B11432="pod"),(((D11432/100)*(C11432*VLOOKUP(B11432,'Poids des runes'!A:B,2,FALSE)))+1),(((D11432/100)*(C11432*VLOOKUP(B11432,'Poids des runes'!A:B,2,FALSE)))+1)/VLOOKUP(B11432,'Poids des runes'!A:B,2,FALSE))</f>
        <v>16.84</v>
      </c>
      <c r="F11432">
        <f t="shared" si="178"/>
        <v>16.84</v>
      </c>
    </row>
    <row r="11433" spans="1:6" x14ac:dyDescent="0.3">
      <c r="A11433" t="s">
        <v>1874</v>
      </c>
      <c r="B11433" t="s">
        <v>2139</v>
      </c>
      <c r="C11433">
        <v>8.5</v>
      </c>
      <c r="D11433">
        <v>88</v>
      </c>
      <c r="E11433">
        <f>IF(OR(B11433="vi",B11433="ii",B11433="pod"),(((D11433/100)*(C11433*VLOOKUP(B11433,'Poids des runes'!A:B,2,FALSE)))+1),(((D11433/100)*(C11433*VLOOKUP(B11433,'Poids des runes'!A:B,2,FALSE)))+1)/VLOOKUP(B11433,'Poids des runes'!A:B,2,FALSE))</f>
        <v>7.98</v>
      </c>
      <c r="F11433">
        <f t="shared" si="178"/>
        <v>7.98</v>
      </c>
    </row>
    <row r="11434" spans="1:6" x14ac:dyDescent="0.3">
      <c r="A11434" t="s">
        <v>1874</v>
      </c>
      <c r="B11434" t="s">
        <v>2150</v>
      </c>
      <c r="C11434">
        <v>1</v>
      </c>
      <c r="D11434">
        <v>88</v>
      </c>
      <c r="E11434">
        <f>IF(OR(B11434="vi",B11434="ii",B11434="pod"),(((D11434/100)*(C11434*VLOOKUP(B11434,'Poids des runes'!A:B,2,FALSE)))+1),(((D11434/100)*(C11434*VLOOKUP(B11434,'Poids des runes'!A:B,2,FALSE)))+1)/VLOOKUP(B11434,'Poids des runes'!A:B,2,FALSE))</f>
        <v>0.91333333333333333</v>
      </c>
      <c r="F11434">
        <f t="shared" si="178"/>
        <v>0.91333333333333333</v>
      </c>
    </row>
    <row r="11435" spans="1:6" x14ac:dyDescent="0.3">
      <c r="A11435" t="s">
        <v>1874</v>
      </c>
      <c r="B11435" t="s">
        <v>2140</v>
      </c>
      <c r="C11435">
        <v>2.5</v>
      </c>
      <c r="D11435">
        <v>88</v>
      </c>
      <c r="E11435">
        <f>IF(OR(B11435="vi",B11435="ii",B11435="pod"),(((D11435/100)*(C11435*VLOOKUP(B11435,'Poids des runes'!A:B,2,FALSE)))+1),(((D11435/100)*(C11435*VLOOKUP(B11435,'Poids des runes'!A:B,2,FALSE)))+1)/VLOOKUP(B11435,'Poids des runes'!A:B,2,FALSE))</f>
        <v>2.4</v>
      </c>
      <c r="F11435">
        <f t="shared" si="178"/>
        <v>2.4</v>
      </c>
    </row>
    <row r="11436" spans="1:6" x14ac:dyDescent="0.3">
      <c r="A11436" t="s">
        <v>1874</v>
      </c>
      <c r="B11436" t="s">
        <v>2133</v>
      </c>
      <c r="C11436">
        <v>2.5</v>
      </c>
      <c r="D11436">
        <v>88</v>
      </c>
      <c r="E11436">
        <f>IF(OR(B11436="vi",B11436="ii",B11436="pod"),(((D11436/100)*(C11436*VLOOKUP(B11436,'Poids des runes'!A:B,2,FALSE)))+1),(((D11436/100)*(C11436*VLOOKUP(B11436,'Poids des runes'!A:B,2,FALSE)))+1)/VLOOKUP(B11436,'Poids des runes'!A:B,2,FALSE))</f>
        <v>2.4</v>
      </c>
      <c r="F11436">
        <f t="shared" si="178"/>
        <v>2.4</v>
      </c>
    </row>
    <row r="11437" spans="1:6" x14ac:dyDescent="0.3">
      <c r="A11437" t="s">
        <v>1874</v>
      </c>
      <c r="B11437" t="s">
        <v>2161</v>
      </c>
      <c r="C11437">
        <v>8.5</v>
      </c>
      <c r="D11437">
        <v>88</v>
      </c>
      <c r="E11437">
        <f>IF(OR(B11437="vi",B11437="ii",B11437="pod"),(((D11437/100)*(C11437*VLOOKUP(B11437,'Poids des runes'!A:B,2,FALSE)))+1),(((D11437/100)*(C11437*VLOOKUP(B11437,'Poids des runes'!A:B,2,FALSE)))+1)/VLOOKUP(B11437,'Poids des runes'!A:B,2,FALSE))</f>
        <v>7.8133333333333335</v>
      </c>
      <c r="F11437">
        <f t="shared" si="178"/>
        <v>7.8133333333333335</v>
      </c>
    </row>
    <row r="11438" spans="1:6" x14ac:dyDescent="0.3">
      <c r="A11438" t="s">
        <v>1875</v>
      </c>
      <c r="B11438" t="s">
        <v>2128</v>
      </c>
      <c r="C11438">
        <v>85.5</v>
      </c>
      <c r="D11438">
        <v>88</v>
      </c>
      <c r="E11438">
        <f>IF(OR(B11438="vi",B11438="ii",B11438="pod"),(((D11438/100)*(C11438*VLOOKUP(B11438,'Poids des runes'!A:B,2,FALSE)))+1),(((D11438/100)*(C11438*VLOOKUP(B11438,'Poids des runes'!A:B,2,FALSE)))+1)/VLOOKUP(B11438,'Poids des runes'!A:B,2,FALSE))</f>
        <v>16.048000000000002</v>
      </c>
      <c r="F11438">
        <f t="shared" si="178"/>
        <v>16.048000000000002</v>
      </c>
    </row>
    <row r="11439" spans="1:6" x14ac:dyDescent="0.3">
      <c r="A11439" t="s">
        <v>1875</v>
      </c>
      <c r="B11439" t="s">
        <v>2131</v>
      </c>
      <c r="C11439">
        <v>45.5</v>
      </c>
      <c r="D11439">
        <v>88</v>
      </c>
      <c r="E11439">
        <f>IF(OR(B11439="vi",B11439="ii",B11439="pod"),(((D11439/100)*(C11439*VLOOKUP(B11439,'Poids des runes'!A:B,2,FALSE)))+1),(((D11439/100)*(C11439*VLOOKUP(B11439,'Poids des runes'!A:B,2,FALSE)))+1)/VLOOKUP(B11439,'Poids des runes'!A:B,2,FALSE))</f>
        <v>41.04</v>
      </c>
      <c r="F11439">
        <f t="shared" si="178"/>
        <v>41.04</v>
      </c>
    </row>
    <row r="11440" spans="1:6" x14ac:dyDescent="0.3">
      <c r="A11440" t="s">
        <v>1875</v>
      </c>
      <c r="B11440" t="s">
        <v>2127</v>
      </c>
      <c r="C11440">
        <v>45.5</v>
      </c>
      <c r="D11440">
        <v>88</v>
      </c>
      <c r="E11440">
        <f>IF(OR(B11440="vi",B11440="ii",B11440="pod"),(((D11440/100)*(C11440*VLOOKUP(B11440,'Poids des runes'!A:B,2,FALSE)))+1),(((D11440/100)*(C11440*VLOOKUP(B11440,'Poids des runes'!A:B,2,FALSE)))+1)/VLOOKUP(B11440,'Poids des runes'!A:B,2,FALSE))</f>
        <v>41.04</v>
      </c>
      <c r="F11440">
        <f t="shared" si="178"/>
        <v>41.04</v>
      </c>
    </row>
    <row r="11441" spans="1:6" x14ac:dyDescent="0.3">
      <c r="A11441" t="s">
        <v>1875</v>
      </c>
      <c r="B11441" t="s">
        <v>2155</v>
      </c>
      <c r="C11441">
        <v>1</v>
      </c>
      <c r="D11441">
        <v>88</v>
      </c>
      <c r="E11441">
        <f>IF(OR(B11441="vi",B11441="ii",B11441="pod"),(((D11441/100)*(C11441*VLOOKUP(B11441,'Poids des runes'!A:B,2,FALSE)))+1),(((D11441/100)*(C11441*VLOOKUP(B11441,'Poids des runes'!A:B,2,FALSE)))+1)/VLOOKUP(B11441,'Poids des runes'!A:B,2,FALSE))</f>
        <v>0.89960784313725495</v>
      </c>
      <c r="F11441">
        <f t="shared" si="178"/>
        <v>0.89960784313725495</v>
      </c>
    </row>
    <row r="11442" spans="1:6" x14ac:dyDescent="0.3">
      <c r="A11442" t="s">
        <v>1875</v>
      </c>
      <c r="B11442" t="s">
        <v>2150</v>
      </c>
      <c r="C11442">
        <v>1</v>
      </c>
      <c r="D11442">
        <v>88</v>
      </c>
      <c r="E11442">
        <f>IF(OR(B11442="vi",B11442="ii",B11442="pod"),(((D11442/100)*(C11442*VLOOKUP(B11442,'Poids des runes'!A:B,2,FALSE)))+1),(((D11442/100)*(C11442*VLOOKUP(B11442,'Poids des runes'!A:B,2,FALSE)))+1)/VLOOKUP(B11442,'Poids des runes'!A:B,2,FALSE))</f>
        <v>0.91333333333333333</v>
      </c>
      <c r="F11442">
        <f t="shared" si="178"/>
        <v>0.91333333333333333</v>
      </c>
    </row>
    <row r="11443" spans="1:6" x14ac:dyDescent="0.3">
      <c r="A11443" t="s">
        <v>1875</v>
      </c>
      <c r="B11443" t="s">
        <v>2161</v>
      </c>
      <c r="C11443">
        <v>8.5</v>
      </c>
      <c r="D11443">
        <v>88</v>
      </c>
      <c r="E11443">
        <f>IF(OR(B11443="vi",B11443="ii",B11443="pod"),(((D11443/100)*(C11443*VLOOKUP(B11443,'Poids des runes'!A:B,2,FALSE)))+1),(((D11443/100)*(C11443*VLOOKUP(B11443,'Poids des runes'!A:B,2,FALSE)))+1)/VLOOKUP(B11443,'Poids des runes'!A:B,2,FALSE))</f>
        <v>7.8133333333333335</v>
      </c>
      <c r="F11443">
        <f t="shared" si="178"/>
        <v>7.8133333333333335</v>
      </c>
    </row>
    <row r="11444" spans="1:6" x14ac:dyDescent="0.3">
      <c r="A11444" t="s">
        <v>1876</v>
      </c>
      <c r="B11444" t="s">
        <v>2128</v>
      </c>
      <c r="C11444">
        <v>85.5</v>
      </c>
      <c r="D11444">
        <v>88</v>
      </c>
      <c r="E11444">
        <f>IF(OR(B11444="vi",B11444="ii",B11444="pod"),(((D11444/100)*(C11444*VLOOKUP(B11444,'Poids des runes'!A:B,2,FALSE)))+1),(((D11444/100)*(C11444*VLOOKUP(B11444,'Poids des runes'!A:B,2,FALSE)))+1)/VLOOKUP(B11444,'Poids des runes'!A:B,2,FALSE))</f>
        <v>16.048000000000002</v>
      </c>
      <c r="F11444">
        <f t="shared" si="178"/>
        <v>16.048000000000002</v>
      </c>
    </row>
    <row r="11445" spans="1:6" x14ac:dyDescent="0.3">
      <c r="A11445" t="s">
        <v>1876</v>
      </c>
      <c r="B11445" t="s">
        <v>2126</v>
      </c>
      <c r="C11445">
        <v>50.5</v>
      </c>
      <c r="D11445">
        <v>88</v>
      </c>
      <c r="E11445">
        <f>IF(OR(B11445="vi",B11445="ii",B11445="pod"),(((D11445/100)*(C11445*VLOOKUP(B11445,'Poids des runes'!A:B,2,FALSE)))+1),(((D11445/100)*(C11445*VLOOKUP(B11445,'Poids des runes'!A:B,2,FALSE)))+1)/VLOOKUP(B11445,'Poids des runes'!A:B,2,FALSE))</f>
        <v>45.44</v>
      </c>
      <c r="F11445">
        <f t="shared" si="178"/>
        <v>45.44</v>
      </c>
    </row>
    <row r="11446" spans="1:6" x14ac:dyDescent="0.3">
      <c r="A11446" t="s">
        <v>1876</v>
      </c>
      <c r="B11446" t="s">
        <v>2129</v>
      </c>
      <c r="C11446">
        <v>23</v>
      </c>
      <c r="D11446">
        <v>88</v>
      </c>
      <c r="E11446">
        <f>IF(OR(B11446="vi",B11446="ii",B11446="pod"),(((D11446/100)*(C11446*VLOOKUP(B11446,'Poids des runes'!A:B,2,FALSE)))+1),(((D11446/100)*(C11446*VLOOKUP(B11446,'Poids des runes'!A:B,2,FALSE)))+1)/VLOOKUP(B11446,'Poids des runes'!A:B,2,FALSE))</f>
        <v>21.24</v>
      </c>
      <c r="F11446">
        <f t="shared" si="178"/>
        <v>21.24</v>
      </c>
    </row>
    <row r="11447" spans="1:6" x14ac:dyDescent="0.3">
      <c r="A11447" t="s">
        <v>1876</v>
      </c>
      <c r="B11447" t="s">
        <v>2140</v>
      </c>
      <c r="C11447">
        <v>3.5</v>
      </c>
      <c r="D11447">
        <v>88</v>
      </c>
      <c r="E11447">
        <f>IF(OR(B11447="vi",B11447="ii",B11447="pod"),(((D11447/100)*(C11447*VLOOKUP(B11447,'Poids des runes'!A:B,2,FALSE)))+1),(((D11447/100)*(C11447*VLOOKUP(B11447,'Poids des runes'!A:B,2,FALSE)))+1)/VLOOKUP(B11447,'Poids des runes'!A:B,2,FALSE))</f>
        <v>3.28</v>
      </c>
      <c r="F11447">
        <f t="shared" si="178"/>
        <v>3.28</v>
      </c>
    </row>
    <row r="11448" spans="1:6" x14ac:dyDescent="0.3">
      <c r="A11448" t="s">
        <v>1876</v>
      </c>
      <c r="B11448" t="s">
        <v>2149</v>
      </c>
      <c r="C11448">
        <v>18</v>
      </c>
      <c r="D11448">
        <v>88</v>
      </c>
      <c r="E11448">
        <f>IF(OR(B11448="vi",B11448="ii",B11448="pod"),(((D11448/100)*(C11448*VLOOKUP(B11448,'Poids des runes'!A:B,2,FALSE)))+1),(((D11448/100)*(C11448*VLOOKUP(B11448,'Poids des runes'!A:B,2,FALSE)))+1)/VLOOKUP(B11448,'Poids des runes'!A:B,2,FALSE))</f>
        <v>15.940000000000001</v>
      </c>
      <c r="F11448">
        <f t="shared" si="178"/>
        <v>15.940000000000001</v>
      </c>
    </row>
    <row r="11449" spans="1:6" x14ac:dyDescent="0.3">
      <c r="A11449" t="s">
        <v>1876</v>
      </c>
      <c r="B11449" t="s">
        <v>2159</v>
      </c>
      <c r="C11449">
        <v>4</v>
      </c>
      <c r="D11449">
        <v>88</v>
      </c>
      <c r="E11449">
        <f>IF(OR(B11449="vi",B11449="ii",B11449="pod"),(((D11449/100)*(C11449*VLOOKUP(B11449,'Poids des runes'!A:B,2,FALSE)))+1),(((D11449/100)*(C11449*VLOOKUP(B11449,'Poids des runes'!A:B,2,FALSE)))+1)/VLOOKUP(B11449,'Poids des runes'!A:B,2,FALSE))</f>
        <v>3.6628571428571428</v>
      </c>
      <c r="F11449">
        <f t="shared" si="178"/>
        <v>3.6628571428571428</v>
      </c>
    </row>
    <row r="11450" spans="1:6" x14ac:dyDescent="0.3">
      <c r="A11450" t="s">
        <v>1877</v>
      </c>
      <c r="B11450" t="s">
        <v>2128</v>
      </c>
      <c r="C11450">
        <v>125.5</v>
      </c>
      <c r="D11450">
        <v>88</v>
      </c>
      <c r="E11450">
        <f>IF(OR(B11450="vi",B11450="ii",B11450="pod"),(((D11450/100)*(C11450*VLOOKUP(B11450,'Poids des runes'!A:B,2,FALSE)))+1),(((D11450/100)*(C11450*VLOOKUP(B11450,'Poids des runes'!A:B,2,FALSE)))+1)/VLOOKUP(B11450,'Poids des runes'!A:B,2,FALSE))</f>
        <v>23.088000000000001</v>
      </c>
      <c r="F11450">
        <f t="shared" si="178"/>
        <v>23.088000000000001</v>
      </c>
    </row>
    <row r="11451" spans="1:6" x14ac:dyDescent="0.3">
      <c r="A11451" t="s">
        <v>1877</v>
      </c>
      <c r="B11451" t="s">
        <v>2130</v>
      </c>
      <c r="C11451">
        <v>25.5</v>
      </c>
      <c r="D11451">
        <v>88</v>
      </c>
      <c r="E11451">
        <f>IF(OR(B11451="vi",B11451="ii",B11451="pod"),(((D11451/100)*(C11451*VLOOKUP(B11451,'Poids des runes'!A:B,2,FALSE)))+1),(((D11451/100)*(C11451*VLOOKUP(B11451,'Poids des runes'!A:B,2,FALSE)))+1)/VLOOKUP(B11451,'Poids des runes'!A:B,2,FALSE))</f>
        <v>23.44</v>
      </c>
      <c r="F11451">
        <f t="shared" si="178"/>
        <v>23.44</v>
      </c>
    </row>
    <row r="11452" spans="1:6" x14ac:dyDescent="0.3">
      <c r="A11452" t="s">
        <v>1877</v>
      </c>
      <c r="B11452" t="s">
        <v>2129</v>
      </c>
      <c r="C11452">
        <v>13</v>
      </c>
      <c r="D11452">
        <v>88</v>
      </c>
      <c r="E11452">
        <f>IF(OR(B11452="vi",B11452="ii",B11452="pod"),(((D11452/100)*(C11452*VLOOKUP(B11452,'Poids des runes'!A:B,2,FALSE)))+1),(((D11452/100)*(C11452*VLOOKUP(B11452,'Poids des runes'!A:B,2,FALSE)))+1)/VLOOKUP(B11452,'Poids des runes'!A:B,2,FALSE))</f>
        <v>12.44</v>
      </c>
      <c r="F11452">
        <f t="shared" si="178"/>
        <v>12.44</v>
      </c>
    </row>
    <row r="11453" spans="1:6" x14ac:dyDescent="0.3">
      <c r="A11453" t="s">
        <v>1877</v>
      </c>
      <c r="B11453" t="s">
        <v>2143</v>
      </c>
      <c r="C11453">
        <v>5</v>
      </c>
      <c r="D11453">
        <v>88</v>
      </c>
      <c r="E11453">
        <f>IF(OR(B11453="vi",B11453="ii",B11453="pod"),(((D11453/100)*(C11453*VLOOKUP(B11453,'Poids des runes'!A:B,2,FALSE)))+1),(((D11453/100)*(C11453*VLOOKUP(B11453,'Poids des runes'!A:B,2,FALSE)))+1)/VLOOKUP(B11453,'Poids des runes'!A:B,2,FALSE))</f>
        <v>4.5999999999999996</v>
      </c>
      <c r="F11453">
        <f t="shared" si="178"/>
        <v>4.5999999999999996</v>
      </c>
    </row>
    <row r="11454" spans="1:6" x14ac:dyDescent="0.3">
      <c r="A11454" t="s">
        <v>1877</v>
      </c>
      <c r="B11454" t="s">
        <v>2162</v>
      </c>
      <c r="C11454">
        <v>2.5</v>
      </c>
      <c r="D11454">
        <v>88</v>
      </c>
      <c r="E11454">
        <f>IF(OR(B11454="vi",B11454="ii",B11454="pod"),(((D11454/100)*(C11454*VLOOKUP(B11454,'Poids des runes'!A:B,2,FALSE)))+1),(((D11454/100)*(C11454*VLOOKUP(B11454,'Poids des runes'!A:B,2,FALSE)))+1)/VLOOKUP(B11454,'Poids des runes'!A:B,2,FALSE))</f>
        <v>2.3428571428571425</v>
      </c>
      <c r="F11454">
        <f t="shared" si="178"/>
        <v>2.3428571428571425</v>
      </c>
    </row>
    <row r="11455" spans="1:6" x14ac:dyDescent="0.3">
      <c r="A11455" t="s">
        <v>1877</v>
      </c>
      <c r="B11455" t="s">
        <v>2156</v>
      </c>
      <c r="C11455">
        <v>3.5</v>
      </c>
      <c r="D11455">
        <v>88</v>
      </c>
      <c r="E11455">
        <f>IF(OR(B11455="vi",B11455="ii",B11455="pod"),(((D11455/100)*(C11455*VLOOKUP(B11455,'Poids des runes'!A:B,2,FALSE)))+1),(((D11455/100)*(C11455*VLOOKUP(B11455,'Poids des runes'!A:B,2,FALSE)))+1)/VLOOKUP(B11455,'Poids des runes'!A:B,2,FALSE))</f>
        <v>3.2466666666666666</v>
      </c>
      <c r="F11455">
        <f t="shared" si="178"/>
        <v>3.2466666666666666</v>
      </c>
    </row>
    <row r="11456" spans="1:6" x14ac:dyDescent="0.3">
      <c r="A11456" t="s">
        <v>1877</v>
      </c>
      <c r="B11456" t="s">
        <v>2157</v>
      </c>
      <c r="C11456">
        <v>3.5</v>
      </c>
      <c r="D11456">
        <v>88</v>
      </c>
      <c r="E11456">
        <f>IF(OR(B11456="vi",B11456="ii",B11456="pod"),(((D11456/100)*(C11456*VLOOKUP(B11456,'Poids des runes'!A:B,2,FALSE)))+1),(((D11456/100)*(C11456*VLOOKUP(B11456,'Poids des runes'!A:B,2,FALSE)))+1)/VLOOKUP(B11456,'Poids des runes'!A:B,2,FALSE))</f>
        <v>3.2466666666666666</v>
      </c>
      <c r="F11456">
        <f t="shared" si="178"/>
        <v>3.2466666666666666</v>
      </c>
    </row>
    <row r="11457" spans="1:6" x14ac:dyDescent="0.3">
      <c r="A11457" t="s">
        <v>1877</v>
      </c>
      <c r="B11457" t="s">
        <v>2144</v>
      </c>
      <c r="C11457">
        <v>7</v>
      </c>
      <c r="D11457">
        <v>88</v>
      </c>
      <c r="E11457">
        <f>IF(OR(B11457="vi",B11457="ii",B11457="pod"),(((D11457/100)*(C11457*VLOOKUP(B11457,'Poids des runes'!A:B,2,FALSE)))+1),(((D11457/100)*(C11457*VLOOKUP(B11457,'Poids des runes'!A:B,2,FALSE)))+1)/VLOOKUP(B11457,'Poids des runes'!A:B,2,FALSE))</f>
        <v>6.66</v>
      </c>
      <c r="F11457">
        <f t="shared" si="178"/>
        <v>6.66</v>
      </c>
    </row>
    <row r="11458" spans="1:6" x14ac:dyDescent="0.3">
      <c r="A11458" t="s">
        <v>1877</v>
      </c>
      <c r="B11458" t="s">
        <v>2145</v>
      </c>
      <c r="C11458">
        <v>7</v>
      </c>
      <c r="D11458">
        <v>88</v>
      </c>
      <c r="E11458">
        <f>IF(OR(B11458="vi",B11458="ii",B11458="pod"),(((D11458/100)*(C11458*VLOOKUP(B11458,'Poids des runes'!A:B,2,FALSE)))+1),(((D11458/100)*(C11458*VLOOKUP(B11458,'Poids des runes'!A:B,2,FALSE)))+1)/VLOOKUP(B11458,'Poids des runes'!A:B,2,FALSE))</f>
        <v>6.66</v>
      </c>
      <c r="F11458">
        <f t="shared" si="178"/>
        <v>6.66</v>
      </c>
    </row>
    <row r="11459" spans="1:6" x14ac:dyDescent="0.3">
      <c r="A11459" t="s">
        <v>1878</v>
      </c>
      <c r="B11459" t="s">
        <v>2128</v>
      </c>
      <c r="C11459">
        <v>100.5</v>
      </c>
      <c r="D11459">
        <v>89</v>
      </c>
      <c r="E11459">
        <f>IF(OR(B11459="vi",B11459="ii",B11459="pod"),(((D11459/100)*(C11459*VLOOKUP(B11459,'Poids des runes'!A:B,2,FALSE)))+1),(((D11459/100)*(C11459*VLOOKUP(B11459,'Poids des runes'!A:B,2,FALSE)))+1)/VLOOKUP(B11459,'Poids des runes'!A:B,2,FALSE))</f>
        <v>18.889000000000003</v>
      </c>
      <c r="F11459">
        <f t="shared" ref="F11459:F11522" si="179">E11459</f>
        <v>18.889000000000003</v>
      </c>
    </row>
    <row r="11460" spans="1:6" x14ac:dyDescent="0.3">
      <c r="A11460" t="s">
        <v>1878</v>
      </c>
      <c r="B11460" t="s">
        <v>2130</v>
      </c>
      <c r="C11460">
        <v>50.5</v>
      </c>
      <c r="D11460">
        <v>89</v>
      </c>
      <c r="E11460">
        <f>IF(OR(B11460="vi",B11460="ii",B11460="pod"),(((D11460/100)*(C11460*VLOOKUP(B11460,'Poids des runes'!A:B,2,FALSE)))+1),(((D11460/100)*(C11460*VLOOKUP(B11460,'Poids des runes'!A:B,2,FALSE)))+1)/VLOOKUP(B11460,'Poids des runes'!A:B,2,FALSE))</f>
        <v>45.945</v>
      </c>
      <c r="F11460">
        <f t="shared" si="179"/>
        <v>45.945</v>
      </c>
    </row>
    <row r="11461" spans="1:6" x14ac:dyDescent="0.3">
      <c r="A11461" t="s">
        <v>1878</v>
      </c>
      <c r="B11461" t="s">
        <v>2150</v>
      </c>
      <c r="C11461">
        <v>1</v>
      </c>
      <c r="D11461">
        <v>89</v>
      </c>
      <c r="E11461">
        <f>IF(OR(B11461="vi",B11461="ii",B11461="pod"),(((D11461/100)*(C11461*VLOOKUP(B11461,'Poids des runes'!A:B,2,FALSE)))+1),(((D11461/100)*(C11461*VLOOKUP(B11461,'Poids des runes'!A:B,2,FALSE)))+1)/VLOOKUP(B11461,'Poids des runes'!A:B,2,FALSE))</f>
        <v>0.92333333333333334</v>
      </c>
      <c r="F11461">
        <f t="shared" si="179"/>
        <v>0.92333333333333334</v>
      </c>
    </row>
    <row r="11462" spans="1:6" x14ac:dyDescent="0.3">
      <c r="A11462" t="s">
        <v>1878</v>
      </c>
      <c r="B11462" t="s">
        <v>2134</v>
      </c>
      <c r="C11462">
        <v>4.5</v>
      </c>
      <c r="D11462">
        <v>89</v>
      </c>
      <c r="E11462">
        <f>IF(OR(B11462="vi",B11462="ii",B11462="pod"),(((D11462/100)*(C11462*VLOOKUP(B11462,'Poids des runes'!A:B,2,FALSE)))+1),(((D11462/100)*(C11462*VLOOKUP(B11462,'Poids des runes'!A:B,2,FALSE)))+1)/VLOOKUP(B11462,'Poids des runes'!A:B,2,FALSE))</f>
        <v>4.0549999999999997</v>
      </c>
      <c r="F11462">
        <f t="shared" si="179"/>
        <v>4.0549999999999997</v>
      </c>
    </row>
    <row r="11463" spans="1:6" x14ac:dyDescent="0.3">
      <c r="A11463" t="s">
        <v>1878</v>
      </c>
      <c r="B11463" t="s">
        <v>2165</v>
      </c>
      <c r="C11463">
        <v>6</v>
      </c>
      <c r="D11463">
        <v>89</v>
      </c>
      <c r="E11463">
        <f>IF(OR(B11463="vi",B11463="ii",B11463="pod"),(((D11463/100)*(C11463*VLOOKUP(B11463,'Poids des runes'!A:B,2,FALSE)))+1),(((D11463/100)*(C11463*VLOOKUP(B11463,'Poids des runes'!A:B,2,FALSE)))+1)/VLOOKUP(B11463,'Poids des runes'!A:B,2,FALSE))</f>
        <v>5.4828571428571431</v>
      </c>
      <c r="F11463">
        <f t="shared" si="179"/>
        <v>5.4828571428571431</v>
      </c>
    </row>
    <row r="11464" spans="1:6" x14ac:dyDescent="0.3">
      <c r="A11464" t="s">
        <v>1878</v>
      </c>
      <c r="B11464" t="s">
        <v>2163</v>
      </c>
      <c r="C11464">
        <v>8.5</v>
      </c>
      <c r="D11464">
        <v>89</v>
      </c>
      <c r="E11464">
        <f>IF(OR(B11464="vi",B11464="ii",B11464="pod"),(((D11464/100)*(C11464*VLOOKUP(B11464,'Poids des runes'!A:B,2,FALSE)))+1),(((D11464/100)*(C11464*VLOOKUP(B11464,'Poids des runes'!A:B,2,FALSE)))+1)/VLOOKUP(B11464,'Poids des runes'!A:B,2,FALSE))</f>
        <v>8.0650000000000013</v>
      </c>
      <c r="F11464">
        <f t="shared" si="179"/>
        <v>8.0650000000000013</v>
      </c>
    </row>
    <row r="11465" spans="1:6" x14ac:dyDescent="0.3">
      <c r="A11465" t="s">
        <v>1878</v>
      </c>
      <c r="B11465" t="s">
        <v>2164</v>
      </c>
      <c r="C11465">
        <v>8.5</v>
      </c>
      <c r="D11465">
        <v>89</v>
      </c>
      <c r="E11465">
        <f>IF(OR(B11465="vi",B11465="ii",B11465="pod"),(((D11465/100)*(C11465*VLOOKUP(B11465,'Poids des runes'!A:B,2,FALSE)))+1),(((D11465/100)*(C11465*VLOOKUP(B11465,'Poids des runes'!A:B,2,FALSE)))+1)/VLOOKUP(B11465,'Poids des runes'!A:B,2,FALSE))</f>
        <v>8.0650000000000013</v>
      </c>
      <c r="F11465">
        <f t="shared" si="179"/>
        <v>8.0650000000000013</v>
      </c>
    </row>
    <row r="11466" spans="1:6" x14ac:dyDescent="0.3">
      <c r="A11466" t="s">
        <v>1879</v>
      </c>
      <c r="B11466" t="s">
        <v>2128</v>
      </c>
      <c r="C11466">
        <v>35.5</v>
      </c>
      <c r="D11466">
        <v>89</v>
      </c>
      <c r="E11466">
        <f>IF(OR(B11466="vi",B11466="ii",B11466="pod"),(((D11466/100)*(C11466*VLOOKUP(B11466,'Poids des runes'!A:B,2,FALSE)))+1),(((D11466/100)*(C11466*VLOOKUP(B11466,'Poids des runes'!A:B,2,FALSE)))+1)/VLOOKUP(B11466,'Poids des runes'!A:B,2,FALSE))</f>
        <v>7.3190000000000008</v>
      </c>
      <c r="F11466">
        <f t="shared" si="179"/>
        <v>7.3190000000000008</v>
      </c>
    </row>
    <row r="11467" spans="1:6" x14ac:dyDescent="0.3">
      <c r="A11467" t="s">
        <v>1879</v>
      </c>
      <c r="B11467" t="s">
        <v>2130</v>
      </c>
      <c r="C11467">
        <v>35.5</v>
      </c>
      <c r="D11467">
        <v>89</v>
      </c>
      <c r="E11467">
        <f>IF(OR(B11467="vi",B11467="ii",B11467="pod"),(((D11467/100)*(C11467*VLOOKUP(B11467,'Poids des runes'!A:B,2,FALSE)))+1),(((D11467/100)*(C11467*VLOOKUP(B11467,'Poids des runes'!A:B,2,FALSE)))+1)/VLOOKUP(B11467,'Poids des runes'!A:B,2,FALSE))</f>
        <v>32.594999999999999</v>
      </c>
      <c r="F11467">
        <f t="shared" si="179"/>
        <v>32.594999999999999</v>
      </c>
    </row>
    <row r="11468" spans="1:6" x14ac:dyDescent="0.3">
      <c r="A11468" t="s">
        <v>1879</v>
      </c>
      <c r="B11468" t="s">
        <v>2127</v>
      </c>
      <c r="C11468">
        <v>35.5</v>
      </c>
      <c r="D11468">
        <v>89</v>
      </c>
      <c r="E11468">
        <f>IF(OR(B11468="vi",B11468="ii",B11468="pod"),(((D11468/100)*(C11468*VLOOKUP(B11468,'Poids des runes'!A:B,2,FALSE)))+1),(((D11468/100)*(C11468*VLOOKUP(B11468,'Poids des runes'!A:B,2,FALSE)))+1)/VLOOKUP(B11468,'Poids des runes'!A:B,2,FALSE))</f>
        <v>32.594999999999999</v>
      </c>
      <c r="F11468">
        <f t="shared" si="179"/>
        <v>32.594999999999999</v>
      </c>
    </row>
    <row r="11469" spans="1:6" x14ac:dyDescent="0.3">
      <c r="A11469" t="s">
        <v>1879</v>
      </c>
      <c r="B11469" t="s">
        <v>2129</v>
      </c>
      <c r="C11469">
        <v>13</v>
      </c>
      <c r="D11469">
        <v>89</v>
      </c>
      <c r="E11469">
        <f>IF(OR(B11469="vi",B11469="ii",B11469="pod"),(((D11469/100)*(C11469*VLOOKUP(B11469,'Poids des runes'!A:B,2,FALSE)))+1),(((D11469/100)*(C11469*VLOOKUP(B11469,'Poids des runes'!A:B,2,FALSE)))+1)/VLOOKUP(B11469,'Poids des runes'!A:B,2,FALSE))</f>
        <v>12.57</v>
      </c>
      <c r="F11469">
        <f t="shared" si="179"/>
        <v>12.57</v>
      </c>
    </row>
    <row r="11470" spans="1:6" x14ac:dyDescent="0.3">
      <c r="A11470" t="s">
        <v>1879</v>
      </c>
      <c r="B11470" t="s">
        <v>2139</v>
      </c>
      <c r="C11470">
        <v>18</v>
      </c>
      <c r="D11470">
        <v>89</v>
      </c>
      <c r="E11470">
        <f>IF(OR(B11470="vi",B11470="ii",B11470="pod"),(((D11470/100)*(C11470*VLOOKUP(B11470,'Poids des runes'!A:B,2,FALSE)))+1),(((D11470/100)*(C11470*VLOOKUP(B11470,'Poids des runes'!A:B,2,FALSE)))+1)/VLOOKUP(B11470,'Poids des runes'!A:B,2,FALSE))</f>
        <v>16.52</v>
      </c>
      <c r="F11470">
        <f t="shared" si="179"/>
        <v>16.52</v>
      </c>
    </row>
    <row r="11471" spans="1:6" x14ac:dyDescent="0.3">
      <c r="A11471" t="s">
        <v>1879</v>
      </c>
      <c r="B11471" t="s">
        <v>2155</v>
      </c>
      <c r="C11471">
        <v>1</v>
      </c>
      <c r="D11471">
        <v>89</v>
      </c>
      <c r="E11471">
        <f>IF(OR(B11471="vi",B11471="ii",B11471="pod"),(((D11471/100)*(C11471*VLOOKUP(B11471,'Poids des runes'!A:B,2,FALSE)))+1),(((D11471/100)*(C11471*VLOOKUP(B11471,'Poids des runes'!A:B,2,FALSE)))+1)/VLOOKUP(B11471,'Poids des runes'!A:B,2,FALSE))</f>
        <v>0.90960784313725496</v>
      </c>
      <c r="F11471">
        <f t="shared" si="179"/>
        <v>0.90960784313725496</v>
      </c>
    </row>
    <row r="11472" spans="1:6" x14ac:dyDescent="0.3">
      <c r="A11472" t="s">
        <v>1879</v>
      </c>
      <c r="B11472" t="s">
        <v>2153</v>
      </c>
      <c r="C11472">
        <v>8.5</v>
      </c>
      <c r="D11472">
        <v>89</v>
      </c>
      <c r="E11472">
        <f>IF(OR(B11472="vi",B11472="ii",B11472="pod"),(((D11472/100)*(C11472*VLOOKUP(B11472,'Poids des runes'!A:B,2,FALSE)))+1),(((D11472/100)*(C11472*VLOOKUP(B11472,'Poids des runes'!A:B,2,FALSE)))+1)/VLOOKUP(B11472,'Poids des runes'!A:B,2,FALSE))</f>
        <v>7.7650000000000006</v>
      </c>
      <c r="F11472">
        <f t="shared" si="179"/>
        <v>7.7650000000000006</v>
      </c>
    </row>
    <row r="11473" spans="1:6" x14ac:dyDescent="0.3">
      <c r="A11473" t="s">
        <v>1880</v>
      </c>
      <c r="B11473" t="s">
        <v>2128</v>
      </c>
      <c r="C11473">
        <v>50.5</v>
      </c>
      <c r="D11473">
        <v>90</v>
      </c>
      <c r="E11473">
        <f>IF(OR(B11473="vi",B11473="ii",B11473="pod"),(((D11473/100)*(C11473*VLOOKUP(B11473,'Poids des runes'!A:B,2,FALSE)))+1),(((D11473/100)*(C11473*VLOOKUP(B11473,'Poids des runes'!A:B,2,FALSE)))+1)/VLOOKUP(B11473,'Poids des runes'!A:B,2,FALSE))</f>
        <v>10.090000000000002</v>
      </c>
      <c r="F11473">
        <f t="shared" si="179"/>
        <v>10.090000000000002</v>
      </c>
    </row>
    <row r="11474" spans="1:6" x14ac:dyDescent="0.3">
      <c r="A11474" t="s">
        <v>1880</v>
      </c>
      <c r="B11474" t="s">
        <v>2127</v>
      </c>
      <c r="C11474">
        <v>50.5</v>
      </c>
      <c r="D11474">
        <v>90</v>
      </c>
      <c r="E11474">
        <f>IF(OR(B11474="vi",B11474="ii",B11474="pod"),(((D11474/100)*(C11474*VLOOKUP(B11474,'Poids des runes'!A:B,2,FALSE)))+1),(((D11474/100)*(C11474*VLOOKUP(B11474,'Poids des runes'!A:B,2,FALSE)))+1)/VLOOKUP(B11474,'Poids des runes'!A:B,2,FALSE))</f>
        <v>46.45</v>
      </c>
      <c r="F11474">
        <f t="shared" si="179"/>
        <v>46.45</v>
      </c>
    </row>
    <row r="11475" spans="1:6" x14ac:dyDescent="0.3">
      <c r="A11475" t="s">
        <v>1880</v>
      </c>
      <c r="B11475" t="s">
        <v>2129</v>
      </c>
      <c r="C11475">
        <v>23</v>
      </c>
      <c r="D11475">
        <v>90</v>
      </c>
      <c r="E11475">
        <f>IF(OR(B11475="vi",B11475="ii",B11475="pod"),(((D11475/100)*(C11475*VLOOKUP(B11475,'Poids des runes'!A:B,2,FALSE)))+1),(((D11475/100)*(C11475*VLOOKUP(B11475,'Poids des runes'!A:B,2,FALSE)))+1)/VLOOKUP(B11475,'Poids des runes'!A:B,2,FALSE))</f>
        <v>21.7</v>
      </c>
      <c r="F11475">
        <f t="shared" si="179"/>
        <v>21.7</v>
      </c>
    </row>
    <row r="11476" spans="1:6" x14ac:dyDescent="0.3">
      <c r="A11476" t="s">
        <v>1880</v>
      </c>
      <c r="B11476" t="s">
        <v>2155</v>
      </c>
      <c r="C11476">
        <v>1</v>
      </c>
      <c r="D11476">
        <v>90</v>
      </c>
      <c r="E11476">
        <f>IF(OR(B11476="vi",B11476="ii",B11476="pod"),(((D11476/100)*(C11476*VLOOKUP(B11476,'Poids des runes'!A:B,2,FALSE)))+1),(((D11476/100)*(C11476*VLOOKUP(B11476,'Poids des runes'!A:B,2,FALSE)))+1)/VLOOKUP(B11476,'Poids des runes'!A:B,2,FALSE))</f>
        <v>0.91960784313725485</v>
      </c>
      <c r="F11476">
        <f t="shared" si="179"/>
        <v>0.91960784313725485</v>
      </c>
    </row>
    <row r="11477" spans="1:6" x14ac:dyDescent="0.3">
      <c r="A11477" t="s">
        <v>1880</v>
      </c>
      <c r="B11477" t="s">
        <v>2132</v>
      </c>
      <c r="C11477">
        <v>375.5</v>
      </c>
      <c r="D11477">
        <v>90</v>
      </c>
      <c r="E11477">
        <f>IF(OR(B11477="vi",B11477="ii",B11477="pod"),(((D11477/100)*(C11477*VLOOKUP(B11477,'Poids des runes'!A:B,2,FALSE)))+1),(((D11477/100)*(C11477*VLOOKUP(B11477,'Poids des runes'!A:B,2,FALSE)))+1)/VLOOKUP(B11477,'Poids des runes'!A:B,2,FALSE))</f>
        <v>34.795000000000002</v>
      </c>
      <c r="F11477">
        <f t="shared" si="179"/>
        <v>34.795000000000002</v>
      </c>
    </row>
    <row r="11478" spans="1:6" x14ac:dyDescent="0.3">
      <c r="A11478" t="s">
        <v>1880</v>
      </c>
      <c r="B11478" t="s">
        <v>2156</v>
      </c>
      <c r="C11478">
        <v>4.5</v>
      </c>
      <c r="D11478">
        <v>90</v>
      </c>
      <c r="E11478">
        <f>IF(OR(B11478="vi",B11478="ii",B11478="pod"),(((D11478/100)*(C11478*VLOOKUP(B11478,'Poids des runes'!A:B,2,FALSE)))+1),(((D11478/100)*(C11478*VLOOKUP(B11478,'Poids des runes'!A:B,2,FALSE)))+1)/VLOOKUP(B11478,'Poids des runes'!A:B,2,FALSE))</f>
        <v>4.2166666666666668</v>
      </c>
      <c r="F11478">
        <f t="shared" si="179"/>
        <v>4.2166666666666668</v>
      </c>
    </row>
    <row r="11479" spans="1:6" x14ac:dyDescent="0.3">
      <c r="A11479" t="s">
        <v>1881</v>
      </c>
      <c r="B11479" t="s">
        <v>2126</v>
      </c>
      <c r="C11479">
        <v>45.5</v>
      </c>
      <c r="D11479">
        <v>90</v>
      </c>
      <c r="E11479">
        <f>IF(OR(B11479="vi",B11479="ii",B11479="pod"),(((D11479/100)*(C11479*VLOOKUP(B11479,'Poids des runes'!A:B,2,FALSE)))+1),(((D11479/100)*(C11479*VLOOKUP(B11479,'Poids des runes'!A:B,2,FALSE)))+1)/VLOOKUP(B11479,'Poids des runes'!A:B,2,FALSE))</f>
        <v>41.95</v>
      </c>
      <c r="F11479">
        <f t="shared" si="179"/>
        <v>41.95</v>
      </c>
    </row>
    <row r="11480" spans="1:6" x14ac:dyDescent="0.3">
      <c r="A11480" t="s">
        <v>1881</v>
      </c>
      <c r="B11480" t="s">
        <v>2129</v>
      </c>
      <c r="C11480">
        <v>13</v>
      </c>
      <c r="D11480">
        <v>90</v>
      </c>
      <c r="E11480">
        <f>IF(OR(B11480="vi",B11480="ii",B11480="pod"),(((D11480/100)*(C11480*VLOOKUP(B11480,'Poids des runes'!A:B,2,FALSE)))+1),(((D11480/100)*(C11480*VLOOKUP(B11480,'Poids des runes'!A:B,2,FALSE)))+1)/VLOOKUP(B11480,'Poids des runes'!A:B,2,FALSE))</f>
        <v>12.700000000000001</v>
      </c>
      <c r="F11480">
        <f t="shared" si="179"/>
        <v>12.700000000000001</v>
      </c>
    </row>
    <row r="11481" spans="1:6" x14ac:dyDescent="0.3">
      <c r="A11481" t="s">
        <v>1881</v>
      </c>
      <c r="B11481" t="s">
        <v>2163</v>
      </c>
      <c r="C11481">
        <v>8.5</v>
      </c>
      <c r="D11481">
        <v>90</v>
      </c>
      <c r="E11481">
        <f>IF(OR(B11481="vi",B11481="ii",B11481="pod"),(((D11481/100)*(C11481*VLOOKUP(B11481,'Poids des runes'!A:B,2,FALSE)))+1),(((D11481/100)*(C11481*VLOOKUP(B11481,'Poids des runes'!A:B,2,FALSE)))+1)/VLOOKUP(B11481,'Poids des runes'!A:B,2,FALSE))</f>
        <v>8.15</v>
      </c>
      <c r="F11481">
        <f t="shared" si="179"/>
        <v>8.15</v>
      </c>
    </row>
    <row r="11482" spans="1:6" x14ac:dyDescent="0.3">
      <c r="A11482" t="s">
        <v>1881</v>
      </c>
      <c r="B11482" t="s">
        <v>2156</v>
      </c>
      <c r="C11482">
        <v>2.5</v>
      </c>
      <c r="D11482">
        <v>90</v>
      </c>
      <c r="E11482">
        <f>IF(OR(B11482="vi",B11482="ii",B11482="pod"),(((D11482/100)*(C11482*VLOOKUP(B11482,'Poids des runes'!A:B,2,FALSE)))+1),(((D11482/100)*(C11482*VLOOKUP(B11482,'Poids des runes'!A:B,2,FALSE)))+1)/VLOOKUP(B11482,'Poids des runes'!A:B,2,FALSE))</f>
        <v>2.4166666666666665</v>
      </c>
      <c r="F11482">
        <f t="shared" si="179"/>
        <v>2.4166666666666665</v>
      </c>
    </row>
    <row r="11483" spans="1:6" x14ac:dyDescent="0.3">
      <c r="A11483" t="s">
        <v>1881</v>
      </c>
      <c r="B11483" t="s">
        <v>2148</v>
      </c>
      <c r="C11483">
        <v>2.5</v>
      </c>
      <c r="D11483">
        <v>90</v>
      </c>
      <c r="E11483">
        <f>IF(OR(B11483="vi",B11483="ii",B11483="pod"),(((D11483/100)*(C11483*VLOOKUP(B11483,'Poids des runes'!A:B,2,FALSE)))+1),(((D11483/100)*(C11483*VLOOKUP(B11483,'Poids des runes'!A:B,2,FALSE)))+1)/VLOOKUP(B11483,'Poids des runes'!A:B,2,FALSE))</f>
        <v>2.4166666666666665</v>
      </c>
      <c r="F11483">
        <f t="shared" si="179"/>
        <v>2.4166666666666665</v>
      </c>
    </row>
    <row r="11484" spans="1:6" x14ac:dyDescent="0.3">
      <c r="A11484" t="s">
        <v>1881</v>
      </c>
      <c r="B11484" t="s">
        <v>2147</v>
      </c>
      <c r="C11484">
        <v>2.5</v>
      </c>
      <c r="D11484">
        <v>90</v>
      </c>
      <c r="E11484">
        <f>IF(OR(B11484="vi",B11484="ii",B11484="pod"),(((D11484/100)*(C11484*VLOOKUP(B11484,'Poids des runes'!A:B,2,FALSE)))+1),(((D11484/100)*(C11484*VLOOKUP(B11484,'Poids des runes'!A:B,2,FALSE)))+1)/VLOOKUP(B11484,'Poids des runes'!A:B,2,FALSE))</f>
        <v>2.4166666666666665</v>
      </c>
      <c r="F11484">
        <f t="shared" si="179"/>
        <v>2.4166666666666665</v>
      </c>
    </row>
    <row r="11485" spans="1:6" x14ac:dyDescent="0.3">
      <c r="A11485" t="s">
        <v>1881</v>
      </c>
      <c r="B11485" t="s">
        <v>2135</v>
      </c>
      <c r="C11485">
        <v>2.5</v>
      </c>
      <c r="D11485">
        <v>90</v>
      </c>
      <c r="E11485">
        <f>IF(OR(B11485="vi",B11485="ii",B11485="pod"),(((D11485/100)*(C11485*VLOOKUP(B11485,'Poids des runes'!A:B,2,FALSE)))+1),(((D11485/100)*(C11485*VLOOKUP(B11485,'Poids des runes'!A:B,2,FALSE)))+1)/VLOOKUP(B11485,'Poids des runes'!A:B,2,FALSE))</f>
        <v>2.4166666666666665</v>
      </c>
      <c r="F11485">
        <f t="shared" si="179"/>
        <v>2.4166666666666665</v>
      </c>
    </row>
    <row r="11486" spans="1:6" x14ac:dyDescent="0.3">
      <c r="A11486" t="s">
        <v>1881</v>
      </c>
      <c r="B11486" t="s">
        <v>2157</v>
      </c>
      <c r="C11486">
        <v>2.5</v>
      </c>
      <c r="D11486">
        <v>90</v>
      </c>
      <c r="E11486">
        <f>IF(OR(B11486="vi",B11486="ii",B11486="pod"),(((D11486/100)*(C11486*VLOOKUP(B11486,'Poids des runes'!A:B,2,FALSE)))+1),(((D11486/100)*(C11486*VLOOKUP(B11486,'Poids des runes'!A:B,2,FALSE)))+1)/VLOOKUP(B11486,'Poids des runes'!A:B,2,FALSE))</f>
        <v>2.4166666666666665</v>
      </c>
      <c r="F11486">
        <f t="shared" si="179"/>
        <v>2.4166666666666665</v>
      </c>
    </row>
    <row r="11487" spans="1:6" x14ac:dyDescent="0.3">
      <c r="A11487" t="s">
        <v>1882</v>
      </c>
      <c r="B11487" t="s">
        <v>2128</v>
      </c>
      <c r="C11487">
        <v>70.5</v>
      </c>
      <c r="D11487">
        <v>90</v>
      </c>
      <c r="E11487">
        <f>IF(OR(B11487="vi",B11487="ii",B11487="pod"),(((D11487/100)*(C11487*VLOOKUP(B11487,'Poids des runes'!A:B,2,FALSE)))+1),(((D11487/100)*(C11487*VLOOKUP(B11487,'Poids des runes'!A:B,2,FALSE)))+1)/VLOOKUP(B11487,'Poids des runes'!A:B,2,FALSE))</f>
        <v>13.690000000000001</v>
      </c>
      <c r="F11487">
        <f t="shared" si="179"/>
        <v>13.690000000000001</v>
      </c>
    </row>
    <row r="11488" spans="1:6" x14ac:dyDescent="0.3">
      <c r="A11488" t="s">
        <v>1882</v>
      </c>
      <c r="B11488" t="s">
        <v>2130</v>
      </c>
      <c r="C11488">
        <v>25.5</v>
      </c>
      <c r="D11488">
        <v>90</v>
      </c>
      <c r="E11488">
        <f>IF(OR(B11488="vi",B11488="ii",B11488="pod"),(((D11488/100)*(C11488*VLOOKUP(B11488,'Poids des runes'!A:B,2,FALSE)))+1),(((D11488/100)*(C11488*VLOOKUP(B11488,'Poids des runes'!A:B,2,FALSE)))+1)/VLOOKUP(B11488,'Poids des runes'!A:B,2,FALSE))</f>
        <v>23.95</v>
      </c>
      <c r="F11488">
        <f t="shared" si="179"/>
        <v>23.95</v>
      </c>
    </row>
    <row r="11489" spans="1:6" x14ac:dyDescent="0.3">
      <c r="A11489" t="s">
        <v>1882</v>
      </c>
      <c r="B11489" t="s">
        <v>2126</v>
      </c>
      <c r="C11489">
        <v>45.5</v>
      </c>
      <c r="D11489">
        <v>90</v>
      </c>
      <c r="E11489">
        <f>IF(OR(B11489="vi",B11489="ii",B11489="pod"),(((D11489/100)*(C11489*VLOOKUP(B11489,'Poids des runes'!A:B,2,FALSE)))+1),(((D11489/100)*(C11489*VLOOKUP(B11489,'Poids des runes'!A:B,2,FALSE)))+1)/VLOOKUP(B11489,'Poids des runes'!A:B,2,FALSE))</f>
        <v>41.95</v>
      </c>
      <c r="F11489">
        <f t="shared" si="179"/>
        <v>41.95</v>
      </c>
    </row>
    <row r="11490" spans="1:6" x14ac:dyDescent="0.3">
      <c r="A11490" t="s">
        <v>1882</v>
      </c>
      <c r="B11490" t="s">
        <v>2129</v>
      </c>
      <c r="C11490">
        <v>8.5</v>
      </c>
      <c r="D11490">
        <v>90</v>
      </c>
      <c r="E11490">
        <f>IF(OR(B11490="vi",B11490="ii",B11490="pod"),(((D11490/100)*(C11490*VLOOKUP(B11490,'Poids des runes'!A:B,2,FALSE)))+1),(((D11490/100)*(C11490*VLOOKUP(B11490,'Poids des runes'!A:B,2,FALSE)))+1)/VLOOKUP(B11490,'Poids des runes'!A:B,2,FALSE))</f>
        <v>8.65</v>
      </c>
      <c r="F11490">
        <f t="shared" si="179"/>
        <v>8.65</v>
      </c>
    </row>
    <row r="11491" spans="1:6" x14ac:dyDescent="0.3">
      <c r="A11491" t="s">
        <v>1882</v>
      </c>
      <c r="B11491" t="s">
        <v>2155</v>
      </c>
      <c r="C11491">
        <v>1</v>
      </c>
      <c r="D11491">
        <v>90</v>
      </c>
      <c r="E11491">
        <f>IF(OR(B11491="vi",B11491="ii",B11491="pod"),(((D11491/100)*(C11491*VLOOKUP(B11491,'Poids des runes'!A:B,2,FALSE)))+1),(((D11491/100)*(C11491*VLOOKUP(B11491,'Poids des runes'!A:B,2,FALSE)))+1)/VLOOKUP(B11491,'Poids des runes'!A:B,2,FALSE))</f>
        <v>0.91960784313725485</v>
      </c>
      <c r="F11491">
        <f t="shared" si="179"/>
        <v>0.91960784313725485</v>
      </c>
    </row>
    <row r="11492" spans="1:6" x14ac:dyDescent="0.3">
      <c r="A11492" t="s">
        <v>1882</v>
      </c>
      <c r="B11492" t="s">
        <v>2150</v>
      </c>
      <c r="C11492">
        <v>1</v>
      </c>
      <c r="D11492">
        <v>90</v>
      </c>
      <c r="E11492">
        <f>IF(OR(B11492="vi",B11492="ii",B11492="pod"),(((D11492/100)*(C11492*VLOOKUP(B11492,'Poids des runes'!A:B,2,FALSE)))+1),(((D11492/100)*(C11492*VLOOKUP(B11492,'Poids des runes'!A:B,2,FALSE)))+1)/VLOOKUP(B11492,'Poids des runes'!A:B,2,FALSE))</f>
        <v>0.93333333333333335</v>
      </c>
      <c r="F11492">
        <f t="shared" si="179"/>
        <v>0.93333333333333335</v>
      </c>
    </row>
    <row r="11493" spans="1:6" x14ac:dyDescent="0.3">
      <c r="A11493" t="s">
        <v>1882</v>
      </c>
      <c r="B11493" t="s">
        <v>2140</v>
      </c>
      <c r="C11493">
        <v>4.5</v>
      </c>
      <c r="D11493">
        <v>90</v>
      </c>
      <c r="E11493">
        <f>IF(OR(B11493="vi",B11493="ii",B11493="pod"),(((D11493/100)*(C11493*VLOOKUP(B11493,'Poids des runes'!A:B,2,FALSE)))+1),(((D11493/100)*(C11493*VLOOKUP(B11493,'Poids des runes'!A:B,2,FALSE)))+1)/VLOOKUP(B11493,'Poids des runes'!A:B,2,FALSE))</f>
        <v>4.25</v>
      </c>
      <c r="F11493">
        <f t="shared" si="179"/>
        <v>4.25</v>
      </c>
    </row>
    <row r="11494" spans="1:6" x14ac:dyDescent="0.3">
      <c r="A11494" t="s">
        <v>1883</v>
      </c>
      <c r="B11494" t="s">
        <v>2130</v>
      </c>
      <c r="C11494">
        <v>50.5</v>
      </c>
      <c r="D11494">
        <v>91</v>
      </c>
      <c r="E11494">
        <f>IF(OR(B11494="vi",B11494="ii",B11494="pod"),(((D11494/100)*(C11494*VLOOKUP(B11494,'Poids des runes'!A:B,2,FALSE)))+1),(((D11494/100)*(C11494*VLOOKUP(B11494,'Poids des runes'!A:B,2,FALSE)))+1)/VLOOKUP(B11494,'Poids des runes'!A:B,2,FALSE))</f>
        <v>46.954999999999998</v>
      </c>
      <c r="F11494">
        <f t="shared" si="179"/>
        <v>46.954999999999998</v>
      </c>
    </row>
    <row r="11495" spans="1:6" x14ac:dyDescent="0.3">
      <c r="A11495" t="s">
        <v>1883</v>
      </c>
      <c r="B11495" t="s">
        <v>2131</v>
      </c>
      <c r="C11495">
        <v>35.5</v>
      </c>
      <c r="D11495">
        <v>91</v>
      </c>
      <c r="E11495">
        <f>IF(OR(B11495="vi",B11495="ii",B11495="pod"),(((D11495/100)*(C11495*VLOOKUP(B11495,'Poids des runes'!A:B,2,FALSE)))+1),(((D11495/100)*(C11495*VLOOKUP(B11495,'Poids des runes'!A:B,2,FALSE)))+1)/VLOOKUP(B11495,'Poids des runes'!A:B,2,FALSE))</f>
        <v>33.305</v>
      </c>
      <c r="F11495">
        <f t="shared" si="179"/>
        <v>33.305</v>
      </c>
    </row>
    <row r="11496" spans="1:6" x14ac:dyDescent="0.3">
      <c r="A11496" t="s">
        <v>1883</v>
      </c>
      <c r="B11496" t="s">
        <v>2127</v>
      </c>
      <c r="C11496">
        <v>35.5</v>
      </c>
      <c r="D11496">
        <v>91</v>
      </c>
      <c r="E11496">
        <f>IF(OR(B11496="vi",B11496="ii",B11496="pod"),(((D11496/100)*(C11496*VLOOKUP(B11496,'Poids des runes'!A:B,2,FALSE)))+1),(((D11496/100)*(C11496*VLOOKUP(B11496,'Poids des runes'!A:B,2,FALSE)))+1)/VLOOKUP(B11496,'Poids des runes'!A:B,2,FALSE))</f>
        <v>33.305</v>
      </c>
      <c r="F11496">
        <f t="shared" si="179"/>
        <v>33.305</v>
      </c>
    </row>
    <row r="11497" spans="1:6" x14ac:dyDescent="0.3">
      <c r="A11497" t="s">
        <v>1883</v>
      </c>
      <c r="B11497" t="s">
        <v>2134</v>
      </c>
      <c r="C11497">
        <v>5</v>
      </c>
      <c r="D11497">
        <v>91</v>
      </c>
      <c r="E11497">
        <f>IF(OR(B11497="vi",B11497="ii",B11497="pod"),(((D11497/100)*(C11497*VLOOKUP(B11497,'Poids des runes'!A:B,2,FALSE)))+1),(((D11497/100)*(C11497*VLOOKUP(B11497,'Poids des runes'!A:B,2,FALSE)))+1)/VLOOKUP(B11497,'Poids des runes'!A:B,2,FALSE))</f>
        <v>4.5999999999999996</v>
      </c>
      <c r="F11497">
        <f t="shared" si="179"/>
        <v>4.5999999999999996</v>
      </c>
    </row>
    <row r="11498" spans="1:6" x14ac:dyDescent="0.3">
      <c r="A11498" t="s">
        <v>1883</v>
      </c>
      <c r="B11498" t="s">
        <v>2161</v>
      </c>
      <c r="C11498">
        <v>8.5</v>
      </c>
      <c r="D11498">
        <v>91</v>
      </c>
      <c r="E11498">
        <f>IF(OR(B11498="vi",B11498="ii",B11498="pod"),(((D11498/100)*(C11498*VLOOKUP(B11498,'Poids des runes'!A:B,2,FALSE)))+1),(((D11498/100)*(C11498*VLOOKUP(B11498,'Poids des runes'!A:B,2,FALSE)))+1)/VLOOKUP(B11498,'Poids des runes'!A:B,2,FALSE))</f>
        <v>8.0683333333333334</v>
      </c>
      <c r="F11498">
        <f t="shared" si="179"/>
        <v>8.0683333333333334</v>
      </c>
    </row>
    <row r="11499" spans="1:6" x14ac:dyDescent="0.3">
      <c r="A11499" t="s">
        <v>1883</v>
      </c>
      <c r="B11499" t="s">
        <v>2156</v>
      </c>
      <c r="C11499">
        <v>2</v>
      </c>
      <c r="D11499">
        <v>91</v>
      </c>
      <c r="E11499">
        <f>IF(OR(B11499="vi",B11499="ii",B11499="pod"),(((D11499/100)*(C11499*VLOOKUP(B11499,'Poids des runes'!A:B,2,FALSE)))+1),(((D11499/100)*(C11499*VLOOKUP(B11499,'Poids des runes'!A:B,2,FALSE)))+1)/VLOOKUP(B11499,'Poids des runes'!A:B,2,FALSE))</f>
        <v>1.9866666666666666</v>
      </c>
      <c r="F11499">
        <f t="shared" si="179"/>
        <v>1.9866666666666666</v>
      </c>
    </row>
    <row r="11500" spans="1:6" x14ac:dyDescent="0.3">
      <c r="A11500" t="s">
        <v>1883</v>
      </c>
      <c r="B11500" t="s">
        <v>2148</v>
      </c>
      <c r="C11500">
        <v>2</v>
      </c>
      <c r="D11500">
        <v>91</v>
      </c>
      <c r="E11500">
        <f>IF(OR(B11500="vi",B11500="ii",B11500="pod"),(((D11500/100)*(C11500*VLOOKUP(B11500,'Poids des runes'!A:B,2,FALSE)))+1),(((D11500/100)*(C11500*VLOOKUP(B11500,'Poids des runes'!A:B,2,FALSE)))+1)/VLOOKUP(B11500,'Poids des runes'!A:B,2,FALSE))</f>
        <v>1.9866666666666666</v>
      </c>
      <c r="F11500">
        <f t="shared" si="179"/>
        <v>1.9866666666666666</v>
      </c>
    </row>
    <row r="11501" spans="1:6" x14ac:dyDescent="0.3">
      <c r="A11501" t="s">
        <v>1884</v>
      </c>
      <c r="B11501" t="s">
        <v>2128</v>
      </c>
      <c r="C11501">
        <v>85.5</v>
      </c>
      <c r="D11501">
        <v>92</v>
      </c>
      <c r="E11501">
        <f>IF(OR(B11501="vi",B11501="ii",B11501="pod"),(((D11501/100)*(C11501*VLOOKUP(B11501,'Poids des runes'!A:B,2,FALSE)))+1),(((D11501/100)*(C11501*VLOOKUP(B11501,'Poids des runes'!A:B,2,FALSE)))+1)/VLOOKUP(B11501,'Poids des runes'!A:B,2,FALSE))</f>
        <v>16.732000000000003</v>
      </c>
      <c r="F11501">
        <f t="shared" si="179"/>
        <v>16.732000000000003</v>
      </c>
    </row>
    <row r="11502" spans="1:6" x14ac:dyDescent="0.3">
      <c r="A11502" t="s">
        <v>1884</v>
      </c>
      <c r="B11502" t="s">
        <v>2130</v>
      </c>
      <c r="C11502">
        <v>25.5</v>
      </c>
      <c r="D11502">
        <v>92</v>
      </c>
      <c r="E11502">
        <f>IF(OR(B11502="vi",B11502="ii",B11502="pod"),(((D11502/100)*(C11502*VLOOKUP(B11502,'Poids des runes'!A:B,2,FALSE)))+1),(((D11502/100)*(C11502*VLOOKUP(B11502,'Poids des runes'!A:B,2,FALSE)))+1)/VLOOKUP(B11502,'Poids des runes'!A:B,2,FALSE))</f>
        <v>24.46</v>
      </c>
      <c r="F11502">
        <f t="shared" si="179"/>
        <v>24.46</v>
      </c>
    </row>
    <row r="11503" spans="1:6" x14ac:dyDescent="0.3">
      <c r="A11503" t="s">
        <v>1884</v>
      </c>
      <c r="B11503" t="s">
        <v>2127</v>
      </c>
      <c r="C11503">
        <v>35.5</v>
      </c>
      <c r="D11503">
        <v>92</v>
      </c>
      <c r="E11503">
        <f>IF(OR(B11503="vi",B11503="ii",B11503="pod"),(((D11503/100)*(C11503*VLOOKUP(B11503,'Poids des runes'!A:B,2,FALSE)))+1),(((D11503/100)*(C11503*VLOOKUP(B11503,'Poids des runes'!A:B,2,FALSE)))+1)/VLOOKUP(B11503,'Poids des runes'!A:B,2,FALSE))</f>
        <v>33.660000000000004</v>
      </c>
      <c r="F11503">
        <f t="shared" si="179"/>
        <v>33.660000000000004</v>
      </c>
    </row>
    <row r="11504" spans="1:6" x14ac:dyDescent="0.3">
      <c r="A11504" t="s">
        <v>1884</v>
      </c>
      <c r="B11504" t="s">
        <v>2129</v>
      </c>
      <c r="C11504">
        <v>23</v>
      </c>
      <c r="D11504">
        <v>92</v>
      </c>
      <c r="E11504">
        <f>IF(OR(B11504="vi",B11504="ii",B11504="pod"),(((D11504/100)*(C11504*VLOOKUP(B11504,'Poids des runes'!A:B,2,FALSE)))+1),(((D11504/100)*(C11504*VLOOKUP(B11504,'Poids des runes'!A:B,2,FALSE)))+1)/VLOOKUP(B11504,'Poids des runes'!A:B,2,FALSE))</f>
        <v>22.16</v>
      </c>
      <c r="F11504">
        <f t="shared" si="179"/>
        <v>22.16</v>
      </c>
    </row>
    <row r="11505" spans="1:6" x14ac:dyDescent="0.3">
      <c r="A11505" t="s">
        <v>1884</v>
      </c>
      <c r="B11505" t="s">
        <v>2139</v>
      </c>
      <c r="C11505">
        <v>18</v>
      </c>
      <c r="D11505">
        <v>92</v>
      </c>
      <c r="E11505">
        <f>IF(OR(B11505="vi",B11505="ii",B11505="pod"),(((D11505/100)*(C11505*VLOOKUP(B11505,'Poids des runes'!A:B,2,FALSE)))+1),(((D11505/100)*(C11505*VLOOKUP(B11505,'Poids des runes'!A:B,2,FALSE)))+1)/VLOOKUP(B11505,'Poids des runes'!A:B,2,FALSE))</f>
        <v>17.060000000000002</v>
      </c>
      <c r="F11505">
        <f t="shared" si="179"/>
        <v>17.060000000000002</v>
      </c>
    </row>
    <row r="11506" spans="1:6" x14ac:dyDescent="0.3">
      <c r="A11506" t="s">
        <v>1884</v>
      </c>
      <c r="B11506" t="s">
        <v>2151</v>
      </c>
      <c r="C11506">
        <v>2.5</v>
      </c>
      <c r="D11506">
        <v>92</v>
      </c>
      <c r="E11506">
        <f>IF(OR(B11506="vi",B11506="ii",B11506="pod"),(((D11506/100)*(C11506*VLOOKUP(B11506,'Poids des runes'!A:B,2,FALSE)))+1),(((D11506/100)*(C11506*VLOOKUP(B11506,'Poids des runes'!A:B,2,FALSE)))+1)/VLOOKUP(B11506,'Poids des runes'!A:B,2,FALSE))</f>
        <v>2.4</v>
      </c>
      <c r="F11506">
        <f t="shared" si="179"/>
        <v>2.4</v>
      </c>
    </row>
    <row r="11507" spans="1:6" x14ac:dyDescent="0.3">
      <c r="A11507" t="s">
        <v>1884</v>
      </c>
      <c r="B11507" t="s">
        <v>2134</v>
      </c>
      <c r="C11507">
        <v>4.5</v>
      </c>
      <c r="D11507">
        <v>92</v>
      </c>
      <c r="E11507">
        <f>IF(OR(B11507="vi",B11507="ii",B11507="pod"),(((D11507/100)*(C11507*VLOOKUP(B11507,'Poids des runes'!A:B,2,FALSE)))+1),(((D11507/100)*(C11507*VLOOKUP(B11507,'Poids des runes'!A:B,2,FALSE)))+1)/VLOOKUP(B11507,'Poids des runes'!A:B,2,FALSE))</f>
        <v>4.1899999999999995</v>
      </c>
      <c r="F11507">
        <f t="shared" si="179"/>
        <v>4.1899999999999995</v>
      </c>
    </row>
    <row r="11508" spans="1:6" x14ac:dyDescent="0.3">
      <c r="A11508" t="s">
        <v>1884</v>
      </c>
      <c r="B11508" t="s">
        <v>2138</v>
      </c>
      <c r="C11508">
        <v>4.5</v>
      </c>
      <c r="D11508">
        <v>92</v>
      </c>
      <c r="E11508">
        <f>IF(OR(B11508="vi",B11508="ii",B11508="pod"),(((D11508/100)*(C11508*VLOOKUP(B11508,'Poids des runes'!A:B,2,FALSE)))+1),(((D11508/100)*(C11508*VLOOKUP(B11508,'Poids des runes'!A:B,2,FALSE)))+1)/VLOOKUP(B11508,'Poids des runes'!A:B,2,FALSE))</f>
        <v>4.3900000000000006</v>
      </c>
      <c r="F11508">
        <f t="shared" si="179"/>
        <v>4.3900000000000006</v>
      </c>
    </row>
    <row r="11509" spans="1:6" x14ac:dyDescent="0.3">
      <c r="A11509" t="s">
        <v>1885</v>
      </c>
      <c r="B11509" t="s">
        <v>2130</v>
      </c>
      <c r="C11509">
        <v>45.5</v>
      </c>
      <c r="D11509">
        <v>93</v>
      </c>
      <c r="E11509">
        <f>IF(OR(B11509="vi",B11509="ii",B11509="pod"),(((D11509/100)*(C11509*VLOOKUP(B11509,'Poids des runes'!A:B,2,FALSE)))+1),(((D11509/100)*(C11509*VLOOKUP(B11509,'Poids des runes'!A:B,2,FALSE)))+1)/VLOOKUP(B11509,'Poids des runes'!A:B,2,FALSE))</f>
        <v>43.315000000000005</v>
      </c>
      <c r="F11509">
        <f t="shared" si="179"/>
        <v>43.315000000000005</v>
      </c>
    </row>
    <row r="11510" spans="1:6" x14ac:dyDescent="0.3">
      <c r="A11510" t="s">
        <v>1885</v>
      </c>
      <c r="B11510" t="s">
        <v>2126</v>
      </c>
      <c r="C11510">
        <v>45.5</v>
      </c>
      <c r="D11510">
        <v>93</v>
      </c>
      <c r="E11510">
        <f>IF(OR(B11510="vi",B11510="ii",B11510="pod"),(((D11510/100)*(C11510*VLOOKUP(B11510,'Poids des runes'!A:B,2,FALSE)))+1),(((D11510/100)*(C11510*VLOOKUP(B11510,'Poids des runes'!A:B,2,FALSE)))+1)/VLOOKUP(B11510,'Poids des runes'!A:B,2,FALSE))</f>
        <v>43.315000000000005</v>
      </c>
      <c r="F11510">
        <f t="shared" si="179"/>
        <v>43.315000000000005</v>
      </c>
    </row>
    <row r="11511" spans="1:6" x14ac:dyDescent="0.3">
      <c r="A11511" t="s">
        <v>1885</v>
      </c>
      <c r="B11511" t="s">
        <v>2139</v>
      </c>
      <c r="C11511">
        <v>25.5</v>
      </c>
      <c r="D11511">
        <v>93</v>
      </c>
      <c r="E11511">
        <f>IF(OR(B11511="vi",B11511="ii",B11511="pod"),(((D11511/100)*(C11511*VLOOKUP(B11511,'Poids des runes'!A:B,2,FALSE)))+1),(((D11511/100)*(C11511*VLOOKUP(B11511,'Poids des runes'!A:B,2,FALSE)))+1)/VLOOKUP(B11511,'Poids des runes'!A:B,2,FALSE))</f>
        <v>24.215</v>
      </c>
      <c r="F11511">
        <f t="shared" si="179"/>
        <v>24.215</v>
      </c>
    </row>
    <row r="11512" spans="1:6" x14ac:dyDescent="0.3">
      <c r="A11512" t="s">
        <v>1885</v>
      </c>
      <c r="B11512" t="s">
        <v>2151</v>
      </c>
      <c r="C11512">
        <v>8.5</v>
      </c>
      <c r="D11512">
        <v>93</v>
      </c>
      <c r="E11512">
        <f>IF(OR(B11512="vi",B11512="ii",B11512="pod"),(((D11512/100)*(C11512*VLOOKUP(B11512,'Poids des runes'!A:B,2,FALSE)))+1),(((D11512/100)*(C11512*VLOOKUP(B11512,'Poids des runes'!A:B,2,FALSE)))+1)/VLOOKUP(B11512,'Poids des runes'!A:B,2,FALSE))</f>
        <v>8.004999999999999</v>
      </c>
      <c r="F11512">
        <f t="shared" si="179"/>
        <v>8.004999999999999</v>
      </c>
    </row>
    <row r="11513" spans="1:6" x14ac:dyDescent="0.3">
      <c r="A11513" t="s">
        <v>1885</v>
      </c>
      <c r="B11513" t="s">
        <v>2158</v>
      </c>
      <c r="C11513">
        <v>8.5</v>
      </c>
      <c r="D11513">
        <v>93</v>
      </c>
      <c r="E11513">
        <f>IF(OR(B11513="vi",B11513="ii",B11513="pod"),(((D11513/100)*(C11513*VLOOKUP(B11513,'Poids des runes'!A:B,2,FALSE)))+1),(((D11513/100)*(C11513*VLOOKUP(B11513,'Poids des runes'!A:B,2,FALSE)))+1)/VLOOKUP(B11513,'Poids des runes'!A:B,2,FALSE))</f>
        <v>8.1050000000000004</v>
      </c>
      <c r="F11513">
        <f t="shared" si="179"/>
        <v>8.1050000000000004</v>
      </c>
    </row>
    <row r="11514" spans="1:6" x14ac:dyDescent="0.3">
      <c r="A11514" t="s">
        <v>1886</v>
      </c>
      <c r="B11514" t="s">
        <v>2128</v>
      </c>
      <c r="C11514">
        <v>80.5</v>
      </c>
      <c r="D11514">
        <v>93</v>
      </c>
      <c r="E11514">
        <f>IF(OR(B11514="vi",B11514="ii",B11514="pod"),(((D11514/100)*(C11514*VLOOKUP(B11514,'Poids des runes'!A:B,2,FALSE)))+1),(((D11514/100)*(C11514*VLOOKUP(B11514,'Poids des runes'!A:B,2,FALSE)))+1)/VLOOKUP(B11514,'Poids des runes'!A:B,2,FALSE))</f>
        <v>15.973000000000003</v>
      </c>
      <c r="F11514">
        <f t="shared" si="179"/>
        <v>15.973000000000003</v>
      </c>
    </row>
    <row r="11515" spans="1:6" x14ac:dyDescent="0.3">
      <c r="A11515" t="s">
        <v>1886</v>
      </c>
      <c r="B11515" t="s">
        <v>2130</v>
      </c>
      <c r="C11515">
        <v>50.5</v>
      </c>
      <c r="D11515">
        <v>93</v>
      </c>
      <c r="E11515">
        <f>IF(OR(B11515="vi",B11515="ii",B11515="pod"),(((D11515/100)*(C11515*VLOOKUP(B11515,'Poids des runes'!A:B,2,FALSE)))+1),(((D11515/100)*(C11515*VLOOKUP(B11515,'Poids des runes'!A:B,2,FALSE)))+1)/VLOOKUP(B11515,'Poids des runes'!A:B,2,FALSE))</f>
        <v>47.965000000000003</v>
      </c>
      <c r="F11515">
        <f t="shared" si="179"/>
        <v>47.965000000000003</v>
      </c>
    </row>
    <row r="11516" spans="1:6" x14ac:dyDescent="0.3">
      <c r="A11516" t="s">
        <v>1886</v>
      </c>
      <c r="B11516" t="s">
        <v>2129</v>
      </c>
      <c r="C11516">
        <v>23</v>
      </c>
      <c r="D11516">
        <v>93</v>
      </c>
      <c r="E11516">
        <f>IF(OR(B11516="vi",B11516="ii",B11516="pod"),(((D11516/100)*(C11516*VLOOKUP(B11516,'Poids des runes'!A:B,2,FALSE)))+1),(((D11516/100)*(C11516*VLOOKUP(B11516,'Poids des runes'!A:B,2,FALSE)))+1)/VLOOKUP(B11516,'Poids des runes'!A:B,2,FALSE))</f>
        <v>22.39</v>
      </c>
      <c r="F11516">
        <f t="shared" si="179"/>
        <v>22.39</v>
      </c>
    </row>
    <row r="11517" spans="1:6" x14ac:dyDescent="0.3">
      <c r="A11517" t="s">
        <v>1886</v>
      </c>
      <c r="B11517" t="s">
        <v>2139</v>
      </c>
      <c r="C11517">
        <v>18</v>
      </c>
      <c r="D11517">
        <v>93</v>
      </c>
      <c r="E11517">
        <f>IF(OR(B11517="vi",B11517="ii",B11517="pod"),(((D11517/100)*(C11517*VLOOKUP(B11517,'Poids des runes'!A:B,2,FALSE)))+1),(((D11517/100)*(C11517*VLOOKUP(B11517,'Poids des runes'!A:B,2,FALSE)))+1)/VLOOKUP(B11517,'Poids des runes'!A:B,2,FALSE))</f>
        <v>17.240000000000002</v>
      </c>
      <c r="F11517">
        <f t="shared" si="179"/>
        <v>17.240000000000002</v>
      </c>
    </row>
    <row r="11518" spans="1:6" x14ac:dyDescent="0.3">
      <c r="A11518" t="s">
        <v>1886</v>
      </c>
      <c r="B11518" t="s">
        <v>2151</v>
      </c>
      <c r="C11518">
        <v>4.5</v>
      </c>
      <c r="D11518">
        <v>93</v>
      </c>
      <c r="E11518">
        <f>IF(OR(B11518="vi",B11518="ii",B11518="pod"),(((D11518/100)*(C11518*VLOOKUP(B11518,'Poids des runes'!A:B,2,FALSE)))+1),(((D11518/100)*(C11518*VLOOKUP(B11518,'Poids des runes'!A:B,2,FALSE)))+1)/VLOOKUP(B11518,'Poids des runes'!A:B,2,FALSE))</f>
        <v>4.2850000000000001</v>
      </c>
      <c r="F11518">
        <f t="shared" si="179"/>
        <v>4.2850000000000001</v>
      </c>
    </row>
    <row r="11519" spans="1:6" x14ac:dyDescent="0.3">
      <c r="A11519" t="s">
        <v>1886</v>
      </c>
      <c r="B11519" t="s">
        <v>2155</v>
      </c>
      <c r="C11519">
        <v>1</v>
      </c>
      <c r="D11519">
        <v>93</v>
      </c>
      <c r="E11519">
        <f>IF(OR(B11519="vi",B11519="ii",B11519="pod"),(((D11519/100)*(C11519*VLOOKUP(B11519,'Poids des runes'!A:B,2,FALSE)))+1),(((D11519/100)*(C11519*VLOOKUP(B11519,'Poids des runes'!A:B,2,FALSE)))+1)/VLOOKUP(B11519,'Poids des runes'!A:B,2,FALSE))</f>
        <v>0.94960784313725488</v>
      </c>
      <c r="F11519">
        <f t="shared" si="179"/>
        <v>0.94960784313725488</v>
      </c>
    </row>
    <row r="11520" spans="1:6" x14ac:dyDescent="0.3">
      <c r="A11520" t="s">
        <v>1887</v>
      </c>
      <c r="B11520" t="s">
        <v>2128</v>
      </c>
      <c r="C11520">
        <v>35.5</v>
      </c>
      <c r="D11520">
        <v>94</v>
      </c>
      <c r="E11520">
        <f>IF(OR(B11520="vi",B11520="ii",B11520="pod"),(((D11520/100)*(C11520*VLOOKUP(B11520,'Poids des runes'!A:B,2,FALSE)))+1),(((D11520/100)*(C11520*VLOOKUP(B11520,'Poids des runes'!A:B,2,FALSE)))+1)/VLOOKUP(B11520,'Poids des runes'!A:B,2,FALSE))</f>
        <v>7.6740000000000004</v>
      </c>
      <c r="F11520">
        <f t="shared" si="179"/>
        <v>7.6740000000000004</v>
      </c>
    </row>
    <row r="11521" spans="1:6" x14ac:dyDescent="0.3">
      <c r="A11521" t="s">
        <v>1887</v>
      </c>
      <c r="B11521" t="s">
        <v>2126</v>
      </c>
      <c r="C11521">
        <v>35.5</v>
      </c>
      <c r="D11521">
        <v>94</v>
      </c>
      <c r="E11521">
        <f>IF(OR(B11521="vi",B11521="ii",B11521="pod"),(((D11521/100)*(C11521*VLOOKUP(B11521,'Poids des runes'!A:B,2,FALSE)))+1),(((D11521/100)*(C11521*VLOOKUP(B11521,'Poids des runes'!A:B,2,FALSE)))+1)/VLOOKUP(B11521,'Poids des runes'!A:B,2,FALSE))</f>
        <v>34.369999999999997</v>
      </c>
      <c r="F11521">
        <f t="shared" si="179"/>
        <v>34.369999999999997</v>
      </c>
    </row>
    <row r="11522" spans="1:6" x14ac:dyDescent="0.3">
      <c r="A11522" t="s">
        <v>1887</v>
      </c>
      <c r="B11522" t="s">
        <v>2163</v>
      </c>
      <c r="C11522">
        <v>8.5</v>
      </c>
      <c r="D11522">
        <v>94</v>
      </c>
      <c r="E11522">
        <f>IF(OR(B11522="vi",B11522="ii",B11522="pod"),(((D11522/100)*(C11522*VLOOKUP(B11522,'Poids des runes'!A:B,2,FALSE)))+1),(((D11522/100)*(C11522*VLOOKUP(B11522,'Poids des runes'!A:B,2,FALSE)))+1)/VLOOKUP(B11522,'Poids des runes'!A:B,2,FALSE))</f>
        <v>8.4899999999999984</v>
      </c>
      <c r="F11522">
        <f t="shared" si="179"/>
        <v>8.4899999999999984</v>
      </c>
    </row>
    <row r="11523" spans="1:6" x14ac:dyDescent="0.3">
      <c r="A11523" t="s">
        <v>1887</v>
      </c>
      <c r="B11523" t="s">
        <v>2164</v>
      </c>
      <c r="C11523">
        <v>8.5</v>
      </c>
      <c r="D11523">
        <v>94</v>
      </c>
      <c r="E11523">
        <f>IF(OR(B11523="vi",B11523="ii",B11523="pod"),(((D11523/100)*(C11523*VLOOKUP(B11523,'Poids des runes'!A:B,2,FALSE)))+1),(((D11523/100)*(C11523*VLOOKUP(B11523,'Poids des runes'!A:B,2,FALSE)))+1)/VLOOKUP(B11523,'Poids des runes'!A:B,2,FALSE))</f>
        <v>8.4899999999999984</v>
      </c>
      <c r="F11523">
        <f t="shared" ref="F11523:F11586" si="180">E11523</f>
        <v>8.4899999999999984</v>
      </c>
    </row>
    <row r="11524" spans="1:6" x14ac:dyDescent="0.3">
      <c r="A11524" t="s">
        <v>1887</v>
      </c>
      <c r="B11524" t="s">
        <v>2148</v>
      </c>
      <c r="C11524">
        <v>3.5</v>
      </c>
      <c r="D11524">
        <v>94</v>
      </c>
      <c r="E11524">
        <f>IF(OR(B11524="vi",B11524="ii",B11524="pod"),(((D11524/100)*(C11524*VLOOKUP(B11524,'Poids des runes'!A:B,2,FALSE)))+1),(((D11524/100)*(C11524*VLOOKUP(B11524,'Poids des runes'!A:B,2,FALSE)))+1)/VLOOKUP(B11524,'Poids des runes'!A:B,2,FALSE))</f>
        <v>3.4566666666666666</v>
      </c>
      <c r="F11524">
        <f t="shared" si="180"/>
        <v>3.4566666666666666</v>
      </c>
    </row>
    <row r="11525" spans="1:6" x14ac:dyDescent="0.3">
      <c r="A11525" t="s">
        <v>1887</v>
      </c>
      <c r="B11525" t="s">
        <v>2147</v>
      </c>
      <c r="C11525">
        <v>3.5</v>
      </c>
      <c r="D11525">
        <v>94</v>
      </c>
      <c r="E11525">
        <f>IF(OR(B11525="vi",B11525="ii",B11525="pod"),(((D11525/100)*(C11525*VLOOKUP(B11525,'Poids des runes'!A:B,2,FALSE)))+1),(((D11525/100)*(C11525*VLOOKUP(B11525,'Poids des runes'!A:B,2,FALSE)))+1)/VLOOKUP(B11525,'Poids des runes'!A:B,2,FALSE))</f>
        <v>3.4566666666666666</v>
      </c>
      <c r="F11525">
        <f t="shared" si="180"/>
        <v>3.4566666666666666</v>
      </c>
    </row>
    <row r="11526" spans="1:6" x14ac:dyDescent="0.3">
      <c r="A11526" t="s">
        <v>1887</v>
      </c>
      <c r="B11526" t="s">
        <v>2135</v>
      </c>
      <c r="C11526">
        <v>3.5</v>
      </c>
      <c r="D11526">
        <v>94</v>
      </c>
      <c r="E11526">
        <f>IF(OR(B11526="vi",B11526="ii",B11526="pod"),(((D11526/100)*(C11526*VLOOKUP(B11526,'Poids des runes'!A:B,2,FALSE)))+1),(((D11526/100)*(C11526*VLOOKUP(B11526,'Poids des runes'!A:B,2,FALSE)))+1)/VLOOKUP(B11526,'Poids des runes'!A:B,2,FALSE))</f>
        <v>3.4566666666666666</v>
      </c>
      <c r="F11526">
        <f t="shared" si="180"/>
        <v>3.4566666666666666</v>
      </c>
    </row>
    <row r="11527" spans="1:6" x14ac:dyDescent="0.3">
      <c r="A11527" t="s">
        <v>1887</v>
      </c>
      <c r="B11527" t="s">
        <v>2157</v>
      </c>
      <c r="C11527">
        <v>3.5</v>
      </c>
      <c r="D11527">
        <v>94</v>
      </c>
      <c r="E11527">
        <f>IF(OR(B11527="vi",B11527="ii",B11527="pod"),(((D11527/100)*(C11527*VLOOKUP(B11527,'Poids des runes'!A:B,2,FALSE)))+1),(((D11527/100)*(C11527*VLOOKUP(B11527,'Poids des runes'!A:B,2,FALSE)))+1)/VLOOKUP(B11527,'Poids des runes'!A:B,2,FALSE))</f>
        <v>3.4566666666666666</v>
      </c>
      <c r="F11527">
        <f t="shared" si="180"/>
        <v>3.4566666666666666</v>
      </c>
    </row>
    <row r="11528" spans="1:6" x14ac:dyDescent="0.3">
      <c r="A11528" t="s">
        <v>1888</v>
      </c>
      <c r="B11528" t="s">
        <v>2128</v>
      </c>
      <c r="C11528">
        <v>60.5</v>
      </c>
      <c r="D11528">
        <v>94</v>
      </c>
      <c r="E11528">
        <f>IF(OR(B11528="vi",B11528="ii",B11528="pod"),(((D11528/100)*(C11528*VLOOKUP(B11528,'Poids des runes'!A:B,2,FALSE)))+1),(((D11528/100)*(C11528*VLOOKUP(B11528,'Poids des runes'!A:B,2,FALSE)))+1)/VLOOKUP(B11528,'Poids des runes'!A:B,2,FALSE))</f>
        <v>12.374000000000001</v>
      </c>
      <c r="F11528">
        <f t="shared" si="180"/>
        <v>12.374000000000001</v>
      </c>
    </row>
    <row r="11529" spans="1:6" x14ac:dyDescent="0.3">
      <c r="A11529" t="s">
        <v>1888</v>
      </c>
      <c r="B11529" t="s">
        <v>2131</v>
      </c>
      <c r="C11529">
        <v>45.5</v>
      </c>
      <c r="D11529">
        <v>94</v>
      </c>
      <c r="E11529">
        <f>IF(OR(B11529="vi",B11529="ii",B11529="pod"),(((D11529/100)*(C11529*VLOOKUP(B11529,'Poids des runes'!A:B,2,FALSE)))+1),(((D11529/100)*(C11529*VLOOKUP(B11529,'Poids des runes'!A:B,2,FALSE)))+1)/VLOOKUP(B11529,'Poids des runes'!A:B,2,FALSE))</f>
        <v>43.769999999999996</v>
      </c>
      <c r="F11529">
        <f t="shared" si="180"/>
        <v>43.769999999999996</v>
      </c>
    </row>
    <row r="11530" spans="1:6" x14ac:dyDescent="0.3">
      <c r="A11530" t="s">
        <v>1888</v>
      </c>
      <c r="B11530" t="s">
        <v>2129</v>
      </c>
      <c r="C11530">
        <v>25.5</v>
      </c>
      <c r="D11530">
        <v>94</v>
      </c>
      <c r="E11530">
        <f>IF(OR(B11530="vi",B11530="ii",B11530="pod"),(((D11530/100)*(C11530*VLOOKUP(B11530,'Poids des runes'!A:B,2,FALSE)))+1),(((D11530/100)*(C11530*VLOOKUP(B11530,'Poids des runes'!A:B,2,FALSE)))+1)/VLOOKUP(B11530,'Poids des runes'!A:B,2,FALSE))</f>
        <v>24.97</v>
      </c>
      <c r="F11530">
        <f t="shared" si="180"/>
        <v>24.97</v>
      </c>
    </row>
    <row r="11531" spans="1:6" x14ac:dyDescent="0.3">
      <c r="A11531" t="s">
        <v>1888</v>
      </c>
      <c r="B11531" t="s">
        <v>2155</v>
      </c>
      <c r="C11531">
        <v>1</v>
      </c>
      <c r="D11531">
        <v>94</v>
      </c>
      <c r="E11531">
        <f>IF(OR(B11531="vi",B11531="ii",B11531="pod"),(((D11531/100)*(C11531*VLOOKUP(B11531,'Poids des runes'!A:B,2,FALSE)))+1),(((D11531/100)*(C11531*VLOOKUP(B11531,'Poids des runes'!A:B,2,FALSE)))+1)/VLOOKUP(B11531,'Poids des runes'!A:B,2,FALSE))</f>
        <v>0.95960784313725489</v>
      </c>
      <c r="F11531">
        <f t="shared" si="180"/>
        <v>0.95960784313725489</v>
      </c>
    </row>
    <row r="11532" spans="1:6" x14ac:dyDescent="0.3">
      <c r="A11532" t="s">
        <v>1888</v>
      </c>
      <c r="B11532" t="s">
        <v>2133</v>
      </c>
      <c r="C11532">
        <v>8.5</v>
      </c>
      <c r="D11532">
        <v>94</v>
      </c>
      <c r="E11532">
        <f>IF(OR(B11532="vi",B11532="ii",B11532="pod"),(((D11532/100)*(C11532*VLOOKUP(B11532,'Poids des runes'!A:B,2,FALSE)))+1),(((D11532/100)*(C11532*VLOOKUP(B11532,'Poids des runes'!A:B,2,FALSE)))+1)/VLOOKUP(B11532,'Poids des runes'!A:B,2,FALSE))</f>
        <v>8.19</v>
      </c>
      <c r="F11532">
        <f t="shared" si="180"/>
        <v>8.19</v>
      </c>
    </row>
    <row r="11533" spans="1:6" x14ac:dyDescent="0.3">
      <c r="A11533" t="s">
        <v>1888</v>
      </c>
      <c r="B11533" t="s">
        <v>2161</v>
      </c>
      <c r="C11533">
        <v>8.5</v>
      </c>
      <c r="D11533">
        <v>94</v>
      </c>
      <c r="E11533">
        <f>IF(OR(B11533="vi",B11533="ii",B11533="pod"),(((D11533/100)*(C11533*VLOOKUP(B11533,'Poids des runes'!A:B,2,FALSE)))+1),(((D11533/100)*(C11533*VLOOKUP(B11533,'Poids des runes'!A:B,2,FALSE)))+1)/VLOOKUP(B11533,'Poids des runes'!A:B,2,FALSE))</f>
        <v>8.3233333333333324</v>
      </c>
      <c r="F11533">
        <f t="shared" si="180"/>
        <v>8.3233333333333324</v>
      </c>
    </row>
    <row r="11534" spans="1:6" x14ac:dyDescent="0.3">
      <c r="A11534" t="s">
        <v>1889</v>
      </c>
      <c r="B11534" t="s">
        <v>2128</v>
      </c>
      <c r="C11534">
        <v>85.5</v>
      </c>
      <c r="D11534">
        <v>95</v>
      </c>
      <c r="E11534">
        <f>IF(OR(B11534="vi",B11534="ii",B11534="pod"),(((D11534/100)*(C11534*VLOOKUP(B11534,'Poids des runes'!A:B,2,FALSE)))+1),(((D11534/100)*(C11534*VLOOKUP(B11534,'Poids des runes'!A:B,2,FALSE)))+1)/VLOOKUP(B11534,'Poids des runes'!A:B,2,FALSE))</f>
        <v>17.245000000000001</v>
      </c>
      <c r="F11534">
        <f t="shared" si="180"/>
        <v>17.245000000000001</v>
      </c>
    </row>
    <row r="11535" spans="1:6" x14ac:dyDescent="0.3">
      <c r="A11535" t="s">
        <v>1889</v>
      </c>
      <c r="B11535" t="s">
        <v>2130</v>
      </c>
      <c r="C11535">
        <v>45.5</v>
      </c>
      <c r="D11535">
        <v>95</v>
      </c>
      <c r="E11535">
        <f>IF(OR(B11535="vi",B11535="ii",B11535="pod"),(((D11535/100)*(C11535*VLOOKUP(B11535,'Poids des runes'!A:B,2,FALSE)))+1),(((D11535/100)*(C11535*VLOOKUP(B11535,'Poids des runes'!A:B,2,FALSE)))+1)/VLOOKUP(B11535,'Poids des runes'!A:B,2,FALSE))</f>
        <v>44.225000000000001</v>
      </c>
      <c r="F11535">
        <f t="shared" si="180"/>
        <v>44.225000000000001</v>
      </c>
    </row>
    <row r="11536" spans="1:6" x14ac:dyDescent="0.3">
      <c r="A11536" t="s">
        <v>1889</v>
      </c>
      <c r="B11536" t="s">
        <v>2127</v>
      </c>
      <c r="C11536">
        <v>45.5</v>
      </c>
      <c r="D11536">
        <v>95</v>
      </c>
      <c r="E11536">
        <f>IF(OR(B11536="vi",B11536="ii",B11536="pod"),(((D11536/100)*(C11536*VLOOKUP(B11536,'Poids des runes'!A:B,2,FALSE)))+1),(((D11536/100)*(C11536*VLOOKUP(B11536,'Poids des runes'!A:B,2,FALSE)))+1)/VLOOKUP(B11536,'Poids des runes'!A:B,2,FALSE))</f>
        <v>44.225000000000001</v>
      </c>
      <c r="F11536">
        <f t="shared" si="180"/>
        <v>44.225000000000001</v>
      </c>
    </row>
    <row r="11537" spans="1:6" x14ac:dyDescent="0.3">
      <c r="A11537" t="s">
        <v>1889</v>
      </c>
      <c r="B11537" t="s">
        <v>2151</v>
      </c>
      <c r="C11537">
        <v>4.5</v>
      </c>
      <c r="D11537">
        <v>95</v>
      </c>
      <c r="E11537">
        <f>IF(OR(B11537="vi",B11537="ii",B11537="pod"),(((D11537/100)*(C11537*VLOOKUP(B11537,'Poids des runes'!A:B,2,FALSE)))+1),(((D11537/100)*(C11537*VLOOKUP(B11537,'Poids des runes'!A:B,2,FALSE)))+1)/VLOOKUP(B11537,'Poids des runes'!A:B,2,FALSE))</f>
        <v>4.375</v>
      </c>
      <c r="F11537">
        <f t="shared" si="180"/>
        <v>4.375</v>
      </c>
    </row>
    <row r="11538" spans="1:6" x14ac:dyDescent="0.3">
      <c r="A11538" t="s">
        <v>1889</v>
      </c>
      <c r="B11538" t="s">
        <v>2134</v>
      </c>
      <c r="C11538">
        <v>4.5</v>
      </c>
      <c r="D11538">
        <v>95</v>
      </c>
      <c r="E11538">
        <f>IF(OR(B11538="vi",B11538="ii",B11538="pod"),(((D11538/100)*(C11538*VLOOKUP(B11538,'Poids des runes'!A:B,2,FALSE)))+1),(((D11538/100)*(C11538*VLOOKUP(B11538,'Poids des runes'!A:B,2,FALSE)))+1)/VLOOKUP(B11538,'Poids des runes'!A:B,2,FALSE))</f>
        <v>4.3250000000000002</v>
      </c>
      <c r="F11538">
        <f t="shared" si="180"/>
        <v>4.3250000000000002</v>
      </c>
    </row>
    <row r="11539" spans="1:6" x14ac:dyDescent="0.3">
      <c r="A11539" t="s">
        <v>1889</v>
      </c>
      <c r="B11539" t="s">
        <v>2161</v>
      </c>
      <c r="C11539">
        <v>4.5</v>
      </c>
      <c r="D11539">
        <v>95</v>
      </c>
      <c r="E11539">
        <f>IF(OR(B11539="vi",B11539="ii",B11539="pod"),(((D11539/100)*(C11539*VLOOKUP(B11539,'Poids des runes'!A:B,2,FALSE)))+1),(((D11539/100)*(C11539*VLOOKUP(B11539,'Poids des runes'!A:B,2,FALSE)))+1)/VLOOKUP(B11539,'Poids des runes'!A:B,2,FALSE))</f>
        <v>4.6083333333333334</v>
      </c>
      <c r="F11539">
        <f t="shared" si="180"/>
        <v>4.6083333333333334</v>
      </c>
    </row>
    <row r="11540" spans="1:6" x14ac:dyDescent="0.3">
      <c r="A11540" t="s">
        <v>1889</v>
      </c>
      <c r="B11540" t="s">
        <v>2132</v>
      </c>
      <c r="C11540">
        <v>375.5</v>
      </c>
      <c r="D11540">
        <v>95</v>
      </c>
      <c r="E11540">
        <f>IF(OR(B11540="vi",B11540="ii",B11540="pod"),(((D11540/100)*(C11540*VLOOKUP(B11540,'Poids des runes'!A:B,2,FALSE)))+1),(((D11540/100)*(C11540*VLOOKUP(B11540,'Poids des runes'!A:B,2,FALSE)))+1)/VLOOKUP(B11540,'Poids des runes'!A:B,2,FALSE))</f>
        <v>36.672499999999999</v>
      </c>
      <c r="F11540">
        <f t="shared" si="180"/>
        <v>36.672499999999999</v>
      </c>
    </row>
    <row r="11541" spans="1:6" x14ac:dyDescent="0.3">
      <c r="A11541" t="s">
        <v>1890</v>
      </c>
      <c r="B11541" t="s">
        <v>2128</v>
      </c>
      <c r="C11541">
        <v>85.5</v>
      </c>
      <c r="D11541">
        <v>95</v>
      </c>
      <c r="E11541">
        <f>IF(OR(B11541="vi",B11541="ii",B11541="pod"),(((D11541/100)*(C11541*VLOOKUP(B11541,'Poids des runes'!A:B,2,FALSE)))+1),(((D11541/100)*(C11541*VLOOKUP(B11541,'Poids des runes'!A:B,2,FALSE)))+1)/VLOOKUP(B11541,'Poids des runes'!A:B,2,FALSE))</f>
        <v>17.245000000000001</v>
      </c>
      <c r="F11541">
        <f t="shared" si="180"/>
        <v>17.245000000000001</v>
      </c>
    </row>
    <row r="11542" spans="1:6" x14ac:dyDescent="0.3">
      <c r="A11542" t="s">
        <v>1890</v>
      </c>
      <c r="B11542" t="s">
        <v>2149</v>
      </c>
      <c r="C11542">
        <v>6</v>
      </c>
      <c r="D11542">
        <v>95</v>
      </c>
      <c r="E11542">
        <f>IF(OR(B11542="vi",B11542="ii",B11542="pod"),(((D11542/100)*(C11542*VLOOKUP(B11542,'Poids des runes'!A:B,2,FALSE)))+1),(((D11542/100)*(C11542*VLOOKUP(B11542,'Poids des runes'!A:B,2,FALSE)))+1)/VLOOKUP(B11542,'Poids des runes'!A:B,2,FALSE))</f>
        <v>5.8</v>
      </c>
      <c r="F11542">
        <f t="shared" si="180"/>
        <v>5.8</v>
      </c>
    </row>
    <row r="11543" spans="1:6" x14ac:dyDescent="0.3">
      <c r="A11543" t="s">
        <v>1890</v>
      </c>
      <c r="B11543" t="s">
        <v>2141</v>
      </c>
      <c r="C11543">
        <v>6</v>
      </c>
      <c r="D11543">
        <v>95</v>
      </c>
      <c r="E11543">
        <f>IF(OR(B11543="vi",B11543="ii",B11543="pod"),(((D11543/100)*(C11543*VLOOKUP(B11543,'Poids des runes'!A:B,2,FALSE)))+1),(((D11543/100)*(C11543*VLOOKUP(B11543,'Poids des runes'!A:B,2,FALSE)))+1)/VLOOKUP(B11543,'Poids des runes'!A:B,2,FALSE))</f>
        <v>5.9499999999999993</v>
      </c>
      <c r="F11543">
        <f t="shared" si="180"/>
        <v>5.9499999999999993</v>
      </c>
    </row>
    <row r="11544" spans="1:6" x14ac:dyDescent="0.3">
      <c r="A11544" t="s">
        <v>1890</v>
      </c>
      <c r="B11544" t="s">
        <v>2148</v>
      </c>
      <c r="C11544">
        <v>4.5</v>
      </c>
      <c r="D11544">
        <v>95</v>
      </c>
      <c r="E11544">
        <f>IF(OR(B11544="vi",B11544="ii",B11544="pod"),(((D11544/100)*(C11544*VLOOKUP(B11544,'Poids des runes'!A:B,2,FALSE)))+1),(((D11544/100)*(C11544*VLOOKUP(B11544,'Poids des runes'!A:B,2,FALSE)))+1)/VLOOKUP(B11544,'Poids des runes'!A:B,2,FALSE))</f>
        <v>4.4416666666666664</v>
      </c>
      <c r="F11544">
        <f t="shared" si="180"/>
        <v>4.4416666666666664</v>
      </c>
    </row>
    <row r="11545" spans="1:6" x14ac:dyDescent="0.3">
      <c r="A11545" t="s">
        <v>1890</v>
      </c>
      <c r="B11545" t="s">
        <v>2147</v>
      </c>
      <c r="C11545">
        <v>4.5</v>
      </c>
      <c r="D11545">
        <v>95</v>
      </c>
      <c r="E11545">
        <f>IF(OR(B11545="vi",B11545="ii",B11545="pod"),(((D11545/100)*(C11545*VLOOKUP(B11545,'Poids des runes'!A:B,2,FALSE)))+1),(((D11545/100)*(C11545*VLOOKUP(B11545,'Poids des runes'!A:B,2,FALSE)))+1)/VLOOKUP(B11545,'Poids des runes'!A:B,2,FALSE))</f>
        <v>4.4416666666666664</v>
      </c>
      <c r="F11545">
        <f t="shared" si="180"/>
        <v>4.4416666666666664</v>
      </c>
    </row>
    <row r="11546" spans="1:6" x14ac:dyDescent="0.3">
      <c r="A11546" t="s">
        <v>1890</v>
      </c>
      <c r="B11546" t="s">
        <v>2135</v>
      </c>
      <c r="C11546">
        <v>4.5</v>
      </c>
      <c r="D11546">
        <v>95</v>
      </c>
      <c r="E11546">
        <f>IF(OR(B11546="vi",B11546="ii",B11546="pod"),(((D11546/100)*(C11546*VLOOKUP(B11546,'Poids des runes'!A:B,2,FALSE)))+1),(((D11546/100)*(C11546*VLOOKUP(B11546,'Poids des runes'!A:B,2,FALSE)))+1)/VLOOKUP(B11546,'Poids des runes'!A:B,2,FALSE))</f>
        <v>4.4416666666666664</v>
      </c>
      <c r="F11546">
        <f t="shared" si="180"/>
        <v>4.4416666666666664</v>
      </c>
    </row>
    <row r="11547" spans="1:6" x14ac:dyDescent="0.3">
      <c r="A11547" t="s">
        <v>1890</v>
      </c>
      <c r="B11547" t="s">
        <v>2157</v>
      </c>
      <c r="C11547">
        <v>4.5</v>
      </c>
      <c r="D11547">
        <v>95</v>
      </c>
      <c r="E11547">
        <f>IF(OR(B11547="vi",B11547="ii",B11547="pod"),(((D11547/100)*(C11547*VLOOKUP(B11547,'Poids des runes'!A:B,2,FALSE)))+1),(((D11547/100)*(C11547*VLOOKUP(B11547,'Poids des runes'!A:B,2,FALSE)))+1)/VLOOKUP(B11547,'Poids des runes'!A:B,2,FALSE))</f>
        <v>4.4416666666666664</v>
      </c>
      <c r="F11547">
        <f t="shared" si="180"/>
        <v>4.4416666666666664</v>
      </c>
    </row>
    <row r="11548" spans="1:6" x14ac:dyDescent="0.3">
      <c r="A11548" t="s">
        <v>1891</v>
      </c>
      <c r="B11548" t="s">
        <v>2130</v>
      </c>
      <c r="C11548">
        <v>25.5</v>
      </c>
      <c r="D11548">
        <v>96</v>
      </c>
      <c r="E11548">
        <f>IF(OR(B11548="vi",B11548="ii",B11548="pod"),(((D11548/100)*(C11548*VLOOKUP(B11548,'Poids des runes'!A:B,2,FALSE)))+1),(((D11548/100)*(C11548*VLOOKUP(B11548,'Poids des runes'!A:B,2,FALSE)))+1)/VLOOKUP(B11548,'Poids des runes'!A:B,2,FALSE))</f>
        <v>25.48</v>
      </c>
      <c r="F11548">
        <f t="shared" si="180"/>
        <v>25.48</v>
      </c>
    </row>
    <row r="11549" spans="1:6" x14ac:dyDescent="0.3">
      <c r="A11549" t="s">
        <v>1891</v>
      </c>
      <c r="B11549" t="s">
        <v>2126</v>
      </c>
      <c r="C11549">
        <v>25.5</v>
      </c>
      <c r="D11549">
        <v>96</v>
      </c>
      <c r="E11549">
        <f>IF(OR(B11549="vi",B11549="ii",B11549="pod"),(((D11549/100)*(C11549*VLOOKUP(B11549,'Poids des runes'!A:B,2,FALSE)))+1),(((D11549/100)*(C11549*VLOOKUP(B11549,'Poids des runes'!A:B,2,FALSE)))+1)/VLOOKUP(B11549,'Poids des runes'!A:B,2,FALSE))</f>
        <v>25.48</v>
      </c>
      <c r="F11549">
        <f t="shared" si="180"/>
        <v>25.48</v>
      </c>
    </row>
    <row r="11550" spans="1:6" x14ac:dyDescent="0.3">
      <c r="A11550" t="s">
        <v>1891</v>
      </c>
      <c r="B11550" t="s">
        <v>2131</v>
      </c>
      <c r="C11550">
        <v>25.5</v>
      </c>
      <c r="D11550">
        <v>96</v>
      </c>
      <c r="E11550">
        <f>IF(OR(B11550="vi",B11550="ii",B11550="pod"),(((D11550/100)*(C11550*VLOOKUP(B11550,'Poids des runes'!A:B,2,FALSE)))+1),(((D11550/100)*(C11550*VLOOKUP(B11550,'Poids des runes'!A:B,2,FALSE)))+1)/VLOOKUP(B11550,'Poids des runes'!A:B,2,FALSE))</f>
        <v>25.48</v>
      </c>
      <c r="F11550">
        <f t="shared" si="180"/>
        <v>25.48</v>
      </c>
    </row>
    <row r="11551" spans="1:6" x14ac:dyDescent="0.3">
      <c r="A11551" t="s">
        <v>1891</v>
      </c>
      <c r="B11551" t="s">
        <v>2127</v>
      </c>
      <c r="C11551">
        <v>25.5</v>
      </c>
      <c r="D11551">
        <v>96</v>
      </c>
      <c r="E11551">
        <f>IF(OR(B11551="vi",B11551="ii",B11551="pod"),(((D11551/100)*(C11551*VLOOKUP(B11551,'Poids des runes'!A:B,2,FALSE)))+1),(((D11551/100)*(C11551*VLOOKUP(B11551,'Poids des runes'!A:B,2,FALSE)))+1)/VLOOKUP(B11551,'Poids des runes'!A:B,2,FALSE))</f>
        <v>25.48</v>
      </c>
      <c r="F11551">
        <f t="shared" si="180"/>
        <v>25.48</v>
      </c>
    </row>
    <row r="11552" spans="1:6" x14ac:dyDescent="0.3">
      <c r="A11552" t="s">
        <v>1891</v>
      </c>
      <c r="B11552" t="s">
        <v>2129</v>
      </c>
      <c r="C11552">
        <v>18</v>
      </c>
      <c r="D11552">
        <v>96</v>
      </c>
      <c r="E11552">
        <f>IF(OR(B11552="vi",B11552="ii",B11552="pod"),(((D11552/100)*(C11552*VLOOKUP(B11552,'Poids des runes'!A:B,2,FALSE)))+1),(((D11552/100)*(C11552*VLOOKUP(B11552,'Poids des runes'!A:B,2,FALSE)))+1)/VLOOKUP(B11552,'Poids des runes'!A:B,2,FALSE))</f>
        <v>18.28</v>
      </c>
      <c r="F11552">
        <f t="shared" si="180"/>
        <v>18.28</v>
      </c>
    </row>
    <row r="11553" spans="1:6" x14ac:dyDescent="0.3">
      <c r="A11553" t="s">
        <v>1891</v>
      </c>
      <c r="B11553" t="s">
        <v>2139</v>
      </c>
      <c r="C11553">
        <v>25.5</v>
      </c>
      <c r="D11553">
        <v>96</v>
      </c>
      <c r="E11553">
        <f>IF(OR(B11553="vi",B11553="ii",B11553="pod"),(((D11553/100)*(C11553*VLOOKUP(B11553,'Poids des runes'!A:B,2,FALSE)))+1),(((D11553/100)*(C11553*VLOOKUP(B11553,'Poids des runes'!A:B,2,FALSE)))+1)/VLOOKUP(B11553,'Poids des runes'!A:B,2,FALSE))</f>
        <v>24.98</v>
      </c>
      <c r="F11553">
        <f t="shared" si="180"/>
        <v>24.98</v>
      </c>
    </row>
    <row r="11554" spans="1:6" x14ac:dyDescent="0.3">
      <c r="A11554" t="s">
        <v>1891</v>
      </c>
      <c r="B11554" t="s">
        <v>2134</v>
      </c>
      <c r="C11554">
        <v>6</v>
      </c>
      <c r="D11554">
        <v>96</v>
      </c>
      <c r="E11554">
        <f>IF(OR(B11554="vi",B11554="ii",B11554="pod"),(((D11554/100)*(C11554*VLOOKUP(B11554,'Poids des runes'!A:B,2,FALSE)))+1),(((D11554/100)*(C11554*VLOOKUP(B11554,'Poids des runes'!A:B,2,FALSE)))+1)/VLOOKUP(B11554,'Poids des runes'!A:B,2,FALSE))</f>
        <v>5.81</v>
      </c>
      <c r="F11554">
        <f t="shared" si="180"/>
        <v>5.81</v>
      </c>
    </row>
    <row r="11555" spans="1:6" x14ac:dyDescent="0.3">
      <c r="A11555" t="s">
        <v>1891</v>
      </c>
      <c r="B11555" t="s">
        <v>2158</v>
      </c>
      <c r="C11555">
        <v>5</v>
      </c>
      <c r="D11555">
        <v>96</v>
      </c>
      <c r="E11555">
        <f>IF(OR(B11555="vi",B11555="ii",B11555="pod"),(((D11555/100)*(C11555*VLOOKUP(B11555,'Poids des runes'!A:B,2,FALSE)))+1),(((D11555/100)*(C11555*VLOOKUP(B11555,'Poids des runes'!A:B,2,FALSE)))+1)/VLOOKUP(B11555,'Poids des runes'!A:B,2,FALSE))</f>
        <v>5</v>
      </c>
      <c r="F11555">
        <f t="shared" si="180"/>
        <v>5</v>
      </c>
    </row>
    <row r="11556" spans="1:6" x14ac:dyDescent="0.3">
      <c r="A11556" t="s">
        <v>1892</v>
      </c>
      <c r="B11556" t="s">
        <v>2128</v>
      </c>
      <c r="C11556">
        <v>100.5</v>
      </c>
      <c r="D11556">
        <v>96</v>
      </c>
      <c r="E11556">
        <f>IF(OR(B11556="vi",B11556="ii",B11556="pod"),(((D11556/100)*(C11556*VLOOKUP(B11556,'Poids des runes'!A:B,2,FALSE)))+1),(((D11556/100)*(C11556*VLOOKUP(B11556,'Poids des runes'!A:B,2,FALSE)))+1)/VLOOKUP(B11556,'Poids des runes'!A:B,2,FALSE))</f>
        <v>20.295999999999999</v>
      </c>
      <c r="F11556">
        <f t="shared" si="180"/>
        <v>20.295999999999999</v>
      </c>
    </row>
    <row r="11557" spans="1:6" x14ac:dyDescent="0.3">
      <c r="A11557" t="s">
        <v>1892</v>
      </c>
      <c r="B11557" t="s">
        <v>2126</v>
      </c>
      <c r="C11557">
        <v>45.5</v>
      </c>
      <c r="D11557">
        <v>96</v>
      </c>
      <c r="E11557">
        <f>IF(OR(B11557="vi",B11557="ii",B11557="pod"),(((D11557/100)*(C11557*VLOOKUP(B11557,'Poids des runes'!A:B,2,FALSE)))+1),(((D11557/100)*(C11557*VLOOKUP(B11557,'Poids des runes'!A:B,2,FALSE)))+1)/VLOOKUP(B11557,'Poids des runes'!A:B,2,FALSE))</f>
        <v>44.68</v>
      </c>
      <c r="F11557">
        <f t="shared" si="180"/>
        <v>44.68</v>
      </c>
    </row>
    <row r="11558" spans="1:6" x14ac:dyDescent="0.3">
      <c r="A11558" t="s">
        <v>1892</v>
      </c>
      <c r="B11558" t="s">
        <v>2127</v>
      </c>
      <c r="C11558">
        <v>45.5</v>
      </c>
      <c r="D11558">
        <v>96</v>
      </c>
      <c r="E11558">
        <f>IF(OR(B11558="vi",B11558="ii",B11558="pod"),(((D11558/100)*(C11558*VLOOKUP(B11558,'Poids des runes'!A:B,2,FALSE)))+1),(((D11558/100)*(C11558*VLOOKUP(B11558,'Poids des runes'!A:B,2,FALSE)))+1)/VLOOKUP(B11558,'Poids des runes'!A:B,2,FALSE))</f>
        <v>44.68</v>
      </c>
      <c r="F11558">
        <f t="shared" si="180"/>
        <v>44.68</v>
      </c>
    </row>
    <row r="11559" spans="1:6" x14ac:dyDescent="0.3">
      <c r="A11559" t="s">
        <v>1892</v>
      </c>
      <c r="B11559" t="s">
        <v>2140</v>
      </c>
      <c r="C11559">
        <v>6</v>
      </c>
      <c r="D11559">
        <v>96</v>
      </c>
      <c r="E11559">
        <f>IF(OR(B11559="vi",B11559="ii",B11559="pod"),(((D11559/100)*(C11559*VLOOKUP(B11559,'Poids des runes'!A:B,2,FALSE)))+1),(((D11559/100)*(C11559*VLOOKUP(B11559,'Poids des runes'!A:B,2,FALSE)))+1)/VLOOKUP(B11559,'Poids des runes'!A:B,2,FALSE))</f>
        <v>5.9599999999999991</v>
      </c>
      <c r="F11559">
        <f t="shared" si="180"/>
        <v>5.9599999999999991</v>
      </c>
    </row>
    <row r="11560" spans="1:6" x14ac:dyDescent="0.3">
      <c r="A11560" t="s">
        <v>1892</v>
      </c>
      <c r="B11560" t="s">
        <v>2132</v>
      </c>
      <c r="C11560">
        <v>225.5</v>
      </c>
      <c r="D11560">
        <v>96</v>
      </c>
      <c r="E11560">
        <f>IF(OR(B11560="vi",B11560="ii",B11560="pod"),(((D11560/100)*(C11560*VLOOKUP(B11560,'Poids des runes'!A:B,2,FALSE)))+1),(((D11560/100)*(C11560*VLOOKUP(B11560,'Poids des runes'!A:B,2,FALSE)))+1)/VLOOKUP(B11560,'Poids des runes'!A:B,2,FALSE))</f>
        <v>22.648</v>
      </c>
      <c r="F11560">
        <f t="shared" si="180"/>
        <v>22.648</v>
      </c>
    </row>
    <row r="11561" spans="1:6" x14ac:dyDescent="0.3">
      <c r="A11561" t="s">
        <v>1892</v>
      </c>
      <c r="B11561" t="s">
        <v>2156</v>
      </c>
      <c r="C11561">
        <v>2.5</v>
      </c>
      <c r="D11561">
        <v>96</v>
      </c>
      <c r="E11561">
        <f>IF(OR(B11561="vi",B11561="ii",B11561="pod"),(((D11561/100)*(C11561*VLOOKUP(B11561,'Poids des runes'!A:B,2,FALSE)))+1),(((D11561/100)*(C11561*VLOOKUP(B11561,'Poids des runes'!A:B,2,FALSE)))+1)/VLOOKUP(B11561,'Poids des runes'!A:B,2,FALSE))</f>
        <v>2.5666666666666664</v>
      </c>
      <c r="F11561">
        <f t="shared" si="180"/>
        <v>2.5666666666666664</v>
      </c>
    </row>
    <row r="11562" spans="1:6" x14ac:dyDescent="0.3">
      <c r="A11562" t="s">
        <v>1892</v>
      </c>
      <c r="B11562" t="s">
        <v>2147</v>
      </c>
      <c r="C11562">
        <v>2.5</v>
      </c>
      <c r="D11562">
        <v>96</v>
      </c>
      <c r="E11562">
        <f>IF(OR(B11562="vi",B11562="ii",B11562="pod"),(((D11562/100)*(C11562*VLOOKUP(B11562,'Poids des runes'!A:B,2,FALSE)))+1),(((D11562/100)*(C11562*VLOOKUP(B11562,'Poids des runes'!A:B,2,FALSE)))+1)/VLOOKUP(B11562,'Poids des runes'!A:B,2,FALSE))</f>
        <v>2.5666666666666664</v>
      </c>
      <c r="F11562">
        <f t="shared" si="180"/>
        <v>2.5666666666666664</v>
      </c>
    </row>
    <row r="11563" spans="1:6" x14ac:dyDescent="0.3">
      <c r="A11563" t="s">
        <v>1893</v>
      </c>
      <c r="B11563" t="s">
        <v>2128</v>
      </c>
      <c r="C11563">
        <v>85.5</v>
      </c>
      <c r="D11563">
        <v>96</v>
      </c>
      <c r="E11563">
        <f>IF(OR(B11563="vi",B11563="ii",B11563="pod"),(((D11563/100)*(C11563*VLOOKUP(B11563,'Poids des runes'!A:B,2,FALSE)))+1),(((D11563/100)*(C11563*VLOOKUP(B11563,'Poids des runes'!A:B,2,FALSE)))+1)/VLOOKUP(B11563,'Poids des runes'!A:B,2,FALSE))</f>
        <v>17.416</v>
      </c>
      <c r="F11563">
        <f t="shared" si="180"/>
        <v>17.416</v>
      </c>
    </row>
    <row r="11564" spans="1:6" x14ac:dyDescent="0.3">
      <c r="A11564" t="s">
        <v>1893</v>
      </c>
      <c r="B11564" t="s">
        <v>2130</v>
      </c>
      <c r="C11564">
        <v>35.5</v>
      </c>
      <c r="D11564">
        <v>96</v>
      </c>
      <c r="E11564">
        <f>IF(OR(B11564="vi",B11564="ii",B11564="pod"),(((D11564/100)*(C11564*VLOOKUP(B11564,'Poids des runes'!A:B,2,FALSE)))+1),(((D11564/100)*(C11564*VLOOKUP(B11564,'Poids des runes'!A:B,2,FALSE)))+1)/VLOOKUP(B11564,'Poids des runes'!A:B,2,FALSE))</f>
        <v>35.08</v>
      </c>
      <c r="F11564">
        <f t="shared" si="180"/>
        <v>35.08</v>
      </c>
    </row>
    <row r="11565" spans="1:6" x14ac:dyDescent="0.3">
      <c r="A11565" t="s">
        <v>1893</v>
      </c>
      <c r="B11565" t="s">
        <v>2131</v>
      </c>
      <c r="C11565">
        <v>35.5</v>
      </c>
      <c r="D11565">
        <v>96</v>
      </c>
      <c r="E11565">
        <f>IF(OR(B11565="vi",B11565="ii",B11565="pod"),(((D11565/100)*(C11565*VLOOKUP(B11565,'Poids des runes'!A:B,2,FALSE)))+1),(((D11565/100)*(C11565*VLOOKUP(B11565,'Poids des runes'!A:B,2,FALSE)))+1)/VLOOKUP(B11565,'Poids des runes'!A:B,2,FALSE))</f>
        <v>35.08</v>
      </c>
      <c r="F11565">
        <f t="shared" si="180"/>
        <v>35.08</v>
      </c>
    </row>
    <row r="11566" spans="1:6" x14ac:dyDescent="0.3">
      <c r="A11566" t="s">
        <v>1893</v>
      </c>
      <c r="B11566" t="s">
        <v>2129</v>
      </c>
      <c r="C11566">
        <v>13</v>
      </c>
      <c r="D11566">
        <v>96</v>
      </c>
      <c r="E11566">
        <f>IF(OR(B11566="vi",B11566="ii",B11566="pod"),(((D11566/100)*(C11566*VLOOKUP(B11566,'Poids des runes'!A:B,2,FALSE)))+1),(((D11566/100)*(C11566*VLOOKUP(B11566,'Poids des runes'!A:B,2,FALSE)))+1)/VLOOKUP(B11566,'Poids des runes'!A:B,2,FALSE))</f>
        <v>13.48</v>
      </c>
      <c r="F11566">
        <f t="shared" si="180"/>
        <v>13.48</v>
      </c>
    </row>
    <row r="11567" spans="1:6" x14ac:dyDescent="0.3">
      <c r="A11567" t="s">
        <v>1893</v>
      </c>
      <c r="B11567" t="s">
        <v>2143</v>
      </c>
      <c r="C11567">
        <v>3.5</v>
      </c>
      <c r="D11567">
        <v>96</v>
      </c>
      <c r="E11567">
        <f>IF(OR(B11567="vi",B11567="ii",B11567="pod"),(((D11567/100)*(C11567*VLOOKUP(B11567,'Poids des runes'!A:B,2,FALSE)))+1),(((D11567/100)*(C11567*VLOOKUP(B11567,'Poids des runes'!A:B,2,FALSE)))+1)/VLOOKUP(B11567,'Poids des runes'!A:B,2,FALSE))</f>
        <v>3.56</v>
      </c>
      <c r="F11567">
        <f t="shared" si="180"/>
        <v>3.56</v>
      </c>
    </row>
    <row r="11568" spans="1:6" x14ac:dyDescent="0.3">
      <c r="A11568" t="s">
        <v>1893</v>
      </c>
      <c r="B11568" t="s">
        <v>2133</v>
      </c>
      <c r="C11568">
        <v>3.5</v>
      </c>
      <c r="D11568">
        <v>96</v>
      </c>
      <c r="E11568">
        <f>IF(OR(B11568="vi",B11568="ii",B11568="pod"),(((D11568/100)*(C11568*VLOOKUP(B11568,'Poids des runes'!A:B,2,FALSE)))+1),(((D11568/100)*(C11568*VLOOKUP(B11568,'Poids des runes'!A:B,2,FALSE)))+1)/VLOOKUP(B11568,'Poids des runes'!A:B,2,FALSE))</f>
        <v>3.56</v>
      </c>
      <c r="F11568">
        <f t="shared" si="180"/>
        <v>3.56</v>
      </c>
    </row>
    <row r="11569" spans="1:6" x14ac:dyDescent="0.3">
      <c r="A11569" t="s">
        <v>1893</v>
      </c>
      <c r="B11569" t="s">
        <v>2160</v>
      </c>
      <c r="C11569">
        <v>2.5</v>
      </c>
      <c r="D11569">
        <v>96</v>
      </c>
      <c r="E11569">
        <f>IF(OR(B11569="vi",B11569="ii",B11569="pod"),(((D11569/100)*(C11569*VLOOKUP(B11569,'Poids des runes'!A:B,2,FALSE)))+1),(((D11569/100)*(C11569*VLOOKUP(B11569,'Poids des runes'!A:B,2,FALSE)))+1)/VLOOKUP(B11569,'Poids des runes'!A:B,2,FALSE))</f>
        <v>2.5428571428571431</v>
      </c>
      <c r="F11569">
        <f t="shared" si="180"/>
        <v>2.5428571428571431</v>
      </c>
    </row>
    <row r="11570" spans="1:6" x14ac:dyDescent="0.3">
      <c r="A11570" t="s">
        <v>1893</v>
      </c>
      <c r="B11570" t="s">
        <v>2147</v>
      </c>
      <c r="C11570">
        <v>6</v>
      </c>
      <c r="D11570">
        <v>96</v>
      </c>
      <c r="E11570">
        <f>IF(OR(B11570="vi",B11570="ii",B11570="pod"),(((D11570/100)*(C11570*VLOOKUP(B11570,'Poids des runes'!A:B,2,FALSE)))+1),(((D11570/100)*(C11570*VLOOKUP(B11570,'Poids des runes'!A:B,2,FALSE)))+1)/VLOOKUP(B11570,'Poids des runes'!A:B,2,FALSE))</f>
        <v>5.9266666666666667</v>
      </c>
      <c r="F11570">
        <f t="shared" si="180"/>
        <v>5.9266666666666667</v>
      </c>
    </row>
    <row r="11571" spans="1:6" x14ac:dyDescent="0.3">
      <c r="A11571" t="s">
        <v>1894</v>
      </c>
      <c r="B11571" t="s">
        <v>2128</v>
      </c>
      <c r="C11571">
        <v>125.5</v>
      </c>
      <c r="D11571">
        <v>97</v>
      </c>
      <c r="E11571">
        <f>IF(OR(B11571="vi",B11571="ii",B11571="pod"),(((D11571/100)*(C11571*VLOOKUP(B11571,'Poids des runes'!A:B,2,FALSE)))+1),(((D11571/100)*(C11571*VLOOKUP(B11571,'Poids des runes'!A:B,2,FALSE)))+1)/VLOOKUP(B11571,'Poids des runes'!A:B,2,FALSE))</f>
        <v>25.347000000000001</v>
      </c>
      <c r="F11571">
        <f t="shared" si="180"/>
        <v>25.347000000000001</v>
      </c>
    </row>
    <row r="11572" spans="1:6" x14ac:dyDescent="0.3">
      <c r="A11572" t="s">
        <v>1894</v>
      </c>
      <c r="B11572" t="s">
        <v>2130</v>
      </c>
      <c r="C11572">
        <v>40.5</v>
      </c>
      <c r="D11572">
        <v>97</v>
      </c>
      <c r="E11572">
        <f>IF(OR(B11572="vi",B11572="ii",B11572="pod"),(((D11572/100)*(C11572*VLOOKUP(B11572,'Poids des runes'!A:B,2,FALSE)))+1),(((D11572/100)*(C11572*VLOOKUP(B11572,'Poids des runes'!A:B,2,FALSE)))+1)/VLOOKUP(B11572,'Poids des runes'!A:B,2,FALSE))</f>
        <v>40.284999999999997</v>
      </c>
      <c r="F11572">
        <f t="shared" si="180"/>
        <v>40.284999999999997</v>
      </c>
    </row>
    <row r="11573" spans="1:6" x14ac:dyDescent="0.3">
      <c r="A11573" t="s">
        <v>1894</v>
      </c>
      <c r="B11573" t="s">
        <v>2129</v>
      </c>
      <c r="C11573">
        <v>28</v>
      </c>
      <c r="D11573">
        <v>97</v>
      </c>
      <c r="E11573">
        <f>IF(OR(B11573="vi",B11573="ii",B11573="pod"),(((D11573/100)*(C11573*VLOOKUP(B11573,'Poids des runes'!A:B,2,FALSE)))+1),(((D11573/100)*(C11573*VLOOKUP(B11573,'Poids des runes'!A:B,2,FALSE)))+1)/VLOOKUP(B11573,'Poids des runes'!A:B,2,FALSE))</f>
        <v>28.16</v>
      </c>
      <c r="F11573">
        <f t="shared" si="180"/>
        <v>28.16</v>
      </c>
    </row>
    <row r="11574" spans="1:6" x14ac:dyDescent="0.3">
      <c r="A11574" t="s">
        <v>1894</v>
      </c>
      <c r="B11574" t="s">
        <v>2147</v>
      </c>
      <c r="C11574">
        <v>8</v>
      </c>
      <c r="D11574">
        <v>97</v>
      </c>
      <c r="E11574">
        <f>IF(OR(B11574="vi",B11574="ii",B11574="pod"),(((D11574/100)*(C11574*VLOOKUP(B11574,'Poids des runes'!A:B,2,FALSE)))+1),(((D11574/100)*(C11574*VLOOKUP(B11574,'Poids des runes'!A:B,2,FALSE)))+1)/VLOOKUP(B11574,'Poids des runes'!A:B,2,FALSE))</f>
        <v>7.9266666666666667</v>
      </c>
      <c r="F11574">
        <f t="shared" si="180"/>
        <v>7.9266666666666667</v>
      </c>
    </row>
    <row r="11575" spans="1:6" x14ac:dyDescent="0.3">
      <c r="A11575" t="s">
        <v>1894</v>
      </c>
      <c r="B11575" t="s">
        <v>2166</v>
      </c>
      <c r="C11575">
        <v>1</v>
      </c>
      <c r="D11575">
        <v>97</v>
      </c>
      <c r="E11575">
        <f>IF(OR(B11575="vi",B11575="ii",B11575="pod"),(((D11575/100)*(C11575*VLOOKUP(B11575,'Poids des runes'!A:B,2,FALSE)))+1),(((D11575/100)*(C11575*VLOOKUP(B11575,'Poids des runes'!A:B,2,FALSE)))+1)/VLOOKUP(B11575,'Poids des runes'!A:B,2,FALSE))</f>
        <v>1.3033333333333335</v>
      </c>
      <c r="F11575">
        <f t="shared" si="180"/>
        <v>1.3033333333333335</v>
      </c>
    </row>
    <row r="11576" spans="1:6" x14ac:dyDescent="0.3">
      <c r="A11576" t="s">
        <v>1895</v>
      </c>
      <c r="B11576" t="s">
        <v>2128</v>
      </c>
      <c r="C11576">
        <v>60.5</v>
      </c>
      <c r="D11576">
        <v>97</v>
      </c>
      <c r="E11576">
        <f>IF(OR(B11576="vi",B11576="ii",B11576="pod"),(((D11576/100)*(C11576*VLOOKUP(B11576,'Poids des runes'!A:B,2,FALSE)))+1),(((D11576/100)*(C11576*VLOOKUP(B11576,'Poids des runes'!A:B,2,FALSE)))+1)/VLOOKUP(B11576,'Poids des runes'!A:B,2,FALSE))</f>
        <v>12.737000000000002</v>
      </c>
      <c r="F11576">
        <f t="shared" si="180"/>
        <v>12.737000000000002</v>
      </c>
    </row>
    <row r="11577" spans="1:6" x14ac:dyDescent="0.3">
      <c r="A11577" t="s">
        <v>1895</v>
      </c>
      <c r="B11577" t="s">
        <v>2130</v>
      </c>
      <c r="C11577">
        <v>40.5</v>
      </c>
      <c r="D11577">
        <v>97</v>
      </c>
      <c r="E11577">
        <f>IF(OR(B11577="vi",B11577="ii",B11577="pod"),(((D11577/100)*(C11577*VLOOKUP(B11577,'Poids des runes'!A:B,2,FALSE)))+1),(((D11577/100)*(C11577*VLOOKUP(B11577,'Poids des runes'!A:B,2,FALSE)))+1)/VLOOKUP(B11577,'Poids des runes'!A:B,2,FALSE))</f>
        <v>40.284999999999997</v>
      </c>
      <c r="F11577">
        <f t="shared" si="180"/>
        <v>40.284999999999997</v>
      </c>
    </row>
    <row r="11578" spans="1:6" x14ac:dyDescent="0.3">
      <c r="A11578" t="s">
        <v>1895</v>
      </c>
      <c r="B11578" t="s">
        <v>2126</v>
      </c>
      <c r="C11578">
        <v>40.5</v>
      </c>
      <c r="D11578">
        <v>97</v>
      </c>
      <c r="E11578">
        <f>IF(OR(B11578="vi",B11578="ii",B11578="pod"),(((D11578/100)*(C11578*VLOOKUP(B11578,'Poids des runes'!A:B,2,FALSE)))+1),(((D11578/100)*(C11578*VLOOKUP(B11578,'Poids des runes'!A:B,2,FALSE)))+1)/VLOOKUP(B11578,'Poids des runes'!A:B,2,FALSE))</f>
        <v>40.284999999999997</v>
      </c>
      <c r="F11578">
        <f t="shared" si="180"/>
        <v>40.284999999999997</v>
      </c>
    </row>
    <row r="11579" spans="1:6" x14ac:dyDescent="0.3">
      <c r="A11579" t="s">
        <v>1895</v>
      </c>
      <c r="B11579" t="s">
        <v>2134</v>
      </c>
      <c r="C11579">
        <v>4.5</v>
      </c>
      <c r="D11579">
        <v>97</v>
      </c>
      <c r="E11579">
        <f>IF(OR(B11579="vi",B11579="ii",B11579="pod"),(((D11579/100)*(C11579*VLOOKUP(B11579,'Poids des runes'!A:B,2,FALSE)))+1),(((D11579/100)*(C11579*VLOOKUP(B11579,'Poids des runes'!A:B,2,FALSE)))+1)/VLOOKUP(B11579,'Poids des runes'!A:B,2,FALSE))</f>
        <v>4.415</v>
      </c>
      <c r="F11579">
        <f t="shared" si="180"/>
        <v>4.415</v>
      </c>
    </row>
    <row r="11580" spans="1:6" x14ac:dyDescent="0.3">
      <c r="A11580" t="s">
        <v>1895</v>
      </c>
      <c r="B11580" t="s">
        <v>2149</v>
      </c>
      <c r="C11580">
        <v>18</v>
      </c>
      <c r="D11580">
        <v>97</v>
      </c>
      <c r="E11580">
        <f>IF(OR(B11580="vi",B11580="ii",B11580="pod"),(((D11580/100)*(C11580*VLOOKUP(B11580,'Poids des runes'!A:B,2,FALSE)))+1),(((D11580/100)*(C11580*VLOOKUP(B11580,'Poids des runes'!A:B,2,FALSE)))+1)/VLOOKUP(B11580,'Poids des runes'!A:B,2,FALSE))</f>
        <v>17.559999999999999</v>
      </c>
      <c r="F11580">
        <f t="shared" si="180"/>
        <v>17.559999999999999</v>
      </c>
    </row>
    <row r="11581" spans="1:6" x14ac:dyDescent="0.3">
      <c r="A11581" t="s">
        <v>1895</v>
      </c>
      <c r="B11581" t="s">
        <v>2161</v>
      </c>
      <c r="C11581">
        <v>8.5</v>
      </c>
      <c r="D11581">
        <v>97</v>
      </c>
      <c r="E11581">
        <f>IF(OR(B11581="vi",B11581="ii",B11581="pod"),(((D11581/100)*(C11581*VLOOKUP(B11581,'Poids des runes'!A:B,2,FALSE)))+1),(((D11581/100)*(C11581*VLOOKUP(B11581,'Poids des runes'!A:B,2,FALSE)))+1)/VLOOKUP(B11581,'Poids des runes'!A:B,2,FALSE))</f>
        <v>8.5783333333333331</v>
      </c>
      <c r="F11581">
        <f t="shared" si="180"/>
        <v>8.5783333333333331</v>
      </c>
    </row>
    <row r="11582" spans="1:6" x14ac:dyDescent="0.3">
      <c r="A11582" t="s">
        <v>1895</v>
      </c>
      <c r="B11582" t="s">
        <v>2148</v>
      </c>
      <c r="C11582">
        <v>3.5</v>
      </c>
      <c r="D11582">
        <v>97</v>
      </c>
      <c r="E11582">
        <f>IF(OR(B11582="vi",B11582="ii",B11582="pod"),(((D11582/100)*(C11582*VLOOKUP(B11582,'Poids des runes'!A:B,2,FALSE)))+1),(((D11582/100)*(C11582*VLOOKUP(B11582,'Poids des runes'!A:B,2,FALSE)))+1)/VLOOKUP(B11582,'Poids des runes'!A:B,2,FALSE))</f>
        <v>3.561666666666667</v>
      </c>
      <c r="F11582">
        <f t="shared" si="180"/>
        <v>3.561666666666667</v>
      </c>
    </row>
    <row r="11583" spans="1:6" x14ac:dyDescent="0.3">
      <c r="A11583" t="s">
        <v>1896</v>
      </c>
      <c r="B11583" t="s">
        <v>2128</v>
      </c>
      <c r="C11583">
        <v>95.5</v>
      </c>
      <c r="D11583">
        <v>98</v>
      </c>
      <c r="E11583">
        <f>IF(OR(B11583="vi",B11583="ii",B11583="pod"),(((D11583/100)*(C11583*VLOOKUP(B11583,'Poids des runes'!A:B,2,FALSE)))+1),(((D11583/100)*(C11583*VLOOKUP(B11583,'Poids des runes'!A:B,2,FALSE)))+1)/VLOOKUP(B11583,'Poids des runes'!A:B,2,FALSE))</f>
        <v>19.718</v>
      </c>
      <c r="F11583">
        <f t="shared" si="180"/>
        <v>19.718</v>
      </c>
    </row>
    <row r="11584" spans="1:6" x14ac:dyDescent="0.3">
      <c r="A11584" t="s">
        <v>1896</v>
      </c>
      <c r="B11584" t="s">
        <v>2131</v>
      </c>
      <c r="C11584">
        <v>45.5</v>
      </c>
      <c r="D11584">
        <v>98</v>
      </c>
      <c r="E11584">
        <f>IF(OR(B11584="vi",B11584="ii",B11584="pod"),(((D11584/100)*(C11584*VLOOKUP(B11584,'Poids des runes'!A:B,2,FALSE)))+1),(((D11584/100)*(C11584*VLOOKUP(B11584,'Poids des runes'!A:B,2,FALSE)))+1)/VLOOKUP(B11584,'Poids des runes'!A:B,2,FALSE))</f>
        <v>45.589999999999996</v>
      </c>
      <c r="F11584">
        <f t="shared" si="180"/>
        <v>45.589999999999996</v>
      </c>
    </row>
    <row r="11585" spans="1:6" x14ac:dyDescent="0.3">
      <c r="A11585" t="s">
        <v>1896</v>
      </c>
      <c r="B11585" t="s">
        <v>2129</v>
      </c>
      <c r="C11585">
        <v>25.5</v>
      </c>
      <c r="D11585">
        <v>98</v>
      </c>
      <c r="E11585">
        <f>IF(OR(B11585="vi",B11585="ii",B11585="pod"),(((D11585/100)*(C11585*VLOOKUP(B11585,'Poids des runes'!A:B,2,FALSE)))+1),(((D11585/100)*(C11585*VLOOKUP(B11585,'Poids des runes'!A:B,2,FALSE)))+1)/VLOOKUP(B11585,'Poids des runes'!A:B,2,FALSE))</f>
        <v>25.99</v>
      </c>
      <c r="F11585">
        <f t="shared" si="180"/>
        <v>25.99</v>
      </c>
    </row>
    <row r="11586" spans="1:6" x14ac:dyDescent="0.3">
      <c r="A11586" t="s">
        <v>1896</v>
      </c>
      <c r="B11586" t="s">
        <v>2139</v>
      </c>
      <c r="C11586">
        <v>25.5</v>
      </c>
      <c r="D11586">
        <v>98</v>
      </c>
      <c r="E11586">
        <f>IF(OR(B11586="vi",B11586="ii",B11586="pod"),(((D11586/100)*(C11586*VLOOKUP(B11586,'Poids des runes'!A:B,2,FALSE)))+1),(((D11586/100)*(C11586*VLOOKUP(B11586,'Poids des runes'!A:B,2,FALSE)))+1)/VLOOKUP(B11586,'Poids des runes'!A:B,2,FALSE))</f>
        <v>25.49</v>
      </c>
      <c r="F11586">
        <f t="shared" si="180"/>
        <v>25.49</v>
      </c>
    </row>
    <row r="11587" spans="1:6" x14ac:dyDescent="0.3">
      <c r="A11587" t="s">
        <v>1896</v>
      </c>
      <c r="B11587" t="s">
        <v>2133</v>
      </c>
      <c r="C11587">
        <v>4.5</v>
      </c>
      <c r="D11587">
        <v>98</v>
      </c>
      <c r="E11587">
        <f>IF(OR(B11587="vi",B11587="ii",B11587="pod"),(((D11587/100)*(C11587*VLOOKUP(B11587,'Poids des runes'!A:B,2,FALSE)))+1),(((D11587/100)*(C11587*VLOOKUP(B11587,'Poids des runes'!A:B,2,FALSE)))+1)/VLOOKUP(B11587,'Poids des runes'!A:B,2,FALSE))</f>
        <v>4.6100000000000003</v>
      </c>
      <c r="F11587">
        <f t="shared" ref="F11587:F11650" si="181">E11587</f>
        <v>4.6100000000000003</v>
      </c>
    </row>
    <row r="11588" spans="1:6" x14ac:dyDescent="0.3">
      <c r="A11588" t="s">
        <v>1896</v>
      </c>
      <c r="B11588" t="s">
        <v>2161</v>
      </c>
      <c r="C11588">
        <v>13</v>
      </c>
      <c r="D11588">
        <v>98</v>
      </c>
      <c r="E11588">
        <f>IF(OR(B11588="vi",B11588="ii",B11588="pod"),(((D11588/100)*(C11588*VLOOKUP(B11588,'Poids des runes'!A:B,2,FALSE)))+1),(((D11588/100)*(C11588*VLOOKUP(B11588,'Poids des runes'!A:B,2,FALSE)))+1)/VLOOKUP(B11588,'Poids des runes'!A:B,2,FALSE))</f>
        <v>13.073333333333332</v>
      </c>
      <c r="F11588">
        <f t="shared" si="181"/>
        <v>13.073333333333332</v>
      </c>
    </row>
    <row r="11589" spans="1:6" x14ac:dyDescent="0.3">
      <c r="A11589" t="s">
        <v>1896</v>
      </c>
      <c r="B11589" t="s">
        <v>2141</v>
      </c>
      <c r="C11589">
        <v>6</v>
      </c>
      <c r="D11589">
        <v>98</v>
      </c>
      <c r="E11589">
        <f>IF(OR(B11589="vi",B11589="ii",B11589="pod"),(((D11589/100)*(C11589*VLOOKUP(B11589,'Poids des runes'!A:B,2,FALSE)))+1),(((D11589/100)*(C11589*VLOOKUP(B11589,'Poids des runes'!A:B,2,FALSE)))+1)/VLOOKUP(B11589,'Poids des runes'!A:B,2,FALSE))</f>
        <v>6.13</v>
      </c>
      <c r="F11589">
        <f t="shared" si="181"/>
        <v>6.13</v>
      </c>
    </row>
    <row r="11590" spans="1:6" x14ac:dyDescent="0.3">
      <c r="A11590" t="s">
        <v>1897</v>
      </c>
      <c r="B11590" t="s">
        <v>2128</v>
      </c>
      <c r="C11590">
        <v>110.5</v>
      </c>
      <c r="D11590">
        <v>98</v>
      </c>
      <c r="E11590">
        <f>IF(OR(B11590="vi",B11590="ii",B11590="pod"),(((D11590/100)*(C11590*VLOOKUP(B11590,'Poids des runes'!A:B,2,FALSE)))+1),(((D11590/100)*(C11590*VLOOKUP(B11590,'Poids des runes'!A:B,2,FALSE)))+1)/VLOOKUP(B11590,'Poids des runes'!A:B,2,FALSE))</f>
        <v>22.658000000000001</v>
      </c>
      <c r="F11590">
        <f t="shared" si="181"/>
        <v>22.658000000000001</v>
      </c>
    </row>
    <row r="11591" spans="1:6" x14ac:dyDescent="0.3">
      <c r="A11591" t="s">
        <v>1897</v>
      </c>
      <c r="B11591" t="s">
        <v>2126</v>
      </c>
      <c r="C11591">
        <v>50.5</v>
      </c>
      <c r="D11591">
        <v>98</v>
      </c>
      <c r="E11591">
        <f>IF(OR(B11591="vi",B11591="ii",B11591="pod"),(((D11591/100)*(C11591*VLOOKUP(B11591,'Poids des runes'!A:B,2,FALSE)))+1),(((D11591/100)*(C11591*VLOOKUP(B11591,'Poids des runes'!A:B,2,FALSE)))+1)/VLOOKUP(B11591,'Poids des runes'!A:B,2,FALSE))</f>
        <v>50.49</v>
      </c>
      <c r="F11591">
        <f t="shared" si="181"/>
        <v>50.49</v>
      </c>
    </row>
    <row r="11592" spans="1:6" x14ac:dyDescent="0.3">
      <c r="A11592" t="s">
        <v>1897</v>
      </c>
      <c r="B11592" t="s">
        <v>2129</v>
      </c>
      <c r="C11592">
        <v>40.5</v>
      </c>
      <c r="D11592">
        <v>98</v>
      </c>
      <c r="E11592">
        <f>IF(OR(B11592="vi",B11592="ii",B11592="pod"),(((D11592/100)*(C11592*VLOOKUP(B11592,'Poids des runes'!A:B,2,FALSE)))+1),(((D11592/100)*(C11592*VLOOKUP(B11592,'Poids des runes'!A:B,2,FALSE)))+1)/VLOOKUP(B11592,'Poids des runes'!A:B,2,FALSE))</f>
        <v>40.69</v>
      </c>
      <c r="F11592">
        <f t="shared" si="181"/>
        <v>40.69</v>
      </c>
    </row>
    <row r="11593" spans="1:6" x14ac:dyDescent="0.3">
      <c r="A11593" t="s">
        <v>1897</v>
      </c>
      <c r="B11593" t="s">
        <v>2139</v>
      </c>
      <c r="C11593">
        <v>18</v>
      </c>
      <c r="D11593">
        <v>98</v>
      </c>
      <c r="E11593">
        <f>IF(OR(B11593="vi",B11593="ii",B11593="pod"),(((D11593/100)*(C11593*VLOOKUP(B11593,'Poids des runes'!A:B,2,FALSE)))+1),(((D11593/100)*(C11593*VLOOKUP(B11593,'Poids des runes'!A:B,2,FALSE)))+1)/VLOOKUP(B11593,'Poids des runes'!A:B,2,FALSE))</f>
        <v>18.14</v>
      </c>
      <c r="F11593">
        <f t="shared" si="181"/>
        <v>18.14</v>
      </c>
    </row>
    <row r="11594" spans="1:6" x14ac:dyDescent="0.3">
      <c r="A11594" t="s">
        <v>1897</v>
      </c>
      <c r="B11594" t="s">
        <v>2134</v>
      </c>
      <c r="C11594">
        <v>6</v>
      </c>
      <c r="D11594">
        <v>98</v>
      </c>
      <c r="E11594">
        <f>IF(OR(B11594="vi",B11594="ii",B11594="pod"),(((D11594/100)*(C11594*VLOOKUP(B11594,'Poids des runes'!A:B,2,FALSE)))+1),(((D11594/100)*(C11594*VLOOKUP(B11594,'Poids des runes'!A:B,2,FALSE)))+1)/VLOOKUP(B11594,'Poids des runes'!A:B,2,FALSE))</f>
        <v>5.93</v>
      </c>
      <c r="F11594">
        <f t="shared" si="181"/>
        <v>5.93</v>
      </c>
    </row>
    <row r="11595" spans="1:6" x14ac:dyDescent="0.3">
      <c r="A11595" t="s">
        <v>1897</v>
      </c>
      <c r="B11595" t="s">
        <v>2138</v>
      </c>
      <c r="C11595">
        <v>6</v>
      </c>
      <c r="D11595">
        <v>98</v>
      </c>
      <c r="E11595">
        <f>IF(OR(B11595="vi",B11595="ii",B11595="pod"),(((D11595/100)*(C11595*VLOOKUP(B11595,'Poids des runes'!A:B,2,FALSE)))+1),(((D11595/100)*(C11595*VLOOKUP(B11595,'Poids des runes'!A:B,2,FALSE)))+1)/VLOOKUP(B11595,'Poids des runes'!A:B,2,FALSE))</f>
        <v>6.13</v>
      </c>
      <c r="F11595">
        <f t="shared" si="181"/>
        <v>6.13</v>
      </c>
    </row>
    <row r="11596" spans="1:6" x14ac:dyDescent="0.3">
      <c r="A11596" t="s">
        <v>1898</v>
      </c>
      <c r="B11596" t="s">
        <v>2128</v>
      </c>
      <c r="C11596">
        <v>60.5</v>
      </c>
      <c r="D11596">
        <v>99</v>
      </c>
      <c r="E11596">
        <f>IF(OR(B11596="vi",B11596="ii",B11596="pod"),(((D11596/100)*(C11596*VLOOKUP(B11596,'Poids des runes'!A:B,2,FALSE)))+1),(((D11596/100)*(C11596*VLOOKUP(B11596,'Poids des runes'!A:B,2,FALSE)))+1)/VLOOKUP(B11596,'Poids des runes'!A:B,2,FALSE))</f>
        <v>12.979000000000001</v>
      </c>
      <c r="F11596">
        <f t="shared" si="181"/>
        <v>12.979000000000001</v>
      </c>
    </row>
    <row r="11597" spans="1:6" x14ac:dyDescent="0.3">
      <c r="A11597" t="s">
        <v>1898</v>
      </c>
      <c r="B11597" t="s">
        <v>2130</v>
      </c>
      <c r="C11597">
        <v>60.5</v>
      </c>
      <c r="D11597">
        <v>99</v>
      </c>
      <c r="E11597">
        <f>IF(OR(B11597="vi",B11597="ii",B11597="pod"),(((D11597/100)*(C11597*VLOOKUP(B11597,'Poids des runes'!A:B,2,FALSE)))+1),(((D11597/100)*(C11597*VLOOKUP(B11597,'Poids des runes'!A:B,2,FALSE)))+1)/VLOOKUP(B11597,'Poids des runes'!A:B,2,FALSE))</f>
        <v>60.894999999999996</v>
      </c>
      <c r="F11597">
        <f t="shared" si="181"/>
        <v>60.894999999999996</v>
      </c>
    </row>
    <row r="11598" spans="1:6" x14ac:dyDescent="0.3">
      <c r="A11598" t="s">
        <v>1898</v>
      </c>
      <c r="B11598" t="s">
        <v>2139</v>
      </c>
      <c r="C11598">
        <v>18</v>
      </c>
      <c r="D11598">
        <v>99</v>
      </c>
      <c r="E11598">
        <f>IF(OR(B11598="vi",B11598="ii",B11598="pod"),(((D11598/100)*(C11598*VLOOKUP(B11598,'Poids des runes'!A:B,2,FALSE)))+1),(((D11598/100)*(C11598*VLOOKUP(B11598,'Poids des runes'!A:B,2,FALSE)))+1)/VLOOKUP(B11598,'Poids des runes'!A:B,2,FALSE))</f>
        <v>18.32</v>
      </c>
      <c r="F11598">
        <f t="shared" si="181"/>
        <v>18.32</v>
      </c>
    </row>
    <row r="11599" spans="1:6" x14ac:dyDescent="0.3">
      <c r="A11599" t="s">
        <v>1898</v>
      </c>
      <c r="B11599" t="s">
        <v>2143</v>
      </c>
      <c r="C11599">
        <v>6</v>
      </c>
      <c r="D11599">
        <v>99</v>
      </c>
      <c r="E11599">
        <f>IF(OR(B11599="vi",B11599="ii",B11599="pod"),(((D11599/100)*(C11599*VLOOKUP(B11599,'Poids des runes'!A:B,2,FALSE)))+1),(((D11599/100)*(C11599*VLOOKUP(B11599,'Poids des runes'!A:B,2,FALSE)))+1)/VLOOKUP(B11599,'Poids des runes'!A:B,2,FALSE))</f>
        <v>6.14</v>
      </c>
      <c r="F11599">
        <f t="shared" si="181"/>
        <v>6.14</v>
      </c>
    </row>
    <row r="11600" spans="1:6" x14ac:dyDescent="0.3">
      <c r="A11600" t="s">
        <v>1898</v>
      </c>
      <c r="B11600" t="s">
        <v>2149</v>
      </c>
      <c r="C11600">
        <v>6</v>
      </c>
      <c r="D11600">
        <v>99</v>
      </c>
      <c r="E11600">
        <f>IF(OR(B11600="vi",B11600="ii",B11600="pod"),(((D11600/100)*(C11600*VLOOKUP(B11600,'Poids des runes'!A:B,2,FALSE)))+1),(((D11600/100)*(C11600*VLOOKUP(B11600,'Poids des runes'!A:B,2,FALSE)))+1)/VLOOKUP(B11600,'Poids des runes'!A:B,2,FALSE))</f>
        <v>6.04</v>
      </c>
      <c r="F11600">
        <f t="shared" si="181"/>
        <v>6.04</v>
      </c>
    </row>
    <row r="11601" spans="1:6" x14ac:dyDescent="0.3">
      <c r="A11601" t="s">
        <v>1898</v>
      </c>
      <c r="B11601" t="s">
        <v>2138</v>
      </c>
      <c r="C11601">
        <v>8.5</v>
      </c>
      <c r="D11601">
        <v>99</v>
      </c>
      <c r="E11601">
        <f>IF(OR(B11601="vi",B11601="ii",B11601="pod"),(((D11601/100)*(C11601*VLOOKUP(B11601,'Poids des runes'!A:B,2,FALSE)))+1),(((D11601/100)*(C11601*VLOOKUP(B11601,'Poids des runes'!A:B,2,FALSE)))+1)/VLOOKUP(B11601,'Poids des runes'!A:B,2,FALSE))</f>
        <v>8.6649999999999991</v>
      </c>
      <c r="F11601">
        <f t="shared" si="181"/>
        <v>8.6649999999999991</v>
      </c>
    </row>
    <row r="11602" spans="1:6" x14ac:dyDescent="0.3">
      <c r="A11602" t="s">
        <v>1898</v>
      </c>
      <c r="B11602" t="s">
        <v>2156</v>
      </c>
      <c r="C11602">
        <v>4.5</v>
      </c>
      <c r="D11602">
        <v>99</v>
      </c>
      <c r="E11602">
        <f>IF(OR(B11602="vi",B11602="ii",B11602="pod"),(((D11602/100)*(C11602*VLOOKUP(B11602,'Poids des runes'!A:B,2,FALSE)))+1),(((D11602/100)*(C11602*VLOOKUP(B11602,'Poids des runes'!A:B,2,FALSE)))+1)/VLOOKUP(B11602,'Poids des runes'!A:B,2,FALSE))</f>
        <v>4.621666666666667</v>
      </c>
      <c r="F11602">
        <f t="shared" si="181"/>
        <v>4.621666666666667</v>
      </c>
    </row>
    <row r="11603" spans="1:6" x14ac:dyDescent="0.3">
      <c r="A11603" t="s">
        <v>1899</v>
      </c>
      <c r="B11603" t="s">
        <v>2128</v>
      </c>
      <c r="C11603">
        <v>85.5</v>
      </c>
      <c r="D11603">
        <v>100</v>
      </c>
      <c r="E11603">
        <f>IF(OR(B11603="vi",B11603="ii",B11603="pod"),(((D11603/100)*(C11603*VLOOKUP(B11603,'Poids des runes'!A:B,2,FALSE)))+1),(((D11603/100)*(C11603*VLOOKUP(B11603,'Poids des runes'!A:B,2,FALSE)))+1)/VLOOKUP(B11603,'Poids des runes'!A:B,2,FALSE))</f>
        <v>18.100000000000001</v>
      </c>
      <c r="F11603">
        <f t="shared" si="181"/>
        <v>18.100000000000001</v>
      </c>
    </row>
    <row r="11604" spans="1:6" x14ac:dyDescent="0.3">
      <c r="A11604" t="s">
        <v>1899</v>
      </c>
      <c r="B11604" t="s">
        <v>2130</v>
      </c>
      <c r="C11604">
        <v>70.5</v>
      </c>
      <c r="D11604">
        <v>100</v>
      </c>
      <c r="E11604">
        <f>IF(OR(B11604="vi",B11604="ii",B11604="pod"),(((D11604/100)*(C11604*VLOOKUP(B11604,'Poids des runes'!A:B,2,FALSE)))+1),(((D11604/100)*(C11604*VLOOKUP(B11604,'Poids des runes'!A:B,2,FALSE)))+1)/VLOOKUP(B11604,'Poids des runes'!A:B,2,FALSE))</f>
        <v>71.5</v>
      </c>
      <c r="F11604">
        <f t="shared" si="181"/>
        <v>71.5</v>
      </c>
    </row>
    <row r="11605" spans="1:6" x14ac:dyDescent="0.3">
      <c r="A11605" t="s">
        <v>1899</v>
      </c>
      <c r="B11605" t="s">
        <v>2129</v>
      </c>
      <c r="C11605">
        <v>30.5</v>
      </c>
      <c r="D11605">
        <v>100</v>
      </c>
      <c r="E11605">
        <f>IF(OR(B11605="vi",B11605="ii",B11605="pod"),(((D11605/100)*(C11605*VLOOKUP(B11605,'Poids des runes'!A:B,2,FALSE)))+1),(((D11605/100)*(C11605*VLOOKUP(B11605,'Poids des runes'!A:B,2,FALSE)))+1)/VLOOKUP(B11605,'Poids des runes'!A:B,2,FALSE))</f>
        <v>31.5</v>
      </c>
      <c r="F11605">
        <f t="shared" si="181"/>
        <v>31.5</v>
      </c>
    </row>
    <row r="11606" spans="1:6" x14ac:dyDescent="0.3">
      <c r="A11606" t="s">
        <v>1899</v>
      </c>
      <c r="B11606" t="s">
        <v>2151</v>
      </c>
      <c r="C11606">
        <v>2.5</v>
      </c>
      <c r="D11606">
        <v>100</v>
      </c>
      <c r="E11606">
        <f>IF(OR(B11606="vi",B11606="ii",B11606="pod"),(((D11606/100)*(C11606*VLOOKUP(B11606,'Poids des runes'!A:B,2,FALSE)))+1),(((D11606/100)*(C11606*VLOOKUP(B11606,'Poids des runes'!A:B,2,FALSE)))+1)/VLOOKUP(B11606,'Poids des runes'!A:B,2,FALSE))</f>
        <v>2.6</v>
      </c>
      <c r="F11606">
        <f t="shared" si="181"/>
        <v>2.6</v>
      </c>
    </row>
    <row r="11607" spans="1:6" x14ac:dyDescent="0.3">
      <c r="A11607" t="s">
        <v>1899</v>
      </c>
      <c r="B11607" t="s">
        <v>2150</v>
      </c>
      <c r="C11607">
        <v>1</v>
      </c>
      <c r="D11607">
        <v>100</v>
      </c>
      <c r="E11607">
        <f>IF(OR(B11607="vi",B11607="ii",B11607="pod"),(((D11607/100)*(C11607*VLOOKUP(B11607,'Poids des runes'!A:B,2,FALSE)))+1),(((D11607/100)*(C11607*VLOOKUP(B11607,'Poids des runes'!A:B,2,FALSE)))+1)/VLOOKUP(B11607,'Poids des runes'!A:B,2,FALSE))</f>
        <v>1.0333333333333334</v>
      </c>
      <c r="F11607">
        <f t="shared" si="181"/>
        <v>1.0333333333333334</v>
      </c>
    </row>
    <row r="11608" spans="1:6" x14ac:dyDescent="0.3">
      <c r="A11608" t="s">
        <v>1899</v>
      </c>
      <c r="B11608" t="s">
        <v>2143</v>
      </c>
      <c r="C11608">
        <v>4.5</v>
      </c>
      <c r="D11608">
        <v>100</v>
      </c>
      <c r="E11608">
        <f>IF(OR(B11608="vi",B11608="ii",B11608="pod"),(((D11608/100)*(C11608*VLOOKUP(B11608,'Poids des runes'!A:B,2,FALSE)))+1),(((D11608/100)*(C11608*VLOOKUP(B11608,'Poids des runes'!A:B,2,FALSE)))+1)/VLOOKUP(B11608,'Poids des runes'!A:B,2,FALSE))</f>
        <v>4.7</v>
      </c>
      <c r="F11608">
        <f t="shared" si="181"/>
        <v>4.7</v>
      </c>
    </row>
    <row r="11609" spans="1:6" x14ac:dyDescent="0.3">
      <c r="A11609" t="s">
        <v>1899</v>
      </c>
      <c r="B11609" t="s">
        <v>2142</v>
      </c>
      <c r="C11609">
        <v>8.5</v>
      </c>
      <c r="D11609">
        <v>100</v>
      </c>
      <c r="E11609">
        <f>IF(OR(B11609="vi",B11609="ii",B11609="pod"),(((D11609/100)*(C11609*VLOOKUP(B11609,'Poids des runes'!A:B,2,FALSE)))+1),(((D11609/100)*(C11609*VLOOKUP(B11609,'Poids des runes'!A:B,2,FALSE)))+1)/VLOOKUP(B11609,'Poids des runes'!A:B,2,FALSE))</f>
        <v>8.6999999999999993</v>
      </c>
      <c r="F11609">
        <f t="shared" si="181"/>
        <v>8.6999999999999993</v>
      </c>
    </row>
    <row r="11610" spans="1:6" x14ac:dyDescent="0.3">
      <c r="A11610" t="s">
        <v>1900</v>
      </c>
      <c r="B11610" t="s">
        <v>2128</v>
      </c>
      <c r="C11610">
        <v>85.5</v>
      </c>
      <c r="D11610">
        <v>100</v>
      </c>
      <c r="E11610">
        <f>IF(OR(B11610="vi",B11610="ii",B11610="pod"),(((D11610/100)*(C11610*VLOOKUP(B11610,'Poids des runes'!A:B,2,FALSE)))+1),(((D11610/100)*(C11610*VLOOKUP(B11610,'Poids des runes'!A:B,2,FALSE)))+1)/VLOOKUP(B11610,'Poids des runes'!A:B,2,FALSE))</f>
        <v>18.100000000000001</v>
      </c>
      <c r="F11610">
        <f t="shared" si="181"/>
        <v>18.100000000000001</v>
      </c>
    </row>
    <row r="11611" spans="1:6" x14ac:dyDescent="0.3">
      <c r="A11611" t="s">
        <v>1900</v>
      </c>
      <c r="B11611" t="s">
        <v>2131</v>
      </c>
      <c r="C11611">
        <v>50.5</v>
      </c>
      <c r="D11611">
        <v>100</v>
      </c>
      <c r="E11611">
        <f>IF(OR(B11611="vi",B11611="ii",B11611="pod"),(((D11611/100)*(C11611*VLOOKUP(B11611,'Poids des runes'!A:B,2,FALSE)))+1),(((D11611/100)*(C11611*VLOOKUP(B11611,'Poids des runes'!A:B,2,FALSE)))+1)/VLOOKUP(B11611,'Poids des runes'!A:B,2,FALSE))</f>
        <v>51.5</v>
      </c>
      <c r="F11611">
        <f t="shared" si="181"/>
        <v>51.5</v>
      </c>
    </row>
    <row r="11612" spans="1:6" x14ac:dyDescent="0.3">
      <c r="A11612" t="s">
        <v>1900</v>
      </c>
      <c r="B11612" t="s">
        <v>2129</v>
      </c>
      <c r="C11612">
        <v>25.5</v>
      </c>
      <c r="D11612">
        <v>100</v>
      </c>
      <c r="E11612">
        <f>IF(OR(B11612="vi",B11612="ii",B11612="pod"),(((D11612/100)*(C11612*VLOOKUP(B11612,'Poids des runes'!A:B,2,FALSE)))+1),(((D11612/100)*(C11612*VLOOKUP(B11612,'Poids des runes'!A:B,2,FALSE)))+1)/VLOOKUP(B11612,'Poids des runes'!A:B,2,FALSE))</f>
        <v>26.5</v>
      </c>
      <c r="F11612">
        <f t="shared" si="181"/>
        <v>26.5</v>
      </c>
    </row>
    <row r="11613" spans="1:6" x14ac:dyDescent="0.3">
      <c r="A11613" t="s">
        <v>1900</v>
      </c>
      <c r="B11613" t="s">
        <v>2155</v>
      </c>
      <c r="C11613">
        <v>1</v>
      </c>
      <c r="D11613">
        <v>100</v>
      </c>
      <c r="E11613">
        <f>IF(OR(B11613="vi",B11613="ii",B11613="pod"),(((D11613/100)*(C11613*VLOOKUP(B11613,'Poids des runes'!A:B,2,FALSE)))+1),(((D11613/100)*(C11613*VLOOKUP(B11613,'Poids des runes'!A:B,2,FALSE)))+1)/VLOOKUP(B11613,'Poids des runes'!A:B,2,FALSE))</f>
        <v>1.0196078431372548</v>
      </c>
      <c r="F11613">
        <f t="shared" si="181"/>
        <v>1.0196078431372548</v>
      </c>
    </row>
    <row r="11614" spans="1:6" x14ac:dyDescent="0.3">
      <c r="A11614" t="s">
        <v>1900</v>
      </c>
      <c r="B11614" t="s">
        <v>2150</v>
      </c>
      <c r="C11614">
        <v>1</v>
      </c>
      <c r="D11614">
        <v>100</v>
      </c>
      <c r="E11614">
        <f>IF(OR(B11614="vi",B11614="ii",B11614="pod"),(((D11614/100)*(C11614*VLOOKUP(B11614,'Poids des runes'!A:B,2,FALSE)))+1),(((D11614/100)*(C11614*VLOOKUP(B11614,'Poids des runes'!A:B,2,FALSE)))+1)/VLOOKUP(B11614,'Poids des runes'!A:B,2,FALSE))</f>
        <v>1.0333333333333334</v>
      </c>
      <c r="F11614">
        <f t="shared" si="181"/>
        <v>1.0333333333333334</v>
      </c>
    </row>
    <row r="11615" spans="1:6" x14ac:dyDescent="0.3">
      <c r="A11615" t="s">
        <v>1900</v>
      </c>
      <c r="B11615" t="s">
        <v>2134</v>
      </c>
      <c r="C11615">
        <v>4.5</v>
      </c>
      <c r="D11615">
        <v>100</v>
      </c>
      <c r="E11615">
        <f>IF(OR(B11615="vi",B11615="ii",B11615="pod"),(((D11615/100)*(C11615*VLOOKUP(B11615,'Poids des runes'!A:B,2,FALSE)))+1),(((D11615/100)*(C11615*VLOOKUP(B11615,'Poids des runes'!A:B,2,FALSE)))+1)/VLOOKUP(B11615,'Poids des runes'!A:B,2,FALSE))</f>
        <v>4.55</v>
      </c>
      <c r="F11615">
        <f t="shared" si="181"/>
        <v>4.55</v>
      </c>
    </row>
    <row r="11616" spans="1:6" x14ac:dyDescent="0.3">
      <c r="A11616" t="s">
        <v>1900</v>
      </c>
      <c r="B11616" t="s">
        <v>2141</v>
      </c>
      <c r="C11616">
        <v>5</v>
      </c>
      <c r="D11616">
        <v>100</v>
      </c>
      <c r="E11616">
        <f>IF(OR(B11616="vi",B11616="ii",B11616="pod"),(((D11616/100)*(C11616*VLOOKUP(B11616,'Poids des runes'!A:B,2,FALSE)))+1),(((D11616/100)*(C11616*VLOOKUP(B11616,'Poids des runes'!A:B,2,FALSE)))+1)/VLOOKUP(B11616,'Poids des runes'!A:B,2,FALSE))</f>
        <v>5.25</v>
      </c>
      <c r="F11616">
        <f t="shared" si="181"/>
        <v>5.25</v>
      </c>
    </row>
    <row r="11617" spans="1:6" x14ac:dyDescent="0.3">
      <c r="A11617" t="s">
        <v>1901</v>
      </c>
      <c r="B11617" t="s">
        <v>2128</v>
      </c>
      <c r="C11617">
        <v>85.5</v>
      </c>
      <c r="D11617">
        <v>100</v>
      </c>
      <c r="E11617">
        <f>IF(OR(B11617="vi",B11617="ii",B11617="pod"),(((D11617/100)*(C11617*VLOOKUP(B11617,'Poids des runes'!A:B,2,FALSE)))+1),(((D11617/100)*(C11617*VLOOKUP(B11617,'Poids des runes'!A:B,2,FALSE)))+1)/VLOOKUP(B11617,'Poids des runes'!A:B,2,FALSE))</f>
        <v>18.100000000000001</v>
      </c>
      <c r="F11617">
        <f t="shared" si="181"/>
        <v>18.100000000000001</v>
      </c>
    </row>
    <row r="11618" spans="1:6" x14ac:dyDescent="0.3">
      <c r="A11618" t="s">
        <v>1901</v>
      </c>
      <c r="B11618" t="s">
        <v>2130</v>
      </c>
      <c r="C11618">
        <v>45.5</v>
      </c>
      <c r="D11618">
        <v>100</v>
      </c>
      <c r="E11618">
        <f>IF(OR(B11618="vi",B11618="ii",B11618="pod"),(((D11618/100)*(C11618*VLOOKUP(B11618,'Poids des runes'!A:B,2,FALSE)))+1),(((D11618/100)*(C11618*VLOOKUP(B11618,'Poids des runes'!A:B,2,FALSE)))+1)/VLOOKUP(B11618,'Poids des runes'!A:B,2,FALSE))</f>
        <v>46.5</v>
      </c>
      <c r="F11618">
        <f t="shared" si="181"/>
        <v>46.5</v>
      </c>
    </row>
    <row r="11619" spans="1:6" x14ac:dyDescent="0.3">
      <c r="A11619" t="s">
        <v>1901</v>
      </c>
      <c r="B11619" t="s">
        <v>2127</v>
      </c>
      <c r="C11619">
        <v>45.5</v>
      </c>
      <c r="D11619">
        <v>100</v>
      </c>
      <c r="E11619">
        <f>IF(OR(B11619="vi",B11619="ii",B11619="pod"),(((D11619/100)*(C11619*VLOOKUP(B11619,'Poids des runes'!A:B,2,FALSE)))+1),(((D11619/100)*(C11619*VLOOKUP(B11619,'Poids des runes'!A:B,2,FALSE)))+1)/VLOOKUP(B11619,'Poids des runes'!A:B,2,FALSE))</f>
        <v>46.5</v>
      </c>
      <c r="F11619">
        <f t="shared" si="181"/>
        <v>46.5</v>
      </c>
    </row>
    <row r="11620" spans="1:6" x14ac:dyDescent="0.3">
      <c r="A11620" t="s">
        <v>1901</v>
      </c>
      <c r="B11620" t="s">
        <v>2143</v>
      </c>
      <c r="C11620">
        <v>4.5</v>
      </c>
      <c r="D11620">
        <v>100</v>
      </c>
      <c r="E11620">
        <f>IF(OR(B11620="vi",B11620="ii",B11620="pod"),(((D11620/100)*(C11620*VLOOKUP(B11620,'Poids des runes'!A:B,2,FALSE)))+1),(((D11620/100)*(C11620*VLOOKUP(B11620,'Poids des runes'!A:B,2,FALSE)))+1)/VLOOKUP(B11620,'Poids des runes'!A:B,2,FALSE))</f>
        <v>4.7</v>
      </c>
      <c r="F11620">
        <f t="shared" si="181"/>
        <v>4.7</v>
      </c>
    </row>
    <row r="11621" spans="1:6" x14ac:dyDescent="0.3">
      <c r="A11621" t="s">
        <v>1901</v>
      </c>
      <c r="B11621" t="s">
        <v>2153</v>
      </c>
      <c r="C11621">
        <v>4.5</v>
      </c>
      <c r="D11621">
        <v>100</v>
      </c>
      <c r="E11621">
        <f>IF(OR(B11621="vi",B11621="ii",B11621="pod"),(((D11621/100)*(C11621*VLOOKUP(B11621,'Poids des runes'!A:B,2,FALSE)))+1),(((D11621/100)*(C11621*VLOOKUP(B11621,'Poids des runes'!A:B,2,FALSE)))+1)/VLOOKUP(B11621,'Poids des runes'!A:B,2,FALSE))</f>
        <v>4.7</v>
      </c>
      <c r="F11621">
        <f t="shared" si="181"/>
        <v>4.7</v>
      </c>
    </row>
    <row r="11622" spans="1:6" x14ac:dyDescent="0.3">
      <c r="A11622" t="s">
        <v>1901</v>
      </c>
      <c r="B11622" t="s">
        <v>2138</v>
      </c>
      <c r="C11622">
        <v>4.5</v>
      </c>
      <c r="D11622">
        <v>100</v>
      </c>
      <c r="E11622">
        <f>IF(OR(B11622="vi",B11622="ii",B11622="pod"),(((D11622/100)*(C11622*VLOOKUP(B11622,'Poids des runes'!A:B,2,FALSE)))+1),(((D11622/100)*(C11622*VLOOKUP(B11622,'Poids des runes'!A:B,2,FALSE)))+1)/VLOOKUP(B11622,'Poids des runes'!A:B,2,FALSE))</f>
        <v>4.75</v>
      </c>
      <c r="F11622">
        <f t="shared" si="181"/>
        <v>4.75</v>
      </c>
    </row>
    <row r="11623" spans="1:6" x14ac:dyDescent="0.3">
      <c r="A11623" t="s">
        <v>1901</v>
      </c>
      <c r="B11623" t="s">
        <v>2135</v>
      </c>
      <c r="C11623">
        <v>4.5</v>
      </c>
      <c r="D11623">
        <v>100</v>
      </c>
      <c r="E11623">
        <f>IF(OR(B11623="vi",B11623="ii",B11623="pod"),(((D11623/100)*(C11623*VLOOKUP(B11623,'Poids des runes'!A:B,2,FALSE)))+1),(((D11623/100)*(C11623*VLOOKUP(B11623,'Poids des runes'!A:B,2,FALSE)))+1)/VLOOKUP(B11623,'Poids des runes'!A:B,2,FALSE))</f>
        <v>4.666666666666667</v>
      </c>
      <c r="F11623">
        <f t="shared" si="181"/>
        <v>4.666666666666667</v>
      </c>
    </row>
    <row r="11624" spans="1:6" x14ac:dyDescent="0.3">
      <c r="A11624" t="s">
        <v>1902</v>
      </c>
      <c r="B11624" t="s">
        <v>2128</v>
      </c>
      <c r="C11624">
        <v>70.5</v>
      </c>
      <c r="D11624">
        <v>100</v>
      </c>
      <c r="E11624">
        <f>IF(OR(B11624="vi",B11624="ii",B11624="pod"),(((D11624/100)*(C11624*VLOOKUP(B11624,'Poids des runes'!A:B,2,FALSE)))+1),(((D11624/100)*(C11624*VLOOKUP(B11624,'Poids des runes'!A:B,2,FALSE)))+1)/VLOOKUP(B11624,'Poids des runes'!A:B,2,FALSE))</f>
        <v>15.100000000000001</v>
      </c>
      <c r="F11624">
        <f t="shared" si="181"/>
        <v>15.100000000000001</v>
      </c>
    </row>
    <row r="11625" spans="1:6" x14ac:dyDescent="0.3">
      <c r="A11625" t="s">
        <v>1902</v>
      </c>
      <c r="B11625" t="s">
        <v>2127</v>
      </c>
      <c r="C11625">
        <v>50.5</v>
      </c>
      <c r="D11625">
        <v>100</v>
      </c>
      <c r="E11625">
        <f>IF(OR(B11625="vi",B11625="ii",B11625="pod"),(((D11625/100)*(C11625*VLOOKUP(B11625,'Poids des runes'!A:B,2,FALSE)))+1),(((D11625/100)*(C11625*VLOOKUP(B11625,'Poids des runes'!A:B,2,FALSE)))+1)/VLOOKUP(B11625,'Poids des runes'!A:B,2,FALSE))</f>
        <v>51.5</v>
      </c>
      <c r="F11625">
        <f t="shared" si="181"/>
        <v>51.5</v>
      </c>
    </row>
    <row r="11626" spans="1:6" x14ac:dyDescent="0.3">
      <c r="A11626" t="s">
        <v>1902</v>
      </c>
      <c r="B11626" t="s">
        <v>2151</v>
      </c>
      <c r="C11626">
        <v>4.5</v>
      </c>
      <c r="D11626">
        <v>100</v>
      </c>
      <c r="E11626">
        <f>IF(OR(B11626="vi",B11626="ii",B11626="pod"),(((D11626/100)*(C11626*VLOOKUP(B11626,'Poids des runes'!A:B,2,FALSE)))+1),(((D11626/100)*(C11626*VLOOKUP(B11626,'Poids des runes'!A:B,2,FALSE)))+1)/VLOOKUP(B11626,'Poids des runes'!A:B,2,FALSE))</f>
        <v>4.5999999999999996</v>
      </c>
      <c r="F11626">
        <f t="shared" si="181"/>
        <v>4.5999999999999996</v>
      </c>
    </row>
    <row r="11627" spans="1:6" x14ac:dyDescent="0.3">
      <c r="A11627" t="s">
        <v>1902</v>
      </c>
      <c r="B11627" t="s">
        <v>2154</v>
      </c>
      <c r="C11627">
        <v>1</v>
      </c>
      <c r="D11627">
        <v>100</v>
      </c>
      <c r="E11627">
        <f>IF(OR(B11627="vi",B11627="ii",B11627="pod"),(((D11627/100)*(C11627*VLOOKUP(B11627,'Poids des runes'!A:B,2,FALSE)))+1),(((D11627/100)*(C11627*VLOOKUP(B11627,'Poids des runes'!A:B,2,FALSE)))+1)/VLOOKUP(B11627,'Poids des runes'!A:B,2,FALSE))</f>
        <v>1.0111111111111111</v>
      </c>
      <c r="F11627">
        <f t="shared" si="181"/>
        <v>1.0111111111111111</v>
      </c>
    </row>
    <row r="11628" spans="1:6" x14ac:dyDescent="0.3">
      <c r="A11628" t="s">
        <v>1902</v>
      </c>
      <c r="B11628" t="s">
        <v>2153</v>
      </c>
      <c r="C11628">
        <v>4.5</v>
      </c>
      <c r="D11628">
        <v>100</v>
      </c>
      <c r="E11628">
        <f>IF(OR(B11628="vi",B11628="ii",B11628="pod"),(((D11628/100)*(C11628*VLOOKUP(B11628,'Poids des runes'!A:B,2,FALSE)))+1),(((D11628/100)*(C11628*VLOOKUP(B11628,'Poids des runes'!A:B,2,FALSE)))+1)/VLOOKUP(B11628,'Poids des runes'!A:B,2,FALSE))</f>
        <v>4.7</v>
      </c>
      <c r="F11628">
        <f t="shared" si="181"/>
        <v>4.7</v>
      </c>
    </row>
    <row r="11629" spans="1:6" x14ac:dyDescent="0.3">
      <c r="A11629" t="s">
        <v>1902</v>
      </c>
      <c r="B11629" t="s">
        <v>2132</v>
      </c>
      <c r="C11629">
        <v>175.5</v>
      </c>
      <c r="D11629">
        <v>100</v>
      </c>
      <c r="E11629">
        <f>IF(OR(B11629="vi",B11629="ii",B11629="pod"),(((D11629/100)*(C11629*VLOOKUP(B11629,'Poids des runes'!A:B,2,FALSE)))+1),(((D11629/100)*(C11629*VLOOKUP(B11629,'Poids des runes'!A:B,2,FALSE)))+1)/VLOOKUP(B11629,'Poids des runes'!A:B,2,FALSE))</f>
        <v>18.55</v>
      </c>
      <c r="F11629">
        <f t="shared" si="181"/>
        <v>18.55</v>
      </c>
    </row>
    <row r="11630" spans="1:6" x14ac:dyDescent="0.3">
      <c r="A11630" t="s">
        <v>1903</v>
      </c>
      <c r="B11630" t="s">
        <v>2128</v>
      </c>
      <c r="C11630">
        <v>115.5</v>
      </c>
      <c r="D11630">
        <v>103</v>
      </c>
      <c r="E11630">
        <f>IF(OR(B11630="vi",B11630="ii",B11630="pod"),(((D11630/100)*(C11630*VLOOKUP(B11630,'Poids des runes'!A:B,2,FALSE)))+1),(((D11630/100)*(C11630*VLOOKUP(B11630,'Poids des runes'!A:B,2,FALSE)))+1)/VLOOKUP(B11630,'Poids des runes'!A:B,2,FALSE))</f>
        <v>24.793000000000003</v>
      </c>
      <c r="F11630">
        <f t="shared" si="181"/>
        <v>24.793000000000003</v>
      </c>
    </row>
    <row r="11631" spans="1:6" x14ac:dyDescent="0.3">
      <c r="A11631" t="s">
        <v>1903</v>
      </c>
      <c r="B11631" t="s">
        <v>2126</v>
      </c>
      <c r="C11631">
        <v>33</v>
      </c>
      <c r="D11631">
        <v>103</v>
      </c>
      <c r="E11631">
        <f>IF(OR(B11631="vi",B11631="ii",B11631="pod"),(((D11631/100)*(C11631*VLOOKUP(B11631,'Poids des runes'!A:B,2,FALSE)))+1),(((D11631/100)*(C11631*VLOOKUP(B11631,'Poids des runes'!A:B,2,FALSE)))+1)/VLOOKUP(B11631,'Poids des runes'!A:B,2,FALSE))</f>
        <v>34.99</v>
      </c>
      <c r="F11631">
        <f t="shared" si="181"/>
        <v>34.99</v>
      </c>
    </row>
    <row r="11632" spans="1:6" x14ac:dyDescent="0.3">
      <c r="A11632" t="s">
        <v>1903</v>
      </c>
      <c r="B11632" t="s">
        <v>2139</v>
      </c>
      <c r="C11632">
        <v>18</v>
      </c>
      <c r="D11632">
        <v>103</v>
      </c>
      <c r="E11632">
        <f>IF(OR(B11632="vi",B11632="ii",B11632="pod"),(((D11632/100)*(C11632*VLOOKUP(B11632,'Poids des runes'!A:B,2,FALSE)))+1),(((D11632/100)*(C11632*VLOOKUP(B11632,'Poids des runes'!A:B,2,FALSE)))+1)/VLOOKUP(B11632,'Poids des runes'!A:B,2,FALSE))</f>
        <v>19.04</v>
      </c>
      <c r="F11632">
        <f t="shared" si="181"/>
        <v>19.04</v>
      </c>
    </row>
    <row r="11633" spans="1:6" x14ac:dyDescent="0.3">
      <c r="A11633" t="s">
        <v>1903</v>
      </c>
      <c r="B11633" t="s">
        <v>2151</v>
      </c>
      <c r="C11633">
        <v>4.5</v>
      </c>
      <c r="D11633">
        <v>103</v>
      </c>
      <c r="E11633">
        <f>IF(OR(B11633="vi",B11633="ii",B11633="pod"),(((D11633/100)*(C11633*VLOOKUP(B11633,'Poids des runes'!A:B,2,FALSE)))+1),(((D11633/100)*(C11633*VLOOKUP(B11633,'Poids des runes'!A:B,2,FALSE)))+1)/VLOOKUP(B11633,'Poids des runes'!A:B,2,FALSE))</f>
        <v>4.7350000000000003</v>
      </c>
      <c r="F11633">
        <f t="shared" si="181"/>
        <v>4.7350000000000003</v>
      </c>
    </row>
    <row r="11634" spans="1:6" x14ac:dyDescent="0.3">
      <c r="A11634" t="s">
        <v>1903</v>
      </c>
      <c r="B11634" t="s">
        <v>2134</v>
      </c>
      <c r="C11634">
        <v>2.5</v>
      </c>
      <c r="D11634">
        <v>103</v>
      </c>
      <c r="E11634">
        <f>IF(OR(B11634="vi",B11634="ii",B11634="pod"),(((D11634/100)*(C11634*VLOOKUP(B11634,'Poids des runes'!A:B,2,FALSE)))+1),(((D11634/100)*(C11634*VLOOKUP(B11634,'Poids des runes'!A:B,2,FALSE)))+1)/VLOOKUP(B11634,'Poids des runes'!A:B,2,FALSE))</f>
        <v>2.625</v>
      </c>
      <c r="F11634">
        <f t="shared" si="181"/>
        <v>2.625</v>
      </c>
    </row>
    <row r="11635" spans="1:6" x14ac:dyDescent="0.3">
      <c r="A11635" t="s">
        <v>1903</v>
      </c>
      <c r="B11635" t="s">
        <v>2132</v>
      </c>
      <c r="C11635">
        <v>175.5</v>
      </c>
      <c r="D11635">
        <v>103</v>
      </c>
      <c r="E11635">
        <f>IF(OR(B11635="vi",B11635="ii",B11635="pod"),(((D11635/100)*(C11635*VLOOKUP(B11635,'Poids des runes'!A:B,2,FALSE)))+1),(((D11635/100)*(C11635*VLOOKUP(B11635,'Poids des runes'!A:B,2,FALSE)))+1)/VLOOKUP(B11635,'Poids des runes'!A:B,2,FALSE))</f>
        <v>19.076500000000003</v>
      </c>
      <c r="F11635">
        <f t="shared" si="181"/>
        <v>19.076500000000003</v>
      </c>
    </row>
    <row r="11636" spans="1:6" x14ac:dyDescent="0.3">
      <c r="A11636" t="s">
        <v>1904</v>
      </c>
      <c r="B11636" t="s">
        <v>2128</v>
      </c>
      <c r="C11636">
        <v>125.5</v>
      </c>
      <c r="D11636">
        <v>103</v>
      </c>
      <c r="E11636">
        <f>IF(OR(B11636="vi",B11636="ii",B11636="pod"),(((D11636/100)*(C11636*VLOOKUP(B11636,'Poids des runes'!A:B,2,FALSE)))+1),(((D11636/100)*(C11636*VLOOKUP(B11636,'Poids des runes'!A:B,2,FALSE)))+1)/VLOOKUP(B11636,'Poids des runes'!A:B,2,FALSE))</f>
        <v>26.853000000000002</v>
      </c>
      <c r="F11636">
        <f t="shared" si="181"/>
        <v>26.853000000000002</v>
      </c>
    </row>
    <row r="11637" spans="1:6" x14ac:dyDescent="0.3">
      <c r="A11637" t="s">
        <v>1904</v>
      </c>
      <c r="B11637" t="s">
        <v>2129</v>
      </c>
      <c r="C11637">
        <v>20.5</v>
      </c>
      <c r="D11637">
        <v>103</v>
      </c>
      <c r="E11637">
        <f>IF(OR(B11637="vi",B11637="ii",B11637="pod"),(((D11637/100)*(C11637*VLOOKUP(B11637,'Poids des runes'!A:B,2,FALSE)))+1),(((D11637/100)*(C11637*VLOOKUP(B11637,'Poids des runes'!A:B,2,FALSE)))+1)/VLOOKUP(B11637,'Poids des runes'!A:B,2,FALSE))</f>
        <v>22.115000000000002</v>
      </c>
      <c r="F11637">
        <f t="shared" si="181"/>
        <v>22.115000000000002</v>
      </c>
    </row>
    <row r="11638" spans="1:6" x14ac:dyDescent="0.3">
      <c r="A11638" t="s">
        <v>1904</v>
      </c>
      <c r="B11638" t="s">
        <v>2139</v>
      </c>
      <c r="C11638">
        <v>40.5</v>
      </c>
      <c r="D11638">
        <v>103</v>
      </c>
      <c r="E11638">
        <f>IF(OR(B11638="vi",B11638="ii",B11638="pod"),(((D11638/100)*(C11638*VLOOKUP(B11638,'Poids des runes'!A:B,2,FALSE)))+1),(((D11638/100)*(C11638*VLOOKUP(B11638,'Poids des runes'!A:B,2,FALSE)))+1)/VLOOKUP(B11638,'Poids des runes'!A:B,2,FALSE))</f>
        <v>42.215000000000003</v>
      </c>
      <c r="F11638">
        <f t="shared" si="181"/>
        <v>42.215000000000003</v>
      </c>
    </row>
    <row r="11639" spans="1:6" x14ac:dyDescent="0.3">
      <c r="A11639" t="s">
        <v>1904</v>
      </c>
      <c r="B11639" t="s">
        <v>2151</v>
      </c>
      <c r="C11639">
        <v>6</v>
      </c>
      <c r="D11639">
        <v>103</v>
      </c>
      <c r="E11639">
        <f>IF(OR(B11639="vi",B11639="ii",B11639="pod"),(((D11639/100)*(C11639*VLOOKUP(B11639,'Poids des runes'!A:B,2,FALSE)))+1),(((D11639/100)*(C11639*VLOOKUP(B11639,'Poids des runes'!A:B,2,FALSE)))+1)/VLOOKUP(B11639,'Poids des runes'!A:B,2,FALSE))</f>
        <v>6.28</v>
      </c>
      <c r="F11639">
        <f t="shared" si="181"/>
        <v>6.28</v>
      </c>
    </row>
    <row r="11640" spans="1:6" x14ac:dyDescent="0.3">
      <c r="A11640" t="s">
        <v>1904</v>
      </c>
      <c r="B11640" t="s">
        <v>2135</v>
      </c>
      <c r="C11640">
        <v>3.5</v>
      </c>
      <c r="D11640">
        <v>103</v>
      </c>
      <c r="E11640">
        <f>IF(OR(B11640="vi",B11640="ii",B11640="pod"),(((D11640/100)*(C11640*VLOOKUP(B11640,'Poids des runes'!A:B,2,FALSE)))+1),(((D11640/100)*(C11640*VLOOKUP(B11640,'Poids des runes'!A:B,2,FALSE)))+1)/VLOOKUP(B11640,'Poids des runes'!A:B,2,FALSE))</f>
        <v>3.7716666666666665</v>
      </c>
      <c r="F11640">
        <f t="shared" si="181"/>
        <v>3.7716666666666665</v>
      </c>
    </row>
    <row r="11641" spans="1:6" x14ac:dyDescent="0.3">
      <c r="A11641" t="s">
        <v>1904</v>
      </c>
      <c r="B11641" t="s">
        <v>2157</v>
      </c>
      <c r="C11641">
        <v>3.5</v>
      </c>
      <c r="D11641">
        <v>103</v>
      </c>
      <c r="E11641">
        <f>IF(OR(B11641="vi",B11641="ii",B11641="pod"),(((D11641/100)*(C11641*VLOOKUP(B11641,'Poids des runes'!A:B,2,FALSE)))+1),(((D11641/100)*(C11641*VLOOKUP(B11641,'Poids des runes'!A:B,2,FALSE)))+1)/VLOOKUP(B11641,'Poids des runes'!A:B,2,FALSE))</f>
        <v>3.7716666666666665</v>
      </c>
      <c r="F11641">
        <f t="shared" si="181"/>
        <v>3.7716666666666665</v>
      </c>
    </row>
    <row r="11642" spans="1:6" x14ac:dyDescent="0.3">
      <c r="A11642" t="s">
        <v>1905</v>
      </c>
      <c r="B11642" t="s">
        <v>2126</v>
      </c>
      <c r="C11642">
        <v>30.5</v>
      </c>
      <c r="D11642">
        <v>105</v>
      </c>
      <c r="E11642">
        <f>IF(OR(B11642="vi",B11642="ii",B11642="pod"),(((D11642/100)*(C11642*VLOOKUP(B11642,'Poids des runes'!A:B,2,FALSE)))+1),(((D11642/100)*(C11642*VLOOKUP(B11642,'Poids des runes'!A:B,2,FALSE)))+1)/VLOOKUP(B11642,'Poids des runes'!A:B,2,FALSE))</f>
        <v>33.024999999999999</v>
      </c>
      <c r="F11642">
        <f t="shared" si="181"/>
        <v>33.024999999999999</v>
      </c>
    </row>
    <row r="11643" spans="1:6" x14ac:dyDescent="0.3">
      <c r="A11643" t="s">
        <v>1905</v>
      </c>
      <c r="B11643" t="s">
        <v>2129</v>
      </c>
      <c r="C11643">
        <v>30.5</v>
      </c>
      <c r="D11643">
        <v>105</v>
      </c>
      <c r="E11643">
        <f>IF(OR(B11643="vi",B11643="ii",B11643="pod"),(((D11643/100)*(C11643*VLOOKUP(B11643,'Poids des runes'!A:B,2,FALSE)))+1),(((D11643/100)*(C11643*VLOOKUP(B11643,'Poids des runes'!A:B,2,FALSE)))+1)/VLOOKUP(B11643,'Poids des runes'!A:B,2,FALSE))</f>
        <v>33.024999999999999</v>
      </c>
      <c r="F11643">
        <f t="shared" si="181"/>
        <v>33.024999999999999</v>
      </c>
    </row>
    <row r="11644" spans="1:6" x14ac:dyDescent="0.3">
      <c r="A11644" t="s">
        <v>1905</v>
      </c>
      <c r="B11644" t="s">
        <v>2152</v>
      </c>
      <c r="C11644">
        <v>1</v>
      </c>
      <c r="D11644">
        <v>105</v>
      </c>
      <c r="E11644">
        <f>IF(OR(B11644="vi",B11644="ii",B11644="pod"),(((D11644/100)*(C11644*VLOOKUP(B11644,'Poids des runes'!A:B,2,FALSE)))+1),(((D11644/100)*(C11644*VLOOKUP(B11644,'Poids des runes'!A:B,2,FALSE)))+1)/VLOOKUP(B11644,'Poids des runes'!A:B,2,FALSE))</f>
        <v>1.06</v>
      </c>
      <c r="F11644">
        <f t="shared" si="181"/>
        <v>1.06</v>
      </c>
    </row>
    <row r="11645" spans="1:6" x14ac:dyDescent="0.3">
      <c r="A11645" t="s">
        <v>1905</v>
      </c>
      <c r="B11645" t="s">
        <v>2154</v>
      </c>
      <c r="C11645">
        <v>1</v>
      </c>
      <c r="D11645">
        <v>105</v>
      </c>
      <c r="E11645">
        <f>IF(OR(B11645="vi",B11645="ii",B11645="pod"),(((D11645/100)*(C11645*VLOOKUP(B11645,'Poids des runes'!A:B,2,FALSE)))+1),(((D11645/100)*(C11645*VLOOKUP(B11645,'Poids des runes'!A:B,2,FALSE)))+1)/VLOOKUP(B11645,'Poids des runes'!A:B,2,FALSE))</f>
        <v>1.0611111111111111</v>
      </c>
      <c r="F11645">
        <f t="shared" si="181"/>
        <v>1.0611111111111111</v>
      </c>
    </row>
    <row r="11646" spans="1:6" x14ac:dyDescent="0.3">
      <c r="A11646" t="s">
        <v>1905</v>
      </c>
      <c r="B11646" t="s">
        <v>2155</v>
      </c>
      <c r="C11646">
        <v>1</v>
      </c>
      <c r="D11646">
        <v>105</v>
      </c>
      <c r="E11646">
        <f>IF(OR(B11646="vi",B11646="ii",B11646="pod"),(((D11646/100)*(C11646*VLOOKUP(B11646,'Poids des runes'!A:B,2,FALSE)))+1),(((D11646/100)*(C11646*VLOOKUP(B11646,'Poids des runes'!A:B,2,FALSE)))+1)/VLOOKUP(B11646,'Poids des runes'!A:B,2,FALSE))</f>
        <v>1.0696078431372549</v>
      </c>
      <c r="F11646">
        <f t="shared" si="181"/>
        <v>1.0696078431372549</v>
      </c>
    </row>
    <row r="11647" spans="1:6" x14ac:dyDescent="0.3">
      <c r="A11647" t="s">
        <v>1906</v>
      </c>
      <c r="B11647" t="s">
        <v>2128</v>
      </c>
      <c r="C11647">
        <v>125.5</v>
      </c>
      <c r="D11647">
        <v>105</v>
      </c>
      <c r="E11647">
        <f>IF(OR(B11647="vi",B11647="ii",B11647="pod"),(((D11647/100)*(C11647*VLOOKUP(B11647,'Poids des runes'!A:B,2,FALSE)))+1),(((D11647/100)*(C11647*VLOOKUP(B11647,'Poids des runes'!A:B,2,FALSE)))+1)/VLOOKUP(B11647,'Poids des runes'!A:B,2,FALSE))</f>
        <v>27.355000000000004</v>
      </c>
      <c r="F11647">
        <f t="shared" si="181"/>
        <v>27.355000000000004</v>
      </c>
    </row>
    <row r="11648" spans="1:6" x14ac:dyDescent="0.3">
      <c r="A11648" t="s">
        <v>1906</v>
      </c>
      <c r="B11648" t="s">
        <v>2126</v>
      </c>
      <c r="C11648">
        <v>30.5</v>
      </c>
      <c r="D11648">
        <v>105</v>
      </c>
      <c r="E11648">
        <f>IF(OR(B11648="vi",B11648="ii",B11648="pod"),(((D11648/100)*(C11648*VLOOKUP(B11648,'Poids des runes'!A:B,2,FALSE)))+1),(((D11648/100)*(C11648*VLOOKUP(B11648,'Poids des runes'!A:B,2,FALSE)))+1)/VLOOKUP(B11648,'Poids des runes'!A:B,2,FALSE))</f>
        <v>33.024999999999999</v>
      </c>
      <c r="F11648">
        <f t="shared" si="181"/>
        <v>33.024999999999999</v>
      </c>
    </row>
    <row r="11649" spans="1:6" x14ac:dyDescent="0.3">
      <c r="A11649" t="s">
        <v>1906</v>
      </c>
      <c r="B11649" t="s">
        <v>2129</v>
      </c>
      <c r="C11649">
        <v>20.5</v>
      </c>
      <c r="D11649">
        <v>105</v>
      </c>
      <c r="E11649">
        <f>IF(OR(B11649="vi",B11649="ii",B11649="pod"),(((D11649/100)*(C11649*VLOOKUP(B11649,'Poids des runes'!A:B,2,FALSE)))+1),(((D11649/100)*(C11649*VLOOKUP(B11649,'Poids des runes'!A:B,2,FALSE)))+1)/VLOOKUP(B11649,'Poids des runes'!A:B,2,FALSE))</f>
        <v>22.525000000000002</v>
      </c>
      <c r="F11649">
        <f t="shared" si="181"/>
        <v>22.525000000000002</v>
      </c>
    </row>
    <row r="11650" spans="1:6" x14ac:dyDescent="0.3">
      <c r="A11650" t="s">
        <v>1906</v>
      </c>
      <c r="B11650" t="s">
        <v>2155</v>
      </c>
      <c r="C11650">
        <v>1</v>
      </c>
      <c r="D11650">
        <v>105</v>
      </c>
      <c r="E11650">
        <f>IF(OR(B11650="vi",B11650="ii",B11650="pod"),(((D11650/100)*(C11650*VLOOKUP(B11650,'Poids des runes'!A:B,2,FALSE)))+1),(((D11650/100)*(C11650*VLOOKUP(B11650,'Poids des runes'!A:B,2,FALSE)))+1)/VLOOKUP(B11650,'Poids des runes'!A:B,2,FALSE))</f>
        <v>1.0696078431372549</v>
      </c>
      <c r="F11650">
        <f t="shared" si="181"/>
        <v>1.0696078431372549</v>
      </c>
    </row>
    <row r="11651" spans="1:6" x14ac:dyDescent="0.3">
      <c r="A11651" t="s">
        <v>1906</v>
      </c>
      <c r="B11651" t="s">
        <v>2140</v>
      </c>
      <c r="C11651">
        <v>5</v>
      </c>
      <c r="D11651">
        <v>105</v>
      </c>
      <c r="E11651">
        <f>IF(OR(B11651="vi",B11651="ii",B11651="pod"),(((D11651/100)*(C11651*VLOOKUP(B11651,'Poids des runes'!A:B,2,FALSE)))+1),(((D11651/100)*(C11651*VLOOKUP(B11651,'Poids des runes'!A:B,2,FALSE)))+1)/VLOOKUP(B11651,'Poids des runes'!A:B,2,FALSE))</f>
        <v>5.45</v>
      </c>
      <c r="F11651">
        <f t="shared" ref="F11651:F11714" si="182">E11651</f>
        <v>5.45</v>
      </c>
    </row>
    <row r="11652" spans="1:6" x14ac:dyDescent="0.3">
      <c r="A11652" t="s">
        <v>1906</v>
      </c>
      <c r="B11652" t="s">
        <v>2149</v>
      </c>
      <c r="C11652">
        <v>5</v>
      </c>
      <c r="D11652">
        <v>105</v>
      </c>
      <c r="E11652">
        <f>IF(OR(B11652="vi",B11652="ii",B11652="pod"),(((D11652/100)*(C11652*VLOOKUP(B11652,'Poids des runes'!A:B,2,FALSE)))+1),(((D11652/100)*(C11652*VLOOKUP(B11652,'Poids des runes'!A:B,2,FALSE)))+1)/VLOOKUP(B11652,'Poids des runes'!A:B,2,FALSE))</f>
        <v>5.35</v>
      </c>
      <c r="F11652">
        <f t="shared" si="182"/>
        <v>5.35</v>
      </c>
    </row>
    <row r="11653" spans="1:6" x14ac:dyDescent="0.3">
      <c r="A11653" t="s">
        <v>1906</v>
      </c>
      <c r="B11653" t="s">
        <v>2141</v>
      </c>
      <c r="C11653">
        <v>3.5</v>
      </c>
      <c r="D11653">
        <v>105</v>
      </c>
      <c r="E11653">
        <f>IF(OR(B11653="vi",B11653="ii",B11653="pod"),(((D11653/100)*(C11653*VLOOKUP(B11653,'Poids des runes'!A:B,2,FALSE)))+1),(((D11653/100)*(C11653*VLOOKUP(B11653,'Poids des runes'!A:B,2,FALSE)))+1)/VLOOKUP(B11653,'Poids des runes'!A:B,2,FALSE))</f>
        <v>3.9250000000000003</v>
      </c>
      <c r="F11653">
        <f t="shared" si="182"/>
        <v>3.9250000000000003</v>
      </c>
    </row>
    <row r="11654" spans="1:6" x14ac:dyDescent="0.3">
      <c r="A11654" t="s">
        <v>1906</v>
      </c>
      <c r="B11654" t="s">
        <v>2156</v>
      </c>
      <c r="C11654">
        <v>6</v>
      </c>
      <c r="D11654">
        <v>105</v>
      </c>
      <c r="E11654">
        <f>IF(OR(B11654="vi",B11654="ii",B11654="pod"),(((D11654/100)*(C11654*VLOOKUP(B11654,'Poids des runes'!A:B,2,FALSE)))+1),(((D11654/100)*(C11654*VLOOKUP(B11654,'Poids des runes'!A:B,2,FALSE)))+1)/VLOOKUP(B11654,'Poids des runes'!A:B,2,FALSE))</f>
        <v>6.4666666666666677</v>
      </c>
      <c r="F11654">
        <f t="shared" si="182"/>
        <v>6.4666666666666677</v>
      </c>
    </row>
    <row r="11655" spans="1:6" x14ac:dyDescent="0.3">
      <c r="A11655" t="s">
        <v>1906</v>
      </c>
      <c r="B11655" t="s">
        <v>2136</v>
      </c>
      <c r="C11655">
        <v>6</v>
      </c>
      <c r="D11655">
        <v>105</v>
      </c>
      <c r="E11655">
        <f>IF(OR(B11655="vi",B11655="ii",B11655="pod"),(((D11655/100)*(C11655*VLOOKUP(B11655,'Poids des runes'!A:B,2,FALSE)))+1),(((D11655/100)*(C11655*VLOOKUP(B11655,'Poids des runes'!A:B,2,FALSE)))+1)/VLOOKUP(B11655,'Poids des runes'!A:B,2,FALSE))</f>
        <v>6.8000000000000007</v>
      </c>
      <c r="F11655">
        <f t="shared" si="182"/>
        <v>6.8000000000000007</v>
      </c>
    </row>
    <row r="11656" spans="1:6" x14ac:dyDescent="0.3">
      <c r="A11656" t="s">
        <v>1907</v>
      </c>
      <c r="B11656" t="s">
        <v>2128</v>
      </c>
      <c r="C11656">
        <v>115.5</v>
      </c>
      <c r="D11656">
        <v>105</v>
      </c>
      <c r="E11656">
        <f>IF(OR(B11656="vi",B11656="ii",B11656="pod"),(((D11656/100)*(C11656*VLOOKUP(B11656,'Poids des runes'!A:B,2,FALSE)))+1),(((D11656/100)*(C11656*VLOOKUP(B11656,'Poids des runes'!A:B,2,FALSE)))+1)/VLOOKUP(B11656,'Poids des runes'!A:B,2,FALSE))</f>
        <v>25.255000000000003</v>
      </c>
      <c r="F11656">
        <f t="shared" si="182"/>
        <v>25.255000000000003</v>
      </c>
    </row>
    <row r="11657" spans="1:6" x14ac:dyDescent="0.3">
      <c r="A11657" t="s">
        <v>1907</v>
      </c>
      <c r="B11657" t="s">
        <v>2126</v>
      </c>
      <c r="C11657">
        <v>28</v>
      </c>
      <c r="D11657">
        <v>105</v>
      </c>
      <c r="E11657">
        <f>IF(OR(B11657="vi",B11657="ii",B11657="pod"),(((D11657/100)*(C11657*VLOOKUP(B11657,'Poids des runes'!A:B,2,FALSE)))+1),(((D11657/100)*(C11657*VLOOKUP(B11657,'Poids des runes'!A:B,2,FALSE)))+1)/VLOOKUP(B11657,'Poids des runes'!A:B,2,FALSE))</f>
        <v>30.400000000000002</v>
      </c>
      <c r="F11657">
        <f t="shared" si="182"/>
        <v>30.400000000000002</v>
      </c>
    </row>
    <row r="11658" spans="1:6" x14ac:dyDescent="0.3">
      <c r="A11658" t="s">
        <v>1907</v>
      </c>
      <c r="B11658" t="s">
        <v>2129</v>
      </c>
      <c r="C11658">
        <v>28</v>
      </c>
      <c r="D11658">
        <v>105</v>
      </c>
      <c r="E11658">
        <f>IF(OR(B11658="vi",B11658="ii",B11658="pod"),(((D11658/100)*(C11658*VLOOKUP(B11658,'Poids des runes'!A:B,2,FALSE)))+1),(((D11658/100)*(C11658*VLOOKUP(B11658,'Poids des runes'!A:B,2,FALSE)))+1)/VLOOKUP(B11658,'Poids des runes'!A:B,2,FALSE))</f>
        <v>30.400000000000002</v>
      </c>
      <c r="F11658">
        <f t="shared" si="182"/>
        <v>30.400000000000002</v>
      </c>
    </row>
    <row r="11659" spans="1:6" x14ac:dyDescent="0.3">
      <c r="A11659" t="s">
        <v>1908</v>
      </c>
      <c r="B11659" t="s">
        <v>2128</v>
      </c>
      <c r="C11659">
        <v>125.5</v>
      </c>
      <c r="D11659">
        <v>106</v>
      </c>
      <c r="E11659">
        <f>IF(OR(B11659="vi",B11659="ii",B11659="pod"),(((D11659/100)*(C11659*VLOOKUP(B11659,'Poids des runes'!A:B,2,FALSE)))+1),(((D11659/100)*(C11659*VLOOKUP(B11659,'Poids des runes'!A:B,2,FALSE)))+1)/VLOOKUP(B11659,'Poids des runes'!A:B,2,FALSE))</f>
        <v>27.606000000000002</v>
      </c>
      <c r="F11659">
        <f t="shared" si="182"/>
        <v>27.606000000000002</v>
      </c>
    </row>
    <row r="11660" spans="1:6" x14ac:dyDescent="0.3">
      <c r="A11660" t="s">
        <v>1908</v>
      </c>
      <c r="B11660" t="s">
        <v>2130</v>
      </c>
      <c r="C11660">
        <v>30.5</v>
      </c>
      <c r="D11660">
        <v>106</v>
      </c>
      <c r="E11660">
        <f>IF(OR(B11660="vi",B11660="ii",B11660="pod"),(((D11660/100)*(C11660*VLOOKUP(B11660,'Poids des runes'!A:B,2,FALSE)))+1),(((D11660/100)*(C11660*VLOOKUP(B11660,'Poids des runes'!A:B,2,FALSE)))+1)/VLOOKUP(B11660,'Poids des runes'!A:B,2,FALSE))</f>
        <v>33.33</v>
      </c>
      <c r="F11660">
        <f t="shared" si="182"/>
        <v>33.33</v>
      </c>
    </row>
    <row r="11661" spans="1:6" x14ac:dyDescent="0.3">
      <c r="A11661" t="s">
        <v>1908</v>
      </c>
      <c r="B11661" t="s">
        <v>2126</v>
      </c>
      <c r="C11661">
        <v>30.5</v>
      </c>
      <c r="D11661">
        <v>106</v>
      </c>
      <c r="E11661">
        <f>IF(OR(B11661="vi",B11661="ii",B11661="pod"),(((D11661/100)*(C11661*VLOOKUP(B11661,'Poids des runes'!A:B,2,FALSE)))+1),(((D11661/100)*(C11661*VLOOKUP(B11661,'Poids des runes'!A:B,2,FALSE)))+1)/VLOOKUP(B11661,'Poids des runes'!A:B,2,FALSE))</f>
        <v>33.33</v>
      </c>
      <c r="F11661">
        <f t="shared" si="182"/>
        <v>33.33</v>
      </c>
    </row>
    <row r="11662" spans="1:6" x14ac:dyDescent="0.3">
      <c r="A11662" t="s">
        <v>1908</v>
      </c>
      <c r="B11662" t="s">
        <v>2129</v>
      </c>
      <c r="C11662">
        <v>28</v>
      </c>
      <c r="D11662">
        <v>106</v>
      </c>
      <c r="E11662">
        <f>IF(OR(B11662="vi",B11662="ii",B11662="pod"),(((D11662/100)*(C11662*VLOOKUP(B11662,'Poids des runes'!A:B,2,FALSE)))+1),(((D11662/100)*(C11662*VLOOKUP(B11662,'Poids des runes'!A:B,2,FALSE)))+1)/VLOOKUP(B11662,'Poids des runes'!A:B,2,FALSE))</f>
        <v>30.68</v>
      </c>
      <c r="F11662">
        <f t="shared" si="182"/>
        <v>30.68</v>
      </c>
    </row>
    <row r="11663" spans="1:6" x14ac:dyDescent="0.3">
      <c r="A11663" t="s">
        <v>1908</v>
      </c>
      <c r="B11663" t="s">
        <v>2143</v>
      </c>
      <c r="C11663">
        <v>4</v>
      </c>
      <c r="D11663">
        <v>106</v>
      </c>
      <c r="E11663">
        <f>IF(OR(B11663="vi",B11663="ii",B11663="pod"),(((D11663/100)*(C11663*VLOOKUP(B11663,'Poids des runes'!A:B,2,FALSE)))+1),(((D11663/100)*(C11663*VLOOKUP(B11663,'Poids des runes'!A:B,2,FALSE)))+1)/VLOOKUP(B11663,'Poids des runes'!A:B,2,FALSE))</f>
        <v>4.4400000000000004</v>
      </c>
      <c r="F11663">
        <f t="shared" si="182"/>
        <v>4.4400000000000004</v>
      </c>
    </row>
    <row r="11664" spans="1:6" x14ac:dyDescent="0.3">
      <c r="A11664" t="s">
        <v>1908</v>
      </c>
      <c r="B11664" t="s">
        <v>2140</v>
      </c>
      <c r="C11664">
        <v>4</v>
      </c>
      <c r="D11664">
        <v>106</v>
      </c>
      <c r="E11664">
        <f>IF(OR(B11664="vi",B11664="ii",B11664="pod"),(((D11664/100)*(C11664*VLOOKUP(B11664,'Poids des runes'!A:B,2,FALSE)))+1),(((D11664/100)*(C11664*VLOOKUP(B11664,'Poids des runes'!A:B,2,FALSE)))+1)/VLOOKUP(B11664,'Poids des runes'!A:B,2,FALSE))</f>
        <v>4.4400000000000004</v>
      </c>
      <c r="F11664">
        <f t="shared" si="182"/>
        <v>4.4400000000000004</v>
      </c>
    </row>
    <row r="11665" spans="1:6" x14ac:dyDescent="0.3">
      <c r="A11665" t="s">
        <v>1908</v>
      </c>
      <c r="B11665" t="s">
        <v>2157</v>
      </c>
      <c r="C11665">
        <v>5</v>
      </c>
      <c r="D11665">
        <v>106</v>
      </c>
      <c r="E11665">
        <f>IF(OR(B11665="vi",B11665="ii",B11665="pod"),(((D11665/100)*(C11665*VLOOKUP(B11665,'Poids des runes'!A:B,2,FALSE)))+1),(((D11665/100)*(C11665*VLOOKUP(B11665,'Poids des runes'!A:B,2,FALSE)))+1)/VLOOKUP(B11665,'Poids des runes'!A:B,2,FALSE))</f>
        <v>5.4666666666666659</v>
      </c>
      <c r="F11665">
        <f t="shared" si="182"/>
        <v>5.4666666666666659</v>
      </c>
    </row>
    <row r="11666" spans="1:6" x14ac:dyDescent="0.3">
      <c r="A11666" t="s">
        <v>1909</v>
      </c>
      <c r="B11666" t="s">
        <v>2128</v>
      </c>
      <c r="C11666">
        <v>125.5</v>
      </c>
      <c r="D11666">
        <v>106</v>
      </c>
      <c r="E11666">
        <f>IF(OR(B11666="vi",B11666="ii",B11666="pod"),(((D11666/100)*(C11666*VLOOKUP(B11666,'Poids des runes'!A:B,2,FALSE)))+1),(((D11666/100)*(C11666*VLOOKUP(B11666,'Poids des runes'!A:B,2,FALSE)))+1)/VLOOKUP(B11666,'Poids des runes'!A:B,2,FALSE))</f>
        <v>27.606000000000002</v>
      </c>
      <c r="F11666">
        <f t="shared" si="182"/>
        <v>27.606000000000002</v>
      </c>
    </row>
    <row r="11667" spans="1:6" x14ac:dyDescent="0.3">
      <c r="A11667" t="s">
        <v>1909</v>
      </c>
      <c r="B11667" t="s">
        <v>2130</v>
      </c>
      <c r="C11667">
        <v>40.5</v>
      </c>
      <c r="D11667">
        <v>106</v>
      </c>
      <c r="E11667">
        <f>IF(OR(B11667="vi",B11667="ii",B11667="pod"),(((D11667/100)*(C11667*VLOOKUP(B11667,'Poids des runes'!A:B,2,FALSE)))+1),(((D11667/100)*(C11667*VLOOKUP(B11667,'Poids des runes'!A:B,2,FALSE)))+1)/VLOOKUP(B11667,'Poids des runes'!A:B,2,FALSE))</f>
        <v>43.93</v>
      </c>
      <c r="F11667">
        <f t="shared" si="182"/>
        <v>43.93</v>
      </c>
    </row>
    <row r="11668" spans="1:6" x14ac:dyDescent="0.3">
      <c r="A11668" t="s">
        <v>1909</v>
      </c>
      <c r="B11668" t="s">
        <v>2127</v>
      </c>
      <c r="C11668">
        <v>40.5</v>
      </c>
      <c r="D11668">
        <v>106</v>
      </c>
      <c r="E11668">
        <f>IF(OR(B11668="vi",B11668="ii",B11668="pod"),(((D11668/100)*(C11668*VLOOKUP(B11668,'Poids des runes'!A:B,2,FALSE)))+1),(((D11668/100)*(C11668*VLOOKUP(B11668,'Poids des runes'!A:B,2,FALSE)))+1)/VLOOKUP(B11668,'Poids des runes'!A:B,2,FALSE))</f>
        <v>43.93</v>
      </c>
      <c r="F11668">
        <f t="shared" si="182"/>
        <v>43.93</v>
      </c>
    </row>
    <row r="11669" spans="1:6" x14ac:dyDescent="0.3">
      <c r="A11669" t="s">
        <v>1909</v>
      </c>
      <c r="B11669" t="s">
        <v>2129</v>
      </c>
      <c r="C11669">
        <v>28</v>
      </c>
      <c r="D11669">
        <v>106</v>
      </c>
      <c r="E11669">
        <f>IF(OR(B11669="vi",B11669="ii",B11669="pod"),(((D11669/100)*(C11669*VLOOKUP(B11669,'Poids des runes'!A:B,2,FALSE)))+1),(((D11669/100)*(C11669*VLOOKUP(B11669,'Poids des runes'!A:B,2,FALSE)))+1)/VLOOKUP(B11669,'Poids des runes'!A:B,2,FALSE))</f>
        <v>30.68</v>
      </c>
      <c r="F11669">
        <f t="shared" si="182"/>
        <v>30.68</v>
      </c>
    </row>
    <row r="11670" spans="1:6" x14ac:dyDescent="0.3">
      <c r="A11670" t="s">
        <v>1909</v>
      </c>
      <c r="B11670" t="s">
        <v>2151</v>
      </c>
      <c r="C11670">
        <v>6</v>
      </c>
      <c r="D11670">
        <v>106</v>
      </c>
      <c r="E11670">
        <f>IF(OR(B11670="vi",B11670="ii",B11670="pod"),(((D11670/100)*(C11670*VLOOKUP(B11670,'Poids des runes'!A:B,2,FALSE)))+1),(((D11670/100)*(C11670*VLOOKUP(B11670,'Poids des runes'!A:B,2,FALSE)))+1)/VLOOKUP(B11670,'Poids des runes'!A:B,2,FALSE))</f>
        <v>6.4599999999999991</v>
      </c>
      <c r="F11670">
        <f t="shared" si="182"/>
        <v>6.4599999999999991</v>
      </c>
    </row>
    <row r="11671" spans="1:6" x14ac:dyDescent="0.3">
      <c r="A11671" t="s">
        <v>1910</v>
      </c>
      <c r="B11671" t="s">
        <v>2128</v>
      </c>
      <c r="C11671">
        <v>100.5</v>
      </c>
      <c r="D11671">
        <v>106</v>
      </c>
      <c r="E11671">
        <f>IF(OR(B11671="vi",B11671="ii",B11671="pod"),(((D11671/100)*(C11671*VLOOKUP(B11671,'Poids des runes'!A:B,2,FALSE)))+1),(((D11671/100)*(C11671*VLOOKUP(B11671,'Poids des runes'!A:B,2,FALSE)))+1)/VLOOKUP(B11671,'Poids des runes'!A:B,2,FALSE))</f>
        <v>22.306000000000001</v>
      </c>
      <c r="F11671">
        <f t="shared" si="182"/>
        <v>22.306000000000001</v>
      </c>
    </row>
    <row r="11672" spans="1:6" x14ac:dyDescent="0.3">
      <c r="A11672" t="s">
        <v>1910</v>
      </c>
      <c r="B11672" t="s">
        <v>2127</v>
      </c>
      <c r="C11672">
        <v>35.5</v>
      </c>
      <c r="D11672">
        <v>106</v>
      </c>
      <c r="E11672">
        <f>IF(OR(B11672="vi",B11672="ii",B11672="pod"),(((D11672/100)*(C11672*VLOOKUP(B11672,'Poids des runes'!A:B,2,FALSE)))+1),(((D11672/100)*(C11672*VLOOKUP(B11672,'Poids des runes'!A:B,2,FALSE)))+1)/VLOOKUP(B11672,'Poids des runes'!A:B,2,FALSE))</f>
        <v>38.630000000000003</v>
      </c>
      <c r="F11672">
        <f t="shared" si="182"/>
        <v>38.630000000000003</v>
      </c>
    </row>
    <row r="11673" spans="1:6" x14ac:dyDescent="0.3">
      <c r="A11673" t="s">
        <v>1910</v>
      </c>
      <c r="B11673" t="s">
        <v>2129</v>
      </c>
      <c r="C11673">
        <v>18</v>
      </c>
      <c r="D11673">
        <v>106</v>
      </c>
      <c r="E11673">
        <f>IF(OR(B11673="vi",B11673="ii",B11673="pod"),(((D11673/100)*(C11673*VLOOKUP(B11673,'Poids des runes'!A:B,2,FALSE)))+1),(((D11673/100)*(C11673*VLOOKUP(B11673,'Poids des runes'!A:B,2,FALSE)))+1)/VLOOKUP(B11673,'Poids des runes'!A:B,2,FALSE))</f>
        <v>20.080000000000002</v>
      </c>
      <c r="F11673">
        <f t="shared" si="182"/>
        <v>20.080000000000002</v>
      </c>
    </row>
    <row r="11674" spans="1:6" x14ac:dyDescent="0.3">
      <c r="A11674" t="s">
        <v>1910</v>
      </c>
      <c r="B11674" t="s">
        <v>2151</v>
      </c>
      <c r="C11674">
        <v>3.5</v>
      </c>
      <c r="D11674">
        <v>106</v>
      </c>
      <c r="E11674">
        <f>IF(OR(B11674="vi",B11674="ii",B11674="pod"),(((D11674/100)*(C11674*VLOOKUP(B11674,'Poids des runes'!A:B,2,FALSE)))+1),(((D11674/100)*(C11674*VLOOKUP(B11674,'Poids des runes'!A:B,2,FALSE)))+1)/VLOOKUP(B11674,'Poids des runes'!A:B,2,FALSE))</f>
        <v>3.81</v>
      </c>
      <c r="F11674">
        <f t="shared" si="182"/>
        <v>3.81</v>
      </c>
    </row>
    <row r="11675" spans="1:6" x14ac:dyDescent="0.3">
      <c r="A11675" t="s">
        <v>1910</v>
      </c>
      <c r="B11675" t="s">
        <v>2155</v>
      </c>
      <c r="C11675">
        <v>1</v>
      </c>
      <c r="D11675">
        <v>106</v>
      </c>
      <c r="E11675">
        <f>IF(OR(B11675="vi",B11675="ii",B11675="pod"),(((D11675/100)*(C11675*VLOOKUP(B11675,'Poids des runes'!A:B,2,FALSE)))+1),(((D11675/100)*(C11675*VLOOKUP(B11675,'Poids des runes'!A:B,2,FALSE)))+1)/VLOOKUP(B11675,'Poids des runes'!A:B,2,FALSE))</f>
        <v>1.0796078431372549</v>
      </c>
      <c r="F11675">
        <f t="shared" si="182"/>
        <v>1.0796078431372549</v>
      </c>
    </row>
    <row r="11676" spans="1:6" x14ac:dyDescent="0.3">
      <c r="A11676" t="s">
        <v>1910</v>
      </c>
      <c r="B11676" t="s">
        <v>2153</v>
      </c>
      <c r="C11676">
        <v>5</v>
      </c>
      <c r="D11676">
        <v>106</v>
      </c>
      <c r="E11676">
        <f>IF(OR(B11676="vi",B11676="ii",B11676="pod"),(((D11676/100)*(C11676*VLOOKUP(B11676,'Poids des runes'!A:B,2,FALSE)))+1),(((D11676/100)*(C11676*VLOOKUP(B11676,'Poids des runes'!A:B,2,FALSE)))+1)/VLOOKUP(B11676,'Poids des runes'!A:B,2,FALSE))</f>
        <v>5.5</v>
      </c>
      <c r="F11676">
        <f t="shared" si="182"/>
        <v>5.5</v>
      </c>
    </row>
    <row r="11677" spans="1:6" x14ac:dyDescent="0.3">
      <c r="A11677" t="s">
        <v>1910</v>
      </c>
      <c r="B11677" t="s">
        <v>2160</v>
      </c>
      <c r="C11677">
        <v>5</v>
      </c>
      <c r="D11677">
        <v>106</v>
      </c>
      <c r="E11677">
        <f>IF(OR(B11677="vi",B11677="ii",B11677="pod"),(((D11677/100)*(C11677*VLOOKUP(B11677,'Poids des runes'!A:B,2,FALSE)))+1),(((D11677/100)*(C11677*VLOOKUP(B11677,'Poids des runes'!A:B,2,FALSE)))+1)/VLOOKUP(B11677,'Poids des runes'!A:B,2,FALSE))</f>
        <v>5.4428571428571431</v>
      </c>
      <c r="F11677">
        <f t="shared" si="182"/>
        <v>5.4428571428571431</v>
      </c>
    </row>
    <row r="11678" spans="1:6" x14ac:dyDescent="0.3">
      <c r="A11678" t="s">
        <v>1910</v>
      </c>
      <c r="B11678" t="s">
        <v>2142</v>
      </c>
      <c r="C11678">
        <v>8.5</v>
      </c>
      <c r="D11678">
        <v>106</v>
      </c>
      <c r="E11678">
        <f>IF(OR(B11678="vi",B11678="ii",B11678="pod"),(((D11678/100)*(C11678*VLOOKUP(B11678,'Poids des runes'!A:B,2,FALSE)))+1),(((D11678/100)*(C11678*VLOOKUP(B11678,'Poids des runes'!A:B,2,FALSE)))+1)/VLOOKUP(B11678,'Poids des runes'!A:B,2,FALSE))</f>
        <v>9.2100000000000009</v>
      </c>
      <c r="F11678">
        <f t="shared" si="182"/>
        <v>9.2100000000000009</v>
      </c>
    </row>
    <row r="11679" spans="1:6" x14ac:dyDescent="0.3">
      <c r="A11679" t="s">
        <v>1910</v>
      </c>
      <c r="B11679" t="s">
        <v>2148</v>
      </c>
      <c r="C11679">
        <v>5</v>
      </c>
      <c r="D11679">
        <v>106</v>
      </c>
      <c r="E11679">
        <f>IF(OR(B11679="vi",B11679="ii",B11679="pod"),(((D11679/100)*(C11679*VLOOKUP(B11679,'Poids des runes'!A:B,2,FALSE)))+1),(((D11679/100)*(C11679*VLOOKUP(B11679,'Poids des runes'!A:B,2,FALSE)))+1)/VLOOKUP(B11679,'Poids des runes'!A:B,2,FALSE))</f>
        <v>5.4666666666666659</v>
      </c>
      <c r="F11679">
        <f t="shared" si="182"/>
        <v>5.4666666666666659</v>
      </c>
    </row>
    <row r="11680" spans="1:6" x14ac:dyDescent="0.3">
      <c r="A11680" t="s">
        <v>1910</v>
      </c>
      <c r="B11680" t="s">
        <v>2135</v>
      </c>
      <c r="C11680">
        <v>5</v>
      </c>
      <c r="D11680">
        <v>106</v>
      </c>
      <c r="E11680">
        <f>IF(OR(B11680="vi",B11680="ii",B11680="pod"),(((D11680/100)*(C11680*VLOOKUP(B11680,'Poids des runes'!A:B,2,FALSE)))+1),(((D11680/100)*(C11680*VLOOKUP(B11680,'Poids des runes'!A:B,2,FALSE)))+1)/VLOOKUP(B11680,'Poids des runes'!A:B,2,FALSE))</f>
        <v>5.4666666666666659</v>
      </c>
      <c r="F11680">
        <f t="shared" si="182"/>
        <v>5.4666666666666659</v>
      </c>
    </row>
    <row r="11681" spans="1:6" x14ac:dyDescent="0.3">
      <c r="A11681" t="s">
        <v>1911</v>
      </c>
      <c r="B11681" t="s">
        <v>2128</v>
      </c>
      <c r="C11681">
        <v>125.5</v>
      </c>
      <c r="D11681">
        <v>107</v>
      </c>
      <c r="E11681">
        <f>IF(OR(B11681="vi",B11681="ii",B11681="pod"),(((D11681/100)*(C11681*VLOOKUP(B11681,'Poids des runes'!A:B,2,FALSE)))+1),(((D11681/100)*(C11681*VLOOKUP(B11681,'Poids des runes'!A:B,2,FALSE)))+1)/VLOOKUP(B11681,'Poids des runes'!A:B,2,FALSE))</f>
        <v>27.857000000000003</v>
      </c>
      <c r="F11681">
        <f t="shared" si="182"/>
        <v>27.857000000000003</v>
      </c>
    </row>
    <row r="11682" spans="1:6" x14ac:dyDescent="0.3">
      <c r="A11682" t="s">
        <v>1911</v>
      </c>
      <c r="B11682" t="s">
        <v>2126</v>
      </c>
      <c r="C11682">
        <v>40.5</v>
      </c>
      <c r="D11682">
        <v>107</v>
      </c>
      <c r="E11682">
        <f>IF(OR(B11682="vi",B11682="ii",B11682="pod"),(((D11682/100)*(C11682*VLOOKUP(B11682,'Poids des runes'!A:B,2,FALSE)))+1),(((D11682/100)*(C11682*VLOOKUP(B11682,'Poids des runes'!A:B,2,FALSE)))+1)/VLOOKUP(B11682,'Poids des runes'!A:B,2,FALSE))</f>
        <v>44.335000000000001</v>
      </c>
      <c r="F11682">
        <f t="shared" si="182"/>
        <v>44.335000000000001</v>
      </c>
    </row>
    <row r="11683" spans="1:6" x14ac:dyDescent="0.3">
      <c r="A11683" t="s">
        <v>1911</v>
      </c>
      <c r="B11683" t="s">
        <v>2129</v>
      </c>
      <c r="C11683">
        <v>30.5</v>
      </c>
      <c r="D11683">
        <v>107</v>
      </c>
      <c r="E11683">
        <f>IF(OR(B11683="vi",B11683="ii",B11683="pod"),(((D11683/100)*(C11683*VLOOKUP(B11683,'Poids des runes'!A:B,2,FALSE)))+1),(((D11683/100)*(C11683*VLOOKUP(B11683,'Poids des runes'!A:B,2,FALSE)))+1)/VLOOKUP(B11683,'Poids des runes'!A:B,2,FALSE))</f>
        <v>33.635000000000005</v>
      </c>
      <c r="F11683">
        <f t="shared" si="182"/>
        <v>33.635000000000005</v>
      </c>
    </row>
    <row r="11684" spans="1:6" x14ac:dyDescent="0.3">
      <c r="A11684" t="s">
        <v>1911</v>
      </c>
      <c r="B11684" t="s">
        <v>2151</v>
      </c>
      <c r="C11684">
        <v>4.5</v>
      </c>
      <c r="D11684">
        <v>107</v>
      </c>
      <c r="E11684">
        <f>IF(OR(B11684="vi",B11684="ii",B11684="pod"),(((D11684/100)*(C11684*VLOOKUP(B11684,'Poids des runes'!A:B,2,FALSE)))+1),(((D11684/100)*(C11684*VLOOKUP(B11684,'Poids des runes'!A:B,2,FALSE)))+1)/VLOOKUP(B11684,'Poids des runes'!A:B,2,FALSE))</f>
        <v>4.9150000000000009</v>
      </c>
      <c r="F11684">
        <f t="shared" si="182"/>
        <v>4.9150000000000009</v>
      </c>
    </row>
    <row r="11685" spans="1:6" x14ac:dyDescent="0.3">
      <c r="A11685" t="s">
        <v>1912</v>
      </c>
      <c r="B11685" t="s">
        <v>2128</v>
      </c>
      <c r="C11685">
        <v>175.5</v>
      </c>
      <c r="D11685">
        <v>107</v>
      </c>
      <c r="E11685">
        <f>IF(OR(B11685="vi",B11685="ii",B11685="pod"),(((D11685/100)*(C11685*VLOOKUP(B11685,'Poids des runes'!A:B,2,FALSE)))+1),(((D11685/100)*(C11685*VLOOKUP(B11685,'Poids des runes'!A:B,2,FALSE)))+1)/VLOOKUP(B11685,'Poids des runes'!A:B,2,FALSE))</f>
        <v>38.557000000000002</v>
      </c>
      <c r="F11685">
        <f t="shared" si="182"/>
        <v>38.557000000000002</v>
      </c>
    </row>
    <row r="11686" spans="1:6" x14ac:dyDescent="0.3">
      <c r="A11686" t="s">
        <v>1912</v>
      </c>
      <c r="B11686" t="s">
        <v>2126</v>
      </c>
      <c r="C11686">
        <v>33</v>
      </c>
      <c r="D11686">
        <v>107</v>
      </c>
      <c r="E11686">
        <f>IF(OR(B11686="vi",B11686="ii",B11686="pod"),(((D11686/100)*(C11686*VLOOKUP(B11686,'Poids des runes'!A:B,2,FALSE)))+1),(((D11686/100)*(C11686*VLOOKUP(B11686,'Poids des runes'!A:B,2,FALSE)))+1)/VLOOKUP(B11686,'Poids des runes'!A:B,2,FALSE))</f>
        <v>36.31</v>
      </c>
      <c r="F11686">
        <f t="shared" si="182"/>
        <v>36.31</v>
      </c>
    </row>
    <row r="11687" spans="1:6" x14ac:dyDescent="0.3">
      <c r="A11687" t="s">
        <v>1912</v>
      </c>
      <c r="B11687" t="s">
        <v>2129</v>
      </c>
      <c r="C11687">
        <v>33</v>
      </c>
      <c r="D11687">
        <v>107</v>
      </c>
      <c r="E11687">
        <f>IF(OR(B11687="vi",B11687="ii",B11687="pod"),(((D11687/100)*(C11687*VLOOKUP(B11687,'Poids des runes'!A:B,2,FALSE)))+1),(((D11687/100)*(C11687*VLOOKUP(B11687,'Poids des runes'!A:B,2,FALSE)))+1)/VLOOKUP(B11687,'Poids des runes'!A:B,2,FALSE))</f>
        <v>36.31</v>
      </c>
      <c r="F11687">
        <f t="shared" si="182"/>
        <v>36.31</v>
      </c>
    </row>
    <row r="11688" spans="1:6" x14ac:dyDescent="0.3">
      <c r="A11688" t="s">
        <v>1912</v>
      </c>
      <c r="B11688" t="s">
        <v>2150</v>
      </c>
      <c r="C11688">
        <v>1.5</v>
      </c>
      <c r="D11688">
        <v>107</v>
      </c>
      <c r="E11688">
        <f>IF(OR(B11688="vi",B11688="ii",B11688="pod"),(((D11688/100)*(C11688*VLOOKUP(B11688,'Poids des runes'!A:B,2,FALSE)))+1),(((D11688/100)*(C11688*VLOOKUP(B11688,'Poids des runes'!A:B,2,FALSE)))+1)/VLOOKUP(B11688,'Poids des runes'!A:B,2,FALSE))</f>
        <v>1.6383333333333334</v>
      </c>
      <c r="F11688">
        <f t="shared" si="182"/>
        <v>1.6383333333333334</v>
      </c>
    </row>
    <row r="11689" spans="1:6" x14ac:dyDescent="0.3">
      <c r="A11689" t="s">
        <v>1913</v>
      </c>
      <c r="B11689" t="s">
        <v>2128</v>
      </c>
      <c r="C11689">
        <v>100.5</v>
      </c>
      <c r="D11689">
        <v>107</v>
      </c>
      <c r="E11689">
        <f>IF(OR(B11689="vi",B11689="ii",B11689="pod"),(((D11689/100)*(C11689*VLOOKUP(B11689,'Poids des runes'!A:B,2,FALSE)))+1),(((D11689/100)*(C11689*VLOOKUP(B11689,'Poids des runes'!A:B,2,FALSE)))+1)/VLOOKUP(B11689,'Poids des runes'!A:B,2,FALSE))</f>
        <v>22.507000000000001</v>
      </c>
      <c r="F11689">
        <f t="shared" si="182"/>
        <v>22.507000000000001</v>
      </c>
    </row>
    <row r="11690" spans="1:6" x14ac:dyDescent="0.3">
      <c r="A11690" t="s">
        <v>1913</v>
      </c>
      <c r="B11690" t="s">
        <v>2126</v>
      </c>
      <c r="C11690">
        <v>40.5</v>
      </c>
      <c r="D11690">
        <v>107</v>
      </c>
      <c r="E11690">
        <f>IF(OR(B11690="vi",B11690="ii",B11690="pod"),(((D11690/100)*(C11690*VLOOKUP(B11690,'Poids des runes'!A:B,2,FALSE)))+1),(((D11690/100)*(C11690*VLOOKUP(B11690,'Poids des runes'!A:B,2,FALSE)))+1)/VLOOKUP(B11690,'Poids des runes'!A:B,2,FALSE))</f>
        <v>44.335000000000001</v>
      </c>
      <c r="F11690">
        <f t="shared" si="182"/>
        <v>44.335000000000001</v>
      </c>
    </row>
    <row r="11691" spans="1:6" x14ac:dyDescent="0.3">
      <c r="A11691" t="s">
        <v>1913</v>
      </c>
      <c r="B11691" t="s">
        <v>2127</v>
      </c>
      <c r="C11691">
        <v>40.5</v>
      </c>
      <c r="D11691">
        <v>107</v>
      </c>
      <c r="E11691">
        <f>IF(OR(B11691="vi",B11691="ii",B11691="pod"),(((D11691/100)*(C11691*VLOOKUP(B11691,'Poids des runes'!A:B,2,FALSE)))+1),(((D11691/100)*(C11691*VLOOKUP(B11691,'Poids des runes'!A:B,2,FALSE)))+1)/VLOOKUP(B11691,'Poids des runes'!A:B,2,FALSE))</f>
        <v>44.335000000000001</v>
      </c>
      <c r="F11691">
        <f t="shared" si="182"/>
        <v>44.335000000000001</v>
      </c>
    </row>
    <row r="11692" spans="1:6" x14ac:dyDescent="0.3">
      <c r="A11692" t="s">
        <v>1913</v>
      </c>
      <c r="B11692" t="s">
        <v>2151</v>
      </c>
      <c r="C11692">
        <v>4.5</v>
      </c>
      <c r="D11692">
        <v>107</v>
      </c>
      <c r="E11692">
        <f>IF(OR(B11692="vi",B11692="ii",B11692="pod"),(((D11692/100)*(C11692*VLOOKUP(B11692,'Poids des runes'!A:B,2,FALSE)))+1),(((D11692/100)*(C11692*VLOOKUP(B11692,'Poids des runes'!A:B,2,FALSE)))+1)/VLOOKUP(B11692,'Poids des runes'!A:B,2,FALSE))</f>
        <v>4.9150000000000009</v>
      </c>
      <c r="F11692">
        <f t="shared" si="182"/>
        <v>4.9150000000000009</v>
      </c>
    </row>
    <row r="11693" spans="1:6" x14ac:dyDescent="0.3">
      <c r="A11693" t="s">
        <v>1913</v>
      </c>
      <c r="B11693" t="s">
        <v>2161</v>
      </c>
      <c r="C11693">
        <v>13</v>
      </c>
      <c r="D11693">
        <v>107</v>
      </c>
      <c r="E11693">
        <f>IF(OR(B11693="vi",B11693="ii",B11693="pod"),(((D11693/100)*(C11693*VLOOKUP(B11693,'Poids des runes'!A:B,2,FALSE)))+1),(((D11693/100)*(C11693*VLOOKUP(B11693,'Poids des runes'!A:B,2,FALSE)))+1)/VLOOKUP(B11693,'Poids des runes'!A:B,2,FALSE))</f>
        <v>14.243333333333334</v>
      </c>
      <c r="F11693">
        <f t="shared" si="182"/>
        <v>14.243333333333334</v>
      </c>
    </row>
    <row r="11694" spans="1:6" x14ac:dyDescent="0.3">
      <c r="A11694" t="s">
        <v>1913</v>
      </c>
      <c r="B11694" t="s">
        <v>2156</v>
      </c>
      <c r="C11694">
        <v>4.5</v>
      </c>
      <c r="D11694">
        <v>107</v>
      </c>
      <c r="E11694">
        <f>IF(OR(B11694="vi",B11694="ii",B11694="pod"),(((D11694/100)*(C11694*VLOOKUP(B11694,'Poids des runes'!A:B,2,FALSE)))+1),(((D11694/100)*(C11694*VLOOKUP(B11694,'Poids des runes'!A:B,2,FALSE)))+1)/VLOOKUP(B11694,'Poids des runes'!A:B,2,FALSE))</f>
        <v>4.9816666666666665</v>
      </c>
      <c r="F11694">
        <f t="shared" si="182"/>
        <v>4.9816666666666665</v>
      </c>
    </row>
    <row r="11695" spans="1:6" x14ac:dyDescent="0.3">
      <c r="A11695" t="s">
        <v>1913</v>
      </c>
      <c r="B11695" t="s">
        <v>2147</v>
      </c>
      <c r="C11695">
        <v>4.5</v>
      </c>
      <c r="D11695">
        <v>107</v>
      </c>
      <c r="E11695">
        <f>IF(OR(B11695="vi",B11695="ii",B11695="pod"),(((D11695/100)*(C11695*VLOOKUP(B11695,'Poids des runes'!A:B,2,FALSE)))+1),(((D11695/100)*(C11695*VLOOKUP(B11695,'Poids des runes'!A:B,2,FALSE)))+1)/VLOOKUP(B11695,'Poids des runes'!A:B,2,FALSE))</f>
        <v>4.9816666666666665</v>
      </c>
      <c r="F11695">
        <f t="shared" si="182"/>
        <v>4.9816666666666665</v>
      </c>
    </row>
    <row r="11696" spans="1:6" x14ac:dyDescent="0.3">
      <c r="A11696" t="s">
        <v>1914</v>
      </c>
      <c r="B11696" t="s">
        <v>2128</v>
      </c>
      <c r="C11696">
        <v>100.5</v>
      </c>
      <c r="D11696">
        <v>107</v>
      </c>
      <c r="E11696">
        <f>IF(OR(B11696="vi",B11696="ii",B11696="pod"),(((D11696/100)*(C11696*VLOOKUP(B11696,'Poids des runes'!A:B,2,FALSE)))+1),(((D11696/100)*(C11696*VLOOKUP(B11696,'Poids des runes'!A:B,2,FALSE)))+1)/VLOOKUP(B11696,'Poids des runes'!A:B,2,FALSE))</f>
        <v>22.507000000000001</v>
      </c>
      <c r="F11696">
        <f t="shared" si="182"/>
        <v>22.507000000000001</v>
      </c>
    </row>
    <row r="11697" spans="1:6" x14ac:dyDescent="0.3">
      <c r="A11697" t="s">
        <v>1914</v>
      </c>
      <c r="B11697" t="s">
        <v>2126</v>
      </c>
      <c r="C11697">
        <v>33</v>
      </c>
      <c r="D11697">
        <v>107</v>
      </c>
      <c r="E11697">
        <f>IF(OR(B11697="vi",B11697="ii",B11697="pod"),(((D11697/100)*(C11697*VLOOKUP(B11697,'Poids des runes'!A:B,2,FALSE)))+1),(((D11697/100)*(C11697*VLOOKUP(B11697,'Poids des runes'!A:B,2,FALSE)))+1)/VLOOKUP(B11697,'Poids des runes'!A:B,2,FALSE))</f>
        <v>36.31</v>
      </c>
      <c r="F11697">
        <f t="shared" si="182"/>
        <v>36.31</v>
      </c>
    </row>
    <row r="11698" spans="1:6" x14ac:dyDescent="0.3">
      <c r="A11698" t="s">
        <v>1914</v>
      </c>
      <c r="B11698" t="s">
        <v>2127</v>
      </c>
      <c r="C11698">
        <v>33</v>
      </c>
      <c r="D11698">
        <v>107</v>
      </c>
      <c r="E11698">
        <f>IF(OR(B11698="vi",B11698="ii",B11698="pod"),(((D11698/100)*(C11698*VLOOKUP(B11698,'Poids des runes'!A:B,2,FALSE)))+1),(((D11698/100)*(C11698*VLOOKUP(B11698,'Poids des runes'!A:B,2,FALSE)))+1)/VLOOKUP(B11698,'Poids des runes'!A:B,2,FALSE))</f>
        <v>36.31</v>
      </c>
      <c r="F11698">
        <f t="shared" si="182"/>
        <v>36.31</v>
      </c>
    </row>
    <row r="11699" spans="1:6" x14ac:dyDescent="0.3">
      <c r="A11699" t="s">
        <v>1914</v>
      </c>
      <c r="B11699" t="s">
        <v>2129</v>
      </c>
      <c r="C11699">
        <v>13</v>
      </c>
      <c r="D11699">
        <v>107</v>
      </c>
      <c r="E11699">
        <f>IF(OR(B11699="vi",B11699="ii",B11699="pod"),(((D11699/100)*(C11699*VLOOKUP(B11699,'Poids des runes'!A:B,2,FALSE)))+1),(((D11699/100)*(C11699*VLOOKUP(B11699,'Poids des runes'!A:B,2,FALSE)))+1)/VLOOKUP(B11699,'Poids des runes'!A:B,2,FALSE))</f>
        <v>14.91</v>
      </c>
      <c r="F11699">
        <f t="shared" si="182"/>
        <v>14.91</v>
      </c>
    </row>
    <row r="11700" spans="1:6" x14ac:dyDescent="0.3">
      <c r="A11700" t="s">
        <v>1914</v>
      </c>
      <c r="B11700" t="s">
        <v>2140</v>
      </c>
      <c r="C11700">
        <v>4</v>
      </c>
      <c r="D11700">
        <v>107</v>
      </c>
      <c r="E11700">
        <f>IF(OR(B11700="vi",B11700="ii",B11700="pod"),(((D11700/100)*(C11700*VLOOKUP(B11700,'Poids des runes'!A:B,2,FALSE)))+1),(((D11700/100)*(C11700*VLOOKUP(B11700,'Poids des runes'!A:B,2,FALSE)))+1)/VLOOKUP(B11700,'Poids des runes'!A:B,2,FALSE))</f>
        <v>4.4800000000000004</v>
      </c>
      <c r="F11700">
        <f t="shared" si="182"/>
        <v>4.4800000000000004</v>
      </c>
    </row>
    <row r="11701" spans="1:6" x14ac:dyDescent="0.3">
      <c r="A11701" t="s">
        <v>1914</v>
      </c>
      <c r="B11701" t="s">
        <v>2153</v>
      </c>
      <c r="C11701">
        <v>4</v>
      </c>
      <c r="D11701">
        <v>107</v>
      </c>
      <c r="E11701">
        <f>IF(OR(B11701="vi",B11701="ii",B11701="pod"),(((D11701/100)*(C11701*VLOOKUP(B11701,'Poids des runes'!A:B,2,FALSE)))+1),(((D11701/100)*(C11701*VLOOKUP(B11701,'Poids des runes'!A:B,2,FALSE)))+1)/VLOOKUP(B11701,'Poids des runes'!A:B,2,FALSE))</f>
        <v>4.4800000000000004</v>
      </c>
      <c r="F11701">
        <f t="shared" si="182"/>
        <v>4.4800000000000004</v>
      </c>
    </row>
    <row r="11702" spans="1:6" x14ac:dyDescent="0.3">
      <c r="A11702" t="s">
        <v>1914</v>
      </c>
      <c r="B11702" t="s">
        <v>2149</v>
      </c>
      <c r="C11702">
        <v>5</v>
      </c>
      <c r="D11702">
        <v>107</v>
      </c>
      <c r="E11702">
        <f>IF(OR(B11702="vi",B11702="ii",B11702="pod"),(((D11702/100)*(C11702*VLOOKUP(B11702,'Poids des runes'!A:B,2,FALSE)))+1),(((D11702/100)*(C11702*VLOOKUP(B11702,'Poids des runes'!A:B,2,FALSE)))+1)/VLOOKUP(B11702,'Poids des runes'!A:B,2,FALSE))</f>
        <v>5.45</v>
      </c>
      <c r="F11702">
        <f t="shared" si="182"/>
        <v>5.45</v>
      </c>
    </row>
    <row r="11703" spans="1:6" x14ac:dyDescent="0.3">
      <c r="A11703" t="s">
        <v>1914</v>
      </c>
      <c r="B11703" t="s">
        <v>2161</v>
      </c>
      <c r="C11703">
        <v>8</v>
      </c>
      <c r="D11703">
        <v>107</v>
      </c>
      <c r="E11703">
        <f>IF(OR(B11703="vi",B11703="ii",B11703="pod"),(((D11703/100)*(C11703*VLOOKUP(B11703,'Poids des runes'!A:B,2,FALSE)))+1),(((D11703/100)*(C11703*VLOOKUP(B11703,'Poids des runes'!A:B,2,FALSE)))+1)/VLOOKUP(B11703,'Poids des runes'!A:B,2,FALSE))</f>
        <v>8.8933333333333326</v>
      </c>
      <c r="F11703">
        <f t="shared" si="182"/>
        <v>8.8933333333333326</v>
      </c>
    </row>
    <row r="11704" spans="1:6" x14ac:dyDescent="0.3">
      <c r="A11704" t="s">
        <v>1914</v>
      </c>
      <c r="B11704" t="s">
        <v>2157</v>
      </c>
      <c r="C11704">
        <v>8</v>
      </c>
      <c r="D11704">
        <v>107</v>
      </c>
      <c r="E11704">
        <f>IF(OR(B11704="vi",B11704="ii",B11704="pod"),(((D11704/100)*(C11704*VLOOKUP(B11704,'Poids des runes'!A:B,2,FALSE)))+1),(((D11704/100)*(C11704*VLOOKUP(B11704,'Poids des runes'!A:B,2,FALSE)))+1)/VLOOKUP(B11704,'Poids des runes'!A:B,2,FALSE))</f>
        <v>8.7266666666666666</v>
      </c>
      <c r="F11704">
        <f t="shared" si="182"/>
        <v>8.7266666666666666</v>
      </c>
    </row>
    <row r="11705" spans="1:6" x14ac:dyDescent="0.3">
      <c r="A11705" t="s">
        <v>1915</v>
      </c>
      <c r="B11705" t="s">
        <v>2128</v>
      </c>
      <c r="C11705">
        <v>85.5</v>
      </c>
      <c r="D11705">
        <v>107</v>
      </c>
      <c r="E11705">
        <f>IF(OR(B11705="vi",B11705="ii",B11705="pod"),(((D11705/100)*(C11705*VLOOKUP(B11705,'Poids des runes'!A:B,2,FALSE)))+1),(((D11705/100)*(C11705*VLOOKUP(B11705,'Poids des runes'!A:B,2,FALSE)))+1)/VLOOKUP(B11705,'Poids des runes'!A:B,2,FALSE))</f>
        <v>19.297000000000004</v>
      </c>
      <c r="F11705">
        <f t="shared" si="182"/>
        <v>19.297000000000004</v>
      </c>
    </row>
    <row r="11706" spans="1:6" x14ac:dyDescent="0.3">
      <c r="A11706" t="s">
        <v>1915</v>
      </c>
      <c r="B11706" t="s">
        <v>2126</v>
      </c>
      <c r="C11706">
        <v>30.5</v>
      </c>
      <c r="D11706">
        <v>107</v>
      </c>
      <c r="E11706">
        <f>IF(OR(B11706="vi",B11706="ii",B11706="pod"),(((D11706/100)*(C11706*VLOOKUP(B11706,'Poids des runes'!A:B,2,FALSE)))+1),(((D11706/100)*(C11706*VLOOKUP(B11706,'Poids des runes'!A:B,2,FALSE)))+1)/VLOOKUP(B11706,'Poids des runes'!A:B,2,FALSE))</f>
        <v>33.635000000000005</v>
      </c>
      <c r="F11706">
        <f t="shared" si="182"/>
        <v>33.635000000000005</v>
      </c>
    </row>
    <row r="11707" spans="1:6" x14ac:dyDescent="0.3">
      <c r="A11707" t="s">
        <v>1915</v>
      </c>
      <c r="B11707" t="s">
        <v>2131</v>
      </c>
      <c r="C11707">
        <v>30.5</v>
      </c>
      <c r="D11707">
        <v>107</v>
      </c>
      <c r="E11707">
        <f>IF(OR(B11707="vi",B11707="ii",B11707="pod"),(((D11707/100)*(C11707*VLOOKUP(B11707,'Poids des runes'!A:B,2,FALSE)))+1),(((D11707/100)*(C11707*VLOOKUP(B11707,'Poids des runes'!A:B,2,FALSE)))+1)/VLOOKUP(B11707,'Poids des runes'!A:B,2,FALSE))</f>
        <v>33.635000000000005</v>
      </c>
      <c r="F11707">
        <f t="shared" si="182"/>
        <v>33.635000000000005</v>
      </c>
    </row>
    <row r="11708" spans="1:6" x14ac:dyDescent="0.3">
      <c r="A11708" t="s">
        <v>1915</v>
      </c>
      <c r="B11708" t="s">
        <v>2155</v>
      </c>
      <c r="C11708">
        <v>1</v>
      </c>
      <c r="D11708">
        <v>107</v>
      </c>
      <c r="E11708">
        <f>IF(OR(B11708="vi",B11708="ii",B11708="pod"),(((D11708/100)*(C11708*VLOOKUP(B11708,'Poids des runes'!A:B,2,FALSE)))+1),(((D11708/100)*(C11708*VLOOKUP(B11708,'Poids des runes'!A:B,2,FALSE)))+1)/VLOOKUP(B11708,'Poids des runes'!A:B,2,FALSE))</f>
        <v>1.0896078431372549</v>
      </c>
      <c r="F11708">
        <f t="shared" si="182"/>
        <v>1.0896078431372549</v>
      </c>
    </row>
    <row r="11709" spans="1:6" x14ac:dyDescent="0.3">
      <c r="A11709" t="s">
        <v>1915</v>
      </c>
      <c r="B11709" t="s">
        <v>2140</v>
      </c>
      <c r="C11709">
        <v>4.5</v>
      </c>
      <c r="D11709">
        <v>107</v>
      </c>
      <c r="E11709">
        <f>IF(OR(B11709="vi",B11709="ii",B11709="pod"),(((D11709/100)*(C11709*VLOOKUP(B11709,'Poids des runes'!A:B,2,FALSE)))+1),(((D11709/100)*(C11709*VLOOKUP(B11709,'Poids des runes'!A:B,2,FALSE)))+1)/VLOOKUP(B11709,'Poids des runes'!A:B,2,FALSE))</f>
        <v>5.0150000000000006</v>
      </c>
      <c r="F11709">
        <f t="shared" si="182"/>
        <v>5.0150000000000006</v>
      </c>
    </row>
    <row r="11710" spans="1:6" x14ac:dyDescent="0.3">
      <c r="A11710" t="s">
        <v>1915</v>
      </c>
      <c r="B11710" t="s">
        <v>2133</v>
      </c>
      <c r="C11710">
        <v>4.5</v>
      </c>
      <c r="D11710">
        <v>107</v>
      </c>
      <c r="E11710">
        <f>IF(OR(B11710="vi",B11710="ii",B11710="pod"),(((D11710/100)*(C11710*VLOOKUP(B11710,'Poids des runes'!A:B,2,FALSE)))+1),(((D11710/100)*(C11710*VLOOKUP(B11710,'Poids des runes'!A:B,2,FALSE)))+1)/VLOOKUP(B11710,'Poids des runes'!A:B,2,FALSE))</f>
        <v>5.0150000000000006</v>
      </c>
      <c r="F11710">
        <f t="shared" si="182"/>
        <v>5.0150000000000006</v>
      </c>
    </row>
    <row r="11711" spans="1:6" x14ac:dyDescent="0.3">
      <c r="A11711" t="s">
        <v>1915</v>
      </c>
      <c r="B11711" t="s">
        <v>2149</v>
      </c>
      <c r="C11711">
        <v>5</v>
      </c>
      <c r="D11711">
        <v>107</v>
      </c>
      <c r="E11711">
        <f>IF(OR(B11711="vi",B11711="ii",B11711="pod"),(((D11711/100)*(C11711*VLOOKUP(B11711,'Poids des runes'!A:B,2,FALSE)))+1),(((D11711/100)*(C11711*VLOOKUP(B11711,'Poids des runes'!A:B,2,FALSE)))+1)/VLOOKUP(B11711,'Poids des runes'!A:B,2,FALSE))</f>
        <v>5.45</v>
      </c>
      <c r="F11711">
        <f t="shared" si="182"/>
        <v>5.45</v>
      </c>
    </row>
    <row r="11712" spans="1:6" x14ac:dyDescent="0.3">
      <c r="A11712" t="s">
        <v>1915</v>
      </c>
      <c r="B11712" t="s">
        <v>2161</v>
      </c>
      <c r="C11712">
        <v>8.5</v>
      </c>
      <c r="D11712">
        <v>107</v>
      </c>
      <c r="E11712">
        <f>IF(OR(B11712="vi",B11712="ii",B11712="pod"),(((D11712/100)*(C11712*VLOOKUP(B11712,'Poids des runes'!A:B,2,FALSE)))+1),(((D11712/100)*(C11712*VLOOKUP(B11712,'Poids des runes'!A:B,2,FALSE)))+1)/VLOOKUP(B11712,'Poids des runes'!A:B,2,FALSE))</f>
        <v>9.4283333333333328</v>
      </c>
      <c r="F11712">
        <f t="shared" si="182"/>
        <v>9.4283333333333328</v>
      </c>
    </row>
    <row r="11713" spans="1:6" x14ac:dyDescent="0.3">
      <c r="A11713" t="s">
        <v>1915</v>
      </c>
      <c r="B11713" t="s">
        <v>2141</v>
      </c>
      <c r="C11713">
        <v>3.5</v>
      </c>
      <c r="D11713">
        <v>107</v>
      </c>
      <c r="E11713">
        <f>IF(OR(B11713="vi",B11713="ii",B11713="pod"),(((D11713/100)*(C11713*VLOOKUP(B11713,'Poids des runes'!A:B,2,FALSE)))+1),(((D11713/100)*(C11713*VLOOKUP(B11713,'Poids des runes'!A:B,2,FALSE)))+1)/VLOOKUP(B11713,'Poids des runes'!A:B,2,FALSE))</f>
        <v>3.9950000000000001</v>
      </c>
      <c r="F11713">
        <f t="shared" si="182"/>
        <v>3.9950000000000001</v>
      </c>
    </row>
    <row r="11714" spans="1:6" x14ac:dyDescent="0.3">
      <c r="A11714" t="s">
        <v>1915</v>
      </c>
      <c r="B11714" t="s">
        <v>2160</v>
      </c>
      <c r="C11714">
        <v>3.5</v>
      </c>
      <c r="D11714">
        <v>107</v>
      </c>
      <c r="E11714">
        <f>IF(OR(B11714="vi",B11714="ii",B11714="pod"),(((D11714/100)*(C11714*VLOOKUP(B11714,'Poids des runes'!A:B,2,FALSE)))+1),(((D11714/100)*(C11714*VLOOKUP(B11714,'Poids des runes'!A:B,2,FALSE)))+1)/VLOOKUP(B11714,'Poids des runes'!A:B,2,FALSE))</f>
        <v>3.8878571428571429</v>
      </c>
      <c r="F11714">
        <f t="shared" si="182"/>
        <v>3.8878571428571429</v>
      </c>
    </row>
    <row r="11715" spans="1:6" x14ac:dyDescent="0.3">
      <c r="A11715" t="s">
        <v>1915</v>
      </c>
      <c r="B11715" t="s">
        <v>2157</v>
      </c>
      <c r="C11715">
        <v>4.5</v>
      </c>
      <c r="D11715">
        <v>107</v>
      </c>
      <c r="E11715">
        <f>IF(OR(B11715="vi",B11715="ii",B11715="pod"),(((D11715/100)*(C11715*VLOOKUP(B11715,'Poids des runes'!A:B,2,FALSE)))+1),(((D11715/100)*(C11715*VLOOKUP(B11715,'Poids des runes'!A:B,2,FALSE)))+1)/VLOOKUP(B11715,'Poids des runes'!A:B,2,FALSE))</f>
        <v>4.9816666666666665</v>
      </c>
      <c r="F11715">
        <f t="shared" ref="F11715:F11778" si="183">E11715</f>
        <v>4.9816666666666665</v>
      </c>
    </row>
    <row r="11716" spans="1:6" x14ac:dyDescent="0.3">
      <c r="A11716" t="s">
        <v>1915</v>
      </c>
      <c r="B11716" t="s">
        <v>2137</v>
      </c>
      <c r="C11716">
        <v>7</v>
      </c>
      <c r="D11716">
        <v>107</v>
      </c>
      <c r="E11716">
        <f>IF(OR(B11716="vi",B11716="ii",B11716="pod"),(((D11716/100)*(C11716*VLOOKUP(B11716,'Poids des runes'!A:B,2,FALSE)))+1),(((D11716/100)*(C11716*VLOOKUP(B11716,'Poids des runes'!A:B,2,FALSE)))+1)/VLOOKUP(B11716,'Poids des runes'!A:B,2,FALSE))</f>
        <v>7.99</v>
      </c>
      <c r="F11716">
        <f t="shared" si="183"/>
        <v>7.99</v>
      </c>
    </row>
    <row r="11717" spans="1:6" x14ac:dyDescent="0.3">
      <c r="A11717" t="s">
        <v>1916</v>
      </c>
      <c r="B11717" t="s">
        <v>2128</v>
      </c>
      <c r="C11717">
        <v>125.5</v>
      </c>
      <c r="D11717">
        <v>108</v>
      </c>
      <c r="E11717">
        <f>IF(OR(B11717="vi",B11717="ii",B11717="pod"),(((D11717/100)*(C11717*VLOOKUP(B11717,'Poids des runes'!A:B,2,FALSE)))+1),(((D11717/100)*(C11717*VLOOKUP(B11717,'Poids des runes'!A:B,2,FALSE)))+1)/VLOOKUP(B11717,'Poids des runes'!A:B,2,FALSE))</f>
        <v>28.108000000000004</v>
      </c>
      <c r="F11717">
        <f t="shared" si="183"/>
        <v>28.108000000000004</v>
      </c>
    </row>
    <row r="11718" spans="1:6" x14ac:dyDescent="0.3">
      <c r="A11718" t="s">
        <v>1916</v>
      </c>
      <c r="B11718" t="s">
        <v>2127</v>
      </c>
      <c r="C11718">
        <v>40.5</v>
      </c>
      <c r="D11718">
        <v>108</v>
      </c>
      <c r="E11718">
        <f>IF(OR(B11718="vi",B11718="ii",B11718="pod"),(((D11718/100)*(C11718*VLOOKUP(B11718,'Poids des runes'!A:B,2,FALSE)))+1),(((D11718/100)*(C11718*VLOOKUP(B11718,'Poids des runes'!A:B,2,FALSE)))+1)/VLOOKUP(B11718,'Poids des runes'!A:B,2,FALSE))</f>
        <v>44.74</v>
      </c>
      <c r="F11718">
        <f t="shared" si="183"/>
        <v>44.74</v>
      </c>
    </row>
    <row r="11719" spans="1:6" x14ac:dyDescent="0.3">
      <c r="A11719" t="s">
        <v>1916</v>
      </c>
      <c r="B11719" t="s">
        <v>2151</v>
      </c>
      <c r="C11719">
        <v>4.5</v>
      </c>
      <c r="D11719">
        <v>108</v>
      </c>
      <c r="E11719">
        <f>IF(OR(B11719="vi",B11719="ii",B11719="pod"),(((D11719/100)*(C11719*VLOOKUP(B11719,'Poids des runes'!A:B,2,FALSE)))+1),(((D11719/100)*(C11719*VLOOKUP(B11719,'Poids des runes'!A:B,2,FALSE)))+1)/VLOOKUP(B11719,'Poids des runes'!A:B,2,FALSE))</f>
        <v>4.96</v>
      </c>
      <c r="F11719">
        <f t="shared" si="183"/>
        <v>4.96</v>
      </c>
    </row>
    <row r="11720" spans="1:6" x14ac:dyDescent="0.3">
      <c r="A11720" t="s">
        <v>1916</v>
      </c>
      <c r="B11720" t="s">
        <v>2134</v>
      </c>
      <c r="C11720">
        <v>4</v>
      </c>
      <c r="D11720">
        <v>108</v>
      </c>
      <c r="E11720">
        <f>IF(OR(B11720="vi",B11720="ii",B11720="pod"),(((D11720/100)*(C11720*VLOOKUP(B11720,'Poids des runes'!A:B,2,FALSE)))+1),(((D11720/100)*(C11720*VLOOKUP(B11720,'Poids des runes'!A:B,2,FALSE)))+1)/VLOOKUP(B11720,'Poids des runes'!A:B,2,FALSE))</f>
        <v>4.37</v>
      </c>
      <c r="F11720">
        <f t="shared" si="183"/>
        <v>4.37</v>
      </c>
    </row>
    <row r="11721" spans="1:6" x14ac:dyDescent="0.3">
      <c r="A11721" t="s">
        <v>1916</v>
      </c>
      <c r="B11721" t="s">
        <v>2132</v>
      </c>
      <c r="C11721">
        <v>250.5</v>
      </c>
      <c r="D11721">
        <v>108</v>
      </c>
      <c r="E11721">
        <f>IF(OR(B11721="vi",B11721="ii",B11721="pod"),(((D11721/100)*(C11721*VLOOKUP(B11721,'Poids des runes'!A:B,2,FALSE)))+1),(((D11721/100)*(C11721*VLOOKUP(B11721,'Poids des runes'!A:B,2,FALSE)))+1)/VLOOKUP(B11721,'Poids des runes'!A:B,2,FALSE))</f>
        <v>28.054000000000002</v>
      </c>
      <c r="F11721">
        <f t="shared" si="183"/>
        <v>28.054000000000002</v>
      </c>
    </row>
    <row r="11722" spans="1:6" x14ac:dyDescent="0.3">
      <c r="A11722" t="s">
        <v>1916</v>
      </c>
      <c r="B11722" t="s">
        <v>2162</v>
      </c>
      <c r="C11722">
        <v>8.5</v>
      </c>
      <c r="D11722">
        <v>108</v>
      </c>
      <c r="E11722">
        <f>IF(OR(B11722="vi",B11722="ii",B11722="pod"),(((D11722/100)*(C11722*VLOOKUP(B11722,'Poids des runes'!A:B,2,FALSE)))+1),(((D11722/100)*(C11722*VLOOKUP(B11722,'Poids des runes'!A:B,2,FALSE)))+1)/VLOOKUP(B11722,'Poids des runes'!A:B,2,FALSE))</f>
        <v>9.3228571428571438</v>
      </c>
      <c r="F11722">
        <f t="shared" si="183"/>
        <v>9.3228571428571438</v>
      </c>
    </row>
    <row r="11723" spans="1:6" x14ac:dyDescent="0.3">
      <c r="A11723" t="s">
        <v>1917</v>
      </c>
      <c r="B11723" t="s">
        <v>2128</v>
      </c>
      <c r="C11723">
        <v>125.5</v>
      </c>
      <c r="D11723">
        <v>109</v>
      </c>
      <c r="E11723">
        <f>IF(OR(B11723="vi",B11723="ii",B11723="pod"),(((D11723/100)*(C11723*VLOOKUP(B11723,'Poids des runes'!A:B,2,FALSE)))+1),(((D11723/100)*(C11723*VLOOKUP(B11723,'Poids des runes'!A:B,2,FALSE)))+1)/VLOOKUP(B11723,'Poids des runes'!A:B,2,FALSE))</f>
        <v>28.359000000000005</v>
      </c>
      <c r="F11723">
        <f t="shared" si="183"/>
        <v>28.359000000000005</v>
      </c>
    </row>
    <row r="11724" spans="1:6" x14ac:dyDescent="0.3">
      <c r="A11724" t="s">
        <v>1917</v>
      </c>
      <c r="B11724" t="s">
        <v>2126</v>
      </c>
      <c r="C11724">
        <v>25.5</v>
      </c>
      <c r="D11724">
        <v>109</v>
      </c>
      <c r="E11724">
        <f>IF(OR(B11724="vi",B11724="ii",B11724="pod"),(((D11724/100)*(C11724*VLOOKUP(B11724,'Poids des runes'!A:B,2,FALSE)))+1),(((D11724/100)*(C11724*VLOOKUP(B11724,'Poids des runes'!A:B,2,FALSE)))+1)/VLOOKUP(B11724,'Poids des runes'!A:B,2,FALSE))</f>
        <v>28.795000000000002</v>
      </c>
      <c r="F11724">
        <f t="shared" si="183"/>
        <v>28.795000000000002</v>
      </c>
    </row>
    <row r="11725" spans="1:6" x14ac:dyDescent="0.3">
      <c r="A11725" t="s">
        <v>1917</v>
      </c>
      <c r="B11725" t="s">
        <v>2131</v>
      </c>
      <c r="C11725">
        <v>25.5</v>
      </c>
      <c r="D11725">
        <v>109</v>
      </c>
      <c r="E11725">
        <f>IF(OR(B11725="vi",B11725="ii",B11725="pod"),(((D11725/100)*(C11725*VLOOKUP(B11725,'Poids des runes'!A:B,2,FALSE)))+1),(((D11725/100)*(C11725*VLOOKUP(B11725,'Poids des runes'!A:B,2,FALSE)))+1)/VLOOKUP(B11725,'Poids des runes'!A:B,2,FALSE))</f>
        <v>28.795000000000002</v>
      </c>
      <c r="F11725">
        <f t="shared" si="183"/>
        <v>28.795000000000002</v>
      </c>
    </row>
    <row r="11726" spans="1:6" x14ac:dyDescent="0.3">
      <c r="A11726" t="s">
        <v>1917</v>
      </c>
      <c r="B11726" t="s">
        <v>2129</v>
      </c>
      <c r="C11726">
        <v>25.5</v>
      </c>
      <c r="D11726">
        <v>109</v>
      </c>
      <c r="E11726">
        <f>IF(OR(B11726="vi",B11726="ii",B11726="pod"),(((D11726/100)*(C11726*VLOOKUP(B11726,'Poids des runes'!A:B,2,FALSE)))+1),(((D11726/100)*(C11726*VLOOKUP(B11726,'Poids des runes'!A:B,2,FALSE)))+1)/VLOOKUP(B11726,'Poids des runes'!A:B,2,FALSE))</f>
        <v>28.795000000000002</v>
      </c>
      <c r="F11726">
        <f t="shared" si="183"/>
        <v>28.795000000000002</v>
      </c>
    </row>
    <row r="11727" spans="1:6" x14ac:dyDescent="0.3">
      <c r="A11727" t="s">
        <v>1917</v>
      </c>
      <c r="B11727" t="s">
        <v>2150</v>
      </c>
      <c r="C11727">
        <v>1.5</v>
      </c>
      <c r="D11727">
        <v>109</v>
      </c>
      <c r="E11727">
        <f>IF(OR(B11727="vi",B11727="ii",B11727="pod"),(((D11727/100)*(C11727*VLOOKUP(B11727,'Poids des runes'!A:B,2,FALSE)))+1),(((D11727/100)*(C11727*VLOOKUP(B11727,'Poids des runes'!A:B,2,FALSE)))+1)/VLOOKUP(B11727,'Poids des runes'!A:B,2,FALSE))</f>
        <v>1.6683333333333334</v>
      </c>
      <c r="F11727">
        <f t="shared" si="183"/>
        <v>1.6683333333333334</v>
      </c>
    </row>
    <row r="11728" spans="1:6" x14ac:dyDescent="0.3">
      <c r="A11728" t="s">
        <v>1917</v>
      </c>
      <c r="B11728" t="s">
        <v>2140</v>
      </c>
      <c r="C11728">
        <v>4</v>
      </c>
      <c r="D11728">
        <v>109</v>
      </c>
      <c r="E11728">
        <f>IF(OR(B11728="vi",B11728="ii",B11728="pod"),(((D11728/100)*(C11728*VLOOKUP(B11728,'Poids des runes'!A:B,2,FALSE)))+1),(((D11728/100)*(C11728*VLOOKUP(B11728,'Poids des runes'!A:B,2,FALSE)))+1)/VLOOKUP(B11728,'Poids des runes'!A:B,2,FALSE))</f>
        <v>4.5600000000000005</v>
      </c>
      <c r="F11728">
        <f t="shared" si="183"/>
        <v>4.5600000000000005</v>
      </c>
    </row>
    <row r="11729" spans="1:6" x14ac:dyDescent="0.3">
      <c r="A11729" t="s">
        <v>1917</v>
      </c>
      <c r="B11729" t="s">
        <v>2133</v>
      </c>
      <c r="C11729">
        <v>4</v>
      </c>
      <c r="D11729">
        <v>109</v>
      </c>
      <c r="E11729">
        <f>IF(OR(B11729="vi",B11729="ii",B11729="pod"),(((D11729/100)*(C11729*VLOOKUP(B11729,'Poids des runes'!A:B,2,FALSE)))+1),(((D11729/100)*(C11729*VLOOKUP(B11729,'Poids des runes'!A:B,2,FALSE)))+1)/VLOOKUP(B11729,'Poids des runes'!A:B,2,FALSE))</f>
        <v>4.5600000000000005</v>
      </c>
      <c r="F11729">
        <f t="shared" si="183"/>
        <v>4.5600000000000005</v>
      </c>
    </row>
    <row r="11730" spans="1:6" x14ac:dyDescent="0.3">
      <c r="A11730" t="s">
        <v>1917</v>
      </c>
      <c r="B11730" t="s">
        <v>2149</v>
      </c>
      <c r="C11730">
        <v>2.5</v>
      </c>
      <c r="D11730">
        <v>109</v>
      </c>
      <c r="E11730">
        <f>IF(OR(B11730="vi",B11730="ii",B11730="pod"),(((D11730/100)*(C11730*VLOOKUP(B11730,'Poids des runes'!A:B,2,FALSE)))+1),(((D11730/100)*(C11730*VLOOKUP(B11730,'Poids des runes'!A:B,2,FALSE)))+1)/VLOOKUP(B11730,'Poids des runes'!A:B,2,FALSE))</f>
        <v>2.8250000000000002</v>
      </c>
      <c r="F11730">
        <f t="shared" si="183"/>
        <v>2.8250000000000002</v>
      </c>
    </row>
    <row r="11731" spans="1:6" x14ac:dyDescent="0.3">
      <c r="A11731" t="s">
        <v>1917</v>
      </c>
      <c r="B11731" t="s">
        <v>2161</v>
      </c>
      <c r="C11731">
        <v>8</v>
      </c>
      <c r="D11731">
        <v>109</v>
      </c>
      <c r="E11731">
        <f>IF(OR(B11731="vi",B11731="ii",B11731="pod"),(((D11731/100)*(C11731*VLOOKUP(B11731,'Poids des runes'!A:B,2,FALSE)))+1),(((D11731/100)*(C11731*VLOOKUP(B11731,'Poids des runes'!A:B,2,FALSE)))+1)/VLOOKUP(B11731,'Poids des runes'!A:B,2,FALSE))</f>
        <v>9.0533333333333346</v>
      </c>
      <c r="F11731">
        <f t="shared" si="183"/>
        <v>9.0533333333333346</v>
      </c>
    </row>
    <row r="11732" spans="1:6" x14ac:dyDescent="0.3">
      <c r="A11732" t="s">
        <v>1917</v>
      </c>
      <c r="B11732" t="s">
        <v>2132</v>
      </c>
      <c r="C11732">
        <v>225.5</v>
      </c>
      <c r="D11732">
        <v>109</v>
      </c>
      <c r="E11732">
        <f>IF(OR(B11732="vi",B11732="ii",B11732="pod"),(((D11732/100)*(C11732*VLOOKUP(B11732,'Poids des runes'!A:B,2,FALSE)))+1),(((D11732/100)*(C11732*VLOOKUP(B11732,'Poids des runes'!A:B,2,FALSE)))+1)/VLOOKUP(B11732,'Poids des runes'!A:B,2,FALSE))</f>
        <v>25.579500000000003</v>
      </c>
      <c r="F11732">
        <f t="shared" si="183"/>
        <v>25.579500000000003</v>
      </c>
    </row>
    <row r="11733" spans="1:6" x14ac:dyDescent="0.3">
      <c r="A11733" t="s">
        <v>1918</v>
      </c>
      <c r="B11733" t="s">
        <v>2128</v>
      </c>
      <c r="C11733">
        <v>100.5</v>
      </c>
      <c r="D11733">
        <v>109</v>
      </c>
      <c r="E11733">
        <f>IF(OR(B11733="vi",B11733="ii",B11733="pod"),(((D11733/100)*(C11733*VLOOKUP(B11733,'Poids des runes'!A:B,2,FALSE)))+1),(((D11733/100)*(C11733*VLOOKUP(B11733,'Poids des runes'!A:B,2,FALSE)))+1)/VLOOKUP(B11733,'Poids des runes'!A:B,2,FALSE))</f>
        <v>22.909000000000002</v>
      </c>
      <c r="F11733">
        <f t="shared" si="183"/>
        <v>22.909000000000002</v>
      </c>
    </row>
    <row r="11734" spans="1:6" x14ac:dyDescent="0.3">
      <c r="A11734" t="s">
        <v>1918</v>
      </c>
      <c r="B11734" t="s">
        <v>2130</v>
      </c>
      <c r="C11734">
        <v>30.5</v>
      </c>
      <c r="D11734">
        <v>109</v>
      </c>
      <c r="E11734">
        <f>IF(OR(B11734="vi",B11734="ii",B11734="pod"),(((D11734/100)*(C11734*VLOOKUP(B11734,'Poids des runes'!A:B,2,FALSE)))+1),(((D11734/100)*(C11734*VLOOKUP(B11734,'Poids des runes'!A:B,2,FALSE)))+1)/VLOOKUP(B11734,'Poids des runes'!A:B,2,FALSE))</f>
        <v>34.245000000000005</v>
      </c>
      <c r="F11734">
        <f t="shared" si="183"/>
        <v>34.245000000000005</v>
      </c>
    </row>
    <row r="11735" spans="1:6" x14ac:dyDescent="0.3">
      <c r="A11735" t="s">
        <v>1918</v>
      </c>
      <c r="B11735" t="s">
        <v>2127</v>
      </c>
      <c r="C11735">
        <v>30.5</v>
      </c>
      <c r="D11735">
        <v>109</v>
      </c>
      <c r="E11735">
        <f>IF(OR(B11735="vi",B11735="ii",B11735="pod"),(((D11735/100)*(C11735*VLOOKUP(B11735,'Poids des runes'!A:B,2,FALSE)))+1),(((D11735/100)*(C11735*VLOOKUP(B11735,'Poids des runes'!A:B,2,FALSE)))+1)/VLOOKUP(B11735,'Poids des runes'!A:B,2,FALSE))</f>
        <v>34.245000000000005</v>
      </c>
      <c r="F11735">
        <f t="shared" si="183"/>
        <v>34.245000000000005</v>
      </c>
    </row>
    <row r="11736" spans="1:6" x14ac:dyDescent="0.3">
      <c r="A11736" t="s">
        <v>1918</v>
      </c>
      <c r="B11736" t="s">
        <v>2129</v>
      </c>
      <c r="C11736">
        <v>20.5</v>
      </c>
      <c r="D11736">
        <v>109</v>
      </c>
      <c r="E11736">
        <f>IF(OR(B11736="vi",B11736="ii",B11736="pod"),(((D11736/100)*(C11736*VLOOKUP(B11736,'Poids des runes'!A:B,2,FALSE)))+1),(((D11736/100)*(C11736*VLOOKUP(B11736,'Poids des runes'!A:B,2,FALSE)))+1)/VLOOKUP(B11736,'Poids des runes'!A:B,2,FALSE))</f>
        <v>23.345000000000002</v>
      </c>
      <c r="F11736">
        <f t="shared" si="183"/>
        <v>23.345000000000002</v>
      </c>
    </row>
    <row r="11737" spans="1:6" x14ac:dyDescent="0.3">
      <c r="A11737" t="s">
        <v>1918</v>
      </c>
      <c r="B11737" t="s">
        <v>2151</v>
      </c>
      <c r="C11737">
        <v>3.5</v>
      </c>
      <c r="D11737">
        <v>109</v>
      </c>
      <c r="E11737">
        <f>IF(OR(B11737="vi",B11737="ii",B11737="pod"),(((D11737/100)*(C11737*VLOOKUP(B11737,'Poids des runes'!A:B,2,FALSE)))+1),(((D11737/100)*(C11737*VLOOKUP(B11737,'Poids des runes'!A:B,2,FALSE)))+1)/VLOOKUP(B11737,'Poids des runes'!A:B,2,FALSE))</f>
        <v>3.9150000000000005</v>
      </c>
      <c r="F11737">
        <f t="shared" si="183"/>
        <v>3.9150000000000005</v>
      </c>
    </row>
    <row r="11738" spans="1:6" x14ac:dyDescent="0.3">
      <c r="A11738" t="s">
        <v>1918</v>
      </c>
      <c r="B11738" t="s">
        <v>2134</v>
      </c>
      <c r="C11738">
        <v>5</v>
      </c>
      <c r="D11738">
        <v>109</v>
      </c>
      <c r="E11738">
        <f>IF(OR(B11738="vi",B11738="ii",B11738="pod"),(((D11738/100)*(C11738*VLOOKUP(B11738,'Poids des runes'!A:B,2,FALSE)))+1),(((D11738/100)*(C11738*VLOOKUP(B11738,'Poids des runes'!A:B,2,FALSE)))+1)/VLOOKUP(B11738,'Poids des runes'!A:B,2,FALSE))</f>
        <v>5.5000000000000009</v>
      </c>
      <c r="F11738">
        <f t="shared" si="183"/>
        <v>5.5000000000000009</v>
      </c>
    </row>
    <row r="11739" spans="1:6" x14ac:dyDescent="0.3">
      <c r="A11739" t="s">
        <v>1918</v>
      </c>
      <c r="B11739" t="s">
        <v>2138</v>
      </c>
      <c r="C11739">
        <v>8.5</v>
      </c>
      <c r="D11739">
        <v>109</v>
      </c>
      <c r="E11739">
        <f>IF(OR(B11739="vi",B11739="ii",B11739="pod"),(((D11739/100)*(C11739*VLOOKUP(B11739,'Poids des runes'!A:B,2,FALSE)))+1),(((D11739/100)*(C11739*VLOOKUP(B11739,'Poids des runes'!A:B,2,FALSE)))+1)/VLOOKUP(B11739,'Poids des runes'!A:B,2,FALSE))</f>
        <v>9.5150000000000006</v>
      </c>
      <c r="F11739">
        <f t="shared" si="183"/>
        <v>9.5150000000000006</v>
      </c>
    </row>
    <row r="11740" spans="1:6" x14ac:dyDescent="0.3">
      <c r="A11740" t="s">
        <v>1918</v>
      </c>
      <c r="B11740" t="s">
        <v>2164</v>
      </c>
      <c r="C11740">
        <v>13</v>
      </c>
      <c r="D11740">
        <v>109</v>
      </c>
      <c r="E11740">
        <f>IF(OR(B11740="vi",B11740="ii",B11740="pod"),(((D11740/100)*(C11740*VLOOKUP(B11740,'Poids des runes'!A:B,2,FALSE)))+1),(((D11740/100)*(C11740*VLOOKUP(B11740,'Poids des runes'!A:B,2,FALSE)))+1)/VLOOKUP(B11740,'Poids des runes'!A:B,2,FALSE))</f>
        <v>14.670000000000002</v>
      </c>
      <c r="F11740">
        <f t="shared" si="183"/>
        <v>14.670000000000002</v>
      </c>
    </row>
    <row r="11741" spans="1:6" x14ac:dyDescent="0.3">
      <c r="A11741" t="s">
        <v>1919</v>
      </c>
      <c r="B11741" t="s">
        <v>2128</v>
      </c>
      <c r="C11741">
        <v>225.5</v>
      </c>
      <c r="D11741">
        <v>110</v>
      </c>
      <c r="E11741">
        <f>IF(OR(B11741="vi",B11741="ii",B11741="pod"),(((D11741/100)*(C11741*VLOOKUP(B11741,'Poids des runes'!A:B,2,FALSE)))+1),(((D11741/100)*(C11741*VLOOKUP(B11741,'Poids des runes'!A:B,2,FALSE)))+1)/VLOOKUP(B11741,'Poids des runes'!A:B,2,FALSE))</f>
        <v>50.610000000000007</v>
      </c>
      <c r="F11741">
        <f t="shared" si="183"/>
        <v>50.610000000000007</v>
      </c>
    </row>
    <row r="11742" spans="1:6" x14ac:dyDescent="0.3">
      <c r="A11742" t="s">
        <v>1919</v>
      </c>
      <c r="B11742" t="s">
        <v>2129</v>
      </c>
      <c r="C11742">
        <v>20.5</v>
      </c>
      <c r="D11742">
        <v>110</v>
      </c>
      <c r="E11742">
        <f>IF(OR(B11742="vi",B11742="ii",B11742="pod"),(((D11742/100)*(C11742*VLOOKUP(B11742,'Poids des runes'!A:B,2,FALSE)))+1),(((D11742/100)*(C11742*VLOOKUP(B11742,'Poids des runes'!A:B,2,FALSE)))+1)/VLOOKUP(B11742,'Poids des runes'!A:B,2,FALSE))</f>
        <v>23.55</v>
      </c>
      <c r="F11742">
        <f t="shared" si="183"/>
        <v>23.55</v>
      </c>
    </row>
    <row r="11743" spans="1:6" x14ac:dyDescent="0.3">
      <c r="A11743" t="s">
        <v>1919</v>
      </c>
      <c r="B11743" t="s">
        <v>2150</v>
      </c>
      <c r="C11743">
        <v>1</v>
      </c>
      <c r="D11743">
        <v>110</v>
      </c>
      <c r="E11743">
        <f>IF(OR(B11743="vi",B11743="ii",B11743="pod"),(((D11743/100)*(C11743*VLOOKUP(B11743,'Poids des runes'!A:B,2,FALSE)))+1),(((D11743/100)*(C11743*VLOOKUP(B11743,'Poids des runes'!A:B,2,FALSE)))+1)/VLOOKUP(B11743,'Poids des runes'!A:B,2,FALSE))</f>
        <v>1.1333333333333333</v>
      </c>
      <c r="F11743">
        <f t="shared" si="183"/>
        <v>1.1333333333333333</v>
      </c>
    </row>
    <row r="11744" spans="1:6" x14ac:dyDescent="0.3">
      <c r="A11744" t="s">
        <v>1919</v>
      </c>
      <c r="B11744" t="s">
        <v>2134</v>
      </c>
      <c r="C11744">
        <v>8.5</v>
      </c>
      <c r="D11744">
        <v>110</v>
      </c>
      <c r="E11744">
        <f>IF(OR(B11744="vi",B11744="ii",B11744="pod"),(((D11744/100)*(C11744*VLOOKUP(B11744,'Poids des runes'!A:B,2,FALSE)))+1),(((D11744/100)*(C11744*VLOOKUP(B11744,'Poids des runes'!A:B,2,FALSE)))+1)/VLOOKUP(B11744,'Poids des runes'!A:B,2,FALSE))</f>
        <v>9.4000000000000021</v>
      </c>
      <c r="F11744">
        <f t="shared" si="183"/>
        <v>9.4000000000000021</v>
      </c>
    </row>
    <row r="11745" spans="1:6" x14ac:dyDescent="0.3">
      <c r="A11745" t="s">
        <v>1919</v>
      </c>
      <c r="B11745" t="s">
        <v>2135</v>
      </c>
      <c r="C11745">
        <v>3</v>
      </c>
      <c r="D11745">
        <v>110</v>
      </c>
      <c r="E11745">
        <f>IF(OR(B11745="vi",B11745="ii",B11745="pod"),(((D11745/100)*(C11745*VLOOKUP(B11745,'Poids des runes'!A:B,2,FALSE)))+1),(((D11745/100)*(C11745*VLOOKUP(B11745,'Poids des runes'!A:B,2,FALSE)))+1)/VLOOKUP(B11745,'Poids des runes'!A:B,2,FALSE))</f>
        <v>3.4666666666666668</v>
      </c>
      <c r="F11745">
        <f t="shared" si="183"/>
        <v>3.4666666666666668</v>
      </c>
    </row>
    <row r="11746" spans="1:6" x14ac:dyDescent="0.3">
      <c r="A11746" t="s">
        <v>1919</v>
      </c>
      <c r="B11746" t="s">
        <v>2157</v>
      </c>
      <c r="C11746">
        <v>3</v>
      </c>
      <c r="D11746">
        <v>110</v>
      </c>
      <c r="E11746">
        <f>IF(OR(B11746="vi",B11746="ii",B11746="pod"),(((D11746/100)*(C11746*VLOOKUP(B11746,'Poids des runes'!A:B,2,FALSE)))+1),(((D11746/100)*(C11746*VLOOKUP(B11746,'Poids des runes'!A:B,2,FALSE)))+1)/VLOOKUP(B11746,'Poids des runes'!A:B,2,FALSE))</f>
        <v>3.4666666666666668</v>
      </c>
      <c r="F11746">
        <f t="shared" si="183"/>
        <v>3.4666666666666668</v>
      </c>
    </row>
    <row r="11747" spans="1:6" x14ac:dyDescent="0.3">
      <c r="A11747" t="s">
        <v>1920</v>
      </c>
      <c r="B11747" t="s">
        <v>2128</v>
      </c>
      <c r="C11747">
        <v>125.5</v>
      </c>
      <c r="D11747">
        <v>111</v>
      </c>
      <c r="E11747">
        <f>IF(OR(B11747="vi",B11747="ii",B11747="pod"),(((D11747/100)*(C11747*VLOOKUP(B11747,'Poids des runes'!A:B,2,FALSE)))+1),(((D11747/100)*(C11747*VLOOKUP(B11747,'Poids des runes'!A:B,2,FALSE)))+1)/VLOOKUP(B11747,'Poids des runes'!A:B,2,FALSE))</f>
        <v>28.861000000000004</v>
      </c>
      <c r="F11747">
        <f t="shared" si="183"/>
        <v>28.861000000000004</v>
      </c>
    </row>
    <row r="11748" spans="1:6" x14ac:dyDescent="0.3">
      <c r="A11748" t="s">
        <v>1920</v>
      </c>
      <c r="B11748" t="s">
        <v>2130</v>
      </c>
      <c r="C11748">
        <v>40.5</v>
      </c>
      <c r="D11748">
        <v>111</v>
      </c>
      <c r="E11748">
        <f>IF(OR(B11748="vi",B11748="ii",B11748="pod"),(((D11748/100)*(C11748*VLOOKUP(B11748,'Poids des runes'!A:B,2,FALSE)))+1),(((D11748/100)*(C11748*VLOOKUP(B11748,'Poids des runes'!A:B,2,FALSE)))+1)/VLOOKUP(B11748,'Poids des runes'!A:B,2,FALSE))</f>
        <v>45.955000000000005</v>
      </c>
      <c r="F11748">
        <f t="shared" si="183"/>
        <v>45.955000000000005</v>
      </c>
    </row>
    <row r="11749" spans="1:6" x14ac:dyDescent="0.3">
      <c r="A11749" t="s">
        <v>1920</v>
      </c>
      <c r="B11749" t="s">
        <v>2127</v>
      </c>
      <c r="C11749">
        <v>40.5</v>
      </c>
      <c r="D11749">
        <v>111</v>
      </c>
      <c r="E11749">
        <f>IF(OR(B11749="vi",B11749="ii",B11749="pod"),(((D11749/100)*(C11749*VLOOKUP(B11749,'Poids des runes'!A:B,2,FALSE)))+1),(((D11749/100)*(C11749*VLOOKUP(B11749,'Poids des runes'!A:B,2,FALSE)))+1)/VLOOKUP(B11749,'Poids des runes'!A:B,2,FALSE))</f>
        <v>45.955000000000005</v>
      </c>
      <c r="F11749">
        <f t="shared" si="183"/>
        <v>45.955000000000005</v>
      </c>
    </row>
    <row r="11750" spans="1:6" x14ac:dyDescent="0.3">
      <c r="A11750" t="s">
        <v>1920</v>
      </c>
      <c r="B11750" t="s">
        <v>2134</v>
      </c>
      <c r="C11750">
        <v>4.5</v>
      </c>
      <c r="D11750">
        <v>111</v>
      </c>
      <c r="E11750">
        <f>IF(OR(B11750="vi",B11750="ii",B11750="pod"),(((D11750/100)*(C11750*VLOOKUP(B11750,'Poids des runes'!A:B,2,FALSE)))+1),(((D11750/100)*(C11750*VLOOKUP(B11750,'Poids des runes'!A:B,2,FALSE)))+1)/VLOOKUP(B11750,'Poids des runes'!A:B,2,FALSE))</f>
        <v>5.0449999999999999</v>
      </c>
      <c r="F11750">
        <f t="shared" si="183"/>
        <v>5.0449999999999999</v>
      </c>
    </row>
    <row r="11751" spans="1:6" x14ac:dyDescent="0.3">
      <c r="A11751" t="s">
        <v>1920</v>
      </c>
      <c r="B11751" t="s">
        <v>2156</v>
      </c>
      <c r="C11751">
        <v>6</v>
      </c>
      <c r="D11751">
        <v>111</v>
      </c>
      <c r="E11751">
        <f>IF(OR(B11751="vi",B11751="ii",B11751="pod"),(((D11751/100)*(C11751*VLOOKUP(B11751,'Poids des runes'!A:B,2,FALSE)))+1),(((D11751/100)*(C11751*VLOOKUP(B11751,'Poids des runes'!A:B,2,FALSE)))+1)/VLOOKUP(B11751,'Poids des runes'!A:B,2,FALSE))</f>
        <v>6.8266666666666671</v>
      </c>
      <c r="F11751">
        <f t="shared" si="183"/>
        <v>6.8266666666666671</v>
      </c>
    </row>
    <row r="11752" spans="1:6" x14ac:dyDescent="0.3">
      <c r="A11752" t="s">
        <v>1921</v>
      </c>
      <c r="B11752" t="s">
        <v>2128</v>
      </c>
      <c r="C11752">
        <v>125.5</v>
      </c>
      <c r="D11752">
        <v>111</v>
      </c>
      <c r="E11752">
        <f>IF(OR(B11752="vi",B11752="ii",B11752="pod"),(((D11752/100)*(C11752*VLOOKUP(B11752,'Poids des runes'!A:B,2,FALSE)))+1),(((D11752/100)*(C11752*VLOOKUP(B11752,'Poids des runes'!A:B,2,FALSE)))+1)/VLOOKUP(B11752,'Poids des runes'!A:B,2,FALSE))</f>
        <v>28.861000000000004</v>
      </c>
      <c r="F11752">
        <f t="shared" si="183"/>
        <v>28.861000000000004</v>
      </c>
    </row>
    <row r="11753" spans="1:6" x14ac:dyDescent="0.3">
      <c r="A11753" t="s">
        <v>1921</v>
      </c>
      <c r="B11753" t="s">
        <v>2126</v>
      </c>
      <c r="C11753">
        <v>35.5</v>
      </c>
      <c r="D11753">
        <v>111</v>
      </c>
      <c r="E11753">
        <f>IF(OR(B11753="vi",B11753="ii",B11753="pod"),(((D11753/100)*(C11753*VLOOKUP(B11753,'Poids des runes'!A:B,2,FALSE)))+1),(((D11753/100)*(C11753*VLOOKUP(B11753,'Poids des runes'!A:B,2,FALSE)))+1)/VLOOKUP(B11753,'Poids des runes'!A:B,2,FALSE))</f>
        <v>40.405000000000001</v>
      </c>
      <c r="F11753">
        <f t="shared" si="183"/>
        <v>40.405000000000001</v>
      </c>
    </row>
    <row r="11754" spans="1:6" x14ac:dyDescent="0.3">
      <c r="A11754" t="s">
        <v>1921</v>
      </c>
      <c r="B11754" t="s">
        <v>2127</v>
      </c>
      <c r="C11754">
        <v>35.5</v>
      </c>
      <c r="D11754">
        <v>111</v>
      </c>
      <c r="E11754">
        <f>IF(OR(B11754="vi",B11754="ii",B11754="pod"),(((D11754/100)*(C11754*VLOOKUP(B11754,'Poids des runes'!A:B,2,FALSE)))+1),(((D11754/100)*(C11754*VLOOKUP(B11754,'Poids des runes'!A:B,2,FALSE)))+1)/VLOOKUP(B11754,'Poids des runes'!A:B,2,FALSE))</f>
        <v>40.405000000000001</v>
      </c>
      <c r="F11754">
        <f t="shared" si="183"/>
        <v>40.405000000000001</v>
      </c>
    </row>
    <row r="11755" spans="1:6" x14ac:dyDescent="0.3">
      <c r="A11755" t="s">
        <v>1921</v>
      </c>
      <c r="B11755" t="s">
        <v>2151</v>
      </c>
      <c r="C11755">
        <v>3.5</v>
      </c>
      <c r="D11755">
        <v>111</v>
      </c>
      <c r="E11755">
        <f>IF(OR(B11755="vi",B11755="ii",B11755="pod"),(((D11755/100)*(C11755*VLOOKUP(B11755,'Poids des runes'!A:B,2,FALSE)))+1),(((D11755/100)*(C11755*VLOOKUP(B11755,'Poids des runes'!A:B,2,FALSE)))+1)/VLOOKUP(B11755,'Poids des runes'!A:B,2,FALSE))</f>
        <v>3.9850000000000003</v>
      </c>
      <c r="F11755">
        <f t="shared" si="183"/>
        <v>3.9850000000000003</v>
      </c>
    </row>
    <row r="11756" spans="1:6" x14ac:dyDescent="0.3">
      <c r="A11756" t="s">
        <v>1921</v>
      </c>
      <c r="B11756" t="s">
        <v>2149</v>
      </c>
      <c r="C11756">
        <v>5</v>
      </c>
      <c r="D11756">
        <v>111</v>
      </c>
      <c r="E11756">
        <f>IF(OR(B11756="vi",B11756="ii",B11756="pod"),(((D11756/100)*(C11756*VLOOKUP(B11756,'Poids des runes'!A:B,2,FALSE)))+1),(((D11756/100)*(C11756*VLOOKUP(B11756,'Poids des runes'!A:B,2,FALSE)))+1)/VLOOKUP(B11756,'Poids des runes'!A:B,2,FALSE))</f>
        <v>5.65</v>
      </c>
      <c r="F11756">
        <f t="shared" si="183"/>
        <v>5.65</v>
      </c>
    </row>
    <row r="11757" spans="1:6" x14ac:dyDescent="0.3">
      <c r="A11757" t="s">
        <v>1921</v>
      </c>
      <c r="B11757" t="s">
        <v>2147</v>
      </c>
      <c r="C11757">
        <v>8</v>
      </c>
      <c r="D11757">
        <v>111</v>
      </c>
      <c r="E11757">
        <f>IF(OR(B11757="vi",B11757="ii",B11757="pod"),(((D11757/100)*(C11757*VLOOKUP(B11757,'Poids des runes'!A:B,2,FALSE)))+1),(((D11757/100)*(C11757*VLOOKUP(B11757,'Poids des runes'!A:B,2,FALSE)))+1)/VLOOKUP(B11757,'Poids des runes'!A:B,2,FALSE))</f>
        <v>9.0466666666666669</v>
      </c>
      <c r="F11757">
        <f t="shared" si="183"/>
        <v>9.0466666666666669</v>
      </c>
    </row>
    <row r="11758" spans="1:6" x14ac:dyDescent="0.3">
      <c r="A11758" t="s">
        <v>1921</v>
      </c>
      <c r="B11758" t="s">
        <v>2157</v>
      </c>
      <c r="C11758">
        <v>8</v>
      </c>
      <c r="D11758">
        <v>111</v>
      </c>
      <c r="E11758">
        <f>IF(OR(B11758="vi",B11758="ii",B11758="pod"),(((D11758/100)*(C11758*VLOOKUP(B11758,'Poids des runes'!A:B,2,FALSE)))+1),(((D11758/100)*(C11758*VLOOKUP(B11758,'Poids des runes'!A:B,2,FALSE)))+1)/VLOOKUP(B11758,'Poids des runes'!A:B,2,FALSE))</f>
        <v>9.0466666666666669</v>
      </c>
      <c r="F11758">
        <f t="shared" si="183"/>
        <v>9.0466666666666669</v>
      </c>
    </row>
    <row r="11759" spans="1:6" x14ac:dyDescent="0.3">
      <c r="A11759" t="s">
        <v>1922</v>
      </c>
      <c r="B11759" t="s">
        <v>2128</v>
      </c>
      <c r="C11759">
        <v>85.5</v>
      </c>
      <c r="D11759">
        <v>112</v>
      </c>
      <c r="E11759">
        <f>IF(OR(B11759="vi",B11759="ii",B11759="pod"),(((D11759/100)*(C11759*VLOOKUP(B11759,'Poids des runes'!A:B,2,FALSE)))+1),(((D11759/100)*(C11759*VLOOKUP(B11759,'Poids des runes'!A:B,2,FALSE)))+1)/VLOOKUP(B11759,'Poids des runes'!A:B,2,FALSE))</f>
        <v>20.152000000000005</v>
      </c>
      <c r="F11759">
        <f t="shared" si="183"/>
        <v>20.152000000000005</v>
      </c>
    </row>
    <row r="11760" spans="1:6" x14ac:dyDescent="0.3">
      <c r="A11760" t="s">
        <v>1922</v>
      </c>
      <c r="B11760" t="s">
        <v>2126</v>
      </c>
      <c r="C11760">
        <v>40.5</v>
      </c>
      <c r="D11760">
        <v>112</v>
      </c>
      <c r="E11760">
        <f>IF(OR(B11760="vi",B11760="ii",B11760="pod"),(((D11760/100)*(C11760*VLOOKUP(B11760,'Poids des runes'!A:B,2,FALSE)))+1),(((D11760/100)*(C11760*VLOOKUP(B11760,'Poids des runes'!A:B,2,FALSE)))+1)/VLOOKUP(B11760,'Poids des runes'!A:B,2,FALSE))</f>
        <v>46.360000000000007</v>
      </c>
      <c r="F11760">
        <f t="shared" si="183"/>
        <v>46.360000000000007</v>
      </c>
    </row>
    <row r="11761" spans="1:6" x14ac:dyDescent="0.3">
      <c r="A11761" t="s">
        <v>1922</v>
      </c>
      <c r="B11761" t="s">
        <v>2127</v>
      </c>
      <c r="C11761">
        <v>30.5</v>
      </c>
      <c r="D11761">
        <v>112</v>
      </c>
      <c r="E11761">
        <f>IF(OR(B11761="vi",B11761="ii",B11761="pod"),(((D11761/100)*(C11761*VLOOKUP(B11761,'Poids des runes'!A:B,2,FALSE)))+1),(((D11761/100)*(C11761*VLOOKUP(B11761,'Poids des runes'!A:B,2,FALSE)))+1)/VLOOKUP(B11761,'Poids des runes'!A:B,2,FALSE))</f>
        <v>35.160000000000004</v>
      </c>
      <c r="F11761">
        <f t="shared" si="183"/>
        <v>35.160000000000004</v>
      </c>
    </row>
    <row r="11762" spans="1:6" x14ac:dyDescent="0.3">
      <c r="A11762" t="s">
        <v>1922</v>
      </c>
      <c r="B11762" t="s">
        <v>2129</v>
      </c>
      <c r="C11762">
        <v>28</v>
      </c>
      <c r="D11762">
        <v>112</v>
      </c>
      <c r="E11762">
        <f>IF(OR(B11762="vi",B11762="ii",B11762="pod"),(((D11762/100)*(C11762*VLOOKUP(B11762,'Poids des runes'!A:B,2,FALSE)))+1),(((D11762/100)*(C11762*VLOOKUP(B11762,'Poids des runes'!A:B,2,FALSE)))+1)/VLOOKUP(B11762,'Poids des runes'!A:B,2,FALSE))</f>
        <v>32.36</v>
      </c>
      <c r="F11762">
        <f t="shared" si="183"/>
        <v>32.36</v>
      </c>
    </row>
    <row r="11763" spans="1:6" x14ac:dyDescent="0.3">
      <c r="A11763" t="s">
        <v>1922</v>
      </c>
      <c r="B11763" t="s">
        <v>2139</v>
      </c>
      <c r="C11763">
        <v>8</v>
      </c>
      <c r="D11763">
        <v>112</v>
      </c>
      <c r="E11763">
        <f>IF(OR(B11763="vi",B11763="ii",B11763="pod"),(((D11763/100)*(C11763*VLOOKUP(B11763,'Poids des runes'!A:B,2,FALSE)))+1),(((D11763/100)*(C11763*VLOOKUP(B11763,'Poids des runes'!A:B,2,FALSE)))+1)/VLOOKUP(B11763,'Poids des runes'!A:B,2,FALSE))</f>
        <v>9.4600000000000009</v>
      </c>
      <c r="F11763">
        <f t="shared" si="183"/>
        <v>9.4600000000000009</v>
      </c>
    </row>
    <row r="11764" spans="1:6" x14ac:dyDescent="0.3">
      <c r="A11764" t="s">
        <v>1922</v>
      </c>
      <c r="B11764" t="s">
        <v>2151</v>
      </c>
      <c r="C11764">
        <v>6</v>
      </c>
      <c r="D11764">
        <v>112</v>
      </c>
      <c r="E11764">
        <f>IF(OR(B11764="vi",B11764="ii",B11764="pod"),(((D11764/100)*(C11764*VLOOKUP(B11764,'Poids des runes'!A:B,2,FALSE)))+1),(((D11764/100)*(C11764*VLOOKUP(B11764,'Poids des runes'!A:B,2,FALSE)))+1)/VLOOKUP(B11764,'Poids des runes'!A:B,2,FALSE))</f>
        <v>6.82</v>
      </c>
      <c r="F11764">
        <f t="shared" si="183"/>
        <v>6.82</v>
      </c>
    </row>
    <row r="11765" spans="1:6" x14ac:dyDescent="0.3">
      <c r="A11765" t="s">
        <v>1922</v>
      </c>
      <c r="B11765" t="s">
        <v>2161</v>
      </c>
      <c r="C11765">
        <v>8</v>
      </c>
      <c r="D11765">
        <v>112</v>
      </c>
      <c r="E11765">
        <f>IF(OR(B11765="vi",B11765="ii",B11765="pod"),(((D11765/100)*(C11765*VLOOKUP(B11765,'Poids des runes'!A:B,2,FALSE)))+1),(((D11765/100)*(C11765*VLOOKUP(B11765,'Poids des runes'!A:B,2,FALSE)))+1)/VLOOKUP(B11765,'Poids des runes'!A:B,2,FALSE))</f>
        <v>9.2933333333333348</v>
      </c>
      <c r="F11765">
        <f t="shared" si="183"/>
        <v>9.2933333333333348</v>
      </c>
    </row>
    <row r="11766" spans="1:6" x14ac:dyDescent="0.3">
      <c r="A11766" t="s">
        <v>1922</v>
      </c>
      <c r="B11766" t="s">
        <v>2157</v>
      </c>
      <c r="C11766">
        <v>4</v>
      </c>
      <c r="D11766">
        <v>112</v>
      </c>
      <c r="E11766">
        <f>IF(OR(B11766="vi",B11766="ii",B11766="pod"),(((D11766/100)*(C11766*VLOOKUP(B11766,'Poids des runes'!A:B,2,FALSE)))+1),(((D11766/100)*(C11766*VLOOKUP(B11766,'Poids des runes'!A:B,2,FALSE)))+1)/VLOOKUP(B11766,'Poids des runes'!A:B,2,FALSE))</f>
        <v>4.6466666666666674</v>
      </c>
      <c r="F11766">
        <f t="shared" si="183"/>
        <v>4.6466666666666674</v>
      </c>
    </row>
    <row r="11767" spans="1:6" x14ac:dyDescent="0.3">
      <c r="A11767" t="s">
        <v>1923</v>
      </c>
      <c r="B11767" t="s">
        <v>2128</v>
      </c>
      <c r="C11767">
        <v>175.5</v>
      </c>
      <c r="D11767">
        <v>112</v>
      </c>
      <c r="E11767">
        <f>IF(OR(B11767="vi",B11767="ii",B11767="pod"),(((D11767/100)*(C11767*VLOOKUP(B11767,'Poids des runes'!A:B,2,FALSE)))+1),(((D11767/100)*(C11767*VLOOKUP(B11767,'Poids des runes'!A:B,2,FALSE)))+1)/VLOOKUP(B11767,'Poids des runes'!A:B,2,FALSE))</f>
        <v>40.312000000000005</v>
      </c>
      <c r="F11767">
        <f t="shared" si="183"/>
        <v>40.312000000000005</v>
      </c>
    </row>
    <row r="11768" spans="1:6" x14ac:dyDescent="0.3">
      <c r="A11768" t="s">
        <v>1923</v>
      </c>
      <c r="B11768" t="s">
        <v>2130</v>
      </c>
      <c r="C11768">
        <v>40.5</v>
      </c>
      <c r="D11768">
        <v>112</v>
      </c>
      <c r="E11768">
        <f>IF(OR(B11768="vi",B11768="ii",B11768="pod"),(((D11768/100)*(C11768*VLOOKUP(B11768,'Poids des runes'!A:B,2,FALSE)))+1),(((D11768/100)*(C11768*VLOOKUP(B11768,'Poids des runes'!A:B,2,FALSE)))+1)/VLOOKUP(B11768,'Poids des runes'!A:B,2,FALSE))</f>
        <v>46.360000000000007</v>
      </c>
      <c r="F11768">
        <f t="shared" si="183"/>
        <v>46.360000000000007</v>
      </c>
    </row>
    <row r="11769" spans="1:6" x14ac:dyDescent="0.3">
      <c r="A11769" t="s">
        <v>1923</v>
      </c>
      <c r="B11769" t="s">
        <v>2126</v>
      </c>
      <c r="C11769">
        <v>40.5</v>
      </c>
      <c r="D11769">
        <v>112</v>
      </c>
      <c r="E11769">
        <f>IF(OR(B11769="vi",B11769="ii",B11769="pod"),(((D11769/100)*(C11769*VLOOKUP(B11769,'Poids des runes'!A:B,2,FALSE)))+1),(((D11769/100)*(C11769*VLOOKUP(B11769,'Poids des runes'!A:B,2,FALSE)))+1)/VLOOKUP(B11769,'Poids des runes'!A:B,2,FALSE))</f>
        <v>46.360000000000007</v>
      </c>
      <c r="F11769">
        <f t="shared" si="183"/>
        <v>46.360000000000007</v>
      </c>
    </row>
    <row r="11770" spans="1:6" x14ac:dyDescent="0.3">
      <c r="A11770" t="s">
        <v>1923</v>
      </c>
      <c r="B11770" t="s">
        <v>2139</v>
      </c>
      <c r="C11770">
        <v>13</v>
      </c>
      <c r="D11770">
        <v>112</v>
      </c>
      <c r="E11770">
        <f>IF(OR(B11770="vi",B11770="ii",B11770="pod"),(((D11770/100)*(C11770*VLOOKUP(B11770,'Poids des runes'!A:B,2,FALSE)))+1),(((D11770/100)*(C11770*VLOOKUP(B11770,'Poids des runes'!A:B,2,FALSE)))+1)/VLOOKUP(B11770,'Poids des runes'!A:B,2,FALSE))</f>
        <v>15.060000000000002</v>
      </c>
      <c r="F11770">
        <f t="shared" si="183"/>
        <v>15.060000000000002</v>
      </c>
    </row>
    <row r="11771" spans="1:6" x14ac:dyDescent="0.3">
      <c r="A11771" t="s">
        <v>1923</v>
      </c>
      <c r="B11771" t="s">
        <v>2161</v>
      </c>
      <c r="C11771">
        <v>8</v>
      </c>
      <c r="D11771">
        <v>112</v>
      </c>
      <c r="E11771">
        <f>IF(OR(B11771="vi",B11771="ii",B11771="pod"),(((D11771/100)*(C11771*VLOOKUP(B11771,'Poids des runes'!A:B,2,FALSE)))+1),(((D11771/100)*(C11771*VLOOKUP(B11771,'Poids des runes'!A:B,2,FALSE)))+1)/VLOOKUP(B11771,'Poids des runes'!A:B,2,FALSE))</f>
        <v>9.2933333333333348</v>
      </c>
      <c r="F11771">
        <f t="shared" si="183"/>
        <v>9.2933333333333348</v>
      </c>
    </row>
    <row r="11772" spans="1:6" x14ac:dyDescent="0.3">
      <c r="A11772" t="s">
        <v>1923</v>
      </c>
      <c r="B11772" t="s">
        <v>2138</v>
      </c>
      <c r="C11772">
        <v>8.5</v>
      </c>
      <c r="D11772">
        <v>112</v>
      </c>
      <c r="E11772">
        <f>IF(OR(B11772="vi",B11772="ii",B11772="pod"),(((D11772/100)*(C11772*VLOOKUP(B11772,'Poids des runes'!A:B,2,FALSE)))+1),(((D11772/100)*(C11772*VLOOKUP(B11772,'Poids des runes'!A:B,2,FALSE)))+1)/VLOOKUP(B11772,'Poids des runes'!A:B,2,FALSE))</f>
        <v>9.7700000000000014</v>
      </c>
      <c r="F11772">
        <f t="shared" si="183"/>
        <v>9.7700000000000014</v>
      </c>
    </row>
    <row r="11773" spans="1:6" x14ac:dyDescent="0.3">
      <c r="A11773" t="s">
        <v>1923</v>
      </c>
      <c r="B11773" t="s">
        <v>2147</v>
      </c>
      <c r="C11773">
        <v>4</v>
      </c>
      <c r="D11773">
        <v>112</v>
      </c>
      <c r="E11773">
        <f>IF(OR(B11773="vi",B11773="ii",B11773="pod"),(((D11773/100)*(C11773*VLOOKUP(B11773,'Poids des runes'!A:B,2,FALSE)))+1),(((D11773/100)*(C11773*VLOOKUP(B11773,'Poids des runes'!A:B,2,FALSE)))+1)/VLOOKUP(B11773,'Poids des runes'!A:B,2,FALSE))</f>
        <v>4.6466666666666674</v>
      </c>
      <c r="F11773">
        <f t="shared" si="183"/>
        <v>4.6466666666666674</v>
      </c>
    </row>
    <row r="11774" spans="1:6" x14ac:dyDescent="0.3">
      <c r="A11774" t="s">
        <v>1923</v>
      </c>
      <c r="B11774" t="s">
        <v>2135</v>
      </c>
      <c r="C11774">
        <v>4</v>
      </c>
      <c r="D11774">
        <v>112</v>
      </c>
      <c r="E11774">
        <f>IF(OR(B11774="vi",B11774="ii",B11774="pod"),(((D11774/100)*(C11774*VLOOKUP(B11774,'Poids des runes'!A:B,2,FALSE)))+1),(((D11774/100)*(C11774*VLOOKUP(B11774,'Poids des runes'!A:B,2,FALSE)))+1)/VLOOKUP(B11774,'Poids des runes'!A:B,2,FALSE))</f>
        <v>4.6466666666666674</v>
      </c>
      <c r="F11774">
        <f t="shared" si="183"/>
        <v>4.6466666666666674</v>
      </c>
    </row>
    <row r="11775" spans="1:6" x14ac:dyDescent="0.3">
      <c r="A11775" t="s">
        <v>1923</v>
      </c>
      <c r="B11775" t="s">
        <v>2136</v>
      </c>
      <c r="C11775">
        <v>6</v>
      </c>
      <c r="D11775">
        <v>112</v>
      </c>
      <c r="E11775">
        <f>IF(OR(B11775="vi",B11775="ii",B11775="pod"),(((D11775/100)*(C11775*VLOOKUP(B11775,'Poids des runes'!A:B,2,FALSE)))+1),(((D11775/100)*(C11775*VLOOKUP(B11775,'Poids des runes'!A:B,2,FALSE)))+1)/VLOOKUP(B11775,'Poids des runes'!A:B,2,FALSE))</f>
        <v>7.2200000000000006</v>
      </c>
      <c r="F11775">
        <f t="shared" si="183"/>
        <v>7.2200000000000006</v>
      </c>
    </row>
    <row r="11776" spans="1:6" x14ac:dyDescent="0.3">
      <c r="A11776" t="s">
        <v>1923</v>
      </c>
      <c r="B11776" t="s">
        <v>2137</v>
      </c>
      <c r="C11776">
        <v>6</v>
      </c>
      <c r="D11776">
        <v>112</v>
      </c>
      <c r="E11776">
        <f>IF(OR(B11776="vi",B11776="ii",B11776="pod"),(((D11776/100)*(C11776*VLOOKUP(B11776,'Poids des runes'!A:B,2,FALSE)))+1),(((D11776/100)*(C11776*VLOOKUP(B11776,'Poids des runes'!A:B,2,FALSE)))+1)/VLOOKUP(B11776,'Poids des runes'!A:B,2,FALSE))</f>
        <v>7.2200000000000006</v>
      </c>
      <c r="F11776">
        <f t="shared" si="183"/>
        <v>7.2200000000000006</v>
      </c>
    </row>
    <row r="11777" spans="1:6" x14ac:dyDescent="0.3">
      <c r="A11777" t="s">
        <v>1924</v>
      </c>
      <c r="B11777" t="s">
        <v>2128</v>
      </c>
      <c r="C11777">
        <v>55.5</v>
      </c>
      <c r="D11777">
        <v>112</v>
      </c>
      <c r="E11777">
        <f>IF(OR(B11777="vi",B11777="ii",B11777="pod"),(((D11777/100)*(C11777*VLOOKUP(B11777,'Poids des runes'!A:B,2,FALSE)))+1),(((D11777/100)*(C11777*VLOOKUP(B11777,'Poids des runes'!A:B,2,FALSE)))+1)/VLOOKUP(B11777,'Poids des runes'!A:B,2,FALSE))</f>
        <v>13.432000000000002</v>
      </c>
      <c r="F11777">
        <f t="shared" si="183"/>
        <v>13.432000000000002</v>
      </c>
    </row>
    <row r="11778" spans="1:6" x14ac:dyDescent="0.3">
      <c r="A11778" t="s">
        <v>1924</v>
      </c>
      <c r="B11778" t="s">
        <v>2126</v>
      </c>
      <c r="C11778">
        <v>33</v>
      </c>
      <c r="D11778">
        <v>112</v>
      </c>
      <c r="E11778">
        <f>IF(OR(B11778="vi",B11778="ii",B11778="pod"),(((D11778/100)*(C11778*VLOOKUP(B11778,'Poids des runes'!A:B,2,FALSE)))+1),(((D11778/100)*(C11778*VLOOKUP(B11778,'Poids des runes'!A:B,2,FALSE)))+1)/VLOOKUP(B11778,'Poids des runes'!A:B,2,FALSE))</f>
        <v>37.96</v>
      </c>
      <c r="F11778">
        <f t="shared" si="183"/>
        <v>37.96</v>
      </c>
    </row>
    <row r="11779" spans="1:6" x14ac:dyDescent="0.3">
      <c r="A11779" t="s">
        <v>1924</v>
      </c>
      <c r="B11779" t="s">
        <v>2129</v>
      </c>
      <c r="C11779">
        <v>28</v>
      </c>
      <c r="D11779">
        <v>112</v>
      </c>
      <c r="E11779">
        <f>IF(OR(B11779="vi",B11779="ii",B11779="pod"),(((D11779/100)*(C11779*VLOOKUP(B11779,'Poids des runes'!A:B,2,FALSE)))+1),(((D11779/100)*(C11779*VLOOKUP(B11779,'Poids des runes'!A:B,2,FALSE)))+1)/VLOOKUP(B11779,'Poids des runes'!A:B,2,FALSE))</f>
        <v>32.36</v>
      </c>
      <c r="F11779">
        <f t="shared" ref="F11779:F11842" si="184">E11779</f>
        <v>32.36</v>
      </c>
    </row>
    <row r="11780" spans="1:6" x14ac:dyDescent="0.3">
      <c r="A11780" t="s">
        <v>1924</v>
      </c>
      <c r="B11780" t="s">
        <v>2151</v>
      </c>
      <c r="C11780">
        <v>5.5</v>
      </c>
      <c r="D11780">
        <v>112</v>
      </c>
      <c r="E11780">
        <f>IF(OR(B11780="vi",B11780="ii",B11780="pod"),(((D11780/100)*(C11780*VLOOKUP(B11780,'Poids des runes'!A:B,2,FALSE)))+1),(((D11780/100)*(C11780*VLOOKUP(B11780,'Poids des runes'!A:B,2,FALSE)))+1)/VLOOKUP(B11780,'Poids des runes'!A:B,2,FALSE))</f>
        <v>6.2600000000000007</v>
      </c>
      <c r="F11780">
        <f t="shared" si="184"/>
        <v>6.2600000000000007</v>
      </c>
    </row>
    <row r="11781" spans="1:6" x14ac:dyDescent="0.3">
      <c r="A11781" t="s">
        <v>1924</v>
      </c>
      <c r="B11781" t="s">
        <v>2149</v>
      </c>
      <c r="C11781">
        <v>5</v>
      </c>
      <c r="D11781">
        <v>112</v>
      </c>
      <c r="E11781">
        <f>IF(OR(B11781="vi",B11781="ii",B11781="pod"),(((D11781/100)*(C11781*VLOOKUP(B11781,'Poids des runes'!A:B,2,FALSE)))+1),(((D11781/100)*(C11781*VLOOKUP(B11781,'Poids des runes'!A:B,2,FALSE)))+1)/VLOOKUP(B11781,'Poids des runes'!A:B,2,FALSE))</f>
        <v>5.7000000000000011</v>
      </c>
      <c r="F11781">
        <f t="shared" si="184"/>
        <v>5.7000000000000011</v>
      </c>
    </row>
    <row r="11782" spans="1:6" x14ac:dyDescent="0.3">
      <c r="A11782" t="s">
        <v>1924</v>
      </c>
      <c r="B11782" t="s">
        <v>2132</v>
      </c>
      <c r="C11782">
        <v>200.5</v>
      </c>
      <c r="D11782">
        <v>112</v>
      </c>
      <c r="E11782">
        <f>IF(OR(B11782="vi",B11782="ii",B11782="pod"),(((D11782/100)*(C11782*VLOOKUP(B11782,'Poids des runes'!A:B,2,FALSE)))+1),(((D11782/100)*(C11782*VLOOKUP(B11782,'Poids des runes'!A:B,2,FALSE)))+1)/VLOOKUP(B11782,'Poids des runes'!A:B,2,FALSE))</f>
        <v>23.456000000000003</v>
      </c>
      <c r="F11782">
        <f t="shared" si="184"/>
        <v>23.456000000000003</v>
      </c>
    </row>
    <row r="11783" spans="1:6" x14ac:dyDescent="0.3">
      <c r="A11783" t="s">
        <v>1925</v>
      </c>
      <c r="B11783" t="s">
        <v>2128</v>
      </c>
      <c r="C11783">
        <v>75.5</v>
      </c>
      <c r="D11783">
        <v>112</v>
      </c>
      <c r="E11783">
        <f>IF(OR(B11783="vi",B11783="ii",B11783="pod"),(((D11783/100)*(C11783*VLOOKUP(B11783,'Poids des runes'!A:B,2,FALSE)))+1),(((D11783/100)*(C11783*VLOOKUP(B11783,'Poids des runes'!A:B,2,FALSE)))+1)/VLOOKUP(B11783,'Poids des runes'!A:B,2,FALSE))</f>
        <v>17.912000000000003</v>
      </c>
      <c r="F11783">
        <f t="shared" si="184"/>
        <v>17.912000000000003</v>
      </c>
    </row>
    <row r="11784" spans="1:6" x14ac:dyDescent="0.3">
      <c r="A11784" t="s">
        <v>1925</v>
      </c>
      <c r="B11784" t="s">
        <v>2130</v>
      </c>
      <c r="C11784">
        <v>30.5</v>
      </c>
      <c r="D11784">
        <v>112</v>
      </c>
      <c r="E11784">
        <f>IF(OR(B11784="vi",B11784="ii",B11784="pod"),(((D11784/100)*(C11784*VLOOKUP(B11784,'Poids des runes'!A:B,2,FALSE)))+1),(((D11784/100)*(C11784*VLOOKUP(B11784,'Poids des runes'!A:B,2,FALSE)))+1)/VLOOKUP(B11784,'Poids des runes'!A:B,2,FALSE))</f>
        <v>35.160000000000004</v>
      </c>
      <c r="F11784">
        <f t="shared" si="184"/>
        <v>35.160000000000004</v>
      </c>
    </row>
    <row r="11785" spans="1:6" x14ac:dyDescent="0.3">
      <c r="A11785" t="s">
        <v>1925</v>
      </c>
      <c r="B11785" t="s">
        <v>2129</v>
      </c>
      <c r="C11785">
        <v>20.5</v>
      </c>
      <c r="D11785">
        <v>112</v>
      </c>
      <c r="E11785">
        <f>IF(OR(B11785="vi",B11785="ii",B11785="pod"),(((D11785/100)*(C11785*VLOOKUP(B11785,'Poids des runes'!A:B,2,FALSE)))+1),(((D11785/100)*(C11785*VLOOKUP(B11785,'Poids des runes'!A:B,2,FALSE)))+1)/VLOOKUP(B11785,'Poids des runes'!A:B,2,FALSE))</f>
        <v>23.96</v>
      </c>
      <c r="F11785">
        <f t="shared" si="184"/>
        <v>23.96</v>
      </c>
    </row>
    <row r="11786" spans="1:6" x14ac:dyDescent="0.3">
      <c r="A11786" t="s">
        <v>1925</v>
      </c>
      <c r="B11786" t="s">
        <v>2139</v>
      </c>
      <c r="C11786">
        <v>8</v>
      </c>
      <c r="D11786">
        <v>112</v>
      </c>
      <c r="E11786">
        <f>IF(OR(B11786="vi",B11786="ii",B11786="pod"),(((D11786/100)*(C11786*VLOOKUP(B11786,'Poids des runes'!A:B,2,FALSE)))+1),(((D11786/100)*(C11786*VLOOKUP(B11786,'Poids des runes'!A:B,2,FALSE)))+1)/VLOOKUP(B11786,'Poids des runes'!A:B,2,FALSE))</f>
        <v>9.4600000000000009</v>
      </c>
      <c r="F11786">
        <f t="shared" si="184"/>
        <v>9.4600000000000009</v>
      </c>
    </row>
    <row r="11787" spans="1:6" x14ac:dyDescent="0.3">
      <c r="A11787" t="s">
        <v>1925</v>
      </c>
      <c r="B11787" t="s">
        <v>2151</v>
      </c>
      <c r="C11787">
        <v>2.5</v>
      </c>
      <c r="D11787">
        <v>112</v>
      </c>
      <c r="E11787">
        <f>IF(OR(B11787="vi",B11787="ii",B11787="pod"),(((D11787/100)*(C11787*VLOOKUP(B11787,'Poids des runes'!A:B,2,FALSE)))+1),(((D11787/100)*(C11787*VLOOKUP(B11787,'Poids des runes'!A:B,2,FALSE)))+1)/VLOOKUP(B11787,'Poids des runes'!A:B,2,FALSE))</f>
        <v>2.9000000000000004</v>
      </c>
      <c r="F11787">
        <f t="shared" si="184"/>
        <v>2.9000000000000004</v>
      </c>
    </row>
    <row r="11788" spans="1:6" x14ac:dyDescent="0.3">
      <c r="A11788" t="s">
        <v>1925</v>
      </c>
      <c r="B11788" t="s">
        <v>2155</v>
      </c>
      <c r="C11788">
        <v>1</v>
      </c>
      <c r="D11788">
        <v>112</v>
      </c>
      <c r="E11788">
        <f>IF(OR(B11788="vi",B11788="ii",B11788="pod"),(((D11788/100)*(C11788*VLOOKUP(B11788,'Poids des runes'!A:B,2,FALSE)))+1),(((D11788/100)*(C11788*VLOOKUP(B11788,'Poids des runes'!A:B,2,FALSE)))+1)/VLOOKUP(B11788,'Poids des runes'!A:B,2,FALSE))</f>
        <v>1.1396078431372549</v>
      </c>
      <c r="F11788">
        <f t="shared" si="184"/>
        <v>1.1396078431372549</v>
      </c>
    </row>
    <row r="11789" spans="1:6" x14ac:dyDescent="0.3">
      <c r="A11789" t="s">
        <v>1925</v>
      </c>
      <c r="B11789" t="s">
        <v>2161</v>
      </c>
      <c r="C11789">
        <v>8</v>
      </c>
      <c r="D11789">
        <v>112</v>
      </c>
      <c r="E11789">
        <f>IF(OR(B11789="vi",B11789="ii",B11789="pod"),(((D11789/100)*(C11789*VLOOKUP(B11789,'Poids des runes'!A:B,2,FALSE)))+1),(((D11789/100)*(C11789*VLOOKUP(B11789,'Poids des runes'!A:B,2,FALSE)))+1)/VLOOKUP(B11789,'Poids des runes'!A:B,2,FALSE))</f>
        <v>9.2933333333333348</v>
      </c>
      <c r="F11789">
        <f t="shared" si="184"/>
        <v>9.2933333333333348</v>
      </c>
    </row>
    <row r="11790" spans="1:6" x14ac:dyDescent="0.3">
      <c r="A11790" t="s">
        <v>1925</v>
      </c>
      <c r="B11790" t="s">
        <v>2132</v>
      </c>
      <c r="C11790">
        <v>300.5</v>
      </c>
      <c r="D11790">
        <v>112</v>
      </c>
      <c r="E11790">
        <f>IF(OR(B11790="vi",B11790="ii",B11790="pod"),(((D11790/100)*(C11790*VLOOKUP(B11790,'Poids des runes'!A:B,2,FALSE)))+1),(((D11790/100)*(C11790*VLOOKUP(B11790,'Poids des runes'!A:B,2,FALSE)))+1)/VLOOKUP(B11790,'Poids des runes'!A:B,2,FALSE))</f>
        <v>34.656000000000006</v>
      </c>
      <c r="F11790">
        <f t="shared" si="184"/>
        <v>34.656000000000006</v>
      </c>
    </row>
    <row r="11791" spans="1:6" x14ac:dyDescent="0.3">
      <c r="A11791" t="s">
        <v>1925</v>
      </c>
      <c r="B11791" t="s">
        <v>2136</v>
      </c>
      <c r="C11791">
        <v>5</v>
      </c>
      <c r="D11791">
        <v>112</v>
      </c>
      <c r="E11791">
        <f>IF(OR(B11791="vi",B11791="ii",B11791="pod"),(((D11791/100)*(C11791*VLOOKUP(B11791,'Poids des runes'!A:B,2,FALSE)))+1),(((D11791/100)*(C11791*VLOOKUP(B11791,'Poids des runes'!A:B,2,FALSE)))+1)/VLOOKUP(B11791,'Poids des runes'!A:B,2,FALSE))</f>
        <v>6.1000000000000005</v>
      </c>
      <c r="F11791">
        <f t="shared" si="184"/>
        <v>6.1000000000000005</v>
      </c>
    </row>
    <row r="11792" spans="1:6" x14ac:dyDescent="0.3">
      <c r="A11792" t="s">
        <v>1925</v>
      </c>
      <c r="B11792" t="s">
        <v>2144</v>
      </c>
      <c r="C11792">
        <v>5</v>
      </c>
      <c r="D11792">
        <v>112</v>
      </c>
      <c r="E11792">
        <f>IF(OR(B11792="vi",B11792="ii",B11792="pod"),(((D11792/100)*(C11792*VLOOKUP(B11792,'Poids des runes'!A:B,2,FALSE)))+1),(((D11792/100)*(C11792*VLOOKUP(B11792,'Poids des runes'!A:B,2,FALSE)))+1)/VLOOKUP(B11792,'Poids des runes'!A:B,2,FALSE))</f>
        <v>6.1000000000000005</v>
      </c>
      <c r="F11792">
        <f t="shared" si="184"/>
        <v>6.1000000000000005</v>
      </c>
    </row>
    <row r="11793" spans="1:6" x14ac:dyDescent="0.3">
      <c r="A11793" t="s">
        <v>1926</v>
      </c>
      <c r="B11793" t="s">
        <v>2130</v>
      </c>
      <c r="C11793">
        <v>38</v>
      </c>
      <c r="D11793">
        <v>113</v>
      </c>
      <c r="E11793">
        <f>IF(OR(B11793="vi",B11793="ii",B11793="pod"),(((D11793/100)*(C11793*VLOOKUP(B11793,'Poids des runes'!A:B,2,FALSE)))+1),(((D11793/100)*(C11793*VLOOKUP(B11793,'Poids des runes'!A:B,2,FALSE)))+1)/VLOOKUP(B11793,'Poids des runes'!A:B,2,FALSE))</f>
        <v>43.94</v>
      </c>
      <c r="F11793">
        <f t="shared" si="184"/>
        <v>43.94</v>
      </c>
    </row>
    <row r="11794" spans="1:6" x14ac:dyDescent="0.3">
      <c r="A11794" t="s">
        <v>1926</v>
      </c>
      <c r="B11794" t="s">
        <v>2127</v>
      </c>
      <c r="C11794">
        <v>38</v>
      </c>
      <c r="D11794">
        <v>113</v>
      </c>
      <c r="E11794">
        <f>IF(OR(B11794="vi",B11794="ii",B11794="pod"),(((D11794/100)*(C11794*VLOOKUP(B11794,'Poids des runes'!A:B,2,FALSE)))+1),(((D11794/100)*(C11794*VLOOKUP(B11794,'Poids des runes'!A:B,2,FALSE)))+1)/VLOOKUP(B11794,'Poids des runes'!A:B,2,FALSE))</f>
        <v>43.94</v>
      </c>
      <c r="F11794">
        <f t="shared" si="184"/>
        <v>43.94</v>
      </c>
    </row>
    <row r="11795" spans="1:6" x14ac:dyDescent="0.3">
      <c r="A11795" t="s">
        <v>1926</v>
      </c>
      <c r="B11795" t="s">
        <v>2129</v>
      </c>
      <c r="C11795">
        <v>25.5</v>
      </c>
      <c r="D11795">
        <v>113</v>
      </c>
      <c r="E11795">
        <f>IF(OR(B11795="vi",B11795="ii",B11795="pod"),(((D11795/100)*(C11795*VLOOKUP(B11795,'Poids des runes'!A:B,2,FALSE)))+1),(((D11795/100)*(C11795*VLOOKUP(B11795,'Poids des runes'!A:B,2,FALSE)))+1)/VLOOKUP(B11795,'Poids des runes'!A:B,2,FALSE))</f>
        <v>29.814999999999998</v>
      </c>
      <c r="F11795">
        <f t="shared" si="184"/>
        <v>29.814999999999998</v>
      </c>
    </row>
    <row r="11796" spans="1:6" x14ac:dyDescent="0.3">
      <c r="A11796" t="s">
        <v>1926</v>
      </c>
      <c r="B11796" t="s">
        <v>2155</v>
      </c>
      <c r="C11796">
        <v>1</v>
      </c>
      <c r="D11796">
        <v>113</v>
      </c>
      <c r="E11796">
        <f>IF(OR(B11796="vi",B11796="ii",B11796="pod"),(((D11796/100)*(C11796*VLOOKUP(B11796,'Poids des runes'!A:B,2,FALSE)))+1),(((D11796/100)*(C11796*VLOOKUP(B11796,'Poids des runes'!A:B,2,FALSE)))+1)/VLOOKUP(B11796,'Poids des runes'!A:B,2,FALSE))</f>
        <v>1.1496078431372547</v>
      </c>
      <c r="F11796">
        <f t="shared" si="184"/>
        <v>1.1496078431372547</v>
      </c>
    </row>
    <row r="11797" spans="1:6" x14ac:dyDescent="0.3">
      <c r="A11797" t="s">
        <v>1926</v>
      </c>
      <c r="B11797" t="s">
        <v>2134</v>
      </c>
      <c r="C11797">
        <v>8</v>
      </c>
      <c r="D11797">
        <v>113</v>
      </c>
      <c r="E11797">
        <f>IF(OR(B11797="vi",B11797="ii",B11797="pod"),(((D11797/100)*(C11797*VLOOKUP(B11797,'Poids des runes'!A:B,2,FALSE)))+1),(((D11797/100)*(C11797*VLOOKUP(B11797,'Poids des runes'!A:B,2,FALSE)))+1)/VLOOKUP(B11797,'Poids des runes'!A:B,2,FALSE))</f>
        <v>9.09</v>
      </c>
      <c r="F11797">
        <f t="shared" si="184"/>
        <v>9.09</v>
      </c>
    </row>
    <row r="11798" spans="1:6" x14ac:dyDescent="0.3">
      <c r="A11798" t="s">
        <v>1926</v>
      </c>
      <c r="B11798" t="s">
        <v>2161</v>
      </c>
      <c r="C11798">
        <v>9.5</v>
      </c>
      <c r="D11798">
        <v>113</v>
      </c>
      <c r="E11798">
        <f>IF(OR(B11798="vi",B11798="ii",B11798="pod"),(((D11798/100)*(C11798*VLOOKUP(B11798,'Poids des runes'!A:B,2,FALSE)))+1),(((D11798/100)*(C11798*VLOOKUP(B11798,'Poids des runes'!A:B,2,FALSE)))+1)/VLOOKUP(B11798,'Poids des runes'!A:B,2,FALSE))</f>
        <v>11.068333333333333</v>
      </c>
      <c r="F11798">
        <f t="shared" si="184"/>
        <v>11.068333333333333</v>
      </c>
    </row>
    <row r="11799" spans="1:6" x14ac:dyDescent="0.3">
      <c r="A11799" t="s">
        <v>1926</v>
      </c>
      <c r="B11799" t="s">
        <v>2157</v>
      </c>
      <c r="C11799">
        <v>4</v>
      </c>
      <c r="D11799">
        <v>113</v>
      </c>
      <c r="E11799">
        <f>IF(OR(B11799="vi",B11799="ii",B11799="pod"),(((D11799/100)*(C11799*VLOOKUP(B11799,'Poids des runes'!A:B,2,FALSE)))+1),(((D11799/100)*(C11799*VLOOKUP(B11799,'Poids des runes'!A:B,2,FALSE)))+1)/VLOOKUP(B11799,'Poids des runes'!A:B,2,FALSE))</f>
        <v>4.6866666666666665</v>
      </c>
      <c r="F11799">
        <f t="shared" si="184"/>
        <v>4.6866666666666665</v>
      </c>
    </row>
    <row r="11800" spans="1:6" x14ac:dyDescent="0.3">
      <c r="A11800" t="s">
        <v>1927</v>
      </c>
      <c r="B11800" t="s">
        <v>2128</v>
      </c>
      <c r="C11800">
        <v>85.5</v>
      </c>
      <c r="D11800">
        <v>113</v>
      </c>
      <c r="E11800">
        <f>IF(OR(B11800="vi",B11800="ii",B11800="pod"),(((D11800/100)*(C11800*VLOOKUP(B11800,'Poids des runes'!A:B,2,FALSE)))+1),(((D11800/100)*(C11800*VLOOKUP(B11800,'Poids des runes'!A:B,2,FALSE)))+1)/VLOOKUP(B11800,'Poids des runes'!A:B,2,FALSE))</f>
        <v>20.323</v>
      </c>
      <c r="F11800">
        <f t="shared" si="184"/>
        <v>20.323</v>
      </c>
    </row>
    <row r="11801" spans="1:6" x14ac:dyDescent="0.3">
      <c r="A11801" t="s">
        <v>1927</v>
      </c>
      <c r="B11801" t="s">
        <v>2127</v>
      </c>
      <c r="C11801">
        <v>40.5</v>
      </c>
      <c r="D11801">
        <v>113</v>
      </c>
      <c r="E11801">
        <f>IF(OR(B11801="vi",B11801="ii",B11801="pod"),(((D11801/100)*(C11801*VLOOKUP(B11801,'Poids des runes'!A:B,2,FALSE)))+1),(((D11801/100)*(C11801*VLOOKUP(B11801,'Poids des runes'!A:B,2,FALSE)))+1)/VLOOKUP(B11801,'Poids des runes'!A:B,2,FALSE))</f>
        <v>46.764999999999993</v>
      </c>
      <c r="F11801">
        <f t="shared" si="184"/>
        <v>46.764999999999993</v>
      </c>
    </row>
    <row r="11802" spans="1:6" x14ac:dyDescent="0.3">
      <c r="A11802" t="s">
        <v>1927</v>
      </c>
      <c r="B11802" t="s">
        <v>2129</v>
      </c>
      <c r="C11802">
        <v>33</v>
      </c>
      <c r="D11802">
        <v>113</v>
      </c>
      <c r="E11802">
        <f>IF(OR(B11802="vi",B11802="ii",B11802="pod"),(((D11802/100)*(C11802*VLOOKUP(B11802,'Poids des runes'!A:B,2,FALSE)))+1),(((D11802/100)*(C11802*VLOOKUP(B11802,'Poids des runes'!A:B,2,FALSE)))+1)/VLOOKUP(B11802,'Poids des runes'!A:B,2,FALSE))</f>
        <v>38.29</v>
      </c>
      <c r="F11802">
        <f t="shared" si="184"/>
        <v>38.29</v>
      </c>
    </row>
    <row r="11803" spans="1:6" x14ac:dyDescent="0.3">
      <c r="A11803" t="s">
        <v>1927</v>
      </c>
      <c r="B11803" t="s">
        <v>2151</v>
      </c>
      <c r="C11803">
        <v>2.5</v>
      </c>
      <c r="D11803">
        <v>113</v>
      </c>
      <c r="E11803">
        <f>IF(OR(B11803="vi",B11803="ii",B11803="pod"),(((D11803/100)*(C11803*VLOOKUP(B11803,'Poids des runes'!A:B,2,FALSE)))+1),(((D11803/100)*(C11803*VLOOKUP(B11803,'Poids des runes'!A:B,2,FALSE)))+1)/VLOOKUP(B11803,'Poids des runes'!A:B,2,FALSE))</f>
        <v>2.9249999999999998</v>
      </c>
      <c r="F11803">
        <f t="shared" si="184"/>
        <v>2.9249999999999998</v>
      </c>
    </row>
    <row r="11804" spans="1:6" x14ac:dyDescent="0.3">
      <c r="A11804" t="s">
        <v>1927</v>
      </c>
      <c r="B11804" t="s">
        <v>2161</v>
      </c>
      <c r="C11804">
        <v>8</v>
      </c>
      <c r="D11804">
        <v>113</v>
      </c>
      <c r="E11804">
        <f>IF(OR(B11804="vi",B11804="ii",B11804="pod"),(((D11804/100)*(C11804*VLOOKUP(B11804,'Poids des runes'!A:B,2,FALSE)))+1),(((D11804/100)*(C11804*VLOOKUP(B11804,'Poids des runes'!A:B,2,FALSE)))+1)/VLOOKUP(B11804,'Poids des runes'!A:B,2,FALSE))</f>
        <v>9.3733333333333331</v>
      </c>
      <c r="F11804">
        <f t="shared" si="184"/>
        <v>9.3733333333333331</v>
      </c>
    </row>
    <row r="11805" spans="1:6" x14ac:dyDescent="0.3">
      <c r="A11805" t="s">
        <v>1928</v>
      </c>
      <c r="B11805" t="s">
        <v>2128</v>
      </c>
      <c r="C11805">
        <v>175.5</v>
      </c>
      <c r="D11805">
        <v>113</v>
      </c>
      <c r="E11805">
        <f>IF(OR(B11805="vi",B11805="ii",B11805="pod"),(((D11805/100)*(C11805*VLOOKUP(B11805,'Poids des runes'!A:B,2,FALSE)))+1),(((D11805/100)*(C11805*VLOOKUP(B11805,'Poids des runes'!A:B,2,FALSE)))+1)/VLOOKUP(B11805,'Poids des runes'!A:B,2,FALSE))</f>
        <v>40.662999999999997</v>
      </c>
      <c r="F11805">
        <f t="shared" si="184"/>
        <v>40.662999999999997</v>
      </c>
    </row>
    <row r="11806" spans="1:6" x14ac:dyDescent="0.3">
      <c r="A11806" t="s">
        <v>1928</v>
      </c>
      <c r="B11806" t="s">
        <v>2126</v>
      </c>
      <c r="C11806">
        <v>40.5</v>
      </c>
      <c r="D11806">
        <v>113</v>
      </c>
      <c r="E11806">
        <f>IF(OR(B11806="vi",B11806="ii",B11806="pod"),(((D11806/100)*(C11806*VLOOKUP(B11806,'Poids des runes'!A:B,2,FALSE)))+1),(((D11806/100)*(C11806*VLOOKUP(B11806,'Poids des runes'!A:B,2,FALSE)))+1)/VLOOKUP(B11806,'Poids des runes'!A:B,2,FALSE))</f>
        <v>46.764999999999993</v>
      </c>
      <c r="F11806">
        <f t="shared" si="184"/>
        <v>46.764999999999993</v>
      </c>
    </row>
    <row r="11807" spans="1:6" x14ac:dyDescent="0.3">
      <c r="A11807" t="s">
        <v>1928</v>
      </c>
      <c r="B11807" t="s">
        <v>2129</v>
      </c>
      <c r="C11807">
        <v>30.5</v>
      </c>
      <c r="D11807">
        <v>113</v>
      </c>
      <c r="E11807">
        <f>IF(OR(B11807="vi",B11807="ii",B11807="pod"),(((D11807/100)*(C11807*VLOOKUP(B11807,'Poids des runes'!A:B,2,FALSE)))+1),(((D11807/100)*(C11807*VLOOKUP(B11807,'Poids des runes'!A:B,2,FALSE)))+1)/VLOOKUP(B11807,'Poids des runes'!A:B,2,FALSE))</f>
        <v>35.464999999999996</v>
      </c>
      <c r="F11807">
        <f t="shared" si="184"/>
        <v>35.464999999999996</v>
      </c>
    </row>
    <row r="11808" spans="1:6" x14ac:dyDescent="0.3">
      <c r="A11808" t="s">
        <v>1928</v>
      </c>
      <c r="B11808" t="s">
        <v>2150</v>
      </c>
      <c r="C11808">
        <v>1</v>
      </c>
      <c r="D11808">
        <v>113</v>
      </c>
      <c r="E11808">
        <f>IF(OR(B11808="vi",B11808="ii",B11808="pod"),(((D11808/100)*(C11808*VLOOKUP(B11808,'Poids des runes'!A:B,2,FALSE)))+1),(((D11808/100)*(C11808*VLOOKUP(B11808,'Poids des runes'!A:B,2,FALSE)))+1)/VLOOKUP(B11808,'Poids des runes'!A:B,2,FALSE))</f>
        <v>1.1633333333333333</v>
      </c>
      <c r="F11808">
        <f t="shared" si="184"/>
        <v>1.1633333333333333</v>
      </c>
    </row>
    <row r="11809" spans="1:6" x14ac:dyDescent="0.3">
      <c r="A11809" t="s">
        <v>1928</v>
      </c>
      <c r="B11809" t="s">
        <v>2140</v>
      </c>
      <c r="C11809">
        <v>8.5</v>
      </c>
      <c r="D11809">
        <v>113</v>
      </c>
      <c r="E11809">
        <f>IF(OR(B11809="vi",B11809="ii",B11809="pod"),(((D11809/100)*(C11809*VLOOKUP(B11809,'Poids des runes'!A:B,2,FALSE)))+1),(((D11809/100)*(C11809*VLOOKUP(B11809,'Poids des runes'!A:B,2,FALSE)))+1)/VLOOKUP(B11809,'Poids des runes'!A:B,2,FALSE))</f>
        <v>9.8049999999999997</v>
      </c>
      <c r="F11809">
        <f t="shared" si="184"/>
        <v>9.8049999999999997</v>
      </c>
    </row>
    <row r="11810" spans="1:6" x14ac:dyDescent="0.3">
      <c r="A11810" t="s">
        <v>1928</v>
      </c>
      <c r="B11810" t="s">
        <v>2141</v>
      </c>
      <c r="C11810">
        <v>6.5</v>
      </c>
      <c r="D11810">
        <v>113</v>
      </c>
      <c r="E11810">
        <f>IF(OR(B11810="vi",B11810="ii",B11810="pod"),(((D11810/100)*(C11810*VLOOKUP(B11810,'Poids des runes'!A:B,2,FALSE)))+1),(((D11810/100)*(C11810*VLOOKUP(B11810,'Poids des runes'!A:B,2,FALSE)))+1)/VLOOKUP(B11810,'Poids des runes'!A:B,2,FALSE))</f>
        <v>7.5949999999999989</v>
      </c>
      <c r="F11810">
        <f t="shared" si="184"/>
        <v>7.5949999999999989</v>
      </c>
    </row>
    <row r="11811" spans="1:6" x14ac:dyDescent="0.3">
      <c r="A11811" t="s">
        <v>1928</v>
      </c>
      <c r="B11811" t="s">
        <v>2157</v>
      </c>
      <c r="C11811">
        <v>3.5</v>
      </c>
      <c r="D11811">
        <v>113</v>
      </c>
      <c r="E11811">
        <f>IF(OR(B11811="vi",B11811="ii",B11811="pod"),(((D11811/100)*(C11811*VLOOKUP(B11811,'Poids des runes'!A:B,2,FALSE)))+1),(((D11811/100)*(C11811*VLOOKUP(B11811,'Poids des runes'!A:B,2,FALSE)))+1)/VLOOKUP(B11811,'Poids des runes'!A:B,2,FALSE))</f>
        <v>4.1216666666666661</v>
      </c>
      <c r="F11811">
        <f t="shared" si="184"/>
        <v>4.1216666666666661</v>
      </c>
    </row>
    <row r="11812" spans="1:6" x14ac:dyDescent="0.3">
      <c r="A11812" t="s">
        <v>1928</v>
      </c>
      <c r="B11812" t="s">
        <v>2137</v>
      </c>
      <c r="C11812">
        <v>8</v>
      </c>
      <c r="D11812">
        <v>113</v>
      </c>
      <c r="E11812">
        <f>IF(OR(B11812="vi",B11812="ii",B11812="pod"),(((D11812/100)*(C11812*VLOOKUP(B11812,'Poids des runes'!A:B,2,FALSE)))+1),(((D11812/100)*(C11812*VLOOKUP(B11812,'Poids des runes'!A:B,2,FALSE)))+1)/VLOOKUP(B11812,'Poids des runes'!A:B,2,FALSE))</f>
        <v>9.5399999999999991</v>
      </c>
      <c r="F11812">
        <f t="shared" si="184"/>
        <v>9.5399999999999991</v>
      </c>
    </row>
    <row r="11813" spans="1:6" x14ac:dyDescent="0.3">
      <c r="A11813" t="s">
        <v>1929</v>
      </c>
      <c r="B11813" t="s">
        <v>2128</v>
      </c>
      <c r="C11813">
        <v>125.5</v>
      </c>
      <c r="D11813">
        <v>113</v>
      </c>
      <c r="E11813">
        <f>IF(OR(B11813="vi",B11813="ii",B11813="pod"),(((D11813/100)*(C11813*VLOOKUP(B11813,'Poids des runes'!A:B,2,FALSE)))+1),(((D11813/100)*(C11813*VLOOKUP(B11813,'Poids des runes'!A:B,2,FALSE)))+1)/VLOOKUP(B11813,'Poids des runes'!A:B,2,FALSE))</f>
        <v>29.363</v>
      </c>
      <c r="F11813">
        <f t="shared" si="184"/>
        <v>29.363</v>
      </c>
    </row>
    <row r="11814" spans="1:6" x14ac:dyDescent="0.3">
      <c r="A11814" t="s">
        <v>1929</v>
      </c>
      <c r="B11814" t="s">
        <v>2126</v>
      </c>
      <c r="C11814">
        <v>33</v>
      </c>
      <c r="D11814">
        <v>113</v>
      </c>
      <c r="E11814">
        <f>IF(OR(B11814="vi",B11814="ii",B11814="pod"),(((D11814/100)*(C11814*VLOOKUP(B11814,'Poids des runes'!A:B,2,FALSE)))+1),(((D11814/100)*(C11814*VLOOKUP(B11814,'Poids des runes'!A:B,2,FALSE)))+1)/VLOOKUP(B11814,'Poids des runes'!A:B,2,FALSE))</f>
        <v>38.29</v>
      </c>
      <c r="F11814">
        <f t="shared" si="184"/>
        <v>38.29</v>
      </c>
    </row>
    <row r="11815" spans="1:6" x14ac:dyDescent="0.3">
      <c r="A11815" t="s">
        <v>1929</v>
      </c>
      <c r="B11815" t="s">
        <v>2127</v>
      </c>
      <c r="C11815">
        <v>33</v>
      </c>
      <c r="D11815">
        <v>113</v>
      </c>
      <c r="E11815">
        <f>IF(OR(B11815="vi",B11815="ii",B11815="pod"),(((D11815/100)*(C11815*VLOOKUP(B11815,'Poids des runes'!A:B,2,FALSE)))+1),(((D11815/100)*(C11815*VLOOKUP(B11815,'Poids des runes'!A:B,2,FALSE)))+1)/VLOOKUP(B11815,'Poids des runes'!A:B,2,FALSE))</f>
        <v>38.29</v>
      </c>
      <c r="F11815">
        <f t="shared" si="184"/>
        <v>38.29</v>
      </c>
    </row>
    <row r="11816" spans="1:6" x14ac:dyDescent="0.3">
      <c r="A11816" t="s">
        <v>1929</v>
      </c>
      <c r="B11816" t="s">
        <v>2155</v>
      </c>
      <c r="C11816">
        <v>1</v>
      </c>
      <c r="D11816">
        <v>113</v>
      </c>
      <c r="E11816">
        <f>IF(OR(B11816="vi",B11816="ii",B11816="pod"),(((D11816/100)*(C11816*VLOOKUP(B11816,'Poids des runes'!A:B,2,FALSE)))+1),(((D11816/100)*(C11816*VLOOKUP(B11816,'Poids des runes'!A:B,2,FALSE)))+1)/VLOOKUP(B11816,'Poids des runes'!A:B,2,FALSE))</f>
        <v>1.1496078431372547</v>
      </c>
      <c r="F11816">
        <f t="shared" si="184"/>
        <v>1.1496078431372547</v>
      </c>
    </row>
    <row r="11817" spans="1:6" x14ac:dyDescent="0.3">
      <c r="A11817" t="s">
        <v>1929</v>
      </c>
      <c r="B11817" t="s">
        <v>2134</v>
      </c>
      <c r="C11817">
        <v>4.5</v>
      </c>
      <c r="D11817">
        <v>113</v>
      </c>
      <c r="E11817">
        <f>IF(OR(B11817="vi",B11817="ii",B11817="pod"),(((D11817/100)*(C11817*VLOOKUP(B11817,'Poids des runes'!A:B,2,FALSE)))+1),(((D11817/100)*(C11817*VLOOKUP(B11817,'Poids des runes'!A:B,2,FALSE)))+1)/VLOOKUP(B11817,'Poids des runes'!A:B,2,FALSE))</f>
        <v>5.1349999999999998</v>
      </c>
      <c r="F11817">
        <f t="shared" si="184"/>
        <v>5.1349999999999998</v>
      </c>
    </row>
    <row r="11818" spans="1:6" x14ac:dyDescent="0.3">
      <c r="A11818" t="s">
        <v>1929</v>
      </c>
      <c r="B11818" t="s">
        <v>2149</v>
      </c>
      <c r="C11818">
        <v>4.5</v>
      </c>
      <c r="D11818">
        <v>113</v>
      </c>
      <c r="E11818">
        <f>IF(OR(B11818="vi",B11818="ii",B11818="pod"),(((D11818/100)*(C11818*VLOOKUP(B11818,'Poids des runes'!A:B,2,FALSE)))+1),(((D11818/100)*(C11818*VLOOKUP(B11818,'Poids des runes'!A:B,2,FALSE)))+1)/VLOOKUP(B11818,'Poids des runes'!A:B,2,FALSE))</f>
        <v>5.1849999999999996</v>
      </c>
      <c r="F11818">
        <f t="shared" si="184"/>
        <v>5.1849999999999996</v>
      </c>
    </row>
    <row r="11819" spans="1:6" x14ac:dyDescent="0.3">
      <c r="A11819" t="s">
        <v>1930</v>
      </c>
      <c r="B11819" t="s">
        <v>2128</v>
      </c>
      <c r="C11819">
        <v>125.5</v>
      </c>
      <c r="D11819">
        <v>114</v>
      </c>
      <c r="E11819">
        <f>IF(OR(B11819="vi",B11819="ii",B11819="pod"),(((D11819/100)*(C11819*VLOOKUP(B11819,'Poids des runes'!A:B,2,FALSE)))+1),(((D11819/100)*(C11819*VLOOKUP(B11819,'Poids des runes'!A:B,2,FALSE)))+1)/VLOOKUP(B11819,'Poids des runes'!A:B,2,FALSE))</f>
        <v>29.614000000000001</v>
      </c>
      <c r="F11819">
        <f t="shared" si="184"/>
        <v>29.614000000000001</v>
      </c>
    </row>
    <row r="11820" spans="1:6" x14ac:dyDescent="0.3">
      <c r="A11820" t="s">
        <v>1930</v>
      </c>
      <c r="B11820" t="s">
        <v>2126</v>
      </c>
      <c r="C11820">
        <v>30.5</v>
      </c>
      <c r="D11820">
        <v>114</v>
      </c>
      <c r="E11820">
        <f>IF(OR(B11820="vi",B11820="ii",B11820="pod"),(((D11820/100)*(C11820*VLOOKUP(B11820,'Poids des runes'!A:B,2,FALSE)))+1),(((D11820/100)*(C11820*VLOOKUP(B11820,'Poids des runes'!A:B,2,FALSE)))+1)/VLOOKUP(B11820,'Poids des runes'!A:B,2,FALSE))</f>
        <v>35.769999999999996</v>
      </c>
      <c r="F11820">
        <f t="shared" si="184"/>
        <v>35.769999999999996</v>
      </c>
    </row>
    <row r="11821" spans="1:6" x14ac:dyDescent="0.3">
      <c r="A11821" t="s">
        <v>1930</v>
      </c>
      <c r="B11821" t="s">
        <v>2129</v>
      </c>
      <c r="C11821">
        <v>23</v>
      </c>
      <c r="D11821">
        <v>114</v>
      </c>
      <c r="E11821">
        <f>IF(OR(B11821="vi",B11821="ii",B11821="pod"),(((D11821/100)*(C11821*VLOOKUP(B11821,'Poids des runes'!A:B,2,FALSE)))+1),(((D11821/100)*(C11821*VLOOKUP(B11821,'Poids des runes'!A:B,2,FALSE)))+1)/VLOOKUP(B11821,'Poids des runes'!A:B,2,FALSE))</f>
        <v>27.22</v>
      </c>
      <c r="F11821">
        <f t="shared" si="184"/>
        <v>27.22</v>
      </c>
    </row>
    <row r="11822" spans="1:6" x14ac:dyDescent="0.3">
      <c r="A11822" t="s">
        <v>1930</v>
      </c>
      <c r="B11822" t="s">
        <v>2151</v>
      </c>
      <c r="C11822">
        <v>2.5</v>
      </c>
      <c r="D11822">
        <v>114</v>
      </c>
      <c r="E11822">
        <f>IF(OR(B11822="vi",B11822="ii",B11822="pod"),(((D11822/100)*(C11822*VLOOKUP(B11822,'Poids des runes'!A:B,2,FALSE)))+1),(((D11822/100)*(C11822*VLOOKUP(B11822,'Poids des runes'!A:B,2,FALSE)))+1)/VLOOKUP(B11822,'Poids des runes'!A:B,2,FALSE))</f>
        <v>2.9499999999999997</v>
      </c>
      <c r="F11822">
        <f t="shared" si="184"/>
        <v>2.9499999999999997</v>
      </c>
    </row>
    <row r="11823" spans="1:6" x14ac:dyDescent="0.3">
      <c r="A11823" t="s">
        <v>1930</v>
      </c>
      <c r="B11823" t="s">
        <v>2150</v>
      </c>
      <c r="C11823">
        <v>1</v>
      </c>
      <c r="D11823">
        <v>114</v>
      </c>
      <c r="E11823">
        <f>IF(OR(B11823="vi",B11823="ii",B11823="pod"),(((D11823/100)*(C11823*VLOOKUP(B11823,'Poids des runes'!A:B,2,FALSE)))+1),(((D11823/100)*(C11823*VLOOKUP(B11823,'Poids des runes'!A:B,2,FALSE)))+1)/VLOOKUP(B11823,'Poids des runes'!A:B,2,FALSE))</f>
        <v>1.1733333333333331</v>
      </c>
      <c r="F11823">
        <f t="shared" si="184"/>
        <v>1.1733333333333331</v>
      </c>
    </row>
    <row r="11824" spans="1:6" x14ac:dyDescent="0.3">
      <c r="A11824" t="s">
        <v>1930</v>
      </c>
      <c r="B11824" t="s">
        <v>2140</v>
      </c>
      <c r="C11824">
        <v>6</v>
      </c>
      <c r="D11824">
        <v>114</v>
      </c>
      <c r="E11824">
        <f>IF(OR(B11824="vi",B11824="ii",B11824="pod"),(((D11824/100)*(C11824*VLOOKUP(B11824,'Poids des runes'!A:B,2,FALSE)))+1),(((D11824/100)*(C11824*VLOOKUP(B11824,'Poids des runes'!A:B,2,FALSE)))+1)/VLOOKUP(B11824,'Poids des runes'!A:B,2,FALSE))</f>
        <v>7.0399999999999991</v>
      </c>
      <c r="F11824">
        <f t="shared" si="184"/>
        <v>7.0399999999999991</v>
      </c>
    </row>
    <row r="11825" spans="1:6" x14ac:dyDescent="0.3">
      <c r="A11825" t="s">
        <v>1930</v>
      </c>
      <c r="B11825" t="s">
        <v>2149</v>
      </c>
      <c r="C11825">
        <v>6.5</v>
      </c>
      <c r="D11825">
        <v>114</v>
      </c>
      <c r="E11825">
        <f>IF(OR(B11825="vi",B11825="ii",B11825="pod"),(((D11825/100)*(C11825*VLOOKUP(B11825,'Poids des runes'!A:B,2,FALSE)))+1),(((D11825/100)*(C11825*VLOOKUP(B11825,'Poids des runes'!A:B,2,FALSE)))+1)/VLOOKUP(B11825,'Poids des runes'!A:B,2,FALSE))</f>
        <v>7.51</v>
      </c>
      <c r="F11825">
        <f t="shared" si="184"/>
        <v>7.51</v>
      </c>
    </row>
    <row r="11826" spans="1:6" x14ac:dyDescent="0.3">
      <c r="A11826" t="s">
        <v>1930</v>
      </c>
      <c r="B11826" t="s">
        <v>2161</v>
      </c>
      <c r="C11826">
        <v>8</v>
      </c>
      <c r="D11826">
        <v>114</v>
      </c>
      <c r="E11826">
        <f>IF(OR(B11826="vi",B11826="ii",B11826="pod"),(((D11826/100)*(C11826*VLOOKUP(B11826,'Poids des runes'!A:B,2,FALSE)))+1),(((D11826/100)*(C11826*VLOOKUP(B11826,'Poids des runes'!A:B,2,FALSE)))+1)/VLOOKUP(B11826,'Poids des runes'!A:B,2,FALSE))</f>
        <v>9.4533333333333331</v>
      </c>
      <c r="F11826">
        <f t="shared" si="184"/>
        <v>9.4533333333333331</v>
      </c>
    </row>
    <row r="11827" spans="1:6" x14ac:dyDescent="0.3">
      <c r="A11827" t="s">
        <v>1930</v>
      </c>
      <c r="B11827" t="s">
        <v>2135</v>
      </c>
      <c r="C11827">
        <v>3.5</v>
      </c>
      <c r="D11827">
        <v>114</v>
      </c>
      <c r="E11827">
        <f>IF(OR(B11827="vi",B11827="ii",B11827="pod"),(((D11827/100)*(C11827*VLOOKUP(B11827,'Poids des runes'!A:B,2,FALSE)))+1),(((D11827/100)*(C11827*VLOOKUP(B11827,'Poids des runes'!A:B,2,FALSE)))+1)/VLOOKUP(B11827,'Poids des runes'!A:B,2,FALSE))</f>
        <v>4.1566666666666663</v>
      </c>
      <c r="F11827">
        <f t="shared" si="184"/>
        <v>4.1566666666666663</v>
      </c>
    </row>
    <row r="11828" spans="1:6" x14ac:dyDescent="0.3">
      <c r="A11828" t="s">
        <v>1931</v>
      </c>
      <c r="B11828" t="s">
        <v>2128</v>
      </c>
      <c r="C11828">
        <v>175.5</v>
      </c>
      <c r="D11828">
        <v>115</v>
      </c>
      <c r="E11828">
        <f>IF(OR(B11828="vi",B11828="ii",B11828="pod"),(((D11828/100)*(C11828*VLOOKUP(B11828,'Poids des runes'!A:B,2,FALSE)))+1),(((D11828/100)*(C11828*VLOOKUP(B11828,'Poids des runes'!A:B,2,FALSE)))+1)/VLOOKUP(B11828,'Poids des runes'!A:B,2,FALSE))</f>
        <v>41.365000000000002</v>
      </c>
      <c r="F11828">
        <f t="shared" si="184"/>
        <v>41.365000000000002</v>
      </c>
    </row>
    <row r="11829" spans="1:6" x14ac:dyDescent="0.3">
      <c r="A11829" t="s">
        <v>1931</v>
      </c>
      <c r="B11829" t="s">
        <v>2131</v>
      </c>
      <c r="C11829">
        <v>33</v>
      </c>
      <c r="D11829">
        <v>115</v>
      </c>
      <c r="E11829">
        <f>IF(OR(B11829="vi",B11829="ii",B11829="pod"),(((D11829/100)*(C11829*VLOOKUP(B11829,'Poids des runes'!A:B,2,FALSE)))+1),(((D11829/100)*(C11829*VLOOKUP(B11829,'Poids des runes'!A:B,2,FALSE)))+1)/VLOOKUP(B11829,'Poids des runes'!A:B,2,FALSE))</f>
        <v>38.949999999999996</v>
      </c>
      <c r="F11829">
        <f t="shared" si="184"/>
        <v>38.949999999999996</v>
      </c>
    </row>
    <row r="11830" spans="1:6" x14ac:dyDescent="0.3">
      <c r="A11830" t="s">
        <v>1931</v>
      </c>
      <c r="B11830" t="s">
        <v>2129</v>
      </c>
      <c r="C11830">
        <v>23</v>
      </c>
      <c r="D11830">
        <v>115</v>
      </c>
      <c r="E11830">
        <f>IF(OR(B11830="vi",B11830="ii",B11830="pod"),(((D11830/100)*(C11830*VLOOKUP(B11830,'Poids des runes'!A:B,2,FALSE)))+1),(((D11830/100)*(C11830*VLOOKUP(B11830,'Poids des runes'!A:B,2,FALSE)))+1)/VLOOKUP(B11830,'Poids des runes'!A:B,2,FALSE))</f>
        <v>27.45</v>
      </c>
      <c r="F11830">
        <f t="shared" si="184"/>
        <v>27.45</v>
      </c>
    </row>
    <row r="11831" spans="1:6" x14ac:dyDescent="0.3">
      <c r="A11831" t="s">
        <v>1931</v>
      </c>
      <c r="B11831" t="s">
        <v>2161</v>
      </c>
      <c r="C11831">
        <v>13</v>
      </c>
      <c r="D11831">
        <v>115</v>
      </c>
      <c r="E11831">
        <f>IF(OR(B11831="vi",B11831="ii",B11831="pod"),(((D11831/100)*(C11831*VLOOKUP(B11831,'Poids des runes'!A:B,2,FALSE)))+1),(((D11831/100)*(C11831*VLOOKUP(B11831,'Poids des runes'!A:B,2,FALSE)))+1)/VLOOKUP(B11831,'Poids des runes'!A:B,2,FALSE))</f>
        <v>15.283333333333331</v>
      </c>
      <c r="F11831">
        <f t="shared" si="184"/>
        <v>15.283333333333331</v>
      </c>
    </row>
    <row r="11832" spans="1:6" x14ac:dyDescent="0.3">
      <c r="A11832" t="s">
        <v>1931</v>
      </c>
      <c r="B11832" t="s">
        <v>2132</v>
      </c>
      <c r="C11832">
        <v>125.5</v>
      </c>
      <c r="D11832">
        <v>115</v>
      </c>
      <c r="E11832">
        <f>IF(OR(B11832="vi",B11832="ii",B11832="pod"),(((D11832/100)*(C11832*VLOOKUP(B11832,'Poids des runes'!A:B,2,FALSE)))+1),(((D11832/100)*(C11832*VLOOKUP(B11832,'Poids des runes'!A:B,2,FALSE)))+1)/VLOOKUP(B11832,'Poids des runes'!A:B,2,FALSE))</f>
        <v>15.432499999999999</v>
      </c>
      <c r="F11832">
        <f t="shared" si="184"/>
        <v>15.432499999999999</v>
      </c>
    </row>
    <row r="11833" spans="1:6" x14ac:dyDescent="0.3">
      <c r="A11833" t="s">
        <v>1932</v>
      </c>
      <c r="B11833" t="s">
        <v>2128</v>
      </c>
      <c r="C11833">
        <v>85.5</v>
      </c>
      <c r="D11833">
        <v>116</v>
      </c>
      <c r="E11833">
        <f>IF(OR(B11833="vi",B11833="ii",B11833="pod"),(((D11833/100)*(C11833*VLOOKUP(B11833,'Poids des runes'!A:B,2,FALSE)))+1),(((D11833/100)*(C11833*VLOOKUP(B11833,'Poids des runes'!A:B,2,FALSE)))+1)/VLOOKUP(B11833,'Poids des runes'!A:B,2,FALSE))</f>
        <v>20.835999999999999</v>
      </c>
      <c r="F11833">
        <f t="shared" si="184"/>
        <v>20.835999999999999</v>
      </c>
    </row>
    <row r="11834" spans="1:6" x14ac:dyDescent="0.3">
      <c r="A11834" t="s">
        <v>1932</v>
      </c>
      <c r="B11834" t="s">
        <v>2127</v>
      </c>
      <c r="C11834">
        <v>40.5</v>
      </c>
      <c r="D11834">
        <v>116</v>
      </c>
      <c r="E11834">
        <f>IF(OR(B11834="vi",B11834="ii",B11834="pod"),(((D11834/100)*(C11834*VLOOKUP(B11834,'Poids des runes'!A:B,2,FALSE)))+1),(((D11834/100)*(C11834*VLOOKUP(B11834,'Poids des runes'!A:B,2,FALSE)))+1)/VLOOKUP(B11834,'Poids des runes'!A:B,2,FALSE))</f>
        <v>47.98</v>
      </c>
      <c r="F11834">
        <f t="shared" si="184"/>
        <v>47.98</v>
      </c>
    </row>
    <row r="11835" spans="1:6" x14ac:dyDescent="0.3">
      <c r="A11835" t="s">
        <v>1932</v>
      </c>
      <c r="B11835" t="s">
        <v>2129</v>
      </c>
      <c r="C11835">
        <v>15.5</v>
      </c>
      <c r="D11835">
        <v>116</v>
      </c>
      <c r="E11835">
        <f>IF(OR(B11835="vi",B11835="ii",B11835="pod"),(((D11835/100)*(C11835*VLOOKUP(B11835,'Poids des runes'!A:B,2,FALSE)))+1),(((D11835/100)*(C11835*VLOOKUP(B11835,'Poids des runes'!A:B,2,FALSE)))+1)/VLOOKUP(B11835,'Poids des runes'!A:B,2,FALSE))</f>
        <v>18.98</v>
      </c>
      <c r="F11835">
        <f t="shared" si="184"/>
        <v>18.98</v>
      </c>
    </row>
    <row r="11836" spans="1:6" x14ac:dyDescent="0.3">
      <c r="A11836" t="s">
        <v>1932</v>
      </c>
      <c r="B11836" t="s">
        <v>2155</v>
      </c>
      <c r="C11836">
        <v>1</v>
      </c>
      <c r="D11836">
        <v>116</v>
      </c>
      <c r="E11836">
        <f>IF(OR(B11836="vi",B11836="ii",B11836="pod"),(((D11836/100)*(C11836*VLOOKUP(B11836,'Poids des runes'!A:B,2,FALSE)))+1),(((D11836/100)*(C11836*VLOOKUP(B11836,'Poids des runes'!A:B,2,FALSE)))+1)/VLOOKUP(B11836,'Poids des runes'!A:B,2,FALSE))</f>
        <v>1.1796078431372548</v>
      </c>
      <c r="F11836">
        <f t="shared" si="184"/>
        <v>1.1796078431372548</v>
      </c>
    </row>
    <row r="11837" spans="1:6" x14ac:dyDescent="0.3">
      <c r="A11837" t="s">
        <v>1932</v>
      </c>
      <c r="B11837" t="s">
        <v>2134</v>
      </c>
      <c r="C11837">
        <v>5</v>
      </c>
      <c r="D11837">
        <v>116</v>
      </c>
      <c r="E11837">
        <f>IF(OR(B11837="vi",B11837="ii",B11837="pod"),(((D11837/100)*(C11837*VLOOKUP(B11837,'Poids des runes'!A:B,2,FALSE)))+1),(((D11837/100)*(C11837*VLOOKUP(B11837,'Poids des runes'!A:B,2,FALSE)))+1)/VLOOKUP(B11837,'Poids des runes'!A:B,2,FALSE))</f>
        <v>5.85</v>
      </c>
      <c r="F11837">
        <f t="shared" si="184"/>
        <v>5.85</v>
      </c>
    </row>
    <row r="11838" spans="1:6" x14ac:dyDescent="0.3">
      <c r="A11838" t="s">
        <v>1932</v>
      </c>
      <c r="B11838" t="s">
        <v>2161</v>
      </c>
      <c r="C11838">
        <v>10.5</v>
      </c>
      <c r="D11838">
        <v>116</v>
      </c>
      <c r="E11838">
        <f>IF(OR(B11838="vi",B11838="ii",B11838="pod"),(((D11838/100)*(C11838*VLOOKUP(B11838,'Poids des runes'!A:B,2,FALSE)))+1),(((D11838/100)*(C11838*VLOOKUP(B11838,'Poids des runes'!A:B,2,FALSE)))+1)/VLOOKUP(B11838,'Poids des runes'!A:B,2,FALSE))</f>
        <v>12.513333333333334</v>
      </c>
      <c r="F11838">
        <f t="shared" si="184"/>
        <v>12.513333333333334</v>
      </c>
    </row>
    <row r="11839" spans="1:6" x14ac:dyDescent="0.3">
      <c r="A11839" t="s">
        <v>1932</v>
      </c>
      <c r="B11839" t="s">
        <v>2136</v>
      </c>
      <c r="C11839">
        <v>8</v>
      </c>
      <c r="D11839">
        <v>116</v>
      </c>
      <c r="E11839">
        <f>IF(OR(B11839="vi",B11839="ii",B11839="pod"),(((D11839/100)*(C11839*VLOOKUP(B11839,'Poids des runes'!A:B,2,FALSE)))+1),(((D11839/100)*(C11839*VLOOKUP(B11839,'Poids des runes'!A:B,2,FALSE)))+1)/VLOOKUP(B11839,'Poids des runes'!A:B,2,FALSE))</f>
        <v>9.7799999999999994</v>
      </c>
      <c r="F11839">
        <f t="shared" si="184"/>
        <v>9.7799999999999994</v>
      </c>
    </row>
    <row r="11840" spans="1:6" x14ac:dyDescent="0.3">
      <c r="A11840" t="s">
        <v>1932</v>
      </c>
      <c r="B11840" t="s">
        <v>2137</v>
      </c>
      <c r="C11840">
        <v>8</v>
      </c>
      <c r="D11840">
        <v>116</v>
      </c>
      <c r="E11840">
        <f>IF(OR(B11840="vi",B11840="ii",B11840="pod"),(((D11840/100)*(C11840*VLOOKUP(B11840,'Poids des runes'!A:B,2,FALSE)))+1),(((D11840/100)*(C11840*VLOOKUP(B11840,'Poids des runes'!A:B,2,FALSE)))+1)/VLOOKUP(B11840,'Poids des runes'!A:B,2,FALSE))</f>
        <v>9.7799999999999994</v>
      </c>
      <c r="F11840">
        <f t="shared" si="184"/>
        <v>9.7799999999999994</v>
      </c>
    </row>
    <row r="11841" spans="1:6" x14ac:dyDescent="0.3">
      <c r="A11841" t="s">
        <v>1932</v>
      </c>
      <c r="B11841" t="s">
        <v>2144</v>
      </c>
      <c r="C11841">
        <v>8</v>
      </c>
      <c r="D11841">
        <v>116</v>
      </c>
      <c r="E11841">
        <f>IF(OR(B11841="vi",B11841="ii",B11841="pod"),(((D11841/100)*(C11841*VLOOKUP(B11841,'Poids des runes'!A:B,2,FALSE)))+1),(((D11841/100)*(C11841*VLOOKUP(B11841,'Poids des runes'!A:B,2,FALSE)))+1)/VLOOKUP(B11841,'Poids des runes'!A:B,2,FALSE))</f>
        <v>9.7799999999999994</v>
      </c>
      <c r="F11841">
        <f t="shared" si="184"/>
        <v>9.7799999999999994</v>
      </c>
    </row>
    <row r="11842" spans="1:6" x14ac:dyDescent="0.3">
      <c r="A11842" t="s">
        <v>1932</v>
      </c>
      <c r="B11842" t="s">
        <v>2145</v>
      </c>
      <c r="C11842">
        <v>8</v>
      </c>
      <c r="D11842">
        <v>116</v>
      </c>
      <c r="E11842">
        <f>IF(OR(B11842="vi",B11842="ii",B11842="pod"),(((D11842/100)*(C11842*VLOOKUP(B11842,'Poids des runes'!A:B,2,FALSE)))+1),(((D11842/100)*(C11842*VLOOKUP(B11842,'Poids des runes'!A:B,2,FALSE)))+1)/VLOOKUP(B11842,'Poids des runes'!A:B,2,FALSE))</f>
        <v>9.7799999999999994</v>
      </c>
      <c r="F11842">
        <f t="shared" si="184"/>
        <v>9.7799999999999994</v>
      </c>
    </row>
    <row r="11843" spans="1:6" x14ac:dyDescent="0.3">
      <c r="A11843" t="s">
        <v>1932</v>
      </c>
      <c r="B11843" t="s">
        <v>2146</v>
      </c>
      <c r="C11843">
        <v>8</v>
      </c>
      <c r="D11843">
        <v>116</v>
      </c>
      <c r="E11843">
        <f>IF(OR(B11843="vi",B11843="ii",B11843="pod"),(((D11843/100)*(C11843*VLOOKUP(B11843,'Poids des runes'!A:B,2,FALSE)))+1),(((D11843/100)*(C11843*VLOOKUP(B11843,'Poids des runes'!A:B,2,FALSE)))+1)/VLOOKUP(B11843,'Poids des runes'!A:B,2,FALSE))</f>
        <v>9.7799999999999994</v>
      </c>
      <c r="F11843">
        <f t="shared" ref="F11843:F11906" si="185">E11843</f>
        <v>9.7799999999999994</v>
      </c>
    </row>
    <row r="11844" spans="1:6" x14ac:dyDescent="0.3">
      <c r="A11844" t="s">
        <v>1933</v>
      </c>
      <c r="B11844" t="s">
        <v>2128</v>
      </c>
      <c r="C11844">
        <v>125.5</v>
      </c>
      <c r="D11844">
        <v>120</v>
      </c>
      <c r="E11844">
        <f>IF(OR(B11844="vi",B11844="ii",B11844="pod"),(((D11844/100)*(C11844*VLOOKUP(B11844,'Poids des runes'!A:B,2,FALSE)))+1),(((D11844/100)*(C11844*VLOOKUP(B11844,'Poids des runes'!A:B,2,FALSE)))+1)/VLOOKUP(B11844,'Poids des runes'!A:B,2,FALSE))</f>
        <v>31.12</v>
      </c>
      <c r="F11844">
        <f t="shared" si="185"/>
        <v>31.12</v>
      </c>
    </row>
    <row r="11845" spans="1:6" x14ac:dyDescent="0.3">
      <c r="A11845" t="s">
        <v>1933</v>
      </c>
      <c r="B11845" t="s">
        <v>2130</v>
      </c>
      <c r="C11845">
        <v>30.5</v>
      </c>
      <c r="D11845">
        <v>120</v>
      </c>
      <c r="E11845">
        <f>IF(OR(B11845="vi",B11845="ii",B11845="pod"),(((D11845/100)*(C11845*VLOOKUP(B11845,'Poids des runes'!A:B,2,FALSE)))+1),(((D11845/100)*(C11845*VLOOKUP(B11845,'Poids des runes'!A:B,2,FALSE)))+1)/VLOOKUP(B11845,'Poids des runes'!A:B,2,FALSE))</f>
        <v>37.6</v>
      </c>
      <c r="F11845">
        <f t="shared" si="185"/>
        <v>37.6</v>
      </c>
    </row>
    <row r="11846" spans="1:6" x14ac:dyDescent="0.3">
      <c r="A11846" t="s">
        <v>1933</v>
      </c>
      <c r="B11846" t="s">
        <v>2127</v>
      </c>
      <c r="C11846">
        <v>30.5</v>
      </c>
      <c r="D11846">
        <v>120</v>
      </c>
      <c r="E11846">
        <f>IF(OR(B11846="vi",B11846="ii",B11846="pod"),(((D11846/100)*(C11846*VLOOKUP(B11846,'Poids des runes'!A:B,2,FALSE)))+1),(((D11846/100)*(C11846*VLOOKUP(B11846,'Poids des runes'!A:B,2,FALSE)))+1)/VLOOKUP(B11846,'Poids des runes'!A:B,2,FALSE))</f>
        <v>37.6</v>
      </c>
      <c r="F11846">
        <f t="shared" si="185"/>
        <v>37.6</v>
      </c>
    </row>
    <row r="11847" spans="1:6" x14ac:dyDescent="0.3">
      <c r="A11847" t="s">
        <v>1933</v>
      </c>
      <c r="B11847" t="s">
        <v>2134</v>
      </c>
      <c r="C11847">
        <v>8</v>
      </c>
      <c r="D11847">
        <v>120</v>
      </c>
      <c r="E11847">
        <f>IF(OR(B11847="vi",B11847="ii",B11847="pod"),(((D11847/100)*(C11847*VLOOKUP(B11847,'Poids des runes'!A:B,2,FALSE)))+1),(((D11847/100)*(C11847*VLOOKUP(B11847,'Poids des runes'!A:B,2,FALSE)))+1)/VLOOKUP(B11847,'Poids des runes'!A:B,2,FALSE))</f>
        <v>9.65</v>
      </c>
      <c r="F11847">
        <f t="shared" si="185"/>
        <v>9.65</v>
      </c>
    </row>
    <row r="11848" spans="1:6" x14ac:dyDescent="0.3">
      <c r="A11848" t="s">
        <v>1933</v>
      </c>
      <c r="B11848" t="s">
        <v>2161</v>
      </c>
      <c r="C11848">
        <v>13</v>
      </c>
      <c r="D11848">
        <v>120</v>
      </c>
      <c r="E11848">
        <f>IF(OR(B11848="vi",B11848="ii",B11848="pod"),(((D11848/100)*(C11848*VLOOKUP(B11848,'Poids des runes'!A:B,2,FALSE)))+1),(((D11848/100)*(C11848*VLOOKUP(B11848,'Poids des runes'!A:B,2,FALSE)))+1)/VLOOKUP(B11848,'Poids des runes'!A:B,2,FALSE))</f>
        <v>15.933333333333332</v>
      </c>
      <c r="F11848">
        <f t="shared" si="185"/>
        <v>15.933333333333332</v>
      </c>
    </row>
    <row r="11849" spans="1:6" x14ac:dyDescent="0.3">
      <c r="A11849" t="s">
        <v>1933</v>
      </c>
      <c r="B11849" t="s">
        <v>2147</v>
      </c>
      <c r="C11849">
        <v>3.5</v>
      </c>
      <c r="D11849">
        <v>120</v>
      </c>
      <c r="E11849">
        <f>IF(OR(B11849="vi",B11849="ii",B11849="pod"),(((D11849/100)*(C11849*VLOOKUP(B11849,'Poids des runes'!A:B,2,FALSE)))+1),(((D11849/100)*(C11849*VLOOKUP(B11849,'Poids des runes'!A:B,2,FALSE)))+1)/VLOOKUP(B11849,'Poids des runes'!A:B,2,FALSE))</f>
        <v>4.3666666666666663</v>
      </c>
      <c r="F11849">
        <f t="shared" si="185"/>
        <v>4.3666666666666663</v>
      </c>
    </row>
    <row r="11850" spans="1:6" x14ac:dyDescent="0.3">
      <c r="A11850" t="s">
        <v>1933</v>
      </c>
      <c r="B11850" t="s">
        <v>2157</v>
      </c>
      <c r="C11850">
        <v>3.5</v>
      </c>
      <c r="D11850">
        <v>120</v>
      </c>
      <c r="E11850">
        <f>IF(OR(B11850="vi",B11850="ii",B11850="pod"),(((D11850/100)*(C11850*VLOOKUP(B11850,'Poids des runes'!A:B,2,FALSE)))+1),(((D11850/100)*(C11850*VLOOKUP(B11850,'Poids des runes'!A:B,2,FALSE)))+1)/VLOOKUP(B11850,'Poids des runes'!A:B,2,FALSE))</f>
        <v>4.3666666666666663</v>
      </c>
      <c r="F11850">
        <f t="shared" si="185"/>
        <v>4.3666666666666663</v>
      </c>
    </row>
    <row r="11851" spans="1:6" x14ac:dyDescent="0.3">
      <c r="A11851" t="s">
        <v>1934</v>
      </c>
      <c r="B11851" t="s">
        <v>2131</v>
      </c>
      <c r="C11851">
        <v>30.5</v>
      </c>
      <c r="D11851">
        <v>120</v>
      </c>
      <c r="E11851">
        <f>IF(OR(B11851="vi",B11851="ii",B11851="pod"),(((D11851/100)*(C11851*VLOOKUP(B11851,'Poids des runes'!A:B,2,FALSE)))+1),(((D11851/100)*(C11851*VLOOKUP(B11851,'Poids des runes'!A:B,2,FALSE)))+1)/VLOOKUP(B11851,'Poids des runes'!A:B,2,FALSE))</f>
        <v>37.6</v>
      </c>
      <c r="F11851">
        <f t="shared" si="185"/>
        <v>37.6</v>
      </c>
    </row>
    <row r="11852" spans="1:6" x14ac:dyDescent="0.3">
      <c r="A11852" t="s">
        <v>1934</v>
      </c>
      <c r="B11852" t="s">
        <v>2127</v>
      </c>
      <c r="C11852">
        <v>30.5</v>
      </c>
      <c r="D11852">
        <v>120</v>
      </c>
      <c r="E11852">
        <f>IF(OR(B11852="vi",B11852="ii",B11852="pod"),(((D11852/100)*(C11852*VLOOKUP(B11852,'Poids des runes'!A:B,2,FALSE)))+1),(((D11852/100)*(C11852*VLOOKUP(B11852,'Poids des runes'!A:B,2,FALSE)))+1)/VLOOKUP(B11852,'Poids des runes'!A:B,2,FALSE))</f>
        <v>37.6</v>
      </c>
      <c r="F11852">
        <f t="shared" si="185"/>
        <v>37.6</v>
      </c>
    </row>
    <row r="11853" spans="1:6" x14ac:dyDescent="0.3">
      <c r="A11853" t="s">
        <v>1934</v>
      </c>
      <c r="B11853" t="s">
        <v>2129</v>
      </c>
      <c r="C11853">
        <v>30.5</v>
      </c>
      <c r="D11853">
        <v>120</v>
      </c>
      <c r="E11853">
        <f>IF(OR(B11853="vi",B11853="ii",B11853="pod"),(((D11853/100)*(C11853*VLOOKUP(B11853,'Poids des runes'!A:B,2,FALSE)))+1),(((D11853/100)*(C11853*VLOOKUP(B11853,'Poids des runes'!A:B,2,FALSE)))+1)/VLOOKUP(B11853,'Poids des runes'!A:B,2,FALSE))</f>
        <v>37.6</v>
      </c>
      <c r="F11853">
        <f t="shared" si="185"/>
        <v>37.6</v>
      </c>
    </row>
    <row r="11854" spans="1:6" x14ac:dyDescent="0.3">
      <c r="A11854" t="s">
        <v>1934</v>
      </c>
      <c r="B11854" t="s">
        <v>2155</v>
      </c>
      <c r="C11854">
        <v>1</v>
      </c>
      <c r="D11854">
        <v>120</v>
      </c>
      <c r="E11854">
        <f>IF(OR(B11854="vi",B11854="ii",B11854="pod"),(((D11854/100)*(C11854*VLOOKUP(B11854,'Poids des runes'!A:B,2,FALSE)))+1),(((D11854/100)*(C11854*VLOOKUP(B11854,'Poids des runes'!A:B,2,FALSE)))+1)/VLOOKUP(B11854,'Poids des runes'!A:B,2,FALSE))</f>
        <v>1.2196078431372548</v>
      </c>
      <c r="F11854">
        <f t="shared" si="185"/>
        <v>1.2196078431372548</v>
      </c>
    </row>
    <row r="11855" spans="1:6" x14ac:dyDescent="0.3">
      <c r="A11855" t="s">
        <v>1934</v>
      </c>
      <c r="B11855" t="s">
        <v>2134</v>
      </c>
      <c r="C11855">
        <v>6.5</v>
      </c>
      <c r="D11855">
        <v>120</v>
      </c>
      <c r="E11855">
        <f>IF(OR(B11855="vi",B11855="ii",B11855="pod"),(((D11855/100)*(C11855*VLOOKUP(B11855,'Poids des runes'!A:B,2,FALSE)))+1),(((D11855/100)*(C11855*VLOOKUP(B11855,'Poids des runes'!A:B,2,FALSE)))+1)/VLOOKUP(B11855,'Poids des runes'!A:B,2,FALSE))</f>
        <v>7.85</v>
      </c>
      <c r="F11855">
        <f t="shared" si="185"/>
        <v>7.85</v>
      </c>
    </row>
    <row r="11856" spans="1:6" x14ac:dyDescent="0.3">
      <c r="A11856" t="s">
        <v>1934</v>
      </c>
      <c r="B11856" t="s">
        <v>2161</v>
      </c>
      <c r="C11856">
        <v>13</v>
      </c>
      <c r="D11856">
        <v>120</v>
      </c>
      <c r="E11856">
        <f>IF(OR(B11856="vi",B11856="ii",B11856="pod"),(((D11856/100)*(C11856*VLOOKUP(B11856,'Poids des runes'!A:B,2,FALSE)))+1),(((D11856/100)*(C11856*VLOOKUP(B11856,'Poids des runes'!A:B,2,FALSE)))+1)/VLOOKUP(B11856,'Poids des runes'!A:B,2,FALSE))</f>
        <v>15.933333333333332</v>
      </c>
      <c r="F11856">
        <f t="shared" si="185"/>
        <v>15.933333333333332</v>
      </c>
    </row>
    <row r="11857" spans="1:6" x14ac:dyDescent="0.3">
      <c r="A11857" t="s">
        <v>1935</v>
      </c>
      <c r="B11857" t="s">
        <v>2128</v>
      </c>
      <c r="C11857">
        <v>125.5</v>
      </c>
      <c r="D11857">
        <v>120</v>
      </c>
      <c r="E11857">
        <f>IF(OR(B11857="vi",B11857="ii",B11857="pod"),(((D11857/100)*(C11857*VLOOKUP(B11857,'Poids des runes'!A:B,2,FALSE)))+1),(((D11857/100)*(C11857*VLOOKUP(B11857,'Poids des runes'!A:B,2,FALSE)))+1)/VLOOKUP(B11857,'Poids des runes'!A:B,2,FALSE))</f>
        <v>31.12</v>
      </c>
      <c r="F11857">
        <f t="shared" si="185"/>
        <v>31.12</v>
      </c>
    </row>
    <row r="11858" spans="1:6" x14ac:dyDescent="0.3">
      <c r="A11858" t="s">
        <v>1935</v>
      </c>
      <c r="B11858" t="s">
        <v>2129</v>
      </c>
      <c r="C11858">
        <v>20.5</v>
      </c>
      <c r="D11858">
        <v>120</v>
      </c>
      <c r="E11858">
        <f>IF(OR(B11858="vi",B11858="ii",B11858="pod"),(((D11858/100)*(C11858*VLOOKUP(B11858,'Poids des runes'!A:B,2,FALSE)))+1),(((D11858/100)*(C11858*VLOOKUP(B11858,'Poids des runes'!A:B,2,FALSE)))+1)/VLOOKUP(B11858,'Poids des runes'!A:B,2,FALSE))</f>
        <v>25.599999999999998</v>
      </c>
      <c r="F11858">
        <f t="shared" si="185"/>
        <v>25.599999999999998</v>
      </c>
    </row>
    <row r="11859" spans="1:6" x14ac:dyDescent="0.3">
      <c r="A11859" t="s">
        <v>1935</v>
      </c>
      <c r="B11859" t="s">
        <v>2155</v>
      </c>
      <c r="C11859">
        <v>1</v>
      </c>
      <c r="D11859">
        <v>120</v>
      </c>
      <c r="E11859">
        <f>IF(OR(B11859="vi",B11859="ii",B11859="pod"),(((D11859/100)*(C11859*VLOOKUP(B11859,'Poids des runes'!A:B,2,FALSE)))+1),(((D11859/100)*(C11859*VLOOKUP(B11859,'Poids des runes'!A:B,2,FALSE)))+1)/VLOOKUP(B11859,'Poids des runes'!A:B,2,FALSE))</f>
        <v>1.2196078431372548</v>
      </c>
      <c r="F11859">
        <f t="shared" si="185"/>
        <v>1.2196078431372548</v>
      </c>
    </row>
    <row r="11860" spans="1:6" x14ac:dyDescent="0.3">
      <c r="A11860" t="s">
        <v>1935</v>
      </c>
      <c r="B11860" t="s">
        <v>2150</v>
      </c>
      <c r="C11860">
        <v>1.5</v>
      </c>
      <c r="D11860">
        <v>120</v>
      </c>
      <c r="E11860">
        <f>IF(OR(B11860="vi",B11860="ii",B11860="pod"),(((D11860/100)*(C11860*VLOOKUP(B11860,'Poids des runes'!A:B,2,FALSE)))+1),(((D11860/100)*(C11860*VLOOKUP(B11860,'Poids des runes'!A:B,2,FALSE)))+1)/VLOOKUP(B11860,'Poids des runes'!A:B,2,FALSE))</f>
        <v>1.8333333333333333</v>
      </c>
      <c r="F11860">
        <f t="shared" si="185"/>
        <v>1.8333333333333333</v>
      </c>
    </row>
    <row r="11861" spans="1:6" x14ac:dyDescent="0.3">
      <c r="A11861" t="s">
        <v>1935</v>
      </c>
      <c r="B11861" t="s">
        <v>2134</v>
      </c>
      <c r="C11861">
        <v>7.5</v>
      </c>
      <c r="D11861">
        <v>120</v>
      </c>
      <c r="E11861">
        <f>IF(OR(B11861="vi",B11861="ii",B11861="pod"),(((D11861/100)*(C11861*VLOOKUP(B11861,'Poids des runes'!A:B,2,FALSE)))+1),(((D11861/100)*(C11861*VLOOKUP(B11861,'Poids des runes'!A:B,2,FALSE)))+1)/VLOOKUP(B11861,'Poids des runes'!A:B,2,FALSE))</f>
        <v>9.0500000000000007</v>
      </c>
      <c r="F11861">
        <f t="shared" si="185"/>
        <v>9.0500000000000007</v>
      </c>
    </row>
    <row r="11862" spans="1:6" x14ac:dyDescent="0.3">
      <c r="A11862" t="s">
        <v>1935</v>
      </c>
      <c r="B11862" t="s">
        <v>2161</v>
      </c>
      <c r="C11862">
        <v>8</v>
      </c>
      <c r="D11862">
        <v>120</v>
      </c>
      <c r="E11862">
        <f>IF(OR(B11862="vi",B11862="ii",B11862="pod"),(((D11862/100)*(C11862*VLOOKUP(B11862,'Poids des runes'!A:B,2,FALSE)))+1),(((D11862/100)*(C11862*VLOOKUP(B11862,'Poids des runes'!A:B,2,FALSE)))+1)/VLOOKUP(B11862,'Poids des runes'!A:B,2,FALSE))</f>
        <v>9.9333333333333318</v>
      </c>
      <c r="F11862">
        <f t="shared" si="185"/>
        <v>9.9333333333333318</v>
      </c>
    </row>
    <row r="11863" spans="1:6" x14ac:dyDescent="0.3">
      <c r="A11863" t="s">
        <v>1935</v>
      </c>
      <c r="B11863" t="s">
        <v>2141</v>
      </c>
      <c r="C11863">
        <v>4.5</v>
      </c>
      <c r="D11863">
        <v>120</v>
      </c>
      <c r="E11863">
        <f>IF(OR(B11863="vi",B11863="ii",B11863="pod"),(((D11863/100)*(C11863*VLOOKUP(B11863,'Poids des runes'!A:B,2,FALSE)))+1),(((D11863/100)*(C11863*VLOOKUP(B11863,'Poids des runes'!A:B,2,FALSE)))+1)/VLOOKUP(B11863,'Poids des runes'!A:B,2,FALSE))</f>
        <v>5.6499999999999995</v>
      </c>
      <c r="F11863">
        <f t="shared" si="185"/>
        <v>5.6499999999999995</v>
      </c>
    </row>
    <row r="11864" spans="1:6" x14ac:dyDescent="0.3">
      <c r="A11864" t="s">
        <v>1935</v>
      </c>
      <c r="B11864" t="s">
        <v>2147</v>
      </c>
      <c r="C11864">
        <v>4</v>
      </c>
      <c r="D11864">
        <v>120</v>
      </c>
      <c r="E11864">
        <f>IF(OR(B11864="vi",B11864="ii",B11864="pod"),(((D11864/100)*(C11864*VLOOKUP(B11864,'Poids des runes'!A:B,2,FALSE)))+1),(((D11864/100)*(C11864*VLOOKUP(B11864,'Poids des runes'!A:B,2,FALSE)))+1)/VLOOKUP(B11864,'Poids des runes'!A:B,2,FALSE))</f>
        <v>4.9666666666666659</v>
      </c>
      <c r="F11864">
        <f t="shared" si="185"/>
        <v>4.9666666666666659</v>
      </c>
    </row>
    <row r="11865" spans="1:6" x14ac:dyDescent="0.3">
      <c r="A11865" t="s">
        <v>1936</v>
      </c>
      <c r="B11865" t="s">
        <v>2128</v>
      </c>
      <c r="C11865">
        <v>125.5</v>
      </c>
      <c r="D11865">
        <v>120</v>
      </c>
      <c r="E11865">
        <f>IF(OR(B11865="vi",B11865="ii",B11865="pod"),(((D11865/100)*(C11865*VLOOKUP(B11865,'Poids des runes'!A:B,2,FALSE)))+1),(((D11865/100)*(C11865*VLOOKUP(B11865,'Poids des runes'!A:B,2,FALSE)))+1)/VLOOKUP(B11865,'Poids des runes'!A:B,2,FALSE))</f>
        <v>31.12</v>
      </c>
      <c r="F11865">
        <f t="shared" si="185"/>
        <v>31.12</v>
      </c>
    </row>
    <row r="11866" spans="1:6" x14ac:dyDescent="0.3">
      <c r="A11866" t="s">
        <v>1936</v>
      </c>
      <c r="B11866" t="s">
        <v>2131</v>
      </c>
      <c r="C11866">
        <v>40.5</v>
      </c>
      <c r="D11866">
        <v>120</v>
      </c>
      <c r="E11866">
        <f>IF(OR(B11866="vi",B11866="ii",B11866="pod"),(((D11866/100)*(C11866*VLOOKUP(B11866,'Poids des runes'!A:B,2,FALSE)))+1),(((D11866/100)*(C11866*VLOOKUP(B11866,'Poids des runes'!A:B,2,FALSE)))+1)/VLOOKUP(B11866,'Poids des runes'!A:B,2,FALSE))</f>
        <v>49.6</v>
      </c>
      <c r="F11866">
        <f t="shared" si="185"/>
        <v>49.6</v>
      </c>
    </row>
    <row r="11867" spans="1:6" x14ac:dyDescent="0.3">
      <c r="A11867" t="s">
        <v>1936</v>
      </c>
      <c r="B11867" t="s">
        <v>2129</v>
      </c>
      <c r="C11867">
        <v>28</v>
      </c>
      <c r="D11867">
        <v>120</v>
      </c>
      <c r="E11867">
        <f>IF(OR(B11867="vi",B11867="ii",B11867="pod"),(((D11867/100)*(C11867*VLOOKUP(B11867,'Poids des runes'!A:B,2,FALSE)))+1),(((D11867/100)*(C11867*VLOOKUP(B11867,'Poids des runes'!A:B,2,FALSE)))+1)/VLOOKUP(B11867,'Poids des runes'!A:B,2,FALSE))</f>
        <v>34.6</v>
      </c>
      <c r="F11867">
        <f t="shared" si="185"/>
        <v>34.6</v>
      </c>
    </row>
    <row r="11868" spans="1:6" x14ac:dyDescent="0.3">
      <c r="A11868" t="s">
        <v>1936</v>
      </c>
      <c r="B11868" t="s">
        <v>2151</v>
      </c>
      <c r="C11868">
        <v>6</v>
      </c>
      <c r="D11868">
        <v>120</v>
      </c>
      <c r="E11868">
        <f>IF(OR(B11868="vi",B11868="ii",B11868="pod"),(((D11868/100)*(C11868*VLOOKUP(B11868,'Poids des runes'!A:B,2,FALSE)))+1),(((D11868/100)*(C11868*VLOOKUP(B11868,'Poids des runes'!A:B,2,FALSE)))+1)/VLOOKUP(B11868,'Poids des runes'!A:B,2,FALSE))</f>
        <v>7.3</v>
      </c>
      <c r="F11868">
        <f t="shared" si="185"/>
        <v>7.3</v>
      </c>
    </row>
    <row r="11869" spans="1:6" x14ac:dyDescent="0.3">
      <c r="A11869" t="s">
        <v>1936</v>
      </c>
      <c r="B11869" t="s">
        <v>2133</v>
      </c>
      <c r="C11869">
        <v>6.5</v>
      </c>
      <c r="D11869">
        <v>120</v>
      </c>
      <c r="E11869">
        <f>IF(OR(B11869="vi",B11869="ii",B11869="pod"),(((D11869/100)*(C11869*VLOOKUP(B11869,'Poids des runes'!A:B,2,FALSE)))+1),(((D11869/100)*(C11869*VLOOKUP(B11869,'Poids des runes'!A:B,2,FALSE)))+1)/VLOOKUP(B11869,'Poids des runes'!A:B,2,FALSE))</f>
        <v>8</v>
      </c>
      <c r="F11869">
        <f t="shared" si="185"/>
        <v>8</v>
      </c>
    </row>
    <row r="11870" spans="1:6" x14ac:dyDescent="0.3">
      <c r="A11870" t="s">
        <v>1936</v>
      </c>
      <c r="B11870" t="s">
        <v>2161</v>
      </c>
      <c r="C11870">
        <v>10.5</v>
      </c>
      <c r="D11870">
        <v>120</v>
      </c>
      <c r="E11870">
        <f>IF(OR(B11870="vi",B11870="ii",B11870="pod"),(((D11870/100)*(C11870*VLOOKUP(B11870,'Poids des runes'!A:B,2,FALSE)))+1),(((D11870/100)*(C11870*VLOOKUP(B11870,'Poids des runes'!A:B,2,FALSE)))+1)/VLOOKUP(B11870,'Poids des runes'!A:B,2,FALSE))</f>
        <v>12.933333333333332</v>
      </c>
      <c r="F11870">
        <f t="shared" si="185"/>
        <v>12.933333333333332</v>
      </c>
    </row>
    <row r="11871" spans="1:6" x14ac:dyDescent="0.3">
      <c r="A11871" t="s">
        <v>1936</v>
      </c>
      <c r="B11871" t="s">
        <v>2147</v>
      </c>
      <c r="C11871">
        <v>4</v>
      </c>
      <c r="D11871">
        <v>120</v>
      </c>
      <c r="E11871">
        <f>IF(OR(B11871="vi",B11871="ii",B11871="pod"),(((D11871/100)*(C11871*VLOOKUP(B11871,'Poids des runes'!A:B,2,FALSE)))+1),(((D11871/100)*(C11871*VLOOKUP(B11871,'Poids des runes'!A:B,2,FALSE)))+1)/VLOOKUP(B11871,'Poids des runes'!A:B,2,FALSE))</f>
        <v>4.9666666666666659</v>
      </c>
      <c r="F11871">
        <f t="shared" si="185"/>
        <v>4.9666666666666659</v>
      </c>
    </row>
    <row r="11872" spans="1:6" x14ac:dyDescent="0.3">
      <c r="A11872" t="s">
        <v>1936</v>
      </c>
      <c r="B11872" t="s">
        <v>2135</v>
      </c>
      <c r="C11872">
        <v>4</v>
      </c>
      <c r="D11872">
        <v>120</v>
      </c>
      <c r="E11872">
        <f>IF(OR(B11872="vi",B11872="ii",B11872="pod"),(((D11872/100)*(C11872*VLOOKUP(B11872,'Poids des runes'!A:B,2,FALSE)))+1),(((D11872/100)*(C11872*VLOOKUP(B11872,'Poids des runes'!A:B,2,FALSE)))+1)/VLOOKUP(B11872,'Poids des runes'!A:B,2,FALSE))</f>
        <v>4.9666666666666659</v>
      </c>
      <c r="F11872">
        <f t="shared" si="185"/>
        <v>4.9666666666666659</v>
      </c>
    </row>
    <row r="11873" spans="1:6" x14ac:dyDescent="0.3">
      <c r="A11873" t="s">
        <v>1936</v>
      </c>
      <c r="B11873" t="s">
        <v>2144</v>
      </c>
      <c r="C11873">
        <v>6</v>
      </c>
      <c r="D11873">
        <v>120</v>
      </c>
      <c r="E11873">
        <f>IF(OR(B11873="vi",B11873="ii",B11873="pod"),(((D11873/100)*(C11873*VLOOKUP(B11873,'Poids des runes'!A:B,2,FALSE)))+1),(((D11873/100)*(C11873*VLOOKUP(B11873,'Poids des runes'!A:B,2,FALSE)))+1)/VLOOKUP(B11873,'Poids des runes'!A:B,2,FALSE))</f>
        <v>7.6999999999999993</v>
      </c>
      <c r="F11873">
        <f t="shared" si="185"/>
        <v>7.6999999999999993</v>
      </c>
    </row>
    <row r="11874" spans="1:6" x14ac:dyDescent="0.3">
      <c r="A11874" t="s">
        <v>1936</v>
      </c>
      <c r="B11874" t="s">
        <v>2145</v>
      </c>
      <c r="C11874">
        <v>6</v>
      </c>
      <c r="D11874">
        <v>120</v>
      </c>
      <c r="E11874">
        <f>IF(OR(B11874="vi",B11874="ii",B11874="pod"),(((D11874/100)*(C11874*VLOOKUP(B11874,'Poids des runes'!A:B,2,FALSE)))+1),(((D11874/100)*(C11874*VLOOKUP(B11874,'Poids des runes'!A:B,2,FALSE)))+1)/VLOOKUP(B11874,'Poids des runes'!A:B,2,FALSE))</f>
        <v>7.6999999999999993</v>
      </c>
      <c r="F11874">
        <f t="shared" si="185"/>
        <v>7.6999999999999993</v>
      </c>
    </row>
    <row r="11875" spans="1:6" x14ac:dyDescent="0.3">
      <c r="A11875" t="s">
        <v>1936</v>
      </c>
      <c r="B11875" t="s">
        <v>2146</v>
      </c>
      <c r="C11875">
        <v>6</v>
      </c>
      <c r="D11875">
        <v>120</v>
      </c>
      <c r="E11875">
        <f>IF(OR(B11875="vi",B11875="ii",B11875="pod"),(((D11875/100)*(C11875*VLOOKUP(B11875,'Poids des runes'!A:B,2,FALSE)))+1),(((D11875/100)*(C11875*VLOOKUP(B11875,'Poids des runes'!A:B,2,FALSE)))+1)/VLOOKUP(B11875,'Poids des runes'!A:B,2,FALSE))</f>
        <v>7.6999999999999993</v>
      </c>
      <c r="F11875">
        <f t="shared" si="185"/>
        <v>7.6999999999999993</v>
      </c>
    </row>
    <row r="11876" spans="1:6" x14ac:dyDescent="0.3">
      <c r="A11876" t="s">
        <v>1937</v>
      </c>
      <c r="B11876" t="s">
        <v>2128</v>
      </c>
      <c r="C11876">
        <v>125.5</v>
      </c>
      <c r="D11876">
        <v>120</v>
      </c>
      <c r="E11876">
        <f>IF(OR(B11876="vi",B11876="ii",B11876="pod"),(((D11876/100)*(C11876*VLOOKUP(B11876,'Poids des runes'!A:B,2,FALSE)))+1),(((D11876/100)*(C11876*VLOOKUP(B11876,'Poids des runes'!A:B,2,FALSE)))+1)/VLOOKUP(B11876,'Poids des runes'!A:B,2,FALSE))</f>
        <v>31.12</v>
      </c>
      <c r="F11876">
        <f t="shared" si="185"/>
        <v>31.12</v>
      </c>
    </row>
    <row r="11877" spans="1:6" x14ac:dyDescent="0.3">
      <c r="A11877" t="s">
        <v>1937</v>
      </c>
      <c r="B11877" t="s">
        <v>2126</v>
      </c>
      <c r="C11877">
        <v>30.5</v>
      </c>
      <c r="D11877">
        <v>120</v>
      </c>
      <c r="E11877">
        <f>IF(OR(B11877="vi",B11877="ii",B11877="pod"),(((D11877/100)*(C11877*VLOOKUP(B11877,'Poids des runes'!A:B,2,FALSE)))+1),(((D11877/100)*(C11877*VLOOKUP(B11877,'Poids des runes'!A:B,2,FALSE)))+1)/VLOOKUP(B11877,'Poids des runes'!A:B,2,FALSE))</f>
        <v>37.6</v>
      </c>
      <c r="F11877">
        <f t="shared" si="185"/>
        <v>37.6</v>
      </c>
    </row>
    <row r="11878" spans="1:6" x14ac:dyDescent="0.3">
      <c r="A11878" t="s">
        <v>1937</v>
      </c>
      <c r="B11878" t="s">
        <v>2129</v>
      </c>
      <c r="C11878">
        <v>25.5</v>
      </c>
      <c r="D11878">
        <v>120</v>
      </c>
      <c r="E11878">
        <f>IF(OR(B11878="vi",B11878="ii",B11878="pod"),(((D11878/100)*(C11878*VLOOKUP(B11878,'Poids des runes'!A:B,2,FALSE)))+1),(((D11878/100)*(C11878*VLOOKUP(B11878,'Poids des runes'!A:B,2,FALSE)))+1)/VLOOKUP(B11878,'Poids des runes'!A:B,2,FALSE))</f>
        <v>31.599999999999998</v>
      </c>
      <c r="F11878">
        <f t="shared" si="185"/>
        <v>31.599999999999998</v>
      </c>
    </row>
    <row r="11879" spans="1:6" x14ac:dyDescent="0.3">
      <c r="A11879" t="s">
        <v>1937</v>
      </c>
      <c r="B11879" t="s">
        <v>2139</v>
      </c>
      <c r="C11879">
        <v>25.5</v>
      </c>
      <c r="D11879">
        <v>120</v>
      </c>
      <c r="E11879">
        <f>IF(OR(B11879="vi",B11879="ii",B11879="pod"),(((D11879/100)*(C11879*VLOOKUP(B11879,'Poids des runes'!A:B,2,FALSE)))+1),(((D11879/100)*(C11879*VLOOKUP(B11879,'Poids des runes'!A:B,2,FALSE)))+1)/VLOOKUP(B11879,'Poids des runes'!A:B,2,FALSE))</f>
        <v>31.099999999999998</v>
      </c>
      <c r="F11879">
        <f t="shared" si="185"/>
        <v>31.099999999999998</v>
      </c>
    </row>
    <row r="11880" spans="1:6" x14ac:dyDescent="0.3">
      <c r="A11880" t="s">
        <v>1937</v>
      </c>
      <c r="B11880" t="s">
        <v>2140</v>
      </c>
      <c r="C11880">
        <v>6.5</v>
      </c>
      <c r="D11880">
        <v>120</v>
      </c>
      <c r="E11880">
        <f>IF(OR(B11880="vi",B11880="ii",B11880="pod"),(((D11880/100)*(C11880*VLOOKUP(B11880,'Poids des runes'!A:B,2,FALSE)))+1),(((D11880/100)*(C11880*VLOOKUP(B11880,'Poids des runes'!A:B,2,FALSE)))+1)/VLOOKUP(B11880,'Poids des runes'!A:B,2,FALSE))</f>
        <v>8</v>
      </c>
      <c r="F11880">
        <f t="shared" si="185"/>
        <v>8</v>
      </c>
    </row>
    <row r="11881" spans="1:6" x14ac:dyDescent="0.3">
      <c r="A11881" t="s">
        <v>1937</v>
      </c>
      <c r="B11881" t="s">
        <v>2161</v>
      </c>
      <c r="C11881">
        <v>8</v>
      </c>
      <c r="D11881">
        <v>120</v>
      </c>
      <c r="E11881">
        <f>IF(OR(B11881="vi",B11881="ii",B11881="pod"),(((D11881/100)*(C11881*VLOOKUP(B11881,'Poids des runes'!A:B,2,FALSE)))+1),(((D11881/100)*(C11881*VLOOKUP(B11881,'Poids des runes'!A:B,2,FALSE)))+1)/VLOOKUP(B11881,'Poids des runes'!A:B,2,FALSE))</f>
        <v>9.9333333333333318</v>
      </c>
      <c r="F11881">
        <f t="shared" si="185"/>
        <v>9.9333333333333318</v>
      </c>
    </row>
    <row r="11882" spans="1:6" x14ac:dyDescent="0.3">
      <c r="A11882" t="s">
        <v>1937</v>
      </c>
      <c r="B11882" t="s">
        <v>2157</v>
      </c>
      <c r="C11882">
        <v>4</v>
      </c>
      <c r="D11882">
        <v>120</v>
      </c>
      <c r="E11882">
        <f>IF(OR(B11882="vi",B11882="ii",B11882="pod"),(((D11882/100)*(C11882*VLOOKUP(B11882,'Poids des runes'!A:B,2,FALSE)))+1),(((D11882/100)*(C11882*VLOOKUP(B11882,'Poids des runes'!A:B,2,FALSE)))+1)/VLOOKUP(B11882,'Poids des runes'!A:B,2,FALSE))</f>
        <v>4.9666666666666659</v>
      </c>
      <c r="F11882">
        <f t="shared" si="185"/>
        <v>4.9666666666666659</v>
      </c>
    </row>
    <row r="11883" spans="1:6" x14ac:dyDescent="0.3">
      <c r="A11883" t="s">
        <v>1938</v>
      </c>
      <c r="B11883" t="s">
        <v>2128</v>
      </c>
      <c r="C11883">
        <v>140.5</v>
      </c>
      <c r="D11883">
        <v>120</v>
      </c>
      <c r="E11883">
        <f>IF(OR(B11883="vi",B11883="ii",B11883="pod"),(((D11883/100)*(C11883*VLOOKUP(B11883,'Poids des runes'!A:B,2,FALSE)))+1),(((D11883/100)*(C11883*VLOOKUP(B11883,'Poids des runes'!A:B,2,FALSE)))+1)/VLOOKUP(B11883,'Poids des runes'!A:B,2,FALSE))</f>
        <v>34.72</v>
      </c>
      <c r="F11883">
        <f t="shared" si="185"/>
        <v>34.72</v>
      </c>
    </row>
    <row r="11884" spans="1:6" x14ac:dyDescent="0.3">
      <c r="A11884" t="s">
        <v>1938</v>
      </c>
      <c r="B11884" t="s">
        <v>2130</v>
      </c>
      <c r="C11884">
        <v>40.5</v>
      </c>
      <c r="D11884">
        <v>120</v>
      </c>
      <c r="E11884">
        <f>IF(OR(B11884="vi",B11884="ii",B11884="pod"),(((D11884/100)*(C11884*VLOOKUP(B11884,'Poids des runes'!A:B,2,FALSE)))+1),(((D11884/100)*(C11884*VLOOKUP(B11884,'Poids des runes'!A:B,2,FALSE)))+1)/VLOOKUP(B11884,'Poids des runes'!A:B,2,FALSE))</f>
        <v>49.6</v>
      </c>
      <c r="F11884">
        <f t="shared" si="185"/>
        <v>49.6</v>
      </c>
    </row>
    <row r="11885" spans="1:6" x14ac:dyDescent="0.3">
      <c r="A11885" t="s">
        <v>1938</v>
      </c>
      <c r="B11885" t="s">
        <v>2126</v>
      </c>
      <c r="C11885">
        <v>40.5</v>
      </c>
      <c r="D11885">
        <v>120</v>
      </c>
      <c r="E11885">
        <f>IF(OR(B11885="vi",B11885="ii",B11885="pod"),(((D11885/100)*(C11885*VLOOKUP(B11885,'Poids des runes'!A:B,2,FALSE)))+1),(((D11885/100)*(C11885*VLOOKUP(B11885,'Poids des runes'!A:B,2,FALSE)))+1)/VLOOKUP(B11885,'Poids des runes'!A:B,2,FALSE))</f>
        <v>49.6</v>
      </c>
      <c r="F11885">
        <f t="shared" si="185"/>
        <v>49.6</v>
      </c>
    </row>
    <row r="11886" spans="1:6" x14ac:dyDescent="0.3">
      <c r="A11886" t="s">
        <v>1938</v>
      </c>
      <c r="B11886" t="s">
        <v>2129</v>
      </c>
      <c r="C11886">
        <v>13</v>
      </c>
      <c r="D11886">
        <v>120</v>
      </c>
      <c r="E11886">
        <f>IF(OR(B11886="vi",B11886="ii",B11886="pod"),(((D11886/100)*(C11886*VLOOKUP(B11886,'Poids des runes'!A:B,2,FALSE)))+1),(((D11886/100)*(C11886*VLOOKUP(B11886,'Poids des runes'!A:B,2,FALSE)))+1)/VLOOKUP(B11886,'Poids des runes'!A:B,2,FALSE))</f>
        <v>16.600000000000001</v>
      </c>
      <c r="F11886">
        <f t="shared" si="185"/>
        <v>16.600000000000001</v>
      </c>
    </row>
    <row r="11887" spans="1:6" x14ac:dyDescent="0.3">
      <c r="A11887" t="s">
        <v>1938</v>
      </c>
      <c r="B11887" t="s">
        <v>2155</v>
      </c>
      <c r="C11887">
        <v>1</v>
      </c>
      <c r="D11887">
        <v>120</v>
      </c>
      <c r="E11887">
        <f>IF(OR(B11887="vi",B11887="ii",B11887="pod"),(((D11887/100)*(C11887*VLOOKUP(B11887,'Poids des runes'!A:B,2,FALSE)))+1),(((D11887/100)*(C11887*VLOOKUP(B11887,'Poids des runes'!A:B,2,FALSE)))+1)/VLOOKUP(B11887,'Poids des runes'!A:B,2,FALSE))</f>
        <v>1.2196078431372548</v>
      </c>
      <c r="F11887">
        <f t="shared" si="185"/>
        <v>1.2196078431372548</v>
      </c>
    </row>
    <row r="11888" spans="1:6" x14ac:dyDescent="0.3">
      <c r="A11888" t="s">
        <v>1938</v>
      </c>
      <c r="B11888" t="s">
        <v>2134</v>
      </c>
      <c r="C11888">
        <v>8</v>
      </c>
      <c r="D11888">
        <v>120</v>
      </c>
      <c r="E11888">
        <f>IF(OR(B11888="vi",B11888="ii",B11888="pod"),(((D11888/100)*(C11888*VLOOKUP(B11888,'Poids des runes'!A:B,2,FALSE)))+1),(((D11888/100)*(C11888*VLOOKUP(B11888,'Poids des runes'!A:B,2,FALSE)))+1)/VLOOKUP(B11888,'Poids des runes'!A:B,2,FALSE))</f>
        <v>9.65</v>
      </c>
      <c r="F11888">
        <f t="shared" si="185"/>
        <v>9.65</v>
      </c>
    </row>
    <row r="11889" spans="1:6" x14ac:dyDescent="0.3">
      <c r="A11889" t="s">
        <v>1938</v>
      </c>
      <c r="B11889" t="s">
        <v>2161</v>
      </c>
      <c r="C11889">
        <v>13</v>
      </c>
      <c r="D11889">
        <v>120</v>
      </c>
      <c r="E11889">
        <f>IF(OR(B11889="vi",B11889="ii",B11889="pod"),(((D11889/100)*(C11889*VLOOKUP(B11889,'Poids des runes'!A:B,2,FALSE)))+1),(((D11889/100)*(C11889*VLOOKUP(B11889,'Poids des runes'!A:B,2,FALSE)))+1)/VLOOKUP(B11889,'Poids des runes'!A:B,2,FALSE))</f>
        <v>15.933333333333332</v>
      </c>
      <c r="F11889">
        <f t="shared" si="185"/>
        <v>15.933333333333332</v>
      </c>
    </row>
    <row r="11890" spans="1:6" x14ac:dyDescent="0.3">
      <c r="A11890" t="s">
        <v>1938</v>
      </c>
      <c r="B11890" t="s">
        <v>2142</v>
      </c>
      <c r="C11890">
        <v>13</v>
      </c>
      <c r="D11890">
        <v>120</v>
      </c>
      <c r="E11890">
        <f>IF(OR(B11890="vi",B11890="ii",B11890="pod"),(((D11890/100)*(C11890*VLOOKUP(B11890,'Poids des runes'!A:B,2,FALSE)))+1),(((D11890/100)*(C11890*VLOOKUP(B11890,'Poids des runes'!A:B,2,FALSE)))+1)/VLOOKUP(B11890,'Poids des runes'!A:B,2,FALSE))</f>
        <v>15.8</v>
      </c>
      <c r="F11890">
        <f t="shared" si="185"/>
        <v>15.8</v>
      </c>
    </row>
    <row r="11891" spans="1:6" x14ac:dyDescent="0.3">
      <c r="A11891" t="s">
        <v>1939</v>
      </c>
      <c r="B11891" t="s">
        <v>2128</v>
      </c>
      <c r="C11891">
        <v>60.5</v>
      </c>
      <c r="D11891">
        <v>120</v>
      </c>
      <c r="E11891">
        <f>IF(OR(B11891="vi",B11891="ii",B11891="pod"),(((D11891/100)*(C11891*VLOOKUP(B11891,'Poids des runes'!A:B,2,FALSE)))+1),(((D11891/100)*(C11891*VLOOKUP(B11891,'Poids des runes'!A:B,2,FALSE)))+1)/VLOOKUP(B11891,'Poids des runes'!A:B,2,FALSE))</f>
        <v>15.520000000000001</v>
      </c>
      <c r="F11891">
        <f t="shared" si="185"/>
        <v>15.520000000000001</v>
      </c>
    </row>
    <row r="11892" spans="1:6" x14ac:dyDescent="0.3">
      <c r="A11892" t="s">
        <v>1939</v>
      </c>
      <c r="B11892" t="s">
        <v>2130</v>
      </c>
      <c r="C11892">
        <v>23</v>
      </c>
      <c r="D11892">
        <v>120</v>
      </c>
      <c r="E11892">
        <f>IF(OR(B11892="vi",B11892="ii",B11892="pod"),(((D11892/100)*(C11892*VLOOKUP(B11892,'Poids des runes'!A:B,2,FALSE)))+1),(((D11892/100)*(C11892*VLOOKUP(B11892,'Poids des runes'!A:B,2,FALSE)))+1)/VLOOKUP(B11892,'Poids des runes'!A:B,2,FALSE))</f>
        <v>28.599999999999998</v>
      </c>
      <c r="F11892">
        <f t="shared" si="185"/>
        <v>28.599999999999998</v>
      </c>
    </row>
    <row r="11893" spans="1:6" x14ac:dyDescent="0.3">
      <c r="A11893" t="s">
        <v>1939</v>
      </c>
      <c r="B11893" t="s">
        <v>2129</v>
      </c>
      <c r="C11893">
        <v>28</v>
      </c>
      <c r="D11893">
        <v>120</v>
      </c>
      <c r="E11893">
        <f>IF(OR(B11893="vi",B11893="ii",B11893="pod"),(((D11893/100)*(C11893*VLOOKUP(B11893,'Poids des runes'!A:B,2,FALSE)))+1),(((D11893/100)*(C11893*VLOOKUP(B11893,'Poids des runes'!A:B,2,FALSE)))+1)/VLOOKUP(B11893,'Poids des runes'!A:B,2,FALSE))</f>
        <v>34.6</v>
      </c>
      <c r="F11893">
        <f t="shared" si="185"/>
        <v>34.6</v>
      </c>
    </row>
    <row r="11894" spans="1:6" x14ac:dyDescent="0.3">
      <c r="A11894" t="s">
        <v>1939</v>
      </c>
      <c r="B11894" t="s">
        <v>2155</v>
      </c>
      <c r="C11894">
        <v>1</v>
      </c>
      <c r="D11894">
        <v>120</v>
      </c>
      <c r="E11894">
        <f>IF(OR(B11894="vi",B11894="ii",B11894="pod"),(((D11894/100)*(C11894*VLOOKUP(B11894,'Poids des runes'!A:B,2,FALSE)))+1),(((D11894/100)*(C11894*VLOOKUP(B11894,'Poids des runes'!A:B,2,FALSE)))+1)/VLOOKUP(B11894,'Poids des runes'!A:B,2,FALSE))</f>
        <v>1.2196078431372548</v>
      </c>
      <c r="F11894">
        <f t="shared" si="185"/>
        <v>1.2196078431372548</v>
      </c>
    </row>
    <row r="11895" spans="1:6" x14ac:dyDescent="0.3">
      <c r="A11895" t="s">
        <v>1939</v>
      </c>
      <c r="B11895" t="s">
        <v>2150</v>
      </c>
      <c r="C11895">
        <v>5.5</v>
      </c>
      <c r="D11895">
        <v>120</v>
      </c>
      <c r="E11895">
        <f>IF(OR(B11895="vi",B11895="ii",B11895="pod"),(((D11895/100)*(C11895*VLOOKUP(B11895,'Poids des runes'!A:B,2,FALSE)))+1),(((D11895/100)*(C11895*VLOOKUP(B11895,'Poids des runes'!A:B,2,FALSE)))+1)/VLOOKUP(B11895,'Poids des runes'!A:B,2,FALSE))</f>
        <v>6.6333333333333337</v>
      </c>
      <c r="F11895">
        <f t="shared" si="185"/>
        <v>6.6333333333333337</v>
      </c>
    </row>
    <row r="11896" spans="1:6" x14ac:dyDescent="0.3">
      <c r="A11896" t="s">
        <v>1939</v>
      </c>
      <c r="B11896" t="s">
        <v>2134</v>
      </c>
      <c r="C11896">
        <v>8</v>
      </c>
      <c r="D11896">
        <v>120</v>
      </c>
      <c r="E11896">
        <f>IF(OR(B11896="vi",B11896="ii",B11896="pod"),(((D11896/100)*(C11896*VLOOKUP(B11896,'Poids des runes'!A:B,2,FALSE)))+1),(((D11896/100)*(C11896*VLOOKUP(B11896,'Poids des runes'!A:B,2,FALSE)))+1)/VLOOKUP(B11896,'Poids des runes'!A:B,2,FALSE))</f>
        <v>9.65</v>
      </c>
      <c r="F11896">
        <f t="shared" si="185"/>
        <v>9.65</v>
      </c>
    </row>
    <row r="11897" spans="1:6" x14ac:dyDescent="0.3">
      <c r="A11897" t="s">
        <v>1939</v>
      </c>
      <c r="B11897" t="s">
        <v>2132</v>
      </c>
      <c r="C11897">
        <v>200.5</v>
      </c>
      <c r="D11897">
        <v>120</v>
      </c>
      <c r="E11897">
        <f>IF(OR(B11897="vi",B11897="ii",B11897="pod"),(((D11897/100)*(C11897*VLOOKUP(B11897,'Poids des runes'!A:B,2,FALSE)))+1),(((D11897/100)*(C11897*VLOOKUP(B11897,'Poids des runes'!A:B,2,FALSE)))+1)/VLOOKUP(B11897,'Poids des runes'!A:B,2,FALSE))</f>
        <v>25.06</v>
      </c>
      <c r="F11897">
        <f t="shared" si="185"/>
        <v>25.06</v>
      </c>
    </row>
    <row r="11898" spans="1:6" x14ac:dyDescent="0.3">
      <c r="A11898" t="s">
        <v>1940</v>
      </c>
      <c r="B11898" t="s">
        <v>2128</v>
      </c>
      <c r="C11898">
        <v>60.5</v>
      </c>
      <c r="D11898">
        <v>120</v>
      </c>
      <c r="E11898">
        <f>IF(OR(B11898="vi",B11898="ii",B11898="pod"),(((D11898/100)*(C11898*VLOOKUP(B11898,'Poids des runes'!A:B,2,FALSE)))+1),(((D11898/100)*(C11898*VLOOKUP(B11898,'Poids des runes'!A:B,2,FALSE)))+1)/VLOOKUP(B11898,'Poids des runes'!A:B,2,FALSE))</f>
        <v>15.520000000000001</v>
      </c>
      <c r="F11898">
        <f t="shared" si="185"/>
        <v>15.520000000000001</v>
      </c>
    </row>
    <row r="11899" spans="1:6" x14ac:dyDescent="0.3">
      <c r="A11899" t="s">
        <v>1940</v>
      </c>
      <c r="B11899" t="s">
        <v>2131</v>
      </c>
      <c r="C11899">
        <v>40.5</v>
      </c>
      <c r="D11899">
        <v>120</v>
      </c>
      <c r="E11899">
        <f>IF(OR(B11899="vi",B11899="ii",B11899="pod"),(((D11899/100)*(C11899*VLOOKUP(B11899,'Poids des runes'!A:B,2,FALSE)))+1),(((D11899/100)*(C11899*VLOOKUP(B11899,'Poids des runes'!A:B,2,FALSE)))+1)/VLOOKUP(B11899,'Poids des runes'!A:B,2,FALSE))</f>
        <v>49.6</v>
      </c>
      <c r="F11899">
        <f t="shared" si="185"/>
        <v>49.6</v>
      </c>
    </row>
    <row r="11900" spans="1:6" x14ac:dyDescent="0.3">
      <c r="A11900" t="s">
        <v>1940</v>
      </c>
      <c r="B11900" t="s">
        <v>2129</v>
      </c>
      <c r="C11900">
        <v>25.5</v>
      </c>
      <c r="D11900">
        <v>120</v>
      </c>
      <c r="E11900">
        <f>IF(OR(B11900="vi",B11900="ii",B11900="pod"),(((D11900/100)*(C11900*VLOOKUP(B11900,'Poids des runes'!A:B,2,FALSE)))+1),(((D11900/100)*(C11900*VLOOKUP(B11900,'Poids des runes'!A:B,2,FALSE)))+1)/VLOOKUP(B11900,'Poids des runes'!A:B,2,FALSE))</f>
        <v>31.599999999999998</v>
      </c>
      <c r="F11900">
        <f t="shared" si="185"/>
        <v>31.599999999999998</v>
      </c>
    </row>
    <row r="11901" spans="1:6" x14ac:dyDescent="0.3">
      <c r="A11901" t="s">
        <v>1940</v>
      </c>
      <c r="B11901" t="s">
        <v>2151</v>
      </c>
      <c r="C11901">
        <v>6.5</v>
      </c>
      <c r="D11901">
        <v>120</v>
      </c>
      <c r="E11901">
        <f>IF(OR(B11901="vi",B11901="ii",B11901="pod"),(((D11901/100)*(C11901*VLOOKUP(B11901,'Poids des runes'!A:B,2,FALSE)))+1),(((D11901/100)*(C11901*VLOOKUP(B11901,'Poids des runes'!A:B,2,FALSE)))+1)/VLOOKUP(B11901,'Poids des runes'!A:B,2,FALSE))</f>
        <v>7.9</v>
      </c>
      <c r="F11901">
        <f t="shared" si="185"/>
        <v>7.9</v>
      </c>
    </row>
    <row r="11902" spans="1:6" x14ac:dyDescent="0.3">
      <c r="A11902" t="s">
        <v>1940</v>
      </c>
      <c r="B11902" t="s">
        <v>2133</v>
      </c>
      <c r="C11902">
        <v>6</v>
      </c>
      <c r="D11902">
        <v>120</v>
      </c>
      <c r="E11902">
        <f>IF(OR(B11902="vi",B11902="ii",B11902="pod"),(((D11902/100)*(C11902*VLOOKUP(B11902,'Poids des runes'!A:B,2,FALSE)))+1),(((D11902/100)*(C11902*VLOOKUP(B11902,'Poids des runes'!A:B,2,FALSE)))+1)/VLOOKUP(B11902,'Poids des runes'!A:B,2,FALSE))</f>
        <v>7.4</v>
      </c>
      <c r="F11902">
        <f t="shared" si="185"/>
        <v>7.4</v>
      </c>
    </row>
    <row r="11903" spans="1:6" x14ac:dyDescent="0.3">
      <c r="A11903" t="s">
        <v>1940</v>
      </c>
      <c r="B11903" t="s">
        <v>2161</v>
      </c>
      <c r="C11903">
        <v>13</v>
      </c>
      <c r="D11903">
        <v>120</v>
      </c>
      <c r="E11903">
        <f>IF(OR(B11903="vi",B11903="ii",B11903="pod"),(((D11903/100)*(C11903*VLOOKUP(B11903,'Poids des runes'!A:B,2,FALSE)))+1),(((D11903/100)*(C11903*VLOOKUP(B11903,'Poids des runes'!A:B,2,FALSE)))+1)/VLOOKUP(B11903,'Poids des runes'!A:B,2,FALSE))</f>
        <v>15.933333333333332</v>
      </c>
      <c r="F11903">
        <f t="shared" si="185"/>
        <v>15.933333333333332</v>
      </c>
    </row>
    <row r="11904" spans="1:6" x14ac:dyDescent="0.3">
      <c r="A11904" t="s">
        <v>1940</v>
      </c>
      <c r="B11904" t="s">
        <v>2132</v>
      </c>
      <c r="C11904">
        <v>300.5</v>
      </c>
      <c r="D11904">
        <v>120</v>
      </c>
      <c r="E11904">
        <f>IF(OR(B11904="vi",B11904="ii",B11904="pod"),(((D11904/100)*(C11904*VLOOKUP(B11904,'Poids des runes'!A:B,2,FALSE)))+1),(((D11904/100)*(C11904*VLOOKUP(B11904,'Poids des runes'!A:B,2,FALSE)))+1)/VLOOKUP(B11904,'Poids des runes'!A:B,2,FALSE))</f>
        <v>37.06</v>
      </c>
      <c r="F11904">
        <f t="shared" si="185"/>
        <v>37.06</v>
      </c>
    </row>
    <row r="11905" spans="1:6" x14ac:dyDescent="0.3">
      <c r="A11905" t="s">
        <v>1940</v>
      </c>
      <c r="B11905" t="s">
        <v>2148</v>
      </c>
      <c r="C11905">
        <v>5</v>
      </c>
      <c r="D11905">
        <v>120</v>
      </c>
      <c r="E11905">
        <f>IF(OR(B11905="vi",B11905="ii",B11905="pod"),(((D11905/100)*(C11905*VLOOKUP(B11905,'Poids des runes'!A:B,2,FALSE)))+1),(((D11905/100)*(C11905*VLOOKUP(B11905,'Poids des runes'!A:B,2,FALSE)))+1)/VLOOKUP(B11905,'Poids des runes'!A:B,2,FALSE))</f>
        <v>6.166666666666667</v>
      </c>
      <c r="F11905">
        <f t="shared" si="185"/>
        <v>6.166666666666667</v>
      </c>
    </row>
    <row r="11906" spans="1:6" x14ac:dyDescent="0.3">
      <c r="A11906" t="s">
        <v>1941</v>
      </c>
      <c r="B11906" t="s">
        <v>2128</v>
      </c>
      <c r="C11906">
        <v>175.5</v>
      </c>
      <c r="D11906">
        <v>120</v>
      </c>
      <c r="E11906">
        <f>IF(OR(B11906="vi",B11906="ii",B11906="pod"),(((D11906/100)*(C11906*VLOOKUP(B11906,'Poids des runes'!A:B,2,FALSE)))+1),(((D11906/100)*(C11906*VLOOKUP(B11906,'Poids des runes'!A:B,2,FALSE)))+1)/VLOOKUP(B11906,'Poids des runes'!A:B,2,FALSE))</f>
        <v>43.12</v>
      </c>
      <c r="F11906">
        <f t="shared" si="185"/>
        <v>43.12</v>
      </c>
    </row>
    <row r="11907" spans="1:6" x14ac:dyDescent="0.3">
      <c r="A11907" t="s">
        <v>1941</v>
      </c>
      <c r="B11907" t="s">
        <v>2127</v>
      </c>
      <c r="C11907">
        <v>38</v>
      </c>
      <c r="D11907">
        <v>120</v>
      </c>
      <c r="E11907">
        <f>IF(OR(B11907="vi",B11907="ii",B11907="pod"),(((D11907/100)*(C11907*VLOOKUP(B11907,'Poids des runes'!A:B,2,FALSE)))+1),(((D11907/100)*(C11907*VLOOKUP(B11907,'Poids des runes'!A:B,2,FALSE)))+1)/VLOOKUP(B11907,'Poids des runes'!A:B,2,FALSE))</f>
        <v>46.6</v>
      </c>
      <c r="F11907">
        <f t="shared" ref="F11907:F11970" si="186">E11907</f>
        <v>46.6</v>
      </c>
    </row>
    <row r="11908" spans="1:6" x14ac:dyDescent="0.3">
      <c r="A11908" t="s">
        <v>1941</v>
      </c>
      <c r="B11908" t="s">
        <v>2129</v>
      </c>
      <c r="C11908">
        <v>23</v>
      </c>
      <c r="D11908">
        <v>120</v>
      </c>
      <c r="E11908">
        <f>IF(OR(B11908="vi",B11908="ii",B11908="pod"),(((D11908/100)*(C11908*VLOOKUP(B11908,'Poids des runes'!A:B,2,FALSE)))+1),(((D11908/100)*(C11908*VLOOKUP(B11908,'Poids des runes'!A:B,2,FALSE)))+1)/VLOOKUP(B11908,'Poids des runes'!A:B,2,FALSE))</f>
        <v>28.599999999999998</v>
      </c>
      <c r="F11908">
        <f t="shared" si="186"/>
        <v>28.599999999999998</v>
      </c>
    </row>
    <row r="11909" spans="1:6" x14ac:dyDescent="0.3">
      <c r="A11909" t="s">
        <v>1941</v>
      </c>
      <c r="B11909" t="s">
        <v>2151</v>
      </c>
      <c r="C11909">
        <v>4.5</v>
      </c>
      <c r="D11909">
        <v>120</v>
      </c>
      <c r="E11909">
        <f>IF(OR(B11909="vi",B11909="ii",B11909="pod"),(((D11909/100)*(C11909*VLOOKUP(B11909,'Poids des runes'!A:B,2,FALSE)))+1),(((D11909/100)*(C11909*VLOOKUP(B11909,'Poids des runes'!A:B,2,FALSE)))+1)/VLOOKUP(B11909,'Poids des runes'!A:B,2,FALSE))</f>
        <v>5.5</v>
      </c>
      <c r="F11909">
        <f t="shared" si="186"/>
        <v>5.5</v>
      </c>
    </row>
    <row r="11910" spans="1:6" x14ac:dyDescent="0.3">
      <c r="A11910" t="s">
        <v>1941</v>
      </c>
      <c r="B11910" t="s">
        <v>2132</v>
      </c>
      <c r="C11910">
        <v>175.5</v>
      </c>
      <c r="D11910">
        <v>120</v>
      </c>
      <c r="E11910">
        <f>IF(OR(B11910="vi",B11910="ii",B11910="pod"),(((D11910/100)*(C11910*VLOOKUP(B11910,'Poids des runes'!A:B,2,FALSE)))+1),(((D11910/100)*(C11910*VLOOKUP(B11910,'Poids des runes'!A:B,2,FALSE)))+1)/VLOOKUP(B11910,'Poids des runes'!A:B,2,FALSE))</f>
        <v>22.06</v>
      </c>
      <c r="F11910">
        <f t="shared" si="186"/>
        <v>22.06</v>
      </c>
    </row>
    <row r="11911" spans="1:6" x14ac:dyDescent="0.3">
      <c r="A11911" t="s">
        <v>1941</v>
      </c>
      <c r="B11911" t="s">
        <v>2157</v>
      </c>
      <c r="C11911">
        <v>8</v>
      </c>
      <c r="D11911">
        <v>120</v>
      </c>
      <c r="E11911">
        <f>IF(OR(B11911="vi",B11911="ii",B11911="pod"),(((D11911/100)*(C11911*VLOOKUP(B11911,'Poids des runes'!A:B,2,FALSE)))+1),(((D11911/100)*(C11911*VLOOKUP(B11911,'Poids des runes'!A:B,2,FALSE)))+1)/VLOOKUP(B11911,'Poids des runes'!A:B,2,FALSE))</f>
        <v>9.7666666666666657</v>
      </c>
      <c r="F11911">
        <f t="shared" si="186"/>
        <v>9.7666666666666657</v>
      </c>
    </row>
    <row r="11912" spans="1:6" x14ac:dyDescent="0.3">
      <c r="A11912" t="s">
        <v>1941</v>
      </c>
      <c r="B11912" t="s">
        <v>2146</v>
      </c>
      <c r="C11912">
        <v>7</v>
      </c>
      <c r="D11912">
        <v>120</v>
      </c>
      <c r="E11912">
        <f>IF(OR(B11912="vi",B11912="ii",B11912="pod"),(((D11912/100)*(C11912*VLOOKUP(B11912,'Poids des runes'!A:B,2,FALSE)))+1),(((D11912/100)*(C11912*VLOOKUP(B11912,'Poids des runes'!A:B,2,FALSE)))+1)/VLOOKUP(B11912,'Poids des runes'!A:B,2,FALSE))</f>
        <v>8.9</v>
      </c>
      <c r="F11912">
        <f t="shared" si="186"/>
        <v>8.9</v>
      </c>
    </row>
    <row r="11913" spans="1:6" x14ac:dyDescent="0.3">
      <c r="A11913" t="s">
        <v>1942</v>
      </c>
      <c r="B11913" t="s">
        <v>2128</v>
      </c>
      <c r="C11913">
        <v>125.5</v>
      </c>
      <c r="D11913">
        <v>120</v>
      </c>
      <c r="E11913">
        <f>IF(OR(B11913="vi",B11913="ii",B11913="pod"),(((D11913/100)*(C11913*VLOOKUP(B11913,'Poids des runes'!A:B,2,FALSE)))+1),(((D11913/100)*(C11913*VLOOKUP(B11913,'Poids des runes'!A:B,2,FALSE)))+1)/VLOOKUP(B11913,'Poids des runes'!A:B,2,FALSE))</f>
        <v>31.12</v>
      </c>
      <c r="F11913">
        <f t="shared" si="186"/>
        <v>31.12</v>
      </c>
    </row>
    <row r="11914" spans="1:6" x14ac:dyDescent="0.3">
      <c r="A11914" t="s">
        <v>1942</v>
      </c>
      <c r="B11914" t="s">
        <v>2126</v>
      </c>
      <c r="C11914">
        <v>40.5</v>
      </c>
      <c r="D11914">
        <v>120</v>
      </c>
      <c r="E11914">
        <f>IF(OR(B11914="vi",B11914="ii",B11914="pod"),(((D11914/100)*(C11914*VLOOKUP(B11914,'Poids des runes'!A:B,2,FALSE)))+1),(((D11914/100)*(C11914*VLOOKUP(B11914,'Poids des runes'!A:B,2,FALSE)))+1)/VLOOKUP(B11914,'Poids des runes'!A:B,2,FALSE))</f>
        <v>49.6</v>
      </c>
      <c r="F11914">
        <f t="shared" si="186"/>
        <v>49.6</v>
      </c>
    </row>
    <row r="11915" spans="1:6" x14ac:dyDescent="0.3">
      <c r="A11915" t="s">
        <v>1942</v>
      </c>
      <c r="B11915" t="s">
        <v>2129</v>
      </c>
      <c r="C11915">
        <v>28</v>
      </c>
      <c r="D11915">
        <v>120</v>
      </c>
      <c r="E11915">
        <f>IF(OR(B11915="vi",B11915="ii",B11915="pod"),(((D11915/100)*(C11915*VLOOKUP(B11915,'Poids des runes'!A:B,2,FALSE)))+1),(((D11915/100)*(C11915*VLOOKUP(B11915,'Poids des runes'!A:B,2,FALSE)))+1)/VLOOKUP(B11915,'Poids des runes'!A:B,2,FALSE))</f>
        <v>34.6</v>
      </c>
      <c r="F11915">
        <f t="shared" si="186"/>
        <v>34.6</v>
      </c>
    </row>
    <row r="11916" spans="1:6" x14ac:dyDescent="0.3">
      <c r="A11916" t="s">
        <v>1942</v>
      </c>
      <c r="B11916" t="s">
        <v>2151</v>
      </c>
      <c r="C11916">
        <v>3.5</v>
      </c>
      <c r="D11916">
        <v>120</v>
      </c>
      <c r="E11916">
        <f>IF(OR(B11916="vi",B11916="ii",B11916="pod"),(((D11916/100)*(C11916*VLOOKUP(B11916,'Poids des runes'!A:B,2,FALSE)))+1),(((D11916/100)*(C11916*VLOOKUP(B11916,'Poids des runes'!A:B,2,FALSE)))+1)/VLOOKUP(B11916,'Poids des runes'!A:B,2,FALSE))</f>
        <v>4.3</v>
      </c>
      <c r="F11916">
        <f t="shared" si="186"/>
        <v>4.3</v>
      </c>
    </row>
    <row r="11917" spans="1:6" x14ac:dyDescent="0.3">
      <c r="A11917" t="s">
        <v>1942</v>
      </c>
      <c r="B11917" t="s">
        <v>2134</v>
      </c>
      <c r="C11917">
        <v>8</v>
      </c>
      <c r="D11917">
        <v>120</v>
      </c>
      <c r="E11917">
        <f>IF(OR(B11917="vi",B11917="ii",B11917="pod"),(((D11917/100)*(C11917*VLOOKUP(B11917,'Poids des runes'!A:B,2,FALSE)))+1),(((D11917/100)*(C11917*VLOOKUP(B11917,'Poids des runes'!A:B,2,FALSE)))+1)/VLOOKUP(B11917,'Poids des runes'!A:B,2,FALSE))</f>
        <v>9.65</v>
      </c>
      <c r="F11917">
        <f t="shared" si="186"/>
        <v>9.65</v>
      </c>
    </row>
    <row r="11918" spans="1:6" x14ac:dyDescent="0.3">
      <c r="A11918" t="s">
        <v>1942</v>
      </c>
      <c r="B11918" t="s">
        <v>2135</v>
      </c>
      <c r="C11918">
        <v>4.5</v>
      </c>
      <c r="D11918">
        <v>120</v>
      </c>
      <c r="E11918">
        <f>IF(OR(B11918="vi",B11918="ii",B11918="pod"),(((D11918/100)*(C11918*VLOOKUP(B11918,'Poids des runes'!A:B,2,FALSE)))+1),(((D11918/100)*(C11918*VLOOKUP(B11918,'Poids des runes'!A:B,2,FALSE)))+1)/VLOOKUP(B11918,'Poids des runes'!A:B,2,FALSE))</f>
        <v>5.5666666666666664</v>
      </c>
      <c r="F11918">
        <f t="shared" si="186"/>
        <v>5.5666666666666664</v>
      </c>
    </row>
    <row r="11919" spans="1:6" x14ac:dyDescent="0.3">
      <c r="A11919" t="s">
        <v>1942</v>
      </c>
      <c r="B11919" t="s">
        <v>2157</v>
      </c>
      <c r="C11919">
        <v>4.5</v>
      </c>
      <c r="D11919">
        <v>120</v>
      </c>
      <c r="E11919">
        <f>IF(OR(B11919="vi",B11919="ii",B11919="pod"),(((D11919/100)*(C11919*VLOOKUP(B11919,'Poids des runes'!A:B,2,FALSE)))+1),(((D11919/100)*(C11919*VLOOKUP(B11919,'Poids des runes'!A:B,2,FALSE)))+1)/VLOOKUP(B11919,'Poids des runes'!A:B,2,FALSE))</f>
        <v>5.5666666666666664</v>
      </c>
      <c r="F11919">
        <f t="shared" si="186"/>
        <v>5.5666666666666664</v>
      </c>
    </row>
    <row r="11920" spans="1:6" x14ac:dyDescent="0.3">
      <c r="A11920" t="s">
        <v>1943</v>
      </c>
      <c r="B11920" t="s">
        <v>2126</v>
      </c>
      <c r="C11920">
        <v>30.5</v>
      </c>
      <c r="D11920">
        <v>120</v>
      </c>
      <c r="E11920">
        <f>IF(OR(B11920="vi",B11920="ii",B11920="pod"),(((D11920/100)*(C11920*VLOOKUP(B11920,'Poids des runes'!A:B,2,FALSE)))+1),(((D11920/100)*(C11920*VLOOKUP(B11920,'Poids des runes'!A:B,2,FALSE)))+1)/VLOOKUP(B11920,'Poids des runes'!A:B,2,FALSE))</f>
        <v>37.6</v>
      </c>
      <c r="F11920">
        <f t="shared" si="186"/>
        <v>37.6</v>
      </c>
    </row>
    <row r="11921" spans="1:6" x14ac:dyDescent="0.3">
      <c r="A11921" t="s">
        <v>1943</v>
      </c>
      <c r="B11921" t="s">
        <v>2129</v>
      </c>
      <c r="C11921">
        <v>30.5</v>
      </c>
      <c r="D11921">
        <v>120</v>
      </c>
      <c r="E11921">
        <f>IF(OR(B11921="vi",B11921="ii",B11921="pod"),(((D11921/100)*(C11921*VLOOKUP(B11921,'Poids des runes'!A:B,2,FALSE)))+1),(((D11921/100)*(C11921*VLOOKUP(B11921,'Poids des runes'!A:B,2,FALSE)))+1)/VLOOKUP(B11921,'Poids des runes'!A:B,2,FALSE))</f>
        <v>37.6</v>
      </c>
      <c r="F11921">
        <f t="shared" si="186"/>
        <v>37.6</v>
      </c>
    </row>
    <row r="11922" spans="1:6" x14ac:dyDescent="0.3">
      <c r="A11922" t="s">
        <v>1943</v>
      </c>
      <c r="B11922" t="s">
        <v>2155</v>
      </c>
      <c r="C11922">
        <v>1</v>
      </c>
      <c r="D11922">
        <v>120</v>
      </c>
      <c r="E11922">
        <f>IF(OR(B11922="vi",B11922="ii",B11922="pod"),(((D11922/100)*(C11922*VLOOKUP(B11922,'Poids des runes'!A:B,2,FALSE)))+1),(((D11922/100)*(C11922*VLOOKUP(B11922,'Poids des runes'!A:B,2,FALSE)))+1)/VLOOKUP(B11922,'Poids des runes'!A:B,2,FALSE))</f>
        <v>1.2196078431372548</v>
      </c>
      <c r="F11922">
        <f t="shared" si="186"/>
        <v>1.2196078431372548</v>
      </c>
    </row>
    <row r="11923" spans="1:6" x14ac:dyDescent="0.3">
      <c r="A11923" t="s">
        <v>1943</v>
      </c>
      <c r="B11923" t="s">
        <v>2134</v>
      </c>
      <c r="C11923">
        <v>8</v>
      </c>
      <c r="D11923">
        <v>120</v>
      </c>
      <c r="E11923">
        <f>IF(OR(B11923="vi",B11923="ii",B11923="pod"),(((D11923/100)*(C11923*VLOOKUP(B11923,'Poids des runes'!A:B,2,FALSE)))+1),(((D11923/100)*(C11923*VLOOKUP(B11923,'Poids des runes'!A:B,2,FALSE)))+1)/VLOOKUP(B11923,'Poids des runes'!A:B,2,FALSE))</f>
        <v>9.65</v>
      </c>
      <c r="F11923">
        <f t="shared" si="186"/>
        <v>9.65</v>
      </c>
    </row>
    <row r="11924" spans="1:6" x14ac:dyDescent="0.3">
      <c r="A11924" t="s">
        <v>1943</v>
      </c>
      <c r="B11924" t="s">
        <v>2161</v>
      </c>
      <c r="C11924">
        <v>8</v>
      </c>
      <c r="D11924">
        <v>120</v>
      </c>
      <c r="E11924">
        <f>IF(OR(B11924="vi",B11924="ii",B11924="pod"),(((D11924/100)*(C11924*VLOOKUP(B11924,'Poids des runes'!A:B,2,FALSE)))+1),(((D11924/100)*(C11924*VLOOKUP(B11924,'Poids des runes'!A:B,2,FALSE)))+1)/VLOOKUP(B11924,'Poids des runes'!A:B,2,FALSE))</f>
        <v>9.9333333333333318</v>
      </c>
      <c r="F11924">
        <f t="shared" si="186"/>
        <v>9.9333333333333318</v>
      </c>
    </row>
    <row r="11925" spans="1:6" x14ac:dyDescent="0.3">
      <c r="A11925" t="s">
        <v>1943</v>
      </c>
      <c r="B11925" t="s">
        <v>2135</v>
      </c>
      <c r="C11925">
        <v>4</v>
      </c>
      <c r="D11925">
        <v>120</v>
      </c>
      <c r="E11925">
        <f>IF(OR(B11925="vi",B11925="ii",B11925="pod"),(((D11925/100)*(C11925*VLOOKUP(B11925,'Poids des runes'!A:B,2,FALSE)))+1),(((D11925/100)*(C11925*VLOOKUP(B11925,'Poids des runes'!A:B,2,FALSE)))+1)/VLOOKUP(B11925,'Poids des runes'!A:B,2,FALSE))</f>
        <v>4.9666666666666659</v>
      </c>
      <c r="F11925">
        <f t="shared" si="186"/>
        <v>4.9666666666666659</v>
      </c>
    </row>
    <row r="11926" spans="1:6" x14ac:dyDescent="0.3">
      <c r="A11926" t="s">
        <v>1944</v>
      </c>
      <c r="B11926" t="s">
        <v>2128</v>
      </c>
      <c r="C11926">
        <v>60.5</v>
      </c>
      <c r="D11926">
        <v>121</v>
      </c>
      <c r="E11926">
        <f>IF(OR(B11926="vi",B11926="ii",B11926="pod"),(((D11926/100)*(C11926*VLOOKUP(B11926,'Poids des runes'!A:B,2,FALSE)))+1),(((D11926/100)*(C11926*VLOOKUP(B11926,'Poids des runes'!A:B,2,FALSE)))+1)/VLOOKUP(B11926,'Poids des runes'!A:B,2,FALSE))</f>
        <v>15.641000000000002</v>
      </c>
      <c r="F11926">
        <f t="shared" si="186"/>
        <v>15.641000000000002</v>
      </c>
    </row>
    <row r="11927" spans="1:6" x14ac:dyDescent="0.3">
      <c r="A11927" t="s">
        <v>1944</v>
      </c>
      <c r="B11927" t="s">
        <v>2127</v>
      </c>
      <c r="C11927">
        <v>40.5</v>
      </c>
      <c r="D11927">
        <v>121</v>
      </c>
      <c r="E11927">
        <f>IF(OR(B11927="vi",B11927="ii",B11927="pod"),(((D11927/100)*(C11927*VLOOKUP(B11927,'Poids des runes'!A:B,2,FALSE)))+1),(((D11927/100)*(C11927*VLOOKUP(B11927,'Poids des runes'!A:B,2,FALSE)))+1)/VLOOKUP(B11927,'Poids des runes'!A:B,2,FALSE))</f>
        <v>50.004999999999995</v>
      </c>
      <c r="F11927">
        <f t="shared" si="186"/>
        <v>50.004999999999995</v>
      </c>
    </row>
    <row r="11928" spans="1:6" x14ac:dyDescent="0.3">
      <c r="A11928" t="s">
        <v>1944</v>
      </c>
      <c r="B11928" t="s">
        <v>2129</v>
      </c>
      <c r="C11928">
        <v>25.5</v>
      </c>
      <c r="D11928">
        <v>121</v>
      </c>
      <c r="E11928">
        <f>IF(OR(B11928="vi",B11928="ii",B11928="pod"),(((D11928/100)*(C11928*VLOOKUP(B11928,'Poids des runes'!A:B,2,FALSE)))+1),(((D11928/100)*(C11928*VLOOKUP(B11928,'Poids des runes'!A:B,2,FALSE)))+1)/VLOOKUP(B11928,'Poids des runes'!A:B,2,FALSE))</f>
        <v>31.855</v>
      </c>
      <c r="F11928">
        <f t="shared" si="186"/>
        <v>31.855</v>
      </c>
    </row>
    <row r="11929" spans="1:6" x14ac:dyDescent="0.3">
      <c r="A11929" t="s">
        <v>1944</v>
      </c>
      <c r="B11929" t="s">
        <v>2139</v>
      </c>
      <c r="C11929">
        <v>13</v>
      </c>
      <c r="D11929">
        <v>121</v>
      </c>
      <c r="E11929">
        <f>IF(OR(B11929="vi",B11929="ii",B11929="pod"),(((D11929/100)*(C11929*VLOOKUP(B11929,'Poids des runes'!A:B,2,FALSE)))+1),(((D11929/100)*(C11929*VLOOKUP(B11929,'Poids des runes'!A:B,2,FALSE)))+1)/VLOOKUP(B11929,'Poids des runes'!A:B,2,FALSE))</f>
        <v>16.23</v>
      </c>
      <c r="F11929">
        <f t="shared" si="186"/>
        <v>16.23</v>
      </c>
    </row>
    <row r="11930" spans="1:6" x14ac:dyDescent="0.3">
      <c r="A11930" t="s">
        <v>1944</v>
      </c>
      <c r="B11930" t="s">
        <v>2155</v>
      </c>
      <c r="C11930">
        <v>1</v>
      </c>
      <c r="D11930">
        <v>121</v>
      </c>
      <c r="E11930">
        <f>IF(OR(B11930="vi",B11930="ii",B11930="pod"),(((D11930/100)*(C11930*VLOOKUP(B11930,'Poids des runes'!A:B,2,FALSE)))+1),(((D11930/100)*(C11930*VLOOKUP(B11930,'Poids des runes'!A:B,2,FALSE)))+1)/VLOOKUP(B11930,'Poids des runes'!A:B,2,FALSE))</f>
        <v>1.229607843137255</v>
      </c>
      <c r="F11930">
        <f t="shared" si="186"/>
        <v>1.229607843137255</v>
      </c>
    </row>
    <row r="11931" spans="1:6" x14ac:dyDescent="0.3">
      <c r="A11931" t="s">
        <v>1944</v>
      </c>
      <c r="B11931" t="s">
        <v>2161</v>
      </c>
      <c r="C11931">
        <v>8</v>
      </c>
      <c r="D11931">
        <v>121</v>
      </c>
      <c r="E11931">
        <f>IF(OR(B11931="vi",B11931="ii",B11931="pod"),(((D11931/100)*(C11931*VLOOKUP(B11931,'Poids des runes'!A:B,2,FALSE)))+1),(((D11931/100)*(C11931*VLOOKUP(B11931,'Poids des runes'!A:B,2,FALSE)))+1)/VLOOKUP(B11931,'Poids des runes'!A:B,2,FALSE))</f>
        <v>10.013333333333334</v>
      </c>
      <c r="F11931">
        <f t="shared" si="186"/>
        <v>10.013333333333334</v>
      </c>
    </row>
    <row r="11932" spans="1:6" x14ac:dyDescent="0.3">
      <c r="A11932" t="s">
        <v>1945</v>
      </c>
      <c r="B11932" t="s">
        <v>2128</v>
      </c>
      <c r="C11932">
        <v>60.5</v>
      </c>
      <c r="D11932">
        <v>121</v>
      </c>
      <c r="E11932">
        <f>IF(OR(B11932="vi",B11932="ii",B11932="pod"),(((D11932/100)*(C11932*VLOOKUP(B11932,'Poids des runes'!A:B,2,FALSE)))+1),(((D11932/100)*(C11932*VLOOKUP(B11932,'Poids des runes'!A:B,2,FALSE)))+1)/VLOOKUP(B11932,'Poids des runes'!A:B,2,FALSE))</f>
        <v>15.641000000000002</v>
      </c>
      <c r="F11932">
        <f t="shared" si="186"/>
        <v>15.641000000000002</v>
      </c>
    </row>
    <row r="11933" spans="1:6" x14ac:dyDescent="0.3">
      <c r="A11933" t="s">
        <v>1945</v>
      </c>
      <c r="B11933" t="s">
        <v>2131</v>
      </c>
      <c r="C11933">
        <v>40.5</v>
      </c>
      <c r="D11933">
        <v>121</v>
      </c>
      <c r="E11933">
        <f>IF(OR(B11933="vi",B11933="ii",B11933="pod"),(((D11933/100)*(C11933*VLOOKUP(B11933,'Poids des runes'!A:B,2,FALSE)))+1),(((D11933/100)*(C11933*VLOOKUP(B11933,'Poids des runes'!A:B,2,FALSE)))+1)/VLOOKUP(B11933,'Poids des runes'!A:B,2,FALSE))</f>
        <v>50.004999999999995</v>
      </c>
      <c r="F11933">
        <f t="shared" si="186"/>
        <v>50.004999999999995</v>
      </c>
    </row>
    <row r="11934" spans="1:6" x14ac:dyDescent="0.3">
      <c r="A11934" t="s">
        <v>1945</v>
      </c>
      <c r="B11934" t="s">
        <v>2129</v>
      </c>
      <c r="C11934">
        <v>25.5</v>
      </c>
      <c r="D11934">
        <v>121</v>
      </c>
      <c r="E11934">
        <f>IF(OR(B11934="vi",B11934="ii",B11934="pod"),(((D11934/100)*(C11934*VLOOKUP(B11934,'Poids des runes'!A:B,2,FALSE)))+1),(((D11934/100)*(C11934*VLOOKUP(B11934,'Poids des runes'!A:B,2,FALSE)))+1)/VLOOKUP(B11934,'Poids des runes'!A:B,2,FALSE))</f>
        <v>31.855</v>
      </c>
      <c r="F11934">
        <f t="shared" si="186"/>
        <v>31.855</v>
      </c>
    </row>
    <row r="11935" spans="1:6" x14ac:dyDescent="0.3">
      <c r="A11935" t="s">
        <v>1945</v>
      </c>
      <c r="B11935" t="s">
        <v>2139</v>
      </c>
      <c r="C11935">
        <v>13</v>
      </c>
      <c r="D11935">
        <v>121</v>
      </c>
      <c r="E11935">
        <f>IF(OR(B11935="vi",B11935="ii",B11935="pod"),(((D11935/100)*(C11935*VLOOKUP(B11935,'Poids des runes'!A:B,2,FALSE)))+1),(((D11935/100)*(C11935*VLOOKUP(B11935,'Poids des runes'!A:B,2,FALSE)))+1)/VLOOKUP(B11935,'Poids des runes'!A:B,2,FALSE))</f>
        <v>16.23</v>
      </c>
      <c r="F11935">
        <f t="shared" si="186"/>
        <v>16.23</v>
      </c>
    </row>
    <row r="11936" spans="1:6" x14ac:dyDescent="0.3">
      <c r="A11936" t="s">
        <v>1945</v>
      </c>
      <c r="B11936" t="s">
        <v>2134</v>
      </c>
      <c r="C11936">
        <v>8</v>
      </c>
      <c r="D11936">
        <v>121</v>
      </c>
      <c r="E11936">
        <f>IF(OR(B11936="vi",B11936="ii",B11936="pod"),(((D11936/100)*(C11936*VLOOKUP(B11936,'Poids des runes'!A:B,2,FALSE)))+1),(((D11936/100)*(C11936*VLOOKUP(B11936,'Poids des runes'!A:B,2,FALSE)))+1)/VLOOKUP(B11936,'Poids des runes'!A:B,2,FALSE))</f>
        <v>9.73</v>
      </c>
      <c r="F11936">
        <f t="shared" si="186"/>
        <v>9.73</v>
      </c>
    </row>
    <row r="11937" spans="1:6" x14ac:dyDescent="0.3">
      <c r="A11937" t="s">
        <v>1945</v>
      </c>
      <c r="B11937" t="s">
        <v>2161</v>
      </c>
      <c r="C11937">
        <v>13</v>
      </c>
      <c r="D11937">
        <v>121</v>
      </c>
      <c r="E11937">
        <f>IF(OR(B11937="vi",B11937="ii",B11937="pod"),(((D11937/100)*(C11937*VLOOKUP(B11937,'Poids des runes'!A:B,2,FALSE)))+1),(((D11937/100)*(C11937*VLOOKUP(B11937,'Poids des runes'!A:B,2,FALSE)))+1)/VLOOKUP(B11937,'Poids des runes'!A:B,2,FALSE))</f>
        <v>16.063333333333333</v>
      </c>
      <c r="F11937">
        <f t="shared" si="186"/>
        <v>16.063333333333333</v>
      </c>
    </row>
    <row r="11938" spans="1:6" x14ac:dyDescent="0.3">
      <c r="A11938" t="s">
        <v>1946</v>
      </c>
      <c r="B11938" t="s">
        <v>2128</v>
      </c>
      <c r="C11938">
        <v>80.5</v>
      </c>
      <c r="D11938">
        <v>121</v>
      </c>
      <c r="E11938">
        <f>IF(OR(B11938="vi",B11938="ii",B11938="pod"),(((D11938/100)*(C11938*VLOOKUP(B11938,'Poids des runes'!A:B,2,FALSE)))+1),(((D11938/100)*(C11938*VLOOKUP(B11938,'Poids des runes'!A:B,2,FALSE)))+1)/VLOOKUP(B11938,'Poids des runes'!A:B,2,FALSE))</f>
        <v>20.481000000000002</v>
      </c>
      <c r="F11938">
        <f t="shared" si="186"/>
        <v>20.481000000000002</v>
      </c>
    </row>
    <row r="11939" spans="1:6" x14ac:dyDescent="0.3">
      <c r="A11939" t="s">
        <v>1946</v>
      </c>
      <c r="B11939" t="s">
        <v>2130</v>
      </c>
      <c r="C11939">
        <v>28</v>
      </c>
      <c r="D11939">
        <v>121</v>
      </c>
      <c r="E11939">
        <f>IF(OR(B11939="vi",B11939="ii",B11939="pod"),(((D11939/100)*(C11939*VLOOKUP(B11939,'Poids des runes'!A:B,2,FALSE)))+1),(((D11939/100)*(C11939*VLOOKUP(B11939,'Poids des runes'!A:B,2,FALSE)))+1)/VLOOKUP(B11939,'Poids des runes'!A:B,2,FALSE))</f>
        <v>34.879999999999995</v>
      </c>
      <c r="F11939">
        <f t="shared" si="186"/>
        <v>34.879999999999995</v>
      </c>
    </row>
    <row r="11940" spans="1:6" x14ac:dyDescent="0.3">
      <c r="A11940" t="s">
        <v>1946</v>
      </c>
      <c r="B11940" t="s">
        <v>2126</v>
      </c>
      <c r="C11940">
        <v>28</v>
      </c>
      <c r="D11940">
        <v>121</v>
      </c>
      <c r="E11940">
        <f>IF(OR(B11940="vi",B11940="ii",B11940="pod"),(((D11940/100)*(C11940*VLOOKUP(B11940,'Poids des runes'!A:B,2,FALSE)))+1),(((D11940/100)*(C11940*VLOOKUP(B11940,'Poids des runes'!A:B,2,FALSE)))+1)/VLOOKUP(B11940,'Poids des runes'!A:B,2,FALSE))</f>
        <v>34.879999999999995</v>
      </c>
      <c r="F11940">
        <f t="shared" si="186"/>
        <v>34.879999999999995</v>
      </c>
    </row>
    <row r="11941" spans="1:6" x14ac:dyDescent="0.3">
      <c r="A11941" t="s">
        <v>1946</v>
      </c>
      <c r="B11941" t="s">
        <v>2131</v>
      </c>
      <c r="C11941">
        <v>28</v>
      </c>
      <c r="D11941">
        <v>121</v>
      </c>
      <c r="E11941">
        <f>IF(OR(B11941="vi",B11941="ii",B11941="pod"),(((D11941/100)*(C11941*VLOOKUP(B11941,'Poids des runes'!A:B,2,FALSE)))+1),(((D11941/100)*(C11941*VLOOKUP(B11941,'Poids des runes'!A:B,2,FALSE)))+1)/VLOOKUP(B11941,'Poids des runes'!A:B,2,FALSE))</f>
        <v>34.879999999999995</v>
      </c>
      <c r="F11941">
        <f t="shared" si="186"/>
        <v>34.879999999999995</v>
      </c>
    </row>
    <row r="11942" spans="1:6" x14ac:dyDescent="0.3">
      <c r="A11942" t="s">
        <v>1946</v>
      </c>
      <c r="B11942" t="s">
        <v>2127</v>
      </c>
      <c r="C11942">
        <v>28</v>
      </c>
      <c r="D11942">
        <v>121</v>
      </c>
      <c r="E11942">
        <f>IF(OR(B11942="vi",B11942="ii",B11942="pod"),(((D11942/100)*(C11942*VLOOKUP(B11942,'Poids des runes'!A:B,2,FALSE)))+1),(((D11942/100)*(C11942*VLOOKUP(B11942,'Poids des runes'!A:B,2,FALSE)))+1)/VLOOKUP(B11942,'Poids des runes'!A:B,2,FALSE))</f>
        <v>34.879999999999995</v>
      </c>
      <c r="F11942">
        <f t="shared" si="186"/>
        <v>34.879999999999995</v>
      </c>
    </row>
    <row r="11943" spans="1:6" x14ac:dyDescent="0.3">
      <c r="A11943" t="s">
        <v>1946</v>
      </c>
      <c r="B11943" t="s">
        <v>2129</v>
      </c>
      <c r="C11943">
        <v>30.5</v>
      </c>
      <c r="D11943">
        <v>121</v>
      </c>
      <c r="E11943">
        <f>IF(OR(B11943="vi",B11943="ii",B11943="pod"),(((D11943/100)*(C11943*VLOOKUP(B11943,'Poids des runes'!A:B,2,FALSE)))+1),(((D11943/100)*(C11943*VLOOKUP(B11943,'Poids des runes'!A:B,2,FALSE)))+1)/VLOOKUP(B11943,'Poids des runes'!A:B,2,FALSE))</f>
        <v>37.905000000000001</v>
      </c>
      <c r="F11943">
        <f t="shared" si="186"/>
        <v>37.905000000000001</v>
      </c>
    </row>
    <row r="11944" spans="1:6" x14ac:dyDescent="0.3">
      <c r="A11944" t="s">
        <v>1946</v>
      </c>
      <c r="B11944" t="s">
        <v>2139</v>
      </c>
      <c r="C11944">
        <v>15.5</v>
      </c>
      <c r="D11944">
        <v>121</v>
      </c>
      <c r="E11944">
        <f>IF(OR(B11944="vi",B11944="ii",B11944="pod"),(((D11944/100)*(C11944*VLOOKUP(B11944,'Poids des runes'!A:B,2,FALSE)))+1),(((D11944/100)*(C11944*VLOOKUP(B11944,'Poids des runes'!A:B,2,FALSE)))+1)/VLOOKUP(B11944,'Poids des runes'!A:B,2,FALSE))</f>
        <v>19.254999999999999</v>
      </c>
      <c r="F11944">
        <f t="shared" si="186"/>
        <v>19.254999999999999</v>
      </c>
    </row>
    <row r="11945" spans="1:6" x14ac:dyDescent="0.3">
      <c r="A11945" t="s">
        <v>1946</v>
      </c>
      <c r="B11945" t="s">
        <v>2134</v>
      </c>
      <c r="C11945">
        <v>6</v>
      </c>
      <c r="D11945">
        <v>121</v>
      </c>
      <c r="E11945">
        <f>IF(OR(B11945="vi",B11945="ii",B11945="pod"),(((D11945/100)*(C11945*VLOOKUP(B11945,'Poids des runes'!A:B,2,FALSE)))+1),(((D11945/100)*(C11945*VLOOKUP(B11945,'Poids des runes'!A:B,2,FALSE)))+1)/VLOOKUP(B11945,'Poids des runes'!A:B,2,FALSE))</f>
        <v>7.31</v>
      </c>
      <c r="F11945">
        <f t="shared" si="186"/>
        <v>7.31</v>
      </c>
    </row>
    <row r="11946" spans="1:6" x14ac:dyDescent="0.3">
      <c r="A11946" t="s">
        <v>1947</v>
      </c>
      <c r="B11946" t="s">
        <v>2128</v>
      </c>
      <c r="C11946">
        <v>75.5</v>
      </c>
      <c r="D11946">
        <v>122</v>
      </c>
      <c r="E11946">
        <f>IF(OR(B11946="vi",B11946="ii",B11946="pod"),(((D11946/100)*(C11946*VLOOKUP(B11946,'Poids des runes'!A:B,2,FALSE)))+1),(((D11946/100)*(C11946*VLOOKUP(B11946,'Poids des runes'!A:B,2,FALSE)))+1)/VLOOKUP(B11946,'Poids des runes'!A:B,2,FALSE))</f>
        <v>19.422000000000001</v>
      </c>
      <c r="F11946">
        <f t="shared" si="186"/>
        <v>19.422000000000001</v>
      </c>
    </row>
    <row r="11947" spans="1:6" x14ac:dyDescent="0.3">
      <c r="A11947" t="s">
        <v>1947</v>
      </c>
      <c r="B11947" t="s">
        <v>2130</v>
      </c>
      <c r="C11947">
        <v>30.5</v>
      </c>
      <c r="D11947">
        <v>122</v>
      </c>
      <c r="E11947">
        <f>IF(OR(B11947="vi",B11947="ii",B11947="pod"),(((D11947/100)*(C11947*VLOOKUP(B11947,'Poids des runes'!A:B,2,FALSE)))+1),(((D11947/100)*(C11947*VLOOKUP(B11947,'Poids des runes'!A:B,2,FALSE)))+1)/VLOOKUP(B11947,'Poids des runes'!A:B,2,FALSE))</f>
        <v>38.21</v>
      </c>
      <c r="F11947">
        <f t="shared" si="186"/>
        <v>38.21</v>
      </c>
    </row>
    <row r="11948" spans="1:6" x14ac:dyDescent="0.3">
      <c r="A11948" t="s">
        <v>1947</v>
      </c>
      <c r="B11948" t="s">
        <v>2129</v>
      </c>
      <c r="C11948">
        <v>15.5</v>
      </c>
      <c r="D11948">
        <v>122</v>
      </c>
      <c r="E11948">
        <f>IF(OR(B11948="vi",B11948="ii",B11948="pod"),(((D11948/100)*(C11948*VLOOKUP(B11948,'Poids des runes'!A:B,2,FALSE)))+1),(((D11948/100)*(C11948*VLOOKUP(B11948,'Poids des runes'!A:B,2,FALSE)))+1)/VLOOKUP(B11948,'Poids des runes'!A:B,2,FALSE))</f>
        <v>19.91</v>
      </c>
      <c r="F11948">
        <f t="shared" si="186"/>
        <v>19.91</v>
      </c>
    </row>
    <row r="11949" spans="1:6" x14ac:dyDescent="0.3">
      <c r="A11949" t="s">
        <v>1947</v>
      </c>
      <c r="B11949" t="s">
        <v>2139</v>
      </c>
      <c r="C11949">
        <v>8</v>
      </c>
      <c r="D11949">
        <v>122</v>
      </c>
      <c r="E11949">
        <f>IF(OR(B11949="vi",B11949="ii",B11949="pod"),(((D11949/100)*(C11949*VLOOKUP(B11949,'Poids des runes'!A:B,2,FALSE)))+1),(((D11949/100)*(C11949*VLOOKUP(B11949,'Poids des runes'!A:B,2,FALSE)))+1)/VLOOKUP(B11949,'Poids des runes'!A:B,2,FALSE))</f>
        <v>10.26</v>
      </c>
      <c r="F11949">
        <f t="shared" si="186"/>
        <v>10.26</v>
      </c>
    </row>
    <row r="11950" spans="1:6" x14ac:dyDescent="0.3">
      <c r="A11950" t="s">
        <v>1947</v>
      </c>
      <c r="B11950" t="s">
        <v>2151</v>
      </c>
      <c r="C11950">
        <v>4</v>
      </c>
      <c r="D11950">
        <v>122</v>
      </c>
      <c r="E11950">
        <f>IF(OR(B11950="vi",B11950="ii",B11950="pod"),(((D11950/100)*(C11950*VLOOKUP(B11950,'Poids des runes'!A:B,2,FALSE)))+1),(((D11950/100)*(C11950*VLOOKUP(B11950,'Poids des runes'!A:B,2,FALSE)))+1)/VLOOKUP(B11950,'Poids des runes'!A:B,2,FALSE))</f>
        <v>4.9799999999999995</v>
      </c>
      <c r="F11950">
        <f t="shared" si="186"/>
        <v>4.9799999999999995</v>
      </c>
    </row>
    <row r="11951" spans="1:6" x14ac:dyDescent="0.3">
      <c r="A11951" t="s">
        <v>1947</v>
      </c>
      <c r="B11951" t="s">
        <v>2134</v>
      </c>
      <c r="C11951">
        <v>8</v>
      </c>
      <c r="D11951">
        <v>122</v>
      </c>
      <c r="E11951">
        <f>IF(OR(B11951="vi",B11951="ii",B11951="pod"),(((D11951/100)*(C11951*VLOOKUP(B11951,'Poids des runes'!A:B,2,FALSE)))+1),(((D11951/100)*(C11951*VLOOKUP(B11951,'Poids des runes'!A:B,2,FALSE)))+1)/VLOOKUP(B11951,'Poids des runes'!A:B,2,FALSE))</f>
        <v>9.8099999999999987</v>
      </c>
      <c r="F11951">
        <f t="shared" si="186"/>
        <v>9.8099999999999987</v>
      </c>
    </row>
    <row r="11952" spans="1:6" x14ac:dyDescent="0.3">
      <c r="A11952" t="s">
        <v>1947</v>
      </c>
      <c r="B11952" t="s">
        <v>2161</v>
      </c>
      <c r="C11952">
        <v>13</v>
      </c>
      <c r="D11952">
        <v>122</v>
      </c>
      <c r="E11952">
        <f>IF(OR(B11952="vi",B11952="ii",B11952="pod"),(((D11952/100)*(C11952*VLOOKUP(B11952,'Poids des runes'!A:B,2,FALSE)))+1),(((D11952/100)*(C11952*VLOOKUP(B11952,'Poids des runes'!A:B,2,FALSE)))+1)/VLOOKUP(B11952,'Poids des runes'!A:B,2,FALSE))</f>
        <v>16.193333333333332</v>
      </c>
      <c r="F11952">
        <f t="shared" si="186"/>
        <v>16.193333333333332</v>
      </c>
    </row>
    <row r="11953" spans="1:6" x14ac:dyDescent="0.3">
      <c r="A11953" t="s">
        <v>1947</v>
      </c>
      <c r="B11953" t="s">
        <v>2144</v>
      </c>
      <c r="C11953">
        <v>4.5</v>
      </c>
      <c r="D11953">
        <v>122</v>
      </c>
      <c r="E11953">
        <f>IF(OR(B11953="vi",B11953="ii",B11953="pod"),(((D11953/100)*(C11953*VLOOKUP(B11953,'Poids des runes'!A:B,2,FALSE)))+1),(((D11953/100)*(C11953*VLOOKUP(B11953,'Poids des runes'!A:B,2,FALSE)))+1)/VLOOKUP(B11953,'Poids des runes'!A:B,2,FALSE))</f>
        <v>5.99</v>
      </c>
      <c r="F11953">
        <f t="shared" si="186"/>
        <v>5.99</v>
      </c>
    </row>
    <row r="11954" spans="1:6" x14ac:dyDescent="0.3">
      <c r="A11954" t="s">
        <v>1948</v>
      </c>
      <c r="B11954" t="s">
        <v>2128</v>
      </c>
      <c r="C11954">
        <v>125.5</v>
      </c>
      <c r="D11954">
        <v>122</v>
      </c>
      <c r="E11954">
        <f>IF(OR(B11954="vi",B11954="ii",B11954="pod"),(((D11954/100)*(C11954*VLOOKUP(B11954,'Poids des runes'!A:B,2,FALSE)))+1),(((D11954/100)*(C11954*VLOOKUP(B11954,'Poids des runes'!A:B,2,FALSE)))+1)/VLOOKUP(B11954,'Poids des runes'!A:B,2,FALSE))</f>
        <v>31.622</v>
      </c>
      <c r="F11954">
        <f t="shared" si="186"/>
        <v>31.622</v>
      </c>
    </row>
    <row r="11955" spans="1:6" x14ac:dyDescent="0.3">
      <c r="A11955" t="s">
        <v>1948</v>
      </c>
      <c r="B11955" t="s">
        <v>2131</v>
      </c>
      <c r="C11955">
        <v>40.5</v>
      </c>
      <c r="D11955">
        <v>122</v>
      </c>
      <c r="E11955">
        <f>IF(OR(B11955="vi",B11955="ii",B11955="pod"),(((D11955/100)*(C11955*VLOOKUP(B11955,'Poids des runes'!A:B,2,FALSE)))+1),(((D11955/100)*(C11955*VLOOKUP(B11955,'Poids des runes'!A:B,2,FALSE)))+1)/VLOOKUP(B11955,'Poids des runes'!A:B,2,FALSE))</f>
        <v>50.41</v>
      </c>
      <c r="F11955">
        <f t="shared" si="186"/>
        <v>50.41</v>
      </c>
    </row>
    <row r="11956" spans="1:6" x14ac:dyDescent="0.3">
      <c r="A11956" t="s">
        <v>1948</v>
      </c>
      <c r="B11956" t="s">
        <v>2129</v>
      </c>
      <c r="C11956">
        <v>35.5</v>
      </c>
      <c r="D11956">
        <v>122</v>
      </c>
      <c r="E11956">
        <f>IF(OR(B11956="vi",B11956="ii",B11956="pod"),(((D11956/100)*(C11956*VLOOKUP(B11956,'Poids des runes'!A:B,2,FALSE)))+1),(((D11956/100)*(C11956*VLOOKUP(B11956,'Poids des runes'!A:B,2,FALSE)))+1)/VLOOKUP(B11956,'Poids des runes'!A:B,2,FALSE))</f>
        <v>44.31</v>
      </c>
      <c r="F11956">
        <f t="shared" si="186"/>
        <v>44.31</v>
      </c>
    </row>
    <row r="11957" spans="1:6" x14ac:dyDescent="0.3">
      <c r="A11957" t="s">
        <v>1948</v>
      </c>
      <c r="B11957" t="s">
        <v>2139</v>
      </c>
      <c r="C11957">
        <v>13</v>
      </c>
      <c r="D11957">
        <v>122</v>
      </c>
      <c r="E11957">
        <f>IF(OR(B11957="vi",B11957="ii",B11957="pod"),(((D11957/100)*(C11957*VLOOKUP(B11957,'Poids des runes'!A:B,2,FALSE)))+1),(((D11957/100)*(C11957*VLOOKUP(B11957,'Poids des runes'!A:B,2,FALSE)))+1)/VLOOKUP(B11957,'Poids des runes'!A:B,2,FALSE))</f>
        <v>16.36</v>
      </c>
      <c r="F11957">
        <f t="shared" si="186"/>
        <v>16.36</v>
      </c>
    </row>
    <row r="11958" spans="1:6" x14ac:dyDescent="0.3">
      <c r="A11958" t="s">
        <v>1948</v>
      </c>
      <c r="B11958" t="s">
        <v>2155</v>
      </c>
      <c r="C11958">
        <v>1</v>
      </c>
      <c r="D11958">
        <v>122</v>
      </c>
      <c r="E11958">
        <f>IF(OR(B11958="vi",B11958="ii",B11958="pod"),(((D11958/100)*(C11958*VLOOKUP(B11958,'Poids des runes'!A:B,2,FALSE)))+1),(((D11958/100)*(C11958*VLOOKUP(B11958,'Poids des runes'!A:B,2,FALSE)))+1)/VLOOKUP(B11958,'Poids des runes'!A:B,2,FALSE))</f>
        <v>1.2396078431372548</v>
      </c>
      <c r="F11958">
        <f t="shared" si="186"/>
        <v>1.2396078431372548</v>
      </c>
    </row>
    <row r="11959" spans="1:6" x14ac:dyDescent="0.3">
      <c r="A11959" t="s">
        <v>1948</v>
      </c>
      <c r="B11959" t="s">
        <v>2161</v>
      </c>
      <c r="C11959">
        <v>13</v>
      </c>
      <c r="D11959">
        <v>122</v>
      </c>
      <c r="E11959">
        <f>IF(OR(B11959="vi",B11959="ii",B11959="pod"),(((D11959/100)*(C11959*VLOOKUP(B11959,'Poids des runes'!A:B,2,FALSE)))+1),(((D11959/100)*(C11959*VLOOKUP(B11959,'Poids des runes'!A:B,2,FALSE)))+1)/VLOOKUP(B11959,'Poids des runes'!A:B,2,FALSE))</f>
        <v>16.193333333333332</v>
      </c>
      <c r="F11959">
        <f t="shared" si="186"/>
        <v>16.193333333333332</v>
      </c>
    </row>
    <row r="11960" spans="1:6" x14ac:dyDescent="0.3">
      <c r="A11960" t="s">
        <v>1948</v>
      </c>
      <c r="B11960" t="s">
        <v>2135</v>
      </c>
      <c r="C11960">
        <v>8</v>
      </c>
      <c r="D11960">
        <v>122</v>
      </c>
      <c r="E11960">
        <f>IF(OR(B11960="vi",B11960="ii",B11960="pod"),(((D11960/100)*(C11960*VLOOKUP(B11960,'Poids des runes'!A:B,2,FALSE)))+1),(((D11960/100)*(C11960*VLOOKUP(B11960,'Poids des runes'!A:B,2,FALSE)))+1)/VLOOKUP(B11960,'Poids des runes'!A:B,2,FALSE))</f>
        <v>9.9266666666666676</v>
      </c>
      <c r="F11960">
        <f t="shared" si="186"/>
        <v>9.9266666666666676</v>
      </c>
    </row>
    <row r="11961" spans="1:6" x14ac:dyDescent="0.3">
      <c r="A11961" t="s">
        <v>1948</v>
      </c>
      <c r="B11961" t="s">
        <v>2136</v>
      </c>
      <c r="C11961">
        <v>8</v>
      </c>
      <c r="D11961">
        <v>122</v>
      </c>
      <c r="E11961">
        <f>IF(OR(B11961="vi",B11961="ii",B11961="pod"),(((D11961/100)*(C11961*VLOOKUP(B11961,'Poids des runes'!A:B,2,FALSE)))+1),(((D11961/100)*(C11961*VLOOKUP(B11961,'Poids des runes'!A:B,2,FALSE)))+1)/VLOOKUP(B11961,'Poids des runes'!A:B,2,FALSE))</f>
        <v>10.26</v>
      </c>
      <c r="F11961">
        <f t="shared" si="186"/>
        <v>10.26</v>
      </c>
    </row>
    <row r="11962" spans="1:6" x14ac:dyDescent="0.3">
      <c r="A11962" t="s">
        <v>1948</v>
      </c>
      <c r="B11962" t="s">
        <v>2145</v>
      </c>
      <c r="C11962">
        <v>8</v>
      </c>
      <c r="D11962">
        <v>122</v>
      </c>
      <c r="E11962">
        <f>IF(OR(B11962="vi",B11962="ii",B11962="pod"),(((D11962/100)*(C11962*VLOOKUP(B11962,'Poids des runes'!A:B,2,FALSE)))+1),(((D11962/100)*(C11962*VLOOKUP(B11962,'Poids des runes'!A:B,2,FALSE)))+1)/VLOOKUP(B11962,'Poids des runes'!A:B,2,FALSE))</f>
        <v>10.26</v>
      </c>
      <c r="F11962">
        <f t="shared" si="186"/>
        <v>10.26</v>
      </c>
    </row>
    <row r="11963" spans="1:6" x14ac:dyDescent="0.3">
      <c r="A11963" t="s">
        <v>1949</v>
      </c>
      <c r="B11963" t="s">
        <v>2128</v>
      </c>
      <c r="C11963">
        <v>125.5</v>
      </c>
      <c r="D11963">
        <v>123</v>
      </c>
      <c r="E11963">
        <f>IF(OR(B11963="vi",B11963="ii",B11963="pod"),(((D11963/100)*(C11963*VLOOKUP(B11963,'Poids des runes'!A:B,2,FALSE)))+1),(((D11963/100)*(C11963*VLOOKUP(B11963,'Poids des runes'!A:B,2,FALSE)))+1)/VLOOKUP(B11963,'Poids des runes'!A:B,2,FALSE))</f>
        <v>31.873000000000001</v>
      </c>
      <c r="F11963">
        <f t="shared" si="186"/>
        <v>31.873000000000001</v>
      </c>
    </row>
    <row r="11964" spans="1:6" x14ac:dyDescent="0.3">
      <c r="A11964" t="s">
        <v>1949</v>
      </c>
      <c r="B11964" t="s">
        <v>2126</v>
      </c>
      <c r="C11964">
        <v>40.5</v>
      </c>
      <c r="D11964">
        <v>123</v>
      </c>
      <c r="E11964">
        <f>IF(OR(B11964="vi",B11964="ii",B11964="pod"),(((D11964/100)*(C11964*VLOOKUP(B11964,'Poids des runes'!A:B,2,FALSE)))+1),(((D11964/100)*(C11964*VLOOKUP(B11964,'Poids des runes'!A:B,2,FALSE)))+1)/VLOOKUP(B11964,'Poids des runes'!A:B,2,FALSE))</f>
        <v>50.814999999999998</v>
      </c>
      <c r="F11964">
        <f t="shared" si="186"/>
        <v>50.814999999999998</v>
      </c>
    </row>
    <row r="11965" spans="1:6" x14ac:dyDescent="0.3">
      <c r="A11965" t="s">
        <v>1949</v>
      </c>
      <c r="B11965" t="s">
        <v>2129</v>
      </c>
      <c r="C11965">
        <v>25.5</v>
      </c>
      <c r="D11965">
        <v>123</v>
      </c>
      <c r="E11965">
        <f>IF(OR(B11965="vi",B11965="ii",B11965="pod"),(((D11965/100)*(C11965*VLOOKUP(B11965,'Poids des runes'!A:B,2,FALSE)))+1),(((D11965/100)*(C11965*VLOOKUP(B11965,'Poids des runes'!A:B,2,FALSE)))+1)/VLOOKUP(B11965,'Poids des runes'!A:B,2,FALSE))</f>
        <v>32.364999999999995</v>
      </c>
      <c r="F11965">
        <f t="shared" si="186"/>
        <v>32.364999999999995</v>
      </c>
    </row>
    <row r="11966" spans="1:6" x14ac:dyDescent="0.3">
      <c r="A11966" t="s">
        <v>1949</v>
      </c>
      <c r="B11966" t="s">
        <v>2151</v>
      </c>
      <c r="C11966">
        <v>3.5</v>
      </c>
      <c r="D11966">
        <v>123</v>
      </c>
      <c r="E11966">
        <f>IF(OR(B11966="vi",B11966="ii",B11966="pod"),(((D11966/100)*(C11966*VLOOKUP(B11966,'Poids des runes'!A:B,2,FALSE)))+1),(((D11966/100)*(C11966*VLOOKUP(B11966,'Poids des runes'!A:B,2,FALSE)))+1)/VLOOKUP(B11966,'Poids des runes'!A:B,2,FALSE))</f>
        <v>4.4049999999999994</v>
      </c>
      <c r="F11966">
        <f t="shared" si="186"/>
        <v>4.4049999999999994</v>
      </c>
    </row>
    <row r="11967" spans="1:6" x14ac:dyDescent="0.3">
      <c r="A11967" t="s">
        <v>1949</v>
      </c>
      <c r="B11967" t="s">
        <v>2154</v>
      </c>
      <c r="C11967">
        <v>1</v>
      </c>
      <c r="D11967">
        <v>123</v>
      </c>
      <c r="E11967">
        <f>IF(OR(B11967="vi",B11967="ii",B11967="pod"),(((D11967/100)*(C11967*VLOOKUP(B11967,'Poids des runes'!A:B,2,FALSE)))+1),(((D11967/100)*(C11967*VLOOKUP(B11967,'Poids des runes'!A:B,2,FALSE)))+1)/VLOOKUP(B11967,'Poids des runes'!A:B,2,FALSE))</f>
        <v>1.2411111111111111</v>
      </c>
      <c r="F11967">
        <f t="shared" si="186"/>
        <v>1.2411111111111111</v>
      </c>
    </row>
    <row r="11968" spans="1:6" x14ac:dyDescent="0.3">
      <c r="A11968" t="s">
        <v>1949</v>
      </c>
      <c r="B11968" t="s">
        <v>2140</v>
      </c>
      <c r="C11968">
        <v>6</v>
      </c>
      <c r="D11968">
        <v>123</v>
      </c>
      <c r="E11968">
        <f>IF(OR(B11968="vi",B11968="ii",B11968="pod"),(((D11968/100)*(C11968*VLOOKUP(B11968,'Poids des runes'!A:B,2,FALSE)))+1),(((D11968/100)*(C11968*VLOOKUP(B11968,'Poids des runes'!A:B,2,FALSE)))+1)/VLOOKUP(B11968,'Poids des runes'!A:B,2,FALSE))</f>
        <v>7.58</v>
      </c>
      <c r="F11968">
        <f t="shared" si="186"/>
        <v>7.58</v>
      </c>
    </row>
    <row r="11969" spans="1:6" x14ac:dyDescent="0.3">
      <c r="A11969" t="s">
        <v>1949</v>
      </c>
      <c r="B11969" t="s">
        <v>2149</v>
      </c>
      <c r="C11969">
        <v>6.5</v>
      </c>
      <c r="D11969">
        <v>123</v>
      </c>
      <c r="E11969">
        <f>IF(OR(B11969="vi",B11969="ii",B11969="pod"),(((D11969/100)*(C11969*VLOOKUP(B11969,'Poids des runes'!A:B,2,FALSE)))+1),(((D11969/100)*(C11969*VLOOKUP(B11969,'Poids des runes'!A:B,2,FALSE)))+1)/VLOOKUP(B11969,'Poids des runes'!A:B,2,FALSE))</f>
        <v>8.0950000000000006</v>
      </c>
      <c r="F11969">
        <f t="shared" si="186"/>
        <v>8.0950000000000006</v>
      </c>
    </row>
    <row r="11970" spans="1:6" x14ac:dyDescent="0.3">
      <c r="A11970" t="s">
        <v>1949</v>
      </c>
      <c r="B11970" t="s">
        <v>2144</v>
      </c>
      <c r="C11970">
        <v>8</v>
      </c>
      <c r="D11970">
        <v>123</v>
      </c>
      <c r="E11970">
        <f>IF(OR(B11970="vi",B11970="ii",B11970="pod"),(((D11970/100)*(C11970*VLOOKUP(B11970,'Poids des runes'!A:B,2,FALSE)))+1),(((D11970/100)*(C11970*VLOOKUP(B11970,'Poids des runes'!A:B,2,FALSE)))+1)/VLOOKUP(B11970,'Poids des runes'!A:B,2,FALSE))</f>
        <v>10.34</v>
      </c>
      <c r="F11970">
        <f t="shared" si="186"/>
        <v>10.34</v>
      </c>
    </row>
    <row r="11971" spans="1:6" x14ac:dyDescent="0.3">
      <c r="A11971" t="s">
        <v>1950</v>
      </c>
      <c r="B11971" t="s">
        <v>2128</v>
      </c>
      <c r="C11971">
        <v>175.5</v>
      </c>
      <c r="D11971">
        <v>123</v>
      </c>
      <c r="E11971">
        <f>IF(OR(B11971="vi",B11971="ii",B11971="pod"),(((D11971/100)*(C11971*VLOOKUP(B11971,'Poids des runes'!A:B,2,FALSE)))+1),(((D11971/100)*(C11971*VLOOKUP(B11971,'Poids des runes'!A:B,2,FALSE)))+1)/VLOOKUP(B11971,'Poids des runes'!A:B,2,FALSE))</f>
        <v>44.173000000000002</v>
      </c>
      <c r="F11971">
        <f t="shared" ref="F11971:F12034" si="187">E11971</f>
        <v>44.173000000000002</v>
      </c>
    </row>
    <row r="11972" spans="1:6" x14ac:dyDescent="0.3">
      <c r="A11972" t="s">
        <v>1950</v>
      </c>
      <c r="B11972" t="s">
        <v>2131</v>
      </c>
      <c r="C11972">
        <v>50.5</v>
      </c>
      <c r="D11972">
        <v>123</v>
      </c>
      <c r="E11972">
        <f>IF(OR(B11972="vi",B11972="ii",B11972="pod"),(((D11972/100)*(C11972*VLOOKUP(B11972,'Poids des runes'!A:B,2,FALSE)))+1),(((D11972/100)*(C11972*VLOOKUP(B11972,'Poids des runes'!A:B,2,FALSE)))+1)/VLOOKUP(B11972,'Poids des runes'!A:B,2,FALSE))</f>
        <v>63.115000000000002</v>
      </c>
      <c r="F11972">
        <f t="shared" si="187"/>
        <v>63.115000000000002</v>
      </c>
    </row>
    <row r="11973" spans="1:6" x14ac:dyDescent="0.3">
      <c r="A11973" t="s">
        <v>1950</v>
      </c>
      <c r="B11973" t="s">
        <v>2127</v>
      </c>
      <c r="C11973">
        <v>50.5</v>
      </c>
      <c r="D11973">
        <v>123</v>
      </c>
      <c r="E11973">
        <f>IF(OR(B11973="vi",B11973="ii",B11973="pod"),(((D11973/100)*(C11973*VLOOKUP(B11973,'Poids des runes'!A:B,2,FALSE)))+1),(((D11973/100)*(C11973*VLOOKUP(B11973,'Poids des runes'!A:B,2,FALSE)))+1)/VLOOKUP(B11973,'Poids des runes'!A:B,2,FALSE))</f>
        <v>63.115000000000002</v>
      </c>
      <c r="F11973">
        <f t="shared" si="187"/>
        <v>63.115000000000002</v>
      </c>
    </row>
    <row r="11974" spans="1:6" x14ac:dyDescent="0.3">
      <c r="A11974" t="s">
        <v>1950</v>
      </c>
      <c r="B11974" t="s">
        <v>2129</v>
      </c>
      <c r="C11974">
        <v>25.5</v>
      </c>
      <c r="D11974">
        <v>123</v>
      </c>
      <c r="E11974">
        <f>IF(OR(B11974="vi",B11974="ii",B11974="pod"),(((D11974/100)*(C11974*VLOOKUP(B11974,'Poids des runes'!A:B,2,FALSE)))+1),(((D11974/100)*(C11974*VLOOKUP(B11974,'Poids des runes'!A:B,2,FALSE)))+1)/VLOOKUP(B11974,'Poids des runes'!A:B,2,FALSE))</f>
        <v>32.364999999999995</v>
      </c>
      <c r="F11974">
        <f t="shared" si="187"/>
        <v>32.364999999999995</v>
      </c>
    </row>
    <row r="11975" spans="1:6" x14ac:dyDescent="0.3">
      <c r="A11975" t="s">
        <v>1950</v>
      </c>
      <c r="B11975" t="s">
        <v>2161</v>
      </c>
      <c r="C11975">
        <v>8.5</v>
      </c>
      <c r="D11975">
        <v>123</v>
      </c>
      <c r="E11975">
        <f>IF(OR(B11975="vi",B11975="ii",B11975="pod"),(((D11975/100)*(C11975*VLOOKUP(B11975,'Poids des runes'!A:B,2,FALSE)))+1),(((D11975/100)*(C11975*VLOOKUP(B11975,'Poids des runes'!A:B,2,FALSE)))+1)/VLOOKUP(B11975,'Poids des runes'!A:B,2,FALSE))</f>
        <v>10.788333333333332</v>
      </c>
      <c r="F11975">
        <f t="shared" si="187"/>
        <v>10.788333333333332</v>
      </c>
    </row>
    <row r="11976" spans="1:6" x14ac:dyDescent="0.3">
      <c r="A11976" t="s">
        <v>1950</v>
      </c>
      <c r="B11976" t="s">
        <v>2132</v>
      </c>
      <c r="C11976">
        <v>150.5</v>
      </c>
      <c r="D11976">
        <v>123</v>
      </c>
      <c r="E11976">
        <f>IF(OR(B11976="vi",B11976="ii",B11976="pod"),(((D11976/100)*(C11976*VLOOKUP(B11976,'Poids des runes'!A:B,2,FALSE)))+1),(((D11976/100)*(C11976*VLOOKUP(B11976,'Poids des runes'!A:B,2,FALSE)))+1)/VLOOKUP(B11976,'Poids des runes'!A:B,2,FALSE))</f>
        <v>19.511500000000002</v>
      </c>
      <c r="F11976">
        <f t="shared" si="187"/>
        <v>19.511500000000002</v>
      </c>
    </row>
    <row r="11977" spans="1:6" x14ac:dyDescent="0.3">
      <c r="A11977" t="s">
        <v>1950</v>
      </c>
      <c r="B11977" t="s">
        <v>2138</v>
      </c>
      <c r="C11977">
        <v>3.5</v>
      </c>
      <c r="D11977">
        <v>123</v>
      </c>
      <c r="E11977">
        <f>IF(OR(B11977="vi",B11977="ii",B11977="pod"),(((D11977/100)*(C11977*VLOOKUP(B11977,'Poids des runes'!A:B,2,FALSE)))+1),(((D11977/100)*(C11977*VLOOKUP(B11977,'Poids des runes'!A:B,2,FALSE)))+1)/VLOOKUP(B11977,'Poids des runes'!A:B,2,FALSE))</f>
        <v>4.5549999999999997</v>
      </c>
      <c r="F11977">
        <f t="shared" si="187"/>
        <v>4.5549999999999997</v>
      </c>
    </row>
    <row r="11978" spans="1:6" x14ac:dyDescent="0.3">
      <c r="A11978" t="s">
        <v>1950</v>
      </c>
      <c r="B11978" t="s">
        <v>2163</v>
      </c>
      <c r="C11978">
        <v>8.5</v>
      </c>
      <c r="D11978">
        <v>123</v>
      </c>
      <c r="E11978">
        <f>IF(OR(B11978="vi",B11978="ii",B11978="pod"),(((D11978/100)*(C11978*VLOOKUP(B11978,'Poids des runes'!A:B,2,FALSE)))+1),(((D11978/100)*(C11978*VLOOKUP(B11978,'Poids des runes'!A:B,2,FALSE)))+1)/VLOOKUP(B11978,'Poids des runes'!A:B,2,FALSE))</f>
        <v>10.955</v>
      </c>
      <c r="F11978">
        <f t="shared" si="187"/>
        <v>10.955</v>
      </c>
    </row>
    <row r="11979" spans="1:6" x14ac:dyDescent="0.3">
      <c r="A11979" t="s">
        <v>1950</v>
      </c>
      <c r="B11979" t="s">
        <v>2137</v>
      </c>
      <c r="C11979">
        <v>13</v>
      </c>
      <c r="D11979">
        <v>123</v>
      </c>
      <c r="E11979">
        <f>IF(OR(B11979="vi",B11979="ii",B11979="pod"),(((D11979/100)*(C11979*VLOOKUP(B11979,'Poids des runes'!A:B,2,FALSE)))+1),(((D11979/100)*(C11979*VLOOKUP(B11979,'Poids des runes'!A:B,2,FALSE)))+1)/VLOOKUP(B11979,'Poids des runes'!A:B,2,FALSE))</f>
        <v>16.490000000000002</v>
      </c>
      <c r="F11979">
        <f t="shared" si="187"/>
        <v>16.490000000000002</v>
      </c>
    </row>
    <row r="11980" spans="1:6" x14ac:dyDescent="0.3">
      <c r="A11980" t="s">
        <v>1950</v>
      </c>
      <c r="B11980" t="s">
        <v>2144</v>
      </c>
      <c r="C11980">
        <v>13</v>
      </c>
      <c r="D11980">
        <v>123</v>
      </c>
      <c r="E11980">
        <f>IF(OR(B11980="vi",B11980="ii",B11980="pod"),(((D11980/100)*(C11980*VLOOKUP(B11980,'Poids des runes'!A:B,2,FALSE)))+1),(((D11980/100)*(C11980*VLOOKUP(B11980,'Poids des runes'!A:B,2,FALSE)))+1)/VLOOKUP(B11980,'Poids des runes'!A:B,2,FALSE))</f>
        <v>16.490000000000002</v>
      </c>
      <c r="F11980">
        <f t="shared" si="187"/>
        <v>16.490000000000002</v>
      </c>
    </row>
    <row r="11981" spans="1:6" x14ac:dyDescent="0.3">
      <c r="A11981" t="s">
        <v>1951</v>
      </c>
      <c r="B11981" t="s">
        <v>2128</v>
      </c>
      <c r="C11981">
        <v>225.5</v>
      </c>
      <c r="D11981">
        <v>124</v>
      </c>
      <c r="E11981">
        <f>IF(OR(B11981="vi",B11981="ii",B11981="pod"),(((D11981/100)*(C11981*VLOOKUP(B11981,'Poids des runes'!A:B,2,FALSE)))+1),(((D11981/100)*(C11981*VLOOKUP(B11981,'Poids des runes'!A:B,2,FALSE)))+1)/VLOOKUP(B11981,'Poids des runes'!A:B,2,FALSE))</f>
        <v>56.923999999999999</v>
      </c>
      <c r="F11981">
        <f t="shared" si="187"/>
        <v>56.923999999999999</v>
      </c>
    </row>
    <row r="11982" spans="1:6" x14ac:dyDescent="0.3">
      <c r="A11982" t="s">
        <v>1951</v>
      </c>
      <c r="B11982" t="s">
        <v>2126</v>
      </c>
      <c r="C11982">
        <v>35.5</v>
      </c>
      <c r="D11982">
        <v>124</v>
      </c>
      <c r="E11982">
        <f>IF(OR(B11982="vi",B11982="ii",B11982="pod"),(((D11982/100)*(C11982*VLOOKUP(B11982,'Poids des runes'!A:B,2,FALSE)))+1),(((D11982/100)*(C11982*VLOOKUP(B11982,'Poids des runes'!A:B,2,FALSE)))+1)/VLOOKUP(B11982,'Poids des runes'!A:B,2,FALSE))</f>
        <v>45.02</v>
      </c>
      <c r="F11982">
        <f t="shared" si="187"/>
        <v>45.02</v>
      </c>
    </row>
    <row r="11983" spans="1:6" x14ac:dyDescent="0.3">
      <c r="A11983" t="s">
        <v>1951</v>
      </c>
      <c r="B11983" t="s">
        <v>2129</v>
      </c>
      <c r="C11983">
        <v>28</v>
      </c>
      <c r="D11983">
        <v>124</v>
      </c>
      <c r="E11983">
        <f>IF(OR(B11983="vi",B11983="ii",B11983="pod"),(((D11983/100)*(C11983*VLOOKUP(B11983,'Poids des runes'!A:B,2,FALSE)))+1),(((D11983/100)*(C11983*VLOOKUP(B11983,'Poids des runes'!A:B,2,FALSE)))+1)/VLOOKUP(B11983,'Poids des runes'!A:B,2,FALSE))</f>
        <v>35.72</v>
      </c>
      <c r="F11983">
        <f t="shared" si="187"/>
        <v>35.72</v>
      </c>
    </row>
    <row r="11984" spans="1:6" x14ac:dyDescent="0.3">
      <c r="A11984" t="s">
        <v>1951</v>
      </c>
      <c r="B11984" t="s">
        <v>2151</v>
      </c>
      <c r="C11984">
        <v>3.5</v>
      </c>
      <c r="D11984">
        <v>124</v>
      </c>
      <c r="E11984">
        <f>IF(OR(B11984="vi",B11984="ii",B11984="pod"),(((D11984/100)*(C11984*VLOOKUP(B11984,'Poids des runes'!A:B,2,FALSE)))+1),(((D11984/100)*(C11984*VLOOKUP(B11984,'Poids des runes'!A:B,2,FALSE)))+1)/VLOOKUP(B11984,'Poids des runes'!A:B,2,FALSE))</f>
        <v>4.4399999999999995</v>
      </c>
      <c r="F11984">
        <f t="shared" si="187"/>
        <v>4.4399999999999995</v>
      </c>
    </row>
    <row r="11985" spans="1:6" x14ac:dyDescent="0.3">
      <c r="A11985" t="s">
        <v>1951</v>
      </c>
      <c r="B11985" t="s">
        <v>2140</v>
      </c>
      <c r="C11985">
        <v>6</v>
      </c>
      <c r="D11985">
        <v>124</v>
      </c>
      <c r="E11985">
        <f>IF(OR(B11985="vi",B11985="ii",B11985="pod"),(((D11985/100)*(C11985*VLOOKUP(B11985,'Poids des runes'!A:B,2,FALSE)))+1),(((D11985/100)*(C11985*VLOOKUP(B11985,'Poids des runes'!A:B,2,FALSE)))+1)/VLOOKUP(B11985,'Poids des runes'!A:B,2,FALSE))</f>
        <v>7.6400000000000006</v>
      </c>
      <c r="F11985">
        <f t="shared" si="187"/>
        <v>7.6400000000000006</v>
      </c>
    </row>
    <row r="11986" spans="1:6" x14ac:dyDescent="0.3">
      <c r="A11986" t="s">
        <v>1951</v>
      </c>
      <c r="B11986" t="s">
        <v>2159</v>
      </c>
      <c r="C11986">
        <v>2.5</v>
      </c>
      <c r="D11986">
        <v>124</v>
      </c>
      <c r="E11986">
        <f>IF(OR(B11986="vi",B11986="ii",B11986="pod"),(((D11986/100)*(C11986*VLOOKUP(B11986,'Poids des runes'!A:B,2,FALSE)))+1),(((D11986/100)*(C11986*VLOOKUP(B11986,'Poids des runes'!A:B,2,FALSE)))+1)/VLOOKUP(B11986,'Poids des runes'!A:B,2,FALSE))</f>
        <v>3.2428571428571429</v>
      </c>
      <c r="F11986">
        <f t="shared" si="187"/>
        <v>3.2428571428571429</v>
      </c>
    </row>
    <row r="11987" spans="1:6" x14ac:dyDescent="0.3">
      <c r="A11987" t="s">
        <v>1951</v>
      </c>
      <c r="B11987" t="s">
        <v>2156</v>
      </c>
      <c r="C11987">
        <v>4.5</v>
      </c>
      <c r="D11987">
        <v>124</v>
      </c>
      <c r="E11987">
        <f>IF(OR(B11987="vi",B11987="ii",B11987="pod"),(((D11987/100)*(C11987*VLOOKUP(B11987,'Poids des runes'!A:B,2,FALSE)))+1),(((D11987/100)*(C11987*VLOOKUP(B11987,'Poids des runes'!A:B,2,FALSE)))+1)/VLOOKUP(B11987,'Poids des runes'!A:B,2,FALSE))</f>
        <v>5.7466666666666661</v>
      </c>
      <c r="F11987">
        <f t="shared" si="187"/>
        <v>5.7466666666666661</v>
      </c>
    </row>
    <row r="11988" spans="1:6" x14ac:dyDescent="0.3">
      <c r="A11988" t="s">
        <v>1951</v>
      </c>
      <c r="B11988" t="s">
        <v>2147</v>
      </c>
      <c r="C11988">
        <v>4.5</v>
      </c>
      <c r="D11988">
        <v>124</v>
      </c>
      <c r="E11988">
        <f>IF(OR(B11988="vi",B11988="ii",B11988="pod"),(((D11988/100)*(C11988*VLOOKUP(B11988,'Poids des runes'!A:B,2,FALSE)))+1),(((D11988/100)*(C11988*VLOOKUP(B11988,'Poids des runes'!A:B,2,FALSE)))+1)/VLOOKUP(B11988,'Poids des runes'!A:B,2,FALSE))</f>
        <v>5.7466666666666661</v>
      </c>
      <c r="F11988">
        <f t="shared" si="187"/>
        <v>5.7466666666666661</v>
      </c>
    </row>
    <row r="11989" spans="1:6" x14ac:dyDescent="0.3">
      <c r="A11989" t="s">
        <v>1951</v>
      </c>
      <c r="B11989" t="s">
        <v>2136</v>
      </c>
      <c r="C11989">
        <v>6</v>
      </c>
      <c r="D11989">
        <v>124</v>
      </c>
      <c r="E11989">
        <f>IF(OR(B11989="vi",B11989="ii",B11989="pod"),(((D11989/100)*(C11989*VLOOKUP(B11989,'Poids des runes'!A:B,2,FALSE)))+1),(((D11989/100)*(C11989*VLOOKUP(B11989,'Poids des runes'!A:B,2,FALSE)))+1)/VLOOKUP(B11989,'Poids des runes'!A:B,2,FALSE))</f>
        <v>7.9399999999999995</v>
      </c>
      <c r="F11989">
        <f t="shared" si="187"/>
        <v>7.9399999999999995</v>
      </c>
    </row>
    <row r="11990" spans="1:6" x14ac:dyDescent="0.3">
      <c r="A11990" t="s">
        <v>1951</v>
      </c>
      <c r="B11990" t="s">
        <v>2144</v>
      </c>
      <c r="C11990">
        <v>6</v>
      </c>
      <c r="D11990">
        <v>124</v>
      </c>
      <c r="E11990">
        <f>IF(OR(B11990="vi",B11990="ii",B11990="pod"),(((D11990/100)*(C11990*VLOOKUP(B11990,'Poids des runes'!A:B,2,FALSE)))+1),(((D11990/100)*(C11990*VLOOKUP(B11990,'Poids des runes'!A:B,2,FALSE)))+1)/VLOOKUP(B11990,'Poids des runes'!A:B,2,FALSE))</f>
        <v>7.9399999999999995</v>
      </c>
      <c r="F11990">
        <f t="shared" si="187"/>
        <v>7.9399999999999995</v>
      </c>
    </row>
    <row r="11991" spans="1:6" x14ac:dyDescent="0.3">
      <c r="A11991" t="s">
        <v>1952</v>
      </c>
      <c r="B11991" t="s">
        <v>2128</v>
      </c>
      <c r="C11991">
        <v>175.5</v>
      </c>
      <c r="D11991">
        <v>124</v>
      </c>
      <c r="E11991">
        <f>IF(OR(B11991="vi",B11991="ii",B11991="pod"),(((D11991/100)*(C11991*VLOOKUP(B11991,'Poids des runes'!A:B,2,FALSE)))+1),(((D11991/100)*(C11991*VLOOKUP(B11991,'Poids des runes'!A:B,2,FALSE)))+1)/VLOOKUP(B11991,'Poids des runes'!A:B,2,FALSE))</f>
        <v>44.524000000000001</v>
      </c>
      <c r="F11991">
        <f t="shared" si="187"/>
        <v>44.524000000000001</v>
      </c>
    </row>
    <row r="11992" spans="1:6" x14ac:dyDescent="0.3">
      <c r="A11992" t="s">
        <v>1952</v>
      </c>
      <c r="B11992" t="s">
        <v>2127</v>
      </c>
      <c r="C11992">
        <v>35.5</v>
      </c>
      <c r="D11992">
        <v>124</v>
      </c>
      <c r="E11992">
        <f>IF(OR(B11992="vi",B11992="ii",B11992="pod"),(((D11992/100)*(C11992*VLOOKUP(B11992,'Poids des runes'!A:B,2,FALSE)))+1),(((D11992/100)*(C11992*VLOOKUP(B11992,'Poids des runes'!A:B,2,FALSE)))+1)/VLOOKUP(B11992,'Poids des runes'!A:B,2,FALSE))</f>
        <v>45.02</v>
      </c>
      <c r="F11992">
        <f t="shared" si="187"/>
        <v>45.02</v>
      </c>
    </row>
    <row r="11993" spans="1:6" x14ac:dyDescent="0.3">
      <c r="A11993" t="s">
        <v>1952</v>
      </c>
      <c r="B11993" t="s">
        <v>2151</v>
      </c>
      <c r="C11993">
        <v>5.5</v>
      </c>
      <c r="D11993">
        <v>124</v>
      </c>
      <c r="E11993">
        <f>IF(OR(B11993="vi",B11993="ii",B11993="pod"),(((D11993/100)*(C11993*VLOOKUP(B11993,'Poids des runes'!A:B,2,FALSE)))+1),(((D11993/100)*(C11993*VLOOKUP(B11993,'Poids des runes'!A:B,2,FALSE)))+1)/VLOOKUP(B11993,'Poids des runes'!A:B,2,FALSE))</f>
        <v>6.92</v>
      </c>
      <c r="F11993">
        <f t="shared" si="187"/>
        <v>6.92</v>
      </c>
    </row>
    <row r="11994" spans="1:6" x14ac:dyDescent="0.3">
      <c r="A11994" t="s">
        <v>1952</v>
      </c>
      <c r="B11994" t="s">
        <v>2134</v>
      </c>
      <c r="C11994">
        <v>6.5</v>
      </c>
      <c r="D11994">
        <v>124</v>
      </c>
      <c r="E11994">
        <f>IF(OR(B11994="vi",B11994="ii",B11994="pod"),(((D11994/100)*(C11994*VLOOKUP(B11994,'Poids des runes'!A:B,2,FALSE)))+1),(((D11994/100)*(C11994*VLOOKUP(B11994,'Poids des runes'!A:B,2,FALSE)))+1)/VLOOKUP(B11994,'Poids des runes'!A:B,2,FALSE))</f>
        <v>8.11</v>
      </c>
      <c r="F11994">
        <f t="shared" si="187"/>
        <v>8.11</v>
      </c>
    </row>
    <row r="11995" spans="1:6" x14ac:dyDescent="0.3">
      <c r="A11995" t="s">
        <v>1952</v>
      </c>
      <c r="B11995" t="s">
        <v>2156</v>
      </c>
      <c r="C11995">
        <v>4.5</v>
      </c>
      <c r="D11995">
        <v>124</v>
      </c>
      <c r="E11995">
        <f>IF(OR(B11995="vi",B11995="ii",B11995="pod"),(((D11995/100)*(C11995*VLOOKUP(B11995,'Poids des runes'!A:B,2,FALSE)))+1),(((D11995/100)*(C11995*VLOOKUP(B11995,'Poids des runes'!A:B,2,FALSE)))+1)/VLOOKUP(B11995,'Poids des runes'!A:B,2,FALSE))</f>
        <v>5.7466666666666661</v>
      </c>
      <c r="F11995">
        <f t="shared" si="187"/>
        <v>5.7466666666666661</v>
      </c>
    </row>
    <row r="11996" spans="1:6" x14ac:dyDescent="0.3">
      <c r="A11996" t="s">
        <v>1953</v>
      </c>
      <c r="B11996" t="s">
        <v>2128</v>
      </c>
      <c r="C11996">
        <v>175.5</v>
      </c>
      <c r="D11996">
        <v>124</v>
      </c>
      <c r="E11996">
        <f>IF(OR(B11996="vi",B11996="ii",B11996="pod"),(((D11996/100)*(C11996*VLOOKUP(B11996,'Poids des runes'!A:B,2,FALSE)))+1),(((D11996/100)*(C11996*VLOOKUP(B11996,'Poids des runes'!A:B,2,FALSE)))+1)/VLOOKUP(B11996,'Poids des runes'!A:B,2,FALSE))</f>
        <v>44.524000000000001</v>
      </c>
      <c r="F11996">
        <f t="shared" si="187"/>
        <v>44.524000000000001</v>
      </c>
    </row>
    <row r="11997" spans="1:6" x14ac:dyDescent="0.3">
      <c r="A11997" t="s">
        <v>1953</v>
      </c>
      <c r="B11997" t="s">
        <v>2126</v>
      </c>
      <c r="C11997">
        <v>40.5</v>
      </c>
      <c r="D11997">
        <v>124</v>
      </c>
      <c r="E11997">
        <f>IF(OR(B11997="vi",B11997="ii",B11997="pod"),(((D11997/100)*(C11997*VLOOKUP(B11997,'Poids des runes'!A:B,2,FALSE)))+1),(((D11997/100)*(C11997*VLOOKUP(B11997,'Poids des runes'!A:B,2,FALSE)))+1)/VLOOKUP(B11997,'Poids des runes'!A:B,2,FALSE))</f>
        <v>51.22</v>
      </c>
      <c r="F11997">
        <f t="shared" si="187"/>
        <v>51.22</v>
      </c>
    </row>
    <row r="11998" spans="1:6" x14ac:dyDescent="0.3">
      <c r="A11998" t="s">
        <v>1953</v>
      </c>
      <c r="B11998" t="s">
        <v>2127</v>
      </c>
      <c r="C11998">
        <v>40.5</v>
      </c>
      <c r="D11998">
        <v>124</v>
      </c>
      <c r="E11998">
        <f>IF(OR(B11998="vi",B11998="ii",B11998="pod"),(((D11998/100)*(C11998*VLOOKUP(B11998,'Poids des runes'!A:B,2,FALSE)))+1),(((D11998/100)*(C11998*VLOOKUP(B11998,'Poids des runes'!A:B,2,FALSE)))+1)/VLOOKUP(B11998,'Poids des runes'!A:B,2,FALSE))</f>
        <v>51.22</v>
      </c>
      <c r="F11998">
        <f t="shared" si="187"/>
        <v>51.22</v>
      </c>
    </row>
    <row r="11999" spans="1:6" x14ac:dyDescent="0.3">
      <c r="A11999" t="s">
        <v>1953</v>
      </c>
      <c r="B11999" t="s">
        <v>2129</v>
      </c>
      <c r="C11999">
        <v>20.5</v>
      </c>
      <c r="D11999">
        <v>124</v>
      </c>
      <c r="E11999">
        <f>IF(OR(B11999="vi",B11999="ii",B11999="pod"),(((D11999/100)*(C11999*VLOOKUP(B11999,'Poids des runes'!A:B,2,FALSE)))+1),(((D11999/100)*(C11999*VLOOKUP(B11999,'Poids des runes'!A:B,2,FALSE)))+1)/VLOOKUP(B11999,'Poids des runes'!A:B,2,FALSE))</f>
        <v>26.419999999999998</v>
      </c>
      <c r="F11999">
        <f t="shared" si="187"/>
        <v>26.419999999999998</v>
      </c>
    </row>
    <row r="12000" spans="1:6" x14ac:dyDescent="0.3">
      <c r="A12000" t="s">
        <v>1953</v>
      </c>
      <c r="B12000" t="s">
        <v>2134</v>
      </c>
      <c r="C12000">
        <v>6</v>
      </c>
      <c r="D12000">
        <v>124</v>
      </c>
      <c r="E12000">
        <f>IF(OR(B12000="vi",B12000="ii",B12000="pod"),(((D12000/100)*(C12000*VLOOKUP(B12000,'Poids des runes'!A:B,2,FALSE)))+1),(((D12000/100)*(C12000*VLOOKUP(B12000,'Poids des runes'!A:B,2,FALSE)))+1)/VLOOKUP(B12000,'Poids des runes'!A:B,2,FALSE))</f>
        <v>7.49</v>
      </c>
      <c r="F12000">
        <f t="shared" si="187"/>
        <v>7.49</v>
      </c>
    </row>
    <row r="12001" spans="1:6" x14ac:dyDescent="0.3">
      <c r="A12001" t="s">
        <v>1953</v>
      </c>
      <c r="B12001" t="s">
        <v>2149</v>
      </c>
      <c r="C12001">
        <v>10.5</v>
      </c>
      <c r="D12001">
        <v>124</v>
      </c>
      <c r="E12001">
        <f>IF(OR(B12001="vi",B12001="ii",B12001="pod"),(((D12001/100)*(C12001*VLOOKUP(B12001,'Poids des runes'!A:B,2,FALSE)))+1),(((D12001/100)*(C12001*VLOOKUP(B12001,'Poids des runes'!A:B,2,FALSE)))+1)/VLOOKUP(B12001,'Poids des runes'!A:B,2,FALSE))</f>
        <v>13.12</v>
      </c>
      <c r="F12001">
        <f t="shared" si="187"/>
        <v>13.12</v>
      </c>
    </row>
    <row r="12002" spans="1:6" x14ac:dyDescent="0.3">
      <c r="A12002" t="s">
        <v>1953</v>
      </c>
      <c r="B12002" t="s">
        <v>2161</v>
      </c>
      <c r="C12002">
        <v>8</v>
      </c>
      <c r="D12002">
        <v>124</v>
      </c>
      <c r="E12002">
        <f>IF(OR(B12002="vi",B12002="ii",B12002="pod"),(((D12002/100)*(C12002*VLOOKUP(B12002,'Poids des runes'!A:B,2,FALSE)))+1),(((D12002/100)*(C12002*VLOOKUP(B12002,'Poids des runes'!A:B,2,FALSE)))+1)/VLOOKUP(B12002,'Poids des runes'!A:B,2,FALSE))</f>
        <v>10.253333333333332</v>
      </c>
      <c r="F12002">
        <f t="shared" si="187"/>
        <v>10.253333333333332</v>
      </c>
    </row>
    <row r="12003" spans="1:6" x14ac:dyDescent="0.3">
      <c r="A12003" t="s">
        <v>1953</v>
      </c>
      <c r="B12003" t="s">
        <v>2141</v>
      </c>
      <c r="C12003">
        <v>5</v>
      </c>
      <c r="D12003">
        <v>124</v>
      </c>
      <c r="E12003">
        <f>IF(OR(B12003="vi",B12003="ii",B12003="pod"),(((D12003/100)*(C12003*VLOOKUP(B12003,'Poids des runes'!A:B,2,FALSE)))+1),(((D12003/100)*(C12003*VLOOKUP(B12003,'Poids des runes'!A:B,2,FALSE)))+1)/VLOOKUP(B12003,'Poids des runes'!A:B,2,FALSE))</f>
        <v>6.45</v>
      </c>
      <c r="F12003">
        <f t="shared" si="187"/>
        <v>6.45</v>
      </c>
    </row>
    <row r="12004" spans="1:6" x14ac:dyDescent="0.3">
      <c r="A12004" t="s">
        <v>1953</v>
      </c>
      <c r="B12004" t="s">
        <v>2144</v>
      </c>
      <c r="C12004">
        <v>8</v>
      </c>
      <c r="D12004">
        <v>124</v>
      </c>
      <c r="E12004">
        <f>IF(OR(B12004="vi",B12004="ii",B12004="pod"),(((D12004/100)*(C12004*VLOOKUP(B12004,'Poids des runes'!A:B,2,FALSE)))+1),(((D12004/100)*(C12004*VLOOKUP(B12004,'Poids des runes'!A:B,2,FALSE)))+1)/VLOOKUP(B12004,'Poids des runes'!A:B,2,FALSE))</f>
        <v>10.42</v>
      </c>
      <c r="F12004">
        <f t="shared" si="187"/>
        <v>10.42</v>
      </c>
    </row>
    <row r="12005" spans="1:6" x14ac:dyDescent="0.3">
      <c r="A12005" t="s">
        <v>1954</v>
      </c>
      <c r="B12005" t="s">
        <v>2128</v>
      </c>
      <c r="C12005">
        <v>105.5</v>
      </c>
      <c r="D12005">
        <v>124</v>
      </c>
      <c r="E12005">
        <f>IF(OR(B12005="vi",B12005="ii",B12005="pod"),(((D12005/100)*(C12005*VLOOKUP(B12005,'Poids des runes'!A:B,2,FALSE)))+1),(((D12005/100)*(C12005*VLOOKUP(B12005,'Poids des runes'!A:B,2,FALSE)))+1)/VLOOKUP(B12005,'Poids des runes'!A:B,2,FALSE))</f>
        <v>27.164000000000001</v>
      </c>
      <c r="F12005">
        <f t="shared" si="187"/>
        <v>27.164000000000001</v>
      </c>
    </row>
    <row r="12006" spans="1:6" x14ac:dyDescent="0.3">
      <c r="A12006" t="s">
        <v>1954</v>
      </c>
      <c r="B12006" t="s">
        <v>2130</v>
      </c>
      <c r="C12006">
        <v>35.5</v>
      </c>
      <c r="D12006">
        <v>124</v>
      </c>
      <c r="E12006">
        <f>IF(OR(B12006="vi",B12006="ii",B12006="pod"),(((D12006/100)*(C12006*VLOOKUP(B12006,'Poids des runes'!A:B,2,FALSE)))+1),(((D12006/100)*(C12006*VLOOKUP(B12006,'Poids des runes'!A:B,2,FALSE)))+1)/VLOOKUP(B12006,'Poids des runes'!A:B,2,FALSE))</f>
        <v>45.02</v>
      </c>
      <c r="F12006">
        <f t="shared" si="187"/>
        <v>45.02</v>
      </c>
    </row>
    <row r="12007" spans="1:6" x14ac:dyDescent="0.3">
      <c r="A12007" t="s">
        <v>1954</v>
      </c>
      <c r="B12007" t="s">
        <v>2127</v>
      </c>
      <c r="C12007">
        <v>30.5</v>
      </c>
      <c r="D12007">
        <v>124</v>
      </c>
      <c r="E12007">
        <f>IF(OR(B12007="vi",B12007="ii",B12007="pod"),(((D12007/100)*(C12007*VLOOKUP(B12007,'Poids des runes'!A:B,2,FALSE)))+1),(((D12007/100)*(C12007*VLOOKUP(B12007,'Poids des runes'!A:B,2,FALSE)))+1)/VLOOKUP(B12007,'Poids des runes'!A:B,2,FALSE))</f>
        <v>38.82</v>
      </c>
      <c r="F12007">
        <f t="shared" si="187"/>
        <v>38.82</v>
      </c>
    </row>
    <row r="12008" spans="1:6" x14ac:dyDescent="0.3">
      <c r="A12008" t="s">
        <v>1954</v>
      </c>
      <c r="B12008" t="s">
        <v>2129</v>
      </c>
      <c r="C12008">
        <v>18</v>
      </c>
      <c r="D12008">
        <v>124</v>
      </c>
      <c r="E12008">
        <f>IF(OR(B12008="vi",B12008="ii",B12008="pod"),(((D12008/100)*(C12008*VLOOKUP(B12008,'Poids des runes'!A:B,2,FALSE)))+1),(((D12008/100)*(C12008*VLOOKUP(B12008,'Poids des runes'!A:B,2,FALSE)))+1)/VLOOKUP(B12008,'Poids des runes'!A:B,2,FALSE))</f>
        <v>23.32</v>
      </c>
      <c r="F12008">
        <f t="shared" si="187"/>
        <v>23.32</v>
      </c>
    </row>
    <row r="12009" spans="1:6" x14ac:dyDescent="0.3">
      <c r="A12009" t="s">
        <v>1954</v>
      </c>
      <c r="B12009" t="s">
        <v>2134</v>
      </c>
      <c r="C12009">
        <v>5</v>
      </c>
      <c r="D12009">
        <v>124</v>
      </c>
      <c r="E12009">
        <f>IF(OR(B12009="vi",B12009="ii",B12009="pod"),(((D12009/100)*(C12009*VLOOKUP(B12009,'Poids des runes'!A:B,2,FALSE)))+1),(((D12009/100)*(C12009*VLOOKUP(B12009,'Poids des runes'!A:B,2,FALSE)))+1)/VLOOKUP(B12009,'Poids des runes'!A:B,2,FALSE))</f>
        <v>6.25</v>
      </c>
      <c r="F12009">
        <f t="shared" si="187"/>
        <v>6.25</v>
      </c>
    </row>
    <row r="12010" spans="1:6" x14ac:dyDescent="0.3">
      <c r="A12010" t="s">
        <v>1954</v>
      </c>
      <c r="B12010" t="s">
        <v>2161</v>
      </c>
      <c r="C12010">
        <v>15.5</v>
      </c>
      <c r="D12010">
        <v>124</v>
      </c>
      <c r="E12010">
        <f>IF(OR(B12010="vi",B12010="ii",B12010="pod"),(((D12010/100)*(C12010*VLOOKUP(B12010,'Poids des runes'!A:B,2,FALSE)))+1),(((D12010/100)*(C12010*VLOOKUP(B12010,'Poids des runes'!A:B,2,FALSE)))+1)/VLOOKUP(B12010,'Poids des runes'!A:B,2,FALSE))</f>
        <v>19.553333333333331</v>
      </c>
      <c r="F12010">
        <f t="shared" si="187"/>
        <v>19.553333333333331</v>
      </c>
    </row>
    <row r="12011" spans="1:6" x14ac:dyDescent="0.3">
      <c r="A12011" t="s">
        <v>1954</v>
      </c>
      <c r="B12011" t="s">
        <v>2132</v>
      </c>
      <c r="C12011">
        <v>300.5</v>
      </c>
      <c r="D12011">
        <v>124</v>
      </c>
      <c r="E12011">
        <f>IF(OR(B12011="vi",B12011="ii",B12011="pod"),(((D12011/100)*(C12011*VLOOKUP(B12011,'Poids des runes'!A:B,2,FALSE)))+1),(((D12011/100)*(C12011*VLOOKUP(B12011,'Poids des runes'!A:B,2,FALSE)))+1)/VLOOKUP(B12011,'Poids des runes'!A:B,2,FALSE))</f>
        <v>38.262</v>
      </c>
      <c r="F12011">
        <f t="shared" si="187"/>
        <v>38.262</v>
      </c>
    </row>
    <row r="12012" spans="1:6" x14ac:dyDescent="0.3">
      <c r="A12012" t="s">
        <v>1954</v>
      </c>
      <c r="B12012" t="s">
        <v>2156</v>
      </c>
      <c r="C12012">
        <v>8</v>
      </c>
      <c r="D12012">
        <v>124</v>
      </c>
      <c r="E12012">
        <f>IF(OR(B12012="vi",B12012="ii",B12012="pod"),(((D12012/100)*(C12012*VLOOKUP(B12012,'Poids des runes'!A:B,2,FALSE)))+1),(((D12012/100)*(C12012*VLOOKUP(B12012,'Poids des runes'!A:B,2,FALSE)))+1)/VLOOKUP(B12012,'Poids des runes'!A:B,2,FALSE))</f>
        <v>10.086666666666666</v>
      </c>
      <c r="F12012">
        <f t="shared" si="187"/>
        <v>10.086666666666666</v>
      </c>
    </row>
    <row r="12013" spans="1:6" x14ac:dyDescent="0.3">
      <c r="A12013" t="s">
        <v>1954</v>
      </c>
      <c r="B12013" t="s">
        <v>2147</v>
      </c>
      <c r="C12013">
        <v>8</v>
      </c>
      <c r="D12013">
        <v>124</v>
      </c>
      <c r="E12013">
        <f>IF(OR(B12013="vi",B12013="ii",B12013="pod"),(((D12013/100)*(C12013*VLOOKUP(B12013,'Poids des runes'!A:B,2,FALSE)))+1),(((D12013/100)*(C12013*VLOOKUP(B12013,'Poids des runes'!A:B,2,FALSE)))+1)/VLOOKUP(B12013,'Poids des runes'!A:B,2,FALSE))</f>
        <v>10.086666666666666</v>
      </c>
      <c r="F12013">
        <f t="shared" si="187"/>
        <v>10.086666666666666</v>
      </c>
    </row>
    <row r="12014" spans="1:6" x14ac:dyDescent="0.3">
      <c r="A12014" t="s">
        <v>1955</v>
      </c>
      <c r="B12014" t="s">
        <v>2128</v>
      </c>
      <c r="C12014">
        <v>125.5</v>
      </c>
      <c r="D12014">
        <v>124</v>
      </c>
      <c r="E12014">
        <f>IF(OR(B12014="vi",B12014="ii",B12014="pod"),(((D12014/100)*(C12014*VLOOKUP(B12014,'Poids des runes'!A:B,2,FALSE)))+1),(((D12014/100)*(C12014*VLOOKUP(B12014,'Poids des runes'!A:B,2,FALSE)))+1)/VLOOKUP(B12014,'Poids des runes'!A:B,2,FALSE))</f>
        <v>32.124000000000002</v>
      </c>
      <c r="F12014">
        <f t="shared" si="187"/>
        <v>32.124000000000002</v>
      </c>
    </row>
    <row r="12015" spans="1:6" x14ac:dyDescent="0.3">
      <c r="A12015" t="s">
        <v>1955</v>
      </c>
      <c r="B12015" t="s">
        <v>2131</v>
      </c>
      <c r="C12015">
        <v>35.5</v>
      </c>
      <c r="D12015">
        <v>124</v>
      </c>
      <c r="E12015">
        <f>IF(OR(B12015="vi",B12015="ii",B12015="pod"),(((D12015/100)*(C12015*VLOOKUP(B12015,'Poids des runes'!A:B,2,FALSE)))+1),(((D12015/100)*(C12015*VLOOKUP(B12015,'Poids des runes'!A:B,2,FALSE)))+1)/VLOOKUP(B12015,'Poids des runes'!A:B,2,FALSE))</f>
        <v>45.02</v>
      </c>
      <c r="F12015">
        <f t="shared" si="187"/>
        <v>45.02</v>
      </c>
    </row>
    <row r="12016" spans="1:6" x14ac:dyDescent="0.3">
      <c r="A12016" t="s">
        <v>1955</v>
      </c>
      <c r="B12016" t="s">
        <v>2129</v>
      </c>
      <c r="C12016">
        <v>25.5</v>
      </c>
      <c r="D12016">
        <v>124</v>
      </c>
      <c r="E12016">
        <f>IF(OR(B12016="vi",B12016="ii",B12016="pod"),(((D12016/100)*(C12016*VLOOKUP(B12016,'Poids des runes'!A:B,2,FALSE)))+1),(((D12016/100)*(C12016*VLOOKUP(B12016,'Poids des runes'!A:B,2,FALSE)))+1)/VLOOKUP(B12016,'Poids des runes'!A:B,2,FALSE))</f>
        <v>32.620000000000005</v>
      </c>
      <c r="F12016">
        <f t="shared" si="187"/>
        <v>32.620000000000005</v>
      </c>
    </row>
    <row r="12017" spans="1:6" x14ac:dyDescent="0.3">
      <c r="A12017" t="s">
        <v>1955</v>
      </c>
      <c r="B12017" t="s">
        <v>2151</v>
      </c>
      <c r="C12017">
        <v>2.5</v>
      </c>
      <c r="D12017">
        <v>124</v>
      </c>
      <c r="E12017">
        <f>IF(OR(B12017="vi",B12017="ii",B12017="pod"),(((D12017/100)*(C12017*VLOOKUP(B12017,'Poids des runes'!A:B,2,FALSE)))+1),(((D12017/100)*(C12017*VLOOKUP(B12017,'Poids des runes'!A:B,2,FALSE)))+1)/VLOOKUP(B12017,'Poids des runes'!A:B,2,FALSE))</f>
        <v>3.2</v>
      </c>
      <c r="F12017">
        <f t="shared" si="187"/>
        <v>3.2</v>
      </c>
    </row>
    <row r="12018" spans="1:6" x14ac:dyDescent="0.3">
      <c r="A12018" t="s">
        <v>1955</v>
      </c>
      <c r="B12018" t="s">
        <v>2133</v>
      </c>
      <c r="C12018">
        <v>6</v>
      </c>
      <c r="D12018">
        <v>124</v>
      </c>
      <c r="E12018">
        <f>IF(OR(B12018="vi",B12018="ii",B12018="pod"),(((D12018/100)*(C12018*VLOOKUP(B12018,'Poids des runes'!A:B,2,FALSE)))+1),(((D12018/100)*(C12018*VLOOKUP(B12018,'Poids des runes'!A:B,2,FALSE)))+1)/VLOOKUP(B12018,'Poids des runes'!A:B,2,FALSE))</f>
        <v>7.6400000000000006</v>
      </c>
      <c r="F12018">
        <f t="shared" si="187"/>
        <v>7.6400000000000006</v>
      </c>
    </row>
    <row r="12019" spans="1:6" x14ac:dyDescent="0.3">
      <c r="A12019" t="s">
        <v>1955</v>
      </c>
      <c r="B12019" t="s">
        <v>2161</v>
      </c>
      <c r="C12019">
        <v>8.5</v>
      </c>
      <c r="D12019">
        <v>124</v>
      </c>
      <c r="E12019">
        <f>IF(OR(B12019="vi",B12019="ii",B12019="pod"),(((D12019/100)*(C12019*VLOOKUP(B12019,'Poids des runes'!A:B,2,FALSE)))+1),(((D12019/100)*(C12019*VLOOKUP(B12019,'Poids des runes'!A:B,2,FALSE)))+1)/VLOOKUP(B12019,'Poids des runes'!A:B,2,FALSE))</f>
        <v>10.873333333333335</v>
      </c>
      <c r="F12019">
        <f t="shared" si="187"/>
        <v>10.873333333333335</v>
      </c>
    </row>
    <row r="12020" spans="1:6" x14ac:dyDescent="0.3">
      <c r="A12020" t="s">
        <v>1955</v>
      </c>
      <c r="B12020" t="s">
        <v>2132</v>
      </c>
      <c r="C12020">
        <v>250.5</v>
      </c>
      <c r="D12020">
        <v>124</v>
      </c>
      <c r="E12020">
        <f>IF(OR(B12020="vi",B12020="ii",B12020="pod"),(((D12020/100)*(C12020*VLOOKUP(B12020,'Poids des runes'!A:B,2,FALSE)))+1),(((D12020/100)*(C12020*VLOOKUP(B12020,'Poids des runes'!A:B,2,FALSE)))+1)/VLOOKUP(B12020,'Poids des runes'!A:B,2,FALSE))</f>
        <v>32.061999999999998</v>
      </c>
      <c r="F12020">
        <f t="shared" si="187"/>
        <v>32.061999999999998</v>
      </c>
    </row>
    <row r="12021" spans="1:6" x14ac:dyDescent="0.3">
      <c r="A12021" t="s">
        <v>1955</v>
      </c>
      <c r="B12021" t="s">
        <v>2138</v>
      </c>
      <c r="C12021">
        <v>5</v>
      </c>
      <c r="D12021">
        <v>124</v>
      </c>
      <c r="E12021">
        <f>IF(OR(B12021="vi",B12021="ii",B12021="pod"),(((D12021/100)*(C12021*VLOOKUP(B12021,'Poids des runes'!A:B,2,FALSE)))+1),(((D12021/100)*(C12021*VLOOKUP(B12021,'Poids des runes'!A:B,2,FALSE)))+1)/VLOOKUP(B12021,'Poids des runes'!A:B,2,FALSE))</f>
        <v>6.45</v>
      </c>
      <c r="F12021">
        <f t="shared" si="187"/>
        <v>6.45</v>
      </c>
    </row>
    <row r="12022" spans="1:6" x14ac:dyDescent="0.3">
      <c r="A12022" t="s">
        <v>1955</v>
      </c>
      <c r="B12022" t="s">
        <v>2158</v>
      </c>
      <c r="C12022">
        <v>6</v>
      </c>
      <c r="D12022">
        <v>124</v>
      </c>
      <c r="E12022">
        <f>IF(OR(B12022="vi",B12022="ii",B12022="pod"),(((D12022/100)*(C12022*VLOOKUP(B12022,'Poids des runes'!A:B,2,FALSE)))+1),(((D12022/100)*(C12022*VLOOKUP(B12022,'Poids des runes'!A:B,2,FALSE)))+1)/VLOOKUP(B12022,'Poids des runes'!A:B,2,FALSE))</f>
        <v>7.6400000000000006</v>
      </c>
      <c r="F12022">
        <f t="shared" si="187"/>
        <v>7.6400000000000006</v>
      </c>
    </row>
    <row r="12023" spans="1:6" x14ac:dyDescent="0.3">
      <c r="A12023" t="s">
        <v>1955</v>
      </c>
      <c r="B12023" t="s">
        <v>2156</v>
      </c>
      <c r="C12023">
        <v>8.5</v>
      </c>
      <c r="D12023">
        <v>124</v>
      </c>
      <c r="E12023">
        <f>IF(OR(B12023="vi",B12023="ii",B12023="pod"),(((D12023/100)*(C12023*VLOOKUP(B12023,'Poids des runes'!A:B,2,FALSE)))+1),(((D12023/100)*(C12023*VLOOKUP(B12023,'Poids des runes'!A:B,2,FALSE)))+1)/VLOOKUP(B12023,'Poids des runes'!A:B,2,FALSE))</f>
        <v>10.706666666666669</v>
      </c>
      <c r="F12023">
        <f t="shared" si="187"/>
        <v>10.706666666666669</v>
      </c>
    </row>
    <row r="12024" spans="1:6" x14ac:dyDescent="0.3">
      <c r="A12024" t="s">
        <v>1955</v>
      </c>
      <c r="B12024" t="s">
        <v>2145</v>
      </c>
      <c r="C12024">
        <v>13</v>
      </c>
      <c r="D12024">
        <v>124</v>
      </c>
      <c r="E12024">
        <f>IF(OR(B12024="vi",B12024="ii",B12024="pod"),(((D12024/100)*(C12024*VLOOKUP(B12024,'Poids des runes'!A:B,2,FALSE)))+1),(((D12024/100)*(C12024*VLOOKUP(B12024,'Poids des runes'!A:B,2,FALSE)))+1)/VLOOKUP(B12024,'Poids des runes'!A:B,2,FALSE))</f>
        <v>16.62</v>
      </c>
      <c r="F12024">
        <f t="shared" si="187"/>
        <v>16.62</v>
      </c>
    </row>
    <row r="12025" spans="1:6" x14ac:dyDescent="0.3">
      <c r="A12025" t="s">
        <v>1956</v>
      </c>
      <c r="B12025" t="s">
        <v>2128</v>
      </c>
      <c r="C12025">
        <v>125.5</v>
      </c>
      <c r="D12025">
        <v>125</v>
      </c>
      <c r="E12025">
        <f>IF(OR(B12025="vi",B12025="ii",B12025="pod"),(((D12025/100)*(C12025*VLOOKUP(B12025,'Poids des runes'!A:B,2,FALSE)))+1),(((D12025/100)*(C12025*VLOOKUP(B12025,'Poids des runes'!A:B,2,FALSE)))+1)/VLOOKUP(B12025,'Poids des runes'!A:B,2,FALSE))</f>
        <v>32.375</v>
      </c>
      <c r="F12025">
        <f t="shared" si="187"/>
        <v>32.375</v>
      </c>
    </row>
    <row r="12026" spans="1:6" x14ac:dyDescent="0.3">
      <c r="A12026" t="s">
        <v>1956</v>
      </c>
      <c r="B12026" t="s">
        <v>2131</v>
      </c>
      <c r="C12026">
        <v>40.5</v>
      </c>
      <c r="D12026">
        <v>125</v>
      </c>
      <c r="E12026">
        <f>IF(OR(B12026="vi",B12026="ii",B12026="pod"),(((D12026/100)*(C12026*VLOOKUP(B12026,'Poids des runes'!A:B,2,FALSE)))+1),(((D12026/100)*(C12026*VLOOKUP(B12026,'Poids des runes'!A:B,2,FALSE)))+1)/VLOOKUP(B12026,'Poids des runes'!A:B,2,FALSE))</f>
        <v>51.625</v>
      </c>
      <c r="F12026">
        <f t="shared" si="187"/>
        <v>51.625</v>
      </c>
    </row>
    <row r="12027" spans="1:6" x14ac:dyDescent="0.3">
      <c r="A12027" t="s">
        <v>1956</v>
      </c>
      <c r="B12027" t="s">
        <v>2127</v>
      </c>
      <c r="C12027">
        <v>40.5</v>
      </c>
      <c r="D12027">
        <v>125</v>
      </c>
      <c r="E12027">
        <f>IF(OR(B12027="vi",B12027="ii",B12027="pod"),(((D12027/100)*(C12027*VLOOKUP(B12027,'Poids des runes'!A:B,2,FALSE)))+1),(((D12027/100)*(C12027*VLOOKUP(B12027,'Poids des runes'!A:B,2,FALSE)))+1)/VLOOKUP(B12027,'Poids des runes'!A:B,2,FALSE))</f>
        <v>51.625</v>
      </c>
      <c r="F12027">
        <f t="shared" si="187"/>
        <v>51.625</v>
      </c>
    </row>
    <row r="12028" spans="1:6" x14ac:dyDescent="0.3">
      <c r="A12028" t="s">
        <v>1956</v>
      </c>
      <c r="B12028" t="s">
        <v>2129</v>
      </c>
      <c r="C12028">
        <v>25.5</v>
      </c>
      <c r="D12028">
        <v>125</v>
      </c>
      <c r="E12028">
        <f>IF(OR(B12028="vi",B12028="ii",B12028="pod"),(((D12028/100)*(C12028*VLOOKUP(B12028,'Poids des runes'!A:B,2,FALSE)))+1),(((D12028/100)*(C12028*VLOOKUP(B12028,'Poids des runes'!A:B,2,FALSE)))+1)/VLOOKUP(B12028,'Poids des runes'!A:B,2,FALSE))</f>
        <v>32.875</v>
      </c>
      <c r="F12028">
        <f t="shared" si="187"/>
        <v>32.875</v>
      </c>
    </row>
    <row r="12029" spans="1:6" x14ac:dyDescent="0.3">
      <c r="A12029" t="s">
        <v>1956</v>
      </c>
      <c r="B12029" t="s">
        <v>2139</v>
      </c>
      <c r="C12029">
        <v>13</v>
      </c>
      <c r="D12029">
        <v>125</v>
      </c>
      <c r="E12029">
        <f>IF(OR(B12029="vi",B12029="ii",B12029="pod"),(((D12029/100)*(C12029*VLOOKUP(B12029,'Poids des runes'!A:B,2,FALSE)))+1),(((D12029/100)*(C12029*VLOOKUP(B12029,'Poids des runes'!A:B,2,FALSE)))+1)/VLOOKUP(B12029,'Poids des runes'!A:B,2,FALSE))</f>
        <v>16.75</v>
      </c>
      <c r="F12029">
        <f t="shared" si="187"/>
        <v>16.75</v>
      </c>
    </row>
    <row r="12030" spans="1:6" x14ac:dyDescent="0.3">
      <c r="A12030" t="s">
        <v>1956</v>
      </c>
      <c r="B12030" t="s">
        <v>2150</v>
      </c>
      <c r="C12030">
        <v>1</v>
      </c>
      <c r="D12030">
        <v>125</v>
      </c>
      <c r="E12030">
        <f>IF(OR(B12030="vi",B12030="ii",B12030="pod"),(((D12030/100)*(C12030*VLOOKUP(B12030,'Poids des runes'!A:B,2,FALSE)))+1),(((D12030/100)*(C12030*VLOOKUP(B12030,'Poids des runes'!A:B,2,FALSE)))+1)/VLOOKUP(B12030,'Poids des runes'!A:B,2,FALSE))</f>
        <v>1.2833333333333334</v>
      </c>
      <c r="F12030">
        <f t="shared" si="187"/>
        <v>1.2833333333333334</v>
      </c>
    </row>
    <row r="12031" spans="1:6" x14ac:dyDescent="0.3">
      <c r="A12031" t="s">
        <v>1956</v>
      </c>
      <c r="B12031" t="s">
        <v>2134</v>
      </c>
      <c r="C12031">
        <v>4.5</v>
      </c>
      <c r="D12031">
        <v>125</v>
      </c>
      <c r="E12031">
        <f>IF(OR(B12031="vi",B12031="ii",B12031="pod"),(((D12031/100)*(C12031*VLOOKUP(B12031,'Poids des runes'!A:B,2,FALSE)))+1),(((D12031/100)*(C12031*VLOOKUP(B12031,'Poids des runes'!A:B,2,FALSE)))+1)/VLOOKUP(B12031,'Poids des runes'!A:B,2,FALSE))</f>
        <v>5.6749999999999998</v>
      </c>
      <c r="F12031">
        <f t="shared" si="187"/>
        <v>5.6749999999999998</v>
      </c>
    </row>
    <row r="12032" spans="1:6" x14ac:dyDescent="0.3">
      <c r="A12032" t="s">
        <v>1956</v>
      </c>
      <c r="B12032" t="s">
        <v>2161</v>
      </c>
      <c r="C12032">
        <v>13</v>
      </c>
      <c r="D12032">
        <v>125</v>
      </c>
      <c r="E12032">
        <f>IF(OR(B12032="vi",B12032="ii",B12032="pod"),(((D12032/100)*(C12032*VLOOKUP(B12032,'Poids des runes'!A:B,2,FALSE)))+1),(((D12032/100)*(C12032*VLOOKUP(B12032,'Poids des runes'!A:B,2,FALSE)))+1)/VLOOKUP(B12032,'Poids des runes'!A:B,2,FALSE))</f>
        <v>16.583333333333332</v>
      </c>
      <c r="F12032">
        <f t="shared" si="187"/>
        <v>16.583333333333332</v>
      </c>
    </row>
    <row r="12033" spans="1:6" x14ac:dyDescent="0.3">
      <c r="A12033" t="s">
        <v>1956</v>
      </c>
      <c r="B12033" t="s">
        <v>2141</v>
      </c>
      <c r="C12033">
        <v>4</v>
      </c>
      <c r="D12033">
        <v>125</v>
      </c>
      <c r="E12033">
        <f>IF(OR(B12033="vi",B12033="ii",B12033="pod"),(((D12033/100)*(C12033*VLOOKUP(B12033,'Poids des runes'!A:B,2,FALSE)))+1),(((D12033/100)*(C12033*VLOOKUP(B12033,'Poids des runes'!A:B,2,FALSE)))+1)/VLOOKUP(B12033,'Poids des runes'!A:B,2,FALSE))</f>
        <v>5.25</v>
      </c>
      <c r="F12033">
        <f t="shared" si="187"/>
        <v>5.25</v>
      </c>
    </row>
    <row r="12034" spans="1:6" x14ac:dyDescent="0.3">
      <c r="A12034" t="s">
        <v>1957</v>
      </c>
      <c r="B12034" t="s">
        <v>2128</v>
      </c>
      <c r="C12034">
        <v>175.5</v>
      </c>
      <c r="D12034">
        <v>126</v>
      </c>
      <c r="E12034">
        <f>IF(OR(B12034="vi",B12034="ii",B12034="pod"),(((D12034/100)*(C12034*VLOOKUP(B12034,'Poids des runes'!A:B,2,FALSE)))+1),(((D12034/100)*(C12034*VLOOKUP(B12034,'Poids des runes'!A:B,2,FALSE)))+1)/VLOOKUP(B12034,'Poids des runes'!A:B,2,FALSE))</f>
        <v>45.225999999999999</v>
      </c>
      <c r="F12034">
        <f t="shared" si="187"/>
        <v>45.225999999999999</v>
      </c>
    </row>
    <row r="12035" spans="1:6" x14ac:dyDescent="0.3">
      <c r="A12035" t="s">
        <v>1957</v>
      </c>
      <c r="B12035" t="s">
        <v>2126</v>
      </c>
      <c r="C12035">
        <v>40.5</v>
      </c>
      <c r="D12035">
        <v>126</v>
      </c>
      <c r="E12035">
        <f>IF(OR(B12035="vi",B12035="ii",B12035="pod"),(((D12035/100)*(C12035*VLOOKUP(B12035,'Poids des runes'!A:B,2,FALSE)))+1),(((D12035/100)*(C12035*VLOOKUP(B12035,'Poids des runes'!A:B,2,FALSE)))+1)/VLOOKUP(B12035,'Poids des runes'!A:B,2,FALSE))</f>
        <v>52.03</v>
      </c>
      <c r="F12035">
        <f t="shared" ref="F12035:F12098" si="188">E12035</f>
        <v>52.03</v>
      </c>
    </row>
    <row r="12036" spans="1:6" x14ac:dyDescent="0.3">
      <c r="A12036" t="s">
        <v>1957</v>
      </c>
      <c r="B12036" t="s">
        <v>2131</v>
      </c>
      <c r="C12036">
        <v>40.5</v>
      </c>
      <c r="D12036">
        <v>126</v>
      </c>
      <c r="E12036">
        <f>IF(OR(B12036="vi",B12036="ii",B12036="pod"),(((D12036/100)*(C12036*VLOOKUP(B12036,'Poids des runes'!A:B,2,FALSE)))+1),(((D12036/100)*(C12036*VLOOKUP(B12036,'Poids des runes'!A:B,2,FALSE)))+1)/VLOOKUP(B12036,'Poids des runes'!A:B,2,FALSE))</f>
        <v>52.03</v>
      </c>
      <c r="F12036">
        <f t="shared" si="188"/>
        <v>52.03</v>
      </c>
    </row>
    <row r="12037" spans="1:6" x14ac:dyDescent="0.3">
      <c r="A12037" t="s">
        <v>1957</v>
      </c>
      <c r="B12037" t="s">
        <v>2129</v>
      </c>
      <c r="C12037">
        <v>30.5</v>
      </c>
      <c r="D12037">
        <v>126</v>
      </c>
      <c r="E12037">
        <f>IF(OR(B12037="vi",B12037="ii",B12037="pod"),(((D12037/100)*(C12037*VLOOKUP(B12037,'Poids des runes'!A:B,2,FALSE)))+1),(((D12037/100)*(C12037*VLOOKUP(B12037,'Poids des runes'!A:B,2,FALSE)))+1)/VLOOKUP(B12037,'Poids des runes'!A:B,2,FALSE))</f>
        <v>39.43</v>
      </c>
      <c r="F12037">
        <f t="shared" si="188"/>
        <v>39.43</v>
      </c>
    </row>
    <row r="12038" spans="1:6" x14ac:dyDescent="0.3">
      <c r="A12038" t="s">
        <v>1957</v>
      </c>
      <c r="B12038" t="s">
        <v>2161</v>
      </c>
      <c r="C12038">
        <v>13</v>
      </c>
      <c r="D12038">
        <v>126</v>
      </c>
      <c r="E12038">
        <f>IF(OR(B12038="vi",B12038="ii",B12038="pod"),(((D12038/100)*(C12038*VLOOKUP(B12038,'Poids des runes'!A:B,2,FALSE)))+1),(((D12038/100)*(C12038*VLOOKUP(B12038,'Poids des runes'!A:B,2,FALSE)))+1)/VLOOKUP(B12038,'Poids des runes'!A:B,2,FALSE))</f>
        <v>16.713333333333335</v>
      </c>
      <c r="F12038">
        <f t="shared" si="188"/>
        <v>16.713333333333335</v>
      </c>
    </row>
    <row r="12039" spans="1:6" x14ac:dyDescent="0.3">
      <c r="A12039" t="s">
        <v>1958</v>
      </c>
      <c r="B12039" t="s">
        <v>2128</v>
      </c>
      <c r="C12039">
        <v>175.5</v>
      </c>
      <c r="D12039">
        <v>126</v>
      </c>
      <c r="E12039">
        <f>IF(OR(B12039="vi",B12039="ii",B12039="pod"),(((D12039/100)*(C12039*VLOOKUP(B12039,'Poids des runes'!A:B,2,FALSE)))+1),(((D12039/100)*(C12039*VLOOKUP(B12039,'Poids des runes'!A:B,2,FALSE)))+1)/VLOOKUP(B12039,'Poids des runes'!A:B,2,FALSE))</f>
        <v>45.225999999999999</v>
      </c>
      <c r="F12039">
        <f t="shared" si="188"/>
        <v>45.225999999999999</v>
      </c>
    </row>
    <row r="12040" spans="1:6" x14ac:dyDescent="0.3">
      <c r="A12040" t="s">
        <v>1958</v>
      </c>
      <c r="B12040" t="s">
        <v>2126</v>
      </c>
      <c r="C12040">
        <v>40.5</v>
      </c>
      <c r="D12040">
        <v>126</v>
      </c>
      <c r="E12040">
        <f>IF(OR(B12040="vi",B12040="ii",B12040="pod"),(((D12040/100)*(C12040*VLOOKUP(B12040,'Poids des runes'!A:B,2,FALSE)))+1),(((D12040/100)*(C12040*VLOOKUP(B12040,'Poids des runes'!A:B,2,FALSE)))+1)/VLOOKUP(B12040,'Poids des runes'!A:B,2,FALSE))</f>
        <v>52.03</v>
      </c>
      <c r="F12040">
        <f t="shared" si="188"/>
        <v>52.03</v>
      </c>
    </row>
    <row r="12041" spans="1:6" x14ac:dyDescent="0.3">
      <c r="A12041" t="s">
        <v>1958</v>
      </c>
      <c r="B12041" t="s">
        <v>2127</v>
      </c>
      <c r="C12041">
        <v>30.5</v>
      </c>
      <c r="D12041">
        <v>126</v>
      </c>
      <c r="E12041">
        <f>IF(OR(B12041="vi",B12041="ii",B12041="pod"),(((D12041/100)*(C12041*VLOOKUP(B12041,'Poids des runes'!A:B,2,FALSE)))+1),(((D12041/100)*(C12041*VLOOKUP(B12041,'Poids des runes'!A:B,2,FALSE)))+1)/VLOOKUP(B12041,'Poids des runes'!A:B,2,FALSE))</f>
        <v>39.43</v>
      </c>
      <c r="F12041">
        <f t="shared" si="188"/>
        <v>39.43</v>
      </c>
    </row>
    <row r="12042" spans="1:6" x14ac:dyDescent="0.3">
      <c r="A12042" t="s">
        <v>1958</v>
      </c>
      <c r="B12042" t="s">
        <v>2139</v>
      </c>
      <c r="C12042">
        <v>18</v>
      </c>
      <c r="D12042">
        <v>126</v>
      </c>
      <c r="E12042">
        <f>IF(OR(B12042="vi",B12042="ii",B12042="pod"),(((D12042/100)*(C12042*VLOOKUP(B12042,'Poids des runes'!A:B,2,FALSE)))+1),(((D12042/100)*(C12042*VLOOKUP(B12042,'Poids des runes'!A:B,2,FALSE)))+1)/VLOOKUP(B12042,'Poids des runes'!A:B,2,FALSE))</f>
        <v>23.18</v>
      </c>
      <c r="F12042">
        <f t="shared" si="188"/>
        <v>23.18</v>
      </c>
    </row>
    <row r="12043" spans="1:6" x14ac:dyDescent="0.3">
      <c r="A12043" t="s">
        <v>1958</v>
      </c>
      <c r="B12043" t="s">
        <v>2161</v>
      </c>
      <c r="C12043">
        <v>13</v>
      </c>
      <c r="D12043">
        <v>126</v>
      </c>
      <c r="E12043">
        <f>IF(OR(B12043="vi",B12043="ii",B12043="pod"),(((D12043/100)*(C12043*VLOOKUP(B12043,'Poids des runes'!A:B,2,FALSE)))+1),(((D12043/100)*(C12043*VLOOKUP(B12043,'Poids des runes'!A:B,2,FALSE)))+1)/VLOOKUP(B12043,'Poids des runes'!A:B,2,FALSE))</f>
        <v>16.713333333333335</v>
      </c>
      <c r="F12043">
        <f t="shared" si="188"/>
        <v>16.713333333333335</v>
      </c>
    </row>
    <row r="12044" spans="1:6" x14ac:dyDescent="0.3">
      <c r="A12044" t="s">
        <v>1958</v>
      </c>
      <c r="B12044" t="s">
        <v>2147</v>
      </c>
      <c r="C12044">
        <v>5</v>
      </c>
      <c r="D12044">
        <v>126</v>
      </c>
      <c r="E12044">
        <f>IF(OR(B12044="vi",B12044="ii",B12044="pod"),(((D12044/100)*(C12044*VLOOKUP(B12044,'Poids des runes'!A:B,2,FALSE)))+1),(((D12044/100)*(C12044*VLOOKUP(B12044,'Poids des runes'!A:B,2,FALSE)))+1)/VLOOKUP(B12044,'Poids des runes'!A:B,2,FALSE))</f>
        <v>6.4666666666666659</v>
      </c>
      <c r="F12044">
        <f t="shared" si="188"/>
        <v>6.4666666666666659</v>
      </c>
    </row>
    <row r="12045" spans="1:6" x14ac:dyDescent="0.3">
      <c r="A12045" t="s">
        <v>1958</v>
      </c>
      <c r="B12045" t="s">
        <v>2157</v>
      </c>
      <c r="C12045">
        <v>5</v>
      </c>
      <c r="D12045">
        <v>126</v>
      </c>
      <c r="E12045">
        <f>IF(OR(B12045="vi",B12045="ii",B12045="pod"),(((D12045/100)*(C12045*VLOOKUP(B12045,'Poids des runes'!A:B,2,FALSE)))+1),(((D12045/100)*(C12045*VLOOKUP(B12045,'Poids des runes'!A:B,2,FALSE)))+1)/VLOOKUP(B12045,'Poids des runes'!A:B,2,FALSE))</f>
        <v>6.4666666666666659</v>
      </c>
      <c r="F12045">
        <f t="shared" si="188"/>
        <v>6.4666666666666659</v>
      </c>
    </row>
    <row r="12046" spans="1:6" x14ac:dyDescent="0.3">
      <c r="A12046" t="s">
        <v>1959</v>
      </c>
      <c r="B12046" t="s">
        <v>2128</v>
      </c>
      <c r="C12046">
        <v>125.5</v>
      </c>
      <c r="D12046">
        <v>126</v>
      </c>
      <c r="E12046">
        <f>IF(OR(B12046="vi",B12046="ii",B12046="pod"),(((D12046/100)*(C12046*VLOOKUP(B12046,'Poids des runes'!A:B,2,FALSE)))+1),(((D12046/100)*(C12046*VLOOKUP(B12046,'Poids des runes'!A:B,2,FALSE)))+1)/VLOOKUP(B12046,'Poids des runes'!A:B,2,FALSE))</f>
        <v>32.626000000000005</v>
      </c>
      <c r="F12046">
        <f t="shared" si="188"/>
        <v>32.626000000000005</v>
      </c>
    </row>
    <row r="12047" spans="1:6" x14ac:dyDescent="0.3">
      <c r="A12047" t="s">
        <v>1959</v>
      </c>
      <c r="B12047" t="s">
        <v>2126</v>
      </c>
      <c r="C12047">
        <v>28</v>
      </c>
      <c r="D12047">
        <v>126</v>
      </c>
      <c r="E12047">
        <f>IF(OR(B12047="vi",B12047="ii",B12047="pod"),(((D12047/100)*(C12047*VLOOKUP(B12047,'Poids des runes'!A:B,2,FALSE)))+1),(((D12047/100)*(C12047*VLOOKUP(B12047,'Poids des runes'!A:B,2,FALSE)))+1)/VLOOKUP(B12047,'Poids des runes'!A:B,2,FALSE))</f>
        <v>36.28</v>
      </c>
      <c r="F12047">
        <f t="shared" si="188"/>
        <v>36.28</v>
      </c>
    </row>
    <row r="12048" spans="1:6" x14ac:dyDescent="0.3">
      <c r="A12048" t="s">
        <v>1959</v>
      </c>
      <c r="B12048" t="s">
        <v>2129</v>
      </c>
      <c r="C12048">
        <v>30.5</v>
      </c>
      <c r="D12048">
        <v>126</v>
      </c>
      <c r="E12048">
        <f>IF(OR(B12048="vi",B12048="ii",B12048="pod"),(((D12048/100)*(C12048*VLOOKUP(B12048,'Poids des runes'!A:B,2,FALSE)))+1),(((D12048/100)*(C12048*VLOOKUP(B12048,'Poids des runes'!A:B,2,FALSE)))+1)/VLOOKUP(B12048,'Poids des runes'!A:B,2,FALSE))</f>
        <v>39.43</v>
      </c>
      <c r="F12048">
        <f t="shared" si="188"/>
        <v>39.43</v>
      </c>
    </row>
    <row r="12049" spans="1:6" x14ac:dyDescent="0.3">
      <c r="A12049" t="s">
        <v>1959</v>
      </c>
      <c r="B12049" t="s">
        <v>2149</v>
      </c>
      <c r="C12049">
        <v>4.5</v>
      </c>
      <c r="D12049">
        <v>126</v>
      </c>
      <c r="E12049">
        <f>IF(OR(B12049="vi",B12049="ii",B12049="pod"),(((D12049/100)*(C12049*VLOOKUP(B12049,'Poids des runes'!A:B,2,FALSE)))+1),(((D12049/100)*(C12049*VLOOKUP(B12049,'Poids des runes'!A:B,2,FALSE)))+1)/VLOOKUP(B12049,'Poids des runes'!A:B,2,FALSE))</f>
        <v>5.7700000000000005</v>
      </c>
      <c r="F12049">
        <f t="shared" si="188"/>
        <v>5.7700000000000005</v>
      </c>
    </row>
    <row r="12050" spans="1:6" x14ac:dyDescent="0.3">
      <c r="A12050" t="s">
        <v>1959</v>
      </c>
      <c r="B12050" t="s">
        <v>2161</v>
      </c>
      <c r="C12050">
        <v>13</v>
      </c>
      <c r="D12050">
        <v>126</v>
      </c>
      <c r="E12050">
        <f>IF(OR(B12050="vi",B12050="ii",B12050="pod"),(((D12050/100)*(C12050*VLOOKUP(B12050,'Poids des runes'!A:B,2,FALSE)))+1),(((D12050/100)*(C12050*VLOOKUP(B12050,'Poids des runes'!A:B,2,FALSE)))+1)/VLOOKUP(B12050,'Poids des runes'!A:B,2,FALSE))</f>
        <v>16.713333333333335</v>
      </c>
      <c r="F12050">
        <f t="shared" si="188"/>
        <v>16.713333333333335</v>
      </c>
    </row>
    <row r="12051" spans="1:6" x14ac:dyDescent="0.3">
      <c r="A12051" t="s">
        <v>1959</v>
      </c>
      <c r="B12051" t="s">
        <v>2132</v>
      </c>
      <c r="C12051">
        <v>350.5</v>
      </c>
      <c r="D12051">
        <v>126</v>
      </c>
      <c r="E12051">
        <f>IF(OR(B12051="vi",B12051="ii",B12051="pod"),(((D12051/100)*(C12051*VLOOKUP(B12051,'Poids des runes'!A:B,2,FALSE)))+1),(((D12051/100)*(C12051*VLOOKUP(B12051,'Poids des runes'!A:B,2,FALSE)))+1)/VLOOKUP(B12051,'Poids des runes'!A:B,2,FALSE))</f>
        <v>45.163000000000004</v>
      </c>
      <c r="F12051">
        <f t="shared" si="188"/>
        <v>45.163000000000004</v>
      </c>
    </row>
    <row r="12052" spans="1:6" x14ac:dyDescent="0.3">
      <c r="A12052" t="s">
        <v>1960</v>
      </c>
      <c r="B12052" t="s">
        <v>2128</v>
      </c>
      <c r="C12052">
        <v>175.5</v>
      </c>
      <c r="D12052">
        <v>126</v>
      </c>
      <c r="E12052">
        <f>IF(OR(B12052="vi",B12052="ii",B12052="pod"),(((D12052/100)*(C12052*VLOOKUP(B12052,'Poids des runes'!A:B,2,FALSE)))+1),(((D12052/100)*(C12052*VLOOKUP(B12052,'Poids des runes'!A:B,2,FALSE)))+1)/VLOOKUP(B12052,'Poids des runes'!A:B,2,FALSE))</f>
        <v>45.225999999999999</v>
      </c>
      <c r="F12052">
        <f t="shared" si="188"/>
        <v>45.225999999999999</v>
      </c>
    </row>
    <row r="12053" spans="1:6" x14ac:dyDescent="0.3">
      <c r="A12053" t="s">
        <v>1960</v>
      </c>
      <c r="B12053" t="s">
        <v>2131</v>
      </c>
      <c r="C12053">
        <v>30.5</v>
      </c>
      <c r="D12053">
        <v>126</v>
      </c>
      <c r="E12053">
        <f>IF(OR(B12053="vi",B12053="ii",B12053="pod"),(((D12053/100)*(C12053*VLOOKUP(B12053,'Poids des runes'!A:B,2,FALSE)))+1),(((D12053/100)*(C12053*VLOOKUP(B12053,'Poids des runes'!A:B,2,FALSE)))+1)/VLOOKUP(B12053,'Poids des runes'!A:B,2,FALSE))</f>
        <v>39.43</v>
      </c>
      <c r="F12053">
        <f t="shared" si="188"/>
        <v>39.43</v>
      </c>
    </row>
    <row r="12054" spans="1:6" x14ac:dyDescent="0.3">
      <c r="A12054" t="s">
        <v>1960</v>
      </c>
      <c r="B12054" t="s">
        <v>2127</v>
      </c>
      <c r="C12054">
        <v>30.5</v>
      </c>
      <c r="D12054">
        <v>126</v>
      </c>
      <c r="E12054">
        <f>IF(OR(B12054="vi",B12054="ii",B12054="pod"),(((D12054/100)*(C12054*VLOOKUP(B12054,'Poids des runes'!A:B,2,FALSE)))+1),(((D12054/100)*(C12054*VLOOKUP(B12054,'Poids des runes'!A:B,2,FALSE)))+1)/VLOOKUP(B12054,'Poids des runes'!A:B,2,FALSE))</f>
        <v>39.43</v>
      </c>
      <c r="F12054">
        <f t="shared" si="188"/>
        <v>39.43</v>
      </c>
    </row>
    <row r="12055" spans="1:6" x14ac:dyDescent="0.3">
      <c r="A12055" t="s">
        <v>1960</v>
      </c>
      <c r="B12055" t="s">
        <v>2129</v>
      </c>
      <c r="C12055">
        <v>15.5</v>
      </c>
      <c r="D12055">
        <v>126</v>
      </c>
      <c r="E12055">
        <f>IF(OR(B12055="vi",B12055="ii",B12055="pod"),(((D12055/100)*(C12055*VLOOKUP(B12055,'Poids des runes'!A:B,2,FALSE)))+1),(((D12055/100)*(C12055*VLOOKUP(B12055,'Poids des runes'!A:B,2,FALSE)))+1)/VLOOKUP(B12055,'Poids des runes'!A:B,2,FALSE))</f>
        <v>20.53</v>
      </c>
      <c r="F12055">
        <f t="shared" si="188"/>
        <v>20.53</v>
      </c>
    </row>
    <row r="12056" spans="1:6" x14ac:dyDescent="0.3">
      <c r="A12056" t="s">
        <v>1960</v>
      </c>
      <c r="B12056" t="s">
        <v>2151</v>
      </c>
      <c r="C12056">
        <v>3.5</v>
      </c>
      <c r="D12056">
        <v>126</v>
      </c>
      <c r="E12056">
        <f>IF(OR(B12056="vi",B12056="ii",B12056="pod"),(((D12056/100)*(C12056*VLOOKUP(B12056,'Poids des runes'!A:B,2,FALSE)))+1),(((D12056/100)*(C12056*VLOOKUP(B12056,'Poids des runes'!A:B,2,FALSE)))+1)/VLOOKUP(B12056,'Poids des runes'!A:B,2,FALSE))</f>
        <v>4.51</v>
      </c>
      <c r="F12056">
        <f t="shared" si="188"/>
        <v>4.51</v>
      </c>
    </row>
    <row r="12057" spans="1:6" x14ac:dyDescent="0.3">
      <c r="A12057" t="s">
        <v>1960</v>
      </c>
      <c r="B12057" t="s">
        <v>2134</v>
      </c>
      <c r="C12057">
        <v>5</v>
      </c>
      <c r="D12057">
        <v>126</v>
      </c>
      <c r="E12057">
        <f>IF(OR(B12057="vi",B12057="ii",B12057="pod"),(((D12057/100)*(C12057*VLOOKUP(B12057,'Poids des runes'!A:B,2,FALSE)))+1),(((D12057/100)*(C12057*VLOOKUP(B12057,'Poids des runes'!A:B,2,FALSE)))+1)/VLOOKUP(B12057,'Poids des runes'!A:B,2,FALSE))</f>
        <v>6.35</v>
      </c>
      <c r="F12057">
        <f t="shared" si="188"/>
        <v>6.35</v>
      </c>
    </row>
    <row r="12058" spans="1:6" x14ac:dyDescent="0.3">
      <c r="A12058" t="s">
        <v>1960</v>
      </c>
      <c r="B12058" t="s">
        <v>2161</v>
      </c>
      <c r="C12058">
        <v>13</v>
      </c>
      <c r="D12058">
        <v>126</v>
      </c>
      <c r="E12058">
        <f>IF(OR(B12058="vi",B12058="ii",B12058="pod"),(((D12058/100)*(C12058*VLOOKUP(B12058,'Poids des runes'!A:B,2,FALSE)))+1),(((D12058/100)*(C12058*VLOOKUP(B12058,'Poids des runes'!A:B,2,FALSE)))+1)/VLOOKUP(B12058,'Poids des runes'!A:B,2,FALSE))</f>
        <v>16.713333333333335</v>
      </c>
      <c r="F12058">
        <f t="shared" si="188"/>
        <v>16.713333333333335</v>
      </c>
    </row>
    <row r="12059" spans="1:6" x14ac:dyDescent="0.3">
      <c r="A12059" t="s">
        <v>1960</v>
      </c>
      <c r="B12059" t="s">
        <v>2147</v>
      </c>
      <c r="C12059">
        <v>3.5</v>
      </c>
      <c r="D12059">
        <v>126</v>
      </c>
      <c r="E12059">
        <f>IF(OR(B12059="vi",B12059="ii",B12059="pod"),(((D12059/100)*(C12059*VLOOKUP(B12059,'Poids des runes'!A:B,2,FALSE)))+1),(((D12059/100)*(C12059*VLOOKUP(B12059,'Poids des runes'!A:B,2,FALSE)))+1)/VLOOKUP(B12059,'Poids des runes'!A:B,2,FALSE))</f>
        <v>4.5766666666666671</v>
      </c>
      <c r="F12059">
        <f t="shared" si="188"/>
        <v>4.5766666666666671</v>
      </c>
    </row>
    <row r="12060" spans="1:6" x14ac:dyDescent="0.3">
      <c r="A12060" t="s">
        <v>1960</v>
      </c>
      <c r="B12060" t="s">
        <v>2137</v>
      </c>
      <c r="C12060">
        <v>6</v>
      </c>
      <c r="D12060">
        <v>126</v>
      </c>
      <c r="E12060">
        <f>IF(OR(B12060="vi",B12060="ii",B12060="pod"),(((D12060/100)*(C12060*VLOOKUP(B12060,'Poids des runes'!A:B,2,FALSE)))+1),(((D12060/100)*(C12060*VLOOKUP(B12060,'Poids des runes'!A:B,2,FALSE)))+1)/VLOOKUP(B12060,'Poids des runes'!A:B,2,FALSE))</f>
        <v>8.06</v>
      </c>
      <c r="F12060">
        <f t="shared" si="188"/>
        <v>8.06</v>
      </c>
    </row>
    <row r="12061" spans="1:6" x14ac:dyDescent="0.3">
      <c r="A12061" t="s">
        <v>1960</v>
      </c>
      <c r="B12061" t="s">
        <v>2146</v>
      </c>
      <c r="C12061">
        <v>6</v>
      </c>
      <c r="D12061">
        <v>126</v>
      </c>
      <c r="E12061">
        <f>IF(OR(B12061="vi",B12061="ii",B12061="pod"),(((D12061/100)*(C12061*VLOOKUP(B12061,'Poids des runes'!A:B,2,FALSE)))+1),(((D12061/100)*(C12061*VLOOKUP(B12061,'Poids des runes'!A:B,2,FALSE)))+1)/VLOOKUP(B12061,'Poids des runes'!A:B,2,FALSE))</f>
        <v>8.06</v>
      </c>
      <c r="F12061">
        <f t="shared" si="188"/>
        <v>8.06</v>
      </c>
    </row>
    <row r="12062" spans="1:6" x14ac:dyDescent="0.3">
      <c r="A12062" t="s">
        <v>1961</v>
      </c>
      <c r="B12062" t="s">
        <v>2128</v>
      </c>
      <c r="C12062">
        <v>125.5</v>
      </c>
      <c r="D12062">
        <v>126</v>
      </c>
      <c r="E12062">
        <f>IF(OR(B12062="vi",B12062="ii",B12062="pod"),(((D12062/100)*(C12062*VLOOKUP(B12062,'Poids des runes'!A:B,2,FALSE)))+1),(((D12062/100)*(C12062*VLOOKUP(B12062,'Poids des runes'!A:B,2,FALSE)))+1)/VLOOKUP(B12062,'Poids des runes'!A:B,2,FALSE))</f>
        <v>32.626000000000005</v>
      </c>
      <c r="F12062">
        <f t="shared" si="188"/>
        <v>32.626000000000005</v>
      </c>
    </row>
    <row r="12063" spans="1:6" x14ac:dyDescent="0.3">
      <c r="A12063" t="s">
        <v>1961</v>
      </c>
      <c r="B12063" t="s">
        <v>2131</v>
      </c>
      <c r="C12063">
        <v>40.5</v>
      </c>
      <c r="D12063">
        <v>126</v>
      </c>
      <c r="E12063">
        <f>IF(OR(B12063="vi",B12063="ii",B12063="pod"),(((D12063/100)*(C12063*VLOOKUP(B12063,'Poids des runes'!A:B,2,FALSE)))+1),(((D12063/100)*(C12063*VLOOKUP(B12063,'Poids des runes'!A:B,2,FALSE)))+1)/VLOOKUP(B12063,'Poids des runes'!A:B,2,FALSE))</f>
        <v>52.03</v>
      </c>
      <c r="F12063">
        <f t="shared" si="188"/>
        <v>52.03</v>
      </c>
    </row>
    <row r="12064" spans="1:6" x14ac:dyDescent="0.3">
      <c r="A12064" t="s">
        <v>1961</v>
      </c>
      <c r="B12064" t="s">
        <v>2129</v>
      </c>
      <c r="C12064">
        <v>25.5</v>
      </c>
      <c r="D12064">
        <v>126</v>
      </c>
      <c r="E12064">
        <f>IF(OR(B12064="vi",B12064="ii",B12064="pod"),(((D12064/100)*(C12064*VLOOKUP(B12064,'Poids des runes'!A:B,2,FALSE)))+1),(((D12064/100)*(C12064*VLOOKUP(B12064,'Poids des runes'!A:B,2,FALSE)))+1)/VLOOKUP(B12064,'Poids des runes'!A:B,2,FALSE))</f>
        <v>33.130000000000003</v>
      </c>
      <c r="F12064">
        <f t="shared" si="188"/>
        <v>33.130000000000003</v>
      </c>
    </row>
    <row r="12065" spans="1:6" x14ac:dyDescent="0.3">
      <c r="A12065" t="s">
        <v>1961</v>
      </c>
      <c r="B12065" t="s">
        <v>2151</v>
      </c>
      <c r="C12065">
        <v>4.5</v>
      </c>
      <c r="D12065">
        <v>126</v>
      </c>
      <c r="E12065">
        <f>IF(OR(B12065="vi",B12065="ii",B12065="pod"),(((D12065/100)*(C12065*VLOOKUP(B12065,'Poids des runes'!A:B,2,FALSE)))+1),(((D12065/100)*(C12065*VLOOKUP(B12065,'Poids des runes'!A:B,2,FALSE)))+1)/VLOOKUP(B12065,'Poids des runes'!A:B,2,FALSE))</f>
        <v>5.7700000000000005</v>
      </c>
      <c r="F12065">
        <f t="shared" si="188"/>
        <v>5.7700000000000005</v>
      </c>
    </row>
    <row r="12066" spans="1:6" x14ac:dyDescent="0.3">
      <c r="A12066" t="s">
        <v>1961</v>
      </c>
      <c r="B12066" t="s">
        <v>2155</v>
      </c>
      <c r="C12066">
        <v>1</v>
      </c>
      <c r="D12066">
        <v>126</v>
      </c>
      <c r="E12066">
        <f>IF(OR(B12066="vi",B12066="ii",B12066="pod"),(((D12066/100)*(C12066*VLOOKUP(B12066,'Poids des runes'!A:B,2,FALSE)))+1),(((D12066/100)*(C12066*VLOOKUP(B12066,'Poids des runes'!A:B,2,FALSE)))+1)/VLOOKUP(B12066,'Poids des runes'!A:B,2,FALSE))</f>
        <v>1.2796078431372551</v>
      </c>
      <c r="F12066">
        <f t="shared" si="188"/>
        <v>1.2796078431372551</v>
      </c>
    </row>
    <row r="12067" spans="1:6" x14ac:dyDescent="0.3">
      <c r="A12067" t="s">
        <v>1961</v>
      </c>
      <c r="B12067" t="s">
        <v>2133</v>
      </c>
      <c r="C12067">
        <v>10.5</v>
      </c>
      <c r="D12067">
        <v>126</v>
      </c>
      <c r="E12067">
        <f>IF(OR(B12067="vi",B12067="ii",B12067="pod"),(((D12067/100)*(C12067*VLOOKUP(B12067,'Poids des runes'!A:B,2,FALSE)))+1),(((D12067/100)*(C12067*VLOOKUP(B12067,'Poids des runes'!A:B,2,FALSE)))+1)/VLOOKUP(B12067,'Poids des runes'!A:B,2,FALSE))</f>
        <v>13.430000000000001</v>
      </c>
      <c r="F12067">
        <f t="shared" si="188"/>
        <v>13.430000000000001</v>
      </c>
    </row>
    <row r="12068" spans="1:6" x14ac:dyDescent="0.3">
      <c r="A12068" t="s">
        <v>1961</v>
      </c>
      <c r="B12068" t="s">
        <v>2132</v>
      </c>
      <c r="C12068">
        <v>450.5</v>
      </c>
      <c r="D12068">
        <v>126</v>
      </c>
      <c r="E12068">
        <f>IF(OR(B12068="vi",B12068="ii",B12068="pod"),(((D12068/100)*(C12068*VLOOKUP(B12068,'Poids des runes'!A:B,2,FALSE)))+1),(((D12068/100)*(C12068*VLOOKUP(B12068,'Poids des runes'!A:B,2,FALSE)))+1)/VLOOKUP(B12068,'Poids des runes'!A:B,2,FALSE))</f>
        <v>57.763000000000005</v>
      </c>
      <c r="F12068">
        <f t="shared" si="188"/>
        <v>57.763000000000005</v>
      </c>
    </row>
    <row r="12069" spans="1:6" x14ac:dyDescent="0.3">
      <c r="A12069" t="s">
        <v>1961</v>
      </c>
      <c r="B12069" t="s">
        <v>2138</v>
      </c>
      <c r="C12069">
        <v>6</v>
      </c>
      <c r="D12069">
        <v>126</v>
      </c>
      <c r="E12069">
        <f>IF(OR(B12069="vi",B12069="ii",B12069="pod"),(((D12069/100)*(C12069*VLOOKUP(B12069,'Poids des runes'!A:B,2,FALSE)))+1),(((D12069/100)*(C12069*VLOOKUP(B12069,'Poids des runes'!A:B,2,FALSE)))+1)/VLOOKUP(B12069,'Poids des runes'!A:B,2,FALSE))</f>
        <v>7.8100000000000005</v>
      </c>
      <c r="F12069">
        <f t="shared" si="188"/>
        <v>7.8100000000000005</v>
      </c>
    </row>
    <row r="12070" spans="1:6" x14ac:dyDescent="0.3">
      <c r="A12070" t="s">
        <v>1961</v>
      </c>
      <c r="B12070" t="s">
        <v>2160</v>
      </c>
      <c r="C12070">
        <v>4.5</v>
      </c>
      <c r="D12070">
        <v>126</v>
      </c>
      <c r="E12070">
        <f>IF(OR(B12070="vi",B12070="ii",B12070="pod"),(((D12070/100)*(C12070*VLOOKUP(B12070,'Poids des runes'!A:B,2,FALSE)))+1),(((D12070/100)*(C12070*VLOOKUP(B12070,'Poids des runes'!A:B,2,FALSE)))+1)/VLOOKUP(B12070,'Poids des runes'!A:B,2,FALSE))</f>
        <v>5.8128571428571423</v>
      </c>
      <c r="F12070">
        <f t="shared" si="188"/>
        <v>5.8128571428571423</v>
      </c>
    </row>
    <row r="12071" spans="1:6" x14ac:dyDescent="0.3">
      <c r="A12071" t="s">
        <v>1961</v>
      </c>
      <c r="B12071" t="s">
        <v>2158</v>
      </c>
      <c r="C12071">
        <v>8.5</v>
      </c>
      <c r="D12071">
        <v>126</v>
      </c>
      <c r="E12071">
        <f>IF(OR(B12071="vi",B12071="ii",B12071="pod"),(((D12071/100)*(C12071*VLOOKUP(B12071,'Poids des runes'!A:B,2,FALSE)))+1),(((D12071/100)*(C12071*VLOOKUP(B12071,'Poids des runes'!A:B,2,FALSE)))+1)/VLOOKUP(B12071,'Poids des runes'!A:B,2,FALSE))</f>
        <v>10.91</v>
      </c>
      <c r="F12071">
        <f t="shared" si="188"/>
        <v>10.91</v>
      </c>
    </row>
    <row r="12072" spans="1:6" x14ac:dyDescent="0.3">
      <c r="A12072" t="s">
        <v>1961</v>
      </c>
      <c r="B12072" t="s">
        <v>2148</v>
      </c>
      <c r="C12072">
        <v>6</v>
      </c>
      <c r="D12072">
        <v>126</v>
      </c>
      <c r="E12072">
        <f>IF(OR(B12072="vi",B12072="ii",B12072="pod"),(((D12072/100)*(C12072*VLOOKUP(B12072,'Poids des runes'!A:B,2,FALSE)))+1),(((D12072/100)*(C12072*VLOOKUP(B12072,'Poids des runes'!A:B,2,FALSE)))+1)/VLOOKUP(B12072,'Poids des runes'!A:B,2,FALSE))</f>
        <v>7.7266666666666666</v>
      </c>
      <c r="F12072">
        <f t="shared" si="188"/>
        <v>7.7266666666666666</v>
      </c>
    </row>
    <row r="12073" spans="1:6" x14ac:dyDescent="0.3">
      <c r="A12073" t="s">
        <v>1961</v>
      </c>
      <c r="B12073" t="s">
        <v>2147</v>
      </c>
      <c r="C12073">
        <v>6</v>
      </c>
      <c r="D12073">
        <v>126</v>
      </c>
      <c r="E12073">
        <f>IF(OR(B12073="vi",B12073="ii",B12073="pod"),(((D12073/100)*(C12073*VLOOKUP(B12073,'Poids des runes'!A:B,2,FALSE)))+1),(((D12073/100)*(C12073*VLOOKUP(B12073,'Poids des runes'!A:B,2,FALSE)))+1)/VLOOKUP(B12073,'Poids des runes'!A:B,2,FALSE))</f>
        <v>7.7266666666666666</v>
      </c>
      <c r="F12073">
        <f t="shared" si="188"/>
        <v>7.7266666666666666</v>
      </c>
    </row>
    <row r="12074" spans="1:6" x14ac:dyDescent="0.3">
      <c r="A12074" t="s">
        <v>1961</v>
      </c>
      <c r="B12074" t="s">
        <v>2146</v>
      </c>
      <c r="C12074">
        <v>8.5</v>
      </c>
      <c r="D12074">
        <v>126</v>
      </c>
      <c r="E12074">
        <f>IF(OR(B12074="vi",B12074="ii",B12074="pod"),(((D12074/100)*(C12074*VLOOKUP(B12074,'Poids des runes'!A:B,2,FALSE)))+1),(((D12074/100)*(C12074*VLOOKUP(B12074,'Poids des runes'!A:B,2,FALSE)))+1)/VLOOKUP(B12074,'Poids des runes'!A:B,2,FALSE))</f>
        <v>11.21</v>
      </c>
      <c r="F12074">
        <f t="shared" si="188"/>
        <v>11.21</v>
      </c>
    </row>
    <row r="12075" spans="1:6" x14ac:dyDescent="0.3">
      <c r="A12075" t="s">
        <v>1962</v>
      </c>
      <c r="B12075" t="s">
        <v>2128</v>
      </c>
      <c r="C12075">
        <v>125.5</v>
      </c>
      <c r="D12075">
        <v>127</v>
      </c>
      <c r="E12075">
        <f>IF(OR(B12075="vi",B12075="ii",B12075="pod"),(((D12075/100)*(C12075*VLOOKUP(B12075,'Poids des runes'!A:B,2,FALSE)))+1),(((D12075/100)*(C12075*VLOOKUP(B12075,'Poids des runes'!A:B,2,FALSE)))+1)/VLOOKUP(B12075,'Poids des runes'!A:B,2,FALSE))</f>
        <v>32.877000000000002</v>
      </c>
      <c r="F12075">
        <f t="shared" si="188"/>
        <v>32.877000000000002</v>
      </c>
    </row>
    <row r="12076" spans="1:6" x14ac:dyDescent="0.3">
      <c r="A12076" t="s">
        <v>1962</v>
      </c>
      <c r="B12076" t="s">
        <v>2126</v>
      </c>
      <c r="C12076">
        <v>40.5</v>
      </c>
      <c r="D12076">
        <v>127</v>
      </c>
      <c r="E12076">
        <f>IF(OR(B12076="vi",B12076="ii",B12076="pod"),(((D12076/100)*(C12076*VLOOKUP(B12076,'Poids des runes'!A:B,2,FALSE)))+1),(((D12076/100)*(C12076*VLOOKUP(B12076,'Poids des runes'!A:B,2,FALSE)))+1)/VLOOKUP(B12076,'Poids des runes'!A:B,2,FALSE))</f>
        <v>52.435000000000002</v>
      </c>
      <c r="F12076">
        <f t="shared" si="188"/>
        <v>52.435000000000002</v>
      </c>
    </row>
    <row r="12077" spans="1:6" x14ac:dyDescent="0.3">
      <c r="A12077" t="s">
        <v>1962</v>
      </c>
      <c r="B12077" t="s">
        <v>2127</v>
      </c>
      <c r="C12077">
        <v>40.5</v>
      </c>
      <c r="D12077">
        <v>127</v>
      </c>
      <c r="E12077">
        <f>IF(OR(B12077="vi",B12077="ii",B12077="pod"),(((D12077/100)*(C12077*VLOOKUP(B12077,'Poids des runes'!A:B,2,FALSE)))+1),(((D12077/100)*(C12077*VLOOKUP(B12077,'Poids des runes'!A:B,2,FALSE)))+1)/VLOOKUP(B12077,'Poids des runes'!A:B,2,FALSE))</f>
        <v>52.435000000000002</v>
      </c>
      <c r="F12077">
        <f t="shared" si="188"/>
        <v>52.435000000000002</v>
      </c>
    </row>
    <row r="12078" spans="1:6" x14ac:dyDescent="0.3">
      <c r="A12078" t="s">
        <v>1962</v>
      </c>
      <c r="B12078" t="s">
        <v>2154</v>
      </c>
      <c r="C12078">
        <v>1</v>
      </c>
      <c r="D12078">
        <v>127</v>
      </c>
      <c r="E12078">
        <f>IF(OR(B12078="vi",B12078="ii",B12078="pod"),(((D12078/100)*(C12078*VLOOKUP(B12078,'Poids des runes'!A:B,2,FALSE)))+1),(((D12078/100)*(C12078*VLOOKUP(B12078,'Poids des runes'!A:B,2,FALSE)))+1)/VLOOKUP(B12078,'Poids des runes'!A:B,2,FALSE))</f>
        <v>1.2811111111111111</v>
      </c>
      <c r="F12078">
        <f t="shared" si="188"/>
        <v>1.2811111111111111</v>
      </c>
    </row>
    <row r="12079" spans="1:6" x14ac:dyDescent="0.3">
      <c r="A12079" t="s">
        <v>1962</v>
      </c>
      <c r="B12079" t="s">
        <v>2149</v>
      </c>
      <c r="C12079">
        <v>5.5</v>
      </c>
      <c r="D12079">
        <v>127</v>
      </c>
      <c r="E12079">
        <f>IF(OR(B12079="vi",B12079="ii",B12079="pod"),(((D12079/100)*(C12079*VLOOKUP(B12079,'Poids des runes'!A:B,2,FALSE)))+1),(((D12079/100)*(C12079*VLOOKUP(B12079,'Poids des runes'!A:B,2,FALSE)))+1)/VLOOKUP(B12079,'Poids des runes'!A:B,2,FALSE))</f>
        <v>7.0849999999999991</v>
      </c>
      <c r="F12079">
        <f t="shared" si="188"/>
        <v>7.0849999999999991</v>
      </c>
    </row>
    <row r="12080" spans="1:6" x14ac:dyDescent="0.3">
      <c r="A12080" t="s">
        <v>1962</v>
      </c>
      <c r="B12080" t="s">
        <v>2148</v>
      </c>
      <c r="C12080">
        <v>5.5</v>
      </c>
      <c r="D12080">
        <v>127</v>
      </c>
      <c r="E12080">
        <f>IF(OR(B12080="vi",B12080="ii",B12080="pod"),(((D12080/100)*(C12080*VLOOKUP(B12080,'Poids des runes'!A:B,2,FALSE)))+1),(((D12080/100)*(C12080*VLOOKUP(B12080,'Poids des runes'!A:B,2,FALSE)))+1)/VLOOKUP(B12080,'Poids des runes'!A:B,2,FALSE))</f>
        <v>7.1516666666666673</v>
      </c>
      <c r="F12080">
        <f t="shared" si="188"/>
        <v>7.1516666666666673</v>
      </c>
    </row>
    <row r="12081" spans="1:6" x14ac:dyDescent="0.3">
      <c r="A12081" t="s">
        <v>1962</v>
      </c>
      <c r="B12081" t="s">
        <v>2147</v>
      </c>
      <c r="C12081">
        <v>5.5</v>
      </c>
      <c r="D12081">
        <v>127</v>
      </c>
      <c r="E12081">
        <f>IF(OR(B12081="vi",B12081="ii",B12081="pod"),(((D12081/100)*(C12081*VLOOKUP(B12081,'Poids des runes'!A:B,2,FALSE)))+1),(((D12081/100)*(C12081*VLOOKUP(B12081,'Poids des runes'!A:B,2,FALSE)))+1)/VLOOKUP(B12081,'Poids des runes'!A:B,2,FALSE))</f>
        <v>7.1516666666666673</v>
      </c>
      <c r="F12081">
        <f t="shared" si="188"/>
        <v>7.1516666666666673</v>
      </c>
    </row>
    <row r="12082" spans="1:6" x14ac:dyDescent="0.3">
      <c r="A12082" t="s">
        <v>1963</v>
      </c>
      <c r="B12082" t="s">
        <v>2128</v>
      </c>
      <c r="C12082">
        <v>125.5</v>
      </c>
      <c r="D12082">
        <v>127</v>
      </c>
      <c r="E12082">
        <f>IF(OR(B12082="vi",B12082="ii",B12082="pod"),(((D12082/100)*(C12082*VLOOKUP(B12082,'Poids des runes'!A:B,2,FALSE)))+1),(((D12082/100)*(C12082*VLOOKUP(B12082,'Poids des runes'!A:B,2,FALSE)))+1)/VLOOKUP(B12082,'Poids des runes'!A:B,2,FALSE))</f>
        <v>32.877000000000002</v>
      </c>
      <c r="F12082">
        <f t="shared" si="188"/>
        <v>32.877000000000002</v>
      </c>
    </row>
    <row r="12083" spans="1:6" x14ac:dyDescent="0.3">
      <c r="A12083" t="s">
        <v>1963</v>
      </c>
      <c r="B12083" t="s">
        <v>2130</v>
      </c>
      <c r="C12083">
        <v>40.5</v>
      </c>
      <c r="D12083">
        <v>127</v>
      </c>
      <c r="E12083">
        <f>IF(OR(B12083="vi",B12083="ii",B12083="pod"),(((D12083/100)*(C12083*VLOOKUP(B12083,'Poids des runes'!A:B,2,FALSE)))+1),(((D12083/100)*(C12083*VLOOKUP(B12083,'Poids des runes'!A:B,2,FALSE)))+1)/VLOOKUP(B12083,'Poids des runes'!A:B,2,FALSE))</f>
        <v>52.435000000000002</v>
      </c>
      <c r="F12083">
        <f t="shared" si="188"/>
        <v>52.435000000000002</v>
      </c>
    </row>
    <row r="12084" spans="1:6" x14ac:dyDescent="0.3">
      <c r="A12084" t="s">
        <v>1963</v>
      </c>
      <c r="B12084" t="s">
        <v>2127</v>
      </c>
      <c r="C12084">
        <v>40.5</v>
      </c>
      <c r="D12084">
        <v>127</v>
      </c>
      <c r="E12084">
        <f>IF(OR(B12084="vi",B12084="ii",B12084="pod"),(((D12084/100)*(C12084*VLOOKUP(B12084,'Poids des runes'!A:B,2,FALSE)))+1),(((D12084/100)*(C12084*VLOOKUP(B12084,'Poids des runes'!A:B,2,FALSE)))+1)/VLOOKUP(B12084,'Poids des runes'!A:B,2,FALSE))</f>
        <v>52.435000000000002</v>
      </c>
      <c r="F12084">
        <f t="shared" si="188"/>
        <v>52.435000000000002</v>
      </c>
    </row>
    <row r="12085" spans="1:6" x14ac:dyDescent="0.3">
      <c r="A12085" t="s">
        <v>1963</v>
      </c>
      <c r="B12085" t="s">
        <v>2151</v>
      </c>
      <c r="C12085">
        <v>5.5</v>
      </c>
      <c r="D12085">
        <v>127</v>
      </c>
      <c r="E12085">
        <f>IF(OR(B12085="vi",B12085="ii",B12085="pod"),(((D12085/100)*(C12085*VLOOKUP(B12085,'Poids des runes'!A:B,2,FALSE)))+1),(((D12085/100)*(C12085*VLOOKUP(B12085,'Poids des runes'!A:B,2,FALSE)))+1)/VLOOKUP(B12085,'Poids des runes'!A:B,2,FALSE))</f>
        <v>7.0849999999999991</v>
      </c>
      <c r="F12085">
        <f t="shared" si="188"/>
        <v>7.0849999999999991</v>
      </c>
    </row>
    <row r="12086" spans="1:6" x14ac:dyDescent="0.3">
      <c r="A12086" t="s">
        <v>1963</v>
      </c>
      <c r="B12086" t="s">
        <v>2134</v>
      </c>
      <c r="C12086">
        <v>6.5</v>
      </c>
      <c r="D12086">
        <v>127</v>
      </c>
      <c r="E12086">
        <f>IF(OR(B12086="vi",B12086="ii",B12086="pod"),(((D12086/100)*(C12086*VLOOKUP(B12086,'Poids des runes'!A:B,2,FALSE)))+1),(((D12086/100)*(C12086*VLOOKUP(B12086,'Poids des runes'!A:B,2,FALSE)))+1)/VLOOKUP(B12086,'Poids des runes'!A:B,2,FALSE))</f>
        <v>8.3049999999999997</v>
      </c>
      <c r="F12086">
        <f t="shared" si="188"/>
        <v>8.3049999999999997</v>
      </c>
    </row>
    <row r="12087" spans="1:6" x14ac:dyDescent="0.3">
      <c r="A12087" t="s">
        <v>1963</v>
      </c>
      <c r="B12087" t="s">
        <v>2141</v>
      </c>
      <c r="C12087">
        <v>8.5</v>
      </c>
      <c r="D12087">
        <v>127</v>
      </c>
      <c r="E12087">
        <f>IF(OR(B12087="vi",B12087="ii",B12087="pod"),(((D12087/100)*(C12087*VLOOKUP(B12087,'Poids des runes'!A:B,2,FALSE)))+1),(((D12087/100)*(C12087*VLOOKUP(B12087,'Poids des runes'!A:B,2,FALSE)))+1)/VLOOKUP(B12087,'Poids des runes'!A:B,2,FALSE))</f>
        <v>11.045</v>
      </c>
      <c r="F12087">
        <f t="shared" si="188"/>
        <v>11.045</v>
      </c>
    </row>
    <row r="12088" spans="1:6" x14ac:dyDescent="0.3">
      <c r="A12088" t="s">
        <v>1963</v>
      </c>
      <c r="B12088" t="s">
        <v>2162</v>
      </c>
      <c r="C12088">
        <v>6</v>
      </c>
      <c r="D12088">
        <v>127</v>
      </c>
      <c r="E12088">
        <f>IF(OR(B12088="vi",B12088="ii",B12088="pod"),(((D12088/100)*(C12088*VLOOKUP(B12088,'Poids des runes'!A:B,2,FALSE)))+1),(((D12088/100)*(C12088*VLOOKUP(B12088,'Poids des runes'!A:B,2,FALSE)))+1)/VLOOKUP(B12088,'Poids des runes'!A:B,2,FALSE))</f>
        <v>7.7628571428571433</v>
      </c>
      <c r="F12088">
        <f t="shared" si="188"/>
        <v>7.7628571428571433</v>
      </c>
    </row>
    <row r="12089" spans="1:6" x14ac:dyDescent="0.3">
      <c r="A12089" t="s">
        <v>1963</v>
      </c>
      <c r="B12089" t="s">
        <v>2135</v>
      </c>
      <c r="C12089">
        <v>3.5</v>
      </c>
      <c r="D12089">
        <v>127</v>
      </c>
      <c r="E12089">
        <f>IF(OR(B12089="vi",B12089="ii",B12089="pod"),(((D12089/100)*(C12089*VLOOKUP(B12089,'Poids des runes'!A:B,2,FALSE)))+1),(((D12089/100)*(C12089*VLOOKUP(B12089,'Poids des runes'!A:B,2,FALSE)))+1)/VLOOKUP(B12089,'Poids des runes'!A:B,2,FALSE))</f>
        <v>4.6116666666666672</v>
      </c>
      <c r="F12089">
        <f t="shared" si="188"/>
        <v>4.6116666666666672</v>
      </c>
    </row>
    <row r="12090" spans="1:6" x14ac:dyDescent="0.3">
      <c r="A12090" t="s">
        <v>1964</v>
      </c>
      <c r="B12090" t="s">
        <v>2128</v>
      </c>
      <c r="C12090">
        <v>85.5</v>
      </c>
      <c r="D12090">
        <v>127</v>
      </c>
      <c r="E12090">
        <f>IF(OR(B12090="vi",B12090="ii",B12090="pod"),(((D12090/100)*(C12090*VLOOKUP(B12090,'Poids des runes'!A:B,2,FALSE)))+1),(((D12090/100)*(C12090*VLOOKUP(B12090,'Poids des runes'!A:B,2,FALSE)))+1)/VLOOKUP(B12090,'Poids des runes'!A:B,2,FALSE))</f>
        <v>22.717000000000002</v>
      </c>
      <c r="F12090">
        <f t="shared" si="188"/>
        <v>22.717000000000002</v>
      </c>
    </row>
    <row r="12091" spans="1:6" x14ac:dyDescent="0.3">
      <c r="A12091" t="s">
        <v>1964</v>
      </c>
      <c r="B12091" t="s">
        <v>2130</v>
      </c>
      <c r="C12091">
        <v>35.5</v>
      </c>
      <c r="D12091">
        <v>127</v>
      </c>
      <c r="E12091">
        <f>IF(OR(B12091="vi",B12091="ii",B12091="pod"),(((D12091/100)*(C12091*VLOOKUP(B12091,'Poids des runes'!A:B,2,FALSE)))+1),(((D12091/100)*(C12091*VLOOKUP(B12091,'Poids des runes'!A:B,2,FALSE)))+1)/VLOOKUP(B12091,'Poids des runes'!A:B,2,FALSE))</f>
        <v>46.085000000000001</v>
      </c>
      <c r="F12091">
        <f t="shared" si="188"/>
        <v>46.085000000000001</v>
      </c>
    </row>
    <row r="12092" spans="1:6" x14ac:dyDescent="0.3">
      <c r="A12092" t="s">
        <v>1964</v>
      </c>
      <c r="B12092" t="s">
        <v>2127</v>
      </c>
      <c r="C12092">
        <v>35.5</v>
      </c>
      <c r="D12092">
        <v>127</v>
      </c>
      <c r="E12092">
        <f>IF(OR(B12092="vi",B12092="ii",B12092="pod"),(((D12092/100)*(C12092*VLOOKUP(B12092,'Poids des runes'!A:B,2,FALSE)))+1),(((D12092/100)*(C12092*VLOOKUP(B12092,'Poids des runes'!A:B,2,FALSE)))+1)/VLOOKUP(B12092,'Poids des runes'!A:B,2,FALSE))</f>
        <v>46.085000000000001</v>
      </c>
      <c r="F12092">
        <f t="shared" si="188"/>
        <v>46.085000000000001</v>
      </c>
    </row>
    <row r="12093" spans="1:6" x14ac:dyDescent="0.3">
      <c r="A12093" t="s">
        <v>1964</v>
      </c>
      <c r="B12093" t="s">
        <v>2129</v>
      </c>
      <c r="C12093">
        <v>33</v>
      </c>
      <c r="D12093">
        <v>127</v>
      </c>
      <c r="E12093">
        <f>IF(OR(B12093="vi",B12093="ii",B12093="pod"),(((D12093/100)*(C12093*VLOOKUP(B12093,'Poids des runes'!A:B,2,FALSE)))+1),(((D12093/100)*(C12093*VLOOKUP(B12093,'Poids des runes'!A:B,2,FALSE)))+1)/VLOOKUP(B12093,'Poids des runes'!A:B,2,FALSE))</f>
        <v>42.910000000000004</v>
      </c>
      <c r="F12093">
        <f t="shared" si="188"/>
        <v>42.910000000000004</v>
      </c>
    </row>
    <row r="12094" spans="1:6" x14ac:dyDescent="0.3">
      <c r="A12094" t="s">
        <v>1964</v>
      </c>
      <c r="B12094" t="s">
        <v>2161</v>
      </c>
      <c r="C12094">
        <v>8</v>
      </c>
      <c r="D12094">
        <v>127</v>
      </c>
      <c r="E12094">
        <f>IF(OR(B12094="vi",B12094="ii",B12094="pod"),(((D12094/100)*(C12094*VLOOKUP(B12094,'Poids des runes'!A:B,2,FALSE)))+1),(((D12094/100)*(C12094*VLOOKUP(B12094,'Poids des runes'!A:B,2,FALSE)))+1)/VLOOKUP(B12094,'Poids des runes'!A:B,2,FALSE))</f>
        <v>10.493333333333334</v>
      </c>
      <c r="F12094">
        <f t="shared" si="188"/>
        <v>10.493333333333334</v>
      </c>
    </row>
    <row r="12095" spans="1:6" x14ac:dyDescent="0.3">
      <c r="A12095" t="s">
        <v>1964</v>
      </c>
      <c r="B12095" t="s">
        <v>2147</v>
      </c>
      <c r="C12095">
        <v>6.5</v>
      </c>
      <c r="D12095">
        <v>127</v>
      </c>
      <c r="E12095">
        <f>IF(OR(B12095="vi",B12095="ii",B12095="pod"),(((D12095/100)*(C12095*VLOOKUP(B12095,'Poids des runes'!A:B,2,FALSE)))+1),(((D12095/100)*(C12095*VLOOKUP(B12095,'Poids des runes'!A:B,2,FALSE)))+1)/VLOOKUP(B12095,'Poids des runes'!A:B,2,FALSE))</f>
        <v>8.4216666666666669</v>
      </c>
      <c r="F12095">
        <f t="shared" si="188"/>
        <v>8.4216666666666669</v>
      </c>
    </row>
    <row r="12096" spans="1:6" x14ac:dyDescent="0.3">
      <c r="A12096" t="s">
        <v>1964</v>
      </c>
      <c r="B12096" t="s">
        <v>2157</v>
      </c>
      <c r="C12096">
        <v>6.5</v>
      </c>
      <c r="D12096">
        <v>127</v>
      </c>
      <c r="E12096">
        <f>IF(OR(B12096="vi",B12096="ii",B12096="pod"),(((D12096/100)*(C12096*VLOOKUP(B12096,'Poids des runes'!A:B,2,FALSE)))+1),(((D12096/100)*(C12096*VLOOKUP(B12096,'Poids des runes'!A:B,2,FALSE)))+1)/VLOOKUP(B12096,'Poids des runes'!A:B,2,FALSE))</f>
        <v>8.4216666666666669</v>
      </c>
      <c r="F12096">
        <f t="shared" si="188"/>
        <v>8.4216666666666669</v>
      </c>
    </row>
    <row r="12097" spans="1:6" x14ac:dyDescent="0.3">
      <c r="A12097" t="s">
        <v>1965</v>
      </c>
      <c r="B12097" t="s">
        <v>2128</v>
      </c>
      <c r="C12097">
        <v>125.5</v>
      </c>
      <c r="D12097">
        <v>127</v>
      </c>
      <c r="E12097">
        <f>IF(OR(B12097="vi",B12097="ii",B12097="pod"),(((D12097/100)*(C12097*VLOOKUP(B12097,'Poids des runes'!A:B,2,FALSE)))+1),(((D12097/100)*(C12097*VLOOKUP(B12097,'Poids des runes'!A:B,2,FALSE)))+1)/VLOOKUP(B12097,'Poids des runes'!A:B,2,FALSE))</f>
        <v>32.877000000000002</v>
      </c>
      <c r="F12097">
        <f t="shared" si="188"/>
        <v>32.877000000000002</v>
      </c>
    </row>
    <row r="12098" spans="1:6" x14ac:dyDescent="0.3">
      <c r="A12098" t="s">
        <v>1965</v>
      </c>
      <c r="B12098" t="s">
        <v>2131</v>
      </c>
      <c r="C12098">
        <v>40.5</v>
      </c>
      <c r="D12098">
        <v>127</v>
      </c>
      <c r="E12098">
        <f>IF(OR(B12098="vi",B12098="ii",B12098="pod"),(((D12098/100)*(C12098*VLOOKUP(B12098,'Poids des runes'!A:B,2,FALSE)))+1),(((D12098/100)*(C12098*VLOOKUP(B12098,'Poids des runes'!A:B,2,FALSE)))+1)/VLOOKUP(B12098,'Poids des runes'!A:B,2,FALSE))</f>
        <v>52.435000000000002</v>
      </c>
      <c r="F12098">
        <f t="shared" si="188"/>
        <v>52.435000000000002</v>
      </c>
    </row>
    <row r="12099" spans="1:6" x14ac:dyDescent="0.3">
      <c r="A12099" t="s">
        <v>1965</v>
      </c>
      <c r="B12099" t="s">
        <v>2129</v>
      </c>
      <c r="C12099">
        <v>25.5</v>
      </c>
      <c r="D12099">
        <v>127</v>
      </c>
      <c r="E12099">
        <f>IF(OR(B12099="vi",B12099="ii",B12099="pod"),(((D12099/100)*(C12099*VLOOKUP(B12099,'Poids des runes'!A:B,2,FALSE)))+1),(((D12099/100)*(C12099*VLOOKUP(B12099,'Poids des runes'!A:B,2,FALSE)))+1)/VLOOKUP(B12099,'Poids des runes'!A:B,2,FALSE))</f>
        <v>33.384999999999998</v>
      </c>
      <c r="F12099">
        <f t="shared" ref="F12099:F12162" si="189">E12099</f>
        <v>33.384999999999998</v>
      </c>
    </row>
    <row r="12100" spans="1:6" x14ac:dyDescent="0.3">
      <c r="A12100" t="s">
        <v>1965</v>
      </c>
      <c r="B12100" t="s">
        <v>2133</v>
      </c>
      <c r="C12100">
        <v>6.5</v>
      </c>
      <c r="D12100">
        <v>127</v>
      </c>
      <c r="E12100">
        <f>IF(OR(B12100="vi",B12100="ii",B12100="pod"),(((D12100/100)*(C12100*VLOOKUP(B12100,'Poids des runes'!A:B,2,FALSE)))+1),(((D12100/100)*(C12100*VLOOKUP(B12100,'Poids des runes'!A:B,2,FALSE)))+1)/VLOOKUP(B12100,'Poids des runes'!A:B,2,FALSE))</f>
        <v>8.4550000000000001</v>
      </c>
      <c r="F12100">
        <f t="shared" si="189"/>
        <v>8.4550000000000001</v>
      </c>
    </row>
    <row r="12101" spans="1:6" x14ac:dyDescent="0.3">
      <c r="A12101" t="s">
        <v>1965</v>
      </c>
      <c r="B12101" t="s">
        <v>2161</v>
      </c>
      <c r="C12101">
        <v>13</v>
      </c>
      <c r="D12101">
        <v>127</v>
      </c>
      <c r="E12101">
        <f>IF(OR(B12101="vi",B12101="ii",B12101="pod"),(((D12101/100)*(C12101*VLOOKUP(B12101,'Poids des runes'!A:B,2,FALSE)))+1),(((D12101/100)*(C12101*VLOOKUP(B12101,'Poids des runes'!A:B,2,FALSE)))+1)/VLOOKUP(B12101,'Poids des runes'!A:B,2,FALSE))</f>
        <v>16.843333333333334</v>
      </c>
      <c r="F12101">
        <f t="shared" si="189"/>
        <v>16.843333333333334</v>
      </c>
    </row>
    <row r="12102" spans="1:6" x14ac:dyDescent="0.3">
      <c r="A12102" t="s">
        <v>1965</v>
      </c>
      <c r="B12102" t="s">
        <v>2159</v>
      </c>
      <c r="C12102">
        <v>8.5</v>
      </c>
      <c r="D12102">
        <v>127</v>
      </c>
      <c r="E12102">
        <f>IF(OR(B12102="vi",B12102="ii",B12102="pod"),(((D12102/100)*(C12102*VLOOKUP(B12102,'Poids des runes'!A:B,2,FALSE)))+1),(((D12102/100)*(C12102*VLOOKUP(B12102,'Poids des runes'!A:B,2,FALSE)))+1)/VLOOKUP(B12102,'Poids des runes'!A:B,2,FALSE))</f>
        <v>10.937857142857142</v>
      </c>
      <c r="F12102">
        <f t="shared" si="189"/>
        <v>10.937857142857142</v>
      </c>
    </row>
    <row r="12103" spans="1:6" x14ac:dyDescent="0.3">
      <c r="A12103" t="s">
        <v>1965</v>
      </c>
      <c r="B12103" t="s">
        <v>2160</v>
      </c>
      <c r="C12103">
        <v>8.5</v>
      </c>
      <c r="D12103">
        <v>127</v>
      </c>
      <c r="E12103">
        <f>IF(OR(B12103="vi",B12103="ii",B12103="pod"),(((D12103/100)*(C12103*VLOOKUP(B12103,'Poids des runes'!A:B,2,FALSE)))+1),(((D12103/100)*(C12103*VLOOKUP(B12103,'Poids des runes'!A:B,2,FALSE)))+1)/VLOOKUP(B12103,'Poids des runes'!A:B,2,FALSE))</f>
        <v>10.937857142857142</v>
      </c>
      <c r="F12103">
        <f t="shared" si="189"/>
        <v>10.937857142857142</v>
      </c>
    </row>
    <row r="12104" spans="1:6" x14ac:dyDescent="0.3">
      <c r="A12104" t="s">
        <v>1965</v>
      </c>
      <c r="B12104" t="s">
        <v>2157</v>
      </c>
      <c r="C12104">
        <v>5</v>
      </c>
      <c r="D12104">
        <v>127</v>
      </c>
      <c r="E12104">
        <f>IF(OR(B12104="vi",B12104="ii",B12104="pod"),(((D12104/100)*(C12104*VLOOKUP(B12104,'Poids des runes'!A:B,2,FALSE)))+1),(((D12104/100)*(C12104*VLOOKUP(B12104,'Poids des runes'!A:B,2,FALSE)))+1)/VLOOKUP(B12104,'Poids des runes'!A:B,2,FALSE))</f>
        <v>6.5166666666666666</v>
      </c>
      <c r="F12104">
        <f t="shared" si="189"/>
        <v>6.5166666666666666</v>
      </c>
    </row>
    <row r="12105" spans="1:6" x14ac:dyDescent="0.3">
      <c r="A12105" t="s">
        <v>1966</v>
      </c>
      <c r="B12105" t="s">
        <v>2128</v>
      </c>
      <c r="C12105">
        <v>175.5</v>
      </c>
      <c r="D12105">
        <v>128</v>
      </c>
      <c r="E12105">
        <f>IF(OR(B12105="vi",B12105="ii",B12105="pod"),(((D12105/100)*(C12105*VLOOKUP(B12105,'Poids des runes'!A:B,2,FALSE)))+1),(((D12105/100)*(C12105*VLOOKUP(B12105,'Poids des runes'!A:B,2,FALSE)))+1)/VLOOKUP(B12105,'Poids des runes'!A:B,2,FALSE))</f>
        <v>45.928000000000004</v>
      </c>
      <c r="F12105">
        <f t="shared" si="189"/>
        <v>45.928000000000004</v>
      </c>
    </row>
    <row r="12106" spans="1:6" x14ac:dyDescent="0.3">
      <c r="A12106" t="s">
        <v>1966</v>
      </c>
      <c r="B12106" t="s">
        <v>2126</v>
      </c>
      <c r="C12106">
        <v>40.5</v>
      </c>
      <c r="D12106">
        <v>128</v>
      </c>
      <c r="E12106">
        <f>IF(OR(B12106="vi",B12106="ii",B12106="pod"),(((D12106/100)*(C12106*VLOOKUP(B12106,'Poids des runes'!A:B,2,FALSE)))+1),(((D12106/100)*(C12106*VLOOKUP(B12106,'Poids des runes'!A:B,2,FALSE)))+1)/VLOOKUP(B12106,'Poids des runes'!A:B,2,FALSE))</f>
        <v>52.84</v>
      </c>
      <c r="F12106">
        <f t="shared" si="189"/>
        <v>52.84</v>
      </c>
    </row>
    <row r="12107" spans="1:6" x14ac:dyDescent="0.3">
      <c r="A12107" t="s">
        <v>1966</v>
      </c>
      <c r="B12107" t="s">
        <v>2129</v>
      </c>
      <c r="C12107">
        <v>30.5</v>
      </c>
      <c r="D12107">
        <v>128</v>
      </c>
      <c r="E12107">
        <f>IF(OR(B12107="vi",B12107="ii",B12107="pod"),(((D12107/100)*(C12107*VLOOKUP(B12107,'Poids des runes'!A:B,2,FALSE)))+1),(((D12107/100)*(C12107*VLOOKUP(B12107,'Poids des runes'!A:B,2,FALSE)))+1)/VLOOKUP(B12107,'Poids des runes'!A:B,2,FALSE))</f>
        <v>40.04</v>
      </c>
      <c r="F12107">
        <f t="shared" si="189"/>
        <v>40.04</v>
      </c>
    </row>
    <row r="12108" spans="1:6" x14ac:dyDescent="0.3">
      <c r="A12108" t="s">
        <v>1966</v>
      </c>
      <c r="B12108" t="s">
        <v>2155</v>
      </c>
      <c r="C12108">
        <v>1</v>
      </c>
      <c r="D12108">
        <v>128</v>
      </c>
      <c r="E12108">
        <f>IF(OR(B12108="vi",B12108="ii",B12108="pod"),(((D12108/100)*(C12108*VLOOKUP(B12108,'Poids des runes'!A:B,2,FALSE)))+1),(((D12108/100)*(C12108*VLOOKUP(B12108,'Poids des runes'!A:B,2,FALSE)))+1)/VLOOKUP(B12108,'Poids des runes'!A:B,2,FALSE))</f>
        <v>1.2996078431372549</v>
      </c>
      <c r="F12108">
        <f t="shared" si="189"/>
        <v>1.2996078431372549</v>
      </c>
    </row>
    <row r="12109" spans="1:6" x14ac:dyDescent="0.3">
      <c r="A12109" t="s">
        <v>1966</v>
      </c>
      <c r="B12109" t="s">
        <v>2149</v>
      </c>
      <c r="C12109">
        <v>6</v>
      </c>
      <c r="D12109">
        <v>128</v>
      </c>
      <c r="E12109">
        <f>IF(OR(B12109="vi",B12109="ii",B12109="pod"),(((D12109/100)*(C12109*VLOOKUP(B12109,'Poids des runes'!A:B,2,FALSE)))+1),(((D12109/100)*(C12109*VLOOKUP(B12109,'Poids des runes'!A:B,2,FALSE)))+1)/VLOOKUP(B12109,'Poids des runes'!A:B,2,FALSE))</f>
        <v>7.7799999999999994</v>
      </c>
      <c r="F12109">
        <f t="shared" si="189"/>
        <v>7.7799999999999994</v>
      </c>
    </row>
    <row r="12110" spans="1:6" x14ac:dyDescent="0.3">
      <c r="A12110" t="s">
        <v>1966</v>
      </c>
      <c r="B12110" t="s">
        <v>2148</v>
      </c>
      <c r="C12110">
        <v>7</v>
      </c>
      <c r="D12110">
        <v>128</v>
      </c>
      <c r="E12110">
        <f>IF(OR(B12110="vi",B12110="ii",B12110="pod"),(((D12110/100)*(C12110*VLOOKUP(B12110,'Poids des runes'!A:B,2,FALSE)))+1),(((D12110/100)*(C12110*VLOOKUP(B12110,'Poids des runes'!A:B,2,FALSE)))+1)/VLOOKUP(B12110,'Poids des runes'!A:B,2,FALSE))</f>
        <v>9.1266666666666669</v>
      </c>
      <c r="F12110">
        <f t="shared" si="189"/>
        <v>9.1266666666666669</v>
      </c>
    </row>
    <row r="12111" spans="1:6" x14ac:dyDescent="0.3">
      <c r="A12111" t="s">
        <v>1967</v>
      </c>
      <c r="B12111" t="s">
        <v>2128</v>
      </c>
      <c r="C12111">
        <v>125.5</v>
      </c>
      <c r="D12111">
        <v>128</v>
      </c>
      <c r="E12111">
        <f>IF(OR(B12111="vi",B12111="ii",B12111="pod"),(((D12111/100)*(C12111*VLOOKUP(B12111,'Poids des runes'!A:B,2,FALSE)))+1),(((D12111/100)*(C12111*VLOOKUP(B12111,'Poids des runes'!A:B,2,FALSE)))+1)/VLOOKUP(B12111,'Poids des runes'!A:B,2,FALSE))</f>
        <v>33.128</v>
      </c>
      <c r="F12111">
        <f t="shared" si="189"/>
        <v>33.128</v>
      </c>
    </row>
    <row r="12112" spans="1:6" x14ac:dyDescent="0.3">
      <c r="A12112" t="s">
        <v>1967</v>
      </c>
      <c r="B12112" t="s">
        <v>2126</v>
      </c>
      <c r="C12112">
        <v>40.5</v>
      </c>
      <c r="D12112">
        <v>128</v>
      </c>
      <c r="E12112">
        <f>IF(OR(B12112="vi",B12112="ii",B12112="pod"),(((D12112/100)*(C12112*VLOOKUP(B12112,'Poids des runes'!A:B,2,FALSE)))+1),(((D12112/100)*(C12112*VLOOKUP(B12112,'Poids des runes'!A:B,2,FALSE)))+1)/VLOOKUP(B12112,'Poids des runes'!A:B,2,FALSE))</f>
        <v>52.84</v>
      </c>
      <c r="F12112">
        <f t="shared" si="189"/>
        <v>52.84</v>
      </c>
    </row>
    <row r="12113" spans="1:6" x14ac:dyDescent="0.3">
      <c r="A12113" t="s">
        <v>1967</v>
      </c>
      <c r="B12113" t="s">
        <v>2129</v>
      </c>
      <c r="C12113">
        <v>15.5</v>
      </c>
      <c r="D12113">
        <v>128</v>
      </c>
      <c r="E12113">
        <f>IF(OR(B12113="vi",B12113="ii",B12113="pod"),(((D12113/100)*(C12113*VLOOKUP(B12113,'Poids des runes'!A:B,2,FALSE)))+1),(((D12113/100)*(C12113*VLOOKUP(B12113,'Poids des runes'!A:B,2,FALSE)))+1)/VLOOKUP(B12113,'Poids des runes'!A:B,2,FALSE))</f>
        <v>20.84</v>
      </c>
      <c r="F12113">
        <f t="shared" si="189"/>
        <v>20.84</v>
      </c>
    </row>
    <row r="12114" spans="1:6" x14ac:dyDescent="0.3">
      <c r="A12114" t="s">
        <v>1967</v>
      </c>
      <c r="B12114" t="s">
        <v>2154</v>
      </c>
      <c r="C12114">
        <v>1</v>
      </c>
      <c r="D12114">
        <v>128</v>
      </c>
      <c r="E12114">
        <f>IF(OR(B12114="vi",B12114="ii",B12114="pod"),(((D12114/100)*(C12114*VLOOKUP(B12114,'Poids des runes'!A:B,2,FALSE)))+1),(((D12114/100)*(C12114*VLOOKUP(B12114,'Poids des runes'!A:B,2,FALSE)))+1)/VLOOKUP(B12114,'Poids des runes'!A:B,2,FALSE))</f>
        <v>1.2911111111111111</v>
      </c>
      <c r="F12114">
        <f t="shared" si="189"/>
        <v>1.2911111111111111</v>
      </c>
    </row>
    <row r="12115" spans="1:6" x14ac:dyDescent="0.3">
      <c r="A12115" t="s">
        <v>1967</v>
      </c>
      <c r="B12115" t="s">
        <v>2134</v>
      </c>
      <c r="C12115">
        <v>8</v>
      </c>
      <c r="D12115">
        <v>128</v>
      </c>
      <c r="E12115">
        <f>IF(OR(B12115="vi",B12115="ii",B12115="pod"),(((D12115/100)*(C12115*VLOOKUP(B12115,'Poids des runes'!A:B,2,FALSE)))+1),(((D12115/100)*(C12115*VLOOKUP(B12115,'Poids des runes'!A:B,2,FALSE)))+1)/VLOOKUP(B12115,'Poids des runes'!A:B,2,FALSE))</f>
        <v>10.290000000000001</v>
      </c>
      <c r="F12115">
        <f t="shared" si="189"/>
        <v>10.290000000000001</v>
      </c>
    </row>
    <row r="12116" spans="1:6" x14ac:dyDescent="0.3">
      <c r="A12116" t="s">
        <v>1967</v>
      </c>
      <c r="B12116" t="s">
        <v>2149</v>
      </c>
      <c r="C12116">
        <v>5</v>
      </c>
      <c r="D12116">
        <v>128</v>
      </c>
      <c r="E12116">
        <f>IF(OR(B12116="vi",B12116="ii",B12116="pod"),(((D12116/100)*(C12116*VLOOKUP(B12116,'Poids des runes'!A:B,2,FALSE)))+1),(((D12116/100)*(C12116*VLOOKUP(B12116,'Poids des runes'!A:B,2,FALSE)))+1)/VLOOKUP(B12116,'Poids des runes'!A:B,2,FALSE))</f>
        <v>6.5</v>
      </c>
      <c r="F12116">
        <f t="shared" si="189"/>
        <v>6.5</v>
      </c>
    </row>
    <row r="12117" spans="1:6" x14ac:dyDescent="0.3">
      <c r="A12117" t="s">
        <v>1967</v>
      </c>
      <c r="B12117" t="s">
        <v>2161</v>
      </c>
      <c r="C12117">
        <v>8</v>
      </c>
      <c r="D12117">
        <v>128</v>
      </c>
      <c r="E12117">
        <f>IF(OR(B12117="vi",B12117="ii",B12117="pod"),(((D12117/100)*(C12117*VLOOKUP(B12117,'Poids des runes'!A:B,2,FALSE)))+1),(((D12117/100)*(C12117*VLOOKUP(B12117,'Poids des runes'!A:B,2,FALSE)))+1)/VLOOKUP(B12117,'Poids des runes'!A:B,2,FALSE))</f>
        <v>10.573333333333332</v>
      </c>
      <c r="F12117">
        <f t="shared" si="189"/>
        <v>10.573333333333332</v>
      </c>
    </row>
    <row r="12118" spans="1:6" x14ac:dyDescent="0.3">
      <c r="A12118" t="s">
        <v>1967</v>
      </c>
      <c r="B12118" t="s">
        <v>2147</v>
      </c>
      <c r="C12118">
        <v>5</v>
      </c>
      <c r="D12118">
        <v>128</v>
      </c>
      <c r="E12118">
        <f>IF(OR(B12118="vi",B12118="ii",B12118="pod"),(((D12118/100)*(C12118*VLOOKUP(B12118,'Poids des runes'!A:B,2,FALSE)))+1),(((D12118/100)*(C12118*VLOOKUP(B12118,'Poids des runes'!A:B,2,FALSE)))+1)/VLOOKUP(B12118,'Poids des runes'!A:B,2,FALSE))</f>
        <v>6.5666666666666664</v>
      </c>
      <c r="F12118">
        <f t="shared" si="189"/>
        <v>6.5666666666666664</v>
      </c>
    </row>
    <row r="12119" spans="1:6" x14ac:dyDescent="0.3">
      <c r="A12119" t="s">
        <v>1968</v>
      </c>
      <c r="B12119" t="s">
        <v>2128</v>
      </c>
      <c r="C12119">
        <v>125.5</v>
      </c>
      <c r="D12119">
        <v>128</v>
      </c>
      <c r="E12119">
        <f>IF(OR(B12119="vi",B12119="ii",B12119="pod"),(((D12119/100)*(C12119*VLOOKUP(B12119,'Poids des runes'!A:B,2,FALSE)))+1),(((D12119/100)*(C12119*VLOOKUP(B12119,'Poids des runes'!A:B,2,FALSE)))+1)/VLOOKUP(B12119,'Poids des runes'!A:B,2,FALSE))</f>
        <v>33.128</v>
      </c>
      <c r="F12119">
        <f t="shared" si="189"/>
        <v>33.128</v>
      </c>
    </row>
    <row r="12120" spans="1:6" x14ac:dyDescent="0.3">
      <c r="A12120" t="s">
        <v>1968</v>
      </c>
      <c r="B12120" t="s">
        <v>2130</v>
      </c>
      <c r="C12120">
        <v>33</v>
      </c>
      <c r="D12120">
        <v>128</v>
      </c>
      <c r="E12120">
        <f>IF(OR(B12120="vi",B12120="ii",B12120="pod"),(((D12120/100)*(C12120*VLOOKUP(B12120,'Poids des runes'!A:B,2,FALSE)))+1),(((D12120/100)*(C12120*VLOOKUP(B12120,'Poids des runes'!A:B,2,FALSE)))+1)/VLOOKUP(B12120,'Poids des runes'!A:B,2,FALSE))</f>
        <v>43.24</v>
      </c>
      <c r="F12120">
        <f t="shared" si="189"/>
        <v>43.24</v>
      </c>
    </row>
    <row r="12121" spans="1:6" x14ac:dyDescent="0.3">
      <c r="A12121" t="s">
        <v>1968</v>
      </c>
      <c r="B12121" t="s">
        <v>2126</v>
      </c>
      <c r="C12121">
        <v>33</v>
      </c>
      <c r="D12121">
        <v>128</v>
      </c>
      <c r="E12121">
        <f>IF(OR(B12121="vi",B12121="ii",B12121="pod"),(((D12121/100)*(C12121*VLOOKUP(B12121,'Poids des runes'!A:B,2,FALSE)))+1),(((D12121/100)*(C12121*VLOOKUP(B12121,'Poids des runes'!A:B,2,FALSE)))+1)/VLOOKUP(B12121,'Poids des runes'!A:B,2,FALSE))</f>
        <v>43.24</v>
      </c>
      <c r="F12121">
        <f t="shared" si="189"/>
        <v>43.24</v>
      </c>
    </row>
    <row r="12122" spans="1:6" x14ac:dyDescent="0.3">
      <c r="A12122" t="s">
        <v>1968</v>
      </c>
      <c r="B12122" t="s">
        <v>2127</v>
      </c>
      <c r="C12122">
        <v>33</v>
      </c>
      <c r="D12122">
        <v>128</v>
      </c>
      <c r="E12122">
        <f>IF(OR(B12122="vi",B12122="ii",B12122="pod"),(((D12122/100)*(C12122*VLOOKUP(B12122,'Poids des runes'!A:B,2,FALSE)))+1),(((D12122/100)*(C12122*VLOOKUP(B12122,'Poids des runes'!A:B,2,FALSE)))+1)/VLOOKUP(B12122,'Poids des runes'!A:B,2,FALSE))</f>
        <v>43.24</v>
      </c>
      <c r="F12122">
        <f t="shared" si="189"/>
        <v>43.24</v>
      </c>
    </row>
    <row r="12123" spans="1:6" x14ac:dyDescent="0.3">
      <c r="A12123" t="s">
        <v>1968</v>
      </c>
      <c r="B12123" t="s">
        <v>2152</v>
      </c>
      <c r="C12123">
        <v>1</v>
      </c>
      <c r="D12123">
        <v>128</v>
      </c>
      <c r="E12123">
        <f>IF(OR(B12123="vi",B12123="ii",B12123="pod"),(((D12123/100)*(C12123*VLOOKUP(B12123,'Poids des runes'!A:B,2,FALSE)))+1),(((D12123/100)*(C12123*VLOOKUP(B12123,'Poids des runes'!A:B,2,FALSE)))+1)/VLOOKUP(B12123,'Poids des runes'!A:B,2,FALSE))</f>
        <v>1.29</v>
      </c>
      <c r="F12123">
        <f t="shared" si="189"/>
        <v>1.29</v>
      </c>
    </row>
    <row r="12124" spans="1:6" x14ac:dyDescent="0.3">
      <c r="A12124" t="s">
        <v>1968</v>
      </c>
      <c r="B12124" t="s">
        <v>2134</v>
      </c>
      <c r="C12124">
        <v>5</v>
      </c>
      <c r="D12124">
        <v>128</v>
      </c>
      <c r="E12124">
        <f>IF(OR(B12124="vi",B12124="ii",B12124="pod"),(((D12124/100)*(C12124*VLOOKUP(B12124,'Poids des runes'!A:B,2,FALSE)))+1),(((D12124/100)*(C12124*VLOOKUP(B12124,'Poids des runes'!A:B,2,FALSE)))+1)/VLOOKUP(B12124,'Poids des runes'!A:B,2,FALSE))</f>
        <v>6.45</v>
      </c>
      <c r="F12124">
        <f t="shared" si="189"/>
        <v>6.45</v>
      </c>
    </row>
    <row r="12125" spans="1:6" x14ac:dyDescent="0.3">
      <c r="A12125" t="s">
        <v>1968</v>
      </c>
      <c r="B12125" t="s">
        <v>2149</v>
      </c>
      <c r="C12125">
        <v>5</v>
      </c>
      <c r="D12125">
        <v>128</v>
      </c>
      <c r="E12125">
        <f>IF(OR(B12125="vi",B12125="ii",B12125="pod"),(((D12125/100)*(C12125*VLOOKUP(B12125,'Poids des runes'!A:B,2,FALSE)))+1),(((D12125/100)*(C12125*VLOOKUP(B12125,'Poids des runes'!A:B,2,FALSE)))+1)/VLOOKUP(B12125,'Poids des runes'!A:B,2,FALSE))</f>
        <v>6.5</v>
      </c>
      <c r="F12125">
        <f t="shared" si="189"/>
        <v>6.5</v>
      </c>
    </row>
    <row r="12126" spans="1:6" x14ac:dyDescent="0.3">
      <c r="A12126" t="s">
        <v>1968</v>
      </c>
      <c r="B12126" t="s">
        <v>2145</v>
      </c>
      <c r="C12126">
        <v>6</v>
      </c>
      <c r="D12126">
        <v>128</v>
      </c>
      <c r="E12126">
        <f>IF(OR(B12126="vi",B12126="ii",B12126="pod"),(((D12126/100)*(C12126*VLOOKUP(B12126,'Poids des runes'!A:B,2,FALSE)))+1),(((D12126/100)*(C12126*VLOOKUP(B12126,'Poids des runes'!A:B,2,FALSE)))+1)/VLOOKUP(B12126,'Poids des runes'!A:B,2,FALSE))</f>
        <v>8.18</v>
      </c>
      <c r="F12126">
        <f t="shared" si="189"/>
        <v>8.18</v>
      </c>
    </row>
    <row r="12127" spans="1:6" x14ac:dyDescent="0.3">
      <c r="A12127" t="s">
        <v>1969</v>
      </c>
      <c r="B12127" t="s">
        <v>2128</v>
      </c>
      <c r="C12127">
        <v>60.5</v>
      </c>
      <c r="D12127">
        <v>129</v>
      </c>
      <c r="E12127">
        <f>IF(OR(B12127="vi",B12127="ii",B12127="pod"),(((D12127/100)*(C12127*VLOOKUP(B12127,'Poids des runes'!A:B,2,FALSE)))+1),(((D12127/100)*(C12127*VLOOKUP(B12127,'Poids des runes'!A:B,2,FALSE)))+1)/VLOOKUP(B12127,'Poids des runes'!A:B,2,FALSE))</f>
        <v>16.609000000000002</v>
      </c>
      <c r="F12127">
        <f t="shared" si="189"/>
        <v>16.609000000000002</v>
      </c>
    </row>
    <row r="12128" spans="1:6" x14ac:dyDescent="0.3">
      <c r="A12128" t="s">
        <v>1969</v>
      </c>
      <c r="B12128" t="s">
        <v>2130</v>
      </c>
      <c r="C12128">
        <v>40.5</v>
      </c>
      <c r="D12128">
        <v>129</v>
      </c>
      <c r="E12128">
        <f>IF(OR(B12128="vi",B12128="ii",B12128="pod"),(((D12128/100)*(C12128*VLOOKUP(B12128,'Poids des runes'!A:B,2,FALSE)))+1),(((D12128/100)*(C12128*VLOOKUP(B12128,'Poids des runes'!A:B,2,FALSE)))+1)/VLOOKUP(B12128,'Poids des runes'!A:B,2,FALSE))</f>
        <v>53.245000000000005</v>
      </c>
      <c r="F12128">
        <f t="shared" si="189"/>
        <v>53.245000000000005</v>
      </c>
    </row>
    <row r="12129" spans="1:6" x14ac:dyDescent="0.3">
      <c r="A12129" t="s">
        <v>1969</v>
      </c>
      <c r="B12129" t="s">
        <v>2129</v>
      </c>
      <c r="C12129">
        <v>30.5</v>
      </c>
      <c r="D12129">
        <v>129</v>
      </c>
      <c r="E12129">
        <f>IF(OR(B12129="vi",B12129="ii",B12129="pod"),(((D12129/100)*(C12129*VLOOKUP(B12129,'Poids des runes'!A:B,2,FALSE)))+1),(((D12129/100)*(C12129*VLOOKUP(B12129,'Poids des runes'!A:B,2,FALSE)))+1)/VLOOKUP(B12129,'Poids des runes'!A:B,2,FALSE))</f>
        <v>40.344999999999999</v>
      </c>
      <c r="F12129">
        <f t="shared" si="189"/>
        <v>40.344999999999999</v>
      </c>
    </row>
    <row r="12130" spans="1:6" x14ac:dyDescent="0.3">
      <c r="A12130" t="s">
        <v>1969</v>
      </c>
      <c r="B12130" t="s">
        <v>2134</v>
      </c>
      <c r="C12130">
        <v>8</v>
      </c>
      <c r="D12130">
        <v>129</v>
      </c>
      <c r="E12130">
        <f>IF(OR(B12130="vi",B12130="ii",B12130="pod"),(((D12130/100)*(C12130*VLOOKUP(B12130,'Poids des runes'!A:B,2,FALSE)))+1),(((D12130/100)*(C12130*VLOOKUP(B12130,'Poids des runes'!A:B,2,FALSE)))+1)/VLOOKUP(B12130,'Poids des runes'!A:B,2,FALSE))</f>
        <v>10.370000000000001</v>
      </c>
      <c r="F12130">
        <f t="shared" si="189"/>
        <v>10.370000000000001</v>
      </c>
    </row>
    <row r="12131" spans="1:6" x14ac:dyDescent="0.3">
      <c r="A12131" t="s">
        <v>1969</v>
      </c>
      <c r="B12131" t="s">
        <v>2161</v>
      </c>
      <c r="C12131">
        <v>8</v>
      </c>
      <c r="D12131">
        <v>129</v>
      </c>
      <c r="E12131">
        <f>IF(OR(B12131="vi",B12131="ii",B12131="pod"),(((D12131/100)*(C12131*VLOOKUP(B12131,'Poids des runes'!A:B,2,FALSE)))+1),(((D12131/100)*(C12131*VLOOKUP(B12131,'Poids des runes'!A:B,2,FALSE)))+1)/VLOOKUP(B12131,'Poids des runes'!A:B,2,FALSE))</f>
        <v>10.653333333333334</v>
      </c>
      <c r="F12131">
        <f t="shared" si="189"/>
        <v>10.653333333333334</v>
      </c>
    </row>
    <row r="12132" spans="1:6" x14ac:dyDescent="0.3">
      <c r="A12132" t="s">
        <v>1969</v>
      </c>
      <c r="B12132" t="s">
        <v>2156</v>
      </c>
      <c r="C12132">
        <v>4</v>
      </c>
      <c r="D12132">
        <v>129</v>
      </c>
      <c r="E12132">
        <f>IF(OR(B12132="vi",B12132="ii",B12132="pod"),(((D12132/100)*(C12132*VLOOKUP(B12132,'Poids des runes'!A:B,2,FALSE)))+1),(((D12132/100)*(C12132*VLOOKUP(B12132,'Poids des runes'!A:B,2,FALSE)))+1)/VLOOKUP(B12132,'Poids des runes'!A:B,2,FALSE))</f>
        <v>5.3266666666666671</v>
      </c>
      <c r="F12132">
        <f t="shared" si="189"/>
        <v>5.3266666666666671</v>
      </c>
    </row>
    <row r="12133" spans="1:6" x14ac:dyDescent="0.3">
      <c r="A12133" t="s">
        <v>1970</v>
      </c>
      <c r="B12133" t="s">
        <v>2128</v>
      </c>
      <c r="C12133">
        <v>125.5</v>
      </c>
      <c r="D12133">
        <v>129</v>
      </c>
      <c r="E12133">
        <f>IF(OR(B12133="vi",B12133="ii",B12133="pod"),(((D12133/100)*(C12133*VLOOKUP(B12133,'Poids des runes'!A:B,2,FALSE)))+1),(((D12133/100)*(C12133*VLOOKUP(B12133,'Poids des runes'!A:B,2,FALSE)))+1)/VLOOKUP(B12133,'Poids des runes'!A:B,2,FALSE))</f>
        <v>33.379000000000005</v>
      </c>
      <c r="F12133">
        <f t="shared" si="189"/>
        <v>33.379000000000005</v>
      </c>
    </row>
    <row r="12134" spans="1:6" x14ac:dyDescent="0.3">
      <c r="A12134" t="s">
        <v>1970</v>
      </c>
      <c r="B12134" t="s">
        <v>2130</v>
      </c>
      <c r="C12134">
        <v>30.5</v>
      </c>
      <c r="D12134">
        <v>129</v>
      </c>
      <c r="E12134">
        <f>IF(OR(B12134="vi",B12134="ii",B12134="pod"),(((D12134/100)*(C12134*VLOOKUP(B12134,'Poids des runes'!A:B,2,FALSE)))+1),(((D12134/100)*(C12134*VLOOKUP(B12134,'Poids des runes'!A:B,2,FALSE)))+1)/VLOOKUP(B12134,'Poids des runes'!A:B,2,FALSE))</f>
        <v>40.344999999999999</v>
      </c>
      <c r="F12134">
        <f t="shared" si="189"/>
        <v>40.344999999999999</v>
      </c>
    </row>
    <row r="12135" spans="1:6" x14ac:dyDescent="0.3">
      <c r="A12135" t="s">
        <v>1970</v>
      </c>
      <c r="B12135" t="s">
        <v>2151</v>
      </c>
      <c r="C12135">
        <v>4.5</v>
      </c>
      <c r="D12135">
        <v>129</v>
      </c>
      <c r="E12135">
        <f>IF(OR(B12135="vi",B12135="ii",B12135="pod"),(((D12135/100)*(C12135*VLOOKUP(B12135,'Poids des runes'!A:B,2,FALSE)))+1),(((D12135/100)*(C12135*VLOOKUP(B12135,'Poids des runes'!A:B,2,FALSE)))+1)/VLOOKUP(B12135,'Poids des runes'!A:B,2,FALSE))</f>
        <v>5.9050000000000002</v>
      </c>
      <c r="F12135">
        <f t="shared" si="189"/>
        <v>5.9050000000000002</v>
      </c>
    </row>
    <row r="12136" spans="1:6" x14ac:dyDescent="0.3">
      <c r="A12136" t="s">
        <v>1970</v>
      </c>
      <c r="B12136" t="s">
        <v>2154</v>
      </c>
      <c r="C12136">
        <v>1</v>
      </c>
      <c r="D12136">
        <v>129</v>
      </c>
      <c r="E12136">
        <f>IF(OR(B12136="vi",B12136="ii",B12136="pod"),(((D12136/100)*(C12136*VLOOKUP(B12136,'Poids des runes'!A:B,2,FALSE)))+1),(((D12136/100)*(C12136*VLOOKUP(B12136,'Poids des runes'!A:B,2,FALSE)))+1)/VLOOKUP(B12136,'Poids des runes'!A:B,2,FALSE))</f>
        <v>1.3011111111111111</v>
      </c>
      <c r="F12136">
        <f t="shared" si="189"/>
        <v>1.3011111111111111</v>
      </c>
    </row>
    <row r="12137" spans="1:6" x14ac:dyDescent="0.3">
      <c r="A12137" t="s">
        <v>1970</v>
      </c>
      <c r="B12137" t="s">
        <v>2150</v>
      </c>
      <c r="C12137">
        <v>1</v>
      </c>
      <c r="D12137">
        <v>129</v>
      </c>
      <c r="E12137">
        <f>IF(OR(B12137="vi",B12137="ii",B12137="pod"),(((D12137/100)*(C12137*VLOOKUP(B12137,'Poids des runes'!A:B,2,FALSE)))+1),(((D12137/100)*(C12137*VLOOKUP(B12137,'Poids des runes'!A:B,2,FALSE)))+1)/VLOOKUP(B12137,'Poids des runes'!A:B,2,FALSE))</f>
        <v>1.3233333333333335</v>
      </c>
      <c r="F12137">
        <f t="shared" si="189"/>
        <v>1.3233333333333335</v>
      </c>
    </row>
    <row r="12138" spans="1:6" x14ac:dyDescent="0.3">
      <c r="A12138" t="s">
        <v>1970</v>
      </c>
      <c r="B12138" t="s">
        <v>2134</v>
      </c>
      <c r="C12138">
        <v>8</v>
      </c>
      <c r="D12138">
        <v>129</v>
      </c>
      <c r="E12138">
        <f>IF(OR(B12138="vi",B12138="ii",B12138="pod"),(((D12138/100)*(C12138*VLOOKUP(B12138,'Poids des runes'!A:B,2,FALSE)))+1),(((D12138/100)*(C12138*VLOOKUP(B12138,'Poids des runes'!A:B,2,FALSE)))+1)/VLOOKUP(B12138,'Poids des runes'!A:B,2,FALSE))</f>
        <v>10.370000000000001</v>
      </c>
      <c r="F12138">
        <f t="shared" si="189"/>
        <v>10.370000000000001</v>
      </c>
    </row>
    <row r="12139" spans="1:6" x14ac:dyDescent="0.3">
      <c r="A12139" t="s">
        <v>1970</v>
      </c>
      <c r="B12139" t="s">
        <v>2161</v>
      </c>
      <c r="C12139">
        <v>13</v>
      </c>
      <c r="D12139">
        <v>129</v>
      </c>
      <c r="E12139">
        <f>IF(OR(B12139="vi",B12139="ii",B12139="pod"),(((D12139/100)*(C12139*VLOOKUP(B12139,'Poids des runes'!A:B,2,FALSE)))+1),(((D12139/100)*(C12139*VLOOKUP(B12139,'Poids des runes'!A:B,2,FALSE)))+1)/VLOOKUP(B12139,'Poids des runes'!A:B,2,FALSE))</f>
        <v>17.103333333333335</v>
      </c>
      <c r="F12139">
        <f t="shared" si="189"/>
        <v>17.103333333333335</v>
      </c>
    </row>
    <row r="12140" spans="1:6" x14ac:dyDescent="0.3">
      <c r="A12140" t="s">
        <v>1970</v>
      </c>
      <c r="B12140" t="s">
        <v>2132</v>
      </c>
      <c r="C12140">
        <v>150.5</v>
      </c>
      <c r="D12140">
        <v>129</v>
      </c>
      <c r="E12140">
        <f>IF(OR(B12140="vi",B12140="ii",B12140="pod"),(((D12140/100)*(C12140*VLOOKUP(B12140,'Poids des runes'!A:B,2,FALSE)))+1),(((D12140/100)*(C12140*VLOOKUP(B12140,'Poids des runes'!A:B,2,FALSE)))+1)/VLOOKUP(B12140,'Poids des runes'!A:B,2,FALSE))</f>
        <v>20.4145</v>
      </c>
      <c r="F12140">
        <f t="shared" si="189"/>
        <v>20.4145</v>
      </c>
    </row>
    <row r="12141" spans="1:6" x14ac:dyDescent="0.3">
      <c r="A12141" t="s">
        <v>1971</v>
      </c>
      <c r="B12141" t="s">
        <v>2128</v>
      </c>
      <c r="C12141">
        <v>75.5</v>
      </c>
      <c r="D12141">
        <v>129</v>
      </c>
      <c r="E12141">
        <f>IF(OR(B12141="vi",B12141="ii",B12141="pod"),(((D12141/100)*(C12141*VLOOKUP(B12141,'Poids des runes'!A:B,2,FALSE)))+1),(((D12141/100)*(C12141*VLOOKUP(B12141,'Poids des runes'!A:B,2,FALSE)))+1)/VLOOKUP(B12141,'Poids des runes'!A:B,2,FALSE))</f>
        <v>20.479000000000003</v>
      </c>
      <c r="F12141">
        <f t="shared" si="189"/>
        <v>20.479000000000003</v>
      </c>
    </row>
    <row r="12142" spans="1:6" x14ac:dyDescent="0.3">
      <c r="A12142" t="s">
        <v>1971</v>
      </c>
      <c r="B12142" t="s">
        <v>2126</v>
      </c>
      <c r="C12142">
        <v>28</v>
      </c>
      <c r="D12142">
        <v>129</v>
      </c>
      <c r="E12142">
        <f>IF(OR(B12142="vi",B12142="ii",B12142="pod"),(((D12142/100)*(C12142*VLOOKUP(B12142,'Poids des runes'!A:B,2,FALSE)))+1),(((D12142/100)*(C12142*VLOOKUP(B12142,'Poids des runes'!A:B,2,FALSE)))+1)/VLOOKUP(B12142,'Poids des runes'!A:B,2,FALSE))</f>
        <v>37.120000000000005</v>
      </c>
      <c r="F12142">
        <f t="shared" si="189"/>
        <v>37.120000000000005</v>
      </c>
    </row>
    <row r="12143" spans="1:6" x14ac:dyDescent="0.3">
      <c r="A12143" t="s">
        <v>1971</v>
      </c>
      <c r="B12143" t="s">
        <v>2155</v>
      </c>
      <c r="C12143">
        <v>1</v>
      </c>
      <c r="D12143">
        <v>129</v>
      </c>
      <c r="E12143">
        <f>IF(OR(B12143="vi",B12143="ii",B12143="pod"),(((D12143/100)*(C12143*VLOOKUP(B12143,'Poids des runes'!A:B,2,FALSE)))+1),(((D12143/100)*(C12143*VLOOKUP(B12143,'Poids des runes'!A:B,2,FALSE)))+1)/VLOOKUP(B12143,'Poids des runes'!A:B,2,FALSE))</f>
        <v>1.3096078431372551</v>
      </c>
      <c r="F12143">
        <f t="shared" si="189"/>
        <v>1.3096078431372551</v>
      </c>
    </row>
    <row r="12144" spans="1:6" x14ac:dyDescent="0.3">
      <c r="A12144" t="s">
        <v>1971</v>
      </c>
      <c r="B12144" t="s">
        <v>2134</v>
      </c>
      <c r="C12144">
        <v>5</v>
      </c>
      <c r="D12144">
        <v>129</v>
      </c>
      <c r="E12144">
        <f>IF(OR(B12144="vi",B12144="ii",B12144="pod"),(((D12144/100)*(C12144*VLOOKUP(B12144,'Poids des runes'!A:B,2,FALSE)))+1),(((D12144/100)*(C12144*VLOOKUP(B12144,'Poids des runes'!A:B,2,FALSE)))+1)/VLOOKUP(B12144,'Poids des runes'!A:B,2,FALSE))</f>
        <v>6.5</v>
      </c>
      <c r="F12144">
        <f t="shared" si="189"/>
        <v>6.5</v>
      </c>
    </row>
    <row r="12145" spans="1:6" x14ac:dyDescent="0.3">
      <c r="A12145" t="s">
        <v>1971</v>
      </c>
      <c r="B12145" t="s">
        <v>2161</v>
      </c>
      <c r="C12145">
        <v>10.5</v>
      </c>
      <c r="D12145">
        <v>129</v>
      </c>
      <c r="E12145">
        <f>IF(OR(B12145="vi",B12145="ii",B12145="pod"),(((D12145/100)*(C12145*VLOOKUP(B12145,'Poids des runes'!A:B,2,FALSE)))+1),(((D12145/100)*(C12145*VLOOKUP(B12145,'Poids des runes'!A:B,2,FALSE)))+1)/VLOOKUP(B12145,'Poids des runes'!A:B,2,FALSE))</f>
        <v>13.878333333333332</v>
      </c>
      <c r="F12145">
        <f t="shared" si="189"/>
        <v>13.878333333333332</v>
      </c>
    </row>
    <row r="12146" spans="1:6" x14ac:dyDescent="0.3">
      <c r="A12146" t="s">
        <v>1971</v>
      </c>
      <c r="B12146" t="s">
        <v>2132</v>
      </c>
      <c r="C12146">
        <v>150.5</v>
      </c>
      <c r="D12146">
        <v>129</v>
      </c>
      <c r="E12146">
        <f>IF(OR(B12146="vi",B12146="ii",B12146="pod"),(((D12146/100)*(C12146*VLOOKUP(B12146,'Poids des runes'!A:B,2,FALSE)))+1),(((D12146/100)*(C12146*VLOOKUP(B12146,'Poids des runes'!A:B,2,FALSE)))+1)/VLOOKUP(B12146,'Poids des runes'!A:B,2,FALSE))</f>
        <v>20.4145</v>
      </c>
      <c r="F12146">
        <f t="shared" si="189"/>
        <v>20.4145</v>
      </c>
    </row>
    <row r="12147" spans="1:6" x14ac:dyDescent="0.3">
      <c r="A12147" t="s">
        <v>1971</v>
      </c>
      <c r="B12147" t="s">
        <v>2148</v>
      </c>
      <c r="C12147">
        <v>6.5</v>
      </c>
      <c r="D12147">
        <v>129</v>
      </c>
      <c r="E12147">
        <f>IF(OR(B12147="vi",B12147="ii",B12147="pod"),(((D12147/100)*(C12147*VLOOKUP(B12147,'Poids des runes'!A:B,2,FALSE)))+1),(((D12147/100)*(C12147*VLOOKUP(B12147,'Poids des runes'!A:B,2,FALSE)))+1)/VLOOKUP(B12147,'Poids des runes'!A:B,2,FALSE))</f>
        <v>8.5516666666666676</v>
      </c>
      <c r="F12147">
        <f t="shared" si="189"/>
        <v>8.5516666666666676</v>
      </c>
    </row>
    <row r="12148" spans="1:6" x14ac:dyDescent="0.3">
      <c r="A12148" t="s">
        <v>1971</v>
      </c>
      <c r="B12148" t="s">
        <v>2135</v>
      </c>
      <c r="C12148">
        <v>6.5</v>
      </c>
      <c r="D12148">
        <v>129</v>
      </c>
      <c r="E12148">
        <f>IF(OR(B12148="vi",B12148="ii",B12148="pod"),(((D12148/100)*(C12148*VLOOKUP(B12148,'Poids des runes'!A:B,2,FALSE)))+1),(((D12148/100)*(C12148*VLOOKUP(B12148,'Poids des runes'!A:B,2,FALSE)))+1)/VLOOKUP(B12148,'Poids des runes'!A:B,2,FALSE))</f>
        <v>8.5516666666666676</v>
      </c>
      <c r="F12148">
        <f t="shared" si="189"/>
        <v>8.5516666666666676</v>
      </c>
    </row>
    <row r="12149" spans="1:6" x14ac:dyDescent="0.3">
      <c r="A12149" t="s">
        <v>1972</v>
      </c>
      <c r="B12149" t="s">
        <v>2128</v>
      </c>
      <c r="C12149">
        <v>100.5</v>
      </c>
      <c r="D12149">
        <v>130</v>
      </c>
      <c r="E12149">
        <f>IF(OR(B12149="vi",B12149="ii",B12149="pod"),(((D12149/100)*(C12149*VLOOKUP(B12149,'Poids des runes'!A:B,2,FALSE)))+1),(((D12149/100)*(C12149*VLOOKUP(B12149,'Poids des runes'!A:B,2,FALSE)))+1)/VLOOKUP(B12149,'Poids des runes'!A:B,2,FALSE))</f>
        <v>27.130000000000003</v>
      </c>
      <c r="F12149">
        <f t="shared" si="189"/>
        <v>27.130000000000003</v>
      </c>
    </row>
    <row r="12150" spans="1:6" x14ac:dyDescent="0.3">
      <c r="A12150" t="s">
        <v>1972</v>
      </c>
      <c r="B12150" t="s">
        <v>2131</v>
      </c>
      <c r="C12150">
        <v>30.5</v>
      </c>
      <c r="D12150">
        <v>130</v>
      </c>
      <c r="E12150">
        <f>IF(OR(B12150="vi",B12150="ii",B12150="pod"),(((D12150/100)*(C12150*VLOOKUP(B12150,'Poids des runes'!A:B,2,FALSE)))+1),(((D12150/100)*(C12150*VLOOKUP(B12150,'Poids des runes'!A:B,2,FALSE)))+1)/VLOOKUP(B12150,'Poids des runes'!A:B,2,FALSE))</f>
        <v>40.65</v>
      </c>
      <c r="F12150">
        <f t="shared" si="189"/>
        <v>40.65</v>
      </c>
    </row>
    <row r="12151" spans="1:6" x14ac:dyDescent="0.3">
      <c r="A12151" t="s">
        <v>1972</v>
      </c>
      <c r="B12151" t="s">
        <v>2127</v>
      </c>
      <c r="C12151">
        <v>30.5</v>
      </c>
      <c r="D12151">
        <v>130</v>
      </c>
      <c r="E12151">
        <f>IF(OR(B12151="vi",B12151="ii",B12151="pod"),(((D12151/100)*(C12151*VLOOKUP(B12151,'Poids des runes'!A:B,2,FALSE)))+1),(((D12151/100)*(C12151*VLOOKUP(B12151,'Poids des runes'!A:B,2,FALSE)))+1)/VLOOKUP(B12151,'Poids des runes'!A:B,2,FALSE))</f>
        <v>40.65</v>
      </c>
      <c r="F12151">
        <f t="shared" si="189"/>
        <v>40.65</v>
      </c>
    </row>
    <row r="12152" spans="1:6" x14ac:dyDescent="0.3">
      <c r="A12152" t="s">
        <v>1972</v>
      </c>
      <c r="B12152" t="s">
        <v>2134</v>
      </c>
      <c r="C12152">
        <v>5</v>
      </c>
      <c r="D12152">
        <v>130</v>
      </c>
      <c r="E12152">
        <f>IF(OR(B12152="vi",B12152="ii",B12152="pod"),(((D12152/100)*(C12152*VLOOKUP(B12152,'Poids des runes'!A:B,2,FALSE)))+1),(((D12152/100)*(C12152*VLOOKUP(B12152,'Poids des runes'!A:B,2,FALSE)))+1)/VLOOKUP(B12152,'Poids des runes'!A:B,2,FALSE))</f>
        <v>6.55</v>
      </c>
      <c r="F12152">
        <f t="shared" si="189"/>
        <v>6.55</v>
      </c>
    </row>
    <row r="12153" spans="1:6" x14ac:dyDescent="0.3">
      <c r="A12153" t="s">
        <v>1972</v>
      </c>
      <c r="B12153" t="s">
        <v>2141</v>
      </c>
      <c r="C12153">
        <v>5</v>
      </c>
      <c r="D12153">
        <v>130</v>
      </c>
      <c r="E12153">
        <f>IF(OR(B12153="vi",B12153="ii",B12153="pod"),(((D12153/100)*(C12153*VLOOKUP(B12153,'Poids des runes'!A:B,2,FALSE)))+1),(((D12153/100)*(C12153*VLOOKUP(B12153,'Poids des runes'!A:B,2,FALSE)))+1)/VLOOKUP(B12153,'Poids des runes'!A:B,2,FALSE))</f>
        <v>6.75</v>
      </c>
      <c r="F12153">
        <f t="shared" si="189"/>
        <v>6.75</v>
      </c>
    </row>
    <row r="12154" spans="1:6" x14ac:dyDescent="0.3">
      <c r="A12154" t="s">
        <v>1973</v>
      </c>
      <c r="B12154" t="s">
        <v>2128</v>
      </c>
      <c r="C12154">
        <v>125.5</v>
      </c>
      <c r="D12154">
        <v>130</v>
      </c>
      <c r="E12154">
        <f>IF(OR(B12154="vi",B12154="ii",B12154="pod"),(((D12154/100)*(C12154*VLOOKUP(B12154,'Poids des runes'!A:B,2,FALSE)))+1),(((D12154/100)*(C12154*VLOOKUP(B12154,'Poids des runes'!A:B,2,FALSE)))+1)/VLOOKUP(B12154,'Poids des runes'!A:B,2,FALSE))</f>
        <v>33.630000000000003</v>
      </c>
      <c r="F12154">
        <f t="shared" si="189"/>
        <v>33.630000000000003</v>
      </c>
    </row>
    <row r="12155" spans="1:6" x14ac:dyDescent="0.3">
      <c r="A12155" t="s">
        <v>1973</v>
      </c>
      <c r="B12155" t="s">
        <v>2126</v>
      </c>
      <c r="C12155">
        <v>35.5</v>
      </c>
      <c r="D12155">
        <v>130</v>
      </c>
      <c r="E12155">
        <f>IF(OR(B12155="vi",B12155="ii",B12155="pod"),(((D12155/100)*(C12155*VLOOKUP(B12155,'Poids des runes'!A:B,2,FALSE)))+1),(((D12155/100)*(C12155*VLOOKUP(B12155,'Poids des runes'!A:B,2,FALSE)))+1)/VLOOKUP(B12155,'Poids des runes'!A:B,2,FALSE))</f>
        <v>47.15</v>
      </c>
      <c r="F12155">
        <f t="shared" si="189"/>
        <v>47.15</v>
      </c>
    </row>
    <row r="12156" spans="1:6" x14ac:dyDescent="0.3">
      <c r="A12156" t="s">
        <v>1973</v>
      </c>
      <c r="B12156" t="s">
        <v>2131</v>
      </c>
      <c r="C12156">
        <v>35.5</v>
      </c>
      <c r="D12156">
        <v>130</v>
      </c>
      <c r="E12156">
        <f>IF(OR(B12156="vi",B12156="ii",B12156="pod"),(((D12156/100)*(C12156*VLOOKUP(B12156,'Poids des runes'!A:B,2,FALSE)))+1),(((D12156/100)*(C12156*VLOOKUP(B12156,'Poids des runes'!A:B,2,FALSE)))+1)/VLOOKUP(B12156,'Poids des runes'!A:B,2,FALSE))</f>
        <v>47.15</v>
      </c>
      <c r="F12156">
        <f t="shared" si="189"/>
        <v>47.15</v>
      </c>
    </row>
    <row r="12157" spans="1:6" x14ac:dyDescent="0.3">
      <c r="A12157" t="s">
        <v>1973</v>
      </c>
      <c r="B12157" t="s">
        <v>2129</v>
      </c>
      <c r="C12157">
        <v>25.5</v>
      </c>
      <c r="D12157">
        <v>130</v>
      </c>
      <c r="E12157">
        <f>IF(OR(B12157="vi",B12157="ii",B12157="pod"),(((D12157/100)*(C12157*VLOOKUP(B12157,'Poids des runes'!A:B,2,FALSE)))+1),(((D12157/100)*(C12157*VLOOKUP(B12157,'Poids des runes'!A:B,2,FALSE)))+1)/VLOOKUP(B12157,'Poids des runes'!A:B,2,FALSE))</f>
        <v>34.15</v>
      </c>
      <c r="F12157">
        <f t="shared" si="189"/>
        <v>34.15</v>
      </c>
    </row>
    <row r="12158" spans="1:6" x14ac:dyDescent="0.3">
      <c r="A12158" t="s">
        <v>1973</v>
      </c>
      <c r="B12158" t="s">
        <v>2155</v>
      </c>
      <c r="C12158">
        <v>1</v>
      </c>
      <c r="D12158">
        <v>130</v>
      </c>
      <c r="E12158">
        <f>IF(OR(B12158="vi",B12158="ii",B12158="pod"),(((D12158/100)*(C12158*VLOOKUP(B12158,'Poids des runes'!A:B,2,FALSE)))+1),(((D12158/100)*(C12158*VLOOKUP(B12158,'Poids des runes'!A:B,2,FALSE)))+1)/VLOOKUP(B12158,'Poids des runes'!A:B,2,FALSE))</f>
        <v>1.3196078431372549</v>
      </c>
      <c r="F12158">
        <f t="shared" si="189"/>
        <v>1.3196078431372549</v>
      </c>
    </row>
    <row r="12159" spans="1:6" x14ac:dyDescent="0.3">
      <c r="A12159" t="s">
        <v>1973</v>
      </c>
      <c r="B12159" t="s">
        <v>2140</v>
      </c>
      <c r="C12159">
        <v>8.5</v>
      </c>
      <c r="D12159">
        <v>130</v>
      </c>
      <c r="E12159">
        <f>IF(OR(B12159="vi",B12159="ii",B12159="pod"),(((D12159/100)*(C12159*VLOOKUP(B12159,'Poids des runes'!A:B,2,FALSE)))+1),(((D12159/100)*(C12159*VLOOKUP(B12159,'Poids des runes'!A:B,2,FALSE)))+1)/VLOOKUP(B12159,'Poids des runes'!A:B,2,FALSE))</f>
        <v>11.25</v>
      </c>
      <c r="F12159">
        <f t="shared" si="189"/>
        <v>11.25</v>
      </c>
    </row>
    <row r="12160" spans="1:6" x14ac:dyDescent="0.3">
      <c r="A12160" t="s">
        <v>1973</v>
      </c>
      <c r="B12160" t="s">
        <v>2133</v>
      </c>
      <c r="C12160">
        <v>6</v>
      </c>
      <c r="D12160">
        <v>130</v>
      </c>
      <c r="E12160">
        <f>IF(OR(B12160="vi",B12160="ii",B12160="pod"),(((D12160/100)*(C12160*VLOOKUP(B12160,'Poids des runes'!A:B,2,FALSE)))+1),(((D12160/100)*(C12160*VLOOKUP(B12160,'Poids des runes'!A:B,2,FALSE)))+1)/VLOOKUP(B12160,'Poids des runes'!A:B,2,FALSE))</f>
        <v>8</v>
      </c>
      <c r="F12160">
        <f t="shared" si="189"/>
        <v>8</v>
      </c>
    </row>
    <row r="12161" spans="1:6" x14ac:dyDescent="0.3">
      <c r="A12161" t="s">
        <v>1973</v>
      </c>
      <c r="B12161" t="s">
        <v>2149</v>
      </c>
      <c r="C12161">
        <v>4.5</v>
      </c>
      <c r="D12161">
        <v>130</v>
      </c>
      <c r="E12161">
        <f>IF(OR(B12161="vi",B12161="ii",B12161="pod"),(((D12161/100)*(C12161*VLOOKUP(B12161,'Poids des runes'!A:B,2,FALSE)))+1),(((D12161/100)*(C12161*VLOOKUP(B12161,'Poids des runes'!A:B,2,FALSE)))+1)/VLOOKUP(B12161,'Poids des runes'!A:B,2,FALSE))</f>
        <v>5.95</v>
      </c>
      <c r="F12161">
        <f t="shared" si="189"/>
        <v>5.95</v>
      </c>
    </row>
    <row r="12162" spans="1:6" x14ac:dyDescent="0.3">
      <c r="A12162" t="s">
        <v>1973</v>
      </c>
      <c r="B12162" t="s">
        <v>2161</v>
      </c>
      <c r="C12162">
        <v>13</v>
      </c>
      <c r="D12162">
        <v>130</v>
      </c>
      <c r="E12162">
        <f>IF(OR(B12162="vi",B12162="ii",B12162="pod"),(((D12162/100)*(C12162*VLOOKUP(B12162,'Poids des runes'!A:B,2,FALSE)))+1),(((D12162/100)*(C12162*VLOOKUP(B12162,'Poids des runes'!A:B,2,FALSE)))+1)/VLOOKUP(B12162,'Poids des runes'!A:B,2,FALSE))</f>
        <v>17.233333333333334</v>
      </c>
      <c r="F12162">
        <f t="shared" si="189"/>
        <v>17.233333333333334</v>
      </c>
    </row>
    <row r="12163" spans="1:6" x14ac:dyDescent="0.3">
      <c r="A12163" t="s">
        <v>1973</v>
      </c>
      <c r="B12163" t="s">
        <v>2163</v>
      </c>
      <c r="C12163">
        <v>8.5</v>
      </c>
      <c r="D12163">
        <v>130</v>
      </c>
      <c r="E12163">
        <f>IF(OR(B12163="vi",B12163="ii",B12163="pod"),(((D12163/100)*(C12163*VLOOKUP(B12163,'Poids des runes'!A:B,2,FALSE)))+1),(((D12163/100)*(C12163*VLOOKUP(B12163,'Poids des runes'!A:B,2,FALSE)))+1)/VLOOKUP(B12163,'Poids des runes'!A:B,2,FALSE))</f>
        <v>11.55</v>
      </c>
      <c r="F12163">
        <f t="shared" ref="F12163:F12226" si="190">E12163</f>
        <v>11.55</v>
      </c>
    </row>
    <row r="12164" spans="1:6" x14ac:dyDescent="0.3">
      <c r="A12164" t="s">
        <v>1973</v>
      </c>
      <c r="B12164" t="s">
        <v>2148</v>
      </c>
      <c r="C12164">
        <v>6</v>
      </c>
      <c r="D12164">
        <v>130</v>
      </c>
      <c r="E12164">
        <f>IF(OR(B12164="vi",B12164="ii",B12164="pod"),(((D12164/100)*(C12164*VLOOKUP(B12164,'Poids des runes'!A:B,2,FALSE)))+1),(((D12164/100)*(C12164*VLOOKUP(B12164,'Poids des runes'!A:B,2,FALSE)))+1)/VLOOKUP(B12164,'Poids des runes'!A:B,2,FALSE))</f>
        <v>7.9666666666666677</v>
      </c>
      <c r="F12164">
        <f t="shared" si="190"/>
        <v>7.9666666666666677</v>
      </c>
    </row>
    <row r="12165" spans="1:6" x14ac:dyDescent="0.3">
      <c r="A12165" t="s">
        <v>1973</v>
      </c>
      <c r="B12165" t="s">
        <v>2157</v>
      </c>
      <c r="C12165">
        <v>6</v>
      </c>
      <c r="D12165">
        <v>130</v>
      </c>
      <c r="E12165">
        <f>IF(OR(B12165="vi",B12165="ii",B12165="pod"),(((D12165/100)*(C12165*VLOOKUP(B12165,'Poids des runes'!A:B,2,FALSE)))+1),(((D12165/100)*(C12165*VLOOKUP(B12165,'Poids des runes'!A:B,2,FALSE)))+1)/VLOOKUP(B12165,'Poids des runes'!A:B,2,FALSE))</f>
        <v>7.9666666666666677</v>
      </c>
      <c r="F12165">
        <f t="shared" si="190"/>
        <v>7.9666666666666677</v>
      </c>
    </row>
    <row r="12166" spans="1:6" x14ac:dyDescent="0.3">
      <c r="A12166" t="s">
        <v>1974</v>
      </c>
      <c r="B12166" t="s">
        <v>2128</v>
      </c>
      <c r="C12166">
        <v>125.5</v>
      </c>
      <c r="D12166">
        <v>131</v>
      </c>
      <c r="E12166">
        <f>IF(OR(B12166="vi",B12166="ii",B12166="pod"),(((D12166/100)*(C12166*VLOOKUP(B12166,'Poids des runes'!A:B,2,FALSE)))+1),(((D12166/100)*(C12166*VLOOKUP(B12166,'Poids des runes'!A:B,2,FALSE)))+1)/VLOOKUP(B12166,'Poids des runes'!A:B,2,FALSE))</f>
        <v>33.881</v>
      </c>
      <c r="F12166">
        <f t="shared" si="190"/>
        <v>33.881</v>
      </c>
    </row>
    <row r="12167" spans="1:6" x14ac:dyDescent="0.3">
      <c r="A12167" t="s">
        <v>1974</v>
      </c>
      <c r="B12167" t="s">
        <v>2130</v>
      </c>
      <c r="C12167">
        <v>30.5</v>
      </c>
      <c r="D12167">
        <v>131</v>
      </c>
      <c r="E12167">
        <f>IF(OR(B12167="vi",B12167="ii",B12167="pod"),(((D12167/100)*(C12167*VLOOKUP(B12167,'Poids des runes'!A:B,2,FALSE)))+1),(((D12167/100)*(C12167*VLOOKUP(B12167,'Poids des runes'!A:B,2,FALSE)))+1)/VLOOKUP(B12167,'Poids des runes'!A:B,2,FALSE))</f>
        <v>40.954999999999998</v>
      </c>
      <c r="F12167">
        <f t="shared" si="190"/>
        <v>40.954999999999998</v>
      </c>
    </row>
    <row r="12168" spans="1:6" x14ac:dyDescent="0.3">
      <c r="A12168" t="s">
        <v>1974</v>
      </c>
      <c r="B12168" t="s">
        <v>2131</v>
      </c>
      <c r="C12168">
        <v>30.5</v>
      </c>
      <c r="D12168">
        <v>131</v>
      </c>
      <c r="E12168">
        <f>IF(OR(B12168="vi",B12168="ii",B12168="pod"),(((D12168/100)*(C12168*VLOOKUP(B12168,'Poids des runes'!A:B,2,FALSE)))+1),(((D12168/100)*(C12168*VLOOKUP(B12168,'Poids des runes'!A:B,2,FALSE)))+1)/VLOOKUP(B12168,'Poids des runes'!A:B,2,FALSE))</f>
        <v>40.954999999999998</v>
      </c>
      <c r="F12168">
        <f t="shared" si="190"/>
        <v>40.954999999999998</v>
      </c>
    </row>
    <row r="12169" spans="1:6" x14ac:dyDescent="0.3">
      <c r="A12169" t="s">
        <v>1974</v>
      </c>
      <c r="B12169" t="s">
        <v>2139</v>
      </c>
      <c r="C12169">
        <v>25.5</v>
      </c>
      <c r="D12169">
        <v>131</v>
      </c>
      <c r="E12169">
        <f>IF(OR(B12169="vi",B12169="ii",B12169="pod"),(((D12169/100)*(C12169*VLOOKUP(B12169,'Poids des runes'!A:B,2,FALSE)))+1),(((D12169/100)*(C12169*VLOOKUP(B12169,'Poids des runes'!A:B,2,FALSE)))+1)/VLOOKUP(B12169,'Poids des runes'!A:B,2,FALSE))</f>
        <v>33.905000000000001</v>
      </c>
      <c r="F12169">
        <f t="shared" si="190"/>
        <v>33.905000000000001</v>
      </c>
    </row>
    <row r="12170" spans="1:6" x14ac:dyDescent="0.3">
      <c r="A12170" t="s">
        <v>1974</v>
      </c>
      <c r="B12170" t="s">
        <v>2134</v>
      </c>
      <c r="C12170">
        <v>4.5</v>
      </c>
      <c r="D12170">
        <v>131</v>
      </c>
      <c r="E12170">
        <f>IF(OR(B12170="vi",B12170="ii",B12170="pod"),(((D12170/100)*(C12170*VLOOKUP(B12170,'Poids des runes'!A:B,2,FALSE)))+1),(((D12170/100)*(C12170*VLOOKUP(B12170,'Poids des runes'!A:B,2,FALSE)))+1)/VLOOKUP(B12170,'Poids des runes'!A:B,2,FALSE))</f>
        <v>5.9450000000000003</v>
      </c>
      <c r="F12170">
        <f t="shared" si="190"/>
        <v>5.9450000000000003</v>
      </c>
    </row>
    <row r="12171" spans="1:6" x14ac:dyDescent="0.3">
      <c r="A12171" t="s">
        <v>1974</v>
      </c>
      <c r="B12171" t="s">
        <v>2161</v>
      </c>
      <c r="C12171">
        <v>13</v>
      </c>
      <c r="D12171">
        <v>131</v>
      </c>
      <c r="E12171">
        <f>IF(OR(B12171="vi",B12171="ii",B12171="pod"),(((D12171/100)*(C12171*VLOOKUP(B12171,'Poids des runes'!A:B,2,FALSE)))+1),(((D12171/100)*(C12171*VLOOKUP(B12171,'Poids des runes'!A:B,2,FALSE)))+1)/VLOOKUP(B12171,'Poids des runes'!A:B,2,FALSE))</f>
        <v>17.363333333333333</v>
      </c>
      <c r="F12171">
        <f t="shared" si="190"/>
        <v>17.363333333333333</v>
      </c>
    </row>
    <row r="12172" spans="1:6" x14ac:dyDescent="0.3">
      <c r="A12172" t="s">
        <v>1974</v>
      </c>
      <c r="B12172" t="s">
        <v>2156</v>
      </c>
      <c r="C12172">
        <v>5</v>
      </c>
      <c r="D12172">
        <v>131</v>
      </c>
      <c r="E12172">
        <f>IF(OR(B12172="vi",B12172="ii",B12172="pod"),(((D12172/100)*(C12172*VLOOKUP(B12172,'Poids des runes'!A:B,2,FALSE)))+1),(((D12172/100)*(C12172*VLOOKUP(B12172,'Poids des runes'!A:B,2,FALSE)))+1)/VLOOKUP(B12172,'Poids des runes'!A:B,2,FALSE))</f>
        <v>6.7166666666666677</v>
      </c>
      <c r="F12172">
        <f t="shared" si="190"/>
        <v>6.7166666666666677</v>
      </c>
    </row>
    <row r="12173" spans="1:6" x14ac:dyDescent="0.3">
      <c r="A12173" t="s">
        <v>1974</v>
      </c>
      <c r="B12173" t="s">
        <v>2147</v>
      </c>
      <c r="C12173">
        <v>5</v>
      </c>
      <c r="D12173">
        <v>131</v>
      </c>
      <c r="E12173">
        <f>IF(OR(B12173="vi",B12173="ii",B12173="pod"),(((D12173/100)*(C12173*VLOOKUP(B12173,'Poids des runes'!A:B,2,FALSE)))+1),(((D12173/100)*(C12173*VLOOKUP(B12173,'Poids des runes'!A:B,2,FALSE)))+1)/VLOOKUP(B12173,'Poids des runes'!A:B,2,FALSE))</f>
        <v>6.7166666666666677</v>
      </c>
      <c r="F12173">
        <f t="shared" si="190"/>
        <v>6.7166666666666677</v>
      </c>
    </row>
    <row r="12174" spans="1:6" x14ac:dyDescent="0.3">
      <c r="A12174" t="s">
        <v>1974</v>
      </c>
      <c r="B12174" t="s">
        <v>2137</v>
      </c>
      <c r="C12174">
        <v>6</v>
      </c>
      <c r="D12174">
        <v>131</v>
      </c>
      <c r="E12174">
        <f>IF(OR(B12174="vi",B12174="ii",B12174="pod"),(((D12174/100)*(C12174*VLOOKUP(B12174,'Poids des runes'!A:B,2,FALSE)))+1),(((D12174/100)*(C12174*VLOOKUP(B12174,'Poids des runes'!A:B,2,FALSE)))+1)/VLOOKUP(B12174,'Poids des runes'!A:B,2,FALSE))</f>
        <v>8.36</v>
      </c>
      <c r="F12174">
        <f t="shared" si="190"/>
        <v>8.36</v>
      </c>
    </row>
    <row r="12175" spans="1:6" x14ac:dyDescent="0.3">
      <c r="A12175" t="s">
        <v>1974</v>
      </c>
      <c r="B12175" t="s">
        <v>2145</v>
      </c>
      <c r="C12175">
        <v>6</v>
      </c>
      <c r="D12175">
        <v>131</v>
      </c>
      <c r="E12175">
        <f>IF(OR(B12175="vi",B12175="ii",B12175="pod"),(((D12175/100)*(C12175*VLOOKUP(B12175,'Poids des runes'!A:B,2,FALSE)))+1),(((D12175/100)*(C12175*VLOOKUP(B12175,'Poids des runes'!A:B,2,FALSE)))+1)/VLOOKUP(B12175,'Poids des runes'!A:B,2,FALSE))</f>
        <v>8.36</v>
      </c>
      <c r="F12175">
        <f t="shared" si="190"/>
        <v>8.36</v>
      </c>
    </row>
    <row r="12176" spans="1:6" x14ac:dyDescent="0.3">
      <c r="A12176" t="s">
        <v>1974</v>
      </c>
      <c r="B12176" t="s">
        <v>2146</v>
      </c>
      <c r="C12176">
        <v>6</v>
      </c>
      <c r="D12176">
        <v>131</v>
      </c>
      <c r="E12176">
        <f>IF(OR(B12176="vi",B12176="ii",B12176="pod"),(((D12176/100)*(C12176*VLOOKUP(B12176,'Poids des runes'!A:B,2,FALSE)))+1),(((D12176/100)*(C12176*VLOOKUP(B12176,'Poids des runes'!A:B,2,FALSE)))+1)/VLOOKUP(B12176,'Poids des runes'!A:B,2,FALSE))</f>
        <v>8.36</v>
      </c>
      <c r="F12176">
        <f t="shared" si="190"/>
        <v>8.36</v>
      </c>
    </row>
    <row r="12177" spans="1:6" x14ac:dyDescent="0.3">
      <c r="A12177" t="s">
        <v>1975</v>
      </c>
      <c r="B12177" t="s">
        <v>2128</v>
      </c>
      <c r="C12177">
        <v>105.5</v>
      </c>
      <c r="D12177">
        <v>132</v>
      </c>
      <c r="E12177">
        <f>IF(OR(B12177="vi",B12177="ii",B12177="pod"),(((D12177/100)*(C12177*VLOOKUP(B12177,'Poids des runes'!A:B,2,FALSE)))+1),(((D12177/100)*(C12177*VLOOKUP(B12177,'Poids des runes'!A:B,2,FALSE)))+1)/VLOOKUP(B12177,'Poids des runes'!A:B,2,FALSE))</f>
        <v>28.852000000000004</v>
      </c>
      <c r="F12177">
        <f t="shared" si="190"/>
        <v>28.852000000000004</v>
      </c>
    </row>
    <row r="12178" spans="1:6" x14ac:dyDescent="0.3">
      <c r="A12178" t="s">
        <v>1975</v>
      </c>
      <c r="B12178" t="s">
        <v>2127</v>
      </c>
      <c r="C12178">
        <v>40.5</v>
      </c>
      <c r="D12178">
        <v>132</v>
      </c>
      <c r="E12178">
        <f>IF(OR(B12178="vi",B12178="ii",B12178="pod"),(((D12178/100)*(C12178*VLOOKUP(B12178,'Poids des runes'!A:B,2,FALSE)))+1),(((D12178/100)*(C12178*VLOOKUP(B12178,'Poids des runes'!A:B,2,FALSE)))+1)/VLOOKUP(B12178,'Poids des runes'!A:B,2,FALSE))</f>
        <v>54.46</v>
      </c>
      <c r="F12178">
        <f t="shared" si="190"/>
        <v>54.46</v>
      </c>
    </row>
    <row r="12179" spans="1:6" x14ac:dyDescent="0.3">
      <c r="A12179" t="s">
        <v>1975</v>
      </c>
      <c r="B12179" t="s">
        <v>2129</v>
      </c>
      <c r="C12179">
        <v>33</v>
      </c>
      <c r="D12179">
        <v>132</v>
      </c>
      <c r="E12179">
        <f>IF(OR(B12179="vi",B12179="ii",B12179="pod"),(((D12179/100)*(C12179*VLOOKUP(B12179,'Poids des runes'!A:B,2,FALSE)))+1),(((D12179/100)*(C12179*VLOOKUP(B12179,'Poids des runes'!A:B,2,FALSE)))+1)/VLOOKUP(B12179,'Poids des runes'!A:B,2,FALSE))</f>
        <v>44.56</v>
      </c>
      <c r="F12179">
        <f t="shared" si="190"/>
        <v>44.56</v>
      </c>
    </row>
    <row r="12180" spans="1:6" x14ac:dyDescent="0.3">
      <c r="A12180" t="s">
        <v>1975</v>
      </c>
      <c r="B12180" t="s">
        <v>2155</v>
      </c>
      <c r="C12180">
        <v>1</v>
      </c>
      <c r="D12180">
        <v>132</v>
      </c>
      <c r="E12180">
        <f>IF(OR(B12180="vi",B12180="ii",B12180="pod"),(((D12180/100)*(C12180*VLOOKUP(B12180,'Poids des runes'!A:B,2,FALSE)))+1),(((D12180/100)*(C12180*VLOOKUP(B12180,'Poids des runes'!A:B,2,FALSE)))+1)/VLOOKUP(B12180,'Poids des runes'!A:B,2,FALSE))</f>
        <v>1.3396078431372551</v>
      </c>
      <c r="F12180">
        <f t="shared" si="190"/>
        <v>1.3396078431372551</v>
      </c>
    </row>
    <row r="12181" spans="1:6" x14ac:dyDescent="0.3">
      <c r="A12181" t="s">
        <v>1975</v>
      </c>
      <c r="B12181" t="s">
        <v>2134</v>
      </c>
      <c r="C12181">
        <v>8</v>
      </c>
      <c r="D12181">
        <v>132</v>
      </c>
      <c r="E12181">
        <f>IF(OR(B12181="vi",B12181="ii",B12181="pod"),(((D12181/100)*(C12181*VLOOKUP(B12181,'Poids des runes'!A:B,2,FALSE)))+1),(((D12181/100)*(C12181*VLOOKUP(B12181,'Poids des runes'!A:B,2,FALSE)))+1)/VLOOKUP(B12181,'Poids des runes'!A:B,2,FALSE))</f>
        <v>10.610000000000001</v>
      </c>
      <c r="F12181">
        <f t="shared" si="190"/>
        <v>10.610000000000001</v>
      </c>
    </row>
    <row r="12182" spans="1:6" x14ac:dyDescent="0.3">
      <c r="A12182" t="s">
        <v>1975</v>
      </c>
      <c r="B12182" t="s">
        <v>2161</v>
      </c>
      <c r="C12182">
        <v>13</v>
      </c>
      <c r="D12182">
        <v>132</v>
      </c>
      <c r="E12182">
        <f>IF(OR(B12182="vi",B12182="ii",B12182="pod"),(((D12182/100)*(C12182*VLOOKUP(B12182,'Poids des runes'!A:B,2,FALSE)))+1),(((D12182/100)*(C12182*VLOOKUP(B12182,'Poids des runes'!A:B,2,FALSE)))+1)/VLOOKUP(B12182,'Poids des runes'!A:B,2,FALSE))</f>
        <v>17.493333333333336</v>
      </c>
      <c r="F12182">
        <f t="shared" si="190"/>
        <v>17.493333333333336</v>
      </c>
    </row>
    <row r="12183" spans="1:6" x14ac:dyDescent="0.3">
      <c r="A12183" t="s">
        <v>1975</v>
      </c>
      <c r="B12183" t="s">
        <v>2156</v>
      </c>
      <c r="C12183">
        <v>8</v>
      </c>
      <c r="D12183">
        <v>132</v>
      </c>
      <c r="E12183">
        <f>IF(OR(B12183="vi",B12183="ii",B12183="pod"),(((D12183/100)*(C12183*VLOOKUP(B12183,'Poids des runes'!A:B,2,FALSE)))+1),(((D12183/100)*(C12183*VLOOKUP(B12183,'Poids des runes'!A:B,2,FALSE)))+1)/VLOOKUP(B12183,'Poids des runes'!A:B,2,FALSE))</f>
        <v>10.726666666666667</v>
      </c>
      <c r="F12183">
        <f t="shared" si="190"/>
        <v>10.726666666666667</v>
      </c>
    </row>
    <row r="12184" spans="1:6" x14ac:dyDescent="0.3">
      <c r="A12184" t="s">
        <v>1976</v>
      </c>
      <c r="B12184" t="s">
        <v>2128</v>
      </c>
      <c r="C12184">
        <v>125.5</v>
      </c>
      <c r="D12184">
        <v>132</v>
      </c>
      <c r="E12184">
        <f>IF(OR(B12184="vi",B12184="ii",B12184="pod"),(((D12184/100)*(C12184*VLOOKUP(B12184,'Poids des runes'!A:B,2,FALSE)))+1),(((D12184/100)*(C12184*VLOOKUP(B12184,'Poids des runes'!A:B,2,FALSE)))+1)/VLOOKUP(B12184,'Poids des runes'!A:B,2,FALSE))</f>
        <v>34.132000000000005</v>
      </c>
      <c r="F12184">
        <f t="shared" si="190"/>
        <v>34.132000000000005</v>
      </c>
    </row>
    <row r="12185" spans="1:6" x14ac:dyDescent="0.3">
      <c r="A12185" t="s">
        <v>1976</v>
      </c>
      <c r="B12185" t="s">
        <v>2130</v>
      </c>
      <c r="C12185">
        <v>33</v>
      </c>
      <c r="D12185">
        <v>132</v>
      </c>
      <c r="E12185">
        <f>IF(OR(B12185="vi",B12185="ii",B12185="pod"),(((D12185/100)*(C12185*VLOOKUP(B12185,'Poids des runes'!A:B,2,FALSE)))+1),(((D12185/100)*(C12185*VLOOKUP(B12185,'Poids des runes'!A:B,2,FALSE)))+1)/VLOOKUP(B12185,'Poids des runes'!A:B,2,FALSE))</f>
        <v>44.56</v>
      </c>
      <c r="F12185">
        <f t="shared" si="190"/>
        <v>44.56</v>
      </c>
    </row>
    <row r="12186" spans="1:6" x14ac:dyDescent="0.3">
      <c r="A12186" t="s">
        <v>1976</v>
      </c>
      <c r="B12186" t="s">
        <v>2127</v>
      </c>
      <c r="C12186">
        <v>33</v>
      </c>
      <c r="D12186">
        <v>132</v>
      </c>
      <c r="E12186">
        <f>IF(OR(B12186="vi",B12186="ii",B12186="pod"),(((D12186/100)*(C12186*VLOOKUP(B12186,'Poids des runes'!A:B,2,FALSE)))+1),(((D12186/100)*(C12186*VLOOKUP(B12186,'Poids des runes'!A:B,2,FALSE)))+1)/VLOOKUP(B12186,'Poids des runes'!A:B,2,FALSE))</f>
        <v>44.56</v>
      </c>
      <c r="F12186">
        <f t="shared" si="190"/>
        <v>44.56</v>
      </c>
    </row>
    <row r="12187" spans="1:6" x14ac:dyDescent="0.3">
      <c r="A12187" t="s">
        <v>1976</v>
      </c>
      <c r="B12187" t="s">
        <v>2129</v>
      </c>
      <c r="C12187">
        <v>33</v>
      </c>
      <c r="D12187">
        <v>132</v>
      </c>
      <c r="E12187">
        <f>IF(OR(B12187="vi",B12187="ii",B12187="pod"),(((D12187/100)*(C12187*VLOOKUP(B12187,'Poids des runes'!A:B,2,FALSE)))+1),(((D12187/100)*(C12187*VLOOKUP(B12187,'Poids des runes'!A:B,2,FALSE)))+1)/VLOOKUP(B12187,'Poids des runes'!A:B,2,FALSE))</f>
        <v>44.56</v>
      </c>
      <c r="F12187">
        <f t="shared" si="190"/>
        <v>44.56</v>
      </c>
    </row>
    <row r="12188" spans="1:6" x14ac:dyDescent="0.3">
      <c r="A12188" t="s">
        <v>1976</v>
      </c>
      <c r="B12188" t="s">
        <v>2161</v>
      </c>
      <c r="C12188">
        <v>13</v>
      </c>
      <c r="D12188">
        <v>132</v>
      </c>
      <c r="E12188">
        <f>IF(OR(B12188="vi",B12188="ii",B12188="pod"),(((D12188/100)*(C12188*VLOOKUP(B12188,'Poids des runes'!A:B,2,FALSE)))+1),(((D12188/100)*(C12188*VLOOKUP(B12188,'Poids des runes'!A:B,2,FALSE)))+1)/VLOOKUP(B12188,'Poids des runes'!A:B,2,FALSE))</f>
        <v>17.493333333333336</v>
      </c>
      <c r="F12188">
        <f t="shared" si="190"/>
        <v>17.493333333333336</v>
      </c>
    </row>
    <row r="12189" spans="1:6" x14ac:dyDescent="0.3">
      <c r="A12189" t="s">
        <v>1976</v>
      </c>
      <c r="B12189" t="s">
        <v>2156</v>
      </c>
      <c r="C12189">
        <v>7</v>
      </c>
      <c r="D12189">
        <v>132</v>
      </c>
      <c r="E12189">
        <f>IF(OR(B12189="vi",B12189="ii",B12189="pod"),(((D12189/100)*(C12189*VLOOKUP(B12189,'Poids des runes'!A:B,2,FALSE)))+1),(((D12189/100)*(C12189*VLOOKUP(B12189,'Poids des runes'!A:B,2,FALSE)))+1)/VLOOKUP(B12189,'Poids des runes'!A:B,2,FALSE))</f>
        <v>9.4066666666666681</v>
      </c>
      <c r="F12189">
        <f t="shared" si="190"/>
        <v>9.4066666666666681</v>
      </c>
    </row>
    <row r="12190" spans="1:6" x14ac:dyDescent="0.3">
      <c r="A12190" t="s">
        <v>1976</v>
      </c>
      <c r="B12190" t="s">
        <v>2157</v>
      </c>
      <c r="C12190">
        <v>7</v>
      </c>
      <c r="D12190">
        <v>132</v>
      </c>
      <c r="E12190">
        <f>IF(OR(B12190="vi",B12190="ii",B12190="pod"),(((D12190/100)*(C12190*VLOOKUP(B12190,'Poids des runes'!A:B,2,FALSE)))+1),(((D12190/100)*(C12190*VLOOKUP(B12190,'Poids des runes'!A:B,2,FALSE)))+1)/VLOOKUP(B12190,'Poids des runes'!A:B,2,FALSE))</f>
        <v>9.4066666666666681</v>
      </c>
      <c r="F12190">
        <f t="shared" si="190"/>
        <v>9.4066666666666681</v>
      </c>
    </row>
    <row r="12191" spans="1:6" x14ac:dyDescent="0.3">
      <c r="A12191" t="s">
        <v>1977</v>
      </c>
      <c r="B12191" t="s">
        <v>2128</v>
      </c>
      <c r="C12191">
        <v>175.5</v>
      </c>
      <c r="D12191">
        <v>134</v>
      </c>
      <c r="E12191">
        <f>IF(OR(B12191="vi",B12191="ii",B12191="pod"),(((D12191/100)*(C12191*VLOOKUP(B12191,'Poids des runes'!A:B,2,FALSE)))+1),(((D12191/100)*(C12191*VLOOKUP(B12191,'Poids des runes'!A:B,2,FALSE)))+1)/VLOOKUP(B12191,'Poids des runes'!A:B,2,FALSE))</f>
        <v>48.034000000000006</v>
      </c>
      <c r="F12191">
        <f t="shared" si="190"/>
        <v>48.034000000000006</v>
      </c>
    </row>
    <row r="12192" spans="1:6" x14ac:dyDescent="0.3">
      <c r="A12192" t="s">
        <v>1977</v>
      </c>
      <c r="B12192" t="s">
        <v>2126</v>
      </c>
      <c r="C12192">
        <v>40.5</v>
      </c>
      <c r="D12192">
        <v>134</v>
      </c>
      <c r="E12192">
        <f>IF(OR(B12192="vi",B12192="ii",B12192="pod"),(((D12192/100)*(C12192*VLOOKUP(B12192,'Poids des runes'!A:B,2,FALSE)))+1),(((D12192/100)*(C12192*VLOOKUP(B12192,'Poids des runes'!A:B,2,FALSE)))+1)/VLOOKUP(B12192,'Poids des runes'!A:B,2,FALSE))</f>
        <v>55.27</v>
      </c>
      <c r="F12192">
        <f t="shared" si="190"/>
        <v>55.27</v>
      </c>
    </row>
    <row r="12193" spans="1:6" x14ac:dyDescent="0.3">
      <c r="A12193" t="s">
        <v>1977</v>
      </c>
      <c r="B12193" t="s">
        <v>2127</v>
      </c>
      <c r="C12193">
        <v>40.5</v>
      </c>
      <c r="D12193">
        <v>134</v>
      </c>
      <c r="E12193">
        <f>IF(OR(B12193="vi",B12193="ii",B12193="pod"),(((D12193/100)*(C12193*VLOOKUP(B12193,'Poids des runes'!A:B,2,FALSE)))+1),(((D12193/100)*(C12193*VLOOKUP(B12193,'Poids des runes'!A:B,2,FALSE)))+1)/VLOOKUP(B12193,'Poids des runes'!A:B,2,FALSE))</f>
        <v>55.27</v>
      </c>
      <c r="F12193">
        <f t="shared" si="190"/>
        <v>55.27</v>
      </c>
    </row>
    <row r="12194" spans="1:6" x14ac:dyDescent="0.3">
      <c r="A12194" t="s">
        <v>1977</v>
      </c>
      <c r="B12194" t="s">
        <v>2129</v>
      </c>
      <c r="C12194">
        <v>25.5</v>
      </c>
      <c r="D12194">
        <v>134</v>
      </c>
      <c r="E12194">
        <f>IF(OR(B12194="vi",B12194="ii",B12194="pod"),(((D12194/100)*(C12194*VLOOKUP(B12194,'Poids des runes'!A:B,2,FALSE)))+1),(((D12194/100)*(C12194*VLOOKUP(B12194,'Poids des runes'!A:B,2,FALSE)))+1)/VLOOKUP(B12194,'Poids des runes'!A:B,2,FALSE))</f>
        <v>35.17</v>
      </c>
      <c r="F12194">
        <f t="shared" si="190"/>
        <v>35.17</v>
      </c>
    </row>
    <row r="12195" spans="1:6" x14ac:dyDescent="0.3">
      <c r="A12195" t="s">
        <v>1977</v>
      </c>
      <c r="B12195" t="s">
        <v>2151</v>
      </c>
      <c r="C12195">
        <v>2.5</v>
      </c>
      <c r="D12195">
        <v>134</v>
      </c>
      <c r="E12195">
        <f>IF(OR(B12195="vi",B12195="ii",B12195="pod"),(((D12195/100)*(C12195*VLOOKUP(B12195,'Poids des runes'!A:B,2,FALSE)))+1),(((D12195/100)*(C12195*VLOOKUP(B12195,'Poids des runes'!A:B,2,FALSE)))+1)/VLOOKUP(B12195,'Poids des runes'!A:B,2,FALSE))</f>
        <v>3.45</v>
      </c>
      <c r="F12195">
        <f t="shared" si="190"/>
        <v>3.45</v>
      </c>
    </row>
    <row r="12196" spans="1:6" x14ac:dyDescent="0.3">
      <c r="A12196" t="s">
        <v>1977</v>
      </c>
      <c r="B12196" t="s">
        <v>2150</v>
      </c>
      <c r="C12196">
        <v>1</v>
      </c>
      <c r="D12196">
        <v>134</v>
      </c>
      <c r="E12196">
        <f>IF(OR(B12196="vi",B12196="ii",B12196="pod"),(((D12196/100)*(C12196*VLOOKUP(B12196,'Poids des runes'!A:B,2,FALSE)))+1),(((D12196/100)*(C12196*VLOOKUP(B12196,'Poids des runes'!A:B,2,FALSE)))+1)/VLOOKUP(B12196,'Poids des runes'!A:B,2,FALSE))</f>
        <v>1.3733333333333335</v>
      </c>
      <c r="F12196">
        <f t="shared" si="190"/>
        <v>1.3733333333333335</v>
      </c>
    </row>
    <row r="12197" spans="1:6" x14ac:dyDescent="0.3">
      <c r="A12197" t="s">
        <v>1977</v>
      </c>
      <c r="B12197" t="s">
        <v>2140</v>
      </c>
      <c r="C12197">
        <v>6</v>
      </c>
      <c r="D12197">
        <v>134</v>
      </c>
      <c r="E12197">
        <f>IF(OR(B12197="vi",B12197="ii",B12197="pod"),(((D12197/100)*(C12197*VLOOKUP(B12197,'Poids des runes'!A:B,2,FALSE)))+1),(((D12197/100)*(C12197*VLOOKUP(B12197,'Poids des runes'!A:B,2,FALSE)))+1)/VLOOKUP(B12197,'Poids des runes'!A:B,2,FALSE))</f>
        <v>8.24</v>
      </c>
      <c r="F12197">
        <f t="shared" si="190"/>
        <v>8.24</v>
      </c>
    </row>
    <row r="12198" spans="1:6" x14ac:dyDescent="0.3">
      <c r="A12198" t="s">
        <v>1977</v>
      </c>
      <c r="B12198" t="s">
        <v>2153</v>
      </c>
      <c r="C12198">
        <v>6</v>
      </c>
      <c r="D12198">
        <v>134</v>
      </c>
      <c r="E12198">
        <f>IF(OR(B12198="vi",B12198="ii",B12198="pod"),(((D12198/100)*(C12198*VLOOKUP(B12198,'Poids des runes'!A:B,2,FALSE)))+1),(((D12198/100)*(C12198*VLOOKUP(B12198,'Poids des runes'!A:B,2,FALSE)))+1)/VLOOKUP(B12198,'Poids des runes'!A:B,2,FALSE))</f>
        <v>8.24</v>
      </c>
      <c r="F12198">
        <f t="shared" si="190"/>
        <v>8.24</v>
      </c>
    </row>
    <row r="12199" spans="1:6" x14ac:dyDescent="0.3">
      <c r="A12199" t="s">
        <v>1977</v>
      </c>
      <c r="B12199" t="s">
        <v>2161</v>
      </c>
      <c r="C12199">
        <v>13</v>
      </c>
      <c r="D12199">
        <v>134</v>
      </c>
      <c r="E12199">
        <f>IF(OR(B12199="vi",B12199="ii",B12199="pod"),(((D12199/100)*(C12199*VLOOKUP(B12199,'Poids des runes'!A:B,2,FALSE)))+1),(((D12199/100)*(C12199*VLOOKUP(B12199,'Poids des runes'!A:B,2,FALSE)))+1)/VLOOKUP(B12199,'Poids des runes'!A:B,2,FALSE))</f>
        <v>17.753333333333334</v>
      </c>
      <c r="F12199">
        <f t="shared" si="190"/>
        <v>17.753333333333334</v>
      </c>
    </row>
    <row r="12200" spans="1:6" x14ac:dyDescent="0.3">
      <c r="A12200" t="s">
        <v>1977</v>
      </c>
      <c r="B12200" t="s">
        <v>2135</v>
      </c>
      <c r="C12200">
        <v>4</v>
      </c>
      <c r="D12200">
        <v>134</v>
      </c>
      <c r="E12200">
        <f>IF(OR(B12200="vi",B12200="ii",B12200="pod"),(((D12200/100)*(C12200*VLOOKUP(B12200,'Poids des runes'!A:B,2,FALSE)))+1),(((D12200/100)*(C12200*VLOOKUP(B12200,'Poids des runes'!A:B,2,FALSE)))+1)/VLOOKUP(B12200,'Poids des runes'!A:B,2,FALSE))</f>
        <v>5.5266666666666673</v>
      </c>
      <c r="F12200">
        <f t="shared" si="190"/>
        <v>5.5266666666666673</v>
      </c>
    </row>
    <row r="12201" spans="1:6" x14ac:dyDescent="0.3">
      <c r="A12201" t="s">
        <v>1977</v>
      </c>
      <c r="B12201" t="s">
        <v>2145</v>
      </c>
      <c r="C12201">
        <v>6.5</v>
      </c>
      <c r="D12201">
        <v>134</v>
      </c>
      <c r="E12201">
        <f>IF(OR(B12201="vi",B12201="ii",B12201="pod"),(((D12201/100)*(C12201*VLOOKUP(B12201,'Poids des runes'!A:B,2,FALSE)))+1),(((D12201/100)*(C12201*VLOOKUP(B12201,'Poids des runes'!A:B,2,FALSE)))+1)/VLOOKUP(B12201,'Poids des runes'!A:B,2,FALSE))</f>
        <v>9.2100000000000009</v>
      </c>
      <c r="F12201">
        <f t="shared" si="190"/>
        <v>9.2100000000000009</v>
      </c>
    </row>
    <row r="12202" spans="1:6" x14ac:dyDescent="0.3">
      <c r="A12202" t="s">
        <v>1978</v>
      </c>
      <c r="B12202" t="s">
        <v>2128</v>
      </c>
      <c r="C12202">
        <v>125.5</v>
      </c>
      <c r="D12202">
        <v>134</v>
      </c>
      <c r="E12202">
        <f>IF(OR(B12202="vi",B12202="ii",B12202="pod"),(((D12202/100)*(C12202*VLOOKUP(B12202,'Poids des runes'!A:B,2,FALSE)))+1),(((D12202/100)*(C12202*VLOOKUP(B12202,'Poids des runes'!A:B,2,FALSE)))+1)/VLOOKUP(B12202,'Poids des runes'!A:B,2,FALSE))</f>
        <v>34.634000000000007</v>
      </c>
      <c r="F12202">
        <f t="shared" si="190"/>
        <v>34.634000000000007</v>
      </c>
    </row>
    <row r="12203" spans="1:6" x14ac:dyDescent="0.3">
      <c r="A12203" t="s">
        <v>1978</v>
      </c>
      <c r="B12203" t="s">
        <v>2131</v>
      </c>
      <c r="C12203">
        <v>35.5</v>
      </c>
      <c r="D12203">
        <v>134</v>
      </c>
      <c r="E12203">
        <f>IF(OR(B12203="vi",B12203="ii",B12203="pod"),(((D12203/100)*(C12203*VLOOKUP(B12203,'Poids des runes'!A:B,2,FALSE)))+1),(((D12203/100)*(C12203*VLOOKUP(B12203,'Poids des runes'!A:B,2,FALSE)))+1)/VLOOKUP(B12203,'Poids des runes'!A:B,2,FALSE))</f>
        <v>48.57</v>
      </c>
      <c r="F12203">
        <f t="shared" si="190"/>
        <v>48.57</v>
      </c>
    </row>
    <row r="12204" spans="1:6" x14ac:dyDescent="0.3">
      <c r="A12204" t="s">
        <v>1978</v>
      </c>
      <c r="B12204" t="s">
        <v>2127</v>
      </c>
      <c r="C12204">
        <v>35.5</v>
      </c>
      <c r="D12204">
        <v>134</v>
      </c>
      <c r="E12204">
        <f>IF(OR(B12204="vi",B12204="ii",B12204="pod"),(((D12204/100)*(C12204*VLOOKUP(B12204,'Poids des runes'!A:B,2,FALSE)))+1),(((D12204/100)*(C12204*VLOOKUP(B12204,'Poids des runes'!A:B,2,FALSE)))+1)/VLOOKUP(B12204,'Poids des runes'!A:B,2,FALSE))</f>
        <v>48.57</v>
      </c>
      <c r="F12204">
        <f t="shared" si="190"/>
        <v>48.57</v>
      </c>
    </row>
    <row r="12205" spans="1:6" x14ac:dyDescent="0.3">
      <c r="A12205" t="s">
        <v>1978</v>
      </c>
      <c r="B12205" t="s">
        <v>2129</v>
      </c>
      <c r="C12205">
        <v>20.5</v>
      </c>
      <c r="D12205">
        <v>134</v>
      </c>
      <c r="E12205">
        <f>IF(OR(B12205="vi",B12205="ii",B12205="pod"),(((D12205/100)*(C12205*VLOOKUP(B12205,'Poids des runes'!A:B,2,FALSE)))+1),(((D12205/100)*(C12205*VLOOKUP(B12205,'Poids des runes'!A:B,2,FALSE)))+1)/VLOOKUP(B12205,'Poids des runes'!A:B,2,FALSE))</f>
        <v>28.470000000000002</v>
      </c>
      <c r="F12205">
        <f t="shared" si="190"/>
        <v>28.470000000000002</v>
      </c>
    </row>
    <row r="12206" spans="1:6" x14ac:dyDescent="0.3">
      <c r="A12206" t="s">
        <v>1978</v>
      </c>
      <c r="B12206" t="s">
        <v>2151</v>
      </c>
      <c r="C12206">
        <v>4.5</v>
      </c>
      <c r="D12206">
        <v>134</v>
      </c>
      <c r="E12206">
        <f>IF(OR(B12206="vi",B12206="ii",B12206="pod"),(((D12206/100)*(C12206*VLOOKUP(B12206,'Poids des runes'!A:B,2,FALSE)))+1),(((D12206/100)*(C12206*VLOOKUP(B12206,'Poids des runes'!A:B,2,FALSE)))+1)/VLOOKUP(B12206,'Poids des runes'!A:B,2,FALSE))</f>
        <v>6.1300000000000008</v>
      </c>
      <c r="F12206">
        <f t="shared" si="190"/>
        <v>6.1300000000000008</v>
      </c>
    </row>
    <row r="12207" spans="1:6" x14ac:dyDescent="0.3">
      <c r="A12207" t="s">
        <v>1978</v>
      </c>
      <c r="B12207" t="s">
        <v>2150</v>
      </c>
      <c r="C12207">
        <v>1.5</v>
      </c>
      <c r="D12207">
        <v>134</v>
      </c>
      <c r="E12207">
        <f>IF(OR(B12207="vi",B12207="ii",B12207="pod"),(((D12207/100)*(C12207*VLOOKUP(B12207,'Poids des runes'!A:B,2,FALSE)))+1),(((D12207/100)*(C12207*VLOOKUP(B12207,'Poids des runes'!A:B,2,FALSE)))+1)/VLOOKUP(B12207,'Poids des runes'!A:B,2,FALSE))</f>
        <v>2.0433333333333334</v>
      </c>
      <c r="F12207">
        <f t="shared" si="190"/>
        <v>2.0433333333333334</v>
      </c>
    </row>
    <row r="12208" spans="1:6" x14ac:dyDescent="0.3">
      <c r="A12208" t="s">
        <v>1978</v>
      </c>
      <c r="B12208" t="s">
        <v>2133</v>
      </c>
      <c r="C12208">
        <v>7</v>
      </c>
      <c r="D12208">
        <v>134</v>
      </c>
      <c r="E12208">
        <f>IF(OR(B12208="vi",B12208="ii",B12208="pod"),(((D12208/100)*(C12208*VLOOKUP(B12208,'Poids des runes'!A:B,2,FALSE)))+1),(((D12208/100)*(C12208*VLOOKUP(B12208,'Poids des runes'!A:B,2,FALSE)))+1)/VLOOKUP(B12208,'Poids des runes'!A:B,2,FALSE))</f>
        <v>9.5800000000000018</v>
      </c>
      <c r="F12208">
        <f t="shared" si="190"/>
        <v>9.5800000000000018</v>
      </c>
    </row>
    <row r="12209" spans="1:6" x14ac:dyDescent="0.3">
      <c r="A12209" t="s">
        <v>1978</v>
      </c>
      <c r="B12209" t="s">
        <v>2153</v>
      </c>
      <c r="C12209">
        <v>7</v>
      </c>
      <c r="D12209">
        <v>134</v>
      </c>
      <c r="E12209">
        <f>IF(OR(B12209="vi",B12209="ii",B12209="pod"),(((D12209/100)*(C12209*VLOOKUP(B12209,'Poids des runes'!A:B,2,FALSE)))+1),(((D12209/100)*(C12209*VLOOKUP(B12209,'Poids des runes'!A:B,2,FALSE)))+1)/VLOOKUP(B12209,'Poids des runes'!A:B,2,FALSE))</f>
        <v>9.5800000000000018</v>
      </c>
      <c r="F12209">
        <f t="shared" si="190"/>
        <v>9.5800000000000018</v>
      </c>
    </row>
    <row r="12210" spans="1:6" x14ac:dyDescent="0.3">
      <c r="A12210" t="s">
        <v>1978</v>
      </c>
      <c r="B12210" t="s">
        <v>2149</v>
      </c>
      <c r="C12210">
        <v>8.5</v>
      </c>
      <c r="D12210">
        <v>134</v>
      </c>
      <c r="E12210">
        <f>IF(OR(B12210="vi",B12210="ii",B12210="pod"),(((D12210/100)*(C12210*VLOOKUP(B12210,'Poids des runes'!A:B,2,FALSE)))+1),(((D12210/100)*(C12210*VLOOKUP(B12210,'Poids des runes'!A:B,2,FALSE)))+1)/VLOOKUP(B12210,'Poids des runes'!A:B,2,FALSE))</f>
        <v>11.49</v>
      </c>
      <c r="F12210">
        <f t="shared" si="190"/>
        <v>11.49</v>
      </c>
    </row>
    <row r="12211" spans="1:6" x14ac:dyDescent="0.3">
      <c r="A12211" t="s">
        <v>1978</v>
      </c>
      <c r="B12211" t="s">
        <v>2161</v>
      </c>
      <c r="C12211">
        <v>13</v>
      </c>
      <c r="D12211">
        <v>134</v>
      </c>
      <c r="E12211">
        <f>IF(OR(B12211="vi",B12211="ii",B12211="pod"),(((D12211/100)*(C12211*VLOOKUP(B12211,'Poids des runes'!A:B,2,FALSE)))+1),(((D12211/100)*(C12211*VLOOKUP(B12211,'Poids des runes'!A:B,2,FALSE)))+1)/VLOOKUP(B12211,'Poids des runes'!A:B,2,FALSE))</f>
        <v>17.753333333333334</v>
      </c>
      <c r="F12211">
        <f t="shared" si="190"/>
        <v>17.753333333333334</v>
      </c>
    </row>
    <row r="12212" spans="1:6" x14ac:dyDescent="0.3">
      <c r="A12212" t="s">
        <v>1978</v>
      </c>
      <c r="B12212" t="s">
        <v>2160</v>
      </c>
      <c r="C12212">
        <v>3.5</v>
      </c>
      <c r="D12212">
        <v>134</v>
      </c>
      <c r="E12212">
        <f>IF(OR(B12212="vi",B12212="ii",B12212="pod"),(((D12212/100)*(C12212*VLOOKUP(B12212,'Poids des runes'!A:B,2,FALSE)))+1),(((D12212/100)*(C12212*VLOOKUP(B12212,'Poids des runes'!A:B,2,FALSE)))+1)/VLOOKUP(B12212,'Poids des runes'!A:B,2,FALSE))</f>
        <v>4.8328571428571436</v>
      </c>
      <c r="F12212">
        <f t="shared" si="190"/>
        <v>4.8328571428571436</v>
      </c>
    </row>
    <row r="12213" spans="1:6" x14ac:dyDescent="0.3">
      <c r="A12213" t="s">
        <v>1978</v>
      </c>
      <c r="B12213" t="s">
        <v>2147</v>
      </c>
      <c r="C12213">
        <v>8.5</v>
      </c>
      <c r="D12213">
        <v>134</v>
      </c>
      <c r="E12213">
        <f>IF(OR(B12213="vi",B12213="ii",B12213="pod"),(((D12213/100)*(C12213*VLOOKUP(B12213,'Poids des runes'!A:B,2,FALSE)))+1),(((D12213/100)*(C12213*VLOOKUP(B12213,'Poids des runes'!A:B,2,FALSE)))+1)/VLOOKUP(B12213,'Poids des runes'!A:B,2,FALSE))</f>
        <v>11.556666666666667</v>
      </c>
      <c r="F12213">
        <f t="shared" si="190"/>
        <v>11.556666666666667</v>
      </c>
    </row>
    <row r="12214" spans="1:6" x14ac:dyDescent="0.3">
      <c r="A12214" t="s">
        <v>1979</v>
      </c>
      <c r="B12214" t="s">
        <v>2128</v>
      </c>
      <c r="C12214">
        <v>225.5</v>
      </c>
      <c r="D12214">
        <v>135</v>
      </c>
      <c r="E12214">
        <f>IF(OR(B12214="vi",B12214="ii",B12214="pod"),(((D12214/100)*(C12214*VLOOKUP(B12214,'Poids des runes'!A:B,2,FALSE)))+1),(((D12214/100)*(C12214*VLOOKUP(B12214,'Poids des runes'!A:B,2,FALSE)))+1)/VLOOKUP(B12214,'Poids des runes'!A:B,2,FALSE))</f>
        <v>61.885000000000005</v>
      </c>
      <c r="F12214">
        <f t="shared" si="190"/>
        <v>61.885000000000005</v>
      </c>
    </row>
    <row r="12215" spans="1:6" x14ac:dyDescent="0.3">
      <c r="A12215" t="s">
        <v>1979</v>
      </c>
      <c r="B12215" t="s">
        <v>2131</v>
      </c>
      <c r="C12215">
        <v>40.5</v>
      </c>
      <c r="D12215">
        <v>135</v>
      </c>
      <c r="E12215">
        <f>IF(OR(B12215="vi",B12215="ii",B12215="pod"),(((D12215/100)*(C12215*VLOOKUP(B12215,'Poids des runes'!A:B,2,FALSE)))+1),(((D12215/100)*(C12215*VLOOKUP(B12215,'Poids des runes'!A:B,2,FALSE)))+1)/VLOOKUP(B12215,'Poids des runes'!A:B,2,FALSE))</f>
        <v>55.675000000000004</v>
      </c>
      <c r="F12215">
        <f t="shared" si="190"/>
        <v>55.675000000000004</v>
      </c>
    </row>
    <row r="12216" spans="1:6" x14ac:dyDescent="0.3">
      <c r="A12216" t="s">
        <v>1979</v>
      </c>
      <c r="B12216" t="s">
        <v>2127</v>
      </c>
      <c r="C12216">
        <v>40.5</v>
      </c>
      <c r="D12216">
        <v>135</v>
      </c>
      <c r="E12216">
        <f>IF(OR(B12216="vi",B12216="ii",B12216="pod"),(((D12216/100)*(C12216*VLOOKUP(B12216,'Poids des runes'!A:B,2,FALSE)))+1),(((D12216/100)*(C12216*VLOOKUP(B12216,'Poids des runes'!A:B,2,FALSE)))+1)/VLOOKUP(B12216,'Poids des runes'!A:B,2,FALSE))</f>
        <v>55.675000000000004</v>
      </c>
      <c r="F12216">
        <f t="shared" si="190"/>
        <v>55.675000000000004</v>
      </c>
    </row>
    <row r="12217" spans="1:6" x14ac:dyDescent="0.3">
      <c r="A12217" t="s">
        <v>1979</v>
      </c>
      <c r="B12217" t="s">
        <v>2129</v>
      </c>
      <c r="C12217">
        <v>20.5</v>
      </c>
      <c r="D12217">
        <v>135</v>
      </c>
      <c r="E12217">
        <f>IF(OR(B12217="vi",B12217="ii",B12217="pod"),(((D12217/100)*(C12217*VLOOKUP(B12217,'Poids des runes'!A:B,2,FALSE)))+1),(((D12217/100)*(C12217*VLOOKUP(B12217,'Poids des runes'!A:B,2,FALSE)))+1)/VLOOKUP(B12217,'Poids des runes'!A:B,2,FALSE))</f>
        <v>28.675000000000001</v>
      </c>
      <c r="F12217">
        <f t="shared" si="190"/>
        <v>28.675000000000001</v>
      </c>
    </row>
    <row r="12218" spans="1:6" x14ac:dyDescent="0.3">
      <c r="A12218" t="s">
        <v>1979</v>
      </c>
      <c r="B12218" t="s">
        <v>2155</v>
      </c>
      <c r="C12218">
        <v>1</v>
      </c>
      <c r="D12218">
        <v>135</v>
      </c>
      <c r="E12218">
        <f>IF(OR(B12218="vi",B12218="ii",B12218="pod"),(((D12218/100)*(C12218*VLOOKUP(B12218,'Poids des runes'!A:B,2,FALSE)))+1),(((D12218/100)*(C12218*VLOOKUP(B12218,'Poids des runes'!A:B,2,FALSE)))+1)/VLOOKUP(B12218,'Poids des runes'!A:B,2,FALSE))</f>
        <v>1.3696078431372551</v>
      </c>
      <c r="F12218">
        <f t="shared" si="190"/>
        <v>1.3696078431372551</v>
      </c>
    </row>
    <row r="12219" spans="1:6" x14ac:dyDescent="0.3">
      <c r="A12219" t="s">
        <v>1979</v>
      </c>
      <c r="B12219" t="s">
        <v>2156</v>
      </c>
      <c r="C12219">
        <v>6</v>
      </c>
      <c r="D12219">
        <v>135</v>
      </c>
      <c r="E12219">
        <f>IF(OR(B12219="vi",B12219="ii",B12219="pod"),(((D12219/100)*(C12219*VLOOKUP(B12219,'Poids des runes'!A:B,2,FALSE)))+1),(((D12219/100)*(C12219*VLOOKUP(B12219,'Poids des runes'!A:B,2,FALSE)))+1)/VLOOKUP(B12219,'Poids des runes'!A:B,2,FALSE))</f>
        <v>8.2666666666666675</v>
      </c>
      <c r="F12219">
        <f t="shared" si="190"/>
        <v>8.2666666666666675</v>
      </c>
    </row>
    <row r="12220" spans="1:6" x14ac:dyDescent="0.3">
      <c r="A12220" t="s">
        <v>1979</v>
      </c>
      <c r="B12220" t="s">
        <v>2136</v>
      </c>
      <c r="C12220">
        <v>6</v>
      </c>
      <c r="D12220">
        <v>135</v>
      </c>
      <c r="E12220">
        <f>IF(OR(B12220="vi",B12220="ii",B12220="pod"),(((D12220/100)*(C12220*VLOOKUP(B12220,'Poids des runes'!A:B,2,FALSE)))+1),(((D12220/100)*(C12220*VLOOKUP(B12220,'Poids des runes'!A:B,2,FALSE)))+1)/VLOOKUP(B12220,'Poids des runes'!A:B,2,FALSE))</f>
        <v>8.6000000000000014</v>
      </c>
      <c r="F12220">
        <f t="shared" si="190"/>
        <v>8.6000000000000014</v>
      </c>
    </row>
    <row r="12221" spans="1:6" x14ac:dyDescent="0.3">
      <c r="A12221" t="s">
        <v>1980</v>
      </c>
      <c r="B12221" t="s">
        <v>2128</v>
      </c>
      <c r="C12221">
        <v>175.5</v>
      </c>
      <c r="D12221">
        <v>135</v>
      </c>
      <c r="E12221">
        <f>IF(OR(B12221="vi",B12221="ii",B12221="pod"),(((D12221/100)*(C12221*VLOOKUP(B12221,'Poids des runes'!A:B,2,FALSE)))+1),(((D12221/100)*(C12221*VLOOKUP(B12221,'Poids des runes'!A:B,2,FALSE)))+1)/VLOOKUP(B12221,'Poids des runes'!A:B,2,FALSE))</f>
        <v>48.385000000000005</v>
      </c>
      <c r="F12221">
        <f t="shared" si="190"/>
        <v>48.385000000000005</v>
      </c>
    </row>
    <row r="12222" spans="1:6" x14ac:dyDescent="0.3">
      <c r="A12222" t="s">
        <v>1980</v>
      </c>
      <c r="B12222" t="s">
        <v>2130</v>
      </c>
      <c r="C12222">
        <v>40.5</v>
      </c>
      <c r="D12222">
        <v>135</v>
      </c>
      <c r="E12222">
        <f>IF(OR(B12222="vi",B12222="ii",B12222="pod"),(((D12222/100)*(C12222*VLOOKUP(B12222,'Poids des runes'!A:B,2,FALSE)))+1),(((D12222/100)*(C12222*VLOOKUP(B12222,'Poids des runes'!A:B,2,FALSE)))+1)/VLOOKUP(B12222,'Poids des runes'!A:B,2,FALSE))</f>
        <v>55.675000000000004</v>
      </c>
      <c r="F12222">
        <f t="shared" si="190"/>
        <v>55.675000000000004</v>
      </c>
    </row>
    <row r="12223" spans="1:6" x14ac:dyDescent="0.3">
      <c r="A12223" t="s">
        <v>1980</v>
      </c>
      <c r="B12223" t="s">
        <v>2127</v>
      </c>
      <c r="C12223">
        <v>40.5</v>
      </c>
      <c r="D12223">
        <v>135</v>
      </c>
      <c r="E12223">
        <f>IF(OR(B12223="vi",B12223="ii",B12223="pod"),(((D12223/100)*(C12223*VLOOKUP(B12223,'Poids des runes'!A:B,2,FALSE)))+1),(((D12223/100)*(C12223*VLOOKUP(B12223,'Poids des runes'!A:B,2,FALSE)))+1)/VLOOKUP(B12223,'Poids des runes'!A:B,2,FALSE))</f>
        <v>55.675000000000004</v>
      </c>
      <c r="F12223">
        <f t="shared" si="190"/>
        <v>55.675000000000004</v>
      </c>
    </row>
    <row r="12224" spans="1:6" x14ac:dyDescent="0.3">
      <c r="A12224" t="s">
        <v>1980</v>
      </c>
      <c r="B12224" t="s">
        <v>2132</v>
      </c>
      <c r="C12224">
        <v>300</v>
      </c>
      <c r="D12224">
        <v>135</v>
      </c>
      <c r="E12224">
        <f>IF(OR(B12224="vi",B12224="ii",B12224="pod"),(((D12224/100)*(C12224*VLOOKUP(B12224,'Poids des runes'!A:B,2,FALSE)))+1),(((D12224/100)*(C12224*VLOOKUP(B12224,'Poids des runes'!A:B,2,FALSE)))+1)/VLOOKUP(B12224,'Poids des runes'!A:B,2,FALSE))</f>
        <v>41.5</v>
      </c>
      <c r="F12224">
        <f t="shared" si="190"/>
        <v>41.5</v>
      </c>
    </row>
    <row r="12225" spans="1:6" x14ac:dyDescent="0.3">
      <c r="A12225" t="s">
        <v>1980</v>
      </c>
      <c r="B12225" t="s">
        <v>2156</v>
      </c>
      <c r="C12225">
        <v>6</v>
      </c>
      <c r="D12225">
        <v>135</v>
      </c>
      <c r="E12225">
        <f>IF(OR(B12225="vi",B12225="ii",B12225="pod"),(((D12225/100)*(C12225*VLOOKUP(B12225,'Poids des runes'!A:B,2,FALSE)))+1),(((D12225/100)*(C12225*VLOOKUP(B12225,'Poids des runes'!A:B,2,FALSE)))+1)/VLOOKUP(B12225,'Poids des runes'!A:B,2,FALSE))</f>
        <v>8.2666666666666675</v>
      </c>
      <c r="F12225">
        <f t="shared" si="190"/>
        <v>8.2666666666666675</v>
      </c>
    </row>
    <row r="12226" spans="1:6" x14ac:dyDescent="0.3">
      <c r="A12226" t="s">
        <v>1980</v>
      </c>
      <c r="B12226" t="s">
        <v>2147</v>
      </c>
      <c r="C12226">
        <v>6</v>
      </c>
      <c r="D12226">
        <v>135</v>
      </c>
      <c r="E12226">
        <f>IF(OR(B12226="vi",B12226="ii",B12226="pod"),(((D12226/100)*(C12226*VLOOKUP(B12226,'Poids des runes'!A:B,2,FALSE)))+1),(((D12226/100)*(C12226*VLOOKUP(B12226,'Poids des runes'!A:B,2,FALSE)))+1)/VLOOKUP(B12226,'Poids des runes'!A:B,2,FALSE))</f>
        <v>8.2666666666666675</v>
      </c>
      <c r="F12226">
        <f t="shared" si="190"/>
        <v>8.2666666666666675</v>
      </c>
    </row>
    <row r="12227" spans="1:6" x14ac:dyDescent="0.3">
      <c r="A12227" t="s">
        <v>1980</v>
      </c>
      <c r="B12227" t="s">
        <v>2135</v>
      </c>
      <c r="C12227">
        <v>6</v>
      </c>
      <c r="D12227">
        <v>135</v>
      </c>
      <c r="E12227">
        <f>IF(OR(B12227="vi",B12227="ii",B12227="pod"),(((D12227/100)*(C12227*VLOOKUP(B12227,'Poids des runes'!A:B,2,FALSE)))+1),(((D12227/100)*(C12227*VLOOKUP(B12227,'Poids des runes'!A:B,2,FALSE)))+1)/VLOOKUP(B12227,'Poids des runes'!A:B,2,FALSE))</f>
        <v>8.2666666666666675</v>
      </c>
      <c r="F12227">
        <f t="shared" ref="F12227:F12290" si="191">E12227</f>
        <v>8.2666666666666675</v>
      </c>
    </row>
    <row r="12228" spans="1:6" x14ac:dyDescent="0.3">
      <c r="A12228" t="s">
        <v>1981</v>
      </c>
      <c r="B12228" t="s">
        <v>2128</v>
      </c>
      <c r="C12228">
        <v>225.5</v>
      </c>
      <c r="D12228">
        <v>135</v>
      </c>
      <c r="E12228">
        <f>IF(OR(B12228="vi",B12228="ii",B12228="pod"),(((D12228/100)*(C12228*VLOOKUP(B12228,'Poids des runes'!A:B,2,FALSE)))+1),(((D12228/100)*(C12228*VLOOKUP(B12228,'Poids des runes'!A:B,2,FALSE)))+1)/VLOOKUP(B12228,'Poids des runes'!A:B,2,FALSE))</f>
        <v>61.885000000000005</v>
      </c>
      <c r="F12228">
        <f t="shared" si="191"/>
        <v>61.885000000000005</v>
      </c>
    </row>
    <row r="12229" spans="1:6" x14ac:dyDescent="0.3">
      <c r="A12229" t="s">
        <v>1981</v>
      </c>
      <c r="B12229" t="s">
        <v>2130</v>
      </c>
      <c r="C12229">
        <v>40.5</v>
      </c>
      <c r="D12229">
        <v>135</v>
      </c>
      <c r="E12229">
        <f>IF(OR(B12229="vi",B12229="ii",B12229="pod"),(((D12229/100)*(C12229*VLOOKUP(B12229,'Poids des runes'!A:B,2,FALSE)))+1),(((D12229/100)*(C12229*VLOOKUP(B12229,'Poids des runes'!A:B,2,FALSE)))+1)/VLOOKUP(B12229,'Poids des runes'!A:B,2,FALSE))</f>
        <v>55.675000000000004</v>
      </c>
      <c r="F12229">
        <f t="shared" si="191"/>
        <v>55.675000000000004</v>
      </c>
    </row>
    <row r="12230" spans="1:6" x14ac:dyDescent="0.3">
      <c r="A12230" t="s">
        <v>1981</v>
      </c>
      <c r="B12230" t="s">
        <v>2127</v>
      </c>
      <c r="C12230">
        <v>23</v>
      </c>
      <c r="D12230">
        <v>135</v>
      </c>
      <c r="E12230">
        <f>IF(OR(B12230="vi",B12230="ii",B12230="pod"),(((D12230/100)*(C12230*VLOOKUP(B12230,'Poids des runes'!A:B,2,FALSE)))+1),(((D12230/100)*(C12230*VLOOKUP(B12230,'Poids des runes'!A:B,2,FALSE)))+1)/VLOOKUP(B12230,'Poids des runes'!A:B,2,FALSE))</f>
        <v>32.049999999999997</v>
      </c>
      <c r="F12230">
        <f t="shared" si="191"/>
        <v>32.049999999999997</v>
      </c>
    </row>
    <row r="12231" spans="1:6" x14ac:dyDescent="0.3">
      <c r="A12231" t="s">
        <v>1981</v>
      </c>
      <c r="B12231" t="s">
        <v>2139</v>
      </c>
      <c r="C12231">
        <v>23</v>
      </c>
      <c r="D12231">
        <v>135</v>
      </c>
      <c r="E12231">
        <f>IF(OR(B12231="vi",B12231="ii",B12231="pod"),(((D12231/100)*(C12231*VLOOKUP(B12231,'Poids des runes'!A:B,2,FALSE)))+1),(((D12231/100)*(C12231*VLOOKUP(B12231,'Poids des runes'!A:B,2,FALSE)))+1)/VLOOKUP(B12231,'Poids des runes'!A:B,2,FALSE))</f>
        <v>31.55</v>
      </c>
      <c r="F12231">
        <f t="shared" si="191"/>
        <v>31.55</v>
      </c>
    </row>
    <row r="12232" spans="1:6" x14ac:dyDescent="0.3">
      <c r="A12232" t="s">
        <v>1981</v>
      </c>
      <c r="B12232" t="s">
        <v>2134</v>
      </c>
      <c r="C12232">
        <v>8</v>
      </c>
      <c r="D12232">
        <v>135</v>
      </c>
      <c r="E12232">
        <f>IF(OR(B12232="vi",B12232="ii",B12232="pod"),(((D12232/100)*(C12232*VLOOKUP(B12232,'Poids des runes'!A:B,2,FALSE)))+1),(((D12232/100)*(C12232*VLOOKUP(B12232,'Poids des runes'!A:B,2,FALSE)))+1)/VLOOKUP(B12232,'Poids des runes'!A:B,2,FALSE))</f>
        <v>10.85</v>
      </c>
      <c r="F12232">
        <f t="shared" si="191"/>
        <v>10.85</v>
      </c>
    </row>
    <row r="12233" spans="1:6" x14ac:dyDescent="0.3">
      <c r="A12233" t="s">
        <v>1981</v>
      </c>
      <c r="B12233" t="s">
        <v>2138</v>
      </c>
      <c r="C12233">
        <v>4.5</v>
      </c>
      <c r="D12233">
        <v>135</v>
      </c>
      <c r="E12233">
        <f>IF(OR(B12233="vi",B12233="ii",B12233="pod"),(((D12233/100)*(C12233*VLOOKUP(B12233,'Poids des runes'!A:B,2,FALSE)))+1),(((D12233/100)*(C12233*VLOOKUP(B12233,'Poids des runes'!A:B,2,FALSE)))+1)/VLOOKUP(B12233,'Poids des runes'!A:B,2,FALSE))</f>
        <v>6.3250000000000002</v>
      </c>
      <c r="F12233">
        <f t="shared" si="191"/>
        <v>6.3250000000000002</v>
      </c>
    </row>
    <row r="12234" spans="1:6" x14ac:dyDescent="0.3">
      <c r="A12234" t="s">
        <v>1981</v>
      </c>
      <c r="B12234" t="s">
        <v>2165</v>
      </c>
      <c r="C12234">
        <v>2.5</v>
      </c>
      <c r="D12234">
        <v>135</v>
      </c>
      <c r="E12234">
        <f>IF(OR(B12234="vi",B12234="ii",B12234="pod"),(((D12234/100)*(C12234*VLOOKUP(B12234,'Poids des runes'!A:B,2,FALSE)))+1),(((D12234/100)*(C12234*VLOOKUP(B12234,'Poids des runes'!A:B,2,FALSE)))+1)/VLOOKUP(B12234,'Poids des runes'!A:B,2,FALSE))</f>
        <v>3.5178571428571428</v>
      </c>
      <c r="F12234">
        <f t="shared" si="191"/>
        <v>3.5178571428571428</v>
      </c>
    </row>
    <row r="12235" spans="1:6" x14ac:dyDescent="0.3">
      <c r="A12235" t="s">
        <v>1981</v>
      </c>
      <c r="B12235" t="s">
        <v>2162</v>
      </c>
      <c r="C12235">
        <v>2.5</v>
      </c>
      <c r="D12235">
        <v>135</v>
      </c>
      <c r="E12235">
        <f>IF(OR(B12235="vi",B12235="ii",B12235="pod"),(((D12235/100)*(C12235*VLOOKUP(B12235,'Poids des runes'!A:B,2,FALSE)))+1),(((D12235/100)*(C12235*VLOOKUP(B12235,'Poids des runes'!A:B,2,FALSE)))+1)/VLOOKUP(B12235,'Poids des runes'!A:B,2,FALSE))</f>
        <v>3.5178571428571428</v>
      </c>
      <c r="F12235">
        <f t="shared" si="191"/>
        <v>3.5178571428571428</v>
      </c>
    </row>
    <row r="12236" spans="1:6" x14ac:dyDescent="0.3">
      <c r="A12236" t="s">
        <v>1981</v>
      </c>
      <c r="B12236" t="s">
        <v>2135</v>
      </c>
      <c r="C12236">
        <v>3.5</v>
      </c>
      <c r="D12236">
        <v>135</v>
      </c>
      <c r="E12236">
        <f>IF(OR(B12236="vi",B12236="ii",B12236="pod"),(((D12236/100)*(C12236*VLOOKUP(B12236,'Poids des runes'!A:B,2,FALSE)))+1),(((D12236/100)*(C12236*VLOOKUP(B12236,'Poids des runes'!A:B,2,FALSE)))+1)/VLOOKUP(B12236,'Poids des runes'!A:B,2,FALSE))</f>
        <v>4.8916666666666666</v>
      </c>
      <c r="F12236">
        <f t="shared" si="191"/>
        <v>4.8916666666666666</v>
      </c>
    </row>
    <row r="12237" spans="1:6" x14ac:dyDescent="0.3">
      <c r="A12237" t="s">
        <v>1981</v>
      </c>
      <c r="B12237" t="s">
        <v>2136</v>
      </c>
      <c r="C12237">
        <v>8</v>
      </c>
      <c r="D12237">
        <v>135</v>
      </c>
      <c r="E12237">
        <f>IF(OR(B12237="vi",B12237="ii",B12237="pod"),(((D12237/100)*(C12237*VLOOKUP(B12237,'Poids des runes'!A:B,2,FALSE)))+1),(((D12237/100)*(C12237*VLOOKUP(B12237,'Poids des runes'!A:B,2,FALSE)))+1)/VLOOKUP(B12237,'Poids des runes'!A:B,2,FALSE))</f>
        <v>11.3</v>
      </c>
      <c r="F12237">
        <f t="shared" si="191"/>
        <v>11.3</v>
      </c>
    </row>
    <row r="12238" spans="1:6" x14ac:dyDescent="0.3">
      <c r="A12238" t="s">
        <v>1981</v>
      </c>
      <c r="B12238" t="s">
        <v>2146</v>
      </c>
      <c r="C12238">
        <v>8</v>
      </c>
      <c r="D12238">
        <v>135</v>
      </c>
      <c r="E12238">
        <f>IF(OR(B12238="vi",B12238="ii",B12238="pod"),(((D12238/100)*(C12238*VLOOKUP(B12238,'Poids des runes'!A:B,2,FALSE)))+1),(((D12238/100)*(C12238*VLOOKUP(B12238,'Poids des runes'!A:B,2,FALSE)))+1)/VLOOKUP(B12238,'Poids des runes'!A:B,2,FALSE))</f>
        <v>11.3</v>
      </c>
      <c r="F12238">
        <f t="shared" si="191"/>
        <v>11.3</v>
      </c>
    </row>
    <row r="12239" spans="1:6" x14ac:dyDescent="0.3">
      <c r="A12239" t="s">
        <v>1982</v>
      </c>
      <c r="B12239" t="s">
        <v>2128</v>
      </c>
      <c r="C12239">
        <v>125.5</v>
      </c>
      <c r="D12239">
        <v>137</v>
      </c>
      <c r="E12239">
        <f>IF(OR(B12239="vi",B12239="ii",B12239="pod"),(((D12239/100)*(C12239*VLOOKUP(B12239,'Poids des runes'!A:B,2,FALSE)))+1),(((D12239/100)*(C12239*VLOOKUP(B12239,'Poids des runes'!A:B,2,FALSE)))+1)/VLOOKUP(B12239,'Poids des runes'!A:B,2,FALSE))</f>
        <v>35.387000000000008</v>
      </c>
      <c r="F12239">
        <f t="shared" si="191"/>
        <v>35.387000000000008</v>
      </c>
    </row>
    <row r="12240" spans="1:6" x14ac:dyDescent="0.3">
      <c r="A12240" t="s">
        <v>1982</v>
      </c>
      <c r="B12240" t="s">
        <v>2130</v>
      </c>
      <c r="C12240">
        <v>33</v>
      </c>
      <c r="D12240">
        <v>137</v>
      </c>
      <c r="E12240">
        <f>IF(OR(B12240="vi",B12240="ii",B12240="pod"),(((D12240/100)*(C12240*VLOOKUP(B12240,'Poids des runes'!A:B,2,FALSE)))+1),(((D12240/100)*(C12240*VLOOKUP(B12240,'Poids des runes'!A:B,2,FALSE)))+1)/VLOOKUP(B12240,'Poids des runes'!A:B,2,FALSE))</f>
        <v>46.21</v>
      </c>
      <c r="F12240">
        <f t="shared" si="191"/>
        <v>46.21</v>
      </c>
    </row>
    <row r="12241" spans="1:6" x14ac:dyDescent="0.3">
      <c r="A12241" t="s">
        <v>1982</v>
      </c>
      <c r="B12241" t="s">
        <v>2126</v>
      </c>
      <c r="C12241">
        <v>33</v>
      </c>
      <c r="D12241">
        <v>137</v>
      </c>
      <c r="E12241">
        <f>IF(OR(B12241="vi",B12241="ii",B12241="pod"),(((D12241/100)*(C12241*VLOOKUP(B12241,'Poids des runes'!A:B,2,FALSE)))+1),(((D12241/100)*(C12241*VLOOKUP(B12241,'Poids des runes'!A:B,2,FALSE)))+1)/VLOOKUP(B12241,'Poids des runes'!A:B,2,FALSE))</f>
        <v>46.21</v>
      </c>
      <c r="F12241">
        <f t="shared" si="191"/>
        <v>46.21</v>
      </c>
    </row>
    <row r="12242" spans="1:6" x14ac:dyDescent="0.3">
      <c r="A12242" t="s">
        <v>1982</v>
      </c>
      <c r="B12242" t="s">
        <v>2129</v>
      </c>
      <c r="C12242">
        <v>25.5</v>
      </c>
      <c r="D12242">
        <v>137</v>
      </c>
      <c r="E12242">
        <f>IF(OR(B12242="vi",B12242="ii",B12242="pod"),(((D12242/100)*(C12242*VLOOKUP(B12242,'Poids des runes'!A:B,2,FALSE)))+1),(((D12242/100)*(C12242*VLOOKUP(B12242,'Poids des runes'!A:B,2,FALSE)))+1)/VLOOKUP(B12242,'Poids des runes'!A:B,2,FALSE))</f>
        <v>35.935000000000002</v>
      </c>
      <c r="F12242">
        <f t="shared" si="191"/>
        <v>35.935000000000002</v>
      </c>
    </row>
    <row r="12243" spans="1:6" x14ac:dyDescent="0.3">
      <c r="A12243" t="s">
        <v>1982</v>
      </c>
      <c r="B12243" t="s">
        <v>2161</v>
      </c>
      <c r="C12243">
        <v>8</v>
      </c>
      <c r="D12243">
        <v>137</v>
      </c>
      <c r="E12243">
        <f>IF(OR(B12243="vi",B12243="ii",B12243="pod"),(((D12243/100)*(C12243*VLOOKUP(B12243,'Poids des runes'!A:B,2,FALSE)))+1),(((D12243/100)*(C12243*VLOOKUP(B12243,'Poids des runes'!A:B,2,FALSE)))+1)/VLOOKUP(B12243,'Poids des runes'!A:B,2,FALSE))</f>
        <v>11.293333333333335</v>
      </c>
      <c r="F12243">
        <f t="shared" si="191"/>
        <v>11.293333333333335</v>
      </c>
    </row>
    <row r="12244" spans="1:6" x14ac:dyDescent="0.3">
      <c r="A12244" t="s">
        <v>1982</v>
      </c>
      <c r="B12244" t="s">
        <v>2148</v>
      </c>
      <c r="C12244">
        <v>8</v>
      </c>
      <c r="D12244">
        <v>137</v>
      </c>
      <c r="E12244">
        <f>IF(OR(B12244="vi",B12244="ii",B12244="pod"),(((D12244/100)*(C12244*VLOOKUP(B12244,'Poids des runes'!A:B,2,FALSE)))+1),(((D12244/100)*(C12244*VLOOKUP(B12244,'Poids des runes'!A:B,2,FALSE)))+1)/VLOOKUP(B12244,'Poids des runes'!A:B,2,FALSE))</f>
        <v>11.126666666666667</v>
      </c>
      <c r="F12244">
        <f t="shared" si="191"/>
        <v>11.126666666666667</v>
      </c>
    </row>
    <row r="12245" spans="1:6" x14ac:dyDescent="0.3">
      <c r="A12245" t="s">
        <v>1982</v>
      </c>
      <c r="B12245" t="s">
        <v>2147</v>
      </c>
      <c r="C12245">
        <v>8</v>
      </c>
      <c r="D12245">
        <v>137</v>
      </c>
      <c r="E12245">
        <f>IF(OR(B12245="vi",B12245="ii",B12245="pod"),(((D12245/100)*(C12245*VLOOKUP(B12245,'Poids des runes'!A:B,2,FALSE)))+1),(((D12245/100)*(C12245*VLOOKUP(B12245,'Poids des runes'!A:B,2,FALSE)))+1)/VLOOKUP(B12245,'Poids des runes'!A:B,2,FALSE))</f>
        <v>11.126666666666667</v>
      </c>
      <c r="F12245">
        <f t="shared" si="191"/>
        <v>11.126666666666667</v>
      </c>
    </row>
    <row r="12246" spans="1:6" x14ac:dyDescent="0.3">
      <c r="A12246" t="s">
        <v>1983</v>
      </c>
      <c r="B12246" t="s">
        <v>2128</v>
      </c>
      <c r="C12246">
        <v>175.5</v>
      </c>
      <c r="D12246">
        <v>137</v>
      </c>
      <c r="E12246">
        <f>IF(OR(B12246="vi",B12246="ii",B12246="pod"),(((D12246/100)*(C12246*VLOOKUP(B12246,'Poids des runes'!A:B,2,FALSE)))+1),(((D12246/100)*(C12246*VLOOKUP(B12246,'Poids des runes'!A:B,2,FALSE)))+1)/VLOOKUP(B12246,'Poids des runes'!A:B,2,FALSE))</f>
        <v>49.087000000000003</v>
      </c>
      <c r="F12246">
        <f t="shared" si="191"/>
        <v>49.087000000000003</v>
      </c>
    </row>
    <row r="12247" spans="1:6" x14ac:dyDescent="0.3">
      <c r="A12247" t="s">
        <v>1983</v>
      </c>
      <c r="B12247" t="s">
        <v>2131</v>
      </c>
      <c r="C12247">
        <v>33</v>
      </c>
      <c r="D12247">
        <v>137</v>
      </c>
      <c r="E12247">
        <f>IF(OR(B12247="vi",B12247="ii",B12247="pod"),(((D12247/100)*(C12247*VLOOKUP(B12247,'Poids des runes'!A:B,2,FALSE)))+1),(((D12247/100)*(C12247*VLOOKUP(B12247,'Poids des runes'!A:B,2,FALSE)))+1)/VLOOKUP(B12247,'Poids des runes'!A:B,2,FALSE))</f>
        <v>46.21</v>
      </c>
      <c r="F12247">
        <f t="shared" si="191"/>
        <v>46.21</v>
      </c>
    </row>
    <row r="12248" spans="1:6" x14ac:dyDescent="0.3">
      <c r="A12248" t="s">
        <v>1983</v>
      </c>
      <c r="B12248" t="s">
        <v>2127</v>
      </c>
      <c r="C12248">
        <v>33</v>
      </c>
      <c r="D12248">
        <v>137</v>
      </c>
      <c r="E12248">
        <f>IF(OR(B12248="vi",B12248="ii",B12248="pod"),(((D12248/100)*(C12248*VLOOKUP(B12248,'Poids des runes'!A:B,2,FALSE)))+1),(((D12248/100)*(C12248*VLOOKUP(B12248,'Poids des runes'!A:B,2,FALSE)))+1)/VLOOKUP(B12248,'Poids des runes'!A:B,2,FALSE))</f>
        <v>46.21</v>
      </c>
      <c r="F12248">
        <f t="shared" si="191"/>
        <v>46.21</v>
      </c>
    </row>
    <row r="12249" spans="1:6" x14ac:dyDescent="0.3">
      <c r="A12249" t="s">
        <v>1983</v>
      </c>
      <c r="B12249" t="s">
        <v>2129</v>
      </c>
      <c r="C12249">
        <v>33</v>
      </c>
      <c r="D12249">
        <v>137</v>
      </c>
      <c r="E12249">
        <f>IF(OR(B12249="vi",B12249="ii",B12249="pod"),(((D12249/100)*(C12249*VLOOKUP(B12249,'Poids des runes'!A:B,2,FALSE)))+1),(((D12249/100)*(C12249*VLOOKUP(B12249,'Poids des runes'!A:B,2,FALSE)))+1)/VLOOKUP(B12249,'Poids des runes'!A:B,2,FALSE))</f>
        <v>46.21</v>
      </c>
      <c r="F12249">
        <f t="shared" si="191"/>
        <v>46.21</v>
      </c>
    </row>
    <row r="12250" spans="1:6" x14ac:dyDescent="0.3">
      <c r="A12250" t="s">
        <v>1983</v>
      </c>
      <c r="B12250" t="s">
        <v>2139</v>
      </c>
      <c r="C12250">
        <v>8</v>
      </c>
      <c r="D12250">
        <v>137</v>
      </c>
      <c r="E12250">
        <f>IF(OR(B12250="vi",B12250="ii",B12250="pod"),(((D12250/100)*(C12250*VLOOKUP(B12250,'Poids des runes'!A:B,2,FALSE)))+1),(((D12250/100)*(C12250*VLOOKUP(B12250,'Poids des runes'!A:B,2,FALSE)))+1)/VLOOKUP(B12250,'Poids des runes'!A:B,2,FALSE))</f>
        <v>11.46</v>
      </c>
      <c r="F12250">
        <f t="shared" si="191"/>
        <v>11.46</v>
      </c>
    </row>
    <row r="12251" spans="1:6" x14ac:dyDescent="0.3">
      <c r="A12251" t="s">
        <v>1983</v>
      </c>
      <c r="B12251" t="s">
        <v>2151</v>
      </c>
      <c r="C12251">
        <v>4.5</v>
      </c>
      <c r="D12251">
        <v>137</v>
      </c>
      <c r="E12251">
        <f>IF(OR(B12251="vi",B12251="ii",B12251="pod"),(((D12251/100)*(C12251*VLOOKUP(B12251,'Poids des runes'!A:B,2,FALSE)))+1),(((D12251/100)*(C12251*VLOOKUP(B12251,'Poids des runes'!A:B,2,FALSE)))+1)/VLOOKUP(B12251,'Poids des runes'!A:B,2,FALSE))</f>
        <v>6.2650000000000006</v>
      </c>
      <c r="F12251">
        <f t="shared" si="191"/>
        <v>6.2650000000000006</v>
      </c>
    </row>
    <row r="12252" spans="1:6" x14ac:dyDescent="0.3">
      <c r="A12252" t="s">
        <v>1983</v>
      </c>
      <c r="B12252" t="s">
        <v>2134</v>
      </c>
      <c r="C12252">
        <v>4.5</v>
      </c>
      <c r="D12252">
        <v>137</v>
      </c>
      <c r="E12252">
        <f>IF(OR(B12252="vi",B12252="ii",B12252="pod"),(((D12252/100)*(C12252*VLOOKUP(B12252,'Poids des runes'!A:B,2,FALSE)))+1),(((D12252/100)*(C12252*VLOOKUP(B12252,'Poids des runes'!A:B,2,FALSE)))+1)/VLOOKUP(B12252,'Poids des runes'!A:B,2,FALSE))</f>
        <v>6.2150000000000007</v>
      </c>
      <c r="F12252">
        <f t="shared" si="191"/>
        <v>6.2150000000000007</v>
      </c>
    </row>
    <row r="12253" spans="1:6" x14ac:dyDescent="0.3">
      <c r="A12253" t="s">
        <v>1983</v>
      </c>
      <c r="B12253" t="s">
        <v>2161</v>
      </c>
      <c r="C12253">
        <v>15.5</v>
      </c>
      <c r="D12253">
        <v>137</v>
      </c>
      <c r="E12253">
        <f>IF(OR(B12253="vi",B12253="ii",B12253="pod"),(((D12253/100)*(C12253*VLOOKUP(B12253,'Poids des runes'!A:B,2,FALSE)))+1),(((D12253/100)*(C12253*VLOOKUP(B12253,'Poids des runes'!A:B,2,FALSE)))+1)/VLOOKUP(B12253,'Poids des runes'!A:B,2,FALSE))</f>
        <v>21.568333333333339</v>
      </c>
      <c r="F12253">
        <f t="shared" si="191"/>
        <v>21.568333333333339</v>
      </c>
    </row>
    <row r="12254" spans="1:6" x14ac:dyDescent="0.3">
      <c r="A12254" t="s">
        <v>1983</v>
      </c>
      <c r="B12254" t="s">
        <v>2157</v>
      </c>
      <c r="C12254">
        <v>6</v>
      </c>
      <c r="D12254">
        <v>137</v>
      </c>
      <c r="E12254">
        <f>IF(OR(B12254="vi",B12254="ii",B12254="pod"),(((D12254/100)*(C12254*VLOOKUP(B12254,'Poids des runes'!A:B,2,FALSE)))+1),(((D12254/100)*(C12254*VLOOKUP(B12254,'Poids des runes'!A:B,2,FALSE)))+1)/VLOOKUP(B12254,'Poids des runes'!A:B,2,FALSE))</f>
        <v>8.3866666666666685</v>
      </c>
      <c r="F12254">
        <f t="shared" si="191"/>
        <v>8.3866666666666685</v>
      </c>
    </row>
    <row r="12255" spans="1:6" x14ac:dyDescent="0.3">
      <c r="A12255" t="s">
        <v>1983</v>
      </c>
      <c r="B12255" t="s">
        <v>2146</v>
      </c>
      <c r="C12255">
        <v>6</v>
      </c>
      <c r="D12255">
        <v>137</v>
      </c>
      <c r="E12255">
        <f>IF(OR(B12255="vi",B12255="ii",B12255="pod"),(((D12255/100)*(C12255*VLOOKUP(B12255,'Poids des runes'!A:B,2,FALSE)))+1),(((D12255/100)*(C12255*VLOOKUP(B12255,'Poids des runes'!A:B,2,FALSE)))+1)/VLOOKUP(B12255,'Poids des runes'!A:B,2,FALSE))</f>
        <v>8.7200000000000006</v>
      </c>
      <c r="F12255">
        <f t="shared" si="191"/>
        <v>8.7200000000000006</v>
      </c>
    </row>
    <row r="12256" spans="1:6" x14ac:dyDescent="0.3">
      <c r="A12256" t="s">
        <v>1984</v>
      </c>
      <c r="B12256" t="s">
        <v>2128</v>
      </c>
      <c r="C12256">
        <v>175.5</v>
      </c>
      <c r="D12256">
        <v>138</v>
      </c>
      <c r="E12256">
        <f>IF(OR(B12256="vi",B12256="ii",B12256="pod"),(((D12256/100)*(C12256*VLOOKUP(B12256,'Poids des runes'!A:B,2,FALSE)))+1),(((D12256/100)*(C12256*VLOOKUP(B12256,'Poids des runes'!A:B,2,FALSE)))+1)/VLOOKUP(B12256,'Poids des runes'!A:B,2,FALSE))</f>
        <v>49.437999999999995</v>
      </c>
      <c r="F12256">
        <f t="shared" si="191"/>
        <v>49.437999999999995</v>
      </c>
    </row>
    <row r="12257" spans="1:6" x14ac:dyDescent="0.3">
      <c r="A12257" t="s">
        <v>1984</v>
      </c>
      <c r="B12257" t="s">
        <v>2130</v>
      </c>
      <c r="C12257">
        <v>28</v>
      </c>
      <c r="D12257">
        <v>138</v>
      </c>
      <c r="E12257">
        <f>IF(OR(B12257="vi",B12257="ii",B12257="pod"),(((D12257/100)*(C12257*VLOOKUP(B12257,'Poids des runes'!A:B,2,FALSE)))+1),(((D12257/100)*(C12257*VLOOKUP(B12257,'Poids des runes'!A:B,2,FALSE)))+1)/VLOOKUP(B12257,'Poids des runes'!A:B,2,FALSE))</f>
        <v>39.64</v>
      </c>
      <c r="F12257">
        <f t="shared" si="191"/>
        <v>39.64</v>
      </c>
    </row>
    <row r="12258" spans="1:6" x14ac:dyDescent="0.3">
      <c r="A12258" t="s">
        <v>1984</v>
      </c>
      <c r="B12258" t="s">
        <v>2126</v>
      </c>
      <c r="C12258">
        <v>28</v>
      </c>
      <c r="D12258">
        <v>138</v>
      </c>
      <c r="E12258">
        <f>IF(OR(B12258="vi",B12258="ii",B12258="pod"),(((D12258/100)*(C12258*VLOOKUP(B12258,'Poids des runes'!A:B,2,FALSE)))+1),(((D12258/100)*(C12258*VLOOKUP(B12258,'Poids des runes'!A:B,2,FALSE)))+1)/VLOOKUP(B12258,'Poids des runes'!A:B,2,FALSE))</f>
        <v>39.64</v>
      </c>
      <c r="F12258">
        <f t="shared" si="191"/>
        <v>39.64</v>
      </c>
    </row>
    <row r="12259" spans="1:6" x14ac:dyDescent="0.3">
      <c r="A12259" t="s">
        <v>1984</v>
      </c>
      <c r="B12259" t="s">
        <v>2131</v>
      </c>
      <c r="C12259">
        <v>28</v>
      </c>
      <c r="D12259">
        <v>138</v>
      </c>
      <c r="E12259">
        <f>IF(OR(B12259="vi",B12259="ii",B12259="pod"),(((D12259/100)*(C12259*VLOOKUP(B12259,'Poids des runes'!A:B,2,FALSE)))+1),(((D12259/100)*(C12259*VLOOKUP(B12259,'Poids des runes'!A:B,2,FALSE)))+1)/VLOOKUP(B12259,'Poids des runes'!A:B,2,FALSE))</f>
        <v>39.64</v>
      </c>
      <c r="F12259">
        <f t="shared" si="191"/>
        <v>39.64</v>
      </c>
    </row>
    <row r="12260" spans="1:6" x14ac:dyDescent="0.3">
      <c r="A12260" t="s">
        <v>1984</v>
      </c>
      <c r="B12260" t="s">
        <v>2127</v>
      </c>
      <c r="C12260">
        <v>28</v>
      </c>
      <c r="D12260">
        <v>138</v>
      </c>
      <c r="E12260">
        <f>IF(OR(B12260="vi",B12260="ii",B12260="pod"),(((D12260/100)*(C12260*VLOOKUP(B12260,'Poids des runes'!A:B,2,FALSE)))+1),(((D12260/100)*(C12260*VLOOKUP(B12260,'Poids des runes'!A:B,2,FALSE)))+1)/VLOOKUP(B12260,'Poids des runes'!A:B,2,FALSE))</f>
        <v>39.64</v>
      </c>
      <c r="F12260">
        <f t="shared" si="191"/>
        <v>39.64</v>
      </c>
    </row>
    <row r="12261" spans="1:6" x14ac:dyDescent="0.3">
      <c r="A12261" t="s">
        <v>1984</v>
      </c>
      <c r="B12261" t="s">
        <v>2129</v>
      </c>
      <c r="C12261">
        <v>30.5</v>
      </c>
      <c r="D12261">
        <v>138</v>
      </c>
      <c r="E12261">
        <f>IF(OR(B12261="vi",B12261="ii",B12261="pod"),(((D12261/100)*(C12261*VLOOKUP(B12261,'Poids des runes'!A:B,2,FALSE)))+1),(((D12261/100)*(C12261*VLOOKUP(B12261,'Poids des runes'!A:B,2,FALSE)))+1)/VLOOKUP(B12261,'Poids des runes'!A:B,2,FALSE))</f>
        <v>43.089999999999996</v>
      </c>
      <c r="F12261">
        <f t="shared" si="191"/>
        <v>43.089999999999996</v>
      </c>
    </row>
    <row r="12262" spans="1:6" x14ac:dyDescent="0.3">
      <c r="A12262" t="s">
        <v>1984</v>
      </c>
      <c r="B12262" t="s">
        <v>2149</v>
      </c>
      <c r="C12262">
        <v>6</v>
      </c>
      <c r="D12262">
        <v>138</v>
      </c>
      <c r="E12262">
        <f>IF(OR(B12262="vi",B12262="ii",B12262="pod"),(((D12262/100)*(C12262*VLOOKUP(B12262,'Poids des runes'!A:B,2,FALSE)))+1),(((D12262/100)*(C12262*VLOOKUP(B12262,'Poids des runes'!A:B,2,FALSE)))+1)/VLOOKUP(B12262,'Poids des runes'!A:B,2,FALSE))</f>
        <v>8.379999999999999</v>
      </c>
      <c r="F12262">
        <f t="shared" si="191"/>
        <v>8.379999999999999</v>
      </c>
    </row>
    <row r="12263" spans="1:6" x14ac:dyDescent="0.3">
      <c r="A12263" t="s">
        <v>1984</v>
      </c>
      <c r="B12263" t="s">
        <v>2161</v>
      </c>
      <c r="C12263">
        <v>8</v>
      </c>
      <c r="D12263">
        <v>138</v>
      </c>
      <c r="E12263">
        <f>IF(OR(B12263="vi",B12263="ii",B12263="pod"),(((D12263/100)*(C12263*VLOOKUP(B12263,'Poids des runes'!A:B,2,FALSE)))+1),(((D12263/100)*(C12263*VLOOKUP(B12263,'Poids des runes'!A:B,2,FALSE)))+1)/VLOOKUP(B12263,'Poids des runes'!A:B,2,FALSE))</f>
        <v>11.373333333333333</v>
      </c>
      <c r="F12263">
        <f t="shared" si="191"/>
        <v>11.373333333333333</v>
      </c>
    </row>
    <row r="12264" spans="1:6" x14ac:dyDescent="0.3">
      <c r="A12264" t="s">
        <v>1984</v>
      </c>
      <c r="B12264" t="s">
        <v>2144</v>
      </c>
      <c r="C12264">
        <v>7</v>
      </c>
      <c r="D12264">
        <v>138</v>
      </c>
      <c r="E12264">
        <f>IF(OR(B12264="vi",B12264="ii",B12264="pod"),(((D12264/100)*(C12264*VLOOKUP(B12264,'Poids des runes'!A:B,2,FALSE)))+1),(((D12264/100)*(C12264*VLOOKUP(B12264,'Poids des runes'!A:B,2,FALSE)))+1)/VLOOKUP(B12264,'Poids des runes'!A:B,2,FALSE))</f>
        <v>10.16</v>
      </c>
      <c r="F12264">
        <f t="shared" si="191"/>
        <v>10.16</v>
      </c>
    </row>
    <row r="12265" spans="1:6" x14ac:dyDescent="0.3">
      <c r="A12265" t="s">
        <v>1984</v>
      </c>
      <c r="B12265" t="s">
        <v>2146</v>
      </c>
      <c r="C12265">
        <v>7</v>
      </c>
      <c r="D12265">
        <v>138</v>
      </c>
      <c r="E12265">
        <f>IF(OR(B12265="vi",B12265="ii",B12265="pod"),(((D12265/100)*(C12265*VLOOKUP(B12265,'Poids des runes'!A:B,2,FALSE)))+1),(((D12265/100)*(C12265*VLOOKUP(B12265,'Poids des runes'!A:B,2,FALSE)))+1)/VLOOKUP(B12265,'Poids des runes'!A:B,2,FALSE))</f>
        <v>10.16</v>
      </c>
      <c r="F12265">
        <f t="shared" si="191"/>
        <v>10.16</v>
      </c>
    </row>
    <row r="12266" spans="1:6" x14ac:dyDescent="0.3">
      <c r="A12266" t="s">
        <v>1985</v>
      </c>
      <c r="B12266" t="s">
        <v>2128</v>
      </c>
      <c r="C12266">
        <v>125.5</v>
      </c>
      <c r="D12266">
        <v>138</v>
      </c>
      <c r="E12266">
        <f>IF(OR(B12266="vi",B12266="ii",B12266="pod"),(((D12266/100)*(C12266*VLOOKUP(B12266,'Poids des runes'!A:B,2,FALSE)))+1),(((D12266/100)*(C12266*VLOOKUP(B12266,'Poids des runes'!A:B,2,FALSE)))+1)/VLOOKUP(B12266,'Poids des runes'!A:B,2,FALSE))</f>
        <v>35.637999999999998</v>
      </c>
      <c r="F12266">
        <f t="shared" si="191"/>
        <v>35.637999999999998</v>
      </c>
    </row>
    <row r="12267" spans="1:6" x14ac:dyDescent="0.3">
      <c r="A12267" t="s">
        <v>1985</v>
      </c>
      <c r="B12267" t="s">
        <v>2130</v>
      </c>
      <c r="C12267">
        <v>40.5</v>
      </c>
      <c r="D12267">
        <v>138</v>
      </c>
      <c r="E12267">
        <f>IF(OR(B12267="vi",B12267="ii",B12267="pod"),(((D12267/100)*(C12267*VLOOKUP(B12267,'Poids des runes'!A:B,2,FALSE)))+1),(((D12267/100)*(C12267*VLOOKUP(B12267,'Poids des runes'!A:B,2,FALSE)))+1)/VLOOKUP(B12267,'Poids des runes'!A:B,2,FALSE))</f>
        <v>56.889999999999993</v>
      </c>
      <c r="F12267">
        <f t="shared" si="191"/>
        <v>56.889999999999993</v>
      </c>
    </row>
    <row r="12268" spans="1:6" x14ac:dyDescent="0.3">
      <c r="A12268" t="s">
        <v>1985</v>
      </c>
      <c r="B12268" t="s">
        <v>2131</v>
      </c>
      <c r="C12268">
        <v>40.5</v>
      </c>
      <c r="D12268">
        <v>138</v>
      </c>
      <c r="E12268">
        <f>IF(OR(B12268="vi",B12268="ii",B12268="pod"),(((D12268/100)*(C12268*VLOOKUP(B12268,'Poids des runes'!A:B,2,FALSE)))+1),(((D12268/100)*(C12268*VLOOKUP(B12268,'Poids des runes'!A:B,2,FALSE)))+1)/VLOOKUP(B12268,'Poids des runes'!A:B,2,FALSE))</f>
        <v>56.889999999999993</v>
      </c>
      <c r="F12268">
        <f t="shared" si="191"/>
        <v>56.889999999999993</v>
      </c>
    </row>
    <row r="12269" spans="1:6" x14ac:dyDescent="0.3">
      <c r="A12269" t="s">
        <v>1985</v>
      </c>
      <c r="B12269" t="s">
        <v>2129</v>
      </c>
      <c r="C12269">
        <v>25.5</v>
      </c>
      <c r="D12269">
        <v>138</v>
      </c>
      <c r="E12269">
        <f>IF(OR(B12269="vi",B12269="ii",B12269="pod"),(((D12269/100)*(C12269*VLOOKUP(B12269,'Poids des runes'!A:B,2,FALSE)))+1),(((D12269/100)*(C12269*VLOOKUP(B12269,'Poids des runes'!A:B,2,FALSE)))+1)/VLOOKUP(B12269,'Poids des runes'!A:B,2,FALSE))</f>
        <v>36.19</v>
      </c>
      <c r="F12269">
        <f t="shared" si="191"/>
        <v>36.19</v>
      </c>
    </row>
    <row r="12270" spans="1:6" x14ac:dyDescent="0.3">
      <c r="A12270" t="s">
        <v>1985</v>
      </c>
      <c r="B12270" t="s">
        <v>2150</v>
      </c>
      <c r="C12270">
        <v>1</v>
      </c>
      <c r="D12270">
        <v>138</v>
      </c>
      <c r="E12270">
        <f>IF(OR(B12270="vi",B12270="ii",B12270="pod"),(((D12270/100)*(C12270*VLOOKUP(B12270,'Poids des runes'!A:B,2,FALSE)))+1),(((D12270/100)*(C12270*VLOOKUP(B12270,'Poids des runes'!A:B,2,FALSE)))+1)/VLOOKUP(B12270,'Poids des runes'!A:B,2,FALSE))</f>
        <v>1.4133333333333333</v>
      </c>
      <c r="F12270">
        <f t="shared" si="191"/>
        <v>1.4133333333333333</v>
      </c>
    </row>
    <row r="12271" spans="1:6" x14ac:dyDescent="0.3">
      <c r="A12271" t="s">
        <v>1985</v>
      </c>
      <c r="B12271" t="s">
        <v>2134</v>
      </c>
      <c r="C12271">
        <v>6</v>
      </c>
      <c r="D12271">
        <v>138</v>
      </c>
      <c r="E12271">
        <f>IF(OR(B12271="vi",B12271="ii",B12271="pod"),(((D12271/100)*(C12271*VLOOKUP(B12271,'Poids des runes'!A:B,2,FALSE)))+1),(((D12271/100)*(C12271*VLOOKUP(B12271,'Poids des runes'!A:B,2,FALSE)))+1)/VLOOKUP(B12271,'Poids des runes'!A:B,2,FALSE))</f>
        <v>8.33</v>
      </c>
      <c r="F12271">
        <f t="shared" si="191"/>
        <v>8.33</v>
      </c>
    </row>
    <row r="12272" spans="1:6" x14ac:dyDescent="0.3">
      <c r="A12272" t="s">
        <v>1985</v>
      </c>
      <c r="B12272" t="s">
        <v>2161</v>
      </c>
      <c r="C12272">
        <v>15.5</v>
      </c>
      <c r="D12272">
        <v>138</v>
      </c>
      <c r="E12272">
        <f>IF(OR(B12272="vi",B12272="ii",B12272="pod"),(((D12272/100)*(C12272*VLOOKUP(B12272,'Poids des runes'!A:B,2,FALSE)))+1),(((D12272/100)*(C12272*VLOOKUP(B12272,'Poids des runes'!A:B,2,FALSE)))+1)/VLOOKUP(B12272,'Poids des runes'!A:B,2,FALSE))</f>
        <v>21.723333333333333</v>
      </c>
      <c r="F12272">
        <f t="shared" si="191"/>
        <v>21.723333333333333</v>
      </c>
    </row>
    <row r="12273" spans="1:6" x14ac:dyDescent="0.3">
      <c r="A12273" t="s">
        <v>1985</v>
      </c>
      <c r="B12273" t="s">
        <v>2147</v>
      </c>
      <c r="C12273">
        <v>8</v>
      </c>
      <c r="D12273">
        <v>138</v>
      </c>
      <c r="E12273">
        <f>IF(OR(B12273="vi",B12273="ii",B12273="pod"),(((D12273/100)*(C12273*VLOOKUP(B12273,'Poids des runes'!A:B,2,FALSE)))+1),(((D12273/100)*(C12273*VLOOKUP(B12273,'Poids des runes'!A:B,2,FALSE)))+1)/VLOOKUP(B12273,'Poids des runes'!A:B,2,FALSE))</f>
        <v>11.206666666666665</v>
      </c>
      <c r="F12273">
        <f t="shared" si="191"/>
        <v>11.206666666666665</v>
      </c>
    </row>
    <row r="12274" spans="1:6" x14ac:dyDescent="0.3">
      <c r="A12274" t="s">
        <v>1985</v>
      </c>
      <c r="B12274" t="s">
        <v>2135</v>
      </c>
      <c r="C12274">
        <v>8</v>
      </c>
      <c r="D12274">
        <v>138</v>
      </c>
      <c r="E12274">
        <f>IF(OR(B12274="vi",B12274="ii",B12274="pod"),(((D12274/100)*(C12274*VLOOKUP(B12274,'Poids des runes'!A:B,2,FALSE)))+1),(((D12274/100)*(C12274*VLOOKUP(B12274,'Poids des runes'!A:B,2,FALSE)))+1)/VLOOKUP(B12274,'Poids des runes'!A:B,2,FALSE))</f>
        <v>11.206666666666665</v>
      </c>
      <c r="F12274">
        <f t="shared" si="191"/>
        <v>11.206666666666665</v>
      </c>
    </row>
    <row r="12275" spans="1:6" x14ac:dyDescent="0.3">
      <c r="A12275" t="s">
        <v>1985</v>
      </c>
      <c r="B12275" t="s">
        <v>2144</v>
      </c>
      <c r="C12275">
        <v>8</v>
      </c>
      <c r="D12275">
        <v>138</v>
      </c>
      <c r="E12275">
        <f>IF(OR(B12275="vi",B12275="ii",B12275="pod"),(((D12275/100)*(C12275*VLOOKUP(B12275,'Poids des runes'!A:B,2,FALSE)))+1),(((D12275/100)*(C12275*VLOOKUP(B12275,'Poids des runes'!A:B,2,FALSE)))+1)/VLOOKUP(B12275,'Poids des runes'!A:B,2,FALSE))</f>
        <v>11.54</v>
      </c>
      <c r="F12275">
        <f t="shared" si="191"/>
        <v>11.54</v>
      </c>
    </row>
    <row r="12276" spans="1:6" x14ac:dyDescent="0.3">
      <c r="A12276" t="s">
        <v>1985</v>
      </c>
      <c r="B12276" t="s">
        <v>2145</v>
      </c>
      <c r="C12276">
        <v>8</v>
      </c>
      <c r="D12276">
        <v>138</v>
      </c>
      <c r="E12276">
        <f>IF(OR(B12276="vi",B12276="ii",B12276="pod"),(((D12276/100)*(C12276*VLOOKUP(B12276,'Poids des runes'!A:B,2,FALSE)))+1),(((D12276/100)*(C12276*VLOOKUP(B12276,'Poids des runes'!A:B,2,FALSE)))+1)/VLOOKUP(B12276,'Poids des runes'!A:B,2,FALSE))</f>
        <v>11.54</v>
      </c>
      <c r="F12276">
        <f t="shared" si="191"/>
        <v>11.54</v>
      </c>
    </row>
    <row r="12277" spans="1:6" x14ac:dyDescent="0.3">
      <c r="A12277" t="s">
        <v>1986</v>
      </c>
      <c r="B12277" t="s">
        <v>2128</v>
      </c>
      <c r="C12277">
        <v>275.5</v>
      </c>
      <c r="D12277">
        <v>139</v>
      </c>
      <c r="E12277">
        <f>IF(OR(B12277="vi",B12277="ii",B12277="pod"),(((D12277/100)*(C12277*VLOOKUP(B12277,'Poids des runes'!A:B,2,FALSE)))+1),(((D12277/100)*(C12277*VLOOKUP(B12277,'Poids des runes'!A:B,2,FALSE)))+1)/VLOOKUP(B12277,'Poids des runes'!A:B,2,FALSE))</f>
        <v>77.588999999999999</v>
      </c>
      <c r="F12277">
        <f t="shared" si="191"/>
        <v>77.588999999999999</v>
      </c>
    </row>
    <row r="12278" spans="1:6" x14ac:dyDescent="0.3">
      <c r="A12278" t="s">
        <v>1986</v>
      </c>
      <c r="B12278" t="s">
        <v>2129</v>
      </c>
      <c r="C12278">
        <v>30.5</v>
      </c>
      <c r="D12278">
        <v>139</v>
      </c>
      <c r="E12278">
        <f>IF(OR(B12278="vi",B12278="ii",B12278="pod"),(((D12278/100)*(C12278*VLOOKUP(B12278,'Poids des runes'!A:B,2,FALSE)))+1),(((D12278/100)*(C12278*VLOOKUP(B12278,'Poids des runes'!A:B,2,FALSE)))+1)/VLOOKUP(B12278,'Poids des runes'!A:B,2,FALSE))</f>
        <v>43.394999999999996</v>
      </c>
      <c r="F12278">
        <f t="shared" si="191"/>
        <v>43.394999999999996</v>
      </c>
    </row>
    <row r="12279" spans="1:6" x14ac:dyDescent="0.3">
      <c r="A12279" t="s">
        <v>1986</v>
      </c>
      <c r="B12279" t="s">
        <v>2152</v>
      </c>
      <c r="C12279">
        <v>1</v>
      </c>
      <c r="D12279">
        <v>139</v>
      </c>
      <c r="E12279">
        <f>IF(OR(B12279="vi",B12279="ii",B12279="pod"),(((D12279/100)*(C12279*VLOOKUP(B12279,'Poids des runes'!A:B,2,FALSE)))+1),(((D12279/100)*(C12279*VLOOKUP(B12279,'Poids des runes'!A:B,2,FALSE)))+1)/VLOOKUP(B12279,'Poids des runes'!A:B,2,FALSE))</f>
        <v>1.4</v>
      </c>
      <c r="F12279">
        <f t="shared" si="191"/>
        <v>1.4</v>
      </c>
    </row>
    <row r="12280" spans="1:6" x14ac:dyDescent="0.3">
      <c r="A12280" t="s">
        <v>1986</v>
      </c>
      <c r="B12280" t="s">
        <v>2134</v>
      </c>
      <c r="C12280">
        <v>3.5</v>
      </c>
      <c r="D12280">
        <v>139</v>
      </c>
      <c r="E12280">
        <f>IF(OR(B12280="vi",B12280="ii",B12280="pod"),(((D12280/100)*(C12280*VLOOKUP(B12280,'Poids des runes'!A:B,2,FALSE)))+1),(((D12280/100)*(C12280*VLOOKUP(B12280,'Poids des runes'!A:B,2,FALSE)))+1)/VLOOKUP(B12280,'Poids des runes'!A:B,2,FALSE))</f>
        <v>4.915</v>
      </c>
      <c r="F12280">
        <f t="shared" si="191"/>
        <v>4.915</v>
      </c>
    </row>
    <row r="12281" spans="1:6" x14ac:dyDescent="0.3">
      <c r="A12281" t="s">
        <v>1986</v>
      </c>
      <c r="B12281" t="s">
        <v>2161</v>
      </c>
      <c r="C12281">
        <v>13</v>
      </c>
      <c r="D12281">
        <v>139</v>
      </c>
      <c r="E12281">
        <f>IF(OR(B12281="vi",B12281="ii",B12281="pod"),(((D12281/100)*(C12281*VLOOKUP(B12281,'Poids des runes'!A:B,2,FALSE)))+1),(((D12281/100)*(C12281*VLOOKUP(B12281,'Poids des runes'!A:B,2,FALSE)))+1)/VLOOKUP(B12281,'Poids des runes'!A:B,2,FALSE))</f>
        <v>18.403333333333332</v>
      </c>
      <c r="F12281">
        <f t="shared" si="191"/>
        <v>18.403333333333332</v>
      </c>
    </row>
    <row r="12282" spans="1:6" x14ac:dyDescent="0.3">
      <c r="A12282" t="s">
        <v>1987</v>
      </c>
      <c r="B12282" t="s">
        <v>2128</v>
      </c>
      <c r="C12282">
        <v>125.5</v>
      </c>
      <c r="D12282">
        <v>140</v>
      </c>
      <c r="E12282">
        <f>IF(OR(B12282="vi",B12282="ii",B12282="pod"),(((D12282/100)*(C12282*VLOOKUP(B12282,'Poids des runes'!A:B,2,FALSE)))+1),(((D12282/100)*(C12282*VLOOKUP(B12282,'Poids des runes'!A:B,2,FALSE)))+1)/VLOOKUP(B12282,'Poids des runes'!A:B,2,FALSE))</f>
        <v>36.14</v>
      </c>
      <c r="F12282">
        <f t="shared" si="191"/>
        <v>36.14</v>
      </c>
    </row>
    <row r="12283" spans="1:6" x14ac:dyDescent="0.3">
      <c r="A12283" t="s">
        <v>1987</v>
      </c>
      <c r="B12283" t="s">
        <v>2126</v>
      </c>
      <c r="C12283">
        <v>30.5</v>
      </c>
      <c r="D12283">
        <v>140</v>
      </c>
      <c r="E12283">
        <f>IF(OR(B12283="vi",B12283="ii",B12283="pod"),(((D12283/100)*(C12283*VLOOKUP(B12283,'Poids des runes'!A:B,2,FALSE)))+1),(((D12283/100)*(C12283*VLOOKUP(B12283,'Poids des runes'!A:B,2,FALSE)))+1)/VLOOKUP(B12283,'Poids des runes'!A:B,2,FALSE))</f>
        <v>43.699999999999996</v>
      </c>
      <c r="F12283">
        <f t="shared" si="191"/>
        <v>43.699999999999996</v>
      </c>
    </row>
    <row r="12284" spans="1:6" x14ac:dyDescent="0.3">
      <c r="A12284" t="s">
        <v>1987</v>
      </c>
      <c r="B12284" t="s">
        <v>2131</v>
      </c>
      <c r="C12284">
        <v>30.5</v>
      </c>
      <c r="D12284">
        <v>140</v>
      </c>
      <c r="E12284">
        <f>IF(OR(B12284="vi",B12284="ii",B12284="pod"),(((D12284/100)*(C12284*VLOOKUP(B12284,'Poids des runes'!A:B,2,FALSE)))+1),(((D12284/100)*(C12284*VLOOKUP(B12284,'Poids des runes'!A:B,2,FALSE)))+1)/VLOOKUP(B12284,'Poids des runes'!A:B,2,FALSE))</f>
        <v>43.699999999999996</v>
      </c>
      <c r="F12284">
        <f t="shared" si="191"/>
        <v>43.699999999999996</v>
      </c>
    </row>
    <row r="12285" spans="1:6" x14ac:dyDescent="0.3">
      <c r="A12285" t="s">
        <v>1987</v>
      </c>
      <c r="B12285" t="s">
        <v>2129</v>
      </c>
      <c r="C12285">
        <v>33</v>
      </c>
      <c r="D12285">
        <v>140</v>
      </c>
      <c r="E12285">
        <f>IF(OR(B12285="vi",B12285="ii",B12285="pod"),(((D12285/100)*(C12285*VLOOKUP(B12285,'Poids des runes'!A:B,2,FALSE)))+1),(((D12285/100)*(C12285*VLOOKUP(B12285,'Poids des runes'!A:B,2,FALSE)))+1)/VLOOKUP(B12285,'Poids des runes'!A:B,2,FALSE))</f>
        <v>47.199999999999996</v>
      </c>
      <c r="F12285">
        <f t="shared" si="191"/>
        <v>47.199999999999996</v>
      </c>
    </row>
    <row r="12286" spans="1:6" x14ac:dyDescent="0.3">
      <c r="A12286" t="s">
        <v>1987</v>
      </c>
      <c r="B12286" t="s">
        <v>2139</v>
      </c>
      <c r="C12286">
        <v>20.5</v>
      </c>
      <c r="D12286">
        <v>140</v>
      </c>
      <c r="E12286">
        <f>IF(OR(B12286="vi",B12286="ii",B12286="pod"),(((D12286/100)*(C12286*VLOOKUP(B12286,'Poids des runes'!A:B,2,FALSE)))+1),(((D12286/100)*(C12286*VLOOKUP(B12286,'Poids des runes'!A:B,2,FALSE)))+1)/VLOOKUP(B12286,'Poids des runes'!A:B,2,FALSE))</f>
        <v>29.2</v>
      </c>
      <c r="F12286">
        <f t="shared" si="191"/>
        <v>29.2</v>
      </c>
    </row>
    <row r="12287" spans="1:6" x14ac:dyDescent="0.3">
      <c r="A12287" t="s">
        <v>1987</v>
      </c>
      <c r="B12287" t="s">
        <v>2134</v>
      </c>
      <c r="C12287">
        <v>8</v>
      </c>
      <c r="D12287">
        <v>140</v>
      </c>
      <c r="E12287">
        <f>IF(OR(B12287="vi",B12287="ii",B12287="pod"),(((D12287/100)*(C12287*VLOOKUP(B12287,'Poids des runes'!A:B,2,FALSE)))+1),(((D12287/100)*(C12287*VLOOKUP(B12287,'Poids des runes'!A:B,2,FALSE)))+1)/VLOOKUP(B12287,'Poids des runes'!A:B,2,FALSE))</f>
        <v>11.25</v>
      </c>
      <c r="F12287">
        <f t="shared" si="191"/>
        <v>11.25</v>
      </c>
    </row>
    <row r="12288" spans="1:6" x14ac:dyDescent="0.3">
      <c r="A12288" t="s">
        <v>1987</v>
      </c>
      <c r="B12288" t="s">
        <v>2156</v>
      </c>
      <c r="C12288">
        <v>3.5</v>
      </c>
      <c r="D12288">
        <v>140</v>
      </c>
      <c r="E12288">
        <f>IF(OR(B12288="vi",B12288="ii",B12288="pod"),(((D12288/100)*(C12288*VLOOKUP(B12288,'Poids des runes'!A:B,2,FALSE)))+1),(((D12288/100)*(C12288*VLOOKUP(B12288,'Poids des runes'!A:B,2,FALSE)))+1)/VLOOKUP(B12288,'Poids des runes'!A:B,2,FALSE))</f>
        <v>5.0666666666666664</v>
      </c>
      <c r="F12288">
        <f t="shared" si="191"/>
        <v>5.0666666666666664</v>
      </c>
    </row>
    <row r="12289" spans="1:6" x14ac:dyDescent="0.3">
      <c r="A12289" t="s">
        <v>1987</v>
      </c>
      <c r="B12289" t="s">
        <v>2148</v>
      </c>
      <c r="C12289">
        <v>3.5</v>
      </c>
      <c r="D12289">
        <v>140</v>
      </c>
      <c r="E12289">
        <f>IF(OR(B12289="vi",B12289="ii",B12289="pod"),(((D12289/100)*(C12289*VLOOKUP(B12289,'Poids des runes'!A:B,2,FALSE)))+1),(((D12289/100)*(C12289*VLOOKUP(B12289,'Poids des runes'!A:B,2,FALSE)))+1)/VLOOKUP(B12289,'Poids des runes'!A:B,2,FALSE))</f>
        <v>5.0666666666666664</v>
      </c>
      <c r="F12289">
        <f t="shared" si="191"/>
        <v>5.0666666666666664</v>
      </c>
    </row>
    <row r="12290" spans="1:6" x14ac:dyDescent="0.3">
      <c r="A12290" t="s">
        <v>1988</v>
      </c>
      <c r="B12290" t="s">
        <v>2130</v>
      </c>
      <c r="C12290">
        <v>35.5</v>
      </c>
      <c r="D12290">
        <v>140</v>
      </c>
      <c r="E12290">
        <f>IF(OR(B12290="vi",B12290="ii",B12290="pod"),(((D12290/100)*(C12290*VLOOKUP(B12290,'Poids des runes'!A:B,2,FALSE)))+1),(((D12290/100)*(C12290*VLOOKUP(B12290,'Poids des runes'!A:B,2,FALSE)))+1)/VLOOKUP(B12290,'Poids des runes'!A:B,2,FALSE))</f>
        <v>50.699999999999996</v>
      </c>
      <c r="F12290">
        <f t="shared" si="191"/>
        <v>50.699999999999996</v>
      </c>
    </row>
    <row r="12291" spans="1:6" x14ac:dyDescent="0.3">
      <c r="A12291" t="s">
        <v>1988</v>
      </c>
      <c r="B12291" t="s">
        <v>2126</v>
      </c>
      <c r="C12291">
        <v>35.5</v>
      </c>
      <c r="D12291">
        <v>140</v>
      </c>
      <c r="E12291">
        <f>IF(OR(B12291="vi",B12291="ii",B12291="pod"),(((D12291/100)*(C12291*VLOOKUP(B12291,'Poids des runes'!A:B,2,FALSE)))+1),(((D12291/100)*(C12291*VLOOKUP(B12291,'Poids des runes'!A:B,2,FALSE)))+1)/VLOOKUP(B12291,'Poids des runes'!A:B,2,FALSE))</f>
        <v>50.699999999999996</v>
      </c>
      <c r="F12291">
        <f t="shared" ref="F12291:F12354" si="192">E12291</f>
        <v>50.699999999999996</v>
      </c>
    </row>
    <row r="12292" spans="1:6" x14ac:dyDescent="0.3">
      <c r="A12292" t="s">
        <v>1988</v>
      </c>
      <c r="B12292" t="s">
        <v>2129</v>
      </c>
      <c r="C12292">
        <v>25.5</v>
      </c>
      <c r="D12292">
        <v>140</v>
      </c>
      <c r="E12292">
        <f>IF(OR(B12292="vi",B12292="ii",B12292="pod"),(((D12292/100)*(C12292*VLOOKUP(B12292,'Poids des runes'!A:B,2,FALSE)))+1),(((D12292/100)*(C12292*VLOOKUP(B12292,'Poids des runes'!A:B,2,FALSE)))+1)/VLOOKUP(B12292,'Poids des runes'!A:B,2,FALSE))</f>
        <v>36.699999999999996</v>
      </c>
      <c r="F12292">
        <f t="shared" si="192"/>
        <v>36.699999999999996</v>
      </c>
    </row>
    <row r="12293" spans="1:6" x14ac:dyDescent="0.3">
      <c r="A12293" t="s">
        <v>1988</v>
      </c>
      <c r="B12293" t="s">
        <v>2151</v>
      </c>
      <c r="C12293">
        <v>3.5</v>
      </c>
      <c r="D12293">
        <v>140</v>
      </c>
      <c r="E12293">
        <f>IF(OR(B12293="vi",B12293="ii",B12293="pod"),(((D12293/100)*(C12293*VLOOKUP(B12293,'Poids des runes'!A:B,2,FALSE)))+1),(((D12293/100)*(C12293*VLOOKUP(B12293,'Poids des runes'!A:B,2,FALSE)))+1)/VLOOKUP(B12293,'Poids des runes'!A:B,2,FALSE))</f>
        <v>5</v>
      </c>
      <c r="F12293">
        <f t="shared" si="192"/>
        <v>5</v>
      </c>
    </row>
    <row r="12294" spans="1:6" x14ac:dyDescent="0.3">
      <c r="A12294" t="s">
        <v>1988</v>
      </c>
      <c r="B12294" t="s">
        <v>2143</v>
      </c>
      <c r="C12294">
        <v>6.5</v>
      </c>
      <c r="D12294">
        <v>140</v>
      </c>
      <c r="E12294">
        <f>IF(OR(B12294="vi",B12294="ii",B12294="pod"),(((D12294/100)*(C12294*VLOOKUP(B12294,'Poids des runes'!A:B,2,FALSE)))+1),(((D12294/100)*(C12294*VLOOKUP(B12294,'Poids des runes'!A:B,2,FALSE)))+1)/VLOOKUP(B12294,'Poids des runes'!A:B,2,FALSE))</f>
        <v>9.3000000000000007</v>
      </c>
      <c r="F12294">
        <f t="shared" si="192"/>
        <v>9.3000000000000007</v>
      </c>
    </row>
    <row r="12295" spans="1:6" x14ac:dyDescent="0.3">
      <c r="A12295" t="s">
        <v>1988</v>
      </c>
      <c r="B12295" t="s">
        <v>2140</v>
      </c>
      <c r="C12295">
        <v>6.5</v>
      </c>
      <c r="D12295">
        <v>140</v>
      </c>
      <c r="E12295">
        <f>IF(OR(B12295="vi",B12295="ii",B12295="pod"),(((D12295/100)*(C12295*VLOOKUP(B12295,'Poids des runes'!A:B,2,FALSE)))+1),(((D12295/100)*(C12295*VLOOKUP(B12295,'Poids des runes'!A:B,2,FALSE)))+1)/VLOOKUP(B12295,'Poids des runes'!A:B,2,FALSE))</f>
        <v>9.3000000000000007</v>
      </c>
      <c r="F12295">
        <f t="shared" si="192"/>
        <v>9.3000000000000007</v>
      </c>
    </row>
    <row r="12296" spans="1:6" x14ac:dyDescent="0.3">
      <c r="A12296" t="s">
        <v>1988</v>
      </c>
      <c r="B12296" t="s">
        <v>2149</v>
      </c>
      <c r="C12296">
        <v>13</v>
      </c>
      <c r="D12296">
        <v>140</v>
      </c>
      <c r="E12296">
        <f>IF(OR(B12296="vi",B12296="ii",B12296="pod"),(((D12296/100)*(C12296*VLOOKUP(B12296,'Poids des runes'!A:B,2,FALSE)))+1),(((D12296/100)*(C12296*VLOOKUP(B12296,'Poids des runes'!A:B,2,FALSE)))+1)/VLOOKUP(B12296,'Poids des runes'!A:B,2,FALSE))</f>
        <v>18.3</v>
      </c>
      <c r="F12296">
        <f t="shared" si="192"/>
        <v>18.3</v>
      </c>
    </row>
    <row r="12297" spans="1:6" x14ac:dyDescent="0.3">
      <c r="A12297" t="s">
        <v>1988</v>
      </c>
      <c r="B12297" t="s">
        <v>2161</v>
      </c>
      <c r="C12297">
        <v>13</v>
      </c>
      <c r="D12297">
        <v>140</v>
      </c>
      <c r="E12297">
        <f>IF(OR(B12297="vi",B12297="ii",B12297="pod"),(((D12297/100)*(C12297*VLOOKUP(B12297,'Poids des runes'!A:B,2,FALSE)))+1),(((D12297/100)*(C12297*VLOOKUP(B12297,'Poids des runes'!A:B,2,FALSE)))+1)/VLOOKUP(B12297,'Poids des runes'!A:B,2,FALSE))</f>
        <v>18.533333333333331</v>
      </c>
      <c r="F12297">
        <f t="shared" si="192"/>
        <v>18.533333333333331</v>
      </c>
    </row>
    <row r="12298" spans="1:6" x14ac:dyDescent="0.3">
      <c r="A12298" t="s">
        <v>1988</v>
      </c>
      <c r="B12298" t="s">
        <v>2157</v>
      </c>
      <c r="C12298">
        <v>8.5</v>
      </c>
      <c r="D12298">
        <v>140</v>
      </c>
      <c r="E12298">
        <f>IF(OR(B12298="vi",B12298="ii",B12298="pod"),(((D12298/100)*(C12298*VLOOKUP(B12298,'Poids des runes'!A:B,2,FALSE)))+1),(((D12298/100)*(C12298*VLOOKUP(B12298,'Poids des runes'!A:B,2,FALSE)))+1)/VLOOKUP(B12298,'Poids des runes'!A:B,2,FALSE))</f>
        <v>12.066666666666665</v>
      </c>
      <c r="F12298">
        <f t="shared" si="192"/>
        <v>12.066666666666665</v>
      </c>
    </row>
    <row r="12299" spans="1:6" x14ac:dyDescent="0.3">
      <c r="A12299" t="s">
        <v>1989</v>
      </c>
      <c r="B12299" t="s">
        <v>2128</v>
      </c>
      <c r="C12299">
        <v>175.5</v>
      </c>
      <c r="D12299">
        <v>142</v>
      </c>
      <c r="E12299">
        <f>IF(OR(B12299="vi",B12299="ii",B12299="pod"),(((D12299/100)*(C12299*VLOOKUP(B12299,'Poids des runes'!A:B,2,FALSE)))+1),(((D12299/100)*(C12299*VLOOKUP(B12299,'Poids des runes'!A:B,2,FALSE)))+1)/VLOOKUP(B12299,'Poids des runes'!A:B,2,FALSE))</f>
        <v>50.841999999999999</v>
      </c>
      <c r="F12299">
        <f t="shared" si="192"/>
        <v>50.841999999999999</v>
      </c>
    </row>
    <row r="12300" spans="1:6" x14ac:dyDescent="0.3">
      <c r="A12300" t="s">
        <v>1989</v>
      </c>
      <c r="B12300" t="s">
        <v>2131</v>
      </c>
      <c r="C12300">
        <v>40.5</v>
      </c>
      <c r="D12300">
        <v>142</v>
      </c>
      <c r="E12300">
        <f>IF(OR(B12300="vi",B12300="ii",B12300="pod"),(((D12300/100)*(C12300*VLOOKUP(B12300,'Poids des runes'!A:B,2,FALSE)))+1),(((D12300/100)*(C12300*VLOOKUP(B12300,'Poids des runes'!A:B,2,FALSE)))+1)/VLOOKUP(B12300,'Poids des runes'!A:B,2,FALSE))</f>
        <v>58.51</v>
      </c>
      <c r="F12300">
        <f t="shared" si="192"/>
        <v>58.51</v>
      </c>
    </row>
    <row r="12301" spans="1:6" x14ac:dyDescent="0.3">
      <c r="A12301" t="s">
        <v>1989</v>
      </c>
      <c r="B12301" t="s">
        <v>2129</v>
      </c>
      <c r="C12301">
        <v>35.5</v>
      </c>
      <c r="D12301">
        <v>142</v>
      </c>
      <c r="E12301">
        <f>IF(OR(B12301="vi",B12301="ii",B12301="pod"),(((D12301/100)*(C12301*VLOOKUP(B12301,'Poids des runes'!A:B,2,FALSE)))+1),(((D12301/100)*(C12301*VLOOKUP(B12301,'Poids des runes'!A:B,2,FALSE)))+1)/VLOOKUP(B12301,'Poids des runes'!A:B,2,FALSE))</f>
        <v>51.41</v>
      </c>
      <c r="F12301">
        <f t="shared" si="192"/>
        <v>51.41</v>
      </c>
    </row>
    <row r="12302" spans="1:6" x14ac:dyDescent="0.3">
      <c r="A12302" t="s">
        <v>1989</v>
      </c>
      <c r="B12302" t="s">
        <v>2139</v>
      </c>
      <c r="C12302">
        <v>15.5</v>
      </c>
      <c r="D12302">
        <v>142</v>
      </c>
      <c r="E12302">
        <f>IF(OR(B12302="vi",B12302="ii",B12302="pod"),(((D12302/100)*(C12302*VLOOKUP(B12302,'Poids des runes'!A:B,2,FALSE)))+1),(((D12302/100)*(C12302*VLOOKUP(B12302,'Poids des runes'!A:B,2,FALSE)))+1)/VLOOKUP(B12302,'Poids des runes'!A:B,2,FALSE))</f>
        <v>22.509999999999998</v>
      </c>
      <c r="F12302">
        <f t="shared" si="192"/>
        <v>22.509999999999998</v>
      </c>
    </row>
    <row r="12303" spans="1:6" x14ac:dyDescent="0.3">
      <c r="A12303" t="s">
        <v>1989</v>
      </c>
      <c r="B12303" t="s">
        <v>2161</v>
      </c>
      <c r="C12303">
        <v>18</v>
      </c>
      <c r="D12303">
        <v>142</v>
      </c>
      <c r="E12303">
        <f>IF(OR(B12303="vi",B12303="ii",B12303="pod"),(((D12303/100)*(C12303*VLOOKUP(B12303,'Poids des runes'!A:B,2,FALSE)))+1),(((D12303/100)*(C12303*VLOOKUP(B12303,'Poids des runes'!A:B,2,FALSE)))+1)/VLOOKUP(B12303,'Poids des runes'!A:B,2,FALSE))</f>
        <v>25.893333333333331</v>
      </c>
      <c r="F12303">
        <f t="shared" si="192"/>
        <v>25.893333333333331</v>
      </c>
    </row>
    <row r="12304" spans="1:6" x14ac:dyDescent="0.3">
      <c r="A12304" t="s">
        <v>1990</v>
      </c>
      <c r="B12304" t="s">
        <v>2128</v>
      </c>
      <c r="C12304">
        <v>225.5</v>
      </c>
      <c r="D12304">
        <v>143</v>
      </c>
      <c r="E12304">
        <f>IF(OR(B12304="vi",B12304="ii",B12304="pod"),(((D12304/100)*(C12304*VLOOKUP(B12304,'Poids des runes'!A:B,2,FALSE)))+1),(((D12304/100)*(C12304*VLOOKUP(B12304,'Poids des runes'!A:B,2,FALSE)))+1)/VLOOKUP(B12304,'Poids des runes'!A:B,2,FALSE))</f>
        <v>65.492999999999995</v>
      </c>
      <c r="F12304">
        <f t="shared" si="192"/>
        <v>65.492999999999995</v>
      </c>
    </row>
    <row r="12305" spans="1:6" x14ac:dyDescent="0.3">
      <c r="A12305" t="s">
        <v>1990</v>
      </c>
      <c r="B12305" t="s">
        <v>2127</v>
      </c>
      <c r="C12305">
        <v>40.5</v>
      </c>
      <c r="D12305">
        <v>143</v>
      </c>
      <c r="E12305">
        <f>IF(OR(B12305="vi",B12305="ii",B12305="pod"),(((D12305/100)*(C12305*VLOOKUP(B12305,'Poids des runes'!A:B,2,FALSE)))+1),(((D12305/100)*(C12305*VLOOKUP(B12305,'Poids des runes'!A:B,2,FALSE)))+1)/VLOOKUP(B12305,'Poids des runes'!A:B,2,FALSE))</f>
        <v>58.914999999999999</v>
      </c>
      <c r="F12305">
        <f t="shared" si="192"/>
        <v>58.914999999999999</v>
      </c>
    </row>
    <row r="12306" spans="1:6" x14ac:dyDescent="0.3">
      <c r="A12306" t="s">
        <v>1990</v>
      </c>
      <c r="B12306" t="s">
        <v>2129</v>
      </c>
      <c r="C12306">
        <v>35.5</v>
      </c>
      <c r="D12306">
        <v>143</v>
      </c>
      <c r="E12306">
        <f>IF(OR(B12306="vi",B12306="ii",B12306="pod"),(((D12306/100)*(C12306*VLOOKUP(B12306,'Poids des runes'!A:B,2,FALSE)))+1),(((D12306/100)*(C12306*VLOOKUP(B12306,'Poids des runes'!A:B,2,FALSE)))+1)/VLOOKUP(B12306,'Poids des runes'!A:B,2,FALSE))</f>
        <v>51.765000000000001</v>
      </c>
      <c r="F12306">
        <f t="shared" si="192"/>
        <v>51.765000000000001</v>
      </c>
    </row>
    <row r="12307" spans="1:6" x14ac:dyDescent="0.3">
      <c r="A12307" t="s">
        <v>1990</v>
      </c>
      <c r="B12307" t="s">
        <v>2139</v>
      </c>
      <c r="C12307">
        <v>20.5</v>
      </c>
      <c r="D12307">
        <v>143</v>
      </c>
      <c r="E12307">
        <f>IF(OR(B12307="vi",B12307="ii",B12307="pod"),(((D12307/100)*(C12307*VLOOKUP(B12307,'Poids des runes'!A:B,2,FALSE)))+1),(((D12307/100)*(C12307*VLOOKUP(B12307,'Poids des runes'!A:B,2,FALSE)))+1)/VLOOKUP(B12307,'Poids des runes'!A:B,2,FALSE))</f>
        <v>29.814999999999998</v>
      </c>
      <c r="F12307">
        <f t="shared" si="192"/>
        <v>29.814999999999998</v>
      </c>
    </row>
    <row r="12308" spans="1:6" x14ac:dyDescent="0.3">
      <c r="A12308" t="s">
        <v>1990</v>
      </c>
      <c r="B12308" t="s">
        <v>2155</v>
      </c>
      <c r="C12308">
        <v>1</v>
      </c>
      <c r="D12308">
        <v>143</v>
      </c>
      <c r="E12308">
        <f>IF(OR(B12308="vi",B12308="ii",B12308="pod"),(((D12308/100)*(C12308*VLOOKUP(B12308,'Poids des runes'!A:B,2,FALSE)))+1),(((D12308/100)*(C12308*VLOOKUP(B12308,'Poids des runes'!A:B,2,FALSE)))+1)/VLOOKUP(B12308,'Poids des runes'!A:B,2,FALSE))</f>
        <v>1.4496078431372548</v>
      </c>
      <c r="F12308">
        <f t="shared" si="192"/>
        <v>1.4496078431372548</v>
      </c>
    </row>
    <row r="12309" spans="1:6" x14ac:dyDescent="0.3">
      <c r="A12309" t="s">
        <v>1990</v>
      </c>
      <c r="B12309" t="s">
        <v>2156</v>
      </c>
      <c r="C12309">
        <v>8</v>
      </c>
      <c r="D12309">
        <v>143</v>
      </c>
      <c r="E12309">
        <f>IF(OR(B12309="vi",B12309="ii",B12309="pod"),(((D12309/100)*(C12309*VLOOKUP(B12309,'Poids des runes'!A:B,2,FALSE)))+1),(((D12309/100)*(C12309*VLOOKUP(B12309,'Poids des runes'!A:B,2,FALSE)))+1)/VLOOKUP(B12309,'Poids des runes'!A:B,2,FALSE))</f>
        <v>11.606666666666667</v>
      </c>
      <c r="F12309">
        <f t="shared" si="192"/>
        <v>11.606666666666667</v>
      </c>
    </row>
    <row r="12310" spans="1:6" x14ac:dyDescent="0.3">
      <c r="A12310" t="s">
        <v>1990</v>
      </c>
      <c r="B12310" t="s">
        <v>2136</v>
      </c>
      <c r="C12310">
        <v>6.5</v>
      </c>
      <c r="D12310">
        <v>143</v>
      </c>
      <c r="E12310">
        <f>IF(OR(B12310="vi",B12310="ii",B12310="pod"),(((D12310/100)*(C12310*VLOOKUP(B12310,'Poids des runes'!A:B,2,FALSE)))+1),(((D12310/100)*(C12310*VLOOKUP(B12310,'Poids des runes'!A:B,2,FALSE)))+1)/VLOOKUP(B12310,'Poids des runes'!A:B,2,FALSE))</f>
        <v>9.7949999999999999</v>
      </c>
      <c r="F12310">
        <f t="shared" si="192"/>
        <v>9.7949999999999999</v>
      </c>
    </row>
    <row r="12311" spans="1:6" x14ac:dyDescent="0.3">
      <c r="A12311" t="s">
        <v>1991</v>
      </c>
      <c r="B12311" t="s">
        <v>2128</v>
      </c>
      <c r="C12311">
        <v>275.5</v>
      </c>
      <c r="D12311">
        <v>143</v>
      </c>
      <c r="E12311">
        <f>IF(OR(B12311="vi",B12311="ii",B12311="pod"),(((D12311/100)*(C12311*VLOOKUP(B12311,'Poids des runes'!A:B,2,FALSE)))+1),(((D12311/100)*(C12311*VLOOKUP(B12311,'Poids des runes'!A:B,2,FALSE)))+1)/VLOOKUP(B12311,'Poids des runes'!A:B,2,FALSE))</f>
        <v>79.792999999999992</v>
      </c>
      <c r="F12311">
        <f t="shared" si="192"/>
        <v>79.792999999999992</v>
      </c>
    </row>
    <row r="12312" spans="1:6" x14ac:dyDescent="0.3">
      <c r="A12312" t="s">
        <v>1991</v>
      </c>
      <c r="B12312" t="s">
        <v>2127</v>
      </c>
      <c r="C12312">
        <v>40.5</v>
      </c>
      <c r="D12312">
        <v>143</v>
      </c>
      <c r="E12312">
        <f>IF(OR(B12312="vi",B12312="ii",B12312="pod"),(((D12312/100)*(C12312*VLOOKUP(B12312,'Poids des runes'!A:B,2,FALSE)))+1),(((D12312/100)*(C12312*VLOOKUP(B12312,'Poids des runes'!A:B,2,FALSE)))+1)/VLOOKUP(B12312,'Poids des runes'!A:B,2,FALSE))</f>
        <v>58.914999999999999</v>
      </c>
      <c r="F12312">
        <f t="shared" si="192"/>
        <v>58.914999999999999</v>
      </c>
    </row>
    <row r="12313" spans="1:6" x14ac:dyDescent="0.3">
      <c r="A12313" t="s">
        <v>1991</v>
      </c>
      <c r="B12313" t="s">
        <v>2129</v>
      </c>
      <c r="C12313">
        <v>33</v>
      </c>
      <c r="D12313">
        <v>143</v>
      </c>
      <c r="E12313">
        <f>IF(OR(B12313="vi",B12313="ii",B12313="pod"),(((D12313/100)*(C12313*VLOOKUP(B12313,'Poids des runes'!A:B,2,FALSE)))+1),(((D12313/100)*(C12313*VLOOKUP(B12313,'Poids des runes'!A:B,2,FALSE)))+1)/VLOOKUP(B12313,'Poids des runes'!A:B,2,FALSE))</f>
        <v>48.19</v>
      </c>
      <c r="F12313">
        <f t="shared" si="192"/>
        <v>48.19</v>
      </c>
    </row>
    <row r="12314" spans="1:6" x14ac:dyDescent="0.3">
      <c r="A12314" t="s">
        <v>1991</v>
      </c>
      <c r="B12314" t="s">
        <v>2151</v>
      </c>
      <c r="C12314">
        <v>5</v>
      </c>
      <c r="D12314">
        <v>143</v>
      </c>
      <c r="E12314">
        <f>IF(OR(B12314="vi",B12314="ii",B12314="pod"),(((D12314/100)*(C12314*VLOOKUP(B12314,'Poids des runes'!A:B,2,FALSE)))+1),(((D12314/100)*(C12314*VLOOKUP(B12314,'Poids des runes'!A:B,2,FALSE)))+1)/VLOOKUP(B12314,'Poids des runes'!A:B,2,FALSE))</f>
        <v>7.25</v>
      </c>
      <c r="F12314">
        <f t="shared" si="192"/>
        <v>7.25</v>
      </c>
    </row>
    <row r="12315" spans="1:6" x14ac:dyDescent="0.3">
      <c r="A12315" t="s">
        <v>1991</v>
      </c>
      <c r="B12315" t="s">
        <v>2134</v>
      </c>
      <c r="C12315">
        <v>5</v>
      </c>
      <c r="D12315">
        <v>143</v>
      </c>
      <c r="E12315">
        <f>IF(OR(B12315="vi",B12315="ii",B12315="pod"),(((D12315/100)*(C12315*VLOOKUP(B12315,'Poids des runes'!A:B,2,FALSE)))+1),(((D12315/100)*(C12315*VLOOKUP(B12315,'Poids des runes'!A:B,2,FALSE)))+1)/VLOOKUP(B12315,'Poids des runes'!A:B,2,FALSE))</f>
        <v>7.2</v>
      </c>
      <c r="F12315">
        <f t="shared" si="192"/>
        <v>7.2</v>
      </c>
    </row>
    <row r="12316" spans="1:6" x14ac:dyDescent="0.3">
      <c r="A12316" t="s">
        <v>1992</v>
      </c>
      <c r="B12316" t="s">
        <v>2128</v>
      </c>
      <c r="C12316">
        <v>175.5</v>
      </c>
      <c r="D12316">
        <v>143</v>
      </c>
      <c r="E12316">
        <f>IF(OR(B12316="vi",B12316="ii",B12316="pod"),(((D12316/100)*(C12316*VLOOKUP(B12316,'Poids des runes'!A:B,2,FALSE)))+1),(((D12316/100)*(C12316*VLOOKUP(B12316,'Poids des runes'!A:B,2,FALSE)))+1)/VLOOKUP(B12316,'Poids des runes'!A:B,2,FALSE))</f>
        <v>51.192999999999998</v>
      </c>
      <c r="F12316">
        <f t="shared" si="192"/>
        <v>51.192999999999998</v>
      </c>
    </row>
    <row r="12317" spans="1:6" x14ac:dyDescent="0.3">
      <c r="A12317" t="s">
        <v>1992</v>
      </c>
      <c r="B12317" t="s">
        <v>2126</v>
      </c>
      <c r="C12317">
        <v>40.5</v>
      </c>
      <c r="D12317">
        <v>143</v>
      </c>
      <c r="E12317">
        <f>IF(OR(B12317="vi",B12317="ii",B12317="pod"),(((D12317/100)*(C12317*VLOOKUP(B12317,'Poids des runes'!A:B,2,FALSE)))+1),(((D12317/100)*(C12317*VLOOKUP(B12317,'Poids des runes'!A:B,2,FALSE)))+1)/VLOOKUP(B12317,'Poids des runes'!A:B,2,FALSE))</f>
        <v>58.914999999999999</v>
      </c>
      <c r="F12317">
        <f t="shared" si="192"/>
        <v>58.914999999999999</v>
      </c>
    </row>
    <row r="12318" spans="1:6" x14ac:dyDescent="0.3">
      <c r="A12318" t="s">
        <v>1992</v>
      </c>
      <c r="B12318" t="s">
        <v>2131</v>
      </c>
      <c r="C12318">
        <v>40.5</v>
      </c>
      <c r="D12318">
        <v>143</v>
      </c>
      <c r="E12318">
        <f>IF(OR(B12318="vi",B12318="ii",B12318="pod"),(((D12318/100)*(C12318*VLOOKUP(B12318,'Poids des runes'!A:B,2,FALSE)))+1),(((D12318/100)*(C12318*VLOOKUP(B12318,'Poids des runes'!A:B,2,FALSE)))+1)/VLOOKUP(B12318,'Poids des runes'!A:B,2,FALSE))</f>
        <v>58.914999999999999</v>
      </c>
      <c r="F12318">
        <f t="shared" si="192"/>
        <v>58.914999999999999</v>
      </c>
    </row>
    <row r="12319" spans="1:6" x14ac:dyDescent="0.3">
      <c r="A12319" t="s">
        <v>1992</v>
      </c>
      <c r="B12319" t="s">
        <v>2127</v>
      </c>
      <c r="C12319">
        <v>40.5</v>
      </c>
      <c r="D12319">
        <v>143</v>
      </c>
      <c r="E12319">
        <f>IF(OR(B12319="vi",B12319="ii",B12319="pod"),(((D12319/100)*(C12319*VLOOKUP(B12319,'Poids des runes'!A:B,2,FALSE)))+1),(((D12319/100)*(C12319*VLOOKUP(B12319,'Poids des runes'!A:B,2,FALSE)))+1)/VLOOKUP(B12319,'Poids des runes'!A:B,2,FALSE))</f>
        <v>58.914999999999999</v>
      </c>
      <c r="F12319">
        <f t="shared" si="192"/>
        <v>58.914999999999999</v>
      </c>
    </row>
    <row r="12320" spans="1:6" x14ac:dyDescent="0.3">
      <c r="A12320" t="s">
        <v>1992</v>
      </c>
      <c r="B12320" t="s">
        <v>2129</v>
      </c>
      <c r="C12320">
        <v>30.5</v>
      </c>
      <c r="D12320">
        <v>143</v>
      </c>
      <c r="E12320">
        <f>IF(OR(B12320="vi",B12320="ii",B12320="pod"),(((D12320/100)*(C12320*VLOOKUP(B12320,'Poids des runes'!A:B,2,FALSE)))+1),(((D12320/100)*(C12320*VLOOKUP(B12320,'Poids des runes'!A:B,2,FALSE)))+1)/VLOOKUP(B12320,'Poids des runes'!A:B,2,FALSE))</f>
        <v>44.614999999999995</v>
      </c>
      <c r="F12320">
        <f t="shared" si="192"/>
        <v>44.614999999999995</v>
      </c>
    </row>
    <row r="12321" spans="1:6" x14ac:dyDescent="0.3">
      <c r="A12321" t="s">
        <v>1992</v>
      </c>
      <c r="B12321" t="s">
        <v>2134</v>
      </c>
      <c r="C12321">
        <v>8</v>
      </c>
      <c r="D12321">
        <v>143</v>
      </c>
      <c r="E12321">
        <f>IF(OR(B12321="vi",B12321="ii",B12321="pod"),(((D12321/100)*(C12321*VLOOKUP(B12321,'Poids des runes'!A:B,2,FALSE)))+1),(((D12321/100)*(C12321*VLOOKUP(B12321,'Poids des runes'!A:B,2,FALSE)))+1)/VLOOKUP(B12321,'Poids des runes'!A:B,2,FALSE))</f>
        <v>11.489999999999998</v>
      </c>
      <c r="F12321">
        <f t="shared" si="192"/>
        <v>11.489999999999998</v>
      </c>
    </row>
    <row r="12322" spans="1:6" x14ac:dyDescent="0.3">
      <c r="A12322" t="s">
        <v>1992</v>
      </c>
      <c r="B12322" t="s">
        <v>2157</v>
      </c>
      <c r="C12322">
        <v>8</v>
      </c>
      <c r="D12322">
        <v>143</v>
      </c>
      <c r="E12322">
        <f>IF(OR(B12322="vi",B12322="ii",B12322="pod"),(((D12322/100)*(C12322*VLOOKUP(B12322,'Poids des runes'!A:B,2,FALSE)))+1),(((D12322/100)*(C12322*VLOOKUP(B12322,'Poids des runes'!A:B,2,FALSE)))+1)/VLOOKUP(B12322,'Poids des runes'!A:B,2,FALSE))</f>
        <v>11.606666666666667</v>
      </c>
      <c r="F12322">
        <f t="shared" si="192"/>
        <v>11.606666666666667</v>
      </c>
    </row>
    <row r="12323" spans="1:6" x14ac:dyDescent="0.3">
      <c r="A12323" t="s">
        <v>1993</v>
      </c>
      <c r="B12323" t="s">
        <v>2128</v>
      </c>
      <c r="C12323">
        <v>225.5</v>
      </c>
      <c r="D12323">
        <v>143</v>
      </c>
      <c r="E12323">
        <f>IF(OR(B12323="vi",B12323="ii",B12323="pod"),(((D12323/100)*(C12323*VLOOKUP(B12323,'Poids des runes'!A:B,2,FALSE)))+1),(((D12323/100)*(C12323*VLOOKUP(B12323,'Poids des runes'!A:B,2,FALSE)))+1)/VLOOKUP(B12323,'Poids des runes'!A:B,2,FALSE))</f>
        <v>65.492999999999995</v>
      </c>
      <c r="F12323">
        <f t="shared" si="192"/>
        <v>65.492999999999995</v>
      </c>
    </row>
    <row r="12324" spans="1:6" x14ac:dyDescent="0.3">
      <c r="A12324" t="s">
        <v>1993</v>
      </c>
      <c r="B12324" t="s">
        <v>2130</v>
      </c>
      <c r="C12324">
        <v>40.5</v>
      </c>
      <c r="D12324">
        <v>143</v>
      </c>
      <c r="E12324">
        <f>IF(OR(B12324="vi",B12324="ii",B12324="pod"),(((D12324/100)*(C12324*VLOOKUP(B12324,'Poids des runes'!A:B,2,FALSE)))+1),(((D12324/100)*(C12324*VLOOKUP(B12324,'Poids des runes'!A:B,2,FALSE)))+1)/VLOOKUP(B12324,'Poids des runes'!A:B,2,FALSE))</f>
        <v>58.914999999999999</v>
      </c>
      <c r="F12324">
        <f t="shared" si="192"/>
        <v>58.914999999999999</v>
      </c>
    </row>
    <row r="12325" spans="1:6" x14ac:dyDescent="0.3">
      <c r="A12325" t="s">
        <v>1993</v>
      </c>
      <c r="B12325" t="s">
        <v>2139</v>
      </c>
      <c r="C12325">
        <v>18</v>
      </c>
      <c r="D12325">
        <v>143</v>
      </c>
      <c r="E12325">
        <f>IF(OR(B12325="vi",B12325="ii",B12325="pod"),(((D12325/100)*(C12325*VLOOKUP(B12325,'Poids des runes'!A:B,2,FALSE)))+1),(((D12325/100)*(C12325*VLOOKUP(B12325,'Poids des runes'!A:B,2,FALSE)))+1)/VLOOKUP(B12325,'Poids des runes'!A:B,2,FALSE))</f>
        <v>26.24</v>
      </c>
      <c r="F12325">
        <f t="shared" si="192"/>
        <v>26.24</v>
      </c>
    </row>
    <row r="12326" spans="1:6" x14ac:dyDescent="0.3">
      <c r="A12326" t="s">
        <v>1993</v>
      </c>
      <c r="B12326" t="s">
        <v>2151</v>
      </c>
      <c r="C12326">
        <v>5.5</v>
      </c>
      <c r="D12326">
        <v>143</v>
      </c>
      <c r="E12326">
        <f>IF(OR(B12326="vi",B12326="ii",B12326="pod"),(((D12326/100)*(C12326*VLOOKUP(B12326,'Poids des runes'!A:B,2,FALSE)))+1),(((D12326/100)*(C12326*VLOOKUP(B12326,'Poids des runes'!A:B,2,FALSE)))+1)/VLOOKUP(B12326,'Poids des runes'!A:B,2,FALSE))</f>
        <v>7.964999999999999</v>
      </c>
      <c r="F12326">
        <f t="shared" si="192"/>
        <v>7.964999999999999</v>
      </c>
    </row>
    <row r="12327" spans="1:6" x14ac:dyDescent="0.3">
      <c r="A12327" t="s">
        <v>1993</v>
      </c>
      <c r="B12327" t="s">
        <v>2161</v>
      </c>
      <c r="C12327">
        <v>13</v>
      </c>
      <c r="D12327">
        <v>143</v>
      </c>
      <c r="E12327">
        <f>IF(OR(B12327="vi",B12327="ii",B12327="pod"),(((D12327/100)*(C12327*VLOOKUP(B12327,'Poids des runes'!A:B,2,FALSE)))+1),(((D12327/100)*(C12327*VLOOKUP(B12327,'Poids des runes'!A:B,2,FALSE)))+1)/VLOOKUP(B12327,'Poids des runes'!A:B,2,FALSE))</f>
        <v>18.923333333333332</v>
      </c>
      <c r="F12327">
        <f t="shared" si="192"/>
        <v>18.923333333333332</v>
      </c>
    </row>
    <row r="12328" spans="1:6" x14ac:dyDescent="0.3">
      <c r="A12328" t="s">
        <v>1993</v>
      </c>
      <c r="B12328" t="s">
        <v>2157</v>
      </c>
      <c r="C12328">
        <v>6</v>
      </c>
      <c r="D12328">
        <v>143</v>
      </c>
      <c r="E12328">
        <f>IF(OR(B12328="vi",B12328="ii",B12328="pod"),(((D12328/100)*(C12328*VLOOKUP(B12328,'Poids des runes'!A:B,2,FALSE)))+1),(((D12328/100)*(C12328*VLOOKUP(B12328,'Poids des runes'!A:B,2,FALSE)))+1)/VLOOKUP(B12328,'Poids des runes'!A:B,2,FALSE))</f>
        <v>8.7466666666666661</v>
      </c>
      <c r="F12328">
        <f t="shared" si="192"/>
        <v>8.7466666666666661</v>
      </c>
    </row>
    <row r="12329" spans="1:6" x14ac:dyDescent="0.3">
      <c r="A12329" t="s">
        <v>1994</v>
      </c>
      <c r="B12329" t="s">
        <v>2128</v>
      </c>
      <c r="C12329">
        <v>225.5</v>
      </c>
      <c r="D12329">
        <v>143</v>
      </c>
      <c r="E12329">
        <f>IF(OR(B12329="vi",B12329="ii",B12329="pod"),(((D12329/100)*(C12329*VLOOKUP(B12329,'Poids des runes'!A:B,2,FALSE)))+1),(((D12329/100)*(C12329*VLOOKUP(B12329,'Poids des runes'!A:B,2,FALSE)))+1)/VLOOKUP(B12329,'Poids des runes'!A:B,2,FALSE))</f>
        <v>65.492999999999995</v>
      </c>
      <c r="F12329">
        <f t="shared" si="192"/>
        <v>65.492999999999995</v>
      </c>
    </row>
    <row r="12330" spans="1:6" x14ac:dyDescent="0.3">
      <c r="A12330" t="s">
        <v>1994</v>
      </c>
      <c r="B12330" t="s">
        <v>2126</v>
      </c>
      <c r="C12330">
        <v>40.5</v>
      </c>
      <c r="D12330">
        <v>143</v>
      </c>
      <c r="E12330">
        <f>IF(OR(B12330="vi",B12330="ii",B12330="pod"),(((D12330/100)*(C12330*VLOOKUP(B12330,'Poids des runes'!A:B,2,FALSE)))+1),(((D12330/100)*(C12330*VLOOKUP(B12330,'Poids des runes'!A:B,2,FALSE)))+1)/VLOOKUP(B12330,'Poids des runes'!A:B,2,FALSE))</f>
        <v>58.914999999999999</v>
      </c>
      <c r="F12330">
        <f t="shared" si="192"/>
        <v>58.914999999999999</v>
      </c>
    </row>
    <row r="12331" spans="1:6" x14ac:dyDescent="0.3">
      <c r="A12331" t="s">
        <v>1994</v>
      </c>
      <c r="B12331" t="s">
        <v>2127</v>
      </c>
      <c r="C12331">
        <v>23</v>
      </c>
      <c r="D12331">
        <v>143</v>
      </c>
      <c r="E12331">
        <f>IF(OR(B12331="vi",B12331="ii",B12331="pod"),(((D12331/100)*(C12331*VLOOKUP(B12331,'Poids des runes'!A:B,2,FALSE)))+1),(((D12331/100)*(C12331*VLOOKUP(B12331,'Poids des runes'!A:B,2,FALSE)))+1)/VLOOKUP(B12331,'Poids des runes'!A:B,2,FALSE))</f>
        <v>33.89</v>
      </c>
      <c r="F12331">
        <f t="shared" si="192"/>
        <v>33.89</v>
      </c>
    </row>
    <row r="12332" spans="1:6" x14ac:dyDescent="0.3">
      <c r="A12332" t="s">
        <v>1994</v>
      </c>
      <c r="B12332" t="s">
        <v>2134</v>
      </c>
      <c r="C12332">
        <v>8</v>
      </c>
      <c r="D12332">
        <v>143</v>
      </c>
      <c r="E12332">
        <f>IF(OR(B12332="vi",B12332="ii",B12332="pod"),(((D12332/100)*(C12332*VLOOKUP(B12332,'Poids des runes'!A:B,2,FALSE)))+1),(((D12332/100)*(C12332*VLOOKUP(B12332,'Poids des runes'!A:B,2,FALSE)))+1)/VLOOKUP(B12332,'Poids des runes'!A:B,2,FALSE))</f>
        <v>11.489999999999998</v>
      </c>
      <c r="F12332">
        <f t="shared" si="192"/>
        <v>11.489999999999998</v>
      </c>
    </row>
    <row r="12333" spans="1:6" x14ac:dyDescent="0.3">
      <c r="A12333" t="s">
        <v>1994</v>
      </c>
      <c r="B12333" t="s">
        <v>2132</v>
      </c>
      <c r="C12333">
        <v>300.5</v>
      </c>
      <c r="D12333">
        <v>143</v>
      </c>
      <c r="E12333">
        <f>IF(OR(B12333="vi",B12333="ii",B12333="pod"),(((D12333/100)*(C12333*VLOOKUP(B12333,'Poids des runes'!A:B,2,FALSE)))+1),(((D12333/100)*(C12333*VLOOKUP(B12333,'Poids des runes'!A:B,2,FALSE)))+1)/VLOOKUP(B12333,'Poids des runes'!A:B,2,FALSE))</f>
        <v>43.971499999999999</v>
      </c>
      <c r="F12333">
        <f t="shared" si="192"/>
        <v>43.971499999999999</v>
      </c>
    </row>
    <row r="12334" spans="1:6" x14ac:dyDescent="0.3">
      <c r="A12334" t="s">
        <v>1994</v>
      </c>
      <c r="B12334" t="s">
        <v>2136</v>
      </c>
      <c r="C12334">
        <v>8</v>
      </c>
      <c r="D12334">
        <v>143</v>
      </c>
      <c r="E12334">
        <f>IF(OR(B12334="vi",B12334="ii",B12334="pod"),(((D12334/100)*(C12334*VLOOKUP(B12334,'Poids des runes'!A:B,2,FALSE)))+1),(((D12334/100)*(C12334*VLOOKUP(B12334,'Poids des runes'!A:B,2,FALSE)))+1)/VLOOKUP(B12334,'Poids des runes'!A:B,2,FALSE))</f>
        <v>11.94</v>
      </c>
      <c r="F12334">
        <f t="shared" si="192"/>
        <v>11.94</v>
      </c>
    </row>
    <row r="12335" spans="1:6" x14ac:dyDescent="0.3">
      <c r="A12335" t="s">
        <v>1995</v>
      </c>
      <c r="B12335" t="s">
        <v>2128</v>
      </c>
      <c r="C12335">
        <v>125.5</v>
      </c>
      <c r="D12335">
        <v>143</v>
      </c>
      <c r="E12335">
        <f>IF(OR(B12335="vi",B12335="ii",B12335="pod"),(((D12335/100)*(C12335*VLOOKUP(B12335,'Poids des runes'!A:B,2,FALSE)))+1),(((D12335/100)*(C12335*VLOOKUP(B12335,'Poids des runes'!A:B,2,FALSE)))+1)/VLOOKUP(B12335,'Poids des runes'!A:B,2,FALSE))</f>
        <v>36.893000000000001</v>
      </c>
      <c r="F12335">
        <f t="shared" si="192"/>
        <v>36.893000000000001</v>
      </c>
    </row>
    <row r="12336" spans="1:6" x14ac:dyDescent="0.3">
      <c r="A12336" t="s">
        <v>1995</v>
      </c>
      <c r="B12336" t="s">
        <v>2131</v>
      </c>
      <c r="C12336">
        <v>35.5</v>
      </c>
      <c r="D12336">
        <v>143</v>
      </c>
      <c r="E12336">
        <f>IF(OR(B12336="vi",B12336="ii",B12336="pod"),(((D12336/100)*(C12336*VLOOKUP(B12336,'Poids des runes'!A:B,2,FALSE)))+1),(((D12336/100)*(C12336*VLOOKUP(B12336,'Poids des runes'!A:B,2,FALSE)))+1)/VLOOKUP(B12336,'Poids des runes'!A:B,2,FALSE))</f>
        <v>51.765000000000001</v>
      </c>
      <c r="F12336">
        <f t="shared" si="192"/>
        <v>51.765000000000001</v>
      </c>
    </row>
    <row r="12337" spans="1:6" x14ac:dyDescent="0.3">
      <c r="A12337" t="s">
        <v>1995</v>
      </c>
      <c r="B12337" t="s">
        <v>2139</v>
      </c>
      <c r="C12337">
        <v>13</v>
      </c>
      <c r="D12337">
        <v>143</v>
      </c>
      <c r="E12337">
        <f>IF(OR(B12337="vi",B12337="ii",B12337="pod"),(((D12337/100)*(C12337*VLOOKUP(B12337,'Poids des runes'!A:B,2,FALSE)))+1),(((D12337/100)*(C12337*VLOOKUP(B12337,'Poids des runes'!A:B,2,FALSE)))+1)/VLOOKUP(B12337,'Poids des runes'!A:B,2,FALSE))</f>
        <v>19.09</v>
      </c>
      <c r="F12337">
        <f t="shared" si="192"/>
        <v>19.09</v>
      </c>
    </row>
    <row r="12338" spans="1:6" x14ac:dyDescent="0.3">
      <c r="A12338" t="s">
        <v>1995</v>
      </c>
      <c r="B12338" t="s">
        <v>2150</v>
      </c>
      <c r="C12338">
        <v>1</v>
      </c>
      <c r="D12338">
        <v>143</v>
      </c>
      <c r="E12338">
        <f>IF(OR(B12338="vi",B12338="ii",B12338="pod"),(((D12338/100)*(C12338*VLOOKUP(B12338,'Poids des runes'!A:B,2,FALSE)))+1),(((D12338/100)*(C12338*VLOOKUP(B12338,'Poids des runes'!A:B,2,FALSE)))+1)/VLOOKUP(B12338,'Poids des runes'!A:B,2,FALSE))</f>
        <v>1.4633333333333334</v>
      </c>
      <c r="F12338">
        <f t="shared" si="192"/>
        <v>1.4633333333333334</v>
      </c>
    </row>
    <row r="12339" spans="1:6" x14ac:dyDescent="0.3">
      <c r="A12339" t="s">
        <v>1995</v>
      </c>
      <c r="B12339" t="s">
        <v>2133</v>
      </c>
      <c r="C12339">
        <v>6</v>
      </c>
      <c r="D12339">
        <v>143</v>
      </c>
      <c r="E12339">
        <f>IF(OR(B12339="vi",B12339="ii",B12339="pod"),(((D12339/100)*(C12339*VLOOKUP(B12339,'Poids des runes'!A:B,2,FALSE)))+1),(((D12339/100)*(C12339*VLOOKUP(B12339,'Poids des runes'!A:B,2,FALSE)))+1)/VLOOKUP(B12339,'Poids des runes'!A:B,2,FALSE))</f>
        <v>8.7799999999999994</v>
      </c>
      <c r="F12339">
        <f t="shared" si="192"/>
        <v>8.7799999999999994</v>
      </c>
    </row>
    <row r="12340" spans="1:6" x14ac:dyDescent="0.3">
      <c r="A12340" t="s">
        <v>1995</v>
      </c>
      <c r="B12340" t="s">
        <v>2161</v>
      </c>
      <c r="C12340">
        <v>13</v>
      </c>
      <c r="D12340">
        <v>143</v>
      </c>
      <c r="E12340">
        <f>IF(OR(B12340="vi",B12340="ii",B12340="pod"),(((D12340/100)*(C12340*VLOOKUP(B12340,'Poids des runes'!A:B,2,FALSE)))+1),(((D12340/100)*(C12340*VLOOKUP(B12340,'Poids des runes'!A:B,2,FALSE)))+1)/VLOOKUP(B12340,'Poids des runes'!A:B,2,FALSE))</f>
        <v>18.923333333333332</v>
      </c>
      <c r="F12340">
        <f t="shared" si="192"/>
        <v>18.923333333333332</v>
      </c>
    </row>
    <row r="12341" spans="1:6" x14ac:dyDescent="0.3">
      <c r="A12341" t="s">
        <v>1995</v>
      </c>
      <c r="B12341" t="s">
        <v>2156</v>
      </c>
      <c r="C12341">
        <v>6</v>
      </c>
      <c r="D12341">
        <v>143</v>
      </c>
      <c r="E12341">
        <f>IF(OR(B12341="vi",B12341="ii",B12341="pod"),(((D12341/100)*(C12341*VLOOKUP(B12341,'Poids des runes'!A:B,2,FALSE)))+1),(((D12341/100)*(C12341*VLOOKUP(B12341,'Poids des runes'!A:B,2,FALSE)))+1)/VLOOKUP(B12341,'Poids des runes'!A:B,2,FALSE))</f>
        <v>8.7466666666666661</v>
      </c>
      <c r="F12341">
        <f t="shared" si="192"/>
        <v>8.7466666666666661</v>
      </c>
    </row>
    <row r="12342" spans="1:6" x14ac:dyDescent="0.3">
      <c r="A12342" t="s">
        <v>1995</v>
      </c>
      <c r="B12342" t="s">
        <v>2157</v>
      </c>
      <c r="C12342">
        <v>6</v>
      </c>
      <c r="D12342">
        <v>143</v>
      </c>
      <c r="E12342">
        <f>IF(OR(B12342="vi",B12342="ii",B12342="pod"),(((D12342/100)*(C12342*VLOOKUP(B12342,'Poids des runes'!A:B,2,FALSE)))+1),(((D12342/100)*(C12342*VLOOKUP(B12342,'Poids des runes'!A:B,2,FALSE)))+1)/VLOOKUP(B12342,'Poids des runes'!A:B,2,FALSE))</f>
        <v>8.7466666666666661</v>
      </c>
      <c r="F12342">
        <f t="shared" si="192"/>
        <v>8.7466666666666661</v>
      </c>
    </row>
    <row r="12343" spans="1:6" x14ac:dyDescent="0.3">
      <c r="A12343" t="s">
        <v>1996</v>
      </c>
      <c r="B12343" t="s">
        <v>2128</v>
      </c>
      <c r="C12343">
        <v>275.5</v>
      </c>
      <c r="D12343">
        <v>144</v>
      </c>
      <c r="E12343">
        <f>IF(OR(B12343="vi",B12343="ii",B12343="pod"),(((D12343/100)*(C12343*VLOOKUP(B12343,'Poids des runes'!A:B,2,FALSE)))+1),(((D12343/100)*(C12343*VLOOKUP(B12343,'Poids des runes'!A:B,2,FALSE)))+1)/VLOOKUP(B12343,'Poids des runes'!A:B,2,FALSE))</f>
        <v>80.343999999999994</v>
      </c>
      <c r="F12343">
        <f t="shared" si="192"/>
        <v>80.343999999999994</v>
      </c>
    </row>
    <row r="12344" spans="1:6" x14ac:dyDescent="0.3">
      <c r="A12344" t="s">
        <v>1996</v>
      </c>
      <c r="B12344" t="s">
        <v>2127</v>
      </c>
      <c r="C12344">
        <v>50.5</v>
      </c>
      <c r="D12344">
        <v>144</v>
      </c>
      <c r="E12344">
        <f>IF(OR(B12344="vi",B12344="ii",B12344="pod"),(((D12344/100)*(C12344*VLOOKUP(B12344,'Poids des runes'!A:B,2,FALSE)))+1),(((D12344/100)*(C12344*VLOOKUP(B12344,'Poids des runes'!A:B,2,FALSE)))+1)/VLOOKUP(B12344,'Poids des runes'!A:B,2,FALSE))</f>
        <v>73.72</v>
      </c>
      <c r="F12344">
        <f t="shared" si="192"/>
        <v>73.72</v>
      </c>
    </row>
    <row r="12345" spans="1:6" x14ac:dyDescent="0.3">
      <c r="A12345" t="s">
        <v>1996</v>
      </c>
      <c r="B12345" t="s">
        <v>2129</v>
      </c>
      <c r="C12345">
        <v>50.5</v>
      </c>
      <c r="D12345">
        <v>144</v>
      </c>
      <c r="E12345">
        <f>IF(OR(B12345="vi",B12345="ii",B12345="pod"),(((D12345/100)*(C12345*VLOOKUP(B12345,'Poids des runes'!A:B,2,FALSE)))+1),(((D12345/100)*(C12345*VLOOKUP(B12345,'Poids des runes'!A:B,2,FALSE)))+1)/VLOOKUP(B12345,'Poids des runes'!A:B,2,FALSE))</f>
        <v>73.72</v>
      </c>
      <c r="F12345">
        <f t="shared" si="192"/>
        <v>73.72</v>
      </c>
    </row>
    <row r="12346" spans="1:6" x14ac:dyDescent="0.3">
      <c r="A12346" t="s">
        <v>1996</v>
      </c>
      <c r="B12346" t="s">
        <v>2134</v>
      </c>
      <c r="C12346">
        <v>8</v>
      </c>
      <c r="D12346">
        <v>144</v>
      </c>
      <c r="E12346">
        <f>IF(OR(B12346="vi",B12346="ii",B12346="pod"),(((D12346/100)*(C12346*VLOOKUP(B12346,'Poids des runes'!A:B,2,FALSE)))+1),(((D12346/100)*(C12346*VLOOKUP(B12346,'Poids des runes'!A:B,2,FALSE)))+1)/VLOOKUP(B12346,'Poids des runes'!A:B,2,FALSE))</f>
        <v>11.569999999999999</v>
      </c>
      <c r="F12346">
        <f t="shared" si="192"/>
        <v>11.569999999999999</v>
      </c>
    </row>
    <row r="12347" spans="1:6" x14ac:dyDescent="0.3">
      <c r="A12347" t="s">
        <v>1996</v>
      </c>
      <c r="B12347" t="s">
        <v>2161</v>
      </c>
      <c r="C12347">
        <v>15.5</v>
      </c>
      <c r="D12347">
        <v>144</v>
      </c>
      <c r="E12347">
        <f>IF(OR(B12347="vi",B12347="ii",B12347="pod"),(((D12347/100)*(C12347*VLOOKUP(B12347,'Poids des runes'!A:B,2,FALSE)))+1),(((D12347/100)*(C12347*VLOOKUP(B12347,'Poids des runes'!A:B,2,FALSE)))+1)/VLOOKUP(B12347,'Poids des runes'!A:B,2,FALSE))</f>
        <v>22.653333333333332</v>
      </c>
      <c r="F12347">
        <f t="shared" si="192"/>
        <v>22.653333333333332</v>
      </c>
    </row>
    <row r="12348" spans="1:6" x14ac:dyDescent="0.3">
      <c r="A12348" t="s">
        <v>1997</v>
      </c>
      <c r="B12348" t="s">
        <v>2128</v>
      </c>
      <c r="C12348">
        <v>125.5</v>
      </c>
      <c r="D12348">
        <v>145</v>
      </c>
      <c r="E12348">
        <f>IF(OR(B12348="vi",B12348="ii",B12348="pod"),(((D12348/100)*(C12348*VLOOKUP(B12348,'Poids des runes'!A:B,2,FALSE)))+1),(((D12348/100)*(C12348*VLOOKUP(B12348,'Poids des runes'!A:B,2,FALSE)))+1)/VLOOKUP(B12348,'Poids des runes'!A:B,2,FALSE))</f>
        <v>37.395000000000003</v>
      </c>
      <c r="F12348">
        <f t="shared" si="192"/>
        <v>37.395000000000003</v>
      </c>
    </row>
    <row r="12349" spans="1:6" x14ac:dyDescent="0.3">
      <c r="A12349" t="s">
        <v>1997</v>
      </c>
      <c r="B12349" t="s">
        <v>2126</v>
      </c>
      <c r="C12349">
        <v>40.5</v>
      </c>
      <c r="D12349">
        <v>145</v>
      </c>
      <c r="E12349">
        <f>IF(OR(B12349="vi",B12349="ii",B12349="pod"),(((D12349/100)*(C12349*VLOOKUP(B12349,'Poids des runes'!A:B,2,FALSE)))+1),(((D12349/100)*(C12349*VLOOKUP(B12349,'Poids des runes'!A:B,2,FALSE)))+1)/VLOOKUP(B12349,'Poids des runes'!A:B,2,FALSE))</f>
        <v>59.725000000000001</v>
      </c>
      <c r="F12349">
        <f t="shared" si="192"/>
        <v>59.725000000000001</v>
      </c>
    </row>
    <row r="12350" spans="1:6" x14ac:dyDescent="0.3">
      <c r="A12350" t="s">
        <v>1997</v>
      </c>
      <c r="B12350" t="s">
        <v>2129</v>
      </c>
      <c r="C12350">
        <v>30.5</v>
      </c>
      <c r="D12350">
        <v>145</v>
      </c>
      <c r="E12350">
        <f>IF(OR(B12350="vi",B12350="ii",B12350="pod"),(((D12350/100)*(C12350*VLOOKUP(B12350,'Poids des runes'!A:B,2,FALSE)))+1),(((D12350/100)*(C12350*VLOOKUP(B12350,'Poids des runes'!A:B,2,FALSE)))+1)/VLOOKUP(B12350,'Poids des runes'!A:B,2,FALSE))</f>
        <v>45.225000000000001</v>
      </c>
      <c r="F12350">
        <f t="shared" si="192"/>
        <v>45.225000000000001</v>
      </c>
    </row>
    <row r="12351" spans="1:6" x14ac:dyDescent="0.3">
      <c r="A12351" t="s">
        <v>1997</v>
      </c>
      <c r="B12351" t="s">
        <v>2151</v>
      </c>
      <c r="C12351">
        <v>3.5</v>
      </c>
      <c r="D12351">
        <v>145</v>
      </c>
      <c r="E12351">
        <f>IF(OR(B12351="vi",B12351="ii",B12351="pod"),(((D12351/100)*(C12351*VLOOKUP(B12351,'Poids des runes'!A:B,2,FALSE)))+1),(((D12351/100)*(C12351*VLOOKUP(B12351,'Poids des runes'!A:B,2,FALSE)))+1)/VLOOKUP(B12351,'Poids des runes'!A:B,2,FALSE))</f>
        <v>5.1749999999999998</v>
      </c>
      <c r="F12351">
        <f t="shared" si="192"/>
        <v>5.1749999999999998</v>
      </c>
    </row>
    <row r="12352" spans="1:6" x14ac:dyDescent="0.3">
      <c r="A12352" t="s">
        <v>1997</v>
      </c>
      <c r="B12352" t="s">
        <v>2149</v>
      </c>
      <c r="C12352">
        <v>6</v>
      </c>
      <c r="D12352">
        <v>145</v>
      </c>
      <c r="E12352">
        <f>IF(OR(B12352="vi",B12352="ii",B12352="pod"),(((D12352/100)*(C12352*VLOOKUP(B12352,'Poids des runes'!A:B,2,FALSE)))+1),(((D12352/100)*(C12352*VLOOKUP(B12352,'Poids des runes'!A:B,2,FALSE)))+1)/VLOOKUP(B12352,'Poids des runes'!A:B,2,FALSE))</f>
        <v>8.8000000000000007</v>
      </c>
      <c r="F12352">
        <f t="shared" si="192"/>
        <v>8.8000000000000007</v>
      </c>
    </row>
    <row r="12353" spans="1:6" x14ac:dyDescent="0.3">
      <c r="A12353" t="s">
        <v>1998</v>
      </c>
      <c r="B12353" t="s">
        <v>2128</v>
      </c>
      <c r="C12353">
        <v>175.5</v>
      </c>
      <c r="D12353">
        <v>145</v>
      </c>
      <c r="E12353">
        <f>IF(OR(B12353="vi",B12353="ii",B12353="pod"),(((D12353/100)*(C12353*VLOOKUP(B12353,'Poids des runes'!A:B,2,FALSE)))+1),(((D12353/100)*(C12353*VLOOKUP(B12353,'Poids des runes'!A:B,2,FALSE)))+1)/VLOOKUP(B12353,'Poids des runes'!A:B,2,FALSE))</f>
        <v>51.895000000000003</v>
      </c>
      <c r="F12353">
        <f t="shared" si="192"/>
        <v>51.895000000000003</v>
      </c>
    </row>
    <row r="12354" spans="1:6" x14ac:dyDescent="0.3">
      <c r="A12354" t="s">
        <v>1998</v>
      </c>
      <c r="B12354" t="s">
        <v>2129</v>
      </c>
      <c r="C12354">
        <v>28</v>
      </c>
      <c r="D12354">
        <v>145</v>
      </c>
      <c r="E12354">
        <f>IF(OR(B12354="vi",B12354="ii",B12354="pod"),(((D12354/100)*(C12354*VLOOKUP(B12354,'Poids des runes'!A:B,2,FALSE)))+1),(((D12354/100)*(C12354*VLOOKUP(B12354,'Poids des runes'!A:B,2,FALSE)))+1)/VLOOKUP(B12354,'Poids des runes'!A:B,2,FALSE))</f>
        <v>41.6</v>
      </c>
      <c r="F12354">
        <f t="shared" si="192"/>
        <v>41.6</v>
      </c>
    </row>
    <row r="12355" spans="1:6" x14ac:dyDescent="0.3">
      <c r="A12355" t="s">
        <v>1998</v>
      </c>
      <c r="B12355" t="s">
        <v>2139</v>
      </c>
      <c r="C12355">
        <v>40.5</v>
      </c>
      <c r="D12355">
        <v>145</v>
      </c>
      <c r="E12355">
        <f>IF(OR(B12355="vi",B12355="ii",B12355="pod"),(((D12355/100)*(C12355*VLOOKUP(B12355,'Poids des runes'!A:B,2,FALSE)))+1),(((D12355/100)*(C12355*VLOOKUP(B12355,'Poids des runes'!A:B,2,FALSE)))+1)/VLOOKUP(B12355,'Poids des runes'!A:B,2,FALSE))</f>
        <v>59.225000000000001</v>
      </c>
      <c r="F12355">
        <f t="shared" ref="F12355:F12418" si="193">E12355</f>
        <v>59.225000000000001</v>
      </c>
    </row>
    <row r="12356" spans="1:6" x14ac:dyDescent="0.3">
      <c r="A12356" t="s">
        <v>1998</v>
      </c>
      <c r="B12356" t="s">
        <v>2151</v>
      </c>
      <c r="C12356">
        <v>3.5</v>
      </c>
      <c r="D12356">
        <v>145</v>
      </c>
      <c r="E12356">
        <f>IF(OR(B12356="vi",B12356="ii",B12356="pod"),(((D12356/100)*(C12356*VLOOKUP(B12356,'Poids des runes'!A:B,2,FALSE)))+1),(((D12356/100)*(C12356*VLOOKUP(B12356,'Poids des runes'!A:B,2,FALSE)))+1)/VLOOKUP(B12356,'Poids des runes'!A:B,2,FALSE))</f>
        <v>5.1749999999999998</v>
      </c>
      <c r="F12356">
        <f t="shared" si="193"/>
        <v>5.1749999999999998</v>
      </c>
    </row>
    <row r="12357" spans="1:6" x14ac:dyDescent="0.3">
      <c r="A12357" t="s">
        <v>1998</v>
      </c>
      <c r="B12357" t="s">
        <v>2134</v>
      </c>
      <c r="C12357">
        <v>6.5</v>
      </c>
      <c r="D12357">
        <v>145</v>
      </c>
      <c r="E12357">
        <f>IF(OR(B12357="vi",B12357="ii",B12357="pod"),(((D12357/100)*(C12357*VLOOKUP(B12357,'Poids des runes'!A:B,2,FALSE)))+1),(((D12357/100)*(C12357*VLOOKUP(B12357,'Poids des runes'!A:B,2,FALSE)))+1)/VLOOKUP(B12357,'Poids des runes'!A:B,2,FALSE))</f>
        <v>9.4749999999999996</v>
      </c>
      <c r="F12357">
        <f t="shared" si="193"/>
        <v>9.4749999999999996</v>
      </c>
    </row>
    <row r="12358" spans="1:6" x14ac:dyDescent="0.3">
      <c r="A12358" t="s">
        <v>1998</v>
      </c>
      <c r="B12358" t="s">
        <v>2147</v>
      </c>
      <c r="C12358">
        <v>5</v>
      </c>
      <c r="D12358">
        <v>145</v>
      </c>
      <c r="E12358">
        <f>IF(OR(B12358="vi",B12358="ii",B12358="pod"),(((D12358/100)*(C12358*VLOOKUP(B12358,'Poids des runes'!A:B,2,FALSE)))+1),(((D12358/100)*(C12358*VLOOKUP(B12358,'Poids des runes'!A:B,2,FALSE)))+1)/VLOOKUP(B12358,'Poids des runes'!A:B,2,FALSE))</f>
        <v>7.416666666666667</v>
      </c>
      <c r="F12358">
        <f t="shared" si="193"/>
        <v>7.416666666666667</v>
      </c>
    </row>
    <row r="12359" spans="1:6" x14ac:dyDescent="0.3">
      <c r="A12359" t="s">
        <v>1999</v>
      </c>
      <c r="B12359" t="s">
        <v>2128</v>
      </c>
      <c r="C12359">
        <v>125.5</v>
      </c>
      <c r="D12359">
        <v>145</v>
      </c>
      <c r="E12359">
        <f>IF(OR(B12359="vi",B12359="ii",B12359="pod"),(((D12359/100)*(C12359*VLOOKUP(B12359,'Poids des runes'!A:B,2,FALSE)))+1),(((D12359/100)*(C12359*VLOOKUP(B12359,'Poids des runes'!A:B,2,FALSE)))+1)/VLOOKUP(B12359,'Poids des runes'!A:B,2,FALSE))</f>
        <v>37.395000000000003</v>
      </c>
      <c r="F12359">
        <f t="shared" si="193"/>
        <v>37.395000000000003</v>
      </c>
    </row>
    <row r="12360" spans="1:6" x14ac:dyDescent="0.3">
      <c r="A12360" t="s">
        <v>1999</v>
      </c>
      <c r="B12360" t="s">
        <v>2130</v>
      </c>
      <c r="C12360">
        <v>35.5</v>
      </c>
      <c r="D12360">
        <v>145</v>
      </c>
      <c r="E12360">
        <f>IF(OR(B12360="vi",B12360="ii",B12360="pod"),(((D12360/100)*(C12360*VLOOKUP(B12360,'Poids des runes'!A:B,2,FALSE)))+1),(((D12360/100)*(C12360*VLOOKUP(B12360,'Poids des runes'!A:B,2,FALSE)))+1)/VLOOKUP(B12360,'Poids des runes'!A:B,2,FALSE))</f>
        <v>52.475000000000001</v>
      </c>
      <c r="F12360">
        <f t="shared" si="193"/>
        <v>52.475000000000001</v>
      </c>
    </row>
    <row r="12361" spans="1:6" x14ac:dyDescent="0.3">
      <c r="A12361" t="s">
        <v>1999</v>
      </c>
      <c r="B12361" t="s">
        <v>2129</v>
      </c>
      <c r="C12361">
        <v>35.5</v>
      </c>
      <c r="D12361">
        <v>145</v>
      </c>
      <c r="E12361">
        <f>IF(OR(B12361="vi",B12361="ii",B12361="pod"),(((D12361/100)*(C12361*VLOOKUP(B12361,'Poids des runes'!A:B,2,FALSE)))+1),(((D12361/100)*(C12361*VLOOKUP(B12361,'Poids des runes'!A:B,2,FALSE)))+1)/VLOOKUP(B12361,'Poids des runes'!A:B,2,FALSE))</f>
        <v>52.475000000000001</v>
      </c>
      <c r="F12361">
        <f t="shared" si="193"/>
        <v>52.475000000000001</v>
      </c>
    </row>
    <row r="12362" spans="1:6" x14ac:dyDescent="0.3">
      <c r="A12362" t="s">
        <v>1999</v>
      </c>
      <c r="B12362" t="s">
        <v>2139</v>
      </c>
      <c r="C12362">
        <v>18</v>
      </c>
      <c r="D12362">
        <v>145</v>
      </c>
      <c r="E12362">
        <f>IF(OR(B12362="vi",B12362="ii",B12362="pod"),(((D12362/100)*(C12362*VLOOKUP(B12362,'Poids des runes'!A:B,2,FALSE)))+1),(((D12362/100)*(C12362*VLOOKUP(B12362,'Poids des runes'!A:B,2,FALSE)))+1)/VLOOKUP(B12362,'Poids des runes'!A:B,2,FALSE))</f>
        <v>26.599999999999998</v>
      </c>
      <c r="F12362">
        <f t="shared" si="193"/>
        <v>26.599999999999998</v>
      </c>
    </row>
    <row r="12363" spans="1:6" x14ac:dyDescent="0.3">
      <c r="A12363" t="s">
        <v>1999</v>
      </c>
      <c r="B12363" t="s">
        <v>2143</v>
      </c>
      <c r="C12363">
        <v>6</v>
      </c>
      <c r="D12363">
        <v>145</v>
      </c>
      <c r="E12363">
        <f>IF(OR(B12363="vi",B12363="ii",B12363="pod"),(((D12363/100)*(C12363*VLOOKUP(B12363,'Poids des runes'!A:B,2,FALSE)))+1),(((D12363/100)*(C12363*VLOOKUP(B12363,'Poids des runes'!A:B,2,FALSE)))+1)/VLOOKUP(B12363,'Poids des runes'!A:B,2,FALSE))</f>
        <v>8.9</v>
      </c>
      <c r="F12363">
        <f t="shared" si="193"/>
        <v>8.9</v>
      </c>
    </row>
    <row r="12364" spans="1:6" x14ac:dyDescent="0.3">
      <c r="A12364" t="s">
        <v>1999</v>
      </c>
      <c r="B12364" t="s">
        <v>2140</v>
      </c>
      <c r="C12364">
        <v>8.5</v>
      </c>
      <c r="D12364">
        <v>145</v>
      </c>
      <c r="E12364">
        <f>IF(OR(B12364="vi",B12364="ii",B12364="pod"),(((D12364/100)*(C12364*VLOOKUP(B12364,'Poids des runes'!A:B,2,FALSE)))+1),(((D12364/100)*(C12364*VLOOKUP(B12364,'Poids des runes'!A:B,2,FALSE)))+1)/VLOOKUP(B12364,'Poids des runes'!A:B,2,FALSE))</f>
        <v>12.525</v>
      </c>
      <c r="F12364">
        <f t="shared" si="193"/>
        <v>12.525</v>
      </c>
    </row>
    <row r="12365" spans="1:6" x14ac:dyDescent="0.3">
      <c r="A12365" t="s">
        <v>1999</v>
      </c>
      <c r="B12365" t="s">
        <v>2133</v>
      </c>
      <c r="C12365">
        <v>8.5</v>
      </c>
      <c r="D12365">
        <v>145</v>
      </c>
      <c r="E12365">
        <f>IF(OR(B12365="vi",B12365="ii",B12365="pod"),(((D12365/100)*(C12365*VLOOKUP(B12365,'Poids des runes'!A:B,2,FALSE)))+1),(((D12365/100)*(C12365*VLOOKUP(B12365,'Poids des runes'!A:B,2,FALSE)))+1)/VLOOKUP(B12365,'Poids des runes'!A:B,2,FALSE))</f>
        <v>12.525</v>
      </c>
      <c r="F12365">
        <f t="shared" si="193"/>
        <v>12.525</v>
      </c>
    </row>
    <row r="12366" spans="1:6" x14ac:dyDescent="0.3">
      <c r="A12366" t="s">
        <v>1999</v>
      </c>
      <c r="B12366" t="s">
        <v>2153</v>
      </c>
      <c r="C12366">
        <v>8.5</v>
      </c>
      <c r="D12366">
        <v>145</v>
      </c>
      <c r="E12366">
        <f>IF(OR(B12366="vi",B12366="ii",B12366="pod"),(((D12366/100)*(C12366*VLOOKUP(B12366,'Poids des runes'!A:B,2,FALSE)))+1),(((D12366/100)*(C12366*VLOOKUP(B12366,'Poids des runes'!A:B,2,FALSE)))+1)/VLOOKUP(B12366,'Poids des runes'!A:B,2,FALSE))</f>
        <v>12.525</v>
      </c>
      <c r="F12366">
        <f t="shared" si="193"/>
        <v>12.525</v>
      </c>
    </row>
    <row r="12367" spans="1:6" x14ac:dyDescent="0.3">
      <c r="A12367" t="s">
        <v>1999</v>
      </c>
      <c r="B12367" t="s">
        <v>2161</v>
      </c>
      <c r="C12367">
        <v>15.5</v>
      </c>
      <c r="D12367">
        <v>145</v>
      </c>
      <c r="E12367">
        <f>IF(OR(B12367="vi",B12367="ii",B12367="pod"),(((D12367/100)*(C12367*VLOOKUP(B12367,'Poids des runes'!A:B,2,FALSE)))+1),(((D12367/100)*(C12367*VLOOKUP(B12367,'Poids des runes'!A:B,2,FALSE)))+1)/VLOOKUP(B12367,'Poids des runes'!A:B,2,FALSE))</f>
        <v>22.808333333333334</v>
      </c>
      <c r="F12367">
        <f t="shared" si="193"/>
        <v>22.808333333333334</v>
      </c>
    </row>
    <row r="12368" spans="1:6" x14ac:dyDescent="0.3">
      <c r="A12368" t="s">
        <v>1999</v>
      </c>
      <c r="B12368" t="s">
        <v>2142</v>
      </c>
      <c r="C12368">
        <v>8.5</v>
      </c>
      <c r="D12368">
        <v>145</v>
      </c>
      <c r="E12368">
        <f>IF(OR(B12368="vi",B12368="ii",B12368="pod"),(((D12368/100)*(C12368*VLOOKUP(B12368,'Poids des runes'!A:B,2,FALSE)))+1),(((D12368/100)*(C12368*VLOOKUP(B12368,'Poids des runes'!A:B,2,FALSE)))+1)/VLOOKUP(B12368,'Poids des runes'!A:B,2,FALSE))</f>
        <v>12.525</v>
      </c>
      <c r="F12368">
        <f t="shared" si="193"/>
        <v>12.525</v>
      </c>
    </row>
    <row r="12369" spans="1:6" x14ac:dyDescent="0.3">
      <c r="A12369" t="s">
        <v>1999</v>
      </c>
      <c r="B12369" t="s">
        <v>2137</v>
      </c>
      <c r="C12369">
        <v>8.5</v>
      </c>
      <c r="D12369">
        <v>145</v>
      </c>
      <c r="E12369">
        <f>IF(OR(B12369="vi",B12369="ii",B12369="pod"),(((D12369/100)*(C12369*VLOOKUP(B12369,'Poids des runes'!A:B,2,FALSE)))+1),(((D12369/100)*(C12369*VLOOKUP(B12369,'Poids des runes'!A:B,2,FALSE)))+1)/VLOOKUP(B12369,'Poids des runes'!A:B,2,FALSE))</f>
        <v>12.824999999999999</v>
      </c>
      <c r="F12369">
        <f t="shared" si="193"/>
        <v>12.824999999999999</v>
      </c>
    </row>
    <row r="12370" spans="1:6" x14ac:dyDescent="0.3">
      <c r="A12370" t="s">
        <v>1999</v>
      </c>
      <c r="B12370" t="s">
        <v>2146</v>
      </c>
      <c r="C12370">
        <v>8.5</v>
      </c>
      <c r="D12370">
        <v>145</v>
      </c>
      <c r="E12370">
        <f>IF(OR(B12370="vi",B12370="ii",B12370="pod"),(((D12370/100)*(C12370*VLOOKUP(B12370,'Poids des runes'!A:B,2,FALSE)))+1),(((D12370/100)*(C12370*VLOOKUP(B12370,'Poids des runes'!A:B,2,FALSE)))+1)/VLOOKUP(B12370,'Poids des runes'!A:B,2,FALSE))</f>
        <v>12.824999999999999</v>
      </c>
      <c r="F12370">
        <f t="shared" si="193"/>
        <v>12.824999999999999</v>
      </c>
    </row>
    <row r="12371" spans="1:6" x14ac:dyDescent="0.3">
      <c r="A12371" t="s">
        <v>2000</v>
      </c>
      <c r="B12371" t="s">
        <v>2128</v>
      </c>
      <c r="C12371">
        <v>175.5</v>
      </c>
      <c r="D12371">
        <v>147</v>
      </c>
      <c r="E12371">
        <f>IF(OR(B12371="vi",B12371="ii",B12371="pod"),(((D12371/100)*(C12371*VLOOKUP(B12371,'Poids des runes'!A:B,2,FALSE)))+1),(((D12371/100)*(C12371*VLOOKUP(B12371,'Poids des runes'!A:B,2,FALSE)))+1)/VLOOKUP(B12371,'Poids des runes'!A:B,2,FALSE))</f>
        <v>52.597000000000001</v>
      </c>
      <c r="F12371">
        <f t="shared" si="193"/>
        <v>52.597000000000001</v>
      </c>
    </row>
    <row r="12372" spans="1:6" x14ac:dyDescent="0.3">
      <c r="A12372" t="s">
        <v>2000</v>
      </c>
      <c r="B12372" t="s">
        <v>2130</v>
      </c>
      <c r="C12372">
        <v>25.5</v>
      </c>
      <c r="D12372">
        <v>147</v>
      </c>
      <c r="E12372">
        <f>IF(OR(B12372="vi",B12372="ii",B12372="pod"),(((D12372/100)*(C12372*VLOOKUP(B12372,'Poids des runes'!A:B,2,FALSE)))+1),(((D12372/100)*(C12372*VLOOKUP(B12372,'Poids des runes'!A:B,2,FALSE)))+1)/VLOOKUP(B12372,'Poids des runes'!A:B,2,FALSE))</f>
        <v>38.484999999999999</v>
      </c>
      <c r="F12372">
        <f t="shared" si="193"/>
        <v>38.484999999999999</v>
      </c>
    </row>
    <row r="12373" spans="1:6" x14ac:dyDescent="0.3">
      <c r="A12373" t="s">
        <v>2000</v>
      </c>
      <c r="B12373" t="s">
        <v>2131</v>
      </c>
      <c r="C12373">
        <v>50.5</v>
      </c>
      <c r="D12373">
        <v>147</v>
      </c>
      <c r="E12373">
        <f>IF(OR(B12373="vi",B12373="ii",B12373="pod"),(((D12373/100)*(C12373*VLOOKUP(B12373,'Poids des runes'!A:B,2,FALSE)))+1),(((D12373/100)*(C12373*VLOOKUP(B12373,'Poids des runes'!A:B,2,FALSE)))+1)/VLOOKUP(B12373,'Poids des runes'!A:B,2,FALSE))</f>
        <v>75.234999999999999</v>
      </c>
      <c r="F12373">
        <f t="shared" si="193"/>
        <v>75.234999999999999</v>
      </c>
    </row>
    <row r="12374" spans="1:6" x14ac:dyDescent="0.3">
      <c r="A12374" t="s">
        <v>2000</v>
      </c>
      <c r="B12374" t="s">
        <v>2129</v>
      </c>
      <c r="C12374">
        <v>35.5</v>
      </c>
      <c r="D12374">
        <v>147</v>
      </c>
      <c r="E12374">
        <f>IF(OR(B12374="vi",B12374="ii",B12374="pod"),(((D12374/100)*(C12374*VLOOKUP(B12374,'Poids des runes'!A:B,2,FALSE)))+1),(((D12374/100)*(C12374*VLOOKUP(B12374,'Poids des runes'!A:B,2,FALSE)))+1)/VLOOKUP(B12374,'Poids des runes'!A:B,2,FALSE))</f>
        <v>53.185000000000002</v>
      </c>
      <c r="F12374">
        <f t="shared" si="193"/>
        <v>53.185000000000002</v>
      </c>
    </row>
    <row r="12375" spans="1:6" x14ac:dyDescent="0.3">
      <c r="A12375" t="s">
        <v>2000</v>
      </c>
      <c r="B12375" t="s">
        <v>2151</v>
      </c>
      <c r="C12375">
        <v>3.5</v>
      </c>
      <c r="D12375">
        <v>147</v>
      </c>
      <c r="E12375">
        <f>IF(OR(B12375="vi",B12375="ii",B12375="pod"),(((D12375/100)*(C12375*VLOOKUP(B12375,'Poids des runes'!A:B,2,FALSE)))+1),(((D12375/100)*(C12375*VLOOKUP(B12375,'Poids des runes'!A:B,2,FALSE)))+1)/VLOOKUP(B12375,'Poids des runes'!A:B,2,FALSE))</f>
        <v>5.2449999999999992</v>
      </c>
      <c r="F12375">
        <f t="shared" si="193"/>
        <v>5.2449999999999992</v>
      </c>
    </row>
    <row r="12376" spans="1:6" x14ac:dyDescent="0.3">
      <c r="A12376" t="s">
        <v>2000</v>
      </c>
      <c r="B12376" t="s">
        <v>2155</v>
      </c>
      <c r="C12376">
        <v>1</v>
      </c>
      <c r="D12376">
        <v>147</v>
      </c>
      <c r="E12376">
        <f>IF(OR(B12376="vi",B12376="ii",B12376="pod"),(((D12376/100)*(C12376*VLOOKUP(B12376,'Poids des runes'!A:B,2,FALSE)))+1),(((D12376/100)*(C12376*VLOOKUP(B12376,'Poids des runes'!A:B,2,FALSE)))+1)/VLOOKUP(B12376,'Poids des runes'!A:B,2,FALSE))</f>
        <v>1.4896078431372548</v>
      </c>
      <c r="F12376">
        <f t="shared" si="193"/>
        <v>1.4896078431372548</v>
      </c>
    </row>
    <row r="12377" spans="1:6" x14ac:dyDescent="0.3">
      <c r="A12377" t="s">
        <v>2000</v>
      </c>
      <c r="B12377" t="s">
        <v>2143</v>
      </c>
      <c r="C12377">
        <v>6</v>
      </c>
      <c r="D12377">
        <v>147</v>
      </c>
      <c r="E12377">
        <f>IF(OR(B12377="vi",B12377="ii",B12377="pod"),(((D12377/100)*(C12377*VLOOKUP(B12377,'Poids des runes'!A:B,2,FALSE)))+1),(((D12377/100)*(C12377*VLOOKUP(B12377,'Poids des runes'!A:B,2,FALSE)))+1)/VLOOKUP(B12377,'Poids des runes'!A:B,2,FALSE))</f>
        <v>9.02</v>
      </c>
      <c r="F12377">
        <f t="shared" si="193"/>
        <v>9.02</v>
      </c>
    </row>
    <row r="12378" spans="1:6" x14ac:dyDescent="0.3">
      <c r="A12378" t="s">
        <v>2000</v>
      </c>
      <c r="B12378" t="s">
        <v>2133</v>
      </c>
      <c r="C12378">
        <v>6</v>
      </c>
      <c r="D12378">
        <v>147</v>
      </c>
      <c r="E12378">
        <f>IF(OR(B12378="vi",B12378="ii",B12378="pod"),(((D12378/100)*(C12378*VLOOKUP(B12378,'Poids des runes'!A:B,2,FALSE)))+1),(((D12378/100)*(C12378*VLOOKUP(B12378,'Poids des runes'!A:B,2,FALSE)))+1)/VLOOKUP(B12378,'Poids des runes'!A:B,2,FALSE))</f>
        <v>9.02</v>
      </c>
      <c r="F12378">
        <f t="shared" si="193"/>
        <v>9.02</v>
      </c>
    </row>
    <row r="12379" spans="1:6" x14ac:dyDescent="0.3">
      <c r="A12379" t="s">
        <v>2000</v>
      </c>
      <c r="B12379" t="s">
        <v>2161</v>
      </c>
      <c r="C12379">
        <v>20.5</v>
      </c>
      <c r="D12379">
        <v>147</v>
      </c>
      <c r="E12379">
        <f>IF(OR(B12379="vi",B12379="ii",B12379="pod"),(((D12379/100)*(C12379*VLOOKUP(B12379,'Poids des runes'!A:B,2,FALSE)))+1),(((D12379/100)*(C12379*VLOOKUP(B12379,'Poids des runes'!A:B,2,FALSE)))+1)/VLOOKUP(B12379,'Poids des runes'!A:B,2,FALSE))</f>
        <v>30.468333333333334</v>
      </c>
      <c r="F12379">
        <f t="shared" si="193"/>
        <v>30.468333333333334</v>
      </c>
    </row>
    <row r="12380" spans="1:6" x14ac:dyDescent="0.3">
      <c r="A12380" t="s">
        <v>2000</v>
      </c>
      <c r="B12380" t="s">
        <v>2163</v>
      </c>
      <c r="C12380">
        <v>8.5</v>
      </c>
      <c r="D12380">
        <v>147</v>
      </c>
      <c r="E12380">
        <f>IF(OR(B12380="vi",B12380="ii",B12380="pod"),(((D12380/100)*(C12380*VLOOKUP(B12380,'Poids des runes'!A:B,2,FALSE)))+1),(((D12380/100)*(C12380*VLOOKUP(B12380,'Poids des runes'!A:B,2,FALSE)))+1)/VLOOKUP(B12380,'Poids des runes'!A:B,2,FALSE))</f>
        <v>12.994999999999999</v>
      </c>
      <c r="F12380">
        <f t="shared" si="193"/>
        <v>12.994999999999999</v>
      </c>
    </row>
    <row r="12381" spans="1:6" x14ac:dyDescent="0.3">
      <c r="A12381" t="s">
        <v>2000</v>
      </c>
      <c r="B12381" t="s">
        <v>2136</v>
      </c>
      <c r="C12381">
        <v>8.5</v>
      </c>
      <c r="D12381">
        <v>147</v>
      </c>
      <c r="E12381">
        <f>IF(OR(B12381="vi",B12381="ii",B12381="pod"),(((D12381/100)*(C12381*VLOOKUP(B12381,'Poids des runes'!A:B,2,FALSE)))+1),(((D12381/100)*(C12381*VLOOKUP(B12381,'Poids des runes'!A:B,2,FALSE)))+1)/VLOOKUP(B12381,'Poids des runes'!A:B,2,FALSE))</f>
        <v>12.994999999999999</v>
      </c>
      <c r="F12381">
        <f t="shared" si="193"/>
        <v>12.994999999999999</v>
      </c>
    </row>
    <row r="12382" spans="1:6" x14ac:dyDescent="0.3">
      <c r="A12382" t="s">
        <v>2000</v>
      </c>
      <c r="B12382" t="s">
        <v>2137</v>
      </c>
      <c r="C12382">
        <v>8.5</v>
      </c>
      <c r="D12382">
        <v>147</v>
      </c>
      <c r="E12382">
        <f>IF(OR(B12382="vi",B12382="ii",B12382="pod"),(((D12382/100)*(C12382*VLOOKUP(B12382,'Poids des runes'!A:B,2,FALSE)))+1),(((D12382/100)*(C12382*VLOOKUP(B12382,'Poids des runes'!A:B,2,FALSE)))+1)/VLOOKUP(B12382,'Poids des runes'!A:B,2,FALSE))</f>
        <v>12.994999999999999</v>
      </c>
      <c r="F12382">
        <f t="shared" si="193"/>
        <v>12.994999999999999</v>
      </c>
    </row>
    <row r="12383" spans="1:6" x14ac:dyDescent="0.3">
      <c r="A12383" t="s">
        <v>2001</v>
      </c>
      <c r="B12383" t="s">
        <v>2128</v>
      </c>
      <c r="C12383">
        <v>175.5</v>
      </c>
      <c r="D12383">
        <v>149</v>
      </c>
      <c r="E12383">
        <f>IF(OR(B12383="vi",B12383="ii",B12383="pod"),(((D12383/100)*(C12383*VLOOKUP(B12383,'Poids des runes'!A:B,2,FALSE)))+1),(((D12383/100)*(C12383*VLOOKUP(B12383,'Poids des runes'!A:B,2,FALSE)))+1)/VLOOKUP(B12383,'Poids des runes'!A:B,2,FALSE))</f>
        <v>53.298999999999999</v>
      </c>
      <c r="F12383">
        <f t="shared" si="193"/>
        <v>53.298999999999999</v>
      </c>
    </row>
    <row r="12384" spans="1:6" x14ac:dyDescent="0.3">
      <c r="A12384" t="s">
        <v>2001</v>
      </c>
      <c r="B12384" t="s">
        <v>2126</v>
      </c>
      <c r="C12384">
        <v>40.5</v>
      </c>
      <c r="D12384">
        <v>149</v>
      </c>
      <c r="E12384">
        <f>IF(OR(B12384="vi",B12384="ii",B12384="pod"),(((D12384/100)*(C12384*VLOOKUP(B12384,'Poids des runes'!A:B,2,FALSE)))+1),(((D12384/100)*(C12384*VLOOKUP(B12384,'Poids des runes'!A:B,2,FALSE)))+1)/VLOOKUP(B12384,'Poids des runes'!A:B,2,FALSE))</f>
        <v>61.344999999999999</v>
      </c>
      <c r="F12384">
        <f t="shared" si="193"/>
        <v>61.344999999999999</v>
      </c>
    </row>
    <row r="12385" spans="1:6" x14ac:dyDescent="0.3">
      <c r="A12385" t="s">
        <v>2001</v>
      </c>
      <c r="B12385" t="s">
        <v>2131</v>
      </c>
      <c r="C12385">
        <v>40.5</v>
      </c>
      <c r="D12385">
        <v>149</v>
      </c>
      <c r="E12385">
        <f>IF(OR(B12385="vi",B12385="ii",B12385="pod"),(((D12385/100)*(C12385*VLOOKUP(B12385,'Poids des runes'!A:B,2,FALSE)))+1),(((D12385/100)*(C12385*VLOOKUP(B12385,'Poids des runes'!A:B,2,FALSE)))+1)/VLOOKUP(B12385,'Poids des runes'!A:B,2,FALSE))</f>
        <v>61.344999999999999</v>
      </c>
      <c r="F12385">
        <f t="shared" si="193"/>
        <v>61.344999999999999</v>
      </c>
    </row>
    <row r="12386" spans="1:6" x14ac:dyDescent="0.3">
      <c r="A12386" t="s">
        <v>2001</v>
      </c>
      <c r="B12386" t="s">
        <v>2127</v>
      </c>
      <c r="C12386">
        <v>25.5</v>
      </c>
      <c r="D12386">
        <v>149</v>
      </c>
      <c r="E12386">
        <f>IF(OR(B12386="vi",B12386="ii",B12386="pod"),(((D12386/100)*(C12386*VLOOKUP(B12386,'Poids des runes'!A:B,2,FALSE)))+1),(((D12386/100)*(C12386*VLOOKUP(B12386,'Poids des runes'!A:B,2,FALSE)))+1)/VLOOKUP(B12386,'Poids des runes'!A:B,2,FALSE))</f>
        <v>38.994999999999997</v>
      </c>
      <c r="F12386">
        <f t="shared" si="193"/>
        <v>38.994999999999997</v>
      </c>
    </row>
    <row r="12387" spans="1:6" x14ac:dyDescent="0.3">
      <c r="A12387" t="s">
        <v>2001</v>
      </c>
      <c r="B12387" t="s">
        <v>2129</v>
      </c>
      <c r="C12387">
        <v>25.5</v>
      </c>
      <c r="D12387">
        <v>149</v>
      </c>
      <c r="E12387">
        <f>IF(OR(B12387="vi",B12387="ii",B12387="pod"),(((D12387/100)*(C12387*VLOOKUP(B12387,'Poids des runes'!A:B,2,FALSE)))+1),(((D12387/100)*(C12387*VLOOKUP(B12387,'Poids des runes'!A:B,2,FALSE)))+1)/VLOOKUP(B12387,'Poids des runes'!A:B,2,FALSE))</f>
        <v>38.994999999999997</v>
      </c>
      <c r="F12387">
        <f t="shared" si="193"/>
        <v>38.994999999999997</v>
      </c>
    </row>
    <row r="12388" spans="1:6" x14ac:dyDescent="0.3">
      <c r="A12388" t="s">
        <v>2001</v>
      </c>
      <c r="B12388" t="s">
        <v>2151</v>
      </c>
      <c r="C12388">
        <v>3.5</v>
      </c>
      <c r="D12388">
        <v>149</v>
      </c>
      <c r="E12388">
        <f>IF(OR(B12388="vi",B12388="ii",B12388="pod"),(((D12388/100)*(C12388*VLOOKUP(B12388,'Poids des runes'!A:B,2,FALSE)))+1),(((D12388/100)*(C12388*VLOOKUP(B12388,'Poids des runes'!A:B,2,FALSE)))+1)/VLOOKUP(B12388,'Poids des runes'!A:B,2,FALSE))</f>
        <v>5.3149999999999995</v>
      </c>
      <c r="F12388">
        <f t="shared" si="193"/>
        <v>5.3149999999999995</v>
      </c>
    </row>
    <row r="12389" spans="1:6" x14ac:dyDescent="0.3">
      <c r="A12389" t="s">
        <v>2001</v>
      </c>
      <c r="B12389" t="s">
        <v>2150</v>
      </c>
      <c r="C12389">
        <v>2</v>
      </c>
      <c r="D12389">
        <v>149</v>
      </c>
      <c r="E12389">
        <f>IF(OR(B12389="vi",B12389="ii",B12389="pod"),(((D12389/100)*(C12389*VLOOKUP(B12389,'Poids des runes'!A:B,2,FALSE)))+1),(((D12389/100)*(C12389*VLOOKUP(B12389,'Poids des runes'!A:B,2,FALSE)))+1)/VLOOKUP(B12389,'Poids des runes'!A:B,2,FALSE))</f>
        <v>3.0133333333333336</v>
      </c>
      <c r="F12389">
        <f t="shared" si="193"/>
        <v>3.0133333333333336</v>
      </c>
    </row>
    <row r="12390" spans="1:6" x14ac:dyDescent="0.3">
      <c r="A12390" t="s">
        <v>2001</v>
      </c>
      <c r="B12390" t="s">
        <v>2134</v>
      </c>
      <c r="C12390">
        <v>5</v>
      </c>
      <c r="D12390">
        <v>149</v>
      </c>
      <c r="E12390">
        <f>IF(OR(B12390="vi",B12390="ii",B12390="pod"),(((D12390/100)*(C12390*VLOOKUP(B12390,'Poids des runes'!A:B,2,FALSE)))+1),(((D12390/100)*(C12390*VLOOKUP(B12390,'Poids des runes'!A:B,2,FALSE)))+1)/VLOOKUP(B12390,'Poids des runes'!A:B,2,FALSE))</f>
        <v>7.5</v>
      </c>
      <c r="F12390">
        <f t="shared" si="193"/>
        <v>7.5</v>
      </c>
    </row>
    <row r="12391" spans="1:6" x14ac:dyDescent="0.3">
      <c r="A12391" t="s">
        <v>2001</v>
      </c>
      <c r="B12391" t="s">
        <v>2161</v>
      </c>
      <c r="C12391">
        <v>15.5</v>
      </c>
      <c r="D12391">
        <v>149</v>
      </c>
      <c r="E12391">
        <f>IF(OR(B12391="vi",B12391="ii",B12391="pod"),(((D12391/100)*(C12391*VLOOKUP(B12391,'Poids des runes'!A:B,2,FALSE)))+1),(((D12391/100)*(C12391*VLOOKUP(B12391,'Poids des runes'!A:B,2,FALSE)))+1)/VLOOKUP(B12391,'Poids des runes'!A:B,2,FALSE))</f>
        <v>23.428333333333331</v>
      </c>
      <c r="F12391">
        <f t="shared" si="193"/>
        <v>23.428333333333331</v>
      </c>
    </row>
    <row r="12392" spans="1:6" x14ac:dyDescent="0.3">
      <c r="A12392" t="s">
        <v>2001</v>
      </c>
      <c r="B12392" t="s">
        <v>2144</v>
      </c>
      <c r="C12392">
        <v>8</v>
      </c>
      <c r="D12392">
        <v>149</v>
      </c>
      <c r="E12392">
        <f>IF(OR(B12392="vi",B12392="ii",B12392="pod"),(((D12392/100)*(C12392*VLOOKUP(B12392,'Poids des runes'!A:B,2,FALSE)))+1),(((D12392/100)*(C12392*VLOOKUP(B12392,'Poids des runes'!A:B,2,FALSE)))+1)/VLOOKUP(B12392,'Poids des runes'!A:B,2,FALSE))</f>
        <v>12.42</v>
      </c>
      <c r="F12392">
        <f t="shared" si="193"/>
        <v>12.42</v>
      </c>
    </row>
    <row r="12393" spans="1:6" x14ac:dyDescent="0.3">
      <c r="A12393" t="s">
        <v>2001</v>
      </c>
      <c r="B12393" t="s">
        <v>2145</v>
      </c>
      <c r="C12393">
        <v>8</v>
      </c>
      <c r="D12393">
        <v>149</v>
      </c>
      <c r="E12393">
        <f>IF(OR(B12393="vi",B12393="ii",B12393="pod"),(((D12393/100)*(C12393*VLOOKUP(B12393,'Poids des runes'!A:B,2,FALSE)))+1),(((D12393/100)*(C12393*VLOOKUP(B12393,'Poids des runes'!A:B,2,FALSE)))+1)/VLOOKUP(B12393,'Poids des runes'!A:B,2,FALSE))</f>
        <v>12.42</v>
      </c>
      <c r="F12393">
        <f t="shared" si="193"/>
        <v>12.42</v>
      </c>
    </row>
    <row r="12394" spans="1:6" x14ac:dyDescent="0.3">
      <c r="A12394" t="s">
        <v>2002</v>
      </c>
      <c r="B12394" t="s">
        <v>2128</v>
      </c>
      <c r="C12394">
        <v>125.5</v>
      </c>
      <c r="D12394">
        <v>149</v>
      </c>
      <c r="E12394">
        <f>IF(OR(B12394="vi",B12394="ii",B12394="pod"),(((D12394/100)*(C12394*VLOOKUP(B12394,'Poids des runes'!A:B,2,FALSE)))+1),(((D12394/100)*(C12394*VLOOKUP(B12394,'Poids des runes'!A:B,2,FALSE)))+1)/VLOOKUP(B12394,'Poids des runes'!A:B,2,FALSE))</f>
        <v>38.399000000000001</v>
      </c>
      <c r="F12394">
        <f t="shared" si="193"/>
        <v>38.399000000000001</v>
      </c>
    </row>
    <row r="12395" spans="1:6" x14ac:dyDescent="0.3">
      <c r="A12395" t="s">
        <v>2002</v>
      </c>
      <c r="B12395" t="s">
        <v>2127</v>
      </c>
      <c r="C12395">
        <v>25.5</v>
      </c>
      <c r="D12395">
        <v>149</v>
      </c>
      <c r="E12395">
        <f>IF(OR(B12395="vi",B12395="ii",B12395="pod"),(((D12395/100)*(C12395*VLOOKUP(B12395,'Poids des runes'!A:B,2,FALSE)))+1),(((D12395/100)*(C12395*VLOOKUP(B12395,'Poids des runes'!A:B,2,FALSE)))+1)/VLOOKUP(B12395,'Poids des runes'!A:B,2,FALSE))</f>
        <v>38.994999999999997</v>
      </c>
      <c r="F12395">
        <f t="shared" si="193"/>
        <v>38.994999999999997</v>
      </c>
    </row>
    <row r="12396" spans="1:6" x14ac:dyDescent="0.3">
      <c r="A12396" t="s">
        <v>2002</v>
      </c>
      <c r="B12396" t="s">
        <v>2129</v>
      </c>
      <c r="C12396">
        <v>20.5</v>
      </c>
      <c r="D12396">
        <v>149</v>
      </c>
      <c r="E12396">
        <f>IF(OR(B12396="vi",B12396="ii",B12396="pod"),(((D12396/100)*(C12396*VLOOKUP(B12396,'Poids des runes'!A:B,2,FALSE)))+1),(((D12396/100)*(C12396*VLOOKUP(B12396,'Poids des runes'!A:B,2,FALSE)))+1)/VLOOKUP(B12396,'Poids des runes'!A:B,2,FALSE))</f>
        <v>31.544999999999998</v>
      </c>
      <c r="F12396">
        <f t="shared" si="193"/>
        <v>31.544999999999998</v>
      </c>
    </row>
    <row r="12397" spans="1:6" x14ac:dyDescent="0.3">
      <c r="A12397" t="s">
        <v>2002</v>
      </c>
      <c r="B12397" t="s">
        <v>2139</v>
      </c>
      <c r="C12397">
        <v>25.5</v>
      </c>
      <c r="D12397">
        <v>149</v>
      </c>
      <c r="E12397">
        <f>IF(OR(B12397="vi",B12397="ii",B12397="pod"),(((D12397/100)*(C12397*VLOOKUP(B12397,'Poids des runes'!A:B,2,FALSE)))+1),(((D12397/100)*(C12397*VLOOKUP(B12397,'Poids des runes'!A:B,2,FALSE)))+1)/VLOOKUP(B12397,'Poids des runes'!A:B,2,FALSE))</f>
        <v>38.494999999999997</v>
      </c>
      <c r="F12397">
        <f t="shared" si="193"/>
        <v>38.494999999999997</v>
      </c>
    </row>
    <row r="12398" spans="1:6" x14ac:dyDescent="0.3">
      <c r="A12398" t="s">
        <v>2002</v>
      </c>
      <c r="B12398" t="s">
        <v>2140</v>
      </c>
      <c r="C12398">
        <v>10</v>
      </c>
      <c r="D12398">
        <v>149</v>
      </c>
      <c r="E12398">
        <f>IF(OR(B12398="vi",B12398="ii",B12398="pod"),(((D12398/100)*(C12398*VLOOKUP(B12398,'Poids des runes'!A:B,2,FALSE)))+1),(((D12398/100)*(C12398*VLOOKUP(B12398,'Poids des runes'!A:B,2,FALSE)))+1)/VLOOKUP(B12398,'Poids des runes'!A:B,2,FALSE))</f>
        <v>15.1</v>
      </c>
      <c r="F12398">
        <f t="shared" si="193"/>
        <v>15.1</v>
      </c>
    </row>
    <row r="12399" spans="1:6" x14ac:dyDescent="0.3">
      <c r="A12399" t="s">
        <v>2002</v>
      </c>
      <c r="B12399" t="s">
        <v>2153</v>
      </c>
      <c r="C12399">
        <v>7</v>
      </c>
      <c r="D12399">
        <v>149</v>
      </c>
      <c r="E12399">
        <f>IF(OR(B12399="vi",B12399="ii",B12399="pod"),(((D12399/100)*(C12399*VLOOKUP(B12399,'Poids des runes'!A:B,2,FALSE)))+1),(((D12399/100)*(C12399*VLOOKUP(B12399,'Poids des runes'!A:B,2,FALSE)))+1)/VLOOKUP(B12399,'Poids des runes'!A:B,2,FALSE))</f>
        <v>10.629999999999999</v>
      </c>
      <c r="F12399">
        <f t="shared" si="193"/>
        <v>10.629999999999999</v>
      </c>
    </row>
    <row r="12400" spans="1:6" x14ac:dyDescent="0.3">
      <c r="A12400" t="s">
        <v>2002</v>
      </c>
      <c r="B12400" t="s">
        <v>2149</v>
      </c>
      <c r="C12400">
        <v>6</v>
      </c>
      <c r="D12400">
        <v>149</v>
      </c>
      <c r="E12400">
        <f>IF(OR(B12400="vi",B12400="ii",B12400="pod"),(((D12400/100)*(C12400*VLOOKUP(B12400,'Poids des runes'!A:B,2,FALSE)))+1),(((D12400/100)*(C12400*VLOOKUP(B12400,'Poids des runes'!A:B,2,FALSE)))+1)/VLOOKUP(B12400,'Poids des runes'!A:B,2,FALSE))</f>
        <v>9.0400000000000009</v>
      </c>
      <c r="F12400">
        <f t="shared" si="193"/>
        <v>9.0400000000000009</v>
      </c>
    </row>
    <row r="12401" spans="1:6" x14ac:dyDescent="0.3">
      <c r="A12401" t="s">
        <v>2002</v>
      </c>
      <c r="B12401" t="s">
        <v>2161</v>
      </c>
      <c r="C12401">
        <v>13</v>
      </c>
      <c r="D12401">
        <v>149</v>
      </c>
      <c r="E12401">
        <f>IF(OR(B12401="vi",B12401="ii",B12401="pod"),(((D12401/100)*(C12401*VLOOKUP(B12401,'Poids des runes'!A:B,2,FALSE)))+1),(((D12401/100)*(C12401*VLOOKUP(B12401,'Poids des runes'!A:B,2,FALSE)))+1)/VLOOKUP(B12401,'Poids des runes'!A:B,2,FALSE))</f>
        <v>19.703333333333333</v>
      </c>
      <c r="F12401">
        <f t="shared" si="193"/>
        <v>19.703333333333333</v>
      </c>
    </row>
    <row r="12402" spans="1:6" x14ac:dyDescent="0.3">
      <c r="A12402" t="s">
        <v>2002</v>
      </c>
      <c r="B12402" t="s">
        <v>2141</v>
      </c>
      <c r="C12402">
        <v>4.5</v>
      </c>
      <c r="D12402">
        <v>149</v>
      </c>
      <c r="E12402">
        <f>IF(OR(B12402="vi",B12402="ii",B12402="pod"),(((D12402/100)*(C12402*VLOOKUP(B12402,'Poids des runes'!A:B,2,FALSE)))+1),(((D12402/100)*(C12402*VLOOKUP(B12402,'Poids des runes'!A:B,2,FALSE)))+1)/VLOOKUP(B12402,'Poids des runes'!A:B,2,FALSE))</f>
        <v>6.9550000000000001</v>
      </c>
      <c r="F12402">
        <f t="shared" si="193"/>
        <v>6.9550000000000001</v>
      </c>
    </row>
    <row r="12403" spans="1:6" x14ac:dyDescent="0.3">
      <c r="A12403" t="s">
        <v>2002</v>
      </c>
      <c r="B12403" t="s">
        <v>2165</v>
      </c>
      <c r="C12403">
        <v>4.5</v>
      </c>
      <c r="D12403">
        <v>149</v>
      </c>
      <c r="E12403">
        <f>IF(OR(B12403="vi",B12403="ii",B12403="pod"),(((D12403/100)*(C12403*VLOOKUP(B12403,'Poids des runes'!A:B,2,FALSE)))+1),(((D12403/100)*(C12403*VLOOKUP(B12403,'Poids des runes'!A:B,2,FALSE)))+1)/VLOOKUP(B12403,'Poids des runes'!A:B,2,FALSE))</f>
        <v>6.8478571428571433</v>
      </c>
      <c r="F12403">
        <f t="shared" si="193"/>
        <v>6.8478571428571433</v>
      </c>
    </row>
    <row r="12404" spans="1:6" x14ac:dyDescent="0.3">
      <c r="A12404" t="s">
        <v>2002</v>
      </c>
      <c r="B12404" t="s">
        <v>2163</v>
      </c>
      <c r="C12404">
        <v>8.5</v>
      </c>
      <c r="D12404">
        <v>149</v>
      </c>
      <c r="E12404">
        <f>IF(OR(B12404="vi",B12404="ii",B12404="pod"),(((D12404/100)*(C12404*VLOOKUP(B12404,'Poids des runes'!A:B,2,FALSE)))+1),(((D12404/100)*(C12404*VLOOKUP(B12404,'Poids des runes'!A:B,2,FALSE)))+1)/VLOOKUP(B12404,'Poids des runes'!A:B,2,FALSE))</f>
        <v>13.164999999999999</v>
      </c>
      <c r="F12404">
        <f t="shared" si="193"/>
        <v>13.164999999999999</v>
      </c>
    </row>
    <row r="12405" spans="1:6" x14ac:dyDescent="0.3">
      <c r="A12405" t="s">
        <v>2002</v>
      </c>
      <c r="B12405" t="s">
        <v>2147</v>
      </c>
      <c r="C12405">
        <v>6</v>
      </c>
      <c r="D12405">
        <v>149</v>
      </c>
      <c r="E12405">
        <f>IF(OR(B12405="vi",B12405="ii",B12405="pod"),(((D12405/100)*(C12405*VLOOKUP(B12405,'Poids des runes'!A:B,2,FALSE)))+1),(((D12405/100)*(C12405*VLOOKUP(B12405,'Poids des runes'!A:B,2,FALSE)))+1)/VLOOKUP(B12405,'Poids des runes'!A:B,2,FALSE))</f>
        <v>9.1066666666666674</v>
      </c>
      <c r="F12405">
        <f t="shared" si="193"/>
        <v>9.1066666666666674</v>
      </c>
    </row>
    <row r="12406" spans="1:6" x14ac:dyDescent="0.3">
      <c r="A12406" t="s">
        <v>2002</v>
      </c>
      <c r="B12406" t="s">
        <v>2157</v>
      </c>
      <c r="C12406">
        <v>6</v>
      </c>
      <c r="D12406">
        <v>149</v>
      </c>
      <c r="E12406">
        <f>IF(OR(B12406="vi",B12406="ii",B12406="pod"),(((D12406/100)*(C12406*VLOOKUP(B12406,'Poids des runes'!A:B,2,FALSE)))+1),(((D12406/100)*(C12406*VLOOKUP(B12406,'Poids des runes'!A:B,2,FALSE)))+1)/VLOOKUP(B12406,'Poids des runes'!A:B,2,FALSE))</f>
        <v>9.1066666666666674</v>
      </c>
      <c r="F12406">
        <f t="shared" si="193"/>
        <v>9.1066666666666674</v>
      </c>
    </row>
    <row r="12407" spans="1:6" x14ac:dyDescent="0.3">
      <c r="A12407" t="s">
        <v>2003</v>
      </c>
      <c r="B12407" t="s">
        <v>2128</v>
      </c>
      <c r="C12407">
        <v>225.5</v>
      </c>
      <c r="D12407">
        <v>150</v>
      </c>
      <c r="E12407">
        <f>IF(OR(B12407="vi",B12407="ii",B12407="pod"),(((D12407/100)*(C12407*VLOOKUP(B12407,'Poids des runes'!A:B,2,FALSE)))+1),(((D12407/100)*(C12407*VLOOKUP(B12407,'Poids des runes'!A:B,2,FALSE)))+1)/VLOOKUP(B12407,'Poids des runes'!A:B,2,FALSE))</f>
        <v>68.650000000000006</v>
      </c>
      <c r="F12407">
        <f t="shared" si="193"/>
        <v>68.650000000000006</v>
      </c>
    </row>
    <row r="12408" spans="1:6" x14ac:dyDescent="0.3">
      <c r="A12408" t="s">
        <v>2003</v>
      </c>
      <c r="B12408" t="s">
        <v>2130</v>
      </c>
      <c r="C12408">
        <v>40.5</v>
      </c>
      <c r="D12408">
        <v>150</v>
      </c>
      <c r="E12408">
        <f>IF(OR(B12408="vi",B12408="ii",B12408="pod"),(((D12408/100)*(C12408*VLOOKUP(B12408,'Poids des runes'!A:B,2,FALSE)))+1),(((D12408/100)*(C12408*VLOOKUP(B12408,'Poids des runes'!A:B,2,FALSE)))+1)/VLOOKUP(B12408,'Poids des runes'!A:B,2,FALSE))</f>
        <v>61.75</v>
      </c>
      <c r="F12408">
        <f t="shared" si="193"/>
        <v>61.75</v>
      </c>
    </row>
    <row r="12409" spans="1:6" x14ac:dyDescent="0.3">
      <c r="A12409" t="s">
        <v>2003</v>
      </c>
      <c r="B12409" t="s">
        <v>2127</v>
      </c>
      <c r="C12409">
        <v>40.5</v>
      </c>
      <c r="D12409">
        <v>150</v>
      </c>
      <c r="E12409">
        <f>IF(OR(B12409="vi",B12409="ii",B12409="pod"),(((D12409/100)*(C12409*VLOOKUP(B12409,'Poids des runes'!A:B,2,FALSE)))+1),(((D12409/100)*(C12409*VLOOKUP(B12409,'Poids des runes'!A:B,2,FALSE)))+1)/VLOOKUP(B12409,'Poids des runes'!A:B,2,FALSE))</f>
        <v>61.75</v>
      </c>
      <c r="F12409">
        <f t="shared" si="193"/>
        <v>61.75</v>
      </c>
    </row>
    <row r="12410" spans="1:6" x14ac:dyDescent="0.3">
      <c r="A12410" t="s">
        <v>2003</v>
      </c>
      <c r="B12410" t="s">
        <v>2154</v>
      </c>
      <c r="C12410">
        <v>1</v>
      </c>
      <c r="D12410">
        <v>150</v>
      </c>
      <c r="E12410">
        <f>IF(OR(B12410="vi",B12410="ii",B12410="pod"),(((D12410/100)*(C12410*VLOOKUP(B12410,'Poids des runes'!A:B,2,FALSE)))+1),(((D12410/100)*(C12410*VLOOKUP(B12410,'Poids des runes'!A:B,2,FALSE)))+1)/VLOOKUP(B12410,'Poids des runes'!A:B,2,FALSE))</f>
        <v>1.5111111111111111</v>
      </c>
      <c r="F12410">
        <f t="shared" si="193"/>
        <v>1.5111111111111111</v>
      </c>
    </row>
    <row r="12411" spans="1:6" x14ac:dyDescent="0.3">
      <c r="A12411" t="s">
        <v>2003</v>
      </c>
      <c r="B12411" t="s">
        <v>2134</v>
      </c>
      <c r="C12411">
        <v>8</v>
      </c>
      <c r="D12411">
        <v>150</v>
      </c>
      <c r="E12411">
        <f>IF(OR(B12411="vi",B12411="ii",B12411="pod"),(((D12411/100)*(C12411*VLOOKUP(B12411,'Poids des runes'!A:B,2,FALSE)))+1),(((D12411/100)*(C12411*VLOOKUP(B12411,'Poids des runes'!A:B,2,FALSE)))+1)/VLOOKUP(B12411,'Poids des runes'!A:B,2,FALSE))</f>
        <v>12.05</v>
      </c>
      <c r="F12411">
        <f t="shared" si="193"/>
        <v>12.05</v>
      </c>
    </row>
    <row r="12412" spans="1:6" x14ac:dyDescent="0.3">
      <c r="A12412" t="s">
        <v>2003</v>
      </c>
      <c r="B12412" t="s">
        <v>2132</v>
      </c>
      <c r="C12412">
        <v>300</v>
      </c>
      <c r="D12412">
        <v>150</v>
      </c>
      <c r="E12412">
        <f>IF(OR(B12412="vi",B12412="ii",B12412="pod"),(((D12412/100)*(C12412*VLOOKUP(B12412,'Poids des runes'!A:B,2,FALSE)))+1),(((D12412/100)*(C12412*VLOOKUP(B12412,'Poids des runes'!A:B,2,FALSE)))+1)/VLOOKUP(B12412,'Poids des runes'!A:B,2,FALSE))</f>
        <v>46</v>
      </c>
      <c r="F12412">
        <f t="shared" si="193"/>
        <v>46</v>
      </c>
    </row>
    <row r="12413" spans="1:6" x14ac:dyDescent="0.3">
      <c r="A12413" t="s">
        <v>2004</v>
      </c>
      <c r="B12413" t="s">
        <v>2128</v>
      </c>
      <c r="C12413">
        <v>275.5</v>
      </c>
      <c r="D12413">
        <v>150</v>
      </c>
      <c r="E12413">
        <f>IF(OR(B12413="vi",B12413="ii",B12413="pod"),(((D12413/100)*(C12413*VLOOKUP(B12413,'Poids des runes'!A:B,2,FALSE)))+1),(((D12413/100)*(C12413*VLOOKUP(B12413,'Poids des runes'!A:B,2,FALSE)))+1)/VLOOKUP(B12413,'Poids des runes'!A:B,2,FALSE))</f>
        <v>83.65</v>
      </c>
      <c r="F12413">
        <f t="shared" si="193"/>
        <v>83.65</v>
      </c>
    </row>
    <row r="12414" spans="1:6" x14ac:dyDescent="0.3">
      <c r="A12414" t="s">
        <v>2004</v>
      </c>
      <c r="B12414" t="s">
        <v>2126</v>
      </c>
      <c r="C12414">
        <v>45.5</v>
      </c>
      <c r="D12414">
        <v>150</v>
      </c>
      <c r="E12414">
        <f>IF(OR(B12414="vi",B12414="ii",B12414="pod"),(((D12414/100)*(C12414*VLOOKUP(B12414,'Poids des runes'!A:B,2,FALSE)))+1),(((D12414/100)*(C12414*VLOOKUP(B12414,'Poids des runes'!A:B,2,FALSE)))+1)/VLOOKUP(B12414,'Poids des runes'!A:B,2,FALSE))</f>
        <v>69.25</v>
      </c>
      <c r="F12414">
        <f t="shared" si="193"/>
        <v>69.25</v>
      </c>
    </row>
    <row r="12415" spans="1:6" x14ac:dyDescent="0.3">
      <c r="A12415" t="s">
        <v>2004</v>
      </c>
      <c r="B12415" t="s">
        <v>2129</v>
      </c>
      <c r="C12415">
        <v>35.5</v>
      </c>
      <c r="D12415">
        <v>150</v>
      </c>
      <c r="E12415">
        <f>IF(OR(B12415="vi",B12415="ii",B12415="pod"),(((D12415/100)*(C12415*VLOOKUP(B12415,'Poids des runes'!A:B,2,FALSE)))+1),(((D12415/100)*(C12415*VLOOKUP(B12415,'Poids des runes'!A:B,2,FALSE)))+1)/VLOOKUP(B12415,'Poids des runes'!A:B,2,FALSE))</f>
        <v>54.25</v>
      </c>
      <c r="F12415">
        <f t="shared" si="193"/>
        <v>54.25</v>
      </c>
    </row>
    <row r="12416" spans="1:6" x14ac:dyDescent="0.3">
      <c r="A12416" t="s">
        <v>2004</v>
      </c>
      <c r="B12416" t="s">
        <v>2155</v>
      </c>
      <c r="C12416">
        <v>1</v>
      </c>
      <c r="D12416">
        <v>150</v>
      </c>
      <c r="E12416">
        <f>IF(OR(B12416="vi",B12416="ii",B12416="pod"),(((D12416/100)*(C12416*VLOOKUP(B12416,'Poids des runes'!A:B,2,FALSE)))+1),(((D12416/100)*(C12416*VLOOKUP(B12416,'Poids des runes'!A:B,2,FALSE)))+1)/VLOOKUP(B12416,'Poids des runes'!A:B,2,FALSE))</f>
        <v>1.5196078431372548</v>
      </c>
      <c r="F12416">
        <f t="shared" si="193"/>
        <v>1.5196078431372548</v>
      </c>
    </row>
    <row r="12417" spans="1:6" x14ac:dyDescent="0.3">
      <c r="A12417" t="s">
        <v>2004</v>
      </c>
      <c r="B12417" t="s">
        <v>2140</v>
      </c>
      <c r="C12417">
        <v>8.5</v>
      </c>
      <c r="D12417">
        <v>150</v>
      </c>
      <c r="E12417">
        <f>IF(OR(B12417="vi",B12417="ii",B12417="pod"),(((D12417/100)*(C12417*VLOOKUP(B12417,'Poids des runes'!A:B,2,FALSE)))+1),(((D12417/100)*(C12417*VLOOKUP(B12417,'Poids des runes'!A:B,2,FALSE)))+1)/VLOOKUP(B12417,'Poids des runes'!A:B,2,FALSE))</f>
        <v>12.95</v>
      </c>
      <c r="F12417">
        <f t="shared" si="193"/>
        <v>12.95</v>
      </c>
    </row>
    <row r="12418" spans="1:6" x14ac:dyDescent="0.3">
      <c r="A12418" t="s">
        <v>2004</v>
      </c>
      <c r="B12418" t="s">
        <v>2149</v>
      </c>
      <c r="C12418">
        <v>6.5</v>
      </c>
      <c r="D12418">
        <v>150</v>
      </c>
      <c r="E12418">
        <f>IF(OR(B12418="vi",B12418="ii",B12418="pod"),(((D12418/100)*(C12418*VLOOKUP(B12418,'Poids des runes'!A:B,2,FALSE)))+1),(((D12418/100)*(C12418*VLOOKUP(B12418,'Poids des runes'!A:B,2,FALSE)))+1)/VLOOKUP(B12418,'Poids des runes'!A:B,2,FALSE))</f>
        <v>9.85</v>
      </c>
      <c r="F12418">
        <f t="shared" si="193"/>
        <v>9.85</v>
      </c>
    </row>
    <row r="12419" spans="1:6" x14ac:dyDescent="0.3">
      <c r="A12419" t="s">
        <v>2004</v>
      </c>
      <c r="B12419" t="s">
        <v>2156</v>
      </c>
      <c r="C12419">
        <v>3.5</v>
      </c>
      <c r="D12419">
        <v>150</v>
      </c>
      <c r="E12419">
        <f>IF(OR(B12419="vi",B12419="ii",B12419="pod"),(((D12419/100)*(C12419*VLOOKUP(B12419,'Poids des runes'!A:B,2,FALSE)))+1),(((D12419/100)*(C12419*VLOOKUP(B12419,'Poids des runes'!A:B,2,FALSE)))+1)/VLOOKUP(B12419,'Poids des runes'!A:B,2,FALSE))</f>
        <v>5.416666666666667</v>
      </c>
      <c r="F12419">
        <f t="shared" ref="F12419:F12482" si="194">E12419</f>
        <v>5.416666666666667</v>
      </c>
    </row>
    <row r="12420" spans="1:6" x14ac:dyDescent="0.3">
      <c r="A12420" t="s">
        <v>2004</v>
      </c>
      <c r="B12420" t="s">
        <v>2135</v>
      </c>
      <c r="C12420">
        <v>4</v>
      </c>
      <c r="D12420">
        <v>150</v>
      </c>
      <c r="E12420">
        <f>IF(OR(B12420="vi",B12420="ii",B12420="pod"),(((D12420/100)*(C12420*VLOOKUP(B12420,'Poids des runes'!A:B,2,FALSE)))+1),(((D12420/100)*(C12420*VLOOKUP(B12420,'Poids des runes'!A:B,2,FALSE)))+1)/VLOOKUP(B12420,'Poids des runes'!A:B,2,FALSE))</f>
        <v>6.166666666666667</v>
      </c>
      <c r="F12420">
        <f t="shared" si="194"/>
        <v>6.166666666666667</v>
      </c>
    </row>
    <row r="12421" spans="1:6" x14ac:dyDescent="0.3">
      <c r="A12421" t="s">
        <v>2004</v>
      </c>
      <c r="B12421" t="s">
        <v>2137</v>
      </c>
      <c r="C12421">
        <v>13</v>
      </c>
      <c r="D12421">
        <v>150</v>
      </c>
      <c r="E12421">
        <f>IF(OR(B12421="vi",B12421="ii",B12421="pod"),(((D12421/100)*(C12421*VLOOKUP(B12421,'Poids des runes'!A:B,2,FALSE)))+1),(((D12421/100)*(C12421*VLOOKUP(B12421,'Poids des runes'!A:B,2,FALSE)))+1)/VLOOKUP(B12421,'Poids des runes'!A:B,2,FALSE))</f>
        <v>20</v>
      </c>
      <c r="F12421">
        <f t="shared" si="194"/>
        <v>20</v>
      </c>
    </row>
    <row r="12422" spans="1:6" x14ac:dyDescent="0.3">
      <c r="A12422" t="s">
        <v>2005</v>
      </c>
      <c r="B12422" t="s">
        <v>2128</v>
      </c>
      <c r="C12422">
        <v>175.5</v>
      </c>
      <c r="D12422">
        <v>151</v>
      </c>
      <c r="E12422">
        <f>IF(OR(B12422="vi",B12422="ii",B12422="pod"),(((D12422/100)*(C12422*VLOOKUP(B12422,'Poids des runes'!A:B,2,FALSE)))+1),(((D12422/100)*(C12422*VLOOKUP(B12422,'Poids des runes'!A:B,2,FALSE)))+1)/VLOOKUP(B12422,'Poids des runes'!A:B,2,FALSE))</f>
        <v>54.001000000000005</v>
      </c>
      <c r="F12422">
        <f t="shared" si="194"/>
        <v>54.001000000000005</v>
      </c>
    </row>
    <row r="12423" spans="1:6" x14ac:dyDescent="0.3">
      <c r="A12423" t="s">
        <v>2005</v>
      </c>
      <c r="B12423" t="s">
        <v>2127</v>
      </c>
      <c r="C12423">
        <v>40.5</v>
      </c>
      <c r="D12423">
        <v>151</v>
      </c>
      <c r="E12423">
        <f>IF(OR(B12423="vi",B12423="ii",B12423="pod"),(((D12423/100)*(C12423*VLOOKUP(B12423,'Poids des runes'!A:B,2,FALSE)))+1),(((D12423/100)*(C12423*VLOOKUP(B12423,'Poids des runes'!A:B,2,FALSE)))+1)/VLOOKUP(B12423,'Poids des runes'!A:B,2,FALSE))</f>
        <v>62.155000000000001</v>
      </c>
      <c r="F12423">
        <f t="shared" si="194"/>
        <v>62.155000000000001</v>
      </c>
    </row>
    <row r="12424" spans="1:6" x14ac:dyDescent="0.3">
      <c r="A12424" t="s">
        <v>2005</v>
      </c>
      <c r="B12424" t="s">
        <v>2129</v>
      </c>
      <c r="C12424">
        <v>35.5</v>
      </c>
      <c r="D12424">
        <v>151</v>
      </c>
      <c r="E12424">
        <f>IF(OR(B12424="vi",B12424="ii",B12424="pod"),(((D12424/100)*(C12424*VLOOKUP(B12424,'Poids des runes'!A:B,2,FALSE)))+1),(((D12424/100)*(C12424*VLOOKUP(B12424,'Poids des runes'!A:B,2,FALSE)))+1)/VLOOKUP(B12424,'Poids des runes'!A:B,2,FALSE))</f>
        <v>54.604999999999997</v>
      </c>
      <c r="F12424">
        <f t="shared" si="194"/>
        <v>54.604999999999997</v>
      </c>
    </row>
    <row r="12425" spans="1:6" x14ac:dyDescent="0.3">
      <c r="A12425" t="s">
        <v>2005</v>
      </c>
      <c r="B12425" t="s">
        <v>2151</v>
      </c>
      <c r="C12425">
        <v>4.5</v>
      </c>
      <c r="D12425">
        <v>151</v>
      </c>
      <c r="E12425">
        <f>IF(OR(B12425="vi",B12425="ii",B12425="pod"),(((D12425/100)*(C12425*VLOOKUP(B12425,'Poids des runes'!A:B,2,FALSE)))+1),(((D12425/100)*(C12425*VLOOKUP(B12425,'Poids des runes'!A:B,2,FALSE)))+1)/VLOOKUP(B12425,'Poids des runes'!A:B,2,FALSE))</f>
        <v>6.8950000000000005</v>
      </c>
      <c r="F12425">
        <f t="shared" si="194"/>
        <v>6.8950000000000005</v>
      </c>
    </row>
    <row r="12426" spans="1:6" x14ac:dyDescent="0.3">
      <c r="A12426" t="s">
        <v>2005</v>
      </c>
      <c r="B12426" t="s">
        <v>2155</v>
      </c>
      <c r="C12426">
        <v>1</v>
      </c>
      <c r="D12426">
        <v>151</v>
      </c>
      <c r="E12426">
        <f>IF(OR(B12426="vi",B12426="ii",B12426="pod"),(((D12426/100)*(C12426*VLOOKUP(B12426,'Poids des runes'!A:B,2,FALSE)))+1),(((D12426/100)*(C12426*VLOOKUP(B12426,'Poids des runes'!A:B,2,FALSE)))+1)/VLOOKUP(B12426,'Poids des runes'!A:B,2,FALSE))</f>
        <v>1.5296078431372551</v>
      </c>
      <c r="F12426">
        <f t="shared" si="194"/>
        <v>1.5296078431372551</v>
      </c>
    </row>
    <row r="12427" spans="1:6" x14ac:dyDescent="0.3">
      <c r="A12427" t="s">
        <v>2005</v>
      </c>
      <c r="B12427" t="s">
        <v>2134</v>
      </c>
      <c r="C12427">
        <v>8</v>
      </c>
      <c r="D12427">
        <v>151</v>
      </c>
      <c r="E12427">
        <f>IF(OR(B12427="vi",B12427="ii",B12427="pod"),(((D12427/100)*(C12427*VLOOKUP(B12427,'Poids des runes'!A:B,2,FALSE)))+1),(((D12427/100)*(C12427*VLOOKUP(B12427,'Poids des runes'!A:B,2,FALSE)))+1)/VLOOKUP(B12427,'Poids des runes'!A:B,2,FALSE))</f>
        <v>12.129999999999999</v>
      </c>
      <c r="F12427">
        <f t="shared" si="194"/>
        <v>12.129999999999999</v>
      </c>
    </row>
    <row r="12428" spans="1:6" x14ac:dyDescent="0.3">
      <c r="A12428" t="s">
        <v>2005</v>
      </c>
      <c r="B12428" t="s">
        <v>2161</v>
      </c>
      <c r="C12428">
        <v>15.5</v>
      </c>
      <c r="D12428">
        <v>151</v>
      </c>
      <c r="E12428">
        <f>IF(OR(B12428="vi",B12428="ii",B12428="pod"),(((D12428/100)*(C12428*VLOOKUP(B12428,'Poids des runes'!A:B,2,FALSE)))+1),(((D12428/100)*(C12428*VLOOKUP(B12428,'Poids des runes'!A:B,2,FALSE)))+1)/VLOOKUP(B12428,'Poids des runes'!A:B,2,FALSE))</f>
        <v>23.738333333333333</v>
      </c>
      <c r="F12428">
        <f t="shared" si="194"/>
        <v>23.738333333333333</v>
      </c>
    </row>
    <row r="12429" spans="1:6" x14ac:dyDescent="0.3">
      <c r="A12429" t="s">
        <v>2005</v>
      </c>
      <c r="B12429" t="s">
        <v>2156</v>
      </c>
      <c r="C12429">
        <v>2.5</v>
      </c>
      <c r="D12429">
        <v>151</v>
      </c>
      <c r="E12429">
        <f>IF(OR(B12429="vi",B12429="ii",B12429="pod"),(((D12429/100)*(C12429*VLOOKUP(B12429,'Poids des runes'!A:B,2,FALSE)))+1),(((D12429/100)*(C12429*VLOOKUP(B12429,'Poids des runes'!A:B,2,FALSE)))+1)/VLOOKUP(B12429,'Poids des runes'!A:B,2,FALSE))</f>
        <v>3.9416666666666664</v>
      </c>
      <c r="F12429">
        <f t="shared" si="194"/>
        <v>3.9416666666666664</v>
      </c>
    </row>
    <row r="12430" spans="1:6" x14ac:dyDescent="0.3">
      <c r="A12430" t="s">
        <v>2005</v>
      </c>
      <c r="B12430" t="s">
        <v>2148</v>
      </c>
      <c r="C12430">
        <v>2.5</v>
      </c>
      <c r="D12430">
        <v>151</v>
      </c>
      <c r="E12430">
        <f>IF(OR(B12430="vi",B12430="ii",B12430="pod"),(((D12430/100)*(C12430*VLOOKUP(B12430,'Poids des runes'!A:B,2,FALSE)))+1),(((D12430/100)*(C12430*VLOOKUP(B12430,'Poids des runes'!A:B,2,FALSE)))+1)/VLOOKUP(B12430,'Poids des runes'!A:B,2,FALSE))</f>
        <v>3.9416666666666664</v>
      </c>
      <c r="F12430">
        <f t="shared" si="194"/>
        <v>3.9416666666666664</v>
      </c>
    </row>
    <row r="12431" spans="1:6" x14ac:dyDescent="0.3">
      <c r="A12431" t="s">
        <v>2005</v>
      </c>
      <c r="B12431" t="s">
        <v>2144</v>
      </c>
      <c r="C12431">
        <v>8</v>
      </c>
      <c r="D12431">
        <v>151</v>
      </c>
      <c r="E12431">
        <f>IF(OR(B12431="vi",B12431="ii",B12431="pod"),(((D12431/100)*(C12431*VLOOKUP(B12431,'Poids des runes'!A:B,2,FALSE)))+1),(((D12431/100)*(C12431*VLOOKUP(B12431,'Poids des runes'!A:B,2,FALSE)))+1)/VLOOKUP(B12431,'Poids des runes'!A:B,2,FALSE))</f>
        <v>12.58</v>
      </c>
      <c r="F12431">
        <f t="shared" si="194"/>
        <v>12.58</v>
      </c>
    </row>
    <row r="12432" spans="1:6" x14ac:dyDescent="0.3">
      <c r="A12432" t="s">
        <v>2005</v>
      </c>
      <c r="B12432" t="s">
        <v>2146</v>
      </c>
      <c r="C12432">
        <v>8</v>
      </c>
      <c r="D12432">
        <v>151</v>
      </c>
      <c r="E12432">
        <f>IF(OR(B12432="vi",B12432="ii",B12432="pod"),(((D12432/100)*(C12432*VLOOKUP(B12432,'Poids des runes'!A:B,2,FALSE)))+1),(((D12432/100)*(C12432*VLOOKUP(B12432,'Poids des runes'!A:B,2,FALSE)))+1)/VLOOKUP(B12432,'Poids des runes'!A:B,2,FALSE))</f>
        <v>12.58</v>
      </c>
      <c r="F12432">
        <f t="shared" si="194"/>
        <v>12.58</v>
      </c>
    </row>
    <row r="12433" spans="1:6" x14ac:dyDescent="0.3">
      <c r="A12433" t="s">
        <v>2006</v>
      </c>
      <c r="B12433" t="s">
        <v>2128</v>
      </c>
      <c r="C12433">
        <v>95.5</v>
      </c>
      <c r="D12433">
        <v>151</v>
      </c>
      <c r="E12433">
        <f>IF(OR(B12433="vi",B12433="ii",B12433="pod"),(((D12433/100)*(C12433*VLOOKUP(B12433,'Poids des runes'!A:B,2,FALSE)))+1),(((D12433/100)*(C12433*VLOOKUP(B12433,'Poids des runes'!A:B,2,FALSE)))+1)/VLOOKUP(B12433,'Poids des runes'!A:B,2,FALSE))</f>
        <v>29.841000000000001</v>
      </c>
      <c r="F12433">
        <f t="shared" si="194"/>
        <v>29.841000000000001</v>
      </c>
    </row>
    <row r="12434" spans="1:6" x14ac:dyDescent="0.3">
      <c r="A12434" t="s">
        <v>2006</v>
      </c>
      <c r="B12434" t="s">
        <v>2126</v>
      </c>
      <c r="C12434">
        <v>30.5</v>
      </c>
      <c r="D12434">
        <v>151</v>
      </c>
      <c r="E12434">
        <f>IF(OR(B12434="vi",B12434="ii",B12434="pod"),(((D12434/100)*(C12434*VLOOKUP(B12434,'Poids des runes'!A:B,2,FALSE)))+1),(((D12434/100)*(C12434*VLOOKUP(B12434,'Poids des runes'!A:B,2,FALSE)))+1)/VLOOKUP(B12434,'Poids des runes'!A:B,2,FALSE))</f>
        <v>47.055</v>
      </c>
      <c r="F12434">
        <f t="shared" si="194"/>
        <v>47.055</v>
      </c>
    </row>
    <row r="12435" spans="1:6" x14ac:dyDescent="0.3">
      <c r="A12435" t="s">
        <v>2006</v>
      </c>
      <c r="B12435" t="s">
        <v>2131</v>
      </c>
      <c r="C12435">
        <v>30.5</v>
      </c>
      <c r="D12435">
        <v>151</v>
      </c>
      <c r="E12435">
        <f>IF(OR(B12435="vi",B12435="ii",B12435="pod"),(((D12435/100)*(C12435*VLOOKUP(B12435,'Poids des runes'!A:B,2,FALSE)))+1),(((D12435/100)*(C12435*VLOOKUP(B12435,'Poids des runes'!A:B,2,FALSE)))+1)/VLOOKUP(B12435,'Poids des runes'!A:B,2,FALSE))</f>
        <v>47.055</v>
      </c>
      <c r="F12435">
        <f t="shared" si="194"/>
        <v>47.055</v>
      </c>
    </row>
    <row r="12436" spans="1:6" x14ac:dyDescent="0.3">
      <c r="A12436" t="s">
        <v>2006</v>
      </c>
      <c r="B12436" t="s">
        <v>2129</v>
      </c>
      <c r="C12436">
        <v>15.5</v>
      </c>
      <c r="D12436">
        <v>151</v>
      </c>
      <c r="E12436">
        <f>IF(OR(B12436="vi",B12436="ii",B12436="pod"),(((D12436/100)*(C12436*VLOOKUP(B12436,'Poids des runes'!A:B,2,FALSE)))+1),(((D12436/100)*(C12436*VLOOKUP(B12436,'Poids des runes'!A:B,2,FALSE)))+1)/VLOOKUP(B12436,'Poids des runes'!A:B,2,FALSE))</f>
        <v>24.405000000000001</v>
      </c>
      <c r="F12436">
        <f t="shared" si="194"/>
        <v>24.405000000000001</v>
      </c>
    </row>
    <row r="12437" spans="1:6" x14ac:dyDescent="0.3">
      <c r="A12437" t="s">
        <v>2006</v>
      </c>
      <c r="B12437" t="s">
        <v>2149</v>
      </c>
      <c r="C12437">
        <v>5</v>
      </c>
      <c r="D12437">
        <v>151</v>
      </c>
      <c r="E12437">
        <f>IF(OR(B12437="vi",B12437="ii",B12437="pod"),(((D12437/100)*(C12437*VLOOKUP(B12437,'Poids des runes'!A:B,2,FALSE)))+1),(((D12437/100)*(C12437*VLOOKUP(B12437,'Poids des runes'!A:B,2,FALSE)))+1)/VLOOKUP(B12437,'Poids des runes'!A:B,2,FALSE))</f>
        <v>7.65</v>
      </c>
      <c r="F12437">
        <f t="shared" si="194"/>
        <v>7.65</v>
      </c>
    </row>
    <row r="12438" spans="1:6" x14ac:dyDescent="0.3">
      <c r="A12438" t="s">
        <v>2006</v>
      </c>
      <c r="B12438" t="s">
        <v>2161</v>
      </c>
      <c r="C12438">
        <v>20.5</v>
      </c>
      <c r="D12438">
        <v>151</v>
      </c>
      <c r="E12438">
        <f>IF(OR(B12438="vi",B12438="ii",B12438="pod"),(((D12438/100)*(C12438*VLOOKUP(B12438,'Poids des runes'!A:B,2,FALSE)))+1),(((D12438/100)*(C12438*VLOOKUP(B12438,'Poids des runes'!A:B,2,FALSE)))+1)/VLOOKUP(B12438,'Poids des runes'!A:B,2,FALSE))</f>
        <v>31.28833333333333</v>
      </c>
      <c r="F12438">
        <f t="shared" si="194"/>
        <v>31.28833333333333</v>
      </c>
    </row>
    <row r="12439" spans="1:6" x14ac:dyDescent="0.3">
      <c r="A12439" t="s">
        <v>2006</v>
      </c>
      <c r="B12439" t="s">
        <v>2135</v>
      </c>
      <c r="C12439">
        <v>10</v>
      </c>
      <c r="D12439">
        <v>151</v>
      </c>
      <c r="E12439">
        <f>IF(OR(B12439="vi",B12439="ii",B12439="pod"),(((D12439/100)*(C12439*VLOOKUP(B12439,'Poids des runes'!A:B,2,FALSE)))+1),(((D12439/100)*(C12439*VLOOKUP(B12439,'Poids des runes'!A:B,2,FALSE)))+1)/VLOOKUP(B12439,'Poids des runes'!A:B,2,FALSE))</f>
        <v>15.266666666666666</v>
      </c>
      <c r="F12439">
        <f t="shared" si="194"/>
        <v>15.266666666666666</v>
      </c>
    </row>
    <row r="12440" spans="1:6" x14ac:dyDescent="0.3">
      <c r="A12440" t="s">
        <v>2007</v>
      </c>
      <c r="B12440" t="s">
        <v>2128</v>
      </c>
      <c r="C12440">
        <v>225.5</v>
      </c>
      <c r="D12440">
        <v>152</v>
      </c>
      <c r="E12440">
        <f>IF(OR(B12440="vi",B12440="ii",B12440="pod"),(((D12440/100)*(C12440*VLOOKUP(B12440,'Poids des runes'!A:B,2,FALSE)))+1),(((D12440/100)*(C12440*VLOOKUP(B12440,'Poids des runes'!A:B,2,FALSE)))+1)/VLOOKUP(B12440,'Poids des runes'!A:B,2,FALSE))</f>
        <v>69.552000000000007</v>
      </c>
      <c r="F12440">
        <f t="shared" si="194"/>
        <v>69.552000000000007</v>
      </c>
    </row>
    <row r="12441" spans="1:6" x14ac:dyDescent="0.3">
      <c r="A12441" t="s">
        <v>2007</v>
      </c>
      <c r="B12441" t="s">
        <v>2126</v>
      </c>
      <c r="C12441">
        <v>40.5</v>
      </c>
      <c r="D12441">
        <v>152</v>
      </c>
      <c r="E12441">
        <f>IF(OR(B12441="vi",B12441="ii",B12441="pod"),(((D12441/100)*(C12441*VLOOKUP(B12441,'Poids des runes'!A:B,2,FALSE)))+1),(((D12441/100)*(C12441*VLOOKUP(B12441,'Poids des runes'!A:B,2,FALSE)))+1)/VLOOKUP(B12441,'Poids des runes'!A:B,2,FALSE))</f>
        <v>62.56</v>
      </c>
      <c r="F12441">
        <f t="shared" si="194"/>
        <v>62.56</v>
      </c>
    </row>
    <row r="12442" spans="1:6" x14ac:dyDescent="0.3">
      <c r="A12442" t="s">
        <v>2007</v>
      </c>
      <c r="B12442" t="s">
        <v>2127</v>
      </c>
      <c r="C12442">
        <v>40.5</v>
      </c>
      <c r="D12442">
        <v>152</v>
      </c>
      <c r="E12442">
        <f>IF(OR(B12442="vi",B12442="ii",B12442="pod"),(((D12442/100)*(C12442*VLOOKUP(B12442,'Poids des runes'!A:B,2,FALSE)))+1),(((D12442/100)*(C12442*VLOOKUP(B12442,'Poids des runes'!A:B,2,FALSE)))+1)/VLOOKUP(B12442,'Poids des runes'!A:B,2,FALSE))</f>
        <v>62.56</v>
      </c>
      <c r="F12442">
        <f t="shared" si="194"/>
        <v>62.56</v>
      </c>
    </row>
    <row r="12443" spans="1:6" x14ac:dyDescent="0.3">
      <c r="A12443" t="s">
        <v>2007</v>
      </c>
      <c r="B12443" t="s">
        <v>2139</v>
      </c>
      <c r="C12443">
        <v>20.5</v>
      </c>
      <c r="D12443">
        <v>152</v>
      </c>
      <c r="E12443">
        <f>IF(OR(B12443="vi",B12443="ii",B12443="pod"),(((D12443/100)*(C12443*VLOOKUP(B12443,'Poids des runes'!A:B,2,FALSE)))+1),(((D12443/100)*(C12443*VLOOKUP(B12443,'Poids des runes'!A:B,2,FALSE)))+1)/VLOOKUP(B12443,'Poids des runes'!A:B,2,FALSE))</f>
        <v>31.66</v>
      </c>
      <c r="F12443">
        <f t="shared" si="194"/>
        <v>31.66</v>
      </c>
    </row>
    <row r="12444" spans="1:6" x14ac:dyDescent="0.3">
      <c r="A12444" t="s">
        <v>2007</v>
      </c>
      <c r="B12444" t="s">
        <v>2140</v>
      </c>
      <c r="C12444">
        <v>8.5</v>
      </c>
      <c r="D12444">
        <v>152</v>
      </c>
      <c r="E12444">
        <f>IF(OR(B12444="vi",B12444="ii",B12444="pod"),(((D12444/100)*(C12444*VLOOKUP(B12444,'Poids des runes'!A:B,2,FALSE)))+1),(((D12444/100)*(C12444*VLOOKUP(B12444,'Poids des runes'!A:B,2,FALSE)))+1)/VLOOKUP(B12444,'Poids des runes'!A:B,2,FALSE))</f>
        <v>13.12</v>
      </c>
      <c r="F12444">
        <f t="shared" si="194"/>
        <v>13.12</v>
      </c>
    </row>
    <row r="12445" spans="1:6" x14ac:dyDescent="0.3">
      <c r="A12445" t="s">
        <v>2007</v>
      </c>
      <c r="B12445" t="s">
        <v>2153</v>
      </c>
      <c r="C12445">
        <v>8.5</v>
      </c>
      <c r="D12445">
        <v>152</v>
      </c>
      <c r="E12445">
        <f>IF(OR(B12445="vi",B12445="ii",B12445="pod"),(((D12445/100)*(C12445*VLOOKUP(B12445,'Poids des runes'!A:B,2,FALSE)))+1),(((D12445/100)*(C12445*VLOOKUP(B12445,'Poids des runes'!A:B,2,FALSE)))+1)/VLOOKUP(B12445,'Poids des runes'!A:B,2,FALSE))</f>
        <v>13.12</v>
      </c>
      <c r="F12445">
        <f t="shared" si="194"/>
        <v>13.12</v>
      </c>
    </row>
    <row r="12446" spans="1:6" x14ac:dyDescent="0.3">
      <c r="A12446" t="s">
        <v>2007</v>
      </c>
      <c r="B12446" t="s">
        <v>2161</v>
      </c>
      <c r="C12446">
        <v>13</v>
      </c>
      <c r="D12446">
        <v>152</v>
      </c>
      <c r="E12446">
        <f>IF(OR(B12446="vi",B12446="ii",B12446="pod"),(((D12446/100)*(C12446*VLOOKUP(B12446,'Poids des runes'!A:B,2,FALSE)))+1),(((D12446/100)*(C12446*VLOOKUP(B12446,'Poids des runes'!A:B,2,FALSE)))+1)/VLOOKUP(B12446,'Poids des runes'!A:B,2,FALSE))</f>
        <v>20.093333333333334</v>
      </c>
      <c r="F12446">
        <f t="shared" si="194"/>
        <v>20.093333333333334</v>
      </c>
    </row>
    <row r="12447" spans="1:6" x14ac:dyDescent="0.3">
      <c r="A12447" t="s">
        <v>2007</v>
      </c>
      <c r="B12447" t="s">
        <v>2138</v>
      </c>
      <c r="C12447">
        <v>4.5</v>
      </c>
      <c r="D12447">
        <v>152</v>
      </c>
      <c r="E12447">
        <f>IF(OR(B12447="vi",B12447="ii",B12447="pod"),(((D12447/100)*(C12447*VLOOKUP(B12447,'Poids des runes'!A:B,2,FALSE)))+1),(((D12447/100)*(C12447*VLOOKUP(B12447,'Poids des runes'!A:B,2,FALSE)))+1)/VLOOKUP(B12447,'Poids des runes'!A:B,2,FALSE))</f>
        <v>7.09</v>
      </c>
      <c r="F12447">
        <f t="shared" si="194"/>
        <v>7.09</v>
      </c>
    </row>
    <row r="12448" spans="1:6" x14ac:dyDescent="0.3">
      <c r="A12448" t="s">
        <v>2007</v>
      </c>
      <c r="B12448" t="s">
        <v>2163</v>
      </c>
      <c r="C12448">
        <v>8.5</v>
      </c>
      <c r="D12448">
        <v>152</v>
      </c>
      <c r="E12448">
        <f>IF(OR(B12448="vi",B12448="ii",B12448="pod"),(((D12448/100)*(C12448*VLOOKUP(B12448,'Poids des runes'!A:B,2,FALSE)))+1),(((D12448/100)*(C12448*VLOOKUP(B12448,'Poids des runes'!A:B,2,FALSE)))+1)/VLOOKUP(B12448,'Poids des runes'!A:B,2,FALSE))</f>
        <v>13.42</v>
      </c>
      <c r="F12448">
        <f t="shared" si="194"/>
        <v>13.42</v>
      </c>
    </row>
    <row r="12449" spans="1:6" x14ac:dyDescent="0.3">
      <c r="A12449" t="s">
        <v>2007</v>
      </c>
      <c r="B12449" t="s">
        <v>2148</v>
      </c>
      <c r="C12449">
        <v>6</v>
      </c>
      <c r="D12449">
        <v>152</v>
      </c>
      <c r="E12449">
        <f>IF(OR(B12449="vi",B12449="ii",B12449="pod"),(((D12449/100)*(C12449*VLOOKUP(B12449,'Poids des runes'!A:B,2,FALSE)))+1),(((D12449/100)*(C12449*VLOOKUP(B12449,'Poids des runes'!A:B,2,FALSE)))+1)/VLOOKUP(B12449,'Poids des runes'!A:B,2,FALSE))</f>
        <v>9.2866666666666671</v>
      </c>
      <c r="F12449">
        <f t="shared" si="194"/>
        <v>9.2866666666666671</v>
      </c>
    </row>
    <row r="12450" spans="1:6" x14ac:dyDescent="0.3">
      <c r="A12450" t="s">
        <v>2007</v>
      </c>
      <c r="B12450" t="s">
        <v>2135</v>
      </c>
      <c r="C12450">
        <v>6</v>
      </c>
      <c r="D12450">
        <v>152</v>
      </c>
      <c r="E12450">
        <f>IF(OR(B12450="vi",B12450="ii",B12450="pod"),(((D12450/100)*(C12450*VLOOKUP(B12450,'Poids des runes'!A:B,2,FALSE)))+1),(((D12450/100)*(C12450*VLOOKUP(B12450,'Poids des runes'!A:B,2,FALSE)))+1)/VLOOKUP(B12450,'Poids des runes'!A:B,2,FALSE))</f>
        <v>9.2866666666666671</v>
      </c>
      <c r="F12450">
        <f t="shared" si="194"/>
        <v>9.2866666666666671</v>
      </c>
    </row>
    <row r="12451" spans="1:6" x14ac:dyDescent="0.3">
      <c r="A12451" t="s">
        <v>2008</v>
      </c>
      <c r="B12451" t="s">
        <v>2131</v>
      </c>
      <c r="C12451">
        <v>55.5</v>
      </c>
      <c r="D12451">
        <v>152</v>
      </c>
      <c r="E12451">
        <f>IF(OR(B12451="vi",B12451="ii",B12451="pod"),(((D12451/100)*(C12451*VLOOKUP(B12451,'Poids des runes'!A:B,2,FALSE)))+1),(((D12451/100)*(C12451*VLOOKUP(B12451,'Poids des runes'!A:B,2,FALSE)))+1)/VLOOKUP(B12451,'Poids des runes'!A:B,2,FALSE))</f>
        <v>85.36</v>
      </c>
      <c r="F12451">
        <f t="shared" si="194"/>
        <v>85.36</v>
      </c>
    </row>
    <row r="12452" spans="1:6" x14ac:dyDescent="0.3">
      <c r="A12452" t="s">
        <v>2008</v>
      </c>
      <c r="B12452" t="s">
        <v>2129</v>
      </c>
      <c r="C12452">
        <v>35.5</v>
      </c>
      <c r="D12452">
        <v>152</v>
      </c>
      <c r="E12452">
        <f>IF(OR(B12452="vi",B12452="ii",B12452="pod"),(((D12452/100)*(C12452*VLOOKUP(B12452,'Poids des runes'!A:B,2,FALSE)))+1),(((D12452/100)*(C12452*VLOOKUP(B12452,'Poids des runes'!A:B,2,FALSE)))+1)/VLOOKUP(B12452,'Poids des runes'!A:B,2,FALSE))</f>
        <v>54.96</v>
      </c>
      <c r="F12452">
        <f t="shared" si="194"/>
        <v>54.96</v>
      </c>
    </row>
    <row r="12453" spans="1:6" x14ac:dyDescent="0.3">
      <c r="A12453" t="s">
        <v>2008</v>
      </c>
      <c r="B12453" t="s">
        <v>2151</v>
      </c>
      <c r="C12453">
        <v>6</v>
      </c>
      <c r="D12453">
        <v>152</v>
      </c>
      <c r="E12453">
        <f>IF(OR(B12453="vi",B12453="ii",B12453="pod"),(((D12453/100)*(C12453*VLOOKUP(B12453,'Poids des runes'!A:B,2,FALSE)))+1),(((D12453/100)*(C12453*VLOOKUP(B12453,'Poids des runes'!A:B,2,FALSE)))+1)/VLOOKUP(B12453,'Poids des runes'!A:B,2,FALSE))</f>
        <v>9.2200000000000006</v>
      </c>
      <c r="F12453">
        <f t="shared" si="194"/>
        <v>9.2200000000000006</v>
      </c>
    </row>
    <row r="12454" spans="1:6" x14ac:dyDescent="0.3">
      <c r="A12454" t="s">
        <v>2008</v>
      </c>
      <c r="B12454" t="s">
        <v>2155</v>
      </c>
      <c r="C12454">
        <v>1</v>
      </c>
      <c r="D12454">
        <v>152</v>
      </c>
      <c r="E12454">
        <f>IF(OR(B12454="vi",B12454="ii",B12454="pod"),(((D12454/100)*(C12454*VLOOKUP(B12454,'Poids des runes'!A:B,2,FALSE)))+1),(((D12454/100)*(C12454*VLOOKUP(B12454,'Poids des runes'!A:B,2,FALSE)))+1)/VLOOKUP(B12454,'Poids des runes'!A:B,2,FALSE))</f>
        <v>1.5396078431372549</v>
      </c>
      <c r="F12454">
        <f t="shared" si="194"/>
        <v>1.5396078431372549</v>
      </c>
    </row>
    <row r="12455" spans="1:6" x14ac:dyDescent="0.3">
      <c r="A12455" t="s">
        <v>2008</v>
      </c>
      <c r="B12455" t="s">
        <v>2133</v>
      </c>
      <c r="C12455">
        <v>10.5</v>
      </c>
      <c r="D12455">
        <v>152</v>
      </c>
      <c r="E12455">
        <f>IF(OR(B12455="vi",B12455="ii",B12455="pod"),(((D12455/100)*(C12455*VLOOKUP(B12455,'Poids des runes'!A:B,2,FALSE)))+1),(((D12455/100)*(C12455*VLOOKUP(B12455,'Poids des runes'!A:B,2,FALSE)))+1)/VLOOKUP(B12455,'Poids des runes'!A:B,2,FALSE))</f>
        <v>16.16</v>
      </c>
      <c r="F12455">
        <f t="shared" si="194"/>
        <v>16.16</v>
      </c>
    </row>
    <row r="12456" spans="1:6" x14ac:dyDescent="0.3">
      <c r="A12456" t="s">
        <v>2008</v>
      </c>
      <c r="B12456" t="s">
        <v>2161</v>
      </c>
      <c r="C12456">
        <v>18</v>
      </c>
      <c r="D12456">
        <v>152</v>
      </c>
      <c r="E12456">
        <f>IF(OR(B12456="vi",B12456="ii",B12456="pod"),(((D12456/100)*(C12456*VLOOKUP(B12456,'Poids des runes'!A:B,2,FALSE)))+1),(((D12456/100)*(C12456*VLOOKUP(B12456,'Poids des runes'!A:B,2,FALSE)))+1)/VLOOKUP(B12456,'Poids des runes'!A:B,2,FALSE))</f>
        <v>27.693333333333332</v>
      </c>
      <c r="F12456">
        <f t="shared" si="194"/>
        <v>27.693333333333332</v>
      </c>
    </row>
    <row r="12457" spans="1:6" x14ac:dyDescent="0.3">
      <c r="A12457" t="s">
        <v>2008</v>
      </c>
      <c r="B12457" t="s">
        <v>2141</v>
      </c>
      <c r="C12457">
        <v>8.5</v>
      </c>
      <c r="D12457">
        <v>152</v>
      </c>
      <c r="E12457">
        <f>IF(OR(B12457="vi",B12457="ii",B12457="pod"),(((D12457/100)*(C12457*VLOOKUP(B12457,'Poids des runes'!A:B,2,FALSE)))+1),(((D12457/100)*(C12457*VLOOKUP(B12457,'Poids des runes'!A:B,2,FALSE)))+1)/VLOOKUP(B12457,'Poids des runes'!A:B,2,FALSE))</f>
        <v>13.17</v>
      </c>
      <c r="F12457">
        <f t="shared" si="194"/>
        <v>13.17</v>
      </c>
    </row>
    <row r="12458" spans="1:6" x14ac:dyDescent="0.3">
      <c r="A12458" t="s">
        <v>2008</v>
      </c>
      <c r="B12458" t="s">
        <v>2159</v>
      </c>
      <c r="C12458">
        <v>5</v>
      </c>
      <c r="D12458">
        <v>152</v>
      </c>
      <c r="E12458">
        <f>IF(OR(B12458="vi",B12458="ii",B12458="pod"),(((D12458/100)*(C12458*VLOOKUP(B12458,'Poids des runes'!A:B,2,FALSE)))+1),(((D12458/100)*(C12458*VLOOKUP(B12458,'Poids des runes'!A:B,2,FALSE)))+1)/VLOOKUP(B12458,'Poids des runes'!A:B,2,FALSE))</f>
        <v>7.7428571428571429</v>
      </c>
      <c r="F12458">
        <f t="shared" si="194"/>
        <v>7.7428571428571429</v>
      </c>
    </row>
    <row r="12459" spans="1:6" x14ac:dyDescent="0.3">
      <c r="A12459" t="s">
        <v>2008</v>
      </c>
      <c r="B12459" t="s">
        <v>2158</v>
      </c>
      <c r="C12459">
        <v>8.5</v>
      </c>
      <c r="D12459">
        <v>152</v>
      </c>
      <c r="E12459">
        <f>IF(OR(B12459="vi",B12459="ii",B12459="pod"),(((D12459/100)*(C12459*VLOOKUP(B12459,'Poids des runes'!A:B,2,FALSE)))+1),(((D12459/100)*(C12459*VLOOKUP(B12459,'Poids des runes'!A:B,2,FALSE)))+1)/VLOOKUP(B12459,'Poids des runes'!A:B,2,FALSE))</f>
        <v>13.12</v>
      </c>
      <c r="F12459">
        <f t="shared" si="194"/>
        <v>13.12</v>
      </c>
    </row>
    <row r="12460" spans="1:6" x14ac:dyDescent="0.3">
      <c r="A12460" t="s">
        <v>2008</v>
      </c>
      <c r="B12460" t="s">
        <v>2148</v>
      </c>
      <c r="C12460">
        <v>8.5</v>
      </c>
      <c r="D12460">
        <v>152</v>
      </c>
      <c r="E12460">
        <f>IF(OR(B12460="vi",B12460="ii",B12460="pod"),(((D12460/100)*(C12460*VLOOKUP(B12460,'Poids des runes'!A:B,2,FALSE)))+1),(((D12460/100)*(C12460*VLOOKUP(B12460,'Poids des runes'!A:B,2,FALSE)))+1)/VLOOKUP(B12460,'Poids des runes'!A:B,2,FALSE))</f>
        <v>13.086666666666666</v>
      </c>
      <c r="F12460">
        <f t="shared" si="194"/>
        <v>13.086666666666666</v>
      </c>
    </row>
    <row r="12461" spans="1:6" x14ac:dyDescent="0.3">
      <c r="A12461" t="s">
        <v>2008</v>
      </c>
      <c r="B12461" t="s">
        <v>2157</v>
      </c>
      <c r="C12461">
        <v>8.5</v>
      </c>
      <c r="D12461">
        <v>152</v>
      </c>
      <c r="E12461">
        <f>IF(OR(B12461="vi",B12461="ii",B12461="pod"),(((D12461/100)*(C12461*VLOOKUP(B12461,'Poids des runes'!A:B,2,FALSE)))+1),(((D12461/100)*(C12461*VLOOKUP(B12461,'Poids des runes'!A:B,2,FALSE)))+1)/VLOOKUP(B12461,'Poids des runes'!A:B,2,FALSE))</f>
        <v>13.086666666666666</v>
      </c>
      <c r="F12461">
        <f t="shared" si="194"/>
        <v>13.086666666666666</v>
      </c>
    </row>
    <row r="12462" spans="1:6" x14ac:dyDescent="0.3">
      <c r="A12462" t="s">
        <v>2008</v>
      </c>
      <c r="B12462" t="s">
        <v>2144</v>
      </c>
      <c r="C12462">
        <v>10.5</v>
      </c>
      <c r="D12462">
        <v>152</v>
      </c>
      <c r="E12462">
        <f>IF(OR(B12462="vi",B12462="ii",B12462="pod"),(((D12462/100)*(C12462*VLOOKUP(B12462,'Poids des runes'!A:B,2,FALSE)))+1),(((D12462/100)*(C12462*VLOOKUP(B12462,'Poids des runes'!A:B,2,FALSE)))+1)/VLOOKUP(B12462,'Poids des runes'!A:B,2,FALSE))</f>
        <v>16.46</v>
      </c>
      <c r="F12462">
        <f t="shared" si="194"/>
        <v>16.46</v>
      </c>
    </row>
    <row r="12463" spans="1:6" x14ac:dyDescent="0.3">
      <c r="A12463" t="s">
        <v>2009</v>
      </c>
      <c r="B12463" t="s">
        <v>2128</v>
      </c>
      <c r="C12463">
        <v>175.5</v>
      </c>
      <c r="D12463">
        <v>153</v>
      </c>
      <c r="E12463">
        <f>IF(OR(B12463="vi",B12463="ii",B12463="pod"),(((D12463/100)*(C12463*VLOOKUP(B12463,'Poids des runes'!A:B,2,FALSE)))+1),(((D12463/100)*(C12463*VLOOKUP(B12463,'Poids des runes'!A:B,2,FALSE)))+1)/VLOOKUP(B12463,'Poids des runes'!A:B,2,FALSE))</f>
        <v>54.703000000000003</v>
      </c>
      <c r="F12463">
        <f t="shared" si="194"/>
        <v>54.703000000000003</v>
      </c>
    </row>
    <row r="12464" spans="1:6" x14ac:dyDescent="0.3">
      <c r="A12464" t="s">
        <v>2009</v>
      </c>
      <c r="B12464" t="s">
        <v>2127</v>
      </c>
      <c r="C12464">
        <v>40.5</v>
      </c>
      <c r="D12464">
        <v>153</v>
      </c>
      <c r="E12464">
        <f>IF(OR(B12464="vi",B12464="ii",B12464="pod"),(((D12464/100)*(C12464*VLOOKUP(B12464,'Poids des runes'!A:B,2,FALSE)))+1),(((D12464/100)*(C12464*VLOOKUP(B12464,'Poids des runes'!A:B,2,FALSE)))+1)/VLOOKUP(B12464,'Poids des runes'!A:B,2,FALSE))</f>
        <v>62.965000000000003</v>
      </c>
      <c r="F12464">
        <f t="shared" si="194"/>
        <v>62.965000000000003</v>
      </c>
    </row>
    <row r="12465" spans="1:6" x14ac:dyDescent="0.3">
      <c r="A12465" t="s">
        <v>2009</v>
      </c>
      <c r="B12465" t="s">
        <v>2129</v>
      </c>
      <c r="C12465">
        <v>35.5</v>
      </c>
      <c r="D12465">
        <v>153</v>
      </c>
      <c r="E12465">
        <f>IF(OR(B12465="vi",B12465="ii",B12465="pod"),(((D12465/100)*(C12465*VLOOKUP(B12465,'Poids des runes'!A:B,2,FALSE)))+1),(((D12465/100)*(C12465*VLOOKUP(B12465,'Poids des runes'!A:B,2,FALSE)))+1)/VLOOKUP(B12465,'Poids des runes'!A:B,2,FALSE))</f>
        <v>55.314999999999998</v>
      </c>
      <c r="F12465">
        <f t="shared" si="194"/>
        <v>55.314999999999998</v>
      </c>
    </row>
    <row r="12466" spans="1:6" x14ac:dyDescent="0.3">
      <c r="A12466" t="s">
        <v>2009</v>
      </c>
      <c r="B12466" t="s">
        <v>2151</v>
      </c>
      <c r="C12466">
        <v>4.5</v>
      </c>
      <c r="D12466">
        <v>153</v>
      </c>
      <c r="E12466">
        <f>IF(OR(B12466="vi",B12466="ii",B12466="pod"),(((D12466/100)*(C12466*VLOOKUP(B12466,'Poids des runes'!A:B,2,FALSE)))+1),(((D12466/100)*(C12466*VLOOKUP(B12466,'Poids des runes'!A:B,2,FALSE)))+1)/VLOOKUP(B12466,'Poids des runes'!A:B,2,FALSE))</f>
        <v>6.9849999999999994</v>
      </c>
      <c r="F12466">
        <f t="shared" si="194"/>
        <v>6.9849999999999994</v>
      </c>
    </row>
    <row r="12467" spans="1:6" x14ac:dyDescent="0.3">
      <c r="A12467" t="s">
        <v>2009</v>
      </c>
      <c r="B12467" t="s">
        <v>2153</v>
      </c>
      <c r="C12467">
        <v>8.5</v>
      </c>
      <c r="D12467">
        <v>153</v>
      </c>
      <c r="E12467">
        <f>IF(OR(B12467="vi",B12467="ii",B12467="pod"),(((D12467/100)*(C12467*VLOOKUP(B12467,'Poids des runes'!A:B,2,FALSE)))+1),(((D12467/100)*(C12467*VLOOKUP(B12467,'Poids des runes'!A:B,2,FALSE)))+1)/VLOOKUP(B12467,'Poids des runes'!A:B,2,FALSE))</f>
        <v>13.205000000000002</v>
      </c>
      <c r="F12467">
        <f t="shared" si="194"/>
        <v>13.205000000000002</v>
      </c>
    </row>
    <row r="12468" spans="1:6" x14ac:dyDescent="0.3">
      <c r="A12468" t="s">
        <v>2009</v>
      </c>
      <c r="B12468" t="s">
        <v>2161</v>
      </c>
      <c r="C12468">
        <v>13</v>
      </c>
      <c r="D12468">
        <v>153</v>
      </c>
      <c r="E12468">
        <f>IF(OR(B12468="vi",B12468="ii",B12468="pod"),(((D12468/100)*(C12468*VLOOKUP(B12468,'Poids des runes'!A:B,2,FALSE)))+1),(((D12468/100)*(C12468*VLOOKUP(B12468,'Poids des runes'!A:B,2,FALSE)))+1)/VLOOKUP(B12468,'Poids des runes'!A:B,2,FALSE))</f>
        <v>20.223333333333333</v>
      </c>
      <c r="F12468">
        <f t="shared" si="194"/>
        <v>20.223333333333333</v>
      </c>
    </row>
    <row r="12469" spans="1:6" x14ac:dyDescent="0.3">
      <c r="A12469" t="s">
        <v>2009</v>
      </c>
      <c r="B12469" t="s">
        <v>2132</v>
      </c>
      <c r="C12469">
        <v>350.5</v>
      </c>
      <c r="D12469">
        <v>153</v>
      </c>
      <c r="E12469">
        <f>IF(OR(B12469="vi",B12469="ii",B12469="pod"),(((D12469/100)*(C12469*VLOOKUP(B12469,'Poids des runes'!A:B,2,FALSE)))+1),(((D12469/100)*(C12469*VLOOKUP(B12469,'Poids des runes'!A:B,2,FALSE)))+1)/VLOOKUP(B12469,'Poids des runes'!A:B,2,FALSE))</f>
        <v>54.626500000000007</v>
      </c>
      <c r="F12469">
        <f t="shared" si="194"/>
        <v>54.626500000000007</v>
      </c>
    </row>
    <row r="12470" spans="1:6" x14ac:dyDescent="0.3">
      <c r="A12470" t="s">
        <v>2009</v>
      </c>
      <c r="B12470" t="s">
        <v>2138</v>
      </c>
      <c r="C12470">
        <v>4.5</v>
      </c>
      <c r="D12470">
        <v>153</v>
      </c>
      <c r="E12470">
        <f>IF(OR(B12470="vi",B12470="ii",B12470="pod"),(((D12470/100)*(C12470*VLOOKUP(B12470,'Poids des runes'!A:B,2,FALSE)))+1),(((D12470/100)*(C12470*VLOOKUP(B12470,'Poids des runes'!A:B,2,FALSE)))+1)/VLOOKUP(B12470,'Poids des runes'!A:B,2,FALSE))</f>
        <v>7.1349999999999998</v>
      </c>
      <c r="F12470">
        <f t="shared" si="194"/>
        <v>7.1349999999999998</v>
      </c>
    </row>
    <row r="12471" spans="1:6" x14ac:dyDescent="0.3">
      <c r="A12471" t="s">
        <v>2009</v>
      </c>
      <c r="B12471" t="s">
        <v>2163</v>
      </c>
      <c r="C12471">
        <v>8.5</v>
      </c>
      <c r="D12471">
        <v>153</v>
      </c>
      <c r="E12471">
        <f>IF(OR(B12471="vi",B12471="ii",B12471="pod"),(((D12471/100)*(C12471*VLOOKUP(B12471,'Poids des runes'!A:B,2,FALSE)))+1),(((D12471/100)*(C12471*VLOOKUP(B12471,'Poids des runes'!A:B,2,FALSE)))+1)/VLOOKUP(B12471,'Poids des runes'!A:B,2,FALSE))</f>
        <v>13.505000000000001</v>
      </c>
      <c r="F12471">
        <f t="shared" si="194"/>
        <v>13.505000000000001</v>
      </c>
    </row>
    <row r="12472" spans="1:6" x14ac:dyDescent="0.3">
      <c r="A12472" t="s">
        <v>2009</v>
      </c>
      <c r="B12472" t="s">
        <v>2157</v>
      </c>
      <c r="C12472">
        <v>6</v>
      </c>
      <c r="D12472">
        <v>153</v>
      </c>
      <c r="E12472">
        <f>IF(OR(B12472="vi",B12472="ii",B12472="pod"),(((D12472/100)*(C12472*VLOOKUP(B12472,'Poids des runes'!A:B,2,FALSE)))+1),(((D12472/100)*(C12472*VLOOKUP(B12472,'Poids des runes'!A:B,2,FALSE)))+1)/VLOOKUP(B12472,'Poids des runes'!A:B,2,FALSE))</f>
        <v>9.3466666666666658</v>
      </c>
      <c r="F12472">
        <f t="shared" si="194"/>
        <v>9.3466666666666658</v>
      </c>
    </row>
    <row r="12473" spans="1:6" x14ac:dyDescent="0.3">
      <c r="A12473" t="s">
        <v>2009</v>
      </c>
      <c r="B12473" t="s">
        <v>2137</v>
      </c>
      <c r="C12473">
        <v>6</v>
      </c>
      <c r="D12473">
        <v>153</v>
      </c>
      <c r="E12473">
        <f>IF(OR(B12473="vi",B12473="ii",B12473="pod"),(((D12473/100)*(C12473*VLOOKUP(B12473,'Poids des runes'!A:B,2,FALSE)))+1),(((D12473/100)*(C12473*VLOOKUP(B12473,'Poids des runes'!A:B,2,FALSE)))+1)/VLOOKUP(B12473,'Poids des runes'!A:B,2,FALSE))</f>
        <v>9.68</v>
      </c>
      <c r="F12473">
        <f t="shared" si="194"/>
        <v>9.68</v>
      </c>
    </row>
    <row r="12474" spans="1:6" x14ac:dyDescent="0.3">
      <c r="A12474" t="s">
        <v>2009</v>
      </c>
      <c r="B12474" t="s">
        <v>2145</v>
      </c>
      <c r="C12474">
        <v>6</v>
      </c>
      <c r="D12474">
        <v>153</v>
      </c>
      <c r="E12474">
        <f>IF(OR(B12474="vi",B12474="ii",B12474="pod"),(((D12474/100)*(C12474*VLOOKUP(B12474,'Poids des runes'!A:B,2,FALSE)))+1),(((D12474/100)*(C12474*VLOOKUP(B12474,'Poids des runes'!A:B,2,FALSE)))+1)/VLOOKUP(B12474,'Poids des runes'!A:B,2,FALSE))</f>
        <v>9.68</v>
      </c>
      <c r="F12474">
        <f t="shared" si="194"/>
        <v>9.68</v>
      </c>
    </row>
    <row r="12475" spans="1:6" x14ac:dyDescent="0.3">
      <c r="A12475" t="s">
        <v>2010</v>
      </c>
      <c r="B12475" t="s">
        <v>2128</v>
      </c>
      <c r="C12475">
        <v>175.5</v>
      </c>
      <c r="D12475">
        <v>154</v>
      </c>
      <c r="E12475">
        <f>IF(OR(B12475="vi",B12475="ii",B12475="pod"),(((D12475/100)*(C12475*VLOOKUP(B12475,'Poids des runes'!A:B,2,FALSE)))+1),(((D12475/100)*(C12475*VLOOKUP(B12475,'Poids des runes'!A:B,2,FALSE)))+1)/VLOOKUP(B12475,'Poids des runes'!A:B,2,FALSE))</f>
        <v>55.054000000000002</v>
      </c>
      <c r="F12475">
        <f t="shared" si="194"/>
        <v>55.054000000000002</v>
      </c>
    </row>
    <row r="12476" spans="1:6" x14ac:dyDescent="0.3">
      <c r="A12476" t="s">
        <v>2010</v>
      </c>
      <c r="B12476" t="s">
        <v>2126</v>
      </c>
      <c r="C12476">
        <v>50.5</v>
      </c>
      <c r="D12476">
        <v>154</v>
      </c>
      <c r="E12476">
        <f>IF(OR(B12476="vi",B12476="ii",B12476="pod"),(((D12476/100)*(C12476*VLOOKUP(B12476,'Poids des runes'!A:B,2,FALSE)))+1),(((D12476/100)*(C12476*VLOOKUP(B12476,'Poids des runes'!A:B,2,FALSE)))+1)/VLOOKUP(B12476,'Poids des runes'!A:B,2,FALSE))</f>
        <v>78.77</v>
      </c>
      <c r="F12476">
        <f t="shared" si="194"/>
        <v>78.77</v>
      </c>
    </row>
    <row r="12477" spans="1:6" x14ac:dyDescent="0.3">
      <c r="A12477" t="s">
        <v>2010</v>
      </c>
      <c r="B12477" t="s">
        <v>2129</v>
      </c>
      <c r="C12477">
        <v>35.5</v>
      </c>
      <c r="D12477">
        <v>154</v>
      </c>
      <c r="E12477">
        <f>IF(OR(B12477="vi",B12477="ii",B12477="pod"),(((D12477/100)*(C12477*VLOOKUP(B12477,'Poids des runes'!A:B,2,FALSE)))+1),(((D12477/100)*(C12477*VLOOKUP(B12477,'Poids des runes'!A:B,2,FALSE)))+1)/VLOOKUP(B12477,'Poids des runes'!A:B,2,FALSE))</f>
        <v>55.67</v>
      </c>
      <c r="F12477">
        <f t="shared" si="194"/>
        <v>55.67</v>
      </c>
    </row>
    <row r="12478" spans="1:6" x14ac:dyDescent="0.3">
      <c r="A12478" t="s">
        <v>2010</v>
      </c>
      <c r="B12478" t="s">
        <v>2151</v>
      </c>
      <c r="C12478">
        <v>4.5</v>
      </c>
      <c r="D12478">
        <v>154</v>
      </c>
      <c r="E12478">
        <f>IF(OR(B12478="vi",B12478="ii",B12478="pod"),(((D12478/100)*(C12478*VLOOKUP(B12478,'Poids des runes'!A:B,2,FALSE)))+1),(((D12478/100)*(C12478*VLOOKUP(B12478,'Poids des runes'!A:B,2,FALSE)))+1)/VLOOKUP(B12478,'Poids des runes'!A:B,2,FALSE))</f>
        <v>7.0299999999999994</v>
      </c>
      <c r="F12478">
        <f t="shared" si="194"/>
        <v>7.0299999999999994</v>
      </c>
    </row>
    <row r="12479" spans="1:6" x14ac:dyDescent="0.3">
      <c r="A12479" t="s">
        <v>2010</v>
      </c>
      <c r="B12479" t="s">
        <v>2140</v>
      </c>
      <c r="C12479">
        <v>8.5</v>
      </c>
      <c r="D12479">
        <v>154</v>
      </c>
      <c r="E12479">
        <f>IF(OR(B12479="vi",B12479="ii",B12479="pod"),(((D12479/100)*(C12479*VLOOKUP(B12479,'Poids des runes'!A:B,2,FALSE)))+1),(((D12479/100)*(C12479*VLOOKUP(B12479,'Poids des runes'!A:B,2,FALSE)))+1)/VLOOKUP(B12479,'Poids des runes'!A:B,2,FALSE))</f>
        <v>13.290000000000001</v>
      </c>
      <c r="F12479">
        <f t="shared" si="194"/>
        <v>13.290000000000001</v>
      </c>
    </row>
    <row r="12480" spans="1:6" x14ac:dyDescent="0.3">
      <c r="A12480" t="s">
        <v>2010</v>
      </c>
      <c r="B12480" t="s">
        <v>2149</v>
      </c>
      <c r="C12480">
        <v>8.5</v>
      </c>
      <c r="D12480">
        <v>154</v>
      </c>
      <c r="E12480">
        <f>IF(OR(B12480="vi",B12480="ii",B12480="pod"),(((D12480/100)*(C12480*VLOOKUP(B12480,'Poids des runes'!A:B,2,FALSE)))+1),(((D12480/100)*(C12480*VLOOKUP(B12480,'Poids des runes'!A:B,2,FALSE)))+1)/VLOOKUP(B12480,'Poids des runes'!A:B,2,FALSE))</f>
        <v>13.190000000000001</v>
      </c>
      <c r="F12480">
        <f t="shared" si="194"/>
        <v>13.190000000000001</v>
      </c>
    </row>
    <row r="12481" spans="1:6" x14ac:dyDescent="0.3">
      <c r="A12481" t="s">
        <v>2010</v>
      </c>
      <c r="B12481" t="s">
        <v>2161</v>
      </c>
      <c r="C12481">
        <v>8.5</v>
      </c>
      <c r="D12481">
        <v>154</v>
      </c>
      <c r="E12481">
        <f>IF(OR(B12481="vi",B12481="ii",B12481="pod"),(((D12481/100)*(C12481*VLOOKUP(B12481,'Poids des runes'!A:B,2,FALSE)))+1),(((D12481/100)*(C12481*VLOOKUP(B12481,'Poids des runes'!A:B,2,FALSE)))+1)/VLOOKUP(B12481,'Poids des runes'!A:B,2,FALSE))</f>
        <v>13.423333333333334</v>
      </c>
      <c r="F12481">
        <f t="shared" si="194"/>
        <v>13.423333333333334</v>
      </c>
    </row>
    <row r="12482" spans="1:6" x14ac:dyDescent="0.3">
      <c r="A12482" t="s">
        <v>2010</v>
      </c>
      <c r="B12482" t="s">
        <v>2138</v>
      </c>
      <c r="C12482">
        <v>4.5</v>
      </c>
      <c r="D12482">
        <v>154</v>
      </c>
      <c r="E12482">
        <f>IF(OR(B12482="vi",B12482="ii",B12482="pod"),(((D12482/100)*(C12482*VLOOKUP(B12482,'Poids des runes'!A:B,2,FALSE)))+1),(((D12482/100)*(C12482*VLOOKUP(B12482,'Poids des runes'!A:B,2,FALSE)))+1)/VLOOKUP(B12482,'Poids des runes'!A:B,2,FALSE))</f>
        <v>7.18</v>
      </c>
      <c r="F12482">
        <f t="shared" si="194"/>
        <v>7.18</v>
      </c>
    </row>
    <row r="12483" spans="1:6" x14ac:dyDescent="0.3">
      <c r="A12483" t="s">
        <v>2010</v>
      </c>
      <c r="B12483" t="s">
        <v>2163</v>
      </c>
      <c r="C12483">
        <v>8.5</v>
      </c>
      <c r="D12483">
        <v>154</v>
      </c>
      <c r="E12483">
        <f>IF(OR(B12483="vi",B12483="ii",B12483="pod"),(((D12483/100)*(C12483*VLOOKUP(B12483,'Poids des runes'!A:B,2,FALSE)))+1),(((D12483/100)*(C12483*VLOOKUP(B12483,'Poids des runes'!A:B,2,FALSE)))+1)/VLOOKUP(B12483,'Poids des runes'!A:B,2,FALSE))</f>
        <v>13.59</v>
      </c>
      <c r="F12483">
        <f t="shared" ref="F12483:F12546" si="195">E12483</f>
        <v>13.59</v>
      </c>
    </row>
    <row r="12484" spans="1:6" x14ac:dyDescent="0.3">
      <c r="A12484" t="s">
        <v>2010</v>
      </c>
      <c r="B12484" t="s">
        <v>2145</v>
      </c>
      <c r="C12484">
        <v>8.5</v>
      </c>
      <c r="D12484">
        <v>154</v>
      </c>
      <c r="E12484">
        <f>IF(OR(B12484="vi",B12484="ii",B12484="pod"),(((D12484/100)*(C12484*VLOOKUP(B12484,'Poids des runes'!A:B,2,FALSE)))+1),(((D12484/100)*(C12484*VLOOKUP(B12484,'Poids des runes'!A:B,2,FALSE)))+1)/VLOOKUP(B12484,'Poids des runes'!A:B,2,FALSE))</f>
        <v>13.59</v>
      </c>
      <c r="F12484">
        <f t="shared" si="195"/>
        <v>13.59</v>
      </c>
    </row>
    <row r="12485" spans="1:6" x14ac:dyDescent="0.3">
      <c r="A12485" t="s">
        <v>2010</v>
      </c>
      <c r="B12485" t="s">
        <v>2146</v>
      </c>
      <c r="C12485">
        <v>8.5</v>
      </c>
      <c r="D12485">
        <v>154</v>
      </c>
      <c r="E12485">
        <f>IF(OR(B12485="vi",B12485="ii",B12485="pod"),(((D12485/100)*(C12485*VLOOKUP(B12485,'Poids des runes'!A:B,2,FALSE)))+1),(((D12485/100)*(C12485*VLOOKUP(B12485,'Poids des runes'!A:B,2,FALSE)))+1)/VLOOKUP(B12485,'Poids des runes'!A:B,2,FALSE))</f>
        <v>13.59</v>
      </c>
      <c r="F12485">
        <f t="shared" si="195"/>
        <v>13.59</v>
      </c>
    </row>
    <row r="12486" spans="1:6" x14ac:dyDescent="0.3">
      <c r="A12486" t="s">
        <v>2011</v>
      </c>
      <c r="B12486" t="s">
        <v>2128</v>
      </c>
      <c r="C12486">
        <v>175.5</v>
      </c>
      <c r="D12486">
        <v>154</v>
      </c>
      <c r="E12486">
        <f>IF(OR(B12486="vi",B12486="ii",B12486="pod"),(((D12486/100)*(C12486*VLOOKUP(B12486,'Poids des runes'!A:B,2,FALSE)))+1),(((D12486/100)*(C12486*VLOOKUP(B12486,'Poids des runes'!A:B,2,FALSE)))+1)/VLOOKUP(B12486,'Poids des runes'!A:B,2,FALSE))</f>
        <v>55.054000000000002</v>
      </c>
      <c r="F12486">
        <f t="shared" si="195"/>
        <v>55.054000000000002</v>
      </c>
    </row>
    <row r="12487" spans="1:6" x14ac:dyDescent="0.3">
      <c r="A12487" t="s">
        <v>2011</v>
      </c>
      <c r="B12487" t="s">
        <v>2126</v>
      </c>
      <c r="C12487">
        <v>40.5</v>
      </c>
      <c r="D12487">
        <v>154</v>
      </c>
      <c r="E12487">
        <f>IF(OR(B12487="vi",B12487="ii",B12487="pod"),(((D12487/100)*(C12487*VLOOKUP(B12487,'Poids des runes'!A:B,2,FALSE)))+1),(((D12487/100)*(C12487*VLOOKUP(B12487,'Poids des runes'!A:B,2,FALSE)))+1)/VLOOKUP(B12487,'Poids des runes'!A:B,2,FALSE))</f>
        <v>63.370000000000005</v>
      </c>
      <c r="F12487">
        <f t="shared" si="195"/>
        <v>63.370000000000005</v>
      </c>
    </row>
    <row r="12488" spans="1:6" x14ac:dyDescent="0.3">
      <c r="A12488" t="s">
        <v>2011</v>
      </c>
      <c r="B12488" t="s">
        <v>2127</v>
      </c>
      <c r="C12488">
        <v>40.5</v>
      </c>
      <c r="D12488">
        <v>154</v>
      </c>
      <c r="E12488">
        <f>IF(OR(B12488="vi",B12488="ii",B12488="pod"),(((D12488/100)*(C12488*VLOOKUP(B12488,'Poids des runes'!A:B,2,FALSE)))+1),(((D12488/100)*(C12488*VLOOKUP(B12488,'Poids des runes'!A:B,2,FALSE)))+1)/VLOOKUP(B12488,'Poids des runes'!A:B,2,FALSE))</f>
        <v>63.370000000000005</v>
      </c>
      <c r="F12488">
        <f t="shared" si="195"/>
        <v>63.370000000000005</v>
      </c>
    </row>
    <row r="12489" spans="1:6" x14ac:dyDescent="0.3">
      <c r="A12489" t="s">
        <v>2011</v>
      </c>
      <c r="B12489" t="s">
        <v>2129</v>
      </c>
      <c r="C12489">
        <v>35.5</v>
      </c>
      <c r="D12489">
        <v>154</v>
      </c>
      <c r="E12489">
        <f>IF(OR(B12489="vi",B12489="ii",B12489="pod"),(((D12489/100)*(C12489*VLOOKUP(B12489,'Poids des runes'!A:B,2,FALSE)))+1),(((D12489/100)*(C12489*VLOOKUP(B12489,'Poids des runes'!A:B,2,FALSE)))+1)/VLOOKUP(B12489,'Poids des runes'!A:B,2,FALSE))</f>
        <v>55.67</v>
      </c>
      <c r="F12489">
        <f t="shared" si="195"/>
        <v>55.67</v>
      </c>
    </row>
    <row r="12490" spans="1:6" x14ac:dyDescent="0.3">
      <c r="A12490" t="s">
        <v>2011</v>
      </c>
      <c r="B12490" t="s">
        <v>2151</v>
      </c>
      <c r="C12490">
        <v>2.5</v>
      </c>
      <c r="D12490">
        <v>154</v>
      </c>
      <c r="E12490">
        <f>IF(OR(B12490="vi",B12490="ii",B12490="pod"),(((D12490/100)*(C12490*VLOOKUP(B12490,'Poids des runes'!A:B,2,FALSE)))+1),(((D12490/100)*(C12490*VLOOKUP(B12490,'Poids des runes'!A:B,2,FALSE)))+1)/VLOOKUP(B12490,'Poids des runes'!A:B,2,FALSE))</f>
        <v>3.95</v>
      </c>
      <c r="F12490">
        <f t="shared" si="195"/>
        <v>3.95</v>
      </c>
    </row>
    <row r="12491" spans="1:6" x14ac:dyDescent="0.3">
      <c r="A12491" t="s">
        <v>2011</v>
      </c>
      <c r="B12491" t="s">
        <v>2150</v>
      </c>
      <c r="C12491">
        <v>1</v>
      </c>
      <c r="D12491">
        <v>154</v>
      </c>
      <c r="E12491">
        <f>IF(OR(B12491="vi",B12491="ii",B12491="pod"),(((D12491/100)*(C12491*VLOOKUP(B12491,'Poids des runes'!A:B,2,FALSE)))+1),(((D12491/100)*(C12491*VLOOKUP(B12491,'Poids des runes'!A:B,2,FALSE)))+1)/VLOOKUP(B12491,'Poids des runes'!A:B,2,FALSE))</f>
        <v>1.5733333333333335</v>
      </c>
      <c r="F12491">
        <f t="shared" si="195"/>
        <v>1.5733333333333335</v>
      </c>
    </row>
    <row r="12492" spans="1:6" x14ac:dyDescent="0.3">
      <c r="A12492" t="s">
        <v>2011</v>
      </c>
      <c r="B12492" t="s">
        <v>2140</v>
      </c>
      <c r="C12492">
        <v>8.5</v>
      </c>
      <c r="D12492">
        <v>154</v>
      </c>
      <c r="E12492">
        <f>IF(OR(B12492="vi",B12492="ii",B12492="pod"),(((D12492/100)*(C12492*VLOOKUP(B12492,'Poids des runes'!A:B,2,FALSE)))+1),(((D12492/100)*(C12492*VLOOKUP(B12492,'Poids des runes'!A:B,2,FALSE)))+1)/VLOOKUP(B12492,'Poids des runes'!A:B,2,FALSE))</f>
        <v>13.290000000000001</v>
      </c>
      <c r="F12492">
        <f t="shared" si="195"/>
        <v>13.290000000000001</v>
      </c>
    </row>
    <row r="12493" spans="1:6" x14ac:dyDescent="0.3">
      <c r="A12493" t="s">
        <v>2011</v>
      </c>
      <c r="B12493" t="s">
        <v>2153</v>
      </c>
      <c r="C12493">
        <v>8.5</v>
      </c>
      <c r="D12493">
        <v>154</v>
      </c>
      <c r="E12493">
        <f>IF(OR(B12493="vi",B12493="ii",B12493="pod"),(((D12493/100)*(C12493*VLOOKUP(B12493,'Poids des runes'!A:B,2,FALSE)))+1),(((D12493/100)*(C12493*VLOOKUP(B12493,'Poids des runes'!A:B,2,FALSE)))+1)/VLOOKUP(B12493,'Poids des runes'!A:B,2,FALSE))</f>
        <v>13.290000000000001</v>
      </c>
      <c r="F12493">
        <f t="shared" si="195"/>
        <v>13.290000000000001</v>
      </c>
    </row>
    <row r="12494" spans="1:6" x14ac:dyDescent="0.3">
      <c r="A12494" t="s">
        <v>2011</v>
      </c>
      <c r="B12494" t="s">
        <v>2149</v>
      </c>
      <c r="C12494">
        <v>6</v>
      </c>
      <c r="D12494">
        <v>154</v>
      </c>
      <c r="E12494">
        <f>IF(OR(B12494="vi",B12494="ii",B12494="pod"),(((D12494/100)*(C12494*VLOOKUP(B12494,'Poids des runes'!A:B,2,FALSE)))+1),(((D12494/100)*(C12494*VLOOKUP(B12494,'Poids des runes'!A:B,2,FALSE)))+1)/VLOOKUP(B12494,'Poids des runes'!A:B,2,FALSE))</f>
        <v>9.34</v>
      </c>
      <c r="F12494">
        <f t="shared" si="195"/>
        <v>9.34</v>
      </c>
    </row>
    <row r="12495" spans="1:6" x14ac:dyDescent="0.3">
      <c r="A12495" t="s">
        <v>2011</v>
      </c>
      <c r="B12495" t="s">
        <v>2161</v>
      </c>
      <c r="C12495">
        <v>13</v>
      </c>
      <c r="D12495">
        <v>154</v>
      </c>
      <c r="E12495">
        <f>IF(OR(B12495="vi",B12495="ii",B12495="pod"),(((D12495/100)*(C12495*VLOOKUP(B12495,'Poids des runes'!A:B,2,FALSE)))+1),(((D12495/100)*(C12495*VLOOKUP(B12495,'Poids des runes'!A:B,2,FALSE)))+1)/VLOOKUP(B12495,'Poids des runes'!A:B,2,FALSE))</f>
        <v>20.353333333333335</v>
      </c>
      <c r="F12495">
        <f t="shared" si="195"/>
        <v>20.353333333333335</v>
      </c>
    </row>
    <row r="12496" spans="1:6" x14ac:dyDescent="0.3">
      <c r="A12496" t="s">
        <v>2011</v>
      </c>
      <c r="B12496" t="s">
        <v>2132</v>
      </c>
      <c r="C12496">
        <v>200.5</v>
      </c>
      <c r="D12496">
        <v>154</v>
      </c>
      <c r="E12496">
        <f>IF(OR(B12496="vi",B12496="ii",B12496="pod"),(((D12496/100)*(C12496*VLOOKUP(B12496,'Poids des runes'!A:B,2,FALSE)))+1),(((D12496/100)*(C12496*VLOOKUP(B12496,'Poids des runes'!A:B,2,FALSE)))+1)/VLOOKUP(B12496,'Poids des runes'!A:B,2,FALSE))</f>
        <v>31.877000000000002</v>
      </c>
      <c r="F12496">
        <f t="shared" si="195"/>
        <v>31.877000000000002</v>
      </c>
    </row>
    <row r="12497" spans="1:6" x14ac:dyDescent="0.3">
      <c r="A12497" t="s">
        <v>2011</v>
      </c>
      <c r="B12497" t="s">
        <v>2142</v>
      </c>
      <c r="C12497">
        <v>8.5</v>
      </c>
      <c r="D12497">
        <v>154</v>
      </c>
      <c r="E12497">
        <f>IF(OR(B12497="vi",B12497="ii",B12497="pod"),(((D12497/100)*(C12497*VLOOKUP(B12497,'Poids des runes'!A:B,2,FALSE)))+1),(((D12497/100)*(C12497*VLOOKUP(B12497,'Poids des runes'!A:B,2,FALSE)))+1)/VLOOKUP(B12497,'Poids des runes'!A:B,2,FALSE))</f>
        <v>13.290000000000001</v>
      </c>
      <c r="F12497">
        <f t="shared" si="195"/>
        <v>13.290000000000001</v>
      </c>
    </row>
    <row r="12498" spans="1:6" x14ac:dyDescent="0.3">
      <c r="A12498" t="s">
        <v>2011</v>
      </c>
      <c r="B12498" t="s">
        <v>2157</v>
      </c>
      <c r="C12498">
        <v>6</v>
      </c>
      <c r="D12498">
        <v>154</v>
      </c>
      <c r="E12498">
        <f>IF(OR(B12498="vi",B12498="ii",B12498="pod"),(((D12498/100)*(C12498*VLOOKUP(B12498,'Poids des runes'!A:B,2,FALSE)))+1),(((D12498/100)*(C12498*VLOOKUP(B12498,'Poids des runes'!A:B,2,FALSE)))+1)/VLOOKUP(B12498,'Poids des runes'!A:B,2,FALSE))</f>
        <v>9.4066666666666663</v>
      </c>
      <c r="F12498">
        <f t="shared" si="195"/>
        <v>9.4066666666666663</v>
      </c>
    </row>
    <row r="12499" spans="1:6" x14ac:dyDescent="0.3">
      <c r="A12499" t="s">
        <v>2012</v>
      </c>
      <c r="B12499" t="s">
        <v>2128</v>
      </c>
      <c r="C12499">
        <v>175.5</v>
      </c>
      <c r="D12499">
        <v>156</v>
      </c>
      <c r="E12499">
        <f>IF(OR(B12499="vi",B12499="ii",B12499="pod"),(((D12499/100)*(C12499*VLOOKUP(B12499,'Poids des runes'!A:B,2,FALSE)))+1),(((D12499/100)*(C12499*VLOOKUP(B12499,'Poids des runes'!A:B,2,FALSE)))+1)/VLOOKUP(B12499,'Poids des runes'!A:B,2,FALSE))</f>
        <v>55.756000000000007</v>
      </c>
      <c r="F12499">
        <f t="shared" si="195"/>
        <v>55.756000000000007</v>
      </c>
    </row>
    <row r="12500" spans="1:6" x14ac:dyDescent="0.3">
      <c r="A12500" t="s">
        <v>2012</v>
      </c>
      <c r="B12500" t="s">
        <v>2130</v>
      </c>
      <c r="C12500">
        <v>40.5</v>
      </c>
      <c r="D12500">
        <v>156</v>
      </c>
      <c r="E12500">
        <f>IF(OR(B12500="vi",B12500="ii",B12500="pod"),(((D12500/100)*(C12500*VLOOKUP(B12500,'Poids des runes'!A:B,2,FALSE)))+1),(((D12500/100)*(C12500*VLOOKUP(B12500,'Poids des runes'!A:B,2,FALSE)))+1)/VLOOKUP(B12500,'Poids des runes'!A:B,2,FALSE))</f>
        <v>64.180000000000007</v>
      </c>
      <c r="F12500">
        <f t="shared" si="195"/>
        <v>64.180000000000007</v>
      </c>
    </row>
    <row r="12501" spans="1:6" x14ac:dyDescent="0.3">
      <c r="A12501" t="s">
        <v>2012</v>
      </c>
      <c r="B12501" t="s">
        <v>2126</v>
      </c>
      <c r="C12501">
        <v>40.5</v>
      </c>
      <c r="D12501">
        <v>156</v>
      </c>
      <c r="E12501">
        <f>IF(OR(B12501="vi",B12501="ii",B12501="pod"),(((D12501/100)*(C12501*VLOOKUP(B12501,'Poids des runes'!A:B,2,FALSE)))+1),(((D12501/100)*(C12501*VLOOKUP(B12501,'Poids des runes'!A:B,2,FALSE)))+1)/VLOOKUP(B12501,'Poids des runes'!A:B,2,FALSE))</f>
        <v>64.180000000000007</v>
      </c>
      <c r="F12501">
        <f t="shared" si="195"/>
        <v>64.180000000000007</v>
      </c>
    </row>
    <row r="12502" spans="1:6" x14ac:dyDescent="0.3">
      <c r="A12502" t="s">
        <v>2012</v>
      </c>
      <c r="B12502" t="s">
        <v>2131</v>
      </c>
      <c r="C12502">
        <v>33</v>
      </c>
      <c r="D12502">
        <v>156</v>
      </c>
      <c r="E12502">
        <f>IF(OR(B12502="vi",B12502="ii",B12502="pod"),(((D12502/100)*(C12502*VLOOKUP(B12502,'Poids des runes'!A:B,2,FALSE)))+1),(((D12502/100)*(C12502*VLOOKUP(B12502,'Poids des runes'!A:B,2,FALSE)))+1)/VLOOKUP(B12502,'Poids des runes'!A:B,2,FALSE))</f>
        <v>52.480000000000004</v>
      </c>
      <c r="F12502">
        <f t="shared" si="195"/>
        <v>52.480000000000004</v>
      </c>
    </row>
    <row r="12503" spans="1:6" x14ac:dyDescent="0.3">
      <c r="A12503" t="s">
        <v>2012</v>
      </c>
      <c r="B12503" t="s">
        <v>2150</v>
      </c>
      <c r="C12503">
        <v>2</v>
      </c>
      <c r="D12503">
        <v>156</v>
      </c>
      <c r="E12503">
        <f>IF(OR(B12503="vi",B12503="ii",B12503="pod"),(((D12503/100)*(C12503*VLOOKUP(B12503,'Poids des runes'!A:B,2,FALSE)))+1),(((D12503/100)*(C12503*VLOOKUP(B12503,'Poids des runes'!A:B,2,FALSE)))+1)/VLOOKUP(B12503,'Poids des runes'!A:B,2,FALSE))</f>
        <v>3.1533333333333338</v>
      </c>
      <c r="F12503">
        <f t="shared" si="195"/>
        <v>3.1533333333333338</v>
      </c>
    </row>
    <row r="12504" spans="1:6" x14ac:dyDescent="0.3">
      <c r="A12504" t="s">
        <v>2012</v>
      </c>
      <c r="B12504" t="s">
        <v>2149</v>
      </c>
      <c r="C12504">
        <v>6</v>
      </c>
      <c r="D12504">
        <v>156</v>
      </c>
      <c r="E12504">
        <f>IF(OR(B12504="vi",B12504="ii",B12504="pod"),(((D12504/100)*(C12504*VLOOKUP(B12504,'Poids des runes'!A:B,2,FALSE)))+1),(((D12504/100)*(C12504*VLOOKUP(B12504,'Poids des runes'!A:B,2,FALSE)))+1)/VLOOKUP(B12504,'Poids des runes'!A:B,2,FALSE))</f>
        <v>9.4600000000000009</v>
      </c>
      <c r="F12504">
        <f t="shared" si="195"/>
        <v>9.4600000000000009</v>
      </c>
    </row>
    <row r="12505" spans="1:6" x14ac:dyDescent="0.3">
      <c r="A12505" t="s">
        <v>2012</v>
      </c>
      <c r="B12505" t="s">
        <v>2161</v>
      </c>
      <c r="C12505">
        <v>15.5</v>
      </c>
      <c r="D12505">
        <v>156</v>
      </c>
      <c r="E12505">
        <f>IF(OR(B12505="vi",B12505="ii",B12505="pod"),(((D12505/100)*(C12505*VLOOKUP(B12505,'Poids des runes'!A:B,2,FALSE)))+1),(((D12505/100)*(C12505*VLOOKUP(B12505,'Poids des runes'!A:B,2,FALSE)))+1)/VLOOKUP(B12505,'Poids des runes'!A:B,2,FALSE))</f>
        <v>24.513333333333335</v>
      </c>
      <c r="F12505">
        <f t="shared" si="195"/>
        <v>24.513333333333335</v>
      </c>
    </row>
    <row r="12506" spans="1:6" x14ac:dyDescent="0.3">
      <c r="A12506" t="s">
        <v>2012</v>
      </c>
      <c r="B12506" t="s">
        <v>2132</v>
      </c>
      <c r="C12506">
        <v>250.5</v>
      </c>
      <c r="D12506">
        <v>156</v>
      </c>
      <c r="E12506">
        <f>IF(OR(B12506="vi",B12506="ii",B12506="pod"),(((D12506/100)*(C12506*VLOOKUP(B12506,'Poids des runes'!A:B,2,FALSE)))+1),(((D12506/100)*(C12506*VLOOKUP(B12506,'Poids des runes'!A:B,2,FALSE)))+1)/VLOOKUP(B12506,'Poids des runes'!A:B,2,FALSE))</f>
        <v>40.078000000000003</v>
      </c>
      <c r="F12506">
        <f t="shared" si="195"/>
        <v>40.078000000000003</v>
      </c>
    </row>
    <row r="12507" spans="1:6" x14ac:dyDescent="0.3">
      <c r="A12507" t="s">
        <v>2012</v>
      </c>
      <c r="B12507" t="s">
        <v>2148</v>
      </c>
      <c r="C12507">
        <v>6</v>
      </c>
      <c r="D12507">
        <v>156</v>
      </c>
      <c r="E12507">
        <f>IF(OR(B12507="vi",B12507="ii",B12507="pod"),(((D12507/100)*(C12507*VLOOKUP(B12507,'Poids des runes'!A:B,2,FALSE)))+1),(((D12507/100)*(C12507*VLOOKUP(B12507,'Poids des runes'!A:B,2,FALSE)))+1)/VLOOKUP(B12507,'Poids des runes'!A:B,2,FALSE))</f>
        <v>9.5266666666666673</v>
      </c>
      <c r="F12507">
        <f t="shared" si="195"/>
        <v>9.5266666666666673</v>
      </c>
    </row>
    <row r="12508" spans="1:6" x14ac:dyDescent="0.3">
      <c r="A12508" t="s">
        <v>2012</v>
      </c>
      <c r="B12508" t="s">
        <v>2147</v>
      </c>
      <c r="C12508">
        <v>6</v>
      </c>
      <c r="D12508">
        <v>156</v>
      </c>
      <c r="E12508">
        <f>IF(OR(B12508="vi",B12508="ii",B12508="pod"),(((D12508/100)*(C12508*VLOOKUP(B12508,'Poids des runes'!A:B,2,FALSE)))+1),(((D12508/100)*(C12508*VLOOKUP(B12508,'Poids des runes'!A:B,2,FALSE)))+1)/VLOOKUP(B12508,'Poids des runes'!A:B,2,FALSE))</f>
        <v>9.5266666666666673</v>
      </c>
      <c r="F12508">
        <f t="shared" si="195"/>
        <v>9.5266666666666673</v>
      </c>
    </row>
    <row r="12509" spans="1:6" x14ac:dyDescent="0.3">
      <c r="A12509" t="s">
        <v>2013</v>
      </c>
      <c r="B12509" t="s">
        <v>2128</v>
      </c>
      <c r="C12509">
        <v>225.5</v>
      </c>
      <c r="D12509">
        <v>156</v>
      </c>
      <c r="E12509">
        <f>IF(OR(B12509="vi",B12509="ii",B12509="pod"),(((D12509/100)*(C12509*VLOOKUP(B12509,'Poids des runes'!A:B,2,FALSE)))+1),(((D12509/100)*(C12509*VLOOKUP(B12509,'Poids des runes'!A:B,2,FALSE)))+1)/VLOOKUP(B12509,'Poids des runes'!A:B,2,FALSE))</f>
        <v>71.356000000000009</v>
      </c>
      <c r="F12509">
        <f t="shared" si="195"/>
        <v>71.356000000000009</v>
      </c>
    </row>
    <row r="12510" spans="1:6" x14ac:dyDescent="0.3">
      <c r="A12510" t="s">
        <v>2013</v>
      </c>
      <c r="B12510" t="s">
        <v>2130</v>
      </c>
      <c r="C12510">
        <v>35.5</v>
      </c>
      <c r="D12510">
        <v>156</v>
      </c>
      <c r="E12510">
        <f>IF(OR(B12510="vi",B12510="ii",B12510="pod"),(((D12510/100)*(C12510*VLOOKUP(B12510,'Poids des runes'!A:B,2,FALSE)))+1),(((D12510/100)*(C12510*VLOOKUP(B12510,'Poids des runes'!A:B,2,FALSE)))+1)/VLOOKUP(B12510,'Poids des runes'!A:B,2,FALSE))</f>
        <v>56.38</v>
      </c>
      <c r="F12510">
        <f t="shared" si="195"/>
        <v>56.38</v>
      </c>
    </row>
    <row r="12511" spans="1:6" x14ac:dyDescent="0.3">
      <c r="A12511" t="s">
        <v>2013</v>
      </c>
      <c r="B12511" t="s">
        <v>2129</v>
      </c>
      <c r="C12511">
        <v>25.5</v>
      </c>
      <c r="D12511">
        <v>156</v>
      </c>
      <c r="E12511">
        <f>IF(OR(B12511="vi",B12511="ii",B12511="pod"),(((D12511/100)*(C12511*VLOOKUP(B12511,'Poids des runes'!A:B,2,FALSE)))+1),(((D12511/100)*(C12511*VLOOKUP(B12511,'Poids des runes'!A:B,2,FALSE)))+1)/VLOOKUP(B12511,'Poids des runes'!A:B,2,FALSE))</f>
        <v>40.78</v>
      </c>
      <c r="F12511">
        <f t="shared" si="195"/>
        <v>40.78</v>
      </c>
    </row>
    <row r="12512" spans="1:6" x14ac:dyDescent="0.3">
      <c r="A12512" t="s">
        <v>2013</v>
      </c>
      <c r="B12512" t="s">
        <v>2139</v>
      </c>
      <c r="C12512">
        <v>18</v>
      </c>
      <c r="D12512">
        <v>156</v>
      </c>
      <c r="E12512">
        <f>IF(OR(B12512="vi",B12512="ii",B12512="pod"),(((D12512/100)*(C12512*VLOOKUP(B12512,'Poids des runes'!A:B,2,FALSE)))+1),(((D12512/100)*(C12512*VLOOKUP(B12512,'Poids des runes'!A:B,2,FALSE)))+1)/VLOOKUP(B12512,'Poids des runes'!A:B,2,FALSE))</f>
        <v>28.580000000000002</v>
      </c>
      <c r="F12512">
        <f t="shared" si="195"/>
        <v>28.580000000000002</v>
      </c>
    </row>
    <row r="12513" spans="1:6" x14ac:dyDescent="0.3">
      <c r="A12513" t="s">
        <v>2013</v>
      </c>
      <c r="B12513" t="s">
        <v>2140</v>
      </c>
      <c r="C12513">
        <v>8.5</v>
      </c>
      <c r="D12513">
        <v>156</v>
      </c>
      <c r="E12513">
        <f>IF(OR(B12513="vi",B12513="ii",B12513="pod"),(((D12513/100)*(C12513*VLOOKUP(B12513,'Poids des runes'!A:B,2,FALSE)))+1),(((D12513/100)*(C12513*VLOOKUP(B12513,'Poids des runes'!A:B,2,FALSE)))+1)/VLOOKUP(B12513,'Poids des runes'!A:B,2,FALSE))</f>
        <v>13.459999999999999</v>
      </c>
      <c r="F12513">
        <f t="shared" si="195"/>
        <v>13.459999999999999</v>
      </c>
    </row>
    <row r="12514" spans="1:6" x14ac:dyDescent="0.3">
      <c r="A12514" t="s">
        <v>2013</v>
      </c>
      <c r="B12514" t="s">
        <v>2153</v>
      </c>
      <c r="C12514">
        <v>8.5</v>
      </c>
      <c r="D12514">
        <v>156</v>
      </c>
      <c r="E12514">
        <f>IF(OR(B12514="vi",B12514="ii",B12514="pod"),(((D12514/100)*(C12514*VLOOKUP(B12514,'Poids des runes'!A:B,2,FALSE)))+1),(((D12514/100)*(C12514*VLOOKUP(B12514,'Poids des runes'!A:B,2,FALSE)))+1)/VLOOKUP(B12514,'Poids des runes'!A:B,2,FALSE))</f>
        <v>13.459999999999999</v>
      </c>
      <c r="F12514">
        <f t="shared" si="195"/>
        <v>13.459999999999999</v>
      </c>
    </row>
    <row r="12515" spans="1:6" x14ac:dyDescent="0.3">
      <c r="A12515" t="s">
        <v>2013</v>
      </c>
      <c r="B12515" t="s">
        <v>2161</v>
      </c>
      <c r="C12515">
        <v>13</v>
      </c>
      <c r="D12515">
        <v>156</v>
      </c>
      <c r="E12515">
        <f>IF(OR(B12515="vi",B12515="ii",B12515="pod"),(((D12515/100)*(C12515*VLOOKUP(B12515,'Poids des runes'!A:B,2,FALSE)))+1),(((D12515/100)*(C12515*VLOOKUP(B12515,'Poids des runes'!A:B,2,FALSE)))+1)/VLOOKUP(B12515,'Poids des runes'!A:B,2,FALSE))</f>
        <v>20.613333333333333</v>
      </c>
      <c r="F12515">
        <f t="shared" si="195"/>
        <v>20.613333333333333</v>
      </c>
    </row>
    <row r="12516" spans="1:6" x14ac:dyDescent="0.3">
      <c r="A12516" t="s">
        <v>2013</v>
      </c>
      <c r="B12516" t="s">
        <v>2164</v>
      </c>
      <c r="C12516">
        <v>8.5</v>
      </c>
      <c r="D12516">
        <v>156</v>
      </c>
      <c r="E12516">
        <f>IF(OR(B12516="vi",B12516="ii",B12516="pod"),(((D12516/100)*(C12516*VLOOKUP(B12516,'Poids des runes'!A:B,2,FALSE)))+1),(((D12516/100)*(C12516*VLOOKUP(B12516,'Poids des runes'!A:B,2,FALSE)))+1)/VLOOKUP(B12516,'Poids des runes'!A:B,2,FALSE))</f>
        <v>13.76</v>
      </c>
      <c r="F12516">
        <f t="shared" si="195"/>
        <v>13.76</v>
      </c>
    </row>
    <row r="12517" spans="1:6" x14ac:dyDescent="0.3">
      <c r="A12517" t="s">
        <v>2013</v>
      </c>
      <c r="B12517" t="s">
        <v>2135</v>
      </c>
      <c r="C12517">
        <v>8.5</v>
      </c>
      <c r="D12517">
        <v>156</v>
      </c>
      <c r="E12517">
        <f>IF(OR(B12517="vi",B12517="ii",B12517="pod"),(((D12517/100)*(C12517*VLOOKUP(B12517,'Poids des runes'!A:B,2,FALSE)))+1),(((D12517/100)*(C12517*VLOOKUP(B12517,'Poids des runes'!A:B,2,FALSE)))+1)/VLOOKUP(B12517,'Poids des runes'!A:B,2,FALSE))</f>
        <v>13.426666666666668</v>
      </c>
      <c r="F12517">
        <f t="shared" si="195"/>
        <v>13.426666666666668</v>
      </c>
    </row>
    <row r="12518" spans="1:6" x14ac:dyDescent="0.3">
      <c r="A12518" t="s">
        <v>2013</v>
      </c>
      <c r="B12518" t="s">
        <v>2137</v>
      </c>
      <c r="C12518">
        <v>8.5</v>
      </c>
      <c r="D12518">
        <v>156</v>
      </c>
      <c r="E12518">
        <f>IF(OR(B12518="vi",B12518="ii",B12518="pod"),(((D12518/100)*(C12518*VLOOKUP(B12518,'Poids des runes'!A:B,2,FALSE)))+1),(((D12518/100)*(C12518*VLOOKUP(B12518,'Poids des runes'!A:B,2,FALSE)))+1)/VLOOKUP(B12518,'Poids des runes'!A:B,2,FALSE))</f>
        <v>13.76</v>
      </c>
      <c r="F12518">
        <f t="shared" si="195"/>
        <v>13.76</v>
      </c>
    </row>
    <row r="12519" spans="1:6" x14ac:dyDescent="0.3">
      <c r="A12519" t="s">
        <v>2014</v>
      </c>
      <c r="B12519" t="s">
        <v>2128</v>
      </c>
      <c r="C12519">
        <v>225.5</v>
      </c>
      <c r="D12519">
        <v>158</v>
      </c>
      <c r="E12519">
        <f>IF(OR(B12519="vi",B12519="ii",B12519="pod"),(((D12519/100)*(C12519*VLOOKUP(B12519,'Poids des runes'!A:B,2,FALSE)))+1),(((D12519/100)*(C12519*VLOOKUP(B12519,'Poids des runes'!A:B,2,FALSE)))+1)/VLOOKUP(B12519,'Poids des runes'!A:B,2,FALSE))</f>
        <v>72.25800000000001</v>
      </c>
      <c r="F12519">
        <f t="shared" si="195"/>
        <v>72.25800000000001</v>
      </c>
    </row>
    <row r="12520" spans="1:6" x14ac:dyDescent="0.3">
      <c r="A12520" t="s">
        <v>2014</v>
      </c>
      <c r="B12520" t="s">
        <v>2127</v>
      </c>
      <c r="C12520">
        <v>40.5</v>
      </c>
      <c r="D12520">
        <v>158</v>
      </c>
      <c r="E12520">
        <f>IF(OR(B12520="vi",B12520="ii",B12520="pod"),(((D12520/100)*(C12520*VLOOKUP(B12520,'Poids des runes'!A:B,2,FALSE)))+1),(((D12520/100)*(C12520*VLOOKUP(B12520,'Poids des runes'!A:B,2,FALSE)))+1)/VLOOKUP(B12520,'Poids des runes'!A:B,2,FALSE))</f>
        <v>64.990000000000009</v>
      </c>
      <c r="F12520">
        <f t="shared" si="195"/>
        <v>64.990000000000009</v>
      </c>
    </row>
    <row r="12521" spans="1:6" x14ac:dyDescent="0.3">
      <c r="A12521" t="s">
        <v>2014</v>
      </c>
      <c r="B12521" t="s">
        <v>2129</v>
      </c>
      <c r="C12521">
        <v>28</v>
      </c>
      <c r="D12521">
        <v>158</v>
      </c>
      <c r="E12521">
        <f>IF(OR(B12521="vi",B12521="ii",B12521="pod"),(((D12521/100)*(C12521*VLOOKUP(B12521,'Poids des runes'!A:B,2,FALSE)))+1),(((D12521/100)*(C12521*VLOOKUP(B12521,'Poids des runes'!A:B,2,FALSE)))+1)/VLOOKUP(B12521,'Poids des runes'!A:B,2,FALSE))</f>
        <v>45.24</v>
      </c>
      <c r="F12521">
        <f t="shared" si="195"/>
        <v>45.24</v>
      </c>
    </row>
    <row r="12522" spans="1:6" x14ac:dyDescent="0.3">
      <c r="A12522" t="s">
        <v>2014</v>
      </c>
      <c r="B12522" t="s">
        <v>2154</v>
      </c>
      <c r="C12522">
        <v>1</v>
      </c>
      <c r="D12522">
        <v>158</v>
      </c>
      <c r="E12522">
        <f>IF(OR(B12522="vi",B12522="ii",B12522="pod"),(((D12522/100)*(C12522*VLOOKUP(B12522,'Poids des runes'!A:B,2,FALSE)))+1),(((D12522/100)*(C12522*VLOOKUP(B12522,'Poids des runes'!A:B,2,FALSE)))+1)/VLOOKUP(B12522,'Poids des runes'!A:B,2,FALSE))</f>
        <v>1.5911111111111114</v>
      </c>
      <c r="F12522">
        <f t="shared" si="195"/>
        <v>1.5911111111111114</v>
      </c>
    </row>
    <row r="12523" spans="1:6" x14ac:dyDescent="0.3">
      <c r="A12523" t="s">
        <v>2014</v>
      </c>
      <c r="B12523" t="s">
        <v>2134</v>
      </c>
      <c r="C12523">
        <v>7</v>
      </c>
      <c r="D12523">
        <v>158</v>
      </c>
      <c r="E12523">
        <f>IF(OR(B12523="vi",B12523="ii",B12523="pod"),(((D12523/100)*(C12523*VLOOKUP(B12523,'Poids des runes'!A:B,2,FALSE)))+1),(((D12523/100)*(C12523*VLOOKUP(B12523,'Poids des runes'!A:B,2,FALSE)))+1)/VLOOKUP(B12523,'Poids des runes'!A:B,2,FALSE))</f>
        <v>11.110000000000001</v>
      </c>
      <c r="F12523">
        <f t="shared" si="195"/>
        <v>11.110000000000001</v>
      </c>
    </row>
    <row r="12524" spans="1:6" x14ac:dyDescent="0.3">
      <c r="A12524" t="s">
        <v>2014</v>
      </c>
      <c r="B12524" t="s">
        <v>2156</v>
      </c>
      <c r="C12524">
        <v>6</v>
      </c>
      <c r="D12524">
        <v>158</v>
      </c>
      <c r="E12524">
        <f>IF(OR(B12524="vi",B12524="ii",B12524="pod"),(((D12524/100)*(C12524*VLOOKUP(B12524,'Poids des runes'!A:B,2,FALSE)))+1),(((D12524/100)*(C12524*VLOOKUP(B12524,'Poids des runes'!A:B,2,FALSE)))+1)/VLOOKUP(B12524,'Poids des runes'!A:B,2,FALSE))</f>
        <v>9.6466666666666665</v>
      </c>
      <c r="F12524">
        <f t="shared" si="195"/>
        <v>9.6466666666666665</v>
      </c>
    </row>
    <row r="12525" spans="1:6" x14ac:dyDescent="0.3">
      <c r="A12525" t="s">
        <v>2014</v>
      </c>
      <c r="B12525" t="s">
        <v>2157</v>
      </c>
      <c r="C12525">
        <v>6</v>
      </c>
      <c r="D12525">
        <v>158</v>
      </c>
      <c r="E12525">
        <f>IF(OR(B12525="vi",B12525="ii",B12525="pod"),(((D12525/100)*(C12525*VLOOKUP(B12525,'Poids des runes'!A:B,2,FALSE)))+1),(((D12525/100)*(C12525*VLOOKUP(B12525,'Poids des runes'!A:B,2,FALSE)))+1)/VLOOKUP(B12525,'Poids des runes'!A:B,2,FALSE))</f>
        <v>9.6466666666666665</v>
      </c>
      <c r="F12525">
        <f t="shared" si="195"/>
        <v>9.6466666666666665</v>
      </c>
    </row>
    <row r="12526" spans="1:6" x14ac:dyDescent="0.3">
      <c r="A12526" t="s">
        <v>2015</v>
      </c>
      <c r="B12526" t="s">
        <v>2128</v>
      </c>
      <c r="C12526">
        <v>225.5</v>
      </c>
      <c r="D12526">
        <v>158</v>
      </c>
      <c r="E12526">
        <f>IF(OR(B12526="vi",B12526="ii",B12526="pod"),(((D12526/100)*(C12526*VLOOKUP(B12526,'Poids des runes'!A:B,2,FALSE)))+1),(((D12526/100)*(C12526*VLOOKUP(B12526,'Poids des runes'!A:B,2,FALSE)))+1)/VLOOKUP(B12526,'Poids des runes'!A:B,2,FALSE))</f>
        <v>72.25800000000001</v>
      </c>
      <c r="F12526">
        <f t="shared" si="195"/>
        <v>72.25800000000001</v>
      </c>
    </row>
    <row r="12527" spans="1:6" x14ac:dyDescent="0.3">
      <c r="A12527" t="s">
        <v>2015</v>
      </c>
      <c r="B12527" t="s">
        <v>2127</v>
      </c>
      <c r="C12527">
        <v>40.5</v>
      </c>
      <c r="D12527">
        <v>158</v>
      </c>
      <c r="E12527">
        <f>IF(OR(B12527="vi",B12527="ii",B12527="pod"),(((D12527/100)*(C12527*VLOOKUP(B12527,'Poids des runes'!A:B,2,FALSE)))+1),(((D12527/100)*(C12527*VLOOKUP(B12527,'Poids des runes'!A:B,2,FALSE)))+1)/VLOOKUP(B12527,'Poids des runes'!A:B,2,FALSE))</f>
        <v>64.990000000000009</v>
      </c>
      <c r="F12527">
        <f t="shared" si="195"/>
        <v>64.990000000000009</v>
      </c>
    </row>
    <row r="12528" spans="1:6" x14ac:dyDescent="0.3">
      <c r="A12528" t="s">
        <v>2015</v>
      </c>
      <c r="B12528" t="s">
        <v>2129</v>
      </c>
      <c r="C12528">
        <v>25.5</v>
      </c>
      <c r="D12528">
        <v>158</v>
      </c>
      <c r="E12528">
        <f>IF(OR(B12528="vi",B12528="ii",B12528="pod"),(((D12528/100)*(C12528*VLOOKUP(B12528,'Poids des runes'!A:B,2,FALSE)))+1),(((D12528/100)*(C12528*VLOOKUP(B12528,'Poids des runes'!A:B,2,FALSE)))+1)/VLOOKUP(B12528,'Poids des runes'!A:B,2,FALSE))</f>
        <v>41.29</v>
      </c>
      <c r="F12528">
        <f t="shared" si="195"/>
        <v>41.29</v>
      </c>
    </row>
    <row r="12529" spans="1:6" x14ac:dyDescent="0.3">
      <c r="A12529" t="s">
        <v>2015</v>
      </c>
      <c r="B12529" t="s">
        <v>2151</v>
      </c>
      <c r="C12529">
        <v>4.5</v>
      </c>
      <c r="D12529">
        <v>158</v>
      </c>
      <c r="E12529">
        <f>IF(OR(B12529="vi",B12529="ii",B12529="pod"),(((D12529/100)*(C12529*VLOOKUP(B12529,'Poids des runes'!A:B,2,FALSE)))+1),(((D12529/100)*(C12529*VLOOKUP(B12529,'Poids des runes'!A:B,2,FALSE)))+1)/VLOOKUP(B12529,'Poids des runes'!A:B,2,FALSE))</f>
        <v>7.2100000000000009</v>
      </c>
      <c r="F12529">
        <f t="shared" si="195"/>
        <v>7.2100000000000009</v>
      </c>
    </row>
    <row r="12530" spans="1:6" x14ac:dyDescent="0.3">
      <c r="A12530" t="s">
        <v>2015</v>
      </c>
      <c r="B12530" t="s">
        <v>2134</v>
      </c>
      <c r="C12530">
        <v>8</v>
      </c>
      <c r="D12530">
        <v>158</v>
      </c>
      <c r="E12530">
        <f>IF(OR(B12530="vi",B12530="ii",B12530="pod"),(((D12530/100)*(C12530*VLOOKUP(B12530,'Poids des runes'!A:B,2,FALSE)))+1),(((D12530/100)*(C12530*VLOOKUP(B12530,'Poids des runes'!A:B,2,FALSE)))+1)/VLOOKUP(B12530,'Poids des runes'!A:B,2,FALSE))</f>
        <v>12.690000000000001</v>
      </c>
      <c r="F12530">
        <f t="shared" si="195"/>
        <v>12.690000000000001</v>
      </c>
    </row>
    <row r="12531" spans="1:6" x14ac:dyDescent="0.3">
      <c r="A12531" t="s">
        <v>2015</v>
      </c>
      <c r="B12531" t="s">
        <v>2156</v>
      </c>
      <c r="C12531">
        <v>8</v>
      </c>
      <c r="D12531">
        <v>158</v>
      </c>
      <c r="E12531">
        <f>IF(OR(B12531="vi",B12531="ii",B12531="pod"),(((D12531/100)*(C12531*VLOOKUP(B12531,'Poids des runes'!A:B,2,FALSE)))+1),(((D12531/100)*(C12531*VLOOKUP(B12531,'Poids des runes'!A:B,2,FALSE)))+1)/VLOOKUP(B12531,'Poids des runes'!A:B,2,FALSE))</f>
        <v>12.806666666666667</v>
      </c>
      <c r="F12531">
        <f t="shared" si="195"/>
        <v>12.806666666666667</v>
      </c>
    </row>
    <row r="12532" spans="1:6" x14ac:dyDescent="0.3">
      <c r="A12532" t="s">
        <v>2015</v>
      </c>
      <c r="B12532" t="s">
        <v>2136</v>
      </c>
      <c r="C12532">
        <v>8</v>
      </c>
      <c r="D12532">
        <v>158</v>
      </c>
      <c r="E12532">
        <f>IF(OR(B12532="vi",B12532="ii",B12532="pod"),(((D12532/100)*(C12532*VLOOKUP(B12532,'Poids des runes'!A:B,2,FALSE)))+1),(((D12532/100)*(C12532*VLOOKUP(B12532,'Poids des runes'!A:B,2,FALSE)))+1)/VLOOKUP(B12532,'Poids des runes'!A:B,2,FALSE))</f>
        <v>13.14</v>
      </c>
      <c r="F12532">
        <f t="shared" si="195"/>
        <v>13.14</v>
      </c>
    </row>
    <row r="12533" spans="1:6" x14ac:dyDescent="0.3">
      <c r="A12533" t="s">
        <v>2016</v>
      </c>
      <c r="B12533" t="s">
        <v>2128</v>
      </c>
      <c r="C12533">
        <v>125.5</v>
      </c>
      <c r="D12533">
        <v>158</v>
      </c>
      <c r="E12533">
        <f>IF(OR(B12533="vi",B12533="ii",B12533="pod"),(((D12533/100)*(C12533*VLOOKUP(B12533,'Poids des runes'!A:B,2,FALSE)))+1),(((D12533/100)*(C12533*VLOOKUP(B12533,'Poids des runes'!A:B,2,FALSE)))+1)/VLOOKUP(B12533,'Poids des runes'!A:B,2,FALSE))</f>
        <v>40.658000000000001</v>
      </c>
      <c r="F12533">
        <f t="shared" si="195"/>
        <v>40.658000000000001</v>
      </c>
    </row>
    <row r="12534" spans="1:6" x14ac:dyDescent="0.3">
      <c r="A12534" t="s">
        <v>2016</v>
      </c>
      <c r="B12534" t="s">
        <v>2126</v>
      </c>
      <c r="C12534">
        <v>33</v>
      </c>
      <c r="D12534">
        <v>158</v>
      </c>
      <c r="E12534">
        <f>IF(OR(B12534="vi",B12534="ii",B12534="pod"),(((D12534/100)*(C12534*VLOOKUP(B12534,'Poids des runes'!A:B,2,FALSE)))+1),(((D12534/100)*(C12534*VLOOKUP(B12534,'Poids des runes'!A:B,2,FALSE)))+1)/VLOOKUP(B12534,'Poids des runes'!A:B,2,FALSE))</f>
        <v>53.14</v>
      </c>
      <c r="F12534">
        <f t="shared" si="195"/>
        <v>53.14</v>
      </c>
    </row>
    <row r="12535" spans="1:6" x14ac:dyDescent="0.3">
      <c r="A12535" t="s">
        <v>2016</v>
      </c>
      <c r="B12535" t="s">
        <v>2131</v>
      </c>
      <c r="C12535">
        <v>33</v>
      </c>
      <c r="D12535">
        <v>158</v>
      </c>
      <c r="E12535">
        <f>IF(OR(B12535="vi",B12535="ii",B12535="pod"),(((D12535/100)*(C12535*VLOOKUP(B12535,'Poids des runes'!A:B,2,FALSE)))+1),(((D12535/100)*(C12535*VLOOKUP(B12535,'Poids des runes'!A:B,2,FALSE)))+1)/VLOOKUP(B12535,'Poids des runes'!A:B,2,FALSE))</f>
        <v>53.14</v>
      </c>
      <c r="F12535">
        <f t="shared" si="195"/>
        <v>53.14</v>
      </c>
    </row>
    <row r="12536" spans="1:6" x14ac:dyDescent="0.3">
      <c r="A12536" t="s">
        <v>2016</v>
      </c>
      <c r="B12536" t="s">
        <v>2127</v>
      </c>
      <c r="C12536">
        <v>33</v>
      </c>
      <c r="D12536">
        <v>158</v>
      </c>
      <c r="E12536">
        <f>IF(OR(B12536="vi",B12536="ii",B12536="pod"),(((D12536/100)*(C12536*VLOOKUP(B12536,'Poids des runes'!A:B,2,FALSE)))+1),(((D12536/100)*(C12536*VLOOKUP(B12536,'Poids des runes'!A:B,2,FALSE)))+1)/VLOOKUP(B12536,'Poids des runes'!A:B,2,FALSE))</f>
        <v>53.14</v>
      </c>
      <c r="F12536">
        <f t="shared" si="195"/>
        <v>53.14</v>
      </c>
    </row>
    <row r="12537" spans="1:6" x14ac:dyDescent="0.3">
      <c r="A12537" t="s">
        <v>2016</v>
      </c>
      <c r="B12537" t="s">
        <v>2129</v>
      </c>
      <c r="C12537">
        <v>33</v>
      </c>
      <c r="D12537">
        <v>158</v>
      </c>
      <c r="E12537">
        <f>IF(OR(B12537="vi",B12537="ii",B12537="pod"),(((D12537/100)*(C12537*VLOOKUP(B12537,'Poids des runes'!A:B,2,FALSE)))+1),(((D12537/100)*(C12537*VLOOKUP(B12537,'Poids des runes'!A:B,2,FALSE)))+1)/VLOOKUP(B12537,'Poids des runes'!A:B,2,FALSE))</f>
        <v>53.14</v>
      </c>
      <c r="F12537">
        <f t="shared" si="195"/>
        <v>53.14</v>
      </c>
    </row>
    <row r="12538" spans="1:6" x14ac:dyDescent="0.3">
      <c r="A12538" t="s">
        <v>2016</v>
      </c>
      <c r="B12538" t="s">
        <v>2155</v>
      </c>
      <c r="C12538">
        <v>1</v>
      </c>
      <c r="D12538">
        <v>158</v>
      </c>
      <c r="E12538">
        <f>IF(OR(B12538="vi",B12538="ii",B12538="pod"),(((D12538/100)*(C12538*VLOOKUP(B12538,'Poids des runes'!A:B,2,FALSE)))+1),(((D12538/100)*(C12538*VLOOKUP(B12538,'Poids des runes'!A:B,2,FALSE)))+1)/VLOOKUP(B12538,'Poids des runes'!A:B,2,FALSE))</f>
        <v>1.5996078431372549</v>
      </c>
      <c r="F12538">
        <f t="shared" si="195"/>
        <v>1.5996078431372549</v>
      </c>
    </row>
    <row r="12539" spans="1:6" x14ac:dyDescent="0.3">
      <c r="A12539" t="s">
        <v>2016</v>
      </c>
      <c r="B12539" t="s">
        <v>2161</v>
      </c>
      <c r="C12539">
        <v>15.5</v>
      </c>
      <c r="D12539">
        <v>158</v>
      </c>
      <c r="E12539">
        <f>IF(OR(B12539="vi",B12539="ii",B12539="pod"),(((D12539/100)*(C12539*VLOOKUP(B12539,'Poids des runes'!A:B,2,FALSE)))+1),(((D12539/100)*(C12539*VLOOKUP(B12539,'Poids des runes'!A:B,2,FALSE)))+1)/VLOOKUP(B12539,'Poids des runes'!A:B,2,FALSE))</f>
        <v>24.823333333333334</v>
      </c>
      <c r="F12539">
        <f t="shared" si="195"/>
        <v>24.823333333333334</v>
      </c>
    </row>
    <row r="12540" spans="1:6" x14ac:dyDescent="0.3">
      <c r="A12540" t="s">
        <v>2016</v>
      </c>
      <c r="B12540" t="s">
        <v>2147</v>
      </c>
      <c r="C12540">
        <v>6</v>
      </c>
      <c r="D12540">
        <v>158</v>
      </c>
      <c r="E12540">
        <f>IF(OR(B12540="vi",B12540="ii",B12540="pod"),(((D12540/100)*(C12540*VLOOKUP(B12540,'Poids des runes'!A:B,2,FALSE)))+1),(((D12540/100)*(C12540*VLOOKUP(B12540,'Poids des runes'!A:B,2,FALSE)))+1)/VLOOKUP(B12540,'Poids des runes'!A:B,2,FALSE))</f>
        <v>9.6466666666666665</v>
      </c>
      <c r="F12540">
        <f t="shared" si="195"/>
        <v>9.6466666666666665</v>
      </c>
    </row>
    <row r="12541" spans="1:6" x14ac:dyDescent="0.3">
      <c r="A12541" t="s">
        <v>2016</v>
      </c>
      <c r="B12541" t="s">
        <v>2135</v>
      </c>
      <c r="C12541">
        <v>6</v>
      </c>
      <c r="D12541">
        <v>158</v>
      </c>
      <c r="E12541">
        <f>IF(OR(B12541="vi",B12541="ii",B12541="pod"),(((D12541/100)*(C12541*VLOOKUP(B12541,'Poids des runes'!A:B,2,FALSE)))+1),(((D12541/100)*(C12541*VLOOKUP(B12541,'Poids des runes'!A:B,2,FALSE)))+1)/VLOOKUP(B12541,'Poids des runes'!A:B,2,FALSE))</f>
        <v>9.6466666666666665</v>
      </c>
      <c r="F12541">
        <f t="shared" si="195"/>
        <v>9.6466666666666665</v>
      </c>
    </row>
    <row r="12542" spans="1:6" x14ac:dyDescent="0.3">
      <c r="A12542" t="s">
        <v>2016</v>
      </c>
      <c r="B12542" t="s">
        <v>2157</v>
      </c>
      <c r="C12542">
        <v>6</v>
      </c>
      <c r="D12542">
        <v>158</v>
      </c>
      <c r="E12542">
        <f>IF(OR(B12542="vi",B12542="ii",B12542="pod"),(((D12542/100)*(C12542*VLOOKUP(B12542,'Poids des runes'!A:B,2,FALSE)))+1),(((D12542/100)*(C12542*VLOOKUP(B12542,'Poids des runes'!A:B,2,FALSE)))+1)/VLOOKUP(B12542,'Poids des runes'!A:B,2,FALSE))</f>
        <v>9.6466666666666665</v>
      </c>
      <c r="F12542">
        <f t="shared" si="195"/>
        <v>9.6466666666666665</v>
      </c>
    </row>
    <row r="12543" spans="1:6" x14ac:dyDescent="0.3">
      <c r="A12543" t="s">
        <v>2017</v>
      </c>
      <c r="B12543" t="s">
        <v>2128</v>
      </c>
      <c r="C12543">
        <v>175.5</v>
      </c>
      <c r="D12543">
        <v>158</v>
      </c>
      <c r="E12543">
        <f>IF(OR(B12543="vi",B12543="ii",B12543="pod"),(((D12543/100)*(C12543*VLOOKUP(B12543,'Poids des runes'!A:B,2,FALSE)))+1),(((D12543/100)*(C12543*VLOOKUP(B12543,'Poids des runes'!A:B,2,FALSE)))+1)/VLOOKUP(B12543,'Poids des runes'!A:B,2,FALSE))</f>
        <v>56.458000000000006</v>
      </c>
      <c r="F12543">
        <f t="shared" si="195"/>
        <v>56.458000000000006</v>
      </c>
    </row>
    <row r="12544" spans="1:6" x14ac:dyDescent="0.3">
      <c r="A12544" t="s">
        <v>2017</v>
      </c>
      <c r="B12544" t="s">
        <v>2130</v>
      </c>
      <c r="C12544">
        <v>33</v>
      </c>
      <c r="D12544">
        <v>158</v>
      </c>
      <c r="E12544">
        <f>IF(OR(B12544="vi",B12544="ii",B12544="pod"),(((D12544/100)*(C12544*VLOOKUP(B12544,'Poids des runes'!A:B,2,FALSE)))+1),(((D12544/100)*(C12544*VLOOKUP(B12544,'Poids des runes'!A:B,2,FALSE)))+1)/VLOOKUP(B12544,'Poids des runes'!A:B,2,FALSE))</f>
        <v>53.14</v>
      </c>
      <c r="F12544">
        <f t="shared" si="195"/>
        <v>53.14</v>
      </c>
    </row>
    <row r="12545" spans="1:6" x14ac:dyDescent="0.3">
      <c r="A12545" t="s">
        <v>2017</v>
      </c>
      <c r="B12545" t="s">
        <v>2126</v>
      </c>
      <c r="C12545">
        <v>40.5</v>
      </c>
      <c r="D12545">
        <v>158</v>
      </c>
      <c r="E12545">
        <f>IF(OR(B12545="vi",B12545="ii",B12545="pod"),(((D12545/100)*(C12545*VLOOKUP(B12545,'Poids des runes'!A:B,2,FALSE)))+1),(((D12545/100)*(C12545*VLOOKUP(B12545,'Poids des runes'!A:B,2,FALSE)))+1)/VLOOKUP(B12545,'Poids des runes'!A:B,2,FALSE))</f>
        <v>64.990000000000009</v>
      </c>
      <c r="F12545">
        <f t="shared" si="195"/>
        <v>64.990000000000009</v>
      </c>
    </row>
    <row r="12546" spans="1:6" x14ac:dyDescent="0.3">
      <c r="A12546" t="s">
        <v>2017</v>
      </c>
      <c r="B12546" t="s">
        <v>2129</v>
      </c>
      <c r="C12546">
        <v>33</v>
      </c>
      <c r="D12546">
        <v>158</v>
      </c>
      <c r="E12546">
        <f>IF(OR(B12546="vi",B12546="ii",B12546="pod"),(((D12546/100)*(C12546*VLOOKUP(B12546,'Poids des runes'!A:B,2,FALSE)))+1),(((D12546/100)*(C12546*VLOOKUP(B12546,'Poids des runes'!A:B,2,FALSE)))+1)/VLOOKUP(B12546,'Poids des runes'!A:B,2,FALSE))</f>
        <v>53.14</v>
      </c>
      <c r="F12546">
        <f t="shared" si="195"/>
        <v>53.14</v>
      </c>
    </row>
    <row r="12547" spans="1:6" x14ac:dyDescent="0.3">
      <c r="A12547" t="s">
        <v>2017</v>
      </c>
      <c r="B12547" t="s">
        <v>2134</v>
      </c>
      <c r="C12547">
        <v>8</v>
      </c>
      <c r="D12547">
        <v>158</v>
      </c>
      <c r="E12547">
        <f>IF(OR(B12547="vi",B12547="ii",B12547="pod"),(((D12547/100)*(C12547*VLOOKUP(B12547,'Poids des runes'!A:B,2,FALSE)))+1),(((D12547/100)*(C12547*VLOOKUP(B12547,'Poids des runes'!A:B,2,FALSE)))+1)/VLOOKUP(B12547,'Poids des runes'!A:B,2,FALSE))</f>
        <v>12.690000000000001</v>
      </c>
      <c r="F12547">
        <f t="shared" ref="F12547:F12610" si="196">E12547</f>
        <v>12.690000000000001</v>
      </c>
    </row>
    <row r="12548" spans="1:6" x14ac:dyDescent="0.3">
      <c r="A12548" t="s">
        <v>2017</v>
      </c>
      <c r="B12548" t="s">
        <v>2161</v>
      </c>
      <c r="C12548">
        <v>13</v>
      </c>
      <c r="D12548">
        <v>158</v>
      </c>
      <c r="E12548">
        <f>IF(OR(B12548="vi",B12548="ii",B12548="pod"),(((D12548/100)*(C12548*VLOOKUP(B12548,'Poids des runes'!A:B,2,FALSE)))+1),(((D12548/100)*(C12548*VLOOKUP(B12548,'Poids des runes'!A:B,2,FALSE)))+1)/VLOOKUP(B12548,'Poids des runes'!A:B,2,FALSE))</f>
        <v>20.873333333333335</v>
      </c>
      <c r="F12548">
        <f t="shared" si="196"/>
        <v>20.873333333333335</v>
      </c>
    </row>
    <row r="12549" spans="1:6" x14ac:dyDescent="0.3">
      <c r="A12549" t="s">
        <v>2017</v>
      </c>
      <c r="B12549" t="s">
        <v>2156</v>
      </c>
      <c r="C12549">
        <v>8</v>
      </c>
      <c r="D12549">
        <v>158</v>
      </c>
      <c r="E12549">
        <f>IF(OR(B12549="vi",B12549="ii",B12549="pod"),(((D12549/100)*(C12549*VLOOKUP(B12549,'Poids des runes'!A:B,2,FALSE)))+1),(((D12549/100)*(C12549*VLOOKUP(B12549,'Poids des runes'!A:B,2,FALSE)))+1)/VLOOKUP(B12549,'Poids des runes'!A:B,2,FALSE))</f>
        <v>12.806666666666667</v>
      </c>
      <c r="F12549">
        <f t="shared" si="196"/>
        <v>12.806666666666667</v>
      </c>
    </row>
    <row r="12550" spans="1:6" x14ac:dyDescent="0.3">
      <c r="A12550" t="s">
        <v>2018</v>
      </c>
      <c r="B12550" t="s">
        <v>2128</v>
      </c>
      <c r="C12550">
        <v>175.5</v>
      </c>
      <c r="D12550">
        <v>161</v>
      </c>
      <c r="E12550">
        <f>IF(OR(B12550="vi",B12550="ii",B12550="pod"),(((D12550/100)*(C12550*VLOOKUP(B12550,'Poids des runes'!A:B,2,FALSE)))+1),(((D12550/100)*(C12550*VLOOKUP(B12550,'Poids des runes'!A:B,2,FALSE)))+1)/VLOOKUP(B12550,'Poids des runes'!A:B,2,FALSE))</f>
        <v>57.511000000000003</v>
      </c>
      <c r="F12550">
        <f t="shared" si="196"/>
        <v>57.511000000000003</v>
      </c>
    </row>
    <row r="12551" spans="1:6" x14ac:dyDescent="0.3">
      <c r="A12551" t="s">
        <v>2018</v>
      </c>
      <c r="B12551" t="s">
        <v>2131</v>
      </c>
      <c r="C12551">
        <v>40.5</v>
      </c>
      <c r="D12551">
        <v>161</v>
      </c>
      <c r="E12551">
        <f>IF(OR(B12551="vi",B12551="ii",B12551="pod"),(((D12551/100)*(C12551*VLOOKUP(B12551,'Poids des runes'!A:B,2,FALSE)))+1),(((D12551/100)*(C12551*VLOOKUP(B12551,'Poids des runes'!A:B,2,FALSE)))+1)/VLOOKUP(B12551,'Poids des runes'!A:B,2,FALSE))</f>
        <v>66.204999999999998</v>
      </c>
      <c r="F12551">
        <f t="shared" si="196"/>
        <v>66.204999999999998</v>
      </c>
    </row>
    <row r="12552" spans="1:6" x14ac:dyDescent="0.3">
      <c r="A12552" t="s">
        <v>2018</v>
      </c>
      <c r="B12552" t="s">
        <v>2129</v>
      </c>
      <c r="C12552">
        <v>20.5</v>
      </c>
      <c r="D12552">
        <v>161</v>
      </c>
      <c r="E12552">
        <f>IF(OR(B12552="vi",B12552="ii",B12552="pod"),(((D12552/100)*(C12552*VLOOKUP(B12552,'Poids des runes'!A:B,2,FALSE)))+1),(((D12552/100)*(C12552*VLOOKUP(B12552,'Poids des runes'!A:B,2,FALSE)))+1)/VLOOKUP(B12552,'Poids des runes'!A:B,2,FALSE))</f>
        <v>34.005000000000003</v>
      </c>
      <c r="F12552">
        <f t="shared" si="196"/>
        <v>34.005000000000003</v>
      </c>
    </row>
    <row r="12553" spans="1:6" x14ac:dyDescent="0.3">
      <c r="A12553" t="s">
        <v>2018</v>
      </c>
      <c r="B12553" t="s">
        <v>2151</v>
      </c>
      <c r="C12553">
        <v>3.5</v>
      </c>
      <c r="D12553">
        <v>161</v>
      </c>
      <c r="E12553">
        <f>IF(OR(B12553="vi",B12553="ii",B12553="pod"),(((D12553/100)*(C12553*VLOOKUP(B12553,'Poids des runes'!A:B,2,FALSE)))+1),(((D12553/100)*(C12553*VLOOKUP(B12553,'Poids des runes'!A:B,2,FALSE)))+1)/VLOOKUP(B12553,'Poids des runes'!A:B,2,FALSE))</f>
        <v>5.7350000000000003</v>
      </c>
      <c r="F12553">
        <f t="shared" si="196"/>
        <v>5.7350000000000003</v>
      </c>
    </row>
    <row r="12554" spans="1:6" x14ac:dyDescent="0.3">
      <c r="A12554" t="s">
        <v>2018</v>
      </c>
      <c r="B12554" t="s">
        <v>2154</v>
      </c>
      <c r="C12554">
        <v>1</v>
      </c>
      <c r="D12554">
        <v>161</v>
      </c>
      <c r="E12554">
        <f>IF(OR(B12554="vi",B12554="ii",B12554="pod"),(((D12554/100)*(C12554*VLOOKUP(B12554,'Poids des runes'!A:B,2,FALSE)))+1),(((D12554/100)*(C12554*VLOOKUP(B12554,'Poids des runes'!A:B,2,FALSE)))+1)/VLOOKUP(B12554,'Poids des runes'!A:B,2,FALSE))</f>
        <v>1.6211111111111112</v>
      </c>
      <c r="F12554">
        <f t="shared" si="196"/>
        <v>1.6211111111111112</v>
      </c>
    </row>
    <row r="12555" spans="1:6" x14ac:dyDescent="0.3">
      <c r="A12555" t="s">
        <v>2018</v>
      </c>
      <c r="B12555" t="s">
        <v>2150</v>
      </c>
      <c r="C12555">
        <v>1</v>
      </c>
      <c r="D12555">
        <v>161</v>
      </c>
      <c r="E12555">
        <f>IF(OR(B12555="vi",B12555="ii",B12555="pod"),(((D12555/100)*(C12555*VLOOKUP(B12555,'Poids des runes'!A:B,2,FALSE)))+1),(((D12555/100)*(C12555*VLOOKUP(B12555,'Poids des runes'!A:B,2,FALSE)))+1)/VLOOKUP(B12555,'Poids des runes'!A:B,2,FALSE))</f>
        <v>1.6433333333333335</v>
      </c>
      <c r="F12555">
        <f t="shared" si="196"/>
        <v>1.6433333333333335</v>
      </c>
    </row>
    <row r="12556" spans="1:6" x14ac:dyDescent="0.3">
      <c r="A12556" t="s">
        <v>2018</v>
      </c>
      <c r="B12556" t="s">
        <v>2133</v>
      </c>
      <c r="C12556">
        <v>8.5</v>
      </c>
      <c r="D12556">
        <v>161</v>
      </c>
      <c r="E12556">
        <f>IF(OR(B12556="vi",B12556="ii",B12556="pod"),(((D12556/100)*(C12556*VLOOKUP(B12556,'Poids des runes'!A:B,2,FALSE)))+1),(((D12556/100)*(C12556*VLOOKUP(B12556,'Poids des runes'!A:B,2,FALSE)))+1)/VLOOKUP(B12556,'Poids des runes'!A:B,2,FALSE))</f>
        <v>13.885</v>
      </c>
      <c r="F12556">
        <f t="shared" si="196"/>
        <v>13.885</v>
      </c>
    </row>
    <row r="12557" spans="1:6" x14ac:dyDescent="0.3">
      <c r="A12557" t="s">
        <v>2018</v>
      </c>
      <c r="B12557" t="s">
        <v>2149</v>
      </c>
      <c r="C12557">
        <v>8.5</v>
      </c>
      <c r="D12557">
        <v>161</v>
      </c>
      <c r="E12557">
        <f>IF(OR(B12557="vi",B12557="ii",B12557="pod"),(((D12557/100)*(C12557*VLOOKUP(B12557,'Poids des runes'!A:B,2,FALSE)))+1),(((D12557/100)*(C12557*VLOOKUP(B12557,'Poids des runes'!A:B,2,FALSE)))+1)/VLOOKUP(B12557,'Poids des runes'!A:B,2,FALSE))</f>
        <v>13.785</v>
      </c>
      <c r="F12557">
        <f t="shared" si="196"/>
        <v>13.785</v>
      </c>
    </row>
    <row r="12558" spans="1:6" x14ac:dyDescent="0.3">
      <c r="A12558" t="s">
        <v>2018</v>
      </c>
      <c r="B12558" t="s">
        <v>2161</v>
      </c>
      <c r="C12558">
        <v>13</v>
      </c>
      <c r="D12558">
        <v>161</v>
      </c>
      <c r="E12558">
        <f>IF(OR(B12558="vi",B12558="ii",B12558="pod"),(((D12558/100)*(C12558*VLOOKUP(B12558,'Poids des runes'!A:B,2,FALSE)))+1),(((D12558/100)*(C12558*VLOOKUP(B12558,'Poids des runes'!A:B,2,FALSE)))+1)/VLOOKUP(B12558,'Poids des runes'!A:B,2,FALSE))</f>
        <v>21.263333333333335</v>
      </c>
      <c r="F12558">
        <f t="shared" si="196"/>
        <v>21.263333333333335</v>
      </c>
    </row>
    <row r="12559" spans="1:6" x14ac:dyDescent="0.3">
      <c r="A12559" t="s">
        <v>2018</v>
      </c>
      <c r="B12559" t="s">
        <v>2141</v>
      </c>
      <c r="C12559">
        <v>4.5</v>
      </c>
      <c r="D12559">
        <v>161</v>
      </c>
      <c r="E12559">
        <f>IF(OR(B12559="vi",B12559="ii",B12559="pod"),(((D12559/100)*(C12559*VLOOKUP(B12559,'Poids des runes'!A:B,2,FALSE)))+1),(((D12559/100)*(C12559*VLOOKUP(B12559,'Poids des runes'!A:B,2,FALSE)))+1)/VLOOKUP(B12559,'Poids des runes'!A:B,2,FALSE))</f>
        <v>7.4950000000000001</v>
      </c>
      <c r="F12559">
        <f t="shared" si="196"/>
        <v>7.4950000000000001</v>
      </c>
    </row>
    <row r="12560" spans="1:6" x14ac:dyDescent="0.3">
      <c r="A12560" t="s">
        <v>2018</v>
      </c>
      <c r="B12560" t="s">
        <v>2144</v>
      </c>
      <c r="C12560">
        <v>8.5</v>
      </c>
      <c r="D12560">
        <v>161</v>
      </c>
      <c r="E12560">
        <f>IF(OR(B12560="vi",B12560="ii",B12560="pod"),(((D12560/100)*(C12560*VLOOKUP(B12560,'Poids des runes'!A:B,2,FALSE)))+1),(((D12560/100)*(C12560*VLOOKUP(B12560,'Poids des runes'!A:B,2,FALSE)))+1)/VLOOKUP(B12560,'Poids des runes'!A:B,2,FALSE))</f>
        <v>14.185</v>
      </c>
      <c r="F12560">
        <f t="shared" si="196"/>
        <v>14.185</v>
      </c>
    </row>
    <row r="12561" spans="1:6" x14ac:dyDescent="0.3">
      <c r="A12561" t="s">
        <v>2018</v>
      </c>
      <c r="B12561" t="s">
        <v>2146</v>
      </c>
      <c r="C12561">
        <v>8.5</v>
      </c>
      <c r="D12561">
        <v>161</v>
      </c>
      <c r="E12561">
        <f>IF(OR(B12561="vi",B12561="ii",B12561="pod"),(((D12561/100)*(C12561*VLOOKUP(B12561,'Poids des runes'!A:B,2,FALSE)))+1),(((D12561/100)*(C12561*VLOOKUP(B12561,'Poids des runes'!A:B,2,FALSE)))+1)/VLOOKUP(B12561,'Poids des runes'!A:B,2,FALSE))</f>
        <v>14.185</v>
      </c>
      <c r="F12561">
        <f t="shared" si="196"/>
        <v>14.185</v>
      </c>
    </row>
    <row r="12562" spans="1:6" x14ac:dyDescent="0.3">
      <c r="A12562" t="s">
        <v>2019</v>
      </c>
      <c r="B12562" t="s">
        <v>2128</v>
      </c>
      <c r="C12562">
        <v>175.5</v>
      </c>
      <c r="D12562">
        <v>162</v>
      </c>
      <c r="E12562">
        <f>IF(OR(B12562="vi",B12562="ii",B12562="pod"),(((D12562/100)*(C12562*VLOOKUP(B12562,'Poids des runes'!A:B,2,FALSE)))+1),(((D12562/100)*(C12562*VLOOKUP(B12562,'Poids des runes'!A:B,2,FALSE)))+1)/VLOOKUP(B12562,'Poids des runes'!A:B,2,FALSE))</f>
        <v>57.862000000000009</v>
      </c>
      <c r="F12562">
        <f t="shared" si="196"/>
        <v>57.862000000000009</v>
      </c>
    </row>
    <row r="12563" spans="1:6" x14ac:dyDescent="0.3">
      <c r="A12563" t="s">
        <v>2019</v>
      </c>
      <c r="B12563" t="s">
        <v>2130</v>
      </c>
      <c r="C12563">
        <v>38</v>
      </c>
      <c r="D12563">
        <v>162</v>
      </c>
      <c r="E12563">
        <f>IF(OR(B12563="vi",B12563="ii",B12563="pod"),(((D12563/100)*(C12563*VLOOKUP(B12563,'Poids des runes'!A:B,2,FALSE)))+1),(((D12563/100)*(C12563*VLOOKUP(B12563,'Poids des runes'!A:B,2,FALSE)))+1)/VLOOKUP(B12563,'Poids des runes'!A:B,2,FALSE))</f>
        <v>62.56</v>
      </c>
      <c r="F12563">
        <f t="shared" si="196"/>
        <v>62.56</v>
      </c>
    </row>
    <row r="12564" spans="1:6" x14ac:dyDescent="0.3">
      <c r="A12564" t="s">
        <v>2019</v>
      </c>
      <c r="B12564" t="s">
        <v>2129</v>
      </c>
      <c r="C12564">
        <v>35.5</v>
      </c>
      <c r="D12564">
        <v>162</v>
      </c>
      <c r="E12564">
        <f>IF(OR(B12564="vi",B12564="ii",B12564="pod"),(((D12564/100)*(C12564*VLOOKUP(B12564,'Poids des runes'!A:B,2,FALSE)))+1),(((D12564/100)*(C12564*VLOOKUP(B12564,'Poids des runes'!A:B,2,FALSE)))+1)/VLOOKUP(B12564,'Poids des runes'!A:B,2,FALSE))</f>
        <v>58.510000000000005</v>
      </c>
      <c r="F12564">
        <f t="shared" si="196"/>
        <v>58.510000000000005</v>
      </c>
    </row>
    <row r="12565" spans="1:6" x14ac:dyDescent="0.3">
      <c r="A12565" t="s">
        <v>2019</v>
      </c>
      <c r="B12565" t="s">
        <v>2151</v>
      </c>
      <c r="C12565">
        <v>6</v>
      </c>
      <c r="D12565">
        <v>162</v>
      </c>
      <c r="E12565">
        <f>IF(OR(B12565="vi",B12565="ii",B12565="pod"),(((D12565/100)*(C12565*VLOOKUP(B12565,'Poids des runes'!A:B,2,FALSE)))+1),(((D12565/100)*(C12565*VLOOKUP(B12565,'Poids des runes'!A:B,2,FALSE)))+1)/VLOOKUP(B12565,'Poids des runes'!A:B,2,FALSE))</f>
        <v>9.82</v>
      </c>
      <c r="F12565">
        <f t="shared" si="196"/>
        <v>9.82</v>
      </c>
    </row>
    <row r="12566" spans="1:6" x14ac:dyDescent="0.3">
      <c r="A12566" t="s">
        <v>2019</v>
      </c>
      <c r="B12566" t="s">
        <v>2134</v>
      </c>
      <c r="C12566">
        <v>8</v>
      </c>
      <c r="D12566">
        <v>162</v>
      </c>
      <c r="E12566">
        <f>IF(OR(B12566="vi",B12566="ii",B12566="pod"),(((D12566/100)*(C12566*VLOOKUP(B12566,'Poids des runes'!A:B,2,FALSE)))+1),(((D12566/100)*(C12566*VLOOKUP(B12566,'Poids des runes'!A:B,2,FALSE)))+1)/VLOOKUP(B12566,'Poids des runes'!A:B,2,FALSE))</f>
        <v>13.010000000000002</v>
      </c>
      <c r="F12566">
        <f t="shared" si="196"/>
        <v>13.010000000000002</v>
      </c>
    </row>
    <row r="12567" spans="1:6" x14ac:dyDescent="0.3">
      <c r="A12567" t="s">
        <v>2019</v>
      </c>
      <c r="B12567" t="s">
        <v>2161</v>
      </c>
      <c r="C12567">
        <v>13</v>
      </c>
      <c r="D12567">
        <v>162</v>
      </c>
      <c r="E12567">
        <f>IF(OR(B12567="vi",B12567="ii",B12567="pod"),(((D12567/100)*(C12567*VLOOKUP(B12567,'Poids des runes'!A:B,2,FALSE)))+1),(((D12567/100)*(C12567*VLOOKUP(B12567,'Poids des runes'!A:B,2,FALSE)))+1)/VLOOKUP(B12567,'Poids des runes'!A:B,2,FALSE))</f>
        <v>21.393333333333334</v>
      </c>
      <c r="F12567">
        <f t="shared" si="196"/>
        <v>21.393333333333334</v>
      </c>
    </row>
    <row r="12568" spans="1:6" x14ac:dyDescent="0.3">
      <c r="A12568" t="s">
        <v>2019</v>
      </c>
      <c r="B12568" t="s">
        <v>2135</v>
      </c>
      <c r="C12568">
        <v>8.5</v>
      </c>
      <c r="D12568">
        <v>162</v>
      </c>
      <c r="E12568">
        <f>IF(OR(B12568="vi",B12568="ii",B12568="pod"),(((D12568/100)*(C12568*VLOOKUP(B12568,'Poids des runes'!A:B,2,FALSE)))+1),(((D12568/100)*(C12568*VLOOKUP(B12568,'Poids des runes'!A:B,2,FALSE)))+1)/VLOOKUP(B12568,'Poids des runes'!A:B,2,FALSE))</f>
        <v>13.936666666666667</v>
      </c>
      <c r="F12568">
        <f t="shared" si="196"/>
        <v>13.936666666666667</v>
      </c>
    </row>
    <row r="12569" spans="1:6" x14ac:dyDescent="0.3">
      <c r="A12569" t="s">
        <v>2019</v>
      </c>
      <c r="B12569" t="s">
        <v>2145</v>
      </c>
      <c r="C12569">
        <v>13</v>
      </c>
      <c r="D12569">
        <v>162</v>
      </c>
      <c r="E12569">
        <f>IF(OR(B12569="vi",B12569="ii",B12569="pod"),(((D12569/100)*(C12569*VLOOKUP(B12569,'Poids des runes'!A:B,2,FALSE)))+1),(((D12569/100)*(C12569*VLOOKUP(B12569,'Poids des runes'!A:B,2,FALSE)))+1)/VLOOKUP(B12569,'Poids des runes'!A:B,2,FALSE))</f>
        <v>21.560000000000002</v>
      </c>
      <c r="F12569">
        <f t="shared" si="196"/>
        <v>21.560000000000002</v>
      </c>
    </row>
    <row r="12570" spans="1:6" x14ac:dyDescent="0.3">
      <c r="A12570" t="s">
        <v>2019</v>
      </c>
      <c r="B12570" t="s">
        <v>2146</v>
      </c>
      <c r="C12570">
        <v>13</v>
      </c>
      <c r="D12570">
        <v>162</v>
      </c>
      <c r="E12570">
        <f>IF(OR(B12570="vi",B12570="ii",B12570="pod"),(((D12570/100)*(C12570*VLOOKUP(B12570,'Poids des runes'!A:B,2,FALSE)))+1),(((D12570/100)*(C12570*VLOOKUP(B12570,'Poids des runes'!A:B,2,FALSE)))+1)/VLOOKUP(B12570,'Poids des runes'!A:B,2,FALSE))</f>
        <v>21.560000000000002</v>
      </c>
      <c r="F12570">
        <f t="shared" si="196"/>
        <v>21.560000000000002</v>
      </c>
    </row>
    <row r="12571" spans="1:6" x14ac:dyDescent="0.3">
      <c r="A12571" t="s">
        <v>2020</v>
      </c>
      <c r="B12571" t="s">
        <v>2128</v>
      </c>
      <c r="C12571">
        <v>175.5</v>
      </c>
      <c r="D12571">
        <v>163</v>
      </c>
      <c r="E12571">
        <f>IF(OR(B12571="vi",B12571="ii",B12571="pod"),(((D12571/100)*(C12571*VLOOKUP(B12571,'Poids des runes'!A:B,2,FALSE)))+1),(((D12571/100)*(C12571*VLOOKUP(B12571,'Poids des runes'!A:B,2,FALSE)))+1)/VLOOKUP(B12571,'Poids des runes'!A:B,2,FALSE))</f>
        <v>58.213000000000001</v>
      </c>
      <c r="F12571">
        <f t="shared" si="196"/>
        <v>58.213000000000001</v>
      </c>
    </row>
    <row r="12572" spans="1:6" x14ac:dyDescent="0.3">
      <c r="A12572" t="s">
        <v>2020</v>
      </c>
      <c r="B12572" t="s">
        <v>2126</v>
      </c>
      <c r="C12572">
        <v>40.5</v>
      </c>
      <c r="D12572">
        <v>163</v>
      </c>
      <c r="E12572">
        <f>IF(OR(B12572="vi",B12572="ii",B12572="pod"),(((D12572/100)*(C12572*VLOOKUP(B12572,'Poids des runes'!A:B,2,FALSE)))+1),(((D12572/100)*(C12572*VLOOKUP(B12572,'Poids des runes'!A:B,2,FALSE)))+1)/VLOOKUP(B12572,'Poids des runes'!A:B,2,FALSE))</f>
        <v>67.015000000000001</v>
      </c>
      <c r="F12572">
        <f t="shared" si="196"/>
        <v>67.015000000000001</v>
      </c>
    </row>
    <row r="12573" spans="1:6" x14ac:dyDescent="0.3">
      <c r="A12573" t="s">
        <v>2020</v>
      </c>
      <c r="B12573" t="s">
        <v>2127</v>
      </c>
      <c r="C12573">
        <v>40.5</v>
      </c>
      <c r="D12573">
        <v>163</v>
      </c>
      <c r="E12573">
        <f>IF(OR(B12573="vi",B12573="ii",B12573="pod"),(((D12573/100)*(C12573*VLOOKUP(B12573,'Poids des runes'!A:B,2,FALSE)))+1),(((D12573/100)*(C12573*VLOOKUP(B12573,'Poids des runes'!A:B,2,FALSE)))+1)/VLOOKUP(B12573,'Poids des runes'!A:B,2,FALSE))</f>
        <v>67.015000000000001</v>
      </c>
      <c r="F12573">
        <f t="shared" si="196"/>
        <v>67.015000000000001</v>
      </c>
    </row>
    <row r="12574" spans="1:6" x14ac:dyDescent="0.3">
      <c r="A12574" t="s">
        <v>2020</v>
      </c>
      <c r="B12574" t="s">
        <v>2129</v>
      </c>
      <c r="C12574">
        <v>33</v>
      </c>
      <c r="D12574">
        <v>163</v>
      </c>
      <c r="E12574">
        <f>IF(OR(B12574="vi",B12574="ii",B12574="pod"),(((D12574/100)*(C12574*VLOOKUP(B12574,'Poids des runes'!A:B,2,FALSE)))+1),(((D12574/100)*(C12574*VLOOKUP(B12574,'Poids des runes'!A:B,2,FALSE)))+1)/VLOOKUP(B12574,'Poids des runes'!A:B,2,FALSE))</f>
        <v>54.79</v>
      </c>
      <c r="F12574">
        <f t="shared" si="196"/>
        <v>54.79</v>
      </c>
    </row>
    <row r="12575" spans="1:6" x14ac:dyDescent="0.3">
      <c r="A12575" t="s">
        <v>2020</v>
      </c>
      <c r="B12575" t="s">
        <v>2155</v>
      </c>
      <c r="C12575">
        <v>1</v>
      </c>
      <c r="D12575">
        <v>163</v>
      </c>
      <c r="E12575">
        <f>IF(OR(B12575="vi",B12575="ii",B12575="pod"),(((D12575/100)*(C12575*VLOOKUP(B12575,'Poids des runes'!A:B,2,FALSE)))+1),(((D12575/100)*(C12575*VLOOKUP(B12575,'Poids des runes'!A:B,2,FALSE)))+1)/VLOOKUP(B12575,'Poids des runes'!A:B,2,FALSE))</f>
        <v>1.6496078431372547</v>
      </c>
      <c r="F12575">
        <f t="shared" si="196"/>
        <v>1.6496078431372547</v>
      </c>
    </row>
    <row r="12576" spans="1:6" x14ac:dyDescent="0.3">
      <c r="A12576" t="s">
        <v>2020</v>
      </c>
      <c r="B12576" t="s">
        <v>2149</v>
      </c>
      <c r="C12576">
        <v>7</v>
      </c>
      <c r="D12576">
        <v>163</v>
      </c>
      <c r="E12576">
        <f>IF(OR(B12576="vi",B12576="ii",B12576="pod"),(((D12576/100)*(C12576*VLOOKUP(B12576,'Poids des runes'!A:B,2,FALSE)))+1),(((D12576/100)*(C12576*VLOOKUP(B12576,'Poids des runes'!A:B,2,FALSE)))+1)/VLOOKUP(B12576,'Poids des runes'!A:B,2,FALSE))</f>
        <v>11.51</v>
      </c>
      <c r="F12576">
        <f t="shared" si="196"/>
        <v>11.51</v>
      </c>
    </row>
    <row r="12577" spans="1:6" x14ac:dyDescent="0.3">
      <c r="A12577" t="s">
        <v>2020</v>
      </c>
      <c r="B12577" t="s">
        <v>2147</v>
      </c>
      <c r="C12577">
        <v>7</v>
      </c>
      <c r="D12577">
        <v>163</v>
      </c>
      <c r="E12577">
        <f>IF(OR(B12577="vi",B12577="ii",B12577="pod"),(((D12577/100)*(C12577*VLOOKUP(B12577,'Poids des runes'!A:B,2,FALSE)))+1),(((D12577/100)*(C12577*VLOOKUP(B12577,'Poids des runes'!A:B,2,FALSE)))+1)/VLOOKUP(B12577,'Poids des runes'!A:B,2,FALSE))</f>
        <v>11.576666666666666</v>
      </c>
      <c r="F12577">
        <f t="shared" si="196"/>
        <v>11.576666666666666</v>
      </c>
    </row>
    <row r="12578" spans="1:6" x14ac:dyDescent="0.3">
      <c r="A12578" t="s">
        <v>2020</v>
      </c>
      <c r="B12578" t="s">
        <v>2157</v>
      </c>
      <c r="C12578">
        <v>7</v>
      </c>
      <c r="D12578">
        <v>163</v>
      </c>
      <c r="E12578">
        <f>IF(OR(B12578="vi",B12578="ii",B12578="pod"),(((D12578/100)*(C12578*VLOOKUP(B12578,'Poids des runes'!A:B,2,FALSE)))+1),(((D12578/100)*(C12578*VLOOKUP(B12578,'Poids des runes'!A:B,2,FALSE)))+1)/VLOOKUP(B12578,'Poids des runes'!A:B,2,FALSE))</f>
        <v>11.576666666666666</v>
      </c>
      <c r="F12578">
        <f t="shared" si="196"/>
        <v>11.576666666666666</v>
      </c>
    </row>
    <row r="12579" spans="1:6" x14ac:dyDescent="0.3">
      <c r="A12579" t="s">
        <v>2021</v>
      </c>
      <c r="B12579" t="s">
        <v>2128</v>
      </c>
      <c r="C12579">
        <v>175.5</v>
      </c>
      <c r="D12579">
        <v>163</v>
      </c>
      <c r="E12579">
        <f>IF(OR(B12579="vi",B12579="ii",B12579="pod"),(((D12579/100)*(C12579*VLOOKUP(B12579,'Poids des runes'!A:B,2,FALSE)))+1),(((D12579/100)*(C12579*VLOOKUP(B12579,'Poids des runes'!A:B,2,FALSE)))+1)/VLOOKUP(B12579,'Poids des runes'!A:B,2,FALSE))</f>
        <v>58.213000000000001</v>
      </c>
      <c r="F12579">
        <f t="shared" si="196"/>
        <v>58.213000000000001</v>
      </c>
    </row>
    <row r="12580" spans="1:6" x14ac:dyDescent="0.3">
      <c r="A12580" t="s">
        <v>2021</v>
      </c>
      <c r="B12580" t="s">
        <v>2126</v>
      </c>
      <c r="C12580">
        <v>40.5</v>
      </c>
      <c r="D12580">
        <v>163</v>
      </c>
      <c r="E12580">
        <f>IF(OR(B12580="vi",B12580="ii",B12580="pod"),(((D12580/100)*(C12580*VLOOKUP(B12580,'Poids des runes'!A:B,2,FALSE)))+1),(((D12580/100)*(C12580*VLOOKUP(B12580,'Poids des runes'!A:B,2,FALSE)))+1)/VLOOKUP(B12580,'Poids des runes'!A:B,2,FALSE))</f>
        <v>67.015000000000001</v>
      </c>
      <c r="F12580">
        <f t="shared" si="196"/>
        <v>67.015000000000001</v>
      </c>
    </row>
    <row r="12581" spans="1:6" x14ac:dyDescent="0.3">
      <c r="A12581" t="s">
        <v>2021</v>
      </c>
      <c r="B12581" t="s">
        <v>2131</v>
      </c>
      <c r="C12581">
        <v>40.5</v>
      </c>
      <c r="D12581">
        <v>163</v>
      </c>
      <c r="E12581">
        <f>IF(OR(B12581="vi",B12581="ii",B12581="pod"),(((D12581/100)*(C12581*VLOOKUP(B12581,'Poids des runes'!A:B,2,FALSE)))+1),(((D12581/100)*(C12581*VLOOKUP(B12581,'Poids des runes'!A:B,2,FALSE)))+1)/VLOOKUP(B12581,'Poids des runes'!A:B,2,FALSE))</f>
        <v>67.015000000000001</v>
      </c>
      <c r="F12581">
        <f t="shared" si="196"/>
        <v>67.015000000000001</v>
      </c>
    </row>
    <row r="12582" spans="1:6" x14ac:dyDescent="0.3">
      <c r="A12582" t="s">
        <v>2021</v>
      </c>
      <c r="B12582" t="s">
        <v>2129</v>
      </c>
      <c r="C12582">
        <v>35.5</v>
      </c>
      <c r="D12582">
        <v>163</v>
      </c>
      <c r="E12582">
        <f>IF(OR(B12582="vi",B12582="ii",B12582="pod"),(((D12582/100)*(C12582*VLOOKUP(B12582,'Poids des runes'!A:B,2,FALSE)))+1),(((D12582/100)*(C12582*VLOOKUP(B12582,'Poids des runes'!A:B,2,FALSE)))+1)/VLOOKUP(B12582,'Poids des runes'!A:B,2,FALSE))</f>
        <v>58.864999999999995</v>
      </c>
      <c r="F12582">
        <f t="shared" si="196"/>
        <v>58.864999999999995</v>
      </c>
    </row>
    <row r="12583" spans="1:6" x14ac:dyDescent="0.3">
      <c r="A12583" t="s">
        <v>2021</v>
      </c>
      <c r="B12583" t="s">
        <v>2155</v>
      </c>
      <c r="C12583">
        <v>1</v>
      </c>
      <c r="D12583">
        <v>163</v>
      </c>
      <c r="E12583">
        <f>IF(OR(B12583="vi",B12583="ii",B12583="pod"),(((D12583/100)*(C12583*VLOOKUP(B12583,'Poids des runes'!A:B,2,FALSE)))+1),(((D12583/100)*(C12583*VLOOKUP(B12583,'Poids des runes'!A:B,2,FALSE)))+1)/VLOOKUP(B12583,'Poids des runes'!A:B,2,FALSE))</f>
        <v>1.6496078431372547</v>
      </c>
      <c r="F12583">
        <f t="shared" si="196"/>
        <v>1.6496078431372547</v>
      </c>
    </row>
    <row r="12584" spans="1:6" x14ac:dyDescent="0.3">
      <c r="A12584" t="s">
        <v>2021</v>
      </c>
      <c r="B12584" t="s">
        <v>2140</v>
      </c>
      <c r="C12584">
        <v>8.5</v>
      </c>
      <c r="D12584">
        <v>163</v>
      </c>
      <c r="E12584">
        <f>IF(OR(B12584="vi",B12584="ii",B12584="pod"),(((D12584/100)*(C12584*VLOOKUP(B12584,'Poids des runes'!A:B,2,FALSE)))+1),(((D12584/100)*(C12584*VLOOKUP(B12584,'Poids des runes'!A:B,2,FALSE)))+1)/VLOOKUP(B12584,'Poids des runes'!A:B,2,FALSE))</f>
        <v>14.054999999999998</v>
      </c>
      <c r="F12584">
        <f t="shared" si="196"/>
        <v>14.054999999999998</v>
      </c>
    </row>
    <row r="12585" spans="1:6" x14ac:dyDescent="0.3">
      <c r="A12585" t="s">
        <v>2021</v>
      </c>
      <c r="B12585" t="s">
        <v>2133</v>
      </c>
      <c r="C12585">
        <v>8.5</v>
      </c>
      <c r="D12585">
        <v>163</v>
      </c>
      <c r="E12585">
        <f>IF(OR(B12585="vi",B12585="ii",B12585="pod"),(((D12585/100)*(C12585*VLOOKUP(B12585,'Poids des runes'!A:B,2,FALSE)))+1),(((D12585/100)*(C12585*VLOOKUP(B12585,'Poids des runes'!A:B,2,FALSE)))+1)/VLOOKUP(B12585,'Poids des runes'!A:B,2,FALSE))</f>
        <v>14.054999999999998</v>
      </c>
      <c r="F12585">
        <f t="shared" si="196"/>
        <v>14.054999999999998</v>
      </c>
    </row>
    <row r="12586" spans="1:6" x14ac:dyDescent="0.3">
      <c r="A12586" t="s">
        <v>2021</v>
      </c>
      <c r="B12586" t="s">
        <v>2149</v>
      </c>
      <c r="C12586">
        <v>8.5</v>
      </c>
      <c r="D12586">
        <v>163</v>
      </c>
      <c r="E12586">
        <f>IF(OR(B12586="vi",B12586="ii",B12586="pod"),(((D12586/100)*(C12586*VLOOKUP(B12586,'Poids des runes'!A:B,2,FALSE)))+1),(((D12586/100)*(C12586*VLOOKUP(B12586,'Poids des runes'!A:B,2,FALSE)))+1)/VLOOKUP(B12586,'Poids des runes'!A:B,2,FALSE))</f>
        <v>13.954999999999998</v>
      </c>
      <c r="F12586">
        <f t="shared" si="196"/>
        <v>13.954999999999998</v>
      </c>
    </row>
    <row r="12587" spans="1:6" x14ac:dyDescent="0.3">
      <c r="A12587" t="s">
        <v>2021</v>
      </c>
      <c r="B12587" t="s">
        <v>2132</v>
      </c>
      <c r="C12587">
        <v>150.5</v>
      </c>
      <c r="D12587">
        <v>163</v>
      </c>
      <c r="E12587">
        <f>IF(OR(B12587="vi",B12587="ii",B12587="pod"),(((D12587/100)*(C12587*VLOOKUP(B12587,'Poids des runes'!A:B,2,FALSE)))+1),(((D12587/100)*(C12587*VLOOKUP(B12587,'Poids des runes'!A:B,2,FALSE)))+1)/VLOOKUP(B12587,'Poids des runes'!A:B,2,FALSE))</f>
        <v>25.531500000000001</v>
      </c>
      <c r="F12587">
        <f t="shared" si="196"/>
        <v>25.531500000000001</v>
      </c>
    </row>
    <row r="12588" spans="1:6" x14ac:dyDescent="0.3">
      <c r="A12588" t="s">
        <v>2021</v>
      </c>
      <c r="B12588" t="s">
        <v>2138</v>
      </c>
      <c r="C12588">
        <v>4.5</v>
      </c>
      <c r="D12588">
        <v>163</v>
      </c>
      <c r="E12588">
        <f>IF(OR(B12588="vi",B12588="ii",B12588="pod"),(((D12588/100)*(C12588*VLOOKUP(B12588,'Poids des runes'!A:B,2,FALSE)))+1),(((D12588/100)*(C12588*VLOOKUP(B12588,'Poids des runes'!A:B,2,FALSE)))+1)/VLOOKUP(B12588,'Poids des runes'!A:B,2,FALSE))</f>
        <v>7.5849999999999991</v>
      </c>
      <c r="F12588">
        <f t="shared" si="196"/>
        <v>7.5849999999999991</v>
      </c>
    </row>
    <row r="12589" spans="1:6" x14ac:dyDescent="0.3">
      <c r="A12589" t="s">
        <v>2021</v>
      </c>
      <c r="B12589" t="s">
        <v>2148</v>
      </c>
      <c r="C12589">
        <v>6</v>
      </c>
      <c r="D12589">
        <v>163</v>
      </c>
      <c r="E12589">
        <f>IF(OR(B12589="vi",B12589="ii",B12589="pod"),(((D12589/100)*(C12589*VLOOKUP(B12589,'Poids des runes'!A:B,2,FALSE)))+1),(((D12589/100)*(C12589*VLOOKUP(B12589,'Poids des runes'!A:B,2,FALSE)))+1)/VLOOKUP(B12589,'Poids des runes'!A:B,2,FALSE))</f>
        <v>9.9466666666666654</v>
      </c>
      <c r="F12589">
        <f t="shared" si="196"/>
        <v>9.9466666666666654</v>
      </c>
    </row>
    <row r="12590" spans="1:6" x14ac:dyDescent="0.3">
      <c r="A12590" t="s">
        <v>2021</v>
      </c>
      <c r="B12590" t="s">
        <v>2157</v>
      </c>
      <c r="C12590">
        <v>6</v>
      </c>
      <c r="D12590">
        <v>163</v>
      </c>
      <c r="E12590">
        <f>IF(OR(B12590="vi",B12590="ii",B12590="pod"),(((D12590/100)*(C12590*VLOOKUP(B12590,'Poids des runes'!A:B,2,FALSE)))+1),(((D12590/100)*(C12590*VLOOKUP(B12590,'Poids des runes'!A:B,2,FALSE)))+1)/VLOOKUP(B12590,'Poids des runes'!A:B,2,FALSE))</f>
        <v>9.9466666666666654</v>
      </c>
      <c r="F12590">
        <f t="shared" si="196"/>
        <v>9.9466666666666654</v>
      </c>
    </row>
    <row r="12591" spans="1:6" x14ac:dyDescent="0.3">
      <c r="A12591" t="s">
        <v>2021</v>
      </c>
      <c r="B12591" t="s">
        <v>2136</v>
      </c>
      <c r="C12591">
        <v>8.5</v>
      </c>
      <c r="D12591">
        <v>163</v>
      </c>
      <c r="E12591">
        <f>IF(OR(B12591="vi",B12591="ii",B12591="pod"),(((D12591/100)*(C12591*VLOOKUP(B12591,'Poids des runes'!A:B,2,FALSE)))+1),(((D12591/100)*(C12591*VLOOKUP(B12591,'Poids des runes'!A:B,2,FALSE)))+1)/VLOOKUP(B12591,'Poids des runes'!A:B,2,FALSE))</f>
        <v>14.354999999999999</v>
      </c>
      <c r="F12591">
        <f t="shared" si="196"/>
        <v>14.354999999999999</v>
      </c>
    </row>
    <row r="12592" spans="1:6" x14ac:dyDescent="0.3">
      <c r="A12592" t="s">
        <v>2022</v>
      </c>
      <c r="B12592" t="s">
        <v>2128</v>
      </c>
      <c r="C12592">
        <v>175.5</v>
      </c>
      <c r="D12592">
        <v>164</v>
      </c>
      <c r="E12592">
        <f>IF(OR(B12592="vi",B12592="ii",B12592="pod"),(((D12592/100)*(C12592*VLOOKUP(B12592,'Poids des runes'!A:B,2,FALSE)))+1),(((D12592/100)*(C12592*VLOOKUP(B12592,'Poids des runes'!A:B,2,FALSE)))+1)/VLOOKUP(B12592,'Poids des runes'!A:B,2,FALSE))</f>
        <v>58.564</v>
      </c>
      <c r="F12592">
        <f t="shared" si="196"/>
        <v>58.564</v>
      </c>
    </row>
    <row r="12593" spans="1:6" x14ac:dyDescent="0.3">
      <c r="A12593" t="s">
        <v>2022</v>
      </c>
      <c r="B12593" t="s">
        <v>2130</v>
      </c>
      <c r="C12593">
        <v>40.5</v>
      </c>
      <c r="D12593">
        <v>164</v>
      </c>
      <c r="E12593">
        <f>IF(OR(B12593="vi",B12593="ii",B12593="pod"),(((D12593/100)*(C12593*VLOOKUP(B12593,'Poids des runes'!A:B,2,FALSE)))+1),(((D12593/100)*(C12593*VLOOKUP(B12593,'Poids des runes'!A:B,2,FALSE)))+1)/VLOOKUP(B12593,'Poids des runes'!A:B,2,FALSE))</f>
        <v>67.42</v>
      </c>
      <c r="F12593">
        <f t="shared" si="196"/>
        <v>67.42</v>
      </c>
    </row>
    <row r="12594" spans="1:6" x14ac:dyDescent="0.3">
      <c r="A12594" t="s">
        <v>2022</v>
      </c>
      <c r="B12594" t="s">
        <v>2127</v>
      </c>
      <c r="C12594">
        <v>40.5</v>
      </c>
      <c r="D12594">
        <v>164</v>
      </c>
      <c r="E12594">
        <f>IF(OR(B12594="vi",B12594="ii",B12594="pod"),(((D12594/100)*(C12594*VLOOKUP(B12594,'Poids des runes'!A:B,2,FALSE)))+1),(((D12594/100)*(C12594*VLOOKUP(B12594,'Poids des runes'!A:B,2,FALSE)))+1)/VLOOKUP(B12594,'Poids des runes'!A:B,2,FALSE))</f>
        <v>67.42</v>
      </c>
      <c r="F12594">
        <f t="shared" si="196"/>
        <v>67.42</v>
      </c>
    </row>
    <row r="12595" spans="1:6" x14ac:dyDescent="0.3">
      <c r="A12595" t="s">
        <v>2022</v>
      </c>
      <c r="B12595" t="s">
        <v>2129</v>
      </c>
      <c r="C12595">
        <v>35.5</v>
      </c>
      <c r="D12595">
        <v>164</v>
      </c>
      <c r="E12595">
        <f>IF(OR(B12595="vi",B12595="ii",B12595="pod"),(((D12595/100)*(C12595*VLOOKUP(B12595,'Poids des runes'!A:B,2,FALSE)))+1),(((D12595/100)*(C12595*VLOOKUP(B12595,'Poids des runes'!A:B,2,FALSE)))+1)/VLOOKUP(B12595,'Poids des runes'!A:B,2,FALSE))</f>
        <v>59.22</v>
      </c>
      <c r="F12595">
        <f t="shared" si="196"/>
        <v>59.22</v>
      </c>
    </row>
    <row r="12596" spans="1:6" x14ac:dyDescent="0.3">
      <c r="A12596" t="s">
        <v>2022</v>
      </c>
      <c r="B12596" t="s">
        <v>2143</v>
      </c>
      <c r="C12596">
        <v>8.5</v>
      </c>
      <c r="D12596">
        <v>164</v>
      </c>
      <c r="E12596">
        <f>IF(OR(B12596="vi",B12596="ii",B12596="pod"),(((D12596/100)*(C12596*VLOOKUP(B12596,'Poids des runes'!A:B,2,FALSE)))+1),(((D12596/100)*(C12596*VLOOKUP(B12596,'Poids des runes'!A:B,2,FALSE)))+1)/VLOOKUP(B12596,'Poids des runes'!A:B,2,FALSE))</f>
        <v>14.14</v>
      </c>
      <c r="F12596">
        <f t="shared" si="196"/>
        <v>14.14</v>
      </c>
    </row>
    <row r="12597" spans="1:6" x14ac:dyDescent="0.3">
      <c r="A12597" t="s">
        <v>2022</v>
      </c>
      <c r="B12597" t="s">
        <v>2153</v>
      </c>
      <c r="C12597">
        <v>8.5</v>
      </c>
      <c r="D12597">
        <v>164</v>
      </c>
      <c r="E12597">
        <f>IF(OR(B12597="vi",B12597="ii",B12597="pod"),(((D12597/100)*(C12597*VLOOKUP(B12597,'Poids des runes'!A:B,2,FALSE)))+1),(((D12597/100)*(C12597*VLOOKUP(B12597,'Poids des runes'!A:B,2,FALSE)))+1)/VLOOKUP(B12597,'Poids des runes'!A:B,2,FALSE))</f>
        <v>14.14</v>
      </c>
      <c r="F12597">
        <f t="shared" si="196"/>
        <v>14.14</v>
      </c>
    </row>
    <row r="12598" spans="1:6" x14ac:dyDescent="0.3">
      <c r="A12598" t="s">
        <v>2022</v>
      </c>
      <c r="B12598" t="s">
        <v>2161</v>
      </c>
      <c r="C12598">
        <v>13</v>
      </c>
      <c r="D12598">
        <v>164</v>
      </c>
      <c r="E12598">
        <f>IF(OR(B12598="vi",B12598="ii",B12598="pod"),(((D12598/100)*(C12598*VLOOKUP(B12598,'Poids des runes'!A:B,2,FALSE)))+1),(((D12598/100)*(C12598*VLOOKUP(B12598,'Poids des runes'!A:B,2,FALSE)))+1)/VLOOKUP(B12598,'Poids des runes'!A:B,2,FALSE))</f>
        <v>21.653333333333332</v>
      </c>
      <c r="F12598">
        <f t="shared" si="196"/>
        <v>21.653333333333332</v>
      </c>
    </row>
    <row r="12599" spans="1:6" x14ac:dyDescent="0.3">
      <c r="A12599" t="s">
        <v>2022</v>
      </c>
      <c r="B12599" t="s">
        <v>2132</v>
      </c>
      <c r="C12599">
        <v>350.5</v>
      </c>
      <c r="D12599">
        <v>164</v>
      </c>
      <c r="E12599">
        <f>IF(OR(B12599="vi",B12599="ii",B12599="pod"),(((D12599/100)*(C12599*VLOOKUP(B12599,'Poids des runes'!A:B,2,FALSE)))+1),(((D12599/100)*(C12599*VLOOKUP(B12599,'Poids des runes'!A:B,2,FALSE)))+1)/VLOOKUP(B12599,'Poids des runes'!A:B,2,FALSE))</f>
        <v>58.482000000000006</v>
      </c>
      <c r="F12599">
        <f t="shared" si="196"/>
        <v>58.482000000000006</v>
      </c>
    </row>
    <row r="12600" spans="1:6" x14ac:dyDescent="0.3">
      <c r="A12600" t="s">
        <v>2022</v>
      </c>
      <c r="B12600" t="s">
        <v>2163</v>
      </c>
      <c r="C12600">
        <v>8.5</v>
      </c>
      <c r="D12600">
        <v>164</v>
      </c>
      <c r="E12600">
        <f>IF(OR(B12600="vi",B12600="ii",B12600="pod"),(((D12600/100)*(C12600*VLOOKUP(B12600,'Poids des runes'!A:B,2,FALSE)))+1),(((D12600/100)*(C12600*VLOOKUP(B12600,'Poids des runes'!A:B,2,FALSE)))+1)/VLOOKUP(B12600,'Poids des runes'!A:B,2,FALSE))</f>
        <v>14.44</v>
      </c>
      <c r="F12600">
        <f t="shared" si="196"/>
        <v>14.44</v>
      </c>
    </row>
    <row r="12601" spans="1:6" x14ac:dyDescent="0.3">
      <c r="A12601" t="s">
        <v>2022</v>
      </c>
      <c r="B12601" t="s">
        <v>2157</v>
      </c>
      <c r="C12601">
        <v>8.5</v>
      </c>
      <c r="D12601">
        <v>164</v>
      </c>
      <c r="E12601">
        <f>IF(OR(B12601="vi",B12601="ii",B12601="pod"),(((D12601/100)*(C12601*VLOOKUP(B12601,'Poids des runes'!A:B,2,FALSE)))+1),(((D12601/100)*(C12601*VLOOKUP(B12601,'Poids des runes'!A:B,2,FALSE)))+1)/VLOOKUP(B12601,'Poids des runes'!A:B,2,FALSE))</f>
        <v>14.106666666666667</v>
      </c>
      <c r="F12601">
        <f t="shared" si="196"/>
        <v>14.106666666666667</v>
      </c>
    </row>
    <row r="12602" spans="1:6" x14ac:dyDescent="0.3">
      <c r="A12602" t="s">
        <v>2023</v>
      </c>
      <c r="B12602" t="s">
        <v>2128</v>
      </c>
      <c r="C12602">
        <v>160.5</v>
      </c>
      <c r="D12602">
        <v>165</v>
      </c>
      <c r="E12602">
        <f>IF(OR(B12602="vi",B12602="ii",B12602="pod"),(((D12602/100)*(C12602*VLOOKUP(B12602,'Poids des runes'!A:B,2,FALSE)))+1),(((D12602/100)*(C12602*VLOOKUP(B12602,'Poids des runes'!A:B,2,FALSE)))+1)/VLOOKUP(B12602,'Poids des runes'!A:B,2,FALSE))</f>
        <v>53.964999999999996</v>
      </c>
      <c r="F12602">
        <f t="shared" si="196"/>
        <v>53.964999999999996</v>
      </c>
    </row>
    <row r="12603" spans="1:6" x14ac:dyDescent="0.3">
      <c r="A12603" t="s">
        <v>2023</v>
      </c>
      <c r="B12603" t="s">
        <v>2130</v>
      </c>
      <c r="C12603">
        <v>50.5</v>
      </c>
      <c r="D12603">
        <v>165</v>
      </c>
      <c r="E12603">
        <f>IF(OR(B12603="vi",B12603="ii",B12603="pod"),(((D12603/100)*(C12603*VLOOKUP(B12603,'Poids des runes'!A:B,2,FALSE)))+1),(((D12603/100)*(C12603*VLOOKUP(B12603,'Poids des runes'!A:B,2,FALSE)))+1)/VLOOKUP(B12603,'Poids des runes'!A:B,2,FALSE))</f>
        <v>84.324999999999989</v>
      </c>
      <c r="F12603">
        <f t="shared" si="196"/>
        <v>84.324999999999989</v>
      </c>
    </row>
    <row r="12604" spans="1:6" x14ac:dyDescent="0.3">
      <c r="A12604" t="s">
        <v>2023</v>
      </c>
      <c r="B12604" t="s">
        <v>2127</v>
      </c>
      <c r="C12604">
        <v>50.5</v>
      </c>
      <c r="D12604">
        <v>165</v>
      </c>
      <c r="E12604">
        <f>IF(OR(B12604="vi",B12604="ii",B12604="pod"),(((D12604/100)*(C12604*VLOOKUP(B12604,'Poids des runes'!A:B,2,FALSE)))+1),(((D12604/100)*(C12604*VLOOKUP(B12604,'Poids des runes'!A:B,2,FALSE)))+1)/VLOOKUP(B12604,'Poids des runes'!A:B,2,FALSE))</f>
        <v>84.324999999999989</v>
      </c>
      <c r="F12604">
        <f t="shared" si="196"/>
        <v>84.324999999999989</v>
      </c>
    </row>
    <row r="12605" spans="1:6" x14ac:dyDescent="0.3">
      <c r="A12605" t="s">
        <v>2023</v>
      </c>
      <c r="B12605" t="s">
        <v>2129</v>
      </c>
      <c r="C12605">
        <v>25.5</v>
      </c>
      <c r="D12605">
        <v>165</v>
      </c>
      <c r="E12605">
        <f>IF(OR(B12605="vi",B12605="ii",B12605="pod"),(((D12605/100)*(C12605*VLOOKUP(B12605,'Poids des runes'!A:B,2,FALSE)))+1),(((D12605/100)*(C12605*VLOOKUP(B12605,'Poids des runes'!A:B,2,FALSE)))+1)/VLOOKUP(B12605,'Poids des runes'!A:B,2,FALSE))</f>
        <v>43.074999999999996</v>
      </c>
      <c r="F12605">
        <f t="shared" si="196"/>
        <v>43.074999999999996</v>
      </c>
    </row>
    <row r="12606" spans="1:6" x14ac:dyDescent="0.3">
      <c r="A12606" t="s">
        <v>2023</v>
      </c>
      <c r="B12606" t="s">
        <v>2155</v>
      </c>
      <c r="C12606">
        <v>1</v>
      </c>
      <c r="D12606">
        <v>165</v>
      </c>
      <c r="E12606">
        <f>IF(OR(B12606="vi",B12606="ii",B12606="pod"),(((D12606/100)*(C12606*VLOOKUP(B12606,'Poids des runes'!A:B,2,FALSE)))+1),(((D12606/100)*(C12606*VLOOKUP(B12606,'Poids des runes'!A:B,2,FALSE)))+1)/VLOOKUP(B12606,'Poids des runes'!A:B,2,FALSE))</f>
        <v>1.6696078431372547</v>
      </c>
      <c r="F12606">
        <f t="shared" si="196"/>
        <v>1.6696078431372547</v>
      </c>
    </row>
    <row r="12607" spans="1:6" x14ac:dyDescent="0.3">
      <c r="A12607" t="s">
        <v>2023</v>
      </c>
      <c r="B12607" t="s">
        <v>2150</v>
      </c>
      <c r="C12607">
        <v>1</v>
      </c>
      <c r="D12607">
        <v>165</v>
      </c>
      <c r="E12607">
        <f>IF(OR(B12607="vi",B12607="ii",B12607="pod"),(((D12607/100)*(C12607*VLOOKUP(B12607,'Poids des runes'!A:B,2,FALSE)))+1),(((D12607/100)*(C12607*VLOOKUP(B12607,'Poids des runes'!A:B,2,FALSE)))+1)/VLOOKUP(B12607,'Poids des runes'!A:B,2,FALSE))</f>
        <v>1.6833333333333333</v>
      </c>
      <c r="F12607">
        <f t="shared" si="196"/>
        <v>1.6833333333333333</v>
      </c>
    </row>
    <row r="12608" spans="1:6" x14ac:dyDescent="0.3">
      <c r="A12608" t="s">
        <v>2023</v>
      </c>
      <c r="B12608" t="s">
        <v>2143</v>
      </c>
      <c r="C12608">
        <v>10</v>
      </c>
      <c r="D12608">
        <v>165</v>
      </c>
      <c r="E12608">
        <f>IF(OR(B12608="vi",B12608="ii",B12608="pod"),(((D12608/100)*(C12608*VLOOKUP(B12608,'Poids des runes'!A:B,2,FALSE)))+1),(((D12608/100)*(C12608*VLOOKUP(B12608,'Poids des runes'!A:B,2,FALSE)))+1)/VLOOKUP(B12608,'Poids des runes'!A:B,2,FALSE))</f>
        <v>16.7</v>
      </c>
      <c r="F12608">
        <f t="shared" si="196"/>
        <v>16.7</v>
      </c>
    </row>
    <row r="12609" spans="1:6" x14ac:dyDescent="0.3">
      <c r="A12609" t="s">
        <v>2023</v>
      </c>
      <c r="B12609" t="s">
        <v>2140</v>
      </c>
      <c r="C12609">
        <v>10</v>
      </c>
      <c r="D12609">
        <v>165</v>
      </c>
      <c r="E12609">
        <f>IF(OR(B12609="vi",B12609="ii",B12609="pod"),(((D12609/100)*(C12609*VLOOKUP(B12609,'Poids des runes'!A:B,2,FALSE)))+1),(((D12609/100)*(C12609*VLOOKUP(B12609,'Poids des runes'!A:B,2,FALSE)))+1)/VLOOKUP(B12609,'Poids des runes'!A:B,2,FALSE))</f>
        <v>16.7</v>
      </c>
      <c r="F12609">
        <f t="shared" si="196"/>
        <v>16.7</v>
      </c>
    </row>
    <row r="12610" spans="1:6" x14ac:dyDescent="0.3">
      <c r="A12610" t="s">
        <v>2023</v>
      </c>
      <c r="B12610" t="s">
        <v>2133</v>
      </c>
      <c r="C12610">
        <v>10</v>
      </c>
      <c r="D12610">
        <v>165</v>
      </c>
      <c r="E12610">
        <f>IF(OR(B12610="vi",B12610="ii",B12610="pod"),(((D12610/100)*(C12610*VLOOKUP(B12610,'Poids des runes'!A:B,2,FALSE)))+1),(((D12610/100)*(C12610*VLOOKUP(B12610,'Poids des runes'!A:B,2,FALSE)))+1)/VLOOKUP(B12610,'Poids des runes'!A:B,2,FALSE))</f>
        <v>16.7</v>
      </c>
      <c r="F12610">
        <f t="shared" si="196"/>
        <v>16.7</v>
      </c>
    </row>
    <row r="12611" spans="1:6" x14ac:dyDescent="0.3">
      <c r="A12611" t="s">
        <v>2023</v>
      </c>
      <c r="B12611" t="s">
        <v>2149</v>
      </c>
      <c r="C12611">
        <v>6</v>
      </c>
      <c r="D12611">
        <v>165</v>
      </c>
      <c r="E12611">
        <f>IF(OR(B12611="vi",B12611="ii",B12611="pod"),(((D12611/100)*(C12611*VLOOKUP(B12611,'Poids des runes'!A:B,2,FALSE)))+1),(((D12611/100)*(C12611*VLOOKUP(B12611,'Poids des runes'!A:B,2,FALSE)))+1)/VLOOKUP(B12611,'Poids des runes'!A:B,2,FALSE))</f>
        <v>10</v>
      </c>
      <c r="F12611">
        <f t="shared" ref="F12611:F12674" si="197">E12611</f>
        <v>10</v>
      </c>
    </row>
    <row r="12612" spans="1:6" x14ac:dyDescent="0.3">
      <c r="A12612" t="s">
        <v>2023</v>
      </c>
      <c r="B12612" t="s">
        <v>2132</v>
      </c>
      <c r="C12612">
        <v>150.5</v>
      </c>
      <c r="D12612">
        <v>165</v>
      </c>
      <c r="E12612">
        <f>IF(OR(B12612="vi",B12612="ii",B12612="pod"),(((D12612/100)*(C12612*VLOOKUP(B12612,'Poids des runes'!A:B,2,FALSE)))+1),(((D12612/100)*(C12612*VLOOKUP(B12612,'Poids des runes'!A:B,2,FALSE)))+1)/VLOOKUP(B12612,'Poids des runes'!A:B,2,FALSE))</f>
        <v>25.8325</v>
      </c>
      <c r="F12612">
        <f t="shared" si="197"/>
        <v>25.8325</v>
      </c>
    </row>
    <row r="12613" spans="1:6" x14ac:dyDescent="0.3">
      <c r="A12613" t="s">
        <v>2023</v>
      </c>
      <c r="B12613" t="s">
        <v>2160</v>
      </c>
      <c r="C12613">
        <v>3.5</v>
      </c>
      <c r="D12613">
        <v>165</v>
      </c>
      <c r="E12613">
        <f>IF(OR(B12613="vi",B12613="ii",B12613="pod"),(((D12613/100)*(C12613*VLOOKUP(B12613,'Poids des runes'!A:B,2,FALSE)))+1),(((D12613/100)*(C12613*VLOOKUP(B12613,'Poids des runes'!A:B,2,FALSE)))+1)/VLOOKUP(B12613,'Poids des runes'!A:B,2,FALSE))</f>
        <v>5.9178571428571427</v>
      </c>
      <c r="F12613">
        <f t="shared" si="197"/>
        <v>5.9178571428571427</v>
      </c>
    </row>
    <row r="12614" spans="1:6" x14ac:dyDescent="0.3">
      <c r="A12614" t="s">
        <v>2023</v>
      </c>
      <c r="B12614" t="s">
        <v>2163</v>
      </c>
      <c r="C12614">
        <v>8.5</v>
      </c>
      <c r="D12614">
        <v>165</v>
      </c>
      <c r="E12614">
        <f>IF(OR(B12614="vi",B12614="ii",B12614="pod"),(((D12614/100)*(C12614*VLOOKUP(B12614,'Poids des runes'!A:B,2,FALSE)))+1),(((D12614/100)*(C12614*VLOOKUP(B12614,'Poids des runes'!A:B,2,FALSE)))+1)/VLOOKUP(B12614,'Poids des runes'!A:B,2,FALSE))</f>
        <v>14.524999999999999</v>
      </c>
      <c r="F12614">
        <f t="shared" si="197"/>
        <v>14.524999999999999</v>
      </c>
    </row>
    <row r="12615" spans="1:6" x14ac:dyDescent="0.3">
      <c r="A12615" t="s">
        <v>2023</v>
      </c>
      <c r="B12615" t="s">
        <v>2135</v>
      </c>
      <c r="C12615">
        <v>3.5</v>
      </c>
      <c r="D12615">
        <v>165</v>
      </c>
      <c r="E12615">
        <f>IF(OR(B12615="vi",B12615="ii",B12615="pod"),(((D12615/100)*(C12615*VLOOKUP(B12615,'Poids des runes'!A:B,2,FALSE)))+1),(((D12615/100)*(C12615*VLOOKUP(B12615,'Poids des runes'!A:B,2,FALSE)))+1)/VLOOKUP(B12615,'Poids des runes'!A:B,2,FALSE))</f>
        <v>5.9416666666666664</v>
      </c>
      <c r="F12615">
        <f t="shared" si="197"/>
        <v>5.9416666666666664</v>
      </c>
    </row>
    <row r="12616" spans="1:6" x14ac:dyDescent="0.3">
      <c r="A12616" t="s">
        <v>2024</v>
      </c>
      <c r="B12616" t="s">
        <v>2128</v>
      </c>
      <c r="C12616">
        <v>225.5</v>
      </c>
      <c r="D12616">
        <v>165</v>
      </c>
      <c r="E12616">
        <f>IF(OR(B12616="vi",B12616="ii",B12616="pod"),(((D12616/100)*(C12616*VLOOKUP(B12616,'Poids des runes'!A:B,2,FALSE)))+1),(((D12616/100)*(C12616*VLOOKUP(B12616,'Poids des runes'!A:B,2,FALSE)))+1)/VLOOKUP(B12616,'Poids des runes'!A:B,2,FALSE))</f>
        <v>75.414999999999992</v>
      </c>
      <c r="F12616">
        <f t="shared" si="197"/>
        <v>75.414999999999992</v>
      </c>
    </row>
    <row r="12617" spans="1:6" x14ac:dyDescent="0.3">
      <c r="A12617" t="s">
        <v>2024</v>
      </c>
      <c r="B12617" t="s">
        <v>2126</v>
      </c>
      <c r="C12617">
        <v>50.5</v>
      </c>
      <c r="D12617">
        <v>165</v>
      </c>
      <c r="E12617">
        <f>IF(OR(B12617="vi",B12617="ii",B12617="pod"),(((D12617/100)*(C12617*VLOOKUP(B12617,'Poids des runes'!A:B,2,FALSE)))+1),(((D12617/100)*(C12617*VLOOKUP(B12617,'Poids des runes'!A:B,2,FALSE)))+1)/VLOOKUP(B12617,'Poids des runes'!A:B,2,FALSE))</f>
        <v>84.324999999999989</v>
      </c>
      <c r="F12617">
        <f t="shared" si="197"/>
        <v>84.324999999999989</v>
      </c>
    </row>
    <row r="12618" spans="1:6" x14ac:dyDescent="0.3">
      <c r="A12618" t="s">
        <v>2024</v>
      </c>
      <c r="B12618" t="s">
        <v>2127</v>
      </c>
      <c r="C12618">
        <v>50.5</v>
      </c>
      <c r="D12618">
        <v>165</v>
      </c>
      <c r="E12618">
        <f>IF(OR(B12618="vi",B12618="ii",B12618="pod"),(((D12618/100)*(C12618*VLOOKUP(B12618,'Poids des runes'!A:B,2,FALSE)))+1),(((D12618/100)*(C12618*VLOOKUP(B12618,'Poids des runes'!A:B,2,FALSE)))+1)/VLOOKUP(B12618,'Poids des runes'!A:B,2,FALSE))</f>
        <v>84.324999999999989</v>
      </c>
      <c r="F12618">
        <f t="shared" si="197"/>
        <v>84.324999999999989</v>
      </c>
    </row>
    <row r="12619" spans="1:6" x14ac:dyDescent="0.3">
      <c r="A12619" t="s">
        <v>2024</v>
      </c>
      <c r="B12619" t="s">
        <v>2129</v>
      </c>
      <c r="C12619">
        <v>30.5</v>
      </c>
      <c r="D12619">
        <v>165</v>
      </c>
      <c r="E12619">
        <f>IF(OR(B12619="vi",B12619="ii",B12619="pod"),(((D12619/100)*(C12619*VLOOKUP(B12619,'Poids des runes'!A:B,2,FALSE)))+1),(((D12619/100)*(C12619*VLOOKUP(B12619,'Poids des runes'!A:B,2,FALSE)))+1)/VLOOKUP(B12619,'Poids des runes'!A:B,2,FALSE))</f>
        <v>51.324999999999996</v>
      </c>
      <c r="F12619">
        <f t="shared" si="197"/>
        <v>51.324999999999996</v>
      </c>
    </row>
    <row r="12620" spans="1:6" x14ac:dyDescent="0.3">
      <c r="A12620" t="s">
        <v>2024</v>
      </c>
      <c r="B12620" t="s">
        <v>2139</v>
      </c>
      <c r="C12620">
        <v>13</v>
      </c>
      <c r="D12620">
        <v>165</v>
      </c>
      <c r="E12620">
        <f>IF(OR(B12620="vi",B12620="ii",B12620="pod"),(((D12620/100)*(C12620*VLOOKUP(B12620,'Poids des runes'!A:B,2,FALSE)))+1),(((D12620/100)*(C12620*VLOOKUP(B12620,'Poids des runes'!A:B,2,FALSE)))+1)/VLOOKUP(B12620,'Poids des runes'!A:B,2,FALSE))</f>
        <v>21.95</v>
      </c>
      <c r="F12620">
        <f t="shared" si="197"/>
        <v>21.95</v>
      </c>
    </row>
    <row r="12621" spans="1:6" x14ac:dyDescent="0.3">
      <c r="A12621" t="s">
        <v>2024</v>
      </c>
      <c r="B12621" t="s">
        <v>2151</v>
      </c>
      <c r="C12621">
        <v>3.5</v>
      </c>
      <c r="D12621">
        <v>165</v>
      </c>
      <c r="E12621">
        <f>IF(OR(B12621="vi",B12621="ii",B12621="pod"),(((D12621/100)*(C12621*VLOOKUP(B12621,'Poids des runes'!A:B,2,FALSE)))+1),(((D12621/100)*(C12621*VLOOKUP(B12621,'Poids des runes'!A:B,2,FALSE)))+1)/VLOOKUP(B12621,'Poids des runes'!A:B,2,FALSE))</f>
        <v>5.875</v>
      </c>
      <c r="F12621">
        <f t="shared" si="197"/>
        <v>5.875</v>
      </c>
    </row>
    <row r="12622" spans="1:6" x14ac:dyDescent="0.3">
      <c r="A12622" t="s">
        <v>2024</v>
      </c>
      <c r="B12622" t="s">
        <v>2155</v>
      </c>
      <c r="C12622">
        <v>1</v>
      </c>
      <c r="D12622">
        <v>165</v>
      </c>
      <c r="E12622">
        <f>IF(OR(B12622="vi",B12622="ii",B12622="pod"),(((D12622/100)*(C12622*VLOOKUP(B12622,'Poids des runes'!A:B,2,FALSE)))+1),(((D12622/100)*(C12622*VLOOKUP(B12622,'Poids des runes'!A:B,2,FALSE)))+1)/VLOOKUP(B12622,'Poids des runes'!A:B,2,FALSE))</f>
        <v>1.6696078431372547</v>
      </c>
      <c r="F12622">
        <f t="shared" si="197"/>
        <v>1.6696078431372547</v>
      </c>
    </row>
    <row r="12623" spans="1:6" x14ac:dyDescent="0.3">
      <c r="A12623" t="s">
        <v>2024</v>
      </c>
      <c r="B12623" t="s">
        <v>2140</v>
      </c>
      <c r="C12623">
        <v>8.5</v>
      </c>
      <c r="D12623">
        <v>165</v>
      </c>
      <c r="E12623">
        <f>IF(OR(B12623="vi",B12623="ii",B12623="pod"),(((D12623/100)*(C12623*VLOOKUP(B12623,'Poids des runes'!A:B,2,FALSE)))+1),(((D12623/100)*(C12623*VLOOKUP(B12623,'Poids des runes'!A:B,2,FALSE)))+1)/VLOOKUP(B12623,'Poids des runes'!A:B,2,FALSE))</f>
        <v>14.225</v>
      </c>
      <c r="F12623">
        <f t="shared" si="197"/>
        <v>14.225</v>
      </c>
    </row>
    <row r="12624" spans="1:6" x14ac:dyDescent="0.3">
      <c r="A12624" t="s">
        <v>2024</v>
      </c>
      <c r="B12624" t="s">
        <v>2153</v>
      </c>
      <c r="C12624">
        <v>8.5</v>
      </c>
      <c r="D12624">
        <v>165</v>
      </c>
      <c r="E12624">
        <f>IF(OR(B12624="vi",B12624="ii",B12624="pod"),(((D12624/100)*(C12624*VLOOKUP(B12624,'Poids des runes'!A:B,2,FALSE)))+1),(((D12624/100)*(C12624*VLOOKUP(B12624,'Poids des runes'!A:B,2,FALSE)))+1)/VLOOKUP(B12624,'Poids des runes'!A:B,2,FALSE))</f>
        <v>14.225</v>
      </c>
      <c r="F12624">
        <f t="shared" si="197"/>
        <v>14.225</v>
      </c>
    </row>
    <row r="12625" spans="1:6" x14ac:dyDescent="0.3">
      <c r="A12625" t="s">
        <v>2024</v>
      </c>
      <c r="B12625" t="s">
        <v>2141</v>
      </c>
      <c r="C12625">
        <v>4.5</v>
      </c>
      <c r="D12625">
        <v>165</v>
      </c>
      <c r="E12625">
        <f>IF(OR(B12625="vi",B12625="ii",B12625="pod"),(((D12625/100)*(C12625*VLOOKUP(B12625,'Poids des runes'!A:B,2,FALSE)))+1),(((D12625/100)*(C12625*VLOOKUP(B12625,'Poids des runes'!A:B,2,FALSE)))+1)/VLOOKUP(B12625,'Poids des runes'!A:B,2,FALSE))</f>
        <v>7.6749999999999998</v>
      </c>
      <c r="F12625">
        <f t="shared" si="197"/>
        <v>7.6749999999999998</v>
      </c>
    </row>
    <row r="12626" spans="1:6" x14ac:dyDescent="0.3">
      <c r="A12626" t="s">
        <v>2024</v>
      </c>
      <c r="B12626" t="s">
        <v>2142</v>
      </c>
      <c r="C12626">
        <v>10.5</v>
      </c>
      <c r="D12626">
        <v>165</v>
      </c>
      <c r="E12626">
        <f>IF(OR(B12626="vi",B12626="ii",B12626="pod"),(((D12626/100)*(C12626*VLOOKUP(B12626,'Poids des runes'!A:B,2,FALSE)))+1),(((D12626/100)*(C12626*VLOOKUP(B12626,'Poids des runes'!A:B,2,FALSE)))+1)/VLOOKUP(B12626,'Poids des runes'!A:B,2,FALSE))</f>
        <v>17.524999999999999</v>
      </c>
      <c r="F12626">
        <f t="shared" si="197"/>
        <v>17.524999999999999</v>
      </c>
    </row>
    <row r="12627" spans="1:6" x14ac:dyDescent="0.3">
      <c r="A12627" t="s">
        <v>2024</v>
      </c>
      <c r="B12627" t="s">
        <v>2156</v>
      </c>
      <c r="C12627">
        <v>6.5</v>
      </c>
      <c r="D12627">
        <v>165</v>
      </c>
      <c r="E12627">
        <f>IF(OR(B12627="vi",B12627="ii",B12627="pod"),(((D12627/100)*(C12627*VLOOKUP(B12627,'Poids des runes'!A:B,2,FALSE)))+1),(((D12627/100)*(C12627*VLOOKUP(B12627,'Poids des runes'!A:B,2,FALSE)))+1)/VLOOKUP(B12627,'Poids des runes'!A:B,2,FALSE))</f>
        <v>10.891666666666666</v>
      </c>
      <c r="F12627">
        <f t="shared" si="197"/>
        <v>10.891666666666666</v>
      </c>
    </row>
    <row r="12628" spans="1:6" x14ac:dyDescent="0.3">
      <c r="A12628" t="s">
        <v>2025</v>
      </c>
      <c r="B12628" t="s">
        <v>2128</v>
      </c>
      <c r="C12628">
        <v>225.5</v>
      </c>
      <c r="D12628">
        <v>166</v>
      </c>
      <c r="E12628">
        <f>IF(OR(B12628="vi",B12628="ii",B12628="pod"),(((D12628/100)*(C12628*VLOOKUP(B12628,'Poids des runes'!A:B,2,FALSE)))+1),(((D12628/100)*(C12628*VLOOKUP(B12628,'Poids des runes'!A:B,2,FALSE)))+1)/VLOOKUP(B12628,'Poids des runes'!A:B,2,FALSE))</f>
        <v>75.866</v>
      </c>
      <c r="F12628">
        <f t="shared" si="197"/>
        <v>75.866</v>
      </c>
    </row>
    <row r="12629" spans="1:6" x14ac:dyDescent="0.3">
      <c r="A12629" t="s">
        <v>2025</v>
      </c>
      <c r="B12629" t="s">
        <v>2126</v>
      </c>
      <c r="C12629">
        <v>35.5</v>
      </c>
      <c r="D12629">
        <v>166</v>
      </c>
      <c r="E12629">
        <f>IF(OR(B12629="vi",B12629="ii",B12629="pod"),(((D12629/100)*(C12629*VLOOKUP(B12629,'Poids des runes'!A:B,2,FALSE)))+1),(((D12629/100)*(C12629*VLOOKUP(B12629,'Poids des runes'!A:B,2,FALSE)))+1)/VLOOKUP(B12629,'Poids des runes'!A:B,2,FALSE))</f>
        <v>59.93</v>
      </c>
      <c r="F12629">
        <f t="shared" si="197"/>
        <v>59.93</v>
      </c>
    </row>
    <row r="12630" spans="1:6" x14ac:dyDescent="0.3">
      <c r="A12630" t="s">
        <v>2025</v>
      </c>
      <c r="B12630" t="s">
        <v>2127</v>
      </c>
      <c r="C12630">
        <v>35.5</v>
      </c>
      <c r="D12630">
        <v>166</v>
      </c>
      <c r="E12630">
        <f>IF(OR(B12630="vi",B12630="ii",B12630="pod"),(((D12630/100)*(C12630*VLOOKUP(B12630,'Poids des runes'!A:B,2,FALSE)))+1),(((D12630/100)*(C12630*VLOOKUP(B12630,'Poids des runes'!A:B,2,FALSE)))+1)/VLOOKUP(B12630,'Poids des runes'!A:B,2,FALSE))</f>
        <v>59.93</v>
      </c>
      <c r="F12630">
        <f t="shared" si="197"/>
        <v>59.93</v>
      </c>
    </row>
    <row r="12631" spans="1:6" x14ac:dyDescent="0.3">
      <c r="A12631" t="s">
        <v>2025</v>
      </c>
      <c r="B12631" t="s">
        <v>2129</v>
      </c>
      <c r="C12631">
        <v>30.5</v>
      </c>
      <c r="D12631">
        <v>166</v>
      </c>
      <c r="E12631">
        <f>IF(OR(B12631="vi",B12631="ii",B12631="pod"),(((D12631/100)*(C12631*VLOOKUP(B12631,'Poids des runes'!A:B,2,FALSE)))+1),(((D12631/100)*(C12631*VLOOKUP(B12631,'Poids des runes'!A:B,2,FALSE)))+1)/VLOOKUP(B12631,'Poids des runes'!A:B,2,FALSE))</f>
        <v>51.629999999999995</v>
      </c>
      <c r="F12631">
        <f t="shared" si="197"/>
        <v>51.629999999999995</v>
      </c>
    </row>
    <row r="12632" spans="1:6" x14ac:dyDescent="0.3">
      <c r="A12632" t="s">
        <v>2025</v>
      </c>
      <c r="B12632" t="s">
        <v>2155</v>
      </c>
      <c r="C12632">
        <v>1</v>
      </c>
      <c r="D12632">
        <v>166</v>
      </c>
      <c r="E12632">
        <f>IF(OR(B12632="vi",B12632="ii",B12632="pod"),(((D12632/100)*(C12632*VLOOKUP(B12632,'Poids des runes'!A:B,2,FALSE)))+1),(((D12632/100)*(C12632*VLOOKUP(B12632,'Poids des runes'!A:B,2,FALSE)))+1)/VLOOKUP(B12632,'Poids des runes'!A:B,2,FALSE))</f>
        <v>1.6796078431372548</v>
      </c>
      <c r="F12632">
        <f t="shared" si="197"/>
        <v>1.6796078431372548</v>
      </c>
    </row>
    <row r="12633" spans="1:6" x14ac:dyDescent="0.3">
      <c r="A12633" t="s">
        <v>2025</v>
      </c>
      <c r="B12633" t="s">
        <v>2140</v>
      </c>
      <c r="C12633">
        <v>8.5</v>
      </c>
      <c r="D12633">
        <v>166</v>
      </c>
      <c r="E12633">
        <f>IF(OR(B12633="vi",B12633="ii",B12633="pod"),(((D12633/100)*(C12633*VLOOKUP(B12633,'Poids des runes'!A:B,2,FALSE)))+1),(((D12633/100)*(C12633*VLOOKUP(B12633,'Poids des runes'!A:B,2,FALSE)))+1)/VLOOKUP(B12633,'Poids des runes'!A:B,2,FALSE))</f>
        <v>14.309999999999999</v>
      </c>
      <c r="F12633">
        <f t="shared" si="197"/>
        <v>14.309999999999999</v>
      </c>
    </row>
    <row r="12634" spans="1:6" x14ac:dyDescent="0.3">
      <c r="A12634" t="s">
        <v>2025</v>
      </c>
      <c r="B12634" t="s">
        <v>2133</v>
      </c>
      <c r="C12634">
        <v>8.5</v>
      </c>
      <c r="D12634">
        <v>166</v>
      </c>
      <c r="E12634">
        <f>IF(OR(B12634="vi",B12634="ii",B12634="pod"),(((D12634/100)*(C12634*VLOOKUP(B12634,'Poids des runes'!A:B,2,FALSE)))+1),(((D12634/100)*(C12634*VLOOKUP(B12634,'Poids des runes'!A:B,2,FALSE)))+1)/VLOOKUP(B12634,'Poids des runes'!A:B,2,FALSE))</f>
        <v>14.309999999999999</v>
      </c>
      <c r="F12634">
        <f t="shared" si="197"/>
        <v>14.309999999999999</v>
      </c>
    </row>
    <row r="12635" spans="1:6" x14ac:dyDescent="0.3">
      <c r="A12635" t="s">
        <v>2025</v>
      </c>
      <c r="B12635" t="s">
        <v>2153</v>
      </c>
      <c r="C12635">
        <v>8.5</v>
      </c>
      <c r="D12635">
        <v>166</v>
      </c>
      <c r="E12635">
        <f>IF(OR(B12635="vi",B12635="ii",B12635="pod"),(((D12635/100)*(C12635*VLOOKUP(B12635,'Poids des runes'!A:B,2,FALSE)))+1),(((D12635/100)*(C12635*VLOOKUP(B12635,'Poids des runes'!A:B,2,FALSE)))+1)/VLOOKUP(B12635,'Poids des runes'!A:B,2,FALSE))</f>
        <v>14.309999999999999</v>
      </c>
      <c r="F12635">
        <f t="shared" si="197"/>
        <v>14.309999999999999</v>
      </c>
    </row>
    <row r="12636" spans="1:6" x14ac:dyDescent="0.3">
      <c r="A12636" t="s">
        <v>2025</v>
      </c>
      <c r="B12636" t="s">
        <v>2149</v>
      </c>
      <c r="C12636">
        <v>4.5</v>
      </c>
      <c r="D12636">
        <v>166</v>
      </c>
      <c r="E12636">
        <f>IF(OR(B12636="vi",B12636="ii",B12636="pod"),(((D12636/100)*(C12636*VLOOKUP(B12636,'Poids des runes'!A:B,2,FALSE)))+1),(((D12636/100)*(C12636*VLOOKUP(B12636,'Poids des runes'!A:B,2,FALSE)))+1)/VLOOKUP(B12636,'Poids des runes'!A:B,2,FALSE))</f>
        <v>7.57</v>
      </c>
      <c r="F12636">
        <f t="shared" si="197"/>
        <v>7.57</v>
      </c>
    </row>
    <row r="12637" spans="1:6" x14ac:dyDescent="0.3">
      <c r="A12637" t="s">
        <v>2025</v>
      </c>
      <c r="B12637" t="s">
        <v>2161</v>
      </c>
      <c r="C12637">
        <v>13</v>
      </c>
      <c r="D12637">
        <v>166</v>
      </c>
      <c r="E12637">
        <f>IF(OR(B12637="vi",B12637="ii",B12637="pod"),(((D12637/100)*(C12637*VLOOKUP(B12637,'Poids des runes'!A:B,2,FALSE)))+1),(((D12637/100)*(C12637*VLOOKUP(B12637,'Poids des runes'!A:B,2,FALSE)))+1)/VLOOKUP(B12637,'Poids des runes'!A:B,2,FALSE))</f>
        <v>21.91333333333333</v>
      </c>
      <c r="F12637">
        <f t="shared" si="197"/>
        <v>21.91333333333333</v>
      </c>
    </row>
    <row r="12638" spans="1:6" x14ac:dyDescent="0.3">
      <c r="A12638" t="s">
        <v>2025</v>
      </c>
      <c r="B12638" t="s">
        <v>2132</v>
      </c>
      <c r="C12638">
        <v>150.5</v>
      </c>
      <c r="D12638">
        <v>166</v>
      </c>
      <c r="E12638">
        <f>IF(OR(B12638="vi",B12638="ii",B12638="pod"),(((D12638/100)*(C12638*VLOOKUP(B12638,'Poids des runes'!A:B,2,FALSE)))+1),(((D12638/100)*(C12638*VLOOKUP(B12638,'Poids des runes'!A:B,2,FALSE)))+1)/VLOOKUP(B12638,'Poids des runes'!A:B,2,FALSE))</f>
        <v>25.983000000000001</v>
      </c>
      <c r="F12638">
        <f t="shared" si="197"/>
        <v>25.983000000000001</v>
      </c>
    </row>
    <row r="12639" spans="1:6" x14ac:dyDescent="0.3">
      <c r="A12639" t="s">
        <v>2025</v>
      </c>
      <c r="B12639" t="s">
        <v>2163</v>
      </c>
      <c r="C12639">
        <v>8.5</v>
      </c>
      <c r="D12639">
        <v>166</v>
      </c>
      <c r="E12639">
        <f>IF(OR(B12639="vi",B12639="ii",B12639="pod"),(((D12639/100)*(C12639*VLOOKUP(B12639,'Poids des runes'!A:B,2,FALSE)))+1),(((D12639/100)*(C12639*VLOOKUP(B12639,'Poids des runes'!A:B,2,FALSE)))+1)/VLOOKUP(B12639,'Poids des runes'!A:B,2,FALSE))</f>
        <v>14.61</v>
      </c>
      <c r="F12639">
        <f t="shared" si="197"/>
        <v>14.61</v>
      </c>
    </row>
    <row r="12640" spans="1:6" x14ac:dyDescent="0.3">
      <c r="A12640" t="s">
        <v>2025</v>
      </c>
      <c r="B12640" t="s">
        <v>2137</v>
      </c>
      <c r="C12640">
        <v>8.5</v>
      </c>
      <c r="D12640">
        <v>166</v>
      </c>
      <c r="E12640">
        <f>IF(OR(B12640="vi",B12640="ii",B12640="pod"),(((D12640/100)*(C12640*VLOOKUP(B12640,'Poids des runes'!A:B,2,FALSE)))+1),(((D12640/100)*(C12640*VLOOKUP(B12640,'Poids des runes'!A:B,2,FALSE)))+1)/VLOOKUP(B12640,'Poids des runes'!A:B,2,FALSE))</f>
        <v>14.61</v>
      </c>
      <c r="F12640">
        <f t="shared" si="197"/>
        <v>14.61</v>
      </c>
    </row>
    <row r="12641" spans="1:6" x14ac:dyDescent="0.3">
      <c r="A12641" t="s">
        <v>2025</v>
      </c>
      <c r="B12641" t="s">
        <v>2145</v>
      </c>
      <c r="C12641">
        <v>8.5</v>
      </c>
      <c r="D12641">
        <v>166</v>
      </c>
      <c r="E12641">
        <f>IF(OR(B12641="vi",B12641="ii",B12641="pod"),(((D12641/100)*(C12641*VLOOKUP(B12641,'Poids des runes'!A:B,2,FALSE)))+1),(((D12641/100)*(C12641*VLOOKUP(B12641,'Poids des runes'!A:B,2,FALSE)))+1)/VLOOKUP(B12641,'Poids des runes'!A:B,2,FALSE))</f>
        <v>14.61</v>
      </c>
      <c r="F12641">
        <f t="shared" si="197"/>
        <v>14.61</v>
      </c>
    </row>
    <row r="12642" spans="1:6" x14ac:dyDescent="0.3">
      <c r="A12642" t="s">
        <v>2026</v>
      </c>
      <c r="B12642" t="s">
        <v>2128</v>
      </c>
      <c r="C12642">
        <v>225.5</v>
      </c>
      <c r="D12642">
        <v>167</v>
      </c>
      <c r="E12642">
        <f>IF(OR(B12642="vi",B12642="ii",B12642="pod"),(((D12642/100)*(C12642*VLOOKUP(B12642,'Poids des runes'!A:B,2,FALSE)))+1),(((D12642/100)*(C12642*VLOOKUP(B12642,'Poids des runes'!A:B,2,FALSE)))+1)/VLOOKUP(B12642,'Poids des runes'!A:B,2,FALSE))</f>
        <v>76.316999999999993</v>
      </c>
      <c r="F12642">
        <f t="shared" si="197"/>
        <v>76.316999999999993</v>
      </c>
    </row>
    <row r="12643" spans="1:6" x14ac:dyDescent="0.3">
      <c r="A12643" t="s">
        <v>2026</v>
      </c>
      <c r="B12643" t="s">
        <v>2130</v>
      </c>
      <c r="C12643">
        <v>35.5</v>
      </c>
      <c r="D12643">
        <v>167</v>
      </c>
      <c r="E12643">
        <f>IF(OR(B12643="vi",B12643="ii",B12643="pod"),(((D12643/100)*(C12643*VLOOKUP(B12643,'Poids des runes'!A:B,2,FALSE)))+1),(((D12643/100)*(C12643*VLOOKUP(B12643,'Poids des runes'!A:B,2,FALSE)))+1)/VLOOKUP(B12643,'Poids des runes'!A:B,2,FALSE))</f>
        <v>60.284999999999997</v>
      </c>
      <c r="F12643">
        <f t="shared" si="197"/>
        <v>60.284999999999997</v>
      </c>
    </row>
    <row r="12644" spans="1:6" x14ac:dyDescent="0.3">
      <c r="A12644" t="s">
        <v>2026</v>
      </c>
      <c r="B12644" t="s">
        <v>2126</v>
      </c>
      <c r="C12644">
        <v>35.5</v>
      </c>
      <c r="D12644">
        <v>167</v>
      </c>
      <c r="E12644">
        <f>IF(OR(B12644="vi",B12644="ii",B12644="pod"),(((D12644/100)*(C12644*VLOOKUP(B12644,'Poids des runes'!A:B,2,FALSE)))+1),(((D12644/100)*(C12644*VLOOKUP(B12644,'Poids des runes'!A:B,2,FALSE)))+1)/VLOOKUP(B12644,'Poids des runes'!A:B,2,FALSE))</f>
        <v>60.284999999999997</v>
      </c>
      <c r="F12644">
        <f t="shared" si="197"/>
        <v>60.284999999999997</v>
      </c>
    </row>
    <row r="12645" spans="1:6" x14ac:dyDescent="0.3">
      <c r="A12645" t="s">
        <v>2026</v>
      </c>
      <c r="B12645" t="s">
        <v>2131</v>
      </c>
      <c r="C12645">
        <v>35.5</v>
      </c>
      <c r="D12645">
        <v>167</v>
      </c>
      <c r="E12645">
        <f>IF(OR(B12645="vi",B12645="ii",B12645="pod"),(((D12645/100)*(C12645*VLOOKUP(B12645,'Poids des runes'!A:B,2,FALSE)))+1),(((D12645/100)*(C12645*VLOOKUP(B12645,'Poids des runes'!A:B,2,FALSE)))+1)/VLOOKUP(B12645,'Poids des runes'!A:B,2,FALSE))</f>
        <v>60.284999999999997</v>
      </c>
      <c r="F12645">
        <f t="shared" si="197"/>
        <v>60.284999999999997</v>
      </c>
    </row>
    <row r="12646" spans="1:6" x14ac:dyDescent="0.3">
      <c r="A12646" t="s">
        <v>2026</v>
      </c>
      <c r="B12646" t="s">
        <v>2129</v>
      </c>
      <c r="C12646">
        <v>25.5</v>
      </c>
      <c r="D12646">
        <v>167</v>
      </c>
      <c r="E12646">
        <f>IF(OR(B12646="vi",B12646="ii",B12646="pod"),(((D12646/100)*(C12646*VLOOKUP(B12646,'Poids des runes'!A:B,2,FALSE)))+1),(((D12646/100)*(C12646*VLOOKUP(B12646,'Poids des runes'!A:B,2,FALSE)))+1)/VLOOKUP(B12646,'Poids des runes'!A:B,2,FALSE))</f>
        <v>43.585000000000001</v>
      </c>
      <c r="F12646">
        <f t="shared" si="197"/>
        <v>43.585000000000001</v>
      </c>
    </row>
    <row r="12647" spans="1:6" x14ac:dyDescent="0.3">
      <c r="A12647" t="s">
        <v>2026</v>
      </c>
      <c r="B12647" t="s">
        <v>2151</v>
      </c>
      <c r="C12647">
        <v>2.5</v>
      </c>
      <c r="D12647">
        <v>167</v>
      </c>
      <c r="E12647">
        <f>IF(OR(B12647="vi",B12647="ii",B12647="pod"),(((D12647/100)*(C12647*VLOOKUP(B12647,'Poids des runes'!A:B,2,FALSE)))+1),(((D12647/100)*(C12647*VLOOKUP(B12647,'Poids des runes'!A:B,2,FALSE)))+1)/VLOOKUP(B12647,'Poids des runes'!A:B,2,FALSE))</f>
        <v>4.2750000000000004</v>
      </c>
      <c r="F12647">
        <f t="shared" si="197"/>
        <v>4.2750000000000004</v>
      </c>
    </row>
    <row r="12648" spans="1:6" x14ac:dyDescent="0.3">
      <c r="A12648" t="s">
        <v>2026</v>
      </c>
      <c r="B12648" t="s">
        <v>2155</v>
      </c>
      <c r="C12648">
        <v>1</v>
      </c>
      <c r="D12648">
        <v>167</v>
      </c>
      <c r="E12648">
        <f>IF(OR(B12648="vi",B12648="ii",B12648="pod"),(((D12648/100)*(C12648*VLOOKUP(B12648,'Poids des runes'!A:B,2,FALSE)))+1),(((D12648/100)*(C12648*VLOOKUP(B12648,'Poids des runes'!A:B,2,FALSE)))+1)/VLOOKUP(B12648,'Poids des runes'!A:B,2,FALSE))</f>
        <v>1.689607843137255</v>
      </c>
      <c r="F12648">
        <f t="shared" si="197"/>
        <v>1.689607843137255</v>
      </c>
    </row>
    <row r="12649" spans="1:6" x14ac:dyDescent="0.3">
      <c r="A12649" t="s">
        <v>2026</v>
      </c>
      <c r="B12649" t="s">
        <v>2143</v>
      </c>
      <c r="C12649">
        <v>8.5</v>
      </c>
      <c r="D12649">
        <v>167</v>
      </c>
      <c r="E12649">
        <f>IF(OR(B12649="vi",B12649="ii",B12649="pod"),(((D12649/100)*(C12649*VLOOKUP(B12649,'Poids des runes'!A:B,2,FALSE)))+1),(((D12649/100)*(C12649*VLOOKUP(B12649,'Poids des runes'!A:B,2,FALSE)))+1)/VLOOKUP(B12649,'Poids des runes'!A:B,2,FALSE))</f>
        <v>14.395</v>
      </c>
      <c r="F12649">
        <f t="shared" si="197"/>
        <v>14.395</v>
      </c>
    </row>
    <row r="12650" spans="1:6" x14ac:dyDescent="0.3">
      <c r="A12650" t="s">
        <v>2026</v>
      </c>
      <c r="B12650" t="s">
        <v>2140</v>
      </c>
      <c r="C12650">
        <v>8.5</v>
      </c>
      <c r="D12650">
        <v>167</v>
      </c>
      <c r="E12650">
        <f>IF(OR(B12650="vi",B12650="ii",B12650="pod"),(((D12650/100)*(C12650*VLOOKUP(B12650,'Poids des runes'!A:B,2,FALSE)))+1),(((D12650/100)*(C12650*VLOOKUP(B12650,'Poids des runes'!A:B,2,FALSE)))+1)/VLOOKUP(B12650,'Poids des runes'!A:B,2,FALSE))</f>
        <v>14.395</v>
      </c>
      <c r="F12650">
        <f t="shared" si="197"/>
        <v>14.395</v>
      </c>
    </row>
    <row r="12651" spans="1:6" x14ac:dyDescent="0.3">
      <c r="A12651" t="s">
        <v>2026</v>
      </c>
      <c r="B12651" t="s">
        <v>2133</v>
      </c>
      <c r="C12651">
        <v>8.5</v>
      </c>
      <c r="D12651">
        <v>167</v>
      </c>
      <c r="E12651">
        <f>IF(OR(B12651="vi",B12651="ii",B12651="pod"),(((D12651/100)*(C12651*VLOOKUP(B12651,'Poids des runes'!A:B,2,FALSE)))+1),(((D12651/100)*(C12651*VLOOKUP(B12651,'Poids des runes'!A:B,2,FALSE)))+1)/VLOOKUP(B12651,'Poids des runes'!A:B,2,FALSE))</f>
        <v>14.395</v>
      </c>
      <c r="F12651">
        <f t="shared" si="197"/>
        <v>14.395</v>
      </c>
    </row>
    <row r="12652" spans="1:6" x14ac:dyDescent="0.3">
      <c r="A12652" t="s">
        <v>2026</v>
      </c>
      <c r="B12652" t="s">
        <v>2161</v>
      </c>
      <c r="C12652">
        <v>13</v>
      </c>
      <c r="D12652">
        <v>167</v>
      </c>
      <c r="E12652">
        <f>IF(OR(B12652="vi",B12652="ii",B12652="pod"),(((D12652/100)*(C12652*VLOOKUP(B12652,'Poids des runes'!A:B,2,FALSE)))+1),(((D12652/100)*(C12652*VLOOKUP(B12652,'Poids des runes'!A:B,2,FALSE)))+1)/VLOOKUP(B12652,'Poids des runes'!A:B,2,FALSE))</f>
        <v>22.043333333333333</v>
      </c>
      <c r="F12652">
        <f t="shared" si="197"/>
        <v>22.043333333333333</v>
      </c>
    </row>
    <row r="12653" spans="1:6" x14ac:dyDescent="0.3">
      <c r="A12653" t="s">
        <v>2026</v>
      </c>
      <c r="B12653" t="s">
        <v>2141</v>
      </c>
      <c r="C12653">
        <v>2.5</v>
      </c>
      <c r="D12653">
        <v>167</v>
      </c>
      <c r="E12653">
        <f>IF(OR(B12653="vi",B12653="ii",B12653="pod"),(((D12653/100)*(C12653*VLOOKUP(B12653,'Poids des runes'!A:B,2,FALSE)))+1),(((D12653/100)*(C12653*VLOOKUP(B12653,'Poids des runes'!A:B,2,FALSE)))+1)/VLOOKUP(B12653,'Poids des runes'!A:B,2,FALSE))</f>
        <v>4.4249999999999998</v>
      </c>
      <c r="F12653">
        <f t="shared" si="197"/>
        <v>4.4249999999999998</v>
      </c>
    </row>
    <row r="12654" spans="1:6" x14ac:dyDescent="0.3">
      <c r="A12654" t="s">
        <v>2027</v>
      </c>
      <c r="B12654" t="s">
        <v>2128</v>
      </c>
      <c r="C12654">
        <v>175.5</v>
      </c>
      <c r="D12654">
        <v>168</v>
      </c>
      <c r="E12654">
        <f>IF(OR(B12654="vi",B12654="ii",B12654="pod"),(((D12654/100)*(C12654*VLOOKUP(B12654,'Poids des runes'!A:B,2,FALSE)))+1),(((D12654/100)*(C12654*VLOOKUP(B12654,'Poids des runes'!A:B,2,FALSE)))+1)/VLOOKUP(B12654,'Poids des runes'!A:B,2,FALSE))</f>
        <v>59.968000000000004</v>
      </c>
      <c r="F12654">
        <f t="shared" si="197"/>
        <v>59.968000000000004</v>
      </c>
    </row>
    <row r="12655" spans="1:6" x14ac:dyDescent="0.3">
      <c r="A12655" t="s">
        <v>2027</v>
      </c>
      <c r="B12655" t="s">
        <v>2131</v>
      </c>
      <c r="C12655">
        <v>50.5</v>
      </c>
      <c r="D12655">
        <v>168</v>
      </c>
      <c r="E12655">
        <f>IF(OR(B12655="vi",B12655="ii",B12655="pod"),(((D12655/100)*(C12655*VLOOKUP(B12655,'Poids des runes'!A:B,2,FALSE)))+1),(((D12655/100)*(C12655*VLOOKUP(B12655,'Poids des runes'!A:B,2,FALSE)))+1)/VLOOKUP(B12655,'Poids des runes'!A:B,2,FALSE))</f>
        <v>85.84</v>
      </c>
      <c r="F12655">
        <f t="shared" si="197"/>
        <v>85.84</v>
      </c>
    </row>
    <row r="12656" spans="1:6" x14ac:dyDescent="0.3">
      <c r="A12656" t="s">
        <v>2027</v>
      </c>
      <c r="B12656" t="s">
        <v>2129</v>
      </c>
      <c r="C12656">
        <v>35.5</v>
      </c>
      <c r="D12656">
        <v>168</v>
      </c>
      <c r="E12656">
        <f>IF(OR(B12656="vi",B12656="ii",B12656="pod"),(((D12656/100)*(C12656*VLOOKUP(B12656,'Poids des runes'!A:B,2,FALSE)))+1),(((D12656/100)*(C12656*VLOOKUP(B12656,'Poids des runes'!A:B,2,FALSE)))+1)/VLOOKUP(B12656,'Poids des runes'!A:B,2,FALSE))</f>
        <v>60.64</v>
      </c>
      <c r="F12656">
        <f t="shared" si="197"/>
        <v>60.64</v>
      </c>
    </row>
    <row r="12657" spans="1:6" x14ac:dyDescent="0.3">
      <c r="A12657" t="s">
        <v>2027</v>
      </c>
      <c r="B12657" t="s">
        <v>2151</v>
      </c>
      <c r="C12657">
        <v>2.5</v>
      </c>
      <c r="D12657">
        <v>168</v>
      </c>
      <c r="E12657">
        <f>IF(OR(B12657="vi",B12657="ii",B12657="pod"),(((D12657/100)*(C12657*VLOOKUP(B12657,'Poids des runes'!A:B,2,FALSE)))+1),(((D12657/100)*(C12657*VLOOKUP(B12657,'Poids des runes'!A:B,2,FALSE)))+1)/VLOOKUP(B12657,'Poids des runes'!A:B,2,FALSE))</f>
        <v>4.3</v>
      </c>
      <c r="F12657">
        <f t="shared" si="197"/>
        <v>4.3</v>
      </c>
    </row>
    <row r="12658" spans="1:6" x14ac:dyDescent="0.3">
      <c r="A12658" t="s">
        <v>2027</v>
      </c>
      <c r="B12658" t="s">
        <v>2155</v>
      </c>
      <c r="C12658">
        <v>1</v>
      </c>
      <c r="D12658">
        <v>168</v>
      </c>
      <c r="E12658">
        <f>IF(OR(B12658="vi",B12658="ii",B12658="pod"),(((D12658/100)*(C12658*VLOOKUP(B12658,'Poids des runes'!A:B,2,FALSE)))+1),(((D12658/100)*(C12658*VLOOKUP(B12658,'Poids des runes'!A:B,2,FALSE)))+1)/VLOOKUP(B12658,'Poids des runes'!A:B,2,FALSE))</f>
        <v>1.6996078431372548</v>
      </c>
      <c r="F12658">
        <f t="shared" si="197"/>
        <v>1.6996078431372548</v>
      </c>
    </row>
    <row r="12659" spans="1:6" x14ac:dyDescent="0.3">
      <c r="A12659" t="s">
        <v>2027</v>
      </c>
      <c r="B12659" t="s">
        <v>2133</v>
      </c>
      <c r="C12659">
        <v>8.5</v>
      </c>
      <c r="D12659">
        <v>168</v>
      </c>
      <c r="E12659">
        <f>IF(OR(B12659="vi",B12659="ii",B12659="pod"),(((D12659/100)*(C12659*VLOOKUP(B12659,'Poids des runes'!A:B,2,FALSE)))+1),(((D12659/100)*(C12659*VLOOKUP(B12659,'Poids des runes'!A:B,2,FALSE)))+1)/VLOOKUP(B12659,'Poids des runes'!A:B,2,FALSE))</f>
        <v>14.479999999999999</v>
      </c>
      <c r="F12659">
        <f t="shared" si="197"/>
        <v>14.479999999999999</v>
      </c>
    </row>
    <row r="12660" spans="1:6" x14ac:dyDescent="0.3">
      <c r="A12660" t="s">
        <v>2027</v>
      </c>
      <c r="B12660" t="s">
        <v>2161</v>
      </c>
      <c r="C12660">
        <v>15.5</v>
      </c>
      <c r="D12660">
        <v>168</v>
      </c>
      <c r="E12660">
        <f>IF(OR(B12660="vi",B12660="ii",B12660="pod"),(((D12660/100)*(C12660*VLOOKUP(B12660,'Poids des runes'!A:B,2,FALSE)))+1),(((D12660/100)*(C12660*VLOOKUP(B12660,'Poids des runes'!A:B,2,FALSE)))+1)/VLOOKUP(B12660,'Poids des runes'!A:B,2,FALSE))</f>
        <v>26.373333333333331</v>
      </c>
      <c r="F12660">
        <f t="shared" si="197"/>
        <v>26.373333333333331</v>
      </c>
    </row>
    <row r="12661" spans="1:6" x14ac:dyDescent="0.3">
      <c r="A12661" t="s">
        <v>2027</v>
      </c>
      <c r="B12661" t="s">
        <v>2138</v>
      </c>
      <c r="C12661">
        <v>4</v>
      </c>
      <c r="D12661">
        <v>168</v>
      </c>
      <c r="E12661">
        <f>IF(OR(B12661="vi",B12661="ii",B12661="pod"),(((D12661/100)*(C12661*VLOOKUP(B12661,'Poids des runes'!A:B,2,FALSE)))+1),(((D12661/100)*(C12661*VLOOKUP(B12661,'Poids des runes'!A:B,2,FALSE)))+1)/VLOOKUP(B12661,'Poids des runes'!A:B,2,FALSE))</f>
        <v>6.97</v>
      </c>
      <c r="F12661">
        <f t="shared" si="197"/>
        <v>6.97</v>
      </c>
    </row>
    <row r="12662" spans="1:6" x14ac:dyDescent="0.3">
      <c r="A12662" t="s">
        <v>2027</v>
      </c>
      <c r="B12662" t="s">
        <v>2160</v>
      </c>
      <c r="C12662">
        <v>4</v>
      </c>
      <c r="D12662">
        <v>168</v>
      </c>
      <c r="E12662">
        <f>IF(OR(B12662="vi",B12662="ii",B12662="pod"),(((D12662/100)*(C12662*VLOOKUP(B12662,'Poids des runes'!A:B,2,FALSE)))+1),(((D12662/100)*(C12662*VLOOKUP(B12662,'Poids des runes'!A:B,2,FALSE)))+1)/VLOOKUP(B12662,'Poids des runes'!A:B,2,FALSE))</f>
        <v>6.862857142857143</v>
      </c>
      <c r="F12662">
        <f t="shared" si="197"/>
        <v>6.862857142857143</v>
      </c>
    </row>
    <row r="12663" spans="1:6" x14ac:dyDescent="0.3">
      <c r="A12663" t="s">
        <v>2027</v>
      </c>
      <c r="B12663" t="s">
        <v>2148</v>
      </c>
      <c r="C12663">
        <v>6</v>
      </c>
      <c r="D12663">
        <v>168</v>
      </c>
      <c r="E12663">
        <f>IF(OR(B12663="vi",B12663="ii",B12663="pod"),(((D12663/100)*(C12663*VLOOKUP(B12663,'Poids des runes'!A:B,2,FALSE)))+1),(((D12663/100)*(C12663*VLOOKUP(B12663,'Poids des runes'!A:B,2,FALSE)))+1)/VLOOKUP(B12663,'Poids des runes'!A:B,2,FALSE))</f>
        <v>10.246666666666666</v>
      </c>
      <c r="F12663">
        <f t="shared" si="197"/>
        <v>10.246666666666666</v>
      </c>
    </row>
    <row r="12664" spans="1:6" x14ac:dyDescent="0.3">
      <c r="A12664" t="s">
        <v>2027</v>
      </c>
      <c r="B12664" t="s">
        <v>2147</v>
      </c>
      <c r="C12664">
        <v>6</v>
      </c>
      <c r="D12664">
        <v>168</v>
      </c>
      <c r="E12664">
        <f>IF(OR(B12664="vi",B12664="ii",B12664="pod"),(((D12664/100)*(C12664*VLOOKUP(B12664,'Poids des runes'!A:B,2,FALSE)))+1),(((D12664/100)*(C12664*VLOOKUP(B12664,'Poids des runes'!A:B,2,FALSE)))+1)/VLOOKUP(B12664,'Poids des runes'!A:B,2,FALSE))</f>
        <v>10.246666666666666</v>
      </c>
      <c r="F12664">
        <f t="shared" si="197"/>
        <v>10.246666666666666</v>
      </c>
    </row>
    <row r="12665" spans="1:6" x14ac:dyDescent="0.3">
      <c r="A12665" t="s">
        <v>2028</v>
      </c>
      <c r="B12665" t="s">
        <v>2128</v>
      </c>
      <c r="C12665">
        <v>250.5</v>
      </c>
      <c r="D12665">
        <v>169</v>
      </c>
      <c r="E12665">
        <f>IF(OR(B12665="vi",B12665="ii",B12665="pod"),(((D12665/100)*(C12665*VLOOKUP(B12665,'Poids des runes'!A:B,2,FALSE)))+1),(((D12665/100)*(C12665*VLOOKUP(B12665,'Poids des runes'!A:B,2,FALSE)))+1)/VLOOKUP(B12665,'Poids des runes'!A:B,2,FALSE))</f>
        <v>85.668999999999997</v>
      </c>
      <c r="F12665">
        <f t="shared" si="197"/>
        <v>85.668999999999997</v>
      </c>
    </row>
    <row r="12666" spans="1:6" x14ac:dyDescent="0.3">
      <c r="A12666" t="s">
        <v>2028</v>
      </c>
      <c r="B12666" t="s">
        <v>2130</v>
      </c>
      <c r="C12666">
        <v>40.5</v>
      </c>
      <c r="D12666">
        <v>169</v>
      </c>
      <c r="E12666">
        <f>IF(OR(B12666="vi",B12666="ii",B12666="pod"),(((D12666/100)*(C12666*VLOOKUP(B12666,'Poids des runes'!A:B,2,FALSE)))+1),(((D12666/100)*(C12666*VLOOKUP(B12666,'Poids des runes'!A:B,2,FALSE)))+1)/VLOOKUP(B12666,'Poids des runes'!A:B,2,FALSE))</f>
        <v>69.444999999999993</v>
      </c>
      <c r="F12666">
        <f t="shared" si="197"/>
        <v>69.444999999999993</v>
      </c>
    </row>
    <row r="12667" spans="1:6" x14ac:dyDescent="0.3">
      <c r="A12667" t="s">
        <v>2028</v>
      </c>
      <c r="B12667" t="s">
        <v>2155</v>
      </c>
      <c r="C12667">
        <v>1</v>
      </c>
      <c r="D12667">
        <v>169</v>
      </c>
      <c r="E12667">
        <f>IF(OR(B12667="vi",B12667="ii",B12667="pod"),(((D12667/100)*(C12667*VLOOKUP(B12667,'Poids des runes'!A:B,2,FALSE)))+1),(((D12667/100)*(C12667*VLOOKUP(B12667,'Poids des runes'!A:B,2,FALSE)))+1)/VLOOKUP(B12667,'Poids des runes'!A:B,2,FALSE))</f>
        <v>1.7096078431372548</v>
      </c>
      <c r="F12667">
        <f t="shared" si="197"/>
        <v>1.7096078431372548</v>
      </c>
    </row>
    <row r="12668" spans="1:6" x14ac:dyDescent="0.3">
      <c r="A12668" t="s">
        <v>2028</v>
      </c>
      <c r="B12668" t="s">
        <v>2134</v>
      </c>
      <c r="C12668">
        <v>8</v>
      </c>
      <c r="D12668">
        <v>169</v>
      </c>
      <c r="E12668">
        <f>IF(OR(B12668="vi",B12668="ii",B12668="pod"),(((D12668/100)*(C12668*VLOOKUP(B12668,'Poids des runes'!A:B,2,FALSE)))+1),(((D12668/100)*(C12668*VLOOKUP(B12668,'Poids des runes'!A:B,2,FALSE)))+1)/VLOOKUP(B12668,'Poids des runes'!A:B,2,FALSE))</f>
        <v>13.569999999999999</v>
      </c>
      <c r="F12668">
        <f t="shared" si="197"/>
        <v>13.569999999999999</v>
      </c>
    </row>
    <row r="12669" spans="1:6" x14ac:dyDescent="0.3">
      <c r="A12669" t="s">
        <v>2028</v>
      </c>
      <c r="B12669" t="s">
        <v>2161</v>
      </c>
      <c r="C12669">
        <v>15.5</v>
      </c>
      <c r="D12669">
        <v>169</v>
      </c>
      <c r="E12669">
        <f>IF(OR(B12669="vi",B12669="ii",B12669="pod"),(((D12669/100)*(C12669*VLOOKUP(B12669,'Poids des runes'!A:B,2,FALSE)))+1),(((D12669/100)*(C12669*VLOOKUP(B12669,'Poids des runes'!A:B,2,FALSE)))+1)/VLOOKUP(B12669,'Poids des runes'!A:B,2,FALSE))</f>
        <v>26.528333333333332</v>
      </c>
      <c r="F12669">
        <f t="shared" si="197"/>
        <v>26.528333333333332</v>
      </c>
    </row>
    <row r="12670" spans="1:6" x14ac:dyDescent="0.3">
      <c r="A12670" t="s">
        <v>2029</v>
      </c>
      <c r="B12670" t="s">
        <v>2128</v>
      </c>
      <c r="C12670">
        <v>175.5</v>
      </c>
      <c r="D12670">
        <v>169</v>
      </c>
      <c r="E12670">
        <f>IF(OR(B12670="vi",B12670="ii",B12670="pod"),(((D12670/100)*(C12670*VLOOKUP(B12670,'Poids des runes'!A:B,2,FALSE)))+1),(((D12670/100)*(C12670*VLOOKUP(B12670,'Poids des runes'!A:B,2,FALSE)))+1)/VLOOKUP(B12670,'Poids des runes'!A:B,2,FALSE))</f>
        <v>60.319000000000003</v>
      </c>
      <c r="F12670">
        <f t="shared" si="197"/>
        <v>60.319000000000003</v>
      </c>
    </row>
    <row r="12671" spans="1:6" x14ac:dyDescent="0.3">
      <c r="A12671" t="s">
        <v>2029</v>
      </c>
      <c r="B12671" t="s">
        <v>2126</v>
      </c>
      <c r="C12671">
        <v>35.5</v>
      </c>
      <c r="D12671">
        <v>169</v>
      </c>
      <c r="E12671">
        <f>IF(OR(B12671="vi",B12671="ii",B12671="pod"),(((D12671/100)*(C12671*VLOOKUP(B12671,'Poids des runes'!A:B,2,FALSE)))+1),(((D12671/100)*(C12671*VLOOKUP(B12671,'Poids des runes'!A:B,2,FALSE)))+1)/VLOOKUP(B12671,'Poids des runes'!A:B,2,FALSE))</f>
        <v>60.994999999999997</v>
      </c>
      <c r="F12671">
        <f t="shared" si="197"/>
        <v>60.994999999999997</v>
      </c>
    </row>
    <row r="12672" spans="1:6" x14ac:dyDescent="0.3">
      <c r="A12672" t="s">
        <v>2029</v>
      </c>
      <c r="B12672" t="s">
        <v>2131</v>
      </c>
      <c r="C12672">
        <v>35.5</v>
      </c>
      <c r="D12672">
        <v>169</v>
      </c>
      <c r="E12672">
        <f>IF(OR(B12672="vi",B12672="ii",B12672="pod"),(((D12672/100)*(C12672*VLOOKUP(B12672,'Poids des runes'!A:B,2,FALSE)))+1),(((D12672/100)*(C12672*VLOOKUP(B12672,'Poids des runes'!A:B,2,FALSE)))+1)/VLOOKUP(B12672,'Poids des runes'!A:B,2,FALSE))</f>
        <v>60.994999999999997</v>
      </c>
      <c r="F12672">
        <f t="shared" si="197"/>
        <v>60.994999999999997</v>
      </c>
    </row>
    <row r="12673" spans="1:6" x14ac:dyDescent="0.3">
      <c r="A12673" t="s">
        <v>2029</v>
      </c>
      <c r="B12673" t="s">
        <v>2129</v>
      </c>
      <c r="C12673">
        <v>35.5</v>
      </c>
      <c r="D12673">
        <v>169</v>
      </c>
      <c r="E12673">
        <f>IF(OR(B12673="vi",B12673="ii",B12673="pod"),(((D12673/100)*(C12673*VLOOKUP(B12673,'Poids des runes'!A:B,2,FALSE)))+1),(((D12673/100)*(C12673*VLOOKUP(B12673,'Poids des runes'!A:B,2,FALSE)))+1)/VLOOKUP(B12673,'Poids des runes'!A:B,2,FALSE))</f>
        <v>60.994999999999997</v>
      </c>
      <c r="F12673">
        <f t="shared" si="197"/>
        <v>60.994999999999997</v>
      </c>
    </row>
    <row r="12674" spans="1:6" x14ac:dyDescent="0.3">
      <c r="A12674" t="s">
        <v>2029</v>
      </c>
      <c r="B12674" t="s">
        <v>2151</v>
      </c>
      <c r="C12674">
        <v>2.5</v>
      </c>
      <c r="D12674">
        <v>169</v>
      </c>
      <c r="E12674">
        <f>IF(OR(B12674="vi",B12674="ii",B12674="pod"),(((D12674/100)*(C12674*VLOOKUP(B12674,'Poids des runes'!A:B,2,FALSE)))+1),(((D12674/100)*(C12674*VLOOKUP(B12674,'Poids des runes'!A:B,2,FALSE)))+1)/VLOOKUP(B12674,'Poids des runes'!A:B,2,FALSE))</f>
        <v>4.3250000000000002</v>
      </c>
      <c r="F12674">
        <f t="shared" si="197"/>
        <v>4.3250000000000002</v>
      </c>
    </row>
    <row r="12675" spans="1:6" x14ac:dyDescent="0.3">
      <c r="A12675" t="s">
        <v>2029</v>
      </c>
      <c r="B12675" t="s">
        <v>2155</v>
      </c>
      <c r="C12675">
        <v>1</v>
      </c>
      <c r="D12675">
        <v>169</v>
      </c>
      <c r="E12675">
        <f>IF(OR(B12675="vi",B12675="ii",B12675="pod"),(((D12675/100)*(C12675*VLOOKUP(B12675,'Poids des runes'!A:B,2,FALSE)))+1),(((D12675/100)*(C12675*VLOOKUP(B12675,'Poids des runes'!A:B,2,FALSE)))+1)/VLOOKUP(B12675,'Poids des runes'!A:B,2,FALSE))</f>
        <v>1.7096078431372548</v>
      </c>
      <c r="F12675">
        <f t="shared" ref="F12675:F12738" si="198">E12675</f>
        <v>1.7096078431372548</v>
      </c>
    </row>
    <row r="12676" spans="1:6" x14ac:dyDescent="0.3">
      <c r="A12676" t="s">
        <v>2029</v>
      </c>
      <c r="B12676" t="s">
        <v>2140</v>
      </c>
      <c r="C12676">
        <v>10</v>
      </c>
      <c r="D12676">
        <v>169</v>
      </c>
      <c r="E12676">
        <f>IF(OR(B12676="vi",B12676="ii",B12676="pod"),(((D12676/100)*(C12676*VLOOKUP(B12676,'Poids des runes'!A:B,2,FALSE)))+1),(((D12676/100)*(C12676*VLOOKUP(B12676,'Poids des runes'!A:B,2,FALSE)))+1)/VLOOKUP(B12676,'Poids des runes'!A:B,2,FALSE))</f>
        <v>17.100000000000001</v>
      </c>
      <c r="F12676">
        <f t="shared" si="198"/>
        <v>17.100000000000001</v>
      </c>
    </row>
    <row r="12677" spans="1:6" x14ac:dyDescent="0.3">
      <c r="A12677" t="s">
        <v>2029</v>
      </c>
      <c r="B12677" t="s">
        <v>2133</v>
      </c>
      <c r="C12677">
        <v>10</v>
      </c>
      <c r="D12677">
        <v>169</v>
      </c>
      <c r="E12677">
        <f>IF(OR(B12677="vi",B12677="ii",B12677="pod"),(((D12677/100)*(C12677*VLOOKUP(B12677,'Poids des runes'!A:B,2,FALSE)))+1),(((D12677/100)*(C12677*VLOOKUP(B12677,'Poids des runes'!A:B,2,FALSE)))+1)/VLOOKUP(B12677,'Poids des runes'!A:B,2,FALSE))</f>
        <v>17.100000000000001</v>
      </c>
      <c r="F12677">
        <f t="shared" si="198"/>
        <v>17.100000000000001</v>
      </c>
    </row>
    <row r="12678" spans="1:6" x14ac:dyDescent="0.3">
      <c r="A12678" t="s">
        <v>2029</v>
      </c>
      <c r="B12678" t="s">
        <v>2149</v>
      </c>
      <c r="C12678">
        <v>4.5</v>
      </c>
      <c r="D12678">
        <v>169</v>
      </c>
      <c r="E12678">
        <f>IF(OR(B12678="vi",B12678="ii",B12678="pod"),(((D12678/100)*(C12678*VLOOKUP(B12678,'Poids des runes'!A:B,2,FALSE)))+1),(((D12678/100)*(C12678*VLOOKUP(B12678,'Poids des runes'!A:B,2,FALSE)))+1)/VLOOKUP(B12678,'Poids des runes'!A:B,2,FALSE))</f>
        <v>7.7050000000000001</v>
      </c>
      <c r="F12678">
        <f t="shared" si="198"/>
        <v>7.7050000000000001</v>
      </c>
    </row>
    <row r="12679" spans="1:6" x14ac:dyDescent="0.3">
      <c r="A12679" t="s">
        <v>2029</v>
      </c>
      <c r="B12679" t="s">
        <v>2161</v>
      </c>
      <c r="C12679">
        <v>13</v>
      </c>
      <c r="D12679">
        <v>169</v>
      </c>
      <c r="E12679">
        <f>IF(OR(B12679="vi",B12679="ii",B12679="pod"),(((D12679/100)*(C12679*VLOOKUP(B12679,'Poids des runes'!A:B,2,FALSE)))+1),(((D12679/100)*(C12679*VLOOKUP(B12679,'Poids des runes'!A:B,2,FALSE)))+1)/VLOOKUP(B12679,'Poids des runes'!A:B,2,FALSE))</f>
        <v>22.303333333333331</v>
      </c>
      <c r="F12679">
        <f t="shared" si="198"/>
        <v>22.303333333333331</v>
      </c>
    </row>
    <row r="12680" spans="1:6" x14ac:dyDescent="0.3">
      <c r="A12680" t="s">
        <v>2029</v>
      </c>
      <c r="B12680" t="s">
        <v>2160</v>
      </c>
      <c r="C12680">
        <v>3.5</v>
      </c>
      <c r="D12680">
        <v>169</v>
      </c>
      <c r="E12680">
        <f>IF(OR(B12680="vi",B12680="ii",B12680="pod"),(((D12680/100)*(C12680*VLOOKUP(B12680,'Poids des runes'!A:B,2,FALSE)))+1),(((D12680/100)*(C12680*VLOOKUP(B12680,'Poids des runes'!A:B,2,FALSE)))+1)/VLOOKUP(B12680,'Poids des runes'!A:B,2,FALSE))</f>
        <v>6.0578571428571433</v>
      </c>
      <c r="F12680">
        <f t="shared" si="198"/>
        <v>6.0578571428571433</v>
      </c>
    </row>
    <row r="12681" spans="1:6" x14ac:dyDescent="0.3">
      <c r="A12681" t="s">
        <v>2029</v>
      </c>
      <c r="B12681" t="s">
        <v>2163</v>
      </c>
      <c r="C12681">
        <v>8.5</v>
      </c>
      <c r="D12681">
        <v>169</v>
      </c>
      <c r="E12681">
        <f>IF(OR(B12681="vi",B12681="ii",B12681="pod"),(((D12681/100)*(C12681*VLOOKUP(B12681,'Poids des runes'!A:B,2,FALSE)))+1),(((D12681/100)*(C12681*VLOOKUP(B12681,'Poids des runes'!A:B,2,FALSE)))+1)/VLOOKUP(B12681,'Poids des runes'!A:B,2,FALSE))</f>
        <v>14.865</v>
      </c>
      <c r="F12681">
        <f t="shared" si="198"/>
        <v>14.865</v>
      </c>
    </row>
    <row r="12682" spans="1:6" x14ac:dyDescent="0.3">
      <c r="A12682" t="s">
        <v>2029</v>
      </c>
      <c r="B12682" t="s">
        <v>2136</v>
      </c>
      <c r="C12682">
        <v>8.5</v>
      </c>
      <c r="D12682">
        <v>169</v>
      </c>
      <c r="E12682">
        <f>IF(OR(B12682="vi",B12682="ii",B12682="pod"),(((D12682/100)*(C12682*VLOOKUP(B12682,'Poids des runes'!A:B,2,FALSE)))+1),(((D12682/100)*(C12682*VLOOKUP(B12682,'Poids des runes'!A:B,2,FALSE)))+1)/VLOOKUP(B12682,'Poids des runes'!A:B,2,FALSE))</f>
        <v>14.865</v>
      </c>
      <c r="F12682">
        <f t="shared" si="198"/>
        <v>14.865</v>
      </c>
    </row>
    <row r="12683" spans="1:6" x14ac:dyDescent="0.3">
      <c r="A12683" t="s">
        <v>2030</v>
      </c>
      <c r="B12683" t="s">
        <v>2128</v>
      </c>
      <c r="C12683">
        <v>225.5</v>
      </c>
      <c r="D12683">
        <v>170</v>
      </c>
      <c r="E12683">
        <f>IF(OR(B12683="vi",B12683="ii",B12683="pod"),(((D12683/100)*(C12683*VLOOKUP(B12683,'Poids des runes'!A:B,2,FALSE)))+1),(((D12683/100)*(C12683*VLOOKUP(B12683,'Poids des runes'!A:B,2,FALSE)))+1)/VLOOKUP(B12683,'Poids des runes'!A:B,2,FALSE))</f>
        <v>77.67</v>
      </c>
      <c r="F12683">
        <f t="shared" si="198"/>
        <v>77.67</v>
      </c>
    </row>
    <row r="12684" spans="1:6" x14ac:dyDescent="0.3">
      <c r="A12684" t="s">
        <v>2030</v>
      </c>
      <c r="B12684" t="s">
        <v>2130</v>
      </c>
      <c r="C12684">
        <v>50.5</v>
      </c>
      <c r="D12684">
        <v>170</v>
      </c>
      <c r="E12684">
        <f>IF(OR(B12684="vi",B12684="ii",B12684="pod"),(((D12684/100)*(C12684*VLOOKUP(B12684,'Poids des runes'!A:B,2,FALSE)))+1),(((D12684/100)*(C12684*VLOOKUP(B12684,'Poids des runes'!A:B,2,FALSE)))+1)/VLOOKUP(B12684,'Poids des runes'!A:B,2,FALSE))</f>
        <v>86.85</v>
      </c>
      <c r="F12684">
        <f t="shared" si="198"/>
        <v>86.85</v>
      </c>
    </row>
    <row r="12685" spans="1:6" x14ac:dyDescent="0.3">
      <c r="A12685" t="s">
        <v>2030</v>
      </c>
      <c r="B12685" t="s">
        <v>2127</v>
      </c>
      <c r="C12685">
        <v>50.5</v>
      </c>
      <c r="D12685">
        <v>170</v>
      </c>
      <c r="E12685">
        <f>IF(OR(B12685="vi",B12685="ii",B12685="pod"),(((D12685/100)*(C12685*VLOOKUP(B12685,'Poids des runes'!A:B,2,FALSE)))+1),(((D12685/100)*(C12685*VLOOKUP(B12685,'Poids des runes'!A:B,2,FALSE)))+1)/VLOOKUP(B12685,'Poids des runes'!A:B,2,FALSE))</f>
        <v>86.85</v>
      </c>
      <c r="F12685">
        <f t="shared" si="198"/>
        <v>86.85</v>
      </c>
    </row>
    <row r="12686" spans="1:6" x14ac:dyDescent="0.3">
      <c r="A12686" t="s">
        <v>2030</v>
      </c>
      <c r="B12686" t="s">
        <v>2129</v>
      </c>
      <c r="C12686">
        <v>35.5</v>
      </c>
      <c r="D12686">
        <v>170</v>
      </c>
      <c r="E12686">
        <f>IF(OR(B12686="vi",B12686="ii",B12686="pod"),(((D12686/100)*(C12686*VLOOKUP(B12686,'Poids des runes'!A:B,2,FALSE)))+1),(((D12686/100)*(C12686*VLOOKUP(B12686,'Poids des runes'!A:B,2,FALSE)))+1)/VLOOKUP(B12686,'Poids des runes'!A:B,2,FALSE))</f>
        <v>61.35</v>
      </c>
      <c r="F12686">
        <f t="shared" si="198"/>
        <v>61.35</v>
      </c>
    </row>
    <row r="12687" spans="1:6" x14ac:dyDescent="0.3">
      <c r="A12687" t="s">
        <v>2030</v>
      </c>
      <c r="B12687" t="s">
        <v>2155</v>
      </c>
      <c r="C12687">
        <v>1</v>
      </c>
      <c r="D12687">
        <v>170</v>
      </c>
      <c r="E12687">
        <f>IF(OR(B12687="vi",B12687="ii",B12687="pod"),(((D12687/100)*(C12687*VLOOKUP(B12687,'Poids des runes'!A:B,2,FALSE)))+1),(((D12687/100)*(C12687*VLOOKUP(B12687,'Poids des runes'!A:B,2,FALSE)))+1)/VLOOKUP(B12687,'Poids des runes'!A:B,2,FALSE))</f>
        <v>1.719607843137255</v>
      </c>
      <c r="F12687">
        <f t="shared" si="198"/>
        <v>1.719607843137255</v>
      </c>
    </row>
    <row r="12688" spans="1:6" x14ac:dyDescent="0.3">
      <c r="A12688" t="s">
        <v>2030</v>
      </c>
      <c r="B12688" t="s">
        <v>2143</v>
      </c>
      <c r="C12688">
        <v>7</v>
      </c>
      <c r="D12688">
        <v>170</v>
      </c>
      <c r="E12688">
        <f>IF(OR(B12688="vi",B12688="ii",B12688="pod"),(((D12688/100)*(C12688*VLOOKUP(B12688,'Poids des runes'!A:B,2,FALSE)))+1),(((D12688/100)*(C12688*VLOOKUP(B12688,'Poids des runes'!A:B,2,FALSE)))+1)/VLOOKUP(B12688,'Poids des runes'!A:B,2,FALSE))</f>
        <v>12.1</v>
      </c>
      <c r="F12688">
        <f t="shared" si="198"/>
        <v>12.1</v>
      </c>
    </row>
    <row r="12689" spans="1:6" x14ac:dyDescent="0.3">
      <c r="A12689" t="s">
        <v>2030</v>
      </c>
      <c r="B12689" t="s">
        <v>2140</v>
      </c>
      <c r="C12689">
        <v>7</v>
      </c>
      <c r="D12689">
        <v>170</v>
      </c>
      <c r="E12689">
        <f>IF(OR(B12689="vi",B12689="ii",B12689="pod"),(((D12689/100)*(C12689*VLOOKUP(B12689,'Poids des runes'!A:B,2,FALSE)))+1),(((D12689/100)*(C12689*VLOOKUP(B12689,'Poids des runes'!A:B,2,FALSE)))+1)/VLOOKUP(B12689,'Poids des runes'!A:B,2,FALSE))</f>
        <v>12.1</v>
      </c>
      <c r="F12689">
        <f t="shared" si="198"/>
        <v>12.1</v>
      </c>
    </row>
    <row r="12690" spans="1:6" x14ac:dyDescent="0.3">
      <c r="A12690" t="s">
        <v>2030</v>
      </c>
      <c r="B12690" t="s">
        <v>2153</v>
      </c>
      <c r="C12690">
        <v>7</v>
      </c>
      <c r="D12690">
        <v>170</v>
      </c>
      <c r="E12690">
        <f>IF(OR(B12690="vi",B12690="ii",B12690="pod"),(((D12690/100)*(C12690*VLOOKUP(B12690,'Poids des runes'!A:B,2,FALSE)))+1),(((D12690/100)*(C12690*VLOOKUP(B12690,'Poids des runes'!A:B,2,FALSE)))+1)/VLOOKUP(B12690,'Poids des runes'!A:B,2,FALSE))</f>
        <v>12.1</v>
      </c>
      <c r="F12690">
        <f t="shared" si="198"/>
        <v>12.1</v>
      </c>
    </row>
    <row r="12691" spans="1:6" x14ac:dyDescent="0.3">
      <c r="A12691" t="s">
        <v>2030</v>
      </c>
      <c r="B12691" t="s">
        <v>2161</v>
      </c>
      <c r="C12691">
        <v>15.5</v>
      </c>
      <c r="D12691">
        <v>170</v>
      </c>
      <c r="E12691">
        <f>IF(OR(B12691="vi",B12691="ii",B12691="pod"),(((D12691/100)*(C12691*VLOOKUP(B12691,'Poids des runes'!A:B,2,FALSE)))+1),(((D12691/100)*(C12691*VLOOKUP(B12691,'Poids des runes'!A:B,2,FALSE)))+1)/VLOOKUP(B12691,'Poids des runes'!A:B,2,FALSE))</f>
        <v>26.683333333333334</v>
      </c>
      <c r="F12691">
        <f t="shared" si="198"/>
        <v>26.683333333333334</v>
      </c>
    </row>
    <row r="12692" spans="1:6" x14ac:dyDescent="0.3">
      <c r="A12692" t="s">
        <v>2030</v>
      </c>
      <c r="B12692" t="s">
        <v>2159</v>
      </c>
      <c r="C12692">
        <v>4.5</v>
      </c>
      <c r="D12692">
        <v>170</v>
      </c>
      <c r="E12692">
        <f>IF(OR(B12692="vi",B12692="ii",B12692="pod"),(((D12692/100)*(C12692*VLOOKUP(B12692,'Poids des runes'!A:B,2,FALSE)))+1),(((D12692/100)*(C12692*VLOOKUP(B12692,'Poids des runes'!A:B,2,FALSE)))+1)/VLOOKUP(B12692,'Poids des runes'!A:B,2,FALSE))</f>
        <v>7.7928571428571427</v>
      </c>
      <c r="F12692">
        <f t="shared" si="198"/>
        <v>7.7928571428571427</v>
      </c>
    </row>
    <row r="12693" spans="1:6" x14ac:dyDescent="0.3">
      <c r="A12693" t="s">
        <v>2030</v>
      </c>
      <c r="B12693" t="s">
        <v>2142</v>
      </c>
      <c r="C12693">
        <v>8.5</v>
      </c>
      <c r="D12693">
        <v>170</v>
      </c>
      <c r="E12693">
        <f>IF(OR(B12693="vi",B12693="ii",B12693="pod"),(((D12693/100)*(C12693*VLOOKUP(B12693,'Poids des runes'!A:B,2,FALSE)))+1),(((D12693/100)*(C12693*VLOOKUP(B12693,'Poids des runes'!A:B,2,FALSE)))+1)/VLOOKUP(B12693,'Poids des runes'!A:B,2,FALSE))</f>
        <v>14.65</v>
      </c>
      <c r="F12693">
        <f t="shared" si="198"/>
        <v>14.65</v>
      </c>
    </row>
    <row r="12694" spans="1:6" x14ac:dyDescent="0.3">
      <c r="A12694" t="s">
        <v>2030</v>
      </c>
      <c r="B12694" t="s">
        <v>2135</v>
      </c>
      <c r="C12694">
        <v>6</v>
      </c>
      <c r="D12694">
        <v>170</v>
      </c>
      <c r="E12694">
        <f>IF(OR(B12694="vi",B12694="ii",B12694="pod"),(((D12694/100)*(C12694*VLOOKUP(B12694,'Poids des runes'!A:B,2,FALSE)))+1),(((D12694/100)*(C12694*VLOOKUP(B12694,'Poids des runes'!A:B,2,FALSE)))+1)/VLOOKUP(B12694,'Poids des runes'!A:B,2,FALSE))</f>
        <v>10.366666666666665</v>
      </c>
      <c r="F12694">
        <f t="shared" si="198"/>
        <v>10.366666666666665</v>
      </c>
    </row>
    <row r="12695" spans="1:6" x14ac:dyDescent="0.3">
      <c r="A12695" t="s">
        <v>2030</v>
      </c>
      <c r="B12695" t="s">
        <v>2144</v>
      </c>
      <c r="C12695">
        <v>6</v>
      </c>
      <c r="D12695">
        <v>170</v>
      </c>
      <c r="E12695">
        <f>IF(OR(B12695="vi",B12695="ii",B12695="pod"),(((D12695/100)*(C12695*VLOOKUP(B12695,'Poids des runes'!A:B,2,FALSE)))+1),(((D12695/100)*(C12695*VLOOKUP(B12695,'Poids des runes'!A:B,2,FALSE)))+1)/VLOOKUP(B12695,'Poids des runes'!A:B,2,FALSE))</f>
        <v>10.7</v>
      </c>
      <c r="F12695">
        <f t="shared" si="198"/>
        <v>10.7</v>
      </c>
    </row>
    <row r="12696" spans="1:6" x14ac:dyDescent="0.3">
      <c r="A12696" t="s">
        <v>2031</v>
      </c>
      <c r="B12696" t="s">
        <v>2128</v>
      </c>
      <c r="C12696">
        <v>175.5</v>
      </c>
      <c r="D12696">
        <v>170</v>
      </c>
      <c r="E12696">
        <f>IF(OR(B12696="vi",B12696="ii",B12696="pod"),(((D12696/100)*(C12696*VLOOKUP(B12696,'Poids des runes'!A:B,2,FALSE)))+1),(((D12696/100)*(C12696*VLOOKUP(B12696,'Poids des runes'!A:B,2,FALSE)))+1)/VLOOKUP(B12696,'Poids des runes'!A:B,2,FALSE))</f>
        <v>60.67</v>
      </c>
      <c r="F12696">
        <f t="shared" si="198"/>
        <v>60.67</v>
      </c>
    </row>
    <row r="12697" spans="1:6" x14ac:dyDescent="0.3">
      <c r="A12697" t="s">
        <v>2031</v>
      </c>
      <c r="B12697" t="s">
        <v>2131</v>
      </c>
      <c r="C12697">
        <v>40.5</v>
      </c>
      <c r="D12697">
        <v>170</v>
      </c>
      <c r="E12697">
        <f>IF(OR(B12697="vi",B12697="ii",B12697="pod"),(((D12697/100)*(C12697*VLOOKUP(B12697,'Poids des runes'!A:B,2,FALSE)))+1),(((D12697/100)*(C12697*VLOOKUP(B12697,'Poids des runes'!A:B,2,FALSE)))+1)/VLOOKUP(B12697,'Poids des runes'!A:B,2,FALSE))</f>
        <v>69.849999999999994</v>
      </c>
      <c r="F12697">
        <f t="shared" si="198"/>
        <v>69.849999999999994</v>
      </c>
    </row>
    <row r="12698" spans="1:6" x14ac:dyDescent="0.3">
      <c r="A12698" t="s">
        <v>2031</v>
      </c>
      <c r="B12698" t="s">
        <v>2127</v>
      </c>
      <c r="C12698">
        <v>40.5</v>
      </c>
      <c r="D12698">
        <v>170</v>
      </c>
      <c r="E12698">
        <f>IF(OR(B12698="vi",B12698="ii",B12698="pod"),(((D12698/100)*(C12698*VLOOKUP(B12698,'Poids des runes'!A:B,2,FALSE)))+1),(((D12698/100)*(C12698*VLOOKUP(B12698,'Poids des runes'!A:B,2,FALSE)))+1)/VLOOKUP(B12698,'Poids des runes'!A:B,2,FALSE))</f>
        <v>69.849999999999994</v>
      </c>
      <c r="F12698">
        <f t="shared" si="198"/>
        <v>69.849999999999994</v>
      </c>
    </row>
    <row r="12699" spans="1:6" x14ac:dyDescent="0.3">
      <c r="A12699" t="s">
        <v>2031</v>
      </c>
      <c r="B12699" t="s">
        <v>2151</v>
      </c>
      <c r="C12699">
        <v>4</v>
      </c>
      <c r="D12699">
        <v>170</v>
      </c>
      <c r="E12699">
        <f>IF(OR(B12699="vi",B12699="ii",B12699="pod"),(((D12699/100)*(C12699*VLOOKUP(B12699,'Poids des runes'!A:B,2,FALSE)))+1),(((D12699/100)*(C12699*VLOOKUP(B12699,'Poids des runes'!A:B,2,FALSE)))+1)/VLOOKUP(B12699,'Poids des runes'!A:B,2,FALSE))</f>
        <v>6.9</v>
      </c>
      <c r="F12699">
        <f t="shared" si="198"/>
        <v>6.9</v>
      </c>
    </row>
    <row r="12700" spans="1:6" x14ac:dyDescent="0.3">
      <c r="A12700" t="s">
        <v>2031</v>
      </c>
      <c r="B12700" t="s">
        <v>2155</v>
      </c>
      <c r="C12700">
        <v>1</v>
      </c>
      <c r="D12700">
        <v>170</v>
      </c>
      <c r="E12700">
        <f>IF(OR(B12700="vi",B12700="ii",B12700="pod"),(((D12700/100)*(C12700*VLOOKUP(B12700,'Poids des runes'!A:B,2,FALSE)))+1),(((D12700/100)*(C12700*VLOOKUP(B12700,'Poids des runes'!A:B,2,FALSE)))+1)/VLOOKUP(B12700,'Poids des runes'!A:B,2,FALSE))</f>
        <v>1.719607843137255</v>
      </c>
      <c r="F12700">
        <f t="shared" si="198"/>
        <v>1.719607843137255</v>
      </c>
    </row>
    <row r="12701" spans="1:6" x14ac:dyDescent="0.3">
      <c r="A12701" t="s">
        <v>2031</v>
      </c>
      <c r="B12701" t="s">
        <v>2133</v>
      </c>
      <c r="C12701">
        <v>8</v>
      </c>
      <c r="D12701">
        <v>170</v>
      </c>
      <c r="E12701">
        <f>IF(OR(B12701="vi",B12701="ii",B12701="pod"),(((D12701/100)*(C12701*VLOOKUP(B12701,'Poids des runes'!A:B,2,FALSE)))+1),(((D12701/100)*(C12701*VLOOKUP(B12701,'Poids des runes'!A:B,2,FALSE)))+1)/VLOOKUP(B12701,'Poids des runes'!A:B,2,FALSE))</f>
        <v>13.8</v>
      </c>
      <c r="F12701">
        <f t="shared" si="198"/>
        <v>13.8</v>
      </c>
    </row>
    <row r="12702" spans="1:6" x14ac:dyDescent="0.3">
      <c r="A12702" t="s">
        <v>2031</v>
      </c>
      <c r="B12702" t="s">
        <v>2153</v>
      </c>
      <c r="C12702">
        <v>8</v>
      </c>
      <c r="D12702">
        <v>170</v>
      </c>
      <c r="E12702">
        <f>IF(OR(B12702="vi",B12702="ii",B12702="pod"),(((D12702/100)*(C12702*VLOOKUP(B12702,'Poids des runes'!A:B,2,FALSE)))+1),(((D12702/100)*(C12702*VLOOKUP(B12702,'Poids des runes'!A:B,2,FALSE)))+1)/VLOOKUP(B12702,'Poids des runes'!A:B,2,FALSE))</f>
        <v>13.8</v>
      </c>
      <c r="F12702">
        <f t="shared" si="198"/>
        <v>13.8</v>
      </c>
    </row>
    <row r="12703" spans="1:6" x14ac:dyDescent="0.3">
      <c r="A12703" t="s">
        <v>2031</v>
      </c>
      <c r="B12703" t="s">
        <v>2165</v>
      </c>
      <c r="C12703">
        <v>5</v>
      </c>
      <c r="D12703">
        <v>170</v>
      </c>
      <c r="E12703">
        <f>IF(OR(B12703="vi",B12703="ii",B12703="pod"),(((D12703/100)*(C12703*VLOOKUP(B12703,'Poids des runes'!A:B,2,FALSE)))+1),(((D12703/100)*(C12703*VLOOKUP(B12703,'Poids des runes'!A:B,2,FALSE)))+1)/VLOOKUP(B12703,'Poids des runes'!A:B,2,FALSE))</f>
        <v>8.6428571428571423</v>
      </c>
      <c r="F12703">
        <f t="shared" si="198"/>
        <v>8.6428571428571423</v>
      </c>
    </row>
    <row r="12704" spans="1:6" x14ac:dyDescent="0.3">
      <c r="A12704" t="s">
        <v>2031</v>
      </c>
      <c r="B12704" t="s">
        <v>2156</v>
      </c>
      <c r="C12704">
        <v>5.5</v>
      </c>
      <c r="D12704">
        <v>170</v>
      </c>
      <c r="E12704">
        <f>IF(OR(B12704="vi",B12704="ii",B12704="pod"),(((D12704/100)*(C12704*VLOOKUP(B12704,'Poids des runes'!A:B,2,FALSE)))+1),(((D12704/100)*(C12704*VLOOKUP(B12704,'Poids des runes'!A:B,2,FALSE)))+1)/VLOOKUP(B12704,'Poids des runes'!A:B,2,FALSE))</f>
        <v>9.5166666666666675</v>
      </c>
      <c r="F12704">
        <f t="shared" si="198"/>
        <v>9.5166666666666675</v>
      </c>
    </row>
    <row r="12705" spans="1:6" x14ac:dyDescent="0.3">
      <c r="A12705" t="s">
        <v>2031</v>
      </c>
      <c r="B12705" t="s">
        <v>2147</v>
      </c>
      <c r="C12705">
        <v>5.5</v>
      </c>
      <c r="D12705">
        <v>170</v>
      </c>
      <c r="E12705">
        <f>IF(OR(B12705="vi",B12705="ii",B12705="pod"),(((D12705/100)*(C12705*VLOOKUP(B12705,'Poids des runes'!A:B,2,FALSE)))+1),(((D12705/100)*(C12705*VLOOKUP(B12705,'Poids des runes'!A:B,2,FALSE)))+1)/VLOOKUP(B12705,'Poids des runes'!A:B,2,FALSE))</f>
        <v>9.5166666666666675</v>
      </c>
      <c r="F12705">
        <f t="shared" si="198"/>
        <v>9.5166666666666675</v>
      </c>
    </row>
    <row r="12706" spans="1:6" x14ac:dyDescent="0.3">
      <c r="A12706" t="s">
        <v>2031</v>
      </c>
      <c r="B12706" t="s">
        <v>2136</v>
      </c>
      <c r="C12706">
        <v>8.5</v>
      </c>
      <c r="D12706">
        <v>170</v>
      </c>
      <c r="E12706">
        <f>IF(OR(B12706="vi",B12706="ii",B12706="pod"),(((D12706/100)*(C12706*VLOOKUP(B12706,'Poids des runes'!A:B,2,FALSE)))+1),(((D12706/100)*(C12706*VLOOKUP(B12706,'Poids des runes'!A:B,2,FALSE)))+1)/VLOOKUP(B12706,'Poids des runes'!A:B,2,FALSE))</f>
        <v>14.95</v>
      </c>
      <c r="F12706">
        <f t="shared" si="198"/>
        <v>14.95</v>
      </c>
    </row>
    <row r="12707" spans="1:6" x14ac:dyDescent="0.3">
      <c r="A12707" t="s">
        <v>2031</v>
      </c>
      <c r="B12707" t="s">
        <v>2144</v>
      </c>
      <c r="C12707">
        <v>8.5</v>
      </c>
      <c r="D12707">
        <v>170</v>
      </c>
      <c r="E12707">
        <f>IF(OR(B12707="vi",B12707="ii",B12707="pod"),(((D12707/100)*(C12707*VLOOKUP(B12707,'Poids des runes'!A:B,2,FALSE)))+1),(((D12707/100)*(C12707*VLOOKUP(B12707,'Poids des runes'!A:B,2,FALSE)))+1)/VLOOKUP(B12707,'Poids des runes'!A:B,2,FALSE))</f>
        <v>14.95</v>
      </c>
      <c r="F12707">
        <f t="shared" si="198"/>
        <v>14.95</v>
      </c>
    </row>
    <row r="12708" spans="1:6" x14ac:dyDescent="0.3">
      <c r="A12708" t="s">
        <v>2032</v>
      </c>
      <c r="B12708" t="s">
        <v>2128</v>
      </c>
      <c r="C12708">
        <v>175.5</v>
      </c>
      <c r="D12708">
        <v>171</v>
      </c>
      <c r="E12708">
        <f>IF(OR(B12708="vi",B12708="ii",B12708="pod"),(((D12708/100)*(C12708*VLOOKUP(B12708,'Poids des runes'!A:B,2,FALSE)))+1),(((D12708/100)*(C12708*VLOOKUP(B12708,'Poids des runes'!A:B,2,FALSE)))+1)/VLOOKUP(B12708,'Poids des runes'!A:B,2,FALSE))</f>
        <v>61.021000000000001</v>
      </c>
      <c r="F12708">
        <f t="shared" si="198"/>
        <v>61.021000000000001</v>
      </c>
    </row>
    <row r="12709" spans="1:6" x14ac:dyDescent="0.3">
      <c r="A12709" t="s">
        <v>2032</v>
      </c>
      <c r="B12709" t="s">
        <v>2130</v>
      </c>
      <c r="C12709">
        <v>40.5</v>
      </c>
      <c r="D12709">
        <v>171</v>
      </c>
      <c r="E12709">
        <f>IF(OR(B12709="vi",B12709="ii",B12709="pod"),(((D12709/100)*(C12709*VLOOKUP(B12709,'Poids des runes'!A:B,2,FALSE)))+1),(((D12709/100)*(C12709*VLOOKUP(B12709,'Poids des runes'!A:B,2,FALSE)))+1)/VLOOKUP(B12709,'Poids des runes'!A:B,2,FALSE))</f>
        <v>70.254999999999995</v>
      </c>
      <c r="F12709">
        <f t="shared" si="198"/>
        <v>70.254999999999995</v>
      </c>
    </row>
    <row r="12710" spans="1:6" x14ac:dyDescent="0.3">
      <c r="A12710" t="s">
        <v>2032</v>
      </c>
      <c r="B12710" t="s">
        <v>2127</v>
      </c>
      <c r="C12710">
        <v>40.5</v>
      </c>
      <c r="D12710">
        <v>171</v>
      </c>
      <c r="E12710">
        <f>IF(OR(B12710="vi",B12710="ii",B12710="pod"),(((D12710/100)*(C12710*VLOOKUP(B12710,'Poids des runes'!A:B,2,FALSE)))+1),(((D12710/100)*(C12710*VLOOKUP(B12710,'Poids des runes'!A:B,2,FALSE)))+1)/VLOOKUP(B12710,'Poids des runes'!A:B,2,FALSE))</f>
        <v>70.254999999999995</v>
      </c>
      <c r="F12710">
        <f t="shared" si="198"/>
        <v>70.254999999999995</v>
      </c>
    </row>
    <row r="12711" spans="1:6" x14ac:dyDescent="0.3">
      <c r="A12711" t="s">
        <v>2032</v>
      </c>
      <c r="B12711" t="s">
        <v>2151</v>
      </c>
      <c r="C12711">
        <v>3.5</v>
      </c>
      <c r="D12711">
        <v>171</v>
      </c>
      <c r="E12711">
        <f>IF(OR(B12711="vi",B12711="ii",B12711="pod"),(((D12711/100)*(C12711*VLOOKUP(B12711,'Poids des runes'!A:B,2,FALSE)))+1),(((D12711/100)*(C12711*VLOOKUP(B12711,'Poids des runes'!A:B,2,FALSE)))+1)/VLOOKUP(B12711,'Poids des runes'!A:B,2,FALSE))</f>
        <v>6.085</v>
      </c>
      <c r="F12711">
        <f t="shared" si="198"/>
        <v>6.085</v>
      </c>
    </row>
    <row r="12712" spans="1:6" x14ac:dyDescent="0.3">
      <c r="A12712" t="s">
        <v>2032</v>
      </c>
      <c r="B12712" t="s">
        <v>2134</v>
      </c>
      <c r="C12712">
        <v>8</v>
      </c>
      <c r="D12712">
        <v>171</v>
      </c>
      <c r="E12712">
        <f>IF(OR(B12712="vi",B12712="ii",B12712="pod"),(((D12712/100)*(C12712*VLOOKUP(B12712,'Poids des runes'!A:B,2,FALSE)))+1),(((D12712/100)*(C12712*VLOOKUP(B12712,'Poids des runes'!A:B,2,FALSE)))+1)/VLOOKUP(B12712,'Poids des runes'!A:B,2,FALSE))</f>
        <v>13.73</v>
      </c>
      <c r="F12712">
        <f t="shared" si="198"/>
        <v>13.73</v>
      </c>
    </row>
    <row r="12713" spans="1:6" x14ac:dyDescent="0.3">
      <c r="A12713" t="s">
        <v>2032</v>
      </c>
      <c r="B12713" t="s">
        <v>2161</v>
      </c>
      <c r="C12713">
        <v>8</v>
      </c>
      <c r="D12713">
        <v>171</v>
      </c>
      <c r="E12713">
        <f>IF(OR(B12713="vi",B12713="ii",B12713="pod"),(((D12713/100)*(C12713*VLOOKUP(B12713,'Poids des runes'!A:B,2,FALSE)))+1),(((D12713/100)*(C12713*VLOOKUP(B12713,'Poids des runes'!A:B,2,FALSE)))+1)/VLOOKUP(B12713,'Poids des runes'!A:B,2,FALSE))</f>
        <v>14.013333333333334</v>
      </c>
      <c r="F12713">
        <f t="shared" si="198"/>
        <v>14.013333333333334</v>
      </c>
    </row>
    <row r="12714" spans="1:6" x14ac:dyDescent="0.3">
      <c r="A12714" t="s">
        <v>2032</v>
      </c>
      <c r="B12714" t="s">
        <v>2132</v>
      </c>
      <c r="C12714">
        <v>300.5</v>
      </c>
      <c r="D12714">
        <v>171</v>
      </c>
      <c r="E12714">
        <f>IF(OR(B12714="vi",B12714="ii",B12714="pod"),(((D12714/100)*(C12714*VLOOKUP(B12714,'Poids des runes'!A:B,2,FALSE)))+1),(((D12714/100)*(C12714*VLOOKUP(B12714,'Poids des runes'!A:B,2,FALSE)))+1)/VLOOKUP(B12714,'Poids des runes'!A:B,2,FALSE))</f>
        <v>52.3855</v>
      </c>
      <c r="F12714">
        <f t="shared" si="198"/>
        <v>52.3855</v>
      </c>
    </row>
    <row r="12715" spans="1:6" x14ac:dyDescent="0.3">
      <c r="A12715" t="s">
        <v>2032</v>
      </c>
      <c r="B12715" t="s">
        <v>2138</v>
      </c>
      <c r="C12715">
        <v>5</v>
      </c>
      <c r="D12715">
        <v>171</v>
      </c>
      <c r="E12715">
        <f>IF(OR(B12715="vi",B12715="ii",B12715="pod"),(((D12715/100)*(C12715*VLOOKUP(B12715,'Poids des runes'!A:B,2,FALSE)))+1),(((D12715/100)*(C12715*VLOOKUP(B12715,'Poids des runes'!A:B,2,FALSE)))+1)/VLOOKUP(B12715,'Poids des runes'!A:B,2,FALSE))</f>
        <v>8.8000000000000007</v>
      </c>
      <c r="F12715">
        <f t="shared" si="198"/>
        <v>8.8000000000000007</v>
      </c>
    </row>
    <row r="12716" spans="1:6" x14ac:dyDescent="0.3">
      <c r="A12716" t="s">
        <v>2032</v>
      </c>
      <c r="B12716" t="s">
        <v>2165</v>
      </c>
      <c r="C12716">
        <v>4.5</v>
      </c>
      <c r="D12716">
        <v>171</v>
      </c>
      <c r="E12716">
        <f>IF(OR(B12716="vi",B12716="ii",B12716="pod"),(((D12716/100)*(C12716*VLOOKUP(B12716,'Poids des runes'!A:B,2,FALSE)))+1),(((D12716/100)*(C12716*VLOOKUP(B12716,'Poids des runes'!A:B,2,FALSE)))+1)/VLOOKUP(B12716,'Poids des runes'!A:B,2,FALSE))</f>
        <v>7.8378571428571435</v>
      </c>
      <c r="F12716">
        <f t="shared" si="198"/>
        <v>7.8378571428571435</v>
      </c>
    </row>
    <row r="12717" spans="1:6" x14ac:dyDescent="0.3">
      <c r="A12717" t="s">
        <v>2032</v>
      </c>
      <c r="B12717" t="s">
        <v>2163</v>
      </c>
      <c r="C12717">
        <v>8.5</v>
      </c>
      <c r="D12717">
        <v>171</v>
      </c>
      <c r="E12717">
        <f>IF(OR(B12717="vi",B12717="ii",B12717="pod"),(((D12717/100)*(C12717*VLOOKUP(B12717,'Poids des runes'!A:B,2,FALSE)))+1),(((D12717/100)*(C12717*VLOOKUP(B12717,'Poids des runes'!A:B,2,FALSE)))+1)/VLOOKUP(B12717,'Poids des runes'!A:B,2,FALSE))</f>
        <v>15.035</v>
      </c>
      <c r="F12717">
        <f t="shared" si="198"/>
        <v>15.035</v>
      </c>
    </row>
    <row r="12718" spans="1:6" x14ac:dyDescent="0.3">
      <c r="A12718" t="s">
        <v>2032</v>
      </c>
      <c r="B12718" t="s">
        <v>2148</v>
      </c>
      <c r="C12718">
        <v>8</v>
      </c>
      <c r="D12718">
        <v>171</v>
      </c>
      <c r="E12718">
        <f>IF(OR(B12718="vi",B12718="ii",B12718="pod"),(((D12718/100)*(C12718*VLOOKUP(B12718,'Poids des runes'!A:B,2,FALSE)))+1),(((D12718/100)*(C12718*VLOOKUP(B12718,'Poids des runes'!A:B,2,FALSE)))+1)/VLOOKUP(B12718,'Poids des runes'!A:B,2,FALSE))</f>
        <v>13.846666666666666</v>
      </c>
      <c r="F12718">
        <f t="shared" si="198"/>
        <v>13.846666666666666</v>
      </c>
    </row>
    <row r="12719" spans="1:6" x14ac:dyDescent="0.3">
      <c r="A12719" t="s">
        <v>2033</v>
      </c>
      <c r="B12719" t="s">
        <v>2128</v>
      </c>
      <c r="C12719">
        <v>200.5</v>
      </c>
      <c r="D12719">
        <v>172</v>
      </c>
      <c r="E12719">
        <f>IF(OR(B12719="vi",B12719="ii",B12719="pod"),(((D12719/100)*(C12719*VLOOKUP(B12719,'Poids des runes'!A:B,2,FALSE)))+1),(((D12719/100)*(C12719*VLOOKUP(B12719,'Poids des runes'!A:B,2,FALSE)))+1)/VLOOKUP(B12719,'Poids des runes'!A:B,2,FALSE))</f>
        <v>69.972000000000008</v>
      </c>
      <c r="F12719">
        <f t="shared" si="198"/>
        <v>69.972000000000008</v>
      </c>
    </row>
    <row r="12720" spans="1:6" x14ac:dyDescent="0.3">
      <c r="A12720" t="s">
        <v>2033</v>
      </c>
      <c r="B12720" t="s">
        <v>2126</v>
      </c>
      <c r="C12720">
        <v>40.5</v>
      </c>
      <c r="D12720">
        <v>172</v>
      </c>
      <c r="E12720">
        <f>IF(OR(B12720="vi",B12720="ii",B12720="pod"),(((D12720/100)*(C12720*VLOOKUP(B12720,'Poids des runes'!A:B,2,FALSE)))+1),(((D12720/100)*(C12720*VLOOKUP(B12720,'Poids des runes'!A:B,2,FALSE)))+1)/VLOOKUP(B12720,'Poids des runes'!A:B,2,FALSE))</f>
        <v>70.66</v>
      </c>
      <c r="F12720">
        <f t="shared" si="198"/>
        <v>70.66</v>
      </c>
    </row>
    <row r="12721" spans="1:6" x14ac:dyDescent="0.3">
      <c r="A12721" t="s">
        <v>2033</v>
      </c>
      <c r="B12721" t="s">
        <v>2131</v>
      </c>
      <c r="C12721">
        <v>40.5</v>
      </c>
      <c r="D12721">
        <v>172</v>
      </c>
      <c r="E12721">
        <f>IF(OR(B12721="vi",B12721="ii",B12721="pod"),(((D12721/100)*(C12721*VLOOKUP(B12721,'Poids des runes'!A:B,2,FALSE)))+1),(((D12721/100)*(C12721*VLOOKUP(B12721,'Poids des runes'!A:B,2,FALSE)))+1)/VLOOKUP(B12721,'Poids des runes'!A:B,2,FALSE))</f>
        <v>70.66</v>
      </c>
      <c r="F12721">
        <f t="shared" si="198"/>
        <v>70.66</v>
      </c>
    </row>
    <row r="12722" spans="1:6" x14ac:dyDescent="0.3">
      <c r="A12722" t="s">
        <v>2033</v>
      </c>
      <c r="B12722" t="s">
        <v>2129</v>
      </c>
      <c r="C12722">
        <v>40.5</v>
      </c>
      <c r="D12722">
        <v>172</v>
      </c>
      <c r="E12722">
        <f>IF(OR(B12722="vi",B12722="ii",B12722="pod"),(((D12722/100)*(C12722*VLOOKUP(B12722,'Poids des runes'!A:B,2,FALSE)))+1),(((D12722/100)*(C12722*VLOOKUP(B12722,'Poids des runes'!A:B,2,FALSE)))+1)/VLOOKUP(B12722,'Poids des runes'!A:B,2,FALSE))</f>
        <v>70.66</v>
      </c>
      <c r="F12722">
        <f t="shared" si="198"/>
        <v>70.66</v>
      </c>
    </row>
    <row r="12723" spans="1:6" x14ac:dyDescent="0.3">
      <c r="A12723" t="s">
        <v>2033</v>
      </c>
      <c r="B12723" t="s">
        <v>2150</v>
      </c>
      <c r="C12723">
        <v>1.5</v>
      </c>
      <c r="D12723">
        <v>172</v>
      </c>
      <c r="E12723">
        <f>IF(OR(B12723="vi",B12723="ii",B12723="pod"),(((D12723/100)*(C12723*VLOOKUP(B12723,'Poids des runes'!A:B,2,FALSE)))+1),(((D12723/100)*(C12723*VLOOKUP(B12723,'Poids des runes'!A:B,2,FALSE)))+1)/VLOOKUP(B12723,'Poids des runes'!A:B,2,FALSE))</f>
        <v>2.6133333333333337</v>
      </c>
      <c r="F12723">
        <f t="shared" si="198"/>
        <v>2.6133333333333337</v>
      </c>
    </row>
    <row r="12724" spans="1:6" x14ac:dyDescent="0.3">
      <c r="A12724" t="s">
        <v>2033</v>
      </c>
      <c r="B12724" t="s">
        <v>2134</v>
      </c>
      <c r="C12724">
        <v>6</v>
      </c>
      <c r="D12724">
        <v>172</v>
      </c>
      <c r="E12724">
        <f>IF(OR(B12724="vi",B12724="ii",B12724="pod"),(((D12724/100)*(C12724*VLOOKUP(B12724,'Poids des runes'!A:B,2,FALSE)))+1),(((D12724/100)*(C12724*VLOOKUP(B12724,'Poids des runes'!A:B,2,FALSE)))+1)/VLOOKUP(B12724,'Poids des runes'!A:B,2,FALSE))</f>
        <v>10.370000000000001</v>
      </c>
      <c r="F12724">
        <f t="shared" si="198"/>
        <v>10.370000000000001</v>
      </c>
    </row>
    <row r="12725" spans="1:6" x14ac:dyDescent="0.3">
      <c r="A12725" t="s">
        <v>2033</v>
      </c>
      <c r="B12725" t="s">
        <v>2149</v>
      </c>
      <c r="C12725">
        <v>9</v>
      </c>
      <c r="D12725">
        <v>172</v>
      </c>
      <c r="E12725">
        <f>IF(OR(B12725="vi",B12725="ii",B12725="pod"),(((D12725/100)*(C12725*VLOOKUP(B12725,'Poids des runes'!A:B,2,FALSE)))+1),(((D12725/100)*(C12725*VLOOKUP(B12725,'Poids des runes'!A:B,2,FALSE)))+1)/VLOOKUP(B12725,'Poids des runes'!A:B,2,FALSE))</f>
        <v>15.580000000000002</v>
      </c>
      <c r="F12725">
        <f t="shared" si="198"/>
        <v>15.580000000000002</v>
      </c>
    </row>
    <row r="12726" spans="1:6" x14ac:dyDescent="0.3">
      <c r="A12726" t="s">
        <v>2033</v>
      </c>
      <c r="B12726" t="s">
        <v>2132</v>
      </c>
      <c r="C12726">
        <v>250.5</v>
      </c>
      <c r="D12726">
        <v>172</v>
      </c>
      <c r="E12726">
        <f>IF(OR(B12726="vi",B12726="ii",B12726="pod"),(((D12726/100)*(C12726*VLOOKUP(B12726,'Poids des runes'!A:B,2,FALSE)))+1),(((D12726/100)*(C12726*VLOOKUP(B12726,'Poids des runes'!A:B,2,FALSE)))+1)/VLOOKUP(B12726,'Poids des runes'!A:B,2,FALSE))</f>
        <v>44.085999999999999</v>
      </c>
      <c r="F12726">
        <f t="shared" si="198"/>
        <v>44.085999999999999</v>
      </c>
    </row>
    <row r="12727" spans="1:6" x14ac:dyDescent="0.3">
      <c r="A12727" t="s">
        <v>2033</v>
      </c>
      <c r="B12727" t="s">
        <v>2147</v>
      </c>
      <c r="C12727">
        <v>6</v>
      </c>
      <c r="D12727">
        <v>172</v>
      </c>
      <c r="E12727">
        <f>IF(OR(B12727="vi",B12727="ii",B12727="pod"),(((D12727/100)*(C12727*VLOOKUP(B12727,'Poids des runes'!A:B,2,FALSE)))+1),(((D12727/100)*(C12727*VLOOKUP(B12727,'Poids des runes'!A:B,2,FALSE)))+1)/VLOOKUP(B12727,'Poids des runes'!A:B,2,FALSE))</f>
        <v>10.486666666666666</v>
      </c>
      <c r="F12727">
        <f t="shared" si="198"/>
        <v>10.486666666666666</v>
      </c>
    </row>
    <row r="12728" spans="1:6" x14ac:dyDescent="0.3">
      <c r="A12728" t="s">
        <v>2033</v>
      </c>
      <c r="B12728" t="s">
        <v>2135</v>
      </c>
      <c r="C12728">
        <v>6</v>
      </c>
      <c r="D12728">
        <v>172</v>
      </c>
      <c r="E12728">
        <f>IF(OR(B12728="vi",B12728="ii",B12728="pod"),(((D12728/100)*(C12728*VLOOKUP(B12728,'Poids des runes'!A:B,2,FALSE)))+1),(((D12728/100)*(C12728*VLOOKUP(B12728,'Poids des runes'!A:B,2,FALSE)))+1)/VLOOKUP(B12728,'Poids des runes'!A:B,2,FALSE))</f>
        <v>10.486666666666666</v>
      </c>
      <c r="F12728">
        <f t="shared" si="198"/>
        <v>10.486666666666666</v>
      </c>
    </row>
    <row r="12729" spans="1:6" x14ac:dyDescent="0.3">
      <c r="A12729" t="s">
        <v>2034</v>
      </c>
      <c r="B12729" t="s">
        <v>2128</v>
      </c>
      <c r="C12729">
        <v>125.5</v>
      </c>
      <c r="D12729">
        <v>172</v>
      </c>
      <c r="E12729">
        <f>IF(OR(B12729="vi",B12729="ii",B12729="pod"),(((D12729/100)*(C12729*VLOOKUP(B12729,'Poids des runes'!A:B,2,FALSE)))+1),(((D12729/100)*(C12729*VLOOKUP(B12729,'Poids des runes'!A:B,2,FALSE)))+1)/VLOOKUP(B12729,'Poids des runes'!A:B,2,FALSE))</f>
        <v>44.172000000000004</v>
      </c>
      <c r="F12729">
        <f t="shared" si="198"/>
        <v>44.172000000000004</v>
      </c>
    </row>
    <row r="12730" spans="1:6" x14ac:dyDescent="0.3">
      <c r="A12730" t="s">
        <v>2034</v>
      </c>
      <c r="B12730" t="s">
        <v>2126</v>
      </c>
      <c r="C12730">
        <v>40.5</v>
      </c>
      <c r="D12730">
        <v>172</v>
      </c>
      <c r="E12730">
        <f>IF(OR(B12730="vi",B12730="ii",B12730="pod"),(((D12730/100)*(C12730*VLOOKUP(B12730,'Poids des runes'!A:B,2,FALSE)))+1),(((D12730/100)*(C12730*VLOOKUP(B12730,'Poids des runes'!A:B,2,FALSE)))+1)/VLOOKUP(B12730,'Poids des runes'!A:B,2,FALSE))</f>
        <v>70.66</v>
      </c>
      <c r="F12730">
        <f t="shared" si="198"/>
        <v>70.66</v>
      </c>
    </row>
    <row r="12731" spans="1:6" x14ac:dyDescent="0.3">
      <c r="A12731" t="s">
        <v>2034</v>
      </c>
      <c r="B12731" t="s">
        <v>2131</v>
      </c>
      <c r="C12731">
        <v>40.5</v>
      </c>
      <c r="D12731">
        <v>172</v>
      </c>
      <c r="E12731">
        <f>IF(OR(B12731="vi",B12731="ii",B12731="pod"),(((D12731/100)*(C12731*VLOOKUP(B12731,'Poids des runes'!A:B,2,FALSE)))+1),(((D12731/100)*(C12731*VLOOKUP(B12731,'Poids des runes'!A:B,2,FALSE)))+1)/VLOOKUP(B12731,'Poids des runes'!A:B,2,FALSE))</f>
        <v>70.66</v>
      </c>
      <c r="F12731">
        <f t="shared" si="198"/>
        <v>70.66</v>
      </c>
    </row>
    <row r="12732" spans="1:6" x14ac:dyDescent="0.3">
      <c r="A12732" t="s">
        <v>2034</v>
      </c>
      <c r="B12732" t="s">
        <v>2129</v>
      </c>
      <c r="C12732">
        <v>33</v>
      </c>
      <c r="D12732">
        <v>172</v>
      </c>
      <c r="E12732">
        <f>IF(OR(B12732="vi",B12732="ii",B12732="pod"),(((D12732/100)*(C12732*VLOOKUP(B12732,'Poids des runes'!A:B,2,FALSE)))+1),(((D12732/100)*(C12732*VLOOKUP(B12732,'Poids des runes'!A:B,2,FALSE)))+1)/VLOOKUP(B12732,'Poids des runes'!A:B,2,FALSE))</f>
        <v>57.76</v>
      </c>
      <c r="F12732">
        <f t="shared" si="198"/>
        <v>57.76</v>
      </c>
    </row>
    <row r="12733" spans="1:6" x14ac:dyDescent="0.3">
      <c r="A12733" t="s">
        <v>2034</v>
      </c>
      <c r="B12733" t="s">
        <v>2155</v>
      </c>
      <c r="C12733">
        <v>1</v>
      </c>
      <c r="D12733">
        <v>172</v>
      </c>
      <c r="E12733">
        <f>IF(OR(B12733="vi",B12733="ii",B12733="pod"),(((D12733/100)*(C12733*VLOOKUP(B12733,'Poids des runes'!A:B,2,FALSE)))+1),(((D12733/100)*(C12733*VLOOKUP(B12733,'Poids des runes'!A:B,2,FALSE)))+1)/VLOOKUP(B12733,'Poids des runes'!A:B,2,FALSE))</f>
        <v>1.7396078431372548</v>
      </c>
      <c r="F12733">
        <f t="shared" si="198"/>
        <v>1.7396078431372548</v>
      </c>
    </row>
    <row r="12734" spans="1:6" x14ac:dyDescent="0.3">
      <c r="A12734" t="s">
        <v>2034</v>
      </c>
      <c r="B12734" t="s">
        <v>2134</v>
      </c>
      <c r="C12734">
        <v>8</v>
      </c>
      <c r="D12734">
        <v>172</v>
      </c>
      <c r="E12734">
        <f>IF(OR(B12734="vi",B12734="ii",B12734="pod"),(((D12734/100)*(C12734*VLOOKUP(B12734,'Poids des runes'!A:B,2,FALSE)))+1),(((D12734/100)*(C12734*VLOOKUP(B12734,'Poids des runes'!A:B,2,FALSE)))+1)/VLOOKUP(B12734,'Poids des runes'!A:B,2,FALSE))</f>
        <v>13.809999999999999</v>
      </c>
      <c r="F12734">
        <f t="shared" si="198"/>
        <v>13.809999999999999</v>
      </c>
    </row>
    <row r="12735" spans="1:6" x14ac:dyDescent="0.3">
      <c r="A12735" t="s">
        <v>2034</v>
      </c>
      <c r="B12735" t="s">
        <v>2161</v>
      </c>
      <c r="C12735">
        <v>13</v>
      </c>
      <c r="D12735">
        <v>172</v>
      </c>
      <c r="E12735">
        <f>IF(OR(B12735="vi",B12735="ii",B12735="pod"),(((D12735/100)*(C12735*VLOOKUP(B12735,'Poids des runes'!A:B,2,FALSE)))+1),(((D12735/100)*(C12735*VLOOKUP(B12735,'Poids des runes'!A:B,2,FALSE)))+1)/VLOOKUP(B12735,'Poids des runes'!A:B,2,FALSE))</f>
        <v>22.693333333333332</v>
      </c>
      <c r="F12735">
        <f t="shared" si="198"/>
        <v>22.693333333333332</v>
      </c>
    </row>
    <row r="12736" spans="1:6" x14ac:dyDescent="0.3">
      <c r="A12736" t="s">
        <v>2034</v>
      </c>
      <c r="B12736" t="s">
        <v>2147</v>
      </c>
      <c r="C12736">
        <v>7</v>
      </c>
      <c r="D12736">
        <v>172</v>
      </c>
      <c r="E12736">
        <f>IF(OR(B12736="vi",B12736="ii",B12736="pod"),(((D12736/100)*(C12736*VLOOKUP(B12736,'Poids des runes'!A:B,2,FALSE)))+1),(((D12736/100)*(C12736*VLOOKUP(B12736,'Poids des runes'!A:B,2,FALSE)))+1)/VLOOKUP(B12736,'Poids des runes'!A:B,2,FALSE))</f>
        <v>12.206666666666665</v>
      </c>
      <c r="F12736">
        <f t="shared" si="198"/>
        <v>12.206666666666665</v>
      </c>
    </row>
    <row r="12737" spans="1:6" x14ac:dyDescent="0.3">
      <c r="A12737" t="s">
        <v>2034</v>
      </c>
      <c r="B12737" t="s">
        <v>2135</v>
      </c>
      <c r="C12737">
        <v>7</v>
      </c>
      <c r="D12737">
        <v>172</v>
      </c>
      <c r="E12737">
        <f>IF(OR(B12737="vi",B12737="ii",B12737="pod"),(((D12737/100)*(C12737*VLOOKUP(B12737,'Poids des runes'!A:B,2,FALSE)))+1),(((D12737/100)*(C12737*VLOOKUP(B12737,'Poids des runes'!A:B,2,FALSE)))+1)/VLOOKUP(B12737,'Poids des runes'!A:B,2,FALSE))</f>
        <v>12.206666666666665</v>
      </c>
      <c r="F12737">
        <f t="shared" si="198"/>
        <v>12.206666666666665</v>
      </c>
    </row>
    <row r="12738" spans="1:6" x14ac:dyDescent="0.3">
      <c r="A12738" t="s">
        <v>2035</v>
      </c>
      <c r="B12738" t="s">
        <v>2128</v>
      </c>
      <c r="C12738">
        <v>275.5</v>
      </c>
      <c r="D12738">
        <v>172</v>
      </c>
      <c r="E12738">
        <f>IF(OR(B12738="vi",B12738="ii",B12738="pod"),(((D12738/100)*(C12738*VLOOKUP(B12738,'Poids des runes'!A:B,2,FALSE)))+1),(((D12738/100)*(C12738*VLOOKUP(B12738,'Poids des runes'!A:B,2,FALSE)))+1)/VLOOKUP(B12738,'Poids des runes'!A:B,2,FALSE))</f>
        <v>95.772000000000006</v>
      </c>
      <c r="F12738">
        <f t="shared" si="198"/>
        <v>95.772000000000006</v>
      </c>
    </row>
    <row r="12739" spans="1:6" x14ac:dyDescent="0.3">
      <c r="A12739" t="s">
        <v>2035</v>
      </c>
      <c r="B12739" t="s">
        <v>2126</v>
      </c>
      <c r="C12739">
        <v>50.5</v>
      </c>
      <c r="D12739">
        <v>172</v>
      </c>
      <c r="E12739">
        <f>IF(OR(B12739="vi",B12739="ii",B12739="pod"),(((D12739/100)*(C12739*VLOOKUP(B12739,'Poids des runes'!A:B,2,FALSE)))+1),(((D12739/100)*(C12739*VLOOKUP(B12739,'Poids des runes'!A:B,2,FALSE)))+1)/VLOOKUP(B12739,'Poids des runes'!A:B,2,FALSE))</f>
        <v>87.86</v>
      </c>
      <c r="F12739">
        <f t="shared" ref="F12739:F12802" si="199">E12739</f>
        <v>87.86</v>
      </c>
    </row>
    <row r="12740" spans="1:6" x14ac:dyDescent="0.3">
      <c r="A12740" t="s">
        <v>2035</v>
      </c>
      <c r="B12740" t="s">
        <v>2129</v>
      </c>
      <c r="C12740">
        <v>40.5</v>
      </c>
      <c r="D12740">
        <v>172</v>
      </c>
      <c r="E12740">
        <f>IF(OR(B12740="vi",B12740="ii",B12740="pod"),(((D12740/100)*(C12740*VLOOKUP(B12740,'Poids des runes'!A:B,2,FALSE)))+1),(((D12740/100)*(C12740*VLOOKUP(B12740,'Poids des runes'!A:B,2,FALSE)))+1)/VLOOKUP(B12740,'Poids des runes'!A:B,2,FALSE))</f>
        <v>70.66</v>
      </c>
      <c r="F12740">
        <f t="shared" si="199"/>
        <v>70.66</v>
      </c>
    </row>
    <row r="12741" spans="1:6" x14ac:dyDescent="0.3">
      <c r="A12741" t="s">
        <v>2035</v>
      </c>
      <c r="B12741" t="s">
        <v>2155</v>
      </c>
      <c r="C12741">
        <v>1</v>
      </c>
      <c r="D12741">
        <v>172</v>
      </c>
      <c r="E12741">
        <f>IF(OR(B12741="vi",B12741="ii",B12741="pod"),(((D12741/100)*(C12741*VLOOKUP(B12741,'Poids des runes'!A:B,2,FALSE)))+1),(((D12741/100)*(C12741*VLOOKUP(B12741,'Poids des runes'!A:B,2,FALSE)))+1)/VLOOKUP(B12741,'Poids des runes'!A:B,2,FALSE))</f>
        <v>1.7396078431372548</v>
      </c>
      <c r="F12741">
        <f t="shared" si="199"/>
        <v>1.7396078431372548</v>
      </c>
    </row>
    <row r="12742" spans="1:6" x14ac:dyDescent="0.3">
      <c r="A12742" t="s">
        <v>2035</v>
      </c>
      <c r="B12742" t="s">
        <v>2150</v>
      </c>
      <c r="C12742">
        <v>1</v>
      </c>
      <c r="D12742">
        <v>172</v>
      </c>
      <c r="E12742">
        <f>IF(OR(B12742="vi",B12742="ii",B12742="pod"),(((D12742/100)*(C12742*VLOOKUP(B12742,'Poids des runes'!A:B,2,FALSE)))+1),(((D12742/100)*(C12742*VLOOKUP(B12742,'Poids des runes'!A:B,2,FALSE)))+1)/VLOOKUP(B12742,'Poids des runes'!A:B,2,FALSE))</f>
        <v>1.7533333333333334</v>
      </c>
      <c r="F12742">
        <f t="shared" si="199"/>
        <v>1.7533333333333334</v>
      </c>
    </row>
    <row r="12743" spans="1:6" x14ac:dyDescent="0.3">
      <c r="A12743" t="s">
        <v>2035</v>
      </c>
      <c r="B12743" t="s">
        <v>2140</v>
      </c>
      <c r="C12743">
        <v>8.5</v>
      </c>
      <c r="D12743">
        <v>172</v>
      </c>
      <c r="E12743">
        <f>IF(OR(B12743="vi",B12743="ii",B12743="pod"),(((D12743/100)*(C12743*VLOOKUP(B12743,'Poids des runes'!A:B,2,FALSE)))+1),(((D12743/100)*(C12743*VLOOKUP(B12743,'Poids des runes'!A:B,2,FALSE)))+1)/VLOOKUP(B12743,'Poids des runes'!A:B,2,FALSE))</f>
        <v>14.819999999999999</v>
      </c>
      <c r="F12743">
        <f t="shared" si="199"/>
        <v>14.819999999999999</v>
      </c>
    </row>
    <row r="12744" spans="1:6" x14ac:dyDescent="0.3">
      <c r="A12744" t="s">
        <v>2035</v>
      </c>
      <c r="B12744" t="s">
        <v>2133</v>
      </c>
      <c r="C12744">
        <v>8.5</v>
      </c>
      <c r="D12744">
        <v>172</v>
      </c>
      <c r="E12744">
        <f>IF(OR(B12744="vi",B12744="ii",B12744="pod"),(((D12744/100)*(C12744*VLOOKUP(B12744,'Poids des runes'!A:B,2,FALSE)))+1),(((D12744/100)*(C12744*VLOOKUP(B12744,'Poids des runes'!A:B,2,FALSE)))+1)/VLOOKUP(B12744,'Poids des runes'!A:B,2,FALSE))</f>
        <v>14.819999999999999</v>
      </c>
      <c r="F12744">
        <f t="shared" si="199"/>
        <v>14.819999999999999</v>
      </c>
    </row>
    <row r="12745" spans="1:6" x14ac:dyDescent="0.3">
      <c r="A12745" t="s">
        <v>2035</v>
      </c>
      <c r="B12745" t="s">
        <v>2153</v>
      </c>
      <c r="C12745">
        <v>8.5</v>
      </c>
      <c r="D12745">
        <v>172</v>
      </c>
      <c r="E12745">
        <f>IF(OR(B12745="vi",B12745="ii",B12745="pod"),(((D12745/100)*(C12745*VLOOKUP(B12745,'Poids des runes'!A:B,2,FALSE)))+1),(((D12745/100)*(C12745*VLOOKUP(B12745,'Poids des runes'!A:B,2,FALSE)))+1)/VLOOKUP(B12745,'Poids des runes'!A:B,2,FALSE))</f>
        <v>14.819999999999999</v>
      </c>
      <c r="F12745">
        <f t="shared" si="199"/>
        <v>14.819999999999999</v>
      </c>
    </row>
    <row r="12746" spans="1:6" x14ac:dyDescent="0.3">
      <c r="A12746" t="s">
        <v>2035</v>
      </c>
      <c r="B12746" t="s">
        <v>2149</v>
      </c>
      <c r="C12746">
        <v>8.5</v>
      </c>
      <c r="D12746">
        <v>172</v>
      </c>
      <c r="E12746">
        <f>IF(OR(B12746="vi",B12746="ii",B12746="pod"),(((D12746/100)*(C12746*VLOOKUP(B12746,'Poids des runes'!A:B,2,FALSE)))+1),(((D12746/100)*(C12746*VLOOKUP(B12746,'Poids des runes'!A:B,2,FALSE)))+1)/VLOOKUP(B12746,'Poids des runes'!A:B,2,FALSE))</f>
        <v>14.719999999999999</v>
      </c>
      <c r="F12746">
        <f t="shared" si="199"/>
        <v>14.719999999999999</v>
      </c>
    </row>
    <row r="12747" spans="1:6" x14ac:dyDescent="0.3">
      <c r="A12747" t="s">
        <v>2035</v>
      </c>
      <c r="B12747" t="s">
        <v>2161</v>
      </c>
      <c r="C12747">
        <v>15.5</v>
      </c>
      <c r="D12747">
        <v>172</v>
      </c>
      <c r="E12747">
        <f>IF(OR(B12747="vi",B12747="ii",B12747="pod"),(((D12747/100)*(C12747*VLOOKUP(B12747,'Poids des runes'!A:B,2,FALSE)))+1),(((D12747/100)*(C12747*VLOOKUP(B12747,'Poids des runes'!A:B,2,FALSE)))+1)/VLOOKUP(B12747,'Poids des runes'!A:B,2,FALSE))</f>
        <v>26.993333333333336</v>
      </c>
      <c r="F12747">
        <f t="shared" si="199"/>
        <v>26.993333333333336</v>
      </c>
    </row>
    <row r="12748" spans="1:6" x14ac:dyDescent="0.3">
      <c r="A12748" t="s">
        <v>2035</v>
      </c>
      <c r="B12748" t="s">
        <v>2141</v>
      </c>
      <c r="C12748">
        <v>6</v>
      </c>
      <c r="D12748">
        <v>172</v>
      </c>
      <c r="E12748">
        <f>IF(OR(B12748="vi",B12748="ii",B12748="pod"),(((D12748/100)*(C12748*VLOOKUP(B12748,'Poids des runes'!A:B,2,FALSE)))+1),(((D12748/100)*(C12748*VLOOKUP(B12748,'Poids des runes'!A:B,2,FALSE)))+1)/VLOOKUP(B12748,'Poids des runes'!A:B,2,FALSE))</f>
        <v>10.57</v>
      </c>
      <c r="F12748">
        <f t="shared" si="199"/>
        <v>10.57</v>
      </c>
    </row>
    <row r="12749" spans="1:6" x14ac:dyDescent="0.3">
      <c r="A12749" t="s">
        <v>2035</v>
      </c>
      <c r="B12749" t="s">
        <v>2148</v>
      </c>
      <c r="C12749">
        <v>8.5</v>
      </c>
      <c r="D12749">
        <v>172</v>
      </c>
      <c r="E12749">
        <f>IF(OR(B12749="vi",B12749="ii",B12749="pod"),(((D12749/100)*(C12749*VLOOKUP(B12749,'Poids des runes'!A:B,2,FALSE)))+1),(((D12749/100)*(C12749*VLOOKUP(B12749,'Poids des runes'!A:B,2,FALSE)))+1)/VLOOKUP(B12749,'Poids des runes'!A:B,2,FALSE))</f>
        <v>14.786666666666667</v>
      </c>
      <c r="F12749">
        <f t="shared" si="199"/>
        <v>14.786666666666667</v>
      </c>
    </row>
    <row r="12750" spans="1:6" x14ac:dyDescent="0.3">
      <c r="A12750" t="s">
        <v>2035</v>
      </c>
      <c r="B12750" t="s">
        <v>2146</v>
      </c>
      <c r="C12750">
        <v>8.5</v>
      </c>
      <c r="D12750">
        <v>172</v>
      </c>
      <c r="E12750">
        <f>IF(OR(B12750="vi",B12750="ii",B12750="pod"),(((D12750/100)*(C12750*VLOOKUP(B12750,'Poids des runes'!A:B,2,FALSE)))+1),(((D12750/100)*(C12750*VLOOKUP(B12750,'Poids des runes'!A:B,2,FALSE)))+1)/VLOOKUP(B12750,'Poids des runes'!A:B,2,FALSE))</f>
        <v>15.12</v>
      </c>
      <c r="F12750">
        <f t="shared" si="199"/>
        <v>15.12</v>
      </c>
    </row>
    <row r="12751" spans="1:6" x14ac:dyDescent="0.3">
      <c r="A12751" t="s">
        <v>2036</v>
      </c>
      <c r="B12751" t="s">
        <v>2128</v>
      </c>
      <c r="C12751">
        <v>175.5</v>
      </c>
      <c r="D12751">
        <v>173</v>
      </c>
      <c r="E12751">
        <f>IF(OR(B12751="vi",B12751="ii",B12751="pod"),(((D12751/100)*(C12751*VLOOKUP(B12751,'Poids des runes'!A:B,2,FALSE)))+1),(((D12751/100)*(C12751*VLOOKUP(B12751,'Poids des runes'!A:B,2,FALSE)))+1)/VLOOKUP(B12751,'Poids des runes'!A:B,2,FALSE))</f>
        <v>61.722999999999999</v>
      </c>
      <c r="F12751">
        <f t="shared" si="199"/>
        <v>61.722999999999999</v>
      </c>
    </row>
    <row r="12752" spans="1:6" x14ac:dyDescent="0.3">
      <c r="A12752" t="s">
        <v>2036</v>
      </c>
      <c r="B12752" t="s">
        <v>2130</v>
      </c>
      <c r="C12752">
        <v>40.5</v>
      </c>
      <c r="D12752">
        <v>173</v>
      </c>
      <c r="E12752">
        <f>IF(OR(B12752="vi",B12752="ii",B12752="pod"),(((D12752/100)*(C12752*VLOOKUP(B12752,'Poids des runes'!A:B,2,FALSE)))+1),(((D12752/100)*(C12752*VLOOKUP(B12752,'Poids des runes'!A:B,2,FALSE)))+1)/VLOOKUP(B12752,'Poids des runes'!A:B,2,FALSE))</f>
        <v>71.064999999999998</v>
      </c>
      <c r="F12752">
        <f t="shared" si="199"/>
        <v>71.064999999999998</v>
      </c>
    </row>
    <row r="12753" spans="1:6" x14ac:dyDescent="0.3">
      <c r="A12753" t="s">
        <v>2036</v>
      </c>
      <c r="B12753" t="s">
        <v>2127</v>
      </c>
      <c r="C12753">
        <v>40.5</v>
      </c>
      <c r="D12753">
        <v>173</v>
      </c>
      <c r="E12753">
        <f>IF(OR(B12753="vi",B12753="ii",B12753="pod"),(((D12753/100)*(C12753*VLOOKUP(B12753,'Poids des runes'!A:B,2,FALSE)))+1),(((D12753/100)*(C12753*VLOOKUP(B12753,'Poids des runes'!A:B,2,FALSE)))+1)/VLOOKUP(B12753,'Poids des runes'!A:B,2,FALSE))</f>
        <v>71.064999999999998</v>
      </c>
      <c r="F12753">
        <f t="shared" si="199"/>
        <v>71.064999999999998</v>
      </c>
    </row>
    <row r="12754" spans="1:6" x14ac:dyDescent="0.3">
      <c r="A12754" t="s">
        <v>2036</v>
      </c>
      <c r="B12754" t="s">
        <v>2129</v>
      </c>
      <c r="C12754">
        <v>35.5</v>
      </c>
      <c r="D12754">
        <v>173</v>
      </c>
      <c r="E12754">
        <f>IF(OR(B12754="vi",B12754="ii",B12754="pod"),(((D12754/100)*(C12754*VLOOKUP(B12754,'Poids des runes'!A:B,2,FALSE)))+1),(((D12754/100)*(C12754*VLOOKUP(B12754,'Poids des runes'!A:B,2,FALSE)))+1)/VLOOKUP(B12754,'Poids des runes'!A:B,2,FALSE))</f>
        <v>62.414999999999999</v>
      </c>
      <c r="F12754">
        <f t="shared" si="199"/>
        <v>62.414999999999999</v>
      </c>
    </row>
    <row r="12755" spans="1:6" x14ac:dyDescent="0.3">
      <c r="A12755" t="s">
        <v>2036</v>
      </c>
      <c r="B12755" t="s">
        <v>2151</v>
      </c>
      <c r="C12755">
        <v>2.5</v>
      </c>
      <c r="D12755">
        <v>173</v>
      </c>
      <c r="E12755">
        <f>IF(OR(B12755="vi",B12755="ii",B12755="pod"),(((D12755/100)*(C12755*VLOOKUP(B12755,'Poids des runes'!A:B,2,FALSE)))+1),(((D12755/100)*(C12755*VLOOKUP(B12755,'Poids des runes'!A:B,2,FALSE)))+1)/VLOOKUP(B12755,'Poids des runes'!A:B,2,FALSE))</f>
        <v>4.4249999999999998</v>
      </c>
      <c r="F12755">
        <f t="shared" si="199"/>
        <v>4.4249999999999998</v>
      </c>
    </row>
    <row r="12756" spans="1:6" x14ac:dyDescent="0.3">
      <c r="A12756" t="s">
        <v>2036</v>
      </c>
      <c r="B12756" t="s">
        <v>2143</v>
      </c>
      <c r="C12756">
        <v>8.5</v>
      </c>
      <c r="D12756">
        <v>173</v>
      </c>
      <c r="E12756">
        <f>IF(OR(B12756="vi",B12756="ii",B12756="pod"),(((D12756/100)*(C12756*VLOOKUP(B12756,'Poids des runes'!A:B,2,FALSE)))+1),(((D12756/100)*(C12756*VLOOKUP(B12756,'Poids des runes'!A:B,2,FALSE)))+1)/VLOOKUP(B12756,'Poids des runes'!A:B,2,FALSE))</f>
        <v>14.905000000000001</v>
      </c>
      <c r="F12756">
        <f t="shared" si="199"/>
        <v>14.905000000000001</v>
      </c>
    </row>
    <row r="12757" spans="1:6" x14ac:dyDescent="0.3">
      <c r="A12757" t="s">
        <v>2036</v>
      </c>
      <c r="B12757" t="s">
        <v>2153</v>
      </c>
      <c r="C12757">
        <v>8.5</v>
      </c>
      <c r="D12757">
        <v>173</v>
      </c>
      <c r="E12757">
        <f>IF(OR(B12757="vi",B12757="ii",B12757="pod"),(((D12757/100)*(C12757*VLOOKUP(B12757,'Poids des runes'!A:B,2,FALSE)))+1),(((D12757/100)*(C12757*VLOOKUP(B12757,'Poids des runes'!A:B,2,FALSE)))+1)/VLOOKUP(B12757,'Poids des runes'!A:B,2,FALSE))</f>
        <v>14.905000000000001</v>
      </c>
      <c r="F12757">
        <f t="shared" si="199"/>
        <v>14.905000000000001</v>
      </c>
    </row>
    <row r="12758" spans="1:6" x14ac:dyDescent="0.3">
      <c r="A12758" t="s">
        <v>2036</v>
      </c>
      <c r="B12758" t="s">
        <v>2161</v>
      </c>
      <c r="C12758">
        <v>15.5</v>
      </c>
      <c r="D12758">
        <v>173</v>
      </c>
      <c r="E12758">
        <f>IF(OR(B12758="vi",B12758="ii",B12758="pod"),(((D12758/100)*(C12758*VLOOKUP(B12758,'Poids des runes'!A:B,2,FALSE)))+1),(((D12758/100)*(C12758*VLOOKUP(B12758,'Poids des runes'!A:B,2,FALSE)))+1)/VLOOKUP(B12758,'Poids des runes'!A:B,2,FALSE))</f>
        <v>27.14833333333333</v>
      </c>
      <c r="F12758">
        <f t="shared" si="199"/>
        <v>27.14833333333333</v>
      </c>
    </row>
    <row r="12759" spans="1:6" x14ac:dyDescent="0.3">
      <c r="A12759" t="s">
        <v>2036</v>
      </c>
      <c r="B12759" t="s">
        <v>2132</v>
      </c>
      <c r="C12759">
        <v>350.5</v>
      </c>
      <c r="D12759">
        <v>173</v>
      </c>
      <c r="E12759">
        <f>IF(OR(B12759="vi",B12759="ii",B12759="pod"),(((D12759/100)*(C12759*VLOOKUP(B12759,'Poids des runes'!A:B,2,FALSE)))+1),(((D12759/100)*(C12759*VLOOKUP(B12759,'Poids des runes'!A:B,2,FALSE)))+1)/VLOOKUP(B12759,'Poids des runes'!A:B,2,FALSE))</f>
        <v>61.636500000000005</v>
      </c>
      <c r="F12759">
        <f t="shared" si="199"/>
        <v>61.636500000000005</v>
      </c>
    </row>
    <row r="12760" spans="1:6" x14ac:dyDescent="0.3">
      <c r="A12760" t="s">
        <v>2036</v>
      </c>
      <c r="B12760" t="s">
        <v>2160</v>
      </c>
      <c r="C12760">
        <v>4.5</v>
      </c>
      <c r="D12760">
        <v>173</v>
      </c>
      <c r="E12760">
        <f>IF(OR(B12760="vi",B12760="ii",B12760="pod"),(((D12760/100)*(C12760*VLOOKUP(B12760,'Poids des runes'!A:B,2,FALSE)))+1),(((D12760/100)*(C12760*VLOOKUP(B12760,'Poids des runes'!A:B,2,FALSE)))+1)/VLOOKUP(B12760,'Poids des runes'!A:B,2,FALSE))</f>
        <v>7.9278571428571425</v>
      </c>
      <c r="F12760">
        <f t="shared" si="199"/>
        <v>7.9278571428571425</v>
      </c>
    </row>
    <row r="12761" spans="1:6" x14ac:dyDescent="0.3">
      <c r="A12761" t="s">
        <v>2036</v>
      </c>
      <c r="B12761" t="s">
        <v>2147</v>
      </c>
      <c r="C12761">
        <v>8.5</v>
      </c>
      <c r="D12761">
        <v>173</v>
      </c>
      <c r="E12761">
        <f>IF(OR(B12761="vi",B12761="ii",B12761="pod"),(((D12761/100)*(C12761*VLOOKUP(B12761,'Poids des runes'!A:B,2,FALSE)))+1),(((D12761/100)*(C12761*VLOOKUP(B12761,'Poids des runes'!A:B,2,FALSE)))+1)/VLOOKUP(B12761,'Poids des runes'!A:B,2,FALSE))</f>
        <v>14.871666666666668</v>
      </c>
      <c r="F12761">
        <f t="shared" si="199"/>
        <v>14.871666666666668</v>
      </c>
    </row>
    <row r="12762" spans="1:6" x14ac:dyDescent="0.3">
      <c r="A12762" t="s">
        <v>2036</v>
      </c>
      <c r="B12762" t="s">
        <v>2146</v>
      </c>
      <c r="C12762">
        <v>8.5</v>
      </c>
      <c r="D12762">
        <v>173</v>
      </c>
      <c r="E12762">
        <f>IF(OR(B12762="vi",B12762="ii",B12762="pod"),(((D12762/100)*(C12762*VLOOKUP(B12762,'Poids des runes'!A:B,2,FALSE)))+1),(((D12762/100)*(C12762*VLOOKUP(B12762,'Poids des runes'!A:B,2,FALSE)))+1)/VLOOKUP(B12762,'Poids des runes'!A:B,2,FALSE))</f>
        <v>15.205</v>
      </c>
      <c r="F12762">
        <f t="shared" si="199"/>
        <v>15.205</v>
      </c>
    </row>
    <row r="12763" spans="1:6" x14ac:dyDescent="0.3">
      <c r="A12763" t="s">
        <v>2037</v>
      </c>
      <c r="B12763" t="s">
        <v>2128</v>
      </c>
      <c r="C12763">
        <v>225.5</v>
      </c>
      <c r="D12763">
        <v>173</v>
      </c>
      <c r="E12763">
        <f>IF(OR(B12763="vi",B12763="ii",B12763="pod"),(((D12763/100)*(C12763*VLOOKUP(B12763,'Poids des runes'!A:B,2,FALSE)))+1),(((D12763/100)*(C12763*VLOOKUP(B12763,'Poids des runes'!A:B,2,FALSE)))+1)/VLOOKUP(B12763,'Poids des runes'!A:B,2,FALSE))</f>
        <v>79.022999999999996</v>
      </c>
      <c r="F12763">
        <f t="shared" si="199"/>
        <v>79.022999999999996</v>
      </c>
    </row>
    <row r="12764" spans="1:6" x14ac:dyDescent="0.3">
      <c r="A12764" t="s">
        <v>2037</v>
      </c>
      <c r="B12764" t="s">
        <v>2130</v>
      </c>
      <c r="C12764">
        <v>35.5</v>
      </c>
      <c r="D12764">
        <v>173</v>
      </c>
      <c r="E12764">
        <f>IF(OR(B12764="vi",B12764="ii",B12764="pod"),(((D12764/100)*(C12764*VLOOKUP(B12764,'Poids des runes'!A:B,2,FALSE)))+1),(((D12764/100)*(C12764*VLOOKUP(B12764,'Poids des runes'!A:B,2,FALSE)))+1)/VLOOKUP(B12764,'Poids des runes'!A:B,2,FALSE))</f>
        <v>62.414999999999999</v>
      </c>
      <c r="F12764">
        <f t="shared" si="199"/>
        <v>62.414999999999999</v>
      </c>
    </row>
    <row r="12765" spans="1:6" x14ac:dyDescent="0.3">
      <c r="A12765" t="s">
        <v>2037</v>
      </c>
      <c r="B12765" t="s">
        <v>2131</v>
      </c>
      <c r="C12765">
        <v>35.5</v>
      </c>
      <c r="D12765">
        <v>173</v>
      </c>
      <c r="E12765">
        <f>IF(OR(B12765="vi",B12765="ii",B12765="pod"),(((D12765/100)*(C12765*VLOOKUP(B12765,'Poids des runes'!A:B,2,FALSE)))+1),(((D12765/100)*(C12765*VLOOKUP(B12765,'Poids des runes'!A:B,2,FALSE)))+1)/VLOOKUP(B12765,'Poids des runes'!A:B,2,FALSE))</f>
        <v>62.414999999999999</v>
      </c>
      <c r="F12765">
        <f t="shared" si="199"/>
        <v>62.414999999999999</v>
      </c>
    </row>
    <row r="12766" spans="1:6" x14ac:dyDescent="0.3">
      <c r="A12766" t="s">
        <v>2037</v>
      </c>
      <c r="B12766" t="s">
        <v>2129</v>
      </c>
      <c r="C12766">
        <v>25.5</v>
      </c>
      <c r="D12766">
        <v>173</v>
      </c>
      <c r="E12766">
        <f>IF(OR(B12766="vi",B12766="ii",B12766="pod"),(((D12766/100)*(C12766*VLOOKUP(B12766,'Poids des runes'!A:B,2,FALSE)))+1),(((D12766/100)*(C12766*VLOOKUP(B12766,'Poids des runes'!A:B,2,FALSE)))+1)/VLOOKUP(B12766,'Poids des runes'!A:B,2,FALSE))</f>
        <v>45.115000000000002</v>
      </c>
      <c r="F12766">
        <f t="shared" si="199"/>
        <v>45.115000000000002</v>
      </c>
    </row>
    <row r="12767" spans="1:6" x14ac:dyDescent="0.3">
      <c r="A12767" t="s">
        <v>2037</v>
      </c>
      <c r="B12767" t="s">
        <v>2151</v>
      </c>
      <c r="C12767">
        <v>2.5</v>
      </c>
      <c r="D12767">
        <v>173</v>
      </c>
      <c r="E12767">
        <f>IF(OR(B12767="vi",B12767="ii",B12767="pod"),(((D12767/100)*(C12767*VLOOKUP(B12767,'Poids des runes'!A:B,2,FALSE)))+1),(((D12767/100)*(C12767*VLOOKUP(B12767,'Poids des runes'!A:B,2,FALSE)))+1)/VLOOKUP(B12767,'Poids des runes'!A:B,2,FALSE))</f>
        <v>4.4249999999999998</v>
      </c>
      <c r="F12767">
        <f t="shared" si="199"/>
        <v>4.4249999999999998</v>
      </c>
    </row>
    <row r="12768" spans="1:6" x14ac:dyDescent="0.3">
      <c r="A12768" t="s">
        <v>2037</v>
      </c>
      <c r="B12768" t="s">
        <v>2143</v>
      </c>
      <c r="C12768">
        <v>8.5</v>
      </c>
      <c r="D12768">
        <v>173</v>
      </c>
      <c r="E12768">
        <f>IF(OR(B12768="vi",B12768="ii",B12768="pod"),(((D12768/100)*(C12768*VLOOKUP(B12768,'Poids des runes'!A:B,2,FALSE)))+1),(((D12768/100)*(C12768*VLOOKUP(B12768,'Poids des runes'!A:B,2,FALSE)))+1)/VLOOKUP(B12768,'Poids des runes'!A:B,2,FALSE))</f>
        <v>14.905000000000001</v>
      </c>
      <c r="F12768">
        <f t="shared" si="199"/>
        <v>14.905000000000001</v>
      </c>
    </row>
    <row r="12769" spans="1:6" x14ac:dyDescent="0.3">
      <c r="A12769" t="s">
        <v>2037</v>
      </c>
      <c r="B12769" t="s">
        <v>2133</v>
      </c>
      <c r="C12769">
        <v>8.5</v>
      </c>
      <c r="D12769">
        <v>173</v>
      </c>
      <c r="E12769">
        <f>IF(OR(B12769="vi",B12769="ii",B12769="pod"),(((D12769/100)*(C12769*VLOOKUP(B12769,'Poids des runes'!A:B,2,FALSE)))+1),(((D12769/100)*(C12769*VLOOKUP(B12769,'Poids des runes'!A:B,2,FALSE)))+1)/VLOOKUP(B12769,'Poids des runes'!A:B,2,FALSE))</f>
        <v>14.905000000000001</v>
      </c>
      <c r="F12769">
        <f t="shared" si="199"/>
        <v>14.905000000000001</v>
      </c>
    </row>
    <row r="12770" spans="1:6" x14ac:dyDescent="0.3">
      <c r="A12770" t="s">
        <v>2037</v>
      </c>
      <c r="B12770" t="s">
        <v>2161</v>
      </c>
      <c r="C12770">
        <v>13</v>
      </c>
      <c r="D12770">
        <v>173</v>
      </c>
      <c r="E12770">
        <f>IF(OR(B12770="vi",B12770="ii",B12770="pod"),(((D12770/100)*(C12770*VLOOKUP(B12770,'Poids des runes'!A:B,2,FALSE)))+1),(((D12770/100)*(C12770*VLOOKUP(B12770,'Poids des runes'!A:B,2,FALSE)))+1)/VLOOKUP(B12770,'Poids des runes'!A:B,2,FALSE))</f>
        <v>22.823333333333334</v>
      </c>
      <c r="F12770">
        <f t="shared" si="199"/>
        <v>22.823333333333334</v>
      </c>
    </row>
    <row r="12771" spans="1:6" x14ac:dyDescent="0.3">
      <c r="A12771" t="s">
        <v>2037</v>
      </c>
      <c r="B12771" t="s">
        <v>2141</v>
      </c>
      <c r="C12771">
        <v>4.5</v>
      </c>
      <c r="D12771">
        <v>173</v>
      </c>
      <c r="E12771">
        <f>IF(OR(B12771="vi",B12771="ii",B12771="pod"),(((D12771/100)*(C12771*VLOOKUP(B12771,'Poids des runes'!A:B,2,FALSE)))+1),(((D12771/100)*(C12771*VLOOKUP(B12771,'Poids des runes'!A:B,2,FALSE)))+1)/VLOOKUP(B12771,'Poids des runes'!A:B,2,FALSE))</f>
        <v>8.0350000000000001</v>
      </c>
      <c r="F12771">
        <f t="shared" si="199"/>
        <v>8.0350000000000001</v>
      </c>
    </row>
    <row r="12772" spans="1:6" x14ac:dyDescent="0.3">
      <c r="A12772" t="s">
        <v>2037</v>
      </c>
      <c r="B12772" t="s">
        <v>2159</v>
      </c>
      <c r="C12772">
        <v>4.5</v>
      </c>
      <c r="D12772">
        <v>173</v>
      </c>
      <c r="E12772">
        <f>IF(OR(B12772="vi",B12772="ii",B12772="pod"),(((D12772/100)*(C12772*VLOOKUP(B12772,'Poids des runes'!A:B,2,FALSE)))+1),(((D12772/100)*(C12772*VLOOKUP(B12772,'Poids des runes'!A:B,2,FALSE)))+1)/VLOOKUP(B12772,'Poids des runes'!A:B,2,FALSE))</f>
        <v>7.9278571428571425</v>
      </c>
      <c r="F12772">
        <f t="shared" si="199"/>
        <v>7.9278571428571425</v>
      </c>
    </row>
    <row r="12773" spans="1:6" x14ac:dyDescent="0.3">
      <c r="A12773" t="s">
        <v>2037</v>
      </c>
      <c r="B12773" t="s">
        <v>2163</v>
      </c>
      <c r="C12773">
        <v>13</v>
      </c>
      <c r="D12773">
        <v>173</v>
      </c>
      <c r="E12773">
        <f>IF(OR(B12773="vi",B12773="ii",B12773="pod"),(((D12773/100)*(C12773*VLOOKUP(B12773,'Poids des runes'!A:B,2,FALSE)))+1),(((D12773/100)*(C12773*VLOOKUP(B12773,'Poids des runes'!A:B,2,FALSE)))+1)/VLOOKUP(B12773,'Poids des runes'!A:B,2,FALSE))</f>
        <v>22.99</v>
      </c>
      <c r="F12773">
        <f t="shared" si="199"/>
        <v>22.99</v>
      </c>
    </row>
    <row r="12774" spans="1:6" x14ac:dyDescent="0.3">
      <c r="A12774" t="s">
        <v>2037</v>
      </c>
      <c r="B12774" t="s">
        <v>2137</v>
      </c>
      <c r="C12774">
        <v>13</v>
      </c>
      <c r="D12774">
        <v>173</v>
      </c>
      <c r="E12774">
        <f>IF(OR(B12774="vi",B12774="ii",B12774="pod"),(((D12774/100)*(C12774*VLOOKUP(B12774,'Poids des runes'!A:B,2,FALSE)))+1),(((D12774/100)*(C12774*VLOOKUP(B12774,'Poids des runes'!A:B,2,FALSE)))+1)/VLOOKUP(B12774,'Poids des runes'!A:B,2,FALSE))</f>
        <v>22.99</v>
      </c>
      <c r="F12774">
        <f t="shared" si="199"/>
        <v>22.99</v>
      </c>
    </row>
    <row r="12775" spans="1:6" x14ac:dyDescent="0.3">
      <c r="A12775" t="s">
        <v>2037</v>
      </c>
      <c r="B12775" t="s">
        <v>2145</v>
      </c>
      <c r="C12775">
        <v>13</v>
      </c>
      <c r="D12775">
        <v>173</v>
      </c>
      <c r="E12775">
        <f>IF(OR(B12775="vi",B12775="ii",B12775="pod"),(((D12775/100)*(C12775*VLOOKUP(B12775,'Poids des runes'!A:B,2,FALSE)))+1),(((D12775/100)*(C12775*VLOOKUP(B12775,'Poids des runes'!A:B,2,FALSE)))+1)/VLOOKUP(B12775,'Poids des runes'!A:B,2,FALSE))</f>
        <v>22.99</v>
      </c>
      <c r="F12775">
        <f t="shared" si="199"/>
        <v>22.99</v>
      </c>
    </row>
    <row r="12776" spans="1:6" x14ac:dyDescent="0.3">
      <c r="A12776" t="s">
        <v>2038</v>
      </c>
      <c r="B12776" t="s">
        <v>2128</v>
      </c>
      <c r="C12776">
        <v>175.5</v>
      </c>
      <c r="D12776">
        <v>175</v>
      </c>
      <c r="E12776">
        <f>IF(OR(B12776="vi",B12776="ii",B12776="pod"),(((D12776/100)*(C12776*VLOOKUP(B12776,'Poids des runes'!A:B,2,FALSE)))+1),(((D12776/100)*(C12776*VLOOKUP(B12776,'Poids des runes'!A:B,2,FALSE)))+1)/VLOOKUP(B12776,'Poids des runes'!A:B,2,FALSE))</f>
        <v>62.425000000000004</v>
      </c>
      <c r="F12776">
        <f t="shared" si="199"/>
        <v>62.425000000000004</v>
      </c>
    </row>
    <row r="12777" spans="1:6" x14ac:dyDescent="0.3">
      <c r="A12777" t="s">
        <v>2038</v>
      </c>
      <c r="B12777" t="s">
        <v>2130</v>
      </c>
      <c r="C12777">
        <v>40.5</v>
      </c>
      <c r="D12777">
        <v>175</v>
      </c>
      <c r="E12777">
        <f>IF(OR(B12777="vi",B12777="ii",B12777="pod"),(((D12777/100)*(C12777*VLOOKUP(B12777,'Poids des runes'!A:B,2,FALSE)))+1),(((D12777/100)*(C12777*VLOOKUP(B12777,'Poids des runes'!A:B,2,FALSE)))+1)/VLOOKUP(B12777,'Poids des runes'!A:B,2,FALSE))</f>
        <v>71.875</v>
      </c>
      <c r="F12777">
        <f t="shared" si="199"/>
        <v>71.875</v>
      </c>
    </row>
    <row r="12778" spans="1:6" x14ac:dyDescent="0.3">
      <c r="A12778" t="s">
        <v>2038</v>
      </c>
      <c r="B12778" t="s">
        <v>2131</v>
      </c>
      <c r="C12778">
        <v>40.5</v>
      </c>
      <c r="D12778">
        <v>175</v>
      </c>
      <c r="E12778">
        <f>IF(OR(B12778="vi",B12778="ii",B12778="pod"),(((D12778/100)*(C12778*VLOOKUP(B12778,'Poids des runes'!A:B,2,FALSE)))+1),(((D12778/100)*(C12778*VLOOKUP(B12778,'Poids des runes'!A:B,2,FALSE)))+1)/VLOOKUP(B12778,'Poids des runes'!A:B,2,FALSE))</f>
        <v>71.875</v>
      </c>
      <c r="F12778">
        <f t="shared" si="199"/>
        <v>71.875</v>
      </c>
    </row>
    <row r="12779" spans="1:6" x14ac:dyDescent="0.3">
      <c r="A12779" t="s">
        <v>2038</v>
      </c>
      <c r="B12779" t="s">
        <v>2127</v>
      </c>
      <c r="C12779">
        <v>40.5</v>
      </c>
      <c r="D12779">
        <v>175</v>
      </c>
      <c r="E12779">
        <f>IF(OR(B12779="vi",B12779="ii",B12779="pod"),(((D12779/100)*(C12779*VLOOKUP(B12779,'Poids des runes'!A:B,2,FALSE)))+1),(((D12779/100)*(C12779*VLOOKUP(B12779,'Poids des runes'!A:B,2,FALSE)))+1)/VLOOKUP(B12779,'Poids des runes'!A:B,2,FALSE))</f>
        <v>71.875</v>
      </c>
      <c r="F12779">
        <f t="shared" si="199"/>
        <v>71.875</v>
      </c>
    </row>
    <row r="12780" spans="1:6" x14ac:dyDescent="0.3">
      <c r="A12780" t="s">
        <v>2038</v>
      </c>
      <c r="B12780" t="s">
        <v>2129</v>
      </c>
      <c r="C12780">
        <v>35.5</v>
      </c>
      <c r="D12780">
        <v>175</v>
      </c>
      <c r="E12780">
        <f>IF(OR(B12780="vi",B12780="ii",B12780="pod"),(((D12780/100)*(C12780*VLOOKUP(B12780,'Poids des runes'!A:B,2,FALSE)))+1),(((D12780/100)*(C12780*VLOOKUP(B12780,'Poids des runes'!A:B,2,FALSE)))+1)/VLOOKUP(B12780,'Poids des runes'!A:B,2,FALSE))</f>
        <v>63.125</v>
      </c>
      <c r="F12780">
        <f t="shared" si="199"/>
        <v>63.125</v>
      </c>
    </row>
    <row r="12781" spans="1:6" x14ac:dyDescent="0.3">
      <c r="A12781" t="s">
        <v>2038</v>
      </c>
      <c r="B12781" t="s">
        <v>2134</v>
      </c>
      <c r="C12781">
        <v>5</v>
      </c>
      <c r="D12781">
        <v>175</v>
      </c>
      <c r="E12781">
        <f>IF(OR(B12781="vi",B12781="ii",B12781="pod"),(((D12781/100)*(C12781*VLOOKUP(B12781,'Poids des runes'!A:B,2,FALSE)))+1),(((D12781/100)*(C12781*VLOOKUP(B12781,'Poids des runes'!A:B,2,FALSE)))+1)/VLOOKUP(B12781,'Poids des runes'!A:B,2,FALSE))</f>
        <v>8.8000000000000007</v>
      </c>
      <c r="F12781">
        <f t="shared" si="199"/>
        <v>8.8000000000000007</v>
      </c>
    </row>
    <row r="12782" spans="1:6" x14ac:dyDescent="0.3">
      <c r="A12782" t="s">
        <v>2038</v>
      </c>
      <c r="B12782" t="s">
        <v>2161</v>
      </c>
      <c r="C12782">
        <v>15.5</v>
      </c>
      <c r="D12782">
        <v>175</v>
      </c>
      <c r="E12782">
        <f>IF(OR(B12782="vi",B12782="ii",B12782="pod"),(((D12782/100)*(C12782*VLOOKUP(B12782,'Poids des runes'!A:B,2,FALSE)))+1),(((D12782/100)*(C12782*VLOOKUP(B12782,'Poids des runes'!A:B,2,FALSE)))+1)/VLOOKUP(B12782,'Poids des runes'!A:B,2,FALSE))</f>
        <v>27.458333333333332</v>
      </c>
      <c r="F12782">
        <f t="shared" si="199"/>
        <v>27.458333333333332</v>
      </c>
    </row>
    <row r="12783" spans="1:6" x14ac:dyDescent="0.3">
      <c r="A12783" t="s">
        <v>2038</v>
      </c>
      <c r="B12783" t="s">
        <v>2165</v>
      </c>
      <c r="C12783">
        <v>6.5</v>
      </c>
      <c r="D12783">
        <v>175</v>
      </c>
      <c r="E12783">
        <f>IF(OR(B12783="vi",B12783="ii",B12783="pod"),(((D12783/100)*(C12783*VLOOKUP(B12783,'Poids des runes'!A:B,2,FALSE)))+1),(((D12783/100)*(C12783*VLOOKUP(B12783,'Poids des runes'!A:B,2,FALSE)))+1)/VLOOKUP(B12783,'Poids des runes'!A:B,2,FALSE))</f>
        <v>11.517857142857142</v>
      </c>
      <c r="F12783">
        <f t="shared" si="199"/>
        <v>11.517857142857142</v>
      </c>
    </row>
    <row r="12784" spans="1:6" x14ac:dyDescent="0.3">
      <c r="A12784" t="s">
        <v>2038</v>
      </c>
      <c r="B12784" t="s">
        <v>2156</v>
      </c>
      <c r="C12784">
        <v>6</v>
      </c>
      <c r="D12784">
        <v>175</v>
      </c>
      <c r="E12784">
        <f>IF(OR(B12784="vi",B12784="ii",B12784="pod"),(((D12784/100)*(C12784*VLOOKUP(B12784,'Poids des runes'!A:B,2,FALSE)))+1),(((D12784/100)*(C12784*VLOOKUP(B12784,'Poids des runes'!A:B,2,FALSE)))+1)/VLOOKUP(B12784,'Poids des runes'!A:B,2,FALSE))</f>
        <v>10.666666666666666</v>
      </c>
      <c r="F12784">
        <f t="shared" si="199"/>
        <v>10.666666666666666</v>
      </c>
    </row>
    <row r="12785" spans="1:6" x14ac:dyDescent="0.3">
      <c r="A12785" t="s">
        <v>2038</v>
      </c>
      <c r="B12785" t="s">
        <v>2148</v>
      </c>
      <c r="C12785">
        <v>6</v>
      </c>
      <c r="D12785">
        <v>175</v>
      </c>
      <c r="E12785">
        <f>IF(OR(B12785="vi",B12785="ii",B12785="pod"),(((D12785/100)*(C12785*VLOOKUP(B12785,'Poids des runes'!A:B,2,FALSE)))+1),(((D12785/100)*(C12785*VLOOKUP(B12785,'Poids des runes'!A:B,2,FALSE)))+1)/VLOOKUP(B12785,'Poids des runes'!A:B,2,FALSE))</f>
        <v>10.666666666666666</v>
      </c>
      <c r="F12785">
        <f t="shared" si="199"/>
        <v>10.666666666666666</v>
      </c>
    </row>
    <row r="12786" spans="1:6" x14ac:dyDescent="0.3">
      <c r="A12786" t="s">
        <v>2038</v>
      </c>
      <c r="B12786" t="s">
        <v>2144</v>
      </c>
      <c r="C12786">
        <v>8</v>
      </c>
      <c r="D12786">
        <v>175</v>
      </c>
      <c r="E12786">
        <f>IF(OR(B12786="vi",B12786="ii",B12786="pod"),(((D12786/100)*(C12786*VLOOKUP(B12786,'Poids des runes'!A:B,2,FALSE)))+1),(((D12786/100)*(C12786*VLOOKUP(B12786,'Poids des runes'!A:B,2,FALSE)))+1)/VLOOKUP(B12786,'Poids des runes'!A:B,2,FALSE))</f>
        <v>14.5</v>
      </c>
      <c r="F12786">
        <f t="shared" si="199"/>
        <v>14.5</v>
      </c>
    </row>
    <row r="12787" spans="1:6" x14ac:dyDescent="0.3">
      <c r="A12787" t="s">
        <v>2038</v>
      </c>
      <c r="B12787" t="s">
        <v>2146</v>
      </c>
      <c r="C12787">
        <v>8</v>
      </c>
      <c r="D12787">
        <v>175</v>
      </c>
      <c r="E12787">
        <f>IF(OR(B12787="vi",B12787="ii",B12787="pod"),(((D12787/100)*(C12787*VLOOKUP(B12787,'Poids des runes'!A:B,2,FALSE)))+1),(((D12787/100)*(C12787*VLOOKUP(B12787,'Poids des runes'!A:B,2,FALSE)))+1)/VLOOKUP(B12787,'Poids des runes'!A:B,2,FALSE))</f>
        <v>14.5</v>
      </c>
      <c r="F12787">
        <f t="shared" si="199"/>
        <v>14.5</v>
      </c>
    </row>
    <row r="12788" spans="1:6" x14ac:dyDescent="0.3">
      <c r="A12788" t="s">
        <v>2039</v>
      </c>
      <c r="B12788" t="s">
        <v>2128</v>
      </c>
      <c r="C12788">
        <v>175.5</v>
      </c>
      <c r="D12788">
        <v>175</v>
      </c>
      <c r="E12788">
        <f>IF(OR(B12788="vi",B12788="ii",B12788="pod"),(((D12788/100)*(C12788*VLOOKUP(B12788,'Poids des runes'!A:B,2,FALSE)))+1),(((D12788/100)*(C12788*VLOOKUP(B12788,'Poids des runes'!A:B,2,FALSE)))+1)/VLOOKUP(B12788,'Poids des runes'!A:B,2,FALSE))</f>
        <v>62.425000000000004</v>
      </c>
      <c r="F12788">
        <f t="shared" si="199"/>
        <v>62.425000000000004</v>
      </c>
    </row>
    <row r="12789" spans="1:6" x14ac:dyDescent="0.3">
      <c r="A12789" t="s">
        <v>2039</v>
      </c>
      <c r="B12789" t="s">
        <v>2131</v>
      </c>
      <c r="C12789">
        <v>25.5</v>
      </c>
      <c r="D12789">
        <v>175</v>
      </c>
      <c r="E12789">
        <f>IF(OR(B12789="vi",B12789="ii",B12789="pod"),(((D12789/100)*(C12789*VLOOKUP(B12789,'Poids des runes'!A:B,2,FALSE)))+1),(((D12789/100)*(C12789*VLOOKUP(B12789,'Poids des runes'!A:B,2,FALSE)))+1)/VLOOKUP(B12789,'Poids des runes'!A:B,2,FALSE))</f>
        <v>45.625</v>
      </c>
      <c r="F12789">
        <f t="shared" si="199"/>
        <v>45.625</v>
      </c>
    </row>
    <row r="12790" spans="1:6" x14ac:dyDescent="0.3">
      <c r="A12790" t="s">
        <v>2039</v>
      </c>
      <c r="B12790" t="s">
        <v>2129</v>
      </c>
      <c r="C12790">
        <v>35.5</v>
      </c>
      <c r="D12790">
        <v>175</v>
      </c>
      <c r="E12790">
        <f>IF(OR(B12790="vi",B12790="ii",B12790="pod"),(((D12790/100)*(C12790*VLOOKUP(B12790,'Poids des runes'!A:B,2,FALSE)))+1),(((D12790/100)*(C12790*VLOOKUP(B12790,'Poids des runes'!A:B,2,FALSE)))+1)/VLOOKUP(B12790,'Poids des runes'!A:B,2,FALSE))</f>
        <v>63.125</v>
      </c>
      <c r="F12790">
        <f t="shared" si="199"/>
        <v>63.125</v>
      </c>
    </row>
    <row r="12791" spans="1:6" x14ac:dyDescent="0.3">
      <c r="A12791" t="s">
        <v>2039</v>
      </c>
      <c r="B12791" t="s">
        <v>2139</v>
      </c>
      <c r="C12791">
        <v>25.5</v>
      </c>
      <c r="D12791">
        <v>175</v>
      </c>
      <c r="E12791">
        <f>IF(OR(B12791="vi",B12791="ii",B12791="pod"),(((D12791/100)*(C12791*VLOOKUP(B12791,'Poids des runes'!A:B,2,FALSE)))+1),(((D12791/100)*(C12791*VLOOKUP(B12791,'Poids des runes'!A:B,2,FALSE)))+1)/VLOOKUP(B12791,'Poids des runes'!A:B,2,FALSE))</f>
        <v>45.125</v>
      </c>
      <c r="F12791">
        <f t="shared" si="199"/>
        <v>45.125</v>
      </c>
    </row>
    <row r="12792" spans="1:6" x14ac:dyDescent="0.3">
      <c r="A12792" t="s">
        <v>2039</v>
      </c>
      <c r="B12792" t="s">
        <v>2151</v>
      </c>
      <c r="C12792">
        <v>3.5</v>
      </c>
      <c r="D12792">
        <v>175</v>
      </c>
      <c r="E12792">
        <f>IF(OR(B12792="vi",B12792="ii",B12792="pod"),(((D12792/100)*(C12792*VLOOKUP(B12792,'Poids des runes'!A:B,2,FALSE)))+1),(((D12792/100)*(C12792*VLOOKUP(B12792,'Poids des runes'!A:B,2,FALSE)))+1)/VLOOKUP(B12792,'Poids des runes'!A:B,2,FALSE))</f>
        <v>6.2249999999999996</v>
      </c>
      <c r="F12792">
        <f t="shared" si="199"/>
        <v>6.2249999999999996</v>
      </c>
    </row>
    <row r="12793" spans="1:6" x14ac:dyDescent="0.3">
      <c r="A12793" t="s">
        <v>2039</v>
      </c>
      <c r="B12793" t="s">
        <v>2140</v>
      </c>
      <c r="C12793">
        <v>8.5</v>
      </c>
      <c r="D12793">
        <v>175</v>
      </c>
      <c r="E12793">
        <f>IF(OR(B12793="vi",B12793="ii",B12793="pod"),(((D12793/100)*(C12793*VLOOKUP(B12793,'Poids des runes'!A:B,2,FALSE)))+1),(((D12793/100)*(C12793*VLOOKUP(B12793,'Poids des runes'!A:B,2,FALSE)))+1)/VLOOKUP(B12793,'Poids des runes'!A:B,2,FALSE))</f>
        <v>15.074999999999999</v>
      </c>
      <c r="F12793">
        <f t="shared" si="199"/>
        <v>15.074999999999999</v>
      </c>
    </row>
    <row r="12794" spans="1:6" x14ac:dyDescent="0.3">
      <c r="A12794" t="s">
        <v>2039</v>
      </c>
      <c r="B12794" t="s">
        <v>2133</v>
      </c>
      <c r="C12794">
        <v>8.5</v>
      </c>
      <c r="D12794">
        <v>175</v>
      </c>
      <c r="E12794">
        <f>IF(OR(B12794="vi",B12794="ii",B12794="pod"),(((D12794/100)*(C12794*VLOOKUP(B12794,'Poids des runes'!A:B,2,FALSE)))+1),(((D12794/100)*(C12794*VLOOKUP(B12794,'Poids des runes'!A:B,2,FALSE)))+1)/VLOOKUP(B12794,'Poids des runes'!A:B,2,FALSE))</f>
        <v>15.074999999999999</v>
      </c>
      <c r="F12794">
        <f t="shared" si="199"/>
        <v>15.074999999999999</v>
      </c>
    </row>
    <row r="12795" spans="1:6" x14ac:dyDescent="0.3">
      <c r="A12795" t="s">
        <v>2039</v>
      </c>
      <c r="B12795" t="s">
        <v>2153</v>
      </c>
      <c r="C12795">
        <v>8.5</v>
      </c>
      <c r="D12795">
        <v>175</v>
      </c>
      <c r="E12795">
        <f>IF(OR(B12795="vi",B12795="ii",B12795="pod"),(((D12795/100)*(C12795*VLOOKUP(B12795,'Poids des runes'!A:B,2,FALSE)))+1),(((D12795/100)*(C12795*VLOOKUP(B12795,'Poids des runes'!A:B,2,FALSE)))+1)/VLOOKUP(B12795,'Poids des runes'!A:B,2,FALSE))</f>
        <v>15.074999999999999</v>
      </c>
      <c r="F12795">
        <f t="shared" si="199"/>
        <v>15.074999999999999</v>
      </c>
    </row>
    <row r="12796" spans="1:6" x14ac:dyDescent="0.3">
      <c r="A12796" t="s">
        <v>2039</v>
      </c>
      <c r="B12796" t="s">
        <v>2161</v>
      </c>
      <c r="C12796">
        <v>15.5</v>
      </c>
      <c r="D12796">
        <v>175</v>
      </c>
      <c r="E12796">
        <f>IF(OR(B12796="vi",B12796="ii",B12796="pod"),(((D12796/100)*(C12796*VLOOKUP(B12796,'Poids des runes'!A:B,2,FALSE)))+1),(((D12796/100)*(C12796*VLOOKUP(B12796,'Poids des runes'!A:B,2,FALSE)))+1)/VLOOKUP(B12796,'Poids des runes'!A:B,2,FALSE))</f>
        <v>27.458333333333332</v>
      </c>
      <c r="F12796">
        <f t="shared" si="199"/>
        <v>27.458333333333332</v>
      </c>
    </row>
    <row r="12797" spans="1:6" x14ac:dyDescent="0.3">
      <c r="A12797" t="s">
        <v>2039</v>
      </c>
      <c r="B12797" t="s">
        <v>2141</v>
      </c>
      <c r="C12797">
        <v>4.5</v>
      </c>
      <c r="D12797">
        <v>175</v>
      </c>
      <c r="E12797">
        <f>IF(OR(B12797="vi",B12797="ii",B12797="pod"),(((D12797/100)*(C12797*VLOOKUP(B12797,'Poids des runes'!A:B,2,FALSE)))+1),(((D12797/100)*(C12797*VLOOKUP(B12797,'Poids des runes'!A:B,2,FALSE)))+1)/VLOOKUP(B12797,'Poids des runes'!A:B,2,FALSE))</f>
        <v>8.125</v>
      </c>
      <c r="F12797">
        <f t="shared" si="199"/>
        <v>8.125</v>
      </c>
    </row>
    <row r="12798" spans="1:6" x14ac:dyDescent="0.3">
      <c r="A12798" t="s">
        <v>2039</v>
      </c>
      <c r="B12798" t="s">
        <v>2159</v>
      </c>
      <c r="C12798">
        <v>4.5</v>
      </c>
      <c r="D12798">
        <v>175</v>
      </c>
      <c r="E12798">
        <f>IF(OR(B12798="vi",B12798="ii",B12798="pod"),(((D12798/100)*(C12798*VLOOKUP(B12798,'Poids des runes'!A:B,2,FALSE)))+1),(((D12798/100)*(C12798*VLOOKUP(B12798,'Poids des runes'!A:B,2,FALSE)))+1)/VLOOKUP(B12798,'Poids des runes'!A:B,2,FALSE))</f>
        <v>8.0178571428571423</v>
      </c>
      <c r="F12798">
        <f t="shared" si="199"/>
        <v>8.0178571428571423</v>
      </c>
    </row>
    <row r="12799" spans="1:6" x14ac:dyDescent="0.3">
      <c r="A12799" t="s">
        <v>2039</v>
      </c>
      <c r="B12799" t="s">
        <v>2148</v>
      </c>
      <c r="C12799">
        <v>8.5</v>
      </c>
      <c r="D12799">
        <v>175</v>
      </c>
      <c r="E12799">
        <f>IF(OR(B12799="vi",B12799="ii",B12799="pod"),(((D12799/100)*(C12799*VLOOKUP(B12799,'Poids des runes'!A:B,2,FALSE)))+1),(((D12799/100)*(C12799*VLOOKUP(B12799,'Poids des runes'!A:B,2,FALSE)))+1)/VLOOKUP(B12799,'Poids des runes'!A:B,2,FALSE))</f>
        <v>15.041666666666666</v>
      </c>
      <c r="F12799">
        <f t="shared" si="199"/>
        <v>15.041666666666666</v>
      </c>
    </row>
    <row r="12800" spans="1:6" x14ac:dyDescent="0.3">
      <c r="A12800" t="s">
        <v>2039</v>
      </c>
      <c r="B12800" t="s">
        <v>2146</v>
      </c>
      <c r="C12800">
        <v>8.5</v>
      </c>
      <c r="D12800">
        <v>175</v>
      </c>
      <c r="E12800">
        <f>IF(OR(B12800="vi",B12800="ii",B12800="pod"),(((D12800/100)*(C12800*VLOOKUP(B12800,'Poids des runes'!A:B,2,FALSE)))+1),(((D12800/100)*(C12800*VLOOKUP(B12800,'Poids des runes'!A:B,2,FALSE)))+1)/VLOOKUP(B12800,'Poids des runes'!A:B,2,FALSE))</f>
        <v>15.375</v>
      </c>
      <c r="F12800">
        <f t="shared" si="199"/>
        <v>15.375</v>
      </c>
    </row>
    <row r="12801" spans="1:6" x14ac:dyDescent="0.3">
      <c r="A12801" t="s">
        <v>2040</v>
      </c>
      <c r="B12801" t="s">
        <v>2128</v>
      </c>
      <c r="C12801">
        <v>225.5</v>
      </c>
      <c r="D12801">
        <v>175</v>
      </c>
      <c r="E12801">
        <f>IF(OR(B12801="vi",B12801="ii",B12801="pod"),(((D12801/100)*(C12801*VLOOKUP(B12801,'Poids des runes'!A:B,2,FALSE)))+1),(((D12801/100)*(C12801*VLOOKUP(B12801,'Poids des runes'!A:B,2,FALSE)))+1)/VLOOKUP(B12801,'Poids des runes'!A:B,2,FALSE))</f>
        <v>79.924999999999997</v>
      </c>
      <c r="F12801">
        <f t="shared" si="199"/>
        <v>79.924999999999997</v>
      </c>
    </row>
    <row r="12802" spans="1:6" x14ac:dyDescent="0.3">
      <c r="A12802" t="s">
        <v>2040</v>
      </c>
      <c r="B12802" t="s">
        <v>2127</v>
      </c>
      <c r="C12802">
        <v>50.5</v>
      </c>
      <c r="D12802">
        <v>175</v>
      </c>
      <c r="E12802">
        <f>IF(OR(B12802="vi",B12802="ii",B12802="pod"),(((D12802/100)*(C12802*VLOOKUP(B12802,'Poids des runes'!A:B,2,FALSE)))+1),(((D12802/100)*(C12802*VLOOKUP(B12802,'Poids des runes'!A:B,2,FALSE)))+1)/VLOOKUP(B12802,'Poids des runes'!A:B,2,FALSE))</f>
        <v>89.375</v>
      </c>
      <c r="F12802">
        <f t="shared" si="199"/>
        <v>89.375</v>
      </c>
    </row>
    <row r="12803" spans="1:6" x14ac:dyDescent="0.3">
      <c r="A12803" t="s">
        <v>2040</v>
      </c>
      <c r="B12803" t="s">
        <v>2129</v>
      </c>
      <c r="C12803">
        <v>35.5</v>
      </c>
      <c r="D12803">
        <v>175</v>
      </c>
      <c r="E12803">
        <f>IF(OR(B12803="vi",B12803="ii",B12803="pod"),(((D12803/100)*(C12803*VLOOKUP(B12803,'Poids des runes'!A:B,2,FALSE)))+1),(((D12803/100)*(C12803*VLOOKUP(B12803,'Poids des runes'!A:B,2,FALSE)))+1)/VLOOKUP(B12803,'Poids des runes'!A:B,2,FALSE))</f>
        <v>63.125</v>
      </c>
      <c r="F12803">
        <f t="shared" ref="F12803:F12866" si="200">E12803</f>
        <v>63.125</v>
      </c>
    </row>
    <row r="12804" spans="1:6" x14ac:dyDescent="0.3">
      <c r="A12804" t="s">
        <v>2040</v>
      </c>
      <c r="B12804" t="s">
        <v>2151</v>
      </c>
      <c r="C12804">
        <v>3.5</v>
      </c>
      <c r="D12804">
        <v>175</v>
      </c>
      <c r="E12804">
        <f>IF(OR(B12804="vi",B12804="ii",B12804="pod"),(((D12804/100)*(C12804*VLOOKUP(B12804,'Poids des runes'!A:B,2,FALSE)))+1),(((D12804/100)*(C12804*VLOOKUP(B12804,'Poids des runes'!A:B,2,FALSE)))+1)/VLOOKUP(B12804,'Poids des runes'!A:B,2,FALSE))</f>
        <v>6.2249999999999996</v>
      </c>
      <c r="F12804">
        <f t="shared" si="200"/>
        <v>6.2249999999999996</v>
      </c>
    </row>
    <row r="12805" spans="1:6" x14ac:dyDescent="0.3">
      <c r="A12805" t="s">
        <v>2040</v>
      </c>
      <c r="B12805" t="s">
        <v>2150</v>
      </c>
      <c r="C12805">
        <v>1</v>
      </c>
      <c r="D12805">
        <v>175</v>
      </c>
      <c r="E12805">
        <f>IF(OR(B12805="vi",B12805="ii",B12805="pod"),(((D12805/100)*(C12805*VLOOKUP(B12805,'Poids des runes'!A:B,2,FALSE)))+1),(((D12805/100)*(C12805*VLOOKUP(B12805,'Poids des runes'!A:B,2,FALSE)))+1)/VLOOKUP(B12805,'Poids des runes'!A:B,2,FALSE))</f>
        <v>1.7833333333333334</v>
      </c>
      <c r="F12805">
        <f t="shared" si="200"/>
        <v>1.7833333333333334</v>
      </c>
    </row>
    <row r="12806" spans="1:6" x14ac:dyDescent="0.3">
      <c r="A12806" t="s">
        <v>2040</v>
      </c>
      <c r="B12806" t="s">
        <v>2153</v>
      </c>
      <c r="C12806">
        <v>8.5</v>
      </c>
      <c r="D12806">
        <v>175</v>
      </c>
      <c r="E12806">
        <f>IF(OR(B12806="vi",B12806="ii",B12806="pod"),(((D12806/100)*(C12806*VLOOKUP(B12806,'Poids des runes'!A:B,2,FALSE)))+1),(((D12806/100)*(C12806*VLOOKUP(B12806,'Poids des runes'!A:B,2,FALSE)))+1)/VLOOKUP(B12806,'Poids des runes'!A:B,2,FALSE))</f>
        <v>15.074999999999999</v>
      </c>
      <c r="F12806">
        <f t="shared" si="200"/>
        <v>15.074999999999999</v>
      </c>
    </row>
    <row r="12807" spans="1:6" x14ac:dyDescent="0.3">
      <c r="A12807" t="s">
        <v>2040</v>
      </c>
      <c r="B12807" t="s">
        <v>2141</v>
      </c>
      <c r="C12807">
        <v>6</v>
      </c>
      <c r="D12807">
        <v>175</v>
      </c>
      <c r="E12807">
        <f>IF(OR(B12807="vi",B12807="ii",B12807="pod"),(((D12807/100)*(C12807*VLOOKUP(B12807,'Poids des runes'!A:B,2,FALSE)))+1),(((D12807/100)*(C12807*VLOOKUP(B12807,'Poids des runes'!A:B,2,FALSE)))+1)/VLOOKUP(B12807,'Poids des runes'!A:B,2,FALSE))</f>
        <v>10.75</v>
      </c>
      <c r="F12807">
        <f t="shared" si="200"/>
        <v>10.75</v>
      </c>
    </row>
    <row r="12808" spans="1:6" x14ac:dyDescent="0.3">
      <c r="A12808" t="s">
        <v>2040</v>
      </c>
      <c r="B12808" t="s">
        <v>2162</v>
      </c>
      <c r="C12808">
        <v>6.5</v>
      </c>
      <c r="D12808">
        <v>175</v>
      </c>
      <c r="E12808">
        <f>IF(OR(B12808="vi",B12808="ii",B12808="pod"),(((D12808/100)*(C12808*VLOOKUP(B12808,'Poids des runes'!A:B,2,FALSE)))+1),(((D12808/100)*(C12808*VLOOKUP(B12808,'Poids des runes'!A:B,2,FALSE)))+1)/VLOOKUP(B12808,'Poids des runes'!A:B,2,FALSE))</f>
        <v>11.517857142857142</v>
      </c>
      <c r="F12808">
        <f t="shared" si="200"/>
        <v>11.517857142857142</v>
      </c>
    </row>
    <row r="12809" spans="1:6" x14ac:dyDescent="0.3">
      <c r="A12809" t="s">
        <v>2040</v>
      </c>
      <c r="B12809" t="s">
        <v>2148</v>
      </c>
      <c r="C12809">
        <v>6</v>
      </c>
      <c r="D12809">
        <v>175</v>
      </c>
      <c r="E12809">
        <f>IF(OR(B12809="vi",B12809="ii",B12809="pod"),(((D12809/100)*(C12809*VLOOKUP(B12809,'Poids des runes'!A:B,2,FALSE)))+1),(((D12809/100)*(C12809*VLOOKUP(B12809,'Poids des runes'!A:B,2,FALSE)))+1)/VLOOKUP(B12809,'Poids des runes'!A:B,2,FALSE))</f>
        <v>10.666666666666666</v>
      </c>
      <c r="F12809">
        <f t="shared" si="200"/>
        <v>10.666666666666666</v>
      </c>
    </row>
    <row r="12810" spans="1:6" x14ac:dyDescent="0.3">
      <c r="A12810" t="s">
        <v>2040</v>
      </c>
      <c r="B12810" t="s">
        <v>2135</v>
      </c>
      <c r="C12810">
        <v>6</v>
      </c>
      <c r="D12810">
        <v>175</v>
      </c>
      <c r="E12810">
        <f>IF(OR(B12810="vi",B12810="ii",B12810="pod"),(((D12810/100)*(C12810*VLOOKUP(B12810,'Poids des runes'!A:B,2,FALSE)))+1),(((D12810/100)*(C12810*VLOOKUP(B12810,'Poids des runes'!A:B,2,FALSE)))+1)/VLOOKUP(B12810,'Poids des runes'!A:B,2,FALSE))</f>
        <v>10.666666666666666</v>
      </c>
      <c r="F12810">
        <f t="shared" si="200"/>
        <v>10.666666666666666</v>
      </c>
    </row>
    <row r="12811" spans="1:6" x14ac:dyDescent="0.3">
      <c r="A12811" t="s">
        <v>2040</v>
      </c>
      <c r="B12811" t="s">
        <v>2136</v>
      </c>
      <c r="C12811">
        <v>10.5</v>
      </c>
      <c r="D12811">
        <v>175</v>
      </c>
      <c r="E12811">
        <f>IF(OR(B12811="vi",B12811="ii",B12811="pod"),(((D12811/100)*(C12811*VLOOKUP(B12811,'Poids des runes'!A:B,2,FALSE)))+1),(((D12811/100)*(C12811*VLOOKUP(B12811,'Poids des runes'!A:B,2,FALSE)))+1)/VLOOKUP(B12811,'Poids des runes'!A:B,2,FALSE))</f>
        <v>18.875</v>
      </c>
      <c r="F12811">
        <f t="shared" si="200"/>
        <v>18.875</v>
      </c>
    </row>
    <row r="12812" spans="1:6" x14ac:dyDescent="0.3">
      <c r="A12812" t="s">
        <v>2040</v>
      </c>
      <c r="B12812" t="s">
        <v>2144</v>
      </c>
      <c r="C12812">
        <v>10.5</v>
      </c>
      <c r="D12812">
        <v>175</v>
      </c>
      <c r="E12812">
        <f>IF(OR(B12812="vi",B12812="ii",B12812="pod"),(((D12812/100)*(C12812*VLOOKUP(B12812,'Poids des runes'!A:B,2,FALSE)))+1),(((D12812/100)*(C12812*VLOOKUP(B12812,'Poids des runes'!A:B,2,FALSE)))+1)/VLOOKUP(B12812,'Poids des runes'!A:B,2,FALSE))</f>
        <v>18.875</v>
      </c>
      <c r="F12812">
        <f t="shared" si="200"/>
        <v>18.875</v>
      </c>
    </row>
    <row r="12813" spans="1:6" x14ac:dyDescent="0.3">
      <c r="A12813" t="s">
        <v>2041</v>
      </c>
      <c r="B12813" t="s">
        <v>2128</v>
      </c>
      <c r="C12813">
        <v>225.5</v>
      </c>
      <c r="D12813">
        <v>176</v>
      </c>
      <c r="E12813">
        <f>IF(OR(B12813="vi",B12813="ii",B12813="pod"),(((D12813/100)*(C12813*VLOOKUP(B12813,'Poids des runes'!A:B,2,FALSE)))+1),(((D12813/100)*(C12813*VLOOKUP(B12813,'Poids des runes'!A:B,2,FALSE)))+1)/VLOOKUP(B12813,'Poids des runes'!A:B,2,FALSE))</f>
        <v>80.376000000000005</v>
      </c>
      <c r="F12813">
        <f t="shared" si="200"/>
        <v>80.376000000000005</v>
      </c>
    </row>
    <row r="12814" spans="1:6" x14ac:dyDescent="0.3">
      <c r="A12814" t="s">
        <v>2041</v>
      </c>
      <c r="B12814" t="s">
        <v>2126</v>
      </c>
      <c r="C12814">
        <v>40.5</v>
      </c>
      <c r="D12814">
        <v>176</v>
      </c>
      <c r="E12814">
        <f>IF(OR(B12814="vi",B12814="ii",B12814="pod"),(((D12814/100)*(C12814*VLOOKUP(B12814,'Poids des runes'!A:B,2,FALSE)))+1),(((D12814/100)*(C12814*VLOOKUP(B12814,'Poids des runes'!A:B,2,FALSE)))+1)/VLOOKUP(B12814,'Poids des runes'!A:B,2,FALSE))</f>
        <v>72.28</v>
      </c>
      <c r="F12814">
        <f t="shared" si="200"/>
        <v>72.28</v>
      </c>
    </row>
    <row r="12815" spans="1:6" x14ac:dyDescent="0.3">
      <c r="A12815" t="s">
        <v>2041</v>
      </c>
      <c r="B12815" t="s">
        <v>2129</v>
      </c>
      <c r="C12815">
        <v>28</v>
      </c>
      <c r="D12815">
        <v>176</v>
      </c>
      <c r="E12815">
        <f>IF(OR(B12815="vi",B12815="ii",B12815="pod"),(((D12815/100)*(C12815*VLOOKUP(B12815,'Poids des runes'!A:B,2,FALSE)))+1),(((D12815/100)*(C12815*VLOOKUP(B12815,'Poids des runes'!A:B,2,FALSE)))+1)/VLOOKUP(B12815,'Poids des runes'!A:B,2,FALSE))</f>
        <v>50.28</v>
      </c>
      <c r="F12815">
        <f t="shared" si="200"/>
        <v>50.28</v>
      </c>
    </row>
    <row r="12816" spans="1:6" x14ac:dyDescent="0.3">
      <c r="A12816" t="s">
        <v>2041</v>
      </c>
      <c r="B12816" t="s">
        <v>2134</v>
      </c>
      <c r="C12816">
        <v>8</v>
      </c>
      <c r="D12816">
        <v>176</v>
      </c>
      <c r="E12816">
        <f>IF(OR(B12816="vi",B12816="ii",B12816="pod"),(((D12816/100)*(C12816*VLOOKUP(B12816,'Poids des runes'!A:B,2,FALSE)))+1),(((D12816/100)*(C12816*VLOOKUP(B12816,'Poids des runes'!A:B,2,FALSE)))+1)/VLOOKUP(B12816,'Poids des runes'!A:B,2,FALSE))</f>
        <v>14.13</v>
      </c>
      <c r="F12816">
        <f t="shared" si="200"/>
        <v>14.13</v>
      </c>
    </row>
    <row r="12817" spans="1:6" x14ac:dyDescent="0.3">
      <c r="A12817" t="s">
        <v>2041</v>
      </c>
      <c r="B12817" t="s">
        <v>2156</v>
      </c>
      <c r="C12817">
        <v>6</v>
      </c>
      <c r="D12817">
        <v>176</v>
      </c>
      <c r="E12817">
        <f>IF(OR(B12817="vi",B12817="ii",B12817="pod"),(((D12817/100)*(C12817*VLOOKUP(B12817,'Poids des runes'!A:B,2,FALSE)))+1),(((D12817/100)*(C12817*VLOOKUP(B12817,'Poids des runes'!A:B,2,FALSE)))+1)/VLOOKUP(B12817,'Poids des runes'!A:B,2,FALSE))</f>
        <v>10.726666666666667</v>
      </c>
      <c r="F12817">
        <f t="shared" si="200"/>
        <v>10.726666666666667</v>
      </c>
    </row>
    <row r="12818" spans="1:6" x14ac:dyDescent="0.3">
      <c r="A12818" t="s">
        <v>2041</v>
      </c>
      <c r="B12818" t="s">
        <v>2148</v>
      </c>
      <c r="C12818">
        <v>6</v>
      </c>
      <c r="D12818">
        <v>176</v>
      </c>
      <c r="E12818">
        <f>IF(OR(B12818="vi",B12818="ii",B12818="pod"),(((D12818/100)*(C12818*VLOOKUP(B12818,'Poids des runes'!A:B,2,FALSE)))+1),(((D12818/100)*(C12818*VLOOKUP(B12818,'Poids des runes'!A:B,2,FALSE)))+1)/VLOOKUP(B12818,'Poids des runes'!A:B,2,FALSE))</f>
        <v>10.726666666666667</v>
      </c>
      <c r="F12818">
        <f t="shared" si="200"/>
        <v>10.726666666666667</v>
      </c>
    </row>
    <row r="12819" spans="1:6" x14ac:dyDescent="0.3">
      <c r="A12819" t="s">
        <v>2041</v>
      </c>
      <c r="B12819" t="s">
        <v>2135</v>
      </c>
      <c r="C12819">
        <v>6</v>
      </c>
      <c r="D12819">
        <v>176</v>
      </c>
      <c r="E12819">
        <f>IF(OR(B12819="vi",B12819="ii",B12819="pod"),(((D12819/100)*(C12819*VLOOKUP(B12819,'Poids des runes'!A:B,2,FALSE)))+1),(((D12819/100)*(C12819*VLOOKUP(B12819,'Poids des runes'!A:B,2,FALSE)))+1)/VLOOKUP(B12819,'Poids des runes'!A:B,2,FALSE))</f>
        <v>10.726666666666667</v>
      </c>
      <c r="F12819">
        <f t="shared" si="200"/>
        <v>10.726666666666667</v>
      </c>
    </row>
    <row r="12820" spans="1:6" x14ac:dyDescent="0.3">
      <c r="A12820" t="s">
        <v>2041</v>
      </c>
      <c r="B12820" t="s">
        <v>2157</v>
      </c>
      <c r="C12820">
        <v>6</v>
      </c>
      <c r="D12820">
        <v>176</v>
      </c>
      <c r="E12820">
        <f>IF(OR(B12820="vi",B12820="ii",B12820="pod"),(((D12820/100)*(C12820*VLOOKUP(B12820,'Poids des runes'!A:B,2,FALSE)))+1),(((D12820/100)*(C12820*VLOOKUP(B12820,'Poids des runes'!A:B,2,FALSE)))+1)/VLOOKUP(B12820,'Poids des runes'!A:B,2,FALSE))</f>
        <v>10.726666666666667</v>
      </c>
      <c r="F12820">
        <f t="shared" si="200"/>
        <v>10.726666666666667</v>
      </c>
    </row>
    <row r="12821" spans="1:6" x14ac:dyDescent="0.3">
      <c r="A12821" t="s">
        <v>2042</v>
      </c>
      <c r="B12821" t="s">
        <v>2128</v>
      </c>
      <c r="C12821">
        <v>225.5</v>
      </c>
      <c r="D12821">
        <v>176</v>
      </c>
      <c r="E12821">
        <f>IF(OR(B12821="vi",B12821="ii",B12821="pod"),(((D12821/100)*(C12821*VLOOKUP(B12821,'Poids des runes'!A:B,2,FALSE)))+1),(((D12821/100)*(C12821*VLOOKUP(B12821,'Poids des runes'!A:B,2,FALSE)))+1)/VLOOKUP(B12821,'Poids des runes'!A:B,2,FALSE))</f>
        <v>80.376000000000005</v>
      </c>
      <c r="F12821">
        <f t="shared" si="200"/>
        <v>80.376000000000005</v>
      </c>
    </row>
    <row r="12822" spans="1:6" x14ac:dyDescent="0.3">
      <c r="A12822" t="s">
        <v>2042</v>
      </c>
      <c r="B12822" t="s">
        <v>2126</v>
      </c>
      <c r="C12822">
        <v>50.5</v>
      </c>
      <c r="D12822">
        <v>176</v>
      </c>
      <c r="E12822">
        <f>IF(OR(B12822="vi",B12822="ii",B12822="pod"),(((D12822/100)*(C12822*VLOOKUP(B12822,'Poids des runes'!A:B,2,FALSE)))+1),(((D12822/100)*(C12822*VLOOKUP(B12822,'Poids des runes'!A:B,2,FALSE)))+1)/VLOOKUP(B12822,'Poids des runes'!A:B,2,FALSE))</f>
        <v>89.88</v>
      </c>
      <c r="F12822">
        <f t="shared" si="200"/>
        <v>89.88</v>
      </c>
    </row>
    <row r="12823" spans="1:6" x14ac:dyDescent="0.3">
      <c r="A12823" t="s">
        <v>2042</v>
      </c>
      <c r="B12823" t="s">
        <v>2129</v>
      </c>
      <c r="C12823">
        <v>45.5</v>
      </c>
      <c r="D12823">
        <v>176</v>
      </c>
      <c r="E12823">
        <f>IF(OR(B12823="vi",B12823="ii",B12823="pod"),(((D12823/100)*(C12823*VLOOKUP(B12823,'Poids des runes'!A:B,2,FALSE)))+1),(((D12823/100)*(C12823*VLOOKUP(B12823,'Poids des runes'!A:B,2,FALSE)))+1)/VLOOKUP(B12823,'Poids des runes'!A:B,2,FALSE))</f>
        <v>81.08</v>
      </c>
      <c r="F12823">
        <f t="shared" si="200"/>
        <v>81.08</v>
      </c>
    </row>
    <row r="12824" spans="1:6" x14ac:dyDescent="0.3">
      <c r="A12824" t="s">
        <v>2042</v>
      </c>
      <c r="B12824" t="s">
        <v>2150</v>
      </c>
      <c r="C12824">
        <v>1</v>
      </c>
      <c r="D12824">
        <v>176</v>
      </c>
      <c r="E12824">
        <f>IF(OR(B12824="vi",B12824="ii",B12824="pod"),(((D12824/100)*(C12824*VLOOKUP(B12824,'Poids des runes'!A:B,2,FALSE)))+1),(((D12824/100)*(C12824*VLOOKUP(B12824,'Poids des runes'!A:B,2,FALSE)))+1)/VLOOKUP(B12824,'Poids des runes'!A:B,2,FALSE))</f>
        <v>1.7933333333333332</v>
      </c>
      <c r="F12824">
        <f t="shared" si="200"/>
        <v>1.7933333333333332</v>
      </c>
    </row>
    <row r="12825" spans="1:6" x14ac:dyDescent="0.3">
      <c r="A12825" t="s">
        <v>2042</v>
      </c>
      <c r="B12825" t="s">
        <v>2140</v>
      </c>
      <c r="C12825">
        <v>10.5</v>
      </c>
      <c r="D12825">
        <v>176</v>
      </c>
      <c r="E12825">
        <f>IF(OR(B12825="vi",B12825="ii",B12825="pod"),(((D12825/100)*(C12825*VLOOKUP(B12825,'Poids des runes'!A:B,2,FALSE)))+1),(((D12825/100)*(C12825*VLOOKUP(B12825,'Poids des runes'!A:B,2,FALSE)))+1)/VLOOKUP(B12825,'Poids des runes'!A:B,2,FALSE))</f>
        <v>18.68</v>
      </c>
      <c r="F12825">
        <f t="shared" si="200"/>
        <v>18.68</v>
      </c>
    </row>
    <row r="12826" spans="1:6" x14ac:dyDescent="0.3">
      <c r="A12826" t="s">
        <v>2042</v>
      </c>
      <c r="B12826" t="s">
        <v>2149</v>
      </c>
      <c r="C12826">
        <v>6</v>
      </c>
      <c r="D12826">
        <v>176</v>
      </c>
      <c r="E12826">
        <f>IF(OR(B12826="vi",B12826="ii",B12826="pod"),(((D12826/100)*(C12826*VLOOKUP(B12826,'Poids des runes'!A:B,2,FALSE)))+1),(((D12826/100)*(C12826*VLOOKUP(B12826,'Poids des runes'!A:B,2,FALSE)))+1)/VLOOKUP(B12826,'Poids des runes'!A:B,2,FALSE))</f>
        <v>10.66</v>
      </c>
      <c r="F12826">
        <f t="shared" si="200"/>
        <v>10.66</v>
      </c>
    </row>
    <row r="12827" spans="1:6" x14ac:dyDescent="0.3">
      <c r="A12827" t="s">
        <v>2042</v>
      </c>
      <c r="B12827" t="s">
        <v>2161</v>
      </c>
      <c r="C12827">
        <v>20.5</v>
      </c>
      <c r="D12827">
        <v>176</v>
      </c>
      <c r="E12827">
        <f>IF(OR(B12827="vi",B12827="ii",B12827="pod"),(((D12827/100)*(C12827*VLOOKUP(B12827,'Poids des runes'!A:B,2,FALSE)))+1),(((D12827/100)*(C12827*VLOOKUP(B12827,'Poids des runes'!A:B,2,FALSE)))+1)/VLOOKUP(B12827,'Poids des runes'!A:B,2,FALSE))</f>
        <v>36.413333333333334</v>
      </c>
      <c r="F12827">
        <f t="shared" si="200"/>
        <v>36.413333333333334</v>
      </c>
    </row>
    <row r="12828" spans="1:6" x14ac:dyDescent="0.3">
      <c r="A12828" t="s">
        <v>2042</v>
      </c>
      <c r="B12828" t="s">
        <v>2132</v>
      </c>
      <c r="C12828">
        <v>250.5</v>
      </c>
      <c r="D12828">
        <v>176</v>
      </c>
      <c r="E12828">
        <f>IF(OR(B12828="vi",B12828="ii",B12828="pod"),(((D12828/100)*(C12828*VLOOKUP(B12828,'Poids des runes'!A:B,2,FALSE)))+1),(((D12828/100)*(C12828*VLOOKUP(B12828,'Poids des runes'!A:B,2,FALSE)))+1)/VLOOKUP(B12828,'Poids des runes'!A:B,2,FALSE))</f>
        <v>45.088000000000001</v>
      </c>
      <c r="F12828">
        <f t="shared" si="200"/>
        <v>45.088000000000001</v>
      </c>
    </row>
    <row r="12829" spans="1:6" x14ac:dyDescent="0.3">
      <c r="A12829" t="s">
        <v>2042</v>
      </c>
      <c r="B12829" t="s">
        <v>2156</v>
      </c>
      <c r="C12829">
        <v>3.5</v>
      </c>
      <c r="D12829">
        <v>176</v>
      </c>
      <c r="E12829">
        <f>IF(OR(B12829="vi",B12829="ii",B12829="pod"),(((D12829/100)*(C12829*VLOOKUP(B12829,'Poids des runes'!A:B,2,FALSE)))+1),(((D12829/100)*(C12829*VLOOKUP(B12829,'Poids des runes'!A:B,2,FALSE)))+1)/VLOOKUP(B12829,'Poids des runes'!A:B,2,FALSE))</f>
        <v>6.3266666666666671</v>
      </c>
      <c r="F12829">
        <f t="shared" si="200"/>
        <v>6.3266666666666671</v>
      </c>
    </row>
    <row r="12830" spans="1:6" x14ac:dyDescent="0.3">
      <c r="A12830" t="s">
        <v>2042</v>
      </c>
      <c r="B12830" t="s">
        <v>2148</v>
      </c>
      <c r="C12830">
        <v>6</v>
      </c>
      <c r="D12830">
        <v>176</v>
      </c>
      <c r="E12830">
        <f>IF(OR(B12830="vi",B12830="ii",B12830="pod"),(((D12830/100)*(C12830*VLOOKUP(B12830,'Poids des runes'!A:B,2,FALSE)))+1),(((D12830/100)*(C12830*VLOOKUP(B12830,'Poids des runes'!A:B,2,FALSE)))+1)/VLOOKUP(B12830,'Poids des runes'!A:B,2,FALSE))</f>
        <v>10.726666666666667</v>
      </c>
      <c r="F12830">
        <f t="shared" si="200"/>
        <v>10.726666666666667</v>
      </c>
    </row>
    <row r="12831" spans="1:6" x14ac:dyDescent="0.3">
      <c r="A12831" t="s">
        <v>2043</v>
      </c>
      <c r="B12831" t="s">
        <v>2128</v>
      </c>
      <c r="C12831">
        <v>225.5</v>
      </c>
      <c r="D12831">
        <v>176</v>
      </c>
      <c r="E12831">
        <f>IF(OR(B12831="vi",B12831="ii",B12831="pod"),(((D12831/100)*(C12831*VLOOKUP(B12831,'Poids des runes'!A:B,2,FALSE)))+1),(((D12831/100)*(C12831*VLOOKUP(B12831,'Poids des runes'!A:B,2,FALSE)))+1)/VLOOKUP(B12831,'Poids des runes'!A:B,2,FALSE))</f>
        <v>80.376000000000005</v>
      </c>
      <c r="F12831">
        <f t="shared" si="200"/>
        <v>80.376000000000005</v>
      </c>
    </row>
    <row r="12832" spans="1:6" x14ac:dyDescent="0.3">
      <c r="A12832" t="s">
        <v>2043</v>
      </c>
      <c r="B12832" t="s">
        <v>2131</v>
      </c>
      <c r="C12832">
        <v>50.5</v>
      </c>
      <c r="D12832">
        <v>176</v>
      </c>
      <c r="E12832">
        <f>IF(OR(B12832="vi",B12832="ii",B12832="pod"),(((D12832/100)*(C12832*VLOOKUP(B12832,'Poids des runes'!A:B,2,FALSE)))+1),(((D12832/100)*(C12832*VLOOKUP(B12832,'Poids des runes'!A:B,2,FALSE)))+1)/VLOOKUP(B12832,'Poids des runes'!A:B,2,FALSE))</f>
        <v>89.88</v>
      </c>
      <c r="F12832">
        <f t="shared" si="200"/>
        <v>89.88</v>
      </c>
    </row>
    <row r="12833" spans="1:6" x14ac:dyDescent="0.3">
      <c r="A12833" t="s">
        <v>2043</v>
      </c>
      <c r="B12833" t="s">
        <v>2129</v>
      </c>
      <c r="C12833">
        <v>25.5</v>
      </c>
      <c r="D12833">
        <v>176</v>
      </c>
      <c r="E12833">
        <f>IF(OR(B12833="vi",B12833="ii",B12833="pod"),(((D12833/100)*(C12833*VLOOKUP(B12833,'Poids des runes'!A:B,2,FALSE)))+1),(((D12833/100)*(C12833*VLOOKUP(B12833,'Poids des runes'!A:B,2,FALSE)))+1)/VLOOKUP(B12833,'Poids des runes'!A:B,2,FALSE))</f>
        <v>45.88</v>
      </c>
      <c r="F12833">
        <f t="shared" si="200"/>
        <v>45.88</v>
      </c>
    </row>
    <row r="12834" spans="1:6" x14ac:dyDescent="0.3">
      <c r="A12834" t="s">
        <v>2043</v>
      </c>
      <c r="B12834" t="s">
        <v>2151</v>
      </c>
      <c r="C12834">
        <v>3.5</v>
      </c>
      <c r="D12834">
        <v>176</v>
      </c>
      <c r="E12834">
        <f>IF(OR(B12834="vi",B12834="ii",B12834="pod"),(((D12834/100)*(C12834*VLOOKUP(B12834,'Poids des runes'!A:B,2,FALSE)))+1),(((D12834/100)*(C12834*VLOOKUP(B12834,'Poids des runes'!A:B,2,FALSE)))+1)/VLOOKUP(B12834,'Poids des runes'!A:B,2,FALSE))</f>
        <v>6.26</v>
      </c>
      <c r="F12834">
        <f t="shared" si="200"/>
        <v>6.26</v>
      </c>
    </row>
    <row r="12835" spans="1:6" x14ac:dyDescent="0.3">
      <c r="A12835" t="s">
        <v>2043</v>
      </c>
      <c r="B12835" t="s">
        <v>2155</v>
      </c>
      <c r="C12835">
        <v>1</v>
      </c>
      <c r="D12835">
        <v>176</v>
      </c>
      <c r="E12835">
        <f>IF(OR(B12835="vi",B12835="ii",B12835="pod"),(((D12835/100)*(C12835*VLOOKUP(B12835,'Poids des runes'!A:B,2,FALSE)))+1),(((D12835/100)*(C12835*VLOOKUP(B12835,'Poids des runes'!A:B,2,FALSE)))+1)/VLOOKUP(B12835,'Poids des runes'!A:B,2,FALSE))</f>
        <v>1.7796078431372551</v>
      </c>
      <c r="F12835">
        <f t="shared" si="200"/>
        <v>1.7796078431372551</v>
      </c>
    </row>
    <row r="12836" spans="1:6" x14ac:dyDescent="0.3">
      <c r="A12836" t="s">
        <v>2043</v>
      </c>
      <c r="B12836" t="s">
        <v>2134</v>
      </c>
      <c r="C12836">
        <v>8</v>
      </c>
      <c r="D12836">
        <v>176</v>
      </c>
      <c r="E12836">
        <f>IF(OR(B12836="vi",B12836="ii",B12836="pod"),(((D12836/100)*(C12836*VLOOKUP(B12836,'Poids des runes'!A:B,2,FALSE)))+1),(((D12836/100)*(C12836*VLOOKUP(B12836,'Poids des runes'!A:B,2,FALSE)))+1)/VLOOKUP(B12836,'Poids des runes'!A:B,2,FALSE))</f>
        <v>14.13</v>
      </c>
      <c r="F12836">
        <f t="shared" si="200"/>
        <v>14.13</v>
      </c>
    </row>
    <row r="12837" spans="1:6" x14ac:dyDescent="0.3">
      <c r="A12837" t="s">
        <v>2043</v>
      </c>
      <c r="B12837" t="s">
        <v>2161</v>
      </c>
      <c r="C12837">
        <v>15.5</v>
      </c>
      <c r="D12837">
        <v>176</v>
      </c>
      <c r="E12837">
        <f>IF(OR(B12837="vi",B12837="ii",B12837="pod"),(((D12837/100)*(C12837*VLOOKUP(B12837,'Poids des runes'!A:B,2,FALSE)))+1),(((D12837/100)*(C12837*VLOOKUP(B12837,'Poids des runes'!A:B,2,FALSE)))+1)/VLOOKUP(B12837,'Poids des runes'!A:B,2,FALSE))</f>
        <v>27.613333333333333</v>
      </c>
      <c r="F12837">
        <f t="shared" si="200"/>
        <v>27.613333333333333</v>
      </c>
    </row>
    <row r="12838" spans="1:6" x14ac:dyDescent="0.3">
      <c r="A12838" t="s">
        <v>2043</v>
      </c>
      <c r="B12838" t="s">
        <v>2137</v>
      </c>
      <c r="C12838">
        <v>8</v>
      </c>
      <c r="D12838">
        <v>176</v>
      </c>
      <c r="E12838">
        <f>IF(OR(B12838="vi",B12838="ii",B12838="pod"),(((D12838/100)*(C12838*VLOOKUP(B12838,'Poids des runes'!A:B,2,FALSE)))+1),(((D12838/100)*(C12838*VLOOKUP(B12838,'Poids des runes'!A:B,2,FALSE)))+1)/VLOOKUP(B12838,'Poids des runes'!A:B,2,FALSE))</f>
        <v>14.58</v>
      </c>
      <c r="F12838">
        <f t="shared" si="200"/>
        <v>14.58</v>
      </c>
    </row>
    <row r="12839" spans="1:6" x14ac:dyDescent="0.3">
      <c r="A12839" t="s">
        <v>2044</v>
      </c>
      <c r="B12839" t="s">
        <v>2128</v>
      </c>
      <c r="C12839">
        <v>125.5</v>
      </c>
      <c r="D12839">
        <v>177</v>
      </c>
      <c r="E12839">
        <f>IF(OR(B12839="vi",B12839="ii",B12839="pod"),(((D12839/100)*(C12839*VLOOKUP(B12839,'Poids des runes'!A:B,2,FALSE)))+1),(((D12839/100)*(C12839*VLOOKUP(B12839,'Poids des runes'!A:B,2,FALSE)))+1)/VLOOKUP(B12839,'Poids des runes'!A:B,2,FALSE))</f>
        <v>45.427</v>
      </c>
      <c r="F12839">
        <f t="shared" si="200"/>
        <v>45.427</v>
      </c>
    </row>
    <row r="12840" spans="1:6" x14ac:dyDescent="0.3">
      <c r="A12840" t="s">
        <v>2044</v>
      </c>
      <c r="B12840" t="s">
        <v>2130</v>
      </c>
      <c r="C12840">
        <v>40.5</v>
      </c>
      <c r="D12840">
        <v>177</v>
      </c>
      <c r="E12840">
        <f>IF(OR(B12840="vi",B12840="ii",B12840="pod"),(((D12840/100)*(C12840*VLOOKUP(B12840,'Poids des runes'!A:B,2,FALSE)))+1),(((D12840/100)*(C12840*VLOOKUP(B12840,'Poids des runes'!A:B,2,FALSE)))+1)/VLOOKUP(B12840,'Poids des runes'!A:B,2,FALSE))</f>
        <v>72.685000000000002</v>
      </c>
      <c r="F12840">
        <f t="shared" si="200"/>
        <v>72.685000000000002</v>
      </c>
    </row>
    <row r="12841" spans="1:6" x14ac:dyDescent="0.3">
      <c r="A12841" t="s">
        <v>2044</v>
      </c>
      <c r="B12841" t="s">
        <v>2127</v>
      </c>
      <c r="C12841">
        <v>33</v>
      </c>
      <c r="D12841">
        <v>177</v>
      </c>
      <c r="E12841">
        <f>IF(OR(B12841="vi",B12841="ii",B12841="pod"),(((D12841/100)*(C12841*VLOOKUP(B12841,'Poids des runes'!A:B,2,FALSE)))+1),(((D12841/100)*(C12841*VLOOKUP(B12841,'Poids des runes'!A:B,2,FALSE)))+1)/VLOOKUP(B12841,'Poids des runes'!A:B,2,FALSE))</f>
        <v>59.410000000000004</v>
      </c>
      <c r="F12841">
        <f t="shared" si="200"/>
        <v>59.410000000000004</v>
      </c>
    </row>
    <row r="12842" spans="1:6" x14ac:dyDescent="0.3">
      <c r="A12842" t="s">
        <v>2044</v>
      </c>
      <c r="B12842" t="s">
        <v>2151</v>
      </c>
      <c r="C12842">
        <v>5</v>
      </c>
      <c r="D12842">
        <v>177</v>
      </c>
      <c r="E12842">
        <f>IF(OR(B12842="vi",B12842="ii",B12842="pod"),(((D12842/100)*(C12842*VLOOKUP(B12842,'Poids des runes'!A:B,2,FALSE)))+1),(((D12842/100)*(C12842*VLOOKUP(B12842,'Poids des runes'!A:B,2,FALSE)))+1)/VLOOKUP(B12842,'Poids des runes'!A:B,2,FALSE))</f>
        <v>8.9499999999999993</v>
      </c>
      <c r="F12842">
        <f t="shared" si="200"/>
        <v>8.9499999999999993</v>
      </c>
    </row>
    <row r="12843" spans="1:6" x14ac:dyDescent="0.3">
      <c r="A12843" t="s">
        <v>2044</v>
      </c>
      <c r="B12843" t="s">
        <v>2154</v>
      </c>
      <c r="C12843">
        <v>1</v>
      </c>
      <c r="D12843">
        <v>177</v>
      </c>
      <c r="E12843">
        <f>IF(OR(B12843="vi",B12843="ii",B12843="pod"),(((D12843/100)*(C12843*VLOOKUP(B12843,'Poids des runes'!A:B,2,FALSE)))+1),(((D12843/100)*(C12843*VLOOKUP(B12843,'Poids des runes'!A:B,2,FALSE)))+1)/VLOOKUP(B12843,'Poids des runes'!A:B,2,FALSE))</f>
        <v>1.7811111111111113</v>
      </c>
      <c r="F12843">
        <f t="shared" si="200"/>
        <v>1.7811111111111113</v>
      </c>
    </row>
    <row r="12844" spans="1:6" x14ac:dyDescent="0.3">
      <c r="A12844" t="s">
        <v>2044</v>
      </c>
      <c r="B12844" t="s">
        <v>2132</v>
      </c>
      <c r="C12844">
        <v>200</v>
      </c>
      <c r="D12844">
        <v>177</v>
      </c>
      <c r="E12844">
        <f>IF(OR(B12844="vi",B12844="ii",B12844="pod"),(((D12844/100)*(C12844*VLOOKUP(B12844,'Poids des runes'!A:B,2,FALSE)))+1),(((D12844/100)*(C12844*VLOOKUP(B12844,'Poids des runes'!A:B,2,FALSE)))+1)/VLOOKUP(B12844,'Poids des runes'!A:B,2,FALSE))</f>
        <v>36.4</v>
      </c>
      <c r="F12844">
        <f t="shared" si="200"/>
        <v>36.4</v>
      </c>
    </row>
    <row r="12845" spans="1:6" x14ac:dyDescent="0.3">
      <c r="A12845" t="s">
        <v>2044</v>
      </c>
      <c r="B12845" t="s">
        <v>2147</v>
      </c>
      <c r="C12845">
        <v>7</v>
      </c>
      <c r="D12845">
        <v>177</v>
      </c>
      <c r="E12845">
        <f>IF(OR(B12845="vi",B12845="ii",B12845="pod"),(((D12845/100)*(C12845*VLOOKUP(B12845,'Poids des runes'!A:B,2,FALSE)))+1),(((D12845/100)*(C12845*VLOOKUP(B12845,'Poids des runes'!A:B,2,FALSE)))+1)/VLOOKUP(B12845,'Poids des runes'!A:B,2,FALSE))</f>
        <v>12.556666666666667</v>
      </c>
      <c r="F12845">
        <f t="shared" si="200"/>
        <v>12.556666666666667</v>
      </c>
    </row>
    <row r="12846" spans="1:6" x14ac:dyDescent="0.3">
      <c r="A12846" t="s">
        <v>2044</v>
      </c>
      <c r="B12846" t="s">
        <v>2135</v>
      </c>
      <c r="C12846">
        <v>7</v>
      </c>
      <c r="D12846">
        <v>177</v>
      </c>
      <c r="E12846">
        <f>IF(OR(B12846="vi",B12846="ii",B12846="pod"),(((D12846/100)*(C12846*VLOOKUP(B12846,'Poids des runes'!A:B,2,FALSE)))+1),(((D12846/100)*(C12846*VLOOKUP(B12846,'Poids des runes'!A:B,2,FALSE)))+1)/VLOOKUP(B12846,'Poids des runes'!A:B,2,FALSE))</f>
        <v>12.556666666666667</v>
      </c>
      <c r="F12846">
        <f t="shared" si="200"/>
        <v>12.556666666666667</v>
      </c>
    </row>
    <row r="12847" spans="1:6" x14ac:dyDescent="0.3">
      <c r="A12847" t="s">
        <v>2044</v>
      </c>
      <c r="B12847" t="s">
        <v>2157</v>
      </c>
      <c r="C12847">
        <v>7</v>
      </c>
      <c r="D12847">
        <v>177</v>
      </c>
      <c r="E12847">
        <f>IF(OR(B12847="vi",B12847="ii",B12847="pod"),(((D12847/100)*(C12847*VLOOKUP(B12847,'Poids des runes'!A:B,2,FALSE)))+1),(((D12847/100)*(C12847*VLOOKUP(B12847,'Poids des runes'!A:B,2,FALSE)))+1)/VLOOKUP(B12847,'Poids des runes'!A:B,2,FALSE))</f>
        <v>12.556666666666667</v>
      </c>
      <c r="F12847">
        <f t="shared" si="200"/>
        <v>12.556666666666667</v>
      </c>
    </row>
    <row r="12848" spans="1:6" x14ac:dyDescent="0.3">
      <c r="A12848" t="s">
        <v>2044</v>
      </c>
      <c r="B12848" t="s">
        <v>2136</v>
      </c>
      <c r="C12848">
        <v>8</v>
      </c>
      <c r="D12848">
        <v>177</v>
      </c>
      <c r="E12848">
        <f>IF(OR(B12848="vi",B12848="ii",B12848="pod"),(((D12848/100)*(C12848*VLOOKUP(B12848,'Poids des runes'!A:B,2,FALSE)))+1),(((D12848/100)*(C12848*VLOOKUP(B12848,'Poids des runes'!A:B,2,FALSE)))+1)/VLOOKUP(B12848,'Poids des runes'!A:B,2,FALSE))</f>
        <v>14.66</v>
      </c>
      <c r="F12848">
        <f t="shared" si="200"/>
        <v>14.66</v>
      </c>
    </row>
    <row r="12849" spans="1:6" x14ac:dyDescent="0.3">
      <c r="A12849" t="s">
        <v>2044</v>
      </c>
      <c r="B12849" t="s">
        <v>2137</v>
      </c>
      <c r="C12849">
        <v>8</v>
      </c>
      <c r="D12849">
        <v>177</v>
      </c>
      <c r="E12849">
        <f>IF(OR(B12849="vi",B12849="ii",B12849="pod"),(((D12849/100)*(C12849*VLOOKUP(B12849,'Poids des runes'!A:B,2,FALSE)))+1),(((D12849/100)*(C12849*VLOOKUP(B12849,'Poids des runes'!A:B,2,FALSE)))+1)/VLOOKUP(B12849,'Poids des runes'!A:B,2,FALSE))</f>
        <v>14.66</v>
      </c>
      <c r="F12849">
        <f t="shared" si="200"/>
        <v>14.66</v>
      </c>
    </row>
    <row r="12850" spans="1:6" x14ac:dyDescent="0.3">
      <c r="A12850" t="s">
        <v>2045</v>
      </c>
      <c r="B12850" t="s">
        <v>2128</v>
      </c>
      <c r="C12850">
        <v>225.5</v>
      </c>
      <c r="D12850">
        <v>177</v>
      </c>
      <c r="E12850">
        <f>IF(OR(B12850="vi",B12850="ii",B12850="pod"),(((D12850/100)*(C12850*VLOOKUP(B12850,'Poids des runes'!A:B,2,FALSE)))+1),(((D12850/100)*(C12850*VLOOKUP(B12850,'Poids des runes'!A:B,2,FALSE)))+1)/VLOOKUP(B12850,'Poids des runes'!A:B,2,FALSE))</f>
        <v>80.826999999999998</v>
      </c>
      <c r="F12850">
        <f t="shared" si="200"/>
        <v>80.826999999999998</v>
      </c>
    </row>
    <row r="12851" spans="1:6" x14ac:dyDescent="0.3">
      <c r="A12851" t="s">
        <v>2045</v>
      </c>
      <c r="B12851" t="s">
        <v>2130</v>
      </c>
      <c r="C12851">
        <v>40.5</v>
      </c>
      <c r="D12851">
        <v>177</v>
      </c>
      <c r="E12851">
        <f>IF(OR(B12851="vi",B12851="ii",B12851="pod"),(((D12851/100)*(C12851*VLOOKUP(B12851,'Poids des runes'!A:B,2,FALSE)))+1),(((D12851/100)*(C12851*VLOOKUP(B12851,'Poids des runes'!A:B,2,FALSE)))+1)/VLOOKUP(B12851,'Poids des runes'!A:B,2,FALSE))</f>
        <v>72.685000000000002</v>
      </c>
      <c r="F12851">
        <f t="shared" si="200"/>
        <v>72.685000000000002</v>
      </c>
    </row>
    <row r="12852" spans="1:6" x14ac:dyDescent="0.3">
      <c r="A12852" t="s">
        <v>2045</v>
      </c>
      <c r="B12852" t="s">
        <v>2126</v>
      </c>
      <c r="C12852">
        <v>40.5</v>
      </c>
      <c r="D12852">
        <v>177</v>
      </c>
      <c r="E12852">
        <f>IF(OR(B12852="vi",B12852="ii",B12852="pod"),(((D12852/100)*(C12852*VLOOKUP(B12852,'Poids des runes'!A:B,2,FALSE)))+1),(((D12852/100)*(C12852*VLOOKUP(B12852,'Poids des runes'!A:B,2,FALSE)))+1)/VLOOKUP(B12852,'Poids des runes'!A:B,2,FALSE))</f>
        <v>72.685000000000002</v>
      </c>
      <c r="F12852">
        <f t="shared" si="200"/>
        <v>72.685000000000002</v>
      </c>
    </row>
    <row r="12853" spans="1:6" x14ac:dyDescent="0.3">
      <c r="A12853" t="s">
        <v>2045</v>
      </c>
      <c r="B12853" t="s">
        <v>2129</v>
      </c>
      <c r="C12853">
        <v>35.5</v>
      </c>
      <c r="D12853">
        <v>177</v>
      </c>
      <c r="E12853">
        <f>IF(OR(B12853="vi",B12853="ii",B12853="pod"),(((D12853/100)*(C12853*VLOOKUP(B12853,'Poids des runes'!A:B,2,FALSE)))+1),(((D12853/100)*(C12853*VLOOKUP(B12853,'Poids des runes'!A:B,2,FALSE)))+1)/VLOOKUP(B12853,'Poids des runes'!A:B,2,FALSE))</f>
        <v>63.835000000000001</v>
      </c>
      <c r="F12853">
        <f t="shared" si="200"/>
        <v>63.835000000000001</v>
      </c>
    </row>
    <row r="12854" spans="1:6" x14ac:dyDescent="0.3">
      <c r="A12854" t="s">
        <v>2045</v>
      </c>
      <c r="B12854" t="s">
        <v>2151</v>
      </c>
      <c r="C12854">
        <v>3.5</v>
      </c>
      <c r="D12854">
        <v>177</v>
      </c>
      <c r="E12854">
        <f>IF(OR(B12854="vi",B12854="ii",B12854="pod"),(((D12854/100)*(C12854*VLOOKUP(B12854,'Poids des runes'!A:B,2,FALSE)))+1),(((D12854/100)*(C12854*VLOOKUP(B12854,'Poids des runes'!A:B,2,FALSE)))+1)/VLOOKUP(B12854,'Poids des runes'!A:B,2,FALSE))</f>
        <v>6.2949999999999999</v>
      </c>
      <c r="F12854">
        <f t="shared" si="200"/>
        <v>6.2949999999999999</v>
      </c>
    </row>
    <row r="12855" spans="1:6" x14ac:dyDescent="0.3">
      <c r="A12855" t="s">
        <v>2045</v>
      </c>
      <c r="B12855" t="s">
        <v>2134</v>
      </c>
      <c r="C12855">
        <v>6.5</v>
      </c>
      <c r="D12855">
        <v>177</v>
      </c>
      <c r="E12855">
        <f>IF(OR(B12855="vi",B12855="ii",B12855="pod"),(((D12855/100)*(C12855*VLOOKUP(B12855,'Poids des runes'!A:B,2,FALSE)))+1),(((D12855/100)*(C12855*VLOOKUP(B12855,'Poids des runes'!A:B,2,FALSE)))+1)/VLOOKUP(B12855,'Poids des runes'!A:B,2,FALSE))</f>
        <v>11.555</v>
      </c>
      <c r="F12855">
        <f t="shared" si="200"/>
        <v>11.555</v>
      </c>
    </row>
    <row r="12856" spans="1:6" x14ac:dyDescent="0.3">
      <c r="A12856" t="s">
        <v>2045</v>
      </c>
      <c r="B12856" t="s">
        <v>2149</v>
      </c>
      <c r="C12856">
        <v>8.5</v>
      </c>
      <c r="D12856">
        <v>177</v>
      </c>
      <c r="E12856">
        <f>IF(OR(B12856="vi",B12856="ii",B12856="pod"),(((D12856/100)*(C12856*VLOOKUP(B12856,'Poids des runes'!A:B,2,FALSE)))+1),(((D12856/100)*(C12856*VLOOKUP(B12856,'Poids des runes'!A:B,2,FALSE)))+1)/VLOOKUP(B12856,'Poids des runes'!A:B,2,FALSE))</f>
        <v>15.145</v>
      </c>
      <c r="F12856">
        <f t="shared" si="200"/>
        <v>15.145</v>
      </c>
    </row>
    <row r="12857" spans="1:6" x14ac:dyDescent="0.3">
      <c r="A12857" t="s">
        <v>2045</v>
      </c>
      <c r="B12857" t="s">
        <v>2161</v>
      </c>
      <c r="C12857">
        <v>13</v>
      </c>
      <c r="D12857">
        <v>177</v>
      </c>
      <c r="E12857">
        <f>IF(OR(B12857="vi",B12857="ii",B12857="pod"),(((D12857/100)*(C12857*VLOOKUP(B12857,'Poids des runes'!A:B,2,FALSE)))+1),(((D12857/100)*(C12857*VLOOKUP(B12857,'Poids des runes'!A:B,2,FALSE)))+1)/VLOOKUP(B12857,'Poids des runes'!A:B,2,FALSE))</f>
        <v>23.343333333333334</v>
      </c>
      <c r="F12857">
        <f t="shared" si="200"/>
        <v>23.343333333333334</v>
      </c>
    </row>
    <row r="12858" spans="1:6" x14ac:dyDescent="0.3">
      <c r="A12858" t="s">
        <v>2045</v>
      </c>
      <c r="B12858" t="s">
        <v>2141</v>
      </c>
      <c r="C12858">
        <v>4.5</v>
      </c>
      <c r="D12858">
        <v>177</v>
      </c>
      <c r="E12858">
        <f>IF(OR(B12858="vi",B12858="ii",B12858="pod"),(((D12858/100)*(C12858*VLOOKUP(B12858,'Poids des runes'!A:B,2,FALSE)))+1),(((D12858/100)*(C12858*VLOOKUP(B12858,'Poids des runes'!A:B,2,FALSE)))+1)/VLOOKUP(B12858,'Poids des runes'!A:B,2,FALSE))</f>
        <v>8.2149999999999999</v>
      </c>
      <c r="F12858">
        <f t="shared" si="200"/>
        <v>8.2149999999999999</v>
      </c>
    </row>
    <row r="12859" spans="1:6" x14ac:dyDescent="0.3">
      <c r="A12859" t="s">
        <v>2045</v>
      </c>
      <c r="B12859" t="s">
        <v>2162</v>
      </c>
      <c r="C12859">
        <v>4.5</v>
      </c>
      <c r="D12859">
        <v>177</v>
      </c>
      <c r="E12859">
        <f>IF(OR(B12859="vi",B12859="ii",B12859="pod"),(((D12859/100)*(C12859*VLOOKUP(B12859,'Poids des runes'!A:B,2,FALSE)))+1),(((D12859/100)*(C12859*VLOOKUP(B12859,'Poids des runes'!A:B,2,FALSE)))+1)/VLOOKUP(B12859,'Poids des runes'!A:B,2,FALSE))</f>
        <v>8.107857142857144</v>
      </c>
      <c r="F12859">
        <f t="shared" si="200"/>
        <v>8.107857142857144</v>
      </c>
    </row>
    <row r="12860" spans="1:6" x14ac:dyDescent="0.3">
      <c r="A12860" t="s">
        <v>2045</v>
      </c>
      <c r="B12860" t="s">
        <v>2135</v>
      </c>
      <c r="C12860">
        <v>4</v>
      </c>
      <c r="D12860">
        <v>177</v>
      </c>
      <c r="E12860">
        <f>IF(OR(B12860="vi",B12860="ii",B12860="pod"),(((D12860/100)*(C12860*VLOOKUP(B12860,'Poids des runes'!A:B,2,FALSE)))+1),(((D12860/100)*(C12860*VLOOKUP(B12860,'Poids des runes'!A:B,2,FALSE)))+1)/VLOOKUP(B12860,'Poids des runes'!A:B,2,FALSE))</f>
        <v>7.246666666666667</v>
      </c>
      <c r="F12860">
        <f t="shared" si="200"/>
        <v>7.246666666666667</v>
      </c>
    </row>
    <row r="12861" spans="1:6" x14ac:dyDescent="0.3">
      <c r="A12861" t="s">
        <v>2045</v>
      </c>
      <c r="B12861" t="s">
        <v>2145</v>
      </c>
      <c r="C12861">
        <v>8.5</v>
      </c>
      <c r="D12861">
        <v>177</v>
      </c>
      <c r="E12861">
        <f>IF(OR(B12861="vi",B12861="ii",B12861="pod"),(((D12861/100)*(C12861*VLOOKUP(B12861,'Poids des runes'!A:B,2,FALSE)))+1),(((D12861/100)*(C12861*VLOOKUP(B12861,'Poids des runes'!A:B,2,FALSE)))+1)/VLOOKUP(B12861,'Poids des runes'!A:B,2,FALSE))</f>
        <v>15.545</v>
      </c>
      <c r="F12861">
        <f t="shared" si="200"/>
        <v>15.545</v>
      </c>
    </row>
    <row r="12862" spans="1:6" x14ac:dyDescent="0.3">
      <c r="A12862" t="s">
        <v>2045</v>
      </c>
      <c r="B12862" t="s">
        <v>2146</v>
      </c>
      <c r="C12862">
        <v>8.5</v>
      </c>
      <c r="D12862">
        <v>177</v>
      </c>
      <c r="E12862">
        <f>IF(OR(B12862="vi",B12862="ii",B12862="pod"),(((D12862/100)*(C12862*VLOOKUP(B12862,'Poids des runes'!A:B,2,FALSE)))+1),(((D12862/100)*(C12862*VLOOKUP(B12862,'Poids des runes'!A:B,2,FALSE)))+1)/VLOOKUP(B12862,'Poids des runes'!A:B,2,FALSE))</f>
        <v>15.545</v>
      </c>
      <c r="F12862">
        <f t="shared" si="200"/>
        <v>15.545</v>
      </c>
    </row>
    <row r="12863" spans="1:6" x14ac:dyDescent="0.3">
      <c r="A12863" t="s">
        <v>2046</v>
      </c>
      <c r="B12863" t="s">
        <v>2128</v>
      </c>
      <c r="C12863">
        <v>225.5</v>
      </c>
      <c r="D12863">
        <v>177</v>
      </c>
      <c r="E12863">
        <f>IF(OR(B12863="vi",B12863="ii",B12863="pod"),(((D12863/100)*(C12863*VLOOKUP(B12863,'Poids des runes'!A:B,2,FALSE)))+1),(((D12863/100)*(C12863*VLOOKUP(B12863,'Poids des runes'!A:B,2,FALSE)))+1)/VLOOKUP(B12863,'Poids des runes'!A:B,2,FALSE))</f>
        <v>80.826999999999998</v>
      </c>
      <c r="F12863">
        <f t="shared" si="200"/>
        <v>80.826999999999998</v>
      </c>
    </row>
    <row r="12864" spans="1:6" x14ac:dyDescent="0.3">
      <c r="A12864" t="s">
        <v>2046</v>
      </c>
      <c r="B12864" t="s">
        <v>2130</v>
      </c>
      <c r="C12864">
        <v>35.5</v>
      </c>
      <c r="D12864">
        <v>177</v>
      </c>
      <c r="E12864">
        <f>IF(OR(B12864="vi",B12864="ii",B12864="pod"),(((D12864/100)*(C12864*VLOOKUP(B12864,'Poids des runes'!A:B,2,FALSE)))+1),(((D12864/100)*(C12864*VLOOKUP(B12864,'Poids des runes'!A:B,2,FALSE)))+1)/VLOOKUP(B12864,'Poids des runes'!A:B,2,FALSE))</f>
        <v>63.835000000000001</v>
      </c>
      <c r="F12864">
        <f t="shared" si="200"/>
        <v>63.835000000000001</v>
      </c>
    </row>
    <row r="12865" spans="1:6" x14ac:dyDescent="0.3">
      <c r="A12865" t="s">
        <v>2046</v>
      </c>
      <c r="B12865" t="s">
        <v>2126</v>
      </c>
      <c r="C12865">
        <v>35.5</v>
      </c>
      <c r="D12865">
        <v>177</v>
      </c>
      <c r="E12865">
        <f>IF(OR(B12865="vi",B12865="ii",B12865="pod"),(((D12865/100)*(C12865*VLOOKUP(B12865,'Poids des runes'!A:B,2,FALSE)))+1),(((D12865/100)*(C12865*VLOOKUP(B12865,'Poids des runes'!A:B,2,FALSE)))+1)/VLOOKUP(B12865,'Poids des runes'!A:B,2,FALSE))</f>
        <v>63.835000000000001</v>
      </c>
      <c r="F12865">
        <f t="shared" si="200"/>
        <v>63.835000000000001</v>
      </c>
    </row>
    <row r="12866" spans="1:6" x14ac:dyDescent="0.3">
      <c r="A12866" t="s">
        <v>2046</v>
      </c>
      <c r="B12866" t="s">
        <v>2129</v>
      </c>
      <c r="C12866">
        <v>35.5</v>
      </c>
      <c r="D12866">
        <v>177</v>
      </c>
      <c r="E12866">
        <f>IF(OR(B12866="vi",B12866="ii",B12866="pod"),(((D12866/100)*(C12866*VLOOKUP(B12866,'Poids des runes'!A:B,2,FALSE)))+1),(((D12866/100)*(C12866*VLOOKUP(B12866,'Poids des runes'!A:B,2,FALSE)))+1)/VLOOKUP(B12866,'Poids des runes'!A:B,2,FALSE))</f>
        <v>63.835000000000001</v>
      </c>
      <c r="F12866">
        <f t="shared" si="200"/>
        <v>63.835000000000001</v>
      </c>
    </row>
    <row r="12867" spans="1:6" x14ac:dyDescent="0.3">
      <c r="A12867" t="s">
        <v>2046</v>
      </c>
      <c r="B12867" t="s">
        <v>2151</v>
      </c>
      <c r="C12867">
        <v>4.5</v>
      </c>
      <c r="D12867">
        <v>177</v>
      </c>
      <c r="E12867">
        <f>IF(OR(B12867="vi",B12867="ii",B12867="pod"),(((D12867/100)*(C12867*VLOOKUP(B12867,'Poids des runes'!A:B,2,FALSE)))+1),(((D12867/100)*(C12867*VLOOKUP(B12867,'Poids des runes'!A:B,2,FALSE)))+1)/VLOOKUP(B12867,'Poids des runes'!A:B,2,FALSE))</f>
        <v>8.0650000000000013</v>
      </c>
      <c r="F12867">
        <f t="shared" ref="F12867:F12930" si="201">E12867</f>
        <v>8.0650000000000013</v>
      </c>
    </row>
    <row r="12868" spans="1:6" x14ac:dyDescent="0.3">
      <c r="A12868" t="s">
        <v>2046</v>
      </c>
      <c r="B12868" t="s">
        <v>2150</v>
      </c>
      <c r="C12868">
        <v>1</v>
      </c>
      <c r="D12868">
        <v>177</v>
      </c>
      <c r="E12868">
        <f>IF(OR(B12868="vi",B12868="ii",B12868="pod"),(((D12868/100)*(C12868*VLOOKUP(B12868,'Poids des runes'!A:B,2,FALSE)))+1),(((D12868/100)*(C12868*VLOOKUP(B12868,'Poids des runes'!A:B,2,FALSE)))+1)/VLOOKUP(B12868,'Poids des runes'!A:B,2,FALSE))</f>
        <v>1.8033333333333335</v>
      </c>
      <c r="F12868">
        <f t="shared" si="201"/>
        <v>1.8033333333333335</v>
      </c>
    </row>
    <row r="12869" spans="1:6" x14ac:dyDescent="0.3">
      <c r="A12869" t="s">
        <v>2046</v>
      </c>
      <c r="B12869" t="s">
        <v>2143</v>
      </c>
      <c r="C12869">
        <v>8.5</v>
      </c>
      <c r="D12869">
        <v>177</v>
      </c>
      <c r="E12869">
        <f>IF(OR(B12869="vi",B12869="ii",B12869="pod"),(((D12869/100)*(C12869*VLOOKUP(B12869,'Poids des runes'!A:B,2,FALSE)))+1),(((D12869/100)*(C12869*VLOOKUP(B12869,'Poids des runes'!A:B,2,FALSE)))+1)/VLOOKUP(B12869,'Poids des runes'!A:B,2,FALSE))</f>
        <v>15.244999999999999</v>
      </c>
      <c r="F12869">
        <f t="shared" si="201"/>
        <v>15.244999999999999</v>
      </c>
    </row>
    <row r="12870" spans="1:6" x14ac:dyDescent="0.3">
      <c r="A12870" t="s">
        <v>2046</v>
      </c>
      <c r="B12870" t="s">
        <v>2140</v>
      </c>
      <c r="C12870">
        <v>8.5</v>
      </c>
      <c r="D12870">
        <v>177</v>
      </c>
      <c r="E12870">
        <f>IF(OR(B12870="vi",B12870="ii",B12870="pod"),(((D12870/100)*(C12870*VLOOKUP(B12870,'Poids des runes'!A:B,2,FALSE)))+1),(((D12870/100)*(C12870*VLOOKUP(B12870,'Poids des runes'!A:B,2,FALSE)))+1)/VLOOKUP(B12870,'Poids des runes'!A:B,2,FALSE))</f>
        <v>15.244999999999999</v>
      </c>
      <c r="F12870">
        <f t="shared" si="201"/>
        <v>15.244999999999999</v>
      </c>
    </row>
    <row r="12871" spans="1:6" x14ac:dyDescent="0.3">
      <c r="A12871" t="s">
        <v>2046</v>
      </c>
      <c r="B12871" t="s">
        <v>2149</v>
      </c>
      <c r="C12871">
        <v>6</v>
      </c>
      <c r="D12871">
        <v>177</v>
      </c>
      <c r="E12871">
        <f>IF(OR(B12871="vi",B12871="ii",B12871="pod"),(((D12871/100)*(C12871*VLOOKUP(B12871,'Poids des runes'!A:B,2,FALSE)))+1),(((D12871/100)*(C12871*VLOOKUP(B12871,'Poids des runes'!A:B,2,FALSE)))+1)/VLOOKUP(B12871,'Poids des runes'!A:B,2,FALSE))</f>
        <v>10.72</v>
      </c>
      <c r="F12871">
        <f t="shared" si="201"/>
        <v>10.72</v>
      </c>
    </row>
    <row r="12872" spans="1:6" x14ac:dyDescent="0.3">
      <c r="A12872" t="s">
        <v>2046</v>
      </c>
      <c r="B12872" t="s">
        <v>2161</v>
      </c>
      <c r="C12872">
        <v>8.5</v>
      </c>
      <c r="D12872">
        <v>177</v>
      </c>
      <c r="E12872">
        <f>IF(OR(B12872="vi",B12872="ii",B12872="pod"),(((D12872/100)*(C12872*VLOOKUP(B12872,'Poids des runes'!A:B,2,FALSE)))+1),(((D12872/100)*(C12872*VLOOKUP(B12872,'Poids des runes'!A:B,2,FALSE)))+1)/VLOOKUP(B12872,'Poids des runes'!A:B,2,FALSE))</f>
        <v>15.378333333333332</v>
      </c>
      <c r="F12872">
        <f t="shared" si="201"/>
        <v>15.378333333333332</v>
      </c>
    </row>
    <row r="12873" spans="1:6" x14ac:dyDescent="0.3">
      <c r="A12873" t="s">
        <v>2046</v>
      </c>
      <c r="B12873" t="s">
        <v>2141</v>
      </c>
      <c r="C12873">
        <v>4.5</v>
      </c>
      <c r="D12873">
        <v>177</v>
      </c>
      <c r="E12873">
        <f>IF(OR(B12873="vi",B12873="ii",B12873="pod"),(((D12873/100)*(C12873*VLOOKUP(B12873,'Poids des runes'!A:B,2,FALSE)))+1),(((D12873/100)*(C12873*VLOOKUP(B12873,'Poids des runes'!A:B,2,FALSE)))+1)/VLOOKUP(B12873,'Poids des runes'!A:B,2,FALSE))</f>
        <v>8.2149999999999999</v>
      </c>
      <c r="F12873">
        <f t="shared" si="201"/>
        <v>8.2149999999999999</v>
      </c>
    </row>
    <row r="12874" spans="1:6" x14ac:dyDescent="0.3">
      <c r="A12874" t="s">
        <v>2046</v>
      </c>
      <c r="B12874" t="s">
        <v>2165</v>
      </c>
      <c r="C12874">
        <v>4.5</v>
      </c>
      <c r="D12874">
        <v>177</v>
      </c>
      <c r="E12874">
        <f>IF(OR(B12874="vi",B12874="ii",B12874="pod"),(((D12874/100)*(C12874*VLOOKUP(B12874,'Poids des runes'!A:B,2,FALSE)))+1),(((D12874/100)*(C12874*VLOOKUP(B12874,'Poids des runes'!A:B,2,FALSE)))+1)/VLOOKUP(B12874,'Poids des runes'!A:B,2,FALSE))</f>
        <v>8.107857142857144</v>
      </c>
      <c r="F12874">
        <f t="shared" si="201"/>
        <v>8.107857142857144</v>
      </c>
    </row>
    <row r="12875" spans="1:6" x14ac:dyDescent="0.3">
      <c r="A12875" t="s">
        <v>2046</v>
      </c>
      <c r="B12875" t="s">
        <v>2156</v>
      </c>
      <c r="C12875">
        <v>8.5</v>
      </c>
      <c r="D12875">
        <v>177</v>
      </c>
      <c r="E12875">
        <f>IF(OR(B12875="vi",B12875="ii",B12875="pod"),(((D12875/100)*(C12875*VLOOKUP(B12875,'Poids des runes'!A:B,2,FALSE)))+1),(((D12875/100)*(C12875*VLOOKUP(B12875,'Poids des runes'!A:B,2,FALSE)))+1)/VLOOKUP(B12875,'Poids des runes'!A:B,2,FALSE))</f>
        <v>15.211666666666666</v>
      </c>
      <c r="F12875">
        <f t="shared" si="201"/>
        <v>15.211666666666666</v>
      </c>
    </row>
    <row r="12876" spans="1:6" x14ac:dyDescent="0.3">
      <c r="A12876" t="s">
        <v>2047</v>
      </c>
      <c r="B12876" t="s">
        <v>2128</v>
      </c>
      <c r="C12876">
        <v>225.5</v>
      </c>
      <c r="D12876">
        <v>178</v>
      </c>
      <c r="E12876">
        <f>IF(OR(B12876="vi",B12876="ii",B12876="pod"),(((D12876/100)*(C12876*VLOOKUP(B12876,'Poids des runes'!A:B,2,FALSE)))+1),(((D12876/100)*(C12876*VLOOKUP(B12876,'Poids des runes'!A:B,2,FALSE)))+1)/VLOOKUP(B12876,'Poids des runes'!A:B,2,FALSE))</f>
        <v>81.278000000000006</v>
      </c>
      <c r="F12876">
        <f t="shared" si="201"/>
        <v>81.278000000000006</v>
      </c>
    </row>
    <row r="12877" spans="1:6" x14ac:dyDescent="0.3">
      <c r="A12877" t="s">
        <v>2047</v>
      </c>
      <c r="B12877" t="s">
        <v>2126</v>
      </c>
      <c r="C12877">
        <v>40.5</v>
      </c>
      <c r="D12877">
        <v>178</v>
      </c>
      <c r="E12877">
        <f>IF(OR(B12877="vi",B12877="ii",B12877="pod"),(((D12877/100)*(C12877*VLOOKUP(B12877,'Poids des runes'!A:B,2,FALSE)))+1),(((D12877/100)*(C12877*VLOOKUP(B12877,'Poids des runes'!A:B,2,FALSE)))+1)/VLOOKUP(B12877,'Poids des runes'!A:B,2,FALSE))</f>
        <v>73.09</v>
      </c>
      <c r="F12877">
        <f t="shared" si="201"/>
        <v>73.09</v>
      </c>
    </row>
    <row r="12878" spans="1:6" x14ac:dyDescent="0.3">
      <c r="A12878" t="s">
        <v>2047</v>
      </c>
      <c r="B12878" t="s">
        <v>2129</v>
      </c>
      <c r="C12878">
        <v>33</v>
      </c>
      <c r="D12878">
        <v>178</v>
      </c>
      <c r="E12878">
        <f>IF(OR(B12878="vi",B12878="ii",B12878="pod"),(((D12878/100)*(C12878*VLOOKUP(B12878,'Poids des runes'!A:B,2,FALSE)))+1),(((D12878/100)*(C12878*VLOOKUP(B12878,'Poids des runes'!A:B,2,FALSE)))+1)/VLOOKUP(B12878,'Poids des runes'!A:B,2,FALSE))</f>
        <v>59.74</v>
      </c>
      <c r="F12878">
        <f t="shared" si="201"/>
        <v>59.74</v>
      </c>
    </row>
    <row r="12879" spans="1:6" x14ac:dyDescent="0.3">
      <c r="A12879" t="s">
        <v>2047</v>
      </c>
      <c r="B12879" t="s">
        <v>2150</v>
      </c>
      <c r="C12879">
        <v>2</v>
      </c>
      <c r="D12879">
        <v>178</v>
      </c>
      <c r="E12879">
        <f>IF(OR(B12879="vi",B12879="ii",B12879="pod"),(((D12879/100)*(C12879*VLOOKUP(B12879,'Poids des runes'!A:B,2,FALSE)))+1),(((D12879/100)*(C12879*VLOOKUP(B12879,'Poids des runes'!A:B,2,FALSE)))+1)/VLOOKUP(B12879,'Poids des runes'!A:B,2,FALSE))</f>
        <v>3.5933333333333333</v>
      </c>
      <c r="F12879">
        <f t="shared" si="201"/>
        <v>3.5933333333333333</v>
      </c>
    </row>
    <row r="12880" spans="1:6" x14ac:dyDescent="0.3">
      <c r="A12880" t="s">
        <v>2047</v>
      </c>
      <c r="B12880" t="s">
        <v>2134</v>
      </c>
      <c r="C12880">
        <v>6</v>
      </c>
      <c r="D12880">
        <v>178</v>
      </c>
      <c r="E12880">
        <f>IF(OR(B12880="vi",B12880="ii",B12880="pod"),(((D12880/100)*(C12880*VLOOKUP(B12880,'Poids des runes'!A:B,2,FALSE)))+1),(((D12880/100)*(C12880*VLOOKUP(B12880,'Poids des runes'!A:B,2,FALSE)))+1)/VLOOKUP(B12880,'Poids des runes'!A:B,2,FALSE))</f>
        <v>10.73</v>
      </c>
      <c r="F12880">
        <f t="shared" si="201"/>
        <v>10.73</v>
      </c>
    </row>
    <row r="12881" spans="1:6" x14ac:dyDescent="0.3">
      <c r="A12881" t="s">
        <v>2047</v>
      </c>
      <c r="B12881" t="s">
        <v>2149</v>
      </c>
      <c r="C12881">
        <v>6</v>
      </c>
      <c r="D12881">
        <v>178</v>
      </c>
      <c r="E12881">
        <f>IF(OR(B12881="vi",B12881="ii",B12881="pod"),(((D12881/100)*(C12881*VLOOKUP(B12881,'Poids des runes'!A:B,2,FALSE)))+1),(((D12881/100)*(C12881*VLOOKUP(B12881,'Poids des runes'!A:B,2,FALSE)))+1)/VLOOKUP(B12881,'Poids des runes'!A:B,2,FALSE))</f>
        <v>10.78</v>
      </c>
      <c r="F12881">
        <f t="shared" si="201"/>
        <v>10.78</v>
      </c>
    </row>
    <row r="12882" spans="1:6" x14ac:dyDescent="0.3">
      <c r="A12882" t="s">
        <v>2048</v>
      </c>
      <c r="B12882" t="s">
        <v>2128</v>
      </c>
      <c r="C12882">
        <v>175.5</v>
      </c>
      <c r="D12882">
        <v>178</v>
      </c>
      <c r="E12882">
        <f>IF(OR(B12882="vi",B12882="ii",B12882="pod"),(((D12882/100)*(C12882*VLOOKUP(B12882,'Poids des runes'!A:B,2,FALSE)))+1),(((D12882/100)*(C12882*VLOOKUP(B12882,'Poids des runes'!A:B,2,FALSE)))+1)/VLOOKUP(B12882,'Poids des runes'!A:B,2,FALSE))</f>
        <v>63.478000000000002</v>
      </c>
      <c r="F12882">
        <f t="shared" si="201"/>
        <v>63.478000000000002</v>
      </c>
    </row>
    <row r="12883" spans="1:6" x14ac:dyDescent="0.3">
      <c r="A12883" t="s">
        <v>2048</v>
      </c>
      <c r="B12883" t="s">
        <v>2131</v>
      </c>
      <c r="C12883">
        <v>40.5</v>
      </c>
      <c r="D12883">
        <v>178</v>
      </c>
      <c r="E12883">
        <f>IF(OR(B12883="vi",B12883="ii",B12883="pod"),(((D12883/100)*(C12883*VLOOKUP(B12883,'Poids des runes'!A:B,2,FALSE)))+1),(((D12883/100)*(C12883*VLOOKUP(B12883,'Poids des runes'!A:B,2,FALSE)))+1)/VLOOKUP(B12883,'Poids des runes'!A:B,2,FALSE))</f>
        <v>73.09</v>
      </c>
      <c r="F12883">
        <f t="shared" si="201"/>
        <v>73.09</v>
      </c>
    </row>
    <row r="12884" spans="1:6" x14ac:dyDescent="0.3">
      <c r="A12884" t="s">
        <v>2048</v>
      </c>
      <c r="B12884" t="s">
        <v>2129</v>
      </c>
      <c r="C12884">
        <v>35.5</v>
      </c>
      <c r="D12884">
        <v>178</v>
      </c>
      <c r="E12884">
        <f>IF(OR(B12884="vi",B12884="ii",B12884="pod"),(((D12884/100)*(C12884*VLOOKUP(B12884,'Poids des runes'!A:B,2,FALSE)))+1),(((D12884/100)*(C12884*VLOOKUP(B12884,'Poids des runes'!A:B,2,FALSE)))+1)/VLOOKUP(B12884,'Poids des runes'!A:B,2,FALSE))</f>
        <v>64.19</v>
      </c>
      <c r="F12884">
        <f t="shared" si="201"/>
        <v>64.19</v>
      </c>
    </row>
    <row r="12885" spans="1:6" x14ac:dyDescent="0.3">
      <c r="A12885" t="s">
        <v>2048</v>
      </c>
      <c r="B12885" t="s">
        <v>2151</v>
      </c>
      <c r="C12885">
        <v>3.5</v>
      </c>
      <c r="D12885">
        <v>178</v>
      </c>
      <c r="E12885">
        <f>IF(OR(B12885="vi",B12885="ii",B12885="pod"),(((D12885/100)*(C12885*VLOOKUP(B12885,'Poids des runes'!A:B,2,FALSE)))+1),(((D12885/100)*(C12885*VLOOKUP(B12885,'Poids des runes'!A:B,2,FALSE)))+1)/VLOOKUP(B12885,'Poids des runes'!A:B,2,FALSE))</f>
        <v>6.33</v>
      </c>
      <c r="F12885">
        <f t="shared" si="201"/>
        <v>6.33</v>
      </c>
    </row>
    <row r="12886" spans="1:6" x14ac:dyDescent="0.3">
      <c r="A12886" t="s">
        <v>2048</v>
      </c>
      <c r="B12886" t="s">
        <v>2150</v>
      </c>
      <c r="C12886">
        <v>1</v>
      </c>
      <c r="D12886">
        <v>178</v>
      </c>
      <c r="E12886">
        <f>IF(OR(B12886="vi",B12886="ii",B12886="pod"),(((D12886/100)*(C12886*VLOOKUP(B12886,'Poids des runes'!A:B,2,FALSE)))+1),(((D12886/100)*(C12886*VLOOKUP(B12886,'Poids des runes'!A:B,2,FALSE)))+1)/VLOOKUP(B12886,'Poids des runes'!A:B,2,FALSE))</f>
        <v>1.8133333333333332</v>
      </c>
      <c r="F12886">
        <f t="shared" si="201"/>
        <v>1.8133333333333332</v>
      </c>
    </row>
    <row r="12887" spans="1:6" x14ac:dyDescent="0.3">
      <c r="A12887" t="s">
        <v>2048</v>
      </c>
      <c r="B12887" t="s">
        <v>2133</v>
      </c>
      <c r="C12887">
        <v>12</v>
      </c>
      <c r="D12887">
        <v>178</v>
      </c>
      <c r="E12887">
        <f>IF(OR(B12887="vi",B12887="ii",B12887="pod"),(((D12887/100)*(C12887*VLOOKUP(B12887,'Poids des runes'!A:B,2,FALSE)))+1),(((D12887/100)*(C12887*VLOOKUP(B12887,'Poids des runes'!A:B,2,FALSE)))+1)/VLOOKUP(B12887,'Poids des runes'!A:B,2,FALSE))</f>
        <v>21.56</v>
      </c>
      <c r="F12887">
        <f t="shared" si="201"/>
        <v>21.56</v>
      </c>
    </row>
    <row r="12888" spans="1:6" x14ac:dyDescent="0.3">
      <c r="A12888" t="s">
        <v>2048</v>
      </c>
      <c r="B12888" t="s">
        <v>2161</v>
      </c>
      <c r="C12888">
        <v>25.5</v>
      </c>
      <c r="D12888">
        <v>178</v>
      </c>
      <c r="E12888">
        <f>IF(OR(B12888="vi",B12888="ii",B12888="pod"),(((D12888/100)*(C12888*VLOOKUP(B12888,'Poids des runes'!A:B,2,FALSE)))+1),(((D12888/100)*(C12888*VLOOKUP(B12888,'Poids des runes'!A:B,2,FALSE)))+1)/VLOOKUP(B12888,'Poids des runes'!A:B,2,FALSE))</f>
        <v>45.723333333333336</v>
      </c>
      <c r="F12888">
        <f t="shared" si="201"/>
        <v>45.723333333333336</v>
      </c>
    </row>
    <row r="12889" spans="1:6" x14ac:dyDescent="0.3">
      <c r="A12889" t="s">
        <v>2048</v>
      </c>
      <c r="B12889" t="s">
        <v>2160</v>
      </c>
      <c r="C12889">
        <v>4.5</v>
      </c>
      <c r="D12889">
        <v>178</v>
      </c>
      <c r="E12889">
        <f>IF(OR(B12889="vi",B12889="ii",B12889="pod"),(((D12889/100)*(C12889*VLOOKUP(B12889,'Poids des runes'!A:B,2,FALSE)))+1),(((D12889/100)*(C12889*VLOOKUP(B12889,'Poids des runes'!A:B,2,FALSE)))+1)/VLOOKUP(B12889,'Poids des runes'!A:B,2,FALSE))</f>
        <v>8.1528571428571421</v>
      </c>
      <c r="F12889">
        <f t="shared" si="201"/>
        <v>8.1528571428571421</v>
      </c>
    </row>
    <row r="12890" spans="1:6" x14ac:dyDescent="0.3">
      <c r="A12890" t="s">
        <v>2048</v>
      </c>
      <c r="B12890" t="s">
        <v>2163</v>
      </c>
      <c r="C12890">
        <v>6</v>
      </c>
      <c r="D12890">
        <v>178</v>
      </c>
      <c r="E12890">
        <f>IF(OR(B12890="vi",B12890="ii",B12890="pod"),(((D12890/100)*(C12890*VLOOKUP(B12890,'Poids des runes'!A:B,2,FALSE)))+1),(((D12890/100)*(C12890*VLOOKUP(B12890,'Poids des runes'!A:B,2,FALSE)))+1)/VLOOKUP(B12890,'Poids des runes'!A:B,2,FALSE))</f>
        <v>11.18</v>
      </c>
      <c r="F12890">
        <f t="shared" si="201"/>
        <v>11.18</v>
      </c>
    </row>
    <row r="12891" spans="1:6" x14ac:dyDescent="0.3">
      <c r="A12891" t="s">
        <v>2048</v>
      </c>
      <c r="B12891" t="s">
        <v>2135</v>
      </c>
      <c r="C12891">
        <v>6</v>
      </c>
      <c r="D12891">
        <v>178</v>
      </c>
      <c r="E12891">
        <f>IF(OR(B12891="vi",B12891="ii",B12891="pod"),(((D12891/100)*(C12891*VLOOKUP(B12891,'Poids des runes'!A:B,2,FALSE)))+1),(((D12891/100)*(C12891*VLOOKUP(B12891,'Poids des runes'!A:B,2,FALSE)))+1)/VLOOKUP(B12891,'Poids des runes'!A:B,2,FALSE))</f>
        <v>10.846666666666666</v>
      </c>
      <c r="F12891">
        <f t="shared" si="201"/>
        <v>10.846666666666666</v>
      </c>
    </row>
    <row r="12892" spans="1:6" x14ac:dyDescent="0.3">
      <c r="A12892" t="s">
        <v>2048</v>
      </c>
      <c r="B12892" t="s">
        <v>2144</v>
      </c>
      <c r="C12892">
        <v>6</v>
      </c>
      <c r="D12892">
        <v>178</v>
      </c>
      <c r="E12892">
        <f>IF(OR(B12892="vi",B12892="ii",B12892="pod"),(((D12892/100)*(C12892*VLOOKUP(B12892,'Poids des runes'!A:B,2,FALSE)))+1),(((D12892/100)*(C12892*VLOOKUP(B12892,'Poids des runes'!A:B,2,FALSE)))+1)/VLOOKUP(B12892,'Poids des runes'!A:B,2,FALSE))</f>
        <v>11.18</v>
      </c>
      <c r="F12892">
        <f t="shared" si="201"/>
        <v>11.18</v>
      </c>
    </row>
    <row r="12893" spans="1:6" x14ac:dyDescent="0.3">
      <c r="A12893" t="s">
        <v>2048</v>
      </c>
      <c r="B12893" t="s">
        <v>2146</v>
      </c>
      <c r="C12893">
        <v>6</v>
      </c>
      <c r="D12893">
        <v>178</v>
      </c>
      <c r="E12893">
        <f>IF(OR(B12893="vi",B12893="ii",B12893="pod"),(((D12893/100)*(C12893*VLOOKUP(B12893,'Poids des runes'!A:B,2,FALSE)))+1),(((D12893/100)*(C12893*VLOOKUP(B12893,'Poids des runes'!A:B,2,FALSE)))+1)/VLOOKUP(B12893,'Poids des runes'!A:B,2,FALSE))</f>
        <v>11.18</v>
      </c>
      <c r="F12893">
        <f t="shared" si="201"/>
        <v>11.18</v>
      </c>
    </row>
    <row r="12894" spans="1:6" x14ac:dyDescent="0.3">
      <c r="A12894" t="s">
        <v>2049</v>
      </c>
      <c r="B12894" t="s">
        <v>2128</v>
      </c>
      <c r="C12894">
        <v>175.5</v>
      </c>
      <c r="D12894">
        <v>179</v>
      </c>
      <c r="E12894">
        <f>IF(OR(B12894="vi",B12894="ii",B12894="pod"),(((D12894/100)*(C12894*VLOOKUP(B12894,'Poids des runes'!A:B,2,FALSE)))+1),(((D12894/100)*(C12894*VLOOKUP(B12894,'Poids des runes'!A:B,2,FALSE)))+1)/VLOOKUP(B12894,'Poids des runes'!A:B,2,FALSE))</f>
        <v>63.829000000000001</v>
      </c>
      <c r="F12894">
        <f t="shared" si="201"/>
        <v>63.829000000000001</v>
      </c>
    </row>
    <row r="12895" spans="1:6" x14ac:dyDescent="0.3">
      <c r="A12895" t="s">
        <v>2049</v>
      </c>
      <c r="B12895" t="s">
        <v>2130</v>
      </c>
      <c r="C12895">
        <v>40.5</v>
      </c>
      <c r="D12895">
        <v>179</v>
      </c>
      <c r="E12895">
        <f>IF(OR(B12895="vi",B12895="ii",B12895="pod"),(((D12895/100)*(C12895*VLOOKUP(B12895,'Poids des runes'!A:B,2,FALSE)))+1),(((D12895/100)*(C12895*VLOOKUP(B12895,'Poids des runes'!A:B,2,FALSE)))+1)/VLOOKUP(B12895,'Poids des runes'!A:B,2,FALSE))</f>
        <v>73.495000000000005</v>
      </c>
      <c r="F12895">
        <f t="shared" si="201"/>
        <v>73.495000000000005</v>
      </c>
    </row>
    <row r="12896" spans="1:6" x14ac:dyDescent="0.3">
      <c r="A12896" t="s">
        <v>2049</v>
      </c>
      <c r="B12896" t="s">
        <v>2127</v>
      </c>
      <c r="C12896">
        <v>25.5</v>
      </c>
      <c r="D12896">
        <v>179</v>
      </c>
      <c r="E12896">
        <f>IF(OR(B12896="vi",B12896="ii",B12896="pod"),(((D12896/100)*(C12896*VLOOKUP(B12896,'Poids des runes'!A:B,2,FALSE)))+1),(((D12896/100)*(C12896*VLOOKUP(B12896,'Poids des runes'!A:B,2,FALSE)))+1)/VLOOKUP(B12896,'Poids des runes'!A:B,2,FALSE))</f>
        <v>46.645000000000003</v>
      </c>
      <c r="F12896">
        <f t="shared" si="201"/>
        <v>46.645000000000003</v>
      </c>
    </row>
    <row r="12897" spans="1:6" x14ac:dyDescent="0.3">
      <c r="A12897" t="s">
        <v>2049</v>
      </c>
      <c r="B12897" t="s">
        <v>2129</v>
      </c>
      <c r="C12897">
        <v>33</v>
      </c>
      <c r="D12897">
        <v>179</v>
      </c>
      <c r="E12897">
        <f>IF(OR(B12897="vi",B12897="ii",B12897="pod"),(((D12897/100)*(C12897*VLOOKUP(B12897,'Poids des runes'!A:B,2,FALSE)))+1),(((D12897/100)*(C12897*VLOOKUP(B12897,'Poids des runes'!A:B,2,FALSE)))+1)/VLOOKUP(B12897,'Poids des runes'!A:B,2,FALSE))</f>
        <v>60.07</v>
      </c>
      <c r="F12897">
        <f t="shared" si="201"/>
        <v>60.07</v>
      </c>
    </row>
    <row r="12898" spans="1:6" x14ac:dyDescent="0.3">
      <c r="A12898" t="s">
        <v>2049</v>
      </c>
      <c r="B12898" t="s">
        <v>2151</v>
      </c>
      <c r="C12898">
        <v>2.5</v>
      </c>
      <c r="D12898">
        <v>179</v>
      </c>
      <c r="E12898">
        <f>IF(OR(B12898="vi",B12898="ii",B12898="pod"),(((D12898/100)*(C12898*VLOOKUP(B12898,'Poids des runes'!A:B,2,FALSE)))+1),(((D12898/100)*(C12898*VLOOKUP(B12898,'Poids des runes'!A:B,2,FALSE)))+1)/VLOOKUP(B12898,'Poids des runes'!A:B,2,FALSE))</f>
        <v>4.5750000000000002</v>
      </c>
      <c r="F12898">
        <f t="shared" si="201"/>
        <v>4.5750000000000002</v>
      </c>
    </row>
    <row r="12899" spans="1:6" x14ac:dyDescent="0.3">
      <c r="A12899" t="s">
        <v>2049</v>
      </c>
      <c r="B12899" t="s">
        <v>2134</v>
      </c>
      <c r="C12899">
        <v>6</v>
      </c>
      <c r="D12899">
        <v>179</v>
      </c>
      <c r="E12899">
        <f>IF(OR(B12899="vi",B12899="ii",B12899="pod"),(((D12899/100)*(C12899*VLOOKUP(B12899,'Poids des runes'!A:B,2,FALSE)))+1),(((D12899/100)*(C12899*VLOOKUP(B12899,'Poids des runes'!A:B,2,FALSE)))+1)/VLOOKUP(B12899,'Poids des runes'!A:B,2,FALSE))</f>
        <v>10.790000000000001</v>
      </c>
      <c r="F12899">
        <f t="shared" si="201"/>
        <v>10.790000000000001</v>
      </c>
    </row>
    <row r="12900" spans="1:6" x14ac:dyDescent="0.3">
      <c r="A12900" t="s">
        <v>2049</v>
      </c>
      <c r="B12900" t="s">
        <v>2161</v>
      </c>
      <c r="C12900">
        <v>13</v>
      </c>
      <c r="D12900">
        <v>179</v>
      </c>
      <c r="E12900">
        <f>IF(OR(B12900="vi",B12900="ii",B12900="pod"),(((D12900/100)*(C12900*VLOOKUP(B12900,'Poids des runes'!A:B,2,FALSE)))+1),(((D12900/100)*(C12900*VLOOKUP(B12900,'Poids des runes'!A:B,2,FALSE)))+1)/VLOOKUP(B12900,'Poids des runes'!A:B,2,FALSE))</f>
        <v>23.603333333333335</v>
      </c>
      <c r="F12900">
        <f t="shared" si="201"/>
        <v>23.603333333333335</v>
      </c>
    </row>
    <row r="12901" spans="1:6" x14ac:dyDescent="0.3">
      <c r="A12901" t="s">
        <v>2049</v>
      </c>
      <c r="B12901" t="s">
        <v>2132</v>
      </c>
      <c r="C12901">
        <v>400.5</v>
      </c>
      <c r="D12901">
        <v>179</v>
      </c>
      <c r="E12901">
        <f>IF(OR(B12901="vi",B12901="ii",B12901="pod"),(((D12901/100)*(C12901*VLOOKUP(B12901,'Poids des runes'!A:B,2,FALSE)))+1),(((D12901/100)*(C12901*VLOOKUP(B12901,'Poids des runes'!A:B,2,FALSE)))+1)/VLOOKUP(B12901,'Poids des runes'!A:B,2,FALSE))</f>
        <v>72.68950000000001</v>
      </c>
      <c r="F12901">
        <f t="shared" si="201"/>
        <v>72.68950000000001</v>
      </c>
    </row>
    <row r="12902" spans="1:6" x14ac:dyDescent="0.3">
      <c r="A12902" t="s">
        <v>2049</v>
      </c>
      <c r="B12902" t="s">
        <v>2156</v>
      </c>
      <c r="C12902">
        <v>8</v>
      </c>
      <c r="D12902">
        <v>179</v>
      </c>
      <c r="E12902">
        <f>IF(OR(B12902="vi",B12902="ii",B12902="pod"),(((D12902/100)*(C12902*VLOOKUP(B12902,'Poids des runes'!A:B,2,FALSE)))+1),(((D12902/100)*(C12902*VLOOKUP(B12902,'Poids des runes'!A:B,2,FALSE)))+1)/VLOOKUP(B12902,'Poids des runes'!A:B,2,FALSE))</f>
        <v>14.486666666666666</v>
      </c>
      <c r="F12902">
        <f t="shared" si="201"/>
        <v>14.486666666666666</v>
      </c>
    </row>
    <row r="12903" spans="1:6" x14ac:dyDescent="0.3">
      <c r="A12903" t="s">
        <v>2049</v>
      </c>
      <c r="B12903" t="s">
        <v>2136</v>
      </c>
      <c r="C12903">
        <v>8</v>
      </c>
      <c r="D12903">
        <v>179</v>
      </c>
      <c r="E12903">
        <f>IF(OR(B12903="vi",B12903="ii",B12903="pod"),(((D12903/100)*(C12903*VLOOKUP(B12903,'Poids des runes'!A:B,2,FALSE)))+1),(((D12903/100)*(C12903*VLOOKUP(B12903,'Poids des runes'!A:B,2,FALSE)))+1)/VLOOKUP(B12903,'Poids des runes'!A:B,2,FALSE))</f>
        <v>14.82</v>
      </c>
      <c r="F12903">
        <f t="shared" si="201"/>
        <v>14.82</v>
      </c>
    </row>
    <row r="12904" spans="1:6" x14ac:dyDescent="0.3">
      <c r="A12904" t="s">
        <v>2050</v>
      </c>
      <c r="B12904" t="s">
        <v>2128</v>
      </c>
      <c r="C12904">
        <v>350.5</v>
      </c>
      <c r="D12904">
        <v>180</v>
      </c>
      <c r="E12904">
        <f>IF(OR(B12904="vi",B12904="ii",B12904="pod"),(((D12904/100)*(C12904*VLOOKUP(B12904,'Poids des runes'!A:B,2,FALSE)))+1),(((D12904/100)*(C12904*VLOOKUP(B12904,'Poids des runes'!A:B,2,FALSE)))+1)/VLOOKUP(B12904,'Poids des runes'!A:B,2,FALSE))</f>
        <v>127.18000000000002</v>
      </c>
      <c r="F12904">
        <f t="shared" si="201"/>
        <v>127.18000000000002</v>
      </c>
    </row>
    <row r="12905" spans="1:6" x14ac:dyDescent="0.3">
      <c r="A12905" t="s">
        <v>2050</v>
      </c>
      <c r="B12905" t="s">
        <v>2129</v>
      </c>
      <c r="C12905">
        <v>35.5</v>
      </c>
      <c r="D12905">
        <v>180</v>
      </c>
      <c r="E12905">
        <f>IF(OR(B12905="vi",B12905="ii",B12905="pod"),(((D12905/100)*(C12905*VLOOKUP(B12905,'Poids des runes'!A:B,2,FALSE)))+1),(((D12905/100)*(C12905*VLOOKUP(B12905,'Poids des runes'!A:B,2,FALSE)))+1)/VLOOKUP(B12905,'Poids des runes'!A:B,2,FALSE))</f>
        <v>64.900000000000006</v>
      </c>
      <c r="F12905">
        <f t="shared" si="201"/>
        <v>64.900000000000006</v>
      </c>
    </row>
    <row r="12906" spans="1:6" x14ac:dyDescent="0.3">
      <c r="A12906" t="s">
        <v>2050</v>
      </c>
      <c r="B12906" t="s">
        <v>2139</v>
      </c>
      <c r="C12906">
        <v>50.5</v>
      </c>
      <c r="D12906">
        <v>180</v>
      </c>
      <c r="E12906">
        <f>IF(OR(B12906="vi",B12906="ii",B12906="pod"),(((D12906/100)*(C12906*VLOOKUP(B12906,'Poids des runes'!A:B,2,FALSE)))+1),(((D12906/100)*(C12906*VLOOKUP(B12906,'Poids des runes'!A:B,2,FALSE)))+1)/VLOOKUP(B12906,'Poids des runes'!A:B,2,FALSE))</f>
        <v>91.4</v>
      </c>
      <c r="F12906">
        <f t="shared" si="201"/>
        <v>91.4</v>
      </c>
    </row>
    <row r="12907" spans="1:6" x14ac:dyDescent="0.3">
      <c r="A12907" t="s">
        <v>2050</v>
      </c>
      <c r="B12907" t="s">
        <v>2150</v>
      </c>
      <c r="C12907">
        <v>1</v>
      </c>
      <c r="D12907">
        <v>180</v>
      </c>
      <c r="E12907">
        <f>IF(OR(B12907="vi",B12907="ii",B12907="pod"),(((D12907/100)*(C12907*VLOOKUP(B12907,'Poids des runes'!A:B,2,FALSE)))+1),(((D12907/100)*(C12907*VLOOKUP(B12907,'Poids des runes'!A:B,2,FALSE)))+1)/VLOOKUP(B12907,'Poids des runes'!A:B,2,FALSE))</f>
        <v>1.8333333333333333</v>
      </c>
      <c r="F12907">
        <f t="shared" si="201"/>
        <v>1.8333333333333333</v>
      </c>
    </row>
    <row r="12908" spans="1:6" x14ac:dyDescent="0.3">
      <c r="A12908" t="s">
        <v>2050</v>
      </c>
      <c r="B12908" t="s">
        <v>2134</v>
      </c>
      <c r="C12908">
        <v>10.5</v>
      </c>
      <c r="D12908">
        <v>180</v>
      </c>
      <c r="E12908">
        <f>IF(OR(B12908="vi",B12908="ii",B12908="pod"),(((D12908/100)*(C12908*VLOOKUP(B12908,'Poids des runes'!A:B,2,FALSE)))+1),(((D12908/100)*(C12908*VLOOKUP(B12908,'Poids des runes'!A:B,2,FALSE)))+1)/VLOOKUP(B12908,'Poids des runes'!A:B,2,FALSE))</f>
        <v>18.95</v>
      </c>
      <c r="F12908">
        <f t="shared" si="201"/>
        <v>18.95</v>
      </c>
    </row>
    <row r="12909" spans="1:6" x14ac:dyDescent="0.3">
      <c r="A12909" t="s">
        <v>2050</v>
      </c>
      <c r="B12909" t="s">
        <v>2161</v>
      </c>
      <c r="C12909">
        <v>8</v>
      </c>
      <c r="D12909">
        <v>180</v>
      </c>
      <c r="E12909">
        <f>IF(OR(B12909="vi",B12909="ii",B12909="pod"),(((D12909/100)*(C12909*VLOOKUP(B12909,'Poids des runes'!A:B,2,FALSE)))+1),(((D12909/100)*(C12909*VLOOKUP(B12909,'Poids des runes'!A:B,2,FALSE)))+1)/VLOOKUP(B12909,'Poids des runes'!A:B,2,FALSE))</f>
        <v>14.733333333333334</v>
      </c>
      <c r="F12909">
        <f t="shared" si="201"/>
        <v>14.733333333333334</v>
      </c>
    </row>
    <row r="12910" spans="1:6" x14ac:dyDescent="0.3">
      <c r="A12910" t="s">
        <v>2050</v>
      </c>
      <c r="B12910" t="s">
        <v>2138</v>
      </c>
      <c r="C12910">
        <v>3.5</v>
      </c>
      <c r="D12910">
        <v>180</v>
      </c>
      <c r="E12910">
        <f>IF(OR(B12910="vi",B12910="ii",B12910="pod"),(((D12910/100)*(C12910*VLOOKUP(B12910,'Poids des runes'!A:B,2,FALSE)))+1),(((D12910/100)*(C12910*VLOOKUP(B12910,'Poids des runes'!A:B,2,FALSE)))+1)/VLOOKUP(B12910,'Poids des runes'!A:B,2,FALSE))</f>
        <v>6.55</v>
      </c>
      <c r="F12910">
        <f t="shared" si="201"/>
        <v>6.55</v>
      </c>
    </row>
    <row r="12911" spans="1:6" x14ac:dyDescent="0.3">
      <c r="A12911" t="s">
        <v>2050</v>
      </c>
      <c r="B12911" t="s">
        <v>2148</v>
      </c>
      <c r="C12911">
        <v>3.5</v>
      </c>
      <c r="D12911">
        <v>180</v>
      </c>
      <c r="E12911">
        <f>IF(OR(B12911="vi",B12911="ii",B12911="pod"),(((D12911/100)*(C12911*VLOOKUP(B12911,'Poids des runes'!A:B,2,FALSE)))+1),(((D12911/100)*(C12911*VLOOKUP(B12911,'Poids des runes'!A:B,2,FALSE)))+1)/VLOOKUP(B12911,'Poids des runes'!A:B,2,FALSE))</f>
        <v>6.4666666666666677</v>
      </c>
      <c r="F12911">
        <f t="shared" si="201"/>
        <v>6.4666666666666677</v>
      </c>
    </row>
    <row r="12912" spans="1:6" x14ac:dyDescent="0.3">
      <c r="A12912" t="s">
        <v>2050</v>
      </c>
      <c r="B12912" t="s">
        <v>2147</v>
      </c>
      <c r="C12912">
        <v>3.5</v>
      </c>
      <c r="D12912">
        <v>180</v>
      </c>
      <c r="E12912">
        <f>IF(OR(B12912="vi",B12912="ii",B12912="pod"),(((D12912/100)*(C12912*VLOOKUP(B12912,'Poids des runes'!A:B,2,FALSE)))+1),(((D12912/100)*(C12912*VLOOKUP(B12912,'Poids des runes'!A:B,2,FALSE)))+1)/VLOOKUP(B12912,'Poids des runes'!A:B,2,FALSE))</f>
        <v>6.4666666666666677</v>
      </c>
      <c r="F12912">
        <f t="shared" si="201"/>
        <v>6.4666666666666677</v>
      </c>
    </row>
    <row r="12913" spans="1:6" x14ac:dyDescent="0.3">
      <c r="A12913" t="s">
        <v>2051</v>
      </c>
      <c r="B12913" t="s">
        <v>2128</v>
      </c>
      <c r="C12913">
        <v>225.5</v>
      </c>
      <c r="D12913">
        <v>180</v>
      </c>
      <c r="E12913">
        <f>IF(OR(B12913="vi",B12913="ii",B12913="pod"),(((D12913/100)*(C12913*VLOOKUP(B12913,'Poids des runes'!A:B,2,FALSE)))+1),(((D12913/100)*(C12913*VLOOKUP(B12913,'Poids des runes'!A:B,2,FALSE)))+1)/VLOOKUP(B12913,'Poids des runes'!A:B,2,FALSE))</f>
        <v>82.18</v>
      </c>
      <c r="F12913">
        <f t="shared" si="201"/>
        <v>82.18</v>
      </c>
    </row>
    <row r="12914" spans="1:6" x14ac:dyDescent="0.3">
      <c r="A12914" t="s">
        <v>2051</v>
      </c>
      <c r="B12914" t="s">
        <v>2127</v>
      </c>
      <c r="C12914">
        <v>50.5</v>
      </c>
      <c r="D12914">
        <v>180</v>
      </c>
      <c r="E12914">
        <f>IF(OR(B12914="vi",B12914="ii",B12914="pod"),(((D12914/100)*(C12914*VLOOKUP(B12914,'Poids des runes'!A:B,2,FALSE)))+1),(((D12914/100)*(C12914*VLOOKUP(B12914,'Poids des runes'!A:B,2,FALSE)))+1)/VLOOKUP(B12914,'Poids des runes'!A:B,2,FALSE))</f>
        <v>91.9</v>
      </c>
      <c r="F12914">
        <f t="shared" si="201"/>
        <v>91.9</v>
      </c>
    </row>
    <row r="12915" spans="1:6" x14ac:dyDescent="0.3">
      <c r="A12915" t="s">
        <v>2051</v>
      </c>
      <c r="B12915" t="s">
        <v>2129</v>
      </c>
      <c r="C12915">
        <v>25.5</v>
      </c>
      <c r="D12915">
        <v>180</v>
      </c>
      <c r="E12915">
        <f>IF(OR(B12915="vi",B12915="ii",B12915="pod"),(((D12915/100)*(C12915*VLOOKUP(B12915,'Poids des runes'!A:B,2,FALSE)))+1),(((D12915/100)*(C12915*VLOOKUP(B12915,'Poids des runes'!A:B,2,FALSE)))+1)/VLOOKUP(B12915,'Poids des runes'!A:B,2,FALSE))</f>
        <v>46.9</v>
      </c>
      <c r="F12915">
        <f t="shared" si="201"/>
        <v>46.9</v>
      </c>
    </row>
    <row r="12916" spans="1:6" x14ac:dyDescent="0.3">
      <c r="A12916" t="s">
        <v>2051</v>
      </c>
      <c r="B12916" t="s">
        <v>2151</v>
      </c>
      <c r="C12916">
        <v>5</v>
      </c>
      <c r="D12916">
        <v>180</v>
      </c>
      <c r="E12916">
        <f>IF(OR(B12916="vi",B12916="ii",B12916="pod"),(((D12916/100)*(C12916*VLOOKUP(B12916,'Poids des runes'!A:B,2,FALSE)))+1),(((D12916/100)*(C12916*VLOOKUP(B12916,'Poids des runes'!A:B,2,FALSE)))+1)/VLOOKUP(B12916,'Poids des runes'!A:B,2,FALSE))</f>
        <v>9.1</v>
      </c>
      <c r="F12916">
        <f t="shared" si="201"/>
        <v>9.1</v>
      </c>
    </row>
    <row r="12917" spans="1:6" x14ac:dyDescent="0.3">
      <c r="A12917" t="s">
        <v>2051</v>
      </c>
      <c r="B12917" t="s">
        <v>2150</v>
      </c>
      <c r="C12917">
        <v>1</v>
      </c>
      <c r="D12917">
        <v>180</v>
      </c>
      <c r="E12917">
        <f>IF(OR(B12917="vi",B12917="ii",B12917="pod"),(((D12917/100)*(C12917*VLOOKUP(B12917,'Poids des runes'!A:B,2,FALSE)))+1),(((D12917/100)*(C12917*VLOOKUP(B12917,'Poids des runes'!A:B,2,FALSE)))+1)/VLOOKUP(B12917,'Poids des runes'!A:B,2,FALSE))</f>
        <v>1.8333333333333333</v>
      </c>
      <c r="F12917">
        <f t="shared" si="201"/>
        <v>1.8333333333333333</v>
      </c>
    </row>
    <row r="12918" spans="1:6" x14ac:dyDescent="0.3">
      <c r="A12918" t="s">
        <v>2051</v>
      </c>
      <c r="B12918" t="s">
        <v>2153</v>
      </c>
      <c r="C12918">
        <v>10.5</v>
      </c>
      <c r="D12918">
        <v>180</v>
      </c>
      <c r="E12918">
        <f>IF(OR(B12918="vi",B12918="ii",B12918="pod"),(((D12918/100)*(C12918*VLOOKUP(B12918,'Poids des runes'!A:B,2,FALSE)))+1),(((D12918/100)*(C12918*VLOOKUP(B12918,'Poids des runes'!A:B,2,FALSE)))+1)/VLOOKUP(B12918,'Poids des runes'!A:B,2,FALSE))</f>
        <v>19.100000000000001</v>
      </c>
      <c r="F12918">
        <f t="shared" si="201"/>
        <v>19.100000000000001</v>
      </c>
    </row>
    <row r="12919" spans="1:6" x14ac:dyDescent="0.3">
      <c r="A12919" t="s">
        <v>2051</v>
      </c>
      <c r="B12919" t="s">
        <v>2161</v>
      </c>
      <c r="C12919">
        <v>18</v>
      </c>
      <c r="D12919">
        <v>180</v>
      </c>
      <c r="E12919">
        <f>IF(OR(B12919="vi",B12919="ii",B12919="pod"),(((D12919/100)*(C12919*VLOOKUP(B12919,'Poids des runes'!A:B,2,FALSE)))+1),(((D12919/100)*(C12919*VLOOKUP(B12919,'Poids des runes'!A:B,2,FALSE)))+1)/VLOOKUP(B12919,'Poids des runes'!A:B,2,FALSE))</f>
        <v>32.733333333333334</v>
      </c>
      <c r="F12919">
        <f t="shared" si="201"/>
        <v>32.733333333333334</v>
      </c>
    </row>
    <row r="12920" spans="1:6" x14ac:dyDescent="0.3">
      <c r="A12920" t="s">
        <v>2051</v>
      </c>
      <c r="B12920" t="s">
        <v>2132</v>
      </c>
      <c r="C12920">
        <v>175.5</v>
      </c>
      <c r="D12920">
        <v>180</v>
      </c>
      <c r="E12920">
        <f>IF(OR(B12920="vi",B12920="ii",B12920="pod"),(((D12920/100)*(C12920*VLOOKUP(B12920,'Poids des runes'!A:B,2,FALSE)))+1),(((D12920/100)*(C12920*VLOOKUP(B12920,'Poids des runes'!A:B,2,FALSE)))+1)/VLOOKUP(B12920,'Poids des runes'!A:B,2,FALSE))</f>
        <v>32.590000000000003</v>
      </c>
      <c r="F12920">
        <f t="shared" si="201"/>
        <v>32.590000000000003</v>
      </c>
    </row>
    <row r="12921" spans="1:6" x14ac:dyDescent="0.3">
      <c r="A12921" t="s">
        <v>2051</v>
      </c>
      <c r="B12921" t="s">
        <v>2141</v>
      </c>
      <c r="C12921">
        <v>4</v>
      </c>
      <c r="D12921">
        <v>180</v>
      </c>
      <c r="E12921">
        <f>IF(OR(B12921="vi",B12921="ii",B12921="pod"),(((D12921/100)*(C12921*VLOOKUP(B12921,'Poids des runes'!A:B,2,FALSE)))+1),(((D12921/100)*(C12921*VLOOKUP(B12921,'Poids des runes'!A:B,2,FALSE)))+1)/VLOOKUP(B12921,'Poids des runes'!A:B,2,FALSE))</f>
        <v>7.45</v>
      </c>
      <c r="F12921">
        <f t="shared" si="201"/>
        <v>7.45</v>
      </c>
    </row>
    <row r="12922" spans="1:6" x14ac:dyDescent="0.3">
      <c r="A12922" t="s">
        <v>2051</v>
      </c>
      <c r="B12922" t="s">
        <v>2159</v>
      </c>
      <c r="C12922">
        <v>8.5</v>
      </c>
      <c r="D12922">
        <v>180</v>
      </c>
      <c r="E12922">
        <f>IF(OR(B12922="vi",B12922="ii",B12922="pod"),(((D12922/100)*(C12922*VLOOKUP(B12922,'Poids des runes'!A:B,2,FALSE)))+1),(((D12922/100)*(C12922*VLOOKUP(B12922,'Poids des runes'!A:B,2,FALSE)))+1)/VLOOKUP(B12922,'Poids des runes'!A:B,2,FALSE))</f>
        <v>15.442857142857145</v>
      </c>
      <c r="F12922">
        <f t="shared" si="201"/>
        <v>15.442857142857145</v>
      </c>
    </row>
    <row r="12923" spans="1:6" x14ac:dyDescent="0.3">
      <c r="A12923" t="s">
        <v>2051</v>
      </c>
      <c r="B12923" t="s">
        <v>2163</v>
      </c>
      <c r="C12923">
        <v>8.5</v>
      </c>
      <c r="D12923">
        <v>180</v>
      </c>
      <c r="E12923">
        <f>IF(OR(B12923="vi",B12923="ii",B12923="pod"),(((D12923/100)*(C12923*VLOOKUP(B12923,'Poids des runes'!A:B,2,FALSE)))+1),(((D12923/100)*(C12923*VLOOKUP(B12923,'Poids des runes'!A:B,2,FALSE)))+1)/VLOOKUP(B12923,'Poids des runes'!A:B,2,FALSE))</f>
        <v>15.8</v>
      </c>
      <c r="F12923">
        <f t="shared" si="201"/>
        <v>15.8</v>
      </c>
    </row>
    <row r="12924" spans="1:6" x14ac:dyDescent="0.3">
      <c r="A12924" t="s">
        <v>2051</v>
      </c>
      <c r="B12924" t="s">
        <v>2135</v>
      </c>
      <c r="C12924">
        <v>5</v>
      </c>
      <c r="D12924">
        <v>180</v>
      </c>
      <c r="E12924">
        <f>IF(OR(B12924="vi",B12924="ii",B12924="pod"),(((D12924/100)*(C12924*VLOOKUP(B12924,'Poids des runes'!A:B,2,FALSE)))+1),(((D12924/100)*(C12924*VLOOKUP(B12924,'Poids des runes'!A:B,2,FALSE)))+1)/VLOOKUP(B12924,'Poids des runes'!A:B,2,FALSE))</f>
        <v>9.1666666666666661</v>
      </c>
      <c r="F12924">
        <f t="shared" si="201"/>
        <v>9.1666666666666661</v>
      </c>
    </row>
    <row r="12925" spans="1:6" x14ac:dyDescent="0.3">
      <c r="A12925" t="s">
        <v>2051</v>
      </c>
      <c r="B12925" t="s">
        <v>2136</v>
      </c>
      <c r="C12925">
        <v>8</v>
      </c>
      <c r="D12925">
        <v>180</v>
      </c>
      <c r="E12925">
        <f>IF(OR(B12925="vi",B12925="ii",B12925="pod"),(((D12925/100)*(C12925*VLOOKUP(B12925,'Poids des runes'!A:B,2,FALSE)))+1),(((D12925/100)*(C12925*VLOOKUP(B12925,'Poids des runes'!A:B,2,FALSE)))+1)/VLOOKUP(B12925,'Poids des runes'!A:B,2,FALSE))</f>
        <v>14.9</v>
      </c>
      <c r="F12925">
        <f t="shared" si="201"/>
        <v>14.9</v>
      </c>
    </row>
    <row r="12926" spans="1:6" x14ac:dyDescent="0.3">
      <c r="A12926" t="s">
        <v>2051</v>
      </c>
      <c r="B12926" t="s">
        <v>2145</v>
      </c>
      <c r="C12926">
        <v>8</v>
      </c>
      <c r="D12926">
        <v>180</v>
      </c>
      <c r="E12926">
        <f>IF(OR(B12926="vi",B12926="ii",B12926="pod"),(((D12926/100)*(C12926*VLOOKUP(B12926,'Poids des runes'!A:B,2,FALSE)))+1),(((D12926/100)*(C12926*VLOOKUP(B12926,'Poids des runes'!A:B,2,FALSE)))+1)/VLOOKUP(B12926,'Poids des runes'!A:B,2,FALSE))</f>
        <v>14.9</v>
      </c>
      <c r="F12926">
        <f t="shared" si="201"/>
        <v>14.9</v>
      </c>
    </row>
    <row r="12927" spans="1:6" x14ac:dyDescent="0.3">
      <c r="A12927" t="s">
        <v>2052</v>
      </c>
      <c r="B12927" t="s">
        <v>2128</v>
      </c>
      <c r="C12927">
        <v>225.5</v>
      </c>
      <c r="D12927">
        <v>181</v>
      </c>
      <c r="E12927">
        <f>IF(OR(B12927="vi",B12927="ii",B12927="pod"),(((D12927/100)*(C12927*VLOOKUP(B12927,'Poids des runes'!A:B,2,FALSE)))+1),(((D12927/100)*(C12927*VLOOKUP(B12927,'Poids des runes'!A:B,2,FALSE)))+1)/VLOOKUP(B12927,'Poids des runes'!A:B,2,FALSE))</f>
        <v>82.631</v>
      </c>
      <c r="F12927">
        <f t="shared" si="201"/>
        <v>82.631</v>
      </c>
    </row>
    <row r="12928" spans="1:6" x14ac:dyDescent="0.3">
      <c r="A12928" t="s">
        <v>2052</v>
      </c>
      <c r="B12928" t="s">
        <v>2130</v>
      </c>
      <c r="C12928">
        <v>40.5</v>
      </c>
      <c r="D12928">
        <v>181</v>
      </c>
      <c r="E12928">
        <f>IF(OR(B12928="vi",B12928="ii",B12928="pod"),(((D12928/100)*(C12928*VLOOKUP(B12928,'Poids des runes'!A:B,2,FALSE)))+1),(((D12928/100)*(C12928*VLOOKUP(B12928,'Poids des runes'!A:B,2,FALSE)))+1)/VLOOKUP(B12928,'Poids des runes'!A:B,2,FALSE))</f>
        <v>74.305000000000007</v>
      </c>
      <c r="F12928">
        <f t="shared" si="201"/>
        <v>74.305000000000007</v>
      </c>
    </row>
    <row r="12929" spans="1:6" x14ac:dyDescent="0.3">
      <c r="A12929" t="s">
        <v>2052</v>
      </c>
      <c r="B12929" t="s">
        <v>2126</v>
      </c>
      <c r="C12929">
        <v>40.5</v>
      </c>
      <c r="D12929">
        <v>181</v>
      </c>
      <c r="E12929">
        <f>IF(OR(B12929="vi",B12929="ii",B12929="pod"),(((D12929/100)*(C12929*VLOOKUP(B12929,'Poids des runes'!A:B,2,FALSE)))+1),(((D12929/100)*(C12929*VLOOKUP(B12929,'Poids des runes'!A:B,2,FALSE)))+1)/VLOOKUP(B12929,'Poids des runes'!A:B,2,FALSE))</f>
        <v>74.305000000000007</v>
      </c>
      <c r="F12929">
        <f t="shared" si="201"/>
        <v>74.305000000000007</v>
      </c>
    </row>
    <row r="12930" spans="1:6" x14ac:dyDescent="0.3">
      <c r="A12930" t="s">
        <v>2052</v>
      </c>
      <c r="B12930" t="s">
        <v>2127</v>
      </c>
      <c r="C12930">
        <v>40.5</v>
      </c>
      <c r="D12930">
        <v>181</v>
      </c>
      <c r="E12930">
        <f>IF(OR(B12930="vi",B12930="ii",B12930="pod"),(((D12930/100)*(C12930*VLOOKUP(B12930,'Poids des runes'!A:B,2,FALSE)))+1),(((D12930/100)*(C12930*VLOOKUP(B12930,'Poids des runes'!A:B,2,FALSE)))+1)/VLOOKUP(B12930,'Poids des runes'!A:B,2,FALSE))</f>
        <v>74.305000000000007</v>
      </c>
      <c r="F12930">
        <f t="shared" si="201"/>
        <v>74.305000000000007</v>
      </c>
    </row>
    <row r="12931" spans="1:6" x14ac:dyDescent="0.3">
      <c r="A12931" t="s">
        <v>2052</v>
      </c>
      <c r="B12931" t="s">
        <v>2129</v>
      </c>
      <c r="C12931">
        <v>35.5</v>
      </c>
      <c r="D12931">
        <v>181</v>
      </c>
      <c r="E12931">
        <f>IF(OR(B12931="vi",B12931="ii",B12931="pod"),(((D12931/100)*(C12931*VLOOKUP(B12931,'Poids des runes'!A:B,2,FALSE)))+1),(((D12931/100)*(C12931*VLOOKUP(B12931,'Poids des runes'!A:B,2,FALSE)))+1)/VLOOKUP(B12931,'Poids des runes'!A:B,2,FALSE))</f>
        <v>65.254999999999995</v>
      </c>
      <c r="F12931">
        <f t="shared" ref="F12931:F12994" si="202">E12931</f>
        <v>65.254999999999995</v>
      </c>
    </row>
    <row r="12932" spans="1:6" x14ac:dyDescent="0.3">
      <c r="A12932" t="s">
        <v>2052</v>
      </c>
      <c r="B12932" t="s">
        <v>2155</v>
      </c>
      <c r="C12932">
        <v>1</v>
      </c>
      <c r="D12932">
        <v>181</v>
      </c>
      <c r="E12932">
        <f>IF(OR(B12932="vi",B12932="ii",B12932="pod"),(((D12932/100)*(C12932*VLOOKUP(B12932,'Poids des runes'!A:B,2,FALSE)))+1),(((D12932/100)*(C12932*VLOOKUP(B12932,'Poids des runes'!A:B,2,FALSE)))+1)/VLOOKUP(B12932,'Poids des runes'!A:B,2,FALSE))</f>
        <v>1.8296078431372549</v>
      </c>
      <c r="F12932">
        <f t="shared" si="202"/>
        <v>1.8296078431372549</v>
      </c>
    </row>
    <row r="12933" spans="1:6" x14ac:dyDescent="0.3">
      <c r="A12933" t="s">
        <v>2052</v>
      </c>
      <c r="B12933" t="s">
        <v>2143</v>
      </c>
      <c r="C12933">
        <v>8.5</v>
      </c>
      <c r="D12933">
        <v>181</v>
      </c>
      <c r="E12933">
        <f>IF(OR(B12933="vi",B12933="ii",B12933="pod"),(((D12933/100)*(C12933*VLOOKUP(B12933,'Poids des runes'!A:B,2,FALSE)))+1),(((D12933/100)*(C12933*VLOOKUP(B12933,'Poids des runes'!A:B,2,FALSE)))+1)/VLOOKUP(B12933,'Poids des runes'!A:B,2,FALSE))</f>
        <v>15.584999999999999</v>
      </c>
      <c r="F12933">
        <f t="shared" si="202"/>
        <v>15.584999999999999</v>
      </c>
    </row>
    <row r="12934" spans="1:6" x14ac:dyDescent="0.3">
      <c r="A12934" t="s">
        <v>2052</v>
      </c>
      <c r="B12934" t="s">
        <v>2140</v>
      </c>
      <c r="C12934">
        <v>8.5</v>
      </c>
      <c r="D12934">
        <v>181</v>
      </c>
      <c r="E12934">
        <f>IF(OR(B12934="vi",B12934="ii",B12934="pod"),(((D12934/100)*(C12934*VLOOKUP(B12934,'Poids des runes'!A:B,2,FALSE)))+1),(((D12934/100)*(C12934*VLOOKUP(B12934,'Poids des runes'!A:B,2,FALSE)))+1)/VLOOKUP(B12934,'Poids des runes'!A:B,2,FALSE))</f>
        <v>15.584999999999999</v>
      </c>
      <c r="F12934">
        <f t="shared" si="202"/>
        <v>15.584999999999999</v>
      </c>
    </row>
    <row r="12935" spans="1:6" x14ac:dyDescent="0.3">
      <c r="A12935" t="s">
        <v>2052</v>
      </c>
      <c r="B12935" t="s">
        <v>2153</v>
      </c>
      <c r="C12935">
        <v>8.5</v>
      </c>
      <c r="D12935">
        <v>181</v>
      </c>
      <c r="E12935">
        <f>IF(OR(B12935="vi",B12935="ii",B12935="pod"),(((D12935/100)*(C12935*VLOOKUP(B12935,'Poids des runes'!A:B,2,FALSE)))+1),(((D12935/100)*(C12935*VLOOKUP(B12935,'Poids des runes'!A:B,2,FALSE)))+1)/VLOOKUP(B12935,'Poids des runes'!A:B,2,FALSE))</f>
        <v>15.584999999999999</v>
      </c>
      <c r="F12935">
        <f t="shared" si="202"/>
        <v>15.584999999999999</v>
      </c>
    </row>
    <row r="12936" spans="1:6" x14ac:dyDescent="0.3">
      <c r="A12936" t="s">
        <v>2052</v>
      </c>
      <c r="B12936" t="s">
        <v>2161</v>
      </c>
      <c r="C12936">
        <v>20.5</v>
      </c>
      <c r="D12936">
        <v>181</v>
      </c>
      <c r="E12936">
        <f>IF(OR(B12936="vi",B12936="ii",B12936="pod"),(((D12936/100)*(C12936*VLOOKUP(B12936,'Poids des runes'!A:B,2,FALSE)))+1),(((D12936/100)*(C12936*VLOOKUP(B12936,'Poids des runes'!A:B,2,FALSE)))+1)/VLOOKUP(B12936,'Poids des runes'!A:B,2,FALSE))</f>
        <v>37.438333333333333</v>
      </c>
      <c r="F12936">
        <f t="shared" si="202"/>
        <v>37.438333333333333</v>
      </c>
    </row>
    <row r="12937" spans="1:6" x14ac:dyDescent="0.3">
      <c r="A12937" t="s">
        <v>2052</v>
      </c>
      <c r="B12937" t="s">
        <v>2132</v>
      </c>
      <c r="C12937">
        <v>350.5</v>
      </c>
      <c r="D12937">
        <v>181</v>
      </c>
      <c r="E12937">
        <f>IF(OR(B12937="vi",B12937="ii",B12937="pod"),(((D12937/100)*(C12937*VLOOKUP(B12937,'Poids des runes'!A:B,2,FALSE)))+1),(((D12937/100)*(C12937*VLOOKUP(B12937,'Poids des runes'!A:B,2,FALSE)))+1)/VLOOKUP(B12937,'Poids des runes'!A:B,2,FALSE))</f>
        <v>64.440500000000014</v>
      </c>
      <c r="F12937">
        <f t="shared" si="202"/>
        <v>64.440500000000014</v>
      </c>
    </row>
    <row r="12938" spans="1:6" x14ac:dyDescent="0.3">
      <c r="A12938" t="s">
        <v>2052</v>
      </c>
      <c r="B12938" t="s">
        <v>2165</v>
      </c>
      <c r="C12938">
        <v>4.5</v>
      </c>
      <c r="D12938">
        <v>181</v>
      </c>
      <c r="E12938">
        <f>IF(OR(B12938="vi",B12938="ii",B12938="pod"),(((D12938/100)*(C12938*VLOOKUP(B12938,'Poids des runes'!A:B,2,FALSE)))+1),(((D12938/100)*(C12938*VLOOKUP(B12938,'Poids des runes'!A:B,2,FALSE)))+1)/VLOOKUP(B12938,'Poids des runes'!A:B,2,FALSE))</f>
        <v>8.2878571428571437</v>
      </c>
      <c r="F12938">
        <f t="shared" si="202"/>
        <v>8.2878571428571437</v>
      </c>
    </row>
    <row r="12939" spans="1:6" x14ac:dyDescent="0.3">
      <c r="A12939" t="s">
        <v>2052</v>
      </c>
      <c r="B12939" t="s">
        <v>2157</v>
      </c>
      <c r="C12939">
        <v>4</v>
      </c>
      <c r="D12939">
        <v>181</v>
      </c>
      <c r="E12939">
        <f>IF(OR(B12939="vi",B12939="ii",B12939="pod"),(((D12939/100)*(C12939*VLOOKUP(B12939,'Poids des runes'!A:B,2,FALSE)))+1),(((D12939/100)*(C12939*VLOOKUP(B12939,'Poids des runes'!A:B,2,FALSE)))+1)/VLOOKUP(B12939,'Poids des runes'!A:B,2,FALSE))</f>
        <v>7.4066666666666663</v>
      </c>
      <c r="F12939">
        <f t="shared" si="202"/>
        <v>7.4066666666666663</v>
      </c>
    </row>
    <row r="12940" spans="1:6" x14ac:dyDescent="0.3">
      <c r="A12940" t="s">
        <v>2053</v>
      </c>
      <c r="B12940" t="s">
        <v>2128</v>
      </c>
      <c r="C12940">
        <v>125.5</v>
      </c>
      <c r="D12940">
        <v>182</v>
      </c>
      <c r="E12940">
        <f>IF(OR(B12940="vi",B12940="ii",B12940="pod"),(((D12940/100)*(C12940*VLOOKUP(B12940,'Poids des runes'!A:B,2,FALSE)))+1),(((D12940/100)*(C12940*VLOOKUP(B12940,'Poids des runes'!A:B,2,FALSE)))+1)/VLOOKUP(B12940,'Poids des runes'!A:B,2,FALSE))</f>
        <v>46.682000000000002</v>
      </c>
      <c r="F12940">
        <f t="shared" si="202"/>
        <v>46.682000000000002</v>
      </c>
    </row>
    <row r="12941" spans="1:6" x14ac:dyDescent="0.3">
      <c r="A12941" t="s">
        <v>2053</v>
      </c>
      <c r="B12941" t="s">
        <v>2130</v>
      </c>
      <c r="C12941">
        <v>40.5</v>
      </c>
      <c r="D12941">
        <v>182</v>
      </c>
      <c r="E12941">
        <f>IF(OR(B12941="vi",B12941="ii",B12941="pod"),(((D12941/100)*(C12941*VLOOKUP(B12941,'Poids des runes'!A:B,2,FALSE)))+1),(((D12941/100)*(C12941*VLOOKUP(B12941,'Poids des runes'!A:B,2,FALSE)))+1)/VLOOKUP(B12941,'Poids des runes'!A:B,2,FALSE))</f>
        <v>74.710000000000008</v>
      </c>
      <c r="F12941">
        <f t="shared" si="202"/>
        <v>74.710000000000008</v>
      </c>
    </row>
    <row r="12942" spans="1:6" x14ac:dyDescent="0.3">
      <c r="A12942" t="s">
        <v>2053</v>
      </c>
      <c r="B12942" t="s">
        <v>2131</v>
      </c>
      <c r="C12942">
        <v>40.5</v>
      </c>
      <c r="D12942">
        <v>182</v>
      </c>
      <c r="E12942">
        <f>IF(OR(B12942="vi",B12942="ii",B12942="pod"),(((D12942/100)*(C12942*VLOOKUP(B12942,'Poids des runes'!A:B,2,FALSE)))+1),(((D12942/100)*(C12942*VLOOKUP(B12942,'Poids des runes'!A:B,2,FALSE)))+1)/VLOOKUP(B12942,'Poids des runes'!A:B,2,FALSE))</f>
        <v>74.710000000000008</v>
      </c>
      <c r="F12942">
        <f t="shared" si="202"/>
        <v>74.710000000000008</v>
      </c>
    </row>
    <row r="12943" spans="1:6" x14ac:dyDescent="0.3">
      <c r="A12943" t="s">
        <v>2053</v>
      </c>
      <c r="B12943" t="s">
        <v>2127</v>
      </c>
      <c r="C12943">
        <v>40.5</v>
      </c>
      <c r="D12943">
        <v>182</v>
      </c>
      <c r="E12943">
        <f>IF(OR(B12943="vi",B12943="ii",B12943="pod"),(((D12943/100)*(C12943*VLOOKUP(B12943,'Poids des runes'!A:B,2,FALSE)))+1),(((D12943/100)*(C12943*VLOOKUP(B12943,'Poids des runes'!A:B,2,FALSE)))+1)/VLOOKUP(B12943,'Poids des runes'!A:B,2,FALSE))</f>
        <v>74.710000000000008</v>
      </c>
      <c r="F12943">
        <f t="shared" si="202"/>
        <v>74.710000000000008</v>
      </c>
    </row>
    <row r="12944" spans="1:6" x14ac:dyDescent="0.3">
      <c r="A12944" t="s">
        <v>2053</v>
      </c>
      <c r="B12944" t="s">
        <v>2129</v>
      </c>
      <c r="C12944">
        <v>25.5</v>
      </c>
      <c r="D12944">
        <v>182</v>
      </c>
      <c r="E12944">
        <f>IF(OR(B12944="vi",B12944="ii",B12944="pod"),(((D12944/100)*(C12944*VLOOKUP(B12944,'Poids des runes'!A:B,2,FALSE)))+1),(((D12944/100)*(C12944*VLOOKUP(B12944,'Poids des runes'!A:B,2,FALSE)))+1)/VLOOKUP(B12944,'Poids des runes'!A:B,2,FALSE))</f>
        <v>47.410000000000004</v>
      </c>
      <c r="F12944">
        <f t="shared" si="202"/>
        <v>47.410000000000004</v>
      </c>
    </row>
    <row r="12945" spans="1:6" x14ac:dyDescent="0.3">
      <c r="A12945" t="s">
        <v>2053</v>
      </c>
      <c r="B12945" t="s">
        <v>2134</v>
      </c>
      <c r="C12945">
        <v>4.5</v>
      </c>
      <c r="D12945">
        <v>182</v>
      </c>
      <c r="E12945">
        <f>IF(OR(B12945="vi",B12945="ii",B12945="pod"),(((D12945/100)*(C12945*VLOOKUP(B12945,'Poids des runes'!A:B,2,FALSE)))+1),(((D12945/100)*(C12945*VLOOKUP(B12945,'Poids des runes'!A:B,2,FALSE)))+1)/VLOOKUP(B12945,'Poids des runes'!A:B,2,FALSE))</f>
        <v>8.24</v>
      </c>
      <c r="F12945">
        <f t="shared" si="202"/>
        <v>8.24</v>
      </c>
    </row>
    <row r="12946" spans="1:6" x14ac:dyDescent="0.3">
      <c r="A12946" t="s">
        <v>2053</v>
      </c>
      <c r="B12946" t="s">
        <v>2161</v>
      </c>
      <c r="C12946">
        <v>13</v>
      </c>
      <c r="D12946">
        <v>182</v>
      </c>
      <c r="E12946">
        <f>IF(OR(B12946="vi",B12946="ii",B12946="pod"),(((D12946/100)*(C12946*VLOOKUP(B12946,'Poids des runes'!A:B,2,FALSE)))+1),(((D12946/100)*(C12946*VLOOKUP(B12946,'Poids des runes'!A:B,2,FALSE)))+1)/VLOOKUP(B12946,'Poids des runes'!A:B,2,FALSE))</f>
        <v>23.993333333333336</v>
      </c>
      <c r="F12946">
        <f t="shared" si="202"/>
        <v>23.993333333333336</v>
      </c>
    </row>
    <row r="12947" spans="1:6" x14ac:dyDescent="0.3">
      <c r="A12947" t="s">
        <v>2053</v>
      </c>
      <c r="B12947" t="s">
        <v>2135</v>
      </c>
      <c r="C12947">
        <v>6</v>
      </c>
      <c r="D12947">
        <v>182</v>
      </c>
      <c r="E12947">
        <f>IF(OR(B12947="vi",B12947="ii",B12947="pod"),(((D12947/100)*(C12947*VLOOKUP(B12947,'Poids des runes'!A:B,2,FALSE)))+1),(((D12947/100)*(C12947*VLOOKUP(B12947,'Poids des runes'!A:B,2,FALSE)))+1)/VLOOKUP(B12947,'Poids des runes'!A:B,2,FALSE))</f>
        <v>11.086666666666666</v>
      </c>
      <c r="F12947">
        <f t="shared" si="202"/>
        <v>11.086666666666666</v>
      </c>
    </row>
    <row r="12948" spans="1:6" x14ac:dyDescent="0.3">
      <c r="A12948" t="s">
        <v>2053</v>
      </c>
      <c r="B12948" t="s">
        <v>2157</v>
      </c>
      <c r="C12948">
        <v>6</v>
      </c>
      <c r="D12948">
        <v>182</v>
      </c>
      <c r="E12948">
        <f>IF(OR(B12948="vi",B12948="ii",B12948="pod"),(((D12948/100)*(C12948*VLOOKUP(B12948,'Poids des runes'!A:B,2,FALSE)))+1),(((D12948/100)*(C12948*VLOOKUP(B12948,'Poids des runes'!A:B,2,FALSE)))+1)/VLOOKUP(B12948,'Poids des runes'!A:B,2,FALSE))</f>
        <v>11.086666666666666</v>
      </c>
      <c r="F12948">
        <f t="shared" si="202"/>
        <v>11.086666666666666</v>
      </c>
    </row>
    <row r="12949" spans="1:6" x14ac:dyDescent="0.3">
      <c r="A12949" t="s">
        <v>2054</v>
      </c>
      <c r="B12949" t="s">
        <v>2128</v>
      </c>
      <c r="C12949">
        <v>275.5</v>
      </c>
      <c r="D12949">
        <v>182</v>
      </c>
      <c r="E12949">
        <f>IF(OR(B12949="vi",B12949="ii",B12949="pod"),(((D12949/100)*(C12949*VLOOKUP(B12949,'Poids des runes'!A:B,2,FALSE)))+1),(((D12949/100)*(C12949*VLOOKUP(B12949,'Poids des runes'!A:B,2,FALSE)))+1)/VLOOKUP(B12949,'Poids des runes'!A:B,2,FALSE))</f>
        <v>101.28200000000001</v>
      </c>
      <c r="F12949">
        <f t="shared" si="202"/>
        <v>101.28200000000001</v>
      </c>
    </row>
    <row r="12950" spans="1:6" x14ac:dyDescent="0.3">
      <c r="A12950" t="s">
        <v>2054</v>
      </c>
      <c r="B12950" t="s">
        <v>2126</v>
      </c>
      <c r="C12950">
        <v>40.5</v>
      </c>
      <c r="D12950">
        <v>182</v>
      </c>
      <c r="E12950">
        <f>IF(OR(B12950="vi",B12950="ii",B12950="pod"),(((D12950/100)*(C12950*VLOOKUP(B12950,'Poids des runes'!A:B,2,FALSE)))+1),(((D12950/100)*(C12950*VLOOKUP(B12950,'Poids des runes'!A:B,2,FALSE)))+1)/VLOOKUP(B12950,'Poids des runes'!A:B,2,FALSE))</f>
        <v>74.710000000000008</v>
      </c>
      <c r="F12950">
        <f t="shared" si="202"/>
        <v>74.710000000000008</v>
      </c>
    </row>
    <row r="12951" spans="1:6" x14ac:dyDescent="0.3">
      <c r="A12951" t="s">
        <v>2054</v>
      </c>
      <c r="B12951" t="s">
        <v>2131</v>
      </c>
      <c r="C12951">
        <v>40.5</v>
      </c>
      <c r="D12951">
        <v>182</v>
      </c>
      <c r="E12951">
        <f>IF(OR(B12951="vi",B12951="ii",B12951="pod"),(((D12951/100)*(C12951*VLOOKUP(B12951,'Poids des runes'!A:B,2,FALSE)))+1),(((D12951/100)*(C12951*VLOOKUP(B12951,'Poids des runes'!A:B,2,FALSE)))+1)/VLOOKUP(B12951,'Poids des runes'!A:B,2,FALSE))</f>
        <v>74.710000000000008</v>
      </c>
      <c r="F12951">
        <f t="shared" si="202"/>
        <v>74.710000000000008</v>
      </c>
    </row>
    <row r="12952" spans="1:6" x14ac:dyDescent="0.3">
      <c r="A12952" t="s">
        <v>2054</v>
      </c>
      <c r="B12952" t="s">
        <v>2129</v>
      </c>
      <c r="C12952">
        <v>25.5</v>
      </c>
      <c r="D12952">
        <v>182</v>
      </c>
      <c r="E12952">
        <f>IF(OR(B12952="vi",B12952="ii",B12952="pod"),(((D12952/100)*(C12952*VLOOKUP(B12952,'Poids des runes'!A:B,2,FALSE)))+1),(((D12952/100)*(C12952*VLOOKUP(B12952,'Poids des runes'!A:B,2,FALSE)))+1)/VLOOKUP(B12952,'Poids des runes'!A:B,2,FALSE))</f>
        <v>47.410000000000004</v>
      </c>
      <c r="F12952">
        <f t="shared" si="202"/>
        <v>47.410000000000004</v>
      </c>
    </row>
    <row r="12953" spans="1:6" x14ac:dyDescent="0.3">
      <c r="A12953" t="s">
        <v>2054</v>
      </c>
      <c r="B12953" t="s">
        <v>2139</v>
      </c>
      <c r="C12953">
        <v>20.5</v>
      </c>
      <c r="D12953">
        <v>182</v>
      </c>
      <c r="E12953">
        <f>IF(OR(B12953="vi",B12953="ii",B12953="pod"),(((D12953/100)*(C12953*VLOOKUP(B12953,'Poids des runes'!A:B,2,FALSE)))+1),(((D12953/100)*(C12953*VLOOKUP(B12953,'Poids des runes'!A:B,2,FALSE)))+1)/VLOOKUP(B12953,'Poids des runes'!A:B,2,FALSE))</f>
        <v>37.81</v>
      </c>
      <c r="F12953">
        <f t="shared" si="202"/>
        <v>37.81</v>
      </c>
    </row>
    <row r="12954" spans="1:6" x14ac:dyDescent="0.3">
      <c r="A12954" t="s">
        <v>2054</v>
      </c>
      <c r="B12954" t="s">
        <v>2151</v>
      </c>
      <c r="C12954">
        <v>2.5</v>
      </c>
      <c r="D12954">
        <v>182</v>
      </c>
      <c r="E12954">
        <f>IF(OR(B12954="vi",B12954="ii",B12954="pod"),(((D12954/100)*(C12954*VLOOKUP(B12954,'Poids des runes'!A:B,2,FALSE)))+1),(((D12954/100)*(C12954*VLOOKUP(B12954,'Poids des runes'!A:B,2,FALSE)))+1)/VLOOKUP(B12954,'Poids des runes'!A:B,2,FALSE))</f>
        <v>4.6500000000000004</v>
      </c>
      <c r="F12954">
        <f t="shared" si="202"/>
        <v>4.6500000000000004</v>
      </c>
    </row>
    <row r="12955" spans="1:6" x14ac:dyDescent="0.3">
      <c r="A12955" t="s">
        <v>2054</v>
      </c>
      <c r="B12955" t="s">
        <v>2150</v>
      </c>
      <c r="C12955">
        <v>1</v>
      </c>
      <c r="D12955">
        <v>182</v>
      </c>
      <c r="E12955">
        <f>IF(OR(B12955="vi",B12955="ii",B12955="pod"),(((D12955/100)*(C12955*VLOOKUP(B12955,'Poids des runes'!A:B,2,FALSE)))+1),(((D12955/100)*(C12955*VLOOKUP(B12955,'Poids des runes'!A:B,2,FALSE)))+1)/VLOOKUP(B12955,'Poids des runes'!A:B,2,FALSE))</f>
        <v>1.8533333333333333</v>
      </c>
      <c r="F12955">
        <f t="shared" si="202"/>
        <v>1.8533333333333333</v>
      </c>
    </row>
    <row r="12956" spans="1:6" x14ac:dyDescent="0.3">
      <c r="A12956" t="s">
        <v>2054</v>
      </c>
      <c r="B12956" t="s">
        <v>2134</v>
      </c>
      <c r="C12956">
        <v>8.5</v>
      </c>
      <c r="D12956">
        <v>182</v>
      </c>
      <c r="E12956">
        <f>IF(OR(B12956="vi",B12956="ii",B12956="pod"),(((D12956/100)*(C12956*VLOOKUP(B12956,'Poids des runes'!A:B,2,FALSE)))+1),(((D12956/100)*(C12956*VLOOKUP(B12956,'Poids des runes'!A:B,2,FALSE)))+1)/VLOOKUP(B12956,'Poids des runes'!A:B,2,FALSE))</f>
        <v>15.520000000000001</v>
      </c>
      <c r="F12956">
        <f t="shared" si="202"/>
        <v>15.520000000000001</v>
      </c>
    </row>
    <row r="12957" spans="1:6" x14ac:dyDescent="0.3">
      <c r="A12957" t="s">
        <v>2054</v>
      </c>
      <c r="B12957" t="s">
        <v>2132</v>
      </c>
      <c r="C12957">
        <v>250.5</v>
      </c>
      <c r="D12957">
        <v>182</v>
      </c>
      <c r="E12957">
        <f>IF(OR(B12957="vi",B12957="ii",B12957="pod"),(((D12957/100)*(C12957*VLOOKUP(B12957,'Poids des runes'!A:B,2,FALSE)))+1),(((D12957/100)*(C12957*VLOOKUP(B12957,'Poids des runes'!A:B,2,FALSE)))+1)/VLOOKUP(B12957,'Poids des runes'!A:B,2,FALSE))</f>
        <v>46.591000000000001</v>
      </c>
      <c r="F12957">
        <f t="shared" si="202"/>
        <v>46.591000000000001</v>
      </c>
    </row>
    <row r="12958" spans="1:6" x14ac:dyDescent="0.3">
      <c r="A12958" t="s">
        <v>2054</v>
      </c>
      <c r="B12958" t="s">
        <v>2162</v>
      </c>
      <c r="C12958">
        <v>4</v>
      </c>
      <c r="D12958">
        <v>182</v>
      </c>
      <c r="E12958">
        <f>IF(OR(B12958="vi",B12958="ii",B12958="pod"),(((D12958/100)*(C12958*VLOOKUP(B12958,'Poids des runes'!A:B,2,FALSE)))+1),(((D12958/100)*(C12958*VLOOKUP(B12958,'Poids des runes'!A:B,2,FALSE)))+1)/VLOOKUP(B12958,'Poids des runes'!A:B,2,FALSE))</f>
        <v>7.4228571428571426</v>
      </c>
      <c r="F12958">
        <f t="shared" si="202"/>
        <v>7.4228571428571426</v>
      </c>
    </row>
    <row r="12959" spans="1:6" x14ac:dyDescent="0.3">
      <c r="A12959" t="s">
        <v>2054</v>
      </c>
      <c r="B12959" t="s">
        <v>2157</v>
      </c>
      <c r="C12959">
        <v>8</v>
      </c>
      <c r="D12959">
        <v>182</v>
      </c>
      <c r="E12959">
        <f>IF(OR(B12959="vi",B12959="ii",B12959="pod"),(((D12959/100)*(C12959*VLOOKUP(B12959,'Poids des runes'!A:B,2,FALSE)))+1),(((D12959/100)*(C12959*VLOOKUP(B12959,'Poids des runes'!A:B,2,FALSE)))+1)/VLOOKUP(B12959,'Poids des runes'!A:B,2,FALSE))</f>
        <v>14.726666666666667</v>
      </c>
      <c r="F12959">
        <f t="shared" si="202"/>
        <v>14.726666666666667</v>
      </c>
    </row>
    <row r="12960" spans="1:6" x14ac:dyDescent="0.3">
      <c r="A12960" t="s">
        <v>2054</v>
      </c>
      <c r="B12960" t="s">
        <v>2146</v>
      </c>
      <c r="C12960">
        <v>8</v>
      </c>
      <c r="D12960">
        <v>182</v>
      </c>
      <c r="E12960">
        <f>IF(OR(B12960="vi",B12960="ii",B12960="pod"),(((D12960/100)*(C12960*VLOOKUP(B12960,'Poids des runes'!A:B,2,FALSE)))+1),(((D12960/100)*(C12960*VLOOKUP(B12960,'Poids des runes'!A:B,2,FALSE)))+1)/VLOOKUP(B12960,'Poids des runes'!A:B,2,FALSE))</f>
        <v>15.06</v>
      </c>
      <c r="F12960">
        <f t="shared" si="202"/>
        <v>15.06</v>
      </c>
    </row>
    <row r="12961" spans="1:6" x14ac:dyDescent="0.3">
      <c r="A12961" t="s">
        <v>2055</v>
      </c>
      <c r="B12961" t="s">
        <v>2128</v>
      </c>
      <c r="C12961">
        <v>275.5</v>
      </c>
      <c r="D12961">
        <v>183</v>
      </c>
      <c r="E12961">
        <f>IF(OR(B12961="vi",B12961="ii",B12961="pod"),(((D12961/100)*(C12961*VLOOKUP(B12961,'Poids des runes'!A:B,2,FALSE)))+1),(((D12961/100)*(C12961*VLOOKUP(B12961,'Poids des runes'!A:B,2,FALSE)))+1)/VLOOKUP(B12961,'Poids des runes'!A:B,2,FALSE))</f>
        <v>101.83300000000001</v>
      </c>
      <c r="F12961">
        <f t="shared" si="202"/>
        <v>101.83300000000001</v>
      </c>
    </row>
    <row r="12962" spans="1:6" x14ac:dyDescent="0.3">
      <c r="A12962" t="s">
        <v>2055</v>
      </c>
      <c r="B12962" t="s">
        <v>2130</v>
      </c>
      <c r="C12962">
        <v>40.5</v>
      </c>
      <c r="D12962">
        <v>183</v>
      </c>
      <c r="E12962">
        <f>IF(OR(B12962="vi",B12962="ii",B12962="pod"),(((D12962/100)*(C12962*VLOOKUP(B12962,'Poids des runes'!A:B,2,FALSE)))+1),(((D12962/100)*(C12962*VLOOKUP(B12962,'Poids des runes'!A:B,2,FALSE)))+1)/VLOOKUP(B12962,'Poids des runes'!A:B,2,FALSE))</f>
        <v>75.115000000000009</v>
      </c>
      <c r="F12962">
        <f t="shared" si="202"/>
        <v>75.115000000000009</v>
      </c>
    </row>
    <row r="12963" spans="1:6" x14ac:dyDescent="0.3">
      <c r="A12963" t="s">
        <v>2055</v>
      </c>
      <c r="B12963" t="s">
        <v>2126</v>
      </c>
      <c r="C12963">
        <v>40.5</v>
      </c>
      <c r="D12963">
        <v>183</v>
      </c>
      <c r="E12963">
        <f>IF(OR(B12963="vi",B12963="ii",B12963="pod"),(((D12963/100)*(C12963*VLOOKUP(B12963,'Poids des runes'!A:B,2,FALSE)))+1),(((D12963/100)*(C12963*VLOOKUP(B12963,'Poids des runes'!A:B,2,FALSE)))+1)/VLOOKUP(B12963,'Poids des runes'!A:B,2,FALSE))</f>
        <v>75.115000000000009</v>
      </c>
      <c r="F12963">
        <f t="shared" si="202"/>
        <v>75.115000000000009</v>
      </c>
    </row>
    <row r="12964" spans="1:6" x14ac:dyDescent="0.3">
      <c r="A12964" t="s">
        <v>2055</v>
      </c>
      <c r="B12964" t="s">
        <v>2129</v>
      </c>
      <c r="C12964">
        <v>35.5</v>
      </c>
      <c r="D12964">
        <v>183</v>
      </c>
      <c r="E12964">
        <f>IF(OR(B12964="vi",B12964="ii",B12964="pod"),(((D12964/100)*(C12964*VLOOKUP(B12964,'Poids des runes'!A:B,2,FALSE)))+1),(((D12964/100)*(C12964*VLOOKUP(B12964,'Poids des runes'!A:B,2,FALSE)))+1)/VLOOKUP(B12964,'Poids des runes'!A:B,2,FALSE))</f>
        <v>65.965000000000003</v>
      </c>
      <c r="F12964">
        <f t="shared" si="202"/>
        <v>65.965000000000003</v>
      </c>
    </row>
    <row r="12965" spans="1:6" x14ac:dyDescent="0.3">
      <c r="A12965" t="s">
        <v>2055</v>
      </c>
      <c r="B12965" t="s">
        <v>2151</v>
      </c>
      <c r="C12965">
        <v>3.5</v>
      </c>
      <c r="D12965">
        <v>183</v>
      </c>
      <c r="E12965">
        <f>IF(OR(B12965="vi",B12965="ii",B12965="pod"),(((D12965/100)*(C12965*VLOOKUP(B12965,'Poids des runes'!A:B,2,FALSE)))+1),(((D12965/100)*(C12965*VLOOKUP(B12965,'Poids des runes'!A:B,2,FALSE)))+1)/VLOOKUP(B12965,'Poids des runes'!A:B,2,FALSE))</f>
        <v>6.5049999999999999</v>
      </c>
      <c r="F12965">
        <f t="shared" si="202"/>
        <v>6.5049999999999999</v>
      </c>
    </row>
    <row r="12966" spans="1:6" x14ac:dyDescent="0.3">
      <c r="A12966" t="s">
        <v>2055</v>
      </c>
      <c r="B12966" t="s">
        <v>2134</v>
      </c>
      <c r="C12966">
        <v>10.5</v>
      </c>
      <c r="D12966">
        <v>183</v>
      </c>
      <c r="E12966">
        <f>IF(OR(B12966="vi",B12966="ii",B12966="pod"),(((D12966/100)*(C12966*VLOOKUP(B12966,'Poids des runes'!A:B,2,FALSE)))+1),(((D12966/100)*(C12966*VLOOKUP(B12966,'Poids des runes'!A:B,2,FALSE)))+1)/VLOOKUP(B12966,'Poids des runes'!A:B,2,FALSE))</f>
        <v>19.265000000000001</v>
      </c>
      <c r="F12966">
        <f t="shared" si="202"/>
        <v>19.265000000000001</v>
      </c>
    </row>
    <row r="12967" spans="1:6" x14ac:dyDescent="0.3">
      <c r="A12967" t="s">
        <v>2055</v>
      </c>
      <c r="B12967" t="s">
        <v>2161</v>
      </c>
      <c r="C12967">
        <v>15.5</v>
      </c>
      <c r="D12967">
        <v>183</v>
      </c>
      <c r="E12967">
        <f>IF(OR(B12967="vi",B12967="ii",B12967="pod"),(((D12967/100)*(C12967*VLOOKUP(B12967,'Poids des runes'!A:B,2,FALSE)))+1),(((D12967/100)*(C12967*VLOOKUP(B12967,'Poids des runes'!A:B,2,FALSE)))+1)/VLOOKUP(B12967,'Poids des runes'!A:B,2,FALSE))</f>
        <v>28.698333333333334</v>
      </c>
      <c r="F12967">
        <f t="shared" si="202"/>
        <v>28.698333333333334</v>
      </c>
    </row>
    <row r="12968" spans="1:6" x14ac:dyDescent="0.3">
      <c r="A12968" t="s">
        <v>2055</v>
      </c>
      <c r="B12968" t="s">
        <v>2132</v>
      </c>
      <c r="C12968">
        <v>350.5</v>
      </c>
      <c r="D12968">
        <v>183</v>
      </c>
      <c r="E12968">
        <f>IF(OR(B12968="vi",B12968="ii",B12968="pod"),(((D12968/100)*(C12968*VLOOKUP(B12968,'Poids des runes'!A:B,2,FALSE)))+1),(((D12968/100)*(C12968*VLOOKUP(B12968,'Poids des runes'!A:B,2,FALSE)))+1)/VLOOKUP(B12968,'Poids des runes'!A:B,2,FALSE))</f>
        <v>65.141500000000008</v>
      </c>
      <c r="F12968">
        <f t="shared" si="202"/>
        <v>65.141500000000008</v>
      </c>
    </row>
    <row r="12969" spans="1:6" x14ac:dyDescent="0.3">
      <c r="A12969" t="s">
        <v>2055</v>
      </c>
      <c r="B12969" t="s">
        <v>2135</v>
      </c>
      <c r="C12969">
        <v>6</v>
      </c>
      <c r="D12969">
        <v>183</v>
      </c>
      <c r="E12969">
        <f>IF(OR(B12969="vi",B12969="ii",B12969="pod"),(((D12969/100)*(C12969*VLOOKUP(B12969,'Poids des runes'!A:B,2,FALSE)))+1),(((D12969/100)*(C12969*VLOOKUP(B12969,'Poids des runes'!A:B,2,FALSE)))+1)/VLOOKUP(B12969,'Poids des runes'!A:B,2,FALSE))</f>
        <v>11.146666666666667</v>
      </c>
      <c r="F12969">
        <f t="shared" si="202"/>
        <v>11.146666666666667</v>
      </c>
    </row>
    <row r="12970" spans="1:6" x14ac:dyDescent="0.3">
      <c r="A12970" t="s">
        <v>2055</v>
      </c>
      <c r="B12970" t="s">
        <v>2157</v>
      </c>
      <c r="C12970">
        <v>6</v>
      </c>
      <c r="D12970">
        <v>183</v>
      </c>
      <c r="E12970">
        <f>IF(OR(B12970="vi",B12970="ii",B12970="pod"),(((D12970/100)*(C12970*VLOOKUP(B12970,'Poids des runes'!A:B,2,FALSE)))+1),(((D12970/100)*(C12970*VLOOKUP(B12970,'Poids des runes'!A:B,2,FALSE)))+1)/VLOOKUP(B12970,'Poids des runes'!A:B,2,FALSE))</f>
        <v>11.146666666666667</v>
      </c>
      <c r="F12970">
        <f t="shared" si="202"/>
        <v>11.146666666666667</v>
      </c>
    </row>
    <row r="12971" spans="1:6" x14ac:dyDescent="0.3">
      <c r="A12971" t="s">
        <v>2056</v>
      </c>
      <c r="B12971" t="s">
        <v>2128</v>
      </c>
      <c r="C12971">
        <v>225.5</v>
      </c>
      <c r="D12971">
        <v>183</v>
      </c>
      <c r="E12971">
        <f>IF(OR(B12971="vi",B12971="ii",B12971="pod"),(((D12971/100)*(C12971*VLOOKUP(B12971,'Poids des runes'!A:B,2,FALSE)))+1),(((D12971/100)*(C12971*VLOOKUP(B12971,'Poids des runes'!A:B,2,FALSE)))+1)/VLOOKUP(B12971,'Poids des runes'!A:B,2,FALSE))</f>
        <v>83.533000000000001</v>
      </c>
      <c r="F12971">
        <f t="shared" si="202"/>
        <v>83.533000000000001</v>
      </c>
    </row>
    <row r="12972" spans="1:6" x14ac:dyDescent="0.3">
      <c r="A12972" t="s">
        <v>2056</v>
      </c>
      <c r="B12972" t="s">
        <v>2131</v>
      </c>
      <c r="C12972">
        <v>40.5</v>
      </c>
      <c r="D12972">
        <v>183</v>
      </c>
      <c r="E12972">
        <f>IF(OR(B12972="vi",B12972="ii",B12972="pod"),(((D12972/100)*(C12972*VLOOKUP(B12972,'Poids des runes'!A:B,2,FALSE)))+1),(((D12972/100)*(C12972*VLOOKUP(B12972,'Poids des runes'!A:B,2,FALSE)))+1)/VLOOKUP(B12972,'Poids des runes'!A:B,2,FALSE))</f>
        <v>75.115000000000009</v>
      </c>
      <c r="F12972">
        <f t="shared" si="202"/>
        <v>75.115000000000009</v>
      </c>
    </row>
    <row r="12973" spans="1:6" x14ac:dyDescent="0.3">
      <c r="A12973" t="s">
        <v>2056</v>
      </c>
      <c r="B12973" t="s">
        <v>2129</v>
      </c>
      <c r="C12973">
        <v>40.5</v>
      </c>
      <c r="D12973">
        <v>183</v>
      </c>
      <c r="E12973">
        <f>IF(OR(B12973="vi",B12973="ii",B12973="pod"),(((D12973/100)*(C12973*VLOOKUP(B12973,'Poids des runes'!A:B,2,FALSE)))+1),(((D12973/100)*(C12973*VLOOKUP(B12973,'Poids des runes'!A:B,2,FALSE)))+1)/VLOOKUP(B12973,'Poids des runes'!A:B,2,FALSE))</f>
        <v>75.115000000000009</v>
      </c>
      <c r="F12973">
        <f t="shared" si="202"/>
        <v>75.115000000000009</v>
      </c>
    </row>
    <row r="12974" spans="1:6" x14ac:dyDescent="0.3">
      <c r="A12974" t="s">
        <v>2056</v>
      </c>
      <c r="B12974" t="s">
        <v>2151</v>
      </c>
      <c r="C12974">
        <v>2.5</v>
      </c>
      <c r="D12974">
        <v>183</v>
      </c>
      <c r="E12974">
        <f>IF(OR(B12974="vi",B12974="ii",B12974="pod"),(((D12974/100)*(C12974*VLOOKUP(B12974,'Poids des runes'!A:B,2,FALSE)))+1),(((D12974/100)*(C12974*VLOOKUP(B12974,'Poids des runes'!A:B,2,FALSE)))+1)/VLOOKUP(B12974,'Poids des runes'!A:B,2,FALSE))</f>
        <v>4.6749999999999998</v>
      </c>
      <c r="F12974">
        <f t="shared" si="202"/>
        <v>4.6749999999999998</v>
      </c>
    </row>
    <row r="12975" spans="1:6" x14ac:dyDescent="0.3">
      <c r="A12975" t="s">
        <v>2056</v>
      </c>
      <c r="B12975" t="s">
        <v>2143</v>
      </c>
      <c r="C12975">
        <v>8.5</v>
      </c>
      <c r="D12975">
        <v>183</v>
      </c>
      <c r="E12975">
        <f>IF(OR(B12975="vi",B12975="ii",B12975="pod"),(((D12975/100)*(C12975*VLOOKUP(B12975,'Poids des runes'!A:B,2,FALSE)))+1),(((D12975/100)*(C12975*VLOOKUP(B12975,'Poids des runes'!A:B,2,FALSE)))+1)/VLOOKUP(B12975,'Poids des runes'!A:B,2,FALSE))</f>
        <v>15.755000000000001</v>
      </c>
      <c r="F12975">
        <f t="shared" si="202"/>
        <v>15.755000000000001</v>
      </c>
    </row>
    <row r="12976" spans="1:6" x14ac:dyDescent="0.3">
      <c r="A12976" t="s">
        <v>2056</v>
      </c>
      <c r="B12976" t="s">
        <v>2133</v>
      </c>
      <c r="C12976">
        <v>8.5</v>
      </c>
      <c r="D12976">
        <v>183</v>
      </c>
      <c r="E12976">
        <f>IF(OR(B12976="vi",B12976="ii",B12976="pod"),(((D12976/100)*(C12976*VLOOKUP(B12976,'Poids des runes'!A:B,2,FALSE)))+1),(((D12976/100)*(C12976*VLOOKUP(B12976,'Poids des runes'!A:B,2,FALSE)))+1)/VLOOKUP(B12976,'Poids des runes'!A:B,2,FALSE))</f>
        <v>15.755000000000001</v>
      </c>
      <c r="F12976">
        <f t="shared" si="202"/>
        <v>15.755000000000001</v>
      </c>
    </row>
    <row r="12977" spans="1:6" x14ac:dyDescent="0.3">
      <c r="A12977" t="s">
        <v>2056</v>
      </c>
      <c r="B12977" t="s">
        <v>2161</v>
      </c>
      <c r="C12977">
        <v>25.5</v>
      </c>
      <c r="D12977">
        <v>183</v>
      </c>
      <c r="E12977">
        <f>IF(OR(B12977="vi",B12977="ii",B12977="pod"),(((D12977/100)*(C12977*VLOOKUP(B12977,'Poids des runes'!A:B,2,FALSE)))+1),(((D12977/100)*(C12977*VLOOKUP(B12977,'Poids des runes'!A:B,2,FALSE)))+1)/VLOOKUP(B12977,'Poids des runes'!A:B,2,FALSE))</f>
        <v>46.998333333333335</v>
      </c>
      <c r="F12977">
        <f t="shared" si="202"/>
        <v>46.998333333333335</v>
      </c>
    </row>
    <row r="12978" spans="1:6" x14ac:dyDescent="0.3">
      <c r="A12978" t="s">
        <v>2056</v>
      </c>
      <c r="B12978" t="s">
        <v>2141</v>
      </c>
      <c r="C12978">
        <v>6</v>
      </c>
      <c r="D12978">
        <v>183</v>
      </c>
      <c r="E12978">
        <f>IF(OR(B12978="vi",B12978="ii",B12978="pod"),(((D12978/100)*(C12978*VLOOKUP(B12978,'Poids des runes'!A:B,2,FALSE)))+1),(((D12978/100)*(C12978*VLOOKUP(B12978,'Poids des runes'!A:B,2,FALSE)))+1)/VLOOKUP(B12978,'Poids des runes'!A:B,2,FALSE))</f>
        <v>11.23</v>
      </c>
      <c r="F12978">
        <f t="shared" si="202"/>
        <v>11.23</v>
      </c>
    </row>
    <row r="12979" spans="1:6" x14ac:dyDescent="0.3">
      <c r="A12979" t="s">
        <v>2056</v>
      </c>
      <c r="B12979" t="s">
        <v>2160</v>
      </c>
      <c r="C12979">
        <v>3.5</v>
      </c>
      <c r="D12979">
        <v>183</v>
      </c>
      <c r="E12979">
        <f>IF(OR(B12979="vi",B12979="ii",B12979="pod"),(((D12979/100)*(C12979*VLOOKUP(B12979,'Poids des runes'!A:B,2,FALSE)))+1),(((D12979/100)*(C12979*VLOOKUP(B12979,'Poids des runes'!A:B,2,FALSE)))+1)/VLOOKUP(B12979,'Poids des runes'!A:B,2,FALSE))</f>
        <v>6.5478571428571426</v>
      </c>
      <c r="F12979">
        <f t="shared" si="202"/>
        <v>6.5478571428571426</v>
      </c>
    </row>
    <row r="12980" spans="1:6" x14ac:dyDescent="0.3">
      <c r="A12980" t="s">
        <v>2056</v>
      </c>
      <c r="B12980" t="s">
        <v>2157</v>
      </c>
      <c r="C12980">
        <v>8.5</v>
      </c>
      <c r="D12980">
        <v>183</v>
      </c>
      <c r="E12980">
        <f>IF(OR(B12980="vi",B12980="ii",B12980="pod"),(((D12980/100)*(C12980*VLOOKUP(B12980,'Poids des runes'!A:B,2,FALSE)))+1),(((D12980/100)*(C12980*VLOOKUP(B12980,'Poids des runes'!A:B,2,FALSE)))+1)/VLOOKUP(B12980,'Poids des runes'!A:B,2,FALSE))</f>
        <v>15.721666666666666</v>
      </c>
      <c r="F12980">
        <f t="shared" si="202"/>
        <v>15.721666666666666</v>
      </c>
    </row>
    <row r="12981" spans="1:6" x14ac:dyDescent="0.3">
      <c r="A12981" t="s">
        <v>2056</v>
      </c>
      <c r="B12981" t="s">
        <v>2145</v>
      </c>
      <c r="C12981">
        <v>8.5</v>
      </c>
      <c r="D12981">
        <v>183</v>
      </c>
      <c r="E12981">
        <f>IF(OR(B12981="vi",B12981="ii",B12981="pod"),(((D12981/100)*(C12981*VLOOKUP(B12981,'Poids des runes'!A:B,2,FALSE)))+1),(((D12981/100)*(C12981*VLOOKUP(B12981,'Poids des runes'!A:B,2,FALSE)))+1)/VLOOKUP(B12981,'Poids des runes'!A:B,2,FALSE))</f>
        <v>16.055</v>
      </c>
      <c r="F12981">
        <f t="shared" si="202"/>
        <v>16.055</v>
      </c>
    </row>
    <row r="12982" spans="1:6" x14ac:dyDescent="0.3">
      <c r="A12982" t="s">
        <v>2057</v>
      </c>
      <c r="B12982" t="s">
        <v>2128</v>
      </c>
      <c r="C12982">
        <v>275.5</v>
      </c>
      <c r="D12982">
        <v>184</v>
      </c>
      <c r="E12982">
        <f>IF(OR(B12982="vi",B12982="ii",B12982="pod"),(((D12982/100)*(C12982*VLOOKUP(B12982,'Poids des runes'!A:B,2,FALSE)))+1),(((D12982/100)*(C12982*VLOOKUP(B12982,'Poids des runes'!A:B,2,FALSE)))+1)/VLOOKUP(B12982,'Poids des runes'!A:B,2,FALSE))</f>
        <v>102.384</v>
      </c>
      <c r="F12982">
        <f t="shared" si="202"/>
        <v>102.384</v>
      </c>
    </row>
    <row r="12983" spans="1:6" x14ac:dyDescent="0.3">
      <c r="A12983" t="s">
        <v>2057</v>
      </c>
      <c r="B12983" t="s">
        <v>2126</v>
      </c>
      <c r="C12983">
        <v>40.5</v>
      </c>
      <c r="D12983">
        <v>184</v>
      </c>
      <c r="E12983">
        <f>IF(OR(B12983="vi",B12983="ii",B12983="pod"),(((D12983/100)*(C12983*VLOOKUP(B12983,'Poids des runes'!A:B,2,FALSE)))+1),(((D12983/100)*(C12983*VLOOKUP(B12983,'Poids des runes'!A:B,2,FALSE)))+1)/VLOOKUP(B12983,'Poids des runes'!A:B,2,FALSE))</f>
        <v>75.52000000000001</v>
      </c>
      <c r="F12983">
        <f t="shared" si="202"/>
        <v>75.52000000000001</v>
      </c>
    </row>
    <row r="12984" spans="1:6" x14ac:dyDescent="0.3">
      <c r="A12984" t="s">
        <v>2057</v>
      </c>
      <c r="B12984" t="s">
        <v>2127</v>
      </c>
      <c r="C12984">
        <v>40.5</v>
      </c>
      <c r="D12984">
        <v>184</v>
      </c>
      <c r="E12984">
        <f>IF(OR(B12984="vi",B12984="ii",B12984="pod"),(((D12984/100)*(C12984*VLOOKUP(B12984,'Poids des runes'!A:B,2,FALSE)))+1),(((D12984/100)*(C12984*VLOOKUP(B12984,'Poids des runes'!A:B,2,FALSE)))+1)/VLOOKUP(B12984,'Poids des runes'!A:B,2,FALSE))</f>
        <v>75.52000000000001</v>
      </c>
      <c r="F12984">
        <f t="shared" si="202"/>
        <v>75.52000000000001</v>
      </c>
    </row>
    <row r="12985" spans="1:6" x14ac:dyDescent="0.3">
      <c r="A12985" t="s">
        <v>2057</v>
      </c>
      <c r="B12985" t="s">
        <v>2129</v>
      </c>
      <c r="C12985">
        <v>35.5</v>
      </c>
      <c r="D12985">
        <v>184</v>
      </c>
      <c r="E12985">
        <f>IF(OR(B12985="vi",B12985="ii",B12985="pod"),(((D12985/100)*(C12985*VLOOKUP(B12985,'Poids des runes'!A:B,2,FALSE)))+1),(((D12985/100)*(C12985*VLOOKUP(B12985,'Poids des runes'!A:B,2,FALSE)))+1)/VLOOKUP(B12985,'Poids des runes'!A:B,2,FALSE))</f>
        <v>66.320000000000007</v>
      </c>
      <c r="F12985">
        <f t="shared" si="202"/>
        <v>66.320000000000007</v>
      </c>
    </row>
    <row r="12986" spans="1:6" x14ac:dyDescent="0.3">
      <c r="A12986" t="s">
        <v>2057</v>
      </c>
      <c r="B12986" t="s">
        <v>2139</v>
      </c>
      <c r="C12986">
        <v>13</v>
      </c>
      <c r="D12986">
        <v>184</v>
      </c>
      <c r="E12986">
        <f>IF(OR(B12986="vi",B12986="ii",B12986="pod"),(((D12986/100)*(C12986*VLOOKUP(B12986,'Poids des runes'!A:B,2,FALSE)))+1),(((D12986/100)*(C12986*VLOOKUP(B12986,'Poids des runes'!A:B,2,FALSE)))+1)/VLOOKUP(B12986,'Poids des runes'!A:B,2,FALSE))</f>
        <v>24.42</v>
      </c>
      <c r="F12986">
        <f t="shared" si="202"/>
        <v>24.42</v>
      </c>
    </row>
    <row r="12987" spans="1:6" x14ac:dyDescent="0.3">
      <c r="A12987" t="s">
        <v>2057</v>
      </c>
      <c r="B12987" t="s">
        <v>2151</v>
      </c>
      <c r="C12987">
        <v>3.5</v>
      </c>
      <c r="D12987">
        <v>184</v>
      </c>
      <c r="E12987">
        <f>IF(OR(B12987="vi",B12987="ii",B12987="pod"),(((D12987/100)*(C12987*VLOOKUP(B12987,'Poids des runes'!A:B,2,FALSE)))+1),(((D12987/100)*(C12987*VLOOKUP(B12987,'Poids des runes'!A:B,2,FALSE)))+1)/VLOOKUP(B12987,'Poids des runes'!A:B,2,FALSE))</f>
        <v>6.5400000000000009</v>
      </c>
      <c r="F12987">
        <f t="shared" si="202"/>
        <v>6.5400000000000009</v>
      </c>
    </row>
    <row r="12988" spans="1:6" x14ac:dyDescent="0.3">
      <c r="A12988" t="s">
        <v>2057</v>
      </c>
      <c r="B12988" t="s">
        <v>2140</v>
      </c>
      <c r="C12988">
        <v>8.5</v>
      </c>
      <c r="D12988">
        <v>184</v>
      </c>
      <c r="E12988">
        <f>IF(OR(B12988="vi",B12988="ii",B12988="pod"),(((D12988/100)*(C12988*VLOOKUP(B12988,'Poids des runes'!A:B,2,FALSE)))+1),(((D12988/100)*(C12988*VLOOKUP(B12988,'Poids des runes'!A:B,2,FALSE)))+1)/VLOOKUP(B12988,'Poids des runes'!A:B,2,FALSE))</f>
        <v>15.84</v>
      </c>
      <c r="F12988">
        <f t="shared" si="202"/>
        <v>15.84</v>
      </c>
    </row>
    <row r="12989" spans="1:6" x14ac:dyDescent="0.3">
      <c r="A12989" t="s">
        <v>2057</v>
      </c>
      <c r="B12989" t="s">
        <v>2153</v>
      </c>
      <c r="C12989">
        <v>8.5</v>
      </c>
      <c r="D12989">
        <v>184</v>
      </c>
      <c r="E12989">
        <f>IF(OR(B12989="vi",B12989="ii",B12989="pod"),(((D12989/100)*(C12989*VLOOKUP(B12989,'Poids des runes'!A:B,2,FALSE)))+1),(((D12989/100)*(C12989*VLOOKUP(B12989,'Poids des runes'!A:B,2,FALSE)))+1)/VLOOKUP(B12989,'Poids des runes'!A:B,2,FALSE))</f>
        <v>15.84</v>
      </c>
      <c r="F12989">
        <f t="shared" si="202"/>
        <v>15.84</v>
      </c>
    </row>
    <row r="12990" spans="1:6" x14ac:dyDescent="0.3">
      <c r="A12990" t="s">
        <v>2057</v>
      </c>
      <c r="B12990" t="s">
        <v>2149</v>
      </c>
      <c r="C12990">
        <v>8</v>
      </c>
      <c r="D12990">
        <v>184</v>
      </c>
      <c r="E12990">
        <f>IF(OR(B12990="vi",B12990="ii",B12990="pod"),(((D12990/100)*(C12990*VLOOKUP(B12990,'Poids des runes'!A:B,2,FALSE)))+1),(((D12990/100)*(C12990*VLOOKUP(B12990,'Poids des runes'!A:B,2,FALSE)))+1)/VLOOKUP(B12990,'Poids des runes'!A:B,2,FALSE))</f>
        <v>14.820000000000002</v>
      </c>
      <c r="F12990">
        <f t="shared" si="202"/>
        <v>14.820000000000002</v>
      </c>
    </row>
    <row r="12991" spans="1:6" x14ac:dyDescent="0.3">
      <c r="A12991" t="s">
        <v>2057</v>
      </c>
      <c r="B12991" t="s">
        <v>2161</v>
      </c>
      <c r="C12991">
        <v>8</v>
      </c>
      <c r="D12991">
        <v>184</v>
      </c>
      <c r="E12991">
        <f>IF(OR(B12991="vi",B12991="ii",B12991="pod"),(((D12991/100)*(C12991*VLOOKUP(B12991,'Poids des runes'!A:B,2,FALSE)))+1),(((D12991/100)*(C12991*VLOOKUP(B12991,'Poids des runes'!A:B,2,FALSE)))+1)/VLOOKUP(B12991,'Poids des runes'!A:B,2,FALSE))</f>
        <v>15.053333333333335</v>
      </c>
      <c r="F12991">
        <f t="shared" si="202"/>
        <v>15.053333333333335</v>
      </c>
    </row>
    <row r="12992" spans="1:6" x14ac:dyDescent="0.3">
      <c r="A12992" t="s">
        <v>2057</v>
      </c>
      <c r="B12992" t="s">
        <v>2141</v>
      </c>
      <c r="C12992">
        <v>6.5</v>
      </c>
      <c r="D12992">
        <v>184</v>
      </c>
      <c r="E12992">
        <f>IF(OR(B12992="vi",B12992="ii",B12992="pod"),(((D12992/100)*(C12992*VLOOKUP(B12992,'Poids des runes'!A:B,2,FALSE)))+1),(((D12992/100)*(C12992*VLOOKUP(B12992,'Poids des runes'!A:B,2,FALSE)))+1)/VLOOKUP(B12992,'Poids des runes'!A:B,2,FALSE))</f>
        <v>12.21</v>
      </c>
      <c r="F12992">
        <f t="shared" si="202"/>
        <v>12.21</v>
      </c>
    </row>
    <row r="12993" spans="1:6" x14ac:dyDescent="0.3">
      <c r="A12993" t="s">
        <v>2057</v>
      </c>
      <c r="B12993" t="s">
        <v>2148</v>
      </c>
      <c r="C12993">
        <v>4</v>
      </c>
      <c r="D12993">
        <v>184</v>
      </c>
      <c r="E12993">
        <f>IF(OR(B12993="vi",B12993="ii",B12993="pod"),(((D12993/100)*(C12993*VLOOKUP(B12993,'Poids des runes'!A:B,2,FALSE)))+1),(((D12993/100)*(C12993*VLOOKUP(B12993,'Poids des runes'!A:B,2,FALSE)))+1)/VLOOKUP(B12993,'Poids des runes'!A:B,2,FALSE))</f>
        <v>7.5266666666666673</v>
      </c>
      <c r="F12993">
        <f t="shared" si="202"/>
        <v>7.5266666666666673</v>
      </c>
    </row>
    <row r="12994" spans="1:6" x14ac:dyDescent="0.3">
      <c r="A12994" t="s">
        <v>2057</v>
      </c>
      <c r="B12994" t="s">
        <v>2135</v>
      </c>
      <c r="C12994">
        <v>5</v>
      </c>
      <c r="D12994">
        <v>184</v>
      </c>
      <c r="E12994">
        <f>IF(OR(B12994="vi",B12994="ii",B12994="pod"),(((D12994/100)*(C12994*VLOOKUP(B12994,'Poids des runes'!A:B,2,FALSE)))+1),(((D12994/100)*(C12994*VLOOKUP(B12994,'Poids des runes'!A:B,2,FALSE)))+1)/VLOOKUP(B12994,'Poids des runes'!A:B,2,FALSE))</f>
        <v>9.3666666666666671</v>
      </c>
      <c r="F12994">
        <f t="shared" si="202"/>
        <v>9.3666666666666671</v>
      </c>
    </row>
    <row r="12995" spans="1:6" x14ac:dyDescent="0.3">
      <c r="A12995" t="s">
        <v>2057</v>
      </c>
      <c r="B12995" t="s">
        <v>2137</v>
      </c>
      <c r="C12995">
        <v>8.5</v>
      </c>
      <c r="D12995">
        <v>184</v>
      </c>
      <c r="E12995">
        <f>IF(OR(B12995="vi",B12995="ii",B12995="pod"),(((D12995/100)*(C12995*VLOOKUP(B12995,'Poids des runes'!A:B,2,FALSE)))+1),(((D12995/100)*(C12995*VLOOKUP(B12995,'Poids des runes'!A:B,2,FALSE)))+1)/VLOOKUP(B12995,'Poids des runes'!A:B,2,FALSE))</f>
        <v>16.14</v>
      </c>
      <c r="F12995">
        <f t="shared" ref="F12995:F13058" si="203">E12995</f>
        <v>16.14</v>
      </c>
    </row>
    <row r="12996" spans="1:6" x14ac:dyDescent="0.3">
      <c r="A12996" t="s">
        <v>2057</v>
      </c>
      <c r="B12996" t="s">
        <v>2145</v>
      </c>
      <c r="C12996">
        <v>8.5</v>
      </c>
      <c r="D12996">
        <v>184</v>
      </c>
      <c r="E12996">
        <f>IF(OR(B12996="vi",B12996="ii",B12996="pod"),(((D12996/100)*(C12996*VLOOKUP(B12996,'Poids des runes'!A:B,2,FALSE)))+1),(((D12996/100)*(C12996*VLOOKUP(B12996,'Poids des runes'!A:B,2,FALSE)))+1)/VLOOKUP(B12996,'Poids des runes'!A:B,2,FALSE))</f>
        <v>16.14</v>
      </c>
      <c r="F12996">
        <f t="shared" si="203"/>
        <v>16.14</v>
      </c>
    </row>
    <row r="12997" spans="1:6" x14ac:dyDescent="0.3">
      <c r="A12997" t="s">
        <v>2058</v>
      </c>
      <c r="B12997" t="s">
        <v>2128</v>
      </c>
      <c r="C12997">
        <v>225.5</v>
      </c>
      <c r="D12997">
        <v>184</v>
      </c>
      <c r="E12997">
        <f>IF(OR(B12997="vi",B12997="ii",B12997="pod"),(((D12997/100)*(C12997*VLOOKUP(B12997,'Poids des runes'!A:B,2,FALSE)))+1),(((D12997/100)*(C12997*VLOOKUP(B12997,'Poids des runes'!A:B,2,FALSE)))+1)/VLOOKUP(B12997,'Poids des runes'!A:B,2,FALSE))</f>
        <v>83.984000000000009</v>
      </c>
      <c r="F12997">
        <f t="shared" si="203"/>
        <v>83.984000000000009</v>
      </c>
    </row>
    <row r="12998" spans="1:6" x14ac:dyDescent="0.3">
      <c r="A12998" t="s">
        <v>2058</v>
      </c>
      <c r="B12998" t="s">
        <v>2131</v>
      </c>
      <c r="C12998">
        <v>40.5</v>
      </c>
      <c r="D12998">
        <v>184</v>
      </c>
      <c r="E12998">
        <f>IF(OR(B12998="vi",B12998="ii",B12998="pod"),(((D12998/100)*(C12998*VLOOKUP(B12998,'Poids des runes'!A:B,2,FALSE)))+1),(((D12998/100)*(C12998*VLOOKUP(B12998,'Poids des runes'!A:B,2,FALSE)))+1)/VLOOKUP(B12998,'Poids des runes'!A:B,2,FALSE))</f>
        <v>75.52000000000001</v>
      </c>
      <c r="F12998">
        <f t="shared" si="203"/>
        <v>75.52000000000001</v>
      </c>
    </row>
    <row r="12999" spans="1:6" x14ac:dyDescent="0.3">
      <c r="A12999" t="s">
        <v>2058</v>
      </c>
      <c r="B12999" t="s">
        <v>2127</v>
      </c>
      <c r="C12999">
        <v>40.5</v>
      </c>
      <c r="D12999">
        <v>184</v>
      </c>
      <c r="E12999">
        <f>IF(OR(B12999="vi",B12999="ii",B12999="pod"),(((D12999/100)*(C12999*VLOOKUP(B12999,'Poids des runes'!A:B,2,FALSE)))+1),(((D12999/100)*(C12999*VLOOKUP(B12999,'Poids des runes'!A:B,2,FALSE)))+1)/VLOOKUP(B12999,'Poids des runes'!A:B,2,FALSE))</f>
        <v>75.52000000000001</v>
      </c>
      <c r="F12999">
        <f t="shared" si="203"/>
        <v>75.52000000000001</v>
      </c>
    </row>
    <row r="13000" spans="1:6" x14ac:dyDescent="0.3">
      <c r="A13000" t="s">
        <v>2058</v>
      </c>
      <c r="B13000" t="s">
        <v>2129</v>
      </c>
      <c r="C13000">
        <v>25.5</v>
      </c>
      <c r="D13000">
        <v>184</v>
      </c>
      <c r="E13000">
        <f>IF(OR(B13000="vi",B13000="ii",B13000="pod"),(((D13000/100)*(C13000*VLOOKUP(B13000,'Poids des runes'!A:B,2,FALSE)))+1),(((D13000/100)*(C13000*VLOOKUP(B13000,'Poids des runes'!A:B,2,FALSE)))+1)/VLOOKUP(B13000,'Poids des runes'!A:B,2,FALSE))</f>
        <v>47.92</v>
      </c>
      <c r="F13000">
        <f t="shared" si="203"/>
        <v>47.92</v>
      </c>
    </row>
    <row r="13001" spans="1:6" x14ac:dyDescent="0.3">
      <c r="A13001" t="s">
        <v>2058</v>
      </c>
      <c r="B13001" t="s">
        <v>2155</v>
      </c>
      <c r="C13001">
        <v>1</v>
      </c>
      <c r="D13001">
        <v>184</v>
      </c>
      <c r="E13001">
        <f>IF(OR(B13001="vi",B13001="ii",B13001="pod"),(((D13001/100)*(C13001*VLOOKUP(B13001,'Poids des runes'!A:B,2,FALSE)))+1),(((D13001/100)*(C13001*VLOOKUP(B13001,'Poids des runes'!A:B,2,FALSE)))+1)/VLOOKUP(B13001,'Poids des runes'!A:B,2,FALSE))</f>
        <v>1.8596078431372549</v>
      </c>
      <c r="F13001">
        <f t="shared" si="203"/>
        <v>1.8596078431372549</v>
      </c>
    </row>
    <row r="13002" spans="1:6" x14ac:dyDescent="0.3">
      <c r="A13002" t="s">
        <v>2058</v>
      </c>
      <c r="B13002" t="s">
        <v>2134</v>
      </c>
      <c r="C13002">
        <v>8</v>
      </c>
      <c r="D13002">
        <v>184</v>
      </c>
      <c r="E13002">
        <f>IF(OR(B13002="vi",B13002="ii",B13002="pod"),(((D13002/100)*(C13002*VLOOKUP(B13002,'Poids des runes'!A:B,2,FALSE)))+1),(((D13002/100)*(C13002*VLOOKUP(B13002,'Poids des runes'!A:B,2,FALSE)))+1)/VLOOKUP(B13002,'Poids des runes'!A:B,2,FALSE))</f>
        <v>14.770000000000001</v>
      </c>
      <c r="F13002">
        <f t="shared" si="203"/>
        <v>14.770000000000001</v>
      </c>
    </row>
    <row r="13003" spans="1:6" x14ac:dyDescent="0.3">
      <c r="A13003" t="s">
        <v>2058</v>
      </c>
      <c r="B13003" t="s">
        <v>2132</v>
      </c>
      <c r="C13003">
        <v>550.5</v>
      </c>
      <c r="D13003">
        <v>184</v>
      </c>
      <c r="E13003">
        <f>IF(OR(B13003="vi",B13003="ii",B13003="pod"),(((D13003/100)*(C13003*VLOOKUP(B13003,'Poids des runes'!A:B,2,FALSE)))+1),(((D13003/100)*(C13003*VLOOKUP(B13003,'Poids des runes'!A:B,2,FALSE)))+1)/VLOOKUP(B13003,'Poids des runes'!A:B,2,FALSE))</f>
        <v>102.29200000000002</v>
      </c>
      <c r="F13003">
        <f t="shared" si="203"/>
        <v>102.29200000000002</v>
      </c>
    </row>
    <row r="13004" spans="1:6" x14ac:dyDescent="0.3">
      <c r="A13004" t="s">
        <v>2058</v>
      </c>
      <c r="B13004" t="s">
        <v>2135</v>
      </c>
      <c r="C13004">
        <v>8</v>
      </c>
      <c r="D13004">
        <v>184</v>
      </c>
      <c r="E13004">
        <f>IF(OR(B13004="vi",B13004="ii",B13004="pod"),(((D13004/100)*(C13004*VLOOKUP(B13004,'Poids des runes'!A:B,2,FALSE)))+1),(((D13004/100)*(C13004*VLOOKUP(B13004,'Poids des runes'!A:B,2,FALSE)))+1)/VLOOKUP(B13004,'Poids des runes'!A:B,2,FALSE))</f>
        <v>14.886666666666668</v>
      </c>
      <c r="F13004">
        <f t="shared" si="203"/>
        <v>14.886666666666668</v>
      </c>
    </row>
    <row r="13005" spans="1:6" x14ac:dyDescent="0.3">
      <c r="A13005" t="s">
        <v>2058</v>
      </c>
      <c r="B13005" t="s">
        <v>2157</v>
      </c>
      <c r="C13005">
        <v>8</v>
      </c>
      <c r="D13005">
        <v>184</v>
      </c>
      <c r="E13005">
        <f>IF(OR(B13005="vi",B13005="ii",B13005="pod"),(((D13005/100)*(C13005*VLOOKUP(B13005,'Poids des runes'!A:B,2,FALSE)))+1),(((D13005/100)*(C13005*VLOOKUP(B13005,'Poids des runes'!A:B,2,FALSE)))+1)/VLOOKUP(B13005,'Poids des runes'!A:B,2,FALSE))</f>
        <v>14.886666666666668</v>
      </c>
      <c r="F13005">
        <f t="shared" si="203"/>
        <v>14.886666666666668</v>
      </c>
    </row>
    <row r="13006" spans="1:6" x14ac:dyDescent="0.3">
      <c r="A13006" t="s">
        <v>2059</v>
      </c>
      <c r="B13006" t="s">
        <v>2128</v>
      </c>
      <c r="C13006">
        <v>350.5</v>
      </c>
      <c r="D13006">
        <v>184</v>
      </c>
      <c r="E13006">
        <f>IF(OR(B13006="vi",B13006="ii",B13006="pod"),(((D13006/100)*(C13006*VLOOKUP(B13006,'Poids des runes'!A:B,2,FALSE)))+1),(((D13006/100)*(C13006*VLOOKUP(B13006,'Poids des runes'!A:B,2,FALSE)))+1)/VLOOKUP(B13006,'Poids des runes'!A:B,2,FALSE))</f>
        <v>129.98400000000001</v>
      </c>
      <c r="F13006">
        <f t="shared" si="203"/>
        <v>129.98400000000001</v>
      </c>
    </row>
    <row r="13007" spans="1:6" x14ac:dyDescent="0.3">
      <c r="A13007" t="s">
        <v>2059</v>
      </c>
      <c r="B13007" t="s">
        <v>2129</v>
      </c>
      <c r="C13007">
        <v>40.5</v>
      </c>
      <c r="D13007">
        <v>184</v>
      </c>
      <c r="E13007">
        <f>IF(OR(B13007="vi",B13007="ii",B13007="pod"),(((D13007/100)*(C13007*VLOOKUP(B13007,'Poids des runes'!A:B,2,FALSE)))+1),(((D13007/100)*(C13007*VLOOKUP(B13007,'Poids des runes'!A:B,2,FALSE)))+1)/VLOOKUP(B13007,'Poids des runes'!A:B,2,FALSE))</f>
        <v>75.52000000000001</v>
      </c>
      <c r="F13007">
        <f t="shared" si="203"/>
        <v>75.52000000000001</v>
      </c>
    </row>
    <row r="13008" spans="1:6" x14ac:dyDescent="0.3">
      <c r="A13008" t="s">
        <v>2059</v>
      </c>
      <c r="B13008" t="s">
        <v>2139</v>
      </c>
      <c r="C13008">
        <v>60.5</v>
      </c>
      <c r="D13008">
        <v>184</v>
      </c>
      <c r="E13008">
        <f>IF(OR(B13008="vi",B13008="ii",B13008="pod"),(((D13008/100)*(C13008*VLOOKUP(B13008,'Poids des runes'!A:B,2,FALSE)))+1),(((D13008/100)*(C13008*VLOOKUP(B13008,'Poids des runes'!A:B,2,FALSE)))+1)/VLOOKUP(B13008,'Poids des runes'!A:B,2,FALSE))</f>
        <v>111.82000000000001</v>
      </c>
      <c r="F13008">
        <f t="shared" si="203"/>
        <v>111.82000000000001</v>
      </c>
    </row>
    <row r="13009" spans="1:6" x14ac:dyDescent="0.3">
      <c r="A13009" t="s">
        <v>2059</v>
      </c>
      <c r="B13009" t="s">
        <v>2155</v>
      </c>
      <c r="C13009">
        <v>1</v>
      </c>
      <c r="D13009">
        <v>184</v>
      </c>
      <c r="E13009">
        <f>IF(OR(B13009="vi",B13009="ii",B13009="pod"),(((D13009/100)*(C13009*VLOOKUP(B13009,'Poids des runes'!A:B,2,FALSE)))+1),(((D13009/100)*(C13009*VLOOKUP(B13009,'Poids des runes'!A:B,2,FALSE)))+1)/VLOOKUP(B13009,'Poids des runes'!A:B,2,FALSE))</f>
        <v>1.8596078431372549</v>
      </c>
      <c r="F13009">
        <f t="shared" si="203"/>
        <v>1.8596078431372549</v>
      </c>
    </row>
    <row r="13010" spans="1:6" x14ac:dyDescent="0.3">
      <c r="A13010" t="s">
        <v>2059</v>
      </c>
      <c r="B13010" t="s">
        <v>2134</v>
      </c>
      <c r="C13010">
        <v>4</v>
      </c>
      <c r="D13010">
        <v>184</v>
      </c>
      <c r="E13010">
        <f>IF(OR(B13010="vi",B13010="ii",B13010="pod"),(((D13010/100)*(C13010*VLOOKUP(B13010,'Poids des runes'!A:B,2,FALSE)))+1),(((D13010/100)*(C13010*VLOOKUP(B13010,'Poids des runes'!A:B,2,FALSE)))+1)/VLOOKUP(B13010,'Poids des runes'!A:B,2,FALSE))</f>
        <v>7.410000000000001</v>
      </c>
      <c r="F13010">
        <f t="shared" si="203"/>
        <v>7.410000000000001</v>
      </c>
    </row>
    <row r="13011" spans="1:6" x14ac:dyDescent="0.3">
      <c r="A13011" t="s">
        <v>2059</v>
      </c>
      <c r="B13011" t="s">
        <v>2161</v>
      </c>
      <c r="C13011">
        <v>20.5</v>
      </c>
      <c r="D13011">
        <v>184</v>
      </c>
      <c r="E13011">
        <f>IF(OR(B13011="vi",B13011="ii",B13011="pod"),(((D13011/100)*(C13011*VLOOKUP(B13011,'Poids des runes'!A:B,2,FALSE)))+1),(((D13011/100)*(C13011*VLOOKUP(B13011,'Poids des runes'!A:B,2,FALSE)))+1)/VLOOKUP(B13011,'Poids des runes'!A:B,2,FALSE))</f>
        <v>38.053333333333335</v>
      </c>
      <c r="F13011">
        <f t="shared" si="203"/>
        <v>38.053333333333335</v>
      </c>
    </row>
    <row r="13012" spans="1:6" x14ac:dyDescent="0.3">
      <c r="A13012" t="s">
        <v>2059</v>
      </c>
      <c r="B13012" t="s">
        <v>2138</v>
      </c>
      <c r="C13012">
        <v>10</v>
      </c>
      <c r="D13012">
        <v>184</v>
      </c>
      <c r="E13012">
        <f>IF(OR(B13012="vi",B13012="ii",B13012="pod"),(((D13012/100)*(C13012*VLOOKUP(B13012,'Poids des runes'!A:B,2,FALSE)))+1),(((D13012/100)*(C13012*VLOOKUP(B13012,'Poids des runes'!A:B,2,FALSE)))+1)/VLOOKUP(B13012,'Poids des runes'!A:B,2,FALSE))</f>
        <v>18.650000000000002</v>
      </c>
      <c r="F13012">
        <f t="shared" si="203"/>
        <v>18.650000000000002</v>
      </c>
    </row>
    <row r="13013" spans="1:6" x14ac:dyDescent="0.3">
      <c r="A13013" t="s">
        <v>2059</v>
      </c>
      <c r="B13013" t="s">
        <v>2156</v>
      </c>
      <c r="C13013">
        <v>2.5</v>
      </c>
      <c r="D13013">
        <v>184</v>
      </c>
      <c r="E13013">
        <f>IF(OR(B13013="vi",B13013="ii",B13013="pod"),(((D13013/100)*(C13013*VLOOKUP(B13013,'Poids des runes'!A:B,2,FALSE)))+1),(((D13013/100)*(C13013*VLOOKUP(B13013,'Poids des runes'!A:B,2,FALSE)))+1)/VLOOKUP(B13013,'Poids des runes'!A:B,2,FALSE))</f>
        <v>4.7666666666666666</v>
      </c>
      <c r="F13013">
        <f t="shared" si="203"/>
        <v>4.7666666666666666</v>
      </c>
    </row>
    <row r="13014" spans="1:6" x14ac:dyDescent="0.3">
      <c r="A13014" t="s">
        <v>2059</v>
      </c>
      <c r="B13014" t="s">
        <v>2148</v>
      </c>
      <c r="C13014">
        <v>2.5</v>
      </c>
      <c r="D13014">
        <v>184</v>
      </c>
      <c r="E13014">
        <f>IF(OR(B13014="vi",B13014="ii",B13014="pod"),(((D13014/100)*(C13014*VLOOKUP(B13014,'Poids des runes'!A:B,2,FALSE)))+1),(((D13014/100)*(C13014*VLOOKUP(B13014,'Poids des runes'!A:B,2,FALSE)))+1)/VLOOKUP(B13014,'Poids des runes'!A:B,2,FALSE))</f>
        <v>4.7666666666666666</v>
      </c>
      <c r="F13014">
        <f t="shared" si="203"/>
        <v>4.7666666666666666</v>
      </c>
    </row>
    <row r="13015" spans="1:6" x14ac:dyDescent="0.3">
      <c r="A13015" t="s">
        <v>2059</v>
      </c>
      <c r="B13015" t="s">
        <v>2147</v>
      </c>
      <c r="C13015">
        <v>2.5</v>
      </c>
      <c r="D13015">
        <v>184</v>
      </c>
      <c r="E13015">
        <f>IF(OR(B13015="vi",B13015="ii",B13015="pod"),(((D13015/100)*(C13015*VLOOKUP(B13015,'Poids des runes'!A:B,2,FALSE)))+1),(((D13015/100)*(C13015*VLOOKUP(B13015,'Poids des runes'!A:B,2,FALSE)))+1)/VLOOKUP(B13015,'Poids des runes'!A:B,2,FALSE))</f>
        <v>4.7666666666666666</v>
      </c>
      <c r="F13015">
        <f t="shared" si="203"/>
        <v>4.7666666666666666</v>
      </c>
    </row>
    <row r="13016" spans="1:6" x14ac:dyDescent="0.3">
      <c r="A13016" t="s">
        <v>2059</v>
      </c>
      <c r="B13016" t="s">
        <v>2135</v>
      </c>
      <c r="C13016">
        <v>2.5</v>
      </c>
      <c r="D13016">
        <v>184</v>
      </c>
      <c r="E13016">
        <f>IF(OR(B13016="vi",B13016="ii",B13016="pod"),(((D13016/100)*(C13016*VLOOKUP(B13016,'Poids des runes'!A:B,2,FALSE)))+1),(((D13016/100)*(C13016*VLOOKUP(B13016,'Poids des runes'!A:B,2,FALSE)))+1)/VLOOKUP(B13016,'Poids des runes'!A:B,2,FALSE))</f>
        <v>4.7666666666666666</v>
      </c>
      <c r="F13016">
        <f t="shared" si="203"/>
        <v>4.7666666666666666</v>
      </c>
    </row>
    <row r="13017" spans="1:6" x14ac:dyDescent="0.3">
      <c r="A13017" t="s">
        <v>2059</v>
      </c>
      <c r="B13017" t="s">
        <v>2157</v>
      </c>
      <c r="C13017">
        <v>2.5</v>
      </c>
      <c r="D13017">
        <v>184</v>
      </c>
      <c r="E13017">
        <f>IF(OR(B13017="vi",B13017="ii",B13017="pod"),(((D13017/100)*(C13017*VLOOKUP(B13017,'Poids des runes'!A:B,2,FALSE)))+1),(((D13017/100)*(C13017*VLOOKUP(B13017,'Poids des runes'!A:B,2,FALSE)))+1)/VLOOKUP(B13017,'Poids des runes'!A:B,2,FALSE))</f>
        <v>4.7666666666666666</v>
      </c>
      <c r="F13017">
        <f t="shared" si="203"/>
        <v>4.7666666666666666</v>
      </c>
    </row>
    <row r="13018" spans="1:6" x14ac:dyDescent="0.3">
      <c r="A13018" t="s">
        <v>2060</v>
      </c>
      <c r="B13018" t="s">
        <v>2128</v>
      </c>
      <c r="C13018">
        <v>225.5</v>
      </c>
      <c r="D13018">
        <v>184</v>
      </c>
      <c r="E13018">
        <f>IF(OR(B13018="vi",B13018="ii",B13018="pod"),(((D13018/100)*(C13018*VLOOKUP(B13018,'Poids des runes'!A:B,2,FALSE)))+1),(((D13018/100)*(C13018*VLOOKUP(B13018,'Poids des runes'!A:B,2,FALSE)))+1)/VLOOKUP(B13018,'Poids des runes'!A:B,2,FALSE))</f>
        <v>83.984000000000009</v>
      </c>
      <c r="F13018">
        <f t="shared" si="203"/>
        <v>83.984000000000009</v>
      </c>
    </row>
    <row r="13019" spans="1:6" x14ac:dyDescent="0.3">
      <c r="A13019" t="s">
        <v>2060</v>
      </c>
      <c r="B13019" t="s">
        <v>2130</v>
      </c>
      <c r="C13019">
        <v>40.5</v>
      </c>
      <c r="D13019">
        <v>184</v>
      </c>
      <c r="E13019">
        <f>IF(OR(B13019="vi",B13019="ii",B13019="pod"),(((D13019/100)*(C13019*VLOOKUP(B13019,'Poids des runes'!A:B,2,FALSE)))+1),(((D13019/100)*(C13019*VLOOKUP(B13019,'Poids des runes'!A:B,2,FALSE)))+1)/VLOOKUP(B13019,'Poids des runes'!A:B,2,FALSE))</f>
        <v>75.52000000000001</v>
      </c>
      <c r="F13019">
        <f t="shared" si="203"/>
        <v>75.52000000000001</v>
      </c>
    </row>
    <row r="13020" spans="1:6" x14ac:dyDescent="0.3">
      <c r="A13020" t="s">
        <v>2060</v>
      </c>
      <c r="B13020" t="s">
        <v>2126</v>
      </c>
      <c r="C13020">
        <v>40.5</v>
      </c>
      <c r="D13020">
        <v>184</v>
      </c>
      <c r="E13020">
        <f>IF(OR(B13020="vi",B13020="ii",B13020="pod"),(((D13020/100)*(C13020*VLOOKUP(B13020,'Poids des runes'!A:B,2,FALSE)))+1),(((D13020/100)*(C13020*VLOOKUP(B13020,'Poids des runes'!A:B,2,FALSE)))+1)/VLOOKUP(B13020,'Poids des runes'!A:B,2,FALSE))</f>
        <v>75.52000000000001</v>
      </c>
      <c r="F13020">
        <f t="shared" si="203"/>
        <v>75.52000000000001</v>
      </c>
    </row>
    <row r="13021" spans="1:6" x14ac:dyDescent="0.3">
      <c r="A13021" t="s">
        <v>2060</v>
      </c>
      <c r="B13021" t="s">
        <v>2129</v>
      </c>
      <c r="C13021">
        <v>35.5</v>
      </c>
      <c r="D13021">
        <v>184</v>
      </c>
      <c r="E13021">
        <f>IF(OR(B13021="vi",B13021="ii",B13021="pod"),(((D13021/100)*(C13021*VLOOKUP(B13021,'Poids des runes'!A:B,2,FALSE)))+1),(((D13021/100)*(C13021*VLOOKUP(B13021,'Poids des runes'!A:B,2,FALSE)))+1)/VLOOKUP(B13021,'Poids des runes'!A:B,2,FALSE))</f>
        <v>66.320000000000007</v>
      </c>
      <c r="F13021">
        <f t="shared" si="203"/>
        <v>66.320000000000007</v>
      </c>
    </row>
    <row r="13022" spans="1:6" x14ac:dyDescent="0.3">
      <c r="A13022" t="s">
        <v>2060</v>
      </c>
      <c r="B13022" t="s">
        <v>2155</v>
      </c>
      <c r="C13022">
        <v>1</v>
      </c>
      <c r="D13022">
        <v>184</v>
      </c>
      <c r="E13022">
        <f>IF(OR(B13022="vi",B13022="ii",B13022="pod"),(((D13022/100)*(C13022*VLOOKUP(B13022,'Poids des runes'!A:B,2,FALSE)))+1),(((D13022/100)*(C13022*VLOOKUP(B13022,'Poids des runes'!A:B,2,FALSE)))+1)/VLOOKUP(B13022,'Poids des runes'!A:B,2,FALSE))</f>
        <v>1.8596078431372549</v>
      </c>
      <c r="F13022">
        <f t="shared" si="203"/>
        <v>1.8596078431372549</v>
      </c>
    </row>
    <row r="13023" spans="1:6" x14ac:dyDescent="0.3">
      <c r="A13023" t="s">
        <v>2060</v>
      </c>
      <c r="B13023" t="s">
        <v>2149</v>
      </c>
      <c r="C13023">
        <v>8.5</v>
      </c>
      <c r="D13023">
        <v>184</v>
      </c>
      <c r="E13023">
        <f>IF(OR(B13023="vi",B13023="ii",B13023="pod"),(((D13023/100)*(C13023*VLOOKUP(B13023,'Poids des runes'!A:B,2,FALSE)))+1),(((D13023/100)*(C13023*VLOOKUP(B13023,'Poids des runes'!A:B,2,FALSE)))+1)/VLOOKUP(B13023,'Poids des runes'!A:B,2,FALSE))</f>
        <v>15.74</v>
      </c>
      <c r="F13023">
        <f t="shared" si="203"/>
        <v>15.74</v>
      </c>
    </row>
    <row r="13024" spans="1:6" x14ac:dyDescent="0.3">
      <c r="A13024" t="s">
        <v>2060</v>
      </c>
      <c r="B13024" t="s">
        <v>2161</v>
      </c>
      <c r="C13024">
        <v>13</v>
      </c>
      <c r="D13024">
        <v>184</v>
      </c>
      <c r="E13024">
        <f>IF(OR(B13024="vi",B13024="ii",B13024="pod"),(((D13024/100)*(C13024*VLOOKUP(B13024,'Poids des runes'!A:B,2,FALSE)))+1),(((D13024/100)*(C13024*VLOOKUP(B13024,'Poids des runes'!A:B,2,FALSE)))+1)/VLOOKUP(B13024,'Poids des runes'!A:B,2,FALSE))</f>
        <v>24.253333333333334</v>
      </c>
      <c r="F13024">
        <f t="shared" si="203"/>
        <v>24.253333333333334</v>
      </c>
    </row>
    <row r="13025" spans="1:6" x14ac:dyDescent="0.3">
      <c r="A13025" t="s">
        <v>2060</v>
      </c>
      <c r="B13025" t="s">
        <v>2141</v>
      </c>
      <c r="C13025">
        <v>4.5</v>
      </c>
      <c r="D13025">
        <v>184</v>
      </c>
      <c r="E13025">
        <f>IF(OR(B13025="vi",B13025="ii",B13025="pod"),(((D13025/100)*(C13025*VLOOKUP(B13025,'Poids des runes'!A:B,2,FALSE)))+1),(((D13025/100)*(C13025*VLOOKUP(B13025,'Poids des runes'!A:B,2,FALSE)))+1)/VLOOKUP(B13025,'Poids des runes'!A:B,2,FALSE))</f>
        <v>8.5300000000000011</v>
      </c>
      <c r="F13025">
        <f t="shared" si="203"/>
        <v>8.5300000000000011</v>
      </c>
    </row>
    <row r="13026" spans="1:6" x14ac:dyDescent="0.3">
      <c r="A13026" t="s">
        <v>2060</v>
      </c>
      <c r="B13026" t="s">
        <v>2160</v>
      </c>
      <c r="C13026">
        <v>4.5</v>
      </c>
      <c r="D13026">
        <v>184</v>
      </c>
      <c r="E13026">
        <f>IF(OR(B13026="vi",B13026="ii",B13026="pod"),(((D13026/100)*(C13026*VLOOKUP(B13026,'Poids des runes'!A:B,2,FALSE)))+1),(((D13026/100)*(C13026*VLOOKUP(B13026,'Poids des runes'!A:B,2,FALSE)))+1)/VLOOKUP(B13026,'Poids des runes'!A:B,2,FALSE))</f>
        <v>8.4228571428571435</v>
      </c>
      <c r="F13026">
        <f t="shared" si="203"/>
        <v>8.4228571428571435</v>
      </c>
    </row>
    <row r="13027" spans="1:6" x14ac:dyDescent="0.3">
      <c r="A13027" t="s">
        <v>2060</v>
      </c>
      <c r="B13027" t="s">
        <v>2148</v>
      </c>
      <c r="C13027">
        <v>8.5</v>
      </c>
      <c r="D13027">
        <v>184</v>
      </c>
      <c r="E13027">
        <f>IF(OR(B13027="vi",B13027="ii",B13027="pod"),(((D13027/100)*(C13027*VLOOKUP(B13027,'Poids des runes'!A:B,2,FALSE)))+1),(((D13027/100)*(C13027*VLOOKUP(B13027,'Poids des runes'!A:B,2,FALSE)))+1)/VLOOKUP(B13027,'Poids des runes'!A:B,2,FALSE))</f>
        <v>15.806666666666667</v>
      </c>
      <c r="F13027">
        <f t="shared" si="203"/>
        <v>15.806666666666667</v>
      </c>
    </row>
    <row r="13028" spans="1:6" x14ac:dyDescent="0.3">
      <c r="A13028" t="s">
        <v>2060</v>
      </c>
      <c r="B13028" t="s">
        <v>2146</v>
      </c>
      <c r="C13028">
        <v>8.5</v>
      </c>
      <c r="D13028">
        <v>184</v>
      </c>
      <c r="E13028">
        <f>IF(OR(B13028="vi",B13028="ii",B13028="pod"),(((D13028/100)*(C13028*VLOOKUP(B13028,'Poids des runes'!A:B,2,FALSE)))+1),(((D13028/100)*(C13028*VLOOKUP(B13028,'Poids des runes'!A:B,2,FALSE)))+1)/VLOOKUP(B13028,'Poids des runes'!A:B,2,FALSE))</f>
        <v>16.14</v>
      </c>
      <c r="F13028">
        <f t="shared" si="203"/>
        <v>16.14</v>
      </c>
    </row>
    <row r="13029" spans="1:6" x14ac:dyDescent="0.3">
      <c r="A13029" t="s">
        <v>2061</v>
      </c>
      <c r="B13029" t="s">
        <v>2128</v>
      </c>
      <c r="C13029">
        <v>175.5</v>
      </c>
      <c r="D13029">
        <v>185</v>
      </c>
      <c r="E13029">
        <f>IF(OR(B13029="vi",B13029="ii",B13029="pod"),(((D13029/100)*(C13029*VLOOKUP(B13029,'Poids des runes'!A:B,2,FALSE)))+1),(((D13029/100)*(C13029*VLOOKUP(B13029,'Poids des runes'!A:B,2,FALSE)))+1)/VLOOKUP(B13029,'Poids des runes'!A:B,2,FALSE))</f>
        <v>65.935000000000002</v>
      </c>
      <c r="F13029">
        <f t="shared" si="203"/>
        <v>65.935000000000002</v>
      </c>
    </row>
    <row r="13030" spans="1:6" x14ac:dyDescent="0.3">
      <c r="A13030" t="s">
        <v>2061</v>
      </c>
      <c r="B13030" t="s">
        <v>2126</v>
      </c>
      <c r="C13030">
        <v>40.5</v>
      </c>
      <c r="D13030">
        <v>185</v>
      </c>
      <c r="E13030">
        <f>IF(OR(B13030="vi",B13030="ii",B13030="pod"),(((D13030/100)*(C13030*VLOOKUP(B13030,'Poids des runes'!A:B,2,FALSE)))+1),(((D13030/100)*(C13030*VLOOKUP(B13030,'Poids des runes'!A:B,2,FALSE)))+1)/VLOOKUP(B13030,'Poids des runes'!A:B,2,FALSE))</f>
        <v>75.924999999999997</v>
      </c>
      <c r="F13030">
        <f t="shared" si="203"/>
        <v>75.924999999999997</v>
      </c>
    </row>
    <row r="13031" spans="1:6" x14ac:dyDescent="0.3">
      <c r="A13031" t="s">
        <v>2061</v>
      </c>
      <c r="B13031" t="s">
        <v>2127</v>
      </c>
      <c r="C13031">
        <v>40.5</v>
      </c>
      <c r="D13031">
        <v>185</v>
      </c>
      <c r="E13031">
        <f>IF(OR(B13031="vi",B13031="ii",B13031="pod"),(((D13031/100)*(C13031*VLOOKUP(B13031,'Poids des runes'!A:B,2,FALSE)))+1),(((D13031/100)*(C13031*VLOOKUP(B13031,'Poids des runes'!A:B,2,FALSE)))+1)/VLOOKUP(B13031,'Poids des runes'!A:B,2,FALSE))</f>
        <v>75.924999999999997</v>
      </c>
      <c r="F13031">
        <f t="shared" si="203"/>
        <v>75.924999999999997</v>
      </c>
    </row>
    <row r="13032" spans="1:6" x14ac:dyDescent="0.3">
      <c r="A13032" t="s">
        <v>2061</v>
      </c>
      <c r="B13032" t="s">
        <v>2129</v>
      </c>
      <c r="C13032">
        <v>25.5</v>
      </c>
      <c r="D13032">
        <v>185</v>
      </c>
      <c r="E13032">
        <f>IF(OR(B13032="vi",B13032="ii",B13032="pod"),(((D13032/100)*(C13032*VLOOKUP(B13032,'Poids des runes'!A:B,2,FALSE)))+1),(((D13032/100)*(C13032*VLOOKUP(B13032,'Poids des runes'!A:B,2,FALSE)))+1)/VLOOKUP(B13032,'Poids des runes'!A:B,2,FALSE))</f>
        <v>48.175000000000004</v>
      </c>
      <c r="F13032">
        <f t="shared" si="203"/>
        <v>48.175000000000004</v>
      </c>
    </row>
    <row r="13033" spans="1:6" x14ac:dyDescent="0.3">
      <c r="A13033" t="s">
        <v>2061</v>
      </c>
      <c r="B13033" t="s">
        <v>2155</v>
      </c>
      <c r="C13033">
        <v>1</v>
      </c>
      <c r="D13033">
        <v>185</v>
      </c>
      <c r="E13033">
        <f>IF(OR(B13033="vi",B13033="ii",B13033="pod"),(((D13033/100)*(C13033*VLOOKUP(B13033,'Poids des runes'!A:B,2,FALSE)))+1),(((D13033/100)*(C13033*VLOOKUP(B13033,'Poids des runes'!A:B,2,FALSE)))+1)/VLOOKUP(B13033,'Poids des runes'!A:B,2,FALSE))</f>
        <v>1.8696078431372551</v>
      </c>
      <c r="F13033">
        <f t="shared" si="203"/>
        <v>1.8696078431372551</v>
      </c>
    </row>
    <row r="13034" spans="1:6" x14ac:dyDescent="0.3">
      <c r="A13034" t="s">
        <v>2061</v>
      </c>
      <c r="B13034" t="s">
        <v>2134</v>
      </c>
      <c r="C13034">
        <v>6</v>
      </c>
      <c r="D13034">
        <v>185</v>
      </c>
      <c r="E13034">
        <f>IF(OR(B13034="vi",B13034="ii",B13034="pod"),(((D13034/100)*(C13034*VLOOKUP(B13034,'Poids des runes'!A:B,2,FALSE)))+1),(((D13034/100)*(C13034*VLOOKUP(B13034,'Poids des runes'!A:B,2,FALSE)))+1)/VLOOKUP(B13034,'Poids des runes'!A:B,2,FALSE))</f>
        <v>11.15</v>
      </c>
      <c r="F13034">
        <f t="shared" si="203"/>
        <v>11.15</v>
      </c>
    </row>
    <row r="13035" spans="1:6" x14ac:dyDescent="0.3">
      <c r="A13035" t="s">
        <v>2061</v>
      </c>
      <c r="B13035" t="s">
        <v>2161</v>
      </c>
      <c r="C13035">
        <v>15.5</v>
      </c>
      <c r="D13035">
        <v>185</v>
      </c>
      <c r="E13035">
        <f>IF(OR(B13035="vi",B13035="ii",B13035="pod"),(((D13035/100)*(C13035*VLOOKUP(B13035,'Poids des runes'!A:B,2,FALSE)))+1),(((D13035/100)*(C13035*VLOOKUP(B13035,'Poids des runes'!A:B,2,FALSE)))+1)/VLOOKUP(B13035,'Poids des runes'!A:B,2,FALSE))</f>
        <v>29.008333333333336</v>
      </c>
      <c r="F13035">
        <f t="shared" si="203"/>
        <v>29.008333333333336</v>
      </c>
    </row>
    <row r="13036" spans="1:6" x14ac:dyDescent="0.3">
      <c r="A13036" t="s">
        <v>2061</v>
      </c>
      <c r="B13036" t="s">
        <v>2132</v>
      </c>
      <c r="C13036">
        <v>350.5</v>
      </c>
      <c r="D13036">
        <v>185</v>
      </c>
      <c r="E13036">
        <f>IF(OR(B13036="vi",B13036="ii",B13036="pod"),(((D13036/100)*(C13036*VLOOKUP(B13036,'Poids des runes'!A:B,2,FALSE)))+1),(((D13036/100)*(C13036*VLOOKUP(B13036,'Poids des runes'!A:B,2,FALSE)))+1)/VLOOKUP(B13036,'Poids des runes'!A:B,2,FALSE))</f>
        <v>65.842500000000015</v>
      </c>
      <c r="F13036">
        <f t="shared" si="203"/>
        <v>65.842500000000015</v>
      </c>
    </row>
    <row r="13037" spans="1:6" x14ac:dyDescent="0.3">
      <c r="A13037" t="s">
        <v>2061</v>
      </c>
      <c r="B13037" t="s">
        <v>2147</v>
      </c>
      <c r="C13037">
        <v>5</v>
      </c>
      <c r="D13037">
        <v>185</v>
      </c>
      <c r="E13037">
        <f>IF(OR(B13037="vi",B13037="ii",B13037="pod"),(((D13037/100)*(C13037*VLOOKUP(B13037,'Poids des runes'!A:B,2,FALSE)))+1),(((D13037/100)*(C13037*VLOOKUP(B13037,'Poids des runes'!A:B,2,FALSE)))+1)/VLOOKUP(B13037,'Poids des runes'!A:B,2,FALSE))</f>
        <v>9.4166666666666661</v>
      </c>
      <c r="F13037">
        <f t="shared" si="203"/>
        <v>9.4166666666666661</v>
      </c>
    </row>
    <row r="13038" spans="1:6" x14ac:dyDescent="0.3">
      <c r="A13038" t="s">
        <v>2061</v>
      </c>
      <c r="B13038" t="s">
        <v>2157</v>
      </c>
      <c r="C13038">
        <v>5</v>
      </c>
      <c r="D13038">
        <v>185</v>
      </c>
      <c r="E13038">
        <f>IF(OR(B13038="vi",B13038="ii",B13038="pod"),(((D13038/100)*(C13038*VLOOKUP(B13038,'Poids des runes'!A:B,2,FALSE)))+1),(((D13038/100)*(C13038*VLOOKUP(B13038,'Poids des runes'!A:B,2,FALSE)))+1)/VLOOKUP(B13038,'Poids des runes'!A:B,2,FALSE))</f>
        <v>9.4166666666666661</v>
      </c>
      <c r="F13038">
        <f t="shared" si="203"/>
        <v>9.4166666666666661</v>
      </c>
    </row>
    <row r="13039" spans="1:6" x14ac:dyDescent="0.3">
      <c r="A13039" t="s">
        <v>2062</v>
      </c>
      <c r="B13039" t="s">
        <v>2128</v>
      </c>
      <c r="C13039">
        <v>275.5</v>
      </c>
      <c r="D13039">
        <v>185</v>
      </c>
      <c r="E13039">
        <f>IF(OR(B13039="vi",B13039="ii",B13039="pod"),(((D13039/100)*(C13039*VLOOKUP(B13039,'Poids des runes'!A:B,2,FALSE)))+1),(((D13039/100)*(C13039*VLOOKUP(B13039,'Poids des runes'!A:B,2,FALSE)))+1)/VLOOKUP(B13039,'Poids des runes'!A:B,2,FALSE))</f>
        <v>102.935</v>
      </c>
      <c r="F13039">
        <f t="shared" si="203"/>
        <v>102.935</v>
      </c>
    </row>
    <row r="13040" spans="1:6" x14ac:dyDescent="0.3">
      <c r="A13040" t="s">
        <v>2062</v>
      </c>
      <c r="B13040" t="s">
        <v>2126</v>
      </c>
      <c r="C13040">
        <v>50.5</v>
      </c>
      <c r="D13040">
        <v>185</v>
      </c>
      <c r="E13040">
        <f>IF(OR(B13040="vi",B13040="ii",B13040="pod"),(((D13040/100)*(C13040*VLOOKUP(B13040,'Poids des runes'!A:B,2,FALSE)))+1),(((D13040/100)*(C13040*VLOOKUP(B13040,'Poids des runes'!A:B,2,FALSE)))+1)/VLOOKUP(B13040,'Poids des runes'!A:B,2,FALSE))</f>
        <v>94.425000000000011</v>
      </c>
      <c r="F13040">
        <f t="shared" si="203"/>
        <v>94.425000000000011</v>
      </c>
    </row>
    <row r="13041" spans="1:6" x14ac:dyDescent="0.3">
      <c r="A13041" t="s">
        <v>2062</v>
      </c>
      <c r="B13041" t="s">
        <v>2127</v>
      </c>
      <c r="C13041">
        <v>35.5</v>
      </c>
      <c r="D13041">
        <v>185</v>
      </c>
      <c r="E13041">
        <f>IF(OR(B13041="vi",B13041="ii",B13041="pod"),(((D13041/100)*(C13041*VLOOKUP(B13041,'Poids des runes'!A:B,2,FALSE)))+1),(((D13041/100)*(C13041*VLOOKUP(B13041,'Poids des runes'!A:B,2,FALSE)))+1)/VLOOKUP(B13041,'Poids des runes'!A:B,2,FALSE))</f>
        <v>66.674999999999997</v>
      </c>
      <c r="F13041">
        <f t="shared" si="203"/>
        <v>66.674999999999997</v>
      </c>
    </row>
    <row r="13042" spans="1:6" x14ac:dyDescent="0.3">
      <c r="A13042" t="s">
        <v>2062</v>
      </c>
      <c r="B13042" t="s">
        <v>2129</v>
      </c>
      <c r="C13042">
        <v>38</v>
      </c>
      <c r="D13042">
        <v>185</v>
      </c>
      <c r="E13042">
        <f>IF(OR(B13042="vi",B13042="ii",B13042="pod"),(((D13042/100)*(C13042*VLOOKUP(B13042,'Poids des runes'!A:B,2,FALSE)))+1),(((D13042/100)*(C13042*VLOOKUP(B13042,'Poids des runes'!A:B,2,FALSE)))+1)/VLOOKUP(B13042,'Poids des runes'!A:B,2,FALSE))</f>
        <v>71.3</v>
      </c>
      <c r="F13042">
        <f t="shared" si="203"/>
        <v>71.3</v>
      </c>
    </row>
    <row r="13043" spans="1:6" x14ac:dyDescent="0.3">
      <c r="A13043" t="s">
        <v>2062</v>
      </c>
      <c r="B13043" t="s">
        <v>2155</v>
      </c>
      <c r="C13043">
        <v>1</v>
      </c>
      <c r="D13043">
        <v>185</v>
      </c>
      <c r="E13043">
        <f>IF(OR(B13043="vi",B13043="ii",B13043="pod"),(((D13043/100)*(C13043*VLOOKUP(B13043,'Poids des runes'!A:B,2,FALSE)))+1),(((D13043/100)*(C13043*VLOOKUP(B13043,'Poids des runes'!A:B,2,FALSE)))+1)/VLOOKUP(B13043,'Poids des runes'!A:B,2,FALSE))</f>
        <v>1.8696078431372551</v>
      </c>
      <c r="F13043">
        <f t="shared" si="203"/>
        <v>1.8696078431372551</v>
      </c>
    </row>
    <row r="13044" spans="1:6" x14ac:dyDescent="0.3">
      <c r="A13044" t="s">
        <v>2062</v>
      </c>
      <c r="B13044" t="s">
        <v>2140</v>
      </c>
      <c r="C13044">
        <v>10</v>
      </c>
      <c r="D13044">
        <v>185</v>
      </c>
      <c r="E13044">
        <f>IF(OR(B13044="vi",B13044="ii",B13044="pod"),(((D13044/100)*(C13044*VLOOKUP(B13044,'Poids des runes'!A:B,2,FALSE)))+1),(((D13044/100)*(C13044*VLOOKUP(B13044,'Poids des runes'!A:B,2,FALSE)))+1)/VLOOKUP(B13044,'Poids des runes'!A:B,2,FALSE))</f>
        <v>18.7</v>
      </c>
      <c r="F13044">
        <f t="shared" si="203"/>
        <v>18.7</v>
      </c>
    </row>
    <row r="13045" spans="1:6" x14ac:dyDescent="0.3">
      <c r="A13045" t="s">
        <v>2062</v>
      </c>
      <c r="B13045" t="s">
        <v>2153</v>
      </c>
      <c r="C13045">
        <v>7</v>
      </c>
      <c r="D13045">
        <v>185</v>
      </c>
      <c r="E13045">
        <f>IF(OR(B13045="vi",B13045="ii",B13045="pod"),(((D13045/100)*(C13045*VLOOKUP(B13045,'Poids des runes'!A:B,2,FALSE)))+1),(((D13045/100)*(C13045*VLOOKUP(B13045,'Poids des runes'!A:B,2,FALSE)))+1)/VLOOKUP(B13045,'Poids des runes'!A:B,2,FALSE))</f>
        <v>13.15</v>
      </c>
      <c r="F13045">
        <f t="shared" si="203"/>
        <v>13.15</v>
      </c>
    </row>
    <row r="13046" spans="1:6" x14ac:dyDescent="0.3">
      <c r="A13046" t="s">
        <v>2062</v>
      </c>
      <c r="B13046" t="s">
        <v>2161</v>
      </c>
      <c r="C13046">
        <v>20.5</v>
      </c>
      <c r="D13046">
        <v>185</v>
      </c>
      <c r="E13046">
        <f>IF(OR(B13046="vi",B13046="ii",B13046="pod"),(((D13046/100)*(C13046*VLOOKUP(B13046,'Poids des runes'!A:B,2,FALSE)))+1),(((D13046/100)*(C13046*VLOOKUP(B13046,'Poids des runes'!A:B,2,FALSE)))+1)/VLOOKUP(B13046,'Poids des runes'!A:B,2,FALSE))</f>
        <v>38.258333333333333</v>
      </c>
      <c r="F13046">
        <f t="shared" si="203"/>
        <v>38.258333333333333</v>
      </c>
    </row>
    <row r="13047" spans="1:6" x14ac:dyDescent="0.3">
      <c r="A13047" t="s">
        <v>2062</v>
      </c>
      <c r="B13047" t="s">
        <v>2160</v>
      </c>
      <c r="C13047">
        <v>4.5</v>
      </c>
      <c r="D13047">
        <v>185</v>
      </c>
      <c r="E13047">
        <f>IF(OR(B13047="vi",B13047="ii",B13047="pod"),(((D13047/100)*(C13047*VLOOKUP(B13047,'Poids des runes'!A:B,2,FALSE)))+1),(((D13047/100)*(C13047*VLOOKUP(B13047,'Poids des runes'!A:B,2,FALSE)))+1)/VLOOKUP(B13047,'Poids des runes'!A:B,2,FALSE))</f>
        <v>8.4678571428571434</v>
      </c>
      <c r="F13047">
        <f t="shared" si="203"/>
        <v>8.4678571428571434</v>
      </c>
    </row>
    <row r="13048" spans="1:6" x14ac:dyDescent="0.3">
      <c r="A13048" t="s">
        <v>2062</v>
      </c>
      <c r="B13048" t="s">
        <v>2147</v>
      </c>
      <c r="C13048">
        <v>6</v>
      </c>
      <c r="D13048">
        <v>185</v>
      </c>
      <c r="E13048">
        <f>IF(OR(B13048="vi",B13048="ii",B13048="pod"),(((D13048/100)*(C13048*VLOOKUP(B13048,'Poids des runes'!A:B,2,FALSE)))+1),(((D13048/100)*(C13048*VLOOKUP(B13048,'Poids des runes'!A:B,2,FALSE)))+1)/VLOOKUP(B13048,'Poids des runes'!A:B,2,FALSE))</f>
        <v>11.266666666666667</v>
      </c>
      <c r="F13048">
        <f t="shared" si="203"/>
        <v>11.266666666666667</v>
      </c>
    </row>
    <row r="13049" spans="1:6" x14ac:dyDescent="0.3">
      <c r="A13049" t="s">
        <v>2062</v>
      </c>
      <c r="B13049" t="s">
        <v>2137</v>
      </c>
      <c r="C13049">
        <v>6</v>
      </c>
      <c r="D13049">
        <v>185</v>
      </c>
      <c r="E13049">
        <f>IF(OR(B13049="vi",B13049="ii",B13049="pod"),(((D13049/100)*(C13049*VLOOKUP(B13049,'Poids des runes'!A:B,2,FALSE)))+1),(((D13049/100)*(C13049*VLOOKUP(B13049,'Poids des runes'!A:B,2,FALSE)))+1)/VLOOKUP(B13049,'Poids des runes'!A:B,2,FALSE))</f>
        <v>11.600000000000001</v>
      </c>
      <c r="F13049">
        <f t="shared" si="203"/>
        <v>11.600000000000001</v>
      </c>
    </row>
    <row r="13050" spans="1:6" x14ac:dyDescent="0.3">
      <c r="A13050" t="s">
        <v>2062</v>
      </c>
      <c r="B13050" t="s">
        <v>2145</v>
      </c>
      <c r="C13050">
        <v>6</v>
      </c>
      <c r="D13050">
        <v>185</v>
      </c>
      <c r="E13050">
        <f>IF(OR(B13050="vi",B13050="ii",B13050="pod"),(((D13050/100)*(C13050*VLOOKUP(B13050,'Poids des runes'!A:B,2,FALSE)))+1),(((D13050/100)*(C13050*VLOOKUP(B13050,'Poids des runes'!A:B,2,FALSE)))+1)/VLOOKUP(B13050,'Poids des runes'!A:B,2,FALSE))</f>
        <v>11.600000000000001</v>
      </c>
      <c r="F13050">
        <f t="shared" si="203"/>
        <v>11.600000000000001</v>
      </c>
    </row>
    <row r="13051" spans="1:6" x14ac:dyDescent="0.3">
      <c r="A13051" t="s">
        <v>2063</v>
      </c>
      <c r="B13051" t="s">
        <v>2128</v>
      </c>
      <c r="C13051">
        <v>250.5</v>
      </c>
      <c r="D13051">
        <v>186</v>
      </c>
      <c r="E13051">
        <f>IF(OR(B13051="vi",B13051="ii",B13051="pod"),(((D13051/100)*(C13051*VLOOKUP(B13051,'Poids des runes'!A:B,2,FALSE)))+1),(((D13051/100)*(C13051*VLOOKUP(B13051,'Poids des runes'!A:B,2,FALSE)))+1)/VLOOKUP(B13051,'Poids des runes'!A:B,2,FALSE))</f>
        <v>94.186000000000007</v>
      </c>
      <c r="F13051">
        <f t="shared" si="203"/>
        <v>94.186000000000007</v>
      </c>
    </row>
    <row r="13052" spans="1:6" x14ac:dyDescent="0.3">
      <c r="A13052" t="s">
        <v>2063</v>
      </c>
      <c r="B13052" t="s">
        <v>2126</v>
      </c>
      <c r="C13052">
        <v>50.5</v>
      </c>
      <c r="D13052">
        <v>186</v>
      </c>
      <c r="E13052">
        <f>IF(OR(B13052="vi",B13052="ii",B13052="pod"),(((D13052/100)*(C13052*VLOOKUP(B13052,'Poids des runes'!A:B,2,FALSE)))+1),(((D13052/100)*(C13052*VLOOKUP(B13052,'Poids des runes'!A:B,2,FALSE)))+1)/VLOOKUP(B13052,'Poids des runes'!A:B,2,FALSE))</f>
        <v>94.93</v>
      </c>
      <c r="F13052">
        <f t="shared" si="203"/>
        <v>94.93</v>
      </c>
    </row>
    <row r="13053" spans="1:6" x14ac:dyDescent="0.3">
      <c r="A13053" t="s">
        <v>2063</v>
      </c>
      <c r="B13053" t="s">
        <v>2129</v>
      </c>
      <c r="C13053">
        <v>35.5</v>
      </c>
      <c r="D13053">
        <v>186</v>
      </c>
      <c r="E13053">
        <f>IF(OR(B13053="vi",B13053="ii",B13053="pod"),(((D13053/100)*(C13053*VLOOKUP(B13053,'Poids des runes'!A:B,2,FALSE)))+1),(((D13053/100)*(C13053*VLOOKUP(B13053,'Poids des runes'!A:B,2,FALSE)))+1)/VLOOKUP(B13053,'Poids des runes'!A:B,2,FALSE))</f>
        <v>67.03</v>
      </c>
      <c r="F13053">
        <f t="shared" si="203"/>
        <v>67.03</v>
      </c>
    </row>
    <row r="13054" spans="1:6" x14ac:dyDescent="0.3">
      <c r="A13054" t="s">
        <v>2063</v>
      </c>
      <c r="B13054" t="s">
        <v>2149</v>
      </c>
      <c r="C13054">
        <v>6</v>
      </c>
      <c r="D13054">
        <v>186</v>
      </c>
      <c r="E13054">
        <f>IF(OR(B13054="vi",B13054="ii",B13054="pod"),(((D13054/100)*(C13054*VLOOKUP(B13054,'Poids des runes'!A:B,2,FALSE)))+1),(((D13054/100)*(C13054*VLOOKUP(B13054,'Poids des runes'!A:B,2,FALSE)))+1)/VLOOKUP(B13054,'Poids des runes'!A:B,2,FALSE))</f>
        <v>11.260000000000002</v>
      </c>
      <c r="F13054">
        <f t="shared" si="203"/>
        <v>11.260000000000002</v>
      </c>
    </row>
    <row r="13055" spans="1:6" x14ac:dyDescent="0.3">
      <c r="A13055" t="s">
        <v>2063</v>
      </c>
      <c r="B13055" t="s">
        <v>2161</v>
      </c>
      <c r="C13055">
        <v>8</v>
      </c>
      <c r="D13055">
        <v>186</v>
      </c>
      <c r="E13055">
        <f>IF(OR(B13055="vi",B13055="ii",B13055="pod"),(((D13055/100)*(C13055*VLOOKUP(B13055,'Poids des runes'!A:B,2,FALSE)))+1),(((D13055/100)*(C13055*VLOOKUP(B13055,'Poids des runes'!A:B,2,FALSE)))+1)/VLOOKUP(B13055,'Poids des runes'!A:B,2,FALSE))</f>
        <v>15.213333333333333</v>
      </c>
      <c r="F13055">
        <f t="shared" si="203"/>
        <v>15.213333333333333</v>
      </c>
    </row>
    <row r="13056" spans="1:6" x14ac:dyDescent="0.3">
      <c r="A13056" t="s">
        <v>2063</v>
      </c>
      <c r="B13056" t="s">
        <v>2156</v>
      </c>
      <c r="C13056">
        <v>4.5</v>
      </c>
      <c r="D13056">
        <v>186</v>
      </c>
      <c r="E13056">
        <f>IF(OR(B13056="vi",B13056="ii",B13056="pod"),(((D13056/100)*(C13056*VLOOKUP(B13056,'Poids des runes'!A:B,2,FALSE)))+1),(((D13056/100)*(C13056*VLOOKUP(B13056,'Poids des runes'!A:B,2,FALSE)))+1)/VLOOKUP(B13056,'Poids des runes'!A:B,2,FALSE))</f>
        <v>8.5366666666666671</v>
      </c>
      <c r="F13056">
        <f t="shared" si="203"/>
        <v>8.5366666666666671</v>
      </c>
    </row>
    <row r="13057" spans="1:6" x14ac:dyDescent="0.3">
      <c r="A13057" t="s">
        <v>2063</v>
      </c>
      <c r="B13057" t="s">
        <v>2148</v>
      </c>
      <c r="C13057">
        <v>4.5</v>
      </c>
      <c r="D13057">
        <v>186</v>
      </c>
      <c r="E13057">
        <f>IF(OR(B13057="vi",B13057="ii",B13057="pod"),(((D13057/100)*(C13057*VLOOKUP(B13057,'Poids des runes'!A:B,2,FALSE)))+1),(((D13057/100)*(C13057*VLOOKUP(B13057,'Poids des runes'!A:B,2,FALSE)))+1)/VLOOKUP(B13057,'Poids des runes'!A:B,2,FALSE))</f>
        <v>8.5366666666666671</v>
      </c>
      <c r="F13057">
        <f t="shared" si="203"/>
        <v>8.5366666666666671</v>
      </c>
    </row>
    <row r="13058" spans="1:6" x14ac:dyDescent="0.3">
      <c r="A13058" t="s">
        <v>2063</v>
      </c>
      <c r="B13058" t="s">
        <v>2147</v>
      </c>
      <c r="C13058">
        <v>4.5</v>
      </c>
      <c r="D13058">
        <v>186</v>
      </c>
      <c r="E13058">
        <f>IF(OR(B13058="vi",B13058="ii",B13058="pod"),(((D13058/100)*(C13058*VLOOKUP(B13058,'Poids des runes'!A:B,2,FALSE)))+1),(((D13058/100)*(C13058*VLOOKUP(B13058,'Poids des runes'!A:B,2,FALSE)))+1)/VLOOKUP(B13058,'Poids des runes'!A:B,2,FALSE))</f>
        <v>8.5366666666666671</v>
      </c>
      <c r="F13058">
        <f t="shared" si="203"/>
        <v>8.5366666666666671</v>
      </c>
    </row>
    <row r="13059" spans="1:6" x14ac:dyDescent="0.3">
      <c r="A13059" t="s">
        <v>2064</v>
      </c>
      <c r="B13059" t="s">
        <v>2128</v>
      </c>
      <c r="C13059">
        <v>225.5</v>
      </c>
      <c r="D13059">
        <v>187</v>
      </c>
      <c r="E13059">
        <f>IF(OR(B13059="vi",B13059="ii",B13059="pod"),(((D13059/100)*(C13059*VLOOKUP(B13059,'Poids des runes'!A:B,2,FALSE)))+1),(((D13059/100)*(C13059*VLOOKUP(B13059,'Poids des runes'!A:B,2,FALSE)))+1)/VLOOKUP(B13059,'Poids des runes'!A:B,2,FALSE))</f>
        <v>85.337000000000003</v>
      </c>
      <c r="F13059">
        <f t="shared" ref="F13059:F13122" si="204">E13059</f>
        <v>85.337000000000003</v>
      </c>
    </row>
    <row r="13060" spans="1:6" x14ac:dyDescent="0.3">
      <c r="A13060" t="s">
        <v>2064</v>
      </c>
      <c r="B13060" t="s">
        <v>2127</v>
      </c>
      <c r="C13060">
        <v>25.5</v>
      </c>
      <c r="D13060">
        <v>187</v>
      </c>
      <c r="E13060">
        <f>IF(OR(B13060="vi",B13060="ii",B13060="pod"),(((D13060/100)*(C13060*VLOOKUP(B13060,'Poids des runes'!A:B,2,FALSE)))+1),(((D13060/100)*(C13060*VLOOKUP(B13060,'Poids des runes'!A:B,2,FALSE)))+1)/VLOOKUP(B13060,'Poids des runes'!A:B,2,FALSE))</f>
        <v>48.685000000000002</v>
      </c>
      <c r="F13060">
        <f t="shared" si="204"/>
        <v>48.685000000000002</v>
      </c>
    </row>
    <row r="13061" spans="1:6" x14ac:dyDescent="0.3">
      <c r="A13061" t="s">
        <v>2064</v>
      </c>
      <c r="B13061" t="s">
        <v>2129</v>
      </c>
      <c r="C13061">
        <v>40.5</v>
      </c>
      <c r="D13061">
        <v>187</v>
      </c>
      <c r="E13061">
        <f>IF(OR(B13061="vi",B13061="ii",B13061="pod"),(((D13061/100)*(C13061*VLOOKUP(B13061,'Poids des runes'!A:B,2,FALSE)))+1),(((D13061/100)*(C13061*VLOOKUP(B13061,'Poids des runes'!A:B,2,FALSE)))+1)/VLOOKUP(B13061,'Poids des runes'!A:B,2,FALSE))</f>
        <v>76.734999999999999</v>
      </c>
      <c r="F13061">
        <f t="shared" si="204"/>
        <v>76.734999999999999</v>
      </c>
    </row>
    <row r="13062" spans="1:6" x14ac:dyDescent="0.3">
      <c r="A13062" t="s">
        <v>2064</v>
      </c>
      <c r="B13062" t="s">
        <v>2139</v>
      </c>
      <c r="C13062">
        <v>25.5</v>
      </c>
      <c r="D13062">
        <v>187</v>
      </c>
      <c r="E13062">
        <f>IF(OR(B13062="vi",B13062="ii",B13062="pod"),(((D13062/100)*(C13062*VLOOKUP(B13062,'Poids des runes'!A:B,2,FALSE)))+1),(((D13062/100)*(C13062*VLOOKUP(B13062,'Poids des runes'!A:B,2,FALSE)))+1)/VLOOKUP(B13062,'Poids des runes'!A:B,2,FALSE))</f>
        <v>48.185000000000002</v>
      </c>
      <c r="F13062">
        <f t="shared" si="204"/>
        <v>48.185000000000002</v>
      </c>
    </row>
    <row r="13063" spans="1:6" x14ac:dyDescent="0.3">
      <c r="A13063" t="s">
        <v>2064</v>
      </c>
      <c r="B13063" t="s">
        <v>2151</v>
      </c>
      <c r="C13063">
        <v>3.5</v>
      </c>
      <c r="D13063">
        <v>187</v>
      </c>
      <c r="E13063">
        <f>IF(OR(B13063="vi",B13063="ii",B13063="pod"),(((D13063/100)*(C13063*VLOOKUP(B13063,'Poids des runes'!A:B,2,FALSE)))+1),(((D13063/100)*(C13063*VLOOKUP(B13063,'Poids des runes'!A:B,2,FALSE)))+1)/VLOOKUP(B13063,'Poids des runes'!A:B,2,FALSE))</f>
        <v>6.6450000000000005</v>
      </c>
      <c r="F13063">
        <f t="shared" si="204"/>
        <v>6.6450000000000005</v>
      </c>
    </row>
    <row r="13064" spans="1:6" x14ac:dyDescent="0.3">
      <c r="A13064" t="s">
        <v>2064</v>
      </c>
      <c r="B13064" t="s">
        <v>2143</v>
      </c>
      <c r="C13064">
        <v>8.5</v>
      </c>
      <c r="D13064">
        <v>187</v>
      </c>
      <c r="E13064">
        <f>IF(OR(B13064="vi",B13064="ii",B13064="pod"),(((D13064/100)*(C13064*VLOOKUP(B13064,'Poids des runes'!A:B,2,FALSE)))+1),(((D13064/100)*(C13064*VLOOKUP(B13064,'Poids des runes'!A:B,2,FALSE)))+1)/VLOOKUP(B13064,'Poids des runes'!A:B,2,FALSE))</f>
        <v>16.095000000000002</v>
      </c>
      <c r="F13064">
        <f t="shared" si="204"/>
        <v>16.095000000000002</v>
      </c>
    </row>
    <row r="13065" spans="1:6" x14ac:dyDescent="0.3">
      <c r="A13065" t="s">
        <v>2064</v>
      </c>
      <c r="B13065" t="s">
        <v>2153</v>
      </c>
      <c r="C13065">
        <v>10</v>
      </c>
      <c r="D13065">
        <v>187</v>
      </c>
      <c r="E13065">
        <f>IF(OR(B13065="vi",B13065="ii",B13065="pod"),(((D13065/100)*(C13065*VLOOKUP(B13065,'Poids des runes'!A:B,2,FALSE)))+1),(((D13065/100)*(C13065*VLOOKUP(B13065,'Poids des runes'!A:B,2,FALSE)))+1)/VLOOKUP(B13065,'Poids des runes'!A:B,2,FALSE))</f>
        <v>18.899999999999999</v>
      </c>
      <c r="F13065">
        <f t="shared" si="204"/>
        <v>18.899999999999999</v>
      </c>
    </row>
    <row r="13066" spans="1:6" x14ac:dyDescent="0.3">
      <c r="A13066" t="s">
        <v>2064</v>
      </c>
      <c r="B13066" t="s">
        <v>2161</v>
      </c>
      <c r="C13066">
        <v>20.5</v>
      </c>
      <c r="D13066">
        <v>187</v>
      </c>
      <c r="E13066">
        <f>IF(OR(B13066="vi",B13066="ii",B13066="pod"),(((D13066/100)*(C13066*VLOOKUP(B13066,'Poids des runes'!A:B,2,FALSE)))+1),(((D13066/100)*(C13066*VLOOKUP(B13066,'Poids des runes'!A:B,2,FALSE)))+1)/VLOOKUP(B13066,'Poids des runes'!A:B,2,FALSE))</f>
        <v>38.668333333333337</v>
      </c>
      <c r="F13066">
        <f t="shared" si="204"/>
        <v>38.668333333333337</v>
      </c>
    </row>
    <row r="13067" spans="1:6" x14ac:dyDescent="0.3">
      <c r="A13067" t="s">
        <v>2064</v>
      </c>
      <c r="B13067" t="s">
        <v>2138</v>
      </c>
      <c r="C13067">
        <v>4.5</v>
      </c>
      <c r="D13067">
        <v>187</v>
      </c>
      <c r="E13067">
        <f>IF(OR(B13067="vi",B13067="ii",B13067="pod"),(((D13067/100)*(C13067*VLOOKUP(B13067,'Poids des runes'!A:B,2,FALSE)))+1),(((D13067/100)*(C13067*VLOOKUP(B13067,'Poids des runes'!A:B,2,FALSE)))+1)/VLOOKUP(B13067,'Poids des runes'!A:B,2,FALSE))</f>
        <v>8.6650000000000009</v>
      </c>
      <c r="F13067">
        <f t="shared" si="204"/>
        <v>8.6650000000000009</v>
      </c>
    </row>
    <row r="13068" spans="1:6" x14ac:dyDescent="0.3">
      <c r="A13068" t="s">
        <v>2064</v>
      </c>
      <c r="B13068" t="s">
        <v>2147</v>
      </c>
      <c r="C13068">
        <v>6</v>
      </c>
      <c r="D13068">
        <v>187</v>
      </c>
      <c r="E13068">
        <f>IF(OR(B13068="vi",B13068="ii",B13068="pod"),(((D13068/100)*(C13068*VLOOKUP(B13068,'Poids des runes'!A:B,2,FALSE)))+1),(((D13068/100)*(C13068*VLOOKUP(B13068,'Poids des runes'!A:B,2,FALSE)))+1)/VLOOKUP(B13068,'Poids des runes'!A:B,2,FALSE))</f>
        <v>11.386666666666668</v>
      </c>
      <c r="F13068">
        <f t="shared" si="204"/>
        <v>11.386666666666668</v>
      </c>
    </row>
    <row r="13069" spans="1:6" x14ac:dyDescent="0.3">
      <c r="A13069" t="s">
        <v>2064</v>
      </c>
      <c r="B13069" t="s">
        <v>2135</v>
      </c>
      <c r="C13069">
        <v>6</v>
      </c>
      <c r="D13069">
        <v>187</v>
      </c>
      <c r="E13069">
        <f>IF(OR(B13069="vi",B13069="ii",B13069="pod"),(((D13069/100)*(C13069*VLOOKUP(B13069,'Poids des runes'!A:B,2,FALSE)))+1),(((D13069/100)*(C13069*VLOOKUP(B13069,'Poids des runes'!A:B,2,FALSE)))+1)/VLOOKUP(B13069,'Poids des runes'!A:B,2,FALSE))</f>
        <v>11.386666666666668</v>
      </c>
      <c r="F13069">
        <f t="shared" si="204"/>
        <v>11.386666666666668</v>
      </c>
    </row>
    <row r="13070" spans="1:6" x14ac:dyDescent="0.3">
      <c r="A13070" t="s">
        <v>2065</v>
      </c>
      <c r="B13070" t="s">
        <v>2128</v>
      </c>
      <c r="C13070">
        <v>275.5</v>
      </c>
      <c r="D13070">
        <v>187</v>
      </c>
      <c r="E13070">
        <f>IF(OR(B13070="vi",B13070="ii",B13070="pod"),(((D13070/100)*(C13070*VLOOKUP(B13070,'Poids des runes'!A:B,2,FALSE)))+1),(((D13070/100)*(C13070*VLOOKUP(B13070,'Poids des runes'!A:B,2,FALSE)))+1)/VLOOKUP(B13070,'Poids des runes'!A:B,2,FALSE))</f>
        <v>104.03700000000001</v>
      </c>
      <c r="F13070">
        <f t="shared" si="204"/>
        <v>104.03700000000001</v>
      </c>
    </row>
    <row r="13071" spans="1:6" x14ac:dyDescent="0.3">
      <c r="A13071" t="s">
        <v>2065</v>
      </c>
      <c r="B13071" t="s">
        <v>2126</v>
      </c>
      <c r="C13071">
        <v>40.5</v>
      </c>
      <c r="D13071">
        <v>187</v>
      </c>
      <c r="E13071">
        <f>IF(OR(B13071="vi",B13071="ii",B13071="pod"),(((D13071/100)*(C13071*VLOOKUP(B13071,'Poids des runes'!A:B,2,FALSE)))+1),(((D13071/100)*(C13071*VLOOKUP(B13071,'Poids des runes'!A:B,2,FALSE)))+1)/VLOOKUP(B13071,'Poids des runes'!A:B,2,FALSE))</f>
        <v>76.734999999999999</v>
      </c>
      <c r="F13071">
        <f t="shared" si="204"/>
        <v>76.734999999999999</v>
      </c>
    </row>
    <row r="13072" spans="1:6" x14ac:dyDescent="0.3">
      <c r="A13072" t="s">
        <v>2065</v>
      </c>
      <c r="B13072" t="s">
        <v>2127</v>
      </c>
      <c r="C13072">
        <v>40.5</v>
      </c>
      <c r="D13072">
        <v>187</v>
      </c>
      <c r="E13072">
        <f>IF(OR(B13072="vi",B13072="ii",B13072="pod"),(((D13072/100)*(C13072*VLOOKUP(B13072,'Poids des runes'!A:B,2,FALSE)))+1),(((D13072/100)*(C13072*VLOOKUP(B13072,'Poids des runes'!A:B,2,FALSE)))+1)/VLOOKUP(B13072,'Poids des runes'!A:B,2,FALSE))</f>
        <v>76.734999999999999</v>
      </c>
      <c r="F13072">
        <f t="shared" si="204"/>
        <v>76.734999999999999</v>
      </c>
    </row>
    <row r="13073" spans="1:6" x14ac:dyDescent="0.3">
      <c r="A13073" t="s">
        <v>2065</v>
      </c>
      <c r="B13073" t="s">
        <v>2129</v>
      </c>
      <c r="C13073">
        <v>40.5</v>
      </c>
      <c r="D13073">
        <v>187</v>
      </c>
      <c r="E13073">
        <f>IF(OR(B13073="vi",B13073="ii",B13073="pod"),(((D13073/100)*(C13073*VLOOKUP(B13073,'Poids des runes'!A:B,2,FALSE)))+1),(((D13073/100)*(C13073*VLOOKUP(B13073,'Poids des runes'!A:B,2,FALSE)))+1)/VLOOKUP(B13073,'Poids des runes'!A:B,2,FALSE))</f>
        <v>76.734999999999999</v>
      </c>
      <c r="F13073">
        <f t="shared" si="204"/>
        <v>76.734999999999999</v>
      </c>
    </row>
    <row r="13074" spans="1:6" x14ac:dyDescent="0.3">
      <c r="A13074" t="s">
        <v>2065</v>
      </c>
      <c r="B13074" t="s">
        <v>2155</v>
      </c>
      <c r="C13074">
        <v>1</v>
      </c>
      <c r="D13074">
        <v>187</v>
      </c>
      <c r="E13074">
        <f>IF(OR(B13074="vi",B13074="ii",B13074="pod"),(((D13074/100)*(C13074*VLOOKUP(B13074,'Poids des runes'!A:B,2,FALSE)))+1),(((D13074/100)*(C13074*VLOOKUP(B13074,'Poids des runes'!A:B,2,FALSE)))+1)/VLOOKUP(B13074,'Poids des runes'!A:B,2,FALSE))</f>
        <v>1.8896078431372549</v>
      </c>
      <c r="F13074">
        <f t="shared" si="204"/>
        <v>1.8896078431372549</v>
      </c>
    </row>
    <row r="13075" spans="1:6" x14ac:dyDescent="0.3">
      <c r="A13075" t="s">
        <v>2065</v>
      </c>
      <c r="B13075" t="s">
        <v>2140</v>
      </c>
      <c r="C13075">
        <v>10</v>
      </c>
      <c r="D13075">
        <v>187</v>
      </c>
      <c r="E13075">
        <f>IF(OR(B13075="vi",B13075="ii",B13075="pod"),(((D13075/100)*(C13075*VLOOKUP(B13075,'Poids des runes'!A:B,2,FALSE)))+1),(((D13075/100)*(C13075*VLOOKUP(B13075,'Poids des runes'!A:B,2,FALSE)))+1)/VLOOKUP(B13075,'Poids des runes'!A:B,2,FALSE))</f>
        <v>18.899999999999999</v>
      </c>
      <c r="F13075">
        <f t="shared" si="204"/>
        <v>18.899999999999999</v>
      </c>
    </row>
    <row r="13076" spans="1:6" x14ac:dyDescent="0.3">
      <c r="A13076" t="s">
        <v>2065</v>
      </c>
      <c r="B13076" t="s">
        <v>2153</v>
      </c>
      <c r="C13076">
        <v>8.5</v>
      </c>
      <c r="D13076">
        <v>187</v>
      </c>
      <c r="E13076">
        <f>IF(OR(B13076="vi",B13076="ii",B13076="pod"),(((D13076/100)*(C13076*VLOOKUP(B13076,'Poids des runes'!A:B,2,FALSE)))+1),(((D13076/100)*(C13076*VLOOKUP(B13076,'Poids des runes'!A:B,2,FALSE)))+1)/VLOOKUP(B13076,'Poids des runes'!A:B,2,FALSE))</f>
        <v>16.095000000000002</v>
      </c>
      <c r="F13076">
        <f t="shared" si="204"/>
        <v>16.095000000000002</v>
      </c>
    </row>
    <row r="13077" spans="1:6" x14ac:dyDescent="0.3">
      <c r="A13077" t="s">
        <v>2065</v>
      </c>
      <c r="B13077" t="s">
        <v>2149</v>
      </c>
      <c r="C13077">
        <v>8.5</v>
      </c>
      <c r="D13077">
        <v>187</v>
      </c>
      <c r="E13077">
        <f>IF(OR(B13077="vi",B13077="ii",B13077="pod"),(((D13077/100)*(C13077*VLOOKUP(B13077,'Poids des runes'!A:B,2,FALSE)))+1),(((D13077/100)*(C13077*VLOOKUP(B13077,'Poids des runes'!A:B,2,FALSE)))+1)/VLOOKUP(B13077,'Poids des runes'!A:B,2,FALSE))</f>
        <v>15.995000000000001</v>
      </c>
      <c r="F13077">
        <f t="shared" si="204"/>
        <v>15.995000000000001</v>
      </c>
    </row>
    <row r="13078" spans="1:6" x14ac:dyDescent="0.3">
      <c r="A13078" t="s">
        <v>2065</v>
      </c>
      <c r="B13078" t="s">
        <v>2162</v>
      </c>
      <c r="C13078">
        <v>4.5</v>
      </c>
      <c r="D13078">
        <v>187</v>
      </c>
      <c r="E13078">
        <f>IF(OR(B13078="vi",B13078="ii",B13078="pod"),(((D13078/100)*(C13078*VLOOKUP(B13078,'Poids des runes'!A:B,2,FALSE)))+1),(((D13078/100)*(C13078*VLOOKUP(B13078,'Poids des runes'!A:B,2,FALSE)))+1)/VLOOKUP(B13078,'Poids des runes'!A:B,2,FALSE))</f>
        <v>8.5578571428571433</v>
      </c>
      <c r="F13078">
        <f t="shared" si="204"/>
        <v>8.5578571428571433</v>
      </c>
    </row>
    <row r="13079" spans="1:6" x14ac:dyDescent="0.3">
      <c r="A13079" t="s">
        <v>2065</v>
      </c>
      <c r="B13079" t="s">
        <v>2142</v>
      </c>
      <c r="C13079">
        <v>8.5</v>
      </c>
      <c r="D13079">
        <v>187</v>
      </c>
      <c r="E13079">
        <f>IF(OR(B13079="vi",B13079="ii",B13079="pod"),(((D13079/100)*(C13079*VLOOKUP(B13079,'Poids des runes'!A:B,2,FALSE)))+1),(((D13079/100)*(C13079*VLOOKUP(B13079,'Poids des runes'!A:B,2,FALSE)))+1)/VLOOKUP(B13079,'Poids des runes'!A:B,2,FALSE))</f>
        <v>16.095000000000002</v>
      </c>
      <c r="F13079">
        <f t="shared" si="204"/>
        <v>16.095000000000002</v>
      </c>
    </row>
    <row r="13080" spans="1:6" x14ac:dyDescent="0.3">
      <c r="A13080" t="s">
        <v>2065</v>
      </c>
      <c r="B13080" t="s">
        <v>2135</v>
      </c>
      <c r="C13080">
        <v>6</v>
      </c>
      <c r="D13080">
        <v>187</v>
      </c>
      <c r="E13080">
        <f>IF(OR(B13080="vi",B13080="ii",B13080="pod"),(((D13080/100)*(C13080*VLOOKUP(B13080,'Poids des runes'!A:B,2,FALSE)))+1),(((D13080/100)*(C13080*VLOOKUP(B13080,'Poids des runes'!A:B,2,FALSE)))+1)/VLOOKUP(B13080,'Poids des runes'!A:B,2,FALSE))</f>
        <v>11.386666666666668</v>
      </c>
      <c r="F13080">
        <f t="shared" si="204"/>
        <v>11.386666666666668</v>
      </c>
    </row>
    <row r="13081" spans="1:6" x14ac:dyDescent="0.3">
      <c r="A13081" t="s">
        <v>2065</v>
      </c>
      <c r="B13081" t="s">
        <v>2137</v>
      </c>
      <c r="C13081">
        <v>8.5</v>
      </c>
      <c r="D13081">
        <v>187</v>
      </c>
      <c r="E13081">
        <f>IF(OR(B13081="vi",B13081="ii",B13081="pod"),(((D13081/100)*(C13081*VLOOKUP(B13081,'Poids des runes'!A:B,2,FALSE)))+1),(((D13081/100)*(C13081*VLOOKUP(B13081,'Poids des runes'!A:B,2,FALSE)))+1)/VLOOKUP(B13081,'Poids des runes'!A:B,2,FALSE))</f>
        <v>16.395000000000003</v>
      </c>
      <c r="F13081">
        <f t="shared" si="204"/>
        <v>16.395000000000003</v>
      </c>
    </row>
    <row r="13082" spans="1:6" x14ac:dyDescent="0.3">
      <c r="A13082" t="s">
        <v>2065</v>
      </c>
      <c r="B13082" t="s">
        <v>2145</v>
      </c>
      <c r="C13082">
        <v>8.5</v>
      </c>
      <c r="D13082">
        <v>187</v>
      </c>
      <c r="E13082">
        <f>IF(OR(B13082="vi",B13082="ii",B13082="pod"),(((D13082/100)*(C13082*VLOOKUP(B13082,'Poids des runes'!A:B,2,FALSE)))+1),(((D13082/100)*(C13082*VLOOKUP(B13082,'Poids des runes'!A:B,2,FALSE)))+1)/VLOOKUP(B13082,'Poids des runes'!A:B,2,FALSE))</f>
        <v>16.395000000000003</v>
      </c>
      <c r="F13082">
        <f t="shared" si="204"/>
        <v>16.395000000000003</v>
      </c>
    </row>
    <row r="13083" spans="1:6" x14ac:dyDescent="0.3">
      <c r="A13083" t="s">
        <v>2066</v>
      </c>
      <c r="B13083" t="s">
        <v>2128</v>
      </c>
      <c r="C13083">
        <v>225.5</v>
      </c>
      <c r="D13083">
        <v>187</v>
      </c>
      <c r="E13083">
        <f>IF(OR(B13083="vi",B13083="ii",B13083="pod"),(((D13083/100)*(C13083*VLOOKUP(B13083,'Poids des runes'!A:B,2,FALSE)))+1),(((D13083/100)*(C13083*VLOOKUP(B13083,'Poids des runes'!A:B,2,FALSE)))+1)/VLOOKUP(B13083,'Poids des runes'!A:B,2,FALSE))</f>
        <v>85.337000000000003</v>
      </c>
      <c r="F13083">
        <f t="shared" si="204"/>
        <v>85.337000000000003</v>
      </c>
    </row>
    <row r="13084" spans="1:6" x14ac:dyDescent="0.3">
      <c r="A13084" t="s">
        <v>2066</v>
      </c>
      <c r="B13084" t="s">
        <v>2127</v>
      </c>
      <c r="C13084">
        <v>50.5</v>
      </c>
      <c r="D13084">
        <v>187</v>
      </c>
      <c r="E13084">
        <f>IF(OR(B13084="vi",B13084="ii",B13084="pod"),(((D13084/100)*(C13084*VLOOKUP(B13084,'Poids des runes'!A:B,2,FALSE)))+1),(((D13084/100)*(C13084*VLOOKUP(B13084,'Poids des runes'!A:B,2,FALSE)))+1)/VLOOKUP(B13084,'Poids des runes'!A:B,2,FALSE))</f>
        <v>95.435000000000002</v>
      </c>
      <c r="F13084">
        <f t="shared" si="204"/>
        <v>95.435000000000002</v>
      </c>
    </row>
    <row r="13085" spans="1:6" x14ac:dyDescent="0.3">
      <c r="A13085" t="s">
        <v>2066</v>
      </c>
      <c r="B13085" t="s">
        <v>2129</v>
      </c>
      <c r="C13085">
        <v>35.5</v>
      </c>
      <c r="D13085">
        <v>187</v>
      </c>
      <c r="E13085">
        <f>IF(OR(B13085="vi",B13085="ii",B13085="pod"),(((D13085/100)*(C13085*VLOOKUP(B13085,'Poids des runes'!A:B,2,FALSE)))+1),(((D13085/100)*(C13085*VLOOKUP(B13085,'Poids des runes'!A:B,2,FALSE)))+1)/VLOOKUP(B13085,'Poids des runes'!A:B,2,FALSE))</f>
        <v>67.385000000000005</v>
      </c>
      <c r="F13085">
        <f t="shared" si="204"/>
        <v>67.385000000000005</v>
      </c>
    </row>
    <row r="13086" spans="1:6" x14ac:dyDescent="0.3">
      <c r="A13086" t="s">
        <v>2066</v>
      </c>
      <c r="B13086" t="s">
        <v>2151</v>
      </c>
      <c r="C13086">
        <v>4.5</v>
      </c>
      <c r="D13086">
        <v>187</v>
      </c>
      <c r="E13086">
        <f>IF(OR(B13086="vi",B13086="ii",B13086="pod"),(((D13086/100)*(C13086*VLOOKUP(B13086,'Poids des runes'!A:B,2,FALSE)))+1),(((D13086/100)*(C13086*VLOOKUP(B13086,'Poids des runes'!A:B,2,FALSE)))+1)/VLOOKUP(B13086,'Poids des runes'!A:B,2,FALSE))</f>
        <v>8.5150000000000006</v>
      </c>
      <c r="F13086">
        <f t="shared" si="204"/>
        <v>8.5150000000000006</v>
      </c>
    </row>
    <row r="13087" spans="1:6" x14ac:dyDescent="0.3">
      <c r="A13087" t="s">
        <v>2066</v>
      </c>
      <c r="B13087" t="s">
        <v>2150</v>
      </c>
      <c r="C13087">
        <v>1</v>
      </c>
      <c r="D13087">
        <v>187</v>
      </c>
      <c r="E13087">
        <f>IF(OR(B13087="vi",B13087="ii",B13087="pod"),(((D13087/100)*(C13087*VLOOKUP(B13087,'Poids des runes'!A:B,2,FALSE)))+1),(((D13087/100)*(C13087*VLOOKUP(B13087,'Poids des runes'!A:B,2,FALSE)))+1)/VLOOKUP(B13087,'Poids des runes'!A:B,2,FALSE))</f>
        <v>1.9033333333333333</v>
      </c>
      <c r="F13087">
        <f t="shared" si="204"/>
        <v>1.9033333333333333</v>
      </c>
    </row>
    <row r="13088" spans="1:6" x14ac:dyDescent="0.3">
      <c r="A13088" t="s">
        <v>2066</v>
      </c>
      <c r="B13088" t="s">
        <v>2134</v>
      </c>
      <c r="C13088">
        <v>6</v>
      </c>
      <c r="D13088">
        <v>187</v>
      </c>
      <c r="E13088">
        <f>IF(OR(B13088="vi",B13088="ii",B13088="pod"),(((D13088/100)*(C13088*VLOOKUP(B13088,'Poids des runes'!A:B,2,FALSE)))+1),(((D13088/100)*(C13088*VLOOKUP(B13088,'Poids des runes'!A:B,2,FALSE)))+1)/VLOOKUP(B13088,'Poids des runes'!A:B,2,FALSE))</f>
        <v>11.27</v>
      </c>
      <c r="F13088">
        <f t="shared" si="204"/>
        <v>11.27</v>
      </c>
    </row>
    <row r="13089" spans="1:6" x14ac:dyDescent="0.3">
      <c r="A13089" t="s">
        <v>2066</v>
      </c>
      <c r="B13089" t="s">
        <v>2161</v>
      </c>
      <c r="C13089">
        <v>13</v>
      </c>
      <c r="D13089">
        <v>187</v>
      </c>
      <c r="E13089">
        <f>IF(OR(B13089="vi",B13089="ii",B13089="pod"),(((D13089/100)*(C13089*VLOOKUP(B13089,'Poids des runes'!A:B,2,FALSE)))+1),(((D13089/100)*(C13089*VLOOKUP(B13089,'Poids des runes'!A:B,2,FALSE)))+1)/VLOOKUP(B13089,'Poids des runes'!A:B,2,FALSE))</f>
        <v>24.643333333333334</v>
      </c>
      <c r="F13089">
        <f t="shared" si="204"/>
        <v>24.643333333333334</v>
      </c>
    </row>
    <row r="13090" spans="1:6" x14ac:dyDescent="0.3">
      <c r="A13090" t="s">
        <v>2066</v>
      </c>
      <c r="B13090" t="s">
        <v>2132</v>
      </c>
      <c r="C13090">
        <v>350.5</v>
      </c>
      <c r="D13090">
        <v>187</v>
      </c>
      <c r="E13090">
        <f>IF(OR(B13090="vi",B13090="ii",B13090="pod"),(((D13090/100)*(C13090*VLOOKUP(B13090,'Poids des runes'!A:B,2,FALSE)))+1),(((D13090/100)*(C13090*VLOOKUP(B13090,'Poids des runes'!A:B,2,FALSE)))+1)/VLOOKUP(B13090,'Poids des runes'!A:B,2,FALSE))</f>
        <v>66.543500000000009</v>
      </c>
      <c r="F13090">
        <f t="shared" si="204"/>
        <v>66.543500000000009</v>
      </c>
    </row>
    <row r="13091" spans="1:6" x14ac:dyDescent="0.3">
      <c r="A13091" t="s">
        <v>2066</v>
      </c>
      <c r="B13091" t="s">
        <v>2158</v>
      </c>
      <c r="C13091">
        <v>5</v>
      </c>
      <c r="D13091">
        <v>187</v>
      </c>
      <c r="E13091">
        <f>IF(OR(B13091="vi",B13091="ii",B13091="pod"),(((D13091/100)*(C13091*VLOOKUP(B13091,'Poids des runes'!A:B,2,FALSE)))+1),(((D13091/100)*(C13091*VLOOKUP(B13091,'Poids des runes'!A:B,2,FALSE)))+1)/VLOOKUP(B13091,'Poids des runes'!A:B,2,FALSE))</f>
        <v>9.5500000000000007</v>
      </c>
      <c r="F13091">
        <f t="shared" si="204"/>
        <v>9.5500000000000007</v>
      </c>
    </row>
    <row r="13092" spans="1:6" x14ac:dyDescent="0.3">
      <c r="A13092" t="s">
        <v>2066</v>
      </c>
      <c r="B13092" t="s">
        <v>2163</v>
      </c>
      <c r="C13092">
        <v>8</v>
      </c>
      <c r="D13092">
        <v>187</v>
      </c>
      <c r="E13092">
        <f>IF(OR(B13092="vi",B13092="ii",B13092="pod"),(((D13092/100)*(C13092*VLOOKUP(B13092,'Poids des runes'!A:B,2,FALSE)))+1),(((D13092/100)*(C13092*VLOOKUP(B13092,'Poids des runes'!A:B,2,FALSE)))+1)/VLOOKUP(B13092,'Poids des runes'!A:B,2,FALSE))</f>
        <v>15.46</v>
      </c>
      <c r="F13092">
        <f t="shared" si="204"/>
        <v>15.46</v>
      </c>
    </row>
    <row r="13093" spans="1:6" x14ac:dyDescent="0.3">
      <c r="A13093" t="s">
        <v>2066</v>
      </c>
      <c r="B13093" t="s">
        <v>2156</v>
      </c>
      <c r="C13093">
        <v>3.5</v>
      </c>
      <c r="D13093">
        <v>187</v>
      </c>
      <c r="E13093">
        <f>IF(OR(B13093="vi",B13093="ii",B13093="pod"),(((D13093/100)*(C13093*VLOOKUP(B13093,'Poids des runes'!A:B,2,FALSE)))+1),(((D13093/100)*(C13093*VLOOKUP(B13093,'Poids des runes'!A:B,2,FALSE)))+1)/VLOOKUP(B13093,'Poids des runes'!A:B,2,FALSE))</f>
        <v>6.7116666666666669</v>
      </c>
      <c r="F13093">
        <f t="shared" si="204"/>
        <v>6.7116666666666669</v>
      </c>
    </row>
    <row r="13094" spans="1:6" x14ac:dyDescent="0.3">
      <c r="A13094" t="s">
        <v>2066</v>
      </c>
      <c r="B13094" t="s">
        <v>2135</v>
      </c>
      <c r="C13094">
        <v>5</v>
      </c>
      <c r="D13094">
        <v>187</v>
      </c>
      <c r="E13094">
        <f>IF(OR(B13094="vi",B13094="ii",B13094="pod"),(((D13094/100)*(C13094*VLOOKUP(B13094,'Poids des runes'!A:B,2,FALSE)))+1),(((D13094/100)*(C13094*VLOOKUP(B13094,'Poids des runes'!A:B,2,FALSE)))+1)/VLOOKUP(B13094,'Poids des runes'!A:B,2,FALSE))</f>
        <v>9.5166666666666675</v>
      </c>
      <c r="F13094">
        <f t="shared" si="204"/>
        <v>9.5166666666666675</v>
      </c>
    </row>
    <row r="13095" spans="1:6" x14ac:dyDescent="0.3">
      <c r="A13095" t="s">
        <v>2066</v>
      </c>
      <c r="B13095" t="s">
        <v>2145</v>
      </c>
      <c r="C13095">
        <v>13</v>
      </c>
      <c r="D13095">
        <v>187</v>
      </c>
      <c r="E13095">
        <f>IF(OR(B13095="vi",B13095="ii",B13095="pod"),(((D13095/100)*(C13095*VLOOKUP(B13095,'Poids des runes'!A:B,2,FALSE)))+1),(((D13095/100)*(C13095*VLOOKUP(B13095,'Poids des runes'!A:B,2,FALSE)))+1)/VLOOKUP(B13095,'Poids des runes'!A:B,2,FALSE))</f>
        <v>24.810000000000002</v>
      </c>
      <c r="F13095">
        <f t="shared" si="204"/>
        <v>24.810000000000002</v>
      </c>
    </row>
    <row r="13096" spans="1:6" x14ac:dyDescent="0.3">
      <c r="A13096" t="s">
        <v>2067</v>
      </c>
      <c r="B13096" t="s">
        <v>2128</v>
      </c>
      <c r="C13096">
        <v>225.5</v>
      </c>
      <c r="D13096">
        <v>188</v>
      </c>
      <c r="E13096">
        <f>IF(OR(B13096="vi",B13096="ii",B13096="pod"),(((D13096/100)*(C13096*VLOOKUP(B13096,'Poids des runes'!A:B,2,FALSE)))+1),(((D13096/100)*(C13096*VLOOKUP(B13096,'Poids des runes'!A:B,2,FALSE)))+1)/VLOOKUP(B13096,'Poids des runes'!A:B,2,FALSE))</f>
        <v>85.787999999999997</v>
      </c>
      <c r="F13096">
        <f t="shared" si="204"/>
        <v>85.787999999999997</v>
      </c>
    </row>
    <row r="13097" spans="1:6" x14ac:dyDescent="0.3">
      <c r="A13097" t="s">
        <v>2067</v>
      </c>
      <c r="B13097" t="s">
        <v>2127</v>
      </c>
      <c r="C13097">
        <v>60.5</v>
      </c>
      <c r="D13097">
        <v>188</v>
      </c>
      <c r="E13097">
        <f>IF(OR(B13097="vi",B13097="ii",B13097="pod"),(((D13097/100)*(C13097*VLOOKUP(B13097,'Poids des runes'!A:B,2,FALSE)))+1),(((D13097/100)*(C13097*VLOOKUP(B13097,'Poids des runes'!A:B,2,FALSE)))+1)/VLOOKUP(B13097,'Poids des runes'!A:B,2,FALSE))</f>
        <v>114.74</v>
      </c>
      <c r="F13097">
        <f t="shared" si="204"/>
        <v>114.74</v>
      </c>
    </row>
    <row r="13098" spans="1:6" x14ac:dyDescent="0.3">
      <c r="A13098" t="s">
        <v>2067</v>
      </c>
      <c r="B13098" t="s">
        <v>2129</v>
      </c>
      <c r="C13098">
        <v>35.5</v>
      </c>
      <c r="D13098">
        <v>188</v>
      </c>
      <c r="E13098">
        <f>IF(OR(B13098="vi",B13098="ii",B13098="pod"),(((D13098/100)*(C13098*VLOOKUP(B13098,'Poids des runes'!A:B,2,FALSE)))+1),(((D13098/100)*(C13098*VLOOKUP(B13098,'Poids des runes'!A:B,2,FALSE)))+1)/VLOOKUP(B13098,'Poids des runes'!A:B,2,FALSE))</f>
        <v>67.739999999999995</v>
      </c>
      <c r="F13098">
        <f t="shared" si="204"/>
        <v>67.739999999999995</v>
      </c>
    </row>
    <row r="13099" spans="1:6" x14ac:dyDescent="0.3">
      <c r="A13099" t="s">
        <v>2067</v>
      </c>
      <c r="B13099" t="s">
        <v>2151</v>
      </c>
      <c r="C13099">
        <v>2.5</v>
      </c>
      <c r="D13099">
        <v>188</v>
      </c>
      <c r="E13099">
        <f>IF(OR(B13099="vi",B13099="ii",B13099="pod"),(((D13099/100)*(C13099*VLOOKUP(B13099,'Poids des runes'!A:B,2,FALSE)))+1),(((D13099/100)*(C13099*VLOOKUP(B13099,'Poids des runes'!A:B,2,FALSE)))+1)/VLOOKUP(B13099,'Poids des runes'!A:B,2,FALSE))</f>
        <v>4.8</v>
      </c>
      <c r="F13099">
        <f t="shared" si="204"/>
        <v>4.8</v>
      </c>
    </row>
    <row r="13100" spans="1:6" x14ac:dyDescent="0.3">
      <c r="A13100" t="s">
        <v>2067</v>
      </c>
      <c r="B13100" t="s">
        <v>2155</v>
      </c>
      <c r="C13100">
        <v>1</v>
      </c>
      <c r="D13100">
        <v>188</v>
      </c>
      <c r="E13100">
        <f>IF(OR(B13100="vi",B13100="ii",B13100="pod"),(((D13100/100)*(C13100*VLOOKUP(B13100,'Poids des runes'!A:B,2,FALSE)))+1),(((D13100/100)*(C13100*VLOOKUP(B13100,'Poids des runes'!A:B,2,FALSE)))+1)/VLOOKUP(B13100,'Poids des runes'!A:B,2,FALSE))</f>
        <v>1.8996078431372547</v>
      </c>
      <c r="F13100">
        <f t="shared" si="204"/>
        <v>1.8996078431372547</v>
      </c>
    </row>
    <row r="13101" spans="1:6" x14ac:dyDescent="0.3">
      <c r="A13101" t="s">
        <v>2067</v>
      </c>
      <c r="B13101" t="s">
        <v>2153</v>
      </c>
      <c r="C13101">
        <v>13</v>
      </c>
      <c r="D13101">
        <v>188</v>
      </c>
      <c r="E13101">
        <f>IF(OR(B13101="vi",B13101="ii",B13101="pod"),(((D13101/100)*(C13101*VLOOKUP(B13101,'Poids des runes'!A:B,2,FALSE)))+1),(((D13101/100)*(C13101*VLOOKUP(B13101,'Poids des runes'!A:B,2,FALSE)))+1)/VLOOKUP(B13101,'Poids des runes'!A:B,2,FALSE))</f>
        <v>24.639999999999997</v>
      </c>
      <c r="F13101">
        <f t="shared" si="204"/>
        <v>24.639999999999997</v>
      </c>
    </row>
    <row r="13102" spans="1:6" x14ac:dyDescent="0.3">
      <c r="A13102" t="s">
        <v>2067</v>
      </c>
      <c r="B13102" t="s">
        <v>2161</v>
      </c>
      <c r="C13102">
        <v>20.5</v>
      </c>
      <c r="D13102">
        <v>188</v>
      </c>
      <c r="E13102">
        <f>IF(OR(B13102="vi",B13102="ii",B13102="pod"),(((D13102/100)*(C13102*VLOOKUP(B13102,'Poids des runes'!A:B,2,FALSE)))+1),(((D13102/100)*(C13102*VLOOKUP(B13102,'Poids des runes'!A:B,2,FALSE)))+1)/VLOOKUP(B13102,'Poids des runes'!A:B,2,FALSE))</f>
        <v>38.873333333333328</v>
      </c>
      <c r="F13102">
        <f t="shared" si="204"/>
        <v>38.873333333333328</v>
      </c>
    </row>
    <row r="13103" spans="1:6" x14ac:dyDescent="0.3">
      <c r="A13103" t="s">
        <v>2067</v>
      </c>
      <c r="B13103" t="s">
        <v>2132</v>
      </c>
      <c r="C13103">
        <v>250.5</v>
      </c>
      <c r="D13103">
        <v>188</v>
      </c>
      <c r="E13103">
        <f>IF(OR(B13103="vi",B13103="ii",B13103="pod"),(((D13103/100)*(C13103*VLOOKUP(B13103,'Poids des runes'!A:B,2,FALSE)))+1),(((D13103/100)*(C13103*VLOOKUP(B13103,'Poids des runes'!A:B,2,FALSE)))+1)/VLOOKUP(B13103,'Poids des runes'!A:B,2,FALSE))</f>
        <v>48.094000000000001</v>
      </c>
      <c r="F13103">
        <f t="shared" si="204"/>
        <v>48.094000000000001</v>
      </c>
    </row>
    <row r="13104" spans="1:6" x14ac:dyDescent="0.3">
      <c r="A13104" t="s">
        <v>2067</v>
      </c>
      <c r="B13104" t="s">
        <v>2165</v>
      </c>
      <c r="C13104">
        <v>4.5</v>
      </c>
      <c r="D13104">
        <v>188</v>
      </c>
      <c r="E13104">
        <f>IF(OR(B13104="vi",B13104="ii",B13104="pod"),(((D13104/100)*(C13104*VLOOKUP(B13104,'Poids des runes'!A:B,2,FALSE)))+1),(((D13104/100)*(C13104*VLOOKUP(B13104,'Poids des runes'!A:B,2,FALSE)))+1)/VLOOKUP(B13104,'Poids des runes'!A:B,2,FALSE))</f>
        <v>8.6028571428571432</v>
      </c>
      <c r="F13104">
        <f t="shared" si="204"/>
        <v>8.6028571428571432</v>
      </c>
    </row>
    <row r="13105" spans="1:6" x14ac:dyDescent="0.3">
      <c r="A13105" t="s">
        <v>2067</v>
      </c>
      <c r="B13105" t="s">
        <v>2163</v>
      </c>
      <c r="C13105">
        <v>13</v>
      </c>
      <c r="D13105">
        <v>188</v>
      </c>
      <c r="E13105">
        <f>IF(OR(B13105="vi",B13105="ii",B13105="pod"),(((D13105/100)*(C13105*VLOOKUP(B13105,'Poids des runes'!A:B,2,FALSE)))+1),(((D13105/100)*(C13105*VLOOKUP(B13105,'Poids des runes'!A:B,2,FALSE)))+1)/VLOOKUP(B13105,'Poids des runes'!A:B,2,FALSE))</f>
        <v>24.939999999999998</v>
      </c>
      <c r="F13105">
        <f t="shared" si="204"/>
        <v>24.939999999999998</v>
      </c>
    </row>
    <row r="13106" spans="1:6" x14ac:dyDescent="0.3">
      <c r="A13106" t="s">
        <v>2067</v>
      </c>
      <c r="B13106" t="s">
        <v>2156</v>
      </c>
      <c r="C13106">
        <v>6</v>
      </c>
      <c r="D13106">
        <v>188</v>
      </c>
      <c r="E13106">
        <f>IF(OR(B13106="vi",B13106="ii",B13106="pod"),(((D13106/100)*(C13106*VLOOKUP(B13106,'Poids des runes'!A:B,2,FALSE)))+1),(((D13106/100)*(C13106*VLOOKUP(B13106,'Poids des runes'!A:B,2,FALSE)))+1)/VLOOKUP(B13106,'Poids des runes'!A:B,2,FALSE))</f>
        <v>11.446666666666665</v>
      </c>
      <c r="F13106">
        <f t="shared" si="204"/>
        <v>11.446666666666665</v>
      </c>
    </row>
    <row r="13107" spans="1:6" x14ac:dyDescent="0.3">
      <c r="A13107" t="s">
        <v>2068</v>
      </c>
      <c r="B13107" t="s">
        <v>2128</v>
      </c>
      <c r="C13107">
        <v>225.5</v>
      </c>
      <c r="D13107">
        <v>188</v>
      </c>
      <c r="E13107">
        <f>IF(OR(B13107="vi",B13107="ii",B13107="pod"),(((D13107/100)*(C13107*VLOOKUP(B13107,'Poids des runes'!A:B,2,FALSE)))+1),(((D13107/100)*(C13107*VLOOKUP(B13107,'Poids des runes'!A:B,2,FALSE)))+1)/VLOOKUP(B13107,'Poids des runes'!A:B,2,FALSE))</f>
        <v>85.787999999999997</v>
      </c>
      <c r="F13107">
        <f t="shared" si="204"/>
        <v>85.787999999999997</v>
      </c>
    </row>
    <row r="13108" spans="1:6" x14ac:dyDescent="0.3">
      <c r="A13108" t="s">
        <v>2068</v>
      </c>
      <c r="B13108" t="s">
        <v>2131</v>
      </c>
      <c r="C13108">
        <v>40.5</v>
      </c>
      <c r="D13108">
        <v>188</v>
      </c>
      <c r="E13108">
        <f>IF(OR(B13108="vi",B13108="ii",B13108="pod"),(((D13108/100)*(C13108*VLOOKUP(B13108,'Poids des runes'!A:B,2,FALSE)))+1),(((D13108/100)*(C13108*VLOOKUP(B13108,'Poids des runes'!A:B,2,FALSE)))+1)/VLOOKUP(B13108,'Poids des runes'!A:B,2,FALSE))</f>
        <v>77.14</v>
      </c>
      <c r="F13108">
        <f t="shared" si="204"/>
        <v>77.14</v>
      </c>
    </row>
    <row r="13109" spans="1:6" x14ac:dyDescent="0.3">
      <c r="A13109" t="s">
        <v>2068</v>
      </c>
      <c r="B13109" t="s">
        <v>2127</v>
      </c>
      <c r="C13109">
        <v>40.5</v>
      </c>
      <c r="D13109">
        <v>188</v>
      </c>
      <c r="E13109">
        <f>IF(OR(B13109="vi",B13109="ii",B13109="pod"),(((D13109/100)*(C13109*VLOOKUP(B13109,'Poids des runes'!A:B,2,FALSE)))+1),(((D13109/100)*(C13109*VLOOKUP(B13109,'Poids des runes'!A:B,2,FALSE)))+1)/VLOOKUP(B13109,'Poids des runes'!A:B,2,FALSE))</f>
        <v>77.14</v>
      </c>
      <c r="F13109">
        <f t="shared" si="204"/>
        <v>77.14</v>
      </c>
    </row>
    <row r="13110" spans="1:6" x14ac:dyDescent="0.3">
      <c r="A13110" t="s">
        <v>2068</v>
      </c>
      <c r="B13110" t="s">
        <v>2129</v>
      </c>
      <c r="C13110">
        <v>35.5</v>
      </c>
      <c r="D13110">
        <v>188</v>
      </c>
      <c r="E13110">
        <f>IF(OR(B13110="vi",B13110="ii",B13110="pod"),(((D13110/100)*(C13110*VLOOKUP(B13110,'Poids des runes'!A:B,2,FALSE)))+1),(((D13110/100)*(C13110*VLOOKUP(B13110,'Poids des runes'!A:B,2,FALSE)))+1)/VLOOKUP(B13110,'Poids des runes'!A:B,2,FALSE))</f>
        <v>67.739999999999995</v>
      </c>
      <c r="F13110">
        <f t="shared" si="204"/>
        <v>67.739999999999995</v>
      </c>
    </row>
    <row r="13111" spans="1:6" x14ac:dyDescent="0.3">
      <c r="A13111" t="s">
        <v>2068</v>
      </c>
      <c r="B13111" t="s">
        <v>2151</v>
      </c>
      <c r="C13111">
        <v>2.5</v>
      </c>
      <c r="D13111">
        <v>188</v>
      </c>
      <c r="E13111">
        <f>IF(OR(B13111="vi",B13111="ii",B13111="pod"),(((D13111/100)*(C13111*VLOOKUP(B13111,'Poids des runes'!A:B,2,FALSE)))+1),(((D13111/100)*(C13111*VLOOKUP(B13111,'Poids des runes'!A:B,2,FALSE)))+1)/VLOOKUP(B13111,'Poids des runes'!A:B,2,FALSE))</f>
        <v>4.8</v>
      </c>
      <c r="F13111">
        <f t="shared" si="204"/>
        <v>4.8</v>
      </c>
    </row>
    <row r="13112" spans="1:6" x14ac:dyDescent="0.3">
      <c r="A13112" t="s">
        <v>2068</v>
      </c>
      <c r="B13112" t="s">
        <v>2150</v>
      </c>
      <c r="C13112">
        <v>1</v>
      </c>
      <c r="D13112">
        <v>188</v>
      </c>
      <c r="E13112">
        <f>IF(OR(B13112="vi",B13112="ii",B13112="pod"),(((D13112/100)*(C13112*VLOOKUP(B13112,'Poids des runes'!A:B,2,FALSE)))+1),(((D13112/100)*(C13112*VLOOKUP(B13112,'Poids des runes'!A:B,2,FALSE)))+1)/VLOOKUP(B13112,'Poids des runes'!A:B,2,FALSE))</f>
        <v>1.9133333333333333</v>
      </c>
      <c r="F13112">
        <f t="shared" si="204"/>
        <v>1.9133333333333333</v>
      </c>
    </row>
    <row r="13113" spans="1:6" x14ac:dyDescent="0.3">
      <c r="A13113" t="s">
        <v>2068</v>
      </c>
      <c r="B13113" t="s">
        <v>2133</v>
      </c>
      <c r="C13113">
        <v>10.5</v>
      </c>
      <c r="D13113">
        <v>188</v>
      </c>
      <c r="E13113">
        <f>IF(OR(B13113="vi",B13113="ii",B13113="pod"),(((D13113/100)*(C13113*VLOOKUP(B13113,'Poids des runes'!A:B,2,FALSE)))+1),(((D13113/100)*(C13113*VLOOKUP(B13113,'Poids des runes'!A:B,2,FALSE)))+1)/VLOOKUP(B13113,'Poids des runes'!A:B,2,FALSE))</f>
        <v>19.939999999999998</v>
      </c>
      <c r="F13113">
        <f t="shared" si="204"/>
        <v>19.939999999999998</v>
      </c>
    </row>
    <row r="13114" spans="1:6" x14ac:dyDescent="0.3">
      <c r="A13114" t="s">
        <v>2068</v>
      </c>
      <c r="B13114" t="s">
        <v>2153</v>
      </c>
      <c r="C13114">
        <v>10.5</v>
      </c>
      <c r="D13114">
        <v>188</v>
      </c>
      <c r="E13114">
        <f>IF(OR(B13114="vi",B13114="ii",B13114="pod"),(((D13114/100)*(C13114*VLOOKUP(B13114,'Poids des runes'!A:B,2,FALSE)))+1),(((D13114/100)*(C13114*VLOOKUP(B13114,'Poids des runes'!A:B,2,FALSE)))+1)/VLOOKUP(B13114,'Poids des runes'!A:B,2,FALSE))</f>
        <v>19.939999999999998</v>
      </c>
      <c r="F13114">
        <f t="shared" si="204"/>
        <v>19.939999999999998</v>
      </c>
    </row>
    <row r="13115" spans="1:6" x14ac:dyDescent="0.3">
      <c r="A13115" t="s">
        <v>2068</v>
      </c>
      <c r="B13115" t="s">
        <v>2161</v>
      </c>
      <c r="C13115">
        <v>25.5</v>
      </c>
      <c r="D13115">
        <v>188</v>
      </c>
      <c r="E13115">
        <f>IF(OR(B13115="vi",B13115="ii",B13115="pod"),(((D13115/100)*(C13115*VLOOKUP(B13115,'Poids des runes'!A:B,2,FALSE)))+1),(((D13115/100)*(C13115*VLOOKUP(B13115,'Poids des runes'!A:B,2,FALSE)))+1)/VLOOKUP(B13115,'Poids des runes'!A:B,2,FALSE))</f>
        <v>48.273333333333333</v>
      </c>
      <c r="F13115">
        <f t="shared" si="204"/>
        <v>48.273333333333333</v>
      </c>
    </row>
    <row r="13116" spans="1:6" x14ac:dyDescent="0.3">
      <c r="A13116" t="s">
        <v>2068</v>
      </c>
      <c r="B13116" t="s">
        <v>2132</v>
      </c>
      <c r="C13116">
        <v>350.5</v>
      </c>
      <c r="D13116">
        <v>188</v>
      </c>
      <c r="E13116">
        <f>IF(OR(B13116="vi",B13116="ii",B13116="pod"),(((D13116/100)*(C13116*VLOOKUP(B13116,'Poids des runes'!A:B,2,FALSE)))+1),(((D13116/100)*(C13116*VLOOKUP(B13116,'Poids des runes'!A:B,2,FALSE)))+1)/VLOOKUP(B13116,'Poids des runes'!A:B,2,FALSE))</f>
        <v>66.894000000000005</v>
      </c>
      <c r="F13116">
        <f t="shared" si="204"/>
        <v>66.894000000000005</v>
      </c>
    </row>
    <row r="13117" spans="1:6" x14ac:dyDescent="0.3">
      <c r="A13117" t="s">
        <v>2068</v>
      </c>
      <c r="B13117" t="s">
        <v>2159</v>
      </c>
      <c r="C13117">
        <v>4.5</v>
      </c>
      <c r="D13117">
        <v>188</v>
      </c>
      <c r="E13117">
        <f>IF(OR(B13117="vi",B13117="ii",B13117="pod"),(((D13117/100)*(C13117*VLOOKUP(B13117,'Poids des runes'!A:B,2,FALSE)))+1),(((D13117/100)*(C13117*VLOOKUP(B13117,'Poids des runes'!A:B,2,FALSE)))+1)/VLOOKUP(B13117,'Poids des runes'!A:B,2,FALSE))</f>
        <v>8.6028571428571432</v>
      </c>
      <c r="F13117">
        <f t="shared" si="204"/>
        <v>8.6028571428571432</v>
      </c>
    </row>
    <row r="13118" spans="1:6" x14ac:dyDescent="0.3">
      <c r="A13118" t="s">
        <v>2068</v>
      </c>
      <c r="B13118" t="s">
        <v>2163</v>
      </c>
      <c r="C13118">
        <v>8.5</v>
      </c>
      <c r="D13118">
        <v>188</v>
      </c>
      <c r="E13118">
        <f>IF(OR(B13118="vi",B13118="ii",B13118="pod"),(((D13118/100)*(C13118*VLOOKUP(B13118,'Poids des runes'!A:B,2,FALSE)))+1),(((D13118/100)*(C13118*VLOOKUP(B13118,'Poids des runes'!A:B,2,FALSE)))+1)/VLOOKUP(B13118,'Poids des runes'!A:B,2,FALSE))</f>
        <v>16.479999999999997</v>
      </c>
      <c r="F13118">
        <f t="shared" si="204"/>
        <v>16.479999999999997</v>
      </c>
    </row>
    <row r="13119" spans="1:6" x14ac:dyDescent="0.3">
      <c r="A13119" t="s">
        <v>2068</v>
      </c>
      <c r="B13119" t="s">
        <v>2147</v>
      </c>
      <c r="C13119">
        <v>4.5</v>
      </c>
      <c r="D13119">
        <v>188</v>
      </c>
      <c r="E13119">
        <f>IF(OR(B13119="vi",B13119="ii",B13119="pod"),(((D13119/100)*(C13119*VLOOKUP(B13119,'Poids des runes'!A:B,2,FALSE)))+1),(((D13119/100)*(C13119*VLOOKUP(B13119,'Poids des runes'!A:B,2,FALSE)))+1)/VLOOKUP(B13119,'Poids des runes'!A:B,2,FALSE))</f>
        <v>8.6266666666666669</v>
      </c>
      <c r="F13119">
        <f t="shared" si="204"/>
        <v>8.6266666666666669</v>
      </c>
    </row>
    <row r="13120" spans="1:6" x14ac:dyDescent="0.3">
      <c r="A13120" t="s">
        <v>2068</v>
      </c>
      <c r="B13120" t="s">
        <v>2137</v>
      </c>
      <c r="C13120">
        <v>13</v>
      </c>
      <c r="D13120">
        <v>188</v>
      </c>
      <c r="E13120">
        <f>IF(OR(B13120="vi",B13120="ii",B13120="pod"),(((D13120/100)*(C13120*VLOOKUP(B13120,'Poids des runes'!A:B,2,FALSE)))+1),(((D13120/100)*(C13120*VLOOKUP(B13120,'Poids des runes'!A:B,2,FALSE)))+1)/VLOOKUP(B13120,'Poids des runes'!A:B,2,FALSE))</f>
        <v>24.939999999999998</v>
      </c>
      <c r="F13120">
        <f t="shared" si="204"/>
        <v>24.939999999999998</v>
      </c>
    </row>
    <row r="13121" spans="1:6" x14ac:dyDescent="0.3">
      <c r="A13121" t="s">
        <v>2068</v>
      </c>
      <c r="B13121" t="s">
        <v>2144</v>
      </c>
      <c r="C13121">
        <v>8</v>
      </c>
      <c r="D13121">
        <v>188</v>
      </c>
      <c r="E13121">
        <f>IF(OR(B13121="vi",B13121="ii",B13121="pod"),(((D13121/100)*(C13121*VLOOKUP(B13121,'Poids des runes'!A:B,2,FALSE)))+1),(((D13121/100)*(C13121*VLOOKUP(B13121,'Poids des runes'!A:B,2,FALSE)))+1)/VLOOKUP(B13121,'Poids des runes'!A:B,2,FALSE))</f>
        <v>15.54</v>
      </c>
      <c r="F13121">
        <f t="shared" si="204"/>
        <v>15.54</v>
      </c>
    </row>
    <row r="13122" spans="1:6" x14ac:dyDescent="0.3">
      <c r="A13122" t="s">
        <v>2069</v>
      </c>
      <c r="B13122" t="s">
        <v>2128</v>
      </c>
      <c r="C13122">
        <v>275.5</v>
      </c>
      <c r="D13122">
        <v>190</v>
      </c>
      <c r="E13122">
        <f>IF(OR(B13122="vi",B13122="ii",B13122="pod"),(((D13122/100)*(C13122*VLOOKUP(B13122,'Poids des runes'!A:B,2,FALSE)))+1),(((D13122/100)*(C13122*VLOOKUP(B13122,'Poids des runes'!A:B,2,FALSE)))+1)/VLOOKUP(B13122,'Poids des runes'!A:B,2,FALSE))</f>
        <v>105.69</v>
      </c>
      <c r="F13122">
        <f t="shared" si="204"/>
        <v>105.69</v>
      </c>
    </row>
    <row r="13123" spans="1:6" x14ac:dyDescent="0.3">
      <c r="A13123" t="s">
        <v>2069</v>
      </c>
      <c r="B13123" t="s">
        <v>2130</v>
      </c>
      <c r="C13123">
        <v>40.5</v>
      </c>
      <c r="D13123">
        <v>190</v>
      </c>
      <c r="E13123">
        <f>IF(OR(B13123="vi",B13123="ii",B13123="pod"),(((D13123/100)*(C13123*VLOOKUP(B13123,'Poids des runes'!A:B,2,FALSE)))+1),(((D13123/100)*(C13123*VLOOKUP(B13123,'Poids des runes'!A:B,2,FALSE)))+1)/VLOOKUP(B13123,'Poids des runes'!A:B,2,FALSE))</f>
        <v>77.95</v>
      </c>
      <c r="F13123">
        <f t="shared" ref="F13123:F13186" si="205">E13123</f>
        <v>77.95</v>
      </c>
    </row>
    <row r="13124" spans="1:6" x14ac:dyDescent="0.3">
      <c r="A13124" t="s">
        <v>2069</v>
      </c>
      <c r="B13124" t="s">
        <v>2126</v>
      </c>
      <c r="C13124">
        <v>40.5</v>
      </c>
      <c r="D13124">
        <v>190</v>
      </c>
      <c r="E13124">
        <f>IF(OR(B13124="vi",B13124="ii",B13124="pod"),(((D13124/100)*(C13124*VLOOKUP(B13124,'Poids des runes'!A:B,2,FALSE)))+1),(((D13124/100)*(C13124*VLOOKUP(B13124,'Poids des runes'!A:B,2,FALSE)))+1)/VLOOKUP(B13124,'Poids des runes'!A:B,2,FALSE))</f>
        <v>77.95</v>
      </c>
      <c r="F13124">
        <f t="shared" si="205"/>
        <v>77.95</v>
      </c>
    </row>
    <row r="13125" spans="1:6" x14ac:dyDescent="0.3">
      <c r="A13125" t="s">
        <v>2069</v>
      </c>
      <c r="B13125" t="s">
        <v>2129</v>
      </c>
      <c r="C13125">
        <v>25.5</v>
      </c>
      <c r="D13125">
        <v>190</v>
      </c>
      <c r="E13125">
        <f>IF(OR(B13125="vi",B13125="ii",B13125="pod"),(((D13125/100)*(C13125*VLOOKUP(B13125,'Poids des runes'!A:B,2,FALSE)))+1),(((D13125/100)*(C13125*VLOOKUP(B13125,'Poids des runes'!A:B,2,FALSE)))+1)/VLOOKUP(B13125,'Poids des runes'!A:B,2,FALSE))</f>
        <v>49.449999999999996</v>
      </c>
      <c r="F13125">
        <f t="shared" si="205"/>
        <v>49.449999999999996</v>
      </c>
    </row>
    <row r="13126" spans="1:6" x14ac:dyDescent="0.3">
      <c r="A13126" t="s">
        <v>2069</v>
      </c>
      <c r="B13126" t="s">
        <v>2139</v>
      </c>
      <c r="C13126">
        <v>25.5</v>
      </c>
      <c r="D13126">
        <v>190</v>
      </c>
      <c r="E13126">
        <f>IF(OR(B13126="vi",B13126="ii",B13126="pod"),(((D13126/100)*(C13126*VLOOKUP(B13126,'Poids des runes'!A:B,2,FALSE)))+1),(((D13126/100)*(C13126*VLOOKUP(B13126,'Poids des runes'!A:B,2,FALSE)))+1)/VLOOKUP(B13126,'Poids des runes'!A:B,2,FALSE))</f>
        <v>48.949999999999996</v>
      </c>
      <c r="F13126">
        <f t="shared" si="205"/>
        <v>48.949999999999996</v>
      </c>
    </row>
    <row r="13127" spans="1:6" x14ac:dyDescent="0.3">
      <c r="A13127" t="s">
        <v>2069</v>
      </c>
      <c r="B13127" t="s">
        <v>2151</v>
      </c>
      <c r="C13127">
        <v>3.5</v>
      </c>
      <c r="D13127">
        <v>190</v>
      </c>
      <c r="E13127">
        <f>IF(OR(B13127="vi",B13127="ii",B13127="pod"),(((D13127/100)*(C13127*VLOOKUP(B13127,'Poids des runes'!A:B,2,FALSE)))+1),(((D13127/100)*(C13127*VLOOKUP(B13127,'Poids des runes'!A:B,2,FALSE)))+1)/VLOOKUP(B13127,'Poids des runes'!A:B,2,FALSE))</f>
        <v>6.75</v>
      </c>
      <c r="F13127">
        <f t="shared" si="205"/>
        <v>6.75</v>
      </c>
    </row>
    <row r="13128" spans="1:6" x14ac:dyDescent="0.3">
      <c r="A13128" t="s">
        <v>2069</v>
      </c>
      <c r="B13128" t="s">
        <v>2150</v>
      </c>
      <c r="C13128">
        <v>1.5</v>
      </c>
      <c r="D13128">
        <v>190</v>
      </c>
      <c r="E13128">
        <f>IF(OR(B13128="vi",B13128="ii",B13128="pod"),(((D13128/100)*(C13128*VLOOKUP(B13128,'Poids des runes'!A:B,2,FALSE)))+1),(((D13128/100)*(C13128*VLOOKUP(B13128,'Poids des runes'!A:B,2,FALSE)))+1)/VLOOKUP(B13128,'Poids des runes'!A:B,2,FALSE))</f>
        <v>2.8833333333333333</v>
      </c>
      <c r="F13128">
        <f t="shared" si="205"/>
        <v>2.8833333333333333</v>
      </c>
    </row>
    <row r="13129" spans="1:6" x14ac:dyDescent="0.3">
      <c r="A13129" t="s">
        <v>2069</v>
      </c>
      <c r="B13129" t="s">
        <v>2161</v>
      </c>
      <c r="C13129">
        <v>8.5</v>
      </c>
      <c r="D13129">
        <v>190</v>
      </c>
      <c r="E13129">
        <f>IF(OR(B13129="vi",B13129="ii",B13129="pod"),(((D13129/100)*(C13129*VLOOKUP(B13129,'Poids des runes'!A:B,2,FALSE)))+1),(((D13129/100)*(C13129*VLOOKUP(B13129,'Poids des runes'!A:B,2,FALSE)))+1)/VLOOKUP(B13129,'Poids des runes'!A:B,2,FALSE))</f>
        <v>16.483333333333331</v>
      </c>
      <c r="F13129">
        <f t="shared" si="205"/>
        <v>16.483333333333331</v>
      </c>
    </row>
    <row r="13130" spans="1:6" x14ac:dyDescent="0.3">
      <c r="A13130" t="s">
        <v>2069</v>
      </c>
      <c r="B13130" t="s">
        <v>2165</v>
      </c>
      <c r="C13130">
        <v>6</v>
      </c>
      <c r="D13130">
        <v>190</v>
      </c>
      <c r="E13130">
        <f>IF(OR(B13130="vi",B13130="ii",B13130="pod"),(((D13130/100)*(C13130*VLOOKUP(B13130,'Poids des runes'!A:B,2,FALSE)))+1),(((D13130/100)*(C13130*VLOOKUP(B13130,'Poids des runes'!A:B,2,FALSE)))+1)/VLOOKUP(B13130,'Poids des runes'!A:B,2,FALSE))</f>
        <v>11.542857142857143</v>
      </c>
      <c r="F13130">
        <f t="shared" si="205"/>
        <v>11.542857142857143</v>
      </c>
    </row>
    <row r="13131" spans="1:6" x14ac:dyDescent="0.3">
      <c r="A13131" t="s">
        <v>2069</v>
      </c>
      <c r="B13131" t="s">
        <v>2156</v>
      </c>
      <c r="C13131">
        <v>3.5</v>
      </c>
      <c r="D13131">
        <v>190</v>
      </c>
      <c r="E13131">
        <f>IF(OR(B13131="vi",B13131="ii",B13131="pod"),(((D13131/100)*(C13131*VLOOKUP(B13131,'Poids des runes'!A:B,2,FALSE)))+1),(((D13131/100)*(C13131*VLOOKUP(B13131,'Poids des runes'!A:B,2,FALSE)))+1)/VLOOKUP(B13131,'Poids des runes'!A:B,2,FALSE))</f>
        <v>6.8166666666666664</v>
      </c>
      <c r="F13131">
        <f t="shared" si="205"/>
        <v>6.8166666666666664</v>
      </c>
    </row>
    <row r="13132" spans="1:6" x14ac:dyDescent="0.3">
      <c r="A13132" t="s">
        <v>2069</v>
      </c>
      <c r="B13132" t="s">
        <v>2147</v>
      </c>
      <c r="C13132">
        <v>5</v>
      </c>
      <c r="D13132">
        <v>190</v>
      </c>
      <c r="E13132">
        <f>IF(OR(B13132="vi",B13132="ii",B13132="pod"),(((D13132/100)*(C13132*VLOOKUP(B13132,'Poids des runes'!A:B,2,FALSE)))+1),(((D13132/100)*(C13132*VLOOKUP(B13132,'Poids des runes'!A:B,2,FALSE)))+1)/VLOOKUP(B13132,'Poids des runes'!A:B,2,FALSE))</f>
        <v>9.6666666666666661</v>
      </c>
      <c r="F13132">
        <f t="shared" si="205"/>
        <v>9.6666666666666661</v>
      </c>
    </row>
    <row r="13133" spans="1:6" x14ac:dyDescent="0.3">
      <c r="A13133" t="s">
        <v>2069</v>
      </c>
      <c r="B13133" t="s">
        <v>2157</v>
      </c>
      <c r="C13133">
        <v>5</v>
      </c>
      <c r="D13133">
        <v>190</v>
      </c>
      <c r="E13133">
        <f>IF(OR(B13133="vi",B13133="ii",B13133="pod"),(((D13133/100)*(C13133*VLOOKUP(B13133,'Poids des runes'!A:B,2,FALSE)))+1),(((D13133/100)*(C13133*VLOOKUP(B13133,'Poids des runes'!A:B,2,FALSE)))+1)/VLOOKUP(B13133,'Poids des runes'!A:B,2,FALSE))</f>
        <v>9.6666666666666661</v>
      </c>
      <c r="F13133">
        <f t="shared" si="205"/>
        <v>9.6666666666666661</v>
      </c>
    </row>
    <row r="13134" spans="1:6" x14ac:dyDescent="0.3">
      <c r="A13134" t="s">
        <v>2069</v>
      </c>
      <c r="B13134" t="s">
        <v>2136</v>
      </c>
      <c r="C13134">
        <v>4.5</v>
      </c>
      <c r="D13134">
        <v>190</v>
      </c>
      <c r="E13134">
        <f>IF(OR(B13134="vi",B13134="ii",B13134="pod"),(((D13134/100)*(C13134*VLOOKUP(B13134,'Poids des runes'!A:B,2,FALSE)))+1),(((D13134/100)*(C13134*VLOOKUP(B13134,'Poids des runes'!A:B,2,FALSE)))+1)/VLOOKUP(B13134,'Poids des runes'!A:B,2,FALSE))</f>
        <v>9.0499999999999989</v>
      </c>
      <c r="F13134">
        <f t="shared" si="205"/>
        <v>9.0499999999999989</v>
      </c>
    </row>
    <row r="13135" spans="1:6" x14ac:dyDescent="0.3">
      <c r="A13135" t="s">
        <v>2069</v>
      </c>
      <c r="B13135" t="s">
        <v>2137</v>
      </c>
      <c r="C13135">
        <v>4.5</v>
      </c>
      <c r="D13135">
        <v>190</v>
      </c>
      <c r="E13135">
        <f>IF(OR(B13135="vi",B13135="ii",B13135="pod"),(((D13135/100)*(C13135*VLOOKUP(B13135,'Poids des runes'!A:B,2,FALSE)))+1),(((D13135/100)*(C13135*VLOOKUP(B13135,'Poids des runes'!A:B,2,FALSE)))+1)/VLOOKUP(B13135,'Poids des runes'!A:B,2,FALSE))</f>
        <v>9.0499999999999989</v>
      </c>
      <c r="F13135">
        <f t="shared" si="205"/>
        <v>9.0499999999999989</v>
      </c>
    </row>
    <row r="13136" spans="1:6" x14ac:dyDescent="0.3">
      <c r="A13136" t="s">
        <v>2069</v>
      </c>
      <c r="B13136" t="s">
        <v>2145</v>
      </c>
      <c r="C13136">
        <v>4.5</v>
      </c>
      <c r="D13136">
        <v>190</v>
      </c>
      <c r="E13136">
        <f>IF(OR(B13136="vi",B13136="ii",B13136="pod"),(((D13136/100)*(C13136*VLOOKUP(B13136,'Poids des runes'!A:B,2,FALSE)))+1),(((D13136/100)*(C13136*VLOOKUP(B13136,'Poids des runes'!A:B,2,FALSE)))+1)/VLOOKUP(B13136,'Poids des runes'!A:B,2,FALSE))</f>
        <v>9.0499999999999989</v>
      </c>
      <c r="F13136">
        <f t="shared" si="205"/>
        <v>9.0499999999999989</v>
      </c>
    </row>
    <row r="13137" spans="1:6" x14ac:dyDescent="0.3">
      <c r="A13137" t="s">
        <v>2070</v>
      </c>
      <c r="B13137" t="s">
        <v>2128</v>
      </c>
      <c r="C13137">
        <v>225.5</v>
      </c>
      <c r="D13137">
        <v>191</v>
      </c>
      <c r="E13137">
        <f>IF(OR(B13137="vi",B13137="ii",B13137="pod"),(((D13137/100)*(C13137*VLOOKUP(B13137,'Poids des runes'!A:B,2,FALSE)))+1),(((D13137/100)*(C13137*VLOOKUP(B13137,'Poids des runes'!A:B,2,FALSE)))+1)/VLOOKUP(B13137,'Poids des runes'!A:B,2,FALSE))</f>
        <v>87.141000000000005</v>
      </c>
      <c r="F13137">
        <f t="shared" si="205"/>
        <v>87.141000000000005</v>
      </c>
    </row>
    <row r="13138" spans="1:6" x14ac:dyDescent="0.3">
      <c r="A13138" t="s">
        <v>2070</v>
      </c>
      <c r="B13138" t="s">
        <v>2130</v>
      </c>
      <c r="C13138">
        <v>40.5</v>
      </c>
      <c r="D13138">
        <v>191</v>
      </c>
      <c r="E13138">
        <f>IF(OR(B13138="vi",B13138="ii",B13138="pod"),(((D13138/100)*(C13138*VLOOKUP(B13138,'Poids des runes'!A:B,2,FALSE)))+1),(((D13138/100)*(C13138*VLOOKUP(B13138,'Poids des runes'!A:B,2,FALSE)))+1)/VLOOKUP(B13138,'Poids des runes'!A:B,2,FALSE))</f>
        <v>78.35499999999999</v>
      </c>
      <c r="F13138">
        <f t="shared" si="205"/>
        <v>78.35499999999999</v>
      </c>
    </row>
    <row r="13139" spans="1:6" x14ac:dyDescent="0.3">
      <c r="A13139" t="s">
        <v>2070</v>
      </c>
      <c r="B13139" t="s">
        <v>2126</v>
      </c>
      <c r="C13139">
        <v>40.5</v>
      </c>
      <c r="D13139">
        <v>191</v>
      </c>
      <c r="E13139">
        <f>IF(OR(B13139="vi",B13139="ii",B13139="pod"),(((D13139/100)*(C13139*VLOOKUP(B13139,'Poids des runes'!A:B,2,FALSE)))+1),(((D13139/100)*(C13139*VLOOKUP(B13139,'Poids des runes'!A:B,2,FALSE)))+1)/VLOOKUP(B13139,'Poids des runes'!A:B,2,FALSE))</f>
        <v>78.35499999999999</v>
      </c>
      <c r="F13139">
        <f t="shared" si="205"/>
        <v>78.35499999999999</v>
      </c>
    </row>
    <row r="13140" spans="1:6" x14ac:dyDescent="0.3">
      <c r="A13140" t="s">
        <v>2070</v>
      </c>
      <c r="B13140" t="s">
        <v>2131</v>
      </c>
      <c r="C13140">
        <v>40.5</v>
      </c>
      <c r="D13140">
        <v>191</v>
      </c>
      <c r="E13140">
        <f>IF(OR(B13140="vi",B13140="ii",B13140="pod"),(((D13140/100)*(C13140*VLOOKUP(B13140,'Poids des runes'!A:B,2,FALSE)))+1),(((D13140/100)*(C13140*VLOOKUP(B13140,'Poids des runes'!A:B,2,FALSE)))+1)/VLOOKUP(B13140,'Poids des runes'!A:B,2,FALSE))</f>
        <v>78.35499999999999</v>
      </c>
      <c r="F13140">
        <f t="shared" si="205"/>
        <v>78.35499999999999</v>
      </c>
    </row>
    <row r="13141" spans="1:6" x14ac:dyDescent="0.3">
      <c r="A13141" t="s">
        <v>2070</v>
      </c>
      <c r="B13141" t="s">
        <v>2129</v>
      </c>
      <c r="C13141">
        <v>25.5</v>
      </c>
      <c r="D13141">
        <v>191</v>
      </c>
      <c r="E13141">
        <f>IF(OR(B13141="vi",B13141="ii",B13141="pod"),(((D13141/100)*(C13141*VLOOKUP(B13141,'Poids des runes'!A:B,2,FALSE)))+1),(((D13141/100)*(C13141*VLOOKUP(B13141,'Poids des runes'!A:B,2,FALSE)))+1)/VLOOKUP(B13141,'Poids des runes'!A:B,2,FALSE))</f>
        <v>49.704999999999998</v>
      </c>
      <c r="F13141">
        <f t="shared" si="205"/>
        <v>49.704999999999998</v>
      </c>
    </row>
    <row r="13142" spans="1:6" x14ac:dyDescent="0.3">
      <c r="A13142" t="s">
        <v>2070</v>
      </c>
      <c r="B13142" t="s">
        <v>2150</v>
      </c>
      <c r="C13142">
        <v>1.5</v>
      </c>
      <c r="D13142">
        <v>191</v>
      </c>
      <c r="E13142">
        <f>IF(OR(B13142="vi",B13142="ii",B13142="pod"),(((D13142/100)*(C13142*VLOOKUP(B13142,'Poids des runes'!A:B,2,FALSE)))+1),(((D13142/100)*(C13142*VLOOKUP(B13142,'Poids des runes'!A:B,2,FALSE)))+1)/VLOOKUP(B13142,'Poids des runes'!A:B,2,FALSE))</f>
        <v>2.8983333333333334</v>
      </c>
      <c r="F13142">
        <f t="shared" si="205"/>
        <v>2.8983333333333334</v>
      </c>
    </row>
    <row r="13143" spans="1:6" x14ac:dyDescent="0.3">
      <c r="A13143" t="s">
        <v>2070</v>
      </c>
      <c r="B13143" t="s">
        <v>2134</v>
      </c>
      <c r="C13143">
        <v>8.5</v>
      </c>
      <c r="D13143">
        <v>191</v>
      </c>
      <c r="E13143">
        <f>IF(OR(B13143="vi",B13143="ii",B13143="pod"),(((D13143/100)*(C13143*VLOOKUP(B13143,'Poids des runes'!A:B,2,FALSE)))+1),(((D13143/100)*(C13143*VLOOKUP(B13143,'Poids des runes'!A:B,2,FALSE)))+1)/VLOOKUP(B13143,'Poids des runes'!A:B,2,FALSE))</f>
        <v>16.285</v>
      </c>
      <c r="F13143">
        <f t="shared" si="205"/>
        <v>16.285</v>
      </c>
    </row>
    <row r="13144" spans="1:6" x14ac:dyDescent="0.3">
      <c r="A13144" t="s">
        <v>2070</v>
      </c>
      <c r="B13144" t="s">
        <v>2161</v>
      </c>
      <c r="C13144">
        <v>13</v>
      </c>
      <c r="D13144">
        <v>191</v>
      </c>
      <c r="E13144">
        <f>IF(OR(B13144="vi",B13144="ii",B13144="pod"),(((D13144/100)*(C13144*VLOOKUP(B13144,'Poids des runes'!A:B,2,FALSE)))+1),(((D13144/100)*(C13144*VLOOKUP(B13144,'Poids des runes'!A:B,2,FALSE)))+1)/VLOOKUP(B13144,'Poids des runes'!A:B,2,FALSE))</f>
        <v>25.16333333333333</v>
      </c>
      <c r="F13144">
        <f t="shared" si="205"/>
        <v>25.16333333333333</v>
      </c>
    </row>
    <row r="13145" spans="1:6" x14ac:dyDescent="0.3">
      <c r="A13145" t="s">
        <v>2070</v>
      </c>
      <c r="B13145" t="s">
        <v>2132</v>
      </c>
      <c r="C13145">
        <v>350.5</v>
      </c>
      <c r="D13145">
        <v>191</v>
      </c>
      <c r="E13145">
        <f>IF(OR(B13145="vi",B13145="ii",B13145="pod"),(((D13145/100)*(C13145*VLOOKUP(B13145,'Poids des runes'!A:B,2,FALSE)))+1),(((D13145/100)*(C13145*VLOOKUP(B13145,'Poids des runes'!A:B,2,FALSE)))+1)/VLOOKUP(B13145,'Poids des runes'!A:B,2,FALSE))</f>
        <v>67.94550000000001</v>
      </c>
      <c r="F13145">
        <f t="shared" si="205"/>
        <v>67.94550000000001</v>
      </c>
    </row>
    <row r="13146" spans="1:6" x14ac:dyDescent="0.3">
      <c r="A13146" t="s">
        <v>2070</v>
      </c>
      <c r="B13146" t="s">
        <v>2138</v>
      </c>
      <c r="C13146">
        <v>6.5</v>
      </c>
      <c r="D13146">
        <v>191</v>
      </c>
      <c r="E13146">
        <f>IF(OR(B13146="vi",B13146="ii",B13146="pod"),(((D13146/100)*(C13146*VLOOKUP(B13146,'Poids des runes'!A:B,2,FALSE)))+1),(((D13146/100)*(C13146*VLOOKUP(B13146,'Poids des runes'!A:B,2,FALSE)))+1)/VLOOKUP(B13146,'Poids des runes'!A:B,2,FALSE))</f>
        <v>12.664999999999999</v>
      </c>
      <c r="F13146">
        <f t="shared" si="205"/>
        <v>12.664999999999999</v>
      </c>
    </row>
    <row r="13147" spans="1:6" x14ac:dyDescent="0.3">
      <c r="A13147" t="s">
        <v>2070</v>
      </c>
      <c r="B13147" t="s">
        <v>2156</v>
      </c>
      <c r="C13147">
        <v>8</v>
      </c>
      <c r="D13147">
        <v>191</v>
      </c>
      <c r="E13147">
        <f>IF(OR(B13147="vi",B13147="ii",B13147="pod"),(((D13147/100)*(C13147*VLOOKUP(B13147,'Poids des runes'!A:B,2,FALSE)))+1),(((D13147/100)*(C13147*VLOOKUP(B13147,'Poids des runes'!A:B,2,FALSE)))+1)/VLOOKUP(B13147,'Poids des runes'!A:B,2,FALSE))</f>
        <v>15.446666666666665</v>
      </c>
      <c r="F13147">
        <f t="shared" si="205"/>
        <v>15.446666666666665</v>
      </c>
    </row>
    <row r="13148" spans="1:6" x14ac:dyDescent="0.3">
      <c r="A13148" t="s">
        <v>2070</v>
      </c>
      <c r="B13148" t="s">
        <v>2147</v>
      </c>
      <c r="C13148">
        <v>3.5</v>
      </c>
      <c r="D13148">
        <v>191</v>
      </c>
      <c r="E13148">
        <f>IF(OR(B13148="vi",B13148="ii",B13148="pod"),(((D13148/100)*(C13148*VLOOKUP(B13148,'Poids des runes'!A:B,2,FALSE)))+1),(((D13148/100)*(C13148*VLOOKUP(B13148,'Poids des runes'!A:B,2,FALSE)))+1)/VLOOKUP(B13148,'Poids des runes'!A:B,2,FALSE))</f>
        <v>6.8516666666666666</v>
      </c>
      <c r="F13148">
        <f t="shared" si="205"/>
        <v>6.8516666666666666</v>
      </c>
    </row>
    <row r="13149" spans="1:6" x14ac:dyDescent="0.3">
      <c r="A13149" t="s">
        <v>2071</v>
      </c>
      <c r="B13149" t="s">
        <v>2128</v>
      </c>
      <c r="C13149">
        <v>275.5</v>
      </c>
      <c r="D13149">
        <v>191</v>
      </c>
      <c r="E13149">
        <f>IF(OR(B13149="vi",B13149="ii",B13149="pod"),(((D13149/100)*(C13149*VLOOKUP(B13149,'Poids des runes'!A:B,2,FALSE)))+1),(((D13149/100)*(C13149*VLOOKUP(B13149,'Poids des runes'!A:B,2,FALSE)))+1)/VLOOKUP(B13149,'Poids des runes'!A:B,2,FALSE))</f>
        <v>106.241</v>
      </c>
      <c r="F13149">
        <f t="shared" si="205"/>
        <v>106.241</v>
      </c>
    </row>
    <row r="13150" spans="1:6" x14ac:dyDescent="0.3">
      <c r="A13150" t="s">
        <v>2071</v>
      </c>
      <c r="B13150" t="s">
        <v>2131</v>
      </c>
      <c r="C13150">
        <v>50.5</v>
      </c>
      <c r="D13150">
        <v>191</v>
      </c>
      <c r="E13150">
        <f>IF(OR(B13150="vi",B13150="ii",B13150="pod"),(((D13150/100)*(C13150*VLOOKUP(B13150,'Poids des runes'!A:B,2,FALSE)))+1),(((D13150/100)*(C13150*VLOOKUP(B13150,'Poids des runes'!A:B,2,FALSE)))+1)/VLOOKUP(B13150,'Poids des runes'!A:B,2,FALSE))</f>
        <v>97.454999999999998</v>
      </c>
      <c r="F13150">
        <f t="shared" si="205"/>
        <v>97.454999999999998</v>
      </c>
    </row>
    <row r="13151" spans="1:6" x14ac:dyDescent="0.3">
      <c r="A13151" t="s">
        <v>2071</v>
      </c>
      <c r="B13151" t="s">
        <v>2129</v>
      </c>
      <c r="C13151">
        <v>35.5</v>
      </c>
      <c r="D13151">
        <v>191</v>
      </c>
      <c r="E13151">
        <f>IF(OR(B13151="vi",B13151="ii",B13151="pod"),(((D13151/100)*(C13151*VLOOKUP(B13151,'Poids des runes'!A:B,2,FALSE)))+1),(((D13151/100)*(C13151*VLOOKUP(B13151,'Poids des runes'!A:B,2,FALSE)))+1)/VLOOKUP(B13151,'Poids des runes'!A:B,2,FALSE))</f>
        <v>68.804999999999993</v>
      </c>
      <c r="F13151">
        <f t="shared" si="205"/>
        <v>68.804999999999993</v>
      </c>
    </row>
    <row r="13152" spans="1:6" x14ac:dyDescent="0.3">
      <c r="A13152" t="s">
        <v>2071</v>
      </c>
      <c r="B13152" t="s">
        <v>2151</v>
      </c>
      <c r="C13152">
        <v>2.5</v>
      </c>
      <c r="D13152">
        <v>191</v>
      </c>
      <c r="E13152">
        <f>IF(OR(B13152="vi",B13152="ii",B13152="pod"),(((D13152/100)*(C13152*VLOOKUP(B13152,'Poids des runes'!A:B,2,FALSE)))+1),(((D13152/100)*(C13152*VLOOKUP(B13152,'Poids des runes'!A:B,2,FALSE)))+1)/VLOOKUP(B13152,'Poids des runes'!A:B,2,FALSE))</f>
        <v>4.875</v>
      </c>
      <c r="F13152">
        <f t="shared" si="205"/>
        <v>4.875</v>
      </c>
    </row>
    <row r="13153" spans="1:6" x14ac:dyDescent="0.3">
      <c r="A13153" t="s">
        <v>2071</v>
      </c>
      <c r="B13153" t="s">
        <v>2150</v>
      </c>
      <c r="C13153">
        <v>1</v>
      </c>
      <c r="D13153">
        <v>191</v>
      </c>
      <c r="E13153">
        <f>IF(OR(B13153="vi",B13153="ii",B13153="pod"),(((D13153/100)*(C13153*VLOOKUP(B13153,'Poids des runes'!A:B,2,FALSE)))+1),(((D13153/100)*(C13153*VLOOKUP(B13153,'Poids des runes'!A:B,2,FALSE)))+1)/VLOOKUP(B13153,'Poids des runes'!A:B,2,FALSE))</f>
        <v>1.9433333333333331</v>
      </c>
      <c r="F13153">
        <f t="shared" si="205"/>
        <v>1.9433333333333331</v>
      </c>
    </row>
    <row r="13154" spans="1:6" x14ac:dyDescent="0.3">
      <c r="A13154" t="s">
        <v>2071</v>
      </c>
      <c r="B13154" t="s">
        <v>2134</v>
      </c>
      <c r="C13154">
        <v>8</v>
      </c>
      <c r="D13154">
        <v>191</v>
      </c>
      <c r="E13154">
        <f>IF(OR(B13154="vi",B13154="ii",B13154="pod"),(((D13154/100)*(C13154*VLOOKUP(B13154,'Poids des runes'!A:B,2,FALSE)))+1),(((D13154/100)*(C13154*VLOOKUP(B13154,'Poids des runes'!A:B,2,FALSE)))+1)/VLOOKUP(B13154,'Poids des runes'!A:B,2,FALSE))</f>
        <v>15.329999999999998</v>
      </c>
      <c r="F13154">
        <f t="shared" si="205"/>
        <v>15.329999999999998</v>
      </c>
    </row>
    <row r="13155" spans="1:6" x14ac:dyDescent="0.3">
      <c r="A13155" t="s">
        <v>2071</v>
      </c>
      <c r="B13155" t="s">
        <v>2161</v>
      </c>
      <c r="C13155">
        <v>25.5</v>
      </c>
      <c r="D13155">
        <v>191</v>
      </c>
      <c r="E13155">
        <f>IF(OR(B13155="vi",B13155="ii",B13155="pod"),(((D13155/100)*(C13155*VLOOKUP(B13155,'Poids des runes'!A:B,2,FALSE)))+1),(((D13155/100)*(C13155*VLOOKUP(B13155,'Poids des runes'!A:B,2,FALSE)))+1)/VLOOKUP(B13155,'Poids des runes'!A:B,2,FALSE))</f>
        <v>49.038333333333327</v>
      </c>
      <c r="F13155">
        <f t="shared" si="205"/>
        <v>49.038333333333327</v>
      </c>
    </row>
    <row r="13156" spans="1:6" x14ac:dyDescent="0.3">
      <c r="A13156" t="s">
        <v>2071</v>
      </c>
      <c r="B13156" t="s">
        <v>2141</v>
      </c>
      <c r="C13156">
        <v>5</v>
      </c>
      <c r="D13156">
        <v>191</v>
      </c>
      <c r="E13156">
        <f>IF(OR(B13156="vi",B13156="ii",B13156="pod"),(((D13156/100)*(C13156*VLOOKUP(B13156,'Poids des runes'!A:B,2,FALSE)))+1),(((D13156/100)*(C13156*VLOOKUP(B13156,'Poids des runes'!A:B,2,FALSE)))+1)/VLOOKUP(B13156,'Poids des runes'!A:B,2,FALSE))</f>
        <v>9.7999999999999989</v>
      </c>
      <c r="F13156">
        <f t="shared" si="205"/>
        <v>9.7999999999999989</v>
      </c>
    </row>
    <row r="13157" spans="1:6" x14ac:dyDescent="0.3">
      <c r="A13157" t="s">
        <v>2071</v>
      </c>
      <c r="B13157" t="s">
        <v>2162</v>
      </c>
      <c r="C13157">
        <v>6</v>
      </c>
      <c r="D13157">
        <v>191</v>
      </c>
      <c r="E13157">
        <f>IF(OR(B13157="vi",B13157="ii",B13157="pod"),(((D13157/100)*(C13157*VLOOKUP(B13157,'Poids des runes'!A:B,2,FALSE)))+1),(((D13157/100)*(C13157*VLOOKUP(B13157,'Poids des runes'!A:B,2,FALSE)))+1)/VLOOKUP(B13157,'Poids des runes'!A:B,2,FALSE))</f>
        <v>11.602857142857143</v>
      </c>
      <c r="F13157">
        <f t="shared" si="205"/>
        <v>11.602857142857143</v>
      </c>
    </row>
    <row r="13158" spans="1:6" x14ac:dyDescent="0.3">
      <c r="A13158" t="s">
        <v>2071</v>
      </c>
      <c r="B13158" t="s">
        <v>2158</v>
      </c>
      <c r="C13158">
        <v>13</v>
      </c>
      <c r="D13158">
        <v>191</v>
      </c>
      <c r="E13158">
        <f>IF(OR(B13158="vi",B13158="ii",B13158="pod"),(((D13158/100)*(C13158*VLOOKUP(B13158,'Poids des runes'!A:B,2,FALSE)))+1),(((D13158/100)*(C13158*VLOOKUP(B13158,'Poids des runes'!A:B,2,FALSE)))+1)/VLOOKUP(B13158,'Poids des runes'!A:B,2,FALSE))</f>
        <v>25.029999999999998</v>
      </c>
      <c r="F13158">
        <f t="shared" si="205"/>
        <v>25.029999999999998</v>
      </c>
    </row>
    <row r="13159" spans="1:6" x14ac:dyDescent="0.3">
      <c r="A13159" t="s">
        <v>2071</v>
      </c>
      <c r="B13159" t="s">
        <v>2147</v>
      </c>
      <c r="C13159">
        <v>8</v>
      </c>
      <c r="D13159">
        <v>191</v>
      </c>
      <c r="E13159">
        <f>IF(OR(B13159="vi",B13159="ii",B13159="pod"),(((D13159/100)*(C13159*VLOOKUP(B13159,'Poids des runes'!A:B,2,FALSE)))+1),(((D13159/100)*(C13159*VLOOKUP(B13159,'Poids des runes'!A:B,2,FALSE)))+1)/VLOOKUP(B13159,'Poids des runes'!A:B,2,FALSE))</f>
        <v>15.446666666666665</v>
      </c>
      <c r="F13159">
        <f t="shared" si="205"/>
        <v>15.446666666666665</v>
      </c>
    </row>
    <row r="13160" spans="1:6" x14ac:dyDescent="0.3">
      <c r="A13160" t="s">
        <v>2072</v>
      </c>
      <c r="B13160" t="s">
        <v>2128</v>
      </c>
      <c r="C13160">
        <v>175.5</v>
      </c>
      <c r="D13160">
        <v>191</v>
      </c>
      <c r="E13160">
        <f>IF(OR(B13160="vi",B13160="ii",B13160="pod"),(((D13160/100)*(C13160*VLOOKUP(B13160,'Poids des runes'!A:B,2,FALSE)))+1),(((D13160/100)*(C13160*VLOOKUP(B13160,'Poids des runes'!A:B,2,FALSE)))+1)/VLOOKUP(B13160,'Poids des runes'!A:B,2,FALSE))</f>
        <v>68.040999999999997</v>
      </c>
      <c r="F13160">
        <f t="shared" si="205"/>
        <v>68.040999999999997</v>
      </c>
    </row>
    <row r="13161" spans="1:6" x14ac:dyDescent="0.3">
      <c r="A13161" t="s">
        <v>2072</v>
      </c>
      <c r="B13161" t="s">
        <v>2130</v>
      </c>
      <c r="C13161">
        <v>40.5</v>
      </c>
      <c r="D13161">
        <v>191</v>
      </c>
      <c r="E13161">
        <f>IF(OR(B13161="vi",B13161="ii",B13161="pod"),(((D13161/100)*(C13161*VLOOKUP(B13161,'Poids des runes'!A:B,2,FALSE)))+1),(((D13161/100)*(C13161*VLOOKUP(B13161,'Poids des runes'!A:B,2,FALSE)))+1)/VLOOKUP(B13161,'Poids des runes'!A:B,2,FALSE))</f>
        <v>78.35499999999999</v>
      </c>
      <c r="F13161">
        <f t="shared" si="205"/>
        <v>78.35499999999999</v>
      </c>
    </row>
    <row r="13162" spans="1:6" x14ac:dyDescent="0.3">
      <c r="A13162" t="s">
        <v>2072</v>
      </c>
      <c r="B13162" t="s">
        <v>2126</v>
      </c>
      <c r="C13162">
        <v>40.5</v>
      </c>
      <c r="D13162">
        <v>191</v>
      </c>
      <c r="E13162">
        <f>IF(OR(B13162="vi",B13162="ii",B13162="pod"),(((D13162/100)*(C13162*VLOOKUP(B13162,'Poids des runes'!A:B,2,FALSE)))+1),(((D13162/100)*(C13162*VLOOKUP(B13162,'Poids des runes'!A:B,2,FALSE)))+1)/VLOOKUP(B13162,'Poids des runes'!A:B,2,FALSE))</f>
        <v>78.35499999999999</v>
      </c>
      <c r="F13162">
        <f t="shared" si="205"/>
        <v>78.35499999999999</v>
      </c>
    </row>
    <row r="13163" spans="1:6" x14ac:dyDescent="0.3">
      <c r="A13163" t="s">
        <v>2072</v>
      </c>
      <c r="B13163" t="s">
        <v>2131</v>
      </c>
      <c r="C13163">
        <v>40.5</v>
      </c>
      <c r="D13163">
        <v>191</v>
      </c>
      <c r="E13163">
        <f>IF(OR(B13163="vi",B13163="ii",B13163="pod"),(((D13163/100)*(C13163*VLOOKUP(B13163,'Poids des runes'!A:B,2,FALSE)))+1),(((D13163/100)*(C13163*VLOOKUP(B13163,'Poids des runes'!A:B,2,FALSE)))+1)/VLOOKUP(B13163,'Poids des runes'!A:B,2,FALSE))</f>
        <v>78.35499999999999</v>
      </c>
      <c r="F13163">
        <f t="shared" si="205"/>
        <v>78.35499999999999</v>
      </c>
    </row>
    <row r="13164" spans="1:6" x14ac:dyDescent="0.3">
      <c r="A13164" t="s">
        <v>2072</v>
      </c>
      <c r="B13164" t="s">
        <v>2151</v>
      </c>
      <c r="C13164">
        <v>4.5</v>
      </c>
      <c r="D13164">
        <v>191</v>
      </c>
      <c r="E13164">
        <f>IF(OR(B13164="vi",B13164="ii",B13164="pod"),(((D13164/100)*(C13164*VLOOKUP(B13164,'Poids des runes'!A:B,2,FALSE)))+1),(((D13164/100)*(C13164*VLOOKUP(B13164,'Poids des runes'!A:B,2,FALSE)))+1)/VLOOKUP(B13164,'Poids des runes'!A:B,2,FALSE))</f>
        <v>8.6950000000000003</v>
      </c>
      <c r="F13164">
        <f t="shared" si="205"/>
        <v>8.6950000000000003</v>
      </c>
    </row>
    <row r="13165" spans="1:6" x14ac:dyDescent="0.3">
      <c r="A13165" t="s">
        <v>2072</v>
      </c>
      <c r="B13165" t="s">
        <v>2152</v>
      </c>
      <c r="C13165">
        <v>1</v>
      </c>
      <c r="D13165">
        <v>191</v>
      </c>
      <c r="E13165">
        <f>IF(OR(B13165="vi",B13165="ii",B13165="pod"),(((D13165/100)*(C13165*VLOOKUP(B13165,'Poids des runes'!A:B,2,FALSE)))+1),(((D13165/100)*(C13165*VLOOKUP(B13165,'Poids des runes'!A:B,2,FALSE)))+1)/VLOOKUP(B13165,'Poids des runes'!A:B,2,FALSE))</f>
        <v>1.92</v>
      </c>
      <c r="F13165">
        <f t="shared" si="205"/>
        <v>1.92</v>
      </c>
    </row>
    <row r="13166" spans="1:6" x14ac:dyDescent="0.3">
      <c r="A13166" t="s">
        <v>2072</v>
      </c>
      <c r="B13166" t="s">
        <v>2143</v>
      </c>
      <c r="C13166">
        <v>7</v>
      </c>
      <c r="D13166">
        <v>191</v>
      </c>
      <c r="E13166">
        <f>IF(OR(B13166="vi",B13166="ii",B13166="pod"),(((D13166/100)*(C13166*VLOOKUP(B13166,'Poids des runes'!A:B,2,FALSE)))+1),(((D13166/100)*(C13166*VLOOKUP(B13166,'Poids des runes'!A:B,2,FALSE)))+1)/VLOOKUP(B13166,'Poids des runes'!A:B,2,FALSE))</f>
        <v>13.569999999999999</v>
      </c>
      <c r="F13166">
        <f t="shared" si="205"/>
        <v>13.569999999999999</v>
      </c>
    </row>
    <row r="13167" spans="1:6" x14ac:dyDescent="0.3">
      <c r="A13167" t="s">
        <v>2072</v>
      </c>
      <c r="B13167" t="s">
        <v>2140</v>
      </c>
      <c r="C13167">
        <v>7</v>
      </c>
      <c r="D13167">
        <v>191</v>
      </c>
      <c r="E13167">
        <f>IF(OR(B13167="vi",B13167="ii",B13167="pod"),(((D13167/100)*(C13167*VLOOKUP(B13167,'Poids des runes'!A:B,2,FALSE)))+1),(((D13167/100)*(C13167*VLOOKUP(B13167,'Poids des runes'!A:B,2,FALSE)))+1)/VLOOKUP(B13167,'Poids des runes'!A:B,2,FALSE))</f>
        <v>13.569999999999999</v>
      </c>
      <c r="F13167">
        <f t="shared" si="205"/>
        <v>13.569999999999999</v>
      </c>
    </row>
    <row r="13168" spans="1:6" x14ac:dyDescent="0.3">
      <c r="A13168" t="s">
        <v>2072</v>
      </c>
      <c r="B13168" t="s">
        <v>2133</v>
      </c>
      <c r="C13168">
        <v>7</v>
      </c>
      <c r="D13168">
        <v>191</v>
      </c>
      <c r="E13168">
        <f>IF(OR(B13168="vi",B13168="ii",B13168="pod"),(((D13168/100)*(C13168*VLOOKUP(B13168,'Poids des runes'!A:B,2,FALSE)))+1),(((D13168/100)*(C13168*VLOOKUP(B13168,'Poids des runes'!A:B,2,FALSE)))+1)/VLOOKUP(B13168,'Poids des runes'!A:B,2,FALSE))</f>
        <v>13.569999999999999</v>
      </c>
      <c r="F13168">
        <f t="shared" si="205"/>
        <v>13.569999999999999</v>
      </c>
    </row>
    <row r="13169" spans="1:6" x14ac:dyDescent="0.3">
      <c r="A13169" t="s">
        <v>2072</v>
      </c>
      <c r="B13169" t="s">
        <v>2161</v>
      </c>
      <c r="C13169">
        <v>15.5</v>
      </c>
      <c r="D13169">
        <v>191</v>
      </c>
      <c r="E13169">
        <f>IF(OR(B13169="vi",B13169="ii",B13169="pod"),(((D13169/100)*(C13169*VLOOKUP(B13169,'Poids des runes'!A:B,2,FALSE)))+1),(((D13169/100)*(C13169*VLOOKUP(B13169,'Poids des runes'!A:B,2,FALSE)))+1)/VLOOKUP(B13169,'Poids des runes'!A:B,2,FALSE))</f>
        <v>29.938333333333333</v>
      </c>
      <c r="F13169">
        <f t="shared" si="205"/>
        <v>29.938333333333333</v>
      </c>
    </row>
    <row r="13170" spans="1:6" x14ac:dyDescent="0.3">
      <c r="A13170" t="s">
        <v>2072</v>
      </c>
      <c r="B13170" t="s">
        <v>2141</v>
      </c>
      <c r="C13170">
        <v>4.5</v>
      </c>
      <c r="D13170">
        <v>191</v>
      </c>
      <c r="E13170">
        <f>IF(OR(B13170="vi",B13170="ii",B13170="pod"),(((D13170/100)*(C13170*VLOOKUP(B13170,'Poids des runes'!A:B,2,FALSE)))+1),(((D13170/100)*(C13170*VLOOKUP(B13170,'Poids des runes'!A:B,2,FALSE)))+1)/VLOOKUP(B13170,'Poids des runes'!A:B,2,FALSE))</f>
        <v>8.8449999999999989</v>
      </c>
      <c r="F13170">
        <f t="shared" si="205"/>
        <v>8.8449999999999989</v>
      </c>
    </row>
    <row r="13171" spans="1:6" x14ac:dyDescent="0.3">
      <c r="A13171" t="s">
        <v>2072</v>
      </c>
      <c r="B13171" t="s">
        <v>2159</v>
      </c>
      <c r="C13171">
        <v>4.5</v>
      </c>
      <c r="D13171">
        <v>191</v>
      </c>
      <c r="E13171">
        <f>IF(OR(B13171="vi",B13171="ii",B13171="pod"),(((D13171/100)*(C13171*VLOOKUP(B13171,'Poids des runes'!A:B,2,FALSE)))+1),(((D13171/100)*(C13171*VLOOKUP(B13171,'Poids des runes'!A:B,2,FALSE)))+1)/VLOOKUP(B13171,'Poids des runes'!A:B,2,FALSE))</f>
        <v>8.737857142857143</v>
      </c>
      <c r="F13171">
        <f t="shared" si="205"/>
        <v>8.737857142857143</v>
      </c>
    </row>
    <row r="13172" spans="1:6" x14ac:dyDescent="0.3">
      <c r="A13172" t="s">
        <v>2072</v>
      </c>
      <c r="B13172" t="s">
        <v>2157</v>
      </c>
      <c r="C13172">
        <v>8.5</v>
      </c>
      <c r="D13172">
        <v>191</v>
      </c>
      <c r="E13172">
        <f>IF(OR(B13172="vi",B13172="ii",B13172="pod"),(((D13172/100)*(C13172*VLOOKUP(B13172,'Poids des runes'!A:B,2,FALSE)))+1),(((D13172/100)*(C13172*VLOOKUP(B13172,'Poids des runes'!A:B,2,FALSE)))+1)/VLOOKUP(B13172,'Poids des runes'!A:B,2,FALSE))</f>
        <v>16.401666666666667</v>
      </c>
      <c r="F13172">
        <f t="shared" si="205"/>
        <v>16.401666666666667</v>
      </c>
    </row>
    <row r="13173" spans="1:6" x14ac:dyDescent="0.3">
      <c r="A13173" t="s">
        <v>2073</v>
      </c>
      <c r="B13173" t="s">
        <v>2128</v>
      </c>
      <c r="C13173">
        <v>325.5</v>
      </c>
      <c r="D13173">
        <v>192</v>
      </c>
      <c r="E13173">
        <f>IF(OR(B13173="vi",B13173="ii",B13173="pod"),(((D13173/100)*(C13173*VLOOKUP(B13173,'Poids des runes'!A:B,2,FALSE)))+1),(((D13173/100)*(C13173*VLOOKUP(B13173,'Poids des runes'!A:B,2,FALSE)))+1)/VLOOKUP(B13173,'Poids des runes'!A:B,2,FALSE))</f>
        <v>125.99200000000002</v>
      </c>
      <c r="F13173">
        <f t="shared" si="205"/>
        <v>125.99200000000002</v>
      </c>
    </row>
    <row r="13174" spans="1:6" x14ac:dyDescent="0.3">
      <c r="A13174" t="s">
        <v>2073</v>
      </c>
      <c r="B13174" t="s">
        <v>2130</v>
      </c>
      <c r="C13174">
        <v>40.5</v>
      </c>
      <c r="D13174">
        <v>192</v>
      </c>
      <c r="E13174">
        <f>IF(OR(B13174="vi",B13174="ii",B13174="pod"),(((D13174/100)*(C13174*VLOOKUP(B13174,'Poids des runes'!A:B,2,FALSE)))+1),(((D13174/100)*(C13174*VLOOKUP(B13174,'Poids des runes'!A:B,2,FALSE)))+1)/VLOOKUP(B13174,'Poids des runes'!A:B,2,FALSE))</f>
        <v>78.759999999999991</v>
      </c>
      <c r="F13174">
        <f t="shared" si="205"/>
        <v>78.759999999999991</v>
      </c>
    </row>
    <row r="13175" spans="1:6" x14ac:dyDescent="0.3">
      <c r="A13175" t="s">
        <v>2073</v>
      </c>
      <c r="B13175" t="s">
        <v>2131</v>
      </c>
      <c r="C13175">
        <v>40.5</v>
      </c>
      <c r="D13175">
        <v>192</v>
      </c>
      <c r="E13175">
        <f>IF(OR(B13175="vi",B13175="ii",B13175="pod"),(((D13175/100)*(C13175*VLOOKUP(B13175,'Poids des runes'!A:B,2,FALSE)))+1),(((D13175/100)*(C13175*VLOOKUP(B13175,'Poids des runes'!A:B,2,FALSE)))+1)/VLOOKUP(B13175,'Poids des runes'!A:B,2,FALSE))</f>
        <v>78.759999999999991</v>
      </c>
      <c r="F13175">
        <f t="shared" si="205"/>
        <v>78.759999999999991</v>
      </c>
    </row>
    <row r="13176" spans="1:6" x14ac:dyDescent="0.3">
      <c r="A13176" t="s">
        <v>2073</v>
      </c>
      <c r="B13176" t="s">
        <v>2127</v>
      </c>
      <c r="C13176">
        <v>40.5</v>
      </c>
      <c r="D13176">
        <v>192</v>
      </c>
      <c r="E13176">
        <f>IF(OR(B13176="vi",B13176="ii",B13176="pod"),(((D13176/100)*(C13176*VLOOKUP(B13176,'Poids des runes'!A:B,2,FALSE)))+1),(((D13176/100)*(C13176*VLOOKUP(B13176,'Poids des runes'!A:B,2,FALSE)))+1)/VLOOKUP(B13176,'Poids des runes'!A:B,2,FALSE))</f>
        <v>78.759999999999991</v>
      </c>
      <c r="F13176">
        <f t="shared" si="205"/>
        <v>78.759999999999991</v>
      </c>
    </row>
    <row r="13177" spans="1:6" x14ac:dyDescent="0.3">
      <c r="A13177" t="s">
        <v>2073</v>
      </c>
      <c r="B13177" t="s">
        <v>2129</v>
      </c>
      <c r="C13177">
        <v>40.5</v>
      </c>
      <c r="D13177">
        <v>192</v>
      </c>
      <c r="E13177">
        <f>IF(OR(B13177="vi",B13177="ii",B13177="pod"),(((D13177/100)*(C13177*VLOOKUP(B13177,'Poids des runes'!A:B,2,FALSE)))+1),(((D13177/100)*(C13177*VLOOKUP(B13177,'Poids des runes'!A:B,2,FALSE)))+1)/VLOOKUP(B13177,'Poids des runes'!A:B,2,FALSE))</f>
        <v>78.759999999999991</v>
      </c>
      <c r="F13177">
        <f t="shared" si="205"/>
        <v>78.759999999999991</v>
      </c>
    </row>
    <row r="13178" spans="1:6" x14ac:dyDescent="0.3">
      <c r="A13178" t="s">
        <v>2073</v>
      </c>
      <c r="B13178" t="s">
        <v>2155</v>
      </c>
      <c r="C13178">
        <v>1</v>
      </c>
      <c r="D13178">
        <v>192</v>
      </c>
      <c r="E13178">
        <f>IF(OR(B13178="vi",B13178="ii",B13178="pod"),(((D13178/100)*(C13178*VLOOKUP(B13178,'Poids des runes'!A:B,2,FALSE)))+1),(((D13178/100)*(C13178*VLOOKUP(B13178,'Poids des runes'!A:B,2,FALSE)))+1)/VLOOKUP(B13178,'Poids des runes'!A:B,2,FALSE))</f>
        <v>1.939607843137255</v>
      </c>
      <c r="F13178">
        <f t="shared" si="205"/>
        <v>1.939607843137255</v>
      </c>
    </row>
    <row r="13179" spans="1:6" x14ac:dyDescent="0.3">
      <c r="A13179" t="s">
        <v>2073</v>
      </c>
      <c r="B13179" t="s">
        <v>2134</v>
      </c>
      <c r="C13179">
        <v>8.5</v>
      </c>
      <c r="D13179">
        <v>192</v>
      </c>
      <c r="E13179">
        <f>IF(OR(B13179="vi",B13179="ii",B13179="pod"),(((D13179/100)*(C13179*VLOOKUP(B13179,'Poids des runes'!A:B,2,FALSE)))+1),(((D13179/100)*(C13179*VLOOKUP(B13179,'Poids des runes'!A:B,2,FALSE)))+1)/VLOOKUP(B13179,'Poids des runes'!A:B,2,FALSE))</f>
        <v>16.369999999999997</v>
      </c>
      <c r="F13179">
        <f t="shared" si="205"/>
        <v>16.369999999999997</v>
      </c>
    </row>
    <row r="13180" spans="1:6" x14ac:dyDescent="0.3">
      <c r="A13180" t="s">
        <v>2073</v>
      </c>
      <c r="B13180" t="s">
        <v>2161</v>
      </c>
      <c r="C13180">
        <v>25.5</v>
      </c>
      <c r="D13180">
        <v>192</v>
      </c>
      <c r="E13180">
        <f>IF(OR(B13180="vi",B13180="ii",B13180="pod"),(((D13180/100)*(C13180*VLOOKUP(B13180,'Poids des runes'!A:B,2,FALSE)))+1),(((D13180/100)*(C13180*VLOOKUP(B13180,'Poids des runes'!A:B,2,FALSE)))+1)/VLOOKUP(B13180,'Poids des runes'!A:B,2,FALSE))</f>
        <v>49.293333333333329</v>
      </c>
      <c r="F13180">
        <f t="shared" si="205"/>
        <v>49.293333333333329</v>
      </c>
    </row>
    <row r="13181" spans="1:6" x14ac:dyDescent="0.3">
      <c r="A13181" t="s">
        <v>2073</v>
      </c>
      <c r="B13181" t="s">
        <v>2132</v>
      </c>
      <c r="C13181">
        <v>350.5</v>
      </c>
      <c r="D13181">
        <v>192</v>
      </c>
      <c r="E13181">
        <f>IF(OR(B13181="vi",B13181="ii",B13181="pod"),(((D13181/100)*(C13181*VLOOKUP(B13181,'Poids des runes'!A:B,2,FALSE)))+1),(((D13181/100)*(C13181*VLOOKUP(B13181,'Poids des runes'!A:B,2,FALSE)))+1)/VLOOKUP(B13181,'Poids des runes'!A:B,2,FALSE))</f>
        <v>68.296000000000006</v>
      </c>
      <c r="F13181">
        <f t="shared" si="205"/>
        <v>68.296000000000006</v>
      </c>
    </row>
    <row r="13182" spans="1:6" x14ac:dyDescent="0.3">
      <c r="A13182" t="s">
        <v>2073</v>
      </c>
      <c r="B13182" t="s">
        <v>2165</v>
      </c>
      <c r="C13182">
        <v>6.5</v>
      </c>
      <c r="D13182">
        <v>192</v>
      </c>
      <c r="E13182">
        <f>IF(OR(B13182="vi",B13182="ii",B13182="pod"),(((D13182/100)*(C13182*VLOOKUP(B13182,'Poids des runes'!A:B,2,FALSE)))+1),(((D13182/100)*(C13182*VLOOKUP(B13182,'Poids des runes'!A:B,2,FALSE)))+1)/VLOOKUP(B13182,'Poids des runes'!A:B,2,FALSE))</f>
        <v>12.622857142857143</v>
      </c>
      <c r="F13182">
        <f t="shared" si="205"/>
        <v>12.622857142857143</v>
      </c>
    </row>
    <row r="13183" spans="1:6" x14ac:dyDescent="0.3">
      <c r="A13183" t="s">
        <v>2073</v>
      </c>
      <c r="B13183" t="s">
        <v>2147</v>
      </c>
      <c r="C13183">
        <v>8</v>
      </c>
      <c r="D13183">
        <v>192</v>
      </c>
      <c r="E13183">
        <f>IF(OR(B13183="vi",B13183="ii",B13183="pod"),(((D13183/100)*(C13183*VLOOKUP(B13183,'Poids des runes'!A:B,2,FALSE)))+1),(((D13183/100)*(C13183*VLOOKUP(B13183,'Poids des runes'!A:B,2,FALSE)))+1)/VLOOKUP(B13183,'Poids des runes'!A:B,2,FALSE))</f>
        <v>15.526666666666666</v>
      </c>
      <c r="F13183">
        <f t="shared" si="205"/>
        <v>15.526666666666666</v>
      </c>
    </row>
    <row r="13184" spans="1:6" x14ac:dyDescent="0.3">
      <c r="A13184" t="s">
        <v>2073</v>
      </c>
      <c r="B13184" t="s">
        <v>2136</v>
      </c>
      <c r="C13184">
        <v>8</v>
      </c>
      <c r="D13184">
        <v>192</v>
      </c>
      <c r="E13184">
        <f>IF(OR(B13184="vi",B13184="ii",B13184="pod"),(((D13184/100)*(C13184*VLOOKUP(B13184,'Poids des runes'!A:B,2,FALSE)))+1),(((D13184/100)*(C13184*VLOOKUP(B13184,'Poids des runes'!A:B,2,FALSE)))+1)/VLOOKUP(B13184,'Poids des runes'!A:B,2,FALSE))</f>
        <v>15.86</v>
      </c>
      <c r="F13184">
        <f t="shared" si="205"/>
        <v>15.86</v>
      </c>
    </row>
    <row r="13185" spans="1:6" x14ac:dyDescent="0.3">
      <c r="A13185" t="s">
        <v>2074</v>
      </c>
      <c r="B13185" t="s">
        <v>2128</v>
      </c>
      <c r="C13185">
        <v>325.5</v>
      </c>
      <c r="D13185">
        <v>192</v>
      </c>
      <c r="E13185">
        <f>IF(OR(B13185="vi",B13185="ii",B13185="pod"),(((D13185/100)*(C13185*VLOOKUP(B13185,'Poids des runes'!A:B,2,FALSE)))+1),(((D13185/100)*(C13185*VLOOKUP(B13185,'Poids des runes'!A:B,2,FALSE)))+1)/VLOOKUP(B13185,'Poids des runes'!A:B,2,FALSE))</f>
        <v>125.99200000000002</v>
      </c>
      <c r="F13185">
        <f t="shared" si="205"/>
        <v>125.99200000000002</v>
      </c>
    </row>
    <row r="13186" spans="1:6" x14ac:dyDescent="0.3">
      <c r="A13186" t="s">
        <v>2074</v>
      </c>
      <c r="B13186" t="s">
        <v>2131</v>
      </c>
      <c r="C13186">
        <v>60.5</v>
      </c>
      <c r="D13186">
        <v>192</v>
      </c>
      <c r="E13186">
        <f>IF(OR(B13186="vi",B13186="ii",B13186="pod"),(((D13186/100)*(C13186*VLOOKUP(B13186,'Poids des runes'!A:B,2,FALSE)))+1),(((D13186/100)*(C13186*VLOOKUP(B13186,'Poids des runes'!A:B,2,FALSE)))+1)/VLOOKUP(B13186,'Poids des runes'!A:B,2,FALSE))</f>
        <v>117.16</v>
      </c>
      <c r="F13186">
        <f t="shared" si="205"/>
        <v>117.16</v>
      </c>
    </row>
    <row r="13187" spans="1:6" x14ac:dyDescent="0.3">
      <c r="A13187" t="s">
        <v>2074</v>
      </c>
      <c r="B13187" t="s">
        <v>2129</v>
      </c>
      <c r="C13187">
        <v>25.5</v>
      </c>
      <c r="D13187">
        <v>192</v>
      </c>
      <c r="E13187">
        <f>IF(OR(B13187="vi",B13187="ii",B13187="pod"),(((D13187/100)*(C13187*VLOOKUP(B13187,'Poids des runes'!A:B,2,FALSE)))+1),(((D13187/100)*(C13187*VLOOKUP(B13187,'Poids des runes'!A:B,2,FALSE)))+1)/VLOOKUP(B13187,'Poids des runes'!A:B,2,FALSE))</f>
        <v>49.96</v>
      </c>
      <c r="F13187">
        <f t="shared" ref="F13187:F13250" si="206">E13187</f>
        <v>49.96</v>
      </c>
    </row>
    <row r="13188" spans="1:6" x14ac:dyDescent="0.3">
      <c r="A13188" t="s">
        <v>2074</v>
      </c>
      <c r="B13188" t="s">
        <v>2133</v>
      </c>
      <c r="C13188">
        <v>13</v>
      </c>
      <c r="D13188">
        <v>192</v>
      </c>
      <c r="E13188">
        <f>IF(OR(B13188="vi",B13188="ii",B13188="pod"),(((D13188/100)*(C13188*VLOOKUP(B13188,'Poids des runes'!A:B,2,FALSE)))+1),(((D13188/100)*(C13188*VLOOKUP(B13188,'Poids des runes'!A:B,2,FALSE)))+1)/VLOOKUP(B13188,'Poids des runes'!A:B,2,FALSE))</f>
        <v>25.16</v>
      </c>
      <c r="F13188">
        <f t="shared" si="206"/>
        <v>25.16</v>
      </c>
    </row>
    <row r="13189" spans="1:6" x14ac:dyDescent="0.3">
      <c r="A13189" t="s">
        <v>2074</v>
      </c>
      <c r="B13189" t="s">
        <v>2161</v>
      </c>
      <c r="C13189">
        <v>13</v>
      </c>
      <c r="D13189">
        <v>192</v>
      </c>
      <c r="E13189">
        <f>IF(OR(B13189="vi",B13189="ii",B13189="pod"),(((D13189/100)*(C13189*VLOOKUP(B13189,'Poids des runes'!A:B,2,FALSE)))+1),(((D13189/100)*(C13189*VLOOKUP(B13189,'Poids des runes'!A:B,2,FALSE)))+1)/VLOOKUP(B13189,'Poids des runes'!A:B,2,FALSE))</f>
        <v>25.293333333333333</v>
      </c>
      <c r="F13189">
        <f t="shared" si="206"/>
        <v>25.293333333333333</v>
      </c>
    </row>
    <row r="13190" spans="1:6" x14ac:dyDescent="0.3">
      <c r="A13190" t="s">
        <v>2074</v>
      </c>
      <c r="B13190" t="s">
        <v>2165</v>
      </c>
      <c r="C13190">
        <v>7</v>
      </c>
      <c r="D13190">
        <v>192</v>
      </c>
      <c r="E13190">
        <f>IF(OR(B13190="vi",B13190="ii",B13190="pod"),(((D13190/100)*(C13190*VLOOKUP(B13190,'Poids des runes'!A:B,2,FALSE)))+1),(((D13190/100)*(C13190*VLOOKUP(B13190,'Poids des runes'!A:B,2,FALSE)))+1)/VLOOKUP(B13190,'Poids des runes'!A:B,2,FALSE))</f>
        <v>13.582857142857142</v>
      </c>
      <c r="F13190">
        <f t="shared" si="206"/>
        <v>13.582857142857142</v>
      </c>
    </row>
    <row r="13191" spans="1:6" x14ac:dyDescent="0.3">
      <c r="A13191" t="s">
        <v>2074</v>
      </c>
      <c r="B13191" t="s">
        <v>2158</v>
      </c>
      <c r="C13191">
        <v>13</v>
      </c>
      <c r="D13191">
        <v>192</v>
      </c>
      <c r="E13191">
        <f>IF(OR(B13191="vi",B13191="ii",B13191="pod"),(((D13191/100)*(C13191*VLOOKUP(B13191,'Poids des runes'!A:B,2,FALSE)))+1),(((D13191/100)*(C13191*VLOOKUP(B13191,'Poids des runes'!A:B,2,FALSE)))+1)/VLOOKUP(B13191,'Poids des runes'!A:B,2,FALSE))</f>
        <v>25.16</v>
      </c>
      <c r="F13191">
        <f t="shared" si="206"/>
        <v>25.16</v>
      </c>
    </row>
    <row r="13192" spans="1:6" x14ac:dyDescent="0.3">
      <c r="A13192" t="s">
        <v>2074</v>
      </c>
      <c r="B13192" t="s">
        <v>2147</v>
      </c>
      <c r="C13192">
        <v>8.5</v>
      </c>
      <c r="D13192">
        <v>192</v>
      </c>
      <c r="E13192">
        <f>IF(OR(B13192="vi",B13192="ii",B13192="pod"),(((D13192/100)*(C13192*VLOOKUP(B13192,'Poids des runes'!A:B,2,FALSE)))+1),(((D13192/100)*(C13192*VLOOKUP(B13192,'Poids des runes'!A:B,2,FALSE)))+1)/VLOOKUP(B13192,'Poids des runes'!A:B,2,FALSE))</f>
        <v>16.486666666666668</v>
      </c>
      <c r="F13192">
        <f t="shared" si="206"/>
        <v>16.486666666666668</v>
      </c>
    </row>
    <row r="13193" spans="1:6" x14ac:dyDescent="0.3">
      <c r="A13193" t="s">
        <v>2074</v>
      </c>
      <c r="B13193" t="s">
        <v>2137</v>
      </c>
      <c r="C13193">
        <v>13</v>
      </c>
      <c r="D13193">
        <v>192</v>
      </c>
      <c r="E13193">
        <f>IF(OR(B13193="vi",B13193="ii",B13193="pod"),(((D13193/100)*(C13193*VLOOKUP(B13193,'Poids des runes'!A:B,2,FALSE)))+1),(((D13193/100)*(C13193*VLOOKUP(B13193,'Poids des runes'!A:B,2,FALSE)))+1)/VLOOKUP(B13193,'Poids des runes'!A:B,2,FALSE))</f>
        <v>25.46</v>
      </c>
      <c r="F13193">
        <f t="shared" si="206"/>
        <v>25.46</v>
      </c>
    </row>
    <row r="13194" spans="1:6" x14ac:dyDescent="0.3">
      <c r="A13194" t="s">
        <v>2074</v>
      </c>
      <c r="B13194" t="s">
        <v>2146</v>
      </c>
      <c r="C13194">
        <v>13</v>
      </c>
      <c r="D13194">
        <v>192</v>
      </c>
      <c r="E13194">
        <f>IF(OR(B13194="vi",B13194="ii",B13194="pod"),(((D13194/100)*(C13194*VLOOKUP(B13194,'Poids des runes'!A:B,2,FALSE)))+1),(((D13194/100)*(C13194*VLOOKUP(B13194,'Poids des runes'!A:B,2,FALSE)))+1)/VLOOKUP(B13194,'Poids des runes'!A:B,2,FALSE))</f>
        <v>25.46</v>
      </c>
      <c r="F13194">
        <f t="shared" si="206"/>
        <v>25.46</v>
      </c>
    </row>
    <row r="13195" spans="1:6" x14ac:dyDescent="0.3">
      <c r="A13195" t="s">
        <v>2075</v>
      </c>
      <c r="B13195" t="s">
        <v>2128</v>
      </c>
      <c r="C13195">
        <v>275.5</v>
      </c>
      <c r="D13195">
        <v>193</v>
      </c>
      <c r="E13195">
        <f>IF(OR(B13195="vi",B13195="ii",B13195="pod"),(((D13195/100)*(C13195*VLOOKUP(B13195,'Poids des runes'!A:B,2,FALSE)))+1),(((D13195/100)*(C13195*VLOOKUP(B13195,'Poids des runes'!A:B,2,FALSE)))+1)/VLOOKUP(B13195,'Poids des runes'!A:B,2,FALSE))</f>
        <v>107.343</v>
      </c>
      <c r="F13195">
        <f t="shared" si="206"/>
        <v>107.343</v>
      </c>
    </row>
    <row r="13196" spans="1:6" x14ac:dyDescent="0.3">
      <c r="A13196" t="s">
        <v>2075</v>
      </c>
      <c r="B13196" t="s">
        <v>2126</v>
      </c>
      <c r="C13196">
        <v>38</v>
      </c>
      <c r="D13196">
        <v>193</v>
      </c>
      <c r="E13196">
        <f>IF(OR(B13196="vi",B13196="ii",B13196="pod"),(((D13196/100)*(C13196*VLOOKUP(B13196,'Poids des runes'!A:B,2,FALSE)))+1),(((D13196/100)*(C13196*VLOOKUP(B13196,'Poids des runes'!A:B,2,FALSE)))+1)/VLOOKUP(B13196,'Poids des runes'!A:B,2,FALSE))</f>
        <v>74.34</v>
      </c>
      <c r="F13196">
        <f t="shared" si="206"/>
        <v>74.34</v>
      </c>
    </row>
    <row r="13197" spans="1:6" x14ac:dyDescent="0.3">
      <c r="A13197" t="s">
        <v>2075</v>
      </c>
      <c r="B13197" t="s">
        <v>2131</v>
      </c>
      <c r="C13197">
        <v>38</v>
      </c>
      <c r="D13197">
        <v>193</v>
      </c>
      <c r="E13197">
        <f>IF(OR(B13197="vi",B13197="ii",B13197="pod"),(((D13197/100)*(C13197*VLOOKUP(B13197,'Poids des runes'!A:B,2,FALSE)))+1),(((D13197/100)*(C13197*VLOOKUP(B13197,'Poids des runes'!A:B,2,FALSE)))+1)/VLOOKUP(B13197,'Poids des runes'!A:B,2,FALSE))</f>
        <v>74.34</v>
      </c>
      <c r="F13197">
        <f t="shared" si="206"/>
        <v>74.34</v>
      </c>
    </row>
    <row r="13198" spans="1:6" x14ac:dyDescent="0.3">
      <c r="A13198" t="s">
        <v>2075</v>
      </c>
      <c r="B13198" t="s">
        <v>2129</v>
      </c>
      <c r="C13198">
        <v>38</v>
      </c>
      <c r="D13198">
        <v>193</v>
      </c>
      <c r="E13198">
        <f>IF(OR(B13198="vi",B13198="ii",B13198="pod"),(((D13198/100)*(C13198*VLOOKUP(B13198,'Poids des runes'!A:B,2,FALSE)))+1),(((D13198/100)*(C13198*VLOOKUP(B13198,'Poids des runes'!A:B,2,FALSE)))+1)/VLOOKUP(B13198,'Poids des runes'!A:B,2,FALSE))</f>
        <v>74.34</v>
      </c>
      <c r="F13198">
        <f t="shared" si="206"/>
        <v>74.34</v>
      </c>
    </row>
    <row r="13199" spans="1:6" x14ac:dyDescent="0.3">
      <c r="A13199" t="s">
        <v>2075</v>
      </c>
      <c r="B13199" t="s">
        <v>2140</v>
      </c>
      <c r="C13199">
        <v>10</v>
      </c>
      <c r="D13199">
        <v>193</v>
      </c>
      <c r="E13199">
        <f>IF(OR(B13199="vi",B13199="ii",B13199="pod"),(((D13199/100)*(C13199*VLOOKUP(B13199,'Poids des runes'!A:B,2,FALSE)))+1),(((D13199/100)*(C13199*VLOOKUP(B13199,'Poids des runes'!A:B,2,FALSE)))+1)/VLOOKUP(B13199,'Poids des runes'!A:B,2,FALSE))</f>
        <v>19.5</v>
      </c>
      <c r="F13199">
        <f t="shared" si="206"/>
        <v>19.5</v>
      </c>
    </row>
    <row r="13200" spans="1:6" x14ac:dyDescent="0.3">
      <c r="A13200" t="s">
        <v>2075</v>
      </c>
      <c r="B13200" t="s">
        <v>2133</v>
      </c>
      <c r="C13200">
        <v>10</v>
      </c>
      <c r="D13200">
        <v>193</v>
      </c>
      <c r="E13200">
        <f>IF(OR(B13200="vi",B13200="ii",B13200="pod"),(((D13200/100)*(C13200*VLOOKUP(B13200,'Poids des runes'!A:B,2,FALSE)))+1),(((D13200/100)*(C13200*VLOOKUP(B13200,'Poids des runes'!A:B,2,FALSE)))+1)/VLOOKUP(B13200,'Poids des runes'!A:B,2,FALSE))</f>
        <v>19.5</v>
      </c>
      <c r="F13200">
        <f t="shared" si="206"/>
        <v>19.5</v>
      </c>
    </row>
    <row r="13201" spans="1:6" x14ac:dyDescent="0.3">
      <c r="A13201" t="s">
        <v>2075</v>
      </c>
      <c r="B13201" t="s">
        <v>2149</v>
      </c>
      <c r="C13201">
        <v>8.5</v>
      </c>
      <c r="D13201">
        <v>193</v>
      </c>
      <c r="E13201">
        <f>IF(OR(B13201="vi",B13201="ii",B13201="pod"),(((D13201/100)*(C13201*VLOOKUP(B13201,'Poids des runes'!A:B,2,FALSE)))+1),(((D13201/100)*(C13201*VLOOKUP(B13201,'Poids des runes'!A:B,2,FALSE)))+1)/VLOOKUP(B13201,'Poids des runes'!A:B,2,FALSE))</f>
        <v>16.504999999999999</v>
      </c>
      <c r="F13201">
        <f t="shared" si="206"/>
        <v>16.504999999999999</v>
      </c>
    </row>
    <row r="13202" spans="1:6" x14ac:dyDescent="0.3">
      <c r="A13202" t="s">
        <v>2075</v>
      </c>
      <c r="B13202" t="s">
        <v>2161</v>
      </c>
      <c r="C13202">
        <v>15.5</v>
      </c>
      <c r="D13202">
        <v>193</v>
      </c>
      <c r="E13202">
        <f>IF(OR(B13202="vi",B13202="ii",B13202="pod"),(((D13202/100)*(C13202*VLOOKUP(B13202,'Poids des runes'!A:B,2,FALSE)))+1),(((D13202/100)*(C13202*VLOOKUP(B13202,'Poids des runes'!A:B,2,FALSE)))+1)/VLOOKUP(B13202,'Poids des runes'!A:B,2,FALSE))</f>
        <v>30.248333333333331</v>
      </c>
      <c r="F13202">
        <f t="shared" si="206"/>
        <v>30.248333333333331</v>
      </c>
    </row>
    <row r="13203" spans="1:6" x14ac:dyDescent="0.3">
      <c r="A13203" t="s">
        <v>2075</v>
      </c>
      <c r="B13203" t="s">
        <v>2132</v>
      </c>
      <c r="C13203">
        <v>350.5</v>
      </c>
      <c r="D13203">
        <v>193</v>
      </c>
      <c r="E13203">
        <f>IF(OR(B13203="vi",B13203="ii",B13203="pod"),(((D13203/100)*(C13203*VLOOKUP(B13203,'Poids des runes'!A:B,2,FALSE)))+1),(((D13203/100)*(C13203*VLOOKUP(B13203,'Poids des runes'!A:B,2,FALSE)))+1)/VLOOKUP(B13203,'Poids des runes'!A:B,2,FALSE))</f>
        <v>68.646500000000003</v>
      </c>
      <c r="F13203">
        <f t="shared" si="206"/>
        <v>68.646500000000003</v>
      </c>
    </row>
    <row r="13204" spans="1:6" x14ac:dyDescent="0.3">
      <c r="A13204" t="s">
        <v>2075</v>
      </c>
      <c r="B13204" t="s">
        <v>2141</v>
      </c>
      <c r="C13204">
        <v>5.5</v>
      </c>
      <c r="D13204">
        <v>193</v>
      </c>
      <c r="E13204">
        <f>IF(OR(B13204="vi",B13204="ii",B13204="pod"),(((D13204/100)*(C13204*VLOOKUP(B13204,'Poids des runes'!A:B,2,FALSE)))+1),(((D13204/100)*(C13204*VLOOKUP(B13204,'Poids des runes'!A:B,2,FALSE)))+1)/VLOOKUP(B13204,'Poids des runes'!A:B,2,FALSE))</f>
        <v>10.865</v>
      </c>
      <c r="F13204">
        <f t="shared" si="206"/>
        <v>10.865</v>
      </c>
    </row>
    <row r="13205" spans="1:6" x14ac:dyDescent="0.3">
      <c r="A13205" t="s">
        <v>2075</v>
      </c>
      <c r="B13205" t="s">
        <v>2160</v>
      </c>
      <c r="C13205">
        <v>5.5</v>
      </c>
      <c r="D13205">
        <v>193</v>
      </c>
      <c r="E13205">
        <f>IF(OR(B13205="vi",B13205="ii",B13205="pod"),(((D13205/100)*(C13205*VLOOKUP(B13205,'Poids des runes'!A:B,2,FALSE)))+1),(((D13205/100)*(C13205*VLOOKUP(B13205,'Poids des runes'!A:B,2,FALSE)))+1)/VLOOKUP(B13205,'Poids des runes'!A:B,2,FALSE))</f>
        <v>10.757857142857143</v>
      </c>
      <c r="F13205">
        <f t="shared" si="206"/>
        <v>10.757857142857143</v>
      </c>
    </row>
    <row r="13206" spans="1:6" x14ac:dyDescent="0.3">
      <c r="A13206" t="s">
        <v>2075</v>
      </c>
      <c r="B13206" t="s">
        <v>2148</v>
      </c>
      <c r="C13206">
        <v>6</v>
      </c>
      <c r="D13206">
        <v>193</v>
      </c>
      <c r="E13206">
        <f>IF(OR(B13206="vi",B13206="ii",B13206="pod"),(((D13206/100)*(C13206*VLOOKUP(B13206,'Poids des runes'!A:B,2,FALSE)))+1),(((D13206/100)*(C13206*VLOOKUP(B13206,'Poids des runes'!A:B,2,FALSE)))+1)/VLOOKUP(B13206,'Poids des runes'!A:B,2,FALSE))</f>
        <v>11.746666666666668</v>
      </c>
      <c r="F13206">
        <f t="shared" si="206"/>
        <v>11.746666666666668</v>
      </c>
    </row>
    <row r="13207" spans="1:6" x14ac:dyDescent="0.3">
      <c r="A13207" t="s">
        <v>2075</v>
      </c>
      <c r="B13207" t="s">
        <v>2157</v>
      </c>
      <c r="C13207">
        <v>6</v>
      </c>
      <c r="D13207">
        <v>193</v>
      </c>
      <c r="E13207">
        <f>IF(OR(B13207="vi",B13207="ii",B13207="pod"),(((D13207/100)*(C13207*VLOOKUP(B13207,'Poids des runes'!A:B,2,FALSE)))+1),(((D13207/100)*(C13207*VLOOKUP(B13207,'Poids des runes'!A:B,2,FALSE)))+1)/VLOOKUP(B13207,'Poids des runes'!A:B,2,FALSE))</f>
        <v>11.746666666666668</v>
      </c>
      <c r="F13207">
        <f t="shared" si="206"/>
        <v>11.746666666666668</v>
      </c>
    </row>
    <row r="13208" spans="1:6" x14ac:dyDescent="0.3">
      <c r="A13208" t="s">
        <v>2076</v>
      </c>
      <c r="B13208" t="s">
        <v>2128</v>
      </c>
      <c r="C13208">
        <v>275.5</v>
      </c>
      <c r="D13208">
        <v>194</v>
      </c>
      <c r="E13208">
        <f>IF(OR(B13208="vi",B13208="ii",B13208="pod"),(((D13208/100)*(C13208*VLOOKUP(B13208,'Poids des runes'!A:B,2,FALSE)))+1),(((D13208/100)*(C13208*VLOOKUP(B13208,'Poids des runes'!A:B,2,FALSE)))+1)/VLOOKUP(B13208,'Poids des runes'!A:B,2,FALSE))</f>
        <v>107.89400000000001</v>
      </c>
      <c r="F13208">
        <f t="shared" si="206"/>
        <v>107.89400000000001</v>
      </c>
    </row>
    <row r="13209" spans="1:6" x14ac:dyDescent="0.3">
      <c r="A13209" t="s">
        <v>2076</v>
      </c>
      <c r="B13209" t="s">
        <v>2131</v>
      </c>
      <c r="C13209">
        <v>50.5</v>
      </c>
      <c r="D13209">
        <v>194</v>
      </c>
      <c r="E13209">
        <f>IF(OR(B13209="vi",B13209="ii",B13209="pod"),(((D13209/100)*(C13209*VLOOKUP(B13209,'Poids des runes'!A:B,2,FALSE)))+1),(((D13209/100)*(C13209*VLOOKUP(B13209,'Poids des runes'!A:B,2,FALSE)))+1)/VLOOKUP(B13209,'Poids des runes'!A:B,2,FALSE))</f>
        <v>98.97</v>
      </c>
      <c r="F13209">
        <f t="shared" si="206"/>
        <v>98.97</v>
      </c>
    </row>
    <row r="13210" spans="1:6" x14ac:dyDescent="0.3">
      <c r="A13210" t="s">
        <v>2076</v>
      </c>
      <c r="B13210" t="s">
        <v>2129</v>
      </c>
      <c r="C13210">
        <v>40.5</v>
      </c>
      <c r="D13210">
        <v>194</v>
      </c>
      <c r="E13210">
        <f>IF(OR(B13210="vi",B13210="ii",B13210="pod"),(((D13210/100)*(C13210*VLOOKUP(B13210,'Poids des runes'!A:B,2,FALSE)))+1),(((D13210/100)*(C13210*VLOOKUP(B13210,'Poids des runes'!A:B,2,FALSE)))+1)/VLOOKUP(B13210,'Poids des runes'!A:B,2,FALSE))</f>
        <v>79.569999999999993</v>
      </c>
      <c r="F13210">
        <f t="shared" si="206"/>
        <v>79.569999999999993</v>
      </c>
    </row>
    <row r="13211" spans="1:6" x14ac:dyDescent="0.3">
      <c r="A13211" t="s">
        <v>2076</v>
      </c>
      <c r="B13211" t="s">
        <v>2151</v>
      </c>
      <c r="C13211">
        <v>3.5</v>
      </c>
      <c r="D13211">
        <v>194</v>
      </c>
      <c r="E13211">
        <f>IF(OR(B13211="vi",B13211="ii",B13211="pod"),(((D13211/100)*(C13211*VLOOKUP(B13211,'Poids des runes'!A:B,2,FALSE)))+1),(((D13211/100)*(C13211*VLOOKUP(B13211,'Poids des runes'!A:B,2,FALSE)))+1)/VLOOKUP(B13211,'Poids des runes'!A:B,2,FALSE))</f>
        <v>6.8899999999999988</v>
      </c>
      <c r="F13211">
        <f t="shared" si="206"/>
        <v>6.8899999999999988</v>
      </c>
    </row>
    <row r="13212" spans="1:6" x14ac:dyDescent="0.3">
      <c r="A13212" t="s">
        <v>2076</v>
      </c>
      <c r="B13212" t="s">
        <v>2150</v>
      </c>
      <c r="C13212">
        <v>1.5</v>
      </c>
      <c r="D13212">
        <v>194</v>
      </c>
      <c r="E13212">
        <f>IF(OR(B13212="vi",B13212="ii",B13212="pod"),(((D13212/100)*(C13212*VLOOKUP(B13212,'Poids des runes'!A:B,2,FALSE)))+1),(((D13212/100)*(C13212*VLOOKUP(B13212,'Poids des runes'!A:B,2,FALSE)))+1)/VLOOKUP(B13212,'Poids des runes'!A:B,2,FALSE))</f>
        <v>2.9433333333333334</v>
      </c>
      <c r="F13212">
        <f t="shared" si="206"/>
        <v>2.9433333333333334</v>
      </c>
    </row>
    <row r="13213" spans="1:6" x14ac:dyDescent="0.3">
      <c r="A13213" t="s">
        <v>2076</v>
      </c>
      <c r="B13213" t="s">
        <v>2133</v>
      </c>
      <c r="C13213">
        <v>10.5</v>
      </c>
      <c r="D13213">
        <v>194</v>
      </c>
      <c r="E13213">
        <f>IF(OR(B13213="vi",B13213="ii",B13213="pod"),(((D13213/100)*(C13213*VLOOKUP(B13213,'Poids des runes'!A:B,2,FALSE)))+1),(((D13213/100)*(C13213*VLOOKUP(B13213,'Poids des runes'!A:B,2,FALSE)))+1)/VLOOKUP(B13213,'Poids des runes'!A:B,2,FALSE))</f>
        <v>20.57</v>
      </c>
      <c r="F13213">
        <f t="shared" si="206"/>
        <v>20.57</v>
      </c>
    </row>
    <row r="13214" spans="1:6" x14ac:dyDescent="0.3">
      <c r="A13214" t="s">
        <v>2076</v>
      </c>
      <c r="B13214" t="s">
        <v>2161</v>
      </c>
      <c r="C13214">
        <v>25.5</v>
      </c>
      <c r="D13214">
        <v>194</v>
      </c>
      <c r="E13214">
        <f>IF(OR(B13214="vi",B13214="ii",B13214="pod"),(((D13214/100)*(C13214*VLOOKUP(B13214,'Poids des runes'!A:B,2,FALSE)))+1),(((D13214/100)*(C13214*VLOOKUP(B13214,'Poids des runes'!A:B,2,FALSE)))+1)/VLOOKUP(B13214,'Poids des runes'!A:B,2,FALSE))</f>
        <v>49.803333333333335</v>
      </c>
      <c r="F13214">
        <f t="shared" si="206"/>
        <v>49.803333333333335</v>
      </c>
    </row>
    <row r="13215" spans="1:6" x14ac:dyDescent="0.3">
      <c r="A13215" t="s">
        <v>2076</v>
      </c>
      <c r="B13215" t="s">
        <v>2141</v>
      </c>
      <c r="C13215">
        <v>8.5</v>
      </c>
      <c r="D13215">
        <v>194</v>
      </c>
      <c r="E13215">
        <f>IF(OR(B13215="vi",B13215="ii",B13215="pod"),(((D13215/100)*(C13215*VLOOKUP(B13215,'Poids des runes'!A:B,2,FALSE)))+1),(((D13215/100)*(C13215*VLOOKUP(B13215,'Poids des runes'!A:B,2,FALSE)))+1)/VLOOKUP(B13215,'Poids des runes'!A:B,2,FALSE))</f>
        <v>16.739999999999998</v>
      </c>
      <c r="F13215">
        <f t="shared" si="206"/>
        <v>16.739999999999998</v>
      </c>
    </row>
    <row r="13216" spans="1:6" x14ac:dyDescent="0.3">
      <c r="A13216" t="s">
        <v>2076</v>
      </c>
      <c r="B13216" t="s">
        <v>2159</v>
      </c>
      <c r="C13216">
        <v>4.5</v>
      </c>
      <c r="D13216">
        <v>194</v>
      </c>
      <c r="E13216">
        <f>IF(OR(B13216="vi",B13216="ii",B13216="pod"),(((D13216/100)*(C13216*VLOOKUP(B13216,'Poids des runes'!A:B,2,FALSE)))+1),(((D13216/100)*(C13216*VLOOKUP(B13216,'Poids des runes'!A:B,2,FALSE)))+1)/VLOOKUP(B13216,'Poids des runes'!A:B,2,FALSE))</f>
        <v>8.8728571428571428</v>
      </c>
      <c r="F13216">
        <f t="shared" si="206"/>
        <v>8.8728571428571428</v>
      </c>
    </row>
    <row r="13217" spans="1:6" x14ac:dyDescent="0.3">
      <c r="A13217" t="s">
        <v>2076</v>
      </c>
      <c r="B13217" t="s">
        <v>2156</v>
      </c>
      <c r="C13217">
        <v>5</v>
      </c>
      <c r="D13217">
        <v>194</v>
      </c>
      <c r="E13217">
        <f>IF(OR(B13217="vi",B13217="ii",B13217="pod"),(((D13217/100)*(C13217*VLOOKUP(B13217,'Poids des runes'!A:B,2,FALSE)))+1),(((D13217/100)*(C13217*VLOOKUP(B13217,'Poids des runes'!A:B,2,FALSE)))+1)/VLOOKUP(B13217,'Poids des runes'!A:B,2,FALSE))</f>
        <v>9.8666666666666654</v>
      </c>
      <c r="F13217">
        <f t="shared" si="206"/>
        <v>9.8666666666666654</v>
      </c>
    </row>
    <row r="13218" spans="1:6" x14ac:dyDescent="0.3">
      <c r="A13218" t="s">
        <v>2076</v>
      </c>
      <c r="B13218" t="s">
        <v>2145</v>
      </c>
      <c r="C13218">
        <v>13</v>
      </c>
      <c r="D13218">
        <v>194</v>
      </c>
      <c r="E13218">
        <f>IF(OR(B13218="vi",B13218="ii",B13218="pod"),(((D13218/100)*(C13218*VLOOKUP(B13218,'Poids des runes'!A:B,2,FALSE)))+1),(((D13218/100)*(C13218*VLOOKUP(B13218,'Poids des runes'!A:B,2,FALSE)))+1)/VLOOKUP(B13218,'Poids des runes'!A:B,2,FALSE))</f>
        <v>25.72</v>
      </c>
      <c r="F13218">
        <f t="shared" si="206"/>
        <v>25.72</v>
      </c>
    </row>
    <row r="13219" spans="1:6" x14ac:dyDescent="0.3">
      <c r="A13219" t="s">
        <v>2076</v>
      </c>
      <c r="B13219" t="s">
        <v>2146</v>
      </c>
      <c r="C13219">
        <v>13</v>
      </c>
      <c r="D13219">
        <v>194</v>
      </c>
      <c r="E13219">
        <f>IF(OR(B13219="vi",B13219="ii",B13219="pod"),(((D13219/100)*(C13219*VLOOKUP(B13219,'Poids des runes'!A:B,2,FALSE)))+1),(((D13219/100)*(C13219*VLOOKUP(B13219,'Poids des runes'!A:B,2,FALSE)))+1)/VLOOKUP(B13219,'Poids des runes'!A:B,2,FALSE))</f>
        <v>25.72</v>
      </c>
      <c r="F13219">
        <f t="shared" si="206"/>
        <v>25.72</v>
      </c>
    </row>
    <row r="13220" spans="1:6" x14ac:dyDescent="0.3">
      <c r="A13220" t="s">
        <v>2077</v>
      </c>
      <c r="B13220" t="s">
        <v>2128</v>
      </c>
      <c r="C13220">
        <v>325.5</v>
      </c>
      <c r="D13220">
        <v>194</v>
      </c>
      <c r="E13220">
        <f>IF(OR(B13220="vi",B13220="ii",B13220="pod"),(((D13220/100)*(C13220*VLOOKUP(B13220,'Poids des runes'!A:B,2,FALSE)))+1),(((D13220/100)*(C13220*VLOOKUP(B13220,'Poids des runes'!A:B,2,FALSE)))+1)/VLOOKUP(B13220,'Poids des runes'!A:B,2,FALSE))</f>
        <v>127.29400000000001</v>
      </c>
      <c r="F13220">
        <f t="shared" si="206"/>
        <v>127.29400000000001</v>
      </c>
    </row>
    <row r="13221" spans="1:6" x14ac:dyDescent="0.3">
      <c r="A13221" t="s">
        <v>2077</v>
      </c>
      <c r="B13221" t="s">
        <v>2129</v>
      </c>
      <c r="C13221">
        <v>40.5</v>
      </c>
      <c r="D13221">
        <v>194</v>
      </c>
      <c r="E13221">
        <f>IF(OR(B13221="vi",B13221="ii",B13221="pod"),(((D13221/100)*(C13221*VLOOKUP(B13221,'Poids des runes'!A:B,2,FALSE)))+1),(((D13221/100)*(C13221*VLOOKUP(B13221,'Poids des runes'!A:B,2,FALSE)))+1)/VLOOKUP(B13221,'Poids des runes'!A:B,2,FALSE))</f>
        <v>79.569999999999993</v>
      </c>
      <c r="F13221">
        <f t="shared" si="206"/>
        <v>79.569999999999993</v>
      </c>
    </row>
    <row r="13222" spans="1:6" x14ac:dyDescent="0.3">
      <c r="A13222" t="s">
        <v>2077</v>
      </c>
      <c r="B13222" t="s">
        <v>2139</v>
      </c>
      <c r="C13222">
        <v>63</v>
      </c>
      <c r="D13222">
        <v>194</v>
      </c>
      <c r="E13222">
        <f>IF(OR(B13222="vi",B13222="ii",B13222="pod"),(((D13222/100)*(C13222*VLOOKUP(B13222,'Poids des runes'!A:B,2,FALSE)))+1),(((D13222/100)*(C13222*VLOOKUP(B13222,'Poids des runes'!A:B,2,FALSE)))+1)/VLOOKUP(B13222,'Poids des runes'!A:B,2,FALSE))</f>
        <v>122.72</v>
      </c>
      <c r="F13222">
        <f t="shared" si="206"/>
        <v>122.72</v>
      </c>
    </row>
    <row r="13223" spans="1:6" x14ac:dyDescent="0.3">
      <c r="A13223" t="s">
        <v>2077</v>
      </c>
      <c r="B13223" t="s">
        <v>2151</v>
      </c>
      <c r="C13223">
        <v>3.5</v>
      </c>
      <c r="D13223">
        <v>194</v>
      </c>
      <c r="E13223">
        <f>IF(OR(B13223="vi",B13223="ii",B13223="pod"),(((D13223/100)*(C13223*VLOOKUP(B13223,'Poids des runes'!A:B,2,FALSE)))+1),(((D13223/100)*(C13223*VLOOKUP(B13223,'Poids des runes'!A:B,2,FALSE)))+1)/VLOOKUP(B13223,'Poids des runes'!A:B,2,FALSE))</f>
        <v>6.8899999999999988</v>
      </c>
      <c r="F13223">
        <f t="shared" si="206"/>
        <v>6.8899999999999988</v>
      </c>
    </row>
    <row r="13224" spans="1:6" x14ac:dyDescent="0.3">
      <c r="A13224" t="s">
        <v>2077</v>
      </c>
      <c r="B13224" t="s">
        <v>2155</v>
      </c>
      <c r="C13224">
        <v>1</v>
      </c>
      <c r="D13224">
        <v>194</v>
      </c>
      <c r="E13224">
        <f>IF(OR(B13224="vi",B13224="ii",B13224="pod"),(((D13224/100)*(C13224*VLOOKUP(B13224,'Poids des runes'!A:B,2,FALSE)))+1),(((D13224/100)*(C13224*VLOOKUP(B13224,'Poids des runes'!A:B,2,FALSE)))+1)/VLOOKUP(B13224,'Poids des runes'!A:B,2,FALSE))</f>
        <v>1.9596078431372548</v>
      </c>
      <c r="F13224">
        <f t="shared" si="206"/>
        <v>1.9596078431372548</v>
      </c>
    </row>
    <row r="13225" spans="1:6" x14ac:dyDescent="0.3">
      <c r="A13225" t="s">
        <v>2077</v>
      </c>
      <c r="B13225" t="s">
        <v>2134</v>
      </c>
      <c r="C13225">
        <v>10.5</v>
      </c>
      <c r="D13225">
        <v>194</v>
      </c>
      <c r="E13225">
        <f>IF(OR(B13225="vi",B13225="ii",B13225="pod"),(((D13225/100)*(C13225*VLOOKUP(B13225,'Poids des runes'!A:B,2,FALSE)))+1),(((D13225/100)*(C13225*VLOOKUP(B13225,'Poids des runes'!A:B,2,FALSE)))+1)/VLOOKUP(B13225,'Poids des runes'!A:B,2,FALSE))</f>
        <v>20.419999999999998</v>
      </c>
      <c r="F13225">
        <f t="shared" si="206"/>
        <v>20.419999999999998</v>
      </c>
    </row>
    <row r="13226" spans="1:6" x14ac:dyDescent="0.3">
      <c r="A13226" t="s">
        <v>2077</v>
      </c>
      <c r="B13226" t="s">
        <v>2161</v>
      </c>
      <c r="C13226">
        <v>13</v>
      </c>
      <c r="D13226">
        <v>194</v>
      </c>
      <c r="E13226">
        <f>IF(OR(B13226="vi",B13226="ii",B13226="pod"),(((D13226/100)*(C13226*VLOOKUP(B13226,'Poids des runes'!A:B,2,FALSE)))+1),(((D13226/100)*(C13226*VLOOKUP(B13226,'Poids des runes'!A:B,2,FALSE)))+1)/VLOOKUP(B13226,'Poids des runes'!A:B,2,FALSE))</f>
        <v>25.553333333333331</v>
      </c>
      <c r="F13226">
        <f t="shared" si="206"/>
        <v>25.553333333333331</v>
      </c>
    </row>
    <row r="13227" spans="1:6" x14ac:dyDescent="0.3">
      <c r="A13227" t="s">
        <v>2077</v>
      </c>
      <c r="B13227" t="s">
        <v>2158</v>
      </c>
      <c r="C13227">
        <v>18</v>
      </c>
      <c r="D13227">
        <v>194</v>
      </c>
      <c r="E13227">
        <f>IF(OR(B13227="vi",B13227="ii",B13227="pod"),(((D13227/100)*(C13227*VLOOKUP(B13227,'Poids des runes'!A:B,2,FALSE)))+1),(((D13227/100)*(C13227*VLOOKUP(B13227,'Poids des runes'!A:B,2,FALSE)))+1)/VLOOKUP(B13227,'Poids des runes'!A:B,2,FALSE))</f>
        <v>35.119999999999997</v>
      </c>
      <c r="F13227">
        <f t="shared" si="206"/>
        <v>35.119999999999997</v>
      </c>
    </row>
    <row r="13228" spans="1:6" x14ac:dyDescent="0.3">
      <c r="A13228" t="s">
        <v>2077</v>
      </c>
      <c r="B13228" t="s">
        <v>2164</v>
      </c>
      <c r="C13228">
        <v>18</v>
      </c>
      <c r="D13228">
        <v>194</v>
      </c>
      <c r="E13228">
        <f>IF(OR(B13228="vi",B13228="ii",B13228="pod"),(((D13228/100)*(C13228*VLOOKUP(B13228,'Poids des runes'!A:B,2,FALSE)))+1),(((D13228/100)*(C13228*VLOOKUP(B13228,'Poids des runes'!A:B,2,FALSE)))+1)/VLOOKUP(B13228,'Poids des runes'!A:B,2,FALSE))</f>
        <v>35.42</v>
      </c>
      <c r="F13228">
        <f t="shared" si="206"/>
        <v>35.42</v>
      </c>
    </row>
    <row r="13229" spans="1:6" x14ac:dyDescent="0.3">
      <c r="A13229" t="s">
        <v>2077</v>
      </c>
      <c r="B13229" t="s">
        <v>2136</v>
      </c>
      <c r="C13229">
        <v>18</v>
      </c>
      <c r="D13229">
        <v>194</v>
      </c>
      <c r="E13229">
        <f>IF(OR(B13229="vi",B13229="ii",B13229="pod"),(((D13229/100)*(C13229*VLOOKUP(B13229,'Poids des runes'!A:B,2,FALSE)))+1),(((D13229/100)*(C13229*VLOOKUP(B13229,'Poids des runes'!A:B,2,FALSE)))+1)/VLOOKUP(B13229,'Poids des runes'!A:B,2,FALSE))</f>
        <v>35.42</v>
      </c>
      <c r="F13229">
        <f t="shared" si="206"/>
        <v>35.42</v>
      </c>
    </row>
    <row r="13230" spans="1:6" x14ac:dyDescent="0.3">
      <c r="A13230" t="s">
        <v>2077</v>
      </c>
      <c r="B13230" t="s">
        <v>2145</v>
      </c>
      <c r="C13230">
        <v>18</v>
      </c>
      <c r="D13230">
        <v>194</v>
      </c>
      <c r="E13230">
        <f>IF(OR(B13230="vi",B13230="ii",B13230="pod"),(((D13230/100)*(C13230*VLOOKUP(B13230,'Poids des runes'!A:B,2,FALSE)))+1),(((D13230/100)*(C13230*VLOOKUP(B13230,'Poids des runes'!A:B,2,FALSE)))+1)/VLOOKUP(B13230,'Poids des runes'!A:B,2,FALSE))</f>
        <v>35.42</v>
      </c>
      <c r="F13230">
        <f t="shared" si="206"/>
        <v>35.42</v>
      </c>
    </row>
    <row r="13231" spans="1:6" x14ac:dyDescent="0.3">
      <c r="A13231" t="s">
        <v>2078</v>
      </c>
      <c r="B13231" t="s">
        <v>2128</v>
      </c>
      <c r="C13231">
        <v>225.5</v>
      </c>
      <c r="D13231">
        <v>194</v>
      </c>
      <c r="E13231">
        <f>IF(OR(B13231="vi",B13231="ii",B13231="pod"),(((D13231/100)*(C13231*VLOOKUP(B13231,'Poids des runes'!A:B,2,FALSE)))+1),(((D13231/100)*(C13231*VLOOKUP(B13231,'Poids des runes'!A:B,2,FALSE)))+1)/VLOOKUP(B13231,'Poids des runes'!A:B,2,FALSE))</f>
        <v>88.494</v>
      </c>
      <c r="F13231">
        <f t="shared" si="206"/>
        <v>88.494</v>
      </c>
    </row>
    <row r="13232" spans="1:6" x14ac:dyDescent="0.3">
      <c r="A13232" t="s">
        <v>2078</v>
      </c>
      <c r="B13232" t="s">
        <v>2130</v>
      </c>
      <c r="C13232">
        <v>50.5</v>
      </c>
      <c r="D13232">
        <v>194</v>
      </c>
      <c r="E13232">
        <f>IF(OR(B13232="vi",B13232="ii",B13232="pod"),(((D13232/100)*(C13232*VLOOKUP(B13232,'Poids des runes'!A:B,2,FALSE)))+1),(((D13232/100)*(C13232*VLOOKUP(B13232,'Poids des runes'!A:B,2,FALSE)))+1)/VLOOKUP(B13232,'Poids des runes'!A:B,2,FALSE))</f>
        <v>98.97</v>
      </c>
      <c r="F13232">
        <f t="shared" si="206"/>
        <v>98.97</v>
      </c>
    </row>
    <row r="13233" spans="1:6" x14ac:dyDescent="0.3">
      <c r="A13233" t="s">
        <v>2078</v>
      </c>
      <c r="B13233" t="s">
        <v>2126</v>
      </c>
      <c r="C13233">
        <v>50.5</v>
      </c>
      <c r="D13233">
        <v>194</v>
      </c>
      <c r="E13233">
        <f>IF(OR(B13233="vi",B13233="ii",B13233="pod"),(((D13233/100)*(C13233*VLOOKUP(B13233,'Poids des runes'!A:B,2,FALSE)))+1),(((D13233/100)*(C13233*VLOOKUP(B13233,'Poids des runes'!A:B,2,FALSE)))+1)/VLOOKUP(B13233,'Poids des runes'!A:B,2,FALSE))</f>
        <v>98.97</v>
      </c>
      <c r="F13233">
        <f t="shared" si="206"/>
        <v>98.97</v>
      </c>
    </row>
    <row r="13234" spans="1:6" x14ac:dyDescent="0.3">
      <c r="A13234" t="s">
        <v>2078</v>
      </c>
      <c r="B13234" t="s">
        <v>2129</v>
      </c>
      <c r="C13234">
        <v>40.5</v>
      </c>
      <c r="D13234">
        <v>194</v>
      </c>
      <c r="E13234">
        <f>IF(OR(B13234="vi",B13234="ii",B13234="pod"),(((D13234/100)*(C13234*VLOOKUP(B13234,'Poids des runes'!A:B,2,FALSE)))+1),(((D13234/100)*(C13234*VLOOKUP(B13234,'Poids des runes'!A:B,2,FALSE)))+1)/VLOOKUP(B13234,'Poids des runes'!A:B,2,FALSE))</f>
        <v>79.569999999999993</v>
      </c>
      <c r="F13234">
        <f t="shared" si="206"/>
        <v>79.569999999999993</v>
      </c>
    </row>
    <row r="13235" spans="1:6" x14ac:dyDescent="0.3">
      <c r="A13235" t="s">
        <v>2078</v>
      </c>
      <c r="B13235" t="s">
        <v>2155</v>
      </c>
      <c r="C13235">
        <v>2</v>
      </c>
      <c r="D13235">
        <v>194</v>
      </c>
      <c r="E13235">
        <f>IF(OR(B13235="vi",B13235="ii",B13235="pod"),(((D13235/100)*(C13235*VLOOKUP(B13235,'Poids des runes'!A:B,2,FALSE)))+1),(((D13235/100)*(C13235*VLOOKUP(B13235,'Poids des runes'!A:B,2,FALSE)))+1)/VLOOKUP(B13235,'Poids des runes'!A:B,2,FALSE))</f>
        <v>3.8996078431372547</v>
      </c>
      <c r="F13235">
        <f t="shared" si="206"/>
        <v>3.8996078431372547</v>
      </c>
    </row>
    <row r="13236" spans="1:6" x14ac:dyDescent="0.3">
      <c r="A13236" t="s">
        <v>2078</v>
      </c>
      <c r="B13236" t="s">
        <v>2143</v>
      </c>
      <c r="C13236">
        <v>8.5</v>
      </c>
      <c r="D13236">
        <v>194</v>
      </c>
      <c r="E13236">
        <f>IF(OR(B13236="vi",B13236="ii",B13236="pod"),(((D13236/100)*(C13236*VLOOKUP(B13236,'Poids des runes'!A:B,2,FALSE)))+1),(((D13236/100)*(C13236*VLOOKUP(B13236,'Poids des runes'!A:B,2,FALSE)))+1)/VLOOKUP(B13236,'Poids des runes'!A:B,2,FALSE))</f>
        <v>16.690000000000001</v>
      </c>
      <c r="F13236">
        <f t="shared" si="206"/>
        <v>16.690000000000001</v>
      </c>
    </row>
    <row r="13237" spans="1:6" x14ac:dyDescent="0.3">
      <c r="A13237" t="s">
        <v>2078</v>
      </c>
      <c r="B13237" t="s">
        <v>2140</v>
      </c>
      <c r="C13237">
        <v>8.5</v>
      </c>
      <c r="D13237">
        <v>194</v>
      </c>
      <c r="E13237">
        <f>IF(OR(B13237="vi",B13237="ii",B13237="pod"),(((D13237/100)*(C13237*VLOOKUP(B13237,'Poids des runes'!A:B,2,FALSE)))+1),(((D13237/100)*(C13237*VLOOKUP(B13237,'Poids des runes'!A:B,2,FALSE)))+1)/VLOOKUP(B13237,'Poids des runes'!A:B,2,FALSE))</f>
        <v>16.690000000000001</v>
      </c>
      <c r="F13237">
        <f t="shared" si="206"/>
        <v>16.690000000000001</v>
      </c>
    </row>
    <row r="13238" spans="1:6" x14ac:dyDescent="0.3">
      <c r="A13238" t="s">
        <v>2078</v>
      </c>
      <c r="B13238" t="s">
        <v>2149</v>
      </c>
      <c r="C13238">
        <v>5</v>
      </c>
      <c r="D13238">
        <v>194</v>
      </c>
      <c r="E13238">
        <f>IF(OR(B13238="vi",B13238="ii",B13238="pod"),(((D13238/100)*(C13238*VLOOKUP(B13238,'Poids des runes'!A:B,2,FALSE)))+1),(((D13238/100)*(C13238*VLOOKUP(B13238,'Poids des runes'!A:B,2,FALSE)))+1)/VLOOKUP(B13238,'Poids des runes'!A:B,2,FALSE))</f>
        <v>9.8000000000000007</v>
      </c>
      <c r="F13238">
        <f t="shared" si="206"/>
        <v>9.8000000000000007</v>
      </c>
    </row>
    <row r="13239" spans="1:6" x14ac:dyDescent="0.3">
      <c r="A13239" t="s">
        <v>2078</v>
      </c>
      <c r="B13239" t="s">
        <v>2161</v>
      </c>
      <c r="C13239">
        <v>18</v>
      </c>
      <c r="D13239">
        <v>194</v>
      </c>
      <c r="E13239">
        <f>IF(OR(B13239="vi",B13239="ii",B13239="pod"),(((D13239/100)*(C13239*VLOOKUP(B13239,'Poids des runes'!A:B,2,FALSE)))+1),(((D13239/100)*(C13239*VLOOKUP(B13239,'Poids des runes'!A:B,2,FALSE)))+1)/VLOOKUP(B13239,'Poids des runes'!A:B,2,FALSE))</f>
        <v>35.25333333333333</v>
      </c>
      <c r="F13239">
        <f t="shared" si="206"/>
        <v>35.25333333333333</v>
      </c>
    </row>
    <row r="13240" spans="1:6" x14ac:dyDescent="0.3">
      <c r="A13240" t="s">
        <v>2078</v>
      </c>
      <c r="B13240" t="s">
        <v>2141</v>
      </c>
      <c r="C13240">
        <v>10</v>
      </c>
      <c r="D13240">
        <v>194</v>
      </c>
      <c r="E13240">
        <f>IF(OR(B13240="vi",B13240="ii",B13240="pod"),(((D13240/100)*(C13240*VLOOKUP(B13240,'Poids des runes'!A:B,2,FALSE)))+1),(((D13240/100)*(C13240*VLOOKUP(B13240,'Poids des runes'!A:B,2,FALSE)))+1)/VLOOKUP(B13240,'Poids des runes'!A:B,2,FALSE))</f>
        <v>19.649999999999999</v>
      </c>
      <c r="F13240">
        <f t="shared" si="206"/>
        <v>19.649999999999999</v>
      </c>
    </row>
    <row r="13241" spans="1:6" x14ac:dyDescent="0.3">
      <c r="A13241" t="s">
        <v>2078</v>
      </c>
      <c r="B13241" t="s">
        <v>2147</v>
      </c>
      <c r="C13241">
        <v>6</v>
      </c>
      <c r="D13241">
        <v>194</v>
      </c>
      <c r="E13241">
        <f>IF(OR(B13241="vi",B13241="ii",B13241="pod"),(((D13241/100)*(C13241*VLOOKUP(B13241,'Poids des runes'!A:B,2,FALSE)))+1),(((D13241/100)*(C13241*VLOOKUP(B13241,'Poids des runes'!A:B,2,FALSE)))+1)/VLOOKUP(B13241,'Poids des runes'!A:B,2,FALSE))</f>
        <v>11.806666666666667</v>
      </c>
      <c r="F13241">
        <f t="shared" si="206"/>
        <v>11.806666666666667</v>
      </c>
    </row>
    <row r="13242" spans="1:6" x14ac:dyDescent="0.3">
      <c r="A13242" t="s">
        <v>2078</v>
      </c>
      <c r="B13242" t="s">
        <v>2157</v>
      </c>
      <c r="C13242">
        <v>6</v>
      </c>
      <c r="D13242">
        <v>194</v>
      </c>
      <c r="E13242">
        <f>IF(OR(B13242="vi",B13242="ii",B13242="pod"),(((D13242/100)*(C13242*VLOOKUP(B13242,'Poids des runes'!A:B,2,FALSE)))+1),(((D13242/100)*(C13242*VLOOKUP(B13242,'Poids des runes'!A:B,2,FALSE)))+1)/VLOOKUP(B13242,'Poids des runes'!A:B,2,FALSE))</f>
        <v>11.806666666666667</v>
      </c>
      <c r="F13242">
        <f t="shared" si="206"/>
        <v>11.806666666666667</v>
      </c>
    </row>
    <row r="13243" spans="1:6" x14ac:dyDescent="0.3">
      <c r="A13243" t="s">
        <v>2079</v>
      </c>
      <c r="B13243" t="s">
        <v>2128</v>
      </c>
      <c r="C13243">
        <v>325.5</v>
      </c>
      <c r="D13243">
        <v>194</v>
      </c>
      <c r="E13243">
        <f>IF(OR(B13243="vi",B13243="ii",B13243="pod"),(((D13243/100)*(C13243*VLOOKUP(B13243,'Poids des runes'!A:B,2,FALSE)))+1),(((D13243/100)*(C13243*VLOOKUP(B13243,'Poids des runes'!A:B,2,FALSE)))+1)/VLOOKUP(B13243,'Poids des runes'!A:B,2,FALSE))</f>
        <v>127.29400000000001</v>
      </c>
      <c r="F13243">
        <f t="shared" si="206"/>
        <v>127.29400000000001</v>
      </c>
    </row>
    <row r="13244" spans="1:6" x14ac:dyDescent="0.3">
      <c r="A13244" t="s">
        <v>2079</v>
      </c>
      <c r="B13244" t="s">
        <v>2129</v>
      </c>
      <c r="C13244">
        <v>40.5</v>
      </c>
      <c r="D13244">
        <v>194</v>
      </c>
      <c r="E13244">
        <f>IF(OR(B13244="vi",B13244="ii",B13244="pod"),(((D13244/100)*(C13244*VLOOKUP(B13244,'Poids des runes'!A:B,2,FALSE)))+1),(((D13244/100)*(C13244*VLOOKUP(B13244,'Poids des runes'!A:B,2,FALSE)))+1)/VLOOKUP(B13244,'Poids des runes'!A:B,2,FALSE))</f>
        <v>79.569999999999993</v>
      </c>
      <c r="F13244">
        <f t="shared" si="206"/>
        <v>79.569999999999993</v>
      </c>
    </row>
    <row r="13245" spans="1:6" x14ac:dyDescent="0.3">
      <c r="A13245" t="s">
        <v>2079</v>
      </c>
      <c r="B13245" t="s">
        <v>2151</v>
      </c>
      <c r="C13245">
        <v>5</v>
      </c>
      <c r="D13245">
        <v>194</v>
      </c>
      <c r="E13245">
        <f>IF(OR(B13245="vi",B13245="ii",B13245="pod"),(((D13245/100)*(C13245*VLOOKUP(B13245,'Poids des runes'!A:B,2,FALSE)))+1),(((D13245/100)*(C13245*VLOOKUP(B13245,'Poids des runes'!A:B,2,FALSE)))+1)/VLOOKUP(B13245,'Poids des runes'!A:B,2,FALSE))</f>
        <v>9.8000000000000007</v>
      </c>
      <c r="F13245">
        <f t="shared" si="206"/>
        <v>9.8000000000000007</v>
      </c>
    </row>
    <row r="13246" spans="1:6" x14ac:dyDescent="0.3">
      <c r="A13246" t="s">
        <v>2079</v>
      </c>
      <c r="B13246" t="s">
        <v>2155</v>
      </c>
      <c r="C13246">
        <v>1</v>
      </c>
      <c r="D13246">
        <v>194</v>
      </c>
      <c r="E13246">
        <f>IF(OR(B13246="vi",B13246="ii",B13246="pod"),(((D13246/100)*(C13246*VLOOKUP(B13246,'Poids des runes'!A:B,2,FALSE)))+1),(((D13246/100)*(C13246*VLOOKUP(B13246,'Poids des runes'!A:B,2,FALSE)))+1)/VLOOKUP(B13246,'Poids des runes'!A:B,2,FALSE))</f>
        <v>1.9596078431372548</v>
      </c>
      <c r="F13246">
        <f t="shared" si="206"/>
        <v>1.9596078431372548</v>
      </c>
    </row>
    <row r="13247" spans="1:6" x14ac:dyDescent="0.3">
      <c r="A13247" t="s">
        <v>2079</v>
      </c>
      <c r="B13247" t="s">
        <v>2161</v>
      </c>
      <c r="C13247">
        <v>13</v>
      </c>
      <c r="D13247">
        <v>194</v>
      </c>
      <c r="E13247">
        <f>IF(OR(B13247="vi",B13247="ii",B13247="pod"),(((D13247/100)*(C13247*VLOOKUP(B13247,'Poids des runes'!A:B,2,FALSE)))+1),(((D13247/100)*(C13247*VLOOKUP(B13247,'Poids des runes'!A:B,2,FALSE)))+1)/VLOOKUP(B13247,'Poids des runes'!A:B,2,FALSE))</f>
        <v>25.553333333333331</v>
      </c>
      <c r="F13247">
        <f t="shared" si="206"/>
        <v>25.553333333333331</v>
      </c>
    </row>
    <row r="13248" spans="1:6" x14ac:dyDescent="0.3">
      <c r="A13248" t="s">
        <v>2079</v>
      </c>
      <c r="B13248" t="s">
        <v>2138</v>
      </c>
      <c r="C13248">
        <v>8.5</v>
      </c>
      <c r="D13248">
        <v>194</v>
      </c>
      <c r="E13248">
        <f>IF(OR(B13248="vi",B13248="ii",B13248="pod"),(((D13248/100)*(C13248*VLOOKUP(B13248,'Poids des runes'!A:B,2,FALSE)))+1),(((D13248/100)*(C13248*VLOOKUP(B13248,'Poids des runes'!A:B,2,FALSE)))+1)/VLOOKUP(B13248,'Poids des runes'!A:B,2,FALSE))</f>
        <v>16.739999999999998</v>
      </c>
      <c r="F13248">
        <f t="shared" si="206"/>
        <v>16.739999999999998</v>
      </c>
    </row>
    <row r="13249" spans="1:6" x14ac:dyDescent="0.3">
      <c r="A13249" t="s">
        <v>2079</v>
      </c>
      <c r="B13249" t="s">
        <v>2165</v>
      </c>
      <c r="C13249">
        <v>5</v>
      </c>
      <c r="D13249">
        <v>194</v>
      </c>
      <c r="E13249">
        <f>IF(OR(B13249="vi",B13249="ii",B13249="pod"),(((D13249/100)*(C13249*VLOOKUP(B13249,'Poids des runes'!A:B,2,FALSE)))+1),(((D13249/100)*(C13249*VLOOKUP(B13249,'Poids des runes'!A:B,2,FALSE)))+1)/VLOOKUP(B13249,'Poids des runes'!A:B,2,FALSE))</f>
        <v>9.8428571428571416</v>
      </c>
      <c r="F13249">
        <f t="shared" si="206"/>
        <v>9.8428571428571416</v>
      </c>
    </row>
    <row r="13250" spans="1:6" x14ac:dyDescent="0.3">
      <c r="A13250" t="s">
        <v>2079</v>
      </c>
      <c r="B13250" t="s">
        <v>2148</v>
      </c>
      <c r="C13250">
        <v>8.5</v>
      </c>
      <c r="D13250">
        <v>194</v>
      </c>
      <c r="E13250">
        <f>IF(OR(B13250="vi",B13250="ii",B13250="pod"),(((D13250/100)*(C13250*VLOOKUP(B13250,'Poids des runes'!A:B,2,FALSE)))+1),(((D13250/100)*(C13250*VLOOKUP(B13250,'Poids des runes'!A:B,2,FALSE)))+1)/VLOOKUP(B13250,'Poids des runes'!A:B,2,FALSE))</f>
        <v>16.656666666666666</v>
      </c>
      <c r="F13250">
        <f t="shared" si="206"/>
        <v>16.656666666666666</v>
      </c>
    </row>
    <row r="13251" spans="1:6" x14ac:dyDescent="0.3">
      <c r="A13251" t="s">
        <v>2079</v>
      </c>
      <c r="B13251" t="s">
        <v>2147</v>
      </c>
      <c r="C13251">
        <v>8.5</v>
      </c>
      <c r="D13251">
        <v>194</v>
      </c>
      <c r="E13251">
        <f>IF(OR(B13251="vi",B13251="ii",B13251="pod"),(((D13251/100)*(C13251*VLOOKUP(B13251,'Poids des runes'!A:B,2,FALSE)))+1),(((D13251/100)*(C13251*VLOOKUP(B13251,'Poids des runes'!A:B,2,FALSE)))+1)/VLOOKUP(B13251,'Poids des runes'!A:B,2,FALSE))</f>
        <v>16.656666666666666</v>
      </c>
      <c r="F13251">
        <f t="shared" ref="F13251:F13314" si="207">E13251</f>
        <v>16.656666666666666</v>
      </c>
    </row>
    <row r="13252" spans="1:6" x14ac:dyDescent="0.3">
      <c r="A13252" t="s">
        <v>2079</v>
      </c>
      <c r="B13252" t="s">
        <v>2135</v>
      </c>
      <c r="C13252">
        <v>8.5</v>
      </c>
      <c r="D13252">
        <v>194</v>
      </c>
      <c r="E13252">
        <f>IF(OR(B13252="vi",B13252="ii",B13252="pod"),(((D13252/100)*(C13252*VLOOKUP(B13252,'Poids des runes'!A:B,2,FALSE)))+1),(((D13252/100)*(C13252*VLOOKUP(B13252,'Poids des runes'!A:B,2,FALSE)))+1)/VLOOKUP(B13252,'Poids des runes'!A:B,2,FALSE))</f>
        <v>16.656666666666666</v>
      </c>
      <c r="F13252">
        <f t="shared" si="207"/>
        <v>16.656666666666666</v>
      </c>
    </row>
    <row r="13253" spans="1:6" x14ac:dyDescent="0.3">
      <c r="A13253" t="s">
        <v>2079</v>
      </c>
      <c r="B13253" t="s">
        <v>2157</v>
      </c>
      <c r="C13253">
        <v>8.5</v>
      </c>
      <c r="D13253">
        <v>194</v>
      </c>
      <c r="E13253">
        <f>IF(OR(B13253="vi",B13253="ii",B13253="pod"),(((D13253/100)*(C13253*VLOOKUP(B13253,'Poids des runes'!A:B,2,FALSE)))+1),(((D13253/100)*(C13253*VLOOKUP(B13253,'Poids des runes'!A:B,2,FALSE)))+1)/VLOOKUP(B13253,'Poids des runes'!A:B,2,FALSE))</f>
        <v>16.656666666666666</v>
      </c>
      <c r="F13253">
        <f t="shared" si="207"/>
        <v>16.656666666666666</v>
      </c>
    </row>
    <row r="13254" spans="1:6" x14ac:dyDescent="0.3">
      <c r="A13254" t="s">
        <v>2080</v>
      </c>
      <c r="B13254" t="s">
        <v>2128</v>
      </c>
      <c r="C13254">
        <v>275.5</v>
      </c>
      <c r="D13254">
        <v>195</v>
      </c>
      <c r="E13254">
        <f>IF(OR(B13254="vi",B13254="ii",B13254="pod"),(((D13254/100)*(C13254*VLOOKUP(B13254,'Poids des runes'!A:B,2,FALSE)))+1),(((D13254/100)*(C13254*VLOOKUP(B13254,'Poids des runes'!A:B,2,FALSE)))+1)/VLOOKUP(B13254,'Poids des runes'!A:B,2,FALSE))</f>
        <v>108.44500000000001</v>
      </c>
      <c r="F13254">
        <f t="shared" si="207"/>
        <v>108.44500000000001</v>
      </c>
    </row>
    <row r="13255" spans="1:6" x14ac:dyDescent="0.3">
      <c r="A13255" t="s">
        <v>2080</v>
      </c>
      <c r="B13255" t="s">
        <v>2126</v>
      </c>
      <c r="C13255">
        <v>38</v>
      </c>
      <c r="D13255">
        <v>195</v>
      </c>
      <c r="E13255">
        <f>IF(OR(B13255="vi",B13255="ii",B13255="pod"),(((D13255/100)*(C13255*VLOOKUP(B13255,'Poids des runes'!A:B,2,FALSE)))+1),(((D13255/100)*(C13255*VLOOKUP(B13255,'Poids des runes'!A:B,2,FALSE)))+1)/VLOOKUP(B13255,'Poids des runes'!A:B,2,FALSE))</f>
        <v>75.099999999999994</v>
      </c>
      <c r="F13255">
        <f t="shared" si="207"/>
        <v>75.099999999999994</v>
      </c>
    </row>
    <row r="13256" spans="1:6" x14ac:dyDescent="0.3">
      <c r="A13256" t="s">
        <v>2080</v>
      </c>
      <c r="B13256" t="s">
        <v>2131</v>
      </c>
      <c r="C13256">
        <v>40.5</v>
      </c>
      <c r="D13256">
        <v>195</v>
      </c>
      <c r="E13256">
        <f>IF(OR(B13256="vi",B13256="ii",B13256="pod"),(((D13256/100)*(C13256*VLOOKUP(B13256,'Poids des runes'!A:B,2,FALSE)))+1),(((D13256/100)*(C13256*VLOOKUP(B13256,'Poids des runes'!A:B,2,FALSE)))+1)/VLOOKUP(B13256,'Poids des runes'!A:B,2,FALSE))</f>
        <v>79.974999999999994</v>
      </c>
      <c r="F13256">
        <f t="shared" si="207"/>
        <v>79.974999999999994</v>
      </c>
    </row>
    <row r="13257" spans="1:6" x14ac:dyDescent="0.3">
      <c r="A13257" t="s">
        <v>2080</v>
      </c>
      <c r="B13257" t="s">
        <v>2127</v>
      </c>
      <c r="C13257">
        <v>40.5</v>
      </c>
      <c r="D13257">
        <v>195</v>
      </c>
      <c r="E13257">
        <f>IF(OR(B13257="vi",B13257="ii",B13257="pod"),(((D13257/100)*(C13257*VLOOKUP(B13257,'Poids des runes'!A:B,2,FALSE)))+1),(((D13257/100)*(C13257*VLOOKUP(B13257,'Poids des runes'!A:B,2,FALSE)))+1)/VLOOKUP(B13257,'Poids des runes'!A:B,2,FALSE))</f>
        <v>79.974999999999994</v>
      </c>
      <c r="F13257">
        <f t="shared" si="207"/>
        <v>79.974999999999994</v>
      </c>
    </row>
    <row r="13258" spans="1:6" x14ac:dyDescent="0.3">
      <c r="A13258" t="s">
        <v>2080</v>
      </c>
      <c r="B13258" t="s">
        <v>2129</v>
      </c>
      <c r="C13258">
        <v>40.5</v>
      </c>
      <c r="D13258">
        <v>195</v>
      </c>
      <c r="E13258">
        <f>IF(OR(B13258="vi",B13258="ii",B13258="pod"),(((D13258/100)*(C13258*VLOOKUP(B13258,'Poids des runes'!A:B,2,FALSE)))+1),(((D13258/100)*(C13258*VLOOKUP(B13258,'Poids des runes'!A:B,2,FALSE)))+1)/VLOOKUP(B13258,'Poids des runes'!A:B,2,FALSE))</f>
        <v>79.974999999999994</v>
      </c>
      <c r="F13258">
        <f t="shared" si="207"/>
        <v>79.974999999999994</v>
      </c>
    </row>
    <row r="13259" spans="1:6" x14ac:dyDescent="0.3">
      <c r="A13259" t="s">
        <v>2080</v>
      </c>
      <c r="B13259" t="s">
        <v>2155</v>
      </c>
      <c r="C13259">
        <v>1</v>
      </c>
      <c r="D13259">
        <v>195</v>
      </c>
      <c r="E13259">
        <f>IF(OR(B13259="vi",B13259="ii",B13259="pod"),(((D13259/100)*(C13259*VLOOKUP(B13259,'Poids des runes'!A:B,2,FALSE)))+1),(((D13259/100)*(C13259*VLOOKUP(B13259,'Poids des runes'!A:B,2,FALSE)))+1)/VLOOKUP(B13259,'Poids des runes'!A:B,2,FALSE))</f>
        <v>1.969607843137255</v>
      </c>
      <c r="F13259">
        <f t="shared" si="207"/>
        <v>1.969607843137255</v>
      </c>
    </row>
    <row r="13260" spans="1:6" x14ac:dyDescent="0.3">
      <c r="A13260" t="s">
        <v>2080</v>
      </c>
      <c r="B13260" t="s">
        <v>2140</v>
      </c>
      <c r="C13260">
        <v>8.5</v>
      </c>
      <c r="D13260">
        <v>195</v>
      </c>
      <c r="E13260">
        <f>IF(OR(B13260="vi",B13260="ii",B13260="pod"),(((D13260/100)*(C13260*VLOOKUP(B13260,'Poids des runes'!A:B,2,FALSE)))+1),(((D13260/100)*(C13260*VLOOKUP(B13260,'Poids des runes'!A:B,2,FALSE)))+1)/VLOOKUP(B13260,'Poids des runes'!A:B,2,FALSE))</f>
        <v>16.774999999999999</v>
      </c>
      <c r="F13260">
        <f t="shared" si="207"/>
        <v>16.774999999999999</v>
      </c>
    </row>
    <row r="13261" spans="1:6" x14ac:dyDescent="0.3">
      <c r="A13261" t="s">
        <v>2080</v>
      </c>
      <c r="B13261" t="s">
        <v>2133</v>
      </c>
      <c r="C13261">
        <v>8.5</v>
      </c>
      <c r="D13261">
        <v>195</v>
      </c>
      <c r="E13261">
        <f>IF(OR(B13261="vi",B13261="ii",B13261="pod"),(((D13261/100)*(C13261*VLOOKUP(B13261,'Poids des runes'!A:B,2,FALSE)))+1),(((D13261/100)*(C13261*VLOOKUP(B13261,'Poids des runes'!A:B,2,FALSE)))+1)/VLOOKUP(B13261,'Poids des runes'!A:B,2,FALSE))</f>
        <v>16.774999999999999</v>
      </c>
      <c r="F13261">
        <f t="shared" si="207"/>
        <v>16.774999999999999</v>
      </c>
    </row>
    <row r="13262" spans="1:6" x14ac:dyDescent="0.3">
      <c r="A13262" t="s">
        <v>2080</v>
      </c>
      <c r="B13262" t="s">
        <v>2153</v>
      </c>
      <c r="C13262">
        <v>8.5</v>
      </c>
      <c r="D13262">
        <v>195</v>
      </c>
      <c r="E13262">
        <f>IF(OR(B13262="vi",B13262="ii",B13262="pod"),(((D13262/100)*(C13262*VLOOKUP(B13262,'Poids des runes'!A:B,2,FALSE)))+1),(((D13262/100)*(C13262*VLOOKUP(B13262,'Poids des runes'!A:B,2,FALSE)))+1)/VLOOKUP(B13262,'Poids des runes'!A:B,2,FALSE))</f>
        <v>16.774999999999999</v>
      </c>
      <c r="F13262">
        <f t="shared" si="207"/>
        <v>16.774999999999999</v>
      </c>
    </row>
    <row r="13263" spans="1:6" x14ac:dyDescent="0.3">
      <c r="A13263" t="s">
        <v>2080</v>
      </c>
      <c r="B13263" t="s">
        <v>2149</v>
      </c>
      <c r="C13263">
        <v>5</v>
      </c>
      <c r="D13263">
        <v>195</v>
      </c>
      <c r="E13263">
        <f>IF(OR(B13263="vi",B13263="ii",B13263="pod"),(((D13263/100)*(C13263*VLOOKUP(B13263,'Poids des runes'!A:B,2,FALSE)))+1),(((D13263/100)*(C13263*VLOOKUP(B13263,'Poids des runes'!A:B,2,FALSE)))+1)/VLOOKUP(B13263,'Poids des runes'!A:B,2,FALSE))</f>
        <v>9.85</v>
      </c>
      <c r="F13263">
        <f t="shared" si="207"/>
        <v>9.85</v>
      </c>
    </row>
    <row r="13264" spans="1:6" x14ac:dyDescent="0.3">
      <c r="A13264" t="s">
        <v>2080</v>
      </c>
      <c r="B13264" t="s">
        <v>2161</v>
      </c>
      <c r="C13264">
        <v>13</v>
      </c>
      <c r="D13264">
        <v>195</v>
      </c>
      <c r="E13264">
        <f>IF(OR(B13264="vi",B13264="ii",B13264="pod"),(((D13264/100)*(C13264*VLOOKUP(B13264,'Poids des runes'!A:B,2,FALSE)))+1),(((D13264/100)*(C13264*VLOOKUP(B13264,'Poids des runes'!A:B,2,FALSE)))+1)/VLOOKUP(B13264,'Poids des runes'!A:B,2,FALSE))</f>
        <v>25.683333333333334</v>
      </c>
      <c r="F13264">
        <f t="shared" si="207"/>
        <v>25.683333333333334</v>
      </c>
    </row>
    <row r="13265" spans="1:6" x14ac:dyDescent="0.3">
      <c r="A13265" t="s">
        <v>2080</v>
      </c>
      <c r="B13265" t="s">
        <v>2165</v>
      </c>
      <c r="C13265">
        <v>4.5</v>
      </c>
      <c r="D13265">
        <v>195</v>
      </c>
      <c r="E13265">
        <f>IF(OR(B13265="vi",B13265="ii",B13265="pod"),(((D13265/100)*(C13265*VLOOKUP(B13265,'Poids des runes'!A:B,2,FALSE)))+1),(((D13265/100)*(C13265*VLOOKUP(B13265,'Poids des runes'!A:B,2,FALSE)))+1)/VLOOKUP(B13265,'Poids des runes'!A:B,2,FALSE))</f>
        <v>8.9178571428571427</v>
      </c>
      <c r="F13265">
        <f t="shared" si="207"/>
        <v>8.9178571428571427</v>
      </c>
    </row>
    <row r="13266" spans="1:6" x14ac:dyDescent="0.3">
      <c r="A13266" t="s">
        <v>2080</v>
      </c>
      <c r="B13266" t="s">
        <v>2163</v>
      </c>
      <c r="C13266">
        <v>13</v>
      </c>
      <c r="D13266">
        <v>195</v>
      </c>
      <c r="E13266">
        <f>IF(OR(B13266="vi",B13266="ii",B13266="pod"),(((D13266/100)*(C13266*VLOOKUP(B13266,'Poids des runes'!A:B,2,FALSE)))+1),(((D13266/100)*(C13266*VLOOKUP(B13266,'Poids des runes'!A:B,2,FALSE)))+1)/VLOOKUP(B13266,'Poids des runes'!A:B,2,FALSE))</f>
        <v>25.849999999999998</v>
      </c>
      <c r="F13266">
        <f t="shared" si="207"/>
        <v>25.849999999999998</v>
      </c>
    </row>
    <row r="13267" spans="1:6" x14ac:dyDescent="0.3">
      <c r="A13267" t="s">
        <v>2080</v>
      </c>
      <c r="B13267" t="s">
        <v>2157</v>
      </c>
      <c r="C13267">
        <v>6.5</v>
      </c>
      <c r="D13267">
        <v>195</v>
      </c>
      <c r="E13267">
        <f>IF(OR(B13267="vi",B13267="ii",B13267="pod"),(((D13267/100)*(C13267*VLOOKUP(B13267,'Poids des runes'!A:B,2,FALSE)))+1),(((D13267/100)*(C13267*VLOOKUP(B13267,'Poids des runes'!A:B,2,FALSE)))+1)/VLOOKUP(B13267,'Poids des runes'!A:B,2,FALSE))</f>
        <v>12.841666666666667</v>
      </c>
      <c r="F13267">
        <f t="shared" si="207"/>
        <v>12.841666666666667</v>
      </c>
    </row>
    <row r="13268" spans="1:6" x14ac:dyDescent="0.3">
      <c r="A13268" t="s">
        <v>2081</v>
      </c>
      <c r="B13268" t="s">
        <v>2128</v>
      </c>
      <c r="C13268">
        <v>350.5</v>
      </c>
      <c r="D13268">
        <v>195</v>
      </c>
      <c r="E13268">
        <f>IF(OR(B13268="vi",B13268="ii",B13268="pod"),(((D13268/100)*(C13268*VLOOKUP(B13268,'Poids des runes'!A:B,2,FALSE)))+1),(((D13268/100)*(C13268*VLOOKUP(B13268,'Poids des runes'!A:B,2,FALSE)))+1)/VLOOKUP(B13268,'Poids des runes'!A:B,2,FALSE))</f>
        <v>137.69500000000002</v>
      </c>
      <c r="F13268">
        <f t="shared" si="207"/>
        <v>137.69500000000002</v>
      </c>
    </row>
    <row r="13269" spans="1:6" x14ac:dyDescent="0.3">
      <c r="A13269" t="s">
        <v>2081</v>
      </c>
      <c r="B13269" t="s">
        <v>2130</v>
      </c>
      <c r="C13269">
        <v>40.5</v>
      </c>
      <c r="D13269">
        <v>195</v>
      </c>
      <c r="E13269">
        <f>IF(OR(B13269="vi",B13269="ii",B13269="pod"),(((D13269/100)*(C13269*VLOOKUP(B13269,'Poids des runes'!A:B,2,FALSE)))+1),(((D13269/100)*(C13269*VLOOKUP(B13269,'Poids des runes'!A:B,2,FALSE)))+1)/VLOOKUP(B13269,'Poids des runes'!A:B,2,FALSE))</f>
        <v>79.974999999999994</v>
      </c>
      <c r="F13269">
        <f t="shared" si="207"/>
        <v>79.974999999999994</v>
      </c>
    </row>
    <row r="13270" spans="1:6" x14ac:dyDescent="0.3">
      <c r="A13270" t="s">
        <v>2081</v>
      </c>
      <c r="B13270" t="s">
        <v>2126</v>
      </c>
      <c r="C13270">
        <v>40.5</v>
      </c>
      <c r="D13270">
        <v>195</v>
      </c>
      <c r="E13270">
        <f>IF(OR(B13270="vi",B13270="ii",B13270="pod"),(((D13270/100)*(C13270*VLOOKUP(B13270,'Poids des runes'!A:B,2,FALSE)))+1),(((D13270/100)*(C13270*VLOOKUP(B13270,'Poids des runes'!A:B,2,FALSE)))+1)/VLOOKUP(B13270,'Poids des runes'!A:B,2,FALSE))</f>
        <v>79.974999999999994</v>
      </c>
      <c r="F13270">
        <f t="shared" si="207"/>
        <v>79.974999999999994</v>
      </c>
    </row>
    <row r="13271" spans="1:6" x14ac:dyDescent="0.3">
      <c r="A13271" t="s">
        <v>2081</v>
      </c>
      <c r="B13271" t="s">
        <v>2129</v>
      </c>
      <c r="C13271">
        <v>40.5</v>
      </c>
      <c r="D13271">
        <v>195</v>
      </c>
      <c r="E13271">
        <f>IF(OR(B13271="vi",B13271="ii",B13271="pod"),(((D13271/100)*(C13271*VLOOKUP(B13271,'Poids des runes'!A:B,2,FALSE)))+1),(((D13271/100)*(C13271*VLOOKUP(B13271,'Poids des runes'!A:B,2,FALSE)))+1)/VLOOKUP(B13271,'Poids des runes'!A:B,2,FALSE))</f>
        <v>79.974999999999994</v>
      </c>
      <c r="F13271">
        <f t="shared" si="207"/>
        <v>79.974999999999994</v>
      </c>
    </row>
    <row r="13272" spans="1:6" x14ac:dyDescent="0.3">
      <c r="A13272" t="s">
        <v>2081</v>
      </c>
      <c r="B13272" t="s">
        <v>2139</v>
      </c>
      <c r="C13272">
        <v>20.5</v>
      </c>
      <c r="D13272">
        <v>195</v>
      </c>
      <c r="E13272">
        <f>IF(OR(B13272="vi",B13272="ii",B13272="pod"),(((D13272/100)*(C13272*VLOOKUP(B13272,'Poids des runes'!A:B,2,FALSE)))+1),(((D13272/100)*(C13272*VLOOKUP(B13272,'Poids des runes'!A:B,2,FALSE)))+1)/VLOOKUP(B13272,'Poids des runes'!A:B,2,FALSE))</f>
        <v>40.475000000000001</v>
      </c>
      <c r="F13272">
        <f t="shared" si="207"/>
        <v>40.475000000000001</v>
      </c>
    </row>
    <row r="13273" spans="1:6" x14ac:dyDescent="0.3">
      <c r="A13273" t="s">
        <v>2081</v>
      </c>
      <c r="B13273" t="s">
        <v>2151</v>
      </c>
      <c r="C13273">
        <v>4.5</v>
      </c>
      <c r="D13273">
        <v>195</v>
      </c>
      <c r="E13273">
        <f>IF(OR(B13273="vi",B13273="ii",B13273="pod"),(((D13273/100)*(C13273*VLOOKUP(B13273,'Poids des runes'!A:B,2,FALSE)))+1),(((D13273/100)*(C13273*VLOOKUP(B13273,'Poids des runes'!A:B,2,FALSE)))+1)/VLOOKUP(B13273,'Poids des runes'!A:B,2,FALSE))</f>
        <v>8.875</v>
      </c>
      <c r="F13273">
        <f t="shared" si="207"/>
        <v>8.875</v>
      </c>
    </row>
    <row r="13274" spans="1:6" x14ac:dyDescent="0.3">
      <c r="A13274" t="s">
        <v>2081</v>
      </c>
      <c r="B13274" t="s">
        <v>2140</v>
      </c>
      <c r="C13274">
        <v>10</v>
      </c>
      <c r="D13274">
        <v>195</v>
      </c>
      <c r="E13274">
        <f>IF(OR(B13274="vi",B13274="ii",B13274="pod"),(((D13274/100)*(C13274*VLOOKUP(B13274,'Poids des runes'!A:B,2,FALSE)))+1),(((D13274/100)*(C13274*VLOOKUP(B13274,'Poids des runes'!A:B,2,FALSE)))+1)/VLOOKUP(B13274,'Poids des runes'!A:B,2,FALSE))</f>
        <v>19.7</v>
      </c>
      <c r="F13274">
        <f t="shared" si="207"/>
        <v>19.7</v>
      </c>
    </row>
    <row r="13275" spans="1:6" x14ac:dyDescent="0.3">
      <c r="A13275" t="s">
        <v>2081</v>
      </c>
      <c r="B13275" t="s">
        <v>2161</v>
      </c>
      <c r="C13275">
        <v>20.5</v>
      </c>
      <c r="D13275">
        <v>195</v>
      </c>
      <c r="E13275">
        <f>IF(OR(B13275="vi",B13275="ii",B13275="pod"),(((D13275/100)*(C13275*VLOOKUP(B13275,'Poids des runes'!A:B,2,FALSE)))+1),(((D13275/100)*(C13275*VLOOKUP(B13275,'Poids des runes'!A:B,2,FALSE)))+1)/VLOOKUP(B13275,'Poids des runes'!A:B,2,FALSE))</f>
        <v>40.30833333333333</v>
      </c>
      <c r="F13275">
        <f t="shared" si="207"/>
        <v>40.30833333333333</v>
      </c>
    </row>
    <row r="13276" spans="1:6" x14ac:dyDescent="0.3">
      <c r="A13276" t="s">
        <v>2081</v>
      </c>
      <c r="B13276" t="s">
        <v>2132</v>
      </c>
      <c r="C13276">
        <v>350.5</v>
      </c>
      <c r="D13276">
        <v>195</v>
      </c>
      <c r="E13276">
        <f>IF(OR(B13276="vi",B13276="ii",B13276="pod"),(((D13276/100)*(C13276*VLOOKUP(B13276,'Poids des runes'!A:B,2,FALSE)))+1),(((D13276/100)*(C13276*VLOOKUP(B13276,'Poids des runes'!A:B,2,FALSE)))+1)/VLOOKUP(B13276,'Poids des runes'!A:B,2,FALSE))</f>
        <v>69.347500000000011</v>
      </c>
      <c r="F13276">
        <f t="shared" si="207"/>
        <v>69.347500000000011</v>
      </c>
    </row>
    <row r="13277" spans="1:6" x14ac:dyDescent="0.3">
      <c r="A13277" t="s">
        <v>2081</v>
      </c>
      <c r="B13277" t="s">
        <v>2141</v>
      </c>
      <c r="C13277">
        <v>6</v>
      </c>
      <c r="D13277">
        <v>195</v>
      </c>
      <c r="E13277">
        <f>IF(OR(B13277="vi",B13277="ii",B13277="pod"),(((D13277/100)*(C13277*VLOOKUP(B13277,'Poids des runes'!A:B,2,FALSE)))+1),(((D13277/100)*(C13277*VLOOKUP(B13277,'Poids des runes'!A:B,2,FALSE)))+1)/VLOOKUP(B13277,'Poids des runes'!A:B,2,FALSE))</f>
        <v>11.95</v>
      </c>
      <c r="F13277">
        <f t="shared" si="207"/>
        <v>11.95</v>
      </c>
    </row>
    <row r="13278" spans="1:6" x14ac:dyDescent="0.3">
      <c r="A13278" t="s">
        <v>2081</v>
      </c>
      <c r="B13278" t="s">
        <v>2159</v>
      </c>
      <c r="C13278">
        <v>4.5</v>
      </c>
      <c r="D13278">
        <v>195</v>
      </c>
      <c r="E13278">
        <f>IF(OR(B13278="vi",B13278="ii",B13278="pod"),(((D13278/100)*(C13278*VLOOKUP(B13278,'Poids des runes'!A:B,2,FALSE)))+1),(((D13278/100)*(C13278*VLOOKUP(B13278,'Poids des runes'!A:B,2,FALSE)))+1)/VLOOKUP(B13278,'Poids des runes'!A:B,2,FALSE))</f>
        <v>8.9178571428571427</v>
      </c>
      <c r="F13278">
        <f t="shared" si="207"/>
        <v>8.9178571428571427</v>
      </c>
    </row>
    <row r="13279" spans="1:6" x14ac:dyDescent="0.3">
      <c r="A13279" t="s">
        <v>2081</v>
      </c>
      <c r="B13279" t="s">
        <v>2164</v>
      </c>
      <c r="C13279">
        <v>8.5</v>
      </c>
      <c r="D13279">
        <v>195</v>
      </c>
      <c r="E13279">
        <f>IF(OR(B13279="vi",B13279="ii",B13279="pod"),(((D13279/100)*(C13279*VLOOKUP(B13279,'Poids des runes'!A:B,2,FALSE)))+1),(((D13279/100)*(C13279*VLOOKUP(B13279,'Poids des runes'!A:B,2,FALSE)))+1)/VLOOKUP(B13279,'Poids des runes'!A:B,2,FALSE))</f>
        <v>17.074999999999999</v>
      </c>
      <c r="F13279">
        <f t="shared" si="207"/>
        <v>17.074999999999999</v>
      </c>
    </row>
    <row r="13280" spans="1:6" x14ac:dyDescent="0.3">
      <c r="A13280" t="s">
        <v>2081</v>
      </c>
      <c r="B13280" t="s">
        <v>2135</v>
      </c>
      <c r="C13280">
        <v>4</v>
      </c>
      <c r="D13280">
        <v>195</v>
      </c>
      <c r="E13280">
        <f>IF(OR(B13280="vi",B13280="ii",B13280="pod"),(((D13280/100)*(C13280*VLOOKUP(B13280,'Poids des runes'!A:B,2,FALSE)))+1),(((D13280/100)*(C13280*VLOOKUP(B13280,'Poids des runes'!A:B,2,FALSE)))+1)/VLOOKUP(B13280,'Poids des runes'!A:B,2,FALSE))</f>
        <v>7.9666666666666659</v>
      </c>
      <c r="F13280">
        <f t="shared" si="207"/>
        <v>7.9666666666666659</v>
      </c>
    </row>
    <row r="13281" spans="1:6" x14ac:dyDescent="0.3">
      <c r="A13281" t="s">
        <v>2082</v>
      </c>
      <c r="B13281" t="s">
        <v>2128</v>
      </c>
      <c r="C13281">
        <v>225.5</v>
      </c>
      <c r="D13281">
        <v>196</v>
      </c>
      <c r="E13281">
        <f>IF(OR(B13281="vi",B13281="ii",B13281="pod"),(((D13281/100)*(C13281*VLOOKUP(B13281,'Poids des runes'!A:B,2,FALSE)))+1),(((D13281/100)*(C13281*VLOOKUP(B13281,'Poids des runes'!A:B,2,FALSE)))+1)/VLOOKUP(B13281,'Poids des runes'!A:B,2,FALSE))</f>
        <v>89.396000000000001</v>
      </c>
      <c r="F13281">
        <f t="shared" si="207"/>
        <v>89.396000000000001</v>
      </c>
    </row>
    <row r="13282" spans="1:6" x14ac:dyDescent="0.3">
      <c r="A13282" t="s">
        <v>2082</v>
      </c>
      <c r="B13282" t="s">
        <v>2130</v>
      </c>
      <c r="C13282">
        <v>40.5</v>
      </c>
      <c r="D13282">
        <v>196</v>
      </c>
      <c r="E13282">
        <f>IF(OR(B13282="vi",B13282="ii",B13282="pod"),(((D13282/100)*(C13282*VLOOKUP(B13282,'Poids des runes'!A:B,2,FALSE)))+1),(((D13282/100)*(C13282*VLOOKUP(B13282,'Poids des runes'!A:B,2,FALSE)))+1)/VLOOKUP(B13282,'Poids des runes'!A:B,2,FALSE))</f>
        <v>80.38</v>
      </c>
      <c r="F13282">
        <f t="shared" si="207"/>
        <v>80.38</v>
      </c>
    </row>
    <row r="13283" spans="1:6" x14ac:dyDescent="0.3">
      <c r="A13283" t="s">
        <v>2082</v>
      </c>
      <c r="B13283" t="s">
        <v>2126</v>
      </c>
      <c r="C13283">
        <v>40.5</v>
      </c>
      <c r="D13283">
        <v>196</v>
      </c>
      <c r="E13283">
        <f>IF(OR(B13283="vi",B13283="ii",B13283="pod"),(((D13283/100)*(C13283*VLOOKUP(B13283,'Poids des runes'!A:B,2,FALSE)))+1),(((D13283/100)*(C13283*VLOOKUP(B13283,'Poids des runes'!A:B,2,FALSE)))+1)/VLOOKUP(B13283,'Poids des runes'!A:B,2,FALSE))</f>
        <v>80.38</v>
      </c>
      <c r="F13283">
        <f t="shared" si="207"/>
        <v>80.38</v>
      </c>
    </row>
    <row r="13284" spans="1:6" x14ac:dyDescent="0.3">
      <c r="A13284" t="s">
        <v>2082</v>
      </c>
      <c r="B13284" t="s">
        <v>2129</v>
      </c>
      <c r="C13284">
        <v>40.5</v>
      </c>
      <c r="D13284">
        <v>196</v>
      </c>
      <c r="E13284">
        <f>IF(OR(B13284="vi",B13284="ii",B13284="pod"),(((D13284/100)*(C13284*VLOOKUP(B13284,'Poids des runes'!A:B,2,FALSE)))+1),(((D13284/100)*(C13284*VLOOKUP(B13284,'Poids des runes'!A:B,2,FALSE)))+1)/VLOOKUP(B13284,'Poids des runes'!A:B,2,FALSE))</f>
        <v>80.38</v>
      </c>
      <c r="F13284">
        <f t="shared" si="207"/>
        <v>80.38</v>
      </c>
    </row>
    <row r="13285" spans="1:6" x14ac:dyDescent="0.3">
      <c r="A13285" t="s">
        <v>2082</v>
      </c>
      <c r="B13285" t="s">
        <v>2151</v>
      </c>
      <c r="C13285">
        <v>4.5</v>
      </c>
      <c r="D13285">
        <v>196</v>
      </c>
      <c r="E13285">
        <f>IF(OR(B13285="vi",B13285="ii",B13285="pod"),(((D13285/100)*(C13285*VLOOKUP(B13285,'Poids des runes'!A:B,2,FALSE)))+1),(((D13285/100)*(C13285*VLOOKUP(B13285,'Poids des runes'!A:B,2,FALSE)))+1)/VLOOKUP(B13285,'Poids des runes'!A:B,2,FALSE))</f>
        <v>8.92</v>
      </c>
      <c r="F13285">
        <f t="shared" si="207"/>
        <v>8.92</v>
      </c>
    </row>
    <row r="13286" spans="1:6" x14ac:dyDescent="0.3">
      <c r="A13286" t="s">
        <v>2082</v>
      </c>
      <c r="B13286" t="s">
        <v>2143</v>
      </c>
      <c r="C13286">
        <v>10</v>
      </c>
      <c r="D13286">
        <v>196</v>
      </c>
      <c r="E13286">
        <f>IF(OR(B13286="vi",B13286="ii",B13286="pod"),(((D13286/100)*(C13286*VLOOKUP(B13286,'Poids des runes'!A:B,2,FALSE)))+1),(((D13286/100)*(C13286*VLOOKUP(B13286,'Poids des runes'!A:B,2,FALSE)))+1)/VLOOKUP(B13286,'Poids des runes'!A:B,2,FALSE))</f>
        <v>19.8</v>
      </c>
      <c r="F13286">
        <f t="shared" si="207"/>
        <v>19.8</v>
      </c>
    </row>
    <row r="13287" spans="1:6" x14ac:dyDescent="0.3">
      <c r="A13287" t="s">
        <v>2082</v>
      </c>
      <c r="B13287" t="s">
        <v>2140</v>
      </c>
      <c r="C13287">
        <v>10</v>
      </c>
      <c r="D13287">
        <v>196</v>
      </c>
      <c r="E13287">
        <f>IF(OR(B13287="vi",B13287="ii",B13287="pod"),(((D13287/100)*(C13287*VLOOKUP(B13287,'Poids des runes'!A:B,2,FALSE)))+1),(((D13287/100)*(C13287*VLOOKUP(B13287,'Poids des runes'!A:B,2,FALSE)))+1)/VLOOKUP(B13287,'Poids des runes'!A:B,2,FALSE))</f>
        <v>19.8</v>
      </c>
      <c r="F13287">
        <f t="shared" si="207"/>
        <v>19.8</v>
      </c>
    </row>
    <row r="13288" spans="1:6" x14ac:dyDescent="0.3">
      <c r="A13288" t="s">
        <v>2082</v>
      </c>
      <c r="B13288" t="s">
        <v>2161</v>
      </c>
      <c r="C13288">
        <v>13</v>
      </c>
      <c r="D13288">
        <v>196</v>
      </c>
      <c r="E13288">
        <f>IF(OR(B13288="vi",B13288="ii",B13288="pod"),(((D13288/100)*(C13288*VLOOKUP(B13288,'Poids des runes'!A:B,2,FALSE)))+1),(((D13288/100)*(C13288*VLOOKUP(B13288,'Poids des runes'!A:B,2,FALSE)))+1)/VLOOKUP(B13288,'Poids des runes'!A:B,2,FALSE))</f>
        <v>25.813333333333333</v>
      </c>
      <c r="F13288">
        <f t="shared" si="207"/>
        <v>25.813333333333333</v>
      </c>
    </row>
    <row r="13289" spans="1:6" x14ac:dyDescent="0.3">
      <c r="A13289" t="s">
        <v>2082</v>
      </c>
      <c r="B13289" t="s">
        <v>2132</v>
      </c>
      <c r="C13289">
        <v>250.5</v>
      </c>
      <c r="D13289">
        <v>196</v>
      </c>
      <c r="E13289">
        <f>IF(OR(B13289="vi",B13289="ii",B13289="pod"),(((D13289/100)*(C13289*VLOOKUP(B13289,'Poids des runes'!A:B,2,FALSE)))+1),(((D13289/100)*(C13289*VLOOKUP(B13289,'Poids des runes'!A:B,2,FALSE)))+1)/VLOOKUP(B13289,'Poids des runes'!A:B,2,FALSE))</f>
        <v>50.097999999999999</v>
      </c>
      <c r="F13289">
        <f t="shared" si="207"/>
        <v>50.097999999999999</v>
      </c>
    </row>
    <row r="13290" spans="1:6" x14ac:dyDescent="0.3">
      <c r="A13290" t="s">
        <v>2082</v>
      </c>
      <c r="B13290" t="s">
        <v>2160</v>
      </c>
      <c r="C13290">
        <v>4.5</v>
      </c>
      <c r="D13290">
        <v>196</v>
      </c>
      <c r="E13290">
        <f>IF(OR(B13290="vi",B13290="ii",B13290="pod"),(((D13290/100)*(C13290*VLOOKUP(B13290,'Poids des runes'!A:B,2,FALSE)))+1),(((D13290/100)*(C13290*VLOOKUP(B13290,'Poids des runes'!A:B,2,FALSE)))+1)/VLOOKUP(B13290,'Poids des runes'!A:B,2,FALSE))</f>
        <v>8.9628571428571426</v>
      </c>
      <c r="F13290">
        <f t="shared" si="207"/>
        <v>8.9628571428571426</v>
      </c>
    </row>
    <row r="13291" spans="1:6" x14ac:dyDescent="0.3">
      <c r="A13291" t="s">
        <v>2082</v>
      </c>
      <c r="B13291" t="s">
        <v>2148</v>
      </c>
      <c r="C13291">
        <v>8.5</v>
      </c>
      <c r="D13291">
        <v>196</v>
      </c>
      <c r="E13291">
        <f>IF(OR(B13291="vi",B13291="ii",B13291="pod"),(((D13291/100)*(C13291*VLOOKUP(B13291,'Poids des runes'!A:B,2,FALSE)))+1),(((D13291/100)*(C13291*VLOOKUP(B13291,'Poids des runes'!A:B,2,FALSE)))+1)/VLOOKUP(B13291,'Poids des runes'!A:B,2,FALSE))</f>
        <v>16.826666666666664</v>
      </c>
      <c r="F13291">
        <f t="shared" si="207"/>
        <v>16.826666666666664</v>
      </c>
    </row>
    <row r="13292" spans="1:6" x14ac:dyDescent="0.3">
      <c r="A13292" t="s">
        <v>2082</v>
      </c>
      <c r="B13292" t="s">
        <v>2145</v>
      </c>
      <c r="C13292">
        <v>8.5</v>
      </c>
      <c r="D13292">
        <v>196</v>
      </c>
      <c r="E13292">
        <f>IF(OR(B13292="vi",B13292="ii",B13292="pod"),(((D13292/100)*(C13292*VLOOKUP(B13292,'Poids des runes'!A:B,2,FALSE)))+1),(((D13292/100)*(C13292*VLOOKUP(B13292,'Poids des runes'!A:B,2,FALSE)))+1)/VLOOKUP(B13292,'Poids des runes'!A:B,2,FALSE))</f>
        <v>17.16</v>
      </c>
      <c r="F13292">
        <f t="shared" si="207"/>
        <v>17.16</v>
      </c>
    </row>
    <row r="13293" spans="1:6" x14ac:dyDescent="0.3">
      <c r="A13293" t="s">
        <v>2083</v>
      </c>
      <c r="B13293" t="s">
        <v>2128</v>
      </c>
      <c r="C13293">
        <v>300.5</v>
      </c>
      <c r="D13293">
        <v>196</v>
      </c>
      <c r="E13293">
        <f>IF(OR(B13293="vi",B13293="ii",B13293="pod"),(((D13293/100)*(C13293*VLOOKUP(B13293,'Poids des runes'!A:B,2,FALSE)))+1),(((D13293/100)*(C13293*VLOOKUP(B13293,'Poids des runes'!A:B,2,FALSE)))+1)/VLOOKUP(B13293,'Poids des runes'!A:B,2,FALSE))</f>
        <v>118.79600000000001</v>
      </c>
      <c r="F13293">
        <f t="shared" si="207"/>
        <v>118.79600000000001</v>
      </c>
    </row>
    <row r="13294" spans="1:6" x14ac:dyDescent="0.3">
      <c r="A13294" t="s">
        <v>2083</v>
      </c>
      <c r="B13294" t="s">
        <v>2131</v>
      </c>
      <c r="C13294">
        <v>35.5</v>
      </c>
      <c r="D13294">
        <v>196</v>
      </c>
      <c r="E13294">
        <f>IF(OR(B13294="vi",B13294="ii",B13294="pod"),(((D13294/100)*(C13294*VLOOKUP(B13294,'Poids des runes'!A:B,2,FALSE)))+1),(((D13294/100)*(C13294*VLOOKUP(B13294,'Poids des runes'!A:B,2,FALSE)))+1)/VLOOKUP(B13294,'Poids des runes'!A:B,2,FALSE))</f>
        <v>70.58</v>
      </c>
      <c r="F13294">
        <f t="shared" si="207"/>
        <v>70.58</v>
      </c>
    </row>
    <row r="13295" spans="1:6" x14ac:dyDescent="0.3">
      <c r="A13295" t="s">
        <v>2083</v>
      </c>
      <c r="B13295" t="s">
        <v>2127</v>
      </c>
      <c r="C13295">
        <v>35.5</v>
      </c>
      <c r="D13295">
        <v>196</v>
      </c>
      <c r="E13295">
        <f>IF(OR(B13295="vi",B13295="ii",B13295="pod"),(((D13295/100)*(C13295*VLOOKUP(B13295,'Poids des runes'!A:B,2,FALSE)))+1),(((D13295/100)*(C13295*VLOOKUP(B13295,'Poids des runes'!A:B,2,FALSE)))+1)/VLOOKUP(B13295,'Poids des runes'!A:B,2,FALSE))</f>
        <v>70.58</v>
      </c>
      <c r="F13295">
        <f t="shared" si="207"/>
        <v>70.58</v>
      </c>
    </row>
    <row r="13296" spans="1:6" x14ac:dyDescent="0.3">
      <c r="A13296" t="s">
        <v>2083</v>
      </c>
      <c r="B13296" t="s">
        <v>2129</v>
      </c>
      <c r="C13296">
        <v>35.5</v>
      </c>
      <c r="D13296">
        <v>196</v>
      </c>
      <c r="E13296">
        <f>IF(OR(B13296="vi",B13296="ii",B13296="pod"),(((D13296/100)*(C13296*VLOOKUP(B13296,'Poids des runes'!A:B,2,FALSE)))+1),(((D13296/100)*(C13296*VLOOKUP(B13296,'Poids des runes'!A:B,2,FALSE)))+1)/VLOOKUP(B13296,'Poids des runes'!A:B,2,FALSE))</f>
        <v>70.58</v>
      </c>
      <c r="F13296">
        <f t="shared" si="207"/>
        <v>70.58</v>
      </c>
    </row>
    <row r="13297" spans="1:6" x14ac:dyDescent="0.3">
      <c r="A13297" t="s">
        <v>2083</v>
      </c>
      <c r="B13297" t="s">
        <v>2151</v>
      </c>
      <c r="C13297">
        <v>4.5</v>
      </c>
      <c r="D13297">
        <v>196</v>
      </c>
      <c r="E13297">
        <f>IF(OR(B13297="vi",B13297="ii",B13297="pod"),(((D13297/100)*(C13297*VLOOKUP(B13297,'Poids des runes'!A:B,2,FALSE)))+1),(((D13297/100)*(C13297*VLOOKUP(B13297,'Poids des runes'!A:B,2,FALSE)))+1)/VLOOKUP(B13297,'Poids des runes'!A:B,2,FALSE))</f>
        <v>8.92</v>
      </c>
      <c r="F13297">
        <f t="shared" si="207"/>
        <v>8.92</v>
      </c>
    </row>
    <row r="13298" spans="1:6" x14ac:dyDescent="0.3">
      <c r="A13298" t="s">
        <v>2083</v>
      </c>
      <c r="B13298" t="s">
        <v>2150</v>
      </c>
      <c r="C13298">
        <v>1</v>
      </c>
      <c r="D13298">
        <v>196</v>
      </c>
      <c r="E13298">
        <f>IF(OR(B13298="vi",B13298="ii",B13298="pod"),(((D13298/100)*(C13298*VLOOKUP(B13298,'Poids des runes'!A:B,2,FALSE)))+1),(((D13298/100)*(C13298*VLOOKUP(B13298,'Poids des runes'!A:B,2,FALSE)))+1)/VLOOKUP(B13298,'Poids des runes'!A:B,2,FALSE))</f>
        <v>1.9933333333333332</v>
      </c>
      <c r="F13298">
        <f t="shared" si="207"/>
        <v>1.9933333333333332</v>
      </c>
    </row>
    <row r="13299" spans="1:6" x14ac:dyDescent="0.3">
      <c r="A13299" t="s">
        <v>2083</v>
      </c>
      <c r="B13299" t="s">
        <v>2133</v>
      </c>
      <c r="C13299">
        <v>8.5</v>
      </c>
      <c r="D13299">
        <v>196</v>
      </c>
      <c r="E13299">
        <f>IF(OR(B13299="vi",B13299="ii",B13299="pod"),(((D13299/100)*(C13299*VLOOKUP(B13299,'Poids des runes'!A:B,2,FALSE)))+1),(((D13299/100)*(C13299*VLOOKUP(B13299,'Poids des runes'!A:B,2,FALSE)))+1)/VLOOKUP(B13299,'Poids des runes'!A:B,2,FALSE))</f>
        <v>16.86</v>
      </c>
      <c r="F13299">
        <f t="shared" si="207"/>
        <v>16.86</v>
      </c>
    </row>
    <row r="13300" spans="1:6" x14ac:dyDescent="0.3">
      <c r="A13300" t="s">
        <v>2083</v>
      </c>
      <c r="B13300" t="s">
        <v>2153</v>
      </c>
      <c r="C13300">
        <v>8.5</v>
      </c>
      <c r="D13300">
        <v>196</v>
      </c>
      <c r="E13300">
        <f>IF(OR(B13300="vi",B13300="ii",B13300="pod"),(((D13300/100)*(C13300*VLOOKUP(B13300,'Poids des runes'!A:B,2,FALSE)))+1),(((D13300/100)*(C13300*VLOOKUP(B13300,'Poids des runes'!A:B,2,FALSE)))+1)/VLOOKUP(B13300,'Poids des runes'!A:B,2,FALSE))</f>
        <v>16.86</v>
      </c>
      <c r="F13300">
        <f t="shared" si="207"/>
        <v>16.86</v>
      </c>
    </row>
    <row r="13301" spans="1:6" x14ac:dyDescent="0.3">
      <c r="A13301" t="s">
        <v>2083</v>
      </c>
      <c r="B13301" t="s">
        <v>2161</v>
      </c>
      <c r="C13301">
        <v>20.5</v>
      </c>
      <c r="D13301">
        <v>196</v>
      </c>
      <c r="E13301">
        <f>IF(OR(B13301="vi",B13301="ii",B13301="pod"),(((D13301/100)*(C13301*VLOOKUP(B13301,'Poids des runes'!A:B,2,FALSE)))+1),(((D13301/100)*(C13301*VLOOKUP(B13301,'Poids des runes'!A:B,2,FALSE)))+1)/VLOOKUP(B13301,'Poids des runes'!A:B,2,FALSE))</f>
        <v>40.513333333333328</v>
      </c>
      <c r="F13301">
        <f t="shared" si="207"/>
        <v>40.513333333333328</v>
      </c>
    </row>
    <row r="13302" spans="1:6" x14ac:dyDescent="0.3">
      <c r="A13302" t="s">
        <v>2083</v>
      </c>
      <c r="B13302" t="s">
        <v>2141</v>
      </c>
      <c r="C13302">
        <v>4.5</v>
      </c>
      <c r="D13302">
        <v>196</v>
      </c>
      <c r="E13302">
        <f>IF(OR(B13302="vi",B13302="ii",B13302="pod"),(((D13302/100)*(C13302*VLOOKUP(B13302,'Poids des runes'!A:B,2,FALSE)))+1),(((D13302/100)*(C13302*VLOOKUP(B13302,'Poids des runes'!A:B,2,FALSE)))+1)/VLOOKUP(B13302,'Poids des runes'!A:B,2,FALSE))</f>
        <v>9.07</v>
      </c>
      <c r="F13302">
        <f t="shared" si="207"/>
        <v>9.07</v>
      </c>
    </row>
    <row r="13303" spans="1:6" x14ac:dyDescent="0.3">
      <c r="A13303" t="s">
        <v>2083</v>
      </c>
      <c r="B13303" t="s">
        <v>2163</v>
      </c>
      <c r="C13303">
        <v>8.5</v>
      </c>
      <c r="D13303">
        <v>196</v>
      </c>
      <c r="E13303">
        <f>IF(OR(B13303="vi",B13303="ii",B13303="pod"),(((D13303/100)*(C13303*VLOOKUP(B13303,'Poids des runes'!A:B,2,FALSE)))+1),(((D13303/100)*(C13303*VLOOKUP(B13303,'Poids des runes'!A:B,2,FALSE)))+1)/VLOOKUP(B13303,'Poids des runes'!A:B,2,FALSE))</f>
        <v>17.16</v>
      </c>
      <c r="F13303">
        <f t="shared" si="207"/>
        <v>17.16</v>
      </c>
    </row>
    <row r="13304" spans="1:6" x14ac:dyDescent="0.3">
      <c r="A13304" t="s">
        <v>2083</v>
      </c>
      <c r="B13304" t="s">
        <v>2136</v>
      </c>
      <c r="C13304">
        <v>8.5</v>
      </c>
      <c r="D13304">
        <v>196</v>
      </c>
      <c r="E13304">
        <f>IF(OR(B13304="vi",B13304="ii",B13304="pod"),(((D13304/100)*(C13304*VLOOKUP(B13304,'Poids des runes'!A:B,2,FALSE)))+1),(((D13304/100)*(C13304*VLOOKUP(B13304,'Poids des runes'!A:B,2,FALSE)))+1)/VLOOKUP(B13304,'Poids des runes'!A:B,2,FALSE))</f>
        <v>17.16</v>
      </c>
      <c r="F13304">
        <f t="shared" si="207"/>
        <v>17.16</v>
      </c>
    </row>
    <row r="13305" spans="1:6" x14ac:dyDescent="0.3">
      <c r="A13305" t="s">
        <v>2083</v>
      </c>
      <c r="B13305" t="s">
        <v>2146</v>
      </c>
      <c r="C13305">
        <v>8.5</v>
      </c>
      <c r="D13305">
        <v>196</v>
      </c>
      <c r="E13305">
        <f>IF(OR(B13305="vi",B13305="ii",B13305="pod"),(((D13305/100)*(C13305*VLOOKUP(B13305,'Poids des runes'!A:B,2,FALSE)))+1),(((D13305/100)*(C13305*VLOOKUP(B13305,'Poids des runes'!A:B,2,FALSE)))+1)/VLOOKUP(B13305,'Poids des runes'!A:B,2,FALSE))</f>
        <v>17.16</v>
      </c>
      <c r="F13305">
        <f t="shared" si="207"/>
        <v>17.16</v>
      </c>
    </row>
    <row r="13306" spans="1:6" x14ac:dyDescent="0.3">
      <c r="A13306" t="s">
        <v>2084</v>
      </c>
      <c r="B13306" t="s">
        <v>2128</v>
      </c>
      <c r="C13306">
        <v>275.5</v>
      </c>
      <c r="D13306">
        <v>196</v>
      </c>
      <c r="E13306">
        <f>IF(OR(B13306="vi",B13306="ii",B13306="pod"),(((D13306/100)*(C13306*VLOOKUP(B13306,'Poids des runes'!A:B,2,FALSE)))+1),(((D13306/100)*(C13306*VLOOKUP(B13306,'Poids des runes'!A:B,2,FALSE)))+1)/VLOOKUP(B13306,'Poids des runes'!A:B,2,FALSE))</f>
        <v>108.996</v>
      </c>
      <c r="F13306">
        <f t="shared" si="207"/>
        <v>108.996</v>
      </c>
    </row>
    <row r="13307" spans="1:6" x14ac:dyDescent="0.3">
      <c r="A13307" t="s">
        <v>2084</v>
      </c>
      <c r="B13307" t="s">
        <v>2126</v>
      </c>
      <c r="C13307">
        <v>70.5</v>
      </c>
      <c r="D13307">
        <v>196</v>
      </c>
      <c r="E13307">
        <f>IF(OR(B13307="vi",B13307="ii",B13307="pod"),(((D13307/100)*(C13307*VLOOKUP(B13307,'Poids des runes'!A:B,2,FALSE)))+1),(((D13307/100)*(C13307*VLOOKUP(B13307,'Poids des runes'!A:B,2,FALSE)))+1)/VLOOKUP(B13307,'Poids des runes'!A:B,2,FALSE))</f>
        <v>139.18</v>
      </c>
      <c r="F13307">
        <f t="shared" si="207"/>
        <v>139.18</v>
      </c>
    </row>
    <row r="13308" spans="1:6" x14ac:dyDescent="0.3">
      <c r="A13308" t="s">
        <v>2084</v>
      </c>
      <c r="B13308" t="s">
        <v>2129</v>
      </c>
      <c r="C13308">
        <v>25.5</v>
      </c>
      <c r="D13308">
        <v>196</v>
      </c>
      <c r="E13308">
        <f>IF(OR(B13308="vi",B13308="ii",B13308="pod"),(((D13308/100)*(C13308*VLOOKUP(B13308,'Poids des runes'!A:B,2,FALSE)))+1),(((D13308/100)*(C13308*VLOOKUP(B13308,'Poids des runes'!A:B,2,FALSE)))+1)/VLOOKUP(B13308,'Poids des runes'!A:B,2,FALSE))</f>
        <v>50.98</v>
      </c>
      <c r="F13308">
        <f t="shared" si="207"/>
        <v>50.98</v>
      </c>
    </row>
    <row r="13309" spans="1:6" x14ac:dyDescent="0.3">
      <c r="A13309" t="s">
        <v>2084</v>
      </c>
      <c r="B13309" t="s">
        <v>2151</v>
      </c>
      <c r="C13309">
        <v>2.5</v>
      </c>
      <c r="D13309">
        <v>196</v>
      </c>
      <c r="E13309">
        <f>IF(OR(B13309="vi",B13309="ii",B13309="pod"),(((D13309/100)*(C13309*VLOOKUP(B13309,'Poids des runes'!A:B,2,FALSE)))+1),(((D13309/100)*(C13309*VLOOKUP(B13309,'Poids des runes'!A:B,2,FALSE)))+1)/VLOOKUP(B13309,'Poids des runes'!A:B,2,FALSE))</f>
        <v>5</v>
      </c>
      <c r="F13309">
        <f t="shared" si="207"/>
        <v>5</v>
      </c>
    </row>
    <row r="13310" spans="1:6" x14ac:dyDescent="0.3">
      <c r="A13310" t="s">
        <v>2084</v>
      </c>
      <c r="B13310" t="s">
        <v>2155</v>
      </c>
      <c r="C13310">
        <v>1</v>
      </c>
      <c r="D13310">
        <v>196</v>
      </c>
      <c r="E13310">
        <f>IF(OR(B13310="vi",B13310="ii",B13310="pod"),(((D13310/100)*(C13310*VLOOKUP(B13310,'Poids des runes'!A:B,2,FALSE)))+1),(((D13310/100)*(C13310*VLOOKUP(B13310,'Poids des runes'!A:B,2,FALSE)))+1)/VLOOKUP(B13310,'Poids des runes'!A:B,2,FALSE))</f>
        <v>1.9796078431372548</v>
      </c>
      <c r="F13310">
        <f t="shared" si="207"/>
        <v>1.9796078431372548</v>
      </c>
    </row>
    <row r="13311" spans="1:6" x14ac:dyDescent="0.3">
      <c r="A13311" t="s">
        <v>2084</v>
      </c>
      <c r="B13311" t="s">
        <v>2150</v>
      </c>
      <c r="C13311">
        <v>1</v>
      </c>
      <c r="D13311">
        <v>196</v>
      </c>
      <c r="E13311">
        <f>IF(OR(B13311="vi",B13311="ii",B13311="pod"),(((D13311/100)*(C13311*VLOOKUP(B13311,'Poids des runes'!A:B,2,FALSE)))+1),(((D13311/100)*(C13311*VLOOKUP(B13311,'Poids des runes'!A:B,2,FALSE)))+1)/VLOOKUP(B13311,'Poids des runes'!A:B,2,FALSE))</f>
        <v>1.9933333333333332</v>
      </c>
      <c r="F13311">
        <f t="shared" si="207"/>
        <v>1.9933333333333332</v>
      </c>
    </row>
    <row r="13312" spans="1:6" x14ac:dyDescent="0.3">
      <c r="A13312" t="s">
        <v>2084</v>
      </c>
      <c r="B13312" t="s">
        <v>2140</v>
      </c>
      <c r="C13312">
        <v>16</v>
      </c>
      <c r="D13312">
        <v>196</v>
      </c>
      <c r="E13312">
        <f>IF(OR(B13312="vi",B13312="ii",B13312="pod"),(((D13312/100)*(C13312*VLOOKUP(B13312,'Poids des runes'!A:B,2,FALSE)))+1),(((D13312/100)*(C13312*VLOOKUP(B13312,'Poids des runes'!A:B,2,FALSE)))+1)/VLOOKUP(B13312,'Poids des runes'!A:B,2,FALSE))</f>
        <v>31.560000000000002</v>
      </c>
      <c r="F13312">
        <f t="shared" si="207"/>
        <v>31.560000000000002</v>
      </c>
    </row>
    <row r="13313" spans="1:6" x14ac:dyDescent="0.3">
      <c r="A13313" t="s">
        <v>2084</v>
      </c>
      <c r="B13313" t="s">
        <v>2161</v>
      </c>
      <c r="C13313">
        <v>13</v>
      </c>
      <c r="D13313">
        <v>196</v>
      </c>
      <c r="E13313">
        <f>IF(OR(B13313="vi",B13313="ii",B13313="pod"),(((D13313/100)*(C13313*VLOOKUP(B13313,'Poids des runes'!A:B,2,FALSE)))+1),(((D13313/100)*(C13313*VLOOKUP(B13313,'Poids des runes'!A:B,2,FALSE)))+1)/VLOOKUP(B13313,'Poids des runes'!A:B,2,FALSE))</f>
        <v>25.813333333333333</v>
      </c>
      <c r="F13313">
        <f t="shared" si="207"/>
        <v>25.813333333333333</v>
      </c>
    </row>
    <row r="13314" spans="1:6" x14ac:dyDescent="0.3">
      <c r="A13314" t="s">
        <v>2084</v>
      </c>
      <c r="B13314" t="s">
        <v>2132</v>
      </c>
      <c r="C13314">
        <v>350.5</v>
      </c>
      <c r="D13314">
        <v>196</v>
      </c>
      <c r="E13314">
        <f>IF(OR(B13314="vi",B13314="ii",B13314="pod"),(((D13314/100)*(C13314*VLOOKUP(B13314,'Poids des runes'!A:B,2,FALSE)))+1),(((D13314/100)*(C13314*VLOOKUP(B13314,'Poids des runes'!A:B,2,FALSE)))+1)/VLOOKUP(B13314,'Poids des runes'!A:B,2,FALSE))</f>
        <v>69.698000000000008</v>
      </c>
      <c r="F13314">
        <f t="shared" si="207"/>
        <v>69.698000000000008</v>
      </c>
    </row>
    <row r="13315" spans="1:6" x14ac:dyDescent="0.3">
      <c r="A13315" t="s">
        <v>2084</v>
      </c>
      <c r="B13315" t="s">
        <v>2138</v>
      </c>
      <c r="C13315">
        <v>8.5</v>
      </c>
      <c r="D13315">
        <v>196</v>
      </c>
      <c r="E13315">
        <f>IF(OR(B13315="vi",B13315="ii",B13315="pod"),(((D13315/100)*(C13315*VLOOKUP(B13315,'Poids des runes'!A:B,2,FALSE)))+1),(((D13315/100)*(C13315*VLOOKUP(B13315,'Poids des runes'!A:B,2,FALSE)))+1)/VLOOKUP(B13315,'Poids des runes'!A:B,2,FALSE))</f>
        <v>16.91</v>
      </c>
      <c r="F13315">
        <f t="shared" ref="F13315:F13378" si="208">E13315</f>
        <v>16.91</v>
      </c>
    </row>
    <row r="13316" spans="1:6" x14ac:dyDescent="0.3">
      <c r="A13316" t="s">
        <v>2084</v>
      </c>
      <c r="B13316" t="s">
        <v>2165</v>
      </c>
      <c r="C13316">
        <v>5</v>
      </c>
      <c r="D13316">
        <v>196</v>
      </c>
      <c r="E13316">
        <f>IF(OR(B13316="vi",B13316="ii",B13316="pod"),(((D13316/100)*(C13316*VLOOKUP(B13316,'Poids des runes'!A:B,2,FALSE)))+1),(((D13316/100)*(C13316*VLOOKUP(B13316,'Poids des runes'!A:B,2,FALSE)))+1)/VLOOKUP(B13316,'Poids des runes'!A:B,2,FALSE))</f>
        <v>9.9428571428571413</v>
      </c>
      <c r="F13316">
        <f t="shared" si="208"/>
        <v>9.9428571428571413</v>
      </c>
    </row>
    <row r="13317" spans="1:6" x14ac:dyDescent="0.3">
      <c r="A13317" t="s">
        <v>2084</v>
      </c>
      <c r="B13317" t="s">
        <v>2136</v>
      </c>
      <c r="C13317">
        <v>18</v>
      </c>
      <c r="D13317">
        <v>196</v>
      </c>
      <c r="E13317">
        <f>IF(OR(B13317="vi",B13317="ii",B13317="pod"),(((D13317/100)*(C13317*VLOOKUP(B13317,'Poids des runes'!A:B,2,FALSE)))+1),(((D13317/100)*(C13317*VLOOKUP(B13317,'Poids des runes'!A:B,2,FALSE)))+1)/VLOOKUP(B13317,'Poids des runes'!A:B,2,FALSE))</f>
        <v>35.78</v>
      </c>
      <c r="F13317">
        <f t="shared" si="208"/>
        <v>35.78</v>
      </c>
    </row>
    <row r="13318" spans="1:6" x14ac:dyDescent="0.3">
      <c r="A13318" t="s">
        <v>2084</v>
      </c>
      <c r="B13318" t="s">
        <v>2145</v>
      </c>
      <c r="C13318">
        <v>18</v>
      </c>
      <c r="D13318">
        <v>196</v>
      </c>
      <c r="E13318">
        <f>IF(OR(B13318="vi",B13318="ii",B13318="pod"),(((D13318/100)*(C13318*VLOOKUP(B13318,'Poids des runes'!A:B,2,FALSE)))+1),(((D13318/100)*(C13318*VLOOKUP(B13318,'Poids des runes'!A:B,2,FALSE)))+1)/VLOOKUP(B13318,'Poids des runes'!A:B,2,FALSE))</f>
        <v>35.78</v>
      </c>
      <c r="F13318">
        <f t="shared" si="208"/>
        <v>35.78</v>
      </c>
    </row>
    <row r="13319" spans="1:6" x14ac:dyDescent="0.3">
      <c r="A13319" t="s">
        <v>2085</v>
      </c>
      <c r="B13319" t="s">
        <v>2128</v>
      </c>
      <c r="C13319">
        <v>275.5</v>
      </c>
      <c r="D13319">
        <v>196</v>
      </c>
      <c r="E13319">
        <f>IF(OR(B13319="vi",B13319="ii",B13319="pod"),(((D13319/100)*(C13319*VLOOKUP(B13319,'Poids des runes'!A:B,2,FALSE)))+1),(((D13319/100)*(C13319*VLOOKUP(B13319,'Poids des runes'!A:B,2,FALSE)))+1)/VLOOKUP(B13319,'Poids des runes'!A:B,2,FALSE))</f>
        <v>108.996</v>
      </c>
      <c r="F13319">
        <f t="shared" si="208"/>
        <v>108.996</v>
      </c>
    </row>
    <row r="13320" spans="1:6" x14ac:dyDescent="0.3">
      <c r="A13320" t="s">
        <v>2085</v>
      </c>
      <c r="B13320" t="s">
        <v>2127</v>
      </c>
      <c r="C13320">
        <v>60.5</v>
      </c>
      <c r="D13320">
        <v>196</v>
      </c>
      <c r="E13320">
        <f>IF(OR(B13320="vi",B13320="ii",B13320="pod"),(((D13320/100)*(C13320*VLOOKUP(B13320,'Poids des runes'!A:B,2,FALSE)))+1),(((D13320/100)*(C13320*VLOOKUP(B13320,'Poids des runes'!A:B,2,FALSE)))+1)/VLOOKUP(B13320,'Poids des runes'!A:B,2,FALSE))</f>
        <v>119.58</v>
      </c>
      <c r="F13320">
        <f t="shared" si="208"/>
        <v>119.58</v>
      </c>
    </row>
    <row r="13321" spans="1:6" x14ac:dyDescent="0.3">
      <c r="A13321" t="s">
        <v>2085</v>
      </c>
      <c r="B13321" t="s">
        <v>2129</v>
      </c>
      <c r="C13321">
        <v>35.5</v>
      </c>
      <c r="D13321">
        <v>196</v>
      </c>
      <c r="E13321">
        <f>IF(OR(B13321="vi",B13321="ii",B13321="pod"),(((D13321/100)*(C13321*VLOOKUP(B13321,'Poids des runes'!A:B,2,FALSE)))+1),(((D13321/100)*(C13321*VLOOKUP(B13321,'Poids des runes'!A:B,2,FALSE)))+1)/VLOOKUP(B13321,'Poids des runes'!A:B,2,FALSE))</f>
        <v>70.58</v>
      </c>
      <c r="F13321">
        <f t="shared" si="208"/>
        <v>70.58</v>
      </c>
    </row>
    <row r="13322" spans="1:6" x14ac:dyDescent="0.3">
      <c r="A13322" t="s">
        <v>2085</v>
      </c>
      <c r="B13322" t="s">
        <v>2151</v>
      </c>
      <c r="C13322">
        <v>2.5</v>
      </c>
      <c r="D13322">
        <v>196</v>
      </c>
      <c r="E13322">
        <f>IF(OR(B13322="vi",B13322="ii",B13322="pod"),(((D13322/100)*(C13322*VLOOKUP(B13322,'Poids des runes'!A:B,2,FALSE)))+1),(((D13322/100)*(C13322*VLOOKUP(B13322,'Poids des runes'!A:B,2,FALSE)))+1)/VLOOKUP(B13322,'Poids des runes'!A:B,2,FALSE))</f>
        <v>5</v>
      </c>
      <c r="F13322">
        <f t="shared" si="208"/>
        <v>5</v>
      </c>
    </row>
    <row r="13323" spans="1:6" x14ac:dyDescent="0.3">
      <c r="A13323" t="s">
        <v>2085</v>
      </c>
      <c r="B13323" t="s">
        <v>2153</v>
      </c>
      <c r="C13323">
        <v>10.5</v>
      </c>
      <c r="D13323">
        <v>196</v>
      </c>
      <c r="E13323">
        <f>IF(OR(B13323="vi",B13323="ii",B13323="pod"),(((D13323/100)*(C13323*VLOOKUP(B13323,'Poids des runes'!A:B,2,FALSE)))+1),(((D13323/100)*(C13323*VLOOKUP(B13323,'Poids des runes'!A:B,2,FALSE)))+1)/VLOOKUP(B13323,'Poids des runes'!A:B,2,FALSE))</f>
        <v>20.779999999999998</v>
      </c>
      <c r="F13323">
        <f t="shared" si="208"/>
        <v>20.779999999999998</v>
      </c>
    </row>
    <row r="13324" spans="1:6" x14ac:dyDescent="0.3">
      <c r="A13324" t="s">
        <v>2085</v>
      </c>
      <c r="B13324" t="s">
        <v>2161</v>
      </c>
      <c r="C13324">
        <v>13</v>
      </c>
      <c r="D13324">
        <v>196</v>
      </c>
      <c r="E13324">
        <f>IF(OR(B13324="vi",B13324="ii",B13324="pod"),(((D13324/100)*(C13324*VLOOKUP(B13324,'Poids des runes'!A:B,2,FALSE)))+1),(((D13324/100)*(C13324*VLOOKUP(B13324,'Poids des runes'!A:B,2,FALSE)))+1)/VLOOKUP(B13324,'Poids des runes'!A:B,2,FALSE))</f>
        <v>25.813333333333333</v>
      </c>
      <c r="F13324">
        <f t="shared" si="208"/>
        <v>25.813333333333333</v>
      </c>
    </row>
    <row r="13325" spans="1:6" x14ac:dyDescent="0.3">
      <c r="A13325" t="s">
        <v>2085</v>
      </c>
      <c r="B13325" t="s">
        <v>2141</v>
      </c>
      <c r="C13325">
        <v>8.5</v>
      </c>
      <c r="D13325">
        <v>196</v>
      </c>
      <c r="E13325">
        <f>IF(OR(B13325="vi",B13325="ii",B13325="pod"),(((D13325/100)*(C13325*VLOOKUP(B13325,'Poids des runes'!A:B,2,FALSE)))+1),(((D13325/100)*(C13325*VLOOKUP(B13325,'Poids des runes'!A:B,2,FALSE)))+1)/VLOOKUP(B13325,'Poids des runes'!A:B,2,FALSE))</f>
        <v>16.91</v>
      </c>
      <c r="F13325">
        <f t="shared" si="208"/>
        <v>16.91</v>
      </c>
    </row>
    <row r="13326" spans="1:6" x14ac:dyDescent="0.3">
      <c r="A13326" t="s">
        <v>2085</v>
      </c>
      <c r="B13326" t="s">
        <v>2160</v>
      </c>
      <c r="C13326">
        <v>6</v>
      </c>
      <c r="D13326">
        <v>196</v>
      </c>
      <c r="E13326">
        <f>IF(OR(B13326="vi",B13326="ii",B13326="pod"),(((D13326/100)*(C13326*VLOOKUP(B13326,'Poids des runes'!A:B,2,FALSE)))+1),(((D13326/100)*(C13326*VLOOKUP(B13326,'Poids des runes'!A:B,2,FALSE)))+1)/VLOOKUP(B13326,'Poids des runes'!A:B,2,FALSE))</f>
        <v>11.902857142857142</v>
      </c>
      <c r="F13326">
        <f t="shared" si="208"/>
        <v>11.902857142857142</v>
      </c>
    </row>
    <row r="13327" spans="1:6" x14ac:dyDescent="0.3">
      <c r="A13327" t="s">
        <v>2085</v>
      </c>
      <c r="B13327" t="s">
        <v>2158</v>
      </c>
      <c r="C13327">
        <v>8.5</v>
      </c>
      <c r="D13327">
        <v>196</v>
      </c>
      <c r="E13327">
        <f>IF(OR(B13327="vi",B13327="ii",B13327="pod"),(((D13327/100)*(C13327*VLOOKUP(B13327,'Poids des runes'!A:B,2,FALSE)))+1),(((D13327/100)*(C13327*VLOOKUP(B13327,'Poids des runes'!A:B,2,FALSE)))+1)/VLOOKUP(B13327,'Poids des runes'!A:B,2,FALSE))</f>
        <v>16.86</v>
      </c>
      <c r="F13327">
        <f t="shared" si="208"/>
        <v>16.86</v>
      </c>
    </row>
    <row r="13328" spans="1:6" x14ac:dyDescent="0.3">
      <c r="A13328" t="s">
        <v>2085</v>
      </c>
      <c r="B13328" t="s">
        <v>2148</v>
      </c>
      <c r="C13328">
        <v>5</v>
      </c>
      <c r="D13328">
        <v>196</v>
      </c>
      <c r="E13328">
        <f>IF(OR(B13328="vi",B13328="ii",B13328="pod"),(((D13328/100)*(C13328*VLOOKUP(B13328,'Poids des runes'!A:B,2,FALSE)))+1),(((D13328/100)*(C13328*VLOOKUP(B13328,'Poids des runes'!A:B,2,FALSE)))+1)/VLOOKUP(B13328,'Poids des runes'!A:B,2,FALSE))</f>
        <v>9.9666666666666668</v>
      </c>
      <c r="F13328">
        <f t="shared" si="208"/>
        <v>9.9666666666666668</v>
      </c>
    </row>
    <row r="13329" spans="1:6" x14ac:dyDescent="0.3">
      <c r="A13329" t="s">
        <v>2085</v>
      </c>
      <c r="B13329" t="s">
        <v>2135</v>
      </c>
      <c r="C13329">
        <v>5</v>
      </c>
      <c r="D13329">
        <v>196</v>
      </c>
      <c r="E13329">
        <f>IF(OR(B13329="vi",B13329="ii",B13329="pod"),(((D13329/100)*(C13329*VLOOKUP(B13329,'Poids des runes'!A:B,2,FALSE)))+1),(((D13329/100)*(C13329*VLOOKUP(B13329,'Poids des runes'!A:B,2,FALSE)))+1)/VLOOKUP(B13329,'Poids des runes'!A:B,2,FALSE))</f>
        <v>9.9666666666666668</v>
      </c>
      <c r="F13329">
        <f t="shared" si="208"/>
        <v>9.9666666666666668</v>
      </c>
    </row>
    <row r="13330" spans="1:6" x14ac:dyDescent="0.3">
      <c r="A13330" t="s">
        <v>2086</v>
      </c>
      <c r="B13330" t="s">
        <v>2128</v>
      </c>
      <c r="C13330">
        <v>275.5</v>
      </c>
      <c r="D13330">
        <v>197</v>
      </c>
      <c r="E13330">
        <f>IF(OR(B13330="vi",B13330="ii",B13330="pod"),(((D13330/100)*(C13330*VLOOKUP(B13330,'Poids des runes'!A:B,2,FALSE)))+1),(((D13330/100)*(C13330*VLOOKUP(B13330,'Poids des runes'!A:B,2,FALSE)))+1)/VLOOKUP(B13330,'Poids des runes'!A:B,2,FALSE))</f>
        <v>109.547</v>
      </c>
      <c r="F13330">
        <f t="shared" si="208"/>
        <v>109.547</v>
      </c>
    </row>
    <row r="13331" spans="1:6" x14ac:dyDescent="0.3">
      <c r="A13331" t="s">
        <v>2086</v>
      </c>
      <c r="B13331" t="s">
        <v>2130</v>
      </c>
      <c r="C13331">
        <v>50.5</v>
      </c>
      <c r="D13331">
        <v>197</v>
      </c>
      <c r="E13331">
        <f>IF(OR(B13331="vi",B13331="ii",B13331="pod"),(((D13331/100)*(C13331*VLOOKUP(B13331,'Poids des runes'!A:B,2,FALSE)))+1),(((D13331/100)*(C13331*VLOOKUP(B13331,'Poids des runes'!A:B,2,FALSE)))+1)/VLOOKUP(B13331,'Poids des runes'!A:B,2,FALSE))</f>
        <v>100.485</v>
      </c>
      <c r="F13331">
        <f t="shared" si="208"/>
        <v>100.485</v>
      </c>
    </row>
    <row r="13332" spans="1:6" x14ac:dyDescent="0.3">
      <c r="A13332" t="s">
        <v>2086</v>
      </c>
      <c r="B13332" t="s">
        <v>2127</v>
      </c>
      <c r="C13332">
        <v>50.5</v>
      </c>
      <c r="D13332">
        <v>197</v>
      </c>
      <c r="E13332">
        <f>IF(OR(B13332="vi",B13332="ii",B13332="pod"),(((D13332/100)*(C13332*VLOOKUP(B13332,'Poids des runes'!A:B,2,FALSE)))+1),(((D13332/100)*(C13332*VLOOKUP(B13332,'Poids des runes'!A:B,2,FALSE)))+1)/VLOOKUP(B13332,'Poids des runes'!A:B,2,FALSE))</f>
        <v>100.485</v>
      </c>
      <c r="F13332">
        <f t="shared" si="208"/>
        <v>100.485</v>
      </c>
    </row>
    <row r="13333" spans="1:6" x14ac:dyDescent="0.3">
      <c r="A13333" t="s">
        <v>2086</v>
      </c>
      <c r="B13333" t="s">
        <v>2129</v>
      </c>
      <c r="C13333">
        <v>45.5</v>
      </c>
      <c r="D13333">
        <v>197</v>
      </c>
      <c r="E13333">
        <f>IF(OR(B13333="vi",B13333="ii",B13333="pod"),(((D13333/100)*(C13333*VLOOKUP(B13333,'Poids des runes'!A:B,2,FALSE)))+1),(((D13333/100)*(C13333*VLOOKUP(B13333,'Poids des runes'!A:B,2,FALSE)))+1)/VLOOKUP(B13333,'Poids des runes'!A:B,2,FALSE))</f>
        <v>90.635000000000005</v>
      </c>
      <c r="F13333">
        <f t="shared" si="208"/>
        <v>90.635000000000005</v>
      </c>
    </row>
    <row r="13334" spans="1:6" x14ac:dyDescent="0.3">
      <c r="A13334" t="s">
        <v>2086</v>
      </c>
      <c r="B13334" t="s">
        <v>2151</v>
      </c>
      <c r="C13334">
        <v>4.5</v>
      </c>
      <c r="D13334">
        <v>197</v>
      </c>
      <c r="E13334">
        <f>IF(OR(B13334="vi",B13334="ii",B13334="pod"),(((D13334/100)*(C13334*VLOOKUP(B13334,'Poids des runes'!A:B,2,FALSE)))+1),(((D13334/100)*(C13334*VLOOKUP(B13334,'Poids des runes'!A:B,2,FALSE)))+1)/VLOOKUP(B13334,'Poids des runes'!A:B,2,FALSE))</f>
        <v>8.9649999999999999</v>
      </c>
      <c r="F13334">
        <f t="shared" si="208"/>
        <v>8.9649999999999999</v>
      </c>
    </row>
    <row r="13335" spans="1:6" x14ac:dyDescent="0.3">
      <c r="A13335" t="s">
        <v>2086</v>
      </c>
      <c r="B13335" t="s">
        <v>2155</v>
      </c>
      <c r="C13335">
        <v>1</v>
      </c>
      <c r="D13335">
        <v>197</v>
      </c>
      <c r="E13335">
        <f>IF(OR(B13335="vi",B13335="ii",B13335="pod"),(((D13335/100)*(C13335*VLOOKUP(B13335,'Poids des runes'!A:B,2,FALSE)))+1),(((D13335/100)*(C13335*VLOOKUP(B13335,'Poids des runes'!A:B,2,FALSE)))+1)/VLOOKUP(B13335,'Poids des runes'!A:B,2,FALSE))</f>
        <v>1.9896078431372548</v>
      </c>
      <c r="F13335">
        <f t="shared" si="208"/>
        <v>1.9896078431372548</v>
      </c>
    </row>
    <row r="13336" spans="1:6" x14ac:dyDescent="0.3">
      <c r="A13336" t="s">
        <v>2086</v>
      </c>
      <c r="B13336" t="s">
        <v>2143</v>
      </c>
      <c r="C13336">
        <v>10</v>
      </c>
      <c r="D13336">
        <v>197</v>
      </c>
      <c r="E13336">
        <f>IF(OR(B13336="vi",B13336="ii",B13336="pod"),(((D13336/100)*(C13336*VLOOKUP(B13336,'Poids des runes'!A:B,2,FALSE)))+1),(((D13336/100)*(C13336*VLOOKUP(B13336,'Poids des runes'!A:B,2,FALSE)))+1)/VLOOKUP(B13336,'Poids des runes'!A:B,2,FALSE))</f>
        <v>19.899999999999999</v>
      </c>
      <c r="F13336">
        <f t="shared" si="208"/>
        <v>19.899999999999999</v>
      </c>
    </row>
    <row r="13337" spans="1:6" x14ac:dyDescent="0.3">
      <c r="A13337" t="s">
        <v>2086</v>
      </c>
      <c r="B13337" t="s">
        <v>2153</v>
      </c>
      <c r="C13337">
        <v>10</v>
      </c>
      <c r="D13337">
        <v>197</v>
      </c>
      <c r="E13337">
        <f>IF(OR(B13337="vi",B13337="ii",B13337="pod"),(((D13337/100)*(C13337*VLOOKUP(B13337,'Poids des runes'!A:B,2,FALSE)))+1),(((D13337/100)*(C13337*VLOOKUP(B13337,'Poids des runes'!A:B,2,FALSE)))+1)/VLOOKUP(B13337,'Poids des runes'!A:B,2,FALSE))</f>
        <v>19.899999999999999</v>
      </c>
      <c r="F13337">
        <f t="shared" si="208"/>
        <v>19.899999999999999</v>
      </c>
    </row>
    <row r="13338" spans="1:6" x14ac:dyDescent="0.3">
      <c r="A13338" t="s">
        <v>2086</v>
      </c>
      <c r="B13338" t="s">
        <v>2161</v>
      </c>
      <c r="C13338">
        <v>15.5</v>
      </c>
      <c r="D13338">
        <v>197</v>
      </c>
      <c r="E13338">
        <f>IF(OR(B13338="vi",B13338="ii",B13338="pod"),(((D13338/100)*(C13338*VLOOKUP(B13338,'Poids des runes'!A:B,2,FALSE)))+1),(((D13338/100)*(C13338*VLOOKUP(B13338,'Poids des runes'!A:B,2,FALSE)))+1)/VLOOKUP(B13338,'Poids des runes'!A:B,2,FALSE))</f>
        <v>30.868333333333336</v>
      </c>
      <c r="F13338">
        <f t="shared" si="208"/>
        <v>30.868333333333336</v>
      </c>
    </row>
    <row r="13339" spans="1:6" x14ac:dyDescent="0.3">
      <c r="A13339" t="s">
        <v>2086</v>
      </c>
      <c r="B13339" t="s">
        <v>2132</v>
      </c>
      <c r="C13339">
        <v>250.5</v>
      </c>
      <c r="D13339">
        <v>197</v>
      </c>
      <c r="E13339">
        <f>IF(OR(B13339="vi",B13339="ii",B13339="pod"),(((D13339/100)*(C13339*VLOOKUP(B13339,'Poids des runes'!A:B,2,FALSE)))+1),(((D13339/100)*(C13339*VLOOKUP(B13339,'Poids des runes'!A:B,2,FALSE)))+1)/VLOOKUP(B13339,'Poids des runes'!A:B,2,FALSE))</f>
        <v>50.348500000000001</v>
      </c>
      <c r="F13339">
        <f t="shared" si="208"/>
        <v>50.348500000000001</v>
      </c>
    </row>
    <row r="13340" spans="1:6" x14ac:dyDescent="0.3">
      <c r="A13340" t="s">
        <v>2086</v>
      </c>
      <c r="B13340" t="s">
        <v>2138</v>
      </c>
      <c r="C13340">
        <v>3.5</v>
      </c>
      <c r="D13340">
        <v>197</v>
      </c>
      <c r="E13340">
        <f>IF(OR(B13340="vi",B13340="ii",B13340="pod"),(((D13340/100)*(C13340*VLOOKUP(B13340,'Poids des runes'!A:B,2,FALSE)))+1),(((D13340/100)*(C13340*VLOOKUP(B13340,'Poids des runes'!A:B,2,FALSE)))+1)/VLOOKUP(B13340,'Poids des runes'!A:B,2,FALSE))</f>
        <v>7.1449999999999996</v>
      </c>
      <c r="F13340">
        <f t="shared" si="208"/>
        <v>7.1449999999999996</v>
      </c>
    </row>
    <row r="13341" spans="1:6" x14ac:dyDescent="0.3">
      <c r="A13341" t="s">
        <v>2086</v>
      </c>
      <c r="B13341" t="s">
        <v>2163</v>
      </c>
      <c r="C13341">
        <v>8.5</v>
      </c>
      <c r="D13341">
        <v>197</v>
      </c>
      <c r="E13341">
        <f>IF(OR(B13341="vi",B13341="ii",B13341="pod"),(((D13341/100)*(C13341*VLOOKUP(B13341,'Poids des runes'!A:B,2,FALSE)))+1),(((D13341/100)*(C13341*VLOOKUP(B13341,'Poids des runes'!A:B,2,FALSE)))+1)/VLOOKUP(B13341,'Poids des runes'!A:B,2,FALSE))</f>
        <v>17.245000000000001</v>
      </c>
      <c r="F13341">
        <f t="shared" si="208"/>
        <v>17.245000000000001</v>
      </c>
    </row>
    <row r="13342" spans="1:6" x14ac:dyDescent="0.3">
      <c r="A13342" t="s">
        <v>2086</v>
      </c>
      <c r="B13342" t="s">
        <v>2156</v>
      </c>
      <c r="C13342">
        <v>6</v>
      </c>
      <c r="D13342">
        <v>197</v>
      </c>
      <c r="E13342">
        <f>IF(OR(B13342="vi",B13342="ii",B13342="pod"),(((D13342/100)*(C13342*VLOOKUP(B13342,'Poids des runes'!A:B,2,FALSE)))+1),(((D13342/100)*(C13342*VLOOKUP(B13342,'Poids des runes'!A:B,2,FALSE)))+1)/VLOOKUP(B13342,'Poids des runes'!A:B,2,FALSE))</f>
        <v>11.986666666666666</v>
      </c>
      <c r="F13342">
        <f t="shared" si="208"/>
        <v>11.986666666666666</v>
      </c>
    </row>
    <row r="13343" spans="1:6" x14ac:dyDescent="0.3">
      <c r="A13343" t="s">
        <v>2087</v>
      </c>
      <c r="B13343" t="s">
        <v>2128</v>
      </c>
      <c r="C13343">
        <v>325.5</v>
      </c>
      <c r="D13343">
        <v>197</v>
      </c>
      <c r="E13343">
        <f>IF(OR(B13343="vi",B13343="ii",B13343="pod"),(((D13343/100)*(C13343*VLOOKUP(B13343,'Poids des runes'!A:B,2,FALSE)))+1),(((D13343/100)*(C13343*VLOOKUP(B13343,'Poids des runes'!A:B,2,FALSE)))+1)/VLOOKUP(B13343,'Poids des runes'!A:B,2,FALSE))</f>
        <v>129.24700000000001</v>
      </c>
      <c r="F13343">
        <f t="shared" si="208"/>
        <v>129.24700000000001</v>
      </c>
    </row>
    <row r="13344" spans="1:6" x14ac:dyDescent="0.3">
      <c r="A13344" t="s">
        <v>2087</v>
      </c>
      <c r="B13344" t="s">
        <v>2126</v>
      </c>
      <c r="C13344">
        <v>50.5</v>
      </c>
      <c r="D13344">
        <v>197</v>
      </c>
      <c r="E13344">
        <f>IF(OR(B13344="vi",B13344="ii",B13344="pod"),(((D13344/100)*(C13344*VLOOKUP(B13344,'Poids des runes'!A:B,2,FALSE)))+1),(((D13344/100)*(C13344*VLOOKUP(B13344,'Poids des runes'!A:B,2,FALSE)))+1)/VLOOKUP(B13344,'Poids des runes'!A:B,2,FALSE))</f>
        <v>100.485</v>
      </c>
      <c r="F13344">
        <f t="shared" si="208"/>
        <v>100.485</v>
      </c>
    </row>
    <row r="13345" spans="1:6" x14ac:dyDescent="0.3">
      <c r="A13345" t="s">
        <v>2087</v>
      </c>
      <c r="B13345" t="s">
        <v>2127</v>
      </c>
      <c r="C13345">
        <v>50.5</v>
      </c>
      <c r="D13345">
        <v>197</v>
      </c>
      <c r="E13345">
        <f>IF(OR(B13345="vi",B13345="ii",B13345="pod"),(((D13345/100)*(C13345*VLOOKUP(B13345,'Poids des runes'!A:B,2,FALSE)))+1),(((D13345/100)*(C13345*VLOOKUP(B13345,'Poids des runes'!A:B,2,FALSE)))+1)/VLOOKUP(B13345,'Poids des runes'!A:B,2,FALSE))</f>
        <v>100.485</v>
      </c>
      <c r="F13345">
        <f t="shared" si="208"/>
        <v>100.485</v>
      </c>
    </row>
    <row r="13346" spans="1:6" x14ac:dyDescent="0.3">
      <c r="A13346" t="s">
        <v>2087</v>
      </c>
      <c r="B13346" t="s">
        <v>2129</v>
      </c>
      <c r="C13346">
        <v>35.5</v>
      </c>
      <c r="D13346">
        <v>197</v>
      </c>
      <c r="E13346">
        <f>IF(OR(B13346="vi",B13346="ii",B13346="pod"),(((D13346/100)*(C13346*VLOOKUP(B13346,'Poids des runes'!A:B,2,FALSE)))+1),(((D13346/100)*(C13346*VLOOKUP(B13346,'Poids des runes'!A:B,2,FALSE)))+1)/VLOOKUP(B13346,'Poids des runes'!A:B,2,FALSE))</f>
        <v>70.935000000000002</v>
      </c>
      <c r="F13346">
        <f t="shared" si="208"/>
        <v>70.935000000000002</v>
      </c>
    </row>
    <row r="13347" spans="1:6" x14ac:dyDescent="0.3">
      <c r="A13347" t="s">
        <v>2087</v>
      </c>
      <c r="B13347" t="s">
        <v>2151</v>
      </c>
      <c r="C13347">
        <v>3.5</v>
      </c>
      <c r="D13347">
        <v>197</v>
      </c>
      <c r="E13347">
        <f>IF(OR(B13347="vi",B13347="ii",B13347="pod"),(((D13347/100)*(C13347*VLOOKUP(B13347,'Poids des runes'!A:B,2,FALSE)))+1),(((D13347/100)*(C13347*VLOOKUP(B13347,'Poids des runes'!A:B,2,FALSE)))+1)/VLOOKUP(B13347,'Poids des runes'!A:B,2,FALSE))</f>
        <v>6.9950000000000001</v>
      </c>
      <c r="F13347">
        <f t="shared" si="208"/>
        <v>6.9950000000000001</v>
      </c>
    </row>
    <row r="13348" spans="1:6" x14ac:dyDescent="0.3">
      <c r="A13348" t="s">
        <v>2087</v>
      </c>
      <c r="B13348" t="s">
        <v>2150</v>
      </c>
      <c r="C13348">
        <v>1</v>
      </c>
      <c r="D13348">
        <v>197</v>
      </c>
      <c r="E13348">
        <f>IF(OR(B13348="vi",B13348="ii",B13348="pod"),(((D13348/100)*(C13348*VLOOKUP(B13348,'Poids des runes'!A:B,2,FALSE)))+1),(((D13348/100)*(C13348*VLOOKUP(B13348,'Poids des runes'!A:B,2,FALSE)))+1)/VLOOKUP(B13348,'Poids des runes'!A:B,2,FALSE))</f>
        <v>2.0033333333333334</v>
      </c>
      <c r="F13348">
        <f t="shared" si="208"/>
        <v>2.0033333333333334</v>
      </c>
    </row>
    <row r="13349" spans="1:6" x14ac:dyDescent="0.3">
      <c r="A13349" t="s">
        <v>2087</v>
      </c>
      <c r="B13349" t="s">
        <v>2140</v>
      </c>
      <c r="C13349">
        <v>16</v>
      </c>
      <c r="D13349">
        <v>197</v>
      </c>
      <c r="E13349">
        <f>IF(OR(B13349="vi",B13349="ii",B13349="pod"),(((D13349/100)*(C13349*VLOOKUP(B13349,'Poids des runes'!A:B,2,FALSE)))+1),(((D13349/100)*(C13349*VLOOKUP(B13349,'Poids des runes'!A:B,2,FALSE)))+1)/VLOOKUP(B13349,'Poids des runes'!A:B,2,FALSE))</f>
        <v>31.72</v>
      </c>
      <c r="F13349">
        <f t="shared" si="208"/>
        <v>31.72</v>
      </c>
    </row>
    <row r="13350" spans="1:6" x14ac:dyDescent="0.3">
      <c r="A13350" t="s">
        <v>2087</v>
      </c>
      <c r="B13350" t="s">
        <v>2153</v>
      </c>
      <c r="C13350">
        <v>16</v>
      </c>
      <c r="D13350">
        <v>197</v>
      </c>
      <c r="E13350">
        <f>IF(OR(B13350="vi",B13350="ii",B13350="pod"),(((D13350/100)*(C13350*VLOOKUP(B13350,'Poids des runes'!A:B,2,FALSE)))+1),(((D13350/100)*(C13350*VLOOKUP(B13350,'Poids des runes'!A:B,2,FALSE)))+1)/VLOOKUP(B13350,'Poids des runes'!A:B,2,FALSE))</f>
        <v>31.72</v>
      </c>
      <c r="F13350">
        <f t="shared" si="208"/>
        <v>31.72</v>
      </c>
    </row>
    <row r="13351" spans="1:6" x14ac:dyDescent="0.3">
      <c r="A13351" t="s">
        <v>2087</v>
      </c>
      <c r="B13351" t="s">
        <v>2161</v>
      </c>
      <c r="C13351">
        <v>8.5</v>
      </c>
      <c r="D13351">
        <v>197</v>
      </c>
      <c r="E13351">
        <f>IF(OR(B13351="vi",B13351="ii",B13351="pod"),(((D13351/100)*(C13351*VLOOKUP(B13351,'Poids des runes'!A:B,2,FALSE)))+1),(((D13351/100)*(C13351*VLOOKUP(B13351,'Poids des runes'!A:B,2,FALSE)))+1)/VLOOKUP(B13351,'Poids des runes'!A:B,2,FALSE))</f>
        <v>17.078333333333333</v>
      </c>
      <c r="F13351">
        <f t="shared" si="208"/>
        <v>17.078333333333333</v>
      </c>
    </row>
    <row r="13352" spans="1:6" x14ac:dyDescent="0.3">
      <c r="A13352" t="s">
        <v>2087</v>
      </c>
      <c r="B13352" t="s">
        <v>2138</v>
      </c>
      <c r="C13352">
        <v>5</v>
      </c>
      <c r="D13352">
        <v>197</v>
      </c>
      <c r="E13352">
        <f>IF(OR(B13352="vi",B13352="ii",B13352="pod"),(((D13352/100)*(C13352*VLOOKUP(B13352,'Poids des runes'!A:B,2,FALSE)))+1),(((D13352/100)*(C13352*VLOOKUP(B13352,'Poids des runes'!A:B,2,FALSE)))+1)/VLOOKUP(B13352,'Poids des runes'!A:B,2,FALSE))</f>
        <v>10.1</v>
      </c>
      <c r="F13352">
        <f t="shared" si="208"/>
        <v>10.1</v>
      </c>
    </row>
    <row r="13353" spans="1:6" x14ac:dyDescent="0.3">
      <c r="A13353" t="s">
        <v>2087</v>
      </c>
      <c r="B13353" t="s">
        <v>2148</v>
      </c>
      <c r="C13353">
        <v>6</v>
      </c>
      <c r="D13353">
        <v>197</v>
      </c>
      <c r="E13353">
        <f>IF(OR(B13353="vi",B13353="ii",B13353="pod"),(((D13353/100)*(C13353*VLOOKUP(B13353,'Poids des runes'!A:B,2,FALSE)))+1),(((D13353/100)*(C13353*VLOOKUP(B13353,'Poids des runes'!A:B,2,FALSE)))+1)/VLOOKUP(B13353,'Poids des runes'!A:B,2,FALSE))</f>
        <v>11.986666666666666</v>
      </c>
      <c r="F13353">
        <f t="shared" si="208"/>
        <v>11.986666666666666</v>
      </c>
    </row>
    <row r="13354" spans="1:6" x14ac:dyDescent="0.3">
      <c r="A13354" t="s">
        <v>2087</v>
      </c>
      <c r="B13354" t="s">
        <v>2147</v>
      </c>
      <c r="C13354">
        <v>6</v>
      </c>
      <c r="D13354">
        <v>197</v>
      </c>
      <c r="E13354">
        <f>IF(OR(B13354="vi",B13354="ii",B13354="pod"),(((D13354/100)*(C13354*VLOOKUP(B13354,'Poids des runes'!A:B,2,FALSE)))+1),(((D13354/100)*(C13354*VLOOKUP(B13354,'Poids des runes'!A:B,2,FALSE)))+1)/VLOOKUP(B13354,'Poids des runes'!A:B,2,FALSE))</f>
        <v>11.986666666666666</v>
      </c>
      <c r="F13354">
        <f t="shared" si="208"/>
        <v>11.986666666666666</v>
      </c>
    </row>
    <row r="13355" spans="1:6" x14ac:dyDescent="0.3">
      <c r="A13355" t="s">
        <v>2087</v>
      </c>
      <c r="B13355" t="s">
        <v>2146</v>
      </c>
      <c r="C13355">
        <v>8.5</v>
      </c>
      <c r="D13355">
        <v>197</v>
      </c>
      <c r="E13355">
        <f>IF(OR(B13355="vi",B13355="ii",B13355="pod"),(((D13355/100)*(C13355*VLOOKUP(B13355,'Poids des runes'!A:B,2,FALSE)))+1),(((D13355/100)*(C13355*VLOOKUP(B13355,'Poids des runes'!A:B,2,FALSE)))+1)/VLOOKUP(B13355,'Poids des runes'!A:B,2,FALSE))</f>
        <v>17.245000000000001</v>
      </c>
      <c r="F13355">
        <f t="shared" si="208"/>
        <v>17.245000000000001</v>
      </c>
    </row>
    <row r="13356" spans="1:6" x14ac:dyDescent="0.3">
      <c r="A13356" t="s">
        <v>2088</v>
      </c>
      <c r="B13356" t="s">
        <v>2128</v>
      </c>
      <c r="C13356">
        <v>275.5</v>
      </c>
      <c r="D13356">
        <v>197</v>
      </c>
      <c r="E13356">
        <f>IF(OR(B13356="vi",B13356="ii",B13356="pod"),(((D13356/100)*(C13356*VLOOKUP(B13356,'Poids des runes'!A:B,2,FALSE)))+1),(((D13356/100)*(C13356*VLOOKUP(B13356,'Poids des runes'!A:B,2,FALSE)))+1)/VLOOKUP(B13356,'Poids des runes'!A:B,2,FALSE))</f>
        <v>109.547</v>
      </c>
      <c r="F13356">
        <f t="shared" si="208"/>
        <v>109.547</v>
      </c>
    </row>
    <row r="13357" spans="1:6" x14ac:dyDescent="0.3">
      <c r="A13357" t="s">
        <v>2088</v>
      </c>
      <c r="B13357" t="s">
        <v>2130</v>
      </c>
      <c r="C13357">
        <v>63</v>
      </c>
      <c r="D13357">
        <v>197</v>
      </c>
      <c r="E13357">
        <f>IF(OR(B13357="vi",B13357="ii",B13357="pod"),(((D13357/100)*(C13357*VLOOKUP(B13357,'Poids des runes'!A:B,2,FALSE)))+1),(((D13357/100)*(C13357*VLOOKUP(B13357,'Poids des runes'!A:B,2,FALSE)))+1)/VLOOKUP(B13357,'Poids des runes'!A:B,2,FALSE))</f>
        <v>125.11</v>
      </c>
      <c r="F13357">
        <f t="shared" si="208"/>
        <v>125.11</v>
      </c>
    </row>
    <row r="13358" spans="1:6" x14ac:dyDescent="0.3">
      <c r="A13358" t="s">
        <v>2088</v>
      </c>
      <c r="B13358" t="s">
        <v>2129</v>
      </c>
      <c r="C13358">
        <v>35.5</v>
      </c>
      <c r="D13358">
        <v>197</v>
      </c>
      <c r="E13358">
        <f>IF(OR(B13358="vi",B13358="ii",B13358="pod"),(((D13358/100)*(C13358*VLOOKUP(B13358,'Poids des runes'!A:B,2,FALSE)))+1),(((D13358/100)*(C13358*VLOOKUP(B13358,'Poids des runes'!A:B,2,FALSE)))+1)/VLOOKUP(B13358,'Poids des runes'!A:B,2,FALSE))</f>
        <v>70.935000000000002</v>
      </c>
      <c r="F13358">
        <f t="shared" si="208"/>
        <v>70.935000000000002</v>
      </c>
    </row>
    <row r="13359" spans="1:6" x14ac:dyDescent="0.3">
      <c r="A13359" t="s">
        <v>2088</v>
      </c>
      <c r="B13359" t="s">
        <v>2143</v>
      </c>
      <c r="C13359">
        <v>8.5</v>
      </c>
      <c r="D13359">
        <v>197</v>
      </c>
      <c r="E13359">
        <f>IF(OR(B13359="vi",B13359="ii",B13359="pod"),(((D13359/100)*(C13359*VLOOKUP(B13359,'Poids des runes'!A:B,2,FALSE)))+1),(((D13359/100)*(C13359*VLOOKUP(B13359,'Poids des runes'!A:B,2,FALSE)))+1)/VLOOKUP(B13359,'Poids des runes'!A:B,2,FALSE))</f>
        <v>16.945</v>
      </c>
      <c r="F13359">
        <f t="shared" si="208"/>
        <v>16.945</v>
      </c>
    </row>
    <row r="13360" spans="1:6" x14ac:dyDescent="0.3">
      <c r="A13360" t="s">
        <v>2088</v>
      </c>
      <c r="B13360" t="s">
        <v>2161</v>
      </c>
      <c r="C13360">
        <v>18</v>
      </c>
      <c r="D13360">
        <v>197</v>
      </c>
      <c r="E13360">
        <f>IF(OR(B13360="vi",B13360="ii",B13360="pod"),(((D13360/100)*(C13360*VLOOKUP(B13360,'Poids des runes'!A:B,2,FALSE)))+1),(((D13360/100)*(C13360*VLOOKUP(B13360,'Poids des runes'!A:B,2,FALSE)))+1)/VLOOKUP(B13360,'Poids des runes'!A:B,2,FALSE))</f>
        <v>35.793333333333329</v>
      </c>
      <c r="F13360">
        <f t="shared" si="208"/>
        <v>35.793333333333329</v>
      </c>
    </row>
    <row r="13361" spans="1:6" x14ac:dyDescent="0.3">
      <c r="A13361" t="s">
        <v>2088</v>
      </c>
      <c r="B13361" t="s">
        <v>2132</v>
      </c>
      <c r="C13361">
        <v>350.5</v>
      </c>
      <c r="D13361">
        <v>197</v>
      </c>
      <c r="E13361">
        <f>IF(OR(B13361="vi",B13361="ii",B13361="pod"),(((D13361/100)*(C13361*VLOOKUP(B13361,'Poids des runes'!A:B,2,FALSE)))+1),(((D13361/100)*(C13361*VLOOKUP(B13361,'Poids des runes'!A:B,2,FALSE)))+1)/VLOOKUP(B13361,'Poids des runes'!A:B,2,FALSE))</f>
        <v>70.048500000000004</v>
      </c>
      <c r="F13361">
        <f t="shared" si="208"/>
        <v>70.048500000000004</v>
      </c>
    </row>
    <row r="13362" spans="1:6" x14ac:dyDescent="0.3">
      <c r="A13362" t="s">
        <v>2088</v>
      </c>
      <c r="B13362" t="s">
        <v>2160</v>
      </c>
      <c r="C13362">
        <v>4.5</v>
      </c>
      <c r="D13362">
        <v>197</v>
      </c>
      <c r="E13362">
        <f>IF(OR(B13362="vi",B13362="ii",B13362="pod"),(((D13362/100)*(C13362*VLOOKUP(B13362,'Poids des runes'!A:B,2,FALSE)))+1),(((D13362/100)*(C13362*VLOOKUP(B13362,'Poids des runes'!A:B,2,FALSE)))+1)/VLOOKUP(B13362,'Poids des runes'!A:B,2,FALSE))</f>
        <v>9.0078571428571426</v>
      </c>
      <c r="F13362">
        <f t="shared" si="208"/>
        <v>9.0078571428571426</v>
      </c>
    </row>
    <row r="13363" spans="1:6" x14ac:dyDescent="0.3">
      <c r="A13363" t="s">
        <v>2088</v>
      </c>
      <c r="B13363" t="s">
        <v>2158</v>
      </c>
      <c r="C13363">
        <v>8.5</v>
      </c>
      <c r="D13363">
        <v>197</v>
      </c>
      <c r="E13363">
        <f>IF(OR(B13363="vi",B13363="ii",B13363="pod"),(((D13363/100)*(C13363*VLOOKUP(B13363,'Poids des runes'!A:B,2,FALSE)))+1),(((D13363/100)*(C13363*VLOOKUP(B13363,'Poids des runes'!A:B,2,FALSE)))+1)/VLOOKUP(B13363,'Poids des runes'!A:B,2,FALSE))</f>
        <v>16.945</v>
      </c>
      <c r="F13363">
        <f t="shared" si="208"/>
        <v>16.945</v>
      </c>
    </row>
    <row r="13364" spans="1:6" x14ac:dyDescent="0.3">
      <c r="A13364" t="s">
        <v>2088</v>
      </c>
      <c r="B13364" t="s">
        <v>2148</v>
      </c>
      <c r="C13364">
        <v>8.5</v>
      </c>
      <c r="D13364">
        <v>197</v>
      </c>
      <c r="E13364">
        <f>IF(OR(B13364="vi",B13364="ii",B13364="pod"),(((D13364/100)*(C13364*VLOOKUP(B13364,'Poids des runes'!A:B,2,FALSE)))+1),(((D13364/100)*(C13364*VLOOKUP(B13364,'Poids des runes'!A:B,2,FALSE)))+1)/VLOOKUP(B13364,'Poids des runes'!A:B,2,FALSE))</f>
        <v>16.911666666666665</v>
      </c>
      <c r="F13364">
        <f t="shared" si="208"/>
        <v>16.911666666666665</v>
      </c>
    </row>
    <row r="13365" spans="1:6" x14ac:dyDescent="0.3">
      <c r="A13365" t="s">
        <v>2088</v>
      </c>
      <c r="B13365" t="s">
        <v>2157</v>
      </c>
      <c r="C13365">
        <v>8.5</v>
      </c>
      <c r="D13365">
        <v>197</v>
      </c>
      <c r="E13365">
        <f>IF(OR(B13365="vi",B13365="ii",B13365="pod"),(((D13365/100)*(C13365*VLOOKUP(B13365,'Poids des runes'!A:B,2,FALSE)))+1),(((D13365/100)*(C13365*VLOOKUP(B13365,'Poids des runes'!A:B,2,FALSE)))+1)/VLOOKUP(B13365,'Poids des runes'!A:B,2,FALSE))</f>
        <v>16.911666666666665</v>
      </c>
      <c r="F13365">
        <f t="shared" si="208"/>
        <v>16.911666666666665</v>
      </c>
    </row>
    <row r="13366" spans="1:6" x14ac:dyDescent="0.3">
      <c r="A13366" t="s">
        <v>2089</v>
      </c>
      <c r="B13366" t="s">
        <v>2128</v>
      </c>
      <c r="C13366">
        <v>275.5</v>
      </c>
      <c r="D13366">
        <v>197</v>
      </c>
      <c r="E13366">
        <f>IF(OR(B13366="vi",B13366="ii",B13366="pod"),(((D13366/100)*(C13366*VLOOKUP(B13366,'Poids des runes'!A:B,2,FALSE)))+1),(((D13366/100)*(C13366*VLOOKUP(B13366,'Poids des runes'!A:B,2,FALSE)))+1)/VLOOKUP(B13366,'Poids des runes'!A:B,2,FALSE))</f>
        <v>109.547</v>
      </c>
      <c r="F13366">
        <f t="shared" si="208"/>
        <v>109.547</v>
      </c>
    </row>
    <row r="13367" spans="1:6" x14ac:dyDescent="0.3">
      <c r="A13367" t="s">
        <v>2089</v>
      </c>
      <c r="B13367" t="s">
        <v>2131</v>
      </c>
      <c r="C13367">
        <v>70.5</v>
      </c>
      <c r="D13367">
        <v>197</v>
      </c>
      <c r="E13367">
        <f>IF(OR(B13367="vi",B13367="ii",B13367="pod"),(((D13367/100)*(C13367*VLOOKUP(B13367,'Poids des runes'!A:B,2,FALSE)))+1),(((D13367/100)*(C13367*VLOOKUP(B13367,'Poids des runes'!A:B,2,FALSE)))+1)/VLOOKUP(B13367,'Poids des runes'!A:B,2,FALSE))</f>
        <v>139.88499999999999</v>
      </c>
      <c r="F13367">
        <f t="shared" si="208"/>
        <v>139.88499999999999</v>
      </c>
    </row>
    <row r="13368" spans="1:6" x14ac:dyDescent="0.3">
      <c r="A13368" t="s">
        <v>2089</v>
      </c>
      <c r="B13368" t="s">
        <v>2129</v>
      </c>
      <c r="C13368">
        <v>35.5</v>
      </c>
      <c r="D13368">
        <v>197</v>
      </c>
      <c r="E13368">
        <f>IF(OR(B13368="vi",B13368="ii",B13368="pod"),(((D13368/100)*(C13368*VLOOKUP(B13368,'Poids des runes'!A:B,2,FALSE)))+1),(((D13368/100)*(C13368*VLOOKUP(B13368,'Poids des runes'!A:B,2,FALSE)))+1)/VLOOKUP(B13368,'Poids des runes'!A:B,2,FALSE))</f>
        <v>70.935000000000002</v>
      </c>
      <c r="F13368">
        <f t="shared" si="208"/>
        <v>70.935000000000002</v>
      </c>
    </row>
    <row r="13369" spans="1:6" x14ac:dyDescent="0.3">
      <c r="A13369" t="s">
        <v>2089</v>
      </c>
      <c r="B13369" t="s">
        <v>2151</v>
      </c>
      <c r="C13369">
        <v>4.5</v>
      </c>
      <c r="D13369">
        <v>197</v>
      </c>
      <c r="E13369">
        <f>IF(OR(B13369="vi",B13369="ii",B13369="pod"),(((D13369/100)*(C13369*VLOOKUP(B13369,'Poids des runes'!A:B,2,FALSE)))+1),(((D13369/100)*(C13369*VLOOKUP(B13369,'Poids des runes'!A:B,2,FALSE)))+1)/VLOOKUP(B13369,'Poids des runes'!A:B,2,FALSE))</f>
        <v>8.9649999999999999</v>
      </c>
      <c r="F13369">
        <f t="shared" si="208"/>
        <v>8.9649999999999999</v>
      </c>
    </row>
    <row r="13370" spans="1:6" x14ac:dyDescent="0.3">
      <c r="A13370" t="s">
        <v>2089</v>
      </c>
      <c r="B13370" t="s">
        <v>2155</v>
      </c>
      <c r="C13370">
        <v>1</v>
      </c>
      <c r="D13370">
        <v>197</v>
      </c>
      <c r="E13370">
        <f>IF(OR(B13370="vi",B13370="ii",B13370="pod"),(((D13370/100)*(C13370*VLOOKUP(B13370,'Poids des runes'!A:B,2,FALSE)))+1),(((D13370/100)*(C13370*VLOOKUP(B13370,'Poids des runes'!A:B,2,FALSE)))+1)/VLOOKUP(B13370,'Poids des runes'!A:B,2,FALSE))</f>
        <v>1.9896078431372548</v>
      </c>
      <c r="F13370">
        <f t="shared" si="208"/>
        <v>1.9896078431372548</v>
      </c>
    </row>
    <row r="13371" spans="1:6" x14ac:dyDescent="0.3">
      <c r="A13371" t="s">
        <v>2089</v>
      </c>
      <c r="B13371" t="s">
        <v>2133</v>
      </c>
      <c r="C13371">
        <v>11</v>
      </c>
      <c r="D13371">
        <v>197</v>
      </c>
      <c r="E13371">
        <f>IF(OR(B13371="vi",B13371="ii",B13371="pod"),(((D13371/100)*(C13371*VLOOKUP(B13371,'Poids des runes'!A:B,2,FALSE)))+1),(((D13371/100)*(C13371*VLOOKUP(B13371,'Poids des runes'!A:B,2,FALSE)))+1)/VLOOKUP(B13371,'Poids des runes'!A:B,2,FALSE))</f>
        <v>21.869999999999997</v>
      </c>
      <c r="F13371">
        <f t="shared" si="208"/>
        <v>21.869999999999997</v>
      </c>
    </row>
    <row r="13372" spans="1:6" x14ac:dyDescent="0.3">
      <c r="A13372" t="s">
        <v>2089</v>
      </c>
      <c r="B13372" t="s">
        <v>2161</v>
      </c>
      <c r="C13372">
        <v>13</v>
      </c>
      <c r="D13372">
        <v>197</v>
      </c>
      <c r="E13372">
        <f>IF(OR(B13372="vi",B13372="ii",B13372="pod"),(((D13372/100)*(C13372*VLOOKUP(B13372,'Poids des runes'!A:B,2,FALSE)))+1),(((D13372/100)*(C13372*VLOOKUP(B13372,'Poids des runes'!A:B,2,FALSE)))+1)/VLOOKUP(B13372,'Poids des runes'!A:B,2,FALSE))</f>
        <v>25.943333333333332</v>
      </c>
      <c r="F13372">
        <f t="shared" si="208"/>
        <v>25.943333333333332</v>
      </c>
    </row>
    <row r="13373" spans="1:6" x14ac:dyDescent="0.3">
      <c r="A13373" t="s">
        <v>2089</v>
      </c>
      <c r="B13373" t="s">
        <v>2141</v>
      </c>
      <c r="C13373">
        <v>7</v>
      </c>
      <c r="D13373">
        <v>197</v>
      </c>
      <c r="E13373">
        <f>IF(OR(B13373="vi",B13373="ii",B13373="pod"),(((D13373/100)*(C13373*VLOOKUP(B13373,'Poids des runes'!A:B,2,FALSE)))+1),(((D13373/100)*(C13373*VLOOKUP(B13373,'Poids des runes'!A:B,2,FALSE)))+1)/VLOOKUP(B13373,'Poids des runes'!A:B,2,FALSE))</f>
        <v>14.04</v>
      </c>
      <c r="F13373">
        <f t="shared" si="208"/>
        <v>14.04</v>
      </c>
    </row>
    <row r="13374" spans="1:6" x14ac:dyDescent="0.3">
      <c r="A13374" t="s">
        <v>2089</v>
      </c>
      <c r="B13374" t="s">
        <v>2162</v>
      </c>
      <c r="C13374">
        <v>7</v>
      </c>
      <c r="D13374">
        <v>197</v>
      </c>
      <c r="E13374">
        <f>IF(OR(B13374="vi",B13374="ii",B13374="pod"),(((D13374/100)*(C13374*VLOOKUP(B13374,'Poids des runes'!A:B,2,FALSE)))+1),(((D13374/100)*(C13374*VLOOKUP(B13374,'Poids des runes'!A:B,2,FALSE)))+1)/VLOOKUP(B13374,'Poids des runes'!A:B,2,FALSE))</f>
        <v>13.932857142857143</v>
      </c>
      <c r="F13374">
        <f t="shared" si="208"/>
        <v>13.932857142857143</v>
      </c>
    </row>
    <row r="13375" spans="1:6" x14ac:dyDescent="0.3">
      <c r="A13375" t="s">
        <v>2089</v>
      </c>
      <c r="B13375" t="s">
        <v>2148</v>
      </c>
      <c r="C13375">
        <v>7</v>
      </c>
      <c r="D13375">
        <v>197</v>
      </c>
      <c r="E13375">
        <f>IF(OR(B13375="vi",B13375="ii",B13375="pod"),(((D13375/100)*(C13375*VLOOKUP(B13375,'Poids des runes'!A:B,2,FALSE)))+1),(((D13375/100)*(C13375*VLOOKUP(B13375,'Poids des runes'!A:B,2,FALSE)))+1)/VLOOKUP(B13375,'Poids des runes'!A:B,2,FALSE))</f>
        <v>13.956666666666665</v>
      </c>
      <c r="F13375">
        <f t="shared" si="208"/>
        <v>13.956666666666665</v>
      </c>
    </row>
    <row r="13376" spans="1:6" x14ac:dyDescent="0.3">
      <c r="A13376" t="s">
        <v>2089</v>
      </c>
      <c r="B13376" t="s">
        <v>2157</v>
      </c>
      <c r="C13376">
        <v>7</v>
      </c>
      <c r="D13376">
        <v>197</v>
      </c>
      <c r="E13376">
        <f>IF(OR(B13376="vi",B13376="ii",B13376="pod"),(((D13376/100)*(C13376*VLOOKUP(B13376,'Poids des runes'!A:B,2,FALSE)))+1),(((D13376/100)*(C13376*VLOOKUP(B13376,'Poids des runes'!A:B,2,FALSE)))+1)/VLOOKUP(B13376,'Poids des runes'!A:B,2,FALSE))</f>
        <v>13.956666666666665</v>
      </c>
      <c r="F13376">
        <f t="shared" si="208"/>
        <v>13.956666666666665</v>
      </c>
    </row>
    <row r="13377" spans="1:6" x14ac:dyDescent="0.3">
      <c r="A13377" t="s">
        <v>2089</v>
      </c>
      <c r="B13377" t="s">
        <v>2136</v>
      </c>
      <c r="C13377">
        <v>18</v>
      </c>
      <c r="D13377">
        <v>197</v>
      </c>
      <c r="E13377">
        <f>IF(OR(B13377="vi",B13377="ii",B13377="pod"),(((D13377/100)*(C13377*VLOOKUP(B13377,'Poids des runes'!A:B,2,FALSE)))+1),(((D13377/100)*(C13377*VLOOKUP(B13377,'Poids des runes'!A:B,2,FALSE)))+1)/VLOOKUP(B13377,'Poids des runes'!A:B,2,FALSE))</f>
        <v>35.96</v>
      </c>
      <c r="F13377">
        <f t="shared" si="208"/>
        <v>35.96</v>
      </c>
    </row>
    <row r="13378" spans="1:6" x14ac:dyDescent="0.3">
      <c r="A13378" t="s">
        <v>2090</v>
      </c>
      <c r="B13378" t="s">
        <v>2128</v>
      </c>
      <c r="C13378">
        <v>325.5</v>
      </c>
      <c r="D13378">
        <v>197</v>
      </c>
      <c r="E13378">
        <f>IF(OR(B13378="vi",B13378="ii",B13378="pod"),(((D13378/100)*(C13378*VLOOKUP(B13378,'Poids des runes'!A:B,2,FALSE)))+1),(((D13378/100)*(C13378*VLOOKUP(B13378,'Poids des runes'!A:B,2,FALSE)))+1)/VLOOKUP(B13378,'Poids des runes'!A:B,2,FALSE))</f>
        <v>129.24700000000001</v>
      </c>
      <c r="F13378">
        <f t="shared" si="208"/>
        <v>129.24700000000001</v>
      </c>
    </row>
    <row r="13379" spans="1:6" x14ac:dyDescent="0.3">
      <c r="A13379" t="s">
        <v>2090</v>
      </c>
      <c r="B13379" t="s">
        <v>2126</v>
      </c>
      <c r="C13379">
        <v>50.5</v>
      </c>
      <c r="D13379">
        <v>197</v>
      </c>
      <c r="E13379">
        <f>IF(OR(B13379="vi",B13379="ii",B13379="pod"),(((D13379/100)*(C13379*VLOOKUP(B13379,'Poids des runes'!A:B,2,FALSE)))+1),(((D13379/100)*(C13379*VLOOKUP(B13379,'Poids des runes'!A:B,2,FALSE)))+1)/VLOOKUP(B13379,'Poids des runes'!A:B,2,FALSE))</f>
        <v>100.485</v>
      </c>
      <c r="F13379">
        <f t="shared" ref="F13379:F13442" si="209">E13379</f>
        <v>100.485</v>
      </c>
    </row>
    <row r="13380" spans="1:6" x14ac:dyDescent="0.3">
      <c r="A13380" t="s">
        <v>2090</v>
      </c>
      <c r="B13380" t="s">
        <v>2127</v>
      </c>
      <c r="C13380">
        <v>50.5</v>
      </c>
      <c r="D13380">
        <v>197</v>
      </c>
      <c r="E13380">
        <f>IF(OR(B13380="vi",B13380="ii",B13380="pod"),(((D13380/100)*(C13380*VLOOKUP(B13380,'Poids des runes'!A:B,2,FALSE)))+1),(((D13380/100)*(C13380*VLOOKUP(B13380,'Poids des runes'!A:B,2,FALSE)))+1)/VLOOKUP(B13380,'Poids des runes'!A:B,2,FALSE))</f>
        <v>100.485</v>
      </c>
      <c r="F13380">
        <f t="shared" si="209"/>
        <v>100.485</v>
      </c>
    </row>
    <row r="13381" spans="1:6" x14ac:dyDescent="0.3">
      <c r="A13381" t="s">
        <v>2090</v>
      </c>
      <c r="B13381" t="s">
        <v>2129</v>
      </c>
      <c r="C13381">
        <v>30.5</v>
      </c>
      <c r="D13381">
        <v>197</v>
      </c>
      <c r="E13381">
        <f>IF(OR(B13381="vi",B13381="ii",B13381="pod"),(((D13381/100)*(C13381*VLOOKUP(B13381,'Poids des runes'!A:B,2,FALSE)))+1),(((D13381/100)*(C13381*VLOOKUP(B13381,'Poids des runes'!A:B,2,FALSE)))+1)/VLOOKUP(B13381,'Poids des runes'!A:B,2,FALSE))</f>
        <v>61.085000000000001</v>
      </c>
      <c r="F13381">
        <f t="shared" si="209"/>
        <v>61.085000000000001</v>
      </c>
    </row>
    <row r="13382" spans="1:6" x14ac:dyDescent="0.3">
      <c r="A13382" t="s">
        <v>2090</v>
      </c>
      <c r="B13382" t="s">
        <v>2151</v>
      </c>
      <c r="C13382">
        <v>2.5</v>
      </c>
      <c r="D13382">
        <v>197</v>
      </c>
      <c r="E13382">
        <f>IF(OR(B13382="vi",B13382="ii",B13382="pod"),(((D13382/100)*(C13382*VLOOKUP(B13382,'Poids des runes'!A:B,2,FALSE)))+1),(((D13382/100)*(C13382*VLOOKUP(B13382,'Poids des runes'!A:B,2,FALSE)))+1)/VLOOKUP(B13382,'Poids des runes'!A:B,2,FALSE))</f>
        <v>5.0250000000000004</v>
      </c>
      <c r="F13382">
        <f t="shared" si="209"/>
        <v>5.0250000000000004</v>
      </c>
    </row>
    <row r="13383" spans="1:6" x14ac:dyDescent="0.3">
      <c r="A13383" t="s">
        <v>2090</v>
      </c>
      <c r="B13383" t="s">
        <v>2140</v>
      </c>
      <c r="C13383">
        <v>10.5</v>
      </c>
      <c r="D13383">
        <v>197</v>
      </c>
      <c r="E13383">
        <f>IF(OR(B13383="vi",B13383="ii",B13383="pod"),(((D13383/100)*(C13383*VLOOKUP(B13383,'Poids des runes'!A:B,2,FALSE)))+1),(((D13383/100)*(C13383*VLOOKUP(B13383,'Poids des runes'!A:B,2,FALSE)))+1)/VLOOKUP(B13383,'Poids des runes'!A:B,2,FALSE))</f>
        <v>20.884999999999998</v>
      </c>
      <c r="F13383">
        <f t="shared" si="209"/>
        <v>20.884999999999998</v>
      </c>
    </row>
    <row r="13384" spans="1:6" x14ac:dyDescent="0.3">
      <c r="A13384" t="s">
        <v>2090</v>
      </c>
      <c r="B13384" t="s">
        <v>2153</v>
      </c>
      <c r="C13384">
        <v>10.5</v>
      </c>
      <c r="D13384">
        <v>197</v>
      </c>
      <c r="E13384">
        <f>IF(OR(B13384="vi",B13384="ii",B13384="pod"),(((D13384/100)*(C13384*VLOOKUP(B13384,'Poids des runes'!A:B,2,FALSE)))+1),(((D13384/100)*(C13384*VLOOKUP(B13384,'Poids des runes'!A:B,2,FALSE)))+1)/VLOOKUP(B13384,'Poids des runes'!A:B,2,FALSE))</f>
        <v>20.884999999999998</v>
      </c>
      <c r="F13384">
        <f t="shared" si="209"/>
        <v>20.884999999999998</v>
      </c>
    </row>
    <row r="13385" spans="1:6" x14ac:dyDescent="0.3">
      <c r="A13385" t="s">
        <v>2090</v>
      </c>
      <c r="B13385" t="s">
        <v>2161</v>
      </c>
      <c r="C13385">
        <v>8</v>
      </c>
      <c r="D13385">
        <v>197</v>
      </c>
      <c r="E13385">
        <f>IF(OR(B13385="vi",B13385="ii",B13385="pod"),(((D13385/100)*(C13385*VLOOKUP(B13385,'Poids des runes'!A:B,2,FALSE)))+1),(((D13385/100)*(C13385*VLOOKUP(B13385,'Poids des runes'!A:B,2,FALSE)))+1)/VLOOKUP(B13385,'Poids des runes'!A:B,2,FALSE))</f>
        <v>16.093333333333334</v>
      </c>
      <c r="F13385">
        <f t="shared" si="209"/>
        <v>16.093333333333334</v>
      </c>
    </row>
    <row r="13386" spans="1:6" x14ac:dyDescent="0.3">
      <c r="A13386" t="s">
        <v>2090</v>
      </c>
      <c r="B13386" t="s">
        <v>2141</v>
      </c>
      <c r="C13386">
        <v>6</v>
      </c>
      <c r="D13386">
        <v>197</v>
      </c>
      <c r="E13386">
        <f>IF(OR(B13386="vi",B13386="ii",B13386="pod"),(((D13386/100)*(C13386*VLOOKUP(B13386,'Poids des runes'!A:B,2,FALSE)))+1),(((D13386/100)*(C13386*VLOOKUP(B13386,'Poids des runes'!A:B,2,FALSE)))+1)/VLOOKUP(B13386,'Poids des runes'!A:B,2,FALSE))</f>
        <v>12.07</v>
      </c>
      <c r="F13386">
        <f t="shared" si="209"/>
        <v>12.07</v>
      </c>
    </row>
    <row r="13387" spans="1:6" x14ac:dyDescent="0.3">
      <c r="A13387" t="s">
        <v>2090</v>
      </c>
      <c r="B13387" t="s">
        <v>2162</v>
      </c>
      <c r="C13387">
        <v>6</v>
      </c>
      <c r="D13387">
        <v>197</v>
      </c>
      <c r="E13387">
        <f>IF(OR(B13387="vi",B13387="ii",B13387="pod"),(((D13387/100)*(C13387*VLOOKUP(B13387,'Poids des runes'!A:B,2,FALSE)))+1),(((D13387/100)*(C13387*VLOOKUP(B13387,'Poids des runes'!A:B,2,FALSE)))+1)/VLOOKUP(B13387,'Poids des runes'!A:B,2,FALSE))</f>
        <v>11.962857142857143</v>
      </c>
      <c r="F13387">
        <f t="shared" si="209"/>
        <v>11.962857142857143</v>
      </c>
    </row>
    <row r="13388" spans="1:6" x14ac:dyDescent="0.3">
      <c r="A13388" t="s">
        <v>2090</v>
      </c>
      <c r="B13388" t="s">
        <v>2156</v>
      </c>
      <c r="C13388">
        <v>5</v>
      </c>
      <c r="D13388">
        <v>197</v>
      </c>
      <c r="E13388">
        <f>IF(OR(B13388="vi",B13388="ii",B13388="pod"),(((D13388/100)*(C13388*VLOOKUP(B13388,'Poids des runes'!A:B,2,FALSE)))+1),(((D13388/100)*(C13388*VLOOKUP(B13388,'Poids des runes'!A:B,2,FALSE)))+1)/VLOOKUP(B13388,'Poids des runes'!A:B,2,FALSE))</f>
        <v>10.016666666666667</v>
      </c>
      <c r="F13388">
        <f t="shared" si="209"/>
        <v>10.016666666666667</v>
      </c>
    </row>
    <row r="13389" spans="1:6" x14ac:dyDescent="0.3">
      <c r="A13389" t="s">
        <v>2090</v>
      </c>
      <c r="B13389" t="s">
        <v>2148</v>
      </c>
      <c r="C13389">
        <v>5</v>
      </c>
      <c r="D13389">
        <v>197</v>
      </c>
      <c r="E13389">
        <f>IF(OR(B13389="vi",B13389="ii",B13389="pod"),(((D13389/100)*(C13389*VLOOKUP(B13389,'Poids des runes'!A:B,2,FALSE)))+1),(((D13389/100)*(C13389*VLOOKUP(B13389,'Poids des runes'!A:B,2,FALSE)))+1)/VLOOKUP(B13389,'Poids des runes'!A:B,2,FALSE))</f>
        <v>10.016666666666667</v>
      </c>
      <c r="F13389">
        <f t="shared" si="209"/>
        <v>10.016666666666667</v>
      </c>
    </row>
    <row r="13390" spans="1:6" x14ac:dyDescent="0.3">
      <c r="A13390" t="s">
        <v>2090</v>
      </c>
      <c r="B13390" t="s">
        <v>2135</v>
      </c>
      <c r="C13390">
        <v>5</v>
      </c>
      <c r="D13390">
        <v>197</v>
      </c>
      <c r="E13390">
        <f>IF(OR(B13390="vi",B13390="ii",B13390="pod"),(((D13390/100)*(C13390*VLOOKUP(B13390,'Poids des runes'!A:B,2,FALSE)))+1),(((D13390/100)*(C13390*VLOOKUP(B13390,'Poids des runes'!A:B,2,FALSE)))+1)/VLOOKUP(B13390,'Poids des runes'!A:B,2,FALSE))</f>
        <v>10.016666666666667</v>
      </c>
      <c r="F13390">
        <f t="shared" si="209"/>
        <v>10.016666666666667</v>
      </c>
    </row>
    <row r="13391" spans="1:6" x14ac:dyDescent="0.3">
      <c r="A13391" t="s">
        <v>2090</v>
      </c>
      <c r="B13391" t="s">
        <v>2145</v>
      </c>
      <c r="C13391">
        <v>10.5</v>
      </c>
      <c r="D13391">
        <v>197</v>
      </c>
      <c r="E13391">
        <f>IF(OR(B13391="vi",B13391="ii",B13391="pod"),(((D13391/100)*(C13391*VLOOKUP(B13391,'Poids des runes'!A:B,2,FALSE)))+1),(((D13391/100)*(C13391*VLOOKUP(B13391,'Poids des runes'!A:B,2,FALSE)))+1)/VLOOKUP(B13391,'Poids des runes'!A:B,2,FALSE))</f>
        <v>21.184999999999999</v>
      </c>
      <c r="F13391">
        <f t="shared" si="209"/>
        <v>21.184999999999999</v>
      </c>
    </row>
    <row r="13392" spans="1:6" x14ac:dyDescent="0.3">
      <c r="A13392" t="s">
        <v>2091</v>
      </c>
      <c r="B13392" t="s">
        <v>2128</v>
      </c>
      <c r="C13392">
        <v>275.5</v>
      </c>
      <c r="D13392">
        <v>198</v>
      </c>
      <c r="E13392">
        <f>IF(OR(B13392="vi",B13392="ii",B13392="pod"),(((D13392/100)*(C13392*VLOOKUP(B13392,'Poids des runes'!A:B,2,FALSE)))+1),(((D13392/100)*(C13392*VLOOKUP(B13392,'Poids des runes'!A:B,2,FALSE)))+1)/VLOOKUP(B13392,'Poids des runes'!A:B,2,FALSE))</f>
        <v>110.098</v>
      </c>
      <c r="F13392">
        <f t="shared" si="209"/>
        <v>110.098</v>
      </c>
    </row>
    <row r="13393" spans="1:6" x14ac:dyDescent="0.3">
      <c r="A13393" t="s">
        <v>2091</v>
      </c>
      <c r="B13393" t="s">
        <v>2126</v>
      </c>
      <c r="C13393">
        <v>63</v>
      </c>
      <c r="D13393">
        <v>198</v>
      </c>
      <c r="E13393">
        <f>IF(OR(B13393="vi",B13393="ii",B13393="pod"),(((D13393/100)*(C13393*VLOOKUP(B13393,'Poids des runes'!A:B,2,FALSE)))+1),(((D13393/100)*(C13393*VLOOKUP(B13393,'Poids des runes'!A:B,2,FALSE)))+1)/VLOOKUP(B13393,'Poids des runes'!A:B,2,FALSE))</f>
        <v>125.74</v>
      </c>
      <c r="F13393">
        <f t="shared" si="209"/>
        <v>125.74</v>
      </c>
    </row>
    <row r="13394" spans="1:6" x14ac:dyDescent="0.3">
      <c r="A13394" t="s">
        <v>2091</v>
      </c>
      <c r="B13394" t="s">
        <v>2129</v>
      </c>
      <c r="C13394">
        <v>38</v>
      </c>
      <c r="D13394">
        <v>198</v>
      </c>
      <c r="E13394">
        <f>IF(OR(B13394="vi",B13394="ii",B13394="pod"),(((D13394/100)*(C13394*VLOOKUP(B13394,'Poids des runes'!A:B,2,FALSE)))+1),(((D13394/100)*(C13394*VLOOKUP(B13394,'Poids des runes'!A:B,2,FALSE)))+1)/VLOOKUP(B13394,'Poids des runes'!A:B,2,FALSE))</f>
        <v>76.239999999999995</v>
      </c>
      <c r="F13394">
        <f t="shared" si="209"/>
        <v>76.239999999999995</v>
      </c>
    </row>
    <row r="13395" spans="1:6" x14ac:dyDescent="0.3">
      <c r="A13395" t="s">
        <v>2091</v>
      </c>
      <c r="B13395" t="s">
        <v>2143</v>
      </c>
      <c r="C13395">
        <v>13</v>
      </c>
      <c r="D13395">
        <v>198</v>
      </c>
      <c r="E13395">
        <f>IF(OR(B13395="vi",B13395="ii",B13395="pod"),(((D13395/100)*(C13395*VLOOKUP(B13395,'Poids des runes'!A:B,2,FALSE)))+1),(((D13395/100)*(C13395*VLOOKUP(B13395,'Poids des runes'!A:B,2,FALSE)))+1)/VLOOKUP(B13395,'Poids des runes'!A:B,2,FALSE))</f>
        <v>25.939999999999998</v>
      </c>
      <c r="F13395">
        <f t="shared" si="209"/>
        <v>25.939999999999998</v>
      </c>
    </row>
    <row r="13396" spans="1:6" x14ac:dyDescent="0.3">
      <c r="A13396" t="s">
        <v>2091</v>
      </c>
      <c r="B13396" t="s">
        <v>2140</v>
      </c>
      <c r="C13396">
        <v>8.5</v>
      </c>
      <c r="D13396">
        <v>198</v>
      </c>
      <c r="E13396">
        <f>IF(OR(B13396="vi",B13396="ii",B13396="pod"),(((D13396/100)*(C13396*VLOOKUP(B13396,'Poids des runes'!A:B,2,FALSE)))+1),(((D13396/100)*(C13396*VLOOKUP(B13396,'Poids des runes'!A:B,2,FALSE)))+1)/VLOOKUP(B13396,'Poids des runes'!A:B,2,FALSE))</f>
        <v>17.03</v>
      </c>
      <c r="F13396">
        <f t="shared" si="209"/>
        <v>17.03</v>
      </c>
    </row>
    <row r="13397" spans="1:6" x14ac:dyDescent="0.3">
      <c r="A13397" t="s">
        <v>2091</v>
      </c>
      <c r="B13397" t="s">
        <v>2161</v>
      </c>
      <c r="C13397">
        <v>8.5</v>
      </c>
      <c r="D13397">
        <v>198</v>
      </c>
      <c r="E13397">
        <f>IF(OR(B13397="vi",B13397="ii",B13397="pod"),(((D13397/100)*(C13397*VLOOKUP(B13397,'Poids des runes'!A:B,2,FALSE)))+1),(((D13397/100)*(C13397*VLOOKUP(B13397,'Poids des runes'!A:B,2,FALSE)))+1)/VLOOKUP(B13397,'Poids des runes'!A:B,2,FALSE))</f>
        <v>17.163333333333334</v>
      </c>
      <c r="F13397">
        <f t="shared" si="209"/>
        <v>17.163333333333334</v>
      </c>
    </row>
    <row r="13398" spans="1:6" x14ac:dyDescent="0.3">
      <c r="A13398" t="s">
        <v>2091</v>
      </c>
      <c r="B13398" t="s">
        <v>2132</v>
      </c>
      <c r="C13398">
        <v>350.5</v>
      </c>
      <c r="D13398">
        <v>198</v>
      </c>
      <c r="E13398">
        <f>IF(OR(B13398="vi",B13398="ii",B13398="pod"),(((D13398/100)*(C13398*VLOOKUP(B13398,'Poids des runes'!A:B,2,FALSE)))+1),(((D13398/100)*(C13398*VLOOKUP(B13398,'Poids des runes'!A:B,2,FALSE)))+1)/VLOOKUP(B13398,'Poids des runes'!A:B,2,FALSE))</f>
        <v>70.399000000000001</v>
      </c>
      <c r="F13398">
        <f t="shared" si="209"/>
        <v>70.399000000000001</v>
      </c>
    </row>
    <row r="13399" spans="1:6" x14ac:dyDescent="0.3">
      <c r="A13399" t="s">
        <v>2091</v>
      </c>
      <c r="B13399" t="s">
        <v>2138</v>
      </c>
      <c r="C13399">
        <v>13</v>
      </c>
      <c r="D13399">
        <v>198</v>
      </c>
      <c r="E13399">
        <f>IF(OR(B13399="vi",B13399="ii",B13399="pod"),(((D13399/100)*(C13399*VLOOKUP(B13399,'Poids des runes'!A:B,2,FALSE)))+1),(((D13399/100)*(C13399*VLOOKUP(B13399,'Poids des runes'!A:B,2,FALSE)))+1)/VLOOKUP(B13399,'Poids des runes'!A:B,2,FALSE))</f>
        <v>25.99</v>
      </c>
      <c r="F13399">
        <f t="shared" si="209"/>
        <v>25.99</v>
      </c>
    </row>
    <row r="13400" spans="1:6" x14ac:dyDescent="0.3">
      <c r="A13400" t="s">
        <v>2091</v>
      </c>
      <c r="B13400" t="s">
        <v>2158</v>
      </c>
      <c r="C13400">
        <v>8.5</v>
      </c>
      <c r="D13400">
        <v>198</v>
      </c>
      <c r="E13400">
        <f>IF(OR(B13400="vi",B13400="ii",B13400="pod"),(((D13400/100)*(C13400*VLOOKUP(B13400,'Poids des runes'!A:B,2,FALSE)))+1),(((D13400/100)*(C13400*VLOOKUP(B13400,'Poids des runes'!A:B,2,FALSE)))+1)/VLOOKUP(B13400,'Poids des runes'!A:B,2,FALSE))</f>
        <v>17.03</v>
      </c>
      <c r="F13400">
        <f t="shared" si="209"/>
        <v>17.03</v>
      </c>
    </row>
    <row r="13401" spans="1:6" x14ac:dyDescent="0.3">
      <c r="A13401" t="s">
        <v>2091</v>
      </c>
      <c r="B13401" t="s">
        <v>2156</v>
      </c>
      <c r="C13401">
        <v>8.5</v>
      </c>
      <c r="D13401">
        <v>198</v>
      </c>
      <c r="E13401">
        <f>IF(OR(B13401="vi",B13401="ii",B13401="pod"),(((D13401/100)*(C13401*VLOOKUP(B13401,'Poids des runes'!A:B,2,FALSE)))+1),(((D13401/100)*(C13401*VLOOKUP(B13401,'Poids des runes'!A:B,2,FALSE)))+1)/VLOOKUP(B13401,'Poids des runes'!A:B,2,FALSE))</f>
        <v>16.996666666666666</v>
      </c>
      <c r="F13401">
        <f t="shared" si="209"/>
        <v>16.996666666666666</v>
      </c>
    </row>
    <row r="13402" spans="1:6" x14ac:dyDescent="0.3">
      <c r="A13402" t="s">
        <v>2091</v>
      </c>
      <c r="B13402" t="s">
        <v>2148</v>
      </c>
      <c r="C13402">
        <v>6</v>
      </c>
      <c r="D13402">
        <v>198</v>
      </c>
      <c r="E13402">
        <f>IF(OR(B13402="vi",B13402="ii",B13402="pod"),(((D13402/100)*(C13402*VLOOKUP(B13402,'Poids des runes'!A:B,2,FALSE)))+1),(((D13402/100)*(C13402*VLOOKUP(B13402,'Poids des runes'!A:B,2,FALSE)))+1)/VLOOKUP(B13402,'Poids des runes'!A:B,2,FALSE))</f>
        <v>12.046666666666667</v>
      </c>
      <c r="F13402">
        <f t="shared" si="209"/>
        <v>12.046666666666667</v>
      </c>
    </row>
    <row r="13403" spans="1:6" x14ac:dyDescent="0.3">
      <c r="A13403" t="s">
        <v>2091</v>
      </c>
      <c r="B13403" t="s">
        <v>2157</v>
      </c>
      <c r="C13403">
        <v>6</v>
      </c>
      <c r="D13403">
        <v>198</v>
      </c>
      <c r="E13403">
        <f>IF(OR(B13403="vi",B13403="ii",B13403="pod"),(((D13403/100)*(C13403*VLOOKUP(B13403,'Poids des runes'!A:B,2,FALSE)))+1),(((D13403/100)*(C13403*VLOOKUP(B13403,'Poids des runes'!A:B,2,FALSE)))+1)/VLOOKUP(B13403,'Poids des runes'!A:B,2,FALSE))</f>
        <v>12.046666666666667</v>
      </c>
      <c r="F13403">
        <f t="shared" si="209"/>
        <v>12.046666666666667</v>
      </c>
    </row>
    <row r="13404" spans="1:6" x14ac:dyDescent="0.3">
      <c r="A13404" t="s">
        <v>2092</v>
      </c>
      <c r="B13404" t="s">
        <v>2128</v>
      </c>
      <c r="C13404">
        <v>275.5</v>
      </c>
      <c r="D13404">
        <v>198</v>
      </c>
      <c r="E13404">
        <f>IF(OR(B13404="vi",B13404="ii",B13404="pod"),(((D13404/100)*(C13404*VLOOKUP(B13404,'Poids des runes'!A:B,2,FALSE)))+1),(((D13404/100)*(C13404*VLOOKUP(B13404,'Poids des runes'!A:B,2,FALSE)))+1)/VLOOKUP(B13404,'Poids des runes'!A:B,2,FALSE))</f>
        <v>110.098</v>
      </c>
      <c r="F13404">
        <f t="shared" si="209"/>
        <v>110.098</v>
      </c>
    </row>
    <row r="13405" spans="1:6" x14ac:dyDescent="0.3">
      <c r="A13405" t="s">
        <v>2092</v>
      </c>
      <c r="B13405" t="s">
        <v>2131</v>
      </c>
      <c r="C13405">
        <v>40.5</v>
      </c>
      <c r="D13405">
        <v>198</v>
      </c>
      <c r="E13405">
        <f>IF(OR(B13405="vi",B13405="ii",B13405="pod"),(((D13405/100)*(C13405*VLOOKUP(B13405,'Poids des runes'!A:B,2,FALSE)))+1),(((D13405/100)*(C13405*VLOOKUP(B13405,'Poids des runes'!A:B,2,FALSE)))+1)/VLOOKUP(B13405,'Poids des runes'!A:B,2,FALSE))</f>
        <v>81.19</v>
      </c>
      <c r="F13405">
        <f t="shared" si="209"/>
        <v>81.19</v>
      </c>
    </row>
    <row r="13406" spans="1:6" x14ac:dyDescent="0.3">
      <c r="A13406" t="s">
        <v>2092</v>
      </c>
      <c r="B13406" t="s">
        <v>2127</v>
      </c>
      <c r="C13406">
        <v>40.5</v>
      </c>
      <c r="D13406">
        <v>198</v>
      </c>
      <c r="E13406">
        <f>IF(OR(B13406="vi",B13406="ii",B13406="pod"),(((D13406/100)*(C13406*VLOOKUP(B13406,'Poids des runes'!A:B,2,FALSE)))+1),(((D13406/100)*(C13406*VLOOKUP(B13406,'Poids des runes'!A:B,2,FALSE)))+1)/VLOOKUP(B13406,'Poids des runes'!A:B,2,FALSE))</f>
        <v>81.19</v>
      </c>
      <c r="F13406">
        <f t="shared" si="209"/>
        <v>81.19</v>
      </c>
    </row>
    <row r="13407" spans="1:6" x14ac:dyDescent="0.3">
      <c r="A13407" t="s">
        <v>2092</v>
      </c>
      <c r="B13407" t="s">
        <v>2129</v>
      </c>
      <c r="C13407">
        <v>38</v>
      </c>
      <c r="D13407">
        <v>198</v>
      </c>
      <c r="E13407">
        <f>IF(OR(B13407="vi",B13407="ii",B13407="pod"),(((D13407/100)*(C13407*VLOOKUP(B13407,'Poids des runes'!A:B,2,FALSE)))+1),(((D13407/100)*(C13407*VLOOKUP(B13407,'Poids des runes'!A:B,2,FALSE)))+1)/VLOOKUP(B13407,'Poids des runes'!A:B,2,FALSE))</f>
        <v>76.239999999999995</v>
      </c>
      <c r="F13407">
        <f t="shared" si="209"/>
        <v>76.239999999999995</v>
      </c>
    </row>
    <row r="13408" spans="1:6" x14ac:dyDescent="0.3">
      <c r="A13408" t="s">
        <v>2092</v>
      </c>
      <c r="B13408" t="s">
        <v>2139</v>
      </c>
      <c r="C13408">
        <v>20.5</v>
      </c>
      <c r="D13408">
        <v>198</v>
      </c>
      <c r="E13408">
        <f>IF(OR(B13408="vi",B13408="ii",B13408="pod"),(((D13408/100)*(C13408*VLOOKUP(B13408,'Poids des runes'!A:B,2,FALSE)))+1),(((D13408/100)*(C13408*VLOOKUP(B13408,'Poids des runes'!A:B,2,FALSE)))+1)/VLOOKUP(B13408,'Poids des runes'!A:B,2,FALSE))</f>
        <v>41.089999999999996</v>
      </c>
      <c r="F13408">
        <f t="shared" si="209"/>
        <v>41.089999999999996</v>
      </c>
    </row>
    <row r="13409" spans="1:6" x14ac:dyDescent="0.3">
      <c r="A13409" t="s">
        <v>2092</v>
      </c>
      <c r="B13409" t="s">
        <v>2151</v>
      </c>
      <c r="C13409">
        <v>2.5</v>
      </c>
      <c r="D13409">
        <v>198</v>
      </c>
      <c r="E13409">
        <f>IF(OR(B13409="vi",B13409="ii",B13409="pod"),(((D13409/100)*(C13409*VLOOKUP(B13409,'Poids des runes'!A:B,2,FALSE)))+1),(((D13409/100)*(C13409*VLOOKUP(B13409,'Poids des runes'!A:B,2,FALSE)))+1)/VLOOKUP(B13409,'Poids des runes'!A:B,2,FALSE))</f>
        <v>5.05</v>
      </c>
      <c r="F13409">
        <f t="shared" si="209"/>
        <v>5.05</v>
      </c>
    </row>
    <row r="13410" spans="1:6" x14ac:dyDescent="0.3">
      <c r="A13410" t="s">
        <v>2092</v>
      </c>
      <c r="B13410" t="s">
        <v>2150</v>
      </c>
      <c r="C13410">
        <v>1</v>
      </c>
      <c r="D13410">
        <v>198</v>
      </c>
      <c r="E13410">
        <f>IF(OR(B13410="vi",B13410="ii",B13410="pod"),(((D13410/100)*(C13410*VLOOKUP(B13410,'Poids des runes'!A:B,2,FALSE)))+1),(((D13410/100)*(C13410*VLOOKUP(B13410,'Poids des runes'!A:B,2,FALSE)))+1)/VLOOKUP(B13410,'Poids des runes'!A:B,2,FALSE))</f>
        <v>2.0133333333333332</v>
      </c>
      <c r="F13410">
        <f t="shared" si="209"/>
        <v>2.0133333333333332</v>
      </c>
    </row>
    <row r="13411" spans="1:6" x14ac:dyDescent="0.3">
      <c r="A13411" t="s">
        <v>2092</v>
      </c>
      <c r="B13411" t="s">
        <v>2133</v>
      </c>
      <c r="C13411">
        <v>10.5</v>
      </c>
      <c r="D13411">
        <v>198</v>
      </c>
      <c r="E13411">
        <f>IF(OR(B13411="vi",B13411="ii",B13411="pod"),(((D13411/100)*(C13411*VLOOKUP(B13411,'Poids des runes'!A:B,2,FALSE)))+1),(((D13411/100)*(C13411*VLOOKUP(B13411,'Poids des runes'!A:B,2,FALSE)))+1)/VLOOKUP(B13411,'Poids des runes'!A:B,2,FALSE))</f>
        <v>20.990000000000002</v>
      </c>
      <c r="F13411">
        <f t="shared" si="209"/>
        <v>20.990000000000002</v>
      </c>
    </row>
    <row r="13412" spans="1:6" x14ac:dyDescent="0.3">
      <c r="A13412" t="s">
        <v>2092</v>
      </c>
      <c r="B13412" t="s">
        <v>2153</v>
      </c>
      <c r="C13412">
        <v>10.5</v>
      </c>
      <c r="D13412">
        <v>198</v>
      </c>
      <c r="E13412">
        <f>IF(OR(B13412="vi",B13412="ii",B13412="pod"),(((D13412/100)*(C13412*VLOOKUP(B13412,'Poids des runes'!A:B,2,FALSE)))+1),(((D13412/100)*(C13412*VLOOKUP(B13412,'Poids des runes'!A:B,2,FALSE)))+1)/VLOOKUP(B13412,'Poids des runes'!A:B,2,FALSE))</f>
        <v>20.990000000000002</v>
      </c>
      <c r="F13412">
        <f t="shared" si="209"/>
        <v>20.990000000000002</v>
      </c>
    </row>
    <row r="13413" spans="1:6" x14ac:dyDescent="0.3">
      <c r="A13413" t="s">
        <v>2092</v>
      </c>
      <c r="B13413" t="s">
        <v>2160</v>
      </c>
      <c r="C13413">
        <v>5</v>
      </c>
      <c r="D13413">
        <v>198</v>
      </c>
      <c r="E13413">
        <f>IF(OR(B13413="vi",B13413="ii",B13413="pod"),(((D13413/100)*(C13413*VLOOKUP(B13413,'Poids des runes'!A:B,2,FALSE)))+1),(((D13413/100)*(C13413*VLOOKUP(B13413,'Poids des runes'!A:B,2,FALSE)))+1)/VLOOKUP(B13413,'Poids des runes'!A:B,2,FALSE))</f>
        <v>10.042857142857143</v>
      </c>
      <c r="F13413">
        <f t="shared" si="209"/>
        <v>10.042857142857143</v>
      </c>
    </row>
    <row r="13414" spans="1:6" x14ac:dyDescent="0.3">
      <c r="A13414" t="s">
        <v>2092</v>
      </c>
      <c r="B13414" t="s">
        <v>2148</v>
      </c>
      <c r="C13414">
        <v>8.5</v>
      </c>
      <c r="D13414">
        <v>198</v>
      </c>
      <c r="E13414">
        <f>IF(OR(B13414="vi",B13414="ii",B13414="pod"),(((D13414/100)*(C13414*VLOOKUP(B13414,'Poids des runes'!A:B,2,FALSE)))+1),(((D13414/100)*(C13414*VLOOKUP(B13414,'Poids des runes'!A:B,2,FALSE)))+1)/VLOOKUP(B13414,'Poids des runes'!A:B,2,FALSE))</f>
        <v>16.996666666666666</v>
      </c>
      <c r="F13414">
        <f t="shared" si="209"/>
        <v>16.996666666666666</v>
      </c>
    </row>
    <row r="13415" spans="1:6" x14ac:dyDescent="0.3">
      <c r="A13415" t="s">
        <v>2092</v>
      </c>
      <c r="B13415" t="s">
        <v>2157</v>
      </c>
      <c r="C13415">
        <v>3.5</v>
      </c>
      <c r="D13415">
        <v>198</v>
      </c>
      <c r="E13415">
        <f>IF(OR(B13415="vi",B13415="ii",B13415="pod"),(((D13415/100)*(C13415*VLOOKUP(B13415,'Poids des runes'!A:B,2,FALSE)))+1),(((D13415/100)*(C13415*VLOOKUP(B13415,'Poids des runes'!A:B,2,FALSE)))+1)/VLOOKUP(B13415,'Poids des runes'!A:B,2,FALSE))</f>
        <v>7.0966666666666667</v>
      </c>
      <c r="F13415">
        <f t="shared" si="209"/>
        <v>7.0966666666666667</v>
      </c>
    </row>
    <row r="13416" spans="1:6" x14ac:dyDescent="0.3">
      <c r="A13416" t="s">
        <v>2092</v>
      </c>
      <c r="B13416" t="s">
        <v>2144</v>
      </c>
      <c r="C13416">
        <v>13</v>
      </c>
      <c r="D13416">
        <v>198</v>
      </c>
      <c r="E13416">
        <f>IF(OR(B13416="vi",B13416="ii",B13416="pod"),(((D13416/100)*(C13416*VLOOKUP(B13416,'Poids des runes'!A:B,2,FALSE)))+1),(((D13416/100)*(C13416*VLOOKUP(B13416,'Poids des runes'!A:B,2,FALSE)))+1)/VLOOKUP(B13416,'Poids des runes'!A:B,2,FALSE))</f>
        <v>26.24</v>
      </c>
      <c r="F13416">
        <f t="shared" si="209"/>
        <v>26.24</v>
      </c>
    </row>
    <row r="13417" spans="1:6" x14ac:dyDescent="0.3">
      <c r="A13417" t="s">
        <v>2092</v>
      </c>
      <c r="B13417" t="s">
        <v>2145</v>
      </c>
      <c r="C13417">
        <v>13</v>
      </c>
      <c r="D13417">
        <v>198</v>
      </c>
      <c r="E13417">
        <f>IF(OR(B13417="vi",B13417="ii",B13417="pod"),(((D13417/100)*(C13417*VLOOKUP(B13417,'Poids des runes'!A:B,2,FALSE)))+1),(((D13417/100)*(C13417*VLOOKUP(B13417,'Poids des runes'!A:B,2,FALSE)))+1)/VLOOKUP(B13417,'Poids des runes'!A:B,2,FALSE))</f>
        <v>26.24</v>
      </c>
      <c r="F13417">
        <f t="shared" si="209"/>
        <v>26.24</v>
      </c>
    </row>
    <row r="13418" spans="1:6" x14ac:dyDescent="0.3">
      <c r="A13418" t="s">
        <v>2093</v>
      </c>
      <c r="B13418" t="s">
        <v>2128</v>
      </c>
      <c r="C13418">
        <v>275.5</v>
      </c>
      <c r="D13418">
        <v>199</v>
      </c>
      <c r="E13418">
        <f>IF(OR(B13418="vi",B13418="ii",B13418="pod"),(((D13418/100)*(C13418*VLOOKUP(B13418,'Poids des runes'!A:B,2,FALSE)))+1),(((D13418/100)*(C13418*VLOOKUP(B13418,'Poids des runes'!A:B,2,FALSE)))+1)/VLOOKUP(B13418,'Poids des runes'!A:B,2,FALSE))</f>
        <v>110.649</v>
      </c>
      <c r="F13418">
        <f t="shared" si="209"/>
        <v>110.649</v>
      </c>
    </row>
    <row r="13419" spans="1:6" x14ac:dyDescent="0.3">
      <c r="A13419" t="s">
        <v>2093</v>
      </c>
      <c r="B13419" t="s">
        <v>2126</v>
      </c>
      <c r="C13419">
        <v>63</v>
      </c>
      <c r="D13419">
        <v>199</v>
      </c>
      <c r="E13419">
        <f>IF(OR(B13419="vi",B13419="ii",B13419="pod"),(((D13419/100)*(C13419*VLOOKUP(B13419,'Poids des runes'!A:B,2,FALSE)))+1),(((D13419/100)*(C13419*VLOOKUP(B13419,'Poids des runes'!A:B,2,FALSE)))+1)/VLOOKUP(B13419,'Poids des runes'!A:B,2,FALSE))</f>
        <v>126.37</v>
      </c>
      <c r="F13419">
        <f t="shared" si="209"/>
        <v>126.37</v>
      </c>
    </row>
    <row r="13420" spans="1:6" x14ac:dyDescent="0.3">
      <c r="A13420" t="s">
        <v>2093</v>
      </c>
      <c r="B13420" t="s">
        <v>2131</v>
      </c>
      <c r="C13420">
        <v>63</v>
      </c>
      <c r="D13420">
        <v>199</v>
      </c>
      <c r="E13420">
        <f>IF(OR(B13420="vi",B13420="ii",B13420="pod"),(((D13420/100)*(C13420*VLOOKUP(B13420,'Poids des runes'!A:B,2,FALSE)))+1),(((D13420/100)*(C13420*VLOOKUP(B13420,'Poids des runes'!A:B,2,FALSE)))+1)/VLOOKUP(B13420,'Poids des runes'!A:B,2,FALSE))</f>
        <v>126.37</v>
      </c>
      <c r="F13420">
        <f t="shared" si="209"/>
        <v>126.37</v>
      </c>
    </row>
    <row r="13421" spans="1:6" x14ac:dyDescent="0.3">
      <c r="A13421" t="s">
        <v>2093</v>
      </c>
      <c r="B13421" t="s">
        <v>2129</v>
      </c>
      <c r="C13421">
        <v>20.5</v>
      </c>
      <c r="D13421">
        <v>199</v>
      </c>
      <c r="E13421">
        <f>IF(OR(B13421="vi",B13421="ii",B13421="pod"),(((D13421/100)*(C13421*VLOOKUP(B13421,'Poids des runes'!A:B,2,FALSE)))+1),(((D13421/100)*(C13421*VLOOKUP(B13421,'Poids des runes'!A:B,2,FALSE)))+1)/VLOOKUP(B13421,'Poids des runes'!A:B,2,FALSE))</f>
        <v>41.795000000000002</v>
      </c>
      <c r="F13421">
        <f t="shared" si="209"/>
        <v>41.795000000000002</v>
      </c>
    </row>
    <row r="13422" spans="1:6" x14ac:dyDescent="0.3">
      <c r="A13422" t="s">
        <v>2093</v>
      </c>
      <c r="B13422" t="s">
        <v>2140</v>
      </c>
      <c r="C13422">
        <v>13</v>
      </c>
      <c r="D13422">
        <v>199</v>
      </c>
      <c r="E13422">
        <f>IF(OR(B13422="vi",B13422="ii",B13422="pod"),(((D13422/100)*(C13422*VLOOKUP(B13422,'Poids des runes'!A:B,2,FALSE)))+1),(((D13422/100)*(C13422*VLOOKUP(B13422,'Poids des runes'!A:B,2,FALSE)))+1)/VLOOKUP(B13422,'Poids des runes'!A:B,2,FALSE))</f>
        <v>26.07</v>
      </c>
      <c r="F13422">
        <f t="shared" si="209"/>
        <v>26.07</v>
      </c>
    </row>
    <row r="13423" spans="1:6" x14ac:dyDescent="0.3">
      <c r="A13423" t="s">
        <v>2093</v>
      </c>
      <c r="B13423" t="s">
        <v>2133</v>
      </c>
      <c r="C13423">
        <v>18</v>
      </c>
      <c r="D13423">
        <v>199</v>
      </c>
      <c r="E13423">
        <f>IF(OR(B13423="vi",B13423="ii",B13423="pod"),(((D13423/100)*(C13423*VLOOKUP(B13423,'Poids des runes'!A:B,2,FALSE)))+1),(((D13423/100)*(C13423*VLOOKUP(B13423,'Poids des runes'!A:B,2,FALSE)))+1)/VLOOKUP(B13423,'Poids des runes'!A:B,2,FALSE))</f>
        <v>36.019999999999996</v>
      </c>
      <c r="F13423">
        <f t="shared" si="209"/>
        <v>36.019999999999996</v>
      </c>
    </row>
    <row r="13424" spans="1:6" x14ac:dyDescent="0.3">
      <c r="A13424" t="s">
        <v>2093</v>
      </c>
      <c r="B13424" t="s">
        <v>2149</v>
      </c>
      <c r="C13424">
        <v>8.5</v>
      </c>
      <c r="D13424">
        <v>199</v>
      </c>
      <c r="E13424">
        <f>IF(OR(B13424="vi",B13424="ii",B13424="pod"),(((D13424/100)*(C13424*VLOOKUP(B13424,'Poids des runes'!A:B,2,FALSE)))+1),(((D13424/100)*(C13424*VLOOKUP(B13424,'Poids des runes'!A:B,2,FALSE)))+1)/VLOOKUP(B13424,'Poids des runes'!A:B,2,FALSE))</f>
        <v>17.015000000000001</v>
      </c>
      <c r="F13424">
        <f t="shared" si="209"/>
        <v>17.015000000000001</v>
      </c>
    </row>
    <row r="13425" spans="1:6" x14ac:dyDescent="0.3">
      <c r="A13425" t="s">
        <v>2093</v>
      </c>
      <c r="B13425" t="s">
        <v>2161</v>
      </c>
      <c r="C13425">
        <v>20.5</v>
      </c>
      <c r="D13425">
        <v>199</v>
      </c>
      <c r="E13425">
        <f>IF(OR(B13425="vi",B13425="ii",B13425="pod"),(((D13425/100)*(C13425*VLOOKUP(B13425,'Poids des runes'!A:B,2,FALSE)))+1),(((D13425/100)*(C13425*VLOOKUP(B13425,'Poids des runes'!A:B,2,FALSE)))+1)/VLOOKUP(B13425,'Poids des runes'!A:B,2,FALSE))</f>
        <v>41.128333333333337</v>
      </c>
      <c r="F13425">
        <f t="shared" si="209"/>
        <v>41.128333333333337</v>
      </c>
    </row>
    <row r="13426" spans="1:6" x14ac:dyDescent="0.3">
      <c r="A13426" t="s">
        <v>2093</v>
      </c>
      <c r="B13426" t="s">
        <v>2132</v>
      </c>
      <c r="C13426">
        <v>250.5</v>
      </c>
      <c r="D13426">
        <v>199</v>
      </c>
      <c r="E13426">
        <f>IF(OR(B13426="vi",B13426="ii",B13426="pod"),(((D13426/100)*(C13426*VLOOKUP(B13426,'Poids des runes'!A:B,2,FALSE)))+1),(((D13426/100)*(C13426*VLOOKUP(B13426,'Poids des runes'!A:B,2,FALSE)))+1)/VLOOKUP(B13426,'Poids des runes'!A:B,2,FALSE))</f>
        <v>50.849499999999999</v>
      </c>
      <c r="F13426">
        <f t="shared" si="209"/>
        <v>50.849499999999999</v>
      </c>
    </row>
    <row r="13427" spans="1:6" x14ac:dyDescent="0.3">
      <c r="A13427" t="s">
        <v>2093</v>
      </c>
      <c r="B13427" t="s">
        <v>2159</v>
      </c>
      <c r="C13427">
        <v>8.5</v>
      </c>
      <c r="D13427">
        <v>199</v>
      </c>
      <c r="E13427">
        <f>IF(OR(B13427="vi",B13427="ii",B13427="pod"),(((D13427/100)*(C13427*VLOOKUP(B13427,'Poids des runes'!A:B,2,FALSE)))+1),(((D13427/100)*(C13427*VLOOKUP(B13427,'Poids des runes'!A:B,2,FALSE)))+1)/VLOOKUP(B13427,'Poids des runes'!A:B,2,FALSE))</f>
        <v>17.057857142857141</v>
      </c>
      <c r="F13427">
        <f t="shared" si="209"/>
        <v>17.057857142857141</v>
      </c>
    </row>
    <row r="13428" spans="1:6" x14ac:dyDescent="0.3">
      <c r="A13428" t="s">
        <v>2093</v>
      </c>
      <c r="B13428" t="s">
        <v>2162</v>
      </c>
      <c r="C13428">
        <v>5</v>
      </c>
      <c r="D13428">
        <v>199</v>
      </c>
      <c r="E13428">
        <f>IF(OR(B13428="vi",B13428="ii",B13428="pod"),(((D13428/100)*(C13428*VLOOKUP(B13428,'Poids des runes'!A:B,2,FALSE)))+1),(((D13428/100)*(C13428*VLOOKUP(B13428,'Poids des runes'!A:B,2,FALSE)))+1)/VLOOKUP(B13428,'Poids des runes'!A:B,2,FALSE))</f>
        <v>10.092857142857143</v>
      </c>
      <c r="F13428">
        <f t="shared" si="209"/>
        <v>10.092857142857143</v>
      </c>
    </row>
    <row r="13429" spans="1:6" x14ac:dyDescent="0.3">
      <c r="A13429" t="s">
        <v>2093</v>
      </c>
      <c r="B13429" t="s">
        <v>2147</v>
      </c>
      <c r="C13429">
        <v>5</v>
      </c>
      <c r="D13429">
        <v>199</v>
      </c>
      <c r="E13429">
        <f>IF(OR(B13429="vi",B13429="ii",B13429="pod"),(((D13429/100)*(C13429*VLOOKUP(B13429,'Poids des runes'!A:B,2,FALSE)))+1),(((D13429/100)*(C13429*VLOOKUP(B13429,'Poids des runes'!A:B,2,FALSE)))+1)/VLOOKUP(B13429,'Poids des runes'!A:B,2,FALSE))</f>
        <v>10.116666666666667</v>
      </c>
      <c r="F13429">
        <f t="shared" si="209"/>
        <v>10.116666666666667</v>
      </c>
    </row>
    <row r="13430" spans="1:6" x14ac:dyDescent="0.3">
      <c r="A13430" t="s">
        <v>2093</v>
      </c>
      <c r="B13430" t="s">
        <v>2135</v>
      </c>
      <c r="C13430">
        <v>5</v>
      </c>
      <c r="D13430">
        <v>199</v>
      </c>
      <c r="E13430">
        <f>IF(OR(B13430="vi",B13430="ii",B13430="pod"),(((D13430/100)*(C13430*VLOOKUP(B13430,'Poids des runes'!A:B,2,FALSE)))+1),(((D13430/100)*(C13430*VLOOKUP(B13430,'Poids des runes'!A:B,2,FALSE)))+1)/VLOOKUP(B13430,'Poids des runes'!A:B,2,FALSE))</f>
        <v>10.116666666666667</v>
      </c>
      <c r="F13430">
        <f t="shared" si="209"/>
        <v>10.116666666666667</v>
      </c>
    </row>
    <row r="13431" spans="1:6" x14ac:dyDescent="0.3">
      <c r="A13431" t="s">
        <v>2093</v>
      </c>
      <c r="B13431" t="s">
        <v>2146</v>
      </c>
      <c r="C13431">
        <v>13</v>
      </c>
      <c r="D13431">
        <v>199</v>
      </c>
      <c r="E13431">
        <f>IF(OR(B13431="vi",B13431="ii",B13431="pod"),(((D13431/100)*(C13431*VLOOKUP(B13431,'Poids des runes'!A:B,2,FALSE)))+1),(((D13431/100)*(C13431*VLOOKUP(B13431,'Poids des runes'!A:B,2,FALSE)))+1)/VLOOKUP(B13431,'Poids des runes'!A:B,2,FALSE))</f>
        <v>26.37</v>
      </c>
      <c r="F13431">
        <f t="shared" si="209"/>
        <v>26.37</v>
      </c>
    </row>
    <row r="13432" spans="1:6" x14ac:dyDescent="0.3">
      <c r="A13432" t="s">
        <v>2094</v>
      </c>
      <c r="B13432" t="s">
        <v>2128</v>
      </c>
      <c r="C13432">
        <v>275.5</v>
      </c>
      <c r="D13432">
        <v>199</v>
      </c>
      <c r="E13432">
        <f>IF(OR(B13432="vi",B13432="ii",B13432="pod"),(((D13432/100)*(C13432*VLOOKUP(B13432,'Poids des runes'!A:B,2,FALSE)))+1),(((D13432/100)*(C13432*VLOOKUP(B13432,'Poids des runes'!A:B,2,FALSE)))+1)/VLOOKUP(B13432,'Poids des runes'!A:B,2,FALSE))</f>
        <v>110.649</v>
      </c>
      <c r="F13432">
        <f t="shared" si="209"/>
        <v>110.649</v>
      </c>
    </row>
    <row r="13433" spans="1:6" x14ac:dyDescent="0.3">
      <c r="A13433" t="s">
        <v>2094</v>
      </c>
      <c r="B13433" t="s">
        <v>2126</v>
      </c>
      <c r="C13433">
        <v>35.5</v>
      </c>
      <c r="D13433">
        <v>199</v>
      </c>
      <c r="E13433">
        <f>IF(OR(B13433="vi",B13433="ii",B13433="pod"),(((D13433/100)*(C13433*VLOOKUP(B13433,'Poids des runes'!A:B,2,FALSE)))+1),(((D13433/100)*(C13433*VLOOKUP(B13433,'Poids des runes'!A:B,2,FALSE)))+1)/VLOOKUP(B13433,'Poids des runes'!A:B,2,FALSE))</f>
        <v>71.644999999999996</v>
      </c>
      <c r="F13433">
        <f t="shared" si="209"/>
        <v>71.644999999999996</v>
      </c>
    </row>
    <row r="13434" spans="1:6" x14ac:dyDescent="0.3">
      <c r="A13434" t="s">
        <v>2094</v>
      </c>
      <c r="B13434" t="s">
        <v>2131</v>
      </c>
      <c r="C13434">
        <v>50.5</v>
      </c>
      <c r="D13434">
        <v>199</v>
      </c>
      <c r="E13434">
        <f>IF(OR(B13434="vi",B13434="ii",B13434="pod"),(((D13434/100)*(C13434*VLOOKUP(B13434,'Poids des runes'!A:B,2,FALSE)))+1),(((D13434/100)*(C13434*VLOOKUP(B13434,'Poids des runes'!A:B,2,FALSE)))+1)/VLOOKUP(B13434,'Poids des runes'!A:B,2,FALSE))</f>
        <v>101.495</v>
      </c>
      <c r="F13434">
        <f t="shared" si="209"/>
        <v>101.495</v>
      </c>
    </row>
    <row r="13435" spans="1:6" x14ac:dyDescent="0.3">
      <c r="A13435" t="s">
        <v>2094</v>
      </c>
      <c r="B13435" t="s">
        <v>2129</v>
      </c>
      <c r="C13435">
        <v>35.5</v>
      </c>
      <c r="D13435">
        <v>199</v>
      </c>
      <c r="E13435">
        <f>IF(OR(B13435="vi",B13435="ii",B13435="pod"),(((D13435/100)*(C13435*VLOOKUP(B13435,'Poids des runes'!A:B,2,FALSE)))+1),(((D13435/100)*(C13435*VLOOKUP(B13435,'Poids des runes'!A:B,2,FALSE)))+1)/VLOOKUP(B13435,'Poids des runes'!A:B,2,FALSE))</f>
        <v>71.644999999999996</v>
      </c>
      <c r="F13435">
        <f t="shared" si="209"/>
        <v>71.644999999999996</v>
      </c>
    </row>
    <row r="13436" spans="1:6" x14ac:dyDescent="0.3">
      <c r="A13436" t="s">
        <v>2094</v>
      </c>
      <c r="B13436" t="s">
        <v>2155</v>
      </c>
      <c r="C13436">
        <v>1</v>
      </c>
      <c r="D13436">
        <v>199</v>
      </c>
      <c r="E13436">
        <f>IF(OR(B13436="vi",B13436="ii",B13436="pod"),(((D13436/100)*(C13436*VLOOKUP(B13436,'Poids des runes'!A:B,2,FALSE)))+1),(((D13436/100)*(C13436*VLOOKUP(B13436,'Poids des runes'!A:B,2,FALSE)))+1)/VLOOKUP(B13436,'Poids des runes'!A:B,2,FALSE))</f>
        <v>2.0096078431372546</v>
      </c>
      <c r="F13436">
        <f t="shared" si="209"/>
        <v>2.0096078431372546</v>
      </c>
    </row>
    <row r="13437" spans="1:6" x14ac:dyDescent="0.3">
      <c r="A13437" t="s">
        <v>2094</v>
      </c>
      <c r="B13437" t="s">
        <v>2140</v>
      </c>
      <c r="C13437">
        <v>8.5</v>
      </c>
      <c r="D13437">
        <v>199</v>
      </c>
      <c r="E13437">
        <f>IF(OR(B13437="vi",B13437="ii",B13437="pod"),(((D13437/100)*(C13437*VLOOKUP(B13437,'Poids des runes'!A:B,2,FALSE)))+1),(((D13437/100)*(C13437*VLOOKUP(B13437,'Poids des runes'!A:B,2,FALSE)))+1)/VLOOKUP(B13437,'Poids des runes'!A:B,2,FALSE))</f>
        <v>17.115000000000002</v>
      </c>
      <c r="F13437">
        <f t="shared" si="209"/>
        <v>17.115000000000002</v>
      </c>
    </row>
    <row r="13438" spans="1:6" x14ac:dyDescent="0.3">
      <c r="A13438" t="s">
        <v>2094</v>
      </c>
      <c r="B13438" t="s">
        <v>2133</v>
      </c>
      <c r="C13438">
        <v>13</v>
      </c>
      <c r="D13438">
        <v>199</v>
      </c>
      <c r="E13438">
        <f>IF(OR(B13438="vi",B13438="ii",B13438="pod"),(((D13438/100)*(C13438*VLOOKUP(B13438,'Poids des runes'!A:B,2,FALSE)))+1),(((D13438/100)*(C13438*VLOOKUP(B13438,'Poids des runes'!A:B,2,FALSE)))+1)/VLOOKUP(B13438,'Poids des runes'!A:B,2,FALSE))</f>
        <v>26.07</v>
      </c>
      <c r="F13438">
        <f t="shared" si="209"/>
        <v>26.07</v>
      </c>
    </row>
    <row r="13439" spans="1:6" x14ac:dyDescent="0.3">
      <c r="A13439" t="s">
        <v>2094</v>
      </c>
      <c r="B13439" t="s">
        <v>2149</v>
      </c>
      <c r="C13439">
        <v>4.5</v>
      </c>
      <c r="D13439">
        <v>199</v>
      </c>
      <c r="E13439">
        <f>IF(OR(B13439="vi",B13439="ii",B13439="pod"),(((D13439/100)*(C13439*VLOOKUP(B13439,'Poids des runes'!A:B,2,FALSE)))+1),(((D13439/100)*(C13439*VLOOKUP(B13439,'Poids des runes'!A:B,2,FALSE)))+1)/VLOOKUP(B13439,'Poids des runes'!A:B,2,FALSE))</f>
        <v>9.0549999999999997</v>
      </c>
      <c r="F13439">
        <f t="shared" si="209"/>
        <v>9.0549999999999997</v>
      </c>
    </row>
    <row r="13440" spans="1:6" x14ac:dyDescent="0.3">
      <c r="A13440" t="s">
        <v>2094</v>
      </c>
      <c r="B13440" t="s">
        <v>2161</v>
      </c>
      <c r="C13440">
        <v>18</v>
      </c>
      <c r="D13440">
        <v>199</v>
      </c>
      <c r="E13440">
        <f>IF(OR(B13440="vi",B13440="ii",B13440="pod"),(((D13440/100)*(C13440*VLOOKUP(B13440,'Poids des runes'!A:B,2,FALSE)))+1),(((D13440/100)*(C13440*VLOOKUP(B13440,'Poids des runes'!A:B,2,FALSE)))+1)/VLOOKUP(B13440,'Poids des runes'!A:B,2,FALSE))</f>
        <v>36.153333333333329</v>
      </c>
      <c r="F13440">
        <f t="shared" si="209"/>
        <v>36.153333333333329</v>
      </c>
    </row>
    <row r="13441" spans="1:6" x14ac:dyDescent="0.3">
      <c r="A13441" t="s">
        <v>2094</v>
      </c>
      <c r="B13441" t="s">
        <v>2159</v>
      </c>
      <c r="C13441">
        <v>7</v>
      </c>
      <c r="D13441">
        <v>199</v>
      </c>
      <c r="E13441">
        <f>IF(OR(B13441="vi",B13441="ii",B13441="pod"),(((D13441/100)*(C13441*VLOOKUP(B13441,'Poids des runes'!A:B,2,FALSE)))+1),(((D13441/100)*(C13441*VLOOKUP(B13441,'Poids des runes'!A:B,2,FALSE)))+1)/VLOOKUP(B13441,'Poids des runes'!A:B,2,FALSE))</f>
        <v>14.072857142857144</v>
      </c>
      <c r="F13441">
        <f t="shared" si="209"/>
        <v>14.072857142857144</v>
      </c>
    </row>
    <row r="13442" spans="1:6" x14ac:dyDescent="0.3">
      <c r="A13442" t="s">
        <v>2094</v>
      </c>
      <c r="B13442" t="s">
        <v>2142</v>
      </c>
      <c r="C13442">
        <v>18</v>
      </c>
      <c r="D13442">
        <v>199</v>
      </c>
      <c r="E13442">
        <f>IF(OR(B13442="vi",B13442="ii",B13442="pod"),(((D13442/100)*(C13442*VLOOKUP(B13442,'Poids des runes'!A:B,2,FALSE)))+1),(((D13442/100)*(C13442*VLOOKUP(B13442,'Poids des runes'!A:B,2,FALSE)))+1)/VLOOKUP(B13442,'Poids des runes'!A:B,2,FALSE))</f>
        <v>36.019999999999996</v>
      </c>
      <c r="F13442">
        <f t="shared" si="209"/>
        <v>36.019999999999996</v>
      </c>
    </row>
    <row r="13443" spans="1:6" x14ac:dyDescent="0.3">
      <c r="A13443" t="s">
        <v>2094</v>
      </c>
      <c r="B13443" t="s">
        <v>2163</v>
      </c>
      <c r="C13443">
        <v>8.5</v>
      </c>
      <c r="D13443">
        <v>199</v>
      </c>
      <c r="E13443">
        <f>IF(OR(B13443="vi",B13443="ii",B13443="pod"),(((D13443/100)*(C13443*VLOOKUP(B13443,'Poids des runes'!A:B,2,FALSE)))+1),(((D13443/100)*(C13443*VLOOKUP(B13443,'Poids des runes'!A:B,2,FALSE)))+1)/VLOOKUP(B13443,'Poids des runes'!A:B,2,FALSE))</f>
        <v>17.414999999999999</v>
      </c>
      <c r="F13443">
        <f t="shared" ref="F13443:F13506" si="210">E13443</f>
        <v>17.414999999999999</v>
      </c>
    </row>
    <row r="13444" spans="1:6" x14ac:dyDescent="0.3">
      <c r="A13444" t="s">
        <v>2094</v>
      </c>
      <c r="B13444" t="s">
        <v>2157</v>
      </c>
      <c r="C13444">
        <v>8.5</v>
      </c>
      <c r="D13444">
        <v>199</v>
      </c>
      <c r="E13444">
        <f>IF(OR(B13444="vi",B13444="ii",B13444="pod"),(((D13444/100)*(C13444*VLOOKUP(B13444,'Poids des runes'!A:B,2,FALSE)))+1),(((D13444/100)*(C13444*VLOOKUP(B13444,'Poids des runes'!A:B,2,FALSE)))+1)/VLOOKUP(B13444,'Poids des runes'!A:B,2,FALSE))</f>
        <v>17.081666666666667</v>
      </c>
      <c r="F13444">
        <f t="shared" si="210"/>
        <v>17.081666666666667</v>
      </c>
    </row>
    <row r="13445" spans="1:6" x14ac:dyDescent="0.3">
      <c r="A13445" t="s">
        <v>2094</v>
      </c>
      <c r="B13445" t="s">
        <v>2144</v>
      </c>
      <c r="C13445">
        <v>13</v>
      </c>
      <c r="D13445">
        <v>199</v>
      </c>
      <c r="E13445">
        <f>IF(OR(B13445="vi",B13445="ii",B13445="pod"),(((D13445/100)*(C13445*VLOOKUP(B13445,'Poids des runes'!A:B,2,FALSE)))+1),(((D13445/100)*(C13445*VLOOKUP(B13445,'Poids des runes'!A:B,2,FALSE)))+1)/VLOOKUP(B13445,'Poids des runes'!A:B,2,FALSE))</f>
        <v>26.37</v>
      </c>
      <c r="F13445">
        <f t="shared" si="210"/>
        <v>26.37</v>
      </c>
    </row>
    <row r="13446" spans="1:6" x14ac:dyDescent="0.3">
      <c r="A13446" t="s">
        <v>2095</v>
      </c>
      <c r="B13446" t="s">
        <v>2128</v>
      </c>
      <c r="C13446">
        <v>275.5</v>
      </c>
      <c r="D13446">
        <v>199</v>
      </c>
      <c r="E13446">
        <f>IF(OR(B13446="vi",B13446="ii",B13446="pod"),(((D13446/100)*(C13446*VLOOKUP(B13446,'Poids des runes'!A:B,2,FALSE)))+1),(((D13446/100)*(C13446*VLOOKUP(B13446,'Poids des runes'!A:B,2,FALSE)))+1)/VLOOKUP(B13446,'Poids des runes'!A:B,2,FALSE))</f>
        <v>110.649</v>
      </c>
      <c r="F13446">
        <f t="shared" si="210"/>
        <v>110.649</v>
      </c>
    </row>
    <row r="13447" spans="1:6" x14ac:dyDescent="0.3">
      <c r="A13447" t="s">
        <v>2095</v>
      </c>
      <c r="B13447" t="s">
        <v>2129</v>
      </c>
      <c r="C13447">
        <v>40.5</v>
      </c>
      <c r="D13447">
        <v>199</v>
      </c>
      <c r="E13447">
        <f>IF(OR(B13447="vi",B13447="ii",B13447="pod"),(((D13447/100)*(C13447*VLOOKUP(B13447,'Poids des runes'!A:B,2,FALSE)))+1),(((D13447/100)*(C13447*VLOOKUP(B13447,'Poids des runes'!A:B,2,FALSE)))+1)/VLOOKUP(B13447,'Poids des runes'!A:B,2,FALSE))</f>
        <v>81.594999999999999</v>
      </c>
      <c r="F13447">
        <f t="shared" si="210"/>
        <v>81.594999999999999</v>
      </c>
    </row>
    <row r="13448" spans="1:6" x14ac:dyDescent="0.3">
      <c r="A13448" t="s">
        <v>2095</v>
      </c>
      <c r="B13448" t="s">
        <v>2151</v>
      </c>
      <c r="C13448">
        <v>7</v>
      </c>
      <c r="D13448">
        <v>199</v>
      </c>
      <c r="E13448">
        <f>IF(OR(B13448="vi",B13448="ii",B13448="pod"),(((D13448/100)*(C13448*VLOOKUP(B13448,'Poids des runes'!A:B,2,FALSE)))+1),(((D13448/100)*(C13448*VLOOKUP(B13448,'Poids des runes'!A:B,2,FALSE)))+1)/VLOOKUP(B13448,'Poids des runes'!A:B,2,FALSE))</f>
        <v>14.030000000000001</v>
      </c>
      <c r="F13448">
        <f t="shared" si="210"/>
        <v>14.030000000000001</v>
      </c>
    </row>
    <row r="13449" spans="1:6" x14ac:dyDescent="0.3">
      <c r="A13449" t="s">
        <v>2095</v>
      </c>
      <c r="B13449" t="s">
        <v>2161</v>
      </c>
      <c r="C13449">
        <v>20.5</v>
      </c>
      <c r="D13449">
        <v>199</v>
      </c>
      <c r="E13449">
        <f>IF(OR(B13449="vi",B13449="ii",B13449="pod"),(((D13449/100)*(C13449*VLOOKUP(B13449,'Poids des runes'!A:B,2,FALSE)))+1),(((D13449/100)*(C13449*VLOOKUP(B13449,'Poids des runes'!A:B,2,FALSE)))+1)/VLOOKUP(B13449,'Poids des runes'!A:B,2,FALSE))</f>
        <v>41.128333333333337</v>
      </c>
      <c r="F13449">
        <f t="shared" si="210"/>
        <v>41.128333333333337</v>
      </c>
    </row>
    <row r="13450" spans="1:6" x14ac:dyDescent="0.3">
      <c r="A13450" t="s">
        <v>2095</v>
      </c>
      <c r="B13450" t="s">
        <v>2132</v>
      </c>
      <c r="C13450">
        <v>450.5</v>
      </c>
      <c r="D13450">
        <v>199</v>
      </c>
      <c r="E13450">
        <f>IF(OR(B13450="vi",B13450="ii",B13450="pod"),(((D13450/100)*(C13450*VLOOKUP(B13450,'Poids des runes'!A:B,2,FALSE)))+1),(((D13450/100)*(C13450*VLOOKUP(B13450,'Poids des runes'!A:B,2,FALSE)))+1)/VLOOKUP(B13450,'Poids des runes'!A:B,2,FALSE))</f>
        <v>90.649500000000003</v>
      </c>
      <c r="F13450">
        <f t="shared" si="210"/>
        <v>90.649500000000003</v>
      </c>
    </row>
    <row r="13451" spans="1:6" x14ac:dyDescent="0.3">
      <c r="A13451" t="s">
        <v>2095</v>
      </c>
      <c r="B13451" t="s">
        <v>2138</v>
      </c>
      <c r="C13451">
        <v>13</v>
      </c>
      <c r="D13451">
        <v>199</v>
      </c>
      <c r="E13451">
        <f>IF(OR(B13451="vi",B13451="ii",B13451="pod"),(((D13451/100)*(C13451*VLOOKUP(B13451,'Poids des runes'!A:B,2,FALSE)))+1),(((D13451/100)*(C13451*VLOOKUP(B13451,'Poids des runes'!A:B,2,FALSE)))+1)/VLOOKUP(B13451,'Poids des runes'!A:B,2,FALSE))</f>
        <v>26.12</v>
      </c>
      <c r="F13451">
        <f t="shared" si="210"/>
        <v>26.12</v>
      </c>
    </row>
    <row r="13452" spans="1:6" x14ac:dyDescent="0.3">
      <c r="A13452" t="s">
        <v>2095</v>
      </c>
      <c r="B13452" t="s">
        <v>2163</v>
      </c>
      <c r="C13452">
        <v>8.5</v>
      </c>
      <c r="D13452">
        <v>199</v>
      </c>
      <c r="E13452">
        <f>IF(OR(B13452="vi",B13452="ii",B13452="pod"),(((D13452/100)*(C13452*VLOOKUP(B13452,'Poids des runes'!A:B,2,FALSE)))+1),(((D13452/100)*(C13452*VLOOKUP(B13452,'Poids des runes'!A:B,2,FALSE)))+1)/VLOOKUP(B13452,'Poids des runes'!A:B,2,FALSE))</f>
        <v>17.414999999999999</v>
      </c>
      <c r="F13452">
        <f t="shared" si="210"/>
        <v>17.414999999999999</v>
      </c>
    </row>
    <row r="13453" spans="1:6" x14ac:dyDescent="0.3">
      <c r="A13453" t="s">
        <v>2095</v>
      </c>
      <c r="B13453" t="s">
        <v>2136</v>
      </c>
      <c r="C13453">
        <v>8.5</v>
      </c>
      <c r="D13453">
        <v>199</v>
      </c>
      <c r="E13453">
        <f>IF(OR(B13453="vi",B13453="ii",B13453="pod"),(((D13453/100)*(C13453*VLOOKUP(B13453,'Poids des runes'!A:B,2,FALSE)))+1),(((D13453/100)*(C13453*VLOOKUP(B13453,'Poids des runes'!A:B,2,FALSE)))+1)/VLOOKUP(B13453,'Poids des runes'!A:B,2,FALSE))</f>
        <v>17.414999999999999</v>
      </c>
      <c r="F13453">
        <f t="shared" si="210"/>
        <v>17.414999999999999</v>
      </c>
    </row>
    <row r="13454" spans="1:6" x14ac:dyDescent="0.3">
      <c r="A13454" t="s">
        <v>2095</v>
      </c>
      <c r="B13454" t="s">
        <v>2137</v>
      </c>
      <c r="C13454">
        <v>8.5</v>
      </c>
      <c r="D13454">
        <v>199</v>
      </c>
      <c r="E13454">
        <f>IF(OR(B13454="vi",B13454="ii",B13454="pod"),(((D13454/100)*(C13454*VLOOKUP(B13454,'Poids des runes'!A:B,2,FALSE)))+1),(((D13454/100)*(C13454*VLOOKUP(B13454,'Poids des runes'!A:B,2,FALSE)))+1)/VLOOKUP(B13454,'Poids des runes'!A:B,2,FALSE))</f>
        <v>17.414999999999999</v>
      </c>
      <c r="F13454">
        <f t="shared" si="210"/>
        <v>17.414999999999999</v>
      </c>
    </row>
    <row r="13455" spans="1:6" x14ac:dyDescent="0.3">
      <c r="A13455" t="s">
        <v>2095</v>
      </c>
      <c r="B13455" t="s">
        <v>2144</v>
      </c>
      <c r="C13455">
        <v>8.5</v>
      </c>
      <c r="D13455">
        <v>199</v>
      </c>
      <c r="E13455">
        <f>IF(OR(B13455="vi",B13455="ii",B13455="pod"),(((D13455/100)*(C13455*VLOOKUP(B13455,'Poids des runes'!A:B,2,FALSE)))+1),(((D13455/100)*(C13455*VLOOKUP(B13455,'Poids des runes'!A:B,2,FALSE)))+1)/VLOOKUP(B13455,'Poids des runes'!A:B,2,FALSE))</f>
        <v>17.414999999999999</v>
      </c>
      <c r="F13455">
        <f t="shared" si="210"/>
        <v>17.414999999999999</v>
      </c>
    </row>
    <row r="13456" spans="1:6" x14ac:dyDescent="0.3">
      <c r="A13456" t="s">
        <v>2095</v>
      </c>
      <c r="B13456" t="s">
        <v>2145</v>
      </c>
      <c r="C13456">
        <v>8.5</v>
      </c>
      <c r="D13456">
        <v>199</v>
      </c>
      <c r="E13456">
        <f>IF(OR(B13456="vi",B13456="ii",B13456="pod"),(((D13456/100)*(C13456*VLOOKUP(B13456,'Poids des runes'!A:B,2,FALSE)))+1),(((D13456/100)*(C13456*VLOOKUP(B13456,'Poids des runes'!A:B,2,FALSE)))+1)/VLOOKUP(B13456,'Poids des runes'!A:B,2,FALSE))</f>
        <v>17.414999999999999</v>
      </c>
      <c r="F13456">
        <f t="shared" si="210"/>
        <v>17.414999999999999</v>
      </c>
    </row>
    <row r="13457" spans="1:6" x14ac:dyDescent="0.3">
      <c r="A13457" t="s">
        <v>2095</v>
      </c>
      <c r="B13457" t="s">
        <v>2146</v>
      </c>
      <c r="C13457">
        <v>8.5</v>
      </c>
      <c r="D13457">
        <v>199</v>
      </c>
      <c r="E13457">
        <f>IF(OR(B13457="vi",B13457="ii",B13457="pod"),(((D13457/100)*(C13457*VLOOKUP(B13457,'Poids des runes'!A:B,2,FALSE)))+1),(((D13457/100)*(C13457*VLOOKUP(B13457,'Poids des runes'!A:B,2,FALSE)))+1)/VLOOKUP(B13457,'Poids des runes'!A:B,2,FALSE))</f>
        <v>17.414999999999999</v>
      </c>
      <c r="F13457">
        <f t="shared" si="210"/>
        <v>17.414999999999999</v>
      </c>
    </row>
    <row r="13458" spans="1:6" x14ac:dyDescent="0.3">
      <c r="A13458" t="s">
        <v>2096</v>
      </c>
      <c r="B13458" t="s">
        <v>2128</v>
      </c>
      <c r="C13458">
        <v>158</v>
      </c>
      <c r="D13458">
        <v>200</v>
      </c>
      <c r="E13458">
        <f>IF(OR(B13458="vi",B13458="ii",B13458="pod"),(((D13458/100)*(C13458*VLOOKUP(B13458,'Poids des runes'!A:B,2,FALSE)))+1),(((D13458/100)*(C13458*VLOOKUP(B13458,'Poids des runes'!A:B,2,FALSE)))+1)/VLOOKUP(B13458,'Poids des runes'!A:B,2,FALSE))</f>
        <v>64.2</v>
      </c>
      <c r="F13458">
        <f t="shared" si="210"/>
        <v>64.2</v>
      </c>
    </row>
    <row r="13459" spans="1:6" x14ac:dyDescent="0.3">
      <c r="A13459" t="s">
        <v>2096</v>
      </c>
      <c r="B13459" t="s">
        <v>2130</v>
      </c>
      <c r="C13459">
        <v>28</v>
      </c>
      <c r="D13459">
        <v>200</v>
      </c>
      <c r="E13459">
        <f>IF(OR(B13459="vi",B13459="ii",B13459="pod"),(((D13459/100)*(C13459*VLOOKUP(B13459,'Poids des runes'!A:B,2,FALSE)))+1),(((D13459/100)*(C13459*VLOOKUP(B13459,'Poids des runes'!A:B,2,FALSE)))+1)/VLOOKUP(B13459,'Poids des runes'!A:B,2,FALSE))</f>
        <v>57</v>
      </c>
      <c r="F13459">
        <f t="shared" si="210"/>
        <v>57</v>
      </c>
    </row>
    <row r="13460" spans="1:6" x14ac:dyDescent="0.3">
      <c r="A13460" t="s">
        <v>2096</v>
      </c>
      <c r="B13460" t="s">
        <v>2126</v>
      </c>
      <c r="C13460">
        <v>28</v>
      </c>
      <c r="D13460">
        <v>200</v>
      </c>
      <c r="E13460">
        <f>IF(OR(B13460="vi",B13460="ii",B13460="pod"),(((D13460/100)*(C13460*VLOOKUP(B13460,'Poids des runes'!A:B,2,FALSE)))+1),(((D13460/100)*(C13460*VLOOKUP(B13460,'Poids des runes'!A:B,2,FALSE)))+1)/VLOOKUP(B13460,'Poids des runes'!A:B,2,FALSE))</f>
        <v>57</v>
      </c>
      <c r="F13460">
        <f t="shared" si="210"/>
        <v>57</v>
      </c>
    </row>
    <row r="13461" spans="1:6" x14ac:dyDescent="0.3">
      <c r="A13461" t="s">
        <v>2096</v>
      </c>
      <c r="B13461" t="s">
        <v>2131</v>
      </c>
      <c r="C13461">
        <v>28</v>
      </c>
      <c r="D13461">
        <v>200</v>
      </c>
      <c r="E13461">
        <f>IF(OR(B13461="vi",B13461="ii",B13461="pod"),(((D13461/100)*(C13461*VLOOKUP(B13461,'Poids des runes'!A:B,2,FALSE)))+1),(((D13461/100)*(C13461*VLOOKUP(B13461,'Poids des runes'!A:B,2,FALSE)))+1)/VLOOKUP(B13461,'Poids des runes'!A:B,2,FALSE))</f>
        <v>57</v>
      </c>
      <c r="F13461">
        <f t="shared" si="210"/>
        <v>57</v>
      </c>
    </row>
    <row r="13462" spans="1:6" x14ac:dyDescent="0.3">
      <c r="A13462" t="s">
        <v>2096</v>
      </c>
      <c r="B13462" t="s">
        <v>2127</v>
      </c>
      <c r="C13462">
        <v>28</v>
      </c>
      <c r="D13462">
        <v>200</v>
      </c>
      <c r="E13462">
        <f>IF(OR(B13462="vi",B13462="ii",B13462="pod"),(((D13462/100)*(C13462*VLOOKUP(B13462,'Poids des runes'!A:B,2,FALSE)))+1),(((D13462/100)*(C13462*VLOOKUP(B13462,'Poids des runes'!A:B,2,FALSE)))+1)/VLOOKUP(B13462,'Poids des runes'!A:B,2,FALSE))</f>
        <v>57</v>
      </c>
      <c r="F13462">
        <f t="shared" si="210"/>
        <v>57</v>
      </c>
    </row>
    <row r="13463" spans="1:6" x14ac:dyDescent="0.3">
      <c r="A13463" t="s">
        <v>2096</v>
      </c>
      <c r="B13463" t="s">
        <v>2129</v>
      </c>
      <c r="C13463">
        <v>28</v>
      </c>
      <c r="D13463">
        <v>200</v>
      </c>
      <c r="E13463">
        <f>IF(OR(B13463="vi",B13463="ii",B13463="pod"),(((D13463/100)*(C13463*VLOOKUP(B13463,'Poids des runes'!A:B,2,FALSE)))+1),(((D13463/100)*(C13463*VLOOKUP(B13463,'Poids des runes'!A:B,2,FALSE)))+1)/VLOOKUP(B13463,'Poids des runes'!A:B,2,FALSE))</f>
        <v>57</v>
      </c>
      <c r="F13463">
        <f t="shared" si="210"/>
        <v>57</v>
      </c>
    </row>
    <row r="13464" spans="1:6" x14ac:dyDescent="0.3">
      <c r="A13464" t="s">
        <v>2096</v>
      </c>
      <c r="B13464" t="s">
        <v>2156</v>
      </c>
      <c r="C13464">
        <v>4.5</v>
      </c>
      <c r="D13464">
        <v>200</v>
      </c>
      <c r="E13464">
        <f>IF(OR(B13464="vi",B13464="ii",B13464="pod"),(((D13464/100)*(C13464*VLOOKUP(B13464,'Poids des runes'!A:B,2,FALSE)))+1),(((D13464/100)*(C13464*VLOOKUP(B13464,'Poids des runes'!A:B,2,FALSE)))+1)/VLOOKUP(B13464,'Poids des runes'!A:B,2,FALSE))</f>
        <v>9.1666666666666661</v>
      </c>
      <c r="F13464">
        <f t="shared" si="210"/>
        <v>9.1666666666666661</v>
      </c>
    </row>
    <row r="13465" spans="1:6" x14ac:dyDescent="0.3">
      <c r="A13465" t="s">
        <v>2096</v>
      </c>
      <c r="B13465" t="s">
        <v>2148</v>
      </c>
      <c r="C13465">
        <v>4.5</v>
      </c>
      <c r="D13465">
        <v>200</v>
      </c>
      <c r="E13465">
        <f>IF(OR(B13465="vi",B13465="ii",B13465="pod"),(((D13465/100)*(C13465*VLOOKUP(B13465,'Poids des runes'!A:B,2,FALSE)))+1),(((D13465/100)*(C13465*VLOOKUP(B13465,'Poids des runes'!A:B,2,FALSE)))+1)/VLOOKUP(B13465,'Poids des runes'!A:B,2,FALSE))</f>
        <v>9.1666666666666661</v>
      </c>
      <c r="F13465">
        <f t="shared" si="210"/>
        <v>9.1666666666666661</v>
      </c>
    </row>
    <row r="13466" spans="1:6" x14ac:dyDescent="0.3">
      <c r="A13466" t="s">
        <v>2096</v>
      </c>
      <c r="B13466" t="s">
        <v>2147</v>
      </c>
      <c r="C13466">
        <v>4.5</v>
      </c>
      <c r="D13466">
        <v>200</v>
      </c>
      <c r="E13466">
        <f>IF(OR(B13466="vi",B13466="ii",B13466="pod"),(((D13466/100)*(C13466*VLOOKUP(B13466,'Poids des runes'!A:B,2,FALSE)))+1),(((D13466/100)*(C13466*VLOOKUP(B13466,'Poids des runes'!A:B,2,FALSE)))+1)/VLOOKUP(B13466,'Poids des runes'!A:B,2,FALSE))</f>
        <v>9.1666666666666661</v>
      </c>
      <c r="F13466">
        <f t="shared" si="210"/>
        <v>9.1666666666666661</v>
      </c>
    </row>
    <row r="13467" spans="1:6" x14ac:dyDescent="0.3">
      <c r="A13467" t="s">
        <v>2096</v>
      </c>
      <c r="B13467" t="s">
        <v>2135</v>
      </c>
      <c r="C13467">
        <v>4.5</v>
      </c>
      <c r="D13467">
        <v>200</v>
      </c>
      <c r="E13467">
        <f>IF(OR(B13467="vi",B13467="ii",B13467="pod"),(((D13467/100)*(C13467*VLOOKUP(B13467,'Poids des runes'!A:B,2,FALSE)))+1),(((D13467/100)*(C13467*VLOOKUP(B13467,'Poids des runes'!A:B,2,FALSE)))+1)/VLOOKUP(B13467,'Poids des runes'!A:B,2,FALSE))</f>
        <v>9.1666666666666661</v>
      </c>
      <c r="F13467">
        <f t="shared" si="210"/>
        <v>9.1666666666666661</v>
      </c>
    </row>
    <row r="13468" spans="1:6" x14ac:dyDescent="0.3">
      <c r="A13468" t="s">
        <v>2096</v>
      </c>
      <c r="B13468" t="s">
        <v>2157</v>
      </c>
      <c r="C13468">
        <v>4.5</v>
      </c>
      <c r="D13468">
        <v>200</v>
      </c>
      <c r="E13468">
        <f>IF(OR(B13468="vi",B13468="ii",B13468="pod"),(((D13468/100)*(C13468*VLOOKUP(B13468,'Poids des runes'!A:B,2,FALSE)))+1),(((D13468/100)*(C13468*VLOOKUP(B13468,'Poids des runes'!A:B,2,FALSE)))+1)/VLOOKUP(B13468,'Poids des runes'!A:B,2,FALSE))</f>
        <v>9.1666666666666661</v>
      </c>
      <c r="F13468">
        <f t="shared" si="210"/>
        <v>9.1666666666666661</v>
      </c>
    </row>
    <row r="13469" spans="1:6" x14ac:dyDescent="0.3">
      <c r="A13469" t="s">
        <v>2097</v>
      </c>
      <c r="B13469" t="s">
        <v>2128</v>
      </c>
      <c r="C13469">
        <v>225.5</v>
      </c>
      <c r="D13469">
        <v>200</v>
      </c>
      <c r="E13469">
        <f>IF(OR(B13469="vi",B13469="ii",B13469="pod"),(((D13469/100)*(C13469*VLOOKUP(B13469,'Poids des runes'!A:B,2,FALSE)))+1),(((D13469/100)*(C13469*VLOOKUP(B13469,'Poids des runes'!A:B,2,FALSE)))+1)/VLOOKUP(B13469,'Poids des runes'!A:B,2,FALSE))</f>
        <v>91.2</v>
      </c>
      <c r="F13469">
        <f t="shared" si="210"/>
        <v>91.2</v>
      </c>
    </row>
    <row r="13470" spans="1:6" x14ac:dyDescent="0.3">
      <c r="A13470" t="s">
        <v>2097</v>
      </c>
      <c r="B13470" t="s">
        <v>2130</v>
      </c>
      <c r="C13470">
        <v>50.5</v>
      </c>
      <c r="D13470">
        <v>200</v>
      </c>
      <c r="E13470">
        <f>IF(OR(B13470="vi",B13470="ii",B13470="pod"),(((D13470/100)*(C13470*VLOOKUP(B13470,'Poids des runes'!A:B,2,FALSE)))+1),(((D13470/100)*(C13470*VLOOKUP(B13470,'Poids des runes'!A:B,2,FALSE)))+1)/VLOOKUP(B13470,'Poids des runes'!A:B,2,FALSE))</f>
        <v>102</v>
      </c>
      <c r="F13470">
        <f t="shared" si="210"/>
        <v>102</v>
      </c>
    </row>
    <row r="13471" spans="1:6" x14ac:dyDescent="0.3">
      <c r="A13471" t="s">
        <v>2097</v>
      </c>
      <c r="B13471" t="s">
        <v>2127</v>
      </c>
      <c r="C13471">
        <v>50.5</v>
      </c>
      <c r="D13471">
        <v>200</v>
      </c>
      <c r="E13471">
        <f>IF(OR(B13471="vi",B13471="ii",B13471="pod"),(((D13471/100)*(C13471*VLOOKUP(B13471,'Poids des runes'!A:B,2,FALSE)))+1),(((D13471/100)*(C13471*VLOOKUP(B13471,'Poids des runes'!A:B,2,FALSE)))+1)/VLOOKUP(B13471,'Poids des runes'!A:B,2,FALSE))</f>
        <v>102</v>
      </c>
      <c r="F13471">
        <f t="shared" si="210"/>
        <v>102</v>
      </c>
    </row>
    <row r="13472" spans="1:6" x14ac:dyDescent="0.3">
      <c r="A13472" t="s">
        <v>2097</v>
      </c>
      <c r="B13472" t="s">
        <v>2151</v>
      </c>
      <c r="C13472">
        <v>4.5</v>
      </c>
      <c r="D13472">
        <v>200</v>
      </c>
      <c r="E13472">
        <f>IF(OR(B13472="vi",B13472="ii",B13472="pod"),(((D13472/100)*(C13472*VLOOKUP(B13472,'Poids des runes'!A:B,2,FALSE)))+1),(((D13472/100)*(C13472*VLOOKUP(B13472,'Poids des runes'!A:B,2,FALSE)))+1)/VLOOKUP(B13472,'Poids des runes'!A:B,2,FALSE))</f>
        <v>9.1</v>
      </c>
      <c r="F13472">
        <f t="shared" si="210"/>
        <v>9.1</v>
      </c>
    </row>
    <row r="13473" spans="1:6" x14ac:dyDescent="0.3">
      <c r="A13473" t="s">
        <v>2097</v>
      </c>
      <c r="B13473" t="s">
        <v>2155</v>
      </c>
      <c r="C13473">
        <v>1</v>
      </c>
      <c r="D13473">
        <v>200</v>
      </c>
      <c r="E13473">
        <f>IF(OR(B13473="vi",B13473="ii",B13473="pod"),(((D13473/100)*(C13473*VLOOKUP(B13473,'Poids des runes'!A:B,2,FALSE)))+1),(((D13473/100)*(C13473*VLOOKUP(B13473,'Poids des runes'!A:B,2,FALSE)))+1)/VLOOKUP(B13473,'Poids des runes'!A:B,2,FALSE))</f>
        <v>2.0196078431372548</v>
      </c>
      <c r="F13473">
        <f t="shared" si="210"/>
        <v>2.0196078431372548</v>
      </c>
    </row>
    <row r="13474" spans="1:6" x14ac:dyDescent="0.3">
      <c r="A13474" t="s">
        <v>2097</v>
      </c>
      <c r="B13474" t="s">
        <v>2143</v>
      </c>
      <c r="C13474">
        <v>16</v>
      </c>
      <c r="D13474">
        <v>200</v>
      </c>
      <c r="E13474">
        <f>IF(OR(B13474="vi",B13474="ii",B13474="pod"),(((D13474/100)*(C13474*VLOOKUP(B13474,'Poids des runes'!A:B,2,FALSE)))+1),(((D13474/100)*(C13474*VLOOKUP(B13474,'Poids des runes'!A:B,2,FALSE)))+1)/VLOOKUP(B13474,'Poids des runes'!A:B,2,FALSE))</f>
        <v>32.200000000000003</v>
      </c>
      <c r="F13474">
        <f t="shared" si="210"/>
        <v>32.200000000000003</v>
      </c>
    </row>
    <row r="13475" spans="1:6" x14ac:dyDescent="0.3">
      <c r="A13475" t="s">
        <v>2097</v>
      </c>
      <c r="B13475" t="s">
        <v>2153</v>
      </c>
      <c r="C13475">
        <v>16</v>
      </c>
      <c r="D13475">
        <v>200</v>
      </c>
      <c r="E13475">
        <f>IF(OR(B13475="vi",B13475="ii",B13475="pod"),(((D13475/100)*(C13475*VLOOKUP(B13475,'Poids des runes'!A:B,2,FALSE)))+1),(((D13475/100)*(C13475*VLOOKUP(B13475,'Poids des runes'!A:B,2,FALSE)))+1)/VLOOKUP(B13475,'Poids des runes'!A:B,2,FALSE))</f>
        <v>32.200000000000003</v>
      </c>
      <c r="F13475">
        <f t="shared" si="210"/>
        <v>32.200000000000003</v>
      </c>
    </row>
    <row r="13476" spans="1:6" x14ac:dyDescent="0.3">
      <c r="A13476" t="s">
        <v>2097</v>
      </c>
      <c r="B13476" t="s">
        <v>2161</v>
      </c>
      <c r="C13476">
        <v>13</v>
      </c>
      <c r="D13476">
        <v>200</v>
      </c>
      <c r="E13476">
        <f>IF(OR(B13476="vi",B13476="ii",B13476="pod"),(((D13476/100)*(C13476*VLOOKUP(B13476,'Poids des runes'!A:B,2,FALSE)))+1),(((D13476/100)*(C13476*VLOOKUP(B13476,'Poids des runes'!A:B,2,FALSE)))+1)/VLOOKUP(B13476,'Poids des runes'!A:B,2,FALSE))</f>
        <v>26.333333333333332</v>
      </c>
      <c r="F13476">
        <f t="shared" si="210"/>
        <v>26.333333333333332</v>
      </c>
    </row>
    <row r="13477" spans="1:6" x14ac:dyDescent="0.3">
      <c r="A13477" t="s">
        <v>2097</v>
      </c>
      <c r="B13477" t="s">
        <v>2141</v>
      </c>
      <c r="C13477">
        <v>8.5</v>
      </c>
      <c r="D13477">
        <v>200</v>
      </c>
      <c r="E13477">
        <f>IF(OR(B13477="vi",B13477="ii",B13477="pod"),(((D13477/100)*(C13477*VLOOKUP(B13477,'Poids des runes'!A:B,2,FALSE)))+1),(((D13477/100)*(C13477*VLOOKUP(B13477,'Poids des runes'!A:B,2,FALSE)))+1)/VLOOKUP(B13477,'Poids des runes'!A:B,2,FALSE))</f>
        <v>17.25</v>
      </c>
      <c r="F13477">
        <f t="shared" si="210"/>
        <v>17.25</v>
      </c>
    </row>
    <row r="13478" spans="1:6" x14ac:dyDescent="0.3">
      <c r="A13478" t="s">
        <v>2097</v>
      </c>
      <c r="B13478" t="s">
        <v>2142</v>
      </c>
      <c r="C13478">
        <v>18</v>
      </c>
      <c r="D13478">
        <v>200</v>
      </c>
      <c r="E13478">
        <f>IF(OR(B13478="vi",B13478="ii",B13478="pod"),(((D13478/100)*(C13478*VLOOKUP(B13478,'Poids des runes'!A:B,2,FALSE)))+1),(((D13478/100)*(C13478*VLOOKUP(B13478,'Poids des runes'!A:B,2,FALSE)))+1)/VLOOKUP(B13478,'Poids des runes'!A:B,2,FALSE))</f>
        <v>36.200000000000003</v>
      </c>
      <c r="F13478">
        <f t="shared" si="210"/>
        <v>36.200000000000003</v>
      </c>
    </row>
    <row r="13479" spans="1:6" x14ac:dyDescent="0.3">
      <c r="A13479" t="s">
        <v>2097</v>
      </c>
      <c r="B13479" t="s">
        <v>2156</v>
      </c>
      <c r="C13479">
        <v>8.5</v>
      </c>
      <c r="D13479">
        <v>200</v>
      </c>
      <c r="E13479">
        <f>IF(OR(B13479="vi",B13479="ii",B13479="pod"),(((D13479/100)*(C13479*VLOOKUP(B13479,'Poids des runes'!A:B,2,FALSE)))+1),(((D13479/100)*(C13479*VLOOKUP(B13479,'Poids des runes'!A:B,2,FALSE)))+1)/VLOOKUP(B13479,'Poids des runes'!A:B,2,FALSE))</f>
        <v>17.166666666666668</v>
      </c>
      <c r="F13479">
        <f t="shared" si="210"/>
        <v>17.166666666666668</v>
      </c>
    </row>
    <row r="13480" spans="1:6" x14ac:dyDescent="0.3">
      <c r="A13480" t="s">
        <v>2097</v>
      </c>
      <c r="B13480" t="s">
        <v>2157</v>
      </c>
      <c r="C13480">
        <v>8.5</v>
      </c>
      <c r="D13480">
        <v>200</v>
      </c>
      <c r="E13480">
        <f>IF(OR(B13480="vi",B13480="ii",B13480="pod"),(((D13480/100)*(C13480*VLOOKUP(B13480,'Poids des runes'!A:B,2,FALSE)))+1),(((D13480/100)*(C13480*VLOOKUP(B13480,'Poids des runes'!A:B,2,FALSE)))+1)/VLOOKUP(B13480,'Poids des runes'!A:B,2,FALSE))</f>
        <v>17.166666666666668</v>
      </c>
      <c r="F13480">
        <f t="shared" si="210"/>
        <v>17.166666666666668</v>
      </c>
    </row>
    <row r="13481" spans="1:6" x14ac:dyDescent="0.3">
      <c r="A13481" t="s">
        <v>2098</v>
      </c>
      <c r="B13481" t="s">
        <v>2128</v>
      </c>
      <c r="C13481">
        <v>375.5</v>
      </c>
      <c r="D13481">
        <v>200</v>
      </c>
      <c r="E13481">
        <f>IF(OR(B13481="vi",B13481="ii",B13481="pod"),(((D13481/100)*(C13481*VLOOKUP(B13481,'Poids des runes'!A:B,2,FALSE)))+1),(((D13481/100)*(C13481*VLOOKUP(B13481,'Poids des runes'!A:B,2,FALSE)))+1)/VLOOKUP(B13481,'Poids des runes'!A:B,2,FALSE))</f>
        <v>151.20000000000002</v>
      </c>
      <c r="F13481">
        <f t="shared" si="210"/>
        <v>151.20000000000002</v>
      </c>
    </row>
    <row r="13482" spans="1:6" x14ac:dyDescent="0.3">
      <c r="A13482" t="s">
        <v>2098</v>
      </c>
      <c r="B13482" t="s">
        <v>2130</v>
      </c>
      <c r="C13482">
        <v>40.5</v>
      </c>
      <c r="D13482">
        <v>200</v>
      </c>
      <c r="E13482">
        <f>IF(OR(B13482="vi",B13482="ii",B13482="pod"),(((D13482/100)*(C13482*VLOOKUP(B13482,'Poids des runes'!A:B,2,FALSE)))+1),(((D13482/100)*(C13482*VLOOKUP(B13482,'Poids des runes'!A:B,2,FALSE)))+1)/VLOOKUP(B13482,'Poids des runes'!A:B,2,FALSE))</f>
        <v>82</v>
      </c>
      <c r="F13482">
        <f t="shared" si="210"/>
        <v>82</v>
      </c>
    </row>
    <row r="13483" spans="1:6" x14ac:dyDescent="0.3">
      <c r="A13483" t="s">
        <v>2098</v>
      </c>
      <c r="B13483" t="s">
        <v>2126</v>
      </c>
      <c r="C13483">
        <v>40.5</v>
      </c>
      <c r="D13483">
        <v>200</v>
      </c>
      <c r="E13483">
        <f>IF(OR(B13483="vi",B13483="ii",B13483="pod"),(((D13483/100)*(C13483*VLOOKUP(B13483,'Poids des runes'!A:B,2,FALSE)))+1),(((D13483/100)*(C13483*VLOOKUP(B13483,'Poids des runes'!A:B,2,FALSE)))+1)/VLOOKUP(B13483,'Poids des runes'!A:B,2,FALSE))</f>
        <v>82</v>
      </c>
      <c r="F13483">
        <f t="shared" si="210"/>
        <v>82</v>
      </c>
    </row>
    <row r="13484" spans="1:6" x14ac:dyDescent="0.3">
      <c r="A13484" t="s">
        <v>2098</v>
      </c>
      <c r="B13484" t="s">
        <v>2127</v>
      </c>
      <c r="C13484">
        <v>40.5</v>
      </c>
      <c r="D13484">
        <v>200</v>
      </c>
      <c r="E13484">
        <f>IF(OR(B13484="vi",B13484="ii",B13484="pod"),(((D13484/100)*(C13484*VLOOKUP(B13484,'Poids des runes'!A:B,2,FALSE)))+1),(((D13484/100)*(C13484*VLOOKUP(B13484,'Poids des runes'!A:B,2,FALSE)))+1)/VLOOKUP(B13484,'Poids des runes'!A:B,2,FALSE))</f>
        <v>82</v>
      </c>
      <c r="F13484">
        <f t="shared" si="210"/>
        <v>82</v>
      </c>
    </row>
    <row r="13485" spans="1:6" x14ac:dyDescent="0.3">
      <c r="A13485" t="s">
        <v>2098</v>
      </c>
      <c r="B13485" t="s">
        <v>2129</v>
      </c>
      <c r="C13485">
        <v>35.5</v>
      </c>
      <c r="D13485">
        <v>200</v>
      </c>
      <c r="E13485">
        <f>IF(OR(B13485="vi",B13485="ii",B13485="pod"),(((D13485/100)*(C13485*VLOOKUP(B13485,'Poids des runes'!A:B,2,FALSE)))+1),(((D13485/100)*(C13485*VLOOKUP(B13485,'Poids des runes'!A:B,2,FALSE)))+1)/VLOOKUP(B13485,'Poids des runes'!A:B,2,FALSE))</f>
        <v>72</v>
      </c>
      <c r="F13485">
        <f t="shared" si="210"/>
        <v>72</v>
      </c>
    </row>
    <row r="13486" spans="1:6" x14ac:dyDescent="0.3">
      <c r="A13486" t="s">
        <v>2098</v>
      </c>
      <c r="B13486" t="s">
        <v>2155</v>
      </c>
      <c r="C13486">
        <v>1</v>
      </c>
      <c r="D13486">
        <v>200</v>
      </c>
      <c r="E13486">
        <f>IF(OR(B13486="vi",B13486="ii",B13486="pod"),(((D13486/100)*(C13486*VLOOKUP(B13486,'Poids des runes'!A:B,2,FALSE)))+1),(((D13486/100)*(C13486*VLOOKUP(B13486,'Poids des runes'!A:B,2,FALSE)))+1)/VLOOKUP(B13486,'Poids des runes'!A:B,2,FALSE))</f>
        <v>2.0196078431372548</v>
      </c>
      <c r="F13486">
        <f t="shared" si="210"/>
        <v>2.0196078431372548</v>
      </c>
    </row>
    <row r="13487" spans="1:6" x14ac:dyDescent="0.3">
      <c r="A13487" t="s">
        <v>2098</v>
      </c>
      <c r="B13487" t="s">
        <v>2150</v>
      </c>
      <c r="C13487">
        <v>2</v>
      </c>
      <c r="D13487">
        <v>200</v>
      </c>
      <c r="E13487">
        <f>IF(OR(B13487="vi",B13487="ii",B13487="pod"),(((D13487/100)*(C13487*VLOOKUP(B13487,'Poids des runes'!A:B,2,FALSE)))+1),(((D13487/100)*(C13487*VLOOKUP(B13487,'Poids des runes'!A:B,2,FALSE)))+1)/VLOOKUP(B13487,'Poids des runes'!A:B,2,FALSE))</f>
        <v>4.0333333333333332</v>
      </c>
      <c r="F13487">
        <f t="shared" si="210"/>
        <v>4.0333333333333332</v>
      </c>
    </row>
    <row r="13488" spans="1:6" x14ac:dyDescent="0.3">
      <c r="A13488" t="s">
        <v>2098</v>
      </c>
      <c r="B13488" t="s">
        <v>2143</v>
      </c>
      <c r="C13488">
        <v>13</v>
      </c>
      <c r="D13488">
        <v>200</v>
      </c>
      <c r="E13488">
        <f>IF(OR(B13488="vi",B13488="ii",B13488="pod"),(((D13488/100)*(C13488*VLOOKUP(B13488,'Poids des runes'!A:B,2,FALSE)))+1),(((D13488/100)*(C13488*VLOOKUP(B13488,'Poids des runes'!A:B,2,FALSE)))+1)/VLOOKUP(B13488,'Poids des runes'!A:B,2,FALSE))</f>
        <v>26.2</v>
      </c>
      <c r="F13488">
        <f t="shared" si="210"/>
        <v>26.2</v>
      </c>
    </row>
    <row r="13489" spans="1:6" x14ac:dyDescent="0.3">
      <c r="A13489" t="s">
        <v>2098</v>
      </c>
      <c r="B13489" t="s">
        <v>2140</v>
      </c>
      <c r="C13489">
        <v>13</v>
      </c>
      <c r="D13489">
        <v>200</v>
      </c>
      <c r="E13489">
        <f>IF(OR(B13489="vi",B13489="ii",B13489="pod"),(((D13489/100)*(C13489*VLOOKUP(B13489,'Poids des runes'!A:B,2,FALSE)))+1),(((D13489/100)*(C13489*VLOOKUP(B13489,'Poids des runes'!A:B,2,FALSE)))+1)/VLOOKUP(B13489,'Poids des runes'!A:B,2,FALSE))</f>
        <v>26.2</v>
      </c>
      <c r="F13489">
        <f t="shared" si="210"/>
        <v>26.2</v>
      </c>
    </row>
    <row r="13490" spans="1:6" x14ac:dyDescent="0.3">
      <c r="A13490" t="s">
        <v>2098</v>
      </c>
      <c r="B13490" t="s">
        <v>2153</v>
      </c>
      <c r="C13490">
        <v>13</v>
      </c>
      <c r="D13490">
        <v>200</v>
      </c>
      <c r="E13490">
        <f>IF(OR(B13490="vi",B13490="ii",B13490="pod"),(((D13490/100)*(C13490*VLOOKUP(B13490,'Poids des runes'!A:B,2,FALSE)))+1),(((D13490/100)*(C13490*VLOOKUP(B13490,'Poids des runes'!A:B,2,FALSE)))+1)/VLOOKUP(B13490,'Poids des runes'!A:B,2,FALSE))</f>
        <v>26.2</v>
      </c>
      <c r="F13490">
        <f t="shared" si="210"/>
        <v>26.2</v>
      </c>
    </row>
    <row r="13491" spans="1:6" x14ac:dyDescent="0.3">
      <c r="A13491" t="s">
        <v>2098</v>
      </c>
      <c r="B13491" t="s">
        <v>2141</v>
      </c>
      <c r="C13491">
        <v>8.5</v>
      </c>
      <c r="D13491">
        <v>200</v>
      </c>
      <c r="E13491">
        <f>IF(OR(B13491="vi",B13491="ii",B13491="pod"),(((D13491/100)*(C13491*VLOOKUP(B13491,'Poids des runes'!A:B,2,FALSE)))+1),(((D13491/100)*(C13491*VLOOKUP(B13491,'Poids des runes'!A:B,2,FALSE)))+1)/VLOOKUP(B13491,'Poids des runes'!A:B,2,FALSE))</f>
        <v>17.25</v>
      </c>
      <c r="F13491">
        <f t="shared" si="210"/>
        <v>17.25</v>
      </c>
    </row>
    <row r="13492" spans="1:6" x14ac:dyDescent="0.3">
      <c r="A13492" t="s">
        <v>2098</v>
      </c>
      <c r="B13492" t="s">
        <v>2163</v>
      </c>
      <c r="C13492">
        <v>13</v>
      </c>
      <c r="D13492">
        <v>200</v>
      </c>
      <c r="E13492">
        <f>IF(OR(B13492="vi",B13492="ii",B13492="pod"),(((D13492/100)*(C13492*VLOOKUP(B13492,'Poids des runes'!A:B,2,FALSE)))+1),(((D13492/100)*(C13492*VLOOKUP(B13492,'Poids des runes'!A:B,2,FALSE)))+1)/VLOOKUP(B13492,'Poids des runes'!A:B,2,FALSE))</f>
        <v>26.5</v>
      </c>
      <c r="F13492">
        <f t="shared" si="210"/>
        <v>26.5</v>
      </c>
    </row>
    <row r="13493" spans="1:6" x14ac:dyDescent="0.3">
      <c r="A13493" t="s">
        <v>2098</v>
      </c>
      <c r="B13493" t="s">
        <v>2135</v>
      </c>
      <c r="C13493">
        <v>8.5</v>
      </c>
      <c r="D13493">
        <v>200</v>
      </c>
      <c r="E13493">
        <f>IF(OR(B13493="vi",B13493="ii",B13493="pod"),(((D13493/100)*(C13493*VLOOKUP(B13493,'Poids des runes'!A:B,2,FALSE)))+1),(((D13493/100)*(C13493*VLOOKUP(B13493,'Poids des runes'!A:B,2,FALSE)))+1)/VLOOKUP(B13493,'Poids des runes'!A:B,2,FALSE))</f>
        <v>17.166666666666668</v>
      </c>
      <c r="F13493">
        <f t="shared" si="210"/>
        <v>17.166666666666668</v>
      </c>
    </row>
    <row r="13494" spans="1:6" x14ac:dyDescent="0.3">
      <c r="A13494" t="s">
        <v>2099</v>
      </c>
      <c r="B13494" t="s">
        <v>2128</v>
      </c>
      <c r="C13494">
        <v>375.5</v>
      </c>
      <c r="D13494">
        <v>200</v>
      </c>
      <c r="E13494">
        <f>IF(OR(B13494="vi",B13494="ii",B13494="pod"),(((D13494/100)*(C13494*VLOOKUP(B13494,'Poids des runes'!A:B,2,FALSE)))+1),(((D13494/100)*(C13494*VLOOKUP(B13494,'Poids des runes'!A:B,2,FALSE)))+1)/VLOOKUP(B13494,'Poids des runes'!A:B,2,FALSE))</f>
        <v>151.20000000000002</v>
      </c>
      <c r="F13494">
        <f t="shared" si="210"/>
        <v>151.20000000000002</v>
      </c>
    </row>
    <row r="13495" spans="1:6" x14ac:dyDescent="0.3">
      <c r="A13495" t="s">
        <v>2099</v>
      </c>
      <c r="B13495" t="s">
        <v>2130</v>
      </c>
      <c r="C13495">
        <v>50.5</v>
      </c>
      <c r="D13495">
        <v>200</v>
      </c>
      <c r="E13495">
        <f>IF(OR(B13495="vi",B13495="ii",B13495="pod"),(((D13495/100)*(C13495*VLOOKUP(B13495,'Poids des runes'!A:B,2,FALSE)))+1),(((D13495/100)*(C13495*VLOOKUP(B13495,'Poids des runes'!A:B,2,FALSE)))+1)/VLOOKUP(B13495,'Poids des runes'!A:B,2,FALSE))</f>
        <v>102</v>
      </c>
      <c r="F13495">
        <f t="shared" si="210"/>
        <v>102</v>
      </c>
    </row>
    <row r="13496" spans="1:6" x14ac:dyDescent="0.3">
      <c r="A13496" t="s">
        <v>2099</v>
      </c>
      <c r="B13496" t="s">
        <v>2131</v>
      </c>
      <c r="C13496">
        <v>50.5</v>
      </c>
      <c r="D13496">
        <v>200</v>
      </c>
      <c r="E13496">
        <f>IF(OR(B13496="vi",B13496="ii",B13496="pod"),(((D13496/100)*(C13496*VLOOKUP(B13496,'Poids des runes'!A:B,2,FALSE)))+1),(((D13496/100)*(C13496*VLOOKUP(B13496,'Poids des runes'!A:B,2,FALSE)))+1)/VLOOKUP(B13496,'Poids des runes'!A:B,2,FALSE))</f>
        <v>102</v>
      </c>
      <c r="F13496">
        <f t="shared" si="210"/>
        <v>102</v>
      </c>
    </row>
    <row r="13497" spans="1:6" x14ac:dyDescent="0.3">
      <c r="A13497" t="s">
        <v>2099</v>
      </c>
      <c r="B13497" t="s">
        <v>2129</v>
      </c>
      <c r="C13497">
        <v>25.5</v>
      </c>
      <c r="D13497">
        <v>200</v>
      </c>
      <c r="E13497">
        <f>IF(OR(B13497="vi",B13497="ii",B13497="pod"),(((D13497/100)*(C13497*VLOOKUP(B13497,'Poids des runes'!A:B,2,FALSE)))+1),(((D13497/100)*(C13497*VLOOKUP(B13497,'Poids des runes'!A:B,2,FALSE)))+1)/VLOOKUP(B13497,'Poids des runes'!A:B,2,FALSE))</f>
        <v>52</v>
      </c>
      <c r="F13497">
        <f t="shared" si="210"/>
        <v>52</v>
      </c>
    </row>
    <row r="13498" spans="1:6" x14ac:dyDescent="0.3">
      <c r="A13498" t="s">
        <v>2099</v>
      </c>
      <c r="B13498" t="s">
        <v>2143</v>
      </c>
      <c r="C13498">
        <v>14</v>
      </c>
      <c r="D13498">
        <v>200</v>
      </c>
      <c r="E13498">
        <f>IF(OR(B13498="vi",B13498="ii",B13498="pod"),(((D13498/100)*(C13498*VLOOKUP(B13498,'Poids des runes'!A:B,2,FALSE)))+1),(((D13498/100)*(C13498*VLOOKUP(B13498,'Poids des runes'!A:B,2,FALSE)))+1)/VLOOKUP(B13498,'Poids des runes'!A:B,2,FALSE))</f>
        <v>28.2</v>
      </c>
      <c r="F13498">
        <f t="shared" si="210"/>
        <v>28.2</v>
      </c>
    </row>
    <row r="13499" spans="1:6" x14ac:dyDescent="0.3">
      <c r="A13499" t="s">
        <v>2099</v>
      </c>
      <c r="B13499" t="s">
        <v>2133</v>
      </c>
      <c r="C13499">
        <v>14</v>
      </c>
      <c r="D13499">
        <v>200</v>
      </c>
      <c r="E13499">
        <f>IF(OR(B13499="vi",B13499="ii",B13499="pod"),(((D13499/100)*(C13499*VLOOKUP(B13499,'Poids des runes'!A:B,2,FALSE)))+1),(((D13499/100)*(C13499*VLOOKUP(B13499,'Poids des runes'!A:B,2,FALSE)))+1)/VLOOKUP(B13499,'Poids des runes'!A:B,2,FALSE))</f>
        <v>28.2</v>
      </c>
      <c r="F13499">
        <f t="shared" si="210"/>
        <v>28.2</v>
      </c>
    </row>
    <row r="13500" spans="1:6" x14ac:dyDescent="0.3">
      <c r="A13500" t="s">
        <v>2099</v>
      </c>
      <c r="B13500" t="s">
        <v>2142</v>
      </c>
      <c r="C13500">
        <v>18</v>
      </c>
      <c r="D13500">
        <v>200</v>
      </c>
      <c r="E13500">
        <f>IF(OR(B13500="vi",B13500="ii",B13500="pod"),(((D13500/100)*(C13500*VLOOKUP(B13500,'Poids des runes'!A:B,2,FALSE)))+1),(((D13500/100)*(C13500*VLOOKUP(B13500,'Poids des runes'!A:B,2,FALSE)))+1)/VLOOKUP(B13500,'Poids des runes'!A:B,2,FALSE))</f>
        <v>36.200000000000003</v>
      </c>
      <c r="F13500">
        <f t="shared" si="210"/>
        <v>36.200000000000003</v>
      </c>
    </row>
    <row r="13501" spans="1:6" x14ac:dyDescent="0.3">
      <c r="A13501" t="s">
        <v>2099</v>
      </c>
      <c r="B13501" t="s">
        <v>2147</v>
      </c>
      <c r="C13501">
        <v>8.5</v>
      </c>
      <c r="D13501">
        <v>200</v>
      </c>
      <c r="E13501">
        <f>IF(OR(B13501="vi",B13501="ii",B13501="pod"),(((D13501/100)*(C13501*VLOOKUP(B13501,'Poids des runes'!A:B,2,FALSE)))+1),(((D13501/100)*(C13501*VLOOKUP(B13501,'Poids des runes'!A:B,2,FALSE)))+1)/VLOOKUP(B13501,'Poids des runes'!A:B,2,FALSE))</f>
        <v>17.166666666666668</v>
      </c>
      <c r="F13501">
        <f t="shared" si="210"/>
        <v>17.166666666666668</v>
      </c>
    </row>
    <row r="13502" spans="1:6" x14ac:dyDescent="0.3">
      <c r="A13502" t="s">
        <v>2099</v>
      </c>
      <c r="B13502" t="s">
        <v>2136</v>
      </c>
      <c r="C13502">
        <v>18</v>
      </c>
      <c r="D13502">
        <v>200</v>
      </c>
      <c r="E13502">
        <f>IF(OR(B13502="vi",B13502="ii",B13502="pod"),(((D13502/100)*(C13502*VLOOKUP(B13502,'Poids des runes'!A:B,2,FALSE)))+1),(((D13502/100)*(C13502*VLOOKUP(B13502,'Poids des runes'!A:B,2,FALSE)))+1)/VLOOKUP(B13502,'Poids des runes'!A:B,2,FALSE))</f>
        <v>36.5</v>
      </c>
      <c r="F13502">
        <f t="shared" si="210"/>
        <v>36.5</v>
      </c>
    </row>
    <row r="13503" spans="1:6" x14ac:dyDescent="0.3">
      <c r="A13503" t="s">
        <v>2099</v>
      </c>
      <c r="B13503" t="s">
        <v>2146</v>
      </c>
      <c r="C13503">
        <v>13</v>
      </c>
      <c r="D13503">
        <v>200</v>
      </c>
      <c r="E13503">
        <f>IF(OR(B13503="vi",B13503="ii",B13503="pod"),(((D13503/100)*(C13503*VLOOKUP(B13503,'Poids des runes'!A:B,2,FALSE)))+1),(((D13503/100)*(C13503*VLOOKUP(B13503,'Poids des runes'!A:B,2,FALSE)))+1)/VLOOKUP(B13503,'Poids des runes'!A:B,2,FALSE))</f>
        <v>26.5</v>
      </c>
      <c r="F13503">
        <f t="shared" si="210"/>
        <v>26.5</v>
      </c>
    </row>
    <row r="13504" spans="1:6" x14ac:dyDescent="0.3">
      <c r="A13504" t="s">
        <v>2100</v>
      </c>
      <c r="B13504" t="s">
        <v>2128</v>
      </c>
      <c r="C13504">
        <v>225.5</v>
      </c>
      <c r="D13504">
        <v>200</v>
      </c>
      <c r="E13504">
        <f>IF(OR(B13504="vi",B13504="ii",B13504="pod"),(((D13504/100)*(C13504*VLOOKUP(B13504,'Poids des runes'!A:B,2,FALSE)))+1),(((D13504/100)*(C13504*VLOOKUP(B13504,'Poids des runes'!A:B,2,FALSE)))+1)/VLOOKUP(B13504,'Poids des runes'!A:B,2,FALSE))</f>
        <v>91.2</v>
      </c>
      <c r="F13504">
        <f t="shared" si="210"/>
        <v>91.2</v>
      </c>
    </row>
    <row r="13505" spans="1:6" x14ac:dyDescent="0.3">
      <c r="A13505" t="s">
        <v>2100</v>
      </c>
      <c r="B13505" t="s">
        <v>2126</v>
      </c>
      <c r="C13505">
        <v>40.5</v>
      </c>
      <c r="D13505">
        <v>200</v>
      </c>
      <c r="E13505">
        <f>IF(OR(B13505="vi",B13505="ii",B13505="pod"),(((D13505/100)*(C13505*VLOOKUP(B13505,'Poids des runes'!A:B,2,FALSE)))+1),(((D13505/100)*(C13505*VLOOKUP(B13505,'Poids des runes'!A:B,2,FALSE)))+1)/VLOOKUP(B13505,'Poids des runes'!A:B,2,FALSE))</f>
        <v>82</v>
      </c>
      <c r="F13505">
        <f t="shared" si="210"/>
        <v>82</v>
      </c>
    </row>
    <row r="13506" spans="1:6" x14ac:dyDescent="0.3">
      <c r="A13506" t="s">
        <v>2100</v>
      </c>
      <c r="B13506" t="s">
        <v>2129</v>
      </c>
      <c r="C13506">
        <v>40.5</v>
      </c>
      <c r="D13506">
        <v>200</v>
      </c>
      <c r="E13506">
        <f>IF(OR(B13506="vi",B13506="ii",B13506="pod"),(((D13506/100)*(C13506*VLOOKUP(B13506,'Poids des runes'!A:B,2,FALSE)))+1),(((D13506/100)*(C13506*VLOOKUP(B13506,'Poids des runes'!A:B,2,FALSE)))+1)/VLOOKUP(B13506,'Poids des runes'!A:B,2,FALSE))</f>
        <v>82</v>
      </c>
      <c r="F13506">
        <f t="shared" si="210"/>
        <v>82</v>
      </c>
    </row>
    <row r="13507" spans="1:6" x14ac:dyDescent="0.3">
      <c r="A13507" t="s">
        <v>2100</v>
      </c>
      <c r="B13507" t="s">
        <v>2139</v>
      </c>
      <c r="C13507">
        <v>40.5</v>
      </c>
      <c r="D13507">
        <v>200</v>
      </c>
      <c r="E13507">
        <f>IF(OR(B13507="vi",B13507="ii",B13507="pod"),(((D13507/100)*(C13507*VLOOKUP(B13507,'Poids des runes'!A:B,2,FALSE)))+1),(((D13507/100)*(C13507*VLOOKUP(B13507,'Poids des runes'!A:B,2,FALSE)))+1)/VLOOKUP(B13507,'Poids des runes'!A:B,2,FALSE))</f>
        <v>81.5</v>
      </c>
      <c r="F13507">
        <f t="shared" ref="F13507:F13570" si="211">E13507</f>
        <v>81.5</v>
      </c>
    </row>
    <row r="13508" spans="1:6" x14ac:dyDescent="0.3">
      <c r="A13508" t="s">
        <v>2100</v>
      </c>
      <c r="B13508" t="s">
        <v>2155</v>
      </c>
      <c r="C13508">
        <v>1</v>
      </c>
      <c r="D13508">
        <v>200</v>
      </c>
      <c r="E13508">
        <f>IF(OR(B13508="vi",B13508="ii",B13508="pod"),(((D13508/100)*(C13508*VLOOKUP(B13508,'Poids des runes'!A:B,2,FALSE)))+1),(((D13508/100)*(C13508*VLOOKUP(B13508,'Poids des runes'!A:B,2,FALSE)))+1)/VLOOKUP(B13508,'Poids des runes'!A:B,2,FALSE))</f>
        <v>2.0196078431372548</v>
      </c>
      <c r="F13508">
        <f t="shared" si="211"/>
        <v>2.0196078431372548</v>
      </c>
    </row>
    <row r="13509" spans="1:6" x14ac:dyDescent="0.3">
      <c r="A13509" t="s">
        <v>2100</v>
      </c>
      <c r="B13509" t="s">
        <v>2140</v>
      </c>
      <c r="C13509">
        <v>10</v>
      </c>
      <c r="D13509">
        <v>200</v>
      </c>
      <c r="E13509">
        <f>IF(OR(B13509="vi",B13509="ii",B13509="pod"),(((D13509/100)*(C13509*VLOOKUP(B13509,'Poids des runes'!A:B,2,FALSE)))+1),(((D13509/100)*(C13509*VLOOKUP(B13509,'Poids des runes'!A:B,2,FALSE)))+1)/VLOOKUP(B13509,'Poids des runes'!A:B,2,FALSE))</f>
        <v>20.2</v>
      </c>
      <c r="F13509">
        <f t="shared" si="211"/>
        <v>20.2</v>
      </c>
    </row>
    <row r="13510" spans="1:6" x14ac:dyDescent="0.3">
      <c r="A13510" t="s">
        <v>2100</v>
      </c>
      <c r="B13510" t="s">
        <v>2133</v>
      </c>
      <c r="C13510">
        <v>10</v>
      </c>
      <c r="D13510">
        <v>200</v>
      </c>
      <c r="E13510">
        <f>IF(OR(B13510="vi",B13510="ii",B13510="pod"),(((D13510/100)*(C13510*VLOOKUP(B13510,'Poids des runes'!A:B,2,FALSE)))+1),(((D13510/100)*(C13510*VLOOKUP(B13510,'Poids des runes'!A:B,2,FALSE)))+1)/VLOOKUP(B13510,'Poids des runes'!A:B,2,FALSE))</f>
        <v>20.2</v>
      </c>
      <c r="F13510">
        <f t="shared" si="211"/>
        <v>20.2</v>
      </c>
    </row>
    <row r="13511" spans="1:6" x14ac:dyDescent="0.3">
      <c r="A13511" t="s">
        <v>2100</v>
      </c>
      <c r="B13511" t="s">
        <v>2153</v>
      </c>
      <c r="C13511">
        <v>10</v>
      </c>
      <c r="D13511">
        <v>200</v>
      </c>
      <c r="E13511">
        <f>IF(OR(B13511="vi",B13511="ii",B13511="pod"),(((D13511/100)*(C13511*VLOOKUP(B13511,'Poids des runes'!A:B,2,FALSE)))+1),(((D13511/100)*(C13511*VLOOKUP(B13511,'Poids des runes'!A:B,2,FALSE)))+1)/VLOOKUP(B13511,'Poids des runes'!A:B,2,FALSE))</f>
        <v>20.2</v>
      </c>
      <c r="F13511">
        <f t="shared" si="211"/>
        <v>20.2</v>
      </c>
    </row>
    <row r="13512" spans="1:6" x14ac:dyDescent="0.3">
      <c r="A13512" t="s">
        <v>2100</v>
      </c>
      <c r="B13512" t="s">
        <v>2132</v>
      </c>
      <c r="C13512">
        <v>250.5</v>
      </c>
      <c r="D13512">
        <v>200</v>
      </c>
      <c r="E13512">
        <f>IF(OR(B13512="vi",B13512="ii",B13512="pod"),(((D13512/100)*(C13512*VLOOKUP(B13512,'Poids des runes'!A:B,2,FALSE)))+1),(((D13512/100)*(C13512*VLOOKUP(B13512,'Poids des runes'!A:B,2,FALSE)))+1)/VLOOKUP(B13512,'Poids des runes'!A:B,2,FALSE))</f>
        <v>51.1</v>
      </c>
      <c r="F13512">
        <f t="shared" si="211"/>
        <v>51.1</v>
      </c>
    </row>
    <row r="13513" spans="1:6" x14ac:dyDescent="0.3">
      <c r="A13513" t="s">
        <v>2100</v>
      </c>
      <c r="B13513" t="s">
        <v>2141</v>
      </c>
      <c r="C13513">
        <v>8.5</v>
      </c>
      <c r="D13513">
        <v>200</v>
      </c>
      <c r="E13513">
        <f>IF(OR(B13513="vi",B13513="ii",B13513="pod"),(((D13513/100)*(C13513*VLOOKUP(B13513,'Poids des runes'!A:B,2,FALSE)))+1),(((D13513/100)*(C13513*VLOOKUP(B13513,'Poids des runes'!A:B,2,FALSE)))+1)/VLOOKUP(B13513,'Poids des runes'!A:B,2,FALSE))</f>
        <v>17.25</v>
      </c>
      <c r="F13513">
        <f t="shared" si="211"/>
        <v>17.25</v>
      </c>
    </row>
    <row r="13514" spans="1:6" x14ac:dyDescent="0.3">
      <c r="A13514" t="s">
        <v>2100</v>
      </c>
      <c r="B13514" t="s">
        <v>2160</v>
      </c>
      <c r="C13514">
        <v>6</v>
      </c>
      <c r="D13514">
        <v>200</v>
      </c>
      <c r="E13514">
        <f>IF(OR(B13514="vi",B13514="ii",B13514="pod"),(((D13514/100)*(C13514*VLOOKUP(B13514,'Poids des runes'!A:B,2,FALSE)))+1),(((D13514/100)*(C13514*VLOOKUP(B13514,'Poids des runes'!A:B,2,FALSE)))+1)/VLOOKUP(B13514,'Poids des runes'!A:B,2,FALSE))</f>
        <v>12.142857142857142</v>
      </c>
      <c r="F13514">
        <f t="shared" si="211"/>
        <v>12.142857142857142</v>
      </c>
    </row>
    <row r="13515" spans="1:6" x14ac:dyDescent="0.3">
      <c r="A13515" t="s">
        <v>2100</v>
      </c>
      <c r="B13515" t="s">
        <v>2156</v>
      </c>
      <c r="C13515">
        <v>7</v>
      </c>
      <c r="D13515">
        <v>200</v>
      </c>
      <c r="E13515">
        <f>IF(OR(B13515="vi",B13515="ii",B13515="pod"),(((D13515/100)*(C13515*VLOOKUP(B13515,'Poids des runes'!A:B,2,FALSE)))+1),(((D13515/100)*(C13515*VLOOKUP(B13515,'Poids des runes'!A:B,2,FALSE)))+1)/VLOOKUP(B13515,'Poids des runes'!A:B,2,FALSE))</f>
        <v>14.166666666666666</v>
      </c>
      <c r="F13515">
        <f t="shared" si="211"/>
        <v>14.166666666666666</v>
      </c>
    </row>
    <row r="13516" spans="1:6" x14ac:dyDescent="0.3">
      <c r="A13516" t="s">
        <v>2100</v>
      </c>
      <c r="B13516" t="s">
        <v>2135</v>
      </c>
      <c r="C13516">
        <v>7</v>
      </c>
      <c r="D13516">
        <v>200</v>
      </c>
      <c r="E13516">
        <f>IF(OR(B13516="vi",B13516="ii",B13516="pod"),(((D13516/100)*(C13516*VLOOKUP(B13516,'Poids des runes'!A:B,2,FALSE)))+1),(((D13516/100)*(C13516*VLOOKUP(B13516,'Poids des runes'!A:B,2,FALSE)))+1)/VLOOKUP(B13516,'Poids des runes'!A:B,2,FALSE))</f>
        <v>14.166666666666666</v>
      </c>
      <c r="F13516">
        <f t="shared" si="211"/>
        <v>14.166666666666666</v>
      </c>
    </row>
    <row r="13517" spans="1:6" x14ac:dyDescent="0.3">
      <c r="A13517" t="s">
        <v>2100</v>
      </c>
      <c r="B13517" t="s">
        <v>2157</v>
      </c>
      <c r="C13517">
        <v>7</v>
      </c>
      <c r="D13517">
        <v>200</v>
      </c>
      <c r="E13517">
        <f>IF(OR(B13517="vi",B13517="ii",B13517="pod"),(((D13517/100)*(C13517*VLOOKUP(B13517,'Poids des runes'!A:B,2,FALSE)))+1),(((D13517/100)*(C13517*VLOOKUP(B13517,'Poids des runes'!A:B,2,FALSE)))+1)/VLOOKUP(B13517,'Poids des runes'!A:B,2,FALSE))</f>
        <v>14.166666666666666</v>
      </c>
      <c r="F13517">
        <f t="shared" si="211"/>
        <v>14.166666666666666</v>
      </c>
    </row>
    <row r="13518" spans="1:6" x14ac:dyDescent="0.3">
      <c r="A13518" t="s">
        <v>2101</v>
      </c>
      <c r="B13518" t="s">
        <v>2128</v>
      </c>
      <c r="C13518">
        <v>325.5</v>
      </c>
      <c r="D13518">
        <v>200</v>
      </c>
      <c r="E13518">
        <f>IF(OR(B13518="vi",B13518="ii",B13518="pod"),(((D13518/100)*(C13518*VLOOKUP(B13518,'Poids des runes'!A:B,2,FALSE)))+1),(((D13518/100)*(C13518*VLOOKUP(B13518,'Poids des runes'!A:B,2,FALSE)))+1)/VLOOKUP(B13518,'Poids des runes'!A:B,2,FALSE))</f>
        <v>131.20000000000002</v>
      </c>
      <c r="F13518">
        <f t="shared" si="211"/>
        <v>131.20000000000002</v>
      </c>
    </row>
    <row r="13519" spans="1:6" x14ac:dyDescent="0.3">
      <c r="A13519" t="s">
        <v>2101</v>
      </c>
      <c r="B13519" t="s">
        <v>2126</v>
      </c>
      <c r="C13519">
        <v>50.5</v>
      </c>
      <c r="D13519">
        <v>200</v>
      </c>
      <c r="E13519">
        <f>IF(OR(B13519="vi",B13519="ii",B13519="pod"),(((D13519/100)*(C13519*VLOOKUP(B13519,'Poids des runes'!A:B,2,FALSE)))+1),(((D13519/100)*(C13519*VLOOKUP(B13519,'Poids des runes'!A:B,2,FALSE)))+1)/VLOOKUP(B13519,'Poids des runes'!A:B,2,FALSE))</f>
        <v>102</v>
      </c>
      <c r="F13519">
        <f t="shared" si="211"/>
        <v>102</v>
      </c>
    </row>
    <row r="13520" spans="1:6" x14ac:dyDescent="0.3">
      <c r="A13520" t="s">
        <v>2101</v>
      </c>
      <c r="B13520" t="s">
        <v>2129</v>
      </c>
      <c r="C13520">
        <v>35.5</v>
      </c>
      <c r="D13520">
        <v>200</v>
      </c>
      <c r="E13520">
        <f>IF(OR(B13520="vi",B13520="ii",B13520="pod"),(((D13520/100)*(C13520*VLOOKUP(B13520,'Poids des runes'!A:B,2,FALSE)))+1),(((D13520/100)*(C13520*VLOOKUP(B13520,'Poids des runes'!A:B,2,FALSE)))+1)/VLOOKUP(B13520,'Poids des runes'!A:B,2,FALSE))</f>
        <v>72</v>
      </c>
      <c r="F13520">
        <f t="shared" si="211"/>
        <v>72</v>
      </c>
    </row>
    <row r="13521" spans="1:6" x14ac:dyDescent="0.3">
      <c r="A13521" t="s">
        <v>2101</v>
      </c>
      <c r="B13521" t="s">
        <v>2151</v>
      </c>
      <c r="C13521">
        <v>3.5</v>
      </c>
      <c r="D13521">
        <v>200</v>
      </c>
      <c r="E13521">
        <f>IF(OR(B13521="vi",B13521="ii",B13521="pod"),(((D13521/100)*(C13521*VLOOKUP(B13521,'Poids des runes'!A:B,2,FALSE)))+1),(((D13521/100)*(C13521*VLOOKUP(B13521,'Poids des runes'!A:B,2,FALSE)))+1)/VLOOKUP(B13521,'Poids des runes'!A:B,2,FALSE))</f>
        <v>7.1</v>
      </c>
      <c r="F13521">
        <f t="shared" si="211"/>
        <v>7.1</v>
      </c>
    </row>
    <row r="13522" spans="1:6" x14ac:dyDescent="0.3">
      <c r="A13522" t="s">
        <v>2101</v>
      </c>
      <c r="B13522" t="s">
        <v>2155</v>
      </c>
      <c r="C13522">
        <v>1</v>
      </c>
      <c r="D13522">
        <v>200</v>
      </c>
      <c r="E13522">
        <f>IF(OR(B13522="vi",B13522="ii",B13522="pod"),(((D13522/100)*(C13522*VLOOKUP(B13522,'Poids des runes'!A:B,2,FALSE)))+1),(((D13522/100)*(C13522*VLOOKUP(B13522,'Poids des runes'!A:B,2,FALSE)))+1)/VLOOKUP(B13522,'Poids des runes'!A:B,2,FALSE))</f>
        <v>2.0196078431372548</v>
      </c>
      <c r="F13522">
        <f t="shared" si="211"/>
        <v>2.0196078431372548</v>
      </c>
    </row>
    <row r="13523" spans="1:6" x14ac:dyDescent="0.3">
      <c r="A13523" t="s">
        <v>2101</v>
      </c>
      <c r="B13523" t="s">
        <v>2140</v>
      </c>
      <c r="C13523">
        <v>13</v>
      </c>
      <c r="D13523">
        <v>200</v>
      </c>
      <c r="E13523">
        <f>IF(OR(B13523="vi",B13523="ii",B13523="pod"),(((D13523/100)*(C13523*VLOOKUP(B13523,'Poids des runes'!A:B,2,FALSE)))+1),(((D13523/100)*(C13523*VLOOKUP(B13523,'Poids des runes'!A:B,2,FALSE)))+1)/VLOOKUP(B13523,'Poids des runes'!A:B,2,FALSE))</f>
        <v>26.2</v>
      </c>
      <c r="F13523">
        <f t="shared" si="211"/>
        <v>26.2</v>
      </c>
    </row>
    <row r="13524" spans="1:6" x14ac:dyDescent="0.3">
      <c r="A13524" t="s">
        <v>2101</v>
      </c>
      <c r="B13524" t="s">
        <v>2161</v>
      </c>
      <c r="C13524">
        <v>13</v>
      </c>
      <c r="D13524">
        <v>200</v>
      </c>
      <c r="E13524">
        <f>IF(OR(B13524="vi",B13524="ii",B13524="pod"),(((D13524/100)*(C13524*VLOOKUP(B13524,'Poids des runes'!A:B,2,FALSE)))+1),(((D13524/100)*(C13524*VLOOKUP(B13524,'Poids des runes'!A:B,2,FALSE)))+1)/VLOOKUP(B13524,'Poids des runes'!A:B,2,FALSE))</f>
        <v>26.333333333333332</v>
      </c>
      <c r="F13524">
        <f t="shared" si="211"/>
        <v>26.333333333333332</v>
      </c>
    </row>
    <row r="13525" spans="1:6" x14ac:dyDescent="0.3">
      <c r="A13525" t="s">
        <v>2101</v>
      </c>
      <c r="B13525" t="s">
        <v>2141</v>
      </c>
      <c r="C13525">
        <v>6.5</v>
      </c>
      <c r="D13525">
        <v>200</v>
      </c>
      <c r="E13525">
        <f>IF(OR(B13525="vi",B13525="ii",B13525="pod"),(((D13525/100)*(C13525*VLOOKUP(B13525,'Poids des runes'!A:B,2,FALSE)))+1),(((D13525/100)*(C13525*VLOOKUP(B13525,'Poids des runes'!A:B,2,FALSE)))+1)/VLOOKUP(B13525,'Poids des runes'!A:B,2,FALSE))</f>
        <v>13.25</v>
      </c>
      <c r="F13525">
        <f t="shared" si="211"/>
        <v>13.25</v>
      </c>
    </row>
    <row r="13526" spans="1:6" x14ac:dyDescent="0.3">
      <c r="A13526" t="s">
        <v>2101</v>
      </c>
      <c r="B13526" t="s">
        <v>2159</v>
      </c>
      <c r="C13526">
        <v>6</v>
      </c>
      <c r="D13526">
        <v>200</v>
      </c>
      <c r="E13526">
        <f>IF(OR(B13526="vi",B13526="ii",B13526="pod"),(((D13526/100)*(C13526*VLOOKUP(B13526,'Poids des runes'!A:B,2,FALSE)))+1),(((D13526/100)*(C13526*VLOOKUP(B13526,'Poids des runes'!A:B,2,FALSE)))+1)/VLOOKUP(B13526,'Poids des runes'!A:B,2,FALSE))</f>
        <v>12.142857142857142</v>
      </c>
      <c r="F13526">
        <f t="shared" si="211"/>
        <v>12.142857142857142</v>
      </c>
    </row>
    <row r="13527" spans="1:6" x14ac:dyDescent="0.3">
      <c r="A13527" t="s">
        <v>2101</v>
      </c>
      <c r="B13527" t="s">
        <v>2163</v>
      </c>
      <c r="C13527">
        <v>20.5</v>
      </c>
      <c r="D13527">
        <v>200</v>
      </c>
      <c r="E13527">
        <f>IF(OR(B13527="vi",B13527="ii",B13527="pod"),(((D13527/100)*(C13527*VLOOKUP(B13527,'Poids des runes'!A:B,2,FALSE)))+1),(((D13527/100)*(C13527*VLOOKUP(B13527,'Poids des runes'!A:B,2,FALSE)))+1)/VLOOKUP(B13527,'Poids des runes'!A:B,2,FALSE))</f>
        <v>41.5</v>
      </c>
      <c r="F13527">
        <f t="shared" si="211"/>
        <v>41.5</v>
      </c>
    </row>
    <row r="13528" spans="1:6" x14ac:dyDescent="0.3">
      <c r="A13528" t="s">
        <v>2101</v>
      </c>
      <c r="B13528" t="s">
        <v>2135</v>
      </c>
      <c r="C13528">
        <v>6</v>
      </c>
      <c r="D13528">
        <v>200</v>
      </c>
      <c r="E13528">
        <f>IF(OR(B13528="vi",B13528="ii",B13528="pod"),(((D13528/100)*(C13528*VLOOKUP(B13528,'Poids des runes'!A:B,2,FALSE)))+1),(((D13528/100)*(C13528*VLOOKUP(B13528,'Poids des runes'!A:B,2,FALSE)))+1)/VLOOKUP(B13528,'Poids des runes'!A:B,2,FALSE))</f>
        <v>12.166666666666666</v>
      </c>
      <c r="F13528">
        <f t="shared" si="211"/>
        <v>12.166666666666666</v>
      </c>
    </row>
    <row r="13529" spans="1:6" x14ac:dyDescent="0.3">
      <c r="A13529" t="s">
        <v>2101</v>
      </c>
      <c r="B13529" t="s">
        <v>2157</v>
      </c>
      <c r="C13529">
        <v>6</v>
      </c>
      <c r="D13529">
        <v>200</v>
      </c>
      <c r="E13529">
        <f>IF(OR(B13529="vi",B13529="ii",B13529="pod"),(((D13529/100)*(C13529*VLOOKUP(B13529,'Poids des runes'!A:B,2,FALSE)))+1),(((D13529/100)*(C13529*VLOOKUP(B13529,'Poids des runes'!A:B,2,FALSE)))+1)/VLOOKUP(B13529,'Poids des runes'!A:B,2,FALSE))</f>
        <v>12.166666666666666</v>
      </c>
      <c r="F13529">
        <f t="shared" si="211"/>
        <v>12.166666666666666</v>
      </c>
    </row>
    <row r="13530" spans="1:6" x14ac:dyDescent="0.3">
      <c r="A13530" t="s">
        <v>2102</v>
      </c>
      <c r="B13530" t="s">
        <v>2128</v>
      </c>
      <c r="C13530">
        <v>275.5</v>
      </c>
      <c r="D13530">
        <v>200</v>
      </c>
      <c r="E13530">
        <f>IF(OR(B13530="vi",B13530="ii",B13530="pod"),(((D13530/100)*(C13530*VLOOKUP(B13530,'Poids des runes'!A:B,2,FALSE)))+1),(((D13530/100)*(C13530*VLOOKUP(B13530,'Poids des runes'!A:B,2,FALSE)))+1)/VLOOKUP(B13530,'Poids des runes'!A:B,2,FALSE))</f>
        <v>111.2</v>
      </c>
      <c r="F13530">
        <f t="shared" si="211"/>
        <v>111.2</v>
      </c>
    </row>
    <row r="13531" spans="1:6" x14ac:dyDescent="0.3">
      <c r="A13531" t="s">
        <v>2102</v>
      </c>
      <c r="B13531" t="s">
        <v>2130</v>
      </c>
      <c r="C13531">
        <v>50.5</v>
      </c>
      <c r="D13531">
        <v>200</v>
      </c>
      <c r="E13531">
        <f>IF(OR(B13531="vi",B13531="ii",B13531="pod"),(((D13531/100)*(C13531*VLOOKUP(B13531,'Poids des runes'!A:B,2,FALSE)))+1),(((D13531/100)*(C13531*VLOOKUP(B13531,'Poids des runes'!A:B,2,FALSE)))+1)/VLOOKUP(B13531,'Poids des runes'!A:B,2,FALSE))</f>
        <v>102</v>
      </c>
      <c r="F13531">
        <f t="shared" si="211"/>
        <v>102</v>
      </c>
    </row>
    <row r="13532" spans="1:6" x14ac:dyDescent="0.3">
      <c r="A13532" t="s">
        <v>2102</v>
      </c>
      <c r="B13532" t="s">
        <v>2127</v>
      </c>
      <c r="C13532">
        <v>50.5</v>
      </c>
      <c r="D13532">
        <v>200</v>
      </c>
      <c r="E13532">
        <f>IF(OR(B13532="vi",B13532="ii",B13532="pod"),(((D13532/100)*(C13532*VLOOKUP(B13532,'Poids des runes'!A:B,2,FALSE)))+1),(((D13532/100)*(C13532*VLOOKUP(B13532,'Poids des runes'!A:B,2,FALSE)))+1)/VLOOKUP(B13532,'Poids des runes'!A:B,2,FALSE))</f>
        <v>102</v>
      </c>
      <c r="F13532">
        <f t="shared" si="211"/>
        <v>102</v>
      </c>
    </row>
    <row r="13533" spans="1:6" x14ac:dyDescent="0.3">
      <c r="A13533" t="s">
        <v>2102</v>
      </c>
      <c r="B13533" t="s">
        <v>2129</v>
      </c>
      <c r="C13533">
        <v>40.5</v>
      </c>
      <c r="D13533">
        <v>200</v>
      </c>
      <c r="E13533">
        <f>IF(OR(B13533="vi",B13533="ii",B13533="pod"),(((D13533/100)*(C13533*VLOOKUP(B13533,'Poids des runes'!A:B,2,FALSE)))+1),(((D13533/100)*(C13533*VLOOKUP(B13533,'Poids des runes'!A:B,2,FALSE)))+1)/VLOOKUP(B13533,'Poids des runes'!A:B,2,FALSE))</f>
        <v>82</v>
      </c>
      <c r="F13533">
        <f t="shared" si="211"/>
        <v>82</v>
      </c>
    </row>
    <row r="13534" spans="1:6" x14ac:dyDescent="0.3">
      <c r="A13534" t="s">
        <v>2102</v>
      </c>
      <c r="B13534" t="s">
        <v>2154</v>
      </c>
      <c r="C13534">
        <v>1</v>
      </c>
      <c r="D13534">
        <v>200</v>
      </c>
      <c r="E13534">
        <f>IF(OR(B13534="vi",B13534="ii",B13534="pod"),(((D13534/100)*(C13534*VLOOKUP(B13534,'Poids des runes'!A:B,2,FALSE)))+1),(((D13534/100)*(C13534*VLOOKUP(B13534,'Poids des runes'!A:B,2,FALSE)))+1)/VLOOKUP(B13534,'Poids des runes'!A:B,2,FALSE))</f>
        <v>2.0111111111111111</v>
      </c>
      <c r="F13534">
        <f t="shared" si="211"/>
        <v>2.0111111111111111</v>
      </c>
    </row>
    <row r="13535" spans="1:6" x14ac:dyDescent="0.3">
      <c r="A13535" t="s">
        <v>2102</v>
      </c>
      <c r="B13535" t="s">
        <v>2143</v>
      </c>
      <c r="C13535">
        <v>13</v>
      </c>
      <c r="D13535">
        <v>200</v>
      </c>
      <c r="E13535">
        <f>IF(OR(B13535="vi",B13535="ii",B13535="pod"),(((D13535/100)*(C13535*VLOOKUP(B13535,'Poids des runes'!A:B,2,FALSE)))+1),(((D13535/100)*(C13535*VLOOKUP(B13535,'Poids des runes'!A:B,2,FALSE)))+1)/VLOOKUP(B13535,'Poids des runes'!A:B,2,FALSE))</f>
        <v>26.2</v>
      </c>
      <c r="F13535">
        <f t="shared" si="211"/>
        <v>26.2</v>
      </c>
    </row>
    <row r="13536" spans="1:6" x14ac:dyDescent="0.3">
      <c r="A13536" t="s">
        <v>2102</v>
      </c>
      <c r="B13536" t="s">
        <v>2153</v>
      </c>
      <c r="C13536">
        <v>13</v>
      </c>
      <c r="D13536">
        <v>200</v>
      </c>
      <c r="E13536">
        <f>IF(OR(B13536="vi",B13536="ii",B13536="pod"),(((D13536/100)*(C13536*VLOOKUP(B13536,'Poids des runes'!A:B,2,FALSE)))+1),(((D13536/100)*(C13536*VLOOKUP(B13536,'Poids des runes'!A:B,2,FALSE)))+1)/VLOOKUP(B13536,'Poids des runes'!A:B,2,FALSE))</f>
        <v>26.2</v>
      </c>
      <c r="F13536">
        <f t="shared" si="211"/>
        <v>26.2</v>
      </c>
    </row>
    <row r="13537" spans="1:6" x14ac:dyDescent="0.3">
      <c r="A13537" t="s">
        <v>2102</v>
      </c>
      <c r="B13537" t="s">
        <v>2162</v>
      </c>
      <c r="C13537">
        <v>5</v>
      </c>
      <c r="D13537">
        <v>200</v>
      </c>
      <c r="E13537">
        <f>IF(OR(B13537="vi",B13537="ii",B13537="pod"),(((D13537/100)*(C13537*VLOOKUP(B13537,'Poids des runes'!A:B,2,FALSE)))+1),(((D13537/100)*(C13537*VLOOKUP(B13537,'Poids des runes'!A:B,2,FALSE)))+1)/VLOOKUP(B13537,'Poids des runes'!A:B,2,FALSE))</f>
        <v>10.142857142857142</v>
      </c>
      <c r="F13537">
        <f t="shared" si="211"/>
        <v>10.142857142857142</v>
      </c>
    </row>
    <row r="13538" spans="1:6" x14ac:dyDescent="0.3">
      <c r="A13538" t="s">
        <v>2102</v>
      </c>
      <c r="B13538" t="s">
        <v>2158</v>
      </c>
      <c r="C13538">
        <v>18</v>
      </c>
      <c r="D13538">
        <v>200</v>
      </c>
      <c r="E13538">
        <f>IF(OR(B13538="vi",B13538="ii",B13538="pod"),(((D13538/100)*(C13538*VLOOKUP(B13538,'Poids des runes'!A:B,2,FALSE)))+1),(((D13538/100)*(C13538*VLOOKUP(B13538,'Poids des runes'!A:B,2,FALSE)))+1)/VLOOKUP(B13538,'Poids des runes'!A:B,2,FALSE))</f>
        <v>36.200000000000003</v>
      </c>
      <c r="F13538">
        <f t="shared" si="211"/>
        <v>36.200000000000003</v>
      </c>
    </row>
    <row r="13539" spans="1:6" x14ac:dyDescent="0.3">
      <c r="A13539" t="s">
        <v>2102</v>
      </c>
      <c r="B13539" t="s">
        <v>2147</v>
      </c>
      <c r="C13539">
        <v>8.5</v>
      </c>
      <c r="D13539">
        <v>200</v>
      </c>
      <c r="E13539">
        <f>IF(OR(B13539="vi",B13539="ii",B13539="pod"),(((D13539/100)*(C13539*VLOOKUP(B13539,'Poids des runes'!A:B,2,FALSE)))+1),(((D13539/100)*(C13539*VLOOKUP(B13539,'Poids des runes'!A:B,2,FALSE)))+1)/VLOOKUP(B13539,'Poids des runes'!A:B,2,FALSE))</f>
        <v>17.166666666666668</v>
      </c>
      <c r="F13539">
        <f t="shared" si="211"/>
        <v>17.166666666666668</v>
      </c>
    </row>
    <row r="13540" spans="1:6" x14ac:dyDescent="0.3">
      <c r="A13540" t="s">
        <v>2103</v>
      </c>
      <c r="B13540" t="s">
        <v>2128</v>
      </c>
      <c r="C13540">
        <v>325.5</v>
      </c>
      <c r="D13540">
        <v>200</v>
      </c>
      <c r="E13540">
        <f>IF(OR(B13540="vi",B13540="ii",B13540="pod"),(((D13540/100)*(C13540*VLOOKUP(B13540,'Poids des runes'!A:B,2,FALSE)))+1),(((D13540/100)*(C13540*VLOOKUP(B13540,'Poids des runes'!A:B,2,FALSE)))+1)/VLOOKUP(B13540,'Poids des runes'!A:B,2,FALSE))</f>
        <v>131.20000000000002</v>
      </c>
      <c r="F13540">
        <f t="shared" si="211"/>
        <v>131.20000000000002</v>
      </c>
    </row>
    <row r="13541" spans="1:6" x14ac:dyDescent="0.3">
      <c r="A13541" t="s">
        <v>2103</v>
      </c>
      <c r="B13541" t="s">
        <v>2126</v>
      </c>
      <c r="C13541">
        <v>50.5</v>
      </c>
      <c r="D13541">
        <v>200</v>
      </c>
      <c r="E13541">
        <f>IF(OR(B13541="vi",B13541="ii",B13541="pod"),(((D13541/100)*(C13541*VLOOKUP(B13541,'Poids des runes'!A:B,2,FALSE)))+1),(((D13541/100)*(C13541*VLOOKUP(B13541,'Poids des runes'!A:B,2,FALSE)))+1)/VLOOKUP(B13541,'Poids des runes'!A:B,2,FALSE))</f>
        <v>102</v>
      </c>
      <c r="F13541">
        <f t="shared" si="211"/>
        <v>102</v>
      </c>
    </row>
    <row r="13542" spans="1:6" x14ac:dyDescent="0.3">
      <c r="A13542" t="s">
        <v>2103</v>
      </c>
      <c r="B13542" t="s">
        <v>2131</v>
      </c>
      <c r="C13542">
        <v>50.5</v>
      </c>
      <c r="D13542">
        <v>200</v>
      </c>
      <c r="E13542">
        <f>IF(OR(B13542="vi",B13542="ii",B13542="pod"),(((D13542/100)*(C13542*VLOOKUP(B13542,'Poids des runes'!A:B,2,FALSE)))+1),(((D13542/100)*(C13542*VLOOKUP(B13542,'Poids des runes'!A:B,2,FALSE)))+1)/VLOOKUP(B13542,'Poids des runes'!A:B,2,FALSE))</f>
        <v>102</v>
      </c>
      <c r="F13542">
        <f t="shared" si="211"/>
        <v>102</v>
      </c>
    </row>
    <row r="13543" spans="1:6" x14ac:dyDescent="0.3">
      <c r="A13543" t="s">
        <v>2103</v>
      </c>
      <c r="B13543" t="s">
        <v>2129</v>
      </c>
      <c r="C13543">
        <v>35.5</v>
      </c>
      <c r="D13543">
        <v>200</v>
      </c>
      <c r="E13543">
        <f>IF(OR(B13543="vi",B13543="ii",B13543="pod"),(((D13543/100)*(C13543*VLOOKUP(B13543,'Poids des runes'!A:B,2,FALSE)))+1),(((D13543/100)*(C13543*VLOOKUP(B13543,'Poids des runes'!A:B,2,FALSE)))+1)/VLOOKUP(B13543,'Poids des runes'!A:B,2,FALSE))</f>
        <v>72</v>
      </c>
      <c r="F13543">
        <f t="shared" si="211"/>
        <v>72</v>
      </c>
    </row>
    <row r="13544" spans="1:6" x14ac:dyDescent="0.3">
      <c r="A13544" t="s">
        <v>2103</v>
      </c>
      <c r="B13544" t="s">
        <v>2151</v>
      </c>
      <c r="C13544">
        <v>3.5</v>
      </c>
      <c r="D13544">
        <v>200</v>
      </c>
      <c r="E13544">
        <f>IF(OR(B13544="vi",B13544="ii",B13544="pod"),(((D13544/100)*(C13544*VLOOKUP(B13544,'Poids des runes'!A:B,2,FALSE)))+1),(((D13544/100)*(C13544*VLOOKUP(B13544,'Poids des runes'!A:B,2,FALSE)))+1)/VLOOKUP(B13544,'Poids des runes'!A:B,2,FALSE))</f>
        <v>7.1</v>
      </c>
      <c r="F13544">
        <f t="shared" si="211"/>
        <v>7.1</v>
      </c>
    </row>
    <row r="13545" spans="1:6" x14ac:dyDescent="0.3">
      <c r="A13545" t="s">
        <v>2103</v>
      </c>
      <c r="B13545" t="s">
        <v>2150</v>
      </c>
      <c r="C13545">
        <v>1</v>
      </c>
      <c r="D13545">
        <v>200</v>
      </c>
      <c r="E13545">
        <f>IF(OR(B13545="vi",B13545="ii",B13545="pod"),(((D13545/100)*(C13545*VLOOKUP(B13545,'Poids des runes'!A:B,2,FALSE)))+1),(((D13545/100)*(C13545*VLOOKUP(B13545,'Poids des runes'!A:B,2,FALSE)))+1)/VLOOKUP(B13545,'Poids des runes'!A:B,2,FALSE))</f>
        <v>2.0333333333333332</v>
      </c>
      <c r="F13545">
        <f t="shared" si="211"/>
        <v>2.0333333333333332</v>
      </c>
    </row>
    <row r="13546" spans="1:6" x14ac:dyDescent="0.3">
      <c r="A13546" t="s">
        <v>2103</v>
      </c>
      <c r="B13546" t="s">
        <v>2140</v>
      </c>
      <c r="C13546">
        <v>13</v>
      </c>
      <c r="D13546">
        <v>200</v>
      </c>
      <c r="E13546">
        <f>IF(OR(B13546="vi",B13546="ii",B13546="pod"),(((D13546/100)*(C13546*VLOOKUP(B13546,'Poids des runes'!A:B,2,FALSE)))+1),(((D13546/100)*(C13546*VLOOKUP(B13546,'Poids des runes'!A:B,2,FALSE)))+1)/VLOOKUP(B13546,'Poids des runes'!A:B,2,FALSE))</f>
        <v>26.2</v>
      </c>
      <c r="F13546">
        <f t="shared" si="211"/>
        <v>26.2</v>
      </c>
    </row>
    <row r="13547" spans="1:6" x14ac:dyDescent="0.3">
      <c r="A13547" t="s">
        <v>2103</v>
      </c>
      <c r="B13547" t="s">
        <v>2133</v>
      </c>
      <c r="C13547">
        <v>13</v>
      </c>
      <c r="D13547">
        <v>200</v>
      </c>
      <c r="E13547">
        <f>IF(OR(B13547="vi",B13547="ii",B13547="pod"),(((D13547/100)*(C13547*VLOOKUP(B13547,'Poids des runes'!A:B,2,FALSE)))+1),(((D13547/100)*(C13547*VLOOKUP(B13547,'Poids des runes'!A:B,2,FALSE)))+1)/VLOOKUP(B13547,'Poids des runes'!A:B,2,FALSE))</f>
        <v>26.2</v>
      </c>
      <c r="F13547">
        <f t="shared" si="211"/>
        <v>26.2</v>
      </c>
    </row>
    <row r="13548" spans="1:6" x14ac:dyDescent="0.3">
      <c r="A13548" t="s">
        <v>2103</v>
      </c>
      <c r="B13548" t="s">
        <v>2149</v>
      </c>
      <c r="C13548">
        <v>10.5</v>
      </c>
      <c r="D13548">
        <v>200</v>
      </c>
      <c r="E13548">
        <f>IF(OR(B13548="vi",B13548="ii",B13548="pod"),(((D13548/100)*(C13548*VLOOKUP(B13548,'Poids des runes'!A:B,2,FALSE)))+1),(((D13548/100)*(C13548*VLOOKUP(B13548,'Poids des runes'!A:B,2,FALSE)))+1)/VLOOKUP(B13548,'Poids des runes'!A:B,2,FALSE))</f>
        <v>21.1</v>
      </c>
      <c r="F13548">
        <f t="shared" si="211"/>
        <v>21.1</v>
      </c>
    </row>
    <row r="13549" spans="1:6" x14ac:dyDescent="0.3">
      <c r="A13549" t="s">
        <v>2103</v>
      </c>
      <c r="B13549" t="s">
        <v>2161</v>
      </c>
      <c r="C13549">
        <v>13</v>
      </c>
      <c r="D13549">
        <v>200</v>
      </c>
      <c r="E13549">
        <f>IF(OR(B13549="vi",B13549="ii",B13549="pod"),(((D13549/100)*(C13549*VLOOKUP(B13549,'Poids des runes'!A:B,2,FALSE)))+1),(((D13549/100)*(C13549*VLOOKUP(B13549,'Poids des runes'!A:B,2,FALSE)))+1)/VLOOKUP(B13549,'Poids des runes'!A:B,2,FALSE))</f>
        <v>26.333333333333332</v>
      </c>
      <c r="F13549">
        <f t="shared" si="211"/>
        <v>26.333333333333332</v>
      </c>
    </row>
    <row r="13550" spans="1:6" x14ac:dyDescent="0.3">
      <c r="A13550" t="s">
        <v>2103</v>
      </c>
      <c r="B13550" t="s">
        <v>2165</v>
      </c>
      <c r="C13550">
        <v>13</v>
      </c>
      <c r="D13550">
        <v>200</v>
      </c>
      <c r="E13550">
        <f>IF(OR(B13550="vi",B13550="ii",B13550="pod"),(((D13550/100)*(C13550*VLOOKUP(B13550,'Poids des runes'!A:B,2,FALSE)))+1),(((D13550/100)*(C13550*VLOOKUP(B13550,'Poids des runes'!A:B,2,FALSE)))+1)/VLOOKUP(B13550,'Poids des runes'!A:B,2,FALSE))</f>
        <v>26.142857142857142</v>
      </c>
      <c r="F13550">
        <f t="shared" si="211"/>
        <v>26.142857142857142</v>
      </c>
    </row>
    <row r="13551" spans="1:6" x14ac:dyDescent="0.3">
      <c r="A13551" t="s">
        <v>2103</v>
      </c>
      <c r="B13551" t="s">
        <v>2157</v>
      </c>
      <c r="C13551">
        <v>8.5</v>
      </c>
      <c r="D13551">
        <v>200</v>
      </c>
      <c r="E13551">
        <f>IF(OR(B13551="vi",B13551="ii",B13551="pod"),(((D13551/100)*(C13551*VLOOKUP(B13551,'Poids des runes'!A:B,2,FALSE)))+1),(((D13551/100)*(C13551*VLOOKUP(B13551,'Poids des runes'!A:B,2,FALSE)))+1)/VLOOKUP(B13551,'Poids des runes'!A:B,2,FALSE))</f>
        <v>17.166666666666668</v>
      </c>
      <c r="F13551">
        <f t="shared" si="211"/>
        <v>17.166666666666668</v>
      </c>
    </row>
    <row r="13552" spans="1:6" x14ac:dyDescent="0.3">
      <c r="A13552" t="s">
        <v>2104</v>
      </c>
      <c r="B13552" t="s">
        <v>2128</v>
      </c>
      <c r="C13552">
        <v>325.5</v>
      </c>
      <c r="D13552">
        <v>200</v>
      </c>
      <c r="E13552">
        <f>IF(OR(B13552="vi",B13552="ii",B13552="pod"),(((D13552/100)*(C13552*VLOOKUP(B13552,'Poids des runes'!A:B,2,FALSE)))+1),(((D13552/100)*(C13552*VLOOKUP(B13552,'Poids des runes'!A:B,2,FALSE)))+1)/VLOOKUP(B13552,'Poids des runes'!A:B,2,FALSE))</f>
        <v>131.20000000000002</v>
      </c>
      <c r="F13552">
        <f t="shared" si="211"/>
        <v>131.20000000000002</v>
      </c>
    </row>
    <row r="13553" spans="1:6" x14ac:dyDescent="0.3">
      <c r="A13553" t="s">
        <v>2104</v>
      </c>
      <c r="B13553" t="s">
        <v>2131</v>
      </c>
      <c r="C13553">
        <v>60.5</v>
      </c>
      <c r="D13553">
        <v>200</v>
      </c>
      <c r="E13553">
        <f>IF(OR(B13553="vi",B13553="ii",B13553="pod"),(((D13553/100)*(C13553*VLOOKUP(B13553,'Poids des runes'!A:B,2,FALSE)))+1),(((D13553/100)*(C13553*VLOOKUP(B13553,'Poids des runes'!A:B,2,FALSE)))+1)/VLOOKUP(B13553,'Poids des runes'!A:B,2,FALSE))</f>
        <v>122</v>
      </c>
      <c r="F13553">
        <f t="shared" si="211"/>
        <v>122</v>
      </c>
    </row>
    <row r="13554" spans="1:6" x14ac:dyDescent="0.3">
      <c r="A13554" t="s">
        <v>2104</v>
      </c>
      <c r="B13554" t="s">
        <v>2127</v>
      </c>
      <c r="C13554">
        <v>60.5</v>
      </c>
      <c r="D13554">
        <v>200</v>
      </c>
      <c r="E13554">
        <f>IF(OR(B13554="vi",B13554="ii",B13554="pod"),(((D13554/100)*(C13554*VLOOKUP(B13554,'Poids des runes'!A:B,2,FALSE)))+1),(((D13554/100)*(C13554*VLOOKUP(B13554,'Poids des runes'!A:B,2,FALSE)))+1)/VLOOKUP(B13554,'Poids des runes'!A:B,2,FALSE))</f>
        <v>122</v>
      </c>
      <c r="F13554">
        <f t="shared" si="211"/>
        <v>122</v>
      </c>
    </row>
    <row r="13555" spans="1:6" x14ac:dyDescent="0.3">
      <c r="A13555" t="s">
        <v>2104</v>
      </c>
      <c r="B13555" t="s">
        <v>2129</v>
      </c>
      <c r="C13555">
        <v>35.5</v>
      </c>
      <c r="D13555">
        <v>200</v>
      </c>
      <c r="E13555">
        <f>IF(OR(B13555="vi",B13555="ii",B13555="pod"),(((D13555/100)*(C13555*VLOOKUP(B13555,'Poids des runes'!A:B,2,FALSE)))+1),(((D13555/100)*(C13555*VLOOKUP(B13555,'Poids des runes'!A:B,2,FALSE)))+1)/VLOOKUP(B13555,'Poids des runes'!A:B,2,FALSE))</f>
        <v>72</v>
      </c>
      <c r="F13555">
        <f t="shared" si="211"/>
        <v>72</v>
      </c>
    </row>
    <row r="13556" spans="1:6" x14ac:dyDescent="0.3">
      <c r="A13556" t="s">
        <v>2104</v>
      </c>
      <c r="B13556" t="s">
        <v>2155</v>
      </c>
      <c r="C13556">
        <v>1</v>
      </c>
      <c r="D13556">
        <v>200</v>
      </c>
      <c r="E13556">
        <f>IF(OR(B13556="vi",B13556="ii",B13556="pod"),(((D13556/100)*(C13556*VLOOKUP(B13556,'Poids des runes'!A:B,2,FALSE)))+1),(((D13556/100)*(C13556*VLOOKUP(B13556,'Poids des runes'!A:B,2,FALSE)))+1)/VLOOKUP(B13556,'Poids des runes'!A:B,2,FALSE))</f>
        <v>2.0196078431372548</v>
      </c>
      <c r="F13556">
        <f t="shared" si="211"/>
        <v>2.0196078431372548</v>
      </c>
    </row>
    <row r="13557" spans="1:6" x14ac:dyDescent="0.3">
      <c r="A13557" t="s">
        <v>2104</v>
      </c>
      <c r="B13557" t="s">
        <v>2161</v>
      </c>
      <c r="C13557">
        <v>13</v>
      </c>
      <c r="D13557">
        <v>200</v>
      </c>
      <c r="E13557">
        <f>IF(OR(B13557="vi",B13557="ii",B13557="pod"),(((D13557/100)*(C13557*VLOOKUP(B13557,'Poids des runes'!A:B,2,FALSE)))+1),(((D13557/100)*(C13557*VLOOKUP(B13557,'Poids des runes'!A:B,2,FALSE)))+1)/VLOOKUP(B13557,'Poids des runes'!A:B,2,FALSE))</f>
        <v>26.333333333333332</v>
      </c>
      <c r="F13557">
        <f t="shared" si="211"/>
        <v>26.333333333333332</v>
      </c>
    </row>
    <row r="13558" spans="1:6" x14ac:dyDescent="0.3">
      <c r="A13558" t="s">
        <v>2104</v>
      </c>
      <c r="B13558" t="s">
        <v>2141</v>
      </c>
      <c r="C13558">
        <v>8.5</v>
      </c>
      <c r="D13558">
        <v>200</v>
      </c>
      <c r="E13558">
        <f>IF(OR(B13558="vi",B13558="ii",B13558="pod"),(((D13558/100)*(C13558*VLOOKUP(B13558,'Poids des runes'!A:B,2,FALSE)))+1),(((D13558/100)*(C13558*VLOOKUP(B13558,'Poids des runes'!A:B,2,FALSE)))+1)/VLOOKUP(B13558,'Poids des runes'!A:B,2,FALSE))</f>
        <v>17.25</v>
      </c>
      <c r="F13558">
        <f t="shared" si="211"/>
        <v>17.25</v>
      </c>
    </row>
    <row r="13559" spans="1:6" x14ac:dyDescent="0.3">
      <c r="A13559" t="s">
        <v>2104</v>
      </c>
      <c r="B13559" t="s">
        <v>2159</v>
      </c>
      <c r="C13559">
        <v>6</v>
      </c>
      <c r="D13559">
        <v>200</v>
      </c>
      <c r="E13559">
        <f>IF(OR(B13559="vi",B13559="ii",B13559="pod"),(((D13559/100)*(C13559*VLOOKUP(B13559,'Poids des runes'!A:B,2,FALSE)))+1),(((D13559/100)*(C13559*VLOOKUP(B13559,'Poids des runes'!A:B,2,FALSE)))+1)/VLOOKUP(B13559,'Poids des runes'!A:B,2,FALSE))</f>
        <v>12.142857142857142</v>
      </c>
      <c r="F13559">
        <f t="shared" si="211"/>
        <v>12.142857142857142</v>
      </c>
    </row>
    <row r="13560" spans="1:6" x14ac:dyDescent="0.3">
      <c r="A13560" t="s">
        <v>2104</v>
      </c>
      <c r="B13560" t="s">
        <v>2163</v>
      </c>
      <c r="C13560">
        <v>13</v>
      </c>
      <c r="D13560">
        <v>200</v>
      </c>
      <c r="E13560">
        <f>IF(OR(B13560="vi",B13560="ii",B13560="pod"),(((D13560/100)*(C13560*VLOOKUP(B13560,'Poids des runes'!A:B,2,FALSE)))+1),(((D13560/100)*(C13560*VLOOKUP(B13560,'Poids des runes'!A:B,2,FALSE)))+1)/VLOOKUP(B13560,'Poids des runes'!A:B,2,FALSE))</f>
        <v>26.5</v>
      </c>
      <c r="F13560">
        <f t="shared" si="211"/>
        <v>26.5</v>
      </c>
    </row>
    <row r="13561" spans="1:6" x14ac:dyDescent="0.3">
      <c r="A13561" t="s">
        <v>2104</v>
      </c>
      <c r="B13561" t="s">
        <v>2148</v>
      </c>
      <c r="C13561">
        <v>8.5</v>
      </c>
      <c r="D13561">
        <v>200</v>
      </c>
      <c r="E13561">
        <f>IF(OR(B13561="vi",B13561="ii",B13561="pod"),(((D13561/100)*(C13561*VLOOKUP(B13561,'Poids des runes'!A:B,2,FALSE)))+1),(((D13561/100)*(C13561*VLOOKUP(B13561,'Poids des runes'!A:B,2,FALSE)))+1)/VLOOKUP(B13561,'Poids des runes'!A:B,2,FALSE))</f>
        <v>17.166666666666668</v>
      </c>
      <c r="F13561">
        <f t="shared" si="211"/>
        <v>17.166666666666668</v>
      </c>
    </row>
    <row r="13562" spans="1:6" x14ac:dyDescent="0.3">
      <c r="A13562" t="s">
        <v>2105</v>
      </c>
      <c r="B13562" t="s">
        <v>2128</v>
      </c>
      <c r="C13562">
        <v>325.5</v>
      </c>
      <c r="D13562">
        <v>200</v>
      </c>
      <c r="E13562">
        <f>IF(OR(B13562="vi",B13562="ii",B13562="pod"),(((D13562/100)*(C13562*VLOOKUP(B13562,'Poids des runes'!A:B,2,FALSE)))+1),(((D13562/100)*(C13562*VLOOKUP(B13562,'Poids des runes'!A:B,2,FALSE)))+1)/VLOOKUP(B13562,'Poids des runes'!A:B,2,FALSE))</f>
        <v>131.20000000000002</v>
      </c>
      <c r="F13562">
        <f t="shared" si="211"/>
        <v>131.20000000000002</v>
      </c>
    </row>
    <row r="13563" spans="1:6" x14ac:dyDescent="0.3">
      <c r="A13563" t="s">
        <v>2105</v>
      </c>
      <c r="B13563" t="s">
        <v>2130</v>
      </c>
      <c r="C13563">
        <v>40.5</v>
      </c>
      <c r="D13563">
        <v>200</v>
      </c>
      <c r="E13563">
        <f>IF(OR(B13563="vi",B13563="ii",B13563="pod"),(((D13563/100)*(C13563*VLOOKUP(B13563,'Poids des runes'!A:B,2,FALSE)))+1),(((D13563/100)*(C13563*VLOOKUP(B13563,'Poids des runes'!A:B,2,FALSE)))+1)/VLOOKUP(B13563,'Poids des runes'!A:B,2,FALSE))</f>
        <v>82</v>
      </c>
      <c r="F13563">
        <f t="shared" si="211"/>
        <v>82</v>
      </c>
    </row>
    <row r="13564" spans="1:6" x14ac:dyDescent="0.3">
      <c r="A13564" t="s">
        <v>2105</v>
      </c>
      <c r="B13564" t="s">
        <v>2127</v>
      </c>
      <c r="C13564">
        <v>40.5</v>
      </c>
      <c r="D13564">
        <v>200</v>
      </c>
      <c r="E13564">
        <f>IF(OR(B13564="vi",B13564="ii",B13564="pod"),(((D13564/100)*(C13564*VLOOKUP(B13564,'Poids des runes'!A:B,2,FALSE)))+1),(((D13564/100)*(C13564*VLOOKUP(B13564,'Poids des runes'!A:B,2,FALSE)))+1)/VLOOKUP(B13564,'Poids des runes'!A:B,2,FALSE))</f>
        <v>82</v>
      </c>
      <c r="F13564">
        <f t="shared" si="211"/>
        <v>82</v>
      </c>
    </row>
    <row r="13565" spans="1:6" x14ac:dyDescent="0.3">
      <c r="A13565" t="s">
        <v>2105</v>
      </c>
      <c r="B13565" t="s">
        <v>2129</v>
      </c>
      <c r="C13565">
        <v>35.5</v>
      </c>
      <c r="D13565">
        <v>200</v>
      </c>
      <c r="E13565">
        <f>IF(OR(B13565="vi",B13565="ii",B13565="pod"),(((D13565/100)*(C13565*VLOOKUP(B13565,'Poids des runes'!A:B,2,FALSE)))+1),(((D13565/100)*(C13565*VLOOKUP(B13565,'Poids des runes'!A:B,2,FALSE)))+1)/VLOOKUP(B13565,'Poids des runes'!A:B,2,FALSE))</f>
        <v>72</v>
      </c>
      <c r="F13565">
        <f t="shared" si="211"/>
        <v>72</v>
      </c>
    </row>
    <row r="13566" spans="1:6" x14ac:dyDescent="0.3">
      <c r="A13566" t="s">
        <v>2105</v>
      </c>
      <c r="B13566" t="s">
        <v>2151</v>
      </c>
      <c r="C13566">
        <v>4</v>
      </c>
      <c r="D13566">
        <v>200</v>
      </c>
      <c r="E13566">
        <f>IF(OR(B13566="vi",B13566="ii",B13566="pod"),(((D13566/100)*(C13566*VLOOKUP(B13566,'Poids des runes'!A:B,2,FALSE)))+1),(((D13566/100)*(C13566*VLOOKUP(B13566,'Poids des runes'!A:B,2,FALSE)))+1)/VLOOKUP(B13566,'Poids des runes'!A:B,2,FALSE))</f>
        <v>8.1</v>
      </c>
      <c r="F13566">
        <f t="shared" si="211"/>
        <v>8.1</v>
      </c>
    </row>
    <row r="13567" spans="1:6" x14ac:dyDescent="0.3">
      <c r="A13567" t="s">
        <v>2105</v>
      </c>
      <c r="B13567" t="s">
        <v>2155</v>
      </c>
      <c r="C13567">
        <v>1</v>
      </c>
      <c r="D13567">
        <v>200</v>
      </c>
      <c r="E13567">
        <f>IF(OR(B13567="vi",B13567="ii",B13567="pod"),(((D13567/100)*(C13567*VLOOKUP(B13567,'Poids des runes'!A:B,2,FALSE)))+1),(((D13567/100)*(C13567*VLOOKUP(B13567,'Poids des runes'!A:B,2,FALSE)))+1)/VLOOKUP(B13567,'Poids des runes'!A:B,2,FALSE))</f>
        <v>2.0196078431372548</v>
      </c>
      <c r="F13567">
        <f t="shared" si="211"/>
        <v>2.0196078431372548</v>
      </c>
    </row>
    <row r="13568" spans="1:6" x14ac:dyDescent="0.3">
      <c r="A13568" t="s">
        <v>2105</v>
      </c>
      <c r="B13568" t="s">
        <v>2143</v>
      </c>
      <c r="C13568">
        <v>10.5</v>
      </c>
      <c r="D13568">
        <v>200</v>
      </c>
      <c r="E13568">
        <f>IF(OR(B13568="vi",B13568="ii",B13568="pod"),(((D13568/100)*(C13568*VLOOKUP(B13568,'Poids des runes'!A:B,2,FALSE)))+1),(((D13568/100)*(C13568*VLOOKUP(B13568,'Poids des runes'!A:B,2,FALSE)))+1)/VLOOKUP(B13568,'Poids des runes'!A:B,2,FALSE))</f>
        <v>21.2</v>
      </c>
      <c r="F13568">
        <f t="shared" si="211"/>
        <v>21.2</v>
      </c>
    </row>
    <row r="13569" spans="1:6" x14ac:dyDescent="0.3">
      <c r="A13569" t="s">
        <v>2105</v>
      </c>
      <c r="B13569" t="s">
        <v>2153</v>
      </c>
      <c r="C13569">
        <v>10.5</v>
      </c>
      <c r="D13569">
        <v>200</v>
      </c>
      <c r="E13569">
        <f>IF(OR(B13569="vi",B13569="ii",B13569="pod"),(((D13569/100)*(C13569*VLOOKUP(B13569,'Poids des runes'!A:B,2,FALSE)))+1),(((D13569/100)*(C13569*VLOOKUP(B13569,'Poids des runes'!A:B,2,FALSE)))+1)/VLOOKUP(B13569,'Poids des runes'!A:B,2,FALSE))</f>
        <v>21.2</v>
      </c>
      <c r="F13569">
        <f t="shared" si="211"/>
        <v>21.2</v>
      </c>
    </row>
    <row r="13570" spans="1:6" x14ac:dyDescent="0.3">
      <c r="A13570" t="s">
        <v>2105</v>
      </c>
      <c r="B13570" t="s">
        <v>2132</v>
      </c>
      <c r="C13570">
        <v>300.5</v>
      </c>
      <c r="D13570">
        <v>200</v>
      </c>
      <c r="E13570">
        <f>IF(OR(B13570="vi",B13570="ii",B13570="pod"),(((D13570/100)*(C13570*VLOOKUP(B13570,'Poids des runes'!A:B,2,FALSE)))+1),(((D13570/100)*(C13570*VLOOKUP(B13570,'Poids des runes'!A:B,2,FALSE)))+1)/VLOOKUP(B13570,'Poids des runes'!A:B,2,FALSE))</f>
        <v>61.1</v>
      </c>
      <c r="F13570">
        <f t="shared" si="211"/>
        <v>61.1</v>
      </c>
    </row>
    <row r="13571" spans="1:6" x14ac:dyDescent="0.3">
      <c r="A13571" t="s">
        <v>2105</v>
      </c>
      <c r="B13571" t="s">
        <v>2141</v>
      </c>
      <c r="C13571">
        <v>4</v>
      </c>
      <c r="D13571">
        <v>200</v>
      </c>
      <c r="E13571">
        <f>IF(OR(B13571="vi",B13571="ii",B13571="pod"),(((D13571/100)*(C13571*VLOOKUP(B13571,'Poids des runes'!A:B,2,FALSE)))+1),(((D13571/100)*(C13571*VLOOKUP(B13571,'Poids des runes'!A:B,2,FALSE)))+1)/VLOOKUP(B13571,'Poids des runes'!A:B,2,FALSE))</f>
        <v>8.25</v>
      </c>
      <c r="F13571">
        <f t="shared" ref="F13571:F13634" si="212">E13571</f>
        <v>8.25</v>
      </c>
    </row>
    <row r="13572" spans="1:6" x14ac:dyDescent="0.3">
      <c r="A13572" t="s">
        <v>2105</v>
      </c>
      <c r="B13572" t="s">
        <v>2147</v>
      </c>
      <c r="C13572">
        <v>6.5</v>
      </c>
      <c r="D13572">
        <v>200</v>
      </c>
      <c r="E13572">
        <f>IF(OR(B13572="vi",B13572="ii",B13572="pod"),(((D13572/100)*(C13572*VLOOKUP(B13572,'Poids des runes'!A:B,2,FALSE)))+1),(((D13572/100)*(C13572*VLOOKUP(B13572,'Poids des runes'!A:B,2,FALSE)))+1)/VLOOKUP(B13572,'Poids des runes'!A:B,2,FALSE))</f>
        <v>13.166666666666666</v>
      </c>
      <c r="F13572">
        <f t="shared" si="212"/>
        <v>13.166666666666666</v>
      </c>
    </row>
    <row r="13573" spans="1:6" x14ac:dyDescent="0.3">
      <c r="A13573" t="s">
        <v>2105</v>
      </c>
      <c r="B13573" t="s">
        <v>2157</v>
      </c>
      <c r="C13573">
        <v>6.5</v>
      </c>
      <c r="D13573">
        <v>200</v>
      </c>
      <c r="E13573">
        <f>IF(OR(B13573="vi",B13573="ii",B13573="pod"),(((D13573/100)*(C13573*VLOOKUP(B13573,'Poids des runes'!A:B,2,FALSE)))+1),(((D13573/100)*(C13573*VLOOKUP(B13573,'Poids des runes'!A:B,2,FALSE)))+1)/VLOOKUP(B13573,'Poids des runes'!A:B,2,FALSE))</f>
        <v>13.166666666666666</v>
      </c>
      <c r="F13573">
        <f t="shared" si="212"/>
        <v>13.166666666666666</v>
      </c>
    </row>
    <row r="13574" spans="1:6" x14ac:dyDescent="0.3">
      <c r="A13574" t="s">
        <v>2106</v>
      </c>
      <c r="B13574" t="s">
        <v>2128</v>
      </c>
      <c r="C13574">
        <v>325.5</v>
      </c>
      <c r="D13574">
        <v>200</v>
      </c>
      <c r="E13574">
        <f>IF(OR(B13574="vi",B13574="ii",B13574="pod"),(((D13574/100)*(C13574*VLOOKUP(B13574,'Poids des runes'!A:B,2,FALSE)))+1),(((D13574/100)*(C13574*VLOOKUP(B13574,'Poids des runes'!A:B,2,FALSE)))+1)/VLOOKUP(B13574,'Poids des runes'!A:B,2,FALSE))</f>
        <v>131.20000000000002</v>
      </c>
      <c r="F13574">
        <f t="shared" si="212"/>
        <v>131.20000000000002</v>
      </c>
    </row>
    <row r="13575" spans="1:6" x14ac:dyDescent="0.3">
      <c r="A13575" t="s">
        <v>2106</v>
      </c>
      <c r="B13575" t="s">
        <v>2130</v>
      </c>
      <c r="C13575">
        <v>70.5</v>
      </c>
      <c r="D13575">
        <v>200</v>
      </c>
      <c r="E13575">
        <f>IF(OR(B13575="vi",B13575="ii",B13575="pod"),(((D13575/100)*(C13575*VLOOKUP(B13575,'Poids des runes'!A:B,2,FALSE)))+1),(((D13575/100)*(C13575*VLOOKUP(B13575,'Poids des runes'!A:B,2,FALSE)))+1)/VLOOKUP(B13575,'Poids des runes'!A:B,2,FALSE))</f>
        <v>142</v>
      </c>
      <c r="F13575">
        <f t="shared" si="212"/>
        <v>142</v>
      </c>
    </row>
    <row r="13576" spans="1:6" x14ac:dyDescent="0.3">
      <c r="A13576" t="s">
        <v>2106</v>
      </c>
      <c r="B13576" t="s">
        <v>2129</v>
      </c>
      <c r="C13576">
        <v>35.5</v>
      </c>
      <c r="D13576">
        <v>200</v>
      </c>
      <c r="E13576">
        <f>IF(OR(B13576="vi",B13576="ii",B13576="pod"),(((D13576/100)*(C13576*VLOOKUP(B13576,'Poids des runes'!A:B,2,FALSE)))+1),(((D13576/100)*(C13576*VLOOKUP(B13576,'Poids des runes'!A:B,2,FALSE)))+1)/VLOOKUP(B13576,'Poids des runes'!A:B,2,FALSE))</f>
        <v>72</v>
      </c>
      <c r="F13576">
        <f t="shared" si="212"/>
        <v>72</v>
      </c>
    </row>
    <row r="13577" spans="1:6" x14ac:dyDescent="0.3">
      <c r="A13577" t="s">
        <v>2106</v>
      </c>
      <c r="B13577" t="s">
        <v>2143</v>
      </c>
      <c r="C13577">
        <v>13</v>
      </c>
      <c r="D13577">
        <v>200</v>
      </c>
      <c r="E13577">
        <f>IF(OR(B13577="vi",B13577="ii",B13577="pod"),(((D13577/100)*(C13577*VLOOKUP(B13577,'Poids des runes'!A:B,2,FALSE)))+1),(((D13577/100)*(C13577*VLOOKUP(B13577,'Poids des runes'!A:B,2,FALSE)))+1)/VLOOKUP(B13577,'Poids des runes'!A:B,2,FALSE))</f>
        <v>26.2</v>
      </c>
      <c r="F13577">
        <f t="shared" si="212"/>
        <v>26.2</v>
      </c>
    </row>
    <row r="13578" spans="1:6" x14ac:dyDescent="0.3">
      <c r="A13578" t="s">
        <v>2106</v>
      </c>
      <c r="B13578" t="s">
        <v>2138</v>
      </c>
      <c r="C13578">
        <v>6.5</v>
      </c>
      <c r="D13578">
        <v>200</v>
      </c>
      <c r="E13578">
        <f>IF(OR(B13578="vi",B13578="ii",B13578="pod"),(((D13578/100)*(C13578*VLOOKUP(B13578,'Poids des runes'!A:B,2,FALSE)))+1),(((D13578/100)*(C13578*VLOOKUP(B13578,'Poids des runes'!A:B,2,FALSE)))+1)/VLOOKUP(B13578,'Poids des runes'!A:B,2,FALSE))</f>
        <v>13.25</v>
      </c>
      <c r="F13578">
        <f t="shared" si="212"/>
        <v>13.25</v>
      </c>
    </row>
    <row r="13579" spans="1:6" x14ac:dyDescent="0.3">
      <c r="A13579" t="s">
        <v>2106</v>
      </c>
      <c r="B13579" t="s">
        <v>2163</v>
      </c>
      <c r="C13579">
        <v>25.5</v>
      </c>
      <c r="D13579">
        <v>200</v>
      </c>
      <c r="E13579">
        <f>IF(OR(B13579="vi",B13579="ii",B13579="pod"),(((D13579/100)*(C13579*VLOOKUP(B13579,'Poids des runes'!A:B,2,FALSE)))+1),(((D13579/100)*(C13579*VLOOKUP(B13579,'Poids des runes'!A:B,2,FALSE)))+1)/VLOOKUP(B13579,'Poids des runes'!A:B,2,FALSE))</f>
        <v>51.5</v>
      </c>
      <c r="F13579">
        <f t="shared" si="212"/>
        <v>51.5</v>
      </c>
    </row>
    <row r="13580" spans="1:6" x14ac:dyDescent="0.3">
      <c r="A13580" t="s">
        <v>2106</v>
      </c>
      <c r="B13580" t="s">
        <v>2135</v>
      </c>
      <c r="C13580">
        <v>8.5</v>
      </c>
      <c r="D13580">
        <v>200</v>
      </c>
      <c r="E13580">
        <f>IF(OR(B13580="vi",B13580="ii",B13580="pod"),(((D13580/100)*(C13580*VLOOKUP(B13580,'Poids des runes'!A:B,2,FALSE)))+1),(((D13580/100)*(C13580*VLOOKUP(B13580,'Poids des runes'!A:B,2,FALSE)))+1)/VLOOKUP(B13580,'Poids des runes'!A:B,2,FALSE))</f>
        <v>17.166666666666668</v>
      </c>
      <c r="F13580">
        <f t="shared" si="212"/>
        <v>17.166666666666668</v>
      </c>
    </row>
    <row r="13581" spans="1:6" x14ac:dyDescent="0.3">
      <c r="A13581" t="s">
        <v>2107</v>
      </c>
      <c r="B13581" t="s">
        <v>2128</v>
      </c>
      <c r="C13581">
        <v>350.5</v>
      </c>
      <c r="D13581">
        <v>200</v>
      </c>
      <c r="E13581">
        <f>IF(OR(B13581="vi",B13581="ii",B13581="pod"),(((D13581/100)*(C13581*VLOOKUP(B13581,'Poids des runes'!A:B,2,FALSE)))+1),(((D13581/100)*(C13581*VLOOKUP(B13581,'Poids des runes'!A:B,2,FALSE)))+1)/VLOOKUP(B13581,'Poids des runes'!A:B,2,FALSE))</f>
        <v>141.20000000000002</v>
      </c>
      <c r="F13581">
        <f t="shared" si="212"/>
        <v>141.20000000000002</v>
      </c>
    </row>
    <row r="13582" spans="1:6" x14ac:dyDescent="0.3">
      <c r="A13582" t="s">
        <v>2107</v>
      </c>
      <c r="B13582" t="s">
        <v>2126</v>
      </c>
      <c r="C13582">
        <v>70.5</v>
      </c>
      <c r="D13582">
        <v>200</v>
      </c>
      <c r="E13582">
        <f>IF(OR(B13582="vi",B13582="ii",B13582="pod"),(((D13582/100)*(C13582*VLOOKUP(B13582,'Poids des runes'!A:B,2,FALSE)))+1),(((D13582/100)*(C13582*VLOOKUP(B13582,'Poids des runes'!A:B,2,FALSE)))+1)/VLOOKUP(B13582,'Poids des runes'!A:B,2,FALSE))</f>
        <v>142</v>
      </c>
      <c r="F13582">
        <f t="shared" si="212"/>
        <v>142</v>
      </c>
    </row>
    <row r="13583" spans="1:6" x14ac:dyDescent="0.3">
      <c r="A13583" t="s">
        <v>2107</v>
      </c>
      <c r="B13583" t="s">
        <v>2129</v>
      </c>
      <c r="C13583">
        <v>40.5</v>
      </c>
      <c r="D13583">
        <v>200</v>
      </c>
      <c r="E13583">
        <f>IF(OR(B13583="vi",B13583="ii",B13583="pod"),(((D13583/100)*(C13583*VLOOKUP(B13583,'Poids des runes'!A:B,2,FALSE)))+1),(((D13583/100)*(C13583*VLOOKUP(B13583,'Poids des runes'!A:B,2,FALSE)))+1)/VLOOKUP(B13583,'Poids des runes'!A:B,2,FALSE))</f>
        <v>82</v>
      </c>
      <c r="F13583">
        <f t="shared" si="212"/>
        <v>82</v>
      </c>
    </row>
    <row r="13584" spans="1:6" x14ac:dyDescent="0.3">
      <c r="A13584" t="s">
        <v>2107</v>
      </c>
      <c r="B13584" t="s">
        <v>2151</v>
      </c>
      <c r="C13584">
        <v>2.5</v>
      </c>
      <c r="D13584">
        <v>200</v>
      </c>
      <c r="E13584">
        <f>IF(OR(B13584="vi",B13584="ii",B13584="pod"),(((D13584/100)*(C13584*VLOOKUP(B13584,'Poids des runes'!A:B,2,FALSE)))+1),(((D13584/100)*(C13584*VLOOKUP(B13584,'Poids des runes'!A:B,2,FALSE)))+1)/VLOOKUP(B13584,'Poids des runes'!A:B,2,FALSE))</f>
        <v>5.0999999999999996</v>
      </c>
      <c r="F13584">
        <f t="shared" si="212"/>
        <v>5.0999999999999996</v>
      </c>
    </row>
    <row r="13585" spans="1:6" x14ac:dyDescent="0.3">
      <c r="A13585" t="s">
        <v>2107</v>
      </c>
      <c r="B13585" t="s">
        <v>2140</v>
      </c>
      <c r="C13585">
        <v>7</v>
      </c>
      <c r="D13585">
        <v>200</v>
      </c>
      <c r="E13585">
        <f>IF(OR(B13585="vi",B13585="ii",B13585="pod"),(((D13585/100)*(C13585*VLOOKUP(B13585,'Poids des runes'!A:B,2,FALSE)))+1),(((D13585/100)*(C13585*VLOOKUP(B13585,'Poids des runes'!A:B,2,FALSE)))+1)/VLOOKUP(B13585,'Poids des runes'!A:B,2,FALSE))</f>
        <v>14.2</v>
      </c>
      <c r="F13585">
        <f t="shared" si="212"/>
        <v>14.2</v>
      </c>
    </row>
    <row r="13586" spans="1:6" x14ac:dyDescent="0.3">
      <c r="A13586" t="s">
        <v>2107</v>
      </c>
      <c r="B13586" t="s">
        <v>2149</v>
      </c>
      <c r="C13586">
        <v>13</v>
      </c>
      <c r="D13586">
        <v>200</v>
      </c>
      <c r="E13586">
        <f>IF(OR(B13586="vi",B13586="ii",B13586="pod"),(((D13586/100)*(C13586*VLOOKUP(B13586,'Poids des runes'!A:B,2,FALSE)))+1),(((D13586/100)*(C13586*VLOOKUP(B13586,'Poids des runes'!A:B,2,FALSE)))+1)/VLOOKUP(B13586,'Poids des runes'!A:B,2,FALSE))</f>
        <v>26.1</v>
      </c>
      <c r="F13586">
        <f t="shared" si="212"/>
        <v>26.1</v>
      </c>
    </row>
    <row r="13587" spans="1:6" x14ac:dyDescent="0.3">
      <c r="A13587" t="s">
        <v>2107</v>
      </c>
      <c r="B13587" t="s">
        <v>2138</v>
      </c>
      <c r="C13587">
        <v>13</v>
      </c>
      <c r="D13587">
        <v>200</v>
      </c>
      <c r="E13587">
        <f>IF(OR(B13587="vi",B13587="ii",B13587="pod"),(((D13587/100)*(C13587*VLOOKUP(B13587,'Poids des runes'!A:B,2,FALSE)))+1),(((D13587/100)*(C13587*VLOOKUP(B13587,'Poids des runes'!A:B,2,FALSE)))+1)/VLOOKUP(B13587,'Poids des runes'!A:B,2,FALSE))</f>
        <v>26.25</v>
      </c>
      <c r="F13587">
        <f t="shared" si="212"/>
        <v>26.25</v>
      </c>
    </row>
    <row r="13588" spans="1:6" x14ac:dyDescent="0.3">
      <c r="A13588" t="s">
        <v>2107</v>
      </c>
      <c r="B13588" t="s">
        <v>2156</v>
      </c>
      <c r="C13588">
        <v>6</v>
      </c>
      <c r="D13588">
        <v>200</v>
      </c>
      <c r="E13588">
        <f>IF(OR(B13588="vi",B13588="ii",B13588="pod"),(((D13588/100)*(C13588*VLOOKUP(B13588,'Poids des runes'!A:B,2,FALSE)))+1),(((D13588/100)*(C13588*VLOOKUP(B13588,'Poids des runes'!A:B,2,FALSE)))+1)/VLOOKUP(B13588,'Poids des runes'!A:B,2,FALSE))</f>
        <v>12.166666666666666</v>
      </c>
      <c r="F13588">
        <f t="shared" si="212"/>
        <v>12.166666666666666</v>
      </c>
    </row>
    <row r="13589" spans="1:6" x14ac:dyDescent="0.3">
      <c r="A13589" t="s">
        <v>2107</v>
      </c>
      <c r="B13589" t="s">
        <v>2135</v>
      </c>
      <c r="C13589">
        <v>4</v>
      </c>
      <c r="D13589">
        <v>200</v>
      </c>
      <c r="E13589">
        <f>IF(OR(B13589="vi",B13589="ii",B13589="pod"),(((D13589/100)*(C13589*VLOOKUP(B13589,'Poids des runes'!A:B,2,FALSE)))+1),(((D13589/100)*(C13589*VLOOKUP(B13589,'Poids des runes'!A:B,2,FALSE)))+1)/VLOOKUP(B13589,'Poids des runes'!A:B,2,FALSE))</f>
        <v>8.1666666666666661</v>
      </c>
      <c r="F13589">
        <f t="shared" si="212"/>
        <v>8.1666666666666661</v>
      </c>
    </row>
    <row r="13590" spans="1:6" x14ac:dyDescent="0.3">
      <c r="A13590" t="s">
        <v>2108</v>
      </c>
      <c r="B13590" t="s">
        <v>2128</v>
      </c>
      <c r="C13590">
        <v>375.5</v>
      </c>
      <c r="D13590">
        <v>200</v>
      </c>
      <c r="E13590">
        <f>IF(OR(B13590="vi",B13590="ii",B13590="pod"),(((D13590/100)*(C13590*VLOOKUP(B13590,'Poids des runes'!A:B,2,FALSE)))+1),(((D13590/100)*(C13590*VLOOKUP(B13590,'Poids des runes'!A:B,2,FALSE)))+1)/VLOOKUP(B13590,'Poids des runes'!A:B,2,FALSE))</f>
        <v>151.20000000000002</v>
      </c>
      <c r="F13590">
        <f t="shared" si="212"/>
        <v>151.20000000000002</v>
      </c>
    </row>
    <row r="13591" spans="1:6" x14ac:dyDescent="0.3">
      <c r="A13591" t="s">
        <v>2108</v>
      </c>
      <c r="B13591" t="s">
        <v>2131</v>
      </c>
      <c r="C13591">
        <v>70.5</v>
      </c>
      <c r="D13591">
        <v>200</v>
      </c>
      <c r="E13591">
        <f>IF(OR(B13591="vi",B13591="ii",B13591="pod"),(((D13591/100)*(C13591*VLOOKUP(B13591,'Poids des runes'!A:B,2,FALSE)))+1),(((D13591/100)*(C13591*VLOOKUP(B13591,'Poids des runes'!A:B,2,FALSE)))+1)/VLOOKUP(B13591,'Poids des runes'!A:B,2,FALSE))</f>
        <v>142</v>
      </c>
      <c r="F13591">
        <f t="shared" si="212"/>
        <v>142</v>
      </c>
    </row>
    <row r="13592" spans="1:6" x14ac:dyDescent="0.3">
      <c r="A13592" t="s">
        <v>2108</v>
      </c>
      <c r="B13592" t="s">
        <v>2129</v>
      </c>
      <c r="C13592">
        <v>40.5</v>
      </c>
      <c r="D13592">
        <v>200</v>
      </c>
      <c r="E13592">
        <f>IF(OR(B13592="vi",B13592="ii",B13592="pod"),(((D13592/100)*(C13592*VLOOKUP(B13592,'Poids des runes'!A:B,2,FALSE)))+1),(((D13592/100)*(C13592*VLOOKUP(B13592,'Poids des runes'!A:B,2,FALSE)))+1)/VLOOKUP(B13592,'Poids des runes'!A:B,2,FALSE))</f>
        <v>82</v>
      </c>
      <c r="F13592">
        <f t="shared" si="212"/>
        <v>82</v>
      </c>
    </row>
    <row r="13593" spans="1:6" x14ac:dyDescent="0.3">
      <c r="A13593" t="s">
        <v>2108</v>
      </c>
      <c r="B13593" t="s">
        <v>2151</v>
      </c>
      <c r="C13593">
        <v>2.5</v>
      </c>
      <c r="D13593">
        <v>200</v>
      </c>
      <c r="E13593">
        <f>IF(OR(B13593="vi",B13593="ii",B13593="pod"),(((D13593/100)*(C13593*VLOOKUP(B13593,'Poids des runes'!A:B,2,FALSE)))+1),(((D13593/100)*(C13593*VLOOKUP(B13593,'Poids des runes'!A:B,2,FALSE)))+1)/VLOOKUP(B13593,'Poids des runes'!A:B,2,FALSE))</f>
        <v>5.0999999999999996</v>
      </c>
      <c r="F13593">
        <f t="shared" si="212"/>
        <v>5.0999999999999996</v>
      </c>
    </row>
    <row r="13594" spans="1:6" x14ac:dyDescent="0.3">
      <c r="A13594" t="s">
        <v>2108</v>
      </c>
      <c r="B13594" t="s">
        <v>2150</v>
      </c>
      <c r="C13594">
        <v>1</v>
      </c>
      <c r="D13594">
        <v>200</v>
      </c>
      <c r="E13594">
        <f>IF(OR(B13594="vi",B13594="ii",B13594="pod"),(((D13594/100)*(C13594*VLOOKUP(B13594,'Poids des runes'!A:B,2,FALSE)))+1),(((D13594/100)*(C13594*VLOOKUP(B13594,'Poids des runes'!A:B,2,FALSE)))+1)/VLOOKUP(B13594,'Poids des runes'!A:B,2,FALSE))</f>
        <v>2.0333333333333332</v>
      </c>
      <c r="F13594">
        <f t="shared" si="212"/>
        <v>2.0333333333333332</v>
      </c>
    </row>
    <row r="13595" spans="1:6" x14ac:dyDescent="0.3">
      <c r="A13595" t="s">
        <v>2108</v>
      </c>
      <c r="B13595" t="s">
        <v>2133</v>
      </c>
      <c r="C13595">
        <v>18</v>
      </c>
      <c r="D13595">
        <v>200</v>
      </c>
      <c r="E13595">
        <f>IF(OR(B13595="vi",B13595="ii",B13595="pod"),(((D13595/100)*(C13595*VLOOKUP(B13595,'Poids des runes'!A:B,2,FALSE)))+1),(((D13595/100)*(C13595*VLOOKUP(B13595,'Poids des runes'!A:B,2,FALSE)))+1)/VLOOKUP(B13595,'Poids des runes'!A:B,2,FALSE))</f>
        <v>36.200000000000003</v>
      </c>
      <c r="F13595">
        <f t="shared" si="212"/>
        <v>36.200000000000003</v>
      </c>
    </row>
    <row r="13596" spans="1:6" x14ac:dyDescent="0.3">
      <c r="A13596" t="s">
        <v>2108</v>
      </c>
      <c r="B13596" t="s">
        <v>2161</v>
      </c>
      <c r="C13596">
        <v>13</v>
      </c>
      <c r="D13596">
        <v>200</v>
      </c>
      <c r="E13596">
        <f>IF(OR(B13596="vi",B13596="ii",B13596="pod"),(((D13596/100)*(C13596*VLOOKUP(B13596,'Poids des runes'!A:B,2,FALSE)))+1),(((D13596/100)*(C13596*VLOOKUP(B13596,'Poids des runes'!A:B,2,FALSE)))+1)/VLOOKUP(B13596,'Poids des runes'!A:B,2,FALSE))</f>
        <v>26.333333333333332</v>
      </c>
      <c r="F13596">
        <f t="shared" si="212"/>
        <v>26.333333333333332</v>
      </c>
    </row>
    <row r="13597" spans="1:6" x14ac:dyDescent="0.3">
      <c r="A13597" t="s">
        <v>2108</v>
      </c>
      <c r="B13597" t="s">
        <v>2141</v>
      </c>
      <c r="C13597">
        <v>8.5</v>
      </c>
      <c r="D13597">
        <v>200</v>
      </c>
      <c r="E13597">
        <f>IF(OR(B13597="vi",B13597="ii",B13597="pod"),(((D13597/100)*(C13597*VLOOKUP(B13597,'Poids des runes'!A:B,2,FALSE)))+1),(((D13597/100)*(C13597*VLOOKUP(B13597,'Poids des runes'!A:B,2,FALSE)))+1)/VLOOKUP(B13597,'Poids des runes'!A:B,2,FALSE))</f>
        <v>17.25</v>
      </c>
      <c r="F13597">
        <f t="shared" si="212"/>
        <v>17.25</v>
      </c>
    </row>
    <row r="13598" spans="1:6" x14ac:dyDescent="0.3">
      <c r="A13598" t="s">
        <v>2108</v>
      </c>
      <c r="B13598" t="s">
        <v>2159</v>
      </c>
      <c r="C13598">
        <v>6</v>
      </c>
      <c r="D13598">
        <v>200</v>
      </c>
      <c r="E13598">
        <f>IF(OR(B13598="vi",B13598="ii",B13598="pod"),(((D13598/100)*(C13598*VLOOKUP(B13598,'Poids des runes'!A:B,2,FALSE)))+1),(((D13598/100)*(C13598*VLOOKUP(B13598,'Poids des runes'!A:B,2,FALSE)))+1)/VLOOKUP(B13598,'Poids des runes'!A:B,2,FALSE))</f>
        <v>12.142857142857142</v>
      </c>
      <c r="F13598">
        <f t="shared" si="212"/>
        <v>12.142857142857142</v>
      </c>
    </row>
    <row r="13599" spans="1:6" x14ac:dyDescent="0.3">
      <c r="A13599" t="s">
        <v>2108</v>
      </c>
      <c r="B13599" t="s">
        <v>2158</v>
      </c>
      <c r="C13599">
        <v>8.5</v>
      </c>
      <c r="D13599">
        <v>200</v>
      </c>
      <c r="E13599">
        <f>IF(OR(B13599="vi",B13599="ii",B13599="pod"),(((D13599/100)*(C13599*VLOOKUP(B13599,'Poids des runes'!A:B,2,FALSE)))+1),(((D13599/100)*(C13599*VLOOKUP(B13599,'Poids des runes'!A:B,2,FALSE)))+1)/VLOOKUP(B13599,'Poids des runes'!A:B,2,FALSE))</f>
        <v>17.2</v>
      </c>
      <c r="F13599">
        <f t="shared" si="212"/>
        <v>17.2</v>
      </c>
    </row>
    <row r="13600" spans="1:6" x14ac:dyDescent="0.3">
      <c r="A13600" t="s">
        <v>2108</v>
      </c>
      <c r="B13600" t="s">
        <v>2156</v>
      </c>
      <c r="C13600">
        <v>6</v>
      </c>
      <c r="D13600">
        <v>200</v>
      </c>
      <c r="E13600">
        <f>IF(OR(B13600="vi",B13600="ii",B13600="pod"),(((D13600/100)*(C13600*VLOOKUP(B13600,'Poids des runes'!A:B,2,FALSE)))+1),(((D13600/100)*(C13600*VLOOKUP(B13600,'Poids des runes'!A:B,2,FALSE)))+1)/VLOOKUP(B13600,'Poids des runes'!A:B,2,FALSE))</f>
        <v>12.166666666666666</v>
      </c>
      <c r="F13600">
        <f t="shared" si="212"/>
        <v>12.166666666666666</v>
      </c>
    </row>
    <row r="13601" spans="1:6" x14ac:dyDescent="0.3">
      <c r="A13601" t="s">
        <v>2108</v>
      </c>
      <c r="B13601" t="s">
        <v>2148</v>
      </c>
      <c r="C13601">
        <v>8.5</v>
      </c>
      <c r="D13601">
        <v>200</v>
      </c>
      <c r="E13601">
        <f>IF(OR(B13601="vi",B13601="ii",B13601="pod"),(((D13601/100)*(C13601*VLOOKUP(B13601,'Poids des runes'!A:B,2,FALSE)))+1),(((D13601/100)*(C13601*VLOOKUP(B13601,'Poids des runes'!A:B,2,FALSE)))+1)/VLOOKUP(B13601,'Poids des runes'!A:B,2,FALSE))</f>
        <v>17.166666666666668</v>
      </c>
      <c r="F13601">
        <f t="shared" si="212"/>
        <v>17.166666666666668</v>
      </c>
    </row>
    <row r="13602" spans="1:6" x14ac:dyDescent="0.3">
      <c r="A13602" t="s">
        <v>2109</v>
      </c>
      <c r="B13602" t="s">
        <v>2128</v>
      </c>
      <c r="C13602">
        <v>375.5</v>
      </c>
      <c r="D13602">
        <v>200</v>
      </c>
      <c r="E13602">
        <f>IF(OR(B13602="vi",B13602="ii",B13602="pod"),(((D13602/100)*(C13602*VLOOKUP(B13602,'Poids des runes'!A:B,2,FALSE)))+1),(((D13602/100)*(C13602*VLOOKUP(B13602,'Poids des runes'!A:B,2,FALSE)))+1)/VLOOKUP(B13602,'Poids des runes'!A:B,2,FALSE))</f>
        <v>151.20000000000002</v>
      </c>
      <c r="F13602">
        <f t="shared" si="212"/>
        <v>151.20000000000002</v>
      </c>
    </row>
    <row r="13603" spans="1:6" x14ac:dyDescent="0.3">
      <c r="A13603" t="s">
        <v>2109</v>
      </c>
      <c r="B13603" t="s">
        <v>2130</v>
      </c>
      <c r="C13603">
        <v>60.5</v>
      </c>
      <c r="D13603">
        <v>200</v>
      </c>
      <c r="E13603">
        <f>IF(OR(B13603="vi",B13603="ii",B13603="pod"),(((D13603/100)*(C13603*VLOOKUP(B13603,'Poids des runes'!A:B,2,FALSE)))+1),(((D13603/100)*(C13603*VLOOKUP(B13603,'Poids des runes'!A:B,2,FALSE)))+1)/VLOOKUP(B13603,'Poids des runes'!A:B,2,FALSE))</f>
        <v>122</v>
      </c>
      <c r="F13603">
        <f t="shared" si="212"/>
        <v>122</v>
      </c>
    </row>
    <row r="13604" spans="1:6" x14ac:dyDescent="0.3">
      <c r="A13604" t="s">
        <v>2109</v>
      </c>
      <c r="B13604" t="s">
        <v>2126</v>
      </c>
      <c r="C13604">
        <v>60.5</v>
      </c>
      <c r="D13604">
        <v>200</v>
      </c>
      <c r="E13604">
        <f>IF(OR(B13604="vi",B13604="ii",B13604="pod"),(((D13604/100)*(C13604*VLOOKUP(B13604,'Poids des runes'!A:B,2,FALSE)))+1),(((D13604/100)*(C13604*VLOOKUP(B13604,'Poids des runes'!A:B,2,FALSE)))+1)/VLOOKUP(B13604,'Poids des runes'!A:B,2,FALSE))</f>
        <v>122</v>
      </c>
      <c r="F13604">
        <f t="shared" si="212"/>
        <v>122</v>
      </c>
    </row>
    <row r="13605" spans="1:6" x14ac:dyDescent="0.3">
      <c r="A13605" t="s">
        <v>2109</v>
      </c>
      <c r="B13605" t="s">
        <v>2129</v>
      </c>
      <c r="C13605">
        <v>35.5</v>
      </c>
      <c r="D13605">
        <v>200</v>
      </c>
      <c r="E13605">
        <f>IF(OR(B13605="vi",B13605="ii",B13605="pod"),(((D13605/100)*(C13605*VLOOKUP(B13605,'Poids des runes'!A:B,2,FALSE)))+1),(((D13605/100)*(C13605*VLOOKUP(B13605,'Poids des runes'!A:B,2,FALSE)))+1)/VLOOKUP(B13605,'Poids des runes'!A:B,2,FALSE))</f>
        <v>72</v>
      </c>
      <c r="F13605">
        <f t="shared" si="212"/>
        <v>72</v>
      </c>
    </row>
    <row r="13606" spans="1:6" x14ac:dyDescent="0.3">
      <c r="A13606" t="s">
        <v>2109</v>
      </c>
      <c r="B13606" t="s">
        <v>2151</v>
      </c>
      <c r="C13606">
        <v>3.5</v>
      </c>
      <c r="D13606">
        <v>200</v>
      </c>
      <c r="E13606">
        <f>IF(OR(B13606="vi",B13606="ii",B13606="pod"),(((D13606/100)*(C13606*VLOOKUP(B13606,'Poids des runes'!A:B,2,FALSE)))+1),(((D13606/100)*(C13606*VLOOKUP(B13606,'Poids des runes'!A:B,2,FALSE)))+1)/VLOOKUP(B13606,'Poids des runes'!A:B,2,FALSE))</f>
        <v>7.1</v>
      </c>
      <c r="F13606">
        <f t="shared" si="212"/>
        <v>7.1</v>
      </c>
    </row>
    <row r="13607" spans="1:6" x14ac:dyDescent="0.3">
      <c r="A13607" t="s">
        <v>2109</v>
      </c>
      <c r="B13607" t="s">
        <v>2150</v>
      </c>
      <c r="C13607">
        <v>1</v>
      </c>
      <c r="D13607">
        <v>200</v>
      </c>
      <c r="E13607">
        <f>IF(OR(B13607="vi",B13607="ii",B13607="pod"),(((D13607/100)*(C13607*VLOOKUP(B13607,'Poids des runes'!A:B,2,FALSE)))+1),(((D13607/100)*(C13607*VLOOKUP(B13607,'Poids des runes'!A:B,2,FALSE)))+1)/VLOOKUP(B13607,'Poids des runes'!A:B,2,FALSE))</f>
        <v>2.0333333333333332</v>
      </c>
      <c r="F13607">
        <f t="shared" si="212"/>
        <v>2.0333333333333332</v>
      </c>
    </row>
    <row r="13608" spans="1:6" x14ac:dyDescent="0.3">
      <c r="A13608" t="s">
        <v>2109</v>
      </c>
      <c r="B13608" t="s">
        <v>2143</v>
      </c>
      <c r="C13608">
        <v>10.5</v>
      </c>
      <c r="D13608">
        <v>200</v>
      </c>
      <c r="E13608">
        <f>IF(OR(B13608="vi",B13608="ii",B13608="pod"),(((D13608/100)*(C13608*VLOOKUP(B13608,'Poids des runes'!A:B,2,FALSE)))+1),(((D13608/100)*(C13608*VLOOKUP(B13608,'Poids des runes'!A:B,2,FALSE)))+1)/VLOOKUP(B13608,'Poids des runes'!A:B,2,FALSE))</f>
        <v>21.2</v>
      </c>
      <c r="F13608">
        <f t="shared" si="212"/>
        <v>21.2</v>
      </c>
    </row>
    <row r="13609" spans="1:6" x14ac:dyDescent="0.3">
      <c r="A13609" t="s">
        <v>2109</v>
      </c>
      <c r="B13609" t="s">
        <v>2140</v>
      </c>
      <c r="C13609">
        <v>10.5</v>
      </c>
      <c r="D13609">
        <v>200</v>
      </c>
      <c r="E13609">
        <f>IF(OR(B13609="vi",B13609="ii",B13609="pod"),(((D13609/100)*(C13609*VLOOKUP(B13609,'Poids des runes'!A:B,2,FALSE)))+1),(((D13609/100)*(C13609*VLOOKUP(B13609,'Poids des runes'!A:B,2,FALSE)))+1)/VLOOKUP(B13609,'Poids des runes'!A:B,2,FALSE))</f>
        <v>21.2</v>
      </c>
      <c r="F13609">
        <f t="shared" si="212"/>
        <v>21.2</v>
      </c>
    </row>
    <row r="13610" spans="1:6" x14ac:dyDescent="0.3">
      <c r="A13610" t="s">
        <v>2109</v>
      </c>
      <c r="B13610" t="s">
        <v>2149</v>
      </c>
      <c r="C13610">
        <v>8.5</v>
      </c>
      <c r="D13610">
        <v>200</v>
      </c>
      <c r="E13610">
        <f>IF(OR(B13610="vi",B13610="ii",B13610="pod"),(((D13610/100)*(C13610*VLOOKUP(B13610,'Poids des runes'!A:B,2,FALSE)))+1),(((D13610/100)*(C13610*VLOOKUP(B13610,'Poids des runes'!A:B,2,FALSE)))+1)/VLOOKUP(B13610,'Poids des runes'!A:B,2,FALSE))</f>
        <v>17.100000000000001</v>
      </c>
      <c r="F13610">
        <f t="shared" si="212"/>
        <v>17.100000000000001</v>
      </c>
    </row>
    <row r="13611" spans="1:6" x14ac:dyDescent="0.3">
      <c r="A13611" t="s">
        <v>2109</v>
      </c>
      <c r="B13611" t="s">
        <v>2161</v>
      </c>
      <c r="C13611">
        <v>13</v>
      </c>
      <c r="D13611">
        <v>200</v>
      </c>
      <c r="E13611">
        <f>IF(OR(B13611="vi",B13611="ii",B13611="pod"),(((D13611/100)*(C13611*VLOOKUP(B13611,'Poids des runes'!A:B,2,FALSE)))+1),(((D13611/100)*(C13611*VLOOKUP(B13611,'Poids des runes'!A:B,2,FALSE)))+1)/VLOOKUP(B13611,'Poids des runes'!A:B,2,FALSE))</f>
        <v>26.333333333333332</v>
      </c>
      <c r="F13611">
        <f t="shared" si="212"/>
        <v>26.333333333333332</v>
      </c>
    </row>
    <row r="13612" spans="1:6" x14ac:dyDescent="0.3">
      <c r="A13612" t="s">
        <v>2109</v>
      </c>
      <c r="B13612" t="s">
        <v>2138</v>
      </c>
      <c r="C13612">
        <v>8.5</v>
      </c>
      <c r="D13612">
        <v>200</v>
      </c>
      <c r="E13612">
        <f>IF(OR(B13612="vi",B13612="ii",B13612="pod"),(((D13612/100)*(C13612*VLOOKUP(B13612,'Poids des runes'!A:B,2,FALSE)))+1),(((D13612/100)*(C13612*VLOOKUP(B13612,'Poids des runes'!A:B,2,FALSE)))+1)/VLOOKUP(B13612,'Poids des runes'!A:B,2,FALSE))</f>
        <v>17.25</v>
      </c>
      <c r="F13612">
        <f t="shared" si="212"/>
        <v>17.25</v>
      </c>
    </row>
    <row r="13613" spans="1:6" x14ac:dyDescent="0.3">
      <c r="A13613" t="s">
        <v>2109</v>
      </c>
      <c r="B13613" t="s">
        <v>2160</v>
      </c>
      <c r="C13613">
        <v>6</v>
      </c>
      <c r="D13613">
        <v>200</v>
      </c>
      <c r="E13613">
        <f>IF(OR(B13613="vi",B13613="ii",B13613="pod"),(((D13613/100)*(C13613*VLOOKUP(B13613,'Poids des runes'!A:B,2,FALSE)))+1),(((D13613/100)*(C13613*VLOOKUP(B13613,'Poids des runes'!A:B,2,FALSE)))+1)/VLOOKUP(B13613,'Poids des runes'!A:B,2,FALSE))</f>
        <v>12.142857142857142</v>
      </c>
      <c r="F13613">
        <f t="shared" si="212"/>
        <v>12.142857142857142</v>
      </c>
    </row>
    <row r="13614" spans="1:6" x14ac:dyDescent="0.3">
      <c r="A13614" t="s">
        <v>2109</v>
      </c>
      <c r="B13614" t="s">
        <v>2157</v>
      </c>
      <c r="C13614">
        <v>8.5</v>
      </c>
      <c r="D13614">
        <v>200</v>
      </c>
      <c r="E13614">
        <f>IF(OR(B13614="vi",B13614="ii",B13614="pod"),(((D13614/100)*(C13614*VLOOKUP(B13614,'Poids des runes'!A:B,2,FALSE)))+1),(((D13614/100)*(C13614*VLOOKUP(B13614,'Poids des runes'!A:B,2,FALSE)))+1)/VLOOKUP(B13614,'Poids des runes'!A:B,2,FALSE))</f>
        <v>17.166666666666668</v>
      </c>
      <c r="F13614">
        <f t="shared" si="212"/>
        <v>17.166666666666668</v>
      </c>
    </row>
    <row r="13615" spans="1:6" x14ac:dyDescent="0.3">
      <c r="A13615" t="s">
        <v>2110</v>
      </c>
      <c r="B13615" t="s">
        <v>2128</v>
      </c>
      <c r="C13615">
        <v>325.5</v>
      </c>
      <c r="D13615">
        <v>200</v>
      </c>
      <c r="E13615">
        <f>IF(OR(B13615="vi",B13615="ii",B13615="pod"),(((D13615/100)*(C13615*VLOOKUP(B13615,'Poids des runes'!A:B,2,FALSE)))+1),(((D13615/100)*(C13615*VLOOKUP(B13615,'Poids des runes'!A:B,2,FALSE)))+1)/VLOOKUP(B13615,'Poids des runes'!A:B,2,FALSE))</f>
        <v>131.20000000000002</v>
      </c>
      <c r="F13615">
        <f t="shared" si="212"/>
        <v>131.20000000000002</v>
      </c>
    </row>
    <row r="13616" spans="1:6" x14ac:dyDescent="0.3">
      <c r="A13616" t="s">
        <v>2110</v>
      </c>
      <c r="B13616" t="s">
        <v>2126</v>
      </c>
      <c r="C13616">
        <v>60.5</v>
      </c>
      <c r="D13616">
        <v>200</v>
      </c>
      <c r="E13616">
        <f>IF(OR(B13616="vi",B13616="ii",B13616="pod"),(((D13616/100)*(C13616*VLOOKUP(B13616,'Poids des runes'!A:B,2,FALSE)))+1),(((D13616/100)*(C13616*VLOOKUP(B13616,'Poids des runes'!A:B,2,FALSE)))+1)/VLOOKUP(B13616,'Poids des runes'!A:B,2,FALSE))</f>
        <v>122</v>
      </c>
      <c r="F13616">
        <f t="shared" si="212"/>
        <v>122</v>
      </c>
    </row>
    <row r="13617" spans="1:6" x14ac:dyDescent="0.3">
      <c r="A13617" t="s">
        <v>2110</v>
      </c>
      <c r="B13617" t="s">
        <v>2131</v>
      </c>
      <c r="C13617">
        <v>60.5</v>
      </c>
      <c r="D13617">
        <v>200</v>
      </c>
      <c r="E13617">
        <f>IF(OR(B13617="vi",B13617="ii",B13617="pod"),(((D13617/100)*(C13617*VLOOKUP(B13617,'Poids des runes'!A:B,2,FALSE)))+1),(((D13617/100)*(C13617*VLOOKUP(B13617,'Poids des runes'!A:B,2,FALSE)))+1)/VLOOKUP(B13617,'Poids des runes'!A:B,2,FALSE))</f>
        <v>122</v>
      </c>
      <c r="F13617">
        <f t="shared" si="212"/>
        <v>122</v>
      </c>
    </row>
    <row r="13618" spans="1:6" x14ac:dyDescent="0.3">
      <c r="A13618" t="s">
        <v>2110</v>
      </c>
      <c r="B13618" t="s">
        <v>2129</v>
      </c>
      <c r="C13618">
        <v>40.5</v>
      </c>
      <c r="D13618">
        <v>200</v>
      </c>
      <c r="E13618">
        <f>IF(OR(B13618="vi",B13618="ii",B13618="pod"),(((D13618/100)*(C13618*VLOOKUP(B13618,'Poids des runes'!A:B,2,FALSE)))+1),(((D13618/100)*(C13618*VLOOKUP(B13618,'Poids des runes'!A:B,2,FALSE)))+1)/VLOOKUP(B13618,'Poids des runes'!A:B,2,FALSE))</f>
        <v>82</v>
      </c>
      <c r="F13618">
        <f t="shared" si="212"/>
        <v>82</v>
      </c>
    </row>
    <row r="13619" spans="1:6" x14ac:dyDescent="0.3">
      <c r="A13619" t="s">
        <v>2110</v>
      </c>
      <c r="B13619" t="s">
        <v>2151</v>
      </c>
      <c r="C13619">
        <v>4.5</v>
      </c>
      <c r="D13619">
        <v>200</v>
      </c>
      <c r="E13619">
        <f>IF(OR(B13619="vi",B13619="ii",B13619="pod"),(((D13619/100)*(C13619*VLOOKUP(B13619,'Poids des runes'!A:B,2,FALSE)))+1),(((D13619/100)*(C13619*VLOOKUP(B13619,'Poids des runes'!A:B,2,FALSE)))+1)/VLOOKUP(B13619,'Poids des runes'!A:B,2,FALSE))</f>
        <v>9.1</v>
      </c>
      <c r="F13619">
        <f t="shared" si="212"/>
        <v>9.1</v>
      </c>
    </row>
    <row r="13620" spans="1:6" x14ac:dyDescent="0.3">
      <c r="A13620" t="s">
        <v>2110</v>
      </c>
      <c r="B13620" t="s">
        <v>2155</v>
      </c>
      <c r="C13620">
        <v>1</v>
      </c>
      <c r="D13620">
        <v>200</v>
      </c>
      <c r="E13620">
        <f>IF(OR(B13620="vi",B13620="ii",B13620="pod"),(((D13620/100)*(C13620*VLOOKUP(B13620,'Poids des runes'!A:B,2,FALSE)))+1),(((D13620/100)*(C13620*VLOOKUP(B13620,'Poids des runes'!A:B,2,FALSE)))+1)/VLOOKUP(B13620,'Poids des runes'!A:B,2,FALSE))</f>
        <v>2.0196078431372548</v>
      </c>
      <c r="F13620">
        <f t="shared" si="212"/>
        <v>2.0196078431372548</v>
      </c>
    </row>
    <row r="13621" spans="1:6" x14ac:dyDescent="0.3">
      <c r="A13621" t="s">
        <v>2110</v>
      </c>
      <c r="B13621" t="s">
        <v>2140</v>
      </c>
      <c r="C13621">
        <v>10.5</v>
      </c>
      <c r="D13621">
        <v>200</v>
      </c>
      <c r="E13621">
        <f>IF(OR(B13621="vi",B13621="ii",B13621="pod"),(((D13621/100)*(C13621*VLOOKUP(B13621,'Poids des runes'!A:B,2,FALSE)))+1),(((D13621/100)*(C13621*VLOOKUP(B13621,'Poids des runes'!A:B,2,FALSE)))+1)/VLOOKUP(B13621,'Poids des runes'!A:B,2,FALSE))</f>
        <v>21.2</v>
      </c>
      <c r="F13621">
        <f t="shared" si="212"/>
        <v>21.2</v>
      </c>
    </row>
    <row r="13622" spans="1:6" x14ac:dyDescent="0.3">
      <c r="A13622" t="s">
        <v>2110</v>
      </c>
      <c r="B13622" t="s">
        <v>2133</v>
      </c>
      <c r="C13622">
        <v>10.5</v>
      </c>
      <c r="D13622">
        <v>200</v>
      </c>
      <c r="E13622">
        <f>IF(OR(B13622="vi",B13622="ii",B13622="pod"),(((D13622/100)*(C13622*VLOOKUP(B13622,'Poids des runes'!A:B,2,FALSE)))+1),(((D13622/100)*(C13622*VLOOKUP(B13622,'Poids des runes'!A:B,2,FALSE)))+1)/VLOOKUP(B13622,'Poids des runes'!A:B,2,FALSE))</f>
        <v>21.2</v>
      </c>
      <c r="F13622">
        <f t="shared" si="212"/>
        <v>21.2</v>
      </c>
    </row>
    <row r="13623" spans="1:6" x14ac:dyDescent="0.3">
      <c r="A13623" t="s">
        <v>2110</v>
      </c>
      <c r="B13623" t="s">
        <v>2149</v>
      </c>
      <c r="C13623">
        <v>13</v>
      </c>
      <c r="D13623">
        <v>200</v>
      </c>
      <c r="E13623">
        <f>IF(OR(B13623="vi",B13623="ii",B13623="pod"),(((D13623/100)*(C13623*VLOOKUP(B13623,'Poids des runes'!A:B,2,FALSE)))+1),(((D13623/100)*(C13623*VLOOKUP(B13623,'Poids des runes'!A:B,2,FALSE)))+1)/VLOOKUP(B13623,'Poids des runes'!A:B,2,FALSE))</f>
        <v>26.1</v>
      </c>
      <c r="F13623">
        <f t="shared" si="212"/>
        <v>26.1</v>
      </c>
    </row>
    <row r="13624" spans="1:6" x14ac:dyDescent="0.3">
      <c r="A13624" t="s">
        <v>2110</v>
      </c>
      <c r="B13624" t="s">
        <v>2161</v>
      </c>
      <c r="C13624">
        <v>13</v>
      </c>
      <c r="D13624">
        <v>200</v>
      </c>
      <c r="E13624">
        <f>IF(OR(B13624="vi",B13624="ii",B13624="pod"),(((D13624/100)*(C13624*VLOOKUP(B13624,'Poids des runes'!A:B,2,FALSE)))+1),(((D13624/100)*(C13624*VLOOKUP(B13624,'Poids des runes'!A:B,2,FALSE)))+1)/VLOOKUP(B13624,'Poids des runes'!A:B,2,FALSE))</f>
        <v>26.333333333333332</v>
      </c>
      <c r="F13624">
        <f t="shared" si="212"/>
        <v>26.333333333333332</v>
      </c>
    </row>
    <row r="13625" spans="1:6" x14ac:dyDescent="0.3">
      <c r="A13625" t="s">
        <v>2110</v>
      </c>
      <c r="B13625" t="s">
        <v>2138</v>
      </c>
      <c r="C13625">
        <v>13</v>
      </c>
      <c r="D13625">
        <v>200</v>
      </c>
      <c r="E13625">
        <f>IF(OR(B13625="vi",B13625="ii",B13625="pod"),(((D13625/100)*(C13625*VLOOKUP(B13625,'Poids des runes'!A:B,2,FALSE)))+1),(((D13625/100)*(C13625*VLOOKUP(B13625,'Poids des runes'!A:B,2,FALSE)))+1)/VLOOKUP(B13625,'Poids des runes'!A:B,2,FALSE))</f>
        <v>26.25</v>
      </c>
      <c r="F13625">
        <f t="shared" si="212"/>
        <v>26.25</v>
      </c>
    </row>
    <row r="13626" spans="1:6" x14ac:dyDescent="0.3">
      <c r="A13626" t="s">
        <v>2110</v>
      </c>
      <c r="B13626" t="s">
        <v>2158</v>
      </c>
      <c r="C13626">
        <v>10.5</v>
      </c>
      <c r="D13626">
        <v>200</v>
      </c>
      <c r="E13626">
        <f>IF(OR(B13626="vi",B13626="ii",B13626="pod"),(((D13626/100)*(C13626*VLOOKUP(B13626,'Poids des runes'!A:B,2,FALSE)))+1),(((D13626/100)*(C13626*VLOOKUP(B13626,'Poids des runes'!A:B,2,FALSE)))+1)/VLOOKUP(B13626,'Poids des runes'!A:B,2,FALSE))</f>
        <v>21.2</v>
      </c>
      <c r="F13626">
        <f t="shared" si="212"/>
        <v>21.2</v>
      </c>
    </row>
    <row r="13627" spans="1:6" x14ac:dyDescent="0.3">
      <c r="A13627" t="s">
        <v>2110</v>
      </c>
      <c r="B13627" t="s">
        <v>2148</v>
      </c>
      <c r="C13627">
        <v>8.5</v>
      </c>
      <c r="D13627">
        <v>200</v>
      </c>
      <c r="E13627">
        <f>IF(OR(B13627="vi",B13627="ii",B13627="pod"),(((D13627/100)*(C13627*VLOOKUP(B13627,'Poids des runes'!A:B,2,FALSE)))+1),(((D13627/100)*(C13627*VLOOKUP(B13627,'Poids des runes'!A:B,2,FALSE)))+1)/VLOOKUP(B13627,'Poids des runes'!A:B,2,FALSE))</f>
        <v>17.166666666666668</v>
      </c>
      <c r="F13627">
        <f t="shared" si="212"/>
        <v>17.166666666666668</v>
      </c>
    </row>
    <row r="13628" spans="1:6" x14ac:dyDescent="0.3">
      <c r="A13628" t="s">
        <v>2111</v>
      </c>
      <c r="B13628" t="s">
        <v>2128</v>
      </c>
      <c r="C13628">
        <v>325.5</v>
      </c>
      <c r="D13628">
        <v>200</v>
      </c>
      <c r="E13628">
        <f>IF(OR(B13628="vi",B13628="ii",B13628="pod"),(((D13628/100)*(C13628*VLOOKUP(B13628,'Poids des runes'!A:B,2,FALSE)))+1),(((D13628/100)*(C13628*VLOOKUP(B13628,'Poids des runes'!A:B,2,FALSE)))+1)/VLOOKUP(B13628,'Poids des runes'!A:B,2,FALSE))</f>
        <v>131.20000000000002</v>
      </c>
      <c r="F13628">
        <f t="shared" si="212"/>
        <v>131.20000000000002</v>
      </c>
    </row>
    <row r="13629" spans="1:6" x14ac:dyDescent="0.3">
      <c r="A13629" t="s">
        <v>2111</v>
      </c>
      <c r="B13629" t="s">
        <v>2130</v>
      </c>
      <c r="C13629">
        <v>40.5</v>
      </c>
      <c r="D13629">
        <v>200</v>
      </c>
      <c r="E13629">
        <f>IF(OR(B13629="vi",B13629="ii",B13629="pod"),(((D13629/100)*(C13629*VLOOKUP(B13629,'Poids des runes'!A:B,2,FALSE)))+1),(((D13629/100)*(C13629*VLOOKUP(B13629,'Poids des runes'!A:B,2,FALSE)))+1)/VLOOKUP(B13629,'Poids des runes'!A:B,2,FALSE))</f>
        <v>82</v>
      </c>
      <c r="F13629">
        <f t="shared" si="212"/>
        <v>82</v>
      </c>
    </row>
    <row r="13630" spans="1:6" x14ac:dyDescent="0.3">
      <c r="A13630" t="s">
        <v>2111</v>
      </c>
      <c r="B13630" t="s">
        <v>2126</v>
      </c>
      <c r="C13630">
        <v>40.5</v>
      </c>
      <c r="D13630">
        <v>200</v>
      </c>
      <c r="E13630">
        <f>IF(OR(B13630="vi",B13630="ii",B13630="pod"),(((D13630/100)*(C13630*VLOOKUP(B13630,'Poids des runes'!A:B,2,FALSE)))+1),(((D13630/100)*(C13630*VLOOKUP(B13630,'Poids des runes'!A:B,2,FALSE)))+1)/VLOOKUP(B13630,'Poids des runes'!A:B,2,FALSE))</f>
        <v>82</v>
      </c>
      <c r="F13630">
        <f t="shared" si="212"/>
        <v>82</v>
      </c>
    </row>
    <row r="13631" spans="1:6" x14ac:dyDescent="0.3">
      <c r="A13631" t="s">
        <v>2111</v>
      </c>
      <c r="B13631" t="s">
        <v>2131</v>
      </c>
      <c r="C13631">
        <v>40.5</v>
      </c>
      <c r="D13631">
        <v>200</v>
      </c>
      <c r="E13631">
        <f>IF(OR(B13631="vi",B13631="ii",B13631="pod"),(((D13631/100)*(C13631*VLOOKUP(B13631,'Poids des runes'!A:B,2,FALSE)))+1),(((D13631/100)*(C13631*VLOOKUP(B13631,'Poids des runes'!A:B,2,FALSE)))+1)/VLOOKUP(B13631,'Poids des runes'!A:B,2,FALSE))</f>
        <v>82</v>
      </c>
      <c r="F13631">
        <f t="shared" si="212"/>
        <v>82</v>
      </c>
    </row>
    <row r="13632" spans="1:6" x14ac:dyDescent="0.3">
      <c r="A13632" t="s">
        <v>2111</v>
      </c>
      <c r="B13632" t="s">
        <v>2129</v>
      </c>
      <c r="C13632">
        <v>35.5</v>
      </c>
      <c r="D13632">
        <v>200</v>
      </c>
      <c r="E13632">
        <f>IF(OR(B13632="vi",B13632="ii",B13632="pod"),(((D13632/100)*(C13632*VLOOKUP(B13632,'Poids des runes'!A:B,2,FALSE)))+1),(((D13632/100)*(C13632*VLOOKUP(B13632,'Poids des runes'!A:B,2,FALSE)))+1)/VLOOKUP(B13632,'Poids des runes'!A:B,2,FALSE))</f>
        <v>72</v>
      </c>
      <c r="F13632">
        <f t="shared" si="212"/>
        <v>72</v>
      </c>
    </row>
    <row r="13633" spans="1:6" x14ac:dyDescent="0.3">
      <c r="A13633" t="s">
        <v>2111</v>
      </c>
      <c r="B13633" t="s">
        <v>2151</v>
      </c>
      <c r="C13633">
        <v>3.5</v>
      </c>
      <c r="D13633">
        <v>200</v>
      </c>
      <c r="E13633">
        <f>IF(OR(B13633="vi",B13633="ii",B13633="pod"),(((D13633/100)*(C13633*VLOOKUP(B13633,'Poids des runes'!A:B,2,FALSE)))+1),(((D13633/100)*(C13633*VLOOKUP(B13633,'Poids des runes'!A:B,2,FALSE)))+1)/VLOOKUP(B13633,'Poids des runes'!A:B,2,FALSE))</f>
        <v>7.1</v>
      </c>
      <c r="F13633">
        <f t="shared" si="212"/>
        <v>7.1</v>
      </c>
    </row>
    <row r="13634" spans="1:6" x14ac:dyDescent="0.3">
      <c r="A13634" t="s">
        <v>2111</v>
      </c>
      <c r="B13634" t="s">
        <v>2155</v>
      </c>
      <c r="C13634">
        <v>1</v>
      </c>
      <c r="D13634">
        <v>200</v>
      </c>
      <c r="E13634">
        <f>IF(OR(B13634="vi",B13634="ii",B13634="pod"),(((D13634/100)*(C13634*VLOOKUP(B13634,'Poids des runes'!A:B,2,FALSE)))+1),(((D13634/100)*(C13634*VLOOKUP(B13634,'Poids des runes'!A:B,2,FALSE)))+1)/VLOOKUP(B13634,'Poids des runes'!A:B,2,FALSE))</f>
        <v>2.0196078431372548</v>
      </c>
      <c r="F13634">
        <f t="shared" si="212"/>
        <v>2.0196078431372548</v>
      </c>
    </row>
    <row r="13635" spans="1:6" x14ac:dyDescent="0.3">
      <c r="A13635" t="s">
        <v>2111</v>
      </c>
      <c r="B13635" t="s">
        <v>2143</v>
      </c>
      <c r="C13635">
        <v>13</v>
      </c>
      <c r="D13635">
        <v>200</v>
      </c>
      <c r="E13635">
        <f>IF(OR(B13635="vi",B13635="ii",B13635="pod"),(((D13635/100)*(C13635*VLOOKUP(B13635,'Poids des runes'!A:B,2,FALSE)))+1),(((D13635/100)*(C13635*VLOOKUP(B13635,'Poids des runes'!A:B,2,FALSE)))+1)/VLOOKUP(B13635,'Poids des runes'!A:B,2,FALSE))</f>
        <v>26.2</v>
      </c>
      <c r="F13635">
        <f t="shared" ref="F13635:F13698" si="213">E13635</f>
        <v>26.2</v>
      </c>
    </row>
    <row r="13636" spans="1:6" x14ac:dyDescent="0.3">
      <c r="A13636" t="s">
        <v>2111</v>
      </c>
      <c r="B13636" t="s">
        <v>2140</v>
      </c>
      <c r="C13636">
        <v>13</v>
      </c>
      <c r="D13636">
        <v>200</v>
      </c>
      <c r="E13636">
        <f>IF(OR(B13636="vi",B13636="ii",B13636="pod"),(((D13636/100)*(C13636*VLOOKUP(B13636,'Poids des runes'!A:B,2,FALSE)))+1),(((D13636/100)*(C13636*VLOOKUP(B13636,'Poids des runes'!A:B,2,FALSE)))+1)/VLOOKUP(B13636,'Poids des runes'!A:B,2,FALSE))</f>
        <v>26.2</v>
      </c>
      <c r="F13636">
        <f t="shared" si="213"/>
        <v>26.2</v>
      </c>
    </row>
    <row r="13637" spans="1:6" x14ac:dyDescent="0.3">
      <c r="A13637" t="s">
        <v>2111</v>
      </c>
      <c r="B13637" t="s">
        <v>2133</v>
      </c>
      <c r="C13637">
        <v>13</v>
      </c>
      <c r="D13637">
        <v>200</v>
      </c>
      <c r="E13637">
        <f>IF(OR(B13637="vi",B13637="ii",B13637="pod"),(((D13637/100)*(C13637*VLOOKUP(B13637,'Poids des runes'!A:B,2,FALSE)))+1),(((D13637/100)*(C13637*VLOOKUP(B13637,'Poids des runes'!A:B,2,FALSE)))+1)/VLOOKUP(B13637,'Poids des runes'!A:B,2,FALSE))</f>
        <v>26.2</v>
      </c>
      <c r="F13637">
        <f t="shared" si="213"/>
        <v>26.2</v>
      </c>
    </row>
    <row r="13638" spans="1:6" x14ac:dyDescent="0.3">
      <c r="A13638" t="s">
        <v>2111</v>
      </c>
      <c r="B13638" t="s">
        <v>2138</v>
      </c>
      <c r="C13638">
        <v>10.5</v>
      </c>
      <c r="D13638">
        <v>200</v>
      </c>
      <c r="E13638">
        <f>IF(OR(B13638="vi",B13638="ii",B13638="pod"),(((D13638/100)*(C13638*VLOOKUP(B13638,'Poids des runes'!A:B,2,FALSE)))+1),(((D13638/100)*(C13638*VLOOKUP(B13638,'Poids des runes'!A:B,2,FALSE)))+1)/VLOOKUP(B13638,'Poids des runes'!A:B,2,FALSE))</f>
        <v>21.25</v>
      </c>
      <c r="F13638">
        <f t="shared" si="213"/>
        <v>21.25</v>
      </c>
    </row>
    <row r="13639" spans="1:6" x14ac:dyDescent="0.3">
      <c r="A13639" t="s">
        <v>2111</v>
      </c>
      <c r="B13639" t="s">
        <v>2135</v>
      </c>
      <c r="C13639">
        <v>8.5</v>
      </c>
      <c r="D13639">
        <v>200</v>
      </c>
      <c r="E13639">
        <f>IF(OR(B13639="vi",B13639="ii",B13639="pod"),(((D13639/100)*(C13639*VLOOKUP(B13639,'Poids des runes'!A:B,2,FALSE)))+1),(((D13639/100)*(C13639*VLOOKUP(B13639,'Poids des runes'!A:B,2,FALSE)))+1)/VLOOKUP(B13639,'Poids des runes'!A:B,2,FALSE))</f>
        <v>17.166666666666668</v>
      </c>
      <c r="F13639">
        <f t="shared" si="213"/>
        <v>17.166666666666668</v>
      </c>
    </row>
    <row r="13640" spans="1:6" x14ac:dyDescent="0.3">
      <c r="A13640" t="s">
        <v>2112</v>
      </c>
      <c r="B13640" t="s">
        <v>2128</v>
      </c>
      <c r="C13640">
        <v>325.5</v>
      </c>
      <c r="D13640">
        <v>200</v>
      </c>
      <c r="E13640">
        <f>IF(OR(B13640="vi",B13640="ii",B13640="pod"),(((D13640/100)*(C13640*VLOOKUP(B13640,'Poids des runes'!A:B,2,FALSE)))+1),(((D13640/100)*(C13640*VLOOKUP(B13640,'Poids des runes'!A:B,2,FALSE)))+1)/VLOOKUP(B13640,'Poids des runes'!A:B,2,FALSE))</f>
        <v>131.20000000000002</v>
      </c>
      <c r="F13640">
        <f t="shared" si="213"/>
        <v>131.20000000000002</v>
      </c>
    </row>
    <row r="13641" spans="1:6" x14ac:dyDescent="0.3">
      <c r="A13641" t="s">
        <v>2112</v>
      </c>
      <c r="B13641" t="s">
        <v>2126</v>
      </c>
      <c r="C13641">
        <v>50.5</v>
      </c>
      <c r="D13641">
        <v>200</v>
      </c>
      <c r="E13641">
        <f>IF(OR(B13641="vi",B13641="ii",B13641="pod"),(((D13641/100)*(C13641*VLOOKUP(B13641,'Poids des runes'!A:B,2,FALSE)))+1),(((D13641/100)*(C13641*VLOOKUP(B13641,'Poids des runes'!A:B,2,FALSE)))+1)/VLOOKUP(B13641,'Poids des runes'!A:B,2,FALSE))</f>
        <v>102</v>
      </c>
      <c r="F13641">
        <f t="shared" si="213"/>
        <v>102</v>
      </c>
    </row>
    <row r="13642" spans="1:6" x14ac:dyDescent="0.3">
      <c r="A13642" t="s">
        <v>2112</v>
      </c>
      <c r="B13642" t="s">
        <v>2127</v>
      </c>
      <c r="C13642">
        <v>50.5</v>
      </c>
      <c r="D13642">
        <v>200</v>
      </c>
      <c r="E13642">
        <f>IF(OR(B13642="vi",B13642="ii",B13642="pod"),(((D13642/100)*(C13642*VLOOKUP(B13642,'Poids des runes'!A:B,2,FALSE)))+1),(((D13642/100)*(C13642*VLOOKUP(B13642,'Poids des runes'!A:B,2,FALSE)))+1)/VLOOKUP(B13642,'Poids des runes'!A:B,2,FALSE))</f>
        <v>102</v>
      </c>
      <c r="F13642">
        <f t="shared" si="213"/>
        <v>102</v>
      </c>
    </row>
    <row r="13643" spans="1:6" x14ac:dyDescent="0.3">
      <c r="A13643" t="s">
        <v>2112</v>
      </c>
      <c r="B13643" t="s">
        <v>2129</v>
      </c>
      <c r="C13643">
        <v>35.5</v>
      </c>
      <c r="D13643">
        <v>200</v>
      </c>
      <c r="E13643">
        <f>IF(OR(B13643="vi",B13643="ii",B13643="pod"),(((D13643/100)*(C13643*VLOOKUP(B13643,'Poids des runes'!A:B,2,FALSE)))+1),(((D13643/100)*(C13643*VLOOKUP(B13643,'Poids des runes'!A:B,2,FALSE)))+1)/VLOOKUP(B13643,'Poids des runes'!A:B,2,FALSE))</f>
        <v>72</v>
      </c>
      <c r="F13643">
        <f t="shared" si="213"/>
        <v>72</v>
      </c>
    </row>
    <row r="13644" spans="1:6" x14ac:dyDescent="0.3">
      <c r="A13644" t="s">
        <v>2112</v>
      </c>
      <c r="B13644" t="s">
        <v>2151</v>
      </c>
      <c r="C13644">
        <v>3.5</v>
      </c>
      <c r="D13644">
        <v>200</v>
      </c>
      <c r="E13644">
        <f>IF(OR(B13644="vi",B13644="ii",B13644="pod"),(((D13644/100)*(C13644*VLOOKUP(B13644,'Poids des runes'!A:B,2,FALSE)))+1),(((D13644/100)*(C13644*VLOOKUP(B13644,'Poids des runes'!A:B,2,FALSE)))+1)/VLOOKUP(B13644,'Poids des runes'!A:B,2,FALSE))</f>
        <v>7.1</v>
      </c>
      <c r="F13644">
        <f t="shared" si="213"/>
        <v>7.1</v>
      </c>
    </row>
    <row r="13645" spans="1:6" x14ac:dyDescent="0.3">
      <c r="A13645" t="s">
        <v>2112</v>
      </c>
      <c r="B13645" t="s">
        <v>2150</v>
      </c>
      <c r="C13645">
        <v>1</v>
      </c>
      <c r="D13645">
        <v>200</v>
      </c>
      <c r="E13645">
        <f>IF(OR(B13645="vi",B13645="ii",B13645="pod"),(((D13645/100)*(C13645*VLOOKUP(B13645,'Poids des runes'!A:B,2,FALSE)))+1),(((D13645/100)*(C13645*VLOOKUP(B13645,'Poids des runes'!A:B,2,FALSE)))+1)/VLOOKUP(B13645,'Poids des runes'!A:B,2,FALSE))</f>
        <v>2.0333333333333332</v>
      </c>
      <c r="F13645">
        <f t="shared" si="213"/>
        <v>2.0333333333333332</v>
      </c>
    </row>
    <row r="13646" spans="1:6" x14ac:dyDescent="0.3">
      <c r="A13646" t="s">
        <v>2112</v>
      </c>
      <c r="B13646" t="s">
        <v>2140</v>
      </c>
      <c r="C13646">
        <v>13</v>
      </c>
      <c r="D13646">
        <v>200</v>
      </c>
      <c r="E13646">
        <f>IF(OR(B13646="vi",B13646="ii",B13646="pod"),(((D13646/100)*(C13646*VLOOKUP(B13646,'Poids des runes'!A:B,2,FALSE)))+1),(((D13646/100)*(C13646*VLOOKUP(B13646,'Poids des runes'!A:B,2,FALSE)))+1)/VLOOKUP(B13646,'Poids des runes'!A:B,2,FALSE))</f>
        <v>26.2</v>
      </c>
      <c r="F13646">
        <f t="shared" si="213"/>
        <v>26.2</v>
      </c>
    </row>
    <row r="13647" spans="1:6" x14ac:dyDescent="0.3">
      <c r="A13647" t="s">
        <v>2112</v>
      </c>
      <c r="B13647" t="s">
        <v>2153</v>
      </c>
      <c r="C13647">
        <v>13</v>
      </c>
      <c r="D13647">
        <v>200</v>
      </c>
      <c r="E13647">
        <f>IF(OR(B13647="vi",B13647="ii",B13647="pod"),(((D13647/100)*(C13647*VLOOKUP(B13647,'Poids des runes'!A:B,2,FALSE)))+1),(((D13647/100)*(C13647*VLOOKUP(B13647,'Poids des runes'!A:B,2,FALSE)))+1)/VLOOKUP(B13647,'Poids des runes'!A:B,2,FALSE))</f>
        <v>26.2</v>
      </c>
      <c r="F13647">
        <f t="shared" si="213"/>
        <v>26.2</v>
      </c>
    </row>
    <row r="13648" spans="1:6" x14ac:dyDescent="0.3">
      <c r="A13648" t="s">
        <v>2112</v>
      </c>
      <c r="B13648" t="s">
        <v>2161</v>
      </c>
      <c r="C13648">
        <v>13</v>
      </c>
      <c r="D13648">
        <v>200</v>
      </c>
      <c r="E13648">
        <f>IF(OR(B13648="vi",B13648="ii",B13648="pod"),(((D13648/100)*(C13648*VLOOKUP(B13648,'Poids des runes'!A:B,2,FALSE)))+1),(((D13648/100)*(C13648*VLOOKUP(B13648,'Poids des runes'!A:B,2,FALSE)))+1)/VLOOKUP(B13648,'Poids des runes'!A:B,2,FALSE))</f>
        <v>26.333333333333332</v>
      </c>
      <c r="F13648">
        <f t="shared" si="213"/>
        <v>26.333333333333332</v>
      </c>
    </row>
    <row r="13649" spans="1:6" x14ac:dyDescent="0.3">
      <c r="A13649" t="s">
        <v>2112</v>
      </c>
      <c r="B13649" t="s">
        <v>2165</v>
      </c>
      <c r="C13649">
        <v>8.5</v>
      </c>
      <c r="D13649">
        <v>200</v>
      </c>
      <c r="E13649">
        <f>IF(OR(B13649="vi",B13649="ii",B13649="pod"),(((D13649/100)*(C13649*VLOOKUP(B13649,'Poids des runes'!A:B,2,FALSE)))+1),(((D13649/100)*(C13649*VLOOKUP(B13649,'Poids des runes'!A:B,2,FALSE)))+1)/VLOOKUP(B13649,'Poids des runes'!A:B,2,FALSE))</f>
        <v>17.142857142857142</v>
      </c>
      <c r="F13649">
        <f t="shared" si="213"/>
        <v>17.142857142857142</v>
      </c>
    </row>
    <row r="13650" spans="1:6" x14ac:dyDescent="0.3">
      <c r="A13650" t="s">
        <v>2112</v>
      </c>
      <c r="B13650" t="s">
        <v>2148</v>
      </c>
      <c r="C13650">
        <v>8.5</v>
      </c>
      <c r="D13650">
        <v>200</v>
      </c>
      <c r="E13650">
        <f>IF(OR(B13650="vi",B13650="ii",B13650="pod"),(((D13650/100)*(C13650*VLOOKUP(B13650,'Poids des runes'!A:B,2,FALSE)))+1),(((D13650/100)*(C13650*VLOOKUP(B13650,'Poids des runes'!A:B,2,FALSE)))+1)/VLOOKUP(B13650,'Poids des runes'!A:B,2,FALSE))</f>
        <v>17.166666666666668</v>
      </c>
      <c r="F13650">
        <f t="shared" si="213"/>
        <v>17.166666666666668</v>
      </c>
    </row>
    <row r="13651" spans="1:6" x14ac:dyDescent="0.3">
      <c r="A13651" t="s">
        <v>2112</v>
      </c>
      <c r="B13651" t="s">
        <v>2146</v>
      </c>
      <c r="C13651">
        <v>13</v>
      </c>
      <c r="D13651">
        <v>200</v>
      </c>
      <c r="E13651">
        <f>IF(OR(B13651="vi",B13651="ii",B13651="pod"),(((D13651/100)*(C13651*VLOOKUP(B13651,'Poids des runes'!A:B,2,FALSE)))+1),(((D13651/100)*(C13651*VLOOKUP(B13651,'Poids des runes'!A:B,2,FALSE)))+1)/VLOOKUP(B13651,'Poids des runes'!A:B,2,FALSE))</f>
        <v>26.5</v>
      </c>
      <c r="F13651">
        <f t="shared" si="213"/>
        <v>26.5</v>
      </c>
    </row>
    <row r="13652" spans="1:6" x14ac:dyDescent="0.3">
      <c r="A13652" t="s">
        <v>2113</v>
      </c>
      <c r="B13652" t="s">
        <v>2128</v>
      </c>
      <c r="C13652">
        <v>325.5</v>
      </c>
      <c r="D13652">
        <v>200</v>
      </c>
      <c r="E13652">
        <f>IF(OR(B13652="vi",B13652="ii",B13652="pod"),(((D13652/100)*(C13652*VLOOKUP(B13652,'Poids des runes'!A:B,2,FALSE)))+1),(((D13652/100)*(C13652*VLOOKUP(B13652,'Poids des runes'!A:B,2,FALSE)))+1)/VLOOKUP(B13652,'Poids des runes'!A:B,2,FALSE))</f>
        <v>131.20000000000002</v>
      </c>
      <c r="F13652">
        <f t="shared" si="213"/>
        <v>131.20000000000002</v>
      </c>
    </row>
    <row r="13653" spans="1:6" x14ac:dyDescent="0.3">
      <c r="A13653" t="s">
        <v>2113</v>
      </c>
      <c r="B13653" t="s">
        <v>2127</v>
      </c>
      <c r="C13653">
        <v>70.5</v>
      </c>
      <c r="D13653">
        <v>200</v>
      </c>
      <c r="E13653">
        <f>IF(OR(B13653="vi",B13653="ii",B13653="pod"),(((D13653/100)*(C13653*VLOOKUP(B13653,'Poids des runes'!A:B,2,FALSE)))+1),(((D13653/100)*(C13653*VLOOKUP(B13653,'Poids des runes'!A:B,2,FALSE)))+1)/VLOOKUP(B13653,'Poids des runes'!A:B,2,FALSE))</f>
        <v>142</v>
      </c>
      <c r="F13653">
        <f t="shared" si="213"/>
        <v>142</v>
      </c>
    </row>
    <row r="13654" spans="1:6" x14ac:dyDescent="0.3">
      <c r="A13654" t="s">
        <v>2113</v>
      </c>
      <c r="B13654" t="s">
        <v>2129</v>
      </c>
      <c r="C13654">
        <v>35.5</v>
      </c>
      <c r="D13654">
        <v>200</v>
      </c>
      <c r="E13654">
        <f>IF(OR(B13654="vi",B13654="ii",B13654="pod"),(((D13654/100)*(C13654*VLOOKUP(B13654,'Poids des runes'!A:B,2,FALSE)))+1),(((D13654/100)*(C13654*VLOOKUP(B13654,'Poids des runes'!A:B,2,FALSE)))+1)/VLOOKUP(B13654,'Poids des runes'!A:B,2,FALSE))</f>
        <v>72</v>
      </c>
      <c r="F13654">
        <f t="shared" si="213"/>
        <v>72</v>
      </c>
    </row>
    <row r="13655" spans="1:6" x14ac:dyDescent="0.3">
      <c r="A13655" t="s">
        <v>2113</v>
      </c>
      <c r="B13655" t="s">
        <v>2151</v>
      </c>
      <c r="C13655">
        <v>5</v>
      </c>
      <c r="D13655">
        <v>200</v>
      </c>
      <c r="E13655">
        <f>IF(OR(B13655="vi",B13655="ii",B13655="pod"),(((D13655/100)*(C13655*VLOOKUP(B13655,'Poids des runes'!A:B,2,FALSE)))+1),(((D13655/100)*(C13655*VLOOKUP(B13655,'Poids des runes'!A:B,2,FALSE)))+1)/VLOOKUP(B13655,'Poids des runes'!A:B,2,FALSE))</f>
        <v>10.1</v>
      </c>
      <c r="F13655">
        <f t="shared" si="213"/>
        <v>10.1</v>
      </c>
    </row>
    <row r="13656" spans="1:6" x14ac:dyDescent="0.3">
      <c r="A13656" t="s">
        <v>2113</v>
      </c>
      <c r="B13656" t="s">
        <v>2153</v>
      </c>
      <c r="C13656">
        <v>16</v>
      </c>
      <c r="D13656">
        <v>200</v>
      </c>
      <c r="E13656">
        <f>IF(OR(B13656="vi",B13656="ii",B13656="pod"),(((D13656/100)*(C13656*VLOOKUP(B13656,'Poids des runes'!A:B,2,FALSE)))+1),(((D13656/100)*(C13656*VLOOKUP(B13656,'Poids des runes'!A:B,2,FALSE)))+1)/VLOOKUP(B13656,'Poids des runes'!A:B,2,FALSE))</f>
        <v>32.200000000000003</v>
      </c>
      <c r="F13656">
        <f t="shared" si="213"/>
        <v>32.200000000000003</v>
      </c>
    </row>
    <row r="13657" spans="1:6" x14ac:dyDescent="0.3">
      <c r="A13657" t="s">
        <v>2113</v>
      </c>
      <c r="B13657" t="s">
        <v>2161</v>
      </c>
      <c r="C13657">
        <v>18</v>
      </c>
      <c r="D13657">
        <v>200</v>
      </c>
      <c r="E13657">
        <f>IF(OR(B13657="vi",B13657="ii",B13657="pod"),(((D13657/100)*(C13657*VLOOKUP(B13657,'Poids des runes'!A:B,2,FALSE)))+1),(((D13657/100)*(C13657*VLOOKUP(B13657,'Poids des runes'!A:B,2,FALSE)))+1)/VLOOKUP(B13657,'Poids des runes'!A:B,2,FALSE))</f>
        <v>36.333333333333336</v>
      </c>
      <c r="F13657">
        <f t="shared" si="213"/>
        <v>36.333333333333336</v>
      </c>
    </row>
    <row r="13658" spans="1:6" x14ac:dyDescent="0.3">
      <c r="A13658" t="s">
        <v>2113</v>
      </c>
      <c r="B13658" t="s">
        <v>2132</v>
      </c>
      <c r="C13658">
        <v>350.5</v>
      </c>
      <c r="D13658">
        <v>200</v>
      </c>
      <c r="E13658">
        <f>IF(OR(B13658="vi",B13658="ii",B13658="pod"),(((D13658/100)*(C13658*VLOOKUP(B13658,'Poids des runes'!A:B,2,FALSE)))+1),(((D13658/100)*(C13658*VLOOKUP(B13658,'Poids des runes'!A:B,2,FALSE)))+1)/VLOOKUP(B13658,'Poids des runes'!A:B,2,FALSE))</f>
        <v>71.100000000000009</v>
      </c>
      <c r="F13658">
        <f t="shared" si="213"/>
        <v>71.100000000000009</v>
      </c>
    </row>
    <row r="13659" spans="1:6" x14ac:dyDescent="0.3">
      <c r="A13659" t="s">
        <v>2113</v>
      </c>
      <c r="B13659" t="s">
        <v>2138</v>
      </c>
      <c r="C13659">
        <v>8.5</v>
      </c>
      <c r="D13659">
        <v>200</v>
      </c>
      <c r="E13659">
        <f>IF(OR(B13659="vi",B13659="ii",B13659="pod"),(((D13659/100)*(C13659*VLOOKUP(B13659,'Poids des runes'!A:B,2,FALSE)))+1),(((D13659/100)*(C13659*VLOOKUP(B13659,'Poids des runes'!A:B,2,FALSE)))+1)/VLOOKUP(B13659,'Poids des runes'!A:B,2,FALSE))</f>
        <v>17.25</v>
      </c>
      <c r="F13659">
        <f t="shared" si="213"/>
        <v>17.25</v>
      </c>
    </row>
    <row r="13660" spans="1:6" x14ac:dyDescent="0.3">
      <c r="A13660" t="s">
        <v>2113</v>
      </c>
      <c r="B13660" t="s">
        <v>2162</v>
      </c>
      <c r="C13660">
        <v>8.5</v>
      </c>
      <c r="D13660">
        <v>200</v>
      </c>
      <c r="E13660">
        <f>IF(OR(B13660="vi",B13660="ii",B13660="pod"),(((D13660/100)*(C13660*VLOOKUP(B13660,'Poids des runes'!A:B,2,FALSE)))+1),(((D13660/100)*(C13660*VLOOKUP(B13660,'Poids des runes'!A:B,2,FALSE)))+1)/VLOOKUP(B13660,'Poids des runes'!A:B,2,FALSE))</f>
        <v>17.142857142857142</v>
      </c>
      <c r="F13660">
        <f t="shared" si="213"/>
        <v>17.142857142857142</v>
      </c>
    </row>
    <row r="13661" spans="1:6" x14ac:dyDescent="0.3">
      <c r="A13661" t="s">
        <v>2113</v>
      </c>
      <c r="B13661" t="s">
        <v>2163</v>
      </c>
      <c r="C13661">
        <v>18</v>
      </c>
      <c r="D13661">
        <v>200</v>
      </c>
      <c r="E13661">
        <f>IF(OR(B13661="vi",B13661="ii",B13661="pod"),(((D13661/100)*(C13661*VLOOKUP(B13661,'Poids des runes'!A:B,2,FALSE)))+1),(((D13661/100)*(C13661*VLOOKUP(B13661,'Poids des runes'!A:B,2,FALSE)))+1)/VLOOKUP(B13661,'Poids des runes'!A:B,2,FALSE))</f>
        <v>36.5</v>
      </c>
      <c r="F13661">
        <f t="shared" si="213"/>
        <v>36.5</v>
      </c>
    </row>
    <row r="13662" spans="1:6" x14ac:dyDescent="0.3">
      <c r="A13662" t="s">
        <v>2113</v>
      </c>
      <c r="B13662" t="s">
        <v>2144</v>
      </c>
      <c r="C13662">
        <v>13</v>
      </c>
      <c r="D13662">
        <v>200</v>
      </c>
      <c r="E13662">
        <f>IF(OR(B13662="vi",B13662="ii",B13662="pod"),(((D13662/100)*(C13662*VLOOKUP(B13662,'Poids des runes'!A:B,2,FALSE)))+1),(((D13662/100)*(C13662*VLOOKUP(B13662,'Poids des runes'!A:B,2,FALSE)))+1)/VLOOKUP(B13662,'Poids des runes'!A:B,2,FALSE))</f>
        <v>26.5</v>
      </c>
      <c r="F13662">
        <f t="shared" si="213"/>
        <v>26.5</v>
      </c>
    </row>
    <row r="13663" spans="1:6" x14ac:dyDescent="0.3">
      <c r="A13663" t="s">
        <v>2114</v>
      </c>
      <c r="B13663" t="s">
        <v>2128</v>
      </c>
      <c r="C13663">
        <v>325.5</v>
      </c>
      <c r="D13663">
        <v>200</v>
      </c>
      <c r="E13663">
        <f>IF(OR(B13663="vi",B13663="ii",B13663="pod"),(((D13663/100)*(C13663*VLOOKUP(B13663,'Poids des runes'!A:B,2,FALSE)))+1),(((D13663/100)*(C13663*VLOOKUP(B13663,'Poids des runes'!A:B,2,FALSE)))+1)/VLOOKUP(B13663,'Poids des runes'!A:B,2,FALSE))</f>
        <v>131.20000000000002</v>
      </c>
      <c r="F13663">
        <f t="shared" si="213"/>
        <v>131.20000000000002</v>
      </c>
    </row>
    <row r="13664" spans="1:6" x14ac:dyDescent="0.3">
      <c r="A13664" t="s">
        <v>2114</v>
      </c>
      <c r="B13664" t="s">
        <v>2131</v>
      </c>
      <c r="C13664">
        <v>60.5</v>
      </c>
      <c r="D13664">
        <v>200</v>
      </c>
      <c r="E13664">
        <f>IF(OR(B13664="vi",B13664="ii",B13664="pod"),(((D13664/100)*(C13664*VLOOKUP(B13664,'Poids des runes'!A:B,2,FALSE)))+1),(((D13664/100)*(C13664*VLOOKUP(B13664,'Poids des runes'!A:B,2,FALSE)))+1)/VLOOKUP(B13664,'Poids des runes'!A:B,2,FALSE))</f>
        <v>122</v>
      </c>
      <c r="F13664">
        <f t="shared" si="213"/>
        <v>122</v>
      </c>
    </row>
    <row r="13665" spans="1:6" x14ac:dyDescent="0.3">
      <c r="A13665" t="s">
        <v>2114</v>
      </c>
      <c r="B13665" t="s">
        <v>2129</v>
      </c>
      <c r="C13665">
        <v>25.5</v>
      </c>
      <c r="D13665">
        <v>200</v>
      </c>
      <c r="E13665">
        <f>IF(OR(B13665="vi",B13665="ii",B13665="pod"),(((D13665/100)*(C13665*VLOOKUP(B13665,'Poids des runes'!A:B,2,FALSE)))+1),(((D13665/100)*(C13665*VLOOKUP(B13665,'Poids des runes'!A:B,2,FALSE)))+1)/VLOOKUP(B13665,'Poids des runes'!A:B,2,FALSE))</f>
        <v>52</v>
      </c>
      <c r="F13665">
        <f t="shared" si="213"/>
        <v>52</v>
      </c>
    </row>
    <row r="13666" spans="1:6" x14ac:dyDescent="0.3">
      <c r="A13666" t="s">
        <v>2114</v>
      </c>
      <c r="B13666" t="s">
        <v>2151</v>
      </c>
      <c r="C13666">
        <v>4</v>
      </c>
      <c r="D13666">
        <v>200</v>
      </c>
      <c r="E13666">
        <f>IF(OR(B13666="vi",B13666="ii",B13666="pod"),(((D13666/100)*(C13666*VLOOKUP(B13666,'Poids des runes'!A:B,2,FALSE)))+1),(((D13666/100)*(C13666*VLOOKUP(B13666,'Poids des runes'!A:B,2,FALSE)))+1)/VLOOKUP(B13666,'Poids des runes'!A:B,2,FALSE))</f>
        <v>8.1</v>
      </c>
      <c r="F13666">
        <f t="shared" si="213"/>
        <v>8.1</v>
      </c>
    </row>
    <row r="13667" spans="1:6" x14ac:dyDescent="0.3">
      <c r="A13667" t="s">
        <v>2114</v>
      </c>
      <c r="B13667" t="s">
        <v>2155</v>
      </c>
      <c r="C13667">
        <v>1</v>
      </c>
      <c r="D13667">
        <v>200</v>
      </c>
      <c r="E13667">
        <f>IF(OR(B13667="vi",B13667="ii",B13667="pod"),(((D13667/100)*(C13667*VLOOKUP(B13667,'Poids des runes'!A:B,2,FALSE)))+1),(((D13667/100)*(C13667*VLOOKUP(B13667,'Poids des runes'!A:B,2,FALSE)))+1)/VLOOKUP(B13667,'Poids des runes'!A:B,2,FALSE))</f>
        <v>2.0196078431372548</v>
      </c>
      <c r="F13667">
        <f t="shared" si="213"/>
        <v>2.0196078431372548</v>
      </c>
    </row>
    <row r="13668" spans="1:6" x14ac:dyDescent="0.3">
      <c r="A13668" t="s">
        <v>2114</v>
      </c>
      <c r="B13668" t="s">
        <v>2133</v>
      </c>
      <c r="C13668">
        <v>13</v>
      </c>
      <c r="D13668">
        <v>200</v>
      </c>
      <c r="E13668">
        <f>IF(OR(B13668="vi",B13668="ii",B13668="pod"),(((D13668/100)*(C13668*VLOOKUP(B13668,'Poids des runes'!A:B,2,FALSE)))+1),(((D13668/100)*(C13668*VLOOKUP(B13668,'Poids des runes'!A:B,2,FALSE)))+1)/VLOOKUP(B13668,'Poids des runes'!A:B,2,FALSE))</f>
        <v>26.2</v>
      </c>
      <c r="F13668">
        <f t="shared" si="213"/>
        <v>26.2</v>
      </c>
    </row>
    <row r="13669" spans="1:6" x14ac:dyDescent="0.3">
      <c r="A13669" t="s">
        <v>2114</v>
      </c>
      <c r="B13669" t="s">
        <v>2161</v>
      </c>
      <c r="C13669">
        <v>13</v>
      </c>
      <c r="D13669">
        <v>200</v>
      </c>
      <c r="E13669">
        <f>IF(OR(B13669="vi",B13669="ii",B13669="pod"),(((D13669/100)*(C13669*VLOOKUP(B13669,'Poids des runes'!A:B,2,FALSE)))+1),(((D13669/100)*(C13669*VLOOKUP(B13669,'Poids des runes'!A:B,2,FALSE)))+1)/VLOOKUP(B13669,'Poids des runes'!A:B,2,FALSE))</f>
        <v>26.333333333333332</v>
      </c>
      <c r="F13669">
        <f t="shared" si="213"/>
        <v>26.333333333333332</v>
      </c>
    </row>
    <row r="13670" spans="1:6" x14ac:dyDescent="0.3">
      <c r="A13670" t="s">
        <v>2114</v>
      </c>
      <c r="B13670" t="s">
        <v>2163</v>
      </c>
      <c r="C13670">
        <v>15.5</v>
      </c>
      <c r="D13670">
        <v>200</v>
      </c>
      <c r="E13670">
        <f>IF(OR(B13670="vi",B13670="ii",B13670="pod"),(((D13670/100)*(C13670*VLOOKUP(B13670,'Poids des runes'!A:B,2,FALSE)))+1),(((D13670/100)*(C13670*VLOOKUP(B13670,'Poids des runes'!A:B,2,FALSE)))+1)/VLOOKUP(B13670,'Poids des runes'!A:B,2,FALSE))</f>
        <v>31.5</v>
      </c>
      <c r="F13670">
        <f t="shared" si="213"/>
        <v>31.5</v>
      </c>
    </row>
    <row r="13671" spans="1:6" x14ac:dyDescent="0.3">
      <c r="A13671" t="s">
        <v>2114</v>
      </c>
      <c r="B13671" t="s">
        <v>2156</v>
      </c>
      <c r="C13671">
        <v>5</v>
      </c>
      <c r="D13671">
        <v>200</v>
      </c>
      <c r="E13671">
        <f>IF(OR(B13671="vi",B13671="ii",B13671="pod"),(((D13671/100)*(C13671*VLOOKUP(B13671,'Poids des runes'!A:B,2,FALSE)))+1),(((D13671/100)*(C13671*VLOOKUP(B13671,'Poids des runes'!A:B,2,FALSE)))+1)/VLOOKUP(B13671,'Poids des runes'!A:B,2,FALSE))</f>
        <v>10.166666666666666</v>
      </c>
      <c r="F13671">
        <f t="shared" si="213"/>
        <v>10.166666666666666</v>
      </c>
    </row>
    <row r="13672" spans="1:6" x14ac:dyDescent="0.3">
      <c r="A13672" t="s">
        <v>2114</v>
      </c>
      <c r="B13672" t="s">
        <v>2148</v>
      </c>
      <c r="C13672">
        <v>6.5</v>
      </c>
      <c r="D13672">
        <v>200</v>
      </c>
      <c r="E13672">
        <f>IF(OR(B13672="vi",B13672="ii",B13672="pod"),(((D13672/100)*(C13672*VLOOKUP(B13672,'Poids des runes'!A:B,2,FALSE)))+1),(((D13672/100)*(C13672*VLOOKUP(B13672,'Poids des runes'!A:B,2,FALSE)))+1)/VLOOKUP(B13672,'Poids des runes'!A:B,2,FALSE))</f>
        <v>13.166666666666666</v>
      </c>
      <c r="F13672">
        <f t="shared" si="213"/>
        <v>13.166666666666666</v>
      </c>
    </row>
    <row r="13673" spans="1:6" x14ac:dyDescent="0.3">
      <c r="A13673" t="s">
        <v>2114</v>
      </c>
      <c r="B13673" t="s">
        <v>2147</v>
      </c>
      <c r="C13673">
        <v>6.5</v>
      </c>
      <c r="D13673">
        <v>200</v>
      </c>
      <c r="E13673">
        <f>IF(OR(B13673="vi",B13673="ii",B13673="pod"),(((D13673/100)*(C13673*VLOOKUP(B13673,'Poids des runes'!A:B,2,FALSE)))+1),(((D13673/100)*(C13673*VLOOKUP(B13673,'Poids des runes'!A:B,2,FALSE)))+1)/VLOOKUP(B13673,'Poids des runes'!A:B,2,FALSE))</f>
        <v>13.166666666666666</v>
      </c>
      <c r="F13673">
        <f t="shared" si="213"/>
        <v>13.166666666666666</v>
      </c>
    </row>
    <row r="13674" spans="1:6" x14ac:dyDescent="0.3">
      <c r="A13674" t="s">
        <v>2115</v>
      </c>
      <c r="B13674" t="s">
        <v>2128</v>
      </c>
      <c r="C13674">
        <v>375.5</v>
      </c>
      <c r="D13674">
        <v>200</v>
      </c>
      <c r="E13674">
        <f>IF(OR(B13674="vi",B13674="ii",B13674="pod"),(((D13674/100)*(C13674*VLOOKUP(B13674,'Poids des runes'!A:B,2,FALSE)))+1),(((D13674/100)*(C13674*VLOOKUP(B13674,'Poids des runes'!A:B,2,FALSE)))+1)/VLOOKUP(B13674,'Poids des runes'!A:B,2,FALSE))</f>
        <v>151.20000000000002</v>
      </c>
      <c r="F13674">
        <f t="shared" si="213"/>
        <v>151.20000000000002</v>
      </c>
    </row>
    <row r="13675" spans="1:6" x14ac:dyDescent="0.3">
      <c r="A13675" t="s">
        <v>2115</v>
      </c>
      <c r="B13675" t="s">
        <v>2130</v>
      </c>
      <c r="C13675">
        <v>60.5</v>
      </c>
      <c r="D13675">
        <v>200</v>
      </c>
      <c r="E13675">
        <f>IF(OR(B13675="vi",B13675="ii",B13675="pod"),(((D13675/100)*(C13675*VLOOKUP(B13675,'Poids des runes'!A:B,2,FALSE)))+1),(((D13675/100)*(C13675*VLOOKUP(B13675,'Poids des runes'!A:B,2,FALSE)))+1)/VLOOKUP(B13675,'Poids des runes'!A:B,2,FALSE))</f>
        <v>122</v>
      </c>
      <c r="F13675">
        <f t="shared" si="213"/>
        <v>122</v>
      </c>
    </row>
    <row r="13676" spans="1:6" x14ac:dyDescent="0.3">
      <c r="A13676" t="s">
        <v>2115</v>
      </c>
      <c r="B13676" t="s">
        <v>2129</v>
      </c>
      <c r="C13676">
        <v>25.5</v>
      </c>
      <c r="D13676">
        <v>200</v>
      </c>
      <c r="E13676">
        <f>IF(OR(B13676="vi",B13676="ii",B13676="pod"),(((D13676/100)*(C13676*VLOOKUP(B13676,'Poids des runes'!A:B,2,FALSE)))+1),(((D13676/100)*(C13676*VLOOKUP(B13676,'Poids des runes'!A:B,2,FALSE)))+1)/VLOOKUP(B13676,'Poids des runes'!A:B,2,FALSE))</f>
        <v>52</v>
      </c>
      <c r="F13676">
        <f t="shared" si="213"/>
        <v>52</v>
      </c>
    </row>
    <row r="13677" spans="1:6" x14ac:dyDescent="0.3">
      <c r="A13677" t="s">
        <v>2115</v>
      </c>
      <c r="B13677" t="s">
        <v>2139</v>
      </c>
      <c r="C13677">
        <v>15.5</v>
      </c>
      <c r="D13677">
        <v>200</v>
      </c>
      <c r="E13677">
        <f>IF(OR(B13677="vi",B13677="ii",B13677="pod"),(((D13677/100)*(C13677*VLOOKUP(B13677,'Poids des runes'!A:B,2,FALSE)))+1),(((D13677/100)*(C13677*VLOOKUP(B13677,'Poids des runes'!A:B,2,FALSE)))+1)/VLOOKUP(B13677,'Poids des runes'!A:B,2,FALSE))</f>
        <v>31.5</v>
      </c>
      <c r="F13677">
        <f t="shared" si="213"/>
        <v>31.5</v>
      </c>
    </row>
    <row r="13678" spans="1:6" x14ac:dyDescent="0.3">
      <c r="A13678" t="s">
        <v>2115</v>
      </c>
      <c r="B13678" t="s">
        <v>2151</v>
      </c>
      <c r="C13678">
        <v>2.5</v>
      </c>
      <c r="D13678">
        <v>200</v>
      </c>
      <c r="E13678">
        <f>IF(OR(B13678="vi",B13678="ii",B13678="pod"),(((D13678/100)*(C13678*VLOOKUP(B13678,'Poids des runes'!A:B,2,FALSE)))+1),(((D13678/100)*(C13678*VLOOKUP(B13678,'Poids des runes'!A:B,2,FALSE)))+1)/VLOOKUP(B13678,'Poids des runes'!A:B,2,FALSE))</f>
        <v>5.0999999999999996</v>
      </c>
      <c r="F13678">
        <f t="shared" si="213"/>
        <v>5.0999999999999996</v>
      </c>
    </row>
    <row r="13679" spans="1:6" x14ac:dyDescent="0.3">
      <c r="A13679" t="s">
        <v>2115</v>
      </c>
      <c r="B13679" t="s">
        <v>2143</v>
      </c>
      <c r="C13679">
        <v>13</v>
      </c>
      <c r="D13679">
        <v>200</v>
      </c>
      <c r="E13679">
        <f>IF(OR(B13679="vi",B13679="ii",B13679="pod"),(((D13679/100)*(C13679*VLOOKUP(B13679,'Poids des runes'!A:B,2,FALSE)))+1),(((D13679/100)*(C13679*VLOOKUP(B13679,'Poids des runes'!A:B,2,FALSE)))+1)/VLOOKUP(B13679,'Poids des runes'!A:B,2,FALSE))</f>
        <v>26.2</v>
      </c>
      <c r="F13679">
        <f t="shared" si="213"/>
        <v>26.2</v>
      </c>
    </row>
    <row r="13680" spans="1:6" x14ac:dyDescent="0.3">
      <c r="A13680" t="s">
        <v>2115</v>
      </c>
      <c r="B13680" t="s">
        <v>2161</v>
      </c>
      <c r="C13680">
        <v>18</v>
      </c>
      <c r="D13680">
        <v>200</v>
      </c>
      <c r="E13680">
        <f>IF(OR(B13680="vi",B13680="ii",B13680="pod"),(((D13680/100)*(C13680*VLOOKUP(B13680,'Poids des runes'!A:B,2,FALSE)))+1),(((D13680/100)*(C13680*VLOOKUP(B13680,'Poids des runes'!A:B,2,FALSE)))+1)/VLOOKUP(B13680,'Poids des runes'!A:B,2,FALSE))</f>
        <v>36.333333333333336</v>
      </c>
      <c r="F13680">
        <f t="shared" si="213"/>
        <v>36.333333333333336</v>
      </c>
    </row>
    <row r="13681" spans="1:6" x14ac:dyDescent="0.3">
      <c r="A13681" t="s">
        <v>2115</v>
      </c>
      <c r="B13681" t="s">
        <v>2132</v>
      </c>
      <c r="C13681">
        <v>250.5</v>
      </c>
      <c r="D13681">
        <v>200</v>
      </c>
      <c r="E13681">
        <f>IF(OR(B13681="vi",B13681="ii",B13681="pod"),(((D13681/100)*(C13681*VLOOKUP(B13681,'Poids des runes'!A:B,2,FALSE)))+1),(((D13681/100)*(C13681*VLOOKUP(B13681,'Poids des runes'!A:B,2,FALSE)))+1)/VLOOKUP(B13681,'Poids des runes'!A:B,2,FALSE))</f>
        <v>51.1</v>
      </c>
      <c r="F13681">
        <f t="shared" si="213"/>
        <v>51.1</v>
      </c>
    </row>
    <row r="13682" spans="1:6" x14ac:dyDescent="0.3">
      <c r="A13682" t="s">
        <v>2115</v>
      </c>
      <c r="B13682" t="s">
        <v>2165</v>
      </c>
      <c r="C13682">
        <v>3.5</v>
      </c>
      <c r="D13682">
        <v>200</v>
      </c>
      <c r="E13682">
        <f>IF(OR(B13682="vi",B13682="ii",B13682="pod"),(((D13682/100)*(C13682*VLOOKUP(B13682,'Poids des runes'!A:B,2,FALSE)))+1),(((D13682/100)*(C13682*VLOOKUP(B13682,'Poids des runes'!A:B,2,FALSE)))+1)/VLOOKUP(B13682,'Poids des runes'!A:B,2,FALSE))</f>
        <v>7.1428571428571432</v>
      </c>
      <c r="F13682">
        <f t="shared" si="213"/>
        <v>7.1428571428571432</v>
      </c>
    </row>
    <row r="13683" spans="1:6" x14ac:dyDescent="0.3">
      <c r="A13683" t="s">
        <v>2115</v>
      </c>
      <c r="B13683" t="s">
        <v>2142</v>
      </c>
      <c r="C13683">
        <v>8</v>
      </c>
      <c r="D13683">
        <v>200</v>
      </c>
      <c r="E13683">
        <f>IF(OR(B13683="vi",B13683="ii",B13683="pod"),(((D13683/100)*(C13683*VLOOKUP(B13683,'Poids des runes'!A:B,2,FALSE)))+1),(((D13683/100)*(C13683*VLOOKUP(B13683,'Poids des runes'!A:B,2,FALSE)))+1)/VLOOKUP(B13683,'Poids des runes'!A:B,2,FALSE))</f>
        <v>16.2</v>
      </c>
      <c r="F13683">
        <f t="shared" si="213"/>
        <v>16.2</v>
      </c>
    </row>
    <row r="13684" spans="1:6" x14ac:dyDescent="0.3">
      <c r="A13684" t="s">
        <v>2115</v>
      </c>
      <c r="B13684" t="s">
        <v>2148</v>
      </c>
      <c r="C13684">
        <v>6.5</v>
      </c>
      <c r="D13684">
        <v>200</v>
      </c>
      <c r="E13684">
        <f>IF(OR(B13684="vi",B13684="ii",B13684="pod"),(((D13684/100)*(C13684*VLOOKUP(B13684,'Poids des runes'!A:B,2,FALSE)))+1),(((D13684/100)*(C13684*VLOOKUP(B13684,'Poids des runes'!A:B,2,FALSE)))+1)/VLOOKUP(B13684,'Poids des runes'!A:B,2,FALSE))</f>
        <v>13.166666666666666</v>
      </c>
      <c r="F13684">
        <f t="shared" si="213"/>
        <v>13.166666666666666</v>
      </c>
    </row>
    <row r="13685" spans="1:6" x14ac:dyDescent="0.3">
      <c r="A13685" t="s">
        <v>2115</v>
      </c>
      <c r="B13685" t="s">
        <v>2135</v>
      </c>
      <c r="C13685">
        <v>8.5</v>
      </c>
      <c r="D13685">
        <v>200</v>
      </c>
      <c r="E13685">
        <f>IF(OR(B13685="vi",B13685="ii",B13685="pod"),(((D13685/100)*(C13685*VLOOKUP(B13685,'Poids des runes'!A:B,2,FALSE)))+1),(((D13685/100)*(C13685*VLOOKUP(B13685,'Poids des runes'!A:B,2,FALSE)))+1)/VLOOKUP(B13685,'Poids des runes'!A:B,2,FALSE))</f>
        <v>17.166666666666668</v>
      </c>
      <c r="F13685">
        <f t="shared" si="213"/>
        <v>17.166666666666668</v>
      </c>
    </row>
    <row r="13686" spans="1:6" x14ac:dyDescent="0.3">
      <c r="A13686" t="s">
        <v>2115</v>
      </c>
      <c r="B13686" t="s">
        <v>2137</v>
      </c>
      <c r="C13686">
        <v>8</v>
      </c>
      <c r="D13686">
        <v>200</v>
      </c>
      <c r="E13686">
        <f>IF(OR(B13686="vi",B13686="ii",B13686="pod"),(((D13686/100)*(C13686*VLOOKUP(B13686,'Poids des runes'!A:B,2,FALSE)))+1),(((D13686/100)*(C13686*VLOOKUP(B13686,'Poids des runes'!A:B,2,FALSE)))+1)/VLOOKUP(B13686,'Poids des runes'!A:B,2,FALSE))</f>
        <v>16.5</v>
      </c>
      <c r="F13686">
        <f t="shared" si="213"/>
        <v>16.5</v>
      </c>
    </row>
    <row r="13687" spans="1:6" x14ac:dyDescent="0.3">
      <c r="A13687" t="s">
        <v>2116</v>
      </c>
      <c r="B13687" t="s">
        <v>2128</v>
      </c>
      <c r="C13687">
        <v>325.5</v>
      </c>
      <c r="D13687">
        <v>200</v>
      </c>
      <c r="E13687">
        <f>IF(OR(B13687="vi",B13687="ii",B13687="pod"),(((D13687/100)*(C13687*VLOOKUP(B13687,'Poids des runes'!A:B,2,FALSE)))+1),(((D13687/100)*(C13687*VLOOKUP(B13687,'Poids des runes'!A:B,2,FALSE)))+1)/VLOOKUP(B13687,'Poids des runes'!A:B,2,FALSE))</f>
        <v>131.20000000000002</v>
      </c>
      <c r="F13687">
        <f t="shared" si="213"/>
        <v>131.20000000000002</v>
      </c>
    </row>
    <row r="13688" spans="1:6" x14ac:dyDescent="0.3">
      <c r="A13688" t="s">
        <v>2116</v>
      </c>
      <c r="B13688" t="s">
        <v>2131</v>
      </c>
      <c r="C13688">
        <v>50.5</v>
      </c>
      <c r="D13688">
        <v>200</v>
      </c>
      <c r="E13688">
        <f>IF(OR(B13688="vi",B13688="ii",B13688="pod"),(((D13688/100)*(C13688*VLOOKUP(B13688,'Poids des runes'!A:B,2,FALSE)))+1),(((D13688/100)*(C13688*VLOOKUP(B13688,'Poids des runes'!A:B,2,FALSE)))+1)/VLOOKUP(B13688,'Poids des runes'!A:B,2,FALSE))</f>
        <v>102</v>
      </c>
      <c r="F13688">
        <f t="shared" si="213"/>
        <v>102</v>
      </c>
    </row>
    <row r="13689" spans="1:6" x14ac:dyDescent="0.3">
      <c r="A13689" t="s">
        <v>2116</v>
      </c>
      <c r="B13689" t="s">
        <v>2127</v>
      </c>
      <c r="C13689">
        <v>50.5</v>
      </c>
      <c r="D13689">
        <v>200</v>
      </c>
      <c r="E13689">
        <f>IF(OR(B13689="vi",B13689="ii",B13689="pod"),(((D13689/100)*(C13689*VLOOKUP(B13689,'Poids des runes'!A:B,2,FALSE)))+1),(((D13689/100)*(C13689*VLOOKUP(B13689,'Poids des runes'!A:B,2,FALSE)))+1)/VLOOKUP(B13689,'Poids des runes'!A:B,2,FALSE))</f>
        <v>102</v>
      </c>
      <c r="F13689">
        <f t="shared" si="213"/>
        <v>102</v>
      </c>
    </row>
    <row r="13690" spans="1:6" x14ac:dyDescent="0.3">
      <c r="A13690" t="s">
        <v>2116</v>
      </c>
      <c r="B13690" t="s">
        <v>2129</v>
      </c>
      <c r="C13690">
        <v>35.5</v>
      </c>
      <c r="D13690">
        <v>200</v>
      </c>
      <c r="E13690">
        <f>IF(OR(B13690="vi",B13690="ii",B13690="pod"),(((D13690/100)*(C13690*VLOOKUP(B13690,'Poids des runes'!A:B,2,FALSE)))+1),(((D13690/100)*(C13690*VLOOKUP(B13690,'Poids des runes'!A:B,2,FALSE)))+1)/VLOOKUP(B13690,'Poids des runes'!A:B,2,FALSE))</f>
        <v>72</v>
      </c>
      <c r="F13690">
        <f t="shared" si="213"/>
        <v>72</v>
      </c>
    </row>
    <row r="13691" spans="1:6" x14ac:dyDescent="0.3">
      <c r="A13691" t="s">
        <v>2116</v>
      </c>
      <c r="B13691" t="s">
        <v>2151</v>
      </c>
      <c r="C13691">
        <v>2.5</v>
      </c>
      <c r="D13691">
        <v>200</v>
      </c>
      <c r="E13691">
        <f>IF(OR(B13691="vi",B13691="ii",B13691="pod"),(((D13691/100)*(C13691*VLOOKUP(B13691,'Poids des runes'!A:B,2,FALSE)))+1),(((D13691/100)*(C13691*VLOOKUP(B13691,'Poids des runes'!A:B,2,FALSE)))+1)/VLOOKUP(B13691,'Poids des runes'!A:B,2,FALSE))</f>
        <v>5.0999999999999996</v>
      </c>
      <c r="F13691">
        <f t="shared" si="213"/>
        <v>5.0999999999999996</v>
      </c>
    </row>
    <row r="13692" spans="1:6" x14ac:dyDescent="0.3">
      <c r="A13692" t="s">
        <v>2116</v>
      </c>
      <c r="B13692" t="s">
        <v>2133</v>
      </c>
      <c r="C13692">
        <v>8.5</v>
      </c>
      <c r="D13692">
        <v>200</v>
      </c>
      <c r="E13692">
        <f>IF(OR(B13692="vi",B13692="ii",B13692="pod"),(((D13692/100)*(C13692*VLOOKUP(B13692,'Poids des runes'!A:B,2,FALSE)))+1),(((D13692/100)*(C13692*VLOOKUP(B13692,'Poids des runes'!A:B,2,FALSE)))+1)/VLOOKUP(B13692,'Poids des runes'!A:B,2,FALSE))</f>
        <v>17.2</v>
      </c>
      <c r="F13692">
        <f t="shared" si="213"/>
        <v>17.2</v>
      </c>
    </row>
    <row r="13693" spans="1:6" x14ac:dyDescent="0.3">
      <c r="A13693" t="s">
        <v>2116</v>
      </c>
      <c r="B13693" t="s">
        <v>2153</v>
      </c>
      <c r="C13693">
        <v>8.5</v>
      </c>
      <c r="D13693">
        <v>200</v>
      </c>
      <c r="E13693">
        <f>IF(OR(B13693="vi",B13693="ii",B13693="pod"),(((D13693/100)*(C13693*VLOOKUP(B13693,'Poids des runes'!A:B,2,FALSE)))+1),(((D13693/100)*(C13693*VLOOKUP(B13693,'Poids des runes'!A:B,2,FALSE)))+1)/VLOOKUP(B13693,'Poids des runes'!A:B,2,FALSE))</f>
        <v>17.2</v>
      </c>
      <c r="F13693">
        <f t="shared" si="213"/>
        <v>17.2</v>
      </c>
    </row>
    <row r="13694" spans="1:6" x14ac:dyDescent="0.3">
      <c r="A13694" t="s">
        <v>2116</v>
      </c>
      <c r="B13694" t="s">
        <v>2161</v>
      </c>
      <c r="C13694">
        <v>13</v>
      </c>
      <c r="D13694">
        <v>200</v>
      </c>
      <c r="E13694">
        <f>IF(OR(B13694="vi",B13694="ii",B13694="pod"),(((D13694/100)*(C13694*VLOOKUP(B13694,'Poids des runes'!A:B,2,FALSE)))+1),(((D13694/100)*(C13694*VLOOKUP(B13694,'Poids des runes'!A:B,2,FALSE)))+1)/VLOOKUP(B13694,'Poids des runes'!A:B,2,FALSE))</f>
        <v>26.333333333333332</v>
      </c>
      <c r="F13694">
        <f t="shared" si="213"/>
        <v>26.333333333333332</v>
      </c>
    </row>
    <row r="13695" spans="1:6" x14ac:dyDescent="0.3">
      <c r="A13695" t="s">
        <v>2116</v>
      </c>
      <c r="B13695" t="s">
        <v>2132</v>
      </c>
      <c r="C13695">
        <v>400.5</v>
      </c>
      <c r="D13695">
        <v>200</v>
      </c>
      <c r="E13695">
        <f>IF(OR(B13695="vi",B13695="ii",B13695="pod"),(((D13695/100)*(C13695*VLOOKUP(B13695,'Poids des runes'!A:B,2,FALSE)))+1),(((D13695/100)*(C13695*VLOOKUP(B13695,'Poids des runes'!A:B,2,FALSE)))+1)/VLOOKUP(B13695,'Poids des runes'!A:B,2,FALSE))</f>
        <v>81.100000000000009</v>
      </c>
      <c r="F13695">
        <f t="shared" si="213"/>
        <v>81.100000000000009</v>
      </c>
    </row>
    <row r="13696" spans="1:6" x14ac:dyDescent="0.3">
      <c r="A13696" t="s">
        <v>2116</v>
      </c>
      <c r="B13696" t="s">
        <v>2141</v>
      </c>
      <c r="C13696">
        <v>6</v>
      </c>
      <c r="D13696">
        <v>200</v>
      </c>
      <c r="E13696">
        <f>IF(OR(B13696="vi",B13696="ii",B13696="pod"),(((D13696/100)*(C13696*VLOOKUP(B13696,'Poids des runes'!A:B,2,FALSE)))+1),(((D13696/100)*(C13696*VLOOKUP(B13696,'Poids des runes'!A:B,2,FALSE)))+1)/VLOOKUP(B13696,'Poids des runes'!A:B,2,FALSE))</f>
        <v>12.25</v>
      </c>
      <c r="F13696">
        <f t="shared" si="213"/>
        <v>12.25</v>
      </c>
    </row>
    <row r="13697" spans="1:6" x14ac:dyDescent="0.3">
      <c r="A13697" t="s">
        <v>2116</v>
      </c>
      <c r="B13697" t="s">
        <v>2156</v>
      </c>
      <c r="C13697">
        <v>6</v>
      </c>
      <c r="D13697">
        <v>200</v>
      </c>
      <c r="E13697">
        <f>IF(OR(B13697="vi",B13697="ii",B13697="pod"),(((D13697/100)*(C13697*VLOOKUP(B13697,'Poids des runes'!A:B,2,FALSE)))+1),(((D13697/100)*(C13697*VLOOKUP(B13697,'Poids des runes'!A:B,2,FALSE)))+1)/VLOOKUP(B13697,'Poids des runes'!A:B,2,FALSE))</f>
        <v>12.166666666666666</v>
      </c>
      <c r="F13697">
        <f t="shared" si="213"/>
        <v>12.166666666666666</v>
      </c>
    </row>
    <row r="13698" spans="1:6" x14ac:dyDescent="0.3">
      <c r="A13698" t="s">
        <v>2116</v>
      </c>
      <c r="B13698" t="s">
        <v>2148</v>
      </c>
      <c r="C13698">
        <v>6</v>
      </c>
      <c r="D13698">
        <v>200</v>
      </c>
      <c r="E13698">
        <f>IF(OR(B13698="vi",B13698="ii",B13698="pod"),(((D13698/100)*(C13698*VLOOKUP(B13698,'Poids des runes'!A:B,2,FALSE)))+1),(((D13698/100)*(C13698*VLOOKUP(B13698,'Poids des runes'!A:B,2,FALSE)))+1)/VLOOKUP(B13698,'Poids des runes'!A:B,2,FALSE))</f>
        <v>12.166666666666666</v>
      </c>
      <c r="F13698">
        <f t="shared" si="213"/>
        <v>12.166666666666666</v>
      </c>
    </row>
    <row r="13699" spans="1:6" x14ac:dyDescent="0.3">
      <c r="A13699" t="s">
        <v>2116</v>
      </c>
      <c r="B13699" t="s">
        <v>2147</v>
      </c>
      <c r="C13699">
        <v>6</v>
      </c>
      <c r="D13699">
        <v>200</v>
      </c>
      <c r="E13699">
        <f>IF(OR(B13699="vi",B13699="ii",B13699="pod"),(((D13699/100)*(C13699*VLOOKUP(B13699,'Poids des runes'!A:B,2,FALSE)))+1),(((D13699/100)*(C13699*VLOOKUP(B13699,'Poids des runes'!A:B,2,FALSE)))+1)/VLOOKUP(B13699,'Poids des runes'!A:B,2,FALSE))</f>
        <v>12.166666666666666</v>
      </c>
      <c r="F13699">
        <f t="shared" ref="F13699:F13762" si="214">E13699</f>
        <v>12.166666666666666</v>
      </c>
    </row>
    <row r="13700" spans="1:6" x14ac:dyDescent="0.3">
      <c r="A13700" t="s">
        <v>2116</v>
      </c>
      <c r="B13700" t="s">
        <v>2144</v>
      </c>
      <c r="C13700">
        <v>13</v>
      </c>
      <c r="D13700">
        <v>200</v>
      </c>
      <c r="E13700">
        <f>IF(OR(B13700="vi",B13700="ii",B13700="pod"),(((D13700/100)*(C13700*VLOOKUP(B13700,'Poids des runes'!A:B,2,FALSE)))+1),(((D13700/100)*(C13700*VLOOKUP(B13700,'Poids des runes'!A:B,2,FALSE)))+1)/VLOOKUP(B13700,'Poids des runes'!A:B,2,FALSE))</f>
        <v>26.5</v>
      </c>
      <c r="F13700">
        <f t="shared" si="214"/>
        <v>26.5</v>
      </c>
    </row>
    <row r="13701" spans="1:6" x14ac:dyDescent="0.3">
      <c r="A13701" t="s">
        <v>2117</v>
      </c>
      <c r="B13701" t="s">
        <v>2128</v>
      </c>
      <c r="C13701">
        <v>325.5</v>
      </c>
      <c r="D13701">
        <v>200</v>
      </c>
      <c r="E13701">
        <f>IF(OR(B13701="vi",B13701="ii",B13701="pod"),(((D13701/100)*(C13701*VLOOKUP(B13701,'Poids des runes'!A:B,2,FALSE)))+1),(((D13701/100)*(C13701*VLOOKUP(B13701,'Poids des runes'!A:B,2,FALSE)))+1)/VLOOKUP(B13701,'Poids des runes'!A:B,2,FALSE))</f>
        <v>131.20000000000002</v>
      </c>
      <c r="F13701">
        <f t="shared" si="214"/>
        <v>131.20000000000002</v>
      </c>
    </row>
    <row r="13702" spans="1:6" x14ac:dyDescent="0.3">
      <c r="A13702" t="s">
        <v>2117</v>
      </c>
      <c r="B13702" t="s">
        <v>2130</v>
      </c>
      <c r="C13702">
        <v>40.5</v>
      </c>
      <c r="D13702">
        <v>200</v>
      </c>
      <c r="E13702">
        <f>IF(OR(B13702="vi",B13702="ii",B13702="pod"),(((D13702/100)*(C13702*VLOOKUP(B13702,'Poids des runes'!A:B,2,FALSE)))+1),(((D13702/100)*(C13702*VLOOKUP(B13702,'Poids des runes'!A:B,2,FALSE)))+1)/VLOOKUP(B13702,'Poids des runes'!A:B,2,FALSE))</f>
        <v>82</v>
      </c>
      <c r="F13702">
        <f t="shared" si="214"/>
        <v>82</v>
      </c>
    </row>
    <row r="13703" spans="1:6" x14ac:dyDescent="0.3">
      <c r="A13703" t="s">
        <v>2117</v>
      </c>
      <c r="B13703" t="s">
        <v>2131</v>
      </c>
      <c r="C13703">
        <v>40.5</v>
      </c>
      <c r="D13703">
        <v>200</v>
      </c>
      <c r="E13703">
        <f>IF(OR(B13703="vi",B13703="ii",B13703="pod"),(((D13703/100)*(C13703*VLOOKUP(B13703,'Poids des runes'!A:B,2,FALSE)))+1),(((D13703/100)*(C13703*VLOOKUP(B13703,'Poids des runes'!A:B,2,FALSE)))+1)/VLOOKUP(B13703,'Poids des runes'!A:B,2,FALSE))</f>
        <v>82</v>
      </c>
      <c r="F13703">
        <f t="shared" si="214"/>
        <v>82</v>
      </c>
    </row>
    <row r="13704" spans="1:6" x14ac:dyDescent="0.3">
      <c r="A13704" t="s">
        <v>2117</v>
      </c>
      <c r="B13704" t="s">
        <v>2129</v>
      </c>
      <c r="C13704">
        <v>35.5</v>
      </c>
      <c r="D13704">
        <v>200</v>
      </c>
      <c r="E13704">
        <f>IF(OR(B13704="vi",B13704="ii",B13704="pod"),(((D13704/100)*(C13704*VLOOKUP(B13704,'Poids des runes'!A:B,2,FALSE)))+1),(((D13704/100)*(C13704*VLOOKUP(B13704,'Poids des runes'!A:B,2,FALSE)))+1)/VLOOKUP(B13704,'Poids des runes'!A:B,2,FALSE))</f>
        <v>72</v>
      </c>
      <c r="F13704">
        <f t="shared" si="214"/>
        <v>72</v>
      </c>
    </row>
    <row r="13705" spans="1:6" x14ac:dyDescent="0.3">
      <c r="A13705" t="s">
        <v>2117</v>
      </c>
      <c r="B13705" t="s">
        <v>2155</v>
      </c>
      <c r="C13705">
        <v>1</v>
      </c>
      <c r="D13705">
        <v>200</v>
      </c>
      <c r="E13705">
        <f>IF(OR(B13705="vi",B13705="ii",B13705="pod"),(((D13705/100)*(C13705*VLOOKUP(B13705,'Poids des runes'!A:B,2,FALSE)))+1),(((D13705/100)*(C13705*VLOOKUP(B13705,'Poids des runes'!A:B,2,FALSE)))+1)/VLOOKUP(B13705,'Poids des runes'!A:B,2,FALSE))</f>
        <v>2.0196078431372548</v>
      </c>
      <c r="F13705">
        <f t="shared" si="214"/>
        <v>2.0196078431372548</v>
      </c>
    </row>
    <row r="13706" spans="1:6" x14ac:dyDescent="0.3">
      <c r="A13706" t="s">
        <v>2117</v>
      </c>
      <c r="B13706" t="s">
        <v>2143</v>
      </c>
      <c r="C13706">
        <v>13</v>
      </c>
      <c r="D13706">
        <v>200</v>
      </c>
      <c r="E13706">
        <f>IF(OR(B13706="vi",B13706="ii",B13706="pod"),(((D13706/100)*(C13706*VLOOKUP(B13706,'Poids des runes'!A:B,2,FALSE)))+1),(((D13706/100)*(C13706*VLOOKUP(B13706,'Poids des runes'!A:B,2,FALSE)))+1)/VLOOKUP(B13706,'Poids des runes'!A:B,2,FALSE))</f>
        <v>26.2</v>
      </c>
      <c r="F13706">
        <f t="shared" si="214"/>
        <v>26.2</v>
      </c>
    </row>
    <row r="13707" spans="1:6" x14ac:dyDescent="0.3">
      <c r="A13707" t="s">
        <v>2117</v>
      </c>
      <c r="B13707" t="s">
        <v>2133</v>
      </c>
      <c r="C13707">
        <v>13</v>
      </c>
      <c r="D13707">
        <v>200</v>
      </c>
      <c r="E13707">
        <f>IF(OR(B13707="vi",B13707="ii",B13707="pod"),(((D13707/100)*(C13707*VLOOKUP(B13707,'Poids des runes'!A:B,2,FALSE)))+1),(((D13707/100)*(C13707*VLOOKUP(B13707,'Poids des runes'!A:B,2,FALSE)))+1)/VLOOKUP(B13707,'Poids des runes'!A:B,2,FALSE))</f>
        <v>26.2</v>
      </c>
      <c r="F13707">
        <f t="shared" si="214"/>
        <v>26.2</v>
      </c>
    </row>
    <row r="13708" spans="1:6" x14ac:dyDescent="0.3">
      <c r="A13708" t="s">
        <v>2117</v>
      </c>
      <c r="B13708" t="s">
        <v>2163</v>
      </c>
      <c r="C13708">
        <v>13</v>
      </c>
      <c r="D13708">
        <v>200</v>
      </c>
      <c r="E13708">
        <f>IF(OR(B13708="vi",B13708="ii",B13708="pod"),(((D13708/100)*(C13708*VLOOKUP(B13708,'Poids des runes'!A:B,2,FALSE)))+1),(((D13708/100)*(C13708*VLOOKUP(B13708,'Poids des runes'!A:B,2,FALSE)))+1)/VLOOKUP(B13708,'Poids des runes'!A:B,2,FALSE))</f>
        <v>26.5</v>
      </c>
      <c r="F13708">
        <f t="shared" si="214"/>
        <v>26.5</v>
      </c>
    </row>
    <row r="13709" spans="1:6" x14ac:dyDescent="0.3">
      <c r="A13709" t="s">
        <v>2117</v>
      </c>
      <c r="B13709" t="s">
        <v>2147</v>
      </c>
      <c r="C13709">
        <v>8.5</v>
      </c>
      <c r="D13709">
        <v>200</v>
      </c>
      <c r="E13709">
        <f>IF(OR(B13709="vi",B13709="ii",B13709="pod"),(((D13709/100)*(C13709*VLOOKUP(B13709,'Poids des runes'!A:B,2,FALSE)))+1),(((D13709/100)*(C13709*VLOOKUP(B13709,'Poids des runes'!A:B,2,FALSE)))+1)/VLOOKUP(B13709,'Poids des runes'!A:B,2,FALSE))</f>
        <v>17.166666666666668</v>
      </c>
      <c r="F13709">
        <f t="shared" si="214"/>
        <v>17.166666666666668</v>
      </c>
    </row>
    <row r="13710" spans="1:6" x14ac:dyDescent="0.3">
      <c r="A13710" t="s">
        <v>2118</v>
      </c>
      <c r="B13710" t="s">
        <v>2128</v>
      </c>
      <c r="C13710">
        <v>275.5</v>
      </c>
      <c r="D13710">
        <v>200</v>
      </c>
      <c r="E13710">
        <f>IF(OR(B13710="vi",B13710="ii",B13710="pod"),(((D13710/100)*(C13710*VLOOKUP(B13710,'Poids des runes'!A:B,2,FALSE)))+1),(((D13710/100)*(C13710*VLOOKUP(B13710,'Poids des runes'!A:B,2,FALSE)))+1)/VLOOKUP(B13710,'Poids des runes'!A:B,2,FALSE))</f>
        <v>111.2</v>
      </c>
      <c r="F13710">
        <f t="shared" si="214"/>
        <v>111.2</v>
      </c>
    </row>
    <row r="13711" spans="1:6" x14ac:dyDescent="0.3">
      <c r="A13711" t="s">
        <v>2118</v>
      </c>
      <c r="B13711" t="s">
        <v>2126</v>
      </c>
      <c r="C13711">
        <v>70.5</v>
      </c>
      <c r="D13711">
        <v>200</v>
      </c>
      <c r="E13711">
        <f>IF(OR(B13711="vi",B13711="ii",B13711="pod"),(((D13711/100)*(C13711*VLOOKUP(B13711,'Poids des runes'!A:B,2,FALSE)))+1),(((D13711/100)*(C13711*VLOOKUP(B13711,'Poids des runes'!A:B,2,FALSE)))+1)/VLOOKUP(B13711,'Poids des runes'!A:B,2,FALSE))</f>
        <v>142</v>
      </c>
      <c r="F13711">
        <f t="shared" si="214"/>
        <v>142</v>
      </c>
    </row>
    <row r="13712" spans="1:6" x14ac:dyDescent="0.3">
      <c r="A13712" t="s">
        <v>2118</v>
      </c>
      <c r="B13712" t="s">
        <v>2129</v>
      </c>
      <c r="C13712">
        <v>35.5</v>
      </c>
      <c r="D13712">
        <v>200</v>
      </c>
      <c r="E13712">
        <f>IF(OR(B13712="vi",B13712="ii",B13712="pod"),(((D13712/100)*(C13712*VLOOKUP(B13712,'Poids des runes'!A:B,2,FALSE)))+1),(((D13712/100)*(C13712*VLOOKUP(B13712,'Poids des runes'!A:B,2,FALSE)))+1)/VLOOKUP(B13712,'Poids des runes'!A:B,2,FALSE))</f>
        <v>72</v>
      </c>
      <c r="F13712">
        <f t="shared" si="214"/>
        <v>72</v>
      </c>
    </row>
    <row r="13713" spans="1:6" x14ac:dyDescent="0.3">
      <c r="A13713" t="s">
        <v>2118</v>
      </c>
      <c r="B13713" t="s">
        <v>2151</v>
      </c>
      <c r="C13713">
        <v>4</v>
      </c>
      <c r="D13713">
        <v>200</v>
      </c>
      <c r="E13713">
        <f>IF(OR(B13713="vi",B13713="ii",B13713="pod"),(((D13713/100)*(C13713*VLOOKUP(B13713,'Poids des runes'!A:B,2,FALSE)))+1),(((D13713/100)*(C13713*VLOOKUP(B13713,'Poids des runes'!A:B,2,FALSE)))+1)/VLOOKUP(B13713,'Poids des runes'!A:B,2,FALSE))</f>
        <v>8.1</v>
      </c>
      <c r="F13713">
        <f t="shared" si="214"/>
        <v>8.1</v>
      </c>
    </row>
    <row r="13714" spans="1:6" x14ac:dyDescent="0.3">
      <c r="A13714" t="s">
        <v>2118</v>
      </c>
      <c r="B13714" t="s">
        <v>2140</v>
      </c>
      <c r="C13714">
        <v>13</v>
      </c>
      <c r="D13714">
        <v>200</v>
      </c>
      <c r="E13714">
        <f>IF(OR(B13714="vi",B13714="ii",B13714="pod"),(((D13714/100)*(C13714*VLOOKUP(B13714,'Poids des runes'!A:B,2,FALSE)))+1),(((D13714/100)*(C13714*VLOOKUP(B13714,'Poids des runes'!A:B,2,FALSE)))+1)/VLOOKUP(B13714,'Poids des runes'!A:B,2,FALSE))</f>
        <v>26.2</v>
      </c>
      <c r="F13714">
        <f t="shared" si="214"/>
        <v>26.2</v>
      </c>
    </row>
    <row r="13715" spans="1:6" x14ac:dyDescent="0.3">
      <c r="A13715" t="s">
        <v>2118</v>
      </c>
      <c r="B13715" t="s">
        <v>2149</v>
      </c>
      <c r="C13715">
        <v>10.5</v>
      </c>
      <c r="D13715">
        <v>200</v>
      </c>
      <c r="E13715">
        <f>IF(OR(B13715="vi",B13715="ii",B13715="pod"),(((D13715/100)*(C13715*VLOOKUP(B13715,'Poids des runes'!A:B,2,FALSE)))+1),(((D13715/100)*(C13715*VLOOKUP(B13715,'Poids des runes'!A:B,2,FALSE)))+1)/VLOOKUP(B13715,'Poids des runes'!A:B,2,FALSE))</f>
        <v>21.1</v>
      </c>
      <c r="F13715">
        <f t="shared" si="214"/>
        <v>21.1</v>
      </c>
    </row>
    <row r="13716" spans="1:6" x14ac:dyDescent="0.3">
      <c r="A13716" t="s">
        <v>2118</v>
      </c>
      <c r="B13716" t="s">
        <v>2141</v>
      </c>
      <c r="C13716">
        <v>6</v>
      </c>
      <c r="D13716">
        <v>200</v>
      </c>
      <c r="E13716">
        <f>IF(OR(B13716="vi",B13716="ii",B13716="pod"),(((D13716/100)*(C13716*VLOOKUP(B13716,'Poids des runes'!A:B,2,FALSE)))+1),(((D13716/100)*(C13716*VLOOKUP(B13716,'Poids des runes'!A:B,2,FALSE)))+1)/VLOOKUP(B13716,'Poids des runes'!A:B,2,FALSE))</f>
        <v>12.25</v>
      </c>
      <c r="F13716">
        <f t="shared" si="214"/>
        <v>12.25</v>
      </c>
    </row>
    <row r="13717" spans="1:6" x14ac:dyDescent="0.3">
      <c r="A13717" t="s">
        <v>2118</v>
      </c>
      <c r="B13717" t="s">
        <v>2158</v>
      </c>
      <c r="C13717">
        <v>13</v>
      </c>
      <c r="D13717">
        <v>200</v>
      </c>
      <c r="E13717">
        <f>IF(OR(B13717="vi",B13717="ii",B13717="pod"),(((D13717/100)*(C13717*VLOOKUP(B13717,'Poids des runes'!A:B,2,FALSE)))+1),(((D13717/100)*(C13717*VLOOKUP(B13717,'Poids des runes'!A:B,2,FALSE)))+1)/VLOOKUP(B13717,'Poids des runes'!A:B,2,FALSE))</f>
        <v>26.2</v>
      </c>
      <c r="F13717">
        <f t="shared" si="214"/>
        <v>26.2</v>
      </c>
    </row>
    <row r="13718" spans="1:6" x14ac:dyDescent="0.3">
      <c r="A13718" t="s">
        <v>2118</v>
      </c>
      <c r="B13718" t="s">
        <v>2148</v>
      </c>
      <c r="C13718">
        <v>4.5</v>
      </c>
      <c r="D13718">
        <v>200</v>
      </c>
      <c r="E13718">
        <f>IF(OR(B13718="vi",B13718="ii",B13718="pod"),(((D13718/100)*(C13718*VLOOKUP(B13718,'Poids des runes'!A:B,2,FALSE)))+1),(((D13718/100)*(C13718*VLOOKUP(B13718,'Poids des runes'!A:B,2,FALSE)))+1)/VLOOKUP(B13718,'Poids des runes'!A:B,2,FALSE))</f>
        <v>9.1666666666666661</v>
      </c>
      <c r="F13718">
        <f t="shared" si="214"/>
        <v>9.1666666666666661</v>
      </c>
    </row>
    <row r="13719" spans="1:6" x14ac:dyDescent="0.3">
      <c r="A13719" t="s">
        <v>2118</v>
      </c>
      <c r="B13719" t="s">
        <v>2147</v>
      </c>
      <c r="C13719">
        <v>4.5</v>
      </c>
      <c r="D13719">
        <v>200</v>
      </c>
      <c r="E13719">
        <f>IF(OR(B13719="vi",B13719="ii",B13719="pod"),(((D13719/100)*(C13719*VLOOKUP(B13719,'Poids des runes'!A:B,2,FALSE)))+1),(((D13719/100)*(C13719*VLOOKUP(B13719,'Poids des runes'!A:B,2,FALSE)))+1)/VLOOKUP(B13719,'Poids des runes'!A:B,2,FALSE))</f>
        <v>9.1666666666666661</v>
      </c>
      <c r="F13719">
        <f t="shared" si="214"/>
        <v>9.1666666666666661</v>
      </c>
    </row>
    <row r="13720" spans="1:6" x14ac:dyDescent="0.3">
      <c r="A13720" t="s">
        <v>2118</v>
      </c>
      <c r="B13720" t="s">
        <v>2135</v>
      </c>
      <c r="C13720">
        <v>4.5</v>
      </c>
      <c r="D13720">
        <v>200</v>
      </c>
      <c r="E13720">
        <f>IF(OR(B13720="vi",B13720="ii",B13720="pod"),(((D13720/100)*(C13720*VLOOKUP(B13720,'Poids des runes'!A:B,2,FALSE)))+1),(((D13720/100)*(C13720*VLOOKUP(B13720,'Poids des runes'!A:B,2,FALSE)))+1)/VLOOKUP(B13720,'Poids des runes'!A:B,2,FALSE))</f>
        <v>9.1666666666666661</v>
      </c>
      <c r="F13720">
        <f t="shared" si="214"/>
        <v>9.1666666666666661</v>
      </c>
    </row>
    <row r="13721" spans="1:6" x14ac:dyDescent="0.3">
      <c r="A13721" t="s">
        <v>2119</v>
      </c>
      <c r="B13721" t="s">
        <v>2128</v>
      </c>
      <c r="C13721">
        <v>375.5</v>
      </c>
      <c r="D13721">
        <v>200</v>
      </c>
      <c r="E13721">
        <f>IF(OR(B13721="vi",B13721="ii",B13721="pod"),(((D13721/100)*(C13721*VLOOKUP(B13721,'Poids des runes'!A:B,2,FALSE)))+1),(((D13721/100)*(C13721*VLOOKUP(B13721,'Poids des runes'!A:B,2,FALSE)))+1)/VLOOKUP(B13721,'Poids des runes'!A:B,2,FALSE))</f>
        <v>151.20000000000002</v>
      </c>
      <c r="F13721">
        <f t="shared" si="214"/>
        <v>151.20000000000002</v>
      </c>
    </row>
    <row r="13722" spans="1:6" x14ac:dyDescent="0.3">
      <c r="A13722" t="s">
        <v>2119</v>
      </c>
      <c r="B13722" t="s">
        <v>2130</v>
      </c>
      <c r="C13722">
        <v>70.5</v>
      </c>
      <c r="D13722">
        <v>200</v>
      </c>
      <c r="E13722">
        <f>IF(OR(B13722="vi",B13722="ii",B13722="pod"),(((D13722/100)*(C13722*VLOOKUP(B13722,'Poids des runes'!A:B,2,FALSE)))+1),(((D13722/100)*(C13722*VLOOKUP(B13722,'Poids des runes'!A:B,2,FALSE)))+1)/VLOOKUP(B13722,'Poids des runes'!A:B,2,FALSE))</f>
        <v>142</v>
      </c>
      <c r="F13722">
        <f t="shared" si="214"/>
        <v>142</v>
      </c>
    </row>
    <row r="13723" spans="1:6" x14ac:dyDescent="0.3">
      <c r="A13723" t="s">
        <v>2119</v>
      </c>
      <c r="B13723" t="s">
        <v>2129</v>
      </c>
      <c r="C13723">
        <v>25.5</v>
      </c>
      <c r="D13723">
        <v>200</v>
      </c>
      <c r="E13723">
        <f>IF(OR(B13723="vi",B13723="ii",B13723="pod"),(((D13723/100)*(C13723*VLOOKUP(B13723,'Poids des runes'!A:B,2,FALSE)))+1),(((D13723/100)*(C13723*VLOOKUP(B13723,'Poids des runes'!A:B,2,FALSE)))+1)/VLOOKUP(B13723,'Poids des runes'!A:B,2,FALSE))</f>
        <v>52</v>
      </c>
      <c r="F13723">
        <f t="shared" si="214"/>
        <v>52</v>
      </c>
    </row>
    <row r="13724" spans="1:6" x14ac:dyDescent="0.3">
      <c r="A13724" t="s">
        <v>2119</v>
      </c>
      <c r="B13724" t="s">
        <v>2151</v>
      </c>
      <c r="C13724">
        <v>3.5</v>
      </c>
      <c r="D13724">
        <v>200</v>
      </c>
      <c r="E13724">
        <f>IF(OR(B13724="vi",B13724="ii",B13724="pod"),(((D13724/100)*(C13724*VLOOKUP(B13724,'Poids des runes'!A:B,2,FALSE)))+1),(((D13724/100)*(C13724*VLOOKUP(B13724,'Poids des runes'!A:B,2,FALSE)))+1)/VLOOKUP(B13724,'Poids des runes'!A:B,2,FALSE))</f>
        <v>7.1</v>
      </c>
      <c r="F13724">
        <f t="shared" si="214"/>
        <v>7.1</v>
      </c>
    </row>
    <row r="13725" spans="1:6" x14ac:dyDescent="0.3">
      <c r="A13725" t="s">
        <v>2119</v>
      </c>
      <c r="B13725" t="s">
        <v>2143</v>
      </c>
      <c r="C13725">
        <v>18</v>
      </c>
      <c r="D13725">
        <v>200</v>
      </c>
      <c r="E13725">
        <f>IF(OR(B13725="vi",B13725="ii",B13725="pod"),(((D13725/100)*(C13725*VLOOKUP(B13725,'Poids des runes'!A:B,2,FALSE)))+1),(((D13725/100)*(C13725*VLOOKUP(B13725,'Poids des runes'!A:B,2,FALSE)))+1)/VLOOKUP(B13725,'Poids des runes'!A:B,2,FALSE))</f>
        <v>36.200000000000003</v>
      </c>
      <c r="F13725">
        <f t="shared" si="214"/>
        <v>36.200000000000003</v>
      </c>
    </row>
    <row r="13726" spans="1:6" x14ac:dyDescent="0.3">
      <c r="A13726" t="s">
        <v>2119</v>
      </c>
      <c r="B13726" t="s">
        <v>2132</v>
      </c>
      <c r="C13726">
        <v>350.5</v>
      </c>
      <c r="D13726">
        <v>200</v>
      </c>
      <c r="E13726">
        <f>IF(OR(B13726="vi",B13726="ii",B13726="pod"),(((D13726/100)*(C13726*VLOOKUP(B13726,'Poids des runes'!A:B,2,FALSE)))+1),(((D13726/100)*(C13726*VLOOKUP(B13726,'Poids des runes'!A:B,2,FALSE)))+1)/VLOOKUP(B13726,'Poids des runes'!A:B,2,FALSE))</f>
        <v>71.100000000000009</v>
      </c>
      <c r="F13726">
        <f t="shared" si="214"/>
        <v>71.100000000000009</v>
      </c>
    </row>
    <row r="13727" spans="1:6" x14ac:dyDescent="0.3">
      <c r="A13727" t="s">
        <v>2119</v>
      </c>
      <c r="B13727" t="s">
        <v>2141</v>
      </c>
      <c r="C13727">
        <v>6</v>
      </c>
      <c r="D13727">
        <v>200</v>
      </c>
      <c r="E13727">
        <f>IF(OR(B13727="vi",B13727="ii",B13727="pod"),(((D13727/100)*(C13727*VLOOKUP(B13727,'Poids des runes'!A:B,2,FALSE)))+1),(((D13727/100)*(C13727*VLOOKUP(B13727,'Poids des runes'!A:B,2,FALSE)))+1)/VLOOKUP(B13727,'Poids des runes'!A:B,2,FALSE))</f>
        <v>12.25</v>
      </c>
      <c r="F13727">
        <f t="shared" si="214"/>
        <v>12.25</v>
      </c>
    </row>
    <row r="13728" spans="1:6" x14ac:dyDescent="0.3">
      <c r="A13728" t="s">
        <v>2119</v>
      </c>
      <c r="B13728" t="s">
        <v>2162</v>
      </c>
      <c r="C13728">
        <v>6.5</v>
      </c>
      <c r="D13728">
        <v>200</v>
      </c>
      <c r="E13728">
        <f>IF(OR(B13728="vi",B13728="ii",B13728="pod"),(((D13728/100)*(C13728*VLOOKUP(B13728,'Poids des runes'!A:B,2,FALSE)))+1),(((D13728/100)*(C13728*VLOOKUP(B13728,'Poids des runes'!A:B,2,FALSE)))+1)/VLOOKUP(B13728,'Poids des runes'!A:B,2,FALSE))</f>
        <v>13.142857142857142</v>
      </c>
      <c r="F13728">
        <f t="shared" si="214"/>
        <v>13.142857142857142</v>
      </c>
    </row>
    <row r="13729" spans="1:6" x14ac:dyDescent="0.3">
      <c r="A13729" t="s">
        <v>2119</v>
      </c>
      <c r="B13729" t="s">
        <v>2163</v>
      </c>
      <c r="C13729">
        <v>13</v>
      </c>
      <c r="D13729">
        <v>200</v>
      </c>
      <c r="E13729">
        <f>IF(OR(B13729="vi",B13729="ii",B13729="pod"),(((D13729/100)*(C13729*VLOOKUP(B13729,'Poids des runes'!A:B,2,FALSE)))+1),(((D13729/100)*(C13729*VLOOKUP(B13729,'Poids des runes'!A:B,2,FALSE)))+1)/VLOOKUP(B13729,'Poids des runes'!A:B,2,FALSE))</f>
        <v>26.5</v>
      </c>
      <c r="F13729">
        <f t="shared" si="214"/>
        <v>26.5</v>
      </c>
    </row>
    <row r="13730" spans="1:6" x14ac:dyDescent="0.3">
      <c r="A13730" t="s">
        <v>2119</v>
      </c>
      <c r="B13730" t="s">
        <v>2147</v>
      </c>
      <c r="C13730">
        <v>6</v>
      </c>
      <c r="D13730">
        <v>200</v>
      </c>
      <c r="E13730">
        <f>IF(OR(B13730="vi",B13730="ii",B13730="pod"),(((D13730/100)*(C13730*VLOOKUP(B13730,'Poids des runes'!A:B,2,FALSE)))+1),(((D13730/100)*(C13730*VLOOKUP(B13730,'Poids des runes'!A:B,2,FALSE)))+1)/VLOOKUP(B13730,'Poids des runes'!A:B,2,FALSE))</f>
        <v>12.166666666666666</v>
      </c>
      <c r="F13730">
        <f t="shared" si="214"/>
        <v>12.166666666666666</v>
      </c>
    </row>
    <row r="13731" spans="1:6" x14ac:dyDescent="0.3">
      <c r="A13731" t="s">
        <v>2119</v>
      </c>
      <c r="B13731" t="s">
        <v>2135</v>
      </c>
      <c r="C13731">
        <v>6</v>
      </c>
      <c r="D13731">
        <v>200</v>
      </c>
      <c r="E13731">
        <f>IF(OR(B13731="vi",B13731="ii",B13731="pod"),(((D13731/100)*(C13731*VLOOKUP(B13731,'Poids des runes'!A:B,2,FALSE)))+1),(((D13731/100)*(C13731*VLOOKUP(B13731,'Poids des runes'!A:B,2,FALSE)))+1)/VLOOKUP(B13731,'Poids des runes'!A:B,2,FALSE))</f>
        <v>12.166666666666666</v>
      </c>
      <c r="F13731">
        <f t="shared" si="214"/>
        <v>12.166666666666666</v>
      </c>
    </row>
    <row r="13732" spans="1:6" x14ac:dyDescent="0.3">
      <c r="A13732" t="s">
        <v>2120</v>
      </c>
      <c r="B13732" t="s">
        <v>2128</v>
      </c>
      <c r="C13732">
        <v>325.5</v>
      </c>
      <c r="D13732">
        <v>200</v>
      </c>
      <c r="E13732">
        <f>IF(OR(B13732="vi",B13732="ii",B13732="pod"),(((D13732/100)*(C13732*VLOOKUP(B13732,'Poids des runes'!A:B,2,FALSE)))+1),(((D13732/100)*(C13732*VLOOKUP(B13732,'Poids des runes'!A:B,2,FALSE)))+1)/VLOOKUP(B13732,'Poids des runes'!A:B,2,FALSE))</f>
        <v>131.20000000000002</v>
      </c>
      <c r="F13732">
        <f t="shared" si="214"/>
        <v>131.20000000000002</v>
      </c>
    </row>
    <row r="13733" spans="1:6" x14ac:dyDescent="0.3">
      <c r="A13733" t="s">
        <v>2120</v>
      </c>
      <c r="B13733" t="s">
        <v>2126</v>
      </c>
      <c r="C13733">
        <v>70.5</v>
      </c>
      <c r="D13733">
        <v>200</v>
      </c>
      <c r="E13733">
        <f>IF(OR(B13733="vi",B13733="ii",B13733="pod"),(((D13733/100)*(C13733*VLOOKUP(B13733,'Poids des runes'!A:B,2,FALSE)))+1),(((D13733/100)*(C13733*VLOOKUP(B13733,'Poids des runes'!A:B,2,FALSE)))+1)/VLOOKUP(B13733,'Poids des runes'!A:B,2,FALSE))</f>
        <v>142</v>
      </c>
      <c r="F13733">
        <f t="shared" si="214"/>
        <v>142</v>
      </c>
    </row>
    <row r="13734" spans="1:6" x14ac:dyDescent="0.3">
      <c r="A13734" t="s">
        <v>2120</v>
      </c>
      <c r="B13734" t="s">
        <v>2129</v>
      </c>
      <c r="C13734">
        <v>35.5</v>
      </c>
      <c r="D13734">
        <v>200</v>
      </c>
      <c r="E13734">
        <f>IF(OR(B13734="vi",B13734="ii",B13734="pod"),(((D13734/100)*(C13734*VLOOKUP(B13734,'Poids des runes'!A:B,2,FALSE)))+1),(((D13734/100)*(C13734*VLOOKUP(B13734,'Poids des runes'!A:B,2,FALSE)))+1)/VLOOKUP(B13734,'Poids des runes'!A:B,2,FALSE))</f>
        <v>72</v>
      </c>
      <c r="F13734">
        <f t="shared" si="214"/>
        <v>72</v>
      </c>
    </row>
    <row r="13735" spans="1:6" x14ac:dyDescent="0.3">
      <c r="A13735" t="s">
        <v>2120</v>
      </c>
      <c r="B13735" t="s">
        <v>2151</v>
      </c>
      <c r="C13735">
        <v>4</v>
      </c>
      <c r="D13735">
        <v>200</v>
      </c>
      <c r="E13735">
        <f>IF(OR(B13735="vi",B13735="ii",B13735="pod"),(((D13735/100)*(C13735*VLOOKUP(B13735,'Poids des runes'!A:B,2,FALSE)))+1),(((D13735/100)*(C13735*VLOOKUP(B13735,'Poids des runes'!A:B,2,FALSE)))+1)/VLOOKUP(B13735,'Poids des runes'!A:B,2,FALSE))</f>
        <v>8.1</v>
      </c>
      <c r="F13735">
        <f t="shared" si="214"/>
        <v>8.1</v>
      </c>
    </row>
    <row r="13736" spans="1:6" x14ac:dyDescent="0.3">
      <c r="A13736" t="s">
        <v>2120</v>
      </c>
      <c r="B13736" t="s">
        <v>2155</v>
      </c>
      <c r="C13736">
        <v>1</v>
      </c>
      <c r="D13736">
        <v>200</v>
      </c>
      <c r="E13736">
        <f>IF(OR(B13736="vi",B13736="ii",B13736="pod"),(((D13736/100)*(C13736*VLOOKUP(B13736,'Poids des runes'!A:B,2,FALSE)))+1),(((D13736/100)*(C13736*VLOOKUP(B13736,'Poids des runes'!A:B,2,FALSE)))+1)/VLOOKUP(B13736,'Poids des runes'!A:B,2,FALSE))</f>
        <v>2.0196078431372548</v>
      </c>
      <c r="F13736">
        <f t="shared" si="214"/>
        <v>2.0196078431372548</v>
      </c>
    </row>
    <row r="13737" spans="1:6" x14ac:dyDescent="0.3">
      <c r="A13737" t="s">
        <v>2120</v>
      </c>
      <c r="B13737" t="s">
        <v>2140</v>
      </c>
      <c r="C13737">
        <v>18</v>
      </c>
      <c r="D13737">
        <v>200</v>
      </c>
      <c r="E13737">
        <f>IF(OR(B13737="vi",B13737="ii",B13737="pod"),(((D13737/100)*(C13737*VLOOKUP(B13737,'Poids des runes'!A:B,2,FALSE)))+1),(((D13737/100)*(C13737*VLOOKUP(B13737,'Poids des runes'!A:B,2,FALSE)))+1)/VLOOKUP(B13737,'Poids des runes'!A:B,2,FALSE))</f>
        <v>36.200000000000003</v>
      </c>
      <c r="F13737">
        <f t="shared" si="214"/>
        <v>36.200000000000003</v>
      </c>
    </row>
    <row r="13738" spans="1:6" x14ac:dyDescent="0.3">
      <c r="A13738" t="s">
        <v>2120</v>
      </c>
      <c r="B13738" t="s">
        <v>2165</v>
      </c>
      <c r="C13738">
        <v>8.5</v>
      </c>
      <c r="D13738">
        <v>200</v>
      </c>
      <c r="E13738">
        <f>IF(OR(B13738="vi",B13738="ii",B13738="pod"),(((D13738/100)*(C13738*VLOOKUP(B13738,'Poids des runes'!A:B,2,FALSE)))+1),(((D13738/100)*(C13738*VLOOKUP(B13738,'Poids des runes'!A:B,2,FALSE)))+1)/VLOOKUP(B13738,'Poids des runes'!A:B,2,FALSE))</f>
        <v>17.142857142857142</v>
      </c>
      <c r="F13738">
        <f t="shared" si="214"/>
        <v>17.142857142857142</v>
      </c>
    </row>
    <row r="13739" spans="1:6" x14ac:dyDescent="0.3">
      <c r="A13739" t="s">
        <v>2120</v>
      </c>
      <c r="B13739" t="s">
        <v>2164</v>
      </c>
      <c r="C13739">
        <v>18</v>
      </c>
      <c r="D13739">
        <v>200</v>
      </c>
      <c r="E13739">
        <f>IF(OR(B13739="vi",B13739="ii",B13739="pod"),(((D13739/100)*(C13739*VLOOKUP(B13739,'Poids des runes'!A:B,2,FALSE)))+1),(((D13739/100)*(C13739*VLOOKUP(B13739,'Poids des runes'!A:B,2,FALSE)))+1)/VLOOKUP(B13739,'Poids des runes'!A:B,2,FALSE))</f>
        <v>36.5</v>
      </c>
      <c r="F13739">
        <f t="shared" si="214"/>
        <v>36.5</v>
      </c>
    </row>
    <row r="13740" spans="1:6" x14ac:dyDescent="0.3">
      <c r="A13740" t="s">
        <v>2120</v>
      </c>
      <c r="B13740" t="s">
        <v>2148</v>
      </c>
      <c r="C13740">
        <v>6</v>
      </c>
      <c r="D13740">
        <v>200</v>
      </c>
      <c r="E13740">
        <f>IF(OR(B13740="vi",B13740="ii",B13740="pod"),(((D13740/100)*(C13740*VLOOKUP(B13740,'Poids des runes'!A:B,2,FALSE)))+1),(((D13740/100)*(C13740*VLOOKUP(B13740,'Poids des runes'!A:B,2,FALSE)))+1)/VLOOKUP(B13740,'Poids des runes'!A:B,2,FALSE))</f>
        <v>12.166666666666666</v>
      </c>
      <c r="F13740">
        <f t="shared" si="214"/>
        <v>12.166666666666666</v>
      </c>
    </row>
    <row r="13741" spans="1:6" x14ac:dyDescent="0.3">
      <c r="A13741" t="s">
        <v>2120</v>
      </c>
      <c r="B13741" t="s">
        <v>2145</v>
      </c>
      <c r="C13741">
        <v>8.5</v>
      </c>
      <c r="D13741">
        <v>200</v>
      </c>
      <c r="E13741">
        <f>IF(OR(B13741="vi",B13741="ii",B13741="pod"),(((D13741/100)*(C13741*VLOOKUP(B13741,'Poids des runes'!A:B,2,FALSE)))+1),(((D13741/100)*(C13741*VLOOKUP(B13741,'Poids des runes'!A:B,2,FALSE)))+1)/VLOOKUP(B13741,'Poids des runes'!A:B,2,FALSE))</f>
        <v>17.5</v>
      </c>
      <c r="F13741">
        <f t="shared" si="214"/>
        <v>17.5</v>
      </c>
    </row>
    <row r="13742" spans="1:6" x14ac:dyDescent="0.3">
      <c r="A13742" t="s">
        <v>2121</v>
      </c>
      <c r="B13742" t="s">
        <v>2128</v>
      </c>
      <c r="C13742">
        <v>375.5</v>
      </c>
      <c r="D13742">
        <v>200</v>
      </c>
      <c r="E13742">
        <f>IF(OR(B13742="vi",B13742="ii",B13742="pod"),(((D13742/100)*(C13742*VLOOKUP(B13742,'Poids des runes'!A:B,2,FALSE)))+1),(((D13742/100)*(C13742*VLOOKUP(B13742,'Poids des runes'!A:B,2,FALSE)))+1)/VLOOKUP(B13742,'Poids des runes'!A:B,2,FALSE))</f>
        <v>151.20000000000002</v>
      </c>
      <c r="F13742">
        <f t="shared" si="214"/>
        <v>151.20000000000002</v>
      </c>
    </row>
    <row r="13743" spans="1:6" x14ac:dyDescent="0.3">
      <c r="A13743" t="s">
        <v>2121</v>
      </c>
      <c r="B13743" t="s">
        <v>2130</v>
      </c>
      <c r="C13743">
        <v>40.5</v>
      </c>
      <c r="D13743">
        <v>200</v>
      </c>
      <c r="E13743">
        <f>IF(OR(B13743="vi",B13743="ii",B13743="pod"),(((D13743/100)*(C13743*VLOOKUP(B13743,'Poids des runes'!A:B,2,FALSE)))+1),(((D13743/100)*(C13743*VLOOKUP(B13743,'Poids des runes'!A:B,2,FALSE)))+1)/VLOOKUP(B13743,'Poids des runes'!A:B,2,FALSE))</f>
        <v>82</v>
      </c>
      <c r="F13743">
        <f t="shared" si="214"/>
        <v>82</v>
      </c>
    </row>
    <row r="13744" spans="1:6" x14ac:dyDescent="0.3">
      <c r="A13744" t="s">
        <v>2121</v>
      </c>
      <c r="B13744" t="s">
        <v>2126</v>
      </c>
      <c r="C13744">
        <v>40.5</v>
      </c>
      <c r="D13744">
        <v>200</v>
      </c>
      <c r="E13744">
        <f>IF(OR(B13744="vi",B13744="ii",B13744="pod"),(((D13744/100)*(C13744*VLOOKUP(B13744,'Poids des runes'!A:B,2,FALSE)))+1),(((D13744/100)*(C13744*VLOOKUP(B13744,'Poids des runes'!A:B,2,FALSE)))+1)/VLOOKUP(B13744,'Poids des runes'!A:B,2,FALSE))</f>
        <v>82</v>
      </c>
      <c r="F13744">
        <f t="shared" si="214"/>
        <v>82</v>
      </c>
    </row>
    <row r="13745" spans="1:6" x14ac:dyDescent="0.3">
      <c r="A13745" t="s">
        <v>2121</v>
      </c>
      <c r="B13745" t="s">
        <v>2127</v>
      </c>
      <c r="C13745">
        <v>40.5</v>
      </c>
      <c r="D13745">
        <v>200</v>
      </c>
      <c r="E13745">
        <f>IF(OR(B13745="vi",B13745="ii",B13745="pod"),(((D13745/100)*(C13745*VLOOKUP(B13745,'Poids des runes'!A:B,2,FALSE)))+1),(((D13745/100)*(C13745*VLOOKUP(B13745,'Poids des runes'!A:B,2,FALSE)))+1)/VLOOKUP(B13745,'Poids des runes'!A:B,2,FALSE))</f>
        <v>82</v>
      </c>
      <c r="F13745">
        <f t="shared" si="214"/>
        <v>82</v>
      </c>
    </row>
    <row r="13746" spans="1:6" x14ac:dyDescent="0.3">
      <c r="A13746" t="s">
        <v>2121</v>
      </c>
      <c r="B13746" t="s">
        <v>2129</v>
      </c>
      <c r="C13746">
        <v>25.5</v>
      </c>
      <c r="D13746">
        <v>200</v>
      </c>
      <c r="E13746">
        <f>IF(OR(B13746="vi",B13746="ii",B13746="pod"),(((D13746/100)*(C13746*VLOOKUP(B13746,'Poids des runes'!A:B,2,FALSE)))+1),(((D13746/100)*(C13746*VLOOKUP(B13746,'Poids des runes'!A:B,2,FALSE)))+1)/VLOOKUP(B13746,'Poids des runes'!A:B,2,FALSE))</f>
        <v>52</v>
      </c>
      <c r="F13746">
        <f t="shared" si="214"/>
        <v>52</v>
      </c>
    </row>
    <row r="13747" spans="1:6" x14ac:dyDescent="0.3">
      <c r="A13747" t="s">
        <v>2121</v>
      </c>
      <c r="B13747" t="s">
        <v>2139</v>
      </c>
      <c r="C13747">
        <v>20.5</v>
      </c>
      <c r="D13747">
        <v>200</v>
      </c>
      <c r="E13747">
        <f>IF(OR(B13747="vi",B13747="ii",B13747="pod"),(((D13747/100)*(C13747*VLOOKUP(B13747,'Poids des runes'!A:B,2,FALSE)))+1),(((D13747/100)*(C13747*VLOOKUP(B13747,'Poids des runes'!A:B,2,FALSE)))+1)/VLOOKUP(B13747,'Poids des runes'!A:B,2,FALSE))</f>
        <v>41.5</v>
      </c>
      <c r="F13747">
        <f t="shared" si="214"/>
        <v>41.5</v>
      </c>
    </row>
    <row r="13748" spans="1:6" x14ac:dyDescent="0.3">
      <c r="A13748" t="s">
        <v>2121</v>
      </c>
      <c r="B13748" t="s">
        <v>2151</v>
      </c>
      <c r="C13748">
        <v>4</v>
      </c>
      <c r="D13748">
        <v>200</v>
      </c>
      <c r="E13748">
        <f>IF(OR(B13748="vi",B13748="ii",B13748="pod"),(((D13748/100)*(C13748*VLOOKUP(B13748,'Poids des runes'!A:B,2,FALSE)))+1),(((D13748/100)*(C13748*VLOOKUP(B13748,'Poids des runes'!A:B,2,FALSE)))+1)/VLOOKUP(B13748,'Poids des runes'!A:B,2,FALSE))</f>
        <v>8.1</v>
      </c>
      <c r="F13748">
        <f t="shared" si="214"/>
        <v>8.1</v>
      </c>
    </row>
    <row r="13749" spans="1:6" x14ac:dyDescent="0.3">
      <c r="A13749" t="s">
        <v>2121</v>
      </c>
      <c r="B13749" t="s">
        <v>2143</v>
      </c>
      <c r="C13749">
        <v>13</v>
      </c>
      <c r="D13749">
        <v>200</v>
      </c>
      <c r="E13749">
        <f>IF(OR(B13749="vi",B13749="ii",B13749="pod"),(((D13749/100)*(C13749*VLOOKUP(B13749,'Poids des runes'!A:B,2,FALSE)))+1),(((D13749/100)*(C13749*VLOOKUP(B13749,'Poids des runes'!A:B,2,FALSE)))+1)/VLOOKUP(B13749,'Poids des runes'!A:B,2,FALSE))</f>
        <v>26.2</v>
      </c>
      <c r="F13749">
        <f t="shared" si="214"/>
        <v>26.2</v>
      </c>
    </row>
    <row r="13750" spans="1:6" x14ac:dyDescent="0.3">
      <c r="A13750" t="s">
        <v>2121</v>
      </c>
      <c r="B13750" t="s">
        <v>2140</v>
      </c>
      <c r="C13750">
        <v>13</v>
      </c>
      <c r="D13750">
        <v>200</v>
      </c>
      <c r="E13750">
        <f>IF(OR(B13750="vi",B13750="ii",B13750="pod"),(((D13750/100)*(C13750*VLOOKUP(B13750,'Poids des runes'!A:B,2,FALSE)))+1),(((D13750/100)*(C13750*VLOOKUP(B13750,'Poids des runes'!A:B,2,FALSE)))+1)/VLOOKUP(B13750,'Poids des runes'!A:B,2,FALSE))</f>
        <v>26.2</v>
      </c>
      <c r="F13750">
        <f t="shared" si="214"/>
        <v>26.2</v>
      </c>
    </row>
    <row r="13751" spans="1:6" x14ac:dyDescent="0.3">
      <c r="A13751" t="s">
        <v>2121</v>
      </c>
      <c r="B13751" t="s">
        <v>2153</v>
      </c>
      <c r="C13751">
        <v>13</v>
      </c>
      <c r="D13751">
        <v>200</v>
      </c>
      <c r="E13751">
        <f>IF(OR(B13751="vi",B13751="ii",B13751="pod"),(((D13751/100)*(C13751*VLOOKUP(B13751,'Poids des runes'!A:B,2,FALSE)))+1),(((D13751/100)*(C13751*VLOOKUP(B13751,'Poids des runes'!A:B,2,FALSE)))+1)/VLOOKUP(B13751,'Poids des runes'!A:B,2,FALSE))</f>
        <v>26.2</v>
      </c>
      <c r="F13751">
        <f t="shared" si="214"/>
        <v>26.2</v>
      </c>
    </row>
    <row r="13752" spans="1:6" x14ac:dyDescent="0.3">
      <c r="A13752" t="s">
        <v>2121</v>
      </c>
      <c r="B13752" t="s">
        <v>2161</v>
      </c>
      <c r="C13752">
        <v>13</v>
      </c>
      <c r="D13752">
        <v>200</v>
      </c>
      <c r="E13752">
        <f>IF(OR(B13752="vi",B13752="ii",B13752="pod"),(((D13752/100)*(C13752*VLOOKUP(B13752,'Poids des runes'!A:B,2,FALSE)))+1),(((D13752/100)*(C13752*VLOOKUP(B13752,'Poids des runes'!A:B,2,FALSE)))+1)/VLOOKUP(B13752,'Poids des runes'!A:B,2,FALSE))</f>
        <v>26.333333333333332</v>
      </c>
      <c r="F13752">
        <f t="shared" si="214"/>
        <v>26.333333333333332</v>
      </c>
    </row>
    <row r="13753" spans="1:6" x14ac:dyDescent="0.3">
      <c r="A13753" t="s">
        <v>2121</v>
      </c>
      <c r="B13753" t="s">
        <v>2141</v>
      </c>
      <c r="C13753">
        <v>6.5</v>
      </c>
      <c r="D13753">
        <v>200</v>
      </c>
      <c r="E13753">
        <f>IF(OR(B13753="vi",B13753="ii",B13753="pod"),(((D13753/100)*(C13753*VLOOKUP(B13753,'Poids des runes'!A:B,2,FALSE)))+1),(((D13753/100)*(C13753*VLOOKUP(B13753,'Poids des runes'!A:B,2,FALSE)))+1)/VLOOKUP(B13753,'Poids des runes'!A:B,2,FALSE))</f>
        <v>13.25</v>
      </c>
      <c r="F13753">
        <f t="shared" si="214"/>
        <v>13.25</v>
      </c>
    </row>
    <row r="13754" spans="1:6" x14ac:dyDescent="0.3">
      <c r="A13754" t="s">
        <v>2121</v>
      </c>
      <c r="B13754" t="s">
        <v>2135</v>
      </c>
      <c r="C13754">
        <v>8.5</v>
      </c>
      <c r="D13754">
        <v>200</v>
      </c>
      <c r="E13754">
        <f>IF(OR(B13754="vi",B13754="ii",B13754="pod"),(((D13754/100)*(C13754*VLOOKUP(B13754,'Poids des runes'!A:B,2,FALSE)))+1),(((D13754/100)*(C13754*VLOOKUP(B13754,'Poids des runes'!A:B,2,FALSE)))+1)/VLOOKUP(B13754,'Poids des runes'!A:B,2,FALSE))</f>
        <v>17.166666666666668</v>
      </c>
      <c r="F13754">
        <f t="shared" si="214"/>
        <v>17.166666666666668</v>
      </c>
    </row>
    <row r="13755" spans="1:6" x14ac:dyDescent="0.3">
      <c r="A13755" t="s">
        <v>2122</v>
      </c>
      <c r="B13755" t="s">
        <v>2128</v>
      </c>
      <c r="C13755">
        <v>325.5</v>
      </c>
      <c r="D13755">
        <v>200</v>
      </c>
      <c r="E13755">
        <f>IF(OR(B13755="vi",B13755="ii",B13755="pod"),(((D13755/100)*(C13755*VLOOKUP(B13755,'Poids des runes'!A:B,2,FALSE)))+1),(((D13755/100)*(C13755*VLOOKUP(B13755,'Poids des runes'!A:B,2,FALSE)))+1)/VLOOKUP(B13755,'Poids des runes'!A:B,2,FALSE))</f>
        <v>131.20000000000002</v>
      </c>
      <c r="F13755">
        <f t="shared" si="214"/>
        <v>131.20000000000002</v>
      </c>
    </row>
    <row r="13756" spans="1:6" x14ac:dyDescent="0.3">
      <c r="A13756" t="s">
        <v>2122</v>
      </c>
      <c r="B13756" t="s">
        <v>2126</v>
      </c>
      <c r="C13756">
        <v>60.5</v>
      </c>
      <c r="D13756">
        <v>200</v>
      </c>
      <c r="E13756">
        <f>IF(OR(B13756="vi",B13756="ii",B13756="pod"),(((D13756/100)*(C13756*VLOOKUP(B13756,'Poids des runes'!A:B,2,FALSE)))+1),(((D13756/100)*(C13756*VLOOKUP(B13756,'Poids des runes'!A:B,2,FALSE)))+1)/VLOOKUP(B13756,'Poids des runes'!A:B,2,FALSE))</f>
        <v>122</v>
      </c>
      <c r="F13756">
        <f t="shared" si="214"/>
        <v>122</v>
      </c>
    </row>
    <row r="13757" spans="1:6" x14ac:dyDescent="0.3">
      <c r="A13757" t="s">
        <v>2122</v>
      </c>
      <c r="B13757" t="s">
        <v>2131</v>
      </c>
      <c r="C13757">
        <v>60.5</v>
      </c>
      <c r="D13757">
        <v>200</v>
      </c>
      <c r="E13757">
        <f>IF(OR(B13757="vi",B13757="ii",B13757="pod"),(((D13757/100)*(C13757*VLOOKUP(B13757,'Poids des runes'!A:B,2,FALSE)))+1),(((D13757/100)*(C13757*VLOOKUP(B13757,'Poids des runes'!A:B,2,FALSE)))+1)/VLOOKUP(B13757,'Poids des runes'!A:B,2,FALSE))</f>
        <v>122</v>
      </c>
      <c r="F13757">
        <f t="shared" si="214"/>
        <v>122</v>
      </c>
    </row>
    <row r="13758" spans="1:6" x14ac:dyDescent="0.3">
      <c r="A13758" t="s">
        <v>2122</v>
      </c>
      <c r="B13758" t="s">
        <v>2129</v>
      </c>
      <c r="C13758">
        <v>35.5</v>
      </c>
      <c r="D13758">
        <v>200</v>
      </c>
      <c r="E13758">
        <f>IF(OR(B13758="vi",B13758="ii",B13758="pod"),(((D13758/100)*(C13758*VLOOKUP(B13758,'Poids des runes'!A:B,2,FALSE)))+1),(((D13758/100)*(C13758*VLOOKUP(B13758,'Poids des runes'!A:B,2,FALSE)))+1)/VLOOKUP(B13758,'Poids des runes'!A:B,2,FALSE))</f>
        <v>72</v>
      </c>
      <c r="F13758">
        <f t="shared" si="214"/>
        <v>72</v>
      </c>
    </row>
    <row r="13759" spans="1:6" x14ac:dyDescent="0.3">
      <c r="A13759" t="s">
        <v>2122</v>
      </c>
      <c r="B13759" t="s">
        <v>2140</v>
      </c>
      <c r="C13759">
        <v>18</v>
      </c>
      <c r="D13759">
        <v>200</v>
      </c>
      <c r="E13759">
        <f>IF(OR(B13759="vi",B13759="ii",B13759="pod"),(((D13759/100)*(C13759*VLOOKUP(B13759,'Poids des runes'!A:B,2,FALSE)))+1),(((D13759/100)*(C13759*VLOOKUP(B13759,'Poids des runes'!A:B,2,FALSE)))+1)/VLOOKUP(B13759,'Poids des runes'!A:B,2,FALSE))</f>
        <v>36.200000000000003</v>
      </c>
      <c r="F13759">
        <f t="shared" si="214"/>
        <v>36.200000000000003</v>
      </c>
    </row>
    <row r="13760" spans="1:6" x14ac:dyDescent="0.3">
      <c r="A13760" t="s">
        <v>2122</v>
      </c>
      <c r="B13760" t="s">
        <v>2133</v>
      </c>
      <c r="C13760">
        <v>18</v>
      </c>
      <c r="D13760">
        <v>200</v>
      </c>
      <c r="E13760">
        <f>IF(OR(B13760="vi",B13760="ii",B13760="pod"),(((D13760/100)*(C13760*VLOOKUP(B13760,'Poids des runes'!A:B,2,FALSE)))+1),(((D13760/100)*(C13760*VLOOKUP(B13760,'Poids des runes'!A:B,2,FALSE)))+1)/VLOOKUP(B13760,'Poids des runes'!A:B,2,FALSE))</f>
        <v>36.200000000000003</v>
      </c>
      <c r="F13760">
        <f t="shared" si="214"/>
        <v>36.200000000000003</v>
      </c>
    </row>
    <row r="13761" spans="1:6" x14ac:dyDescent="0.3">
      <c r="A13761" t="s">
        <v>2122</v>
      </c>
      <c r="B13761" t="s">
        <v>2165</v>
      </c>
      <c r="C13761">
        <v>5</v>
      </c>
      <c r="D13761">
        <v>200</v>
      </c>
      <c r="E13761">
        <f>IF(OR(B13761="vi",B13761="ii",B13761="pod"),(((D13761/100)*(C13761*VLOOKUP(B13761,'Poids des runes'!A:B,2,FALSE)))+1),(((D13761/100)*(C13761*VLOOKUP(B13761,'Poids des runes'!A:B,2,FALSE)))+1)/VLOOKUP(B13761,'Poids des runes'!A:B,2,FALSE))</f>
        <v>10.142857142857142</v>
      </c>
      <c r="F13761">
        <f t="shared" si="214"/>
        <v>10.142857142857142</v>
      </c>
    </row>
    <row r="13762" spans="1:6" x14ac:dyDescent="0.3">
      <c r="A13762" t="s">
        <v>2122</v>
      </c>
      <c r="B13762" t="s">
        <v>2163</v>
      </c>
      <c r="C13762">
        <v>20.5</v>
      </c>
      <c r="D13762">
        <v>200</v>
      </c>
      <c r="E13762">
        <f>IF(OR(B13762="vi",B13762="ii",B13762="pod"),(((D13762/100)*(C13762*VLOOKUP(B13762,'Poids des runes'!A:B,2,FALSE)))+1),(((D13762/100)*(C13762*VLOOKUP(B13762,'Poids des runes'!A:B,2,FALSE)))+1)/VLOOKUP(B13762,'Poids des runes'!A:B,2,FALSE))</f>
        <v>41.5</v>
      </c>
      <c r="F13762">
        <f t="shared" si="214"/>
        <v>41.5</v>
      </c>
    </row>
    <row r="13763" spans="1:6" x14ac:dyDescent="0.3">
      <c r="A13763" t="s">
        <v>2122</v>
      </c>
      <c r="B13763" t="s">
        <v>2156</v>
      </c>
      <c r="C13763">
        <v>3.5</v>
      </c>
      <c r="D13763">
        <v>200</v>
      </c>
      <c r="E13763">
        <f>IF(OR(B13763="vi",B13763="ii",B13763="pod"),(((D13763/100)*(C13763*VLOOKUP(B13763,'Poids des runes'!A:B,2,FALSE)))+1),(((D13763/100)*(C13763*VLOOKUP(B13763,'Poids des runes'!A:B,2,FALSE)))+1)/VLOOKUP(B13763,'Poids des runes'!A:B,2,FALSE))</f>
        <v>7.166666666666667</v>
      </c>
      <c r="F13763">
        <f t="shared" ref="F13763:F13796" si="215">E13763</f>
        <v>7.166666666666667</v>
      </c>
    </row>
    <row r="13764" spans="1:6" x14ac:dyDescent="0.3">
      <c r="A13764" t="s">
        <v>2122</v>
      </c>
      <c r="B13764" t="s">
        <v>2135</v>
      </c>
      <c r="C13764">
        <v>8.5</v>
      </c>
      <c r="D13764">
        <v>200</v>
      </c>
      <c r="E13764">
        <f>IF(OR(B13764="vi",B13764="ii",B13764="pod"),(((D13764/100)*(C13764*VLOOKUP(B13764,'Poids des runes'!A:B,2,FALSE)))+1),(((D13764/100)*(C13764*VLOOKUP(B13764,'Poids des runes'!A:B,2,FALSE)))+1)/VLOOKUP(B13764,'Poids des runes'!A:B,2,FALSE))</f>
        <v>17.166666666666668</v>
      </c>
      <c r="F13764">
        <f t="shared" si="215"/>
        <v>17.166666666666668</v>
      </c>
    </row>
    <row r="13765" spans="1:6" x14ac:dyDescent="0.3">
      <c r="A13765" t="s">
        <v>2123</v>
      </c>
      <c r="B13765" t="s">
        <v>2128</v>
      </c>
      <c r="C13765">
        <v>375.5</v>
      </c>
      <c r="D13765">
        <v>200</v>
      </c>
      <c r="E13765">
        <f>IF(OR(B13765="vi",B13765="ii",B13765="pod"),(((D13765/100)*(C13765*VLOOKUP(B13765,'Poids des runes'!A:B,2,FALSE)))+1),(((D13765/100)*(C13765*VLOOKUP(B13765,'Poids des runes'!A:B,2,FALSE)))+1)/VLOOKUP(B13765,'Poids des runes'!A:B,2,FALSE))</f>
        <v>151.20000000000002</v>
      </c>
      <c r="F13765">
        <f t="shared" si="215"/>
        <v>151.20000000000002</v>
      </c>
    </row>
    <row r="13766" spans="1:6" x14ac:dyDescent="0.3">
      <c r="A13766" t="s">
        <v>2123</v>
      </c>
      <c r="B13766" t="s">
        <v>2127</v>
      </c>
      <c r="C13766">
        <v>90.5</v>
      </c>
      <c r="D13766">
        <v>200</v>
      </c>
      <c r="E13766">
        <f>IF(OR(B13766="vi",B13766="ii",B13766="pod"),(((D13766/100)*(C13766*VLOOKUP(B13766,'Poids des runes'!A:B,2,FALSE)))+1),(((D13766/100)*(C13766*VLOOKUP(B13766,'Poids des runes'!A:B,2,FALSE)))+1)/VLOOKUP(B13766,'Poids des runes'!A:B,2,FALSE))</f>
        <v>182</v>
      </c>
      <c r="F13766">
        <f t="shared" si="215"/>
        <v>182</v>
      </c>
    </row>
    <row r="13767" spans="1:6" x14ac:dyDescent="0.3">
      <c r="A13767" t="s">
        <v>2123</v>
      </c>
      <c r="B13767" t="s">
        <v>2129</v>
      </c>
      <c r="C13767">
        <v>35.5</v>
      </c>
      <c r="D13767">
        <v>200</v>
      </c>
      <c r="E13767">
        <f>IF(OR(B13767="vi",B13767="ii",B13767="pod"),(((D13767/100)*(C13767*VLOOKUP(B13767,'Poids des runes'!A:B,2,FALSE)))+1),(((D13767/100)*(C13767*VLOOKUP(B13767,'Poids des runes'!A:B,2,FALSE)))+1)/VLOOKUP(B13767,'Poids des runes'!A:B,2,FALSE))</f>
        <v>72</v>
      </c>
      <c r="F13767">
        <f t="shared" si="215"/>
        <v>72</v>
      </c>
    </row>
    <row r="13768" spans="1:6" x14ac:dyDescent="0.3">
      <c r="A13768" t="s">
        <v>2123</v>
      </c>
      <c r="B13768" t="s">
        <v>2153</v>
      </c>
      <c r="C13768">
        <v>13</v>
      </c>
      <c r="D13768">
        <v>200</v>
      </c>
      <c r="E13768">
        <f>IF(OR(B13768="vi",B13768="ii",B13768="pod"),(((D13768/100)*(C13768*VLOOKUP(B13768,'Poids des runes'!A:B,2,FALSE)))+1),(((D13768/100)*(C13768*VLOOKUP(B13768,'Poids des runes'!A:B,2,FALSE)))+1)/VLOOKUP(B13768,'Poids des runes'!A:B,2,FALSE))</f>
        <v>26.2</v>
      </c>
      <c r="F13768">
        <f t="shared" si="215"/>
        <v>26.2</v>
      </c>
    </row>
    <row r="13769" spans="1:6" x14ac:dyDescent="0.3">
      <c r="A13769" t="s">
        <v>2123</v>
      </c>
      <c r="B13769" t="s">
        <v>2141</v>
      </c>
      <c r="C13769">
        <v>10.5</v>
      </c>
      <c r="D13769">
        <v>200</v>
      </c>
      <c r="E13769">
        <f>IF(OR(B13769="vi",B13769="ii",B13769="pod"),(((D13769/100)*(C13769*VLOOKUP(B13769,'Poids des runes'!A:B,2,FALSE)))+1),(((D13769/100)*(C13769*VLOOKUP(B13769,'Poids des runes'!A:B,2,FALSE)))+1)/VLOOKUP(B13769,'Poids des runes'!A:B,2,FALSE))</f>
        <v>21.25</v>
      </c>
      <c r="F13769">
        <f t="shared" si="215"/>
        <v>21.25</v>
      </c>
    </row>
    <row r="13770" spans="1:6" x14ac:dyDescent="0.3">
      <c r="A13770" t="s">
        <v>2123</v>
      </c>
      <c r="B13770" t="s">
        <v>2162</v>
      </c>
      <c r="C13770">
        <v>8.5</v>
      </c>
      <c r="D13770">
        <v>200</v>
      </c>
      <c r="E13770">
        <f>IF(OR(B13770="vi",B13770="ii",B13770="pod"),(((D13770/100)*(C13770*VLOOKUP(B13770,'Poids des runes'!A:B,2,FALSE)))+1),(((D13770/100)*(C13770*VLOOKUP(B13770,'Poids des runes'!A:B,2,FALSE)))+1)/VLOOKUP(B13770,'Poids des runes'!A:B,2,FALSE))</f>
        <v>17.142857142857142</v>
      </c>
      <c r="F13770">
        <f t="shared" si="215"/>
        <v>17.142857142857142</v>
      </c>
    </row>
    <row r="13771" spans="1:6" x14ac:dyDescent="0.3">
      <c r="A13771" t="s">
        <v>2123</v>
      </c>
      <c r="B13771" t="s">
        <v>2163</v>
      </c>
      <c r="C13771">
        <v>20.5</v>
      </c>
      <c r="D13771">
        <v>200</v>
      </c>
      <c r="E13771">
        <f>IF(OR(B13771="vi",B13771="ii",B13771="pod"),(((D13771/100)*(C13771*VLOOKUP(B13771,'Poids des runes'!A:B,2,FALSE)))+1),(((D13771/100)*(C13771*VLOOKUP(B13771,'Poids des runes'!A:B,2,FALSE)))+1)/VLOOKUP(B13771,'Poids des runes'!A:B,2,FALSE))</f>
        <v>41.5</v>
      </c>
      <c r="F13771">
        <f t="shared" si="215"/>
        <v>41.5</v>
      </c>
    </row>
    <row r="13772" spans="1:6" x14ac:dyDescent="0.3">
      <c r="A13772" t="s">
        <v>2123</v>
      </c>
      <c r="B13772" t="s">
        <v>2135</v>
      </c>
      <c r="C13772">
        <v>8.5</v>
      </c>
      <c r="D13772">
        <v>200</v>
      </c>
      <c r="E13772">
        <f>IF(OR(B13772="vi",B13772="ii",B13772="pod"),(((D13772/100)*(C13772*VLOOKUP(B13772,'Poids des runes'!A:B,2,FALSE)))+1),(((D13772/100)*(C13772*VLOOKUP(B13772,'Poids des runes'!A:B,2,FALSE)))+1)/VLOOKUP(B13772,'Poids des runes'!A:B,2,FALSE))</f>
        <v>17.166666666666668</v>
      </c>
      <c r="F13772">
        <f t="shared" si="215"/>
        <v>17.166666666666668</v>
      </c>
    </row>
    <row r="13773" spans="1:6" x14ac:dyDescent="0.3">
      <c r="A13773" t="s">
        <v>2124</v>
      </c>
      <c r="B13773" t="s">
        <v>2128</v>
      </c>
      <c r="C13773">
        <v>325.5</v>
      </c>
      <c r="D13773">
        <v>200</v>
      </c>
      <c r="E13773">
        <f>IF(OR(B13773="vi",B13773="ii",B13773="pod"),(((D13773/100)*(C13773*VLOOKUP(B13773,'Poids des runes'!A:B,2,FALSE)))+1),(((D13773/100)*(C13773*VLOOKUP(B13773,'Poids des runes'!A:B,2,FALSE)))+1)/VLOOKUP(B13773,'Poids des runes'!A:B,2,FALSE))</f>
        <v>131.20000000000002</v>
      </c>
      <c r="F13773">
        <f t="shared" si="215"/>
        <v>131.20000000000002</v>
      </c>
    </row>
    <row r="13774" spans="1:6" x14ac:dyDescent="0.3">
      <c r="A13774" t="s">
        <v>2124</v>
      </c>
      <c r="B13774" t="s">
        <v>2130</v>
      </c>
      <c r="C13774">
        <v>40.5</v>
      </c>
      <c r="D13774">
        <v>200</v>
      </c>
      <c r="E13774">
        <f>IF(OR(B13774="vi",B13774="ii",B13774="pod"),(((D13774/100)*(C13774*VLOOKUP(B13774,'Poids des runes'!A:B,2,FALSE)))+1),(((D13774/100)*(C13774*VLOOKUP(B13774,'Poids des runes'!A:B,2,FALSE)))+1)/VLOOKUP(B13774,'Poids des runes'!A:B,2,FALSE))</f>
        <v>82</v>
      </c>
      <c r="F13774">
        <f t="shared" si="215"/>
        <v>82</v>
      </c>
    </row>
    <row r="13775" spans="1:6" x14ac:dyDescent="0.3">
      <c r="A13775" t="s">
        <v>2124</v>
      </c>
      <c r="B13775" t="s">
        <v>2131</v>
      </c>
      <c r="C13775">
        <v>40.5</v>
      </c>
      <c r="D13775">
        <v>200</v>
      </c>
      <c r="E13775">
        <f>IF(OR(B13775="vi",B13775="ii",B13775="pod"),(((D13775/100)*(C13775*VLOOKUP(B13775,'Poids des runes'!A:B,2,FALSE)))+1),(((D13775/100)*(C13775*VLOOKUP(B13775,'Poids des runes'!A:B,2,FALSE)))+1)/VLOOKUP(B13775,'Poids des runes'!A:B,2,FALSE))</f>
        <v>82</v>
      </c>
      <c r="F13775">
        <f t="shared" si="215"/>
        <v>82</v>
      </c>
    </row>
    <row r="13776" spans="1:6" x14ac:dyDescent="0.3">
      <c r="A13776" t="s">
        <v>2124</v>
      </c>
      <c r="B13776" t="s">
        <v>2127</v>
      </c>
      <c r="C13776">
        <v>40.5</v>
      </c>
      <c r="D13776">
        <v>200</v>
      </c>
      <c r="E13776">
        <f>IF(OR(B13776="vi",B13776="ii",B13776="pod"),(((D13776/100)*(C13776*VLOOKUP(B13776,'Poids des runes'!A:B,2,FALSE)))+1),(((D13776/100)*(C13776*VLOOKUP(B13776,'Poids des runes'!A:B,2,FALSE)))+1)/VLOOKUP(B13776,'Poids des runes'!A:B,2,FALSE))</f>
        <v>82</v>
      </c>
      <c r="F13776">
        <f t="shared" si="215"/>
        <v>82</v>
      </c>
    </row>
    <row r="13777" spans="1:6" x14ac:dyDescent="0.3">
      <c r="A13777" t="s">
        <v>2124</v>
      </c>
      <c r="B13777" t="s">
        <v>2129</v>
      </c>
      <c r="C13777">
        <v>25.5</v>
      </c>
      <c r="D13777">
        <v>200</v>
      </c>
      <c r="E13777">
        <f>IF(OR(B13777="vi",B13777="ii",B13777="pod"),(((D13777/100)*(C13777*VLOOKUP(B13777,'Poids des runes'!A:B,2,FALSE)))+1),(((D13777/100)*(C13777*VLOOKUP(B13777,'Poids des runes'!A:B,2,FALSE)))+1)/VLOOKUP(B13777,'Poids des runes'!A:B,2,FALSE))</f>
        <v>52</v>
      </c>
      <c r="F13777">
        <f t="shared" si="215"/>
        <v>52</v>
      </c>
    </row>
    <row r="13778" spans="1:6" x14ac:dyDescent="0.3">
      <c r="A13778" t="s">
        <v>2124</v>
      </c>
      <c r="B13778" t="s">
        <v>2139</v>
      </c>
      <c r="C13778">
        <v>18</v>
      </c>
      <c r="D13778">
        <v>200</v>
      </c>
      <c r="E13778">
        <f>IF(OR(B13778="vi",B13778="ii",B13778="pod"),(((D13778/100)*(C13778*VLOOKUP(B13778,'Poids des runes'!A:B,2,FALSE)))+1),(((D13778/100)*(C13778*VLOOKUP(B13778,'Poids des runes'!A:B,2,FALSE)))+1)/VLOOKUP(B13778,'Poids des runes'!A:B,2,FALSE))</f>
        <v>36.5</v>
      </c>
      <c r="F13778">
        <f t="shared" si="215"/>
        <v>36.5</v>
      </c>
    </row>
    <row r="13779" spans="1:6" x14ac:dyDescent="0.3">
      <c r="A13779" t="s">
        <v>2124</v>
      </c>
      <c r="B13779" t="s">
        <v>2151</v>
      </c>
      <c r="C13779">
        <v>4</v>
      </c>
      <c r="D13779">
        <v>200</v>
      </c>
      <c r="E13779">
        <f>IF(OR(B13779="vi",B13779="ii",B13779="pod"),(((D13779/100)*(C13779*VLOOKUP(B13779,'Poids des runes'!A:B,2,FALSE)))+1),(((D13779/100)*(C13779*VLOOKUP(B13779,'Poids des runes'!A:B,2,FALSE)))+1)/VLOOKUP(B13779,'Poids des runes'!A:B,2,FALSE))</f>
        <v>8.1</v>
      </c>
      <c r="F13779">
        <f t="shared" si="215"/>
        <v>8.1</v>
      </c>
    </row>
    <row r="13780" spans="1:6" x14ac:dyDescent="0.3">
      <c r="A13780" t="s">
        <v>2124</v>
      </c>
      <c r="B13780" t="s">
        <v>2143</v>
      </c>
      <c r="C13780">
        <v>10.5</v>
      </c>
      <c r="D13780">
        <v>200</v>
      </c>
      <c r="E13780">
        <f>IF(OR(B13780="vi",B13780="ii",B13780="pod"),(((D13780/100)*(C13780*VLOOKUP(B13780,'Poids des runes'!A:B,2,FALSE)))+1),(((D13780/100)*(C13780*VLOOKUP(B13780,'Poids des runes'!A:B,2,FALSE)))+1)/VLOOKUP(B13780,'Poids des runes'!A:B,2,FALSE))</f>
        <v>21.2</v>
      </c>
      <c r="F13780">
        <f t="shared" si="215"/>
        <v>21.2</v>
      </c>
    </row>
    <row r="13781" spans="1:6" x14ac:dyDescent="0.3">
      <c r="A13781" t="s">
        <v>2124</v>
      </c>
      <c r="B13781" t="s">
        <v>2133</v>
      </c>
      <c r="C13781">
        <v>10.5</v>
      </c>
      <c r="D13781">
        <v>200</v>
      </c>
      <c r="E13781">
        <f>IF(OR(B13781="vi",B13781="ii",B13781="pod"),(((D13781/100)*(C13781*VLOOKUP(B13781,'Poids des runes'!A:B,2,FALSE)))+1),(((D13781/100)*(C13781*VLOOKUP(B13781,'Poids des runes'!A:B,2,FALSE)))+1)/VLOOKUP(B13781,'Poids des runes'!A:B,2,FALSE))</f>
        <v>21.2</v>
      </c>
      <c r="F13781">
        <f t="shared" si="215"/>
        <v>21.2</v>
      </c>
    </row>
    <row r="13782" spans="1:6" x14ac:dyDescent="0.3">
      <c r="A13782" t="s">
        <v>2124</v>
      </c>
      <c r="B13782" t="s">
        <v>2153</v>
      </c>
      <c r="C13782">
        <v>10.5</v>
      </c>
      <c r="D13782">
        <v>200</v>
      </c>
      <c r="E13782">
        <f>IF(OR(B13782="vi",B13782="ii",B13782="pod"),(((D13782/100)*(C13782*VLOOKUP(B13782,'Poids des runes'!A:B,2,FALSE)))+1),(((D13782/100)*(C13782*VLOOKUP(B13782,'Poids des runes'!A:B,2,FALSE)))+1)/VLOOKUP(B13782,'Poids des runes'!A:B,2,FALSE))</f>
        <v>21.2</v>
      </c>
      <c r="F13782">
        <f t="shared" si="215"/>
        <v>21.2</v>
      </c>
    </row>
    <row r="13783" spans="1:6" x14ac:dyDescent="0.3">
      <c r="A13783" t="s">
        <v>2124</v>
      </c>
      <c r="B13783" t="s">
        <v>2160</v>
      </c>
      <c r="C13783">
        <v>5</v>
      </c>
      <c r="D13783">
        <v>200</v>
      </c>
      <c r="E13783">
        <f>IF(OR(B13783="vi",B13783="ii",B13783="pod"),(((D13783/100)*(C13783*VLOOKUP(B13783,'Poids des runes'!A:B,2,FALSE)))+1),(((D13783/100)*(C13783*VLOOKUP(B13783,'Poids des runes'!A:B,2,FALSE)))+1)/VLOOKUP(B13783,'Poids des runes'!A:B,2,FALSE))</f>
        <v>10.142857142857142</v>
      </c>
      <c r="F13783">
        <f t="shared" si="215"/>
        <v>10.142857142857142</v>
      </c>
    </row>
    <row r="13784" spans="1:6" x14ac:dyDescent="0.3">
      <c r="A13784" t="s">
        <v>2124</v>
      </c>
      <c r="B13784" t="s">
        <v>2163</v>
      </c>
      <c r="C13784">
        <v>8.5</v>
      </c>
      <c r="D13784">
        <v>200</v>
      </c>
      <c r="E13784">
        <f>IF(OR(B13784="vi",B13784="ii",B13784="pod"),(((D13784/100)*(C13784*VLOOKUP(B13784,'Poids des runes'!A:B,2,FALSE)))+1),(((D13784/100)*(C13784*VLOOKUP(B13784,'Poids des runes'!A:B,2,FALSE)))+1)/VLOOKUP(B13784,'Poids des runes'!A:B,2,FALSE))</f>
        <v>17.5</v>
      </c>
      <c r="F13784">
        <f t="shared" si="215"/>
        <v>17.5</v>
      </c>
    </row>
    <row r="13785" spans="1:6" x14ac:dyDescent="0.3">
      <c r="A13785" t="s">
        <v>2124</v>
      </c>
      <c r="B13785" t="s">
        <v>2147</v>
      </c>
      <c r="C13785">
        <v>8.5</v>
      </c>
      <c r="D13785">
        <v>200</v>
      </c>
      <c r="E13785">
        <f>IF(OR(B13785="vi",B13785="ii",B13785="pod"),(((D13785/100)*(C13785*VLOOKUP(B13785,'Poids des runes'!A:B,2,FALSE)))+1),(((D13785/100)*(C13785*VLOOKUP(B13785,'Poids des runes'!A:B,2,FALSE)))+1)/VLOOKUP(B13785,'Poids des runes'!A:B,2,FALSE))</f>
        <v>17.166666666666668</v>
      </c>
      <c r="F13785">
        <f t="shared" si="215"/>
        <v>17.166666666666668</v>
      </c>
    </row>
    <row r="13786" spans="1:6" x14ac:dyDescent="0.3">
      <c r="A13786" t="s">
        <v>2125</v>
      </c>
      <c r="B13786" t="s">
        <v>2128</v>
      </c>
      <c r="C13786">
        <v>325.5</v>
      </c>
      <c r="D13786">
        <v>200</v>
      </c>
      <c r="E13786">
        <f>IF(OR(B13786="vi",B13786="ii",B13786="pod"),(((D13786/100)*(C13786*VLOOKUP(B13786,'Poids des runes'!A:B,2,FALSE)))+1),(((D13786/100)*(C13786*VLOOKUP(B13786,'Poids des runes'!A:B,2,FALSE)))+1)/VLOOKUP(B13786,'Poids des runes'!A:B,2,FALSE))</f>
        <v>131.20000000000002</v>
      </c>
      <c r="F13786">
        <f t="shared" si="215"/>
        <v>131.20000000000002</v>
      </c>
    </row>
    <row r="13787" spans="1:6" x14ac:dyDescent="0.3">
      <c r="A13787" t="s">
        <v>2125</v>
      </c>
      <c r="B13787" t="s">
        <v>2130</v>
      </c>
      <c r="C13787">
        <v>60.5</v>
      </c>
      <c r="D13787">
        <v>200</v>
      </c>
      <c r="E13787">
        <f>IF(OR(B13787="vi",B13787="ii",B13787="pod"),(((D13787/100)*(C13787*VLOOKUP(B13787,'Poids des runes'!A:B,2,FALSE)))+1),(((D13787/100)*(C13787*VLOOKUP(B13787,'Poids des runes'!A:B,2,FALSE)))+1)/VLOOKUP(B13787,'Poids des runes'!A:B,2,FALSE))</f>
        <v>122</v>
      </c>
      <c r="F13787">
        <f t="shared" si="215"/>
        <v>122</v>
      </c>
    </row>
    <row r="13788" spans="1:6" x14ac:dyDescent="0.3">
      <c r="A13788" t="s">
        <v>2125</v>
      </c>
      <c r="B13788" t="s">
        <v>2131</v>
      </c>
      <c r="C13788">
        <v>60.5</v>
      </c>
      <c r="D13788">
        <v>200</v>
      </c>
      <c r="E13788">
        <f>IF(OR(B13788="vi",B13788="ii",B13788="pod"),(((D13788/100)*(C13788*VLOOKUP(B13788,'Poids des runes'!A:B,2,FALSE)))+1),(((D13788/100)*(C13788*VLOOKUP(B13788,'Poids des runes'!A:B,2,FALSE)))+1)/VLOOKUP(B13788,'Poids des runes'!A:B,2,FALSE))</f>
        <v>122</v>
      </c>
      <c r="F13788">
        <f t="shared" si="215"/>
        <v>122</v>
      </c>
    </row>
    <row r="13789" spans="1:6" x14ac:dyDescent="0.3">
      <c r="A13789" t="s">
        <v>2125</v>
      </c>
      <c r="B13789" t="s">
        <v>2129</v>
      </c>
      <c r="C13789">
        <v>35.5</v>
      </c>
      <c r="D13789">
        <v>200</v>
      </c>
      <c r="E13789">
        <f>IF(OR(B13789="vi",B13789="ii",B13789="pod"),(((D13789/100)*(C13789*VLOOKUP(B13789,'Poids des runes'!A:B,2,FALSE)))+1),(((D13789/100)*(C13789*VLOOKUP(B13789,'Poids des runes'!A:B,2,FALSE)))+1)/VLOOKUP(B13789,'Poids des runes'!A:B,2,FALSE))</f>
        <v>72</v>
      </c>
      <c r="F13789">
        <f t="shared" si="215"/>
        <v>72</v>
      </c>
    </row>
    <row r="13790" spans="1:6" x14ac:dyDescent="0.3">
      <c r="A13790" t="s">
        <v>2125</v>
      </c>
      <c r="B13790" t="s">
        <v>2151</v>
      </c>
      <c r="C13790">
        <v>5</v>
      </c>
      <c r="D13790">
        <v>200</v>
      </c>
      <c r="E13790">
        <f>IF(OR(B13790="vi",B13790="ii",B13790="pod"),(((D13790/100)*(C13790*VLOOKUP(B13790,'Poids des runes'!A:B,2,FALSE)))+1),(((D13790/100)*(C13790*VLOOKUP(B13790,'Poids des runes'!A:B,2,FALSE)))+1)/VLOOKUP(B13790,'Poids des runes'!A:B,2,FALSE))</f>
        <v>10.1</v>
      </c>
      <c r="F13790">
        <f t="shared" si="215"/>
        <v>10.1</v>
      </c>
    </row>
    <row r="13791" spans="1:6" x14ac:dyDescent="0.3">
      <c r="A13791" t="s">
        <v>2125</v>
      </c>
      <c r="B13791" t="s">
        <v>2143</v>
      </c>
      <c r="C13791">
        <v>10.5</v>
      </c>
      <c r="D13791">
        <v>200</v>
      </c>
      <c r="E13791">
        <f>IF(OR(B13791="vi",B13791="ii",B13791="pod"),(((D13791/100)*(C13791*VLOOKUP(B13791,'Poids des runes'!A:B,2,FALSE)))+1),(((D13791/100)*(C13791*VLOOKUP(B13791,'Poids des runes'!A:B,2,FALSE)))+1)/VLOOKUP(B13791,'Poids des runes'!A:B,2,FALSE))</f>
        <v>21.2</v>
      </c>
      <c r="F13791">
        <f t="shared" si="215"/>
        <v>21.2</v>
      </c>
    </row>
    <row r="13792" spans="1:6" x14ac:dyDescent="0.3">
      <c r="A13792" t="s">
        <v>2125</v>
      </c>
      <c r="B13792" t="s">
        <v>2133</v>
      </c>
      <c r="C13792">
        <v>10.5</v>
      </c>
      <c r="D13792">
        <v>200</v>
      </c>
      <c r="E13792">
        <f>IF(OR(B13792="vi",B13792="ii",B13792="pod"),(((D13792/100)*(C13792*VLOOKUP(B13792,'Poids des runes'!A:B,2,FALSE)))+1),(((D13792/100)*(C13792*VLOOKUP(B13792,'Poids des runes'!A:B,2,FALSE)))+1)/VLOOKUP(B13792,'Poids des runes'!A:B,2,FALSE))</f>
        <v>21.2</v>
      </c>
      <c r="F13792">
        <f t="shared" si="215"/>
        <v>21.2</v>
      </c>
    </row>
    <row r="13793" spans="1:6" x14ac:dyDescent="0.3">
      <c r="A13793" t="s">
        <v>2125</v>
      </c>
      <c r="B13793" t="s">
        <v>2132</v>
      </c>
      <c r="C13793">
        <v>400.5</v>
      </c>
      <c r="D13793">
        <v>200</v>
      </c>
      <c r="E13793">
        <f>IF(OR(B13793="vi",B13793="ii",B13793="pod"),(((D13793/100)*(C13793*VLOOKUP(B13793,'Poids des runes'!A:B,2,FALSE)))+1),(((D13793/100)*(C13793*VLOOKUP(B13793,'Poids des runes'!A:B,2,FALSE)))+1)/VLOOKUP(B13793,'Poids des runes'!A:B,2,FALSE))</f>
        <v>81.100000000000009</v>
      </c>
      <c r="F13793">
        <f t="shared" si="215"/>
        <v>81.100000000000009</v>
      </c>
    </row>
    <row r="13794" spans="1:6" x14ac:dyDescent="0.3">
      <c r="A13794" t="s">
        <v>2125</v>
      </c>
      <c r="B13794" t="s">
        <v>2158</v>
      </c>
      <c r="C13794">
        <v>13</v>
      </c>
      <c r="D13794">
        <v>200</v>
      </c>
      <c r="E13794">
        <f>IF(OR(B13794="vi",B13794="ii",B13794="pod"),(((D13794/100)*(C13794*VLOOKUP(B13794,'Poids des runes'!A:B,2,FALSE)))+1),(((D13794/100)*(C13794*VLOOKUP(B13794,'Poids des runes'!A:B,2,FALSE)))+1)/VLOOKUP(B13794,'Poids des runes'!A:B,2,FALSE))</f>
        <v>26.2</v>
      </c>
      <c r="F13794">
        <f t="shared" si="215"/>
        <v>26.2</v>
      </c>
    </row>
    <row r="13795" spans="1:6" x14ac:dyDescent="0.3">
      <c r="A13795" t="s">
        <v>2125</v>
      </c>
      <c r="B13795" t="s">
        <v>2147</v>
      </c>
      <c r="C13795">
        <v>5</v>
      </c>
      <c r="D13795">
        <v>200</v>
      </c>
      <c r="E13795">
        <f>IF(OR(B13795="vi",B13795="ii",B13795="pod"),(((D13795/100)*(C13795*VLOOKUP(B13795,'Poids des runes'!A:B,2,FALSE)))+1),(((D13795/100)*(C13795*VLOOKUP(B13795,'Poids des runes'!A:B,2,FALSE)))+1)/VLOOKUP(B13795,'Poids des runes'!A:B,2,FALSE))</f>
        <v>10.166666666666666</v>
      </c>
      <c r="F13795">
        <f t="shared" si="215"/>
        <v>10.166666666666666</v>
      </c>
    </row>
    <row r="13796" spans="1:6" x14ac:dyDescent="0.3">
      <c r="A13796" t="s">
        <v>2125</v>
      </c>
      <c r="B13796" t="s">
        <v>2157</v>
      </c>
      <c r="C13796">
        <v>10.5</v>
      </c>
      <c r="D13796">
        <v>200</v>
      </c>
      <c r="E13796">
        <f>IF(OR(B13796="vi",B13796="ii",B13796="pod"),(((D13796/100)*(C13796*VLOOKUP(B13796,'Poids des runes'!A:B,2,FALSE)))+1),(((D13796/100)*(C13796*VLOOKUP(B13796,'Poids des runes'!A:B,2,FALSE)))+1)/VLOOKUP(B13796,'Poids des runes'!A:B,2,FALSE))</f>
        <v>21.166666666666668</v>
      </c>
      <c r="F13796">
        <f t="shared" si="215"/>
        <v>21.166666666666668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6DE0-3D6C-40D0-AFF5-E72FDC6C160D}">
  <dimension ref="A1:B43"/>
  <sheetViews>
    <sheetView topLeftCell="A25" workbookViewId="0">
      <selection activeCell="B3" sqref="B3"/>
    </sheetView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2168</v>
      </c>
    </row>
    <row r="2" spans="1:2" x14ac:dyDescent="0.3">
      <c r="A2" t="s">
        <v>2127</v>
      </c>
      <c r="B2">
        <v>1</v>
      </c>
    </row>
    <row r="3" spans="1:2" x14ac:dyDescent="0.3">
      <c r="A3" t="s">
        <v>2151</v>
      </c>
      <c r="B3">
        <v>10</v>
      </c>
    </row>
    <row r="4" spans="1:2" x14ac:dyDescent="0.3">
      <c r="A4" t="s">
        <v>2131</v>
      </c>
      <c r="B4">
        <v>1</v>
      </c>
    </row>
    <row r="5" spans="1:2" x14ac:dyDescent="0.3">
      <c r="A5" t="s">
        <v>2166</v>
      </c>
      <c r="B5">
        <v>3</v>
      </c>
    </row>
    <row r="6" spans="1:2" x14ac:dyDescent="0.3">
      <c r="A6" t="s">
        <v>2153</v>
      </c>
      <c r="B6">
        <v>5</v>
      </c>
    </row>
    <row r="7" spans="1:2" x14ac:dyDescent="0.3">
      <c r="A7" t="s">
        <v>2158</v>
      </c>
      <c r="B7">
        <v>5</v>
      </c>
    </row>
    <row r="8" spans="1:2" x14ac:dyDescent="0.3">
      <c r="A8" t="s">
        <v>2133</v>
      </c>
      <c r="B8">
        <v>5</v>
      </c>
    </row>
    <row r="9" spans="1:2" x14ac:dyDescent="0.3">
      <c r="A9" t="s">
        <v>2140</v>
      </c>
      <c r="B9">
        <v>5</v>
      </c>
    </row>
    <row r="10" spans="1:2" x14ac:dyDescent="0.3">
      <c r="A10" t="s">
        <v>2134</v>
      </c>
      <c r="B10">
        <v>20</v>
      </c>
    </row>
    <row r="11" spans="1:2" x14ac:dyDescent="0.3">
      <c r="A11" t="s">
        <v>2142</v>
      </c>
      <c r="B11">
        <v>5</v>
      </c>
    </row>
    <row r="12" spans="1:2" x14ac:dyDescent="0.3">
      <c r="A12" t="s">
        <v>2143</v>
      </c>
      <c r="B12">
        <v>5</v>
      </c>
    </row>
    <row r="13" spans="1:2" x14ac:dyDescent="0.3">
      <c r="A13" t="s">
        <v>2165</v>
      </c>
      <c r="B13">
        <v>7</v>
      </c>
    </row>
    <row r="14" spans="1:2" x14ac:dyDescent="0.3">
      <c r="A14" t="s">
        <v>2162</v>
      </c>
      <c r="B14">
        <v>7</v>
      </c>
    </row>
    <row r="15" spans="1:2" x14ac:dyDescent="0.3">
      <c r="A15" t="s">
        <v>2130</v>
      </c>
      <c r="B15">
        <v>1</v>
      </c>
    </row>
    <row r="16" spans="1:2" x14ac:dyDescent="0.3">
      <c r="A16" t="s">
        <v>2141</v>
      </c>
      <c r="B16">
        <v>4</v>
      </c>
    </row>
    <row r="17" spans="1:2" x14ac:dyDescent="0.3">
      <c r="A17" t="s">
        <v>2150</v>
      </c>
      <c r="B17">
        <v>30</v>
      </c>
    </row>
    <row r="18" spans="1:2" x14ac:dyDescent="0.3">
      <c r="A18" t="s">
        <v>2132</v>
      </c>
      <c r="B18">
        <v>0.1</v>
      </c>
    </row>
    <row r="19" spans="1:2" x14ac:dyDescent="0.3">
      <c r="A19" t="s">
        <v>2126</v>
      </c>
      <c r="B19">
        <v>1</v>
      </c>
    </row>
    <row r="20" spans="1:2" x14ac:dyDescent="0.3">
      <c r="A20" t="s">
        <v>2152</v>
      </c>
      <c r="B20">
        <v>100</v>
      </c>
    </row>
    <row r="21" spans="1:2" x14ac:dyDescent="0.3">
      <c r="A21" t="s">
        <v>2154</v>
      </c>
      <c r="B21">
        <v>90</v>
      </c>
    </row>
    <row r="22" spans="1:2" x14ac:dyDescent="0.3">
      <c r="A22" t="s">
        <v>2155</v>
      </c>
      <c r="B22">
        <v>51</v>
      </c>
    </row>
    <row r="23" spans="1:2" x14ac:dyDescent="0.3">
      <c r="A23" t="s">
        <v>2167</v>
      </c>
      <c r="B23">
        <v>0.25</v>
      </c>
    </row>
    <row r="24" spans="1:2" x14ac:dyDescent="0.3">
      <c r="A24" t="s">
        <v>2161</v>
      </c>
      <c r="B24">
        <v>3</v>
      </c>
    </row>
    <row r="25" spans="1:2" x14ac:dyDescent="0.3">
      <c r="A25" t="s">
        <v>2139</v>
      </c>
      <c r="B25">
        <v>2</v>
      </c>
    </row>
    <row r="26" spans="1:2" x14ac:dyDescent="0.3">
      <c r="A26" t="s">
        <v>2146</v>
      </c>
      <c r="B26">
        <v>2</v>
      </c>
    </row>
    <row r="27" spans="1:2" x14ac:dyDescent="0.3">
      <c r="A27" t="s">
        <v>2157</v>
      </c>
      <c r="B27">
        <v>6</v>
      </c>
    </row>
    <row r="28" spans="1:2" x14ac:dyDescent="0.3">
      <c r="A28" t="s">
        <v>2163</v>
      </c>
      <c r="B28">
        <v>2</v>
      </c>
    </row>
    <row r="29" spans="1:2" x14ac:dyDescent="0.3">
      <c r="A29" t="s">
        <v>2145</v>
      </c>
      <c r="B29">
        <v>2</v>
      </c>
    </row>
    <row r="30" spans="1:2" x14ac:dyDescent="0.3">
      <c r="A30" t="s">
        <v>2135</v>
      </c>
      <c r="B30">
        <v>6</v>
      </c>
    </row>
    <row r="31" spans="1:2" x14ac:dyDescent="0.3">
      <c r="A31" t="s">
        <v>2144</v>
      </c>
      <c r="B31">
        <v>2</v>
      </c>
    </row>
    <row r="32" spans="1:2" x14ac:dyDescent="0.3">
      <c r="A32" t="s">
        <v>2147</v>
      </c>
      <c r="B32">
        <v>6</v>
      </c>
    </row>
    <row r="33" spans="1:2" x14ac:dyDescent="0.3">
      <c r="A33" t="s">
        <v>2136</v>
      </c>
      <c r="B33">
        <v>2</v>
      </c>
    </row>
    <row r="34" spans="1:2" x14ac:dyDescent="0.3">
      <c r="A34" t="s">
        <v>2156</v>
      </c>
      <c r="B34">
        <v>6</v>
      </c>
    </row>
    <row r="35" spans="1:2" x14ac:dyDescent="0.3">
      <c r="A35" t="s">
        <v>2164</v>
      </c>
      <c r="B35">
        <v>2</v>
      </c>
    </row>
    <row r="36" spans="1:2" x14ac:dyDescent="0.3">
      <c r="A36" t="s">
        <v>2159</v>
      </c>
      <c r="B36">
        <v>7</v>
      </c>
    </row>
    <row r="37" spans="1:2" x14ac:dyDescent="0.3">
      <c r="A37" t="s">
        <v>2160</v>
      </c>
      <c r="B37">
        <v>7</v>
      </c>
    </row>
    <row r="38" spans="1:2" x14ac:dyDescent="0.3">
      <c r="A38" t="s">
        <v>2137</v>
      </c>
      <c r="B38">
        <v>2</v>
      </c>
    </row>
    <row r="39" spans="1:2" x14ac:dyDescent="0.3">
      <c r="A39" t="s">
        <v>2148</v>
      </c>
      <c r="B39">
        <v>6</v>
      </c>
    </row>
    <row r="40" spans="1:2" x14ac:dyDescent="0.3">
      <c r="A40" t="s">
        <v>2129</v>
      </c>
      <c r="B40">
        <v>1</v>
      </c>
    </row>
    <row r="41" spans="1:2" x14ac:dyDescent="0.3">
      <c r="A41" t="s">
        <v>2149</v>
      </c>
      <c r="B41">
        <v>10</v>
      </c>
    </row>
    <row r="42" spans="1:2" x14ac:dyDescent="0.3">
      <c r="A42" t="s">
        <v>2138</v>
      </c>
      <c r="B42">
        <v>4</v>
      </c>
    </row>
    <row r="43" spans="1:2" x14ac:dyDescent="0.3">
      <c r="A43" t="s">
        <v>2128</v>
      </c>
      <c r="B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Runes estimées Coeff 100%</vt:lpstr>
      <vt:lpstr>Poids des runes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GAMING3</dc:creator>
  <cp:lastModifiedBy>Office</cp:lastModifiedBy>
  <dcterms:created xsi:type="dcterms:W3CDTF">2025-04-03T13:01:06Z</dcterms:created>
  <dcterms:modified xsi:type="dcterms:W3CDTF">2025-04-08T14:30:19Z</dcterms:modified>
</cp:coreProperties>
</file>